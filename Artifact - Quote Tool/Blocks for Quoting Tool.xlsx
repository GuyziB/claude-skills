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e42587b76b10ba/Documents/Visual Code Studio/Claude/Artifact - Quote Tool/"/>
    </mc:Choice>
  </mc:AlternateContent>
  <xr:revisionPtr revIDLastSave="104" documentId="8_{0E3C601E-531A-4BC8-8CCE-5771C98A1808}" xr6:coauthVersionLast="47" xr6:coauthVersionMax="47" xr10:uidLastSave="{FDF672FC-E0B2-4EF5-BDF9-2A457C2DC2DB}"/>
  <bookViews>
    <workbookView xWindow="28680" yWindow="-120" windowWidth="29040" windowHeight="15720" activeTab="3" xr2:uid="{80B6408D-2880-4793-BC99-6CBA5CFFCE09}"/>
  </bookViews>
  <sheets>
    <sheet name="Labour Rates" sheetId="1" r:id="rId1"/>
    <sheet name="Wiring Installation" sheetId="2" r:id="rId2"/>
    <sheet name="Cost Codes for Claude" sheetId="3" r:id="rId3"/>
    <sheet name="Blocks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" i="4" l="1"/>
  <c r="T173" i="4"/>
  <c r="R173" i="4"/>
  <c r="T172" i="4"/>
  <c r="R172" i="4"/>
  <c r="T171" i="4"/>
  <c r="R171" i="4"/>
  <c r="T170" i="4"/>
  <c r="R170" i="4"/>
  <c r="T169" i="4"/>
  <c r="R169" i="4"/>
  <c r="T168" i="4"/>
  <c r="R168" i="4"/>
  <c r="T167" i="4"/>
  <c r="R167" i="4"/>
  <c r="T166" i="4"/>
  <c r="R166" i="4"/>
  <c r="T165" i="4"/>
  <c r="R165" i="4"/>
  <c r="T164" i="4"/>
  <c r="R164" i="4"/>
  <c r="T163" i="4"/>
  <c r="R163" i="4"/>
  <c r="T162" i="4"/>
  <c r="R162" i="4"/>
  <c r="T161" i="4"/>
  <c r="R161" i="4"/>
  <c r="T160" i="4"/>
  <c r="R160" i="4"/>
  <c r="T159" i="4"/>
  <c r="R159" i="4"/>
  <c r="T158" i="4"/>
  <c r="R158" i="4"/>
  <c r="T157" i="4"/>
  <c r="R157" i="4"/>
  <c r="T156" i="4"/>
  <c r="R156" i="4"/>
  <c r="T155" i="4"/>
  <c r="R155" i="4"/>
  <c r="T154" i="4"/>
  <c r="R154" i="4"/>
  <c r="T153" i="4"/>
  <c r="R153" i="4"/>
  <c r="T149" i="4"/>
  <c r="R149" i="4"/>
  <c r="T148" i="4"/>
  <c r="R148" i="4"/>
  <c r="T147" i="4"/>
  <c r="R147" i="4"/>
  <c r="T146" i="4"/>
  <c r="R146" i="4"/>
  <c r="T145" i="4"/>
  <c r="R145" i="4"/>
  <c r="T144" i="4"/>
  <c r="R144" i="4"/>
  <c r="T143" i="4"/>
  <c r="R143" i="4"/>
  <c r="T142" i="4"/>
  <c r="R142" i="4"/>
  <c r="T141" i="4"/>
  <c r="R141" i="4"/>
  <c r="T136" i="4"/>
  <c r="R136" i="4"/>
  <c r="T135" i="4"/>
  <c r="R135" i="4"/>
  <c r="T134" i="4"/>
  <c r="R134" i="4"/>
  <c r="T133" i="4"/>
  <c r="R133" i="4"/>
  <c r="T132" i="4"/>
  <c r="R132" i="4"/>
  <c r="T131" i="4"/>
  <c r="R131" i="4"/>
  <c r="T130" i="4"/>
  <c r="R130" i="4"/>
  <c r="T129" i="4"/>
  <c r="R129" i="4"/>
  <c r="T128" i="4"/>
  <c r="R128" i="4"/>
  <c r="T127" i="4"/>
  <c r="R127" i="4"/>
  <c r="T126" i="4"/>
  <c r="R126" i="4"/>
  <c r="T125" i="4"/>
  <c r="R125" i="4"/>
  <c r="T124" i="4"/>
  <c r="R124" i="4"/>
  <c r="T123" i="4"/>
  <c r="R123" i="4"/>
  <c r="T122" i="4"/>
  <c r="R122" i="4"/>
  <c r="T118" i="4"/>
  <c r="R118" i="4"/>
  <c r="T117" i="4"/>
  <c r="R117" i="4"/>
  <c r="T116" i="4"/>
  <c r="R116" i="4"/>
  <c r="T115" i="4"/>
  <c r="R115" i="4"/>
  <c r="T114" i="4"/>
  <c r="R114" i="4"/>
  <c r="T113" i="4"/>
  <c r="R113" i="4"/>
  <c r="T112" i="4"/>
  <c r="R112" i="4"/>
  <c r="T111" i="4"/>
  <c r="R111" i="4"/>
  <c r="T110" i="4"/>
  <c r="R110" i="4"/>
  <c r="T109" i="4"/>
  <c r="R109" i="4"/>
  <c r="T108" i="4"/>
  <c r="R108" i="4"/>
  <c r="T107" i="4"/>
  <c r="R107" i="4"/>
  <c r="T106" i="4"/>
  <c r="R106" i="4"/>
  <c r="T105" i="4"/>
  <c r="R105" i="4"/>
  <c r="T104" i="4"/>
  <c r="R104" i="4"/>
  <c r="T103" i="4"/>
  <c r="R103" i="4"/>
  <c r="T102" i="4"/>
  <c r="R102" i="4"/>
  <c r="T101" i="4"/>
  <c r="R101" i="4"/>
  <c r="T100" i="4"/>
  <c r="R100" i="4"/>
  <c r="T99" i="4"/>
  <c r="R99" i="4"/>
  <c r="T98" i="4"/>
  <c r="R98" i="4"/>
  <c r="T97" i="4"/>
  <c r="R97" i="4"/>
  <c r="T96" i="4"/>
  <c r="R96" i="4"/>
  <c r="T95" i="4"/>
  <c r="R95" i="4"/>
  <c r="T94" i="4"/>
  <c r="R94" i="4"/>
  <c r="T93" i="4"/>
  <c r="R93" i="4"/>
  <c r="T92" i="4"/>
  <c r="R92" i="4"/>
  <c r="T91" i="4"/>
  <c r="R91" i="4"/>
  <c r="T90" i="4"/>
  <c r="R90" i="4"/>
  <c r="T89" i="4"/>
  <c r="R89" i="4"/>
  <c r="T88" i="4"/>
  <c r="R88" i="4"/>
  <c r="T87" i="4"/>
  <c r="R87" i="4"/>
  <c r="T86" i="4"/>
  <c r="R86" i="4"/>
  <c r="T85" i="4"/>
  <c r="R85" i="4"/>
  <c r="T84" i="4"/>
  <c r="R84" i="4"/>
  <c r="T83" i="4"/>
  <c r="R83" i="4"/>
  <c r="T79" i="4"/>
  <c r="R79" i="4"/>
  <c r="T78" i="4"/>
  <c r="R78" i="4"/>
  <c r="T77" i="4"/>
  <c r="R77" i="4"/>
  <c r="T76" i="4"/>
  <c r="R76" i="4"/>
  <c r="T75" i="4"/>
  <c r="R75" i="4"/>
  <c r="T74" i="4"/>
  <c r="R74" i="4"/>
  <c r="T73" i="4"/>
  <c r="R73" i="4"/>
  <c r="T72" i="4"/>
  <c r="R72" i="4"/>
  <c r="T71" i="4"/>
  <c r="R71" i="4"/>
  <c r="T70" i="4"/>
  <c r="R70" i="4"/>
  <c r="T69" i="4"/>
  <c r="R69" i="4"/>
  <c r="T68" i="4"/>
  <c r="R68" i="4"/>
  <c r="T67" i="4"/>
  <c r="R67" i="4"/>
  <c r="T66" i="4"/>
  <c r="R66" i="4"/>
  <c r="T65" i="4"/>
  <c r="R65" i="4"/>
  <c r="T64" i="4"/>
  <c r="R64" i="4"/>
  <c r="T63" i="4"/>
  <c r="R63" i="4"/>
  <c r="T62" i="4"/>
  <c r="R62" i="4"/>
  <c r="T61" i="4"/>
  <c r="R61" i="4"/>
  <c r="T60" i="4"/>
  <c r="R60" i="4"/>
  <c r="T59" i="4"/>
  <c r="R59" i="4"/>
  <c r="T58" i="4"/>
  <c r="R58" i="4"/>
  <c r="T57" i="4"/>
  <c r="R57" i="4"/>
  <c r="T56" i="4"/>
  <c r="R56" i="4"/>
  <c r="T55" i="4"/>
  <c r="R55" i="4"/>
  <c r="T54" i="4"/>
  <c r="R54" i="4"/>
  <c r="T53" i="4"/>
  <c r="R53" i="4"/>
  <c r="T52" i="4"/>
  <c r="R52" i="4"/>
  <c r="T51" i="4"/>
  <c r="R51" i="4"/>
  <c r="T50" i="4"/>
  <c r="R50" i="4"/>
  <c r="A47" i="4"/>
  <c r="T46" i="4"/>
  <c r="R46" i="4"/>
  <c r="T45" i="4"/>
  <c r="R45" i="4"/>
  <c r="T44" i="4"/>
  <c r="R44" i="4"/>
  <c r="T43" i="4"/>
  <c r="R43" i="4"/>
  <c r="A42" i="4"/>
  <c r="T41" i="4"/>
  <c r="R41" i="4"/>
  <c r="T40" i="4"/>
  <c r="R40" i="4"/>
  <c r="T39" i="4"/>
  <c r="R39" i="4"/>
  <c r="T38" i="4"/>
  <c r="R38" i="4"/>
  <c r="T37" i="4"/>
  <c r="R37" i="4"/>
  <c r="T36" i="4"/>
  <c r="R36" i="4"/>
  <c r="T35" i="4"/>
  <c r="R35" i="4"/>
  <c r="T34" i="4"/>
  <c r="R34" i="4"/>
  <c r="T33" i="4"/>
  <c r="R33" i="4"/>
  <c r="T32" i="4"/>
  <c r="R32" i="4"/>
  <c r="T31" i="4"/>
  <c r="R31" i="4"/>
  <c r="T30" i="4"/>
  <c r="R30" i="4"/>
  <c r="R29" i="4"/>
  <c r="T28" i="4"/>
  <c r="R28" i="4"/>
  <c r="T27" i="4"/>
  <c r="R27" i="4"/>
  <c r="T26" i="4"/>
  <c r="R26" i="4"/>
  <c r="T22" i="4"/>
  <c r="R22" i="4"/>
  <c r="T21" i="4"/>
  <c r="R21" i="4"/>
  <c r="T20" i="4"/>
  <c r="R20" i="4"/>
  <c r="T19" i="4"/>
  <c r="R19" i="4"/>
  <c r="A18" i="4"/>
  <c r="T17" i="4"/>
  <c r="R17" i="4"/>
  <c r="T16" i="4"/>
  <c r="R16" i="4"/>
  <c r="T15" i="4"/>
  <c r="R15" i="4"/>
  <c r="T14" i="4"/>
  <c r="R14" i="4"/>
  <c r="T13" i="4"/>
  <c r="R13" i="4"/>
  <c r="T12" i="4"/>
  <c r="R12" i="4"/>
  <c r="T11" i="4"/>
  <c r="R11" i="4"/>
  <c r="T10" i="4"/>
  <c r="R10" i="4"/>
  <c r="T9" i="4"/>
  <c r="R9" i="4"/>
  <c r="T8" i="4"/>
  <c r="R8" i="4"/>
  <c r="T7" i="4"/>
  <c r="R7" i="4"/>
  <c r="T6" i="4"/>
  <c r="R6" i="4"/>
  <c r="T5" i="4"/>
  <c r="R5" i="4"/>
  <c r="T4" i="4"/>
  <c r="R4" i="4"/>
  <c r="T3" i="4"/>
  <c r="R3" i="4"/>
  <c r="T2" i="4"/>
  <c r="R2" i="4"/>
  <c r="T29" i="2"/>
  <c r="R29" i="2"/>
  <c r="T28" i="2"/>
  <c r="R28" i="2"/>
  <c r="B16" i="1"/>
  <c r="B15" i="1"/>
  <c r="B10" i="1"/>
  <c r="B14" i="1" s="1"/>
  <c r="B9" i="1"/>
  <c r="B13" i="1" s="1"/>
  <c r="T47" i="4" l="1"/>
  <c r="R47" i="4"/>
  <c r="T42" i="4"/>
  <c r="R42" i="4"/>
  <c r="T18" i="4"/>
  <c r="R18" i="4"/>
</calcChain>
</file>

<file path=xl/sharedStrings.xml><?xml version="1.0" encoding="utf-8"?>
<sst xmlns="http://schemas.openxmlformats.org/spreadsheetml/2006/main" count="1012" uniqueCount="274">
  <si>
    <t>Labour Rates - BMS 2026</t>
  </si>
  <si>
    <t>AGV</t>
  </si>
  <si>
    <t>Panta BMS Tech</t>
  </si>
  <si>
    <t>Panta BMS Engineer</t>
  </si>
  <si>
    <t>Single Rates</t>
  </si>
  <si>
    <t>Pair Rates</t>
  </si>
  <si>
    <t>AGV + AGV</t>
  </si>
  <si>
    <t>AGV + Panta BMS Tech</t>
  </si>
  <si>
    <t>How they are used in quotes:</t>
  </si>
  <si>
    <t>1) AGV Pair</t>
  </si>
  <si>
    <t>2) BMS Pair</t>
  </si>
  <si>
    <t>3) BMS Tech - Single Rate</t>
  </si>
  <si>
    <t>4) BMS Engineer - Always Single Rate</t>
  </si>
  <si>
    <t>Labour Cost
€</t>
  </si>
  <si>
    <t>Wiring Installation - Material + Labour</t>
  </si>
  <si>
    <t>The installation of cabling is made up of material &amp; labour.</t>
  </si>
  <si>
    <t xml:space="preserve">The material is made of the wire itself, and also containment. </t>
  </si>
  <si>
    <t>The labour is measured as Euros per metre too.</t>
  </si>
  <si>
    <t>The wiring and containment is measure in a cost of Euros per metre.</t>
  </si>
  <si>
    <t>The table below will reflect this for different types of wiring.</t>
  </si>
  <si>
    <t xml:space="preserve">I always express the amount of containment as a percentage of the total length of the wire. That percentage can be 0%, where there is no containment required. Or 100% where there is containment required for every metre of the wiring. </t>
  </si>
  <si>
    <t>Notes to Claude:</t>
  </si>
  <si>
    <t>Each time there is a wiring line item, there should also automatically be a containment line item below it. I can make the adjustment for containment by adjusting length. (eg if there is 1000m wiring, and I need 25%, then I can just add the 250m contrainment in the line item.)</t>
  </si>
  <si>
    <t>3c0.75mm</t>
  </si>
  <si>
    <t>3 Core Signal Cable with 0.75mm Diameter</t>
  </si>
  <si>
    <t>Description</t>
  </si>
  <si>
    <t>Part No</t>
  </si>
  <si>
    <t>per metre, landed</t>
  </si>
  <si>
    <t>installation</t>
  </si>
  <si>
    <t>4 Core Signal Cable with 0.75mm Diameter</t>
  </si>
  <si>
    <t>4c0.75mm</t>
  </si>
  <si>
    <t>Cat 6 Cable</t>
  </si>
  <si>
    <t>Cat6</t>
  </si>
  <si>
    <t>Here are the types of Cable:</t>
  </si>
  <si>
    <t>Modbus Cable</t>
  </si>
  <si>
    <t>Modbus</t>
  </si>
  <si>
    <t>Here are the types of Containment</t>
  </si>
  <si>
    <t>20mm Galvanised</t>
  </si>
  <si>
    <t>25mm Galvanised</t>
  </si>
  <si>
    <t>20mm PVC</t>
  </si>
  <si>
    <t>25mm PVC</t>
  </si>
  <si>
    <t>Example for Claude. Showing how this appears on the Wiring Line Item</t>
  </si>
  <si>
    <t>No</t>
  </si>
  <si>
    <t>BMSE_001</t>
  </si>
  <si>
    <t>(__)</t>
  </si>
  <si>
    <t>Wiring - 3c 0.75mm Signal Cabling</t>
  </si>
  <si>
    <t>metre</t>
  </si>
  <si>
    <t>25mm Galvanized</t>
  </si>
  <si>
    <t>Rate</t>
  </si>
  <si>
    <t>Rate Total</t>
  </si>
  <si>
    <t>Labour Total</t>
  </si>
  <si>
    <t>Labour</t>
  </si>
  <si>
    <t>Internal Code</t>
  </si>
  <si>
    <t>Internal Code Number</t>
  </si>
  <si>
    <t>No Idea - Always There</t>
  </si>
  <si>
    <t>Erection materials</t>
  </si>
  <si>
    <t>Busbar Trunking</t>
  </si>
  <si>
    <t>Switchgear</t>
  </si>
  <si>
    <t>MCC Equipment</t>
  </si>
  <si>
    <t>BMS Equipment</t>
  </si>
  <si>
    <t>PVC Pipes / Ducts</t>
  </si>
  <si>
    <t>High/medium voltage switchgear</t>
  </si>
  <si>
    <t>Power Transformers</t>
  </si>
  <si>
    <t>Control Panels</t>
  </si>
  <si>
    <t xml:space="preserve">Electrical Single Core Cables </t>
  </si>
  <si>
    <t xml:space="preserve">Electrical Multicore Cables </t>
  </si>
  <si>
    <t xml:space="preserve">ELV/BMS/Special Cables </t>
  </si>
  <si>
    <t>Cables accessories</t>
  </si>
  <si>
    <t>Galv. Cable Trays</t>
  </si>
  <si>
    <t>PVC Cable Trays</t>
  </si>
  <si>
    <t>Galv. Cable Basket</t>
  </si>
  <si>
    <t>Galv. Cable Ladder</t>
  </si>
  <si>
    <t>Galv. Cable Trunking</t>
  </si>
  <si>
    <t>Alum. Cable Trunking</t>
  </si>
  <si>
    <t>PVC Cable Trunking</t>
  </si>
  <si>
    <t>Underfloor Cable Trunking</t>
  </si>
  <si>
    <t>Galv. Conduit</t>
  </si>
  <si>
    <t>PVC Conduit</t>
  </si>
  <si>
    <t>Wiring Accessories</t>
  </si>
  <si>
    <t>Dimming Equipment</t>
  </si>
  <si>
    <t>Fire Alarm Equipment</t>
  </si>
  <si>
    <t>Fire Barriers</t>
  </si>
  <si>
    <t>Security Alarm System</t>
  </si>
  <si>
    <t>Access Control</t>
  </si>
  <si>
    <t>Hotel Electronic Lock</t>
  </si>
  <si>
    <t>Sub-Contracting Installation Elec</t>
  </si>
  <si>
    <t>Timing Equipment</t>
  </si>
  <si>
    <t>Public Address</t>
  </si>
  <si>
    <t>Voice Alarm Equipment</t>
  </si>
  <si>
    <t>Lightning / Bonding System</t>
  </si>
  <si>
    <t>T.V System</t>
  </si>
  <si>
    <t>UPS/Voltage Stabilisers</t>
  </si>
  <si>
    <t>Data Network Equipment</t>
  </si>
  <si>
    <t>Light Fittings</t>
  </si>
  <si>
    <t>Generators, AMF Panels</t>
  </si>
  <si>
    <t>Telephone Equipment</t>
  </si>
  <si>
    <t>Intercom</t>
  </si>
  <si>
    <t>Mechanical for Electrical</t>
  </si>
  <si>
    <t>Nurse Call</t>
  </si>
  <si>
    <t>C.C.T.V. Equipment</t>
  </si>
  <si>
    <t>Tools and Instruments</t>
  </si>
  <si>
    <t>Consumbles</t>
  </si>
  <si>
    <t>Drawings/Manuals</t>
  </si>
  <si>
    <t>Spare Parts</t>
  </si>
  <si>
    <t>Dismantling (Labour Only)</t>
  </si>
  <si>
    <t>Testing &amp; Commissioning</t>
  </si>
  <si>
    <t>Sub-Contracting Works</t>
  </si>
  <si>
    <t>Enemalta Application</t>
  </si>
  <si>
    <t>Crainage and Transportation</t>
  </si>
  <si>
    <t>Controllers</t>
  </si>
  <si>
    <t>Controller Modules</t>
  </si>
  <si>
    <t>Signal Cable</t>
  </si>
  <si>
    <t>CAT Cable</t>
  </si>
  <si>
    <t>Control Panels MCC DDC Security Fire</t>
  </si>
  <si>
    <t>Field Devices</t>
  </si>
  <si>
    <t>DALI - KNX</t>
  </si>
  <si>
    <t>Fire Equipment</t>
  </si>
  <si>
    <t>Data Networks Equipment</t>
  </si>
  <si>
    <t>Panel Building</t>
  </si>
  <si>
    <t xml:space="preserve">Termination, Point Testing, FAT </t>
  </si>
  <si>
    <t>Provisional Sum</t>
  </si>
  <si>
    <t>Basic EF Control Panel - DoL</t>
  </si>
  <si>
    <t>n</t>
  </si>
  <si>
    <t>Wall‑mounted enclosure 1 door IP66 H=500 W=400 D=300mm</t>
  </si>
  <si>
    <t>Schrack</t>
  </si>
  <si>
    <t>WSA5040300</t>
  </si>
  <si>
    <t>Wall-mounting brackets for WSA, WKT, WKA and BUS enclosures</t>
  </si>
  <si>
    <t>WSAWB004</t>
  </si>
  <si>
    <t>Knitted earthing cable 260mm long, blank</t>
  </si>
  <si>
    <t>WSTCUF260</t>
  </si>
  <si>
    <t>Selector switch, 3 pos, stay-put, clamp handle</t>
  </si>
  <si>
    <t>MM216872 + accessories</t>
  </si>
  <si>
    <t>Motor Protection Circuit Breaker BE2, 3-pole, 6-10A</t>
  </si>
  <si>
    <t>BE201000</t>
  </si>
  <si>
    <t>Screw earth terminal 6/10 mm², type AVK 6/10 T</t>
  </si>
  <si>
    <t>IK622010</t>
  </si>
  <si>
    <t>Auxiliary contact, front-mounting for BE2</t>
  </si>
  <si>
    <t>BE2ZAF11</t>
  </si>
  <si>
    <t>CAPUS Panel - Switch-disconnector 3 pole 25A</t>
  </si>
  <si>
    <t>SI338120</t>
  </si>
  <si>
    <t>CAPUS Panel - Set connection space cover</t>
  </si>
  <si>
    <t>SI336940</t>
  </si>
  <si>
    <t>CAPUS Panel - Extension shaft, length 300 mm</t>
  </si>
  <si>
    <t>SI336820</t>
  </si>
  <si>
    <t>CAPUS Panel - Rotary handle for door coupling drive, black</t>
  </si>
  <si>
    <t>SI336650</t>
  </si>
  <si>
    <t>LED-indicator monobloc 230VAC/DC red</t>
  </si>
  <si>
    <t>BZ501215-B</t>
  </si>
  <si>
    <t>LED-indicator monobloc 230VAC/DC green</t>
  </si>
  <si>
    <t>BZ501218-B</t>
  </si>
  <si>
    <t>LED‑indicator monobloc 230VAC/DC white</t>
  </si>
  <si>
    <t>BZ501219-B</t>
  </si>
  <si>
    <t>Digital 1 channel day/week timer</t>
  </si>
  <si>
    <t>BZH14071</t>
  </si>
  <si>
    <t>Miniature Circuit Breaker (MCB) AMPARO 10kA, B 2A, 1-pole</t>
  </si>
  <si>
    <t>AM018102</t>
  </si>
  <si>
    <t>Single Phase Control Transformer 230V/24V, 100VA, IP00</t>
  </si>
  <si>
    <t>LP602010T</t>
  </si>
  <si>
    <t>Contactor 3‑pole, CUBICO Classic, 5,5kW, 12A, 1NO+1NC, 24VAC</t>
  </si>
  <si>
    <t>LZDC12B0</t>
  </si>
  <si>
    <t xml:space="preserve">Consumables </t>
  </si>
  <si>
    <t>Misc</t>
  </si>
  <si>
    <t>Catania</t>
  </si>
  <si>
    <t>Basic EF Control Panel - With Inverter</t>
  </si>
  <si>
    <t>Inverter Added per Specific Fan Requirement</t>
  </si>
  <si>
    <t>Fuji Electric</t>
  </si>
  <si>
    <t>Labour - Delivery etc</t>
  </si>
  <si>
    <t>BMS Team</t>
  </si>
  <si>
    <t>Basic ERV Control Panel</t>
  </si>
  <si>
    <t>Duct/Immersion Temperature sensor 300mm – NTC10K</t>
  </si>
  <si>
    <t>Distech</t>
  </si>
  <si>
    <t>TS-DI 300</t>
  </si>
  <si>
    <t>Air Differential Pressure switch, 100..1500 Pa</t>
  </si>
  <si>
    <t>PS-DPS1500</t>
  </si>
  <si>
    <t>4th Pole for LTS63‑LTS80 E</t>
  </si>
  <si>
    <t>Shrack</t>
  </si>
  <si>
    <t>IN809003</t>
  </si>
  <si>
    <t>Indicator light flat, white</t>
  </si>
  <si>
    <t>MM216771</t>
  </si>
  <si>
    <t>Indicator light flat, red</t>
  </si>
  <si>
    <t>MM216772</t>
  </si>
  <si>
    <t>Push-button flat, spring-return, black</t>
  </si>
  <si>
    <t>MM216590</t>
  </si>
  <si>
    <t>LP612010T</t>
  </si>
  <si>
    <t>Buzzer, continous tone, 18 - 30VDC</t>
  </si>
  <si>
    <t>MM229025</t>
  </si>
  <si>
    <t>Fuse Carrier 3-pole, 32A, 10x38</t>
  </si>
  <si>
    <t>IS506103</t>
  </si>
  <si>
    <t>Fuse Carrier 1-pole, 32A, 10x38</t>
  </si>
  <si>
    <t xml:space="preserve"> IS506101</t>
  </si>
  <si>
    <t>Cylindrical fuse link 10x38, 1A, characteristic gG, 500VAC</t>
  </si>
  <si>
    <t>ISZ10001</t>
  </si>
  <si>
    <t>Mini Contactor 3NO + 1NC, 20A, 230 VAC</t>
  </si>
  <si>
    <t>LA100923</t>
  </si>
  <si>
    <t>Cylindrical fuse link 10x38, 4A, characteristic gG, 500VAC</t>
  </si>
  <si>
    <t xml:space="preserve"> ISZ10004</t>
  </si>
  <si>
    <t>Miniature Circuit Breaker (MCB) DC-C6/1, 10kA</t>
  </si>
  <si>
    <t>BM015106</t>
  </si>
  <si>
    <t>Miniature Circuit Breaker (MCB) DC-C2/1, 10kA</t>
  </si>
  <si>
    <t>BM015102</t>
  </si>
  <si>
    <t>Auxiliary contact front, 1NO+1NC</t>
  </si>
  <si>
    <t>BE082882</t>
  </si>
  <si>
    <t>Legend plate holder black, without plate</t>
  </si>
  <si>
    <t>MM216392</t>
  </si>
  <si>
    <t>Auxiliary contact side, 1NO+1NC BE5/6</t>
  </si>
  <si>
    <t>BE072896</t>
  </si>
  <si>
    <t>Exhaust Filter 109x109x19mm, IP54, for IUKNF1523A</t>
  </si>
  <si>
    <t>IUKNE150</t>
  </si>
  <si>
    <t>Miniature Circuit Breaker (MCB) AMPARO 10kA, B 16A, 1-pole</t>
  </si>
  <si>
    <t>AM018116</t>
  </si>
  <si>
    <t>Motor Protection Circuit Breaker, 3-pole, 4.0-6.3A</t>
  </si>
  <si>
    <t>BE506300</t>
  </si>
  <si>
    <t>Wall-mounted enclosure 1 door IP65 H=600 W=400 D=155 mm</t>
  </si>
  <si>
    <t>WSA6040150</t>
  </si>
  <si>
    <t>Connected System Controller - Control, Automation and Connectivity Server with support of up to 28 I/O points and 3 Modbus devices. Embedded ENVYSION Studio &amp; Viewer.</t>
  </si>
  <si>
    <t>ECY-S1000E-28</t>
  </si>
  <si>
    <t>14 point I/O extension module for Connected System Controller.
Inputs: (8) Universal inputs.
Outputs: (6) Universal outputs.</t>
  </si>
  <si>
    <t>ECY-8UI6UO</t>
  </si>
  <si>
    <t>100 to 240VAC power supply module for Connected System Controller</t>
  </si>
  <si>
    <t>ECY-PS100-240</t>
  </si>
  <si>
    <t>Narrow Industrial Relay, 2 CO, 24VAC, 5A, LED</t>
  </si>
  <si>
    <t>RXT21R24</t>
  </si>
  <si>
    <t>Screw socket, logical arrangement for 2-pole RXT relay</t>
  </si>
  <si>
    <t>YRXT2010</t>
  </si>
  <si>
    <t>Mark Catania</t>
  </si>
  <si>
    <t>Duct Humidity and Temperature (2%) transducer - 140mm - 2x 0..10 V</t>
  </si>
  <si>
    <t>HS-D TH 140 VV</t>
  </si>
  <si>
    <t>CAPUS Panel - Switch-disconnector 3 pole + N, 80A</t>
  </si>
  <si>
    <t>SI338890--</t>
  </si>
  <si>
    <t xml:space="preserve">CAPUS Panel - Set connection space cover </t>
  </si>
  <si>
    <t>SI336980--</t>
  </si>
  <si>
    <t>CAPUS Panel Rotary handle for door coupling drive yellow-red</t>
  </si>
  <si>
    <t>SI336660--</t>
  </si>
  <si>
    <t>SI336820--</t>
  </si>
  <si>
    <t>SI336950--</t>
  </si>
  <si>
    <t>Mini Contactor 3NO + 1NC, 20A, 230 VAC (Cut 24V for Emergency Stop or Fire Alarm)</t>
  </si>
  <si>
    <t>AM017102</t>
  </si>
  <si>
    <t>AM019106</t>
  </si>
  <si>
    <t>Filter and Fan - To DO</t>
  </si>
  <si>
    <t>Filter and Fan - To TO</t>
  </si>
  <si>
    <t>Filter and Fan - Thermostat - To Do</t>
  </si>
  <si>
    <t>Motor Protection Circuit Breaker, 3-pole, 4.0-6.3A (Cubico Model)</t>
  </si>
  <si>
    <t>XXXXXXX</t>
  </si>
  <si>
    <t>Back Plate - To DO - GRP Boxes only</t>
  </si>
  <si>
    <t>Enclosure Accessories</t>
  </si>
  <si>
    <t>Knitted Earth Cable</t>
  </si>
  <si>
    <t>WSACUF260</t>
  </si>
  <si>
    <t>B-BC Connected Equipment Controller with Eclypse Gen 1 software for rooftop and small air handling unit applications with 8 UI, 2 UO, 4 DO (Triac) and 2 DUO (triac or universal). Eclypse Designer Viewer mode only. Pre-loaded apps in SI units.</t>
  </si>
  <si>
    <t>ECY-303 (SI)</t>
  </si>
  <si>
    <t>Panel and Enclosure Consumables (Ferruls, Trunking, Labels etc.)</t>
  </si>
  <si>
    <t>Basic HRU Control Panel</t>
  </si>
  <si>
    <t>FDCP (Fire Damper Control Panel) with ECY-303 and Modbus Interfaces</t>
  </si>
  <si>
    <t xml:space="preserve">Connected Equipment Controller with Eclypse Facilities - 4 UI, 2 UO, 2 DO (Triac) and 2 DUO (triac or universal) onboard IO. Max connectivity 25 connections. No connection included. Includes two years of Atrius Facilities - Organize. </t>
  </si>
  <si>
    <t>ECY-103-C1</t>
  </si>
  <si>
    <t>Modbus I/O Module - 4 digital inputs and 2 relay outputs - IP65, 230V</t>
  </si>
  <si>
    <t>MR-DIO4/2-IP65-Modbus_RTU-230V</t>
  </si>
  <si>
    <t>Single-phase Power Supply pulsing 230VAC/24VDC, 2,5A at 50°C</t>
  </si>
  <si>
    <t>LP412402--</t>
  </si>
  <si>
    <t>Miniature Circuit Breaker (MCB) AMPARO 10kA, C 6A, 1‑pole</t>
  </si>
  <si>
    <t>AM017106--</t>
  </si>
  <si>
    <t>Miniature Circuit Breaker (MCB) AMPARO 10kA, C 2A, 1-pole</t>
  </si>
  <si>
    <t>AM017102--</t>
  </si>
  <si>
    <t>LED-indicator monobloc  230VAC/DC white</t>
  </si>
  <si>
    <t>Miniature Circuit Breaker (MCB) AMPARO 10kA, C 1A, 1-pole</t>
  </si>
  <si>
    <t>AM017101--</t>
  </si>
  <si>
    <t>12Vdc Relay + Socket + Retaining clips + Marking tag + LED module</t>
  </si>
  <si>
    <t>24Vac relay (??? - fire signal might be connected directly to input)</t>
  </si>
  <si>
    <t>Enclosure - Wall Mounted - Size</t>
  </si>
  <si>
    <t>Simple Controller - Pump Set</t>
  </si>
  <si>
    <t>Accessories</t>
  </si>
  <si>
    <t>Basic Panel</t>
  </si>
  <si>
    <t>MICRO (AS1) 3 ph / 400 V, without EMC-Filter, IP 20, 0,75kW</t>
  </si>
  <si>
    <t>FVR0.4AS1S-7E</t>
  </si>
  <si>
    <t>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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</si>
</sst>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u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1" fontId="2" fillId="0" borderId="0" xfId="1" applyFont="1" applyProtection="1">
      <protection locked="0"/>
    </xf>
    <xf numFmtId="1" fontId="3" fillId="0" borderId="0" xfId="1" applyFont="1" applyProtection="1">
      <protection locked="0"/>
    </xf>
    <xf numFmtId="2" fontId="2" fillId="0" borderId="0" xfId="1" applyNumberFormat="1" applyFont="1" applyProtection="1">
      <protection locked="0"/>
    </xf>
    <xf numFmtId="2" fontId="2" fillId="2" borderId="0" xfId="1" applyNumberFormat="1" applyFont="1" applyFill="1"/>
    <xf numFmtId="2" fontId="2" fillId="3" borderId="0" xfId="1" applyNumberFormat="1" applyFont="1" applyFill="1"/>
    <xf numFmtId="0" fontId="0" fillId="0" borderId="0" xfId="0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1" fontId="2" fillId="0" borderId="0" xfId="1" applyFont="1" applyAlignment="1" applyProtection="1">
      <alignment horizontal="center"/>
      <protection locked="0"/>
    </xf>
    <xf numFmtId="1" fontId="5" fillId="0" borderId="0" xfId="1" applyFont="1" applyAlignment="1" applyProtection="1">
      <alignment horizontal="left"/>
      <protection locked="0"/>
    </xf>
    <xf numFmtId="2" fontId="3" fillId="0" borderId="0" xfId="1" applyNumberFormat="1" applyFont="1" applyProtection="1">
      <protection locked="0"/>
    </xf>
    <xf numFmtId="0" fontId="2" fillId="0" borderId="0" xfId="3" applyFont="1" applyProtection="1">
      <protection locked="0"/>
    </xf>
    <xf numFmtId="0" fontId="2" fillId="0" borderId="0" xfId="3" applyFont="1"/>
    <xf numFmtId="0" fontId="1" fillId="0" borderId="0" xfId="2"/>
    <xf numFmtId="0" fontId="1" fillId="0" borderId="0" xfId="3"/>
    <xf numFmtId="2" fontId="2" fillId="0" borderId="0" xfId="3" applyNumberFormat="1" applyFont="1" applyProtection="1">
      <protection locked="0"/>
    </xf>
    <xf numFmtId="164" fontId="3" fillId="0" borderId="0" xfId="1" applyNumberFormat="1" applyFont="1" applyProtection="1">
      <protection locked="0"/>
    </xf>
    <xf numFmtId="1" fontId="2" fillId="0" borderId="0" xfId="3" applyNumberFormat="1" applyFont="1" applyProtection="1">
      <protection locked="0"/>
    </xf>
    <xf numFmtId="1" fontId="2" fillId="4" borderId="0" xfId="1" applyFont="1" applyFill="1" applyProtection="1">
      <protection locked="0"/>
    </xf>
    <xf numFmtId="1" fontId="3" fillId="4" borderId="0" xfId="1" applyFont="1" applyFill="1" applyProtection="1">
      <protection locked="0"/>
    </xf>
    <xf numFmtId="2" fontId="2" fillId="4" borderId="0" xfId="1" applyNumberFormat="1" applyFont="1" applyFill="1" applyProtection="1">
      <protection locked="0"/>
    </xf>
    <xf numFmtId="2" fontId="2" fillId="5" borderId="0" xfId="3" applyNumberFormat="1" applyFont="1" applyFill="1" applyAlignment="1" applyProtection="1">
      <alignment vertical="top"/>
      <protection locked="0"/>
    </xf>
    <xf numFmtId="1" fontId="2" fillId="0" borderId="0" xfId="1" applyFont="1" applyAlignment="1" applyProtection="1">
      <alignment wrapText="1"/>
      <protection locked="0"/>
    </xf>
    <xf numFmtId="2" fontId="2" fillId="0" borderId="0" xfId="1" applyNumberFormat="1" applyFont="1" applyAlignment="1" applyProtection="1">
      <alignment wrapText="1"/>
      <protection locked="0"/>
    </xf>
    <xf numFmtId="2" fontId="2" fillId="0" borderId="0" xfId="1" applyNumberFormat="1" applyFont="1"/>
    <xf numFmtId="1" fontId="5" fillId="0" borderId="0" xfId="1" applyFont="1" applyAlignment="1" applyProtection="1">
      <alignment horizontal="left" vertical="top"/>
      <protection locked="0"/>
    </xf>
    <xf numFmtId="2" fontId="2" fillId="0" borderId="0" xfId="3" applyNumberFormat="1" applyFont="1" applyAlignment="1" applyProtection="1">
      <alignment vertical="top"/>
      <protection locked="0"/>
    </xf>
  </cellXfs>
  <cellStyles count="4">
    <cellStyle name="Normal" xfId="0" builtinId="0"/>
    <cellStyle name="Normal 2 2" xfId="2" xr:uid="{6A13FF24-9ED0-404D-ADDA-756899B87107}"/>
    <cellStyle name="Normal_BLOCKS" xfId="3" xr:uid="{0CDADD6A-2488-42B5-B787-17767956A576}"/>
    <cellStyle name="Normal_Estimate 2" xfId="1" xr:uid="{D89BD70F-C633-4331-A91A-449A971AC2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25DA-7D02-4200-A4BC-45096E7F9D21}">
  <dimension ref="A1:F16"/>
  <sheetViews>
    <sheetView workbookViewId="0">
      <selection activeCell="F1" sqref="F1"/>
    </sheetView>
  </sheetViews>
  <sheetFormatPr defaultRowHeight="14.4" x14ac:dyDescent="0.3"/>
  <cols>
    <col min="1" max="1" width="30.33203125" bestFit="1" customWidth="1"/>
    <col min="2" max="2" width="11.44140625" customWidth="1"/>
  </cols>
  <sheetData>
    <row r="1" spans="1:6" x14ac:dyDescent="0.3">
      <c r="A1" t="s">
        <v>0</v>
      </c>
      <c r="F1" t="s">
        <v>41</v>
      </c>
    </row>
    <row r="3" spans="1:6" ht="28.8" x14ac:dyDescent="0.3">
      <c r="A3" s="1" t="s">
        <v>4</v>
      </c>
      <c r="B3" s="2" t="s">
        <v>13</v>
      </c>
    </row>
    <row r="4" spans="1:6" x14ac:dyDescent="0.3">
      <c r="A4" t="s">
        <v>1</v>
      </c>
      <c r="B4">
        <v>12.144</v>
      </c>
    </row>
    <row r="5" spans="1:6" x14ac:dyDescent="0.3">
      <c r="A5" t="s">
        <v>2</v>
      </c>
      <c r="B5">
        <v>21.5</v>
      </c>
    </row>
    <row r="6" spans="1:6" x14ac:dyDescent="0.3">
      <c r="A6" t="s">
        <v>3</v>
      </c>
      <c r="B6">
        <v>32</v>
      </c>
    </row>
    <row r="8" spans="1:6" x14ac:dyDescent="0.3">
      <c r="A8" s="1" t="s">
        <v>5</v>
      </c>
      <c r="B8" s="1"/>
    </row>
    <row r="9" spans="1:6" x14ac:dyDescent="0.3">
      <c r="A9" t="s">
        <v>6</v>
      </c>
      <c r="B9">
        <f>2*B4</f>
        <v>24.288</v>
      </c>
    </row>
    <row r="10" spans="1:6" x14ac:dyDescent="0.3">
      <c r="A10" t="s">
        <v>7</v>
      </c>
      <c r="B10">
        <f>B4+B5</f>
        <v>33.643999999999998</v>
      </c>
    </row>
    <row r="12" spans="1:6" x14ac:dyDescent="0.3">
      <c r="A12" s="1" t="s">
        <v>8</v>
      </c>
      <c r="B12" s="1"/>
    </row>
    <row r="13" spans="1:6" x14ac:dyDescent="0.3">
      <c r="A13" t="s">
        <v>9</v>
      </c>
      <c r="B13">
        <f>B9</f>
        <v>24.288</v>
      </c>
    </row>
    <row r="14" spans="1:6" x14ac:dyDescent="0.3">
      <c r="A14" t="s">
        <v>10</v>
      </c>
      <c r="B14">
        <f>B10</f>
        <v>33.643999999999998</v>
      </c>
    </row>
    <row r="15" spans="1:6" x14ac:dyDescent="0.3">
      <c r="A15" t="s">
        <v>11</v>
      </c>
      <c r="B15">
        <f>B5</f>
        <v>21.5</v>
      </c>
    </row>
    <row r="16" spans="1:6" x14ac:dyDescent="0.3">
      <c r="A16" t="s">
        <v>12</v>
      </c>
      <c r="B16">
        <f>B6</f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D18F-0B86-409A-9890-8EF129B88166}">
  <dimension ref="A1:T29"/>
  <sheetViews>
    <sheetView topLeftCell="B18" workbookViewId="0">
      <selection activeCell="A26" sqref="A26:T29"/>
    </sheetView>
  </sheetViews>
  <sheetFormatPr defaultRowHeight="14.4" x14ac:dyDescent="0.3"/>
  <cols>
    <col min="1" max="1" width="29.77734375" customWidth="1"/>
    <col min="2" max="2" width="11.5546875" customWidth="1"/>
    <col min="3" max="3" width="15.21875" bestFit="1" customWidth="1"/>
  </cols>
  <sheetData>
    <row r="1" spans="1:4" x14ac:dyDescent="0.3">
      <c r="A1" t="s">
        <v>14</v>
      </c>
    </row>
    <row r="3" spans="1:4" x14ac:dyDescent="0.3">
      <c r="A3" t="s">
        <v>21</v>
      </c>
    </row>
    <row r="4" spans="1:4" x14ac:dyDescent="0.3">
      <c r="A4" t="s">
        <v>15</v>
      </c>
    </row>
    <row r="5" spans="1:4" x14ac:dyDescent="0.3">
      <c r="A5" t="s">
        <v>16</v>
      </c>
    </row>
    <row r="6" spans="1:4" x14ac:dyDescent="0.3">
      <c r="A6" t="s">
        <v>18</v>
      </c>
    </row>
    <row r="7" spans="1:4" x14ac:dyDescent="0.3">
      <c r="A7" t="s">
        <v>17</v>
      </c>
    </row>
    <row r="8" spans="1:4" x14ac:dyDescent="0.3">
      <c r="A8" t="s">
        <v>19</v>
      </c>
    </row>
    <row r="9" spans="1:4" x14ac:dyDescent="0.3">
      <c r="A9" t="s">
        <v>20</v>
      </c>
    </row>
    <row r="10" spans="1:4" x14ac:dyDescent="0.3">
      <c r="A10" t="s">
        <v>22</v>
      </c>
    </row>
    <row r="12" spans="1:4" x14ac:dyDescent="0.3">
      <c r="A12" t="s">
        <v>33</v>
      </c>
    </row>
    <row r="14" spans="1:4" x14ac:dyDescent="0.3">
      <c r="A14" t="s">
        <v>25</v>
      </c>
      <c r="B14" t="s">
        <v>26</v>
      </c>
      <c r="C14" t="s">
        <v>27</v>
      </c>
      <c r="D14" t="s">
        <v>28</v>
      </c>
    </row>
    <row r="15" spans="1:4" x14ac:dyDescent="0.3">
      <c r="A15" t="s">
        <v>24</v>
      </c>
      <c r="B15" t="s">
        <v>23</v>
      </c>
      <c r="C15">
        <v>0.5</v>
      </c>
      <c r="D15">
        <v>0.11</v>
      </c>
    </row>
    <row r="16" spans="1:4" x14ac:dyDescent="0.3">
      <c r="A16" t="s">
        <v>29</v>
      </c>
      <c r="B16" t="s">
        <v>30</v>
      </c>
      <c r="C16">
        <v>0.55000000000000004</v>
      </c>
      <c r="D16">
        <v>0.11</v>
      </c>
    </row>
    <row r="17" spans="1:20" x14ac:dyDescent="0.3">
      <c r="A17" t="s">
        <v>31</v>
      </c>
      <c r="B17" t="s">
        <v>32</v>
      </c>
    </row>
    <row r="18" spans="1:20" x14ac:dyDescent="0.3">
      <c r="A18" t="s">
        <v>34</v>
      </c>
      <c r="B18" t="s">
        <v>35</v>
      </c>
      <c r="C18">
        <v>0.82</v>
      </c>
      <c r="D18">
        <v>0.11</v>
      </c>
    </row>
    <row r="20" spans="1:20" x14ac:dyDescent="0.3">
      <c r="A20" t="s">
        <v>36</v>
      </c>
    </row>
    <row r="21" spans="1:20" x14ac:dyDescent="0.3">
      <c r="A21" t="s">
        <v>37</v>
      </c>
      <c r="C21">
        <v>3.66</v>
      </c>
      <c r="D21">
        <v>0.15</v>
      </c>
    </row>
    <row r="22" spans="1:20" x14ac:dyDescent="0.3">
      <c r="A22" t="s">
        <v>38</v>
      </c>
      <c r="C22">
        <v>2.88</v>
      </c>
      <c r="D22">
        <v>0.15</v>
      </c>
    </row>
    <row r="23" spans="1:20" x14ac:dyDescent="0.3">
      <c r="A23" t="s">
        <v>39</v>
      </c>
      <c r="C23">
        <v>1.21</v>
      </c>
      <c r="D23">
        <v>0.15</v>
      </c>
    </row>
    <row r="24" spans="1:20" x14ac:dyDescent="0.3">
      <c r="A24" t="s">
        <v>40</v>
      </c>
      <c r="C24">
        <v>1.25</v>
      </c>
      <c r="D24">
        <v>0.15</v>
      </c>
    </row>
    <row r="26" spans="1:20" x14ac:dyDescent="0.3">
      <c r="A26" t="s">
        <v>41</v>
      </c>
    </row>
    <row r="27" spans="1:20" x14ac:dyDescent="0.3">
      <c r="G27" t="s">
        <v>52</v>
      </c>
      <c r="H27" t="s">
        <v>53</v>
      </c>
      <c r="I27" t="s">
        <v>54</v>
      </c>
      <c r="O27" t="s">
        <v>53</v>
      </c>
      <c r="Q27" t="s">
        <v>48</v>
      </c>
      <c r="R27" t="s">
        <v>49</v>
      </c>
      <c r="S27" t="s">
        <v>51</v>
      </c>
      <c r="T27" t="s">
        <v>50</v>
      </c>
    </row>
    <row r="28" spans="1:20" x14ac:dyDescent="0.3">
      <c r="A28" s="3">
        <v>50</v>
      </c>
      <c r="B28" s="3" t="s">
        <v>46</v>
      </c>
      <c r="C28" s="3" t="s">
        <v>47</v>
      </c>
      <c r="D28" s="3"/>
      <c r="E28" s="3"/>
      <c r="F28" s="4"/>
      <c r="G28" s="3" t="s">
        <v>43</v>
      </c>
      <c r="H28" s="3">
        <v>421</v>
      </c>
      <c r="I28" s="5" t="s">
        <v>44</v>
      </c>
      <c r="J28" s="3"/>
      <c r="K28" s="3"/>
      <c r="L28" s="3"/>
      <c r="M28" s="3"/>
      <c r="N28" s="3"/>
      <c r="O28" s="3">
        <v>3</v>
      </c>
      <c r="P28" s="3"/>
      <c r="Q28" s="5">
        <v>3.66</v>
      </c>
      <c r="R28" s="6">
        <f t="shared" ref="R28:R29" si="0">$A28*Q28</f>
        <v>183</v>
      </c>
      <c r="S28" s="5">
        <v>0.15</v>
      </c>
      <c r="T28" s="7">
        <f t="shared" ref="T28:T29" si="1">$A28*S28*$T$1</f>
        <v>0</v>
      </c>
    </row>
    <row r="29" spans="1:20" x14ac:dyDescent="0.3">
      <c r="A29" s="3">
        <v>100</v>
      </c>
      <c r="B29" s="3" t="s">
        <v>46</v>
      </c>
      <c r="C29" s="3" t="s">
        <v>45</v>
      </c>
      <c r="D29" s="3"/>
      <c r="E29" s="3"/>
      <c r="F29" s="4"/>
      <c r="G29" s="3" t="s">
        <v>43</v>
      </c>
      <c r="H29" s="3">
        <v>421</v>
      </c>
      <c r="I29" s="5" t="s">
        <v>44</v>
      </c>
      <c r="J29" s="3"/>
      <c r="K29" s="3"/>
      <c r="L29" s="3"/>
      <c r="M29" s="3"/>
      <c r="N29" s="3"/>
      <c r="O29" s="3">
        <v>3</v>
      </c>
      <c r="P29" s="3"/>
      <c r="Q29" s="5">
        <v>0.55000000000000004</v>
      </c>
      <c r="R29" s="6">
        <f t="shared" si="0"/>
        <v>55.000000000000007</v>
      </c>
      <c r="S29" s="5">
        <v>0.11</v>
      </c>
      <c r="T29" s="7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4241-FBE1-45B1-871F-716F7F0D0C7C}">
  <dimension ref="A1:D68"/>
  <sheetViews>
    <sheetView workbookViewId="0">
      <selection sqref="A1:D68"/>
    </sheetView>
  </sheetViews>
  <sheetFormatPr defaultRowHeight="14.4" x14ac:dyDescent="0.3"/>
  <sheetData>
    <row r="1" spans="1:4" x14ac:dyDescent="0.3">
      <c r="A1" s="8" t="s">
        <v>55</v>
      </c>
      <c r="B1" s="8"/>
      <c r="C1" s="9">
        <v>501</v>
      </c>
      <c r="D1" s="8">
        <v>1</v>
      </c>
    </row>
    <row r="2" spans="1:4" x14ac:dyDescent="0.3">
      <c r="A2" s="8" t="s">
        <v>56</v>
      </c>
      <c r="B2" s="8"/>
      <c r="C2" s="9">
        <v>505</v>
      </c>
      <c r="D2" s="8">
        <v>1</v>
      </c>
    </row>
    <row r="3" spans="1:4" x14ac:dyDescent="0.3">
      <c r="A3" s="8" t="s">
        <v>57</v>
      </c>
      <c r="B3" s="8"/>
      <c r="C3" s="9">
        <v>510</v>
      </c>
      <c r="D3" s="8">
        <v>2</v>
      </c>
    </row>
    <row r="4" spans="1:4" x14ac:dyDescent="0.3">
      <c r="A4" s="8" t="s">
        <v>58</v>
      </c>
      <c r="B4" s="8"/>
      <c r="C4" s="9">
        <v>511</v>
      </c>
      <c r="D4" s="8">
        <v>2</v>
      </c>
    </row>
    <row r="5" spans="1:4" x14ac:dyDescent="0.3">
      <c r="A5" s="8" t="s">
        <v>59</v>
      </c>
      <c r="B5" s="8"/>
      <c r="C5" s="9">
        <v>512</v>
      </c>
      <c r="D5" s="8">
        <v>2</v>
      </c>
    </row>
    <row r="6" spans="1:4" x14ac:dyDescent="0.3">
      <c r="A6" s="8" t="s">
        <v>60</v>
      </c>
      <c r="B6" s="8"/>
      <c r="C6" s="9">
        <v>520</v>
      </c>
      <c r="D6" s="8">
        <v>1</v>
      </c>
    </row>
    <row r="7" spans="1:4" x14ac:dyDescent="0.3">
      <c r="A7" s="8" t="s">
        <v>61</v>
      </c>
      <c r="B7" s="8"/>
      <c r="C7" s="9">
        <v>530</v>
      </c>
      <c r="D7" s="8">
        <v>2</v>
      </c>
    </row>
    <row r="8" spans="1:4" x14ac:dyDescent="0.3">
      <c r="A8" s="8" t="s">
        <v>62</v>
      </c>
      <c r="B8" s="8"/>
      <c r="C8" s="9">
        <v>550</v>
      </c>
      <c r="D8" s="8">
        <v>2</v>
      </c>
    </row>
    <row r="9" spans="1:4" x14ac:dyDescent="0.3">
      <c r="A9" s="8" t="s">
        <v>63</v>
      </c>
      <c r="B9" s="8"/>
      <c r="C9" s="9">
        <v>570</v>
      </c>
      <c r="D9" s="8">
        <v>2</v>
      </c>
    </row>
    <row r="10" spans="1:4" x14ac:dyDescent="0.3">
      <c r="A10" s="8" t="s">
        <v>64</v>
      </c>
      <c r="B10" s="8"/>
      <c r="C10" s="9">
        <v>615</v>
      </c>
      <c r="D10" s="8">
        <v>2</v>
      </c>
    </row>
    <row r="11" spans="1:4" x14ac:dyDescent="0.3">
      <c r="A11" s="8" t="s">
        <v>65</v>
      </c>
      <c r="B11" s="8"/>
      <c r="C11" s="9">
        <v>616</v>
      </c>
      <c r="D11" s="8">
        <v>2</v>
      </c>
    </row>
    <row r="12" spans="1:4" x14ac:dyDescent="0.3">
      <c r="A12" s="8" t="s">
        <v>66</v>
      </c>
      <c r="B12" s="8"/>
      <c r="C12" s="9">
        <v>617</v>
      </c>
      <c r="D12" s="8">
        <v>2</v>
      </c>
    </row>
    <row r="13" spans="1:4" x14ac:dyDescent="0.3">
      <c r="A13" s="8" t="s">
        <v>67</v>
      </c>
      <c r="B13" s="8"/>
      <c r="C13" s="9">
        <v>620</v>
      </c>
      <c r="D13" s="8">
        <v>2</v>
      </c>
    </row>
    <row r="14" spans="1:4" x14ac:dyDescent="0.3">
      <c r="A14" s="8" t="s">
        <v>68</v>
      </c>
      <c r="B14" s="8"/>
      <c r="C14" s="9">
        <v>650</v>
      </c>
      <c r="D14" s="8">
        <v>1</v>
      </c>
    </row>
    <row r="15" spans="1:4" x14ac:dyDescent="0.3">
      <c r="A15" s="8" t="s">
        <v>69</v>
      </c>
      <c r="B15" s="8"/>
      <c r="C15" s="9">
        <v>651</v>
      </c>
      <c r="D15" s="8">
        <v>1</v>
      </c>
    </row>
    <row r="16" spans="1:4" x14ac:dyDescent="0.3">
      <c r="A16" s="8" t="s">
        <v>70</v>
      </c>
      <c r="B16" s="8"/>
      <c r="C16" s="9">
        <v>652</v>
      </c>
      <c r="D16" s="8">
        <v>1</v>
      </c>
    </row>
    <row r="17" spans="1:4" x14ac:dyDescent="0.3">
      <c r="A17" s="8" t="s">
        <v>71</v>
      </c>
      <c r="B17" s="8"/>
      <c r="C17" s="9">
        <v>654</v>
      </c>
      <c r="D17" s="8">
        <v>1</v>
      </c>
    </row>
    <row r="18" spans="1:4" x14ac:dyDescent="0.3">
      <c r="A18" s="8" t="s">
        <v>72</v>
      </c>
      <c r="B18" s="8"/>
      <c r="C18" s="9">
        <v>675</v>
      </c>
      <c r="D18" s="8">
        <v>1</v>
      </c>
    </row>
    <row r="19" spans="1:4" x14ac:dyDescent="0.3">
      <c r="A19" s="8" t="s">
        <v>73</v>
      </c>
      <c r="B19" s="8"/>
      <c r="C19" s="9">
        <v>676</v>
      </c>
      <c r="D19" s="8">
        <v>1</v>
      </c>
    </row>
    <row r="20" spans="1:4" x14ac:dyDescent="0.3">
      <c r="A20" s="8" t="s">
        <v>74</v>
      </c>
      <c r="B20" s="8"/>
      <c r="C20" s="9">
        <v>680</v>
      </c>
      <c r="D20" s="8">
        <v>1</v>
      </c>
    </row>
    <row r="21" spans="1:4" x14ac:dyDescent="0.3">
      <c r="A21" s="8" t="s">
        <v>75</v>
      </c>
      <c r="B21" s="8"/>
      <c r="C21" s="9">
        <v>681</v>
      </c>
      <c r="D21" s="8">
        <v>1</v>
      </c>
    </row>
    <row r="22" spans="1:4" x14ac:dyDescent="0.3">
      <c r="A22" s="8" t="s">
        <v>76</v>
      </c>
      <c r="B22" s="8"/>
      <c r="C22" s="9">
        <v>690</v>
      </c>
      <c r="D22" s="8">
        <v>1</v>
      </c>
    </row>
    <row r="23" spans="1:4" x14ac:dyDescent="0.3">
      <c r="A23" s="8" t="s">
        <v>77</v>
      </c>
      <c r="B23" s="8"/>
      <c r="C23" s="9">
        <v>700</v>
      </c>
      <c r="D23" s="8">
        <v>1</v>
      </c>
    </row>
    <row r="24" spans="1:4" x14ac:dyDescent="0.3">
      <c r="A24" s="8" t="s">
        <v>78</v>
      </c>
      <c r="B24" s="8"/>
      <c r="C24" s="9">
        <v>705</v>
      </c>
      <c r="D24" s="8">
        <v>3</v>
      </c>
    </row>
    <row r="25" spans="1:4" x14ac:dyDescent="0.3">
      <c r="A25" s="8" t="s">
        <v>79</v>
      </c>
      <c r="B25" s="8"/>
      <c r="C25" s="9">
        <v>706</v>
      </c>
      <c r="D25" s="8">
        <v>3</v>
      </c>
    </row>
    <row r="26" spans="1:4" x14ac:dyDescent="0.3">
      <c r="A26" s="8" t="s">
        <v>80</v>
      </c>
      <c r="B26" s="8"/>
      <c r="C26" s="9">
        <v>725</v>
      </c>
      <c r="D26" s="8">
        <v>3</v>
      </c>
    </row>
    <row r="27" spans="1:4" x14ac:dyDescent="0.3">
      <c r="A27" s="8" t="s">
        <v>81</v>
      </c>
      <c r="B27" s="8"/>
      <c r="C27" s="9">
        <v>726</v>
      </c>
      <c r="D27" s="8">
        <v>3</v>
      </c>
    </row>
    <row r="28" spans="1:4" x14ac:dyDescent="0.3">
      <c r="A28" s="8" t="s">
        <v>82</v>
      </c>
      <c r="B28" s="8"/>
      <c r="C28" s="9">
        <v>750</v>
      </c>
      <c r="D28" s="8">
        <v>3</v>
      </c>
    </row>
    <row r="29" spans="1:4" x14ac:dyDescent="0.3">
      <c r="A29" s="8" t="s">
        <v>83</v>
      </c>
      <c r="B29" s="8"/>
      <c r="C29" s="9">
        <v>751</v>
      </c>
      <c r="D29" s="8">
        <v>3</v>
      </c>
    </row>
    <row r="30" spans="1:4" x14ac:dyDescent="0.3">
      <c r="A30" s="8" t="s">
        <v>84</v>
      </c>
      <c r="B30" s="8"/>
      <c r="C30" s="9">
        <v>752</v>
      </c>
      <c r="D30" s="8">
        <v>3</v>
      </c>
    </row>
    <row r="31" spans="1:4" x14ac:dyDescent="0.3">
      <c r="A31" s="10" t="s">
        <v>85</v>
      </c>
      <c r="B31" s="8"/>
      <c r="C31" s="9">
        <v>753</v>
      </c>
      <c r="D31" s="8">
        <v>3</v>
      </c>
    </row>
    <row r="32" spans="1:4" x14ac:dyDescent="0.3">
      <c r="A32" s="8" t="s">
        <v>86</v>
      </c>
      <c r="B32" s="8"/>
      <c r="C32" s="9">
        <v>770</v>
      </c>
      <c r="D32" s="8">
        <v>3</v>
      </c>
    </row>
    <row r="33" spans="1:4" x14ac:dyDescent="0.3">
      <c r="A33" s="8" t="s">
        <v>87</v>
      </c>
      <c r="B33" s="8"/>
      <c r="C33" s="9">
        <v>790</v>
      </c>
      <c r="D33" s="8">
        <v>3</v>
      </c>
    </row>
    <row r="34" spans="1:4" x14ac:dyDescent="0.3">
      <c r="A34" s="8" t="s">
        <v>88</v>
      </c>
      <c r="B34" s="8"/>
      <c r="C34" s="9">
        <v>791</v>
      </c>
      <c r="D34" s="8">
        <v>3</v>
      </c>
    </row>
    <row r="35" spans="1:4" x14ac:dyDescent="0.3">
      <c r="A35" s="8" t="s">
        <v>89</v>
      </c>
      <c r="B35" s="8"/>
      <c r="C35" s="9">
        <v>810</v>
      </c>
      <c r="D35" s="8">
        <v>3</v>
      </c>
    </row>
    <row r="36" spans="1:4" x14ac:dyDescent="0.3">
      <c r="A36" s="8" t="s">
        <v>90</v>
      </c>
      <c r="B36" s="8"/>
      <c r="C36" s="9">
        <v>815</v>
      </c>
      <c r="D36" s="8">
        <v>3</v>
      </c>
    </row>
    <row r="37" spans="1:4" x14ac:dyDescent="0.3">
      <c r="A37" s="8" t="s">
        <v>91</v>
      </c>
      <c r="B37" s="8"/>
      <c r="C37" s="9">
        <v>820</v>
      </c>
      <c r="D37" s="8">
        <v>2</v>
      </c>
    </row>
    <row r="38" spans="1:4" x14ac:dyDescent="0.3">
      <c r="A38" s="8" t="s">
        <v>92</v>
      </c>
      <c r="B38" s="8"/>
      <c r="C38" s="9">
        <v>821</v>
      </c>
      <c r="D38" s="8">
        <v>3</v>
      </c>
    </row>
    <row r="39" spans="1:4" x14ac:dyDescent="0.3">
      <c r="A39" s="8" t="s">
        <v>93</v>
      </c>
      <c r="B39" s="8"/>
      <c r="C39" s="9">
        <v>835</v>
      </c>
      <c r="D39" s="8">
        <v>3</v>
      </c>
    </row>
    <row r="40" spans="1:4" x14ac:dyDescent="0.3">
      <c r="A40" s="8" t="s">
        <v>94</v>
      </c>
      <c r="B40" s="8"/>
      <c r="C40" s="9">
        <v>845</v>
      </c>
      <c r="D40" s="8">
        <v>2</v>
      </c>
    </row>
    <row r="41" spans="1:4" x14ac:dyDescent="0.3">
      <c r="A41" s="8" t="s">
        <v>95</v>
      </c>
      <c r="B41" s="8"/>
      <c r="C41" s="9">
        <v>855</v>
      </c>
      <c r="D41" s="8">
        <v>3</v>
      </c>
    </row>
    <row r="42" spans="1:4" x14ac:dyDescent="0.3">
      <c r="A42" s="8" t="s">
        <v>96</v>
      </c>
      <c r="B42" s="8"/>
      <c r="C42" s="9">
        <v>856</v>
      </c>
      <c r="D42" s="8">
        <v>3</v>
      </c>
    </row>
    <row r="43" spans="1:4" x14ac:dyDescent="0.3">
      <c r="A43" s="8" t="s">
        <v>97</v>
      </c>
      <c r="B43" s="8"/>
      <c r="C43" s="9">
        <v>857</v>
      </c>
      <c r="D43" s="8">
        <v>3</v>
      </c>
    </row>
    <row r="44" spans="1:4" x14ac:dyDescent="0.3">
      <c r="A44" s="8" t="s">
        <v>98</v>
      </c>
      <c r="B44" s="8"/>
      <c r="C44" s="9">
        <v>858</v>
      </c>
      <c r="D44" s="8">
        <v>3</v>
      </c>
    </row>
    <row r="45" spans="1:4" x14ac:dyDescent="0.3">
      <c r="A45" s="8" t="s">
        <v>99</v>
      </c>
      <c r="B45" s="8"/>
      <c r="C45" s="9">
        <v>865</v>
      </c>
      <c r="D45" s="8">
        <v>3</v>
      </c>
    </row>
    <row r="46" spans="1:4" x14ac:dyDescent="0.3">
      <c r="A46" s="8" t="s">
        <v>100</v>
      </c>
      <c r="B46" s="8"/>
      <c r="C46" s="9">
        <v>870</v>
      </c>
      <c r="D46" s="8">
        <v>4</v>
      </c>
    </row>
    <row r="47" spans="1:4" x14ac:dyDescent="0.3">
      <c r="A47" s="8" t="s">
        <v>101</v>
      </c>
      <c r="B47" s="8"/>
      <c r="C47" s="9">
        <v>875</v>
      </c>
      <c r="D47" s="8">
        <v>1</v>
      </c>
    </row>
    <row r="48" spans="1:4" x14ac:dyDescent="0.3">
      <c r="A48" s="8" t="s">
        <v>102</v>
      </c>
      <c r="B48" s="8"/>
      <c r="C48" s="9">
        <v>880</v>
      </c>
      <c r="D48" s="8">
        <v>3</v>
      </c>
    </row>
    <row r="49" spans="1:4" x14ac:dyDescent="0.3">
      <c r="A49" s="8" t="s">
        <v>103</v>
      </c>
      <c r="B49" s="8"/>
      <c r="C49" s="9">
        <v>885</v>
      </c>
      <c r="D49" s="8">
        <v>4</v>
      </c>
    </row>
    <row r="50" spans="1:4" x14ac:dyDescent="0.3">
      <c r="A50" s="8" t="s">
        <v>51</v>
      </c>
      <c r="B50" s="8"/>
      <c r="C50" s="9">
        <v>900</v>
      </c>
      <c r="D50" s="8">
        <v>3</v>
      </c>
    </row>
    <row r="51" spans="1:4" x14ac:dyDescent="0.3">
      <c r="A51" s="8" t="s">
        <v>104</v>
      </c>
      <c r="B51" s="8"/>
      <c r="C51" s="9">
        <v>901</v>
      </c>
      <c r="D51" s="8">
        <v>1</v>
      </c>
    </row>
    <row r="52" spans="1:4" x14ac:dyDescent="0.3">
      <c r="A52" s="8" t="s">
        <v>105</v>
      </c>
      <c r="B52" s="8"/>
      <c r="C52" s="9">
        <v>902</v>
      </c>
      <c r="D52" s="8">
        <v>3</v>
      </c>
    </row>
    <row r="53" spans="1:4" x14ac:dyDescent="0.3">
      <c r="A53" s="11" t="s">
        <v>106</v>
      </c>
      <c r="B53" s="8"/>
      <c r="C53" s="9">
        <v>960</v>
      </c>
      <c r="D53" s="8">
        <v>4</v>
      </c>
    </row>
    <row r="54" spans="1:4" x14ac:dyDescent="0.3">
      <c r="A54" s="11" t="s">
        <v>107</v>
      </c>
      <c r="B54" s="8"/>
      <c r="C54" s="9">
        <v>961</v>
      </c>
      <c r="D54" s="8">
        <v>3</v>
      </c>
    </row>
    <row r="55" spans="1:4" x14ac:dyDescent="0.3">
      <c r="A55" s="11" t="s">
        <v>108</v>
      </c>
      <c r="B55" s="8"/>
      <c r="C55" s="9">
        <v>962</v>
      </c>
      <c r="D55" s="8">
        <v>1</v>
      </c>
    </row>
    <row r="56" spans="1:4" x14ac:dyDescent="0.3">
      <c r="A56" s="11" t="s">
        <v>109</v>
      </c>
      <c r="B56" s="8"/>
      <c r="C56" s="9">
        <v>410</v>
      </c>
      <c r="D56" s="8">
        <v>4</v>
      </c>
    </row>
    <row r="57" spans="1:4" x14ac:dyDescent="0.3">
      <c r="A57" s="11" t="s">
        <v>110</v>
      </c>
      <c r="B57" s="8"/>
      <c r="C57" s="9">
        <v>411</v>
      </c>
      <c r="D57" s="8">
        <v>4</v>
      </c>
    </row>
    <row r="58" spans="1:4" x14ac:dyDescent="0.3">
      <c r="A58" s="11" t="s">
        <v>111</v>
      </c>
      <c r="B58" s="8"/>
      <c r="C58" s="9">
        <v>412</v>
      </c>
      <c r="D58" s="8">
        <v>4</v>
      </c>
    </row>
    <row r="59" spans="1:4" x14ac:dyDescent="0.3">
      <c r="A59" s="11" t="s">
        <v>34</v>
      </c>
      <c r="B59" s="8"/>
      <c r="C59" s="9">
        <v>413</v>
      </c>
      <c r="D59" s="8">
        <v>4</v>
      </c>
    </row>
    <row r="60" spans="1:4" x14ac:dyDescent="0.3">
      <c r="A60" s="11" t="s">
        <v>112</v>
      </c>
      <c r="B60" s="8"/>
      <c r="C60" s="9">
        <v>414</v>
      </c>
      <c r="D60" s="8">
        <v>4</v>
      </c>
    </row>
    <row r="61" spans="1:4" x14ac:dyDescent="0.3">
      <c r="A61" s="11" t="s">
        <v>113</v>
      </c>
      <c r="B61" s="8"/>
      <c r="C61" s="9">
        <v>415</v>
      </c>
      <c r="D61" s="8">
        <v>4</v>
      </c>
    </row>
    <row r="62" spans="1:4" x14ac:dyDescent="0.3">
      <c r="A62" s="11" t="s">
        <v>114</v>
      </c>
      <c r="B62" s="8"/>
      <c r="C62" s="9">
        <v>416</v>
      </c>
      <c r="D62" s="8">
        <v>4</v>
      </c>
    </row>
    <row r="63" spans="1:4" x14ac:dyDescent="0.3">
      <c r="A63" s="11" t="s">
        <v>115</v>
      </c>
      <c r="B63" s="8"/>
      <c r="C63" s="9">
        <v>417</v>
      </c>
      <c r="D63" s="8">
        <v>4</v>
      </c>
    </row>
    <row r="64" spans="1:4" x14ac:dyDescent="0.3">
      <c r="A64" s="11" t="s">
        <v>116</v>
      </c>
      <c r="B64" s="8"/>
      <c r="C64" s="9">
        <v>418</v>
      </c>
      <c r="D64" s="8">
        <v>4</v>
      </c>
    </row>
    <row r="65" spans="1:4" x14ac:dyDescent="0.3">
      <c r="A65" s="11" t="s">
        <v>117</v>
      </c>
      <c r="B65" s="8"/>
      <c r="C65" s="9">
        <v>419</v>
      </c>
      <c r="D65" s="8">
        <v>4</v>
      </c>
    </row>
    <row r="66" spans="1:4" x14ac:dyDescent="0.3">
      <c r="A66" s="11" t="s">
        <v>118</v>
      </c>
      <c r="B66" s="8"/>
      <c r="C66" s="9">
        <v>420</v>
      </c>
      <c r="D66" s="8">
        <v>4</v>
      </c>
    </row>
    <row r="67" spans="1:4" x14ac:dyDescent="0.3">
      <c r="A67" s="11" t="s">
        <v>119</v>
      </c>
      <c r="B67" s="8"/>
      <c r="C67" s="9">
        <v>421</v>
      </c>
      <c r="D67" s="8">
        <v>4</v>
      </c>
    </row>
    <row r="68" spans="1:4" x14ac:dyDescent="0.3">
      <c r="A68" s="11" t="s">
        <v>120</v>
      </c>
      <c r="B68" s="8"/>
      <c r="C68" s="9">
        <v>970</v>
      </c>
      <c r="D68" s="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16C8-1E32-4353-BB41-8DBAF412B13E}">
  <dimension ref="A1:T173"/>
  <sheetViews>
    <sheetView tabSelected="1" workbookViewId="0">
      <selection activeCell="F24" sqref="F24"/>
    </sheetView>
  </sheetViews>
  <sheetFormatPr defaultRowHeight="14.4" x14ac:dyDescent="0.3"/>
  <sheetData>
    <row r="1" spans="1:20" x14ac:dyDescent="0.3">
      <c r="A1" s="12"/>
      <c r="B1" s="17"/>
      <c r="C1" s="12"/>
      <c r="D1" s="13" t="s">
        <v>121</v>
      </c>
      <c r="E1" s="16"/>
      <c r="F1" s="4"/>
      <c r="G1" s="18"/>
      <c r="H1" s="4"/>
      <c r="I1" s="14"/>
      <c r="J1" s="4"/>
      <c r="K1" s="4" t="s">
        <v>122</v>
      </c>
      <c r="L1" s="4"/>
      <c r="M1" s="4"/>
      <c r="N1" s="4"/>
      <c r="O1" s="4"/>
      <c r="P1" s="4"/>
      <c r="Q1" s="15"/>
      <c r="R1" s="19"/>
      <c r="S1" s="20"/>
      <c r="T1" s="4"/>
    </row>
    <row r="2" spans="1:20" x14ac:dyDescent="0.3">
      <c r="A2" s="15"/>
      <c r="B2" s="3"/>
      <c r="C2" s="3"/>
      <c r="D2" s="3"/>
      <c r="E2" s="3"/>
      <c r="F2" s="4"/>
      <c r="G2" s="3"/>
      <c r="H2" s="3"/>
      <c r="I2" s="5"/>
      <c r="J2" s="3"/>
      <c r="K2" s="3"/>
      <c r="L2" s="3"/>
      <c r="M2" s="3"/>
      <c r="N2" s="3"/>
      <c r="O2" s="3"/>
      <c r="P2" s="3"/>
      <c r="Q2" s="5"/>
      <c r="R2" s="6">
        <f t="shared" ref="R2:R22" si="0">$A2*Q2</f>
        <v>0</v>
      </c>
      <c r="S2" s="5"/>
      <c r="T2" s="7" t="e">
        <f>$A2*S2*#REF!</f>
        <v>#REF!</v>
      </c>
    </row>
    <row r="3" spans="1:20" x14ac:dyDescent="0.3">
      <c r="A3" s="15">
        <v>1</v>
      </c>
      <c r="B3" s="3" t="s">
        <v>42</v>
      </c>
      <c r="C3" s="3"/>
      <c r="D3" s="3" t="s">
        <v>123</v>
      </c>
      <c r="E3" s="3" t="s">
        <v>124</v>
      </c>
      <c r="F3" s="4" t="s">
        <v>125</v>
      </c>
      <c r="G3" s="3" t="s">
        <v>43</v>
      </c>
      <c r="H3" s="3">
        <v>415</v>
      </c>
      <c r="I3" s="5" t="s">
        <v>44</v>
      </c>
      <c r="J3" s="3"/>
      <c r="K3" s="3"/>
      <c r="L3" s="3"/>
      <c r="M3" s="3"/>
      <c r="N3" s="3"/>
      <c r="O3" s="3">
        <v>3</v>
      </c>
      <c r="P3" s="3"/>
      <c r="Q3" s="5">
        <v>80.91</v>
      </c>
      <c r="R3" s="6">
        <f t="shared" si="0"/>
        <v>80.91</v>
      </c>
      <c r="S3" s="5"/>
      <c r="T3" s="7" t="e">
        <f>$A3*S3*#REF!</f>
        <v>#REF!</v>
      </c>
    </row>
    <row r="4" spans="1:20" x14ac:dyDescent="0.3">
      <c r="A4" s="15">
        <v>1</v>
      </c>
      <c r="B4" s="3" t="s">
        <v>42</v>
      </c>
      <c r="C4" s="3"/>
      <c r="D4" s="3" t="s">
        <v>126</v>
      </c>
      <c r="E4" s="3" t="s">
        <v>124</v>
      </c>
      <c r="F4" s="4" t="s">
        <v>127</v>
      </c>
      <c r="G4" s="3" t="s">
        <v>43</v>
      </c>
      <c r="H4" s="3">
        <v>415</v>
      </c>
      <c r="I4" s="5" t="s">
        <v>44</v>
      </c>
      <c r="J4" s="3"/>
      <c r="K4" s="3"/>
      <c r="L4" s="3"/>
      <c r="M4" s="3"/>
      <c r="N4" s="3"/>
      <c r="O4" s="3">
        <v>3</v>
      </c>
      <c r="P4" s="3"/>
      <c r="Q4" s="5">
        <v>3.43</v>
      </c>
      <c r="R4" s="6">
        <f t="shared" si="0"/>
        <v>3.43</v>
      </c>
      <c r="S4" s="5"/>
      <c r="T4" s="7" t="e">
        <f>$A4*S4*#REF!</f>
        <v>#REF!</v>
      </c>
    </row>
    <row r="5" spans="1:20" x14ac:dyDescent="0.3">
      <c r="A5" s="15">
        <v>1</v>
      </c>
      <c r="B5" s="3" t="s">
        <v>42</v>
      </c>
      <c r="C5" s="3"/>
      <c r="D5" s="3" t="s">
        <v>128</v>
      </c>
      <c r="E5" s="3" t="s">
        <v>124</v>
      </c>
      <c r="F5" s="4" t="s">
        <v>129</v>
      </c>
      <c r="G5" s="3" t="s">
        <v>43</v>
      </c>
      <c r="H5" s="3">
        <v>415</v>
      </c>
      <c r="I5" s="5" t="s">
        <v>44</v>
      </c>
      <c r="J5" s="3"/>
      <c r="K5" s="3"/>
      <c r="L5" s="3"/>
      <c r="M5" s="3"/>
      <c r="N5" s="3"/>
      <c r="O5" s="3">
        <v>3</v>
      </c>
      <c r="P5" s="3"/>
      <c r="Q5" s="5">
        <v>2.5499999999999998</v>
      </c>
      <c r="R5" s="6">
        <f t="shared" si="0"/>
        <v>2.5499999999999998</v>
      </c>
      <c r="S5" s="5"/>
      <c r="T5" s="7" t="e">
        <f>$A5*S5*#REF!</f>
        <v>#REF!</v>
      </c>
    </row>
    <row r="6" spans="1:20" x14ac:dyDescent="0.3">
      <c r="A6" s="15">
        <v>1</v>
      </c>
      <c r="B6" s="3" t="s">
        <v>42</v>
      </c>
      <c r="C6" s="3"/>
      <c r="D6" s="3" t="s">
        <v>130</v>
      </c>
      <c r="E6" s="3" t="s">
        <v>124</v>
      </c>
      <c r="F6" s="4" t="s">
        <v>131</v>
      </c>
      <c r="G6" s="3" t="s">
        <v>43</v>
      </c>
      <c r="H6" s="3">
        <v>415</v>
      </c>
      <c r="I6" s="5" t="s">
        <v>44</v>
      </c>
      <c r="J6" s="3"/>
      <c r="K6" s="3"/>
      <c r="L6" s="3"/>
      <c r="M6" s="3"/>
      <c r="N6" s="3"/>
      <c r="O6" s="3">
        <v>3</v>
      </c>
      <c r="P6" s="3"/>
      <c r="Q6" s="5">
        <v>8</v>
      </c>
      <c r="R6" s="6">
        <f t="shared" si="0"/>
        <v>8</v>
      </c>
      <c r="S6" s="5"/>
      <c r="T6" s="7" t="e">
        <f>$A6*S6*#REF!</f>
        <v>#REF!</v>
      </c>
    </row>
    <row r="7" spans="1:20" x14ac:dyDescent="0.3">
      <c r="A7" s="15">
        <v>1</v>
      </c>
      <c r="B7" s="3" t="s">
        <v>42</v>
      </c>
      <c r="C7" s="3"/>
      <c r="D7" s="3" t="s">
        <v>132</v>
      </c>
      <c r="E7" s="3" t="s">
        <v>124</v>
      </c>
      <c r="F7" s="4" t="s">
        <v>133</v>
      </c>
      <c r="G7" s="3" t="s">
        <v>43</v>
      </c>
      <c r="H7" s="3">
        <v>415</v>
      </c>
      <c r="I7" s="5" t="s">
        <v>44</v>
      </c>
      <c r="J7" s="3"/>
      <c r="K7" s="3"/>
      <c r="L7" s="3"/>
      <c r="M7" s="3"/>
      <c r="N7" s="3"/>
      <c r="O7" s="3">
        <v>3</v>
      </c>
      <c r="P7" s="3"/>
      <c r="Q7" s="5">
        <v>9.5500000000000007</v>
      </c>
      <c r="R7" s="6">
        <f t="shared" si="0"/>
        <v>9.5500000000000007</v>
      </c>
      <c r="S7" s="5"/>
      <c r="T7" s="7" t="e">
        <f>$A7*S7*#REF!</f>
        <v>#REF!</v>
      </c>
    </row>
    <row r="8" spans="1:20" x14ac:dyDescent="0.3">
      <c r="A8" s="3">
        <v>2</v>
      </c>
      <c r="B8" s="3" t="s">
        <v>42</v>
      </c>
      <c r="C8" s="3"/>
      <c r="D8" s="3" t="s">
        <v>134</v>
      </c>
      <c r="E8" s="3" t="s">
        <v>124</v>
      </c>
      <c r="F8" s="4" t="s">
        <v>135</v>
      </c>
      <c r="G8" s="3" t="s">
        <v>43</v>
      </c>
      <c r="H8" s="3">
        <v>415</v>
      </c>
      <c r="I8" s="5" t="s">
        <v>44</v>
      </c>
      <c r="J8" s="3"/>
      <c r="K8" s="3"/>
      <c r="L8" s="3"/>
      <c r="M8" s="3"/>
      <c r="N8" s="3"/>
      <c r="O8" s="3">
        <v>3</v>
      </c>
      <c r="P8" s="3"/>
      <c r="Q8" s="5">
        <v>1.25</v>
      </c>
      <c r="R8" s="6">
        <f t="shared" si="0"/>
        <v>2.5</v>
      </c>
      <c r="S8" s="5"/>
      <c r="T8" s="7" t="e">
        <f>$A8*S8*#REF!</f>
        <v>#REF!</v>
      </c>
    </row>
    <row r="9" spans="1:20" x14ac:dyDescent="0.3">
      <c r="A9" s="3">
        <v>2</v>
      </c>
      <c r="B9" s="3" t="s">
        <v>42</v>
      </c>
      <c r="C9" s="3"/>
      <c r="D9" s="3" t="s">
        <v>136</v>
      </c>
      <c r="E9" s="3" t="s">
        <v>124</v>
      </c>
      <c r="F9" s="4" t="s">
        <v>137</v>
      </c>
      <c r="G9" s="3" t="s">
        <v>43</v>
      </c>
      <c r="H9" s="3">
        <v>415</v>
      </c>
      <c r="I9" s="5" t="s">
        <v>44</v>
      </c>
      <c r="J9" s="3"/>
      <c r="K9" s="3"/>
      <c r="L9" s="3"/>
      <c r="M9" s="3"/>
      <c r="N9" s="3"/>
      <c r="O9" s="3">
        <v>3</v>
      </c>
      <c r="P9" s="3"/>
      <c r="Q9" s="5">
        <v>9.4E-2</v>
      </c>
      <c r="R9" s="6">
        <f t="shared" si="0"/>
        <v>0.188</v>
      </c>
      <c r="S9" s="5"/>
      <c r="T9" s="7" t="e">
        <f>$A9*S9*#REF!</f>
        <v>#REF!</v>
      </c>
    </row>
    <row r="10" spans="1:20" x14ac:dyDescent="0.3">
      <c r="A10" s="15">
        <v>1</v>
      </c>
      <c r="B10" s="3" t="s">
        <v>42</v>
      </c>
      <c r="C10" s="3"/>
      <c r="D10" s="3" t="s">
        <v>138</v>
      </c>
      <c r="E10" s="3" t="s">
        <v>124</v>
      </c>
      <c r="F10" s="4" t="s">
        <v>139</v>
      </c>
      <c r="G10" s="3" t="s">
        <v>43</v>
      </c>
      <c r="H10" s="3">
        <v>415</v>
      </c>
      <c r="I10" s="5" t="s">
        <v>44</v>
      </c>
      <c r="J10" s="3"/>
      <c r="K10" s="3"/>
      <c r="L10" s="3"/>
      <c r="M10" s="3"/>
      <c r="N10" s="3"/>
      <c r="O10" s="3">
        <v>3</v>
      </c>
      <c r="P10" s="3"/>
      <c r="Q10" s="5">
        <v>16.91</v>
      </c>
      <c r="R10" s="6">
        <f t="shared" si="0"/>
        <v>16.91</v>
      </c>
      <c r="S10" s="5"/>
      <c r="T10" s="7" t="e">
        <f>$A10*S10*#REF!</f>
        <v>#REF!</v>
      </c>
    </row>
    <row r="11" spans="1:20" x14ac:dyDescent="0.3">
      <c r="A11" s="15">
        <v>1</v>
      </c>
      <c r="B11" s="3" t="s">
        <v>42</v>
      </c>
      <c r="C11" s="3"/>
      <c r="D11" s="3" t="s">
        <v>140</v>
      </c>
      <c r="E11" s="3" t="s">
        <v>124</v>
      </c>
      <c r="F11" s="4" t="s">
        <v>141</v>
      </c>
      <c r="G11" s="3" t="s">
        <v>43</v>
      </c>
      <c r="H11" s="3">
        <v>415</v>
      </c>
      <c r="I11" s="5" t="s">
        <v>44</v>
      </c>
      <c r="J11" s="3"/>
      <c r="K11" s="3"/>
      <c r="L11" s="3"/>
      <c r="M11" s="3"/>
      <c r="N11" s="3"/>
      <c r="O11" s="3">
        <v>3</v>
      </c>
      <c r="P11" s="3"/>
      <c r="Q11" s="5">
        <v>5.57</v>
      </c>
      <c r="R11" s="6">
        <f t="shared" si="0"/>
        <v>5.57</v>
      </c>
      <c r="S11" s="5"/>
      <c r="T11" s="7" t="e">
        <f>$A11*S11*#REF!</f>
        <v>#REF!</v>
      </c>
    </row>
    <row r="12" spans="1:20" x14ac:dyDescent="0.3">
      <c r="A12" s="15">
        <v>1</v>
      </c>
      <c r="B12" s="3" t="s">
        <v>42</v>
      </c>
      <c r="C12" s="3"/>
      <c r="D12" s="3" t="s">
        <v>142</v>
      </c>
      <c r="E12" s="3" t="s">
        <v>124</v>
      </c>
      <c r="F12" s="4" t="s">
        <v>143</v>
      </c>
      <c r="G12" s="3" t="s">
        <v>43</v>
      </c>
      <c r="H12" s="3">
        <v>415</v>
      </c>
      <c r="I12" s="5" t="s">
        <v>44</v>
      </c>
      <c r="J12" s="3"/>
      <c r="K12" s="3"/>
      <c r="L12" s="3"/>
      <c r="M12" s="3"/>
      <c r="N12" s="3"/>
      <c r="O12" s="3">
        <v>3</v>
      </c>
      <c r="P12" s="3"/>
      <c r="Q12" s="5">
        <v>5.7</v>
      </c>
      <c r="R12" s="6">
        <f t="shared" si="0"/>
        <v>5.7</v>
      </c>
      <c r="S12" s="5"/>
      <c r="T12" s="7" t="e">
        <f>$A12*S12*#REF!</f>
        <v>#REF!</v>
      </c>
    </row>
    <row r="13" spans="1:20" x14ac:dyDescent="0.3">
      <c r="A13" s="15">
        <v>1</v>
      </c>
      <c r="B13" s="3" t="s">
        <v>42</v>
      </c>
      <c r="C13" s="3"/>
      <c r="D13" s="3" t="s">
        <v>144</v>
      </c>
      <c r="E13" s="3" t="s">
        <v>124</v>
      </c>
      <c r="F13" s="4" t="s">
        <v>145</v>
      </c>
      <c r="G13" s="3" t="s">
        <v>43</v>
      </c>
      <c r="H13" s="3">
        <v>415</v>
      </c>
      <c r="I13" s="5" t="s">
        <v>44</v>
      </c>
      <c r="J13" s="3"/>
      <c r="K13" s="3"/>
      <c r="L13" s="3"/>
      <c r="M13" s="3"/>
      <c r="N13" s="3"/>
      <c r="O13" s="3">
        <v>3</v>
      </c>
      <c r="P13" s="3"/>
      <c r="Q13" s="5">
        <v>7.4</v>
      </c>
      <c r="R13" s="6">
        <f t="shared" si="0"/>
        <v>7.4</v>
      </c>
      <c r="S13" s="5"/>
      <c r="T13" s="7" t="e">
        <f>$A13*S13*#REF!</f>
        <v>#REF!</v>
      </c>
    </row>
    <row r="14" spans="1:20" x14ac:dyDescent="0.3">
      <c r="A14" s="3">
        <v>1</v>
      </c>
      <c r="B14" s="3" t="s">
        <v>42</v>
      </c>
      <c r="C14" s="3"/>
      <c r="D14" s="3" t="s">
        <v>146</v>
      </c>
      <c r="E14" s="3" t="s">
        <v>124</v>
      </c>
      <c r="F14" s="4" t="s">
        <v>147</v>
      </c>
      <c r="G14" s="3" t="s">
        <v>43</v>
      </c>
      <c r="H14" s="3">
        <v>415</v>
      </c>
      <c r="I14" s="5" t="s">
        <v>44</v>
      </c>
      <c r="J14" s="3"/>
      <c r="K14" s="3"/>
      <c r="L14" s="3"/>
      <c r="M14" s="3"/>
      <c r="N14" s="3"/>
      <c r="O14" s="3">
        <v>3</v>
      </c>
      <c r="P14" s="3"/>
      <c r="Q14" s="5">
        <v>0.98</v>
      </c>
      <c r="R14" s="6">
        <f t="shared" si="0"/>
        <v>0.98</v>
      </c>
      <c r="S14" s="5"/>
      <c r="T14" s="7" t="e">
        <f>$A14*S14*#REF!</f>
        <v>#REF!</v>
      </c>
    </row>
    <row r="15" spans="1:20" x14ac:dyDescent="0.3">
      <c r="A15" s="15">
        <v>1</v>
      </c>
      <c r="B15" s="3" t="s">
        <v>42</v>
      </c>
      <c r="C15" s="3"/>
      <c r="D15" s="3" t="s">
        <v>148</v>
      </c>
      <c r="E15" s="3" t="s">
        <v>124</v>
      </c>
      <c r="F15" s="4" t="s">
        <v>149</v>
      </c>
      <c r="G15" s="3" t="s">
        <v>43</v>
      </c>
      <c r="H15" s="3">
        <v>415</v>
      </c>
      <c r="I15" s="5" t="s">
        <v>44</v>
      </c>
      <c r="J15" s="3"/>
      <c r="K15" s="3"/>
      <c r="L15" s="3"/>
      <c r="M15" s="3"/>
      <c r="N15" s="3"/>
      <c r="O15" s="3">
        <v>3</v>
      </c>
      <c r="P15" s="3"/>
      <c r="Q15" s="5">
        <v>0.98</v>
      </c>
      <c r="R15" s="6">
        <f t="shared" si="0"/>
        <v>0.98</v>
      </c>
      <c r="S15" s="5"/>
      <c r="T15" s="7" t="e">
        <f>$A15*S15*#REF!</f>
        <v>#REF!</v>
      </c>
    </row>
    <row r="16" spans="1:20" x14ac:dyDescent="0.3">
      <c r="A16" s="15">
        <v>3</v>
      </c>
      <c r="B16" s="3" t="s">
        <v>42</v>
      </c>
      <c r="C16" s="3"/>
      <c r="D16" s="3" t="s">
        <v>150</v>
      </c>
      <c r="E16" s="3" t="s">
        <v>124</v>
      </c>
      <c r="F16" s="4" t="s">
        <v>151</v>
      </c>
      <c r="G16" s="3" t="s">
        <v>43</v>
      </c>
      <c r="H16" s="3">
        <v>415</v>
      </c>
      <c r="I16" s="5" t="s">
        <v>44</v>
      </c>
      <c r="J16" s="3"/>
      <c r="K16" s="3"/>
      <c r="L16" s="3"/>
      <c r="M16" s="3"/>
      <c r="N16" s="3"/>
      <c r="O16" s="3">
        <v>3</v>
      </c>
      <c r="P16" s="3"/>
      <c r="Q16" s="5">
        <v>0.98</v>
      </c>
      <c r="R16" s="6">
        <f t="shared" si="0"/>
        <v>2.94</v>
      </c>
      <c r="S16" s="5"/>
      <c r="T16" s="7" t="e">
        <f>$A16*S16*#REF!</f>
        <v>#REF!</v>
      </c>
    </row>
    <row r="17" spans="1:20" x14ac:dyDescent="0.3">
      <c r="A17" s="15">
        <v>0</v>
      </c>
      <c r="B17" s="3" t="s">
        <v>42</v>
      </c>
      <c r="C17" s="3"/>
      <c r="D17" s="3" t="s">
        <v>152</v>
      </c>
      <c r="E17" s="3" t="s">
        <v>124</v>
      </c>
      <c r="F17" s="4" t="s">
        <v>153</v>
      </c>
      <c r="G17" s="3" t="s">
        <v>43</v>
      </c>
      <c r="H17" s="3">
        <v>415</v>
      </c>
      <c r="I17" s="5" t="s">
        <v>44</v>
      </c>
      <c r="J17" s="3"/>
      <c r="K17" s="3"/>
      <c r="L17" s="3"/>
      <c r="M17" s="3"/>
      <c r="N17" s="3"/>
      <c r="O17" s="3">
        <v>3</v>
      </c>
      <c r="P17" s="3"/>
      <c r="Q17" s="5">
        <v>24.4</v>
      </c>
      <c r="R17" s="6">
        <f t="shared" si="0"/>
        <v>0</v>
      </c>
      <c r="S17" s="5"/>
      <c r="T17" s="7" t="e">
        <f>$A17*S17*#REF!</f>
        <v>#REF!</v>
      </c>
    </row>
    <row r="18" spans="1:20" x14ac:dyDescent="0.3">
      <c r="A18" s="21">
        <f>A14+A15+A16</f>
        <v>5</v>
      </c>
      <c r="B18" s="3" t="s">
        <v>42</v>
      </c>
      <c r="C18" s="3"/>
      <c r="D18" s="3" t="s">
        <v>154</v>
      </c>
      <c r="E18" s="3" t="s">
        <v>124</v>
      </c>
      <c r="F18" s="4" t="s">
        <v>155</v>
      </c>
      <c r="G18" s="3" t="s">
        <v>43</v>
      </c>
      <c r="H18" s="3">
        <v>415</v>
      </c>
      <c r="I18" s="5" t="s">
        <v>44</v>
      </c>
      <c r="J18" s="3"/>
      <c r="K18" s="3"/>
      <c r="L18" s="3"/>
      <c r="M18" s="3"/>
      <c r="N18" s="3"/>
      <c r="O18" s="3">
        <v>3</v>
      </c>
      <c r="P18" s="3"/>
      <c r="Q18" s="5">
        <v>2.42</v>
      </c>
      <c r="R18" s="6">
        <f t="shared" si="0"/>
        <v>12.1</v>
      </c>
      <c r="S18" s="5"/>
      <c r="T18" s="7" t="e">
        <f>$A18*S18*#REF!</f>
        <v>#REF!</v>
      </c>
    </row>
    <row r="19" spans="1:20" x14ac:dyDescent="0.3">
      <c r="A19" s="15">
        <v>1</v>
      </c>
      <c r="B19" s="3" t="s">
        <v>42</v>
      </c>
      <c r="C19" s="3"/>
      <c r="D19" s="3" t="s">
        <v>156</v>
      </c>
      <c r="E19" s="3" t="s">
        <v>124</v>
      </c>
      <c r="F19" s="4" t="s">
        <v>157</v>
      </c>
      <c r="G19" s="3" t="s">
        <v>43</v>
      </c>
      <c r="H19" s="3">
        <v>415</v>
      </c>
      <c r="I19" s="5" t="s">
        <v>44</v>
      </c>
      <c r="J19" s="3"/>
      <c r="K19" s="3"/>
      <c r="L19" s="3"/>
      <c r="M19" s="3"/>
      <c r="N19" s="3"/>
      <c r="O19" s="3">
        <v>3</v>
      </c>
      <c r="P19" s="3"/>
      <c r="Q19" s="5">
        <v>30</v>
      </c>
      <c r="R19" s="6">
        <f t="shared" si="0"/>
        <v>30</v>
      </c>
      <c r="S19" s="5"/>
      <c r="T19" s="7" t="e">
        <f>$A19*S19*#REF!</f>
        <v>#REF!</v>
      </c>
    </row>
    <row r="20" spans="1:20" x14ac:dyDescent="0.3">
      <c r="A20" s="15">
        <v>1</v>
      </c>
      <c r="B20" s="3" t="s">
        <v>42</v>
      </c>
      <c r="C20" s="3"/>
      <c r="D20" s="3" t="s">
        <v>158</v>
      </c>
      <c r="E20" s="3" t="s">
        <v>124</v>
      </c>
      <c r="F20" s="4" t="s">
        <v>159</v>
      </c>
      <c r="G20" s="3" t="s">
        <v>43</v>
      </c>
      <c r="H20" s="3">
        <v>415</v>
      </c>
      <c r="I20" s="5" t="s">
        <v>44</v>
      </c>
      <c r="J20" s="3"/>
      <c r="K20" s="3"/>
      <c r="L20" s="3"/>
      <c r="M20" s="3"/>
      <c r="N20" s="3"/>
      <c r="O20" s="3">
        <v>3</v>
      </c>
      <c r="P20" s="3"/>
      <c r="Q20" s="5">
        <v>7</v>
      </c>
      <c r="R20" s="6">
        <f t="shared" si="0"/>
        <v>7</v>
      </c>
      <c r="S20" s="5"/>
      <c r="T20" s="7" t="e">
        <f>$A20*S20*#REF!</f>
        <v>#REF!</v>
      </c>
    </row>
    <row r="21" spans="1:20" x14ac:dyDescent="0.3">
      <c r="A21" s="15">
        <v>1</v>
      </c>
      <c r="B21" s="3" t="s">
        <v>42</v>
      </c>
      <c r="C21" s="3"/>
      <c r="D21" s="3" t="s">
        <v>160</v>
      </c>
      <c r="E21" s="3" t="s">
        <v>161</v>
      </c>
      <c r="F21" s="4"/>
      <c r="G21" s="3" t="s">
        <v>43</v>
      </c>
      <c r="H21" s="3">
        <v>415</v>
      </c>
      <c r="I21" s="5" t="s">
        <v>44</v>
      </c>
      <c r="J21" s="3"/>
      <c r="K21" s="3"/>
      <c r="L21" s="3"/>
      <c r="M21" s="3"/>
      <c r="N21" s="3"/>
      <c r="O21" s="3">
        <v>3</v>
      </c>
      <c r="P21" s="3"/>
      <c r="Q21" s="5">
        <v>50</v>
      </c>
      <c r="R21" s="6">
        <f t="shared" si="0"/>
        <v>50</v>
      </c>
      <c r="S21" s="5"/>
      <c r="T21" s="7" t="e">
        <f>$A21*S21*#REF!</f>
        <v>#REF!</v>
      </c>
    </row>
    <row r="22" spans="1:20" x14ac:dyDescent="0.3">
      <c r="A22" s="15">
        <v>1</v>
      </c>
      <c r="B22" s="3" t="s">
        <v>42</v>
      </c>
      <c r="C22" s="3"/>
      <c r="D22" s="3" t="s">
        <v>118</v>
      </c>
      <c r="E22" s="3" t="s">
        <v>162</v>
      </c>
      <c r="F22" s="4"/>
      <c r="G22" s="3" t="s">
        <v>43</v>
      </c>
      <c r="H22" s="3">
        <v>420</v>
      </c>
      <c r="I22" s="5" t="s">
        <v>44</v>
      </c>
      <c r="J22" s="3"/>
      <c r="K22" s="3"/>
      <c r="L22" s="3"/>
      <c r="M22" s="3"/>
      <c r="N22" s="3"/>
      <c r="O22" s="3">
        <v>3</v>
      </c>
      <c r="P22" s="3"/>
      <c r="Q22" s="5">
        <v>250</v>
      </c>
      <c r="R22" s="6">
        <f t="shared" si="0"/>
        <v>250</v>
      </c>
      <c r="S22" s="5"/>
      <c r="T22" s="7" t="e">
        <f>$A22*S22*#REF!</f>
        <v>#REF!</v>
      </c>
    </row>
    <row r="25" spans="1:20" x14ac:dyDescent="0.3">
      <c r="A25" s="12"/>
      <c r="B25" s="17"/>
      <c r="C25" s="12"/>
      <c r="D25" s="13" t="s">
        <v>163</v>
      </c>
      <c r="E25" s="16"/>
      <c r="F25" s="4"/>
      <c r="G25" s="18"/>
      <c r="H25" s="4"/>
      <c r="I25" s="14"/>
      <c r="J25" s="4"/>
      <c r="K25" s="4" t="s">
        <v>122</v>
      </c>
      <c r="L25" s="4"/>
      <c r="M25" s="4"/>
      <c r="N25" s="4"/>
      <c r="O25" s="4"/>
      <c r="P25" s="4"/>
      <c r="Q25" s="15"/>
      <c r="R25" s="19"/>
      <c r="S25" s="20"/>
      <c r="T25" s="4"/>
    </row>
    <row r="26" spans="1:20" x14ac:dyDescent="0.3">
      <c r="A26" s="15"/>
      <c r="B26" s="3"/>
      <c r="C26" s="3"/>
      <c r="D26" s="3"/>
      <c r="E26" s="3"/>
      <c r="F26" s="4"/>
      <c r="G26" s="3"/>
      <c r="H26" s="3"/>
      <c r="I26" s="5"/>
      <c r="J26" s="3"/>
      <c r="K26" s="3"/>
      <c r="L26" s="3"/>
      <c r="M26" s="3"/>
      <c r="N26" s="3"/>
      <c r="O26" s="3"/>
      <c r="P26" s="3"/>
      <c r="Q26" s="5"/>
      <c r="R26" s="6">
        <f t="shared" ref="R26:R47" si="1">$A26*Q26</f>
        <v>0</v>
      </c>
      <c r="S26" s="5"/>
      <c r="T26" s="7">
        <f t="shared" ref="T26:T47" si="2">$A26*S26*$T$1</f>
        <v>0</v>
      </c>
    </row>
    <row r="27" spans="1:20" x14ac:dyDescent="0.3">
      <c r="A27" s="15">
        <v>1</v>
      </c>
      <c r="B27" s="3" t="s">
        <v>42</v>
      </c>
      <c r="C27" s="3"/>
      <c r="D27" s="3" t="s">
        <v>123</v>
      </c>
      <c r="E27" s="3" t="s">
        <v>124</v>
      </c>
      <c r="F27" s="4" t="s">
        <v>125</v>
      </c>
      <c r="G27" s="3" t="s">
        <v>43</v>
      </c>
      <c r="H27" s="3">
        <v>415</v>
      </c>
      <c r="I27" s="5" t="s">
        <v>44</v>
      </c>
      <c r="J27" s="3"/>
      <c r="K27" s="3"/>
      <c r="L27" s="3"/>
      <c r="M27" s="3"/>
      <c r="N27" s="3"/>
      <c r="O27" s="3">
        <v>3</v>
      </c>
      <c r="P27" s="3"/>
      <c r="Q27" s="5">
        <v>80.91</v>
      </c>
      <c r="R27" s="6">
        <f t="shared" si="1"/>
        <v>80.91</v>
      </c>
      <c r="S27" s="5"/>
      <c r="T27" s="7">
        <f t="shared" si="2"/>
        <v>0</v>
      </c>
    </row>
    <row r="28" spans="1:20" x14ac:dyDescent="0.3">
      <c r="A28" s="15">
        <v>1</v>
      </c>
      <c r="B28" s="3" t="s">
        <v>42</v>
      </c>
      <c r="C28" s="3"/>
      <c r="D28" s="3" t="s">
        <v>126</v>
      </c>
      <c r="E28" s="3" t="s">
        <v>124</v>
      </c>
      <c r="F28" s="4" t="s">
        <v>127</v>
      </c>
      <c r="G28" s="3" t="s">
        <v>43</v>
      </c>
      <c r="H28" s="3">
        <v>415</v>
      </c>
      <c r="I28" s="5" t="s">
        <v>44</v>
      </c>
      <c r="J28" s="3"/>
      <c r="K28" s="3"/>
      <c r="L28" s="3"/>
      <c r="M28" s="3"/>
      <c r="N28" s="3"/>
      <c r="O28" s="3">
        <v>3</v>
      </c>
      <c r="P28" s="3"/>
      <c r="Q28" s="5">
        <v>3.43</v>
      </c>
      <c r="R28" s="6">
        <f t="shared" si="1"/>
        <v>3.43</v>
      </c>
      <c r="S28" s="5"/>
      <c r="T28" s="7">
        <f t="shared" si="2"/>
        <v>0</v>
      </c>
    </row>
    <row r="29" spans="1:20" x14ac:dyDescent="0.3">
      <c r="A29" s="15">
        <v>1</v>
      </c>
      <c r="B29" s="3" t="s">
        <v>42</v>
      </c>
      <c r="C29" s="3"/>
      <c r="D29" s="3" t="s">
        <v>128</v>
      </c>
      <c r="E29" s="3" t="s">
        <v>124</v>
      </c>
      <c r="F29" s="4" t="s">
        <v>129</v>
      </c>
      <c r="G29" s="3" t="s">
        <v>43</v>
      </c>
      <c r="H29" s="3">
        <v>415</v>
      </c>
      <c r="I29" s="5" t="s">
        <v>44</v>
      </c>
      <c r="J29" s="3"/>
      <c r="K29" s="3"/>
      <c r="L29" s="3"/>
      <c r="M29" s="3"/>
      <c r="N29" s="3"/>
      <c r="O29" s="3">
        <v>3</v>
      </c>
      <c r="P29" s="3"/>
      <c r="Q29" s="5">
        <v>2.5499999999999998</v>
      </c>
      <c r="R29" s="6">
        <f t="shared" si="1"/>
        <v>2.5499999999999998</v>
      </c>
      <c r="S29" s="5"/>
      <c r="T29" s="7">
        <f>$A29*S29*$T$1</f>
        <v>0</v>
      </c>
    </row>
    <row r="30" spans="1:20" x14ac:dyDescent="0.3">
      <c r="A30" s="15">
        <v>1</v>
      </c>
      <c r="B30" s="3" t="s">
        <v>42</v>
      </c>
      <c r="C30" s="3"/>
      <c r="D30" s="3" t="s">
        <v>130</v>
      </c>
      <c r="E30" s="3" t="s">
        <v>124</v>
      </c>
      <c r="F30" s="4" t="s">
        <v>131</v>
      </c>
      <c r="G30" s="3" t="s">
        <v>43</v>
      </c>
      <c r="H30" s="3">
        <v>415</v>
      </c>
      <c r="I30" s="5" t="s">
        <v>44</v>
      </c>
      <c r="J30" s="3"/>
      <c r="K30" s="3"/>
      <c r="L30" s="3"/>
      <c r="M30" s="3"/>
      <c r="N30" s="3"/>
      <c r="O30" s="3">
        <v>3</v>
      </c>
      <c r="P30" s="3"/>
      <c r="Q30" s="5">
        <v>8</v>
      </c>
      <c r="R30" s="6">
        <f t="shared" si="1"/>
        <v>8</v>
      </c>
      <c r="S30" s="5"/>
      <c r="T30" s="7">
        <f t="shared" si="2"/>
        <v>0</v>
      </c>
    </row>
    <row r="31" spans="1:20" x14ac:dyDescent="0.3">
      <c r="A31" s="15">
        <v>1</v>
      </c>
      <c r="B31" s="3" t="s">
        <v>42</v>
      </c>
      <c r="C31" s="3"/>
      <c r="D31" s="3" t="s">
        <v>132</v>
      </c>
      <c r="E31" s="3" t="s">
        <v>124</v>
      </c>
      <c r="F31" s="4" t="s">
        <v>133</v>
      </c>
      <c r="G31" s="3" t="s">
        <v>43</v>
      </c>
      <c r="H31" s="3">
        <v>415</v>
      </c>
      <c r="I31" s="5" t="s">
        <v>44</v>
      </c>
      <c r="J31" s="3"/>
      <c r="K31" s="3"/>
      <c r="L31" s="3"/>
      <c r="M31" s="3"/>
      <c r="N31" s="3"/>
      <c r="O31" s="3">
        <v>3</v>
      </c>
      <c r="P31" s="3"/>
      <c r="Q31" s="5">
        <v>9.5500000000000007</v>
      </c>
      <c r="R31" s="6">
        <f t="shared" si="1"/>
        <v>9.5500000000000007</v>
      </c>
      <c r="S31" s="5"/>
      <c r="T31" s="7">
        <f t="shared" si="2"/>
        <v>0</v>
      </c>
    </row>
    <row r="32" spans="1:20" x14ac:dyDescent="0.3">
      <c r="A32" s="3">
        <v>2</v>
      </c>
      <c r="B32" s="3" t="s">
        <v>42</v>
      </c>
      <c r="C32" s="3"/>
      <c r="D32" s="3" t="s">
        <v>134</v>
      </c>
      <c r="E32" s="3" t="s">
        <v>124</v>
      </c>
      <c r="F32" s="4" t="s">
        <v>135</v>
      </c>
      <c r="G32" s="3" t="s">
        <v>43</v>
      </c>
      <c r="H32" s="3">
        <v>415</v>
      </c>
      <c r="I32" s="5" t="s">
        <v>44</v>
      </c>
      <c r="J32" s="3"/>
      <c r="K32" s="3"/>
      <c r="L32" s="3"/>
      <c r="M32" s="3"/>
      <c r="N32" s="3"/>
      <c r="O32" s="3">
        <v>3</v>
      </c>
      <c r="P32" s="3"/>
      <c r="Q32" s="5">
        <v>1.25</v>
      </c>
      <c r="R32" s="6">
        <f t="shared" si="1"/>
        <v>2.5</v>
      </c>
      <c r="S32" s="5"/>
      <c r="T32" s="7">
        <f t="shared" si="2"/>
        <v>0</v>
      </c>
    </row>
    <row r="33" spans="1:20" x14ac:dyDescent="0.3">
      <c r="A33" s="3">
        <v>2</v>
      </c>
      <c r="B33" s="3" t="s">
        <v>42</v>
      </c>
      <c r="C33" s="3"/>
      <c r="D33" s="3" t="s">
        <v>136</v>
      </c>
      <c r="E33" s="3" t="s">
        <v>124</v>
      </c>
      <c r="F33" s="4" t="s">
        <v>137</v>
      </c>
      <c r="G33" s="3" t="s">
        <v>43</v>
      </c>
      <c r="H33" s="3">
        <v>415</v>
      </c>
      <c r="I33" s="5" t="s">
        <v>44</v>
      </c>
      <c r="J33" s="3"/>
      <c r="K33" s="3"/>
      <c r="L33" s="3"/>
      <c r="M33" s="3"/>
      <c r="N33" s="3"/>
      <c r="O33" s="3">
        <v>3</v>
      </c>
      <c r="P33" s="3"/>
      <c r="Q33" s="5">
        <v>9.4E-2</v>
      </c>
      <c r="R33" s="6">
        <f t="shared" si="1"/>
        <v>0.188</v>
      </c>
      <c r="S33" s="5"/>
      <c r="T33" s="7">
        <f t="shared" si="2"/>
        <v>0</v>
      </c>
    </row>
    <row r="34" spans="1:20" x14ac:dyDescent="0.3">
      <c r="A34" s="15">
        <v>1</v>
      </c>
      <c r="B34" s="3" t="s">
        <v>42</v>
      </c>
      <c r="C34" s="3"/>
      <c r="D34" s="3" t="s">
        <v>138</v>
      </c>
      <c r="E34" s="3" t="s">
        <v>124</v>
      </c>
      <c r="F34" s="4" t="s">
        <v>139</v>
      </c>
      <c r="G34" s="3" t="s">
        <v>43</v>
      </c>
      <c r="H34" s="3">
        <v>415</v>
      </c>
      <c r="I34" s="5" t="s">
        <v>44</v>
      </c>
      <c r="J34" s="3"/>
      <c r="K34" s="3"/>
      <c r="L34" s="3"/>
      <c r="M34" s="3"/>
      <c r="N34" s="3"/>
      <c r="O34" s="3">
        <v>3</v>
      </c>
      <c r="P34" s="3"/>
      <c r="Q34" s="5">
        <v>16.91</v>
      </c>
      <c r="R34" s="6">
        <f t="shared" si="1"/>
        <v>16.91</v>
      </c>
      <c r="S34" s="5"/>
      <c r="T34" s="7">
        <f t="shared" si="2"/>
        <v>0</v>
      </c>
    </row>
    <row r="35" spans="1:20" x14ac:dyDescent="0.3">
      <c r="A35" s="15">
        <v>1</v>
      </c>
      <c r="B35" s="3" t="s">
        <v>42</v>
      </c>
      <c r="C35" s="3"/>
      <c r="D35" s="3" t="s">
        <v>140</v>
      </c>
      <c r="E35" s="3" t="s">
        <v>124</v>
      </c>
      <c r="F35" s="4" t="s">
        <v>141</v>
      </c>
      <c r="G35" s="3" t="s">
        <v>43</v>
      </c>
      <c r="H35" s="3">
        <v>415</v>
      </c>
      <c r="I35" s="5" t="s">
        <v>44</v>
      </c>
      <c r="J35" s="3"/>
      <c r="K35" s="3"/>
      <c r="L35" s="3"/>
      <c r="M35" s="3"/>
      <c r="N35" s="3"/>
      <c r="O35" s="3">
        <v>3</v>
      </c>
      <c r="P35" s="3"/>
      <c r="Q35" s="5">
        <v>5.57</v>
      </c>
      <c r="R35" s="6">
        <f t="shared" si="1"/>
        <v>5.57</v>
      </c>
      <c r="S35" s="5"/>
      <c r="T35" s="7">
        <f t="shared" si="2"/>
        <v>0</v>
      </c>
    </row>
    <row r="36" spans="1:20" x14ac:dyDescent="0.3">
      <c r="A36" s="15">
        <v>1</v>
      </c>
      <c r="B36" s="3" t="s">
        <v>42</v>
      </c>
      <c r="C36" s="3"/>
      <c r="D36" s="3" t="s">
        <v>142</v>
      </c>
      <c r="E36" s="3" t="s">
        <v>124</v>
      </c>
      <c r="F36" s="4" t="s">
        <v>143</v>
      </c>
      <c r="G36" s="3" t="s">
        <v>43</v>
      </c>
      <c r="H36" s="3">
        <v>415</v>
      </c>
      <c r="I36" s="5" t="s">
        <v>44</v>
      </c>
      <c r="J36" s="3"/>
      <c r="K36" s="3"/>
      <c r="L36" s="3"/>
      <c r="M36" s="3"/>
      <c r="N36" s="3"/>
      <c r="O36" s="3">
        <v>3</v>
      </c>
      <c r="P36" s="3"/>
      <c r="Q36" s="5">
        <v>5.7</v>
      </c>
      <c r="R36" s="6">
        <f t="shared" si="1"/>
        <v>5.7</v>
      </c>
      <c r="S36" s="5"/>
      <c r="T36" s="7">
        <f t="shared" si="2"/>
        <v>0</v>
      </c>
    </row>
    <row r="37" spans="1:20" x14ac:dyDescent="0.3">
      <c r="A37" s="15">
        <v>1</v>
      </c>
      <c r="B37" s="3" t="s">
        <v>42</v>
      </c>
      <c r="C37" s="3"/>
      <c r="D37" s="3" t="s">
        <v>144</v>
      </c>
      <c r="E37" s="3" t="s">
        <v>124</v>
      </c>
      <c r="F37" s="4" t="s">
        <v>145</v>
      </c>
      <c r="G37" s="3" t="s">
        <v>43</v>
      </c>
      <c r="H37" s="3">
        <v>415</v>
      </c>
      <c r="I37" s="5" t="s">
        <v>44</v>
      </c>
      <c r="J37" s="3"/>
      <c r="K37" s="3"/>
      <c r="L37" s="3"/>
      <c r="M37" s="3"/>
      <c r="N37" s="3"/>
      <c r="O37" s="3">
        <v>3</v>
      </c>
      <c r="P37" s="3"/>
      <c r="Q37" s="5">
        <v>7.4</v>
      </c>
      <c r="R37" s="6">
        <f t="shared" si="1"/>
        <v>7.4</v>
      </c>
      <c r="S37" s="5"/>
      <c r="T37" s="7">
        <f t="shared" si="2"/>
        <v>0</v>
      </c>
    </row>
    <row r="38" spans="1:20" x14ac:dyDescent="0.3">
      <c r="A38" s="3">
        <v>1</v>
      </c>
      <c r="B38" s="3" t="s">
        <v>42</v>
      </c>
      <c r="C38" s="3"/>
      <c r="D38" s="3" t="s">
        <v>146</v>
      </c>
      <c r="E38" s="3" t="s">
        <v>124</v>
      </c>
      <c r="F38" s="4" t="s">
        <v>147</v>
      </c>
      <c r="G38" s="3" t="s">
        <v>43</v>
      </c>
      <c r="H38" s="3">
        <v>415</v>
      </c>
      <c r="I38" s="5" t="s">
        <v>44</v>
      </c>
      <c r="J38" s="3"/>
      <c r="K38" s="3"/>
      <c r="L38" s="3"/>
      <c r="M38" s="3"/>
      <c r="N38" s="3"/>
      <c r="O38" s="3">
        <v>3</v>
      </c>
      <c r="P38" s="3"/>
      <c r="Q38" s="5">
        <v>0.98</v>
      </c>
      <c r="R38" s="6">
        <f t="shared" si="1"/>
        <v>0.98</v>
      </c>
      <c r="S38" s="5"/>
      <c r="T38" s="7">
        <f t="shared" si="2"/>
        <v>0</v>
      </c>
    </row>
    <row r="39" spans="1:20" x14ac:dyDescent="0.3">
      <c r="A39" s="15">
        <v>1</v>
      </c>
      <c r="B39" s="3" t="s">
        <v>42</v>
      </c>
      <c r="C39" s="3"/>
      <c r="D39" s="3" t="s">
        <v>148</v>
      </c>
      <c r="E39" s="3" t="s">
        <v>124</v>
      </c>
      <c r="F39" s="4" t="s">
        <v>149</v>
      </c>
      <c r="G39" s="3" t="s">
        <v>43</v>
      </c>
      <c r="H39" s="3">
        <v>415</v>
      </c>
      <c r="I39" s="5" t="s">
        <v>44</v>
      </c>
      <c r="J39" s="3"/>
      <c r="K39" s="3"/>
      <c r="L39" s="3"/>
      <c r="M39" s="3"/>
      <c r="N39" s="3"/>
      <c r="O39" s="3">
        <v>3</v>
      </c>
      <c r="P39" s="3"/>
      <c r="Q39" s="5">
        <v>0.98</v>
      </c>
      <c r="R39" s="6">
        <f t="shared" si="1"/>
        <v>0.98</v>
      </c>
      <c r="S39" s="5"/>
      <c r="T39" s="7">
        <f t="shared" si="2"/>
        <v>0</v>
      </c>
    </row>
    <row r="40" spans="1:20" x14ac:dyDescent="0.3">
      <c r="A40" s="15">
        <v>3</v>
      </c>
      <c r="B40" s="3" t="s">
        <v>42</v>
      </c>
      <c r="C40" s="3"/>
      <c r="D40" s="3" t="s">
        <v>150</v>
      </c>
      <c r="E40" s="3" t="s">
        <v>124</v>
      </c>
      <c r="F40" s="4" t="s">
        <v>151</v>
      </c>
      <c r="G40" s="3" t="s">
        <v>43</v>
      </c>
      <c r="H40" s="3">
        <v>415</v>
      </c>
      <c r="I40" s="5" t="s">
        <v>44</v>
      </c>
      <c r="J40" s="3"/>
      <c r="K40" s="3"/>
      <c r="L40" s="3"/>
      <c r="M40" s="3"/>
      <c r="N40" s="3"/>
      <c r="O40" s="3">
        <v>3</v>
      </c>
      <c r="P40" s="3"/>
      <c r="Q40" s="5">
        <v>0.98</v>
      </c>
      <c r="R40" s="6">
        <f t="shared" si="1"/>
        <v>2.94</v>
      </c>
      <c r="S40" s="5"/>
      <c r="T40" s="7">
        <f t="shared" si="2"/>
        <v>0</v>
      </c>
    </row>
    <row r="41" spans="1:20" x14ac:dyDescent="0.3">
      <c r="A41" s="15">
        <v>0</v>
      </c>
      <c r="B41" s="3" t="s">
        <v>42</v>
      </c>
      <c r="C41" s="3"/>
      <c r="D41" s="3" t="s">
        <v>152</v>
      </c>
      <c r="E41" s="3" t="s">
        <v>124</v>
      </c>
      <c r="F41" s="4" t="s">
        <v>153</v>
      </c>
      <c r="G41" s="3" t="s">
        <v>43</v>
      </c>
      <c r="H41" s="3">
        <v>415</v>
      </c>
      <c r="I41" s="5" t="s">
        <v>44</v>
      </c>
      <c r="J41" s="3"/>
      <c r="K41" s="3"/>
      <c r="L41" s="3"/>
      <c r="M41" s="3"/>
      <c r="N41" s="3"/>
      <c r="O41" s="3">
        <v>3</v>
      </c>
      <c r="P41" s="3"/>
      <c r="Q41" s="5">
        <v>24.4</v>
      </c>
      <c r="R41" s="6">
        <f t="shared" si="1"/>
        <v>0</v>
      </c>
      <c r="S41" s="5"/>
      <c r="T41" s="7">
        <f t="shared" si="2"/>
        <v>0</v>
      </c>
    </row>
    <row r="42" spans="1:20" x14ac:dyDescent="0.3">
      <c r="A42" s="21">
        <f>A38+A39+A40</f>
        <v>5</v>
      </c>
      <c r="B42" s="3" t="s">
        <v>42</v>
      </c>
      <c r="C42" s="3"/>
      <c r="D42" s="3" t="s">
        <v>154</v>
      </c>
      <c r="E42" s="3" t="s">
        <v>124</v>
      </c>
      <c r="F42" s="4" t="s">
        <v>155</v>
      </c>
      <c r="G42" s="3" t="s">
        <v>43</v>
      </c>
      <c r="H42" s="3">
        <v>415</v>
      </c>
      <c r="I42" s="5" t="s">
        <v>44</v>
      </c>
      <c r="J42" s="3"/>
      <c r="K42" s="3"/>
      <c r="L42" s="3"/>
      <c r="M42" s="3"/>
      <c r="N42" s="3"/>
      <c r="O42" s="3">
        <v>3</v>
      </c>
      <c r="P42" s="3"/>
      <c r="Q42" s="5">
        <v>2.42</v>
      </c>
      <c r="R42" s="6">
        <f t="shared" si="1"/>
        <v>12.1</v>
      </c>
      <c r="S42" s="5"/>
      <c r="T42" s="7">
        <f t="shared" si="2"/>
        <v>0</v>
      </c>
    </row>
    <row r="43" spans="1:20" x14ac:dyDescent="0.3">
      <c r="A43" s="15">
        <v>1</v>
      </c>
      <c r="B43" s="3" t="s">
        <v>42</v>
      </c>
      <c r="C43" s="3"/>
      <c r="D43" s="3" t="s">
        <v>156</v>
      </c>
      <c r="E43" s="3" t="s">
        <v>124</v>
      </c>
      <c r="F43" s="4" t="s">
        <v>157</v>
      </c>
      <c r="G43" s="3" t="s">
        <v>43</v>
      </c>
      <c r="H43" s="3">
        <v>415</v>
      </c>
      <c r="I43" s="5" t="s">
        <v>44</v>
      </c>
      <c r="J43" s="3"/>
      <c r="K43" s="3"/>
      <c r="L43" s="3"/>
      <c r="M43" s="3"/>
      <c r="N43" s="3"/>
      <c r="O43" s="3">
        <v>3</v>
      </c>
      <c r="P43" s="3"/>
      <c r="Q43" s="5">
        <v>30</v>
      </c>
      <c r="R43" s="6">
        <f t="shared" si="1"/>
        <v>30</v>
      </c>
      <c r="S43" s="5"/>
      <c r="T43" s="7">
        <f t="shared" si="2"/>
        <v>0</v>
      </c>
    </row>
    <row r="44" spans="1:20" x14ac:dyDescent="0.3">
      <c r="A44" s="15">
        <v>1</v>
      </c>
      <c r="B44" s="3" t="s">
        <v>42</v>
      </c>
      <c r="C44" s="3"/>
      <c r="D44" s="22" t="s">
        <v>164</v>
      </c>
      <c r="E44" s="3" t="s">
        <v>165</v>
      </c>
      <c r="F44" s="23"/>
      <c r="G44" s="22"/>
      <c r="H44" s="22"/>
      <c r="I44" s="24"/>
      <c r="J44" s="22"/>
      <c r="K44" s="22"/>
      <c r="L44" s="22"/>
      <c r="M44" s="22"/>
      <c r="N44" s="22"/>
      <c r="O44" s="22"/>
      <c r="P44" s="22"/>
      <c r="Q44" s="24">
        <v>0</v>
      </c>
      <c r="R44" s="6">
        <f t="shared" si="1"/>
        <v>0</v>
      </c>
      <c r="S44" s="5"/>
      <c r="T44" s="7">
        <f t="shared" si="2"/>
        <v>0</v>
      </c>
    </row>
    <row r="45" spans="1:20" x14ac:dyDescent="0.3">
      <c r="A45" s="15">
        <v>1</v>
      </c>
      <c r="B45" s="3" t="s">
        <v>42</v>
      </c>
      <c r="C45" s="3"/>
      <c r="D45" s="3" t="s">
        <v>160</v>
      </c>
      <c r="E45" s="3" t="s">
        <v>161</v>
      </c>
      <c r="F45" s="4"/>
      <c r="G45" s="3" t="s">
        <v>43</v>
      </c>
      <c r="H45" s="3">
        <v>415</v>
      </c>
      <c r="I45" s="5" t="s">
        <v>44</v>
      </c>
      <c r="J45" s="3"/>
      <c r="K45" s="3"/>
      <c r="L45" s="3"/>
      <c r="M45" s="3"/>
      <c r="N45" s="3"/>
      <c r="O45" s="3">
        <v>3</v>
      </c>
      <c r="P45" s="3"/>
      <c r="Q45" s="5">
        <v>50</v>
      </c>
      <c r="R45" s="6">
        <f t="shared" si="1"/>
        <v>50</v>
      </c>
      <c r="S45" s="5"/>
      <c r="T45" s="7">
        <f t="shared" si="2"/>
        <v>0</v>
      </c>
    </row>
    <row r="46" spans="1:20" x14ac:dyDescent="0.3">
      <c r="A46" s="15">
        <v>1</v>
      </c>
      <c r="B46" s="3" t="s">
        <v>42</v>
      </c>
      <c r="C46" s="3"/>
      <c r="D46" s="3" t="s">
        <v>118</v>
      </c>
      <c r="E46" s="3" t="s">
        <v>162</v>
      </c>
      <c r="F46" s="4"/>
      <c r="G46" s="3" t="s">
        <v>43</v>
      </c>
      <c r="H46" s="3">
        <v>420</v>
      </c>
      <c r="I46" s="5" t="s">
        <v>44</v>
      </c>
      <c r="J46" s="3"/>
      <c r="K46" s="3"/>
      <c r="L46" s="3"/>
      <c r="M46" s="3"/>
      <c r="N46" s="3"/>
      <c r="O46" s="3">
        <v>3</v>
      </c>
      <c r="P46" s="3"/>
      <c r="Q46" s="5">
        <v>250</v>
      </c>
      <c r="R46" s="6">
        <f t="shared" si="1"/>
        <v>250</v>
      </c>
      <c r="S46" s="5"/>
      <c r="T46" s="7">
        <f t="shared" si="2"/>
        <v>0</v>
      </c>
    </row>
    <row r="47" spans="1:20" x14ac:dyDescent="0.3">
      <c r="A47" s="25">
        <f>$Q$147 *(1)</f>
        <v>2.5499999999999998</v>
      </c>
      <c r="B47" s="3" t="s">
        <v>42</v>
      </c>
      <c r="C47" s="3"/>
      <c r="D47" s="3" t="s">
        <v>166</v>
      </c>
      <c r="E47" s="3" t="s">
        <v>167</v>
      </c>
      <c r="F47" s="4"/>
      <c r="G47" s="3" t="s">
        <v>43</v>
      </c>
      <c r="H47" s="3">
        <v>420</v>
      </c>
      <c r="I47" s="5" t="s">
        <v>44</v>
      </c>
      <c r="J47" s="3"/>
      <c r="K47" s="3"/>
      <c r="L47" s="3"/>
      <c r="M47" s="3"/>
      <c r="N47" s="3"/>
      <c r="O47" s="3">
        <v>3</v>
      </c>
      <c r="P47" s="3"/>
      <c r="Q47" s="5">
        <v>0</v>
      </c>
      <c r="R47" s="6">
        <f t="shared" si="1"/>
        <v>0</v>
      </c>
      <c r="S47" s="5">
        <v>1</v>
      </c>
      <c r="T47" s="7">
        <f t="shared" si="2"/>
        <v>0</v>
      </c>
    </row>
    <row r="49" spans="1:20" x14ac:dyDescent="0.3">
      <c r="A49" s="12"/>
      <c r="B49" s="17"/>
      <c r="C49" s="12"/>
      <c r="D49" s="13" t="s">
        <v>168</v>
      </c>
      <c r="E49" s="16"/>
      <c r="F49" s="4"/>
      <c r="G49" s="18"/>
      <c r="H49" s="4"/>
      <c r="I49" s="14"/>
      <c r="J49" s="4"/>
      <c r="K49" s="4" t="s">
        <v>122</v>
      </c>
      <c r="L49" s="4"/>
      <c r="M49" s="4"/>
      <c r="N49" s="4"/>
      <c r="O49" s="4"/>
      <c r="P49" s="4"/>
      <c r="Q49" s="15"/>
      <c r="R49" s="19"/>
      <c r="S49" s="20"/>
      <c r="T49" s="4"/>
    </row>
    <row r="50" spans="1:20" x14ac:dyDescent="0.3">
      <c r="A50" s="15"/>
      <c r="B50" s="3"/>
      <c r="C50" s="3"/>
      <c r="D50" s="3"/>
      <c r="E50" s="3"/>
      <c r="F50" s="4"/>
      <c r="G50" s="3"/>
      <c r="H50" s="3"/>
      <c r="I50" s="5"/>
      <c r="J50" s="3"/>
      <c r="K50" s="3"/>
      <c r="L50" s="3"/>
      <c r="M50" s="3"/>
      <c r="N50" s="3"/>
      <c r="O50" s="3"/>
      <c r="P50" s="3"/>
      <c r="Q50" s="5"/>
      <c r="R50" s="6">
        <f t="shared" ref="R50:R79" si="3">$A50*Q50</f>
        <v>0</v>
      </c>
      <c r="S50" s="5"/>
      <c r="T50" s="7">
        <f t="shared" ref="T50:T79" si="4">$A50*S50*$T$1</f>
        <v>0</v>
      </c>
    </row>
    <row r="51" spans="1:20" x14ac:dyDescent="0.3">
      <c r="A51" s="15">
        <v>4</v>
      </c>
      <c r="B51" s="3" t="s">
        <v>42</v>
      </c>
      <c r="C51" s="3"/>
      <c r="D51" s="3" t="s">
        <v>169</v>
      </c>
      <c r="E51" s="3" t="s">
        <v>170</v>
      </c>
      <c r="F51" s="4" t="s">
        <v>171</v>
      </c>
      <c r="G51" s="3" t="s">
        <v>43</v>
      </c>
      <c r="H51" s="3">
        <v>416</v>
      </c>
      <c r="I51" s="5" t="s">
        <v>44</v>
      </c>
      <c r="J51" s="3"/>
      <c r="K51" s="3"/>
      <c r="L51" s="3"/>
      <c r="M51" s="3"/>
      <c r="N51" s="3"/>
      <c r="O51" s="3">
        <v>3</v>
      </c>
      <c r="P51" s="3"/>
      <c r="Q51" s="5">
        <v>20</v>
      </c>
      <c r="R51" s="6">
        <f t="shared" si="3"/>
        <v>80</v>
      </c>
      <c r="S51" s="5"/>
      <c r="T51" s="7">
        <f t="shared" si="4"/>
        <v>0</v>
      </c>
    </row>
    <row r="52" spans="1:20" x14ac:dyDescent="0.3">
      <c r="A52" s="15">
        <v>2</v>
      </c>
      <c r="B52" s="3" t="s">
        <v>42</v>
      </c>
      <c r="C52" s="3"/>
      <c r="D52" s="3" t="s">
        <v>172</v>
      </c>
      <c r="E52" s="3" t="s">
        <v>170</v>
      </c>
      <c r="F52" s="4" t="s">
        <v>173</v>
      </c>
      <c r="G52" s="3" t="s">
        <v>43</v>
      </c>
      <c r="H52" s="3">
        <v>416</v>
      </c>
      <c r="I52" s="5" t="s">
        <v>44</v>
      </c>
      <c r="J52" s="3"/>
      <c r="K52" s="3"/>
      <c r="L52" s="3"/>
      <c r="M52" s="3"/>
      <c r="N52" s="3"/>
      <c r="O52" s="3">
        <v>3</v>
      </c>
      <c r="P52" s="3"/>
      <c r="Q52" s="5">
        <v>20</v>
      </c>
      <c r="R52" s="6">
        <f t="shared" si="3"/>
        <v>40</v>
      </c>
      <c r="S52" s="5"/>
      <c r="T52" s="7">
        <f t="shared" si="4"/>
        <v>0</v>
      </c>
    </row>
    <row r="53" spans="1:20" x14ac:dyDescent="0.3">
      <c r="A53" s="15">
        <v>1</v>
      </c>
      <c r="B53" s="3" t="s">
        <v>42</v>
      </c>
      <c r="C53" s="3"/>
      <c r="D53" s="3" t="s">
        <v>174</v>
      </c>
      <c r="E53" s="3" t="s">
        <v>175</v>
      </c>
      <c r="F53" s="4" t="s">
        <v>176</v>
      </c>
      <c r="G53" s="3" t="s">
        <v>43</v>
      </c>
      <c r="H53" s="3">
        <v>416</v>
      </c>
      <c r="I53" s="5" t="s">
        <v>44</v>
      </c>
      <c r="J53" s="3"/>
      <c r="K53" s="3"/>
      <c r="L53" s="3"/>
      <c r="M53" s="3"/>
      <c r="N53" s="3"/>
      <c r="O53" s="3">
        <v>3</v>
      </c>
      <c r="P53" s="3"/>
      <c r="Q53" s="5">
        <v>7.16</v>
      </c>
      <c r="R53" s="6">
        <f t="shared" si="3"/>
        <v>7.16</v>
      </c>
      <c r="S53" s="5"/>
      <c r="T53" s="7">
        <f t="shared" si="4"/>
        <v>0</v>
      </c>
    </row>
    <row r="54" spans="1:20" x14ac:dyDescent="0.3">
      <c r="A54" s="15">
        <v>1</v>
      </c>
      <c r="B54" s="3" t="s">
        <v>42</v>
      </c>
      <c r="C54" s="3"/>
      <c r="D54" s="3" t="s">
        <v>177</v>
      </c>
      <c r="E54" s="3" t="s">
        <v>175</v>
      </c>
      <c r="F54" s="4" t="s">
        <v>178</v>
      </c>
      <c r="G54" s="3" t="s">
        <v>43</v>
      </c>
      <c r="H54" s="3">
        <v>416</v>
      </c>
      <c r="I54" s="5" t="s">
        <v>44</v>
      </c>
      <c r="J54" s="3"/>
      <c r="K54" s="3"/>
      <c r="L54" s="3"/>
      <c r="M54" s="3"/>
      <c r="N54" s="3"/>
      <c r="O54" s="3">
        <v>3</v>
      </c>
      <c r="P54" s="3"/>
      <c r="Q54" s="5">
        <v>1.61</v>
      </c>
      <c r="R54" s="6">
        <f t="shared" si="3"/>
        <v>1.61</v>
      </c>
      <c r="S54" s="5"/>
      <c r="T54" s="7">
        <f t="shared" si="4"/>
        <v>0</v>
      </c>
    </row>
    <row r="55" spans="1:20" x14ac:dyDescent="0.3">
      <c r="A55" s="15">
        <v>2</v>
      </c>
      <c r="B55" s="3" t="s">
        <v>42</v>
      </c>
      <c r="C55" s="3"/>
      <c r="D55" s="3" t="s">
        <v>179</v>
      </c>
      <c r="E55" s="3" t="s">
        <v>175</v>
      </c>
      <c r="F55" s="4" t="s">
        <v>180</v>
      </c>
      <c r="G55" s="3" t="s">
        <v>43</v>
      </c>
      <c r="H55" s="3">
        <v>416</v>
      </c>
      <c r="I55" s="5" t="s">
        <v>44</v>
      </c>
      <c r="J55" s="3"/>
      <c r="K55" s="3"/>
      <c r="L55" s="3"/>
      <c r="M55" s="3"/>
      <c r="N55" s="3"/>
      <c r="O55" s="3">
        <v>3</v>
      </c>
      <c r="P55" s="3"/>
      <c r="Q55" s="5">
        <v>1.6</v>
      </c>
      <c r="R55" s="6">
        <f t="shared" si="3"/>
        <v>3.2</v>
      </c>
      <c r="S55" s="5"/>
      <c r="T55" s="7">
        <f t="shared" si="4"/>
        <v>0</v>
      </c>
    </row>
    <row r="56" spans="1:20" x14ac:dyDescent="0.3">
      <c r="A56" s="3">
        <v>1</v>
      </c>
      <c r="B56" s="3" t="s">
        <v>42</v>
      </c>
      <c r="C56" s="3"/>
      <c r="D56" s="3" t="s">
        <v>181</v>
      </c>
      <c r="E56" s="3" t="s">
        <v>175</v>
      </c>
      <c r="F56" s="4" t="s">
        <v>182</v>
      </c>
      <c r="G56" s="3" t="s">
        <v>43</v>
      </c>
      <c r="H56" s="3">
        <v>416</v>
      </c>
      <c r="I56" s="5" t="s">
        <v>44</v>
      </c>
      <c r="J56" s="3"/>
      <c r="K56" s="3"/>
      <c r="L56" s="3"/>
      <c r="M56" s="3"/>
      <c r="N56" s="3"/>
      <c r="O56" s="3">
        <v>3</v>
      </c>
      <c r="P56" s="3"/>
      <c r="Q56" s="5">
        <v>1.69</v>
      </c>
      <c r="R56" s="6">
        <f t="shared" si="3"/>
        <v>1.69</v>
      </c>
      <c r="S56" s="5"/>
      <c r="T56" s="7">
        <f t="shared" si="4"/>
        <v>0</v>
      </c>
    </row>
    <row r="57" spans="1:20" x14ac:dyDescent="0.3">
      <c r="A57" s="15">
        <v>1</v>
      </c>
      <c r="B57" s="3" t="s">
        <v>42</v>
      </c>
      <c r="C57" s="3"/>
      <c r="D57" s="3" t="s">
        <v>156</v>
      </c>
      <c r="E57" s="3" t="s">
        <v>175</v>
      </c>
      <c r="F57" s="4" t="s">
        <v>183</v>
      </c>
      <c r="G57" s="3" t="s">
        <v>43</v>
      </c>
      <c r="H57" s="3">
        <v>416</v>
      </c>
      <c r="I57" s="5" t="s">
        <v>44</v>
      </c>
      <c r="J57" s="3"/>
      <c r="K57" s="3"/>
      <c r="L57" s="3"/>
      <c r="M57" s="3"/>
      <c r="N57" s="3"/>
      <c r="O57" s="3">
        <v>3</v>
      </c>
      <c r="P57" s="3"/>
      <c r="Q57" s="5">
        <v>27.29</v>
      </c>
      <c r="R57" s="6">
        <f t="shared" si="3"/>
        <v>27.29</v>
      </c>
      <c r="S57" s="5"/>
      <c r="T57" s="7">
        <f t="shared" si="4"/>
        <v>0</v>
      </c>
    </row>
    <row r="58" spans="1:20" x14ac:dyDescent="0.3">
      <c r="A58" s="15">
        <v>1</v>
      </c>
      <c r="B58" s="3" t="s">
        <v>42</v>
      </c>
      <c r="C58" s="3"/>
      <c r="D58" s="3" t="s">
        <v>184</v>
      </c>
      <c r="E58" s="3" t="s">
        <v>175</v>
      </c>
      <c r="F58" s="4" t="s">
        <v>185</v>
      </c>
      <c r="G58" s="3" t="s">
        <v>43</v>
      </c>
      <c r="H58" s="3">
        <v>416</v>
      </c>
      <c r="I58" s="5" t="s">
        <v>44</v>
      </c>
      <c r="J58" s="3"/>
      <c r="K58" s="3"/>
      <c r="L58" s="3"/>
      <c r="M58" s="3"/>
      <c r="N58" s="3"/>
      <c r="O58" s="3">
        <v>3</v>
      </c>
      <c r="P58" s="3"/>
      <c r="Q58" s="5">
        <v>6.57</v>
      </c>
      <c r="R58" s="6">
        <f t="shared" si="3"/>
        <v>6.57</v>
      </c>
      <c r="S58" s="5"/>
      <c r="T58" s="7">
        <f t="shared" si="4"/>
        <v>0</v>
      </c>
    </row>
    <row r="59" spans="1:20" x14ac:dyDescent="0.3">
      <c r="A59" s="15">
        <v>1</v>
      </c>
      <c r="B59" s="3" t="s">
        <v>42</v>
      </c>
      <c r="C59" s="3"/>
      <c r="D59" s="3" t="s">
        <v>186</v>
      </c>
      <c r="E59" s="3" t="s">
        <v>175</v>
      </c>
      <c r="F59" s="4" t="s">
        <v>187</v>
      </c>
      <c r="G59" s="3" t="s">
        <v>43</v>
      </c>
      <c r="H59" s="3">
        <v>416</v>
      </c>
      <c r="I59" s="5" t="s">
        <v>44</v>
      </c>
      <c r="J59" s="3"/>
      <c r="K59" s="3"/>
      <c r="L59" s="3"/>
      <c r="M59" s="3"/>
      <c r="N59" s="3"/>
      <c r="O59" s="3">
        <v>3</v>
      </c>
      <c r="P59" s="3"/>
      <c r="Q59" s="5">
        <v>3.53</v>
      </c>
      <c r="R59" s="6">
        <f t="shared" si="3"/>
        <v>3.53</v>
      </c>
      <c r="S59" s="5"/>
      <c r="T59" s="7">
        <f t="shared" si="4"/>
        <v>0</v>
      </c>
    </row>
    <row r="60" spans="1:20" x14ac:dyDescent="0.3">
      <c r="A60" s="15">
        <v>2</v>
      </c>
      <c r="B60" s="3" t="s">
        <v>42</v>
      </c>
      <c r="C60" s="3"/>
      <c r="D60" s="3" t="s">
        <v>188</v>
      </c>
      <c r="E60" s="3" t="s">
        <v>175</v>
      </c>
      <c r="F60" s="4" t="s">
        <v>189</v>
      </c>
      <c r="G60" s="3" t="s">
        <v>43</v>
      </c>
      <c r="H60" s="3">
        <v>416</v>
      </c>
      <c r="I60" s="5" t="s">
        <v>44</v>
      </c>
      <c r="J60" s="3"/>
      <c r="K60" s="3"/>
      <c r="L60" s="3"/>
      <c r="M60" s="3"/>
      <c r="N60" s="3"/>
      <c r="O60" s="3">
        <v>3</v>
      </c>
      <c r="P60" s="3"/>
      <c r="Q60" s="5">
        <v>1.1000000000000001</v>
      </c>
      <c r="R60" s="6">
        <f t="shared" si="3"/>
        <v>2.2000000000000002</v>
      </c>
      <c r="S60" s="5"/>
      <c r="T60" s="7">
        <f t="shared" si="4"/>
        <v>0</v>
      </c>
    </row>
    <row r="61" spans="1:20" x14ac:dyDescent="0.3">
      <c r="A61" s="3">
        <v>4</v>
      </c>
      <c r="B61" s="3" t="s">
        <v>42</v>
      </c>
      <c r="C61" s="3"/>
      <c r="D61" s="3" t="s">
        <v>190</v>
      </c>
      <c r="E61" s="3" t="s">
        <v>175</v>
      </c>
      <c r="F61" s="4" t="s">
        <v>191</v>
      </c>
      <c r="G61" s="3" t="s">
        <v>43</v>
      </c>
      <c r="H61" s="3">
        <v>416</v>
      </c>
      <c r="I61" s="5" t="s">
        <v>44</v>
      </c>
      <c r="J61" s="3"/>
      <c r="K61" s="3"/>
      <c r="L61" s="3"/>
      <c r="M61" s="3"/>
      <c r="N61" s="3"/>
      <c r="O61" s="3">
        <v>3</v>
      </c>
      <c r="P61" s="3"/>
      <c r="Q61" s="5">
        <v>0.33</v>
      </c>
      <c r="R61" s="6">
        <f t="shared" si="3"/>
        <v>1.32</v>
      </c>
      <c r="S61" s="5"/>
      <c r="T61" s="7">
        <f t="shared" si="4"/>
        <v>0</v>
      </c>
    </row>
    <row r="62" spans="1:20" x14ac:dyDescent="0.3">
      <c r="A62" s="15">
        <v>1</v>
      </c>
      <c r="B62" s="3" t="s">
        <v>42</v>
      </c>
      <c r="C62" s="3"/>
      <c r="D62" s="3" t="s">
        <v>192</v>
      </c>
      <c r="E62" s="3" t="s">
        <v>175</v>
      </c>
      <c r="F62" s="4" t="s">
        <v>193</v>
      </c>
      <c r="G62" s="3" t="s">
        <v>43</v>
      </c>
      <c r="H62" s="3">
        <v>416</v>
      </c>
      <c r="I62" s="5" t="s">
        <v>44</v>
      </c>
      <c r="J62" s="3"/>
      <c r="K62" s="3"/>
      <c r="L62" s="3"/>
      <c r="M62" s="3"/>
      <c r="N62" s="3"/>
      <c r="O62" s="3">
        <v>3</v>
      </c>
      <c r="P62" s="3"/>
      <c r="Q62" s="5">
        <v>12.15</v>
      </c>
      <c r="R62" s="6">
        <f t="shared" si="3"/>
        <v>12.15</v>
      </c>
      <c r="S62" s="5"/>
      <c r="T62" s="7">
        <f t="shared" si="4"/>
        <v>0</v>
      </c>
    </row>
    <row r="63" spans="1:20" x14ac:dyDescent="0.3">
      <c r="A63" s="15">
        <v>1</v>
      </c>
      <c r="B63" s="3" t="s">
        <v>42</v>
      </c>
      <c r="C63" s="3"/>
      <c r="D63" s="3" t="s">
        <v>194</v>
      </c>
      <c r="E63" s="3" t="s">
        <v>175</v>
      </c>
      <c r="F63" s="4" t="s">
        <v>195</v>
      </c>
      <c r="G63" s="3" t="s">
        <v>43</v>
      </c>
      <c r="H63" s="3">
        <v>416</v>
      </c>
      <c r="I63" s="5" t="s">
        <v>44</v>
      </c>
      <c r="J63" s="3"/>
      <c r="K63" s="3"/>
      <c r="L63" s="3"/>
      <c r="M63" s="3"/>
      <c r="N63" s="3"/>
      <c r="O63" s="3">
        <v>3</v>
      </c>
      <c r="P63" s="3"/>
      <c r="Q63" s="5">
        <v>0.31</v>
      </c>
      <c r="R63" s="6">
        <f t="shared" si="3"/>
        <v>0.31</v>
      </c>
      <c r="S63" s="5"/>
      <c r="T63" s="7">
        <f t="shared" si="4"/>
        <v>0</v>
      </c>
    </row>
    <row r="64" spans="1:20" x14ac:dyDescent="0.3">
      <c r="A64" s="15">
        <v>1</v>
      </c>
      <c r="B64" s="3" t="s">
        <v>42</v>
      </c>
      <c r="C64" s="3"/>
      <c r="D64" s="3" t="s">
        <v>196</v>
      </c>
      <c r="E64" s="3" t="s">
        <v>175</v>
      </c>
      <c r="F64" s="4" t="s">
        <v>197</v>
      </c>
      <c r="G64" s="3" t="s">
        <v>43</v>
      </c>
      <c r="H64" s="3">
        <v>416</v>
      </c>
      <c r="I64" s="5" t="s">
        <v>44</v>
      </c>
      <c r="J64" s="3"/>
      <c r="K64" s="3"/>
      <c r="L64" s="3"/>
      <c r="M64" s="3"/>
      <c r="N64" s="3"/>
      <c r="O64" s="3">
        <v>3</v>
      </c>
      <c r="P64" s="3"/>
      <c r="Q64" s="5">
        <v>5.12</v>
      </c>
      <c r="R64" s="6">
        <f t="shared" si="3"/>
        <v>5.12</v>
      </c>
      <c r="S64" s="5"/>
      <c r="T64" s="7">
        <f t="shared" si="4"/>
        <v>0</v>
      </c>
    </row>
    <row r="65" spans="1:20" x14ac:dyDescent="0.3">
      <c r="A65" s="15">
        <v>2</v>
      </c>
      <c r="B65" s="3" t="s">
        <v>42</v>
      </c>
      <c r="C65" s="3"/>
      <c r="D65" s="3" t="s">
        <v>198</v>
      </c>
      <c r="E65" s="3" t="s">
        <v>175</v>
      </c>
      <c r="F65" s="4" t="s">
        <v>199</v>
      </c>
      <c r="G65" s="3" t="s">
        <v>43</v>
      </c>
      <c r="H65" s="3">
        <v>416</v>
      </c>
      <c r="I65" s="5" t="s">
        <v>44</v>
      </c>
      <c r="J65" s="3"/>
      <c r="K65" s="3"/>
      <c r="L65" s="3"/>
      <c r="M65" s="3"/>
      <c r="N65" s="3"/>
      <c r="O65" s="3">
        <v>3</v>
      </c>
      <c r="P65" s="3"/>
      <c r="Q65" s="5">
        <v>8.5</v>
      </c>
      <c r="R65" s="6">
        <f t="shared" si="3"/>
        <v>17</v>
      </c>
      <c r="S65" s="5"/>
      <c r="T65" s="7">
        <f t="shared" si="4"/>
        <v>0</v>
      </c>
    </row>
    <row r="66" spans="1:20" x14ac:dyDescent="0.3">
      <c r="A66" s="15">
        <v>2</v>
      </c>
      <c r="B66" s="3" t="s">
        <v>42</v>
      </c>
      <c r="C66" s="3"/>
      <c r="D66" s="3" t="s">
        <v>200</v>
      </c>
      <c r="E66" s="3" t="s">
        <v>175</v>
      </c>
      <c r="F66" s="4" t="s">
        <v>201</v>
      </c>
      <c r="G66" s="3" t="s">
        <v>43</v>
      </c>
      <c r="H66" s="3">
        <v>416</v>
      </c>
      <c r="I66" s="5" t="s">
        <v>44</v>
      </c>
      <c r="J66" s="3"/>
      <c r="K66" s="3"/>
      <c r="L66" s="3"/>
      <c r="M66" s="3"/>
      <c r="N66" s="3"/>
      <c r="O66" s="3">
        <v>3</v>
      </c>
      <c r="P66" s="3"/>
      <c r="Q66" s="5">
        <v>3.29</v>
      </c>
      <c r="R66" s="6">
        <f t="shared" si="3"/>
        <v>6.58</v>
      </c>
      <c r="S66" s="5"/>
      <c r="T66" s="7">
        <f t="shared" si="4"/>
        <v>0</v>
      </c>
    </row>
    <row r="67" spans="1:20" x14ac:dyDescent="0.3">
      <c r="A67" s="3">
        <v>5</v>
      </c>
      <c r="B67" s="3" t="s">
        <v>42</v>
      </c>
      <c r="C67" s="3"/>
      <c r="D67" s="3" t="s">
        <v>202</v>
      </c>
      <c r="E67" s="3" t="s">
        <v>175</v>
      </c>
      <c r="F67" s="4" t="s">
        <v>203</v>
      </c>
      <c r="G67" s="3" t="s">
        <v>43</v>
      </c>
      <c r="H67" s="3">
        <v>416</v>
      </c>
      <c r="I67" s="5" t="s">
        <v>44</v>
      </c>
      <c r="J67" s="3"/>
      <c r="K67" s="3"/>
      <c r="L67" s="3"/>
      <c r="M67" s="3"/>
      <c r="N67" s="3"/>
      <c r="O67" s="3">
        <v>3</v>
      </c>
      <c r="P67" s="3"/>
      <c r="Q67" s="5">
        <v>0.24</v>
      </c>
      <c r="R67" s="6">
        <f t="shared" si="3"/>
        <v>1.2</v>
      </c>
      <c r="S67" s="5"/>
      <c r="T67" s="7">
        <f t="shared" si="4"/>
        <v>0</v>
      </c>
    </row>
    <row r="68" spans="1:20" x14ac:dyDescent="0.3">
      <c r="A68" s="15">
        <v>2</v>
      </c>
      <c r="B68" s="3" t="s">
        <v>42</v>
      </c>
      <c r="C68" s="3"/>
      <c r="D68" s="3" t="s">
        <v>204</v>
      </c>
      <c r="E68" s="3" t="s">
        <v>175</v>
      </c>
      <c r="F68" s="4" t="s">
        <v>205</v>
      </c>
      <c r="G68" s="3" t="s">
        <v>43</v>
      </c>
      <c r="H68" s="3">
        <v>416</v>
      </c>
      <c r="I68" s="5" t="s">
        <v>44</v>
      </c>
      <c r="J68" s="3"/>
      <c r="K68" s="3"/>
      <c r="L68" s="3"/>
      <c r="M68" s="3"/>
      <c r="N68" s="3"/>
      <c r="O68" s="3">
        <v>3</v>
      </c>
      <c r="P68" s="3"/>
      <c r="Q68" s="5">
        <v>2.92</v>
      </c>
      <c r="R68" s="6">
        <f t="shared" si="3"/>
        <v>5.84</v>
      </c>
      <c r="S68" s="5"/>
      <c r="T68" s="7">
        <f t="shared" si="4"/>
        <v>0</v>
      </c>
    </row>
    <row r="69" spans="1:20" x14ac:dyDescent="0.3">
      <c r="A69" s="15">
        <v>2</v>
      </c>
      <c r="B69" s="3" t="s">
        <v>42</v>
      </c>
      <c r="C69" s="3"/>
      <c r="D69" s="3" t="s">
        <v>206</v>
      </c>
      <c r="E69" s="3" t="s">
        <v>175</v>
      </c>
      <c r="F69" s="4" t="s">
        <v>207</v>
      </c>
      <c r="G69" s="3" t="s">
        <v>43</v>
      </c>
      <c r="H69" s="3">
        <v>416</v>
      </c>
      <c r="I69" s="5" t="s">
        <v>44</v>
      </c>
      <c r="J69" s="3"/>
      <c r="K69" s="3"/>
      <c r="L69" s="3"/>
      <c r="M69" s="3"/>
      <c r="N69" s="3"/>
      <c r="O69" s="3">
        <v>3</v>
      </c>
      <c r="P69" s="3"/>
      <c r="Q69" s="5">
        <v>7.89</v>
      </c>
      <c r="R69" s="6">
        <f t="shared" si="3"/>
        <v>15.78</v>
      </c>
      <c r="S69" s="5"/>
      <c r="T69" s="7">
        <f t="shared" si="4"/>
        <v>0</v>
      </c>
    </row>
    <row r="70" spans="1:20" x14ac:dyDescent="0.3">
      <c r="A70" s="15">
        <v>1</v>
      </c>
      <c r="B70" s="3" t="s">
        <v>42</v>
      </c>
      <c r="C70" s="3"/>
      <c r="D70" s="3" t="s">
        <v>208</v>
      </c>
      <c r="E70" s="3" t="s">
        <v>175</v>
      </c>
      <c r="F70" s="4" t="s">
        <v>209</v>
      </c>
      <c r="G70" s="3" t="s">
        <v>43</v>
      </c>
      <c r="H70" s="3">
        <v>416</v>
      </c>
      <c r="I70" s="5" t="s">
        <v>44</v>
      </c>
      <c r="J70" s="3"/>
      <c r="K70" s="3"/>
      <c r="L70" s="3"/>
      <c r="M70" s="3"/>
      <c r="N70" s="3"/>
      <c r="O70" s="3">
        <v>3</v>
      </c>
      <c r="P70" s="3"/>
      <c r="Q70" s="5">
        <v>1.53</v>
      </c>
      <c r="R70" s="6">
        <f t="shared" si="3"/>
        <v>1.53</v>
      </c>
      <c r="S70" s="5"/>
      <c r="T70" s="7">
        <f t="shared" si="4"/>
        <v>0</v>
      </c>
    </row>
    <row r="71" spans="1:20" x14ac:dyDescent="0.3">
      <c r="A71" s="15">
        <v>1</v>
      </c>
      <c r="B71" s="3" t="s">
        <v>42</v>
      </c>
      <c r="C71" s="3"/>
      <c r="D71" s="3" t="s">
        <v>210</v>
      </c>
      <c r="E71" s="3" t="s">
        <v>175</v>
      </c>
      <c r="F71" s="4" t="s">
        <v>211</v>
      </c>
      <c r="G71" s="3" t="s">
        <v>43</v>
      </c>
      <c r="H71" s="3">
        <v>416</v>
      </c>
      <c r="I71" s="5" t="s">
        <v>44</v>
      </c>
      <c r="J71" s="3"/>
      <c r="K71" s="3"/>
      <c r="L71" s="3"/>
      <c r="M71" s="3"/>
      <c r="N71" s="3"/>
      <c r="O71" s="3">
        <v>3</v>
      </c>
      <c r="P71" s="3"/>
      <c r="Q71" s="5">
        <v>4</v>
      </c>
      <c r="R71" s="6">
        <f t="shared" si="3"/>
        <v>4</v>
      </c>
      <c r="S71" s="5"/>
      <c r="T71" s="7">
        <f t="shared" si="4"/>
        <v>0</v>
      </c>
    </row>
    <row r="72" spans="1:20" x14ac:dyDescent="0.3">
      <c r="A72" s="3">
        <v>1</v>
      </c>
      <c r="B72" s="3" t="s">
        <v>42</v>
      </c>
      <c r="C72" s="3"/>
      <c r="D72" s="3" t="s">
        <v>212</v>
      </c>
      <c r="E72" s="3" t="s">
        <v>175</v>
      </c>
      <c r="F72" s="4" t="s">
        <v>213</v>
      </c>
      <c r="G72" s="3" t="s">
        <v>43</v>
      </c>
      <c r="H72" s="3">
        <v>416</v>
      </c>
      <c r="I72" s="5" t="s">
        <v>44</v>
      </c>
      <c r="J72" s="3"/>
      <c r="K72" s="3"/>
      <c r="L72" s="3"/>
      <c r="M72" s="3"/>
      <c r="N72" s="3"/>
      <c r="O72" s="3">
        <v>3</v>
      </c>
      <c r="P72" s="3"/>
      <c r="Q72" s="5">
        <v>72.349999999999994</v>
      </c>
      <c r="R72" s="6">
        <f t="shared" si="3"/>
        <v>72.349999999999994</v>
      </c>
      <c r="S72" s="5"/>
      <c r="T72" s="7">
        <f t="shared" si="4"/>
        <v>0</v>
      </c>
    </row>
    <row r="73" spans="1:20" x14ac:dyDescent="0.3">
      <c r="A73" s="3">
        <v>1</v>
      </c>
      <c r="B73" s="3" t="s">
        <v>42</v>
      </c>
      <c r="C73" s="3"/>
      <c r="D73" s="3" t="s">
        <v>212</v>
      </c>
      <c r="E73" s="3" t="s">
        <v>175</v>
      </c>
      <c r="F73" s="4" t="s">
        <v>213</v>
      </c>
      <c r="G73" s="3" t="s">
        <v>43</v>
      </c>
      <c r="H73" s="3">
        <v>416</v>
      </c>
      <c r="I73" s="5" t="s">
        <v>44</v>
      </c>
      <c r="J73" s="3"/>
      <c r="K73" s="3"/>
      <c r="L73" s="3"/>
      <c r="M73" s="3"/>
      <c r="N73" s="3"/>
      <c r="O73" s="3">
        <v>3</v>
      </c>
      <c r="P73" s="3"/>
      <c r="Q73" s="5">
        <v>72.349999999999994</v>
      </c>
      <c r="R73" s="6">
        <f t="shared" si="3"/>
        <v>72.349999999999994</v>
      </c>
      <c r="S73" s="5"/>
      <c r="T73" s="7">
        <f t="shared" si="4"/>
        <v>0</v>
      </c>
    </row>
    <row r="74" spans="1:20" x14ac:dyDescent="0.3">
      <c r="A74" s="3">
        <v>1</v>
      </c>
      <c r="B74" s="3" t="s">
        <v>42</v>
      </c>
      <c r="C74" s="3"/>
      <c r="D74" s="3" t="s">
        <v>214</v>
      </c>
      <c r="E74" s="3" t="s">
        <v>170</v>
      </c>
      <c r="F74" s="4" t="s">
        <v>215</v>
      </c>
      <c r="G74" s="3" t="s">
        <v>43</v>
      </c>
      <c r="H74" s="3">
        <v>416</v>
      </c>
      <c r="I74" s="5" t="s">
        <v>44</v>
      </c>
      <c r="J74" s="3"/>
      <c r="K74" s="3"/>
      <c r="L74" s="3"/>
      <c r="M74" s="3"/>
      <c r="N74" s="3"/>
      <c r="O74" s="3">
        <v>3</v>
      </c>
      <c r="P74" s="3"/>
      <c r="Q74" s="5">
        <v>250</v>
      </c>
      <c r="R74" s="6">
        <f t="shared" si="3"/>
        <v>250</v>
      </c>
      <c r="S74" s="5"/>
      <c r="T74" s="7">
        <f t="shared" si="4"/>
        <v>0</v>
      </c>
    </row>
    <row r="75" spans="1:20" ht="160.80000000000001" x14ac:dyDescent="0.3">
      <c r="A75" s="3">
        <v>1</v>
      </c>
      <c r="B75" s="3" t="s">
        <v>42</v>
      </c>
      <c r="C75" s="3"/>
      <c r="D75" s="26" t="s">
        <v>216</v>
      </c>
      <c r="E75" s="3" t="s">
        <v>170</v>
      </c>
      <c r="F75" s="4" t="s">
        <v>217</v>
      </c>
      <c r="G75" s="3" t="s">
        <v>43</v>
      </c>
      <c r="H75" s="3">
        <v>416</v>
      </c>
      <c r="I75" s="5" t="s">
        <v>44</v>
      </c>
      <c r="J75" s="3"/>
      <c r="K75" s="3"/>
      <c r="L75" s="3"/>
      <c r="M75" s="3"/>
      <c r="N75" s="3"/>
      <c r="O75" s="3">
        <v>3</v>
      </c>
      <c r="P75" s="3"/>
      <c r="Q75" s="5">
        <v>205</v>
      </c>
      <c r="R75" s="6">
        <f t="shared" si="3"/>
        <v>205</v>
      </c>
      <c r="S75" s="5"/>
      <c r="T75" s="7">
        <f t="shared" si="4"/>
        <v>0</v>
      </c>
    </row>
    <row r="76" spans="1:20" x14ac:dyDescent="0.3">
      <c r="A76" s="3">
        <v>1</v>
      </c>
      <c r="B76" s="3" t="s">
        <v>42</v>
      </c>
      <c r="C76" s="3"/>
      <c r="D76" s="3" t="s">
        <v>218</v>
      </c>
      <c r="E76" s="3" t="s">
        <v>170</v>
      </c>
      <c r="F76" s="4" t="s">
        <v>219</v>
      </c>
      <c r="G76" s="3" t="s">
        <v>43</v>
      </c>
      <c r="H76" s="3">
        <v>416</v>
      </c>
      <c r="I76" s="5" t="s">
        <v>44</v>
      </c>
      <c r="J76" s="3"/>
      <c r="K76" s="3"/>
      <c r="L76" s="3"/>
      <c r="M76" s="3"/>
      <c r="N76" s="3"/>
      <c r="O76" s="3">
        <v>3</v>
      </c>
      <c r="P76" s="3"/>
      <c r="Q76" s="5">
        <v>50</v>
      </c>
      <c r="R76" s="6">
        <f t="shared" si="3"/>
        <v>50</v>
      </c>
      <c r="S76" s="5"/>
      <c r="T76" s="7">
        <f t="shared" si="4"/>
        <v>0</v>
      </c>
    </row>
    <row r="77" spans="1:20" x14ac:dyDescent="0.3">
      <c r="A77" s="3">
        <v>4</v>
      </c>
      <c r="B77" s="3" t="s">
        <v>42</v>
      </c>
      <c r="C77" s="3"/>
      <c r="D77" s="3" t="s">
        <v>220</v>
      </c>
      <c r="E77" s="3" t="s">
        <v>175</v>
      </c>
      <c r="F77" s="4" t="s">
        <v>221</v>
      </c>
      <c r="G77" s="3" t="s">
        <v>43</v>
      </c>
      <c r="H77" s="3">
        <v>416</v>
      </c>
      <c r="I77" s="5" t="s">
        <v>44</v>
      </c>
      <c r="J77" s="3"/>
      <c r="K77" s="3"/>
      <c r="L77" s="3"/>
      <c r="M77" s="3"/>
      <c r="N77" s="3"/>
      <c r="O77" s="3">
        <v>3</v>
      </c>
      <c r="P77" s="3"/>
      <c r="Q77" s="5">
        <v>2.2200000000000002</v>
      </c>
      <c r="R77" s="6">
        <f t="shared" si="3"/>
        <v>8.8800000000000008</v>
      </c>
      <c r="S77" s="5"/>
      <c r="T77" s="7">
        <f t="shared" si="4"/>
        <v>0</v>
      </c>
    </row>
    <row r="78" spans="1:20" x14ac:dyDescent="0.3">
      <c r="A78" s="3">
        <v>4</v>
      </c>
      <c r="B78" s="3" t="s">
        <v>42</v>
      </c>
      <c r="C78" s="3"/>
      <c r="D78" s="3" t="s">
        <v>222</v>
      </c>
      <c r="E78" s="3" t="s">
        <v>175</v>
      </c>
      <c r="F78" s="4" t="s">
        <v>223</v>
      </c>
      <c r="G78" s="3" t="s">
        <v>43</v>
      </c>
      <c r="H78" s="3">
        <v>416</v>
      </c>
      <c r="I78" s="5" t="s">
        <v>44</v>
      </c>
      <c r="J78" s="3"/>
      <c r="K78" s="3"/>
      <c r="L78" s="3"/>
      <c r="M78" s="3"/>
      <c r="N78" s="3"/>
      <c r="O78" s="3">
        <v>3</v>
      </c>
      <c r="P78" s="3"/>
      <c r="Q78" s="5">
        <v>1.05</v>
      </c>
      <c r="R78" s="6">
        <f t="shared" si="3"/>
        <v>4.2</v>
      </c>
      <c r="S78" s="5"/>
      <c r="T78" s="7">
        <f t="shared" si="4"/>
        <v>0</v>
      </c>
    </row>
    <row r="79" spans="1:20" x14ac:dyDescent="0.3">
      <c r="A79" s="3">
        <v>1</v>
      </c>
      <c r="B79" s="3" t="s">
        <v>42</v>
      </c>
      <c r="C79" s="3"/>
      <c r="D79" s="3" t="s">
        <v>118</v>
      </c>
      <c r="E79" s="3" t="s">
        <v>224</v>
      </c>
      <c r="F79" s="4"/>
      <c r="G79" s="3" t="s">
        <v>43</v>
      </c>
      <c r="H79" s="3">
        <v>420</v>
      </c>
      <c r="I79" s="5" t="s">
        <v>44</v>
      </c>
      <c r="J79" s="3"/>
      <c r="K79" s="3"/>
      <c r="L79" s="3"/>
      <c r="M79" s="3"/>
      <c r="N79" s="3"/>
      <c r="O79" s="3">
        <v>3</v>
      </c>
      <c r="P79" s="3"/>
      <c r="Q79" s="5">
        <v>250</v>
      </c>
      <c r="R79" s="6">
        <f t="shared" si="3"/>
        <v>250</v>
      </c>
      <c r="S79" s="5"/>
      <c r="T79" s="7">
        <f t="shared" si="4"/>
        <v>0</v>
      </c>
    </row>
    <row r="81" spans="1:20" x14ac:dyDescent="0.3">
      <c r="A81" s="12"/>
      <c r="B81" s="17"/>
      <c r="C81" s="12"/>
      <c r="D81" s="13" t="s">
        <v>250</v>
      </c>
      <c r="E81" s="16"/>
      <c r="F81" s="4"/>
      <c r="G81" s="18"/>
      <c r="H81" s="4"/>
      <c r="I81" s="14"/>
      <c r="J81" s="4"/>
      <c r="K81" s="4" t="s">
        <v>122</v>
      </c>
      <c r="L81" s="4"/>
      <c r="M81" s="4"/>
      <c r="N81" s="4"/>
      <c r="O81" s="4"/>
      <c r="P81" s="4"/>
      <c r="Q81" s="15"/>
      <c r="R81" s="19"/>
      <c r="S81" s="20"/>
      <c r="T81" s="4"/>
    </row>
    <row r="82" spans="1:20" x14ac:dyDescent="0.3">
      <c r="A82" s="15"/>
      <c r="B82" s="3"/>
      <c r="C82" s="3"/>
      <c r="D82" s="3"/>
      <c r="E82" s="3"/>
      <c r="F82" s="4"/>
      <c r="G82" s="3"/>
      <c r="H82" s="3"/>
      <c r="I82" s="5"/>
      <c r="J82" s="3"/>
      <c r="K82" s="3"/>
      <c r="L82" s="3"/>
      <c r="M82" s="3"/>
      <c r="N82" s="3"/>
      <c r="O82" s="3"/>
      <c r="P82" s="3"/>
      <c r="Q82" s="5"/>
      <c r="R82" s="28"/>
      <c r="S82" s="5"/>
      <c r="T82" s="28"/>
    </row>
    <row r="83" spans="1:20" x14ac:dyDescent="0.3">
      <c r="A83" s="15">
        <v>0</v>
      </c>
      <c r="B83" s="3" t="s">
        <v>42</v>
      </c>
      <c r="C83" s="3"/>
      <c r="D83" s="3" t="s">
        <v>169</v>
      </c>
      <c r="E83" s="3" t="s">
        <v>170</v>
      </c>
      <c r="F83" s="4" t="s">
        <v>171</v>
      </c>
      <c r="G83" s="3" t="s">
        <v>43</v>
      </c>
      <c r="H83" s="3">
        <v>416</v>
      </c>
      <c r="I83" s="5" t="s">
        <v>44</v>
      </c>
      <c r="J83" s="3"/>
      <c r="K83" s="3"/>
      <c r="L83" s="3"/>
      <c r="M83" s="3"/>
      <c r="N83" s="3"/>
      <c r="O83" s="3">
        <v>3</v>
      </c>
      <c r="P83" s="3"/>
      <c r="Q83" s="5">
        <v>20</v>
      </c>
      <c r="R83" s="6">
        <f t="shared" ref="R83:R118" si="5">$A83*Q83</f>
        <v>0</v>
      </c>
      <c r="S83" s="5"/>
      <c r="T83" s="7">
        <f t="shared" ref="T83:T118" si="6">$A83*S83*$T$1</f>
        <v>0</v>
      </c>
    </row>
    <row r="84" spans="1:20" x14ac:dyDescent="0.3">
      <c r="A84" s="15">
        <v>3</v>
      </c>
      <c r="B84" s="3" t="s">
        <v>42</v>
      </c>
      <c r="C84" s="3"/>
      <c r="D84" s="3" t="s">
        <v>172</v>
      </c>
      <c r="E84" s="3" t="s">
        <v>170</v>
      </c>
      <c r="F84" s="4" t="s">
        <v>173</v>
      </c>
      <c r="G84" s="3" t="s">
        <v>43</v>
      </c>
      <c r="H84" s="3">
        <v>416</v>
      </c>
      <c r="I84" s="5" t="s">
        <v>44</v>
      </c>
      <c r="J84" s="3"/>
      <c r="K84" s="3"/>
      <c r="L84" s="3"/>
      <c r="M84" s="3"/>
      <c r="N84" s="3"/>
      <c r="O84" s="3">
        <v>3</v>
      </c>
      <c r="P84" s="3"/>
      <c r="Q84" s="5">
        <v>20</v>
      </c>
      <c r="R84" s="6">
        <f t="shared" si="5"/>
        <v>60</v>
      </c>
      <c r="S84" s="5"/>
      <c r="T84" s="7">
        <f t="shared" si="6"/>
        <v>0</v>
      </c>
    </row>
    <row r="85" spans="1:20" x14ac:dyDescent="0.3">
      <c r="A85" s="15">
        <v>2</v>
      </c>
      <c r="B85" s="3" t="s">
        <v>42</v>
      </c>
      <c r="C85" s="3"/>
      <c r="D85" s="3" t="s">
        <v>225</v>
      </c>
      <c r="E85" s="3" t="s">
        <v>170</v>
      </c>
      <c r="F85" s="4" t="s">
        <v>226</v>
      </c>
      <c r="G85" s="3" t="s">
        <v>43</v>
      </c>
      <c r="H85" s="3">
        <v>416</v>
      </c>
      <c r="I85" s="5" t="s">
        <v>44</v>
      </c>
      <c r="J85" s="3"/>
      <c r="K85" s="3"/>
      <c r="L85" s="3"/>
      <c r="M85" s="3"/>
      <c r="N85" s="3"/>
      <c r="O85" s="3">
        <v>3</v>
      </c>
      <c r="P85" s="3"/>
      <c r="Q85" s="5">
        <v>103.17</v>
      </c>
      <c r="R85" s="6">
        <f t="shared" si="5"/>
        <v>206.34</v>
      </c>
      <c r="S85" s="5"/>
      <c r="T85" s="7">
        <f t="shared" si="6"/>
        <v>0</v>
      </c>
    </row>
    <row r="86" spans="1:20" x14ac:dyDescent="0.3">
      <c r="A86" s="15">
        <v>1</v>
      </c>
      <c r="B86" s="3" t="s">
        <v>42</v>
      </c>
      <c r="C86" s="3"/>
      <c r="D86" s="3" t="s">
        <v>227</v>
      </c>
      <c r="E86" s="3" t="s">
        <v>175</v>
      </c>
      <c r="F86" s="4" t="s">
        <v>228</v>
      </c>
      <c r="G86" s="3" t="s">
        <v>43</v>
      </c>
      <c r="H86" s="3">
        <v>416</v>
      </c>
      <c r="I86" s="5" t="s">
        <v>44</v>
      </c>
      <c r="J86" s="3"/>
      <c r="K86" s="3"/>
      <c r="L86" s="3"/>
      <c r="M86" s="3"/>
      <c r="N86" s="3"/>
      <c r="O86" s="3">
        <v>3</v>
      </c>
      <c r="P86" s="3"/>
      <c r="Q86" s="27">
        <v>49.46</v>
      </c>
      <c r="R86" s="6">
        <f t="shared" si="5"/>
        <v>49.46</v>
      </c>
      <c r="S86" s="5"/>
      <c r="T86" s="7">
        <f t="shared" si="6"/>
        <v>0</v>
      </c>
    </row>
    <row r="87" spans="1:20" x14ac:dyDescent="0.3">
      <c r="A87" s="15">
        <v>1</v>
      </c>
      <c r="B87" s="3" t="s">
        <v>42</v>
      </c>
      <c r="C87" s="3"/>
      <c r="D87" s="3" t="s">
        <v>229</v>
      </c>
      <c r="E87" s="3" t="s">
        <v>175</v>
      </c>
      <c r="F87" s="4" t="s">
        <v>230</v>
      </c>
      <c r="G87" s="3" t="s">
        <v>43</v>
      </c>
      <c r="H87" s="3">
        <v>416</v>
      </c>
      <c r="I87" s="5" t="s">
        <v>44</v>
      </c>
      <c r="J87" s="3"/>
      <c r="K87" s="3"/>
      <c r="L87" s="3"/>
      <c r="M87" s="3"/>
      <c r="N87" s="3"/>
      <c r="O87" s="3">
        <v>3</v>
      </c>
      <c r="P87" s="3"/>
      <c r="Q87" s="5">
        <v>5.29</v>
      </c>
      <c r="R87" s="6">
        <f t="shared" si="5"/>
        <v>5.29</v>
      </c>
      <c r="S87" s="5"/>
      <c r="T87" s="7">
        <f t="shared" si="6"/>
        <v>0</v>
      </c>
    </row>
    <row r="88" spans="1:20" x14ac:dyDescent="0.3">
      <c r="A88" s="15">
        <v>1</v>
      </c>
      <c r="B88" s="3" t="s">
        <v>42</v>
      </c>
      <c r="C88" s="3"/>
      <c r="D88" s="3" t="s">
        <v>231</v>
      </c>
      <c r="E88" s="3" t="s">
        <v>175</v>
      </c>
      <c r="F88" s="4" t="s">
        <v>232</v>
      </c>
      <c r="G88" s="3" t="s">
        <v>43</v>
      </c>
      <c r="H88" s="3">
        <v>416</v>
      </c>
      <c r="I88" s="5" t="s">
        <v>44</v>
      </c>
      <c r="J88" s="3"/>
      <c r="K88" s="3"/>
      <c r="L88" s="3"/>
      <c r="M88" s="3"/>
      <c r="N88" s="3"/>
      <c r="O88" s="3">
        <v>3</v>
      </c>
      <c r="P88" s="3"/>
      <c r="Q88" s="5">
        <v>7.4</v>
      </c>
      <c r="R88" s="6">
        <f t="shared" si="5"/>
        <v>7.4</v>
      </c>
      <c r="S88" s="5"/>
      <c r="T88" s="7">
        <f t="shared" si="6"/>
        <v>0</v>
      </c>
    </row>
    <row r="89" spans="1:20" x14ac:dyDescent="0.3">
      <c r="A89" s="15">
        <v>1</v>
      </c>
      <c r="B89" s="3" t="s">
        <v>42</v>
      </c>
      <c r="C89" s="3"/>
      <c r="D89" s="3" t="s">
        <v>142</v>
      </c>
      <c r="E89" s="3" t="s">
        <v>175</v>
      </c>
      <c r="F89" s="4" t="s">
        <v>233</v>
      </c>
      <c r="G89" s="3" t="s">
        <v>43</v>
      </c>
      <c r="H89" s="3">
        <v>416</v>
      </c>
      <c r="I89" s="5" t="s">
        <v>44</v>
      </c>
      <c r="J89" s="3"/>
      <c r="K89" s="3"/>
      <c r="L89" s="3"/>
      <c r="M89" s="3"/>
      <c r="N89" s="3"/>
      <c r="O89" s="3">
        <v>3</v>
      </c>
      <c r="P89" s="3"/>
      <c r="Q89" s="5">
        <v>5.7</v>
      </c>
      <c r="R89" s="6">
        <f t="shared" si="5"/>
        <v>5.7</v>
      </c>
      <c r="S89" s="5"/>
      <c r="T89" s="7">
        <f t="shared" si="6"/>
        <v>0</v>
      </c>
    </row>
    <row r="90" spans="1:20" x14ac:dyDescent="0.3">
      <c r="A90" s="15">
        <v>1</v>
      </c>
      <c r="B90" s="3" t="s">
        <v>42</v>
      </c>
      <c r="C90" s="3"/>
      <c r="D90" s="3" t="s">
        <v>229</v>
      </c>
      <c r="E90" s="3" t="s">
        <v>175</v>
      </c>
      <c r="F90" s="4" t="s">
        <v>234</v>
      </c>
      <c r="G90" s="3" t="s">
        <v>43</v>
      </c>
      <c r="H90" s="3">
        <v>416</v>
      </c>
      <c r="I90" s="5" t="s">
        <v>44</v>
      </c>
      <c r="J90" s="3"/>
      <c r="K90" s="3"/>
      <c r="L90" s="3"/>
      <c r="M90" s="3"/>
      <c r="N90" s="3"/>
      <c r="O90" s="3">
        <v>3</v>
      </c>
      <c r="P90" s="3"/>
      <c r="Q90" s="5">
        <v>6.27</v>
      </c>
      <c r="R90" s="6">
        <f t="shared" si="5"/>
        <v>6.27</v>
      </c>
      <c r="S90" s="5"/>
      <c r="T90" s="7">
        <f t="shared" si="6"/>
        <v>0</v>
      </c>
    </row>
    <row r="91" spans="1:20" x14ac:dyDescent="0.3">
      <c r="A91" s="15">
        <v>4</v>
      </c>
      <c r="B91" s="3" t="s">
        <v>42</v>
      </c>
      <c r="C91" s="3"/>
      <c r="D91" s="3" t="s">
        <v>177</v>
      </c>
      <c r="E91" s="3" t="s">
        <v>175</v>
      </c>
      <c r="F91" s="4" t="s">
        <v>178</v>
      </c>
      <c r="G91" s="3" t="s">
        <v>43</v>
      </c>
      <c r="H91" s="3">
        <v>416</v>
      </c>
      <c r="I91" s="5" t="s">
        <v>44</v>
      </c>
      <c r="J91" s="3"/>
      <c r="K91" s="3"/>
      <c r="L91" s="3"/>
      <c r="M91" s="3"/>
      <c r="N91" s="3"/>
      <c r="O91" s="3">
        <v>3</v>
      </c>
      <c r="P91" s="3"/>
      <c r="Q91" s="5">
        <v>1.61</v>
      </c>
      <c r="R91" s="6">
        <f t="shared" si="5"/>
        <v>6.44</v>
      </c>
      <c r="S91" s="5"/>
      <c r="T91" s="7">
        <f t="shared" si="6"/>
        <v>0</v>
      </c>
    </row>
    <row r="92" spans="1:20" x14ac:dyDescent="0.3">
      <c r="A92" s="15">
        <v>4</v>
      </c>
      <c r="B92" s="3" t="s">
        <v>42</v>
      </c>
      <c r="C92" s="3"/>
      <c r="D92" s="3" t="s">
        <v>179</v>
      </c>
      <c r="E92" s="3" t="s">
        <v>175</v>
      </c>
      <c r="F92" s="4" t="s">
        <v>180</v>
      </c>
      <c r="G92" s="3" t="s">
        <v>43</v>
      </c>
      <c r="H92" s="3">
        <v>416</v>
      </c>
      <c r="I92" s="5" t="s">
        <v>44</v>
      </c>
      <c r="J92" s="3"/>
      <c r="K92" s="3"/>
      <c r="L92" s="3"/>
      <c r="M92" s="3"/>
      <c r="N92" s="3"/>
      <c r="O92" s="3">
        <v>3</v>
      </c>
      <c r="P92" s="3"/>
      <c r="Q92" s="5">
        <v>1.6</v>
      </c>
      <c r="R92" s="6">
        <f t="shared" si="5"/>
        <v>6.4</v>
      </c>
      <c r="S92" s="5"/>
      <c r="T92" s="7">
        <f t="shared" si="6"/>
        <v>0</v>
      </c>
    </row>
    <row r="93" spans="1:20" x14ac:dyDescent="0.3">
      <c r="A93" s="3">
        <v>1</v>
      </c>
      <c r="B93" s="3" t="s">
        <v>42</v>
      </c>
      <c r="C93" s="3"/>
      <c r="D93" s="3" t="s">
        <v>181</v>
      </c>
      <c r="E93" s="3" t="s">
        <v>175</v>
      </c>
      <c r="F93" s="4" t="s">
        <v>182</v>
      </c>
      <c r="G93" s="3" t="s">
        <v>43</v>
      </c>
      <c r="H93" s="3">
        <v>416</v>
      </c>
      <c r="I93" s="5" t="s">
        <v>44</v>
      </c>
      <c r="J93" s="3"/>
      <c r="K93" s="3"/>
      <c r="L93" s="3"/>
      <c r="M93" s="3"/>
      <c r="N93" s="3"/>
      <c r="O93" s="3">
        <v>3</v>
      </c>
      <c r="P93" s="3"/>
      <c r="Q93" s="5">
        <v>1.69</v>
      </c>
      <c r="R93" s="6">
        <f t="shared" si="5"/>
        <v>1.69</v>
      </c>
      <c r="S93" s="5"/>
      <c r="T93" s="7">
        <f t="shared" si="6"/>
        <v>0</v>
      </c>
    </row>
    <row r="94" spans="1:20" x14ac:dyDescent="0.3">
      <c r="A94" s="15">
        <v>1</v>
      </c>
      <c r="B94" s="3" t="s">
        <v>42</v>
      </c>
      <c r="C94" s="3"/>
      <c r="D94" s="3" t="s">
        <v>184</v>
      </c>
      <c r="E94" s="3" t="s">
        <v>175</v>
      </c>
      <c r="F94" s="4" t="s">
        <v>185</v>
      </c>
      <c r="G94" s="3" t="s">
        <v>43</v>
      </c>
      <c r="H94" s="3">
        <v>416</v>
      </c>
      <c r="I94" s="5" t="s">
        <v>44</v>
      </c>
      <c r="J94" s="3"/>
      <c r="K94" s="3"/>
      <c r="L94" s="3"/>
      <c r="M94" s="3"/>
      <c r="N94" s="3"/>
      <c r="O94" s="3">
        <v>3</v>
      </c>
      <c r="P94" s="3"/>
      <c r="Q94" s="5">
        <v>6.57</v>
      </c>
      <c r="R94" s="6">
        <f t="shared" si="5"/>
        <v>6.57</v>
      </c>
      <c r="S94" s="5"/>
      <c r="T94" s="7">
        <f t="shared" si="6"/>
        <v>0</v>
      </c>
    </row>
    <row r="95" spans="1:20" x14ac:dyDescent="0.3">
      <c r="A95" s="15">
        <v>0</v>
      </c>
      <c r="B95" s="3" t="s">
        <v>42</v>
      </c>
      <c r="C95" s="3"/>
      <c r="D95" s="3" t="s">
        <v>235</v>
      </c>
      <c r="E95" s="3" t="s">
        <v>175</v>
      </c>
      <c r="F95" s="4" t="s">
        <v>193</v>
      </c>
      <c r="G95" s="3" t="s">
        <v>43</v>
      </c>
      <c r="H95" s="3">
        <v>416</v>
      </c>
      <c r="I95" s="5" t="s">
        <v>44</v>
      </c>
      <c r="J95" s="3"/>
      <c r="K95" s="3"/>
      <c r="L95" s="3"/>
      <c r="M95" s="3"/>
      <c r="N95" s="3"/>
      <c r="O95" s="3">
        <v>3</v>
      </c>
      <c r="P95" s="3"/>
      <c r="Q95" s="5">
        <v>12.15</v>
      </c>
      <c r="R95" s="6">
        <f t="shared" si="5"/>
        <v>0</v>
      </c>
      <c r="S95" s="5"/>
      <c r="T95" s="7">
        <f t="shared" si="6"/>
        <v>0</v>
      </c>
    </row>
    <row r="96" spans="1:20" x14ac:dyDescent="0.3">
      <c r="A96" s="15">
        <v>2</v>
      </c>
      <c r="B96" s="3" t="s">
        <v>42</v>
      </c>
      <c r="C96" s="3"/>
      <c r="D96" s="3" t="s">
        <v>196</v>
      </c>
      <c r="E96" s="3" t="s">
        <v>175</v>
      </c>
      <c r="F96" s="4" t="s">
        <v>236</v>
      </c>
      <c r="G96" s="3" t="s">
        <v>43</v>
      </c>
      <c r="H96" s="3">
        <v>416</v>
      </c>
      <c r="I96" s="5" t="s">
        <v>44</v>
      </c>
      <c r="J96" s="3"/>
      <c r="K96" s="3"/>
      <c r="L96" s="3"/>
      <c r="M96" s="3"/>
      <c r="N96" s="3"/>
      <c r="O96" s="3">
        <v>3</v>
      </c>
      <c r="P96" s="3"/>
      <c r="Q96" s="5">
        <v>2.42</v>
      </c>
      <c r="R96" s="6">
        <f t="shared" si="5"/>
        <v>4.84</v>
      </c>
      <c r="S96" s="5"/>
      <c r="T96" s="7">
        <f t="shared" si="6"/>
        <v>0</v>
      </c>
    </row>
    <row r="97" spans="1:20" x14ac:dyDescent="0.3">
      <c r="A97" s="15">
        <v>2</v>
      </c>
      <c r="B97" s="3" t="s">
        <v>42</v>
      </c>
      <c r="C97" s="3"/>
      <c r="D97" s="3" t="s">
        <v>198</v>
      </c>
      <c r="E97" s="3" t="s">
        <v>175</v>
      </c>
      <c r="F97" s="4" t="s">
        <v>237</v>
      </c>
      <c r="G97" s="3" t="s">
        <v>43</v>
      </c>
      <c r="H97" s="3">
        <v>416</v>
      </c>
      <c r="I97" s="5" t="s">
        <v>44</v>
      </c>
      <c r="J97" s="3"/>
      <c r="K97" s="3"/>
      <c r="L97" s="3"/>
      <c r="M97" s="3"/>
      <c r="N97" s="3"/>
      <c r="O97" s="3">
        <v>3</v>
      </c>
      <c r="P97" s="3"/>
      <c r="Q97" s="5">
        <v>2.42</v>
      </c>
      <c r="R97" s="6">
        <f t="shared" si="5"/>
        <v>4.84</v>
      </c>
      <c r="S97" s="5"/>
      <c r="T97" s="7">
        <f t="shared" si="6"/>
        <v>0</v>
      </c>
    </row>
    <row r="98" spans="1:20" x14ac:dyDescent="0.3">
      <c r="A98" s="3">
        <v>10</v>
      </c>
      <c r="B98" s="3" t="s">
        <v>42</v>
      </c>
      <c r="C98" s="3"/>
      <c r="D98" s="3" t="s">
        <v>202</v>
      </c>
      <c r="E98" s="3" t="s">
        <v>175</v>
      </c>
      <c r="F98" s="4" t="s">
        <v>203</v>
      </c>
      <c r="G98" s="3" t="s">
        <v>43</v>
      </c>
      <c r="H98" s="3">
        <v>416</v>
      </c>
      <c r="I98" s="5" t="s">
        <v>44</v>
      </c>
      <c r="J98" s="3"/>
      <c r="K98" s="3"/>
      <c r="L98" s="3"/>
      <c r="M98" s="3"/>
      <c r="N98" s="3"/>
      <c r="O98" s="3">
        <v>3</v>
      </c>
      <c r="P98" s="3"/>
      <c r="Q98" s="5">
        <v>0.24</v>
      </c>
      <c r="R98" s="6">
        <f t="shared" si="5"/>
        <v>2.4</v>
      </c>
      <c r="S98" s="5"/>
      <c r="T98" s="7">
        <f t="shared" si="6"/>
        <v>0</v>
      </c>
    </row>
    <row r="99" spans="1:20" x14ac:dyDescent="0.3">
      <c r="A99" s="15">
        <v>0</v>
      </c>
      <c r="B99" s="3" t="s">
        <v>42</v>
      </c>
      <c r="C99" s="3"/>
      <c r="D99" s="3" t="s">
        <v>238</v>
      </c>
      <c r="E99" s="3" t="s">
        <v>175</v>
      </c>
      <c r="F99" s="4" t="s">
        <v>207</v>
      </c>
      <c r="G99" s="3" t="s">
        <v>43</v>
      </c>
      <c r="H99" s="3">
        <v>416</v>
      </c>
      <c r="I99" s="5" t="s">
        <v>44</v>
      </c>
      <c r="J99" s="3"/>
      <c r="K99" s="3"/>
      <c r="L99" s="3"/>
      <c r="M99" s="3"/>
      <c r="N99" s="3"/>
      <c r="O99" s="3">
        <v>3</v>
      </c>
      <c r="P99" s="3"/>
      <c r="Q99" s="5">
        <v>7.89</v>
      </c>
      <c r="R99" s="6">
        <f t="shared" si="5"/>
        <v>0</v>
      </c>
      <c r="S99" s="5"/>
      <c r="T99" s="7">
        <f t="shared" si="6"/>
        <v>0</v>
      </c>
    </row>
    <row r="100" spans="1:20" x14ac:dyDescent="0.3">
      <c r="A100" s="15">
        <v>0</v>
      </c>
      <c r="B100" s="3" t="s">
        <v>42</v>
      </c>
      <c r="C100" s="3"/>
      <c r="D100" s="3" t="s">
        <v>239</v>
      </c>
      <c r="E100" s="3" t="s">
        <v>175</v>
      </c>
      <c r="F100" s="4" t="s">
        <v>207</v>
      </c>
      <c r="G100" s="3" t="s">
        <v>43</v>
      </c>
      <c r="H100" s="3">
        <v>416</v>
      </c>
      <c r="I100" s="5" t="s">
        <v>44</v>
      </c>
      <c r="J100" s="3"/>
      <c r="K100" s="3"/>
      <c r="L100" s="3"/>
      <c r="M100" s="3"/>
      <c r="N100" s="3"/>
      <c r="O100" s="3">
        <v>3</v>
      </c>
      <c r="P100" s="3"/>
      <c r="Q100" s="5">
        <v>7.89</v>
      </c>
      <c r="R100" s="6">
        <f t="shared" si="5"/>
        <v>0</v>
      </c>
      <c r="S100" s="5"/>
      <c r="T100" s="7">
        <f t="shared" si="6"/>
        <v>0</v>
      </c>
    </row>
    <row r="101" spans="1:20" x14ac:dyDescent="0.3">
      <c r="A101" s="15">
        <v>0</v>
      </c>
      <c r="B101" s="3" t="s">
        <v>42</v>
      </c>
      <c r="C101" s="3"/>
      <c r="D101" s="3" t="s">
        <v>240</v>
      </c>
      <c r="E101" s="3" t="s">
        <v>175</v>
      </c>
      <c r="F101" s="4" t="s">
        <v>207</v>
      </c>
      <c r="G101" s="3" t="s">
        <v>43</v>
      </c>
      <c r="H101" s="3">
        <v>416</v>
      </c>
      <c r="I101" s="5" t="s">
        <v>44</v>
      </c>
      <c r="J101" s="3"/>
      <c r="K101" s="3"/>
      <c r="L101" s="3"/>
      <c r="M101" s="3"/>
      <c r="N101" s="3"/>
      <c r="O101" s="3">
        <v>3</v>
      </c>
      <c r="P101" s="3"/>
      <c r="Q101" s="5">
        <v>7.89</v>
      </c>
      <c r="R101" s="6">
        <f t="shared" si="5"/>
        <v>0</v>
      </c>
      <c r="S101" s="5"/>
      <c r="T101" s="7">
        <f t="shared" si="6"/>
        <v>0</v>
      </c>
    </row>
    <row r="102" spans="1:20" x14ac:dyDescent="0.3">
      <c r="A102" s="15">
        <v>4</v>
      </c>
      <c r="B102" s="3" t="s">
        <v>42</v>
      </c>
      <c r="C102" s="3"/>
      <c r="D102" s="3" t="s">
        <v>241</v>
      </c>
      <c r="E102" s="3" t="s">
        <v>175</v>
      </c>
      <c r="F102" s="4" t="s">
        <v>242</v>
      </c>
      <c r="G102" s="3" t="s">
        <v>43</v>
      </c>
      <c r="H102" s="3">
        <v>416</v>
      </c>
      <c r="I102" s="5" t="s">
        <v>44</v>
      </c>
      <c r="J102" s="3"/>
      <c r="K102" s="3"/>
      <c r="L102" s="3"/>
      <c r="M102" s="3"/>
      <c r="N102" s="3"/>
      <c r="O102" s="3">
        <v>3</v>
      </c>
      <c r="P102" s="3"/>
      <c r="Q102" s="5">
        <v>10</v>
      </c>
      <c r="R102" s="6">
        <f t="shared" si="5"/>
        <v>40</v>
      </c>
      <c r="S102" s="5"/>
      <c r="T102" s="7">
        <f t="shared" si="6"/>
        <v>0</v>
      </c>
    </row>
    <row r="103" spans="1:20" x14ac:dyDescent="0.3">
      <c r="A103" s="15">
        <v>2</v>
      </c>
      <c r="B103" s="3" t="s">
        <v>42</v>
      </c>
      <c r="C103" s="3"/>
      <c r="D103" s="3" t="s">
        <v>200</v>
      </c>
      <c r="E103" s="3" t="s">
        <v>175</v>
      </c>
      <c r="F103" s="4" t="s">
        <v>242</v>
      </c>
      <c r="G103" s="3" t="s">
        <v>43</v>
      </c>
      <c r="H103" s="3">
        <v>416</v>
      </c>
      <c r="I103" s="5" t="s">
        <v>44</v>
      </c>
      <c r="J103" s="3"/>
      <c r="K103" s="3"/>
      <c r="L103" s="3"/>
      <c r="M103" s="3"/>
      <c r="N103" s="3"/>
      <c r="O103" s="3">
        <v>3</v>
      </c>
      <c r="P103" s="3"/>
      <c r="Q103" s="5">
        <v>4</v>
      </c>
      <c r="R103" s="6">
        <f t="shared" si="5"/>
        <v>8</v>
      </c>
      <c r="S103" s="5"/>
      <c r="T103" s="7">
        <f t="shared" si="6"/>
        <v>0</v>
      </c>
    </row>
    <row r="104" spans="1:20" x14ac:dyDescent="0.3">
      <c r="A104" s="15">
        <v>2</v>
      </c>
      <c r="B104" s="3" t="s">
        <v>42</v>
      </c>
      <c r="C104" s="3"/>
      <c r="D104" s="3" t="s">
        <v>204</v>
      </c>
      <c r="E104" s="3" t="s">
        <v>175</v>
      </c>
      <c r="F104" s="4" t="s">
        <v>242</v>
      </c>
      <c r="G104" s="3" t="s">
        <v>43</v>
      </c>
      <c r="H104" s="3">
        <v>416</v>
      </c>
      <c r="I104" s="5" t="s">
        <v>44</v>
      </c>
      <c r="J104" s="3"/>
      <c r="K104" s="3"/>
      <c r="L104" s="3"/>
      <c r="M104" s="3"/>
      <c r="N104" s="3"/>
      <c r="O104" s="3">
        <v>3</v>
      </c>
      <c r="P104" s="3"/>
      <c r="Q104" s="5">
        <v>3</v>
      </c>
      <c r="R104" s="6">
        <f t="shared" si="5"/>
        <v>6</v>
      </c>
      <c r="S104" s="5"/>
      <c r="T104" s="7">
        <f t="shared" si="6"/>
        <v>0</v>
      </c>
    </row>
    <row r="105" spans="1:20" x14ac:dyDescent="0.3">
      <c r="A105" s="3">
        <v>1</v>
      </c>
      <c r="B105" s="3" t="s">
        <v>42</v>
      </c>
      <c r="C105" s="3"/>
      <c r="D105" s="3" t="s">
        <v>212</v>
      </c>
      <c r="E105" s="3" t="s">
        <v>175</v>
      </c>
      <c r="F105" s="4" t="s">
        <v>213</v>
      </c>
      <c r="G105" s="3" t="s">
        <v>43</v>
      </c>
      <c r="H105" s="3">
        <v>416</v>
      </c>
      <c r="I105" s="5" t="s">
        <v>44</v>
      </c>
      <c r="J105" s="3"/>
      <c r="K105" s="3"/>
      <c r="L105" s="3"/>
      <c r="M105" s="3"/>
      <c r="N105" s="3"/>
      <c r="O105" s="3">
        <v>3</v>
      </c>
      <c r="P105" s="3"/>
      <c r="Q105" s="5">
        <v>72.349999999999994</v>
      </c>
      <c r="R105" s="6">
        <f t="shared" si="5"/>
        <v>72.349999999999994</v>
      </c>
      <c r="S105" s="5"/>
      <c r="T105" s="7">
        <f t="shared" si="6"/>
        <v>0</v>
      </c>
    </row>
    <row r="106" spans="1:20" x14ac:dyDescent="0.3">
      <c r="A106" s="3">
        <v>0</v>
      </c>
      <c r="B106" s="3" t="s">
        <v>42</v>
      </c>
      <c r="C106" s="3"/>
      <c r="D106" s="3" t="s">
        <v>243</v>
      </c>
      <c r="E106" s="3" t="s">
        <v>175</v>
      </c>
      <c r="F106" s="4" t="s">
        <v>242</v>
      </c>
      <c r="G106" s="3" t="s">
        <v>43</v>
      </c>
      <c r="H106" s="3">
        <v>416</v>
      </c>
      <c r="I106" s="5" t="s">
        <v>44</v>
      </c>
      <c r="J106" s="3"/>
      <c r="K106" s="3"/>
      <c r="L106" s="3"/>
      <c r="M106" s="3"/>
      <c r="N106" s="3"/>
      <c r="O106" s="3">
        <v>3</v>
      </c>
      <c r="P106" s="3"/>
      <c r="Q106" s="5">
        <v>4</v>
      </c>
      <c r="R106" s="6">
        <f t="shared" si="5"/>
        <v>0</v>
      </c>
      <c r="S106" s="5"/>
      <c r="T106" s="7">
        <f t="shared" si="6"/>
        <v>0</v>
      </c>
    </row>
    <row r="107" spans="1:20" x14ac:dyDescent="0.3">
      <c r="A107" s="3">
        <v>1</v>
      </c>
      <c r="B107" s="3" t="s">
        <v>42</v>
      </c>
      <c r="C107" s="3"/>
      <c r="D107" s="3" t="s">
        <v>244</v>
      </c>
      <c r="E107" s="3" t="s">
        <v>175</v>
      </c>
      <c r="F107" s="4" t="s">
        <v>127</v>
      </c>
      <c r="G107" s="3" t="s">
        <v>43</v>
      </c>
      <c r="H107" s="3">
        <v>416</v>
      </c>
      <c r="I107" s="5" t="s">
        <v>44</v>
      </c>
      <c r="J107" s="3"/>
      <c r="K107" s="3"/>
      <c r="L107" s="3"/>
      <c r="M107" s="3"/>
      <c r="N107" s="3"/>
      <c r="O107" s="3">
        <v>3</v>
      </c>
      <c r="P107" s="3"/>
      <c r="Q107" s="5">
        <v>4</v>
      </c>
      <c r="R107" s="6">
        <f t="shared" si="5"/>
        <v>4</v>
      </c>
      <c r="S107" s="5"/>
      <c r="T107" s="7">
        <f t="shared" si="6"/>
        <v>0</v>
      </c>
    </row>
    <row r="108" spans="1:20" x14ac:dyDescent="0.3">
      <c r="A108" s="3">
        <v>1</v>
      </c>
      <c r="B108" s="3" t="s">
        <v>42</v>
      </c>
      <c r="C108" s="3"/>
      <c r="D108" s="3" t="s">
        <v>245</v>
      </c>
      <c r="E108" s="3" t="s">
        <v>175</v>
      </c>
      <c r="F108" s="4" t="s">
        <v>246</v>
      </c>
      <c r="G108" s="3" t="s">
        <v>43</v>
      </c>
      <c r="H108" s="3">
        <v>416</v>
      </c>
      <c r="I108" s="5" t="s">
        <v>44</v>
      </c>
      <c r="J108" s="3"/>
      <c r="K108" s="3"/>
      <c r="L108" s="3"/>
      <c r="M108" s="3"/>
      <c r="N108" s="3"/>
      <c r="O108" s="3">
        <v>3</v>
      </c>
      <c r="P108" s="3"/>
      <c r="Q108" s="5">
        <v>3</v>
      </c>
      <c r="R108" s="6">
        <f t="shared" si="5"/>
        <v>3</v>
      </c>
      <c r="S108" s="5"/>
      <c r="T108" s="7">
        <f t="shared" si="6"/>
        <v>0</v>
      </c>
    </row>
    <row r="109" spans="1:20" x14ac:dyDescent="0.3">
      <c r="A109" s="15">
        <v>1</v>
      </c>
      <c r="B109" s="3" t="s">
        <v>42</v>
      </c>
      <c r="C109" s="3"/>
      <c r="D109" s="3" t="s">
        <v>156</v>
      </c>
      <c r="E109" s="3" t="s">
        <v>175</v>
      </c>
      <c r="F109" s="4" t="s">
        <v>183</v>
      </c>
      <c r="G109" s="3" t="s">
        <v>43</v>
      </c>
      <c r="H109" s="3">
        <v>416</v>
      </c>
      <c r="I109" s="5" t="s">
        <v>44</v>
      </c>
      <c r="J109" s="3"/>
      <c r="K109" s="3"/>
      <c r="L109" s="3"/>
      <c r="M109" s="3"/>
      <c r="N109" s="3"/>
      <c r="O109" s="3">
        <v>3</v>
      </c>
      <c r="P109" s="3"/>
      <c r="Q109" s="5">
        <v>27.29</v>
      </c>
      <c r="R109" s="6">
        <f t="shared" si="5"/>
        <v>27.29</v>
      </c>
      <c r="S109" s="5"/>
      <c r="T109" s="7">
        <f t="shared" si="6"/>
        <v>0</v>
      </c>
    </row>
    <row r="110" spans="1:20" x14ac:dyDescent="0.3">
      <c r="A110" s="3">
        <v>1</v>
      </c>
      <c r="B110" s="3" t="s">
        <v>42</v>
      </c>
      <c r="C110" s="3"/>
      <c r="D110" s="3" t="s">
        <v>247</v>
      </c>
      <c r="E110" s="3" t="s">
        <v>170</v>
      </c>
      <c r="F110" s="4" t="s">
        <v>248</v>
      </c>
      <c r="G110" s="3" t="s">
        <v>43</v>
      </c>
      <c r="H110" s="3">
        <v>416</v>
      </c>
      <c r="I110" s="5" t="s">
        <v>44</v>
      </c>
      <c r="J110" s="3"/>
      <c r="K110" s="3"/>
      <c r="L110" s="3"/>
      <c r="M110" s="3"/>
      <c r="N110" s="3"/>
      <c r="O110" s="3">
        <v>3</v>
      </c>
      <c r="P110" s="3"/>
      <c r="Q110" s="5">
        <v>457.71</v>
      </c>
      <c r="R110" s="6">
        <f t="shared" si="5"/>
        <v>457.71</v>
      </c>
      <c r="S110" s="5"/>
      <c r="T110" s="7">
        <f t="shared" si="6"/>
        <v>0</v>
      </c>
    </row>
    <row r="111" spans="1:20" x14ac:dyDescent="0.3">
      <c r="A111" s="3">
        <v>0</v>
      </c>
      <c r="B111" s="3" t="s">
        <v>42</v>
      </c>
      <c r="C111" s="3"/>
      <c r="D111" s="3" t="s">
        <v>214</v>
      </c>
      <c r="E111" s="3" t="s">
        <v>170</v>
      </c>
      <c r="F111" s="4" t="s">
        <v>215</v>
      </c>
      <c r="G111" s="3" t="s">
        <v>43</v>
      </c>
      <c r="H111" s="3">
        <v>416</v>
      </c>
      <c r="I111" s="5" t="s">
        <v>44</v>
      </c>
      <c r="J111" s="3"/>
      <c r="K111" s="3"/>
      <c r="L111" s="3"/>
      <c r="M111" s="3"/>
      <c r="N111" s="3"/>
      <c r="O111" s="3">
        <v>3</v>
      </c>
      <c r="P111" s="3"/>
      <c r="Q111" s="5">
        <v>250</v>
      </c>
      <c r="R111" s="6">
        <f t="shared" si="5"/>
        <v>0</v>
      </c>
      <c r="S111" s="5"/>
      <c r="T111" s="7">
        <f t="shared" si="6"/>
        <v>0</v>
      </c>
    </row>
    <row r="112" spans="1:20" ht="160.80000000000001" x14ac:dyDescent="0.3">
      <c r="A112" s="3">
        <v>0</v>
      </c>
      <c r="B112" s="3" t="s">
        <v>42</v>
      </c>
      <c r="C112" s="3"/>
      <c r="D112" s="26" t="s">
        <v>216</v>
      </c>
      <c r="E112" s="3" t="s">
        <v>170</v>
      </c>
      <c r="F112" s="4" t="s">
        <v>217</v>
      </c>
      <c r="G112" s="3" t="s">
        <v>43</v>
      </c>
      <c r="H112" s="3">
        <v>416</v>
      </c>
      <c r="I112" s="5" t="s">
        <v>44</v>
      </c>
      <c r="J112" s="3"/>
      <c r="K112" s="3"/>
      <c r="L112" s="3"/>
      <c r="M112" s="3"/>
      <c r="N112" s="3"/>
      <c r="O112" s="3">
        <v>3</v>
      </c>
      <c r="P112" s="3"/>
      <c r="Q112" s="5">
        <v>205</v>
      </c>
      <c r="R112" s="6">
        <f t="shared" si="5"/>
        <v>0</v>
      </c>
      <c r="S112" s="5"/>
      <c r="T112" s="7">
        <f t="shared" si="6"/>
        <v>0</v>
      </c>
    </row>
    <row r="113" spans="1:20" x14ac:dyDescent="0.3">
      <c r="A113" s="3">
        <v>0</v>
      </c>
      <c r="B113" s="3" t="s">
        <v>42</v>
      </c>
      <c r="C113" s="3"/>
      <c r="D113" s="3" t="s">
        <v>218</v>
      </c>
      <c r="E113" s="3" t="s">
        <v>170</v>
      </c>
      <c r="F113" s="4" t="s">
        <v>219</v>
      </c>
      <c r="G113" s="3" t="s">
        <v>43</v>
      </c>
      <c r="H113" s="3">
        <v>416</v>
      </c>
      <c r="I113" s="5" t="s">
        <v>44</v>
      </c>
      <c r="J113" s="3"/>
      <c r="K113" s="3"/>
      <c r="L113" s="3"/>
      <c r="M113" s="3"/>
      <c r="N113" s="3"/>
      <c r="O113" s="3">
        <v>3</v>
      </c>
      <c r="P113" s="3"/>
      <c r="Q113" s="5">
        <v>50</v>
      </c>
      <c r="R113" s="6">
        <f t="shared" si="5"/>
        <v>0</v>
      </c>
      <c r="S113" s="5"/>
      <c r="T113" s="7">
        <f t="shared" si="6"/>
        <v>0</v>
      </c>
    </row>
    <row r="114" spans="1:20" x14ac:dyDescent="0.3">
      <c r="A114" s="3">
        <v>0</v>
      </c>
      <c r="B114" s="3" t="s">
        <v>42</v>
      </c>
      <c r="C114" s="3"/>
      <c r="D114" s="3" t="s">
        <v>220</v>
      </c>
      <c r="E114" s="3" t="s">
        <v>175</v>
      </c>
      <c r="F114" s="4" t="s">
        <v>221</v>
      </c>
      <c r="G114" s="3" t="s">
        <v>43</v>
      </c>
      <c r="H114" s="3">
        <v>416</v>
      </c>
      <c r="I114" s="5" t="s">
        <v>44</v>
      </c>
      <c r="J114" s="3"/>
      <c r="K114" s="3"/>
      <c r="L114" s="3"/>
      <c r="M114" s="3"/>
      <c r="N114" s="3"/>
      <c r="O114" s="3">
        <v>3</v>
      </c>
      <c r="P114" s="3"/>
      <c r="Q114" s="5">
        <v>2.2200000000000002</v>
      </c>
      <c r="R114" s="6">
        <f t="shared" si="5"/>
        <v>0</v>
      </c>
      <c r="S114" s="5"/>
      <c r="T114" s="7">
        <f t="shared" si="6"/>
        <v>0</v>
      </c>
    </row>
    <row r="115" spans="1:20" x14ac:dyDescent="0.3">
      <c r="A115" s="3">
        <v>0</v>
      </c>
      <c r="B115" s="3" t="s">
        <v>42</v>
      </c>
      <c r="C115" s="3"/>
      <c r="D115" s="3" t="s">
        <v>222</v>
      </c>
      <c r="E115" s="3" t="s">
        <v>175</v>
      </c>
      <c r="F115" s="4" t="s">
        <v>223</v>
      </c>
      <c r="G115" s="3" t="s">
        <v>43</v>
      </c>
      <c r="H115" s="3">
        <v>416</v>
      </c>
      <c r="I115" s="5" t="s">
        <v>44</v>
      </c>
      <c r="J115" s="3"/>
      <c r="K115" s="3"/>
      <c r="L115" s="3"/>
      <c r="M115" s="3"/>
      <c r="N115" s="3"/>
      <c r="O115" s="3">
        <v>3</v>
      </c>
      <c r="P115" s="3"/>
      <c r="Q115" s="5">
        <v>1.05</v>
      </c>
      <c r="R115" s="6">
        <f t="shared" si="5"/>
        <v>0</v>
      </c>
      <c r="S115" s="5"/>
      <c r="T115" s="7">
        <f t="shared" si="6"/>
        <v>0</v>
      </c>
    </row>
    <row r="116" spans="1:20" x14ac:dyDescent="0.3">
      <c r="A116" s="3">
        <v>1</v>
      </c>
      <c r="B116" s="3" t="s">
        <v>42</v>
      </c>
      <c r="C116" s="3"/>
      <c r="D116" s="3" t="s">
        <v>249</v>
      </c>
      <c r="E116" s="3" t="s">
        <v>224</v>
      </c>
      <c r="F116" s="4"/>
      <c r="G116" s="3" t="s">
        <v>43</v>
      </c>
      <c r="H116" s="3">
        <v>420</v>
      </c>
      <c r="I116" s="5" t="s">
        <v>44</v>
      </c>
      <c r="J116" s="3"/>
      <c r="K116" s="3"/>
      <c r="L116" s="3"/>
      <c r="M116" s="3"/>
      <c r="N116" s="3"/>
      <c r="O116" s="3">
        <v>3</v>
      </c>
      <c r="P116" s="3"/>
      <c r="Q116" s="5">
        <v>50</v>
      </c>
      <c r="R116" s="6">
        <f t="shared" si="5"/>
        <v>50</v>
      </c>
      <c r="S116" s="5"/>
      <c r="T116" s="7">
        <f t="shared" si="6"/>
        <v>0</v>
      </c>
    </row>
    <row r="117" spans="1:20" x14ac:dyDescent="0.3">
      <c r="A117" s="3">
        <v>20</v>
      </c>
      <c r="B117" s="3" t="s">
        <v>42</v>
      </c>
      <c r="C117" s="3"/>
      <c r="D117" s="3" t="s">
        <v>45</v>
      </c>
      <c r="E117" s="3"/>
      <c r="F117" s="4"/>
      <c r="G117" s="3" t="s">
        <v>43</v>
      </c>
      <c r="H117" s="3">
        <v>420</v>
      </c>
      <c r="I117" s="5" t="s">
        <v>44</v>
      </c>
      <c r="J117" s="3"/>
      <c r="K117" s="3"/>
      <c r="L117" s="3"/>
      <c r="M117" s="3"/>
      <c r="N117" s="3"/>
      <c r="O117" s="3">
        <v>3</v>
      </c>
      <c r="P117" s="3"/>
      <c r="Q117" s="5">
        <v>1</v>
      </c>
      <c r="R117" s="6">
        <f t="shared" si="5"/>
        <v>20</v>
      </c>
      <c r="S117" s="5"/>
      <c r="T117" s="7">
        <f t="shared" si="6"/>
        <v>0</v>
      </c>
    </row>
    <row r="118" spans="1:20" x14ac:dyDescent="0.3">
      <c r="A118" s="3">
        <v>0</v>
      </c>
      <c r="B118" s="3" t="s">
        <v>42</v>
      </c>
      <c r="C118" s="3"/>
      <c r="D118" s="3" t="s">
        <v>118</v>
      </c>
      <c r="E118" s="3" t="s">
        <v>224</v>
      </c>
      <c r="F118" s="4"/>
      <c r="G118" s="3" t="s">
        <v>43</v>
      </c>
      <c r="H118" s="3">
        <v>420</v>
      </c>
      <c r="I118" s="5" t="s">
        <v>44</v>
      </c>
      <c r="J118" s="3"/>
      <c r="K118" s="3"/>
      <c r="L118" s="3"/>
      <c r="M118" s="3"/>
      <c r="N118" s="3"/>
      <c r="O118" s="3">
        <v>3</v>
      </c>
      <c r="P118" s="3"/>
      <c r="Q118" s="5">
        <v>250</v>
      </c>
      <c r="R118" s="6">
        <f t="shared" si="5"/>
        <v>0</v>
      </c>
      <c r="S118" s="5"/>
      <c r="T118" s="7">
        <f t="shared" si="6"/>
        <v>0</v>
      </c>
    </row>
    <row r="121" spans="1:20" x14ac:dyDescent="0.3">
      <c r="A121" s="12"/>
      <c r="B121" s="17"/>
      <c r="C121" s="12"/>
      <c r="D121" s="29" t="s">
        <v>251</v>
      </c>
      <c r="E121" s="16"/>
      <c r="F121" s="4"/>
      <c r="G121" s="18"/>
      <c r="H121" s="4"/>
      <c r="I121" s="14"/>
      <c r="J121" s="4"/>
      <c r="K121" s="4" t="s">
        <v>122</v>
      </c>
      <c r="L121" s="4"/>
      <c r="M121" s="4"/>
      <c r="N121" s="4"/>
      <c r="O121" s="4"/>
      <c r="P121" s="4"/>
      <c r="Q121" s="15"/>
      <c r="R121" s="19"/>
      <c r="S121" s="20"/>
      <c r="T121" s="4"/>
    </row>
    <row r="122" spans="1:20" x14ac:dyDescent="0.3">
      <c r="A122" s="15"/>
      <c r="B122" s="3"/>
      <c r="C122" s="3"/>
      <c r="D122" s="3"/>
      <c r="E122" s="3"/>
      <c r="F122" s="4"/>
      <c r="G122" s="3"/>
      <c r="H122" s="3"/>
      <c r="I122" s="5"/>
      <c r="J122" s="3"/>
      <c r="K122" s="3"/>
      <c r="L122" s="3"/>
      <c r="M122" s="3"/>
      <c r="N122" s="3"/>
      <c r="O122" s="3"/>
      <c r="P122" s="3"/>
      <c r="Q122" s="5"/>
      <c r="R122" s="6">
        <f t="shared" ref="R122:R136" si="7">$A122*Q122</f>
        <v>0</v>
      </c>
      <c r="S122" s="5"/>
      <c r="T122" s="7">
        <f t="shared" ref="T122:T136" si="8">$A122*S122*$T$1</f>
        <v>0</v>
      </c>
    </row>
    <row r="123" spans="1:20" ht="286.2" x14ac:dyDescent="0.3">
      <c r="A123" s="3">
        <v>1</v>
      </c>
      <c r="B123" s="3" t="s">
        <v>42</v>
      </c>
      <c r="C123" s="3"/>
      <c r="D123" s="26" t="s">
        <v>252</v>
      </c>
      <c r="E123" s="3" t="s">
        <v>170</v>
      </c>
      <c r="F123" s="4" t="s">
        <v>253</v>
      </c>
      <c r="G123" s="3" t="s">
        <v>43</v>
      </c>
      <c r="H123" s="3">
        <v>410</v>
      </c>
      <c r="I123" s="5" t="s">
        <v>44</v>
      </c>
      <c r="J123" s="3"/>
      <c r="K123" s="3"/>
      <c r="L123" s="3"/>
      <c r="M123" s="3"/>
      <c r="N123" s="3"/>
      <c r="O123" s="3">
        <v>3</v>
      </c>
      <c r="P123" s="3"/>
      <c r="Q123" s="5"/>
      <c r="R123" s="6">
        <f t="shared" si="7"/>
        <v>0</v>
      </c>
      <c r="S123" s="5"/>
      <c r="T123" s="7">
        <f t="shared" si="8"/>
        <v>0</v>
      </c>
    </row>
    <row r="124" spans="1:20" ht="81" x14ac:dyDescent="0.3">
      <c r="A124" s="3">
        <v>1</v>
      </c>
      <c r="B124" s="3" t="s">
        <v>42</v>
      </c>
      <c r="C124" s="3"/>
      <c r="D124" s="26" t="s">
        <v>254</v>
      </c>
      <c r="E124" s="3" t="s">
        <v>170</v>
      </c>
      <c r="F124" s="4" t="s">
        <v>255</v>
      </c>
      <c r="G124" s="3" t="s">
        <v>43</v>
      </c>
      <c r="H124" s="3">
        <v>416</v>
      </c>
      <c r="I124" s="5" t="s">
        <v>44</v>
      </c>
      <c r="J124" s="3"/>
      <c r="K124" s="3"/>
      <c r="L124" s="3"/>
      <c r="M124" s="3"/>
      <c r="N124" s="3"/>
      <c r="O124" s="3">
        <v>3</v>
      </c>
      <c r="P124" s="3"/>
      <c r="Q124" s="5"/>
      <c r="R124" s="6">
        <f t="shared" si="7"/>
        <v>0</v>
      </c>
      <c r="S124" s="5"/>
      <c r="T124" s="7">
        <f t="shared" si="8"/>
        <v>0</v>
      </c>
    </row>
    <row r="125" spans="1:20" x14ac:dyDescent="0.3">
      <c r="A125" s="3"/>
      <c r="B125" s="3"/>
      <c r="C125" s="3"/>
      <c r="D125" s="26"/>
      <c r="E125" s="3"/>
      <c r="F125" s="4"/>
      <c r="G125" s="3" t="s">
        <v>43</v>
      </c>
      <c r="H125" s="3">
        <v>416</v>
      </c>
      <c r="I125" s="5" t="s">
        <v>44</v>
      </c>
      <c r="J125" s="3"/>
      <c r="K125" s="3"/>
      <c r="L125" s="3"/>
      <c r="M125" s="3"/>
      <c r="N125" s="3"/>
      <c r="O125" s="3">
        <v>3</v>
      </c>
      <c r="P125" s="3"/>
      <c r="Q125" s="5"/>
      <c r="R125" s="6">
        <f t="shared" si="7"/>
        <v>0</v>
      </c>
      <c r="S125" s="5"/>
      <c r="T125" s="7">
        <f t="shared" si="8"/>
        <v>0</v>
      </c>
    </row>
    <row r="126" spans="1:20" ht="217.8" x14ac:dyDescent="0.3">
      <c r="A126" s="3">
        <v>1</v>
      </c>
      <c r="B126" s="3" t="s">
        <v>42</v>
      </c>
      <c r="C126" s="3"/>
      <c r="D126" s="26" t="s">
        <v>214</v>
      </c>
      <c r="E126" s="3" t="s">
        <v>170</v>
      </c>
      <c r="F126" s="4" t="s">
        <v>215</v>
      </c>
      <c r="G126" s="3"/>
      <c r="H126" s="3">
        <v>410</v>
      </c>
      <c r="I126" s="5" t="s">
        <v>44</v>
      </c>
      <c r="J126" s="3"/>
      <c r="K126" s="3"/>
      <c r="L126" s="3"/>
      <c r="M126" s="3"/>
      <c r="N126" s="3"/>
      <c r="O126" s="3">
        <v>3</v>
      </c>
      <c r="P126" s="3"/>
      <c r="Q126" s="5"/>
      <c r="R126" s="6">
        <f t="shared" si="7"/>
        <v>0</v>
      </c>
      <c r="S126" s="5"/>
      <c r="T126" s="7">
        <f t="shared" si="8"/>
        <v>0</v>
      </c>
    </row>
    <row r="127" spans="1:20" ht="160.80000000000001" x14ac:dyDescent="0.3">
      <c r="A127" s="3">
        <v>1</v>
      </c>
      <c r="B127" s="3" t="s">
        <v>42</v>
      </c>
      <c r="C127" s="3"/>
      <c r="D127" s="26" t="s">
        <v>216</v>
      </c>
      <c r="E127" s="3" t="s">
        <v>170</v>
      </c>
      <c r="F127" s="4" t="s">
        <v>217</v>
      </c>
      <c r="G127" s="3" t="s">
        <v>43</v>
      </c>
      <c r="H127" s="3">
        <v>416</v>
      </c>
      <c r="I127" s="5" t="s">
        <v>44</v>
      </c>
      <c r="J127" s="3"/>
      <c r="K127" s="3"/>
      <c r="L127" s="3"/>
      <c r="M127" s="3"/>
      <c r="N127" s="3"/>
      <c r="O127" s="3">
        <v>3</v>
      </c>
      <c r="P127" s="3"/>
      <c r="Q127" s="5"/>
      <c r="R127" s="6">
        <f t="shared" si="7"/>
        <v>0</v>
      </c>
      <c r="S127" s="5"/>
      <c r="T127" s="7">
        <f t="shared" si="8"/>
        <v>0</v>
      </c>
    </row>
    <row r="128" spans="1:20" ht="92.4" x14ac:dyDescent="0.3">
      <c r="A128" s="3">
        <v>1</v>
      </c>
      <c r="B128" s="3" t="s">
        <v>42</v>
      </c>
      <c r="C128" s="3"/>
      <c r="D128" s="26" t="s">
        <v>218</v>
      </c>
      <c r="E128" s="3" t="s">
        <v>170</v>
      </c>
      <c r="F128" s="4" t="s">
        <v>219</v>
      </c>
      <c r="G128" s="3" t="s">
        <v>43</v>
      </c>
      <c r="H128" s="3">
        <v>416</v>
      </c>
      <c r="I128" s="5" t="s">
        <v>44</v>
      </c>
      <c r="J128" s="3"/>
      <c r="K128" s="3"/>
      <c r="L128" s="3"/>
      <c r="M128" s="3"/>
      <c r="N128" s="3"/>
      <c r="O128" s="3">
        <v>3</v>
      </c>
      <c r="P128" s="3"/>
      <c r="Q128" s="5"/>
      <c r="R128" s="6">
        <f t="shared" si="7"/>
        <v>0</v>
      </c>
      <c r="S128" s="5"/>
      <c r="T128" s="7">
        <f t="shared" si="8"/>
        <v>0</v>
      </c>
    </row>
    <row r="129" spans="1:20" x14ac:dyDescent="0.3">
      <c r="A129" s="3"/>
      <c r="B129" s="3"/>
      <c r="C129" s="3"/>
      <c r="D129" s="26"/>
      <c r="E129" s="3"/>
      <c r="F129" s="4"/>
      <c r="G129" s="3" t="s">
        <v>43</v>
      </c>
      <c r="H129" s="3">
        <v>416</v>
      </c>
      <c r="I129" s="5" t="s">
        <v>44</v>
      </c>
      <c r="J129" s="3"/>
      <c r="K129" s="3"/>
      <c r="L129" s="3"/>
      <c r="M129" s="3"/>
      <c r="N129" s="3"/>
      <c r="O129" s="3">
        <v>3</v>
      </c>
      <c r="P129" s="3"/>
      <c r="Q129" s="5"/>
      <c r="R129" s="6">
        <f t="shared" si="7"/>
        <v>0</v>
      </c>
      <c r="S129" s="5"/>
      <c r="T129" s="7">
        <f t="shared" si="8"/>
        <v>0</v>
      </c>
    </row>
    <row r="130" spans="1:20" ht="92.4" x14ac:dyDescent="0.3">
      <c r="A130" s="3">
        <v>1</v>
      </c>
      <c r="B130" s="3" t="s">
        <v>42</v>
      </c>
      <c r="C130" s="3"/>
      <c r="D130" s="26" t="s">
        <v>256</v>
      </c>
      <c r="E130" s="3" t="s">
        <v>124</v>
      </c>
      <c r="F130" s="4" t="s">
        <v>257</v>
      </c>
      <c r="G130" s="3" t="s">
        <v>43</v>
      </c>
      <c r="H130" s="3">
        <v>416</v>
      </c>
      <c r="I130" s="5" t="s">
        <v>44</v>
      </c>
      <c r="J130" s="3"/>
      <c r="K130" s="3"/>
      <c r="L130" s="3"/>
      <c r="M130" s="3"/>
      <c r="N130" s="3"/>
      <c r="O130" s="3">
        <v>3</v>
      </c>
      <c r="P130" s="3"/>
      <c r="Q130" s="5"/>
      <c r="R130" s="6">
        <f t="shared" si="7"/>
        <v>0</v>
      </c>
      <c r="S130" s="5"/>
      <c r="T130" s="7">
        <f t="shared" si="8"/>
        <v>0</v>
      </c>
    </row>
    <row r="131" spans="1:20" ht="81" x14ac:dyDescent="0.3">
      <c r="A131" s="3">
        <v>1</v>
      </c>
      <c r="B131" s="3" t="s">
        <v>42</v>
      </c>
      <c r="C131" s="3"/>
      <c r="D131" s="26" t="s">
        <v>258</v>
      </c>
      <c r="E131" s="3" t="s">
        <v>124</v>
      </c>
      <c r="F131" s="4" t="s">
        <v>259</v>
      </c>
      <c r="G131" s="3" t="s">
        <v>43</v>
      </c>
      <c r="H131" s="3">
        <v>416</v>
      </c>
      <c r="I131" s="5" t="s">
        <v>44</v>
      </c>
      <c r="J131" s="3"/>
      <c r="K131" s="3"/>
      <c r="L131" s="3"/>
      <c r="M131" s="3"/>
      <c r="N131" s="3"/>
      <c r="O131" s="3">
        <v>3</v>
      </c>
      <c r="P131" s="3"/>
      <c r="Q131" s="5"/>
      <c r="R131" s="6">
        <f t="shared" si="7"/>
        <v>0</v>
      </c>
      <c r="S131" s="5"/>
      <c r="T131" s="7">
        <f t="shared" si="8"/>
        <v>0</v>
      </c>
    </row>
    <row r="132" spans="1:20" ht="81" x14ac:dyDescent="0.3">
      <c r="A132" s="3">
        <v>1</v>
      </c>
      <c r="B132" s="3" t="s">
        <v>42</v>
      </c>
      <c r="C132" s="3"/>
      <c r="D132" s="26" t="s">
        <v>260</v>
      </c>
      <c r="E132" s="3" t="s">
        <v>124</v>
      </c>
      <c r="F132" s="4" t="s">
        <v>261</v>
      </c>
      <c r="G132" s="3" t="s">
        <v>43</v>
      </c>
      <c r="H132" s="3">
        <v>416</v>
      </c>
      <c r="I132" s="5" t="s">
        <v>44</v>
      </c>
      <c r="J132" s="3"/>
      <c r="K132" s="3"/>
      <c r="L132" s="3"/>
      <c r="M132" s="3"/>
      <c r="N132" s="3"/>
      <c r="O132" s="3">
        <v>3</v>
      </c>
      <c r="P132" s="3"/>
      <c r="Q132" s="5"/>
      <c r="R132" s="6">
        <f t="shared" si="7"/>
        <v>0</v>
      </c>
      <c r="S132" s="5"/>
      <c r="T132" s="7">
        <f t="shared" si="8"/>
        <v>0</v>
      </c>
    </row>
    <row r="133" spans="1:20" ht="58.2" x14ac:dyDescent="0.3">
      <c r="A133" s="3">
        <v>1</v>
      </c>
      <c r="B133" s="3" t="s">
        <v>42</v>
      </c>
      <c r="C133" s="3"/>
      <c r="D133" s="26" t="s">
        <v>262</v>
      </c>
      <c r="E133" s="3" t="s">
        <v>124</v>
      </c>
      <c r="F133" s="4" t="s">
        <v>151</v>
      </c>
      <c r="G133" s="3" t="s">
        <v>43</v>
      </c>
      <c r="H133" s="3">
        <v>416</v>
      </c>
      <c r="I133" s="5" t="s">
        <v>44</v>
      </c>
      <c r="J133" s="3"/>
      <c r="K133" s="3"/>
      <c r="L133" s="3"/>
      <c r="M133" s="3"/>
      <c r="N133" s="3"/>
      <c r="O133" s="3">
        <v>3</v>
      </c>
      <c r="P133" s="3"/>
      <c r="Q133" s="5"/>
      <c r="R133" s="6">
        <f t="shared" si="7"/>
        <v>0</v>
      </c>
      <c r="S133" s="5"/>
      <c r="T133" s="7">
        <f t="shared" si="8"/>
        <v>0</v>
      </c>
    </row>
    <row r="134" spans="1:20" ht="81" x14ac:dyDescent="0.3">
      <c r="A134" s="3">
        <v>1</v>
      </c>
      <c r="B134" s="3" t="s">
        <v>42</v>
      </c>
      <c r="C134" s="3"/>
      <c r="D134" s="26" t="s">
        <v>263</v>
      </c>
      <c r="E134" s="3" t="s">
        <v>124</v>
      </c>
      <c r="F134" s="4" t="s">
        <v>264</v>
      </c>
      <c r="G134" s="3" t="s">
        <v>43</v>
      </c>
      <c r="H134" s="3">
        <v>416</v>
      </c>
      <c r="I134" s="5" t="s">
        <v>44</v>
      </c>
      <c r="J134" s="3"/>
      <c r="K134" s="3"/>
      <c r="L134" s="3"/>
      <c r="M134" s="3"/>
      <c r="N134" s="3"/>
      <c r="O134" s="3">
        <v>3</v>
      </c>
      <c r="P134" s="3"/>
      <c r="Q134" s="5"/>
      <c r="R134" s="6">
        <f t="shared" si="7"/>
        <v>0</v>
      </c>
      <c r="S134" s="5"/>
      <c r="T134" s="7">
        <f t="shared" si="8"/>
        <v>0</v>
      </c>
    </row>
    <row r="135" spans="1:20" ht="92.4" x14ac:dyDescent="0.3">
      <c r="A135" s="3">
        <v>1</v>
      </c>
      <c r="B135" s="3" t="s">
        <v>42</v>
      </c>
      <c r="C135" s="3"/>
      <c r="D135" s="26" t="s">
        <v>265</v>
      </c>
      <c r="E135" s="3" t="s">
        <v>124</v>
      </c>
      <c r="F135" s="4"/>
      <c r="G135" s="3" t="s">
        <v>43</v>
      </c>
      <c r="H135" s="3">
        <v>416</v>
      </c>
      <c r="I135" s="5" t="s">
        <v>44</v>
      </c>
      <c r="J135" s="3"/>
      <c r="K135" s="3"/>
      <c r="L135" s="3"/>
      <c r="M135" s="3"/>
      <c r="N135" s="3"/>
      <c r="O135" s="3">
        <v>3</v>
      </c>
      <c r="P135" s="3"/>
      <c r="Q135" s="5"/>
      <c r="R135" s="6">
        <f t="shared" si="7"/>
        <v>0</v>
      </c>
      <c r="S135" s="5"/>
      <c r="T135" s="7">
        <f t="shared" si="8"/>
        <v>0</v>
      </c>
    </row>
    <row r="136" spans="1:20" ht="81" x14ac:dyDescent="0.3">
      <c r="A136" s="3">
        <v>1</v>
      </c>
      <c r="B136" s="3" t="s">
        <v>42</v>
      </c>
      <c r="C136" s="3"/>
      <c r="D136" s="26" t="s">
        <v>266</v>
      </c>
      <c r="E136" s="3" t="s">
        <v>124</v>
      </c>
      <c r="F136" s="4"/>
      <c r="G136" s="3" t="s">
        <v>43</v>
      </c>
      <c r="H136" s="3">
        <v>416</v>
      </c>
      <c r="I136" s="5" t="s">
        <v>44</v>
      </c>
      <c r="J136" s="3"/>
      <c r="K136" s="3"/>
      <c r="L136" s="3"/>
      <c r="M136" s="3"/>
      <c r="N136" s="3"/>
      <c r="O136" s="3">
        <v>3</v>
      </c>
      <c r="P136" s="3"/>
      <c r="Q136" s="5"/>
      <c r="R136" s="6">
        <f t="shared" si="7"/>
        <v>0</v>
      </c>
      <c r="S136" s="5"/>
      <c r="T136" s="7">
        <f t="shared" si="8"/>
        <v>0</v>
      </c>
    </row>
    <row r="137" spans="1:20" ht="46.8" x14ac:dyDescent="0.3">
      <c r="A137" s="3">
        <v>1</v>
      </c>
      <c r="B137" s="3" t="s">
        <v>42</v>
      </c>
      <c r="C137" s="3"/>
      <c r="D137" s="26" t="s">
        <v>267</v>
      </c>
      <c r="E137" s="3" t="s">
        <v>124</v>
      </c>
      <c r="F137" s="4"/>
      <c r="G137" s="3" t="s">
        <v>43</v>
      </c>
      <c r="H137" s="3">
        <v>416</v>
      </c>
      <c r="I137" s="5" t="s">
        <v>44</v>
      </c>
      <c r="J137" s="3"/>
      <c r="K137" s="3"/>
      <c r="L137" s="3"/>
      <c r="M137" s="3"/>
      <c r="N137" s="3"/>
      <c r="O137" s="3">
        <v>3</v>
      </c>
      <c r="P137" s="3"/>
      <c r="Q137" s="5"/>
      <c r="R137" s="6"/>
      <c r="S137" s="5"/>
      <c r="T137" s="7"/>
    </row>
    <row r="139" spans="1:20" x14ac:dyDescent="0.3">
      <c r="A139" s="12"/>
      <c r="B139" s="17"/>
      <c r="C139" s="12"/>
      <c r="D139" s="29" t="s">
        <v>268</v>
      </c>
      <c r="E139" s="16"/>
      <c r="F139" s="4"/>
      <c r="G139" s="18"/>
      <c r="H139" s="4"/>
      <c r="I139" s="14"/>
      <c r="J139" s="4"/>
      <c r="K139" s="4" t="s">
        <v>122</v>
      </c>
      <c r="L139" s="4"/>
      <c r="M139" s="4"/>
      <c r="N139" s="4"/>
      <c r="O139" s="4"/>
      <c r="P139" s="4"/>
      <c r="Q139" s="15"/>
      <c r="R139" s="19"/>
      <c r="S139" s="20"/>
      <c r="T139" s="4"/>
    </row>
    <row r="140" spans="1:20" x14ac:dyDescent="0.3">
      <c r="A140" s="15"/>
      <c r="B140" s="3"/>
      <c r="C140" s="3"/>
      <c r="D140" s="3"/>
      <c r="E140" s="3"/>
      <c r="F140" s="4"/>
      <c r="G140" s="3"/>
      <c r="H140" s="3"/>
      <c r="I140" s="5"/>
      <c r="J140" s="3"/>
      <c r="K140" s="3"/>
      <c r="L140" s="3"/>
      <c r="M140" s="3"/>
      <c r="N140" s="3"/>
      <c r="O140" s="3"/>
      <c r="P140" s="3"/>
      <c r="Q140" s="5"/>
      <c r="R140" s="6"/>
      <c r="S140" s="5"/>
      <c r="T140" s="7"/>
    </row>
    <row r="141" spans="1:20" x14ac:dyDescent="0.3">
      <c r="A141" s="15">
        <v>1</v>
      </c>
      <c r="B141" s="3" t="s">
        <v>42</v>
      </c>
      <c r="C141" s="3"/>
      <c r="D141" s="3" t="s">
        <v>130</v>
      </c>
      <c r="E141" s="3" t="s">
        <v>124</v>
      </c>
      <c r="F141" s="4" t="s">
        <v>131</v>
      </c>
      <c r="G141" s="3" t="s">
        <v>43</v>
      </c>
      <c r="H141" s="3">
        <v>415</v>
      </c>
      <c r="I141" s="5" t="s">
        <v>44</v>
      </c>
      <c r="J141" s="3"/>
      <c r="K141" s="3"/>
      <c r="L141" s="3"/>
      <c r="M141" s="3"/>
      <c r="N141" s="3"/>
      <c r="O141" s="3">
        <v>3</v>
      </c>
      <c r="P141" s="3"/>
      <c r="Q141" s="5">
        <v>8</v>
      </c>
      <c r="R141" s="6">
        <f t="shared" ref="R141:R149" si="9">$A141*Q141</f>
        <v>8</v>
      </c>
      <c r="S141" s="5"/>
      <c r="T141" s="7">
        <f t="shared" ref="T141:T149" si="10">$A141*S141*$T$1</f>
        <v>0</v>
      </c>
    </row>
    <row r="142" spans="1:20" x14ac:dyDescent="0.3">
      <c r="A142" s="3">
        <v>3</v>
      </c>
      <c r="B142" s="3" t="s">
        <v>42</v>
      </c>
      <c r="C142" s="3"/>
      <c r="D142" s="3" t="s">
        <v>146</v>
      </c>
      <c r="E142" s="3" t="s">
        <v>124</v>
      </c>
      <c r="F142" s="4" t="s">
        <v>147</v>
      </c>
      <c r="G142" s="3" t="s">
        <v>43</v>
      </c>
      <c r="H142" s="3">
        <v>415</v>
      </c>
      <c r="I142" s="5" t="s">
        <v>44</v>
      </c>
      <c r="J142" s="3"/>
      <c r="K142" s="3"/>
      <c r="L142" s="3"/>
      <c r="M142" s="3"/>
      <c r="N142" s="3"/>
      <c r="O142" s="3">
        <v>3</v>
      </c>
      <c r="P142" s="3"/>
      <c r="Q142" s="5">
        <v>0.98</v>
      </c>
      <c r="R142" s="6">
        <f t="shared" si="9"/>
        <v>2.94</v>
      </c>
      <c r="S142" s="5"/>
      <c r="T142" s="7">
        <f t="shared" si="10"/>
        <v>0</v>
      </c>
    </row>
    <row r="143" spans="1:20" x14ac:dyDescent="0.3">
      <c r="A143" s="15">
        <v>1</v>
      </c>
      <c r="B143" s="3" t="s">
        <v>42</v>
      </c>
      <c r="C143" s="3"/>
      <c r="D143" s="3" t="s">
        <v>192</v>
      </c>
      <c r="E143" s="3" t="s">
        <v>175</v>
      </c>
      <c r="F143" s="4" t="s">
        <v>193</v>
      </c>
      <c r="G143" s="3" t="s">
        <v>43</v>
      </c>
      <c r="H143" s="3">
        <v>416</v>
      </c>
      <c r="I143" s="5" t="s">
        <v>44</v>
      </c>
      <c r="J143" s="3"/>
      <c r="K143" s="3"/>
      <c r="L143" s="3"/>
      <c r="M143" s="3"/>
      <c r="N143" s="3"/>
      <c r="O143" s="3">
        <v>3</v>
      </c>
      <c r="P143" s="3"/>
      <c r="Q143" s="5">
        <v>12.15</v>
      </c>
      <c r="R143" s="6">
        <f t="shared" si="9"/>
        <v>12.15</v>
      </c>
      <c r="S143" s="5"/>
      <c r="T143" s="7">
        <f t="shared" si="10"/>
        <v>0</v>
      </c>
    </row>
    <row r="144" spans="1:20" x14ac:dyDescent="0.3">
      <c r="A144" s="15">
        <v>1</v>
      </c>
      <c r="B144" s="3" t="s">
        <v>42</v>
      </c>
      <c r="C144" s="3"/>
      <c r="D144" s="3" t="s">
        <v>198</v>
      </c>
      <c r="E144" s="3" t="s">
        <v>175</v>
      </c>
      <c r="F144" s="4" t="s">
        <v>199</v>
      </c>
      <c r="G144" s="3" t="s">
        <v>43</v>
      </c>
      <c r="H144" s="3">
        <v>416</v>
      </c>
      <c r="I144" s="5" t="s">
        <v>44</v>
      </c>
      <c r="J144" s="3"/>
      <c r="K144" s="3"/>
      <c r="L144" s="3"/>
      <c r="M144" s="3"/>
      <c r="N144" s="3"/>
      <c r="O144" s="3">
        <v>3</v>
      </c>
      <c r="P144" s="3"/>
      <c r="Q144" s="5">
        <v>8.5</v>
      </c>
      <c r="R144" s="6">
        <f t="shared" si="9"/>
        <v>8.5</v>
      </c>
      <c r="S144" s="5"/>
      <c r="T144" s="7">
        <f t="shared" si="10"/>
        <v>0</v>
      </c>
    </row>
    <row r="145" spans="1:20" x14ac:dyDescent="0.3">
      <c r="A145" s="3">
        <v>1</v>
      </c>
      <c r="B145" s="3" t="s">
        <v>42</v>
      </c>
      <c r="C145" s="3"/>
      <c r="D145" s="3" t="s">
        <v>212</v>
      </c>
      <c r="E145" s="3" t="s">
        <v>175</v>
      </c>
      <c r="F145" s="4" t="s">
        <v>213</v>
      </c>
      <c r="G145" s="3" t="s">
        <v>43</v>
      </c>
      <c r="H145" s="3">
        <v>416</v>
      </c>
      <c r="I145" s="5" t="s">
        <v>44</v>
      </c>
      <c r="J145" s="3"/>
      <c r="K145" s="3"/>
      <c r="L145" s="3"/>
      <c r="M145" s="3"/>
      <c r="N145" s="3"/>
      <c r="O145" s="3">
        <v>3</v>
      </c>
      <c r="P145" s="3"/>
      <c r="Q145" s="5">
        <v>72.349999999999994</v>
      </c>
      <c r="R145" s="6">
        <f t="shared" si="9"/>
        <v>72.349999999999994</v>
      </c>
      <c r="S145" s="5"/>
      <c r="T145" s="7">
        <f t="shared" si="10"/>
        <v>0</v>
      </c>
    </row>
    <row r="146" spans="1:20" x14ac:dyDescent="0.3">
      <c r="A146" s="15">
        <v>1</v>
      </c>
      <c r="B146" s="3" t="s">
        <v>42</v>
      </c>
      <c r="C146" s="3"/>
      <c r="D146" s="3" t="s">
        <v>126</v>
      </c>
      <c r="E146" s="3" t="s">
        <v>124</v>
      </c>
      <c r="F146" s="4" t="s">
        <v>127</v>
      </c>
      <c r="G146" s="3" t="s">
        <v>43</v>
      </c>
      <c r="H146" s="3">
        <v>415</v>
      </c>
      <c r="I146" s="5" t="s">
        <v>44</v>
      </c>
      <c r="J146" s="3"/>
      <c r="K146" s="3"/>
      <c r="L146" s="3"/>
      <c r="M146" s="3"/>
      <c r="N146" s="3"/>
      <c r="O146" s="3">
        <v>3</v>
      </c>
      <c r="P146" s="3"/>
      <c r="Q146" s="5">
        <v>3.43</v>
      </c>
      <c r="R146" s="6">
        <f t="shared" si="9"/>
        <v>3.43</v>
      </c>
      <c r="S146" s="5"/>
      <c r="T146" s="7">
        <f t="shared" si="10"/>
        <v>0</v>
      </c>
    </row>
    <row r="147" spans="1:20" x14ac:dyDescent="0.3">
      <c r="A147" s="15">
        <v>1</v>
      </c>
      <c r="B147" s="3" t="s">
        <v>42</v>
      </c>
      <c r="C147" s="3"/>
      <c r="D147" s="3" t="s">
        <v>128</v>
      </c>
      <c r="E147" s="3" t="s">
        <v>124</v>
      </c>
      <c r="F147" s="4" t="s">
        <v>129</v>
      </c>
      <c r="G147" s="3" t="s">
        <v>43</v>
      </c>
      <c r="H147" s="3">
        <v>415</v>
      </c>
      <c r="I147" s="5" t="s">
        <v>44</v>
      </c>
      <c r="J147" s="3"/>
      <c r="K147" s="3"/>
      <c r="L147" s="3"/>
      <c r="M147" s="3"/>
      <c r="N147" s="3"/>
      <c r="O147" s="3">
        <v>3</v>
      </c>
      <c r="P147" s="3"/>
      <c r="Q147" s="5">
        <v>2.5499999999999998</v>
      </c>
      <c r="R147" s="6">
        <f t="shared" si="9"/>
        <v>2.5499999999999998</v>
      </c>
      <c r="S147" s="5"/>
      <c r="T147" s="7">
        <f t="shared" si="10"/>
        <v>0</v>
      </c>
    </row>
    <row r="148" spans="1:20" ht="24" x14ac:dyDescent="0.3">
      <c r="A148" s="3">
        <v>1</v>
      </c>
      <c r="B148" s="3" t="s">
        <v>42</v>
      </c>
      <c r="C148" s="3"/>
      <c r="D148" s="26" t="s">
        <v>269</v>
      </c>
      <c r="E148" s="3"/>
      <c r="F148" s="4"/>
      <c r="G148" s="3"/>
      <c r="H148" s="3"/>
      <c r="I148" s="5"/>
      <c r="J148" s="3"/>
      <c r="K148" s="3"/>
      <c r="L148" s="3"/>
      <c r="M148" s="3"/>
      <c r="N148" s="3"/>
      <c r="O148" s="3"/>
      <c r="P148" s="3"/>
      <c r="Q148" s="5">
        <v>25</v>
      </c>
      <c r="R148" s="6">
        <f t="shared" si="9"/>
        <v>25</v>
      </c>
      <c r="S148" s="5"/>
      <c r="T148" s="7">
        <f t="shared" si="10"/>
        <v>0</v>
      </c>
    </row>
    <row r="149" spans="1:20" ht="24" x14ac:dyDescent="0.3">
      <c r="A149" s="3">
        <v>1</v>
      </c>
      <c r="B149" s="3" t="s">
        <v>42</v>
      </c>
      <c r="C149" s="3"/>
      <c r="D149" s="26" t="s">
        <v>118</v>
      </c>
      <c r="E149" s="3"/>
      <c r="F149" s="4"/>
      <c r="G149" s="3"/>
      <c r="H149" s="3"/>
      <c r="I149" s="5"/>
      <c r="J149" s="3"/>
      <c r="K149" s="3"/>
      <c r="L149" s="3"/>
      <c r="M149" s="3"/>
      <c r="N149" s="3"/>
      <c r="O149" s="3"/>
      <c r="P149" s="3"/>
      <c r="Q149" s="5">
        <v>150</v>
      </c>
      <c r="R149" s="6">
        <f t="shared" si="9"/>
        <v>150</v>
      </c>
      <c r="S149" s="5"/>
      <c r="T149" s="7">
        <f t="shared" si="10"/>
        <v>0</v>
      </c>
    </row>
    <row r="151" spans="1:20" x14ac:dyDescent="0.3">
      <c r="A151" s="12"/>
      <c r="B151" s="17"/>
      <c r="C151" s="12"/>
      <c r="D151" s="29" t="s">
        <v>270</v>
      </c>
      <c r="E151" s="16"/>
      <c r="F151" s="4"/>
      <c r="G151" s="18"/>
      <c r="H151" s="4"/>
      <c r="I151" s="14"/>
      <c r="J151" s="4"/>
      <c r="K151" s="4" t="s">
        <v>122</v>
      </c>
      <c r="L151" s="4"/>
      <c r="M151" s="4"/>
      <c r="N151" s="4"/>
      <c r="O151" s="4"/>
      <c r="P151" s="4"/>
      <c r="Q151" s="15"/>
      <c r="R151" s="19"/>
      <c r="S151" s="20"/>
      <c r="T151" s="4"/>
    </row>
    <row r="152" spans="1:20" x14ac:dyDescent="0.3">
      <c r="A152" s="15"/>
      <c r="B152" s="3"/>
      <c r="C152" s="3"/>
      <c r="D152" s="3"/>
      <c r="E152" s="3"/>
      <c r="F152" s="4"/>
      <c r="G152" s="3"/>
      <c r="H152" s="3"/>
      <c r="I152" s="5"/>
      <c r="J152" s="3"/>
      <c r="K152" s="3"/>
      <c r="L152" s="3"/>
      <c r="M152" s="3"/>
      <c r="N152" s="3"/>
      <c r="O152" s="3"/>
      <c r="P152" s="3"/>
      <c r="Q152" s="5"/>
      <c r="R152" s="6"/>
      <c r="S152" s="5"/>
      <c r="T152" s="7"/>
    </row>
    <row r="153" spans="1:20" x14ac:dyDescent="0.3">
      <c r="A153" s="25">
        <v>0</v>
      </c>
      <c r="B153" s="3" t="s">
        <v>42</v>
      </c>
      <c r="C153" s="3"/>
      <c r="D153" s="3" t="s">
        <v>123</v>
      </c>
      <c r="E153" s="3" t="s">
        <v>124</v>
      </c>
      <c r="F153" s="4" t="s">
        <v>125</v>
      </c>
      <c r="G153" s="3" t="s">
        <v>43</v>
      </c>
      <c r="H153" s="3">
        <v>415</v>
      </c>
      <c r="I153" s="5" t="s">
        <v>44</v>
      </c>
      <c r="J153" s="3"/>
      <c r="K153" s="3"/>
      <c r="L153" s="3"/>
      <c r="M153" s="3"/>
      <c r="N153" s="3"/>
      <c r="O153" s="3">
        <v>3</v>
      </c>
      <c r="P153" s="3"/>
      <c r="Q153" s="5">
        <v>80.91</v>
      </c>
      <c r="R153" s="6">
        <f t="shared" ref="R153:R173" si="11">$A153*Q153</f>
        <v>0</v>
      </c>
      <c r="S153" s="5"/>
      <c r="T153" s="7">
        <f t="shared" ref="T153:T173" si="12">$A153*S153*$T$1</f>
        <v>0</v>
      </c>
    </row>
    <row r="154" spans="1:20" x14ac:dyDescent="0.3">
      <c r="A154" s="25">
        <v>0</v>
      </c>
      <c r="B154" s="3" t="s">
        <v>42</v>
      </c>
      <c r="C154" s="3"/>
      <c r="D154" s="3" t="s">
        <v>126</v>
      </c>
      <c r="E154" s="3" t="s">
        <v>124</v>
      </c>
      <c r="F154" s="4" t="s">
        <v>127</v>
      </c>
      <c r="G154" s="3" t="s">
        <v>43</v>
      </c>
      <c r="H154" s="3">
        <v>415</v>
      </c>
      <c r="I154" s="5" t="s">
        <v>44</v>
      </c>
      <c r="J154" s="3"/>
      <c r="K154" s="3"/>
      <c r="L154" s="3"/>
      <c r="M154" s="3"/>
      <c r="N154" s="3"/>
      <c r="O154" s="3">
        <v>3</v>
      </c>
      <c r="P154" s="3"/>
      <c r="Q154" s="5">
        <v>3.43</v>
      </c>
      <c r="R154" s="6">
        <f t="shared" si="11"/>
        <v>0</v>
      </c>
      <c r="S154" s="5"/>
      <c r="T154" s="7">
        <f t="shared" si="12"/>
        <v>0</v>
      </c>
    </row>
    <row r="155" spans="1:20" x14ac:dyDescent="0.3">
      <c r="A155" s="25">
        <v>0</v>
      </c>
      <c r="B155" s="3" t="s">
        <v>42</v>
      </c>
      <c r="C155" s="3"/>
      <c r="D155" s="3" t="s">
        <v>128</v>
      </c>
      <c r="E155" s="3" t="s">
        <v>124</v>
      </c>
      <c r="F155" s="4" t="s">
        <v>129</v>
      </c>
      <c r="G155" s="3" t="s">
        <v>43</v>
      </c>
      <c r="H155" s="3">
        <v>415</v>
      </c>
      <c r="I155" s="5" t="s">
        <v>44</v>
      </c>
      <c r="J155" s="3"/>
      <c r="K155" s="3"/>
      <c r="L155" s="3"/>
      <c r="M155" s="3"/>
      <c r="N155" s="3"/>
      <c r="O155" s="3">
        <v>3</v>
      </c>
      <c r="P155" s="3"/>
      <c r="Q155" s="5">
        <v>2.5499999999999998</v>
      </c>
      <c r="R155" s="6">
        <f t="shared" si="11"/>
        <v>0</v>
      </c>
      <c r="S155" s="5"/>
      <c r="T155" s="7">
        <f t="shared" si="12"/>
        <v>0</v>
      </c>
    </row>
    <row r="156" spans="1:20" x14ac:dyDescent="0.3">
      <c r="A156" s="25">
        <v>0</v>
      </c>
      <c r="B156" s="3" t="s">
        <v>42</v>
      </c>
      <c r="C156" s="3"/>
      <c r="D156" s="3" t="s">
        <v>130</v>
      </c>
      <c r="E156" s="3" t="s">
        <v>124</v>
      </c>
      <c r="F156" s="4" t="s">
        <v>131</v>
      </c>
      <c r="G156" s="3" t="s">
        <v>43</v>
      </c>
      <c r="H156" s="3">
        <v>415</v>
      </c>
      <c r="I156" s="5" t="s">
        <v>44</v>
      </c>
      <c r="J156" s="3"/>
      <c r="K156" s="3"/>
      <c r="L156" s="3"/>
      <c r="M156" s="3"/>
      <c r="N156" s="3"/>
      <c r="O156" s="3">
        <v>3</v>
      </c>
      <c r="P156" s="3"/>
      <c r="Q156" s="5">
        <v>8</v>
      </c>
      <c r="R156" s="6">
        <f t="shared" si="11"/>
        <v>0</v>
      </c>
      <c r="S156" s="5"/>
      <c r="T156" s="7">
        <f t="shared" si="12"/>
        <v>0</v>
      </c>
    </row>
    <row r="157" spans="1:20" x14ac:dyDescent="0.3">
      <c r="A157" s="25">
        <v>0</v>
      </c>
      <c r="B157" s="3" t="s">
        <v>42</v>
      </c>
      <c r="C157" s="3"/>
      <c r="D157" s="3" t="s">
        <v>132</v>
      </c>
      <c r="E157" s="3" t="s">
        <v>124</v>
      </c>
      <c r="F157" s="4" t="s">
        <v>133</v>
      </c>
      <c r="G157" s="3" t="s">
        <v>43</v>
      </c>
      <c r="H157" s="3">
        <v>415</v>
      </c>
      <c r="I157" s="5" t="s">
        <v>44</v>
      </c>
      <c r="J157" s="3"/>
      <c r="K157" s="3"/>
      <c r="L157" s="3"/>
      <c r="M157" s="3"/>
      <c r="N157" s="3"/>
      <c r="O157" s="3">
        <v>3</v>
      </c>
      <c r="P157" s="3"/>
      <c r="Q157" s="5">
        <v>9.5500000000000007</v>
      </c>
      <c r="R157" s="6">
        <f t="shared" si="11"/>
        <v>0</v>
      </c>
      <c r="S157" s="5"/>
      <c r="T157" s="7">
        <f t="shared" si="12"/>
        <v>0</v>
      </c>
    </row>
    <row r="158" spans="1:20" x14ac:dyDescent="0.3">
      <c r="A158" s="25">
        <v>0</v>
      </c>
      <c r="B158" s="3" t="s">
        <v>42</v>
      </c>
      <c r="C158" s="3"/>
      <c r="D158" s="3" t="s">
        <v>134</v>
      </c>
      <c r="E158" s="3" t="s">
        <v>124</v>
      </c>
      <c r="F158" s="4" t="s">
        <v>135</v>
      </c>
      <c r="G158" s="3" t="s">
        <v>43</v>
      </c>
      <c r="H158" s="3">
        <v>415</v>
      </c>
      <c r="I158" s="5" t="s">
        <v>44</v>
      </c>
      <c r="J158" s="3"/>
      <c r="K158" s="3"/>
      <c r="L158" s="3"/>
      <c r="M158" s="3"/>
      <c r="N158" s="3"/>
      <c r="O158" s="3">
        <v>3</v>
      </c>
      <c r="P158" s="3"/>
      <c r="Q158" s="5">
        <v>1.25</v>
      </c>
      <c r="R158" s="6">
        <f t="shared" si="11"/>
        <v>0</v>
      </c>
      <c r="S158" s="5"/>
      <c r="T158" s="7">
        <f t="shared" si="12"/>
        <v>0</v>
      </c>
    </row>
    <row r="159" spans="1:20" x14ac:dyDescent="0.3">
      <c r="A159" s="25">
        <v>0</v>
      </c>
      <c r="B159" s="3" t="s">
        <v>42</v>
      </c>
      <c r="C159" s="3"/>
      <c r="D159" s="3" t="s">
        <v>136</v>
      </c>
      <c r="E159" s="3" t="s">
        <v>124</v>
      </c>
      <c r="F159" s="4" t="s">
        <v>137</v>
      </c>
      <c r="G159" s="3" t="s">
        <v>43</v>
      </c>
      <c r="H159" s="3">
        <v>415</v>
      </c>
      <c r="I159" s="5" t="s">
        <v>44</v>
      </c>
      <c r="J159" s="3"/>
      <c r="K159" s="3"/>
      <c r="L159" s="3"/>
      <c r="M159" s="3"/>
      <c r="N159" s="3"/>
      <c r="O159" s="3">
        <v>3</v>
      </c>
      <c r="P159" s="3"/>
      <c r="Q159" s="5">
        <v>9.4E-2</v>
      </c>
      <c r="R159" s="6">
        <f t="shared" si="11"/>
        <v>0</v>
      </c>
      <c r="S159" s="5"/>
      <c r="T159" s="7">
        <f t="shared" si="12"/>
        <v>0</v>
      </c>
    </row>
    <row r="160" spans="1:20" x14ac:dyDescent="0.3">
      <c r="A160" s="25">
        <v>0</v>
      </c>
      <c r="B160" s="3" t="s">
        <v>42</v>
      </c>
      <c r="C160" s="3"/>
      <c r="D160" s="3" t="s">
        <v>138</v>
      </c>
      <c r="E160" s="3" t="s">
        <v>124</v>
      </c>
      <c r="F160" s="4" t="s">
        <v>139</v>
      </c>
      <c r="G160" s="3" t="s">
        <v>43</v>
      </c>
      <c r="H160" s="3">
        <v>415</v>
      </c>
      <c r="I160" s="5" t="s">
        <v>44</v>
      </c>
      <c r="J160" s="3"/>
      <c r="K160" s="3"/>
      <c r="L160" s="3"/>
      <c r="M160" s="3"/>
      <c r="N160" s="3"/>
      <c r="O160" s="3">
        <v>3</v>
      </c>
      <c r="P160" s="3"/>
      <c r="Q160" s="5">
        <v>16.91</v>
      </c>
      <c r="R160" s="6">
        <f t="shared" si="11"/>
        <v>0</v>
      </c>
      <c r="S160" s="5"/>
      <c r="T160" s="7">
        <f t="shared" si="12"/>
        <v>0</v>
      </c>
    </row>
    <row r="161" spans="1:20" x14ac:dyDescent="0.3">
      <c r="A161" s="25">
        <v>0</v>
      </c>
      <c r="B161" s="3" t="s">
        <v>42</v>
      </c>
      <c r="C161" s="3"/>
      <c r="D161" s="3" t="s">
        <v>140</v>
      </c>
      <c r="E161" s="3" t="s">
        <v>124</v>
      </c>
      <c r="F161" s="4" t="s">
        <v>141</v>
      </c>
      <c r="G161" s="3" t="s">
        <v>43</v>
      </c>
      <c r="H161" s="3">
        <v>415</v>
      </c>
      <c r="I161" s="5" t="s">
        <v>44</v>
      </c>
      <c r="J161" s="3"/>
      <c r="K161" s="3"/>
      <c r="L161" s="3"/>
      <c r="M161" s="3"/>
      <c r="N161" s="3"/>
      <c r="O161" s="3">
        <v>3</v>
      </c>
      <c r="P161" s="3"/>
      <c r="Q161" s="5">
        <v>5.57</v>
      </c>
      <c r="R161" s="6">
        <f t="shared" si="11"/>
        <v>0</v>
      </c>
      <c r="S161" s="5"/>
      <c r="T161" s="7">
        <f t="shared" si="12"/>
        <v>0</v>
      </c>
    </row>
    <row r="162" spans="1:20" x14ac:dyDescent="0.3">
      <c r="A162" s="25">
        <v>0</v>
      </c>
      <c r="B162" s="3" t="s">
        <v>42</v>
      </c>
      <c r="C162" s="3"/>
      <c r="D162" s="3" t="s">
        <v>142</v>
      </c>
      <c r="E162" s="3" t="s">
        <v>124</v>
      </c>
      <c r="F162" s="4" t="s">
        <v>143</v>
      </c>
      <c r="G162" s="3" t="s">
        <v>43</v>
      </c>
      <c r="H162" s="3">
        <v>415</v>
      </c>
      <c r="I162" s="5" t="s">
        <v>44</v>
      </c>
      <c r="J162" s="3"/>
      <c r="K162" s="3"/>
      <c r="L162" s="3"/>
      <c r="M162" s="3"/>
      <c r="N162" s="3"/>
      <c r="O162" s="3">
        <v>3</v>
      </c>
      <c r="P162" s="3"/>
      <c r="Q162" s="5">
        <v>5.7</v>
      </c>
      <c r="R162" s="6">
        <f t="shared" si="11"/>
        <v>0</v>
      </c>
      <c r="S162" s="5"/>
      <c r="T162" s="7">
        <f t="shared" si="12"/>
        <v>0</v>
      </c>
    </row>
    <row r="163" spans="1:20" x14ac:dyDescent="0.3">
      <c r="A163" s="25">
        <v>0</v>
      </c>
      <c r="B163" s="3" t="s">
        <v>42</v>
      </c>
      <c r="C163" s="3"/>
      <c r="D163" s="3" t="s">
        <v>144</v>
      </c>
      <c r="E163" s="3" t="s">
        <v>124</v>
      </c>
      <c r="F163" s="4" t="s">
        <v>145</v>
      </c>
      <c r="G163" s="3" t="s">
        <v>43</v>
      </c>
      <c r="H163" s="3">
        <v>415</v>
      </c>
      <c r="I163" s="5" t="s">
        <v>44</v>
      </c>
      <c r="J163" s="3"/>
      <c r="K163" s="3"/>
      <c r="L163" s="3"/>
      <c r="M163" s="3"/>
      <c r="N163" s="3"/>
      <c r="O163" s="3">
        <v>3</v>
      </c>
      <c r="P163" s="3"/>
      <c r="Q163" s="5">
        <v>7.4</v>
      </c>
      <c r="R163" s="6">
        <f t="shared" si="11"/>
        <v>0</v>
      </c>
      <c r="S163" s="5"/>
      <c r="T163" s="7">
        <f t="shared" si="12"/>
        <v>0</v>
      </c>
    </row>
    <row r="164" spans="1:20" x14ac:dyDescent="0.3">
      <c r="A164" s="25">
        <v>0</v>
      </c>
      <c r="B164" s="3" t="s">
        <v>42</v>
      </c>
      <c r="C164" s="3"/>
      <c r="D164" s="3" t="s">
        <v>146</v>
      </c>
      <c r="E164" s="3" t="s">
        <v>124</v>
      </c>
      <c r="F164" s="4" t="s">
        <v>147</v>
      </c>
      <c r="G164" s="3" t="s">
        <v>43</v>
      </c>
      <c r="H164" s="3">
        <v>415</v>
      </c>
      <c r="I164" s="5" t="s">
        <v>44</v>
      </c>
      <c r="J164" s="3"/>
      <c r="K164" s="3"/>
      <c r="L164" s="3"/>
      <c r="M164" s="3"/>
      <c r="N164" s="3"/>
      <c r="O164" s="3">
        <v>3</v>
      </c>
      <c r="P164" s="3"/>
      <c r="Q164" s="5">
        <v>0.98</v>
      </c>
      <c r="R164" s="6">
        <f t="shared" si="11"/>
        <v>0</v>
      </c>
      <c r="S164" s="5"/>
      <c r="T164" s="7">
        <f t="shared" si="12"/>
        <v>0</v>
      </c>
    </row>
    <row r="165" spans="1:20" x14ac:dyDescent="0.3">
      <c r="A165" s="25">
        <v>0</v>
      </c>
      <c r="B165" s="3" t="s">
        <v>42</v>
      </c>
      <c r="C165" s="3"/>
      <c r="D165" s="3" t="s">
        <v>148</v>
      </c>
      <c r="E165" s="3" t="s">
        <v>124</v>
      </c>
      <c r="F165" s="4" t="s">
        <v>149</v>
      </c>
      <c r="G165" s="3" t="s">
        <v>43</v>
      </c>
      <c r="H165" s="3">
        <v>415</v>
      </c>
      <c r="I165" s="5" t="s">
        <v>44</v>
      </c>
      <c r="J165" s="3"/>
      <c r="K165" s="3"/>
      <c r="L165" s="3"/>
      <c r="M165" s="3"/>
      <c r="N165" s="3"/>
      <c r="O165" s="3">
        <v>3</v>
      </c>
      <c r="P165" s="3"/>
      <c r="Q165" s="5">
        <v>0.98</v>
      </c>
      <c r="R165" s="6">
        <f t="shared" si="11"/>
        <v>0</v>
      </c>
      <c r="S165" s="5"/>
      <c r="T165" s="7">
        <f t="shared" si="12"/>
        <v>0</v>
      </c>
    </row>
    <row r="166" spans="1:20" x14ac:dyDescent="0.3">
      <c r="A166" s="25">
        <v>0</v>
      </c>
      <c r="B166" s="3" t="s">
        <v>42</v>
      </c>
      <c r="C166" s="3"/>
      <c r="D166" s="3" t="s">
        <v>150</v>
      </c>
      <c r="E166" s="3" t="s">
        <v>124</v>
      </c>
      <c r="F166" s="4" t="s">
        <v>151</v>
      </c>
      <c r="G166" s="3" t="s">
        <v>43</v>
      </c>
      <c r="H166" s="3">
        <v>415</v>
      </c>
      <c r="I166" s="5" t="s">
        <v>44</v>
      </c>
      <c r="J166" s="3"/>
      <c r="K166" s="3"/>
      <c r="L166" s="3"/>
      <c r="M166" s="3"/>
      <c r="N166" s="3"/>
      <c r="O166" s="3">
        <v>3</v>
      </c>
      <c r="P166" s="3"/>
      <c r="Q166" s="5">
        <v>0.98</v>
      </c>
      <c r="R166" s="6">
        <f t="shared" si="11"/>
        <v>0</v>
      </c>
      <c r="S166" s="5"/>
      <c r="T166" s="7">
        <f t="shared" si="12"/>
        <v>0</v>
      </c>
    </row>
    <row r="167" spans="1:20" x14ac:dyDescent="0.3">
      <c r="A167" s="30">
        <v>0</v>
      </c>
      <c r="B167" s="3" t="s">
        <v>42</v>
      </c>
      <c r="C167" s="3"/>
      <c r="D167" s="3" t="s">
        <v>152</v>
      </c>
      <c r="E167" s="3" t="s">
        <v>124</v>
      </c>
      <c r="F167" s="4" t="s">
        <v>153</v>
      </c>
      <c r="G167" s="3" t="s">
        <v>43</v>
      </c>
      <c r="H167" s="3">
        <v>415</v>
      </c>
      <c r="I167" s="5" t="s">
        <v>44</v>
      </c>
      <c r="J167" s="3"/>
      <c r="K167" s="3"/>
      <c r="L167" s="3"/>
      <c r="M167" s="3"/>
      <c r="N167" s="3"/>
      <c r="O167" s="3">
        <v>3</v>
      </c>
      <c r="P167" s="3"/>
      <c r="Q167" s="5">
        <v>24.4</v>
      </c>
      <c r="R167" s="6">
        <f t="shared" si="11"/>
        <v>0</v>
      </c>
      <c r="S167" s="5"/>
      <c r="T167" s="7">
        <f t="shared" si="12"/>
        <v>0</v>
      </c>
    </row>
    <row r="168" spans="1:20" x14ac:dyDescent="0.3">
      <c r="A168" s="25">
        <v>0</v>
      </c>
      <c r="B168" s="3" t="s">
        <v>42</v>
      </c>
      <c r="C168" s="3"/>
      <c r="D168" s="3" t="s">
        <v>154</v>
      </c>
      <c r="E168" s="3" t="s">
        <v>124</v>
      </c>
      <c r="F168" s="4" t="s">
        <v>155</v>
      </c>
      <c r="G168" s="3" t="s">
        <v>43</v>
      </c>
      <c r="H168" s="3">
        <v>415</v>
      </c>
      <c r="I168" s="5" t="s">
        <v>44</v>
      </c>
      <c r="J168" s="3"/>
      <c r="K168" s="3"/>
      <c r="L168" s="3"/>
      <c r="M168" s="3"/>
      <c r="N168" s="3"/>
      <c r="O168" s="3">
        <v>3</v>
      </c>
      <c r="P168" s="3"/>
      <c r="Q168" s="5">
        <v>2.42</v>
      </c>
      <c r="R168" s="6">
        <f t="shared" si="11"/>
        <v>0</v>
      </c>
      <c r="S168" s="5"/>
      <c r="T168" s="7">
        <f t="shared" si="12"/>
        <v>0</v>
      </c>
    </row>
    <row r="169" spans="1:20" x14ac:dyDescent="0.3">
      <c r="A169" s="25">
        <v>0</v>
      </c>
      <c r="B169" s="3" t="s">
        <v>42</v>
      </c>
      <c r="C169" s="3"/>
      <c r="D169" s="3" t="s">
        <v>156</v>
      </c>
      <c r="E169" s="3" t="s">
        <v>124</v>
      </c>
      <c r="F169" s="4" t="s">
        <v>157</v>
      </c>
      <c r="G169" s="3" t="s">
        <v>43</v>
      </c>
      <c r="H169" s="3">
        <v>415</v>
      </c>
      <c r="I169" s="5" t="s">
        <v>44</v>
      </c>
      <c r="J169" s="3"/>
      <c r="K169" s="3"/>
      <c r="L169" s="3"/>
      <c r="M169" s="3"/>
      <c r="N169" s="3"/>
      <c r="O169" s="3">
        <v>3</v>
      </c>
      <c r="P169" s="3"/>
      <c r="Q169" s="5">
        <v>30</v>
      </c>
      <c r="R169" s="6">
        <f t="shared" si="11"/>
        <v>0</v>
      </c>
      <c r="S169" s="5"/>
      <c r="T169" s="7">
        <f t="shared" si="12"/>
        <v>0</v>
      </c>
    </row>
    <row r="170" spans="1:20" x14ac:dyDescent="0.3">
      <c r="A170" s="25">
        <v>0</v>
      </c>
      <c r="B170" s="3" t="s">
        <v>42</v>
      </c>
      <c r="C170" s="3"/>
      <c r="D170" s="3" t="s">
        <v>271</v>
      </c>
      <c r="E170" s="3" t="s">
        <v>165</v>
      </c>
      <c r="F170" s="4" t="s">
        <v>272</v>
      </c>
      <c r="G170" s="3" t="s">
        <v>43</v>
      </c>
      <c r="H170" s="3">
        <v>415</v>
      </c>
      <c r="I170" s="5" t="s">
        <v>44</v>
      </c>
      <c r="J170" s="3"/>
      <c r="K170" s="3"/>
      <c r="L170" s="3"/>
      <c r="M170" s="3"/>
      <c r="N170" s="3"/>
      <c r="O170" s="3">
        <v>3</v>
      </c>
      <c r="P170" s="3"/>
      <c r="Q170" s="5">
        <v>68.08</v>
      </c>
      <c r="R170" s="6">
        <f t="shared" si="11"/>
        <v>0</v>
      </c>
      <c r="S170" s="5">
        <v>2</v>
      </c>
      <c r="T170" s="7">
        <f t="shared" si="12"/>
        <v>0</v>
      </c>
    </row>
    <row r="171" spans="1:20" x14ac:dyDescent="0.3">
      <c r="A171" s="25">
        <v>0</v>
      </c>
      <c r="B171" s="3" t="s">
        <v>42</v>
      </c>
      <c r="C171" s="3"/>
      <c r="D171" s="3" t="s">
        <v>160</v>
      </c>
      <c r="E171" s="3" t="s">
        <v>161</v>
      </c>
      <c r="F171" s="4"/>
      <c r="G171" s="3" t="s">
        <v>43</v>
      </c>
      <c r="H171" s="3">
        <v>415</v>
      </c>
      <c r="I171" s="5" t="s">
        <v>44</v>
      </c>
      <c r="J171" s="3"/>
      <c r="K171" s="3"/>
      <c r="L171" s="3"/>
      <c r="M171" s="3"/>
      <c r="N171" s="3"/>
      <c r="O171" s="3">
        <v>3</v>
      </c>
      <c r="P171" s="3"/>
      <c r="Q171" s="5">
        <v>50</v>
      </c>
      <c r="R171" s="6">
        <f t="shared" si="11"/>
        <v>0</v>
      </c>
      <c r="S171" s="5"/>
      <c r="T171" s="7">
        <f t="shared" si="12"/>
        <v>0</v>
      </c>
    </row>
    <row r="172" spans="1:20" x14ac:dyDescent="0.3">
      <c r="A172" s="25">
        <v>0</v>
      </c>
      <c r="B172" s="3" t="s">
        <v>42</v>
      </c>
      <c r="C172" s="3"/>
      <c r="D172" s="3" t="s">
        <v>118</v>
      </c>
      <c r="E172" s="3" t="s">
        <v>162</v>
      </c>
      <c r="F172" s="4"/>
      <c r="G172" s="3" t="s">
        <v>43</v>
      </c>
      <c r="H172" s="3">
        <v>420</v>
      </c>
      <c r="I172" s="5" t="s">
        <v>44</v>
      </c>
      <c r="J172" s="3"/>
      <c r="K172" s="3"/>
      <c r="L172" s="3"/>
      <c r="M172" s="3"/>
      <c r="N172" s="3"/>
      <c r="O172" s="3">
        <v>3</v>
      </c>
      <c r="P172" s="3"/>
      <c r="Q172" s="5">
        <v>250</v>
      </c>
      <c r="R172" s="6">
        <f t="shared" si="11"/>
        <v>0</v>
      </c>
      <c r="S172" s="5"/>
      <c r="T172" s="7">
        <f t="shared" si="12"/>
        <v>0</v>
      </c>
    </row>
    <row r="173" spans="1:20" x14ac:dyDescent="0.3">
      <c r="A173" s="25">
        <v>0</v>
      </c>
      <c r="B173" s="3" t="s">
        <v>42</v>
      </c>
      <c r="C173" s="3"/>
      <c r="D173" s="3" t="s">
        <v>166</v>
      </c>
      <c r="E173" s="3" t="s">
        <v>167</v>
      </c>
      <c r="F173" s="4"/>
      <c r="G173" s="3" t="s">
        <v>43</v>
      </c>
      <c r="H173" s="3">
        <v>420</v>
      </c>
      <c r="I173" s="5" t="s">
        <v>44</v>
      </c>
      <c r="J173" s="3"/>
      <c r="K173" s="3"/>
      <c r="L173" s="3"/>
      <c r="M173" s="3"/>
      <c r="N173" s="3"/>
      <c r="O173" s="3">
        <v>3</v>
      </c>
      <c r="P173" s="3"/>
      <c r="Q173" s="5">
        <v>0</v>
      </c>
      <c r="R173" s="6">
        <f t="shared" si="11"/>
        <v>0</v>
      </c>
      <c r="S173" s="5">
        <v>1</v>
      </c>
      <c r="T173" s="7">
        <f t="shared" si="12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13D9-7B3D-433C-8D3D-B19DAB81D369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Labour Rates</vt:lpstr>
      <vt:lpstr>Wiring Installation</vt:lpstr>
      <vt:lpstr>Cost Codes for Claude</vt:lpstr>
      <vt:lpstr>Blocks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Baranyay</dc:creator>
  <cp:lastModifiedBy>Guy Baranyay</cp:lastModifiedBy>
  <dcterms:created xsi:type="dcterms:W3CDTF">2026-03-08T15:41:37Z</dcterms:created>
  <dcterms:modified xsi:type="dcterms:W3CDTF">2026-03-09T13:46:39Z</dcterms:modified>
</cp:coreProperties>
</file>