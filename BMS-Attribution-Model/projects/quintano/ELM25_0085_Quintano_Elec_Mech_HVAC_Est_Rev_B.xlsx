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fileSharing readOnlyRecommended="1"/>
  <workbookPr backupFile="1" codeName="ThisWorkbook"/>
  <mc:AlternateContent xmlns:mc="http://schemas.openxmlformats.org/markup-compatibility/2006">
    <mc:Choice Requires="x15">
      <x15ac:absPath xmlns:x15ac="http://schemas.microsoft.com/office/spreadsheetml/2010/11/ac" url="K:\est\Quintano Foods\Estimates\Redesign June 2025\"/>
    </mc:Choice>
  </mc:AlternateContent>
  <xr:revisionPtr revIDLastSave="0" documentId="13_ncr:1_{B4D09E93-FA52-4146-94DD-CF52C7B30079}" xr6:coauthVersionLast="47" xr6:coauthVersionMax="47" xr10:uidLastSave="{00000000-0000-0000-0000-000000000000}"/>
  <bookViews>
    <workbookView xWindow="-345" yWindow="-16320" windowWidth="29040" windowHeight="15720" activeTab="4" xr2:uid="{00000000-000D-0000-FFFF-FFFF00000000}"/>
  </bookViews>
  <sheets>
    <sheet name="Elec_Rates" sheetId="11" r:id="rId1"/>
    <sheet name="Elec_Est" sheetId="8" r:id="rId2"/>
    <sheet name="HVAC_BOQ" sheetId="23" r:id="rId3"/>
    <sheet name="Notes" sheetId="10" r:id="rId4"/>
    <sheet name="Quote" sheetId="18" r:id="rId5"/>
    <sheet name="ML_Sum" sheetId="1" r:id="rId6"/>
    <sheet name="E_BOQ" sheetId="14" r:id="rId7"/>
    <sheet name="E_DBOQ" sheetId="20" r:id="rId8"/>
  </sheets>
  <externalReferences>
    <externalReference r:id="rId9"/>
  </externalReferences>
  <definedNames>
    <definedName name="_xlnm._FilterDatabase" localSheetId="6" hidden="1">E_BOQ!$E$1:$E$565</definedName>
    <definedName name="_xlnm._FilterDatabase" localSheetId="1" hidden="1">Elec_Est!$F$1:$F$2151</definedName>
    <definedName name="_xlnm._FilterDatabase" localSheetId="0" hidden="1">Elec_Rates!$L$1:$L$214</definedName>
    <definedName name="_xlnm._FilterDatabase" localSheetId="2" hidden="1">HVAC_BOQ!$E$1:$E$514</definedName>
    <definedName name="Access_Control">[1]Elec_Est!#REF!</definedName>
    <definedName name="AREAS" localSheetId="6">#REF!</definedName>
    <definedName name="AREAS" localSheetId="4">[1]ML_Sum!$X$1:$AD$16</definedName>
    <definedName name="AREAS">ML_Sum!$X$1:$AD$16</definedName>
    <definedName name="CCTV">[1]Elec_Est!#REF!</definedName>
    <definedName name="Data">[1]Elec_Est!#REF!</definedName>
    <definedName name="Fire_Alarm">[1]Elec_Est!#REF!</definedName>
    <definedName name="FO">[1]Elec_Est!#REF!</definedName>
    <definedName name="Guard">[1]Elec_Est!#REF!</definedName>
    <definedName name="Intercom">[1]Elec_Est!#REF!</definedName>
    <definedName name="Intruder_Alarm">[1]Elec_Est!#REF!</definedName>
    <definedName name="_xlnm.Print_Area" localSheetId="6">E_BOQ!$A$1:$F$565</definedName>
    <definedName name="_xlnm.Print_Area" localSheetId="1">Elec_Est!$A$1:$T$2150</definedName>
    <definedName name="_xlnm.Print_Area" localSheetId="2">HVAC_BOQ!$A$1:$F$511</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4" i="8" l="1"/>
  <c r="C144" i="8"/>
  <c r="D128" i="8"/>
  <c r="C128" i="8"/>
  <c r="R150" i="8"/>
  <c r="R149" i="8"/>
  <c r="R148" i="8"/>
  <c r="R151" i="8" s="1"/>
  <c r="R145" i="8"/>
  <c r="R134" i="8"/>
  <c r="R133" i="8"/>
  <c r="R132" i="8"/>
  <c r="R135" i="8" s="1"/>
  <c r="R129" i="8"/>
  <c r="F41" i="23"/>
  <c r="F40" i="23"/>
  <c r="F258" i="23"/>
  <c r="R886" i="8"/>
  <c r="R885" i="8"/>
  <c r="R884" i="8"/>
  <c r="R881" i="8"/>
  <c r="R880" i="8"/>
  <c r="R879" i="8"/>
  <c r="R878" i="8"/>
  <c r="Q877" i="8"/>
  <c r="R877" i="8" s="1"/>
  <c r="R876" i="8"/>
  <c r="R875" i="8"/>
  <c r="R873" i="8"/>
  <c r="S872" i="8"/>
  <c r="R872" i="8"/>
  <c r="C780" i="8"/>
  <c r="C779" i="8"/>
  <c r="C778" i="8"/>
  <c r="C777" i="8"/>
  <c r="C776" i="8"/>
  <c r="C773" i="8"/>
  <c r="C772" i="8"/>
  <c r="C771" i="8"/>
  <c r="C770" i="8"/>
  <c r="C769" i="8"/>
  <c r="C826" i="8"/>
  <c r="C825" i="8"/>
  <c r="C824" i="8"/>
  <c r="C823" i="8"/>
  <c r="C822" i="8"/>
  <c r="C819" i="8"/>
  <c r="C818" i="8"/>
  <c r="C817" i="8"/>
  <c r="C816" i="8"/>
  <c r="C815" i="8"/>
  <c r="C911" i="8"/>
  <c r="C907" i="8"/>
  <c r="C904" i="8"/>
  <c r="C900" i="8"/>
  <c r="D127" i="8"/>
  <c r="D143" i="8"/>
  <c r="R887" i="8" l="1"/>
  <c r="R882" i="8"/>
  <c r="A1046" i="8"/>
  <c r="A1044" i="8"/>
  <c r="A1043" i="8"/>
  <c r="A1042" i="8"/>
  <c r="A1041" i="8"/>
  <c r="R889" i="8" l="1"/>
  <c r="H422" i="23"/>
  <c r="H421" i="23"/>
  <c r="G422" i="23"/>
  <c r="G421" i="23"/>
  <c r="H398" i="23"/>
  <c r="H397" i="23"/>
  <c r="H396" i="23"/>
  <c r="H395" i="23"/>
  <c r="G398" i="23"/>
  <c r="G397" i="23"/>
  <c r="G396" i="23"/>
  <c r="G395" i="23"/>
  <c r="E422" i="23"/>
  <c r="E421" i="23"/>
  <c r="E398" i="23"/>
  <c r="E397" i="23"/>
  <c r="E396" i="23"/>
  <c r="E395" i="23"/>
  <c r="F2058" i="8"/>
  <c r="R2058" i="8"/>
  <c r="T2058" i="8"/>
  <c r="F2059" i="8"/>
  <c r="R2059" i="8"/>
  <c r="T2059" i="8"/>
  <c r="F2060" i="8"/>
  <c r="R2060" i="8"/>
  <c r="T2060" i="8"/>
  <c r="F2061" i="8"/>
  <c r="R2061" i="8"/>
  <c r="T2061" i="8"/>
  <c r="F2062" i="8"/>
  <c r="R2062" i="8"/>
  <c r="T2062" i="8"/>
  <c r="F2063" i="8"/>
  <c r="R2063" i="8"/>
  <c r="T2063" i="8"/>
  <c r="F2064" i="8"/>
  <c r="R2064" i="8"/>
  <c r="T2064" i="8"/>
  <c r="R2077" i="8"/>
  <c r="D2039" i="8"/>
  <c r="C2039" i="8"/>
  <c r="D2004" i="8"/>
  <c r="C2004" i="8"/>
  <c r="D1949" i="8"/>
  <c r="C1949" i="8"/>
  <c r="R2040" i="8"/>
  <c r="R2033" i="8"/>
  <c r="R2032" i="8"/>
  <c r="R2031" i="8"/>
  <c r="R2030" i="8"/>
  <c r="R2029" i="8"/>
  <c r="R2028" i="8"/>
  <c r="R2023" i="8"/>
  <c r="R2022" i="8"/>
  <c r="R2021" i="8"/>
  <c r="R2020" i="8"/>
  <c r="R2019" i="8"/>
  <c r="R2018" i="8"/>
  <c r="R2005" i="8"/>
  <c r="R1998" i="8"/>
  <c r="R1997" i="8"/>
  <c r="R1996" i="8"/>
  <c r="R1995" i="8"/>
  <c r="R1994" i="8"/>
  <c r="R1993" i="8"/>
  <c r="R1988" i="8"/>
  <c r="R1987" i="8"/>
  <c r="R1986" i="8"/>
  <c r="R1985" i="8"/>
  <c r="R1984" i="8"/>
  <c r="R1983" i="8"/>
  <c r="R1978" i="8"/>
  <c r="R1977" i="8"/>
  <c r="R1976" i="8"/>
  <c r="R1975" i="8"/>
  <c r="R1974" i="8"/>
  <c r="R1973" i="8"/>
  <c r="R1968" i="8"/>
  <c r="R1967" i="8"/>
  <c r="R1966" i="8"/>
  <c r="R1965" i="8"/>
  <c r="R1964" i="8"/>
  <c r="R1963" i="8"/>
  <c r="R1950" i="8"/>
  <c r="D2003" i="8"/>
  <c r="D1948" i="8"/>
  <c r="D2038" i="8"/>
  <c r="AM868" i="8" l="1"/>
  <c r="G259" i="23" s="1"/>
  <c r="R1979" i="8"/>
  <c r="AM1971" i="8" s="1"/>
  <c r="R2034" i="8"/>
  <c r="AM2026" i="8" s="1"/>
  <c r="R1969" i="8"/>
  <c r="AM1961" i="8" s="1"/>
  <c r="R2024" i="8"/>
  <c r="AM2016" i="8" s="1"/>
  <c r="R1999" i="8"/>
  <c r="AM1991" i="8" s="1"/>
  <c r="R1989" i="8"/>
  <c r="AM1981" i="8" s="1"/>
  <c r="D2149" i="8"/>
  <c r="D2148" i="8"/>
  <c r="D2147" i="8"/>
  <c r="D2146" i="8"/>
  <c r="D2145" i="8"/>
  <c r="D2144" i="8"/>
  <c r="D2143" i="8"/>
  <c r="D2142" i="8"/>
  <c r="D2141" i="8"/>
  <c r="D2140" i="8"/>
  <c r="R1835" i="8"/>
  <c r="D1834" i="8"/>
  <c r="C1834" i="8"/>
  <c r="D1784" i="8"/>
  <c r="C1784" i="8"/>
  <c r="D1671" i="8"/>
  <c r="C1671" i="8"/>
  <c r="D1533" i="8"/>
  <c r="C1533" i="8"/>
  <c r="D1462" i="8"/>
  <c r="C1462" i="8"/>
  <c r="D1366" i="8"/>
  <c r="C1366" i="8"/>
  <c r="D1833" i="8"/>
  <c r="D1670" i="8"/>
  <c r="D1461" i="8"/>
  <c r="D1365" i="8"/>
  <c r="D1783" i="8"/>
  <c r="D1532" i="8"/>
  <c r="R141" i="11" l="1"/>
  <c r="F21" i="18" l="1"/>
  <c r="R1046" i="8"/>
  <c r="A1045" i="8"/>
  <c r="R1045" i="8" s="1"/>
  <c r="R1044" i="8"/>
  <c r="R1042" i="8"/>
  <c r="R1041" i="8"/>
  <c r="Q1043" i="8"/>
  <c r="R1043" i="8" l="1"/>
  <c r="D472" i="8" l="1"/>
  <c r="C472" i="8"/>
  <c r="Q110" i="11"/>
  <c r="Q28" i="11"/>
  <c r="Q27" i="11"/>
  <c r="A473" i="8"/>
  <c r="A477" i="8"/>
  <c r="A476" i="8"/>
  <c r="A475" i="8"/>
  <c r="A474" i="8"/>
  <c r="R1377" i="8"/>
  <c r="R1376" i="8"/>
  <c r="R1375" i="8"/>
  <c r="R1372" i="8"/>
  <c r="R1371" i="8"/>
  <c r="R1370" i="8"/>
  <c r="R1367" i="8"/>
  <c r="D471" i="8"/>
  <c r="R1373" i="8" l="1"/>
  <c r="R1378" i="8"/>
  <c r="A914" i="8"/>
  <c r="A915" i="8"/>
  <c r="A1055" i="8"/>
  <c r="R1055" i="8" s="1"/>
  <c r="A1056" i="8"/>
  <c r="A1057" i="8"/>
  <c r="R1057" i="8" s="1"/>
  <c r="R1064" i="8"/>
  <c r="R1061" i="8"/>
  <c r="R1060" i="8"/>
  <c r="R1059" i="8"/>
  <c r="R1058" i="8"/>
  <c r="R1054" i="8"/>
  <c r="R1065" i="8"/>
  <c r="G482" i="23"/>
  <c r="G484" i="23" s="1"/>
  <c r="H482" i="23"/>
  <c r="H484" i="23" s="1"/>
  <c r="I482" i="23"/>
  <c r="I484" i="23" s="1"/>
  <c r="G439" i="23"/>
  <c r="G441" i="23" s="1"/>
  <c r="H439" i="23"/>
  <c r="H441" i="23" s="1"/>
  <c r="I439" i="23"/>
  <c r="I441" i="23" s="1"/>
  <c r="G24" i="23"/>
  <c r="H24" i="23"/>
  <c r="I24" i="23"/>
  <c r="G12" i="23"/>
  <c r="H12" i="23"/>
  <c r="I12" i="23"/>
  <c r="I372" i="23"/>
  <c r="H372" i="23"/>
  <c r="G372" i="23"/>
  <c r="R478" i="8"/>
  <c r="R477" i="8"/>
  <c r="R476" i="8"/>
  <c r="Q475" i="8"/>
  <c r="R475" i="8" s="1"/>
  <c r="Q474" i="8"/>
  <c r="I385" i="23"/>
  <c r="H385" i="23"/>
  <c r="G385" i="23"/>
  <c r="I384" i="23"/>
  <c r="H384" i="23"/>
  <c r="G384" i="23"/>
  <c r="I383" i="23"/>
  <c r="H383" i="23"/>
  <c r="G383" i="23"/>
  <c r="I382" i="23"/>
  <c r="H382" i="23"/>
  <c r="G382" i="23"/>
  <c r="I368" i="23"/>
  <c r="H368" i="23"/>
  <c r="I367" i="23"/>
  <c r="H367" i="23"/>
  <c r="I366" i="23"/>
  <c r="H366" i="23"/>
  <c r="I365" i="23"/>
  <c r="H365" i="23"/>
  <c r="G368" i="23"/>
  <c r="G367" i="23"/>
  <c r="G366" i="23"/>
  <c r="G365" i="23"/>
  <c r="I351" i="23"/>
  <c r="H351" i="23"/>
  <c r="G351" i="23"/>
  <c r="I350" i="23"/>
  <c r="H350" i="23"/>
  <c r="G350" i="23"/>
  <c r="I349" i="23"/>
  <c r="H349" i="23"/>
  <c r="G349" i="23"/>
  <c r="I348" i="23"/>
  <c r="H348" i="23"/>
  <c r="G348" i="23"/>
  <c r="I347" i="23"/>
  <c r="H347" i="23"/>
  <c r="G347" i="23"/>
  <c r="I337" i="23"/>
  <c r="H337" i="23"/>
  <c r="G337" i="23"/>
  <c r="I336" i="23"/>
  <c r="H336" i="23"/>
  <c r="G336" i="23"/>
  <c r="I326" i="23"/>
  <c r="H326" i="23"/>
  <c r="G326" i="23"/>
  <c r="I325" i="23"/>
  <c r="H325" i="23"/>
  <c r="G325" i="23"/>
  <c r="I324" i="23"/>
  <c r="H324" i="23"/>
  <c r="G324" i="23"/>
  <c r="I312" i="23"/>
  <c r="H312" i="23"/>
  <c r="G312" i="23"/>
  <c r="I311" i="23"/>
  <c r="H311" i="23"/>
  <c r="G311" i="23"/>
  <c r="I310" i="23"/>
  <c r="H310" i="23"/>
  <c r="G310" i="23"/>
  <c r="I292" i="23"/>
  <c r="H292" i="23"/>
  <c r="G292" i="23"/>
  <c r="I291" i="23"/>
  <c r="H291" i="23"/>
  <c r="G291" i="23"/>
  <c r="I290" i="23"/>
  <c r="H290" i="23"/>
  <c r="G290" i="23"/>
  <c r="I289" i="23"/>
  <c r="H289" i="23"/>
  <c r="G289" i="23"/>
  <c r="I288" i="23"/>
  <c r="H288" i="23"/>
  <c r="G288" i="23"/>
  <c r="I287" i="23"/>
  <c r="H287" i="23"/>
  <c r="G287" i="23"/>
  <c r="I286" i="23"/>
  <c r="H286" i="23"/>
  <c r="G286" i="23"/>
  <c r="I269" i="23"/>
  <c r="H269" i="23"/>
  <c r="G269" i="23"/>
  <c r="I225" i="23"/>
  <c r="H225" i="23"/>
  <c r="G225" i="23"/>
  <c r="I224" i="23"/>
  <c r="H224" i="23"/>
  <c r="G224" i="23"/>
  <c r="I209" i="23"/>
  <c r="H209" i="23"/>
  <c r="G209" i="23"/>
  <c r="I208" i="23"/>
  <c r="H208" i="23"/>
  <c r="G208" i="23"/>
  <c r="I207" i="23"/>
  <c r="H207" i="23"/>
  <c r="G207" i="23"/>
  <c r="I178" i="23"/>
  <c r="H178" i="23"/>
  <c r="G178" i="23"/>
  <c r="I177" i="23"/>
  <c r="H177" i="23"/>
  <c r="G177" i="23"/>
  <c r="I176" i="23"/>
  <c r="H176" i="23"/>
  <c r="G176" i="23"/>
  <c r="I175" i="23"/>
  <c r="H175" i="23"/>
  <c r="G175" i="23"/>
  <c r="I149" i="23"/>
  <c r="H149" i="23"/>
  <c r="G149" i="23"/>
  <c r="I148" i="23"/>
  <c r="H148" i="23"/>
  <c r="G148" i="23"/>
  <c r="I121" i="23"/>
  <c r="H121" i="23"/>
  <c r="G121" i="23"/>
  <c r="I120" i="23"/>
  <c r="H120" i="23"/>
  <c r="G120" i="23"/>
  <c r="I96" i="23"/>
  <c r="H96" i="23"/>
  <c r="G96" i="23"/>
  <c r="I95" i="23"/>
  <c r="H95" i="23"/>
  <c r="G95" i="23"/>
  <c r="I94" i="23"/>
  <c r="H94" i="23"/>
  <c r="G94" i="23"/>
  <c r="E385" i="23"/>
  <c r="E384" i="23"/>
  <c r="E383" i="23"/>
  <c r="E382" i="23"/>
  <c r="E372" i="23"/>
  <c r="E368" i="23"/>
  <c r="E367" i="23"/>
  <c r="E366" i="23"/>
  <c r="E365" i="23"/>
  <c r="E351" i="23"/>
  <c r="E350" i="23"/>
  <c r="E349" i="23"/>
  <c r="E348" i="23"/>
  <c r="E347" i="23"/>
  <c r="E337" i="23"/>
  <c r="E336" i="23"/>
  <c r="E326" i="23"/>
  <c r="E325" i="23"/>
  <c r="E324" i="23"/>
  <c r="E312" i="23"/>
  <c r="E311" i="23"/>
  <c r="E310" i="23"/>
  <c r="E292" i="23"/>
  <c r="E291" i="23"/>
  <c r="E290" i="23"/>
  <c r="E289" i="23"/>
  <c r="E288" i="23"/>
  <c r="E287" i="23"/>
  <c r="E286" i="23"/>
  <c r="E269" i="23"/>
  <c r="E225" i="23"/>
  <c r="E224" i="23"/>
  <c r="E209" i="23"/>
  <c r="E208" i="23"/>
  <c r="E207" i="23"/>
  <c r="E178" i="23"/>
  <c r="E177" i="23"/>
  <c r="E176" i="23"/>
  <c r="E175" i="23"/>
  <c r="E149" i="23"/>
  <c r="E148" i="23"/>
  <c r="E121" i="23"/>
  <c r="E120" i="23"/>
  <c r="E96" i="23"/>
  <c r="E95" i="23"/>
  <c r="E94" i="23"/>
  <c r="R1038" i="8"/>
  <c r="R1037" i="8"/>
  <c r="Q112" i="11"/>
  <c r="H26" i="23" l="1"/>
  <c r="G26" i="23"/>
  <c r="I26" i="23"/>
  <c r="R1066" i="8"/>
  <c r="G124" i="23"/>
  <c r="H181" i="23"/>
  <c r="R1056" i="8"/>
  <c r="R1062" i="8" s="1"/>
  <c r="I124" i="23"/>
  <c r="H233" i="23"/>
  <c r="H124" i="23"/>
  <c r="I181" i="23"/>
  <c r="G233" i="23"/>
  <c r="I233" i="23"/>
  <c r="G303" i="23"/>
  <c r="I415" i="23"/>
  <c r="I428" i="23"/>
  <c r="H303" i="23"/>
  <c r="I303" i="23"/>
  <c r="G181" i="23"/>
  <c r="R473" i="8"/>
  <c r="R474" i="8"/>
  <c r="R1068" i="8" l="1"/>
  <c r="AM1050" i="8" s="1"/>
  <c r="G268" i="23" s="1"/>
  <c r="R908" i="8" l="1"/>
  <c r="R909" i="8"/>
  <c r="R910" i="8"/>
  <c r="R912" i="8"/>
  <c r="R913" i="8"/>
  <c r="I507" i="23" l="1"/>
  <c r="H507" i="23"/>
  <c r="I505" i="23"/>
  <c r="H505" i="23"/>
  <c r="I503" i="23"/>
  <c r="H503" i="23"/>
  <c r="I502" i="23"/>
  <c r="H502" i="23"/>
  <c r="I501" i="23"/>
  <c r="I500" i="23"/>
  <c r="I499" i="23"/>
  <c r="H499" i="23"/>
  <c r="I497" i="23"/>
  <c r="I496" i="23"/>
  <c r="H496" i="23"/>
  <c r="I495" i="23"/>
  <c r="H495" i="23"/>
  <c r="I494" i="23"/>
  <c r="H494" i="23"/>
  <c r="I493" i="23"/>
  <c r="I491" i="23"/>
  <c r="H491" i="23"/>
  <c r="I490" i="23"/>
  <c r="H490" i="23"/>
  <c r="G507" i="23"/>
  <c r="G505" i="23"/>
  <c r="G499" i="23"/>
  <c r="G496" i="23"/>
  <c r="G495" i="23"/>
  <c r="G494" i="23"/>
  <c r="G491" i="23"/>
  <c r="G490" i="23"/>
  <c r="Q86" i="11"/>
  <c r="Q85" i="11"/>
  <c r="D321" i="8"/>
  <c r="R87" i="11"/>
  <c r="D320" i="8"/>
  <c r="I510" i="23" l="1"/>
  <c r="R932" i="8"/>
  <c r="R1019" i="8"/>
  <c r="R1018" i="8"/>
  <c r="R1017" i="8"/>
  <c r="Q1016" i="8"/>
  <c r="R1016" i="8" s="1"/>
  <c r="R1015" i="8"/>
  <c r="R1014" i="8"/>
  <c r="R996" i="8"/>
  <c r="R995" i="8"/>
  <c r="R994" i="8"/>
  <c r="Q993" i="8"/>
  <c r="R993" i="8" s="1"/>
  <c r="R992" i="8"/>
  <c r="R991" i="8"/>
  <c r="R973" i="8"/>
  <c r="R972" i="8"/>
  <c r="R971" i="8"/>
  <c r="Q970" i="8"/>
  <c r="R970" i="8" s="1"/>
  <c r="R969" i="8"/>
  <c r="R968" i="8"/>
  <c r="R950" i="8"/>
  <c r="R949" i="8"/>
  <c r="R948" i="8"/>
  <c r="Q947" i="8"/>
  <c r="R947" i="8" s="1"/>
  <c r="R946" i="8"/>
  <c r="R945" i="8"/>
  <c r="R926" i="8"/>
  <c r="R925" i="8"/>
  <c r="R924" i="8"/>
  <c r="Q923" i="8"/>
  <c r="R923" i="8" s="1"/>
  <c r="R922" i="8"/>
  <c r="R921" i="8"/>
  <c r="R857" i="8"/>
  <c r="R856" i="8"/>
  <c r="R855" i="8"/>
  <c r="Q854" i="8"/>
  <c r="R854" i="8" s="1"/>
  <c r="R853" i="8"/>
  <c r="R852" i="8"/>
  <c r="R834" i="8"/>
  <c r="R833" i="8"/>
  <c r="R832" i="8"/>
  <c r="Q831" i="8"/>
  <c r="R831" i="8" s="1"/>
  <c r="R830" i="8"/>
  <c r="R829" i="8"/>
  <c r="R795" i="8"/>
  <c r="R794" i="8"/>
  <c r="R793" i="8"/>
  <c r="Q792" i="8"/>
  <c r="R792" i="8" s="1"/>
  <c r="R791" i="8"/>
  <c r="R790" i="8"/>
  <c r="Q111" i="11" l="1"/>
  <c r="Q134" i="11"/>
  <c r="Q133" i="11"/>
  <c r="Q131" i="11"/>
  <c r="Q129" i="11"/>
  <c r="H24" i="1" l="1"/>
  <c r="J24" i="1"/>
  <c r="H25" i="1"/>
  <c r="J25" i="1"/>
  <c r="H26" i="1"/>
  <c r="J26" i="1"/>
  <c r="H27" i="1"/>
  <c r="J27" i="1"/>
  <c r="H28" i="1"/>
  <c r="J28" i="1"/>
  <c r="H29" i="1"/>
  <c r="J29" i="1"/>
  <c r="H30" i="1"/>
  <c r="J30" i="1"/>
  <c r="H31" i="1"/>
  <c r="J31" i="1"/>
  <c r="H32" i="1"/>
  <c r="J32" i="1"/>
  <c r="R1024" i="8"/>
  <c r="R1001" i="8"/>
  <c r="R978" i="8"/>
  <c r="R955" i="8"/>
  <c r="R931" i="8"/>
  <c r="R862" i="8"/>
  <c r="R839" i="8"/>
  <c r="R800" i="8"/>
  <c r="R110" i="8"/>
  <c r="S1108" i="8" l="1"/>
  <c r="R1108" i="8"/>
  <c r="D1104" i="8"/>
  <c r="C1104" i="8"/>
  <c r="R1110" i="8"/>
  <c r="R1109" i="8"/>
  <c r="R1105" i="8"/>
  <c r="D1103" i="8"/>
  <c r="R1111" i="8" l="1"/>
  <c r="R903" i="8" l="1"/>
  <c r="R902" i="8"/>
  <c r="R901" i="8"/>
  <c r="R905" i="8"/>
  <c r="R904" i="8"/>
  <c r="R900" i="8"/>
  <c r="R272" i="8"/>
  <c r="R271" i="8"/>
  <c r="R270" i="8"/>
  <c r="Q269" i="8"/>
  <c r="R269" i="8" s="1"/>
  <c r="Q268" i="8"/>
  <c r="R268" i="8" s="1"/>
  <c r="R267" i="8"/>
  <c r="R273" i="8"/>
  <c r="R116" i="8"/>
  <c r="R115" i="8"/>
  <c r="R114" i="8"/>
  <c r="Q113" i="8"/>
  <c r="R113" i="8" s="1"/>
  <c r="Q112" i="8"/>
  <c r="R112" i="8" s="1"/>
  <c r="R111" i="8"/>
  <c r="R274" i="8" l="1"/>
  <c r="R1088" i="8" l="1"/>
  <c r="R1084" i="8"/>
  <c r="R1083" i="8"/>
  <c r="S1011" i="8"/>
  <c r="R917" i="8"/>
  <c r="Q916" i="8"/>
  <c r="Q915" i="8"/>
  <c r="R914" i="8" l="1"/>
  <c r="R915" i="8"/>
  <c r="R918" i="8"/>
  <c r="R916" i="8"/>
  <c r="R919" i="8"/>
  <c r="S988" i="8" l="1"/>
  <c r="S965" i="8"/>
  <c r="S764" i="8"/>
  <c r="S810" i="8"/>
  <c r="S849" i="8"/>
  <c r="S895" i="8"/>
  <c r="S942" i="8"/>
  <c r="R911" i="8" l="1"/>
  <c r="R907" i="8"/>
  <c r="D898" i="8"/>
  <c r="C898" i="8"/>
  <c r="R826" i="8"/>
  <c r="R823" i="8"/>
  <c r="R827" i="8"/>
  <c r="R821" i="8"/>
  <c r="R820" i="8"/>
  <c r="R817" i="8"/>
  <c r="R815" i="8"/>
  <c r="R814" i="8"/>
  <c r="D813" i="8"/>
  <c r="C813" i="8"/>
  <c r="R811" i="8"/>
  <c r="R765" i="8"/>
  <c r="R788" i="8"/>
  <c r="R781" i="8"/>
  <c r="R774" i="8"/>
  <c r="R778" i="8"/>
  <c r="R777" i="8"/>
  <c r="R773" i="8"/>
  <c r="R771" i="8"/>
  <c r="R770" i="8"/>
  <c r="R787" i="8"/>
  <c r="R786" i="8"/>
  <c r="R785" i="8"/>
  <c r="R784" i="8"/>
  <c r="R783" i="8"/>
  <c r="D767" i="8"/>
  <c r="C767" i="8"/>
  <c r="R135" i="11"/>
  <c r="Q124" i="11"/>
  <c r="Q123" i="11"/>
  <c r="R768" i="8"/>
  <c r="R775" i="8"/>
  <c r="R1012" i="8"/>
  <c r="R989" i="8"/>
  <c r="R966" i="8"/>
  <c r="R943" i="8"/>
  <c r="R896" i="8"/>
  <c r="R850" i="8"/>
  <c r="R1023" i="8"/>
  <c r="R1011" i="8"/>
  <c r="R1000" i="8"/>
  <c r="R988" i="8"/>
  <c r="R977" i="8"/>
  <c r="R965" i="8"/>
  <c r="R954" i="8"/>
  <c r="R942" i="8"/>
  <c r="R930" i="8"/>
  <c r="R895" i="8"/>
  <c r="R861" i="8"/>
  <c r="R849" i="8"/>
  <c r="R838" i="8"/>
  <c r="R810" i="8"/>
  <c r="R799" i="8"/>
  <c r="R764" i="8"/>
  <c r="D721" i="8"/>
  <c r="C721" i="8"/>
  <c r="D705" i="8"/>
  <c r="C705" i="8"/>
  <c r="D689" i="8"/>
  <c r="C689" i="8"/>
  <c r="D669" i="8"/>
  <c r="C669" i="8"/>
  <c r="D653" i="8"/>
  <c r="C653" i="8"/>
  <c r="D637" i="8"/>
  <c r="C637" i="8"/>
  <c r="D621" i="8"/>
  <c r="C621" i="8"/>
  <c r="D601" i="8"/>
  <c r="C601" i="8"/>
  <c r="D585" i="8"/>
  <c r="C585" i="8"/>
  <c r="D565" i="8"/>
  <c r="C565" i="8"/>
  <c r="D549" i="8"/>
  <c r="C549" i="8"/>
  <c r="D529" i="8"/>
  <c r="C529" i="8"/>
  <c r="D513" i="8"/>
  <c r="C513" i="8"/>
  <c r="D497" i="8"/>
  <c r="C497" i="8"/>
  <c r="R118" i="11"/>
  <c r="D600" i="8"/>
  <c r="D704" i="8"/>
  <c r="D688" i="8"/>
  <c r="D636" i="8"/>
  <c r="D512" i="8"/>
  <c r="D496" i="8"/>
  <c r="D720" i="8"/>
  <c r="D668" i="8"/>
  <c r="D652" i="8"/>
  <c r="D620" i="8"/>
  <c r="D812" i="8"/>
  <c r="D897" i="8"/>
  <c r="D528" i="8"/>
  <c r="D584" i="8"/>
  <c r="D766" i="8"/>
  <c r="D548" i="8"/>
  <c r="D564" i="8"/>
  <c r="R818" i="8" l="1"/>
  <c r="R824" i="8"/>
  <c r="R816" i="8"/>
  <c r="R822" i="8"/>
  <c r="R819" i="8"/>
  <c r="R825" i="8"/>
  <c r="R776" i="8"/>
  <c r="R779" i="8"/>
  <c r="R780" i="8"/>
  <c r="R769" i="8"/>
  <c r="R772" i="8"/>
  <c r="D457" i="8" l="1"/>
  <c r="C457" i="8"/>
  <c r="D441" i="8"/>
  <c r="C441" i="8"/>
  <c r="D425" i="8"/>
  <c r="C425" i="8"/>
  <c r="D409" i="8"/>
  <c r="C409" i="8"/>
  <c r="D393" i="8"/>
  <c r="C393" i="8"/>
  <c r="D377" i="8"/>
  <c r="C377" i="8"/>
  <c r="D361" i="8"/>
  <c r="C361" i="8"/>
  <c r="D345" i="8"/>
  <c r="C345" i="8"/>
  <c r="C321" i="8"/>
  <c r="D301" i="8"/>
  <c r="C301" i="8"/>
  <c r="R40" i="11"/>
  <c r="D285" i="8"/>
  <c r="C285" i="8"/>
  <c r="R97" i="11"/>
  <c r="D252" i="8"/>
  <c r="C252" i="8"/>
  <c r="D236" i="8"/>
  <c r="C236" i="8"/>
  <c r="D220" i="8"/>
  <c r="C220" i="8"/>
  <c r="D204" i="8"/>
  <c r="C204" i="8"/>
  <c r="D180" i="8"/>
  <c r="C180" i="8"/>
  <c r="D164" i="8"/>
  <c r="C164" i="8"/>
  <c r="R74" i="11"/>
  <c r="D96" i="8"/>
  <c r="C96" i="8"/>
  <c r="D80" i="8"/>
  <c r="C80" i="8"/>
  <c r="R51" i="11"/>
  <c r="D64" i="8"/>
  <c r="C64" i="8"/>
  <c r="R63" i="11"/>
  <c r="D48" i="8"/>
  <c r="C48" i="8"/>
  <c r="D251" i="8"/>
  <c r="D376" i="8"/>
  <c r="D179" i="8"/>
  <c r="D63" i="8"/>
  <c r="D47" i="8"/>
  <c r="D408" i="8"/>
  <c r="D360" i="8"/>
  <c r="D163" i="8"/>
  <c r="D203" i="8"/>
  <c r="D424" i="8"/>
  <c r="D344" i="8"/>
  <c r="D219" i="8"/>
  <c r="D79" i="8"/>
  <c r="D456" i="8"/>
  <c r="D300" i="8"/>
  <c r="D95" i="8"/>
  <c r="D235" i="8"/>
  <c r="D392" i="8"/>
  <c r="D440" i="8"/>
  <c r="D284" i="8"/>
  <c r="K567" i="20" l="1"/>
  <c r="I567" i="20"/>
  <c r="K510" i="20"/>
  <c r="I510" i="20"/>
  <c r="K453" i="20"/>
  <c r="I453" i="20"/>
  <c r="K396" i="20"/>
  <c r="I396" i="20"/>
  <c r="K339" i="20"/>
  <c r="I339" i="20"/>
  <c r="K282" i="20"/>
  <c r="I282" i="20"/>
  <c r="K225" i="20"/>
  <c r="I225" i="20"/>
  <c r="K168" i="20"/>
  <c r="I168" i="20"/>
  <c r="K111" i="20"/>
  <c r="I111" i="20"/>
  <c r="K54" i="20"/>
  <c r="I54" i="20"/>
  <c r="F565" i="14"/>
  <c r="F508" i="14"/>
  <c r="F451" i="14"/>
  <c r="F394" i="14"/>
  <c r="F337" i="14"/>
  <c r="F280" i="14"/>
  <c r="F224" i="14"/>
  <c r="F168" i="14"/>
  <c r="F112" i="14"/>
  <c r="R56" i="14"/>
  <c r="Q56" i="14"/>
  <c r="P56" i="14"/>
  <c r="O56" i="14"/>
  <c r="N56" i="14"/>
  <c r="M56" i="14"/>
  <c r="L56" i="14"/>
  <c r="K56" i="14"/>
  <c r="J56" i="14"/>
  <c r="I56" i="14"/>
  <c r="H56" i="14"/>
  <c r="H112" i="14" s="1"/>
  <c r="G56" i="14"/>
  <c r="G112" i="14" s="1"/>
  <c r="F56" i="14"/>
  <c r="B35" i="1" s="1"/>
  <c r="D56" i="14"/>
  <c r="S107" i="1"/>
  <c r="D95" i="1"/>
  <c r="D175" i="1" s="1"/>
  <c r="F77" i="1"/>
  <c r="E64" i="1"/>
  <c r="E103" i="1" s="1"/>
  <c r="E63" i="1"/>
  <c r="E62" i="1"/>
  <c r="E102" i="1" s="1"/>
  <c r="E61" i="1"/>
  <c r="E101" i="1" s="1"/>
  <c r="E60" i="1"/>
  <c r="D55" i="1"/>
  <c r="D51" i="1"/>
  <c r="A36" i="1"/>
  <c r="D32" i="1"/>
  <c r="D31" i="1"/>
  <c r="D30" i="1"/>
  <c r="D29" i="1"/>
  <c r="D28" i="1"/>
  <c r="D27" i="1"/>
  <c r="D26" i="1"/>
  <c r="D25" i="1"/>
  <c r="D24" i="1"/>
  <c r="J23" i="1"/>
  <c r="H23" i="1"/>
  <c r="D23" i="1"/>
  <c r="B18" i="1"/>
  <c r="B16" i="1"/>
  <c r="B14" i="1"/>
  <c r="T13" i="1"/>
  <c r="C12" i="1"/>
  <c r="C12" i="8" s="1"/>
  <c r="T11" i="1"/>
  <c r="I32" i="1" s="1"/>
  <c r="C11" i="1"/>
  <c r="G32" i="1" s="1"/>
  <c r="T10" i="1"/>
  <c r="I31" i="1" s="1"/>
  <c r="O10" i="1"/>
  <c r="N10" i="1"/>
  <c r="N10" i="8" s="1"/>
  <c r="M10" i="1"/>
  <c r="L10" i="1"/>
  <c r="K10" i="1"/>
  <c r="K10" i="8" s="1"/>
  <c r="J10" i="1"/>
  <c r="C10" i="1"/>
  <c r="G31" i="1" s="1"/>
  <c r="T9" i="1"/>
  <c r="I30" i="1" s="1"/>
  <c r="N9" i="1"/>
  <c r="M9" i="1"/>
  <c r="M9" i="8" s="1"/>
  <c r="L9" i="1"/>
  <c r="K9" i="1"/>
  <c r="J9" i="1"/>
  <c r="J9" i="11" s="1"/>
  <c r="C9" i="1"/>
  <c r="G30" i="1" s="1"/>
  <c r="T8" i="1"/>
  <c r="I29" i="1" s="1"/>
  <c r="N8" i="1"/>
  <c r="N8" i="11" s="1"/>
  <c r="M8" i="1"/>
  <c r="L8" i="1"/>
  <c r="L8" i="8" s="1"/>
  <c r="K8" i="1"/>
  <c r="J8" i="1"/>
  <c r="C8" i="1"/>
  <c r="G29" i="1" s="1"/>
  <c r="T7" i="1"/>
  <c r="I28" i="1" s="1"/>
  <c r="N7" i="1"/>
  <c r="N7" i="11" s="1"/>
  <c r="M7" i="1"/>
  <c r="L7" i="1"/>
  <c r="L7" i="8" s="1"/>
  <c r="K7" i="1"/>
  <c r="J7" i="1"/>
  <c r="C7" i="1"/>
  <c r="G28" i="1" s="1"/>
  <c r="T6" i="1"/>
  <c r="I27" i="1" s="1"/>
  <c r="O6" i="1"/>
  <c r="O6" i="11" s="1"/>
  <c r="N6" i="1"/>
  <c r="M6" i="1"/>
  <c r="M6" i="8" s="1"/>
  <c r="L6" i="1"/>
  <c r="K6" i="1"/>
  <c r="J6" i="1"/>
  <c r="C6" i="1"/>
  <c r="G27" i="1" s="1"/>
  <c r="T5" i="1"/>
  <c r="O5" i="1"/>
  <c r="O5" i="8" s="1"/>
  <c r="N5" i="1"/>
  <c r="M5" i="1"/>
  <c r="M5" i="11" s="1"/>
  <c r="L5" i="1"/>
  <c r="K5" i="1"/>
  <c r="J5" i="1"/>
  <c r="C5" i="1"/>
  <c r="G26" i="1" s="1"/>
  <c r="T4" i="1"/>
  <c r="I25" i="1" s="1"/>
  <c r="O4" i="1"/>
  <c r="O4" i="11" s="1"/>
  <c r="N4" i="1"/>
  <c r="M4" i="1"/>
  <c r="M4" i="8" s="1"/>
  <c r="L4" i="1"/>
  <c r="K4" i="1"/>
  <c r="J4" i="1"/>
  <c r="C4" i="1"/>
  <c r="G25" i="1" s="1"/>
  <c r="T3" i="1"/>
  <c r="I24" i="1" s="1"/>
  <c r="O3" i="1"/>
  <c r="O3" i="8" s="1"/>
  <c r="N3" i="1"/>
  <c r="M3" i="1"/>
  <c r="M3" i="8" s="1"/>
  <c r="L3" i="1"/>
  <c r="K3" i="1"/>
  <c r="J3" i="1"/>
  <c r="C3" i="1"/>
  <c r="G24" i="1" s="1"/>
  <c r="T2" i="1"/>
  <c r="I23" i="1" s="1"/>
  <c r="O2" i="1"/>
  <c r="N2" i="1"/>
  <c r="N2" i="8" s="1"/>
  <c r="M2" i="1"/>
  <c r="L2" i="1"/>
  <c r="K2" i="1"/>
  <c r="J2" i="1"/>
  <c r="J2" i="11" s="1"/>
  <c r="C2" i="1"/>
  <c r="G23" i="1" s="1"/>
  <c r="V1" i="1" a="1"/>
  <c r="V1" i="1" s="1"/>
  <c r="S1" i="1"/>
  <c r="S1" i="11" s="1"/>
  <c r="Q1" i="1"/>
  <c r="E36" i="1" s="1"/>
  <c r="O1" i="1"/>
  <c r="N1" i="1"/>
  <c r="M1" i="1"/>
  <c r="L1" i="1"/>
  <c r="L1" i="8" s="1"/>
  <c r="K1" i="1"/>
  <c r="J1" i="1"/>
  <c r="J1" i="8" s="1"/>
  <c r="D10" i="18"/>
  <c r="D9" i="18"/>
  <c r="A2" i="18" s="1"/>
  <c r="D5" i="18" s="1"/>
  <c r="D8" i="18"/>
  <c r="D7" i="18"/>
  <c r="D6" i="18"/>
  <c r="S5" i="18"/>
  <c r="F481" i="23"/>
  <c r="F480" i="23"/>
  <c r="F479" i="23"/>
  <c r="F478" i="23"/>
  <c r="F477" i="23"/>
  <c r="F476" i="23"/>
  <c r="F475" i="23"/>
  <c r="F474" i="23"/>
  <c r="F473" i="23"/>
  <c r="F472" i="23"/>
  <c r="F471" i="23"/>
  <c r="F470" i="23"/>
  <c r="F469" i="23"/>
  <c r="F468" i="23"/>
  <c r="F467" i="23"/>
  <c r="F466" i="23"/>
  <c r="F465" i="23"/>
  <c r="F464" i="23"/>
  <c r="F463" i="23"/>
  <c r="F462" i="23"/>
  <c r="F461" i="23"/>
  <c r="F460" i="23"/>
  <c r="F459" i="23"/>
  <c r="F458" i="23"/>
  <c r="A447" i="23"/>
  <c r="A448" i="23" s="1"/>
  <c r="A449" i="23" s="1"/>
  <c r="A450" i="23" s="1"/>
  <c r="A451" i="23" s="1"/>
  <c r="A453" i="23" s="1"/>
  <c r="A454" i="23" s="1"/>
  <c r="A455" i="23" s="1"/>
  <c r="A456" i="23" s="1"/>
  <c r="A457" i="23" s="1"/>
  <c r="A458" i="23" s="1"/>
  <c r="A459" i="23" s="1"/>
  <c r="A460" i="23" s="1"/>
  <c r="A461" i="23" s="1"/>
  <c r="A462" i="23" s="1"/>
  <c r="A463" i="23" s="1"/>
  <c r="A464" i="23" s="1"/>
  <c r="A465" i="23" s="1"/>
  <c r="A466" i="23" s="1"/>
  <c r="A467" i="23" s="1"/>
  <c r="A468" i="23" s="1"/>
  <c r="A469" i="23" s="1"/>
  <c r="A470" i="23" s="1"/>
  <c r="A471" i="23" s="1"/>
  <c r="A472" i="23" s="1"/>
  <c r="A473" i="23" s="1"/>
  <c r="A474" i="23" s="1"/>
  <c r="A475" i="23" s="1"/>
  <c r="A476" i="23" s="1"/>
  <c r="A477" i="23" s="1"/>
  <c r="A478" i="23" s="1"/>
  <c r="A479" i="23" s="1"/>
  <c r="A480" i="23" s="1"/>
  <c r="A481" i="23" s="1"/>
  <c r="F438" i="23"/>
  <c r="F436" i="23"/>
  <c r="F435" i="23"/>
  <c r="A435" i="23"/>
  <c r="A436" i="23" s="1"/>
  <c r="A438" i="23" s="1"/>
  <c r="F427" i="23"/>
  <c r="F426" i="23"/>
  <c r="F414" i="23"/>
  <c r="F413" i="23"/>
  <c r="F412" i="23"/>
  <c r="F411" i="23"/>
  <c r="F410" i="23"/>
  <c r="F409" i="23"/>
  <c r="F408" i="23"/>
  <c r="F406" i="23"/>
  <c r="F405" i="23"/>
  <c r="F404" i="23"/>
  <c r="F403" i="23"/>
  <c r="F402" i="23"/>
  <c r="F401" i="23"/>
  <c r="F385" i="23"/>
  <c r="F384" i="23"/>
  <c r="F383" i="23"/>
  <c r="F382" i="23"/>
  <c r="F374" i="23"/>
  <c r="F372" i="23"/>
  <c r="F368" i="23"/>
  <c r="F367" i="23"/>
  <c r="F366" i="23"/>
  <c r="F365" i="23"/>
  <c r="F362" i="23"/>
  <c r="F361" i="23"/>
  <c r="F360" i="23"/>
  <c r="F359" i="23"/>
  <c r="F357" i="23"/>
  <c r="F356" i="23"/>
  <c r="F355" i="23"/>
  <c r="F354" i="23"/>
  <c r="F351" i="23"/>
  <c r="F350" i="23"/>
  <c r="F349" i="23"/>
  <c r="F348" i="23"/>
  <c r="F347" i="23"/>
  <c r="F339" i="23"/>
  <c r="F337" i="23"/>
  <c r="F336" i="23"/>
  <c r="F333" i="23"/>
  <c r="F332" i="23"/>
  <c r="F330" i="23"/>
  <c r="F329" i="23"/>
  <c r="F326" i="23"/>
  <c r="F325" i="23"/>
  <c r="F324" i="23"/>
  <c r="F320" i="23"/>
  <c r="F319" i="23"/>
  <c r="F318" i="23"/>
  <c r="F316" i="23"/>
  <c r="F315" i="23"/>
  <c r="F312" i="23"/>
  <c r="F311" i="23"/>
  <c r="F310" i="23"/>
  <c r="F302" i="23"/>
  <c r="F301" i="23"/>
  <c r="F300" i="23"/>
  <c r="F299" i="23"/>
  <c r="F298" i="23"/>
  <c r="F297" i="23"/>
  <c r="F296" i="23"/>
  <c r="F295" i="23"/>
  <c r="F292" i="23"/>
  <c r="F291" i="23"/>
  <c r="F290" i="23"/>
  <c r="F289" i="23"/>
  <c r="F288" i="23"/>
  <c r="F287" i="23"/>
  <c r="F286" i="23"/>
  <c r="F276" i="23"/>
  <c r="F275" i="23"/>
  <c r="F269" i="23"/>
  <c r="F253" i="23"/>
  <c r="F252" i="23"/>
  <c r="F251" i="23"/>
  <c r="F250" i="23"/>
  <c r="F249" i="23"/>
  <c r="F248" i="23"/>
  <c r="F247" i="23"/>
  <c r="F246" i="23"/>
  <c r="F245" i="23"/>
  <c r="F244" i="23"/>
  <c r="F243" i="23"/>
  <c r="F242" i="23"/>
  <c r="F241" i="23"/>
  <c r="F239" i="23"/>
  <c r="F232" i="23"/>
  <c r="F231" i="23"/>
  <c r="F230" i="23"/>
  <c r="F229" i="23"/>
  <c r="F228" i="23"/>
  <c r="F227" i="23"/>
  <c r="F222" i="23"/>
  <c r="F221" i="23"/>
  <c r="F220" i="23"/>
  <c r="F219" i="23"/>
  <c r="F218" i="23"/>
  <c r="F217" i="23"/>
  <c r="F216" i="23"/>
  <c r="F215" i="23"/>
  <c r="F212" i="23"/>
  <c r="F211" i="23"/>
  <c r="F205" i="23"/>
  <c r="F204" i="23"/>
  <c r="F203" i="23"/>
  <c r="F202" i="23"/>
  <c r="F201" i="23"/>
  <c r="F199" i="23"/>
  <c r="F198" i="23"/>
  <c r="F197" i="23"/>
  <c r="F196" i="23"/>
  <c r="F195" i="23"/>
  <c r="F194" i="23"/>
  <c r="F193" i="23"/>
  <c r="F192" i="23"/>
  <c r="F191" i="23"/>
  <c r="F190" i="23"/>
  <c r="F189" i="23"/>
  <c r="F188" i="23"/>
  <c r="F187" i="23"/>
  <c r="F180" i="23"/>
  <c r="F173" i="23"/>
  <c r="F172" i="23"/>
  <c r="F171" i="23"/>
  <c r="F170" i="23"/>
  <c r="F169" i="23"/>
  <c r="F168" i="23"/>
  <c r="F166" i="23"/>
  <c r="F165" i="23"/>
  <c r="F164" i="23"/>
  <c r="F163" i="23"/>
  <c r="F162" i="23"/>
  <c r="F161" i="23"/>
  <c r="F160" i="23"/>
  <c r="F159" i="23"/>
  <c r="F158" i="23"/>
  <c r="F157" i="23"/>
  <c r="F156" i="23"/>
  <c r="F155" i="23"/>
  <c r="F154" i="23"/>
  <c r="F153" i="23"/>
  <c r="F152" i="23"/>
  <c r="F146" i="23"/>
  <c r="F145" i="23"/>
  <c r="F144" i="23"/>
  <c r="F143" i="23"/>
  <c r="F141" i="23"/>
  <c r="F140" i="23"/>
  <c r="F139" i="23"/>
  <c r="F138" i="23"/>
  <c r="F137" i="23"/>
  <c r="F136" i="23"/>
  <c r="F135" i="23"/>
  <c r="F134" i="23"/>
  <c r="F132" i="23"/>
  <c r="F130" i="23"/>
  <c r="F123" i="23"/>
  <c r="F118" i="23"/>
  <c r="F117" i="23"/>
  <c r="F116" i="23"/>
  <c r="F114" i="23"/>
  <c r="F113" i="23"/>
  <c r="F112" i="23"/>
  <c r="F111" i="23"/>
  <c r="F110" i="23"/>
  <c r="F109" i="23"/>
  <c r="F108" i="23"/>
  <c r="F107" i="23"/>
  <c r="F106" i="23"/>
  <c r="F104" i="23"/>
  <c r="F102" i="23"/>
  <c r="F99" i="23"/>
  <c r="F98" i="23"/>
  <c r="F92" i="23"/>
  <c r="F91" i="23"/>
  <c r="F90" i="23"/>
  <c r="F88" i="23"/>
  <c r="F87" i="23"/>
  <c r="F86" i="23"/>
  <c r="F84" i="23"/>
  <c r="F82" i="23"/>
  <c r="F81" i="23"/>
  <c r="F80" i="23"/>
  <c r="F79" i="23"/>
  <c r="F77" i="23"/>
  <c r="F76" i="23"/>
  <c r="F75" i="23"/>
  <c r="F74" i="23"/>
  <c r="F23" i="23"/>
  <c r="F22" i="23"/>
  <c r="F21" i="23"/>
  <c r="F20" i="23"/>
  <c r="F19" i="23"/>
  <c r="F18" i="23"/>
  <c r="F17" i="23"/>
  <c r="F16" i="23"/>
  <c r="F11" i="23"/>
  <c r="F10" i="23"/>
  <c r="F9" i="23"/>
  <c r="F8" i="23"/>
  <c r="F7" i="23"/>
  <c r="A7" i="23"/>
  <c r="T32" i="1"/>
  <c r="R32" i="1"/>
  <c r="F32" i="1"/>
  <c r="A32" i="1" s="1"/>
  <c r="T31" i="1"/>
  <c r="R31" i="1"/>
  <c r="F31" i="1"/>
  <c r="B31" i="1" s="1"/>
  <c r="T30" i="1"/>
  <c r="R30" i="1"/>
  <c r="F30" i="1"/>
  <c r="A30" i="1" s="1"/>
  <c r="T29" i="1"/>
  <c r="R29" i="1"/>
  <c r="F29" i="1"/>
  <c r="E29" i="1" s="1"/>
  <c r="T28" i="1"/>
  <c r="R28" i="1"/>
  <c r="F28" i="1"/>
  <c r="E28" i="1" s="1"/>
  <c r="T27" i="1"/>
  <c r="R27" i="1"/>
  <c r="F27" i="1"/>
  <c r="T26" i="1"/>
  <c r="R26" i="1"/>
  <c r="F26" i="1"/>
  <c r="E26" i="1" s="1"/>
  <c r="R1941" i="8"/>
  <c r="R1940" i="8"/>
  <c r="R1939" i="8"/>
  <c r="R1936" i="8"/>
  <c r="R1935" i="8"/>
  <c r="R1934" i="8"/>
  <c r="R1931" i="8"/>
  <c r="R1930" i="8"/>
  <c r="R1929" i="8"/>
  <c r="R1920" i="8"/>
  <c r="R1919" i="8"/>
  <c r="R1918" i="8"/>
  <c r="R1915" i="8"/>
  <c r="R1914" i="8"/>
  <c r="R1913" i="8"/>
  <c r="R1910" i="8"/>
  <c r="R1909" i="8"/>
  <c r="R1908" i="8"/>
  <c r="R1899" i="8"/>
  <c r="R1898" i="8"/>
  <c r="R1897" i="8"/>
  <c r="R1894" i="8"/>
  <c r="R1893" i="8"/>
  <c r="R1892" i="8"/>
  <c r="R1889" i="8"/>
  <c r="R1888" i="8"/>
  <c r="R1887" i="8"/>
  <c r="R1878" i="8"/>
  <c r="R1877" i="8"/>
  <c r="R1876" i="8"/>
  <c r="R1873" i="8"/>
  <c r="R1872" i="8"/>
  <c r="R1871" i="8"/>
  <c r="R1868" i="8"/>
  <c r="R1867" i="8"/>
  <c r="R1866" i="8"/>
  <c r="R1845" i="8"/>
  <c r="R1844" i="8"/>
  <c r="R1843" i="8"/>
  <c r="R1840" i="8"/>
  <c r="R1839" i="8"/>
  <c r="R1838" i="8"/>
  <c r="R1824" i="8"/>
  <c r="R1823" i="8"/>
  <c r="R1822" i="8"/>
  <c r="R1819" i="8"/>
  <c r="R1818" i="8"/>
  <c r="R1817" i="8"/>
  <c r="R1814" i="8"/>
  <c r="R1813" i="8"/>
  <c r="R1812" i="8"/>
  <c r="R1795" i="8"/>
  <c r="R1794" i="8"/>
  <c r="R1793" i="8"/>
  <c r="R1790" i="8"/>
  <c r="R1789" i="8"/>
  <c r="R1788" i="8"/>
  <c r="R1785" i="8"/>
  <c r="R1774" i="8"/>
  <c r="R1773" i="8"/>
  <c r="R1772" i="8"/>
  <c r="R1769" i="8"/>
  <c r="R1768" i="8"/>
  <c r="R1767" i="8"/>
  <c r="R1764" i="8"/>
  <c r="R1763" i="8"/>
  <c r="R1762" i="8"/>
  <c r="R1753" i="8"/>
  <c r="R1752" i="8"/>
  <c r="R1751" i="8"/>
  <c r="R1748" i="8"/>
  <c r="R1747" i="8"/>
  <c r="R1746" i="8"/>
  <c r="R1743" i="8"/>
  <c r="R1742" i="8"/>
  <c r="R1741" i="8"/>
  <c r="R1732" i="8"/>
  <c r="R1731" i="8"/>
  <c r="R1730" i="8"/>
  <c r="R1727" i="8"/>
  <c r="R1726" i="8"/>
  <c r="R1725" i="8"/>
  <c r="R1722" i="8"/>
  <c r="R1721" i="8"/>
  <c r="R1720" i="8"/>
  <c r="R1711" i="8"/>
  <c r="R1710" i="8"/>
  <c r="R1709" i="8"/>
  <c r="R1706" i="8"/>
  <c r="R1705" i="8"/>
  <c r="R1704" i="8"/>
  <c r="R1701" i="8"/>
  <c r="R1700" i="8"/>
  <c r="R1699" i="8"/>
  <c r="R1682" i="8"/>
  <c r="R1681" i="8"/>
  <c r="R1680" i="8"/>
  <c r="R1677" i="8"/>
  <c r="R1676" i="8"/>
  <c r="R1675" i="8"/>
  <c r="R1672" i="8"/>
  <c r="R1661" i="8"/>
  <c r="R1660" i="8"/>
  <c r="R1659" i="8"/>
  <c r="R1656" i="8"/>
  <c r="R1655" i="8"/>
  <c r="R1654" i="8"/>
  <c r="R1651" i="8"/>
  <c r="R1650" i="8"/>
  <c r="R1649" i="8"/>
  <c r="R1640" i="8"/>
  <c r="R1639" i="8"/>
  <c r="R1638" i="8"/>
  <c r="R1635" i="8"/>
  <c r="R1634" i="8"/>
  <c r="R1633" i="8"/>
  <c r="R1630" i="8"/>
  <c r="R1629" i="8"/>
  <c r="R1628" i="8"/>
  <c r="R1619" i="8"/>
  <c r="R1618" i="8"/>
  <c r="R1617" i="8"/>
  <c r="R1614" i="8"/>
  <c r="R1613" i="8"/>
  <c r="R1612" i="8"/>
  <c r="R1609" i="8"/>
  <c r="R1608" i="8"/>
  <c r="R1607" i="8"/>
  <c r="R1598" i="8"/>
  <c r="R1597" i="8"/>
  <c r="R1596" i="8"/>
  <c r="R1593" i="8"/>
  <c r="R1592" i="8"/>
  <c r="R1591" i="8"/>
  <c r="R1588" i="8"/>
  <c r="R1587" i="8"/>
  <c r="R1586" i="8"/>
  <c r="R1577" i="8"/>
  <c r="R1576" i="8"/>
  <c r="R1575" i="8"/>
  <c r="R1572" i="8"/>
  <c r="R1571" i="8"/>
  <c r="R1570" i="8"/>
  <c r="R1567" i="8"/>
  <c r="R1566" i="8"/>
  <c r="R1565" i="8"/>
  <c r="R1544" i="8"/>
  <c r="R1543" i="8"/>
  <c r="R1542" i="8"/>
  <c r="R1539" i="8"/>
  <c r="R1538" i="8"/>
  <c r="R1537" i="8"/>
  <c r="R1534" i="8"/>
  <c r="R1523" i="8"/>
  <c r="R1522" i="8"/>
  <c r="R1521" i="8"/>
  <c r="R1518" i="8"/>
  <c r="R1517" i="8"/>
  <c r="R1516" i="8"/>
  <c r="R1513" i="8"/>
  <c r="R1512" i="8"/>
  <c r="R1511" i="8"/>
  <c r="R1502" i="8"/>
  <c r="R1501" i="8"/>
  <c r="R1500" i="8"/>
  <c r="R1497" i="8"/>
  <c r="R1496" i="8"/>
  <c r="R1495" i="8"/>
  <c r="R1492" i="8"/>
  <c r="R1491" i="8"/>
  <c r="R1490" i="8"/>
  <c r="R1473" i="8"/>
  <c r="R1472" i="8"/>
  <c r="R1471" i="8"/>
  <c r="R1468" i="8"/>
  <c r="R1467" i="8"/>
  <c r="R1466" i="8"/>
  <c r="R1463" i="8"/>
  <c r="R1452" i="8"/>
  <c r="R1451" i="8"/>
  <c r="R1450" i="8"/>
  <c r="R1447" i="8"/>
  <c r="R1446" i="8"/>
  <c r="R1445" i="8"/>
  <c r="R1442" i="8"/>
  <c r="R1441" i="8"/>
  <c r="R1440" i="8"/>
  <c r="R1431" i="8"/>
  <c r="R1430" i="8"/>
  <c r="R1429" i="8"/>
  <c r="R1426" i="8"/>
  <c r="R1425" i="8"/>
  <c r="R1424" i="8"/>
  <c r="R1421" i="8"/>
  <c r="R1420" i="8"/>
  <c r="R1419" i="8"/>
  <c r="R1410" i="8"/>
  <c r="R1409" i="8"/>
  <c r="R1408" i="8"/>
  <c r="R1405" i="8"/>
  <c r="R1404" i="8"/>
  <c r="R1403" i="8"/>
  <c r="R1400" i="8"/>
  <c r="R1399" i="8"/>
  <c r="R1398" i="8"/>
  <c r="R1356" i="8"/>
  <c r="R1355" i="8"/>
  <c r="R1354" i="8"/>
  <c r="R1351" i="8"/>
  <c r="R1350" i="8"/>
  <c r="R1349" i="8"/>
  <c r="R1346" i="8"/>
  <c r="R1345" i="8"/>
  <c r="R1344" i="8"/>
  <c r="R1335" i="8"/>
  <c r="R1334" i="8"/>
  <c r="R1333" i="8"/>
  <c r="R1330" i="8"/>
  <c r="R1329" i="8"/>
  <c r="R1328" i="8"/>
  <c r="R1325" i="8"/>
  <c r="R1324" i="8"/>
  <c r="R1323" i="8"/>
  <c r="R1314" i="8"/>
  <c r="R1313" i="8"/>
  <c r="R1312" i="8"/>
  <c r="R1309" i="8"/>
  <c r="R1308" i="8"/>
  <c r="R1307" i="8"/>
  <c r="R1304" i="8"/>
  <c r="R1303" i="8"/>
  <c r="R1302" i="8"/>
  <c r="R1281" i="8"/>
  <c r="R1280" i="8"/>
  <c r="R1279" i="8"/>
  <c r="R1276" i="8"/>
  <c r="R1275" i="8"/>
  <c r="R1274" i="8"/>
  <c r="R1271" i="8"/>
  <c r="R1270" i="8"/>
  <c r="R1269" i="8"/>
  <c r="R1260" i="8"/>
  <c r="R1259" i="8"/>
  <c r="R1258" i="8"/>
  <c r="R1255" i="8"/>
  <c r="R1254" i="8"/>
  <c r="R1253" i="8"/>
  <c r="R1250" i="8"/>
  <c r="R1249" i="8"/>
  <c r="R1248" i="8"/>
  <c r="R1239" i="8"/>
  <c r="R1238" i="8"/>
  <c r="R1237" i="8"/>
  <c r="R1234" i="8"/>
  <c r="R1233" i="8"/>
  <c r="R1232" i="8"/>
  <c r="R1229" i="8"/>
  <c r="R1228" i="8"/>
  <c r="R1227" i="8"/>
  <c r="R1218" i="8"/>
  <c r="R1217" i="8"/>
  <c r="R1216" i="8"/>
  <c r="R1213" i="8"/>
  <c r="R1212" i="8"/>
  <c r="R1211" i="8"/>
  <c r="R1208" i="8"/>
  <c r="R1207" i="8"/>
  <c r="R1206" i="8"/>
  <c r="R1197" i="8"/>
  <c r="R1196" i="8"/>
  <c r="R1195" i="8"/>
  <c r="R1192" i="8"/>
  <c r="R1191" i="8"/>
  <c r="R1190" i="8"/>
  <c r="R1187" i="8"/>
  <c r="R1186" i="8"/>
  <c r="R1185" i="8"/>
  <c r="R1176" i="8"/>
  <c r="R1175" i="8"/>
  <c r="R1174" i="8"/>
  <c r="R1171" i="8"/>
  <c r="R1170" i="8"/>
  <c r="R1169" i="8"/>
  <c r="R1166" i="8"/>
  <c r="R1165" i="8"/>
  <c r="R1164" i="8"/>
  <c r="R1155" i="8"/>
  <c r="R1154" i="8"/>
  <c r="R1153" i="8"/>
  <c r="R1150" i="8"/>
  <c r="R1149" i="8"/>
  <c r="R1148" i="8"/>
  <c r="R1145" i="8"/>
  <c r="R1144" i="8"/>
  <c r="R1143" i="8"/>
  <c r="R1094" i="8"/>
  <c r="R1093" i="8"/>
  <c r="R1092" i="8"/>
  <c r="R1089" i="8"/>
  <c r="R1085" i="8"/>
  <c r="R1072" i="8"/>
  <c r="R1047" i="8"/>
  <c r="R1036" i="8"/>
  <c r="R1025" i="8"/>
  <c r="R1020" i="8"/>
  <c r="R1021" i="8" s="1"/>
  <c r="R1002" i="8"/>
  <c r="R997" i="8"/>
  <c r="R998" i="8" s="1"/>
  <c r="R979" i="8"/>
  <c r="R974" i="8"/>
  <c r="R975" i="8" s="1"/>
  <c r="R956" i="8"/>
  <c r="R951" i="8"/>
  <c r="R952" i="8" s="1"/>
  <c r="R933" i="8"/>
  <c r="R927" i="8"/>
  <c r="R863" i="8"/>
  <c r="R858" i="8"/>
  <c r="R859" i="8" s="1"/>
  <c r="R840" i="8"/>
  <c r="R835" i="8"/>
  <c r="R801" i="8"/>
  <c r="R796" i="8"/>
  <c r="R753" i="8"/>
  <c r="R752" i="8"/>
  <c r="R751" i="8"/>
  <c r="R750" i="8"/>
  <c r="R749" i="8"/>
  <c r="R748" i="8"/>
  <c r="R743" i="8"/>
  <c r="R742" i="8"/>
  <c r="R741" i="8"/>
  <c r="R740" i="8"/>
  <c r="R739" i="8"/>
  <c r="R738" i="8"/>
  <c r="R727" i="8"/>
  <c r="R726" i="8"/>
  <c r="R725" i="8"/>
  <c r="R722" i="8"/>
  <c r="R711" i="8"/>
  <c r="R710" i="8"/>
  <c r="R709" i="8"/>
  <c r="R706" i="8"/>
  <c r="R695" i="8"/>
  <c r="R694" i="8"/>
  <c r="R693" i="8"/>
  <c r="R690" i="8"/>
  <c r="R675" i="8"/>
  <c r="R674" i="8"/>
  <c r="R673" i="8"/>
  <c r="R670" i="8"/>
  <c r="R659" i="8"/>
  <c r="R658" i="8"/>
  <c r="R657" i="8"/>
  <c r="R654" i="8"/>
  <c r="R643" i="8"/>
  <c r="R642" i="8"/>
  <c r="R641" i="8"/>
  <c r="R638" i="8"/>
  <c r="R627" i="8"/>
  <c r="R626" i="8"/>
  <c r="R625" i="8"/>
  <c r="R622" i="8"/>
  <c r="R607" i="8"/>
  <c r="R606" i="8"/>
  <c r="R605" i="8"/>
  <c r="R602" i="8"/>
  <c r="R591" i="8"/>
  <c r="R590" i="8"/>
  <c r="R589" i="8"/>
  <c r="R586" i="8"/>
  <c r="R571" i="8"/>
  <c r="R570" i="8"/>
  <c r="R569" i="8"/>
  <c r="R566" i="8"/>
  <c r="R555" i="8"/>
  <c r="R554" i="8"/>
  <c r="R553" i="8"/>
  <c r="R550" i="8"/>
  <c r="R535" i="8"/>
  <c r="R534" i="8"/>
  <c r="R533" i="8"/>
  <c r="R530" i="8"/>
  <c r="R519" i="8"/>
  <c r="R518" i="8"/>
  <c r="R517" i="8"/>
  <c r="R514" i="8"/>
  <c r="R503" i="8"/>
  <c r="R502" i="8"/>
  <c r="R501" i="8"/>
  <c r="R498" i="8"/>
  <c r="R479" i="8"/>
  <c r="R463" i="8"/>
  <c r="R462" i="8"/>
  <c r="R461" i="8"/>
  <c r="R458" i="8"/>
  <c r="R447" i="8"/>
  <c r="R446" i="8"/>
  <c r="R445" i="8"/>
  <c r="R442" i="8"/>
  <c r="R431" i="8"/>
  <c r="R430" i="8"/>
  <c r="R429" i="8"/>
  <c r="R426" i="8"/>
  <c r="R415" i="8"/>
  <c r="R414" i="8"/>
  <c r="R413" i="8"/>
  <c r="R410" i="8"/>
  <c r="R399" i="8"/>
  <c r="R398" i="8"/>
  <c r="R397" i="8"/>
  <c r="R394" i="8"/>
  <c r="R383" i="8"/>
  <c r="R382" i="8"/>
  <c r="R381" i="8"/>
  <c r="R378" i="8"/>
  <c r="R367" i="8"/>
  <c r="R366" i="8"/>
  <c r="R365" i="8"/>
  <c r="R362" i="8"/>
  <c r="R351" i="8"/>
  <c r="R350" i="8"/>
  <c r="R349" i="8"/>
  <c r="R346" i="8"/>
  <c r="R327" i="8"/>
  <c r="R326" i="8"/>
  <c r="R325" i="8"/>
  <c r="R322" i="8"/>
  <c r="R307" i="8"/>
  <c r="R306" i="8"/>
  <c r="R305" i="8"/>
  <c r="R302" i="8"/>
  <c r="R291" i="8"/>
  <c r="R290" i="8"/>
  <c r="R289" i="8"/>
  <c r="R286" i="8"/>
  <c r="R259" i="8"/>
  <c r="R258" i="8"/>
  <c r="R257" i="8"/>
  <c r="R254" i="8"/>
  <c r="R242" i="8"/>
  <c r="R241" i="8"/>
  <c r="R240" i="8"/>
  <c r="R237" i="8"/>
  <c r="R226" i="8"/>
  <c r="R225" i="8"/>
  <c r="R224" i="8"/>
  <c r="R221" i="8"/>
  <c r="R210" i="8"/>
  <c r="R209" i="8"/>
  <c r="R208" i="8"/>
  <c r="R205" i="8"/>
  <c r="R186" i="8"/>
  <c r="R185" i="8"/>
  <c r="R184" i="8"/>
  <c r="R181" i="8"/>
  <c r="R170" i="8"/>
  <c r="R169" i="8"/>
  <c r="R168" i="8"/>
  <c r="R165" i="8"/>
  <c r="R117" i="8"/>
  <c r="R103" i="8"/>
  <c r="R102" i="8"/>
  <c r="R101" i="8"/>
  <c r="R98" i="8"/>
  <c r="R86" i="8"/>
  <c r="R85" i="8"/>
  <c r="R84" i="8"/>
  <c r="R81" i="8"/>
  <c r="R70" i="8"/>
  <c r="R69" i="8"/>
  <c r="R68" i="8"/>
  <c r="R65" i="8"/>
  <c r="R54" i="8"/>
  <c r="R53" i="8"/>
  <c r="R52" i="8"/>
  <c r="R49" i="8"/>
  <c r="R38" i="8"/>
  <c r="R37" i="8"/>
  <c r="R36" i="8"/>
  <c r="R33" i="8"/>
  <c r="D32" i="8"/>
  <c r="C32" i="8"/>
  <c r="T12" i="8"/>
  <c r="S12" i="8"/>
  <c r="Q12" i="8"/>
  <c r="F12" i="8"/>
  <c r="T11" i="8"/>
  <c r="AJ2064" i="8" s="1"/>
  <c r="S11" i="8"/>
  <c r="AH2064" i="8" s="1"/>
  <c r="Q11" i="8"/>
  <c r="F11" i="8"/>
  <c r="S10" i="8"/>
  <c r="AH2063" i="8" s="1"/>
  <c r="Q10" i="8"/>
  <c r="O10" i="8"/>
  <c r="M10" i="8"/>
  <c r="L10" i="8"/>
  <c r="J10" i="8"/>
  <c r="F10" i="8"/>
  <c r="S9" i="8"/>
  <c r="AH2062" i="8" s="1"/>
  <c r="Q9" i="8"/>
  <c r="O9" i="8"/>
  <c r="N9" i="8"/>
  <c r="L9" i="8"/>
  <c r="K9" i="8"/>
  <c r="F9" i="8"/>
  <c r="E2062" i="8" s="1"/>
  <c r="D9" i="8"/>
  <c r="C9" i="8"/>
  <c r="S8" i="8"/>
  <c r="AH2061" i="8" s="1"/>
  <c r="Q8" i="8"/>
  <c r="O8" i="8"/>
  <c r="N8" i="8"/>
  <c r="M8" i="8"/>
  <c r="K8" i="8"/>
  <c r="J8" i="8"/>
  <c r="F8" i="8"/>
  <c r="E2061" i="8" s="1"/>
  <c r="D8" i="8"/>
  <c r="T7" i="8"/>
  <c r="AJ2060" i="8" s="1"/>
  <c r="S7" i="8"/>
  <c r="AH2060" i="8" s="1"/>
  <c r="Q7" i="8"/>
  <c r="O7" i="8"/>
  <c r="M7" i="8"/>
  <c r="K7" i="8"/>
  <c r="J7" i="8"/>
  <c r="F7" i="8"/>
  <c r="E2060" i="8" s="1"/>
  <c r="C7" i="8"/>
  <c r="S6" i="8"/>
  <c r="AH2059" i="8" s="1"/>
  <c r="Q6" i="8"/>
  <c r="N6" i="8"/>
  <c r="L6" i="8"/>
  <c r="K6" i="8"/>
  <c r="J6" i="8"/>
  <c r="F6" i="8"/>
  <c r="E2059" i="8" s="1"/>
  <c r="D6" i="8"/>
  <c r="C6" i="8"/>
  <c r="S5" i="8"/>
  <c r="AH2058" i="8" s="1"/>
  <c r="Q5" i="8"/>
  <c r="N5" i="8"/>
  <c r="L5" i="8"/>
  <c r="K5" i="8"/>
  <c r="J5" i="8"/>
  <c r="F5" i="8"/>
  <c r="E2058" i="8" s="1"/>
  <c r="D5" i="8"/>
  <c r="C5" i="8"/>
  <c r="S4" i="8"/>
  <c r="Q4" i="8"/>
  <c r="N4" i="8"/>
  <c r="L4" i="8"/>
  <c r="K4" i="8"/>
  <c r="J4" i="8"/>
  <c r="F4" i="8"/>
  <c r="E2057" i="8" s="1"/>
  <c r="D4" i="8"/>
  <c r="S3" i="8"/>
  <c r="Q3" i="8"/>
  <c r="N3" i="8"/>
  <c r="L3" i="8"/>
  <c r="K3" i="8"/>
  <c r="J3" i="8"/>
  <c r="F3" i="8"/>
  <c r="D3" i="8"/>
  <c r="C3" i="8"/>
  <c r="S2" i="8"/>
  <c r="Q2" i="8"/>
  <c r="O2" i="8"/>
  <c r="M2" i="8"/>
  <c r="L2" i="8"/>
  <c r="K2" i="8"/>
  <c r="F2" i="8"/>
  <c r="D2" i="8"/>
  <c r="C2" i="8"/>
  <c r="U1" i="8"/>
  <c r="T1" i="8"/>
  <c r="Q1" i="8"/>
  <c r="O1" i="8"/>
  <c r="N1" i="8"/>
  <c r="M1" i="8"/>
  <c r="K1" i="8"/>
  <c r="F1" i="8"/>
  <c r="D1" i="8"/>
  <c r="C1" i="8"/>
  <c r="T205" i="11"/>
  <c r="T2131" i="8" s="1"/>
  <c r="T164" i="1" s="1"/>
  <c r="S164" i="1" s="1"/>
  <c r="R205" i="11"/>
  <c r="R2131" i="8" s="1"/>
  <c r="R164" i="1" s="1"/>
  <c r="T203" i="11"/>
  <c r="T2129" i="8" s="1"/>
  <c r="T162" i="1" s="1"/>
  <c r="S162" i="1" s="1"/>
  <c r="R203" i="11"/>
  <c r="R2129" i="8" s="1"/>
  <c r="R162" i="1" s="1"/>
  <c r="T202" i="11"/>
  <c r="T2128" i="8" s="1"/>
  <c r="T161" i="1" s="1"/>
  <c r="S161" i="1" s="1"/>
  <c r="R202" i="11"/>
  <c r="R2128" i="8" s="1"/>
  <c r="R161" i="1" s="1"/>
  <c r="T201" i="11"/>
  <c r="R201" i="11"/>
  <c r="R2127" i="8" s="1"/>
  <c r="R160" i="1" s="1"/>
  <c r="T200" i="11"/>
  <c r="T2126" i="8" s="1"/>
  <c r="T159" i="1" s="1"/>
  <c r="S159" i="1" s="1"/>
  <c r="R200" i="11"/>
  <c r="R2126" i="8" s="1"/>
  <c r="R159" i="1" s="1"/>
  <c r="T198" i="11"/>
  <c r="T2124" i="8" s="1"/>
  <c r="T157" i="1" s="1"/>
  <c r="S157" i="1" s="1"/>
  <c r="R198" i="11"/>
  <c r="R2124" i="8" s="1"/>
  <c r="R157" i="1" s="1"/>
  <c r="T197" i="11"/>
  <c r="R197" i="11"/>
  <c r="R2123" i="8" s="1"/>
  <c r="R156" i="1" s="1"/>
  <c r="T195" i="11"/>
  <c r="T2121" i="8" s="1"/>
  <c r="T154" i="1" s="1"/>
  <c r="S154" i="1" s="1"/>
  <c r="R195" i="11"/>
  <c r="R2121" i="8" s="1"/>
  <c r="R154" i="1" s="1"/>
  <c r="T194" i="11"/>
  <c r="T2120" i="8" s="1"/>
  <c r="T153" i="1" s="1"/>
  <c r="S153" i="1" s="1"/>
  <c r="R194" i="11"/>
  <c r="R2120" i="8" s="1"/>
  <c r="R153" i="1" s="1"/>
  <c r="T193" i="11"/>
  <c r="T2119" i="8" s="1"/>
  <c r="T152" i="1" s="1"/>
  <c r="S152" i="1" s="1"/>
  <c r="R193" i="11"/>
  <c r="R2119" i="8" s="1"/>
  <c r="R152" i="1" s="1"/>
  <c r="T192" i="11"/>
  <c r="T2118" i="8" s="1"/>
  <c r="T151" i="1" s="1"/>
  <c r="S151" i="1" s="1"/>
  <c r="R192" i="11"/>
  <c r="R2118" i="8" s="1"/>
  <c r="R151" i="1" s="1"/>
  <c r="T191" i="11"/>
  <c r="T2117" i="8" s="1"/>
  <c r="T150" i="1" s="1"/>
  <c r="S150" i="1" s="1"/>
  <c r="R191" i="11"/>
  <c r="R2117" i="8" s="1"/>
  <c r="R150" i="1" s="1"/>
  <c r="T190" i="11"/>
  <c r="T2116" i="8" s="1"/>
  <c r="T149" i="1" s="1"/>
  <c r="S149" i="1" s="1"/>
  <c r="R190" i="11"/>
  <c r="R2116" i="8" s="1"/>
  <c r="R149" i="1" s="1"/>
  <c r="T188" i="11"/>
  <c r="T2114" i="8" s="1"/>
  <c r="T147" i="1" s="1"/>
  <c r="S147" i="1" s="1"/>
  <c r="R188" i="11"/>
  <c r="R2114" i="8" s="1"/>
  <c r="R147" i="1" s="1"/>
  <c r="T187" i="11"/>
  <c r="T2113" i="8" s="1"/>
  <c r="T146" i="1" s="1"/>
  <c r="S146" i="1" s="1"/>
  <c r="R187" i="11"/>
  <c r="R2113" i="8" s="1"/>
  <c r="R146" i="1" s="1"/>
  <c r="T186" i="11"/>
  <c r="T2112" i="8" s="1"/>
  <c r="T145" i="1" s="1"/>
  <c r="S145" i="1" s="1"/>
  <c r="R186" i="11"/>
  <c r="R2112" i="8" s="1"/>
  <c r="R145" i="1" s="1"/>
  <c r="T185" i="11"/>
  <c r="T2111" i="8" s="1"/>
  <c r="T144" i="1" s="1"/>
  <c r="S144" i="1" s="1"/>
  <c r="R185" i="11"/>
  <c r="R2111" i="8" s="1"/>
  <c r="R144" i="1" s="1"/>
  <c r="T184" i="11"/>
  <c r="T2110" i="8" s="1"/>
  <c r="T143" i="1" s="1"/>
  <c r="S143" i="1" s="1"/>
  <c r="R184" i="11"/>
  <c r="R2110" i="8" s="1"/>
  <c r="R143" i="1" s="1"/>
  <c r="T183" i="11"/>
  <c r="T2109" i="8" s="1"/>
  <c r="T142" i="1" s="1"/>
  <c r="S142" i="1" s="1"/>
  <c r="R183" i="11"/>
  <c r="R2109" i="8" s="1"/>
  <c r="R142" i="1" s="1"/>
  <c r="T182" i="11"/>
  <c r="T2108" i="8" s="1"/>
  <c r="T141" i="1" s="1"/>
  <c r="S141" i="1" s="1"/>
  <c r="R182" i="11"/>
  <c r="R2108" i="8" s="1"/>
  <c r="R141" i="1" s="1"/>
  <c r="T181" i="11"/>
  <c r="T2107" i="8" s="1"/>
  <c r="T140" i="1" s="1"/>
  <c r="S140" i="1" s="1"/>
  <c r="R181" i="11"/>
  <c r="R2107" i="8" s="1"/>
  <c r="R140" i="1" s="1"/>
  <c r="T180" i="11"/>
  <c r="T2106" i="8" s="1"/>
  <c r="T139" i="1" s="1"/>
  <c r="S139" i="1" s="1"/>
  <c r="R180" i="11"/>
  <c r="R2106" i="8" s="1"/>
  <c r="R139" i="1" s="1"/>
  <c r="T179" i="11"/>
  <c r="T2105" i="8" s="1"/>
  <c r="T138" i="1" s="1"/>
  <c r="S138" i="1" s="1"/>
  <c r="R179" i="11"/>
  <c r="R2105" i="8" s="1"/>
  <c r="R138" i="1" s="1"/>
  <c r="T178" i="11"/>
  <c r="T2104" i="8" s="1"/>
  <c r="T137" i="1" s="1"/>
  <c r="S137" i="1" s="1"/>
  <c r="R178" i="11"/>
  <c r="R2104" i="8" s="1"/>
  <c r="R137" i="1" s="1"/>
  <c r="T177" i="11"/>
  <c r="T2103" i="8" s="1"/>
  <c r="T136" i="1" s="1"/>
  <c r="S136" i="1" s="1"/>
  <c r="R177" i="11"/>
  <c r="R2103" i="8" s="1"/>
  <c r="R136" i="1" s="1"/>
  <c r="T176" i="11"/>
  <c r="T2102" i="8" s="1"/>
  <c r="T135" i="1" s="1"/>
  <c r="S135" i="1" s="1"/>
  <c r="R176" i="11"/>
  <c r="R2102" i="8" s="1"/>
  <c r="R135" i="1" s="1"/>
  <c r="T175" i="11"/>
  <c r="T2101" i="8" s="1"/>
  <c r="T134" i="1" s="1"/>
  <c r="S134" i="1" s="1"/>
  <c r="R175" i="11"/>
  <c r="R2101" i="8" s="1"/>
  <c r="R134" i="1" s="1"/>
  <c r="T174" i="11"/>
  <c r="T2100" i="8" s="1"/>
  <c r="T133" i="1" s="1"/>
  <c r="S133" i="1" s="1"/>
  <c r="R174" i="11"/>
  <c r="R2100" i="8" s="1"/>
  <c r="R133" i="1" s="1"/>
  <c r="T170" i="11"/>
  <c r="T2096" i="8" s="1"/>
  <c r="T129" i="1" s="1"/>
  <c r="S129" i="1" s="1"/>
  <c r="R170" i="11"/>
  <c r="R2096" i="8" s="1"/>
  <c r="R129" i="1" s="1"/>
  <c r="T169" i="11"/>
  <c r="T2095" i="8" s="1"/>
  <c r="T128" i="1" s="1"/>
  <c r="S128" i="1" s="1"/>
  <c r="R169" i="11"/>
  <c r="R2095" i="8" s="1"/>
  <c r="R128" i="1" s="1"/>
  <c r="T168" i="11"/>
  <c r="T2094" i="8" s="1"/>
  <c r="T127" i="1" s="1"/>
  <c r="S127" i="1" s="1"/>
  <c r="R168" i="11"/>
  <c r="R2094" i="8" s="1"/>
  <c r="R127" i="1" s="1"/>
  <c r="T167" i="11"/>
  <c r="T2093" i="8" s="1"/>
  <c r="T126" i="1" s="1"/>
  <c r="S126" i="1" s="1"/>
  <c r="R167" i="11"/>
  <c r="R2093" i="8" s="1"/>
  <c r="R126" i="1" s="1"/>
  <c r="T166" i="11"/>
  <c r="T2092" i="8" s="1"/>
  <c r="T125" i="1" s="1"/>
  <c r="S125" i="1" s="1"/>
  <c r="R166" i="11"/>
  <c r="R2092" i="8" s="1"/>
  <c r="R125" i="1" s="1"/>
  <c r="T165" i="11"/>
  <c r="T2091" i="8" s="1"/>
  <c r="T124" i="1" s="1"/>
  <c r="S124" i="1" s="1"/>
  <c r="R165" i="11"/>
  <c r="R2091" i="8" s="1"/>
  <c r="R124" i="1" s="1"/>
  <c r="T164" i="11"/>
  <c r="T2090" i="8" s="1"/>
  <c r="T123" i="1" s="1"/>
  <c r="S123" i="1" s="1"/>
  <c r="R164" i="11"/>
  <c r="R2090" i="8" s="1"/>
  <c r="R123" i="1" s="1"/>
  <c r="T157" i="11"/>
  <c r="T2083" i="8" s="1"/>
  <c r="T116" i="1" s="1"/>
  <c r="S116" i="1" s="1"/>
  <c r="R157" i="11"/>
  <c r="R2083" i="8" s="1"/>
  <c r="R116" i="1" s="1"/>
  <c r="T156" i="11"/>
  <c r="T2082" i="8" s="1"/>
  <c r="T115" i="1" s="1"/>
  <c r="S115" i="1" s="1"/>
  <c r="R156" i="11"/>
  <c r="R2082" i="8" s="1"/>
  <c r="R115" i="1" s="1"/>
  <c r="T155" i="11"/>
  <c r="T2081" i="8" s="1"/>
  <c r="T114" i="1" s="1"/>
  <c r="S114" i="1" s="1"/>
  <c r="R155" i="11"/>
  <c r="R2081" i="8" s="1"/>
  <c r="R114" i="1" s="1"/>
  <c r="T154" i="11"/>
  <c r="R154" i="11"/>
  <c r="R2080" i="8" s="1"/>
  <c r="R113" i="1" s="1"/>
  <c r="T153" i="11"/>
  <c r="T2079" i="8" s="1"/>
  <c r="T112" i="1" s="1"/>
  <c r="S112" i="1" s="1"/>
  <c r="R153" i="11"/>
  <c r="R2079" i="8" s="1"/>
  <c r="R112" i="1" s="1"/>
  <c r="T152" i="11"/>
  <c r="R152" i="11"/>
  <c r="R2078" i="8" s="1"/>
  <c r="R111" i="1" s="1"/>
  <c r="T151" i="11"/>
  <c r="R151" i="11"/>
  <c r="R110" i="1" s="1"/>
  <c r="R29" i="11"/>
  <c r="T12" i="11"/>
  <c r="S12" i="11"/>
  <c r="Q12" i="11"/>
  <c r="F12" i="11"/>
  <c r="T11" i="11"/>
  <c r="S11" i="11"/>
  <c r="Q11" i="11"/>
  <c r="F11" i="11"/>
  <c r="T10" i="11"/>
  <c r="S10" i="11"/>
  <c r="Q10" i="11"/>
  <c r="O10" i="11"/>
  <c r="N10" i="11"/>
  <c r="M10" i="11"/>
  <c r="L10" i="11"/>
  <c r="K10" i="11"/>
  <c r="J10" i="11"/>
  <c r="F10" i="11"/>
  <c r="S9" i="11"/>
  <c r="Q9" i="11"/>
  <c r="O9" i="11"/>
  <c r="N9" i="11"/>
  <c r="M9" i="11"/>
  <c r="L9" i="11"/>
  <c r="K9" i="11"/>
  <c r="F9" i="11"/>
  <c r="D9" i="11"/>
  <c r="C9" i="11"/>
  <c r="S8" i="11"/>
  <c r="Q8" i="11"/>
  <c r="O8" i="11"/>
  <c r="M8" i="11"/>
  <c r="K8" i="11"/>
  <c r="J8" i="11"/>
  <c r="F8" i="11"/>
  <c r="D8" i="11"/>
  <c r="T7" i="11"/>
  <c r="S7" i="11"/>
  <c r="Q7" i="11"/>
  <c r="O7" i="11"/>
  <c r="M7" i="11"/>
  <c r="L7" i="11"/>
  <c r="K7" i="11"/>
  <c r="J7" i="11"/>
  <c r="F7" i="11"/>
  <c r="C7" i="11"/>
  <c r="S6" i="11"/>
  <c r="Q6" i="11"/>
  <c r="N6" i="11"/>
  <c r="L6" i="11"/>
  <c r="K6" i="11"/>
  <c r="J6" i="11"/>
  <c r="F6" i="11"/>
  <c r="D6" i="11"/>
  <c r="C6" i="11"/>
  <c r="S5" i="11"/>
  <c r="Q5" i="11"/>
  <c r="N5" i="11"/>
  <c r="L5" i="11"/>
  <c r="K5" i="11"/>
  <c r="J5" i="11"/>
  <c r="F5" i="11"/>
  <c r="D5" i="11"/>
  <c r="C5" i="11"/>
  <c r="S4" i="11"/>
  <c r="Q4" i="11"/>
  <c r="N4" i="11"/>
  <c r="L4" i="11"/>
  <c r="K4" i="11"/>
  <c r="J4" i="11"/>
  <c r="F4" i="11"/>
  <c r="D4" i="11"/>
  <c r="S3" i="11"/>
  <c r="Q3" i="11"/>
  <c r="O3" i="11"/>
  <c r="N3" i="11"/>
  <c r="M3" i="11"/>
  <c r="L3" i="11"/>
  <c r="K3" i="11"/>
  <c r="J3" i="11"/>
  <c r="F3" i="11"/>
  <c r="D3" i="11"/>
  <c r="S2" i="11"/>
  <c r="Q2" i="11"/>
  <c r="O2" i="11"/>
  <c r="N2" i="11"/>
  <c r="M2" i="11"/>
  <c r="L2" i="11"/>
  <c r="K2" i="11"/>
  <c r="F2" i="11"/>
  <c r="D2" i="11"/>
  <c r="C2" i="11"/>
  <c r="U1" i="11"/>
  <c r="T1" i="11"/>
  <c r="O1" i="11"/>
  <c r="N1" i="11"/>
  <c r="M1" i="11"/>
  <c r="K1" i="11"/>
  <c r="F1" i="11"/>
  <c r="D1" i="11"/>
  <c r="C1" i="11"/>
  <c r="D31" i="8"/>
  <c r="D126" i="8" l="1"/>
  <c r="D142" i="8"/>
  <c r="D131" i="8"/>
  <c r="D147" i="8"/>
  <c r="AG135" i="8"/>
  <c r="AG151" i="8"/>
  <c r="T149" i="8"/>
  <c r="T134" i="8"/>
  <c r="B135" i="8" s="1"/>
  <c r="T148" i="8"/>
  <c r="T145" i="8"/>
  <c r="B146" i="8" s="1"/>
  <c r="T133" i="8"/>
  <c r="T132" i="8"/>
  <c r="T150" i="8"/>
  <c r="B151" i="8" s="1"/>
  <c r="T129" i="8"/>
  <c r="B130" i="8" s="1"/>
  <c r="AG882" i="8"/>
  <c r="E2055" i="8"/>
  <c r="D871" i="8"/>
  <c r="AG887" i="8"/>
  <c r="E2056" i="8"/>
  <c r="D883" i="8"/>
  <c r="T884" i="8"/>
  <c r="T873" i="8"/>
  <c r="T881" i="8"/>
  <c r="B882" i="8" s="1"/>
  <c r="T877" i="8"/>
  <c r="T880" i="8"/>
  <c r="T886" i="8"/>
  <c r="B887" i="8" s="1"/>
  <c r="T876" i="8"/>
  <c r="T879" i="8"/>
  <c r="T885" i="8"/>
  <c r="T875" i="8"/>
  <c r="T878" i="8"/>
  <c r="T872" i="8"/>
  <c r="T2077" i="8"/>
  <c r="T110" i="1" s="1"/>
  <c r="S110" i="1" s="1"/>
  <c r="B2060" i="8"/>
  <c r="E2064" i="8"/>
  <c r="E2063" i="8"/>
  <c r="R5" i="1"/>
  <c r="I26" i="1"/>
  <c r="T2005" i="8"/>
  <c r="B2006" i="8" s="1"/>
  <c r="T1997" i="8"/>
  <c r="T1993" i="8"/>
  <c r="T1965" i="8"/>
  <c r="T2033" i="8"/>
  <c r="B2034" i="8" s="1"/>
  <c r="T1985" i="8"/>
  <c r="T1974" i="8"/>
  <c r="T2030" i="8"/>
  <c r="T2023" i="8"/>
  <c r="B2024" i="8" s="1"/>
  <c r="T2019" i="8"/>
  <c r="T1986" i="8"/>
  <c r="T1975" i="8"/>
  <c r="T2029" i="8"/>
  <c r="T2018" i="8"/>
  <c r="T1996" i="8"/>
  <c r="T1968" i="8"/>
  <c r="B1969" i="8" s="1"/>
  <c r="T1964" i="8"/>
  <c r="T2022" i="8"/>
  <c r="T1978" i="8"/>
  <c r="B1979" i="8" s="1"/>
  <c r="T2040" i="8"/>
  <c r="B2041" i="8" s="1"/>
  <c r="T1995" i="8"/>
  <c r="T1967" i="8"/>
  <c r="T1963" i="8"/>
  <c r="T2032" i="8"/>
  <c r="T2028" i="8"/>
  <c r="T2021" i="8"/>
  <c r="T1988" i="8"/>
  <c r="B1989" i="8" s="1"/>
  <c r="T1984" i="8"/>
  <c r="T1977" i="8"/>
  <c r="T1973" i="8"/>
  <c r="T2031" i="8"/>
  <c r="T2020" i="8"/>
  <c r="T1976" i="8"/>
  <c r="T1998" i="8"/>
  <c r="B1999" i="8" s="1"/>
  <c r="T1994" i="8"/>
  <c r="T1966" i="8"/>
  <c r="T1987" i="8"/>
  <c r="T1983" i="8"/>
  <c r="T1950" i="8"/>
  <c r="B1951" i="8" s="1"/>
  <c r="T1835" i="8"/>
  <c r="B1836" i="8" s="1"/>
  <c r="T141" i="11"/>
  <c r="B142" i="11" s="1"/>
  <c r="T1042" i="8"/>
  <c r="T1045" i="8"/>
  <c r="T1044" i="8"/>
  <c r="T1041" i="8"/>
  <c r="T1043" i="8"/>
  <c r="T1046" i="8"/>
  <c r="D1364" i="8"/>
  <c r="A8" i="23"/>
  <c r="A9" i="23" s="1"/>
  <c r="A10" i="23" s="1"/>
  <c r="A11" i="23" s="1"/>
  <c r="A16" i="23" s="1"/>
  <c r="A17" i="23" s="1"/>
  <c r="A18" i="23" s="1"/>
  <c r="A19" i="23" s="1"/>
  <c r="A20" i="23" s="1"/>
  <c r="A21" i="23" s="1"/>
  <c r="A22" i="23" s="1"/>
  <c r="A23" i="23" s="1"/>
  <c r="A34" i="23" s="1"/>
  <c r="A35" i="23" s="1"/>
  <c r="A36" i="23" s="1"/>
  <c r="A37" i="23" s="1"/>
  <c r="A38" i="23" s="1"/>
  <c r="A43" i="23" s="1"/>
  <c r="A44" i="23" s="1"/>
  <c r="A47" i="23" s="1"/>
  <c r="A48" i="23" s="1"/>
  <c r="A49" i="23" s="1"/>
  <c r="A50" i="23" s="1"/>
  <c r="A51" i="23" s="1"/>
  <c r="A53" i="23" s="1"/>
  <c r="A54" i="23" s="1"/>
  <c r="A56" i="23" s="1"/>
  <c r="A59" i="23" s="1"/>
  <c r="A60" i="23" s="1"/>
  <c r="A61" i="23" s="1"/>
  <c r="A62" i="23" s="1"/>
  <c r="A63" i="23" s="1"/>
  <c r="A64" i="23" s="1"/>
  <c r="A65" i="23" s="1"/>
  <c r="A66" i="23" s="1"/>
  <c r="A67" i="23" s="1"/>
  <c r="A74" i="23" s="1"/>
  <c r="A75" i="23" s="1"/>
  <c r="A76" i="23" s="1"/>
  <c r="A77" i="23" s="1"/>
  <c r="A79" i="23" s="1"/>
  <c r="A80" i="23" s="1"/>
  <c r="A81" i="23" s="1"/>
  <c r="A82" i="23" s="1"/>
  <c r="A84" i="23" s="1"/>
  <c r="A86" i="23" s="1"/>
  <c r="A87" i="23" s="1"/>
  <c r="A88" i="23" s="1"/>
  <c r="A90" i="23" s="1"/>
  <c r="A91" i="23" s="1"/>
  <c r="A92" i="23" s="1"/>
  <c r="A94" i="23" s="1"/>
  <c r="A95" i="23" s="1"/>
  <c r="A96" i="23" s="1"/>
  <c r="A98" i="23" s="1"/>
  <c r="A99" i="23" s="1"/>
  <c r="A102" i="23" s="1"/>
  <c r="A104" i="23" s="1"/>
  <c r="A106" i="23" s="1"/>
  <c r="A107" i="23" s="1"/>
  <c r="A108" i="23" s="1"/>
  <c r="A109" i="23" s="1"/>
  <c r="A110" i="23" s="1"/>
  <c r="A111" i="23" s="1"/>
  <c r="A112" i="23" s="1"/>
  <c r="A113" i="23" s="1"/>
  <c r="A114" i="23" s="1"/>
  <c r="A116" i="23" s="1"/>
  <c r="A117" i="23" s="1"/>
  <c r="A118" i="23" s="1"/>
  <c r="A120" i="23" s="1"/>
  <c r="A121" i="23" s="1"/>
  <c r="A123" i="23" s="1"/>
  <c r="A130" i="23" s="1"/>
  <c r="A132" i="23" s="1"/>
  <c r="A134" i="23" s="1"/>
  <c r="A135" i="23" s="1"/>
  <c r="A136" i="23" s="1"/>
  <c r="A137" i="23" s="1"/>
  <c r="A138" i="23" s="1"/>
  <c r="A139" i="23" s="1"/>
  <c r="A140" i="23" s="1"/>
  <c r="A141" i="23" s="1"/>
  <c r="A143" i="23" s="1"/>
  <c r="A144" i="23" s="1"/>
  <c r="A145" i="23" s="1"/>
  <c r="A146" i="23" s="1"/>
  <c r="A148" i="23" s="1"/>
  <c r="A149" i="23" s="1"/>
  <c r="A152" i="23" s="1"/>
  <c r="A153" i="23" s="1"/>
  <c r="A154" i="23" s="1"/>
  <c r="A155" i="23" s="1"/>
  <c r="A156" i="23" s="1"/>
  <c r="A157" i="23" s="1"/>
  <c r="A158" i="23" s="1"/>
  <c r="A159" i="23" s="1"/>
  <c r="A160" i="23" s="1"/>
  <c r="A161" i="23" s="1"/>
  <c r="A162" i="23" s="1"/>
  <c r="A163" i="23" s="1"/>
  <c r="A164" i="23" s="1"/>
  <c r="A165" i="23" s="1"/>
  <c r="A166" i="23" s="1"/>
  <c r="A168" i="23" s="1"/>
  <c r="A169" i="23" s="1"/>
  <c r="A170" i="23" s="1"/>
  <c r="A171" i="23" s="1"/>
  <c r="A172" i="23" s="1"/>
  <c r="A173" i="23" s="1"/>
  <c r="A175" i="23" s="1"/>
  <c r="A176" i="23" s="1"/>
  <c r="A177" i="23" s="1"/>
  <c r="A178" i="23" s="1"/>
  <c r="A180" i="23" s="1"/>
  <c r="A187" i="23" s="1"/>
  <c r="A188" i="23" s="1"/>
  <c r="A189" i="23" s="1"/>
  <c r="A190" i="23" s="1"/>
  <c r="A191" i="23" s="1"/>
  <c r="A192" i="23" s="1"/>
  <c r="A193" i="23" s="1"/>
  <c r="A194" i="23" s="1"/>
  <c r="A195" i="23" s="1"/>
  <c r="A196" i="23" s="1"/>
  <c r="A197" i="23" s="1"/>
  <c r="A198" i="23" s="1"/>
  <c r="A199" i="23" s="1"/>
  <c r="A201" i="23" s="1"/>
  <c r="A202" i="23" s="1"/>
  <c r="A203" i="23" s="1"/>
  <c r="A204" i="23" s="1"/>
  <c r="A205" i="23" s="1"/>
  <c r="A207" i="23" s="1"/>
  <c r="A208" i="23" s="1"/>
  <c r="A209" i="23" s="1"/>
  <c r="A211" i="23" s="1"/>
  <c r="A212" i="23" s="1"/>
  <c r="A215" i="23" s="1"/>
  <c r="A216" i="23" s="1"/>
  <c r="A217" i="23" s="1"/>
  <c r="A218" i="23" s="1"/>
  <c r="A219" i="23" s="1"/>
  <c r="A220" i="23" s="1"/>
  <c r="A221" i="23" s="1"/>
  <c r="A222" i="23" s="1"/>
  <c r="A224" i="23" s="1"/>
  <c r="A225" i="23" s="1"/>
  <c r="A227" i="23" s="1"/>
  <c r="A228" i="23" s="1"/>
  <c r="A229" i="23" s="1"/>
  <c r="A230" i="23" s="1"/>
  <c r="A231" i="23" s="1"/>
  <c r="A232" i="23" s="1"/>
  <c r="A239" i="23" s="1"/>
  <c r="A241" i="23" s="1"/>
  <c r="A242" i="23" s="1"/>
  <c r="A243" i="23" s="1"/>
  <c r="A244" i="23" s="1"/>
  <c r="A245" i="23" s="1"/>
  <c r="A246" i="23" s="1"/>
  <c r="A247" i="23" s="1"/>
  <c r="A248" i="23" s="1"/>
  <c r="A249" i="23" s="1"/>
  <c r="A250" i="23" s="1"/>
  <c r="A251" i="23" s="1"/>
  <c r="A252" i="23" s="1"/>
  <c r="A253" i="23" s="1"/>
  <c r="A256" i="23" s="1"/>
  <c r="A257" i="23" s="1"/>
  <c r="A259" i="23" s="1"/>
  <c r="A260" i="23" s="1"/>
  <c r="A261" i="23" s="1"/>
  <c r="A262" i="23" s="1"/>
  <c r="A263" i="23" s="1"/>
  <c r="A264" i="23" s="1"/>
  <c r="A267" i="23" s="1"/>
  <c r="A268" i="23" s="1"/>
  <c r="A269" i="23" s="1"/>
  <c r="A272" i="23" s="1"/>
  <c r="A273" i="23" s="1"/>
  <c r="A275" i="23" s="1"/>
  <c r="A276" i="23" s="1"/>
  <c r="A287" i="23" s="1"/>
  <c r="A288" i="23" s="1"/>
  <c r="A289" i="23" s="1"/>
  <c r="A290" i="23" s="1"/>
  <c r="A291" i="23" s="1"/>
  <c r="A292" i="23" s="1"/>
  <c r="A295" i="23" s="1"/>
  <c r="A296" i="23" s="1"/>
  <c r="A297" i="23" s="1"/>
  <c r="A298" i="23" s="1"/>
  <c r="A299" i="23" s="1"/>
  <c r="A300" i="23" s="1"/>
  <c r="A301" i="23" s="1"/>
  <c r="A302" i="23" s="1"/>
  <c r="A310" i="23" s="1"/>
  <c r="A311" i="23" s="1"/>
  <c r="A312" i="23" s="1"/>
  <c r="A313" i="23" s="1"/>
  <c r="A315" i="23" s="1"/>
  <c r="A316" i="23" s="1"/>
  <c r="A318" i="23" s="1"/>
  <c r="A319" i="23" s="1"/>
  <c r="A320" i="23" s="1"/>
  <c r="A324" i="23" s="1"/>
  <c r="A325" i="23" s="1"/>
  <c r="A326" i="23" s="1"/>
  <c r="A327" i="23" s="1"/>
  <c r="A329" i="23" s="1"/>
  <c r="A330" i="23" s="1"/>
  <c r="A332" i="23" s="1"/>
  <c r="A333" i="23" s="1"/>
  <c r="A336" i="23" s="1"/>
  <c r="A337" i="23" s="1"/>
  <c r="A338" i="23" s="1"/>
  <c r="A339" i="23" s="1"/>
  <c r="A347" i="23" s="1"/>
  <c r="A348" i="23" s="1"/>
  <c r="A349" i="23" s="1"/>
  <c r="A350" i="23" s="1"/>
  <c r="A351" i="23" s="1"/>
  <c r="A352" i="23" s="1"/>
  <c r="A354" i="23" s="1"/>
  <c r="A355" i="23" s="1"/>
  <c r="A356" i="23" s="1"/>
  <c r="A357" i="23" s="1"/>
  <c r="A359" i="23" s="1"/>
  <c r="A360" i="23" s="1"/>
  <c r="A361" i="23" s="1"/>
  <c r="A362" i="23" s="1"/>
  <c r="A365" i="23" s="1"/>
  <c r="A366" i="23" s="1"/>
  <c r="A367" i="23" s="1"/>
  <c r="A368" i="23" s="1"/>
  <c r="A369" i="23" s="1"/>
  <c r="A372" i="23" s="1"/>
  <c r="A373" i="23" s="1"/>
  <c r="A374" i="23" s="1"/>
  <c r="A382" i="23" s="1"/>
  <c r="A383" i="23" s="1"/>
  <c r="A384" i="23" s="1"/>
  <c r="A385" i="23" s="1"/>
  <c r="A386" i="23" s="1"/>
  <c r="A388" i="23" s="1"/>
  <c r="A389" i="23" s="1"/>
  <c r="A391" i="23" s="1"/>
  <c r="A392" i="23" s="1"/>
  <c r="A395" i="23" s="1"/>
  <c r="A396" i="23" s="1"/>
  <c r="A397" i="23" s="1"/>
  <c r="A398" i="23" s="1"/>
  <c r="A399" i="23" s="1"/>
  <c r="A401" i="23" s="1"/>
  <c r="A402" i="23" s="1"/>
  <c r="A403" i="23" s="1"/>
  <c r="A404" i="23" s="1"/>
  <c r="A405" i="23" s="1"/>
  <c r="A406" i="23" s="1"/>
  <c r="A408" i="23" s="1"/>
  <c r="A409" i="23" s="1"/>
  <c r="A410" i="23" s="1"/>
  <c r="A411" i="23" s="1"/>
  <c r="A412" i="23" s="1"/>
  <c r="A413" i="23" s="1"/>
  <c r="A414" i="23" s="1"/>
  <c r="A421" i="23" s="1"/>
  <c r="A422" i="23" s="1"/>
  <c r="A423" i="23" s="1"/>
  <c r="A424" i="23" s="1"/>
  <c r="A426" i="23" s="1"/>
  <c r="A427" i="23" s="1"/>
  <c r="AG1373" i="8"/>
  <c r="AG1378" i="8"/>
  <c r="D1063" i="8"/>
  <c r="D1369" i="8"/>
  <c r="D1257" i="8"/>
  <c r="D1374" i="8"/>
  <c r="T1376" i="8"/>
  <c r="T1375" i="8"/>
  <c r="T1372" i="8"/>
  <c r="B1373" i="8" s="1"/>
  <c r="T1371" i="8"/>
  <c r="T1377" i="8"/>
  <c r="B1378" i="8" s="1"/>
  <c r="T1370" i="8"/>
  <c r="T1367" i="8"/>
  <c r="B1368" i="8" s="1"/>
  <c r="S1" i="8"/>
  <c r="T1061" i="8"/>
  <c r="B1062" i="8" s="1"/>
  <c r="T1064" i="8"/>
  <c r="T1060" i="8"/>
  <c r="T1055" i="8"/>
  <c r="T1059" i="8"/>
  <c r="T1058" i="8"/>
  <c r="T1054" i="8"/>
  <c r="T1056" i="8"/>
  <c r="T1057" i="8"/>
  <c r="T1065" i="8"/>
  <c r="B1066" i="8" s="1"/>
  <c r="AG1062" i="8"/>
  <c r="AG1066" i="8"/>
  <c r="D1053" i="8"/>
  <c r="T478" i="8"/>
  <c r="T476" i="8"/>
  <c r="T477" i="8"/>
  <c r="T475" i="8"/>
  <c r="T474" i="8"/>
  <c r="T473" i="8"/>
  <c r="T1038" i="8"/>
  <c r="T1037" i="8"/>
  <c r="T932" i="8"/>
  <c r="T909" i="8"/>
  <c r="T910" i="8"/>
  <c r="T912" i="8"/>
  <c r="T908" i="8"/>
  <c r="T913" i="8"/>
  <c r="T914" i="8"/>
  <c r="T915" i="8"/>
  <c r="T911" i="8"/>
  <c r="T907" i="8"/>
  <c r="T87" i="11"/>
  <c r="B88" i="11" s="1"/>
  <c r="T1019" i="8"/>
  <c r="T1015" i="8"/>
  <c r="T1016" i="8"/>
  <c r="T1018" i="8"/>
  <c r="T1014" i="8"/>
  <c r="T1017" i="8"/>
  <c r="T996" i="8"/>
  <c r="T994" i="8"/>
  <c r="T992" i="8"/>
  <c r="T995" i="8"/>
  <c r="T991" i="8"/>
  <c r="T993" i="8"/>
  <c r="T973" i="8"/>
  <c r="T969" i="8"/>
  <c r="T972" i="8"/>
  <c r="T968" i="8"/>
  <c r="T971" i="8"/>
  <c r="T970" i="8"/>
  <c r="T950" i="8"/>
  <c r="T946" i="8"/>
  <c r="T948" i="8"/>
  <c r="T947" i="8"/>
  <c r="T949" i="8"/>
  <c r="T945" i="8"/>
  <c r="T926" i="8"/>
  <c r="T922" i="8"/>
  <c r="T925" i="8"/>
  <c r="T924" i="8"/>
  <c r="T921" i="8"/>
  <c r="T923" i="8"/>
  <c r="T857" i="8"/>
  <c r="T853" i="8"/>
  <c r="T856" i="8"/>
  <c r="T855" i="8"/>
  <c r="T852" i="8"/>
  <c r="T854" i="8"/>
  <c r="T834" i="8"/>
  <c r="T830" i="8"/>
  <c r="T833" i="8"/>
  <c r="T832" i="8"/>
  <c r="T829" i="8"/>
  <c r="T831" i="8"/>
  <c r="T795" i="8"/>
  <c r="T793" i="8"/>
  <c r="T791" i="8"/>
  <c r="T794" i="8"/>
  <c r="T790" i="8"/>
  <c r="T792" i="8"/>
  <c r="D1107" i="8"/>
  <c r="T1001" i="8"/>
  <c r="T862" i="8"/>
  <c r="T978" i="8"/>
  <c r="T839" i="8"/>
  <c r="T800" i="8"/>
  <c r="T955" i="8"/>
  <c r="T1024" i="8"/>
  <c r="T931" i="8"/>
  <c r="T110" i="8"/>
  <c r="T2" i="11"/>
  <c r="T3" i="8"/>
  <c r="J9" i="8"/>
  <c r="T6" i="8"/>
  <c r="AJ2059" i="8" s="1"/>
  <c r="T3" i="11"/>
  <c r="C12" i="11"/>
  <c r="C8" i="8"/>
  <c r="C8" i="11"/>
  <c r="T2" i="8"/>
  <c r="J1" i="11"/>
  <c r="T6" i="11"/>
  <c r="R2" i="1"/>
  <c r="M6" i="11"/>
  <c r="M5" i="8"/>
  <c r="F22" i="1"/>
  <c r="R6" i="1"/>
  <c r="R7" i="1"/>
  <c r="M4" i="11"/>
  <c r="L8" i="11"/>
  <c r="Q1" i="11"/>
  <c r="O4" i="8"/>
  <c r="N7" i="8"/>
  <c r="F12" i="23"/>
  <c r="E490" i="23" s="1"/>
  <c r="F439" i="23"/>
  <c r="F441" i="23" s="1"/>
  <c r="O5" i="11"/>
  <c r="T9" i="11"/>
  <c r="T9" i="8"/>
  <c r="AJ2062" i="8" s="1"/>
  <c r="T10" i="8"/>
  <c r="AJ2063" i="8" s="1"/>
  <c r="O6" i="8"/>
  <c r="C3" i="11"/>
  <c r="J2" i="8"/>
  <c r="T4" i="8"/>
  <c r="R4" i="1"/>
  <c r="R11" i="1"/>
  <c r="T5" i="11"/>
  <c r="C10" i="11"/>
  <c r="L1" i="11"/>
  <c r="C4" i="11"/>
  <c r="T5" i="8"/>
  <c r="AJ2058" i="8" s="1"/>
  <c r="C10" i="8"/>
  <c r="F24" i="23"/>
  <c r="E491" i="23" s="1"/>
  <c r="A1" i="18"/>
  <c r="C4" i="8"/>
  <c r="F482" i="23"/>
  <c r="E507" i="23" s="1"/>
  <c r="F508" i="23" s="1"/>
  <c r="T8" i="11"/>
  <c r="C11" i="11"/>
  <c r="T4" i="11"/>
  <c r="T8" i="8"/>
  <c r="AJ2061" i="8" s="1"/>
  <c r="C11" i="8"/>
  <c r="B2064" i="8" s="1"/>
  <c r="T1108" i="8"/>
  <c r="D1510" i="8"/>
  <c r="D1102" i="8"/>
  <c r="T1109" i="8"/>
  <c r="T1105" i="8"/>
  <c r="B1106" i="8" s="1"/>
  <c r="T1110" i="8"/>
  <c r="B1111" i="8" s="1"/>
  <c r="AG1111" i="8"/>
  <c r="E22" i="1"/>
  <c r="R3" i="1"/>
  <c r="R8" i="1"/>
  <c r="R9" i="1"/>
  <c r="R10" i="1"/>
  <c r="F303" i="23"/>
  <c r="E499" i="23" s="1"/>
  <c r="F233" i="23"/>
  <c r="E496" i="23" s="1"/>
  <c r="F181" i="23"/>
  <c r="E495" i="23" s="1"/>
  <c r="F124" i="23"/>
  <c r="E494" i="23" s="1"/>
  <c r="T2123" i="8"/>
  <c r="T156" i="1" s="1"/>
  <c r="S156" i="1" s="1"/>
  <c r="T905" i="8"/>
  <c r="T903" i="8"/>
  <c r="T900" i="8"/>
  <c r="T902" i="8"/>
  <c r="T901" i="8"/>
  <c r="T904" i="8"/>
  <c r="T272" i="8"/>
  <c r="T268" i="8"/>
  <c r="T273" i="8"/>
  <c r="B274" i="8" s="1"/>
  <c r="T271" i="8"/>
  <c r="T270" i="8"/>
  <c r="T267" i="8"/>
  <c r="T269" i="8"/>
  <c r="T116" i="8"/>
  <c r="T112" i="8"/>
  <c r="T115" i="8"/>
  <c r="T111" i="8"/>
  <c r="T114" i="8"/>
  <c r="T113" i="8"/>
  <c r="R1749" i="8"/>
  <c r="AG1749" i="8" s="1"/>
  <c r="R71" i="8"/>
  <c r="AG71" i="8" s="1"/>
  <c r="R292" i="8"/>
  <c r="AG292" i="8" s="1"/>
  <c r="T1088" i="8"/>
  <c r="T1084" i="8"/>
  <c r="T1083" i="8"/>
  <c r="T916" i="8"/>
  <c r="T919" i="8"/>
  <c r="T918" i="8"/>
  <c r="T917" i="8"/>
  <c r="T814" i="8"/>
  <c r="T811" i="8"/>
  <c r="T827" i="8"/>
  <c r="T826" i="8"/>
  <c r="T821" i="8"/>
  <c r="T823" i="8"/>
  <c r="T820" i="8"/>
  <c r="T817" i="8"/>
  <c r="T822" i="8"/>
  <c r="T815" i="8"/>
  <c r="T816" i="8"/>
  <c r="T824" i="8"/>
  <c r="T818" i="8"/>
  <c r="T825" i="8"/>
  <c r="T819" i="8"/>
  <c r="R1026" i="8"/>
  <c r="AG1026" i="8" s="1"/>
  <c r="T774" i="8"/>
  <c r="T765" i="8"/>
  <c r="T788" i="8"/>
  <c r="T781" i="8"/>
  <c r="T784" i="8"/>
  <c r="T786" i="8"/>
  <c r="T783" i="8"/>
  <c r="T787" i="8"/>
  <c r="T785" i="8"/>
  <c r="R1315" i="8"/>
  <c r="AG1315" i="8" s="1"/>
  <c r="R1406" i="8"/>
  <c r="AG1406" i="8" s="1"/>
  <c r="R1712" i="8"/>
  <c r="AG1712" i="8" s="1"/>
  <c r="R1272" i="8"/>
  <c r="AG1272" i="8" s="1"/>
  <c r="R1336" i="8"/>
  <c r="AG1336" i="8" s="1"/>
  <c r="R1921" i="8"/>
  <c r="AG1921" i="8" s="1"/>
  <c r="R520" i="8"/>
  <c r="AG520" i="8" s="1"/>
  <c r="R536" i="8"/>
  <c r="R1825" i="8"/>
  <c r="AG1825" i="8" s="1"/>
  <c r="R368" i="8"/>
  <c r="AG368" i="8" s="1"/>
  <c r="T778" i="8"/>
  <c r="T777" i="8"/>
  <c r="T776" i="8"/>
  <c r="T779" i="8"/>
  <c r="T780" i="8"/>
  <c r="R1003" i="8"/>
  <c r="R1005" i="8" s="1"/>
  <c r="AM984" i="8" s="1"/>
  <c r="G263" i="23" s="1"/>
  <c r="R87" i="8"/>
  <c r="R628" i="8"/>
  <c r="R660" i="8"/>
  <c r="AG660" i="8" s="1"/>
  <c r="R728" i="8"/>
  <c r="R1256" i="8"/>
  <c r="AG1256" i="8" s="1"/>
  <c r="R1911" i="8"/>
  <c r="R384" i="8"/>
  <c r="R980" i="8"/>
  <c r="R982" i="8" s="1"/>
  <c r="AM961" i="8" s="1"/>
  <c r="G262" i="23" s="1"/>
  <c r="R1723" i="8"/>
  <c r="AG1723" i="8" s="1"/>
  <c r="R1874" i="8"/>
  <c r="AG1874" i="8" s="1"/>
  <c r="E31" i="1"/>
  <c r="R118" i="8"/>
  <c r="AM108" i="8" s="1"/>
  <c r="G38" i="23" s="1"/>
  <c r="R171" i="8"/>
  <c r="R211" i="8"/>
  <c r="R504" i="8"/>
  <c r="AG504" i="8" s="1"/>
  <c r="R802" i="8"/>
  <c r="AG802" i="8" s="1"/>
  <c r="R864" i="8"/>
  <c r="AG864" i="8" s="1"/>
  <c r="R1305" i="8"/>
  <c r="AG1305" i="8" s="1"/>
  <c r="R1578" i="8"/>
  <c r="AG1578" i="8" s="1"/>
  <c r="R1636" i="8"/>
  <c r="AG1636" i="8" s="1"/>
  <c r="R572" i="8"/>
  <c r="R934" i="8"/>
  <c r="R1095" i="8"/>
  <c r="R1177" i="8"/>
  <c r="AG1177" i="8" s="1"/>
  <c r="R1219" i="8"/>
  <c r="AG1219" i="8" s="1"/>
  <c r="R1277" i="8"/>
  <c r="AG1277" i="8" s="1"/>
  <c r="R1568" i="8"/>
  <c r="AG1568" i="8" s="1"/>
  <c r="R1879" i="8"/>
  <c r="AG1879" i="8" s="1"/>
  <c r="R1916" i="8"/>
  <c r="AG1916" i="8" s="1"/>
  <c r="R1728" i="8"/>
  <c r="AG1728" i="8" s="1"/>
  <c r="R676" i="8"/>
  <c r="AG676" i="8" s="1"/>
  <c r="R744" i="8"/>
  <c r="AM736" i="8" s="1"/>
  <c r="R1048" i="8"/>
  <c r="AM1034" i="8" s="1"/>
  <c r="G267" i="23" s="1"/>
  <c r="R1073" i="8"/>
  <c r="AM1070" i="8" s="1"/>
  <c r="R1240" i="8"/>
  <c r="AG1240" i="8" s="1"/>
  <c r="R1453" i="8"/>
  <c r="AG1453" i="8" s="1"/>
  <c r="R1519" i="8"/>
  <c r="AG1519" i="8" s="1"/>
  <c r="R1707" i="8"/>
  <c r="R1744" i="8"/>
  <c r="AG1744" i="8" s="1"/>
  <c r="R1775" i="8"/>
  <c r="AG1775" i="8" s="1"/>
  <c r="R1820" i="8"/>
  <c r="AG1820" i="8" s="1"/>
  <c r="R1869" i="8"/>
  <c r="AG1869" i="8" s="1"/>
  <c r="R1900" i="8"/>
  <c r="AG1900" i="8" s="1"/>
  <c r="T773" i="8"/>
  <c r="T768" i="8"/>
  <c r="T775" i="8"/>
  <c r="T771" i="8"/>
  <c r="T769" i="8"/>
  <c r="T770" i="8"/>
  <c r="T772" i="8"/>
  <c r="R416" i="8"/>
  <c r="R432" i="8"/>
  <c r="R644" i="8"/>
  <c r="R841" i="8"/>
  <c r="R1209" i="8"/>
  <c r="AG1209" i="8" s="1"/>
  <c r="R1474" i="8"/>
  <c r="AG1474" i="8" s="1"/>
  <c r="R754" i="8"/>
  <c r="AM746" i="8" s="1"/>
  <c r="R1090" i="8"/>
  <c r="AG1090" i="8" s="1"/>
  <c r="R592" i="8"/>
  <c r="AG592" i="8" s="1"/>
  <c r="R1172" i="8"/>
  <c r="AG1172" i="8" s="1"/>
  <c r="R1443" i="8"/>
  <c r="AG1443" i="8" s="1"/>
  <c r="R1683" i="8"/>
  <c r="AG1683" i="8" s="1"/>
  <c r="R1796" i="8"/>
  <c r="AG1796" i="8" s="1"/>
  <c r="T135" i="11"/>
  <c r="R187" i="8"/>
  <c r="AG187" i="8" s="1"/>
  <c r="R556" i="8"/>
  <c r="R696" i="8"/>
  <c r="AG696" i="8" s="1"/>
  <c r="R1156" i="8"/>
  <c r="AG1156" i="8" s="1"/>
  <c r="R1230" i="8"/>
  <c r="AG1230" i="8" s="1"/>
  <c r="R1261" i="8"/>
  <c r="AG1261" i="8" s="1"/>
  <c r="R1310" i="8"/>
  <c r="AG1310" i="8" s="1"/>
  <c r="R1357" i="8"/>
  <c r="AG1357" i="8" s="1"/>
  <c r="R1427" i="8"/>
  <c r="AG1427" i="8" s="1"/>
  <c r="R1503" i="8"/>
  <c r="AG1503" i="8" s="1"/>
  <c r="R1540" i="8"/>
  <c r="AG1540" i="8" s="1"/>
  <c r="R1620" i="8"/>
  <c r="AG1620" i="8" s="1"/>
  <c r="R1657" i="8"/>
  <c r="AG1657" i="8" s="1"/>
  <c r="R1702" i="8"/>
  <c r="AG1702" i="8" s="1"/>
  <c r="R1770" i="8"/>
  <c r="AG1770" i="8" s="1"/>
  <c r="R1942" i="8"/>
  <c r="AG1942" i="8" s="1"/>
  <c r="R55" i="8"/>
  <c r="AG55" i="8" s="1"/>
  <c r="R1198" i="8"/>
  <c r="AG1198" i="8" s="1"/>
  <c r="R1545" i="8"/>
  <c r="AG1545" i="8" s="1"/>
  <c r="R104" i="8"/>
  <c r="AG104" i="8" s="1"/>
  <c r="R227" i="8"/>
  <c r="R1214" i="8"/>
  <c r="AG1214" i="8" s="1"/>
  <c r="R1251" i="8"/>
  <c r="R1282" i="8"/>
  <c r="AG1282" i="8" s="1"/>
  <c r="R1411" i="8"/>
  <c r="AG1411" i="8" s="1"/>
  <c r="R1448" i="8"/>
  <c r="AG1448" i="8" s="1"/>
  <c r="R1493" i="8"/>
  <c r="AG1493" i="8" s="1"/>
  <c r="R1524" i="8"/>
  <c r="AG1524" i="8" s="1"/>
  <c r="R1573" i="8"/>
  <c r="AG1573" i="8" s="1"/>
  <c r="R1589" i="8"/>
  <c r="AG1589" i="8" s="1"/>
  <c r="R1641" i="8"/>
  <c r="AG1641" i="8" s="1"/>
  <c r="R1678" i="8"/>
  <c r="R1733" i="8"/>
  <c r="AG1733" i="8" s="1"/>
  <c r="R1815" i="8"/>
  <c r="R1846" i="8"/>
  <c r="R1895" i="8"/>
  <c r="AG1895" i="8" s="1"/>
  <c r="R260" i="8"/>
  <c r="R308" i="8"/>
  <c r="AG308" i="8" s="1"/>
  <c r="R400" i="8"/>
  <c r="R448" i="8"/>
  <c r="R957" i="8"/>
  <c r="AG957" i="8" s="1"/>
  <c r="R1146" i="8"/>
  <c r="AG1146" i="8" s="1"/>
  <c r="R1331" i="8"/>
  <c r="AG1331" i="8" s="1"/>
  <c r="R1347" i="8"/>
  <c r="AG1347" i="8" s="1"/>
  <c r="R1401" i="8"/>
  <c r="AG1401" i="8" s="1"/>
  <c r="R1514" i="8"/>
  <c r="AG1514" i="8" s="1"/>
  <c r="R1610" i="8"/>
  <c r="AG1610" i="8" s="1"/>
  <c r="R1631" i="8"/>
  <c r="AG1631" i="8" s="1"/>
  <c r="R1662" i="8"/>
  <c r="AG1662" i="8" s="1"/>
  <c r="R1754" i="8"/>
  <c r="R1791" i="8"/>
  <c r="R1932" i="8"/>
  <c r="AG1932" i="8" s="1"/>
  <c r="R1432" i="8"/>
  <c r="AG1432" i="8" s="1"/>
  <c r="AM264" i="8"/>
  <c r="G51" i="23" s="1"/>
  <c r="R352" i="8"/>
  <c r="R1086" i="8"/>
  <c r="AG1086" i="8" s="1"/>
  <c r="R1151" i="8"/>
  <c r="AG1151" i="8" s="1"/>
  <c r="R1167" i="8"/>
  <c r="AG1167" i="8" s="1"/>
  <c r="R1235" i="8"/>
  <c r="AG1235" i="8" s="1"/>
  <c r="R1469" i="8"/>
  <c r="AG1469" i="8" s="1"/>
  <c r="R1594" i="8"/>
  <c r="AG1594" i="8" s="1"/>
  <c r="R1765" i="8"/>
  <c r="AG1765" i="8" s="1"/>
  <c r="R1937" i="8"/>
  <c r="AG1937" i="8" s="1"/>
  <c r="R39" i="8"/>
  <c r="R243" i="8"/>
  <c r="AG243" i="8" s="1"/>
  <c r="R328" i="8"/>
  <c r="AG328" i="8" s="1"/>
  <c r="R464" i="8"/>
  <c r="R712" i="8"/>
  <c r="R1188" i="8"/>
  <c r="AG1188" i="8" s="1"/>
  <c r="R1352" i="8"/>
  <c r="AG1352" i="8" s="1"/>
  <c r="R1422" i="8"/>
  <c r="AG1422" i="8" s="1"/>
  <c r="R1498" i="8"/>
  <c r="AG1498" i="8" s="1"/>
  <c r="R1599" i="8"/>
  <c r="AG1599" i="8" s="1"/>
  <c r="R1615" i="8"/>
  <c r="AG1615" i="8" s="1"/>
  <c r="R1652" i="8"/>
  <c r="AG1652" i="8" s="1"/>
  <c r="R1841" i="8"/>
  <c r="AG1841" i="8" s="1"/>
  <c r="R1890" i="8"/>
  <c r="A29" i="1"/>
  <c r="R608" i="8"/>
  <c r="AG608" i="8" s="1"/>
  <c r="R1193" i="8"/>
  <c r="AG1193" i="8" s="1"/>
  <c r="R1326" i="8"/>
  <c r="AG1326" i="8" s="1"/>
  <c r="A26" i="1"/>
  <c r="B29" i="1"/>
  <c r="D62" i="8"/>
  <c r="D1091" i="8"/>
  <c r="D1470" i="8"/>
  <c r="D1595" i="8"/>
  <c r="D1332" i="8"/>
  <c r="T1000" i="8"/>
  <c r="T943" i="8"/>
  <c r="T988" i="8"/>
  <c r="T942" i="8"/>
  <c r="T849" i="8"/>
  <c r="T764" i="8"/>
  <c r="T954" i="8"/>
  <c r="T1012" i="8"/>
  <c r="T896" i="8"/>
  <c r="T1023" i="8"/>
  <c r="T977" i="8"/>
  <c r="T930" i="8"/>
  <c r="T838" i="8"/>
  <c r="T966" i="8"/>
  <c r="T799" i="8"/>
  <c r="T989" i="8"/>
  <c r="T850" i="8"/>
  <c r="T1011" i="8"/>
  <c r="T965" i="8"/>
  <c r="T895" i="8"/>
  <c r="T810" i="8"/>
  <c r="T861" i="8"/>
  <c r="D30" i="8"/>
  <c r="D46" i="8"/>
  <c r="B26" i="1"/>
  <c r="A28" i="1"/>
  <c r="D848" i="8"/>
  <c r="D1821" i="8"/>
  <c r="D1184" i="8"/>
  <c r="B28" i="1"/>
  <c r="D941" i="8"/>
  <c r="D964" i="8"/>
  <c r="D1658" i="8"/>
  <c r="D1152" i="8"/>
  <c r="A31" i="1"/>
  <c r="D94" i="8"/>
  <c r="D78" i="8"/>
  <c r="D1606" i="8"/>
  <c r="T118" i="11"/>
  <c r="B119" i="11" s="1"/>
  <c r="T40" i="11"/>
  <c r="B41" i="11" s="1"/>
  <c r="T97" i="11"/>
  <c r="B98" i="11" s="1"/>
  <c r="T74" i="11"/>
  <c r="B75" i="11" s="1"/>
  <c r="T51" i="11"/>
  <c r="B52" i="11" s="1"/>
  <c r="T63" i="11"/>
  <c r="B64" i="11" s="1"/>
  <c r="R210" i="11"/>
  <c r="T1936" i="8"/>
  <c r="B1937" i="8" s="1"/>
  <c r="T1920" i="8"/>
  <c r="B1921" i="8" s="1"/>
  <c r="T1866" i="8"/>
  <c r="T1838" i="8"/>
  <c r="T1822" i="8"/>
  <c r="T1813" i="8"/>
  <c r="T1789" i="8"/>
  <c r="T1773" i="8"/>
  <c r="T1764" i="8"/>
  <c r="B1765" i="8" s="1"/>
  <c r="T1748" i="8"/>
  <c r="B1749" i="8" s="1"/>
  <c r="T1732" i="8"/>
  <c r="B1733" i="8" s="1"/>
  <c r="T1654" i="8"/>
  <c r="T1638" i="8"/>
  <c r="T1629" i="8"/>
  <c r="T1613" i="8"/>
  <c r="T1597" i="8"/>
  <c r="T1588" i="8"/>
  <c r="B1589" i="8" s="1"/>
  <c r="T1935" i="8"/>
  <c r="T1919" i="8"/>
  <c r="T1910" i="8"/>
  <c r="B1911" i="8" s="1"/>
  <c r="T1894" i="8"/>
  <c r="B1895" i="8" s="1"/>
  <c r="T1878" i="8"/>
  <c r="B1879" i="8" s="1"/>
  <c r="T1812" i="8"/>
  <c r="T1788" i="8"/>
  <c r="T1772" i="8"/>
  <c r="T1763" i="8"/>
  <c r="T1747" i="8"/>
  <c r="T1731" i="8"/>
  <c r="T1722" i="8"/>
  <c r="B1723" i="8" s="1"/>
  <c r="T1706" i="8"/>
  <c r="B1707" i="8" s="1"/>
  <c r="T1682" i="8"/>
  <c r="B1683" i="8" s="1"/>
  <c r="T1628" i="8"/>
  <c r="T1612" i="8"/>
  <c r="T1934" i="8"/>
  <c r="T1918" i="8"/>
  <c r="T1889" i="8"/>
  <c r="B1890" i="8" s="1"/>
  <c r="T1877" i="8"/>
  <c r="T1843" i="8"/>
  <c r="T1840" i="8"/>
  <c r="B1841" i="8" s="1"/>
  <c r="T1824" i="8"/>
  <c r="B1825" i="8" s="1"/>
  <c r="T1751" i="8"/>
  <c r="T1660" i="8"/>
  <c r="T1649" i="8"/>
  <c r="T1633" i="8"/>
  <c r="T1617" i="8"/>
  <c r="T1609" i="8"/>
  <c r="B1610" i="8" s="1"/>
  <c r="T1598" i="8"/>
  <c r="B1599" i="8" s="1"/>
  <c r="T1565" i="8"/>
  <c r="T1537" i="8"/>
  <c r="T1521" i="8"/>
  <c r="T1512" i="8"/>
  <c r="T1496" i="8"/>
  <c r="T1472" i="8"/>
  <c r="T1463" i="8"/>
  <c r="B1464" i="8" s="1"/>
  <c r="T1447" i="8"/>
  <c r="B1448" i="8" s="1"/>
  <c r="T1431" i="8"/>
  <c r="B1432" i="8" s="1"/>
  <c r="T1344" i="8"/>
  <c r="T1328" i="8"/>
  <c r="T1312" i="8"/>
  <c r="T1303" i="8"/>
  <c r="T1275" i="8"/>
  <c r="T1259" i="8"/>
  <c r="T1250" i="8"/>
  <c r="B1251" i="8" s="1"/>
  <c r="T1234" i="8"/>
  <c r="B1235" i="8" s="1"/>
  <c r="T1218" i="8"/>
  <c r="B1219" i="8" s="1"/>
  <c r="T1164" i="8"/>
  <c r="T1148" i="8"/>
  <c r="T1093" i="8"/>
  <c r="T1085" i="8"/>
  <c r="B1086" i="8" s="1"/>
  <c r="T1072" i="8"/>
  <c r="B1073" i="8" s="1"/>
  <c r="T752" i="8"/>
  <c r="T748" i="8"/>
  <c r="T743" i="8"/>
  <c r="B744" i="8" s="1"/>
  <c r="T739" i="8"/>
  <c r="T1930" i="8"/>
  <c r="T1914" i="8"/>
  <c r="T1899" i="8"/>
  <c r="B1900" i="8" s="1"/>
  <c r="T1892" i="8"/>
  <c r="T1873" i="8"/>
  <c r="B1874" i="8" s="1"/>
  <c r="T1767" i="8"/>
  <c r="T1743" i="8"/>
  <c r="B1744" i="8" s="1"/>
  <c r="T1727" i="8"/>
  <c r="B1728" i="8" s="1"/>
  <c r="T1720" i="8"/>
  <c r="T1705" i="8"/>
  <c r="T1587" i="8"/>
  <c r="T1571" i="8"/>
  <c r="T1543" i="8"/>
  <c r="T1534" i="8"/>
  <c r="B1535" i="8" s="1"/>
  <c r="T1518" i="8"/>
  <c r="B1519" i="8" s="1"/>
  <c r="T1502" i="8"/>
  <c r="B1503" i="8" s="1"/>
  <c r="T1440" i="8"/>
  <c r="T1424" i="8"/>
  <c r="T1408" i="8"/>
  <c r="T1399" i="8"/>
  <c r="T1350" i="8"/>
  <c r="T1334" i="8"/>
  <c r="T1325" i="8"/>
  <c r="B1326" i="8" s="1"/>
  <c r="T1309" i="8"/>
  <c r="B1310" i="8" s="1"/>
  <c r="T1281" i="8"/>
  <c r="B1282" i="8" s="1"/>
  <c r="T1227" i="8"/>
  <c r="T1211" i="8"/>
  <c r="T1195" i="8"/>
  <c r="T1186" i="8"/>
  <c r="T1170" i="8"/>
  <c r="T1154" i="8"/>
  <c r="T1145" i="8"/>
  <c r="B1146" i="8" s="1"/>
  <c r="T1025" i="8"/>
  <c r="B1026" i="8" s="1"/>
  <c r="T1002" i="8"/>
  <c r="B1003" i="8" s="1"/>
  <c r="T979" i="8"/>
  <c r="B980" i="8" s="1"/>
  <c r="T956" i="8"/>
  <c r="B957" i="8" s="1"/>
  <c r="T933" i="8"/>
  <c r="B934" i="8" s="1"/>
  <c r="T863" i="8"/>
  <c r="B864" i="8" s="1"/>
  <c r="T840" i="8"/>
  <c r="B841" i="8" s="1"/>
  <c r="T801" i="8"/>
  <c r="B802" i="8" s="1"/>
  <c r="T725" i="8"/>
  <c r="T709" i="8"/>
  <c r="T693" i="8"/>
  <c r="T673" i="8"/>
  <c r="T657" i="8"/>
  <c r="T641" i="8"/>
  <c r="T625" i="8"/>
  <c r="T605" i="8"/>
  <c r="T589" i="8"/>
  <c r="T569" i="8"/>
  <c r="T553" i="8"/>
  <c r="T533" i="8"/>
  <c r="T517" i="8"/>
  <c r="T501" i="8"/>
  <c r="T462" i="8"/>
  <c r="T446" i="8"/>
  <c r="T430" i="8"/>
  <c r="T414" i="8"/>
  <c r="T1941" i="8"/>
  <c r="B1942" i="8" s="1"/>
  <c r="T1888" i="8"/>
  <c r="T1876" i="8"/>
  <c r="T1839" i="8"/>
  <c r="T1823" i="8"/>
  <c r="T1819" i="8"/>
  <c r="B1820" i="8" s="1"/>
  <c r="T1795" i="8"/>
  <c r="B1796" i="8" s="1"/>
  <c r="T1746" i="8"/>
  <c r="T1730" i="8"/>
  <c r="T1701" i="8"/>
  <c r="B1702" i="8" s="1"/>
  <c r="T1681" i="8"/>
  <c r="T1659" i="8"/>
  <c r="T1656" i="8"/>
  <c r="B1657" i="8" s="1"/>
  <c r="T1640" i="8"/>
  <c r="B1641" i="8" s="1"/>
  <c r="T1608" i="8"/>
  <c r="T1577" i="8"/>
  <c r="B1578" i="8" s="1"/>
  <c r="T1511" i="8"/>
  <c r="T1495" i="8"/>
  <c r="T1471" i="8"/>
  <c r="T1446" i="8"/>
  <c r="T1430" i="8"/>
  <c r="T1421" i="8"/>
  <c r="B1422" i="8" s="1"/>
  <c r="T1405" i="8"/>
  <c r="B1406" i="8" s="1"/>
  <c r="T1356" i="8"/>
  <c r="B1357" i="8" s="1"/>
  <c r="T1302" i="8"/>
  <c r="T1274" i="8"/>
  <c r="T1258" i="8"/>
  <c r="T1249" i="8"/>
  <c r="T1233" i="8"/>
  <c r="T1217" i="8"/>
  <c r="T1208" i="8"/>
  <c r="B1209" i="8" s="1"/>
  <c r="T1192" i="8"/>
  <c r="B1193" i="8" s="1"/>
  <c r="T1176" i="8"/>
  <c r="B1177" i="8" s="1"/>
  <c r="T1092" i="8"/>
  <c r="T751" i="8"/>
  <c r="T742" i="8"/>
  <c r="T738" i="8"/>
  <c r="T722" i="8"/>
  <c r="B723" i="8" s="1"/>
  <c r="T706" i="8"/>
  <c r="B707" i="8" s="1"/>
  <c r="T690" i="8"/>
  <c r="B691" i="8" s="1"/>
  <c r="T670" i="8"/>
  <c r="B671" i="8" s="1"/>
  <c r="T654" i="8"/>
  <c r="B655" i="8" s="1"/>
  <c r="T638" i="8"/>
  <c r="B639" i="8" s="1"/>
  <c r="T622" i="8"/>
  <c r="B623" i="8" s="1"/>
  <c r="T602" i="8"/>
  <c r="B603" i="8" s="1"/>
  <c r="T586" i="8"/>
  <c r="B587" i="8" s="1"/>
  <c r="T566" i="8"/>
  <c r="B567" i="8" s="1"/>
  <c r="T550" i="8"/>
  <c r="B551" i="8" s="1"/>
  <c r="T530" i="8"/>
  <c r="B531" i="8" s="1"/>
  <c r="T514" i="8"/>
  <c r="B515" i="8" s="1"/>
  <c r="T498" i="8"/>
  <c r="B499" i="8" s="1"/>
  <c r="T479" i="8"/>
  <c r="B480" i="8" s="1"/>
  <c r="T1929" i="8"/>
  <c r="T1913" i="8"/>
  <c r="T1898" i="8"/>
  <c r="T1872" i="8"/>
  <c r="T1762" i="8"/>
  <c r="T1742" i="8"/>
  <c r="T1726" i="8"/>
  <c r="T1711" i="8"/>
  <c r="B1712" i="8" s="1"/>
  <c r="T1704" i="8"/>
  <c r="T1677" i="8"/>
  <c r="B1678" i="8" s="1"/>
  <c r="T1596" i="8"/>
  <c r="T1593" i="8"/>
  <c r="B1594" i="8" s="1"/>
  <c r="T1586" i="8"/>
  <c r="T1570" i="8"/>
  <c r="T1542" i="8"/>
  <c r="T1517" i="8"/>
  <c r="T1501" i="8"/>
  <c r="T1492" i="8"/>
  <c r="B1493" i="8" s="1"/>
  <c r="T1468" i="8"/>
  <c r="B1469" i="8" s="1"/>
  <c r="T1452" i="8"/>
  <c r="B1453" i="8" s="1"/>
  <c r="T1398" i="8"/>
  <c r="T1349" i="8"/>
  <c r="T1333" i="8"/>
  <c r="T1324" i="8"/>
  <c r="T1308" i="8"/>
  <c r="T1280" i="8"/>
  <c r="T1271" i="8"/>
  <c r="B1272" i="8" s="1"/>
  <c r="T1255" i="8"/>
  <c r="B1256" i="8" s="1"/>
  <c r="T1239" i="8"/>
  <c r="B1240" i="8" s="1"/>
  <c r="T1185" i="8"/>
  <c r="T1169" i="8"/>
  <c r="T1153" i="8"/>
  <c r="T1144" i="8"/>
  <c r="T1089" i="8"/>
  <c r="B1090" i="8" s="1"/>
  <c r="T1940" i="8"/>
  <c r="T1887" i="8"/>
  <c r="T1845" i="8"/>
  <c r="B1846" i="8" s="1"/>
  <c r="T1818" i="8"/>
  <c r="T1794" i="8"/>
  <c r="T1774" i="8"/>
  <c r="B1775" i="8" s="1"/>
  <c r="T1753" i="8"/>
  <c r="B1754" i="8" s="1"/>
  <c r="T1700" i="8"/>
  <c r="T1680" i="8"/>
  <c r="T1655" i="8"/>
  <c r="T1651" i="8"/>
  <c r="B1652" i="8" s="1"/>
  <c r="T1639" i="8"/>
  <c r="T1635" i="8"/>
  <c r="B1636" i="8" s="1"/>
  <c r="T1619" i="8"/>
  <c r="B1620" i="8" s="1"/>
  <c r="T1607" i="8"/>
  <c r="T1576" i="8"/>
  <c r="T1567" i="8"/>
  <c r="B1568" i="8" s="1"/>
  <c r="T1539" i="8"/>
  <c r="B1540" i="8" s="1"/>
  <c r="T1523" i="8"/>
  <c r="B1524" i="8" s="1"/>
  <c r="T1445" i="8"/>
  <c r="T1429" i="8"/>
  <c r="T1420" i="8"/>
  <c r="T1404" i="8"/>
  <c r="T1355" i="8"/>
  <c r="T1346" i="8"/>
  <c r="B1347" i="8" s="1"/>
  <c r="T1330" i="8"/>
  <c r="B1331" i="8" s="1"/>
  <c r="T1314" i="8"/>
  <c r="B1315" i="8" s="1"/>
  <c r="T1248" i="8"/>
  <c r="T1232" i="8"/>
  <c r="T1216" i="8"/>
  <c r="T1207" i="8"/>
  <c r="T1191" i="8"/>
  <c r="T1175" i="8"/>
  <c r="T1166" i="8"/>
  <c r="B1167" i="8" s="1"/>
  <c r="T1150" i="8"/>
  <c r="B1151" i="8" s="1"/>
  <c r="T1047" i="8"/>
  <c r="B1048" i="8" s="1"/>
  <c r="T750" i="8"/>
  <c r="T741" i="8"/>
  <c r="T458" i="8"/>
  <c r="B459" i="8" s="1"/>
  <c r="T442" i="8"/>
  <c r="B443" i="8" s="1"/>
  <c r="T426" i="8"/>
  <c r="B427" i="8" s="1"/>
  <c r="T410" i="8"/>
  <c r="B411" i="8" s="1"/>
  <c r="T394" i="8"/>
  <c r="B395" i="8" s="1"/>
  <c r="T1909" i="8"/>
  <c r="T1897" i="8"/>
  <c r="T1871" i="8"/>
  <c r="T1868" i="8"/>
  <c r="B1869" i="8" s="1"/>
  <c r="T1814" i="8"/>
  <c r="B1815" i="8" s="1"/>
  <c r="T1790" i="8"/>
  <c r="B1791" i="8" s="1"/>
  <c r="T1769" i="8"/>
  <c r="B1770" i="8" s="1"/>
  <c r="T1741" i="8"/>
  <c r="T1725" i="8"/>
  <c r="T1710" i="8"/>
  <c r="T1676" i="8"/>
  <c r="T1592" i="8"/>
  <c r="T1516" i="8"/>
  <c r="T1500" i="8"/>
  <c r="T1491" i="8"/>
  <c r="T1467" i="8"/>
  <c r="T1451" i="8"/>
  <c r="T1442" i="8"/>
  <c r="B1443" i="8" s="1"/>
  <c r="T1426" i="8"/>
  <c r="B1427" i="8" s="1"/>
  <c r="T1410" i="8"/>
  <c r="B1411" i="8" s="1"/>
  <c r="T1323" i="8"/>
  <c r="T1307" i="8"/>
  <c r="T1279" i="8"/>
  <c r="T1270" i="8"/>
  <c r="T1254" i="8"/>
  <c r="T1238" i="8"/>
  <c r="T1229" i="8"/>
  <c r="B1230" i="8" s="1"/>
  <c r="T1213" i="8"/>
  <c r="B1214" i="8" s="1"/>
  <c r="T1197" i="8"/>
  <c r="B1198" i="8" s="1"/>
  <c r="T1143" i="8"/>
  <c r="T727" i="8"/>
  <c r="B728" i="8" s="1"/>
  <c r="T711" i="8"/>
  <c r="B712" i="8" s="1"/>
  <c r="T695" i="8"/>
  <c r="B696" i="8" s="1"/>
  <c r="T675" i="8"/>
  <c r="B676" i="8" s="1"/>
  <c r="T659" i="8"/>
  <c r="B660" i="8" s="1"/>
  <c r="T643" i="8"/>
  <c r="B644" i="8" s="1"/>
  <c r="T627" i="8"/>
  <c r="B628" i="8" s="1"/>
  <c r="T607" i="8"/>
  <c r="B608" i="8" s="1"/>
  <c r="T591" i="8"/>
  <c r="B592" i="8" s="1"/>
  <c r="T571" i="8"/>
  <c r="B572" i="8" s="1"/>
  <c r="T555" i="8"/>
  <c r="B556" i="8" s="1"/>
  <c r="T535" i="8"/>
  <c r="B536" i="8" s="1"/>
  <c r="T519" i="8"/>
  <c r="B520" i="8" s="1"/>
  <c r="T503" i="8"/>
  <c r="B504" i="8" s="1"/>
  <c r="D1933" i="8"/>
  <c r="D1745" i="8"/>
  <c r="D1891" i="8"/>
  <c r="D1703" i="8"/>
  <c r="D1653" i="8"/>
  <c r="D1444" i="8"/>
  <c r="D1231" i="8"/>
  <c r="D1870" i="8"/>
  <c r="D1816" i="8"/>
  <c r="D1724" i="8"/>
  <c r="D1515" i="8"/>
  <c r="D1306" i="8"/>
  <c r="D1022" i="8"/>
  <c r="D999" i="8"/>
  <c r="D976" i="8"/>
  <c r="D953" i="8"/>
  <c r="D929" i="8"/>
  <c r="D860" i="8"/>
  <c r="D837" i="8"/>
  <c r="D798" i="8"/>
  <c r="D1402" i="8"/>
  <c r="D1189" i="8"/>
  <c r="D1787" i="8"/>
  <c r="D1674" i="8"/>
  <c r="D1632" i="8"/>
  <c r="D1590" i="8"/>
  <c r="D1465" i="8"/>
  <c r="D1252" i="8"/>
  <c r="D1087" i="8"/>
  <c r="D1766" i="8"/>
  <c r="D1536" i="8"/>
  <c r="D1327" i="8"/>
  <c r="D1147" i="8"/>
  <c r="D1611" i="8"/>
  <c r="D1423" i="8"/>
  <c r="D1210" i="8"/>
  <c r="D724" i="8"/>
  <c r="D708" i="8"/>
  <c r="D692" i="8"/>
  <c r="D672" i="8"/>
  <c r="D656" i="8"/>
  <c r="D640" i="8"/>
  <c r="D624" i="8"/>
  <c r="D604" i="8"/>
  <c r="D588" i="8"/>
  <c r="D568" i="8"/>
  <c r="D552" i="8"/>
  <c r="D532" i="8"/>
  <c r="D516" i="8"/>
  <c r="D500" i="8"/>
  <c r="D167" i="8"/>
  <c r="T170" i="8"/>
  <c r="B171" i="8" s="1"/>
  <c r="D183" i="8"/>
  <c r="T186" i="8"/>
  <c r="B187" i="8" s="1"/>
  <c r="D207" i="8"/>
  <c r="T210" i="8"/>
  <c r="B211" i="8" s="1"/>
  <c r="D223" i="8"/>
  <c r="T226" i="8"/>
  <c r="B227" i="8" s="1"/>
  <c r="D239" i="8"/>
  <c r="T242" i="8"/>
  <c r="B243" i="8" s="1"/>
  <c r="D256" i="8"/>
  <c r="T259" i="8"/>
  <c r="B260" i="8" s="1"/>
  <c r="T290" i="8"/>
  <c r="T306" i="8"/>
  <c r="T326" i="8"/>
  <c r="T350" i="8"/>
  <c r="T366" i="8"/>
  <c r="T383" i="8"/>
  <c r="B384" i="8" s="1"/>
  <c r="T502" i="8"/>
  <c r="T534" i="8"/>
  <c r="T674" i="8"/>
  <c r="T796" i="8"/>
  <c r="B797" i="8" s="1"/>
  <c r="T1165" i="8"/>
  <c r="T1171" i="8"/>
  <c r="B1172" i="8" s="1"/>
  <c r="T1206" i="8"/>
  <c r="T1212" i="8"/>
  <c r="T1276" i="8"/>
  <c r="B1277" i="8" s="1"/>
  <c r="T1441" i="8"/>
  <c r="T1575" i="8"/>
  <c r="T1618" i="8"/>
  <c r="T1752" i="8"/>
  <c r="T1768" i="8"/>
  <c r="T1785" i="8"/>
  <c r="B1786" i="8" s="1"/>
  <c r="T1304" i="8"/>
  <c r="B1305" i="8" s="1"/>
  <c r="D1348" i="8"/>
  <c r="T1522" i="8"/>
  <c r="T1844" i="8"/>
  <c r="T749" i="8"/>
  <c r="T835" i="8"/>
  <c r="B836" i="8" s="1"/>
  <c r="T29" i="11"/>
  <c r="B30" i="11" s="1"/>
  <c r="T210" i="11"/>
  <c r="T36" i="8"/>
  <c r="T52" i="8"/>
  <c r="T68" i="8"/>
  <c r="T84" i="8"/>
  <c r="T101" i="8"/>
  <c r="D288" i="8"/>
  <c r="T291" i="8"/>
  <c r="B292" i="8" s="1"/>
  <c r="D304" i="8"/>
  <c r="T307" i="8"/>
  <c r="B308" i="8" s="1"/>
  <c r="D324" i="8"/>
  <c r="T327" i="8"/>
  <c r="B328" i="8" s="1"/>
  <c r="D348" i="8"/>
  <c r="T351" i="8"/>
  <c r="B352" i="8" s="1"/>
  <c r="D364" i="8"/>
  <c r="T367" i="8"/>
  <c r="B368" i="8" s="1"/>
  <c r="D396" i="8"/>
  <c r="T413" i="8"/>
  <c r="T429" i="8"/>
  <c r="T445" i="8"/>
  <c r="T461" i="8"/>
  <c r="T570" i="8"/>
  <c r="T710" i="8"/>
  <c r="T858" i="8"/>
  <c r="B859" i="8" s="1"/>
  <c r="D987" i="8"/>
  <c r="T1094" i="8"/>
  <c r="B1095" i="8" s="1"/>
  <c r="T1228" i="8"/>
  <c r="T1354" i="8"/>
  <c r="D1494" i="8"/>
  <c r="D1585" i="8"/>
  <c r="T1591" i="8"/>
  <c r="T1867" i="8"/>
  <c r="T33" i="8"/>
  <c r="B34" i="8" s="1"/>
  <c r="T49" i="8"/>
  <c r="B50" i="8" s="1"/>
  <c r="T65" i="8"/>
  <c r="B66" i="8" s="1"/>
  <c r="T81" i="8"/>
  <c r="B82" i="8" s="1"/>
  <c r="T1544" i="8"/>
  <c r="B1545" i="8" s="1"/>
  <c r="T117" i="8"/>
  <c r="B118" i="8" s="1"/>
  <c r="D162" i="8"/>
  <c r="T165" i="8"/>
  <c r="B166" i="8" s="1"/>
  <c r="D178" i="8"/>
  <c r="T181" i="8"/>
  <c r="B182" i="8" s="1"/>
  <c r="D202" i="8"/>
  <c r="T205" i="8"/>
  <c r="B206" i="8" s="1"/>
  <c r="D218" i="8"/>
  <c r="T221" i="8"/>
  <c r="B222" i="8" s="1"/>
  <c r="D234" i="8"/>
  <c r="T237" i="8"/>
  <c r="B238" i="8" s="1"/>
  <c r="D250" i="8"/>
  <c r="T254" i="8"/>
  <c r="B255" i="8" s="1"/>
  <c r="T590" i="8"/>
  <c r="T726" i="8"/>
  <c r="T927" i="8"/>
  <c r="B928" i="8" s="1"/>
  <c r="D1010" i="8"/>
  <c r="D1168" i="8"/>
  <c r="T1187" i="8"/>
  <c r="B1188" i="8" s="1"/>
  <c r="T1313" i="8"/>
  <c r="T1329" i="8"/>
  <c r="T1335" i="8"/>
  <c r="B1336" i="8" s="1"/>
  <c r="T1450" i="8"/>
  <c r="T1614" i="8"/>
  <c r="B1615" i="8" s="1"/>
  <c r="T1675" i="8"/>
  <c r="T1699" i="8"/>
  <c r="T1908" i="8"/>
  <c r="D380" i="8"/>
  <c r="T1538" i="8"/>
  <c r="D1761" i="8"/>
  <c r="D1907" i="8"/>
  <c r="D1719" i="8"/>
  <c r="D1886" i="8"/>
  <c r="D1460" i="8"/>
  <c r="D1247" i="8"/>
  <c r="D1082" i="8"/>
  <c r="D1832" i="8"/>
  <c r="D1740" i="8"/>
  <c r="D1531" i="8"/>
  <c r="D1322" i="8"/>
  <c r="D1142" i="8"/>
  <c r="D1698" i="8"/>
  <c r="D1418" i="8"/>
  <c r="D1205" i="8"/>
  <c r="D719" i="8"/>
  <c r="D703" i="8"/>
  <c r="D687" i="8"/>
  <c r="D667" i="8"/>
  <c r="D651" i="8"/>
  <c r="D635" i="8"/>
  <c r="D619" i="8"/>
  <c r="D599" i="8"/>
  <c r="D583" i="8"/>
  <c r="D563" i="8"/>
  <c r="D547" i="8"/>
  <c r="D527" i="8"/>
  <c r="D511" i="8"/>
  <c r="D495" i="8"/>
  <c r="D1865" i="8"/>
  <c r="D1811" i="8"/>
  <c r="D1648" i="8"/>
  <c r="D1489" i="8"/>
  <c r="D1268" i="8"/>
  <c r="D1564" i="8"/>
  <c r="D1343" i="8"/>
  <c r="D1163" i="8"/>
  <c r="D455" i="8"/>
  <c r="D439" i="8"/>
  <c r="D423" i="8"/>
  <c r="D407" i="8"/>
  <c r="D391" i="8"/>
  <c r="D1782" i="8"/>
  <c r="D1669" i="8"/>
  <c r="D1627" i="8"/>
  <c r="D1439" i="8"/>
  <c r="D1226" i="8"/>
  <c r="AG1021" i="8"/>
  <c r="AG998" i="8"/>
  <c r="AG975" i="8"/>
  <c r="AG952" i="8"/>
  <c r="AG859" i="8"/>
  <c r="D1917" i="8"/>
  <c r="D1729" i="8"/>
  <c r="D1875" i="8"/>
  <c r="D1679" i="8"/>
  <c r="D1637" i="8"/>
  <c r="D1428" i="8"/>
  <c r="D1215" i="8"/>
  <c r="D1938" i="8"/>
  <c r="D1896" i="8"/>
  <c r="D1792" i="8"/>
  <c r="D1499" i="8"/>
  <c r="D1278" i="8"/>
  <c r="D1771" i="8"/>
  <c r="D1574" i="8"/>
  <c r="D1353" i="8"/>
  <c r="D1173" i="8"/>
  <c r="D1750" i="8"/>
  <c r="D1708" i="8"/>
  <c r="D1616" i="8"/>
  <c r="D1449" i="8"/>
  <c r="D1236" i="8"/>
  <c r="D1842" i="8"/>
  <c r="D1520" i="8"/>
  <c r="D1311" i="8"/>
  <c r="D1407" i="8"/>
  <c r="D1194" i="8"/>
  <c r="T37" i="8"/>
  <c r="T53" i="8"/>
  <c r="T69" i="8"/>
  <c r="T85" i="8"/>
  <c r="T102" i="8"/>
  <c r="T168" i="8"/>
  <c r="T184" i="8"/>
  <c r="T208" i="8"/>
  <c r="T224" i="8"/>
  <c r="T240" i="8"/>
  <c r="T257" i="8"/>
  <c r="T378" i="8"/>
  <c r="B379" i="8" s="1"/>
  <c r="T381" i="8"/>
  <c r="T518" i="8"/>
  <c r="T606" i="8"/>
  <c r="D763" i="8"/>
  <c r="T951" i="8"/>
  <c r="B952" i="8" s="1"/>
  <c r="T1036" i="8"/>
  <c r="T1174" i="8"/>
  <c r="D1273" i="8"/>
  <c r="D1397" i="8"/>
  <c r="T1466" i="8"/>
  <c r="D1541" i="8"/>
  <c r="T1566" i="8"/>
  <c r="T1572" i="8"/>
  <c r="B1573" i="8" s="1"/>
  <c r="T1630" i="8"/>
  <c r="B1631" i="8" s="1"/>
  <c r="T1661" i="8"/>
  <c r="B1662" i="8" s="1"/>
  <c r="T1817" i="8"/>
  <c r="T1915" i="8"/>
  <c r="B1916" i="8" s="1"/>
  <c r="T1931" i="8"/>
  <c r="B1932" i="8" s="1"/>
  <c r="T1939" i="8"/>
  <c r="T98" i="8"/>
  <c r="B99" i="8" s="1"/>
  <c r="T694" i="8"/>
  <c r="T1400" i="8"/>
  <c r="B1401" i="8" s="1"/>
  <c r="R169" i="1"/>
  <c r="R2136" i="8"/>
  <c r="D283" i="8"/>
  <c r="T286" i="8"/>
  <c r="B287" i="8" s="1"/>
  <c r="D299" i="8"/>
  <c r="T302" i="8"/>
  <c r="B303" i="8" s="1"/>
  <c r="D319" i="8"/>
  <c r="T322" i="8"/>
  <c r="B323" i="8" s="1"/>
  <c r="D343" i="8"/>
  <c r="T346" i="8"/>
  <c r="B347" i="8" s="1"/>
  <c r="D359" i="8"/>
  <c r="T362" i="8"/>
  <c r="B363" i="8" s="1"/>
  <c r="D375" i="8"/>
  <c r="T397" i="8"/>
  <c r="T415" i="8"/>
  <c r="B416" i="8" s="1"/>
  <c r="T431" i="8"/>
  <c r="B432" i="8" s="1"/>
  <c r="T447" i="8"/>
  <c r="B448" i="8" s="1"/>
  <c r="T463" i="8"/>
  <c r="B464" i="8" s="1"/>
  <c r="T626" i="8"/>
  <c r="D809" i="8"/>
  <c r="T974" i="8"/>
  <c r="B975" i="8" s="1"/>
  <c r="T1149" i="8"/>
  <c r="T1155" i="8"/>
  <c r="B1156" i="8" s="1"/>
  <c r="T1237" i="8"/>
  <c r="D1301" i="8"/>
  <c r="T1403" i="8"/>
  <c r="T1409" i="8"/>
  <c r="T1473" i="8"/>
  <c r="B1474" i="8" s="1"/>
  <c r="T1490" i="8"/>
  <c r="T1893" i="8"/>
  <c r="T399" i="8"/>
  <c r="B400" i="8" s="1"/>
  <c r="T554" i="8"/>
  <c r="T1634" i="8"/>
  <c r="T1721" i="8"/>
  <c r="D1837" i="8"/>
  <c r="T2136" i="8"/>
  <c r="D35" i="8"/>
  <c r="T38" i="8"/>
  <c r="B39" i="8" s="1"/>
  <c r="D51" i="8"/>
  <c r="T54" i="8"/>
  <c r="B55" i="8" s="1"/>
  <c r="D67" i="8"/>
  <c r="T70" i="8"/>
  <c r="B71" i="8" s="1"/>
  <c r="D83" i="8"/>
  <c r="T86" i="8"/>
  <c r="B87" i="8" s="1"/>
  <c r="D100" i="8"/>
  <c r="T103" i="8"/>
  <c r="B104" i="8" s="1"/>
  <c r="T169" i="8"/>
  <c r="T185" i="8"/>
  <c r="T209" i="8"/>
  <c r="T225" i="8"/>
  <c r="T241" i="8"/>
  <c r="T258" i="8"/>
  <c r="T289" i="8"/>
  <c r="T305" i="8"/>
  <c r="T325" i="8"/>
  <c r="T349" i="8"/>
  <c r="T365" i="8"/>
  <c r="T382" i="8"/>
  <c r="T642" i="8"/>
  <c r="T740" i="8"/>
  <c r="T753" i="8"/>
  <c r="B754" i="8" s="1"/>
  <c r="T997" i="8"/>
  <c r="B998" i="8" s="1"/>
  <c r="T1253" i="8"/>
  <c r="T1345" i="8"/>
  <c r="T1351" i="8"/>
  <c r="B1352" i="8" s="1"/>
  <c r="T1419" i="8"/>
  <c r="T1425" i="8"/>
  <c r="T1497" i="8"/>
  <c r="B1498" i="8" s="1"/>
  <c r="T398" i="8"/>
  <c r="D412" i="8"/>
  <c r="D428" i="8"/>
  <c r="D444" i="8"/>
  <c r="D460" i="8"/>
  <c r="T658" i="8"/>
  <c r="D894" i="8"/>
  <c r="T1020" i="8"/>
  <c r="B1021" i="8" s="1"/>
  <c r="T1190" i="8"/>
  <c r="T1196" i="8"/>
  <c r="T1260" i="8"/>
  <c r="B1261" i="8" s="1"/>
  <c r="T1269" i="8"/>
  <c r="T1513" i="8"/>
  <c r="B1514" i="8" s="1"/>
  <c r="D1569" i="8"/>
  <c r="T1650" i="8"/>
  <c r="T1672" i="8"/>
  <c r="B1673" i="8" s="1"/>
  <c r="T1709" i="8"/>
  <c r="T1793" i="8"/>
  <c r="D1912" i="8"/>
  <c r="D1928" i="8"/>
  <c r="A27" i="1"/>
  <c r="E27" i="1"/>
  <c r="B27" i="1"/>
  <c r="E32" i="1"/>
  <c r="B32" i="1"/>
  <c r="B30" i="1"/>
  <c r="E30" i="1"/>
  <c r="T135" i="8" l="1"/>
  <c r="E131" i="8" s="1"/>
  <c r="T151" i="8"/>
  <c r="E147" i="8" s="1"/>
  <c r="T882" i="8"/>
  <c r="H259" i="23" s="1"/>
  <c r="T887" i="8"/>
  <c r="AG868" i="8"/>
  <c r="B2147" i="8"/>
  <c r="B100" i="11" s="1"/>
  <c r="B2146" i="8"/>
  <c r="B90" i="11" s="1"/>
  <c r="B2144" i="8"/>
  <c r="B66" i="11" s="1"/>
  <c r="B2143" i="8"/>
  <c r="B54" i="11" s="1"/>
  <c r="B2145" i="8"/>
  <c r="B77" i="11" s="1"/>
  <c r="B2142" i="8"/>
  <c r="B43" i="11" s="1"/>
  <c r="B2140" i="8"/>
  <c r="B19" i="11" s="1"/>
  <c r="B2149" i="8"/>
  <c r="B138" i="11" s="1"/>
  <c r="B2148" i="8"/>
  <c r="B121" i="11" s="1"/>
  <c r="B2141" i="8"/>
  <c r="B32" i="11" s="1"/>
  <c r="R2057" i="8"/>
  <c r="AH2057" i="8" s="1"/>
  <c r="AG39" i="8"/>
  <c r="R2056" i="8"/>
  <c r="AH2056" i="8" s="1"/>
  <c r="B2061" i="8"/>
  <c r="B2062" i="8"/>
  <c r="B2059" i="8"/>
  <c r="B2063" i="8"/>
  <c r="B2058" i="8"/>
  <c r="T2034" i="8"/>
  <c r="E2026" i="8" s="1"/>
  <c r="T1999" i="8"/>
  <c r="T1989" i="8"/>
  <c r="T2024" i="8"/>
  <c r="T1969" i="8"/>
  <c r="T1979" i="8"/>
  <c r="T2080" i="8"/>
  <c r="T113" i="1" s="1"/>
  <c r="S113" i="1" s="1"/>
  <c r="T2078" i="8"/>
  <c r="T111" i="1" s="1"/>
  <c r="S111" i="1" s="1"/>
  <c r="T2127" i="8"/>
  <c r="T160" i="1" s="1"/>
  <c r="S160" i="1" s="1"/>
  <c r="T1373" i="8"/>
  <c r="E1369" i="8" s="1"/>
  <c r="F1369" i="8" s="1"/>
  <c r="T1378" i="8"/>
  <c r="E1374" i="8" s="1"/>
  <c r="AG1050" i="8"/>
  <c r="AH1050" i="8" s="1"/>
  <c r="T1066" i="8"/>
  <c r="T1062" i="8"/>
  <c r="H268" i="23" s="1"/>
  <c r="E505" i="23"/>
  <c r="F506" i="23" s="1"/>
  <c r="F492" i="23"/>
  <c r="F26" i="23"/>
  <c r="F484" i="23"/>
  <c r="T1111" i="8"/>
  <c r="T274" i="8"/>
  <c r="AG728" i="8"/>
  <c r="AG211" i="8"/>
  <c r="R1756" i="8"/>
  <c r="AM1737" i="8" s="1"/>
  <c r="AG1754" i="8"/>
  <c r="AG1737" i="8" s="1"/>
  <c r="AH1737" i="8" s="1"/>
  <c r="AG536" i="8"/>
  <c r="R866" i="8"/>
  <c r="AM845" i="8" s="1"/>
  <c r="G258" i="23" s="1"/>
  <c r="AG384" i="8"/>
  <c r="AG934" i="8"/>
  <c r="AG227" i="8"/>
  <c r="AG644" i="8"/>
  <c r="AG841" i="8"/>
  <c r="R1028" i="8"/>
  <c r="AM1007" i="8" s="1"/>
  <c r="G264" i="23" s="1"/>
  <c r="R1714" i="8"/>
  <c r="AM1695" i="8" s="1"/>
  <c r="AG400" i="8"/>
  <c r="AG87" i="8"/>
  <c r="AG416" i="8"/>
  <c r="R1263" i="8"/>
  <c r="AM1244" i="8" s="1"/>
  <c r="AG712" i="8"/>
  <c r="AG980" i="8"/>
  <c r="AG961" i="8" s="1"/>
  <c r="AH961" i="8" s="1"/>
  <c r="AG1003" i="8"/>
  <c r="AG984" i="8" s="1"/>
  <c r="AH984" i="8" s="1"/>
  <c r="R1902" i="8"/>
  <c r="AM1883" i="8" s="1"/>
  <c r="R1827" i="8"/>
  <c r="AM1808" i="8" s="1"/>
  <c r="R1526" i="8"/>
  <c r="AM1507" i="8" s="1"/>
  <c r="T1678" i="8"/>
  <c r="E1674" i="8" s="1"/>
  <c r="F1674" i="8" s="1"/>
  <c r="T1765" i="8"/>
  <c r="E1761" i="8" s="1"/>
  <c r="AG628" i="8"/>
  <c r="R1317" i="8"/>
  <c r="AM1298" i="8" s="1"/>
  <c r="R1179" i="8"/>
  <c r="AM1160" i="8" s="1"/>
  <c r="R1338" i="8"/>
  <c r="AM1319" i="8" s="1"/>
  <c r="AG1791" i="8"/>
  <c r="T1599" i="8"/>
  <c r="E1595" i="8" s="1"/>
  <c r="R1881" i="8"/>
  <c r="AM1862" i="8" s="1"/>
  <c r="AG1678" i="8"/>
  <c r="T1256" i="8"/>
  <c r="E1252" i="8" s="1"/>
  <c r="F1252" i="8" s="1"/>
  <c r="T368" i="8"/>
  <c r="E364" i="8" s="1"/>
  <c r="R1580" i="8"/>
  <c r="AM1561" i="8" s="1"/>
  <c r="R1221" i="8"/>
  <c r="AM1202" i="8" s="1"/>
  <c r="R1923" i="8"/>
  <c r="AM1904" i="8" s="1"/>
  <c r="T1026" i="8"/>
  <c r="AG1007" i="8"/>
  <c r="AH1007" i="8" s="1"/>
  <c r="R1434" i="8"/>
  <c r="AM1415" i="8" s="1"/>
  <c r="T1177" i="8"/>
  <c r="E1173" i="8" s="1"/>
  <c r="T308" i="8"/>
  <c r="E304" i="8" s="1"/>
  <c r="AG432" i="8"/>
  <c r="R1413" i="8"/>
  <c r="AM1394" i="8" s="1"/>
  <c r="AG260" i="8"/>
  <c r="AG1911" i="8"/>
  <c r="AG1904" i="8" s="1"/>
  <c r="R1735" i="8"/>
  <c r="AM1716" i="8" s="1"/>
  <c r="T1406" i="8"/>
  <c r="E1402" i="8" s="1"/>
  <c r="F1402" i="8" s="1"/>
  <c r="AG572" i="8"/>
  <c r="AG1815" i="8"/>
  <c r="AG1808" i="8" s="1"/>
  <c r="T1357" i="8"/>
  <c r="E1353" i="8" s="1"/>
  <c r="T980" i="8"/>
  <c r="R1622" i="8"/>
  <c r="AM1603" i="8" s="1"/>
  <c r="R1097" i="8"/>
  <c r="AM1079" i="8" s="1"/>
  <c r="G272" i="23" s="1"/>
  <c r="AG1603" i="8"/>
  <c r="AH1603" i="8" s="1"/>
  <c r="T1193" i="8"/>
  <c r="E1189" i="8" s="1"/>
  <c r="F1189" i="8" s="1"/>
  <c r="AG1095" i="8"/>
  <c r="AG1079" i="8" s="1"/>
  <c r="AG1846" i="8"/>
  <c r="AG1890" i="8"/>
  <c r="AG1883" i="8" s="1"/>
  <c r="AG1486" i="8"/>
  <c r="AH1486" i="8" s="1"/>
  <c r="T292" i="8"/>
  <c r="E288" i="8" s="1"/>
  <c r="AG352" i="8"/>
  <c r="T1090" i="8"/>
  <c r="T1911" i="8"/>
  <c r="E1907" i="8" s="1"/>
  <c r="F1907" i="8" s="1"/>
  <c r="T1744" i="8"/>
  <c r="E1740" i="8" s="1"/>
  <c r="F1740" i="8" s="1"/>
  <c r="T1879" i="8"/>
  <c r="E1875" i="8" s="1"/>
  <c r="R959" i="8"/>
  <c r="AM938" i="8" s="1"/>
  <c r="G261" i="23" s="1"/>
  <c r="T841" i="8"/>
  <c r="T1683" i="8"/>
  <c r="E1679" i="8" s="1"/>
  <c r="R1664" i="8"/>
  <c r="AM1645" i="8" s="1"/>
  <c r="T1272" i="8"/>
  <c r="E1268" i="8" s="1"/>
  <c r="F1268" i="8" s="1"/>
  <c r="T328" i="8"/>
  <c r="E324" i="8" s="1"/>
  <c r="T1048" i="8"/>
  <c r="E1034" i="8" s="1"/>
  <c r="AG171" i="8"/>
  <c r="AG1251" i="8"/>
  <c r="AG1244" i="8" s="1"/>
  <c r="AH1244" i="8" s="1"/>
  <c r="AG1707" i="8"/>
  <c r="AG1695" i="8" s="1"/>
  <c r="AH1695" i="8" s="1"/>
  <c r="T864" i="8"/>
  <c r="I258" i="23" s="1"/>
  <c r="R1944" i="8"/>
  <c r="AM1925" i="8" s="1"/>
  <c r="R1359" i="8"/>
  <c r="AM1340" i="8" s="1"/>
  <c r="R1455" i="8"/>
  <c r="AM1436" i="8" s="1"/>
  <c r="R1158" i="8"/>
  <c r="T1469" i="8"/>
  <c r="E1465" i="8" s="1"/>
  <c r="F1465" i="8" s="1"/>
  <c r="T1453" i="8"/>
  <c r="E1449" i="8" s="1"/>
  <c r="T957" i="8"/>
  <c r="T1251" i="8"/>
  <c r="E1247" i="8" s="1"/>
  <c r="T1448" i="8"/>
  <c r="E1444" i="8" s="1"/>
  <c r="F1444" i="8" s="1"/>
  <c r="R1777" i="8"/>
  <c r="AM1758" i="8" s="1"/>
  <c r="R1601" i="8"/>
  <c r="AM1582" i="8" s="1"/>
  <c r="AG845" i="8"/>
  <c r="AH845" i="8" s="1"/>
  <c r="R1643" i="8"/>
  <c r="AM1624" i="8" s="1"/>
  <c r="T1702" i="8"/>
  <c r="E1698" i="8" s="1"/>
  <c r="F1698" i="8" s="1"/>
  <c r="AG556" i="8"/>
  <c r="R1505" i="8"/>
  <c r="AM1486" i="8" s="1"/>
  <c r="AG938" i="8"/>
  <c r="AH938" i="8" s="1"/>
  <c r="AG464" i="8"/>
  <c r="R1200" i="8"/>
  <c r="AM1181" i="8" s="1"/>
  <c r="T1578" i="8"/>
  <c r="E1574" i="8" s="1"/>
  <c r="AG448" i="8"/>
  <c r="R1284" i="8"/>
  <c r="AM1265" i="8" s="1"/>
  <c r="R1242" i="8"/>
  <c r="AM1223" i="8" s="1"/>
  <c r="T934" i="8"/>
  <c r="T1594" i="8"/>
  <c r="E1590" i="8" s="1"/>
  <c r="F1590" i="8" s="1"/>
  <c r="T1326" i="8"/>
  <c r="E1322" i="8" s="1"/>
  <c r="F1322" i="8" s="1"/>
  <c r="T1519" i="8"/>
  <c r="E1515" i="8" s="1"/>
  <c r="F1515" i="8" s="1"/>
  <c r="AG1223" i="8"/>
  <c r="AH1223" i="8" s="1"/>
  <c r="AG1160" i="8"/>
  <c r="AH1160" i="8" s="1"/>
  <c r="T1219" i="8"/>
  <c r="E1215" i="8" s="1"/>
  <c r="T1235" i="8"/>
  <c r="E1231" i="8" s="1"/>
  <c r="F1231" i="8" s="1"/>
  <c r="T1432" i="8"/>
  <c r="E1428" i="8" s="1"/>
  <c r="T1707" i="8"/>
  <c r="E1703" i="8" s="1"/>
  <c r="F1703" i="8" s="1"/>
  <c r="AG1319" i="8"/>
  <c r="AH1319" i="8" s="1"/>
  <c r="T1620" i="8"/>
  <c r="E1616" i="8" s="1"/>
  <c r="T1846" i="8"/>
  <c r="E1842" i="8" s="1"/>
  <c r="T1631" i="8"/>
  <c r="E1627" i="8" s="1"/>
  <c r="F1627" i="8" s="1"/>
  <c r="T1791" i="8"/>
  <c r="E1787" i="8" s="1"/>
  <c r="F1787" i="8" s="1"/>
  <c r="T1841" i="8"/>
  <c r="E1837" i="8" s="1"/>
  <c r="F1837" i="8" s="1"/>
  <c r="T1712" i="8"/>
  <c r="E1708" i="8" s="1"/>
  <c r="T1209" i="8"/>
  <c r="E1205" i="8" s="1"/>
  <c r="F1205" i="8" s="1"/>
  <c r="T1728" i="8"/>
  <c r="E1724" i="8" s="1"/>
  <c r="F1724" i="8" s="1"/>
  <c r="T1796" i="8"/>
  <c r="E1792" i="8" s="1"/>
  <c r="AG1925" i="8"/>
  <c r="AH1925" i="8" s="1"/>
  <c r="T802" i="8"/>
  <c r="T1589" i="8"/>
  <c r="T859" i="8"/>
  <c r="H258" i="23" s="1"/>
  <c r="T243" i="8"/>
  <c r="E239" i="8" s="1"/>
  <c r="AG1415" i="8"/>
  <c r="AH1415" i="8" s="1"/>
  <c r="T1146" i="8"/>
  <c r="E1142" i="8" s="1"/>
  <c r="T1310" i="8"/>
  <c r="E1306" i="8" s="1"/>
  <c r="F1306" i="8" s="1"/>
  <c r="T1503" i="8"/>
  <c r="E1499" i="8" s="1"/>
  <c r="T1890" i="8"/>
  <c r="E1886" i="8" s="1"/>
  <c r="F1886" i="8" s="1"/>
  <c r="T1733" i="8"/>
  <c r="E1729" i="8" s="1"/>
  <c r="T1921" i="8"/>
  <c r="E1917" i="8" s="1"/>
  <c r="T1749" i="8"/>
  <c r="E1745" i="8" s="1"/>
  <c r="F1745" i="8" s="1"/>
  <c r="T1198" i="8"/>
  <c r="E1194" i="8" s="1"/>
  <c r="T1240" i="8"/>
  <c r="E1236" i="8" s="1"/>
  <c r="T1820" i="8"/>
  <c r="E1816" i="8" s="1"/>
  <c r="F1816" i="8" s="1"/>
  <c r="T1610" i="8"/>
  <c r="E1606" i="8" s="1"/>
  <c r="T712" i="8"/>
  <c r="E708" i="8" s="1"/>
  <c r="T1942" i="8"/>
  <c r="E1938" i="8" s="1"/>
  <c r="T187" i="8"/>
  <c r="E183" i="8" s="1"/>
  <c r="T87" i="8"/>
  <c r="E83" i="8" s="1"/>
  <c r="T1916" i="8"/>
  <c r="E1912" i="8" s="1"/>
  <c r="F1912" i="8" s="1"/>
  <c r="T1073" i="8"/>
  <c r="T592" i="8"/>
  <c r="E588" i="8" s="1"/>
  <c r="T728" i="8"/>
  <c r="E724" i="8" s="1"/>
  <c r="T1214" i="8"/>
  <c r="E1210" i="8" s="1"/>
  <c r="F1210" i="8" s="1"/>
  <c r="T1411" i="8"/>
  <c r="E1407" i="8" s="1"/>
  <c r="T1895" i="8"/>
  <c r="E1891" i="8" s="1"/>
  <c r="F1891" i="8" s="1"/>
  <c r="T1636" i="8"/>
  <c r="E1632" i="8" s="1"/>
  <c r="F1632" i="8" s="1"/>
  <c r="T1815" i="8"/>
  <c r="T1869" i="8"/>
  <c r="T169" i="1"/>
  <c r="T384" i="8"/>
  <c r="E380" i="8" s="1"/>
  <c r="AG1758" i="8"/>
  <c r="T464" i="8"/>
  <c r="E460" i="8" s="1"/>
  <c r="T39" i="8"/>
  <c r="T1086" i="8"/>
  <c r="H272" i="23" s="1"/>
  <c r="T1156" i="8"/>
  <c r="E1152" i="8" s="1"/>
  <c r="T1932" i="8"/>
  <c r="T952" i="8"/>
  <c r="H261" i="23" s="1"/>
  <c r="T608" i="8"/>
  <c r="E604" i="8" s="1"/>
  <c r="T1230" i="8"/>
  <c r="T1427" i="8"/>
  <c r="E1423" i="8" s="1"/>
  <c r="F1423" i="8" s="1"/>
  <c r="T754" i="8"/>
  <c r="T1151" i="8"/>
  <c r="E1147" i="8" s="1"/>
  <c r="F1147" i="8" s="1"/>
  <c r="T1315" i="8"/>
  <c r="E1311" i="8" s="1"/>
  <c r="T1652" i="8"/>
  <c r="T227" i="8"/>
  <c r="E223" i="8" s="1"/>
  <c r="AG1582" i="8"/>
  <c r="T448" i="8"/>
  <c r="E444" i="8" s="1"/>
  <c r="T1172" i="8"/>
  <c r="E1168" i="8" s="1"/>
  <c r="F1168" i="8" s="1"/>
  <c r="T1336" i="8"/>
  <c r="E1332" i="8" s="1"/>
  <c r="T744" i="8"/>
  <c r="T975" i="8"/>
  <c r="H262" i="23" s="1"/>
  <c r="T1261" i="8"/>
  <c r="E1257" i="8" s="1"/>
  <c r="T1662" i="8"/>
  <c r="E1658" i="8" s="1"/>
  <c r="T628" i="8"/>
  <c r="E624" i="8" s="1"/>
  <c r="T1443" i="8"/>
  <c r="T1167" i="8"/>
  <c r="T1331" i="8"/>
  <c r="E1327" i="8" s="1"/>
  <c r="F1327" i="8" s="1"/>
  <c r="T1524" i="8"/>
  <c r="E1520" i="8" s="1"/>
  <c r="T171" i="8"/>
  <c r="E167" i="8" s="1"/>
  <c r="AG1181" i="8"/>
  <c r="AG1298" i="8"/>
  <c r="AG1265" i="8"/>
  <c r="T432" i="8"/>
  <c r="E428" i="8" s="1"/>
  <c r="T71" i="8"/>
  <c r="E67" i="8" s="1"/>
  <c r="T1003" i="8"/>
  <c r="T1874" i="8"/>
  <c r="E1870" i="8" s="1"/>
  <c r="F1870" i="8" s="1"/>
  <c r="T1188" i="8"/>
  <c r="T1352" i="8"/>
  <c r="E1348" i="8" s="1"/>
  <c r="F1348" i="8" s="1"/>
  <c r="T1545" i="8"/>
  <c r="E1541" i="8" s="1"/>
  <c r="T998" i="8"/>
  <c r="H263" i="23" s="1"/>
  <c r="T1095" i="8"/>
  <c r="T1277" i="8"/>
  <c r="E1273" i="8" s="1"/>
  <c r="F1273" i="8" s="1"/>
  <c r="T1474" i="8"/>
  <c r="E1470" i="8" s="1"/>
  <c r="T504" i="8"/>
  <c r="E500" i="8" s="1"/>
  <c r="T644" i="8"/>
  <c r="E640" i="8" s="1"/>
  <c r="T1723" i="8"/>
  <c r="T1347" i="8"/>
  <c r="T1540" i="8"/>
  <c r="E1536" i="8" s="1"/>
  <c r="F1536" i="8" s="1"/>
  <c r="T1754" i="8"/>
  <c r="E1750" i="8" s="1"/>
  <c r="T1937" i="8"/>
  <c r="E1933" i="8" s="1"/>
  <c r="F1933" i="8" s="1"/>
  <c r="AG1645" i="8"/>
  <c r="T572" i="8"/>
  <c r="E568" i="8" s="1"/>
  <c r="T118" i="8"/>
  <c r="T400" i="8"/>
  <c r="E396" i="8" s="1"/>
  <c r="T260" i="8"/>
  <c r="E256" i="8" s="1"/>
  <c r="AG1139" i="8"/>
  <c r="AG1340" i="8"/>
  <c r="AG1624" i="8"/>
  <c r="AG1862" i="8"/>
  <c r="T416" i="8"/>
  <c r="E412" i="8" s="1"/>
  <c r="T1900" i="8"/>
  <c r="E1896" i="8" s="1"/>
  <c r="T1401" i="8"/>
  <c r="T1573" i="8"/>
  <c r="E1569" i="8" s="1"/>
  <c r="F1569" i="8" s="1"/>
  <c r="T1021" i="8"/>
  <c r="H264" i="23" s="1"/>
  <c r="T1305" i="8"/>
  <c r="T1498" i="8"/>
  <c r="E1494" i="8" s="1"/>
  <c r="F1494" i="8" s="1"/>
  <c r="T520" i="8"/>
  <c r="E516" i="8" s="1"/>
  <c r="T660" i="8"/>
  <c r="E656" i="8" s="1"/>
  <c r="T1568" i="8"/>
  <c r="T1493" i="8"/>
  <c r="AG1202" i="8"/>
  <c r="T211" i="8"/>
  <c r="E207" i="8" s="1"/>
  <c r="AG1394" i="8"/>
  <c r="AG1507" i="8"/>
  <c r="T104" i="8"/>
  <c r="E100" i="8" s="1"/>
  <c r="T1514" i="8"/>
  <c r="T536" i="8"/>
  <c r="E532" i="8" s="1"/>
  <c r="T676" i="8"/>
  <c r="E672" i="8" s="1"/>
  <c r="T1641" i="8"/>
  <c r="E1637" i="8" s="1"/>
  <c r="T352" i="8"/>
  <c r="E348" i="8" s="1"/>
  <c r="T1422" i="8"/>
  <c r="AG1716" i="8"/>
  <c r="AG1436" i="8"/>
  <c r="AG1561" i="8"/>
  <c r="T55" i="8"/>
  <c r="E51" i="8" s="1"/>
  <c r="T1282" i="8"/>
  <c r="E1278" i="8" s="1"/>
  <c r="T556" i="8"/>
  <c r="E552" i="8" s="1"/>
  <c r="T696" i="8"/>
  <c r="E692" i="8" s="1"/>
  <c r="T1770" i="8"/>
  <c r="E1766" i="8" s="1"/>
  <c r="F1766" i="8" s="1"/>
  <c r="T1615" i="8"/>
  <c r="E1611" i="8" s="1"/>
  <c r="F1611" i="8" s="1"/>
  <c r="T1775" i="8"/>
  <c r="E1771" i="8" s="1"/>
  <c r="T1657" i="8"/>
  <c r="E1653" i="8" s="1"/>
  <c r="F1653" i="8" s="1"/>
  <c r="T1825" i="8"/>
  <c r="E1821" i="8" s="1"/>
  <c r="E883" i="8" l="1"/>
  <c r="I259" i="23"/>
  <c r="AH868" i="8"/>
  <c r="T889" i="8"/>
  <c r="E871" i="8"/>
  <c r="T2057" i="8"/>
  <c r="AJ2057" i="8" s="1"/>
  <c r="T2056" i="8"/>
  <c r="AJ2056" i="8" s="1"/>
  <c r="AM1139" i="8"/>
  <c r="T2026" i="8"/>
  <c r="AN2026" i="8"/>
  <c r="AO2026" i="8" s="1"/>
  <c r="AN1961" i="8"/>
  <c r="AO1961" i="8" s="1"/>
  <c r="T1961" i="8"/>
  <c r="E1961" i="8"/>
  <c r="AN1981" i="8"/>
  <c r="AO1981" i="8" s="1"/>
  <c r="T1981" i="8"/>
  <c r="E1981" i="8"/>
  <c r="AN2016" i="8"/>
  <c r="AO2016" i="8" s="1"/>
  <c r="T2016" i="8"/>
  <c r="E2016" i="8"/>
  <c r="AN1991" i="8"/>
  <c r="AO1991" i="8" s="1"/>
  <c r="T1991" i="8"/>
  <c r="E1991" i="8"/>
  <c r="AN1971" i="8"/>
  <c r="AO1971" i="8" s="1"/>
  <c r="T1971" i="8"/>
  <c r="E1971" i="8"/>
  <c r="F2026" i="8"/>
  <c r="AG2026" i="8"/>
  <c r="AI2026" i="8" s="1"/>
  <c r="AJ2026" i="8" s="1"/>
  <c r="Q138" i="11"/>
  <c r="A140" i="11" s="1"/>
  <c r="E1063" i="8"/>
  <c r="I268" i="23"/>
  <c r="E1087" i="8"/>
  <c r="F1087" i="8" s="1"/>
  <c r="I272" i="23"/>
  <c r="E1107" i="8"/>
  <c r="I273" i="23"/>
  <c r="E860" i="8"/>
  <c r="E929" i="8"/>
  <c r="I260" i="23"/>
  <c r="E953" i="8"/>
  <c r="I261" i="23"/>
  <c r="E837" i="8"/>
  <c r="I257" i="23"/>
  <c r="E848" i="8"/>
  <c r="E976" i="8"/>
  <c r="I262" i="23"/>
  <c r="E999" i="8"/>
  <c r="I263" i="23"/>
  <c r="E798" i="8"/>
  <c r="I256" i="23"/>
  <c r="E1022" i="8"/>
  <c r="I264" i="23"/>
  <c r="T1068" i="8"/>
  <c r="E1053" i="8"/>
  <c r="F1034" i="8"/>
  <c r="T1034" i="8" s="1"/>
  <c r="E267" i="23"/>
  <c r="F267" i="23" s="1"/>
  <c r="Q121" i="11"/>
  <c r="Q100" i="11"/>
  <c r="A112" i="11" s="1"/>
  <c r="Q90" i="11"/>
  <c r="A96" i="11" s="1"/>
  <c r="Q77" i="11"/>
  <c r="Q66" i="11"/>
  <c r="Q54" i="11"/>
  <c r="Q43" i="11"/>
  <c r="Q32" i="11"/>
  <c r="Q19" i="11"/>
  <c r="R25" i="1"/>
  <c r="R24" i="1"/>
  <c r="T1601" i="8"/>
  <c r="T1582" i="8" s="1"/>
  <c r="AN1034" i="8"/>
  <c r="AG1034" i="8"/>
  <c r="AI1034" i="8" s="1"/>
  <c r="AJ1034" i="8" s="1"/>
  <c r="T866" i="8"/>
  <c r="AN845" i="8" s="1"/>
  <c r="T1714" i="8"/>
  <c r="AN1695" i="8" s="1"/>
  <c r="AO1695" i="8" s="1"/>
  <c r="E1695" i="8"/>
  <c r="F1695" i="8" s="1"/>
  <c r="E1585" i="8"/>
  <c r="E1582" i="8" s="1"/>
  <c r="E1904" i="8"/>
  <c r="F1904" i="8" s="1"/>
  <c r="T1902" i="8"/>
  <c r="AN1883" i="8" s="1"/>
  <c r="AO1883" i="8" s="1"/>
  <c r="E1737" i="8"/>
  <c r="F1737" i="8" s="1"/>
  <c r="T1756" i="8"/>
  <c r="AN1737" i="8" s="1"/>
  <c r="AO1737" i="8" s="1"/>
  <c r="T1284" i="8"/>
  <c r="T1265" i="8" s="1"/>
  <c r="T1923" i="8"/>
  <c r="T1904" i="8" s="1"/>
  <c r="E1202" i="8"/>
  <c r="AI1202" i="8" s="1"/>
  <c r="T1221" i="8"/>
  <c r="T1202" i="8" s="1"/>
  <c r="T1643" i="8"/>
  <c r="AN1624" i="8" s="1"/>
  <c r="AO1624" i="8" s="1"/>
  <c r="E1319" i="8"/>
  <c r="AI1319" i="8" s="1"/>
  <c r="T173" i="11"/>
  <c r="T2099" i="8" s="1"/>
  <c r="T132" i="1" s="1"/>
  <c r="S132" i="1" s="1"/>
  <c r="R173" i="11"/>
  <c r="R2099" i="8" s="1"/>
  <c r="R132" i="1" s="1"/>
  <c r="T1359" i="8"/>
  <c r="E1343" i="8"/>
  <c r="T1005" i="8"/>
  <c r="E987" i="8"/>
  <c r="E1139" i="8"/>
  <c r="F1142" i="8"/>
  <c r="T1338" i="8"/>
  <c r="AH1079" i="8"/>
  <c r="AH1507" i="8"/>
  <c r="AH1624" i="8"/>
  <c r="T1735" i="8"/>
  <c r="E1719" i="8"/>
  <c r="T982" i="8"/>
  <c r="E964" i="8"/>
  <c r="T746" i="8"/>
  <c r="AN746" i="8"/>
  <c r="AO746" i="8" s="1"/>
  <c r="E746" i="8"/>
  <c r="T1263" i="8"/>
  <c r="E35" i="8"/>
  <c r="T1881" i="8"/>
  <c r="E1865" i="8"/>
  <c r="AH1883" i="8"/>
  <c r="AH1436" i="8"/>
  <c r="T1434" i="8"/>
  <c r="E1418" i="8"/>
  <c r="E1244" i="8"/>
  <c r="F1247" i="8"/>
  <c r="T1526" i="8"/>
  <c r="E1510" i="8"/>
  <c r="T1317" i="8"/>
  <c r="E1301" i="8"/>
  <c r="AH1340" i="8"/>
  <c r="T1200" i="8"/>
  <c r="E1184" i="8"/>
  <c r="T736" i="8"/>
  <c r="AN736" i="8"/>
  <c r="AO736" i="8" s="1"/>
  <c r="E736" i="8"/>
  <c r="T1097" i="8"/>
  <c r="E1082" i="8"/>
  <c r="AH1758" i="8"/>
  <c r="T1158" i="8"/>
  <c r="T1242" i="8"/>
  <c r="E1226" i="8"/>
  <c r="AH1265" i="8"/>
  <c r="AH1808" i="8"/>
  <c r="AH1716" i="8"/>
  <c r="F1761" i="8"/>
  <c r="E1758" i="8"/>
  <c r="AH1394" i="8"/>
  <c r="T1580" i="8"/>
  <c r="E1564" i="8"/>
  <c r="E1603" i="8"/>
  <c r="F1606" i="8"/>
  <c r="T1827" i="8"/>
  <c r="E1811" i="8"/>
  <c r="T1070" i="8"/>
  <c r="AN1070" i="8"/>
  <c r="AO1070" i="8" s="1"/>
  <c r="E1070" i="8"/>
  <c r="AH1202" i="8"/>
  <c r="AN264" i="8"/>
  <c r="E264" i="8"/>
  <c r="E51" i="23" s="1"/>
  <c r="F51" i="23" s="1"/>
  <c r="T1505" i="8"/>
  <c r="E1489" i="8"/>
  <c r="AH1862" i="8"/>
  <c r="AH1181" i="8"/>
  <c r="AH1139" i="8"/>
  <c r="T1179" i="8"/>
  <c r="E1163" i="8"/>
  <c r="AH1561" i="8"/>
  <c r="T1777" i="8"/>
  <c r="T1413" i="8"/>
  <c r="E1397" i="8"/>
  <c r="AH1645" i="8"/>
  <c r="AH1298" i="8"/>
  <c r="E1883" i="8"/>
  <c r="T1622" i="8"/>
  <c r="T1455" i="8"/>
  <c r="E1439" i="8"/>
  <c r="T959" i="8"/>
  <c r="E941" i="8"/>
  <c r="AH1904" i="8"/>
  <c r="E1624" i="8"/>
  <c r="T1028" i="8"/>
  <c r="E1010" i="8"/>
  <c r="AN108" i="8"/>
  <c r="E108" i="8"/>
  <c r="E38" i="23" s="1"/>
  <c r="F38" i="23" s="1"/>
  <c r="E1091" i="8"/>
  <c r="AH1582" i="8"/>
  <c r="T1664" i="8"/>
  <c r="E1648" i="8"/>
  <c r="T1944" i="8"/>
  <c r="E1928" i="8"/>
  <c r="E1265" i="8"/>
  <c r="E845" i="8" l="1"/>
  <c r="E259" i="23" s="1"/>
  <c r="F259" i="23" s="1"/>
  <c r="E868" i="8"/>
  <c r="F871" i="8"/>
  <c r="AN868" i="8"/>
  <c r="AO868" i="8" s="1"/>
  <c r="F1971" i="8"/>
  <c r="AG1971" i="8"/>
  <c r="AI1971" i="8" s="1"/>
  <c r="AJ1971" i="8" s="1"/>
  <c r="AG1981" i="8"/>
  <c r="AI1981" i="8" s="1"/>
  <c r="AJ1981" i="8" s="1"/>
  <c r="F1981" i="8"/>
  <c r="AH2026" i="8"/>
  <c r="AK2026" i="8"/>
  <c r="AG1991" i="8"/>
  <c r="AI1991" i="8" s="1"/>
  <c r="AJ1991" i="8" s="1"/>
  <c r="F1991" i="8"/>
  <c r="F1961" i="8"/>
  <c r="AG1961" i="8"/>
  <c r="F2016" i="8"/>
  <c r="AG2016" i="8"/>
  <c r="AI2016" i="8" s="1"/>
  <c r="AJ2016" i="8" s="1"/>
  <c r="R140" i="11"/>
  <c r="R142" i="11" s="1"/>
  <c r="T140" i="11"/>
  <c r="T142" i="11" s="1"/>
  <c r="T138" i="11" s="1"/>
  <c r="S2039" i="8" s="1"/>
  <c r="T2039" i="8" s="1"/>
  <c r="T2041" i="8" s="1"/>
  <c r="AN2036" i="8" s="1"/>
  <c r="A50" i="11"/>
  <c r="T50" i="11" s="1"/>
  <c r="A21" i="11"/>
  <c r="A22" i="11"/>
  <c r="A27" i="11"/>
  <c r="A28" i="11"/>
  <c r="F848" i="8"/>
  <c r="F1053" i="8"/>
  <c r="E1050" i="8"/>
  <c r="E268" i="23" s="1"/>
  <c r="F268" i="23" s="1"/>
  <c r="AN1050" i="8"/>
  <c r="AO1050" i="8" s="1"/>
  <c r="AO1034" i="8"/>
  <c r="H267" i="23"/>
  <c r="A114" i="11"/>
  <c r="R114" i="11" s="1"/>
  <c r="AO108" i="8"/>
  <c r="H38" i="23"/>
  <c r="AO264" i="8"/>
  <c r="H51" i="23"/>
  <c r="AO845" i="8"/>
  <c r="A85" i="11"/>
  <c r="A86" i="11"/>
  <c r="A93" i="11"/>
  <c r="T93" i="11" s="1"/>
  <c r="A84" i="11"/>
  <c r="R84" i="11" s="1"/>
  <c r="A83" i="11"/>
  <c r="T83" i="11" s="1"/>
  <c r="A73" i="11"/>
  <c r="T73" i="11" s="1"/>
  <c r="A130" i="11"/>
  <c r="T130" i="11" s="1"/>
  <c r="A127" i="11"/>
  <c r="T127" i="11" s="1"/>
  <c r="A129" i="11"/>
  <c r="T129" i="11" s="1"/>
  <c r="A126" i="11"/>
  <c r="R126" i="11" s="1"/>
  <c r="A124" i="11"/>
  <c r="R124" i="11" s="1"/>
  <c r="A123" i="11"/>
  <c r="T123" i="11" s="1"/>
  <c r="A128" i="11"/>
  <c r="T128" i="11" s="1"/>
  <c r="A134" i="11"/>
  <c r="T134" i="11" s="1"/>
  <c r="A133" i="11"/>
  <c r="R133" i="11" s="1"/>
  <c r="A132" i="11"/>
  <c r="R132" i="11" s="1"/>
  <c r="A131" i="11"/>
  <c r="R131" i="11" s="1"/>
  <c r="A125" i="11"/>
  <c r="R125" i="11" s="1"/>
  <c r="A92" i="11"/>
  <c r="T92" i="11" s="1"/>
  <c r="A95" i="11"/>
  <c r="T95" i="11" s="1"/>
  <c r="A62" i="11"/>
  <c r="T62" i="11" s="1"/>
  <c r="A56" i="11"/>
  <c r="T56" i="11" s="1"/>
  <c r="A60" i="11"/>
  <c r="R60" i="11" s="1"/>
  <c r="A70" i="11"/>
  <c r="R70" i="11" s="1"/>
  <c r="A71" i="11"/>
  <c r="R71" i="11" s="1"/>
  <c r="A72" i="11"/>
  <c r="R72" i="11" s="1"/>
  <c r="A69" i="11"/>
  <c r="R69" i="11" s="1"/>
  <c r="A68" i="11"/>
  <c r="R68" i="11" s="1"/>
  <c r="A94" i="11"/>
  <c r="R94" i="11" s="1"/>
  <c r="A46" i="11"/>
  <c r="R46" i="11" s="1"/>
  <c r="A45" i="11"/>
  <c r="T45" i="11" s="1"/>
  <c r="A48" i="11"/>
  <c r="R48" i="11" s="1"/>
  <c r="A47" i="11"/>
  <c r="R47" i="11" s="1"/>
  <c r="A49" i="11"/>
  <c r="R49" i="11" s="1"/>
  <c r="A59" i="11"/>
  <c r="R59" i="11" s="1"/>
  <c r="A58" i="11"/>
  <c r="R58" i="11" s="1"/>
  <c r="A57" i="11"/>
  <c r="R57" i="11" s="1"/>
  <c r="A61" i="11"/>
  <c r="R61" i="11" s="1"/>
  <c r="A39" i="11"/>
  <c r="A34" i="11"/>
  <c r="T34" i="11" s="1"/>
  <c r="A38" i="11"/>
  <c r="R38" i="11" s="1"/>
  <c r="A35" i="11"/>
  <c r="R35" i="11" s="1"/>
  <c r="A36" i="11"/>
  <c r="R36" i="11" s="1"/>
  <c r="A37" i="11"/>
  <c r="R37" i="11" s="1"/>
  <c r="A103" i="11"/>
  <c r="T103" i="11" s="1"/>
  <c r="A106" i="11"/>
  <c r="R106" i="11" s="1"/>
  <c r="A108" i="11"/>
  <c r="R108" i="11" s="1"/>
  <c r="A104" i="11"/>
  <c r="T104" i="11" s="1"/>
  <c r="A107" i="11"/>
  <c r="R107" i="11" s="1"/>
  <c r="A115" i="11"/>
  <c r="T115" i="11" s="1"/>
  <c r="A111" i="11"/>
  <c r="R111" i="11" s="1"/>
  <c r="A113" i="11"/>
  <c r="R113" i="11" s="1"/>
  <c r="A110" i="11"/>
  <c r="T110" i="11" s="1"/>
  <c r="A116" i="11"/>
  <c r="T116" i="11" s="1"/>
  <c r="A117" i="11"/>
  <c r="R117" i="11" s="1"/>
  <c r="A26" i="11"/>
  <c r="A25" i="11"/>
  <c r="A81" i="11"/>
  <c r="T81" i="11" s="1"/>
  <c r="A82" i="11"/>
  <c r="R82" i="11" s="1"/>
  <c r="A79" i="11"/>
  <c r="R79" i="11" s="1"/>
  <c r="A80" i="11"/>
  <c r="R80" i="11" s="1"/>
  <c r="A23" i="11"/>
  <c r="A24" i="11"/>
  <c r="R96" i="11"/>
  <c r="T96" i="11"/>
  <c r="AI1904" i="8"/>
  <c r="AJ1904" i="8" s="1"/>
  <c r="AN1582" i="8"/>
  <c r="AO1582" i="8" s="1"/>
  <c r="AI1695" i="8"/>
  <c r="AJ1695" i="8" s="1"/>
  <c r="T1624" i="8"/>
  <c r="AI1737" i="8"/>
  <c r="AJ1737" i="8" s="1"/>
  <c r="AH1034" i="8"/>
  <c r="T1695" i="8"/>
  <c r="T1883" i="8"/>
  <c r="AN1904" i="8"/>
  <c r="AO1904" i="8" s="1"/>
  <c r="AN1265" i="8"/>
  <c r="AO1265" i="8" s="1"/>
  <c r="T1737" i="8"/>
  <c r="F1585" i="8"/>
  <c r="F1202" i="8"/>
  <c r="E1204" i="8" s="1"/>
  <c r="AJ1202" i="8"/>
  <c r="AK1202" i="8"/>
  <c r="AN1202" i="8"/>
  <c r="AO1202" i="8" s="1"/>
  <c r="F1319" i="8"/>
  <c r="E1321" i="8" s="1"/>
  <c r="AN1925" i="8"/>
  <c r="AO1925" i="8" s="1"/>
  <c r="T1925" i="8"/>
  <c r="E1925" i="8"/>
  <c r="F1928" i="8"/>
  <c r="AN1007" i="8"/>
  <c r="AN1436" i="8"/>
  <c r="AO1436" i="8" s="1"/>
  <c r="T1436" i="8"/>
  <c r="E1394" i="8"/>
  <c r="F1397" i="8"/>
  <c r="F1582" i="8"/>
  <c r="AI1582" i="8"/>
  <c r="AN1079" i="8"/>
  <c r="E1298" i="8"/>
  <c r="F1301" i="8"/>
  <c r="F1418" i="8"/>
  <c r="E1415" i="8"/>
  <c r="AN961" i="8"/>
  <c r="AI1139" i="8"/>
  <c r="F1139" i="8"/>
  <c r="E984" i="8"/>
  <c r="E263" i="23" s="1"/>
  <c r="F263" i="23" s="1"/>
  <c r="F987" i="8"/>
  <c r="AN984" i="8"/>
  <c r="F1648" i="8"/>
  <c r="E1645" i="8"/>
  <c r="AI1624" i="8"/>
  <c r="F1624" i="8"/>
  <c r="AK1034" i="8"/>
  <c r="E1808" i="8"/>
  <c r="F1811" i="8"/>
  <c r="T1139" i="8"/>
  <c r="AN1139" i="8"/>
  <c r="AO1139" i="8" s="1"/>
  <c r="T1244" i="8"/>
  <c r="AN1244" i="8"/>
  <c r="AO1244" i="8" s="1"/>
  <c r="E1340" i="8"/>
  <c r="F1343" i="8"/>
  <c r="AJ1319" i="8"/>
  <c r="AK1319" i="8"/>
  <c r="F1750" i="8"/>
  <c r="E1739" i="8"/>
  <c r="T1298" i="8"/>
  <c r="AN1298" i="8"/>
  <c r="AO1298" i="8" s="1"/>
  <c r="F1244" i="8"/>
  <c r="AI1244" i="8"/>
  <c r="T1415" i="8"/>
  <c r="AN1415" i="8"/>
  <c r="AO1415" i="8" s="1"/>
  <c r="F1917" i="8"/>
  <c r="E1906" i="8"/>
  <c r="T1645" i="8"/>
  <c r="AN1645" i="8"/>
  <c r="AO1645" i="8" s="1"/>
  <c r="T1808" i="8"/>
  <c r="AN1808" i="8"/>
  <c r="AO1808" i="8" s="1"/>
  <c r="E1181" i="8"/>
  <c r="F1184" i="8"/>
  <c r="AG746" i="8"/>
  <c r="AI746" i="8" s="1"/>
  <c r="AJ746" i="8" s="1"/>
  <c r="F746" i="8"/>
  <c r="F1719" i="8"/>
  <c r="E1716" i="8"/>
  <c r="AN1340" i="8"/>
  <c r="AO1340" i="8" s="1"/>
  <c r="T1340" i="8"/>
  <c r="T1394" i="8"/>
  <c r="AN1394" i="8"/>
  <c r="AO1394" i="8" s="1"/>
  <c r="E938" i="8"/>
  <c r="E261" i="23" s="1"/>
  <c r="F261" i="23" s="1"/>
  <c r="F941" i="8"/>
  <c r="T1603" i="8"/>
  <c r="AN1603" i="8"/>
  <c r="AO1603" i="8" s="1"/>
  <c r="T1181" i="8"/>
  <c r="AN1181" i="8"/>
  <c r="AO1181" i="8" s="1"/>
  <c r="E1862" i="8"/>
  <c r="F1865" i="8"/>
  <c r="T1716" i="8"/>
  <c r="AN1716" i="8"/>
  <c r="AO1716" i="8" s="1"/>
  <c r="AI1265" i="8"/>
  <c r="F1265" i="8"/>
  <c r="E1697" i="8"/>
  <c r="F1708" i="8"/>
  <c r="F108" i="8"/>
  <c r="T108" i="8" s="1"/>
  <c r="AG108" i="8"/>
  <c r="AN938" i="8"/>
  <c r="F1883" i="8"/>
  <c r="AI1883" i="8"/>
  <c r="E1561" i="8"/>
  <c r="F1564" i="8"/>
  <c r="AI1758" i="8"/>
  <c r="F1758" i="8"/>
  <c r="E1223" i="8"/>
  <c r="F1226" i="8"/>
  <c r="T1862" i="8"/>
  <c r="AN1862" i="8"/>
  <c r="AO1862" i="8" s="1"/>
  <c r="T1758" i="8"/>
  <c r="AN1758" i="8"/>
  <c r="AO1758" i="8" s="1"/>
  <c r="E1160" i="8"/>
  <c r="F1163" i="8"/>
  <c r="F1489" i="8"/>
  <c r="E1486" i="8"/>
  <c r="T1561" i="8"/>
  <c r="AN1561" i="8"/>
  <c r="AO1561" i="8" s="1"/>
  <c r="AN1223" i="8"/>
  <c r="AO1223" i="8" s="1"/>
  <c r="T1223" i="8"/>
  <c r="E1507" i="8"/>
  <c r="F1510" i="8"/>
  <c r="E1007" i="8"/>
  <c r="E264" i="23" s="1"/>
  <c r="F264" i="23" s="1"/>
  <c r="F1010" i="8"/>
  <c r="E1436" i="8"/>
  <c r="F1439" i="8"/>
  <c r="AN1160" i="8"/>
  <c r="AO1160" i="8" s="1"/>
  <c r="T1160" i="8"/>
  <c r="T1486" i="8"/>
  <c r="AN1486" i="8"/>
  <c r="AO1486" i="8" s="1"/>
  <c r="AG264" i="8"/>
  <c r="AI264" i="8" s="1"/>
  <c r="AJ264" i="8" s="1"/>
  <c r="F264" i="8"/>
  <c r="T264" i="8" s="1"/>
  <c r="AG1070" i="8"/>
  <c r="AI1070" i="8" s="1"/>
  <c r="AJ1070" i="8" s="1"/>
  <c r="F1070" i="8"/>
  <c r="F1603" i="8"/>
  <c r="AI1603" i="8"/>
  <c r="E1079" i="8"/>
  <c r="E272" i="23" s="1"/>
  <c r="F272" i="23" s="1"/>
  <c r="F1082" i="8"/>
  <c r="AG736" i="8"/>
  <c r="F736" i="8"/>
  <c r="T1507" i="8"/>
  <c r="AN1507" i="8"/>
  <c r="AO1507" i="8" s="1"/>
  <c r="E961" i="8"/>
  <c r="E262" i="23" s="1"/>
  <c r="F262" i="23" s="1"/>
  <c r="F964" i="8"/>
  <c r="T1319" i="8"/>
  <c r="AN1319" i="8"/>
  <c r="AO1319" i="8" s="1"/>
  <c r="H423" i="23" l="1"/>
  <c r="F868" i="8"/>
  <c r="AI868" i="8"/>
  <c r="S1949" i="8"/>
  <c r="T1949" i="8" s="1"/>
  <c r="T1951" i="8" s="1"/>
  <c r="AN1946" i="8" s="1"/>
  <c r="S2004" i="8"/>
  <c r="T2004" i="8" s="1"/>
  <c r="T2006" i="8" s="1"/>
  <c r="AN2001" i="8" s="1"/>
  <c r="AH1961" i="8"/>
  <c r="AK1981" i="8"/>
  <c r="AH1981" i="8"/>
  <c r="AK2016" i="8"/>
  <c r="AH2016" i="8"/>
  <c r="AH1991" i="8"/>
  <c r="AK1991" i="8"/>
  <c r="AH1971" i="8"/>
  <c r="AK1971" i="8"/>
  <c r="AI1961" i="8"/>
  <c r="AJ1961" i="8" s="1"/>
  <c r="S1784" i="8"/>
  <c r="T1784" i="8" s="1"/>
  <c r="S1834" i="8"/>
  <c r="T1834" i="8" s="1"/>
  <c r="S1533" i="8"/>
  <c r="T1533" i="8" s="1"/>
  <c r="S1671" i="8"/>
  <c r="T1671" i="8" s="1"/>
  <c r="S1366" i="8"/>
  <c r="T1366" i="8" s="1"/>
  <c r="T1368" i="8" s="1"/>
  <c r="S1462" i="8"/>
  <c r="T1462" i="8" s="1"/>
  <c r="R138" i="11"/>
  <c r="Q2039" i="8" s="1"/>
  <c r="R2039" i="8" s="1"/>
  <c r="R2041" i="8" s="1"/>
  <c r="E142" i="11"/>
  <c r="F142" i="11" s="1"/>
  <c r="R50" i="11"/>
  <c r="R27" i="11"/>
  <c r="T27" i="11"/>
  <c r="R28" i="11"/>
  <c r="T28" i="11"/>
  <c r="AI845" i="8"/>
  <c r="AJ845" i="8" s="1"/>
  <c r="F845" i="8"/>
  <c r="T845" i="8" s="1"/>
  <c r="AI1050" i="8"/>
  <c r="F1050" i="8"/>
  <c r="T1050" i="8" s="1"/>
  <c r="T114" i="11"/>
  <c r="T112" i="11"/>
  <c r="R112" i="11"/>
  <c r="AO984" i="8"/>
  <c r="AO938" i="8"/>
  <c r="AO1079" i="8"/>
  <c r="AO961" i="8"/>
  <c r="AO1007" i="8"/>
  <c r="R73" i="11"/>
  <c r="R75" i="11" s="1"/>
  <c r="R66" i="11" s="1"/>
  <c r="R93" i="11"/>
  <c r="T158" i="11"/>
  <c r="T2084" i="8" s="1"/>
  <c r="T117" i="1" s="1"/>
  <c r="S117" i="1" s="1"/>
  <c r="R86" i="11"/>
  <c r="T86" i="11"/>
  <c r="R85" i="11"/>
  <c r="T85" i="11"/>
  <c r="T49" i="11"/>
  <c r="R92" i="11"/>
  <c r="T72" i="11"/>
  <c r="T69" i="11"/>
  <c r="T125" i="11"/>
  <c r="T47" i="11"/>
  <c r="T35" i="11"/>
  <c r="R95" i="11"/>
  <c r="T60" i="11"/>
  <c r="T131" i="11"/>
  <c r="R129" i="11"/>
  <c r="R159" i="11"/>
  <c r="R123" i="11"/>
  <c r="R163" i="11" s="1"/>
  <c r="R130" i="11"/>
  <c r="T46" i="11"/>
  <c r="T133" i="11"/>
  <c r="T57" i="11"/>
  <c r="T111" i="11"/>
  <c r="R104" i="11"/>
  <c r="T94" i="11"/>
  <c r="T98" i="11" s="1"/>
  <c r="T90" i="11" s="1"/>
  <c r="S285" i="8" s="1"/>
  <c r="T285" i="8" s="1"/>
  <c r="T287" i="8" s="1"/>
  <c r="T294" i="8" s="1"/>
  <c r="AN280" i="8" s="1"/>
  <c r="T132" i="11"/>
  <c r="R127" i="11"/>
  <c r="T70" i="11"/>
  <c r="T108" i="11"/>
  <c r="T117" i="11"/>
  <c r="T48" i="11"/>
  <c r="T71" i="11"/>
  <c r="T126" i="11"/>
  <c r="T58" i="11"/>
  <c r="T68" i="11"/>
  <c r="R56" i="11"/>
  <c r="T106" i="11"/>
  <c r="R134" i="11"/>
  <c r="T124" i="11"/>
  <c r="T163" i="11" s="1"/>
  <c r="T84" i="11"/>
  <c r="R103" i="11"/>
  <c r="R158" i="11" s="1"/>
  <c r="T36" i="11"/>
  <c r="R62" i="11"/>
  <c r="T59" i="11"/>
  <c r="R128" i="11"/>
  <c r="R45" i="11"/>
  <c r="T107" i="11"/>
  <c r="T37" i="11"/>
  <c r="T61" i="11"/>
  <c r="T38" i="11"/>
  <c r="R34" i="11"/>
  <c r="R110" i="11"/>
  <c r="R115" i="11"/>
  <c r="R116" i="11"/>
  <c r="T113" i="11"/>
  <c r="T39" i="11"/>
  <c r="R39" i="11"/>
  <c r="R26" i="11"/>
  <c r="T26" i="11"/>
  <c r="T82" i="11"/>
  <c r="R83" i="11"/>
  <c r="T80" i="11"/>
  <c r="T79" i="11"/>
  <c r="R81" i="11"/>
  <c r="AK1904" i="8"/>
  <c r="AK1695" i="8"/>
  <c r="R21" i="11"/>
  <c r="T21" i="11"/>
  <c r="R22" i="11"/>
  <c r="T22" i="11"/>
  <c r="R23" i="11"/>
  <c r="T23" i="11"/>
  <c r="R25" i="11"/>
  <c r="T25" i="11"/>
  <c r="R24" i="11"/>
  <c r="T24" i="11"/>
  <c r="AK1737" i="8"/>
  <c r="F1215" i="8"/>
  <c r="F1332" i="8"/>
  <c r="E1141" i="8"/>
  <c r="F1152" i="8"/>
  <c r="AJ1624" i="8"/>
  <c r="AK1624" i="8"/>
  <c r="AJ1139" i="8"/>
  <c r="AK1139" i="8"/>
  <c r="F1298" i="8"/>
  <c r="AI1298" i="8"/>
  <c r="AI1160" i="8"/>
  <c r="F1160" i="8"/>
  <c r="F1637" i="8"/>
  <c r="E1626" i="8"/>
  <c r="F1436" i="8"/>
  <c r="AI1436" i="8"/>
  <c r="E1267" i="8"/>
  <c r="F1278" i="8"/>
  <c r="AJ1265" i="8"/>
  <c r="AK1265" i="8"/>
  <c r="F1181" i="8"/>
  <c r="AI1181" i="8"/>
  <c r="AH1070" i="8"/>
  <c r="AK1070" i="8"/>
  <c r="AJ1244" i="8"/>
  <c r="AK1244" i="8"/>
  <c r="F1394" i="8"/>
  <c r="AI1394" i="8"/>
  <c r="E1584" i="8"/>
  <c r="F1595" i="8"/>
  <c r="F1079" i="8"/>
  <c r="T1079" i="8" s="1"/>
  <c r="AI1079" i="8"/>
  <c r="E1246" i="8"/>
  <c r="F1257" i="8"/>
  <c r="AI1340" i="8"/>
  <c r="F1340" i="8"/>
  <c r="AI1808" i="8"/>
  <c r="F1808" i="8"/>
  <c r="AI1415" i="8"/>
  <c r="F1415" i="8"/>
  <c r="F1007" i="8"/>
  <c r="T1007" i="8" s="1"/>
  <c r="AI1007" i="8"/>
  <c r="AJ1883" i="8"/>
  <c r="AK1883" i="8"/>
  <c r="AI1716" i="8"/>
  <c r="F1716" i="8"/>
  <c r="AH736" i="8"/>
  <c r="AI736" i="8"/>
  <c r="AJ736" i="8" s="1"/>
  <c r="E1605" i="8"/>
  <c r="F1616" i="8"/>
  <c r="F1771" i="8"/>
  <c r="E1760" i="8"/>
  <c r="AH108" i="8"/>
  <c r="F984" i="8"/>
  <c r="T984" i="8" s="1"/>
  <c r="AI984" i="8"/>
  <c r="F1223" i="8"/>
  <c r="AI1223" i="8"/>
  <c r="F1507" i="8"/>
  <c r="AI1507" i="8"/>
  <c r="AJ1758" i="8"/>
  <c r="AK1758" i="8"/>
  <c r="AI108" i="8"/>
  <c r="AJ108" i="8" s="1"/>
  <c r="AI1862" i="8"/>
  <c r="F1862" i="8"/>
  <c r="F938" i="8"/>
  <c r="T938" i="8" s="1"/>
  <c r="AI938" i="8"/>
  <c r="AH746" i="8"/>
  <c r="AK746" i="8"/>
  <c r="AI1645" i="8"/>
  <c r="F1645" i="8"/>
  <c r="AK264" i="8"/>
  <c r="AH264" i="8"/>
  <c r="AI1561" i="8"/>
  <c r="F1561" i="8"/>
  <c r="E1885" i="8"/>
  <c r="F1896" i="8"/>
  <c r="AJ1603" i="8"/>
  <c r="AK1603" i="8"/>
  <c r="F961" i="8"/>
  <c r="T961" i="8" s="1"/>
  <c r="AI961" i="8"/>
  <c r="AI1486" i="8"/>
  <c r="F1486" i="8"/>
  <c r="AJ1582" i="8"/>
  <c r="AK1582" i="8"/>
  <c r="F1925" i="8"/>
  <c r="AI1925" i="8"/>
  <c r="H399" i="23" l="1"/>
  <c r="H386" i="23"/>
  <c r="H53" i="23"/>
  <c r="AJ868" i="8"/>
  <c r="AK868" i="8"/>
  <c r="E870" i="8"/>
  <c r="F883" i="8"/>
  <c r="T868" i="8"/>
  <c r="AM2036" i="8"/>
  <c r="E2036" i="8"/>
  <c r="Q1949" i="8"/>
  <c r="R1949" i="8" s="1"/>
  <c r="R1951" i="8" s="1"/>
  <c r="AM1946" i="8" s="1"/>
  <c r="Q2004" i="8"/>
  <c r="R2004" i="8" s="1"/>
  <c r="R2006" i="8" s="1"/>
  <c r="AK1961" i="8"/>
  <c r="Q1784" i="8"/>
  <c r="R1784" i="8" s="1"/>
  <c r="Q1834" i="8"/>
  <c r="R1834" i="8" s="1"/>
  <c r="Q1533" i="8"/>
  <c r="R1533" i="8" s="1"/>
  <c r="Q1671" i="8"/>
  <c r="R1671" i="8" s="1"/>
  <c r="Q1366" i="8"/>
  <c r="R1366" i="8" s="1"/>
  <c r="Q1462" i="8"/>
  <c r="R1462" i="8" s="1"/>
  <c r="F860" i="8"/>
  <c r="E847" i="8"/>
  <c r="R52" i="11"/>
  <c r="R43" i="11" s="1"/>
  <c r="AK845" i="8"/>
  <c r="R172" i="11"/>
  <c r="R2098" i="8" s="1"/>
  <c r="R131" i="1" s="1"/>
  <c r="T172" i="11"/>
  <c r="T2098" i="8" s="1"/>
  <c r="T131" i="1" s="1"/>
  <c r="S131" i="1" s="1"/>
  <c r="R2084" i="8"/>
  <c r="R117" i="1" s="1"/>
  <c r="R2085" i="8"/>
  <c r="R118" i="1" s="1"/>
  <c r="T2089" i="8"/>
  <c r="T122" i="1" s="1"/>
  <c r="S122" i="1" s="1"/>
  <c r="R2089" i="8"/>
  <c r="R122" i="1" s="1"/>
  <c r="F1063" i="8"/>
  <c r="E1052" i="8"/>
  <c r="AJ1050" i="8"/>
  <c r="AK1050" i="8"/>
  <c r="R98" i="11"/>
  <c r="R90" i="11" s="1"/>
  <c r="Q285" i="8" s="1"/>
  <c r="R285" i="8" s="1"/>
  <c r="R287" i="8" s="1"/>
  <c r="R204" i="11"/>
  <c r="T189" i="11"/>
  <c r="R189" i="11"/>
  <c r="T204" i="11"/>
  <c r="T52" i="11"/>
  <c r="T43" i="11" s="1"/>
  <c r="S144" i="8" s="1"/>
  <c r="T144" i="8" s="1"/>
  <c r="R64" i="11"/>
  <c r="R54" i="11" s="1"/>
  <c r="T159" i="11"/>
  <c r="T75" i="11"/>
  <c r="E75" i="11" s="1"/>
  <c r="F75" i="11" s="1"/>
  <c r="R171" i="11"/>
  <c r="T150" i="11"/>
  <c r="T2076" i="8" s="1"/>
  <c r="R150" i="11"/>
  <c r="R2076" i="8" s="1"/>
  <c r="T64" i="11"/>
  <c r="T54" i="11" s="1"/>
  <c r="S457" i="8" s="1"/>
  <c r="T457" i="8" s="1"/>
  <c r="T459" i="8" s="1"/>
  <c r="T466" i="8" s="1"/>
  <c r="AN452" i="8" s="1"/>
  <c r="T136" i="11"/>
  <c r="T121" i="11" s="1"/>
  <c r="S472" i="8" s="1"/>
  <c r="T472" i="8" s="1"/>
  <c r="T480" i="8" s="1"/>
  <c r="AN468" i="8" s="1"/>
  <c r="R119" i="11"/>
  <c r="R100" i="11" s="1"/>
  <c r="Q1104" i="8" s="1"/>
  <c r="R1104" i="8" s="1"/>
  <c r="R1106" i="8" s="1"/>
  <c r="R1113" i="8" s="1"/>
  <c r="T119" i="11"/>
  <c r="T100" i="11" s="1"/>
  <c r="S721" i="8" s="1"/>
  <c r="T721" i="8" s="1"/>
  <c r="T723" i="8" s="1"/>
  <c r="T730" i="8" s="1"/>
  <c r="R136" i="11"/>
  <c r="R121" i="11" s="1"/>
  <c r="Q472" i="8" s="1"/>
  <c r="R472" i="8" s="1"/>
  <c r="R480" i="8" s="1"/>
  <c r="R196" i="11"/>
  <c r="T196" i="11"/>
  <c r="T41" i="11"/>
  <c r="T32" i="11" s="1"/>
  <c r="S301" i="8" s="1"/>
  <c r="T301" i="8" s="1"/>
  <c r="T303" i="8" s="1"/>
  <c r="R41" i="11"/>
  <c r="R32" i="11" s="1"/>
  <c r="Q301" i="8" s="1"/>
  <c r="R301" i="8" s="1"/>
  <c r="R303" i="8" s="1"/>
  <c r="R310" i="8" s="1"/>
  <c r="AM296" i="8" s="1"/>
  <c r="R88" i="11"/>
  <c r="T88" i="11"/>
  <c r="T77" i="11" s="1"/>
  <c r="S321" i="8" s="1"/>
  <c r="T160" i="11"/>
  <c r="T2086" i="8" s="1"/>
  <c r="T119" i="1" s="1"/>
  <c r="S119" i="1" s="1"/>
  <c r="Q180" i="8"/>
  <c r="R180" i="8" s="1"/>
  <c r="R182" i="8" s="1"/>
  <c r="Q164" i="8"/>
  <c r="R164" i="8" s="1"/>
  <c r="R166" i="8" s="1"/>
  <c r="R160" i="11"/>
  <c r="T30" i="11"/>
  <c r="T19" i="11" s="1"/>
  <c r="R30" i="11"/>
  <c r="AJ1645" i="8"/>
  <c r="AK1645" i="8"/>
  <c r="F1729" i="8"/>
  <c r="E1718" i="8"/>
  <c r="AJ1007" i="8"/>
  <c r="AK1007" i="8"/>
  <c r="AJ1716" i="8"/>
  <c r="AK1716" i="8"/>
  <c r="F1022" i="8"/>
  <c r="E1009" i="8"/>
  <c r="F1353" i="8"/>
  <c r="E1342" i="8"/>
  <c r="AJ1394" i="8"/>
  <c r="AK1394" i="8"/>
  <c r="AJ1436" i="8"/>
  <c r="AK1436" i="8"/>
  <c r="F1938" i="8"/>
  <c r="E1927" i="8"/>
  <c r="F1875" i="8"/>
  <c r="E1864" i="8"/>
  <c r="AJ1340" i="8"/>
  <c r="AK1340" i="8"/>
  <c r="AJ1079" i="8"/>
  <c r="AK1079" i="8"/>
  <c r="E1396" i="8"/>
  <c r="F1407" i="8"/>
  <c r="F1449" i="8"/>
  <c r="E1438" i="8"/>
  <c r="AJ961" i="8"/>
  <c r="AK961" i="8"/>
  <c r="AJ1561" i="8"/>
  <c r="AK1561" i="8"/>
  <c r="AJ1925" i="8"/>
  <c r="AK1925" i="8"/>
  <c r="E1488" i="8"/>
  <c r="F1499" i="8"/>
  <c r="AJ938" i="8"/>
  <c r="AK938" i="8"/>
  <c r="AJ1862" i="8"/>
  <c r="AK1862" i="8"/>
  <c r="AK108" i="8"/>
  <c r="F1821" i="8"/>
  <c r="E1810" i="8"/>
  <c r="E1081" i="8"/>
  <c r="F1091" i="8"/>
  <c r="AJ1486" i="8"/>
  <c r="AK1486" i="8"/>
  <c r="F1574" i="8"/>
  <c r="E1563" i="8"/>
  <c r="E1647" i="8"/>
  <c r="F1658" i="8"/>
  <c r="E940" i="8"/>
  <c r="F953" i="8"/>
  <c r="AJ1507" i="8"/>
  <c r="AK1507" i="8"/>
  <c r="AJ1223" i="8"/>
  <c r="AK1223" i="8"/>
  <c r="AJ1808" i="8"/>
  <c r="AK1808" i="8"/>
  <c r="AJ1181" i="8"/>
  <c r="AK1181" i="8"/>
  <c r="F1520" i="8"/>
  <c r="E1509" i="8"/>
  <c r="F1236" i="8"/>
  <c r="E1225" i="8"/>
  <c r="AJ984" i="8"/>
  <c r="AK984" i="8"/>
  <c r="E1417" i="8"/>
  <c r="F1428" i="8"/>
  <c r="E1183" i="8"/>
  <c r="F1194" i="8"/>
  <c r="F1173" i="8"/>
  <c r="E1162" i="8"/>
  <c r="F976" i="8"/>
  <c r="E963" i="8"/>
  <c r="E986" i="8"/>
  <c r="F999" i="8"/>
  <c r="AK736" i="8"/>
  <c r="AJ1415" i="8"/>
  <c r="AK1415" i="8"/>
  <c r="AJ1160" i="8"/>
  <c r="AK1160" i="8"/>
  <c r="AJ1298" i="8"/>
  <c r="AK1298" i="8"/>
  <c r="F1311" i="8"/>
  <c r="E1300" i="8"/>
  <c r="E423" i="23" l="1"/>
  <c r="H67" i="23"/>
  <c r="G54" i="23"/>
  <c r="H66" i="23"/>
  <c r="Q128" i="8"/>
  <c r="R128" i="8" s="1"/>
  <c r="R130" i="8" s="1"/>
  <c r="AG130" i="8" s="1"/>
  <c r="AG123" i="8" s="1"/>
  <c r="Q144" i="8"/>
  <c r="R144" i="8" s="1"/>
  <c r="R146" i="8" s="1"/>
  <c r="AG146" i="8" s="1"/>
  <c r="AG139" i="8" s="1"/>
  <c r="S80" i="8"/>
  <c r="T80" i="8" s="1"/>
  <c r="T82" i="8" s="1"/>
  <c r="T89" i="8" s="1"/>
  <c r="AN75" i="8" s="1"/>
  <c r="S128" i="8"/>
  <c r="T128" i="8" s="1"/>
  <c r="AO2036" i="8"/>
  <c r="G423" i="23"/>
  <c r="AO1946" i="8"/>
  <c r="G386" i="23"/>
  <c r="F2036" i="8"/>
  <c r="T2036" i="8" s="1"/>
  <c r="AG2036" i="8"/>
  <c r="AI2036" i="8" s="1"/>
  <c r="AJ2036" i="8" s="1"/>
  <c r="E1946" i="8"/>
  <c r="AM2001" i="8"/>
  <c r="E2001" i="8"/>
  <c r="R1368" i="8"/>
  <c r="R1380" i="8" s="1"/>
  <c r="AM468" i="8"/>
  <c r="E468" i="8"/>
  <c r="S898" i="8"/>
  <c r="T898" i="8" s="1"/>
  <c r="T928" i="8" s="1"/>
  <c r="Q898" i="8"/>
  <c r="R898" i="8" s="1"/>
  <c r="R928" i="8" s="1"/>
  <c r="R936" i="8" s="1"/>
  <c r="AM891" i="8" s="1"/>
  <c r="R1786" i="8"/>
  <c r="AG1786" i="8" s="1"/>
  <c r="AG1779" i="8" s="1"/>
  <c r="AH1779" i="8" s="1"/>
  <c r="R1535" i="8"/>
  <c r="AG1535" i="8" s="1"/>
  <c r="AG1528" i="8" s="1"/>
  <c r="R1836" i="8"/>
  <c r="R1673" i="8"/>
  <c r="AG1673" i="8" s="1"/>
  <c r="AG1666" i="8" s="1"/>
  <c r="AH1666" i="8" s="1"/>
  <c r="R1464" i="8"/>
  <c r="R1476" i="8" s="1"/>
  <c r="AM1457" i="8" s="1"/>
  <c r="T2130" i="8"/>
  <c r="T163" i="1" s="1"/>
  <c r="S163" i="1" s="1"/>
  <c r="T2122" i="8"/>
  <c r="T155" i="1" s="1"/>
  <c r="S155" i="1" s="1"/>
  <c r="R2115" i="8"/>
  <c r="R148" i="1" s="1"/>
  <c r="R2086" i="8"/>
  <c r="R119" i="1" s="1"/>
  <c r="R2122" i="8"/>
  <c r="R155" i="1" s="1"/>
  <c r="T2115" i="8"/>
  <c r="T148" i="1" s="1"/>
  <c r="S148" i="1" s="1"/>
  <c r="R2130" i="8"/>
  <c r="R163" i="1" s="1"/>
  <c r="T2085" i="8"/>
  <c r="T118" i="1" s="1"/>
  <c r="S118" i="1" s="1"/>
  <c r="R2097" i="8"/>
  <c r="R130" i="1" s="1"/>
  <c r="R109" i="1"/>
  <c r="E98" i="11"/>
  <c r="F98" i="11" s="1"/>
  <c r="T66" i="11"/>
  <c r="R162" i="11"/>
  <c r="S96" i="8"/>
  <c r="T96" i="8" s="1"/>
  <c r="T99" i="8" s="1"/>
  <c r="T106" i="8" s="1"/>
  <c r="AN91" i="8" s="1"/>
  <c r="R199" i="11"/>
  <c r="T199" i="11"/>
  <c r="S345" i="8"/>
  <c r="T345" i="8" s="1"/>
  <c r="T347" i="8" s="1"/>
  <c r="T354" i="8" s="1"/>
  <c r="AN340" i="8" s="1"/>
  <c r="E52" i="11"/>
  <c r="F52" i="11" s="1"/>
  <c r="T171" i="11"/>
  <c r="T162" i="11"/>
  <c r="S425" i="8"/>
  <c r="T425" i="8" s="1"/>
  <c r="T427" i="8" s="1"/>
  <c r="T434" i="8" s="1"/>
  <c r="AN420" i="8" s="1"/>
  <c r="T161" i="11"/>
  <c r="T146" i="11"/>
  <c r="S236" i="8"/>
  <c r="T236" i="8" s="1"/>
  <c r="T238" i="8" s="1"/>
  <c r="T245" i="8" s="1"/>
  <c r="S252" i="8"/>
  <c r="T252" i="8" s="1"/>
  <c r="T255" i="8" s="1"/>
  <c r="T262" i="8" s="1"/>
  <c r="AN247" i="8" s="1"/>
  <c r="S393" i="8"/>
  <c r="T393" i="8" s="1"/>
  <c r="T395" i="8" s="1"/>
  <c r="T402" i="8" s="1"/>
  <c r="AN388" i="8" s="1"/>
  <c r="R161" i="11"/>
  <c r="S204" i="8"/>
  <c r="T204" i="8" s="1"/>
  <c r="T206" i="8" s="1"/>
  <c r="T213" i="8" s="1"/>
  <c r="AN199" i="8" s="1"/>
  <c r="S601" i="8"/>
  <c r="T601" i="8" s="1"/>
  <c r="T603" i="8" s="1"/>
  <c r="T610" i="8" s="1"/>
  <c r="AN596" i="8" s="1"/>
  <c r="R146" i="11"/>
  <c r="S1104" i="8"/>
  <c r="T1104" i="8" s="1"/>
  <c r="T1106" i="8" s="1"/>
  <c r="S705" i="8"/>
  <c r="T705" i="8" s="1"/>
  <c r="T707" i="8" s="1"/>
  <c r="T714" i="8" s="1"/>
  <c r="AN700" i="8" s="1"/>
  <c r="S669" i="8"/>
  <c r="T669" i="8" s="1"/>
  <c r="T671" i="8" s="1"/>
  <c r="T678" i="8" s="1"/>
  <c r="AN664" i="8" s="1"/>
  <c r="S565" i="8"/>
  <c r="T565" i="8" s="1"/>
  <c r="T567" i="8" s="1"/>
  <c r="T574" i="8" s="1"/>
  <c r="AN560" i="8" s="1"/>
  <c r="S549" i="8"/>
  <c r="T549" i="8" s="1"/>
  <c r="T551" i="8" s="1"/>
  <c r="T558" i="8" s="1"/>
  <c r="AN544" i="8" s="1"/>
  <c r="S497" i="8"/>
  <c r="T497" i="8" s="1"/>
  <c r="T499" i="8" s="1"/>
  <c r="T506" i="8" s="1"/>
  <c r="AN492" i="8" s="1"/>
  <c r="S513" i="8"/>
  <c r="T513" i="8" s="1"/>
  <c r="T515" i="8" s="1"/>
  <c r="T522" i="8" s="1"/>
  <c r="AN508" i="8" s="1"/>
  <c r="S585" i="8"/>
  <c r="T585" i="8" s="1"/>
  <c r="T587" i="8" s="1"/>
  <c r="T594" i="8" s="1"/>
  <c r="AN580" i="8" s="1"/>
  <c r="S653" i="8"/>
  <c r="T653" i="8" s="1"/>
  <c r="T655" i="8" s="1"/>
  <c r="T662" i="8" s="1"/>
  <c r="AN648" i="8" s="1"/>
  <c r="S689" i="8"/>
  <c r="T689" i="8" s="1"/>
  <c r="T691" i="8" s="1"/>
  <c r="T698" i="8" s="1"/>
  <c r="AN684" i="8" s="1"/>
  <c r="S637" i="8"/>
  <c r="T637" i="8" s="1"/>
  <c r="T639" i="8" s="1"/>
  <c r="T646" i="8" s="1"/>
  <c r="AN632" i="8" s="1"/>
  <c r="S621" i="8"/>
  <c r="T621" i="8" s="1"/>
  <c r="T623" i="8" s="1"/>
  <c r="T630" i="8" s="1"/>
  <c r="AN616" i="8" s="1"/>
  <c r="S529" i="8"/>
  <c r="T529" i="8" s="1"/>
  <c r="T531" i="8" s="1"/>
  <c r="T538" i="8" s="1"/>
  <c r="AN524" i="8" s="1"/>
  <c r="R207" i="11"/>
  <c r="Q513" i="8"/>
  <c r="R513" i="8" s="1"/>
  <c r="R515" i="8" s="1"/>
  <c r="R522" i="8" s="1"/>
  <c r="Q585" i="8"/>
  <c r="R585" i="8" s="1"/>
  <c r="R587" i="8" s="1"/>
  <c r="R594" i="8" s="1"/>
  <c r="AM580" i="8" s="1"/>
  <c r="S220" i="8"/>
  <c r="T220" i="8" s="1"/>
  <c r="T222" i="8" s="1"/>
  <c r="T229" i="8" s="1"/>
  <c r="AN215" i="8" s="1"/>
  <c r="S441" i="8"/>
  <c r="T441" i="8" s="1"/>
  <c r="T443" i="8" s="1"/>
  <c r="T450" i="8" s="1"/>
  <c r="AN436" i="8" s="1"/>
  <c r="Q669" i="8"/>
  <c r="R669" i="8" s="1"/>
  <c r="R671" i="8" s="1"/>
  <c r="AG671" i="8" s="1"/>
  <c r="AG664" i="8" s="1"/>
  <c r="Q497" i="8"/>
  <c r="R497" i="8" s="1"/>
  <c r="R499" i="8" s="1"/>
  <c r="AG499" i="8" s="1"/>
  <c r="AG492" i="8" s="1"/>
  <c r="S409" i="8"/>
  <c r="T409" i="8" s="1"/>
  <c r="T411" i="8" s="1"/>
  <c r="T418" i="8" s="1"/>
  <c r="AN404" i="8" s="1"/>
  <c r="E64" i="11"/>
  <c r="F64" i="11" s="1"/>
  <c r="Q653" i="8"/>
  <c r="R653" i="8" s="1"/>
  <c r="R655" i="8" s="1"/>
  <c r="AG655" i="8" s="1"/>
  <c r="AG648" i="8" s="1"/>
  <c r="AG1106" i="8"/>
  <c r="AG1099" i="8" s="1"/>
  <c r="AH1099" i="8" s="1"/>
  <c r="Q637" i="8"/>
  <c r="R637" i="8" s="1"/>
  <c r="R639" i="8" s="1"/>
  <c r="AG639" i="8" s="1"/>
  <c r="AG632" i="8" s="1"/>
  <c r="Q621" i="8"/>
  <c r="R621" i="8" s="1"/>
  <c r="R623" i="8" s="1"/>
  <c r="AG623" i="8" s="1"/>
  <c r="AG616" i="8" s="1"/>
  <c r="S361" i="8"/>
  <c r="T361" i="8" s="1"/>
  <c r="T363" i="8" s="1"/>
  <c r="T370" i="8" s="1"/>
  <c r="AN356" i="8" s="1"/>
  <c r="Q565" i="8"/>
  <c r="R565" i="8" s="1"/>
  <c r="R567" i="8" s="1"/>
  <c r="AG567" i="8" s="1"/>
  <c r="AG560" i="8" s="1"/>
  <c r="S64" i="8"/>
  <c r="T64" i="8" s="1"/>
  <c r="T66" i="8" s="1"/>
  <c r="Q689" i="8"/>
  <c r="R689" i="8" s="1"/>
  <c r="R691" i="8" s="1"/>
  <c r="R698" i="8" s="1"/>
  <c r="Q601" i="8"/>
  <c r="R601" i="8" s="1"/>
  <c r="R603" i="8" s="1"/>
  <c r="AG603" i="8" s="1"/>
  <c r="AG596" i="8" s="1"/>
  <c r="E119" i="11"/>
  <c r="F119" i="11" s="1"/>
  <c r="S377" i="8"/>
  <c r="T377" i="8" s="1"/>
  <c r="T379" i="8" s="1"/>
  <c r="T386" i="8" s="1"/>
  <c r="AN372" i="8" s="1"/>
  <c r="Q529" i="8"/>
  <c r="R529" i="8" s="1"/>
  <c r="R531" i="8" s="1"/>
  <c r="AG531" i="8" s="1"/>
  <c r="AG524" i="8" s="1"/>
  <c r="Q705" i="8"/>
  <c r="R705" i="8" s="1"/>
  <c r="R707" i="8" s="1"/>
  <c r="Q721" i="8"/>
  <c r="R721" i="8" s="1"/>
  <c r="R723" i="8" s="1"/>
  <c r="E719" i="8" s="1"/>
  <c r="F719" i="8" s="1"/>
  <c r="Q549" i="8"/>
  <c r="R549" i="8" s="1"/>
  <c r="R551" i="8" s="1"/>
  <c r="R558" i="8" s="1"/>
  <c r="B136" i="11"/>
  <c r="S813" i="8"/>
  <c r="T813" i="8" s="1"/>
  <c r="T836" i="8" s="1"/>
  <c r="S767" i="8"/>
  <c r="T767" i="8" s="1"/>
  <c r="T797" i="8" s="1"/>
  <c r="E136" i="11"/>
  <c r="F136" i="11" s="1"/>
  <c r="E299" i="8"/>
  <c r="F299" i="8" s="1"/>
  <c r="R77" i="11"/>
  <c r="Q321" i="8" s="1"/>
  <c r="R321" i="8" s="1"/>
  <c r="R323" i="8" s="1"/>
  <c r="R330" i="8" s="1"/>
  <c r="AM316" i="8" s="1"/>
  <c r="E88" i="11"/>
  <c r="F88" i="11" s="1"/>
  <c r="E41" i="11"/>
  <c r="F41" i="11" s="1"/>
  <c r="AG303" i="8"/>
  <c r="AG296" i="8" s="1"/>
  <c r="AH296" i="8" s="1"/>
  <c r="AM1099" i="8"/>
  <c r="T310" i="8"/>
  <c r="AN296" i="8" s="1"/>
  <c r="Q813" i="8"/>
  <c r="R813" i="8" s="1"/>
  <c r="R836" i="8" s="1"/>
  <c r="Q767" i="8"/>
  <c r="R767" i="8" s="1"/>
  <c r="R797" i="8" s="1"/>
  <c r="AG287" i="8"/>
  <c r="AG280" i="8" s="1"/>
  <c r="R294" i="8"/>
  <c r="E283" i="8"/>
  <c r="T321" i="8"/>
  <c r="T323" i="8" s="1"/>
  <c r="T330" i="8" s="1"/>
  <c r="AG166" i="8"/>
  <c r="AG159" i="8" s="1"/>
  <c r="AH159" i="8" s="1"/>
  <c r="R173" i="8"/>
  <c r="AG182" i="8"/>
  <c r="AG175" i="8" s="1"/>
  <c r="R189" i="8"/>
  <c r="Q96" i="8"/>
  <c r="R96" i="8" s="1"/>
  <c r="R99" i="8" s="1"/>
  <c r="Q80" i="8"/>
  <c r="R80" i="8" s="1"/>
  <c r="R82" i="8" s="1"/>
  <c r="E30" i="11"/>
  <c r="F30" i="11" s="1"/>
  <c r="R19" i="11"/>
  <c r="S48" i="8"/>
  <c r="T48" i="8" s="1"/>
  <c r="T50" i="8" s="1"/>
  <c r="T57" i="8" s="1"/>
  <c r="AN43" i="8" s="1"/>
  <c r="S32" i="8"/>
  <c r="T32" i="8" s="1"/>
  <c r="AN716" i="8"/>
  <c r="Q393" i="8"/>
  <c r="R393" i="8" s="1"/>
  <c r="R395" i="8" s="1"/>
  <c r="Q377" i="8"/>
  <c r="R377" i="8" s="1"/>
  <c r="R379" i="8" s="1"/>
  <c r="Q441" i="8"/>
  <c r="R441" i="8" s="1"/>
  <c r="R443" i="8" s="1"/>
  <c r="Q409" i="8"/>
  <c r="R409" i="8" s="1"/>
  <c r="R411" i="8" s="1"/>
  <c r="Q236" i="8"/>
  <c r="R236" i="8" s="1"/>
  <c r="R238" i="8" s="1"/>
  <c r="Q361" i="8"/>
  <c r="R361" i="8" s="1"/>
  <c r="R363" i="8" s="1"/>
  <c r="Q204" i="8"/>
  <c r="R204" i="8" s="1"/>
  <c r="R206" i="8" s="1"/>
  <c r="Q457" i="8"/>
  <c r="R457" i="8" s="1"/>
  <c r="R459" i="8" s="1"/>
  <c r="Q345" i="8"/>
  <c r="R345" i="8" s="1"/>
  <c r="R347" i="8" s="1"/>
  <c r="Q220" i="8"/>
  <c r="R220" i="8" s="1"/>
  <c r="R222" i="8" s="1"/>
  <c r="Q425" i="8"/>
  <c r="R425" i="8" s="1"/>
  <c r="R427" i="8" s="1"/>
  <c r="Q252" i="8"/>
  <c r="R252" i="8" s="1"/>
  <c r="R255" i="8" s="1"/>
  <c r="Q64" i="8"/>
  <c r="R64" i="8" s="1"/>
  <c r="R153" i="8" l="1"/>
  <c r="AM139" i="8" s="1"/>
  <c r="R137" i="8"/>
  <c r="H60" i="23"/>
  <c r="H36" i="23"/>
  <c r="H62" i="23"/>
  <c r="G56" i="23"/>
  <c r="H61" i="23"/>
  <c r="H48" i="23"/>
  <c r="H50" i="23"/>
  <c r="H59" i="23"/>
  <c r="H47" i="23"/>
  <c r="H63" i="23"/>
  <c r="T936" i="8"/>
  <c r="AN891" i="8" s="1"/>
  <c r="AO891" i="8" s="1"/>
  <c r="H65" i="23"/>
  <c r="H37" i="23"/>
  <c r="H34" i="23"/>
  <c r="G273" i="23"/>
  <c r="H64" i="23"/>
  <c r="AH139" i="8"/>
  <c r="S180" i="8"/>
  <c r="T180" i="8" s="1"/>
  <c r="T182" i="8" s="1"/>
  <c r="T189" i="8" s="1"/>
  <c r="AN175" i="8" s="1"/>
  <c r="T130" i="8"/>
  <c r="T146" i="8"/>
  <c r="AM123" i="8"/>
  <c r="AH123" i="8"/>
  <c r="AO2001" i="8"/>
  <c r="G399" i="23"/>
  <c r="E399" i="23"/>
  <c r="AG1946" i="8"/>
  <c r="AI1946" i="8" s="1"/>
  <c r="AJ1946" i="8" s="1"/>
  <c r="E386" i="23"/>
  <c r="T34" i="8"/>
  <c r="AH2036" i="8"/>
  <c r="AK2036" i="8"/>
  <c r="F1946" i="8"/>
  <c r="T1946" i="8" s="1"/>
  <c r="F2001" i="8"/>
  <c r="AG2001" i="8"/>
  <c r="AG1368" i="8"/>
  <c r="AG1361" i="8" s="1"/>
  <c r="AH1361" i="8" s="1"/>
  <c r="E894" i="8"/>
  <c r="E891" i="8" s="1"/>
  <c r="AG928" i="8"/>
  <c r="AG891" i="8" s="1"/>
  <c r="AH891" i="8" s="1"/>
  <c r="R1685" i="8"/>
  <c r="AM1666" i="8" s="1"/>
  <c r="H260" i="23"/>
  <c r="E67" i="23"/>
  <c r="F67" i="23" s="1"/>
  <c r="AG468" i="8"/>
  <c r="F468" i="8"/>
  <c r="T468" i="8" s="1"/>
  <c r="G67" i="23"/>
  <c r="AO468" i="8"/>
  <c r="T1836" i="8"/>
  <c r="T1848" i="8" s="1"/>
  <c r="AN1829" i="8" s="1"/>
  <c r="T1535" i="8"/>
  <c r="T1547" i="8" s="1"/>
  <c r="AN1528" i="8" s="1"/>
  <c r="T1673" i="8"/>
  <c r="T1685" i="8" s="1"/>
  <c r="AN1666" i="8" s="1"/>
  <c r="H428" i="23"/>
  <c r="G503" i="23" s="1"/>
  <c r="T1464" i="8"/>
  <c r="T1476" i="8" s="1"/>
  <c r="AN1457" i="8" s="1"/>
  <c r="T1380" i="8"/>
  <c r="AN1361" i="8" s="1"/>
  <c r="E1364" i="8"/>
  <c r="F1364" i="8" s="1"/>
  <c r="T1786" i="8"/>
  <c r="T1798" i="8" s="1"/>
  <c r="AN1779" i="8" s="1"/>
  <c r="AM1361" i="8"/>
  <c r="R1798" i="8"/>
  <c r="AM1779" i="8" s="1"/>
  <c r="G327" i="23"/>
  <c r="R1547" i="8"/>
  <c r="AM1528" i="8" s="1"/>
  <c r="AG1464" i="8"/>
  <c r="AG1457" i="8" s="1"/>
  <c r="AH1457" i="8" s="1"/>
  <c r="AG1836" i="8"/>
  <c r="AG1829" i="8" s="1"/>
  <c r="AH1829" i="8" s="1"/>
  <c r="R1848" i="8"/>
  <c r="AM1829" i="8" s="1"/>
  <c r="AH1528" i="8"/>
  <c r="T109" i="1"/>
  <c r="S109" i="1" s="1"/>
  <c r="T2087" i="8"/>
  <c r="T120" i="1" s="1"/>
  <c r="S120" i="1" s="1"/>
  <c r="T209" i="11"/>
  <c r="T2125" i="8"/>
  <c r="T158" i="1" s="1"/>
  <c r="S158" i="1" s="1"/>
  <c r="R209" i="11"/>
  <c r="R2125" i="8"/>
  <c r="R2087" i="8"/>
  <c r="R120" i="1" s="1"/>
  <c r="R2088" i="8"/>
  <c r="R121" i="1" s="1"/>
  <c r="R166" i="1"/>
  <c r="T2088" i="8"/>
  <c r="T121" i="1" s="1"/>
  <c r="S121" i="1" s="1"/>
  <c r="T2097" i="8"/>
  <c r="R2133" i="8"/>
  <c r="T1113" i="8"/>
  <c r="AN1099" i="8" s="1"/>
  <c r="H273" i="23"/>
  <c r="T843" i="8"/>
  <c r="AN806" i="8" s="1"/>
  <c r="H257" i="23"/>
  <c r="T804" i="8"/>
  <c r="AN760" i="8" s="1"/>
  <c r="H256" i="23"/>
  <c r="AO296" i="8"/>
  <c r="H54" i="23"/>
  <c r="G260" i="23"/>
  <c r="S164" i="8"/>
  <c r="T164" i="8" s="1"/>
  <c r="T166" i="8" s="1"/>
  <c r="T173" i="8" s="1"/>
  <c r="AN159" i="8" s="1"/>
  <c r="AG587" i="8"/>
  <c r="AG580" i="8" s="1"/>
  <c r="AH580" i="8" s="1"/>
  <c r="E1102" i="8"/>
  <c r="F1102" i="8" s="1"/>
  <c r="AG691" i="8"/>
  <c r="AG684" i="8" s="1"/>
  <c r="AH684" i="8" s="1"/>
  <c r="T207" i="11"/>
  <c r="AG723" i="8"/>
  <c r="AG716" i="8" s="1"/>
  <c r="AH716" i="8" s="1"/>
  <c r="T149" i="11"/>
  <c r="T208" i="11"/>
  <c r="AG515" i="8"/>
  <c r="AG508" i="8" s="1"/>
  <c r="AH508" i="8" s="1"/>
  <c r="R147" i="11"/>
  <c r="E667" i="8"/>
  <c r="F667" i="8" s="1"/>
  <c r="R678" i="8"/>
  <c r="AM664" i="8" s="1"/>
  <c r="AO664" i="8" s="1"/>
  <c r="E234" i="8"/>
  <c r="E231" i="8" s="1"/>
  <c r="R149" i="11"/>
  <c r="R208" i="11"/>
  <c r="E495" i="8"/>
  <c r="E492" i="8" s="1"/>
  <c r="E599" i="8"/>
  <c r="F599" i="8" s="1"/>
  <c r="R630" i="8"/>
  <c r="AM616" i="8" s="1"/>
  <c r="AO616" i="8" s="1"/>
  <c r="E547" i="8"/>
  <c r="F547" i="8" s="1"/>
  <c r="T147" i="11"/>
  <c r="E703" i="8"/>
  <c r="E700" i="8" s="1"/>
  <c r="F700" i="8" s="1"/>
  <c r="E563" i="8"/>
  <c r="E560" i="8" s="1"/>
  <c r="R610" i="8"/>
  <c r="AM596" i="8" s="1"/>
  <c r="AO596" i="8" s="1"/>
  <c r="R574" i="8"/>
  <c r="AM560" i="8" s="1"/>
  <c r="AO560" i="8" s="1"/>
  <c r="R506" i="8"/>
  <c r="R714" i="8"/>
  <c r="AM700" i="8" s="1"/>
  <c r="AO700" i="8" s="1"/>
  <c r="E651" i="8"/>
  <c r="F651" i="8" s="1"/>
  <c r="AG707" i="8"/>
  <c r="AG700" i="8" s="1"/>
  <c r="AH700" i="8" s="1"/>
  <c r="R662" i="8"/>
  <c r="AM648" i="8" s="1"/>
  <c r="AO648" i="8" s="1"/>
  <c r="E583" i="8"/>
  <c r="E580" i="8" s="1"/>
  <c r="F580" i="8" s="1"/>
  <c r="E763" i="8"/>
  <c r="F763" i="8" s="1"/>
  <c r="E619" i="8"/>
  <c r="F619" i="8" s="1"/>
  <c r="E527" i="8"/>
  <c r="F527" i="8" s="1"/>
  <c r="R538" i="8"/>
  <c r="T524" i="8" s="1"/>
  <c r="E511" i="8"/>
  <c r="F511" i="8" s="1"/>
  <c r="E635" i="8"/>
  <c r="E632" i="8" s="1"/>
  <c r="AI632" i="8" s="1"/>
  <c r="AJ632" i="8" s="1"/>
  <c r="R646" i="8"/>
  <c r="T632" i="8" s="1"/>
  <c r="AG551" i="8"/>
  <c r="AG544" i="8" s="1"/>
  <c r="AH544" i="8" s="1"/>
  <c r="R730" i="8"/>
  <c r="AM716" i="8" s="1"/>
  <c r="AO716" i="8" s="1"/>
  <c r="E687" i="8"/>
  <c r="F687" i="8" s="1"/>
  <c r="E809" i="8"/>
  <c r="F809" i="8" s="1"/>
  <c r="AG323" i="8"/>
  <c r="AG316" i="8" s="1"/>
  <c r="AH316" i="8" s="1"/>
  <c r="E296" i="8"/>
  <c r="T25" i="1"/>
  <c r="R804" i="8"/>
  <c r="AM760" i="8" s="1"/>
  <c r="R843" i="8"/>
  <c r="AM806" i="8" s="1"/>
  <c r="AG836" i="8"/>
  <c r="AG806" i="8" s="1"/>
  <c r="AH806" i="8" s="1"/>
  <c r="AG797" i="8"/>
  <c r="AG760" i="8" s="1"/>
  <c r="AH760" i="8" s="1"/>
  <c r="E716" i="8"/>
  <c r="F716" i="8" s="1"/>
  <c r="F283" i="8"/>
  <c r="E280" i="8"/>
  <c r="AM280" i="8"/>
  <c r="AH280" i="8"/>
  <c r="AM159" i="8"/>
  <c r="AM175" i="8"/>
  <c r="AH175" i="8"/>
  <c r="E319" i="8"/>
  <c r="AN316" i="8"/>
  <c r="AG82" i="8"/>
  <c r="AG75" i="8" s="1"/>
  <c r="AH75" i="8" s="1"/>
  <c r="R89" i="8"/>
  <c r="E78" i="8"/>
  <c r="E94" i="8"/>
  <c r="AG99" i="8"/>
  <c r="AG91" i="8" s="1"/>
  <c r="R106" i="8"/>
  <c r="Q32" i="8"/>
  <c r="R32" i="8" s="1"/>
  <c r="Q48" i="8"/>
  <c r="R48" i="8" s="1"/>
  <c r="R50" i="8" s="1"/>
  <c r="AM544" i="8"/>
  <c r="AO544" i="8" s="1"/>
  <c r="T544" i="8"/>
  <c r="AH596" i="8"/>
  <c r="AH664" i="8"/>
  <c r="AM508" i="8"/>
  <c r="AO508" i="8" s="1"/>
  <c r="T508" i="8"/>
  <c r="AH648" i="8"/>
  <c r="AH632" i="8"/>
  <c r="AM684" i="8"/>
  <c r="AO684" i="8" s="1"/>
  <c r="T684" i="8"/>
  <c r="AH616" i="8"/>
  <c r="AH492" i="8"/>
  <c r="AH524" i="8"/>
  <c r="AO580" i="8"/>
  <c r="AH560" i="8"/>
  <c r="T580" i="8"/>
  <c r="AG255" i="8"/>
  <c r="AG247" i="8" s="1"/>
  <c r="R262" i="8"/>
  <c r="E250" i="8"/>
  <c r="AG411" i="8"/>
  <c r="AG404" i="8" s="1"/>
  <c r="R418" i="8"/>
  <c r="E407" i="8"/>
  <c r="AG379" i="8"/>
  <c r="AG372" i="8" s="1"/>
  <c r="R386" i="8"/>
  <c r="E375" i="8"/>
  <c r="AG347" i="8"/>
  <c r="AG340" i="8" s="1"/>
  <c r="R354" i="8"/>
  <c r="AG395" i="8"/>
  <c r="AG388" i="8" s="1"/>
  <c r="R402" i="8"/>
  <c r="E391" i="8"/>
  <c r="AG222" i="8"/>
  <c r="AG215" i="8" s="1"/>
  <c r="R229" i="8"/>
  <c r="E218" i="8"/>
  <c r="AG459" i="8"/>
  <c r="AG452" i="8" s="1"/>
  <c r="R466" i="8"/>
  <c r="E455" i="8"/>
  <c r="AG206" i="8"/>
  <c r="AG199" i="8" s="1"/>
  <c r="E202" i="8"/>
  <c r="R213" i="8"/>
  <c r="AN231" i="8"/>
  <c r="AG363" i="8"/>
  <c r="AG356" i="8" s="1"/>
  <c r="R370" i="8"/>
  <c r="E359" i="8"/>
  <c r="R66" i="8"/>
  <c r="AG238" i="8"/>
  <c r="AG231" i="8" s="1"/>
  <c r="R245" i="8"/>
  <c r="AM231" i="8" s="1"/>
  <c r="T73" i="8"/>
  <c r="AN59" i="8" s="1"/>
  <c r="AG427" i="8"/>
  <c r="AG420" i="8" s="1"/>
  <c r="R434" i="8"/>
  <c r="E423" i="8"/>
  <c r="AG443" i="8"/>
  <c r="AG436" i="8" s="1"/>
  <c r="R450" i="8"/>
  <c r="E439" i="8"/>
  <c r="E343" i="8"/>
  <c r="E178" i="8" l="1"/>
  <c r="E175" i="8" s="1"/>
  <c r="E54" i="23"/>
  <c r="F54" i="23" s="1"/>
  <c r="H373" i="23"/>
  <c r="G41" i="23"/>
  <c r="E260" i="23"/>
  <c r="F260" i="23" s="1"/>
  <c r="G49" i="23"/>
  <c r="E44" i="23"/>
  <c r="F44" i="23" s="1"/>
  <c r="H43" i="23"/>
  <c r="E53" i="23"/>
  <c r="F53" i="23" s="1"/>
  <c r="G40" i="23"/>
  <c r="H49" i="23"/>
  <c r="H369" i="23"/>
  <c r="H313" i="23"/>
  <c r="H44" i="23"/>
  <c r="G43" i="23"/>
  <c r="H338" i="23"/>
  <c r="H35" i="23"/>
  <c r="E49" i="23"/>
  <c r="F49" i="23" s="1"/>
  <c r="H352" i="23"/>
  <c r="T153" i="8"/>
  <c r="E142" i="8"/>
  <c r="T137" i="8"/>
  <c r="E126" i="8"/>
  <c r="AH1946" i="8"/>
  <c r="T2001" i="8"/>
  <c r="T2055" i="8" s="1"/>
  <c r="AK1946" i="8"/>
  <c r="T41" i="8"/>
  <c r="AN27" i="8" s="1"/>
  <c r="R2044" i="8"/>
  <c r="R2050" i="8" s="1"/>
  <c r="R34" i="8"/>
  <c r="R41" i="8" s="1"/>
  <c r="R2067" i="8"/>
  <c r="R2075" i="8"/>
  <c r="T2075" i="8"/>
  <c r="T2067" i="8"/>
  <c r="AI2001" i="8"/>
  <c r="AJ2001" i="8" s="1"/>
  <c r="AH2001" i="8"/>
  <c r="F894" i="8"/>
  <c r="AI468" i="8"/>
  <c r="AJ468" i="8" s="1"/>
  <c r="AH468" i="8"/>
  <c r="AO1457" i="8"/>
  <c r="H327" i="23"/>
  <c r="G338" i="23"/>
  <c r="F428" i="23"/>
  <c r="E503" i="23" s="1"/>
  <c r="H415" i="23"/>
  <c r="G502" i="23" s="1"/>
  <c r="E1361" i="8"/>
  <c r="E1832" i="8"/>
  <c r="F1832" i="8" s="1"/>
  <c r="E1531" i="8"/>
  <c r="F1531" i="8" s="1"/>
  <c r="E1460" i="8"/>
  <c r="E1457" i="8" s="1"/>
  <c r="E1669" i="8"/>
  <c r="E1666" i="8" s="1"/>
  <c r="E1782" i="8"/>
  <c r="E1779" i="8" s="1"/>
  <c r="AO1361" i="8"/>
  <c r="G313" i="23"/>
  <c r="T24" i="1"/>
  <c r="E23" i="18" s="1"/>
  <c r="AO1528" i="8"/>
  <c r="I340" i="23" s="1"/>
  <c r="H500" i="23" s="1"/>
  <c r="R211" i="11"/>
  <c r="T2135" i="8"/>
  <c r="R158" i="1"/>
  <c r="R168" i="1" s="1"/>
  <c r="T2133" i="8"/>
  <c r="T130" i="1"/>
  <c r="S130" i="1" s="1"/>
  <c r="R2134" i="8"/>
  <c r="R167" i="1"/>
  <c r="AO1099" i="8"/>
  <c r="H277" i="23"/>
  <c r="G497" i="23" s="1"/>
  <c r="AM492" i="8"/>
  <c r="AO492" i="8" s="1"/>
  <c r="R1116" i="8"/>
  <c r="E162" i="8"/>
  <c r="F162" i="8" s="1"/>
  <c r="G428" i="23"/>
  <c r="AO1779" i="8"/>
  <c r="G369" i="23"/>
  <c r="AO1666" i="8"/>
  <c r="G352" i="23"/>
  <c r="AO316" i="8"/>
  <c r="H56" i="23"/>
  <c r="AO280" i="8"/>
  <c r="G53" i="23"/>
  <c r="AO806" i="8"/>
  <c r="G257" i="23"/>
  <c r="AO760" i="8"/>
  <c r="G256" i="23"/>
  <c r="AO1829" i="8"/>
  <c r="I375" i="23" s="1"/>
  <c r="G373" i="23"/>
  <c r="AO175" i="8"/>
  <c r="G44" i="23"/>
  <c r="AO159" i="8"/>
  <c r="R2135" i="8"/>
  <c r="E1099" i="8"/>
  <c r="F495" i="8"/>
  <c r="T596" i="8"/>
  <c r="AM632" i="8"/>
  <c r="AO632" i="8" s="1"/>
  <c r="F632" i="8"/>
  <c r="E634" i="8" s="1"/>
  <c r="E664" i="8"/>
  <c r="F664" i="8" s="1"/>
  <c r="E666" i="8" s="1"/>
  <c r="T211" i="11"/>
  <c r="T560" i="8"/>
  <c r="T716" i="8"/>
  <c r="E806" i="8"/>
  <c r="E616" i="8"/>
  <c r="F616" i="8" s="1"/>
  <c r="F624" i="8" s="1"/>
  <c r="E544" i="8"/>
  <c r="AI544" i="8" s="1"/>
  <c r="T664" i="8"/>
  <c r="F563" i="8"/>
  <c r="E524" i="8"/>
  <c r="AI524" i="8" s="1"/>
  <c r="F234" i="8"/>
  <c r="T492" i="8"/>
  <c r="E596" i="8"/>
  <c r="F596" i="8" s="1"/>
  <c r="T616" i="8"/>
  <c r="AM524" i="8"/>
  <c r="AO524" i="8" s="1"/>
  <c r="E648" i="8"/>
  <c r="AI648" i="8" s="1"/>
  <c r="AJ648" i="8" s="1"/>
  <c r="AI580" i="8"/>
  <c r="AK580" i="8" s="1"/>
  <c r="E508" i="8"/>
  <c r="AI508" i="8" s="1"/>
  <c r="F703" i="8"/>
  <c r="F708" i="8" s="1"/>
  <c r="F583" i="8"/>
  <c r="F588" i="8" s="1"/>
  <c r="E760" i="8"/>
  <c r="E684" i="8"/>
  <c r="AI684" i="8" s="1"/>
  <c r="F635" i="8"/>
  <c r="AI296" i="8"/>
  <c r="AK296" i="8" s="1"/>
  <c r="T700" i="8"/>
  <c r="T648" i="8"/>
  <c r="AI700" i="8"/>
  <c r="AJ700" i="8" s="1"/>
  <c r="F296" i="8"/>
  <c r="T296" i="8" s="1"/>
  <c r="F178" i="8"/>
  <c r="AI716" i="8"/>
  <c r="AJ716" i="8" s="1"/>
  <c r="AI891" i="8"/>
  <c r="F891" i="8"/>
  <c r="F280" i="8"/>
  <c r="AI280" i="8"/>
  <c r="F319" i="8"/>
  <c r="E316" i="8"/>
  <c r="AI175" i="8"/>
  <c r="F175" i="8"/>
  <c r="AM91" i="8"/>
  <c r="AH91" i="8"/>
  <c r="E91" i="8"/>
  <c r="F94" i="8"/>
  <c r="F78" i="8"/>
  <c r="E75" i="8"/>
  <c r="AM75" i="8"/>
  <c r="AG50" i="8"/>
  <c r="AG43" i="8" s="1"/>
  <c r="E46" i="8"/>
  <c r="R57" i="8"/>
  <c r="AK632" i="8"/>
  <c r="E582" i="8"/>
  <c r="AI492" i="8"/>
  <c r="F492" i="8"/>
  <c r="F560" i="8"/>
  <c r="AI560" i="8"/>
  <c r="E702" i="8"/>
  <c r="F724" i="8"/>
  <c r="E718" i="8"/>
  <c r="AM356" i="8"/>
  <c r="AM452" i="8"/>
  <c r="AH388" i="8"/>
  <c r="AH404" i="8"/>
  <c r="AH356" i="8"/>
  <c r="AH452" i="8"/>
  <c r="AM340" i="8"/>
  <c r="E247" i="8"/>
  <c r="F250" i="8"/>
  <c r="F455" i="8"/>
  <c r="E452" i="8"/>
  <c r="E436" i="8"/>
  <c r="F439" i="8"/>
  <c r="AO231" i="8"/>
  <c r="AH340" i="8"/>
  <c r="AM247" i="8"/>
  <c r="AH199" i="8"/>
  <c r="AM388" i="8"/>
  <c r="AM436" i="8"/>
  <c r="E215" i="8"/>
  <c r="F218" i="8"/>
  <c r="F375" i="8"/>
  <c r="E372" i="8"/>
  <c r="AH247" i="8"/>
  <c r="E420" i="8"/>
  <c r="F423" i="8"/>
  <c r="AM420" i="8"/>
  <c r="AG66" i="8"/>
  <c r="AG59" i="8" s="1"/>
  <c r="R73" i="8"/>
  <c r="E62" i="8"/>
  <c r="E388" i="8"/>
  <c r="F391" i="8"/>
  <c r="F407" i="8"/>
  <c r="E404" i="8"/>
  <c r="AH420" i="8"/>
  <c r="F359" i="8"/>
  <c r="E356" i="8"/>
  <c r="AM404" i="8"/>
  <c r="F343" i="8"/>
  <c r="E340" i="8"/>
  <c r="AH436" i="8"/>
  <c r="AH231" i="8"/>
  <c r="AM199" i="8"/>
  <c r="AM215" i="8"/>
  <c r="AM372" i="8"/>
  <c r="AI231" i="8"/>
  <c r="AJ231" i="8" s="1"/>
  <c r="F231" i="8"/>
  <c r="T231" i="8" s="1"/>
  <c r="E199" i="8"/>
  <c r="F202" i="8"/>
  <c r="AH215" i="8"/>
  <c r="AH372" i="8"/>
  <c r="H375" i="23" l="1"/>
  <c r="G501" i="23" s="1"/>
  <c r="E313" i="23"/>
  <c r="F313" i="23" s="1"/>
  <c r="E59" i="23"/>
  <c r="F59" i="23" s="1"/>
  <c r="E62" i="23"/>
  <c r="F62" i="23" s="1"/>
  <c r="E369" i="23"/>
  <c r="F369" i="23" s="1"/>
  <c r="E60" i="23"/>
  <c r="F60" i="23" s="1"/>
  <c r="E327" i="23"/>
  <c r="F327" i="23" s="1"/>
  <c r="H340" i="23"/>
  <c r="G500" i="23" s="1"/>
  <c r="E64" i="23"/>
  <c r="F64" i="23" s="1"/>
  <c r="E50" i="23"/>
  <c r="F50" i="23" s="1"/>
  <c r="E352" i="23"/>
  <c r="F352" i="23" s="1"/>
  <c r="E48" i="23"/>
  <c r="F48" i="23" s="1"/>
  <c r="E65" i="23"/>
  <c r="F65" i="23" s="1"/>
  <c r="E256" i="23"/>
  <c r="F256" i="23" s="1"/>
  <c r="E257" i="23"/>
  <c r="F257" i="23" s="1"/>
  <c r="E47" i="23"/>
  <c r="F47" i="23" s="1"/>
  <c r="E37" i="23"/>
  <c r="F37" i="23" s="1"/>
  <c r="H33" i="23"/>
  <c r="E61" i="23"/>
  <c r="F61" i="23" s="1"/>
  <c r="E66" i="23"/>
  <c r="F66" i="23" s="1"/>
  <c r="E36" i="23"/>
  <c r="F36" i="23" s="1"/>
  <c r="E56" i="23"/>
  <c r="F56" i="23" s="1"/>
  <c r="E63" i="23"/>
  <c r="F63" i="23" s="1"/>
  <c r="E123" i="8"/>
  <c r="F126" i="8"/>
  <c r="AN123" i="8"/>
  <c r="E139" i="8"/>
  <c r="F142" i="8"/>
  <c r="AN139" i="8"/>
  <c r="AG34" i="8"/>
  <c r="AG27" i="8" s="1"/>
  <c r="AH27" i="8" s="1"/>
  <c r="R2055" i="8"/>
  <c r="R2069" i="8"/>
  <c r="AJ2055" i="8"/>
  <c r="AJ2065" i="8" s="1"/>
  <c r="T2065" i="8"/>
  <c r="E30" i="8"/>
  <c r="E27" i="8" s="1"/>
  <c r="AK2001" i="8"/>
  <c r="AK468" i="8"/>
  <c r="E1829" i="8"/>
  <c r="F1460" i="8"/>
  <c r="F1782" i="8"/>
  <c r="F1361" i="8"/>
  <c r="AI1361" i="8"/>
  <c r="AJ1361" i="8" s="1"/>
  <c r="E1528" i="8"/>
  <c r="F1666" i="8"/>
  <c r="T1666" i="8" s="1"/>
  <c r="AI1666" i="8"/>
  <c r="AJ1666" i="8" s="1"/>
  <c r="AI1779" i="8"/>
  <c r="AJ1779" i="8" s="1"/>
  <c r="F1779" i="8"/>
  <c r="F1669" i="8"/>
  <c r="G340" i="23"/>
  <c r="F1457" i="8"/>
  <c r="AI1457" i="8"/>
  <c r="R170" i="1"/>
  <c r="R2137" i="8"/>
  <c r="R165" i="1"/>
  <c r="D83" i="1" s="1"/>
  <c r="T166" i="1"/>
  <c r="R483" i="8"/>
  <c r="R1122" i="8" s="1"/>
  <c r="E159" i="8"/>
  <c r="G415" i="23"/>
  <c r="G277" i="23"/>
  <c r="H501" i="23"/>
  <c r="I430" i="23"/>
  <c r="G375" i="23"/>
  <c r="I277" i="23"/>
  <c r="AI1099" i="8"/>
  <c r="AK1099" i="8" s="1"/>
  <c r="E273" i="23"/>
  <c r="F273" i="23" s="1"/>
  <c r="AO75" i="8"/>
  <c r="G36" i="23"/>
  <c r="AO247" i="8"/>
  <c r="G50" i="23"/>
  <c r="AO388" i="8"/>
  <c r="G62" i="23"/>
  <c r="AO404" i="8"/>
  <c r="G63" i="23"/>
  <c r="AO340" i="8"/>
  <c r="G59" i="23"/>
  <c r="AO356" i="8"/>
  <c r="G60" i="23"/>
  <c r="AO372" i="8"/>
  <c r="G61" i="23"/>
  <c r="AO215" i="8"/>
  <c r="G48" i="23"/>
  <c r="AO199" i="8"/>
  <c r="G47" i="23"/>
  <c r="AO420" i="8"/>
  <c r="G64" i="23"/>
  <c r="AO436" i="8"/>
  <c r="G65" i="23"/>
  <c r="AO91" i="8"/>
  <c r="G37" i="23"/>
  <c r="AO452" i="8"/>
  <c r="G66" i="23"/>
  <c r="F1099" i="8"/>
  <c r="T1099" i="8" s="1"/>
  <c r="F640" i="8"/>
  <c r="AI664" i="8"/>
  <c r="AJ664" i="8" s="1"/>
  <c r="AJ580" i="8"/>
  <c r="T168" i="1"/>
  <c r="F524" i="8"/>
  <c r="E526" i="8" s="1"/>
  <c r="F672" i="8"/>
  <c r="E618" i="8"/>
  <c r="AI616" i="8"/>
  <c r="AJ616" i="8" s="1"/>
  <c r="F806" i="8"/>
  <c r="E808" i="8" s="1"/>
  <c r="AI806" i="8"/>
  <c r="AJ806" i="8" s="1"/>
  <c r="AK648" i="8"/>
  <c r="F508" i="8"/>
  <c r="E510" i="8" s="1"/>
  <c r="AJ296" i="8"/>
  <c r="F544" i="8"/>
  <c r="E546" i="8" s="1"/>
  <c r="F648" i="8"/>
  <c r="E650" i="8" s="1"/>
  <c r="AI596" i="8"/>
  <c r="AJ596" i="8" s="1"/>
  <c r="AK700" i="8"/>
  <c r="F684" i="8"/>
  <c r="E686" i="8" s="1"/>
  <c r="AI760" i="8"/>
  <c r="AJ760" i="8" s="1"/>
  <c r="F760" i="8"/>
  <c r="T760" i="8" s="1"/>
  <c r="E298" i="8"/>
  <c r="F304" i="8"/>
  <c r="AK716" i="8"/>
  <c r="T891" i="8"/>
  <c r="F929" i="8"/>
  <c r="E893" i="8"/>
  <c r="AJ891" i="8"/>
  <c r="AK891" i="8"/>
  <c r="AJ280" i="8"/>
  <c r="AK280" i="8"/>
  <c r="F288" i="8"/>
  <c r="E282" i="8"/>
  <c r="T280" i="8"/>
  <c r="F183" i="8"/>
  <c r="E177" i="8"/>
  <c r="T175" i="8"/>
  <c r="AJ175" i="8"/>
  <c r="AK175" i="8"/>
  <c r="AI316" i="8"/>
  <c r="F316" i="8"/>
  <c r="F91" i="8"/>
  <c r="AI91" i="8"/>
  <c r="F75" i="8"/>
  <c r="AI75" i="8"/>
  <c r="AM27" i="8"/>
  <c r="AM43" i="8"/>
  <c r="E43" i="8"/>
  <c r="F46" i="8"/>
  <c r="AH43" i="8"/>
  <c r="AJ684" i="8"/>
  <c r="AK684" i="8"/>
  <c r="E598" i="8"/>
  <c r="F604" i="8"/>
  <c r="AJ524" i="8"/>
  <c r="AK524" i="8"/>
  <c r="AJ544" i="8"/>
  <c r="AK544" i="8"/>
  <c r="AJ560" i="8"/>
  <c r="AK560" i="8"/>
  <c r="F568" i="8"/>
  <c r="E562" i="8"/>
  <c r="AK231" i="8"/>
  <c r="F500" i="8"/>
  <c r="E494" i="8"/>
  <c r="AJ508" i="8"/>
  <c r="AK508" i="8"/>
  <c r="AJ492" i="8"/>
  <c r="AK492" i="8"/>
  <c r="F62" i="8"/>
  <c r="E59" i="8"/>
  <c r="AM59" i="8"/>
  <c r="AI372" i="8"/>
  <c r="F372" i="8"/>
  <c r="AH59" i="8"/>
  <c r="AI340" i="8"/>
  <c r="F340" i="8"/>
  <c r="AI404" i="8"/>
  <c r="F404" i="8"/>
  <c r="AI436" i="8"/>
  <c r="F436" i="8"/>
  <c r="AI215" i="8"/>
  <c r="F215" i="8"/>
  <c r="AI452" i="8"/>
  <c r="F452" i="8"/>
  <c r="F199" i="8"/>
  <c r="AI199" i="8"/>
  <c r="AI388" i="8"/>
  <c r="F388" i="8"/>
  <c r="AI420" i="8"/>
  <c r="F420" i="8"/>
  <c r="E233" i="8"/>
  <c r="F239" i="8"/>
  <c r="AI356" i="8"/>
  <c r="F356" i="8"/>
  <c r="F247" i="8"/>
  <c r="AI247" i="8"/>
  <c r="F277" i="23" l="1"/>
  <c r="E497" i="23" s="1"/>
  <c r="H430" i="23"/>
  <c r="AI1829" i="8"/>
  <c r="AJ1829" i="8" s="1"/>
  <c r="E34" i="23"/>
  <c r="F34" i="23" s="1"/>
  <c r="E35" i="23"/>
  <c r="F35" i="23" s="1"/>
  <c r="E338" i="23"/>
  <c r="F338" i="23" s="1"/>
  <c r="F340" i="23" s="1"/>
  <c r="E500" i="23" s="1"/>
  <c r="E33" i="23"/>
  <c r="F33" i="23" s="1"/>
  <c r="F159" i="8"/>
  <c r="F167" i="8" s="1"/>
  <c r="AO139" i="8"/>
  <c r="H41" i="23"/>
  <c r="AO123" i="8"/>
  <c r="H40" i="23"/>
  <c r="F139" i="8"/>
  <c r="AI139" i="8"/>
  <c r="AI123" i="8"/>
  <c r="F123" i="8"/>
  <c r="R2071" i="8"/>
  <c r="R2073" i="8"/>
  <c r="R2074" i="8" s="1"/>
  <c r="E1363" i="8"/>
  <c r="AH2055" i="8"/>
  <c r="AH2065" i="8" s="1"/>
  <c r="AK2065" i="8" s="1"/>
  <c r="R2065" i="8"/>
  <c r="AH2054" i="8"/>
  <c r="F30" i="8"/>
  <c r="F2055" i="8" s="1"/>
  <c r="R23" i="1"/>
  <c r="R35" i="1" s="1"/>
  <c r="F1792" i="8"/>
  <c r="AK1829" i="8"/>
  <c r="T1779" i="8"/>
  <c r="E1781" i="8"/>
  <c r="F1829" i="8"/>
  <c r="E1831" i="8" s="1"/>
  <c r="E1668" i="8"/>
  <c r="F1679" i="8"/>
  <c r="E373" i="23"/>
  <c r="F373" i="23" s="1"/>
  <c r="F375" i="23" s="1"/>
  <c r="E501" i="23" s="1"/>
  <c r="AK1361" i="8"/>
  <c r="AK1666" i="8"/>
  <c r="F1374" i="8"/>
  <c r="T1361" i="8"/>
  <c r="AK1779" i="8"/>
  <c r="F1528" i="8"/>
  <c r="AI1528" i="8"/>
  <c r="AJ1528" i="8" s="1"/>
  <c r="F415" i="23"/>
  <c r="AJ1457" i="8"/>
  <c r="AK1457" i="8"/>
  <c r="T1457" i="8"/>
  <c r="E1459" i="8"/>
  <c r="F1470" i="8"/>
  <c r="R37" i="1"/>
  <c r="F1116" i="8"/>
  <c r="E43" i="23"/>
  <c r="F43" i="23" s="1"/>
  <c r="AI159" i="8"/>
  <c r="AJ159" i="8" s="1"/>
  <c r="G430" i="23"/>
  <c r="H497" i="23"/>
  <c r="AJ1099" i="8"/>
  <c r="AO27" i="8"/>
  <c r="G33" i="23"/>
  <c r="AO59" i="8"/>
  <c r="G35" i="23"/>
  <c r="AO43" i="8"/>
  <c r="G34" i="23"/>
  <c r="AK616" i="8"/>
  <c r="E1101" i="8"/>
  <c r="F1107" i="8"/>
  <c r="F532" i="8"/>
  <c r="AK664" i="8"/>
  <c r="F516" i="8"/>
  <c r="F692" i="8"/>
  <c r="T806" i="8"/>
  <c r="F837" i="8"/>
  <c r="AK760" i="8"/>
  <c r="AK806" i="8"/>
  <c r="F656" i="8"/>
  <c r="F552" i="8"/>
  <c r="AK596" i="8"/>
  <c r="F798" i="8"/>
  <c r="E762" i="8"/>
  <c r="F324" i="8"/>
  <c r="E318" i="8"/>
  <c r="T316" i="8"/>
  <c r="AJ316" i="8"/>
  <c r="AK316" i="8"/>
  <c r="AK75" i="8"/>
  <c r="AJ75" i="8"/>
  <c r="E77" i="8"/>
  <c r="F83" i="8"/>
  <c r="T75" i="8"/>
  <c r="AJ91" i="8"/>
  <c r="AK91" i="8"/>
  <c r="E93" i="8"/>
  <c r="F100" i="8"/>
  <c r="T91" i="8"/>
  <c r="F43" i="8"/>
  <c r="AI43" i="8"/>
  <c r="AI27" i="8"/>
  <c r="F27" i="8"/>
  <c r="F396" i="8"/>
  <c r="E390" i="8"/>
  <c r="T388" i="8"/>
  <c r="F364" i="8"/>
  <c r="E358" i="8"/>
  <c r="T356" i="8"/>
  <c r="AJ436" i="8"/>
  <c r="AK436" i="8"/>
  <c r="AJ452" i="8"/>
  <c r="AK452" i="8"/>
  <c r="F348" i="8"/>
  <c r="E342" i="8"/>
  <c r="T340" i="8"/>
  <c r="F460" i="8"/>
  <c r="E454" i="8"/>
  <c r="T452" i="8"/>
  <c r="AJ247" i="8"/>
  <c r="AK247" i="8"/>
  <c r="F428" i="8"/>
  <c r="E422" i="8"/>
  <c r="T420" i="8"/>
  <c r="F223" i="8"/>
  <c r="E217" i="8"/>
  <c r="T215" i="8"/>
  <c r="AJ340" i="8"/>
  <c r="AK340" i="8"/>
  <c r="AJ199" i="8"/>
  <c r="AK199" i="8"/>
  <c r="AJ372" i="8"/>
  <c r="AK372" i="8"/>
  <c r="AJ356" i="8"/>
  <c r="AK356" i="8"/>
  <c r="F207" i="8"/>
  <c r="E201" i="8"/>
  <c r="T199" i="8"/>
  <c r="F412" i="8"/>
  <c r="E406" i="8"/>
  <c r="T404" i="8"/>
  <c r="AJ404" i="8"/>
  <c r="AK404" i="8"/>
  <c r="F256" i="8"/>
  <c r="E249" i="8"/>
  <c r="T247" i="8"/>
  <c r="AJ420" i="8"/>
  <c r="AK420" i="8"/>
  <c r="AJ215" i="8"/>
  <c r="AK215" i="8"/>
  <c r="F59" i="8"/>
  <c r="AI59" i="8"/>
  <c r="AJ388" i="8"/>
  <c r="AK388" i="8"/>
  <c r="F444" i="8"/>
  <c r="E438" i="8"/>
  <c r="T436" i="8"/>
  <c r="E374" i="8"/>
  <c r="F380" i="8"/>
  <c r="T372" i="8"/>
  <c r="H68" i="23" l="1"/>
  <c r="H514" i="23" s="1"/>
  <c r="X34" i="1" s="1"/>
  <c r="X37" i="1" s="1"/>
  <c r="E161" i="8"/>
  <c r="T159" i="8"/>
  <c r="F68" i="23"/>
  <c r="E493" i="23" s="1"/>
  <c r="F498" i="23" s="1"/>
  <c r="H279" i="23"/>
  <c r="E125" i="8"/>
  <c r="F131" i="8"/>
  <c r="T123" i="8"/>
  <c r="AJ123" i="8"/>
  <c r="AK123" i="8"/>
  <c r="AJ139" i="8"/>
  <c r="AK139" i="8"/>
  <c r="F147" i="8"/>
  <c r="E141" i="8"/>
  <c r="T139" i="8"/>
  <c r="AH2066" i="8"/>
  <c r="F2069" i="8"/>
  <c r="B2055" i="8"/>
  <c r="E21" i="18"/>
  <c r="R39" i="1"/>
  <c r="F23" i="1"/>
  <c r="F1842" i="8"/>
  <c r="F2044" i="8" s="1"/>
  <c r="F2050" i="8" s="1"/>
  <c r="T1829" i="8"/>
  <c r="AK1528" i="8"/>
  <c r="F1541" i="8"/>
  <c r="T1528" i="8"/>
  <c r="E1530" i="8"/>
  <c r="E502" i="23"/>
  <c r="F504" i="23" s="1"/>
  <c r="F510" i="23" s="1"/>
  <c r="F430" i="23"/>
  <c r="T1116" i="8"/>
  <c r="B1116" i="8" s="1"/>
  <c r="F483" i="8"/>
  <c r="F1122" i="8" s="1"/>
  <c r="AK159" i="8"/>
  <c r="G68" i="23"/>
  <c r="G514" i="23" s="1"/>
  <c r="I68" i="23"/>
  <c r="I514" i="23" s="1"/>
  <c r="T2134" i="8"/>
  <c r="T2137" i="8" s="1"/>
  <c r="T165" i="1"/>
  <c r="T37" i="1" s="1"/>
  <c r="F279" i="23"/>
  <c r="E45" i="8"/>
  <c r="F51" i="8"/>
  <c r="T43" i="8"/>
  <c r="AJ27" i="8"/>
  <c r="AK27" i="8"/>
  <c r="F35" i="8"/>
  <c r="E29" i="8"/>
  <c r="T27" i="8"/>
  <c r="AJ43" i="8"/>
  <c r="AK43" i="8"/>
  <c r="AJ59" i="8"/>
  <c r="AK59" i="8"/>
  <c r="F67" i="8"/>
  <c r="E61" i="8"/>
  <c r="T59" i="8"/>
  <c r="G493" i="23" l="1"/>
  <c r="G510" i="23" s="1"/>
  <c r="T2044" i="8"/>
  <c r="T2069" i="8"/>
  <c r="B2069" i="8" s="1"/>
  <c r="F2056" i="8"/>
  <c r="B2056" i="8" s="1"/>
  <c r="AK2054" i="8"/>
  <c r="AK2066" i="8" s="1"/>
  <c r="AJ2054" i="8"/>
  <c r="AJ2066" i="8" s="1"/>
  <c r="F2071" i="8"/>
  <c r="F2057" i="8"/>
  <c r="B2057" i="8" s="1"/>
  <c r="G279" i="23"/>
  <c r="W34" i="1" s="1"/>
  <c r="T483" i="8"/>
  <c r="T1122" i="8" s="1"/>
  <c r="B1122" i="8" s="1"/>
  <c r="H493" i="23"/>
  <c r="H510" i="23" s="1"/>
  <c r="I279" i="23"/>
  <c r="Y34" i="1" s="1"/>
  <c r="Y37" i="1" s="1"/>
  <c r="T167" i="1"/>
  <c r="T170" i="1" s="1"/>
  <c r="S165" i="1"/>
  <c r="F83" i="1" s="1"/>
  <c r="E83" i="1"/>
  <c r="B2044" i="8" l="1"/>
  <c r="T2050" i="8"/>
  <c r="T2073" i="8" s="1"/>
  <c r="T2074" i="8" s="1"/>
  <c r="T2071" i="8"/>
  <c r="B2071" i="8" s="1"/>
  <c r="F2073" i="8"/>
  <c r="F2065" i="8"/>
  <c r="B483" i="8"/>
  <c r="F25" i="1"/>
  <c r="A25" i="1" s="1"/>
  <c r="W37" i="1"/>
  <c r="T23" i="1"/>
  <c r="F24" i="1"/>
  <c r="E22" i="18" l="1"/>
  <c r="B2073" i="8"/>
  <c r="B2050" i="8"/>
  <c r="B25" i="1"/>
  <c r="E25" i="1"/>
  <c r="T35" i="1"/>
  <c r="B23" i="1"/>
  <c r="A23" i="1"/>
  <c r="B24" i="1"/>
  <c r="E24" i="1"/>
  <c r="A24" i="1"/>
  <c r="F35" i="1"/>
  <c r="C72" i="1"/>
  <c r="E35" i="1" l="1"/>
  <c r="F75" i="1" s="1"/>
  <c r="R83" i="1" s="1"/>
  <c r="Q19" i="1" s="1"/>
  <c r="B19" i="1"/>
  <c r="T39" i="1"/>
  <c r="F72" i="1"/>
  <c r="Q15" i="1"/>
  <c r="Q16" i="1" l="1"/>
  <c r="F74" i="1"/>
  <c r="Q1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Vella</author>
    <author>Thomas Sammut</author>
  </authors>
  <commentList>
    <comment ref="A35" authorId="0" shapeId="0" xr:uid="{00000000-0006-0000-0100-000001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51" authorId="0" shapeId="0" xr:uid="{00000000-0006-0000-0100-000002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67" authorId="0" shapeId="0" xr:uid="{00000000-0006-0000-0100-000003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83" authorId="0" shapeId="0" xr:uid="{00000000-0006-0000-0100-000004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00" authorId="0" shapeId="0" xr:uid="{00000000-0006-0000-0100-000005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31" authorId="0" shapeId="0" xr:uid="{4B78737E-30DF-42A1-BA19-47E7241B2093}">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47" authorId="0" shapeId="0" xr:uid="{575F67D4-B350-44DA-8DA5-982EA22D25DA}">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67" authorId="0" shapeId="0" xr:uid="{00000000-0006-0000-0100-000006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83" authorId="0" shapeId="0" xr:uid="{00000000-0006-0000-0100-000007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07" authorId="0" shapeId="0" xr:uid="{00000000-0006-0000-0100-000008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23" authorId="0" shapeId="0" xr:uid="{00000000-0006-0000-0100-000009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39" authorId="0" shapeId="0" xr:uid="{00000000-0006-0000-0100-00000A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56" authorId="0" shapeId="0" xr:uid="{00000000-0006-0000-0100-00000B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88" authorId="0" shapeId="0" xr:uid="{00000000-0006-0000-0100-00000C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304" authorId="0" shapeId="0" xr:uid="{00000000-0006-0000-0100-00000D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324" authorId="0" shapeId="0" xr:uid="{00000000-0006-0000-0100-00000E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348" authorId="0" shapeId="0" xr:uid="{00000000-0006-0000-0100-00000F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364" authorId="0" shapeId="0" xr:uid="{00000000-0006-0000-0100-000010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380" authorId="0" shapeId="0" xr:uid="{00000000-0006-0000-0100-000011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396" authorId="0" shapeId="0" xr:uid="{00000000-0006-0000-0100-000012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412" authorId="0" shapeId="0" xr:uid="{00000000-0006-0000-0100-000013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428" authorId="0" shapeId="0" xr:uid="{00000000-0006-0000-0100-000014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444" authorId="0" shapeId="0" xr:uid="{00000000-0006-0000-0100-000015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460" authorId="0" shapeId="0" xr:uid="{00000000-0006-0000-0100-000016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500" authorId="0" shapeId="0" xr:uid="{00000000-0006-0000-0100-000017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516" authorId="0" shapeId="0" xr:uid="{00000000-0006-0000-0100-000018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532" authorId="0" shapeId="0" xr:uid="{00000000-0006-0000-0100-000019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552" authorId="0" shapeId="0" xr:uid="{00000000-0006-0000-0100-00001A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568" authorId="0" shapeId="0" xr:uid="{00000000-0006-0000-0100-00001B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588" authorId="0" shapeId="0" xr:uid="{00000000-0006-0000-0100-00001C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604" authorId="0" shapeId="0" xr:uid="{00000000-0006-0000-0100-00001D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624" authorId="0" shapeId="0" xr:uid="{00000000-0006-0000-0100-00001E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640" authorId="0" shapeId="0" xr:uid="{00000000-0006-0000-0100-00001F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656" authorId="0" shapeId="0" xr:uid="{00000000-0006-0000-0100-000020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672" authorId="0" shapeId="0" xr:uid="{00000000-0006-0000-0100-000021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692" authorId="0" shapeId="0" xr:uid="{00000000-0006-0000-0100-000022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708" authorId="0" shapeId="0" xr:uid="{00000000-0006-0000-0100-000023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724" authorId="0" shapeId="0" xr:uid="{00000000-0006-0000-0100-000024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798" authorId="0" shapeId="0" xr:uid="{00000000-0006-0000-0100-000025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837" authorId="0" shapeId="0" xr:uid="{00000000-0006-0000-0100-000026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860" authorId="0" shapeId="0" xr:uid="{00000000-0006-0000-0100-000027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Q861" authorId="1" shapeId="0" xr:uid="{81ED6625-4E39-4331-A303-2C92610CE8BE}">
      <text>
        <r>
          <rPr>
            <b/>
            <sz val="9"/>
            <color indexed="81"/>
            <rFont val="Tahoma"/>
            <family val="2"/>
          </rPr>
          <t>Thomas Sammut:</t>
        </r>
        <r>
          <rPr>
            <sz val="9"/>
            <color indexed="81"/>
            <rFont val="Tahoma"/>
            <family val="2"/>
          </rPr>
          <t xml:space="preserve">
€2159.12 by Raymond</t>
        </r>
      </text>
    </comment>
    <comment ref="A883" authorId="0" shapeId="0" xr:uid="{1D46AFAB-5B0F-4AAB-80FF-18FA25D357DA}">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929" authorId="0" shapeId="0" xr:uid="{00000000-0006-0000-0100-000028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953" authorId="0" shapeId="0" xr:uid="{00000000-0006-0000-0100-000029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976" authorId="0" shapeId="0" xr:uid="{00000000-0006-0000-0100-00002A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999" authorId="0" shapeId="0" xr:uid="{00000000-0006-0000-0100-00002B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022" authorId="0" shapeId="0" xr:uid="{00000000-0006-0000-0100-00002C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063" authorId="0" shapeId="0" xr:uid="{00000000-0006-0000-0100-00002D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091" authorId="0" shapeId="0" xr:uid="{00000000-0006-0000-0100-00002E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107" authorId="0" shapeId="0" xr:uid="{00000000-0006-0000-0100-00002F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152" authorId="0" shapeId="0" xr:uid="{00000000-0006-0000-0100-000030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173" authorId="0" shapeId="0" xr:uid="{00000000-0006-0000-0100-000031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194" authorId="0" shapeId="0" xr:uid="{00000000-0006-0000-0100-000032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215" authorId="0" shapeId="0" xr:uid="{00000000-0006-0000-0100-000033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236" authorId="0" shapeId="0" xr:uid="{00000000-0006-0000-0100-000034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257" authorId="0" shapeId="0" xr:uid="{00000000-0006-0000-0100-000035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278" authorId="0" shapeId="0" xr:uid="{00000000-0006-0000-0100-000036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311" authorId="0" shapeId="0" xr:uid="{00000000-0006-0000-0100-000037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332" authorId="0" shapeId="0" xr:uid="{00000000-0006-0000-0100-000038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353" authorId="0" shapeId="0" xr:uid="{00000000-0006-0000-0100-000039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374" authorId="0" shapeId="0" xr:uid="{00000000-0006-0000-0100-00003A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407" authorId="0" shapeId="0" xr:uid="{00000000-0006-0000-0100-00003B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428" authorId="0" shapeId="0" xr:uid="{00000000-0006-0000-0100-00003C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449" authorId="0" shapeId="0" xr:uid="{00000000-0006-0000-0100-00003D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470" authorId="0" shapeId="0" xr:uid="{00000000-0006-0000-0100-00003E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499" authorId="0" shapeId="0" xr:uid="{00000000-0006-0000-0100-00003F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520" authorId="0" shapeId="0" xr:uid="{00000000-0006-0000-0100-000040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541" authorId="0" shapeId="0" xr:uid="{00000000-0006-0000-0100-000041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574" authorId="0" shapeId="0" xr:uid="{00000000-0006-0000-0100-000042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595" authorId="0" shapeId="0" xr:uid="{00000000-0006-0000-0100-000043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616" authorId="0" shapeId="0" xr:uid="{00000000-0006-0000-0100-000044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637" authorId="0" shapeId="0" xr:uid="{00000000-0006-0000-0100-000045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658" authorId="0" shapeId="0" xr:uid="{00000000-0006-0000-0100-000046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679" authorId="0" shapeId="0" xr:uid="{00000000-0006-0000-0100-000047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708" authorId="0" shapeId="0" xr:uid="{00000000-0006-0000-0100-000048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729" authorId="0" shapeId="0" xr:uid="{00000000-0006-0000-0100-000049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750" authorId="0" shapeId="0" xr:uid="{00000000-0006-0000-0100-00004A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771" authorId="0" shapeId="0" xr:uid="{00000000-0006-0000-0100-00004B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792" authorId="0" shapeId="0" xr:uid="{00000000-0006-0000-0100-00004C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821" authorId="0" shapeId="0" xr:uid="{00000000-0006-0000-0100-00004D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842" authorId="0" shapeId="0" xr:uid="{00000000-0006-0000-0100-00004E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875" authorId="0" shapeId="0" xr:uid="{00000000-0006-0000-0100-00004F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896" authorId="0" shapeId="0" xr:uid="{00000000-0006-0000-0100-000050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917" authorId="0" shapeId="0" xr:uid="{00000000-0006-0000-0100-000051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938" authorId="0" shapeId="0" xr:uid="{00000000-0006-0000-0100-000052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K2054" authorId="0" shapeId="0" xr:uid="{00000000-0006-0000-0100-000053000000}">
      <text>
        <r>
          <rPr>
            <b/>
            <sz val="10"/>
            <color indexed="81"/>
            <rFont val="Tahoma"/>
            <family val="2"/>
          </rPr>
          <t>Michael Vella:</t>
        </r>
        <r>
          <rPr>
            <sz val="10"/>
            <color indexed="81"/>
            <rFont val="Tahoma"/>
            <family val="2"/>
          </rPr>
          <t xml:space="preserve">
This cell should be exactly equal to the MU SUMMARY TOTAL.</t>
        </r>
      </text>
    </comment>
    <comment ref="AH2066" authorId="0" shapeId="0" xr:uid="{00000000-0006-0000-0100-000054000000}">
      <text>
        <r>
          <rPr>
            <b/>
            <sz val="10"/>
            <color indexed="81"/>
            <rFont val="Tahoma"/>
            <family val="2"/>
          </rPr>
          <t>Michael Vella:</t>
        </r>
        <r>
          <rPr>
            <sz val="10"/>
            <color indexed="81"/>
            <rFont val="Tahoma"/>
            <family val="2"/>
          </rPr>
          <t xml:space="preserve">
This discrepancy must be small</t>
        </r>
      </text>
    </comment>
    <comment ref="AJ2066" authorId="0" shapeId="0" xr:uid="{00000000-0006-0000-0100-000055000000}">
      <text>
        <r>
          <rPr>
            <b/>
            <sz val="10"/>
            <color indexed="81"/>
            <rFont val="Tahoma"/>
            <family val="2"/>
          </rPr>
          <t>Michael Vella:</t>
        </r>
        <r>
          <rPr>
            <sz val="10"/>
            <color indexed="81"/>
            <rFont val="Tahoma"/>
            <family val="2"/>
          </rPr>
          <t xml:space="preserve">
This discrepancy must be small</t>
        </r>
      </text>
    </comment>
    <comment ref="AK2066" authorId="0" shapeId="0" xr:uid="{00000000-0006-0000-0100-000056000000}">
      <text>
        <r>
          <rPr>
            <b/>
            <sz val="10"/>
            <color indexed="81"/>
            <rFont val="Tahoma"/>
            <family val="2"/>
          </rPr>
          <t>Michael Vella:</t>
        </r>
        <r>
          <rPr>
            <sz val="10"/>
            <color indexed="81"/>
            <rFont val="Tahoma"/>
            <family val="2"/>
          </rPr>
          <t xml:space="preserve">
This discrepancy must be small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C1" authorId="0" shapeId="0" xr:uid="{00000000-0006-0000-0500-000001000000}">
      <text>
        <r>
          <rPr>
            <b/>
            <sz val="8"/>
            <color indexed="81"/>
            <rFont val="Tahoma"/>
            <family val="2"/>
          </rPr>
          <t>Michael Vella:</t>
        </r>
        <r>
          <rPr>
            <sz val="8"/>
            <color indexed="81"/>
            <rFont val="Tahoma"/>
            <family val="2"/>
          </rPr>
          <t xml:space="preserve">
Insert Foreign Currency here (say: 1.55 - $US) and change Q1 accordingly</t>
        </r>
      </text>
    </comment>
    <comment ref="W1" authorId="0" shapeId="0" xr:uid="{00000000-0006-0000-0500-000002000000}">
      <text>
        <r>
          <rPr>
            <b/>
            <sz val="8"/>
            <color indexed="81"/>
            <rFont val="Tahoma"/>
            <family val="2"/>
          </rPr>
          <t>Michael Vella:</t>
        </r>
        <r>
          <rPr>
            <sz val="8"/>
            <color indexed="81"/>
            <rFont val="Tahoma"/>
            <family val="2"/>
          </rPr>
          <t xml:space="preserve">
BOQ      - Use numbers in BOQ column
TDWG   - Use numbers in TDWG column
ACT       - Use numbers in ACT column
DIF_TD - Use (TDWG - BOQ) difference
DIF_A   - Use (ACT - BOQ) difference
</t>
        </r>
      </text>
    </comment>
    <comment ref="R2" authorId="0" shapeId="0" xr:uid="{00000000-0006-0000-0500-000003000000}">
      <text>
        <r>
          <rPr>
            <b/>
            <sz val="8"/>
            <color indexed="81"/>
            <rFont val="Tahoma"/>
            <family val="2"/>
          </rPr>
          <t>Michael Vella:</t>
        </r>
        <r>
          <rPr>
            <sz val="8"/>
            <color indexed="81"/>
            <rFont val="Tahoma"/>
            <family val="2"/>
          </rPr>
          <t xml:space="preserve">
When you want to uplift markups to offset a discount, 
first generate your estimate without any discount and paste the estimate totals as values-only.
Then divide markups by       (1-Dsct%) to get to your original values-only totals.</t>
        </r>
      </text>
    </comment>
    <comment ref="B3" authorId="0" shapeId="0" xr:uid="{00000000-0006-0000-0500-000004000000}">
      <text>
        <r>
          <rPr>
            <b/>
            <sz val="8"/>
            <color indexed="81"/>
            <rFont val="Tahoma"/>
            <family val="2"/>
          </rPr>
          <t>Michael Vella:</t>
        </r>
        <r>
          <rPr>
            <sz val="8"/>
            <color indexed="81"/>
            <rFont val="Tahoma"/>
            <family val="2"/>
          </rPr>
          <t xml:space="preserve">
When job description starts with "Supply only" and the Quote No. is "EL" then the Quote Title in the Quote worksheet will change from PANTA CONTRACTING LTD  to PANTA RETAIL LTD.</t>
        </r>
      </text>
    </comment>
    <comment ref="D7" authorId="0" shapeId="0" xr:uid="{00000000-0006-0000-0500-000005000000}">
      <text>
        <r>
          <rPr>
            <b/>
            <sz val="8"/>
            <color indexed="81"/>
            <rFont val="Tahoma"/>
            <family val="2"/>
          </rPr>
          <t>Michael Vella:</t>
        </r>
        <r>
          <rPr>
            <sz val="8"/>
            <color indexed="81"/>
            <rFont val="Tahoma"/>
            <family val="2"/>
          </rPr>
          <t xml:space="preserve">
Press &lt;CTRL :&gt; to enter the current date.</t>
        </r>
      </text>
    </comment>
    <comment ref="R12" authorId="0" shapeId="0" xr:uid="{00000000-0006-0000-0500-000006000000}">
      <text>
        <r>
          <rPr>
            <b/>
            <sz val="8"/>
            <color indexed="10"/>
            <rFont val="Tahoma"/>
            <family val="2"/>
          </rPr>
          <t>Michael Vella:</t>
        </r>
        <r>
          <rPr>
            <sz val="8"/>
            <color indexed="10"/>
            <rFont val="Tahoma"/>
            <family val="2"/>
          </rPr>
          <t xml:space="preserve">
Enter the markups used  in this cell to make Mario aware eg: (MIXED I,J).
Preferably dedicated markups should be used for the mixed subitems which are not used anywhere else. 
Also the same discount value should then be entered for all three (MIXED, I and J)</t>
        </r>
      </text>
    </comment>
    <comment ref="A33" authorId="0" shapeId="0" xr:uid="{00000000-0006-0000-0500-000007000000}">
      <text>
        <r>
          <rPr>
            <b/>
            <sz val="8"/>
            <color indexed="81"/>
            <rFont val="Tahoma"/>
            <family val="2"/>
          </rPr>
          <t>Michael Vella:</t>
        </r>
        <r>
          <rPr>
            <sz val="8"/>
            <color indexed="81"/>
            <rFont val="Tahoma"/>
            <family val="2"/>
          </rPr>
          <t xml:space="preserve">
Select MIXED if mixed markups are used.
Leave empty if mixed markups are not used.</t>
        </r>
      </text>
    </comment>
    <comment ref="C33" authorId="0" shapeId="0" xr:uid="{00000000-0006-0000-0500-000008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R33" authorId="0" shapeId="0" xr:uid="{00000000-0006-0000-0500-000009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A37" authorId="0" shapeId="0" xr:uid="{00000000-0006-0000-0500-00000A000000}">
      <text>
        <r>
          <rPr>
            <b/>
            <sz val="8"/>
            <color indexed="81"/>
            <rFont val="Tahoma"/>
            <family val="2"/>
          </rPr>
          <t>Michael Vella:</t>
        </r>
        <r>
          <rPr>
            <sz val="8"/>
            <color indexed="81"/>
            <rFont val="Tahoma"/>
            <family val="2"/>
          </rPr>
          <t xml:space="preserve">
</t>
        </r>
        <r>
          <rPr>
            <sz val="8"/>
            <color indexed="17"/>
            <rFont val="Tahoma"/>
            <family val="2"/>
          </rPr>
          <t xml:space="preserve">Step 1. </t>
        </r>
        <r>
          <rPr>
            <sz val="8"/>
            <color indexed="81"/>
            <rFont val="Tahoma"/>
            <family val="2"/>
          </rPr>
          <t xml:space="preserve">
</t>
        </r>
        <r>
          <rPr>
            <sz val="8"/>
            <color indexed="17"/>
            <rFont val="Tahoma"/>
            <family val="2"/>
          </rPr>
          <t>Enter the Actual Labour Contingency ($T1) used in this cell.</t>
        </r>
      </text>
    </comment>
    <comment ref="S37" authorId="0" shapeId="0" xr:uid="{00000000-0006-0000-0500-00000B000000}">
      <text>
        <r>
          <rPr>
            <b/>
            <sz val="8"/>
            <color indexed="81"/>
            <rFont val="Tahoma"/>
            <family val="2"/>
          </rPr>
          <t>Michael Vella:</t>
        </r>
        <r>
          <rPr>
            <sz val="8"/>
            <color indexed="81"/>
            <rFont val="Tahoma"/>
            <family val="2"/>
          </rPr>
          <t xml:space="preserve">
Cost Code Totals for entry into P.I.T. by Amanda</t>
        </r>
      </text>
    </comment>
    <comment ref="A38" authorId="0" shapeId="0" xr:uid="{00000000-0006-0000-0500-00000C000000}">
      <text>
        <r>
          <rPr>
            <b/>
            <sz val="8"/>
            <color indexed="81"/>
            <rFont val="Tahoma"/>
            <family val="2"/>
          </rPr>
          <t>Michael Vella:</t>
        </r>
        <r>
          <rPr>
            <sz val="8"/>
            <color indexed="81"/>
            <rFont val="Tahoma"/>
            <family val="2"/>
          </rPr>
          <t xml:space="preserve">
</t>
        </r>
        <r>
          <rPr>
            <sz val="8"/>
            <color indexed="17"/>
            <rFont val="Tahoma"/>
            <family val="2"/>
          </rPr>
          <t>Step 2.</t>
        </r>
        <r>
          <rPr>
            <sz val="8"/>
            <color indexed="81"/>
            <rFont val="Tahoma"/>
            <family val="2"/>
          </rPr>
          <t xml:space="preserve">
</t>
        </r>
        <r>
          <rPr>
            <sz val="8"/>
            <color indexed="17"/>
            <rFont val="Tahoma"/>
            <family val="2"/>
          </rPr>
          <t>Paste the Labour PairHours ($T35) as a value with the Labour Contingency set at 1.00 in this cell.</t>
        </r>
      </text>
    </comment>
    <comment ref="A39" authorId="0" shapeId="0" xr:uid="{00000000-0006-0000-0500-00000D000000}">
      <text>
        <r>
          <rPr>
            <b/>
            <sz val="8"/>
            <color indexed="81"/>
            <rFont val="Tahoma"/>
            <family val="2"/>
          </rPr>
          <t>Michael Vella:</t>
        </r>
        <r>
          <rPr>
            <sz val="8"/>
            <color indexed="81"/>
            <rFont val="Tahoma"/>
            <family val="2"/>
          </rPr>
          <t xml:space="preserve">
</t>
        </r>
        <r>
          <rPr>
            <sz val="8"/>
            <color indexed="17"/>
            <rFont val="Tahoma"/>
            <family val="2"/>
          </rPr>
          <t>Step 3.</t>
        </r>
        <r>
          <rPr>
            <sz val="8"/>
            <color indexed="81"/>
            <rFont val="Tahoma"/>
            <family val="2"/>
          </rPr>
          <t xml:space="preserve">
</t>
        </r>
        <r>
          <rPr>
            <sz val="8"/>
            <color indexed="17"/>
            <rFont val="Tahoma"/>
            <family val="2"/>
          </rPr>
          <t>Paste the Labour PairHours  ($T35) as a value with the actual Labour Contingency used in this cell.</t>
        </r>
      </text>
    </comment>
    <comment ref="S39" authorId="0" shapeId="0" xr:uid="{00000000-0006-0000-0500-00000E000000}">
      <text>
        <r>
          <rPr>
            <b/>
            <sz val="8"/>
            <color indexed="81"/>
            <rFont val="Tahoma"/>
            <family val="2"/>
          </rPr>
          <t>Michael Vella:</t>
        </r>
        <r>
          <rPr>
            <sz val="8"/>
            <color indexed="81"/>
            <rFont val="Tahoma"/>
            <family val="2"/>
          </rPr>
          <t xml:space="preserve">
Select &lt;Test for 0.00&gt; and confirm that DiscyT are both 0.00, then make sure that you select PRINT again before printing.</t>
        </r>
      </text>
    </comment>
    <comment ref="D41" authorId="0" shapeId="0" xr:uid="{00000000-0006-0000-0500-00000F000000}">
      <text>
        <r>
          <rPr>
            <b/>
            <sz val="8"/>
            <color indexed="81"/>
            <rFont val="Tahoma"/>
            <family val="2"/>
          </rPr>
          <t>Michael Vella:</t>
        </r>
        <r>
          <rPr>
            <sz val="8"/>
            <color indexed="81"/>
            <rFont val="Tahoma"/>
            <family val="2"/>
          </rPr>
          <t xml:space="preserve">
Press &lt;CTRL :&gt; to enter the current date.</t>
        </r>
      </text>
    </comment>
  </commentList>
</comments>
</file>

<file path=xl/sharedStrings.xml><?xml version="1.0" encoding="utf-8"?>
<sst xmlns="http://schemas.openxmlformats.org/spreadsheetml/2006/main" count="7167" uniqueCount="992">
  <si>
    <t xml:space="preserve">CLIENT: </t>
  </si>
  <si>
    <t>R/Lab Cont</t>
  </si>
  <si>
    <t xml:space="preserve">PROJECT: </t>
  </si>
  <si>
    <t>mu_A</t>
  </si>
  <si>
    <t xml:space="preserve">JOB DESC: </t>
  </si>
  <si>
    <t>mu_B</t>
  </si>
  <si>
    <t xml:space="preserve">QUOTE No: </t>
  </si>
  <si>
    <t xml:space="preserve"> </t>
  </si>
  <si>
    <t>mu_C</t>
  </si>
  <si>
    <t xml:space="preserve">VAT/DUTIES: </t>
  </si>
  <si>
    <t>mu_D</t>
  </si>
  <si>
    <t>mu_E</t>
  </si>
  <si>
    <t xml:space="preserve">SAVED ON: </t>
  </si>
  <si>
    <t>mu_F</t>
  </si>
  <si>
    <t xml:space="preserve">ESTIMATOR: </t>
  </si>
  <si>
    <t>mu_G</t>
  </si>
  <si>
    <t>mu_H</t>
  </si>
  <si>
    <t>mu_I</t>
  </si>
  <si>
    <t>mu_J</t>
  </si>
  <si>
    <t>I_CODE</t>
  </si>
  <si>
    <t>C_CODE</t>
  </si>
  <si>
    <t>MAKE</t>
  </si>
  <si>
    <t>PART_NO</t>
  </si>
  <si>
    <t>MARKUP</t>
  </si>
  <si>
    <t>TYPE</t>
  </si>
  <si>
    <t>LIST_P</t>
  </si>
  <si>
    <t>P_FACT</t>
  </si>
  <si>
    <t>FIX</t>
  </si>
  <si>
    <t>DATE</t>
  </si>
  <si>
    <t>SYSTEMS</t>
  </si>
  <si>
    <t>MU TYPE</t>
  </si>
  <si>
    <t>MAT MU</t>
  </si>
  <si>
    <t>LAB RATE</t>
  </si>
  <si>
    <t>SELLING</t>
  </si>
  <si>
    <t>MATERIAL</t>
  </si>
  <si>
    <t>LABOUR</t>
  </si>
  <si>
    <t>REMARKS:</t>
  </si>
  <si>
    <t>ESTIMATOR:</t>
  </si>
  <si>
    <t>APPROVED BY:</t>
  </si>
  <si>
    <t>SIGNED:</t>
  </si>
  <si>
    <t>DATE APPROVED:</t>
  </si>
  <si>
    <t>PANTA CONTRACTING LTD. - ELECTRICAL DIVISION</t>
  </si>
  <si>
    <t>CONTRACT / VARIATION  INPUT DOCUMENT</t>
  </si>
  <si>
    <t>Copy to:-</t>
  </si>
  <si>
    <t>Client:</t>
  </si>
  <si>
    <t>Project:</t>
  </si>
  <si>
    <t>Job Description:</t>
  </si>
  <si>
    <t>File No:</t>
  </si>
  <si>
    <t>File:-</t>
  </si>
  <si>
    <t>Quote No:</t>
  </si>
  <si>
    <t>Client's Ref:</t>
  </si>
  <si>
    <t>Mat. Cost</t>
  </si>
  <si>
    <t>Total Cost</t>
  </si>
  <si>
    <t>Advanced Payment:</t>
  </si>
  <si>
    <t>Retention:</t>
  </si>
  <si>
    <t>Awarded Date:</t>
  </si>
  <si>
    <t>Estimated Start Date:</t>
  </si>
  <si>
    <t>Estimated Completion Date:</t>
  </si>
  <si>
    <t>.................</t>
  </si>
  <si>
    <t>Date issued:</t>
  </si>
  <si>
    <t>ELECTRICAL AND ELV  CONTRACT / VARIATION BUDGET COST</t>
  </si>
  <si>
    <t xml:space="preserve">   Project:</t>
  </si>
  <si>
    <t>Job Desc:</t>
  </si>
  <si>
    <t>COSTCODE</t>
  </si>
  <si>
    <t xml:space="preserve">Cost </t>
  </si>
  <si>
    <t>Mat.</t>
  </si>
  <si>
    <t>Mat Cost</t>
  </si>
  <si>
    <t>Lab Cost @</t>
  </si>
  <si>
    <t>Labour</t>
  </si>
  <si>
    <t>Code</t>
  </si>
  <si>
    <t>Cont.</t>
  </si>
  <si>
    <t>V:56</t>
  </si>
  <si>
    <t>1(J)</t>
  </si>
  <si>
    <t>cc</t>
  </si>
  <si>
    <t>Erection materials</t>
  </si>
  <si>
    <t>Busbar Trunking</t>
  </si>
  <si>
    <t>Switchgear</t>
  </si>
  <si>
    <t>MCC Equipment</t>
  </si>
  <si>
    <t>BMS Equipment</t>
  </si>
  <si>
    <t>PVC Pipes / Ducts</t>
  </si>
  <si>
    <t>High/medium voltage switchgear</t>
  </si>
  <si>
    <t>Power Transformers</t>
  </si>
  <si>
    <t>Control Panels</t>
  </si>
  <si>
    <t xml:space="preserve">Electrical Single Core Cables </t>
  </si>
  <si>
    <t>11(K)</t>
  </si>
  <si>
    <t xml:space="preserve">Electrical Multicore Cables </t>
  </si>
  <si>
    <t xml:space="preserve">ELV/BMS/Special Cables </t>
  </si>
  <si>
    <t>Cable Accessories</t>
  </si>
  <si>
    <t>Galv. Cable Trays</t>
  </si>
  <si>
    <t>PVC Cable Trays</t>
  </si>
  <si>
    <t>Galv. Cable Basket</t>
  </si>
  <si>
    <t>Galv. Cable Ladder</t>
  </si>
  <si>
    <t>Galv. Cable Trunking</t>
  </si>
  <si>
    <t>Alum. Cable Trunking</t>
  </si>
  <si>
    <t>PVC Cable Trunking</t>
  </si>
  <si>
    <t>21(L)</t>
  </si>
  <si>
    <t>Underfloor Cable Trunking</t>
  </si>
  <si>
    <t>Galv. Conduit</t>
  </si>
  <si>
    <t>PVC Conduit</t>
  </si>
  <si>
    <t>Wiring Accessories</t>
  </si>
  <si>
    <t>Dimming Equipment</t>
  </si>
  <si>
    <t>Fire Alarm Equipment</t>
  </si>
  <si>
    <t>Fire Barriers</t>
  </si>
  <si>
    <t>Security Alarm System</t>
  </si>
  <si>
    <t>Access Control</t>
  </si>
  <si>
    <t>Hotel Electronic Lock</t>
  </si>
  <si>
    <t>31(M)</t>
  </si>
  <si>
    <t>Timing Equipment</t>
  </si>
  <si>
    <t>Public Address</t>
  </si>
  <si>
    <t>Voice Alarm Equipment</t>
  </si>
  <si>
    <t>Lightning / Bonding System</t>
  </si>
  <si>
    <t>T.V System</t>
  </si>
  <si>
    <t>UPS/Voltage Stabilisers</t>
  </si>
  <si>
    <t>Data Network Equipment</t>
  </si>
  <si>
    <t>Light Fittings</t>
  </si>
  <si>
    <t>Generators, AMF Panels</t>
  </si>
  <si>
    <t>41(N)</t>
  </si>
  <si>
    <t>Telephone Equipment</t>
  </si>
  <si>
    <t>Intercom</t>
  </si>
  <si>
    <t>Nurse Call</t>
  </si>
  <si>
    <t>C.C.T.V. Equipment</t>
  </si>
  <si>
    <t>Tools and Instruments</t>
  </si>
  <si>
    <t>Consumbles</t>
  </si>
  <si>
    <t>Drawings/Manuals</t>
  </si>
  <si>
    <t>Spare Parts</t>
  </si>
  <si>
    <t>51(O)</t>
  </si>
  <si>
    <t>Dismantling (Labour Only)</t>
  </si>
  <si>
    <t>Testing &amp; Commissioning</t>
  </si>
  <si>
    <t>Sub-Contracting Works</t>
  </si>
  <si>
    <t>Enemalta Application</t>
  </si>
  <si>
    <t>Crainage and Transportation</t>
  </si>
  <si>
    <t>Provisional Sum</t>
  </si>
  <si>
    <t>Signed for and on behalf of</t>
  </si>
  <si>
    <t>Electrical Division</t>
  </si>
  <si>
    <t>TB</t>
  </si>
  <si>
    <t>t</t>
  </si>
  <si>
    <t xml:space="preserve">Item: </t>
  </si>
  <si>
    <t>Start Typing Header</t>
  </si>
  <si>
    <t>Sell Rate</t>
  </si>
  <si>
    <t>Sell Total</t>
  </si>
  <si>
    <t>IB</t>
  </si>
  <si>
    <t>No</t>
  </si>
  <si>
    <t>ISELL</t>
  </si>
  <si>
    <t>ITEM</t>
  </si>
  <si>
    <t>n</t>
  </si>
  <si>
    <t>d&gt;</t>
  </si>
  <si>
    <t>ICOST</t>
  </si>
  <si>
    <t>SB!</t>
  </si>
  <si>
    <t xml:space="preserve">MATERIAL SUMMARY </t>
  </si>
  <si>
    <t>MU SUMMARY TOTAL</t>
  </si>
  <si>
    <t>COMP_GT</t>
  </si>
  <si>
    <t>ITEM_GT</t>
  </si>
  <si>
    <t xml:space="preserve">  PAGES  TOTAL</t>
  </si>
  <si>
    <t>PAGE_GT</t>
  </si>
  <si>
    <t>SB</t>
  </si>
  <si>
    <t xml:space="preserve">  SECTIONS TOTAL </t>
  </si>
  <si>
    <t>SECT_GT</t>
  </si>
  <si>
    <t>END!</t>
  </si>
  <si>
    <t>COSTCODE TOTAL</t>
  </si>
  <si>
    <t>Cables accessories</t>
  </si>
  <si>
    <t>Fix 1</t>
  </si>
  <si>
    <t>Fix 2</t>
  </si>
  <si>
    <t>Fix 3</t>
  </si>
  <si>
    <t>Others</t>
  </si>
  <si>
    <t>TOTAL</t>
  </si>
  <si>
    <t>PAGE</t>
  </si>
  <si>
    <t>PAGE SELL</t>
  </si>
  <si>
    <t>PAGE MAT</t>
  </si>
  <si>
    <t>PAGE LAB</t>
  </si>
  <si>
    <t>MATERIAL ITEMS TOTAL</t>
  </si>
  <si>
    <t>Elec_Rates</t>
  </si>
  <si>
    <t>Elec_Est</t>
  </si>
  <si>
    <t>Elv_Rates</t>
  </si>
  <si>
    <t>ELV_Est</t>
  </si>
  <si>
    <t>Ext_Quote</t>
  </si>
  <si>
    <t>Int_Quote</t>
  </si>
  <si>
    <t>Est_BOQ</t>
  </si>
  <si>
    <t>Multip</t>
  </si>
  <si>
    <t>RATE</t>
  </si>
  <si>
    <t xml:space="preserve">Based on: </t>
  </si>
  <si>
    <t>&lt;&lt; ==== TOTAL UNITS</t>
  </si>
  <si>
    <t>Sell_A</t>
  </si>
  <si>
    <t>RATE SHEET GRAND TOTAL</t>
  </si>
  <si>
    <t>COMPONENTS</t>
  </si>
  <si>
    <t>COMP_RT</t>
  </si>
  <si>
    <t>RATE SUMS (ITEMS)</t>
  </si>
  <si>
    <t>ITEM_RT</t>
  </si>
  <si>
    <t>RATE TOTALS IN CURRENT SHEET</t>
  </si>
  <si>
    <t xml:space="preserve">   Mech. Cost to us</t>
  </si>
  <si>
    <t>( From CostCode Totals )</t>
  </si>
  <si>
    <t>Totals</t>
  </si>
  <si>
    <t>CLIENT's Ref:</t>
  </si>
  <si>
    <t>TDWG</t>
  </si>
  <si>
    <t>x</t>
  </si>
  <si>
    <t>MULT</t>
  </si>
  <si>
    <t>AREA</t>
  </si>
  <si>
    <t>BOQ</t>
  </si>
  <si>
    <t>ACT</t>
  </si>
  <si>
    <t>DIFF</t>
  </si>
  <si>
    <t>Dated:</t>
  </si>
  <si>
    <t>VAT EXCLUDED.</t>
  </si>
  <si>
    <t>Division</t>
  </si>
  <si>
    <t>Records</t>
  </si>
  <si>
    <t>File</t>
  </si>
  <si>
    <t>INCL</t>
  </si>
  <si>
    <t xml:space="preserve">FILE LOCATION: </t>
  </si>
  <si>
    <t xml:space="preserve">CLIENTs REF: </t>
  </si>
  <si>
    <t xml:space="preserve">Labour Rate - </t>
  </si>
  <si>
    <t>ITEM NO.</t>
  </si>
  <si>
    <t>DESCRIPTION</t>
  </si>
  <si>
    <t>QTY</t>
  </si>
  <si>
    <t>UNIT</t>
  </si>
  <si>
    <t xml:space="preserve">RATE </t>
  </si>
  <si>
    <t>Camilleri&amp;Cuschieri Tenders</t>
  </si>
  <si>
    <t>Conduit</t>
  </si>
  <si>
    <t>Wiring</t>
  </si>
  <si>
    <t>Supply</t>
  </si>
  <si>
    <t>checkdesc</t>
  </si>
  <si>
    <t>Electrical</t>
  </si>
  <si>
    <t>Contract /Variation (Excl. VAT)</t>
  </si>
  <si>
    <t>DISCOUNTED</t>
  </si>
  <si>
    <t>on Totals</t>
  </si>
  <si>
    <t>% Discnt</t>
  </si>
  <si>
    <t>Markup/LRate</t>
  </si>
  <si>
    <t>%Dsct in BOQ</t>
  </si>
  <si>
    <t>C.C.Totals</t>
  </si>
  <si>
    <t>ItemCode</t>
  </si>
  <si>
    <t>CostCode</t>
  </si>
  <si>
    <t>SET</t>
  </si>
  <si>
    <t>MIXED</t>
  </si>
  <si>
    <t>VAT EXCL.</t>
  </si>
  <si>
    <t>Discy.A-J</t>
  </si>
  <si>
    <t>Discy.L</t>
  </si>
  <si>
    <t>Discy.T &gt;&gt;</t>
  </si>
  <si>
    <t>BOQ RateOnly Items</t>
  </si>
  <si>
    <t>Recon /Lab.Cont &gt;&gt;</t>
  </si>
  <si>
    <t xml:space="preserve">MIXED - X,Y ) </t>
  </si>
  <si>
    <t>MATMU-LABMU</t>
  </si>
  <si>
    <r>
      <t>1)</t>
    </r>
    <r>
      <rPr>
        <sz val="11"/>
        <rFont val="Arial"/>
        <family val="2"/>
      </rPr>
      <t xml:space="preserve"> VAT and Duties as above.</t>
    </r>
  </si>
  <si>
    <r>
      <t>2)</t>
    </r>
    <r>
      <rPr>
        <sz val="11"/>
        <rFont val="Arial"/>
        <family val="2"/>
      </rPr>
      <t xml:space="preserve"> </t>
    </r>
  </si>
  <si>
    <t>Overall Discount</t>
  </si>
  <si>
    <t>Overall Markup (Final Selling Excl.VAT/Total Cost )</t>
  </si>
  <si>
    <t>Average Discount applied in BOQ (Q2-Q12)</t>
  </si>
  <si>
    <t>Average Discount applied on Totals (Q23-Q32)</t>
  </si>
  <si>
    <t>MATERIAL &amp; LABOUR SUMMARY</t>
  </si>
  <si>
    <t xml:space="preserve">ATT: </t>
  </si>
  <si>
    <t>Link to ML_SUM $D1</t>
  </si>
  <si>
    <t>Link to ML_SUM $D2</t>
  </si>
  <si>
    <t>Link to ML_SUM $D3</t>
  </si>
  <si>
    <t>Link to ML_SUM $D4</t>
  </si>
  <si>
    <t>Link to ML_SUM $D5</t>
  </si>
  <si>
    <t>Sell Excl.VAT / Total Cost</t>
  </si>
  <si>
    <t>&lt;2 Phrs @ 1.00</t>
  </si>
  <si>
    <t>&lt;3 Phrs @ Actual</t>
  </si>
  <si>
    <t>&lt;1 Actual LabCont</t>
  </si>
  <si>
    <t>Values Only on :</t>
  </si>
  <si>
    <t xml:space="preserve"> System total - carried forward to summary page :</t>
  </si>
  <si>
    <t>€</t>
  </si>
  <si>
    <t>Pair Hrs.</t>
  </si>
  <si>
    <t>Pair.Hrs</t>
  </si>
  <si>
    <t>Final Sell after Discounts excl.VAT (€):</t>
  </si>
  <si>
    <t>Estim.Sell before Discounts excl.VAT (€):</t>
  </si>
  <si>
    <t>Overall Discount:</t>
  </si>
  <si>
    <t>MAT CONT &gt;&gt;</t>
  </si>
  <si>
    <t>BOQ TOTAL</t>
  </si>
  <si>
    <t>NOTES</t>
  </si>
  <si>
    <t>ELECTRICAL</t>
  </si>
  <si>
    <t>ELV</t>
  </si>
  <si>
    <t>Dist Boards</t>
  </si>
  <si>
    <t>Fire Alarm</t>
  </si>
  <si>
    <t>Data</t>
  </si>
  <si>
    <t xml:space="preserve">VAT: </t>
  </si>
  <si>
    <t xml:space="preserve">LAB. COST: </t>
  </si>
  <si>
    <t>Mechanical for Electrical</t>
  </si>
  <si>
    <t>Ext. Ref:</t>
  </si>
  <si>
    <t xml:space="preserve">INT. QUOT No: </t>
  </si>
  <si>
    <t>Rev: 235</t>
  </si>
  <si>
    <t>U_M_Sell</t>
  </si>
  <si>
    <t>T_M_Sell</t>
  </si>
  <si>
    <t>U_L_Sell</t>
  </si>
  <si>
    <t>T_L_Sell</t>
  </si>
  <si>
    <t>Total_Sell</t>
  </si>
  <si>
    <t>MU</t>
  </si>
  <si>
    <t>LABRATE</t>
  </si>
  <si>
    <t>LABCOST</t>
  </si>
  <si>
    <t>VAT/DISC</t>
  </si>
  <si>
    <t>&lt; for ELM / MEE</t>
  </si>
  <si>
    <t>Mat/Lab=1</t>
  </si>
  <si>
    <t>Tot Mat Cost</t>
  </si>
  <si>
    <t>Tot Lab phr.</t>
  </si>
  <si>
    <t>T_M_Cost</t>
  </si>
  <si>
    <t>T_L_Phr</t>
  </si>
  <si>
    <t xml:space="preserve">LABOUR RATE: </t>
  </si>
  <si>
    <t xml:space="preserve">Page Total - </t>
  </si>
  <si>
    <t xml:space="preserve">Contract Discount - </t>
  </si>
  <si>
    <t xml:space="preserve">Discounted Page Total - </t>
  </si>
  <si>
    <t>Sub-Contracting Installation Elec</t>
  </si>
  <si>
    <t>K. Micallef</t>
  </si>
  <si>
    <t>Mr. K. Micallef</t>
  </si>
  <si>
    <t>Unit</t>
  </si>
  <si>
    <t>Hrs</t>
  </si>
  <si>
    <t>Total</t>
  </si>
  <si>
    <t>Unit Lab phr.</t>
  </si>
  <si>
    <t>Material Cost (€) :</t>
  </si>
  <si>
    <t>Labour Pair Hours :</t>
  </si>
  <si>
    <t>Lab Pair</t>
  </si>
  <si>
    <t>Tender</t>
  </si>
  <si>
    <t>Ms. V. Vella</t>
  </si>
  <si>
    <t>Mr. A. Sciberras</t>
  </si>
  <si>
    <t>RATE Euro 
(Exc of VAT)</t>
  </si>
  <si>
    <t xml:space="preserve">TOTAL Euro
(Exc of VAT)     </t>
  </si>
  <si>
    <t>m</t>
  </si>
  <si>
    <t>No.</t>
  </si>
  <si>
    <t>L.S.</t>
  </si>
  <si>
    <t>TOTAL FOR PAGE 03</t>
  </si>
  <si>
    <t>Euro Exc VAT</t>
  </si>
  <si>
    <t>TOTAL FOR PAGE 04</t>
  </si>
  <si>
    <t>General</t>
  </si>
  <si>
    <t>Test and commission system including the provision for all necessary testing as may be required</t>
  </si>
  <si>
    <t>Supply one full set of as fitted drawings (including 1 hard copy and a digital copy on 2 separate USBs) c/w all manuals etc..</t>
  </si>
  <si>
    <t>Set</t>
  </si>
  <si>
    <t>TOTAL FOR PAGE 05</t>
  </si>
  <si>
    <t>TOTAL FOR PAGE 06</t>
  </si>
  <si>
    <t>TOTAL FOR PAGE 07</t>
  </si>
  <si>
    <t>TOTAL FOR PAGE 08</t>
  </si>
  <si>
    <t>SUMMARY</t>
  </si>
  <si>
    <t>Sub-Totals</t>
  </si>
  <si>
    <t>Euro 
(Exc of VAT)</t>
  </si>
  <si>
    <t>TOTAL FOR PAGE 01</t>
  </si>
  <si>
    <t>TOTAL FOR PAGE 02</t>
  </si>
  <si>
    <t>TOTAL FOR PRELIMINARIES</t>
  </si>
  <si>
    <t>TOTAL FOR PAGE 09</t>
  </si>
  <si>
    <t>TOTAL FOR PAGE 10</t>
  </si>
  <si>
    <t>TOTAL FOR PAGE 11</t>
  </si>
  <si>
    <t>TOTAL FOR PAGE 12</t>
  </si>
  <si>
    <t>TOTAL FOR PAGE 13</t>
  </si>
  <si>
    <t>TOTAL FOR PAGE 14</t>
  </si>
  <si>
    <t>TOTAL FOR FIRE STOPPING SYSTEMS</t>
  </si>
  <si>
    <t>TOTAL FOR DAYWORKS</t>
  </si>
  <si>
    <t>L.S</t>
  </si>
  <si>
    <t>T</t>
  </si>
  <si>
    <t>3T</t>
  </si>
  <si>
    <t>Item: 3</t>
  </si>
  <si>
    <t>Item: 3.001</t>
  </si>
  <si>
    <t>Discy:</t>
  </si>
  <si>
    <t>2T</t>
  </si>
  <si>
    <t>Item: 2</t>
  </si>
  <si>
    <t>Item: 2.018</t>
  </si>
  <si>
    <t>Item: 2.019</t>
  </si>
  <si>
    <t>Item: 2.02</t>
  </si>
  <si>
    <t>Item: 2.07699999999999</t>
  </si>
  <si>
    <t>Item: 2.07799999999999</t>
  </si>
  <si>
    <t>Item: 2.09999999999999</t>
  </si>
  <si>
    <t>Item: 2.10099999999999</t>
  </si>
  <si>
    <t>Item: 2.10199999999999</t>
  </si>
  <si>
    <t>Item: 2.10299999999999</t>
  </si>
  <si>
    <t>Item: 3.025</t>
  </si>
  <si>
    <t>Item: 3.026</t>
  </si>
  <si>
    <t>Item: 3.027</t>
  </si>
  <si>
    <t>Item: 3.028</t>
  </si>
  <si>
    <t>SECTION 2 - HVAC</t>
  </si>
  <si>
    <t>PRELIMINARIES</t>
  </si>
  <si>
    <t>All equipment to be used within this contract is to be approved prior to delivery to site.</t>
  </si>
  <si>
    <t xml:space="preserve">
Mobilisation of site including the setting up of Storage facilities for materials, Sanitary facilities for the employees, Setting up of temporary site office, etc required to undertake the works 
</t>
  </si>
  <si>
    <t>Provision of insurance cover in the joint names of the Client and Contractor insure the Works against loss or damage by fire, storm, tempest, lightning, flood, earthquake, aircraft or anything dropped there from, aerial objects, riot and civil commotion for the full reinstatement value thereof plus 15% of all the Works executed and all unfixed materials and goods so insured until the completion of the Works.  The Contractor shall affect a policy of insurance against third party risks to cover an amount of not less than Euro 500,000 (five hundred thousand Euros) for any one accident.  The policy shall be in joint names of the Client and Contractor and shall include cross liability clauses.  In respect of liability for the death or injury to any person employed by the Contractor and arising out of and in the course of such person's employment by the Contractor the amount insured by the Contractor shall be such as to indemnify the Client against all damages as compensation payable.  The Contractor shall comply with and be subject to the terms, exclusions, exceptions, conditions and limitations of the insurance policies and shall bear the amount of the retained liabilities stated therein The Contractor shall deposit with the Client copies of the policy or policies and a copy of the receipt in respect of premiums paid before starting the Works</t>
  </si>
  <si>
    <t xml:space="preserve">
Implementation of health and safety measures on site including personal safety (e.g safety shoes, helmets scaffolding, harnesses etc) as well as those to render the site safe for employees (e.g staircase handrails, closing of lift shaft openings etc)
</t>
  </si>
  <si>
    <t xml:space="preserve">
Prepare a risk assessment report outlining all risks involved and measures to be taken to minimise or eliminate potential risks. The report is to be prepared and signed by a competent person and to be submitted within three weeks from commencement of works.
</t>
  </si>
  <si>
    <t xml:space="preserve">
Allow for carrying out all surveys, setting out of works unless included elsewhere in the Bills of Quantities. 
</t>
  </si>
  <si>
    <t xml:space="preserve">
Provision for attending to site to take all relevant measurements in order to ascertain the exact quantities of the individual and measured items  to be procured as well as keeping of all relevant records of personnel attendance, stock control etc
</t>
  </si>
  <si>
    <t xml:space="preserve">
Provision of security measures on site both as regards the storage facilities as well as to safeguard the materials installed during the latter stages of the project.
</t>
  </si>
  <si>
    <t xml:space="preserve">
Provision for the supply and delivery to site of samples as may be requested by the client / engineer
</t>
  </si>
  <si>
    <t xml:space="preserve">
Allow for continuously keeping the site and building clean and in a workman type condition free from debris, surplus materials and any other type of loose matter arising from works, which will disturb the proper conditions of any internal and external areas, roads and/or adjoining structures. Site Cleaning is to take place during the whole duration of works.
Client reserves the right to employ cleaning companies at the contractor's expense if the contractor fails to keep the site clean.
</t>
  </si>
  <si>
    <t xml:space="preserve">
Provision for hauling of equipment on site, including cranage, permits and all necessary fees.
</t>
  </si>
  <si>
    <t>Provision for working at height, including scaffolding, cherry pickers etc. All equipment shall be fully certified.</t>
  </si>
  <si>
    <t>Provision for Builders Work in order to prepare all openings required to install conduits, pipework, ductwork, etc., and making good and reinstatement of all openings.</t>
  </si>
  <si>
    <t>Provision for Openings in Insulation Panelling in order to prepare all openings required to install conduits, pipework, ductwork, etc., and making good and reinstatement of all openings.</t>
  </si>
  <si>
    <t>VENTILATION SYSTEM</t>
  </si>
  <si>
    <t>FANS - BASEMENT LEVEL -1</t>
  </si>
  <si>
    <t>Supply, install and connect the following In-line type extract fans c/w 2 silencers - one upstream and one downstream from the fan, variable speed controllers, anti-vibration mountings, chamfered bird screen, transformation pieces etc for a complete system inclusive of connecting up of fans to electrical supply.</t>
  </si>
  <si>
    <r>
      <rPr>
        <b/>
        <sz val="10"/>
        <rFont val="Calibri"/>
        <family val="2"/>
        <scheme val="minor"/>
      </rPr>
      <t xml:space="preserve">EF-B1U-01 F300 </t>
    </r>
    <r>
      <rPr>
        <sz val="10"/>
        <rFont val="Calibri"/>
        <family val="2"/>
        <scheme val="minor"/>
      </rPr>
      <t>Extract Fan - Norm: 33,000m3/hr at 200Pa; Fire: 55,000m3/hr at 200Pa 
- installed at Level 0</t>
    </r>
  </si>
  <si>
    <r>
      <rPr>
        <b/>
        <sz val="10"/>
        <rFont val="Calibri"/>
        <family val="2"/>
        <scheme val="minor"/>
      </rPr>
      <t xml:space="preserve">EF-B1L-01 F300 </t>
    </r>
    <r>
      <rPr>
        <sz val="10"/>
        <rFont val="Calibri"/>
        <family val="2"/>
        <scheme val="minor"/>
      </rPr>
      <t>Extract Fan - Norm: 42,800m3/hr at 200Pa; Fire: 71,000m3/hr at 200Pa 
- installed at Level 0</t>
    </r>
  </si>
  <si>
    <r>
      <rPr>
        <b/>
        <sz val="10"/>
        <rFont val="Calibri"/>
        <family val="2"/>
        <scheme val="minor"/>
      </rPr>
      <t xml:space="preserve">EF-B1U-02 </t>
    </r>
    <r>
      <rPr>
        <sz val="10"/>
        <rFont val="Calibri"/>
        <family val="2"/>
        <scheme val="minor"/>
      </rPr>
      <t>Extract Fan - 1300m3/hr at 125Pa - installed at Level 0</t>
    </r>
  </si>
  <si>
    <r>
      <rPr>
        <b/>
        <sz val="10"/>
        <rFont val="Calibri"/>
        <family val="2"/>
        <scheme val="minor"/>
      </rPr>
      <t xml:space="preserve">EF-B1L-02 </t>
    </r>
    <r>
      <rPr>
        <sz val="10"/>
        <rFont val="Calibri"/>
        <family val="2"/>
        <scheme val="minor"/>
      </rPr>
      <t>Extract Fan - 32,000m3/hr at 250Pa - installed at Level 1</t>
    </r>
  </si>
  <si>
    <r>
      <rPr>
        <b/>
        <sz val="10"/>
        <rFont val="Calibri"/>
        <family val="2"/>
        <scheme val="minor"/>
      </rPr>
      <t xml:space="preserve">SF-B1L-01 </t>
    </r>
    <r>
      <rPr>
        <sz val="10"/>
        <rFont val="Calibri"/>
        <family val="2"/>
        <scheme val="minor"/>
      </rPr>
      <t>Supply Fan - 35,000m3/hr at 250Pa - installed at Basement Level -1</t>
    </r>
  </si>
  <si>
    <t xml:space="preserve">Supply and install differential pressure alarm complete with remote visual and audible indicators including all cabling etc for a complete system </t>
  </si>
  <si>
    <t>Supply, install and connect the following Induction Jet fans c/w transformation pieces etc and including the connecting up to the electrical supply for a complete system</t>
  </si>
  <si>
    <r>
      <rPr>
        <b/>
        <sz val="10"/>
        <rFont val="Calibri"/>
        <family val="2"/>
        <scheme val="minor"/>
      </rPr>
      <t xml:space="preserve">JF-B1U-01 to 07 </t>
    </r>
    <r>
      <rPr>
        <sz val="10"/>
        <rFont val="Calibri"/>
        <family val="2"/>
        <scheme val="minor"/>
      </rPr>
      <t>Jet Fan - Normal: 3500m3/hr; Fire: 5800m3/hr - installed at Basement Level -1</t>
    </r>
  </si>
  <si>
    <r>
      <rPr>
        <b/>
        <sz val="10"/>
        <rFont val="Calibri"/>
        <family val="2"/>
        <scheme val="minor"/>
      </rPr>
      <t xml:space="preserve">JF-B1L-01 to 08 </t>
    </r>
    <r>
      <rPr>
        <sz val="10"/>
        <rFont val="Calibri"/>
        <family val="2"/>
        <scheme val="minor"/>
      </rPr>
      <t>Jet Fan - Normal: 3500m3/hr; Fire: 5800m3/hr - installed at Basement Level -1</t>
    </r>
  </si>
  <si>
    <t>FANS - UPPER LEVELS</t>
  </si>
  <si>
    <r>
      <rPr>
        <b/>
        <sz val="10"/>
        <rFont val="Calibri"/>
        <family val="2"/>
        <scheme val="minor"/>
      </rPr>
      <t xml:space="preserve">EF-OF-01 </t>
    </r>
    <r>
      <rPr>
        <sz val="10"/>
        <rFont val="Calibri"/>
        <family val="2"/>
        <scheme val="minor"/>
      </rPr>
      <t>Extract Fan - 540m3/hr at 125Pa - installed at Level 0</t>
    </r>
  </si>
  <si>
    <r>
      <rPr>
        <b/>
        <sz val="10"/>
        <rFont val="Calibri"/>
        <family val="2"/>
        <scheme val="minor"/>
      </rPr>
      <t xml:space="preserve">EF-OF-02 </t>
    </r>
    <r>
      <rPr>
        <sz val="10"/>
        <rFont val="Calibri"/>
        <family val="2"/>
        <scheme val="minor"/>
      </rPr>
      <t>Extract Fan - 300m3/hr at 125Pa - installed at Roof Level</t>
    </r>
  </si>
  <si>
    <r>
      <rPr>
        <b/>
        <sz val="10"/>
        <rFont val="Calibri"/>
        <family val="2"/>
        <scheme val="minor"/>
      </rPr>
      <t xml:space="preserve">EF-AB-01 </t>
    </r>
    <r>
      <rPr>
        <sz val="10"/>
        <rFont val="Calibri"/>
        <family val="2"/>
        <scheme val="minor"/>
      </rPr>
      <t>Extract Fan - 450m3/hr at 150Pa - installed at Level 3</t>
    </r>
  </si>
  <si>
    <r>
      <rPr>
        <b/>
        <sz val="10"/>
        <rFont val="Calibri"/>
        <family val="2"/>
        <scheme val="minor"/>
      </rPr>
      <t xml:space="preserve">SF-AB-01 </t>
    </r>
    <r>
      <rPr>
        <sz val="10"/>
        <rFont val="Calibri"/>
        <family val="2"/>
        <scheme val="minor"/>
      </rPr>
      <t>Supply Fan - 250m3/hr at 200Pa - installed at Level 3</t>
    </r>
  </si>
  <si>
    <t>Supply, install and connect the following F300 Wall mounted axial fans c/w transformation pieces etc and including the connecting up to the electrical supply for a complete system</t>
  </si>
  <si>
    <r>
      <rPr>
        <b/>
        <sz val="10"/>
        <rFont val="Calibri"/>
        <family val="2"/>
        <scheme val="minor"/>
      </rPr>
      <t xml:space="preserve">SPF1 to 3 </t>
    </r>
    <r>
      <rPr>
        <sz val="10"/>
        <rFont val="Calibri"/>
        <family val="2"/>
        <scheme val="minor"/>
      </rPr>
      <t>Wall Mounted Fan - 34,000m3/hr at 200Pa c/w Cowls etc. as required as per drawing - installed at Level 2</t>
    </r>
  </si>
  <si>
    <r>
      <rPr>
        <b/>
        <sz val="10"/>
        <rFont val="Calibri"/>
        <family val="2"/>
        <scheme val="minor"/>
      </rPr>
      <t xml:space="preserve">EPF1 to 3 </t>
    </r>
    <r>
      <rPr>
        <sz val="10"/>
        <rFont val="Calibri"/>
        <family val="2"/>
        <scheme val="minor"/>
      </rPr>
      <t>Wall Mounted Fan - Norm: 34,000m3/hr at 200Pa; Fire: 57,000m3/hr at 150Pa c/w Gravity shutters etc. as required as per drawing - installed at Level 2</t>
    </r>
  </si>
  <si>
    <t>Supply, install and connect the following F300 Impulse Jet fans c/w transformation pieces etc and including the connecting up to the electrical supply for a complete system</t>
  </si>
  <si>
    <r>
      <rPr>
        <b/>
        <sz val="10"/>
        <rFont val="Calibri"/>
        <family val="2"/>
        <scheme val="minor"/>
      </rPr>
      <t xml:space="preserve">IF1 to 12 </t>
    </r>
    <r>
      <rPr>
        <sz val="10"/>
        <rFont val="Calibri"/>
        <family val="2"/>
        <scheme val="minor"/>
      </rPr>
      <t>Impulse Fan - 8500m3/hr at 100N - installed at Level 2</t>
    </r>
  </si>
  <si>
    <t>HRUs - UPPER LEVELS</t>
  </si>
  <si>
    <t>Supply, install and connect the following HRUs c/w variable speed controllers, filters c/w differential pressure alarm, transformation pieces etc for a complete system</t>
  </si>
  <si>
    <r>
      <rPr>
        <b/>
        <sz val="10"/>
        <rFont val="Calibri"/>
        <family val="2"/>
        <scheme val="minor"/>
      </rPr>
      <t>HRU-OL0-01</t>
    </r>
    <r>
      <rPr>
        <sz val="10"/>
        <rFont val="Calibri"/>
        <family val="2"/>
        <scheme val="minor"/>
      </rPr>
      <t xml:space="preserve"> Heat Recovery Unit - 650m3/hr at 200Pa - installed at Level 4</t>
    </r>
  </si>
  <si>
    <r>
      <rPr>
        <b/>
        <sz val="10"/>
        <rFont val="Calibri"/>
        <family val="2"/>
        <scheme val="minor"/>
      </rPr>
      <t>HRU-OL1-01</t>
    </r>
    <r>
      <rPr>
        <sz val="10"/>
        <rFont val="Calibri"/>
        <family val="2"/>
        <scheme val="minor"/>
      </rPr>
      <t xml:space="preserve"> Heat Recovery Unit - 750m3/hr at 200Pa - installed at Level 4</t>
    </r>
  </si>
  <si>
    <r>
      <rPr>
        <b/>
        <sz val="10"/>
        <rFont val="Calibri"/>
        <family val="2"/>
        <scheme val="minor"/>
      </rPr>
      <t>HRU-OL2-01</t>
    </r>
    <r>
      <rPr>
        <sz val="10"/>
        <rFont val="Calibri"/>
        <family val="2"/>
        <scheme val="minor"/>
      </rPr>
      <t xml:space="preserve"> Heat Recovery Unit - 1100m3/hr at 250Pa - installed at Level 4</t>
    </r>
  </si>
  <si>
    <r>
      <rPr>
        <b/>
        <sz val="10"/>
        <rFont val="Calibri"/>
        <family val="2"/>
        <scheme val="minor"/>
      </rPr>
      <t>HRU-OL2-02</t>
    </r>
    <r>
      <rPr>
        <sz val="10"/>
        <rFont val="Calibri"/>
        <family val="2"/>
        <scheme val="minor"/>
      </rPr>
      <t xml:space="preserve"> Heat Recovery Unit - 900m3/hr at 250Pa - installed at Level 4</t>
    </r>
  </si>
  <si>
    <r>
      <rPr>
        <b/>
        <sz val="10"/>
        <rFont val="Calibri"/>
        <family val="2"/>
        <scheme val="minor"/>
      </rPr>
      <t>HRU-OL3-01</t>
    </r>
    <r>
      <rPr>
        <sz val="10"/>
        <rFont val="Calibri"/>
        <family val="2"/>
        <scheme val="minor"/>
      </rPr>
      <t xml:space="preserve"> Heat Recovery Unit - 750m3/hr at 200Pa - installed at Level 4</t>
    </r>
  </si>
  <si>
    <r>
      <rPr>
        <b/>
        <sz val="10"/>
        <rFont val="Calibri"/>
        <family val="2"/>
        <scheme val="minor"/>
      </rPr>
      <t>HRU-OL3-02</t>
    </r>
    <r>
      <rPr>
        <sz val="10"/>
        <rFont val="Calibri"/>
        <family val="2"/>
        <scheme val="minor"/>
      </rPr>
      <t xml:space="preserve"> Heat Recovery Unit - 900m3/hr at 250Pa - installed at Level 4</t>
    </r>
  </si>
  <si>
    <r>
      <rPr>
        <b/>
        <sz val="10"/>
        <rFont val="Calibri"/>
        <family val="2"/>
        <scheme val="minor"/>
      </rPr>
      <t>HRU-OL3-03</t>
    </r>
    <r>
      <rPr>
        <sz val="10"/>
        <rFont val="Calibri"/>
        <family val="2"/>
        <scheme val="minor"/>
      </rPr>
      <t xml:space="preserve"> Heat Recovery Unit - 300m3/hr at 250Pa - installed at Level 4</t>
    </r>
  </si>
  <si>
    <r>
      <rPr>
        <b/>
        <sz val="10"/>
        <rFont val="Calibri"/>
        <family val="2"/>
        <scheme val="minor"/>
      </rPr>
      <t>HRU-CAN-01</t>
    </r>
    <r>
      <rPr>
        <sz val="10"/>
        <rFont val="Calibri"/>
        <family val="2"/>
        <scheme val="minor"/>
      </rPr>
      <t xml:space="preserve"> Heat Recovery Unit - 700m3/hr at 200Pa - installed at Level 2</t>
    </r>
  </si>
  <si>
    <t>BASEMENT LEVEL -1</t>
  </si>
  <si>
    <r>
      <t xml:space="preserve">Supply and install the following </t>
    </r>
    <r>
      <rPr>
        <b/>
        <i/>
        <sz val="10"/>
        <rFont val="Calibri"/>
        <family val="2"/>
        <scheme val="minor"/>
      </rPr>
      <t>galvanised</t>
    </r>
    <r>
      <rPr>
        <i/>
        <sz val="10"/>
        <rFont val="Calibri"/>
        <family val="2"/>
        <scheme val="minor"/>
      </rPr>
      <t xml:space="preserve"> </t>
    </r>
    <r>
      <rPr>
        <b/>
        <i/>
        <sz val="10"/>
        <rFont val="Calibri"/>
        <family val="2"/>
        <scheme val="minor"/>
      </rPr>
      <t>ductwork</t>
    </r>
    <r>
      <rPr>
        <i/>
        <sz val="10"/>
        <rFont val="Calibri"/>
        <family val="2"/>
        <scheme val="minor"/>
      </rPr>
      <t xml:space="preserve"> inc. all elbows, Tee's, transformation pieces, brackets. All external ductwork shall be c/w weatherproofing.</t>
    </r>
  </si>
  <si>
    <t>1000 x 850 mm</t>
  </si>
  <si>
    <t>1500 x 1700 mm</t>
  </si>
  <si>
    <t>1500 x 1150 mm</t>
  </si>
  <si>
    <t>1500 x 600 mm</t>
  </si>
  <si>
    <t>Supply and install the following linear type supply/extraction grills c/w transformation pieces etc for a complete system.</t>
  </si>
  <si>
    <r>
      <rPr>
        <b/>
        <sz val="10"/>
        <rFont val="Calibri"/>
        <family val="2"/>
        <scheme val="minor"/>
      </rPr>
      <t>EG 01</t>
    </r>
    <r>
      <rPr>
        <sz val="10"/>
        <rFont val="Calibri"/>
        <family val="2"/>
        <scheme val="minor"/>
      </rPr>
      <t xml:space="preserve"> - 2500 x 4000 mm</t>
    </r>
  </si>
  <si>
    <r>
      <rPr>
        <b/>
        <sz val="10"/>
        <rFont val="Calibri"/>
        <family val="2"/>
        <scheme val="minor"/>
      </rPr>
      <t>EG 02</t>
    </r>
    <r>
      <rPr>
        <sz val="10"/>
        <rFont val="Calibri"/>
        <family val="2"/>
        <scheme val="minor"/>
      </rPr>
      <t xml:space="preserve"> - 1200 x 4800 mm</t>
    </r>
  </si>
  <si>
    <r>
      <rPr>
        <b/>
        <sz val="10"/>
        <rFont val="Calibri"/>
        <family val="2"/>
        <scheme val="minor"/>
      </rPr>
      <t>EG 07</t>
    </r>
    <r>
      <rPr>
        <sz val="10"/>
        <rFont val="Calibri"/>
        <family val="2"/>
        <scheme val="minor"/>
      </rPr>
      <t xml:space="preserve"> - 1500 x 2400 mm</t>
    </r>
  </si>
  <si>
    <r>
      <rPr>
        <b/>
        <sz val="10"/>
        <rFont val="Calibri"/>
        <family val="2"/>
        <scheme val="minor"/>
      </rPr>
      <t>SG 06</t>
    </r>
    <r>
      <rPr>
        <sz val="10"/>
        <rFont val="Calibri"/>
        <family val="2"/>
        <scheme val="minor"/>
      </rPr>
      <t xml:space="preserve"> - 1200 x 800 mm</t>
    </r>
  </si>
  <si>
    <t>Supply and install the following weatherproof louvers/bird screens c/w transformation pieces etc for a complete system.</t>
  </si>
  <si>
    <r>
      <rPr>
        <b/>
        <sz val="10"/>
        <rFont val="Calibri"/>
        <family val="2"/>
        <scheme val="minor"/>
      </rPr>
      <t>WL 02</t>
    </r>
    <r>
      <rPr>
        <sz val="10"/>
        <rFont val="Calibri"/>
        <family val="2"/>
        <scheme val="minor"/>
      </rPr>
      <t xml:space="preserve"> - 1000 x 850 mm</t>
    </r>
  </si>
  <si>
    <r>
      <t xml:space="preserve">Supply and install the following </t>
    </r>
    <r>
      <rPr>
        <b/>
        <i/>
        <sz val="10"/>
        <rFont val="Calibri"/>
        <family val="2"/>
        <scheme val="minor"/>
      </rPr>
      <t>phenolic ductwork</t>
    </r>
    <r>
      <rPr>
        <i/>
        <sz val="10"/>
        <rFont val="Calibri"/>
        <family val="2"/>
        <scheme val="minor"/>
      </rPr>
      <t xml:space="preserve"> inc. all elbows, Tee's, transformation pieces, brackets. All external ductwork shall be c/w weatherproofing.</t>
    </r>
  </si>
  <si>
    <t>200 x 150 mm</t>
  </si>
  <si>
    <t>250 x 250 mm</t>
  </si>
  <si>
    <t>325 x 250 mm</t>
  </si>
  <si>
    <r>
      <rPr>
        <b/>
        <sz val="10"/>
        <rFont val="Calibri"/>
        <family val="2"/>
        <scheme val="minor"/>
      </rPr>
      <t>EG 04</t>
    </r>
    <r>
      <rPr>
        <sz val="10"/>
        <rFont val="Calibri"/>
        <family val="2"/>
        <scheme val="minor"/>
      </rPr>
      <t xml:space="preserve"> - 400 x 75 mm</t>
    </r>
  </si>
  <si>
    <r>
      <rPr>
        <b/>
        <sz val="10"/>
        <rFont val="Calibri"/>
        <family val="2"/>
        <scheme val="minor"/>
      </rPr>
      <t>EG 05</t>
    </r>
    <r>
      <rPr>
        <sz val="10"/>
        <rFont val="Calibri"/>
        <family val="2"/>
        <scheme val="minor"/>
      </rPr>
      <t xml:space="preserve"> - 800 x 150 mm</t>
    </r>
  </si>
  <si>
    <r>
      <rPr>
        <b/>
        <sz val="10"/>
        <rFont val="Calibri"/>
        <family val="2"/>
        <scheme val="minor"/>
      </rPr>
      <t>EG 06</t>
    </r>
    <r>
      <rPr>
        <sz val="10"/>
        <rFont val="Calibri"/>
        <family val="2"/>
        <scheme val="minor"/>
      </rPr>
      <t xml:space="preserve"> - 400 x 100 mm</t>
    </r>
  </si>
  <si>
    <t>Supply and install the following motorized fire dampers c/w transformation pieces including all actuators, in-duct smoke detection and connecting up to the electrical supply etc for a complete system.</t>
  </si>
  <si>
    <r>
      <rPr>
        <b/>
        <sz val="10"/>
        <rFont val="Calibri"/>
        <family val="2"/>
        <scheme val="minor"/>
      </rPr>
      <t>FD 01</t>
    </r>
    <r>
      <rPr>
        <sz val="10"/>
        <rFont val="Calibri"/>
        <family val="2"/>
        <scheme val="minor"/>
      </rPr>
      <t xml:space="preserve"> - 200 x 150 mm</t>
    </r>
  </si>
  <si>
    <r>
      <rPr>
        <b/>
        <sz val="10"/>
        <rFont val="Calibri"/>
        <family val="2"/>
        <scheme val="minor"/>
      </rPr>
      <t xml:space="preserve">FD 08 </t>
    </r>
    <r>
      <rPr>
        <sz val="10"/>
        <rFont val="Calibri"/>
        <family val="2"/>
        <scheme val="minor"/>
      </rPr>
      <t>- 250 x 250 mm</t>
    </r>
  </si>
  <si>
    <r>
      <rPr>
        <b/>
        <sz val="10"/>
        <rFont val="Calibri"/>
        <family val="2"/>
        <scheme val="minor"/>
      </rPr>
      <t>FD 09</t>
    </r>
    <r>
      <rPr>
        <sz val="10"/>
        <rFont val="Calibri"/>
        <family val="2"/>
        <scheme val="minor"/>
      </rPr>
      <t xml:space="preserve"> - 325 x 250 mm</t>
    </r>
  </si>
  <si>
    <t>Supply and install the following 120min fire rated intumescent expanding transfer grills c/w spacers, bracketing for the following blockwork openings</t>
  </si>
  <si>
    <r>
      <rPr>
        <b/>
        <sz val="10"/>
        <rFont val="Calibri"/>
        <family val="2"/>
        <scheme val="minor"/>
      </rPr>
      <t>IG 01</t>
    </r>
    <r>
      <rPr>
        <sz val="10"/>
        <rFont val="Calibri"/>
        <family val="2"/>
        <scheme val="minor"/>
      </rPr>
      <t xml:space="preserve"> - 460 x 795 mm</t>
    </r>
  </si>
  <si>
    <r>
      <rPr>
        <b/>
        <sz val="10"/>
        <rFont val="Calibri"/>
        <family val="2"/>
        <scheme val="minor"/>
      </rPr>
      <t>IG 02</t>
    </r>
    <r>
      <rPr>
        <sz val="10"/>
        <rFont val="Calibri"/>
        <family val="2"/>
        <scheme val="minor"/>
      </rPr>
      <t xml:space="preserve"> - 460 x 1060 mm</t>
    </r>
  </si>
  <si>
    <t>LEVEL 0</t>
  </si>
  <si>
    <t>1000 x 1500 mm - external</t>
  </si>
  <si>
    <r>
      <rPr>
        <b/>
        <sz val="10"/>
        <rFont val="Calibri"/>
        <family val="2"/>
        <scheme val="minor"/>
      </rPr>
      <t xml:space="preserve">WL 03 </t>
    </r>
    <r>
      <rPr>
        <sz val="10"/>
        <rFont val="Calibri"/>
        <family val="2"/>
        <scheme val="minor"/>
      </rPr>
      <t>- 1000 x 1000 mm</t>
    </r>
  </si>
  <si>
    <t>100 x 100 mm</t>
  </si>
  <si>
    <t>125 x 100 mm</t>
  </si>
  <si>
    <t>150 x 100 mm</t>
  </si>
  <si>
    <t>150 x 150 mm</t>
  </si>
  <si>
    <t>200 x 100 mm</t>
  </si>
  <si>
    <t>200 x 150 mm - external</t>
  </si>
  <si>
    <t>300 x 150 mm</t>
  </si>
  <si>
    <t>325 x 250 mm - external</t>
  </si>
  <si>
    <r>
      <rPr>
        <b/>
        <sz val="10"/>
        <rFont val="Calibri"/>
        <family val="2"/>
        <scheme val="minor"/>
      </rPr>
      <t>EG 03</t>
    </r>
    <r>
      <rPr>
        <sz val="10"/>
        <rFont val="Calibri"/>
        <family val="2"/>
        <scheme val="minor"/>
      </rPr>
      <t xml:space="preserve"> - 200 x 100 mm</t>
    </r>
  </si>
  <si>
    <r>
      <rPr>
        <b/>
        <sz val="10"/>
        <rFont val="Calibri"/>
        <family val="2"/>
        <scheme val="minor"/>
      </rPr>
      <t>SG 03</t>
    </r>
    <r>
      <rPr>
        <sz val="10"/>
        <rFont val="Calibri"/>
        <family val="2"/>
        <scheme val="minor"/>
      </rPr>
      <t xml:space="preserve"> - 400 x 75 mm</t>
    </r>
  </si>
  <si>
    <r>
      <rPr>
        <b/>
        <sz val="10"/>
        <rFont val="Calibri"/>
        <family val="2"/>
        <scheme val="minor"/>
      </rPr>
      <t>RG 03</t>
    </r>
    <r>
      <rPr>
        <sz val="10"/>
        <rFont val="Calibri"/>
        <family val="2"/>
        <scheme val="minor"/>
      </rPr>
      <t xml:space="preserve"> - 400 x 75 mm</t>
    </r>
  </si>
  <si>
    <r>
      <rPr>
        <b/>
        <sz val="10"/>
        <rFont val="Calibri"/>
        <family val="2"/>
        <scheme val="minor"/>
      </rPr>
      <t>FD 04</t>
    </r>
    <r>
      <rPr>
        <sz val="10"/>
        <rFont val="Calibri"/>
        <family val="2"/>
        <scheme val="minor"/>
      </rPr>
      <t xml:space="preserve"> - 300 x 150 mm</t>
    </r>
  </si>
  <si>
    <r>
      <rPr>
        <b/>
        <sz val="10"/>
        <rFont val="Calibri"/>
        <family val="2"/>
        <scheme val="minor"/>
      </rPr>
      <t>BS 01</t>
    </r>
    <r>
      <rPr>
        <sz val="10"/>
        <rFont val="Calibri"/>
        <family val="2"/>
        <scheme val="minor"/>
      </rPr>
      <t xml:space="preserve"> - 325 x 150 mm</t>
    </r>
  </si>
  <si>
    <t>LEVEL 1</t>
  </si>
  <si>
    <t>1000 x 850 mm - external</t>
  </si>
  <si>
    <t>150 x 125 mm</t>
  </si>
  <si>
    <t>225 x 150 mm</t>
  </si>
  <si>
    <r>
      <rPr>
        <b/>
        <sz val="10"/>
        <rFont val="Calibri"/>
        <family val="2"/>
        <scheme val="minor"/>
      </rPr>
      <t>RG 05</t>
    </r>
    <r>
      <rPr>
        <sz val="10"/>
        <rFont val="Calibri"/>
        <family val="2"/>
        <scheme val="minor"/>
      </rPr>
      <t xml:space="preserve"> - 150 x 100 mm</t>
    </r>
  </si>
  <si>
    <r>
      <rPr>
        <b/>
        <sz val="10"/>
        <rFont val="Calibri"/>
        <family val="2"/>
        <scheme val="minor"/>
      </rPr>
      <t>FD 02</t>
    </r>
    <r>
      <rPr>
        <sz val="10"/>
        <rFont val="Calibri"/>
        <family val="2"/>
        <scheme val="minor"/>
      </rPr>
      <t xml:space="preserve"> - 200 x 100 mm</t>
    </r>
  </si>
  <si>
    <r>
      <rPr>
        <b/>
        <sz val="10"/>
        <rFont val="Calibri"/>
        <family val="2"/>
        <scheme val="minor"/>
      </rPr>
      <t xml:space="preserve">FD 04 </t>
    </r>
    <r>
      <rPr>
        <sz val="10"/>
        <rFont val="Calibri"/>
        <family val="2"/>
        <scheme val="minor"/>
      </rPr>
      <t>- 300 x 150 mm</t>
    </r>
  </si>
  <si>
    <t>LEVEL 2</t>
  </si>
  <si>
    <t>200 x 125 mm</t>
  </si>
  <si>
    <t>200 x 175 mm</t>
  </si>
  <si>
    <t>200 x 200 mm</t>
  </si>
  <si>
    <t>225 x 200 mm</t>
  </si>
  <si>
    <t>250 x 150 mm</t>
  </si>
  <si>
    <t>300 x 200 mm</t>
  </si>
  <si>
    <t>325 x 200 mm</t>
  </si>
  <si>
    <r>
      <rPr>
        <b/>
        <sz val="10"/>
        <rFont val="Calibri"/>
        <family val="2"/>
        <scheme val="minor"/>
      </rPr>
      <t>SG 05</t>
    </r>
    <r>
      <rPr>
        <sz val="10"/>
        <rFont val="Calibri"/>
        <family val="2"/>
        <scheme val="minor"/>
      </rPr>
      <t xml:space="preserve"> - 400 x 100 mm</t>
    </r>
  </si>
  <si>
    <r>
      <rPr>
        <b/>
        <sz val="10"/>
        <rFont val="Calibri"/>
        <family val="2"/>
        <scheme val="minor"/>
      </rPr>
      <t>RG 06</t>
    </r>
    <r>
      <rPr>
        <sz val="10"/>
        <rFont val="Calibri"/>
        <family val="2"/>
        <scheme val="minor"/>
      </rPr>
      <t xml:space="preserve"> - 400 x 100 mm</t>
    </r>
  </si>
  <si>
    <r>
      <rPr>
        <b/>
        <sz val="10"/>
        <rFont val="Calibri"/>
        <family val="2"/>
        <scheme val="minor"/>
      </rPr>
      <t>FD 05</t>
    </r>
    <r>
      <rPr>
        <sz val="10"/>
        <rFont val="Calibri"/>
        <family val="2"/>
        <scheme val="minor"/>
      </rPr>
      <t xml:space="preserve"> - 150 x 100 mm</t>
    </r>
  </si>
  <si>
    <r>
      <rPr>
        <b/>
        <sz val="10"/>
        <rFont val="Calibri"/>
        <family val="2"/>
        <scheme val="minor"/>
      </rPr>
      <t>FD 06</t>
    </r>
    <r>
      <rPr>
        <sz val="10"/>
        <rFont val="Calibri"/>
        <family val="2"/>
        <scheme val="minor"/>
      </rPr>
      <t xml:space="preserve"> - 100 x 100 mm</t>
    </r>
  </si>
  <si>
    <r>
      <rPr>
        <b/>
        <sz val="10"/>
        <rFont val="Calibri"/>
        <family val="2"/>
        <scheme val="minor"/>
      </rPr>
      <t>FD 07</t>
    </r>
    <r>
      <rPr>
        <sz val="10"/>
        <rFont val="Calibri"/>
        <family val="2"/>
        <scheme val="minor"/>
      </rPr>
      <t xml:space="preserve"> - 325 x 200 mm</t>
    </r>
  </si>
  <si>
    <r>
      <rPr>
        <b/>
        <sz val="10"/>
        <rFont val="Calibri"/>
        <family val="2"/>
        <scheme val="minor"/>
      </rPr>
      <t>FD 10</t>
    </r>
    <r>
      <rPr>
        <sz val="10"/>
        <rFont val="Calibri"/>
        <family val="2"/>
        <scheme val="minor"/>
      </rPr>
      <t xml:space="preserve"> - 125 x 100 mm</t>
    </r>
  </si>
  <si>
    <r>
      <rPr>
        <b/>
        <sz val="10"/>
        <rFont val="Calibri"/>
        <family val="2"/>
        <scheme val="minor"/>
      </rPr>
      <t>WL 01</t>
    </r>
    <r>
      <rPr>
        <sz val="10"/>
        <rFont val="Calibri"/>
        <family val="2"/>
        <scheme val="minor"/>
      </rPr>
      <t xml:space="preserve"> - 225 x 200 mm</t>
    </r>
  </si>
  <si>
    <t>LEVEL 3</t>
  </si>
  <si>
    <t>150 x 125 mm - external</t>
  </si>
  <si>
    <t>175 x 125 mm</t>
  </si>
  <si>
    <t>200 x 200 mm - external</t>
  </si>
  <si>
    <t>325 x 150 mm</t>
  </si>
  <si>
    <r>
      <rPr>
        <b/>
        <sz val="10"/>
        <rFont val="Calibri"/>
        <family val="2"/>
        <scheme val="minor"/>
      </rPr>
      <t>BS 07</t>
    </r>
    <r>
      <rPr>
        <sz val="10"/>
        <rFont val="Calibri"/>
        <family val="2"/>
        <scheme val="minor"/>
      </rPr>
      <t xml:space="preserve"> - 125 x 150 mm</t>
    </r>
  </si>
  <si>
    <t>LEVEL 4 - ROOF</t>
  </si>
  <si>
    <t>Supply and install the following ventilation control dampers c/w transformation pieces etc for a complete system.</t>
  </si>
  <si>
    <r>
      <rPr>
        <b/>
        <sz val="10"/>
        <rFont val="Calibri"/>
        <family val="2"/>
        <scheme val="minor"/>
      </rPr>
      <t>VCD 01</t>
    </r>
    <r>
      <rPr>
        <sz val="10"/>
        <rFont val="Calibri"/>
        <family val="2"/>
        <scheme val="minor"/>
      </rPr>
      <t xml:space="preserve"> - 225 x 150 mm</t>
    </r>
  </si>
  <si>
    <r>
      <rPr>
        <b/>
        <sz val="10"/>
        <rFont val="Calibri"/>
        <family val="2"/>
        <scheme val="minor"/>
      </rPr>
      <t>VCD 02</t>
    </r>
    <r>
      <rPr>
        <sz val="10"/>
        <rFont val="Calibri"/>
        <family val="2"/>
        <scheme val="minor"/>
      </rPr>
      <t xml:space="preserve"> - 200 x 150 mm</t>
    </r>
  </si>
  <si>
    <r>
      <rPr>
        <b/>
        <sz val="10"/>
        <rFont val="Calibri"/>
        <family val="2"/>
        <scheme val="minor"/>
      </rPr>
      <t>BS 02</t>
    </r>
    <r>
      <rPr>
        <sz val="10"/>
        <rFont val="Calibri"/>
        <family val="2"/>
        <scheme val="minor"/>
      </rPr>
      <t xml:space="preserve"> - 300 x 150 mm</t>
    </r>
  </si>
  <si>
    <r>
      <rPr>
        <b/>
        <sz val="10"/>
        <rFont val="Calibri"/>
        <family val="2"/>
        <scheme val="minor"/>
      </rPr>
      <t>BS 03</t>
    </r>
    <r>
      <rPr>
        <sz val="10"/>
        <rFont val="Calibri"/>
        <family val="2"/>
        <scheme val="minor"/>
      </rPr>
      <t xml:space="preserve"> - 325 x 200 mm</t>
    </r>
  </si>
  <si>
    <r>
      <rPr>
        <b/>
        <sz val="10"/>
        <rFont val="Calibri"/>
        <family val="2"/>
        <scheme val="minor"/>
      </rPr>
      <t>BS 04</t>
    </r>
    <r>
      <rPr>
        <sz val="10"/>
        <rFont val="Calibri"/>
        <family val="2"/>
        <scheme val="minor"/>
      </rPr>
      <t xml:space="preserve"> - 300 x 200 mm</t>
    </r>
  </si>
  <si>
    <r>
      <rPr>
        <b/>
        <sz val="10"/>
        <rFont val="Calibri"/>
        <family val="2"/>
        <scheme val="minor"/>
      </rPr>
      <t>BS 05</t>
    </r>
    <r>
      <rPr>
        <sz val="10"/>
        <rFont val="Calibri"/>
        <family val="2"/>
        <scheme val="minor"/>
      </rPr>
      <t xml:space="preserve"> - 200 x 125 mm</t>
    </r>
  </si>
  <si>
    <r>
      <rPr>
        <b/>
        <sz val="10"/>
        <rFont val="Calibri"/>
        <family val="2"/>
        <scheme val="minor"/>
      </rPr>
      <t>BS 06</t>
    </r>
    <r>
      <rPr>
        <sz val="10"/>
        <rFont val="Calibri"/>
        <family val="2"/>
        <scheme val="minor"/>
      </rPr>
      <t xml:space="preserve"> - 150 x 175 mm</t>
    </r>
  </si>
  <si>
    <t>SHAFTS/RISERS</t>
  </si>
  <si>
    <t xml:space="preserve">Supply, install and connect the following Ventilation Control Panels including all power supplies, starters, control cables, speed controllers, contactors, timers, overload protection, FAP interface, visual and audible alarm, etc..  for a complete system. </t>
  </si>
  <si>
    <r>
      <t>Ventilation Control Panel '</t>
    </r>
    <r>
      <rPr>
        <b/>
        <sz val="10"/>
        <rFont val="Calibri"/>
        <family val="2"/>
        <scheme val="minor"/>
      </rPr>
      <t>VCP-B1U'</t>
    </r>
    <r>
      <rPr>
        <sz val="10"/>
        <rFont val="Calibri"/>
        <family val="2"/>
        <scheme val="minor"/>
      </rPr>
      <t xml:space="preserve"> as per schematic</t>
    </r>
  </si>
  <si>
    <r>
      <t>Ventilation Control Panel '</t>
    </r>
    <r>
      <rPr>
        <b/>
        <sz val="10"/>
        <rFont val="Calibri"/>
        <family val="2"/>
        <scheme val="minor"/>
      </rPr>
      <t>VCP-B1L'</t>
    </r>
    <r>
      <rPr>
        <sz val="10"/>
        <rFont val="Calibri"/>
        <family val="2"/>
        <scheme val="minor"/>
      </rPr>
      <t xml:space="preserve"> as per schematic</t>
    </r>
  </si>
  <si>
    <r>
      <t>Ventilation Control Panel '</t>
    </r>
    <r>
      <rPr>
        <b/>
        <sz val="10"/>
        <rFont val="Calibri"/>
        <family val="2"/>
        <scheme val="minor"/>
      </rPr>
      <t>VCP-OL0'</t>
    </r>
    <r>
      <rPr>
        <sz val="10"/>
        <rFont val="Calibri"/>
        <family val="2"/>
        <scheme val="minor"/>
      </rPr>
      <t xml:space="preserve"> as per schematic</t>
    </r>
  </si>
  <si>
    <r>
      <t>Ventilation Control Panel '</t>
    </r>
    <r>
      <rPr>
        <b/>
        <sz val="10"/>
        <rFont val="Calibri"/>
        <family val="2"/>
        <scheme val="minor"/>
      </rPr>
      <t xml:space="preserve">VCP-WH', </t>
    </r>
    <r>
      <rPr>
        <sz val="10"/>
        <rFont val="Calibri"/>
        <family val="2"/>
        <scheme val="minor"/>
      </rPr>
      <t>including</t>
    </r>
    <r>
      <rPr>
        <b/>
        <sz val="10"/>
        <rFont val="Calibri"/>
        <family val="2"/>
        <scheme val="minor"/>
      </rPr>
      <t xml:space="preserve"> </t>
    </r>
    <r>
      <rPr>
        <sz val="10"/>
        <rFont val="Calibri"/>
        <family val="2"/>
        <scheme val="minor"/>
      </rPr>
      <t>temperature controller and sensors as per schematic</t>
    </r>
  </si>
  <si>
    <r>
      <t>Ventilation Control Panel '</t>
    </r>
    <r>
      <rPr>
        <b/>
        <sz val="10"/>
        <rFont val="Calibri"/>
        <family val="2"/>
        <scheme val="minor"/>
      </rPr>
      <t>VCP-OL1'</t>
    </r>
    <r>
      <rPr>
        <sz val="10"/>
        <rFont val="Calibri"/>
        <family val="2"/>
        <scheme val="minor"/>
      </rPr>
      <t xml:space="preserve"> as per schematic</t>
    </r>
  </si>
  <si>
    <r>
      <t>Ventilation Control Panel '</t>
    </r>
    <r>
      <rPr>
        <b/>
        <sz val="10"/>
        <rFont val="Calibri"/>
        <family val="2"/>
        <scheme val="minor"/>
      </rPr>
      <t>VCP-AB'</t>
    </r>
    <r>
      <rPr>
        <sz val="10"/>
        <rFont val="Calibri"/>
        <family val="2"/>
        <scheme val="minor"/>
      </rPr>
      <t xml:space="preserve"> as per schematic</t>
    </r>
  </si>
  <si>
    <r>
      <t>Ventilation Control Panel '</t>
    </r>
    <r>
      <rPr>
        <b/>
        <sz val="10"/>
        <rFont val="Calibri"/>
        <family val="2"/>
        <scheme val="minor"/>
      </rPr>
      <t>VCP-OL2'</t>
    </r>
    <r>
      <rPr>
        <sz val="10"/>
        <rFont val="Calibri"/>
        <family val="2"/>
        <scheme val="minor"/>
      </rPr>
      <t xml:space="preserve"> as per schematic</t>
    </r>
  </si>
  <si>
    <r>
      <t>Ventilation Control Panel '</t>
    </r>
    <r>
      <rPr>
        <b/>
        <sz val="10"/>
        <rFont val="Calibri"/>
        <family val="2"/>
        <scheme val="minor"/>
      </rPr>
      <t>VCP-OL3'</t>
    </r>
    <r>
      <rPr>
        <sz val="10"/>
        <rFont val="Calibri"/>
        <family val="2"/>
        <scheme val="minor"/>
      </rPr>
      <t xml:space="preserve"> as per schematic</t>
    </r>
  </si>
  <si>
    <t>Automatic Opening Smoke Venting System</t>
  </si>
  <si>
    <r>
      <t xml:space="preserve">Supply, install and connect Automatic Opening Vents Control Panel 
</t>
    </r>
    <r>
      <rPr>
        <b/>
        <sz val="10"/>
        <rFont val="Calibri"/>
        <family val="2"/>
        <scheme val="minor"/>
      </rPr>
      <t xml:space="preserve">"CP-AOV" </t>
    </r>
    <r>
      <rPr>
        <sz val="10"/>
        <rFont val="Calibri"/>
        <family val="2"/>
        <scheme val="minor"/>
      </rPr>
      <t xml:space="preserve">as indicated in the drawings and specifications, including all power supplies, battery backup, control cables, contactors, timers, overload protection, FAP interface, visual and audible alarm, resettable break glass etc..  for a complete system. </t>
    </r>
  </si>
  <si>
    <t>Cabling from Automatic Vents Control Panels to individual Automatic Vent Actuators and local AOV controllers, c/w the supply of all necessary wiring, conduits, control cable, fixings etc., including all associated wiring and accessories for a complete installation as per specs</t>
  </si>
  <si>
    <t>Supply, install and connect AOV actuators as per specs</t>
  </si>
  <si>
    <t>Centralised Fire Damper Control System</t>
  </si>
  <si>
    <r>
      <t xml:space="preserve">Supply, install and connect Motorised Fire Damper Control Panel/s 
</t>
    </r>
    <r>
      <rPr>
        <b/>
        <sz val="10"/>
        <rFont val="Calibri"/>
        <family val="2"/>
        <scheme val="minor"/>
      </rPr>
      <t xml:space="preserve">"FDCP" </t>
    </r>
    <r>
      <rPr>
        <sz val="10"/>
        <rFont val="Calibri"/>
        <family val="2"/>
        <scheme val="minor"/>
      </rPr>
      <t xml:space="preserve">as indicated in the drawings and specifications. </t>
    </r>
    <r>
      <rPr>
        <i/>
        <sz val="10"/>
        <rFont val="Calibri"/>
        <family val="2"/>
        <scheme val="minor"/>
      </rPr>
      <t>Control Panel/s to be interfaced with the Fire Alarm Panel.</t>
    </r>
  </si>
  <si>
    <t>Cabling from Fire Damper Control Panel/s to individual addressable Fire Dampers, c/w the supply of all necessary damper decoders, wiring between damper and decoder, conduits, control cable, fixings etc., including all associated wiring and accessories for a complete installation as per system type.</t>
  </si>
  <si>
    <t>Test and commission systems including the provision for all necessary testing as may be required</t>
  </si>
  <si>
    <t>Sets</t>
  </si>
  <si>
    <t>TOTAL FOR VENTILATION SYSTEM</t>
  </si>
  <si>
    <t>AIR CONDITIONING SYSTEM</t>
  </si>
  <si>
    <t>VRF SYSTEMS</t>
  </si>
  <si>
    <t>OUTDOOR UNITS  (2-pipe systems)</t>
  </si>
  <si>
    <r>
      <t xml:space="preserve">Supply, Install, connect and commission, including all supports, etc., reverse cycle heat pump/VRF system </t>
    </r>
    <r>
      <rPr>
        <b/>
        <sz val="10"/>
        <rFont val="Calibri"/>
        <family val="2"/>
        <scheme val="minor"/>
      </rPr>
      <t>S-14</t>
    </r>
    <r>
      <rPr>
        <sz val="10"/>
        <rFont val="Calibri"/>
        <family val="2"/>
        <scheme val="minor"/>
      </rPr>
      <t xml:space="preserve"> outdoor unit </t>
    </r>
    <r>
      <rPr>
        <b/>
        <sz val="10"/>
        <rFont val="Calibri"/>
        <family val="2"/>
        <scheme val="minor"/>
      </rPr>
      <t>30 kW</t>
    </r>
    <r>
      <rPr>
        <sz val="10"/>
        <rFont val="Calibri"/>
        <family val="2"/>
        <scheme val="minor"/>
      </rPr>
      <t xml:space="preserve"> cooling capacity c/w all electrical connections, controls, drains, etc. for a complete system.</t>
    </r>
  </si>
  <si>
    <r>
      <t xml:space="preserve">Supply, Install, connect and commission, including all supports, etc., reverse cycle heat pump/VRF system </t>
    </r>
    <r>
      <rPr>
        <b/>
        <sz val="10"/>
        <rFont val="Calibri"/>
        <family val="2"/>
        <scheme val="minor"/>
      </rPr>
      <t>S-15</t>
    </r>
    <r>
      <rPr>
        <sz val="10"/>
        <rFont val="Calibri"/>
        <family val="2"/>
        <scheme val="minor"/>
      </rPr>
      <t xml:space="preserve"> outdoor unit </t>
    </r>
    <r>
      <rPr>
        <b/>
        <sz val="10"/>
        <rFont val="Calibri"/>
        <family val="2"/>
        <scheme val="minor"/>
      </rPr>
      <t>30 kW</t>
    </r>
    <r>
      <rPr>
        <sz val="10"/>
        <rFont val="Calibri"/>
        <family val="2"/>
        <scheme val="minor"/>
      </rPr>
      <t xml:space="preserve"> cooling capacity c/w all electrical connections, controls, drains, etc. for a complete system.</t>
    </r>
  </si>
  <si>
    <r>
      <t xml:space="preserve">Supply, Install, connect and commission, including all supports, etc., reverse cycle heat pump/VRF system </t>
    </r>
    <r>
      <rPr>
        <b/>
        <sz val="10"/>
        <rFont val="Calibri"/>
        <family val="2"/>
        <scheme val="minor"/>
      </rPr>
      <t>S-16</t>
    </r>
    <r>
      <rPr>
        <sz val="10"/>
        <rFont val="Calibri"/>
        <family val="2"/>
        <scheme val="minor"/>
      </rPr>
      <t xml:space="preserve"> outdoor unit </t>
    </r>
    <r>
      <rPr>
        <b/>
        <sz val="10"/>
        <rFont val="Calibri"/>
        <family val="2"/>
        <scheme val="minor"/>
      </rPr>
      <t>45 kW</t>
    </r>
    <r>
      <rPr>
        <sz val="10"/>
        <rFont val="Calibri"/>
        <family val="2"/>
        <scheme val="minor"/>
      </rPr>
      <t xml:space="preserve"> cooling capacity c/w all electrical connections, controls, drains, etc. for a complete system.</t>
    </r>
  </si>
  <si>
    <r>
      <t xml:space="preserve">Supply, Install, connect and commission, including all supports, etc., reverse cycle heat pump/VRF system </t>
    </r>
    <r>
      <rPr>
        <b/>
        <sz val="10"/>
        <rFont val="Calibri"/>
        <family val="2"/>
        <scheme val="minor"/>
      </rPr>
      <t>S-17</t>
    </r>
    <r>
      <rPr>
        <sz val="10"/>
        <rFont val="Calibri"/>
        <family val="2"/>
        <scheme val="minor"/>
      </rPr>
      <t xml:space="preserve"> outdoor unit </t>
    </r>
    <r>
      <rPr>
        <b/>
        <sz val="10"/>
        <rFont val="Calibri"/>
        <family val="2"/>
        <scheme val="minor"/>
      </rPr>
      <t>50 kW</t>
    </r>
    <r>
      <rPr>
        <sz val="10"/>
        <rFont val="Calibri"/>
        <family val="2"/>
        <scheme val="minor"/>
      </rPr>
      <t xml:space="preserve"> cooling capacity c/w all electrical connections, controls, drains, etc. for a complete system.</t>
    </r>
  </si>
  <si>
    <r>
      <t xml:space="preserve">Supply, Install, connect and commission, including all supports, etc., reverse cycle heat pump/VRF system </t>
    </r>
    <r>
      <rPr>
        <b/>
        <sz val="10"/>
        <rFont val="Calibri"/>
        <family val="2"/>
        <scheme val="minor"/>
      </rPr>
      <t>S-18</t>
    </r>
    <r>
      <rPr>
        <sz val="10"/>
        <rFont val="Calibri"/>
        <family val="2"/>
        <scheme val="minor"/>
      </rPr>
      <t xml:space="preserve"> outdoor unit </t>
    </r>
    <r>
      <rPr>
        <b/>
        <sz val="10"/>
        <rFont val="Calibri"/>
        <family val="2"/>
        <scheme val="minor"/>
      </rPr>
      <t>45 kW</t>
    </r>
    <r>
      <rPr>
        <sz val="10"/>
        <rFont val="Calibri"/>
        <family val="2"/>
        <scheme val="minor"/>
      </rPr>
      <t xml:space="preserve"> cooling capacity c/w all electrical connections, controls, drains, etc. for a complete system.</t>
    </r>
  </si>
  <si>
    <r>
      <t xml:space="preserve">Supply, Install, connect and commission, including all supports, etc., reverse cycle heat pump/VRF system </t>
    </r>
    <r>
      <rPr>
        <b/>
        <sz val="10"/>
        <rFont val="Calibri"/>
        <family val="2"/>
        <scheme val="minor"/>
      </rPr>
      <t>S-19</t>
    </r>
    <r>
      <rPr>
        <sz val="10"/>
        <rFont val="Calibri"/>
        <family val="2"/>
        <scheme val="minor"/>
      </rPr>
      <t xml:space="preserve"> outdoor unit </t>
    </r>
    <r>
      <rPr>
        <b/>
        <sz val="10"/>
        <rFont val="Calibri"/>
        <family val="2"/>
        <scheme val="minor"/>
      </rPr>
      <t>25 kW</t>
    </r>
    <r>
      <rPr>
        <sz val="10"/>
        <rFont val="Calibri"/>
        <family val="2"/>
        <scheme val="minor"/>
      </rPr>
      <t xml:space="preserve"> cooling capacity c/w all electrical connections, controls, drains, etc. for a complete system.</t>
    </r>
  </si>
  <si>
    <r>
      <t xml:space="preserve">Supply, Install, connect and commission, including all supports, etc., reverse cycle heat pump/VRF system </t>
    </r>
    <r>
      <rPr>
        <b/>
        <sz val="10"/>
        <rFont val="Calibri"/>
        <family val="2"/>
        <scheme val="minor"/>
      </rPr>
      <t>S-20</t>
    </r>
    <r>
      <rPr>
        <sz val="10"/>
        <rFont val="Calibri"/>
        <family val="2"/>
        <scheme val="minor"/>
      </rPr>
      <t xml:space="preserve"> outdoor unit </t>
    </r>
    <r>
      <rPr>
        <b/>
        <sz val="10"/>
        <rFont val="Calibri"/>
        <family val="2"/>
        <scheme val="minor"/>
      </rPr>
      <t>30 kW</t>
    </r>
    <r>
      <rPr>
        <sz val="10"/>
        <rFont val="Calibri"/>
        <family val="2"/>
        <scheme val="minor"/>
      </rPr>
      <t xml:space="preserve"> cooling capacity c/w all electrical connections, controls, drains, etc. for a complete system.</t>
    </r>
  </si>
  <si>
    <t>COPPER PIPEWORK (2-pipe systems)</t>
  </si>
  <si>
    <t>Supply, install, connect and commission copper pipework c/w preformed insulation (polyisobutylene weatherproof insulation coating for all external runs) inclusive of all accessories, fittings, sleeves in walls, brackets, fixing, vents, oil traps, filter dryer, BS Boxes, connections, galvanised trays etc. and all necessary to provide a complete system</t>
  </si>
  <si>
    <r>
      <t xml:space="preserve">Pipework System </t>
    </r>
    <r>
      <rPr>
        <b/>
        <sz val="10"/>
        <rFont val="Calibri"/>
        <family val="2"/>
        <scheme val="minor"/>
      </rPr>
      <t>S-14</t>
    </r>
    <r>
      <rPr>
        <sz val="10"/>
        <rFont val="Arial"/>
        <family val="2"/>
      </rPr>
      <t/>
    </r>
  </si>
  <si>
    <r>
      <t xml:space="preserve">Pipework System </t>
    </r>
    <r>
      <rPr>
        <b/>
        <sz val="10"/>
        <rFont val="Calibri"/>
        <family val="2"/>
        <scheme val="minor"/>
      </rPr>
      <t>S-15</t>
    </r>
    <r>
      <rPr>
        <sz val="10"/>
        <rFont val="Arial"/>
        <family val="2"/>
      </rPr>
      <t/>
    </r>
  </si>
  <si>
    <r>
      <t xml:space="preserve">Pipework System </t>
    </r>
    <r>
      <rPr>
        <b/>
        <sz val="10"/>
        <rFont val="Calibri"/>
        <family val="2"/>
        <scheme val="minor"/>
      </rPr>
      <t>S-16</t>
    </r>
  </si>
  <si>
    <r>
      <t xml:space="preserve">Pipework System </t>
    </r>
    <r>
      <rPr>
        <b/>
        <sz val="10"/>
        <rFont val="Calibri"/>
        <family val="2"/>
        <scheme val="minor"/>
      </rPr>
      <t>S-17</t>
    </r>
    <r>
      <rPr>
        <sz val="10"/>
        <rFont val="Arial"/>
        <family val="2"/>
      </rPr>
      <t/>
    </r>
  </si>
  <si>
    <r>
      <t xml:space="preserve">Pipework System </t>
    </r>
    <r>
      <rPr>
        <b/>
        <sz val="10"/>
        <rFont val="Calibri"/>
        <family val="2"/>
        <scheme val="minor"/>
      </rPr>
      <t>S-18</t>
    </r>
  </si>
  <si>
    <r>
      <t xml:space="preserve">Pipework System </t>
    </r>
    <r>
      <rPr>
        <b/>
        <sz val="10"/>
        <rFont val="Calibri"/>
        <family val="2"/>
        <scheme val="minor"/>
      </rPr>
      <t>S-19</t>
    </r>
  </si>
  <si>
    <r>
      <t xml:space="preserve">Pipework System </t>
    </r>
    <r>
      <rPr>
        <b/>
        <sz val="10"/>
        <rFont val="Calibri"/>
        <family val="2"/>
        <scheme val="minor"/>
      </rPr>
      <t>S-20</t>
    </r>
  </si>
  <si>
    <t>Supply and install Polyisobutylene weatherproof covering on all outdoor copper runs for All Systems</t>
  </si>
  <si>
    <t>INDOOR UNITS - LEVEL 0</t>
  </si>
  <si>
    <t>SYSTEM S-14</t>
  </si>
  <si>
    <t>Supply, install, connect and commission, VRF system Indoor Units, as specified c/w thermostats located as indicated in the drawings, and including all chasing, conduit preparation, electrical wiring, ducting, drains, connections, control cabling from outdoor unit to indoor unit, control cabling from unit to thermostat and all other accessories etc. required for a complete installation.</t>
  </si>
  <si>
    <t>5.6 kW 4-Way Blow Cassette Type Unit</t>
  </si>
  <si>
    <t>5.6 kW Ceiling Concealed Type Unit</t>
  </si>
  <si>
    <t>7.1 kW Ceiling Concealed Type Unit</t>
  </si>
  <si>
    <t>Supply, install and connect thermostats</t>
  </si>
  <si>
    <t>Supply and install the following Grills c/w transformation pieces etc. for a complete installation (all fixings shall be with clips not screws):</t>
  </si>
  <si>
    <t>SG 02 - Supply Linear Grill - 1400 x 150 mm</t>
  </si>
  <si>
    <t>RG 02 - Return Linear Grill - 1400 x 150 mm c/w removable filter</t>
  </si>
  <si>
    <t>Supply and install the following air spigots/plenums c/w all necessary connections, transformation pieces, fittings etc. for the following:</t>
  </si>
  <si>
    <t>RG 02 - Return Linear Grill - 1400 x 150 mm</t>
  </si>
  <si>
    <t>Supply and install PVC drains for A/C units c/w closed cell type insulation c/w all chasing, brackets etc for a complete system - for all units in Level 0.</t>
  </si>
  <si>
    <t>INDOOR UNITS - LEVEL 1</t>
  </si>
  <si>
    <t>SYSTEM S-15</t>
  </si>
  <si>
    <t>4.5 kW 4-Way Blow Cassette Type Unit</t>
  </si>
  <si>
    <t>SYSTEM S-20</t>
  </si>
  <si>
    <t>3.6 kW Wall Mounted Type Unit</t>
  </si>
  <si>
    <t>4.5 kW Wall Mounted Type Unit</t>
  </si>
  <si>
    <t>Supply and install PVC drains for A/C units c/w closed cell type insulation c/w all chasing, brackets etc for a complete system - for all units in Level 1.</t>
  </si>
  <si>
    <t>INDOOR UNITS - LEVEL 2</t>
  </si>
  <si>
    <t>SYSTEM S-16</t>
  </si>
  <si>
    <t>7.1 kW 4-Way Blow Cassette Type Unit</t>
  </si>
  <si>
    <t>14.0 kW 4-Way Blow Cassette Type Unit</t>
  </si>
  <si>
    <t>4.5 kW Ceiling Concealed Type Unit</t>
  </si>
  <si>
    <t>SG 01 - Supply Linear Grill - 1000 x 150 mm</t>
  </si>
  <si>
    <t>RG 01 - Return Linear Grill - 1000 x 150 mm c/w removable filter</t>
  </si>
  <si>
    <t>RG 01 - Return Linear Grill - 1000 x 150 mm</t>
  </si>
  <si>
    <t>SYSTEM S-17</t>
  </si>
  <si>
    <t>3.6 kW 4-Way Blow Cassette Type Unit</t>
  </si>
  <si>
    <t>11.2 kW 4-Way Blow Cassette Type Unit</t>
  </si>
  <si>
    <t>Supply and install PVC drains for A/C units c/w closed cell type insulation c/w all chasing, brackets etc for a complete system - for all units in Level 2.</t>
  </si>
  <si>
    <t>INDOOR UNITS - LEVEL 3</t>
  </si>
  <si>
    <t>SYSTEM S-18</t>
  </si>
  <si>
    <t>SYSTEM S-19</t>
  </si>
  <si>
    <t>3.6 kW Ceiling Concealed Type Unit</t>
  </si>
  <si>
    <t>SG 04 - Supply Linear Grill - 600 x 150 mm</t>
  </si>
  <si>
    <t>RG 04 - Return Linear Grill - 600 x 150 mm c/w removable filter</t>
  </si>
  <si>
    <t>RG 04 - Return Linear Grill - 600 x 150 mm</t>
  </si>
  <si>
    <t>Supply and install PVC drains for A/C units c/w closed cell type insulation c/w all chasing, brackets etc for a complete system - for all units in Level 3.</t>
  </si>
  <si>
    <t>SPLIT SYSTEMS</t>
  </si>
  <si>
    <t>Supply and install split type units c/w inverter controlled compressors as per specification The units shall be complete with thermostats located as indicated in the drawings, and including all electrical wiring, ducting, drains, connections, control cabling from outdoor unit to indoor unit, all copper piping between indoor and outdoor units inc oil traps etc control cabling from unit to thermostat and all other accessories etc. required   for a complete installation:</t>
  </si>
  <si>
    <r>
      <t xml:space="preserve">Split </t>
    </r>
    <r>
      <rPr>
        <b/>
        <sz val="10"/>
        <rFont val="Calibri"/>
        <family val="2"/>
        <scheme val="minor"/>
      </rPr>
      <t>SPT-01</t>
    </r>
    <r>
      <rPr>
        <sz val="10"/>
        <rFont val="Calibri"/>
        <family val="2"/>
        <scheme val="minor"/>
      </rPr>
      <t xml:space="preserve"> - Wall Mounted Type Unit 4.5 kW (Outdoor unit 4.5 kW)</t>
    </r>
  </si>
  <si>
    <r>
      <t xml:space="preserve">Split </t>
    </r>
    <r>
      <rPr>
        <b/>
        <sz val="10"/>
        <rFont val="Calibri"/>
        <family val="2"/>
        <scheme val="minor"/>
      </rPr>
      <t>SPT-02</t>
    </r>
    <r>
      <rPr>
        <sz val="10"/>
        <rFont val="Calibri"/>
        <family val="2"/>
        <scheme val="minor"/>
      </rPr>
      <t xml:space="preserve"> - Wall Mounted Type Unit 4.5 kW (Outdoor unit 4.5 kW)</t>
    </r>
  </si>
  <si>
    <t>Supply and install PVC drains for A/C units c/w closed cell type insulation c/w all chasing, brackets etc for a complete system - for all Split systems.</t>
  </si>
  <si>
    <t>TOTAL FOR AIR CONDITIONING SYSTEM</t>
  </si>
  <si>
    <t xml:space="preserve">TOTAL Euro
( Exc of VAT )     </t>
  </si>
  <si>
    <t>FIRE STOPPING SYSTEMS</t>
  </si>
  <si>
    <t>Fire stopping of all services through fire compartments including all supplies of fire stopping intumescent blocks, fire rated expanding foam, intumescent mastic, intumescent pillows,  etc. for a complete installation as per specs. Fire stopping shall be done from both sides of the fire compartment.</t>
  </si>
  <si>
    <t>Supply and install fire collars to seal off pipework penetrations through fire compartments as per specs.</t>
  </si>
  <si>
    <t>DAYWORKS</t>
  </si>
  <si>
    <t>WORKING DAY HOURLY RATE</t>
  </si>
  <si>
    <t>Day Rate for Site Foreman</t>
  </si>
  <si>
    <t>hr</t>
  </si>
  <si>
    <t>Rate Only</t>
  </si>
  <si>
    <t>Day Rate for Technician</t>
  </si>
  <si>
    <t>Day Rate for Skilled Installer</t>
  </si>
  <si>
    <t>Day Rate for Unskilled Installer</t>
  </si>
  <si>
    <t>Day Rate for Engineer</t>
  </si>
  <si>
    <t>WORK BEYOND WORKING DAY HOURLY RATE</t>
  </si>
  <si>
    <t>TOTAL FOR SECTION 2 - HVAC INSTALLATION</t>
  </si>
  <si>
    <t>Discrepancy</t>
  </si>
  <si>
    <t>SUBI</t>
  </si>
  <si>
    <t>&gt;&gt;&gt; mu_A material here &gt;&gt;&gt;</t>
  </si>
  <si>
    <t>&gt;&gt;&gt; mu_B material here &gt;&gt;&gt;</t>
  </si>
  <si>
    <t>Item: 2.001</t>
  </si>
  <si>
    <t>EF-B1U-01 F300 Extract Fan - Norm: 33,000m3/hr at 200Pa; Fire: 55,000m3/hr at 200Pa 
- installed at Level 0</t>
  </si>
  <si>
    <t>Item: 2.002</t>
  </si>
  <si>
    <t>EF-B1L-01 F300 Extract Fan - Norm: 42,800m3/hr at 200Pa; Fire: 71,000m3/hr at 200Pa 
- installed at Level 0</t>
  </si>
  <si>
    <t>Item: 2.003</t>
  </si>
  <si>
    <t>EF-B1U-02 Extract Fan - 1300m3/hr at 125Pa - installed at Level 0</t>
  </si>
  <si>
    <t>Item: 2.004</t>
  </si>
  <si>
    <t>EF-B1L-02 Extract Fan - 32,000m3/hr at 250Pa - installed at Level 1</t>
  </si>
  <si>
    <t>Item: 2.005</t>
  </si>
  <si>
    <t>SF-B1L-01 Supply Fan - 35,000m3/hr at 250Pa - installed at Basement Level -1</t>
  </si>
  <si>
    <t>Item: 2.006</t>
  </si>
  <si>
    <t>Supply and install differential pressure alarm complete with remote visual and audible indicators including all cabling etc for a complete system</t>
  </si>
  <si>
    <t>Item: 2.007</t>
  </si>
  <si>
    <t>JF-B1U-01 to 07 Jet Fan - Normal: 3500m3/hr; Fire: 5800m3/hr - installed at Basement Level -1</t>
  </si>
  <si>
    <t>Item: 2.008</t>
  </si>
  <si>
    <t>JF-B1L-01 to 08 Jet Fan - Normal: 3500m3/hr; Fire: 5800m3/hr - installed at Basement Level -1</t>
  </si>
  <si>
    <t>Item: 2.009</t>
  </si>
  <si>
    <t>EF-OF-01 Extract Fan - 540m3/hr at 125Pa - installed at Level 0</t>
  </si>
  <si>
    <t>Item: 2.01</t>
  </si>
  <si>
    <t>EF-OF-02 Extract Fan - 300m3/hr at 125Pa - installed at Roof Level</t>
  </si>
  <si>
    <t>Item: 2.011</t>
  </si>
  <si>
    <t>EF-AB-01 Extract Fan - 450m3/hr at 150Pa - installed at Level 3</t>
  </si>
  <si>
    <t>Item: 2.012</t>
  </si>
  <si>
    <t>SF-AB-01 Supply Fan - 250m3/hr at 200Pa - installed at Level 3</t>
  </si>
  <si>
    <t>Item: 2.013</t>
  </si>
  <si>
    <t>Item: 2.014</t>
  </si>
  <si>
    <t>SPF1 to 3 Wall Mounted Fan - 34,000m3/hr at 200Pa c/w Cowls etc. as required as per drawing - installed at Level 2</t>
  </si>
  <si>
    <t>Item: 2.015</t>
  </si>
  <si>
    <t>EPF1 to 3 Wall Mounted Fan - Norm: 34,000m3/hr at 200Pa; Fire: 57,000m3/hr at 150Pa c/w Gravity shutters etc. as required as per drawing - installed at Level 2</t>
  </si>
  <si>
    <t>Item: 2.016</t>
  </si>
  <si>
    <t>IF1 to 12 Impulse Fan - 8500m3/hr at 100N - installed at Level 2</t>
  </si>
  <si>
    <t>Item: 2.017</t>
  </si>
  <si>
    <t>HRU-OL0-01 Heat Recovery Unit - 650m3/hr at 200Pa - installed at Level 4</t>
  </si>
  <si>
    <t>HRU-OL1-01 Heat Recovery Unit - 750m3/hr at 200Pa - installed at Level 4</t>
  </si>
  <si>
    <t>HRU-OL2-01 Heat Recovery Unit - 1100m3/hr at 250Pa - installed at Level 4</t>
  </si>
  <si>
    <t>HRU-OL2-02 Heat Recovery Unit - 900m3/hr at 250Pa - installed at Level 4</t>
  </si>
  <si>
    <t>Item: 2.021</t>
  </si>
  <si>
    <t>HRU-OL3-01 Heat Recovery Unit - 750m3/hr at 200Pa - installed at Level 4</t>
  </si>
  <si>
    <t>Item: 2.022</t>
  </si>
  <si>
    <t>HRU-OL3-02 Heat Recovery Unit - 900m3/hr at 250Pa - installed at Level 4</t>
  </si>
  <si>
    <t>Item: 2.023</t>
  </si>
  <si>
    <t>HRU-OL3-03 Heat Recovery Unit - 300m3/hr at 250Pa - installed at Level 4</t>
  </si>
  <si>
    <t>Item: 2.024</t>
  </si>
  <si>
    <t>HRU-CAN-01 Heat Recovery Unit - 700m3/hr at 200Pa - installed at Level 2</t>
  </si>
  <si>
    <t>Item: 2.025</t>
  </si>
  <si>
    <t>Item: 2.041</t>
  </si>
  <si>
    <t>FD 01 - 200 x 150 mm</t>
  </si>
  <si>
    <t>Item: 2.042</t>
  </si>
  <si>
    <t>FD 08 - 250 x 250 mm</t>
  </si>
  <si>
    <t>Item: 2.043</t>
  </si>
  <si>
    <t>FD 09 - 325 x 250 mm</t>
  </si>
  <si>
    <t>Item: 2.05999999999999</t>
  </si>
  <si>
    <t>Item: 2.06099999999999</t>
  </si>
  <si>
    <t>FD 04 - 300 x 150 mm</t>
  </si>
  <si>
    <t>FD 02 - 200 x 100 mm</t>
  </si>
  <si>
    <t>FD 05 - 150 x 100 mm</t>
  </si>
  <si>
    <t>FD 06 - 100 x 100 mm</t>
  </si>
  <si>
    <t>FD 07 - 325 x 200 mm</t>
  </si>
  <si>
    <t>FD 10 - 125 x 100 mm</t>
  </si>
  <si>
    <t>Item: 2.12299999999999</t>
  </si>
  <si>
    <t>Item: 2.12399999999999</t>
  </si>
  <si>
    <t>Item: 2.12499999999999</t>
  </si>
  <si>
    <t>Item: 2.13599999999999</t>
  </si>
  <si>
    <t>VCD 01 - 225 x 150 mm</t>
  </si>
  <si>
    <t>Item: 2.13699999999998</t>
  </si>
  <si>
    <t>VCD 02 - 200 x 150 mm</t>
  </si>
  <si>
    <t>Supply, install and connect the following Ventilation Control Panels including all power supplies, starters, control cables, speed controllers, contactors, timers, overload protection, FAP interface, visual and audible alarm, etc..  for a complete system.</t>
  </si>
  <si>
    <t>Item: 2.15799999999998</t>
  </si>
  <si>
    <t>Ventilation Control Panel 'VCP-B1U' as per schematic</t>
  </si>
  <si>
    <t>Item: 2.15899999999998</t>
  </si>
  <si>
    <t>Ventilation Control Panel 'VCP-B1L' as per schematic</t>
  </si>
  <si>
    <t>Item: 2.15999999999998</t>
  </si>
  <si>
    <t>Ventilation Control Panel 'VCP-OL0' as per schematic</t>
  </si>
  <si>
    <t>Item: 2.16099999999998</t>
  </si>
  <si>
    <t>Ventilation Control Panel 'VCP-WH', including temperature controller and sensors as per schematic</t>
  </si>
  <si>
    <t>Item: 2.16199999999998</t>
  </si>
  <si>
    <t>Ventilation Control Panel 'VCP-OL1' as per schematic</t>
  </si>
  <si>
    <t>Item: 2.16299999999998</t>
  </si>
  <si>
    <t>Ventilation Control Panel 'VCP-AB' as per schematic</t>
  </si>
  <si>
    <t>Item: 2.16399999999998</t>
  </si>
  <si>
    <t>Ventilation Control Panel 'VCP-OL2' as per schematic</t>
  </si>
  <si>
    <t>Item: 2.16499999999998</t>
  </si>
  <si>
    <t>Ventilation Control Panel 'VCP-OL3' as per schematic</t>
  </si>
  <si>
    <t>Item: 2.16599999999998</t>
  </si>
  <si>
    <t>Supply, install and connect Automatic Opening Vents Control Panel 
"CP-AOV" as indicated in the drawings and specifications, including all power supplies, battery backup, control cables, contactors, timers, overload protection, FAP interface, visual and audible alarm, resettable break glass etc..  for a complete system.</t>
  </si>
  <si>
    <t>Item: 2.16699999999998</t>
  </si>
  <si>
    <t>Item: 2.16799999999998</t>
  </si>
  <si>
    <t>&gt;&gt;&gt; mu_C material here &gt;&gt;&gt;</t>
  </si>
  <si>
    <t>Item: 2.16899999999998</t>
  </si>
  <si>
    <t>Supply, install and connect Motorised Fire Damper Control Panel/s 
"FDCP" as indicated in the drawings and specifications. Control Panel/s to be interfaced with the Fire Alarm Panel.</t>
  </si>
  <si>
    <t>Item: 2.16999999999998</t>
  </si>
  <si>
    <t>Supply, Install, connect and commission, including all supports, etc., reverse cycle heat pump/VRF system S-14 outdoor unit 30 kW cooling capacity c/w all electrical connections, controls, drains, etc. for a complete system.</t>
  </si>
  <si>
    <t>Item: 3.002</t>
  </si>
  <si>
    <t>Supply, Install, connect and commission, including all supports, etc., reverse cycle heat pump/VRF system S-15 outdoor unit 30 kW cooling capacity c/w all electrical connections, controls, drains, etc. for a complete system.</t>
  </si>
  <si>
    <t>Item: 3.003</t>
  </si>
  <si>
    <t>Supply, Install, connect and commission, including all supports, etc., reverse cycle heat pump/VRF system S-16 outdoor unit 45 kW cooling capacity c/w all electrical connections, controls, drains, etc. for a complete system.</t>
  </si>
  <si>
    <t>Item: 3.004</t>
  </si>
  <si>
    <t>Supply, Install, connect and commission, including all supports, etc., reverse cycle heat pump/VRF system S-17 outdoor unit 50 kW cooling capacity c/w all electrical connections, controls, drains, etc. for a complete system.</t>
  </si>
  <si>
    <t>Item: 3.005</t>
  </si>
  <si>
    <t>Supply, Install, connect and commission, including all supports, etc., reverse cycle heat pump/VRF system S-18 outdoor unit 45 kW cooling capacity c/w all electrical connections, controls, drains, etc. for a complete system.</t>
  </si>
  <si>
    <t>Item: 3.006</t>
  </si>
  <si>
    <t>Supply, Install, connect and commission, including all supports, etc., reverse cycle heat pump/VRF system S-19 outdoor unit 25 kW cooling capacity c/w all electrical connections, controls, drains, etc. for a complete system.</t>
  </si>
  <si>
    <t>Item: 3.007</t>
  </si>
  <si>
    <t>Supply, Install, connect and commission, including all supports, etc., reverse cycle heat pump/VRF system S-20 outdoor unit 30 kW cooling capacity c/w all electrical connections, controls, drains, etc. for a complete system.</t>
  </si>
  <si>
    <t>Item: 3.016</t>
  </si>
  <si>
    <t>Item: 3.017</t>
  </si>
  <si>
    <t>Item: 3.018</t>
  </si>
  <si>
    <t>Item: 3.033</t>
  </si>
  <si>
    <t>Item: 3.034</t>
  </si>
  <si>
    <t>Item: 3.035</t>
  </si>
  <si>
    <t>Item: 3.037</t>
  </si>
  <si>
    <t>Item: 3.038</t>
  </si>
  <si>
    <t>Item: 3.039</t>
  </si>
  <si>
    <t>Item: 3.04</t>
  </si>
  <si>
    <t>Item: 3.041</t>
  </si>
  <si>
    <t>Item: 3.042</t>
  </si>
  <si>
    <t>Item: 3.05099999999999</t>
  </si>
  <si>
    <t>Item: 3.05199999999999</t>
  </si>
  <si>
    <t>Item: 3.05299999999999</t>
  </si>
  <si>
    <t>Item: 3.05399999999999</t>
  </si>
  <si>
    <t>Item: 3.05499999999999</t>
  </si>
  <si>
    <t>Item: 3.05599999999999</t>
  </si>
  <si>
    <t>Item: 3.05699999999999</t>
  </si>
  <si>
    <t>Item: 3.05899999999999</t>
  </si>
  <si>
    <t>Item: 3.05999999999999</t>
  </si>
  <si>
    <t>Item: 3.06099999999999</t>
  </si>
  <si>
    <t>Item: 3.06199999999999</t>
  </si>
  <si>
    <t>Disc. with</t>
  </si>
  <si>
    <t>equal MUs</t>
  </si>
  <si>
    <t>BOQ  ITEMS  TOTAL</t>
  </si>
  <si>
    <t>HVAC TOTAL</t>
  </si>
  <si>
    <t>037# 5 x 16mm2 F120 Fire Resistant Cable (BS7846) -  XLPE/SWA/LSZH</t>
  </si>
  <si>
    <t>Power Cable   5c  16 mm2 XLPE SWA-PVC</t>
  </si>
  <si>
    <t>Fire Rated</t>
  </si>
  <si>
    <t>Cleveland</t>
  </si>
  <si>
    <t>CAMC_087</t>
  </si>
  <si>
    <t>(__)</t>
  </si>
  <si>
    <t>16mm2</t>
  </si>
  <si>
    <t xml:space="preserve">Cable Tie 225mm  </t>
  </si>
  <si>
    <t>CONS_009</t>
  </si>
  <si>
    <t>01-003</t>
  </si>
  <si>
    <t>Gland Indoor 25  BWL  4*10/16mm2</t>
  </si>
  <si>
    <t>CAAC_043</t>
  </si>
  <si>
    <t>CMP</t>
  </si>
  <si>
    <t>Cable Marker 8 digit c/w Carrier Strip</t>
  </si>
  <si>
    <t>CAAC_091</t>
  </si>
  <si>
    <t>Cable Lug  16  mm2</t>
  </si>
  <si>
    <t>CAAC_009</t>
  </si>
  <si>
    <t>CTT</t>
  </si>
  <si>
    <t>h</t>
  </si>
  <si>
    <t>RATE_AAA</t>
  </si>
  <si>
    <t>Local Rate</t>
  </si>
  <si>
    <t>RTLO_001</t>
  </si>
  <si>
    <t>046# 3 x 4mm2 XLPE/SWA/LSZH</t>
  </si>
  <si>
    <t>Power Cable   3c   4.0 mm2 PVC SWA-PVC</t>
  </si>
  <si>
    <t>CAMC_010</t>
  </si>
  <si>
    <t>CRO</t>
  </si>
  <si>
    <t>4.0mm2</t>
  </si>
  <si>
    <t>06-009</t>
  </si>
  <si>
    <t>Gland Indoor 20  BWL  4*4/6mm2</t>
  </si>
  <si>
    <t>CAAC_040</t>
  </si>
  <si>
    <t xml:space="preserve">Cable Lug   4.0  mm2   </t>
  </si>
  <si>
    <t>CAAC_006</t>
  </si>
  <si>
    <t>045# 5 x 4mm2 XLPE/SWA/LSZH</t>
  </si>
  <si>
    <t>Power Cable   5c  4.0 mm2 PVC SWA-PVC</t>
  </si>
  <si>
    <t>CAMC_077</t>
  </si>
  <si>
    <t>06-018</t>
  </si>
  <si>
    <t>RTLO_002</t>
  </si>
  <si>
    <t>047# 5 x 2.5mm2 F120 Fire Resistant Cable (BS7846) -  XLPE/SWA/LSZH</t>
  </si>
  <si>
    <t>Power Cable   5c  2.5 mm2 XLPE SWA-PVC</t>
  </si>
  <si>
    <t>CAMC_084</t>
  </si>
  <si>
    <t>2.5mm2</t>
  </si>
  <si>
    <t>Gland Indoor 20S BWL  4*1.5/2.5mm2</t>
  </si>
  <si>
    <t>CAAC_042</t>
  </si>
  <si>
    <t xml:space="preserve">Cable Lug   2.5  mm2   </t>
  </si>
  <si>
    <t>CAAC_005</t>
  </si>
  <si>
    <t>044# 5 x 4mm2 F120 Fire Resistant Cable (BS7846) -  XLPE/SWA/LSZH</t>
  </si>
  <si>
    <t>039# 5 x 10mm2 F120 Fire Resistant Cable (BS7846) -  XLPE/SWA/LSZH</t>
  </si>
  <si>
    <t>Power Cable   5c  10 mm2 XLPE SWA-PVC</t>
  </si>
  <si>
    <t>CAMC_086</t>
  </si>
  <si>
    <t>10mm2</t>
  </si>
  <si>
    <t>Cable Lug  10  mm2</t>
  </si>
  <si>
    <t>CAAC_008</t>
  </si>
  <si>
    <t>Labour to connect Mech Equip (FIX 3)</t>
  </si>
  <si>
    <t>LABO_009</t>
  </si>
  <si>
    <t>MISC</t>
  </si>
  <si>
    <t>Based on:</t>
  </si>
  <si>
    <t>BAR</t>
  </si>
  <si>
    <t>20mm</t>
  </si>
  <si>
    <t>Wiring Cable  1c    4.0 mm2 PVC Non-Arm</t>
  </si>
  <si>
    <t>CASC_019</t>
  </si>
  <si>
    <t>Installation of SFDI</t>
  </si>
  <si>
    <t>Control Panel 1</t>
  </si>
  <si>
    <t>CPAN_259</t>
  </si>
  <si>
    <t>Erection Material</t>
  </si>
  <si>
    <t>EMAT_063</t>
  </si>
  <si>
    <t>01-002</t>
  </si>
  <si>
    <t>Connecting up of fire damper</t>
  </si>
  <si>
    <t>Network loop</t>
  </si>
  <si>
    <t xml:space="preserve">Fire Resistant Cable CWZ  2c+E  1.5 mm2 </t>
  </si>
  <si>
    <t>CASP_014</t>
  </si>
  <si>
    <t xml:space="preserve">Fire Resistant Cable Clips </t>
  </si>
  <si>
    <t>CASP_013</t>
  </si>
  <si>
    <t xml:space="preserve">Screw Wood S6 </t>
  </si>
  <si>
    <t>CONS_035</t>
  </si>
  <si>
    <t>02-008</t>
  </si>
  <si>
    <t xml:space="preserve">Rawl Plug S6 </t>
  </si>
  <si>
    <t>CONS_030</t>
  </si>
  <si>
    <t>02-009</t>
  </si>
  <si>
    <t>Included in item 1.183</t>
  </si>
  <si>
    <t>Installation Only</t>
  </si>
  <si>
    <t>VCP-B1U</t>
  </si>
  <si>
    <t>VCP-B1L</t>
  </si>
  <si>
    <t>VCP-OL0</t>
  </si>
  <si>
    <t>VCP-WH</t>
  </si>
  <si>
    <t>VCP-OL1</t>
  </si>
  <si>
    <t>VCP-AB</t>
  </si>
  <si>
    <t>VCP-OL2</t>
  </si>
  <si>
    <t>VCP-OL3</t>
  </si>
  <si>
    <t>Conduit Galv. FLEX 20mm</t>
  </si>
  <si>
    <t>COGV_010</t>
  </si>
  <si>
    <t>Conduit BRASS ADAP.FLEX  20mm</t>
  </si>
  <si>
    <t>COGV_006</t>
  </si>
  <si>
    <t>AJ Electric</t>
  </si>
  <si>
    <t>LSZH</t>
  </si>
  <si>
    <t>02-004</t>
  </si>
  <si>
    <t>Manually Operated</t>
  </si>
  <si>
    <t xml:space="preserve">Tray  300mm  Galv.     </t>
  </si>
  <si>
    <t>Ardic</t>
  </si>
  <si>
    <t>HDG</t>
  </si>
  <si>
    <t>TRGV_030</t>
  </si>
  <si>
    <t xml:space="preserve">Tray Coupler Galv.     </t>
  </si>
  <si>
    <t>TRGV_051</t>
  </si>
  <si>
    <t xml:space="preserve">Roofing Bolt  </t>
  </si>
  <si>
    <t>CONS_031</t>
  </si>
  <si>
    <t>02-005</t>
  </si>
  <si>
    <t>Wing Nut Hilti  M6</t>
  </si>
  <si>
    <t>EMAT_059</t>
  </si>
  <si>
    <t>HIL</t>
  </si>
  <si>
    <t>MKN-FM8</t>
  </si>
  <si>
    <t>04-002</t>
  </si>
  <si>
    <t xml:space="preserve">Hex.Set Screws  M6x20 </t>
  </si>
  <si>
    <t>EMAT_025</t>
  </si>
  <si>
    <t>05-002</t>
  </si>
  <si>
    <t xml:space="preserve">Earth Strips Copper </t>
  </si>
  <si>
    <t>CONS_012</t>
  </si>
  <si>
    <t>01-011</t>
  </si>
  <si>
    <t>LS</t>
  </si>
  <si>
    <t>Crainage &amp; Transportation</t>
  </si>
  <si>
    <t>CRAI_002</t>
  </si>
  <si>
    <t>7No. Fans</t>
  </si>
  <si>
    <t>2No. Fans</t>
  </si>
  <si>
    <t>1No. Fans</t>
  </si>
  <si>
    <t>Variable speed drives</t>
  </si>
  <si>
    <t>Control cables</t>
  </si>
  <si>
    <t>8No. Fans</t>
  </si>
  <si>
    <t>3No. Fans</t>
  </si>
  <si>
    <t>Indoor and outdoor temp sensors</t>
  </si>
  <si>
    <t>Conduit Galv. 20mm RATE</t>
  </si>
  <si>
    <t>COGV_011</t>
  </si>
  <si>
    <t xml:space="preserve">Indoor Screened  3c Cable 1.0mm </t>
  </si>
  <si>
    <t>CASP_018</t>
  </si>
  <si>
    <t>LAPP</t>
  </si>
  <si>
    <t>110CY</t>
  </si>
  <si>
    <t>Gland Skintop  EExeII 16 x 1.0 (2-4core)</t>
  </si>
  <si>
    <t>CAAC_086</t>
  </si>
  <si>
    <t>Cable Marker Wrap Around Type</t>
  </si>
  <si>
    <t>CAAC_025</t>
  </si>
  <si>
    <t xml:space="preserve">Cable Lug   1.5  mm2   </t>
  </si>
  <si>
    <t>CAAC_004</t>
  </si>
  <si>
    <t>NoMat?</t>
  </si>
  <si>
    <t>Sensor</t>
  </si>
  <si>
    <t>FDCP - Install Only</t>
  </si>
  <si>
    <t>FDCP - Supply Only</t>
  </si>
  <si>
    <t>By Mechancial Sub Contractor</t>
  </si>
  <si>
    <t>Filter dirty indication - SF-B1L-01</t>
  </si>
  <si>
    <t>Filter dirty indication - SF-AB-01</t>
  </si>
  <si>
    <t>Filter dirty indication -  in item 2.006</t>
  </si>
  <si>
    <t>Filter dirty indication -  in item 2.013</t>
  </si>
  <si>
    <t>Anchor  8mm Hilti HKD-SM8x30</t>
  </si>
  <si>
    <t>CONS_003</t>
  </si>
  <si>
    <t>HKD-SM8x30</t>
  </si>
  <si>
    <t>Labour to manufacture brackets</t>
  </si>
  <si>
    <t>LABO_008</t>
  </si>
  <si>
    <t>Raymond</t>
  </si>
  <si>
    <t>001# SFDI adjacent to each damper.</t>
  </si>
  <si>
    <t>Testing &amp; Commissioning (by Technician)</t>
  </si>
  <si>
    <t>COMM_002</t>
  </si>
  <si>
    <t>BMS Equipment General</t>
  </si>
  <si>
    <t>BMSE_004</t>
  </si>
  <si>
    <t>Gland 20  A2  PVC</t>
  </si>
  <si>
    <t>CAAC_027</t>
  </si>
  <si>
    <t>Technician Pairs</t>
  </si>
  <si>
    <t>LSZH - Ramon</t>
  </si>
  <si>
    <t>GEN</t>
  </si>
  <si>
    <t>Hilti Channel 40x20 Endcap MQZ-E21</t>
  </si>
  <si>
    <t>EMAT_064</t>
  </si>
  <si>
    <t>Channel SHALLOW-Galv. Hilti MS-213M</t>
  </si>
  <si>
    <t>EMAT_020</t>
  </si>
  <si>
    <t>MS-213m</t>
  </si>
  <si>
    <t xml:space="preserve">Galv. Nut  8mm </t>
  </si>
  <si>
    <t>EMAT_022</t>
  </si>
  <si>
    <t>Tray Washers M8</t>
  </si>
  <si>
    <t>EMAT_057</t>
  </si>
  <si>
    <t>073# 300mm cable Tray c/w bracket to wall</t>
  </si>
  <si>
    <t>Shoal Export</t>
  </si>
  <si>
    <t>Modbus</t>
  </si>
  <si>
    <t>Connecting up to Fire alarm interface</t>
  </si>
  <si>
    <t>to interface</t>
  </si>
  <si>
    <t>Temperature sensors</t>
  </si>
  <si>
    <t>SFDI - Raymond</t>
  </si>
  <si>
    <t>Impluse fans At High Level</t>
  </si>
  <si>
    <t>047# 5 x 2.5mm2 F120 Fire Resistant Cable (BS7846) -  XLPE/SWA/LSZH - High level</t>
  </si>
  <si>
    <t>equipment</t>
  </si>
  <si>
    <t>Scissors Lift</t>
  </si>
  <si>
    <t xml:space="preserve">No </t>
  </si>
  <si>
    <t>Diesel Fuel</t>
  </si>
  <si>
    <t>Approx €25/daily - info from Godwin by phone</t>
  </si>
  <si>
    <t>GENS_022</t>
  </si>
  <si>
    <t>Material cost to Panta Ex VAT</t>
  </si>
  <si>
    <t>Labour pair hours @ €27.46per pair hour</t>
  </si>
  <si>
    <t>Labour pair hours @ €52.92per pair hour</t>
  </si>
  <si>
    <t>Connecting up of Panel</t>
  </si>
  <si>
    <t>Mechanical</t>
  </si>
  <si>
    <t>Certification - two times</t>
  </si>
  <si>
    <t xml:space="preserve"> BMS EQUIPMENT</t>
  </si>
  <si>
    <t>BMSE_001</t>
  </si>
  <si>
    <t>By Mercor</t>
  </si>
  <si>
    <t>Wiring Cable  3c  4.0 mm2 PVC/PVC Non-Arm</t>
  </si>
  <si>
    <t>CWZ/LSZH</t>
  </si>
  <si>
    <t>CAMC_050</t>
  </si>
  <si>
    <t>03-006</t>
  </si>
  <si>
    <t xml:space="preserve">Cable Clip 22mm PVC </t>
  </si>
  <si>
    <t>CONS_007</t>
  </si>
  <si>
    <t>Steel</t>
  </si>
  <si>
    <t xml:space="preserve">Enclosure Metal  </t>
  </si>
  <si>
    <t>CPAN_035</t>
  </si>
  <si>
    <t>Junction boxes</t>
  </si>
  <si>
    <t>Gland 20  A2  BRASS</t>
  </si>
  <si>
    <t>CAAC_026</t>
  </si>
  <si>
    <t>3No. Cables between each HRU and VCP</t>
  </si>
  <si>
    <t xml:space="preserve">PAGE:  </t>
  </si>
  <si>
    <t>Item: 3.019</t>
  </si>
  <si>
    <t>HVAC</t>
  </si>
  <si>
    <t>Sprinklers</t>
  </si>
  <si>
    <t>Plumbing</t>
  </si>
  <si>
    <t xml:space="preserve">Mat Cost </t>
  </si>
  <si>
    <t>Lab Hours</t>
  </si>
  <si>
    <t>P</t>
  </si>
  <si>
    <t>ECA</t>
  </si>
  <si>
    <t>SECTION:</t>
  </si>
  <si>
    <t>SECT</t>
  </si>
  <si>
    <t>SECT SELL</t>
  </si>
  <si>
    <t>SECT MAT</t>
  </si>
  <si>
    <t>SECT LAB</t>
  </si>
  <si>
    <t>13.02.2025</t>
  </si>
  <si>
    <t>T.Sammut</t>
  </si>
  <si>
    <t>Quintano Foods Ltd.</t>
  </si>
  <si>
    <t>Warehouse at tal-Handaq, Qormi</t>
  </si>
  <si>
    <t>3cables each HRU</t>
  </si>
  <si>
    <t>Fire Alarm interface</t>
  </si>
  <si>
    <t>at €27.46 Ex VAT cost to Panta</t>
  </si>
  <si>
    <t>at €52.92 Ex VAT cost to Panta</t>
  </si>
  <si>
    <t xml:space="preserve">Conduit PVC 25mm   HG RATE  </t>
  </si>
  <si>
    <t>COPV_007</t>
  </si>
  <si>
    <t>25mm</t>
  </si>
  <si>
    <t>000# Empty conduit for thermostat</t>
  </si>
  <si>
    <t>Item: 3.06299999999999</t>
  </si>
  <si>
    <t>Item: 3.06799999999999</t>
  </si>
  <si>
    <t>Item: 3.06899999999999</t>
  </si>
  <si>
    <t>Item: 3.06999999999999</t>
  </si>
  <si>
    <t>Item: 3.07099999999999</t>
  </si>
  <si>
    <t>Item: 3.07199999999999</t>
  </si>
  <si>
    <t>Item: 3.08599999999999</t>
  </si>
  <si>
    <t>Split SPT-01 - Wall Mounted Type Unit 4.5 kW (Outdoor unit 4.5 kW)</t>
  </si>
  <si>
    <t>Item: 3.08699999999999</t>
  </si>
  <si>
    <t>Split SPT-02 - Wall Mounted Type Unit 4.5 kW (Outdoor unit 4.5 kW)</t>
  </si>
  <si>
    <t>Item: 3.08799999999999</t>
  </si>
  <si>
    <t>PRINT</t>
  </si>
  <si>
    <t xml:space="preserve">Connecting up to Fire alarm interface - 5No.  </t>
  </si>
  <si>
    <t>Supply Only - Raymond 10.04.2025</t>
  </si>
  <si>
    <t>Supply Only - Raymond  10.04.2025</t>
  </si>
  <si>
    <t>Item: 2.159A</t>
  </si>
  <si>
    <t>2.159a</t>
  </si>
  <si>
    <r>
      <t>Ventilation Control Panel '</t>
    </r>
    <r>
      <rPr>
        <b/>
        <sz val="10"/>
        <rFont val="Calibri"/>
        <family val="2"/>
        <scheme val="minor"/>
      </rPr>
      <t>VCP-GEN</t>
    </r>
    <r>
      <rPr>
        <sz val="10"/>
        <rFont val="Calibri"/>
        <family val="2"/>
        <scheme val="minor"/>
      </rPr>
      <t>' as per schematic</t>
    </r>
  </si>
  <si>
    <t>Ventilation Control Panel 'VCP-GEN' as per schematic</t>
  </si>
  <si>
    <t>VCP-GEN</t>
  </si>
  <si>
    <t>NEW ITEM INTRODUCED IN REDESIGN</t>
  </si>
  <si>
    <t>2.006a</t>
  </si>
  <si>
    <r>
      <rPr>
        <b/>
        <sz val="10"/>
        <rFont val="Calibri"/>
        <family val="2"/>
        <scheme val="minor"/>
      </rPr>
      <t>EF-GEN-01 F300</t>
    </r>
    <r>
      <rPr>
        <sz val="10"/>
        <rFont val="Calibri"/>
        <family val="2"/>
        <scheme val="minor"/>
      </rPr>
      <t xml:space="preserve"> Extract Fan - 9,700m3/hr at 250Pa - installed at Basement Level -1</t>
    </r>
  </si>
  <si>
    <t>2.006b</t>
  </si>
  <si>
    <r>
      <rPr>
        <b/>
        <sz val="10"/>
        <rFont val="Calibri"/>
        <family val="2"/>
        <scheme val="minor"/>
      </rPr>
      <t>SF-GEN-01</t>
    </r>
    <r>
      <rPr>
        <sz val="10"/>
        <rFont val="Calibri"/>
        <family val="2"/>
        <scheme val="minor"/>
      </rPr>
      <t xml:space="preserve"> </t>
    </r>
    <r>
      <rPr>
        <b/>
        <sz val="10"/>
        <rFont val="Calibri"/>
        <family val="2"/>
        <scheme val="minor"/>
      </rPr>
      <t>F300</t>
    </r>
    <r>
      <rPr>
        <sz val="10"/>
        <rFont val="Calibri"/>
        <family val="2"/>
        <scheme val="minor"/>
      </rPr>
      <t xml:space="preserve"> Supply Fan - 9,700m3/hr at 250Pa - installed at Basement Level -1</t>
    </r>
  </si>
  <si>
    <t>EF-GEN-01 F300 Extract Fan - 9,700m3/hr at 250Pa - installed at Basement Level -1</t>
  </si>
  <si>
    <t>SF-GEN-01 F300 Supply Fan - 9,700m3/hr at 250Pa - installed at Basement Level -1</t>
  </si>
  <si>
    <t>ELM-25-0085B</t>
  </si>
  <si>
    <t>Rev A - Inverrters in VCPs</t>
  </si>
  <si>
    <t>Rev B - Redesign by consultant</t>
  </si>
  <si>
    <t>Supply Only - Raymond  13.06.2025</t>
  </si>
  <si>
    <t>Electrical installation for Mechanical (HVAC) - Revision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</si>
</sst>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0.00_-;\-* #,##0.00_-;_-* &quot;-&quot;??_-;_-@_-"/>
    <numFmt numFmtId="164" formatCode="_(&quot;$&quot;* #,##0.00_);_(&quot;$&quot;* \(#,##0.00\);_(&quot;$&quot;* &quot;-&quot;??_);_(@_)"/>
    <numFmt numFmtId="165" formatCode="0.000"/>
    <numFmt numFmtId="166" formatCode="&quot;Lm &quot;#,##0.00_);[Red]\(&quot;Lm &quot;#,##0.00\)"/>
    <numFmt numFmtId="167" formatCode="\(\ 0.00%\ \)"/>
    <numFmt numFmtId="168" formatCode="&quot;Lm/hr &quot;#,##0.00_);[Red]\(&quot;Lm &quot;#,##0.00\)"/>
    <numFmt numFmtId="169" formatCode="dd/mm/yy;@"/>
    <numFmt numFmtId="170" formatCode="&quot;Lm&quot;#,##0.00"/>
    <numFmt numFmtId="171" formatCode="[$€-2]\ #,##0.00"/>
    <numFmt numFmtId="172" formatCode="0.0000"/>
    <numFmt numFmtId="173" formatCode="0.0000000"/>
    <numFmt numFmtId="174" formatCode="#,##0.00_ ;\-#,##0.00\ "/>
    <numFmt numFmtId="175" formatCode="&quot;€/Prhr &quot;#,##0.00_);[Red]\(&quot;Lm &quot;#,##0.00\)"/>
    <numFmt numFmtId="176" formatCode="&quot;€/Prhr &quot;#,##0.000_);[Red]\(&quot;Lm &quot;#,##0.000\)"/>
    <numFmt numFmtId="177" formatCode="&quot;€&quot;#,##0.00"/>
    <numFmt numFmtId="178" formatCode="_(* #,##0.00_);_(* \(#,##0.00\);_(* &quot;-&quot;??_);_(@_)"/>
    <numFmt numFmtId="179" formatCode="0.00_)"/>
    <numFmt numFmtId="180" formatCode="#,##0.000000000_ ;\-#,##0.000000000\ "/>
  </numFmts>
  <fonts count="197">
    <font>
      <sz val="10"/>
      <name val="Arial"/>
    </font>
    <font>
      <sz val="11"/>
      <color theme="1"/>
      <name val="Calibri"/>
      <family val="2"/>
      <scheme val="minor"/>
    </font>
    <font>
      <b/>
      <sz val="10"/>
      <name val="Arial"/>
      <family val="2"/>
    </font>
    <font>
      <i/>
      <sz val="10"/>
      <name val="Arial"/>
      <family val="2"/>
    </font>
    <font>
      <b/>
      <i/>
      <sz val="10"/>
      <name val="Arial"/>
      <family val="2"/>
    </font>
    <font>
      <sz val="10"/>
      <name val="Arial"/>
      <family val="2"/>
    </font>
    <font>
      <sz val="9"/>
      <color indexed="24"/>
      <name val="Arial"/>
      <family val="2"/>
    </font>
    <font>
      <b/>
      <sz val="8"/>
      <color indexed="24"/>
      <name val="Arial"/>
      <family val="2"/>
    </font>
    <font>
      <sz val="9"/>
      <name val="Arial"/>
      <family val="2"/>
    </font>
    <font>
      <sz val="10"/>
      <name val="Arial"/>
      <family val="2"/>
    </font>
    <font>
      <sz val="8"/>
      <color indexed="24"/>
      <name val="Arial"/>
      <family val="2"/>
    </font>
    <font>
      <i/>
      <sz val="8"/>
      <color indexed="24"/>
      <name val="Arial"/>
      <family val="2"/>
    </font>
    <font>
      <sz val="10"/>
      <color indexed="24"/>
      <name val="Arial"/>
      <family val="2"/>
    </font>
    <font>
      <sz val="9"/>
      <name val="Arial"/>
      <family val="2"/>
    </font>
    <font>
      <sz val="8"/>
      <name val="Arial"/>
      <family val="2"/>
    </font>
    <font>
      <b/>
      <u/>
      <sz val="9"/>
      <name val="Arial"/>
      <family val="2"/>
    </font>
    <font>
      <b/>
      <sz val="9"/>
      <name val="Arial"/>
      <family val="2"/>
    </font>
    <font>
      <sz val="9"/>
      <color indexed="9"/>
      <name val="Arial"/>
      <family val="2"/>
    </font>
    <font>
      <b/>
      <i/>
      <sz val="8"/>
      <name val="Arial"/>
      <family val="2"/>
    </font>
    <font>
      <sz val="9"/>
      <color indexed="13"/>
      <name val="Arial"/>
      <family val="2"/>
    </font>
    <font>
      <b/>
      <sz val="9"/>
      <name val="Arial"/>
      <family val="2"/>
    </font>
    <font>
      <b/>
      <i/>
      <sz val="11"/>
      <name val="Arial"/>
      <family val="2"/>
    </font>
    <font>
      <b/>
      <sz val="9"/>
      <color indexed="13"/>
      <name val="Arial"/>
      <family val="2"/>
    </font>
    <font>
      <sz val="9"/>
      <color indexed="10"/>
      <name val="Arial"/>
      <family val="2"/>
    </font>
    <font>
      <b/>
      <sz val="10"/>
      <name val="Arial"/>
      <family val="2"/>
    </font>
    <font>
      <sz val="9"/>
      <color indexed="34"/>
      <name val="Arial"/>
      <family val="2"/>
    </font>
    <font>
      <sz val="10"/>
      <name val="MS Sans Serif"/>
      <family val="2"/>
    </font>
    <font>
      <i/>
      <sz val="8"/>
      <name val="Arial"/>
      <family val="2"/>
    </font>
    <font>
      <b/>
      <u/>
      <sz val="10"/>
      <name val="Arial"/>
      <family val="2"/>
    </font>
    <font>
      <b/>
      <sz val="8"/>
      <name val="Arial"/>
      <family val="2"/>
    </font>
    <font>
      <b/>
      <u/>
      <sz val="8"/>
      <name val="Arial"/>
      <family val="2"/>
    </font>
    <font>
      <sz val="10"/>
      <name val="Courier"/>
      <family val="3"/>
    </font>
    <font>
      <b/>
      <sz val="8"/>
      <name val="Arial"/>
      <family val="2"/>
    </font>
    <font>
      <sz val="8"/>
      <name val="Arial"/>
      <family val="2"/>
    </font>
    <font>
      <sz val="8"/>
      <color indexed="10"/>
      <name val="Arial"/>
      <family val="2"/>
    </font>
    <font>
      <u/>
      <sz val="10"/>
      <name val="Arial"/>
      <family val="2"/>
    </font>
    <font>
      <b/>
      <i/>
      <sz val="7"/>
      <name val="Arial"/>
      <family val="2"/>
    </font>
    <font>
      <i/>
      <sz val="7"/>
      <name val="Arial"/>
      <family val="2"/>
    </font>
    <font>
      <b/>
      <sz val="6"/>
      <name val="Arial"/>
      <family val="2"/>
    </font>
    <font>
      <b/>
      <i/>
      <u/>
      <sz val="10"/>
      <name val="Arial Narrow"/>
      <family val="2"/>
    </font>
    <font>
      <b/>
      <u/>
      <sz val="12"/>
      <name val="Arial"/>
      <family val="2"/>
    </font>
    <font>
      <u/>
      <sz val="9"/>
      <name val="Arial"/>
      <family val="2"/>
    </font>
    <font>
      <sz val="11"/>
      <name val="Arial"/>
      <family val="2"/>
    </font>
    <font>
      <b/>
      <sz val="12"/>
      <name val="Arial"/>
      <family val="2"/>
    </font>
    <font>
      <sz val="12"/>
      <name val="Normal"/>
    </font>
    <font>
      <b/>
      <u/>
      <sz val="10"/>
      <name val="Arial"/>
      <family val="2"/>
    </font>
    <font>
      <sz val="9"/>
      <name val="Normal"/>
    </font>
    <font>
      <b/>
      <u/>
      <sz val="11"/>
      <name val="Arial"/>
      <family val="2"/>
    </font>
    <font>
      <u/>
      <sz val="11"/>
      <name val="Arial"/>
      <family val="2"/>
    </font>
    <font>
      <b/>
      <i/>
      <sz val="12"/>
      <name val="Normal"/>
    </font>
    <font>
      <i/>
      <sz val="10"/>
      <name val="Arial"/>
      <family val="2"/>
    </font>
    <font>
      <b/>
      <sz val="11"/>
      <name val="Arial"/>
      <family val="2"/>
    </font>
    <font>
      <b/>
      <sz val="11"/>
      <name val="Arial"/>
      <family val="2"/>
    </font>
    <font>
      <b/>
      <sz val="9"/>
      <color indexed="50"/>
      <name val="Arial"/>
      <family val="2"/>
    </font>
    <font>
      <i/>
      <sz val="10"/>
      <color indexed="50"/>
      <name val="Arial"/>
      <family val="2"/>
    </font>
    <font>
      <u/>
      <sz val="10"/>
      <color indexed="24"/>
      <name val="Arial"/>
      <family val="2"/>
    </font>
    <font>
      <b/>
      <sz val="10"/>
      <color indexed="24"/>
      <name val="Arial"/>
      <family val="2"/>
    </font>
    <font>
      <b/>
      <sz val="6"/>
      <color indexed="24"/>
      <name val="Arial"/>
      <family val="2"/>
    </font>
    <font>
      <sz val="9"/>
      <color indexed="50"/>
      <name val="Arial"/>
      <family val="2"/>
    </font>
    <font>
      <sz val="8"/>
      <color indexed="48"/>
      <name val="Arial"/>
      <family val="2"/>
    </font>
    <font>
      <sz val="7"/>
      <color indexed="24"/>
      <name val="Arial"/>
      <family val="2"/>
    </font>
    <font>
      <sz val="8"/>
      <color indexed="81"/>
      <name val="Tahoma"/>
      <family val="2"/>
    </font>
    <font>
      <i/>
      <sz val="9"/>
      <name val="Arial"/>
      <family val="2"/>
    </font>
    <font>
      <sz val="10"/>
      <color indexed="9"/>
      <name val="Arial"/>
      <family val="2"/>
    </font>
    <font>
      <b/>
      <i/>
      <sz val="9"/>
      <name val="Arial"/>
      <family val="2"/>
    </font>
    <font>
      <sz val="11"/>
      <color indexed="50"/>
      <name val="Arial"/>
      <family val="2"/>
    </font>
    <font>
      <sz val="10"/>
      <color indexed="21"/>
      <name val="Arial"/>
      <family val="2"/>
    </font>
    <font>
      <b/>
      <sz val="10"/>
      <color indexed="21"/>
      <name val="Arial"/>
      <family val="2"/>
    </font>
    <font>
      <sz val="12"/>
      <color indexed="19"/>
      <name val="Normal"/>
    </font>
    <font>
      <b/>
      <sz val="12"/>
      <color indexed="19"/>
      <name val="Normal"/>
    </font>
    <font>
      <sz val="10"/>
      <color indexed="19"/>
      <name val="Arial"/>
      <family val="2"/>
    </font>
    <font>
      <b/>
      <sz val="9"/>
      <color indexed="19"/>
      <name val="Arial"/>
      <family val="2"/>
    </font>
    <font>
      <sz val="8"/>
      <name val="Arial Narrow"/>
      <family val="2"/>
    </font>
    <font>
      <b/>
      <sz val="8"/>
      <name val="Arial Narrow"/>
      <family val="2"/>
    </font>
    <font>
      <b/>
      <sz val="8"/>
      <color indexed="12"/>
      <name val="Arial Narrow"/>
      <family val="2"/>
    </font>
    <font>
      <sz val="10"/>
      <color indexed="55"/>
      <name val="Arial"/>
      <family val="2"/>
    </font>
    <font>
      <b/>
      <sz val="9"/>
      <color indexed="56"/>
      <name val="Arial Narrow"/>
      <family val="2"/>
    </font>
    <font>
      <b/>
      <sz val="9"/>
      <color indexed="10"/>
      <name val="Arial Narrow"/>
      <family val="2"/>
    </font>
    <font>
      <sz val="9"/>
      <name val="Arial Narrow"/>
      <family val="2"/>
    </font>
    <font>
      <b/>
      <sz val="8"/>
      <color indexed="81"/>
      <name val="Tahoma"/>
      <family val="2"/>
    </font>
    <font>
      <sz val="10"/>
      <color indexed="60"/>
      <name val="Arial Narrow"/>
      <family val="2"/>
    </font>
    <font>
      <b/>
      <sz val="10"/>
      <color indexed="10"/>
      <name val="Arial"/>
      <family val="2"/>
    </font>
    <font>
      <sz val="10"/>
      <name val="Arial Narrow"/>
      <family val="2"/>
    </font>
    <font>
      <i/>
      <sz val="8"/>
      <name val="Arial Narrow"/>
      <family val="2"/>
    </font>
    <font>
      <u/>
      <sz val="10"/>
      <name val="Arial Narrow"/>
      <family val="2"/>
    </font>
    <font>
      <b/>
      <sz val="9"/>
      <color indexed="53"/>
      <name val="Arial"/>
      <family val="2"/>
    </font>
    <font>
      <sz val="10"/>
      <color indexed="10"/>
      <name val="Arial"/>
      <family val="2"/>
    </font>
    <font>
      <sz val="10"/>
      <color indexed="8"/>
      <name val="Arial Narrow"/>
      <family val="2"/>
    </font>
    <font>
      <sz val="8"/>
      <color indexed="23"/>
      <name val="Arial"/>
      <family val="2"/>
    </font>
    <font>
      <sz val="9"/>
      <color indexed="10"/>
      <name val="Arial"/>
      <family val="2"/>
    </font>
    <font>
      <sz val="8"/>
      <color indexed="61"/>
      <name val="Arial Narrow"/>
      <family val="2"/>
    </font>
    <font>
      <sz val="8"/>
      <color indexed="12"/>
      <name val="Arial Narrow"/>
      <family val="2"/>
    </font>
    <font>
      <sz val="8"/>
      <color indexed="10"/>
      <name val="Arial Narrow"/>
      <family val="2"/>
    </font>
    <font>
      <sz val="8"/>
      <color indexed="23"/>
      <name val="Arial Narrow"/>
      <family val="2"/>
    </font>
    <font>
      <sz val="8"/>
      <color indexed="10"/>
      <name val="Arial"/>
      <family val="2"/>
    </font>
    <font>
      <b/>
      <sz val="9"/>
      <color indexed="61"/>
      <name val="Arial"/>
      <family val="2"/>
    </font>
    <font>
      <sz val="8"/>
      <color indexed="61"/>
      <name val="Arial"/>
      <family val="2"/>
    </font>
    <font>
      <sz val="8"/>
      <color indexed="61"/>
      <name val="Arial"/>
      <family val="2"/>
    </font>
    <font>
      <sz val="8"/>
      <color indexed="17"/>
      <name val="Arial"/>
      <family val="2"/>
    </font>
    <font>
      <b/>
      <u/>
      <sz val="14"/>
      <name val="Arial"/>
      <family val="2"/>
    </font>
    <font>
      <b/>
      <sz val="9"/>
      <color indexed="10"/>
      <name val="Arial"/>
      <family val="2"/>
    </font>
    <font>
      <sz val="9"/>
      <color indexed="48"/>
      <name val="Arial"/>
      <family val="2"/>
    </font>
    <font>
      <b/>
      <i/>
      <sz val="10"/>
      <color indexed="24"/>
      <name val="Arial"/>
      <family val="2"/>
    </font>
    <font>
      <b/>
      <sz val="8"/>
      <color indexed="10"/>
      <name val="Tahoma"/>
      <family val="2"/>
    </font>
    <font>
      <sz val="8"/>
      <color indexed="10"/>
      <name val="Tahoma"/>
      <family val="2"/>
    </font>
    <font>
      <sz val="6"/>
      <color indexed="61"/>
      <name val="Arial"/>
      <family val="2"/>
    </font>
    <font>
      <sz val="10"/>
      <color indexed="50"/>
      <name val="Arial"/>
      <family val="2"/>
    </font>
    <font>
      <sz val="7"/>
      <color indexed="10"/>
      <name val="Arial"/>
      <family val="2"/>
    </font>
    <font>
      <b/>
      <sz val="10"/>
      <color indexed="21"/>
      <name val="Arial"/>
      <family val="2"/>
    </font>
    <font>
      <b/>
      <sz val="16"/>
      <color indexed="10"/>
      <name val="Arial"/>
      <family val="2"/>
    </font>
    <font>
      <b/>
      <sz val="6"/>
      <name val="Arial Narrow"/>
      <family val="2"/>
    </font>
    <font>
      <sz val="8"/>
      <color indexed="20"/>
      <name val="Arial Narrow"/>
      <family val="2"/>
    </font>
    <font>
      <sz val="8"/>
      <color indexed="23"/>
      <name val="Arial"/>
      <family val="2"/>
    </font>
    <font>
      <b/>
      <sz val="12"/>
      <color indexed="10"/>
      <name val="Arial"/>
      <family val="2"/>
    </font>
    <font>
      <sz val="14"/>
      <color indexed="10"/>
      <name val="Arial"/>
      <family val="2"/>
    </font>
    <font>
      <sz val="6"/>
      <color indexed="23"/>
      <name val="Arial"/>
      <family val="2"/>
    </font>
    <font>
      <sz val="6"/>
      <color indexed="23"/>
      <name val="Arial Narrow"/>
      <family val="2"/>
    </font>
    <font>
      <sz val="8"/>
      <color indexed="17"/>
      <name val="Tahoma"/>
      <family val="2"/>
    </font>
    <font>
      <b/>
      <sz val="16"/>
      <color indexed="17"/>
      <name val="Arial"/>
      <family val="2"/>
    </font>
    <font>
      <b/>
      <u/>
      <sz val="8"/>
      <name val="Arial"/>
      <family val="2"/>
    </font>
    <font>
      <b/>
      <sz val="8"/>
      <color indexed="21"/>
      <name val="Arial"/>
      <family val="2"/>
    </font>
    <font>
      <sz val="8"/>
      <color indexed="21"/>
      <name val="Arial"/>
      <family val="2"/>
    </font>
    <font>
      <sz val="10"/>
      <name val="Arial"/>
      <family val="2"/>
    </font>
    <font>
      <b/>
      <sz val="9"/>
      <color indexed="21"/>
      <name val="Arial"/>
      <family val="2"/>
    </font>
    <font>
      <sz val="9"/>
      <color indexed="63"/>
      <name val="Arial"/>
      <family val="2"/>
    </font>
    <font>
      <b/>
      <sz val="9"/>
      <color indexed="63"/>
      <name val="Arial"/>
      <family val="2"/>
    </font>
    <font>
      <sz val="10"/>
      <color indexed="50"/>
      <name val="Arial"/>
      <family val="2"/>
    </font>
    <font>
      <b/>
      <sz val="10"/>
      <name val="Arial Black"/>
      <family val="2"/>
    </font>
    <font>
      <i/>
      <sz val="9"/>
      <color indexed="63"/>
      <name val="Arial"/>
      <family val="2"/>
    </font>
    <font>
      <i/>
      <sz val="9"/>
      <color indexed="63"/>
      <name val="Arial Narrow"/>
      <family val="2"/>
    </font>
    <font>
      <b/>
      <sz val="12"/>
      <color indexed="17"/>
      <name val="Arial"/>
      <family val="2"/>
    </font>
    <font>
      <b/>
      <sz val="14"/>
      <name val="Arial"/>
      <family val="2"/>
    </font>
    <font>
      <b/>
      <i/>
      <sz val="8"/>
      <color indexed="9"/>
      <name val="Arial"/>
      <family val="2"/>
    </font>
    <font>
      <sz val="9"/>
      <color indexed="9"/>
      <name val="Arial"/>
      <family val="2"/>
    </font>
    <font>
      <u/>
      <sz val="10"/>
      <color indexed="9"/>
      <name val="Arial"/>
      <family val="2"/>
    </font>
    <font>
      <u/>
      <sz val="10"/>
      <name val="Arial"/>
      <family val="2"/>
    </font>
    <font>
      <b/>
      <sz val="14"/>
      <color indexed="17"/>
      <name val="Arial"/>
      <family val="2"/>
    </font>
    <font>
      <b/>
      <sz val="8"/>
      <color indexed="55"/>
      <name val="Arial"/>
      <family val="2"/>
    </font>
    <font>
      <b/>
      <sz val="8"/>
      <color indexed="16"/>
      <name val="Arial"/>
      <family val="2"/>
    </font>
    <font>
      <sz val="10"/>
      <color indexed="16"/>
      <name val="Arial"/>
      <family val="2"/>
    </font>
    <font>
      <b/>
      <sz val="11"/>
      <color indexed="16"/>
      <name val="Arial"/>
      <family val="2"/>
    </font>
    <font>
      <b/>
      <i/>
      <sz val="9"/>
      <color indexed="14"/>
      <name val="Arial"/>
      <family val="2"/>
    </font>
    <font>
      <i/>
      <sz val="8"/>
      <color indexed="23"/>
      <name val="Arial"/>
      <family val="2"/>
    </font>
    <font>
      <i/>
      <sz val="8"/>
      <color indexed="23"/>
      <name val="Arial"/>
      <family val="2"/>
    </font>
    <font>
      <sz val="10"/>
      <color indexed="81"/>
      <name val="Tahoma"/>
      <family val="2"/>
    </font>
    <font>
      <b/>
      <sz val="10"/>
      <color indexed="81"/>
      <name val="Tahoma"/>
      <family val="2"/>
    </font>
    <font>
      <b/>
      <sz val="9"/>
      <color indexed="63"/>
      <name val="Arial Narrow"/>
      <family val="2"/>
    </font>
    <font>
      <sz val="8"/>
      <color rgb="FF000000"/>
      <name val="Tahoma"/>
      <family val="2"/>
    </font>
    <font>
      <sz val="10"/>
      <color rgb="FF000000"/>
      <name val="Arial"/>
      <family val="2"/>
    </font>
    <font>
      <b/>
      <u/>
      <sz val="10"/>
      <color indexed="47"/>
      <name val="Arial"/>
      <family val="2"/>
    </font>
    <font>
      <sz val="9"/>
      <color theme="0"/>
      <name val="Arial"/>
      <family val="2"/>
    </font>
    <font>
      <b/>
      <sz val="10"/>
      <color theme="0"/>
      <name val="Arial"/>
      <family val="2"/>
    </font>
    <font>
      <sz val="11"/>
      <color theme="1"/>
      <name val="Calibri"/>
      <family val="2"/>
      <scheme val="minor"/>
    </font>
    <font>
      <sz val="10"/>
      <name val="Calibri"/>
      <family val="2"/>
      <scheme val="minor"/>
    </font>
    <font>
      <b/>
      <sz val="10"/>
      <name val="Calibri"/>
      <family val="2"/>
      <scheme val="minor"/>
    </font>
    <font>
      <i/>
      <sz val="10"/>
      <name val="Calibri"/>
      <family val="2"/>
      <scheme val="minor"/>
    </font>
    <font>
      <sz val="10"/>
      <color rgb="FFFF0000"/>
      <name val="Calibri"/>
      <family val="2"/>
      <scheme val="minor"/>
    </font>
    <font>
      <b/>
      <sz val="10"/>
      <color rgb="FFFF0000"/>
      <name val="Calibri"/>
      <family val="2"/>
      <scheme val="minor"/>
    </font>
    <font>
      <b/>
      <i/>
      <sz val="10"/>
      <name val="Calibri"/>
      <family val="2"/>
      <scheme val="minor"/>
    </font>
    <font>
      <sz val="11"/>
      <name val="Calibri"/>
      <family val="2"/>
      <scheme val="minor"/>
    </font>
    <font>
      <b/>
      <u/>
      <sz val="10"/>
      <name val="Calibri"/>
      <family val="2"/>
      <scheme val="minor"/>
    </font>
    <font>
      <b/>
      <sz val="9"/>
      <color indexed="18"/>
      <name val="Arial"/>
      <family val="2"/>
    </font>
    <font>
      <sz val="9"/>
      <color indexed="18"/>
      <name val="Arial"/>
      <family val="2"/>
    </font>
    <font>
      <i/>
      <sz val="8"/>
      <color indexed="10"/>
      <name val="Arial"/>
      <family val="2"/>
    </font>
    <font>
      <i/>
      <sz val="8"/>
      <color indexed="10"/>
      <name val="Arial Narrow"/>
      <family val="2"/>
    </font>
    <font>
      <i/>
      <sz val="8"/>
      <color indexed="55"/>
      <name val="Arial"/>
      <family val="2"/>
    </font>
    <font>
      <sz val="10"/>
      <name val="AvantGarde Bk BT"/>
    </font>
    <font>
      <sz val="9"/>
      <name val="MS Sans Serif"/>
      <family val="2"/>
    </font>
    <font>
      <sz val="12"/>
      <name val="Arial MT"/>
    </font>
    <font>
      <sz val="9"/>
      <color indexed="8"/>
      <name val="MS Sans Serif"/>
      <family val="2"/>
    </font>
    <font>
      <sz val="9"/>
      <color indexed="23"/>
      <name val="MS Sans Serif"/>
      <family val="2"/>
    </font>
    <font>
      <sz val="9"/>
      <color indexed="12"/>
      <name val="MS Sans Serif"/>
      <family val="2"/>
    </font>
    <font>
      <b/>
      <sz val="9"/>
      <name val="MS Sans Serif"/>
      <family val="2"/>
    </font>
    <font>
      <sz val="9"/>
      <color indexed="10"/>
      <name val="Arial Narrow"/>
      <family val="2"/>
    </font>
    <font>
      <sz val="9"/>
      <name val="MS Sans Serif"/>
    </font>
    <font>
      <b/>
      <sz val="9"/>
      <color rgb="FFFF0000"/>
      <name val="MS Sans Serif"/>
    </font>
    <font>
      <b/>
      <sz val="9"/>
      <name val="MS Sans Serif"/>
    </font>
    <font>
      <b/>
      <sz val="10"/>
      <color rgb="FFFF0000"/>
      <name val="Arial"/>
      <family val="2"/>
    </font>
    <font>
      <b/>
      <sz val="9"/>
      <color rgb="FFFF0000"/>
      <name val="Arial"/>
      <family val="2"/>
    </font>
    <font>
      <sz val="9"/>
      <color rgb="FFFF0000"/>
      <name val="MS Sans Serif"/>
    </font>
    <font>
      <b/>
      <sz val="9"/>
      <color rgb="FF0070C0"/>
      <name val="MS Sans Serif"/>
    </font>
    <font>
      <sz val="9"/>
      <color theme="1"/>
      <name val="MS Sans Serif"/>
    </font>
    <font>
      <i/>
      <sz val="9"/>
      <color rgb="FF0070C0"/>
      <name val="Arial"/>
      <family val="2"/>
    </font>
    <font>
      <b/>
      <i/>
      <sz val="9"/>
      <color rgb="FF0070C0"/>
      <name val="Arial"/>
      <family val="2"/>
    </font>
    <font>
      <b/>
      <u/>
      <sz val="9"/>
      <color rgb="FFFF0000"/>
      <name val="Arial"/>
      <family val="2"/>
    </font>
    <font>
      <sz val="10"/>
      <name val="Mark Pro Book"/>
      <family val="2"/>
    </font>
    <font>
      <b/>
      <sz val="22.5"/>
      <name val="Mark Pro Book"/>
      <family val="2"/>
    </font>
    <font>
      <sz val="9"/>
      <name val="Mark Pro Book"/>
      <family val="2"/>
    </font>
    <font>
      <sz val="14"/>
      <name val="Mark Pro Book"/>
      <family val="2"/>
    </font>
    <font>
      <b/>
      <sz val="10"/>
      <name val="Mark Pro Book"/>
      <family val="2"/>
    </font>
    <font>
      <b/>
      <sz val="8"/>
      <name val="Mark Pro Book"/>
      <family val="2"/>
    </font>
    <font>
      <b/>
      <u/>
      <sz val="10"/>
      <name val="Mark Pro Book"/>
      <family val="2"/>
    </font>
    <font>
      <b/>
      <sz val="9"/>
      <name val="Mark Pro Book"/>
      <family val="2"/>
    </font>
    <font>
      <sz val="8"/>
      <color indexed="9"/>
      <name val="Mark Pro Book"/>
      <family val="2"/>
    </font>
    <font>
      <sz val="10"/>
      <color indexed="9"/>
      <name val="Mark Pro Book"/>
      <family val="2"/>
    </font>
    <font>
      <sz val="9"/>
      <color indexed="81"/>
      <name val="Tahoma"/>
      <family val="2"/>
    </font>
    <font>
      <b/>
      <sz val="9"/>
      <color indexed="81"/>
      <name val="Tahoma"/>
      <family val="2"/>
    </font>
  </fonts>
  <fills count="31">
    <fill>
      <patternFill patternType="none"/>
    </fill>
    <fill>
      <patternFill patternType="gray125"/>
    </fill>
    <fill>
      <patternFill patternType="solid">
        <fgColor indexed="22"/>
        <bgColor indexed="64"/>
      </patternFill>
    </fill>
    <fill>
      <patternFill patternType="solid">
        <fgColor indexed="15"/>
        <bgColor indexed="64"/>
      </patternFill>
    </fill>
    <fill>
      <patternFill patternType="solid">
        <fgColor indexed="26"/>
        <bgColor indexed="64"/>
      </patternFill>
    </fill>
    <fill>
      <patternFill patternType="solid">
        <fgColor indexed="51"/>
        <bgColor indexed="64"/>
      </patternFill>
    </fill>
    <fill>
      <patternFill patternType="solid">
        <fgColor indexed="11"/>
        <bgColor indexed="64"/>
      </patternFill>
    </fill>
    <fill>
      <patternFill patternType="solid">
        <fgColor indexed="13"/>
        <bgColor indexed="64"/>
      </patternFill>
    </fill>
    <fill>
      <patternFill patternType="solid">
        <fgColor indexed="45"/>
        <bgColor indexed="64"/>
      </patternFill>
    </fill>
    <fill>
      <patternFill patternType="solid">
        <fgColor indexed="31"/>
        <bgColor indexed="64"/>
      </patternFill>
    </fill>
    <fill>
      <patternFill patternType="solid">
        <fgColor indexed="29"/>
        <bgColor indexed="64"/>
      </patternFill>
    </fill>
    <fill>
      <patternFill patternType="solid">
        <fgColor indexed="40"/>
        <bgColor indexed="64"/>
      </patternFill>
    </fill>
    <fill>
      <patternFill patternType="solid">
        <fgColor indexed="43"/>
        <bgColor indexed="64"/>
      </patternFill>
    </fill>
    <fill>
      <patternFill patternType="solid">
        <fgColor indexed="35"/>
        <bgColor indexed="64"/>
      </patternFill>
    </fill>
    <fill>
      <patternFill patternType="solid">
        <fgColor indexed="44"/>
        <bgColor indexed="64"/>
      </patternFill>
    </fill>
    <fill>
      <patternFill patternType="solid">
        <fgColor indexed="12"/>
        <bgColor indexed="64"/>
      </patternFill>
    </fill>
    <fill>
      <patternFill patternType="solid">
        <fgColor indexed="14"/>
        <bgColor indexed="64"/>
      </patternFill>
    </fill>
    <fill>
      <patternFill patternType="solid">
        <fgColor indexed="47"/>
        <bgColor indexed="64"/>
      </patternFill>
    </fill>
    <fill>
      <patternFill patternType="solid">
        <fgColor indexed="27"/>
        <bgColor indexed="64"/>
      </patternFill>
    </fill>
    <fill>
      <patternFill patternType="solid">
        <fgColor indexed="42"/>
        <bgColor indexed="64"/>
      </patternFill>
    </fill>
    <fill>
      <patternFill patternType="solid">
        <fgColor indexed="16"/>
        <bgColor indexed="64"/>
      </patternFill>
    </fill>
    <fill>
      <patternFill patternType="solid">
        <fgColor indexed="17"/>
        <bgColor indexed="64"/>
      </patternFill>
    </fill>
    <fill>
      <patternFill patternType="solid">
        <fgColor rgb="FFFFFF00"/>
        <bgColor indexed="64"/>
      </patternFill>
    </fill>
    <fill>
      <patternFill patternType="solid">
        <fgColor theme="9" tint="0.79998168889431442"/>
        <bgColor indexed="64"/>
      </patternFill>
    </fill>
    <fill>
      <patternFill patternType="lightUp"/>
    </fill>
    <fill>
      <patternFill patternType="lightGray">
        <bgColor indexed="26"/>
      </patternFill>
    </fill>
    <fill>
      <patternFill patternType="solid">
        <fgColor indexed="47"/>
        <bgColor indexed="8"/>
      </patternFill>
    </fill>
    <fill>
      <patternFill patternType="lightGray">
        <bgColor indexed="51"/>
      </patternFill>
    </fill>
    <fill>
      <patternFill patternType="solid">
        <fgColor indexed="10"/>
        <bgColor indexed="64"/>
      </patternFill>
    </fill>
    <fill>
      <patternFill patternType="solid">
        <fgColor theme="0" tint="-0.249977111117893"/>
        <bgColor indexed="64"/>
      </patternFill>
    </fill>
    <fill>
      <patternFill patternType="solid">
        <fgColor theme="5" tint="0.79998168889431442"/>
        <bgColor indexed="64"/>
      </patternFill>
    </fill>
  </fills>
  <borders count="61">
    <border>
      <left/>
      <right/>
      <top/>
      <bottom/>
      <diagonal/>
    </border>
    <border>
      <left/>
      <right/>
      <top/>
      <bottom style="double">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double">
        <color indexed="64"/>
      </bottom>
      <diagonal/>
    </border>
    <border>
      <left/>
      <right style="thin">
        <color indexed="64"/>
      </right>
      <top/>
      <bottom style="double">
        <color indexed="64"/>
      </bottom>
      <diagonal/>
    </border>
    <border>
      <left/>
      <right/>
      <top style="medium">
        <color indexed="64"/>
      </top>
      <bottom/>
      <diagonal/>
    </border>
    <border>
      <left/>
      <right/>
      <top style="thin">
        <color indexed="64"/>
      </top>
      <bottom style="medium">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thin">
        <color indexed="64"/>
      </right>
      <top/>
      <bottom style="double">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diagonal/>
    </border>
    <border>
      <left style="thin">
        <color indexed="64"/>
      </left>
      <right style="double">
        <color indexed="64"/>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dotted">
        <color indexed="64"/>
      </left>
      <right style="dotted">
        <color indexed="64"/>
      </right>
      <top style="dotted">
        <color indexed="64"/>
      </top>
      <bottom/>
      <diagonal/>
    </border>
    <border>
      <left/>
      <right/>
      <top/>
      <bottom style="dotted">
        <color indexed="64"/>
      </bottom>
      <diagonal/>
    </border>
    <border>
      <left/>
      <right/>
      <top/>
      <bottom style="dashed">
        <color indexed="64"/>
      </bottom>
      <diagonal/>
    </border>
    <border>
      <left/>
      <right/>
      <top style="dotted">
        <color indexed="64"/>
      </top>
      <bottom/>
      <diagonal/>
    </border>
    <border>
      <left/>
      <right/>
      <top style="thin">
        <color indexed="64"/>
      </top>
      <bottom style="dashed">
        <color indexed="64"/>
      </bottom>
      <diagonal/>
    </border>
    <border>
      <left style="dotted">
        <color indexed="64"/>
      </left>
      <right style="dotted">
        <color indexed="64"/>
      </right>
      <top style="dotted">
        <color indexed="64"/>
      </top>
      <bottom style="dotted">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diagonal/>
    </border>
  </borders>
  <cellStyleXfs count="25">
    <xf numFmtId="0" fontId="0" fillId="0" borderId="0"/>
    <xf numFmtId="43" fontId="5" fillId="0" borderId="0" applyFont="0" applyFill="0" applyBorder="0" applyAlignment="0" applyProtection="0"/>
    <xf numFmtId="164" fontId="5" fillId="0" borderId="0" applyFont="0" applyFill="0" applyBorder="0" applyAlignment="0" applyProtection="0"/>
    <xf numFmtId="0" fontId="5" fillId="0" borderId="0"/>
    <xf numFmtId="1" fontId="9" fillId="0" borderId="0"/>
    <xf numFmtId="0" fontId="5" fillId="0" borderId="0"/>
    <xf numFmtId="1" fontId="9" fillId="0" borderId="0"/>
    <xf numFmtId="0" fontId="8" fillId="0" borderId="0"/>
    <xf numFmtId="0" fontId="31" fillId="0" borderId="0"/>
    <xf numFmtId="0" fontId="148" fillId="0" borderId="0"/>
    <xf numFmtId="1" fontId="5" fillId="0" borderId="0"/>
    <xf numFmtId="0" fontId="5" fillId="0" borderId="0"/>
    <xf numFmtId="0" fontId="152" fillId="0" borderId="0"/>
    <xf numFmtId="0" fontId="5" fillId="0" borderId="0"/>
    <xf numFmtId="0" fontId="5" fillId="0" borderId="0"/>
    <xf numFmtId="0" fontId="5" fillId="0" borderId="0"/>
    <xf numFmtId="0" fontId="5" fillId="0" borderId="0"/>
    <xf numFmtId="0" fontId="1" fillId="0" borderId="0"/>
    <xf numFmtId="0" fontId="166" fillId="0" borderId="0"/>
    <xf numFmtId="179" fontId="168" fillId="0" borderId="0"/>
    <xf numFmtId="1" fontId="5" fillId="0" borderId="0"/>
    <xf numFmtId="0" fontId="1" fillId="0" borderId="0"/>
    <xf numFmtId="0" fontId="5" fillId="0" borderId="0"/>
    <xf numFmtId="1" fontId="5" fillId="0" borderId="0"/>
    <xf numFmtId="43" fontId="5" fillId="0" borderId="0" applyFont="0" applyFill="0" applyBorder="0" applyAlignment="0" applyProtection="0"/>
  </cellStyleXfs>
  <cellXfs count="1110">
    <xf numFmtId="0" fontId="0" fillId="0" borderId="0" xfId="0"/>
    <xf numFmtId="0" fontId="13" fillId="0" borderId="0" xfId="3" applyFont="1"/>
    <xf numFmtId="1" fontId="16" fillId="0" borderId="0" xfId="6" applyFont="1" applyProtection="1">
      <protection locked="0"/>
    </xf>
    <xf numFmtId="0" fontId="5" fillId="0" borderId="0" xfId="3"/>
    <xf numFmtId="1" fontId="13" fillId="0" borderId="0" xfId="6" applyFont="1" applyProtection="1">
      <protection locked="0"/>
    </xf>
    <xf numFmtId="1" fontId="26" fillId="0" borderId="0" xfId="6" applyFont="1" applyAlignment="1" applyProtection="1">
      <alignment horizontal="center"/>
      <protection locked="0"/>
    </xf>
    <xf numFmtId="0" fontId="37" fillId="0" borderId="0" xfId="2" applyNumberFormat="1" applyFont="1" applyFill="1" applyBorder="1" applyAlignment="1" applyProtection="1">
      <alignment horizontal="centerContinuous"/>
      <protection locked="0"/>
    </xf>
    <xf numFmtId="0" fontId="20" fillId="0" borderId="0" xfId="7" applyFont="1" applyAlignment="1" applyProtection="1">
      <alignment horizontal="center"/>
      <protection locked="0"/>
    </xf>
    <xf numFmtId="0" fontId="5" fillId="0" borderId="1" xfId="3" applyBorder="1"/>
    <xf numFmtId="1" fontId="13" fillId="0" borderId="0" xfId="6" applyFont="1" applyAlignment="1" applyProtection="1">
      <alignment horizontal="centerContinuous"/>
      <protection locked="0"/>
    </xf>
    <xf numFmtId="1" fontId="13" fillId="0" borderId="0" xfId="6" applyFont="1" applyAlignment="1" applyProtection="1">
      <alignment horizontal="left"/>
      <protection locked="0"/>
    </xf>
    <xf numFmtId="0" fontId="14" fillId="0" borderId="0" xfId="2" applyNumberFormat="1" applyFont="1" applyBorder="1" applyAlignment="1" applyProtection="1">
      <protection locked="0"/>
    </xf>
    <xf numFmtId="0" fontId="14" fillId="0" borderId="0" xfId="3" applyFont="1" applyAlignment="1" applyProtection="1">
      <alignment horizontal="left"/>
      <protection locked="0"/>
    </xf>
    <xf numFmtId="15" fontId="14" fillId="0" borderId="0" xfId="6" applyNumberFormat="1" applyFont="1" applyAlignment="1" applyProtection="1">
      <alignment horizontal="left"/>
      <protection locked="0"/>
    </xf>
    <xf numFmtId="0" fontId="14" fillId="0" borderId="0" xfId="2" applyNumberFormat="1" applyFont="1" applyFill="1" applyBorder="1" applyAlignment="1" applyProtection="1">
      <alignment horizontal="left"/>
      <protection locked="0"/>
    </xf>
    <xf numFmtId="0" fontId="32" fillId="0" borderId="0" xfId="2" applyNumberFormat="1" applyFont="1" applyBorder="1" applyAlignment="1" applyProtection="1">
      <alignment horizontal="centerContinuous"/>
      <protection locked="0"/>
    </xf>
    <xf numFmtId="0" fontId="10" fillId="2" borderId="2" xfId="3" applyFont="1" applyFill="1" applyBorder="1" applyAlignment="1">
      <alignment horizontal="center"/>
    </xf>
    <xf numFmtId="0" fontId="10" fillId="3" borderId="3" xfId="3" applyFont="1" applyFill="1" applyBorder="1" applyAlignment="1">
      <alignment horizontal="center"/>
    </xf>
    <xf numFmtId="0" fontId="10" fillId="4" borderId="3" xfId="3" applyFont="1" applyFill="1" applyBorder="1" applyAlignment="1">
      <alignment horizontal="center"/>
    </xf>
    <xf numFmtId="0" fontId="59" fillId="5" borderId="3" xfId="3" applyFont="1" applyFill="1" applyBorder="1" applyAlignment="1">
      <alignment horizontal="center"/>
    </xf>
    <xf numFmtId="0" fontId="10" fillId="6" borderId="3" xfId="3" applyFont="1" applyFill="1" applyBorder="1" applyAlignment="1">
      <alignment horizontal="center"/>
    </xf>
    <xf numFmtId="0" fontId="10" fillId="2" borderId="3" xfId="3" applyFont="1" applyFill="1" applyBorder="1" applyAlignment="1">
      <alignment horizontal="center"/>
    </xf>
    <xf numFmtId="0" fontId="10" fillId="7" borderId="3" xfId="3" applyFont="1" applyFill="1" applyBorder="1" applyAlignment="1">
      <alignment horizontal="center"/>
    </xf>
    <xf numFmtId="0" fontId="10" fillId="8" borderId="3" xfId="3" applyFont="1" applyFill="1" applyBorder="1" applyAlignment="1">
      <alignment horizontal="center"/>
    </xf>
    <xf numFmtId="0" fontId="10" fillId="9" borderId="3" xfId="3" applyFont="1" applyFill="1" applyBorder="1" applyAlignment="1">
      <alignment horizontal="center"/>
    </xf>
    <xf numFmtId="0" fontId="10" fillId="10" borderId="3" xfId="3" applyFont="1" applyFill="1" applyBorder="1" applyAlignment="1">
      <alignment horizontal="center"/>
    </xf>
    <xf numFmtId="0" fontId="10" fillId="11" borderId="3" xfId="3" applyFont="1" applyFill="1" applyBorder="1" applyAlignment="1">
      <alignment horizontal="center"/>
    </xf>
    <xf numFmtId="0" fontId="57" fillId="2" borderId="4" xfId="2" applyNumberFormat="1" applyFont="1" applyFill="1" applyBorder="1" applyAlignment="1" applyProtection="1">
      <alignment horizontal="center" vertical="center"/>
    </xf>
    <xf numFmtId="0" fontId="57" fillId="2" borderId="5" xfId="3" applyFont="1" applyFill="1" applyBorder="1" applyAlignment="1">
      <alignment horizontal="center" vertical="center"/>
    </xf>
    <xf numFmtId="0" fontId="57" fillId="2" borderId="6" xfId="0" applyFont="1" applyFill="1" applyBorder="1" applyAlignment="1">
      <alignment horizontal="center" vertical="center"/>
    </xf>
    <xf numFmtId="0" fontId="57" fillId="2" borderId="7" xfId="0" applyFont="1" applyFill="1" applyBorder="1" applyAlignment="1">
      <alignment horizontal="center" vertical="center"/>
    </xf>
    <xf numFmtId="0" fontId="12" fillId="0" borderId="0" xfId="0" applyFont="1" applyProtection="1">
      <protection locked="0"/>
    </xf>
    <xf numFmtId="0" fontId="13" fillId="0" borderId="0" xfId="3" applyFont="1" applyProtection="1">
      <protection locked="0"/>
    </xf>
    <xf numFmtId="0" fontId="5" fillId="0" borderId="0" xfId="3" applyProtection="1">
      <protection locked="0"/>
    </xf>
    <xf numFmtId="1" fontId="13" fillId="0" borderId="0" xfId="3" applyNumberFormat="1" applyFont="1" applyProtection="1">
      <protection locked="0"/>
    </xf>
    <xf numFmtId="0" fontId="0" fillId="0" borderId="0" xfId="0" applyProtection="1">
      <protection locked="0"/>
    </xf>
    <xf numFmtId="0" fontId="15" fillId="0" borderId="0" xfId="3" applyFont="1" applyProtection="1">
      <protection locked="0"/>
    </xf>
    <xf numFmtId="0" fontId="16" fillId="0" borderId="0" xfId="3" applyFont="1" applyAlignment="1" applyProtection="1">
      <alignment horizontal="right"/>
      <protection locked="0"/>
    </xf>
    <xf numFmtId="0" fontId="8" fillId="0" borderId="1" xfId="3" applyFont="1" applyBorder="1" applyProtection="1">
      <protection locked="0"/>
    </xf>
    <xf numFmtId="1" fontId="5" fillId="0" borderId="0" xfId="3" applyNumberFormat="1" applyProtection="1">
      <protection locked="0"/>
    </xf>
    <xf numFmtId="0" fontId="14" fillId="0" borderId="0" xfId="3" applyFont="1" applyAlignment="1" applyProtection="1">
      <alignment horizontal="center"/>
      <protection locked="0"/>
    </xf>
    <xf numFmtId="0" fontId="14" fillId="0" borderId="0" xfId="3" applyFont="1" applyAlignment="1" applyProtection="1">
      <alignment horizontal="right"/>
      <protection locked="0"/>
    </xf>
    <xf numFmtId="0" fontId="17" fillId="0" borderId="0" xfId="3" applyFont="1" applyProtection="1">
      <protection locked="0"/>
    </xf>
    <xf numFmtId="0" fontId="16" fillId="0" borderId="11" xfId="3" applyFont="1" applyBorder="1" applyAlignment="1" applyProtection="1">
      <alignment horizontal="center"/>
      <protection locked="0"/>
    </xf>
    <xf numFmtId="165" fontId="13" fillId="0" borderId="0" xfId="6" applyNumberFormat="1" applyFont="1" applyProtection="1">
      <protection locked="0"/>
    </xf>
    <xf numFmtId="0" fontId="13" fillId="0" borderId="1" xfId="3" applyFont="1" applyBorder="1" applyProtection="1">
      <protection locked="0"/>
    </xf>
    <xf numFmtId="2" fontId="14" fillId="2" borderId="0" xfId="3" applyNumberFormat="1" applyFont="1" applyFill="1" applyAlignment="1" applyProtection="1">
      <alignment horizontal="center"/>
      <protection locked="0"/>
    </xf>
    <xf numFmtId="0" fontId="8" fillId="0" borderId="0" xfId="3" applyFont="1" applyProtection="1">
      <protection locked="0"/>
    </xf>
    <xf numFmtId="1" fontId="8" fillId="0" borderId="0" xfId="3" applyNumberFormat="1" applyFont="1" applyProtection="1">
      <protection locked="0"/>
    </xf>
    <xf numFmtId="0" fontId="8" fillId="0" borderId="0" xfId="3" applyFont="1" applyAlignment="1" applyProtection="1">
      <alignment horizontal="right"/>
      <protection locked="0"/>
    </xf>
    <xf numFmtId="0" fontId="19" fillId="0" borderId="0" xfId="3" applyFont="1" applyProtection="1">
      <protection locked="0"/>
    </xf>
    <xf numFmtId="0" fontId="22" fillId="2" borderId="1" xfId="3" applyFont="1" applyFill="1" applyBorder="1" applyProtection="1">
      <protection locked="0"/>
    </xf>
    <xf numFmtId="2" fontId="22" fillId="0" borderId="0" xfId="3" applyNumberFormat="1" applyFont="1" applyProtection="1">
      <protection locked="0"/>
    </xf>
    <xf numFmtId="0" fontId="16" fillId="0" borderId="0" xfId="3" applyFont="1" applyProtection="1">
      <protection locked="0"/>
    </xf>
    <xf numFmtId="0" fontId="16" fillId="12" borderId="0" xfId="3" applyFont="1" applyFill="1" applyAlignment="1" applyProtection="1">
      <alignment horizontal="left"/>
      <protection locked="0"/>
    </xf>
    <xf numFmtId="0" fontId="17" fillId="0" borderId="1" xfId="3" applyFont="1" applyBorder="1" applyProtection="1">
      <protection locked="0"/>
    </xf>
    <xf numFmtId="2" fontId="16" fillId="0" borderId="1" xfId="3" applyNumberFormat="1" applyFont="1" applyBorder="1" applyAlignment="1" applyProtection="1">
      <alignment horizontal="right"/>
      <protection locked="0"/>
    </xf>
    <xf numFmtId="0" fontId="8" fillId="0" borderId="13" xfId="0" applyFont="1" applyBorder="1" applyAlignment="1" applyProtection="1">
      <alignment horizontal="right"/>
      <protection locked="0"/>
    </xf>
    <xf numFmtId="0" fontId="4" fillId="0" borderId="13" xfId="0" applyFont="1" applyBorder="1" applyProtection="1">
      <protection locked="0"/>
    </xf>
    <xf numFmtId="0" fontId="20" fillId="0" borderId="13" xfId="0" applyFont="1" applyBorder="1" applyAlignment="1" applyProtection="1">
      <alignment horizontal="right"/>
      <protection locked="0"/>
    </xf>
    <xf numFmtId="0" fontId="0" fillId="0" borderId="13" xfId="0" applyBorder="1" applyProtection="1">
      <protection locked="0"/>
    </xf>
    <xf numFmtId="1" fontId="0" fillId="0" borderId="13" xfId="0" applyNumberFormat="1" applyBorder="1" applyProtection="1">
      <protection locked="0"/>
    </xf>
    <xf numFmtId="0" fontId="2" fillId="0" borderId="13" xfId="0" applyFont="1" applyBorder="1" applyProtection="1">
      <protection locked="0"/>
    </xf>
    <xf numFmtId="2" fontId="2" fillId="2" borderId="14" xfId="0" applyNumberFormat="1" applyFont="1" applyFill="1" applyBorder="1" applyAlignment="1" applyProtection="1">
      <alignment horizontal="right"/>
      <protection locked="0"/>
    </xf>
    <xf numFmtId="165" fontId="2" fillId="2" borderId="14" xfId="0" applyNumberFormat="1" applyFont="1" applyFill="1" applyBorder="1" applyProtection="1">
      <protection locked="0"/>
    </xf>
    <xf numFmtId="0" fontId="8" fillId="0" borderId="0" xfId="0" applyFont="1" applyAlignment="1" applyProtection="1">
      <alignment horizontal="right"/>
      <protection locked="0"/>
    </xf>
    <xf numFmtId="0" fontId="2" fillId="0" borderId="0" xfId="0" applyFont="1" applyAlignment="1" applyProtection="1">
      <alignment horizontal="center"/>
      <protection locked="0"/>
    </xf>
    <xf numFmtId="1" fontId="0" fillId="0" borderId="0" xfId="0" applyNumberFormat="1" applyProtection="1">
      <protection locked="0"/>
    </xf>
    <xf numFmtId="2" fontId="9" fillId="0" borderId="0" xfId="0" applyNumberFormat="1" applyFont="1" applyProtection="1">
      <protection locked="0"/>
    </xf>
    <xf numFmtId="165" fontId="0" fillId="0" borderId="0" xfId="0" applyNumberFormat="1" applyProtection="1">
      <protection locked="0"/>
    </xf>
    <xf numFmtId="0" fontId="13" fillId="0" borderId="0" xfId="0" applyFont="1" applyProtection="1">
      <protection locked="0"/>
    </xf>
    <xf numFmtId="0" fontId="8" fillId="0" borderId="1" xfId="0" applyFont="1" applyBorder="1" applyAlignment="1" applyProtection="1">
      <alignment horizontal="right"/>
      <protection locked="0"/>
    </xf>
    <xf numFmtId="0" fontId="27" fillId="0" borderId="1" xfId="0" applyFont="1" applyBorder="1" applyAlignment="1" applyProtection="1">
      <alignment horizontal="left"/>
      <protection locked="0"/>
    </xf>
    <xf numFmtId="1" fontId="26" fillId="0" borderId="1" xfId="6" applyFont="1" applyBorder="1" applyAlignment="1" applyProtection="1">
      <alignment horizontal="center"/>
      <protection locked="0"/>
    </xf>
    <xf numFmtId="0" fontId="13" fillId="0" borderId="1" xfId="0" applyFont="1" applyBorder="1" applyProtection="1">
      <protection locked="0"/>
    </xf>
    <xf numFmtId="0" fontId="0" fillId="0" borderId="1" xfId="0" applyBorder="1" applyProtection="1">
      <protection locked="0"/>
    </xf>
    <xf numFmtId="0" fontId="2" fillId="0" borderId="1" xfId="0" applyFont="1" applyBorder="1" applyAlignment="1" applyProtection="1">
      <alignment horizontal="center"/>
      <protection locked="0"/>
    </xf>
    <xf numFmtId="1" fontId="0" fillId="0" borderId="1" xfId="0" applyNumberFormat="1" applyBorder="1" applyProtection="1">
      <protection locked="0"/>
    </xf>
    <xf numFmtId="2" fontId="9" fillId="0" borderId="1" xfId="0" applyNumberFormat="1" applyFont="1" applyBorder="1" applyProtection="1">
      <protection locked="0"/>
    </xf>
    <xf numFmtId="165" fontId="0" fillId="0" borderId="1" xfId="0" applyNumberFormat="1" applyBorder="1" applyProtection="1">
      <protection locked="0"/>
    </xf>
    <xf numFmtId="0" fontId="24" fillId="0" borderId="0" xfId="0" applyFont="1" applyAlignment="1" applyProtection="1">
      <alignment horizontal="center"/>
      <protection locked="0"/>
    </xf>
    <xf numFmtId="0" fontId="28" fillId="0" borderId="0" xfId="0" applyFont="1" applyProtection="1">
      <protection locked="0"/>
    </xf>
    <xf numFmtId="0" fontId="24" fillId="0" borderId="0" xfId="0" applyFont="1" applyAlignment="1" applyProtection="1">
      <alignment horizontal="left"/>
      <protection locked="0"/>
    </xf>
    <xf numFmtId="0" fontId="29" fillId="0" borderId="0" xfId="0" applyFont="1" applyAlignment="1" applyProtection="1">
      <alignment horizontal="center"/>
      <protection locked="0"/>
    </xf>
    <xf numFmtId="0" fontId="24" fillId="0" borderId="1" xfId="0" applyFont="1" applyBorder="1" applyAlignment="1" applyProtection="1">
      <alignment horizontal="center"/>
      <protection locked="0"/>
    </xf>
    <xf numFmtId="0" fontId="28" fillId="0" borderId="1" xfId="0" applyFont="1" applyBorder="1" applyProtection="1">
      <protection locked="0"/>
    </xf>
    <xf numFmtId="0" fontId="24" fillId="0" borderId="15" xfId="0" applyFont="1" applyBorder="1" applyAlignment="1" applyProtection="1">
      <alignment horizontal="left"/>
      <protection locked="0"/>
    </xf>
    <xf numFmtId="0" fontId="30" fillId="0" borderId="15" xfId="0" applyFont="1" applyBorder="1" applyAlignment="1" applyProtection="1">
      <alignment horizontal="center"/>
      <protection locked="0"/>
    </xf>
    <xf numFmtId="0" fontId="0" fillId="0" borderId="15" xfId="0" applyBorder="1" applyProtection="1">
      <protection locked="0"/>
    </xf>
    <xf numFmtId="1" fontId="0" fillId="0" borderId="15" xfId="0" applyNumberFormat="1" applyBorder="1" applyProtection="1">
      <protection locked="0"/>
    </xf>
    <xf numFmtId="2" fontId="5" fillId="0" borderId="15" xfId="0" applyNumberFormat="1" applyFont="1" applyBorder="1" applyAlignment="1" applyProtection="1">
      <alignment horizontal="right"/>
      <protection locked="0"/>
    </xf>
    <xf numFmtId="165" fontId="0" fillId="0" borderId="15" xfId="0" applyNumberFormat="1" applyBorder="1" applyProtection="1">
      <protection locked="0"/>
    </xf>
    <xf numFmtId="0" fontId="0" fillId="8" borderId="0" xfId="0" applyFill="1"/>
    <xf numFmtId="0" fontId="0" fillId="14" borderId="0" xfId="0" applyFill="1"/>
    <xf numFmtId="0" fontId="63" fillId="15" borderId="0" xfId="0" applyFont="1" applyFill="1"/>
    <xf numFmtId="0" fontId="63" fillId="16" borderId="0" xfId="0" applyFont="1" applyFill="1"/>
    <xf numFmtId="0" fontId="0" fillId="12" borderId="0" xfId="0" applyFill="1"/>
    <xf numFmtId="0" fontId="0" fillId="17" borderId="0" xfId="0" applyFill="1"/>
    <xf numFmtId="0" fontId="28" fillId="0" borderId="0" xfId="3" applyFont="1"/>
    <xf numFmtId="1" fontId="5" fillId="0" borderId="0" xfId="3" applyNumberFormat="1"/>
    <xf numFmtId="1" fontId="0" fillId="0" borderId="0" xfId="0" applyNumberFormat="1"/>
    <xf numFmtId="0" fontId="47" fillId="0" borderId="0" xfId="3" applyFont="1" applyProtection="1">
      <protection locked="0"/>
    </xf>
    <xf numFmtId="0" fontId="16" fillId="0" borderId="1" xfId="3" applyFont="1" applyBorder="1" applyAlignment="1">
      <alignment horizontal="center"/>
    </xf>
    <xf numFmtId="0" fontId="16" fillId="0" borderId="1" xfId="3" applyFont="1" applyBorder="1" applyAlignment="1" applyProtection="1">
      <alignment horizontal="right"/>
      <protection locked="0"/>
    </xf>
    <xf numFmtId="1" fontId="13" fillId="0" borderId="0" xfId="3" applyNumberFormat="1" applyFont="1"/>
    <xf numFmtId="0" fontId="16" fillId="0" borderId="0" xfId="3" applyFont="1"/>
    <xf numFmtId="1" fontId="16" fillId="0" borderId="0" xfId="3" applyNumberFormat="1" applyFont="1"/>
    <xf numFmtId="2" fontId="13" fillId="0" borderId="12" xfId="3" applyNumberFormat="1" applyFont="1" applyBorder="1"/>
    <xf numFmtId="0" fontId="13" fillId="0" borderId="12" xfId="3" applyFont="1" applyBorder="1" applyProtection="1">
      <protection locked="0"/>
    </xf>
    <xf numFmtId="2" fontId="13" fillId="13" borderId="12" xfId="6" applyNumberFormat="1" applyFont="1" applyFill="1" applyBorder="1"/>
    <xf numFmtId="1" fontId="13" fillId="0" borderId="12" xfId="6" applyFont="1" applyBorder="1" applyProtection="1">
      <protection locked="0"/>
    </xf>
    <xf numFmtId="1" fontId="5" fillId="0" borderId="1" xfId="3" applyNumberFormat="1" applyBorder="1"/>
    <xf numFmtId="0" fontId="28" fillId="0" borderId="0" xfId="0" applyFont="1"/>
    <xf numFmtId="0" fontId="0" fillId="14" borderId="0" xfId="0" applyFill="1" applyAlignment="1" applyProtection="1">
      <alignment horizontal="center"/>
      <protection locked="0"/>
    </xf>
    <xf numFmtId="0" fontId="74" fillId="7" borderId="0" xfId="0" applyFont="1" applyFill="1" applyAlignment="1" applyProtection="1">
      <alignment horizontal="center"/>
      <protection locked="0"/>
    </xf>
    <xf numFmtId="0" fontId="76" fillId="14" borderId="0" xfId="0" applyFont="1" applyFill="1" applyAlignment="1" applyProtection="1">
      <alignment horizontal="center"/>
      <protection locked="0"/>
    </xf>
    <xf numFmtId="0" fontId="76" fillId="2" borderId="0" xfId="0" applyFont="1" applyFill="1" applyAlignment="1">
      <alignment horizontal="center"/>
    </xf>
    <xf numFmtId="0" fontId="76" fillId="12" borderId="0" xfId="0" applyFont="1" applyFill="1" applyAlignment="1" applyProtection="1">
      <alignment horizontal="center"/>
      <protection locked="0"/>
    </xf>
    <xf numFmtId="0" fontId="77" fillId="0" borderId="0" xfId="0" applyFont="1" applyAlignment="1">
      <alignment horizontal="center"/>
    </xf>
    <xf numFmtId="0" fontId="76" fillId="0" borderId="0" xfId="0" applyFont="1" applyAlignment="1" applyProtection="1">
      <alignment horizontal="center"/>
      <protection locked="0"/>
    </xf>
    <xf numFmtId="0" fontId="32" fillId="0" borderId="13" xfId="2" applyNumberFormat="1" applyFont="1" applyBorder="1" applyAlignment="1" applyProtection="1">
      <alignment horizontal="centerContinuous"/>
      <protection locked="0"/>
    </xf>
    <xf numFmtId="0" fontId="8" fillId="0" borderId="0" xfId="7" applyProtection="1">
      <protection locked="0"/>
    </xf>
    <xf numFmtId="0" fontId="75" fillId="0" borderId="0" xfId="0" applyFont="1" applyProtection="1">
      <protection locked="0"/>
    </xf>
    <xf numFmtId="0" fontId="35" fillId="0" borderId="0" xfId="0" applyFont="1" applyProtection="1">
      <protection locked="0"/>
    </xf>
    <xf numFmtId="0" fontId="9" fillId="0" borderId="0" xfId="0" applyFont="1" applyAlignment="1" applyProtection="1">
      <alignment horizontal="centerContinuous"/>
      <protection locked="0"/>
    </xf>
    <xf numFmtId="0" fontId="0" fillId="0" borderId="0" xfId="0" applyAlignment="1" applyProtection="1">
      <alignment horizontal="left"/>
      <protection locked="0"/>
    </xf>
    <xf numFmtId="0" fontId="37" fillId="0" borderId="0" xfId="3" applyFont="1" applyAlignment="1" applyProtection="1">
      <alignment horizontal="centerContinuous"/>
      <protection locked="0"/>
    </xf>
    <xf numFmtId="0" fontId="36" fillId="0" borderId="0" xfId="0" applyFont="1" applyAlignment="1" applyProtection="1">
      <alignment horizontal="center"/>
      <protection locked="0"/>
    </xf>
    <xf numFmtId="0" fontId="0" fillId="0" borderId="0" xfId="0" applyAlignment="1" applyProtection="1">
      <alignment horizontal="right"/>
      <protection locked="0"/>
    </xf>
    <xf numFmtId="0" fontId="84" fillId="0" borderId="0" xfId="7" applyFont="1" applyAlignment="1" applyProtection="1">
      <alignment horizontal="left"/>
      <protection locked="0"/>
    </xf>
    <xf numFmtId="0" fontId="39" fillId="0" borderId="0" xfId="7" applyFont="1" applyAlignment="1" applyProtection="1">
      <alignment horizontal="centerContinuous"/>
      <protection locked="0"/>
    </xf>
    <xf numFmtId="0" fontId="0" fillId="0" borderId="0" xfId="0" applyAlignment="1" applyProtection="1">
      <alignment horizontal="centerContinuous"/>
      <protection locked="0"/>
    </xf>
    <xf numFmtId="0" fontId="8" fillId="0" borderId="0" xfId="7" applyAlignment="1" applyProtection="1">
      <alignment horizontal="left"/>
      <protection locked="0"/>
    </xf>
    <xf numFmtId="0" fontId="0" fillId="0" borderId="16" xfId="0" applyBorder="1" applyProtection="1">
      <protection locked="0"/>
    </xf>
    <xf numFmtId="0" fontId="28" fillId="0" borderId="0" xfId="7" applyFont="1" applyProtection="1">
      <protection locked="0"/>
    </xf>
    <xf numFmtId="0" fontId="41" fillId="0" borderId="0" xfId="7" applyFont="1" applyAlignment="1" applyProtection="1">
      <alignment horizontal="left"/>
      <protection locked="0"/>
    </xf>
    <xf numFmtId="0" fontId="65" fillId="0" borderId="0" xfId="7" applyFont="1" applyAlignment="1" applyProtection="1">
      <alignment horizontal="right"/>
      <protection locked="0"/>
    </xf>
    <xf numFmtId="2" fontId="58" fillId="0" borderId="0" xfId="1" applyNumberFormat="1" applyFont="1" applyAlignment="1" applyProtection="1">
      <alignment horizontal="right"/>
      <protection locked="0"/>
    </xf>
    <xf numFmtId="0" fontId="42" fillId="0" borderId="0" xfId="8" applyFont="1" applyProtection="1">
      <protection locked="0"/>
    </xf>
    <xf numFmtId="0" fontId="20" fillId="0" borderId="1" xfId="7" applyFont="1" applyBorder="1" applyProtection="1">
      <protection locked="0"/>
    </xf>
    <xf numFmtId="0" fontId="8" fillId="0" borderId="1" xfId="7" applyBorder="1" applyAlignment="1" applyProtection="1">
      <alignment horizontal="left"/>
      <protection locked="0"/>
    </xf>
    <xf numFmtId="0" fontId="8" fillId="0" borderId="1" xfId="7" applyBorder="1" applyProtection="1">
      <protection locked="0"/>
    </xf>
    <xf numFmtId="0" fontId="9" fillId="0" borderId="0" xfId="7" applyFont="1" applyProtection="1">
      <protection locked="0"/>
    </xf>
    <xf numFmtId="0" fontId="8" fillId="0" borderId="13" xfId="7" applyBorder="1" applyProtection="1">
      <protection locked="0"/>
    </xf>
    <xf numFmtId="0" fontId="20" fillId="0" borderId="0" xfId="7" applyFont="1" applyProtection="1">
      <protection locked="0"/>
    </xf>
    <xf numFmtId="0" fontId="2" fillId="0" borderId="0" xfId="7" applyFont="1" applyProtection="1">
      <protection locked="0"/>
    </xf>
    <xf numFmtId="0" fontId="0" fillId="0" borderId="17" xfId="0" applyBorder="1" applyAlignment="1" applyProtection="1">
      <alignment horizontal="left"/>
      <protection locked="0"/>
    </xf>
    <xf numFmtId="0" fontId="3" fillId="0" borderId="18" xfId="0" applyFont="1" applyBorder="1" applyProtection="1">
      <protection locked="0"/>
    </xf>
    <xf numFmtId="0" fontId="24" fillId="0" borderId="0" xfId="8" applyFont="1" applyAlignment="1" applyProtection="1">
      <alignment horizontal="right"/>
      <protection locked="0"/>
    </xf>
    <xf numFmtId="0" fontId="24" fillId="0" borderId="0" xfId="0" applyFont="1" applyAlignment="1" applyProtection="1">
      <alignment horizontal="right"/>
      <protection locked="0"/>
    </xf>
    <xf numFmtId="0" fontId="4" fillId="0" borderId="0" xfId="0" applyFont="1" applyAlignment="1" applyProtection="1">
      <alignment horizontal="right"/>
      <protection locked="0"/>
    </xf>
    <xf numFmtId="0" fontId="13" fillId="12" borderId="0" xfId="0" applyFont="1" applyFill="1" applyProtection="1">
      <protection locked="0"/>
    </xf>
    <xf numFmtId="0" fontId="0" fillId="12" borderId="0" xfId="0" applyFill="1" applyProtection="1">
      <protection locked="0"/>
    </xf>
    <xf numFmtId="0" fontId="3" fillId="0" borderId="0" xfId="0" applyFont="1" applyAlignment="1" applyProtection="1">
      <alignment horizontal="left"/>
      <protection locked="0"/>
    </xf>
    <xf numFmtId="0" fontId="0" fillId="0" borderId="19" xfId="0" applyBorder="1" applyProtection="1">
      <protection locked="0"/>
    </xf>
    <xf numFmtId="0" fontId="0" fillId="0" borderId="20" xfId="0" applyBorder="1" applyAlignment="1" applyProtection="1">
      <alignment horizontal="left"/>
      <protection locked="0"/>
    </xf>
    <xf numFmtId="0" fontId="0" fillId="0" borderId="21" xfId="0" applyBorder="1" applyProtection="1">
      <protection locked="0"/>
    </xf>
    <xf numFmtId="0" fontId="40" fillId="0" borderId="0" xfId="0" applyFont="1" applyAlignment="1" applyProtection="1">
      <alignment horizontal="centerContinuous"/>
      <protection locked="0"/>
    </xf>
    <xf numFmtId="0" fontId="0" fillId="0" borderId="3" xfId="0" applyBorder="1" applyProtection="1">
      <protection locked="0"/>
    </xf>
    <xf numFmtId="0" fontId="28" fillId="0" borderId="0" xfId="0" applyFont="1" applyAlignment="1" applyProtection="1">
      <alignment horizontal="centerContinuous"/>
      <protection locked="0"/>
    </xf>
    <xf numFmtId="0" fontId="66" fillId="0" borderId="0" xfId="0" applyFont="1" applyProtection="1">
      <protection locked="0"/>
    </xf>
    <xf numFmtId="0" fontId="67" fillId="0" borderId="0" xfId="0" applyFont="1" applyProtection="1">
      <protection locked="0"/>
    </xf>
    <xf numFmtId="0" fontId="44" fillId="0" borderId="17" xfId="8" applyFont="1" applyBorder="1" applyAlignment="1" applyProtection="1">
      <alignment horizontal="left"/>
      <protection locked="0"/>
    </xf>
    <xf numFmtId="0" fontId="44" fillId="0" borderId="0" xfId="8" applyFont="1" applyProtection="1">
      <protection locked="0"/>
    </xf>
    <xf numFmtId="0" fontId="85" fillId="0" borderId="0" xfId="0" applyFont="1" applyAlignment="1" applyProtection="1">
      <alignment horizontal="right"/>
      <protection locked="0"/>
    </xf>
    <xf numFmtId="0" fontId="69" fillId="0" borderId="22" xfId="8" applyFont="1" applyBorder="1" applyAlignment="1" applyProtection="1">
      <alignment horizontal="left"/>
      <protection locked="0"/>
    </xf>
    <xf numFmtId="0" fontId="68" fillId="0" borderId="22" xfId="8" applyFont="1" applyBorder="1" applyAlignment="1" applyProtection="1">
      <alignment horizontal="centerContinuous"/>
      <protection locked="0"/>
    </xf>
    <xf numFmtId="0" fontId="68" fillId="0" borderId="22" xfId="8" applyFont="1" applyBorder="1" applyProtection="1">
      <protection locked="0"/>
    </xf>
    <xf numFmtId="0" fontId="70" fillId="0" borderId="22" xfId="0" applyFont="1" applyBorder="1" applyProtection="1">
      <protection locked="0"/>
    </xf>
    <xf numFmtId="0" fontId="70" fillId="0" borderId="0" xfId="0" applyFont="1" applyProtection="1">
      <protection locked="0"/>
    </xf>
    <xf numFmtId="0" fontId="71" fillId="0" borderId="0" xfId="0" applyFont="1" applyAlignment="1" applyProtection="1">
      <alignment horizontal="right"/>
      <protection locked="0"/>
    </xf>
    <xf numFmtId="168" fontId="71" fillId="0" borderId="0" xfId="0" applyNumberFormat="1" applyFont="1" applyAlignment="1" applyProtection="1">
      <alignment horizontal="right"/>
      <protection locked="0"/>
    </xf>
    <xf numFmtId="0" fontId="69" fillId="0" borderId="0" xfId="8" applyFont="1" applyAlignment="1" applyProtection="1">
      <alignment horizontal="left"/>
      <protection locked="0"/>
    </xf>
    <xf numFmtId="0" fontId="68" fillId="0" borderId="0" xfId="8" applyFont="1" applyAlignment="1" applyProtection="1">
      <alignment horizontal="centerContinuous"/>
      <protection locked="0"/>
    </xf>
    <xf numFmtId="0" fontId="68" fillId="0" borderId="0" xfId="8" applyFont="1" applyProtection="1">
      <protection locked="0"/>
    </xf>
    <xf numFmtId="0" fontId="28" fillId="0" borderId="23" xfId="0" applyFont="1" applyBorder="1" applyAlignment="1" applyProtection="1">
      <alignment horizontal="center"/>
      <protection locked="0"/>
    </xf>
    <xf numFmtId="0" fontId="28" fillId="0" borderId="22" xfId="0" applyFont="1" applyBorder="1" applyAlignment="1" applyProtection="1">
      <alignment horizontal="center"/>
      <protection locked="0"/>
    </xf>
    <xf numFmtId="0" fontId="35" fillId="0" borderId="22" xfId="0" applyFont="1" applyBorder="1" applyAlignment="1" applyProtection="1">
      <alignment horizontal="center"/>
      <protection locked="0"/>
    </xf>
    <xf numFmtId="0" fontId="0" fillId="0" borderId="22" xfId="0" applyBorder="1" applyProtection="1">
      <protection locked="0"/>
    </xf>
    <xf numFmtId="0" fontId="0" fillId="0" borderId="24" xfId="0" applyBorder="1" applyProtection="1">
      <protection locked="0"/>
    </xf>
    <xf numFmtId="0" fontId="24" fillId="0" borderId="17" xfId="0" applyFont="1" applyBorder="1" applyAlignment="1" applyProtection="1">
      <alignment horizontal="center"/>
      <protection locked="0"/>
    </xf>
    <xf numFmtId="0" fontId="0" fillId="0" borderId="0" xfId="0" applyAlignment="1" applyProtection="1">
      <alignment horizontal="center"/>
      <protection locked="0"/>
    </xf>
    <xf numFmtId="0" fontId="0" fillId="0" borderId="19" xfId="0" applyBorder="1" applyAlignment="1" applyProtection="1">
      <alignment horizontal="left"/>
      <protection locked="0"/>
    </xf>
    <xf numFmtId="0" fontId="0" fillId="0" borderId="17" xfId="0" applyBorder="1" applyProtection="1">
      <protection locked="0"/>
    </xf>
    <xf numFmtId="166" fontId="0" fillId="0" borderId="19" xfId="0" applyNumberFormat="1" applyBorder="1" applyAlignment="1" applyProtection="1">
      <alignment horizontal="center"/>
      <protection locked="0"/>
    </xf>
    <xf numFmtId="0" fontId="0" fillId="0" borderId="20" xfId="0" applyBorder="1" applyProtection="1">
      <protection locked="0"/>
    </xf>
    <xf numFmtId="0" fontId="44" fillId="0" borderId="13" xfId="8" applyFont="1" applyBorder="1" applyAlignment="1" applyProtection="1">
      <alignment horizontal="centerContinuous"/>
      <protection locked="0"/>
    </xf>
    <xf numFmtId="0" fontId="44" fillId="0" borderId="13" xfId="8" applyFont="1" applyBorder="1" applyProtection="1">
      <protection locked="0"/>
    </xf>
    <xf numFmtId="0" fontId="44" fillId="0" borderId="0" xfId="8" applyFont="1" applyAlignment="1" applyProtection="1">
      <alignment horizontal="centerContinuous"/>
      <protection locked="0"/>
    </xf>
    <xf numFmtId="9" fontId="46" fillId="2" borderId="3" xfId="8" applyNumberFormat="1" applyFont="1" applyFill="1" applyBorder="1" applyAlignment="1" applyProtection="1">
      <alignment horizontal="centerContinuous"/>
      <protection locked="0"/>
    </xf>
    <xf numFmtId="9" fontId="46" fillId="0" borderId="0" xfId="8" applyNumberFormat="1" applyFont="1" applyAlignment="1" applyProtection="1">
      <alignment horizontal="centerContinuous"/>
      <protection locked="0"/>
    </xf>
    <xf numFmtId="0" fontId="46" fillId="2" borderId="3" xfId="8" applyFont="1" applyFill="1" applyBorder="1" applyAlignment="1" applyProtection="1">
      <alignment horizontal="centerContinuous"/>
      <protection locked="0"/>
    </xf>
    <xf numFmtId="15" fontId="46" fillId="2" borderId="3" xfId="8" applyNumberFormat="1" applyFont="1" applyFill="1" applyBorder="1" applyAlignment="1" applyProtection="1">
      <alignment horizontal="centerContinuous"/>
      <protection locked="0"/>
    </xf>
    <xf numFmtId="0" fontId="47" fillId="0" borderId="0" xfId="8" applyFont="1" applyProtection="1">
      <protection locked="0"/>
    </xf>
    <xf numFmtId="0" fontId="48" fillId="0" borderId="0" xfId="8" applyFont="1" applyProtection="1">
      <protection locked="0"/>
    </xf>
    <xf numFmtId="0" fontId="44" fillId="0" borderId="0" xfId="8" applyFont="1" applyAlignment="1" applyProtection="1">
      <alignment horizontal="left"/>
      <protection locked="0"/>
    </xf>
    <xf numFmtId="15" fontId="44" fillId="0" borderId="0" xfId="8" applyNumberFormat="1" applyFont="1" applyAlignment="1" applyProtection="1">
      <alignment horizontal="centerContinuous"/>
      <protection locked="0"/>
    </xf>
    <xf numFmtId="0" fontId="49" fillId="0" borderId="0" xfId="8" applyFont="1" applyAlignment="1" applyProtection="1">
      <alignment horizontal="left"/>
      <protection locked="0"/>
    </xf>
    <xf numFmtId="15" fontId="50" fillId="0" borderId="0" xfId="0" applyNumberFormat="1" applyFont="1" applyAlignment="1" applyProtection="1">
      <alignment horizontal="left"/>
      <protection locked="0"/>
    </xf>
    <xf numFmtId="0" fontId="47" fillId="0" borderId="13" xfId="8" applyFont="1" applyBorder="1" applyProtection="1">
      <protection locked="0"/>
    </xf>
    <xf numFmtId="0" fontId="48" fillId="0" borderId="13" xfId="8" applyFont="1" applyBorder="1" applyProtection="1">
      <protection locked="0"/>
    </xf>
    <xf numFmtId="0" fontId="42" fillId="0" borderId="13" xfId="8" applyFont="1" applyBorder="1" applyProtection="1">
      <protection locked="0"/>
    </xf>
    <xf numFmtId="0" fontId="42" fillId="0" borderId="21" xfId="8" applyFont="1" applyBorder="1" applyProtection="1">
      <protection locked="0"/>
    </xf>
    <xf numFmtId="0" fontId="0" fillId="0" borderId="0" xfId="0" applyAlignment="1" applyProtection="1">
      <alignment vertical="center"/>
      <protection locked="0"/>
    </xf>
    <xf numFmtId="0" fontId="51" fillId="0" borderId="23" xfId="8" applyFont="1" applyBorder="1" applyAlignment="1" applyProtection="1">
      <alignment horizontal="left"/>
      <protection locked="0"/>
    </xf>
    <xf numFmtId="0" fontId="51" fillId="0" borderId="22" xfId="8" applyFont="1" applyBorder="1" applyAlignment="1" applyProtection="1">
      <alignment horizontal="centerContinuous"/>
      <protection locked="0"/>
    </xf>
    <xf numFmtId="0" fontId="0" fillId="0" borderId="22" xfId="0" applyBorder="1" applyAlignment="1" applyProtection="1">
      <alignment horizontal="centerContinuous"/>
      <protection locked="0"/>
    </xf>
    <xf numFmtId="15" fontId="44" fillId="0" borderId="22" xfId="8" applyNumberFormat="1" applyFont="1" applyBorder="1" applyAlignment="1" applyProtection="1">
      <alignment horizontal="centerContinuous"/>
      <protection locked="0"/>
    </xf>
    <xf numFmtId="0" fontId="44" fillId="0" borderId="22" xfId="8" applyFont="1" applyBorder="1" applyAlignment="1" applyProtection="1">
      <alignment horizontal="centerContinuous"/>
      <protection locked="0"/>
    </xf>
    <xf numFmtId="0" fontId="42" fillId="0" borderId="22" xfId="8" applyFont="1" applyBorder="1" applyAlignment="1" applyProtection="1">
      <alignment horizontal="centerContinuous"/>
      <protection locked="0"/>
    </xf>
    <xf numFmtId="0" fontId="48" fillId="0" borderId="22" xfId="8" applyFont="1" applyBorder="1" applyAlignment="1" applyProtection="1">
      <alignment horizontal="centerContinuous"/>
      <protection locked="0"/>
    </xf>
    <xf numFmtId="0" fontId="48" fillId="0" borderId="24" xfId="8" applyFont="1" applyBorder="1" applyAlignment="1" applyProtection="1">
      <alignment horizontal="centerContinuous"/>
      <protection locked="0"/>
    </xf>
    <xf numFmtId="0" fontId="24" fillId="0" borderId="20" xfId="8" applyFont="1" applyBorder="1" applyAlignment="1" applyProtection="1">
      <alignment horizontal="left"/>
      <protection locked="0"/>
    </xf>
    <xf numFmtId="0" fontId="24" fillId="0" borderId="13" xfId="8" applyFont="1" applyBorder="1" applyAlignment="1" applyProtection="1">
      <alignment horizontal="centerContinuous"/>
      <protection locked="0"/>
    </xf>
    <xf numFmtId="0" fontId="0" fillId="0" borderId="13" xfId="0" applyBorder="1" applyAlignment="1" applyProtection="1">
      <alignment horizontal="centerContinuous"/>
      <protection locked="0"/>
    </xf>
    <xf numFmtId="15" fontId="44" fillId="0" borderId="13" xfId="8" applyNumberFormat="1" applyFont="1" applyBorder="1" applyAlignment="1" applyProtection="1">
      <alignment horizontal="centerContinuous"/>
      <protection locked="0"/>
    </xf>
    <xf numFmtId="0" fontId="42" fillId="0" borderId="13" xfId="8" applyFont="1" applyBorder="1" applyAlignment="1" applyProtection="1">
      <alignment horizontal="centerContinuous"/>
      <protection locked="0"/>
    </xf>
    <xf numFmtId="0" fontId="42" fillId="0" borderId="21" xfId="8" applyFont="1" applyBorder="1" applyAlignment="1" applyProtection="1">
      <alignment horizontal="centerContinuous"/>
      <protection locked="0"/>
    </xf>
    <xf numFmtId="0" fontId="24" fillId="0" borderId="17" xfId="8" applyFont="1" applyBorder="1" applyAlignment="1" applyProtection="1">
      <alignment horizontal="left"/>
      <protection locked="0"/>
    </xf>
    <xf numFmtId="0" fontId="24" fillId="0" borderId="0" xfId="8" applyFont="1" applyAlignment="1" applyProtection="1">
      <alignment horizontal="centerContinuous"/>
      <protection locked="0"/>
    </xf>
    <xf numFmtId="0" fontId="51" fillId="0" borderId="0" xfId="8" applyFont="1" applyAlignment="1" applyProtection="1">
      <alignment horizontal="centerContinuous"/>
      <protection locked="0"/>
    </xf>
    <xf numFmtId="0" fontId="42" fillId="0" borderId="0" xfId="8" applyFont="1" applyAlignment="1" applyProtection="1">
      <alignment horizontal="centerContinuous"/>
      <protection locked="0"/>
    </xf>
    <xf numFmtId="0" fontId="42" fillId="0" borderId="19" xfId="8" applyFont="1" applyBorder="1" applyAlignment="1" applyProtection="1">
      <alignment horizontal="centerContinuous"/>
      <protection locked="0"/>
    </xf>
    <xf numFmtId="0" fontId="52" fillId="0" borderId="0" xfId="8" applyFont="1" applyAlignment="1" applyProtection="1">
      <alignment horizontal="right"/>
      <protection locked="0"/>
    </xf>
    <xf numFmtId="0" fontId="52" fillId="0" borderId="17" xfId="8" applyFont="1" applyBorder="1" applyAlignment="1" applyProtection="1">
      <alignment horizontal="left"/>
      <protection locked="0"/>
    </xf>
    <xf numFmtId="0" fontId="52" fillId="0" borderId="0" xfId="8" applyFont="1" applyAlignment="1" applyProtection="1">
      <alignment horizontal="left"/>
      <protection locked="0"/>
    </xf>
    <xf numFmtId="0" fontId="51" fillId="0" borderId="0" xfId="8" applyFont="1" applyAlignment="1" applyProtection="1">
      <alignment horizontal="left"/>
      <protection locked="0"/>
    </xf>
    <xf numFmtId="0" fontId="47" fillId="0" borderId="0" xfId="8" applyFont="1" applyAlignment="1" applyProtection="1">
      <alignment horizontal="left"/>
      <protection locked="0"/>
    </xf>
    <xf numFmtId="0" fontId="3" fillId="0" borderId="19" xfId="0" applyFont="1" applyBorder="1" applyAlignment="1" applyProtection="1">
      <alignment horizontal="right"/>
      <protection locked="0"/>
    </xf>
    <xf numFmtId="0" fontId="0" fillId="0" borderId="23" xfId="0" applyBorder="1" applyAlignment="1" applyProtection="1">
      <alignment horizontal="left"/>
      <protection locked="0"/>
    </xf>
    <xf numFmtId="0" fontId="0" fillId="0" borderId="10" xfId="0" applyBorder="1" applyProtection="1">
      <protection locked="0"/>
    </xf>
    <xf numFmtId="0" fontId="45" fillId="0" borderId="17" xfId="0" applyFont="1" applyBorder="1" applyAlignment="1" applyProtection="1">
      <alignment horizontal="left"/>
      <protection locked="0"/>
    </xf>
    <xf numFmtId="0" fontId="45" fillId="0" borderId="0" xfId="0" applyFont="1" applyProtection="1">
      <protection locked="0"/>
    </xf>
    <xf numFmtId="0" fontId="5" fillId="0" borderId="19" xfId="0" applyFont="1" applyBorder="1" applyAlignment="1" applyProtection="1">
      <alignment horizontal="center"/>
      <protection locked="0"/>
    </xf>
    <xf numFmtId="0" fontId="0" fillId="0" borderId="11" xfId="0" applyBorder="1" applyProtection="1">
      <protection locked="0"/>
    </xf>
    <xf numFmtId="2" fontId="54" fillId="0" borderId="25" xfId="0" applyNumberFormat="1" applyFont="1" applyBorder="1" applyAlignment="1" applyProtection="1">
      <alignment horizontal="center"/>
      <protection locked="0"/>
    </xf>
    <xf numFmtId="0" fontId="13" fillId="0" borderId="13" xfId="0" applyFont="1" applyBorder="1" applyProtection="1">
      <protection locked="0"/>
    </xf>
    <xf numFmtId="0" fontId="2" fillId="0" borderId="13" xfId="0" applyFont="1" applyBorder="1" applyAlignment="1" applyProtection="1">
      <alignment horizontal="center"/>
      <protection locked="0"/>
    </xf>
    <xf numFmtId="0" fontId="5" fillId="0" borderId="13" xfId="3" applyBorder="1" applyProtection="1">
      <protection locked="0"/>
    </xf>
    <xf numFmtId="2" fontId="54" fillId="0" borderId="11" xfId="0" applyNumberFormat="1" applyFont="1" applyBorder="1" applyAlignment="1" applyProtection="1">
      <alignment horizontal="center"/>
      <protection locked="0"/>
    </xf>
    <xf numFmtId="0" fontId="0" fillId="0" borderId="26" xfId="0" applyBorder="1" applyProtection="1">
      <protection locked="0"/>
    </xf>
    <xf numFmtId="0" fontId="3" fillId="0" borderId="1" xfId="0" applyFont="1" applyBorder="1" applyProtection="1">
      <protection locked="0"/>
    </xf>
    <xf numFmtId="0" fontId="3" fillId="0" borderId="15" xfId="0" applyFont="1" applyBorder="1" applyProtection="1">
      <protection locked="0"/>
    </xf>
    <xf numFmtId="0" fontId="5" fillId="0" borderId="1" xfId="3" applyBorder="1" applyProtection="1">
      <protection locked="0"/>
    </xf>
    <xf numFmtId="0" fontId="5" fillId="0" borderId="27" xfId="3" applyBorder="1" applyProtection="1">
      <protection locked="0"/>
    </xf>
    <xf numFmtId="15" fontId="27" fillId="0" borderId="0" xfId="0" applyNumberFormat="1" applyFont="1" applyAlignment="1" applyProtection="1">
      <alignment horizontal="left"/>
      <protection locked="0"/>
    </xf>
    <xf numFmtId="0" fontId="8" fillId="2" borderId="14" xfId="7" applyFill="1" applyBorder="1" applyAlignment="1">
      <alignment horizontal="center"/>
    </xf>
    <xf numFmtId="0" fontId="13" fillId="2" borderId="14" xfId="7" applyFont="1" applyFill="1" applyBorder="1"/>
    <xf numFmtId="0" fontId="8" fillId="0" borderId="0" xfId="7" applyAlignment="1">
      <alignment horizontal="left"/>
    </xf>
    <xf numFmtId="0" fontId="8" fillId="0" borderId="0" xfId="7"/>
    <xf numFmtId="0" fontId="13" fillId="17" borderId="0" xfId="0" applyFont="1" applyFill="1" applyAlignment="1">
      <alignment horizontal="left"/>
    </xf>
    <xf numFmtId="0" fontId="13" fillId="17" borderId="0" xfId="0" applyFont="1" applyFill="1"/>
    <xf numFmtId="0" fontId="5" fillId="17" borderId="0" xfId="0" applyFont="1" applyFill="1"/>
    <xf numFmtId="166" fontId="13" fillId="0" borderId="0" xfId="0" applyNumberFormat="1" applyFont="1"/>
    <xf numFmtId="0" fontId="13" fillId="17" borderId="0" xfId="8" applyFont="1" applyFill="1" applyAlignment="1">
      <alignment horizontal="left"/>
    </xf>
    <xf numFmtId="0" fontId="9" fillId="17" borderId="0" xfId="0" applyFont="1" applyFill="1"/>
    <xf numFmtId="0" fontId="44" fillId="17" borderId="0" xfId="8" applyFont="1" applyFill="1"/>
    <xf numFmtId="1" fontId="53" fillId="2" borderId="3" xfId="6" applyFont="1" applyFill="1" applyBorder="1" applyAlignment="1">
      <alignment horizontal="center"/>
    </xf>
    <xf numFmtId="165" fontId="13" fillId="2" borderId="3" xfId="6" applyNumberFormat="1" applyFont="1" applyFill="1" applyBorder="1" applyAlignment="1">
      <alignment horizontal="center"/>
    </xf>
    <xf numFmtId="0" fontId="0" fillId="0" borderId="13" xfId="0" applyBorder="1"/>
    <xf numFmtId="0" fontId="32" fillId="0" borderId="0" xfId="3" applyFont="1" applyAlignment="1" applyProtection="1">
      <alignment horizontal="left"/>
      <protection locked="0"/>
    </xf>
    <xf numFmtId="0" fontId="11" fillId="17" borderId="18" xfId="0" applyFont="1" applyFill="1" applyBorder="1" applyAlignment="1">
      <alignment horizontal="center"/>
    </xf>
    <xf numFmtId="2" fontId="28" fillId="0" borderId="11" xfId="0" applyNumberFormat="1" applyFont="1" applyBorder="1" applyAlignment="1">
      <alignment horizontal="center" vertical="top"/>
    </xf>
    <xf numFmtId="0" fontId="28" fillId="0" borderId="11" xfId="0" applyFont="1" applyBorder="1" applyAlignment="1">
      <alignment horizontal="center" vertical="top"/>
    </xf>
    <xf numFmtId="1" fontId="86" fillId="0" borderId="11" xfId="0" applyNumberFormat="1" applyFont="1" applyBorder="1" applyAlignment="1">
      <alignment horizontal="left" vertical="top" indent="1"/>
    </xf>
    <xf numFmtId="0" fontId="87" fillId="0" borderId="0" xfId="3" applyFont="1" applyAlignment="1">
      <alignment horizontal="center"/>
    </xf>
    <xf numFmtId="0" fontId="0" fillId="0" borderId="28" xfId="0" applyBorder="1"/>
    <xf numFmtId="43" fontId="0" fillId="0" borderId="0" xfId="1" applyFont="1" applyAlignment="1" applyProtection="1">
      <alignment horizontal="right"/>
      <protection locked="0"/>
    </xf>
    <xf numFmtId="43" fontId="20" fillId="0" borderId="0" xfId="1" applyFont="1" applyFill="1" applyBorder="1" applyProtection="1">
      <protection locked="0"/>
    </xf>
    <xf numFmtId="43" fontId="0" fillId="0" borderId="0" xfId="1" applyFont="1" applyProtection="1">
      <protection locked="0"/>
    </xf>
    <xf numFmtId="43" fontId="5" fillId="0" borderId="0" xfId="1" applyProtection="1">
      <protection locked="0"/>
    </xf>
    <xf numFmtId="43" fontId="13" fillId="19" borderId="9" xfId="1" applyFont="1" applyFill="1" applyBorder="1" applyProtection="1">
      <protection locked="0"/>
    </xf>
    <xf numFmtId="43" fontId="13" fillId="4" borderId="19" xfId="1" applyFont="1" applyFill="1" applyBorder="1" applyAlignment="1" applyProtection="1">
      <alignment horizontal="center"/>
      <protection locked="0"/>
    </xf>
    <xf numFmtId="39" fontId="20" fillId="0" borderId="3" xfId="1" applyNumberFormat="1" applyFont="1" applyFill="1" applyBorder="1" applyAlignment="1" applyProtection="1">
      <alignment horizontal="right"/>
      <protection locked="0"/>
    </xf>
    <xf numFmtId="2" fontId="54" fillId="0" borderId="19" xfId="0" applyNumberFormat="1" applyFont="1" applyBorder="1" applyAlignment="1" applyProtection="1">
      <alignment horizontal="center"/>
      <protection locked="0"/>
    </xf>
    <xf numFmtId="0" fontId="16" fillId="17" borderId="16" xfId="0" applyFont="1" applyFill="1" applyBorder="1" applyAlignment="1">
      <alignment horizontal="center" vertical="top"/>
    </xf>
    <xf numFmtId="0" fontId="13" fillId="0" borderId="0" xfId="7" applyFont="1" applyAlignment="1" applyProtection="1">
      <alignment horizontal="right"/>
      <protection locked="0"/>
    </xf>
    <xf numFmtId="0" fontId="38" fillId="17" borderId="6" xfId="2" applyNumberFormat="1" applyFont="1" applyFill="1" applyBorder="1" applyAlignment="1" applyProtection="1">
      <alignment horizontal="center" vertical="center"/>
    </xf>
    <xf numFmtId="173" fontId="8" fillId="0" borderId="0" xfId="7" applyNumberFormat="1" applyProtection="1">
      <protection locked="0"/>
    </xf>
    <xf numFmtId="0" fontId="16" fillId="0" borderId="10" xfId="7" applyFont="1" applyBorder="1" applyAlignment="1" applyProtection="1">
      <alignment horizontal="center"/>
      <protection locked="0"/>
    </xf>
    <xf numFmtId="0" fontId="13" fillId="0" borderId="11" xfId="7" applyFont="1" applyBorder="1" applyAlignment="1" applyProtection="1">
      <alignment horizontal="center"/>
      <protection locked="0"/>
    </xf>
    <xf numFmtId="0" fontId="9" fillId="0" borderId="0" xfId="0" applyFont="1" applyAlignment="1" applyProtection="1">
      <alignment horizontal="center"/>
      <protection locked="0"/>
    </xf>
    <xf numFmtId="0" fontId="13" fillId="0" borderId="11" xfId="7" applyFont="1" applyBorder="1" applyAlignment="1" applyProtection="1">
      <alignment horizontal="center" vertical="center"/>
      <protection locked="0"/>
    </xf>
    <xf numFmtId="2" fontId="0" fillId="0" borderId="17" xfId="0" applyNumberFormat="1" applyBorder="1" applyAlignment="1" applyProtection="1">
      <alignment horizontal="center"/>
      <protection locked="0"/>
    </xf>
    <xf numFmtId="2" fontId="81" fillId="0" borderId="17" xfId="0" applyNumberFormat="1" applyFont="1" applyBorder="1" applyAlignment="1" applyProtection="1">
      <alignment horizontal="center"/>
      <protection locked="0"/>
    </xf>
    <xf numFmtId="0" fontId="92" fillId="17" borderId="14" xfId="0" applyFont="1" applyFill="1" applyBorder="1"/>
    <xf numFmtId="0" fontId="92" fillId="17" borderId="16" xfId="0" applyFont="1" applyFill="1" applyBorder="1"/>
    <xf numFmtId="0" fontId="93" fillId="17" borderId="14" xfId="0" applyFont="1" applyFill="1" applyBorder="1"/>
    <xf numFmtId="0" fontId="0" fillId="0" borderId="0" xfId="0" applyAlignment="1">
      <alignment horizontal="center"/>
    </xf>
    <xf numFmtId="0" fontId="96" fillId="0" borderId="10" xfId="0" applyFont="1" applyBorder="1" applyAlignment="1">
      <alignment horizontal="center"/>
    </xf>
    <xf numFmtId="0" fontId="96" fillId="0" borderId="11" xfId="0" applyFont="1" applyBorder="1" applyAlignment="1">
      <alignment horizontal="center"/>
    </xf>
    <xf numFmtId="10" fontId="94" fillId="12" borderId="17" xfId="0" applyNumberFormat="1" applyFont="1" applyFill="1" applyBorder="1" applyAlignment="1" applyProtection="1">
      <alignment horizontal="center"/>
      <protection locked="0"/>
    </xf>
    <xf numFmtId="2" fontId="89" fillId="12" borderId="10" xfId="0" applyNumberFormat="1" applyFont="1" applyFill="1" applyBorder="1" applyAlignment="1" applyProtection="1">
      <alignment horizontal="center"/>
      <protection locked="0"/>
    </xf>
    <xf numFmtId="0" fontId="93" fillId="17" borderId="22" xfId="0" applyFont="1" applyFill="1" applyBorder="1"/>
    <xf numFmtId="0" fontId="92" fillId="17" borderId="22" xfId="0" applyFont="1" applyFill="1" applyBorder="1"/>
    <xf numFmtId="0" fontId="92" fillId="17" borderId="24" xfId="0" applyFont="1" applyFill="1" applyBorder="1"/>
    <xf numFmtId="0" fontId="93" fillId="14" borderId="14" xfId="0" applyFont="1" applyFill="1" applyBorder="1"/>
    <xf numFmtId="0" fontId="90" fillId="14" borderId="14" xfId="0" applyFont="1" applyFill="1" applyBorder="1"/>
    <xf numFmtId="0" fontId="95" fillId="17" borderId="10" xfId="7" applyFont="1" applyFill="1" applyBorder="1" applyAlignment="1" applyProtection="1">
      <alignment horizontal="center"/>
      <protection locked="0"/>
    </xf>
    <xf numFmtId="0" fontId="97" fillId="17" borderId="25" xfId="7" applyFont="1" applyFill="1" applyBorder="1" applyAlignment="1" applyProtection="1">
      <alignment horizontal="center"/>
      <protection locked="0"/>
    </xf>
    <xf numFmtId="0" fontId="40" fillId="0" borderId="0" xfId="7" applyFont="1" applyAlignment="1" applyProtection="1">
      <alignment vertical="top"/>
      <protection locked="0"/>
    </xf>
    <xf numFmtId="10" fontId="94" fillId="12" borderId="25" xfId="0" applyNumberFormat="1" applyFont="1" applyFill="1" applyBorder="1" applyAlignment="1" applyProtection="1">
      <alignment horizontal="center"/>
      <protection locked="0"/>
    </xf>
    <xf numFmtId="172" fontId="0" fillId="0" borderId="0" xfId="0" applyNumberFormat="1"/>
    <xf numFmtId="0" fontId="6" fillId="0" borderId="0" xfId="7" applyFont="1" applyProtection="1">
      <protection locked="0"/>
    </xf>
    <xf numFmtId="0" fontId="55" fillId="0" borderId="0" xfId="0" applyFont="1" applyProtection="1">
      <protection locked="0"/>
    </xf>
    <xf numFmtId="0" fontId="55" fillId="2" borderId="29" xfId="0" applyFont="1" applyFill="1" applyBorder="1" applyProtection="1">
      <protection locked="0"/>
    </xf>
    <xf numFmtId="1" fontId="17" fillId="0" borderId="0" xfId="6" applyFont="1" applyProtection="1">
      <protection locked="0"/>
    </xf>
    <xf numFmtId="0" fontId="23" fillId="12" borderId="0" xfId="3" applyFont="1" applyFill="1" applyProtection="1">
      <protection locked="0"/>
    </xf>
    <xf numFmtId="0" fontId="25" fillId="12" borderId="0" xfId="3" applyFont="1" applyFill="1" applyProtection="1">
      <protection locked="0"/>
    </xf>
    <xf numFmtId="0" fontId="78" fillId="0" borderId="0" xfId="0" applyFont="1"/>
    <xf numFmtId="0" fontId="78" fillId="0" borderId="0" xfId="0" applyFont="1" applyProtection="1">
      <protection locked="0"/>
    </xf>
    <xf numFmtId="0" fontId="5" fillId="0" borderId="0" xfId="7" applyFont="1" applyAlignment="1">
      <alignment horizontal="centerContinuous" vertical="center"/>
    </xf>
    <xf numFmtId="0" fontId="81" fillId="0" borderId="0" xfId="2" applyNumberFormat="1" applyFont="1" applyFill="1" applyBorder="1" applyAlignment="1" applyProtection="1">
      <alignment horizontal="center"/>
    </xf>
    <xf numFmtId="2" fontId="14" fillId="17" borderId="0" xfId="4" applyNumberFormat="1" applyFont="1" applyFill="1" applyAlignment="1">
      <alignment horizontal="center"/>
    </xf>
    <xf numFmtId="1" fontId="14" fillId="17" borderId="0" xfId="4" applyFont="1" applyFill="1" applyAlignment="1">
      <alignment horizontal="center"/>
    </xf>
    <xf numFmtId="49" fontId="14" fillId="17" borderId="0" xfId="4" applyNumberFormat="1" applyFont="1" applyFill="1" applyAlignment="1">
      <alignment horizontal="center"/>
    </xf>
    <xf numFmtId="17" fontId="14" fillId="17" borderId="0" xfId="4" applyNumberFormat="1" applyFont="1" applyFill="1" applyAlignment="1">
      <alignment horizontal="center"/>
    </xf>
    <xf numFmtId="169" fontId="14" fillId="17" borderId="0" xfId="4" applyNumberFormat="1" applyFont="1" applyFill="1" applyAlignment="1">
      <alignment horizontal="center"/>
    </xf>
    <xf numFmtId="0" fontId="88" fillId="2" borderId="24" xfId="7" applyFont="1" applyFill="1" applyBorder="1" applyAlignment="1">
      <alignment horizontal="centerContinuous"/>
    </xf>
    <xf numFmtId="0" fontId="34" fillId="3" borderId="24" xfId="3" applyFont="1" applyFill="1" applyBorder="1" applyAlignment="1">
      <alignment horizontal="left"/>
    </xf>
    <xf numFmtId="0" fontId="34" fillId="4" borderId="19" xfId="3" applyFont="1" applyFill="1" applyBorder="1" applyAlignment="1">
      <alignment horizontal="left"/>
    </xf>
    <xf numFmtId="0" fontId="34" fillId="5" borderId="19" xfId="3" applyFont="1" applyFill="1" applyBorder="1" applyAlignment="1">
      <alignment horizontal="left"/>
    </xf>
    <xf numFmtId="0" fontId="34" fillId="6" borderId="19" xfId="3" applyFont="1" applyFill="1" applyBorder="1" applyAlignment="1">
      <alignment horizontal="left"/>
    </xf>
    <xf numFmtId="0" fontId="34" fillId="2" borderId="19" xfId="3" applyFont="1" applyFill="1" applyBorder="1" applyAlignment="1">
      <alignment horizontal="left"/>
    </xf>
    <xf numFmtId="0" fontId="34" fillId="7" borderId="19" xfId="3" applyFont="1" applyFill="1" applyBorder="1" applyAlignment="1">
      <alignment horizontal="left"/>
    </xf>
    <xf numFmtId="0" fontId="34" fillId="8" borderId="19" xfId="3" applyFont="1" applyFill="1" applyBorder="1" applyAlignment="1">
      <alignment horizontal="left"/>
    </xf>
    <xf numFmtId="0" fontId="34" fillId="9" borderId="19" xfId="3" applyFont="1" applyFill="1" applyBorder="1" applyAlignment="1">
      <alignment horizontal="left"/>
    </xf>
    <xf numFmtId="0" fontId="34" fillId="10" borderId="19" xfId="3" applyFont="1" applyFill="1" applyBorder="1" applyAlignment="1">
      <alignment horizontal="left"/>
    </xf>
    <xf numFmtId="0" fontId="34" fillId="11" borderId="19" xfId="3" applyFont="1" applyFill="1" applyBorder="1" applyAlignment="1">
      <alignment horizontal="left"/>
    </xf>
    <xf numFmtId="38" fontId="11" fillId="2" borderId="18" xfId="0" applyNumberFormat="1" applyFont="1" applyFill="1" applyBorder="1" applyAlignment="1">
      <alignment horizontal="center"/>
    </xf>
    <xf numFmtId="0" fontId="102" fillId="2" borderId="3" xfId="0" applyFont="1" applyFill="1" applyBorder="1" applyAlignment="1">
      <alignment horizontal="center"/>
    </xf>
    <xf numFmtId="1" fontId="26" fillId="0" borderId="13" xfId="6" applyFont="1" applyBorder="1" applyAlignment="1" applyProtection="1">
      <alignment horizontal="left"/>
      <protection locked="0"/>
    </xf>
    <xf numFmtId="0" fontId="0" fillId="2" borderId="0" xfId="0" applyFill="1"/>
    <xf numFmtId="43" fontId="13" fillId="0" borderId="0" xfId="1" applyFont="1" applyFill="1" applyBorder="1" applyAlignment="1" applyProtection="1">
      <alignment horizontal="right"/>
      <protection locked="0"/>
    </xf>
    <xf numFmtId="0" fontId="105" fillId="0" borderId="0" xfId="3" applyFont="1" applyAlignment="1">
      <alignment horizontal="center" vertical="center"/>
    </xf>
    <xf numFmtId="2" fontId="106" fillId="0" borderId="0" xfId="0" applyNumberFormat="1" applyFont="1" applyProtection="1">
      <protection locked="0"/>
    </xf>
    <xf numFmtId="2" fontId="11" fillId="2" borderId="3" xfId="0" applyNumberFormat="1" applyFont="1" applyFill="1" applyBorder="1" applyAlignment="1">
      <alignment horizontal="center"/>
    </xf>
    <xf numFmtId="40" fontId="11" fillId="2" borderId="18" xfId="0" applyNumberFormat="1" applyFont="1" applyFill="1" applyBorder="1" applyAlignment="1">
      <alignment horizontal="center"/>
    </xf>
    <xf numFmtId="40" fontId="10" fillId="2" borderId="2" xfId="3" applyNumberFormat="1" applyFont="1" applyFill="1" applyBorder="1" applyAlignment="1">
      <alignment horizontal="center"/>
    </xf>
    <xf numFmtId="0" fontId="24" fillId="0" borderId="30" xfId="0" applyFont="1" applyBorder="1" applyAlignment="1" applyProtection="1">
      <alignment horizontal="center"/>
      <protection locked="0"/>
    </xf>
    <xf numFmtId="0" fontId="24" fillId="0" borderId="26" xfId="0" applyFont="1" applyBorder="1" applyAlignment="1" applyProtection="1">
      <alignment horizontal="center"/>
      <protection locked="0"/>
    </xf>
    <xf numFmtId="0" fontId="66" fillId="0" borderId="0" xfId="0" applyFont="1" applyAlignment="1" applyProtection="1">
      <alignment horizontal="center"/>
      <protection locked="0"/>
    </xf>
    <xf numFmtId="0" fontId="66" fillId="0" borderId="21" xfId="0" applyFont="1" applyBorder="1" applyAlignment="1" applyProtection="1">
      <alignment horizontal="center"/>
      <protection locked="0"/>
    </xf>
    <xf numFmtId="0" fontId="108" fillId="0" borderId="19" xfId="0" applyFont="1" applyBorder="1" applyAlignment="1" applyProtection="1">
      <alignment horizontal="center"/>
      <protection locked="0"/>
    </xf>
    <xf numFmtId="0" fontId="0" fillId="14" borderId="16" xfId="0" applyFill="1" applyBorder="1"/>
    <xf numFmtId="2" fontId="9" fillId="17" borderId="31" xfId="0" applyNumberFormat="1" applyFont="1" applyFill="1" applyBorder="1"/>
    <xf numFmtId="2" fontId="9" fillId="17" borderId="19" xfId="0" applyNumberFormat="1" applyFont="1" applyFill="1" applyBorder="1"/>
    <xf numFmtId="2" fontId="9" fillId="17" borderId="0" xfId="0" applyNumberFormat="1" applyFont="1" applyFill="1"/>
    <xf numFmtId="2" fontId="5" fillId="19" borderId="15" xfId="0" applyNumberFormat="1" applyFont="1" applyFill="1" applyBorder="1" applyAlignment="1">
      <alignment horizontal="right"/>
    </xf>
    <xf numFmtId="2" fontId="5" fillId="19" borderId="9" xfId="0" applyNumberFormat="1" applyFont="1" applyFill="1" applyBorder="1" applyAlignment="1">
      <alignment horizontal="right"/>
    </xf>
    <xf numFmtId="0" fontId="0" fillId="17" borderId="32" xfId="0" applyFill="1" applyBorder="1" applyAlignment="1">
      <alignment horizontal="left"/>
    </xf>
    <xf numFmtId="0" fontId="2" fillId="17" borderId="0" xfId="0" applyFont="1" applyFill="1" applyAlignment="1">
      <alignment horizontal="center"/>
    </xf>
    <xf numFmtId="0" fontId="14" fillId="0" borderId="0" xfId="3" applyFont="1" applyAlignment="1">
      <alignment horizontal="left"/>
    </xf>
    <xf numFmtId="0" fontId="9" fillId="0" borderId="0" xfId="7" applyFont="1"/>
    <xf numFmtId="0" fontId="20" fillId="0" borderId="0" xfId="7" applyFont="1"/>
    <xf numFmtId="49" fontId="78" fillId="0" borderId="0" xfId="2" applyNumberFormat="1" applyFont="1" applyFill="1" applyBorder="1" applyAlignment="1" applyProtection="1">
      <alignment horizontal="right"/>
      <protection locked="0"/>
    </xf>
    <xf numFmtId="49" fontId="110" fillId="0" borderId="0" xfId="2" applyNumberFormat="1" applyFont="1" applyFill="1" applyBorder="1" applyAlignment="1" applyProtection="1">
      <alignment horizontal="right" vertical="center"/>
    </xf>
    <xf numFmtId="0" fontId="111" fillId="0" borderId="0" xfId="0" applyFont="1" applyAlignment="1">
      <alignment horizontal="right"/>
    </xf>
    <xf numFmtId="0" fontId="93" fillId="2" borderId="3" xfId="7" applyFont="1" applyFill="1" applyBorder="1" applyAlignment="1">
      <alignment horizontal="center"/>
    </xf>
    <xf numFmtId="43" fontId="0" fillId="0" borderId="0" xfId="1" applyFont="1" applyAlignment="1" applyProtection="1">
      <alignment horizontal="right"/>
    </xf>
    <xf numFmtId="0" fontId="107" fillId="17" borderId="11" xfId="3" applyFont="1" applyFill="1" applyBorder="1" applyAlignment="1" applyProtection="1">
      <alignment horizontal="left" vertical="center"/>
      <protection locked="0"/>
    </xf>
    <xf numFmtId="0" fontId="115" fillId="17" borderId="6" xfId="3" applyFont="1" applyFill="1" applyBorder="1" applyAlignment="1">
      <alignment horizontal="center" vertical="center"/>
    </xf>
    <xf numFmtId="0" fontId="116" fillId="17" borderId="3" xfId="2" applyNumberFormat="1" applyFont="1" applyFill="1" applyBorder="1" applyAlignment="1" applyProtection="1">
      <alignment horizontal="center" vertical="center"/>
    </xf>
    <xf numFmtId="0" fontId="28" fillId="0" borderId="0" xfId="7" applyFont="1" applyAlignment="1" applyProtection="1">
      <alignment horizontal="left"/>
      <protection locked="0"/>
    </xf>
    <xf numFmtId="0" fontId="99" fillId="0" borderId="0" xfId="7" applyFont="1" applyAlignment="1">
      <alignment vertical="center"/>
    </xf>
    <xf numFmtId="0" fontId="112" fillId="2" borderId="18" xfId="7" applyFont="1" applyFill="1" applyBorder="1" applyAlignment="1">
      <alignment horizontal="right"/>
    </xf>
    <xf numFmtId="0" fontId="98" fillId="12" borderId="10" xfId="0" applyFont="1" applyFill="1" applyBorder="1" applyAlignment="1" applyProtection="1">
      <alignment horizontal="center"/>
      <protection locked="0"/>
    </xf>
    <xf numFmtId="0" fontId="83" fillId="2" borderId="16" xfId="3" applyFont="1" applyFill="1" applyBorder="1" applyAlignment="1">
      <alignment horizontal="left"/>
    </xf>
    <xf numFmtId="0" fontId="98" fillId="12" borderId="25" xfId="0" applyFont="1" applyFill="1" applyBorder="1" applyAlignment="1" applyProtection="1">
      <alignment horizontal="center"/>
      <protection locked="0"/>
    </xf>
    <xf numFmtId="0" fontId="98" fillId="12" borderId="11" xfId="0" applyFont="1" applyFill="1" applyBorder="1" applyAlignment="1" applyProtection="1">
      <alignment horizontal="center"/>
      <protection locked="0"/>
    </xf>
    <xf numFmtId="0" fontId="73" fillId="0" borderId="0" xfId="3" applyFont="1" applyAlignment="1">
      <alignment horizontal="right"/>
    </xf>
    <xf numFmtId="0" fontId="91" fillId="14" borderId="14" xfId="0" applyFont="1" applyFill="1" applyBorder="1"/>
    <xf numFmtId="0" fontId="91" fillId="14" borderId="16" xfId="0" applyFont="1" applyFill="1" applyBorder="1"/>
    <xf numFmtId="2" fontId="92" fillId="2" borderId="10" xfId="3" applyNumberFormat="1" applyFont="1" applyFill="1" applyBorder="1" applyAlignment="1">
      <alignment horizontal="center"/>
    </xf>
    <xf numFmtId="2" fontId="92" fillId="2" borderId="25" xfId="3" applyNumberFormat="1" applyFont="1" applyFill="1" applyBorder="1" applyAlignment="1">
      <alignment horizontal="center"/>
    </xf>
    <xf numFmtId="2" fontId="92" fillId="2" borderId="11" xfId="3" applyNumberFormat="1" applyFont="1" applyFill="1" applyBorder="1" applyAlignment="1">
      <alignment horizontal="center"/>
    </xf>
    <xf numFmtId="2" fontId="14" fillId="12" borderId="0" xfId="3" applyNumberFormat="1" applyFont="1" applyFill="1" applyAlignment="1">
      <alignment horizontal="center"/>
    </xf>
    <xf numFmtId="0" fontId="72" fillId="12" borderId="3" xfId="3" applyFont="1" applyFill="1" applyBorder="1" applyAlignment="1" applyProtection="1">
      <alignment horizontal="center"/>
      <protection locked="0"/>
    </xf>
    <xf numFmtId="43" fontId="13" fillId="18" borderId="19" xfId="1" applyFont="1" applyFill="1" applyBorder="1" applyAlignment="1" applyProtection="1">
      <alignment horizontal="center"/>
      <protection locked="0"/>
    </xf>
    <xf numFmtId="0" fontId="119" fillId="0" borderId="19" xfId="0" applyFont="1" applyBorder="1" applyAlignment="1" applyProtection="1">
      <alignment horizontal="center"/>
      <protection locked="0"/>
    </xf>
    <xf numFmtId="0" fontId="119" fillId="0" borderId="25" xfId="0" applyFont="1" applyBorder="1" applyAlignment="1" applyProtection="1">
      <alignment horizontal="center"/>
      <protection locked="0"/>
    </xf>
    <xf numFmtId="0" fontId="119" fillId="0" borderId="0" xfId="0" applyFont="1" applyAlignment="1" applyProtection="1">
      <alignment horizontal="center"/>
      <protection locked="0"/>
    </xf>
    <xf numFmtId="0" fontId="14" fillId="0" borderId="0" xfId="0" applyFont="1" applyProtection="1">
      <protection locked="0"/>
    </xf>
    <xf numFmtId="0" fontId="120" fillId="0" borderId="0" xfId="0" applyFont="1" applyAlignment="1" applyProtection="1">
      <alignment horizontal="center"/>
      <protection locked="0"/>
    </xf>
    <xf numFmtId="0" fontId="121" fillId="0" borderId="0" xfId="0" applyFont="1" applyAlignment="1" applyProtection="1">
      <alignment horizontal="center"/>
      <protection locked="0"/>
    </xf>
    <xf numFmtId="0" fontId="93" fillId="17" borderId="5" xfId="7" applyFont="1" applyFill="1" applyBorder="1" applyAlignment="1">
      <alignment horizontal="centerContinuous" vertical="center"/>
    </xf>
    <xf numFmtId="0" fontId="10" fillId="17" borderId="3" xfId="3" applyFont="1" applyFill="1" applyBorder="1" applyAlignment="1">
      <alignment horizontal="center"/>
    </xf>
    <xf numFmtId="0" fontId="35" fillId="17" borderId="4" xfId="0" applyFont="1" applyFill="1" applyBorder="1"/>
    <xf numFmtId="0" fontId="43" fillId="17" borderId="29" xfId="7" applyFont="1" applyFill="1" applyBorder="1" applyAlignment="1">
      <alignment horizontal="left" vertical="center"/>
    </xf>
    <xf numFmtId="0" fontId="0" fillId="17" borderId="29" xfId="0" applyFill="1" applyBorder="1"/>
    <xf numFmtId="0" fontId="100" fillId="17" borderId="29" xfId="7" applyFont="1" applyFill="1" applyBorder="1" applyAlignment="1">
      <alignment horizontal="center"/>
    </xf>
    <xf numFmtId="0" fontId="5" fillId="17" borderId="29" xfId="7" applyFont="1" applyFill="1" applyBorder="1" applyAlignment="1">
      <alignment horizontal="centerContinuous" vertical="center"/>
    </xf>
    <xf numFmtId="0" fontId="5" fillId="17" borderId="33" xfId="7" applyFont="1" applyFill="1" applyBorder="1" applyAlignment="1">
      <alignment horizontal="centerContinuous" vertical="center"/>
    </xf>
    <xf numFmtId="10" fontId="94" fillId="12" borderId="11" xfId="0" applyNumberFormat="1" applyFont="1" applyFill="1" applyBorder="1" applyAlignment="1" applyProtection="1">
      <alignment horizontal="center"/>
      <protection locked="0"/>
    </xf>
    <xf numFmtId="39" fontId="13" fillId="17" borderId="3" xfId="1" applyNumberFormat="1" applyFont="1" applyFill="1" applyBorder="1" applyAlignment="1" applyProtection="1">
      <alignment horizontal="right"/>
    </xf>
    <xf numFmtId="43" fontId="16" fillId="17" borderId="17" xfId="1" applyFont="1" applyFill="1" applyBorder="1" applyAlignment="1" applyProtection="1">
      <alignment horizontal="center"/>
    </xf>
    <xf numFmtId="43" fontId="16" fillId="17" borderId="0" xfId="1" applyFont="1" applyFill="1" applyBorder="1" applyAlignment="1" applyProtection="1">
      <alignment horizontal="center"/>
    </xf>
    <xf numFmtId="43" fontId="13" fillId="17" borderId="0" xfId="1" applyFont="1" applyFill="1" applyBorder="1" applyAlignment="1" applyProtection="1">
      <alignment horizontal="center"/>
    </xf>
    <xf numFmtId="43" fontId="13" fillId="0" borderId="0" xfId="1" applyFont="1" applyBorder="1" applyProtection="1"/>
    <xf numFmtId="174" fontId="16" fillId="17" borderId="0" xfId="1" applyNumberFormat="1" applyFont="1" applyFill="1" applyBorder="1" applyAlignment="1" applyProtection="1">
      <alignment horizontal="center"/>
    </xf>
    <xf numFmtId="0" fontId="122" fillId="0" borderId="0" xfId="0" applyFont="1" applyAlignment="1" applyProtection="1">
      <alignment horizontal="right"/>
      <protection locked="0"/>
    </xf>
    <xf numFmtId="10" fontId="13" fillId="17" borderId="3" xfId="0" applyNumberFormat="1" applyFont="1" applyFill="1" applyBorder="1" applyAlignment="1">
      <alignment horizontal="right" vertical="center"/>
    </xf>
    <xf numFmtId="39" fontId="16" fillId="17" borderId="3" xfId="1" applyNumberFormat="1" applyFont="1" applyFill="1" applyBorder="1" applyAlignment="1" applyProtection="1">
      <alignment horizontal="right"/>
    </xf>
    <xf numFmtId="0" fontId="123" fillId="0" borderId="0" xfId="0" applyFont="1" applyAlignment="1" applyProtection="1">
      <alignment horizontal="right" vertical="top"/>
      <protection locked="0"/>
    </xf>
    <xf numFmtId="10" fontId="124" fillId="17" borderId="18" xfId="7" applyNumberFormat="1" applyFont="1" applyFill="1" applyBorder="1" applyAlignment="1">
      <alignment horizontal="center"/>
    </xf>
    <xf numFmtId="10" fontId="124" fillId="17" borderId="23" xfId="7" applyNumberFormat="1" applyFont="1" applyFill="1" applyBorder="1" applyAlignment="1">
      <alignment horizontal="center"/>
    </xf>
    <xf numFmtId="10" fontId="125" fillId="14" borderId="18" xfId="7" applyNumberFormat="1" applyFont="1" applyFill="1" applyBorder="1" applyAlignment="1">
      <alignment horizontal="center"/>
    </xf>
    <xf numFmtId="2" fontId="125" fillId="14" borderId="18" xfId="7" applyNumberFormat="1" applyFont="1" applyFill="1" applyBorder="1" applyAlignment="1">
      <alignment horizontal="center"/>
    </xf>
    <xf numFmtId="0" fontId="78" fillId="0" borderId="1" xfId="0" applyFont="1" applyBorder="1" applyProtection="1">
      <protection locked="0"/>
    </xf>
    <xf numFmtId="14" fontId="58" fillId="0" borderId="0" xfId="7" applyNumberFormat="1" applyFont="1" applyAlignment="1" applyProtection="1">
      <alignment horizontal="center"/>
      <protection locked="0"/>
    </xf>
    <xf numFmtId="171" fontId="82" fillId="17" borderId="19" xfId="0" applyNumberFormat="1" applyFont="1" applyFill="1" applyBorder="1" applyAlignment="1" applyProtection="1">
      <alignment horizontal="center"/>
      <protection locked="0"/>
    </xf>
    <xf numFmtId="167" fontId="13" fillId="0" borderId="11" xfId="7" applyNumberFormat="1" applyFont="1" applyBorder="1" applyAlignment="1" applyProtection="1">
      <alignment horizontal="center"/>
      <protection locked="0"/>
    </xf>
    <xf numFmtId="39" fontId="128" fillId="0" borderId="16" xfId="1" applyNumberFormat="1" applyFont="1" applyFill="1" applyBorder="1" applyAlignment="1" applyProtection="1">
      <alignment horizontal="right"/>
    </xf>
    <xf numFmtId="39" fontId="128" fillId="0" borderId="18" xfId="1" applyNumberFormat="1" applyFont="1" applyFill="1" applyBorder="1" applyAlignment="1" applyProtection="1">
      <alignment horizontal="right"/>
    </xf>
    <xf numFmtId="0" fontId="129" fillId="0" borderId="14" xfId="7" applyFont="1" applyBorder="1" applyAlignment="1">
      <alignment horizontal="center"/>
    </xf>
    <xf numFmtId="40" fontId="23" fillId="2" borderId="14" xfId="7" applyNumberFormat="1" applyFont="1" applyFill="1" applyBorder="1" applyAlignment="1">
      <alignment horizontal="right"/>
    </xf>
    <xf numFmtId="40" fontId="23" fillId="2" borderId="16" xfId="7" applyNumberFormat="1" applyFont="1" applyFill="1" applyBorder="1" applyAlignment="1">
      <alignment horizontal="right"/>
    </xf>
    <xf numFmtId="14" fontId="58" fillId="0" borderId="0" xfId="7" applyNumberFormat="1" applyFont="1" applyAlignment="1" applyProtection="1">
      <alignment horizontal="right"/>
      <protection locked="0"/>
    </xf>
    <xf numFmtId="0" fontId="126" fillId="0" borderId="0" xfId="0" applyFont="1"/>
    <xf numFmtId="39" fontId="58" fillId="0" borderId="0" xfId="1" applyNumberFormat="1" applyFont="1" applyFill="1" applyBorder="1" applyAlignment="1" applyProtection="1">
      <alignment horizontal="right"/>
      <protection locked="0"/>
    </xf>
    <xf numFmtId="43" fontId="58" fillId="0" borderId="0" xfId="1" applyFont="1" applyFill="1" applyBorder="1" applyAlignment="1" applyProtection="1">
      <alignment horizontal="right"/>
      <protection locked="0"/>
    </xf>
    <xf numFmtId="43" fontId="58" fillId="0" borderId="0" xfId="1" applyFont="1" applyBorder="1" applyAlignment="1" applyProtection="1">
      <alignment horizontal="right"/>
      <protection locked="0"/>
    </xf>
    <xf numFmtId="175" fontId="16" fillId="17" borderId="3" xfId="1" applyNumberFormat="1" applyFont="1" applyFill="1" applyBorder="1" applyAlignment="1" applyProtection="1">
      <alignment horizontal="right"/>
    </xf>
    <xf numFmtId="167" fontId="127" fillId="17" borderId="3" xfId="7" applyNumberFormat="1" applyFont="1" applyFill="1" applyBorder="1" applyAlignment="1">
      <alignment horizontal="center"/>
    </xf>
    <xf numFmtId="0" fontId="115" fillId="17" borderId="25" xfId="0" applyFont="1" applyFill="1" applyBorder="1" applyAlignment="1">
      <alignment horizontal="center" vertical="center"/>
    </xf>
    <xf numFmtId="0" fontId="115" fillId="17" borderId="19" xfId="0" applyFont="1" applyFill="1" applyBorder="1" applyAlignment="1">
      <alignment horizontal="center" vertical="center"/>
    </xf>
    <xf numFmtId="0" fontId="115" fillId="17" borderId="6" xfId="0" applyFont="1" applyFill="1" applyBorder="1" applyAlignment="1">
      <alignment horizontal="right" vertical="center"/>
    </xf>
    <xf numFmtId="0" fontId="34" fillId="11" borderId="11" xfId="3" applyFont="1" applyFill="1" applyBorder="1" applyAlignment="1">
      <alignment horizontal="left"/>
    </xf>
    <xf numFmtId="0" fontId="112" fillId="2" borderId="23" xfId="7" applyFont="1" applyFill="1" applyBorder="1" applyAlignment="1">
      <alignment horizontal="center"/>
    </xf>
    <xf numFmtId="2" fontId="34" fillId="2" borderId="17" xfId="7" applyNumberFormat="1" applyFont="1" applyFill="1" applyBorder="1" applyAlignment="1">
      <alignment horizontal="center"/>
    </xf>
    <xf numFmtId="0" fontId="83" fillId="2" borderId="21" xfId="3" applyFont="1" applyFill="1" applyBorder="1" applyAlignment="1">
      <alignment horizontal="left"/>
    </xf>
    <xf numFmtId="0" fontId="14" fillId="0" borderId="40" xfId="0" applyFont="1" applyBorder="1" applyAlignment="1" applyProtection="1">
      <alignment horizontal="center"/>
      <protection locked="0"/>
    </xf>
    <xf numFmtId="4" fontId="20" fillId="12" borderId="41" xfId="0" applyNumberFormat="1" applyFont="1" applyFill="1" applyBorder="1" applyAlignment="1" applyProtection="1">
      <alignment horizontal="center"/>
      <protection locked="0"/>
    </xf>
    <xf numFmtId="0" fontId="10" fillId="2" borderId="23" xfId="3" applyFont="1" applyFill="1" applyBorder="1" applyAlignment="1">
      <alignment horizontal="center"/>
    </xf>
    <xf numFmtId="0" fontId="0" fillId="0" borderId="3" xfId="0" applyBorder="1" applyAlignment="1" applyProtection="1">
      <alignment horizontal="center"/>
      <protection locked="0"/>
    </xf>
    <xf numFmtId="0" fontId="76" fillId="14" borderId="3" xfId="0" applyFont="1" applyFill="1" applyBorder="1" applyAlignment="1" applyProtection="1">
      <alignment horizontal="center"/>
      <protection locked="0"/>
    </xf>
    <xf numFmtId="0" fontId="76" fillId="12" borderId="3" xfId="0" applyFont="1" applyFill="1" applyBorder="1" applyAlignment="1" applyProtection="1">
      <alignment horizontal="center"/>
      <protection locked="0"/>
    </xf>
    <xf numFmtId="0" fontId="76" fillId="0" borderId="3" xfId="0" applyFont="1" applyBorder="1" applyAlignment="1" applyProtection="1">
      <alignment horizontal="center"/>
      <protection locked="0"/>
    </xf>
    <xf numFmtId="0" fontId="9" fillId="19" borderId="3" xfId="0" applyFont="1" applyFill="1" applyBorder="1" applyProtection="1">
      <protection locked="0"/>
    </xf>
    <xf numFmtId="0" fontId="24" fillId="0" borderId="0" xfId="0" applyFont="1"/>
    <xf numFmtId="0" fontId="63" fillId="20" borderId="0" xfId="0" applyFont="1" applyFill="1" applyAlignment="1">
      <alignment horizontal="center"/>
    </xf>
    <xf numFmtId="0" fontId="63" fillId="15" borderId="0" xfId="0" applyFont="1" applyFill="1" applyAlignment="1">
      <alignment horizontal="center"/>
    </xf>
    <xf numFmtId="0" fontId="63" fillId="21" borderId="0" xfId="0" applyFont="1" applyFill="1" applyAlignment="1">
      <alignment horizontal="center"/>
    </xf>
    <xf numFmtId="0" fontId="63" fillId="0" borderId="0" xfId="0" applyFont="1"/>
    <xf numFmtId="0" fontId="131" fillId="0" borderId="0" xfId="0" applyFont="1"/>
    <xf numFmtId="38" fontId="132" fillId="17" borderId="18" xfId="0" applyNumberFormat="1" applyFont="1" applyFill="1" applyBorder="1" applyAlignment="1">
      <alignment horizontal="center"/>
    </xf>
    <xf numFmtId="38" fontId="32" fillId="12" borderId="14" xfId="0" applyNumberFormat="1" applyFont="1" applyFill="1" applyBorder="1" applyAlignment="1" applyProtection="1">
      <alignment horizontal="center"/>
      <protection locked="0"/>
    </xf>
    <xf numFmtId="0" fontId="63" fillId="0" borderId="0" xfId="0" applyFont="1" applyProtection="1">
      <protection locked="0"/>
    </xf>
    <xf numFmtId="0" fontId="133" fillId="0" borderId="0" xfId="7" applyFont="1" applyProtection="1">
      <protection locked="0"/>
    </xf>
    <xf numFmtId="0" fontId="134" fillId="0" borderId="0" xfId="0" applyFont="1" applyProtection="1">
      <protection locked="0"/>
    </xf>
    <xf numFmtId="0" fontId="135" fillId="0" borderId="0" xfId="0" applyFont="1" applyProtection="1">
      <protection locked="0"/>
    </xf>
    <xf numFmtId="0" fontId="51" fillId="0" borderId="0" xfId="0" applyFont="1" applyProtection="1">
      <protection locked="0"/>
    </xf>
    <xf numFmtId="0" fontId="137" fillId="0" borderId="3" xfId="0" applyFont="1" applyBorder="1" applyAlignment="1">
      <alignment horizontal="center"/>
    </xf>
    <xf numFmtId="0" fontId="114" fillId="0" borderId="0" xfId="0" applyFont="1" applyAlignment="1">
      <alignment vertical="center"/>
    </xf>
    <xf numFmtId="2" fontId="14" fillId="12" borderId="0" xfId="3" applyNumberFormat="1" applyFont="1" applyFill="1" applyAlignment="1">
      <alignment horizontal="center" vertical="top"/>
    </xf>
    <xf numFmtId="2" fontId="32" fillId="2" borderId="0" xfId="3" applyNumberFormat="1" applyFont="1" applyFill="1" applyAlignment="1" applyProtection="1">
      <alignment horizontal="center" vertical="top"/>
      <protection locked="0"/>
    </xf>
    <xf numFmtId="0" fontId="0" fillId="2" borderId="0" xfId="0" applyFill="1" applyProtection="1">
      <protection locked="0"/>
    </xf>
    <xf numFmtId="0" fontId="50" fillId="0" borderId="0" xfId="0" applyFont="1" applyAlignment="1" applyProtection="1">
      <alignment horizontal="center"/>
      <protection locked="0"/>
    </xf>
    <xf numFmtId="0" fontId="138" fillId="0" borderId="0" xfId="3" applyFont="1" applyAlignment="1">
      <alignment horizontal="right" vertical="top"/>
    </xf>
    <xf numFmtId="0" fontId="138" fillId="0" borderId="0" xfId="7" applyFont="1" applyAlignment="1">
      <alignment horizontal="right"/>
    </xf>
    <xf numFmtId="0" fontId="138" fillId="0" borderId="0" xfId="3" applyFont="1" applyAlignment="1">
      <alignment horizontal="right"/>
    </xf>
    <xf numFmtId="0" fontId="139" fillId="0" borderId="0" xfId="0" applyFont="1" applyAlignment="1" applyProtection="1">
      <alignment horizontal="left"/>
      <protection locked="0"/>
    </xf>
    <xf numFmtId="0" fontId="140" fillId="0" borderId="0" xfId="0" applyFont="1" applyProtection="1">
      <protection locked="0"/>
    </xf>
    <xf numFmtId="2" fontId="14" fillId="17" borderId="6" xfId="0" applyNumberFormat="1" applyFont="1" applyFill="1" applyBorder="1" applyAlignment="1">
      <alignment horizontal="center" vertical="center"/>
    </xf>
    <xf numFmtId="49" fontId="141" fillId="17" borderId="20" xfId="0" applyNumberFormat="1" applyFont="1" applyFill="1" applyBorder="1" applyAlignment="1">
      <alignment horizontal="left"/>
    </xf>
    <xf numFmtId="4" fontId="8" fillId="7" borderId="0" xfId="3" applyNumberFormat="1" applyFont="1" applyFill="1" applyAlignment="1" applyProtection="1">
      <alignment horizontal="right"/>
      <protection locked="0"/>
    </xf>
    <xf numFmtId="4" fontId="16" fillId="3" borderId="8" xfId="3" applyNumberFormat="1" applyFont="1" applyFill="1" applyBorder="1" applyAlignment="1">
      <alignment horizontal="right"/>
    </xf>
    <xf numFmtId="4" fontId="16" fillId="3" borderId="9" xfId="3" applyNumberFormat="1" applyFont="1" applyFill="1" applyBorder="1" applyAlignment="1">
      <alignment horizontal="right"/>
    </xf>
    <xf numFmtId="0" fontId="142" fillId="17" borderId="19" xfId="0" applyFont="1" applyFill="1" applyBorder="1" applyAlignment="1">
      <alignment horizontal="left"/>
    </xf>
    <xf numFmtId="0" fontId="143" fillId="0" borderId="0" xfId="0" applyFont="1" applyAlignment="1" applyProtection="1">
      <alignment horizontal="left"/>
      <protection locked="0"/>
    </xf>
    <xf numFmtId="2" fontId="14" fillId="3" borderId="3" xfId="3" applyNumberFormat="1" applyFont="1" applyFill="1" applyBorder="1" applyAlignment="1" applyProtection="1">
      <alignment horizontal="center"/>
      <protection locked="0"/>
    </xf>
    <xf numFmtId="165" fontId="14" fillId="12" borderId="2" xfId="3" applyNumberFormat="1" applyFont="1" applyFill="1" applyBorder="1" applyAlignment="1" applyProtection="1">
      <alignment horizontal="center"/>
      <protection locked="0"/>
    </xf>
    <xf numFmtId="0" fontId="12" fillId="0" borderId="0" xfId="0" applyFont="1"/>
    <xf numFmtId="0" fontId="7" fillId="0" borderId="0" xfId="7" applyFont="1" applyAlignment="1">
      <alignment horizontal="right"/>
    </xf>
    <xf numFmtId="2" fontId="6" fillId="0" borderId="0" xfId="7" applyNumberFormat="1" applyFont="1"/>
    <xf numFmtId="0" fontId="10" fillId="0" borderId="0" xfId="7" applyFont="1" applyAlignment="1">
      <alignment horizontal="left"/>
    </xf>
    <xf numFmtId="0" fontId="6" fillId="0" borderId="0" xfId="7" applyFont="1" applyAlignment="1">
      <alignment horizontal="centerContinuous" vertical="center"/>
    </xf>
    <xf numFmtId="0" fontId="101" fillId="0" borderId="0" xfId="0" applyFont="1" applyAlignment="1">
      <alignment horizontal="right"/>
    </xf>
    <xf numFmtId="1" fontId="6" fillId="0" borderId="0" xfId="6" applyFont="1" applyAlignment="1">
      <alignment horizontal="center"/>
    </xf>
    <xf numFmtId="0" fontId="6" fillId="0" borderId="0" xfId="7" applyFont="1" applyAlignment="1">
      <alignment horizontal="centerContinuous"/>
    </xf>
    <xf numFmtId="0" fontId="6" fillId="0" borderId="0" xfId="7" applyFont="1"/>
    <xf numFmtId="0" fontId="7" fillId="0" borderId="0" xfId="3" applyFont="1" applyAlignment="1">
      <alignment horizontal="right"/>
    </xf>
    <xf numFmtId="1" fontId="6" fillId="0" borderId="0" xfId="6" applyFont="1"/>
    <xf numFmtId="0" fontId="55" fillId="0" borderId="0" xfId="0" applyFont="1"/>
    <xf numFmtId="0" fontId="10" fillId="0" borderId="0" xfId="2" applyNumberFormat="1" applyFont="1" applyBorder="1" applyAlignment="1" applyProtection="1"/>
    <xf numFmtId="14" fontId="10" fillId="0" borderId="0" xfId="7" applyNumberFormat="1" applyFont="1" applyAlignment="1">
      <alignment horizontal="left"/>
    </xf>
    <xf numFmtId="0" fontId="12" fillId="0" borderId="0" xfId="3" applyFont="1"/>
    <xf numFmtId="0" fontId="12" fillId="0" borderId="0" xfId="0" applyFont="1" applyAlignment="1">
      <alignment horizontal="centerContinuous"/>
    </xf>
    <xf numFmtId="0" fontId="7" fillId="0" borderId="0" xfId="2" applyNumberFormat="1" applyFont="1" applyBorder="1" applyAlignment="1" applyProtection="1">
      <alignment horizontal="centerContinuous"/>
    </xf>
    <xf numFmtId="0" fontId="55" fillId="2" borderId="29" xfId="0" applyFont="1" applyFill="1" applyBorder="1"/>
    <xf numFmtId="0" fontId="12" fillId="2" borderId="29" xfId="0" applyFont="1" applyFill="1" applyBorder="1"/>
    <xf numFmtId="2" fontId="6" fillId="2" borderId="29" xfId="7" applyNumberFormat="1" applyFont="1" applyFill="1" applyBorder="1"/>
    <xf numFmtId="0" fontId="12" fillId="2" borderId="29" xfId="7" applyFont="1" applyFill="1" applyBorder="1" applyAlignment="1">
      <alignment horizontal="centerContinuous" vertical="center"/>
    </xf>
    <xf numFmtId="0" fontId="6" fillId="2" borderId="29" xfId="7" applyFont="1" applyFill="1" applyBorder="1" applyAlignment="1">
      <alignment horizontal="centerContinuous"/>
    </xf>
    <xf numFmtId="0" fontId="56" fillId="2" borderId="29" xfId="2" applyNumberFormat="1" applyFont="1" applyFill="1" applyBorder="1" applyAlignment="1" applyProtection="1">
      <alignment horizontal="center"/>
    </xf>
    <xf numFmtId="0" fontId="60" fillId="2" borderId="29" xfId="2" applyNumberFormat="1" applyFont="1" applyFill="1" applyBorder="1" applyAlignment="1" applyProtection="1">
      <alignment horizontal="centerContinuous"/>
    </xf>
    <xf numFmtId="0" fontId="130" fillId="0" borderId="0" xfId="0" applyFont="1" applyAlignment="1">
      <alignment horizontal="center"/>
    </xf>
    <xf numFmtId="0" fontId="76" fillId="2" borderId="3" xfId="0" applyFont="1" applyFill="1" applyBorder="1" applyAlignment="1" applyProtection="1">
      <alignment horizontal="center"/>
      <protection locked="0"/>
    </xf>
    <xf numFmtId="0" fontId="77" fillId="0" borderId="3" xfId="0" applyFont="1" applyBorder="1" applyAlignment="1" applyProtection="1">
      <alignment horizontal="center"/>
      <protection locked="0"/>
    </xf>
    <xf numFmtId="49" fontId="141" fillId="17" borderId="20" xfId="0" applyNumberFormat="1" applyFont="1" applyFill="1" applyBorder="1" applyAlignment="1" applyProtection="1">
      <alignment horizontal="left"/>
      <protection locked="0"/>
    </xf>
    <xf numFmtId="0" fontId="15" fillId="0" borderId="0" xfId="0" applyFont="1" applyProtection="1">
      <protection locked="0"/>
    </xf>
    <xf numFmtId="0" fontId="8" fillId="0" borderId="0" xfId="0" applyFont="1" applyProtection="1">
      <protection locked="0"/>
    </xf>
    <xf numFmtId="2" fontId="13" fillId="14" borderId="3" xfId="3" applyNumberFormat="1" applyFont="1" applyFill="1" applyBorder="1" applyProtection="1">
      <protection locked="0"/>
    </xf>
    <xf numFmtId="1" fontId="62" fillId="0" borderId="0" xfId="0" applyNumberFormat="1" applyFont="1" applyProtection="1">
      <protection locked="0"/>
    </xf>
    <xf numFmtId="0" fontId="8" fillId="0" borderId="1" xfId="0" applyFont="1" applyBorder="1" applyProtection="1">
      <protection locked="0"/>
    </xf>
    <xf numFmtId="43" fontId="23" fillId="0" borderId="42" xfId="3" applyNumberFormat="1" applyFont="1" applyBorder="1"/>
    <xf numFmtId="43" fontId="16" fillId="0" borderId="1" xfId="1" applyFont="1" applyFill="1" applyBorder="1"/>
    <xf numFmtId="43" fontId="16" fillId="2" borderId="15" xfId="1" applyFont="1" applyFill="1" applyBorder="1"/>
    <xf numFmtId="167" fontId="146" fillId="0" borderId="3" xfId="7" applyNumberFormat="1" applyFont="1" applyBorder="1" applyAlignment="1">
      <alignment horizontal="right"/>
    </xf>
    <xf numFmtId="0" fontId="9" fillId="0" borderId="0" xfId="5" applyFont="1" applyAlignment="1">
      <alignment horizontal="center"/>
    </xf>
    <xf numFmtId="0" fontId="9" fillId="0" borderId="0" xfId="5" applyFont="1" applyAlignment="1" applyProtection="1">
      <alignment horizontal="center"/>
      <protection locked="0"/>
    </xf>
    <xf numFmtId="0" fontId="16" fillId="0" borderId="0" xfId="3" applyFont="1" applyAlignment="1">
      <alignment horizontal="center"/>
    </xf>
    <xf numFmtId="0" fontId="16" fillId="0" borderId="0" xfId="3" applyFont="1" applyAlignment="1">
      <alignment horizontal="left"/>
    </xf>
    <xf numFmtId="1" fontId="16" fillId="0" borderId="0" xfId="6" applyFont="1" applyAlignment="1" applyProtection="1">
      <alignment horizontal="center" vertical="top"/>
      <protection locked="0"/>
    </xf>
    <xf numFmtId="0" fontId="16" fillId="0" borderId="43" xfId="3" applyFont="1" applyBorder="1" applyAlignment="1">
      <alignment horizontal="center"/>
    </xf>
    <xf numFmtId="0" fontId="13" fillId="0" borderId="0" xfId="3" applyFont="1" applyAlignment="1">
      <alignment horizontal="left"/>
    </xf>
    <xf numFmtId="0" fontId="16" fillId="0" borderId="44" xfId="3" applyFont="1" applyBorder="1" applyAlignment="1">
      <alignment horizontal="center"/>
    </xf>
    <xf numFmtId="0" fontId="35" fillId="0" borderId="11" xfId="0" applyFont="1" applyBorder="1" applyAlignment="1">
      <alignment horizontal="left" vertical="top" indent="1"/>
    </xf>
    <xf numFmtId="2" fontId="8" fillId="0" borderId="0" xfId="10" applyNumberFormat="1" applyFont="1" applyProtection="1">
      <protection locked="0"/>
    </xf>
    <xf numFmtId="0" fontId="8" fillId="0" borderId="0" xfId="3" applyFont="1"/>
    <xf numFmtId="0" fontId="8" fillId="0" borderId="24" xfId="3" applyFont="1" applyBorder="1" applyAlignment="1">
      <alignment horizontal="right"/>
    </xf>
    <xf numFmtId="0" fontId="2" fillId="0" borderId="3" xfId="0" applyFont="1" applyBorder="1" applyAlignment="1">
      <alignment horizontal="center"/>
    </xf>
    <xf numFmtId="0" fontId="8" fillId="17" borderId="0" xfId="3" applyFont="1" applyFill="1"/>
    <xf numFmtId="4" fontId="14" fillId="3" borderId="3" xfId="3" applyNumberFormat="1" applyFont="1" applyFill="1" applyBorder="1" applyAlignment="1">
      <alignment horizontal="center"/>
    </xf>
    <xf numFmtId="2" fontId="16" fillId="3" borderId="3" xfId="3" applyNumberFormat="1" applyFont="1" applyFill="1" applyBorder="1" applyAlignment="1">
      <alignment horizontal="center"/>
    </xf>
    <xf numFmtId="2" fontId="8" fillId="0" borderId="20" xfId="3" applyNumberFormat="1" applyFont="1" applyBorder="1" applyAlignment="1">
      <alignment horizontal="right"/>
    </xf>
    <xf numFmtId="2" fontId="8" fillId="0" borderId="13" xfId="3" applyNumberFormat="1" applyFont="1" applyBorder="1" applyAlignment="1">
      <alignment horizontal="right"/>
    </xf>
    <xf numFmtId="2" fontId="8" fillId="2" borderId="21" xfId="3" applyNumberFormat="1" applyFont="1" applyFill="1" applyBorder="1" applyAlignment="1">
      <alignment horizontal="right"/>
    </xf>
    <xf numFmtId="2" fontId="8" fillId="0" borderId="0" xfId="3" applyNumberFormat="1" applyFont="1" applyProtection="1">
      <protection locked="0"/>
    </xf>
    <xf numFmtId="0" fontId="8" fillId="0" borderId="1" xfId="3" applyFont="1" applyBorder="1"/>
    <xf numFmtId="0" fontId="2" fillId="0" borderId="16" xfId="0" applyFont="1" applyBorder="1" applyAlignment="1">
      <alignment horizontal="right" vertical="top" indent="1"/>
    </xf>
    <xf numFmtId="2" fontId="2" fillId="0" borderId="25" xfId="0" applyNumberFormat="1" applyFont="1" applyBorder="1" applyAlignment="1">
      <alignment horizontal="center" vertical="top" wrapText="1"/>
    </xf>
    <xf numFmtId="0" fontId="5" fillId="0" borderId="0" xfId="11"/>
    <xf numFmtId="2" fontId="2" fillId="0" borderId="10" xfId="0" applyNumberFormat="1" applyFont="1" applyBorder="1" applyAlignment="1">
      <alignment horizontal="center" vertical="top"/>
    </xf>
    <xf numFmtId="0" fontId="2" fillId="0" borderId="10" xfId="0" applyFont="1" applyBorder="1" applyAlignment="1">
      <alignment horizontal="center" vertical="top"/>
    </xf>
    <xf numFmtId="4" fontId="2" fillId="0" borderId="10" xfId="0" applyNumberFormat="1" applyFont="1" applyBorder="1" applyAlignment="1">
      <alignment horizontal="center" vertical="top"/>
    </xf>
    <xf numFmtId="0" fontId="5" fillId="0" borderId="0" xfId="0" applyFont="1"/>
    <xf numFmtId="4" fontId="2" fillId="0" borderId="11" xfId="0" applyNumberFormat="1" applyFont="1" applyBorder="1" applyAlignment="1">
      <alignment horizontal="center" vertical="top"/>
    </xf>
    <xf numFmtId="0" fontId="5" fillId="0" borderId="0" xfId="0" applyFont="1" applyAlignment="1">
      <alignment vertical="top"/>
    </xf>
    <xf numFmtId="2" fontId="5" fillId="0" borderId="25" xfId="0" applyNumberFormat="1" applyFont="1" applyBorder="1" applyAlignment="1">
      <alignment horizontal="center" vertical="top"/>
    </xf>
    <xf numFmtId="0" fontId="5" fillId="0" borderId="25" xfId="0" applyFont="1" applyBorder="1" applyAlignment="1">
      <alignment horizontal="left" vertical="top" indent="1"/>
    </xf>
    <xf numFmtId="0" fontId="5" fillId="0" borderId="25" xfId="0" applyFont="1" applyBorder="1" applyAlignment="1">
      <alignment horizontal="center" vertical="top"/>
    </xf>
    <xf numFmtId="4" fontId="5" fillId="0" borderId="25" xfId="0" applyNumberFormat="1" applyFont="1" applyBorder="1" applyAlignment="1">
      <alignment horizontal="right" vertical="top"/>
    </xf>
    <xf numFmtId="0" fontId="5" fillId="0" borderId="0" xfId="0" applyFont="1" applyAlignment="1">
      <alignment horizontal="left" vertical="top"/>
    </xf>
    <xf numFmtId="0" fontId="5" fillId="0" borderId="25" xfId="0" applyFont="1" applyBorder="1" applyAlignment="1">
      <alignment horizontal="left" vertical="top" wrapText="1" indent="1"/>
    </xf>
    <xf numFmtId="1" fontId="5" fillId="0" borderId="25" xfId="0" applyNumberFormat="1" applyFont="1" applyBorder="1" applyAlignment="1">
      <alignment horizontal="left" vertical="top" indent="1"/>
    </xf>
    <xf numFmtId="1" fontId="5" fillId="0" borderId="25" xfId="0" applyNumberFormat="1" applyFont="1" applyBorder="1" applyAlignment="1">
      <alignment horizontal="center" vertical="top"/>
    </xf>
    <xf numFmtId="0" fontId="5" fillId="0" borderId="0" xfId="0" applyFont="1" applyAlignment="1">
      <alignment horizontal="left"/>
    </xf>
    <xf numFmtId="0" fontId="2" fillId="0" borderId="25" xfId="0" applyFont="1" applyBorder="1" applyAlignment="1">
      <alignment horizontal="right" vertical="top" indent="1"/>
    </xf>
    <xf numFmtId="0" fontId="5" fillId="0" borderId="25" xfId="0" applyFont="1" applyBorder="1" applyAlignment="1">
      <alignment horizontal="right" vertical="top" indent="1"/>
    </xf>
    <xf numFmtId="2" fontId="5" fillId="0" borderId="11" xfId="0" applyNumberFormat="1" applyFont="1" applyBorder="1" applyAlignment="1">
      <alignment horizontal="center" vertical="top"/>
    </xf>
    <xf numFmtId="1" fontId="5" fillId="0" borderId="11" xfId="0" applyNumberFormat="1" applyFont="1" applyBorder="1" applyAlignment="1">
      <alignment horizontal="center" vertical="top"/>
    </xf>
    <xf numFmtId="4" fontId="5" fillId="0" borderId="11" xfId="0" applyNumberFormat="1" applyFont="1" applyBorder="1" applyAlignment="1">
      <alignment horizontal="right" vertical="top"/>
    </xf>
    <xf numFmtId="2" fontId="63" fillId="0" borderId="18" xfId="0" applyNumberFormat="1" applyFont="1" applyBorder="1" applyAlignment="1">
      <alignment horizontal="center" vertical="top"/>
    </xf>
    <xf numFmtId="0" fontId="5" fillId="17" borderId="18" xfId="0" applyFont="1" applyFill="1" applyBorder="1" applyAlignment="1">
      <alignment horizontal="center" vertical="top"/>
    </xf>
    <xf numFmtId="0" fontId="2" fillId="17" borderId="14" xfId="0" applyFont="1" applyFill="1" applyBorder="1" applyAlignment="1">
      <alignment horizontal="right" vertical="top"/>
    </xf>
    <xf numFmtId="4" fontId="2" fillId="0" borderId="3" xfId="0" applyNumberFormat="1" applyFont="1" applyBorder="1" applyAlignment="1">
      <alignment horizontal="right" vertical="top"/>
    </xf>
    <xf numFmtId="170" fontId="2" fillId="0" borderId="3" xfId="0" applyNumberFormat="1" applyFont="1" applyBorder="1" applyAlignment="1">
      <alignment horizontal="right" vertical="top"/>
    </xf>
    <xf numFmtId="1" fontId="5" fillId="0" borderId="11" xfId="0" applyNumberFormat="1" applyFont="1" applyBorder="1" applyAlignment="1">
      <alignment horizontal="left" vertical="top" indent="1"/>
    </xf>
    <xf numFmtId="2" fontId="63" fillId="0" borderId="0" xfId="0" applyNumberFormat="1" applyFont="1" applyAlignment="1">
      <alignment horizontal="center" vertical="top"/>
    </xf>
    <xf numFmtId="0" fontId="2" fillId="0" borderId="0" xfId="0" applyFont="1" applyAlignment="1">
      <alignment horizontal="left" vertical="top" indent="1"/>
    </xf>
    <xf numFmtId="0" fontId="5" fillId="0" borderId="0" xfId="0" applyFont="1" applyAlignment="1">
      <alignment horizontal="center" vertical="top"/>
    </xf>
    <xf numFmtId="0" fontId="2" fillId="0" borderId="0" xfId="0" applyFont="1" applyAlignment="1">
      <alignment horizontal="right" vertical="top"/>
    </xf>
    <xf numFmtId="2" fontId="5" fillId="0" borderId="0" xfId="0" applyNumberFormat="1" applyFont="1" applyAlignment="1">
      <alignment horizontal="center" vertical="top"/>
    </xf>
    <xf numFmtId="0" fontId="5" fillId="0" borderId="0" xfId="0" applyFont="1" applyAlignment="1">
      <alignment horizontal="left" vertical="top" indent="1"/>
    </xf>
    <xf numFmtId="4" fontId="5" fillId="0" borderId="0" xfId="0" applyNumberFormat="1" applyFont="1" applyAlignment="1">
      <alignment vertical="top"/>
    </xf>
    <xf numFmtId="4" fontId="2" fillId="0" borderId="0" xfId="0" applyNumberFormat="1" applyFont="1" applyAlignment="1">
      <alignment vertical="top"/>
    </xf>
    <xf numFmtId="0" fontId="2" fillId="0" borderId="23" xfId="0" applyFont="1" applyBorder="1" applyAlignment="1">
      <alignment horizontal="center" vertical="top"/>
    </xf>
    <xf numFmtId="0" fontId="2" fillId="0" borderId="24" xfId="0" applyFont="1" applyBorder="1" applyAlignment="1">
      <alignment horizontal="center" vertical="top"/>
    </xf>
    <xf numFmtId="2" fontId="149" fillId="0" borderId="11" xfId="0" applyNumberFormat="1" applyFont="1" applyBorder="1" applyAlignment="1">
      <alignment horizontal="center" vertical="top"/>
    </xf>
    <xf numFmtId="0" fontId="35" fillId="0" borderId="20" xfId="0" applyFont="1" applyBorder="1" applyAlignment="1">
      <alignment horizontal="left" vertical="top" indent="1"/>
    </xf>
    <xf numFmtId="0" fontId="2" fillId="0" borderId="47" xfId="0" applyFont="1" applyBorder="1" applyAlignment="1">
      <alignment horizontal="center" vertical="top"/>
    </xf>
    <xf numFmtId="0" fontId="5" fillId="0" borderId="11" xfId="0" applyFont="1" applyBorder="1" applyAlignment="1">
      <alignment horizontal="center" vertical="top"/>
    </xf>
    <xf numFmtId="0" fontId="5" fillId="0" borderId="48" xfId="0" applyFont="1" applyBorder="1" applyAlignment="1">
      <alignment horizontal="center" vertical="top"/>
    </xf>
    <xf numFmtId="0" fontId="28" fillId="0" borderId="21" xfId="0" applyFont="1" applyBorder="1" applyAlignment="1">
      <alignment horizontal="center" vertical="top"/>
    </xf>
    <xf numFmtId="0" fontId="5" fillId="0" borderId="17" xfId="0" applyFont="1" applyBorder="1" applyAlignment="1">
      <alignment horizontal="left" vertical="top" indent="1"/>
    </xf>
    <xf numFmtId="0" fontId="2" fillId="0" borderId="49" xfId="0" applyFont="1" applyBorder="1" applyAlignment="1">
      <alignment horizontal="center" vertical="top"/>
    </xf>
    <xf numFmtId="0" fontId="5" fillId="0" borderId="50" xfId="0" applyFont="1" applyBorder="1" applyAlignment="1">
      <alignment horizontal="center" vertical="top"/>
    </xf>
    <xf numFmtId="0" fontId="5" fillId="0" borderId="19" xfId="0" applyFont="1" applyBorder="1" applyAlignment="1">
      <alignment horizontal="center" vertical="top"/>
    </xf>
    <xf numFmtId="1" fontId="5" fillId="0" borderId="17" xfId="0" applyNumberFormat="1" applyFont="1" applyBorder="1" applyAlignment="1">
      <alignment horizontal="left" vertical="top" wrapText="1" indent="1"/>
    </xf>
    <xf numFmtId="0" fontId="5" fillId="0" borderId="17" xfId="0" applyFont="1" applyBorder="1" applyAlignment="1">
      <alignment horizontal="left" vertical="top" wrapText="1" indent="1"/>
    </xf>
    <xf numFmtId="0" fontId="2" fillId="0" borderId="49" xfId="0" applyFont="1" applyBorder="1" applyAlignment="1">
      <alignment horizontal="center" vertical="top" wrapText="1"/>
    </xf>
    <xf numFmtId="0" fontId="5" fillId="0" borderId="25" xfId="0" applyFont="1" applyBorder="1" applyAlignment="1">
      <alignment horizontal="center" vertical="top" wrapText="1"/>
    </xf>
    <xf numFmtId="0" fontId="5" fillId="0" borderId="50" xfId="0" applyFont="1" applyBorder="1" applyAlignment="1">
      <alignment horizontal="center" vertical="top" wrapText="1"/>
    </xf>
    <xf numFmtId="1" fontId="5" fillId="0" borderId="17" xfId="0" applyNumberFormat="1" applyFont="1" applyBorder="1" applyAlignment="1">
      <alignment horizontal="left" vertical="top" indent="1"/>
    </xf>
    <xf numFmtId="1" fontId="2" fillId="0" borderId="49" xfId="0" applyNumberFormat="1" applyFont="1" applyBorder="1" applyAlignment="1">
      <alignment horizontal="center" vertical="top"/>
    </xf>
    <xf numFmtId="1" fontId="5" fillId="0" borderId="50" xfId="0" applyNumberFormat="1" applyFont="1" applyBorder="1" applyAlignment="1">
      <alignment horizontal="center" vertical="top"/>
    </xf>
    <xf numFmtId="1" fontId="5" fillId="0" borderId="19" xfId="0" applyNumberFormat="1" applyFont="1" applyBorder="1" applyAlignment="1">
      <alignment horizontal="center" vertical="top"/>
    </xf>
    <xf numFmtId="1" fontId="2" fillId="0" borderId="17" xfId="0" applyNumberFormat="1" applyFont="1" applyBorder="1" applyAlignment="1">
      <alignment horizontal="left" vertical="top" wrapText="1" indent="1"/>
    </xf>
    <xf numFmtId="0" fontId="2" fillId="0" borderId="17" xfId="0" applyFont="1" applyBorder="1" applyAlignment="1">
      <alignment horizontal="left" vertical="top" wrapText="1" indent="1"/>
    </xf>
    <xf numFmtId="1" fontId="5" fillId="0" borderId="20" xfId="0" applyNumberFormat="1" applyFont="1" applyBorder="1" applyAlignment="1">
      <alignment horizontal="left" vertical="top" indent="1"/>
    </xf>
    <xf numFmtId="1" fontId="2" fillId="0" borderId="47" xfId="0" applyNumberFormat="1" applyFont="1" applyBorder="1" applyAlignment="1">
      <alignment horizontal="center" vertical="top"/>
    </xf>
    <xf numFmtId="1" fontId="5" fillId="0" borderId="48" xfId="0" applyNumberFormat="1" applyFont="1" applyBorder="1" applyAlignment="1">
      <alignment horizontal="center" vertical="top"/>
    </xf>
    <xf numFmtId="1" fontId="5" fillId="0" borderId="21" xfId="0" applyNumberFormat="1" applyFont="1" applyBorder="1" applyAlignment="1">
      <alignment horizontal="center" vertical="top"/>
    </xf>
    <xf numFmtId="0" fontId="2" fillId="0" borderId="14" xfId="0" applyFont="1" applyBorder="1" applyAlignment="1">
      <alignment horizontal="left" vertical="top" indent="1"/>
    </xf>
    <xf numFmtId="0" fontId="2" fillId="0" borderId="45" xfId="0" applyFont="1" applyBorder="1" applyAlignment="1">
      <alignment horizontal="center" vertical="top"/>
    </xf>
    <xf numFmtId="0" fontId="2" fillId="0" borderId="14" xfId="0" applyFont="1" applyBorder="1" applyAlignment="1">
      <alignment horizontal="center" vertical="top"/>
    </xf>
    <xf numFmtId="0" fontId="2" fillId="0" borderId="46" xfId="0" applyFont="1" applyBorder="1" applyAlignment="1">
      <alignment horizontal="right" vertical="top"/>
    </xf>
    <xf numFmtId="0" fontId="5" fillId="0" borderId="45" xfId="0" applyFont="1" applyBorder="1" applyAlignment="1">
      <alignment horizontal="center" vertical="top"/>
    </xf>
    <xf numFmtId="0" fontId="2" fillId="0" borderId="16" xfId="0" applyFont="1" applyBorder="1" applyAlignment="1">
      <alignment horizontal="right" vertical="top"/>
    </xf>
    <xf numFmtId="0" fontId="2" fillId="0" borderId="0" xfId="0" applyFont="1" applyAlignment="1">
      <alignment horizontal="center" vertical="top"/>
    </xf>
    <xf numFmtId="0" fontId="5" fillId="0" borderId="0" xfId="0" applyFont="1" applyProtection="1">
      <protection locked="0"/>
    </xf>
    <xf numFmtId="176" fontId="80" fillId="12" borderId="3" xfId="0" applyNumberFormat="1" applyFont="1" applyFill="1" applyBorder="1" applyAlignment="1" applyProtection="1">
      <alignment horizontal="center"/>
      <protection locked="0"/>
    </xf>
    <xf numFmtId="4" fontId="2" fillId="22" borderId="10" xfId="0" applyNumberFormat="1" applyFont="1" applyFill="1" applyBorder="1" applyAlignment="1">
      <alignment horizontal="center" vertical="top"/>
    </xf>
    <xf numFmtId="4" fontId="2" fillId="22" borderId="11" xfId="0" applyNumberFormat="1" applyFont="1" applyFill="1" applyBorder="1" applyAlignment="1">
      <alignment horizontal="center" vertical="top"/>
    </xf>
    <xf numFmtId="40" fontId="150" fillId="0" borderId="3" xfId="1" applyNumberFormat="1" applyFont="1" applyFill="1" applyBorder="1" applyAlignment="1" applyProtection="1">
      <alignment horizontal="right"/>
      <protection locked="0"/>
    </xf>
    <xf numFmtId="2" fontId="151" fillId="0" borderId="11" xfId="0" applyNumberFormat="1" applyFont="1" applyBorder="1" applyAlignment="1">
      <alignment horizontal="center" vertical="top"/>
    </xf>
    <xf numFmtId="4" fontId="2" fillId="0" borderId="10" xfId="11" applyNumberFormat="1" applyFont="1" applyBorder="1" applyAlignment="1">
      <alignment horizontal="center" vertical="top"/>
    </xf>
    <xf numFmtId="4" fontId="2" fillId="0" borderId="11" xfId="11" applyNumberFormat="1" applyFont="1" applyBorder="1" applyAlignment="1">
      <alignment horizontal="center" vertical="top"/>
    </xf>
    <xf numFmtId="4" fontId="5" fillId="0" borderId="25" xfId="11" applyNumberFormat="1" applyBorder="1" applyAlignment="1">
      <alignment horizontal="right" vertical="top"/>
    </xf>
    <xf numFmtId="177" fontId="2" fillId="0" borderId="3" xfId="11" applyNumberFormat="1" applyFont="1" applyBorder="1" applyAlignment="1">
      <alignment horizontal="right" vertical="top"/>
    </xf>
    <xf numFmtId="2" fontId="2" fillId="0" borderId="3" xfId="11" applyNumberFormat="1" applyFont="1" applyBorder="1" applyAlignment="1">
      <alignment horizontal="right" vertical="top"/>
    </xf>
    <xf numFmtId="0" fontId="75" fillId="0" borderId="0" xfId="0" applyFont="1"/>
    <xf numFmtId="165" fontId="154" fillId="0" borderId="3" xfId="11" applyNumberFormat="1" applyFont="1" applyBorder="1" applyAlignment="1">
      <alignment horizontal="center" vertical="center" wrapText="1"/>
    </xf>
    <xf numFmtId="0" fontId="154" fillId="0" borderId="3" xfId="11" applyFont="1" applyBorder="1" applyAlignment="1">
      <alignment horizontal="left" vertical="center" wrapText="1"/>
    </xf>
    <xf numFmtId="0" fontId="154" fillId="0" borderId="3" xfId="11" applyFont="1" applyBorder="1" applyAlignment="1">
      <alignment horizontal="center" vertical="center" wrapText="1"/>
    </xf>
    <xf numFmtId="4" fontId="154" fillId="0" borderId="3" xfId="11" applyNumberFormat="1" applyFont="1" applyBorder="1" applyAlignment="1" applyProtection="1">
      <alignment horizontal="center" vertical="center" wrapText="1"/>
      <protection locked="0"/>
    </xf>
    <xf numFmtId="43" fontId="154" fillId="0" borderId="3" xfId="11" applyNumberFormat="1" applyFont="1" applyBorder="1" applyAlignment="1">
      <alignment horizontal="center" vertical="center" wrapText="1"/>
    </xf>
    <xf numFmtId="0" fontId="154" fillId="0" borderId="3" xfId="13" applyFont="1" applyBorder="1" applyAlignment="1">
      <alignment horizontal="left" vertical="center" wrapText="1"/>
    </xf>
    <xf numFmtId="0" fontId="153" fillId="0" borderId="3" xfId="13" applyFont="1" applyBorder="1" applyAlignment="1">
      <alignment horizontal="center" vertical="center" wrapText="1"/>
    </xf>
    <xf numFmtId="4" fontId="153" fillId="0" borderId="18" xfId="13" applyNumberFormat="1" applyFont="1" applyBorder="1" applyAlignment="1" applyProtection="1">
      <alignment horizontal="center" vertical="center" wrapText="1"/>
      <protection locked="0"/>
    </xf>
    <xf numFmtId="0" fontId="153" fillId="0" borderId="3" xfId="14" applyFont="1" applyBorder="1" applyAlignment="1">
      <alignment horizontal="left" vertical="center" wrapText="1"/>
    </xf>
    <xf numFmtId="0" fontId="153" fillId="0" borderId="3" xfId="14" applyFont="1" applyBorder="1" applyAlignment="1">
      <alignment horizontal="center" vertical="center" wrapText="1"/>
    </xf>
    <xf numFmtId="0" fontId="153" fillId="0" borderId="3" xfId="14" applyFont="1" applyBorder="1" applyAlignment="1">
      <alignment vertical="center" wrapText="1"/>
    </xf>
    <xf numFmtId="0" fontId="153" fillId="0" borderId="3" xfId="16" applyFont="1" applyBorder="1" applyAlignment="1">
      <alignment vertical="center" wrapText="1"/>
    </xf>
    <xf numFmtId="0" fontId="153" fillId="0" borderId="3" xfId="14" applyFont="1" applyBorder="1" applyAlignment="1" applyProtection="1">
      <alignment vertical="center" wrapText="1"/>
      <protection locked="0"/>
    </xf>
    <xf numFmtId="0" fontId="153" fillId="0" borderId="3" xfId="14" applyFont="1" applyBorder="1" applyAlignment="1" applyProtection="1">
      <alignment horizontal="center" vertical="center" wrapText="1"/>
      <protection locked="0"/>
    </xf>
    <xf numFmtId="0" fontId="14" fillId="0" borderId="0" xfId="3" applyFont="1" applyAlignment="1">
      <alignment horizontal="center"/>
    </xf>
    <xf numFmtId="0" fontId="14" fillId="0" borderId="23" xfId="3" applyFont="1" applyBorder="1" applyAlignment="1">
      <alignment horizontal="right"/>
    </xf>
    <xf numFmtId="0" fontId="14" fillId="0" borderId="22" xfId="3" applyFont="1" applyBorder="1" applyAlignment="1">
      <alignment horizontal="right"/>
    </xf>
    <xf numFmtId="1" fontId="16" fillId="0" borderId="3" xfId="10" applyFont="1" applyBorder="1" applyAlignment="1" applyProtection="1">
      <alignment horizontal="center"/>
      <protection locked="0"/>
    </xf>
    <xf numFmtId="1" fontId="8" fillId="0" borderId="0" xfId="10" applyFont="1" applyAlignment="1" applyProtection="1">
      <alignment horizontal="center"/>
      <protection locked="0"/>
    </xf>
    <xf numFmtId="1" fontId="15" fillId="0" borderId="0" xfId="10" applyFont="1" applyAlignment="1" applyProtection="1">
      <alignment horizontal="left"/>
      <protection locked="0"/>
    </xf>
    <xf numFmtId="4" fontId="16" fillId="3" borderId="18" xfId="3" applyNumberFormat="1" applyFont="1" applyFill="1" applyBorder="1" applyAlignment="1">
      <alignment horizontal="right"/>
    </xf>
    <xf numFmtId="4" fontId="16" fillId="3" borderId="16" xfId="3" applyNumberFormat="1" applyFont="1" applyFill="1" applyBorder="1" applyAlignment="1">
      <alignment horizontal="right"/>
    </xf>
    <xf numFmtId="1" fontId="16" fillId="0" borderId="0" xfId="10" applyFont="1" applyAlignment="1" applyProtection="1">
      <alignment vertical="top"/>
      <protection locked="0"/>
    </xf>
    <xf numFmtId="1" fontId="16" fillId="0" borderId="0" xfId="10" applyFont="1" applyProtection="1">
      <protection locked="0"/>
    </xf>
    <xf numFmtId="2" fontId="16" fillId="0" borderId="0" xfId="10" applyNumberFormat="1" applyFont="1" applyProtection="1">
      <protection locked="0"/>
    </xf>
    <xf numFmtId="1" fontId="16" fillId="0" borderId="0" xfId="10" applyFont="1"/>
    <xf numFmtId="2" fontId="8" fillId="3" borderId="3" xfId="3" applyNumberFormat="1" applyFont="1" applyFill="1" applyBorder="1" applyAlignment="1">
      <alignment horizontal="center"/>
    </xf>
    <xf numFmtId="165" fontId="16" fillId="0" borderId="0" xfId="10" applyNumberFormat="1" applyFont="1" applyProtection="1">
      <protection locked="0"/>
    </xf>
    <xf numFmtId="1" fontId="8" fillId="0" borderId="0" xfId="10" applyFont="1" applyProtection="1">
      <protection locked="0"/>
    </xf>
    <xf numFmtId="2" fontId="8" fillId="13" borderId="0" xfId="10" applyNumberFormat="1" applyFont="1" applyFill="1"/>
    <xf numFmtId="2" fontId="8" fillId="18" borderId="0" xfId="10" applyNumberFormat="1" applyFont="1" applyFill="1"/>
    <xf numFmtId="1" fontId="8" fillId="0" borderId="8" xfId="10" applyFont="1" applyBorder="1" applyAlignment="1" applyProtection="1">
      <alignment horizontal="right"/>
      <protection locked="0"/>
    </xf>
    <xf numFmtId="2" fontId="8" fillId="0" borderId="9" xfId="10" applyNumberFormat="1" applyFont="1" applyBorder="1" applyAlignment="1" applyProtection="1">
      <alignment horizontal="left"/>
      <protection locked="0"/>
    </xf>
    <xf numFmtId="1" fontId="8" fillId="0" borderId="1" xfId="10" applyFont="1" applyBorder="1" applyProtection="1">
      <protection locked="0"/>
    </xf>
    <xf numFmtId="1" fontId="16" fillId="0" borderId="1" xfId="10" applyFont="1" applyBorder="1" applyProtection="1">
      <protection locked="0"/>
    </xf>
    <xf numFmtId="2" fontId="8" fillId="0" borderId="1" xfId="10" applyNumberFormat="1" applyFont="1" applyBorder="1" applyProtection="1">
      <protection locked="0"/>
    </xf>
    <xf numFmtId="1" fontId="8" fillId="0" borderId="1" xfId="10" applyFont="1" applyBorder="1"/>
    <xf numFmtId="165" fontId="8" fillId="0" borderId="1" xfId="10" applyNumberFormat="1" applyFont="1" applyBorder="1" applyProtection="1">
      <protection locked="0"/>
    </xf>
    <xf numFmtId="2" fontId="8" fillId="13" borderId="15" xfId="10" applyNumberFormat="1" applyFont="1" applyFill="1" applyBorder="1"/>
    <xf numFmtId="1" fontId="8" fillId="0" borderId="0" xfId="10" applyFont="1"/>
    <xf numFmtId="165" fontId="8" fillId="0" borderId="0" xfId="10" applyNumberFormat="1" applyFont="1" applyProtection="1">
      <protection locked="0"/>
    </xf>
    <xf numFmtId="1" fontId="8" fillId="0" borderId="0" xfId="3" applyNumberFormat="1" applyFont="1"/>
    <xf numFmtId="2" fontId="8" fillId="0" borderId="10" xfId="10" applyNumberFormat="1" applyFont="1" applyBorder="1" applyAlignment="1" applyProtection="1">
      <alignment horizontal="center"/>
      <protection locked="0"/>
    </xf>
    <xf numFmtId="1" fontId="16" fillId="0" borderId="0" xfId="10" applyFont="1" applyAlignment="1" applyProtection="1">
      <alignment horizontal="left"/>
      <protection locked="0"/>
    </xf>
    <xf numFmtId="171" fontId="14" fillId="0" borderId="0" xfId="3" applyNumberFormat="1" applyFont="1"/>
    <xf numFmtId="4" fontId="8" fillId="7" borderId="0" xfId="3" applyNumberFormat="1" applyFont="1" applyFill="1"/>
    <xf numFmtId="0" fontId="16" fillId="0" borderId="0" xfId="3" applyFont="1" applyAlignment="1">
      <alignment horizontal="right"/>
    </xf>
    <xf numFmtId="2" fontId="8" fillId="0" borderId="1" xfId="3" applyNumberFormat="1" applyFont="1" applyBorder="1"/>
    <xf numFmtId="0" fontId="19" fillId="0" borderId="1" xfId="3" applyFont="1" applyBorder="1" applyProtection="1">
      <protection locked="0"/>
    </xf>
    <xf numFmtId="0" fontId="156" fillId="0" borderId="0" xfId="17" applyFont="1" applyAlignment="1">
      <alignment horizontal="center" vertical="center"/>
    </xf>
    <xf numFmtId="0" fontId="157" fillId="0" borderId="0" xfId="17" applyFont="1" applyAlignment="1">
      <alignment vertical="center"/>
    </xf>
    <xf numFmtId="0" fontId="156" fillId="0" borderId="0" xfId="17" applyFont="1" applyAlignment="1" applyProtection="1">
      <alignment horizontal="center" vertical="center"/>
      <protection locked="0"/>
    </xf>
    <xf numFmtId="0" fontId="156" fillId="0" borderId="0" xfId="17" applyFont="1" applyAlignment="1">
      <alignment horizontal="right" vertical="center"/>
    </xf>
    <xf numFmtId="0" fontId="156" fillId="0" borderId="0" xfId="17" applyFont="1" applyAlignment="1">
      <alignment vertical="center"/>
    </xf>
    <xf numFmtId="0" fontId="153" fillId="0" borderId="0" xfId="17" applyFont="1" applyAlignment="1">
      <alignment horizontal="center" vertical="center"/>
    </xf>
    <xf numFmtId="0" fontId="154" fillId="0" borderId="0" xfId="17" applyFont="1" applyAlignment="1">
      <alignment vertical="center"/>
    </xf>
    <xf numFmtId="4" fontId="153" fillId="0" borderId="0" xfId="17" applyNumberFormat="1" applyFont="1" applyAlignment="1" applyProtection="1">
      <alignment horizontal="center" vertical="center"/>
      <protection locked="0"/>
    </xf>
    <xf numFmtId="0" fontId="153" fillId="0" borderId="0" xfId="17" applyFont="1" applyAlignment="1">
      <alignment horizontal="right" vertical="center"/>
    </xf>
    <xf numFmtId="0" fontId="153" fillId="0" borderId="0" xfId="17" applyFont="1" applyAlignment="1">
      <alignment vertical="center"/>
    </xf>
    <xf numFmtId="0" fontId="153" fillId="0" borderId="0" xfId="17" applyFont="1" applyAlignment="1">
      <alignment horizontal="left" vertical="center" wrapText="1"/>
    </xf>
    <xf numFmtId="0" fontId="153" fillId="0" borderId="0" xfId="17" applyFont="1" applyAlignment="1" applyProtection="1">
      <alignment horizontal="center" vertical="center"/>
      <protection locked="0"/>
    </xf>
    <xf numFmtId="165" fontId="154" fillId="0" borderId="3" xfId="17" applyNumberFormat="1" applyFont="1" applyBorder="1" applyAlignment="1">
      <alignment horizontal="center" vertical="center" wrapText="1"/>
    </xf>
    <xf numFmtId="0" fontId="154" fillId="0" borderId="3" xfId="17" applyFont="1" applyBorder="1" applyAlignment="1">
      <alignment horizontal="left" vertical="center" wrapText="1"/>
    </xf>
    <xf numFmtId="0" fontId="154" fillId="0" borderId="3" xfId="17" applyFont="1" applyBorder="1" applyAlignment="1">
      <alignment horizontal="center" vertical="center" wrapText="1"/>
    </xf>
    <xf numFmtId="4" fontId="154" fillId="0" borderId="3" xfId="17" applyNumberFormat="1" applyFont="1" applyBorder="1" applyAlignment="1" applyProtection="1">
      <alignment horizontal="center" vertical="center" wrapText="1"/>
      <protection locked="0"/>
    </xf>
    <xf numFmtId="43" fontId="154" fillId="0" borderId="3" xfId="17" applyNumberFormat="1" applyFont="1" applyBorder="1" applyAlignment="1">
      <alignment horizontal="right" vertical="center" wrapText="1"/>
    </xf>
    <xf numFmtId="165" fontId="153" fillId="0" borderId="3" xfId="17" applyNumberFormat="1" applyFont="1" applyBorder="1" applyAlignment="1">
      <alignment horizontal="center" vertical="center" wrapText="1"/>
    </xf>
    <xf numFmtId="0" fontId="155" fillId="0" borderId="3" xfId="17" applyFont="1" applyBorder="1" applyAlignment="1">
      <alignment horizontal="left" vertical="center" wrapText="1"/>
    </xf>
    <xf numFmtId="1" fontId="153" fillId="0" borderId="3" xfId="17" applyNumberFormat="1" applyFont="1" applyBorder="1" applyAlignment="1">
      <alignment horizontal="center" vertical="center" wrapText="1"/>
    </xf>
    <xf numFmtId="0" fontId="153" fillId="0" borderId="3" xfId="17" applyFont="1" applyBorder="1" applyAlignment="1">
      <alignment horizontal="center" vertical="center" wrapText="1"/>
    </xf>
    <xf numFmtId="0" fontId="153" fillId="0" borderId="3" xfId="17" applyFont="1" applyBorder="1" applyAlignment="1" applyProtection="1">
      <alignment horizontal="center" vertical="center" wrapText="1"/>
      <protection locked="0"/>
    </xf>
    <xf numFmtId="43" fontId="153" fillId="0" borderId="3" xfId="17" applyNumberFormat="1" applyFont="1" applyBorder="1" applyAlignment="1">
      <alignment horizontal="right" vertical="center" wrapText="1"/>
    </xf>
    <xf numFmtId="0" fontId="153" fillId="0" borderId="3" xfId="17" applyFont="1" applyBorder="1" applyAlignment="1">
      <alignment vertical="center" wrapText="1"/>
    </xf>
    <xf numFmtId="4" fontId="153" fillId="0" borderId="3" xfId="17" applyNumberFormat="1" applyFont="1" applyBorder="1" applyAlignment="1" applyProtection="1">
      <alignment horizontal="center" vertical="center" wrapText="1"/>
      <protection locked="0"/>
    </xf>
    <xf numFmtId="43" fontId="153" fillId="0" borderId="3" xfId="17" applyNumberFormat="1" applyFont="1" applyBorder="1" applyAlignment="1">
      <alignment horizontal="right" vertical="center"/>
    </xf>
    <xf numFmtId="0" fontId="153" fillId="0" borderId="3" xfId="17" applyFont="1" applyBorder="1" applyAlignment="1">
      <alignment horizontal="left" vertical="center" wrapText="1"/>
    </xf>
    <xf numFmtId="0" fontId="154" fillId="0" borderId="3" xfId="17" applyFont="1" applyBorder="1" applyAlignment="1" applyProtection="1">
      <alignment horizontal="center" vertical="center" wrapText="1"/>
      <protection locked="0"/>
    </xf>
    <xf numFmtId="165" fontId="153" fillId="0" borderId="0" xfId="17" applyNumberFormat="1" applyFont="1" applyAlignment="1">
      <alignment horizontal="center" vertical="center" wrapText="1"/>
    </xf>
    <xf numFmtId="0" fontId="153" fillId="0" borderId="0" xfId="17" applyFont="1" applyAlignment="1">
      <alignment horizontal="center" vertical="center" wrapText="1"/>
    </xf>
    <xf numFmtId="4" fontId="153" fillId="0" borderId="0" xfId="17" applyNumberFormat="1" applyFont="1" applyAlignment="1" applyProtection="1">
      <alignment horizontal="center" vertical="center" wrapText="1"/>
      <protection locked="0"/>
    </xf>
    <xf numFmtId="43" fontId="153" fillId="0" borderId="0" xfId="17" applyNumberFormat="1" applyFont="1" applyAlignment="1">
      <alignment horizontal="right" vertical="center" wrapText="1"/>
    </xf>
    <xf numFmtId="0" fontId="153" fillId="0" borderId="3" xfId="17" applyFont="1" applyBorder="1" applyAlignment="1">
      <alignment horizontal="justify" vertical="center" wrapText="1"/>
    </xf>
    <xf numFmtId="0" fontId="159" fillId="0" borderId="0" xfId="17" applyFont="1" applyAlignment="1">
      <alignment vertical="center"/>
    </xf>
    <xf numFmtId="0" fontId="154" fillId="0" borderId="16" xfId="17" applyFont="1" applyBorder="1" applyAlignment="1" applyProtection="1">
      <alignment horizontal="center" vertical="center" wrapText="1"/>
      <protection locked="0"/>
    </xf>
    <xf numFmtId="165" fontId="154" fillId="0" borderId="0" xfId="17" applyNumberFormat="1" applyFont="1" applyAlignment="1">
      <alignment horizontal="center" vertical="center" wrapText="1"/>
    </xf>
    <xf numFmtId="0" fontId="154" fillId="0" borderId="0" xfId="17" applyFont="1" applyAlignment="1">
      <alignment horizontal="left" vertical="center" wrapText="1"/>
    </xf>
    <xf numFmtId="0" fontId="154" fillId="0" borderId="0" xfId="17" applyFont="1" applyAlignment="1">
      <alignment horizontal="center" vertical="center" wrapText="1"/>
    </xf>
    <xf numFmtId="0" fontId="154" fillId="0" borderId="0" xfId="17" applyFont="1" applyAlignment="1" applyProtection="1">
      <alignment horizontal="center" vertical="center" wrapText="1"/>
      <protection locked="0"/>
    </xf>
    <xf numFmtId="43" fontId="154" fillId="0" borderId="0" xfId="17" applyNumberFormat="1" applyFont="1" applyAlignment="1">
      <alignment horizontal="right" vertical="center" wrapText="1"/>
    </xf>
    <xf numFmtId="0" fontId="154" fillId="0" borderId="3" xfId="17" applyFont="1" applyBorder="1" applyAlignment="1">
      <alignment vertical="center" wrapText="1"/>
    </xf>
    <xf numFmtId="2" fontId="155" fillId="0" borderId="3" xfId="17" applyNumberFormat="1" applyFont="1" applyBorder="1" applyAlignment="1">
      <alignment horizontal="center" vertical="center" wrapText="1"/>
    </xf>
    <xf numFmtId="0" fontId="155" fillId="0" borderId="3" xfId="17" applyFont="1" applyBorder="1" applyAlignment="1">
      <alignment vertical="center" wrapText="1"/>
    </xf>
    <xf numFmtId="0" fontId="155" fillId="0" borderId="3" xfId="17" applyFont="1" applyBorder="1" applyAlignment="1">
      <alignment horizontal="center" vertical="center" wrapText="1"/>
    </xf>
    <xf numFmtId="4" fontId="155" fillId="0" borderId="3" xfId="17" applyNumberFormat="1" applyFont="1" applyBorder="1" applyAlignment="1" applyProtection="1">
      <alignment horizontal="center" vertical="center" wrapText="1"/>
      <protection locked="0"/>
    </xf>
    <xf numFmtId="4" fontId="155" fillId="0" borderId="3" xfId="17" applyNumberFormat="1" applyFont="1" applyBorder="1" applyAlignment="1">
      <alignment horizontal="right" vertical="center" wrapText="1"/>
    </xf>
    <xf numFmtId="165" fontId="153" fillId="0" borderId="3" xfId="17" applyNumberFormat="1" applyFont="1" applyBorder="1" applyAlignment="1" applyProtection="1">
      <alignment horizontal="center" vertical="center"/>
      <protection hidden="1"/>
    </xf>
    <xf numFmtId="0" fontId="153" fillId="22" borderId="3" xfId="17" applyFont="1" applyFill="1" applyBorder="1" applyAlignment="1">
      <alignment vertical="center" wrapText="1"/>
    </xf>
    <xf numFmtId="0" fontId="160" fillId="0" borderId="3" xfId="17" applyFont="1" applyBorder="1" applyAlignment="1">
      <alignment vertical="center" wrapText="1"/>
    </xf>
    <xf numFmtId="165" fontId="153" fillId="0" borderId="3" xfId="17" applyNumberFormat="1" applyFont="1" applyBorder="1" applyAlignment="1">
      <alignment horizontal="center" vertical="center"/>
    </xf>
    <xf numFmtId="3" fontId="153" fillId="0" borderId="3" xfId="17" applyNumberFormat="1" applyFont="1" applyBorder="1" applyAlignment="1">
      <alignment horizontal="center" vertical="center" wrapText="1"/>
    </xf>
    <xf numFmtId="4" fontId="153" fillId="0" borderId="3" xfId="17" applyNumberFormat="1" applyFont="1" applyBorder="1" applyAlignment="1">
      <alignment horizontal="center" vertical="center" wrapText="1"/>
    </xf>
    <xf numFmtId="43" fontId="153" fillId="0" borderId="3" xfId="17" applyNumberFormat="1" applyFont="1" applyBorder="1" applyAlignment="1" applyProtection="1">
      <alignment horizontal="center" vertical="center" wrapText="1"/>
      <protection locked="0"/>
    </xf>
    <xf numFmtId="165" fontId="154" fillId="0" borderId="3" xfId="17" applyNumberFormat="1" applyFont="1" applyBorder="1" applyAlignment="1" applyProtection="1">
      <alignment horizontal="center" vertical="center"/>
      <protection hidden="1"/>
    </xf>
    <xf numFmtId="43" fontId="154" fillId="0" borderId="3" xfId="17" applyNumberFormat="1" applyFont="1" applyBorder="1" applyAlignment="1">
      <alignment horizontal="right" vertical="center"/>
    </xf>
    <xf numFmtId="165" fontId="153" fillId="0" borderId="0" xfId="17" applyNumberFormat="1" applyFont="1" applyAlignment="1">
      <alignment horizontal="center" vertical="center"/>
    </xf>
    <xf numFmtId="165" fontId="157" fillId="0" borderId="0" xfId="17" applyNumberFormat="1" applyFont="1" applyAlignment="1">
      <alignment horizontal="center" vertical="center" wrapText="1"/>
    </xf>
    <xf numFmtId="0" fontId="157" fillId="0" borderId="0" xfId="17" applyFont="1" applyAlignment="1">
      <alignment horizontal="left" vertical="center" wrapText="1"/>
    </xf>
    <xf numFmtId="0" fontId="157" fillId="0" borderId="0" xfId="17" applyFont="1" applyAlignment="1">
      <alignment horizontal="center" vertical="center" wrapText="1"/>
    </xf>
    <xf numFmtId="0" fontId="156" fillId="0" borderId="0" xfId="17" applyFont="1" applyAlignment="1">
      <alignment horizontal="center" vertical="center" wrapText="1"/>
    </xf>
    <xf numFmtId="0" fontId="157" fillId="0" borderId="0" xfId="17" applyFont="1" applyAlignment="1" applyProtection="1">
      <alignment horizontal="center" vertical="center" wrapText="1"/>
      <protection locked="0"/>
    </xf>
    <xf numFmtId="43" fontId="157" fillId="0" borderId="0" xfId="17" applyNumberFormat="1" applyFont="1" applyAlignment="1">
      <alignment horizontal="right" vertical="center" wrapText="1"/>
    </xf>
    <xf numFmtId="0" fontId="153" fillId="22" borderId="3" xfId="14" applyFont="1" applyFill="1" applyBorder="1" applyAlignment="1">
      <alignment horizontal="left" vertical="center" wrapText="1"/>
    </xf>
    <xf numFmtId="0" fontId="155" fillId="0" borderId="3" xfId="17" applyFont="1" applyBorder="1" applyAlignment="1" applyProtection="1">
      <alignment horizontal="left" vertical="center" wrapText="1"/>
      <protection hidden="1"/>
    </xf>
    <xf numFmtId="165" fontId="153" fillId="0" borderId="11" xfId="17" applyNumberFormat="1" applyFont="1" applyBorder="1" applyAlignment="1">
      <alignment horizontal="center" vertical="center" wrapText="1"/>
    </xf>
    <xf numFmtId="0" fontId="153" fillId="0" borderId="11" xfId="17" applyFont="1" applyBorder="1" applyAlignment="1">
      <alignment horizontal="center" vertical="center" wrapText="1"/>
    </xf>
    <xf numFmtId="4" fontId="153" fillId="0" borderId="11" xfId="17" applyNumberFormat="1" applyFont="1" applyBorder="1" applyAlignment="1" applyProtection="1">
      <alignment horizontal="center" vertical="center" wrapText="1"/>
      <protection locked="0"/>
    </xf>
    <xf numFmtId="43" fontId="153" fillId="0" borderId="11" xfId="17" applyNumberFormat="1" applyFont="1" applyBorder="1" applyAlignment="1">
      <alignment horizontal="right" vertical="center"/>
    </xf>
    <xf numFmtId="0" fontId="153" fillId="0" borderId="16" xfId="17" applyFont="1" applyBorder="1" applyAlignment="1">
      <alignment vertical="center" wrapText="1"/>
    </xf>
    <xf numFmtId="0" fontId="153" fillId="22" borderId="0" xfId="17" applyFont="1" applyFill="1" applyAlignment="1">
      <alignment vertical="center"/>
    </xf>
    <xf numFmtId="0" fontId="155" fillId="0" borderId="21" xfId="17" applyFont="1" applyBorder="1" applyAlignment="1">
      <alignment vertical="center" wrapText="1"/>
    </xf>
    <xf numFmtId="0" fontId="153" fillId="22" borderId="16" xfId="17" applyFont="1" applyFill="1" applyBorder="1" applyAlignment="1">
      <alignment vertical="top" wrapText="1"/>
    </xf>
    <xf numFmtId="0" fontId="153" fillId="0" borderId="0" xfId="17" applyFont="1"/>
    <xf numFmtId="43" fontId="154" fillId="0" borderId="3" xfId="17" applyNumberFormat="1" applyFont="1" applyBorder="1" applyAlignment="1">
      <alignment horizontal="center" vertical="center" wrapText="1"/>
    </xf>
    <xf numFmtId="43" fontId="153" fillId="0" borderId="3" xfId="17" applyNumberFormat="1" applyFont="1" applyBorder="1" applyAlignment="1">
      <alignment horizontal="center" vertical="center"/>
    </xf>
    <xf numFmtId="0" fontId="158" fillId="0" borderId="3" xfId="17" applyFont="1" applyBorder="1" applyAlignment="1">
      <alignment vertical="center" wrapText="1"/>
    </xf>
    <xf numFmtId="178" fontId="153" fillId="0" borderId="3" xfId="17" applyNumberFormat="1" applyFont="1" applyBorder="1" applyAlignment="1">
      <alignment horizontal="right" vertical="center"/>
    </xf>
    <xf numFmtId="0" fontId="154" fillId="0" borderId="18" xfId="17" applyFont="1" applyBorder="1" applyAlignment="1">
      <alignment horizontal="center" vertical="center" wrapText="1"/>
    </xf>
    <xf numFmtId="4" fontId="154" fillId="0" borderId="16" xfId="17" applyNumberFormat="1" applyFont="1" applyBorder="1" applyAlignment="1" applyProtection="1">
      <alignment horizontal="center" vertical="center" wrapText="1"/>
      <protection locked="0"/>
    </xf>
    <xf numFmtId="178" fontId="154" fillId="0" borderId="3" xfId="17" applyNumberFormat="1" applyFont="1" applyBorder="1" applyAlignment="1">
      <alignment horizontal="right" vertical="center" wrapText="1"/>
    </xf>
    <xf numFmtId="4" fontId="153" fillId="0" borderId="0" xfId="17" applyNumberFormat="1" applyFont="1" applyAlignment="1">
      <alignment horizontal="right" vertical="center"/>
    </xf>
    <xf numFmtId="0" fontId="154" fillId="0" borderId="14" xfId="17" applyFont="1" applyBorder="1" applyAlignment="1">
      <alignment horizontal="left" vertical="center" wrapText="1"/>
    </xf>
    <xf numFmtId="0" fontId="154" fillId="0" borderId="0" xfId="17" applyFont="1" applyAlignment="1">
      <alignment vertical="center" wrapText="1"/>
    </xf>
    <xf numFmtId="2" fontId="154" fillId="0" borderId="0" xfId="17" applyNumberFormat="1" applyFont="1" applyAlignment="1">
      <alignment horizontal="left" vertical="center" wrapText="1"/>
    </xf>
    <xf numFmtId="4" fontId="154" fillId="0" borderId="0" xfId="17" applyNumberFormat="1" applyFont="1" applyAlignment="1" applyProtection="1">
      <alignment horizontal="center" vertical="center" wrapText="1"/>
      <protection locked="0"/>
    </xf>
    <xf numFmtId="178" fontId="154" fillId="0" borderId="0" xfId="17" applyNumberFormat="1" applyFont="1" applyAlignment="1">
      <alignment horizontal="right" vertical="center" wrapText="1"/>
    </xf>
    <xf numFmtId="0" fontId="154" fillId="0" borderId="3" xfId="15" applyFont="1" applyBorder="1" applyAlignment="1">
      <alignment vertical="center" wrapText="1" shrinkToFit="1"/>
    </xf>
    <xf numFmtId="43" fontId="154" fillId="0" borderId="0" xfId="17" applyNumberFormat="1" applyFont="1" applyAlignment="1" applyProtection="1">
      <alignment vertical="center" wrapText="1"/>
      <protection locked="0"/>
    </xf>
    <xf numFmtId="0" fontId="153" fillId="0" borderId="3" xfId="17" applyFont="1" applyBorder="1" applyAlignment="1">
      <alignment horizontal="center" vertical="center"/>
    </xf>
    <xf numFmtId="4" fontId="153" fillId="0" borderId="3" xfId="17" applyNumberFormat="1" applyFont="1" applyBorder="1" applyAlignment="1" applyProtection="1">
      <alignment horizontal="center" vertical="center"/>
      <protection locked="0"/>
    </xf>
    <xf numFmtId="43" fontId="154" fillId="0" borderId="0" xfId="17" applyNumberFormat="1" applyFont="1" applyAlignment="1">
      <alignment vertical="center" wrapText="1"/>
    </xf>
    <xf numFmtId="0" fontId="153" fillId="0" borderId="3" xfId="17" applyFont="1" applyBorder="1" applyAlignment="1" applyProtection="1">
      <alignment horizontal="center" vertical="center"/>
      <protection locked="0"/>
    </xf>
    <xf numFmtId="0" fontId="153" fillId="0" borderId="3" xfId="17" applyFont="1" applyBorder="1" applyAlignment="1" applyProtection="1">
      <alignment horizontal="left" vertical="center" wrapText="1"/>
      <protection locked="0"/>
    </xf>
    <xf numFmtId="165" fontId="153" fillId="23" borderId="3" xfId="17" applyNumberFormat="1" applyFont="1" applyFill="1" applyBorder="1" applyAlignment="1">
      <alignment horizontal="center" vertical="center"/>
    </xf>
    <xf numFmtId="0" fontId="154" fillId="23" borderId="3" xfId="17" applyFont="1" applyFill="1" applyBorder="1" applyAlignment="1">
      <alignment horizontal="left" vertical="center" wrapText="1"/>
    </xf>
    <xf numFmtId="0" fontId="154" fillId="23" borderId="18" xfId="17" applyFont="1" applyFill="1" applyBorder="1" applyAlignment="1">
      <alignment horizontal="center" vertical="center" wrapText="1"/>
    </xf>
    <xf numFmtId="0" fontId="154" fillId="23" borderId="16" xfId="17" applyFont="1" applyFill="1" applyBorder="1" applyAlignment="1">
      <alignment horizontal="center" vertical="center" wrapText="1"/>
    </xf>
    <xf numFmtId="0" fontId="154" fillId="23" borderId="3" xfId="17" applyFont="1" applyFill="1" applyBorder="1" applyAlignment="1">
      <alignment horizontal="center" vertical="center" wrapText="1"/>
    </xf>
    <xf numFmtId="43" fontId="154" fillId="23" borderId="3" xfId="17" applyNumberFormat="1" applyFont="1" applyFill="1" applyBorder="1" applyAlignment="1">
      <alignment horizontal="center" vertical="center" wrapText="1"/>
    </xf>
    <xf numFmtId="4" fontId="154" fillId="0" borderId="0" xfId="17" applyNumberFormat="1" applyFont="1" applyAlignment="1">
      <alignment horizontal="right" vertical="center" wrapText="1"/>
    </xf>
    <xf numFmtId="165" fontId="153" fillId="0" borderId="18" xfId="17" applyNumberFormat="1" applyFont="1" applyBorder="1" applyAlignment="1">
      <alignment horizontal="center" vertical="center"/>
    </xf>
    <xf numFmtId="0" fontId="154" fillId="0" borderId="14" xfId="17" applyFont="1" applyBorder="1" applyAlignment="1">
      <alignment horizontal="center" vertical="center" wrapText="1"/>
    </xf>
    <xf numFmtId="0" fontId="154" fillId="0" borderId="16" xfId="17" applyFont="1" applyBorder="1" applyAlignment="1">
      <alignment horizontal="center" vertical="center" wrapText="1"/>
    </xf>
    <xf numFmtId="4" fontId="154" fillId="0" borderId="3" xfId="17" applyNumberFormat="1" applyFont="1" applyBorder="1" applyAlignment="1">
      <alignment horizontal="center" vertical="center" wrapText="1"/>
    </xf>
    <xf numFmtId="165" fontId="153" fillId="0" borderId="10" xfId="17" applyNumberFormat="1" applyFont="1" applyBorder="1" applyAlignment="1">
      <alignment horizontal="center" vertical="center"/>
    </xf>
    <xf numFmtId="165" fontId="153" fillId="0" borderId="25" xfId="17" applyNumberFormat="1" applyFont="1" applyBorder="1" applyAlignment="1">
      <alignment horizontal="center" vertical="center"/>
    </xf>
    <xf numFmtId="43" fontId="153" fillId="0" borderId="0" xfId="17" applyNumberFormat="1" applyFont="1" applyAlignment="1" applyProtection="1">
      <alignment horizontal="center" vertical="center"/>
      <protection locked="0"/>
    </xf>
    <xf numFmtId="43" fontId="153" fillId="23" borderId="44" xfId="17" applyNumberFormat="1" applyFont="1" applyFill="1" applyBorder="1" applyAlignment="1">
      <alignment horizontal="center" vertical="center"/>
    </xf>
    <xf numFmtId="0" fontId="154" fillId="23" borderId="43" xfId="17" applyFont="1" applyFill="1" applyBorder="1" applyAlignment="1">
      <alignment horizontal="left" vertical="center" wrapText="1"/>
    </xf>
    <xf numFmtId="43" fontId="153" fillId="23" borderId="52" xfId="17" applyNumberFormat="1" applyFont="1" applyFill="1" applyBorder="1" applyAlignment="1">
      <alignment horizontal="center" vertical="center"/>
    </xf>
    <xf numFmtId="43" fontId="154" fillId="23" borderId="51" xfId="17" applyNumberFormat="1" applyFont="1" applyFill="1" applyBorder="1" applyAlignment="1">
      <alignment horizontal="right" vertical="center" wrapText="1"/>
    </xf>
    <xf numFmtId="165" fontId="156" fillId="0" borderId="0" xfId="17" applyNumberFormat="1" applyFont="1" applyAlignment="1">
      <alignment horizontal="center" vertical="center"/>
    </xf>
    <xf numFmtId="0" fontId="8" fillId="0" borderId="0" xfId="3" applyFont="1" applyAlignment="1" applyProtection="1">
      <alignment horizontal="center"/>
      <protection locked="0"/>
    </xf>
    <xf numFmtId="4" fontId="161" fillId="2" borderId="18" xfId="10" applyNumberFormat="1" applyFont="1" applyFill="1" applyBorder="1" applyAlignment="1">
      <alignment horizontal="right"/>
    </xf>
    <xf numFmtId="4" fontId="161" fillId="2" borderId="16" xfId="10" applyNumberFormat="1" applyFont="1" applyFill="1" applyBorder="1" applyAlignment="1">
      <alignment horizontal="right"/>
    </xf>
    <xf numFmtId="0" fontId="2" fillId="0" borderId="0" xfId="3" applyFont="1"/>
    <xf numFmtId="1" fontId="16" fillId="0" borderId="0" xfId="10" applyFont="1" applyAlignment="1">
      <alignment horizontal="center"/>
    </xf>
    <xf numFmtId="2" fontId="162" fillId="2" borderId="3" xfId="10" applyNumberFormat="1" applyFont="1" applyFill="1" applyBorder="1" applyAlignment="1">
      <alignment horizontal="center"/>
    </xf>
    <xf numFmtId="2" fontId="14" fillId="2" borderId="3" xfId="3" applyNumberFormat="1" applyFont="1" applyFill="1" applyBorder="1" applyAlignment="1" applyProtection="1">
      <alignment horizontal="center"/>
      <protection locked="0"/>
    </xf>
    <xf numFmtId="2" fontId="16" fillId="2" borderId="3" xfId="3" applyNumberFormat="1" applyFont="1" applyFill="1" applyBorder="1" applyAlignment="1" applyProtection="1">
      <alignment horizontal="center"/>
      <protection locked="0"/>
    </xf>
    <xf numFmtId="1" fontId="23" fillId="0" borderId="22" xfId="10" applyFont="1" applyBorder="1" applyAlignment="1" applyProtection="1">
      <alignment vertical="center"/>
      <protection locked="0"/>
    </xf>
    <xf numFmtId="1" fontId="23" fillId="0" borderId="22" xfId="10" applyFont="1" applyBorder="1" applyAlignment="1" applyProtection="1">
      <alignment horizontal="centerContinuous" vertical="center"/>
      <protection locked="0"/>
    </xf>
    <xf numFmtId="1" fontId="15" fillId="0" borderId="0" xfId="10" applyFont="1" applyAlignment="1" applyProtection="1">
      <alignment horizontal="left" vertical="top"/>
      <protection locked="0"/>
    </xf>
    <xf numFmtId="1" fontId="16" fillId="0" borderId="0" xfId="10" applyFont="1" applyAlignment="1" applyProtection="1">
      <alignment horizontal="center"/>
      <protection locked="0"/>
    </xf>
    <xf numFmtId="1" fontId="23" fillId="0" borderId="0" xfId="10" applyFont="1" applyAlignment="1" applyProtection="1">
      <alignment vertical="center"/>
      <protection locked="0"/>
    </xf>
    <xf numFmtId="1" fontId="23" fillId="0" borderId="0" xfId="10" applyFont="1" applyAlignment="1" applyProtection="1">
      <alignment horizontal="centerContinuous" vertical="center"/>
      <protection locked="0"/>
    </xf>
    <xf numFmtId="2" fontId="163" fillId="0" borderId="53" xfId="3" applyNumberFormat="1" applyFont="1" applyBorder="1" applyAlignment="1">
      <alignment horizontal="right"/>
    </xf>
    <xf numFmtId="2" fontId="164" fillId="0" borderId="0" xfId="3" applyNumberFormat="1" applyFont="1" applyAlignment="1">
      <alignment horizontal="left"/>
    </xf>
    <xf numFmtId="1" fontId="8" fillId="0" borderId="54" xfId="10" applyFont="1" applyBorder="1" applyProtection="1">
      <protection locked="0"/>
    </xf>
    <xf numFmtId="2" fontId="8" fillId="0" borderId="54" xfId="10" applyNumberFormat="1" applyFont="1" applyBorder="1" applyProtection="1">
      <protection locked="0"/>
    </xf>
    <xf numFmtId="1" fontId="16" fillId="0" borderId="54" xfId="10" applyFont="1" applyBorder="1" applyAlignment="1">
      <alignment horizontal="center"/>
    </xf>
    <xf numFmtId="1" fontId="16" fillId="0" borderId="54" xfId="10" applyFont="1" applyBorder="1"/>
    <xf numFmtId="2" fontId="8" fillId="0" borderId="55" xfId="10" applyNumberFormat="1" applyFont="1" applyBorder="1" applyProtection="1">
      <protection locked="0"/>
    </xf>
    <xf numFmtId="2" fontId="8" fillId="0" borderId="55" xfId="3" applyNumberFormat="1" applyFont="1" applyBorder="1"/>
    <xf numFmtId="2" fontId="8" fillId="0" borderId="55" xfId="10" applyNumberFormat="1" applyFont="1" applyBorder="1"/>
    <xf numFmtId="0" fontId="8" fillId="24" borderId="18" xfId="3" applyFont="1" applyFill="1" applyBorder="1" applyProtection="1">
      <protection locked="0"/>
    </xf>
    <xf numFmtId="4" fontId="27" fillId="3" borderId="18" xfId="3" applyNumberFormat="1" applyFont="1" applyFill="1" applyBorder="1" applyAlignment="1">
      <alignment horizontal="right"/>
    </xf>
    <xf numFmtId="4" fontId="27" fillId="3" borderId="14" xfId="3" applyNumberFormat="1" applyFont="1" applyFill="1" applyBorder="1" applyAlignment="1">
      <alignment horizontal="right"/>
    </xf>
    <xf numFmtId="4" fontId="27" fillId="3" borderId="16" xfId="3" applyNumberFormat="1" applyFont="1" applyFill="1" applyBorder="1" applyAlignment="1">
      <alignment horizontal="right"/>
    </xf>
    <xf numFmtId="1" fontId="8" fillId="0" borderId="0" xfId="3" applyNumberFormat="1" applyFont="1" applyAlignment="1" applyProtection="1">
      <alignment horizontal="center"/>
      <protection locked="0"/>
    </xf>
    <xf numFmtId="1" fontId="16" fillId="0" borderId="56" xfId="10" applyFont="1" applyBorder="1" applyProtection="1">
      <protection locked="0"/>
    </xf>
    <xf numFmtId="1" fontId="8" fillId="0" borderId="56" xfId="10" applyFont="1" applyBorder="1" applyAlignment="1">
      <alignment horizontal="center"/>
    </xf>
    <xf numFmtId="0" fontId="165" fillId="0" borderId="0" xfId="3" applyFont="1" applyAlignment="1" applyProtection="1">
      <alignment horizontal="left"/>
      <protection locked="0"/>
    </xf>
    <xf numFmtId="17" fontId="8" fillId="0" borderId="0" xfId="3" applyNumberFormat="1" applyFont="1" applyAlignment="1" applyProtection="1">
      <alignment horizontal="center"/>
      <protection locked="0"/>
    </xf>
    <xf numFmtId="2" fontId="8" fillId="0" borderId="0" xfId="3" applyNumberFormat="1" applyFont="1" applyAlignment="1" applyProtection="1">
      <alignment horizontal="center"/>
      <protection locked="0"/>
    </xf>
    <xf numFmtId="2" fontId="8" fillId="3" borderId="0" xfId="3" applyNumberFormat="1" applyFont="1" applyFill="1"/>
    <xf numFmtId="1" fontId="8" fillId="0" borderId="23" xfId="10" applyFont="1" applyBorder="1" applyAlignment="1" applyProtection="1">
      <alignment horizontal="right"/>
      <protection locked="0"/>
    </xf>
    <xf numFmtId="2" fontId="8" fillId="0" borderId="24" xfId="10" applyNumberFormat="1" applyFont="1" applyBorder="1" applyAlignment="1" applyProtection="1">
      <alignment horizontal="left"/>
      <protection locked="0"/>
    </xf>
    <xf numFmtId="165" fontId="8" fillId="0" borderId="54" xfId="10" applyNumberFormat="1" applyFont="1" applyBorder="1" applyProtection="1">
      <protection locked="0"/>
    </xf>
    <xf numFmtId="1" fontId="16" fillId="0" borderId="54" xfId="10" applyFont="1" applyBorder="1" applyProtection="1">
      <protection locked="0"/>
    </xf>
    <xf numFmtId="1" fontId="8" fillId="0" borderId="54" xfId="10" applyFont="1" applyBorder="1" applyAlignment="1">
      <alignment horizontal="center"/>
    </xf>
    <xf numFmtId="165" fontId="8" fillId="0" borderId="55" xfId="10" applyNumberFormat="1" applyFont="1" applyBorder="1" applyProtection="1">
      <protection locked="0"/>
    </xf>
    <xf numFmtId="2" fontId="8" fillId="3" borderId="57" xfId="10" applyNumberFormat="1" applyFont="1" applyFill="1" applyBorder="1"/>
    <xf numFmtId="1" fontId="8" fillId="0" borderId="55" xfId="10" applyFont="1" applyBorder="1" applyProtection="1">
      <protection locked="0"/>
    </xf>
    <xf numFmtId="4" fontId="14" fillId="3" borderId="58" xfId="3" applyNumberFormat="1" applyFont="1" applyFill="1" applyBorder="1"/>
    <xf numFmtId="0" fontId="8" fillId="2" borderId="3" xfId="3" applyFont="1" applyFill="1" applyBorder="1" applyProtection="1">
      <protection locked="0"/>
    </xf>
    <xf numFmtId="4" fontId="92" fillId="4" borderId="18" xfId="3" applyNumberFormat="1" applyFont="1" applyFill="1" applyBorder="1" applyAlignment="1">
      <alignment horizontal="left"/>
    </xf>
    <xf numFmtId="4" fontId="27" fillId="4" borderId="14" xfId="3" applyNumberFormat="1" applyFont="1" applyFill="1" applyBorder="1" applyAlignment="1">
      <alignment horizontal="right"/>
    </xf>
    <xf numFmtId="4" fontId="27" fillId="25" borderId="16" xfId="3" applyNumberFormat="1" applyFont="1" applyFill="1" applyBorder="1" applyAlignment="1">
      <alignment horizontal="right"/>
    </xf>
    <xf numFmtId="2" fontId="8" fillId="0" borderId="0" xfId="10" applyNumberFormat="1" applyFont="1"/>
    <xf numFmtId="1" fontId="8" fillId="0" borderId="0" xfId="0" applyNumberFormat="1" applyFont="1"/>
    <xf numFmtId="0" fontId="167" fillId="0" borderId="0" xfId="18" applyFont="1" applyAlignment="1">
      <alignment horizontal="center" vertical="center"/>
    </xf>
    <xf numFmtId="179" fontId="169" fillId="0" borderId="0" xfId="19" applyFont="1"/>
    <xf numFmtId="179" fontId="169" fillId="26" borderId="0" xfId="19" applyFont="1" applyFill="1" applyAlignment="1">
      <alignment horizontal="center"/>
    </xf>
    <xf numFmtId="0" fontId="167" fillId="17" borderId="0" xfId="18" applyFont="1" applyFill="1" applyAlignment="1">
      <alignment horizontal="center" vertical="center"/>
    </xf>
    <xf numFmtId="0" fontId="167" fillId="0" borderId="0" xfId="18" applyFont="1" applyAlignment="1">
      <alignment horizontal="left" vertical="center"/>
    </xf>
    <xf numFmtId="0" fontId="170" fillId="0" borderId="0" xfId="18" applyFont="1" applyAlignment="1">
      <alignment horizontal="center" vertical="center"/>
    </xf>
    <xf numFmtId="2" fontId="171" fillId="0" borderId="0" xfId="18" applyNumberFormat="1" applyFont="1" applyAlignment="1">
      <alignment horizontal="center" vertical="center"/>
    </xf>
    <xf numFmtId="172" fontId="171" fillId="0" borderId="0" xfId="18" applyNumberFormat="1" applyFont="1" applyAlignment="1">
      <alignment horizontal="center" vertical="center"/>
    </xf>
    <xf numFmtId="1" fontId="172" fillId="17" borderId="0" xfId="18" applyNumberFormat="1" applyFont="1" applyFill="1" applyAlignment="1">
      <alignment horizontal="center" vertical="center"/>
    </xf>
    <xf numFmtId="169" fontId="167" fillId="0" borderId="0" xfId="18" applyNumberFormat="1" applyFont="1" applyAlignment="1">
      <alignment horizontal="center" vertical="center"/>
    </xf>
    <xf numFmtId="2" fontId="167" fillId="0" borderId="0" xfId="18" applyNumberFormat="1" applyFont="1" applyAlignment="1">
      <alignment vertical="center"/>
    </xf>
    <xf numFmtId="0" fontId="167" fillId="0" borderId="0" xfId="18" applyFont="1" applyAlignment="1">
      <alignment vertical="center"/>
    </xf>
    <xf numFmtId="1" fontId="8" fillId="0" borderId="18" xfId="10" applyFont="1" applyBorder="1" applyAlignment="1" applyProtection="1">
      <alignment horizontal="right"/>
      <protection locked="0"/>
    </xf>
    <xf numFmtId="2" fontId="8" fillId="0" borderId="16" xfId="10" applyNumberFormat="1" applyFont="1" applyBorder="1" applyAlignment="1" applyProtection="1">
      <alignment horizontal="left"/>
      <protection locked="0"/>
    </xf>
    <xf numFmtId="0" fontId="8" fillId="0" borderId="55" xfId="3" applyFont="1" applyBorder="1"/>
    <xf numFmtId="1" fontId="16" fillId="0" borderId="55" xfId="10" applyFont="1" applyBorder="1" applyProtection="1">
      <protection locked="0"/>
    </xf>
    <xf numFmtId="1" fontId="8" fillId="0" borderId="55" xfId="10" applyFont="1" applyBorder="1" applyAlignment="1">
      <alignment horizontal="center"/>
    </xf>
    <xf numFmtId="4" fontId="14" fillId="4" borderId="58" xfId="3" applyNumberFormat="1" applyFont="1" applyFill="1" applyBorder="1"/>
    <xf numFmtId="1" fontId="92" fillId="2" borderId="22" xfId="10" applyFont="1" applyFill="1" applyBorder="1" applyAlignment="1" applyProtection="1">
      <alignment vertical="center"/>
      <protection locked="0"/>
    </xf>
    <xf numFmtId="0" fontId="8" fillId="2" borderId="0" xfId="3" applyFont="1" applyFill="1"/>
    <xf numFmtId="2" fontId="16" fillId="0" borderId="0" xfId="3" applyNumberFormat="1" applyFont="1" applyAlignment="1">
      <alignment horizontal="right"/>
    </xf>
    <xf numFmtId="1" fontId="8" fillId="0" borderId="0" xfId="10" applyFont="1" applyAlignment="1">
      <alignment horizontal="center"/>
    </xf>
    <xf numFmtId="1" fontId="173" fillId="2" borderId="1" xfId="10" applyFont="1" applyFill="1" applyBorder="1" applyAlignment="1" applyProtection="1">
      <alignment horizontal="left" vertical="center"/>
      <protection locked="0"/>
    </xf>
    <xf numFmtId="0" fontId="8" fillId="2" borderId="1" xfId="3" applyFont="1" applyFill="1" applyBorder="1"/>
    <xf numFmtId="1" fontId="8" fillId="0" borderId="1" xfId="10" applyFont="1" applyBorder="1" applyAlignment="1">
      <alignment horizontal="center"/>
    </xf>
    <xf numFmtId="2" fontId="22" fillId="2" borderId="15" xfId="10" applyNumberFormat="1" applyFont="1" applyFill="1" applyBorder="1"/>
    <xf numFmtId="1" fontId="23" fillId="0" borderId="13" xfId="10" applyFont="1" applyBorder="1" applyAlignment="1" applyProtection="1">
      <alignment vertical="center"/>
      <protection locked="0"/>
    </xf>
    <xf numFmtId="1" fontId="23" fillId="0" borderId="13" xfId="10" applyFont="1" applyBorder="1" applyAlignment="1" applyProtection="1">
      <alignment horizontal="centerContinuous" vertical="center"/>
      <protection locked="0"/>
    </xf>
    <xf numFmtId="2" fontId="163" fillId="0" borderId="59" xfId="3" applyNumberFormat="1" applyFont="1" applyBorder="1" applyAlignment="1">
      <alignment horizontal="right"/>
    </xf>
    <xf numFmtId="2" fontId="164" fillId="0" borderId="54" xfId="3" applyNumberFormat="1" applyFont="1" applyBorder="1" applyAlignment="1">
      <alignment horizontal="left"/>
    </xf>
    <xf numFmtId="4" fontId="27" fillId="12" borderId="18" xfId="3" applyNumberFormat="1" applyFont="1" applyFill="1" applyBorder="1" applyAlignment="1">
      <alignment horizontal="right"/>
    </xf>
    <xf numFmtId="2" fontId="8" fillId="12" borderId="14" xfId="3" applyNumberFormat="1" applyFont="1" applyFill="1" applyBorder="1" applyProtection="1">
      <protection locked="0"/>
    </xf>
    <xf numFmtId="4" fontId="27" fillId="12" borderId="14" xfId="3" applyNumberFormat="1" applyFont="1" applyFill="1" applyBorder="1" applyAlignment="1">
      <alignment horizontal="right"/>
    </xf>
    <xf numFmtId="4" fontId="27" fillId="12" borderId="16" xfId="3" applyNumberFormat="1" applyFont="1" applyFill="1" applyBorder="1" applyAlignment="1">
      <alignment horizontal="right"/>
    </xf>
    <xf numFmtId="4" fontId="92" fillId="5" borderId="18" xfId="3" applyNumberFormat="1" applyFont="1" applyFill="1" applyBorder="1" applyAlignment="1">
      <alignment horizontal="left"/>
    </xf>
    <xf numFmtId="1" fontId="8" fillId="5" borderId="14" xfId="10" applyFont="1" applyFill="1" applyBorder="1" applyProtection="1">
      <protection locked="0"/>
    </xf>
    <xf numFmtId="4" fontId="27" fillId="5" borderId="14" xfId="3" applyNumberFormat="1" applyFont="1" applyFill="1" applyBorder="1" applyAlignment="1">
      <alignment horizontal="right"/>
    </xf>
    <xf numFmtId="4" fontId="27" fillId="27" borderId="16" xfId="3" applyNumberFormat="1" applyFont="1" applyFill="1" applyBorder="1" applyAlignment="1">
      <alignment horizontal="right"/>
    </xf>
    <xf numFmtId="1" fontId="16" fillId="0" borderId="60" xfId="10" applyFont="1" applyBorder="1" applyProtection="1">
      <protection locked="0"/>
    </xf>
    <xf numFmtId="0" fontId="172" fillId="17" borderId="0" xfId="18" applyFont="1" applyFill="1" applyAlignment="1">
      <alignment horizontal="center" vertical="center"/>
    </xf>
    <xf numFmtId="1" fontId="62" fillId="0" borderId="0" xfId="10" applyFont="1" applyProtection="1">
      <protection locked="0"/>
    </xf>
    <xf numFmtId="2" fontId="8" fillId="0" borderId="0" xfId="10" applyNumberFormat="1" applyFont="1" applyAlignment="1" applyProtection="1">
      <alignment horizontal="center"/>
      <protection locked="0"/>
    </xf>
    <xf numFmtId="4" fontId="14" fillId="5" borderId="58" xfId="3" applyNumberFormat="1" applyFont="1" applyFill="1" applyBorder="1"/>
    <xf numFmtId="1" fontId="19" fillId="0" borderId="1" xfId="10" applyFont="1" applyBorder="1" applyProtection="1">
      <protection locked="0"/>
    </xf>
    <xf numFmtId="2" fontId="22" fillId="2" borderId="0" xfId="10" applyNumberFormat="1" applyFont="1" applyFill="1"/>
    <xf numFmtId="1" fontId="19" fillId="0" borderId="0" xfId="10" applyFont="1" applyProtection="1">
      <protection locked="0"/>
    </xf>
    <xf numFmtId="2" fontId="8" fillId="0" borderId="12" xfId="3" applyNumberFormat="1" applyFont="1" applyBorder="1"/>
    <xf numFmtId="2" fontId="8" fillId="13" borderId="12" xfId="10" applyNumberFormat="1" applyFont="1" applyFill="1" applyBorder="1"/>
    <xf numFmtId="0" fontId="18" fillId="0" borderId="0" xfId="3" applyFont="1" applyAlignment="1">
      <alignment horizontal="right"/>
    </xf>
    <xf numFmtId="4" fontId="8" fillId="13" borderId="0" xfId="10" applyNumberFormat="1" applyFont="1" applyFill="1" applyAlignment="1">
      <alignment horizontal="right"/>
    </xf>
    <xf numFmtId="2" fontId="8" fillId="0" borderId="0" xfId="10" applyNumberFormat="1" applyFont="1" applyAlignment="1">
      <alignment horizontal="right"/>
    </xf>
    <xf numFmtId="4" fontId="8" fillId="13" borderId="0" xfId="10" applyNumberFormat="1" applyFont="1" applyFill="1" applyAlignment="1" applyProtection="1">
      <alignment horizontal="right"/>
      <protection locked="0"/>
    </xf>
    <xf numFmtId="4" fontId="8" fillId="4" borderId="0" xfId="3" applyNumberFormat="1" applyFont="1" applyFill="1" applyAlignment="1">
      <alignment horizontal="right"/>
    </xf>
    <xf numFmtId="2" fontId="8" fillId="0" borderId="0" xfId="3" applyNumberFormat="1" applyFont="1" applyAlignment="1">
      <alignment horizontal="right"/>
    </xf>
    <xf numFmtId="4" fontId="8" fillId="4" borderId="0" xfId="3" applyNumberFormat="1" applyFont="1" applyFill="1" applyAlignment="1" applyProtection="1">
      <alignment horizontal="right"/>
      <protection locked="0"/>
    </xf>
    <xf numFmtId="4" fontId="8" fillId="5" borderId="0" xfId="3" applyNumberFormat="1" applyFont="1" applyFill="1" applyAlignment="1">
      <alignment horizontal="right"/>
    </xf>
    <xf numFmtId="4" fontId="8" fillId="5" borderId="0" xfId="3" applyNumberFormat="1" applyFont="1" applyFill="1" applyAlignment="1" applyProtection="1">
      <alignment horizontal="right"/>
      <protection locked="0"/>
    </xf>
    <xf numFmtId="4" fontId="8" fillId="6" borderId="0" xfId="3" applyNumberFormat="1" applyFont="1" applyFill="1" applyAlignment="1">
      <alignment horizontal="right"/>
    </xf>
    <xf numFmtId="4" fontId="8" fillId="6" borderId="0" xfId="3" applyNumberFormat="1" applyFont="1" applyFill="1" applyAlignment="1" applyProtection="1">
      <alignment horizontal="right"/>
      <protection locked="0"/>
    </xf>
    <xf numFmtId="4" fontId="8" fillId="2" borderId="0" xfId="3" applyNumberFormat="1" applyFont="1" applyFill="1" applyAlignment="1">
      <alignment horizontal="right"/>
    </xf>
    <xf numFmtId="4" fontId="8" fillId="2" borderId="0" xfId="3" applyNumberFormat="1" applyFont="1" applyFill="1" applyAlignment="1" applyProtection="1">
      <alignment horizontal="right"/>
      <protection locked="0"/>
    </xf>
    <xf numFmtId="4" fontId="8" fillId="7" borderId="0" xfId="3" applyNumberFormat="1" applyFont="1" applyFill="1" applyAlignment="1">
      <alignment horizontal="right"/>
    </xf>
    <xf numFmtId="4" fontId="8" fillId="8" borderId="0" xfId="3" applyNumberFormat="1" applyFont="1" applyFill="1" applyAlignment="1">
      <alignment horizontal="right"/>
    </xf>
    <xf numFmtId="4" fontId="8" fillId="8" borderId="0" xfId="3" applyNumberFormat="1" applyFont="1" applyFill="1" applyProtection="1">
      <protection locked="0"/>
    </xf>
    <xf numFmtId="4" fontId="8" fillId="9" borderId="0" xfId="3" applyNumberFormat="1" applyFont="1" applyFill="1" applyAlignment="1">
      <alignment horizontal="right"/>
    </xf>
    <xf numFmtId="4" fontId="8" fillId="9" borderId="0" xfId="3" applyNumberFormat="1" applyFont="1" applyFill="1" applyProtection="1">
      <protection locked="0"/>
    </xf>
    <xf numFmtId="4" fontId="8" fillId="10" borderId="0" xfId="3" applyNumberFormat="1" applyFont="1" applyFill="1" applyAlignment="1">
      <alignment horizontal="right"/>
    </xf>
    <xf numFmtId="4" fontId="8" fillId="10" borderId="0" xfId="3" applyNumberFormat="1" applyFont="1" applyFill="1" applyProtection="1">
      <protection locked="0"/>
    </xf>
    <xf numFmtId="4" fontId="8" fillId="11" borderId="13" xfId="3" applyNumberFormat="1" applyFont="1" applyFill="1" applyBorder="1" applyAlignment="1">
      <alignment horizontal="right"/>
    </xf>
    <xf numFmtId="4" fontId="8" fillId="11" borderId="0" xfId="3" applyNumberFormat="1" applyFont="1" applyFill="1" applyProtection="1">
      <protection locked="0"/>
    </xf>
    <xf numFmtId="0" fontId="16" fillId="0" borderId="1" xfId="3" applyFont="1" applyBorder="1" applyAlignment="1">
      <alignment horizontal="left"/>
    </xf>
    <xf numFmtId="0" fontId="21" fillId="0" borderId="1" xfId="3" applyFont="1" applyBorder="1" applyAlignment="1">
      <alignment horizontal="right"/>
    </xf>
    <xf numFmtId="0" fontId="4" fillId="0" borderId="1" xfId="3" applyFont="1" applyBorder="1"/>
    <xf numFmtId="0" fontId="16" fillId="0" borderId="1" xfId="3" applyFont="1" applyBorder="1" applyAlignment="1">
      <alignment horizontal="right"/>
    </xf>
    <xf numFmtId="4" fontId="16" fillId="2" borderId="1" xfId="3" applyNumberFormat="1" applyFont="1" applyFill="1" applyBorder="1" applyAlignment="1">
      <alignment horizontal="right"/>
    </xf>
    <xf numFmtId="1" fontId="16" fillId="2" borderId="1" xfId="10" applyFont="1" applyFill="1" applyBorder="1" applyProtection="1">
      <protection locked="0"/>
    </xf>
    <xf numFmtId="2" fontId="16" fillId="2" borderId="1" xfId="10" applyNumberFormat="1" applyFont="1" applyFill="1" applyBorder="1" applyProtection="1">
      <protection locked="0"/>
    </xf>
    <xf numFmtId="1" fontId="16" fillId="2" borderId="1" xfId="10" applyFont="1" applyFill="1" applyBorder="1"/>
    <xf numFmtId="2" fontId="16" fillId="2" borderId="1" xfId="3" applyNumberFormat="1" applyFont="1" applyFill="1" applyBorder="1"/>
    <xf numFmtId="0" fontId="21" fillId="0" borderId="0" xfId="3" applyFont="1" applyAlignment="1">
      <alignment horizontal="right"/>
    </xf>
    <xf numFmtId="0" fontId="4" fillId="0" borderId="0" xfId="3" applyFont="1" applyAlignment="1">
      <alignment horizontal="right"/>
    </xf>
    <xf numFmtId="2" fontId="16" fillId="0" borderId="0" xfId="3" applyNumberFormat="1" applyFont="1"/>
    <xf numFmtId="2" fontId="16" fillId="0" borderId="0" xfId="10" applyNumberFormat="1" applyFont="1"/>
    <xf numFmtId="0" fontId="16" fillId="12" borderId="0" xfId="3" applyFont="1" applyFill="1" applyAlignment="1" applyProtection="1">
      <alignment horizontal="center"/>
      <protection locked="0"/>
    </xf>
    <xf numFmtId="2" fontId="8" fillId="0" borderId="0" xfId="3" applyNumberFormat="1" applyFont="1"/>
    <xf numFmtId="2" fontId="8" fillId="0" borderId="12" xfId="3" applyNumberFormat="1" applyFont="1" applyBorder="1" applyProtection="1">
      <protection locked="0"/>
    </xf>
    <xf numFmtId="2" fontId="8" fillId="2" borderId="0" xfId="3" applyNumberFormat="1" applyFont="1" applyFill="1" applyAlignment="1" applyProtection="1">
      <alignment horizontal="center"/>
      <protection locked="0"/>
    </xf>
    <xf numFmtId="4" fontId="8" fillId="13" borderId="12" xfId="10" applyNumberFormat="1" applyFont="1" applyFill="1" applyBorder="1" applyAlignment="1">
      <alignment horizontal="right"/>
    </xf>
    <xf numFmtId="2" fontId="8" fillId="0" borderId="12" xfId="10" applyNumberFormat="1" applyFont="1" applyBorder="1" applyProtection="1">
      <protection locked="0"/>
    </xf>
    <xf numFmtId="0" fontId="8" fillId="2" borderId="0" xfId="3" applyFont="1" applyFill="1" applyAlignment="1" applyProtection="1">
      <alignment horizontal="center"/>
      <protection locked="0"/>
    </xf>
    <xf numFmtId="1" fontId="2" fillId="0" borderId="0" xfId="10" applyFont="1" applyProtection="1">
      <protection locked="0"/>
    </xf>
    <xf numFmtId="1" fontId="16" fillId="0" borderId="0" xfId="10" applyFont="1" applyAlignment="1" applyProtection="1">
      <alignment horizontal="right"/>
      <protection locked="0"/>
    </xf>
    <xf numFmtId="4" fontId="8" fillId="7" borderId="12" xfId="3" applyNumberFormat="1" applyFont="1" applyFill="1" applyBorder="1"/>
    <xf numFmtId="2" fontId="8" fillId="7" borderId="12" xfId="3" applyNumberFormat="1" applyFont="1" applyFill="1" applyBorder="1"/>
    <xf numFmtId="2" fontId="19" fillId="0" borderId="12" xfId="3" applyNumberFormat="1" applyFont="1" applyBorder="1" applyProtection="1">
      <protection locked="0"/>
    </xf>
    <xf numFmtId="4" fontId="8" fillId="6" borderId="12" xfId="3" applyNumberFormat="1" applyFont="1" applyFill="1" applyBorder="1"/>
    <xf numFmtId="2" fontId="8" fillId="6" borderId="12" xfId="3" applyNumberFormat="1" applyFont="1" applyFill="1" applyBorder="1"/>
    <xf numFmtId="2" fontId="16" fillId="0" borderId="1" xfId="3" applyNumberFormat="1" applyFont="1" applyBorder="1" applyAlignment="1">
      <alignment horizontal="right"/>
    </xf>
    <xf numFmtId="2" fontId="8" fillId="0" borderId="1" xfId="3" applyNumberFormat="1" applyFont="1" applyBorder="1" applyProtection="1">
      <protection locked="0"/>
    </xf>
    <xf numFmtId="2" fontId="8" fillId="2" borderId="0" xfId="3" applyNumberFormat="1" applyFont="1" applyFill="1" applyAlignment="1" applyProtection="1">
      <alignment vertical="top"/>
      <protection locked="0"/>
    </xf>
    <xf numFmtId="2" fontId="16" fillId="14" borderId="3" xfId="10" applyNumberFormat="1" applyFont="1" applyFill="1" applyBorder="1" applyAlignment="1" applyProtection="1">
      <alignment horizontal="center" vertical="top"/>
      <protection locked="0"/>
    </xf>
    <xf numFmtId="1" fontId="8" fillId="0" borderId="0" xfId="10" applyFont="1" applyAlignment="1" applyProtection="1">
      <alignment horizontal="center" vertical="top"/>
      <protection locked="0"/>
    </xf>
    <xf numFmtId="1" fontId="62" fillId="0" borderId="0" xfId="10" applyFont="1" applyAlignment="1" applyProtection="1">
      <alignment horizontal="left" vertical="top"/>
      <protection locked="0"/>
    </xf>
    <xf numFmtId="1" fontId="15" fillId="0" borderId="0" xfId="10" applyFont="1" applyAlignment="1" applyProtection="1">
      <alignment vertical="top"/>
      <protection locked="0"/>
    </xf>
    <xf numFmtId="2" fontId="16" fillId="0" borderId="0" xfId="10" applyNumberFormat="1" applyFont="1" applyAlignment="1" applyProtection="1">
      <alignment vertical="top"/>
      <protection locked="0"/>
    </xf>
    <xf numFmtId="1" fontId="8" fillId="0" borderId="0" xfId="10" applyFont="1" applyAlignment="1" applyProtection="1">
      <alignment vertical="top"/>
      <protection locked="0"/>
    </xf>
    <xf numFmtId="2" fontId="16" fillId="3" borderId="0" xfId="3" applyNumberFormat="1" applyFont="1" applyFill="1" applyAlignment="1" applyProtection="1">
      <alignment vertical="top"/>
      <protection locked="0"/>
    </xf>
    <xf numFmtId="2" fontId="62" fillId="16" borderId="1" xfId="10" applyNumberFormat="1" applyFont="1" applyFill="1" applyBorder="1" applyAlignment="1">
      <alignment horizontal="right" vertical="top"/>
    </xf>
    <xf numFmtId="2" fontId="8" fillId="0" borderId="0" xfId="10" applyNumberFormat="1" applyFont="1" applyAlignment="1" applyProtection="1">
      <alignment horizontal="right" vertical="top"/>
      <protection locked="0"/>
    </xf>
    <xf numFmtId="0" fontId="0" fillId="3" borderId="0" xfId="0" applyFill="1"/>
    <xf numFmtId="0" fontId="174" fillId="0" borderId="0" xfId="0" applyFont="1"/>
    <xf numFmtId="0" fontId="175" fillId="0" borderId="0" xfId="0" applyFont="1"/>
    <xf numFmtId="0" fontId="176" fillId="0" borderId="0" xfId="0" applyFont="1"/>
    <xf numFmtId="0" fontId="174" fillId="17" borderId="0" xfId="0" applyFont="1" applyFill="1"/>
    <xf numFmtId="0" fontId="174" fillId="17" borderId="0" xfId="0" applyFont="1" applyFill="1" applyAlignment="1">
      <alignment horizontal="center"/>
    </xf>
    <xf numFmtId="0" fontId="176" fillId="17" borderId="0" xfId="0" applyFont="1" applyFill="1" applyAlignment="1">
      <alignment horizontal="center"/>
    </xf>
    <xf numFmtId="169" fontId="174" fillId="0" borderId="0" xfId="0" applyNumberFormat="1" applyFont="1"/>
    <xf numFmtId="2" fontId="174" fillId="0" borderId="0" xfId="0" applyNumberFormat="1" applyFont="1"/>
    <xf numFmtId="2" fontId="174" fillId="3" borderId="0" xfId="0" applyNumberFormat="1" applyFont="1" applyFill="1"/>
    <xf numFmtId="2" fontId="174" fillId="18" borderId="0" xfId="0" applyNumberFormat="1" applyFont="1" applyFill="1"/>
    <xf numFmtId="2" fontId="8" fillId="3" borderId="0" xfId="10" applyNumberFormat="1" applyFont="1" applyFill="1"/>
    <xf numFmtId="1" fontId="14" fillId="0" borderId="1" xfId="10" applyFont="1" applyBorder="1" applyAlignment="1" applyProtection="1">
      <alignment horizontal="right"/>
      <protection locked="0"/>
    </xf>
    <xf numFmtId="1" fontId="8" fillId="0" borderId="1" xfId="10" applyFont="1" applyBorder="1" applyAlignment="1" applyProtection="1">
      <alignment horizontal="center"/>
      <protection locked="0"/>
    </xf>
    <xf numFmtId="2" fontId="64" fillId="3" borderId="15" xfId="10" applyNumberFormat="1" applyFont="1" applyFill="1" applyBorder="1" applyAlignment="1">
      <alignment horizontal="right"/>
    </xf>
    <xf numFmtId="1" fontId="8" fillId="0" borderId="1" xfId="10" applyFont="1" applyBorder="1" applyAlignment="1" applyProtection="1">
      <alignment horizontal="right"/>
      <protection locked="0"/>
    </xf>
    <xf numFmtId="2" fontId="16" fillId="0" borderId="0" xfId="20" applyNumberFormat="1" applyFont="1" applyProtection="1">
      <protection locked="0"/>
    </xf>
    <xf numFmtId="1" fontId="16" fillId="0" borderId="0" xfId="20" applyFont="1" applyProtection="1">
      <protection locked="0"/>
    </xf>
    <xf numFmtId="1" fontId="16" fillId="2" borderId="0" xfId="20" applyFont="1" applyFill="1" applyProtection="1">
      <protection locked="0"/>
    </xf>
    <xf numFmtId="17" fontId="16" fillId="2" borderId="0" xfId="20" applyNumberFormat="1" applyFont="1" applyFill="1" applyProtection="1">
      <protection locked="0"/>
    </xf>
    <xf numFmtId="1" fontId="16" fillId="0" borderId="0" xfId="20" applyFont="1" applyAlignment="1" applyProtection="1">
      <alignment horizontal="center"/>
      <protection locked="0"/>
    </xf>
    <xf numFmtId="2" fontId="62" fillId="0" borderId="0" xfId="20" applyNumberFormat="1" applyFont="1"/>
    <xf numFmtId="2" fontId="8" fillId="3" borderId="0" xfId="20" applyNumberFormat="1" applyFont="1" applyFill="1"/>
    <xf numFmtId="1" fontId="8" fillId="0" borderId="0" xfId="20" applyFont="1" applyProtection="1">
      <protection locked="0"/>
    </xf>
    <xf numFmtId="0" fontId="8" fillId="0" borderId="0" xfId="0" applyFont="1"/>
    <xf numFmtId="1" fontId="8" fillId="0" borderId="0" xfId="20" applyFont="1" applyAlignment="1" applyProtection="1">
      <alignment horizontal="right"/>
      <protection locked="0"/>
    </xf>
    <xf numFmtId="2" fontId="8" fillId="0" borderId="0" xfId="20" applyNumberFormat="1" applyFont="1" applyProtection="1">
      <protection locked="0"/>
    </xf>
    <xf numFmtId="1" fontId="62" fillId="0" borderId="0" xfId="20" applyFont="1" applyProtection="1">
      <protection locked="0"/>
    </xf>
    <xf numFmtId="1" fontId="8" fillId="2" borderId="0" xfId="20" applyFont="1" applyFill="1" applyProtection="1">
      <protection locked="0"/>
    </xf>
    <xf numFmtId="17" fontId="8" fillId="2" borderId="0" xfId="20" applyNumberFormat="1" applyFont="1" applyFill="1" applyProtection="1">
      <protection locked="0"/>
    </xf>
    <xf numFmtId="1" fontId="8" fillId="0" borderId="0" xfId="20" applyFont="1" applyAlignment="1" applyProtection="1">
      <alignment horizontal="center"/>
      <protection locked="0"/>
    </xf>
    <xf numFmtId="2" fontId="62" fillId="3" borderId="0" xfId="20" applyNumberFormat="1" applyFont="1" applyFill="1"/>
    <xf numFmtId="0" fontId="177" fillId="0" borderId="0" xfId="3" applyFont="1"/>
    <xf numFmtId="2" fontId="174" fillId="19" borderId="0" xfId="0" applyNumberFormat="1" applyFont="1" applyFill="1"/>
    <xf numFmtId="1" fontId="0" fillId="3" borderId="0" xfId="0" applyNumberFormat="1" applyFill="1"/>
    <xf numFmtId="0" fontId="177" fillId="0" borderId="0" xfId="0" applyFont="1"/>
    <xf numFmtId="0" fontId="178" fillId="0" borderId="0" xfId="3" applyFont="1" applyProtection="1">
      <protection locked="0"/>
    </xf>
    <xf numFmtId="2" fontId="8" fillId="0" borderId="0" xfId="10" applyNumberFormat="1" applyFont="1" applyAlignment="1" applyProtection="1">
      <alignment vertical="top"/>
      <protection locked="0"/>
    </xf>
    <xf numFmtId="0" fontId="179" fillId="0" borderId="0" xfId="0" applyFont="1"/>
    <xf numFmtId="0" fontId="179" fillId="17" borderId="0" xfId="0" applyFont="1" applyFill="1"/>
    <xf numFmtId="0" fontId="179" fillId="17" borderId="0" xfId="0" applyFont="1" applyFill="1" applyAlignment="1">
      <alignment horizontal="center"/>
    </xf>
    <xf numFmtId="0" fontId="175" fillId="17" borderId="0" xfId="0" applyFont="1" applyFill="1" applyAlignment="1">
      <alignment horizontal="center"/>
    </xf>
    <xf numFmtId="169" fontId="179" fillId="0" borderId="0" xfId="0" applyNumberFormat="1" applyFont="1"/>
    <xf numFmtId="2" fontId="179" fillId="3" borderId="0" xfId="0" applyNumberFormat="1" applyFont="1" applyFill="1"/>
    <xf numFmtId="2" fontId="179" fillId="0" borderId="0" xfId="0" applyNumberFormat="1" applyFont="1"/>
    <xf numFmtId="2" fontId="179" fillId="18" borderId="0" xfId="0" applyNumberFormat="1" applyFont="1" applyFill="1"/>
    <xf numFmtId="0" fontId="180" fillId="0" borderId="0" xfId="0" applyFont="1"/>
    <xf numFmtId="0" fontId="15" fillId="0" borderId="0" xfId="3" applyFont="1" applyAlignment="1" applyProtection="1">
      <alignment vertical="top" wrapText="1"/>
      <protection locked="0"/>
    </xf>
    <xf numFmtId="0" fontId="0" fillId="0" borderId="0" xfId="0" applyAlignment="1">
      <alignment vertical="top" wrapText="1"/>
    </xf>
    <xf numFmtId="1" fontId="15" fillId="0" borderId="0" xfId="10" applyFont="1" applyAlignment="1" applyProtection="1">
      <alignment horizontal="left" vertical="top" wrapText="1"/>
      <protection locked="0"/>
    </xf>
    <xf numFmtId="2" fontId="181" fillId="0" borderId="0" xfId="0" applyNumberFormat="1" applyFont="1"/>
    <xf numFmtId="2" fontId="174" fillId="28" borderId="0" xfId="0" applyNumberFormat="1" applyFont="1" applyFill="1"/>
    <xf numFmtId="0" fontId="176" fillId="0" borderId="0" xfId="0" applyFont="1" applyAlignment="1">
      <alignment horizontal="right"/>
    </xf>
    <xf numFmtId="0" fontId="174" fillId="0" borderId="0" xfId="14" applyFont="1"/>
    <xf numFmtId="0" fontId="174" fillId="17" borderId="0" xfId="14" applyFont="1" applyFill="1"/>
    <xf numFmtId="0" fontId="174" fillId="17" borderId="0" xfId="14" applyFont="1" applyFill="1" applyAlignment="1">
      <alignment horizontal="center"/>
    </xf>
    <xf numFmtId="0" fontId="176" fillId="17" borderId="0" xfId="14" applyFont="1" applyFill="1" applyAlignment="1">
      <alignment horizontal="center"/>
    </xf>
    <xf numFmtId="169" fontId="174" fillId="0" borderId="0" xfId="14" applyNumberFormat="1" applyFont="1"/>
    <xf numFmtId="2" fontId="174" fillId="0" borderId="0" xfId="14" applyNumberFormat="1" applyFont="1"/>
    <xf numFmtId="0" fontId="175" fillId="0" borderId="0" xfId="14" applyFont="1"/>
    <xf numFmtId="0" fontId="176" fillId="0" borderId="0" xfId="14" applyFont="1"/>
    <xf numFmtId="1" fontId="182" fillId="0" borderId="0" xfId="20" applyFont="1" applyProtection="1">
      <protection locked="0"/>
    </xf>
    <xf numFmtId="1" fontId="183" fillId="0" borderId="0" xfId="20" applyFont="1" applyProtection="1">
      <protection locked="0"/>
    </xf>
    <xf numFmtId="2" fontId="8" fillId="0" borderId="0" xfId="0" applyNumberFormat="1" applyFont="1" applyProtection="1">
      <protection locked="0"/>
    </xf>
    <xf numFmtId="2" fontId="8" fillId="0" borderId="0" xfId="0" applyNumberFormat="1" applyFont="1"/>
    <xf numFmtId="2" fontId="167" fillId="0" borderId="0" xfId="0" applyNumberFormat="1" applyFont="1"/>
    <xf numFmtId="49" fontId="14" fillId="2" borderId="0" xfId="23" applyNumberFormat="1" applyFont="1" applyFill="1" applyAlignment="1" applyProtection="1">
      <alignment horizontal="center"/>
      <protection locked="0"/>
    </xf>
    <xf numFmtId="1" fontId="16" fillId="0" borderId="0" xfId="0" applyNumberFormat="1" applyFont="1" applyAlignment="1">
      <alignment horizontal="center"/>
    </xf>
    <xf numFmtId="17" fontId="8" fillId="2" borderId="0" xfId="23" applyNumberFormat="1" applyFont="1" applyFill="1" applyAlignment="1" applyProtection="1">
      <alignment horizontal="center"/>
      <protection locked="0"/>
    </xf>
    <xf numFmtId="2" fontId="167" fillId="3" borderId="0" xfId="0" applyNumberFormat="1" applyFont="1" applyFill="1"/>
    <xf numFmtId="2" fontId="167" fillId="18" borderId="0" xfId="0" applyNumberFormat="1" applyFont="1" applyFill="1"/>
    <xf numFmtId="0" fontId="167" fillId="0" borderId="0" xfId="0" applyFont="1" applyAlignment="1">
      <alignment horizontal="center"/>
    </xf>
    <xf numFmtId="2" fontId="167" fillId="0" borderId="0" xfId="0" applyNumberFormat="1" applyFont="1" applyAlignment="1" applyProtection="1">
      <alignment horizontal="center"/>
      <protection locked="0"/>
    </xf>
    <xf numFmtId="49" fontId="14" fillId="2" borderId="0" xfId="0" applyNumberFormat="1" applyFont="1" applyFill="1" applyAlignment="1" applyProtection="1">
      <alignment horizontal="center"/>
      <protection locked="0"/>
    </xf>
    <xf numFmtId="1" fontId="16" fillId="0" borderId="0" xfId="0" applyNumberFormat="1" applyFont="1" applyAlignment="1" applyProtection="1">
      <alignment horizontal="center"/>
      <protection locked="0"/>
    </xf>
    <xf numFmtId="17" fontId="8" fillId="2" borderId="0" xfId="0" applyNumberFormat="1" applyFont="1" applyFill="1" applyAlignment="1" applyProtection="1">
      <alignment horizontal="center"/>
      <protection locked="0"/>
    </xf>
    <xf numFmtId="2" fontId="167" fillId="28" borderId="0" xfId="0" applyNumberFormat="1" applyFont="1" applyFill="1"/>
    <xf numFmtId="40" fontId="8" fillId="0" borderId="3" xfId="1" applyNumberFormat="1" applyFont="1" applyFill="1" applyBorder="1" applyAlignment="1" applyProtection="1">
      <alignment horizontal="right"/>
      <protection locked="0"/>
    </xf>
    <xf numFmtId="43" fontId="5" fillId="0" borderId="0" xfId="1" applyFont="1" applyAlignment="1" applyProtection="1">
      <alignment horizontal="right"/>
      <protection locked="0"/>
    </xf>
    <xf numFmtId="0" fontId="8" fillId="3" borderId="0" xfId="0" applyFont="1" applyFill="1"/>
    <xf numFmtId="0" fontId="167" fillId="0" borderId="0" xfId="0" applyFont="1"/>
    <xf numFmtId="0" fontId="172" fillId="17" borderId="0" xfId="0" applyFont="1" applyFill="1" applyAlignment="1">
      <alignment horizontal="center"/>
    </xf>
    <xf numFmtId="169" fontId="167" fillId="0" borderId="0" xfId="0" applyNumberFormat="1" applyFont="1"/>
    <xf numFmtId="1" fontId="178" fillId="0" borderId="0" xfId="10" applyFont="1" applyProtection="1">
      <protection locked="0"/>
    </xf>
    <xf numFmtId="1" fontId="184" fillId="0" borderId="0" xfId="10" applyFont="1" applyAlignment="1" applyProtection="1">
      <alignment horizontal="left" vertical="top" wrapText="1"/>
      <protection locked="0"/>
    </xf>
    <xf numFmtId="2" fontId="156" fillId="0" borderId="0" xfId="17" applyNumberFormat="1" applyFont="1" applyAlignment="1" applyProtection="1">
      <alignment horizontal="center" vertical="center"/>
      <protection locked="0"/>
    </xf>
    <xf numFmtId="2" fontId="0" fillId="0" borderId="0" xfId="0" applyNumberFormat="1"/>
    <xf numFmtId="0" fontId="15" fillId="0" borderId="0" xfId="3" applyFont="1"/>
    <xf numFmtId="4" fontId="8" fillId="6" borderId="0" xfId="3" applyNumberFormat="1" applyFont="1" applyFill="1"/>
    <xf numFmtId="0" fontId="16" fillId="0" borderId="0" xfId="3" applyFont="1" applyAlignment="1" applyProtection="1">
      <alignment horizontal="center"/>
      <protection locked="0"/>
    </xf>
    <xf numFmtId="180" fontId="0" fillId="0" borderId="0" xfId="0" applyNumberFormat="1" applyProtection="1">
      <protection locked="0"/>
    </xf>
    <xf numFmtId="0" fontId="185" fillId="0" borderId="0" xfId="11" applyFont="1"/>
    <xf numFmtId="0" fontId="187" fillId="0" borderId="0" xfId="3" applyFont="1" applyAlignment="1" applyProtection="1">
      <alignment horizontal="left"/>
      <protection locked="0"/>
    </xf>
    <xf numFmtId="0" fontId="187" fillId="0" borderId="0" xfId="3" applyFont="1" applyProtection="1">
      <protection locked="0"/>
    </xf>
    <xf numFmtId="0" fontId="185" fillId="0" borderId="0" xfId="3" applyFont="1" applyProtection="1">
      <protection locked="0"/>
    </xf>
    <xf numFmtId="0" fontId="189" fillId="0" borderId="0" xfId="3" applyFont="1" applyAlignment="1" applyProtection="1">
      <alignment horizontal="right"/>
      <protection locked="0"/>
    </xf>
    <xf numFmtId="0" fontId="185" fillId="0" borderId="0" xfId="11" applyFont="1" applyProtection="1">
      <protection locked="0"/>
    </xf>
    <xf numFmtId="0" fontId="190" fillId="0" borderId="0" xfId="3" applyFont="1" applyAlignment="1" applyProtection="1">
      <alignment horizontal="right"/>
      <protection locked="0"/>
    </xf>
    <xf numFmtId="0" fontId="185" fillId="0" borderId="0" xfId="3" applyFont="1" applyAlignment="1" applyProtection="1">
      <alignment horizontal="left"/>
      <protection locked="0"/>
    </xf>
    <xf numFmtId="0" fontId="185" fillId="0" borderId="13" xfId="3" applyFont="1" applyBorder="1" applyProtection="1">
      <protection locked="0"/>
    </xf>
    <xf numFmtId="0" fontId="185" fillId="0" borderId="13" xfId="11" applyFont="1" applyBorder="1" applyProtection="1">
      <protection locked="0"/>
    </xf>
    <xf numFmtId="0" fontId="187" fillId="0" borderId="13" xfId="3" applyFont="1" applyBorder="1" applyProtection="1">
      <protection locked="0"/>
    </xf>
    <xf numFmtId="0" fontId="189" fillId="0" borderId="0" xfId="11" applyFont="1" applyAlignment="1" applyProtection="1">
      <alignment horizontal="right"/>
      <protection locked="0"/>
    </xf>
    <xf numFmtId="15" fontId="185" fillId="0" borderId="0" xfId="11" applyNumberFormat="1" applyFont="1" applyProtection="1">
      <protection locked="0"/>
    </xf>
    <xf numFmtId="0" fontId="190" fillId="0" borderId="0" xfId="7" applyFont="1" applyAlignment="1" applyProtection="1">
      <alignment horizontal="right"/>
      <protection locked="0"/>
    </xf>
    <xf numFmtId="0" fontId="185" fillId="17" borderId="0" xfId="3" applyFont="1" applyFill="1" applyAlignment="1" applyProtection="1">
      <alignment horizontal="left"/>
      <protection locked="0"/>
    </xf>
    <xf numFmtId="0" fontId="190" fillId="0" borderId="0" xfId="11" applyFont="1" applyAlignment="1" applyProtection="1">
      <alignment horizontal="right"/>
      <protection locked="0"/>
    </xf>
    <xf numFmtId="0" fontId="191" fillId="0" borderId="0" xfId="3" applyFont="1" applyProtection="1">
      <protection locked="0"/>
    </xf>
    <xf numFmtId="0" fontId="191" fillId="0" borderId="0" xfId="3" applyFont="1" applyAlignment="1" applyProtection="1">
      <alignment horizontal="right"/>
      <protection locked="0"/>
    </xf>
    <xf numFmtId="4" fontId="185" fillId="17" borderId="0" xfId="1" applyNumberFormat="1" applyFont="1" applyFill="1" applyBorder="1" applyAlignment="1" applyProtection="1">
      <alignment horizontal="centerContinuous"/>
      <protection locked="0"/>
    </xf>
    <xf numFmtId="0" fontId="192" fillId="0" borderId="13" xfId="7" applyFont="1" applyBorder="1" applyAlignment="1" applyProtection="1">
      <alignment horizontal="left"/>
      <protection locked="0"/>
    </xf>
    <xf numFmtId="0" fontId="192" fillId="0" borderId="0" xfId="7" applyFont="1" applyAlignment="1" applyProtection="1">
      <alignment horizontal="left"/>
      <protection locked="0"/>
    </xf>
    <xf numFmtId="0" fontId="189" fillId="0" borderId="0" xfId="3" applyFont="1" applyAlignment="1" applyProtection="1">
      <alignment horizontal="left"/>
      <protection locked="0"/>
    </xf>
    <xf numFmtId="0" fontId="191" fillId="0" borderId="0" xfId="3" applyFont="1" applyAlignment="1" applyProtection="1">
      <alignment horizontal="left"/>
      <protection locked="0"/>
    </xf>
    <xf numFmtId="0" fontId="189" fillId="0" borderId="0" xfId="3" applyFont="1" applyProtection="1">
      <protection locked="0"/>
    </xf>
    <xf numFmtId="0" fontId="185" fillId="0" borderId="0" xfId="3" applyFont="1" applyAlignment="1" applyProtection="1">
      <alignment horizontal="center"/>
      <protection locked="0"/>
    </xf>
    <xf numFmtId="0" fontId="185" fillId="0" borderId="22" xfId="3" applyFont="1" applyBorder="1" applyProtection="1">
      <protection locked="0"/>
    </xf>
    <xf numFmtId="0" fontId="185" fillId="0" borderId="34" xfId="3" applyFont="1" applyBorder="1" applyProtection="1">
      <protection locked="0"/>
    </xf>
    <xf numFmtId="0" fontId="185" fillId="0" borderId="35" xfId="3" applyFont="1" applyBorder="1" applyProtection="1">
      <protection locked="0"/>
    </xf>
    <xf numFmtId="0" fontId="185" fillId="0" borderId="36" xfId="3" applyFont="1" applyBorder="1" applyProtection="1">
      <protection locked="0"/>
    </xf>
    <xf numFmtId="0" fontId="185" fillId="0" borderId="37" xfId="3" applyFont="1" applyBorder="1" applyProtection="1">
      <protection locked="0"/>
    </xf>
    <xf numFmtId="0" fontId="191" fillId="0" borderId="0" xfId="7" applyFont="1" applyAlignment="1" applyProtection="1">
      <alignment horizontal="left" vertical="center"/>
      <protection locked="0"/>
    </xf>
    <xf numFmtId="0" fontId="185" fillId="0" borderId="38" xfId="3" applyFont="1" applyBorder="1" applyProtection="1">
      <protection locked="0"/>
    </xf>
    <xf numFmtId="0" fontId="185" fillId="0" borderId="39" xfId="3" applyFont="1" applyBorder="1" applyProtection="1">
      <protection locked="0"/>
    </xf>
    <xf numFmtId="0" fontId="193" fillId="0" borderId="0" xfId="3" applyFont="1" applyAlignment="1" applyProtection="1">
      <alignment horizontal="left"/>
      <protection locked="0"/>
    </xf>
    <xf numFmtId="0" fontId="194" fillId="0" borderId="0" xfId="3" applyFont="1" applyProtection="1">
      <protection locked="0"/>
    </xf>
    <xf numFmtId="2" fontId="174" fillId="29" borderId="0" xfId="0" applyNumberFormat="1" applyFont="1" applyFill="1"/>
    <xf numFmtId="1" fontId="8" fillId="29" borderId="0" xfId="20" applyFont="1" applyFill="1" applyAlignment="1" applyProtection="1">
      <alignment horizontal="right"/>
      <protection locked="0"/>
    </xf>
    <xf numFmtId="0" fontId="0" fillId="29" borderId="0" xfId="0" applyFill="1"/>
    <xf numFmtId="165" fontId="153" fillId="30" borderId="3" xfId="0" applyNumberFormat="1" applyFont="1" applyFill="1" applyBorder="1" applyAlignment="1" applyProtection="1">
      <alignment horizontal="center" vertical="center"/>
      <protection hidden="1"/>
    </xf>
    <xf numFmtId="0" fontId="153" fillId="30" borderId="3" xfId="0" applyFont="1" applyFill="1" applyBorder="1" applyAlignment="1">
      <alignment vertical="center" wrapText="1"/>
    </xf>
    <xf numFmtId="0" fontId="153" fillId="30" borderId="3" xfId="0" applyFont="1" applyFill="1" applyBorder="1" applyAlignment="1">
      <alignment horizontal="center" vertical="center" wrapText="1"/>
    </xf>
    <xf numFmtId="4" fontId="153" fillId="30" borderId="3" xfId="0" applyNumberFormat="1" applyFont="1" applyFill="1" applyBorder="1" applyAlignment="1" applyProtection="1">
      <alignment horizontal="center" vertical="center" wrapText="1"/>
      <protection locked="0"/>
    </xf>
    <xf numFmtId="43" fontId="153" fillId="30" borderId="3" xfId="0" applyNumberFormat="1" applyFont="1" applyFill="1" applyBorder="1" applyAlignment="1">
      <alignment horizontal="right" vertical="center"/>
    </xf>
    <xf numFmtId="0" fontId="153" fillId="30" borderId="0" xfId="0" applyFont="1" applyFill="1" applyAlignment="1">
      <alignment vertical="center"/>
    </xf>
    <xf numFmtId="2" fontId="153" fillId="30" borderId="3" xfId="0" applyNumberFormat="1" applyFont="1" applyFill="1" applyBorder="1" applyAlignment="1">
      <alignment horizontal="center" vertical="center" wrapText="1"/>
    </xf>
    <xf numFmtId="2" fontId="155" fillId="30" borderId="3" xfId="0" applyNumberFormat="1" applyFont="1" applyFill="1" applyBorder="1" applyAlignment="1">
      <alignment horizontal="center" vertical="center" wrapText="1"/>
    </xf>
    <xf numFmtId="0" fontId="155" fillId="30" borderId="3" xfId="0" applyFont="1" applyFill="1" applyBorder="1" applyAlignment="1">
      <alignment vertical="center" wrapText="1"/>
    </xf>
    <xf numFmtId="0" fontId="155" fillId="30" borderId="3" xfId="0" applyFont="1" applyFill="1" applyBorder="1" applyAlignment="1">
      <alignment horizontal="center" vertical="center" wrapText="1"/>
    </xf>
    <xf numFmtId="4" fontId="155" fillId="30" borderId="3" xfId="0" applyNumberFormat="1" applyFont="1" applyFill="1" applyBorder="1" applyAlignment="1" applyProtection="1">
      <alignment horizontal="center" vertical="center" wrapText="1"/>
      <protection locked="0"/>
    </xf>
    <xf numFmtId="4" fontId="155" fillId="30" borderId="3" xfId="0" applyNumberFormat="1" applyFont="1" applyFill="1" applyBorder="1" applyAlignment="1">
      <alignment horizontal="right" vertical="center" wrapText="1"/>
    </xf>
    <xf numFmtId="2" fontId="153" fillId="30" borderId="3" xfId="0" applyNumberFormat="1" applyFont="1" applyFill="1" applyBorder="1" applyAlignment="1">
      <alignment horizontal="center" vertical="center"/>
    </xf>
    <xf numFmtId="0" fontId="153" fillId="30" borderId="3" xfId="0" applyFont="1" applyFill="1" applyBorder="1" applyAlignment="1">
      <alignment horizontal="center" vertical="center"/>
    </xf>
    <xf numFmtId="43" fontId="154" fillId="0" borderId="3" xfId="17" applyNumberFormat="1" applyFont="1" applyBorder="1" applyAlignment="1">
      <alignment horizontal="center" vertical="center"/>
    </xf>
    <xf numFmtId="0" fontId="153" fillId="0" borderId="0" xfId="17" applyFont="1" applyAlignment="1">
      <alignment horizontal="center"/>
    </xf>
    <xf numFmtId="178" fontId="154" fillId="0" borderId="3" xfId="17" applyNumberFormat="1" applyFont="1" applyBorder="1" applyAlignment="1">
      <alignment horizontal="center" vertical="center" wrapText="1"/>
    </xf>
    <xf numFmtId="43" fontId="154" fillId="23" borderId="51" xfId="17" applyNumberFormat="1" applyFont="1" applyFill="1" applyBorder="1" applyAlignment="1">
      <alignment horizontal="center" vertical="center" wrapText="1"/>
    </xf>
    <xf numFmtId="0" fontId="15" fillId="0" borderId="0" xfId="3" applyFont="1" applyAlignment="1" applyProtection="1">
      <alignment vertical="top" wrapText="1"/>
      <protection locked="0"/>
    </xf>
    <xf numFmtId="0" fontId="0" fillId="0" borderId="0" xfId="0" applyAlignment="1">
      <alignment vertical="top" wrapText="1"/>
    </xf>
    <xf numFmtId="1" fontId="15" fillId="0" borderId="0" xfId="10" applyFont="1" applyAlignment="1" applyProtection="1">
      <alignment horizontal="left" vertical="top" wrapText="1"/>
      <protection locked="0"/>
    </xf>
    <xf numFmtId="0" fontId="154" fillId="0" borderId="3" xfId="17" applyFont="1" applyBorder="1" applyAlignment="1">
      <alignment horizontal="center" vertical="center" wrapText="1"/>
    </xf>
    <xf numFmtId="0" fontId="153" fillId="0" borderId="3" xfId="17" applyFont="1" applyBorder="1" applyAlignment="1">
      <alignment horizontal="center" vertical="center" wrapText="1"/>
    </xf>
    <xf numFmtId="0" fontId="154" fillId="23" borderId="43" xfId="17" applyFont="1" applyFill="1" applyBorder="1" applyAlignment="1">
      <alignment horizontal="center" vertical="center" wrapText="1"/>
    </xf>
    <xf numFmtId="0" fontId="153" fillId="23" borderId="51" xfId="17" applyFont="1" applyFill="1" applyBorder="1" applyAlignment="1">
      <alignment horizontal="center" vertical="center" wrapText="1"/>
    </xf>
    <xf numFmtId="0" fontId="154" fillId="0" borderId="18" xfId="17" applyFont="1" applyBorder="1" applyAlignment="1">
      <alignment horizontal="center" vertical="center" wrapText="1"/>
    </xf>
    <xf numFmtId="0" fontId="153" fillId="0" borderId="14" xfId="17" applyFont="1" applyBorder="1" applyAlignment="1">
      <alignment horizontal="center" vertical="center" wrapText="1"/>
    </xf>
    <xf numFmtId="0" fontId="186" fillId="0" borderId="0" xfId="3" applyFont="1" applyAlignment="1">
      <alignment horizontal="center"/>
    </xf>
    <xf numFmtId="0" fontId="188" fillId="0" borderId="0" xfId="3" applyFont="1" applyAlignment="1">
      <alignment horizontal="center"/>
    </xf>
    <xf numFmtId="0" fontId="136" fillId="0" borderId="0" xfId="0" applyFont="1" applyAlignment="1">
      <alignment horizontal="center"/>
    </xf>
    <xf numFmtId="0" fontId="14" fillId="0" borderId="17" xfId="0" applyFont="1" applyBorder="1" applyAlignment="1" applyProtection="1">
      <alignment horizontal="center"/>
      <protection locked="0"/>
    </xf>
    <xf numFmtId="0" fontId="14" fillId="0" borderId="0" xfId="0" applyFont="1" applyAlignment="1" applyProtection="1">
      <alignment horizontal="center"/>
      <protection locked="0"/>
    </xf>
    <xf numFmtId="0" fontId="43" fillId="0" borderId="23" xfId="8" applyFont="1" applyBorder="1" applyAlignment="1" applyProtection="1">
      <alignment horizontal="center"/>
      <protection locked="0"/>
    </xf>
    <xf numFmtId="0" fontId="43" fillId="0" borderId="22" xfId="8" applyFont="1" applyBorder="1" applyAlignment="1" applyProtection="1">
      <alignment horizontal="center"/>
      <protection locked="0"/>
    </xf>
    <xf numFmtId="0" fontId="43" fillId="0" borderId="24" xfId="8" applyFont="1" applyBorder="1" applyAlignment="1" applyProtection="1">
      <alignment horizontal="center"/>
      <protection locked="0"/>
    </xf>
    <xf numFmtId="0" fontId="24" fillId="0" borderId="20" xfId="8" applyFont="1" applyBorder="1" applyAlignment="1" applyProtection="1">
      <alignment horizontal="center" vertical="center"/>
      <protection locked="0"/>
    </xf>
    <xf numFmtId="0" fontId="24" fillId="0" borderId="13" xfId="8" applyFont="1" applyBorder="1" applyAlignment="1" applyProtection="1">
      <alignment horizontal="center" vertical="center"/>
      <protection locked="0"/>
    </xf>
    <xf numFmtId="0" fontId="24" fillId="0" borderId="0" xfId="8" applyFont="1" applyAlignment="1" applyProtection="1">
      <alignment horizontal="center" vertical="center"/>
      <protection locked="0"/>
    </xf>
    <xf numFmtId="0" fontId="24" fillId="0" borderId="19" xfId="8" applyFont="1" applyBorder="1" applyAlignment="1" applyProtection="1">
      <alignment horizontal="center" vertical="center"/>
      <protection locked="0"/>
    </xf>
    <xf numFmtId="0" fontId="32" fillId="0" borderId="0" xfId="3" applyFont="1" applyAlignment="1" applyProtection="1">
      <alignment horizontal="left"/>
      <protection locked="0"/>
    </xf>
    <xf numFmtId="0" fontId="51" fillId="0" borderId="0" xfId="8" applyFont="1" applyAlignment="1" applyProtection="1">
      <alignment horizontal="left"/>
      <protection locked="0"/>
    </xf>
    <xf numFmtId="0" fontId="114" fillId="0" borderId="14" xfId="0" applyFont="1" applyBorder="1" applyAlignment="1">
      <alignment horizontal="center" vertical="center"/>
    </xf>
    <xf numFmtId="0" fontId="113" fillId="0" borderId="0" xfId="0" applyFont="1" applyAlignment="1">
      <alignment horizontal="left" vertical="center"/>
    </xf>
    <xf numFmtId="0" fontId="14" fillId="0" borderId="0" xfId="3" applyFont="1" applyAlignment="1" applyProtection="1">
      <alignment horizontal="left" vertical="top" wrapText="1"/>
      <protection locked="0"/>
    </xf>
    <xf numFmtId="0" fontId="118" fillId="0" borderId="0" xfId="0" applyFont="1" applyAlignment="1">
      <alignment horizontal="center"/>
    </xf>
    <xf numFmtId="0" fontId="109" fillId="7" borderId="0" xfId="7" applyFont="1" applyFill="1" applyAlignment="1">
      <alignment horizontal="center" vertical="top" wrapText="1"/>
    </xf>
    <xf numFmtId="0" fontId="2" fillId="0" borderId="45" xfId="0" applyFont="1" applyBorder="1" applyAlignment="1">
      <alignment horizontal="center" vertical="top"/>
    </xf>
    <xf numFmtId="0" fontId="2" fillId="0" borderId="14" xfId="0" applyFont="1" applyBorder="1" applyAlignment="1">
      <alignment horizontal="center" vertical="top"/>
    </xf>
    <xf numFmtId="0" fontId="2" fillId="0" borderId="46" xfId="0" applyFont="1" applyBorder="1" applyAlignment="1">
      <alignment horizontal="center" vertical="top"/>
    </xf>
  </cellXfs>
  <cellStyles count="25">
    <cellStyle name="Comma" xfId="1" builtinId="3"/>
    <cellStyle name="Comma 2" xfId="24" xr:uid="{5060B5A8-1CA0-4281-94E8-BE6E81637BE7}"/>
    <cellStyle name="Currency_Estimate" xfId="2" xr:uid="{00000000-0005-0000-0000-000001000000}"/>
    <cellStyle name="Normal" xfId="0" builtinId="0"/>
    <cellStyle name="Normal 10" xfId="14" xr:uid="{00000000-0005-0000-0000-000003000000}"/>
    <cellStyle name="Normal 10 2" xfId="16" xr:uid="{00000000-0005-0000-0000-000004000000}"/>
    <cellStyle name="Normal 12 2" xfId="13" xr:uid="{00000000-0005-0000-0000-000005000000}"/>
    <cellStyle name="Normal 2" xfId="9" xr:uid="{00000000-0005-0000-0000-000006000000}"/>
    <cellStyle name="Normal 2 2" xfId="15" xr:uid="{00000000-0005-0000-0000-000007000000}"/>
    <cellStyle name="Normal 3" xfId="11" xr:uid="{00000000-0005-0000-0000-000008000000}"/>
    <cellStyle name="Normal 3 6" xfId="22" xr:uid="{00000000-0005-0000-0000-000009000000}"/>
    <cellStyle name="Normal 4" xfId="12" xr:uid="{00000000-0005-0000-0000-00000A000000}"/>
    <cellStyle name="Normal 4 2" xfId="21" xr:uid="{00000000-0005-0000-0000-00000B000000}"/>
    <cellStyle name="Normal 5" xfId="17" xr:uid="{00000000-0005-0000-0000-00000C000000}"/>
    <cellStyle name="Normal_BLOCKS" xfId="3" xr:uid="{00000000-0005-0000-0000-00000D000000}"/>
    <cellStyle name="Normal_CABLE" xfId="4" xr:uid="{00000000-0005-0000-0000-00000E000000}"/>
    <cellStyle name="Normal_E11_0126_Seabank_Hotel_Electrical" xfId="5" xr:uid="{00000000-0005-0000-0000-00000F000000}"/>
    <cellStyle name="Normal_Estimate" xfId="6" xr:uid="{00000000-0005-0000-0000-000010000000}"/>
    <cellStyle name="Normal_Estimate 2" xfId="10" xr:uid="{00000000-0005-0000-0000-000011000000}"/>
    <cellStyle name="Normal_Mark_up" xfId="7" xr:uid="{00000000-0005-0000-0000-000012000000}"/>
    <cellStyle name="Normal_PANELS" xfId="23" xr:uid="{00000000-0005-0000-0000-000013000000}"/>
    <cellStyle name="Normal_Price Lists" xfId="18" xr:uid="{00000000-0005-0000-0000-000014000000}"/>
    <cellStyle name="Normal_Prince_Est" xfId="19" xr:uid="{00000000-0005-0000-0000-000015000000}"/>
    <cellStyle name="Normal_RATES" xfId="20" xr:uid="{00000000-0005-0000-0000-000016000000}"/>
    <cellStyle name="Normal_STANDARD" xfId="8" xr:uid="{00000000-0005-0000-0000-000017000000}"/>
  </cellStyles>
  <dxfs count="23">
    <dxf>
      <font>
        <condense val="0"/>
        <extend val="0"/>
        <color indexed="55"/>
      </font>
      <fill>
        <patternFill>
          <bgColor indexed="9"/>
        </patternFill>
      </fill>
    </dxf>
    <dxf>
      <font>
        <condense val="0"/>
        <extend val="0"/>
        <color indexed="12"/>
      </font>
      <fill>
        <patternFill>
          <fgColor indexed="43"/>
          <bgColor indexed="43"/>
        </patternFill>
      </fill>
    </dxf>
    <dxf>
      <font>
        <b/>
        <i val="0"/>
        <condense val="0"/>
        <extend val="0"/>
        <color indexed="43"/>
      </font>
      <fill>
        <patternFill>
          <bgColor indexed="10"/>
        </patternFill>
      </fill>
    </dxf>
    <dxf>
      <font>
        <b/>
        <i/>
        <condense val="0"/>
        <extend val="0"/>
        <color auto="1"/>
      </font>
    </dxf>
    <dxf>
      <font>
        <b/>
        <i val="0"/>
        <condense val="0"/>
        <extend val="0"/>
        <color indexed="9"/>
      </font>
      <fill>
        <patternFill>
          <bgColor indexed="10"/>
        </patternFill>
      </fill>
    </dxf>
    <dxf>
      <font>
        <condense val="0"/>
        <extend val="0"/>
        <color indexed="55"/>
      </font>
      <fill>
        <patternFill>
          <bgColor indexed="9"/>
        </patternFill>
      </fill>
    </dxf>
    <dxf>
      <font>
        <condense val="0"/>
        <extend val="0"/>
        <color indexed="10"/>
      </font>
      <fill>
        <patternFill>
          <fgColor indexed="43"/>
          <bgColor indexed="43"/>
        </patternFill>
      </fill>
    </dxf>
    <dxf>
      <font>
        <b val="0"/>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13"/>
      </font>
      <fill>
        <patternFill>
          <bgColor indexed="10"/>
        </patternFill>
      </fill>
    </dxf>
    <dxf>
      <font>
        <condense val="0"/>
        <extend val="0"/>
        <color indexed="9"/>
      </font>
    </dxf>
    <dxf>
      <font>
        <condense val="0"/>
        <extend val="0"/>
        <color indexed="56"/>
      </font>
    </dxf>
    <dxf>
      <font>
        <condense val="0"/>
        <extend val="0"/>
        <color indexed="10"/>
      </font>
    </dxf>
    <dxf>
      <font>
        <b/>
        <i val="0"/>
        <condense val="0"/>
        <extend val="0"/>
        <color indexed="9"/>
      </font>
      <fill>
        <patternFill>
          <bgColor indexed="10"/>
        </patternFill>
      </fill>
    </dxf>
    <dxf>
      <font>
        <b val="0"/>
        <i/>
        <condense val="0"/>
        <extend val="0"/>
      </font>
    </dxf>
    <dxf>
      <font>
        <b/>
        <i val="0"/>
        <condense val="0"/>
        <extend val="0"/>
        <color indexed="9"/>
      </font>
      <fill>
        <patternFill>
          <bgColor indexed="10"/>
        </patternFill>
      </fill>
    </dxf>
    <dxf>
      <font>
        <condense val="0"/>
        <extend val="0"/>
        <color indexed="56"/>
      </font>
    </dxf>
    <dxf>
      <font>
        <condense val="0"/>
        <extend val="0"/>
        <color indexed="10"/>
      </font>
    </dxf>
    <dxf>
      <font>
        <condense val="0"/>
        <extend val="0"/>
        <color indexed="56"/>
      </font>
    </dxf>
    <dxf>
      <font>
        <condense val="0"/>
        <extend val="0"/>
        <color indexed="10"/>
      </font>
    </dxf>
    <dxf>
      <font>
        <b/>
        <i val="0"/>
        <condense val="0"/>
        <extend val="0"/>
      </font>
      <fill>
        <patternFill>
          <bgColor indexed="34"/>
        </patternFill>
      </fill>
    </dxf>
    <dxf>
      <font>
        <condense val="0"/>
        <extend val="0"/>
        <color indexed="56"/>
      </font>
    </dxf>
    <dxf>
      <font>
        <condense val="0"/>
        <extend val="0"/>
        <color indexed="1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ctrlProps/ctrlProp1.xml><?xml version="1.0" encoding="utf-8"?>
<formControlPr xmlns="http://schemas.microsoft.com/office/spreadsheetml/2009/9/main" objectType="CheckBox" checked="Checked" fmlaLink="$G$1" lockText="1" noThreeD="1"/>
</file>

<file path=xl/ctrlProps/ctrlProp2.xml><?xml version="1.0" encoding="utf-8"?>
<formControlPr xmlns="http://schemas.microsoft.com/office/spreadsheetml/2009/9/main" objectType="CheckBox" checked="Checked" fmlaLink="$G$2" lockText="1" noThreeD="1"/>
</file>

<file path=xl/ctrlProps/ctrlProp3.xml><?xml version="1.0" encoding="utf-8"?>
<formControlPr xmlns="http://schemas.microsoft.com/office/spreadsheetml/2009/9/main" objectType="CheckBox" checked="Checked" fmlaLink="$G$3" lockText="1" noThreeD="1"/>
</file>

<file path=xl/ctrlProps/ctrlProp4.xml><?xml version="1.0" encoding="utf-8"?>
<formControlPr xmlns="http://schemas.microsoft.com/office/spreadsheetml/2009/9/main" objectType="CheckBox" checked="Checked" fmlaLink="$G$4" lockText="1" noThreeD="1"/>
</file>

<file path=xl/ctrlProps/ctrlProp5.xml><?xml version="1.0" encoding="utf-8"?>
<formControlPr xmlns="http://schemas.microsoft.com/office/spreadsheetml/2009/9/main" objectType="CheckBox" checked="Checked" fmlaLink="$G$5" lockText="1" noThreeD="1"/>
</file>

<file path=xl/ctrlProps/ctrlProp6.xml><?xml version="1.0" encoding="utf-8"?>
<formControlPr xmlns="http://schemas.microsoft.com/office/spreadsheetml/2009/9/main" objectType="CheckBox" checked="Checked" fmlaLink="$G$6" lockText="1" noThreeD="1"/>
</file>

<file path=xl/ctrlProps/ctrlProp7.xml><?xml version="1.0" encoding="utf-8"?>
<formControlPr xmlns="http://schemas.microsoft.com/office/spreadsheetml/2009/9/main" objectType="CheckBox" checked="Checked" fmlaLink="$G$7" lockText="1" noThreeD="1"/>
</file>

<file path=xl/ctrlProps/ctrlProp8.xml><?xml version="1.0" encoding="utf-8"?>
<formControlPr xmlns="http://schemas.microsoft.com/office/spreadsheetml/2009/9/main" objectType="CheckBox" checked="Checked" fmlaLink="$G$8" lockText="1" noThreeD="1"/>
</file>

<file path=xl/ctrlProps/ctrlProp9.xml><?xml version="1.0" encoding="utf-8"?>
<formControlPr xmlns="http://schemas.microsoft.com/office/spreadsheetml/2009/9/main" objectType="CheckBox" checked="Checked" fmlaLink="$G$9" lockText="1" noThreeD="1"/>
</file>

<file path=xl/ctrlProps/ctrlProp10.xml><?xml version="1.0" encoding="utf-8"?>
<formControlPr xmlns="http://schemas.microsoft.com/office/spreadsheetml/2009/9/main" objectType="CheckBox" checked="Checked" fmlaLink="$H$1" lockText="1" noThreeD="1"/>
</file>

<file path=xl/ctrlProps/ctrlProp11.xml><?xml version="1.0" encoding="utf-8"?>
<formControlPr xmlns="http://schemas.microsoft.com/office/spreadsheetml/2009/9/main" objectType="CheckBox" checked="Checked" fmlaLink="$G$10" lockText="1" noThreeD="1"/>
</file>

<file path=xl/drawings/drawing1.xml><?xml version="1.0" encoding="utf-8"?>
<xdr:wsDr xmlns:xdr="http://schemas.openxmlformats.org/drawingml/2006/spreadsheetDrawing" xmlns:a="http://schemas.openxmlformats.org/drawingml/2006/main">
  <xdr:twoCellAnchor>
    <xdr:from>
      <xdr:col>0</xdr:col>
      <xdr:colOff>28575</xdr:colOff>
      <xdr:row>24</xdr:row>
      <xdr:rowOff>19050</xdr:rowOff>
    </xdr:from>
    <xdr:to>
      <xdr:col>20</xdr:col>
      <xdr:colOff>123825</xdr:colOff>
      <xdr:row>47</xdr:row>
      <xdr:rowOff>9525</xdr:rowOff>
    </xdr:to>
    <xdr:sp macro="" textlink="">
      <xdr:nvSpPr>
        <xdr:cNvPr id="2" name="Text 4">
          <a:extLst>
            <a:ext uri="{FF2B5EF4-FFF2-40B4-BE49-F238E27FC236}">
              <a16:creationId xmlns:a16="http://schemas.microsoft.com/office/drawing/2014/main" id="{00000000-0008-0000-0100-000002000000}"/>
            </a:ext>
          </a:extLst>
        </xdr:cNvPr>
        <xdr:cNvSpPr txBox="1">
          <a:spLocks noChangeArrowheads="1"/>
        </xdr:cNvSpPr>
      </xdr:nvSpPr>
      <xdr:spPr bwMode="auto">
        <a:xfrm>
          <a:off x="28575" y="4171950"/>
          <a:ext cx="6229350" cy="3714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lnSpc>
              <a:spcPts val="1100"/>
            </a:lnSpc>
            <a:defRPr sz="1000"/>
          </a:pPr>
          <a:r>
            <a:rPr lang="en-GB" sz="1000" b="1" i="0" u="sng" strike="noStrike" baseline="0">
              <a:solidFill>
                <a:srgbClr val="000000"/>
              </a:solidFill>
              <a:latin typeface="Mark Pro Book" panose="020B0604020201010104" pitchFamily="34" charset="0"/>
              <a:cs typeface="Arial"/>
            </a:rPr>
            <a:t>CONDITIONS: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1) As per tender notes.</a:t>
          </a:r>
        </a:p>
        <a:p>
          <a:pPr marL="0" marR="0" lvl="0" indent="0" algn="l" defTabSz="914400" rtl="0" eaLnBrk="1" fontAlgn="auto" latinLnBrk="0" hangingPunct="1">
            <a:lnSpc>
              <a:spcPts val="1100"/>
            </a:lnSpc>
            <a:spcBef>
              <a:spcPts val="0"/>
            </a:spcBef>
            <a:spcAft>
              <a:spcPts val="0"/>
            </a:spcAft>
            <a:buClrTx/>
            <a:buSzTx/>
            <a:buFontTx/>
            <a:buNone/>
            <a:tabLst/>
            <a:defRPr sz="1000"/>
          </a:pPr>
          <a:r>
            <a:rPr lang="en-GB" sz="1000" b="0" i="0" baseline="0">
              <a:effectLst/>
              <a:latin typeface="Mark Pro Book" panose="020B0604020201010104" pitchFamily="34" charset="0"/>
              <a:ea typeface="+mn-ea"/>
              <a:cs typeface="+mn-cs"/>
            </a:rPr>
            <a:t>2) AC systems - our scope of works for this system is empty conduit from indoor units to room thermostats.  Remaining works for this system are to be carried out by sub contractor.</a:t>
          </a:r>
        </a:p>
        <a:p>
          <a:pPr marL="0" marR="0" lvl="0" indent="0" algn="l" defTabSz="914400" rtl="0" eaLnBrk="1" fontAlgn="auto" latinLnBrk="0" hangingPunct="1">
            <a:lnSpc>
              <a:spcPts val="1100"/>
            </a:lnSpc>
            <a:spcBef>
              <a:spcPts val="0"/>
            </a:spcBef>
            <a:spcAft>
              <a:spcPts val="0"/>
            </a:spcAft>
            <a:buClrTx/>
            <a:buSzTx/>
            <a:buFontTx/>
            <a:buNone/>
            <a:tabLst/>
            <a:defRPr sz="1000"/>
          </a:pPr>
          <a:r>
            <a:rPr lang="en-GB" sz="1000" b="0" i="0" baseline="0">
              <a:effectLst/>
              <a:latin typeface="Mark Pro Book" panose="020B0604020201010104" pitchFamily="34" charset="0"/>
              <a:ea typeface="+mn-ea"/>
              <a:cs typeface="+mn-cs"/>
            </a:rPr>
            <a:t>3) Equipment will be connected to local power supplies, data points and fire alarm interfaces included in the relavant systems BOQs.  We will provide these at BOQ rates if missing from the respective BOQs.</a:t>
          </a:r>
        </a:p>
        <a:p>
          <a:pPr marL="0" marR="0" lvl="0" indent="0" algn="l" defTabSz="914400" rtl="0" eaLnBrk="1" fontAlgn="auto" latinLnBrk="0" hangingPunct="1">
            <a:lnSpc>
              <a:spcPts val="1100"/>
            </a:lnSpc>
            <a:spcBef>
              <a:spcPts val="0"/>
            </a:spcBef>
            <a:spcAft>
              <a:spcPts val="0"/>
            </a:spcAft>
            <a:buClrTx/>
            <a:buSzTx/>
            <a:buFontTx/>
            <a:buNone/>
            <a:tabLst/>
            <a:defRPr sz="1000"/>
          </a:pPr>
          <a:r>
            <a:rPr lang="en-GB" sz="1000" b="0" i="0" baseline="0">
              <a:effectLst/>
              <a:latin typeface="Mark Pro Book" panose="020B0604020201010104" pitchFamily="34" charset="0"/>
              <a:ea typeface="+mn-ea"/>
              <a:cs typeface="+mn-cs"/>
            </a:rPr>
            <a:t>4) Please note that VCPs will have motor rated circuit breakers instead of RCDs as these are more suitable for motor loads.</a:t>
          </a:r>
        </a:p>
        <a:p>
          <a:pPr marL="0" marR="0" lvl="0" indent="0" algn="l" defTabSz="914400" rtl="0" eaLnBrk="1" fontAlgn="auto" latinLnBrk="0" hangingPunct="1">
            <a:lnSpc>
              <a:spcPts val="1100"/>
            </a:lnSpc>
            <a:spcBef>
              <a:spcPts val="0"/>
            </a:spcBef>
            <a:spcAft>
              <a:spcPts val="0"/>
            </a:spcAft>
            <a:buClrTx/>
            <a:buSzTx/>
            <a:buFontTx/>
            <a:buNone/>
            <a:tabLst/>
            <a:defRPr sz="1000"/>
          </a:pPr>
          <a:r>
            <a:rPr lang="en-GB" sz="1000" b="0" i="0" strike="sngStrike" baseline="0">
              <a:solidFill>
                <a:srgbClr val="FF0000"/>
              </a:solidFill>
              <a:effectLst/>
              <a:latin typeface="Mark Pro Book" panose="020B0604020201010104" pitchFamily="34" charset="0"/>
              <a:ea typeface="+mn-ea"/>
              <a:cs typeface="+mn-cs"/>
            </a:rPr>
            <a:t>5) Variable speed drives will be installed adjacent to the VCPs to improve ventilation of these devices.</a:t>
          </a:r>
        </a:p>
        <a:p>
          <a:pPr marL="0" marR="0" lvl="0" indent="0" algn="l" defTabSz="914400" rtl="0" eaLnBrk="1" fontAlgn="auto" latinLnBrk="0" hangingPunct="1">
            <a:lnSpc>
              <a:spcPts val="1100"/>
            </a:lnSpc>
            <a:spcBef>
              <a:spcPts val="0"/>
            </a:spcBef>
            <a:spcAft>
              <a:spcPts val="0"/>
            </a:spcAft>
            <a:buClrTx/>
            <a:buSzTx/>
            <a:buFontTx/>
            <a:buNone/>
            <a:tabLst/>
            <a:defRPr sz="1000"/>
          </a:pPr>
          <a:endParaRPr lang="en-GB">
            <a:effectLst/>
            <a:latin typeface="Mark Pro Book" panose="020B0604020201010104" pitchFamily="34" charset="0"/>
          </a:endParaRPr>
        </a:p>
        <a:p>
          <a:pPr algn="l" rtl="0">
            <a:lnSpc>
              <a:spcPts val="11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r>
            <a:rPr lang="en-GB" sz="1000" b="1" i="0" u="sng" strike="noStrike" baseline="0">
              <a:solidFill>
                <a:srgbClr val="000000"/>
              </a:solidFill>
              <a:latin typeface="Mark Pro Book" panose="020B0604020201010104" pitchFamily="34" charset="0"/>
              <a:cs typeface="Arial"/>
            </a:rPr>
            <a:t>EXCLUSIONS:</a:t>
          </a: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1) Any builders' work.</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2) Work outside our normal working hours.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3) Security of the works after normal working hours.</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4) Cutting of holes in gypsum partitions or false ceilings to accommodate electrical devices.</a:t>
          </a:r>
        </a:p>
        <a:p>
          <a:pPr algn="l" rtl="0">
            <a:lnSpc>
              <a:spcPts val="1100"/>
            </a:lnSpc>
            <a:defRPr sz="1000"/>
          </a:pPr>
          <a:r>
            <a:rPr lang="en-GB" sz="1000" b="1" i="0" u="none" strike="noStrike" baseline="0">
              <a:solidFill>
                <a:srgbClr val="FF0000"/>
              </a:solidFill>
              <a:latin typeface="Mark Pro Book" panose="020B0604020201010104" pitchFamily="34" charset="0"/>
              <a:cs typeface="Arial"/>
            </a:rPr>
            <a:t>5) Carbon Monoxide sensing </a:t>
          </a:r>
          <a:r>
            <a:rPr lang="en-GB" sz="1000" b="1" i="0" u="none" strike="noStrike" baseline="0">
              <a:solidFill>
                <a:srgbClr val="FF0000"/>
              </a:solidFill>
              <a:latin typeface="Mark Pro Book" panose="020B0604020201010104" pitchFamily="34" charset="0"/>
              <a:ea typeface="+mn-ea"/>
              <a:cs typeface="Arial"/>
            </a:rPr>
            <a:t>system related to VCP-B1L shown on tender drawing No. QF.SC.ESCD.03 </a:t>
          </a:r>
          <a:br>
            <a:rPr lang="en-GB" sz="1000" b="1" i="0" u="none" strike="noStrike" baseline="0">
              <a:solidFill>
                <a:srgbClr val="FF0000"/>
              </a:solidFill>
              <a:latin typeface="Mark Pro Book" panose="020B0604020201010104" pitchFamily="34" charset="0"/>
              <a:ea typeface="+mn-ea"/>
              <a:cs typeface="Arial"/>
            </a:rPr>
          </a:br>
          <a:r>
            <a:rPr lang="en-GB" sz="1000" b="1" i="0" u="none" strike="noStrike" baseline="0">
              <a:solidFill>
                <a:srgbClr val="FF0000"/>
              </a:solidFill>
              <a:latin typeface="Mark Pro Book" panose="020B0604020201010104" pitchFamily="34" charset="0"/>
              <a:cs typeface="Arial"/>
            </a:rPr>
            <a:t>as this is missing from plan drawings and Tender BOQ. </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6) Anything not mentioned in our Bill of Quantities.</a:t>
          </a:r>
        </a:p>
        <a:p>
          <a:pPr algn="l" rtl="0">
            <a:lnSpc>
              <a:spcPts val="11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xdr:txBody>
    </xdr:sp>
    <xdr:clientData fLocksWithSheet="0"/>
  </xdr:twoCellAnchor>
  <xdr:twoCellAnchor>
    <xdr:from>
      <xdr:col>0</xdr:col>
      <xdr:colOff>28575</xdr:colOff>
      <xdr:row>10</xdr:row>
      <xdr:rowOff>76200</xdr:rowOff>
    </xdr:from>
    <xdr:to>
      <xdr:col>20</xdr:col>
      <xdr:colOff>28575</xdr:colOff>
      <xdr:row>19</xdr:row>
      <xdr:rowOff>66675</xdr:rowOff>
    </xdr:to>
    <xdr:sp macro="" textlink="">
      <xdr:nvSpPr>
        <xdr:cNvPr id="3" name="Text 6">
          <a:extLst>
            <a:ext uri="{FF2B5EF4-FFF2-40B4-BE49-F238E27FC236}">
              <a16:creationId xmlns:a16="http://schemas.microsoft.com/office/drawing/2014/main" id="{00000000-0008-0000-0100-000003000000}"/>
            </a:ext>
          </a:extLst>
        </xdr:cNvPr>
        <xdr:cNvSpPr txBox="1">
          <a:spLocks noChangeArrowheads="1"/>
        </xdr:cNvSpPr>
      </xdr:nvSpPr>
      <xdr:spPr bwMode="auto">
        <a:xfrm>
          <a:off x="28575" y="1962150"/>
          <a:ext cx="6134100" cy="14478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1" i="0" u="sng" strike="noStrike" baseline="0">
              <a:solidFill>
                <a:srgbClr val="000000"/>
              </a:solidFill>
              <a:latin typeface="Mark Pro Book" panose="020B0604020201010104" pitchFamily="34" charset="0"/>
              <a:cs typeface="Arial"/>
            </a:rPr>
            <a:t>DESCRIPTION OF WORKS / SPECIFICATIONS:</a:t>
          </a:r>
          <a:endParaRPr lang="en-GB" sz="1000" b="0" i="0" u="none" strike="noStrike" baseline="0">
            <a:solidFill>
              <a:srgbClr val="000000"/>
            </a:solidFill>
            <a:latin typeface="Mark Pro Book" panose="020B0604020201010104" pitchFamily="34" charset="0"/>
            <a:cs typeface="Arial"/>
          </a:endParaRPr>
        </a:p>
        <a:p>
          <a:pPr algn="l" rtl="0">
            <a:defRPr sz="1000"/>
          </a:pPr>
          <a:r>
            <a:rPr lang="en-GB" sz="1000" b="0" i="0" u="none" strike="noStrike" baseline="0">
              <a:solidFill>
                <a:srgbClr val="000000"/>
              </a:solidFill>
              <a:latin typeface="Mark Pro Book" panose="020B0604020201010104" pitchFamily="34" charset="0"/>
              <a:cs typeface="Arial"/>
            </a:rPr>
            <a:t>1) As per the attached BOQ.</a:t>
          </a:r>
        </a:p>
        <a:p>
          <a:pPr algn="l" rtl="0">
            <a:defRPr sz="1000"/>
          </a:pPr>
          <a:endParaRPr lang="en-GB" sz="1000" b="0" i="0" u="none" strike="noStrike" baseline="0">
            <a:solidFill>
              <a:srgbClr val="000000"/>
            </a:solidFill>
            <a:latin typeface="Arial"/>
            <a:cs typeface="Arial"/>
          </a:endParaRPr>
        </a:p>
      </xdr:txBody>
    </xdr:sp>
    <xdr:clientData fLocksWithSheet="0"/>
  </xdr:twoCellAnchor>
</xdr:wsDr>
</file>

<file path=xl/drawings/drawing2.xml><?xml version="1.0" encoding="utf-8"?>
<xdr:wsDr xmlns:xdr="http://schemas.openxmlformats.org/drawingml/2006/spreadsheetDrawing" xmlns:a="http://schemas.openxmlformats.org/drawingml/2006/main">
  <xdr:twoCellAnchor>
    <xdr:from>
      <xdr:col>16</xdr:col>
      <xdr:colOff>285750</xdr:colOff>
      <xdr:row>70</xdr:row>
      <xdr:rowOff>152400</xdr:rowOff>
    </xdr:from>
    <xdr:to>
      <xdr:col>19</xdr:col>
      <xdr:colOff>561975</xdr:colOff>
      <xdr:row>75</xdr:row>
      <xdr:rowOff>0</xdr:rowOff>
    </xdr:to>
    <xdr:sp macro="" textlink="">
      <xdr:nvSpPr>
        <xdr:cNvPr id="1059" name="Text Box 35">
          <a:extLst>
            <a:ext uri="{FF2B5EF4-FFF2-40B4-BE49-F238E27FC236}">
              <a16:creationId xmlns:a16="http://schemas.microsoft.com/office/drawing/2014/main" id="{00000000-0008-0000-0200-000023040000}"/>
            </a:ext>
          </a:extLst>
        </xdr:cNvPr>
        <xdr:cNvSpPr txBox="1">
          <a:spLocks noChangeArrowheads="1"/>
        </xdr:cNvSpPr>
      </xdr:nvSpPr>
      <xdr:spPr bwMode="auto">
        <a:xfrm>
          <a:off x="4181475" y="12944475"/>
          <a:ext cx="2362200" cy="6858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GB" sz="1000" b="0" i="0" u="sng" strike="noStrike" baseline="0">
              <a:solidFill>
                <a:srgbClr val="000000"/>
              </a:solidFill>
              <a:latin typeface="Arial"/>
              <a:cs typeface="Arial"/>
            </a:rPr>
            <a:t>Comment / Change in Scope</a:t>
          </a:r>
        </a:p>
        <a:p>
          <a:pPr algn="l" rtl="0">
            <a:defRPr sz="1000"/>
          </a:pPr>
          <a:endParaRPr lang="en-GB" sz="1000" b="0" i="0" u="sng" strike="noStrike" baseline="0">
            <a:solidFill>
              <a:srgbClr val="000000"/>
            </a:solidFill>
            <a:latin typeface="Arial"/>
            <a:cs typeface="Arial"/>
          </a:endParaRPr>
        </a:p>
        <a:p>
          <a:pPr algn="l" rtl="0">
            <a:defRPr sz="1000"/>
          </a:pPr>
          <a:endParaRPr lang="en-GB" sz="1000" b="0" i="0" u="sng"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1</xdr:row>
          <xdr:rowOff>106680</xdr:rowOff>
        </xdr:from>
        <xdr:to>
          <xdr:col>1</xdr:col>
          <xdr:colOff>259080</xdr:colOff>
          <xdr:row>2</xdr:row>
          <xdr:rowOff>45720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500-0000F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1.Form/0Mat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0</xdr:col>
          <xdr:colOff>525780</xdr:colOff>
          <xdr:row>2</xdr:row>
          <xdr:rowOff>220980</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500-0000F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2.VAT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182880</xdr:rowOff>
        </xdr:from>
        <xdr:to>
          <xdr:col>1</xdr:col>
          <xdr:colOff>129540</xdr:colOff>
          <xdr:row>3</xdr:row>
          <xdr:rowOff>137160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00000000-0008-0000-0500-0000F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3.DiscyA-J</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68580</xdr:rowOff>
        </xdr:from>
        <xdr:to>
          <xdr:col>1</xdr:col>
          <xdr:colOff>335280</xdr:colOff>
          <xdr:row>4</xdr:row>
          <xdr:rowOff>83820</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500-0000F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4.MU/LabRate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7620</xdr:rowOff>
        </xdr:from>
        <xdr:to>
          <xdr:col>1</xdr:col>
          <xdr:colOff>327660</xdr:colOff>
          <xdr:row>5</xdr:row>
          <xdr:rowOff>60960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500-0000F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5.Ov.Dsct/MU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152400</xdr:rowOff>
        </xdr:from>
        <xdr:to>
          <xdr:col>1</xdr:col>
          <xdr:colOff>266700</xdr:colOff>
          <xdr:row>6</xdr:row>
          <xdr:rowOff>30480</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500-0000F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6ab.Lab.Cont.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137160</xdr:rowOff>
        </xdr:from>
        <xdr:to>
          <xdr:col>1</xdr:col>
          <xdr:colOff>243840</xdr:colOff>
          <xdr:row>7</xdr:row>
          <xdr:rowOff>7620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500-0000F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7.Mat.Cont.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114300</xdr:rowOff>
        </xdr:from>
        <xdr:to>
          <xdr:col>0</xdr:col>
          <xdr:colOff>502920</xdr:colOff>
          <xdr:row>7</xdr:row>
          <xdr:rowOff>160020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500-0000F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8.BOQ</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99060</xdr:rowOff>
        </xdr:from>
        <xdr:to>
          <xdr:col>1</xdr:col>
          <xdr:colOff>60960</xdr:colOff>
          <xdr:row>8</xdr:row>
          <xdr:rowOff>144780</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500-00000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9.Recon.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76200</xdr:rowOff>
        </xdr:from>
        <xdr:to>
          <xdr:col>1</xdr:col>
          <xdr:colOff>182880</xdr:colOff>
          <xdr:row>10</xdr:row>
          <xdr:rowOff>121920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500-00000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11.ValsOnly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76200</xdr:rowOff>
        </xdr:from>
        <xdr:to>
          <xdr:col>1</xdr:col>
          <xdr:colOff>556260</xdr:colOff>
          <xdr:row>9</xdr:row>
          <xdr:rowOff>121920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500-00001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10.Avg.Rates OK?</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2</xdr:col>
      <xdr:colOff>9525</xdr:colOff>
      <xdr:row>49</xdr:row>
      <xdr:rowOff>9525</xdr:rowOff>
    </xdr:from>
    <xdr:to>
      <xdr:col>5</xdr:col>
      <xdr:colOff>628650</xdr:colOff>
      <xdr:row>50</xdr:row>
      <xdr:rowOff>123825</xdr:rowOff>
    </xdr:to>
    <xdr:sp macro="" textlink="">
      <xdr:nvSpPr>
        <xdr:cNvPr id="2" name="WordArt 1">
          <a:extLst>
            <a:ext uri="{FF2B5EF4-FFF2-40B4-BE49-F238E27FC236}">
              <a16:creationId xmlns:a16="http://schemas.microsoft.com/office/drawing/2014/main" id="{00000000-0008-0000-0500-000002000000}"/>
            </a:ext>
          </a:extLst>
        </xdr:cNvPr>
        <xdr:cNvSpPr>
          <a:spLocks noChangeArrowheads="1" noChangeShapeType="1" noTextEdit="1"/>
        </xdr:cNvSpPr>
      </xdr:nvSpPr>
      <xdr:spPr bwMode="auto">
        <a:xfrm rot="-1896450">
          <a:off x="3905250" y="7991475"/>
          <a:ext cx="2324100" cy="276225"/>
        </a:xfrm>
        <a:prstGeom prst="rect">
          <a:avLst/>
        </a:prstGeom>
        <a:extLst>
          <a:ext uri="{91240B29-F687-4F45-9708-019B960494DF}">
            <a14:hiddenLine xmlns:a14="http://schemas.microsoft.com/office/drawing/2010/main" w="9525">
              <a:solidFill>
                <a:srgbClr val="000000"/>
              </a:solidFill>
              <a:round/>
              <a:headEnd/>
              <a:tailEnd/>
            </a14:hiddenLine>
          </a:ext>
        </a:extLst>
      </xdr:spPr>
      <xdr:txBody>
        <a:bodyPr wrap="none" fromWordArt="1">
          <a:prstTxWarp prst="textPlain">
            <a:avLst>
              <a:gd name="adj" fmla="val 50000"/>
            </a:avLst>
          </a:prstTxWarp>
        </a:bodyPr>
        <a:lstStyle/>
        <a:p>
          <a:pPr algn="ctr" rtl="0">
            <a:buNone/>
          </a:pPr>
          <a:r>
            <a:rPr lang="en-GB" sz="1800" kern="10" spc="0">
              <a:ln>
                <a:noFill/>
              </a:ln>
              <a:gradFill rotWithShape="0">
                <a:gsLst>
                  <a:gs pos="0">
                    <a:srgbClr val="FFFF00"/>
                  </a:gs>
                  <a:gs pos="100000">
                    <a:srgbClr val="FF9933"/>
                  </a:gs>
                </a:gsLst>
                <a:path path="rect">
                  <a:fillToRect l="50000" t="50000" r="50000" b="50000"/>
                </a:path>
              </a:gradFill>
              <a:effectLst>
                <a:outerShdw dist="35921" dir="2700000" algn="ctr" rotWithShape="0">
                  <a:srgbClr val="C0C0C0">
                    <a:alpha val="80000"/>
                  </a:srgbClr>
                </a:outerShdw>
              </a:effectLst>
              <a:latin typeface="Impact" panose="020B0806030902050204" pitchFamily="34" charset="0"/>
            </a:rPr>
            <a:t>Remember to edit Page Totals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st/CBOM/Annex%20II/Estimates/E14_XXXX_Estimate_LightningProtec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L_Sum"/>
      <sheetName val="Quote"/>
      <sheetName val="Elec_Rates"/>
      <sheetName val="Elec_Est"/>
      <sheetName val="LP_BOQ"/>
      <sheetName val="COMM_BOQ"/>
    </sheetNames>
    <sheetDataSet>
      <sheetData sheetId="0" refreshError="1"/>
      <sheetData sheetId="1">
        <row r="1">
          <cell r="X1" t="str">
            <v>x</v>
          </cell>
          <cell r="Y1" t="str">
            <v>x</v>
          </cell>
          <cell r="Z1" t="str">
            <v>x</v>
          </cell>
          <cell r="AA1" t="str">
            <v>x</v>
          </cell>
          <cell r="AB1" t="str">
            <v>x</v>
          </cell>
          <cell r="AC1" t="str">
            <v>x</v>
          </cell>
          <cell r="AD1" t="str">
            <v>x</v>
          </cell>
        </row>
        <row r="2">
          <cell r="X2" t="str">
            <v>x</v>
          </cell>
          <cell r="Y2" t="str">
            <v>x</v>
          </cell>
          <cell r="Z2" t="str">
            <v>x</v>
          </cell>
          <cell r="AA2" t="str">
            <v>x</v>
          </cell>
          <cell r="AB2" t="str">
            <v>x</v>
          </cell>
          <cell r="AC2" t="str">
            <v>x</v>
          </cell>
          <cell r="AD2" t="str">
            <v>x</v>
          </cell>
        </row>
        <row r="3">
          <cell r="X3" t="str">
            <v>x</v>
          </cell>
          <cell r="Y3" t="str">
            <v>x</v>
          </cell>
          <cell r="Z3" t="str">
            <v>x</v>
          </cell>
          <cell r="AA3" t="str">
            <v>x</v>
          </cell>
          <cell r="AB3" t="str">
            <v>x</v>
          </cell>
          <cell r="AC3" t="str">
            <v>x</v>
          </cell>
          <cell r="AD3" t="str">
            <v>x</v>
          </cell>
        </row>
        <row r="4">
          <cell r="X4" t="str">
            <v>x</v>
          </cell>
          <cell r="Y4" t="str">
            <v>x</v>
          </cell>
          <cell r="Z4" t="str">
            <v>x</v>
          </cell>
          <cell r="AA4" t="str">
            <v>x</v>
          </cell>
          <cell r="AB4" t="str">
            <v>x</v>
          </cell>
          <cell r="AC4" t="str">
            <v>x</v>
          </cell>
          <cell r="AD4" t="str">
            <v>x</v>
          </cell>
        </row>
        <row r="5">
          <cell r="X5" t="str">
            <v>x</v>
          </cell>
          <cell r="Y5" t="str">
            <v>x</v>
          </cell>
          <cell r="Z5" t="str">
            <v>x</v>
          </cell>
          <cell r="AA5" t="str">
            <v>x</v>
          </cell>
          <cell r="AB5" t="str">
            <v>x</v>
          </cell>
          <cell r="AC5" t="str">
            <v>x</v>
          </cell>
          <cell r="AD5" t="str">
            <v>x</v>
          </cell>
        </row>
        <row r="6">
          <cell r="X6" t="str">
            <v>x</v>
          </cell>
          <cell r="Y6" t="str">
            <v>x</v>
          </cell>
          <cell r="Z6" t="str">
            <v>x</v>
          </cell>
          <cell r="AA6" t="str">
            <v>x</v>
          </cell>
          <cell r="AB6" t="str">
            <v>x</v>
          </cell>
          <cell r="AC6" t="str">
            <v>x</v>
          </cell>
          <cell r="AD6" t="str">
            <v>x</v>
          </cell>
        </row>
        <row r="7">
          <cell r="X7" t="str">
            <v>x</v>
          </cell>
          <cell r="Y7" t="str">
            <v>x</v>
          </cell>
          <cell r="Z7" t="str">
            <v>x</v>
          </cell>
          <cell r="AA7" t="str">
            <v>x</v>
          </cell>
          <cell r="AB7" t="str">
            <v>x</v>
          </cell>
          <cell r="AC7" t="str">
            <v>x</v>
          </cell>
          <cell r="AD7" t="str">
            <v>x</v>
          </cell>
        </row>
        <row r="8">
          <cell r="X8" t="str">
            <v>x</v>
          </cell>
          <cell r="Y8" t="str">
            <v>x</v>
          </cell>
          <cell r="Z8" t="str">
            <v>x</v>
          </cell>
          <cell r="AA8" t="str">
            <v>x</v>
          </cell>
          <cell r="AB8" t="str">
            <v>x</v>
          </cell>
          <cell r="AC8" t="str">
            <v>x</v>
          </cell>
          <cell r="AD8" t="str">
            <v>x</v>
          </cell>
        </row>
        <row r="9">
          <cell r="X9" t="str">
            <v>x</v>
          </cell>
          <cell r="Y9" t="str">
            <v>x</v>
          </cell>
          <cell r="Z9" t="str">
            <v>x</v>
          </cell>
          <cell r="AA9" t="str">
            <v>x</v>
          </cell>
          <cell r="AB9" t="str">
            <v>x</v>
          </cell>
          <cell r="AC9" t="str">
            <v>x</v>
          </cell>
          <cell r="AD9" t="str">
            <v>x</v>
          </cell>
        </row>
        <row r="10">
          <cell r="X10" t="str">
            <v>x</v>
          </cell>
          <cell r="Y10" t="str">
            <v>x</v>
          </cell>
          <cell r="Z10" t="str">
            <v>x</v>
          </cell>
          <cell r="AA10" t="str">
            <v>x</v>
          </cell>
          <cell r="AB10" t="str">
            <v>x</v>
          </cell>
          <cell r="AC10" t="str">
            <v>x</v>
          </cell>
          <cell r="AD10" t="str">
            <v>x</v>
          </cell>
        </row>
        <row r="11">
          <cell r="X11" t="str">
            <v>x</v>
          </cell>
          <cell r="Y11" t="str">
            <v>x</v>
          </cell>
          <cell r="Z11" t="str">
            <v>x</v>
          </cell>
          <cell r="AA11" t="str">
            <v>x</v>
          </cell>
          <cell r="AB11" t="str">
            <v>x</v>
          </cell>
          <cell r="AC11" t="str">
            <v>x</v>
          </cell>
          <cell r="AD11" t="str">
            <v>x</v>
          </cell>
        </row>
        <row r="12">
          <cell r="X12" t="str">
            <v>x</v>
          </cell>
          <cell r="Y12" t="str">
            <v>x</v>
          </cell>
          <cell r="Z12" t="str">
            <v>x</v>
          </cell>
          <cell r="AA12" t="str">
            <v>x</v>
          </cell>
          <cell r="AB12" t="str">
            <v>x</v>
          </cell>
          <cell r="AC12" t="str">
            <v>x</v>
          </cell>
          <cell r="AD12" t="str">
            <v>x</v>
          </cell>
        </row>
        <row r="14">
          <cell r="X14" t="str">
            <v>x</v>
          </cell>
          <cell r="Y14" t="str">
            <v>x</v>
          </cell>
          <cell r="Z14" t="str">
            <v>x</v>
          </cell>
          <cell r="AA14" t="str">
            <v>x</v>
          </cell>
          <cell r="AB14" t="str">
            <v>x</v>
          </cell>
          <cell r="AC14" t="str">
            <v>x</v>
          </cell>
          <cell r="AD14" t="str">
            <v>x</v>
          </cell>
        </row>
        <row r="15">
          <cell r="X15" t="str">
            <v>x</v>
          </cell>
          <cell r="Y15" t="str">
            <v>x</v>
          </cell>
          <cell r="Z15" t="str">
            <v>x</v>
          </cell>
          <cell r="AA15" t="str">
            <v>x</v>
          </cell>
          <cell r="AB15" t="str">
            <v>x</v>
          </cell>
          <cell r="AC15" t="str">
            <v>x</v>
          </cell>
          <cell r="AD15" t="str">
            <v>x</v>
          </cell>
        </row>
        <row r="16">
          <cell r="X16" t="str">
            <v>x</v>
          </cell>
          <cell r="Y16" t="str">
            <v>x</v>
          </cell>
          <cell r="Z16" t="str">
            <v>x</v>
          </cell>
          <cell r="AA16" t="str">
            <v>x</v>
          </cell>
          <cell r="AB16" t="str">
            <v>x</v>
          </cell>
          <cell r="AC16" t="str">
            <v>x</v>
          </cell>
          <cell r="AD16" t="str">
            <v>x</v>
          </cell>
        </row>
      </sheetData>
      <sheetData sheetId="2" refreshError="1"/>
      <sheetData sheetId="3" refreshError="1"/>
      <sheetData sheetId="4"/>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2.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6.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omments" Target="../comments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tabColor indexed="14"/>
  </sheetPr>
  <dimension ref="A1:IV212"/>
  <sheetViews>
    <sheetView topLeftCell="A21" workbookViewId="0">
      <selection activeCell="A45" sqref="A45"/>
    </sheetView>
  </sheetViews>
  <sheetFormatPr defaultColWidth="9.109375" defaultRowHeight="13.2"/>
  <cols>
    <col min="1" max="2" width="8.33203125" style="35" customWidth="1"/>
    <col min="3" max="3" width="4.33203125" style="35" hidden="1" customWidth="1"/>
    <col min="4" max="5" width="23.6640625" style="35" customWidth="1"/>
    <col min="6" max="6" width="27.5546875" style="35" customWidth="1"/>
    <col min="7" max="7" width="9.6640625" style="35" hidden="1" customWidth="1"/>
    <col min="8" max="8" width="7.6640625" style="35" hidden="1" customWidth="1"/>
    <col min="9" max="11" width="8.6640625" style="35" hidden="1" customWidth="1"/>
    <col min="12" max="12" width="6.6640625" style="35" hidden="1" customWidth="1"/>
    <col min="13" max="16" width="8.6640625" style="35" hidden="1" customWidth="1"/>
    <col min="17" max="20" width="15.5546875" style="35" customWidth="1"/>
    <col min="21" max="21" width="4.88671875" style="35" customWidth="1"/>
    <col min="22" max="23" width="4.33203125" style="35" customWidth="1"/>
    <col min="24" max="24" width="5.6640625" style="35" customWidth="1"/>
    <col min="25" max="28" width="4.33203125" style="35" customWidth="1"/>
    <col min="29" max="16384" width="9.109375" style="35"/>
  </cols>
  <sheetData>
    <row r="1" spans="1:31" s="31" customFormat="1" ht="13.8">
      <c r="A1" s="472"/>
      <c r="B1" s="473" t="s">
        <v>0</v>
      </c>
      <c r="C1" s="474">
        <f>ML_Sum!$C1</f>
        <v>1</v>
      </c>
      <c r="D1" s="475" t="str">
        <f>ML_Sum!$D1</f>
        <v>Quintano Foods Ltd.</v>
      </c>
      <c r="E1" s="476"/>
      <c r="F1" s="477">
        <f>ML_Sum!$F1</f>
        <v>0</v>
      </c>
      <c r="G1" s="478"/>
      <c r="H1"/>
      <c r="I1" s="257">
        <v>1</v>
      </c>
      <c r="J1" s="258">
        <f>ML_Sum!$J1</f>
        <v>1</v>
      </c>
      <c r="K1" s="258">
        <f>ML_Sum!$K1</f>
        <v>1</v>
      </c>
      <c r="L1" s="258">
        <f>ML_Sum!$L1</f>
        <v>1</v>
      </c>
      <c r="M1" s="258">
        <f>ML_Sum!$M1</f>
        <v>1</v>
      </c>
      <c r="N1" s="258">
        <f>ML_Sum!$N1</f>
        <v>1</v>
      </c>
      <c r="O1" s="258">
        <f>ML_Sum!$O1</f>
        <v>1</v>
      </c>
      <c r="P1"/>
      <c r="Q1" s="330" t="str">
        <f>ML_Sum!$Q1</f>
        <v>€</v>
      </c>
      <c r="R1" s="261" t="s">
        <v>1</v>
      </c>
      <c r="S1" s="329" t="str">
        <f>ML_Sum!$S1</f>
        <v>R</v>
      </c>
      <c r="T1" s="16">
        <f>ML_Sum!$T1</f>
        <v>1</v>
      </c>
      <c r="U1" s="181" t="str">
        <f>ML_Sum!W1</f>
        <v>BOQ</v>
      </c>
      <c r="V1" s="115" t="s">
        <v>204</v>
      </c>
      <c r="W1" s="116" t="s">
        <v>194</v>
      </c>
      <c r="X1" s="117" t="s">
        <v>195</v>
      </c>
      <c r="Y1" s="118" t="s">
        <v>196</v>
      </c>
      <c r="Z1" s="119" t="s">
        <v>192</v>
      </c>
      <c r="AA1" s="119" t="s">
        <v>197</v>
      </c>
      <c r="AB1" s="116" t="s">
        <v>198</v>
      </c>
    </row>
    <row r="2" spans="1:31" s="31" customFormat="1" ht="13.8">
      <c r="A2" s="472"/>
      <c r="B2" s="473" t="s">
        <v>2</v>
      </c>
      <c r="C2" s="474">
        <f>ML_Sum!$C2</f>
        <v>1</v>
      </c>
      <c r="D2" s="475" t="str">
        <f>ML_Sum!$D2</f>
        <v>Warehouse at tal-Handaq, Qormi</v>
      </c>
      <c r="E2" s="479"/>
      <c r="F2" s="477" t="str">
        <f>ML_Sum!$F2</f>
        <v>Electrical</v>
      </c>
      <c r="G2" s="478"/>
      <c r="H2"/>
      <c r="I2" s="257">
        <v>2</v>
      </c>
      <c r="J2" s="258">
        <f>ML_Sum!$J2</f>
        <v>1</v>
      </c>
      <c r="K2" s="258">
        <f>ML_Sum!$K2</f>
        <v>1</v>
      </c>
      <c r="L2" s="258">
        <f>ML_Sum!$L2</f>
        <v>1</v>
      </c>
      <c r="M2" s="258">
        <f>ML_Sum!$M2</f>
        <v>1</v>
      </c>
      <c r="N2" s="258">
        <f>ML_Sum!$N2</f>
        <v>1</v>
      </c>
      <c r="O2" s="258">
        <f>ML_Sum!$O2</f>
        <v>1</v>
      </c>
      <c r="P2"/>
      <c r="Q2" s="336">
        <f>ML_Sum!$Q2</f>
        <v>0</v>
      </c>
      <c r="R2" s="17" t="s">
        <v>3</v>
      </c>
      <c r="S2" s="337">
        <f>ML_Sum!$S2</f>
        <v>1</v>
      </c>
      <c r="T2" s="338">
        <f>ML_Sum!$T2</f>
        <v>27.46</v>
      </c>
      <c r="V2" s="309"/>
      <c r="W2" s="309"/>
      <c r="X2" s="309"/>
      <c r="Y2" s="309"/>
      <c r="Z2" s="309"/>
      <c r="AA2" s="309"/>
      <c r="AB2" s="309"/>
    </row>
    <row r="3" spans="1:31" s="31" customFormat="1" ht="13.8">
      <c r="A3" s="480"/>
      <c r="B3" s="481" t="s">
        <v>4</v>
      </c>
      <c r="C3" s="474">
        <f>ML_Sum!$C3</f>
        <v>1</v>
      </c>
      <c r="D3" s="475" t="str">
        <f>ML_Sum!$D3</f>
        <v>Electrical installation for Mechanical (HVAC) - Revision B</v>
      </c>
      <c r="E3" s="480"/>
      <c r="F3" s="477" t="str">
        <f>ML_Sum!$F3</f>
        <v>ECA</v>
      </c>
      <c r="G3" s="482"/>
      <c r="H3"/>
      <c r="I3" s="257">
        <v>3</v>
      </c>
      <c r="J3" s="258">
        <f>ML_Sum!$J3</f>
        <v>1</v>
      </c>
      <c r="K3" s="258">
        <f>ML_Sum!$K3</f>
        <v>1</v>
      </c>
      <c r="L3" s="258">
        <f>ML_Sum!$L3</f>
        <v>1</v>
      </c>
      <c r="M3" s="258">
        <f>ML_Sum!$M3</f>
        <v>1</v>
      </c>
      <c r="N3" s="258">
        <f>ML_Sum!$N3</f>
        <v>1</v>
      </c>
      <c r="O3" s="258">
        <f>ML_Sum!$O3</f>
        <v>1</v>
      </c>
      <c r="P3"/>
      <c r="Q3" s="336">
        <f>ML_Sum!$Q3</f>
        <v>0</v>
      </c>
      <c r="R3" s="18" t="s">
        <v>5</v>
      </c>
      <c r="S3" s="337">
        <f>ML_Sum!$S3</f>
        <v>1</v>
      </c>
      <c r="T3" s="338">
        <f>ML_Sum!$T3</f>
        <v>27.46</v>
      </c>
      <c r="V3" s="309"/>
      <c r="W3" s="309"/>
      <c r="X3" s="309"/>
      <c r="Y3" s="309"/>
      <c r="Z3" s="309"/>
      <c r="AA3" s="309"/>
      <c r="AB3" s="309"/>
      <c r="AE3" s="303"/>
    </row>
    <row r="4" spans="1:31" s="31" customFormat="1" ht="13.8">
      <c r="A4" s="483"/>
      <c r="B4" s="473" t="s">
        <v>6</v>
      </c>
      <c r="C4" s="474">
        <f>ML_Sum!$C4</f>
        <v>1</v>
      </c>
      <c r="D4" s="475" t="str">
        <f>ML_Sum!$D4</f>
        <v>ELM-25-0085B</v>
      </c>
      <c r="E4" s="480"/>
      <c r="F4" s="477">
        <f>ML_Sum!$F4</f>
        <v>0</v>
      </c>
      <c r="G4" s="482"/>
      <c r="H4"/>
      <c r="I4" s="257">
        <v>4</v>
      </c>
      <c r="J4" s="258">
        <f>ML_Sum!$J4</f>
        <v>1</v>
      </c>
      <c r="K4" s="258">
        <f>ML_Sum!$K4</f>
        <v>1</v>
      </c>
      <c r="L4" s="258">
        <f>ML_Sum!$L4</f>
        <v>1</v>
      </c>
      <c r="M4" s="258">
        <f>ML_Sum!$M4</f>
        <v>1</v>
      </c>
      <c r="N4" s="258">
        <f>ML_Sum!$N4</f>
        <v>1</v>
      </c>
      <c r="O4" s="258">
        <f>ML_Sum!$O4</f>
        <v>1</v>
      </c>
      <c r="P4"/>
      <c r="Q4" s="336">
        <f>ML_Sum!$Q4</f>
        <v>0</v>
      </c>
      <c r="R4" s="19" t="s">
        <v>8</v>
      </c>
      <c r="S4" s="337">
        <f>ML_Sum!$S4</f>
        <v>1</v>
      </c>
      <c r="T4" s="338">
        <f>ML_Sum!$T4</f>
        <v>27.46</v>
      </c>
      <c r="V4" s="309"/>
      <c r="W4" s="309"/>
      <c r="X4" s="309"/>
      <c r="Y4" s="309"/>
      <c r="Z4" s="309"/>
      <c r="AA4" s="309"/>
      <c r="AB4" s="309"/>
      <c r="AE4" s="304"/>
    </row>
    <row r="5" spans="1:31" s="31" customFormat="1" ht="13.8">
      <c r="A5" s="483"/>
      <c r="B5" s="473" t="s">
        <v>206</v>
      </c>
      <c r="C5" s="474">
        <f>ML_Sum!$C5</f>
        <v>1</v>
      </c>
      <c r="D5" s="475" t="str">
        <f>ML_Sum!$D5</f>
        <v>Tender</v>
      </c>
      <c r="E5" s="480"/>
      <c r="F5" s="477">
        <f>ML_Sum!$F5</f>
        <v>0</v>
      </c>
      <c r="G5" s="484"/>
      <c r="H5"/>
      <c r="I5" s="257">
        <v>5</v>
      </c>
      <c r="J5" s="258">
        <f>ML_Sum!$J5</f>
        <v>1</v>
      </c>
      <c r="K5" s="258">
        <f>ML_Sum!$K5</f>
        <v>1</v>
      </c>
      <c r="L5" s="258">
        <f>ML_Sum!$L5</f>
        <v>1</v>
      </c>
      <c r="M5" s="258">
        <f>ML_Sum!$M5</f>
        <v>1</v>
      </c>
      <c r="N5" s="258">
        <f>ML_Sum!$N5</f>
        <v>1</v>
      </c>
      <c r="O5" s="258">
        <f>ML_Sum!$O5</f>
        <v>1</v>
      </c>
      <c r="P5"/>
      <c r="Q5" s="336">
        <f>ML_Sum!$Q5</f>
        <v>0</v>
      </c>
      <c r="R5" s="20" t="s">
        <v>10</v>
      </c>
      <c r="S5" s="337">
        <f>ML_Sum!$S5</f>
        <v>1</v>
      </c>
      <c r="T5" s="338">
        <f>ML_Sum!$T5</f>
        <v>27.46</v>
      </c>
      <c r="V5" s="309"/>
      <c r="W5" s="309"/>
      <c r="X5" s="309"/>
      <c r="Y5" s="309"/>
      <c r="Z5" s="309"/>
      <c r="AA5" s="309"/>
      <c r="AB5" s="309"/>
      <c r="AE5" s="304"/>
    </row>
    <row r="6" spans="1:31" s="31" customFormat="1" ht="13.8">
      <c r="A6"/>
      <c r="B6" s="481" t="s">
        <v>9</v>
      </c>
      <c r="C6" s="474">
        <f>ML_Sum!$C6</f>
        <v>1</v>
      </c>
      <c r="D6" s="475" t="str">
        <f>ML_Sum!$D6</f>
        <v>VAT EXCL.</v>
      </c>
      <c r="E6"/>
      <c r="F6" s="477">
        <f>ML_Sum!$F6</f>
        <v>0</v>
      </c>
      <c r="G6" s="484"/>
      <c r="H6"/>
      <c r="I6" s="257">
        <v>6</v>
      </c>
      <c r="J6" s="258">
        <f>ML_Sum!$J6</f>
        <v>1</v>
      </c>
      <c r="K6" s="258">
        <f>ML_Sum!$K6</f>
        <v>1</v>
      </c>
      <c r="L6" s="258">
        <f>ML_Sum!$L6</f>
        <v>1</v>
      </c>
      <c r="M6" s="258">
        <f>ML_Sum!$M6</f>
        <v>1</v>
      </c>
      <c r="N6" s="258">
        <f>ML_Sum!$N6</f>
        <v>1</v>
      </c>
      <c r="O6" s="258">
        <f>ML_Sum!$O6</f>
        <v>1</v>
      </c>
      <c r="P6"/>
      <c r="Q6" s="336">
        <f>ML_Sum!$Q6</f>
        <v>0</v>
      </c>
      <c r="R6" s="21" t="s">
        <v>11</v>
      </c>
      <c r="S6" s="337">
        <f>ML_Sum!$S6</f>
        <v>1</v>
      </c>
      <c r="T6" s="338">
        <f>ML_Sum!$T6</f>
        <v>27.46</v>
      </c>
      <c r="V6" s="309"/>
      <c r="W6" s="309"/>
      <c r="X6" s="309"/>
      <c r="Y6" s="309"/>
      <c r="Z6" s="309"/>
      <c r="AA6" s="309"/>
      <c r="AB6" s="309"/>
      <c r="AE6"/>
    </row>
    <row r="7" spans="1:31" s="31" customFormat="1" ht="13.8">
      <c r="A7" s="472"/>
      <c r="B7" s="481" t="s">
        <v>12</v>
      </c>
      <c r="C7" s="474">
        <f>ML_Sum!$C7</f>
        <v>1</v>
      </c>
      <c r="D7" s="485">
        <v>39364</v>
      </c>
      <c r="E7" s="486"/>
      <c r="F7" s="477">
        <f>ML_Sum!$F7</f>
        <v>0</v>
      </c>
      <c r="G7" s="487"/>
      <c r="H7"/>
      <c r="I7" s="257">
        <v>7</v>
      </c>
      <c r="J7" s="258">
        <f>ML_Sum!$J7</f>
        <v>1</v>
      </c>
      <c r="K7" s="258">
        <f>ML_Sum!$K7</f>
        <v>1</v>
      </c>
      <c r="L7" s="258">
        <f>ML_Sum!$L7</f>
        <v>1</v>
      </c>
      <c r="M7" s="258">
        <f>ML_Sum!$M7</f>
        <v>1</v>
      </c>
      <c r="N7" s="258">
        <f>ML_Sum!$N7</f>
        <v>1</v>
      </c>
      <c r="O7" s="258">
        <f>ML_Sum!$O7</f>
        <v>0</v>
      </c>
      <c r="P7"/>
      <c r="Q7" s="336">
        <f>ML_Sum!$Q7</f>
        <v>0</v>
      </c>
      <c r="R7" s="22" t="s">
        <v>13</v>
      </c>
      <c r="S7" s="337">
        <f>ML_Sum!$S7</f>
        <v>1</v>
      </c>
      <c r="T7" s="338">
        <f>ML_Sum!$T7</f>
        <v>27.46</v>
      </c>
      <c r="V7" s="309"/>
      <c r="W7" s="309"/>
      <c r="X7" s="309"/>
      <c r="Y7" s="309"/>
      <c r="Z7" s="309"/>
      <c r="AA7" s="309"/>
      <c r="AB7" s="309"/>
    </row>
    <row r="8" spans="1:31" s="31" customFormat="1" ht="13.8">
      <c r="A8" s="483"/>
      <c r="B8" s="481" t="s">
        <v>14</v>
      </c>
      <c r="C8" s="474">
        <f>ML_Sum!$C8</f>
        <v>1</v>
      </c>
      <c r="D8" s="475" t="str">
        <f>ML_Sum!$D8</f>
        <v>T.Sammut</v>
      </c>
      <c r="E8" s="480"/>
      <c r="F8" s="477">
        <f>ML_Sum!$F8</f>
        <v>0</v>
      </c>
      <c r="G8" s="488"/>
      <c r="H8"/>
      <c r="I8" s="257">
        <v>8</v>
      </c>
      <c r="J8" s="258">
        <f>ML_Sum!$J8</f>
        <v>1</v>
      </c>
      <c r="K8" s="258">
        <f>ML_Sum!$K8</f>
        <v>1</v>
      </c>
      <c r="L8" s="258">
        <f>ML_Sum!$L8</f>
        <v>1</v>
      </c>
      <c r="M8" s="258">
        <f>ML_Sum!$M8</f>
        <v>1</v>
      </c>
      <c r="N8" s="258">
        <f>ML_Sum!$N8</f>
        <v>1</v>
      </c>
      <c r="O8" s="258">
        <f>ML_Sum!$O8</f>
        <v>0</v>
      </c>
      <c r="P8"/>
      <c r="Q8" s="336">
        <f>ML_Sum!$Q8</f>
        <v>0</v>
      </c>
      <c r="R8" s="23" t="s">
        <v>15</v>
      </c>
      <c r="S8" s="337">
        <f>ML_Sum!$S8</f>
        <v>1</v>
      </c>
      <c r="T8" s="338">
        <f>ML_Sum!$T8</f>
        <v>27.46</v>
      </c>
      <c r="V8" s="309"/>
      <c r="W8" s="309"/>
      <c r="X8" s="309"/>
      <c r="Y8" s="309"/>
      <c r="Z8" s="309"/>
      <c r="AA8" s="309"/>
      <c r="AB8" s="309"/>
      <c r="AE8" s="304"/>
    </row>
    <row r="9" spans="1:31" s="31" customFormat="1" ht="13.8">
      <c r="A9" s="483"/>
      <c r="B9" s="481" t="s">
        <v>292</v>
      </c>
      <c r="C9" s="474">
        <f>ML_Sum!$C9</f>
        <v>1</v>
      </c>
      <c r="D9" s="475">
        <f>ML_Sum!$D9</f>
        <v>27.46</v>
      </c>
      <c r="E9" s="480"/>
      <c r="F9" s="477">
        <f>ML_Sum!$F9</f>
        <v>0</v>
      </c>
      <c r="G9" s="488"/>
      <c r="H9"/>
      <c r="I9" s="257">
        <v>9</v>
      </c>
      <c r="J9" s="258">
        <f>ML_Sum!$J9</f>
        <v>1</v>
      </c>
      <c r="K9" s="258">
        <f>ML_Sum!$K9</f>
        <v>1</v>
      </c>
      <c r="L9" s="258">
        <f>ML_Sum!$L9</f>
        <v>1</v>
      </c>
      <c r="M9" s="258">
        <f>ML_Sum!$M9</f>
        <v>1</v>
      </c>
      <c r="N9" s="258">
        <f>ML_Sum!$N9</f>
        <v>1</v>
      </c>
      <c r="O9" s="258">
        <f>ML_Sum!$O9</f>
        <v>0</v>
      </c>
      <c r="P9"/>
      <c r="Q9" s="336">
        <f>ML_Sum!$Q9</f>
        <v>0</v>
      </c>
      <c r="R9" s="24" t="s">
        <v>16</v>
      </c>
      <c r="S9" s="337">
        <f>ML_Sum!$S9</f>
        <v>1</v>
      </c>
      <c r="T9" s="338">
        <f>ML_Sum!$T9</f>
        <v>27.46</v>
      </c>
      <c r="V9" s="309"/>
      <c r="W9" s="309"/>
      <c r="X9" s="309"/>
      <c r="Y9" s="309"/>
      <c r="Z9" s="309"/>
      <c r="AA9" s="309"/>
      <c r="AB9" s="309"/>
      <c r="AE9" s="304"/>
    </row>
    <row r="10" spans="1:31" s="31" customFormat="1" ht="13.8">
      <c r="A10" s="483"/>
      <c r="B10" s="472"/>
      <c r="C10" s="474">
        <f>ML_Sum!$C10</f>
        <v>1</v>
      </c>
      <c r="D10" s="472"/>
      <c r="E10" s="480"/>
      <c r="F10" s="477">
        <f>ML_Sum!$F10</f>
        <v>0</v>
      </c>
      <c r="G10" s="488"/>
      <c r="H10"/>
      <c r="I10" s="257">
        <v>10</v>
      </c>
      <c r="J10" s="258">
        <f>ML_Sum!$J10</f>
        <v>1</v>
      </c>
      <c r="K10" s="258">
        <f>ML_Sum!$K10</f>
        <v>1</v>
      </c>
      <c r="L10" s="258">
        <f>ML_Sum!$L10</f>
        <v>1</v>
      </c>
      <c r="M10" s="258">
        <f>ML_Sum!$M10</f>
        <v>1</v>
      </c>
      <c r="N10" s="258">
        <f>ML_Sum!$N10</f>
        <v>1</v>
      </c>
      <c r="O10" s="258">
        <f>ML_Sum!$O10</f>
        <v>1</v>
      </c>
      <c r="P10"/>
      <c r="Q10" s="336">
        <f>ML_Sum!$Q10</f>
        <v>0</v>
      </c>
      <c r="R10" s="25" t="s">
        <v>17</v>
      </c>
      <c r="S10" s="337">
        <f>ML_Sum!$S10</f>
        <v>1</v>
      </c>
      <c r="T10" s="338">
        <f>ML_Sum!$T10</f>
        <v>27.46</v>
      </c>
      <c r="V10" s="309"/>
      <c r="W10" s="309"/>
      <c r="X10" s="309"/>
      <c r="Y10" s="309"/>
      <c r="Z10" s="309"/>
      <c r="AA10" s="309"/>
      <c r="AB10" s="309"/>
      <c r="AE10" s="304"/>
    </row>
    <row r="11" spans="1:31" s="31" customFormat="1" ht="13.8">
      <c r="A11" s="483"/>
      <c r="B11" s="472"/>
      <c r="C11" s="474">
        <f>ML_Sum!$C11</f>
        <v>1</v>
      </c>
      <c r="D11" s="472"/>
      <c r="E11" s="480"/>
      <c r="F11" s="477">
        <f>ML_Sum!$F11</f>
        <v>0</v>
      </c>
      <c r="G11" s="488"/>
      <c r="H11" s="488"/>
      <c r="I11" s="472"/>
      <c r="J11" s="472"/>
      <c r="K11" s="472"/>
      <c r="L11" s="472"/>
      <c r="M11" s="472"/>
      <c r="N11" s="472"/>
      <c r="O11" s="472"/>
      <c r="P11" s="488"/>
      <c r="Q11" s="336">
        <f>ML_Sum!$Q11</f>
        <v>0</v>
      </c>
      <c r="R11" s="26" t="s">
        <v>18</v>
      </c>
      <c r="S11" s="337">
        <f>ML_Sum!$S11</f>
        <v>1</v>
      </c>
      <c r="T11" s="338">
        <f>ML_Sum!$T11</f>
        <v>27.46</v>
      </c>
      <c r="V11" s="309"/>
      <c r="W11" s="309"/>
      <c r="X11" s="309"/>
      <c r="Y11" s="309"/>
      <c r="Z11" s="309"/>
      <c r="AA11" s="309"/>
      <c r="AB11" s="309"/>
      <c r="AE11" s="304"/>
    </row>
    <row r="12" spans="1:31" s="31" customFormat="1" ht="13.8">
      <c r="A12" s="483"/>
      <c r="B12" s="472"/>
      <c r="C12" s="474">
        <f>ML_Sum!$C12</f>
        <v>1</v>
      </c>
      <c r="D12" s="472"/>
      <c r="E12" s="480"/>
      <c r="F12" s="477">
        <f>ML_Sum!$F12</f>
        <v>0</v>
      </c>
      <c r="G12" s="488"/>
      <c r="H12" s="488"/>
      <c r="I12" s="472"/>
      <c r="J12" s="472"/>
      <c r="K12" s="472"/>
      <c r="L12" s="472"/>
      <c r="M12" s="472"/>
      <c r="N12" s="472"/>
      <c r="O12" s="472"/>
      <c r="P12" s="488"/>
      <c r="Q12" s="336">
        <f>ML_Sum!$Q12</f>
        <v>0</v>
      </c>
      <c r="R12" s="386" t="s">
        <v>229</v>
      </c>
      <c r="S12" s="337" t="str">
        <f>ML_Sum!$S12</f>
        <v>MAT MU</v>
      </c>
      <c r="T12" s="338" t="str">
        <f>ML_Sum!$T12</f>
        <v>LAB RATE</v>
      </c>
      <c r="V12" s="309"/>
      <c r="W12" s="309"/>
      <c r="X12" s="309"/>
      <c r="Y12" s="309"/>
      <c r="Z12" s="309"/>
      <c r="AA12" s="309"/>
      <c r="AB12" s="309"/>
      <c r="AE12" s="304"/>
    </row>
    <row r="13" spans="1:31" s="31" customFormat="1" ht="14.4" thickBot="1">
      <c r="A13" s="489"/>
      <c r="B13" s="490"/>
      <c r="C13" s="491"/>
      <c r="D13" s="492"/>
      <c r="E13" s="493"/>
      <c r="F13" s="494"/>
      <c r="G13" s="495" t="s">
        <v>19</v>
      </c>
      <c r="H13" s="495" t="s">
        <v>20</v>
      </c>
      <c r="I13" s="495" t="s">
        <v>21</v>
      </c>
      <c r="J13" s="495" t="s">
        <v>22</v>
      </c>
      <c r="K13" s="495" t="s">
        <v>23</v>
      </c>
      <c r="L13" s="495" t="s">
        <v>24</v>
      </c>
      <c r="M13" s="495" t="s">
        <v>25</v>
      </c>
      <c r="N13" s="495" t="s">
        <v>26</v>
      </c>
      <c r="O13" s="495" t="s">
        <v>27</v>
      </c>
      <c r="P13" s="495" t="s">
        <v>28</v>
      </c>
      <c r="Q13" s="27" t="s">
        <v>224</v>
      </c>
      <c r="R13" s="28" t="s">
        <v>30</v>
      </c>
      <c r="S13" s="29" t="s">
        <v>31</v>
      </c>
      <c r="T13" s="30" t="s">
        <v>32</v>
      </c>
      <c r="V13" s="309"/>
      <c r="W13" s="309"/>
      <c r="X13" s="309"/>
      <c r="Y13" s="309"/>
      <c r="Z13" s="309"/>
      <c r="AA13" s="309"/>
      <c r="AB13" s="309"/>
      <c r="AE13" s="305"/>
    </row>
    <row r="14" spans="1:31" customFormat="1"/>
    <row r="15" spans="1:31">
      <c r="A15" s="32"/>
      <c r="B15" s="32"/>
      <c r="C15" s="32" t="s">
        <v>135</v>
      </c>
      <c r="D15" s="36" t="s">
        <v>136</v>
      </c>
      <c r="E15" s="32"/>
      <c r="F15" s="32"/>
      <c r="G15" s="32"/>
      <c r="H15" s="32"/>
      <c r="I15" s="32"/>
      <c r="J15" s="32"/>
      <c r="K15" s="32"/>
      <c r="L15" s="32"/>
      <c r="M15" s="32"/>
      <c r="N15" s="32"/>
      <c r="O15" s="34"/>
      <c r="P15" s="32"/>
      <c r="Q15" s="32"/>
      <c r="R15" s="32"/>
      <c r="S15" s="32"/>
      <c r="T15" s="32"/>
    </row>
    <row r="16" spans="1:31">
      <c r="A16" s="32"/>
      <c r="B16" s="32"/>
      <c r="C16" s="32"/>
      <c r="D16" s="36" t="s">
        <v>137</v>
      </c>
      <c r="E16" s="32"/>
      <c r="F16" s="32"/>
      <c r="G16" s="32"/>
      <c r="H16" s="32"/>
      <c r="I16" s="32"/>
      <c r="J16" s="32"/>
      <c r="K16" s="32"/>
      <c r="L16" s="32"/>
      <c r="M16" s="32"/>
      <c r="N16" s="32"/>
      <c r="O16" s="34"/>
      <c r="P16" s="32"/>
      <c r="Q16" s="32"/>
      <c r="R16" s="32"/>
      <c r="S16" s="37"/>
      <c r="T16" s="37"/>
    </row>
    <row r="17" spans="1:28" ht="13.8" thickBot="1">
      <c r="A17" s="38"/>
      <c r="B17" s="33"/>
      <c r="C17" s="33"/>
      <c r="D17" s="33"/>
      <c r="E17" s="33"/>
      <c r="F17" s="33"/>
      <c r="G17" s="33"/>
      <c r="H17" s="33"/>
      <c r="I17" s="33"/>
      <c r="J17" s="33"/>
      <c r="K17" s="33"/>
      <c r="L17" s="33"/>
      <c r="M17" s="33"/>
      <c r="N17" s="33"/>
      <c r="O17" s="39"/>
      <c r="P17" s="33"/>
      <c r="Q17" s="33"/>
      <c r="R17" s="33"/>
      <c r="S17" s="33"/>
      <c r="T17" s="33"/>
    </row>
    <row r="18" spans="1:28" s="519" customFormat="1" ht="12" thickTop="1">
      <c r="A18" s="47"/>
      <c r="B18" s="47"/>
      <c r="C18" s="47"/>
      <c r="D18" s="47"/>
      <c r="E18" s="47"/>
      <c r="F18" s="47"/>
      <c r="G18" s="47"/>
      <c r="H18" s="47"/>
      <c r="I18" s="47"/>
      <c r="J18" s="47"/>
      <c r="K18" s="47"/>
      <c r="L18" s="47"/>
      <c r="M18" s="47"/>
      <c r="N18" s="47"/>
      <c r="O18" s="48"/>
      <c r="P18" s="47"/>
      <c r="Q18" s="41" t="s">
        <v>177</v>
      </c>
      <c r="R18" s="47"/>
      <c r="S18" s="12"/>
      <c r="T18" s="47"/>
    </row>
    <row r="19" spans="1:28" s="519" customFormat="1" ht="12" customHeight="1" thickBot="1">
      <c r="A19" s="922">
        <v>1</v>
      </c>
      <c r="B19" s="923">
        <f ca="1">Elec_Est!B2140</f>
        <v>4</v>
      </c>
      <c r="C19" s="924"/>
      <c r="D19" s="925" t="s">
        <v>724</v>
      </c>
      <c r="E19" s="926"/>
      <c r="F19" s="926"/>
      <c r="G19" s="635"/>
      <c r="H19" s="635"/>
      <c r="I19" s="927"/>
      <c r="J19" s="635"/>
      <c r="K19" s="924" t="s">
        <v>178</v>
      </c>
      <c r="L19" s="928" t="s">
        <v>178</v>
      </c>
      <c r="M19" s="928"/>
      <c r="N19" s="928"/>
      <c r="O19" s="928"/>
      <c r="P19" s="928"/>
      <c r="Q19" s="929">
        <f ca="1">B19/A19</f>
        <v>4</v>
      </c>
      <c r="R19" s="930">
        <f ca="1">IF($B19=0,0,IF($S$1="R",ROUND(R30/$B19,2),R30/$B19))</f>
        <v>166.5</v>
      </c>
      <c r="S19" s="931"/>
      <c r="T19" s="930">
        <f ca="1">IF($B19=0,0,IF($S$1="R",ROUND(T30/$B19,2),T30/$B19))</f>
        <v>2.86</v>
      </c>
    </row>
    <row r="20" spans="1:28" s="519" customFormat="1" ht="13.8" thickTop="1">
      <c r="A20" s="631"/>
      <c r="B20" s="3"/>
      <c r="C20" s="3"/>
      <c r="D20" s="98" t="s">
        <v>179</v>
      </c>
      <c r="E20" s="3"/>
      <c r="F20" s="3"/>
      <c r="G20" s="3"/>
      <c r="H20" s="3"/>
      <c r="I20" s="3"/>
      <c r="J20" s="3"/>
      <c r="K20" s="3"/>
      <c r="L20" s="3"/>
      <c r="M20" s="3"/>
      <c r="N20" s="3"/>
      <c r="O20" s="99"/>
      <c r="P20" s="3"/>
      <c r="Q20" s="3"/>
      <c r="R20" s="3"/>
      <c r="S20" s="3"/>
      <c r="T20" s="3"/>
    </row>
    <row r="21" spans="1:28" s="933" customFormat="1">
      <c r="A21" s="932">
        <f ca="1">$Q$19 *(3)</f>
        <v>12</v>
      </c>
      <c r="B21" s="933" t="s">
        <v>311</v>
      </c>
      <c r="D21" s="933" t="s">
        <v>725</v>
      </c>
      <c r="E21" s="934" t="s">
        <v>726</v>
      </c>
      <c r="F21" s="935" t="s">
        <v>727</v>
      </c>
      <c r="G21" s="936" t="s">
        <v>728</v>
      </c>
      <c r="H21" s="937">
        <v>616</v>
      </c>
      <c r="I21" s="933" t="s">
        <v>729</v>
      </c>
      <c r="J21" s="933" t="s">
        <v>730</v>
      </c>
      <c r="O21" s="938">
        <v>2</v>
      </c>
      <c r="P21" s="939">
        <v>38371</v>
      </c>
      <c r="Q21" s="940">
        <v>26.22</v>
      </c>
      <c r="R21" s="941">
        <f t="shared" ref="R21:R29" ca="1" si="0">$A21*Q21</f>
        <v>314.64</v>
      </c>
      <c r="S21" s="940">
        <v>0.1</v>
      </c>
      <c r="T21" s="942">
        <f t="shared" ref="T21:T29" ca="1" si="1">$A21*S21*$T$1</f>
        <v>1.2000000000000002</v>
      </c>
    </row>
    <row r="22" spans="1:28" s="933" customFormat="1">
      <c r="A22" s="932">
        <f ca="1">$Q$19 *(3)</f>
        <v>12</v>
      </c>
      <c r="B22" s="933" t="s">
        <v>141</v>
      </c>
      <c r="D22" s="933" t="s">
        <v>731</v>
      </c>
      <c r="G22" s="936" t="s">
        <v>732</v>
      </c>
      <c r="H22" s="937">
        <v>875</v>
      </c>
      <c r="I22" s="933" t="s">
        <v>729</v>
      </c>
      <c r="K22" s="933" t="s">
        <v>733</v>
      </c>
      <c r="O22" s="938">
        <v>1</v>
      </c>
      <c r="P22" s="939">
        <v>34669</v>
      </c>
      <c r="Q22" s="940">
        <v>0.05</v>
      </c>
      <c r="R22" s="941">
        <f t="shared" ca="1" si="0"/>
        <v>0.60000000000000009</v>
      </c>
      <c r="S22" s="940"/>
      <c r="T22" s="942">
        <f t="shared" ca="1" si="1"/>
        <v>0</v>
      </c>
    </row>
    <row r="23" spans="1:28" s="933" customFormat="1">
      <c r="A23" s="932">
        <f ca="1">$Q$19 *(2)</f>
        <v>8</v>
      </c>
      <c r="B23" s="933" t="s">
        <v>141</v>
      </c>
      <c r="D23" s="933" t="s">
        <v>734</v>
      </c>
      <c r="G23" s="936" t="s">
        <v>735</v>
      </c>
      <c r="H23" s="937">
        <v>620</v>
      </c>
      <c r="I23" s="933" t="s">
        <v>736</v>
      </c>
      <c r="O23" s="938">
        <v>2</v>
      </c>
      <c r="P23" s="939">
        <v>35431</v>
      </c>
      <c r="Q23" s="940">
        <v>7.66</v>
      </c>
      <c r="R23" s="941">
        <f t="shared" ca="1" si="0"/>
        <v>61.28</v>
      </c>
      <c r="S23" s="940">
        <v>0.4</v>
      </c>
      <c r="T23" s="942">
        <f t="shared" ca="1" si="1"/>
        <v>3.2</v>
      </c>
    </row>
    <row r="24" spans="1:28" s="933" customFormat="1">
      <c r="A24" s="932">
        <f ca="1">$Q$19 *(2)</f>
        <v>8</v>
      </c>
      <c r="B24" s="933" t="s">
        <v>311</v>
      </c>
      <c r="D24" s="933" t="s">
        <v>737</v>
      </c>
      <c r="G24" s="936" t="s">
        <v>738</v>
      </c>
      <c r="H24" s="937">
        <v>620</v>
      </c>
      <c r="I24" s="933" t="s">
        <v>729</v>
      </c>
      <c r="O24" s="938">
        <v>2</v>
      </c>
      <c r="P24" s="939">
        <v>38148</v>
      </c>
      <c r="Q24" s="940">
        <v>1.5</v>
      </c>
      <c r="R24" s="941">
        <f t="shared" ca="1" si="0"/>
        <v>12</v>
      </c>
      <c r="S24" s="940">
        <v>0.08</v>
      </c>
      <c r="T24" s="942">
        <f t="shared" ca="1" si="1"/>
        <v>0.64</v>
      </c>
    </row>
    <row r="25" spans="1:28" s="933" customFormat="1">
      <c r="A25" s="932">
        <f ca="1">$Q$19 *(2*5)</f>
        <v>40</v>
      </c>
      <c r="B25" s="933" t="s">
        <v>141</v>
      </c>
      <c r="D25" s="933" t="s">
        <v>739</v>
      </c>
      <c r="G25" s="936" t="s">
        <v>740</v>
      </c>
      <c r="H25" s="937">
        <v>620</v>
      </c>
      <c r="I25" s="933" t="s">
        <v>741</v>
      </c>
      <c r="O25" s="938">
        <v>2</v>
      </c>
      <c r="P25" s="939">
        <v>34669</v>
      </c>
      <c r="Q25" s="940">
        <v>0.14000000000000001</v>
      </c>
      <c r="R25" s="941">
        <f t="shared" ca="1" si="0"/>
        <v>5.6000000000000005</v>
      </c>
      <c r="S25" s="940">
        <v>0.06</v>
      </c>
      <c r="T25" s="942">
        <f t="shared" ca="1" si="1"/>
        <v>2.4</v>
      </c>
    </row>
    <row r="26" spans="1:28" s="933" customFormat="1">
      <c r="A26" s="932">
        <f ca="1">$Q$19 *(1)</f>
        <v>4</v>
      </c>
      <c r="B26" s="933" t="s">
        <v>141</v>
      </c>
      <c r="D26" s="933" t="s">
        <v>776</v>
      </c>
      <c r="F26" s="933" t="s">
        <v>906</v>
      </c>
      <c r="G26" s="936" t="s">
        <v>777</v>
      </c>
      <c r="H26" s="937">
        <v>900</v>
      </c>
      <c r="I26" s="933" t="s">
        <v>778</v>
      </c>
      <c r="K26" s="933" t="s">
        <v>7</v>
      </c>
      <c r="O26" s="938">
        <v>1</v>
      </c>
      <c r="P26" s="939"/>
      <c r="Q26" s="983"/>
      <c r="R26" s="941">
        <f ca="1">$A26*Q26</f>
        <v>0</v>
      </c>
      <c r="S26" s="940">
        <v>1</v>
      </c>
      <c r="T26" s="942">
        <f t="shared" ca="1" si="1"/>
        <v>4</v>
      </c>
      <c r="U26" s="933" t="s">
        <v>863</v>
      </c>
    </row>
    <row r="27" spans="1:28" s="933" customFormat="1">
      <c r="A27" s="932">
        <f ca="1">$Q$19 *(1/4)</f>
        <v>1</v>
      </c>
      <c r="B27" s="970" t="s">
        <v>840</v>
      </c>
      <c r="C27" s="970"/>
      <c r="D27" s="970" t="s">
        <v>841</v>
      </c>
      <c r="E27" s="970"/>
      <c r="F27" s="970" t="s">
        <v>907</v>
      </c>
      <c r="G27" s="971" t="s">
        <v>842</v>
      </c>
      <c r="H27" s="972">
        <v>962</v>
      </c>
      <c r="I27" s="970" t="s">
        <v>778</v>
      </c>
      <c r="J27" s="970"/>
      <c r="K27" s="970"/>
      <c r="L27" s="970"/>
      <c r="M27" s="970"/>
      <c r="N27" s="970"/>
      <c r="O27" s="973">
        <v>2</v>
      </c>
      <c r="P27" s="974">
        <v>38129</v>
      </c>
      <c r="Q27" s="940">
        <f>1.25 *(12/8*125)</f>
        <v>234.375</v>
      </c>
      <c r="R27" s="975">
        <f ca="1">$A27*Q27</f>
        <v>234.375</v>
      </c>
      <c r="S27" s="976"/>
      <c r="T27" s="977">
        <f ca="1">$A27*S27*$T$1</f>
        <v>0</v>
      </c>
    </row>
    <row r="28" spans="1:28" s="933" customFormat="1">
      <c r="A28" s="932">
        <f ca="1">$Q$19 *(1/4)</f>
        <v>1</v>
      </c>
      <c r="B28" s="933" t="s">
        <v>908</v>
      </c>
      <c r="D28" s="933" t="s">
        <v>909</v>
      </c>
      <c r="F28" s="933" t="s">
        <v>910</v>
      </c>
      <c r="G28" s="936" t="s">
        <v>911</v>
      </c>
      <c r="H28" s="937">
        <v>845</v>
      </c>
      <c r="I28" s="933" t="s">
        <v>729</v>
      </c>
      <c r="O28" s="938">
        <v>3</v>
      </c>
      <c r="P28" s="939">
        <v>39713</v>
      </c>
      <c r="Q28" s="940">
        <f>12/8*25</f>
        <v>37.5</v>
      </c>
      <c r="R28" s="941">
        <f ca="1">$A28*Q28</f>
        <v>37.5</v>
      </c>
      <c r="S28" s="940"/>
      <c r="T28" s="942">
        <f ca="1">$A28*S28*$T$1</f>
        <v>0</v>
      </c>
    </row>
    <row r="29" spans="1:28" s="519" customFormat="1">
      <c r="A29" s="641"/>
      <c r="B29" s="3"/>
      <c r="C29" s="641" t="s">
        <v>180</v>
      </c>
      <c r="D29" s="3"/>
      <c r="E29" s="641"/>
      <c r="F29" s="636"/>
      <c r="G29" s="641"/>
      <c r="H29" s="641"/>
      <c r="I29" s="518"/>
      <c r="J29" s="641"/>
      <c r="K29" s="641"/>
      <c r="L29" s="641"/>
      <c r="M29" s="641"/>
      <c r="N29" s="641"/>
      <c r="O29" s="641"/>
      <c r="P29" s="641"/>
      <c r="Q29" s="518"/>
      <c r="R29" s="943">
        <f t="shared" si="0"/>
        <v>0</v>
      </c>
      <c r="S29" s="518"/>
      <c r="T29" s="643">
        <f t="shared" si="1"/>
        <v>0</v>
      </c>
    </row>
    <row r="30" spans="1:28" s="519" customFormat="1" ht="12.6" thickBot="1">
      <c r="A30" s="644" t="s">
        <v>145</v>
      </c>
      <c r="B30" s="645">
        <f>(R29+T29)</f>
        <v>0</v>
      </c>
      <c r="C30" s="646"/>
      <c r="D30" s="944" t="s">
        <v>181</v>
      </c>
      <c r="E30" s="466">
        <f ca="1">IF($B19=0,0,ROUND(ROUND(($R30*$S$2+($T30*$T$2))/$B19, 2)*$C$2,2))</f>
        <v>245.03</v>
      </c>
      <c r="F30" s="467">
        <f ca="1">ROUND($B19*$E30,2)</f>
        <v>980.12</v>
      </c>
      <c r="G30" s="646"/>
      <c r="H30" s="646"/>
      <c r="I30" s="648"/>
      <c r="J30" s="646"/>
      <c r="K30" s="945" t="s">
        <v>143</v>
      </c>
      <c r="L30" s="649" t="s">
        <v>143</v>
      </c>
      <c r="M30" s="649"/>
      <c r="N30" s="649"/>
      <c r="O30" s="649"/>
      <c r="P30" s="649"/>
      <c r="Q30" s="945"/>
      <c r="R30" s="946">
        <f ca="1">SUM(R20:R29)</f>
        <v>665.995</v>
      </c>
      <c r="S30" s="947"/>
      <c r="T30" s="946">
        <f ca="1">SUM(T20:T29)</f>
        <v>11.44</v>
      </c>
      <c r="U30" s="529"/>
      <c r="V30" s="529"/>
      <c r="W30" s="529"/>
      <c r="X30" s="529"/>
      <c r="Y30" s="529"/>
      <c r="Z30" s="529"/>
      <c r="AA30" s="529"/>
      <c r="AB30" s="529"/>
    </row>
    <row r="31" spans="1:28" s="519" customFormat="1" ht="12" thickTop="1">
      <c r="A31" s="47"/>
      <c r="B31" s="47"/>
      <c r="C31" s="47"/>
      <c r="D31" s="47"/>
      <c r="E31" s="47"/>
      <c r="F31" s="47"/>
      <c r="G31" s="47"/>
      <c r="H31" s="47"/>
      <c r="I31" s="47"/>
      <c r="J31" s="47"/>
      <c r="K31" s="47"/>
      <c r="L31" s="47"/>
      <c r="M31" s="47"/>
      <c r="N31" s="47"/>
      <c r="O31" s="48"/>
      <c r="P31" s="47"/>
      <c r="Q31" s="41" t="s">
        <v>177</v>
      </c>
      <c r="R31" s="47"/>
      <c r="S31" s="12"/>
      <c r="T31" s="47"/>
    </row>
    <row r="32" spans="1:28" s="519" customFormat="1" ht="12" customHeight="1" thickBot="1">
      <c r="A32" s="922">
        <v>1</v>
      </c>
      <c r="B32" s="923">
        <f ca="1">Elec_Est!B2141</f>
        <v>3</v>
      </c>
      <c r="C32" s="924"/>
      <c r="D32" s="925" t="s">
        <v>770</v>
      </c>
      <c r="E32" s="926"/>
      <c r="F32" s="926"/>
      <c r="G32" s="635"/>
      <c r="H32" s="635"/>
      <c r="I32" s="927"/>
      <c r="J32" s="635"/>
      <c r="K32" s="924" t="s">
        <v>178</v>
      </c>
      <c r="L32" s="928" t="s">
        <v>178</v>
      </c>
      <c r="M32" s="928"/>
      <c r="N32" s="928"/>
      <c r="O32" s="928"/>
      <c r="P32" s="928"/>
      <c r="Q32" s="929">
        <f ca="1">B32/A32</f>
        <v>3</v>
      </c>
      <c r="R32" s="930">
        <f ca="1">IF($B32=0,0,IF($S$1="R",ROUND(R41/$B32,2),R41/$B32))</f>
        <v>80.2</v>
      </c>
      <c r="S32" s="931"/>
      <c r="T32" s="930">
        <f ca="1">IF($B32=0,0,IF($S$1="R",ROUND(T41/$B32,2),T41/$B32))</f>
        <v>2.58</v>
      </c>
    </row>
    <row r="33" spans="1:28" s="519" customFormat="1" ht="13.8" thickTop="1">
      <c r="A33" s="631"/>
      <c r="B33" s="3"/>
      <c r="C33" s="3"/>
      <c r="D33" s="98" t="s">
        <v>179</v>
      </c>
      <c r="E33" s="3"/>
      <c r="F33" s="3"/>
      <c r="G33" s="3"/>
      <c r="H33" s="3"/>
      <c r="I33" s="3"/>
      <c r="J33" s="3"/>
      <c r="K33" s="3"/>
      <c r="L33" s="3"/>
      <c r="M33" s="3"/>
      <c r="N33" s="3"/>
      <c r="O33" s="99"/>
      <c r="P33" s="3"/>
      <c r="Q33" s="3"/>
      <c r="R33" s="3"/>
      <c r="S33" s="3"/>
      <c r="T33" s="3"/>
    </row>
    <row r="34" spans="1:28" s="933" customFormat="1">
      <c r="A34" s="932">
        <f ca="1">$Q$32 *(3)</f>
        <v>9</v>
      </c>
      <c r="B34" s="933" t="s">
        <v>311</v>
      </c>
      <c r="D34" s="933" t="s">
        <v>771</v>
      </c>
      <c r="E34" s="934" t="s">
        <v>726</v>
      </c>
      <c r="F34" s="935" t="s">
        <v>727</v>
      </c>
      <c r="G34" s="936" t="s">
        <v>772</v>
      </c>
      <c r="H34" s="937">
        <v>616</v>
      </c>
      <c r="I34" s="933" t="s">
        <v>729</v>
      </c>
      <c r="J34" s="933" t="s">
        <v>773</v>
      </c>
      <c r="O34" s="938">
        <v>2</v>
      </c>
      <c r="P34" s="939">
        <v>38371</v>
      </c>
      <c r="Q34" s="940">
        <v>20.11</v>
      </c>
      <c r="R34" s="941">
        <f t="shared" ref="R34:R40" ca="1" si="2">$A34*Q34</f>
        <v>180.99</v>
      </c>
      <c r="S34" s="940">
        <v>0.09</v>
      </c>
      <c r="T34" s="942">
        <f t="shared" ref="T34:T40" ca="1" si="3">$A34*S34*$T$1</f>
        <v>0.80999999999999994</v>
      </c>
    </row>
    <row r="35" spans="1:28" s="933" customFormat="1">
      <c r="A35" s="932">
        <f ca="1">$Q$32 *(3)</f>
        <v>9</v>
      </c>
      <c r="B35" s="933" t="s">
        <v>141</v>
      </c>
      <c r="D35" s="933" t="s">
        <v>731</v>
      </c>
      <c r="G35" s="936" t="s">
        <v>732</v>
      </c>
      <c r="H35" s="937">
        <v>875</v>
      </c>
      <c r="I35" s="933" t="s">
        <v>729</v>
      </c>
      <c r="K35" s="933" t="s">
        <v>733</v>
      </c>
      <c r="O35" s="938">
        <v>1</v>
      </c>
      <c r="P35" s="939">
        <v>34669</v>
      </c>
      <c r="Q35" s="940">
        <v>0.05</v>
      </c>
      <c r="R35" s="941">
        <f t="shared" ca="1" si="2"/>
        <v>0.45</v>
      </c>
      <c r="S35" s="940"/>
      <c r="T35" s="942">
        <f t="shared" ca="1" si="3"/>
        <v>0</v>
      </c>
    </row>
    <row r="36" spans="1:28" s="933" customFormat="1">
      <c r="A36" s="932">
        <f ca="1">$Q$32 *(2)</f>
        <v>6</v>
      </c>
      <c r="B36" s="933" t="s">
        <v>141</v>
      </c>
      <c r="D36" s="933" t="s">
        <v>734</v>
      </c>
      <c r="G36" s="936" t="s">
        <v>735</v>
      </c>
      <c r="H36" s="937">
        <v>620</v>
      </c>
      <c r="I36" s="933" t="s">
        <v>736</v>
      </c>
      <c r="O36" s="938">
        <v>2</v>
      </c>
      <c r="P36" s="939">
        <v>35431</v>
      </c>
      <c r="Q36" s="940">
        <v>7.66</v>
      </c>
      <c r="R36" s="941">
        <f t="shared" ca="1" si="2"/>
        <v>45.96</v>
      </c>
      <c r="S36" s="940">
        <v>0.4</v>
      </c>
      <c r="T36" s="942">
        <f t="shared" ca="1" si="3"/>
        <v>2.4000000000000004</v>
      </c>
    </row>
    <row r="37" spans="1:28" s="933" customFormat="1">
      <c r="A37" s="932">
        <f ca="1">$Q$32 *(2)</f>
        <v>6</v>
      </c>
      <c r="B37" s="933" t="s">
        <v>311</v>
      </c>
      <c r="D37" s="933" t="s">
        <v>737</v>
      </c>
      <c r="G37" s="936" t="s">
        <v>738</v>
      </c>
      <c r="H37" s="937">
        <v>620</v>
      </c>
      <c r="I37" s="933" t="s">
        <v>729</v>
      </c>
      <c r="O37" s="938">
        <v>2</v>
      </c>
      <c r="P37" s="939">
        <v>38148</v>
      </c>
      <c r="Q37" s="940">
        <v>1.5</v>
      </c>
      <c r="R37" s="941">
        <f t="shared" ca="1" si="2"/>
        <v>9</v>
      </c>
      <c r="S37" s="940">
        <v>0.08</v>
      </c>
      <c r="T37" s="942">
        <f t="shared" ca="1" si="3"/>
        <v>0.48</v>
      </c>
    </row>
    <row r="38" spans="1:28" s="933" customFormat="1">
      <c r="A38" s="932">
        <f ca="1">$Q$32 *(10)</f>
        <v>30</v>
      </c>
      <c r="B38" s="933" t="s">
        <v>141</v>
      </c>
      <c r="D38" s="933" t="s">
        <v>774</v>
      </c>
      <c r="G38" s="936" t="s">
        <v>775</v>
      </c>
      <c r="H38" s="937">
        <v>620</v>
      </c>
      <c r="I38" s="933" t="s">
        <v>741</v>
      </c>
      <c r="O38" s="938">
        <v>2</v>
      </c>
      <c r="P38" s="939">
        <v>34669</v>
      </c>
      <c r="Q38" s="940">
        <v>0.14000000000000001</v>
      </c>
      <c r="R38" s="941">
        <f t="shared" ca="1" si="2"/>
        <v>4.2</v>
      </c>
      <c r="S38" s="940">
        <v>0.06</v>
      </c>
      <c r="T38" s="942">
        <f t="shared" ca="1" si="3"/>
        <v>1.7999999999999998</v>
      </c>
    </row>
    <row r="39" spans="1:28" s="933" customFormat="1">
      <c r="A39" s="932">
        <f ca="1">$Q$32 *(1)</f>
        <v>3</v>
      </c>
      <c r="B39" s="933" t="s">
        <v>141</v>
      </c>
      <c r="D39" s="933" t="s">
        <v>776</v>
      </c>
      <c r="F39" s="933" t="s">
        <v>906</v>
      </c>
      <c r="G39" s="936" t="s">
        <v>777</v>
      </c>
      <c r="H39" s="937">
        <v>900</v>
      </c>
      <c r="I39" s="933" t="s">
        <v>778</v>
      </c>
      <c r="K39" s="933" t="s">
        <v>7</v>
      </c>
      <c r="O39" s="938">
        <v>1</v>
      </c>
      <c r="P39" s="939"/>
      <c r="Q39" s="983"/>
      <c r="R39" s="941">
        <f ca="1">$A39*Q39</f>
        <v>0</v>
      </c>
      <c r="S39" s="940">
        <v>0.75</v>
      </c>
      <c r="T39" s="942">
        <f t="shared" ca="1" si="3"/>
        <v>2.25</v>
      </c>
      <c r="U39" s="933" t="s">
        <v>863</v>
      </c>
    </row>
    <row r="40" spans="1:28" s="519" customFormat="1">
      <c r="A40" s="641"/>
      <c r="B40" s="3"/>
      <c r="C40" s="641" t="s">
        <v>180</v>
      </c>
      <c r="D40" s="3"/>
      <c r="E40" s="641"/>
      <c r="F40" s="636"/>
      <c r="G40" s="641"/>
      <c r="H40" s="641"/>
      <c r="I40" s="518"/>
      <c r="J40" s="641"/>
      <c r="K40" s="641"/>
      <c r="L40" s="641"/>
      <c r="M40" s="641"/>
      <c r="N40" s="641"/>
      <c r="O40" s="641"/>
      <c r="P40" s="641"/>
      <c r="Q40" s="518"/>
      <c r="R40" s="943">
        <f t="shared" si="2"/>
        <v>0</v>
      </c>
      <c r="S40" s="518"/>
      <c r="T40" s="643">
        <f t="shared" si="3"/>
        <v>0</v>
      </c>
    </row>
    <row r="41" spans="1:28" s="519" customFormat="1" ht="12.6" thickBot="1">
      <c r="A41" s="644" t="s">
        <v>145</v>
      </c>
      <c r="B41" s="645">
        <f>(R40+T40)</f>
        <v>0</v>
      </c>
      <c r="C41" s="646"/>
      <c r="D41" s="944" t="s">
        <v>181</v>
      </c>
      <c r="E41" s="466">
        <f ca="1">IF($B32=0,0,ROUND(ROUND(($R41*$S$2+($T41*$T$2))/$B32, 2)*$C$2,2))</f>
        <v>151.05000000000001</v>
      </c>
      <c r="F41" s="467">
        <f ca="1">ROUND($B32*$E41,2)</f>
        <v>453.15</v>
      </c>
      <c r="G41" s="646"/>
      <c r="H41" s="646"/>
      <c r="I41" s="648"/>
      <c r="J41" s="646"/>
      <c r="K41" s="945" t="s">
        <v>143</v>
      </c>
      <c r="L41" s="649" t="s">
        <v>143</v>
      </c>
      <c r="M41" s="649"/>
      <c r="N41" s="649"/>
      <c r="O41" s="649"/>
      <c r="P41" s="649"/>
      <c r="Q41" s="945"/>
      <c r="R41" s="946">
        <f ca="1">SUM(R33:R40)</f>
        <v>240.6</v>
      </c>
      <c r="S41" s="947"/>
      <c r="T41" s="946">
        <f ca="1">SUM(T33:T40)</f>
        <v>7.74</v>
      </c>
      <c r="U41" s="529"/>
      <c r="V41" s="529"/>
      <c r="W41" s="529"/>
      <c r="X41" s="529"/>
      <c r="Y41" s="529"/>
      <c r="Z41" s="529"/>
      <c r="AA41" s="529"/>
      <c r="AB41" s="529"/>
    </row>
    <row r="42" spans="1:28" s="519" customFormat="1" ht="12" thickTop="1">
      <c r="A42" s="47"/>
      <c r="B42" s="47"/>
      <c r="C42" s="47"/>
      <c r="D42" s="47"/>
      <c r="E42" s="47"/>
      <c r="F42" s="47"/>
      <c r="G42" s="47"/>
      <c r="H42" s="47"/>
      <c r="I42" s="47"/>
      <c r="J42" s="47"/>
      <c r="K42" s="47"/>
      <c r="L42" s="47"/>
      <c r="M42" s="47"/>
      <c r="N42" s="47"/>
      <c r="O42" s="48"/>
      <c r="P42" s="47"/>
      <c r="Q42" s="41" t="s">
        <v>177</v>
      </c>
      <c r="R42" s="47"/>
      <c r="S42" s="12"/>
      <c r="T42" s="47"/>
    </row>
    <row r="43" spans="1:28" s="519" customFormat="1" ht="12" customHeight="1" thickBot="1">
      <c r="A43" s="922">
        <v>1</v>
      </c>
      <c r="B43" s="923">
        <f ca="1">Elec_Est!B2142</f>
        <v>4</v>
      </c>
      <c r="C43" s="924"/>
      <c r="D43" s="925" t="s">
        <v>756</v>
      </c>
      <c r="E43" s="926"/>
      <c r="F43" s="926"/>
      <c r="G43" s="635"/>
      <c r="H43" s="635"/>
      <c r="I43" s="927"/>
      <c r="J43" s="635"/>
      <c r="K43" s="924" t="s">
        <v>178</v>
      </c>
      <c r="L43" s="928" t="s">
        <v>178</v>
      </c>
      <c r="M43" s="928"/>
      <c r="N43" s="928"/>
      <c r="O43" s="928"/>
      <c r="P43" s="928"/>
      <c r="Q43" s="929">
        <f ca="1">B43/A43</f>
        <v>4</v>
      </c>
      <c r="R43" s="930">
        <f ca="1">IF($B43=0,0,IF($S$1="R",ROUND(R52/$B43,2),R52/$B43))</f>
        <v>24.44</v>
      </c>
      <c r="S43" s="931"/>
      <c r="T43" s="930">
        <f ca="1">IF($B43=0,0,IF($S$1="R",ROUND(T52/$B43,2),T52/$B43))</f>
        <v>1.77</v>
      </c>
    </row>
    <row r="44" spans="1:28" s="519" customFormat="1" ht="13.8" thickTop="1">
      <c r="A44" s="631"/>
      <c r="B44" s="3"/>
      <c r="C44" s="3"/>
      <c r="D44" s="98" t="s">
        <v>179</v>
      </c>
      <c r="E44" s="3"/>
      <c r="F44" s="3"/>
      <c r="G44" s="3"/>
      <c r="H44" s="3"/>
      <c r="I44" s="3"/>
      <c r="J44" s="3"/>
      <c r="K44" s="3"/>
      <c r="L44" s="3"/>
      <c r="M44" s="3"/>
      <c r="N44" s="3"/>
      <c r="O44" s="99"/>
      <c r="P44" s="3"/>
      <c r="Q44" s="3"/>
      <c r="R44" s="3"/>
      <c r="S44" s="3"/>
      <c r="T44" s="3"/>
    </row>
    <row r="45" spans="1:28" s="933" customFormat="1">
      <c r="A45" s="932">
        <f ca="1">$Q$43 *(3)</f>
        <v>12</v>
      </c>
      <c r="B45" s="933" t="s">
        <v>311</v>
      </c>
      <c r="D45" s="933" t="s">
        <v>757</v>
      </c>
      <c r="F45" s="935" t="s">
        <v>727</v>
      </c>
      <c r="G45" s="936" t="s">
        <v>758</v>
      </c>
      <c r="H45" s="937">
        <v>616</v>
      </c>
      <c r="I45" s="933" t="s">
        <v>729</v>
      </c>
      <c r="J45" s="933" t="s">
        <v>750</v>
      </c>
      <c r="K45" s="933" t="s">
        <v>759</v>
      </c>
      <c r="O45" s="938">
        <v>2</v>
      </c>
      <c r="P45" s="939">
        <v>38371</v>
      </c>
      <c r="Q45" s="940">
        <v>3.79</v>
      </c>
      <c r="R45" s="941">
        <f t="shared" ref="R45:R51" ca="1" si="4">$A45*Q45</f>
        <v>45.480000000000004</v>
      </c>
      <c r="S45" s="940">
        <v>7.0000000000000007E-2</v>
      </c>
      <c r="T45" s="942">
        <f t="shared" ref="T45:T51" ca="1" si="5">$A45*S45*$T$1</f>
        <v>0.84000000000000008</v>
      </c>
    </row>
    <row r="46" spans="1:28" s="933" customFormat="1">
      <c r="A46" s="932">
        <f ca="1">$Q$43 *(3)</f>
        <v>12</v>
      </c>
      <c r="B46" s="933" t="s">
        <v>141</v>
      </c>
      <c r="D46" s="933" t="s">
        <v>731</v>
      </c>
      <c r="G46" s="936" t="s">
        <v>732</v>
      </c>
      <c r="H46" s="937">
        <v>875</v>
      </c>
      <c r="I46" s="933" t="s">
        <v>729</v>
      </c>
      <c r="K46" s="933" t="s">
        <v>733</v>
      </c>
      <c r="O46" s="938">
        <v>1</v>
      </c>
      <c r="P46" s="939">
        <v>34669</v>
      </c>
      <c r="Q46" s="940">
        <v>0.05</v>
      </c>
      <c r="R46" s="941">
        <f t="shared" ca="1" si="4"/>
        <v>0.60000000000000009</v>
      </c>
      <c r="S46" s="940"/>
      <c r="T46" s="942">
        <f t="shared" ca="1" si="5"/>
        <v>0</v>
      </c>
    </row>
    <row r="47" spans="1:28" s="933" customFormat="1">
      <c r="A47" s="932">
        <f ca="1">$Q$43 *(2)</f>
        <v>8</v>
      </c>
      <c r="B47" s="933" t="s">
        <v>141</v>
      </c>
      <c r="D47" s="933" t="s">
        <v>752</v>
      </c>
      <c r="G47" s="936" t="s">
        <v>753</v>
      </c>
      <c r="H47" s="937">
        <v>620</v>
      </c>
      <c r="I47" s="933" t="s">
        <v>736</v>
      </c>
      <c r="O47" s="938">
        <v>2</v>
      </c>
      <c r="P47" s="939">
        <v>35431</v>
      </c>
      <c r="Q47" s="940">
        <v>4.71</v>
      </c>
      <c r="R47" s="941">
        <f t="shared" ca="1" si="4"/>
        <v>37.68</v>
      </c>
      <c r="S47" s="940">
        <v>0.35000000000000003</v>
      </c>
      <c r="T47" s="942">
        <f t="shared" ca="1" si="5"/>
        <v>2.8000000000000003</v>
      </c>
    </row>
    <row r="48" spans="1:28" s="933" customFormat="1">
      <c r="A48" s="932">
        <f ca="1">$Q$43 *(2)</f>
        <v>8</v>
      </c>
      <c r="B48" s="933" t="s">
        <v>311</v>
      </c>
      <c r="D48" s="933" t="s">
        <v>737</v>
      </c>
      <c r="G48" s="936" t="s">
        <v>738</v>
      </c>
      <c r="H48" s="937">
        <v>620</v>
      </c>
      <c r="I48" s="933" t="s">
        <v>729</v>
      </c>
      <c r="O48" s="938">
        <v>2</v>
      </c>
      <c r="P48" s="939">
        <v>38148</v>
      </c>
      <c r="Q48" s="940">
        <v>1.5</v>
      </c>
      <c r="R48" s="941">
        <f t="shared" ca="1" si="4"/>
        <v>12</v>
      </c>
      <c r="S48" s="940">
        <v>0.08</v>
      </c>
      <c r="T48" s="942">
        <f t="shared" ca="1" si="5"/>
        <v>0.64</v>
      </c>
    </row>
    <row r="49" spans="1:28" s="933" customFormat="1">
      <c r="A49" s="932">
        <f ca="1">$Q$43 *(10)</f>
        <v>40</v>
      </c>
      <c r="B49" s="933" t="s">
        <v>141</v>
      </c>
      <c r="D49" s="933" t="s">
        <v>754</v>
      </c>
      <c r="G49" s="936" t="s">
        <v>755</v>
      </c>
      <c r="H49" s="937">
        <v>620</v>
      </c>
      <c r="I49" s="933" t="s">
        <v>741</v>
      </c>
      <c r="O49" s="938">
        <v>2</v>
      </c>
      <c r="P49" s="939">
        <v>34669</v>
      </c>
      <c r="Q49" s="940">
        <v>0.05</v>
      </c>
      <c r="R49" s="941">
        <f t="shared" ca="1" si="4"/>
        <v>2</v>
      </c>
      <c r="S49" s="940">
        <v>0.02</v>
      </c>
      <c r="T49" s="942">
        <f t="shared" ca="1" si="5"/>
        <v>0.8</v>
      </c>
    </row>
    <row r="50" spans="1:28" s="933" customFormat="1">
      <c r="A50" s="932">
        <f ca="1">$Q$43 *(1)</f>
        <v>4</v>
      </c>
      <c r="B50" s="933" t="s">
        <v>141</v>
      </c>
      <c r="D50" s="933" t="s">
        <v>776</v>
      </c>
      <c r="F50" s="933" t="s">
        <v>906</v>
      </c>
      <c r="G50" s="936" t="s">
        <v>777</v>
      </c>
      <c r="H50" s="937">
        <v>900</v>
      </c>
      <c r="I50" s="933" t="s">
        <v>778</v>
      </c>
      <c r="K50" s="933" t="s">
        <v>7</v>
      </c>
      <c r="O50" s="938">
        <v>1</v>
      </c>
      <c r="P50" s="939"/>
      <c r="Q50" s="983"/>
      <c r="R50" s="941">
        <f ca="1">$A50*Q50</f>
        <v>0</v>
      </c>
      <c r="S50" s="940">
        <v>0.5</v>
      </c>
      <c r="T50" s="942">
        <f t="shared" ca="1" si="5"/>
        <v>2</v>
      </c>
      <c r="U50" s="933" t="s">
        <v>863</v>
      </c>
    </row>
    <row r="51" spans="1:28" s="519" customFormat="1">
      <c r="A51" s="641"/>
      <c r="B51" s="3"/>
      <c r="C51" s="641" t="s">
        <v>180</v>
      </c>
      <c r="D51" s="3"/>
      <c r="E51" s="641"/>
      <c r="F51" s="636"/>
      <c r="G51" s="641"/>
      <c r="H51" s="641"/>
      <c r="I51" s="518"/>
      <c r="J51" s="641"/>
      <c r="K51" s="641"/>
      <c r="L51" s="641"/>
      <c r="M51" s="641"/>
      <c r="N51" s="641"/>
      <c r="O51" s="641"/>
      <c r="P51" s="641"/>
      <c r="Q51" s="518"/>
      <c r="R51" s="943">
        <f t="shared" si="4"/>
        <v>0</v>
      </c>
      <c r="S51" s="518"/>
      <c r="T51" s="643">
        <f t="shared" si="5"/>
        <v>0</v>
      </c>
    </row>
    <row r="52" spans="1:28" s="519" customFormat="1" ht="12.6" thickBot="1">
      <c r="A52" s="644" t="s">
        <v>145</v>
      </c>
      <c r="B52" s="645">
        <f>(R51+T51)</f>
        <v>0</v>
      </c>
      <c r="C52" s="646"/>
      <c r="D52" s="944" t="s">
        <v>181</v>
      </c>
      <c r="E52" s="466">
        <f ca="1">IF($B43=0,0,ROUND(ROUND(($R52*$S$2+($T52*$T$2))/$B43, 2)*$C$2,2))</f>
        <v>73.040000000000006</v>
      </c>
      <c r="F52" s="467">
        <f ca="1">ROUND($B43*$E52,2)</f>
        <v>292.16000000000003</v>
      </c>
      <c r="G52" s="646"/>
      <c r="H52" s="646"/>
      <c r="I52" s="648"/>
      <c r="J52" s="646"/>
      <c r="K52" s="945" t="s">
        <v>143</v>
      </c>
      <c r="L52" s="649" t="s">
        <v>143</v>
      </c>
      <c r="M52" s="649"/>
      <c r="N52" s="649"/>
      <c r="O52" s="649"/>
      <c r="P52" s="649"/>
      <c r="Q52" s="945"/>
      <c r="R52" s="946">
        <f ca="1">SUM(R44:R51)</f>
        <v>97.76</v>
      </c>
      <c r="S52" s="947"/>
      <c r="T52" s="946">
        <f ca="1">SUM(T44:T51)</f>
        <v>7.08</v>
      </c>
      <c r="U52" s="529"/>
      <c r="V52" s="529"/>
      <c r="W52" s="529"/>
      <c r="X52" s="529"/>
      <c r="Y52" s="529"/>
      <c r="Z52" s="529"/>
      <c r="AA52" s="529"/>
      <c r="AB52" s="529"/>
    </row>
    <row r="53" spans="1:28" s="519" customFormat="1" ht="12" thickTop="1">
      <c r="A53" s="47"/>
      <c r="B53" s="47"/>
      <c r="C53" s="47"/>
      <c r="D53" s="47"/>
      <c r="E53" s="47"/>
      <c r="F53" s="47"/>
      <c r="G53" s="47"/>
      <c r="H53" s="47"/>
      <c r="I53" s="47"/>
      <c r="J53" s="47"/>
      <c r="K53" s="47"/>
      <c r="L53" s="47"/>
      <c r="M53" s="47"/>
      <c r="N53" s="47"/>
      <c r="O53" s="48"/>
      <c r="P53" s="47"/>
      <c r="Q53" s="41" t="s">
        <v>177</v>
      </c>
      <c r="R53" s="47"/>
      <c r="S53" s="12"/>
      <c r="T53" s="47"/>
    </row>
    <row r="54" spans="1:28" s="519" customFormat="1" ht="12" customHeight="1" thickBot="1">
      <c r="A54" s="922">
        <v>1</v>
      </c>
      <c r="B54" s="923">
        <f ca="1">Elec_Est!B2143</f>
        <v>13</v>
      </c>
      <c r="C54" s="924"/>
      <c r="D54" s="925" t="s">
        <v>746</v>
      </c>
      <c r="E54" s="926"/>
      <c r="F54" s="926"/>
      <c r="G54" s="635"/>
      <c r="H54" s="635"/>
      <c r="I54" s="927"/>
      <c r="J54" s="635"/>
      <c r="K54" s="924" t="s">
        <v>178</v>
      </c>
      <c r="L54" s="928" t="s">
        <v>178</v>
      </c>
      <c r="M54" s="928"/>
      <c r="N54" s="928"/>
      <c r="O54" s="928"/>
      <c r="P54" s="928"/>
      <c r="Q54" s="929">
        <f ca="1">B54/A54</f>
        <v>13</v>
      </c>
      <c r="R54" s="930">
        <f ca="1">IF($B54=0,0,IF($S$1="R",ROUND(R64/$B54,2),R64/$B54))</f>
        <v>20.04</v>
      </c>
      <c r="S54" s="931"/>
      <c r="T54" s="930">
        <f ca="1">IF($B54=0,0,IF($S$1="R",ROUND(T64/$B54,2),T64/$B54))</f>
        <v>1.66</v>
      </c>
    </row>
    <row r="55" spans="1:28" s="519" customFormat="1" ht="13.8" thickTop="1">
      <c r="A55" s="631"/>
      <c r="B55" s="3"/>
      <c r="C55" s="3"/>
      <c r="D55" s="98" t="s">
        <v>179</v>
      </c>
      <c r="E55" s="3"/>
      <c r="F55" s="3"/>
      <c r="G55" s="3"/>
      <c r="H55" s="3"/>
      <c r="I55" s="3"/>
      <c r="J55" s="3"/>
      <c r="K55" s="3"/>
      <c r="L55" s="3"/>
      <c r="M55" s="3"/>
      <c r="N55" s="3"/>
      <c r="O55" s="99"/>
      <c r="P55" s="3"/>
      <c r="Q55" s="3"/>
      <c r="R55" s="3"/>
      <c r="S55" s="3"/>
      <c r="T55" s="3"/>
    </row>
    <row r="56" spans="1:28" s="933" customFormat="1">
      <c r="A56" s="932">
        <f ca="1">$Q$54 *(3)</f>
        <v>39</v>
      </c>
      <c r="B56" s="933" t="s">
        <v>311</v>
      </c>
      <c r="D56" s="933" t="s">
        <v>747</v>
      </c>
      <c r="F56" s="935" t="s">
        <v>727</v>
      </c>
      <c r="G56" s="936" t="s">
        <v>748</v>
      </c>
      <c r="H56" s="937">
        <v>616</v>
      </c>
      <c r="I56" s="933" t="s">
        <v>749</v>
      </c>
      <c r="J56" s="933" t="s">
        <v>750</v>
      </c>
      <c r="K56" s="933" t="s">
        <v>751</v>
      </c>
      <c r="O56" s="938">
        <v>2</v>
      </c>
      <c r="P56" s="939"/>
      <c r="Q56" s="940">
        <v>2.39</v>
      </c>
      <c r="R56" s="941">
        <f t="shared" ref="R56:R63" ca="1" si="6">$A56*Q56</f>
        <v>93.210000000000008</v>
      </c>
      <c r="S56" s="940">
        <v>0.06</v>
      </c>
      <c r="T56" s="942">
        <f t="shared" ref="T56:T63" ca="1" si="7">$A56*S56*$T$1</f>
        <v>2.34</v>
      </c>
    </row>
    <row r="57" spans="1:28" s="933" customFormat="1">
      <c r="A57" s="932">
        <f ca="1">$Q$54 *(3)</f>
        <v>39</v>
      </c>
      <c r="B57" s="933" t="s">
        <v>141</v>
      </c>
      <c r="D57" s="933" t="s">
        <v>731</v>
      </c>
      <c r="G57" s="936" t="s">
        <v>732</v>
      </c>
      <c r="H57" s="937">
        <v>875</v>
      </c>
      <c r="I57" s="933" t="s">
        <v>729</v>
      </c>
      <c r="K57" s="933" t="s">
        <v>733</v>
      </c>
      <c r="O57" s="938">
        <v>1</v>
      </c>
      <c r="P57" s="939">
        <v>34669</v>
      </c>
      <c r="Q57" s="940">
        <v>0.05</v>
      </c>
      <c r="R57" s="941">
        <f t="shared" ca="1" si="6"/>
        <v>1.9500000000000002</v>
      </c>
      <c r="S57" s="940"/>
      <c r="T57" s="942">
        <f t="shared" ca="1" si="7"/>
        <v>0</v>
      </c>
    </row>
    <row r="58" spans="1:28" s="933" customFormat="1">
      <c r="A58" s="932">
        <f ca="1">$Q$54 *(2)</f>
        <v>26</v>
      </c>
      <c r="B58" s="933" t="s">
        <v>141</v>
      </c>
      <c r="D58" s="933" t="s">
        <v>752</v>
      </c>
      <c r="G58" s="936" t="s">
        <v>753</v>
      </c>
      <c r="H58" s="937">
        <v>620</v>
      </c>
      <c r="I58" s="933" t="s">
        <v>736</v>
      </c>
      <c r="O58" s="938">
        <v>2</v>
      </c>
      <c r="P58" s="939">
        <v>35431</v>
      </c>
      <c r="Q58" s="940">
        <v>4.71</v>
      </c>
      <c r="R58" s="941">
        <f t="shared" ca="1" si="6"/>
        <v>122.46</v>
      </c>
      <c r="S58" s="940">
        <v>0.35000000000000003</v>
      </c>
      <c r="T58" s="942">
        <f t="shared" ca="1" si="7"/>
        <v>9.1000000000000014</v>
      </c>
    </row>
    <row r="59" spans="1:28" s="933" customFormat="1">
      <c r="A59" s="932">
        <f ca="1">$Q$54 *(2)</f>
        <v>26</v>
      </c>
      <c r="B59" s="933" t="s">
        <v>311</v>
      </c>
      <c r="D59" s="933" t="s">
        <v>737</v>
      </c>
      <c r="G59" s="936" t="s">
        <v>738</v>
      </c>
      <c r="H59" s="937">
        <v>620</v>
      </c>
      <c r="I59" s="933" t="s">
        <v>729</v>
      </c>
      <c r="O59" s="938">
        <v>2</v>
      </c>
      <c r="P59" s="939">
        <v>38148</v>
      </c>
      <c r="Q59" s="940">
        <v>1.5</v>
      </c>
      <c r="R59" s="941">
        <f t="shared" ca="1" si="6"/>
        <v>39</v>
      </c>
      <c r="S59" s="940">
        <v>0.08</v>
      </c>
      <c r="T59" s="942">
        <f t="shared" ca="1" si="7"/>
        <v>2.08</v>
      </c>
    </row>
    <row r="60" spans="1:28" s="933" customFormat="1">
      <c r="A60" s="932">
        <f ca="1">$Q$54 *(2*3)</f>
        <v>78</v>
      </c>
      <c r="B60" s="933" t="s">
        <v>141</v>
      </c>
      <c r="D60" s="933" t="s">
        <v>754</v>
      </c>
      <c r="G60" s="936" t="s">
        <v>755</v>
      </c>
      <c r="H60" s="937">
        <v>620</v>
      </c>
      <c r="I60" s="933" t="s">
        <v>741</v>
      </c>
      <c r="O60" s="938">
        <v>2</v>
      </c>
      <c r="P60" s="939">
        <v>34669</v>
      </c>
      <c r="Q60" s="940">
        <v>0.05</v>
      </c>
      <c r="R60" s="941">
        <f t="shared" ca="1" si="6"/>
        <v>3.9000000000000004</v>
      </c>
      <c r="S60" s="940">
        <v>0.02</v>
      </c>
      <c r="T60" s="942">
        <f t="shared" ca="1" si="7"/>
        <v>1.56</v>
      </c>
    </row>
    <row r="61" spans="1:28" s="933" customFormat="1">
      <c r="A61" s="932">
        <f ca="1">$Q$54 *(2*3)</f>
        <v>78</v>
      </c>
      <c r="B61" s="933" t="s">
        <v>141</v>
      </c>
      <c r="D61" s="933" t="s">
        <v>776</v>
      </c>
      <c r="G61" s="936" t="s">
        <v>777</v>
      </c>
      <c r="H61" s="937">
        <v>900</v>
      </c>
      <c r="I61" s="933" t="s">
        <v>778</v>
      </c>
      <c r="O61" s="938">
        <v>1</v>
      </c>
      <c r="P61" s="939"/>
      <c r="Q61" s="940"/>
      <c r="R61" s="941">
        <f ca="1">$A61*Q61</f>
        <v>0</v>
      </c>
      <c r="S61" s="940"/>
      <c r="T61" s="942">
        <f ca="1">$A61*S61*$T$1</f>
        <v>0</v>
      </c>
    </row>
    <row r="62" spans="1:28" s="933" customFormat="1">
      <c r="A62" s="932">
        <f ca="1">$Q$54 *(1)</f>
        <v>13</v>
      </c>
      <c r="B62" s="933" t="s">
        <v>141</v>
      </c>
      <c r="D62" s="933" t="s">
        <v>776</v>
      </c>
      <c r="F62" s="933" t="s">
        <v>906</v>
      </c>
      <c r="G62" s="936" t="s">
        <v>777</v>
      </c>
      <c r="H62" s="937">
        <v>900</v>
      </c>
      <c r="I62" s="933" t="s">
        <v>778</v>
      </c>
      <c r="K62" s="933" t="s">
        <v>7</v>
      </c>
      <c r="O62" s="938">
        <v>1</v>
      </c>
      <c r="P62" s="939"/>
      <c r="Q62" s="983"/>
      <c r="R62" s="941">
        <f ca="1">$A62*Q62</f>
        <v>0</v>
      </c>
      <c r="S62" s="940">
        <v>0.5</v>
      </c>
      <c r="T62" s="942">
        <f t="shared" ref="T62" ca="1" si="8">$A62*S62*$T$1</f>
        <v>6.5</v>
      </c>
      <c r="U62" s="933" t="s">
        <v>863</v>
      </c>
    </row>
    <row r="63" spans="1:28" s="519" customFormat="1">
      <c r="A63" s="641"/>
      <c r="B63" s="3"/>
      <c r="C63" s="641" t="s">
        <v>180</v>
      </c>
      <c r="D63" s="3"/>
      <c r="E63" s="641"/>
      <c r="F63" s="636"/>
      <c r="G63" s="641"/>
      <c r="H63" s="641"/>
      <c r="I63" s="518"/>
      <c r="J63" s="641"/>
      <c r="K63" s="641"/>
      <c r="L63" s="641"/>
      <c r="M63" s="641"/>
      <c r="N63" s="641"/>
      <c r="O63" s="641"/>
      <c r="P63" s="641"/>
      <c r="Q63" s="518"/>
      <c r="R63" s="943">
        <f t="shared" si="6"/>
        <v>0</v>
      </c>
      <c r="S63" s="518"/>
      <c r="T63" s="643">
        <f t="shared" si="7"/>
        <v>0</v>
      </c>
    </row>
    <row r="64" spans="1:28" s="519" customFormat="1" ht="12.6" thickBot="1">
      <c r="A64" s="644" t="s">
        <v>145</v>
      </c>
      <c r="B64" s="645">
        <f>(R63+T63)</f>
        <v>0</v>
      </c>
      <c r="C64" s="646"/>
      <c r="D64" s="944" t="s">
        <v>181</v>
      </c>
      <c r="E64" s="466">
        <f ca="1">IF($B54=0,0,ROUND(ROUND(($R64*$S$2+($T64*$T$2))/$B54, 2)*$C$2,2))</f>
        <v>65.62</v>
      </c>
      <c r="F64" s="467">
        <f ca="1">ROUND($B54*$E64,2)</f>
        <v>853.06</v>
      </c>
      <c r="G64" s="646"/>
      <c r="H64" s="646"/>
      <c r="I64" s="648"/>
      <c r="J64" s="646"/>
      <c r="K64" s="945" t="s">
        <v>143</v>
      </c>
      <c r="L64" s="649" t="s">
        <v>143</v>
      </c>
      <c r="M64" s="649"/>
      <c r="N64" s="649"/>
      <c r="O64" s="649"/>
      <c r="P64" s="649"/>
      <c r="Q64" s="945"/>
      <c r="R64" s="946">
        <f ca="1">SUM(R55:R63)</f>
        <v>260.52</v>
      </c>
      <c r="S64" s="947"/>
      <c r="T64" s="946">
        <f ca="1">SUM(T55:T63)</f>
        <v>21.580000000000002</v>
      </c>
      <c r="U64" s="529"/>
      <c r="V64" s="529"/>
      <c r="W64" s="529"/>
      <c r="X64" s="529"/>
      <c r="Y64" s="529"/>
      <c r="Z64" s="529"/>
      <c r="AA64" s="529"/>
      <c r="AB64" s="529"/>
    </row>
    <row r="65" spans="1:28" s="519" customFormat="1" ht="12" thickTop="1">
      <c r="A65" s="47"/>
      <c r="B65" s="47"/>
      <c r="C65" s="47"/>
      <c r="D65" s="47"/>
      <c r="E65" s="47"/>
      <c r="F65" s="47"/>
      <c r="G65" s="47"/>
      <c r="H65" s="47"/>
      <c r="I65" s="47"/>
      <c r="J65" s="47"/>
      <c r="K65" s="47"/>
      <c r="L65" s="47"/>
      <c r="M65" s="47"/>
      <c r="N65" s="47"/>
      <c r="O65" s="48"/>
      <c r="P65" s="47"/>
      <c r="Q65" s="41" t="s">
        <v>177</v>
      </c>
      <c r="R65" s="47"/>
      <c r="S65" s="12"/>
      <c r="T65" s="47"/>
    </row>
    <row r="66" spans="1:28" s="519" customFormat="1" ht="12" customHeight="1" thickBot="1">
      <c r="A66" s="922">
        <v>1</v>
      </c>
      <c r="B66" s="923">
        <f ca="1">Elec_Est!B2144</f>
        <v>15</v>
      </c>
      <c r="C66" s="924"/>
      <c r="D66" s="925" t="s">
        <v>761</v>
      </c>
      <c r="E66" s="926"/>
      <c r="F66" s="926"/>
      <c r="G66" s="635"/>
      <c r="H66" s="635"/>
      <c r="I66" s="927"/>
      <c r="J66" s="635"/>
      <c r="K66" s="924" t="s">
        <v>178</v>
      </c>
      <c r="L66" s="928" t="s">
        <v>178</v>
      </c>
      <c r="M66" s="928"/>
      <c r="N66" s="928"/>
      <c r="O66" s="928"/>
      <c r="P66" s="928"/>
      <c r="Q66" s="929">
        <f ca="1">B66/A66</f>
        <v>15</v>
      </c>
      <c r="R66" s="930">
        <f ca="1">IF($B66=0,0,IF($S$1="R",ROUND(R75/$B66,2),R75/$B66))</f>
        <v>44.34</v>
      </c>
      <c r="S66" s="931"/>
      <c r="T66" s="930">
        <f ca="1">IF($B66=0,0,IF($S$1="R",ROUND(T75/$B66,2),T75/$B66))</f>
        <v>1.64</v>
      </c>
    </row>
    <row r="67" spans="1:28" s="519" customFormat="1" ht="13.8" thickTop="1">
      <c r="A67" s="631"/>
      <c r="B67" s="3"/>
      <c r="C67" s="3"/>
      <c r="D67" s="98" t="s">
        <v>179</v>
      </c>
      <c r="E67" s="964"/>
      <c r="F67" s="3"/>
      <c r="G67" s="3"/>
      <c r="H67" s="3"/>
      <c r="I67" s="3"/>
      <c r="J67" s="3"/>
      <c r="K67" s="3"/>
      <c r="L67" s="3"/>
      <c r="M67" s="3"/>
      <c r="N67" s="3"/>
      <c r="O67" s="99"/>
      <c r="P67" s="3"/>
      <c r="Q67" s="3"/>
      <c r="R67" s="3"/>
      <c r="S67" s="3"/>
      <c r="T67" s="3"/>
    </row>
    <row r="68" spans="1:28" s="933" customFormat="1">
      <c r="A68" s="932">
        <f ca="1">$Q$66 *(3)</f>
        <v>45</v>
      </c>
      <c r="B68" s="933" t="s">
        <v>311</v>
      </c>
      <c r="D68" s="933" t="s">
        <v>762</v>
      </c>
      <c r="E68" s="934" t="s">
        <v>726</v>
      </c>
      <c r="F68" s="935" t="s">
        <v>727</v>
      </c>
      <c r="G68" s="936" t="s">
        <v>763</v>
      </c>
      <c r="H68" s="937">
        <v>616</v>
      </c>
      <c r="I68" s="933" t="s">
        <v>729</v>
      </c>
      <c r="J68" s="933" t="s">
        <v>764</v>
      </c>
      <c r="O68" s="938">
        <v>2</v>
      </c>
      <c r="P68" s="939">
        <v>38301</v>
      </c>
      <c r="Q68" s="940">
        <v>11.19</v>
      </c>
      <c r="R68" s="941">
        <f t="shared" ref="R68:R74" ca="1" si="9">$A68*Q68</f>
        <v>503.54999999999995</v>
      </c>
      <c r="S68" s="940">
        <v>0.06</v>
      </c>
      <c r="T68" s="942">
        <f t="shared" ref="T68:T74" ca="1" si="10">$A68*S68*$T$1</f>
        <v>2.6999999999999997</v>
      </c>
    </row>
    <row r="69" spans="1:28" s="933" customFormat="1">
      <c r="A69" s="932">
        <f ca="1">$Q$66 *(3)</f>
        <v>45</v>
      </c>
      <c r="B69" s="933" t="s">
        <v>141</v>
      </c>
      <c r="D69" s="933" t="s">
        <v>731</v>
      </c>
      <c r="G69" s="936" t="s">
        <v>732</v>
      </c>
      <c r="H69" s="937">
        <v>875</v>
      </c>
      <c r="I69" s="933" t="s">
        <v>729</v>
      </c>
      <c r="K69" s="933" t="s">
        <v>733</v>
      </c>
      <c r="O69" s="938">
        <v>1</v>
      </c>
      <c r="P69" s="939">
        <v>34669</v>
      </c>
      <c r="Q69" s="940">
        <v>0.05</v>
      </c>
      <c r="R69" s="941">
        <f t="shared" ca="1" si="9"/>
        <v>2.25</v>
      </c>
      <c r="S69" s="940"/>
      <c r="T69" s="942">
        <f t="shared" ca="1" si="10"/>
        <v>0</v>
      </c>
    </row>
    <row r="70" spans="1:28" s="933" customFormat="1">
      <c r="A70" s="932">
        <f ca="1">$Q$66 *(2)</f>
        <v>30</v>
      </c>
      <c r="B70" s="933" t="s">
        <v>141</v>
      </c>
      <c r="D70" s="933" t="s">
        <v>765</v>
      </c>
      <c r="G70" s="936" t="s">
        <v>766</v>
      </c>
      <c r="H70" s="937">
        <v>620</v>
      </c>
      <c r="I70" s="933" t="s">
        <v>736</v>
      </c>
      <c r="O70" s="938">
        <v>2</v>
      </c>
      <c r="P70" s="939">
        <v>35431</v>
      </c>
      <c r="Q70" s="940">
        <v>3.56</v>
      </c>
      <c r="R70" s="941">
        <f t="shared" ca="1" si="9"/>
        <v>106.8</v>
      </c>
      <c r="S70" s="940">
        <v>0.3</v>
      </c>
      <c r="T70" s="942">
        <f t="shared" ca="1" si="10"/>
        <v>9</v>
      </c>
    </row>
    <row r="71" spans="1:28" s="933" customFormat="1">
      <c r="A71" s="932">
        <f ca="1">$Q$66 *(2)</f>
        <v>30</v>
      </c>
      <c r="B71" s="933" t="s">
        <v>311</v>
      </c>
      <c r="D71" s="933" t="s">
        <v>737</v>
      </c>
      <c r="G71" s="936" t="s">
        <v>738</v>
      </c>
      <c r="H71" s="937">
        <v>620</v>
      </c>
      <c r="I71" s="933" t="s">
        <v>729</v>
      </c>
      <c r="O71" s="938">
        <v>2</v>
      </c>
      <c r="P71" s="939">
        <v>38148</v>
      </c>
      <c r="Q71" s="940">
        <v>1.5</v>
      </c>
      <c r="R71" s="941">
        <f t="shared" ca="1" si="9"/>
        <v>45</v>
      </c>
      <c r="S71" s="940">
        <v>0.08</v>
      </c>
      <c r="T71" s="942">
        <f t="shared" ca="1" si="10"/>
        <v>2.4</v>
      </c>
    </row>
    <row r="72" spans="1:28" s="933" customFormat="1">
      <c r="A72" s="932">
        <f ca="1">$Q$66 *(10)</f>
        <v>150</v>
      </c>
      <c r="B72" s="933" t="s">
        <v>141</v>
      </c>
      <c r="D72" s="933" t="s">
        <v>767</v>
      </c>
      <c r="G72" s="936" t="s">
        <v>768</v>
      </c>
      <c r="H72" s="937">
        <v>620</v>
      </c>
      <c r="I72" s="933" t="s">
        <v>741</v>
      </c>
      <c r="O72" s="938">
        <v>2</v>
      </c>
      <c r="P72" s="939">
        <v>34669</v>
      </c>
      <c r="Q72" s="940">
        <v>0.05</v>
      </c>
      <c r="R72" s="941">
        <f t="shared" ca="1" si="9"/>
        <v>7.5</v>
      </c>
      <c r="S72" s="940">
        <v>0.02</v>
      </c>
      <c r="T72" s="942">
        <f t="shared" ca="1" si="10"/>
        <v>3</v>
      </c>
    </row>
    <row r="73" spans="1:28" s="933" customFormat="1">
      <c r="A73" s="932">
        <f ca="1">$Q$66 *(1)</f>
        <v>15</v>
      </c>
      <c r="B73" s="933" t="s">
        <v>141</v>
      </c>
      <c r="D73" s="933" t="s">
        <v>776</v>
      </c>
      <c r="F73" s="933" t="s">
        <v>906</v>
      </c>
      <c r="G73" s="936" t="s">
        <v>777</v>
      </c>
      <c r="H73" s="937">
        <v>900</v>
      </c>
      <c r="I73" s="933" t="s">
        <v>778</v>
      </c>
      <c r="K73" s="933" t="s">
        <v>7</v>
      </c>
      <c r="O73" s="938">
        <v>1</v>
      </c>
      <c r="P73" s="939"/>
      <c r="Q73" s="983"/>
      <c r="R73" s="941">
        <f ca="1">$A73*Q73</f>
        <v>0</v>
      </c>
      <c r="S73" s="940">
        <v>0.5</v>
      </c>
      <c r="T73" s="942">
        <f t="shared" ca="1" si="10"/>
        <v>7.5</v>
      </c>
      <c r="U73" s="933" t="s">
        <v>863</v>
      </c>
    </row>
    <row r="74" spans="1:28" s="519" customFormat="1">
      <c r="A74" s="641"/>
      <c r="B74" s="3"/>
      <c r="C74" s="641" t="s">
        <v>180</v>
      </c>
      <c r="D74" s="3"/>
      <c r="E74" s="641"/>
      <c r="F74" s="636"/>
      <c r="G74" s="641"/>
      <c r="H74" s="641"/>
      <c r="I74" s="518"/>
      <c r="J74" s="641"/>
      <c r="K74" s="641"/>
      <c r="L74" s="641"/>
      <c r="M74" s="641"/>
      <c r="N74" s="641"/>
      <c r="O74" s="641"/>
      <c r="P74" s="641"/>
      <c r="Q74" s="518"/>
      <c r="R74" s="943">
        <f t="shared" si="9"/>
        <v>0</v>
      </c>
      <c r="S74" s="518"/>
      <c r="T74" s="643">
        <f t="shared" si="10"/>
        <v>0</v>
      </c>
    </row>
    <row r="75" spans="1:28" s="519" customFormat="1" ht="12.6" thickBot="1">
      <c r="A75" s="644" t="s">
        <v>145</v>
      </c>
      <c r="B75" s="645">
        <f>(R74+T74)</f>
        <v>0</v>
      </c>
      <c r="C75" s="646"/>
      <c r="D75" s="944" t="s">
        <v>181</v>
      </c>
      <c r="E75" s="466">
        <f ca="1">IF($B66=0,0,ROUND(ROUND(($R75*$S$2+($T75*$T$2))/$B66, 2)*$C$2,2))</f>
        <v>89.37</v>
      </c>
      <c r="F75" s="467">
        <f ca="1">ROUND($B66*$E75,2)</f>
        <v>1340.55</v>
      </c>
      <c r="G75" s="646"/>
      <c r="H75" s="646"/>
      <c r="I75" s="648"/>
      <c r="J75" s="646"/>
      <c r="K75" s="945" t="s">
        <v>143</v>
      </c>
      <c r="L75" s="649" t="s">
        <v>143</v>
      </c>
      <c r="M75" s="649"/>
      <c r="N75" s="649"/>
      <c r="O75" s="649"/>
      <c r="P75" s="649"/>
      <c r="Q75" s="945"/>
      <c r="R75" s="946">
        <f ca="1">SUM(R67:R74)</f>
        <v>665.09999999999991</v>
      </c>
      <c r="S75" s="947"/>
      <c r="T75" s="946">
        <f ca="1">SUM(T67:T74)</f>
        <v>24.6</v>
      </c>
      <c r="U75" s="529"/>
      <c r="V75" s="529"/>
      <c r="W75" s="529"/>
      <c r="X75" s="529"/>
      <c r="Y75" s="529"/>
      <c r="Z75" s="529"/>
      <c r="AA75" s="529"/>
      <c r="AB75" s="529"/>
    </row>
    <row r="76" spans="1:28" s="519" customFormat="1" ht="12" thickTop="1">
      <c r="A76" s="47"/>
      <c r="B76" s="47"/>
      <c r="C76" s="47"/>
      <c r="D76" s="47"/>
      <c r="E76" s="47"/>
      <c r="F76" s="47"/>
      <c r="G76" s="47"/>
      <c r="H76" s="47"/>
      <c r="I76" s="47"/>
      <c r="J76" s="47"/>
      <c r="K76" s="47"/>
      <c r="L76" s="47"/>
      <c r="M76" s="47"/>
      <c r="N76" s="47"/>
      <c r="O76" s="48"/>
      <c r="P76" s="47"/>
      <c r="Q76" s="41" t="s">
        <v>177</v>
      </c>
      <c r="R76" s="47"/>
      <c r="S76" s="12"/>
      <c r="T76" s="47"/>
    </row>
    <row r="77" spans="1:28" s="519" customFormat="1" ht="12" customHeight="1" thickBot="1">
      <c r="A77" s="922">
        <v>1</v>
      </c>
      <c r="B77" s="923">
        <f ca="1">Elec_Est!B2145</f>
        <v>12</v>
      </c>
      <c r="C77" s="924"/>
      <c r="D77" s="925" t="s">
        <v>905</v>
      </c>
      <c r="E77" s="926"/>
      <c r="F77" s="926"/>
      <c r="G77" s="635"/>
      <c r="H77" s="635"/>
      <c r="I77" s="927"/>
      <c r="J77" s="635"/>
      <c r="K77" s="924" t="s">
        <v>178</v>
      </c>
      <c r="L77" s="928" t="s">
        <v>178</v>
      </c>
      <c r="M77" s="928"/>
      <c r="N77" s="928"/>
      <c r="O77" s="928"/>
      <c r="P77" s="928"/>
      <c r="Q77" s="929">
        <f ca="1">B77/A77</f>
        <v>12</v>
      </c>
      <c r="R77" s="930">
        <f ca="1">IF($B77=0,0,IF($S$1="R",ROUND(R88/$B77,2),R88/$B77))</f>
        <v>82.1</v>
      </c>
      <c r="S77" s="931"/>
      <c r="T77" s="930">
        <f ca="1">IF($B77=0,0,IF($S$1="R",ROUND(T88/$B77,2),T88/$B77))</f>
        <v>1.64</v>
      </c>
    </row>
    <row r="78" spans="1:28" s="519" customFormat="1" ht="13.8" thickTop="1">
      <c r="A78" s="631"/>
      <c r="B78" s="3"/>
      <c r="C78" s="3"/>
      <c r="D78" s="98" t="s">
        <v>179</v>
      </c>
      <c r="E78" s="964" t="s">
        <v>904</v>
      </c>
      <c r="F78" s="3"/>
      <c r="G78" s="3"/>
      <c r="H78" s="3"/>
      <c r="I78" s="3"/>
      <c r="J78" s="3"/>
      <c r="K78" s="3"/>
      <c r="L78" s="3"/>
      <c r="M78" s="3"/>
      <c r="N78" s="3"/>
      <c r="O78" s="99"/>
      <c r="P78" s="3"/>
      <c r="Q78" s="3"/>
      <c r="R78" s="3"/>
      <c r="S78" s="3"/>
      <c r="T78" s="3"/>
    </row>
    <row r="79" spans="1:28" s="933" customFormat="1">
      <c r="A79" s="932">
        <f ca="1">$Q$77 *(3)</f>
        <v>36</v>
      </c>
      <c r="B79" s="933" t="s">
        <v>311</v>
      </c>
      <c r="D79" s="933" t="s">
        <v>762</v>
      </c>
      <c r="E79" s="934" t="s">
        <v>726</v>
      </c>
      <c r="F79" s="935" t="s">
        <v>727</v>
      </c>
      <c r="G79" s="936" t="s">
        <v>763</v>
      </c>
      <c r="H79" s="937">
        <v>616</v>
      </c>
      <c r="I79" s="933" t="s">
        <v>729</v>
      </c>
      <c r="J79" s="933" t="s">
        <v>764</v>
      </c>
      <c r="O79" s="938">
        <v>2</v>
      </c>
      <c r="P79" s="939">
        <v>38301</v>
      </c>
      <c r="Q79" s="940">
        <v>11.19</v>
      </c>
      <c r="R79" s="941">
        <f t="shared" ref="R79:R87" ca="1" si="11">$A79*Q79</f>
        <v>402.84</v>
      </c>
      <c r="S79" s="940">
        <v>0.06</v>
      </c>
      <c r="T79" s="942">
        <f t="shared" ref="T79:T87" ca="1" si="12">$A79*S79*$T$1</f>
        <v>2.16</v>
      </c>
    </row>
    <row r="80" spans="1:28" s="933" customFormat="1">
      <c r="A80" s="932">
        <f ca="1">$Q$77 *(3)</f>
        <v>36</v>
      </c>
      <c r="B80" s="933" t="s">
        <v>141</v>
      </c>
      <c r="D80" s="933" t="s">
        <v>731</v>
      </c>
      <c r="G80" s="936" t="s">
        <v>732</v>
      </c>
      <c r="H80" s="937">
        <v>875</v>
      </c>
      <c r="I80" s="933" t="s">
        <v>729</v>
      </c>
      <c r="K80" s="933" t="s">
        <v>733</v>
      </c>
      <c r="O80" s="938">
        <v>1</v>
      </c>
      <c r="P80" s="939">
        <v>34669</v>
      </c>
      <c r="Q80" s="940">
        <v>0.05</v>
      </c>
      <c r="R80" s="941">
        <f t="shared" ca="1" si="11"/>
        <v>1.8</v>
      </c>
      <c r="S80" s="940"/>
      <c r="T80" s="942">
        <f t="shared" ca="1" si="12"/>
        <v>0</v>
      </c>
    </row>
    <row r="81" spans="1:28" s="933" customFormat="1">
      <c r="A81" s="932">
        <f ca="1">$Q$77 *(2)</f>
        <v>24</v>
      </c>
      <c r="B81" s="933" t="s">
        <v>141</v>
      </c>
      <c r="D81" s="933" t="s">
        <v>765</v>
      </c>
      <c r="G81" s="936" t="s">
        <v>766</v>
      </c>
      <c r="H81" s="937">
        <v>620</v>
      </c>
      <c r="I81" s="933" t="s">
        <v>736</v>
      </c>
      <c r="O81" s="938">
        <v>2</v>
      </c>
      <c r="P81" s="939">
        <v>35431</v>
      </c>
      <c r="Q81" s="940">
        <v>3.56</v>
      </c>
      <c r="R81" s="941">
        <f t="shared" ca="1" si="11"/>
        <v>85.44</v>
      </c>
      <c r="S81" s="940">
        <v>0.3</v>
      </c>
      <c r="T81" s="942">
        <f t="shared" ca="1" si="12"/>
        <v>7.1999999999999993</v>
      </c>
    </row>
    <row r="82" spans="1:28" s="933" customFormat="1">
      <c r="A82" s="932">
        <f ca="1">$Q$77 *(2)</f>
        <v>24</v>
      </c>
      <c r="B82" s="933" t="s">
        <v>311</v>
      </c>
      <c r="D82" s="933" t="s">
        <v>737</v>
      </c>
      <c r="G82" s="936" t="s">
        <v>738</v>
      </c>
      <c r="H82" s="937">
        <v>620</v>
      </c>
      <c r="I82" s="933" t="s">
        <v>729</v>
      </c>
      <c r="O82" s="938">
        <v>2</v>
      </c>
      <c r="P82" s="939">
        <v>38148</v>
      </c>
      <c r="Q82" s="940">
        <v>1.5</v>
      </c>
      <c r="R82" s="941">
        <f t="shared" ca="1" si="11"/>
        <v>36</v>
      </c>
      <c r="S82" s="940">
        <v>0.08</v>
      </c>
      <c r="T82" s="942">
        <f t="shared" ca="1" si="12"/>
        <v>1.92</v>
      </c>
    </row>
    <row r="83" spans="1:28" s="933" customFormat="1">
      <c r="A83" s="932">
        <f ca="1">$Q$77 *(10)</f>
        <v>120</v>
      </c>
      <c r="B83" s="933" t="s">
        <v>141</v>
      </c>
      <c r="D83" s="933" t="s">
        <v>767</v>
      </c>
      <c r="G83" s="936" t="s">
        <v>768</v>
      </c>
      <c r="H83" s="937">
        <v>620</v>
      </c>
      <c r="I83" s="933" t="s">
        <v>741</v>
      </c>
      <c r="O83" s="938">
        <v>2</v>
      </c>
      <c r="P83" s="939">
        <v>34669</v>
      </c>
      <c r="Q83" s="940">
        <v>0.05</v>
      </c>
      <c r="R83" s="941">
        <f t="shared" ca="1" si="11"/>
        <v>6</v>
      </c>
      <c r="S83" s="940">
        <v>0.02</v>
      </c>
      <c r="T83" s="942">
        <f t="shared" ca="1" si="12"/>
        <v>2.4</v>
      </c>
    </row>
    <row r="84" spans="1:28" s="933" customFormat="1">
      <c r="A84" s="932">
        <f ca="1">$Q$77 *(1)</f>
        <v>12</v>
      </c>
      <c r="B84" s="933" t="s">
        <v>141</v>
      </c>
      <c r="D84" s="933" t="s">
        <v>776</v>
      </c>
      <c r="F84" s="933" t="s">
        <v>906</v>
      </c>
      <c r="G84" s="936" t="s">
        <v>777</v>
      </c>
      <c r="H84" s="937">
        <v>900</v>
      </c>
      <c r="I84" s="933" t="s">
        <v>778</v>
      </c>
      <c r="K84" s="933" t="s">
        <v>7</v>
      </c>
      <c r="O84" s="938">
        <v>1</v>
      </c>
      <c r="P84" s="939"/>
      <c r="Q84" s="983"/>
      <c r="R84" s="941">
        <f ca="1">$A84*Q84</f>
        <v>0</v>
      </c>
      <c r="S84" s="940">
        <v>0.5</v>
      </c>
      <c r="T84" s="942">
        <f t="shared" ca="1" si="12"/>
        <v>6</v>
      </c>
      <c r="U84" s="933" t="s">
        <v>863</v>
      </c>
    </row>
    <row r="85" spans="1:28" s="933" customFormat="1">
      <c r="A85" s="932">
        <f ca="1">$Q$77 *(1/12)</f>
        <v>1</v>
      </c>
      <c r="B85" s="970" t="s">
        <v>840</v>
      </c>
      <c r="C85" s="970"/>
      <c r="D85" s="970" t="s">
        <v>841</v>
      </c>
      <c r="E85" s="970"/>
      <c r="F85" s="970" t="s">
        <v>907</v>
      </c>
      <c r="G85" s="971" t="s">
        <v>842</v>
      </c>
      <c r="H85" s="972">
        <v>962</v>
      </c>
      <c r="I85" s="970" t="s">
        <v>778</v>
      </c>
      <c r="J85" s="970"/>
      <c r="K85" s="970"/>
      <c r="L85" s="970"/>
      <c r="M85" s="970"/>
      <c r="N85" s="970"/>
      <c r="O85" s="973">
        <v>2</v>
      </c>
      <c r="P85" s="974">
        <v>38129</v>
      </c>
      <c r="Q85" s="940">
        <f>1.25 *(20/8*125)</f>
        <v>390.625</v>
      </c>
      <c r="R85" s="975">
        <f ca="1">$A85*Q85</f>
        <v>390.625</v>
      </c>
      <c r="S85" s="976"/>
      <c r="T85" s="977">
        <f ca="1">$A85*S85*$T$1</f>
        <v>0</v>
      </c>
    </row>
    <row r="86" spans="1:28" s="933" customFormat="1">
      <c r="A86" s="932">
        <f ca="1">$Q$77 *(1/12)</f>
        <v>1</v>
      </c>
      <c r="B86" s="933" t="s">
        <v>908</v>
      </c>
      <c r="D86" s="933" t="s">
        <v>909</v>
      </c>
      <c r="F86" s="933" t="s">
        <v>910</v>
      </c>
      <c r="G86" s="936" t="s">
        <v>911</v>
      </c>
      <c r="H86" s="937">
        <v>845</v>
      </c>
      <c r="I86" s="933" t="s">
        <v>729</v>
      </c>
      <c r="O86" s="938">
        <v>3</v>
      </c>
      <c r="P86" s="939">
        <v>39713</v>
      </c>
      <c r="Q86" s="940">
        <f>20/8*25</f>
        <v>62.5</v>
      </c>
      <c r="R86" s="941">
        <f ca="1">$A86*Q86</f>
        <v>62.5</v>
      </c>
      <c r="S86" s="940"/>
      <c r="T86" s="942">
        <f ca="1">$A86*S86*$T$1</f>
        <v>0</v>
      </c>
    </row>
    <row r="87" spans="1:28" s="519" customFormat="1">
      <c r="A87" s="641"/>
      <c r="B87" s="3"/>
      <c r="C87" s="641" t="s">
        <v>180</v>
      </c>
      <c r="D87" s="3"/>
      <c r="E87" s="641"/>
      <c r="F87" s="636"/>
      <c r="G87" s="641"/>
      <c r="H87" s="641"/>
      <c r="I87" s="518"/>
      <c r="J87" s="641"/>
      <c r="K87" s="641"/>
      <c r="L87" s="641"/>
      <c r="M87" s="641"/>
      <c r="N87" s="641"/>
      <c r="O87" s="641"/>
      <c r="P87" s="641"/>
      <c r="Q87" s="518"/>
      <c r="R87" s="943">
        <f t="shared" si="11"/>
        <v>0</v>
      </c>
      <c r="S87" s="518"/>
      <c r="T87" s="643">
        <f t="shared" si="12"/>
        <v>0</v>
      </c>
    </row>
    <row r="88" spans="1:28" s="519" customFormat="1" ht="12.6" thickBot="1">
      <c r="A88" s="644" t="s">
        <v>145</v>
      </c>
      <c r="B88" s="645">
        <f>(R87+T87)</f>
        <v>0</v>
      </c>
      <c r="C88" s="646"/>
      <c r="D88" s="944" t="s">
        <v>181</v>
      </c>
      <c r="E88" s="466">
        <f ca="1">IF($B77=0,0,ROUND(ROUND(($R88*$S$2+($T88*$T$2))/$B77, 2)*$C$2,2))</f>
        <v>127.13</v>
      </c>
      <c r="F88" s="467">
        <f ca="1">ROUND($B77*$E88,2)</f>
        <v>1525.56</v>
      </c>
      <c r="G88" s="646"/>
      <c r="H88" s="646"/>
      <c r="I88" s="648"/>
      <c r="J88" s="646"/>
      <c r="K88" s="945" t="s">
        <v>143</v>
      </c>
      <c r="L88" s="649" t="s">
        <v>143</v>
      </c>
      <c r="M88" s="649"/>
      <c r="N88" s="649"/>
      <c r="O88" s="649"/>
      <c r="P88" s="649"/>
      <c r="Q88" s="945"/>
      <c r="R88" s="946">
        <f ca="1">SUM(R78:R87)</f>
        <v>985.20499999999993</v>
      </c>
      <c r="S88" s="947"/>
      <c r="T88" s="946">
        <f ca="1">SUM(T78:T87)</f>
        <v>19.68</v>
      </c>
      <c r="U88" s="529"/>
      <c r="V88" s="529"/>
      <c r="W88" s="529"/>
      <c r="X88" s="529"/>
      <c r="Y88" s="529"/>
      <c r="Z88" s="529"/>
      <c r="AA88" s="529"/>
      <c r="AB88" s="529"/>
    </row>
    <row r="89" spans="1:28" s="519" customFormat="1" ht="12" thickTop="1">
      <c r="A89" s="47"/>
      <c r="B89" s="47"/>
      <c r="C89" s="47"/>
      <c r="D89" s="47"/>
      <c r="E89" s="47"/>
      <c r="F89" s="47"/>
      <c r="G89" s="47"/>
      <c r="H89" s="47"/>
      <c r="I89" s="47"/>
      <c r="J89" s="47"/>
      <c r="K89" s="47"/>
      <c r="L89" s="47"/>
      <c r="M89" s="47"/>
      <c r="N89" s="47"/>
      <c r="O89" s="48"/>
      <c r="P89" s="47"/>
      <c r="Q89" s="41" t="s">
        <v>177</v>
      </c>
      <c r="R89" s="47"/>
      <c r="S89" s="12"/>
      <c r="T89" s="47"/>
    </row>
    <row r="90" spans="1:28" s="519" customFormat="1" ht="12" customHeight="1" thickBot="1">
      <c r="A90" s="922">
        <v>1</v>
      </c>
      <c r="B90" s="923">
        <f ca="1">Elec_Est!B2146</f>
        <v>3</v>
      </c>
      <c r="C90" s="924"/>
      <c r="D90" s="925" t="s">
        <v>769</v>
      </c>
      <c r="E90" s="926"/>
      <c r="F90" s="926"/>
      <c r="G90" s="635"/>
      <c r="H90" s="635"/>
      <c r="I90" s="927"/>
      <c r="J90" s="635"/>
      <c r="K90" s="924" t="s">
        <v>178</v>
      </c>
      <c r="L90" s="928" t="s">
        <v>178</v>
      </c>
      <c r="M90" s="928"/>
      <c r="N90" s="928"/>
      <c r="O90" s="928"/>
      <c r="P90" s="928"/>
      <c r="Q90" s="929">
        <f ca="1">B90/A90</f>
        <v>3</v>
      </c>
      <c r="R90" s="930">
        <f ca="1">IF($B90=0,0,IF($S$1="R",ROUND(R98/$B90,2),R98/$B90))</f>
        <v>46.64</v>
      </c>
      <c r="S90" s="931"/>
      <c r="T90" s="930">
        <f ca="1">IF($B90=0,0,IF($S$1="R",ROUND(T98/$B90,2),T98/$B90))</f>
        <v>1.27</v>
      </c>
    </row>
    <row r="91" spans="1:28" s="519" customFormat="1" ht="13.8" thickTop="1">
      <c r="A91" s="631"/>
      <c r="B91" s="3"/>
      <c r="C91" s="3"/>
      <c r="D91" s="98" t="s">
        <v>179</v>
      </c>
      <c r="E91" s="3"/>
      <c r="F91" s="3"/>
      <c r="G91" s="3"/>
      <c r="H91" s="3"/>
      <c r="I91" s="3"/>
      <c r="J91" s="3"/>
      <c r="K91" s="3"/>
      <c r="L91" s="3"/>
      <c r="M91" s="3"/>
      <c r="N91" s="3"/>
      <c r="O91" s="99"/>
      <c r="P91" s="3"/>
      <c r="Q91" s="3"/>
      <c r="R91" s="3"/>
      <c r="S91" s="3"/>
      <c r="T91" s="3"/>
    </row>
    <row r="92" spans="1:28" s="933" customFormat="1">
      <c r="A92" s="932">
        <f ca="1">$Q$90 *(3)</f>
        <v>9</v>
      </c>
      <c r="B92" s="933" t="s">
        <v>311</v>
      </c>
      <c r="D92" s="933" t="s">
        <v>757</v>
      </c>
      <c r="E92" s="934" t="s">
        <v>726</v>
      </c>
      <c r="F92" s="935" t="s">
        <v>727</v>
      </c>
      <c r="G92" s="936" t="s">
        <v>758</v>
      </c>
      <c r="H92" s="937">
        <v>616</v>
      </c>
      <c r="I92" s="933" t="s">
        <v>729</v>
      </c>
      <c r="J92" s="933" t="s">
        <v>750</v>
      </c>
      <c r="K92" s="933" t="s">
        <v>759</v>
      </c>
      <c r="O92" s="938">
        <v>2</v>
      </c>
      <c r="P92" s="939">
        <v>38371</v>
      </c>
      <c r="Q92" s="940">
        <v>11.19</v>
      </c>
      <c r="R92" s="941">
        <f t="shared" ref="R92:R97" ca="1" si="13">$A92*Q92</f>
        <v>100.71</v>
      </c>
      <c r="S92" s="940">
        <v>7.0000000000000007E-2</v>
      </c>
      <c r="T92" s="942">
        <f t="shared" ref="T92:T97" ca="1" si="14">$A92*S92*$T$1</f>
        <v>0.63000000000000012</v>
      </c>
    </row>
    <row r="93" spans="1:28" s="933" customFormat="1">
      <c r="A93" s="932">
        <f ca="1">$Q$90 *(3)</f>
        <v>9</v>
      </c>
      <c r="B93" s="933" t="s">
        <v>141</v>
      </c>
      <c r="D93" s="933" t="s">
        <v>731</v>
      </c>
      <c r="G93" s="936" t="s">
        <v>732</v>
      </c>
      <c r="H93" s="937">
        <v>875</v>
      </c>
      <c r="I93" s="933" t="s">
        <v>729</v>
      </c>
      <c r="K93" s="933" t="s">
        <v>733</v>
      </c>
      <c r="O93" s="938">
        <v>1</v>
      </c>
      <c r="P93" s="939">
        <v>34669</v>
      </c>
      <c r="Q93" s="940">
        <v>0.05</v>
      </c>
      <c r="R93" s="941">
        <f t="shared" ca="1" si="13"/>
        <v>0.45</v>
      </c>
      <c r="S93" s="940"/>
      <c r="T93" s="942">
        <f t="shared" ca="1" si="14"/>
        <v>0</v>
      </c>
    </row>
    <row r="94" spans="1:28" s="933" customFormat="1">
      <c r="A94" s="932">
        <f ca="1">$Q$90 *(2)</f>
        <v>6</v>
      </c>
      <c r="B94" s="933" t="s">
        <v>141</v>
      </c>
      <c r="D94" s="933" t="s">
        <v>752</v>
      </c>
      <c r="G94" s="936" t="s">
        <v>753</v>
      </c>
      <c r="H94" s="937">
        <v>620</v>
      </c>
      <c r="I94" s="933" t="s">
        <v>736</v>
      </c>
      <c r="O94" s="938">
        <v>2</v>
      </c>
      <c r="P94" s="939">
        <v>35431</v>
      </c>
      <c r="Q94" s="940">
        <v>4.71</v>
      </c>
      <c r="R94" s="941">
        <f t="shared" ca="1" si="13"/>
        <v>28.259999999999998</v>
      </c>
      <c r="S94" s="940">
        <v>0.35000000000000003</v>
      </c>
      <c r="T94" s="942">
        <f t="shared" ca="1" si="14"/>
        <v>2.1</v>
      </c>
    </row>
    <row r="95" spans="1:28" s="933" customFormat="1">
      <c r="A95" s="932">
        <f ca="1">$Q$90 *(2)</f>
        <v>6</v>
      </c>
      <c r="B95" s="933" t="s">
        <v>311</v>
      </c>
      <c r="D95" s="933" t="s">
        <v>737</v>
      </c>
      <c r="G95" s="936" t="s">
        <v>738</v>
      </c>
      <c r="H95" s="937">
        <v>620</v>
      </c>
      <c r="I95" s="933" t="s">
        <v>729</v>
      </c>
      <c r="O95" s="938">
        <v>2</v>
      </c>
      <c r="P95" s="939">
        <v>38148</v>
      </c>
      <c r="Q95" s="940">
        <v>1.5</v>
      </c>
      <c r="R95" s="941">
        <f t="shared" ca="1" si="13"/>
        <v>9</v>
      </c>
      <c r="S95" s="940">
        <v>0.08</v>
      </c>
      <c r="T95" s="942">
        <f t="shared" ca="1" si="14"/>
        <v>0.48</v>
      </c>
    </row>
    <row r="96" spans="1:28" s="933" customFormat="1">
      <c r="A96" s="932">
        <f ca="1">$Q$90 *(10)</f>
        <v>30</v>
      </c>
      <c r="B96" s="933" t="s">
        <v>141</v>
      </c>
      <c r="D96" s="933" t="s">
        <v>754</v>
      </c>
      <c r="G96" s="936" t="s">
        <v>755</v>
      </c>
      <c r="H96" s="937">
        <v>620</v>
      </c>
      <c r="I96" s="933" t="s">
        <v>741</v>
      </c>
      <c r="O96" s="938">
        <v>2</v>
      </c>
      <c r="P96" s="939">
        <v>34669</v>
      </c>
      <c r="Q96" s="940">
        <v>0.05</v>
      </c>
      <c r="R96" s="941">
        <f t="shared" ca="1" si="13"/>
        <v>1.5</v>
      </c>
      <c r="S96" s="940">
        <v>0.02</v>
      </c>
      <c r="T96" s="942">
        <f t="shared" ca="1" si="14"/>
        <v>0.6</v>
      </c>
    </row>
    <row r="97" spans="1:256" s="519" customFormat="1">
      <c r="A97" s="641"/>
      <c r="B97" s="3"/>
      <c r="C97" s="641" t="s">
        <v>180</v>
      </c>
      <c r="D97" s="3"/>
      <c r="E97" s="641"/>
      <c r="F97" s="636"/>
      <c r="G97" s="641"/>
      <c r="H97" s="641"/>
      <c r="I97" s="518"/>
      <c r="J97" s="641"/>
      <c r="K97" s="641"/>
      <c r="L97" s="641"/>
      <c r="M97" s="641"/>
      <c r="N97" s="641"/>
      <c r="O97" s="641"/>
      <c r="P97" s="641"/>
      <c r="Q97" s="518"/>
      <c r="R97" s="943">
        <f t="shared" si="13"/>
        <v>0</v>
      </c>
      <c r="S97" s="518"/>
      <c r="T97" s="643">
        <f t="shared" si="14"/>
        <v>0</v>
      </c>
    </row>
    <row r="98" spans="1:256" s="519" customFormat="1" ht="12.6" thickBot="1">
      <c r="A98" s="644" t="s">
        <v>145</v>
      </c>
      <c r="B98" s="645">
        <f>(R97+T97)</f>
        <v>0</v>
      </c>
      <c r="C98" s="646"/>
      <c r="D98" s="944" t="s">
        <v>181</v>
      </c>
      <c r="E98" s="466">
        <f ca="1">IF($B90=0,0,ROUND(ROUND(($R98*$S$2+($T98*$T$2))/$B90, 2)*$C$2,2))</f>
        <v>81.510000000000005</v>
      </c>
      <c r="F98" s="467">
        <f ca="1">ROUND($B90*$E98,2)</f>
        <v>244.53</v>
      </c>
      <c r="G98" s="646"/>
      <c r="H98" s="646"/>
      <c r="I98" s="648"/>
      <c r="J98" s="646"/>
      <c r="K98" s="945" t="s">
        <v>143</v>
      </c>
      <c r="L98" s="649" t="s">
        <v>143</v>
      </c>
      <c r="M98" s="649"/>
      <c r="N98" s="649"/>
      <c r="O98" s="649"/>
      <c r="P98" s="649"/>
      <c r="Q98" s="945"/>
      <c r="R98" s="946">
        <f ca="1">SUM(R91:R97)</f>
        <v>139.91999999999999</v>
      </c>
      <c r="S98" s="947"/>
      <c r="T98" s="946">
        <f ca="1">SUM(T91:T97)</f>
        <v>3.8100000000000005</v>
      </c>
      <c r="U98" s="529"/>
      <c r="V98" s="529"/>
      <c r="W98" s="529"/>
      <c r="X98" s="529"/>
      <c r="Y98" s="529"/>
      <c r="Z98" s="529"/>
      <c r="AA98" s="529"/>
      <c r="AB98" s="529"/>
    </row>
    <row r="99" spans="1:256" s="519" customFormat="1" ht="12" thickTop="1">
      <c r="A99" s="47"/>
      <c r="B99" s="47"/>
      <c r="C99" s="47"/>
      <c r="D99" s="47"/>
      <c r="E99" s="47"/>
      <c r="F99" s="47"/>
      <c r="G99" s="47"/>
      <c r="H99" s="47"/>
      <c r="I99" s="47"/>
      <c r="J99" s="47"/>
      <c r="K99" s="47"/>
      <c r="L99" s="47"/>
      <c r="M99" s="47"/>
      <c r="N99" s="47"/>
      <c r="O99" s="48"/>
      <c r="P99" s="47"/>
      <c r="Q99" s="41" t="s">
        <v>177</v>
      </c>
      <c r="R99" s="47"/>
      <c r="S99" s="12"/>
      <c r="T99" s="47"/>
    </row>
    <row r="100" spans="1:256" s="519" customFormat="1" ht="12" customHeight="1" thickBot="1">
      <c r="A100" s="922">
        <v>26</v>
      </c>
      <c r="B100" s="923">
        <f ca="1">Elec_Est!B2147</f>
        <v>26</v>
      </c>
      <c r="C100" s="924"/>
      <c r="D100" s="925" t="s">
        <v>878</v>
      </c>
      <c r="E100" s="926"/>
      <c r="F100" s="926"/>
      <c r="G100" s="635"/>
      <c r="H100" s="635"/>
      <c r="I100" s="927"/>
      <c r="J100" s="635"/>
      <c r="K100" s="924" t="s">
        <v>178</v>
      </c>
      <c r="L100" s="928" t="s">
        <v>178</v>
      </c>
      <c r="M100" s="928"/>
      <c r="N100" s="928"/>
      <c r="O100" s="928"/>
      <c r="P100" s="928"/>
      <c r="Q100" s="929">
        <f ca="1">B100/A100</f>
        <v>1</v>
      </c>
      <c r="R100" s="930">
        <f ca="1">IF($B100=0,0,IF($S$1="R",ROUND(R119/$B100,2),R119/$B100))</f>
        <v>330.73</v>
      </c>
      <c r="S100" s="931"/>
      <c r="T100" s="930">
        <f ca="1">IF($B100=0,0,IF($S$1="R",ROUND(T119/$B100,2),T119/$B100))</f>
        <v>3.37</v>
      </c>
    </row>
    <row r="101" spans="1:256" s="519" customFormat="1" ht="13.8" thickTop="1">
      <c r="A101" s="631"/>
      <c r="B101" s="3"/>
      <c r="C101" s="3"/>
      <c r="D101" s="98" t="s">
        <v>779</v>
      </c>
      <c r="E101" s="3"/>
      <c r="F101" s="3"/>
      <c r="G101" s="3"/>
      <c r="H101" s="3"/>
      <c r="I101" s="3"/>
      <c r="J101" s="3"/>
      <c r="K101" s="3"/>
      <c r="L101" s="3"/>
      <c r="M101" s="3"/>
      <c r="N101" s="3"/>
      <c r="O101" s="99"/>
      <c r="P101" s="3"/>
      <c r="Q101" s="3"/>
      <c r="R101" s="3"/>
      <c r="S101" s="3"/>
      <c r="T101" s="3"/>
    </row>
    <row r="102" spans="1:256" s="519" customFormat="1" ht="13.95" customHeight="1">
      <c r="A102" s="966"/>
      <c r="B102" s="933"/>
      <c r="C102" s="933"/>
      <c r="D102" s="964" t="s">
        <v>784</v>
      </c>
      <c r="E102" s="933"/>
      <c r="F102" s="933"/>
      <c r="G102" s="936"/>
      <c r="H102" s="937"/>
      <c r="I102" s="933"/>
      <c r="J102" s="933"/>
      <c r="K102" s="965"/>
      <c r="L102" s="933"/>
      <c r="M102" s="933"/>
      <c r="N102" s="933"/>
      <c r="O102" s="938"/>
      <c r="P102" s="939"/>
      <c r="Q102" s="940"/>
      <c r="R102" s="965"/>
      <c r="S102" s="940"/>
      <c r="T102" s="942"/>
      <c r="U102" s="933"/>
      <c r="V102" s="933"/>
      <c r="W102" s="933"/>
      <c r="X102" s="933"/>
      <c r="Y102" s="933"/>
      <c r="Z102" s="933"/>
      <c r="AA102" s="933"/>
      <c r="AB102" s="933"/>
      <c r="AC102" s="933"/>
      <c r="AD102" s="933"/>
      <c r="AE102" s="933"/>
      <c r="AF102" s="933"/>
      <c r="AG102" s="933"/>
      <c r="AH102" s="933"/>
      <c r="AI102" s="933"/>
      <c r="AJ102" s="933"/>
      <c r="AK102" s="933"/>
      <c r="AL102" s="933"/>
      <c r="AM102" s="933"/>
      <c r="AN102" s="933"/>
      <c r="AO102" s="933"/>
      <c r="AP102" s="933"/>
      <c r="AQ102" s="933"/>
      <c r="AR102" s="933"/>
      <c r="AS102" s="933"/>
      <c r="AT102" s="933"/>
      <c r="AU102" s="933"/>
      <c r="AV102" s="933"/>
      <c r="AW102" s="933"/>
      <c r="AX102" s="933"/>
      <c r="AY102" s="933"/>
      <c r="AZ102" s="933"/>
      <c r="BA102" s="933"/>
      <c r="BB102" s="933"/>
      <c r="BC102" s="933"/>
      <c r="BD102" s="933"/>
      <c r="BE102" s="933"/>
      <c r="BF102" s="933"/>
      <c r="BG102" s="933"/>
      <c r="BH102" s="933"/>
      <c r="BI102" s="933"/>
      <c r="BJ102" s="933"/>
      <c r="BK102" s="933"/>
      <c r="BL102" s="933"/>
      <c r="BM102" s="933"/>
      <c r="BN102" s="933"/>
      <c r="BO102" s="933"/>
      <c r="BP102" s="933"/>
      <c r="BQ102" s="933"/>
      <c r="BR102" s="933"/>
      <c r="BS102" s="933"/>
      <c r="BT102" s="933"/>
      <c r="BU102" s="933"/>
      <c r="BV102" s="933"/>
      <c r="BW102" s="933"/>
      <c r="BX102" s="933"/>
      <c r="BY102" s="933"/>
      <c r="BZ102" s="933"/>
      <c r="CA102" s="933"/>
      <c r="CB102" s="933"/>
      <c r="CC102" s="933"/>
      <c r="CD102" s="933"/>
      <c r="CE102" s="933"/>
      <c r="CF102" s="933"/>
      <c r="CG102" s="933"/>
      <c r="CH102" s="933"/>
      <c r="CI102" s="933"/>
      <c r="CJ102" s="933"/>
      <c r="CK102" s="933"/>
      <c r="CL102" s="933"/>
      <c r="CM102" s="933"/>
      <c r="CN102" s="933"/>
      <c r="CO102" s="933"/>
      <c r="CP102" s="933"/>
      <c r="CQ102" s="933"/>
      <c r="CR102" s="933"/>
      <c r="CS102" s="933"/>
      <c r="CT102" s="933"/>
      <c r="CU102" s="933"/>
      <c r="CV102" s="933"/>
      <c r="CW102" s="933"/>
      <c r="CX102" s="933"/>
      <c r="CY102" s="933"/>
      <c r="CZ102" s="933"/>
      <c r="DA102" s="933"/>
      <c r="DB102" s="933"/>
      <c r="DC102" s="933"/>
      <c r="DD102" s="933"/>
      <c r="DE102" s="933"/>
      <c r="DF102" s="933"/>
      <c r="DG102" s="933"/>
      <c r="DH102" s="933"/>
      <c r="DI102" s="933"/>
      <c r="DJ102" s="933"/>
      <c r="DK102" s="933"/>
      <c r="DL102" s="933"/>
      <c r="DM102" s="933"/>
      <c r="DN102" s="933"/>
      <c r="DO102" s="933"/>
      <c r="DP102" s="933"/>
      <c r="DQ102" s="933"/>
      <c r="DR102" s="933"/>
      <c r="DS102" s="933"/>
      <c r="DT102" s="933"/>
      <c r="DU102" s="933"/>
      <c r="DV102" s="933"/>
      <c r="DW102" s="933"/>
      <c r="DX102" s="933"/>
      <c r="DY102" s="933"/>
      <c r="DZ102" s="933"/>
      <c r="EA102" s="933"/>
      <c r="EB102" s="933"/>
      <c r="EC102" s="933"/>
      <c r="ED102" s="933"/>
      <c r="EE102" s="933"/>
      <c r="EF102" s="933"/>
      <c r="EG102" s="933"/>
      <c r="EH102" s="933"/>
      <c r="EI102" s="933"/>
      <c r="EJ102" s="933"/>
      <c r="EK102" s="933"/>
      <c r="EL102" s="933"/>
      <c r="EM102" s="933"/>
      <c r="EN102" s="933"/>
      <c r="EO102" s="933"/>
      <c r="EP102" s="933"/>
      <c r="EQ102" s="933"/>
      <c r="ER102" s="933"/>
      <c r="ES102" s="933"/>
      <c r="ET102" s="933"/>
      <c r="EU102" s="933"/>
      <c r="EV102" s="933"/>
      <c r="EW102" s="933"/>
      <c r="EX102" s="933"/>
      <c r="EY102" s="933"/>
      <c r="EZ102" s="933"/>
      <c r="FA102" s="933"/>
      <c r="FB102" s="933"/>
      <c r="FC102" s="933"/>
      <c r="FD102" s="933"/>
      <c r="FE102" s="933"/>
      <c r="FF102" s="933"/>
      <c r="FG102" s="933"/>
      <c r="FH102" s="933"/>
      <c r="FI102" s="933"/>
      <c r="FJ102" s="933"/>
      <c r="FK102" s="933"/>
      <c r="FL102" s="933"/>
      <c r="FM102" s="933"/>
      <c r="FN102" s="933"/>
      <c r="FO102" s="933"/>
      <c r="FP102" s="933"/>
      <c r="FQ102" s="933"/>
      <c r="FR102" s="933"/>
      <c r="FS102" s="933"/>
      <c r="FT102" s="933"/>
      <c r="FU102" s="933"/>
      <c r="FV102" s="933"/>
      <c r="FW102" s="933"/>
      <c r="FX102" s="933"/>
      <c r="FY102" s="933"/>
      <c r="FZ102" s="933"/>
      <c r="GA102" s="933"/>
      <c r="GB102" s="933"/>
      <c r="GC102" s="933"/>
      <c r="GD102" s="933"/>
      <c r="GE102" s="933"/>
      <c r="GF102" s="933"/>
      <c r="GG102" s="933"/>
      <c r="GH102" s="933"/>
      <c r="GI102" s="933"/>
      <c r="GJ102" s="933"/>
      <c r="GK102" s="933"/>
      <c r="GL102" s="933"/>
      <c r="GM102" s="933"/>
      <c r="GN102" s="933"/>
      <c r="GO102" s="933"/>
      <c r="GP102" s="933"/>
      <c r="GQ102" s="933"/>
      <c r="GR102" s="933"/>
      <c r="GS102" s="933"/>
      <c r="GT102" s="933"/>
      <c r="GU102" s="933"/>
      <c r="GV102" s="933"/>
      <c r="GW102" s="933"/>
      <c r="GX102" s="933"/>
      <c r="GY102" s="933"/>
      <c r="GZ102" s="933"/>
      <c r="HA102" s="933"/>
      <c r="HB102" s="933"/>
      <c r="HC102" s="933"/>
      <c r="HD102" s="933"/>
      <c r="HE102" s="933"/>
      <c r="HF102" s="933"/>
      <c r="HG102" s="933"/>
      <c r="HH102" s="933"/>
      <c r="HI102" s="933"/>
      <c r="HJ102" s="933"/>
      <c r="HK102" s="933"/>
      <c r="HL102" s="933"/>
      <c r="HM102" s="933"/>
      <c r="HN102" s="933"/>
      <c r="HO102" s="933"/>
      <c r="HP102" s="933"/>
      <c r="HQ102" s="933"/>
      <c r="HR102" s="933"/>
      <c r="HS102" s="933"/>
      <c r="HT102" s="933"/>
      <c r="HU102" s="933"/>
      <c r="HV102" s="933"/>
      <c r="HW102" s="933"/>
      <c r="HX102" s="933"/>
      <c r="HY102" s="933"/>
      <c r="HZ102" s="933"/>
      <c r="IA102" s="933"/>
      <c r="IB102" s="933"/>
      <c r="IC102" s="933"/>
      <c r="ID102" s="933"/>
      <c r="IE102" s="933"/>
      <c r="IF102" s="933"/>
      <c r="IG102" s="933"/>
      <c r="IH102" s="933"/>
      <c r="II102" s="933"/>
      <c r="IJ102" s="933"/>
      <c r="IK102" s="933"/>
      <c r="IL102" s="933"/>
      <c r="IM102" s="933"/>
      <c r="IN102" s="933"/>
      <c r="IO102" s="933"/>
      <c r="IP102" s="933"/>
      <c r="IQ102" s="933"/>
      <c r="IR102" s="933"/>
      <c r="IS102" s="933"/>
      <c r="IT102" s="933"/>
      <c r="IU102" s="933"/>
      <c r="IV102" s="933"/>
    </row>
    <row r="103" spans="1:256" s="933" customFormat="1">
      <c r="A103" s="966">
        <f ca="1">$Q$100 *(26)</f>
        <v>26</v>
      </c>
      <c r="B103" s="933" t="s">
        <v>141</v>
      </c>
      <c r="D103" s="933" t="s">
        <v>785</v>
      </c>
      <c r="E103" s="933" t="s">
        <v>877</v>
      </c>
      <c r="F103" s="935" t="s">
        <v>903</v>
      </c>
      <c r="G103" s="936" t="s">
        <v>786</v>
      </c>
      <c r="H103" s="937">
        <v>570</v>
      </c>
      <c r="I103" s="933" t="s">
        <v>729</v>
      </c>
      <c r="O103" s="938">
        <v>2</v>
      </c>
      <c r="P103" s="939">
        <v>38443</v>
      </c>
      <c r="Q103" s="940">
        <v>200</v>
      </c>
      <c r="R103" s="941">
        <f ca="1">$A103*Q103</f>
        <v>5200</v>
      </c>
      <c r="S103" s="1058">
        <v>0.75</v>
      </c>
      <c r="T103" s="942">
        <f ca="1">$A103*S103*$T$1</f>
        <v>19.5</v>
      </c>
    </row>
    <row r="104" spans="1:256" s="933" customFormat="1">
      <c r="A104" s="966">
        <f ca="1">$Q$100 *(26)</f>
        <v>26</v>
      </c>
      <c r="B104" s="933" t="s">
        <v>141</v>
      </c>
      <c r="D104" s="933" t="s">
        <v>787</v>
      </c>
      <c r="G104" s="936" t="s">
        <v>788</v>
      </c>
      <c r="H104" s="937">
        <v>501</v>
      </c>
      <c r="I104" s="933" t="s">
        <v>729</v>
      </c>
      <c r="K104" s="933" t="s">
        <v>789</v>
      </c>
      <c r="O104" s="938">
        <v>1</v>
      </c>
      <c r="P104" s="939"/>
      <c r="Q104" s="940">
        <v>5</v>
      </c>
      <c r="R104" s="941">
        <f ca="1">$A104*Q104</f>
        <v>130</v>
      </c>
      <c r="S104" s="940"/>
      <c r="T104" s="942">
        <f ca="1">$A104*S104*$T$1</f>
        <v>0</v>
      </c>
    </row>
    <row r="105" spans="1:256" s="933" customFormat="1">
      <c r="A105" s="100"/>
      <c r="D105" s="964" t="s">
        <v>790</v>
      </c>
      <c r="G105" s="936"/>
      <c r="H105" s="937"/>
      <c r="O105" s="938"/>
      <c r="P105" s="939"/>
      <c r="Q105" s="940"/>
      <c r="R105" s="941"/>
      <c r="S105" s="940"/>
      <c r="T105" s="942"/>
    </row>
    <row r="106" spans="1:256" s="933" customFormat="1">
      <c r="A106" s="966">
        <f ca="1">$Q$100 *(26)</f>
        <v>26</v>
      </c>
      <c r="B106" s="933" t="s">
        <v>311</v>
      </c>
      <c r="D106" s="933" t="s">
        <v>812</v>
      </c>
      <c r="G106" s="936" t="s">
        <v>813</v>
      </c>
      <c r="H106" s="937">
        <v>690</v>
      </c>
      <c r="I106" s="933" t="s">
        <v>780</v>
      </c>
      <c r="J106" s="933" t="s">
        <v>781</v>
      </c>
      <c r="O106" s="938">
        <v>1</v>
      </c>
      <c r="P106" s="939">
        <v>34669</v>
      </c>
      <c r="Q106" s="940">
        <v>1.86</v>
      </c>
      <c r="R106" s="941">
        <f ca="1">$A106*Q106</f>
        <v>48.36</v>
      </c>
      <c r="S106" s="940">
        <v>0.2</v>
      </c>
      <c r="T106" s="942">
        <f ca="1">$A106*S106*$T$1</f>
        <v>5.2</v>
      </c>
    </row>
    <row r="107" spans="1:256" s="933" customFormat="1">
      <c r="A107" s="966">
        <f ca="1">$Q$100 *(2*26)</f>
        <v>52</v>
      </c>
      <c r="B107" s="933" t="s">
        <v>311</v>
      </c>
      <c r="D107" s="933" t="s">
        <v>814</v>
      </c>
      <c r="G107" s="936" t="s">
        <v>815</v>
      </c>
      <c r="H107" s="937">
        <v>690</v>
      </c>
      <c r="I107" s="933" t="s">
        <v>780</v>
      </c>
      <c r="J107" s="933" t="s">
        <v>781</v>
      </c>
      <c r="O107" s="938">
        <v>1</v>
      </c>
      <c r="P107" s="939">
        <v>34669</v>
      </c>
      <c r="Q107" s="940">
        <v>0.98</v>
      </c>
      <c r="R107" s="941">
        <f ca="1">$A107*Q107</f>
        <v>50.96</v>
      </c>
      <c r="S107" s="940"/>
      <c r="T107" s="942">
        <f ca="1">$A107*S107*$T$1</f>
        <v>0</v>
      </c>
    </row>
    <row r="108" spans="1:256" s="933" customFormat="1">
      <c r="A108" s="966">
        <f ca="1">$Q$100 *(5*26)</f>
        <v>130</v>
      </c>
      <c r="B108" s="933" t="s">
        <v>311</v>
      </c>
      <c r="D108" s="933" t="s">
        <v>782</v>
      </c>
      <c r="E108" s="933" t="s">
        <v>816</v>
      </c>
      <c r="F108" s="933" t="s">
        <v>817</v>
      </c>
      <c r="G108" s="936" t="s">
        <v>783</v>
      </c>
      <c r="H108" s="937">
        <v>615</v>
      </c>
      <c r="I108" s="933" t="s">
        <v>749</v>
      </c>
      <c r="K108" s="933" t="s">
        <v>818</v>
      </c>
      <c r="O108" s="938">
        <v>2</v>
      </c>
      <c r="P108" s="939">
        <v>38988</v>
      </c>
      <c r="Q108" s="940">
        <v>0.51</v>
      </c>
      <c r="R108" s="941">
        <f ca="1">$A108*Q108</f>
        <v>66.3</v>
      </c>
      <c r="S108" s="940">
        <v>0.02</v>
      </c>
      <c r="T108" s="942">
        <f ca="1">$A108*S108*$T$1</f>
        <v>2.6</v>
      </c>
    </row>
    <row r="109" spans="1:256" s="519" customFormat="1" ht="13.95" customHeight="1">
      <c r="A109" s="100"/>
      <c r="B109" s="933"/>
      <c r="C109" s="933"/>
      <c r="D109" s="964" t="s">
        <v>791</v>
      </c>
      <c r="E109" s="933"/>
      <c r="F109" s="933"/>
      <c r="G109" s="936"/>
      <c r="H109" s="937"/>
      <c r="I109" s="933"/>
      <c r="J109" s="933"/>
      <c r="K109" s="965"/>
      <c r="L109" s="933"/>
      <c r="M109" s="933"/>
      <c r="N109" s="933"/>
      <c r="O109" s="938"/>
      <c r="P109" s="939"/>
      <c r="Q109" s="940"/>
      <c r="R109" s="965"/>
      <c r="S109" s="940"/>
      <c r="T109" s="942"/>
      <c r="U109" s="933"/>
      <c r="V109" s="933"/>
      <c r="W109" s="933"/>
      <c r="X109" s="933"/>
      <c r="Y109" s="933"/>
      <c r="Z109" s="933"/>
      <c r="AA109" s="933"/>
      <c r="AB109" s="933"/>
      <c r="AC109" s="933"/>
      <c r="AD109" s="933"/>
      <c r="AE109" s="933"/>
      <c r="AF109" s="933"/>
      <c r="AG109" s="933"/>
      <c r="AH109" s="933"/>
      <c r="AI109" s="933"/>
      <c r="AJ109" s="933"/>
      <c r="AK109" s="933"/>
      <c r="AL109" s="933"/>
      <c r="AM109" s="933"/>
      <c r="AN109" s="933"/>
      <c r="AO109" s="933"/>
      <c r="AP109" s="933"/>
      <c r="AQ109" s="933"/>
      <c r="AR109" s="933"/>
      <c r="AS109" s="933"/>
      <c r="AT109" s="933"/>
      <c r="AU109" s="933"/>
      <c r="AV109" s="933"/>
      <c r="AW109" s="933"/>
      <c r="AX109" s="933"/>
      <c r="AY109" s="933"/>
      <c r="AZ109" s="933"/>
      <c r="BA109" s="933"/>
      <c r="BB109" s="933"/>
      <c r="BC109" s="933"/>
      <c r="BD109" s="933"/>
      <c r="BE109" s="933"/>
      <c r="BF109" s="933"/>
      <c r="BG109" s="933"/>
      <c r="BH109" s="933"/>
      <c r="BI109" s="933"/>
      <c r="BJ109" s="933"/>
      <c r="BK109" s="933"/>
      <c r="BL109" s="933"/>
      <c r="BM109" s="933"/>
      <c r="BN109" s="933"/>
      <c r="BO109" s="933"/>
      <c r="BP109" s="933"/>
      <c r="BQ109" s="933"/>
      <c r="BR109" s="933"/>
      <c r="BS109" s="933"/>
      <c r="BT109" s="933"/>
      <c r="BU109" s="933"/>
      <c r="BV109" s="933"/>
      <c r="BW109" s="933"/>
      <c r="BX109" s="933"/>
      <c r="BY109" s="933"/>
      <c r="BZ109" s="933"/>
      <c r="CA109" s="933"/>
      <c r="CB109" s="933"/>
      <c r="CC109" s="933"/>
      <c r="CD109" s="933"/>
      <c r="CE109" s="933"/>
      <c r="CF109" s="933"/>
      <c r="CG109" s="933"/>
      <c r="CH109" s="933"/>
      <c r="CI109" s="933"/>
      <c r="CJ109" s="933"/>
      <c r="CK109" s="933"/>
      <c r="CL109" s="933"/>
      <c r="CM109" s="933"/>
      <c r="CN109" s="933"/>
      <c r="CO109" s="933"/>
      <c r="CP109" s="933"/>
      <c r="CQ109" s="933"/>
      <c r="CR109" s="933"/>
      <c r="CS109" s="933"/>
      <c r="CT109" s="933"/>
      <c r="CU109" s="933"/>
      <c r="CV109" s="933"/>
      <c r="CW109" s="933"/>
      <c r="CX109" s="933"/>
      <c r="CY109" s="933"/>
      <c r="CZ109" s="933"/>
      <c r="DA109" s="933"/>
      <c r="DB109" s="933"/>
      <c r="DC109" s="933"/>
      <c r="DD109" s="933"/>
      <c r="DE109" s="933"/>
      <c r="DF109" s="933"/>
      <c r="DG109" s="933"/>
      <c r="DH109" s="933"/>
      <c r="DI109" s="933"/>
      <c r="DJ109" s="933"/>
      <c r="DK109" s="933"/>
      <c r="DL109" s="933"/>
      <c r="DM109" s="933"/>
      <c r="DN109" s="933"/>
      <c r="DO109" s="933"/>
      <c r="DP109" s="933"/>
      <c r="DQ109" s="933"/>
      <c r="DR109" s="933"/>
      <c r="DS109" s="933"/>
      <c r="DT109" s="933"/>
      <c r="DU109" s="933"/>
      <c r="DV109" s="933"/>
      <c r="DW109" s="933"/>
      <c r="DX109" s="933"/>
      <c r="DY109" s="933"/>
      <c r="DZ109" s="933"/>
      <c r="EA109" s="933"/>
      <c r="EB109" s="933"/>
      <c r="EC109" s="933"/>
      <c r="ED109" s="933"/>
      <c r="EE109" s="933"/>
      <c r="EF109" s="933"/>
      <c r="EG109" s="933"/>
      <c r="EH109" s="933"/>
      <c r="EI109" s="933"/>
      <c r="EJ109" s="933"/>
      <c r="EK109" s="933"/>
      <c r="EL109" s="933"/>
      <c r="EM109" s="933"/>
      <c r="EN109" s="933"/>
      <c r="EO109" s="933"/>
      <c r="EP109" s="933"/>
      <c r="EQ109" s="933"/>
      <c r="ER109" s="933"/>
      <c r="ES109" s="933"/>
      <c r="ET109" s="933"/>
      <c r="EU109" s="933"/>
      <c r="EV109" s="933"/>
      <c r="EW109" s="933"/>
      <c r="EX109" s="933"/>
      <c r="EY109" s="933"/>
      <c r="EZ109" s="933"/>
      <c r="FA109" s="933"/>
      <c r="FB109" s="933"/>
      <c r="FC109" s="933"/>
      <c r="FD109" s="933"/>
      <c r="FE109" s="933"/>
      <c r="FF109" s="933"/>
      <c r="FG109" s="933"/>
      <c r="FH109" s="933"/>
      <c r="FI109" s="933"/>
      <c r="FJ109" s="933"/>
      <c r="FK109" s="933"/>
      <c r="FL109" s="933"/>
      <c r="FM109" s="933"/>
      <c r="FN109" s="933"/>
      <c r="FO109" s="933"/>
      <c r="FP109" s="933"/>
      <c r="FQ109" s="933"/>
      <c r="FR109" s="933"/>
      <c r="FS109" s="933"/>
      <c r="FT109" s="933"/>
      <c r="FU109" s="933"/>
      <c r="FV109" s="933"/>
      <c r="FW109" s="933"/>
      <c r="FX109" s="933"/>
      <c r="FY109" s="933"/>
      <c r="FZ109" s="933"/>
      <c r="GA109" s="933"/>
      <c r="GB109" s="933"/>
      <c r="GC109" s="933"/>
      <c r="GD109" s="933"/>
      <c r="GE109" s="933"/>
      <c r="GF109" s="933"/>
      <c r="GG109" s="933"/>
      <c r="GH109" s="933"/>
      <c r="GI109" s="933"/>
      <c r="GJ109" s="933"/>
      <c r="GK109" s="933"/>
      <c r="GL109" s="933"/>
      <c r="GM109" s="933"/>
      <c r="GN109" s="933"/>
      <c r="GO109" s="933"/>
      <c r="GP109" s="933"/>
      <c r="GQ109" s="933"/>
      <c r="GR109" s="933"/>
      <c r="GS109" s="933"/>
      <c r="GT109" s="933"/>
      <c r="GU109" s="933"/>
      <c r="GV109" s="933"/>
      <c r="GW109" s="933"/>
      <c r="GX109" s="933"/>
      <c r="GY109" s="933"/>
      <c r="GZ109" s="933"/>
      <c r="HA109" s="933"/>
      <c r="HB109" s="933"/>
      <c r="HC109" s="933"/>
      <c r="HD109" s="933"/>
      <c r="HE109" s="933"/>
      <c r="HF109" s="933"/>
      <c r="HG109" s="933"/>
      <c r="HH109" s="933"/>
      <c r="HI109" s="933"/>
      <c r="HJ109" s="933"/>
      <c r="HK109" s="933"/>
      <c r="HL109" s="933"/>
      <c r="HM109" s="933"/>
      <c r="HN109" s="933"/>
      <c r="HO109" s="933"/>
      <c r="HP109" s="933"/>
      <c r="HQ109" s="933"/>
      <c r="HR109" s="933"/>
      <c r="HS109" s="933"/>
      <c r="HT109" s="933"/>
      <c r="HU109" s="933"/>
      <c r="HV109" s="933"/>
      <c r="HW109" s="933"/>
      <c r="HX109" s="933"/>
      <c r="HY109" s="933"/>
      <c r="HZ109" s="933"/>
      <c r="IA109" s="933"/>
      <c r="IB109" s="933"/>
      <c r="IC109" s="933"/>
      <c r="ID109" s="933"/>
      <c r="IE109" s="933"/>
      <c r="IF109" s="933"/>
      <c r="IG109" s="933"/>
      <c r="IH109" s="933"/>
      <c r="II109" s="933"/>
      <c r="IJ109" s="933"/>
      <c r="IK109" s="933"/>
      <c r="IL109" s="933"/>
      <c r="IM109" s="933"/>
      <c r="IN109" s="933"/>
      <c r="IO109" s="933"/>
      <c r="IP109" s="933"/>
      <c r="IQ109" s="933"/>
      <c r="IR109" s="933"/>
      <c r="IS109" s="933"/>
      <c r="IT109" s="933"/>
      <c r="IU109" s="933"/>
      <c r="IV109" s="933"/>
    </row>
    <row r="110" spans="1:256" s="933" customFormat="1">
      <c r="A110" s="932">
        <f ca="1">$Q$100 *(400)</f>
        <v>400</v>
      </c>
      <c r="B110" s="933" t="s">
        <v>311</v>
      </c>
      <c r="D110" s="933" t="s">
        <v>792</v>
      </c>
      <c r="E110" s="933" t="s">
        <v>899</v>
      </c>
      <c r="F110" s="935" t="s">
        <v>898</v>
      </c>
      <c r="G110" s="936" t="s">
        <v>793</v>
      </c>
      <c r="H110" s="937">
        <v>617</v>
      </c>
      <c r="I110" s="933" t="s">
        <v>729</v>
      </c>
      <c r="O110" s="938">
        <v>2</v>
      </c>
      <c r="P110" s="939">
        <v>40767</v>
      </c>
      <c r="Q110" s="940">
        <f>(400*1.4)/100</f>
        <v>5.6</v>
      </c>
      <c r="R110" s="941">
        <f t="shared" ref="R110:R117" ca="1" si="15">$A110*Q110</f>
        <v>2240</v>
      </c>
      <c r="S110" s="940">
        <v>0.1</v>
      </c>
      <c r="T110" s="942">
        <f t="shared" ref="T110:T117" ca="1" si="16">$A110*S110*$T$1</f>
        <v>40</v>
      </c>
    </row>
    <row r="111" spans="1:256" s="933" customFormat="1">
      <c r="A111" s="932">
        <f ca="1">$Q$100 *(400*3)</f>
        <v>1200</v>
      </c>
      <c r="B111" s="933" t="s">
        <v>141</v>
      </c>
      <c r="D111" s="933" t="s">
        <v>794</v>
      </c>
      <c r="F111" s="935" t="s">
        <v>898</v>
      </c>
      <c r="G111" s="936" t="s">
        <v>795</v>
      </c>
      <c r="H111" s="937">
        <v>617</v>
      </c>
      <c r="I111" s="933" t="s">
        <v>729</v>
      </c>
      <c r="O111" s="938">
        <v>2</v>
      </c>
      <c r="P111" s="939">
        <v>40767</v>
      </c>
      <c r="Q111" s="940">
        <f>15.5/50*1.35</f>
        <v>0.41850000000000004</v>
      </c>
      <c r="R111" s="941">
        <f t="shared" ca="1" si="15"/>
        <v>502.20000000000005</v>
      </c>
      <c r="S111" s="940"/>
      <c r="T111" s="942">
        <f t="shared" ca="1" si="16"/>
        <v>0</v>
      </c>
    </row>
    <row r="112" spans="1:256" s="933" customFormat="1">
      <c r="A112" s="932">
        <f ca="1">$Q$100 *(26)</f>
        <v>26</v>
      </c>
      <c r="B112" s="933" t="s">
        <v>141</v>
      </c>
      <c r="D112" s="933" t="s">
        <v>794</v>
      </c>
      <c r="E112" s="933" t="s">
        <v>917</v>
      </c>
      <c r="F112" s="935" t="s">
        <v>898</v>
      </c>
      <c r="G112" s="936" t="s">
        <v>795</v>
      </c>
      <c r="H112" s="937">
        <v>617</v>
      </c>
      <c r="I112" s="933" t="s">
        <v>729</v>
      </c>
      <c r="O112" s="938">
        <v>2</v>
      </c>
      <c r="P112" s="939">
        <v>40767</v>
      </c>
      <c r="Q112" s="940">
        <f>2*100/26</f>
        <v>7.6923076923076925</v>
      </c>
      <c r="R112" s="941">
        <f t="shared" ca="1" si="15"/>
        <v>200</v>
      </c>
      <c r="S112" s="940"/>
      <c r="T112" s="942">
        <f t="shared" ca="1" si="16"/>
        <v>0</v>
      </c>
    </row>
    <row r="113" spans="1:28" s="933" customFormat="1">
      <c r="A113" s="932">
        <f ca="1">$Q$100 *(26*3)</f>
        <v>78</v>
      </c>
      <c r="B113" s="933" t="s">
        <v>141</v>
      </c>
      <c r="D113" s="933" t="s">
        <v>883</v>
      </c>
      <c r="G113" s="936" t="s">
        <v>884</v>
      </c>
      <c r="H113" s="937">
        <v>620</v>
      </c>
      <c r="I113" s="933" t="s">
        <v>729</v>
      </c>
      <c r="O113" s="938">
        <v>2</v>
      </c>
      <c r="P113" s="939">
        <v>35431</v>
      </c>
      <c r="Q113" s="940">
        <v>0.75</v>
      </c>
      <c r="R113" s="941">
        <f t="shared" ca="1" si="15"/>
        <v>58.5</v>
      </c>
      <c r="S113" s="940">
        <v>0.1</v>
      </c>
      <c r="T113" s="942">
        <f t="shared" ca="1" si="16"/>
        <v>7.8000000000000007</v>
      </c>
    </row>
    <row r="114" spans="1:28" s="933" customFormat="1">
      <c r="A114" s="932">
        <f ca="1">$Q$100 *(26*3*4)</f>
        <v>312</v>
      </c>
      <c r="B114" s="933" t="s">
        <v>141</v>
      </c>
      <c r="D114" s="933" t="s">
        <v>861</v>
      </c>
      <c r="G114" s="936" t="s">
        <v>862</v>
      </c>
      <c r="H114" s="937">
        <v>620</v>
      </c>
      <c r="I114" s="933" t="s">
        <v>741</v>
      </c>
      <c r="O114" s="938">
        <v>2</v>
      </c>
      <c r="P114" s="939">
        <v>34669</v>
      </c>
      <c r="Q114" s="940">
        <v>0.05</v>
      </c>
      <c r="R114" s="941">
        <f t="shared" ca="1" si="15"/>
        <v>15.600000000000001</v>
      </c>
      <c r="S114" s="940">
        <v>0.02</v>
      </c>
      <c r="T114" s="942">
        <f t="shared" ca="1" si="16"/>
        <v>6.24</v>
      </c>
    </row>
    <row r="115" spans="1:28" s="933" customFormat="1">
      <c r="A115" s="932">
        <f t="shared" ref="A115" ca="1" si="17">$Q$100 *(26*3)</f>
        <v>78</v>
      </c>
      <c r="B115" s="933" t="s">
        <v>311</v>
      </c>
      <c r="D115" s="933" t="s">
        <v>737</v>
      </c>
      <c r="G115" s="936" t="s">
        <v>738</v>
      </c>
      <c r="H115" s="937">
        <v>620</v>
      </c>
      <c r="I115" s="933" t="s">
        <v>729</v>
      </c>
      <c r="O115" s="938">
        <v>2</v>
      </c>
      <c r="P115" s="939">
        <v>38148</v>
      </c>
      <c r="Q115" s="940">
        <v>0.5</v>
      </c>
      <c r="R115" s="941">
        <f t="shared" ca="1" si="15"/>
        <v>39</v>
      </c>
      <c r="S115" s="940">
        <v>0.08</v>
      </c>
      <c r="T115" s="942">
        <f t="shared" ca="1" si="16"/>
        <v>6.24</v>
      </c>
    </row>
    <row r="116" spans="1:28" s="933" customFormat="1">
      <c r="A116" s="932">
        <f t="shared" ref="A116:A117" ca="1" si="18">$Q$100 *(400*3)</f>
        <v>1200</v>
      </c>
      <c r="B116" s="933" t="s">
        <v>141</v>
      </c>
      <c r="D116" s="933" t="s">
        <v>796</v>
      </c>
      <c r="G116" s="936" t="s">
        <v>797</v>
      </c>
      <c r="H116" s="937">
        <v>875</v>
      </c>
      <c r="I116" s="933" t="s">
        <v>729</v>
      </c>
      <c r="K116" s="933" t="s">
        <v>798</v>
      </c>
      <c r="O116" s="938">
        <v>1</v>
      </c>
      <c r="P116" s="939">
        <v>34669</v>
      </c>
      <c r="Q116" s="940">
        <v>0.02</v>
      </c>
      <c r="R116" s="941">
        <f t="shared" ca="1" si="15"/>
        <v>24</v>
      </c>
      <c r="S116" s="940"/>
      <c r="T116" s="942">
        <f t="shared" ca="1" si="16"/>
        <v>0</v>
      </c>
    </row>
    <row r="117" spans="1:28" s="933" customFormat="1">
      <c r="A117" s="932">
        <f t="shared" ca="1" si="18"/>
        <v>1200</v>
      </c>
      <c r="B117" s="933" t="s">
        <v>141</v>
      </c>
      <c r="D117" s="933" t="s">
        <v>799</v>
      </c>
      <c r="G117" s="936" t="s">
        <v>800</v>
      </c>
      <c r="H117" s="937">
        <v>875</v>
      </c>
      <c r="I117" s="933" t="s">
        <v>729</v>
      </c>
      <c r="K117" s="933" t="s">
        <v>801</v>
      </c>
      <c r="O117" s="938">
        <v>1</v>
      </c>
      <c r="P117" s="939">
        <v>34669</v>
      </c>
      <c r="Q117" s="940">
        <v>0.02</v>
      </c>
      <c r="R117" s="941">
        <f t="shared" ca="1" si="15"/>
        <v>24</v>
      </c>
      <c r="S117" s="940"/>
      <c r="T117" s="942">
        <f t="shared" ca="1" si="16"/>
        <v>0</v>
      </c>
    </row>
    <row r="118" spans="1:28" s="519" customFormat="1">
      <c r="A118" s="641"/>
      <c r="B118" s="3"/>
      <c r="C118" s="641" t="s">
        <v>180</v>
      </c>
      <c r="D118" s="3"/>
      <c r="E118" s="641"/>
      <c r="F118" s="636"/>
      <c r="G118" s="641"/>
      <c r="H118" s="641"/>
      <c r="I118" s="518"/>
      <c r="J118" s="641"/>
      <c r="K118" s="641"/>
      <c r="L118" s="641"/>
      <c r="M118" s="641"/>
      <c r="N118" s="641"/>
      <c r="O118" s="641"/>
      <c r="P118" s="641"/>
      <c r="Q118" s="518"/>
      <c r="R118" s="943">
        <f t="shared" ref="R118" si="19">$A118*Q118</f>
        <v>0</v>
      </c>
      <c r="S118" s="518"/>
      <c r="T118" s="643">
        <f t="shared" ref="T118" si="20">$A118*S118*$T$1</f>
        <v>0</v>
      </c>
    </row>
    <row r="119" spans="1:28" s="519" customFormat="1" ht="12.6" thickBot="1">
      <c r="A119" s="644" t="s">
        <v>145</v>
      </c>
      <c r="B119" s="645">
        <f>(R118+T118)</f>
        <v>0</v>
      </c>
      <c r="C119" s="646"/>
      <c r="D119" s="944" t="s">
        <v>181</v>
      </c>
      <c r="E119" s="466">
        <f ca="1">IF($B100=0,0,ROUND(ROUND(($R119*$S$2+($T119*$T$2))/$B100, 2)*$C$2,2))</f>
        <v>423.23</v>
      </c>
      <c r="F119" s="467">
        <f ca="1">ROUND($B100*$E119,2)</f>
        <v>11003.98</v>
      </c>
      <c r="G119" s="646"/>
      <c r="H119" s="646"/>
      <c r="I119" s="648"/>
      <c r="J119" s="646"/>
      <c r="K119" s="945" t="s">
        <v>143</v>
      </c>
      <c r="L119" s="649" t="s">
        <v>143</v>
      </c>
      <c r="M119" s="649"/>
      <c r="N119" s="649"/>
      <c r="O119" s="649"/>
      <c r="P119" s="649"/>
      <c r="Q119" s="945"/>
      <c r="R119" s="946">
        <f ca="1">SUM(R101:R118)</f>
        <v>8598.92</v>
      </c>
      <c r="S119" s="947"/>
      <c r="T119" s="946">
        <f ca="1">SUM(T101:T118)</f>
        <v>87.579999999999984</v>
      </c>
      <c r="U119" s="529"/>
      <c r="V119" s="529"/>
      <c r="W119" s="529"/>
      <c r="X119" s="529"/>
      <c r="Y119" s="529"/>
      <c r="Z119" s="529"/>
      <c r="AA119" s="529"/>
      <c r="AB119" s="529"/>
    </row>
    <row r="120" spans="1:28" s="519" customFormat="1" ht="12" thickTop="1">
      <c r="A120" s="47"/>
      <c r="B120" s="47"/>
      <c r="C120" s="47"/>
      <c r="D120" s="47"/>
      <c r="E120" s="47"/>
      <c r="F120" s="47"/>
      <c r="G120" s="47"/>
      <c r="H120" s="47"/>
      <c r="I120" s="47"/>
      <c r="J120" s="47"/>
      <c r="K120" s="47"/>
      <c r="L120" s="47"/>
      <c r="M120" s="47"/>
      <c r="N120" s="47"/>
      <c r="O120" s="48"/>
      <c r="P120" s="47"/>
      <c r="Q120" s="41" t="s">
        <v>177</v>
      </c>
      <c r="R120" s="47"/>
      <c r="S120" s="12"/>
      <c r="T120" s="47"/>
    </row>
    <row r="121" spans="1:28" s="519" customFormat="1" ht="12.6" thickBot="1">
      <c r="A121" s="922">
        <v>330</v>
      </c>
      <c r="B121" s="923">
        <f ca="1">Elec_Est!B2148</f>
        <v>29</v>
      </c>
      <c r="C121" s="924"/>
      <c r="D121" s="925" t="s">
        <v>897</v>
      </c>
      <c r="E121" s="926"/>
      <c r="F121" s="926"/>
      <c r="G121" s="635"/>
      <c r="H121" s="635"/>
      <c r="I121" s="927"/>
      <c r="J121" s="635"/>
      <c r="K121" s="924" t="s">
        <v>178</v>
      </c>
      <c r="L121" s="928" t="s">
        <v>178</v>
      </c>
      <c r="M121" s="928"/>
      <c r="N121" s="928"/>
      <c r="O121" s="928"/>
      <c r="P121" s="928"/>
      <c r="Q121" s="929">
        <f ca="1">B121/A121</f>
        <v>8.7878787878787876E-2</v>
      </c>
      <c r="R121" s="930">
        <f ca="1">IF($B121=0,0,IF($S$1="R",ROUND(R136/$B121,2),R136/$B121))</f>
        <v>8.66</v>
      </c>
      <c r="S121" s="969"/>
      <c r="T121" s="930">
        <f ca="1">IF($B121=0,0,IF($S$1="R",ROUND(T136/$B121,2),T136/$B121))</f>
        <v>0.56000000000000005</v>
      </c>
    </row>
    <row r="122" spans="1:28" s="519" customFormat="1" ht="13.8" thickTop="1">
      <c r="A122" s="631"/>
      <c r="B122" s="3"/>
      <c r="C122" s="3"/>
      <c r="D122" s="98" t="s">
        <v>179</v>
      </c>
      <c r="E122" s="3"/>
      <c r="F122" s="3"/>
      <c r="G122" s="3"/>
      <c r="H122" s="3"/>
      <c r="I122" s="3"/>
      <c r="J122" s="3"/>
      <c r="K122" s="3"/>
      <c r="L122" s="3"/>
      <c r="M122" s="3"/>
      <c r="N122" s="3"/>
      <c r="O122" s="99"/>
      <c r="P122" s="3"/>
      <c r="Q122" s="3"/>
      <c r="R122" s="3"/>
      <c r="S122" s="3"/>
      <c r="T122" s="3"/>
    </row>
    <row r="123" spans="1:28" s="933" customFormat="1">
      <c r="A123" s="932">
        <f ca="1">$Q$121 *(330)</f>
        <v>29</v>
      </c>
      <c r="B123" s="933" t="s">
        <v>311</v>
      </c>
      <c r="D123" s="933" t="s">
        <v>820</v>
      </c>
      <c r="E123" s="933" t="s">
        <v>821</v>
      </c>
      <c r="F123" s="933" t="s">
        <v>822</v>
      </c>
      <c r="G123" s="936" t="s">
        <v>823</v>
      </c>
      <c r="H123" s="937">
        <v>650</v>
      </c>
      <c r="I123" s="933" t="s">
        <v>729</v>
      </c>
      <c r="O123" s="938">
        <v>1</v>
      </c>
      <c r="P123" s="939">
        <v>36897</v>
      </c>
      <c r="Q123" s="940">
        <f>ROUNDUP(5.4*1.145,2)</f>
        <v>6.1899999999999995</v>
      </c>
      <c r="R123" s="941">
        <f t="shared" ref="R123:R135" ca="1" si="21">$A123*Q123</f>
        <v>179.51</v>
      </c>
      <c r="S123" s="940">
        <v>0.35000000000000003</v>
      </c>
      <c r="T123" s="942">
        <f t="shared" ref="T123:T135" ca="1" si="22">$A123*S123*$T$1</f>
        <v>10.15</v>
      </c>
    </row>
    <row r="124" spans="1:28" s="933" customFormat="1">
      <c r="A124" s="932">
        <f ca="1">$Q$121 *(ROUNDUP(330/3,0))</f>
        <v>9.6666666666666661</v>
      </c>
      <c r="B124" s="933" t="s">
        <v>311</v>
      </c>
      <c r="D124" s="933" t="s">
        <v>824</v>
      </c>
      <c r="E124" s="933" t="s">
        <v>821</v>
      </c>
      <c r="G124" s="936" t="s">
        <v>825</v>
      </c>
      <c r="H124" s="937">
        <v>650</v>
      </c>
      <c r="I124" s="933" t="s">
        <v>729</v>
      </c>
      <c r="O124" s="938">
        <v>1</v>
      </c>
      <c r="P124" s="939">
        <v>35705</v>
      </c>
      <c r="Q124" s="940">
        <f>ROUNDUP(0.22*2*1.145,2)</f>
        <v>0.51</v>
      </c>
      <c r="R124" s="941">
        <f t="shared" ca="1" si="21"/>
        <v>4.93</v>
      </c>
      <c r="S124" s="940"/>
      <c r="T124" s="942">
        <f t="shared" ca="1" si="22"/>
        <v>0</v>
      </c>
    </row>
    <row r="125" spans="1:28" s="933" customFormat="1">
      <c r="A125" s="932">
        <f ca="1">$Q$121 *(ROUNDUP(330/3*8,0))</f>
        <v>77.333333333333329</v>
      </c>
      <c r="B125" s="933" t="s">
        <v>141</v>
      </c>
      <c r="D125" s="933" t="s">
        <v>826</v>
      </c>
      <c r="G125" s="936" t="s">
        <v>827</v>
      </c>
      <c r="H125" s="937">
        <v>875</v>
      </c>
      <c r="I125" s="933" t="s">
        <v>729</v>
      </c>
      <c r="K125" s="933" t="s">
        <v>828</v>
      </c>
      <c r="O125" s="938">
        <v>1</v>
      </c>
      <c r="P125" s="939">
        <v>34669</v>
      </c>
      <c r="Q125" s="940">
        <v>7.0000000000000007E-2</v>
      </c>
      <c r="R125" s="941">
        <f t="shared" ca="1" si="21"/>
        <v>5.4133333333333331</v>
      </c>
      <c r="S125" s="940"/>
      <c r="T125" s="942">
        <f t="shared" ca="1" si="22"/>
        <v>0</v>
      </c>
    </row>
    <row r="126" spans="1:28" s="933" customFormat="1">
      <c r="A126" s="932">
        <f ca="1">$Q$121 *(ROUNDUP(330/1.2,0))</f>
        <v>24.166666666666664</v>
      </c>
      <c r="B126" s="933" t="s">
        <v>141</v>
      </c>
      <c r="D126" s="933" t="s">
        <v>829</v>
      </c>
      <c r="G126" s="936" t="s">
        <v>830</v>
      </c>
      <c r="H126" s="937">
        <v>501</v>
      </c>
      <c r="I126" s="933" t="s">
        <v>831</v>
      </c>
      <c r="J126" s="933" t="s">
        <v>832</v>
      </c>
      <c r="K126" s="933" t="s">
        <v>833</v>
      </c>
      <c r="O126" s="938">
        <v>1</v>
      </c>
      <c r="P126" s="939">
        <v>36175</v>
      </c>
      <c r="Q126" s="940">
        <v>0.77</v>
      </c>
      <c r="R126" s="941">
        <f t="shared" ca="1" si="21"/>
        <v>18.608333333333331</v>
      </c>
      <c r="S126" s="940"/>
      <c r="T126" s="942">
        <f t="shared" ca="1" si="22"/>
        <v>0</v>
      </c>
    </row>
    <row r="127" spans="1:28" s="933" customFormat="1">
      <c r="A127" s="932">
        <f ca="1">$Q$121 *(ROUNDUP(330/1.2,0))</f>
        <v>24.166666666666664</v>
      </c>
      <c r="B127" s="933" t="s">
        <v>141</v>
      </c>
      <c r="D127" s="933" t="s">
        <v>834</v>
      </c>
      <c r="G127" s="936" t="s">
        <v>835</v>
      </c>
      <c r="H127" s="937">
        <v>501</v>
      </c>
      <c r="I127" s="933" t="s">
        <v>729</v>
      </c>
      <c r="K127" s="933" t="s">
        <v>836</v>
      </c>
      <c r="O127" s="938">
        <v>1</v>
      </c>
      <c r="P127" s="939"/>
      <c r="Q127" s="940">
        <v>0.05</v>
      </c>
      <c r="R127" s="941">
        <f t="shared" ca="1" si="21"/>
        <v>1.2083333333333333</v>
      </c>
      <c r="S127" s="940"/>
      <c r="T127" s="942">
        <f t="shared" ca="1" si="22"/>
        <v>0</v>
      </c>
    </row>
    <row r="128" spans="1:28" s="933" customFormat="1">
      <c r="A128" s="932">
        <f ca="1">$Q$121 *(ROUNDUP(330/3,0))</f>
        <v>9.6666666666666661</v>
      </c>
      <c r="B128" s="933" t="s">
        <v>141</v>
      </c>
      <c r="D128" s="933" t="s">
        <v>837</v>
      </c>
      <c r="G128" s="936" t="s">
        <v>838</v>
      </c>
      <c r="H128" s="937">
        <v>875</v>
      </c>
      <c r="I128" s="933" t="s">
        <v>729</v>
      </c>
      <c r="K128" s="933" t="s">
        <v>839</v>
      </c>
      <c r="O128" s="938">
        <v>1</v>
      </c>
      <c r="P128" s="939">
        <v>34669</v>
      </c>
      <c r="Q128" s="940">
        <v>0.5</v>
      </c>
      <c r="R128" s="941">
        <f t="shared" ca="1" si="21"/>
        <v>4.833333333333333</v>
      </c>
      <c r="S128" s="940"/>
      <c r="T128" s="942">
        <f t="shared" ca="1" si="22"/>
        <v>0</v>
      </c>
    </row>
    <row r="129" spans="1:256" s="519" customFormat="1" ht="12" customHeight="1">
      <c r="A129" s="1011">
        <f ca="1">$Q$121*(ROUND(330/1.2*2,0))</f>
        <v>48.333333333333329</v>
      </c>
      <c r="B129" s="995" t="s">
        <v>141</v>
      </c>
      <c r="C129" s="996"/>
      <c r="D129" s="997" t="s">
        <v>872</v>
      </c>
      <c r="E129" s="996"/>
      <c r="G129" s="936" t="s">
        <v>873</v>
      </c>
      <c r="H129" s="937">
        <v>875</v>
      </c>
      <c r="I129" s="998" t="s">
        <v>831</v>
      </c>
      <c r="J129" s="998" t="s">
        <v>874</v>
      </c>
      <c r="K129" s="997" t="s">
        <v>7</v>
      </c>
      <c r="L129" s="996"/>
      <c r="M129" s="995"/>
      <c r="N129" s="996"/>
      <c r="O129" s="999">
        <v>1</v>
      </c>
      <c r="P129" s="1000">
        <v>36175</v>
      </c>
      <c r="Q129" s="997">
        <f>2.33 *(0.05)</f>
        <v>0.11650000000000001</v>
      </c>
      <c r="R129" s="1001">
        <f t="shared" ca="1" si="21"/>
        <v>5.6308333333333334</v>
      </c>
      <c r="S129" s="996"/>
      <c r="T129" s="1002">
        <f t="shared" ca="1" si="22"/>
        <v>0</v>
      </c>
      <c r="U129"/>
      <c r="X129"/>
      <c r="Y129"/>
      <c r="Z129"/>
      <c r="AA129" s="933"/>
      <c r="AB129" s="1003"/>
      <c r="AC129" s="1003"/>
      <c r="AD129" s="1003"/>
      <c r="AE129" s="1003"/>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c r="IV129"/>
    </row>
    <row r="130" spans="1:256" s="519" customFormat="1" ht="12" customHeight="1">
      <c r="A130" s="1011">
        <f ca="1">$Q$121*(ROUND(330/1.2*2,0))</f>
        <v>48.333333333333329</v>
      </c>
      <c r="B130" s="1012" t="s">
        <v>141</v>
      </c>
      <c r="C130" s="1012"/>
      <c r="D130" s="1012" t="s">
        <v>888</v>
      </c>
      <c r="E130" s="1012"/>
      <c r="F130" s="1012"/>
      <c r="G130" s="936" t="s">
        <v>889</v>
      </c>
      <c r="H130" s="937">
        <v>501</v>
      </c>
      <c r="I130" s="1012"/>
      <c r="J130" s="1012"/>
      <c r="K130" s="1012"/>
      <c r="L130" s="1012"/>
      <c r="M130" s="1012"/>
      <c r="N130" s="1013"/>
      <c r="O130" s="1013">
        <v>1</v>
      </c>
      <c r="P130" s="1014"/>
      <c r="Q130" s="997">
        <v>0.12</v>
      </c>
      <c r="R130" s="1001">
        <f t="shared" ca="1" si="21"/>
        <v>5.7999999999999989</v>
      </c>
      <c r="S130" s="997"/>
      <c r="T130" s="1002">
        <f t="shared" ca="1" si="22"/>
        <v>0</v>
      </c>
      <c r="U130" s="1012"/>
      <c r="X130" s="1012"/>
      <c r="Y130" s="1012"/>
      <c r="Z130" s="1012"/>
      <c r="AA130" s="1003"/>
      <c r="AB130" s="1003"/>
      <c r="AC130" s="1003"/>
      <c r="AD130" s="1003"/>
      <c r="AE130" s="1003"/>
      <c r="AF130" s="1012"/>
      <c r="AG130" s="1012"/>
      <c r="AH130" s="1012"/>
      <c r="AI130" s="1012"/>
      <c r="AJ130" s="1012"/>
      <c r="AK130" s="1012"/>
      <c r="AL130" s="1012"/>
      <c r="AM130" s="1012"/>
      <c r="AN130" s="1012"/>
      <c r="AO130" s="1012"/>
      <c r="AP130" s="1012"/>
      <c r="AQ130" s="1012"/>
      <c r="AR130" s="1012"/>
      <c r="AS130" s="1012"/>
      <c r="AT130" s="1012"/>
      <c r="AU130" s="1012"/>
      <c r="AV130" s="1012"/>
      <c r="AW130" s="1012"/>
      <c r="AX130" s="1012"/>
      <c r="AY130" s="1012"/>
      <c r="AZ130" s="1012"/>
      <c r="BA130" s="1012"/>
      <c r="BB130" s="1012"/>
      <c r="BC130" s="1012"/>
      <c r="BD130" s="1012"/>
      <c r="BE130" s="1012"/>
      <c r="BF130" s="1012"/>
      <c r="BG130" s="1012"/>
      <c r="BH130" s="1012"/>
      <c r="BI130" s="1012"/>
      <c r="BJ130" s="1012"/>
      <c r="BK130" s="1012"/>
      <c r="BL130" s="1012"/>
      <c r="BM130" s="1012"/>
      <c r="BN130" s="1012"/>
      <c r="BO130" s="1012"/>
      <c r="BP130" s="1012"/>
      <c r="BQ130" s="1012"/>
      <c r="BR130" s="1012"/>
      <c r="BS130" s="1012"/>
      <c r="BT130" s="1012"/>
      <c r="BU130" s="1012"/>
      <c r="BV130" s="1012"/>
      <c r="BW130" s="1012"/>
      <c r="BX130" s="1012"/>
      <c r="BY130" s="1012"/>
      <c r="BZ130" s="1012"/>
      <c r="CA130" s="1012"/>
      <c r="CB130" s="1012"/>
      <c r="CC130" s="1012"/>
      <c r="CD130" s="1012"/>
      <c r="CE130" s="1012"/>
      <c r="CF130" s="1012"/>
      <c r="CG130" s="1012"/>
      <c r="CH130" s="1012"/>
      <c r="CI130" s="1012"/>
      <c r="CJ130" s="1012"/>
      <c r="CK130" s="1012"/>
      <c r="CL130" s="1012"/>
      <c r="CM130" s="1012"/>
      <c r="CN130" s="1012"/>
      <c r="CO130" s="1012"/>
      <c r="CP130" s="1012"/>
      <c r="CQ130" s="1012"/>
      <c r="CR130" s="1012"/>
      <c r="CS130" s="1012"/>
      <c r="CT130" s="1012"/>
      <c r="CU130" s="1012"/>
      <c r="CV130" s="1012"/>
      <c r="CW130" s="1012"/>
      <c r="CX130" s="1012"/>
      <c r="CY130" s="1012"/>
      <c r="CZ130" s="1012"/>
      <c r="DA130" s="1012"/>
      <c r="DB130" s="1012"/>
      <c r="DC130" s="1012"/>
      <c r="DD130" s="1012"/>
      <c r="DE130" s="1012"/>
      <c r="DF130" s="1012"/>
      <c r="DG130" s="1012"/>
      <c r="DH130" s="1012"/>
      <c r="DI130" s="1012"/>
      <c r="DJ130" s="1012"/>
      <c r="DK130" s="1012"/>
      <c r="DL130" s="1012"/>
      <c r="DM130" s="1012"/>
      <c r="DN130" s="1012"/>
      <c r="DO130" s="1012"/>
      <c r="DP130" s="1012"/>
      <c r="DQ130" s="1012"/>
      <c r="DR130" s="1012"/>
      <c r="DS130" s="1012"/>
      <c r="DT130" s="1012"/>
      <c r="DU130" s="1012"/>
      <c r="DV130" s="1012"/>
      <c r="DW130" s="1012"/>
      <c r="DX130" s="1012"/>
      <c r="DY130" s="1012"/>
      <c r="DZ130" s="1012"/>
      <c r="EA130" s="1012"/>
      <c r="EB130" s="1012"/>
      <c r="EC130" s="1012"/>
      <c r="ED130" s="1012"/>
      <c r="EE130" s="1012"/>
      <c r="EF130" s="1012"/>
      <c r="EG130" s="1012"/>
      <c r="EH130" s="1012"/>
      <c r="EI130" s="1012"/>
      <c r="EJ130" s="1012"/>
      <c r="EK130" s="1012"/>
      <c r="EL130" s="1012"/>
      <c r="EM130" s="1012"/>
      <c r="EN130" s="1012"/>
      <c r="EO130" s="1012"/>
      <c r="EP130" s="1012"/>
      <c r="EQ130" s="1012"/>
      <c r="ER130" s="1012"/>
      <c r="ES130" s="1012"/>
      <c r="ET130" s="1012"/>
      <c r="EU130" s="1012"/>
      <c r="EV130" s="1012"/>
      <c r="EW130" s="1012"/>
      <c r="EX130" s="1012"/>
      <c r="EY130" s="1012"/>
      <c r="EZ130" s="1012"/>
      <c r="FA130" s="1012"/>
      <c r="FB130" s="1012"/>
      <c r="FC130" s="1012"/>
      <c r="FD130" s="1012"/>
      <c r="FE130" s="1012"/>
      <c r="FF130" s="1012"/>
      <c r="FG130" s="1012"/>
      <c r="FH130" s="1012"/>
      <c r="FI130" s="1012"/>
      <c r="FJ130" s="1012"/>
      <c r="FK130" s="1012"/>
      <c r="FL130" s="1012"/>
      <c r="FM130" s="1012"/>
      <c r="FN130" s="1012"/>
      <c r="FO130" s="1012"/>
      <c r="FP130" s="1012"/>
      <c r="FQ130" s="1012"/>
      <c r="FR130" s="1012"/>
      <c r="FS130" s="1012"/>
      <c r="FT130" s="1012"/>
      <c r="FU130" s="1012"/>
      <c r="FV130" s="1012"/>
      <c r="FW130" s="1012"/>
      <c r="FX130" s="1012"/>
      <c r="FY130" s="1012"/>
      <c r="FZ130" s="1012"/>
      <c r="GA130" s="1012"/>
      <c r="GB130" s="1012"/>
      <c r="GC130" s="1012"/>
      <c r="GD130" s="1012"/>
      <c r="GE130" s="1012"/>
      <c r="GF130" s="1012"/>
      <c r="GG130" s="1012"/>
      <c r="GH130" s="1012"/>
      <c r="GI130" s="1012"/>
      <c r="GJ130" s="1012"/>
      <c r="GK130" s="1012"/>
      <c r="GL130" s="1012"/>
      <c r="GM130" s="1012"/>
      <c r="GN130" s="1012"/>
      <c r="GO130" s="1012"/>
      <c r="GP130" s="1012"/>
      <c r="GQ130" s="1012"/>
      <c r="GR130" s="1012"/>
      <c r="GS130" s="1012"/>
      <c r="GT130" s="1012"/>
      <c r="GU130" s="1012"/>
      <c r="GV130" s="1012"/>
      <c r="GW130" s="1012"/>
      <c r="GX130" s="1012"/>
      <c r="GY130" s="1012"/>
      <c r="GZ130" s="1012"/>
      <c r="HA130" s="1012"/>
      <c r="HB130" s="1012"/>
      <c r="HC130" s="1012"/>
      <c r="HD130" s="1012"/>
      <c r="HE130" s="1012"/>
      <c r="HF130" s="1012"/>
      <c r="HG130" s="1012"/>
      <c r="HH130" s="1012"/>
      <c r="HI130" s="1012"/>
      <c r="HJ130" s="1012"/>
      <c r="HK130" s="1012"/>
      <c r="HL130" s="1012"/>
      <c r="HM130" s="1012"/>
      <c r="HN130" s="1012"/>
      <c r="HO130" s="1012"/>
      <c r="HP130" s="1012"/>
      <c r="HQ130" s="1012"/>
      <c r="HR130" s="1012"/>
      <c r="HS130" s="1012"/>
      <c r="HT130" s="1012"/>
      <c r="HU130" s="1012"/>
      <c r="HV130" s="1012"/>
      <c r="HW130" s="1012"/>
      <c r="HX130" s="1012"/>
      <c r="HY130" s="1012"/>
      <c r="HZ130" s="1012"/>
      <c r="IA130" s="1012"/>
      <c r="IB130" s="1012"/>
      <c r="IC130" s="1012"/>
      <c r="ID130" s="1012"/>
      <c r="IE130" s="1012"/>
      <c r="IF130" s="1012"/>
      <c r="IG130" s="1012"/>
      <c r="IH130" s="1012"/>
      <c r="II130" s="1012"/>
      <c r="IJ130" s="1012"/>
      <c r="IK130" s="1012"/>
      <c r="IL130" s="1012"/>
      <c r="IM130" s="1012"/>
      <c r="IN130" s="1012"/>
      <c r="IO130" s="1012"/>
      <c r="IP130" s="1012"/>
      <c r="IQ130" s="1012"/>
      <c r="IR130" s="1012"/>
      <c r="IS130" s="1012"/>
      <c r="IT130" s="1012"/>
      <c r="IU130" s="1012"/>
      <c r="IV130" s="1012"/>
    </row>
    <row r="131" spans="1:256" s="933" customFormat="1" ht="12" customHeight="1">
      <c r="A131" s="1011">
        <f ca="1">$Q$121*(ROUND(330/1.2*0.4,0))</f>
        <v>9.6666666666666661</v>
      </c>
      <c r="B131" s="995" t="s">
        <v>311</v>
      </c>
      <c r="C131" s="995"/>
      <c r="D131" s="997" t="s">
        <v>890</v>
      </c>
      <c r="E131" s="933" t="s">
        <v>821</v>
      </c>
      <c r="F131" s="1004"/>
      <c r="G131" s="936" t="s">
        <v>891</v>
      </c>
      <c r="H131" s="937">
        <v>501</v>
      </c>
      <c r="I131" s="998" t="s">
        <v>831</v>
      </c>
      <c r="J131" s="1005" t="s">
        <v>892</v>
      </c>
      <c r="K131" s="997" t="s">
        <v>7</v>
      </c>
      <c r="L131" s="995"/>
      <c r="M131" s="995"/>
      <c r="N131" s="995"/>
      <c r="O131" s="999">
        <v>1</v>
      </c>
      <c r="P131" s="1000">
        <v>36175</v>
      </c>
      <c r="Q131" s="940">
        <f>ROUNDUP(1.46*1.145,2)</f>
        <v>1.68</v>
      </c>
      <c r="R131" s="1001">
        <f t="shared" ca="1" si="21"/>
        <v>16.239999999999998</v>
      </c>
      <c r="S131" s="995"/>
      <c r="T131" s="1002">
        <f t="shared" ca="1" si="22"/>
        <v>0</v>
      </c>
      <c r="U131"/>
      <c r="V131" s="519"/>
      <c r="W131" s="519"/>
      <c r="X131"/>
      <c r="Y131"/>
      <c r="Z131"/>
      <c r="AA131" s="1003"/>
      <c r="AB131" s="1003"/>
      <c r="AC131" s="1003"/>
      <c r="AD131" s="1003"/>
      <c r="AE131" s="1003"/>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row>
    <row r="132" spans="1:256" s="519" customFormat="1" ht="12" customHeight="1">
      <c r="A132" s="1011">
        <f ca="1">$Q$121*(ROUND(330/1.2,0))</f>
        <v>24.166666666666664</v>
      </c>
      <c r="B132" s="995" t="s">
        <v>141</v>
      </c>
      <c r="C132" s="995"/>
      <c r="D132" s="997" t="s">
        <v>875</v>
      </c>
      <c r="E132" s="996"/>
      <c r="F132" s="1004"/>
      <c r="G132" s="936" t="s">
        <v>876</v>
      </c>
      <c r="H132" s="937">
        <v>501</v>
      </c>
      <c r="I132" s="1005" t="s">
        <v>778</v>
      </c>
      <c r="J132" s="1005"/>
      <c r="K132" s="997" t="s">
        <v>7</v>
      </c>
      <c r="L132" s="995"/>
      <c r="M132" s="995"/>
      <c r="N132" s="995"/>
      <c r="O132" s="1006">
        <v>3</v>
      </c>
      <c r="P132" s="1007"/>
      <c r="Q132" s="1008"/>
      <c r="R132" s="1001">
        <f t="shared" ca="1" si="21"/>
        <v>0</v>
      </c>
      <c r="S132" s="997">
        <v>0.25</v>
      </c>
      <c r="T132" s="1002">
        <f t="shared" ca="1" si="22"/>
        <v>6.0416666666666661</v>
      </c>
      <c r="U132" t="s">
        <v>863</v>
      </c>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c r="IV132"/>
    </row>
    <row r="133" spans="1:256" s="519" customFormat="1" ht="12" customHeight="1">
      <c r="A133" s="1011">
        <f ca="1">$Q$121*(ROUND(330/1.2*4,0))</f>
        <v>96.666666666666657</v>
      </c>
      <c r="B133" s="995" t="s">
        <v>141</v>
      </c>
      <c r="C133" s="995"/>
      <c r="D133" s="997" t="s">
        <v>893</v>
      </c>
      <c r="E133" s="996"/>
      <c r="F133" s="1004"/>
      <c r="G133" s="936" t="s">
        <v>894</v>
      </c>
      <c r="H133" s="937">
        <v>501</v>
      </c>
      <c r="I133" s="1005"/>
      <c r="J133" s="1005"/>
      <c r="K133" s="997" t="s">
        <v>7</v>
      </c>
      <c r="L133" s="995"/>
      <c r="M133" s="995"/>
      <c r="N133" s="995"/>
      <c r="O133" s="999">
        <v>1</v>
      </c>
      <c r="P133" s="1000"/>
      <c r="Q133" s="997">
        <f>2.33 *(0.03)</f>
        <v>6.9900000000000004E-2</v>
      </c>
      <c r="R133" s="1001">
        <f t="shared" ca="1" si="21"/>
        <v>6.7569999999999997</v>
      </c>
      <c r="S133" s="995"/>
      <c r="T133" s="1002">
        <f t="shared" ca="1" si="22"/>
        <v>0</v>
      </c>
      <c r="U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row>
    <row r="134" spans="1:256" s="519" customFormat="1" ht="12" customHeight="1">
      <c r="A134" s="1011">
        <f ca="1">$Q$121*(ROUND(330/1.2*4,0))</f>
        <v>96.666666666666657</v>
      </c>
      <c r="B134" s="995" t="s">
        <v>141</v>
      </c>
      <c r="C134" s="995"/>
      <c r="D134" s="997" t="s">
        <v>895</v>
      </c>
      <c r="E134" s="996"/>
      <c r="F134" s="1004"/>
      <c r="G134" s="936" t="s">
        <v>896</v>
      </c>
      <c r="H134" s="937">
        <v>501</v>
      </c>
      <c r="I134" s="1005"/>
      <c r="J134" s="1005"/>
      <c r="K134" s="997" t="s">
        <v>7</v>
      </c>
      <c r="L134" s="995"/>
      <c r="M134" s="995"/>
      <c r="N134" s="995"/>
      <c r="O134" s="1006">
        <v>1</v>
      </c>
      <c r="P134" s="1007"/>
      <c r="Q134" s="997">
        <f>2.33 *(0.01)</f>
        <v>2.3300000000000001E-2</v>
      </c>
      <c r="R134" s="1001">
        <f t="shared" ca="1" si="21"/>
        <v>2.2523333333333331</v>
      </c>
      <c r="S134" s="995"/>
      <c r="T134" s="1002">
        <f t="shared" ca="1" si="22"/>
        <v>0</v>
      </c>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c r="IV134"/>
    </row>
    <row r="135" spans="1:256" s="519" customFormat="1">
      <c r="A135" s="641"/>
      <c r="B135" s="3"/>
      <c r="C135" s="641" t="s">
        <v>180</v>
      </c>
      <c r="D135" s="3"/>
      <c r="E135" s="641"/>
      <c r="F135" s="636"/>
      <c r="G135" s="641"/>
      <c r="H135" s="641"/>
      <c r="I135" s="518"/>
      <c r="J135" s="641"/>
      <c r="K135" s="641"/>
      <c r="L135" s="641"/>
      <c r="M135" s="641"/>
      <c r="N135" s="641"/>
      <c r="O135" s="641"/>
      <c r="P135" s="641"/>
      <c r="Q135" s="518"/>
      <c r="R135" s="943">
        <f t="shared" si="21"/>
        <v>0</v>
      </c>
      <c r="S135" s="518"/>
      <c r="T135" s="643">
        <f t="shared" si="22"/>
        <v>0</v>
      </c>
    </row>
    <row r="136" spans="1:256" s="519" customFormat="1" ht="12.6" thickBot="1">
      <c r="A136" s="644" t="s">
        <v>145</v>
      </c>
      <c r="B136" s="645">
        <f ca="1">(R136+T136)-SUM(R122:R135,T122:T135)</f>
        <v>0</v>
      </c>
      <c r="C136" s="646"/>
      <c r="D136" s="944" t="s">
        <v>181</v>
      </c>
      <c r="E136" s="466">
        <f ca="1">IF($B121=0,0,ROUND(ROUND(($R136*$S$2+($T136*$T$2))/$B121, 2)*$C$2,2))</f>
        <v>23.99</v>
      </c>
      <c r="F136" s="467">
        <f ca="1">ROUND($B121*$E136,2)</f>
        <v>695.71</v>
      </c>
      <c r="G136" s="646"/>
      <c r="H136" s="646"/>
      <c r="I136" s="648"/>
      <c r="J136" s="646"/>
      <c r="K136" s="945" t="s">
        <v>143</v>
      </c>
      <c r="L136" s="649" t="s">
        <v>143</v>
      </c>
      <c r="M136" s="649"/>
      <c r="N136" s="649"/>
      <c r="O136" s="649"/>
      <c r="P136" s="649"/>
      <c r="Q136" s="945"/>
      <c r="R136" s="946">
        <f ca="1">SUM(R122:R135)</f>
        <v>251.18350000000001</v>
      </c>
      <c r="S136" s="947"/>
      <c r="T136" s="946">
        <f ca="1">SUM(T122:T135)</f>
        <v>16.191666666666666</v>
      </c>
      <c r="U136" s="529"/>
      <c r="V136" s="529"/>
      <c r="W136" s="529"/>
      <c r="X136" s="529"/>
      <c r="Y136" s="529"/>
      <c r="Z136" s="529"/>
      <c r="AA136" s="529"/>
      <c r="AB136" s="529"/>
    </row>
    <row r="137" spans="1:256" s="519" customFormat="1" ht="12" thickTop="1">
      <c r="A137" s="47"/>
      <c r="B137" s="47"/>
      <c r="C137" s="47"/>
      <c r="D137" s="47"/>
      <c r="E137" s="47"/>
      <c r="F137" s="47"/>
      <c r="G137" s="47"/>
      <c r="H137" s="47"/>
      <c r="I137" s="47"/>
      <c r="J137" s="47"/>
      <c r="K137" s="47"/>
      <c r="L137" s="47"/>
      <c r="M137" s="47"/>
      <c r="N137" s="47"/>
      <c r="O137" s="48"/>
      <c r="P137" s="47"/>
      <c r="Q137" s="41" t="s">
        <v>177</v>
      </c>
      <c r="R137" s="47"/>
      <c r="S137" s="12"/>
      <c r="T137" s="47"/>
    </row>
    <row r="138" spans="1:256" s="519" customFormat="1" ht="12" customHeight="1" thickBot="1">
      <c r="A138" s="922">
        <v>1</v>
      </c>
      <c r="B138" s="923">
        <f ca="1">Elec_Est!B2149</f>
        <v>51</v>
      </c>
      <c r="C138" s="924"/>
      <c r="D138" s="925" t="s">
        <v>959</v>
      </c>
      <c r="E138" s="926"/>
      <c r="F138" s="926"/>
      <c r="G138" s="635"/>
      <c r="H138" s="635"/>
      <c r="I138" s="927"/>
      <c r="J138" s="635"/>
      <c r="K138" s="924" t="s">
        <v>178</v>
      </c>
      <c r="L138" s="928" t="s">
        <v>178</v>
      </c>
      <c r="M138" s="928"/>
      <c r="N138" s="928"/>
      <c r="O138" s="928"/>
      <c r="P138" s="928"/>
      <c r="Q138" s="929">
        <f ca="1">B138/A138</f>
        <v>51</v>
      </c>
      <c r="R138" s="930">
        <f ca="1">IF($B138=0,0,IF($S$1="R",ROUND(R142/$B138,2),R142/$B138))</f>
        <v>12.3</v>
      </c>
      <c r="S138" s="931"/>
      <c r="T138" s="930">
        <f ca="1">IF($B138=0,0,IF($S$1="R",ROUND(T142/$B138,2),T142/$B138))</f>
        <v>1.08</v>
      </c>
    </row>
    <row r="139" spans="1:256" s="519" customFormat="1" ht="13.8" thickTop="1">
      <c r="A139" s="631"/>
      <c r="B139" s="3"/>
      <c r="C139" s="3"/>
      <c r="D139" s="98" t="s">
        <v>179</v>
      </c>
      <c r="E139" s="3"/>
      <c r="F139" s="3"/>
      <c r="G139" s="3"/>
      <c r="H139" s="3"/>
      <c r="I139" s="3"/>
      <c r="J139" s="3"/>
      <c r="K139" s="3"/>
      <c r="L139" s="3"/>
      <c r="M139" s="3"/>
      <c r="N139" s="3"/>
      <c r="O139" s="99"/>
      <c r="P139" s="3"/>
      <c r="Q139" s="3"/>
      <c r="R139" s="3"/>
      <c r="S139" s="3"/>
      <c r="T139" s="3"/>
    </row>
    <row r="140" spans="1:256" s="933" customFormat="1">
      <c r="A140" s="966">
        <f ca="1">$Q$138 *(6)</f>
        <v>306</v>
      </c>
      <c r="B140" s="933" t="s">
        <v>311</v>
      </c>
      <c r="D140" s="933" t="s">
        <v>956</v>
      </c>
      <c r="F140" s="933" t="s">
        <v>886</v>
      </c>
      <c r="G140" s="936" t="s">
        <v>957</v>
      </c>
      <c r="H140" s="937">
        <v>700</v>
      </c>
      <c r="I140" s="933" t="s">
        <v>887</v>
      </c>
      <c r="J140" s="933" t="s">
        <v>958</v>
      </c>
      <c r="O140" s="938">
        <v>1</v>
      </c>
      <c r="P140" s="939">
        <v>42213</v>
      </c>
      <c r="Q140" s="940">
        <v>2.0499999999999998</v>
      </c>
      <c r="R140" s="941">
        <f ca="1">$A140*Q140</f>
        <v>627.29999999999995</v>
      </c>
      <c r="S140" s="940">
        <v>0.18</v>
      </c>
      <c r="T140" s="942">
        <f ca="1">$A140*S140*$T$1</f>
        <v>55.08</v>
      </c>
    </row>
    <row r="141" spans="1:256" s="519" customFormat="1">
      <c r="A141" s="641"/>
      <c r="B141" s="3"/>
      <c r="C141" s="641" t="s">
        <v>180</v>
      </c>
      <c r="D141" s="3"/>
      <c r="E141" s="641"/>
      <c r="F141" s="636"/>
      <c r="G141" s="641"/>
      <c r="H141" s="641"/>
      <c r="I141" s="518"/>
      <c r="J141" s="641"/>
      <c r="K141" s="641"/>
      <c r="L141" s="641"/>
      <c r="M141" s="641"/>
      <c r="N141" s="641"/>
      <c r="O141" s="641"/>
      <c r="P141" s="641"/>
      <c r="Q141" s="518"/>
      <c r="R141" s="943">
        <f t="shared" ref="R141" si="23">$A141*Q141</f>
        <v>0</v>
      </c>
      <c r="S141" s="518"/>
      <c r="T141" s="643">
        <f t="shared" ref="T141" si="24">$A141*S141*$T$1</f>
        <v>0</v>
      </c>
    </row>
    <row r="142" spans="1:256" s="519" customFormat="1" ht="12.6" thickBot="1">
      <c r="A142" s="644" t="s">
        <v>145</v>
      </c>
      <c r="B142" s="645">
        <f>(R141+T141)</f>
        <v>0</v>
      </c>
      <c r="C142" s="646"/>
      <c r="D142" s="944" t="s">
        <v>181</v>
      </c>
      <c r="E142" s="466">
        <f ca="1">IF($B138=0,0,ROUND(ROUND(($R142*$S$2+($T142*$T$2))/$B138, 2)*$C$2,2))</f>
        <v>41.96</v>
      </c>
      <c r="F142" s="467">
        <f ca="1">ROUND($B138*$E142,2)</f>
        <v>2139.96</v>
      </c>
      <c r="G142" s="646"/>
      <c r="H142" s="646"/>
      <c r="I142" s="648"/>
      <c r="J142" s="646"/>
      <c r="K142" s="945" t="s">
        <v>143</v>
      </c>
      <c r="L142" s="649" t="s">
        <v>143</v>
      </c>
      <c r="M142" s="649"/>
      <c r="N142" s="649"/>
      <c r="O142" s="649"/>
      <c r="P142" s="649"/>
      <c r="Q142" s="945"/>
      <c r="R142" s="946">
        <f ca="1">SUM(R139:R141)</f>
        <v>627.29999999999995</v>
      </c>
      <c r="S142" s="947"/>
      <c r="T142" s="946">
        <f ca="1">SUM(T139:T141)</f>
        <v>55.08</v>
      </c>
      <c r="U142" s="529"/>
      <c r="V142" s="529"/>
      <c r="W142" s="529"/>
      <c r="X142" s="529"/>
      <c r="Y142" s="529"/>
      <c r="Z142" s="529"/>
      <c r="AA142" s="529"/>
      <c r="AB142" s="529"/>
    </row>
    <row r="143" spans="1:256" ht="13.8" thickTop="1">
      <c r="A143" s="42" t="s">
        <v>157</v>
      </c>
      <c r="B143"/>
      <c r="C143"/>
      <c r="D143"/>
      <c r="E143"/>
      <c r="F143"/>
      <c r="G143"/>
      <c r="H143"/>
      <c r="I143"/>
      <c r="J143"/>
      <c r="K143"/>
      <c r="L143"/>
      <c r="M143"/>
      <c r="N143"/>
      <c r="O143" s="100"/>
      <c r="P143"/>
      <c r="Q143"/>
      <c r="R143"/>
      <c r="S143"/>
      <c r="T143"/>
    </row>
    <row r="144" spans="1:256" ht="13.8" thickBot="1">
      <c r="A144" s="42" t="s">
        <v>157</v>
      </c>
      <c r="B144" s="1"/>
      <c r="C144" s="32"/>
      <c r="E144" s="1"/>
      <c r="F144" s="3"/>
      <c r="G144" s="3"/>
      <c r="H144" s="3"/>
      <c r="I144" s="3"/>
      <c r="J144" s="3"/>
      <c r="K144" s="3"/>
      <c r="L144" s="3"/>
      <c r="M144" s="3"/>
      <c r="N144" s="3"/>
      <c r="O144" s="99"/>
      <c r="P144" s="3"/>
      <c r="Q144" s="3"/>
      <c r="R144" s="102" t="s">
        <v>34</v>
      </c>
      <c r="S144" s="103"/>
      <c r="T144" s="102" t="s">
        <v>35</v>
      </c>
    </row>
    <row r="145" spans="1:28" ht="14.4" thickTop="1">
      <c r="A145" s="42" t="s">
        <v>157</v>
      </c>
      <c r="B145" s="3"/>
      <c r="C145" s="32"/>
      <c r="D145" s="101" t="s">
        <v>182</v>
      </c>
      <c r="E145" s="1"/>
      <c r="F145" s="32"/>
      <c r="G145" s="1"/>
      <c r="H145" s="1"/>
      <c r="I145" s="1"/>
      <c r="J145" s="1"/>
      <c r="K145" s="3"/>
      <c r="L145" s="1"/>
      <c r="M145" s="1"/>
      <c r="N145" s="1"/>
      <c r="O145" s="104"/>
      <c r="P145" s="1"/>
      <c r="Q145" s="1"/>
      <c r="R145" s="1"/>
      <c r="S145" s="1"/>
      <c r="T145" s="1"/>
    </row>
    <row r="146" spans="1:28" ht="13.8" thickBot="1">
      <c r="A146" s="42" t="s">
        <v>157</v>
      </c>
      <c r="B146" s="3"/>
      <c r="C146" s="32"/>
      <c r="D146" s="53" t="s">
        <v>183</v>
      </c>
      <c r="E146" s="1"/>
      <c r="F146" s="1"/>
      <c r="G146" s="32"/>
      <c r="H146" s="32"/>
      <c r="I146" s="32"/>
      <c r="J146" s="32"/>
      <c r="K146" s="3"/>
      <c r="L146" s="105" t="s">
        <v>184</v>
      </c>
      <c r="M146" s="105"/>
      <c r="N146" s="105"/>
      <c r="O146" s="106"/>
      <c r="P146" s="105"/>
      <c r="Q146" s="32"/>
      <c r="R146" s="107">
        <f ca="1">SUMIF($L$12:$L144,"",R$12:R144)</f>
        <v>12532.503500000001</v>
      </c>
      <c r="S146" s="108"/>
      <c r="T146" s="107">
        <f ca="1">SUMIF($L$12:$L144,"",T$12:T144)</f>
        <v>254.78166666666669</v>
      </c>
    </row>
    <row r="147" spans="1:28" ht="13.8" thickBot="1">
      <c r="A147" s="42" t="s">
        <v>157</v>
      </c>
      <c r="B147" s="3"/>
      <c r="C147" s="32"/>
      <c r="D147" s="53" t="s">
        <v>185</v>
      </c>
      <c r="E147" s="1"/>
      <c r="F147" s="3"/>
      <c r="G147" s="3"/>
      <c r="H147" s="3"/>
      <c r="I147" s="3"/>
      <c r="J147" s="3"/>
      <c r="K147" s="3"/>
      <c r="L147" s="105" t="s">
        <v>186</v>
      </c>
      <c r="M147" s="105"/>
      <c r="N147" s="105"/>
      <c r="O147" s="106"/>
      <c r="P147" s="105"/>
      <c r="Q147" s="3"/>
      <c r="R147" s="109">
        <f ca="1">SUMIF($L$12:$L144,"ITEM",R$12:R144)</f>
        <v>12532.503499999999</v>
      </c>
      <c r="S147" s="110"/>
      <c r="T147" s="109">
        <f ca="1">SUMIF($L$12:$L144,"ITEM",T$12:T144)</f>
        <v>254.78166666666664</v>
      </c>
    </row>
    <row r="148" spans="1:28" ht="13.8" thickBot="1">
      <c r="A148" s="55" t="s">
        <v>147</v>
      </c>
      <c r="B148" s="8"/>
      <c r="C148" s="45"/>
      <c r="D148" s="8"/>
      <c r="E148" s="8"/>
      <c r="F148" s="8"/>
      <c r="G148" s="8"/>
      <c r="H148" s="8"/>
      <c r="I148" s="8"/>
      <c r="J148" s="8"/>
      <c r="K148" s="8"/>
      <c r="L148" s="8"/>
      <c r="M148" s="8"/>
      <c r="N148" s="8"/>
      <c r="O148" s="111"/>
      <c r="P148" s="8"/>
      <c r="Q148" s="8"/>
      <c r="R148" s="8"/>
      <c r="S148" s="8"/>
      <c r="T148" s="8"/>
      <c r="U148" s="75"/>
      <c r="V148" s="75"/>
      <c r="W148" s="75"/>
      <c r="X148" s="75"/>
      <c r="Y148" s="75"/>
      <c r="Z148" s="75"/>
      <c r="AA148" s="75"/>
      <c r="AB148" s="75"/>
    </row>
    <row r="149" spans="1:28" ht="13.8" thickTop="1">
      <c r="A149" s="57"/>
      <c r="B149" s="464" t="s">
        <v>71</v>
      </c>
      <c r="C149" s="5"/>
      <c r="D149" s="58"/>
      <c r="E149" s="59" t="s">
        <v>158</v>
      </c>
      <c r="F149" s="60"/>
      <c r="G149" s="60"/>
      <c r="H149" s="60"/>
      <c r="I149" s="60"/>
      <c r="J149" s="60"/>
      <c r="K149" s="60"/>
      <c r="L149" s="60"/>
      <c r="M149" s="60"/>
      <c r="N149" s="60"/>
      <c r="O149" s="61"/>
      <c r="P149" s="60"/>
      <c r="Q149" s="62"/>
      <c r="R149" s="63">
        <f ca="1">SUM(R150:R205)</f>
        <v>12532.503500000001</v>
      </c>
      <c r="S149" s="64"/>
      <c r="T149" s="63">
        <f ca="1">SUM(T150:T205)</f>
        <v>254.78166666666664</v>
      </c>
    </row>
    <row r="150" spans="1:28">
      <c r="A150" s="65"/>
      <c r="B150" s="469">
        <v>1</v>
      </c>
      <c r="C150" s="5" t="s">
        <v>73</v>
      </c>
      <c r="D150" s="35" t="s">
        <v>74</v>
      </c>
      <c r="F150" s="66">
        <v>501</v>
      </c>
      <c r="O150" s="67"/>
      <c r="P150" s="35">
        <v>1</v>
      </c>
      <c r="R150" s="68">
        <f t="shared" ref="R150:R181" ca="1" si="25">SUMIF($H$12:$H$143,$F150,R$12:R$143)</f>
        <v>180.86600000000001</v>
      </c>
      <c r="S150" s="69"/>
      <c r="T150" s="68">
        <f t="shared" ref="T150:T181" ca="1" si="26">SUMIF($H$12:$H$143,$F150,T$12:T$143)</f>
        <v>6.0416666666666661</v>
      </c>
    </row>
    <row r="151" spans="1:28">
      <c r="A151" s="65"/>
      <c r="B151" s="469">
        <v>2</v>
      </c>
      <c r="C151" s="5" t="s">
        <v>73</v>
      </c>
      <c r="D151" s="35" t="s">
        <v>75</v>
      </c>
      <c r="F151" s="66">
        <v>505</v>
      </c>
      <c r="O151" s="67"/>
      <c r="P151" s="35">
        <v>1</v>
      </c>
      <c r="R151" s="68">
        <f t="shared" si="25"/>
        <v>0</v>
      </c>
      <c r="S151" s="69"/>
      <c r="T151" s="68">
        <f t="shared" si="26"/>
        <v>0</v>
      </c>
    </row>
    <row r="152" spans="1:28">
      <c r="A152" s="65"/>
      <c r="B152" s="469">
        <v>3</v>
      </c>
      <c r="C152" s="5" t="s">
        <v>73</v>
      </c>
      <c r="D152" s="35" t="s">
        <v>76</v>
      </c>
      <c r="F152" s="66">
        <v>510</v>
      </c>
      <c r="O152" s="67"/>
      <c r="P152" s="35">
        <v>2</v>
      </c>
      <c r="R152" s="68">
        <f t="shared" si="25"/>
        <v>0</v>
      </c>
      <c r="S152" s="69"/>
      <c r="T152" s="68">
        <f t="shared" si="26"/>
        <v>0</v>
      </c>
    </row>
    <row r="153" spans="1:28">
      <c r="A153" s="65"/>
      <c r="B153" s="469">
        <v>4</v>
      </c>
      <c r="C153" s="5" t="s">
        <v>73</v>
      </c>
      <c r="D153" s="35" t="s">
        <v>77</v>
      </c>
      <c r="F153" s="66">
        <v>511</v>
      </c>
      <c r="O153" s="67"/>
      <c r="P153" s="35">
        <v>2</v>
      </c>
      <c r="R153" s="68">
        <f t="shared" si="25"/>
        <v>0</v>
      </c>
      <c r="S153" s="69"/>
      <c r="T153" s="68">
        <f t="shared" si="26"/>
        <v>0</v>
      </c>
    </row>
    <row r="154" spans="1:28">
      <c r="A154" s="65"/>
      <c r="B154" s="469">
        <v>5</v>
      </c>
      <c r="C154" s="5" t="s">
        <v>73</v>
      </c>
      <c r="D154" s="35" t="s">
        <v>78</v>
      </c>
      <c r="F154" s="66">
        <v>512</v>
      </c>
      <c r="O154" s="67"/>
      <c r="P154" s="35">
        <v>2</v>
      </c>
      <c r="R154" s="68">
        <f t="shared" si="25"/>
        <v>0</v>
      </c>
      <c r="S154" s="69"/>
      <c r="T154" s="68">
        <f t="shared" si="26"/>
        <v>0</v>
      </c>
    </row>
    <row r="155" spans="1:28">
      <c r="A155" s="65"/>
      <c r="B155" s="469">
        <v>6</v>
      </c>
      <c r="C155" s="5" t="s">
        <v>73</v>
      </c>
      <c r="D155" s="35" t="s">
        <v>79</v>
      </c>
      <c r="F155" s="66">
        <v>520</v>
      </c>
      <c r="O155" s="67"/>
      <c r="P155" s="35">
        <v>1</v>
      </c>
      <c r="R155" s="68">
        <f t="shared" si="25"/>
        <v>0</v>
      </c>
      <c r="S155" s="69"/>
      <c r="T155" s="68">
        <f t="shared" si="26"/>
        <v>0</v>
      </c>
    </row>
    <row r="156" spans="1:28">
      <c r="A156" s="65"/>
      <c r="B156" s="469">
        <v>7</v>
      </c>
      <c r="C156" s="5" t="s">
        <v>73</v>
      </c>
      <c r="D156" s="35" t="s">
        <v>80</v>
      </c>
      <c r="F156" s="66">
        <v>530</v>
      </c>
      <c r="O156" s="67"/>
      <c r="P156" s="35">
        <v>2</v>
      </c>
      <c r="R156" s="68">
        <f t="shared" si="25"/>
        <v>0</v>
      </c>
      <c r="S156" s="69"/>
      <c r="T156" s="68">
        <f t="shared" si="26"/>
        <v>0</v>
      </c>
    </row>
    <row r="157" spans="1:28">
      <c r="A157" s="65"/>
      <c r="B157" s="469">
        <v>8</v>
      </c>
      <c r="C157" s="5" t="s">
        <v>73</v>
      </c>
      <c r="D157" s="35" t="s">
        <v>81</v>
      </c>
      <c r="F157" s="66">
        <v>550</v>
      </c>
      <c r="O157" s="67"/>
      <c r="P157" s="35">
        <v>2</v>
      </c>
      <c r="R157" s="68">
        <f t="shared" si="25"/>
        <v>0</v>
      </c>
      <c r="S157" s="69"/>
      <c r="T157" s="68">
        <f t="shared" si="26"/>
        <v>0</v>
      </c>
    </row>
    <row r="158" spans="1:28">
      <c r="A158" s="65"/>
      <c r="B158" s="469">
        <v>9</v>
      </c>
      <c r="C158" s="5" t="s">
        <v>73</v>
      </c>
      <c r="D158" s="35" t="s">
        <v>82</v>
      </c>
      <c r="F158" s="66">
        <v>570</v>
      </c>
      <c r="O158" s="67"/>
      <c r="P158" s="35">
        <v>2</v>
      </c>
      <c r="R158" s="68">
        <f t="shared" ca="1" si="25"/>
        <v>5200</v>
      </c>
      <c r="S158" s="69"/>
      <c r="T158" s="68">
        <f t="shared" ca="1" si="26"/>
        <v>19.5</v>
      </c>
    </row>
    <row r="159" spans="1:28">
      <c r="A159" s="65"/>
      <c r="B159" s="469">
        <v>10</v>
      </c>
      <c r="C159" s="5" t="s">
        <v>73</v>
      </c>
      <c r="D159" s="35" t="s">
        <v>83</v>
      </c>
      <c r="F159" s="66">
        <v>615</v>
      </c>
      <c r="O159" s="67"/>
      <c r="P159" s="35">
        <v>2</v>
      </c>
      <c r="R159" s="68">
        <f t="shared" ca="1" si="25"/>
        <v>66.3</v>
      </c>
      <c r="S159" s="69"/>
      <c r="T159" s="68">
        <f t="shared" ca="1" si="26"/>
        <v>2.6</v>
      </c>
    </row>
    <row r="160" spans="1:28">
      <c r="A160" s="65"/>
      <c r="B160" s="469">
        <v>11</v>
      </c>
      <c r="C160" s="5" t="s">
        <v>73</v>
      </c>
      <c r="D160" s="35" t="s">
        <v>85</v>
      </c>
      <c r="F160" s="66">
        <v>616</v>
      </c>
      <c r="O160" s="67"/>
      <c r="P160" s="35">
        <v>2</v>
      </c>
      <c r="R160" s="68">
        <f t="shared" ca="1" si="25"/>
        <v>1641.4199999999998</v>
      </c>
      <c r="S160" s="69"/>
      <c r="T160" s="68">
        <f t="shared" ca="1" si="26"/>
        <v>10.680000000000001</v>
      </c>
    </row>
    <row r="161" spans="1:20">
      <c r="A161" s="65"/>
      <c r="B161" s="469">
        <v>12</v>
      </c>
      <c r="C161" s="5" t="s">
        <v>73</v>
      </c>
      <c r="D161" s="35" t="s">
        <v>86</v>
      </c>
      <c r="F161" s="66">
        <v>617</v>
      </c>
      <c r="O161" s="67"/>
      <c r="P161" s="35">
        <v>2</v>
      </c>
      <c r="R161" s="68">
        <f t="shared" ca="1" si="25"/>
        <v>2942.2</v>
      </c>
      <c r="S161" s="69"/>
      <c r="T161" s="68">
        <f t="shared" ca="1" si="26"/>
        <v>40</v>
      </c>
    </row>
    <row r="162" spans="1:20">
      <c r="A162" s="65"/>
      <c r="B162" s="469">
        <v>13</v>
      </c>
      <c r="C162" s="5" t="s">
        <v>73</v>
      </c>
      <c r="D162" s="35" t="s">
        <v>159</v>
      </c>
      <c r="F162" s="66">
        <v>620</v>
      </c>
      <c r="O162" s="67"/>
      <c r="P162" s="35">
        <v>2</v>
      </c>
      <c r="R162" s="68">
        <f t="shared" ca="1" si="25"/>
        <v>793.68</v>
      </c>
      <c r="S162" s="69"/>
      <c r="T162" s="68">
        <f t="shared" ca="1" si="26"/>
        <v>77.279999999999987</v>
      </c>
    </row>
    <row r="163" spans="1:20">
      <c r="A163" s="65"/>
      <c r="B163" s="469">
        <v>14</v>
      </c>
      <c r="C163" s="5" t="s">
        <v>73</v>
      </c>
      <c r="D163" s="35" t="s">
        <v>88</v>
      </c>
      <c r="F163" s="66">
        <v>650</v>
      </c>
      <c r="O163" s="67"/>
      <c r="P163" s="35">
        <v>1</v>
      </c>
      <c r="R163" s="68">
        <f t="shared" ca="1" si="25"/>
        <v>184.44</v>
      </c>
      <c r="S163" s="69"/>
      <c r="T163" s="68">
        <f t="shared" ca="1" si="26"/>
        <v>10.15</v>
      </c>
    </row>
    <row r="164" spans="1:20">
      <c r="A164" s="65"/>
      <c r="B164" s="469">
        <v>15</v>
      </c>
      <c r="C164" s="5" t="s">
        <v>73</v>
      </c>
      <c r="D164" s="35" t="s">
        <v>89</v>
      </c>
      <c r="F164" s="66">
        <v>651</v>
      </c>
      <c r="O164" s="67"/>
      <c r="P164" s="35">
        <v>1</v>
      </c>
      <c r="R164" s="68">
        <f t="shared" si="25"/>
        <v>0</v>
      </c>
      <c r="S164" s="69"/>
      <c r="T164" s="68">
        <f t="shared" si="26"/>
        <v>0</v>
      </c>
    </row>
    <row r="165" spans="1:20">
      <c r="A165" s="65"/>
      <c r="B165" s="469">
        <v>16</v>
      </c>
      <c r="C165" s="5" t="s">
        <v>73</v>
      </c>
      <c r="D165" s="35" t="s">
        <v>90</v>
      </c>
      <c r="F165" s="66">
        <v>652</v>
      </c>
      <c r="O165" s="67"/>
      <c r="P165" s="35">
        <v>1</v>
      </c>
      <c r="R165" s="68">
        <f t="shared" si="25"/>
        <v>0</v>
      </c>
      <c r="S165" s="69"/>
      <c r="T165" s="68">
        <f t="shared" si="26"/>
        <v>0</v>
      </c>
    </row>
    <row r="166" spans="1:20">
      <c r="A166" s="65"/>
      <c r="B166" s="469">
        <v>17</v>
      </c>
      <c r="C166" s="5" t="s">
        <v>73</v>
      </c>
      <c r="D166" s="35" t="s">
        <v>91</v>
      </c>
      <c r="F166" s="66">
        <v>654</v>
      </c>
      <c r="O166" s="67"/>
      <c r="P166" s="35">
        <v>1</v>
      </c>
      <c r="R166" s="68">
        <f t="shared" si="25"/>
        <v>0</v>
      </c>
      <c r="S166" s="69"/>
      <c r="T166" s="68">
        <f t="shared" si="26"/>
        <v>0</v>
      </c>
    </row>
    <row r="167" spans="1:20">
      <c r="A167" s="65"/>
      <c r="B167" s="469">
        <v>18</v>
      </c>
      <c r="C167" s="5" t="s">
        <v>73</v>
      </c>
      <c r="D167" s="35" t="s">
        <v>92</v>
      </c>
      <c r="F167" s="66">
        <v>675</v>
      </c>
      <c r="O167" s="67"/>
      <c r="P167" s="35">
        <v>1</v>
      </c>
      <c r="R167" s="68">
        <f t="shared" si="25"/>
        <v>0</v>
      </c>
      <c r="S167" s="69"/>
      <c r="T167" s="68">
        <f t="shared" si="26"/>
        <v>0</v>
      </c>
    </row>
    <row r="168" spans="1:20">
      <c r="A168" s="65"/>
      <c r="B168" s="469">
        <v>19</v>
      </c>
      <c r="C168" s="5" t="s">
        <v>73</v>
      </c>
      <c r="D168" s="35" t="s">
        <v>93</v>
      </c>
      <c r="F168" s="66">
        <v>676</v>
      </c>
      <c r="O168" s="67"/>
      <c r="P168" s="35">
        <v>1</v>
      </c>
      <c r="R168" s="68">
        <f t="shared" si="25"/>
        <v>0</v>
      </c>
      <c r="S168" s="69"/>
      <c r="T168" s="68">
        <f t="shared" si="26"/>
        <v>0</v>
      </c>
    </row>
    <row r="169" spans="1:20">
      <c r="A169" s="65"/>
      <c r="B169" s="469">
        <v>20</v>
      </c>
      <c r="C169" s="5" t="s">
        <v>73</v>
      </c>
      <c r="D169" s="35" t="s">
        <v>94</v>
      </c>
      <c r="F169" s="66">
        <v>680</v>
      </c>
      <c r="O169" s="67"/>
      <c r="P169" s="35">
        <v>1</v>
      </c>
      <c r="R169" s="68">
        <f t="shared" si="25"/>
        <v>0</v>
      </c>
      <c r="S169" s="69"/>
      <c r="T169" s="68">
        <f t="shared" si="26"/>
        <v>0</v>
      </c>
    </row>
    <row r="170" spans="1:20">
      <c r="A170" s="65"/>
      <c r="B170" s="469">
        <v>21</v>
      </c>
      <c r="C170" s="5" t="s">
        <v>73</v>
      </c>
      <c r="D170" s="35" t="s">
        <v>96</v>
      </c>
      <c r="F170" s="66">
        <v>681</v>
      </c>
      <c r="O170" s="67"/>
      <c r="P170" s="35">
        <v>1</v>
      </c>
      <c r="R170" s="68">
        <f t="shared" si="25"/>
        <v>0</v>
      </c>
      <c r="S170" s="69"/>
      <c r="T170" s="68">
        <f t="shared" si="26"/>
        <v>0</v>
      </c>
    </row>
    <row r="171" spans="1:20">
      <c r="A171" s="65"/>
      <c r="B171" s="469">
        <v>22</v>
      </c>
      <c r="C171" s="5" t="s">
        <v>73</v>
      </c>
      <c r="D171" s="35" t="s">
        <v>97</v>
      </c>
      <c r="F171" s="66">
        <v>690</v>
      </c>
      <c r="O171" s="67"/>
      <c r="P171" s="35">
        <v>1</v>
      </c>
      <c r="R171" s="68">
        <f t="shared" ca="1" si="25"/>
        <v>99.32</v>
      </c>
      <c r="S171" s="69"/>
      <c r="T171" s="68">
        <f t="shared" ca="1" si="26"/>
        <v>5.2</v>
      </c>
    </row>
    <row r="172" spans="1:20">
      <c r="A172" s="65"/>
      <c r="B172" s="469">
        <v>23</v>
      </c>
      <c r="C172" s="5" t="s">
        <v>73</v>
      </c>
      <c r="D172" s="35" t="s">
        <v>98</v>
      </c>
      <c r="F172" s="66">
        <v>700</v>
      </c>
      <c r="O172" s="67"/>
      <c r="P172" s="35">
        <v>1</v>
      </c>
      <c r="R172" s="68">
        <f t="shared" ca="1" si="25"/>
        <v>627.29999999999995</v>
      </c>
      <c r="S172" s="69"/>
      <c r="T172" s="68">
        <f t="shared" ca="1" si="26"/>
        <v>55.08</v>
      </c>
    </row>
    <row r="173" spans="1:20">
      <c r="A173" s="65"/>
      <c r="B173" s="469">
        <v>24</v>
      </c>
      <c r="C173" s="5" t="s">
        <v>73</v>
      </c>
      <c r="D173" s="35" t="s">
        <v>99</v>
      </c>
      <c r="F173" s="66">
        <v>705</v>
      </c>
      <c r="O173" s="67"/>
      <c r="P173" s="35">
        <v>3</v>
      </c>
      <c r="R173" s="68">
        <f t="shared" si="25"/>
        <v>0</v>
      </c>
      <c r="S173" s="69"/>
      <c r="T173" s="68">
        <f t="shared" si="26"/>
        <v>0</v>
      </c>
    </row>
    <row r="174" spans="1:20">
      <c r="A174" s="65"/>
      <c r="B174" s="469">
        <v>25</v>
      </c>
      <c r="C174" s="5" t="s">
        <v>73</v>
      </c>
      <c r="D174" s="35" t="s">
        <v>100</v>
      </c>
      <c r="F174" s="66">
        <v>706</v>
      </c>
      <c r="O174" s="67"/>
      <c r="P174" s="35">
        <v>3</v>
      </c>
      <c r="R174" s="68">
        <f t="shared" si="25"/>
        <v>0</v>
      </c>
      <c r="S174" s="69"/>
      <c r="T174" s="68">
        <f t="shared" si="26"/>
        <v>0</v>
      </c>
    </row>
    <row r="175" spans="1:20">
      <c r="A175" s="65"/>
      <c r="B175" s="469">
        <v>26</v>
      </c>
      <c r="C175" s="5" t="s">
        <v>73</v>
      </c>
      <c r="D175" s="35" t="s">
        <v>101</v>
      </c>
      <c r="F175" s="66">
        <v>725</v>
      </c>
      <c r="O175" s="67"/>
      <c r="P175" s="35">
        <v>3</v>
      </c>
      <c r="R175" s="68">
        <f t="shared" si="25"/>
        <v>0</v>
      </c>
      <c r="S175" s="69"/>
      <c r="T175" s="68">
        <f t="shared" si="26"/>
        <v>0</v>
      </c>
    </row>
    <row r="176" spans="1:20">
      <c r="A176" s="65"/>
      <c r="B176" s="469">
        <v>27</v>
      </c>
      <c r="C176" s="5" t="s">
        <v>73</v>
      </c>
      <c r="D176" s="35" t="s">
        <v>102</v>
      </c>
      <c r="F176" s="66">
        <v>726</v>
      </c>
      <c r="O176" s="67"/>
      <c r="P176" s="35">
        <v>3</v>
      </c>
      <c r="R176" s="68">
        <f t="shared" si="25"/>
        <v>0</v>
      </c>
      <c r="S176" s="69"/>
      <c r="T176" s="68">
        <f t="shared" si="26"/>
        <v>0</v>
      </c>
    </row>
    <row r="177" spans="1:20">
      <c r="A177" s="65"/>
      <c r="B177" s="469">
        <v>28</v>
      </c>
      <c r="C177" s="5" t="s">
        <v>73</v>
      </c>
      <c r="D177" s="35" t="s">
        <v>103</v>
      </c>
      <c r="F177" s="66">
        <v>750</v>
      </c>
      <c r="O177" s="67"/>
      <c r="P177" s="35">
        <v>3</v>
      </c>
      <c r="R177" s="68">
        <f t="shared" si="25"/>
        <v>0</v>
      </c>
      <c r="S177" s="69"/>
      <c r="T177" s="68">
        <f t="shared" si="26"/>
        <v>0</v>
      </c>
    </row>
    <row r="178" spans="1:20">
      <c r="A178" s="65"/>
      <c r="B178" s="469">
        <v>29</v>
      </c>
      <c r="C178" s="5" t="s">
        <v>73</v>
      </c>
      <c r="D178" s="35" t="s">
        <v>104</v>
      </c>
      <c r="F178" s="66">
        <v>751</v>
      </c>
      <c r="O178" s="67"/>
      <c r="P178" s="35">
        <v>3</v>
      </c>
      <c r="R178" s="68">
        <f t="shared" si="25"/>
        <v>0</v>
      </c>
      <c r="S178" s="69"/>
      <c r="T178" s="68">
        <f t="shared" si="26"/>
        <v>0</v>
      </c>
    </row>
    <row r="179" spans="1:20">
      <c r="A179" s="65"/>
      <c r="B179" s="469">
        <v>30</v>
      </c>
      <c r="C179" s="5" t="s">
        <v>73</v>
      </c>
      <c r="D179" s="35" t="s">
        <v>105</v>
      </c>
      <c r="F179" s="66">
        <v>752</v>
      </c>
      <c r="O179" s="67"/>
      <c r="P179" s="35">
        <v>3</v>
      </c>
      <c r="R179" s="68">
        <f t="shared" si="25"/>
        <v>0</v>
      </c>
      <c r="S179" s="69"/>
      <c r="T179" s="68">
        <f t="shared" si="26"/>
        <v>0</v>
      </c>
    </row>
    <row r="180" spans="1:20">
      <c r="A180" s="65"/>
      <c r="B180" s="469">
        <v>31</v>
      </c>
      <c r="C180" s="5" t="s">
        <v>73</v>
      </c>
      <c r="D180" s="601" t="s">
        <v>296</v>
      </c>
      <c r="F180" s="66">
        <v>753</v>
      </c>
      <c r="O180" s="67"/>
      <c r="P180" s="35">
        <v>3</v>
      </c>
      <c r="R180" s="68">
        <f t="shared" si="25"/>
        <v>0</v>
      </c>
      <c r="S180" s="69"/>
      <c r="T180" s="68">
        <f t="shared" si="26"/>
        <v>0</v>
      </c>
    </row>
    <row r="181" spans="1:20">
      <c r="A181" s="65"/>
      <c r="B181" s="469">
        <v>32</v>
      </c>
      <c r="C181" s="5" t="s">
        <v>73</v>
      </c>
      <c r="D181" s="35" t="s">
        <v>107</v>
      </c>
      <c r="F181" s="66">
        <v>770</v>
      </c>
      <c r="O181" s="67"/>
      <c r="P181" s="35">
        <v>3</v>
      </c>
      <c r="R181" s="68">
        <f t="shared" si="25"/>
        <v>0</v>
      </c>
      <c r="S181" s="69"/>
      <c r="T181" s="68">
        <f t="shared" si="26"/>
        <v>0</v>
      </c>
    </row>
    <row r="182" spans="1:20">
      <c r="A182" s="65"/>
      <c r="B182" s="469">
        <v>33</v>
      </c>
      <c r="C182" s="5" t="s">
        <v>73</v>
      </c>
      <c r="D182" s="35" t="s">
        <v>108</v>
      </c>
      <c r="F182" s="66">
        <v>790</v>
      </c>
      <c r="O182" s="67"/>
      <c r="P182" s="35">
        <v>3</v>
      </c>
      <c r="R182" s="68">
        <f t="shared" ref="R182:R205" si="27">SUMIF($H$12:$H$143,$F182,R$12:R$143)</f>
        <v>0</v>
      </c>
      <c r="S182" s="69"/>
      <c r="T182" s="68">
        <f t="shared" ref="T182:T205" si="28">SUMIF($H$12:$H$143,$F182,T$12:T$143)</f>
        <v>0</v>
      </c>
    </row>
    <row r="183" spans="1:20">
      <c r="A183" s="65"/>
      <c r="B183" s="469">
        <v>34</v>
      </c>
      <c r="C183" s="5" t="s">
        <v>73</v>
      </c>
      <c r="D183" s="35" t="s">
        <v>109</v>
      </c>
      <c r="F183" s="66">
        <v>791</v>
      </c>
      <c r="O183" s="67"/>
      <c r="P183" s="35">
        <v>3</v>
      </c>
      <c r="R183" s="68">
        <f t="shared" si="27"/>
        <v>0</v>
      </c>
      <c r="S183" s="69"/>
      <c r="T183" s="68">
        <f t="shared" si="28"/>
        <v>0</v>
      </c>
    </row>
    <row r="184" spans="1:20">
      <c r="A184" s="65"/>
      <c r="B184" s="469">
        <v>35</v>
      </c>
      <c r="C184" s="5" t="s">
        <v>73</v>
      </c>
      <c r="D184" s="35" t="s">
        <v>110</v>
      </c>
      <c r="F184" s="66">
        <v>810</v>
      </c>
      <c r="O184" s="67"/>
      <c r="P184" s="35">
        <v>3</v>
      </c>
      <c r="R184" s="68">
        <f t="shared" si="27"/>
        <v>0</v>
      </c>
      <c r="S184" s="69"/>
      <c r="T184" s="68">
        <f t="shared" si="28"/>
        <v>0</v>
      </c>
    </row>
    <row r="185" spans="1:20">
      <c r="A185" s="65"/>
      <c r="B185" s="469">
        <v>36</v>
      </c>
      <c r="C185" s="5" t="s">
        <v>73</v>
      </c>
      <c r="D185" s="35" t="s">
        <v>111</v>
      </c>
      <c r="F185" s="66">
        <v>815</v>
      </c>
      <c r="O185" s="67"/>
      <c r="P185" s="35">
        <v>3</v>
      </c>
      <c r="R185" s="68">
        <f t="shared" si="27"/>
        <v>0</v>
      </c>
      <c r="S185" s="69"/>
      <c r="T185" s="68">
        <f t="shared" si="28"/>
        <v>0</v>
      </c>
    </row>
    <row r="186" spans="1:20">
      <c r="A186" s="65"/>
      <c r="B186" s="469">
        <v>37</v>
      </c>
      <c r="C186" s="5" t="s">
        <v>73</v>
      </c>
      <c r="D186" s="35" t="s">
        <v>112</v>
      </c>
      <c r="F186" s="66">
        <v>820</v>
      </c>
      <c r="O186" s="67"/>
      <c r="P186" s="35">
        <v>2</v>
      </c>
      <c r="R186" s="68">
        <f t="shared" si="27"/>
        <v>0</v>
      </c>
      <c r="S186" s="69"/>
      <c r="T186" s="68">
        <f t="shared" si="28"/>
        <v>0</v>
      </c>
    </row>
    <row r="187" spans="1:20">
      <c r="A187" s="65"/>
      <c r="B187" s="469">
        <v>38</v>
      </c>
      <c r="C187" s="5" t="s">
        <v>73</v>
      </c>
      <c r="D187" s="35" t="s">
        <v>113</v>
      </c>
      <c r="F187" s="66">
        <v>821</v>
      </c>
      <c r="O187" s="67"/>
      <c r="P187" s="35">
        <v>3</v>
      </c>
      <c r="R187" s="68">
        <f t="shared" si="27"/>
        <v>0</v>
      </c>
      <c r="S187" s="69"/>
      <c r="T187" s="68">
        <f t="shared" si="28"/>
        <v>0</v>
      </c>
    </row>
    <row r="188" spans="1:20">
      <c r="A188" s="65"/>
      <c r="B188" s="469">
        <v>39</v>
      </c>
      <c r="C188" s="5" t="s">
        <v>73</v>
      </c>
      <c r="D188" s="35" t="s">
        <v>114</v>
      </c>
      <c r="F188" s="66">
        <v>835</v>
      </c>
      <c r="O188" s="67"/>
      <c r="P188" s="35">
        <v>3</v>
      </c>
      <c r="R188" s="68">
        <f t="shared" si="27"/>
        <v>0</v>
      </c>
      <c r="S188" s="69"/>
      <c r="T188" s="68">
        <f t="shared" si="28"/>
        <v>0</v>
      </c>
    </row>
    <row r="189" spans="1:20">
      <c r="A189" s="65"/>
      <c r="B189" s="469">
        <v>40</v>
      </c>
      <c r="C189" s="5" t="s">
        <v>73</v>
      </c>
      <c r="D189" s="35" t="s">
        <v>115</v>
      </c>
      <c r="F189" s="66">
        <v>845</v>
      </c>
      <c r="O189" s="67"/>
      <c r="P189" s="35">
        <v>2</v>
      </c>
      <c r="R189" s="68">
        <f t="shared" ca="1" si="27"/>
        <v>100</v>
      </c>
      <c r="S189" s="69"/>
      <c r="T189" s="68">
        <f t="shared" ca="1" si="28"/>
        <v>0</v>
      </c>
    </row>
    <row r="190" spans="1:20">
      <c r="A190" s="65"/>
      <c r="B190" s="469">
        <v>41</v>
      </c>
      <c r="C190" s="5" t="s">
        <v>73</v>
      </c>
      <c r="D190" s="35" t="s">
        <v>117</v>
      </c>
      <c r="F190" s="66">
        <v>855</v>
      </c>
      <c r="O190" s="67"/>
      <c r="P190" s="35">
        <v>3</v>
      </c>
      <c r="R190" s="68">
        <f t="shared" si="27"/>
        <v>0</v>
      </c>
      <c r="S190" s="69"/>
      <c r="T190" s="68">
        <f t="shared" si="28"/>
        <v>0</v>
      </c>
    </row>
    <row r="191" spans="1:20">
      <c r="A191" s="65"/>
      <c r="B191" s="469">
        <v>42</v>
      </c>
      <c r="C191" s="5" t="s">
        <v>73</v>
      </c>
      <c r="D191" s="35" t="s">
        <v>118</v>
      </c>
      <c r="F191" s="66">
        <v>856</v>
      </c>
      <c r="O191" s="67"/>
      <c r="P191" s="35">
        <v>3</v>
      </c>
      <c r="R191" s="68">
        <f t="shared" si="27"/>
        <v>0</v>
      </c>
      <c r="S191" s="69"/>
      <c r="T191" s="68">
        <f t="shared" si="28"/>
        <v>0</v>
      </c>
    </row>
    <row r="192" spans="1:20">
      <c r="A192" s="65"/>
      <c r="B192" s="469">
        <v>43</v>
      </c>
      <c r="C192" s="5" t="s">
        <v>73</v>
      </c>
      <c r="D192" s="35" t="s">
        <v>273</v>
      </c>
      <c r="F192" s="66">
        <v>857</v>
      </c>
      <c r="O192" s="67"/>
      <c r="P192" s="35">
        <v>3</v>
      </c>
      <c r="R192" s="68">
        <f t="shared" si="27"/>
        <v>0</v>
      </c>
      <c r="S192" s="69"/>
      <c r="T192" s="68">
        <f t="shared" si="28"/>
        <v>0</v>
      </c>
    </row>
    <row r="193" spans="1:28">
      <c r="A193" s="65"/>
      <c r="B193" s="469">
        <v>44</v>
      </c>
      <c r="C193" s="5" t="s">
        <v>73</v>
      </c>
      <c r="D193" s="35" t="s">
        <v>119</v>
      </c>
      <c r="F193" s="66">
        <v>858</v>
      </c>
      <c r="O193" s="67"/>
      <c r="P193" s="35">
        <v>3</v>
      </c>
      <c r="R193" s="68">
        <f t="shared" si="27"/>
        <v>0</v>
      </c>
      <c r="S193" s="69"/>
      <c r="T193" s="68">
        <f t="shared" si="28"/>
        <v>0</v>
      </c>
    </row>
    <row r="194" spans="1:28">
      <c r="A194" s="65"/>
      <c r="B194" s="469">
        <v>45</v>
      </c>
      <c r="C194" s="5" t="s">
        <v>73</v>
      </c>
      <c r="D194" s="35" t="s">
        <v>120</v>
      </c>
      <c r="F194" s="66">
        <v>865</v>
      </c>
      <c r="O194" s="67"/>
      <c r="P194" s="35">
        <v>3</v>
      </c>
      <c r="R194" s="68">
        <f t="shared" si="27"/>
        <v>0</v>
      </c>
      <c r="S194" s="69"/>
      <c r="T194" s="68">
        <f t="shared" si="28"/>
        <v>0</v>
      </c>
    </row>
    <row r="195" spans="1:28">
      <c r="A195" s="65"/>
      <c r="B195" s="469">
        <v>46</v>
      </c>
      <c r="C195" s="5" t="s">
        <v>73</v>
      </c>
      <c r="D195" s="35" t="s">
        <v>121</v>
      </c>
      <c r="F195" s="66">
        <v>870</v>
      </c>
      <c r="O195" s="67"/>
      <c r="P195" s="35">
        <v>4</v>
      </c>
      <c r="R195" s="68">
        <f t="shared" si="27"/>
        <v>0</v>
      </c>
      <c r="S195" s="69"/>
      <c r="T195" s="68">
        <f t="shared" si="28"/>
        <v>0</v>
      </c>
    </row>
    <row r="196" spans="1:28">
      <c r="A196" s="65"/>
      <c r="B196" s="469">
        <v>47</v>
      </c>
      <c r="C196" s="5" t="s">
        <v>73</v>
      </c>
      <c r="D196" s="35" t="s">
        <v>122</v>
      </c>
      <c r="F196" s="66">
        <v>875</v>
      </c>
      <c r="O196" s="67"/>
      <c r="P196" s="35">
        <v>1</v>
      </c>
      <c r="R196" s="68">
        <f t="shared" ca="1" si="27"/>
        <v>71.977499999999992</v>
      </c>
      <c r="S196" s="69"/>
      <c r="T196" s="68">
        <f t="shared" ca="1" si="28"/>
        <v>0</v>
      </c>
    </row>
    <row r="197" spans="1:28">
      <c r="A197" s="65"/>
      <c r="B197" s="469">
        <v>48</v>
      </c>
      <c r="C197" s="5" t="s">
        <v>73</v>
      </c>
      <c r="D197" s="35" t="s">
        <v>123</v>
      </c>
      <c r="F197" s="66">
        <v>880</v>
      </c>
      <c r="O197" s="67"/>
      <c r="P197" s="35">
        <v>3</v>
      </c>
      <c r="R197" s="68">
        <f t="shared" si="27"/>
        <v>0</v>
      </c>
      <c r="S197" s="69"/>
      <c r="T197" s="68">
        <f t="shared" si="28"/>
        <v>0</v>
      </c>
    </row>
    <row r="198" spans="1:28">
      <c r="A198" s="65"/>
      <c r="B198" s="469">
        <v>49</v>
      </c>
      <c r="C198" s="5" t="s">
        <v>73</v>
      </c>
      <c r="D198" s="35" t="s">
        <v>124</v>
      </c>
      <c r="F198" s="66">
        <v>885</v>
      </c>
      <c r="O198" s="67"/>
      <c r="P198" s="35">
        <v>4</v>
      </c>
      <c r="R198" s="68">
        <f t="shared" si="27"/>
        <v>0</v>
      </c>
      <c r="S198" s="69"/>
      <c r="T198" s="68">
        <f t="shared" si="28"/>
        <v>0</v>
      </c>
    </row>
    <row r="199" spans="1:28">
      <c r="A199" s="65"/>
      <c r="B199" s="469">
        <v>50</v>
      </c>
      <c r="C199" s="5" t="s">
        <v>73</v>
      </c>
      <c r="D199" s="35" t="s">
        <v>68</v>
      </c>
      <c r="F199" s="66">
        <v>900</v>
      </c>
      <c r="O199" s="67"/>
      <c r="P199" s="35">
        <v>3</v>
      </c>
      <c r="R199" s="68">
        <f t="shared" ca="1" si="27"/>
        <v>0</v>
      </c>
      <c r="S199" s="69"/>
      <c r="T199" s="68">
        <f t="shared" ca="1" si="28"/>
        <v>28.25</v>
      </c>
    </row>
    <row r="200" spans="1:28">
      <c r="A200" s="65"/>
      <c r="B200" s="469">
        <v>51</v>
      </c>
      <c r="C200" s="5" t="s">
        <v>73</v>
      </c>
      <c r="D200" s="35" t="s">
        <v>126</v>
      </c>
      <c r="F200" s="66">
        <v>901</v>
      </c>
      <c r="O200" s="67"/>
      <c r="P200" s="35">
        <v>1</v>
      </c>
      <c r="R200" s="68">
        <f t="shared" si="27"/>
        <v>0</v>
      </c>
      <c r="S200" s="69"/>
      <c r="T200" s="68">
        <f t="shared" si="28"/>
        <v>0</v>
      </c>
    </row>
    <row r="201" spans="1:28">
      <c r="A201" s="65"/>
      <c r="B201" s="469">
        <v>52</v>
      </c>
      <c r="C201" s="5" t="s">
        <v>73</v>
      </c>
      <c r="D201" s="35" t="s">
        <v>127</v>
      </c>
      <c r="F201" s="66">
        <v>902</v>
      </c>
      <c r="O201" s="67"/>
      <c r="P201" s="35">
        <v>3</v>
      </c>
      <c r="R201" s="68">
        <f t="shared" si="27"/>
        <v>0</v>
      </c>
      <c r="S201" s="69"/>
      <c r="T201" s="68">
        <f t="shared" si="28"/>
        <v>0</v>
      </c>
    </row>
    <row r="202" spans="1:28">
      <c r="A202" s="65"/>
      <c r="B202" s="469">
        <v>53</v>
      </c>
      <c r="C202" s="5" t="s">
        <v>73</v>
      </c>
      <c r="D202" s="70" t="s">
        <v>128</v>
      </c>
      <c r="F202" s="66">
        <v>960</v>
      </c>
      <c r="O202" s="67"/>
      <c r="P202" s="35">
        <v>4</v>
      </c>
      <c r="R202" s="68">
        <f t="shared" si="27"/>
        <v>0</v>
      </c>
      <c r="S202" s="69"/>
      <c r="T202" s="68">
        <f t="shared" si="28"/>
        <v>0</v>
      </c>
    </row>
    <row r="203" spans="1:28">
      <c r="A203" s="65"/>
      <c r="B203" s="469">
        <v>54</v>
      </c>
      <c r="C203" s="5" t="s">
        <v>73</v>
      </c>
      <c r="D203" s="70" t="s">
        <v>129</v>
      </c>
      <c r="F203" s="66">
        <v>961</v>
      </c>
      <c r="O203" s="67"/>
      <c r="P203" s="35">
        <v>3</v>
      </c>
      <c r="R203" s="68">
        <f t="shared" si="27"/>
        <v>0</v>
      </c>
      <c r="S203" s="69"/>
      <c r="T203" s="68">
        <f t="shared" si="28"/>
        <v>0</v>
      </c>
    </row>
    <row r="204" spans="1:28">
      <c r="A204" s="65"/>
      <c r="B204" s="469">
        <v>55</v>
      </c>
      <c r="C204" s="5" t="s">
        <v>73</v>
      </c>
      <c r="D204" s="70" t="s">
        <v>130</v>
      </c>
      <c r="F204" s="66">
        <v>962</v>
      </c>
      <c r="O204" s="67"/>
      <c r="P204" s="35">
        <v>1</v>
      </c>
      <c r="R204" s="68">
        <f t="shared" ca="1" si="27"/>
        <v>625</v>
      </c>
      <c r="S204" s="69"/>
      <c r="T204" s="68">
        <f t="shared" ca="1" si="28"/>
        <v>0</v>
      </c>
    </row>
    <row r="205" spans="1:28">
      <c r="A205" s="65"/>
      <c r="B205" s="469">
        <v>56</v>
      </c>
      <c r="C205" s="5" t="s">
        <v>73</v>
      </c>
      <c r="D205" s="70" t="s">
        <v>131</v>
      </c>
      <c r="F205" s="66">
        <v>970</v>
      </c>
      <c r="O205" s="67"/>
      <c r="P205" s="35">
        <v>4</v>
      </c>
      <c r="R205" s="68">
        <f t="shared" si="27"/>
        <v>0</v>
      </c>
      <c r="S205" s="69"/>
      <c r="T205" s="68">
        <f t="shared" si="28"/>
        <v>0</v>
      </c>
    </row>
    <row r="206" spans="1:28" ht="13.8" thickBot="1">
      <c r="A206" s="71"/>
      <c r="B206" s="72"/>
      <c r="C206" s="73"/>
      <c r="D206" s="74"/>
      <c r="E206" s="75"/>
      <c r="F206" s="76"/>
      <c r="G206" s="75"/>
      <c r="H206" s="75"/>
      <c r="I206" s="75"/>
      <c r="J206" s="75"/>
      <c r="K206" s="75"/>
      <c r="L206" s="75"/>
      <c r="M206" s="75"/>
      <c r="N206" s="75"/>
      <c r="O206" s="77"/>
      <c r="P206" s="75"/>
      <c r="Q206" s="75"/>
      <c r="R206" s="78"/>
      <c r="S206" s="79"/>
      <c r="T206" s="78"/>
      <c r="U206" s="75"/>
      <c r="V206" s="75"/>
      <c r="W206" s="75"/>
      <c r="X206" s="75"/>
      <c r="Y206" s="75"/>
      <c r="Z206" s="75"/>
      <c r="AA206" s="75"/>
      <c r="AB206" s="75"/>
    </row>
    <row r="207" spans="1:28" ht="13.8" thickTop="1">
      <c r="A207" s="65"/>
      <c r="B207" s="80"/>
      <c r="C207" s="5" t="s">
        <v>73</v>
      </c>
      <c r="D207" s="81"/>
      <c r="F207" s="82" t="s">
        <v>160</v>
      </c>
      <c r="G207" s="83"/>
      <c r="H207" s="35">
        <v>1</v>
      </c>
      <c r="O207" s="67"/>
      <c r="R207" s="68">
        <f ca="1">SUMIF($P150:$P205,1,R150:R205)</f>
        <v>1788.9034999999999</v>
      </c>
      <c r="T207" s="68">
        <f ca="1">SUMIF($P150:$P205,1,T150:T205)</f>
        <v>76.471666666666664</v>
      </c>
    </row>
    <row r="208" spans="1:28">
      <c r="A208" s="65"/>
      <c r="B208" s="80"/>
      <c r="C208" s="5" t="s">
        <v>73</v>
      </c>
      <c r="D208" s="81"/>
      <c r="F208" s="82" t="s">
        <v>161</v>
      </c>
      <c r="G208" s="83"/>
      <c r="H208" s="35">
        <v>2</v>
      </c>
      <c r="O208" s="67"/>
      <c r="R208" s="68">
        <f ca="1">SUMIF($P150:$P205,2,R150:R205)</f>
        <v>10743.6</v>
      </c>
      <c r="T208" s="68">
        <f ca="1">SUMIF($P150:$P205,2,T150:T205)</f>
        <v>150.06</v>
      </c>
    </row>
    <row r="209" spans="1:28">
      <c r="A209" s="65"/>
      <c r="B209" s="80"/>
      <c r="C209" s="5" t="s">
        <v>73</v>
      </c>
      <c r="D209" s="81"/>
      <c r="F209" s="82" t="s">
        <v>162</v>
      </c>
      <c r="G209" s="83"/>
      <c r="H209" s="35">
        <v>2</v>
      </c>
      <c r="O209" s="67"/>
      <c r="R209" s="68">
        <f ca="1">SUMIF($P150:$P205,3,R150:R205)</f>
        <v>0</v>
      </c>
      <c r="T209" s="68">
        <f ca="1">SUMIF($P150:$P205,3,T150:T205)</f>
        <v>28.25</v>
      </c>
    </row>
    <row r="210" spans="1:28">
      <c r="A210" s="65"/>
      <c r="B210" s="80"/>
      <c r="C210" s="5" t="s">
        <v>73</v>
      </c>
      <c r="D210" s="81"/>
      <c r="F210" s="82" t="s">
        <v>163</v>
      </c>
      <c r="G210" s="83"/>
      <c r="H210" s="35">
        <v>3</v>
      </c>
      <c r="O210" s="67"/>
      <c r="R210" s="68">
        <f>SUMIF($P150:$P205,4,R150:R205)</f>
        <v>0</v>
      </c>
      <c r="T210" s="68">
        <f>SUMIF($P150:$P205,4,T150:T205)</f>
        <v>0</v>
      </c>
    </row>
    <row r="211" spans="1:28" ht="13.8" thickBot="1">
      <c r="A211" s="71"/>
      <c r="B211" s="84"/>
      <c r="C211" s="73" t="s">
        <v>73</v>
      </c>
      <c r="D211" s="85"/>
      <c r="E211" s="75"/>
      <c r="F211" s="86" t="s">
        <v>164</v>
      </c>
      <c r="G211" s="87"/>
      <c r="H211" s="88"/>
      <c r="I211" s="88"/>
      <c r="J211" s="88"/>
      <c r="K211" s="88"/>
      <c r="L211" s="88"/>
      <c r="M211" s="88"/>
      <c r="N211" s="88"/>
      <c r="O211" s="89"/>
      <c r="P211" s="88"/>
      <c r="Q211" s="88"/>
      <c r="R211" s="90">
        <f ca="1">SUM(R207:R210)</f>
        <v>12532.503500000001</v>
      </c>
      <c r="S211" s="91"/>
      <c r="T211" s="90">
        <f ca="1">SUM(T207:T210)</f>
        <v>254.78166666666667</v>
      </c>
      <c r="U211" s="75"/>
      <c r="V211" s="75"/>
      <c r="W211" s="75"/>
      <c r="X211" s="75"/>
      <c r="Y211" s="75"/>
      <c r="Z211" s="75"/>
      <c r="AA211" s="75"/>
      <c r="AB211" s="75"/>
    </row>
    <row r="212" spans="1:28" ht="13.8" thickTop="1"/>
  </sheetData>
  <sheetProtection formatCells="0" formatColumns="0" formatRows="0" insertColumns="0" insertRows="0" insertHyperlinks="0" deleteColumns="0" deleteRows="0" sort="0" autoFilter="0" pivotTables="0"/>
  <phoneticPr fontId="33" type="noConversion"/>
  <conditionalFormatting sqref="D6">
    <cfRule type="cellIs" dxfId="22" priority="1" stopIfTrue="1" operator="equal">
      <formula>"VAT INCLUDED"</formula>
    </cfRule>
    <cfRule type="cellIs" dxfId="21" priority="2" stopIfTrue="1" operator="equal">
      <formula>"VAT EXCLUDED"</formula>
    </cfRule>
  </conditionalFormatting>
  <printOptions gridLines="1"/>
  <pageMargins left="0.31496062992125984" right="0.17" top="0.43307086614173229" bottom="0.59055118110236227" header="0.23622047244094491" footer="0.23622047244094491"/>
  <pageSetup paperSize="9" orientation="portrait" verticalDpi="0" r:id="rId1"/>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indexed="14"/>
  </sheetPr>
  <dimension ref="A1:IV2151"/>
  <sheetViews>
    <sheetView topLeftCell="A846" workbookViewId="0">
      <selection activeCell="E864" sqref="E864"/>
    </sheetView>
  </sheetViews>
  <sheetFormatPr defaultColWidth="9.109375" defaultRowHeight="13.8"/>
  <cols>
    <col min="1" max="2" width="8.109375" style="35" customWidth="1"/>
    <col min="3" max="3" width="8.77734375" style="35" hidden="1" customWidth="1"/>
    <col min="4" max="6" width="29.33203125" style="35" customWidth="1"/>
    <col min="7" max="7" width="9.6640625" style="35" hidden="1" customWidth="1"/>
    <col min="8" max="8" width="7.6640625" style="35" hidden="1" customWidth="1"/>
    <col min="9" max="11" width="8.6640625" style="35" hidden="1" customWidth="1"/>
    <col min="12" max="12" width="6.6640625" style="35" hidden="1" customWidth="1"/>
    <col min="13" max="16" width="8.6640625" style="35" hidden="1" customWidth="1"/>
    <col min="17" max="20" width="16.88671875" style="35" customWidth="1"/>
    <col min="21" max="21" width="6.33203125" style="35" customWidth="1"/>
    <col min="22" max="22" width="4.6640625" style="310" customWidth="1"/>
    <col min="23" max="23" width="5" style="310" bestFit="1" customWidth="1"/>
    <col min="24" max="24" width="4.88671875" style="310" bestFit="1" customWidth="1"/>
    <col min="25" max="25" width="4.33203125" style="310" bestFit="1" customWidth="1"/>
    <col min="26" max="26" width="5.33203125" style="310" customWidth="1"/>
    <col min="27" max="27" width="4" style="310" customWidth="1"/>
    <col min="28" max="28" width="4.109375" style="310" customWidth="1"/>
    <col min="29" max="32" width="9.109375" style="35" hidden="1" customWidth="1"/>
    <col min="33" max="33" width="12.88671875" style="35" hidden="1" customWidth="1"/>
    <col min="34" max="34" width="10.6640625" style="35" hidden="1" customWidth="1"/>
    <col min="35" max="35" width="11.44140625" style="35" hidden="1" customWidth="1"/>
    <col min="36" max="36" width="9.109375" style="35" hidden="1" customWidth="1"/>
    <col min="37" max="37" width="13.6640625" style="35" hidden="1" customWidth="1"/>
    <col min="38" max="38" width="9.109375" style="35" customWidth="1"/>
    <col min="39" max="40" width="12" style="35" customWidth="1"/>
    <col min="41" max="41" width="11.109375" style="35" customWidth="1"/>
    <col min="42" max="42" width="9.109375" style="35" customWidth="1"/>
    <col min="43" max="16384" width="9.109375" style="35"/>
  </cols>
  <sheetData>
    <row r="1" spans="1:42" s="31" customFormat="1" ht="15.6">
      <c r="A1" s="496"/>
      <c r="B1" s="473" t="s">
        <v>0</v>
      </c>
      <c r="C1" s="474">
        <f>ML_Sum!$C1</f>
        <v>1</v>
      </c>
      <c r="D1" s="475" t="str">
        <f>ML_Sum!$D1</f>
        <v>Quintano Foods Ltd.</v>
      </c>
      <c r="E1" s="476"/>
      <c r="F1" s="477">
        <f>ML_Sum!$F1</f>
        <v>0</v>
      </c>
      <c r="G1" s="513"/>
      <c r="H1"/>
      <c r="I1" s="257">
        <v>1</v>
      </c>
      <c r="J1" s="258">
        <f>ML_Sum!$J1</f>
        <v>1</v>
      </c>
      <c r="K1" s="258">
        <f>ML_Sum!$K1</f>
        <v>1</v>
      </c>
      <c r="L1" s="258">
        <f>ML_Sum!$L1</f>
        <v>1</v>
      </c>
      <c r="M1" s="258">
        <f>ML_Sum!$M1</f>
        <v>1</v>
      </c>
      <c r="N1" s="258">
        <f>ML_Sum!$N1</f>
        <v>1</v>
      </c>
      <c r="O1" s="258">
        <f>ML_Sum!$O1</f>
        <v>1</v>
      </c>
      <c r="P1"/>
      <c r="Q1" s="330" t="str">
        <f>ML_Sum!$Q1</f>
        <v>€</v>
      </c>
      <c r="R1" s="261" t="s">
        <v>1</v>
      </c>
      <c r="S1" s="329" t="str">
        <f>ML_Sum!$S1</f>
        <v>R</v>
      </c>
      <c r="T1" s="433">
        <f>ML_Sum!$T1</f>
        <v>1</v>
      </c>
      <c r="U1" s="434" t="str">
        <f>ML_Sum!W1</f>
        <v>BOQ</v>
      </c>
      <c r="V1" s="435" t="s">
        <v>204</v>
      </c>
      <c r="W1" s="497" t="s">
        <v>194</v>
      </c>
      <c r="X1" s="436" t="s">
        <v>195</v>
      </c>
      <c r="Y1" s="498" t="s">
        <v>196</v>
      </c>
      <c r="Z1" s="437" t="s">
        <v>192</v>
      </c>
      <c r="AA1" s="437" t="s">
        <v>197</v>
      </c>
      <c r="AB1" s="497" t="s">
        <v>198</v>
      </c>
      <c r="AG1" s="511"/>
      <c r="AH1" s="511"/>
      <c r="AI1" s="511"/>
      <c r="AJ1" s="511"/>
      <c r="AK1" s="512"/>
    </row>
    <row r="2" spans="1:42" s="31" customFormat="1">
      <c r="A2" s="472"/>
      <c r="B2" s="473" t="s">
        <v>2</v>
      </c>
      <c r="C2" s="474">
        <f>ML_Sum!$C2</f>
        <v>1</v>
      </c>
      <c r="D2" s="475" t="str">
        <f>ML_Sum!$D2</f>
        <v>Warehouse at tal-Handaq, Qormi</v>
      </c>
      <c r="E2" s="479"/>
      <c r="F2" s="477" t="str">
        <f>ML_Sum!$F2</f>
        <v>Electrical</v>
      </c>
      <c r="G2" s="478"/>
      <c r="H2"/>
      <c r="I2" s="257">
        <v>2</v>
      </c>
      <c r="J2" s="258">
        <f>ML_Sum!$J2</f>
        <v>1</v>
      </c>
      <c r="K2" s="258">
        <f>ML_Sum!$K2</f>
        <v>1</v>
      </c>
      <c r="L2" s="258">
        <f>ML_Sum!$L2</f>
        <v>1</v>
      </c>
      <c r="M2" s="258">
        <f>ML_Sum!$M2</f>
        <v>1</v>
      </c>
      <c r="N2" s="258">
        <f>ML_Sum!$N2</f>
        <v>1</v>
      </c>
      <c r="O2" s="258">
        <f>ML_Sum!$O2</f>
        <v>1</v>
      </c>
      <c r="P2"/>
      <c r="Q2" s="336">
        <f>ML_Sum!$Q2</f>
        <v>0</v>
      </c>
      <c r="R2" s="17" t="s">
        <v>3</v>
      </c>
      <c r="S2" s="337">
        <f>ML_Sum!$S2</f>
        <v>1</v>
      </c>
      <c r="T2" s="338">
        <f>ML_Sum!$T2</f>
        <v>27.46</v>
      </c>
      <c r="V2" s="310"/>
      <c r="W2" s="310"/>
      <c r="X2" s="310"/>
      <c r="Y2" s="310"/>
      <c r="Z2" s="310"/>
      <c r="AA2" s="310"/>
      <c r="AB2" s="310"/>
    </row>
    <row r="3" spans="1:42" s="31" customFormat="1">
      <c r="A3" s="480"/>
      <c r="B3" s="481" t="s">
        <v>4</v>
      </c>
      <c r="C3" s="474">
        <f>ML_Sum!$C3</f>
        <v>1</v>
      </c>
      <c r="D3" s="475" t="str">
        <f>ML_Sum!$D3</f>
        <v>Electrical installation for Mechanical (HVAC) - Revision B</v>
      </c>
      <c r="E3" s="480"/>
      <c r="F3" s="477" t="str">
        <f>ML_Sum!$F3</f>
        <v>ECA</v>
      </c>
      <c r="G3" s="482"/>
      <c r="H3"/>
      <c r="I3" s="257">
        <v>3</v>
      </c>
      <c r="J3" s="258">
        <f>ML_Sum!$J3</f>
        <v>1</v>
      </c>
      <c r="K3" s="258">
        <f>ML_Sum!$K3</f>
        <v>1</v>
      </c>
      <c r="L3" s="258">
        <f>ML_Sum!$L3</f>
        <v>1</v>
      </c>
      <c r="M3" s="258">
        <f>ML_Sum!$M3</f>
        <v>1</v>
      </c>
      <c r="N3" s="258">
        <f>ML_Sum!$N3</f>
        <v>1</v>
      </c>
      <c r="O3" s="258">
        <f>ML_Sum!$O3</f>
        <v>1</v>
      </c>
      <c r="P3"/>
      <c r="Q3" s="336">
        <f>ML_Sum!$Q3</f>
        <v>0</v>
      </c>
      <c r="R3" s="18" t="s">
        <v>5</v>
      </c>
      <c r="S3" s="337">
        <f>ML_Sum!$S3</f>
        <v>1</v>
      </c>
      <c r="T3" s="338">
        <f>ML_Sum!$T3</f>
        <v>27.46</v>
      </c>
      <c r="V3" s="310"/>
      <c r="W3" s="310"/>
      <c r="X3" s="310"/>
      <c r="Y3" s="310"/>
      <c r="Z3" s="310"/>
      <c r="AA3" s="310"/>
      <c r="AB3" s="310"/>
    </row>
    <row r="4" spans="1:42" s="31" customFormat="1">
      <c r="A4" s="483"/>
      <c r="B4" s="473" t="s">
        <v>6</v>
      </c>
      <c r="C4" s="474">
        <f>ML_Sum!$C4</f>
        <v>1</v>
      </c>
      <c r="D4" s="475" t="str">
        <f>ML_Sum!$D4</f>
        <v>ELM-25-0085B</v>
      </c>
      <c r="E4" s="480"/>
      <c r="F4" s="477">
        <f>ML_Sum!$F4</f>
        <v>0</v>
      </c>
      <c r="G4" s="482"/>
      <c r="H4"/>
      <c r="I4" s="257">
        <v>4</v>
      </c>
      <c r="J4" s="258">
        <f>ML_Sum!$J4</f>
        <v>1</v>
      </c>
      <c r="K4" s="258">
        <f>ML_Sum!$K4</f>
        <v>1</v>
      </c>
      <c r="L4" s="258">
        <f>ML_Sum!$L4</f>
        <v>1</v>
      </c>
      <c r="M4" s="258">
        <f>ML_Sum!$M4</f>
        <v>1</v>
      </c>
      <c r="N4" s="258">
        <f>ML_Sum!$N4</f>
        <v>1</v>
      </c>
      <c r="O4" s="258">
        <f>ML_Sum!$O4</f>
        <v>1</v>
      </c>
      <c r="P4"/>
      <c r="Q4" s="336">
        <f>ML_Sum!$Q4</f>
        <v>0</v>
      </c>
      <c r="R4" s="19" t="s">
        <v>8</v>
      </c>
      <c r="S4" s="337">
        <f>ML_Sum!$S4</f>
        <v>1</v>
      </c>
      <c r="T4" s="338">
        <f>ML_Sum!$T4</f>
        <v>27.46</v>
      </c>
      <c r="V4" s="310"/>
      <c r="W4" s="310"/>
      <c r="X4" s="310"/>
      <c r="Y4" s="310"/>
      <c r="Z4" s="310"/>
      <c r="AA4" s="310"/>
      <c r="AB4" s="310"/>
    </row>
    <row r="5" spans="1:42" s="31" customFormat="1">
      <c r="A5" s="483"/>
      <c r="B5" s="473" t="s">
        <v>206</v>
      </c>
      <c r="C5" s="474">
        <f>ML_Sum!$C5</f>
        <v>1</v>
      </c>
      <c r="D5" s="475" t="str">
        <f>ML_Sum!$D5</f>
        <v>Tender</v>
      </c>
      <c r="E5" s="480"/>
      <c r="F5" s="477">
        <f>ML_Sum!$F5</f>
        <v>0</v>
      </c>
      <c r="G5" s="484"/>
      <c r="H5"/>
      <c r="I5" s="257">
        <v>5</v>
      </c>
      <c r="J5" s="258">
        <f>ML_Sum!$J5</f>
        <v>1</v>
      </c>
      <c r="K5" s="258">
        <f>ML_Sum!$K5</f>
        <v>1</v>
      </c>
      <c r="L5" s="258">
        <f>ML_Sum!$L5</f>
        <v>1</v>
      </c>
      <c r="M5" s="258">
        <f>ML_Sum!$M5</f>
        <v>1</v>
      </c>
      <c r="N5" s="258">
        <f>ML_Sum!$N5</f>
        <v>1</v>
      </c>
      <c r="O5" s="258">
        <f>ML_Sum!$O5</f>
        <v>1</v>
      </c>
      <c r="P5"/>
      <c r="Q5" s="336">
        <f>ML_Sum!$Q5</f>
        <v>0</v>
      </c>
      <c r="R5" s="20" t="s">
        <v>10</v>
      </c>
      <c r="S5" s="337">
        <f>ML_Sum!$S5</f>
        <v>1</v>
      </c>
      <c r="T5" s="338">
        <f>ML_Sum!$T5</f>
        <v>27.46</v>
      </c>
      <c r="V5" s="310"/>
      <c r="W5" s="310"/>
      <c r="X5" s="310"/>
      <c r="Y5" s="310"/>
      <c r="Z5" s="310"/>
      <c r="AA5" s="310"/>
      <c r="AB5" s="310"/>
    </row>
    <row r="6" spans="1:42" s="31" customFormat="1">
      <c r="A6"/>
      <c r="B6" s="481" t="s">
        <v>9</v>
      </c>
      <c r="C6" s="474">
        <f>ML_Sum!$C6</f>
        <v>1</v>
      </c>
      <c r="D6" s="475" t="str">
        <f>ML_Sum!$D6</f>
        <v>VAT EXCL.</v>
      </c>
      <c r="E6"/>
      <c r="F6" s="477">
        <f>ML_Sum!$F6</f>
        <v>0</v>
      </c>
      <c r="G6" s="484"/>
      <c r="H6"/>
      <c r="I6" s="257">
        <v>6</v>
      </c>
      <c r="J6" s="258">
        <f>ML_Sum!$J6</f>
        <v>1</v>
      </c>
      <c r="K6" s="258">
        <f>ML_Sum!$K6</f>
        <v>1</v>
      </c>
      <c r="L6" s="258">
        <f>ML_Sum!$L6</f>
        <v>1</v>
      </c>
      <c r="M6" s="258">
        <f>ML_Sum!$M6</f>
        <v>1</v>
      </c>
      <c r="N6" s="258">
        <f>ML_Sum!$N6</f>
        <v>1</v>
      </c>
      <c r="O6" s="258">
        <f>ML_Sum!$O6</f>
        <v>1</v>
      </c>
      <c r="P6"/>
      <c r="Q6" s="336">
        <f>ML_Sum!$Q6</f>
        <v>0</v>
      </c>
      <c r="R6" s="21" t="s">
        <v>11</v>
      </c>
      <c r="S6" s="337">
        <f>ML_Sum!$S6</f>
        <v>1</v>
      </c>
      <c r="T6" s="338">
        <f>ML_Sum!$T6</f>
        <v>27.46</v>
      </c>
      <c r="V6" s="310"/>
      <c r="W6" s="310"/>
      <c r="X6" s="310"/>
      <c r="Y6" s="310"/>
      <c r="Z6" s="310"/>
      <c r="AA6" s="310"/>
      <c r="AB6" s="310"/>
    </row>
    <row r="7" spans="1:42" s="31" customFormat="1">
      <c r="A7" s="472"/>
      <c r="B7" s="481" t="s">
        <v>12</v>
      </c>
      <c r="C7" s="474">
        <f>ML_Sum!$C7</f>
        <v>1</v>
      </c>
      <c r="D7" s="485">
        <v>39364</v>
      </c>
      <c r="E7" s="486"/>
      <c r="F7" s="477">
        <f>ML_Sum!$F7</f>
        <v>0</v>
      </c>
      <c r="G7" s="487"/>
      <c r="H7"/>
      <c r="I7" s="257">
        <v>7</v>
      </c>
      <c r="J7" s="258">
        <f>ML_Sum!$J7</f>
        <v>1</v>
      </c>
      <c r="K7" s="258">
        <f>ML_Sum!$K7</f>
        <v>1</v>
      </c>
      <c r="L7" s="258">
        <f>ML_Sum!$L7</f>
        <v>1</v>
      </c>
      <c r="M7" s="258">
        <f>ML_Sum!$M7</f>
        <v>1</v>
      </c>
      <c r="N7" s="258">
        <f>ML_Sum!$N7</f>
        <v>1</v>
      </c>
      <c r="O7" s="258">
        <f>ML_Sum!$O7</f>
        <v>0</v>
      </c>
      <c r="P7"/>
      <c r="Q7" s="336">
        <f>ML_Sum!$Q7</f>
        <v>0</v>
      </c>
      <c r="R7" s="22" t="s">
        <v>13</v>
      </c>
      <c r="S7" s="337">
        <f>ML_Sum!$S7</f>
        <v>1</v>
      </c>
      <c r="T7" s="338">
        <f>ML_Sum!$T7</f>
        <v>27.46</v>
      </c>
      <c r="V7" s="310"/>
      <c r="W7" s="310"/>
      <c r="X7" s="310"/>
      <c r="Y7" s="310"/>
      <c r="Z7" s="310"/>
      <c r="AA7" s="310"/>
      <c r="AB7" s="310"/>
    </row>
    <row r="8" spans="1:42" s="31" customFormat="1">
      <c r="A8" s="483"/>
      <c r="B8" s="481" t="s">
        <v>14</v>
      </c>
      <c r="C8" s="474">
        <f>ML_Sum!$C8</f>
        <v>1</v>
      </c>
      <c r="D8" s="475" t="str">
        <f>ML_Sum!$D8</f>
        <v>T.Sammut</v>
      </c>
      <c r="E8" s="480"/>
      <c r="F8" s="477">
        <f>ML_Sum!$F8</f>
        <v>0</v>
      </c>
      <c r="G8" s="488"/>
      <c r="H8"/>
      <c r="I8" s="257">
        <v>8</v>
      </c>
      <c r="J8" s="258">
        <f>ML_Sum!$J8</f>
        <v>1</v>
      </c>
      <c r="K8" s="258">
        <f>ML_Sum!$K8</f>
        <v>1</v>
      </c>
      <c r="L8" s="258">
        <f>ML_Sum!$L8</f>
        <v>1</v>
      </c>
      <c r="M8" s="258">
        <f>ML_Sum!$M8</f>
        <v>1</v>
      </c>
      <c r="N8" s="258">
        <f>ML_Sum!$N8</f>
        <v>1</v>
      </c>
      <c r="O8" s="258">
        <f>ML_Sum!$O8</f>
        <v>0</v>
      </c>
      <c r="P8"/>
      <c r="Q8" s="336">
        <f>ML_Sum!$Q8</f>
        <v>0</v>
      </c>
      <c r="R8" s="23" t="s">
        <v>15</v>
      </c>
      <c r="S8" s="337">
        <f>ML_Sum!$S8</f>
        <v>1</v>
      </c>
      <c r="T8" s="338">
        <f>ML_Sum!$T8</f>
        <v>27.46</v>
      </c>
      <c r="V8" s="310"/>
      <c r="W8" s="310"/>
      <c r="X8" s="310"/>
      <c r="Y8" s="310"/>
      <c r="Z8" s="310"/>
      <c r="AA8" s="310"/>
      <c r="AB8" s="310"/>
    </row>
    <row r="9" spans="1:42" s="31" customFormat="1">
      <c r="A9" s="483"/>
      <c r="B9" s="481" t="s">
        <v>292</v>
      </c>
      <c r="C9" s="474">
        <f>ML_Sum!$C9</f>
        <v>1</v>
      </c>
      <c r="D9" s="475">
        <f>ML_Sum!$D9</f>
        <v>27.46</v>
      </c>
      <c r="E9" s="480"/>
      <c r="F9" s="477">
        <f>ML_Sum!$F9</f>
        <v>0</v>
      </c>
      <c r="G9" s="488"/>
      <c r="H9"/>
      <c r="I9" s="257">
        <v>9</v>
      </c>
      <c r="J9" s="258">
        <f>ML_Sum!$J9</f>
        <v>1</v>
      </c>
      <c r="K9" s="258">
        <f>ML_Sum!$K9</f>
        <v>1</v>
      </c>
      <c r="L9" s="258">
        <f>ML_Sum!$L9</f>
        <v>1</v>
      </c>
      <c r="M9" s="258">
        <f>ML_Sum!$M9</f>
        <v>1</v>
      </c>
      <c r="N9" s="258">
        <f>ML_Sum!$N9</f>
        <v>1</v>
      </c>
      <c r="O9" s="258">
        <f>ML_Sum!$O9</f>
        <v>0</v>
      </c>
      <c r="P9"/>
      <c r="Q9" s="336">
        <f>ML_Sum!$Q9</f>
        <v>0</v>
      </c>
      <c r="R9" s="24" t="s">
        <v>16</v>
      </c>
      <c r="S9" s="337">
        <f>ML_Sum!$S9</f>
        <v>1</v>
      </c>
      <c r="T9" s="338">
        <f>ML_Sum!$T9</f>
        <v>27.46</v>
      </c>
      <c r="V9" s="310"/>
      <c r="W9" s="310"/>
      <c r="X9" s="310"/>
      <c r="Y9" s="310"/>
      <c r="Z9" s="310"/>
      <c r="AA9" s="310"/>
      <c r="AB9" s="310"/>
    </row>
    <row r="10" spans="1:42" s="31" customFormat="1">
      <c r="A10" s="483"/>
      <c r="B10" s="472"/>
      <c r="C10" s="474">
        <f>ML_Sum!$C10</f>
        <v>1</v>
      </c>
      <c r="D10" s="472"/>
      <c r="E10" s="480"/>
      <c r="F10" s="477">
        <f>ML_Sum!$F10</f>
        <v>0</v>
      </c>
      <c r="G10" s="488"/>
      <c r="H10"/>
      <c r="I10" s="257">
        <v>10</v>
      </c>
      <c r="J10" s="258">
        <f>ML_Sum!$J10</f>
        <v>1</v>
      </c>
      <c r="K10" s="258">
        <f>ML_Sum!$K10</f>
        <v>1</v>
      </c>
      <c r="L10" s="258">
        <f>ML_Sum!$L10</f>
        <v>1</v>
      </c>
      <c r="M10" s="258">
        <f>ML_Sum!$M10</f>
        <v>1</v>
      </c>
      <c r="N10" s="258">
        <f>ML_Sum!$N10</f>
        <v>1</v>
      </c>
      <c r="O10" s="258">
        <f>ML_Sum!$O10</f>
        <v>1</v>
      </c>
      <c r="P10"/>
      <c r="Q10" s="336">
        <f>ML_Sum!$Q10</f>
        <v>0</v>
      </c>
      <c r="R10" s="25" t="s">
        <v>17</v>
      </c>
      <c r="S10" s="337">
        <f>ML_Sum!$S10</f>
        <v>1</v>
      </c>
      <c r="T10" s="338">
        <f>ML_Sum!$T10</f>
        <v>27.46</v>
      </c>
      <c r="V10" s="310"/>
      <c r="W10" s="310"/>
      <c r="X10" s="310"/>
      <c r="Y10" s="310"/>
      <c r="Z10" s="310"/>
      <c r="AA10" s="310"/>
      <c r="AB10" s="310"/>
    </row>
    <row r="11" spans="1:42" s="31" customFormat="1">
      <c r="A11" s="483"/>
      <c r="B11" s="472"/>
      <c r="C11" s="474">
        <f>ML_Sum!$C11</f>
        <v>1</v>
      </c>
      <c r="D11" s="472"/>
      <c r="E11" s="480"/>
      <c r="F11" s="477">
        <f>ML_Sum!$F11</f>
        <v>0</v>
      </c>
      <c r="G11" s="488"/>
      <c r="H11" s="488"/>
      <c r="I11" s="472"/>
      <c r="J11" s="472"/>
      <c r="K11" s="472"/>
      <c r="L11" s="472"/>
      <c r="M11" s="472"/>
      <c r="N11" s="472"/>
      <c r="O11" s="472"/>
      <c r="P11" s="488"/>
      <c r="Q11" s="336">
        <f>ML_Sum!$Q11</f>
        <v>0</v>
      </c>
      <c r="R11" s="26" t="s">
        <v>18</v>
      </c>
      <c r="S11" s="337">
        <f>ML_Sum!$S11</f>
        <v>1</v>
      </c>
      <c r="T11" s="338">
        <f>ML_Sum!$T11</f>
        <v>27.46</v>
      </c>
      <c r="V11" s="310"/>
      <c r="W11" s="310"/>
      <c r="X11" s="310"/>
      <c r="Y11" s="310"/>
      <c r="Z11" s="310"/>
      <c r="AA11" s="310"/>
      <c r="AB11" s="310"/>
    </row>
    <row r="12" spans="1:42" s="31" customFormat="1" ht="14.4" thickBot="1">
      <c r="A12" s="483"/>
      <c r="B12" s="472"/>
      <c r="C12" s="474">
        <f>ML_Sum!$C12</f>
        <v>1</v>
      </c>
      <c r="D12" s="472"/>
      <c r="E12" s="480"/>
      <c r="F12" s="477">
        <f>ML_Sum!$F12</f>
        <v>0</v>
      </c>
      <c r="G12" s="488"/>
      <c r="H12" s="488"/>
      <c r="I12" s="472"/>
      <c r="J12" s="472"/>
      <c r="K12" s="472"/>
      <c r="L12" s="472"/>
      <c r="M12" s="472"/>
      <c r="N12" s="472"/>
      <c r="O12" s="472"/>
      <c r="P12" s="488"/>
      <c r="Q12" s="336">
        <f>ML_Sum!$Q12</f>
        <v>0</v>
      </c>
      <c r="R12" s="386" t="s">
        <v>229</v>
      </c>
      <c r="S12" s="337" t="str">
        <f>ML_Sum!$S12</f>
        <v>MAT MU</v>
      </c>
      <c r="T12" s="338" t="str">
        <f>ML_Sum!$T12</f>
        <v>LAB RATE</v>
      </c>
      <c r="V12" s="310"/>
      <c r="W12" s="310"/>
      <c r="X12" s="310"/>
      <c r="Y12" s="310"/>
      <c r="Z12" s="310"/>
      <c r="AA12" s="310"/>
      <c r="AB12" s="310"/>
    </row>
    <row r="13" spans="1:42" s="31" customFormat="1" ht="14.4" thickBot="1">
      <c r="A13" s="489"/>
      <c r="B13" s="490"/>
      <c r="C13" s="491"/>
      <c r="D13" s="492"/>
      <c r="E13" s="493"/>
      <c r="F13" s="494"/>
      <c r="G13" s="495" t="s">
        <v>142</v>
      </c>
      <c r="H13" s="495" t="s">
        <v>20</v>
      </c>
      <c r="I13" s="495" t="s">
        <v>21</v>
      </c>
      <c r="J13" s="495" t="s">
        <v>22</v>
      </c>
      <c r="K13" s="495" t="s">
        <v>23</v>
      </c>
      <c r="L13" s="495" t="s">
        <v>24</v>
      </c>
      <c r="M13" s="495" t="s">
        <v>25</v>
      </c>
      <c r="N13" s="495" t="s">
        <v>26</v>
      </c>
      <c r="O13" s="495" t="s">
        <v>27</v>
      </c>
      <c r="P13" s="495" t="s">
        <v>28</v>
      </c>
      <c r="Q13" s="27" t="s">
        <v>224</v>
      </c>
      <c r="R13" s="28" t="s">
        <v>30</v>
      </c>
      <c r="S13" s="29" t="s">
        <v>31</v>
      </c>
      <c r="T13" s="30" t="s">
        <v>32</v>
      </c>
      <c r="V13" s="310"/>
      <c r="W13" s="310"/>
      <c r="X13" s="310"/>
      <c r="Y13" s="310"/>
      <c r="Z13" s="310"/>
      <c r="AA13" s="310"/>
      <c r="AB13" s="310"/>
      <c r="AG13"/>
      <c r="AH13"/>
      <c r="AI13"/>
      <c r="AJ13"/>
      <c r="AK13"/>
      <c r="AM13" s="514" t="s">
        <v>288</v>
      </c>
      <c r="AN13" s="516" t="s">
        <v>302</v>
      </c>
      <c r="AO13" s="516" t="s">
        <v>289</v>
      </c>
      <c r="AP13" s="515" t="s">
        <v>286</v>
      </c>
    </row>
    <row r="14" spans="1:42" s="519" customFormat="1" ht="13.2">
      <c r="A14" s="47"/>
      <c r="B14" s="47"/>
      <c r="C14" s="3"/>
      <c r="D14" s="3"/>
      <c r="E14" s="47"/>
      <c r="F14" s="47"/>
      <c r="G14" s="47"/>
      <c r="H14" s="47"/>
      <c r="I14" s="47"/>
      <c r="J14" s="47"/>
      <c r="K14" s="47" t="s">
        <v>134</v>
      </c>
      <c r="L14" s="47"/>
      <c r="M14" s="47"/>
      <c r="N14" s="47"/>
      <c r="O14" s="48"/>
      <c r="P14" s="47"/>
      <c r="Q14" s="47"/>
      <c r="R14" s="47"/>
      <c r="S14" s="47"/>
      <c r="T14" s="47"/>
    </row>
    <row r="15" spans="1:42" s="519" customFormat="1" ht="12">
      <c r="A15" s="47"/>
      <c r="B15" s="47"/>
      <c r="C15" s="47" t="s">
        <v>135</v>
      </c>
      <c r="D15" s="36" t="s">
        <v>346</v>
      </c>
      <c r="E15" s="47"/>
      <c r="F15" s="47"/>
      <c r="G15" s="47"/>
      <c r="H15" s="47"/>
      <c r="I15" s="47"/>
      <c r="J15" s="47"/>
      <c r="K15" s="47"/>
      <c r="L15" s="47"/>
      <c r="M15" s="47"/>
      <c r="N15" s="47"/>
      <c r="O15" s="48"/>
      <c r="P15" s="47"/>
      <c r="Q15" s="47"/>
      <c r="R15" s="47"/>
      <c r="S15" s="47"/>
      <c r="T15" s="47"/>
    </row>
    <row r="16" spans="1:42" s="519" customFormat="1" ht="12">
      <c r="A16" s="47"/>
      <c r="B16" s="47"/>
      <c r="C16" s="47"/>
      <c r="D16" s="36" t="s">
        <v>376</v>
      </c>
      <c r="E16" s="47"/>
      <c r="F16" s="47"/>
      <c r="G16" s="47"/>
      <c r="H16" s="47"/>
      <c r="I16" s="47"/>
      <c r="J16" s="47"/>
      <c r="K16" s="47"/>
      <c r="L16" s="47"/>
      <c r="M16" s="47"/>
      <c r="N16" s="47"/>
      <c r="O16" s="48"/>
      <c r="P16" s="47"/>
      <c r="Q16" s="47"/>
      <c r="R16" s="47"/>
      <c r="S16" s="37"/>
      <c r="T16" s="37"/>
    </row>
    <row r="17" spans="1:41" s="3" customFormat="1" thickBot="1">
      <c r="A17" s="529"/>
      <c r="O17" s="99"/>
    </row>
    <row r="18" spans="1:41" s="519" customFormat="1" thickTop="1">
      <c r="A18" s="47"/>
      <c r="B18" s="47"/>
      <c r="C18" s="3"/>
      <c r="D18" s="3"/>
      <c r="E18" s="47"/>
      <c r="F18" s="47"/>
      <c r="G18" s="47"/>
      <c r="H18" s="47"/>
      <c r="I18" s="47"/>
      <c r="J18" s="47"/>
      <c r="K18" s="47" t="s">
        <v>134</v>
      </c>
      <c r="L18" s="47"/>
      <c r="M18" s="47"/>
      <c r="N18" s="47"/>
      <c r="O18" s="48"/>
      <c r="P18" s="47"/>
      <c r="Q18" s="47"/>
      <c r="R18" s="47"/>
      <c r="S18" s="47"/>
      <c r="T18" s="47"/>
    </row>
    <row r="19" spans="1:41" s="519" customFormat="1" ht="12">
      <c r="A19" s="47"/>
      <c r="B19" s="47"/>
      <c r="C19" s="47" t="s">
        <v>135</v>
      </c>
      <c r="D19" s="36"/>
      <c r="E19" s="47"/>
      <c r="F19" s="47"/>
      <c r="G19" s="47"/>
      <c r="H19" s="47"/>
      <c r="I19" s="47"/>
      <c r="J19" s="47"/>
      <c r="K19" s="47"/>
      <c r="L19" s="47"/>
      <c r="M19" s="47"/>
      <c r="N19" s="47"/>
      <c r="O19" s="48"/>
      <c r="P19" s="47"/>
      <c r="Q19" s="47"/>
      <c r="R19" s="47"/>
      <c r="S19" s="47"/>
      <c r="T19" s="47"/>
    </row>
    <row r="20" spans="1:41" s="519" customFormat="1" ht="12">
      <c r="A20" s="47"/>
      <c r="B20" s="47"/>
      <c r="C20" s="47"/>
      <c r="D20" s="36" t="s">
        <v>377</v>
      </c>
      <c r="E20" s="47"/>
      <c r="F20" s="47"/>
      <c r="G20" s="47"/>
      <c r="H20" s="47"/>
      <c r="I20" s="47"/>
      <c r="J20" s="47"/>
      <c r="K20" s="47"/>
      <c r="L20" s="47"/>
      <c r="M20" s="47"/>
      <c r="N20" s="47"/>
      <c r="O20" s="48"/>
      <c r="P20" s="47"/>
      <c r="Q20" s="47"/>
      <c r="R20" s="47"/>
      <c r="S20" s="37"/>
      <c r="T20" s="37"/>
    </row>
    <row r="21" spans="1:41" s="3" customFormat="1" thickBot="1">
      <c r="A21" s="529"/>
      <c r="O21" s="99"/>
    </row>
    <row r="22" spans="1:41" s="519" customFormat="1" thickTop="1">
      <c r="A22" s="47"/>
      <c r="B22" s="47"/>
      <c r="C22" s="3"/>
      <c r="D22" s="3"/>
      <c r="E22" s="47"/>
      <c r="F22" s="47"/>
      <c r="G22" s="47"/>
      <c r="H22" s="47"/>
      <c r="I22" s="47"/>
      <c r="J22" s="47"/>
      <c r="K22" s="47" t="s">
        <v>134</v>
      </c>
      <c r="L22" s="47"/>
      <c r="M22" s="47"/>
      <c r="N22" s="47"/>
      <c r="O22" s="48"/>
      <c r="P22" s="47"/>
      <c r="Q22" s="47"/>
      <c r="R22" s="47"/>
      <c r="S22" s="47"/>
      <c r="T22" s="47"/>
    </row>
    <row r="23" spans="1:41" s="519" customFormat="1" ht="12">
      <c r="A23" s="47"/>
      <c r="B23" s="47"/>
      <c r="C23" s="47" t="s">
        <v>135</v>
      </c>
      <c r="D23" s="36"/>
      <c r="E23" s="47"/>
      <c r="F23" s="47"/>
      <c r="G23" s="47"/>
      <c r="H23" s="47"/>
      <c r="I23" s="47"/>
      <c r="J23" s="47"/>
      <c r="K23" s="47"/>
      <c r="L23" s="47"/>
      <c r="M23" s="47"/>
      <c r="N23" s="47"/>
      <c r="O23" s="48"/>
      <c r="P23" s="47"/>
      <c r="Q23" s="47"/>
      <c r="R23" s="47"/>
      <c r="S23" s="47"/>
      <c r="T23" s="47"/>
    </row>
    <row r="24" spans="1:41" s="519" customFormat="1" ht="39.9" customHeight="1">
      <c r="A24" s="47"/>
      <c r="B24" s="47"/>
      <c r="C24" s="47"/>
      <c r="D24" s="979" t="s">
        <v>378</v>
      </c>
      <c r="E24" s="980"/>
      <c r="F24" s="980"/>
      <c r="G24" s="980"/>
      <c r="H24" s="980"/>
      <c r="I24" s="980"/>
      <c r="J24" s="980"/>
      <c r="K24" s="980"/>
      <c r="L24" s="980"/>
      <c r="M24" s="980"/>
      <c r="N24" s="980"/>
      <c r="O24" s="980"/>
      <c r="P24" s="980"/>
      <c r="Q24" s="980"/>
      <c r="R24" s="980"/>
      <c r="S24" s="980"/>
      <c r="T24" s="980"/>
    </row>
    <row r="25" spans="1:41" s="3" customFormat="1" thickBot="1">
      <c r="A25" s="529"/>
      <c r="O25" s="99"/>
    </row>
    <row r="26" spans="1:41" s="519" customFormat="1" thickTop="1">
      <c r="A26" s="47"/>
      <c r="B26" s="40"/>
      <c r="C26" s="47"/>
      <c r="E26" s="41" t="s">
        <v>138</v>
      </c>
      <c r="F26" s="41" t="s">
        <v>139</v>
      </c>
      <c r="G26" s="47"/>
      <c r="H26" s="47"/>
      <c r="I26" s="47"/>
      <c r="J26" s="47"/>
      <c r="K26" s="47" t="s">
        <v>140</v>
      </c>
      <c r="L26" s="774"/>
      <c r="M26" s="47"/>
      <c r="N26" s="47"/>
      <c r="O26" s="48"/>
      <c r="P26" s="47"/>
      <c r="Q26"/>
      <c r="R26"/>
      <c r="S26"/>
      <c r="T26" s="40"/>
      <c r="AG26" s="627" t="s">
        <v>277</v>
      </c>
      <c r="AH26" s="627" t="s">
        <v>278</v>
      </c>
      <c r="AI26" s="627" t="s">
        <v>279</v>
      </c>
      <c r="AJ26" s="627" t="s">
        <v>280</v>
      </c>
      <c r="AK26" s="627" t="s">
        <v>281</v>
      </c>
      <c r="AM26" s="628" t="s">
        <v>290</v>
      </c>
      <c r="AN26" s="629" t="s">
        <v>291</v>
      </c>
      <c r="AO26" s="520" t="s">
        <v>287</v>
      </c>
    </row>
    <row r="27" spans="1:41" s="519" customFormat="1" ht="13.2">
      <c r="A27" s="630">
        <v>2</v>
      </c>
      <c r="B27" s="521" t="s">
        <v>312</v>
      </c>
      <c r="C27" s="631"/>
      <c r="D27" s="632" t="s">
        <v>593</v>
      </c>
      <c r="E27" s="775">
        <f ca="1">IF(AND($A27=0,$A$1="DIF"),0, ROUND(ROUND(SUMIF($L29:$L35,"SUBI",$E29:$E35)/$A27,2)*$C$12,2))</f>
        <v>245.04</v>
      </c>
      <c r="F27" s="776">
        <f ca="1">ROUND($A27*$E27,2)</f>
        <v>490.08</v>
      </c>
      <c r="G27" s="635" t="s">
        <v>142</v>
      </c>
      <c r="H27" s="636"/>
      <c r="I27" s="637"/>
      <c r="J27" s="636"/>
      <c r="K27" s="777"/>
      <c r="L27" s="778" t="s">
        <v>143</v>
      </c>
      <c r="M27" s="638"/>
      <c r="N27" s="638"/>
      <c r="O27" s="638"/>
      <c r="P27" s="638"/>
      <c r="Q27"/>
      <c r="R27"/>
      <c r="S27"/>
      <c r="T27" s="779" t="str">
        <f ca="1">IF(AND($R41=0,$T41=0),"0.00","mu :" &amp; ROUND($F27/$C$12/($R41+$T41*$D$9),2))</f>
        <v>mu :1</v>
      </c>
      <c r="W27" s="522"/>
      <c r="AG27" s="780">
        <f ca="1">IF(A27=0,0,ROUND(SUM(AG29:AG41)/A27,2))</f>
        <v>166.5</v>
      </c>
      <c r="AH27" s="780">
        <f ca="1">$AG27*$A27</f>
        <v>333</v>
      </c>
      <c r="AI27" s="780">
        <f ca="1">$E27-$AG27</f>
        <v>78.539999999999992</v>
      </c>
      <c r="AJ27" s="780">
        <f ca="1">$A27*$AI27</f>
        <v>157.07999999999998</v>
      </c>
      <c r="AK27" s="781">
        <f ca="1">ROUND(($AG27+$AI27)*$A27,2)</f>
        <v>490.08</v>
      </c>
      <c r="AM27" s="525">
        <f ca="1">ROUND(R41,2)</f>
        <v>333</v>
      </c>
      <c r="AN27" s="526">
        <f ca="1">ROUND(T41,2)</f>
        <v>5.72</v>
      </c>
      <c r="AO27" s="527">
        <f ca="1">ROUND(AM27+AN27,2)*A27</f>
        <v>677.44</v>
      </c>
    </row>
    <row r="28" spans="1:41" s="519" customFormat="1" ht="39.9" customHeight="1">
      <c r="A28" s="782"/>
      <c r="B28" s="783"/>
      <c r="C28" s="631"/>
      <c r="D28" s="981" t="s">
        <v>594</v>
      </c>
      <c r="E28" s="980"/>
      <c r="F28" s="980"/>
      <c r="G28" s="980"/>
      <c r="H28" s="980"/>
      <c r="I28" s="980"/>
      <c r="J28" s="980"/>
      <c r="K28" s="980"/>
      <c r="L28" s="980"/>
      <c r="M28" s="980"/>
      <c r="N28" s="980"/>
      <c r="O28" s="980"/>
      <c r="P28" s="980"/>
      <c r="Q28" s="980"/>
      <c r="R28" s="980"/>
      <c r="S28" s="980"/>
      <c r="T28" s="980"/>
    </row>
    <row r="29" spans="1:41" s="519" customFormat="1" ht="12">
      <c r="A29" s="786"/>
      <c r="B29" s="787"/>
      <c r="C29" s="641"/>
      <c r="D29" s="636"/>
      <c r="E29" s="788">
        <f ca="1">F27/$C$12-SUMIF($L26:$L41,"SUBI",$E26:$E41)</f>
        <v>9.9999999999909051E-3</v>
      </c>
      <c r="F29" s="789" t="s">
        <v>589</v>
      </c>
      <c r="G29" s="790"/>
      <c r="H29" s="790"/>
      <c r="I29" s="791"/>
      <c r="J29" s="790"/>
      <c r="K29" s="790"/>
      <c r="L29" s="792"/>
      <c r="M29" s="793"/>
      <c r="N29" s="793"/>
      <c r="O29" s="793"/>
      <c r="P29" s="793"/>
      <c r="Q29" s="794"/>
      <c r="R29" s="795"/>
      <c r="S29" s="794"/>
      <c r="T29" s="796"/>
    </row>
    <row r="30" spans="1:41" s="519" customFormat="1" ht="12" customHeight="1">
      <c r="A30" s="797"/>
      <c r="B30" s="798"/>
      <c r="C30" s="799"/>
      <c r="D30" s="799" t="str">
        <f>$F$2</f>
        <v>Electrical</v>
      </c>
      <c r="E30" s="799">
        <f ca="1">ROUND(($R34*$S$2 + ($T34*$T$2)), 2)</f>
        <v>490.07</v>
      </c>
      <c r="F30" s="800">
        <f ca="1">$E30*$C$12</f>
        <v>490.07</v>
      </c>
      <c r="G30" s="528"/>
      <c r="H30" s="801"/>
      <c r="I30" s="528"/>
      <c r="J30" s="48"/>
      <c r="K30" s="802" t="s">
        <v>3</v>
      </c>
      <c r="L30" s="803" t="s">
        <v>590</v>
      </c>
      <c r="M30" s="528"/>
      <c r="N30" s="528"/>
      <c r="O30" s="48"/>
      <c r="P30" s="528"/>
      <c r="Q30" s="528"/>
      <c r="R30"/>
      <c r="S30"/>
      <c r="T30"/>
    </row>
    <row r="31" spans="1:41" s="956" customFormat="1" ht="13.2">
      <c r="A31"/>
      <c r="B31" s="948"/>
      <c r="C31" s="948" t="s">
        <v>742</v>
      </c>
      <c r="D31" s="948" t="str">
        <f ca="1">CELL("Address",Elec_Rates!D$19)</f>
        <v>[ELM25_0085_Quintano_Elec_Mech_HVAC_Est_Rev_B.xlsx]Elec_Rates!$D$19</v>
      </c>
      <c r="E31" s="949"/>
      <c r="F31" s="949"/>
      <c r="G31" s="950" t="s">
        <v>743</v>
      </c>
      <c r="H31" s="950"/>
      <c r="I31" s="950"/>
      <c r="J31" s="950"/>
      <c r="K31" s="951"/>
      <c r="L31" s="949"/>
      <c r="M31" s="949"/>
      <c r="N31" s="949"/>
      <c r="O31" s="952"/>
      <c r="P31" s="949"/>
      <c r="Q31" s="953"/>
      <c r="R31" s="954"/>
      <c r="S31" s="953"/>
      <c r="T31" s="943"/>
      <c r="U31" s="955"/>
    </row>
    <row r="32" spans="1:41" s="956" customFormat="1" ht="11.4">
      <c r="A32" s="957">
        <v>2</v>
      </c>
      <c r="B32" s="958">
        <v>1</v>
      </c>
      <c r="C32" s="958">
        <f>$A32*$B32</f>
        <v>2</v>
      </c>
      <c r="D32" s="959" t="str">
        <f>Elec_Rates!$D$19</f>
        <v>037# 5 x 16mm2 F120 Fire Resistant Cable (BS7846) -  XLPE/SWA/LSZH</v>
      </c>
      <c r="E32" s="959"/>
      <c r="F32" s="959" t="s">
        <v>744</v>
      </c>
      <c r="G32" s="960" t="s">
        <v>745</v>
      </c>
      <c r="H32" s="960"/>
      <c r="I32" s="960"/>
      <c r="J32" s="960"/>
      <c r="K32" s="961"/>
      <c r="L32" s="955"/>
      <c r="M32" s="955"/>
      <c r="N32" s="955"/>
      <c r="O32" s="962"/>
      <c r="P32" s="959"/>
      <c r="Q32" s="963">
        <f ca="1">$B32*Elec_Rates!$R$19</f>
        <v>166.5</v>
      </c>
      <c r="R32" s="954">
        <f ca="1">$A32*Q32</f>
        <v>333</v>
      </c>
      <c r="S32" s="963">
        <f ca="1">$B32*Elec_Rates!$T$19</f>
        <v>2.86</v>
      </c>
      <c r="T32" s="943">
        <f ca="1">$A32*S32</f>
        <v>5.72</v>
      </c>
      <c r="U32" s="501"/>
    </row>
    <row r="33" spans="1:41" s="519" customFormat="1" ht="13.95" customHeight="1">
      <c r="A33" s="49"/>
      <c r="B33" s="528"/>
      <c r="C33" s="528"/>
      <c r="D33" s="528"/>
      <c r="E33" s="528"/>
      <c r="F33" s="528"/>
      <c r="G33" s="528"/>
      <c r="H33" s="801"/>
      <c r="I33" s="528"/>
      <c r="J33" s="48"/>
      <c r="K33" s="805"/>
      <c r="L33" s="806"/>
      <c r="M33" s="528"/>
      <c r="N33" s="528"/>
      <c r="O33" s="48"/>
      <c r="P33" s="528"/>
      <c r="Q33" s="528"/>
      <c r="R33" s="807">
        <f>$A33*Q33</f>
        <v>0</v>
      </c>
      <c r="S33" s="528"/>
      <c r="T33" s="643">
        <f>$A33*S33*$T$1</f>
        <v>0</v>
      </c>
    </row>
    <row r="34" spans="1:41" s="519" customFormat="1" ht="12">
      <c r="A34" s="808" t="s">
        <v>145</v>
      </c>
      <c r="B34" s="809">
        <f>(R33+T33)</f>
        <v>0</v>
      </c>
      <c r="C34" s="641"/>
      <c r="G34" s="810"/>
      <c r="H34" s="810"/>
      <c r="I34" s="810"/>
      <c r="J34" s="810"/>
      <c r="K34" s="811" t="s">
        <v>3</v>
      </c>
      <c r="L34" s="812" t="s">
        <v>590</v>
      </c>
      <c r="M34" s="810"/>
      <c r="N34" s="810"/>
      <c r="O34" s="810"/>
      <c r="P34" s="810"/>
      <c r="Q34" s="813"/>
      <c r="R34" s="814">
        <f ca="1">SUM(R30:R33)</f>
        <v>333</v>
      </c>
      <c r="S34" s="815"/>
      <c r="T34" s="814">
        <f ca="1">SUM(T30:T33)</f>
        <v>5.72</v>
      </c>
      <c r="AG34" s="816">
        <f ca="1">ROUND($R34*$S$2,2)</f>
        <v>333</v>
      </c>
    </row>
    <row r="35" spans="1:41" s="519" customFormat="1" ht="12" customHeight="1">
      <c r="A35" s="817"/>
      <c r="B35" s="818"/>
      <c r="C35" s="819"/>
      <c r="D35" s="819" t="str">
        <f>$F$3</f>
        <v>ECA</v>
      </c>
      <c r="E35" s="819">
        <f>ROUND(($R39*$S$3 + ($T39*$T$3)), 2)</f>
        <v>0</v>
      </c>
      <c r="F35" s="820">
        <f ca="1">$F27-SUMIF($L29:$P32,"SUBI",$F29:$F32)</f>
        <v>9.9999999999909051E-3</v>
      </c>
      <c r="G35" s="518"/>
      <c r="H35" s="518"/>
      <c r="I35" s="518"/>
      <c r="J35" s="518"/>
      <c r="K35" s="802" t="s">
        <v>5</v>
      </c>
      <c r="L35" s="803" t="s">
        <v>590</v>
      </c>
      <c r="M35" s="518"/>
      <c r="N35" s="518"/>
      <c r="O35" s="518"/>
      <c r="P35" s="518"/>
      <c r="Q35" s="518"/>
      <c r="R35" s="821"/>
      <c r="S35" s="518"/>
      <c r="T35" s="821"/>
    </row>
    <row r="36" spans="1:41" s="834" customFormat="1" ht="14.4" customHeight="1">
      <c r="A36" s="822"/>
      <c r="B36" s="804" t="s">
        <v>592</v>
      </c>
      <c r="C36" s="823"/>
      <c r="D36" s="824"/>
      <c r="E36" s="824"/>
      <c r="F36" s="824"/>
      <c r="G36" s="825"/>
      <c r="H36" s="826"/>
      <c r="I36" s="826"/>
      <c r="J36" s="827"/>
      <c r="K36" s="828"/>
      <c r="L36" s="823"/>
      <c r="M36" s="829"/>
      <c r="N36" s="830"/>
      <c r="O36" s="831"/>
      <c r="P36" s="832"/>
      <c r="Q36" s="833"/>
      <c r="R36" s="807">
        <f>$A36*Q36</f>
        <v>0</v>
      </c>
      <c r="S36" s="528"/>
      <c r="T36" s="643">
        <f>$A36*S36*$T$1</f>
        <v>0</v>
      </c>
    </row>
    <row r="37" spans="1:41" s="519" customFormat="1" ht="11.4">
      <c r="A37" s="49"/>
      <c r="B37" s="528"/>
      <c r="C37" s="528"/>
      <c r="D37" s="528"/>
      <c r="E37" s="528"/>
      <c r="F37" s="528"/>
      <c r="G37" s="528"/>
      <c r="H37" s="528"/>
      <c r="I37" s="528"/>
      <c r="J37" s="528"/>
      <c r="K37" s="528"/>
      <c r="L37" s="806"/>
      <c r="M37" s="528"/>
      <c r="N37" s="528"/>
      <c r="O37" s="528"/>
      <c r="P37" s="528"/>
      <c r="Q37" s="528"/>
      <c r="R37" s="807">
        <f>$A37*Q37</f>
        <v>0</v>
      </c>
      <c r="S37" s="528"/>
      <c r="T37" s="643">
        <f>$A37*S37*$T$1</f>
        <v>0</v>
      </c>
    </row>
    <row r="38" spans="1:41" s="519" customFormat="1" ht="13.2">
      <c r="A38" s="49"/>
      <c r="B38" s="528"/>
      <c r="C38" s="528"/>
      <c r="D38" s="3"/>
      <c r="E38" s="528"/>
      <c r="F38" s="528"/>
      <c r="G38" s="528"/>
      <c r="H38" s="528"/>
      <c r="I38" s="528"/>
      <c r="J38" s="528"/>
      <c r="K38" s="528"/>
      <c r="L38" s="806"/>
      <c r="M38" s="528"/>
      <c r="N38" s="528"/>
      <c r="O38" s="528"/>
      <c r="P38" s="528"/>
      <c r="Q38" s="528"/>
      <c r="R38" s="807">
        <f>$A38*Q38</f>
        <v>0</v>
      </c>
      <c r="S38" s="528"/>
      <c r="T38" s="643">
        <f>$A38*S38*$T$1</f>
        <v>0</v>
      </c>
    </row>
    <row r="39" spans="1:41" s="519" customFormat="1" ht="12" customHeight="1">
      <c r="A39" s="835" t="s">
        <v>145</v>
      </c>
      <c r="B39" s="836">
        <f>(R38+T38)</f>
        <v>0</v>
      </c>
      <c r="C39" s="837"/>
      <c r="D39" s="837"/>
      <c r="E39" s="837"/>
      <c r="F39" s="837"/>
      <c r="G39" s="813"/>
      <c r="H39" s="813"/>
      <c r="I39" s="813"/>
      <c r="J39" s="813"/>
      <c r="K39" s="838" t="s">
        <v>5</v>
      </c>
      <c r="L39" s="839" t="s">
        <v>590</v>
      </c>
      <c r="M39" s="813"/>
      <c r="N39" s="813"/>
      <c r="O39" s="813"/>
      <c r="P39" s="813"/>
      <c r="Q39" s="813"/>
      <c r="R39" s="814">
        <f>SUM(R35:R38)</f>
        <v>0</v>
      </c>
      <c r="S39" s="815"/>
      <c r="T39" s="814">
        <f>SUM(T35:T38)</f>
        <v>0</v>
      </c>
      <c r="AG39" s="840">
        <f>ROUND($R39*$S$3,2)</f>
        <v>0</v>
      </c>
    </row>
    <row r="40" spans="1:41" s="519" customFormat="1" ht="12.75" customHeight="1">
      <c r="A40" s="841"/>
      <c r="B40" s="842"/>
      <c r="E40" s="641"/>
      <c r="F40" s="843"/>
      <c r="G40" s="641"/>
      <c r="H40" s="641"/>
      <c r="I40" s="518"/>
      <c r="J40" s="641"/>
      <c r="K40" s="641"/>
      <c r="L40" s="844"/>
      <c r="M40" s="652"/>
      <c r="N40" s="652"/>
      <c r="O40" s="652"/>
      <c r="P40" s="652"/>
      <c r="Q40" s="653"/>
      <c r="R40" s="821"/>
      <c r="S40" s="641"/>
      <c r="T40" s="821"/>
    </row>
    <row r="41" spans="1:41" s="519" customFormat="1" ht="13.5" customHeight="1" thickBot="1">
      <c r="A41" s="845"/>
      <c r="B41" s="846"/>
      <c r="C41" s="529"/>
      <c r="D41" s="529"/>
      <c r="E41" s="646"/>
      <c r="F41" s="647"/>
      <c r="G41" s="646" t="s">
        <v>146</v>
      </c>
      <c r="H41" s="646"/>
      <c r="I41" s="648"/>
      <c r="J41" s="646"/>
      <c r="K41" s="646"/>
      <c r="L41" s="847" t="s">
        <v>143</v>
      </c>
      <c r="M41" s="649"/>
      <c r="N41" s="649"/>
      <c r="O41" s="649"/>
      <c r="P41" s="649"/>
      <c r="Q41" s="650"/>
      <c r="R41" s="848">
        <f ca="1">SUMIF($L28:$L40,"SUBI",R28:R40)</f>
        <v>333</v>
      </c>
      <c r="S41" s="646"/>
      <c r="T41" s="848">
        <f ca="1">SUMIF($L28:$L40,"SUBI",T28:T40)</f>
        <v>5.72</v>
      </c>
      <c r="U41" s="529"/>
      <c r="V41" s="529"/>
      <c r="W41" s="529"/>
      <c r="X41" s="529"/>
      <c r="Y41" s="529"/>
      <c r="Z41" s="529"/>
      <c r="AA41" s="529"/>
      <c r="AB41" s="529"/>
      <c r="AC41" s="529"/>
      <c r="AD41" s="529"/>
      <c r="AE41" s="529"/>
      <c r="AF41" s="529"/>
      <c r="AG41" s="529"/>
      <c r="AH41" s="529"/>
      <c r="AI41" s="529"/>
      <c r="AJ41" s="529"/>
      <c r="AK41" s="529"/>
      <c r="AL41" s="529"/>
      <c r="AM41" s="529"/>
      <c r="AN41" s="529"/>
      <c r="AO41" s="529"/>
    </row>
    <row r="42" spans="1:41" s="519" customFormat="1" thickTop="1">
      <c r="A42" s="47"/>
      <c r="B42" s="40"/>
      <c r="C42" s="47"/>
      <c r="E42" s="41" t="s">
        <v>138</v>
      </c>
      <c r="F42" s="41" t="s">
        <v>139</v>
      </c>
      <c r="G42" s="47"/>
      <c r="H42" s="47"/>
      <c r="I42" s="47"/>
      <c r="J42" s="47"/>
      <c r="K42" s="47" t="s">
        <v>140</v>
      </c>
      <c r="L42" s="774"/>
      <c r="M42" s="47"/>
      <c r="N42" s="47"/>
      <c r="O42" s="48"/>
      <c r="P42" s="47"/>
      <c r="Q42"/>
      <c r="R42"/>
      <c r="S42"/>
      <c r="T42" s="40"/>
      <c r="AG42" s="627" t="s">
        <v>277</v>
      </c>
      <c r="AH42" s="627" t="s">
        <v>278</v>
      </c>
      <c r="AI42" s="627" t="s">
        <v>279</v>
      </c>
      <c r="AJ42" s="627" t="s">
        <v>280</v>
      </c>
      <c r="AK42" s="627" t="s">
        <v>281</v>
      </c>
      <c r="AM42" s="628" t="s">
        <v>290</v>
      </c>
      <c r="AN42" s="629" t="s">
        <v>291</v>
      </c>
      <c r="AO42" s="520" t="s">
        <v>287</v>
      </c>
    </row>
    <row r="43" spans="1:41" s="519" customFormat="1" ht="13.2">
      <c r="A43" s="630">
        <v>2</v>
      </c>
      <c r="B43" s="521" t="s">
        <v>312</v>
      </c>
      <c r="C43" s="631"/>
      <c r="D43" s="632" t="s">
        <v>595</v>
      </c>
      <c r="E43" s="775">
        <f ca="1">IF(AND($A43=0,$A$1="DIF"),0, ROUND(ROUND(SUMIF($L45:$L51,"SUBI",$E45:$E51)/$A43,2)*$C$12,2))</f>
        <v>245.04</v>
      </c>
      <c r="F43" s="776">
        <f ca="1">ROUND($A43*$E43,2)</f>
        <v>490.08</v>
      </c>
      <c r="G43" s="635" t="s">
        <v>142</v>
      </c>
      <c r="H43" s="636"/>
      <c r="I43" s="637"/>
      <c r="J43" s="636"/>
      <c r="K43" s="777"/>
      <c r="L43" s="778" t="s">
        <v>143</v>
      </c>
      <c r="M43" s="638"/>
      <c r="N43" s="638"/>
      <c r="O43" s="638"/>
      <c r="P43" s="638"/>
      <c r="Q43"/>
      <c r="R43"/>
      <c r="S43"/>
      <c r="T43" s="779" t="str">
        <f ca="1">IF(AND($R57=0,$T57=0),"0.00","mu :" &amp; ROUND($F43/$C$12/($R57+$T57*$D$9),2))</f>
        <v>mu :1</v>
      </c>
      <c r="W43" s="522"/>
      <c r="AG43" s="780">
        <f ca="1">IF(A43=0,0,ROUND(SUM(AG45:AG57)/A43,2))</f>
        <v>166.5</v>
      </c>
      <c r="AH43" s="780">
        <f ca="1">$AG43*$A43</f>
        <v>333</v>
      </c>
      <c r="AI43" s="780">
        <f ca="1">$E43-$AG43</f>
        <v>78.539999999999992</v>
      </c>
      <c r="AJ43" s="780">
        <f ca="1">$A43*$AI43</f>
        <v>157.07999999999998</v>
      </c>
      <c r="AK43" s="781">
        <f ca="1">ROUND(($AG43+$AI43)*$A43,2)</f>
        <v>490.08</v>
      </c>
      <c r="AM43" s="525">
        <f ca="1">ROUND(R57,2)</f>
        <v>333</v>
      </c>
      <c r="AN43" s="526">
        <f ca="1">ROUND(T57,2)</f>
        <v>5.72</v>
      </c>
      <c r="AO43" s="527">
        <f ca="1">ROUND(AM43+AN43,2)*A43</f>
        <v>677.44</v>
      </c>
    </row>
    <row r="44" spans="1:41" s="519" customFormat="1" ht="39.9" customHeight="1">
      <c r="A44" s="782"/>
      <c r="B44" s="783"/>
      <c r="C44" s="631"/>
      <c r="D44" s="981" t="s">
        <v>596</v>
      </c>
      <c r="E44" s="980"/>
      <c r="F44" s="980"/>
      <c r="G44" s="980"/>
      <c r="H44" s="980"/>
      <c r="I44" s="980"/>
      <c r="J44" s="980"/>
      <c r="K44" s="980"/>
      <c r="L44" s="980"/>
      <c r="M44" s="980"/>
      <c r="N44" s="980"/>
      <c r="O44" s="980"/>
      <c r="P44" s="980"/>
      <c r="Q44" s="980"/>
      <c r="R44" s="980"/>
      <c r="S44" s="980"/>
      <c r="T44" s="980"/>
    </row>
    <row r="45" spans="1:41" s="519" customFormat="1" ht="12">
      <c r="A45" s="786"/>
      <c r="B45" s="787"/>
      <c r="C45" s="641"/>
      <c r="D45" s="636"/>
      <c r="E45" s="788">
        <f ca="1">F43/$C$12-SUMIF($L42:$L57,"SUBI",$E42:$E57)</f>
        <v>9.9999999999909051E-3</v>
      </c>
      <c r="F45" s="789" t="s">
        <v>589</v>
      </c>
      <c r="G45" s="790"/>
      <c r="H45" s="790"/>
      <c r="I45" s="791"/>
      <c r="J45" s="790"/>
      <c r="K45" s="790"/>
      <c r="L45" s="792"/>
      <c r="M45" s="793"/>
      <c r="N45" s="793"/>
      <c r="O45" s="793"/>
      <c r="P45" s="793"/>
      <c r="Q45" s="794"/>
      <c r="R45" s="795"/>
      <c r="S45" s="794"/>
      <c r="T45" s="796"/>
    </row>
    <row r="46" spans="1:41" s="519" customFormat="1" ht="12" customHeight="1">
      <c r="A46" s="797"/>
      <c r="B46" s="798"/>
      <c r="C46" s="799"/>
      <c r="D46" s="799" t="str">
        <f>$F$2</f>
        <v>Electrical</v>
      </c>
      <c r="E46" s="799">
        <f ca="1">ROUND(($R50*$S$2 + ($T50*$T$2)), 2)</f>
        <v>490.07</v>
      </c>
      <c r="F46" s="800">
        <f ca="1">$E46*$C$12</f>
        <v>490.07</v>
      </c>
      <c r="G46" s="528"/>
      <c r="H46" s="801"/>
      <c r="I46" s="528"/>
      <c r="J46" s="48"/>
      <c r="K46" s="802" t="s">
        <v>3</v>
      </c>
      <c r="L46" s="803" t="s">
        <v>590</v>
      </c>
      <c r="M46" s="528"/>
      <c r="N46" s="528"/>
      <c r="O46" s="48"/>
      <c r="P46" s="528"/>
      <c r="Q46" s="528"/>
      <c r="R46"/>
      <c r="S46"/>
      <c r="T46"/>
    </row>
    <row r="47" spans="1:41" s="956" customFormat="1" ht="13.2">
      <c r="A47"/>
      <c r="B47" s="948"/>
      <c r="C47" s="948" t="s">
        <v>742</v>
      </c>
      <c r="D47" s="948" t="str">
        <f ca="1">CELL("Address",Elec_Rates!D$19)</f>
        <v>[ELM25_0085_Quintano_Elec_Mech_HVAC_Est_Rev_B.xlsx]Elec_Rates!$D$19</v>
      </c>
      <c r="E47" s="949"/>
      <c r="F47" s="949"/>
      <c r="G47" s="950" t="s">
        <v>743</v>
      </c>
      <c r="H47" s="950"/>
      <c r="I47" s="950"/>
      <c r="J47" s="950"/>
      <c r="K47" s="951"/>
      <c r="L47" s="949"/>
      <c r="M47" s="949"/>
      <c r="N47" s="949"/>
      <c r="O47" s="952"/>
      <c r="P47" s="949"/>
      <c r="Q47" s="953"/>
      <c r="R47" s="954"/>
      <c r="S47" s="953"/>
      <c r="T47" s="943"/>
      <c r="U47" s="955"/>
    </row>
    <row r="48" spans="1:41" s="956" customFormat="1" ht="11.4">
      <c r="A48" s="957">
        <v>2</v>
      </c>
      <c r="B48" s="958">
        <v>1</v>
      </c>
      <c r="C48" s="958">
        <f>$A48*$B48</f>
        <v>2</v>
      </c>
      <c r="D48" s="959" t="str">
        <f>Elec_Rates!$D$19</f>
        <v>037# 5 x 16mm2 F120 Fire Resistant Cable (BS7846) -  XLPE/SWA/LSZH</v>
      </c>
      <c r="E48" s="959"/>
      <c r="F48" s="959" t="s">
        <v>744</v>
      </c>
      <c r="G48" s="960" t="s">
        <v>745</v>
      </c>
      <c r="H48" s="960"/>
      <c r="I48" s="960"/>
      <c r="J48" s="960"/>
      <c r="K48" s="961"/>
      <c r="L48" s="955"/>
      <c r="M48" s="955"/>
      <c r="N48" s="955"/>
      <c r="O48" s="962"/>
      <c r="P48" s="959"/>
      <c r="Q48" s="963">
        <f ca="1">$B48*Elec_Rates!$R$19</f>
        <v>166.5</v>
      </c>
      <c r="R48" s="954">
        <f ca="1">$A48*Q48</f>
        <v>333</v>
      </c>
      <c r="S48" s="963">
        <f ca="1">$B48*Elec_Rates!$T$19</f>
        <v>2.86</v>
      </c>
      <c r="T48" s="943">
        <f ca="1">$A48*S48</f>
        <v>5.72</v>
      </c>
      <c r="U48" s="501"/>
    </row>
    <row r="49" spans="1:41" s="519" customFormat="1" ht="13.95" customHeight="1">
      <c r="A49" s="49"/>
      <c r="B49" s="528"/>
      <c r="C49" s="528"/>
      <c r="D49" s="528"/>
      <c r="E49" s="528"/>
      <c r="F49" s="528"/>
      <c r="G49" s="528"/>
      <c r="H49" s="801"/>
      <c r="I49" s="528"/>
      <c r="J49" s="48"/>
      <c r="K49" s="805"/>
      <c r="L49" s="806"/>
      <c r="M49" s="528"/>
      <c r="N49" s="528"/>
      <c r="O49" s="48"/>
      <c r="P49" s="528"/>
      <c r="Q49" s="528"/>
      <c r="R49" s="807">
        <f>$A49*Q49</f>
        <v>0</v>
      </c>
      <c r="S49" s="528"/>
      <c r="T49" s="643">
        <f>$A49*S49*$T$1</f>
        <v>0</v>
      </c>
    </row>
    <row r="50" spans="1:41" s="519" customFormat="1" ht="12">
      <c r="A50" s="808" t="s">
        <v>145</v>
      </c>
      <c r="B50" s="809">
        <f>(R49+T49)</f>
        <v>0</v>
      </c>
      <c r="C50" s="641"/>
      <c r="G50" s="810"/>
      <c r="H50" s="810"/>
      <c r="I50" s="810"/>
      <c r="J50" s="810"/>
      <c r="K50" s="811" t="s">
        <v>3</v>
      </c>
      <c r="L50" s="812" t="s">
        <v>590</v>
      </c>
      <c r="M50" s="810"/>
      <c r="N50" s="810"/>
      <c r="O50" s="810"/>
      <c r="P50" s="810"/>
      <c r="Q50" s="813"/>
      <c r="R50" s="814">
        <f ca="1">SUM(R46:R49)</f>
        <v>333</v>
      </c>
      <c r="S50" s="815"/>
      <c r="T50" s="814">
        <f ca="1">SUM(T46:T49)</f>
        <v>5.72</v>
      </c>
      <c r="AG50" s="816">
        <f ca="1">ROUND($R50*$S$2,2)</f>
        <v>333</v>
      </c>
    </row>
    <row r="51" spans="1:41" s="519" customFormat="1" ht="12" customHeight="1">
      <c r="A51" s="817"/>
      <c r="B51" s="818"/>
      <c r="C51" s="819"/>
      <c r="D51" s="819" t="str">
        <f>$F$3</f>
        <v>ECA</v>
      </c>
      <c r="E51" s="819">
        <f>ROUND(($R55*$S$3 + ($T55*$T$3)), 2)</f>
        <v>0</v>
      </c>
      <c r="F51" s="820">
        <f ca="1">$F43-SUMIF($L45:$P48,"SUBI",$F45:$F48)</f>
        <v>9.9999999999909051E-3</v>
      </c>
      <c r="G51" s="518"/>
      <c r="H51" s="518"/>
      <c r="I51" s="518"/>
      <c r="J51" s="518"/>
      <c r="K51" s="802" t="s">
        <v>5</v>
      </c>
      <c r="L51" s="803" t="s">
        <v>590</v>
      </c>
      <c r="M51" s="518"/>
      <c r="N51" s="518"/>
      <c r="O51" s="518"/>
      <c r="P51" s="518"/>
      <c r="Q51" s="518"/>
      <c r="R51" s="821"/>
      <c r="S51" s="518"/>
      <c r="T51" s="821"/>
    </row>
    <row r="52" spans="1:41" s="834" customFormat="1" ht="14.4" customHeight="1">
      <c r="A52" s="822"/>
      <c r="B52" s="804" t="s">
        <v>592</v>
      </c>
      <c r="C52" s="823"/>
      <c r="D52" s="824"/>
      <c r="E52" s="824"/>
      <c r="F52" s="824"/>
      <c r="G52" s="825"/>
      <c r="H52" s="826"/>
      <c r="I52" s="826"/>
      <c r="J52" s="827"/>
      <c r="K52" s="828"/>
      <c r="L52" s="823"/>
      <c r="M52" s="829"/>
      <c r="N52" s="830"/>
      <c r="O52" s="831"/>
      <c r="P52" s="832"/>
      <c r="Q52" s="833"/>
      <c r="R52" s="807">
        <f>$A52*Q52</f>
        <v>0</v>
      </c>
      <c r="S52" s="528"/>
      <c r="T52" s="643">
        <f>$A52*S52*$T$1</f>
        <v>0</v>
      </c>
    </row>
    <row r="53" spans="1:41" s="519" customFormat="1" ht="11.4">
      <c r="A53" s="49"/>
      <c r="B53" s="528"/>
      <c r="C53" s="528"/>
      <c r="D53" s="528"/>
      <c r="E53" s="528"/>
      <c r="F53" s="528"/>
      <c r="G53" s="528"/>
      <c r="H53" s="528"/>
      <c r="I53" s="528"/>
      <c r="J53" s="528"/>
      <c r="K53" s="528"/>
      <c r="L53" s="806"/>
      <c r="M53" s="528"/>
      <c r="N53" s="528"/>
      <c r="O53" s="528"/>
      <c r="P53" s="528"/>
      <c r="Q53" s="528"/>
      <c r="R53" s="807">
        <f>$A53*Q53</f>
        <v>0</v>
      </c>
      <c r="S53" s="528"/>
      <c r="T53" s="643">
        <f>$A53*S53*$T$1</f>
        <v>0</v>
      </c>
    </row>
    <row r="54" spans="1:41" s="519" customFormat="1" ht="13.2">
      <c r="A54" s="49"/>
      <c r="B54" s="528"/>
      <c r="C54" s="528"/>
      <c r="D54" s="3"/>
      <c r="E54" s="528"/>
      <c r="F54" s="528"/>
      <c r="G54" s="528"/>
      <c r="H54" s="528"/>
      <c r="I54" s="528"/>
      <c r="J54" s="528"/>
      <c r="K54" s="528"/>
      <c r="L54" s="806"/>
      <c r="M54" s="528"/>
      <c r="N54" s="528"/>
      <c r="O54" s="528"/>
      <c r="P54" s="528"/>
      <c r="Q54" s="528"/>
      <c r="R54" s="807">
        <f>$A54*Q54</f>
        <v>0</v>
      </c>
      <c r="S54" s="528"/>
      <c r="T54" s="643">
        <f>$A54*S54*$T$1</f>
        <v>0</v>
      </c>
    </row>
    <row r="55" spans="1:41" s="519" customFormat="1" ht="12" customHeight="1">
      <c r="A55" s="835" t="s">
        <v>145</v>
      </c>
      <c r="B55" s="836">
        <f>(R54+T54)</f>
        <v>0</v>
      </c>
      <c r="C55" s="837"/>
      <c r="D55" s="837"/>
      <c r="E55" s="837"/>
      <c r="F55" s="837"/>
      <c r="G55" s="813"/>
      <c r="H55" s="813"/>
      <c r="I55" s="813"/>
      <c r="J55" s="813"/>
      <c r="K55" s="838" t="s">
        <v>5</v>
      </c>
      <c r="L55" s="839" t="s">
        <v>590</v>
      </c>
      <c r="M55" s="813"/>
      <c r="N55" s="813"/>
      <c r="O55" s="813"/>
      <c r="P55" s="813"/>
      <c r="Q55" s="813"/>
      <c r="R55" s="814">
        <f>SUM(R51:R54)</f>
        <v>0</v>
      </c>
      <c r="S55" s="815"/>
      <c r="T55" s="814">
        <f>SUM(T51:T54)</f>
        <v>0</v>
      </c>
      <c r="AG55" s="840">
        <f>ROUND($R55*$S$3,2)</f>
        <v>0</v>
      </c>
    </row>
    <row r="56" spans="1:41" s="519" customFormat="1" ht="12.75" customHeight="1">
      <c r="A56" s="841"/>
      <c r="B56" s="842"/>
      <c r="E56" s="641"/>
      <c r="F56" s="843"/>
      <c r="G56" s="641"/>
      <c r="H56" s="641"/>
      <c r="I56" s="518"/>
      <c r="J56" s="641"/>
      <c r="K56" s="641"/>
      <c r="L56" s="844"/>
      <c r="M56" s="652"/>
      <c r="N56" s="652"/>
      <c r="O56" s="652"/>
      <c r="P56" s="652"/>
      <c r="Q56" s="653"/>
      <c r="R56" s="821"/>
      <c r="S56" s="641"/>
      <c r="T56" s="821"/>
    </row>
    <row r="57" spans="1:41" s="519" customFormat="1" ht="13.5" customHeight="1" thickBot="1">
      <c r="A57" s="845"/>
      <c r="B57" s="846"/>
      <c r="C57" s="529"/>
      <c r="D57" s="529"/>
      <c r="E57" s="646"/>
      <c r="F57" s="647"/>
      <c r="G57" s="646" t="s">
        <v>146</v>
      </c>
      <c r="H57" s="646"/>
      <c r="I57" s="648"/>
      <c r="J57" s="646"/>
      <c r="K57" s="646"/>
      <c r="L57" s="847" t="s">
        <v>143</v>
      </c>
      <c r="M57" s="649"/>
      <c r="N57" s="649"/>
      <c r="O57" s="649"/>
      <c r="P57" s="649"/>
      <c r="Q57" s="650"/>
      <c r="R57" s="848">
        <f ca="1">SUMIF($L44:$L56,"SUBI",R44:R56)</f>
        <v>333</v>
      </c>
      <c r="S57" s="646"/>
      <c r="T57" s="848">
        <f ca="1">SUMIF($L44:$L56,"SUBI",T44:T56)</f>
        <v>5.72</v>
      </c>
      <c r="U57" s="529"/>
      <c r="V57" s="529"/>
      <c r="W57" s="529"/>
      <c r="X57" s="529"/>
      <c r="Y57" s="529"/>
      <c r="Z57" s="529"/>
      <c r="AA57" s="529"/>
      <c r="AB57" s="529"/>
      <c r="AC57" s="529"/>
      <c r="AD57" s="529"/>
      <c r="AE57" s="529"/>
      <c r="AF57" s="529"/>
      <c r="AG57" s="529"/>
      <c r="AH57" s="529"/>
      <c r="AI57" s="529"/>
      <c r="AJ57" s="529"/>
      <c r="AK57" s="529"/>
      <c r="AL57" s="529"/>
      <c r="AM57" s="529"/>
      <c r="AN57" s="529"/>
      <c r="AO57" s="529"/>
    </row>
    <row r="58" spans="1:41" s="519" customFormat="1" thickTop="1">
      <c r="A58" s="47"/>
      <c r="B58" s="40"/>
      <c r="C58" s="47"/>
      <c r="E58" s="41" t="s">
        <v>138</v>
      </c>
      <c r="F58" s="41" t="s">
        <v>139</v>
      </c>
      <c r="G58" s="47"/>
      <c r="H58" s="47"/>
      <c r="I58" s="47"/>
      <c r="J58" s="47"/>
      <c r="K58" s="47" t="s">
        <v>140</v>
      </c>
      <c r="L58" s="774"/>
      <c r="M58" s="47"/>
      <c r="N58" s="47"/>
      <c r="O58" s="48"/>
      <c r="P58" s="47"/>
      <c r="Q58"/>
      <c r="R58"/>
      <c r="S58"/>
      <c r="T58" s="40"/>
      <c r="AG58" s="627" t="s">
        <v>277</v>
      </c>
      <c r="AH58" s="627" t="s">
        <v>278</v>
      </c>
      <c r="AI58" s="627" t="s">
        <v>279</v>
      </c>
      <c r="AJ58" s="627" t="s">
        <v>280</v>
      </c>
      <c r="AK58" s="627" t="s">
        <v>281</v>
      </c>
      <c r="AM58" s="628" t="s">
        <v>290</v>
      </c>
      <c r="AN58" s="629" t="s">
        <v>291</v>
      </c>
      <c r="AO58" s="520" t="s">
        <v>287</v>
      </c>
    </row>
    <row r="59" spans="1:41" s="519" customFormat="1" ht="13.2">
      <c r="A59" s="630">
        <v>1</v>
      </c>
      <c r="B59" s="521" t="s">
        <v>312</v>
      </c>
      <c r="C59" s="631"/>
      <c r="D59" s="632" t="s">
        <v>597</v>
      </c>
      <c r="E59" s="775">
        <f ca="1">IF(AND($A59=0,$A$1="DIF"),0, ROUND(ROUND(SUMIF($L61:$L67,"SUBI",$E61:$E67)/$A59,2)*$C$12,2))</f>
        <v>65.62</v>
      </c>
      <c r="F59" s="776">
        <f ca="1">ROUND($A59*$E59,2)</f>
        <v>65.62</v>
      </c>
      <c r="G59" s="635" t="s">
        <v>142</v>
      </c>
      <c r="H59" s="636"/>
      <c r="I59" s="637"/>
      <c r="J59" s="636"/>
      <c r="K59" s="777"/>
      <c r="L59" s="778" t="s">
        <v>143</v>
      </c>
      <c r="M59" s="638"/>
      <c r="N59" s="638"/>
      <c r="O59" s="638"/>
      <c r="P59" s="638"/>
      <c r="Q59"/>
      <c r="R59"/>
      <c r="S59"/>
      <c r="T59" s="779" t="str">
        <f ca="1">IF(AND($R73=0,$T73=0),"0.00","mu :" &amp; ROUND($F59/$C$12/($R73+$T73*$D$9),2))</f>
        <v>mu :1</v>
      </c>
      <c r="W59" s="522"/>
      <c r="AG59" s="780">
        <f ca="1">IF(A59=0,0,ROUND(SUM(AG61:AG73)/A59,2))</f>
        <v>20.04</v>
      </c>
      <c r="AH59" s="780">
        <f ca="1">$AG59*$A59</f>
        <v>20.04</v>
      </c>
      <c r="AI59" s="780">
        <f ca="1">$E59-$AG59</f>
        <v>45.580000000000005</v>
      </c>
      <c r="AJ59" s="780">
        <f ca="1">$A59*$AI59</f>
        <v>45.580000000000005</v>
      </c>
      <c r="AK59" s="781">
        <f ca="1">ROUND(($AG59+$AI59)*$A59,2)</f>
        <v>65.62</v>
      </c>
      <c r="AM59" s="525">
        <f ca="1">ROUND(R73,2)</f>
        <v>20.04</v>
      </c>
      <c r="AN59" s="526">
        <f ca="1">ROUND(T73,2)</f>
        <v>1.66</v>
      </c>
      <c r="AO59" s="527">
        <f ca="1">ROUND(AM59+AN59,2)*A59</f>
        <v>21.7</v>
      </c>
    </row>
    <row r="60" spans="1:41" s="519" customFormat="1" ht="19.95" customHeight="1">
      <c r="A60" s="782"/>
      <c r="B60" s="783"/>
      <c r="C60" s="631"/>
      <c r="D60" s="784" t="s">
        <v>598</v>
      </c>
      <c r="F60" s="636"/>
      <c r="G60" s="636"/>
      <c r="H60" s="636"/>
      <c r="I60" s="637"/>
      <c r="J60" s="636"/>
      <c r="K60" s="636" t="s">
        <v>144</v>
      </c>
      <c r="L60" s="785"/>
      <c r="M60" s="636"/>
      <c r="N60" s="636"/>
      <c r="O60" s="636"/>
      <c r="P60" s="636"/>
      <c r="Q60" s="47"/>
      <c r="R60" s="528"/>
      <c r="S60" s="640"/>
      <c r="T60" s="636"/>
    </row>
    <row r="61" spans="1:41" s="519" customFormat="1" ht="12">
      <c r="A61" s="786"/>
      <c r="B61" s="787"/>
      <c r="C61" s="641"/>
      <c r="D61" s="636"/>
      <c r="E61" s="788">
        <f ca="1">F59/$C$12-SUMIF($L58:$L73,"SUBI",$E58:$E73)</f>
        <v>0</v>
      </c>
      <c r="F61" s="789" t="s">
        <v>589</v>
      </c>
      <c r="G61" s="790"/>
      <c r="H61" s="790"/>
      <c r="I61" s="791"/>
      <c r="J61" s="790"/>
      <c r="K61" s="790"/>
      <c r="L61" s="792"/>
      <c r="M61" s="793"/>
      <c r="N61" s="793"/>
      <c r="O61" s="793"/>
      <c r="P61" s="793"/>
      <c r="Q61" s="794"/>
      <c r="R61" s="795"/>
      <c r="S61" s="794"/>
      <c r="T61" s="796"/>
    </row>
    <row r="62" spans="1:41" s="519" customFormat="1" ht="12" customHeight="1">
      <c r="A62" s="797"/>
      <c r="B62" s="798"/>
      <c r="C62" s="799"/>
      <c r="D62" s="799" t="str">
        <f>$F$2</f>
        <v>Electrical</v>
      </c>
      <c r="E62" s="799">
        <f ca="1">ROUND(($R66*$S$2 + ($T66*$T$2)), 2)</f>
        <v>65.62</v>
      </c>
      <c r="F62" s="800">
        <f ca="1">$E62*$C$12</f>
        <v>65.62</v>
      </c>
      <c r="G62" s="528"/>
      <c r="H62" s="801"/>
      <c r="I62" s="528"/>
      <c r="J62" s="48"/>
      <c r="K62" s="802" t="s">
        <v>3</v>
      </c>
      <c r="L62" s="803" t="s">
        <v>590</v>
      </c>
      <c r="M62" s="528"/>
      <c r="N62" s="528"/>
      <c r="O62" s="48"/>
      <c r="P62" s="528"/>
      <c r="Q62" s="528"/>
      <c r="R62"/>
      <c r="S62"/>
      <c r="T62"/>
    </row>
    <row r="63" spans="1:41" s="956" customFormat="1" ht="13.2">
      <c r="A63"/>
      <c r="B63" s="948"/>
      <c r="C63" s="948" t="s">
        <v>742</v>
      </c>
      <c r="D63" s="948" t="str">
        <f ca="1">CELL("Address",Elec_Rates!D$54)</f>
        <v>[ELM25_0085_Quintano_Elec_Mech_HVAC_Est_Rev_B.xlsx]Elec_Rates!$D$54</v>
      </c>
      <c r="E63" s="949"/>
      <c r="F63" s="949"/>
      <c r="G63" s="950" t="s">
        <v>743</v>
      </c>
      <c r="H63" s="950"/>
      <c r="I63" s="950"/>
      <c r="J63" s="950"/>
      <c r="K63" s="951"/>
      <c r="L63" s="949"/>
      <c r="M63" s="949"/>
      <c r="N63" s="949"/>
      <c r="O63" s="952"/>
      <c r="P63" s="949"/>
      <c r="Q63" s="953"/>
      <c r="R63" s="954"/>
      <c r="S63" s="953"/>
      <c r="T63" s="943"/>
      <c r="U63" s="955"/>
    </row>
    <row r="64" spans="1:41" s="956" customFormat="1" ht="11.4">
      <c r="A64" s="957">
        <v>1</v>
      </c>
      <c r="B64" s="958">
        <v>1</v>
      </c>
      <c r="C64" s="958">
        <f>$A64*$B64</f>
        <v>1</v>
      </c>
      <c r="D64" s="959" t="str">
        <f>Elec_Rates!$D$54</f>
        <v>046# 3 x 4mm2 XLPE/SWA/LSZH</v>
      </c>
      <c r="E64" s="959"/>
      <c r="F64" s="959" t="s">
        <v>744</v>
      </c>
      <c r="G64" s="960" t="s">
        <v>745</v>
      </c>
      <c r="H64" s="960"/>
      <c r="I64" s="960"/>
      <c r="J64" s="960"/>
      <c r="K64" s="961"/>
      <c r="L64" s="955"/>
      <c r="M64" s="955"/>
      <c r="N64" s="955"/>
      <c r="O64" s="962"/>
      <c r="P64" s="959"/>
      <c r="Q64" s="963">
        <f ca="1">$B64*Elec_Rates!$R$54</f>
        <v>20.04</v>
      </c>
      <c r="R64" s="954">
        <f ca="1">$A64*Q64</f>
        <v>20.04</v>
      </c>
      <c r="S64" s="963">
        <f ca="1">$B64*Elec_Rates!$T$54</f>
        <v>1.66</v>
      </c>
      <c r="T64" s="943">
        <f ca="1">$A64*S64</f>
        <v>1.66</v>
      </c>
      <c r="U64" s="501"/>
    </row>
    <row r="65" spans="1:41" s="519" customFormat="1" ht="13.95" customHeight="1">
      <c r="A65" s="49"/>
      <c r="B65" s="528"/>
      <c r="C65" s="528"/>
      <c r="D65" s="528"/>
      <c r="E65" s="528"/>
      <c r="F65" s="528"/>
      <c r="G65" s="528"/>
      <c r="H65" s="801"/>
      <c r="I65" s="528"/>
      <c r="J65" s="48"/>
      <c r="K65" s="805"/>
      <c r="L65" s="806"/>
      <c r="M65" s="528"/>
      <c r="N65" s="528"/>
      <c r="O65" s="48"/>
      <c r="P65" s="528"/>
      <c r="Q65" s="528"/>
      <c r="R65" s="807">
        <f>$A65*Q65</f>
        <v>0</v>
      </c>
      <c r="S65" s="528"/>
      <c r="T65" s="643">
        <f>$A65*S65*$T$1</f>
        <v>0</v>
      </c>
    </row>
    <row r="66" spans="1:41" s="519" customFormat="1" ht="12">
      <c r="A66" s="808" t="s">
        <v>145</v>
      </c>
      <c r="B66" s="809">
        <f>(R65+T65)</f>
        <v>0</v>
      </c>
      <c r="C66" s="641"/>
      <c r="G66" s="810"/>
      <c r="H66" s="810"/>
      <c r="I66" s="810"/>
      <c r="J66" s="810"/>
      <c r="K66" s="811" t="s">
        <v>3</v>
      </c>
      <c r="L66" s="812" t="s">
        <v>590</v>
      </c>
      <c r="M66" s="810"/>
      <c r="N66" s="810"/>
      <c r="O66" s="810"/>
      <c r="P66" s="810"/>
      <c r="Q66" s="813"/>
      <c r="R66" s="814">
        <f ca="1">SUM(R62:R65)</f>
        <v>20.04</v>
      </c>
      <c r="S66" s="815"/>
      <c r="T66" s="814">
        <f ca="1">SUM(T62:T65)</f>
        <v>1.66</v>
      </c>
      <c r="AG66" s="816">
        <f ca="1">ROUND($R66*$S$2,2)</f>
        <v>20.04</v>
      </c>
    </row>
    <row r="67" spans="1:41" s="519" customFormat="1" ht="12" customHeight="1">
      <c r="A67" s="817"/>
      <c r="B67" s="818"/>
      <c r="C67" s="819"/>
      <c r="D67" s="819" t="str">
        <f>$F$3</f>
        <v>ECA</v>
      </c>
      <c r="E67" s="819">
        <f>ROUND(($R71*$S$3 + ($T71*$T$3)), 2)</f>
        <v>0</v>
      </c>
      <c r="F67" s="820">
        <f ca="1">$F59-SUMIF($L61:$P64,"SUBI",$F61:$F64)</f>
        <v>0</v>
      </c>
      <c r="G67" s="518"/>
      <c r="H67" s="518"/>
      <c r="I67" s="518"/>
      <c r="J67" s="518"/>
      <c r="K67" s="802" t="s">
        <v>5</v>
      </c>
      <c r="L67" s="803" t="s">
        <v>590</v>
      </c>
      <c r="M67" s="518"/>
      <c r="N67" s="518"/>
      <c r="O67" s="518"/>
      <c r="P67" s="518"/>
      <c r="Q67" s="518"/>
      <c r="R67" s="821"/>
      <c r="S67" s="518"/>
      <c r="T67" s="821"/>
    </row>
    <row r="68" spans="1:41" s="834" customFormat="1" ht="14.4" customHeight="1">
      <c r="A68" s="822"/>
      <c r="B68" s="804" t="s">
        <v>592</v>
      </c>
      <c r="C68" s="823"/>
      <c r="D68" s="824"/>
      <c r="E68" s="824"/>
      <c r="F68" s="824"/>
      <c r="G68" s="825"/>
      <c r="H68" s="826"/>
      <c r="I68" s="826"/>
      <c r="J68" s="827"/>
      <c r="K68" s="828"/>
      <c r="L68" s="823"/>
      <c r="M68" s="829"/>
      <c r="N68" s="830"/>
      <c r="O68" s="831"/>
      <c r="P68" s="832"/>
      <c r="Q68" s="833"/>
      <c r="R68" s="807">
        <f>$A68*Q68</f>
        <v>0</v>
      </c>
      <c r="S68" s="528"/>
      <c r="T68" s="643">
        <f>$A68*S68*$T$1</f>
        <v>0</v>
      </c>
    </row>
    <row r="69" spans="1:41" s="519" customFormat="1" ht="11.4">
      <c r="A69" s="49"/>
      <c r="B69" s="528"/>
      <c r="C69" s="528"/>
      <c r="D69" s="528"/>
      <c r="E69" s="528"/>
      <c r="F69" s="528"/>
      <c r="G69" s="528"/>
      <c r="H69" s="528"/>
      <c r="I69" s="528"/>
      <c r="J69" s="528"/>
      <c r="K69" s="528"/>
      <c r="L69" s="806"/>
      <c r="M69" s="528"/>
      <c r="N69" s="528"/>
      <c r="O69" s="528"/>
      <c r="P69" s="528"/>
      <c r="Q69" s="528"/>
      <c r="R69" s="807">
        <f>$A69*Q69</f>
        <v>0</v>
      </c>
      <c r="S69" s="528"/>
      <c r="T69" s="643">
        <f>$A69*S69*$T$1</f>
        <v>0</v>
      </c>
    </row>
    <row r="70" spans="1:41" s="519" customFormat="1" ht="13.2">
      <c r="A70" s="49"/>
      <c r="B70" s="528"/>
      <c r="C70" s="528"/>
      <c r="D70" s="3"/>
      <c r="E70" s="528"/>
      <c r="F70" s="528"/>
      <c r="G70" s="528"/>
      <c r="H70" s="528"/>
      <c r="I70" s="528"/>
      <c r="J70" s="528"/>
      <c r="K70" s="528"/>
      <c r="L70" s="806"/>
      <c r="M70" s="528"/>
      <c r="N70" s="528"/>
      <c r="O70" s="528"/>
      <c r="P70" s="528"/>
      <c r="Q70" s="528"/>
      <c r="R70" s="807">
        <f>$A70*Q70</f>
        <v>0</v>
      </c>
      <c r="S70" s="528"/>
      <c r="T70" s="643">
        <f>$A70*S70*$T$1</f>
        <v>0</v>
      </c>
    </row>
    <row r="71" spans="1:41" s="519" customFormat="1" ht="12" customHeight="1">
      <c r="A71" s="835" t="s">
        <v>145</v>
      </c>
      <c r="B71" s="836">
        <f>(R70+T70)</f>
        <v>0</v>
      </c>
      <c r="C71" s="837"/>
      <c r="D71" s="837"/>
      <c r="E71" s="837"/>
      <c r="F71" s="837"/>
      <c r="G71" s="813"/>
      <c r="H71" s="813"/>
      <c r="I71" s="813"/>
      <c r="J71" s="813"/>
      <c r="K71" s="838" t="s">
        <v>5</v>
      </c>
      <c r="L71" s="839" t="s">
        <v>590</v>
      </c>
      <c r="M71" s="813"/>
      <c r="N71" s="813"/>
      <c r="O71" s="813"/>
      <c r="P71" s="813"/>
      <c r="Q71" s="813"/>
      <c r="R71" s="814">
        <f>SUM(R67:R70)</f>
        <v>0</v>
      </c>
      <c r="S71" s="815"/>
      <c r="T71" s="814">
        <f>SUM(T67:T70)</f>
        <v>0</v>
      </c>
      <c r="AG71" s="840">
        <f>ROUND($R71*$S$3,2)</f>
        <v>0</v>
      </c>
    </row>
    <row r="72" spans="1:41" s="519" customFormat="1" ht="12.75" customHeight="1">
      <c r="A72" s="841"/>
      <c r="B72" s="842"/>
      <c r="E72" s="641"/>
      <c r="F72" s="843"/>
      <c r="G72" s="641"/>
      <c r="H72" s="641"/>
      <c r="I72" s="518"/>
      <c r="J72" s="641"/>
      <c r="K72" s="641"/>
      <c r="L72" s="844"/>
      <c r="M72" s="652"/>
      <c r="N72" s="652"/>
      <c r="O72" s="652"/>
      <c r="P72" s="652"/>
      <c r="Q72" s="653"/>
      <c r="R72" s="821"/>
      <c r="S72" s="641"/>
      <c r="T72" s="821"/>
    </row>
    <row r="73" spans="1:41" s="519" customFormat="1" ht="13.5" customHeight="1" thickBot="1">
      <c r="A73" s="845"/>
      <c r="B73" s="846"/>
      <c r="C73" s="529"/>
      <c r="D73" s="529"/>
      <c r="E73" s="646"/>
      <c r="F73" s="647"/>
      <c r="G73" s="646" t="s">
        <v>146</v>
      </c>
      <c r="H73" s="646"/>
      <c r="I73" s="648"/>
      <c r="J73" s="646"/>
      <c r="K73" s="646"/>
      <c r="L73" s="847" t="s">
        <v>143</v>
      </c>
      <c r="M73" s="649"/>
      <c r="N73" s="649"/>
      <c r="O73" s="649"/>
      <c r="P73" s="649"/>
      <c r="Q73" s="650"/>
      <c r="R73" s="848">
        <f ca="1">SUMIF($L60:$L72,"SUBI",R60:R72)</f>
        <v>20.04</v>
      </c>
      <c r="S73" s="646"/>
      <c r="T73" s="848">
        <f ca="1">SUMIF($L60:$L72,"SUBI",T60:T72)</f>
        <v>1.66</v>
      </c>
      <c r="U73" s="529"/>
      <c r="V73" s="529"/>
      <c r="W73" s="529"/>
      <c r="X73" s="529"/>
      <c r="Y73" s="529"/>
      <c r="Z73" s="529"/>
      <c r="AA73" s="529"/>
      <c r="AB73" s="529"/>
      <c r="AC73" s="529"/>
      <c r="AD73" s="529"/>
      <c r="AE73" s="529"/>
      <c r="AF73" s="529"/>
      <c r="AG73" s="529"/>
      <c r="AH73" s="529"/>
      <c r="AI73" s="529"/>
      <c r="AJ73" s="529"/>
      <c r="AK73" s="529"/>
      <c r="AL73" s="529"/>
      <c r="AM73" s="529"/>
      <c r="AN73" s="529"/>
      <c r="AO73" s="529"/>
    </row>
    <row r="74" spans="1:41" s="519" customFormat="1" thickTop="1">
      <c r="A74" s="47"/>
      <c r="B74" s="40"/>
      <c r="C74" s="47"/>
      <c r="E74" s="41" t="s">
        <v>138</v>
      </c>
      <c r="F74" s="41" t="s">
        <v>139</v>
      </c>
      <c r="G74" s="47"/>
      <c r="H74" s="47"/>
      <c r="I74" s="47"/>
      <c r="J74" s="47"/>
      <c r="K74" s="47" t="s">
        <v>140</v>
      </c>
      <c r="L74" s="774"/>
      <c r="M74" s="47"/>
      <c r="N74" s="47"/>
      <c r="O74" s="48"/>
      <c r="P74" s="47"/>
      <c r="Q74"/>
      <c r="R74"/>
      <c r="S74"/>
      <c r="T74" s="40"/>
      <c r="AG74" s="627" t="s">
        <v>277</v>
      </c>
      <c r="AH74" s="627" t="s">
        <v>278</v>
      </c>
      <c r="AI74" s="627" t="s">
        <v>279</v>
      </c>
      <c r="AJ74" s="627" t="s">
        <v>280</v>
      </c>
      <c r="AK74" s="627" t="s">
        <v>281</v>
      </c>
      <c r="AM74" s="628" t="s">
        <v>290</v>
      </c>
      <c r="AN74" s="629" t="s">
        <v>291</v>
      </c>
      <c r="AO74" s="520" t="s">
        <v>287</v>
      </c>
    </row>
    <row r="75" spans="1:41" s="519" customFormat="1" ht="13.2">
      <c r="A75" s="630">
        <v>1</v>
      </c>
      <c r="B75" s="521" t="s">
        <v>312</v>
      </c>
      <c r="C75" s="631"/>
      <c r="D75" s="632" t="s">
        <v>599</v>
      </c>
      <c r="E75" s="775">
        <f ca="1">IF(AND($A75=0,$A$1="DIF"),0, ROUND(ROUND(SUMIF($L77:$L83,"SUBI",$E77:$E83)/$A75,2)*$C$12,2))</f>
        <v>73.040000000000006</v>
      </c>
      <c r="F75" s="776">
        <f ca="1">ROUND($A75*$E75,2)</f>
        <v>73.040000000000006</v>
      </c>
      <c r="G75" s="635" t="s">
        <v>142</v>
      </c>
      <c r="H75" s="636"/>
      <c r="I75" s="637"/>
      <c r="J75" s="636"/>
      <c r="K75" s="777"/>
      <c r="L75" s="778" t="s">
        <v>143</v>
      </c>
      <c r="M75" s="638"/>
      <c r="N75" s="638"/>
      <c r="O75" s="638"/>
      <c r="P75" s="638"/>
      <c r="Q75"/>
      <c r="R75"/>
      <c r="S75"/>
      <c r="T75" s="779" t="str">
        <f ca="1">IF(AND($R89=0,$T89=0),"0.00","mu :" &amp; ROUND($F75/$C$12/($R89+$T89*$D$9),2))</f>
        <v>mu :1</v>
      </c>
      <c r="W75" s="522"/>
      <c r="AG75" s="780">
        <f ca="1">IF(A75=0,0,ROUND(SUM(AG77:AG89)/A75,2))</f>
        <v>24.44</v>
      </c>
      <c r="AH75" s="780">
        <f ca="1">$AG75*$A75</f>
        <v>24.44</v>
      </c>
      <c r="AI75" s="780">
        <f ca="1">$E75-$AG75</f>
        <v>48.600000000000009</v>
      </c>
      <c r="AJ75" s="780">
        <f ca="1">$A75*$AI75</f>
        <v>48.600000000000009</v>
      </c>
      <c r="AK75" s="781">
        <f ca="1">ROUND(($AG75+$AI75)*$A75,2)</f>
        <v>73.040000000000006</v>
      </c>
      <c r="AM75" s="525">
        <f ca="1">ROUND(R89,2)</f>
        <v>24.44</v>
      </c>
      <c r="AN75" s="526">
        <f ca="1">ROUND(T89,2)</f>
        <v>1.77</v>
      </c>
      <c r="AO75" s="527">
        <f ca="1">ROUND(AM75+AN75,2)*A75</f>
        <v>26.21</v>
      </c>
    </row>
    <row r="76" spans="1:41" s="519" customFormat="1" ht="19.95" customHeight="1">
      <c r="A76" s="782"/>
      <c r="B76" s="783"/>
      <c r="C76" s="631"/>
      <c r="D76" s="784" t="s">
        <v>600</v>
      </c>
      <c r="F76" s="636"/>
      <c r="G76" s="636"/>
      <c r="H76" s="636"/>
      <c r="I76" s="637"/>
      <c r="J76" s="636"/>
      <c r="K76" s="636" t="s">
        <v>144</v>
      </c>
      <c r="L76" s="785"/>
      <c r="M76" s="636"/>
      <c r="N76" s="636"/>
      <c r="O76" s="636"/>
      <c r="P76" s="636"/>
      <c r="Q76" s="47"/>
      <c r="R76" s="528"/>
      <c r="S76" s="640"/>
      <c r="T76" s="636"/>
    </row>
    <row r="77" spans="1:41" s="519" customFormat="1" ht="12">
      <c r="A77" s="786"/>
      <c r="B77" s="787"/>
      <c r="C77" s="641"/>
      <c r="D77" s="636"/>
      <c r="E77" s="788">
        <f ca="1">F75/$C$12-SUMIF($L74:$L89,"SUBI",$E74:$E89)</f>
        <v>0</v>
      </c>
      <c r="F77" s="789" t="s">
        <v>589</v>
      </c>
      <c r="G77" s="790"/>
      <c r="H77" s="790"/>
      <c r="I77" s="791"/>
      <c r="J77" s="790"/>
      <c r="K77" s="790"/>
      <c r="L77" s="792"/>
      <c r="M77" s="793"/>
      <c r="N77" s="793"/>
      <c r="O77" s="793"/>
      <c r="P77" s="793"/>
      <c r="Q77" s="794"/>
      <c r="R77" s="795"/>
      <c r="S77" s="794"/>
      <c r="T77" s="796"/>
    </row>
    <row r="78" spans="1:41" s="519" customFormat="1" ht="12" customHeight="1">
      <c r="A78" s="797"/>
      <c r="B78" s="798"/>
      <c r="C78" s="799"/>
      <c r="D78" s="799" t="str">
        <f>$F$2</f>
        <v>Electrical</v>
      </c>
      <c r="E78" s="799">
        <f ca="1">ROUND(($R82*$S$2 + ($T82*$T$2)), 2)</f>
        <v>73.040000000000006</v>
      </c>
      <c r="F78" s="800">
        <f ca="1">$E78*$C$12</f>
        <v>73.040000000000006</v>
      </c>
      <c r="G78" s="528"/>
      <c r="H78" s="801"/>
      <c r="I78" s="528"/>
      <c r="J78" s="48"/>
      <c r="K78" s="802" t="s">
        <v>3</v>
      </c>
      <c r="L78" s="803" t="s">
        <v>590</v>
      </c>
      <c r="M78" s="528"/>
      <c r="N78" s="528"/>
      <c r="O78" s="48"/>
      <c r="P78" s="528"/>
      <c r="Q78" s="528"/>
      <c r="R78"/>
      <c r="S78"/>
      <c r="T78"/>
    </row>
    <row r="79" spans="1:41" s="956" customFormat="1" ht="13.2">
      <c r="A79"/>
      <c r="B79" s="948"/>
      <c r="C79" s="948" t="s">
        <v>742</v>
      </c>
      <c r="D79" s="948" t="str">
        <f ca="1">CELL("Address",Elec_Rates!D$43)</f>
        <v>[ELM25_0085_Quintano_Elec_Mech_HVAC_Est_Rev_B.xlsx]Elec_Rates!$D$43</v>
      </c>
      <c r="E79" s="949"/>
      <c r="F79" s="949"/>
      <c r="G79" s="950" t="s">
        <v>743</v>
      </c>
      <c r="H79" s="950"/>
      <c r="I79" s="950"/>
      <c r="J79" s="950"/>
      <c r="K79" s="951"/>
      <c r="L79" s="949"/>
      <c r="M79" s="949"/>
      <c r="N79" s="949"/>
      <c r="O79" s="952"/>
      <c r="P79" s="949"/>
      <c r="Q79" s="953"/>
      <c r="R79" s="954"/>
      <c r="S79" s="953"/>
      <c r="T79" s="943"/>
      <c r="U79" s="955"/>
    </row>
    <row r="80" spans="1:41" s="956" customFormat="1" ht="11.4">
      <c r="A80" s="957">
        <v>1</v>
      </c>
      <c r="B80" s="958">
        <v>1</v>
      </c>
      <c r="C80" s="958">
        <f>$A80*$B80</f>
        <v>1</v>
      </c>
      <c r="D80" s="959" t="str">
        <f>Elec_Rates!$D$43</f>
        <v>045# 5 x 4mm2 XLPE/SWA/LSZH</v>
      </c>
      <c r="E80" s="959"/>
      <c r="F80" s="959" t="s">
        <v>744</v>
      </c>
      <c r="G80" s="960" t="s">
        <v>760</v>
      </c>
      <c r="H80" s="960"/>
      <c r="I80" s="960"/>
      <c r="J80" s="960"/>
      <c r="K80" s="961"/>
      <c r="L80" s="955"/>
      <c r="M80" s="955"/>
      <c r="N80" s="955"/>
      <c r="O80" s="962"/>
      <c r="P80" s="959"/>
      <c r="Q80" s="963">
        <f ca="1">$B80*Elec_Rates!$R$43</f>
        <v>24.44</v>
      </c>
      <c r="R80" s="954">
        <f ca="1">$A80*Q80</f>
        <v>24.44</v>
      </c>
      <c r="S80" s="963">
        <f ca="1">$B80*Elec_Rates!$T$43</f>
        <v>1.77</v>
      </c>
      <c r="T80" s="943">
        <f ca="1">$A80*S80</f>
        <v>1.77</v>
      </c>
      <c r="U80" s="501"/>
    </row>
    <row r="81" spans="1:41" s="519" customFormat="1" ht="13.95" customHeight="1">
      <c r="A81" s="49"/>
      <c r="B81" s="528"/>
      <c r="C81" s="528"/>
      <c r="D81" s="528"/>
      <c r="E81" s="528"/>
      <c r="F81" s="528"/>
      <c r="G81" s="528"/>
      <c r="H81" s="801"/>
      <c r="I81" s="528"/>
      <c r="J81" s="48"/>
      <c r="K81" s="805"/>
      <c r="L81" s="806"/>
      <c r="M81" s="528"/>
      <c r="N81" s="528"/>
      <c r="O81" s="48"/>
      <c r="P81" s="528"/>
      <c r="Q81" s="528"/>
      <c r="R81" s="807">
        <f>$A81*Q81</f>
        <v>0</v>
      </c>
      <c r="S81" s="528"/>
      <c r="T81" s="643">
        <f>$A81*S81*$T$1</f>
        <v>0</v>
      </c>
    </row>
    <row r="82" spans="1:41" s="519" customFormat="1" ht="12">
      <c r="A82" s="808" t="s">
        <v>145</v>
      </c>
      <c r="B82" s="809">
        <f>(R81+T81)</f>
        <v>0</v>
      </c>
      <c r="C82" s="641"/>
      <c r="G82" s="810"/>
      <c r="H82" s="810"/>
      <c r="I82" s="810"/>
      <c r="J82" s="810"/>
      <c r="K82" s="811" t="s">
        <v>3</v>
      </c>
      <c r="L82" s="812" t="s">
        <v>590</v>
      </c>
      <c r="M82" s="810"/>
      <c r="N82" s="810"/>
      <c r="O82" s="810"/>
      <c r="P82" s="810"/>
      <c r="Q82" s="813"/>
      <c r="R82" s="814">
        <f ca="1">SUM(R78:R81)</f>
        <v>24.44</v>
      </c>
      <c r="S82" s="815"/>
      <c r="T82" s="814">
        <f ca="1">SUM(T78:T81)</f>
        <v>1.77</v>
      </c>
      <c r="AG82" s="816">
        <f ca="1">ROUND($R82*$S$2,2)</f>
        <v>24.44</v>
      </c>
    </row>
    <row r="83" spans="1:41" s="519" customFormat="1" ht="12" customHeight="1">
      <c r="A83" s="817"/>
      <c r="B83" s="818"/>
      <c r="C83" s="819"/>
      <c r="D83" s="819" t="str">
        <f>$F$3</f>
        <v>ECA</v>
      </c>
      <c r="E83" s="819">
        <f>ROUND(($R87*$S$3 + ($T87*$T$3)), 2)</f>
        <v>0</v>
      </c>
      <c r="F83" s="820">
        <f ca="1">$F75-SUMIF($L77:$P80,"SUBI",$F77:$F80)</f>
        <v>0</v>
      </c>
      <c r="G83" s="518"/>
      <c r="H83" s="518"/>
      <c r="I83" s="518"/>
      <c r="J83" s="518"/>
      <c r="K83" s="802" t="s">
        <v>5</v>
      </c>
      <c r="L83" s="803" t="s">
        <v>590</v>
      </c>
      <c r="M83" s="518"/>
      <c r="N83" s="518"/>
      <c r="O83" s="518"/>
      <c r="P83" s="518"/>
      <c r="Q83" s="518"/>
      <c r="R83" s="821"/>
      <c r="S83" s="518"/>
      <c r="T83" s="821"/>
    </row>
    <row r="84" spans="1:41" s="834" customFormat="1" ht="14.4" customHeight="1">
      <c r="A84" s="822"/>
      <c r="B84" s="804" t="s">
        <v>592</v>
      </c>
      <c r="C84" s="823"/>
      <c r="D84" s="824"/>
      <c r="E84" s="824"/>
      <c r="F84" s="824"/>
      <c r="G84" s="825"/>
      <c r="H84" s="826"/>
      <c r="I84" s="826"/>
      <c r="J84" s="827"/>
      <c r="K84" s="828"/>
      <c r="L84" s="823"/>
      <c r="M84" s="829"/>
      <c r="N84" s="830"/>
      <c r="O84" s="831"/>
      <c r="P84" s="832"/>
      <c r="Q84" s="833"/>
      <c r="R84" s="807">
        <f>$A84*Q84</f>
        <v>0</v>
      </c>
      <c r="S84" s="528"/>
      <c r="T84" s="643">
        <f>$A84*S84*$T$1</f>
        <v>0</v>
      </c>
    </row>
    <row r="85" spans="1:41" s="519" customFormat="1" ht="11.4">
      <c r="A85" s="49"/>
      <c r="B85" s="528"/>
      <c r="C85" s="528"/>
      <c r="D85" s="528"/>
      <c r="E85" s="528"/>
      <c r="F85" s="528"/>
      <c r="G85" s="528"/>
      <c r="H85" s="528"/>
      <c r="I85" s="528"/>
      <c r="J85" s="528"/>
      <c r="K85" s="528"/>
      <c r="L85" s="806"/>
      <c r="M85" s="528"/>
      <c r="N85" s="528"/>
      <c r="O85" s="528"/>
      <c r="P85" s="528"/>
      <c r="Q85" s="528"/>
      <c r="R85" s="807">
        <f>$A85*Q85</f>
        <v>0</v>
      </c>
      <c r="S85" s="528"/>
      <c r="T85" s="643">
        <f>$A85*S85*$T$1</f>
        <v>0</v>
      </c>
    </row>
    <row r="86" spans="1:41" s="519" customFormat="1" ht="13.2">
      <c r="A86" s="49"/>
      <c r="B86" s="528"/>
      <c r="C86" s="528"/>
      <c r="D86" s="3"/>
      <c r="E86" s="528"/>
      <c r="F86" s="528"/>
      <c r="G86" s="528"/>
      <c r="H86" s="528"/>
      <c r="I86" s="528"/>
      <c r="J86" s="528"/>
      <c r="K86" s="528"/>
      <c r="L86" s="806"/>
      <c r="M86" s="528"/>
      <c r="N86" s="528"/>
      <c r="O86" s="528"/>
      <c r="P86" s="528"/>
      <c r="Q86" s="528"/>
      <c r="R86" s="807">
        <f>$A86*Q86</f>
        <v>0</v>
      </c>
      <c r="S86" s="528"/>
      <c r="T86" s="643">
        <f>$A86*S86*$T$1</f>
        <v>0</v>
      </c>
    </row>
    <row r="87" spans="1:41" s="519" customFormat="1" ht="12" customHeight="1">
      <c r="A87" s="835" t="s">
        <v>145</v>
      </c>
      <c r="B87" s="836">
        <f>(R86+T86)</f>
        <v>0</v>
      </c>
      <c r="C87" s="837"/>
      <c r="D87" s="837"/>
      <c r="E87" s="837"/>
      <c r="F87" s="837"/>
      <c r="G87" s="813"/>
      <c r="H87" s="813"/>
      <c r="I87" s="813"/>
      <c r="J87" s="813"/>
      <c r="K87" s="838" t="s">
        <v>5</v>
      </c>
      <c r="L87" s="839" t="s">
        <v>590</v>
      </c>
      <c r="M87" s="813"/>
      <c r="N87" s="813"/>
      <c r="O87" s="813"/>
      <c r="P87" s="813"/>
      <c r="Q87" s="813"/>
      <c r="R87" s="814">
        <f>SUM(R83:R86)</f>
        <v>0</v>
      </c>
      <c r="S87" s="815"/>
      <c r="T87" s="814">
        <f>SUM(T83:T86)</f>
        <v>0</v>
      </c>
      <c r="AG87" s="840">
        <f>ROUND($R87*$S$3,2)</f>
        <v>0</v>
      </c>
    </row>
    <row r="88" spans="1:41" s="519" customFormat="1" ht="12.75" customHeight="1">
      <c r="A88" s="841"/>
      <c r="B88" s="842"/>
      <c r="E88" s="641"/>
      <c r="F88" s="843"/>
      <c r="G88" s="641"/>
      <c r="H88" s="641"/>
      <c r="I88" s="518"/>
      <c r="J88" s="641"/>
      <c r="K88" s="641"/>
      <c r="L88" s="844"/>
      <c r="M88" s="652"/>
      <c r="N88" s="652"/>
      <c r="O88" s="652"/>
      <c r="P88" s="652"/>
      <c r="Q88" s="653"/>
      <c r="R88" s="821"/>
      <c r="S88" s="641"/>
      <c r="T88" s="821"/>
    </row>
    <row r="89" spans="1:41" s="519" customFormat="1" ht="13.5" customHeight="1" thickBot="1">
      <c r="A89" s="845"/>
      <c r="B89" s="846"/>
      <c r="C89" s="529"/>
      <c r="D89" s="529"/>
      <c r="E89" s="646"/>
      <c r="F89" s="647"/>
      <c r="G89" s="646" t="s">
        <v>146</v>
      </c>
      <c r="H89" s="646"/>
      <c r="I89" s="648"/>
      <c r="J89" s="646"/>
      <c r="K89" s="646"/>
      <c r="L89" s="847" t="s">
        <v>143</v>
      </c>
      <c r="M89" s="649"/>
      <c r="N89" s="649"/>
      <c r="O89" s="649"/>
      <c r="P89" s="649"/>
      <c r="Q89" s="650"/>
      <c r="R89" s="848">
        <f ca="1">SUMIF($L76:$L88,"SUBI",R76:R88)</f>
        <v>24.44</v>
      </c>
      <c r="S89" s="646"/>
      <c r="T89" s="848">
        <f ca="1">SUMIF($L76:$L88,"SUBI",T76:T88)</f>
        <v>1.77</v>
      </c>
      <c r="U89" s="529"/>
      <c r="V89" s="529"/>
      <c r="W89" s="529"/>
      <c r="X89" s="529"/>
      <c r="Y89" s="529"/>
      <c r="Z89" s="529"/>
      <c r="AA89" s="529"/>
      <c r="AB89" s="529"/>
      <c r="AC89" s="529"/>
      <c r="AD89" s="529"/>
      <c r="AE89" s="529"/>
      <c r="AF89" s="529"/>
      <c r="AG89" s="529"/>
      <c r="AH89" s="529"/>
      <c r="AI89" s="529"/>
      <c r="AJ89" s="529"/>
      <c r="AK89" s="529"/>
      <c r="AL89" s="529"/>
      <c r="AM89" s="529"/>
      <c r="AN89" s="529"/>
      <c r="AO89" s="529"/>
    </row>
    <row r="90" spans="1:41" s="519" customFormat="1" thickTop="1">
      <c r="A90" s="47"/>
      <c r="B90" s="40"/>
      <c r="C90" s="47"/>
      <c r="E90" s="41" t="s">
        <v>138</v>
      </c>
      <c r="F90" s="41" t="s">
        <v>139</v>
      </c>
      <c r="G90" s="47"/>
      <c r="H90" s="47"/>
      <c r="I90" s="47"/>
      <c r="J90" s="47"/>
      <c r="K90" s="47" t="s">
        <v>140</v>
      </c>
      <c r="L90" s="774"/>
      <c r="M90" s="47"/>
      <c r="N90" s="47"/>
      <c r="O90" s="48"/>
      <c r="P90" s="47"/>
      <c r="Q90"/>
      <c r="R90"/>
      <c r="S90"/>
      <c r="T90" s="40"/>
      <c r="AG90" s="627" t="s">
        <v>277</v>
      </c>
      <c r="AH90" s="627" t="s">
        <v>278</v>
      </c>
      <c r="AI90" s="627" t="s">
        <v>279</v>
      </c>
      <c r="AJ90" s="627" t="s">
        <v>280</v>
      </c>
      <c r="AK90" s="627" t="s">
        <v>281</v>
      </c>
      <c r="AM90" s="628" t="s">
        <v>290</v>
      </c>
      <c r="AN90" s="629" t="s">
        <v>291</v>
      </c>
      <c r="AO90" s="520" t="s">
        <v>287</v>
      </c>
    </row>
    <row r="91" spans="1:41" s="519" customFormat="1" ht="13.2">
      <c r="A91" s="630">
        <v>1</v>
      </c>
      <c r="B91" s="521" t="s">
        <v>312</v>
      </c>
      <c r="C91" s="631"/>
      <c r="D91" s="632" t="s">
        <v>601</v>
      </c>
      <c r="E91" s="775">
        <f ca="1">IF(AND($A91=0,$A$1="DIF"),0, ROUND(ROUND(SUMIF($L93:$L100,"SUBI",$E93:$E100)/$A91,2)*$C$12,2))</f>
        <v>73.040000000000006</v>
      </c>
      <c r="F91" s="776">
        <f ca="1">ROUND($A91*$E91,2)</f>
        <v>73.040000000000006</v>
      </c>
      <c r="G91" s="635" t="s">
        <v>142</v>
      </c>
      <c r="H91" s="636"/>
      <c r="I91" s="637"/>
      <c r="J91" s="636"/>
      <c r="K91" s="777"/>
      <c r="L91" s="778" t="s">
        <v>143</v>
      </c>
      <c r="M91" s="638"/>
      <c r="N91" s="638"/>
      <c r="O91" s="638"/>
      <c r="P91" s="638"/>
      <c r="Q91"/>
      <c r="R91"/>
      <c r="S91"/>
      <c r="T91" s="779" t="str">
        <f ca="1">IF(AND($R106=0,$T106=0),"0.00","mu :" &amp; ROUND($F91/$C$12/($R106+$T106*$D$9),2))</f>
        <v>mu :1</v>
      </c>
      <c r="W91" s="522"/>
      <c r="AG91" s="780">
        <f ca="1">IF(A91=0,0,ROUND(SUM(AG93:AG106)/A91,2))</f>
        <v>24.44</v>
      </c>
      <c r="AH91" s="780">
        <f ca="1">$AG91*$A91</f>
        <v>24.44</v>
      </c>
      <c r="AI91" s="780">
        <f ca="1">$E91-$AG91</f>
        <v>48.600000000000009</v>
      </c>
      <c r="AJ91" s="780">
        <f ca="1">$A91*$AI91</f>
        <v>48.600000000000009</v>
      </c>
      <c r="AK91" s="781">
        <f ca="1">ROUND(($AG91+$AI91)*$A91,2)</f>
        <v>73.040000000000006</v>
      </c>
      <c r="AM91" s="525">
        <f ca="1">ROUND(R106,2)</f>
        <v>24.44</v>
      </c>
      <c r="AN91" s="526">
        <f ca="1">ROUND(T106,2)</f>
        <v>1.77</v>
      </c>
      <c r="AO91" s="527">
        <f ca="1">ROUND(AM91+AN91,2)*A91</f>
        <v>26.21</v>
      </c>
    </row>
    <row r="92" spans="1:41" s="519" customFormat="1" ht="19.95" customHeight="1">
      <c r="A92" s="782"/>
      <c r="B92" s="783"/>
      <c r="C92" s="631"/>
      <c r="D92" s="784" t="s">
        <v>602</v>
      </c>
      <c r="F92" s="636"/>
      <c r="G92" s="636"/>
      <c r="H92" s="636"/>
      <c r="I92" s="637"/>
      <c r="J92" s="636"/>
      <c r="K92" s="636" t="s">
        <v>144</v>
      </c>
      <c r="L92" s="785"/>
      <c r="M92" s="636"/>
      <c r="N92" s="636"/>
      <c r="O92" s="636"/>
      <c r="P92" s="636"/>
      <c r="Q92" s="47"/>
      <c r="R92" s="528"/>
      <c r="S92" s="640"/>
      <c r="T92" s="636"/>
    </row>
    <row r="93" spans="1:41" s="519" customFormat="1" ht="12">
      <c r="A93" s="786"/>
      <c r="B93" s="787"/>
      <c r="C93" s="641"/>
      <c r="D93" s="636"/>
      <c r="E93" s="788">
        <f ca="1">F91/$C$12-SUMIF($L90:$L106,"SUBI",$E90:$E106)</f>
        <v>0</v>
      </c>
      <c r="F93" s="789" t="s">
        <v>589</v>
      </c>
      <c r="G93" s="790"/>
      <c r="H93" s="790"/>
      <c r="I93" s="791"/>
      <c r="J93" s="790"/>
      <c r="K93" s="790"/>
      <c r="L93" s="792"/>
      <c r="M93" s="793"/>
      <c r="N93" s="793"/>
      <c r="O93" s="793"/>
      <c r="P93" s="793"/>
      <c r="Q93" s="794"/>
      <c r="R93" s="795"/>
      <c r="S93" s="794"/>
      <c r="T93" s="796"/>
    </row>
    <row r="94" spans="1:41" s="519" customFormat="1" ht="12" customHeight="1">
      <c r="A94" s="797"/>
      <c r="B94" s="798"/>
      <c r="C94" s="799"/>
      <c r="D94" s="799" t="str">
        <f>$F$2</f>
        <v>Electrical</v>
      </c>
      <c r="E94" s="799">
        <f ca="1">ROUND(($R99*$S$2 + ($T99*$T$2)), 2)</f>
        <v>73.040000000000006</v>
      </c>
      <c r="F94" s="800">
        <f ca="1">$E94*$C$12</f>
        <v>73.040000000000006</v>
      </c>
      <c r="G94" s="528"/>
      <c r="H94" s="801"/>
      <c r="I94" s="528"/>
      <c r="J94" s="48"/>
      <c r="K94" s="802" t="s">
        <v>3</v>
      </c>
      <c r="L94" s="803" t="s">
        <v>590</v>
      </c>
      <c r="M94" s="528"/>
      <c r="N94" s="528"/>
      <c r="O94" s="48"/>
      <c r="P94" s="528"/>
      <c r="Q94" s="528"/>
      <c r="R94"/>
      <c r="S94"/>
      <c r="T94"/>
    </row>
    <row r="95" spans="1:41" s="956" customFormat="1" ht="13.2">
      <c r="A95"/>
      <c r="B95" s="948"/>
      <c r="C95" s="948" t="s">
        <v>742</v>
      </c>
      <c r="D95" s="948" t="str">
        <f ca="1">CELL("Address",Elec_Rates!D$43)</f>
        <v>[ELM25_0085_Quintano_Elec_Mech_HVAC_Est_Rev_B.xlsx]Elec_Rates!$D$43</v>
      </c>
      <c r="E95" s="949"/>
      <c r="F95" s="949"/>
      <c r="G95" s="950" t="s">
        <v>743</v>
      </c>
      <c r="H95" s="950"/>
      <c r="I95" s="950"/>
      <c r="J95" s="950"/>
      <c r="K95" s="951"/>
      <c r="L95" s="949"/>
      <c r="M95" s="949"/>
      <c r="N95" s="949"/>
      <c r="O95" s="952"/>
      <c r="P95" s="949"/>
      <c r="Q95" s="953"/>
      <c r="R95" s="954"/>
      <c r="S95" s="953"/>
      <c r="T95" s="943"/>
      <c r="U95" s="955"/>
    </row>
    <row r="96" spans="1:41" s="956" customFormat="1" ht="11.4">
      <c r="A96" s="957">
        <v>1</v>
      </c>
      <c r="B96" s="958">
        <v>1</v>
      </c>
      <c r="C96" s="958">
        <f>$A96*$B96</f>
        <v>1</v>
      </c>
      <c r="D96" s="959" t="str">
        <f>Elec_Rates!$D$43</f>
        <v>045# 5 x 4mm2 XLPE/SWA/LSZH</v>
      </c>
      <c r="E96" s="959"/>
      <c r="F96" s="959" t="s">
        <v>744</v>
      </c>
      <c r="G96" s="960" t="s">
        <v>760</v>
      </c>
      <c r="H96" s="960"/>
      <c r="I96" s="960"/>
      <c r="J96" s="960"/>
      <c r="K96" s="961"/>
      <c r="L96" s="955"/>
      <c r="M96" s="955"/>
      <c r="N96" s="955"/>
      <c r="O96" s="962"/>
      <c r="P96" s="959"/>
      <c r="Q96" s="963">
        <f ca="1">$B96*Elec_Rates!$R$43</f>
        <v>24.44</v>
      </c>
      <c r="R96" s="954">
        <f ca="1">$A96*Q96</f>
        <v>24.44</v>
      </c>
      <c r="S96" s="963">
        <f ca="1">$B96*Elec_Rates!$T$43</f>
        <v>1.77</v>
      </c>
      <c r="T96" s="943">
        <f ca="1">$A96*S96</f>
        <v>1.77</v>
      </c>
      <c r="U96" s="501"/>
    </row>
    <row r="97" spans="1:41" s="956" customFormat="1" ht="11.4">
      <c r="A97" s="957"/>
      <c r="B97" s="958"/>
      <c r="C97" s="958"/>
      <c r="D97" s="994" t="s">
        <v>870</v>
      </c>
      <c r="E97" s="959"/>
      <c r="F97" s="959"/>
      <c r="G97" s="960"/>
      <c r="H97" s="960"/>
      <c r="I97" s="960"/>
      <c r="J97" s="960"/>
      <c r="K97" s="961"/>
      <c r="L97" s="955"/>
      <c r="M97" s="955"/>
      <c r="N97" s="955"/>
      <c r="O97" s="962"/>
      <c r="P97" s="959"/>
      <c r="Q97" s="963"/>
      <c r="R97" s="954"/>
      <c r="S97" s="963"/>
      <c r="T97" s="943"/>
      <c r="U97" s="501"/>
    </row>
    <row r="98" spans="1:41" s="519" customFormat="1" ht="13.95" customHeight="1">
      <c r="A98" s="49"/>
      <c r="B98" s="528"/>
      <c r="C98" s="528"/>
      <c r="D98" s="528"/>
      <c r="E98" s="528"/>
      <c r="F98" s="528"/>
      <c r="G98" s="528"/>
      <c r="H98" s="801"/>
      <c r="I98" s="528"/>
      <c r="J98" s="48"/>
      <c r="K98" s="805"/>
      <c r="L98" s="806"/>
      <c r="M98" s="528"/>
      <c r="N98" s="528"/>
      <c r="O98" s="48"/>
      <c r="P98" s="528"/>
      <c r="Q98" s="528"/>
      <c r="R98" s="807">
        <f>$A98*Q98</f>
        <v>0</v>
      </c>
      <c r="S98" s="528"/>
      <c r="T98" s="643">
        <f>$A98*S98*$T$1</f>
        <v>0</v>
      </c>
    </row>
    <row r="99" spans="1:41" s="519" customFormat="1" ht="12">
      <c r="A99" s="808" t="s">
        <v>145</v>
      </c>
      <c r="B99" s="809">
        <f>(R98+T98)</f>
        <v>0</v>
      </c>
      <c r="C99" s="641"/>
      <c r="G99" s="810"/>
      <c r="H99" s="810"/>
      <c r="I99" s="810"/>
      <c r="J99" s="810"/>
      <c r="K99" s="811" t="s">
        <v>3</v>
      </c>
      <c r="L99" s="812" t="s">
        <v>590</v>
      </c>
      <c r="M99" s="810"/>
      <c r="N99" s="810"/>
      <c r="O99" s="810"/>
      <c r="P99" s="810"/>
      <c r="Q99" s="813"/>
      <c r="R99" s="814">
        <f ca="1">SUM(R94:R98)</f>
        <v>24.44</v>
      </c>
      <c r="S99" s="815"/>
      <c r="T99" s="814">
        <f ca="1">SUM(T94:T98)</f>
        <v>1.77</v>
      </c>
      <c r="AG99" s="816">
        <f ca="1">ROUND($R99*$S$2,2)</f>
        <v>24.44</v>
      </c>
    </row>
    <row r="100" spans="1:41" s="519" customFormat="1" ht="12" customHeight="1">
      <c r="A100" s="817"/>
      <c r="B100" s="818"/>
      <c r="C100" s="819"/>
      <c r="D100" s="819" t="str">
        <f>$F$3</f>
        <v>ECA</v>
      </c>
      <c r="E100" s="819">
        <f>ROUND(($R104*$S$3 + ($T104*$T$3)), 2)</f>
        <v>0</v>
      </c>
      <c r="F100" s="820">
        <f ca="1">$F91-SUMIF($L93:$P96,"SUBI",$F93:$F96)</f>
        <v>0</v>
      </c>
      <c r="G100" s="518"/>
      <c r="H100" s="518"/>
      <c r="I100" s="518"/>
      <c r="J100" s="518"/>
      <c r="K100" s="802" t="s">
        <v>5</v>
      </c>
      <c r="L100" s="803" t="s">
        <v>590</v>
      </c>
      <c r="M100" s="518"/>
      <c r="N100" s="518"/>
      <c r="O100" s="518"/>
      <c r="P100" s="518"/>
      <c r="Q100" s="518"/>
      <c r="R100" s="821"/>
      <c r="S100" s="518"/>
      <c r="T100" s="821"/>
    </row>
    <row r="101" spans="1:41" s="834" customFormat="1" ht="14.4" customHeight="1">
      <c r="A101" s="822"/>
      <c r="B101" s="804" t="s">
        <v>592</v>
      </c>
      <c r="C101" s="823"/>
      <c r="D101" s="824"/>
      <c r="E101" s="824"/>
      <c r="F101" s="824"/>
      <c r="G101" s="825"/>
      <c r="H101" s="826"/>
      <c r="I101" s="826"/>
      <c r="J101" s="827"/>
      <c r="K101" s="828"/>
      <c r="L101" s="823"/>
      <c r="M101" s="829"/>
      <c r="N101" s="830"/>
      <c r="O101" s="831"/>
      <c r="P101" s="832"/>
      <c r="Q101" s="833"/>
      <c r="R101" s="807">
        <f>$A101*Q101</f>
        <v>0</v>
      </c>
      <c r="S101" s="528"/>
      <c r="T101" s="643">
        <f>$A101*S101*$T$1</f>
        <v>0</v>
      </c>
    </row>
    <row r="102" spans="1:41" s="519" customFormat="1" ht="11.4">
      <c r="A102" s="49"/>
      <c r="B102" s="528"/>
      <c r="C102" s="528"/>
      <c r="D102" s="528"/>
      <c r="E102" s="528"/>
      <c r="F102" s="528"/>
      <c r="G102" s="528"/>
      <c r="H102" s="528"/>
      <c r="I102" s="528"/>
      <c r="J102" s="528"/>
      <c r="K102" s="528"/>
      <c r="L102" s="806"/>
      <c r="M102" s="528"/>
      <c r="N102" s="528"/>
      <c r="O102" s="528"/>
      <c r="P102" s="528"/>
      <c r="Q102" s="528"/>
      <c r="R102" s="807">
        <f>$A102*Q102</f>
        <v>0</v>
      </c>
      <c r="S102" s="528"/>
      <c r="T102" s="643">
        <f>$A102*S102*$T$1</f>
        <v>0</v>
      </c>
    </row>
    <row r="103" spans="1:41" s="519" customFormat="1" ht="13.2">
      <c r="A103" s="49"/>
      <c r="B103" s="528"/>
      <c r="C103" s="528"/>
      <c r="D103" s="3"/>
      <c r="E103" s="528"/>
      <c r="F103" s="528"/>
      <c r="G103" s="528"/>
      <c r="H103" s="528"/>
      <c r="I103" s="528"/>
      <c r="J103" s="528"/>
      <c r="K103" s="528"/>
      <c r="L103" s="806"/>
      <c r="M103" s="528"/>
      <c r="N103" s="528"/>
      <c r="O103" s="528"/>
      <c r="P103" s="528"/>
      <c r="Q103" s="528"/>
      <c r="R103" s="807">
        <f>$A103*Q103</f>
        <v>0</v>
      </c>
      <c r="S103" s="528"/>
      <c r="T103" s="643">
        <f>$A103*S103*$T$1</f>
        <v>0</v>
      </c>
    </row>
    <row r="104" spans="1:41" s="519" customFormat="1" ht="12" customHeight="1">
      <c r="A104" s="835" t="s">
        <v>145</v>
      </c>
      <c r="B104" s="836">
        <f>(R103+T103)</f>
        <v>0</v>
      </c>
      <c r="C104" s="837"/>
      <c r="D104" s="837"/>
      <c r="E104" s="837"/>
      <c r="F104" s="837"/>
      <c r="G104" s="813"/>
      <c r="H104" s="813"/>
      <c r="I104" s="813"/>
      <c r="J104" s="813"/>
      <c r="K104" s="838" t="s">
        <v>5</v>
      </c>
      <c r="L104" s="839" t="s">
        <v>590</v>
      </c>
      <c r="M104" s="813"/>
      <c r="N104" s="813"/>
      <c r="O104" s="813"/>
      <c r="P104" s="813"/>
      <c r="Q104" s="813"/>
      <c r="R104" s="814">
        <f>SUM(R100:R103)</f>
        <v>0</v>
      </c>
      <c r="S104" s="815"/>
      <c r="T104" s="814">
        <f>SUM(T100:T103)</f>
        <v>0</v>
      </c>
      <c r="AG104" s="840">
        <f>ROUND($R104*$S$3,2)</f>
        <v>0</v>
      </c>
    </row>
    <row r="105" spans="1:41" s="519" customFormat="1" ht="12.75" customHeight="1">
      <c r="A105" s="841"/>
      <c r="B105" s="842"/>
      <c r="E105" s="641"/>
      <c r="F105" s="843"/>
      <c r="G105" s="641"/>
      <c r="H105" s="641"/>
      <c r="I105" s="518"/>
      <c r="J105" s="641"/>
      <c r="K105" s="641"/>
      <c r="L105" s="844"/>
      <c r="M105" s="652"/>
      <c r="N105" s="652"/>
      <c r="O105" s="652"/>
      <c r="P105" s="652"/>
      <c r="Q105" s="653"/>
      <c r="R105" s="821"/>
      <c r="S105" s="641"/>
      <c r="T105" s="821"/>
    </row>
    <row r="106" spans="1:41" s="519" customFormat="1" ht="13.5" customHeight="1" thickBot="1">
      <c r="A106" s="845"/>
      <c r="B106" s="846"/>
      <c r="C106" s="529"/>
      <c r="D106" s="529"/>
      <c r="E106" s="646"/>
      <c r="F106" s="647"/>
      <c r="G106" s="646" t="s">
        <v>146</v>
      </c>
      <c r="H106" s="646"/>
      <c r="I106" s="648"/>
      <c r="J106" s="646"/>
      <c r="K106" s="646"/>
      <c r="L106" s="847" t="s">
        <v>143</v>
      </c>
      <c r="M106" s="649"/>
      <c r="N106" s="649"/>
      <c r="O106" s="649"/>
      <c r="P106" s="649"/>
      <c r="Q106" s="650"/>
      <c r="R106" s="848">
        <f ca="1">SUMIF($L92:$L105,"SUBI",R92:R105)</f>
        <v>24.44</v>
      </c>
      <c r="S106" s="646"/>
      <c r="T106" s="848">
        <f ca="1">SUMIF($L92:$L105,"SUBI",T92:T105)</f>
        <v>1.77</v>
      </c>
      <c r="U106" s="529"/>
      <c r="V106" s="529"/>
      <c r="W106" s="529"/>
      <c r="X106" s="529"/>
      <c r="Y106" s="529"/>
      <c r="Z106" s="529"/>
      <c r="AA106" s="529"/>
      <c r="AB106" s="529"/>
      <c r="AC106" s="529"/>
      <c r="AD106" s="529"/>
      <c r="AE106" s="529"/>
      <c r="AF106" s="529"/>
      <c r="AG106" s="529"/>
      <c r="AH106" s="529"/>
      <c r="AI106" s="529"/>
      <c r="AJ106" s="529"/>
      <c r="AK106" s="529"/>
      <c r="AL106" s="529"/>
      <c r="AM106" s="529"/>
      <c r="AN106" s="529"/>
      <c r="AO106" s="529"/>
    </row>
    <row r="107" spans="1:41" s="519" customFormat="1" ht="12" thickTop="1">
      <c r="A107" s="47"/>
      <c r="B107" s="40"/>
      <c r="C107" s="47"/>
      <c r="E107" s="41" t="s">
        <v>138</v>
      </c>
      <c r="F107" s="41" t="s">
        <v>139</v>
      </c>
      <c r="G107" s="47"/>
      <c r="H107" s="47"/>
      <c r="I107" s="47"/>
      <c r="J107" s="47"/>
      <c r="K107" s="47" t="s">
        <v>140</v>
      </c>
      <c r="L107" s="47"/>
      <c r="M107" s="47"/>
      <c r="N107" s="47"/>
      <c r="O107" s="48"/>
      <c r="P107" s="47"/>
      <c r="Q107" s="47"/>
      <c r="R107" s="47"/>
      <c r="S107" s="47"/>
      <c r="T107" s="40"/>
      <c r="AG107" s="627" t="s">
        <v>277</v>
      </c>
      <c r="AH107" s="627" t="s">
        <v>278</v>
      </c>
      <c r="AI107" s="627" t="s">
        <v>279</v>
      </c>
      <c r="AJ107" s="627" t="s">
        <v>280</v>
      </c>
      <c r="AK107" s="627" t="s">
        <v>281</v>
      </c>
      <c r="AM107" s="628" t="s">
        <v>290</v>
      </c>
      <c r="AN107" s="629" t="s">
        <v>291</v>
      </c>
      <c r="AO107" s="520" t="s">
        <v>287</v>
      </c>
    </row>
    <row r="108" spans="1:41" s="519" customFormat="1" ht="12" customHeight="1">
      <c r="A108" s="630">
        <v>1</v>
      </c>
      <c r="B108" s="521" t="s">
        <v>312</v>
      </c>
      <c r="C108" s="631"/>
      <c r="D108" s="632" t="s">
        <v>603</v>
      </c>
      <c r="E108" s="633">
        <f>IF(AND($A108=0,$A$1="DIF"),0, ROUND(ROUND(($R118*$S$2+($T118*$T$2))/A108,2)*$C$2,2))</f>
        <v>309.67</v>
      </c>
      <c r="F108" s="634">
        <f>ROUND($A108*$E108,2)</f>
        <v>309.67</v>
      </c>
      <c r="G108" s="635" t="s">
        <v>142</v>
      </c>
      <c r="H108" s="636"/>
      <c r="I108" s="637"/>
      <c r="J108" s="636"/>
      <c r="K108" s="636" t="s">
        <v>3</v>
      </c>
      <c r="L108" s="638" t="s">
        <v>143</v>
      </c>
      <c r="M108" s="638"/>
      <c r="N108" s="638"/>
      <c r="O108" s="638"/>
      <c r="P108" s="638"/>
      <c r="Q108" s="47"/>
      <c r="T108" s="639" t="str">
        <f>IF(AND($R118=0,$T118=0),"0.00","mu :" &amp; ROUND($F108/$C$2/($R118+$T118*$D$9),2))</f>
        <v>mu :1</v>
      </c>
      <c r="W108" s="522"/>
      <c r="AG108" s="470">
        <f>IF($E108=0,0,ROUND($R118*$S$2*$C$2/$A108,2))</f>
        <v>114.98</v>
      </c>
      <c r="AH108" s="470">
        <f>$AG108*$A108</f>
        <v>114.98</v>
      </c>
      <c r="AI108" s="523">
        <f>$E108-$AG108</f>
        <v>194.69</v>
      </c>
      <c r="AJ108" s="523">
        <f>$A108*$AI108</f>
        <v>194.69</v>
      </c>
      <c r="AK108" s="524">
        <f>ROUND(($AG108+$AI108)*$A108,2)</f>
        <v>309.67</v>
      </c>
      <c r="AM108" s="525">
        <f>ROUND(R118,2)</f>
        <v>114.98</v>
      </c>
      <c r="AN108" s="526">
        <f>ROUND(T118,2)</f>
        <v>7.09</v>
      </c>
      <c r="AO108" s="527">
        <f>ROUND(AM108+AN108,2)*A108</f>
        <v>122.07</v>
      </c>
    </row>
    <row r="109" spans="1:41" s="519" customFormat="1" ht="88.95" customHeight="1">
      <c r="A109" s="631"/>
      <c r="B109"/>
      <c r="C109" s="631"/>
      <c r="D109" s="981" t="s">
        <v>604</v>
      </c>
      <c r="E109" s="980"/>
      <c r="F109" s="980"/>
      <c r="G109" s="980"/>
      <c r="H109" s="980"/>
      <c r="I109" s="980"/>
      <c r="J109" s="980"/>
      <c r="K109" s="980"/>
      <c r="L109" s="980"/>
      <c r="M109" s="980"/>
      <c r="N109" s="980"/>
      <c r="O109" s="980"/>
      <c r="P109" s="980"/>
      <c r="Q109" s="980"/>
      <c r="R109" s="980"/>
      <c r="S109" s="980"/>
      <c r="T109" s="980"/>
    </row>
    <row r="110" spans="1:41" s="956" customFormat="1" ht="11.4">
      <c r="A110" s="957"/>
      <c r="B110" s="958"/>
      <c r="C110" s="958"/>
      <c r="D110" s="993" t="s">
        <v>868</v>
      </c>
      <c r="E110" s="959"/>
      <c r="F110" s="959"/>
      <c r="G110" s="960"/>
      <c r="H110" s="960"/>
      <c r="I110" s="960"/>
      <c r="J110" s="960"/>
      <c r="K110" s="961"/>
      <c r="L110" s="955"/>
      <c r="M110" s="955"/>
      <c r="N110" s="955"/>
      <c r="O110" s="962"/>
      <c r="P110" s="959"/>
      <c r="Q110" s="982"/>
      <c r="R110" s="941">
        <f>$A110*Q110</f>
        <v>0</v>
      </c>
      <c r="S110" s="940"/>
      <c r="T110" s="942">
        <f t="shared" ref="T110:T117" si="0">$A110*S110*$T$1</f>
        <v>0</v>
      </c>
      <c r="U110" s="501"/>
    </row>
    <row r="111" spans="1:41" s="933" customFormat="1" ht="11.4">
      <c r="A111" s="957">
        <v>25</v>
      </c>
      <c r="B111" s="933" t="s">
        <v>311</v>
      </c>
      <c r="D111" s="933" t="s">
        <v>851</v>
      </c>
      <c r="G111" s="936" t="s">
        <v>852</v>
      </c>
      <c r="H111" s="937">
        <v>690</v>
      </c>
      <c r="I111" s="933" t="s">
        <v>780</v>
      </c>
      <c r="J111" s="933" t="s">
        <v>781</v>
      </c>
      <c r="K111" s="940" t="s">
        <v>7</v>
      </c>
      <c r="O111" s="938">
        <v>1</v>
      </c>
      <c r="P111" s="939">
        <v>34669</v>
      </c>
      <c r="Q111" s="982">
        <v>3.66</v>
      </c>
      <c r="R111" s="941">
        <f>$A111*Q111</f>
        <v>91.5</v>
      </c>
      <c r="S111" s="940">
        <v>0.2</v>
      </c>
      <c r="T111" s="942">
        <f t="shared" si="0"/>
        <v>5</v>
      </c>
    </row>
    <row r="112" spans="1:41" s="933" customFormat="1" ht="11.4">
      <c r="A112" s="957">
        <v>25</v>
      </c>
      <c r="B112" s="933" t="s">
        <v>311</v>
      </c>
      <c r="D112" s="933" t="s">
        <v>853</v>
      </c>
      <c r="F112" s="984"/>
      <c r="G112" s="936" t="s">
        <v>854</v>
      </c>
      <c r="H112" s="937">
        <v>617</v>
      </c>
      <c r="I112" s="933" t="s">
        <v>855</v>
      </c>
      <c r="J112" s="933" t="s">
        <v>856</v>
      </c>
      <c r="K112" s="940" t="s">
        <v>7</v>
      </c>
      <c r="O112" s="938">
        <v>2</v>
      </c>
      <c r="P112" s="939"/>
      <c r="Q112" s="940">
        <f>0.62*1.25</f>
        <v>0.77500000000000002</v>
      </c>
      <c r="R112" s="941">
        <f t="shared" ref="R112:R115" si="1">$A112*Q112</f>
        <v>19.375</v>
      </c>
      <c r="S112" s="940">
        <v>0.05</v>
      </c>
      <c r="T112" s="942">
        <f t="shared" si="0"/>
        <v>1.25</v>
      </c>
    </row>
    <row r="113" spans="1:256" s="956" customFormat="1" ht="11.4">
      <c r="A113" s="957">
        <v>2</v>
      </c>
      <c r="B113" s="933" t="s">
        <v>141</v>
      </c>
      <c r="C113" s="933"/>
      <c r="D113" s="933" t="s">
        <v>857</v>
      </c>
      <c r="E113" s="933"/>
      <c r="F113" s="933"/>
      <c r="G113" s="936" t="s">
        <v>858</v>
      </c>
      <c r="H113" s="937">
        <v>620</v>
      </c>
      <c r="I113" s="933" t="s">
        <v>729</v>
      </c>
      <c r="J113" s="933"/>
      <c r="K113" s="940" t="s">
        <v>7</v>
      </c>
      <c r="L113" s="933"/>
      <c r="M113" s="933"/>
      <c r="N113" s="933"/>
      <c r="O113" s="938">
        <v>2</v>
      </c>
      <c r="P113" s="939">
        <v>38148</v>
      </c>
      <c r="Q113" s="940">
        <f>1.1*1.5</f>
        <v>1.6500000000000001</v>
      </c>
      <c r="R113" s="941">
        <f t="shared" si="1"/>
        <v>3.3000000000000003</v>
      </c>
      <c r="S113" s="940">
        <v>0.1</v>
      </c>
      <c r="T113" s="942">
        <f t="shared" si="0"/>
        <v>0.2</v>
      </c>
      <c r="U113" s="933"/>
      <c r="V113" s="933"/>
      <c r="W113" s="933"/>
      <c r="X113" s="933"/>
      <c r="Y113" s="933"/>
      <c r="Z113" s="933"/>
      <c r="AA113" s="933"/>
      <c r="AB113" s="933"/>
      <c r="AC113" s="519"/>
      <c r="AD113" s="519"/>
      <c r="AE113" s="519"/>
      <c r="AF113" s="519"/>
      <c r="AG113" s="933"/>
      <c r="AH113" s="933"/>
      <c r="AI113" s="933"/>
      <c r="AJ113" s="933"/>
      <c r="AK113" s="933"/>
      <c r="AL113" s="933"/>
      <c r="AM113" s="933"/>
      <c r="AN113" s="933"/>
      <c r="AO113" s="933"/>
      <c r="AP113" s="933"/>
      <c r="AQ113" s="933"/>
      <c r="AR113" s="933"/>
      <c r="AS113" s="933"/>
      <c r="AT113" s="933"/>
      <c r="AU113" s="933"/>
      <c r="AV113" s="933"/>
      <c r="AW113" s="933"/>
      <c r="AX113" s="933"/>
      <c r="AY113" s="933"/>
      <c r="AZ113" s="933"/>
      <c r="BA113" s="933"/>
      <c r="BB113" s="933"/>
      <c r="BC113" s="933"/>
      <c r="BD113" s="933"/>
      <c r="BE113" s="933"/>
      <c r="BF113" s="933"/>
      <c r="BG113" s="933"/>
      <c r="BH113" s="933"/>
      <c r="BI113" s="933"/>
      <c r="BJ113" s="933"/>
      <c r="BK113" s="933"/>
      <c r="BL113" s="933"/>
      <c r="BM113" s="933"/>
      <c r="BN113" s="933"/>
      <c r="BO113" s="933"/>
      <c r="BP113" s="933"/>
      <c r="BQ113" s="933"/>
      <c r="BR113" s="933"/>
      <c r="BS113" s="933"/>
      <c r="BT113" s="933"/>
      <c r="BU113" s="933"/>
      <c r="BV113" s="933"/>
      <c r="BW113" s="933"/>
      <c r="BX113" s="933"/>
      <c r="BY113" s="933"/>
      <c r="BZ113" s="933"/>
      <c r="CA113" s="933"/>
      <c r="CB113" s="933"/>
      <c r="CC113" s="933"/>
      <c r="CD113" s="933"/>
      <c r="CE113" s="933"/>
      <c r="CF113" s="933"/>
      <c r="CG113" s="933"/>
      <c r="CH113" s="933"/>
      <c r="CI113" s="933"/>
      <c r="CJ113" s="933"/>
      <c r="CK113" s="933"/>
      <c r="CL113" s="933"/>
      <c r="CM113" s="933"/>
      <c r="CN113" s="933"/>
      <c r="CO113" s="933"/>
      <c r="CP113" s="933"/>
      <c r="CQ113" s="933"/>
      <c r="CR113" s="933"/>
      <c r="CS113" s="933"/>
      <c r="CT113" s="933"/>
      <c r="CU113" s="933"/>
      <c r="CV113" s="933"/>
      <c r="CW113" s="933"/>
      <c r="CX113" s="933"/>
      <c r="CY113" s="933"/>
      <c r="CZ113" s="933"/>
      <c r="DA113" s="933"/>
      <c r="DB113" s="933"/>
      <c r="DC113" s="933"/>
      <c r="DD113" s="933"/>
      <c r="DE113" s="933"/>
      <c r="DF113" s="933"/>
      <c r="DG113" s="933"/>
      <c r="DH113" s="933"/>
      <c r="DI113" s="933"/>
      <c r="DJ113" s="933"/>
      <c r="DK113" s="933"/>
      <c r="DL113" s="933"/>
      <c r="DM113" s="933"/>
      <c r="DN113" s="933"/>
      <c r="DO113" s="933"/>
      <c r="DP113" s="933"/>
      <c r="DQ113" s="933"/>
      <c r="DR113" s="933"/>
      <c r="DS113" s="933"/>
      <c r="DT113" s="933"/>
      <c r="DU113" s="933"/>
      <c r="DV113" s="933"/>
      <c r="DW113" s="933"/>
      <c r="DX113" s="933"/>
      <c r="DY113" s="933"/>
      <c r="DZ113" s="933"/>
      <c r="EA113" s="933"/>
      <c r="EB113" s="933"/>
      <c r="EC113" s="933"/>
      <c r="ED113" s="933"/>
      <c r="EE113" s="933"/>
      <c r="EF113" s="933"/>
      <c r="EG113" s="933"/>
      <c r="EH113" s="933"/>
      <c r="EI113" s="933"/>
      <c r="EJ113" s="933"/>
      <c r="EK113" s="933"/>
      <c r="EL113" s="933"/>
      <c r="EM113" s="933"/>
      <c r="EN113" s="933"/>
      <c r="EO113" s="933"/>
      <c r="EP113" s="933"/>
      <c r="EQ113" s="933"/>
      <c r="ER113" s="933"/>
      <c r="ES113" s="933"/>
      <c r="ET113" s="933"/>
      <c r="EU113" s="933"/>
      <c r="EV113" s="933"/>
      <c r="EW113" s="933"/>
      <c r="EX113" s="933"/>
      <c r="EY113" s="933"/>
      <c r="EZ113" s="933"/>
      <c r="FA113" s="933"/>
      <c r="FB113" s="933"/>
      <c r="FC113" s="933"/>
      <c r="FD113" s="933"/>
      <c r="FE113" s="933"/>
      <c r="FF113" s="933"/>
      <c r="FG113" s="933"/>
      <c r="FH113" s="933"/>
      <c r="FI113" s="933"/>
      <c r="FJ113" s="933"/>
      <c r="FK113" s="933"/>
      <c r="FL113" s="933"/>
      <c r="FM113" s="933"/>
      <c r="FN113" s="933"/>
      <c r="FO113" s="933"/>
      <c r="FP113" s="933"/>
      <c r="FQ113" s="933"/>
      <c r="FR113" s="933"/>
      <c r="FS113" s="933"/>
      <c r="FT113" s="933"/>
      <c r="FU113" s="933"/>
      <c r="FV113" s="933"/>
      <c r="FW113" s="933"/>
      <c r="FX113" s="933"/>
      <c r="FY113" s="933"/>
      <c r="FZ113" s="933"/>
      <c r="GA113" s="933"/>
      <c r="GB113" s="933"/>
      <c r="GC113" s="933"/>
      <c r="GD113" s="933"/>
      <c r="GE113" s="933"/>
      <c r="GF113" s="933"/>
      <c r="GG113" s="933"/>
      <c r="GH113" s="933"/>
      <c r="GI113" s="933"/>
      <c r="GJ113" s="933"/>
      <c r="GK113" s="933"/>
      <c r="GL113" s="933"/>
      <c r="GM113" s="933"/>
      <c r="GN113" s="933"/>
      <c r="GO113" s="933"/>
      <c r="GP113" s="933"/>
      <c r="GQ113" s="933"/>
      <c r="GR113" s="933"/>
      <c r="GS113" s="933"/>
      <c r="GT113" s="933"/>
      <c r="GU113" s="933"/>
      <c r="GV113" s="933"/>
      <c r="GW113" s="933"/>
      <c r="GX113" s="933"/>
      <c r="GY113" s="933"/>
      <c r="GZ113" s="933"/>
      <c r="HA113" s="933"/>
      <c r="HB113" s="933"/>
      <c r="HC113" s="933"/>
      <c r="HD113" s="933"/>
      <c r="HE113" s="933"/>
      <c r="HF113" s="933"/>
      <c r="HG113" s="933"/>
      <c r="HH113" s="933"/>
      <c r="HI113" s="933"/>
      <c r="HJ113" s="933"/>
      <c r="HK113" s="933"/>
      <c r="HL113" s="933"/>
      <c r="HM113" s="933"/>
      <c r="HN113" s="933"/>
      <c r="HO113" s="933"/>
      <c r="HP113" s="933"/>
      <c r="HQ113" s="933"/>
      <c r="HR113" s="933"/>
      <c r="HS113" s="933"/>
      <c r="HT113" s="933"/>
      <c r="HU113" s="933"/>
      <c r="HV113" s="933"/>
      <c r="HW113" s="933"/>
      <c r="HX113" s="933"/>
      <c r="HY113" s="933"/>
      <c r="HZ113" s="933"/>
      <c r="IA113" s="933"/>
      <c r="IB113" s="933"/>
      <c r="IC113" s="933"/>
      <c r="ID113" s="933"/>
      <c r="IE113" s="933"/>
      <c r="IF113" s="933"/>
      <c r="IG113" s="933"/>
      <c r="IH113" s="933"/>
      <c r="II113" s="933"/>
      <c r="IJ113" s="933"/>
      <c r="IK113" s="933"/>
      <c r="IL113" s="933"/>
      <c r="IM113" s="933"/>
      <c r="IN113" s="933"/>
      <c r="IO113" s="933"/>
      <c r="IP113" s="933"/>
      <c r="IQ113" s="933"/>
      <c r="IR113" s="933"/>
      <c r="IS113" s="933"/>
      <c r="IT113" s="933"/>
      <c r="IU113" s="933"/>
      <c r="IV113" s="933"/>
    </row>
    <row r="114" spans="1:256" s="956" customFormat="1" ht="11.4">
      <c r="A114" s="957">
        <v>2</v>
      </c>
      <c r="B114" s="933" t="s">
        <v>141</v>
      </c>
      <c r="C114" s="933"/>
      <c r="D114" s="933" t="s">
        <v>859</v>
      </c>
      <c r="E114" s="933"/>
      <c r="F114" s="933"/>
      <c r="G114" s="936" t="s">
        <v>860</v>
      </c>
      <c r="H114" s="937">
        <v>620</v>
      </c>
      <c r="I114" s="933" t="s">
        <v>729</v>
      </c>
      <c r="J114" s="933"/>
      <c r="K114" s="940" t="s">
        <v>7</v>
      </c>
      <c r="L114" s="933"/>
      <c r="M114" s="933"/>
      <c r="N114" s="933"/>
      <c r="O114" s="938">
        <v>2</v>
      </c>
      <c r="P114" s="939"/>
      <c r="Q114" s="940">
        <v>0.2</v>
      </c>
      <c r="R114" s="941">
        <f t="shared" si="1"/>
        <v>0.4</v>
      </c>
      <c r="S114" s="940">
        <v>0.03</v>
      </c>
      <c r="T114" s="942">
        <f t="shared" si="0"/>
        <v>0.06</v>
      </c>
      <c r="U114" s="933"/>
      <c r="V114" s="933"/>
      <c r="W114" s="933"/>
      <c r="X114" s="933"/>
      <c r="Y114" s="933"/>
      <c r="Z114" s="933"/>
      <c r="AA114" s="933"/>
      <c r="AB114" s="933"/>
      <c r="AC114" s="933"/>
      <c r="AD114" s="933"/>
      <c r="AE114" s="933"/>
      <c r="AF114" s="933"/>
      <c r="AG114" s="933"/>
      <c r="AH114" s="933"/>
      <c r="AI114" s="933"/>
      <c r="AJ114" s="933"/>
      <c r="AK114" s="933"/>
      <c r="AL114" s="933"/>
      <c r="AM114" s="933"/>
      <c r="AN114" s="933"/>
      <c r="AO114" s="933"/>
      <c r="AP114" s="933"/>
      <c r="AQ114" s="933"/>
      <c r="AR114" s="933"/>
      <c r="AS114" s="933"/>
      <c r="AT114" s="933"/>
      <c r="AU114" s="933"/>
      <c r="AV114" s="933"/>
      <c r="AW114" s="933"/>
      <c r="AX114" s="933"/>
      <c r="AY114" s="933"/>
      <c r="AZ114" s="933"/>
      <c r="BA114" s="933"/>
      <c r="BB114" s="933"/>
      <c r="BC114" s="933"/>
      <c r="BD114" s="933"/>
      <c r="BE114" s="933"/>
      <c r="BF114" s="933"/>
      <c r="BG114" s="933"/>
      <c r="BH114" s="933"/>
      <c r="BI114" s="933"/>
      <c r="BJ114" s="933"/>
      <c r="BK114" s="933"/>
      <c r="BL114" s="933"/>
      <c r="BM114" s="933"/>
      <c r="BN114" s="933"/>
      <c r="BO114" s="933"/>
      <c r="BP114" s="933"/>
      <c r="BQ114" s="933"/>
      <c r="BR114" s="933"/>
      <c r="BS114" s="933"/>
      <c r="BT114" s="933"/>
      <c r="BU114" s="933"/>
      <c r="BV114" s="933"/>
      <c r="BW114" s="933"/>
      <c r="BX114" s="933"/>
      <c r="BY114" s="933"/>
      <c r="BZ114" s="933"/>
      <c r="CA114" s="933"/>
      <c r="CB114" s="933"/>
      <c r="CC114" s="933"/>
      <c r="CD114" s="933"/>
      <c r="CE114" s="933"/>
      <c r="CF114" s="933"/>
      <c r="CG114" s="933"/>
      <c r="CH114" s="933"/>
      <c r="CI114" s="933"/>
      <c r="CJ114" s="933"/>
      <c r="CK114" s="933"/>
      <c r="CL114" s="933"/>
      <c r="CM114" s="933"/>
      <c r="CN114" s="933"/>
      <c r="CO114" s="933"/>
      <c r="CP114" s="933"/>
      <c r="CQ114" s="933"/>
      <c r="CR114" s="933"/>
      <c r="CS114" s="933"/>
      <c r="CT114" s="933"/>
      <c r="CU114" s="933"/>
      <c r="CV114" s="933"/>
      <c r="CW114" s="933"/>
      <c r="CX114" s="933"/>
      <c r="CY114" s="933"/>
      <c r="CZ114" s="933"/>
      <c r="DA114" s="933"/>
      <c r="DB114" s="933"/>
      <c r="DC114" s="933"/>
      <c r="DD114" s="933"/>
      <c r="DE114" s="933"/>
      <c r="DF114" s="933"/>
      <c r="DG114" s="933"/>
      <c r="DH114" s="933"/>
      <c r="DI114" s="933"/>
      <c r="DJ114" s="933"/>
      <c r="DK114" s="933"/>
      <c r="DL114" s="933"/>
      <c r="DM114" s="933"/>
      <c r="DN114" s="933"/>
      <c r="DO114" s="933"/>
      <c r="DP114" s="933"/>
      <c r="DQ114" s="933"/>
      <c r="DR114" s="933"/>
      <c r="DS114" s="933"/>
      <c r="DT114" s="933"/>
      <c r="DU114" s="933"/>
      <c r="DV114" s="933"/>
      <c r="DW114" s="933"/>
      <c r="DX114" s="933"/>
      <c r="DY114" s="933"/>
      <c r="DZ114" s="933"/>
      <c r="EA114" s="933"/>
      <c r="EB114" s="933"/>
      <c r="EC114" s="933"/>
      <c r="ED114" s="933"/>
      <c r="EE114" s="933"/>
      <c r="EF114" s="933"/>
      <c r="EG114" s="933"/>
      <c r="EH114" s="933"/>
      <c r="EI114" s="933"/>
      <c r="EJ114" s="933"/>
      <c r="EK114" s="933"/>
      <c r="EL114" s="933"/>
      <c r="EM114" s="933"/>
      <c r="EN114" s="933"/>
      <c r="EO114" s="933"/>
      <c r="EP114" s="933"/>
      <c r="EQ114" s="933"/>
      <c r="ER114" s="933"/>
      <c r="ES114" s="933"/>
      <c r="ET114" s="933"/>
      <c r="EU114" s="933"/>
      <c r="EV114" s="933"/>
      <c r="EW114" s="933"/>
      <c r="EX114" s="933"/>
      <c r="EY114" s="933"/>
      <c r="EZ114" s="933"/>
      <c r="FA114" s="933"/>
      <c r="FB114" s="933"/>
      <c r="FC114" s="933"/>
      <c r="FD114" s="933"/>
      <c r="FE114" s="933"/>
      <c r="FF114" s="933"/>
      <c r="FG114" s="933"/>
      <c r="FH114" s="933"/>
      <c r="FI114" s="933"/>
      <c r="FJ114" s="933"/>
      <c r="FK114" s="933"/>
      <c r="FL114" s="933"/>
      <c r="FM114" s="933"/>
      <c r="FN114" s="933"/>
      <c r="FO114" s="933"/>
      <c r="FP114" s="933"/>
      <c r="FQ114" s="933"/>
      <c r="FR114" s="933"/>
      <c r="FS114" s="933"/>
      <c r="FT114" s="933"/>
      <c r="FU114" s="933"/>
      <c r="FV114" s="933"/>
      <c r="FW114" s="933"/>
      <c r="FX114" s="933"/>
      <c r="FY114" s="933"/>
      <c r="FZ114" s="933"/>
      <c r="GA114" s="933"/>
      <c r="GB114" s="933"/>
      <c r="GC114" s="933"/>
      <c r="GD114" s="933"/>
      <c r="GE114" s="933"/>
      <c r="GF114" s="933"/>
      <c r="GG114" s="933"/>
      <c r="GH114" s="933"/>
      <c r="GI114" s="933"/>
      <c r="GJ114" s="933"/>
      <c r="GK114" s="933"/>
      <c r="GL114" s="933"/>
      <c r="GM114" s="933"/>
      <c r="GN114" s="933"/>
      <c r="GO114" s="933"/>
      <c r="GP114" s="933"/>
      <c r="GQ114" s="933"/>
      <c r="GR114" s="933"/>
      <c r="GS114" s="933"/>
      <c r="GT114" s="933"/>
      <c r="GU114" s="933"/>
      <c r="GV114" s="933"/>
      <c r="GW114" s="933"/>
      <c r="GX114" s="933"/>
      <c r="GY114" s="933"/>
      <c r="GZ114" s="933"/>
      <c r="HA114" s="933"/>
      <c r="HB114" s="933"/>
      <c r="HC114" s="933"/>
      <c r="HD114" s="933"/>
      <c r="HE114" s="933"/>
      <c r="HF114" s="933"/>
      <c r="HG114" s="933"/>
      <c r="HH114" s="933"/>
      <c r="HI114" s="933"/>
      <c r="HJ114" s="933"/>
      <c r="HK114" s="933"/>
      <c r="HL114" s="933"/>
      <c r="HM114" s="933"/>
      <c r="HN114" s="933"/>
      <c r="HO114" s="933"/>
      <c r="HP114" s="933"/>
      <c r="HQ114" s="933"/>
      <c r="HR114" s="933"/>
      <c r="HS114" s="933"/>
      <c r="HT114" s="933"/>
      <c r="HU114" s="933"/>
      <c r="HV114" s="933"/>
      <c r="HW114" s="933"/>
      <c r="HX114" s="933"/>
      <c r="HY114" s="933"/>
      <c r="HZ114" s="933"/>
      <c r="IA114" s="933"/>
      <c r="IB114" s="933"/>
      <c r="IC114" s="933"/>
      <c r="ID114" s="933"/>
      <c r="IE114" s="933"/>
      <c r="IF114" s="933"/>
      <c r="IG114" s="933"/>
      <c r="IH114" s="933"/>
      <c r="II114" s="933"/>
      <c r="IJ114" s="933"/>
      <c r="IK114" s="933"/>
      <c r="IL114" s="933"/>
      <c r="IM114" s="933"/>
      <c r="IN114" s="933"/>
      <c r="IO114" s="933"/>
      <c r="IP114" s="933"/>
      <c r="IQ114" s="933"/>
      <c r="IR114" s="933"/>
      <c r="IS114" s="933"/>
      <c r="IT114" s="933"/>
      <c r="IU114" s="933"/>
      <c r="IV114" s="933"/>
    </row>
    <row r="115" spans="1:256" s="956" customFormat="1" ht="11.4">
      <c r="A115" s="957">
        <v>8</v>
      </c>
      <c r="B115" s="933" t="s">
        <v>141</v>
      </c>
      <c r="C115" s="933"/>
      <c r="D115" s="933" t="s">
        <v>861</v>
      </c>
      <c r="E115" s="933"/>
      <c r="F115" s="933"/>
      <c r="G115" s="936" t="s">
        <v>862</v>
      </c>
      <c r="H115" s="937">
        <v>620</v>
      </c>
      <c r="I115" s="933" t="s">
        <v>741</v>
      </c>
      <c r="J115" s="933"/>
      <c r="K115" s="940" t="s">
        <v>7</v>
      </c>
      <c r="L115" s="933"/>
      <c r="M115" s="933"/>
      <c r="N115" s="933"/>
      <c r="O115" s="938">
        <v>2</v>
      </c>
      <c r="P115" s="939">
        <v>34669</v>
      </c>
      <c r="Q115" s="940">
        <v>0.05</v>
      </c>
      <c r="R115" s="941">
        <f t="shared" si="1"/>
        <v>0.4</v>
      </c>
      <c r="S115" s="940">
        <v>0.01</v>
      </c>
      <c r="T115" s="942">
        <f t="shared" si="0"/>
        <v>0.08</v>
      </c>
      <c r="U115" s="933"/>
      <c r="V115" s="933"/>
      <c r="W115" s="933"/>
      <c r="X115" s="933"/>
      <c r="Y115" s="933"/>
      <c r="Z115" s="933"/>
      <c r="AA115" s="933"/>
      <c r="AB115" s="933"/>
      <c r="AC115" s="933"/>
      <c r="AD115" s="933"/>
      <c r="AE115" s="933"/>
      <c r="AF115" s="933"/>
      <c r="AG115" s="933"/>
      <c r="AH115" s="933"/>
      <c r="AI115" s="933"/>
      <c r="AJ115" s="933"/>
      <c r="AK115" s="933"/>
      <c r="AL115" s="933"/>
      <c r="AM115" s="933"/>
      <c r="AN115" s="933"/>
      <c r="AO115" s="933"/>
      <c r="AP115" s="933"/>
      <c r="AQ115" s="933"/>
      <c r="AR115" s="933"/>
      <c r="AS115" s="933"/>
      <c r="AT115" s="933"/>
      <c r="AU115" s="933"/>
      <c r="AV115" s="933"/>
      <c r="AW115" s="933"/>
      <c r="AX115" s="933"/>
      <c r="AY115" s="933"/>
      <c r="AZ115" s="933"/>
      <c r="BA115" s="933"/>
      <c r="BB115" s="933"/>
      <c r="BC115" s="933"/>
      <c r="BD115" s="933"/>
      <c r="BE115" s="933"/>
      <c r="BF115" s="933"/>
      <c r="BG115" s="933"/>
      <c r="BH115" s="933"/>
      <c r="BI115" s="933"/>
      <c r="BJ115" s="933"/>
      <c r="BK115" s="933"/>
      <c r="BL115" s="933"/>
      <c r="BM115" s="933"/>
      <c r="BN115" s="933"/>
      <c r="BO115" s="933"/>
      <c r="BP115" s="933"/>
      <c r="BQ115" s="933"/>
      <c r="BR115" s="933"/>
      <c r="BS115" s="933"/>
      <c r="BT115" s="933"/>
      <c r="BU115" s="933"/>
      <c r="BV115" s="933"/>
      <c r="BW115" s="933"/>
      <c r="BX115" s="933"/>
      <c r="BY115" s="933"/>
      <c r="BZ115" s="933"/>
      <c r="CA115" s="933"/>
      <c r="CB115" s="933"/>
      <c r="CC115" s="933"/>
      <c r="CD115" s="933"/>
      <c r="CE115" s="933"/>
      <c r="CF115" s="933"/>
      <c r="CG115" s="933"/>
      <c r="CH115" s="933"/>
      <c r="CI115" s="933"/>
      <c r="CJ115" s="933"/>
      <c r="CK115" s="933"/>
      <c r="CL115" s="933"/>
      <c r="CM115" s="933"/>
      <c r="CN115" s="933"/>
      <c r="CO115" s="933"/>
      <c r="CP115" s="933"/>
      <c r="CQ115" s="933"/>
      <c r="CR115" s="933"/>
      <c r="CS115" s="933"/>
      <c r="CT115" s="933"/>
      <c r="CU115" s="933"/>
      <c r="CV115" s="933"/>
      <c r="CW115" s="933"/>
      <c r="CX115" s="933"/>
      <c r="CY115" s="933"/>
      <c r="CZ115" s="933"/>
      <c r="DA115" s="933"/>
      <c r="DB115" s="933"/>
      <c r="DC115" s="933"/>
      <c r="DD115" s="933"/>
      <c r="DE115" s="933"/>
      <c r="DF115" s="933"/>
      <c r="DG115" s="933"/>
      <c r="DH115" s="933"/>
      <c r="DI115" s="933"/>
      <c r="DJ115" s="933"/>
      <c r="DK115" s="933"/>
      <c r="DL115" s="933"/>
      <c r="DM115" s="933"/>
      <c r="DN115" s="933"/>
      <c r="DO115" s="933"/>
      <c r="DP115" s="933"/>
      <c r="DQ115" s="933"/>
      <c r="DR115" s="933"/>
      <c r="DS115" s="933"/>
      <c r="DT115" s="933"/>
      <c r="DU115" s="933"/>
      <c r="DV115" s="933"/>
      <c r="DW115" s="933"/>
      <c r="DX115" s="933"/>
      <c r="DY115" s="933"/>
      <c r="DZ115" s="933"/>
      <c r="EA115" s="933"/>
      <c r="EB115" s="933"/>
      <c r="EC115" s="933"/>
      <c r="ED115" s="933"/>
      <c r="EE115" s="933"/>
      <c r="EF115" s="933"/>
      <c r="EG115" s="933"/>
      <c r="EH115" s="933"/>
      <c r="EI115" s="933"/>
      <c r="EJ115" s="933"/>
      <c r="EK115" s="933"/>
      <c r="EL115" s="933"/>
      <c r="EM115" s="933"/>
      <c r="EN115" s="933"/>
      <c r="EO115" s="933"/>
      <c r="EP115" s="933"/>
      <c r="EQ115" s="933"/>
      <c r="ER115" s="933"/>
      <c r="ES115" s="933"/>
      <c r="ET115" s="933"/>
      <c r="EU115" s="933"/>
      <c r="EV115" s="933"/>
      <c r="EW115" s="933"/>
      <c r="EX115" s="933"/>
      <c r="EY115" s="933"/>
      <c r="EZ115" s="933"/>
      <c r="FA115" s="933"/>
      <c r="FB115" s="933"/>
      <c r="FC115" s="933"/>
      <c r="FD115" s="933"/>
      <c r="FE115" s="933"/>
      <c r="FF115" s="933"/>
      <c r="FG115" s="933"/>
      <c r="FH115" s="933"/>
      <c r="FI115" s="933"/>
      <c r="FJ115" s="933"/>
      <c r="FK115" s="933"/>
      <c r="FL115" s="933"/>
      <c r="FM115" s="933"/>
      <c r="FN115" s="933"/>
      <c r="FO115" s="933"/>
      <c r="FP115" s="933"/>
      <c r="FQ115" s="933"/>
      <c r="FR115" s="933"/>
      <c r="FS115" s="933"/>
      <c r="FT115" s="933"/>
      <c r="FU115" s="933"/>
      <c r="FV115" s="933"/>
      <c r="FW115" s="933"/>
      <c r="FX115" s="933"/>
      <c r="FY115" s="933"/>
      <c r="FZ115" s="933"/>
      <c r="GA115" s="933"/>
      <c r="GB115" s="933"/>
      <c r="GC115" s="933"/>
      <c r="GD115" s="933"/>
      <c r="GE115" s="933"/>
      <c r="GF115" s="933"/>
      <c r="GG115" s="933"/>
      <c r="GH115" s="933"/>
      <c r="GI115" s="933"/>
      <c r="GJ115" s="933"/>
      <c r="GK115" s="933"/>
      <c r="GL115" s="933"/>
      <c r="GM115" s="933"/>
      <c r="GN115" s="933"/>
      <c r="GO115" s="933"/>
      <c r="GP115" s="933"/>
      <c r="GQ115" s="933"/>
      <c r="GR115" s="933"/>
      <c r="GS115" s="933"/>
      <c r="GT115" s="933"/>
      <c r="GU115" s="933"/>
      <c r="GV115" s="933"/>
      <c r="GW115" s="933"/>
      <c r="GX115" s="933"/>
      <c r="GY115" s="933"/>
      <c r="GZ115" s="933"/>
      <c r="HA115" s="933"/>
      <c r="HB115" s="933"/>
      <c r="HC115" s="933"/>
      <c r="HD115" s="933"/>
      <c r="HE115" s="933"/>
      <c r="HF115" s="933"/>
      <c r="HG115" s="933"/>
      <c r="HH115" s="933"/>
      <c r="HI115" s="933"/>
      <c r="HJ115" s="933"/>
      <c r="HK115" s="933"/>
      <c r="HL115" s="933"/>
      <c r="HM115" s="933"/>
      <c r="HN115" s="933"/>
      <c r="HO115" s="933"/>
      <c r="HP115" s="933"/>
      <c r="HQ115" s="933"/>
      <c r="HR115" s="933"/>
      <c r="HS115" s="933"/>
      <c r="HT115" s="933"/>
      <c r="HU115" s="933"/>
      <c r="HV115" s="933"/>
      <c r="HW115" s="933"/>
      <c r="HX115" s="933"/>
      <c r="HY115" s="933"/>
      <c r="HZ115" s="933"/>
      <c r="IA115" s="933"/>
      <c r="IB115" s="933"/>
      <c r="IC115" s="933"/>
      <c r="ID115" s="933"/>
      <c r="IE115" s="933"/>
      <c r="IF115" s="933"/>
      <c r="IG115" s="933"/>
      <c r="IH115" s="933"/>
      <c r="II115" s="933"/>
      <c r="IJ115" s="933"/>
      <c r="IK115" s="933"/>
      <c r="IL115" s="933"/>
      <c r="IM115" s="933"/>
      <c r="IN115" s="933"/>
      <c r="IO115" s="933"/>
      <c r="IP115" s="933"/>
      <c r="IQ115" s="933"/>
      <c r="IR115" s="933"/>
      <c r="IS115" s="933"/>
      <c r="IT115" s="933"/>
      <c r="IU115" s="933"/>
      <c r="IV115" s="933"/>
    </row>
    <row r="116" spans="1:256" s="933" customFormat="1" ht="11.4">
      <c r="A116" s="957">
        <v>1</v>
      </c>
      <c r="B116" s="933" t="s">
        <v>141</v>
      </c>
      <c r="D116" s="933" t="s">
        <v>776</v>
      </c>
      <c r="F116" s="933" t="s">
        <v>864</v>
      </c>
      <c r="G116" s="936" t="s">
        <v>777</v>
      </c>
      <c r="H116" s="937">
        <v>900</v>
      </c>
      <c r="I116" s="933" t="s">
        <v>778</v>
      </c>
      <c r="K116" s="933" t="s">
        <v>7</v>
      </c>
      <c r="O116" s="938">
        <v>1</v>
      </c>
      <c r="P116" s="939"/>
      <c r="Q116" s="983"/>
      <c r="R116" s="941">
        <f>$A116*Q116</f>
        <v>0</v>
      </c>
      <c r="S116" s="940">
        <v>0.5</v>
      </c>
      <c r="T116" s="942">
        <f t="shared" si="0"/>
        <v>0.5</v>
      </c>
      <c r="U116" s="933" t="s">
        <v>863</v>
      </c>
    </row>
    <row r="117" spans="1:256" s="519" customFormat="1" ht="12">
      <c r="A117" s="641"/>
      <c r="B117" s="641"/>
      <c r="C117" s="641"/>
      <c r="D117" s="641"/>
      <c r="E117" s="641"/>
      <c r="F117" s="636"/>
      <c r="G117" s="641"/>
      <c r="H117" s="641"/>
      <c r="I117" s="518"/>
      <c r="J117" s="641"/>
      <c r="K117" s="641"/>
      <c r="L117" s="641"/>
      <c r="M117" s="641"/>
      <c r="N117" s="641"/>
      <c r="O117" s="641"/>
      <c r="P117" s="641"/>
      <c r="Q117" s="518"/>
      <c r="R117" s="642">
        <f t="shared" ref="R117" si="2">$A117*Q117</f>
        <v>0</v>
      </c>
      <c r="S117" s="518"/>
      <c r="T117" s="643">
        <f t="shared" si="0"/>
        <v>0</v>
      </c>
    </row>
    <row r="118" spans="1:256" s="519" customFormat="1" ht="12.6" thickBot="1">
      <c r="A118" s="644" t="s">
        <v>145</v>
      </c>
      <c r="B118" s="645">
        <f>(R117+T117)</f>
        <v>0</v>
      </c>
      <c r="C118" s="646"/>
      <c r="D118" s="646"/>
      <c r="E118" s="646"/>
      <c r="F118" s="647"/>
      <c r="G118" s="646" t="s">
        <v>146</v>
      </c>
      <c r="H118" s="646"/>
      <c r="I118" s="648"/>
      <c r="J118" s="646"/>
      <c r="K118" s="646" t="s">
        <v>3</v>
      </c>
      <c r="L118" s="649" t="s">
        <v>143</v>
      </c>
      <c r="M118" s="649"/>
      <c r="N118" s="649"/>
      <c r="O118" s="649"/>
      <c r="P118" s="649"/>
      <c r="Q118" s="650"/>
      <c r="R118" s="651">
        <f>SUM(R109:R117)</f>
        <v>114.97500000000001</v>
      </c>
      <c r="S118" s="646"/>
      <c r="T118" s="651">
        <f>SUM(T109:T117)</f>
        <v>7.09</v>
      </c>
      <c r="U118" s="529"/>
      <c r="V118" s="529"/>
      <c r="W118" s="529"/>
      <c r="X118" s="529"/>
      <c r="Y118" s="529"/>
      <c r="Z118" s="529"/>
      <c r="AA118" s="529"/>
      <c r="AB118" s="529"/>
      <c r="AC118" s="529"/>
      <c r="AD118" s="529"/>
      <c r="AE118" s="529"/>
      <c r="AF118" s="529"/>
      <c r="AG118" s="529"/>
      <c r="AH118" s="529"/>
      <c r="AI118" s="529"/>
      <c r="AJ118" s="529"/>
      <c r="AK118" s="529"/>
      <c r="AL118" s="529"/>
      <c r="AM118" s="529"/>
      <c r="AN118" s="529"/>
      <c r="AO118" s="529"/>
    </row>
    <row r="119" spans="1:256" s="519" customFormat="1" ht="12.6" thickTop="1">
      <c r="A119" s="47"/>
      <c r="B119" s="47"/>
      <c r="C119" s="47" t="s">
        <v>135</v>
      </c>
      <c r="D119" s="36"/>
      <c r="E119" s="47"/>
      <c r="F119" s="47"/>
      <c r="G119" s="47"/>
      <c r="H119" s="47"/>
      <c r="I119" s="47"/>
      <c r="J119" s="47"/>
      <c r="K119" s="47"/>
      <c r="L119" s="47"/>
      <c r="M119" s="47"/>
      <c r="N119" s="47"/>
      <c r="O119" s="48"/>
      <c r="P119" s="47"/>
      <c r="Q119" s="47"/>
      <c r="R119" s="47"/>
      <c r="S119" s="47"/>
      <c r="T119" s="47"/>
    </row>
    <row r="120" spans="1:256" s="519" customFormat="1" ht="39.9" customHeight="1">
      <c r="A120" s="47"/>
      <c r="B120" s="47"/>
      <c r="C120" s="47"/>
      <c r="D120" s="979" t="s">
        <v>378</v>
      </c>
      <c r="E120" s="980"/>
      <c r="F120" s="980"/>
      <c r="G120" s="980"/>
      <c r="H120" s="980"/>
      <c r="I120" s="980"/>
      <c r="J120" s="980"/>
      <c r="K120" s="980"/>
      <c r="L120" s="980"/>
      <c r="M120" s="980"/>
      <c r="N120" s="980"/>
      <c r="O120" s="980"/>
      <c r="P120" s="980"/>
      <c r="Q120" s="980"/>
      <c r="R120" s="980"/>
      <c r="S120" s="980"/>
      <c r="T120" s="980"/>
    </row>
    <row r="121" spans="1:256" s="3" customFormat="1" thickBot="1">
      <c r="A121" s="529"/>
      <c r="O121" s="99"/>
    </row>
    <row r="122" spans="1:256" s="519" customFormat="1" thickTop="1">
      <c r="A122" s="47"/>
      <c r="B122" s="40"/>
      <c r="C122" s="47"/>
      <c r="E122" s="41" t="s">
        <v>138</v>
      </c>
      <c r="F122" s="41" t="s">
        <v>139</v>
      </c>
      <c r="G122" s="47"/>
      <c r="H122" s="47"/>
      <c r="I122" s="47"/>
      <c r="J122" s="47"/>
      <c r="K122" s="47" t="s">
        <v>140</v>
      </c>
      <c r="L122" s="774"/>
      <c r="M122" s="47"/>
      <c r="N122" s="47"/>
      <c r="O122" s="48"/>
      <c r="P122" s="47"/>
      <c r="Q122"/>
      <c r="R122"/>
      <c r="S122"/>
      <c r="T122" s="40"/>
      <c r="AG122" s="627" t="s">
        <v>277</v>
      </c>
      <c r="AH122" s="627" t="s">
        <v>278</v>
      </c>
      <c r="AI122" s="627" t="s">
        <v>279</v>
      </c>
      <c r="AJ122" s="627" t="s">
        <v>280</v>
      </c>
      <c r="AK122" s="627" t="s">
        <v>281</v>
      </c>
      <c r="AM122" s="628" t="s">
        <v>290</v>
      </c>
      <c r="AN122" s="629" t="s">
        <v>291</v>
      </c>
      <c r="AO122" s="520" t="s">
        <v>287</v>
      </c>
    </row>
    <row r="123" spans="1:256" s="519" customFormat="1" ht="13.2">
      <c r="A123" s="630">
        <v>1</v>
      </c>
      <c r="B123" s="521" t="s">
        <v>312</v>
      </c>
      <c r="C123" s="631"/>
      <c r="D123" s="632" t="s">
        <v>605</v>
      </c>
      <c r="E123" s="775">
        <f ca="1">IF(AND($A123=0,$A$1="DIF"),0, ROUND(ROUND(SUMIF($L125:$L131,"SUBI",$E125:$E131)/$A123,2)*$C$12,2))</f>
        <v>73.040000000000006</v>
      </c>
      <c r="F123" s="776">
        <f ca="1">ROUND($A123*$E123,2)</f>
        <v>73.040000000000006</v>
      </c>
      <c r="G123" s="635" t="s">
        <v>142</v>
      </c>
      <c r="H123" s="636"/>
      <c r="I123" s="637"/>
      <c r="J123" s="636"/>
      <c r="K123" s="777"/>
      <c r="L123" s="778" t="s">
        <v>143</v>
      </c>
      <c r="M123" s="638"/>
      <c r="N123" s="638"/>
      <c r="O123" s="638"/>
      <c r="P123" s="638"/>
      <c r="Q123"/>
      <c r="R123"/>
      <c r="S123"/>
      <c r="T123" s="779" t="str">
        <f ca="1">IF(AND($R137=0,$T137=0),"0.00","mu :" &amp; ROUND($F123/$C$12/($R137+$T137*$D$9),2))</f>
        <v>mu :1</v>
      </c>
      <c r="W123" s="522"/>
      <c r="AG123" s="780">
        <f ca="1">IF(A123=0,0,ROUND(SUM(AG125:AG137)/A123,2))</f>
        <v>24.44</v>
      </c>
      <c r="AH123" s="780">
        <f ca="1">$AG123*$A123</f>
        <v>24.44</v>
      </c>
      <c r="AI123" s="780">
        <f ca="1">$E123-$AG123</f>
        <v>48.600000000000009</v>
      </c>
      <c r="AJ123" s="780">
        <f ca="1">$A123*$AI123</f>
        <v>48.600000000000009</v>
      </c>
      <c r="AK123" s="781">
        <f ca="1">ROUND(($AG123+$AI123)*$A123,2)</f>
        <v>73.040000000000006</v>
      </c>
      <c r="AM123" s="525">
        <f ca="1">ROUND(R137,2)</f>
        <v>24.44</v>
      </c>
      <c r="AN123" s="526">
        <f ca="1">ROUND(T137,2)</f>
        <v>1.77</v>
      </c>
      <c r="AO123" s="527">
        <f ca="1">ROUND(AM123+AN123,2)*A123</f>
        <v>26.21</v>
      </c>
    </row>
    <row r="124" spans="1:256" s="519" customFormat="1" ht="19.95" customHeight="1">
      <c r="A124" s="782"/>
      <c r="B124" s="783"/>
      <c r="C124" s="631"/>
      <c r="D124" s="784" t="s">
        <v>985</v>
      </c>
      <c r="F124" s="636"/>
      <c r="G124" s="636"/>
      <c r="H124" s="636"/>
      <c r="I124" s="637"/>
      <c r="J124" s="636"/>
      <c r="K124" s="636" t="s">
        <v>144</v>
      </c>
      <c r="L124" s="785"/>
      <c r="M124" s="636"/>
      <c r="N124" s="636"/>
      <c r="O124" s="636"/>
      <c r="P124" s="636"/>
      <c r="Q124" s="47"/>
      <c r="R124" s="528"/>
      <c r="S124" s="640"/>
      <c r="T124" s="636"/>
    </row>
    <row r="125" spans="1:256" s="519" customFormat="1" ht="12">
      <c r="A125" s="786"/>
      <c r="B125" s="787"/>
      <c r="C125" s="641"/>
      <c r="D125" s="636"/>
      <c r="E125" s="788">
        <f ca="1">F123/$C$12-SUMIF($L122:$L137,"SUBI",$E122:$E137)</f>
        <v>0</v>
      </c>
      <c r="F125" s="789" t="s">
        <v>589</v>
      </c>
      <c r="G125" s="790"/>
      <c r="H125" s="790"/>
      <c r="I125" s="791"/>
      <c r="J125" s="790"/>
      <c r="K125" s="790"/>
      <c r="L125" s="792"/>
      <c r="M125" s="793"/>
      <c r="N125" s="793"/>
      <c r="O125" s="793"/>
      <c r="P125" s="793"/>
      <c r="Q125" s="794"/>
      <c r="R125" s="795"/>
      <c r="S125" s="794"/>
      <c r="T125" s="796"/>
    </row>
    <row r="126" spans="1:256" s="519" customFormat="1" ht="12" customHeight="1">
      <c r="A126" s="797"/>
      <c r="B126" s="798"/>
      <c r="C126" s="799"/>
      <c r="D126" s="799" t="str">
        <f>$F$2</f>
        <v>Electrical</v>
      </c>
      <c r="E126" s="799">
        <f ca="1">ROUND(($R130*$S$2 + ($T130*$T$2)), 2)</f>
        <v>73.040000000000006</v>
      </c>
      <c r="F126" s="800">
        <f ca="1">$E126*$C$12</f>
        <v>73.040000000000006</v>
      </c>
      <c r="G126" s="528"/>
      <c r="H126" s="801"/>
      <c r="I126" s="528"/>
      <c r="J126" s="48"/>
      <c r="K126" s="802" t="s">
        <v>3</v>
      </c>
      <c r="L126" s="803" t="s">
        <v>590</v>
      </c>
      <c r="M126" s="528"/>
      <c r="N126" s="528"/>
      <c r="O126" s="48"/>
      <c r="P126" s="528"/>
      <c r="Q126" s="528"/>
      <c r="R126"/>
      <c r="S126"/>
      <c r="T126"/>
    </row>
    <row r="127" spans="1:256" s="956" customFormat="1" ht="13.2">
      <c r="A127"/>
      <c r="B127" s="948"/>
      <c r="C127" s="948" t="s">
        <v>742</v>
      </c>
      <c r="D127" s="948" t="str">
        <f ca="1">CELL("Address",Elec_Rates!D$43)</f>
        <v>[ELM25_0085_Quintano_Elec_Mech_HVAC_Est_Rev_B.xlsx]Elec_Rates!$D$43</v>
      </c>
      <c r="E127" s="949"/>
      <c r="F127" s="949"/>
      <c r="G127" s="950" t="s">
        <v>743</v>
      </c>
      <c r="H127" s="950"/>
      <c r="I127" s="950"/>
      <c r="J127" s="950"/>
      <c r="K127" s="951"/>
      <c r="L127" s="949"/>
      <c r="M127" s="949"/>
      <c r="N127" s="949"/>
      <c r="O127" s="952"/>
      <c r="P127" s="949"/>
      <c r="Q127" s="953"/>
      <c r="R127" s="954"/>
      <c r="S127" s="953"/>
      <c r="T127" s="943"/>
      <c r="U127" s="955"/>
    </row>
    <row r="128" spans="1:256" s="956" customFormat="1" ht="11.4">
      <c r="A128" s="957">
        <v>1</v>
      </c>
      <c r="B128" s="958">
        <v>1</v>
      </c>
      <c r="C128" s="958">
        <f>$A128*$B128</f>
        <v>1</v>
      </c>
      <c r="D128" s="959" t="str">
        <f>Elec_Rates!$D$43</f>
        <v>045# 5 x 4mm2 XLPE/SWA/LSZH</v>
      </c>
      <c r="E128" s="959"/>
      <c r="F128" s="959" t="s">
        <v>744</v>
      </c>
      <c r="G128" s="960" t="s">
        <v>760</v>
      </c>
      <c r="H128" s="960"/>
      <c r="I128" s="960"/>
      <c r="J128" s="960"/>
      <c r="K128" s="961"/>
      <c r="L128" s="955"/>
      <c r="M128" s="955"/>
      <c r="N128" s="955"/>
      <c r="O128" s="962"/>
      <c r="P128" s="959"/>
      <c r="Q128" s="963">
        <f ca="1">$B128*Elec_Rates!$R$43</f>
        <v>24.44</v>
      </c>
      <c r="R128" s="954">
        <f ca="1">$A128*Q128</f>
        <v>24.44</v>
      </c>
      <c r="S128" s="963">
        <f ca="1">$B128*Elec_Rates!$T$43</f>
        <v>1.77</v>
      </c>
      <c r="T128" s="943">
        <f ca="1">$A128*S128</f>
        <v>1.77</v>
      </c>
      <c r="U128" s="501"/>
    </row>
    <row r="129" spans="1:41" s="519" customFormat="1" ht="13.95" customHeight="1">
      <c r="A129" s="49"/>
      <c r="B129" s="528"/>
      <c r="C129" s="528"/>
      <c r="D129" s="528"/>
      <c r="E129" s="528"/>
      <c r="F129" s="528"/>
      <c r="G129" s="528"/>
      <c r="H129" s="801"/>
      <c r="I129" s="528"/>
      <c r="J129" s="48"/>
      <c r="K129" s="805"/>
      <c r="L129" s="806"/>
      <c r="M129" s="528"/>
      <c r="N129" s="528"/>
      <c r="O129" s="48"/>
      <c r="P129" s="528"/>
      <c r="Q129" s="528"/>
      <c r="R129" s="807">
        <f>$A129*Q129</f>
        <v>0</v>
      </c>
      <c r="S129" s="528"/>
      <c r="T129" s="643">
        <f>$A129*S129*$T$1</f>
        <v>0</v>
      </c>
    </row>
    <row r="130" spans="1:41" s="519" customFormat="1" ht="12">
      <c r="A130" s="808" t="s">
        <v>145</v>
      </c>
      <c r="B130" s="809">
        <f>(R129+T129)</f>
        <v>0</v>
      </c>
      <c r="C130" s="641"/>
      <c r="G130" s="810"/>
      <c r="H130" s="810"/>
      <c r="I130" s="810"/>
      <c r="J130" s="810"/>
      <c r="K130" s="811" t="s">
        <v>3</v>
      </c>
      <c r="L130" s="812" t="s">
        <v>590</v>
      </c>
      <c r="M130" s="810"/>
      <c r="N130" s="810"/>
      <c r="O130" s="810"/>
      <c r="P130" s="810"/>
      <c r="Q130" s="813"/>
      <c r="R130" s="814">
        <f ca="1">SUM(R126:R129)</f>
        <v>24.44</v>
      </c>
      <c r="S130" s="815"/>
      <c r="T130" s="814">
        <f ca="1">SUM(T126:T129)</f>
        <v>1.77</v>
      </c>
      <c r="AG130" s="816">
        <f ca="1">ROUND($R130*$S$2,2)</f>
        <v>24.44</v>
      </c>
    </row>
    <row r="131" spans="1:41" s="519" customFormat="1" ht="12" customHeight="1">
      <c r="A131" s="817"/>
      <c r="B131" s="818"/>
      <c r="C131" s="819"/>
      <c r="D131" s="819" t="str">
        <f>$F$3</f>
        <v>ECA</v>
      </c>
      <c r="E131" s="819">
        <f>ROUND(($R135*$S$3 + ($T135*$T$3)), 2)</f>
        <v>0</v>
      </c>
      <c r="F131" s="820">
        <f ca="1">$F123-SUMIF($L125:$P128,"SUBI",$F125:$F128)</f>
        <v>0</v>
      </c>
      <c r="G131" s="518"/>
      <c r="H131" s="518"/>
      <c r="I131" s="518"/>
      <c r="J131" s="518"/>
      <c r="K131" s="802" t="s">
        <v>5</v>
      </c>
      <c r="L131" s="803" t="s">
        <v>590</v>
      </c>
      <c r="M131" s="518"/>
      <c r="N131" s="518"/>
      <c r="O131" s="518"/>
      <c r="P131" s="518"/>
      <c r="Q131" s="518"/>
      <c r="R131" s="821"/>
      <c r="S131" s="518"/>
      <c r="T131" s="821"/>
    </row>
    <row r="132" spans="1:41" s="834" customFormat="1" ht="14.4" customHeight="1">
      <c r="A132" s="822"/>
      <c r="B132" s="804" t="s">
        <v>592</v>
      </c>
      <c r="C132" s="823"/>
      <c r="D132" s="824"/>
      <c r="E132" s="824"/>
      <c r="F132" s="824"/>
      <c r="G132" s="825"/>
      <c r="H132" s="826"/>
      <c r="I132" s="826"/>
      <c r="J132" s="827"/>
      <c r="K132" s="828"/>
      <c r="L132" s="823"/>
      <c r="M132" s="829"/>
      <c r="N132" s="830"/>
      <c r="O132" s="831"/>
      <c r="P132" s="832"/>
      <c r="Q132" s="833"/>
      <c r="R132" s="807">
        <f>$A132*Q132</f>
        <v>0</v>
      </c>
      <c r="S132" s="528"/>
      <c r="T132" s="643">
        <f>$A132*S132*$T$1</f>
        <v>0</v>
      </c>
    </row>
    <row r="133" spans="1:41" s="519" customFormat="1" ht="11.4">
      <c r="A133" s="49"/>
      <c r="B133" s="528"/>
      <c r="C133" s="528"/>
      <c r="D133" s="528"/>
      <c r="E133" s="528"/>
      <c r="F133" s="528"/>
      <c r="G133" s="528"/>
      <c r="H133" s="528"/>
      <c r="I133" s="528"/>
      <c r="J133" s="528"/>
      <c r="K133" s="528"/>
      <c r="L133" s="806"/>
      <c r="M133" s="528"/>
      <c r="N133" s="528"/>
      <c r="O133" s="528"/>
      <c r="P133" s="528"/>
      <c r="Q133" s="528"/>
      <c r="R133" s="807">
        <f>$A133*Q133</f>
        <v>0</v>
      </c>
      <c r="S133" s="528"/>
      <c r="T133" s="643">
        <f>$A133*S133*$T$1</f>
        <v>0</v>
      </c>
    </row>
    <row r="134" spans="1:41" s="519" customFormat="1" ht="13.2">
      <c r="A134" s="49"/>
      <c r="B134" s="528"/>
      <c r="C134" s="528"/>
      <c r="D134" s="3"/>
      <c r="E134" s="528"/>
      <c r="F134" s="528"/>
      <c r="G134" s="528"/>
      <c r="H134" s="528"/>
      <c r="I134" s="528"/>
      <c r="J134" s="528"/>
      <c r="K134" s="528"/>
      <c r="L134" s="806"/>
      <c r="M134" s="528"/>
      <c r="N134" s="528"/>
      <c r="O134" s="528"/>
      <c r="P134" s="528"/>
      <c r="Q134" s="528"/>
      <c r="R134" s="807">
        <f>$A134*Q134</f>
        <v>0</v>
      </c>
      <c r="S134" s="528"/>
      <c r="T134" s="643">
        <f>$A134*S134*$T$1</f>
        <v>0</v>
      </c>
    </row>
    <row r="135" spans="1:41" s="519" customFormat="1" ht="12" customHeight="1">
      <c r="A135" s="835" t="s">
        <v>145</v>
      </c>
      <c r="B135" s="836">
        <f>(R134+T134)</f>
        <v>0</v>
      </c>
      <c r="C135" s="837"/>
      <c r="D135" s="837"/>
      <c r="E135" s="837"/>
      <c r="F135" s="837"/>
      <c r="G135" s="813"/>
      <c r="H135" s="813"/>
      <c r="I135" s="813"/>
      <c r="J135" s="813"/>
      <c r="K135" s="838" t="s">
        <v>5</v>
      </c>
      <c r="L135" s="839" t="s">
        <v>590</v>
      </c>
      <c r="M135" s="813"/>
      <c r="N135" s="813"/>
      <c r="O135" s="813"/>
      <c r="P135" s="813"/>
      <c r="Q135" s="813"/>
      <c r="R135" s="814">
        <f>SUM(R131:R134)</f>
        <v>0</v>
      </c>
      <c r="S135" s="815"/>
      <c r="T135" s="814">
        <f>SUM(T131:T134)</f>
        <v>0</v>
      </c>
      <c r="AG135" s="840">
        <f>ROUND($R135*$S$3,2)</f>
        <v>0</v>
      </c>
    </row>
    <row r="136" spans="1:41" s="519" customFormat="1" ht="12.75" customHeight="1">
      <c r="A136" s="841"/>
      <c r="B136" s="842"/>
      <c r="E136" s="641"/>
      <c r="F136" s="843"/>
      <c r="G136" s="641"/>
      <c r="H136" s="641"/>
      <c r="I136" s="518"/>
      <c r="J136" s="641"/>
      <c r="K136" s="641"/>
      <c r="L136" s="844"/>
      <c r="M136" s="652"/>
      <c r="N136" s="652"/>
      <c r="O136" s="652"/>
      <c r="P136" s="652"/>
      <c r="Q136" s="653"/>
      <c r="R136" s="821"/>
      <c r="S136" s="641"/>
      <c r="T136" s="821"/>
    </row>
    <row r="137" spans="1:41" s="519" customFormat="1" ht="13.5" customHeight="1" thickBot="1">
      <c r="A137" s="845"/>
      <c r="B137" s="846"/>
      <c r="C137" s="529"/>
      <c r="D137" s="529"/>
      <c r="E137" s="646"/>
      <c r="F137" s="647"/>
      <c r="G137" s="646" t="s">
        <v>146</v>
      </c>
      <c r="H137" s="646"/>
      <c r="I137" s="648"/>
      <c r="J137" s="646"/>
      <c r="K137" s="646"/>
      <c r="L137" s="847" t="s">
        <v>143</v>
      </c>
      <c r="M137" s="649"/>
      <c r="N137" s="649"/>
      <c r="O137" s="649"/>
      <c r="P137" s="649"/>
      <c r="Q137" s="650"/>
      <c r="R137" s="848">
        <f ca="1">SUMIF($L124:$L136,"SUBI",R124:R136)</f>
        <v>24.44</v>
      </c>
      <c r="S137" s="646"/>
      <c r="T137" s="848">
        <f ca="1">SUMIF($L124:$L136,"SUBI",T124:T136)</f>
        <v>1.77</v>
      </c>
      <c r="U137" s="529"/>
      <c r="V137" s="529"/>
      <c r="W137" s="529"/>
      <c r="X137" s="529"/>
      <c r="Y137" s="529"/>
      <c r="Z137" s="529"/>
      <c r="AA137" s="529"/>
      <c r="AB137" s="529"/>
      <c r="AC137" s="529"/>
      <c r="AD137" s="529"/>
      <c r="AE137" s="529"/>
      <c r="AF137" s="529"/>
      <c r="AG137" s="529"/>
      <c r="AH137" s="529"/>
      <c r="AI137" s="529"/>
      <c r="AJ137" s="529"/>
      <c r="AK137" s="529"/>
      <c r="AL137" s="529"/>
      <c r="AM137" s="529"/>
      <c r="AN137" s="529"/>
      <c r="AO137" s="529"/>
    </row>
    <row r="138" spans="1:41" s="519" customFormat="1" thickTop="1">
      <c r="A138" s="47"/>
      <c r="B138" s="40"/>
      <c r="C138" s="47"/>
      <c r="E138" s="41" t="s">
        <v>138</v>
      </c>
      <c r="F138" s="41" t="s">
        <v>139</v>
      </c>
      <c r="G138" s="47"/>
      <c r="H138" s="47"/>
      <c r="I138" s="47"/>
      <c r="J138" s="47"/>
      <c r="K138" s="47" t="s">
        <v>140</v>
      </c>
      <c r="L138" s="774"/>
      <c r="M138" s="47"/>
      <c r="N138" s="47"/>
      <c r="O138" s="48"/>
      <c r="P138" s="47"/>
      <c r="Q138"/>
      <c r="R138"/>
      <c r="S138"/>
      <c r="T138" s="40"/>
      <c r="AG138" s="627" t="s">
        <v>277</v>
      </c>
      <c r="AH138" s="627" t="s">
        <v>278</v>
      </c>
      <c r="AI138" s="627" t="s">
        <v>279</v>
      </c>
      <c r="AJ138" s="627" t="s">
        <v>280</v>
      </c>
      <c r="AK138" s="627" t="s">
        <v>281</v>
      </c>
      <c r="AM138" s="628" t="s">
        <v>290</v>
      </c>
      <c r="AN138" s="629" t="s">
        <v>291</v>
      </c>
      <c r="AO138" s="520" t="s">
        <v>287</v>
      </c>
    </row>
    <row r="139" spans="1:41" s="519" customFormat="1" ht="13.2">
      <c r="A139" s="630">
        <v>1</v>
      </c>
      <c r="B139" s="521" t="s">
        <v>312</v>
      </c>
      <c r="C139" s="631"/>
      <c r="D139" s="632" t="s">
        <v>607</v>
      </c>
      <c r="E139" s="775">
        <f ca="1">IF(AND($A139=0,$A$1="DIF"),0, ROUND(ROUND(SUMIF($L141:$L147,"SUBI",$E141:$E147)/$A139,2)*$C$12,2))</f>
        <v>73.040000000000006</v>
      </c>
      <c r="F139" s="776">
        <f ca="1">ROUND($A139*$E139,2)</f>
        <v>73.040000000000006</v>
      </c>
      <c r="G139" s="635" t="s">
        <v>142</v>
      </c>
      <c r="H139" s="636"/>
      <c r="I139" s="637"/>
      <c r="J139" s="636"/>
      <c r="K139" s="777"/>
      <c r="L139" s="778" t="s">
        <v>143</v>
      </c>
      <c r="M139" s="638"/>
      <c r="N139" s="638"/>
      <c r="O139" s="638"/>
      <c r="P139" s="638"/>
      <c r="Q139"/>
      <c r="R139"/>
      <c r="S139"/>
      <c r="T139" s="779" t="str">
        <f ca="1">IF(AND($R153=0,$T153=0),"0.00","mu :" &amp; ROUND($F139/$C$12/($R153+$T153*$D$9),2))</f>
        <v>mu :1</v>
      </c>
      <c r="W139" s="522"/>
      <c r="AG139" s="780">
        <f ca="1">IF(A139=0,0,ROUND(SUM(AG141:AG153)/A139,2))</f>
        <v>24.44</v>
      </c>
      <c r="AH139" s="780">
        <f ca="1">$AG139*$A139</f>
        <v>24.44</v>
      </c>
      <c r="AI139" s="780">
        <f ca="1">$E139-$AG139</f>
        <v>48.600000000000009</v>
      </c>
      <c r="AJ139" s="780">
        <f ca="1">$A139*$AI139</f>
        <v>48.600000000000009</v>
      </c>
      <c r="AK139" s="781">
        <f ca="1">ROUND(($AG139+$AI139)*$A139,2)</f>
        <v>73.040000000000006</v>
      </c>
      <c r="AM139" s="525">
        <f ca="1">ROUND(R153,2)</f>
        <v>24.44</v>
      </c>
      <c r="AN139" s="526">
        <f ca="1">ROUND(T153,2)</f>
        <v>1.77</v>
      </c>
      <c r="AO139" s="527">
        <f ca="1">ROUND(AM139+AN139,2)*A139</f>
        <v>26.21</v>
      </c>
    </row>
    <row r="140" spans="1:41" s="519" customFormat="1" ht="19.95" customHeight="1">
      <c r="A140" s="782"/>
      <c r="B140" s="783"/>
      <c r="C140" s="631"/>
      <c r="D140" s="784" t="s">
        <v>986</v>
      </c>
      <c r="F140" s="636"/>
      <c r="G140" s="636"/>
      <c r="H140" s="636"/>
      <c r="I140" s="637"/>
      <c r="J140" s="636"/>
      <c r="K140" s="636" t="s">
        <v>144</v>
      </c>
      <c r="L140" s="785"/>
      <c r="M140" s="636"/>
      <c r="N140" s="636"/>
      <c r="O140" s="636"/>
      <c r="P140" s="636"/>
      <c r="Q140" s="47"/>
      <c r="R140" s="528"/>
      <c r="S140" s="640"/>
      <c r="T140" s="636"/>
    </row>
    <row r="141" spans="1:41" s="519" customFormat="1" ht="12">
      <c r="A141" s="786"/>
      <c r="B141" s="787"/>
      <c r="C141" s="641"/>
      <c r="D141" s="636"/>
      <c r="E141" s="788">
        <f ca="1">F139/$C$12-SUMIF($L138:$L153,"SUBI",$E138:$E153)</f>
        <v>0</v>
      </c>
      <c r="F141" s="789" t="s">
        <v>589</v>
      </c>
      <c r="G141" s="790"/>
      <c r="H141" s="790"/>
      <c r="I141" s="791"/>
      <c r="J141" s="790"/>
      <c r="K141" s="790"/>
      <c r="L141" s="792"/>
      <c r="M141" s="793"/>
      <c r="N141" s="793"/>
      <c r="O141" s="793"/>
      <c r="P141" s="793"/>
      <c r="Q141" s="794"/>
      <c r="R141" s="795"/>
      <c r="S141" s="794"/>
      <c r="T141" s="796"/>
    </row>
    <row r="142" spans="1:41" s="519" customFormat="1" ht="12" customHeight="1">
      <c r="A142" s="797"/>
      <c r="B142" s="798"/>
      <c r="C142" s="799"/>
      <c r="D142" s="799" t="str">
        <f>$F$2</f>
        <v>Electrical</v>
      </c>
      <c r="E142" s="799">
        <f ca="1">ROUND(($R146*$S$2 + ($T146*$T$2)), 2)</f>
        <v>73.040000000000006</v>
      </c>
      <c r="F142" s="800">
        <f ca="1">$E142*$C$12</f>
        <v>73.040000000000006</v>
      </c>
      <c r="G142" s="528"/>
      <c r="H142" s="801"/>
      <c r="I142" s="528"/>
      <c r="J142" s="48"/>
      <c r="K142" s="802" t="s">
        <v>3</v>
      </c>
      <c r="L142" s="803" t="s">
        <v>590</v>
      </c>
      <c r="M142" s="528"/>
      <c r="N142" s="528"/>
      <c r="O142" s="48"/>
      <c r="P142" s="528"/>
      <c r="Q142" s="528"/>
      <c r="R142"/>
      <c r="S142"/>
      <c r="T142"/>
    </row>
    <row r="143" spans="1:41" s="956" customFormat="1" ht="13.2">
      <c r="A143"/>
      <c r="B143" s="948"/>
      <c r="C143" s="948" t="s">
        <v>742</v>
      </c>
      <c r="D143" s="948" t="str">
        <f ca="1">CELL("Address",Elec_Rates!D$43)</f>
        <v>[ELM25_0085_Quintano_Elec_Mech_HVAC_Est_Rev_B.xlsx]Elec_Rates!$D$43</v>
      </c>
      <c r="E143" s="949"/>
      <c r="F143" s="949"/>
      <c r="G143" s="950" t="s">
        <v>743</v>
      </c>
      <c r="H143" s="950"/>
      <c r="I143" s="950"/>
      <c r="J143" s="950"/>
      <c r="K143" s="951"/>
      <c r="L143" s="949"/>
      <c r="M143" s="949"/>
      <c r="N143" s="949"/>
      <c r="O143" s="952"/>
      <c r="P143" s="949"/>
      <c r="Q143" s="953"/>
      <c r="R143" s="954"/>
      <c r="S143" s="953"/>
      <c r="T143" s="943"/>
      <c r="U143" s="955"/>
    </row>
    <row r="144" spans="1:41" s="956" customFormat="1" ht="11.4">
      <c r="A144" s="957">
        <v>1</v>
      </c>
      <c r="B144" s="958">
        <v>1</v>
      </c>
      <c r="C144" s="958">
        <f>$A144*$B144</f>
        <v>1</v>
      </c>
      <c r="D144" s="959" t="str">
        <f>Elec_Rates!$D$43</f>
        <v>045# 5 x 4mm2 XLPE/SWA/LSZH</v>
      </c>
      <c r="E144" s="959"/>
      <c r="F144" s="959" t="s">
        <v>744</v>
      </c>
      <c r="G144" s="960" t="s">
        <v>760</v>
      </c>
      <c r="H144" s="960"/>
      <c r="I144" s="960"/>
      <c r="J144" s="960"/>
      <c r="K144" s="961"/>
      <c r="L144" s="955"/>
      <c r="M144" s="955"/>
      <c r="N144" s="955"/>
      <c r="O144" s="962"/>
      <c r="P144" s="959"/>
      <c r="Q144" s="963">
        <f ca="1">$B144*Elec_Rates!$R$43</f>
        <v>24.44</v>
      </c>
      <c r="R144" s="954">
        <f ca="1">$A144*Q144</f>
        <v>24.44</v>
      </c>
      <c r="S144" s="963">
        <f ca="1">$B144*Elec_Rates!$T$43</f>
        <v>1.77</v>
      </c>
      <c r="T144" s="943">
        <f ca="1">$A144*S144</f>
        <v>1.77</v>
      </c>
      <c r="U144" s="501"/>
    </row>
    <row r="145" spans="1:41" s="519" customFormat="1" ht="13.95" customHeight="1">
      <c r="A145" s="49"/>
      <c r="B145" s="528"/>
      <c r="C145" s="528"/>
      <c r="D145" s="528"/>
      <c r="E145" s="528"/>
      <c r="F145" s="528"/>
      <c r="G145" s="528"/>
      <c r="H145" s="801"/>
      <c r="I145" s="528"/>
      <c r="J145" s="48"/>
      <c r="K145" s="805"/>
      <c r="L145" s="806"/>
      <c r="M145" s="528"/>
      <c r="N145" s="528"/>
      <c r="O145" s="48"/>
      <c r="P145" s="528"/>
      <c r="Q145" s="528"/>
      <c r="R145" s="807">
        <f>$A145*Q145</f>
        <v>0</v>
      </c>
      <c r="S145" s="528"/>
      <c r="T145" s="643">
        <f>$A145*S145*$T$1</f>
        <v>0</v>
      </c>
    </row>
    <row r="146" spans="1:41" s="519" customFormat="1" ht="12">
      <c r="A146" s="808" t="s">
        <v>145</v>
      </c>
      <c r="B146" s="809">
        <f>(R145+T145)</f>
        <v>0</v>
      </c>
      <c r="C146" s="641"/>
      <c r="G146" s="810"/>
      <c r="H146" s="810"/>
      <c r="I146" s="810"/>
      <c r="J146" s="810"/>
      <c r="K146" s="811" t="s">
        <v>3</v>
      </c>
      <c r="L146" s="812" t="s">
        <v>590</v>
      </c>
      <c r="M146" s="810"/>
      <c r="N146" s="810"/>
      <c r="O146" s="810"/>
      <c r="P146" s="810"/>
      <c r="Q146" s="813"/>
      <c r="R146" s="814">
        <f ca="1">SUM(R142:R145)</f>
        <v>24.44</v>
      </c>
      <c r="S146" s="815"/>
      <c r="T146" s="814">
        <f ca="1">SUM(T142:T145)</f>
        <v>1.77</v>
      </c>
      <c r="AG146" s="816">
        <f ca="1">ROUND($R146*$S$2,2)</f>
        <v>24.44</v>
      </c>
    </row>
    <row r="147" spans="1:41" s="519" customFormat="1" ht="12" customHeight="1">
      <c r="A147" s="817"/>
      <c r="B147" s="818"/>
      <c r="C147" s="819"/>
      <c r="D147" s="819" t="str">
        <f>$F$3</f>
        <v>ECA</v>
      </c>
      <c r="E147" s="819">
        <f>ROUND(($R151*$S$3 + ($T151*$T$3)), 2)</f>
        <v>0</v>
      </c>
      <c r="F147" s="820">
        <f ca="1">$F139-SUMIF($L141:$P144,"SUBI",$F141:$F144)</f>
        <v>0</v>
      </c>
      <c r="G147" s="518"/>
      <c r="H147" s="518"/>
      <c r="I147" s="518"/>
      <c r="J147" s="518"/>
      <c r="K147" s="802" t="s">
        <v>5</v>
      </c>
      <c r="L147" s="803" t="s">
        <v>590</v>
      </c>
      <c r="M147" s="518"/>
      <c r="N147" s="518"/>
      <c r="O147" s="518"/>
      <c r="P147" s="518"/>
      <c r="Q147" s="518"/>
      <c r="R147" s="821"/>
      <c r="S147" s="518"/>
      <c r="T147" s="821"/>
    </row>
    <row r="148" spans="1:41" s="834" customFormat="1" ht="14.4" customHeight="1">
      <c r="A148" s="822"/>
      <c r="B148" s="804" t="s">
        <v>592</v>
      </c>
      <c r="C148" s="823"/>
      <c r="D148" s="824"/>
      <c r="E148" s="824"/>
      <c r="F148" s="824"/>
      <c r="G148" s="825"/>
      <c r="H148" s="826"/>
      <c r="I148" s="826"/>
      <c r="J148" s="827"/>
      <c r="K148" s="828"/>
      <c r="L148" s="823"/>
      <c r="M148" s="829"/>
      <c r="N148" s="830"/>
      <c r="O148" s="831"/>
      <c r="P148" s="832"/>
      <c r="Q148" s="833"/>
      <c r="R148" s="807">
        <f>$A148*Q148</f>
        <v>0</v>
      </c>
      <c r="S148" s="528"/>
      <c r="T148" s="643">
        <f>$A148*S148*$T$1</f>
        <v>0</v>
      </c>
    </row>
    <row r="149" spans="1:41" s="519" customFormat="1" ht="11.4">
      <c r="A149" s="49"/>
      <c r="B149" s="528"/>
      <c r="C149" s="528"/>
      <c r="D149" s="528"/>
      <c r="E149" s="528"/>
      <c r="F149" s="528"/>
      <c r="G149" s="528"/>
      <c r="H149" s="528"/>
      <c r="I149" s="528"/>
      <c r="J149" s="528"/>
      <c r="K149" s="528"/>
      <c r="L149" s="806"/>
      <c r="M149" s="528"/>
      <c r="N149" s="528"/>
      <c r="O149" s="528"/>
      <c r="P149" s="528"/>
      <c r="Q149" s="528"/>
      <c r="R149" s="807">
        <f>$A149*Q149</f>
        <v>0</v>
      </c>
      <c r="S149" s="528"/>
      <c r="T149" s="643">
        <f>$A149*S149*$T$1</f>
        <v>0</v>
      </c>
    </row>
    <row r="150" spans="1:41" s="519" customFormat="1" ht="13.2">
      <c r="A150" s="49"/>
      <c r="B150" s="528"/>
      <c r="C150" s="528"/>
      <c r="D150" s="3"/>
      <c r="E150" s="528"/>
      <c r="F150" s="528"/>
      <c r="G150" s="528"/>
      <c r="H150" s="528"/>
      <c r="I150" s="528"/>
      <c r="J150" s="528"/>
      <c r="K150" s="528"/>
      <c r="L150" s="806"/>
      <c r="M150" s="528"/>
      <c r="N150" s="528"/>
      <c r="O150" s="528"/>
      <c r="P150" s="528"/>
      <c r="Q150" s="528"/>
      <c r="R150" s="807">
        <f>$A150*Q150</f>
        <v>0</v>
      </c>
      <c r="S150" s="528"/>
      <c r="T150" s="643">
        <f>$A150*S150*$T$1</f>
        <v>0</v>
      </c>
    </row>
    <row r="151" spans="1:41" s="519" customFormat="1" ht="12" customHeight="1">
      <c r="A151" s="835" t="s">
        <v>145</v>
      </c>
      <c r="B151" s="836">
        <f>(R150+T150)</f>
        <v>0</v>
      </c>
      <c r="C151" s="837"/>
      <c r="D151" s="837"/>
      <c r="E151" s="837"/>
      <c r="F151" s="837"/>
      <c r="G151" s="813"/>
      <c r="H151" s="813"/>
      <c r="I151" s="813"/>
      <c r="J151" s="813"/>
      <c r="K151" s="838" t="s">
        <v>5</v>
      </c>
      <c r="L151" s="839" t="s">
        <v>590</v>
      </c>
      <c r="M151" s="813"/>
      <c r="N151" s="813"/>
      <c r="O151" s="813"/>
      <c r="P151" s="813"/>
      <c r="Q151" s="813"/>
      <c r="R151" s="814">
        <f>SUM(R147:R150)</f>
        <v>0</v>
      </c>
      <c r="S151" s="815"/>
      <c r="T151" s="814">
        <f>SUM(T147:T150)</f>
        <v>0</v>
      </c>
      <c r="AG151" s="840">
        <f>ROUND($R151*$S$3,2)</f>
        <v>0</v>
      </c>
    </row>
    <row r="152" spans="1:41" s="519" customFormat="1" ht="12.75" customHeight="1">
      <c r="A152" s="841"/>
      <c r="B152" s="842"/>
      <c r="E152" s="641"/>
      <c r="F152" s="843"/>
      <c r="G152" s="641"/>
      <c r="H152" s="641"/>
      <c r="I152" s="518"/>
      <c r="J152" s="641"/>
      <c r="K152" s="641"/>
      <c r="L152" s="844"/>
      <c r="M152" s="652"/>
      <c r="N152" s="652"/>
      <c r="O152" s="652"/>
      <c r="P152" s="652"/>
      <c r="Q152" s="653"/>
      <c r="R152" s="821"/>
      <c r="S152" s="641"/>
      <c r="T152" s="821"/>
    </row>
    <row r="153" spans="1:41" s="519" customFormat="1" ht="13.5" customHeight="1" thickBot="1">
      <c r="A153" s="845"/>
      <c r="B153" s="846"/>
      <c r="C153" s="529"/>
      <c r="D153" s="529"/>
      <c r="E153" s="646"/>
      <c r="F153" s="647"/>
      <c r="G153" s="646" t="s">
        <v>146</v>
      </c>
      <c r="H153" s="646"/>
      <c r="I153" s="648"/>
      <c r="J153" s="646"/>
      <c r="K153" s="646"/>
      <c r="L153" s="847" t="s">
        <v>143</v>
      </c>
      <c r="M153" s="649"/>
      <c r="N153" s="649"/>
      <c r="O153" s="649"/>
      <c r="P153" s="649"/>
      <c r="Q153" s="650"/>
      <c r="R153" s="848">
        <f ca="1">SUMIF($L140:$L152,"SUBI",R140:R152)</f>
        <v>24.44</v>
      </c>
      <c r="S153" s="646"/>
      <c r="T153" s="848">
        <f ca="1">SUMIF($L140:$L152,"SUBI",T140:T152)</f>
        <v>1.77</v>
      </c>
      <c r="U153" s="529"/>
      <c r="V153" s="529"/>
      <c r="W153" s="529"/>
      <c r="X153" s="529"/>
      <c r="Y153" s="529"/>
      <c r="Z153" s="529"/>
      <c r="AA153" s="529"/>
      <c r="AB153" s="529"/>
      <c r="AC153" s="529"/>
      <c r="AD153" s="529"/>
      <c r="AE153" s="529"/>
      <c r="AF153" s="529"/>
      <c r="AG153" s="529"/>
      <c r="AH153" s="529"/>
      <c r="AI153" s="529"/>
      <c r="AJ153" s="529"/>
      <c r="AK153" s="529"/>
      <c r="AL153" s="529"/>
      <c r="AM153" s="529"/>
      <c r="AN153" s="529"/>
      <c r="AO153" s="529"/>
    </row>
    <row r="154" spans="1:41" s="519" customFormat="1" thickTop="1">
      <c r="A154" s="47"/>
      <c r="B154" s="47"/>
      <c r="C154" s="3"/>
      <c r="D154" s="3"/>
      <c r="E154" s="47"/>
      <c r="F154" s="47"/>
      <c r="G154" s="47"/>
      <c r="H154" s="47"/>
      <c r="I154" s="47"/>
      <c r="J154" s="47"/>
      <c r="K154" s="47" t="s">
        <v>134</v>
      </c>
      <c r="L154" s="47"/>
      <c r="M154" s="47"/>
      <c r="N154" s="47"/>
      <c r="O154" s="48"/>
      <c r="P154" s="47"/>
      <c r="Q154" s="47"/>
      <c r="R154" s="47"/>
      <c r="S154" s="47"/>
      <c r="T154" s="47"/>
    </row>
    <row r="155" spans="1:41" s="519" customFormat="1" ht="12">
      <c r="A155" s="47"/>
      <c r="B155" s="47"/>
      <c r="C155" s="47" t="s">
        <v>135</v>
      </c>
      <c r="D155" s="36"/>
      <c r="E155" s="47"/>
      <c r="F155" s="47"/>
      <c r="G155" s="47"/>
      <c r="H155" s="47"/>
      <c r="I155" s="47"/>
      <c r="J155" s="47"/>
      <c r="K155" s="47"/>
      <c r="L155" s="47"/>
      <c r="M155" s="47"/>
      <c r="N155" s="47"/>
      <c r="O155" s="48"/>
      <c r="P155" s="47"/>
      <c r="Q155" s="47"/>
      <c r="R155" s="47"/>
      <c r="S155" s="47"/>
      <c r="T155" s="47"/>
    </row>
    <row r="156" spans="1:41" s="519" customFormat="1" ht="39.9" customHeight="1">
      <c r="A156" s="47"/>
      <c r="B156" s="47"/>
      <c r="C156" s="47"/>
      <c r="D156" s="979" t="s">
        <v>385</v>
      </c>
      <c r="E156" s="980"/>
      <c r="F156" s="980"/>
      <c r="G156" s="980"/>
      <c r="H156" s="980"/>
      <c r="I156" s="980"/>
      <c r="J156" s="980"/>
      <c r="K156" s="980"/>
      <c r="L156" s="980"/>
      <c r="M156" s="980"/>
      <c r="N156" s="980"/>
      <c r="O156" s="980"/>
      <c r="P156" s="980"/>
      <c r="Q156" s="980"/>
      <c r="R156" s="980"/>
      <c r="S156" s="980"/>
      <c r="T156" s="980"/>
    </row>
    <row r="157" spans="1:41" s="3" customFormat="1" thickBot="1">
      <c r="A157" s="529"/>
      <c r="O157" s="99"/>
    </row>
    <row r="158" spans="1:41" s="519" customFormat="1" thickTop="1">
      <c r="A158" s="47"/>
      <c r="B158" s="40"/>
      <c r="C158" s="47"/>
      <c r="E158" s="41" t="s">
        <v>138</v>
      </c>
      <c r="F158" s="41" t="s">
        <v>139</v>
      </c>
      <c r="G158" s="47"/>
      <c r="H158" s="47"/>
      <c r="I158" s="47"/>
      <c r="J158" s="47"/>
      <c r="K158" s="47" t="s">
        <v>140</v>
      </c>
      <c r="L158" s="774"/>
      <c r="M158" s="47"/>
      <c r="N158" s="47"/>
      <c r="O158" s="48"/>
      <c r="P158" s="47"/>
      <c r="Q158"/>
      <c r="R158"/>
      <c r="S158"/>
      <c r="T158" s="40"/>
      <c r="AG158" s="627" t="s">
        <v>277</v>
      </c>
      <c r="AH158" s="627" t="s">
        <v>278</v>
      </c>
      <c r="AI158" s="627" t="s">
        <v>279</v>
      </c>
      <c r="AJ158" s="627" t="s">
        <v>280</v>
      </c>
      <c r="AK158" s="627" t="s">
        <v>281</v>
      </c>
      <c r="AM158" s="628" t="s">
        <v>290</v>
      </c>
      <c r="AN158" s="629" t="s">
        <v>291</v>
      </c>
      <c r="AO158" s="520" t="s">
        <v>287</v>
      </c>
    </row>
    <row r="159" spans="1:41" s="519" customFormat="1" ht="13.2">
      <c r="A159" s="630">
        <v>7</v>
      </c>
      <c r="B159" s="521" t="s">
        <v>312</v>
      </c>
      <c r="C159" s="631"/>
      <c r="D159" s="632" t="s">
        <v>605</v>
      </c>
      <c r="E159" s="775">
        <f ca="1">IF(AND($A159=0,$A$1="DIF"),0, ROUND(ROUND(SUMIF($L161:$L167,"SUBI",$E161:$E167)/$A159,2)*$C$12,2))</f>
        <v>89.37</v>
      </c>
      <c r="F159" s="776">
        <f ca="1">ROUND($A159*$E159,2)</f>
        <v>625.59</v>
      </c>
      <c r="G159" s="635" t="s">
        <v>142</v>
      </c>
      <c r="H159" s="636"/>
      <c r="I159" s="637"/>
      <c r="J159" s="636"/>
      <c r="K159" s="777"/>
      <c r="L159" s="778" t="s">
        <v>143</v>
      </c>
      <c r="M159" s="638"/>
      <c r="N159" s="638"/>
      <c r="O159" s="638"/>
      <c r="P159" s="638"/>
      <c r="Q159"/>
      <c r="R159"/>
      <c r="S159"/>
      <c r="T159" s="779" t="str">
        <f ca="1">IF(AND($R173=0,$T173=0),"0.00","mu :" &amp; ROUND($F159/$C$12/($R173+$T173*$D$9),2))</f>
        <v>mu :1</v>
      </c>
      <c r="W159" s="522"/>
      <c r="AG159" s="780">
        <f ca="1">IF(A159=0,0,ROUND(SUM(AG161:AG173)/A159,2))</f>
        <v>44.34</v>
      </c>
      <c r="AH159" s="780">
        <f ca="1">$AG159*$A159</f>
        <v>310.38</v>
      </c>
      <c r="AI159" s="780">
        <f ca="1">$E159-$AG159</f>
        <v>45.03</v>
      </c>
      <c r="AJ159" s="780">
        <f ca="1">$A159*$AI159</f>
        <v>315.21000000000004</v>
      </c>
      <c r="AK159" s="781">
        <f ca="1">ROUND(($AG159+$AI159)*$A159,2)</f>
        <v>625.59</v>
      </c>
      <c r="AM159" s="525">
        <f ca="1">ROUND(R173,2)</f>
        <v>310.38</v>
      </c>
      <c r="AN159" s="526">
        <f ca="1">ROUND(T173,2)</f>
        <v>11.48</v>
      </c>
      <c r="AO159" s="527">
        <f ca="1">ROUND(AM159+AN159,2)*A159</f>
        <v>2253.02</v>
      </c>
    </row>
    <row r="160" spans="1:41" s="519" customFormat="1" ht="19.95" customHeight="1">
      <c r="A160" s="782"/>
      <c r="B160" s="783"/>
      <c r="C160" s="631"/>
      <c r="D160" s="784" t="s">
        <v>606</v>
      </c>
      <c r="F160" s="636"/>
      <c r="G160" s="636"/>
      <c r="H160" s="636"/>
      <c r="I160" s="637"/>
      <c r="J160" s="636"/>
      <c r="K160" s="636" t="s">
        <v>144</v>
      </c>
      <c r="L160" s="785"/>
      <c r="M160" s="636"/>
      <c r="N160" s="636"/>
      <c r="O160" s="636"/>
      <c r="P160" s="636"/>
      <c r="Q160" s="47"/>
      <c r="R160" s="528"/>
      <c r="S160" s="640"/>
      <c r="T160" s="636"/>
    </row>
    <row r="161" spans="1:41" s="519" customFormat="1" ht="12">
      <c r="A161" s="786"/>
      <c r="B161" s="787"/>
      <c r="C161" s="641"/>
      <c r="D161" s="636"/>
      <c r="E161" s="788">
        <f ca="1">F159/$C$12-SUMIF($L158:$L173,"SUBI",$E158:$E173)</f>
        <v>-2.9999999999972715E-2</v>
      </c>
      <c r="F161" s="789" t="s">
        <v>589</v>
      </c>
      <c r="G161" s="790"/>
      <c r="H161" s="790"/>
      <c r="I161" s="791"/>
      <c r="J161" s="790"/>
      <c r="K161" s="790"/>
      <c r="L161" s="792"/>
      <c r="M161" s="793"/>
      <c r="N161" s="793"/>
      <c r="O161" s="793"/>
      <c r="P161" s="793"/>
      <c r="Q161" s="794"/>
      <c r="R161" s="795"/>
      <c r="S161" s="794"/>
      <c r="T161" s="796"/>
    </row>
    <row r="162" spans="1:41" s="519" customFormat="1" ht="12" customHeight="1">
      <c r="A162" s="797"/>
      <c r="B162" s="798"/>
      <c r="C162" s="799"/>
      <c r="D162" s="799" t="str">
        <f>$F$2</f>
        <v>Electrical</v>
      </c>
      <c r="E162" s="799">
        <f ca="1">ROUND(($R166*$S$2 + ($T166*$T$2)), 2)</f>
        <v>625.62</v>
      </c>
      <c r="F162" s="800">
        <f ca="1">$E162*$C$12</f>
        <v>625.62</v>
      </c>
      <c r="G162" s="528"/>
      <c r="H162" s="801"/>
      <c r="I162" s="528"/>
      <c r="J162" s="48"/>
      <c r="K162" s="802" t="s">
        <v>3</v>
      </c>
      <c r="L162" s="803" t="s">
        <v>590</v>
      </c>
      <c r="M162" s="528"/>
      <c r="N162" s="528"/>
      <c r="O162" s="48"/>
      <c r="P162" s="528"/>
      <c r="Q162" s="528"/>
      <c r="R162"/>
      <c r="S162"/>
      <c r="T162"/>
    </row>
    <row r="163" spans="1:41" s="956" customFormat="1" ht="13.2">
      <c r="A163"/>
      <c r="B163" s="948"/>
      <c r="C163" s="948" t="s">
        <v>742</v>
      </c>
      <c r="D163" s="948" t="str">
        <f ca="1">CELL("Address",Elec_Rates!D$66)</f>
        <v>[ELM25_0085_Quintano_Elec_Mech_HVAC_Est_Rev_B.xlsx]Elec_Rates!$D$66</v>
      </c>
      <c r="E163" s="949"/>
      <c r="F163" s="949"/>
      <c r="G163" s="950" t="s">
        <v>743</v>
      </c>
      <c r="H163" s="950"/>
      <c r="I163" s="950"/>
      <c r="J163" s="950"/>
      <c r="K163" s="951"/>
      <c r="L163" s="949"/>
      <c r="M163" s="949"/>
      <c r="N163" s="949"/>
      <c r="O163" s="952"/>
      <c r="P163" s="949"/>
      <c r="Q163" s="953"/>
      <c r="R163" s="954"/>
      <c r="S163" s="953"/>
      <c r="T163" s="943"/>
      <c r="U163" s="955"/>
    </row>
    <row r="164" spans="1:41" s="956" customFormat="1" ht="11.4">
      <c r="A164" s="957">
        <v>7</v>
      </c>
      <c r="B164" s="958">
        <v>1</v>
      </c>
      <c r="C164" s="958">
        <f>$A164*$B164</f>
        <v>7</v>
      </c>
      <c r="D164" s="959" t="str">
        <f>Elec_Rates!$D$66</f>
        <v>047# 5 x 2.5mm2 F120 Fire Resistant Cable (BS7846) -  XLPE/SWA/LSZH</v>
      </c>
      <c r="E164" s="959"/>
      <c r="F164" s="959" t="s">
        <v>744</v>
      </c>
      <c r="G164" s="960" t="s">
        <v>745</v>
      </c>
      <c r="H164" s="960"/>
      <c r="I164" s="960"/>
      <c r="J164" s="960"/>
      <c r="K164" s="961"/>
      <c r="L164" s="955"/>
      <c r="M164" s="955"/>
      <c r="N164" s="955"/>
      <c r="O164" s="962"/>
      <c r="P164" s="959"/>
      <c r="Q164" s="963">
        <f ca="1">$B164*Elec_Rates!$R$66</f>
        <v>44.34</v>
      </c>
      <c r="R164" s="954">
        <f ca="1">$A164*Q164</f>
        <v>310.38</v>
      </c>
      <c r="S164" s="963">
        <f ca="1">$B164*Elec_Rates!$T$66</f>
        <v>1.64</v>
      </c>
      <c r="T164" s="943">
        <f ca="1">$A164*S164</f>
        <v>11.479999999999999</v>
      </c>
      <c r="U164" s="501"/>
    </row>
    <row r="165" spans="1:41" s="519" customFormat="1" ht="13.95" customHeight="1">
      <c r="A165" s="49"/>
      <c r="B165" s="528"/>
      <c r="C165" s="528"/>
      <c r="D165" s="528"/>
      <c r="E165" s="528"/>
      <c r="F165" s="528"/>
      <c r="G165" s="528"/>
      <c r="H165" s="801"/>
      <c r="I165" s="528"/>
      <c r="J165" s="48"/>
      <c r="K165" s="805"/>
      <c r="L165" s="806"/>
      <c r="M165" s="528"/>
      <c r="N165" s="528"/>
      <c r="O165" s="48"/>
      <c r="P165" s="528"/>
      <c r="Q165" s="528"/>
      <c r="R165" s="807">
        <f>$A165*Q165</f>
        <v>0</v>
      </c>
      <c r="S165" s="528"/>
      <c r="T165" s="643">
        <f>$A165*S165*$T$1</f>
        <v>0</v>
      </c>
    </row>
    <row r="166" spans="1:41" s="519" customFormat="1" ht="12">
      <c r="A166" s="808" t="s">
        <v>145</v>
      </c>
      <c r="B166" s="809">
        <f>(R165+T165)</f>
        <v>0</v>
      </c>
      <c r="C166" s="641"/>
      <c r="G166" s="810"/>
      <c r="H166" s="810"/>
      <c r="I166" s="810"/>
      <c r="J166" s="810"/>
      <c r="K166" s="811" t="s">
        <v>3</v>
      </c>
      <c r="L166" s="812" t="s">
        <v>590</v>
      </c>
      <c r="M166" s="810"/>
      <c r="N166" s="810"/>
      <c r="O166" s="810"/>
      <c r="P166" s="810"/>
      <c r="Q166" s="813"/>
      <c r="R166" s="814">
        <f ca="1">SUM(R162:R165)</f>
        <v>310.38</v>
      </c>
      <c r="S166" s="815"/>
      <c r="T166" s="814">
        <f ca="1">SUM(T162:T165)</f>
        <v>11.479999999999999</v>
      </c>
      <c r="AG166" s="816">
        <f ca="1">ROUND($R166*$S$2,2)</f>
        <v>310.38</v>
      </c>
    </row>
    <row r="167" spans="1:41" s="519" customFormat="1" ht="12" customHeight="1">
      <c r="A167" s="817"/>
      <c r="B167" s="818"/>
      <c r="C167" s="819"/>
      <c r="D167" s="819" t="str">
        <f>$F$3</f>
        <v>ECA</v>
      </c>
      <c r="E167" s="819">
        <f>ROUND(($R171*$S$3 + ($T171*$T$3)), 2)</f>
        <v>0</v>
      </c>
      <c r="F167" s="820">
        <f ca="1">$F159-SUMIF($L161:$P164,"SUBI",$F161:$F164)</f>
        <v>-2.9999999999972715E-2</v>
      </c>
      <c r="G167" s="518"/>
      <c r="H167" s="518"/>
      <c r="I167" s="518"/>
      <c r="J167" s="518"/>
      <c r="K167" s="802" t="s">
        <v>5</v>
      </c>
      <c r="L167" s="803" t="s">
        <v>590</v>
      </c>
      <c r="M167" s="518"/>
      <c r="N167" s="518"/>
      <c r="O167" s="518"/>
      <c r="P167" s="518"/>
      <c r="Q167" s="518"/>
      <c r="R167" s="821"/>
      <c r="S167" s="518"/>
      <c r="T167" s="821"/>
    </row>
    <row r="168" spans="1:41" s="834" customFormat="1" ht="14.4" customHeight="1">
      <c r="A168" s="822"/>
      <c r="B168" s="804" t="s">
        <v>592</v>
      </c>
      <c r="C168" s="823"/>
      <c r="D168" s="824"/>
      <c r="E168" s="824"/>
      <c r="F168" s="824"/>
      <c r="G168" s="825"/>
      <c r="H168" s="826"/>
      <c r="I168" s="826"/>
      <c r="J168" s="827"/>
      <c r="K168" s="828"/>
      <c r="L168" s="823"/>
      <c r="M168" s="829"/>
      <c r="N168" s="830"/>
      <c r="O168" s="831"/>
      <c r="P168" s="832"/>
      <c r="Q168" s="833"/>
      <c r="R168" s="807">
        <f>$A168*Q168</f>
        <v>0</v>
      </c>
      <c r="S168" s="528"/>
      <c r="T168" s="643">
        <f>$A168*S168*$T$1</f>
        <v>0</v>
      </c>
    </row>
    <row r="169" spans="1:41" s="519" customFormat="1" ht="11.4">
      <c r="A169" s="49"/>
      <c r="B169" s="528"/>
      <c r="C169" s="528"/>
      <c r="D169" s="528"/>
      <c r="E169" s="528"/>
      <c r="F169" s="528"/>
      <c r="G169" s="528"/>
      <c r="H169" s="528"/>
      <c r="I169" s="528"/>
      <c r="J169" s="528"/>
      <c r="K169" s="528"/>
      <c r="L169" s="806"/>
      <c r="M169" s="528"/>
      <c r="N169" s="528"/>
      <c r="O169" s="528"/>
      <c r="P169" s="528"/>
      <c r="Q169" s="528"/>
      <c r="R169" s="807">
        <f>$A169*Q169</f>
        <v>0</v>
      </c>
      <c r="S169" s="528"/>
      <c r="T169" s="643">
        <f>$A169*S169*$T$1</f>
        <v>0</v>
      </c>
    </row>
    <row r="170" spans="1:41" s="519" customFormat="1" ht="13.2">
      <c r="A170" s="49"/>
      <c r="B170" s="528"/>
      <c r="C170" s="528"/>
      <c r="D170" s="3"/>
      <c r="E170" s="528"/>
      <c r="F170" s="528"/>
      <c r="G170" s="528"/>
      <c r="H170" s="528"/>
      <c r="I170" s="528"/>
      <c r="J170" s="528"/>
      <c r="K170" s="528"/>
      <c r="L170" s="806"/>
      <c r="M170" s="528"/>
      <c r="N170" s="528"/>
      <c r="O170" s="528"/>
      <c r="P170" s="528"/>
      <c r="Q170" s="528"/>
      <c r="R170" s="807">
        <f>$A170*Q170</f>
        <v>0</v>
      </c>
      <c r="S170" s="528"/>
      <c r="T170" s="643">
        <f>$A170*S170*$T$1</f>
        <v>0</v>
      </c>
    </row>
    <row r="171" spans="1:41" s="519" customFormat="1" ht="12" customHeight="1">
      <c r="A171" s="835" t="s">
        <v>145</v>
      </c>
      <c r="B171" s="836">
        <f>(R170+T170)</f>
        <v>0</v>
      </c>
      <c r="C171" s="837"/>
      <c r="D171" s="837"/>
      <c r="E171" s="837"/>
      <c r="F171" s="837"/>
      <c r="G171" s="813"/>
      <c r="H171" s="813"/>
      <c r="I171" s="813"/>
      <c r="J171" s="813"/>
      <c r="K171" s="838" t="s">
        <v>5</v>
      </c>
      <c r="L171" s="839" t="s">
        <v>590</v>
      </c>
      <c r="M171" s="813"/>
      <c r="N171" s="813"/>
      <c r="O171" s="813"/>
      <c r="P171" s="813"/>
      <c r="Q171" s="813"/>
      <c r="R171" s="814">
        <f>SUM(R167:R170)</f>
        <v>0</v>
      </c>
      <c r="S171" s="815"/>
      <c r="T171" s="814">
        <f>SUM(T167:T170)</f>
        <v>0</v>
      </c>
      <c r="AG171" s="840">
        <f>ROUND($R171*$S$3,2)</f>
        <v>0</v>
      </c>
    </row>
    <row r="172" spans="1:41" s="519" customFormat="1" ht="12.75" customHeight="1">
      <c r="A172" s="841"/>
      <c r="B172" s="842"/>
      <c r="E172" s="641"/>
      <c r="F172" s="843"/>
      <c r="G172" s="641"/>
      <c r="H172" s="641"/>
      <c r="I172" s="518"/>
      <c r="J172" s="641"/>
      <c r="K172" s="641"/>
      <c r="L172" s="844"/>
      <c r="M172" s="652"/>
      <c r="N172" s="652"/>
      <c r="O172" s="652"/>
      <c r="P172" s="652"/>
      <c r="Q172" s="653"/>
      <c r="R172" s="821"/>
      <c r="S172" s="641"/>
      <c r="T172" s="821"/>
    </row>
    <row r="173" spans="1:41" s="519" customFormat="1" ht="13.5" customHeight="1" thickBot="1">
      <c r="A173" s="845"/>
      <c r="B173" s="846"/>
      <c r="C173" s="529"/>
      <c r="D173" s="529"/>
      <c r="E173" s="646"/>
      <c r="F173" s="647"/>
      <c r="G173" s="646" t="s">
        <v>146</v>
      </c>
      <c r="H173" s="646"/>
      <c r="I173" s="648"/>
      <c r="J173" s="646"/>
      <c r="K173" s="646"/>
      <c r="L173" s="847" t="s">
        <v>143</v>
      </c>
      <c r="M173" s="649"/>
      <c r="N173" s="649"/>
      <c r="O173" s="649"/>
      <c r="P173" s="649"/>
      <c r="Q173" s="650"/>
      <c r="R173" s="848">
        <f ca="1">SUMIF($L160:$L172,"SUBI",R160:R172)</f>
        <v>310.38</v>
      </c>
      <c r="S173" s="646"/>
      <c r="T173" s="848">
        <f ca="1">SUMIF($L160:$L172,"SUBI",T160:T172)</f>
        <v>11.479999999999999</v>
      </c>
      <c r="U173" s="529"/>
      <c r="V173" s="529"/>
      <c r="W173" s="529"/>
      <c r="X173" s="529"/>
      <c r="Y173" s="529"/>
      <c r="Z173" s="529"/>
      <c r="AA173" s="529"/>
      <c r="AB173" s="529"/>
      <c r="AC173" s="529"/>
      <c r="AD173" s="529"/>
      <c r="AE173" s="529"/>
      <c r="AF173" s="529"/>
      <c r="AG173" s="529"/>
      <c r="AH173" s="529"/>
      <c r="AI173" s="529"/>
      <c r="AJ173" s="529"/>
      <c r="AK173" s="529"/>
      <c r="AL173" s="529"/>
      <c r="AM173" s="529"/>
      <c r="AN173" s="529"/>
      <c r="AO173" s="529"/>
    </row>
    <row r="174" spans="1:41" s="519" customFormat="1" thickTop="1">
      <c r="A174" s="47"/>
      <c r="B174" s="40"/>
      <c r="C174" s="47"/>
      <c r="E174" s="41" t="s">
        <v>138</v>
      </c>
      <c r="F174" s="41" t="s">
        <v>139</v>
      </c>
      <c r="G174" s="47"/>
      <c r="H174" s="47"/>
      <c r="I174" s="47"/>
      <c r="J174" s="47"/>
      <c r="K174" s="47" t="s">
        <v>140</v>
      </c>
      <c r="L174" s="774"/>
      <c r="M174" s="47"/>
      <c r="N174" s="47"/>
      <c r="O174" s="48"/>
      <c r="P174" s="47"/>
      <c r="Q174"/>
      <c r="R174"/>
      <c r="S174"/>
      <c r="T174" s="40"/>
      <c r="AG174" s="627" t="s">
        <v>277</v>
      </c>
      <c r="AH174" s="627" t="s">
        <v>278</v>
      </c>
      <c r="AI174" s="627" t="s">
        <v>279</v>
      </c>
      <c r="AJ174" s="627" t="s">
        <v>280</v>
      </c>
      <c r="AK174" s="627" t="s">
        <v>281</v>
      </c>
      <c r="AM174" s="628" t="s">
        <v>290</v>
      </c>
      <c r="AN174" s="629" t="s">
        <v>291</v>
      </c>
      <c r="AO174" s="520" t="s">
        <v>287</v>
      </c>
    </row>
    <row r="175" spans="1:41" s="519" customFormat="1" ht="13.2">
      <c r="A175" s="630">
        <v>8</v>
      </c>
      <c r="B175" s="521" t="s">
        <v>312</v>
      </c>
      <c r="C175" s="631"/>
      <c r="D175" s="632" t="s">
        <v>607</v>
      </c>
      <c r="E175" s="775">
        <f ca="1">IF(AND($A175=0,$A$1="DIF"),0, ROUND(ROUND(SUMIF($L177:$L183,"SUBI",$E177:$E183)/$A175,2)*$C$12,2))</f>
        <v>89.38</v>
      </c>
      <c r="F175" s="776">
        <f ca="1">ROUND($A175*$E175,2)</f>
        <v>715.04</v>
      </c>
      <c r="G175" s="635" t="s">
        <v>142</v>
      </c>
      <c r="H175" s="636"/>
      <c r="I175" s="637"/>
      <c r="J175" s="636"/>
      <c r="K175" s="777"/>
      <c r="L175" s="778" t="s">
        <v>143</v>
      </c>
      <c r="M175" s="638"/>
      <c r="N175" s="638"/>
      <c r="O175" s="638"/>
      <c r="P175" s="638"/>
      <c r="Q175"/>
      <c r="R175"/>
      <c r="S175"/>
      <c r="T175" s="779" t="str">
        <f ca="1">IF(AND($R189=0,$T189=0),"0.00","mu :" &amp; ROUND($F175/$C$12/($R189+$T189*$D$9),2))</f>
        <v>mu :1</v>
      </c>
      <c r="W175" s="522"/>
      <c r="AG175" s="780">
        <f ca="1">IF(A175=0,0,ROUND(SUM(AG177:AG189)/A175,2))</f>
        <v>44.34</v>
      </c>
      <c r="AH175" s="780">
        <f ca="1">$AG175*$A175</f>
        <v>354.72</v>
      </c>
      <c r="AI175" s="780">
        <f ca="1">$E175-$AG175</f>
        <v>45.039999999999992</v>
      </c>
      <c r="AJ175" s="780">
        <f ca="1">$A175*$AI175</f>
        <v>360.31999999999994</v>
      </c>
      <c r="AK175" s="781">
        <f ca="1">ROUND(($AG175+$AI175)*$A175,2)</f>
        <v>715.04</v>
      </c>
      <c r="AM175" s="525">
        <f ca="1">ROUND(R189,2)</f>
        <v>354.72</v>
      </c>
      <c r="AN175" s="526">
        <f ca="1">ROUND(T189,2)</f>
        <v>13.12</v>
      </c>
      <c r="AO175" s="527">
        <f ca="1">ROUND(AM175+AN175,2)*A175</f>
        <v>2942.72</v>
      </c>
    </row>
    <row r="176" spans="1:41" s="519" customFormat="1" ht="19.95" customHeight="1">
      <c r="A176" s="782"/>
      <c r="B176" s="783"/>
      <c r="C176" s="631"/>
      <c r="D176" s="784" t="s">
        <v>608</v>
      </c>
      <c r="F176" s="636"/>
      <c r="G176" s="636"/>
      <c r="H176" s="636"/>
      <c r="I176" s="637"/>
      <c r="J176" s="636"/>
      <c r="K176" s="636" t="s">
        <v>144</v>
      </c>
      <c r="L176" s="785"/>
      <c r="M176" s="636"/>
      <c r="N176" s="636"/>
      <c r="O176" s="636"/>
      <c r="P176" s="636"/>
      <c r="Q176" s="47"/>
      <c r="R176" s="528"/>
      <c r="S176" s="640"/>
      <c r="T176" s="636"/>
    </row>
    <row r="177" spans="1:41" s="519" customFormat="1" ht="12">
      <c r="A177" s="786"/>
      <c r="B177" s="787"/>
      <c r="C177" s="641"/>
      <c r="D177" s="636"/>
      <c r="E177" s="788">
        <f ca="1">F175/$C$12-SUMIF($L174:$L189,"SUBI",$E174:$E189)</f>
        <v>3.999999999996362E-2</v>
      </c>
      <c r="F177" s="789" t="s">
        <v>589</v>
      </c>
      <c r="G177" s="790"/>
      <c r="H177" s="790"/>
      <c r="I177" s="791"/>
      <c r="J177" s="790"/>
      <c r="K177" s="790"/>
      <c r="L177" s="792"/>
      <c r="M177" s="793"/>
      <c r="N177" s="793"/>
      <c r="O177" s="793"/>
      <c r="P177" s="793"/>
      <c r="Q177" s="794"/>
      <c r="R177" s="795"/>
      <c r="S177" s="794"/>
      <c r="T177" s="796"/>
    </row>
    <row r="178" spans="1:41" s="519" customFormat="1" ht="12" customHeight="1">
      <c r="A178" s="797"/>
      <c r="B178" s="798"/>
      <c r="C178" s="799"/>
      <c r="D178" s="799" t="str">
        <f>$F$2</f>
        <v>Electrical</v>
      </c>
      <c r="E178" s="799">
        <f ca="1">ROUND(($R182*$S$2 + ($T182*$T$2)), 2)</f>
        <v>715</v>
      </c>
      <c r="F178" s="800">
        <f ca="1">$E178*$C$12</f>
        <v>715</v>
      </c>
      <c r="G178" s="528"/>
      <c r="H178" s="801"/>
      <c r="I178" s="528"/>
      <c r="J178" s="48"/>
      <c r="K178" s="802" t="s">
        <v>3</v>
      </c>
      <c r="L178" s="803" t="s">
        <v>590</v>
      </c>
      <c r="M178" s="528"/>
      <c r="N178" s="528"/>
      <c r="O178" s="48"/>
      <c r="P178" s="528"/>
      <c r="Q178" s="528"/>
      <c r="R178"/>
      <c r="S178"/>
      <c r="T178"/>
    </row>
    <row r="179" spans="1:41" s="956" customFormat="1" ht="13.2">
      <c r="A179"/>
      <c r="B179" s="948"/>
      <c r="C179" s="948" t="s">
        <v>742</v>
      </c>
      <c r="D179" s="948" t="str">
        <f ca="1">CELL("Address",Elec_Rates!D$66)</f>
        <v>[ELM25_0085_Quintano_Elec_Mech_HVAC_Est_Rev_B.xlsx]Elec_Rates!$D$66</v>
      </c>
      <c r="E179" s="949"/>
      <c r="F179" s="949"/>
      <c r="G179" s="950" t="s">
        <v>743</v>
      </c>
      <c r="H179" s="950"/>
      <c r="I179" s="950"/>
      <c r="J179" s="950"/>
      <c r="K179" s="951"/>
      <c r="L179" s="949"/>
      <c r="M179" s="949"/>
      <c r="N179" s="949"/>
      <c r="O179" s="952"/>
      <c r="P179" s="949"/>
      <c r="Q179" s="953"/>
      <c r="R179" s="954"/>
      <c r="S179" s="953"/>
      <c r="T179" s="943"/>
      <c r="U179" s="955"/>
    </row>
    <row r="180" spans="1:41" s="956" customFormat="1" ht="11.4">
      <c r="A180" s="957">
        <v>8</v>
      </c>
      <c r="B180" s="958">
        <v>1</v>
      </c>
      <c r="C180" s="958">
        <f>$A180*$B180</f>
        <v>8</v>
      </c>
      <c r="D180" s="959" t="str">
        <f>Elec_Rates!$D$66</f>
        <v>047# 5 x 2.5mm2 F120 Fire Resistant Cable (BS7846) -  XLPE/SWA/LSZH</v>
      </c>
      <c r="E180" s="959"/>
      <c r="F180" s="959" t="s">
        <v>744</v>
      </c>
      <c r="G180" s="960" t="s">
        <v>745</v>
      </c>
      <c r="H180" s="960"/>
      <c r="I180" s="960"/>
      <c r="J180" s="960"/>
      <c r="K180" s="961"/>
      <c r="L180" s="955"/>
      <c r="M180" s="955"/>
      <c r="N180" s="955"/>
      <c r="O180" s="962"/>
      <c r="P180" s="959"/>
      <c r="Q180" s="963">
        <f ca="1">$B180*Elec_Rates!$R$66</f>
        <v>44.34</v>
      </c>
      <c r="R180" s="954">
        <f ca="1">$A180*Q180</f>
        <v>354.72</v>
      </c>
      <c r="S180" s="963">
        <f ca="1">$B180*Elec_Rates!$T$66</f>
        <v>1.64</v>
      </c>
      <c r="T180" s="943">
        <f ca="1">$A180*S180</f>
        <v>13.12</v>
      </c>
      <c r="U180" s="501"/>
    </row>
    <row r="181" spans="1:41" s="519" customFormat="1" ht="13.95" customHeight="1">
      <c r="A181" s="49"/>
      <c r="B181" s="528"/>
      <c r="C181" s="528"/>
      <c r="D181" s="528"/>
      <c r="E181" s="528"/>
      <c r="F181" s="528"/>
      <c r="G181" s="528"/>
      <c r="H181" s="801"/>
      <c r="I181" s="528"/>
      <c r="J181" s="48"/>
      <c r="K181" s="805"/>
      <c r="L181" s="806"/>
      <c r="M181" s="528"/>
      <c r="N181" s="528"/>
      <c r="O181" s="48"/>
      <c r="P181" s="528"/>
      <c r="Q181" s="528"/>
      <c r="R181" s="807">
        <f>$A181*Q181</f>
        <v>0</v>
      </c>
      <c r="S181" s="528"/>
      <c r="T181" s="643">
        <f>$A181*S181*$T$1</f>
        <v>0</v>
      </c>
    </row>
    <row r="182" spans="1:41" s="519" customFormat="1" ht="12">
      <c r="A182" s="808" t="s">
        <v>145</v>
      </c>
      <c r="B182" s="809">
        <f>(R181+T181)</f>
        <v>0</v>
      </c>
      <c r="C182" s="641"/>
      <c r="G182" s="810"/>
      <c r="H182" s="810"/>
      <c r="I182" s="810"/>
      <c r="J182" s="810"/>
      <c r="K182" s="811" t="s">
        <v>3</v>
      </c>
      <c r="L182" s="812" t="s">
        <v>590</v>
      </c>
      <c r="M182" s="810"/>
      <c r="N182" s="810"/>
      <c r="O182" s="810"/>
      <c r="P182" s="810"/>
      <c r="Q182" s="813"/>
      <c r="R182" s="814">
        <f ca="1">SUM(R178:R181)</f>
        <v>354.72</v>
      </c>
      <c r="S182" s="815"/>
      <c r="T182" s="814">
        <f ca="1">SUM(T178:T181)</f>
        <v>13.12</v>
      </c>
      <c r="AG182" s="816">
        <f ca="1">ROUND($R182*$S$2,2)</f>
        <v>354.72</v>
      </c>
    </row>
    <row r="183" spans="1:41" s="519" customFormat="1" ht="12" customHeight="1">
      <c r="A183" s="817"/>
      <c r="B183" s="818"/>
      <c r="C183" s="819"/>
      <c r="D183" s="819" t="str">
        <f>$F$3</f>
        <v>ECA</v>
      </c>
      <c r="E183" s="819">
        <f>ROUND(($R187*$S$3 + ($T187*$T$3)), 2)</f>
        <v>0</v>
      </c>
      <c r="F183" s="820">
        <f ca="1">$F175-SUMIF($L177:$P180,"SUBI",$F177:$F180)</f>
        <v>3.999999999996362E-2</v>
      </c>
      <c r="G183" s="518"/>
      <c r="H183" s="518"/>
      <c r="I183" s="518"/>
      <c r="J183" s="518"/>
      <c r="K183" s="802" t="s">
        <v>5</v>
      </c>
      <c r="L183" s="803" t="s">
        <v>590</v>
      </c>
      <c r="M183" s="518"/>
      <c r="N183" s="518"/>
      <c r="O183" s="518"/>
      <c r="P183" s="518"/>
      <c r="Q183" s="518"/>
      <c r="R183" s="821"/>
      <c r="S183" s="518"/>
      <c r="T183" s="821"/>
    </row>
    <row r="184" spans="1:41" s="834" customFormat="1" ht="14.4" customHeight="1">
      <c r="A184" s="822"/>
      <c r="B184" s="804" t="s">
        <v>592</v>
      </c>
      <c r="C184" s="823"/>
      <c r="D184" s="824"/>
      <c r="E184" s="824"/>
      <c r="F184" s="824"/>
      <c r="G184" s="825"/>
      <c r="H184" s="826"/>
      <c r="I184" s="826"/>
      <c r="J184" s="827"/>
      <c r="K184" s="828"/>
      <c r="L184" s="823"/>
      <c r="M184" s="829"/>
      <c r="N184" s="830"/>
      <c r="O184" s="831"/>
      <c r="P184" s="832"/>
      <c r="Q184" s="833"/>
      <c r="R184" s="807">
        <f>$A184*Q184</f>
        <v>0</v>
      </c>
      <c r="S184" s="528"/>
      <c r="T184" s="643">
        <f>$A184*S184*$T$1</f>
        <v>0</v>
      </c>
    </row>
    <row r="185" spans="1:41" s="519" customFormat="1" ht="11.4">
      <c r="A185" s="49"/>
      <c r="B185" s="528"/>
      <c r="C185" s="528"/>
      <c r="D185" s="528"/>
      <c r="E185" s="528"/>
      <c r="F185" s="528"/>
      <c r="G185" s="528"/>
      <c r="H185" s="528"/>
      <c r="I185" s="528"/>
      <c r="J185" s="528"/>
      <c r="K185" s="528"/>
      <c r="L185" s="806"/>
      <c r="M185" s="528"/>
      <c r="N185" s="528"/>
      <c r="O185" s="528"/>
      <c r="P185" s="528"/>
      <c r="Q185" s="528"/>
      <c r="R185" s="807">
        <f>$A185*Q185</f>
        <v>0</v>
      </c>
      <c r="S185" s="528"/>
      <c r="T185" s="643">
        <f>$A185*S185*$T$1</f>
        <v>0</v>
      </c>
    </row>
    <row r="186" spans="1:41" s="519" customFormat="1" ht="13.2">
      <c r="A186" s="49"/>
      <c r="B186" s="528"/>
      <c r="C186" s="528"/>
      <c r="D186" s="3"/>
      <c r="E186" s="528"/>
      <c r="F186" s="528"/>
      <c r="G186" s="528"/>
      <c r="H186" s="528"/>
      <c r="I186" s="528"/>
      <c r="J186" s="528"/>
      <c r="K186" s="528"/>
      <c r="L186" s="806"/>
      <c r="M186" s="528"/>
      <c r="N186" s="528"/>
      <c r="O186" s="528"/>
      <c r="P186" s="528"/>
      <c r="Q186" s="528"/>
      <c r="R186" s="807">
        <f>$A186*Q186</f>
        <v>0</v>
      </c>
      <c r="S186" s="528"/>
      <c r="T186" s="643">
        <f>$A186*S186*$T$1</f>
        <v>0</v>
      </c>
    </row>
    <row r="187" spans="1:41" s="519" customFormat="1" ht="12" customHeight="1">
      <c r="A187" s="835" t="s">
        <v>145</v>
      </c>
      <c r="B187" s="836">
        <f>(R186+T186)</f>
        <v>0</v>
      </c>
      <c r="C187" s="837"/>
      <c r="D187" s="837"/>
      <c r="E187" s="837"/>
      <c r="F187" s="837"/>
      <c r="G187" s="813"/>
      <c r="H187" s="813"/>
      <c r="I187" s="813"/>
      <c r="J187" s="813"/>
      <c r="K187" s="838" t="s">
        <v>5</v>
      </c>
      <c r="L187" s="839" t="s">
        <v>590</v>
      </c>
      <c r="M187" s="813"/>
      <c r="N187" s="813"/>
      <c r="O187" s="813"/>
      <c r="P187" s="813"/>
      <c r="Q187" s="813"/>
      <c r="R187" s="814">
        <f>SUM(R183:R186)</f>
        <v>0</v>
      </c>
      <c r="S187" s="815"/>
      <c r="T187" s="814">
        <f>SUM(T183:T186)</f>
        <v>0</v>
      </c>
      <c r="AG187" s="840">
        <f>ROUND($R187*$S$3,2)</f>
        <v>0</v>
      </c>
    </row>
    <row r="188" spans="1:41" s="519" customFormat="1" ht="12.75" customHeight="1">
      <c r="A188" s="841"/>
      <c r="B188" s="842"/>
      <c r="E188" s="641"/>
      <c r="F188" s="843"/>
      <c r="G188" s="641"/>
      <c r="H188" s="641"/>
      <c r="I188" s="518"/>
      <c r="J188" s="641"/>
      <c r="K188" s="641"/>
      <c r="L188" s="844"/>
      <c r="M188" s="652"/>
      <c r="N188" s="652"/>
      <c r="O188" s="652"/>
      <c r="P188" s="652"/>
      <c r="Q188" s="653"/>
      <c r="R188" s="821"/>
      <c r="S188" s="641"/>
      <c r="T188" s="821"/>
    </row>
    <row r="189" spans="1:41" s="519" customFormat="1" ht="13.5" customHeight="1" thickBot="1">
      <c r="A189" s="845"/>
      <c r="B189" s="846"/>
      <c r="C189" s="529"/>
      <c r="D189" s="529"/>
      <c r="E189" s="646"/>
      <c r="F189" s="647"/>
      <c r="G189" s="646" t="s">
        <v>146</v>
      </c>
      <c r="H189" s="646"/>
      <c r="I189" s="648"/>
      <c r="J189" s="646"/>
      <c r="K189" s="646"/>
      <c r="L189" s="847" t="s">
        <v>143</v>
      </c>
      <c r="M189" s="649"/>
      <c r="N189" s="649"/>
      <c r="O189" s="649"/>
      <c r="P189" s="649"/>
      <c r="Q189" s="650"/>
      <c r="R189" s="848">
        <f ca="1">SUMIF($L176:$L188,"SUBI",R176:R188)</f>
        <v>354.72</v>
      </c>
      <c r="S189" s="646"/>
      <c r="T189" s="848">
        <f ca="1">SUMIF($L176:$L188,"SUBI",T176:T188)</f>
        <v>13.12</v>
      </c>
      <c r="U189" s="529"/>
      <c r="V189" s="529"/>
      <c r="W189" s="529"/>
      <c r="X189" s="529"/>
      <c r="Y189" s="529"/>
      <c r="Z189" s="529"/>
      <c r="AA189" s="529"/>
      <c r="AB189" s="529"/>
      <c r="AC189" s="529"/>
      <c r="AD189" s="529"/>
      <c r="AE189" s="529"/>
      <c r="AF189" s="529"/>
      <c r="AG189" s="529"/>
      <c r="AH189" s="529"/>
      <c r="AI189" s="529"/>
      <c r="AJ189" s="529"/>
      <c r="AK189" s="529"/>
      <c r="AL189" s="529"/>
      <c r="AM189" s="529"/>
      <c r="AN189" s="529"/>
      <c r="AO189" s="529"/>
    </row>
    <row r="190" spans="1:41" s="519" customFormat="1" thickTop="1">
      <c r="A190" s="47"/>
      <c r="B190" s="47"/>
      <c r="C190" s="3"/>
      <c r="D190" s="3"/>
      <c r="E190" s="47"/>
      <c r="F190" s="47"/>
      <c r="G190" s="47"/>
      <c r="H190" s="47"/>
      <c r="I190" s="47"/>
      <c r="J190" s="47"/>
      <c r="K190" s="47" t="s">
        <v>134</v>
      </c>
      <c r="L190" s="47"/>
      <c r="M190" s="47"/>
      <c r="N190" s="47"/>
      <c r="O190" s="48"/>
      <c r="P190" s="47"/>
      <c r="Q190" s="47"/>
      <c r="R190" s="47"/>
      <c r="S190" s="47"/>
      <c r="T190" s="47"/>
    </row>
    <row r="191" spans="1:41" s="519" customFormat="1" ht="12">
      <c r="A191" s="47"/>
      <c r="B191" s="47"/>
      <c r="C191" s="47" t="s">
        <v>135</v>
      </c>
      <c r="D191" s="36"/>
      <c r="E191" s="47"/>
      <c r="F191" s="47"/>
      <c r="G191" s="47"/>
      <c r="H191" s="47"/>
      <c r="I191" s="47"/>
      <c r="J191" s="47"/>
      <c r="K191" s="47"/>
      <c r="L191" s="47"/>
      <c r="M191" s="47"/>
      <c r="N191" s="47"/>
      <c r="O191" s="48"/>
      <c r="P191" s="47"/>
      <c r="Q191" s="47"/>
      <c r="R191" s="47"/>
      <c r="S191" s="47"/>
      <c r="T191" s="47"/>
    </row>
    <row r="192" spans="1:41" s="519" customFormat="1" ht="12">
      <c r="A192" s="47"/>
      <c r="B192" s="47"/>
      <c r="C192" s="47"/>
      <c r="D192" s="36" t="s">
        <v>388</v>
      </c>
      <c r="E192" s="47"/>
      <c r="F192" s="47"/>
      <c r="G192" s="47"/>
      <c r="H192" s="47"/>
      <c r="I192" s="47"/>
      <c r="J192" s="47"/>
      <c r="K192" s="47"/>
      <c r="L192" s="47"/>
      <c r="M192" s="47"/>
      <c r="N192" s="47"/>
      <c r="O192" s="48"/>
      <c r="P192" s="47"/>
      <c r="Q192" s="47"/>
      <c r="R192" s="47"/>
      <c r="S192" s="37"/>
      <c r="T192" s="37"/>
    </row>
    <row r="193" spans="1:41" s="3" customFormat="1" thickBot="1">
      <c r="A193" s="529"/>
      <c r="O193" s="99"/>
    </row>
    <row r="194" spans="1:41" s="519" customFormat="1" thickTop="1">
      <c r="A194" s="47"/>
      <c r="B194" s="47"/>
      <c r="C194" s="3"/>
      <c r="D194" s="3"/>
      <c r="E194" s="47"/>
      <c r="F194" s="47"/>
      <c r="G194" s="47"/>
      <c r="H194" s="47"/>
      <c r="I194" s="47"/>
      <c r="J194" s="47"/>
      <c r="K194" s="47" t="s">
        <v>134</v>
      </c>
      <c r="L194" s="47"/>
      <c r="M194" s="47"/>
      <c r="N194" s="47"/>
      <c r="O194" s="48"/>
      <c r="P194" s="47"/>
      <c r="Q194" s="47"/>
      <c r="R194" s="47"/>
      <c r="S194" s="47"/>
      <c r="T194" s="47"/>
    </row>
    <row r="195" spans="1:41" s="519" customFormat="1" ht="12">
      <c r="A195" s="47"/>
      <c r="B195" s="47"/>
      <c r="C195" s="47" t="s">
        <v>135</v>
      </c>
      <c r="D195" s="36"/>
      <c r="E195" s="47"/>
      <c r="F195" s="47"/>
      <c r="G195" s="47"/>
      <c r="H195" s="47"/>
      <c r="I195" s="47"/>
      <c r="J195" s="47"/>
      <c r="K195" s="47"/>
      <c r="L195" s="47"/>
      <c r="M195" s="47"/>
      <c r="N195" s="47"/>
      <c r="O195" s="48"/>
      <c r="P195" s="47"/>
      <c r="Q195" s="47"/>
      <c r="R195" s="47"/>
      <c r="S195" s="47"/>
      <c r="T195" s="47"/>
    </row>
    <row r="196" spans="1:41" s="519" customFormat="1" ht="39.9" customHeight="1">
      <c r="A196" s="47"/>
      <c r="B196" s="47"/>
      <c r="C196" s="47"/>
      <c r="D196" s="979" t="s">
        <v>378</v>
      </c>
      <c r="E196" s="980"/>
      <c r="F196" s="980"/>
      <c r="G196" s="980"/>
      <c r="H196" s="980"/>
      <c r="I196" s="980"/>
      <c r="J196" s="980"/>
      <c r="K196" s="980"/>
      <c r="L196" s="980"/>
      <c r="M196" s="980"/>
      <c r="N196" s="980"/>
      <c r="O196" s="980"/>
      <c r="P196" s="980"/>
      <c r="Q196" s="980"/>
      <c r="R196" s="980"/>
      <c r="S196" s="980"/>
      <c r="T196" s="980"/>
    </row>
    <row r="197" spans="1:41" s="3" customFormat="1" thickBot="1">
      <c r="A197" s="529"/>
      <c r="O197" s="99"/>
    </row>
    <row r="198" spans="1:41" s="519" customFormat="1" thickTop="1">
      <c r="A198" s="47"/>
      <c r="B198" s="40"/>
      <c r="C198" s="47"/>
      <c r="E198" s="41" t="s">
        <v>138</v>
      </c>
      <c r="F198" s="41" t="s">
        <v>139</v>
      </c>
      <c r="G198" s="47"/>
      <c r="H198" s="47"/>
      <c r="I198" s="47"/>
      <c r="J198" s="47"/>
      <c r="K198" s="47" t="s">
        <v>140</v>
      </c>
      <c r="L198" s="774"/>
      <c r="M198" s="47"/>
      <c r="N198" s="47"/>
      <c r="O198" s="48"/>
      <c r="P198" s="47"/>
      <c r="Q198"/>
      <c r="R198"/>
      <c r="S198"/>
      <c r="T198" s="40"/>
      <c r="AG198" s="627" t="s">
        <v>277</v>
      </c>
      <c r="AH198" s="627" t="s">
        <v>278</v>
      </c>
      <c r="AI198" s="627" t="s">
        <v>279</v>
      </c>
      <c r="AJ198" s="627" t="s">
        <v>280</v>
      </c>
      <c r="AK198" s="627" t="s">
        <v>281</v>
      </c>
      <c r="AM198" s="628" t="s">
        <v>290</v>
      </c>
      <c r="AN198" s="629" t="s">
        <v>291</v>
      </c>
      <c r="AO198" s="520" t="s">
        <v>287</v>
      </c>
    </row>
    <row r="199" spans="1:41" s="519" customFormat="1" ht="13.2">
      <c r="A199" s="630">
        <v>1</v>
      </c>
      <c r="B199" s="521" t="s">
        <v>312</v>
      </c>
      <c r="C199" s="631"/>
      <c r="D199" s="632" t="s">
        <v>609</v>
      </c>
      <c r="E199" s="775">
        <f ca="1">IF(AND($A199=0,$A$1="DIF"),0, ROUND(ROUND(SUMIF($L201:$L207,"SUBI",$E201:$E207)/$A199,2)*$C$12,2))</f>
        <v>65.62</v>
      </c>
      <c r="F199" s="776">
        <f ca="1">ROUND($A199*$E199,2)</f>
        <v>65.62</v>
      </c>
      <c r="G199" s="635" t="s">
        <v>142</v>
      </c>
      <c r="H199" s="636"/>
      <c r="I199" s="637"/>
      <c r="J199" s="636"/>
      <c r="K199" s="777"/>
      <c r="L199" s="778" t="s">
        <v>143</v>
      </c>
      <c r="M199" s="638"/>
      <c r="N199" s="638"/>
      <c r="O199" s="638"/>
      <c r="P199" s="638"/>
      <c r="Q199"/>
      <c r="R199"/>
      <c r="S199"/>
      <c r="T199" s="779" t="str">
        <f ca="1">IF(AND($R213=0,$T213=0),"0.00","mu :" &amp; ROUND($F199/$C$12/($R213+$T213*$D$9),2))</f>
        <v>mu :1</v>
      </c>
      <c r="W199" s="522"/>
      <c r="AG199" s="780">
        <f ca="1">IF(A199=0,0,ROUND(SUM(AG201:AG213)/A199,2))</f>
        <v>20.04</v>
      </c>
      <c r="AH199" s="780">
        <f ca="1">$AG199*$A199</f>
        <v>20.04</v>
      </c>
      <c r="AI199" s="780">
        <f ca="1">$E199-$AG199</f>
        <v>45.580000000000005</v>
      </c>
      <c r="AJ199" s="780">
        <f ca="1">$A199*$AI199</f>
        <v>45.580000000000005</v>
      </c>
      <c r="AK199" s="781">
        <f ca="1">ROUND(($AG199+$AI199)*$A199,2)</f>
        <v>65.62</v>
      </c>
      <c r="AM199" s="525">
        <f ca="1">ROUND(R213,2)</f>
        <v>20.04</v>
      </c>
      <c r="AN199" s="526">
        <f ca="1">ROUND(T213,2)</f>
        <v>1.66</v>
      </c>
      <c r="AO199" s="527">
        <f ca="1">ROUND(AM199+AN199,2)*A199</f>
        <v>21.7</v>
      </c>
    </row>
    <row r="200" spans="1:41" s="519" customFormat="1" ht="19.95" customHeight="1">
      <c r="A200" s="782"/>
      <c r="B200" s="783"/>
      <c r="C200" s="631"/>
      <c r="D200" s="784" t="s">
        <v>610</v>
      </c>
      <c r="F200" s="636"/>
      <c r="G200" s="636"/>
      <c r="H200" s="636"/>
      <c r="I200" s="637"/>
      <c r="J200" s="636"/>
      <c r="K200" s="636" t="s">
        <v>144</v>
      </c>
      <c r="L200" s="785"/>
      <c r="M200" s="636"/>
      <c r="N200" s="636"/>
      <c r="O200" s="636"/>
      <c r="P200" s="636"/>
      <c r="Q200" s="47"/>
      <c r="R200" s="528"/>
      <c r="S200" s="640"/>
      <c r="T200" s="636"/>
    </row>
    <row r="201" spans="1:41" s="519" customFormat="1" ht="12">
      <c r="A201" s="786"/>
      <c r="B201" s="787"/>
      <c r="C201" s="641"/>
      <c r="D201" s="636"/>
      <c r="E201" s="788">
        <f ca="1">F199/$C$12-SUMIF($L198:$L213,"SUBI",$E198:$E213)</f>
        <v>0</v>
      </c>
      <c r="F201" s="789" t="s">
        <v>589</v>
      </c>
      <c r="G201" s="790"/>
      <c r="H201" s="790"/>
      <c r="I201" s="791"/>
      <c r="J201" s="790"/>
      <c r="K201" s="790"/>
      <c r="L201" s="792"/>
      <c r="M201" s="793"/>
      <c r="N201" s="793"/>
      <c r="O201" s="793"/>
      <c r="P201" s="793"/>
      <c r="Q201" s="794"/>
      <c r="R201" s="795"/>
      <c r="S201" s="794"/>
      <c r="T201" s="796"/>
    </row>
    <row r="202" spans="1:41" s="519" customFormat="1" ht="12" customHeight="1">
      <c r="A202" s="797"/>
      <c r="B202" s="798"/>
      <c r="C202" s="799"/>
      <c r="D202" s="799" t="str">
        <f>$F$2</f>
        <v>Electrical</v>
      </c>
      <c r="E202" s="799">
        <f ca="1">ROUND(($R206*$S$2 + ($T206*$T$2)), 2)</f>
        <v>65.62</v>
      </c>
      <c r="F202" s="800">
        <f ca="1">$E202*$C$12</f>
        <v>65.62</v>
      </c>
      <c r="G202" s="528"/>
      <c r="H202" s="801"/>
      <c r="I202" s="528"/>
      <c r="J202" s="48"/>
      <c r="K202" s="802" t="s">
        <v>3</v>
      </c>
      <c r="L202" s="803" t="s">
        <v>590</v>
      </c>
      <c r="M202" s="528"/>
      <c r="N202" s="528"/>
      <c r="O202" s="48"/>
      <c r="P202" s="528"/>
      <c r="Q202" s="528"/>
      <c r="R202"/>
      <c r="S202"/>
      <c r="T202"/>
    </row>
    <row r="203" spans="1:41" s="956" customFormat="1" ht="13.2">
      <c r="A203"/>
      <c r="B203" s="948"/>
      <c r="C203" s="948" t="s">
        <v>742</v>
      </c>
      <c r="D203" s="948" t="str">
        <f ca="1">CELL("Address",Elec_Rates!D$54)</f>
        <v>[ELM25_0085_Quintano_Elec_Mech_HVAC_Est_Rev_B.xlsx]Elec_Rates!$D$54</v>
      </c>
      <c r="E203" s="949"/>
      <c r="F203" s="949"/>
      <c r="G203" s="950" t="s">
        <v>743</v>
      </c>
      <c r="H203" s="950"/>
      <c r="I203" s="950"/>
      <c r="J203" s="950"/>
      <c r="K203" s="951"/>
      <c r="L203" s="949"/>
      <c r="M203" s="949"/>
      <c r="N203" s="949"/>
      <c r="O203" s="952"/>
      <c r="P203" s="949"/>
      <c r="Q203" s="953"/>
      <c r="R203" s="954"/>
      <c r="S203" s="953"/>
      <c r="T203" s="943"/>
      <c r="U203" s="955"/>
    </row>
    <row r="204" spans="1:41" s="956" customFormat="1" ht="11.4">
      <c r="A204" s="957">
        <v>1</v>
      </c>
      <c r="B204" s="958">
        <v>1</v>
      </c>
      <c r="C204" s="958">
        <f>$A204*$B204</f>
        <v>1</v>
      </c>
      <c r="D204" s="959" t="str">
        <f>Elec_Rates!$D$54</f>
        <v>046# 3 x 4mm2 XLPE/SWA/LSZH</v>
      </c>
      <c r="E204" s="959"/>
      <c r="F204" s="959" t="s">
        <v>744</v>
      </c>
      <c r="G204" s="960" t="s">
        <v>745</v>
      </c>
      <c r="H204" s="960"/>
      <c r="I204" s="960"/>
      <c r="J204" s="960"/>
      <c r="K204" s="961"/>
      <c r="L204" s="955"/>
      <c r="M204" s="955"/>
      <c r="N204" s="955"/>
      <c r="O204" s="962"/>
      <c r="P204" s="959"/>
      <c r="Q204" s="963">
        <f ca="1">$B204*Elec_Rates!$R$54</f>
        <v>20.04</v>
      </c>
      <c r="R204" s="954">
        <f ca="1">$A204*Q204</f>
        <v>20.04</v>
      </c>
      <c r="S204" s="963">
        <f ca="1">$B204*Elec_Rates!$T$54</f>
        <v>1.66</v>
      </c>
      <c r="T204" s="943">
        <f ca="1">$A204*S204</f>
        <v>1.66</v>
      </c>
      <c r="U204" s="501"/>
    </row>
    <row r="205" spans="1:41" s="519" customFormat="1" ht="13.95" customHeight="1">
      <c r="A205" s="49"/>
      <c r="B205" s="528"/>
      <c r="C205" s="528"/>
      <c r="D205" s="528"/>
      <c r="E205" s="528"/>
      <c r="F205" s="528"/>
      <c r="G205" s="528"/>
      <c r="H205" s="801"/>
      <c r="I205" s="528"/>
      <c r="J205" s="48"/>
      <c r="K205" s="805"/>
      <c r="L205" s="806"/>
      <c r="M205" s="528"/>
      <c r="N205" s="528"/>
      <c r="O205" s="48"/>
      <c r="P205" s="528"/>
      <c r="Q205" s="528"/>
      <c r="R205" s="807">
        <f>$A205*Q205</f>
        <v>0</v>
      </c>
      <c r="S205" s="528"/>
      <c r="T205" s="643">
        <f>$A205*S205*$T$1</f>
        <v>0</v>
      </c>
    </row>
    <row r="206" spans="1:41" s="519" customFormat="1" ht="12">
      <c r="A206" s="808" t="s">
        <v>145</v>
      </c>
      <c r="B206" s="809">
        <f>(R205+T205)</f>
        <v>0</v>
      </c>
      <c r="C206" s="641"/>
      <c r="G206" s="810"/>
      <c r="H206" s="810"/>
      <c r="I206" s="810"/>
      <c r="J206" s="810"/>
      <c r="K206" s="811" t="s">
        <v>3</v>
      </c>
      <c r="L206" s="812" t="s">
        <v>590</v>
      </c>
      <c r="M206" s="810"/>
      <c r="N206" s="810"/>
      <c r="O206" s="810"/>
      <c r="P206" s="810"/>
      <c r="Q206" s="813"/>
      <c r="R206" s="814">
        <f ca="1">SUM(R202:R205)</f>
        <v>20.04</v>
      </c>
      <c r="S206" s="815"/>
      <c r="T206" s="814">
        <f ca="1">SUM(T202:T205)</f>
        <v>1.66</v>
      </c>
      <c r="AG206" s="816">
        <f ca="1">ROUND($R206*$S$2,2)</f>
        <v>20.04</v>
      </c>
    </row>
    <row r="207" spans="1:41" s="519" customFormat="1" ht="12" customHeight="1">
      <c r="A207" s="817"/>
      <c r="B207" s="818"/>
      <c r="C207" s="819"/>
      <c r="D207" s="819" t="str">
        <f>$F$3</f>
        <v>ECA</v>
      </c>
      <c r="E207" s="819">
        <f>ROUND(($R211*$S$3 + ($T211*$T$3)), 2)</f>
        <v>0</v>
      </c>
      <c r="F207" s="820">
        <f ca="1">$F199-SUMIF($L201:$P204,"SUBI",$F201:$F204)</f>
        <v>0</v>
      </c>
      <c r="G207" s="518"/>
      <c r="H207" s="518"/>
      <c r="I207" s="518"/>
      <c r="J207" s="518"/>
      <c r="K207" s="802" t="s">
        <v>5</v>
      </c>
      <c r="L207" s="803" t="s">
        <v>590</v>
      </c>
      <c r="M207" s="518"/>
      <c r="N207" s="518"/>
      <c r="O207" s="518"/>
      <c r="P207" s="518"/>
      <c r="Q207" s="518"/>
      <c r="R207" s="821"/>
      <c r="S207" s="518"/>
      <c r="T207" s="821"/>
    </row>
    <row r="208" spans="1:41" s="834" customFormat="1" ht="14.4" customHeight="1">
      <c r="A208" s="822"/>
      <c r="B208" s="804" t="s">
        <v>592</v>
      </c>
      <c r="C208" s="823"/>
      <c r="D208" s="824"/>
      <c r="E208" s="824"/>
      <c r="F208" s="824"/>
      <c r="G208" s="825"/>
      <c r="H208" s="826"/>
      <c r="I208" s="826"/>
      <c r="J208" s="827"/>
      <c r="K208" s="828"/>
      <c r="L208" s="823"/>
      <c r="M208" s="829"/>
      <c r="N208" s="830"/>
      <c r="O208" s="831"/>
      <c r="P208" s="832"/>
      <c r="Q208" s="833"/>
      <c r="R208" s="807">
        <f>$A208*Q208</f>
        <v>0</v>
      </c>
      <c r="S208" s="528"/>
      <c r="T208" s="643">
        <f>$A208*S208*$T$1</f>
        <v>0</v>
      </c>
    </row>
    <row r="209" spans="1:41" s="519" customFormat="1" ht="11.4">
      <c r="A209" s="49"/>
      <c r="B209" s="528"/>
      <c r="C209" s="528"/>
      <c r="D209" s="528"/>
      <c r="E209" s="528"/>
      <c r="F209" s="528"/>
      <c r="G209" s="528"/>
      <c r="H209" s="528"/>
      <c r="I209" s="528"/>
      <c r="J209" s="528"/>
      <c r="K209" s="528"/>
      <c r="L209" s="806"/>
      <c r="M209" s="528"/>
      <c r="N209" s="528"/>
      <c r="O209" s="528"/>
      <c r="P209" s="528"/>
      <c r="Q209" s="528"/>
      <c r="R209" s="807">
        <f>$A209*Q209</f>
        <v>0</v>
      </c>
      <c r="S209" s="528"/>
      <c r="T209" s="643">
        <f>$A209*S209*$T$1</f>
        <v>0</v>
      </c>
    </row>
    <row r="210" spans="1:41" s="519" customFormat="1" ht="13.2">
      <c r="A210" s="49"/>
      <c r="B210" s="528"/>
      <c r="C210" s="528"/>
      <c r="D210" s="3"/>
      <c r="E210" s="528"/>
      <c r="F210" s="528"/>
      <c r="G210" s="528"/>
      <c r="H210" s="528"/>
      <c r="I210" s="528"/>
      <c r="J210" s="528"/>
      <c r="K210" s="528"/>
      <c r="L210" s="806"/>
      <c r="M210" s="528"/>
      <c r="N210" s="528"/>
      <c r="O210" s="528"/>
      <c r="P210" s="528"/>
      <c r="Q210" s="528"/>
      <c r="R210" s="807">
        <f>$A210*Q210</f>
        <v>0</v>
      </c>
      <c r="S210" s="528"/>
      <c r="T210" s="643">
        <f>$A210*S210*$T$1</f>
        <v>0</v>
      </c>
    </row>
    <row r="211" spans="1:41" s="519" customFormat="1" ht="12" customHeight="1">
      <c r="A211" s="835" t="s">
        <v>145</v>
      </c>
      <c r="B211" s="836">
        <f>(R210+T210)</f>
        <v>0</v>
      </c>
      <c r="C211" s="837"/>
      <c r="D211" s="837"/>
      <c r="E211" s="837"/>
      <c r="F211" s="837"/>
      <c r="G211" s="813"/>
      <c r="H211" s="813"/>
      <c r="I211" s="813"/>
      <c r="J211" s="813"/>
      <c r="K211" s="838" t="s">
        <v>5</v>
      </c>
      <c r="L211" s="839" t="s">
        <v>590</v>
      </c>
      <c r="M211" s="813"/>
      <c r="N211" s="813"/>
      <c r="O211" s="813"/>
      <c r="P211" s="813"/>
      <c r="Q211" s="813"/>
      <c r="R211" s="814">
        <f>SUM(R207:R210)</f>
        <v>0</v>
      </c>
      <c r="S211" s="815"/>
      <c r="T211" s="814">
        <f>SUM(T207:T210)</f>
        <v>0</v>
      </c>
      <c r="AG211" s="840">
        <f>ROUND($R211*$S$3,2)</f>
        <v>0</v>
      </c>
    </row>
    <row r="212" spans="1:41" s="519" customFormat="1" ht="12.75" customHeight="1">
      <c r="A212" s="841"/>
      <c r="B212" s="842"/>
      <c r="E212" s="641"/>
      <c r="F212" s="843"/>
      <c r="G212" s="641"/>
      <c r="H212" s="641"/>
      <c r="I212" s="518"/>
      <c r="J212" s="641"/>
      <c r="K212" s="641"/>
      <c r="L212" s="844"/>
      <c r="M212" s="652"/>
      <c r="N212" s="652"/>
      <c r="O212" s="652"/>
      <c r="P212" s="652"/>
      <c r="Q212" s="653"/>
      <c r="R212" s="821"/>
      <c r="S212" s="641"/>
      <c r="T212" s="821"/>
    </row>
    <row r="213" spans="1:41" s="519" customFormat="1" ht="13.5" customHeight="1" thickBot="1">
      <c r="A213" s="845"/>
      <c r="B213" s="846"/>
      <c r="C213" s="529"/>
      <c r="D213" s="529"/>
      <c r="E213" s="646"/>
      <c r="F213" s="647"/>
      <c r="G213" s="646" t="s">
        <v>146</v>
      </c>
      <c r="H213" s="646"/>
      <c r="I213" s="648"/>
      <c r="J213" s="646"/>
      <c r="K213" s="646"/>
      <c r="L213" s="847" t="s">
        <v>143</v>
      </c>
      <c r="M213" s="649"/>
      <c r="N213" s="649"/>
      <c r="O213" s="649"/>
      <c r="P213" s="649"/>
      <c r="Q213" s="650"/>
      <c r="R213" s="848">
        <f ca="1">SUMIF($L200:$L212,"SUBI",R200:R212)</f>
        <v>20.04</v>
      </c>
      <c r="S213" s="646"/>
      <c r="T213" s="848">
        <f ca="1">SUMIF($L200:$L212,"SUBI",T200:T212)</f>
        <v>1.66</v>
      </c>
      <c r="U213" s="529"/>
      <c r="V213" s="529"/>
      <c r="W213" s="529"/>
      <c r="X213" s="529"/>
      <c r="Y213" s="529"/>
      <c r="Z213" s="529"/>
      <c r="AA213" s="529"/>
      <c r="AB213" s="529"/>
      <c r="AC213" s="529"/>
      <c r="AD213" s="529"/>
      <c r="AE213" s="529"/>
      <c r="AF213" s="529"/>
      <c r="AG213" s="529"/>
      <c r="AH213" s="529"/>
      <c r="AI213" s="529"/>
      <c r="AJ213" s="529"/>
      <c r="AK213" s="529"/>
      <c r="AL213" s="529"/>
      <c r="AM213" s="529"/>
      <c r="AN213" s="529"/>
      <c r="AO213" s="529"/>
    </row>
    <row r="214" spans="1:41" s="519" customFormat="1" thickTop="1">
      <c r="A214" s="47"/>
      <c r="B214" s="40"/>
      <c r="C214" s="47"/>
      <c r="E214" s="41" t="s">
        <v>138</v>
      </c>
      <c r="F214" s="41" t="s">
        <v>139</v>
      </c>
      <c r="G214" s="47"/>
      <c r="H214" s="47"/>
      <c r="I214" s="47"/>
      <c r="J214" s="47"/>
      <c r="K214" s="47" t="s">
        <v>140</v>
      </c>
      <c r="L214" s="774"/>
      <c r="M214" s="47"/>
      <c r="N214" s="47"/>
      <c r="O214" s="48"/>
      <c r="P214" s="47"/>
      <c r="Q214"/>
      <c r="R214"/>
      <c r="S214"/>
      <c r="T214" s="40"/>
      <c r="AG214" s="627" t="s">
        <v>277</v>
      </c>
      <c r="AH214" s="627" t="s">
        <v>278</v>
      </c>
      <c r="AI214" s="627" t="s">
        <v>279</v>
      </c>
      <c r="AJ214" s="627" t="s">
        <v>280</v>
      </c>
      <c r="AK214" s="627" t="s">
        <v>281</v>
      </c>
      <c r="AM214" s="628" t="s">
        <v>290</v>
      </c>
      <c r="AN214" s="629" t="s">
        <v>291</v>
      </c>
      <c r="AO214" s="520" t="s">
        <v>287</v>
      </c>
    </row>
    <row r="215" spans="1:41" s="519" customFormat="1" ht="13.2">
      <c r="A215" s="630">
        <v>1</v>
      </c>
      <c r="B215" s="521" t="s">
        <v>312</v>
      </c>
      <c r="C215" s="631"/>
      <c r="D215" s="632" t="s">
        <v>611</v>
      </c>
      <c r="E215" s="775">
        <f ca="1">IF(AND($A215=0,$A$1="DIF"),0, ROUND(ROUND(SUMIF($L217:$L223,"SUBI",$E217:$E223)/$A215,2)*$C$12,2))</f>
        <v>65.62</v>
      </c>
      <c r="F215" s="776">
        <f ca="1">ROUND($A215*$E215,2)</f>
        <v>65.62</v>
      </c>
      <c r="G215" s="635" t="s">
        <v>142</v>
      </c>
      <c r="H215" s="636"/>
      <c r="I215" s="637"/>
      <c r="J215" s="636"/>
      <c r="K215" s="777"/>
      <c r="L215" s="778" t="s">
        <v>143</v>
      </c>
      <c r="M215" s="638"/>
      <c r="N215" s="638"/>
      <c r="O215" s="638"/>
      <c r="P215" s="638"/>
      <c r="Q215"/>
      <c r="R215"/>
      <c r="S215"/>
      <c r="T215" s="779" t="str">
        <f ca="1">IF(AND($R229=0,$T229=0),"0.00","mu :" &amp; ROUND($F215/$C$12/($R229+$T229*$D$9),2))</f>
        <v>mu :1</v>
      </c>
      <c r="W215" s="522"/>
      <c r="AG215" s="780">
        <f ca="1">IF(A215=0,0,ROUND(SUM(AG217:AG229)/A215,2))</f>
        <v>20.04</v>
      </c>
      <c r="AH215" s="780">
        <f ca="1">$AG215*$A215</f>
        <v>20.04</v>
      </c>
      <c r="AI215" s="780">
        <f ca="1">$E215-$AG215</f>
        <v>45.580000000000005</v>
      </c>
      <c r="AJ215" s="780">
        <f ca="1">$A215*$AI215</f>
        <v>45.580000000000005</v>
      </c>
      <c r="AK215" s="781">
        <f ca="1">ROUND(($AG215+$AI215)*$A215,2)</f>
        <v>65.62</v>
      </c>
      <c r="AM215" s="525">
        <f ca="1">ROUND(R229,2)</f>
        <v>20.04</v>
      </c>
      <c r="AN215" s="526">
        <f ca="1">ROUND(T229,2)</f>
        <v>1.66</v>
      </c>
      <c r="AO215" s="527">
        <f ca="1">ROUND(AM215+AN215,2)*A215</f>
        <v>21.7</v>
      </c>
    </row>
    <row r="216" spans="1:41" s="519" customFormat="1" ht="19.95" customHeight="1">
      <c r="A216" s="782"/>
      <c r="B216" s="783"/>
      <c r="C216" s="631"/>
      <c r="D216" s="784" t="s">
        <v>612</v>
      </c>
      <c r="F216" s="636"/>
      <c r="G216" s="636"/>
      <c r="H216" s="636"/>
      <c r="I216" s="637"/>
      <c r="J216" s="636"/>
      <c r="K216" s="636" t="s">
        <v>144</v>
      </c>
      <c r="L216" s="785"/>
      <c r="M216" s="636"/>
      <c r="N216" s="636"/>
      <c r="O216" s="636"/>
      <c r="P216" s="636"/>
      <c r="Q216" s="47"/>
      <c r="R216" s="528"/>
      <c r="S216" s="640"/>
      <c r="T216" s="636"/>
    </row>
    <row r="217" spans="1:41" s="519" customFormat="1" ht="12">
      <c r="A217" s="786"/>
      <c r="B217" s="787"/>
      <c r="C217" s="641"/>
      <c r="D217" s="636"/>
      <c r="E217" s="788">
        <f ca="1">F215/$C$12-SUMIF($L214:$L229,"SUBI",$E214:$E229)</f>
        <v>0</v>
      </c>
      <c r="F217" s="789" t="s">
        <v>589</v>
      </c>
      <c r="G217" s="790"/>
      <c r="H217" s="790"/>
      <c r="I217" s="791"/>
      <c r="J217" s="790"/>
      <c r="K217" s="790"/>
      <c r="L217" s="792"/>
      <c r="M217" s="793"/>
      <c r="N217" s="793"/>
      <c r="O217" s="793"/>
      <c r="P217" s="793"/>
      <c r="Q217" s="794"/>
      <c r="R217" s="795"/>
      <c r="S217" s="794"/>
      <c r="T217" s="796"/>
    </row>
    <row r="218" spans="1:41" s="519" customFormat="1" ht="12" customHeight="1">
      <c r="A218" s="797"/>
      <c r="B218" s="798"/>
      <c r="C218" s="799"/>
      <c r="D218" s="799" t="str">
        <f>$F$2</f>
        <v>Electrical</v>
      </c>
      <c r="E218" s="799">
        <f ca="1">ROUND(($R222*$S$2 + ($T222*$T$2)), 2)</f>
        <v>65.62</v>
      </c>
      <c r="F218" s="800">
        <f ca="1">$E218*$C$12</f>
        <v>65.62</v>
      </c>
      <c r="G218" s="528"/>
      <c r="H218" s="801"/>
      <c r="I218" s="528"/>
      <c r="J218" s="48"/>
      <c r="K218" s="802" t="s">
        <v>3</v>
      </c>
      <c r="L218" s="803" t="s">
        <v>590</v>
      </c>
      <c r="M218" s="528"/>
      <c r="N218" s="528"/>
      <c r="O218" s="48"/>
      <c r="P218" s="528"/>
      <c r="Q218" s="528"/>
      <c r="R218"/>
      <c r="S218"/>
      <c r="T218"/>
    </row>
    <row r="219" spans="1:41" s="956" customFormat="1" ht="13.2">
      <c r="A219"/>
      <c r="B219" s="948"/>
      <c r="C219" s="948" t="s">
        <v>742</v>
      </c>
      <c r="D219" s="948" t="str">
        <f ca="1">CELL("Address",Elec_Rates!D$54)</f>
        <v>[ELM25_0085_Quintano_Elec_Mech_HVAC_Est_Rev_B.xlsx]Elec_Rates!$D$54</v>
      </c>
      <c r="E219" s="949"/>
      <c r="F219" s="949"/>
      <c r="G219" s="950" t="s">
        <v>743</v>
      </c>
      <c r="H219" s="950"/>
      <c r="I219" s="950"/>
      <c r="J219" s="950"/>
      <c r="K219" s="951"/>
      <c r="L219" s="949"/>
      <c r="M219" s="949"/>
      <c r="N219" s="949"/>
      <c r="O219" s="952"/>
      <c r="P219" s="949"/>
      <c r="Q219" s="953"/>
      <c r="R219" s="954"/>
      <c r="S219" s="953"/>
      <c r="T219" s="943"/>
      <c r="U219" s="955"/>
    </row>
    <row r="220" spans="1:41" s="956" customFormat="1" ht="11.4">
      <c r="A220" s="957">
        <v>1</v>
      </c>
      <c r="B220" s="958">
        <v>1</v>
      </c>
      <c r="C220" s="958">
        <f>$A220*$B220</f>
        <v>1</v>
      </c>
      <c r="D220" s="959" t="str">
        <f>Elec_Rates!$D$54</f>
        <v>046# 3 x 4mm2 XLPE/SWA/LSZH</v>
      </c>
      <c r="E220" s="959"/>
      <c r="F220" s="959" t="s">
        <v>744</v>
      </c>
      <c r="G220" s="960" t="s">
        <v>745</v>
      </c>
      <c r="H220" s="960"/>
      <c r="I220" s="960"/>
      <c r="J220" s="960"/>
      <c r="K220" s="961"/>
      <c r="L220" s="955"/>
      <c r="M220" s="955"/>
      <c r="N220" s="955"/>
      <c r="O220" s="962"/>
      <c r="P220" s="959"/>
      <c r="Q220" s="963">
        <f ca="1">$B220*Elec_Rates!$R$54</f>
        <v>20.04</v>
      </c>
      <c r="R220" s="954">
        <f ca="1">$A220*Q220</f>
        <v>20.04</v>
      </c>
      <c r="S220" s="963">
        <f ca="1">$B220*Elec_Rates!$T$54</f>
        <v>1.66</v>
      </c>
      <c r="T220" s="943">
        <f ca="1">$A220*S220</f>
        <v>1.66</v>
      </c>
      <c r="U220" s="501"/>
    </row>
    <row r="221" spans="1:41" s="519" customFormat="1" ht="13.95" customHeight="1">
      <c r="A221" s="49"/>
      <c r="B221" s="528"/>
      <c r="C221" s="528"/>
      <c r="D221" s="528"/>
      <c r="E221" s="528"/>
      <c r="F221" s="528"/>
      <c r="G221" s="528"/>
      <c r="H221" s="801"/>
      <c r="I221" s="528"/>
      <c r="J221" s="48"/>
      <c r="K221" s="805"/>
      <c r="L221" s="806"/>
      <c r="M221" s="528"/>
      <c r="N221" s="528"/>
      <c r="O221" s="48"/>
      <c r="P221" s="528"/>
      <c r="Q221" s="528"/>
      <c r="R221" s="807">
        <f>$A221*Q221</f>
        <v>0</v>
      </c>
      <c r="S221" s="528"/>
      <c r="T221" s="643">
        <f>$A221*S221*$T$1</f>
        <v>0</v>
      </c>
    </row>
    <row r="222" spans="1:41" s="519" customFormat="1" ht="12">
      <c r="A222" s="808" t="s">
        <v>145</v>
      </c>
      <c r="B222" s="809">
        <f>(R221+T221)</f>
        <v>0</v>
      </c>
      <c r="C222" s="641"/>
      <c r="G222" s="810"/>
      <c r="H222" s="810"/>
      <c r="I222" s="810"/>
      <c r="J222" s="810"/>
      <c r="K222" s="811" t="s">
        <v>3</v>
      </c>
      <c r="L222" s="812" t="s">
        <v>590</v>
      </c>
      <c r="M222" s="810"/>
      <c r="N222" s="810"/>
      <c r="O222" s="810"/>
      <c r="P222" s="810"/>
      <c r="Q222" s="813"/>
      <c r="R222" s="814">
        <f ca="1">SUM(R218:R221)</f>
        <v>20.04</v>
      </c>
      <c r="S222" s="815"/>
      <c r="T222" s="814">
        <f ca="1">SUM(T218:T221)</f>
        <v>1.66</v>
      </c>
      <c r="AG222" s="816">
        <f ca="1">ROUND($R222*$S$2,2)</f>
        <v>20.04</v>
      </c>
    </row>
    <row r="223" spans="1:41" s="519" customFormat="1" ht="12" customHeight="1">
      <c r="A223" s="817"/>
      <c r="B223" s="818"/>
      <c r="C223" s="819"/>
      <c r="D223" s="819" t="str">
        <f>$F$3</f>
        <v>ECA</v>
      </c>
      <c r="E223" s="819">
        <f>ROUND(($R227*$S$3 + ($T227*$T$3)), 2)</f>
        <v>0</v>
      </c>
      <c r="F223" s="820">
        <f ca="1">$F215-SUMIF($L217:$P220,"SUBI",$F217:$F220)</f>
        <v>0</v>
      </c>
      <c r="G223" s="518"/>
      <c r="H223" s="518"/>
      <c r="I223" s="518"/>
      <c r="J223" s="518"/>
      <c r="K223" s="802" t="s">
        <v>5</v>
      </c>
      <c r="L223" s="803" t="s">
        <v>590</v>
      </c>
      <c r="M223" s="518"/>
      <c r="N223" s="518"/>
      <c r="O223" s="518"/>
      <c r="P223" s="518"/>
      <c r="Q223" s="518"/>
      <c r="R223" s="821"/>
      <c r="S223" s="518"/>
      <c r="T223" s="821"/>
    </row>
    <row r="224" spans="1:41" s="834" customFormat="1" ht="14.4" customHeight="1">
      <c r="A224" s="822"/>
      <c r="B224" s="804" t="s">
        <v>592</v>
      </c>
      <c r="C224" s="823"/>
      <c r="D224" s="824"/>
      <c r="E224" s="824"/>
      <c r="F224" s="824"/>
      <c r="G224" s="825"/>
      <c r="H224" s="826"/>
      <c r="I224" s="826"/>
      <c r="J224" s="827"/>
      <c r="K224" s="828"/>
      <c r="L224" s="823"/>
      <c r="M224" s="829"/>
      <c r="N224" s="830"/>
      <c r="O224" s="831"/>
      <c r="P224" s="832"/>
      <c r="Q224" s="833"/>
      <c r="R224" s="807">
        <f>$A224*Q224</f>
        <v>0</v>
      </c>
      <c r="S224" s="528"/>
      <c r="T224" s="643">
        <f>$A224*S224*$T$1</f>
        <v>0</v>
      </c>
    </row>
    <row r="225" spans="1:41" s="519" customFormat="1" ht="11.4">
      <c r="A225" s="49"/>
      <c r="B225" s="528"/>
      <c r="C225" s="528"/>
      <c r="D225" s="528"/>
      <c r="E225" s="528"/>
      <c r="F225" s="528"/>
      <c r="G225" s="528"/>
      <c r="H225" s="528"/>
      <c r="I225" s="528"/>
      <c r="J225" s="528"/>
      <c r="K225" s="528"/>
      <c r="L225" s="806"/>
      <c r="M225" s="528"/>
      <c r="N225" s="528"/>
      <c r="O225" s="528"/>
      <c r="P225" s="528"/>
      <c r="Q225" s="528"/>
      <c r="R225" s="807">
        <f>$A225*Q225</f>
        <v>0</v>
      </c>
      <c r="S225" s="528"/>
      <c r="T225" s="643">
        <f>$A225*S225*$T$1</f>
        <v>0</v>
      </c>
    </row>
    <row r="226" spans="1:41" s="519" customFormat="1" ht="13.2">
      <c r="A226" s="49"/>
      <c r="B226" s="528"/>
      <c r="C226" s="528"/>
      <c r="D226" s="3"/>
      <c r="E226" s="528"/>
      <c r="F226" s="528"/>
      <c r="G226" s="528"/>
      <c r="H226" s="528"/>
      <c r="I226" s="528"/>
      <c r="J226" s="528"/>
      <c r="K226" s="528"/>
      <c r="L226" s="806"/>
      <c r="M226" s="528"/>
      <c r="N226" s="528"/>
      <c r="O226" s="528"/>
      <c r="P226" s="528"/>
      <c r="Q226" s="528"/>
      <c r="R226" s="807">
        <f>$A226*Q226</f>
        <v>0</v>
      </c>
      <c r="S226" s="528"/>
      <c r="T226" s="643">
        <f>$A226*S226*$T$1</f>
        <v>0</v>
      </c>
    </row>
    <row r="227" spans="1:41" s="519" customFormat="1" ht="12" customHeight="1">
      <c r="A227" s="835" t="s">
        <v>145</v>
      </c>
      <c r="B227" s="836">
        <f>(R226+T226)</f>
        <v>0</v>
      </c>
      <c r="C227" s="837"/>
      <c r="D227" s="837"/>
      <c r="E227" s="837"/>
      <c r="F227" s="837"/>
      <c r="G227" s="813"/>
      <c r="H227" s="813"/>
      <c r="I227" s="813"/>
      <c r="J227" s="813"/>
      <c r="K227" s="838" t="s">
        <v>5</v>
      </c>
      <c r="L227" s="839" t="s">
        <v>590</v>
      </c>
      <c r="M227" s="813"/>
      <c r="N227" s="813"/>
      <c r="O227" s="813"/>
      <c r="P227" s="813"/>
      <c r="Q227" s="813"/>
      <c r="R227" s="814">
        <f>SUM(R223:R226)</f>
        <v>0</v>
      </c>
      <c r="S227" s="815"/>
      <c r="T227" s="814">
        <f>SUM(T223:T226)</f>
        <v>0</v>
      </c>
      <c r="AG227" s="840">
        <f>ROUND($R227*$S$3,2)</f>
        <v>0</v>
      </c>
    </row>
    <row r="228" spans="1:41" s="519" customFormat="1" ht="12.75" customHeight="1">
      <c r="A228" s="841"/>
      <c r="B228" s="842"/>
      <c r="E228" s="641"/>
      <c r="F228" s="843"/>
      <c r="G228" s="641"/>
      <c r="H228" s="641"/>
      <c r="I228" s="518"/>
      <c r="J228" s="641"/>
      <c r="K228" s="641"/>
      <c r="L228" s="844"/>
      <c r="M228" s="652"/>
      <c r="N228" s="652"/>
      <c r="O228" s="652"/>
      <c r="P228" s="652"/>
      <c r="Q228" s="653"/>
      <c r="R228" s="821"/>
      <c r="S228" s="641"/>
      <c r="T228" s="821"/>
    </row>
    <row r="229" spans="1:41" s="519" customFormat="1" ht="13.5" customHeight="1" thickBot="1">
      <c r="A229" s="845"/>
      <c r="B229" s="846"/>
      <c r="C229" s="529"/>
      <c r="D229" s="529"/>
      <c r="E229" s="646"/>
      <c r="F229" s="647"/>
      <c r="G229" s="646" t="s">
        <v>146</v>
      </c>
      <c r="H229" s="646"/>
      <c r="I229" s="648"/>
      <c r="J229" s="646"/>
      <c r="K229" s="646"/>
      <c r="L229" s="847" t="s">
        <v>143</v>
      </c>
      <c r="M229" s="649"/>
      <c r="N229" s="649"/>
      <c r="O229" s="649"/>
      <c r="P229" s="649"/>
      <c r="Q229" s="650"/>
      <c r="R229" s="848">
        <f ca="1">SUMIF($L216:$L228,"SUBI",R216:R228)</f>
        <v>20.04</v>
      </c>
      <c r="S229" s="646"/>
      <c r="T229" s="848">
        <f ca="1">SUMIF($L216:$L228,"SUBI",T216:T228)</f>
        <v>1.66</v>
      </c>
      <c r="U229" s="529"/>
      <c r="V229" s="529"/>
      <c r="W229" s="529"/>
      <c r="X229" s="529"/>
      <c r="Y229" s="529"/>
      <c r="Z229" s="529"/>
      <c r="AA229" s="529"/>
      <c r="AB229" s="529"/>
      <c r="AC229" s="529"/>
      <c r="AD229" s="529"/>
      <c r="AE229" s="529"/>
      <c r="AF229" s="529"/>
      <c r="AG229" s="529"/>
      <c r="AH229" s="529"/>
      <c r="AI229" s="529"/>
      <c r="AJ229" s="529"/>
      <c r="AK229" s="529"/>
      <c r="AL229" s="529"/>
      <c r="AM229" s="529"/>
      <c r="AN229" s="529"/>
      <c r="AO229" s="529"/>
    </row>
    <row r="230" spans="1:41" s="519" customFormat="1" thickTop="1">
      <c r="A230" s="47"/>
      <c r="B230" s="40"/>
      <c r="C230" s="47"/>
      <c r="E230" s="41" t="s">
        <v>138</v>
      </c>
      <c r="F230" s="41" t="s">
        <v>139</v>
      </c>
      <c r="G230" s="47"/>
      <c r="H230" s="47"/>
      <c r="I230" s="47"/>
      <c r="J230" s="47"/>
      <c r="K230" s="47" t="s">
        <v>140</v>
      </c>
      <c r="L230" s="774"/>
      <c r="M230" s="47"/>
      <c r="N230" s="47"/>
      <c r="O230" s="48"/>
      <c r="P230" s="47"/>
      <c r="Q230"/>
      <c r="R230"/>
      <c r="S230"/>
      <c r="T230" s="40"/>
      <c r="AG230" s="627" t="s">
        <v>277</v>
      </c>
      <c r="AH230" s="627" t="s">
        <v>278</v>
      </c>
      <c r="AI230" s="627" t="s">
        <v>279</v>
      </c>
      <c r="AJ230" s="627" t="s">
        <v>280</v>
      </c>
      <c r="AK230" s="627" t="s">
        <v>281</v>
      </c>
      <c r="AM230" s="628" t="s">
        <v>290</v>
      </c>
      <c r="AN230" s="629" t="s">
        <v>291</v>
      </c>
      <c r="AO230" s="520" t="s">
        <v>287</v>
      </c>
    </row>
    <row r="231" spans="1:41" s="519" customFormat="1" ht="13.2">
      <c r="A231" s="630">
        <v>1</v>
      </c>
      <c r="B231" s="521" t="s">
        <v>312</v>
      </c>
      <c r="C231" s="631"/>
      <c r="D231" s="632" t="s">
        <v>613</v>
      </c>
      <c r="E231" s="775">
        <f ca="1">IF(AND($A231=0,$A$1="DIF"),0, ROUND(ROUND(SUMIF($L233:$L239,"SUBI",$E233:$E239)/$A231,2)*$C$12,2))</f>
        <v>65.62</v>
      </c>
      <c r="F231" s="776">
        <f ca="1">ROUND($A231*$E231,2)</f>
        <v>65.62</v>
      </c>
      <c r="G231" s="635" t="s">
        <v>142</v>
      </c>
      <c r="H231" s="636"/>
      <c r="I231" s="637"/>
      <c r="J231" s="636"/>
      <c r="K231" s="777"/>
      <c r="L231" s="778" t="s">
        <v>143</v>
      </c>
      <c r="M231" s="638"/>
      <c r="N231" s="638"/>
      <c r="O231" s="638"/>
      <c r="P231" s="638"/>
      <c r="Q231"/>
      <c r="R231"/>
      <c r="S231"/>
      <c r="T231" s="779" t="str">
        <f ca="1">IF(AND($R245=0,$T245=0),"0.00","mu :" &amp; ROUND($F231/$C$12/($R245+$T245*$D$9),2))</f>
        <v>mu :1</v>
      </c>
      <c r="W231" s="522"/>
      <c r="AG231" s="780">
        <f ca="1">IF(A231=0,0,ROUND(SUM(AG233:AG245)/A231,2))</f>
        <v>20.04</v>
      </c>
      <c r="AH231" s="780">
        <f ca="1">$AG231*$A231</f>
        <v>20.04</v>
      </c>
      <c r="AI231" s="780">
        <f ca="1">$E231-$AG231</f>
        <v>45.580000000000005</v>
      </c>
      <c r="AJ231" s="780">
        <f ca="1">$A231*$AI231</f>
        <v>45.580000000000005</v>
      </c>
      <c r="AK231" s="781">
        <f ca="1">ROUND(($AG231+$AI231)*$A231,2)</f>
        <v>65.62</v>
      </c>
      <c r="AM231" s="525">
        <f ca="1">ROUND(R245,2)</f>
        <v>20.04</v>
      </c>
      <c r="AN231" s="526">
        <f ca="1">ROUND(T245,2)</f>
        <v>1.66</v>
      </c>
      <c r="AO231" s="527">
        <f ca="1">ROUND(AM231+AN231,2)*A231</f>
        <v>21.7</v>
      </c>
    </row>
    <row r="232" spans="1:41" s="519" customFormat="1" ht="19.95" customHeight="1">
      <c r="A232" s="782"/>
      <c r="B232" s="783"/>
      <c r="C232" s="631"/>
      <c r="D232" s="784" t="s">
        <v>614</v>
      </c>
      <c r="F232" s="636"/>
      <c r="G232" s="636"/>
      <c r="H232" s="636"/>
      <c r="I232" s="637"/>
      <c r="J232" s="636"/>
      <c r="K232" s="636" t="s">
        <v>144</v>
      </c>
      <c r="L232" s="785"/>
      <c r="M232" s="636"/>
      <c r="N232" s="636"/>
      <c r="O232" s="636"/>
      <c r="P232" s="636"/>
      <c r="Q232" s="47"/>
      <c r="R232" s="528"/>
      <c r="S232" s="640"/>
      <c r="T232" s="636"/>
    </row>
    <row r="233" spans="1:41" s="519" customFormat="1" ht="12">
      <c r="A233" s="786"/>
      <c r="B233" s="787"/>
      <c r="C233" s="641"/>
      <c r="D233" s="636"/>
      <c r="E233" s="788">
        <f ca="1">F231/$C$12-SUMIF($L230:$L245,"SUBI",$E230:$E245)</f>
        <v>0</v>
      </c>
      <c r="F233" s="789" t="s">
        <v>589</v>
      </c>
      <c r="G233" s="790"/>
      <c r="H233" s="790"/>
      <c r="I233" s="791"/>
      <c r="J233" s="790"/>
      <c r="K233" s="790"/>
      <c r="L233" s="792"/>
      <c r="M233" s="793"/>
      <c r="N233" s="793"/>
      <c r="O233" s="793"/>
      <c r="P233" s="793"/>
      <c r="Q233" s="794"/>
      <c r="R233" s="795"/>
      <c r="S233" s="794"/>
      <c r="T233" s="796"/>
    </row>
    <row r="234" spans="1:41" s="519" customFormat="1" ht="12" customHeight="1">
      <c r="A234" s="797"/>
      <c r="B234" s="798"/>
      <c r="C234" s="799"/>
      <c r="D234" s="799" t="str">
        <f>$F$2</f>
        <v>Electrical</v>
      </c>
      <c r="E234" s="799">
        <f ca="1">ROUND(($R238*$S$2 + ($T238*$T$2)), 2)</f>
        <v>65.62</v>
      </c>
      <c r="F234" s="800">
        <f ca="1">$E234*$C$12</f>
        <v>65.62</v>
      </c>
      <c r="G234" s="528"/>
      <c r="H234" s="801"/>
      <c r="I234" s="528"/>
      <c r="J234" s="48"/>
      <c r="K234" s="802" t="s">
        <v>3</v>
      </c>
      <c r="L234" s="803" t="s">
        <v>590</v>
      </c>
      <c r="M234" s="528"/>
      <c r="N234" s="528"/>
      <c r="O234" s="48"/>
      <c r="P234" s="528"/>
      <c r="Q234" s="528"/>
      <c r="R234"/>
      <c r="S234"/>
      <c r="T234"/>
    </row>
    <row r="235" spans="1:41" s="956" customFormat="1" ht="13.2">
      <c r="A235"/>
      <c r="B235" s="948"/>
      <c r="C235" s="948" t="s">
        <v>742</v>
      </c>
      <c r="D235" s="948" t="str">
        <f ca="1">CELL("Address",Elec_Rates!D$54)</f>
        <v>[ELM25_0085_Quintano_Elec_Mech_HVAC_Est_Rev_B.xlsx]Elec_Rates!$D$54</v>
      </c>
      <c r="E235" s="949"/>
      <c r="F235" s="949"/>
      <c r="G235" s="950" t="s">
        <v>743</v>
      </c>
      <c r="H235" s="950"/>
      <c r="I235" s="950"/>
      <c r="J235" s="950"/>
      <c r="K235" s="951"/>
      <c r="L235" s="949"/>
      <c r="M235" s="949"/>
      <c r="N235" s="949"/>
      <c r="O235" s="952"/>
      <c r="P235" s="949"/>
      <c r="Q235" s="953"/>
      <c r="R235" s="954"/>
      <c r="S235" s="953"/>
      <c r="T235" s="943"/>
      <c r="U235" s="955"/>
    </row>
    <row r="236" spans="1:41" s="956" customFormat="1" ht="11.4">
      <c r="A236" s="957">
        <v>1</v>
      </c>
      <c r="B236" s="958">
        <v>1</v>
      </c>
      <c r="C236" s="958">
        <f>$A236*$B236</f>
        <v>1</v>
      </c>
      <c r="D236" s="959" t="str">
        <f>Elec_Rates!$D$54</f>
        <v>046# 3 x 4mm2 XLPE/SWA/LSZH</v>
      </c>
      <c r="E236" s="959"/>
      <c r="F236" s="959" t="s">
        <v>744</v>
      </c>
      <c r="G236" s="960" t="s">
        <v>745</v>
      </c>
      <c r="H236" s="960"/>
      <c r="I236" s="960"/>
      <c r="J236" s="960"/>
      <c r="K236" s="961"/>
      <c r="L236" s="955"/>
      <c r="M236" s="955"/>
      <c r="N236" s="955"/>
      <c r="O236" s="962"/>
      <c r="P236" s="959"/>
      <c r="Q236" s="963">
        <f ca="1">$B236*Elec_Rates!$R$54</f>
        <v>20.04</v>
      </c>
      <c r="R236" s="954">
        <f ca="1">$A236*Q236</f>
        <v>20.04</v>
      </c>
      <c r="S236" s="963">
        <f ca="1">$B236*Elec_Rates!$T$54</f>
        <v>1.66</v>
      </c>
      <c r="T236" s="943">
        <f ca="1">$A236*S236</f>
        <v>1.66</v>
      </c>
      <c r="U236" s="501"/>
    </row>
    <row r="237" spans="1:41" s="519" customFormat="1" ht="13.95" customHeight="1">
      <c r="A237" s="49"/>
      <c r="B237" s="528"/>
      <c r="C237" s="528"/>
      <c r="D237" s="528"/>
      <c r="E237" s="528"/>
      <c r="F237" s="528"/>
      <c r="G237" s="528"/>
      <c r="H237" s="801"/>
      <c r="I237" s="528"/>
      <c r="J237" s="48"/>
      <c r="K237" s="805"/>
      <c r="L237" s="806"/>
      <c r="M237" s="528"/>
      <c r="N237" s="528"/>
      <c r="O237" s="48"/>
      <c r="P237" s="528"/>
      <c r="Q237" s="528"/>
      <c r="R237" s="807">
        <f>$A237*Q237</f>
        <v>0</v>
      </c>
      <c r="S237" s="528"/>
      <c r="T237" s="643">
        <f>$A237*S237*$T$1</f>
        <v>0</v>
      </c>
    </row>
    <row r="238" spans="1:41" s="519" customFormat="1" ht="12">
      <c r="A238" s="808" t="s">
        <v>145</v>
      </c>
      <c r="B238" s="809">
        <f>(R237+T237)</f>
        <v>0</v>
      </c>
      <c r="C238" s="641"/>
      <c r="G238" s="810"/>
      <c r="H238" s="810"/>
      <c r="I238" s="810"/>
      <c r="J238" s="810"/>
      <c r="K238" s="811" t="s">
        <v>3</v>
      </c>
      <c r="L238" s="812" t="s">
        <v>590</v>
      </c>
      <c r="M238" s="810"/>
      <c r="N238" s="810"/>
      <c r="O238" s="810"/>
      <c r="P238" s="810"/>
      <c r="Q238" s="813"/>
      <c r="R238" s="814">
        <f ca="1">SUM(R234:R237)</f>
        <v>20.04</v>
      </c>
      <c r="S238" s="815"/>
      <c r="T238" s="814">
        <f ca="1">SUM(T234:T237)</f>
        <v>1.66</v>
      </c>
      <c r="AG238" s="816">
        <f ca="1">ROUND($R238*$S$2,2)</f>
        <v>20.04</v>
      </c>
    </row>
    <row r="239" spans="1:41" s="519" customFormat="1" ht="12" customHeight="1">
      <c r="A239" s="817"/>
      <c r="B239" s="818"/>
      <c r="C239" s="819"/>
      <c r="D239" s="819" t="str">
        <f>$F$3</f>
        <v>ECA</v>
      </c>
      <c r="E239" s="819">
        <f>ROUND(($R243*$S$3 + ($T243*$T$3)), 2)</f>
        <v>0</v>
      </c>
      <c r="F239" s="820">
        <f ca="1">$F231-SUMIF($L233:$P236,"SUBI",$F233:$F236)</f>
        <v>0</v>
      </c>
      <c r="G239" s="518"/>
      <c r="H239" s="518"/>
      <c r="I239" s="518"/>
      <c r="J239" s="518"/>
      <c r="K239" s="802" t="s">
        <v>5</v>
      </c>
      <c r="L239" s="803" t="s">
        <v>590</v>
      </c>
      <c r="M239" s="518"/>
      <c r="N239" s="518"/>
      <c r="O239" s="518"/>
      <c r="P239" s="518"/>
      <c r="Q239" s="518"/>
      <c r="R239" s="821"/>
      <c r="S239" s="518"/>
      <c r="T239" s="821"/>
    </row>
    <row r="240" spans="1:41" s="834" customFormat="1" ht="14.4" customHeight="1">
      <c r="A240" s="822"/>
      <c r="B240" s="804" t="s">
        <v>592</v>
      </c>
      <c r="C240" s="823"/>
      <c r="D240" s="824"/>
      <c r="E240" s="824"/>
      <c r="F240" s="824"/>
      <c r="G240" s="825"/>
      <c r="H240" s="826"/>
      <c r="I240" s="826"/>
      <c r="J240" s="827"/>
      <c r="K240" s="828"/>
      <c r="L240" s="823"/>
      <c r="M240" s="829"/>
      <c r="N240" s="830"/>
      <c r="O240" s="831"/>
      <c r="P240" s="832"/>
      <c r="Q240" s="833"/>
      <c r="R240" s="807">
        <f>$A240*Q240</f>
        <v>0</v>
      </c>
      <c r="S240" s="528"/>
      <c r="T240" s="643">
        <f>$A240*S240*$T$1</f>
        <v>0</v>
      </c>
    </row>
    <row r="241" spans="1:41" s="519" customFormat="1" ht="11.4">
      <c r="A241" s="49"/>
      <c r="B241" s="528"/>
      <c r="C241" s="528"/>
      <c r="D241" s="528"/>
      <c r="E241" s="528"/>
      <c r="F241" s="528"/>
      <c r="G241" s="528"/>
      <c r="H241" s="528"/>
      <c r="I241" s="528"/>
      <c r="J241" s="528"/>
      <c r="K241" s="528"/>
      <c r="L241" s="806"/>
      <c r="M241" s="528"/>
      <c r="N241" s="528"/>
      <c r="O241" s="528"/>
      <c r="P241" s="528"/>
      <c r="Q241" s="528"/>
      <c r="R241" s="807">
        <f>$A241*Q241</f>
        <v>0</v>
      </c>
      <c r="S241" s="528"/>
      <c r="T241" s="643">
        <f>$A241*S241*$T$1</f>
        <v>0</v>
      </c>
    </row>
    <row r="242" spans="1:41" s="519" customFormat="1" ht="13.2">
      <c r="A242" s="49"/>
      <c r="B242" s="528"/>
      <c r="C242" s="528"/>
      <c r="D242" s="3"/>
      <c r="E242" s="528"/>
      <c r="F242" s="528"/>
      <c r="G242" s="528"/>
      <c r="H242" s="528"/>
      <c r="I242" s="528"/>
      <c r="J242" s="528"/>
      <c r="K242" s="528"/>
      <c r="L242" s="806"/>
      <c r="M242" s="528"/>
      <c r="N242" s="528"/>
      <c r="O242" s="528"/>
      <c r="P242" s="528"/>
      <c r="Q242" s="528"/>
      <c r="R242" s="807">
        <f>$A242*Q242</f>
        <v>0</v>
      </c>
      <c r="S242" s="528"/>
      <c r="T242" s="643">
        <f>$A242*S242*$T$1</f>
        <v>0</v>
      </c>
    </row>
    <row r="243" spans="1:41" s="519" customFormat="1" ht="12" customHeight="1">
      <c r="A243" s="835" t="s">
        <v>145</v>
      </c>
      <c r="B243" s="836">
        <f>(R242+T242)</f>
        <v>0</v>
      </c>
      <c r="C243" s="837"/>
      <c r="D243" s="837"/>
      <c r="E243" s="837"/>
      <c r="F243" s="837"/>
      <c r="G243" s="813"/>
      <c r="H243" s="813"/>
      <c r="I243" s="813"/>
      <c r="J243" s="813"/>
      <c r="K243" s="838" t="s">
        <v>5</v>
      </c>
      <c r="L243" s="839" t="s">
        <v>590</v>
      </c>
      <c r="M243" s="813"/>
      <c r="N243" s="813"/>
      <c r="O243" s="813"/>
      <c r="P243" s="813"/>
      <c r="Q243" s="813"/>
      <c r="R243" s="814">
        <f>SUM(R239:R242)</f>
        <v>0</v>
      </c>
      <c r="S243" s="815"/>
      <c r="T243" s="814">
        <f>SUM(T239:T242)</f>
        <v>0</v>
      </c>
      <c r="AG243" s="840">
        <f>ROUND($R243*$S$3,2)</f>
        <v>0</v>
      </c>
    </row>
    <row r="244" spans="1:41" s="519" customFormat="1" ht="12.75" customHeight="1">
      <c r="A244" s="841"/>
      <c r="B244" s="842"/>
      <c r="E244" s="641"/>
      <c r="F244" s="843"/>
      <c r="G244" s="641"/>
      <c r="H244" s="641"/>
      <c r="I244" s="518"/>
      <c r="J244" s="641"/>
      <c r="K244" s="641"/>
      <c r="L244" s="844"/>
      <c r="M244" s="652"/>
      <c r="N244" s="652"/>
      <c r="O244" s="652"/>
      <c r="P244" s="652"/>
      <c r="Q244" s="653"/>
      <c r="R244" s="821"/>
      <c r="S244" s="641"/>
      <c r="T244" s="821"/>
    </row>
    <row r="245" spans="1:41" s="519" customFormat="1" ht="13.5" customHeight="1" thickBot="1">
      <c r="A245" s="845"/>
      <c r="B245" s="846"/>
      <c r="C245" s="529"/>
      <c r="D245" s="529"/>
      <c r="E245" s="646"/>
      <c r="F245" s="647"/>
      <c r="G245" s="646" t="s">
        <v>146</v>
      </c>
      <c r="H245" s="646"/>
      <c r="I245" s="648"/>
      <c r="J245" s="646"/>
      <c r="K245" s="646"/>
      <c r="L245" s="847" t="s">
        <v>143</v>
      </c>
      <c r="M245" s="649"/>
      <c r="N245" s="649"/>
      <c r="O245" s="649"/>
      <c r="P245" s="649"/>
      <c r="Q245" s="650"/>
      <c r="R245" s="848">
        <f ca="1">SUMIF($L232:$L244,"SUBI",R232:R244)</f>
        <v>20.04</v>
      </c>
      <c r="S245" s="646"/>
      <c r="T245" s="848">
        <f ca="1">SUMIF($L232:$L244,"SUBI",T232:T244)</f>
        <v>1.66</v>
      </c>
      <c r="U245" s="529"/>
      <c r="V245" s="529"/>
      <c r="W245" s="529"/>
      <c r="X245" s="529"/>
      <c r="Y245" s="529"/>
      <c r="Z245" s="529"/>
      <c r="AA245" s="529"/>
      <c r="AB245" s="529"/>
      <c r="AC245" s="529"/>
      <c r="AD245" s="529"/>
      <c r="AE245" s="529"/>
      <c r="AF245" s="529"/>
      <c r="AG245" s="529"/>
      <c r="AH245" s="529"/>
      <c r="AI245" s="529"/>
      <c r="AJ245" s="529"/>
      <c r="AK245" s="529"/>
      <c r="AL245" s="529"/>
      <c r="AM245" s="529"/>
      <c r="AN245" s="529"/>
      <c r="AO245" s="529"/>
    </row>
    <row r="246" spans="1:41" s="519" customFormat="1" thickTop="1">
      <c r="A246" s="47"/>
      <c r="B246" s="40"/>
      <c r="C246" s="47"/>
      <c r="E246" s="41" t="s">
        <v>138</v>
      </c>
      <c r="F246" s="41" t="s">
        <v>139</v>
      </c>
      <c r="G246" s="47"/>
      <c r="H246" s="47"/>
      <c r="I246" s="47"/>
      <c r="J246" s="47"/>
      <c r="K246" s="47" t="s">
        <v>140</v>
      </c>
      <c r="L246" s="774"/>
      <c r="M246" s="47"/>
      <c r="N246" s="47"/>
      <c r="O246" s="48"/>
      <c r="P246" s="47"/>
      <c r="Q246"/>
      <c r="R246"/>
      <c r="S246"/>
      <c r="T246" s="40"/>
      <c r="AG246" s="627" t="s">
        <v>277</v>
      </c>
      <c r="AH246" s="627" t="s">
        <v>278</v>
      </c>
      <c r="AI246" s="627" t="s">
        <v>279</v>
      </c>
      <c r="AJ246" s="627" t="s">
        <v>280</v>
      </c>
      <c r="AK246" s="627" t="s">
        <v>281</v>
      </c>
      <c r="AM246" s="628" t="s">
        <v>290</v>
      </c>
      <c r="AN246" s="629" t="s">
        <v>291</v>
      </c>
      <c r="AO246" s="520" t="s">
        <v>287</v>
      </c>
    </row>
    <row r="247" spans="1:41" s="519" customFormat="1" ht="13.2">
      <c r="A247" s="630">
        <v>1</v>
      </c>
      <c r="B247" s="521" t="s">
        <v>312</v>
      </c>
      <c r="C247" s="631"/>
      <c r="D247" s="632" t="s">
        <v>615</v>
      </c>
      <c r="E247" s="775">
        <f ca="1">IF(AND($A247=0,$A$1="DIF"),0, ROUND(ROUND(SUMIF($L249:$L256,"SUBI",$E249:$E256)/$A247,2)*$C$12,2))</f>
        <v>65.62</v>
      </c>
      <c r="F247" s="776">
        <f ca="1">ROUND($A247*$E247,2)</f>
        <v>65.62</v>
      </c>
      <c r="G247" s="635" t="s">
        <v>142</v>
      </c>
      <c r="H247" s="636"/>
      <c r="I247" s="637"/>
      <c r="J247" s="636"/>
      <c r="K247" s="777"/>
      <c r="L247" s="778" t="s">
        <v>143</v>
      </c>
      <c r="M247" s="638"/>
      <c r="N247" s="638"/>
      <c r="O247" s="638"/>
      <c r="P247" s="638"/>
      <c r="Q247"/>
      <c r="R247"/>
      <c r="S247"/>
      <c r="T247" s="779" t="str">
        <f ca="1">IF(AND($R262=0,$T262=0),"0.00","mu :" &amp; ROUND($F247/$C$12/($R262+$T262*$D$9),2))</f>
        <v>mu :1</v>
      </c>
      <c r="W247" s="522"/>
      <c r="AG247" s="780">
        <f ca="1">IF(A247=0,0,ROUND(SUM(AG249:AG262)/A247,2))</f>
        <v>20.04</v>
      </c>
      <c r="AH247" s="780">
        <f ca="1">$AG247*$A247</f>
        <v>20.04</v>
      </c>
      <c r="AI247" s="780">
        <f ca="1">$E247-$AG247</f>
        <v>45.580000000000005</v>
      </c>
      <c r="AJ247" s="780">
        <f ca="1">$A247*$AI247</f>
        <v>45.580000000000005</v>
      </c>
      <c r="AK247" s="781">
        <f ca="1">ROUND(($AG247+$AI247)*$A247,2)</f>
        <v>65.62</v>
      </c>
      <c r="AM247" s="525">
        <f ca="1">ROUND(R262,2)</f>
        <v>20.04</v>
      </c>
      <c r="AN247" s="526">
        <f ca="1">ROUND(T262,2)</f>
        <v>1.66</v>
      </c>
      <c r="AO247" s="527">
        <f ca="1">ROUND(AM247+AN247,2)*A247</f>
        <v>21.7</v>
      </c>
    </row>
    <row r="248" spans="1:41" s="519" customFormat="1" ht="19.95" customHeight="1">
      <c r="A248" s="782"/>
      <c r="B248" s="783"/>
      <c r="C248" s="631"/>
      <c r="D248" s="784" t="s">
        <v>616</v>
      </c>
      <c r="F248" s="636"/>
      <c r="G248" s="636"/>
      <c r="H248" s="636"/>
      <c r="I248" s="637"/>
      <c r="J248" s="636"/>
      <c r="K248" s="636" t="s">
        <v>144</v>
      </c>
      <c r="L248" s="785"/>
      <c r="M248" s="636"/>
      <c r="N248" s="636"/>
      <c r="O248" s="636"/>
      <c r="P248" s="636"/>
      <c r="Q248" s="47"/>
      <c r="R248" s="528"/>
      <c r="S248" s="640"/>
      <c r="T248" s="636"/>
    </row>
    <row r="249" spans="1:41" s="519" customFormat="1" ht="12">
      <c r="A249" s="786"/>
      <c r="B249" s="787"/>
      <c r="C249" s="641"/>
      <c r="D249" s="636"/>
      <c r="E249" s="788">
        <f ca="1">F247/$C$12-SUMIF($L246:$L262,"SUBI",$E246:$E262)</f>
        <v>0</v>
      </c>
      <c r="F249" s="789" t="s">
        <v>589</v>
      </c>
      <c r="G249" s="790"/>
      <c r="H249" s="790"/>
      <c r="I249" s="791"/>
      <c r="J249" s="790"/>
      <c r="K249" s="790"/>
      <c r="L249" s="792"/>
      <c r="M249" s="793"/>
      <c r="N249" s="793"/>
      <c r="O249" s="793"/>
      <c r="P249" s="793"/>
      <c r="Q249" s="794"/>
      <c r="R249" s="795"/>
      <c r="S249" s="794"/>
      <c r="T249" s="796"/>
    </row>
    <row r="250" spans="1:41" s="519" customFormat="1" ht="12" customHeight="1">
      <c r="A250" s="797"/>
      <c r="B250" s="798"/>
      <c r="C250" s="799"/>
      <c r="D250" s="799" t="str">
        <f>$F$2</f>
        <v>Electrical</v>
      </c>
      <c r="E250" s="799">
        <f ca="1">ROUND(($R255*$S$2 + ($T255*$T$2)), 2)</f>
        <v>65.62</v>
      </c>
      <c r="F250" s="800">
        <f ca="1">$E250*$C$12</f>
        <v>65.62</v>
      </c>
      <c r="G250" s="528"/>
      <c r="H250" s="801"/>
      <c r="I250" s="528"/>
      <c r="J250" s="48"/>
      <c r="K250" s="802" t="s">
        <v>3</v>
      </c>
      <c r="L250" s="803" t="s">
        <v>590</v>
      </c>
      <c r="M250" s="528"/>
      <c r="N250" s="528"/>
      <c r="O250" s="48"/>
      <c r="P250" s="528"/>
      <c r="Q250" s="528"/>
      <c r="R250"/>
      <c r="S250"/>
      <c r="T250"/>
    </row>
    <row r="251" spans="1:41" s="956" customFormat="1" ht="13.2">
      <c r="A251"/>
      <c r="B251" s="948"/>
      <c r="C251" s="948" t="s">
        <v>742</v>
      </c>
      <c r="D251" s="948" t="str">
        <f ca="1">CELL("Address",Elec_Rates!D$54)</f>
        <v>[ELM25_0085_Quintano_Elec_Mech_HVAC_Est_Rev_B.xlsx]Elec_Rates!$D$54</v>
      </c>
      <c r="E251" s="949"/>
      <c r="F251" s="949"/>
      <c r="G251" s="950" t="s">
        <v>743</v>
      </c>
      <c r="H251" s="950"/>
      <c r="I251" s="950"/>
      <c r="J251" s="950"/>
      <c r="K251" s="951"/>
      <c r="L251" s="949"/>
      <c r="M251" s="949"/>
      <c r="N251" s="949"/>
      <c r="O251" s="952"/>
      <c r="P251" s="949"/>
      <c r="Q251" s="953"/>
      <c r="R251" s="954"/>
      <c r="S251" s="953"/>
      <c r="T251" s="943"/>
      <c r="U251" s="955"/>
    </row>
    <row r="252" spans="1:41" s="956" customFormat="1" ht="11.4">
      <c r="A252" s="957">
        <v>1</v>
      </c>
      <c r="B252" s="958">
        <v>1</v>
      </c>
      <c r="C252" s="958">
        <f>$A252*$B252</f>
        <v>1</v>
      </c>
      <c r="D252" s="959" t="str">
        <f>Elec_Rates!$D$54</f>
        <v>046# 3 x 4mm2 XLPE/SWA/LSZH</v>
      </c>
      <c r="E252" s="959"/>
      <c r="F252" s="959" t="s">
        <v>744</v>
      </c>
      <c r="G252" s="960" t="s">
        <v>745</v>
      </c>
      <c r="H252" s="960"/>
      <c r="I252" s="960"/>
      <c r="J252" s="960"/>
      <c r="K252" s="961"/>
      <c r="L252" s="955"/>
      <c r="M252" s="955"/>
      <c r="N252" s="955"/>
      <c r="O252" s="962"/>
      <c r="P252" s="959"/>
      <c r="Q252" s="963">
        <f ca="1">$B252*Elec_Rates!$R$54</f>
        <v>20.04</v>
      </c>
      <c r="R252" s="954">
        <f ca="1">$A252*Q252</f>
        <v>20.04</v>
      </c>
      <c r="S252" s="963">
        <f ca="1">$B252*Elec_Rates!$T$54</f>
        <v>1.66</v>
      </c>
      <c r="T252" s="943">
        <f ca="1">$A252*S252</f>
        <v>1.66</v>
      </c>
      <c r="U252" s="501"/>
    </row>
    <row r="253" spans="1:41" s="956" customFormat="1" ht="11.4">
      <c r="A253" s="957"/>
      <c r="B253" s="958"/>
      <c r="C253" s="958"/>
      <c r="D253" s="994" t="s">
        <v>871</v>
      </c>
      <c r="E253" s="959"/>
      <c r="F253" s="959"/>
      <c r="G253" s="960"/>
      <c r="H253" s="960"/>
      <c r="I253" s="960"/>
      <c r="J253" s="960"/>
      <c r="K253" s="961"/>
      <c r="L253" s="955"/>
      <c r="M253" s="955"/>
      <c r="N253" s="955"/>
      <c r="O253" s="962"/>
      <c r="P253" s="959"/>
      <c r="Q253" s="963"/>
      <c r="R253" s="954"/>
      <c r="S253" s="963"/>
      <c r="T253" s="943"/>
      <c r="U253" s="501"/>
    </row>
    <row r="254" spans="1:41" s="519" customFormat="1" ht="13.95" customHeight="1">
      <c r="A254" s="49"/>
      <c r="B254" s="528"/>
      <c r="C254" s="528"/>
      <c r="D254" s="528"/>
      <c r="E254" s="528"/>
      <c r="F254" s="528"/>
      <c r="G254" s="528"/>
      <c r="H254" s="801"/>
      <c r="I254" s="528"/>
      <c r="J254" s="48"/>
      <c r="K254" s="805"/>
      <c r="L254" s="806"/>
      <c r="M254" s="528"/>
      <c r="N254" s="528"/>
      <c r="O254" s="48"/>
      <c r="P254" s="528"/>
      <c r="Q254" s="528"/>
      <c r="R254" s="807">
        <f>$A254*Q254</f>
        <v>0</v>
      </c>
      <c r="S254" s="528"/>
      <c r="T254" s="643">
        <f>$A254*S254*$T$1</f>
        <v>0</v>
      </c>
    </row>
    <row r="255" spans="1:41" s="519" customFormat="1" ht="12">
      <c r="A255" s="808" t="s">
        <v>145</v>
      </c>
      <c r="B255" s="809">
        <f>(R254+T254)</f>
        <v>0</v>
      </c>
      <c r="C255" s="641"/>
      <c r="G255" s="810"/>
      <c r="H255" s="810"/>
      <c r="I255" s="810"/>
      <c r="J255" s="810"/>
      <c r="K255" s="811" t="s">
        <v>3</v>
      </c>
      <c r="L255" s="812" t="s">
        <v>590</v>
      </c>
      <c r="M255" s="810"/>
      <c r="N255" s="810"/>
      <c r="O255" s="810"/>
      <c r="P255" s="810"/>
      <c r="Q255" s="813"/>
      <c r="R255" s="814">
        <f ca="1">SUM(R250:R254)</f>
        <v>20.04</v>
      </c>
      <c r="S255" s="815"/>
      <c r="T255" s="814">
        <f ca="1">SUM(T250:T254)</f>
        <v>1.66</v>
      </c>
      <c r="AG255" s="816">
        <f ca="1">ROUND($R255*$S$2,2)</f>
        <v>20.04</v>
      </c>
    </row>
    <row r="256" spans="1:41" s="519" customFormat="1" ht="12" customHeight="1">
      <c r="A256" s="817"/>
      <c r="B256" s="818"/>
      <c r="C256" s="819"/>
      <c r="D256" s="819" t="str">
        <f>$F$3</f>
        <v>ECA</v>
      </c>
      <c r="E256" s="819">
        <f>ROUND(($R260*$S$3 + ($T260*$T$3)), 2)</f>
        <v>0</v>
      </c>
      <c r="F256" s="820">
        <f ca="1">$F247-SUMIF($L249:$P252,"SUBI",$F249:$F252)</f>
        <v>0</v>
      </c>
      <c r="G256" s="518"/>
      <c r="H256" s="518"/>
      <c r="I256" s="518"/>
      <c r="J256" s="518"/>
      <c r="K256" s="802" t="s">
        <v>5</v>
      </c>
      <c r="L256" s="803" t="s">
        <v>590</v>
      </c>
      <c r="M256" s="518"/>
      <c r="N256" s="518"/>
      <c r="O256" s="518"/>
      <c r="P256" s="518"/>
      <c r="Q256" s="518"/>
      <c r="R256" s="821"/>
      <c r="S256" s="518"/>
      <c r="T256" s="821"/>
    </row>
    <row r="257" spans="1:256" s="834" customFormat="1" ht="14.4" customHeight="1">
      <c r="A257" s="822"/>
      <c r="B257" s="804" t="s">
        <v>592</v>
      </c>
      <c r="C257" s="823"/>
      <c r="D257" s="824"/>
      <c r="E257" s="824"/>
      <c r="F257" s="824"/>
      <c r="G257" s="825"/>
      <c r="H257" s="826"/>
      <c r="I257" s="826"/>
      <c r="J257" s="827"/>
      <c r="K257" s="828"/>
      <c r="L257" s="823"/>
      <c r="M257" s="829"/>
      <c r="N257" s="830"/>
      <c r="O257" s="831"/>
      <c r="P257" s="832"/>
      <c r="Q257" s="833"/>
      <c r="R257" s="807">
        <f>$A257*Q257</f>
        <v>0</v>
      </c>
      <c r="S257" s="528"/>
      <c r="T257" s="643">
        <f>$A257*S257*$T$1</f>
        <v>0</v>
      </c>
    </row>
    <row r="258" spans="1:256" s="519" customFormat="1" ht="11.4">
      <c r="A258" s="49"/>
      <c r="B258" s="528"/>
      <c r="C258" s="528"/>
      <c r="D258" s="528"/>
      <c r="E258" s="528"/>
      <c r="F258" s="528"/>
      <c r="G258" s="528"/>
      <c r="H258" s="528"/>
      <c r="I258" s="528"/>
      <c r="J258" s="528"/>
      <c r="K258" s="528"/>
      <c r="L258" s="806"/>
      <c r="M258" s="528"/>
      <c r="N258" s="528"/>
      <c r="O258" s="528"/>
      <c r="P258" s="528"/>
      <c r="Q258" s="528"/>
      <c r="R258" s="807">
        <f>$A258*Q258</f>
        <v>0</v>
      </c>
      <c r="S258" s="528"/>
      <c r="T258" s="643">
        <f>$A258*S258*$T$1</f>
        <v>0</v>
      </c>
    </row>
    <row r="259" spans="1:256" s="519" customFormat="1" ht="13.2">
      <c r="A259" s="49"/>
      <c r="B259" s="528"/>
      <c r="C259" s="528"/>
      <c r="D259" s="3"/>
      <c r="E259" s="528"/>
      <c r="F259" s="528"/>
      <c r="G259" s="528"/>
      <c r="H259" s="528"/>
      <c r="I259" s="528"/>
      <c r="J259" s="528"/>
      <c r="K259" s="528"/>
      <c r="L259" s="806"/>
      <c r="M259" s="528"/>
      <c r="N259" s="528"/>
      <c r="O259" s="528"/>
      <c r="P259" s="528"/>
      <c r="Q259" s="528"/>
      <c r="R259" s="807">
        <f>$A259*Q259</f>
        <v>0</v>
      </c>
      <c r="S259" s="528"/>
      <c r="T259" s="643">
        <f>$A259*S259*$T$1</f>
        <v>0</v>
      </c>
    </row>
    <row r="260" spans="1:256" s="519" customFormat="1" ht="12" customHeight="1">
      <c r="A260" s="835" t="s">
        <v>145</v>
      </c>
      <c r="B260" s="836">
        <f>(R259+T259)</f>
        <v>0</v>
      </c>
      <c r="C260" s="837"/>
      <c r="D260" s="837"/>
      <c r="E260" s="837"/>
      <c r="F260" s="837"/>
      <c r="G260" s="813"/>
      <c r="H260" s="813"/>
      <c r="I260" s="813"/>
      <c r="J260" s="813"/>
      <c r="K260" s="838" t="s">
        <v>5</v>
      </c>
      <c r="L260" s="839" t="s">
        <v>590</v>
      </c>
      <c r="M260" s="813"/>
      <c r="N260" s="813"/>
      <c r="O260" s="813"/>
      <c r="P260" s="813"/>
      <c r="Q260" s="813"/>
      <c r="R260" s="814">
        <f>SUM(R256:R259)</f>
        <v>0</v>
      </c>
      <c r="S260" s="815"/>
      <c r="T260" s="814">
        <f>SUM(T256:T259)</f>
        <v>0</v>
      </c>
      <c r="AG260" s="840">
        <f>ROUND($R260*$S$3,2)</f>
        <v>0</v>
      </c>
    </row>
    <row r="261" spans="1:256" s="519" customFormat="1" ht="12.75" customHeight="1">
      <c r="A261" s="841"/>
      <c r="B261" s="842"/>
      <c r="E261" s="641"/>
      <c r="F261" s="843"/>
      <c r="G261" s="641"/>
      <c r="H261" s="641"/>
      <c r="I261" s="518"/>
      <c r="J261" s="641"/>
      <c r="K261" s="641"/>
      <c r="L261" s="844"/>
      <c r="M261" s="652"/>
      <c r="N261" s="652"/>
      <c r="O261" s="652"/>
      <c r="P261" s="652"/>
      <c r="Q261" s="653"/>
      <c r="R261" s="821"/>
      <c r="S261" s="641"/>
      <c r="T261" s="821"/>
    </row>
    <row r="262" spans="1:256" s="519" customFormat="1" ht="13.5" customHeight="1" thickBot="1">
      <c r="A262" s="845"/>
      <c r="B262" s="846"/>
      <c r="C262" s="529"/>
      <c r="D262" s="529"/>
      <c r="E262" s="646"/>
      <c r="F262" s="647"/>
      <c r="G262" s="646" t="s">
        <v>146</v>
      </c>
      <c r="H262" s="646"/>
      <c r="I262" s="648"/>
      <c r="J262" s="646"/>
      <c r="K262" s="646"/>
      <c r="L262" s="847" t="s">
        <v>143</v>
      </c>
      <c r="M262" s="649"/>
      <c r="N262" s="649"/>
      <c r="O262" s="649"/>
      <c r="P262" s="649"/>
      <c r="Q262" s="650"/>
      <c r="R262" s="848">
        <f ca="1">SUMIF($L248:$L261,"SUBI",R248:R261)</f>
        <v>20.04</v>
      </c>
      <c r="S262" s="646"/>
      <c r="T262" s="848">
        <f ca="1">SUMIF($L248:$L261,"SUBI",T248:T261)</f>
        <v>1.66</v>
      </c>
      <c r="U262" s="529"/>
      <c r="V262" s="529"/>
      <c r="W262" s="529"/>
      <c r="X262" s="529"/>
      <c r="Y262" s="529"/>
      <c r="Z262" s="529"/>
      <c r="AA262" s="529"/>
      <c r="AB262" s="529"/>
      <c r="AC262" s="529"/>
      <c r="AD262" s="529"/>
      <c r="AE262" s="529"/>
      <c r="AF262" s="529"/>
      <c r="AG262" s="529"/>
      <c r="AH262" s="529"/>
      <c r="AI262" s="529"/>
      <c r="AJ262" s="529"/>
      <c r="AK262" s="529"/>
      <c r="AL262" s="529"/>
      <c r="AM262" s="529"/>
      <c r="AN262" s="529"/>
      <c r="AO262" s="529"/>
    </row>
    <row r="263" spans="1:256" s="519" customFormat="1" ht="12" thickTop="1">
      <c r="A263" s="47"/>
      <c r="B263" s="40"/>
      <c r="C263" s="47"/>
      <c r="E263" s="41" t="s">
        <v>138</v>
      </c>
      <c r="F263" s="41" t="s">
        <v>139</v>
      </c>
      <c r="G263" s="47"/>
      <c r="H263" s="47"/>
      <c r="I263" s="47"/>
      <c r="J263" s="47"/>
      <c r="K263" s="47" t="s">
        <v>140</v>
      </c>
      <c r="L263" s="47"/>
      <c r="M263" s="47"/>
      <c r="N263" s="47"/>
      <c r="O263" s="48"/>
      <c r="P263" s="47"/>
      <c r="Q263" s="47"/>
      <c r="R263" s="47"/>
      <c r="S263" s="47"/>
      <c r="T263" s="40"/>
      <c r="AG263" s="627" t="s">
        <v>277</v>
      </c>
      <c r="AH263" s="627" t="s">
        <v>278</v>
      </c>
      <c r="AI263" s="627" t="s">
        <v>279</v>
      </c>
      <c r="AJ263" s="627" t="s">
        <v>280</v>
      </c>
      <c r="AK263" s="627" t="s">
        <v>281</v>
      </c>
      <c r="AM263" s="628" t="s">
        <v>290</v>
      </c>
      <c r="AN263" s="629" t="s">
        <v>291</v>
      </c>
      <c r="AO263" s="520" t="s">
        <v>287</v>
      </c>
    </row>
    <row r="264" spans="1:256" s="519" customFormat="1" ht="12" customHeight="1">
      <c r="A264" s="630">
        <v>1</v>
      </c>
      <c r="B264" s="521" t="s">
        <v>312</v>
      </c>
      <c r="C264" s="631"/>
      <c r="D264" s="632" t="s">
        <v>617</v>
      </c>
      <c r="E264" s="633">
        <f>IF(AND($A264=0,$A$1="DIF"),0, ROUND(ROUND(($R274*$S$2+($T274*$T$2))/A264,2)*$C$2,2))</f>
        <v>366.17</v>
      </c>
      <c r="F264" s="634">
        <f>ROUND($A264*$E264,2)</f>
        <v>366.17</v>
      </c>
      <c r="G264" s="635" t="s">
        <v>142</v>
      </c>
      <c r="H264" s="636"/>
      <c r="I264" s="637"/>
      <c r="J264" s="636"/>
      <c r="K264" s="636" t="s">
        <v>3</v>
      </c>
      <c r="L264" s="638" t="s">
        <v>143</v>
      </c>
      <c r="M264" s="638"/>
      <c r="N264" s="638"/>
      <c r="O264" s="638"/>
      <c r="P264" s="638"/>
      <c r="Q264" s="47"/>
      <c r="T264" s="639" t="str">
        <f>IF(AND($R274=0,$T274=0),"0.00","mu :" &amp; ROUND($F264/$C$2/($R274+$T274*$D$9),2))</f>
        <v>mu :1</v>
      </c>
      <c r="W264" s="522"/>
      <c r="AG264" s="470">
        <f>IF($E264=0,0,ROUND($R274*$S$2*$C$2/$A264,2))</f>
        <v>137.15</v>
      </c>
      <c r="AH264" s="470">
        <f>$AG264*$A264</f>
        <v>137.15</v>
      </c>
      <c r="AI264" s="523">
        <f>$E264-$AG264</f>
        <v>229.02</v>
      </c>
      <c r="AJ264" s="523">
        <f>$A264*$AI264</f>
        <v>229.02</v>
      </c>
      <c r="AK264" s="524">
        <f>ROUND(($AG264+$AI264)*$A264,2)</f>
        <v>366.17</v>
      </c>
      <c r="AM264" s="525">
        <f>ROUND(R274,2)</f>
        <v>137.15</v>
      </c>
      <c r="AN264" s="526">
        <f>ROUND(T274,2)</f>
        <v>8.34</v>
      </c>
      <c r="AO264" s="527">
        <f>ROUND(AM264+AN264,2)*A264</f>
        <v>145.49</v>
      </c>
    </row>
    <row r="265" spans="1:256" s="519" customFormat="1" ht="63" customHeight="1">
      <c r="A265" s="631"/>
      <c r="B265"/>
      <c r="C265" s="631"/>
      <c r="D265" s="981" t="s">
        <v>604</v>
      </c>
      <c r="E265" s="980"/>
      <c r="F265" s="980"/>
      <c r="G265" s="980"/>
      <c r="H265" s="980"/>
      <c r="I265" s="980"/>
      <c r="J265" s="980"/>
      <c r="K265" s="980"/>
      <c r="L265" s="980"/>
      <c r="M265" s="980"/>
      <c r="N265" s="980"/>
      <c r="O265" s="980"/>
      <c r="P265" s="980"/>
      <c r="Q265" s="980"/>
      <c r="R265" s="980"/>
      <c r="S265" s="980"/>
      <c r="T265" s="980"/>
    </row>
    <row r="266" spans="1:256" s="956" customFormat="1" ht="11.4">
      <c r="A266" s="957"/>
      <c r="B266" s="958"/>
      <c r="C266" s="958"/>
      <c r="D266" s="993" t="s">
        <v>869</v>
      </c>
      <c r="E266" s="959"/>
      <c r="F266" s="959"/>
      <c r="G266" s="960"/>
      <c r="H266" s="960"/>
      <c r="I266" s="960"/>
      <c r="J266" s="960"/>
      <c r="K266" s="961"/>
      <c r="L266" s="955"/>
      <c r="M266" s="955"/>
      <c r="N266" s="955"/>
      <c r="O266" s="962"/>
      <c r="P266" s="959"/>
      <c r="Q266" s="963"/>
      <c r="R266" s="954"/>
      <c r="S266" s="963"/>
      <c r="T266" s="943"/>
      <c r="U266" s="501"/>
    </row>
    <row r="267" spans="1:256" s="933" customFormat="1" ht="11.4">
      <c r="A267" s="957">
        <v>30</v>
      </c>
      <c r="B267" s="933" t="s">
        <v>311</v>
      </c>
      <c r="D267" s="933" t="s">
        <v>851</v>
      </c>
      <c r="G267" s="936" t="s">
        <v>852</v>
      </c>
      <c r="H267" s="937">
        <v>690</v>
      </c>
      <c r="I267" s="933" t="s">
        <v>780</v>
      </c>
      <c r="J267" s="933" t="s">
        <v>781</v>
      </c>
      <c r="K267" s="940" t="s">
        <v>7</v>
      </c>
      <c r="O267" s="938">
        <v>1</v>
      </c>
      <c r="P267" s="939">
        <v>34669</v>
      </c>
      <c r="Q267" s="982">
        <v>3.66</v>
      </c>
      <c r="R267" s="941">
        <f>$A267*Q267</f>
        <v>109.80000000000001</v>
      </c>
      <c r="S267" s="940">
        <v>0.2</v>
      </c>
      <c r="T267" s="942">
        <f t="shared" ref="T267:T273" si="3">$A267*S267*$T$1</f>
        <v>6</v>
      </c>
    </row>
    <row r="268" spans="1:256" s="933" customFormat="1" ht="11.4">
      <c r="A268" s="957">
        <v>30</v>
      </c>
      <c r="B268" s="933" t="s">
        <v>311</v>
      </c>
      <c r="D268" s="933" t="s">
        <v>853</v>
      </c>
      <c r="F268" s="984"/>
      <c r="G268" s="936" t="s">
        <v>854</v>
      </c>
      <c r="H268" s="937">
        <v>617</v>
      </c>
      <c r="I268" s="933" t="s">
        <v>855</v>
      </c>
      <c r="J268" s="933" t="s">
        <v>856</v>
      </c>
      <c r="K268" s="940" t="s">
        <v>7</v>
      </c>
      <c r="O268" s="938">
        <v>2</v>
      </c>
      <c r="P268" s="939"/>
      <c r="Q268" s="940">
        <f>0.62*1.25</f>
        <v>0.77500000000000002</v>
      </c>
      <c r="R268" s="941">
        <f t="shared" ref="R268:R271" si="4">$A268*Q268</f>
        <v>23.25</v>
      </c>
      <c r="S268" s="940">
        <v>0.05</v>
      </c>
      <c r="T268" s="942">
        <f t="shared" si="3"/>
        <v>1.5</v>
      </c>
    </row>
    <row r="269" spans="1:256" s="956" customFormat="1" ht="11.4">
      <c r="A269" s="957">
        <v>2</v>
      </c>
      <c r="B269" s="933" t="s">
        <v>141</v>
      </c>
      <c r="C269" s="933"/>
      <c r="D269" s="933" t="s">
        <v>857</v>
      </c>
      <c r="E269" s="933"/>
      <c r="F269" s="933"/>
      <c r="G269" s="936" t="s">
        <v>858</v>
      </c>
      <c r="H269" s="937">
        <v>620</v>
      </c>
      <c r="I269" s="933" t="s">
        <v>729</v>
      </c>
      <c r="J269" s="933"/>
      <c r="K269" s="940" t="s">
        <v>7</v>
      </c>
      <c r="L269" s="933"/>
      <c r="M269" s="933"/>
      <c r="N269" s="933"/>
      <c r="O269" s="938">
        <v>2</v>
      </c>
      <c r="P269" s="939">
        <v>38148</v>
      </c>
      <c r="Q269" s="940">
        <f>1.1*1.5</f>
        <v>1.6500000000000001</v>
      </c>
      <c r="R269" s="941">
        <f t="shared" si="4"/>
        <v>3.3000000000000003</v>
      </c>
      <c r="S269" s="940">
        <v>0.1</v>
      </c>
      <c r="T269" s="942">
        <f t="shared" si="3"/>
        <v>0.2</v>
      </c>
      <c r="U269" s="933"/>
      <c r="V269" s="933"/>
      <c r="W269" s="933"/>
      <c r="X269" s="933"/>
      <c r="Y269" s="933"/>
      <c r="Z269" s="933"/>
      <c r="AA269" s="933"/>
      <c r="AB269" s="933"/>
      <c r="AC269" s="519"/>
      <c r="AD269" s="519"/>
      <c r="AE269" s="519"/>
      <c r="AF269" s="519"/>
      <c r="AG269" s="933"/>
      <c r="AH269" s="933"/>
      <c r="AI269" s="933"/>
      <c r="AJ269" s="933"/>
      <c r="AK269" s="933"/>
      <c r="AL269" s="933"/>
      <c r="AM269" s="933"/>
      <c r="AN269" s="933"/>
      <c r="AO269" s="933"/>
      <c r="AP269" s="933"/>
      <c r="AQ269" s="933"/>
      <c r="AR269" s="933"/>
      <c r="AS269" s="933"/>
      <c r="AT269" s="933"/>
      <c r="AU269" s="933"/>
      <c r="AV269" s="933"/>
      <c r="AW269" s="933"/>
      <c r="AX269" s="933"/>
      <c r="AY269" s="933"/>
      <c r="AZ269" s="933"/>
      <c r="BA269" s="933"/>
      <c r="BB269" s="933"/>
      <c r="BC269" s="933"/>
      <c r="BD269" s="933"/>
      <c r="BE269" s="933"/>
      <c r="BF269" s="933"/>
      <c r="BG269" s="933"/>
      <c r="BH269" s="933"/>
      <c r="BI269" s="933"/>
      <c r="BJ269" s="933"/>
      <c r="BK269" s="933"/>
      <c r="BL269" s="933"/>
      <c r="BM269" s="933"/>
      <c r="BN269" s="933"/>
      <c r="BO269" s="933"/>
      <c r="BP269" s="933"/>
      <c r="BQ269" s="933"/>
      <c r="BR269" s="933"/>
      <c r="BS269" s="933"/>
      <c r="BT269" s="933"/>
      <c r="BU269" s="933"/>
      <c r="BV269" s="933"/>
      <c r="BW269" s="933"/>
      <c r="BX269" s="933"/>
      <c r="BY269" s="933"/>
      <c r="BZ269" s="933"/>
      <c r="CA269" s="933"/>
      <c r="CB269" s="933"/>
      <c r="CC269" s="933"/>
      <c r="CD269" s="933"/>
      <c r="CE269" s="933"/>
      <c r="CF269" s="933"/>
      <c r="CG269" s="933"/>
      <c r="CH269" s="933"/>
      <c r="CI269" s="933"/>
      <c r="CJ269" s="933"/>
      <c r="CK269" s="933"/>
      <c r="CL269" s="933"/>
      <c r="CM269" s="933"/>
      <c r="CN269" s="933"/>
      <c r="CO269" s="933"/>
      <c r="CP269" s="933"/>
      <c r="CQ269" s="933"/>
      <c r="CR269" s="933"/>
      <c r="CS269" s="933"/>
      <c r="CT269" s="933"/>
      <c r="CU269" s="933"/>
      <c r="CV269" s="933"/>
      <c r="CW269" s="933"/>
      <c r="CX269" s="933"/>
      <c r="CY269" s="933"/>
      <c r="CZ269" s="933"/>
      <c r="DA269" s="933"/>
      <c r="DB269" s="933"/>
      <c r="DC269" s="933"/>
      <c r="DD269" s="933"/>
      <c r="DE269" s="933"/>
      <c r="DF269" s="933"/>
      <c r="DG269" s="933"/>
      <c r="DH269" s="933"/>
      <c r="DI269" s="933"/>
      <c r="DJ269" s="933"/>
      <c r="DK269" s="933"/>
      <c r="DL269" s="933"/>
      <c r="DM269" s="933"/>
      <c r="DN269" s="933"/>
      <c r="DO269" s="933"/>
      <c r="DP269" s="933"/>
      <c r="DQ269" s="933"/>
      <c r="DR269" s="933"/>
      <c r="DS269" s="933"/>
      <c r="DT269" s="933"/>
      <c r="DU269" s="933"/>
      <c r="DV269" s="933"/>
      <c r="DW269" s="933"/>
      <c r="DX269" s="933"/>
      <c r="DY269" s="933"/>
      <c r="DZ269" s="933"/>
      <c r="EA269" s="933"/>
      <c r="EB269" s="933"/>
      <c r="EC269" s="933"/>
      <c r="ED269" s="933"/>
      <c r="EE269" s="933"/>
      <c r="EF269" s="933"/>
      <c r="EG269" s="933"/>
      <c r="EH269" s="933"/>
      <c r="EI269" s="933"/>
      <c r="EJ269" s="933"/>
      <c r="EK269" s="933"/>
      <c r="EL269" s="933"/>
      <c r="EM269" s="933"/>
      <c r="EN269" s="933"/>
      <c r="EO269" s="933"/>
      <c r="EP269" s="933"/>
      <c r="EQ269" s="933"/>
      <c r="ER269" s="933"/>
      <c r="ES269" s="933"/>
      <c r="ET269" s="933"/>
      <c r="EU269" s="933"/>
      <c r="EV269" s="933"/>
      <c r="EW269" s="933"/>
      <c r="EX269" s="933"/>
      <c r="EY269" s="933"/>
      <c r="EZ269" s="933"/>
      <c r="FA269" s="933"/>
      <c r="FB269" s="933"/>
      <c r="FC269" s="933"/>
      <c r="FD269" s="933"/>
      <c r="FE269" s="933"/>
      <c r="FF269" s="933"/>
      <c r="FG269" s="933"/>
      <c r="FH269" s="933"/>
      <c r="FI269" s="933"/>
      <c r="FJ269" s="933"/>
      <c r="FK269" s="933"/>
      <c r="FL269" s="933"/>
      <c r="FM269" s="933"/>
      <c r="FN269" s="933"/>
      <c r="FO269" s="933"/>
      <c r="FP269" s="933"/>
      <c r="FQ269" s="933"/>
      <c r="FR269" s="933"/>
      <c r="FS269" s="933"/>
      <c r="FT269" s="933"/>
      <c r="FU269" s="933"/>
      <c r="FV269" s="933"/>
      <c r="FW269" s="933"/>
      <c r="FX269" s="933"/>
      <c r="FY269" s="933"/>
      <c r="FZ269" s="933"/>
      <c r="GA269" s="933"/>
      <c r="GB269" s="933"/>
      <c r="GC269" s="933"/>
      <c r="GD269" s="933"/>
      <c r="GE269" s="933"/>
      <c r="GF269" s="933"/>
      <c r="GG269" s="933"/>
      <c r="GH269" s="933"/>
      <c r="GI269" s="933"/>
      <c r="GJ269" s="933"/>
      <c r="GK269" s="933"/>
      <c r="GL269" s="933"/>
      <c r="GM269" s="933"/>
      <c r="GN269" s="933"/>
      <c r="GO269" s="933"/>
      <c r="GP269" s="933"/>
      <c r="GQ269" s="933"/>
      <c r="GR269" s="933"/>
      <c r="GS269" s="933"/>
      <c r="GT269" s="933"/>
      <c r="GU269" s="933"/>
      <c r="GV269" s="933"/>
      <c r="GW269" s="933"/>
      <c r="GX269" s="933"/>
      <c r="GY269" s="933"/>
      <c r="GZ269" s="933"/>
      <c r="HA269" s="933"/>
      <c r="HB269" s="933"/>
      <c r="HC269" s="933"/>
      <c r="HD269" s="933"/>
      <c r="HE269" s="933"/>
      <c r="HF269" s="933"/>
      <c r="HG269" s="933"/>
      <c r="HH269" s="933"/>
      <c r="HI269" s="933"/>
      <c r="HJ269" s="933"/>
      <c r="HK269" s="933"/>
      <c r="HL269" s="933"/>
      <c r="HM269" s="933"/>
      <c r="HN269" s="933"/>
      <c r="HO269" s="933"/>
      <c r="HP269" s="933"/>
      <c r="HQ269" s="933"/>
      <c r="HR269" s="933"/>
      <c r="HS269" s="933"/>
      <c r="HT269" s="933"/>
      <c r="HU269" s="933"/>
      <c r="HV269" s="933"/>
      <c r="HW269" s="933"/>
      <c r="HX269" s="933"/>
      <c r="HY269" s="933"/>
      <c r="HZ269" s="933"/>
      <c r="IA269" s="933"/>
      <c r="IB269" s="933"/>
      <c r="IC269" s="933"/>
      <c r="ID269" s="933"/>
      <c r="IE269" s="933"/>
      <c r="IF269" s="933"/>
      <c r="IG269" s="933"/>
      <c r="IH269" s="933"/>
      <c r="II269" s="933"/>
      <c r="IJ269" s="933"/>
      <c r="IK269" s="933"/>
      <c r="IL269" s="933"/>
      <c r="IM269" s="933"/>
      <c r="IN269" s="933"/>
      <c r="IO269" s="933"/>
      <c r="IP269" s="933"/>
      <c r="IQ269" s="933"/>
      <c r="IR269" s="933"/>
      <c r="IS269" s="933"/>
      <c r="IT269" s="933"/>
      <c r="IU269" s="933"/>
      <c r="IV269" s="933"/>
    </row>
    <row r="270" spans="1:256" s="956" customFormat="1" ht="11.4">
      <c r="A270" s="957">
        <v>2</v>
      </c>
      <c r="B270" s="933" t="s">
        <v>141</v>
      </c>
      <c r="C270" s="933"/>
      <c r="D270" s="933" t="s">
        <v>859</v>
      </c>
      <c r="E270" s="933"/>
      <c r="F270" s="933"/>
      <c r="G270" s="936" t="s">
        <v>860</v>
      </c>
      <c r="H270" s="937">
        <v>620</v>
      </c>
      <c r="I270" s="933" t="s">
        <v>729</v>
      </c>
      <c r="J270" s="933"/>
      <c r="K270" s="940" t="s">
        <v>7</v>
      </c>
      <c r="L270" s="933"/>
      <c r="M270" s="933"/>
      <c r="N270" s="933"/>
      <c r="O270" s="938">
        <v>2</v>
      </c>
      <c r="P270" s="939"/>
      <c r="Q270" s="940">
        <v>0.2</v>
      </c>
      <c r="R270" s="941">
        <f t="shared" si="4"/>
        <v>0.4</v>
      </c>
      <c r="S270" s="940">
        <v>0.03</v>
      </c>
      <c r="T270" s="942">
        <f t="shared" si="3"/>
        <v>0.06</v>
      </c>
      <c r="U270" s="933"/>
      <c r="V270" s="933"/>
      <c r="W270" s="933"/>
      <c r="X270" s="933"/>
      <c r="Y270" s="933"/>
      <c r="Z270" s="933"/>
      <c r="AA270" s="933"/>
      <c r="AB270" s="933"/>
      <c r="AC270" s="933"/>
      <c r="AD270" s="933"/>
      <c r="AE270" s="933"/>
      <c r="AF270" s="933"/>
      <c r="AG270" s="933"/>
      <c r="AH270" s="933"/>
      <c r="AI270" s="933"/>
      <c r="AJ270" s="933"/>
      <c r="AK270" s="933"/>
      <c r="AL270" s="933"/>
      <c r="AM270" s="933"/>
      <c r="AN270" s="933"/>
      <c r="AO270" s="933"/>
      <c r="AP270" s="933"/>
      <c r="AQ270" s="933"/>
      <c r="AR270" s="933"/>
      <c r="AS270" s="933"/>
      <c r="AT270" s="933"/>
      <c r="AU270" s="933"/>
      <c r="AV270" s="933"/>
      <c r="AW270" s="933"/>
      <c r="AX270" s="933"/>
      <c r="AY270" s="933"/>
      <c r="AZ270" s="933"/>
      <c r="BA270" s="933"/>
      <c r="BB270" s="933"/>
      <c r="BC270" s="933"/>
      <c r="BD270" s="933"/>
      <c r="BE270" s="933"/>
      <c r="BF270" s="933"/>
      <c r="BG270" s="933"/>
      <c r="BH270" s="933"/>
      <c r="BI270" s="933"/>
      <c r="BJ270" s="933"/>
      <c r="BK270" s="933"/>
      <c r="BL270" s="933"/>
      <c r="BM270" s="933"/>
      <c r="BN270" s="933"/>
      <c r="BO270" s="933"/>
      <c r="BP270" s="933"/>
      <c r="BQ270" s="933"/>
      <c r="BR270" s="933"/>
      <c r="BS270" s="933"/>
      <c r="BT270" s="933"/>
      <c r="BU270" s="933"/>
      <c r="BV270" s="933"/>
      <c r="BW270" s="933"/>
      <c r="BX270" s="933"/>
      <c r="BY270" s="933"/>
      <c r="BZ270" s="933"/>
      <c r="CA270" s="933"/>
      <c r="CB270" s="933"/>
      <c r="CC270" s="933"/>
      <c r="CD270" s="933"/>
      <c r="CE270" s="933"/>
      <c r="CF270" s="933"/>
      <c r="CG270" s="933"/>
      <c r="CH270" s="933"/>
      <c r="CI270" s="933"/>
      <c r="CJ270" s="933"/>
      <c r="CK270" s="933"/>
      <c r="CL270" s="933"/>
      <c r="CM270" s="933"/>
      <c r="CN270" s="933"/>
      <c r="CO270" s="933"/>
      <c r="CP270" s="933"/>
      <c r="CQ270" s="933"/>
      <c r="CR270" s="933"/>
      <c r="CS270" s="933"/>
      <c r="CT270" s="933"/>
      <c r="CU270" s="933"/>
      <c r="CV270" s="933"/>
      <c r="CW270" s="933"/>
      <c r="CX270" s="933"/>
      <c r="CY270" s="933"/>
      <c r="CZ270" s="933"/>
      <c r="DA270" s="933"/>
      <c r="DB270" s="933"/>
      <c r="DC270" s="933"/>
      <c r="DD270" s="933"/>
      <c r="DE270" s="933"/>
      <c r="DF270" s="933"/>
      <c r="DG270" s="933"/>
      <c r="DH270" s="933"/>
      <c r="DI270" s="933"/>
      <c r="DJ270" s="933"/>
      <c r="DK270" s="933"/>
      <c r="DL270" s="933"/>
      <c r="DM270" s="933"/>
      <c r="DN270" s="933"/>
      <c r="DO270" s="933"/>
      <c r="DP270" s="933"/>
      <c r="DQ270" s="933"/>
      <c r="DR270" s="933"/>
      <c r="DS270" s="933"/>
      <c r="DT270" s="933"/>
      <c r="DU270" s="933"/>
      <c r="DV270" s="933"/>
      <c r="DW270" s="933"/>
      <c r="DX270" s="933"/>
      <c r="DY270" s="933"/>
      <c r="DZ270" s="933"/>
      <c r="EA270" s="933"/>
      <c r="EB270" s="933"/>
      <c r="EC270" s="933"/>
      <c r="ED270" s="933"/>
      <c r="EE270" s="933"/>
      <c r="EF270" s="933"/>
      <c r="EG270" s="933"/>
      <c r="EH270" s="933"/>
      <c r="EI270" s="933"/>
      <c r="EJ270" s="933"/>
      <c r="EK270" s="933"/>
      <c r="EL270" s="933"/>
      <c r="EM270" s="933"/>
      <c r="EN270" s="933"/>
      <c r="EO270" s="933"/>
      <c r="EP270" s="933"/>
      <c r="EQ270" s="933"/>
      <c r="ER270" s="933"/>
      <c r="ES270" s="933"/>
      <c r="ET270" s="933"/>
      <c r="EU270" s="933"/>
      <c r="EV270" s="933"/>
      <c r="EW270" s="933"/>
      <c r="EX270" s="933"/>
      <c r="EY270" s="933"/>
      <c r="EZ270" s="933"/>
      <c r="FA270" s="933"/>
      <c r="FB270" s="933"/>
      <c r="FC270" s="933"/>
      <c r="FD270" s="933"/>
      <c r="FE270" s="933"/>
      <c r="FF270" s="933"/>
      <c r="FG270" s="933"/>
      <c r="FH270" s="933"/>
      <c r="FI270" s="933"/>
      <c r="FJ270" s="933"/>
      <c r="FK270" s="933"/>
      <c r="FL270" s="933"/>
      <c r="FM270" s="933"/>
      <c r="FN270" s="933"/>
      <c r="FO270" s="933"/>
      <c r="FP270" s="933"/>
      <c r="FQ270" s="933"/>
      <c r="FR270" s="933"/>
      <c r="FS270" s="933"/>
      <c r="FT270" s="933"/>
      <c r="FU270" s="933"/>
      <c r="FV270" s="933"/>
      <c r="FW270" s="933"/>
      <c r="FX270" s="933"/>
      <c r="FY270" s="933"/>
      <c r="FZ270" s="933"/>
      <c r="GA270" s="933"/>
      <c r="GB270" s="933"/>
      <c r="GC270" s="933"/>
      <c r="GD270" s="933"/>
      <c r="GE270" s="933"/>
      <c r="GF270" s="933"/>
      <c r="GG270" s="933"/>
      <c r="GH270" s="933"/>
      <c r="GI270" s="933"/>
      <c r="GJ270" s="933"/>
      <c r="GK270" s="933"/>
      <c r="GL270" s="933"/>
      <c r="GM270" s="933"/>
      <c r="GN270" s="933"/>
      <c r="GO270" s="933"/>
      <c r="GP270" s="933"/>
      <c r="GQ270" s="933"/>
      <c r="GR270" s="933"/>
      <c r="GS270" s="933"/>
      <c r="GT270" s="933"/>
      <c r="GU270" s="933"/>
      <c r="GV270" s="933"/>
      <c r="GW270" s="933"/>
      <c r="GX270" s="933"/>
      <c r="GY270" s="933"/>
      <c r="GZ270" s="933"/>
      <c r="HA270" s="933"/>
      <c r="HB270" s="933"/>
      <c r="HC270" s="933"/>
      <c r="HD270" s="933"/>
      <c r="HE270" s="933"/>
      <c r="HF270" s="933"/>
      <c r="HG270" s="933"/>
      <c r="HH270" s="933"/>
      <c r="HI270" s="933"/>
      <c r="HJ270" s="933"/>
      <c r="HK270" s="933"/>
      <c r="HL270" s="933"/>
      <c r="HM270" s="933"/>
      <c r="HN270" s="933"/>
      <c r="HO270" s="933"/>
      <c r="HP270" s="933"/>
      <c r="HQ270" s="933"/>
      <c r="HR270" s="933"/>
      <c r="HS270" s="933"/>
      <c r="HT270" s="933"/>
      <c r="HU270" s="933"/>
      <c r="HV270" s="933"/>
      <c r="HW270" s="933"/>
      <c r="HX270" s="933"/>
      <c r="HY270" s="933"/>
      <c r="HZ270" s="933"/>
      <c r="IA270" s="933"/>
      <c r="IB270" s="933"/>
      <c r="IC270" s="933"/>
      <c r="ID270" s="933"/>
      <c r="IE270" s="933"/>
      <c r="IF270" s="933"/>
      <c r="IG270" s="933"/>
      <c r="IH270" s="933"/>
      <c r="II270" s="933"/>
      <c r="IJ270" s="933"/>
      <c r="IK270" s="933"/>
      <c r="IL270" s="933"/>
      <c r="IM270" s="933"/>
      <c r="IN270" s="933"/>
      <c r="IO270" s="933"/>
      <c r="IP270" s="933"/>
      <c r="IQ270" s="933"/>
      <c r="IR270" s="933"/>
      <c r="IS270" s="933"/>
      <c r="IT270" s="933"/>
      <c r="IU270" s="933"/>
      <c r="IV270" s="933"/>
    </row>
    <row r="271" spans="1:256" s="956" customFormat="1" ht="11.4">
      <c r="A271" s="957">
        <v>8</v>
      </c>
      <c r="B271" s="933" t="s">
        <v>141</v>
      </c>
      <c r="C271" s="933"/>
      <c r="D271" s="933" t="s">
        <v>861</v>
      </c>
      <c r="E271" s="933"/>
      <c r="F271" s="933"/>
      <c r="G271" s="936" t="s">
        <v>862</v>
      </c>
      <c r="H271" s="937">
        <v>620</v>
      </c>
      <c r="I271" s="933" t="s">
        <v>741</v>
      </c>
      <c r="J271" s="933"/>
      <c r="K271" s="940" t="s">
        <v>7</v>
      </c>
      <c r="L271" s="933"/>
      <c r="M271" s="933"/>
      <c r="N271" s="933"/>
      <c r="O271" s="938">
        <v>2</v>
      </c>
      <c r="P271" s="939">
        <v>34669</v>
      </c>
      <c r="Q271" s="940">
        <v>0.05</v>
      </c>
      <c r="R271" s="941">
        <f t="shared" si="4"/>
        <v>0.4</v>
      </c>
      <c r="S271" s="940">
        <v>0.01</v>
      </c>
      <c r="T271" s="942">
        <f t="shared" si="3"/>
        <v>0.08</v>
      </c>
      <c r="U271" s="933"/>
      <c r="V271" s="933"/>
      <c r="W271" s="933"/>
      <c r="X271" s="933"/>
      <c r="Y271" s="933"/>
      <c r="Z271" s="933"/>
      <c r="AA271" s="933"/>
      <c r="AB271" s="933"/>
      <c r="AC271" s="933"/>
      <c r="AD271" s="933"/>
      <c r="AE271" s="933"/>
      <c r="AF271" s="933"/>
      <c r="AG271" s="933"/>
      <c r="AH271" s="933"/>
      <c r="AI271" s="933"/>
      <c r="AJ271" s="933"/>
      <c r="AK271" s="933"/>
      <c r="AL271" s="933"/>
      <c r="AM271" s="933"/>
      <c r="AN271" s="933"/>
      <c r="AO271" s="933"/>
      <c r="AP271" s="933"/>
      <c r="AQ271" s="933"/>
      <c r="AR271" s="933"/>
      <c r="AS271" s="933"/>
      <c r="AT271" s="933"/>
      <c r="AU271" s="933"/>
      <c r="AV271" s="933"/>
      <c r="AW271" s="933"/>
      <c r="AX271" s="933"/>
      <c r="AY271" s="933"/>
      <c r="AZ271" s="933"/>
      <c r="BA271" s="933"/>
      <c r="BB271" s="933"/>
      <c r="BC271" s="933"/>
      <c r="BD271" s="933"/>
      <c r="BE271" s="933"/>
      <c r="BF271" s="933"/>
      <c r="BG271" s="933"/>
      <c r="BH271" s="933"/>
      <c r="BI271" s="933"/>
      <c r="BJ271" s="933"/>
      <c r="BK271" s="933"/>
      <c r="BL271" s="933"/>
      <c r="BM271" s="933"/>
      <c r="BN271" s="933"/>
      <c r="BO271" s="933"/>
      <c r="BP271" s="933"/>
      <c r="BQ271" s="933"/>
      <c r="BR271" s="933"/>
      <c r="BS271" s="933"/>
      <c r="BT271" s="933"/>
      <c r="BU271" s="933"/>
      <c r="BV271" s="933"/>
      <c r="BW271" s="933"/>
      <c r="BX271" s="933"/>
      <c r="BY271" s="933"/>
      <c r="BZ271" s="933"/>
      <c r="CA271" s="933"/>
      <c r="CB271" s="933"/>
      <c r="CC271" s="933"/>
      <c r="CD271" s="933"/>
      <c r="CE271" s="933"/>
      <c r="CF271" s="933"/>
      <c r="CG271" s="933"/>
      <c r="CH271" s="933"/>
      <c r="CI271" s="933"/>
      <c r="CJ271" s="933"/>
      <c r="CK271" s="933"/>
      <c r="CL271" s="933"/>
      <c r="CM271" s="933"/>
      <c r="CN271" s="933"/>
      <c r="CO271" s="933"/>
      <c r="CP271" s="933"/>
      <c r="CQ271" s="933"/>
      <c r="CR271" s="933"/>
      <c r="CS271" s="933"/>
      <c r="CT271" s="933"/>
      <c r="CU271" s="933"/>
      <c r="CV271" s="933"/>
      <c r="CW271" s="933"/>
      <c r="CX271" s="933"/>
      <c r="CY271" s="933"/>
      <c r="CZ271" s="933"/>
      <c r="DA271" s="933"/>
      <c r="DB271" s="933"/>
      <c r="DC271" s="933"/>
      <c r="DD271" s="933"/>
      <c r="DE271" s="933"/>
      <c r="DF271" s="933"/>
      <c r="DG271" s="933"/>
      <c r="DH271" s="933"/>
      <c r="DI271" s="933"/>
      <c r="DJ271" s="933"/>
      <c r="DK271" s="933"/>
      <c r="DL271" s="933"/>
      <c r="DM271" s="933"/>
      <c r="DN271" s="933"/>
      <c r="DO271" s="933"/>
      <c r="DP271" s="933"/>
      <c r="DQ271" s="933"/>
      <c r="DR271" s="933"/>
      <c r="DS271" s="933"/>
      <c r="DT271" s="933"/>
      <c r="DU271" s="933"/>
      <c r="DV271" s="933"/>
      <c r="DW271" s="933"/>
      <c r="DX271" s="933"/>
      <c r="DY271" s="933"/>
      <c r="DZ271" s="933"/>
      <c r="EA271" s="933"/>
      <c r="EB271" s="933"/>
      <c r="EC271" s="933"/>
      <c r="ED271" s="933"/>
      <c r="EE271" s="933"/>
      <c r="EF271" s="933"/>
      <c r="EG271" s="933"/>
      <c r="EH271" s="933"/>
      <c r="EI271" s="933"/>
      <c r="EJ271" s="933"/>
      <c r="EK271" s="933"/>
      <c r="EL271" s="933"/>
      <c r="EM271" s="933"/>
      <c r="EN271" s="933"/>
      <c r="EO271" s="933"/>
      <c r="EP271" s="933"/>
      <c r="EQ271" s="933"/>
      <c r="ER271" s="933"/>
      <c r="ES271" s="933"/>
      <c r="ET271" s="933"/>
      <c r="EU271" s="933"/>
      <c r="EV271" s="933"/>
      <c r="EW271" s="933"/>
      <c r="EX271" s="933"/>
      <c r="EY271" s="933"/>
      <c r="EZ271" s="933"/>
      <c r="FA271" s="933"/>
      <c r="FB271" s="933"/>
      <c r="FC271" s="933"/>
      <c r="FD271" s="933"/>
      <c r="FE271" s="933"/>
      <c r="FF271" s="933"/>
      <c r="FG271" s="933"/>
      <c r="FH271" s="933"/>
      <c r="FI271" s="933"/>
      <c r="FJ271" s="933"/>
      <c r="FK271" s="933"/>
      <c r="FL271" s="933"/>
      <c r="FM271" s="933"/>
      <c r="FN271" s="933"/>
      <c r="FO271" s="933"/>
      <c r="FP271" s="933"/>
      <c r="FQ271" s="933"/>
      <c r="FR271" s="933"/>
      <c r="FS271" s="933"/>
      <c r="FT271" s="933"/>
      <c r="FU271" s="933"/>
      <c r="FV271" s="933"/>
      <c r="FW271" s="933"/>
      <c r="FX271" s="933"/>
      <c r="FY271" s="933"/>
      <c r="FZ271" s="933"/>
      <c r="GA271" s="933"/>
      <c r="GB271" s="933"/>
      <c r="GC271" s="933"/>
      <c r="GD271" s="933"/>
      <c r="GE271" s="933"/>
      <c r="GF271" s="933"/>
      <c r="GG271" s="933"/>
      <c r="GH271" s="933"/>
      <c r="GI271" s="933"/>
      <c r="GJ271" s="933"/>
      <c r="GK271" s="933"/>
      <c r="GL271" s="933"/>
      <c r="GM271" s="933"/>
      <c r="GN271" s="933"/>
      <c r="GO271" s="933"/>
      <c r="GP271" s="933"/>
      <c r="GQ271" s="933"/>
      <c r="GR271" s="933"/>
      <c r="GS271" s="933"/>
      <c r="GT271" s="933"/>
      <c r="GU271" s="933"/>
      <c r="GV271" s="933"/>
      <c r="GW271" s="933"/>
      <c r="GX271" s="933"/>
      <c r="GY271" s="933"/>
      <c r="GZ271" s="933"/>
      <c r="HA271" s="933"/>
      <c r="HB271" s="933"/>
      <c r="HC271" s="933"/>
      <c r="HD271" s="933"/>
      <c r="HE271" s="933"/>
      <c r="HF271" s="933"/>
      <c r="HG271" s="933"/>
      <c r="HH271" s="933"/>
      <c r="HI271" s="933"/>
      <c r="HJ271" s="933"/>
      <c r="HK271" s="933"/>
      <c r="HL271" s="933"/>
      <c r="HM271" s="933"/>
      <c r="HN271" s="933"/>
      <c r="HO271" s="933"/>
      <c r="HP271" s="933"/>
      <c r="HQ271" s="933"/>
      <c r="HR271" s="933"/>
      <c r="HS271" s="933"/>
      <c r="HT271" s="933"/>
      <c r="HU271" s="933"/>
      <c r="HV271" s="933"/>
      <c r="HW271" s="933"/>
      <c r="HX271" s="933"/>
      <c r="HY271" s="933"/>
      <c r="HZ271" s="933"/>
      <c r="IA271" s="933"/>
      <c r="IB271" s="933"/>
      <c r="IC271" s="933"/>
      <c r="ID271" s="933"/>
      <c r="IE271" s="933"/>
      <c r="IF271" s="933"/>
      <c r="IG271" s="933"/>
      <c r="IH271" s="933"/>
      <c r="II271" s="933"/>
      <c r="IJ271" s="933"/>
      <c r="IK271" s="933"/>
      <c r="IL271" s="933"/>
      <c r="IM271" s="933"/>
      <c r="IN271" s="933"/>
      <c r="IO271" s="933"/>
      <c r="IP271" s="933"/>
      <c r="IQ271" s="933"/>
      <c r="IR271" s="933"/>
      <c r="IS271" s="933"/>
      <c r="IT271" s="933"/>
      <c r="IU271" s="933"/>
      <c r="IV271" s="933"/>
    </row>
    <row r="272" spans="1:256" s="933" customFormat="1" ht="11.4">
      <c r="A272" s="957">
        <v>1</v>
      </c>
      <c r="B272" s="933" t="s">
        <v>141</v>
      </c>
      <c r="D272" s="933" t="s">
        <v>776</v>
      </c>
      <c r="F272" s="933" t="s">
        <v>864</v>
      </c>
      <c r="G272" s="936" t="s">
        <v>777</v>
      </c>
      <c r="H272" s="937">
        <v>900</v>
      </c>
      <c r="I272" s="933" t="s">
        <v>778</v>
      </c>
      <c r="K272" s="933" t="s">
        <v>7</v>
      </c>
      <c r="O272" s="938">
        <v>1</v>
      </c>
      <c r="P272" s="939"/>
      <c r="Q272" s="983"/>
      <c r="R272" s="941">
        <f>$A272*Q272</f>
        <v>0</v>
      </c>
      <c r="S272" s="940">
        <v>0.5</v>
      </c>
      <c r="T272" s="942">
        <f t="shared" si="3"/>
        <v>0.5</v>
      </c>
      <c r="U272" s="933" t="s">
        <v>863</v>
      </c>
    </row>
    <row r="273" spans="1:41" s="519" customFormat="1" ht="12">
      <c r="A273" s="641"/>
      <c r="B273" s="641"/>
      <c r="C273" s="641"/>
      <c r="D273" s="641"/>
      <c r="E273" s="641"/>
      <c r="F273" s="636"/>
      <c r="G273" s="641"/>
      <c r="H273" s="641"/>
      <c r="I273" s="518"/>
      <c r="J273" s="641"/>
      <c r="K273" s="641"/>
      <c r="L273" s="641"/>
      <c r="M273" s="641"/>
      <c r="N273" s="641"/>
      <c r="O273" s="641"/>
      <c r="P273" s="641"/>
      <c r="Q273" s="518"/>
      <c r="R273" s="642">
        <f t="shared" ref="R273" si="5">$A273*Q273</f>
        <v>0</v>
      </c>
      <c r="S273" s="518"/>
      <c r="T273" s="643">
        <f t="shared" si="3"/>
        <v>0</v>
      </c>
    </row>
    <row r="274" spans="1:41" s="519" customFormat="1" ht="12.6" thickBot="1">
      <c r="A274" s="644" t="s">
        <v>145</v>
      </c>
      <c r="B274" s="645">
        <f>(R273+T273)</f>
        <v>0</v>
      </c>
      <c r="C274" s="646"/>
      <c r="D274" s="646"/>
      <c r="E274" s="646"/>
      <c r="F274" s="647"/>
      <c r="G274" s="646" t="s">
        <v>146</v>
      </c>
      <c r="H274" s="646"/>
      <c r="I274" s="648"/>
      <c r="J274" s="646"/>
      <c r="K274" s="646" t="s">
        <v>3</v>
      </c>
      <c r="L274" s="649" t="s">
        <v>143</v>
      </c>
      <c r="M274" s="649"/>
      <c r="N274" s="649"/>
      <c r="O274" s="649"/>
      <c r="P274" s="649"/>
      <c r="Q274" s="650"/>
      <c r="R274" s="651">
        <f>SUM(R265:R273)</f>
        <v>137.15000000000003</v>
      </c>
      <c r="S274" s="646"/>
      <c r="T274" s="651">
        <f>SUM(T265:T273)</f>
        <v>8.34</v>
      </c>
      <c r="U274" s="529"/>
      <c r="V274" s="529"/>
      <c r="W274" s="529"/>
      <c r="X274" s="529"/>
      <c r="Y274" s="529"/>
      <c r="Z274" s="529"/>
      <c r="AA274" s="529"/>
      <c r="AB274" s="529"/>
      <c r="AC274" s="529"/>
      <c r="AD274" s="529"/>
      <c r="AE274" s="529"/>
      <c r="AF274" s="529"/>
      <c r="AG274" s="529"/>
      <c r="AH274" s="529"/>
      <c r="AI274" s="529"/>
      <c r="AJ274" s="529"/>
      <c r="AK274" s="529"/>
      <c r="AL274" s="529"/>
      <c r="AM274" s="529"/>
      <c r="AN274" s="529"/>
      <c r="AO274" s="529"/>
    </row>
    <row r="275" spans="1:41" s="519" customFormat="1" thickTop="1">
      <c r="A275" s="47"/>
      <c r="B275" s="47"/>
      <c r="C275" s="3"/>
      <c r="D275" s="3"/>
      <c r="E275" s="47"/>
      <c r="F275" s="47"/>
      <c r="G275" s="47"/>
      <c r="H275" s="47"/>
      <c r="I275" s="47"/>
      <c r="J275" s="47"/>
      <c r="K275" s="47" t="s">
        <v>134</v>
      </c>
      <c r="L275" s="47"/>
      <c r="M275" s="47"/>
      <c r="N275" s="47"/>
      <c r="O275" s="48"/>
      <c r="P275" s="47"/>
      <c r="Q275" s="47"/>
      <c r="R275" s="47"/>
      <c r="S275" s="47"/>
      <c r="T275" s="47"/>
    </row>
    <row r="276" spans="1:41" s="519" customFormat="1" ht="12">
      <c r="A276" s="47"/>
      <c r="B276" s="47"/>
      <c r="C276" s="47" t="s">
        <v>135</v>
      </c>
      <c r="D276" s="36"/>
      <c r="E276" s="47"/>
      <c r="F276" s="47"/>
      <c r="G276" s="47"/>
      <c r="H276" s="47"/>
      <c r="I276" s="47"/>
      <c r="J276" s="47"/>
      <c r="K276" s="47"/>
      <c r="L276" s="47"/>
      <c r="M276" s="47"/>
      <c r="N276" s="47"/>
      <c r="O276" s="48"/>
      <c r="P276" s="47"/>
      <c r="Q276" s="47"/>
      <c r="R276" s="47"/>
      <c r="S276" s="47"/>
      <c r="T276" s="47"/>
    </row>
    <row r="277" spans="1:41" s="519" customFormat="1" ht="39.9" customHeight="1">
      <c r="A277" s="47"/>
      <c r="B277" s="47"/>
      <c r="C277" s="47"/>
      <c r="D277" s="979" t="s">
        <v>393</v>
      </c>
      <c r="E277" s="980"/>
      <c r="F277" s="980"/>
      <c r="G277" s="980"/>
      <c r="H277" s="980"/>
      <c r="I277" s="980"/>
      <c r="J277" s="980"/>
      <c r="K277" s="980"/>
      <c r="L277" s="980"/>
      <c r="M277" s="980"/>
      <c r="N277" s="980"/>
      <c r="O277" s="980"/>
      <c r="P277" s="980"/>
      <c r="Q277" s="980"/>
      <c r="R277" s="980"/>
      <c r="S277" s="980"/>
      <c r="T277" s="980"/>
    </row>
    <row r="278" spans="1:41" s="3" customFormat="1" thickBot="1">
      <c r="A278" s="529"/>
      <c r="O278" s="99"/>
    </row>
    <row r="279" spans="1:41" s="519" customFormat="1" thickTop="1">
      <c r="A279" s="47"/>
      <c r="B279" s="40"/>
      <c r="C279" s="47"/>
      <c r="E279" s="41" t="s">
        <v>138</v>
      </c>
      <c r="F279" s="41" t="s">
        <v>139</v>
      </c>
      <c r="G279" s="47"/>
      <c r="H279" s="47"/>
      <c r="I279" s="47"/>
      <c r="J279" s="47"/>
      <c r="K279" s="47" t="s">
        <v>140</v>
      </c>
      <c r="L279" s="774"/>
      <c r="M279" s="47"/>
      <c r="N279" s="47"/>
      <c r="O279" s="48"/>
      <c r="P279" s="47"/>
      <c r="Q279"/>
      <c r="R279"/>
      <c r="S279"/>
      <c r="T279" s="40"/>
      <c r="AG279" s="627" t="s">
        <v>277</v>
      </c>
      <c r="AH279" s="627" t="s">
        <v>278</v>
      </c>
      <c r="AI279" s="627" t="s">
        <v>279</v>
      </c>
      <c r="AJ279" s="627" t="s">
        <v>280</v>
      </c>
      <c r="AK279" s="627" t="s">
        <v>281</v>
      </c>
      <c r="AM279" s="628" t="s">
        <v>290</v>
      </c>
      <c r="AN279" s="629" t="s">
        <v>291</v>
      </c>
      <c r="AO279" s="520" t="s">
        <v>287</v>
      </c>
    </row>
    <row r="280" spans="1:41" s="519" customFormat="1" ht="13.2">
      <c r="A280" s="630">
        <v>3</v>
      </c>
      <c r="B280" s="521" t="s">
        <v>312</v>
      </c>
      <c r="C280" s="631"/>
      <c r="D280" s="632" t="s">
        <v>618</v>
      </c>
      <c r="E280" s="775">
        <f ca="1">IF(AND($A280=0,$A$1="DIF"),0, ROUND(ROUND(SUMIF($L282:$L288,"SUBI",$E282:$E288)/$A280,2)*$C$12,2))</f>
        <v>81.510000000000005</v>
      </c>
      <c r="F280" s="776">
        <f ca="1">ROUND($A280*$E280,2)</f>
        <v>244.53</v>
      </c>
      <c r="G280" s="635" t="s">
        <v>142</v>
      </c>
      <c r="H280" s="636"/>
      <c r="I280" s="637"/>
      <c r="J280" s="636"/>
      <c r="K280" s="777"/>
      <c r="L280" s="778" t="s">
        <v>143</v>
      </c>
      <c r="M280" s="638"/>
      <c r="N280" s="638"/>
      <c r="O280" s="638"/>
      <c r="P280" s="638"/>
      <c r="Q280"/>
      <c r="R280"/>
      <c r="S280"/>
      <c r="T280" s="779" t="str">
        <f ca="1">IF(AND($R294=0,$T294=0),"0.00","mu :" &amp; ROUND($F280/$C$12/($R294+$T294*$D$9),2))</f>
        <v>mu :1</v>
      </c>
      <c r="W280" s="522"/>
      <c r="AG280" s="780">
        <f ca="1">IF(A280=0,0,ROUND(SUM(AG282:AG294)/A280,2))</f>
        <v>46.64</v>
      </c>
      <c r="AH280" s="780">
        <f ca="1">$AG280*$A280</f>
        <v>139.92000000000002</v>
      </c>
      <c r="AI280" s="780">
        <f ca="1">$E280-$AG280</f>
        <v>34.870000000000005</v>
      </c>
      <c r="AJ280" s="780">
        <f ca="1">$A280*$AI280</f>
        <v>104.61000000000001</v>
      </c>
      <c r="AK280" s="781">
        <f ca="1">ROUND(($AG280+$AI280)*$A280,2)</f>
        <v>244.53</v>
      </c>
      <c r="AM280" s="525">
        <f ca="1">ROUND(R294,2)</f>
        <v>139.91999999999999</v>
      </c>
      <c r="AN280" s="526">
        <f ca="1">ROUND(T294,2)</f>
        <v>3.81</v>
      </c>
      <c r="AO280" s="527">
        <f ca="1">ROUND(AM280+AN280,2)*A280</f>
        <v>431.18999999999994</v>
      </c>
    </row>
    <row r="281" spans="1:41" s="519" customFormat="1" ht="39.9" customHeight="1">
      <c r="A281" s="782"/>
      <c r="B281" s="783"/>
      <c r="C281" s="631"/>
      <c r="D281" s="981" t="s">
        <v>619</v>
      </c>
      <c r="E281" s="980"/>
      <c r="F281" s="980"/>
      <c r="G281" s="980"/>
      <c r="H281" s="980"/>
      <c r="I281" s="980"/>
      <c r="J281" s="980"/>
      <c r="K281" s="980"/>
      <c r="L281" s="980"/>
      <c r="M281" s="980"/>
      <c r="N281" s="980"/>
      <c r="O281" s="980"/>
      <c r="P281" s="980"/>
      <c r="Q281" s="980"/>
      <c r="R281" s="980"/>
      <c r="S281" s="980"/>
      <c r="T281" s="980"/>
    </row>
    <row r="282" spans="1:41" s="519" customFormat="1" ht="12">
      <c r="A282" s="786"/>
      <c r="B282" s="787"/>
      <c r="C282" s="641"/>
      <c r="D282" s="636"/>
      <c r="E282" s="788">
        <f ca="1">F280/$C$12-SUMIF($L279:$L294,"SUBI",$E279:$E294)</f>
        <v>-9.9999999999909051E-3</v>
      </c>
      <c r="F282" s="789" t="s">
        <v>589</v>
      </c>
      <c r="G282" s="790"/>
      <c r="H282" s="790"/>
      <c r="I282" s="791"/>
      <c r="J282" s="790"/>
      <c r="K282" s="790"/>
      <c r="L282" s="792"/>
      <c r="M282" s="793"/>
      <c r="N282" s="793"/>
      <c r="O282" s="793"/>
      <c r="P282" s="793"/>
      <c r="Q282" s="794"/>
      <c r="R282" s="795"/>
      <c r="S282" s="794"/>
      <c r="T282" s="796"/>
    </row>
    <row r="283" spans="1:41" s="519" customFormat="1" ht="12" customHeight="1">
      <c r="A283" s="797"/>
      <c r="B283" s="798"/>
      <c r="C283" s="799"/>
      <c r="D283" s="799" t="str">
        <f>$F$2</f>
        <v>Electrical</v>
      </c>
      <c r="E283" s="799">
        <f ca="1">ROUND(($R287*$S$2 + ($T287*$T$2)), 2)</f>
        <v>244.54</v>
      </c>
      <c r="F283" s="800">
        <f ca="1">$E283*$C$12</f>
        <v>244.54</v>
      </c>
      <c r="G283" s="528"/>
      <c r="H283" s="801"/>
      <c r="I283" s="528"/>
      <c r="J283" s="48"/>
      <c r="K283" s="802" t="s">
        <v>3</v>
      </c>
      <c r="L283" s="803" t="s">
        <v>590</v>
      </c>
      <c r="M283" s="528"/>
      <c r="N283" s="528"/>
      <c r="O283" s="48"/>
      <c r="P283" s="528"/>
      <c r="Q283" s="528"/>
      <c r="R283"/>
      <c r="S283"/>
      <c r="T283"/>
    </row>
    <row r="284" spans="1:41" s="956" customFormat="1" ht="13.2">
      <c r="A284"/>
      <c r="B284" s="948"/>
      <c r="C284" s="948" t="s">
        <v>742</v>
      </c>
      <c r="D284" s="948" t="str">
        <f ca="1">CELL("Address",Elec_Rates!D$90)</f>
        <v>[ELM25_0085_Quintano_Elec_Mech_HVAC_Est_Rev_B.xlsx]Elec_Rates!$D$90</v>
      </c>
      <c r="E284" s="949"/>
      <c r="F284" s="949"/>
      <c r="G284" s="950" t="s">
        <v>743</v>
      </c>
      <c r="H284" s="950"/>
      <c r="I284" s="950"/>
      <c r="J284" s="950"/>
      <c r="K284" s="951"/>
      <c r="L284" s="949"/>
      <c r="M284" s="949"/>
      <c r="N284" s="949"/>
      <c r="O284" s="952"/>
      <c r="P284" s="949"/>
      <c r="Q284" s="953"/>
      <c r="R284" s="954"/>
      <c r="S284" s="953"/>
      <c r="T284" s="943"/>
      <c r="U284" s="955"/>
    </row>
    <row r="285" spans="1:41" s="956" customFormat="1" ht="11.4">
      <c r="A285" s="957">
        <v>3</v>
      </c>
      <c r="B285" s="958">
        <v>1</v>
      </c>
      <c r="C285" s="958">
        <f>$A285*$B285</f>
        <v>3</v>
      </c>
      <c r="D285" s="959" t="str">
        <f>Elec_Rates!$D$90</f>
        <v>044# 5 x 4mm2 F120 Fire Resistant Cable (BS7846) -  XLPE/SWA/LSZH</v>
      </c>
      <c r="E285" s="959"/>
      <c r="F285" s="959" t="s">
        <v>744</v>
      </c>
      <c r="G285" s="960" t="s">
        <v>760</v>
      </c>
      <c r="H285" s="960"/>
      <c r="I285" s="960"/>
      <c r="J285" s="960"/>
      <c r="K285" s="961"/>
      <c r="L285" s="955"/>
      <c r="M285" s="955"/>
      <c r="N285" s="955"/>
      <c r="O285" s="962"/>
      <c r="P285" s="959"/>
      <c r="Q285" s="963">
        <f ca="1">$B285*Elec_Rates!$R$90</f>
        <v>46.64</v>
      </c>
      <c r="R285" s="954">
        <f ca="1">$A285*Q285</f>
        <v>139.92000000000002</v>
      </c>
      <c r="S285" s="963">
        <f ca="1">$B285*Elec_Rates!$T$90</f>
        <v>1.27</v>
      </c>
      <c r="T285" s="943">
        <f ca="1">$A285*S285</f>
        <v>3.81</v>
      </c>
      <c r="U285" s="501"/>
    </row>
    <row r="286" spans="1:41" s="519" customFormat="1" ht="13.95" customHeight="1">
      <c r="A286" s="49"/>
      <c r="B286" s="528"/>
      <c r="C286" s="528"/>
      <c r="D286" s="528"/>
      <c r="E286" s="528"/>
      <c r="F286" s="528"/>
      <c r="G286" s="528"/>
      <c r="H286" s="801"/>
      <c r="I286" s="528"/>
      <c r="J286" s="48"/>
      <c r="K286" s="805"/>
      <c r="L286" s="806"/>
      <c r="M286" s="528"/>
      <c r="N286" s="528"/>
      <c r="O286" s="48"/>
      <c r="P286" s="528"/>
      <c r="Q286" s="528"/>
      <c r="R286" s="807">
        <f>$A286*Q286</f>
        <v>0</v>
      </c>
      <c r="S286" s="528"/>
      <c r="T286" s="643">
        <f>$A286*S286*$T$1</f>
        <v>0</v>
      </c>
    </row>
    <row r="287" spans="1:41" s="519" customFormat="1" ht="12">
      <c r="A287" s="808" t="s">
        <v>145</v>
      </c>
      <c r="B287" s="809">
        <f>(R286+T286)</f>
        <v>0</v>
      </c>
      <c r="C287" s="641"/>
      <c r="G287" s="810"/>
      <c r="H287" s="810"/>
      <c r="I287" s="810"/>
      <c r="J287" s="810"/>
      <c r="K287" s="811" t="s">
        <v>3</v>
      </c>
      <c r="L287" s="812" t="s">
        <v>590</v>
      </c>
      <c r="M287" s="810"/>
      <c r="N287" s="810"/>
      <c r="O287" s="810"/>
      <c r="P287" s="810"/>
      <c r="Q287" s="813"/>
      <c r="R287" s="814">
        <f ca="1">SUM(R283:R286)</f>
        <v>139.92000000000002</v>
      </c>
      <c r="S287" s="815"/>
      <c r="T287" s="814">
        <f ca="1">SUM(T283:T286)</f>
        <v>3.81</v>
      </c>
      <c r="AG287" s="816">
        <f ca="1">ROUND($R287*$S$2,2)</f>
        <v>139.91999999999999</v>
      </c>
    </row>
    <row r="288" spans="1:41" s="519" customFormat="1" ht="12" customHeight="1">
      <c r="A288" s="817"/>
      <c r="B288" s="818"/>
      <c r="C288" s="819"/>
      <c r="D288" s="819" t="str">
        <f>$F$3</f>
        <v>ECA</v>
      </c>
      <c r="E288" s="819">
        <f>ROUND(($R292*$S$3 + ($T292*$T$3)), 2)</f>
        <v>0</v>
      </c>
      <c r="F288" s="820">
        <f ca="1">$F280-SUMIF($L282:$P285,"SUBI",$F282:$F285)</f>
        <v>-9.9999999999909051E-3</v>
      </c>
      <c r="G288" s="518"/>
      <c r="H288" s="518"/>
      <c r="I288" s="518"/>
      <c r="J288" s="518"/>
      <c r="K288" s="802" t="s">
        <v>5</v>
      </c>
      <c r="L288" s="803" t="s">
        <v>590</v>
      </c>
      <c r="M288" s="518"/>
      <c r="N288" s="518"/>
      <c r="O288" s="518"/>
      <c r="P288" s="518"/>
      <c r="Q288" s="518"/>
      <c r="R288" s="821"/>
      <c r="S288" s="518"/>
      <c r="T288" s="821"/>
    </row>
    <row r="289" spans="1:41" s="834" customFormat="1" ht="14.4" customHeight="1">
      <c r="A289" s="822"/>
      <c r="B289" s="804" t="s">
        <v>592</v>
      </c>
      <c r="C289" s="823"/>
      <c r="D289" s="824"/>
      <c r="E289" s="824"/>
      <c r="F289" s="824"/>
      <c r="G289" s="825"/>
      <c r="H289" s="826"/>
      <c r="I289" s="826"/>
      <c r="J289" s="827"/>
      <c r="K289" s="828"/>
      <c r="L289" s="823"/>
      <c r="M289" s="829"/>
      <c r="N289" s="830"/>
      <c r="O289" s="831"/>
      <c r="P289" s="832"/>
      <c r="Q289" s="833"/>
      <c r="R289" s="807">
        <f>$A289*Q289</f>
        <v>0</v>
      </c>
      <c r="S289" s="528"/>
      <c r="T289" s="643">
        <f>$A289*S289*$T$1</f>
        <v>0</v>
      </c>
    </row>
    <row r="290" spans="1:41" s="519" customFormat="1" ht="11.4">
      <c r="A290" s="49"/>
      <c r="B290" s="528"/>
      <c r="C290" s="528"/>
      <c r="D290" s="528"/>
      <c r="E290" s="528"/>
      <c r="F290" s="528"/>
      <c r="G290" s="528"/>
      <c r="H290" s="528"/>
      <c r="I290" s="528"/>
      <c r="J290" s="528"/>
      <c r="K290" s="528"/>
      <c r="L290" s="806"/>
      <c r="M290" s="528"/>
      <c r="N290" s="528"/>
      <c r="O290" s="528"/>
      <c r="P290" s="528"/>
      <c r="Q290" s="528"/>
      <c r="R290" s="807">
        <f>$A290*Q290</f>
        <v>0</v>
      </c>
      <c r="S290" s="528"/>
      <c r="T290" s="643">
        <f>$A290*S290*$T$1</f>
        <v>0</v>
      </c>
    </row>
    <row r="291" spans="1:41" s="519" customFormat="1" ht="13.2">
      <c r="A291" s="49"/>
      <c r="B291" s="528"/>
      <c r="C291" s="528"/>
      <c r="D291" s="3"/>
      <c r="E291" s="528"/>
      <c r="F291" s="528"/>
      <c r="G291" s="528"/>
      <c r="H291" s="528"/>
      <c r="I291" s="528"/>
      <c r="J291" s="528"/>
      <c r="K291" s="528"/>
      <c r="L291" s="806"/>
      <c r="M291" s="528"/>
      <c r="N291" s="528"/>
      <c r="O291" s="528"/>
      <c r="P291" s="528"/>
      <c r="Q291" s="528"/>
      <c r="R291" s="807">
        <f>$A291*Q291</f>
        <v>0</v>
      </c>
      <c r="S291" s="528"/>
      <c r="T291" s="643">
        <f>$A291*S291*$T$1</f>
        <v>0</v>
      </c>
    </row>
    <row r="292" spans="1:41" s="519" customFormat="1" ht="12" customHeight="1">
      <c r="A292" s="835" t="s">
        <v>145</v>
      </c>
      <c r="B292" s="836">
        <f>(R291+T291)</f>
        <v>0</v>
      </c>
      <c r="C292" s="837"/>
      <c r="D292" s="837"/>
      <c r="E292" s="837"/>
      <c r="F292" s="837"/>
      <c r="G292" s="813"/>
      <c r="H292" s="813"/>
      <c r="I292" s="813"/>
      <c r="J292" s="813"/>
      <c r="K292" s="838" t="s">
        <v>5</v>
      </c>
      <c r="L292" s="839" t="s">
        <v>590</v>
      </c>
      <c r="M292" s="813"/>
      <c r="N292" s="813"/>
      <c r="O292" s="813"/>
      <c r="P292" s="813"/>
      <c r="Q292" s="813"/>
      <c r="R292" s="814">
        <f>SUM(R288:R291)</f>
        <v>0</v>
      </c>
      <c r="S292" s="815"/>
      <c r="T292" s="814">
        <f>SUM(T288:T291)</f>
        <v>0</v>
      </c>
      <c r="AG292" s="840">
        <f>ROUND($R292*$S$3,2)</f>
        <v>0</v>
      </c>
    </row>
    <row r="293" spans="1:41" s="519" customFormat="1" ht="12.75" customHeight="1">
      <c r="A293" s="841"/>
      <c r="B293" s="842"/>
      <c r="E293" s="641"/>
      <c r="F293" s="843"/>
      <c r="G293" s="641"/>
      <c r="H293" s="641"/>
      <c r="I293" s="518"/>
      <c r="J293" s="641"/>
      <c r="K293" s="641"/>
      <c r="L293" s="844"/>
      <c r="M293" s="652"/>
      <c r="N293" s="652"/>
      <c r="O293" s="652"/>
      <c r="P293" s="652"/>
      <c r="Q293" s="653"/>
      <c r="R293" s="821"/>
      <c r="S293" s="641"/>
      <c r="T293" s="821"/>
    </row>
    <row r="294" spans="1:41" s="519" customFormat="1" ht="13.5" customHeight="1" thickBot="1">
      <c r="A294" s="845"/>
      <c r="B294" s="846"/>
      <c r="C294" s="529"/>
      <c r="D294" s="529"/>
      <c r="E294" s="646"/>
      <c r="F294" s="647"/>
      <c r="G294" s="646" t="s">
        <v>146</v>
      </c>
      <c r="H294" s="646"/>
      <c r="I294" s="648"/>
      <c r="J294" s="646"/>
      <c r="K294" s="646"/>
      <c r="L294" s="847" t="s">
        <v>143</v>
      </c>
      <c r="M294" s="649"/>
      <c r="N294" s="649"/>
      <c r="O294" s="649"/>
      <c r="P294" s="649"/>
      <c r="Q294" s="650"/>
      <c r="R294" s="848">
        <f ca="1">SUMIF($L281:$L293,"SUBI",R281:R293)</f>
        <v>139.92000000000002</v>
      </c>
      <c r="S294" s="646"/>
      <c r="T294" s="848">
        <f ca="1">SUMIF($L281:$L293,"SUBI",T281:T293)</f>
        <v>3.81</v>
      </c>
      <c r="U294" s="529"/>
      <c r="V294" s="529"/>
      <c r="W294" s="529"/>
      <c r="X294" s="529"/>
      <c r="Y294" s="529"/>
      <c r="Z294" s="529"/>
      <c r="AA294" s="529"/>
      <c r="AB294" s="529"/>
      <c r="AC294" s="529"/>
      <c r="AD294" s="529"/>
      <c r="AE294" s="529"/>
      <c r="AF294" s="529"/>
      <c r="AG294" s="529"/>
      <c r="AH294" s="529"/>
      <c r="AI294" s="529"/>
      <c r="AJ294" s="529"/>
      <c r="AK294" s="529"/>
      <c r="AL294" s="529"/>
      <c r="AM294" s="529"/>
      <c r="AN294" s="529"/>
      <c r="AO294" s="529"/>
    </row>
    <row r="295" spans="1:41" s="519" customFormat="1" thickTop="1">
      <c r="A295" s="47"/>
      <c r="B295" s="40"/>
      <c r="C295" s="47"/>
      <c r="E295" s="41" t="s">
        <v>138</v>
      </c>
      <c r="F295" s="41" t="s">
        <v>139</v>
      </c>
      <c r="G295" s="47"/>
      <c r="H295" s="47"/>
      <c r="I295" s="47"/>
      <c r="J295" s="47"/>
      <c r="K295" s="47" t="s">
        <v>140</v>
      </c>
      <c r="L295" s="774"/>
      <c r="M295" s="47"/>
      <c r="N295" s="47"/>
      <c r="O295" s="48"/>
      <c r="P295" s="47"/>
      <c r="Q295"/>
      <c r="R295"/>
      <c r="S295"/>
      <c r="T295" s="40"/>
      <c r="AG295" s="627" t="s">
        <v>277</v>
      </c>
      <c r="AH295" s="627" t="s">
        <v>278</v>
      </c>
      <c r="AI295" s="627" t="s">
        <v>279</v>
      </c>
      <c r="AJ295" s="627" t="s">
        <v>280</v>
      </c>
      <c r="AK295" s="627" t="s">
        <v>281</v>
      </c>
      <c r="AM295" s="628" t="s">
        <v>290</v>
      </c>
      <c r="AN295" s="629" t="s">
        <v>291</v>
      </c>
      <c r="AO295" s="520" t="s">
        <v>287</v>
      </c>
    </row>
    <row r="296" spans="1:41" s="519" customFormat="1" ht="13.2">
      <c r="A296" s="630">
        <v>3</v>
      </c>
      <c r="B296" s="521" t="s">
        <v>312</v>
      </c>
      <c r="C296" s="631"/>
      <c r="D296" s="632" t="s">
        <v>620</v>
      </c>
      <c r="E296" s="775">
        <f ca="1">IF(AND($A296=0,$A$1="DIF"),0, ROUND(ROUND(SUMIF($L298:$L304,"SUBI",$E298:$E304)/$A296,2)*$C$12,2))</f>
        <v>151.05000000000001</v>
      </c>
      <c r="F296" s="776">
        <f ca="1">ROUND($A296*$E296,2)</f>
        <v>453.15</v>
      </c>
      <c r="G296" s="635" t="s">
        <v>142</v>
      </c>
      <c r="H296" s="636"/>
      <c r="I296" s="637"/>
      <c r="J296" s="636"/>
      <c r="K296" s="777"/>
      <c r="L296" s="778" t="s">
        <v>143</v>
      </c>
      <c r="M296" s="638"/>
      <c r="N296" s="638"/>
      <c r="O296" s="638"/>
      <c r="P296" s="638"/>
      <c r="Q296"/>
      <c r="R296"/>
      <c r="S296"/>
      <c r="T296" s="779" t="str">
        <f ca="1">IF(AND($R310=0,$T310=0),"0.00","mu :" &amp; ROUND($F296/$C$12/($R310+$T310*$D$9),2))</f>
        <v>mu :1</v>
      </c>
      <c r="W296" s="522"/>
      <c r="AG296" s="780">
        <f ca="1">IF(A296=0,0,ROUND(SUM(AG298:AG310)/A296,2))</f>
        <v>80.2</v>
      </c>
      <c r="AH296" s="780">
        <f ca="1">$AG296*$A296</f>
        <v>240.60000000000002</v>
      </c>
      <c r="AI296" s="780">
        <f ca="1">$E296-$AG296</f>
        <v>70.850000000000009</v>
      </c>
      <c r="AJ296" s="780">
        <f ca="1">$A296*$AI296</f>
        <v>212.55</v>
      </c>
      <c r="AK296" s="781">
        <f ca="1">ROUND(($AG296+$AI296)*$A296,2)</f>
        <v>453.15</v>
      </c>
      <c r="AM296" s="525">
        <f ca="1">ROUND(R310,2)</f>
        <v>240.6</v>
      </c>
      <c r="AN296" s="526">
        <f ca="1">ROUND(T310,2)</f>
        <v>7.74</v>
      </c>
      <c r="AO296" s="527">
        <f ca="1">ROUND(AM296+AN296,2)*A296</f>
        <v>745.02</v>
      </c>
    </row>
    <row r="297" spans="1:41" s="519" customFormat="1" ht="39.9" customHeight="1">
      <c r="A297" s="782"/>
      <c r="B297" s="783"/>
      <c r="C297" s="631"/>
      <c r="D297" s="981" t="s">
        <v>621</v>
      </c>
      <c r="E297" s="980"/>
      <c r="F297" s="980"/>
      <c r="G297" s="980"/>
      <c r="H297" s="980"/>
      <c r="I297" s="980"/>
      <c r="J297" s="980"/>
      <c r="K297" s="980"/>
      <c r="L297" s="980"/>
      <c r="M297" s="980"/>
      <c r="N297" s="980"/>
      <c r="O297" s="980"/>
      <c r="P297" s="980"/>
      <c r="Q297" s="980"/>
      <c r="R297" s="980"/>
      <c r="S297" s="980"/>
      <c r="T297" s="980"/>
    </row>
    <row r="298" spans="1:41" s="519" customFormat="1" ht="12">
      <c r="A298" s="786"/>
      <c r="B298" s="787"/>
      <c r="C298" s="641"/>
      <c r="D298" s="636"/>
      <c r="E298" s="788">
        <f ca="1">F296/$C$12-SUMIF($L295:$L310,"SUBI",$E295:$E310)</f>
        <v>9.9999999999909051E-3</v>
      </c>
      <c r="F298" s="789" t="s">
        <v>589</v>
      </c>
      <c r="G298" s="790"/>
      <c r="H298" s="790"/>
      <c r="I298" s="791"/>
      <c r="J298" s="790"/>
      <c r="K298" s="790"/>
      <c r="L298" s="792"/>
      <c r="M298" s="793"/>
      <c r="N298" s="793"/>
      <c r="O298" s="793"/>
      <c r="P298" s="793"/>
      <c r="Q298" s="794"/>
      <c r="R298" s="795"/>
      <c r="S298" s="794"/>
      <c r="T298" s="796"/>
    </row>
    <row r="299" spans="1:41" s="519" customFormat="1" ht="12" customHeight="1">
      <c r="A299" s="797"/>
      <c r="B299" s="798"/>
      <c r="C299" s="799"/>
      <c r="D299" s="799" t="str">
        <f>$F$2</f>
        <v>Electrical</v>
      </c>
      <c r="E299" s="799">
        <f ca="1">ROUND(($R303*$S$2 + ($T303*$T$2)), 2)</f>
        <v>453.14</v>
      </c>
      <c r="F299" s="800">
        <f ca="1">$E299*$C$12</f>
        <v>453.14</v>
      </c>
      <c r="G299" s="528"/>
      <c r="H299" s="801"/>
      <c r="I299" s="528"/>
      <c r="J299" s="48"/>
      <c r="K299" s="802" t="s">
        <v>3</v>
      </c>
      <c r="L299" s="803" t="s">
        <v>590</v>
      </c>
      <c r="M299" s="528"/>
      <c r="N299" s="528"/>
      <c r="O299" s="48"/>
      <c r="P299" s="528"/>
      <c r="Q299" s="528"/>
      <c r="R299"/>
      <c r="S299"/>
      <c r="T299"/>
    </row>
    <row r="300" spans="1:41" s="956" customFormat="1" ht="13.2">
      <c r="A300"/>
      <c r="B300" s="948"/>
      <c r="C300" s="948" t="s">
        <v>742</v>
      </c>
      <c r="D300" s="948" t="str">
        <f ca="1">CELL("Address",Elec_Rates!D$32)</f>
        <v>[ELM25_0085_Quintano_Elec_Mech_HVAC_Est_Rev_B.xlsx]Elec_Rates!$D$32</v>
      </c>
      <c r="E300" s="949"/>
      <c r="F300" s="949"/>
      <c r="G300" s="950" t="s">
        <v>743</v>
      </c>
      <c r="H300" s="950"/>
      <c r="I300" s="950"/>
      <c r="J300" s="950"/>
      <c r="K300" s="951"/>
      <c r="L300" s="949"/>
      <c r="M300" s="949"/>
      <c r="N300" s="949"/>
      <c r="O300" s="952"/>
      <c r="P300" s="949"/>
      <c r="Q300" s="953"/>
      <c r="R300" s="954"/>
      <c r="S300" s="953"/>
      <c r="T300" s="943"/>
      <c r="U300" s="955"/>
    </row>
    <row r="301" spans="1:41" s="956" customFormat="1" ht="11.4">
      <c r="A301" s="957">
        <v>3</v>
      </c>
      <c r="B301" s="958">
        <v>1</v>
      </c>
      <c r="C301" s="958">
        <f>$A301*$B301</f>
        <v>3</v>
      </c>
      <c r="D301" s="959" t="str">
        <f>Elec_Rates!$D$32</f>
        <v>039# 5 x 10mm2 F120 Fire Resistant Cable (BS7846) -  XLPE/SWA/LSZH</v>
      </c>
      <c r="E301" s="959"/>
      <c r="F301" s="959" t="s">
        <v>744</v>
      </c>
      <c r="G301" s="960" t="s">
        <v>745</v>
      </c>
      <c r="H301" s="960"/>
      <c r="I301" s="960"/>
      <c r="J301" s="960"/>
      <c r="K301" s="961"/>
      <c r="L301" s="955"/>
      <c r="M301" s="955"/>
      <c r="N301" s="955"/>
      <c r="O301" s="962"/>
      <c r="P301" s="959"/>
      <c r="Q301" s="963">
        <f ca="1">$B301*Elec_Rates!$R$32</f>
        <v>80.2</v>
      </c>
      <c r="R301" s="954">
        <f ca="1">$A301*Q301</f>
        <v>240.60000000000002</v>
      </c>
      <c r="S301" s="963">
        <f ca="1">$B301*Elec_Rates!$T$32</f>
        <v>2.58</v>
      </c>
      <c r="T301" s="943">
        <f ca="1">$A301*S301</f>
        <v>7.74</v>
      </c>
      <c r="U301" s="501"/>
    </row>
    <row r="302" spans="1:41" s="519" customFormat="1" ht="13.95" customHeight="1">
      <c r="A302" s="49"/>
      <c r="B302" s="528"/>
      <c r="C302" s="528"/>
      <c r="D302" s="528"/>
      <c r="E302" s="528"/>
      <c r="F302" s="528"/>
      <c r="G302" s="528"/>
      <c r="H302" s="801"/>
      <c r="I302" s="528"/>
      <c r="J302" s="48"/>
      <c r="K302" s="805"/>
      <c r="L302" s="806"/>
      <c r="M302" s="528"/>
      <c r="N302" s="528"/>
      <c r="O302" s="48"/>
      <c r="P302" s="528"/>
      <c r="Q302" s="528"/>
      <c r="R302" s="807">
        <f>$A302*Q302</f>
        <v>0</v>
      </c>
      <c r="S302" s="528"/>
      <c r="T302" s="643">
        <f>$A302*S302*$T$1</f>
        <v>0</v>
      </c>
    </row>
    <row r="303" spans="1:41" s="519" customFormat="1" ht="12">
      <c r="A303" s="808" t="s">
        <v>145</v>
      </c>
      <c r="B303" s="809">
        <f>(R302+T302)</f>
        <v>0</v>
      </c>
      <c r="C303" s="641"/>
      <c r="G303" s="810"/>
      <c r="H303" s="810"/>
      <c r="I303" s="810"/>
      <c r="J303" s="810"/>
      <c r="K303" s="811" t="s">
        <v>3</v>
      </c>
      <c r="L303" s="812" t="s">
        <v>590</v>
      </c>
      <c r="M303" s="810"/>
      <c r="N303" s="810"/>
      <c r="O303" s="810"/>
      <c r="P303" s="810"/>
      <c r="Q303" s="813"/>
      <c r="R303" s="814">
        <f ca="1">SUM(R299:R302)</f>
        <v>240.60000000000002</v>
      </c>
      <c r="S303" s="815"/>
      <c r="T303" s="814">
        <f ca="1">SUM(T299:T302)</f>
        <v>7.74</v>
      </c>
      <c r="AG303" s="816">
        <f ca="1">ROUND($R303*$S$2,2)</f>
        <v>240.6</v>
      </c>
    </row>
    <row r="304" spans="1:41" s="519" customFormat="1" ht="12" customHeight="1">
      <c r="A304" s="817"/>
      <c r="B304" s="818"/>
      <c r="C304" s="819"/>
      <c r="D304" s="819" t="str">
        <f>$F$3</f>
        <v>ECA</v>
      </c>
      <c r="E304" s="819">
        <f>ROUND(($R308*$S$3 + ($T308*$T$3)), 2)</f>
        <v>0</v>
      </c>
      <c r="F304" s="820">
        <f ca="1">$F296-SUMIF($L298:$P301,"SUBI",$F298:$F301)</f>
        <v>9.9999999999909051E-3</v>
      </c>
      <c r="G304" s="518"/>
      <c r="H304" s="518"/>
      <c r="I304" s="518"/>
      <c r="J304" s="518"/>
      <c r="K304" s="802" t="s">
        <v>5</v>
      </c>
      <c r="L304" s="803" t="s">
        <v>590</v>
      </c>
      <c r="M304" s="518"/>
      <c r="N304" s="518"/>
      <c r="O304" s="518"/>
      <c r="P304" s="518"/>
      <c r="Q304" s="518"/>
      <c r="R304" s="821"/>
      <c r="S304" s="518"/>
      <c r="T304" s="821"/>
    </row>
    <row r="305" spans="1:41" s="834" customFormat="1" ht="14.4" customHeight="1">
      <c r="A305" s="822"/>
      <c r="B305" s="804" t="s">
        <v>592</v>
      </c>
      <c r="C305" s="823"/>
      <c r="D305" s="824"/>
      <c r="E305" s="824"/>
      <c r="F305" s="824"/>
      <c r="G305" s="825"/>
      <c r="H305" s="826"/>
      <c r="I305" s="826"/>
      <c r="J305" s="827"/>
      <c r="K305" s="828"/>
      <c r="L305" s="823"/>
      <c r="M305" s="829"/>
      <c r="N305" s="830"/>
      <c r="O305" s="831"/>
      <c r="P305" s="832"/>
      <c r="Q305" s="833"/>
      <c r="R305" s="807">
        <f>$A305*Q305</f>
        <v>0</v>
      </c>
      <c r="S305" s="528"/>
      <c r="T305" s="643">
        <f>$A305*S305*$T$1</f>
        <v>0</v>
      </c>
    </row>
    <row r="306" spans="1:41" s="519" customFormat="1" ht="11.4">
      <c r="A306" s="49"/>
      <c r="B306" s="528"/>
      <c r="C306" s="528"/>
      <c r="D306" s="528"/>
      <c r="E306" s="528"/>
      <c r="F306" s="528"/>
      <c r="G306" s="528"/>
      <c r="H306" s="528"/>
      <c r="I306" s="528"/>
      <c r="J306" s="528"/>
      <c r="K306" s="528"/>
      <c r="L306" s="806"/>
      <c r="M306" s="528"/>
      <c r="N306" s="528"/>
      <c r="O306" s="528"/>
      <c r="P306" s="528"/>
      <c r="Q306" s="528"/>
      <c r="R306" s="807">
        <f>$A306*Q306</f>
        <v>0</v>
      </c>
      <c r="S306" s="528"/>
      <c r="T306" s="643">
        <f>$A306*S306*$T$1</f>
        <v>0</v>
      </c>
    </row>
    <row r="307" spans="1:41" s="519" customFormat="1" ht="13.2">
      <c r="A307" s="49"/>
      <c r="B307" s="528"/>
      <c r="C307" s="528"/>
      <c r="D307" s="3"/>
      <c r="E307" s="528"/>
      <c r="F307" s="528"/>
      <c r="G307" s="528"/>
      <c r="H307" s="528"/>
      <c r="I307" s="528"/>
      <c r="J307" s="528"/>
      <c r="K307" s="528"/>
      <c r="L307" s="806"/>
      <c r="M307" s="528"/>
      <c r="N307" s="528"/>
      <c r="O307" s="528"/>
      <c r="P307" s="528"/>
      <c r="Q307" s="528"/>
      <c r="R307" s="807">
        <f>$A307*Q307</f>
        <v>0</v>
      </c>
      <c r="S307" s="528"/>
      <c r="T307" s="643">
        <f>$A307*S307*$T$1</f>
        <v>0</v>
      </c>
    </row>
    <row r="308" spans="1:41" s="519" customFormat="1" ht="12" customHeight="1">
      <c r="A308" s="835" t="s">
        <v>145</v>
      </c>
      <c r="B308" s="836">
        <f>(R307+T307)</f>
        <v>0</v>
      </c>
      <c r="C308" s="837"/>
      <c r="D308" s="837"/>
      <c r="E308" s="837"/>
      <c r="F308" s="837"/>
      <c r="G308" s="813"/>
      <c r="H308" s="813"/>
      <c r="I308" s="813"/>
      <c r="J308" s="813"/>
      <c r="K308" s="838" t="s">
        <v>5</v>
      </c>
      <c r="L308" s="839" t="s">
        <v>590</v>
      </c>
      <c r="M308" s="813"/>
      <c r="N308" s="813"/>
      <c r="O308" s="813"/>
      <c r="P308" s="813"/>
      <c r="Q308" s="813"/>
      <c r="R308" s="814">
        <f>SUM(R304:R307)</f>
        <v>0</v>
      </c>
      <c r="S308" s="815"/>
      <c r="T308" s="814">
        <f>SUM(T304:T307)</f>
        <v>0</v>
      </c>
      <c r="AG308" s="840">
        <f>ROUND($R308*$S$3,2)</f>
        <v>0</v>
      </c>
    </row>
    <row r="309" spans="1:41" s="519" customFormat="1" ht="12.75" customHeight="1">
      <c r="A309" s="841"/>
      <c r="B309" s="842"/>
      <c r="E309" s="641"/>
      <c r="F309" s="843"/>
      <c r="G309" s="641"/>
      <c r="H309" s="641"/>
      <c r="I309" s="518"/>
      <c r="J309" s="641"/>
      <c r="K309" s="641"/>
      <c r="L309" s="844"/>
      <c r="M309" s="652"/>
      <c r="N309" s="652"/>
      <c r="O309" s="652"/>
      <c r="P309" s="652"/>
      <c r="Q309" s="653"/>
      <c r="R309" s="821"/>
      <c r="S309" s="641"/>
      <c r="T309" s="821"/>
    </row>
    <row r="310" spans="1:41" s="519" customFormat="1" ht="13.5" customHeight="1" thickBot="1">
      <c r="A310" s="845"/>
      <c r="B310" s="846"/>
      <c r="C310" s="529"/>
      <c r="D310" s="529"/>
      <c r="E310" s="646"/>
      <c r="F310" s="647"/>
      <c r="G310" s="646" t="s">
        <v>146</v>
      </c>
      <c r="H310" s="646"/>
      <c r="I310" s="648"/>
      <c r="J310" s="646"/>
      <c r="K310" s="646"/>
      <c r="L310" s="847" t="s">
        <v>143</v>
      </c>
      <c r="M310" s="649"/>
      <c r="N310" s="649"/>
      <c r="O310" s="649"/>
      <c r="P310" s="649"/>
      <c r="Q310" s="650"/>
      <c r="R310" s="848">
        <f ca="1">SUMIF($L297:$L309,"SUBI",R297:R309)</f>
        <v>240.60000000000002</v>
      </c>
      <c r="S310" s="646"/>
      <c r="T310" s="848">
        <f ca="1">SUMIF($L297:$L309,"SUBI",T297:T309)</f>
        <v>7.74</v>
      </c>
      <c r="U310" s="529"/>
      <c r="V310" s="529"/>
      <c r="W310" s="529"/>
      <c r="X310" s="529"/>
      <c r="Y310" s="529"/>
      <c r="Z310" s="529"/>
      <c r="AA310" s="529"/>
      <c r="AB310" s="529"/>
      <c r="AC310" s="529"/>
      <c r="AD310" s="529"/>
      <c r="AE310" s="529"/>
      <c r="AF310" s="529"/>
      <c r="AG310" s="529"/>
      <c r="AH310" s="529"/>
      <c r="AI310" s="529"/>
      <c r="AJ310" s="529"/>
      <c r="AK310" s="529"/>
      <c r="AL310" s="529"/>
      <c r="AM310" s="529"/>
      <c r="AN310" s="529"/>
      <c r="AO310" s="529"/>
    </row>
    <row r="311" spans="1:41" s="519" customFormat="1" thickTop="1">
      <c r="A311" s="47"/>
      <c r="B311" s="47"/>
      <c r="C311" s="3"/>
      <c r="D311" s="3"/>
      <c r="E311" s="47"/>
      <c r="F311" s="47"/>
      <c r="G311" s="47"/>
      <c r="H311" s="47"/>
      <c r="I311" s="47"/>
      <c r="J311" s="47"/>
      <c r="K311" s="47" t="s">
        <v>134</v>
      </c>
      <c r="L311" s="47"/>
      <c r="M311" s="47"/>
      <c r="N311" s="47"/>
      <c r="O311" s="48"/>
      <c r="P311" s="47"/>
      <c r="Q311" s="47"/>
      <c r="R311" s="47"/>
      <c r="S311" s="47"/>
      <c r="T311" s="47"/>
    </row>
    <row r="312" spans="1:41" s="519" customFormat="1" ht="12">
      <c r="A312" s="47"/>
      <c r="B312" s="47"/>
      <c r="C312" s="47" t="s">
        <v>135</v>
      </c>
      <c r="D312" s="36"/>
      <c r="E312" s="47"/>
      <c r="F312" s="47"/>
      <c r="G312" s="47"/>
      <c r="H312" s="47"/>
      <c r="I312" s="47"/>
      <c r="J312" s="47"/>
      <c r="K312" s="47"/>
      <c r="L312" s="47"/>
      <c r="M312" s="47"/>
      <c r="N312" s="47"/>
      <c r="O312" s="48"/>
      <c r="P312" s="47"/>
      <c r="Q312" s="47"/>
      <c r="R312" s="47"/>
      <c r="S312" s="47"/>
      <c r="T312" s="47"/>
    </row>
    <row r="313" spans="1:41" s="519" customFormat="1" ht="39.9" customHeight="1">
      <c r="A313" s="47"/>
      <c r="B313" s="47"/>
      <c r="C313" s="47"/>
      <c r="D313" s="979" t="s">
        <v>396</v>
      </c>
      <c r="E313" s="980"/>
      <c r="F313" s="980"/>
      <c r="G313" s="980"/>
      <c r="H313" s="980"/>
      <c r="I313" s="980"/>
      <c r="J313" s="980"/>
      <c r="K313" s="980"/>
      <c r="L313" s="980"/>
      <c r="M313" s="980"/>
      <c r="N313" s="980"/>
      <c r="O313" s="980"/>
      <c r="P313" s="980"/>
      <c r="Q313" s="980"/>
      <c r="R313" s="980"/>
      <c r="S313" s="980"/>
      <c r="T313" s="980"/>
    </row>
    <row r="314" spans="1:41" s="3" customFormat="1" thickBot="1">
      <c r="A314" s="529"/>
      <c r="O314" s="99"/>
    </row>
    <row r="315" spans="1:41" s="519" customFormat="1" thickTop="1">
      <c r="A315" s="47"/>
      <c r="B315" s="40"/>
      <c r="C315" s="47"/>
      <c r="E315" s="41" t="s">
        <v>138</v>
      </c>
      <c r="F315" s="41" t="s">
        <v>139</v>
      </c>
      <c r="G315" s="47"/>
      <c r="H315" s="47"/>
      <c r="I315" s="47"/>
      <c r="J315" s="47"/>
      <c r="K315" s="47" t="s">
        <v>140</v>
      </c>
      <c r="L315" s="774"/>
      <c r="M315" s="47"/>
      <c r="N315" s="47"/>
      <c r="O315" s="48"/>
      <c r="P315" s="47"/>
      <c r="Q315"/>
      <c r="R315"/>
      <c r="S315"/>
      <c r="T315" s="40"/>
      <c r="AG315" s="627" t="s">
        <v>277</v>
      </c>
      <c r="AH315" s="627" t="s">
        <v>278</v>
      </c>
      <c r="AI315" s="627" t="s">
        <v>279</v>
      </c>
      <c r="AJ315" s="627" t="s">
        <v>280</v>
      </c>
      <c r="AK315" s="627" t="s">
        <v>281</v>
      </c>
      <c r="AM315" s="628" t="s">
        <v>290</v>
      </c>
      <c r="AN315" s="629" t="s">
        <v>291</v>
      </c>
      <c r="AO315" s="520" t="s">
        <v>287</v>
      </c>
    </row>
    <row r="316" spans="1:41" s="519" customFormat="1" ht="13.2">
      <c r="A316" s="630">
        <v>12</v>
      </c>
      <c r="B316" s="521" t="s">
        <v>312</v>
      </c>
      <c r="C316" s="631"/>
      <c r="D316" s="632" t="s">
        <v>622</v>
      </c>
      <c r="E316" s="775">
        <f ca="1">IF(AND($A316=0,$A$1="DIF"),0, ROUND(ROUND(SUMIF($L318:$L324,"SUBI",$E318:$E324)/$A316,2)*$C$12,2))</f>
        <v>127.13</v>
      </c>
      <c r="F316" s="776">
        <f ca="1">ROUND($A316*$E316,2)</f>
        <v>1525.56</v>
      </c>
      <c r="G316" s="635" t="s">
        <v>142</v>
      </c>
      <c r="H316" s="636"/>
      <c r="I316" s="637"/>
      <c r="J316" s="636"/>
      <c r="K316" s="777"/>
      <c r="L316" s="778" t="s">
        <v>143</v>
      </c>
      <c r="M316" s="638"/>
      <c r="N316" s="638"/>
      <c r="O316" s="638"/>
      <c r="P316" s="638"/>
      <c r="Q316"/>
      <c r="R316"/>
      <c r="S316"/>
      <c r="T316" s="779" t="str">
        <f ca="1">IF(AND($R330=0,$T330=0),"0.00","mu :" &amp; ROUND($F316/$C$12/($R330+$T330*$D$9),2))</f>
        <v>mu :1</v>
      </c>
      <c r="W316" s="522"/>
      <c r="AG316" s="780">
        <f ca="1">IF(A316=0,0,ROUND(SUM(AG318:AG330)/A316,2))</f>
        <v>82.1</v>
      </c>
      <c r="AH316" s="780">
        <f ca="1">$AG316*$A316</f>
        <v>985.19999999999993</v>
      </c>
      <c r="AI316" s="780">
        <f ca="1">$E316-$AG316</f>
        <v>45.03</v>
      </c>
      <c r="AJ316" s="780">
        <f ca="1">$A316*$AI316</f>
        <v>540.36</v>
      </c>
      <c r="AK316" s="781">
        <f ca="1">ROUND(($AG316+$AI316)*$A316,2)</f>
        <v>1525.56</v>
      </c>
      <c r="AM316" s="525">
        <f ca="1">ROUND(R330,2)</f>
        <v>985.2</v>
      </c>
      <c r="AN316" s="526">
        <f ca="1">ROUND(T330,2)</f>
        <v>19.68</v>
      </c>
      <c r="AO316" s="527">
        <f ca="1">ROUND(AM316+AN316,2)*A316</f>
        <v>12058.56</v>
      </c>
    </row>
    <row r="317" spans="1:41" s="519" customFormat="1" ht="19.95" customHeight="1">
      <c r="A317" s="782"/>
      <c r="B317" s="783"/>
      <c r="C317" s="631"/>
      <c r="D317" s="784" t="s">
        <v>623</v>
      </c>
      <c r="F317" s="636"/>
      <c r="G317" s="636"/>
      <c r="H317" s="636"/>
      <c r="I317" s="637"/>
      <c r="J317" s="636"/>
      <c r="K317" s="636" t="s">
        <v>144</v>
      </c>
      <c r="L317" s="785"/>
      <c r="M317" s="636"/>
      <c r="N317" s="636"/>
      <c r="O317" s="636"/>
      <c r="P317" s="636"/>
      <c r="Q317" s="47"/>
      <c r="R317" s="528"/>
      <c r="S317" s="640"/>
      <c r="T317" s="636"/>
    </row>
    <row r="318" spans="1:41" s="519" customFormat="1" ht="12">
      <c r="A318" s="786"/>
      <c r="B318" s="787"/>
      <c r="C318" s="641"/>
      <c r="D318" s="636"/>
      <c r="E318" s="788">
        <f ca="1">F316/$C$12-SUMIF($L315:$L330,"SUBI",$E315:$E330)</f>
        <v>-4.9999999999954525E-2</v>
      </c>
      <c r="F318" s="789" t="s">
        <v>589</v>
      </c>
      <c r="G318" s="790"/>
      <c r="H318" s="790"/>
      <c r="I318" s="791"/>
      <c r="J318" s="790"/>
      <c r="K318" s="790"/>
      <c r="L318" s="792"/>
      <c r="M318" s="793"/>
      <c r="N318" s="793"/>
      <c r="O318" s="793"/>
      <c r="P318" s="793"/>
      <c r="Q318" s="794"/>
      <c r="R318" s="795"/>
      <c r="S318" s="794"/>
      <c r="T318" s="796"/>
    </row>
    <row r="319" spans="1:41" s="519" customFormat="1" ht="12" customHeight="1">
      <c r="A319" s="797"/>
      <c r="B319" s="798"/>
      <c r="C319" s="799"/>
      <c r="D319" s="799" t="str">
        <f>$F$2</f>
        <v>Electrical</v>
      </c>
      <c r="E319" s="799">
        <f ca="1">ROUND(($R323*$S$2 + ($T323*$T$2)), 2)</f>
        <v>1525.61</v>
      </c>
      <c r="F319" s="800">
        <f ca="1">$E319*$C$12</f>
        <v>1525.61</v>
      </c>
      <c r="G319" s="528"/>
      <c r="H319" s="801"/>
      <c r="I319" s="528"/>
      <c r="J319" s="48"/>
      <c r="K319" s="802" t="s">
        <v>3</v>
      </c>
      <c r="L319" s="803" t="s">
        <v>590</v>
      </c>
      <c r="M319" s="528"/>
      <c r="N319" s="528"/>
      <c r="O319" s="48"/>
      <c r="P319" s="528"/>
      <c r="Q319" s="528"/>
      <c r="R319"/>
      <c r="S319"/>
      <c r="T319"/>
    </row>
    <row r="320" spans="1:41" s="956" customFormat="1" ht="13.2">
      <c r="A320"/>
      <c r="B320" s="948"/>
      <c r="C320" s="948" t="s">
        <v>742</v>
      </c>
      <c r="D320" s="948" t="str">
        <f ca="1">CELL("Address",Elec_Rates!D$77)</f>
        <v>[ELM25_0085_Quintano_Elec_Mech_HVAC_Est_Rev_B.xlsx]Elec_Rates!$D$77</v>
      </c>
      <c r="E320" s="949"/>
      <c r="F320" s="949"/>
      <c r="G320" s="950" t="s">
        <v>743</v>
      </c>
      <c r="H320" s="950"/>
      <c r="I320" s="950"/>
      <c r="J320" s="950"/>
      <c r="K320" s="951"/>
      <c r="L320" s="949"/>
      <c r="M320" s="949"/>
      <c r="N320" s="949"/>
      <c r="O320" s="952"/>
      <c r="P320" s="949"/>
      <c r="Q320" s="953"/>
      <c r="R320" s="954"/>
      <c r="S320" s="953"/>
      <c r="T320" s="943"/>
      <c r="U320" s="955"/>
    </row>
    <row r="321" spans="1:41" s="956" customFormat="1" ht="11.4">
      <c r="A321" s="957">
        <v>12</v>
      </c>
      <c r="B321" s="958">
        <v>1</v>
      </c>
      <c r="C321" s="958">
        <f>$A321*$B321</f>
        <v>12</v>
      </c>
      <c r="D321" s="959" t="str">
        <f>Elec_Rates!$D$77</f>
        <v>047# 5 x 2.5mm2 F120 Fire Resistant Cable (BS7846) -  XLPE/SWA/LSZH - High level</v>
      </c>
      <c r="E321" s="959"/>
      <c r="F321" s="959" t="s">
        <v>744</v>
      </c>
      <c r="G321" s="960" t="s">
        <v>745</v>
      </c>
      <c r="H321" s="960"/>
      <c r="I321" s="960"/>
      <c r="J321" s="960"/>
      <c r="K321" s="961"/>
      <c r="L321" s="955"/>
      <c r="M321" s="955"/>
      <c r="N321" s="955"/>
      <c r="O321" s="962"/>
      <c r="P321" s="959"/>
      <c r="Q321" s="963">
        <f ca="1">$B321*Elec_Rates!$R$77</f>
        <v>82.1</v>
      </c>
      <c r="R321" s="954">
        <f ca="1">$A321*Q321</f>
        <v>985.19999999999993</v>
      </c>
      <c r="S321" s="963">
        <f ca="1">$B321*Elec_Rates!$T$77</f>
        <v>1.64</v>
      </c>
      <c r="T321" s="943">
        <f ca="1">$A321*S321</f>
        <v>19.68</v>
      </c>
      <c r="U321" s="501"/>
    </row>
    <row r="322" spans="1:41" s="519" customFormat="1" ht="13.95" customHeight="1">
      <c r="A322" s="49"/>
      <c r="B322" s="528"/>
      <c r="C322" s="528"/>
      <c r="D322" s="528"/>
      <c r="E322" s="528"/>
      <c r="F322" s="528"/>
      <c r="G322" s="528"/>
      <c r="H322" s="801"/>
      <c r="I322" s="528"/>
      <c r="J322" s="48"/>
      <c r="K322" s="805"/>
      <c r="L322" s="806"/>
      <c r="M322" s="528"/>
      <c r="N322" s="528"/>
      <c r="O322" s="48"/>
      <c r="P322" s="528"/>
      <c r="Q322" s="528"/>
      <c r="R322" s="807">
        <f>$A322*Q322</f>
        <v>0</v>
      </c>
      <c r="S322" s="528"/>
      <c r="T322" s="643">
        <f>$A322*S322*$T$1</f>
        <v>0</v>
      </c>
    </row>
    <row r="323" spans="1:41" s="519" customFormat="1" ht="12">
      <c r="A323" s="808" t="s">
        <v>145</v>
      </c>
      <c r="B323" s="809">
        <f>(R322+T322)</f>
        <v>0</v>
      </c>
      <c r="C323" s="641"/>
      <c r="G323" s="810"/>
      <c r="H323" s="810"/>
      <c r="I323" s="810"/>
      <c r="J323" s="810"/>
      <c r="K323" s="811" t="s">
        <v>3</v>
      </c>
      <c r="L323" s="812" t="s">
        <v>590</v>
      </c>
      <c r="M323" s="810"/>
      <c r="N323" s="810"/>
      <c r="O323" s="810"/>
      <c r="P323" s="810"/>
      <c r="Q323" s="813"/>
      <c r="R323" s="814">
        <f ca="1">SUM(R319:R322)</f>
        <v>985.19999999999993</v>
      </c>
      <c r="S323" s="815"/>
      <c r="T323" s="814">
        <f ca="1">SUM(T319:T322)</f>
        <v>19.68</v>
      </c>
      <c r="AG323" s="816">
        <f ca="1">ROUND($R323*$S$2,2)</f>
        <v>985.2</v>
      </c>
    </row>
    <row r="324" spans="1:41" s="519" customFormat="1" ht="12" customHeight="1">
      <c r="A324" s="817"/>
      <c r="B324" s="818"/>
      <c r="C324" s="819"/>
      <c r="D324" s="819" t="str">
        <f>$F$3</f>
        <v>ECA</v>
      </c>
      <c r="E324" s="819">
        <f>ROUND(($R328*$S$3 + ($T328*$T$3)), 2)</f>
        <v>0</v>
      </c>
      <c r="F324" s="820">
        <f ca="1">$F316-SUMIF($L318:$P321,"SUBI",$F318:$F321)</f>
        <v>-4.9999999999954525E-2</v>
      </c>
      <c r="G324" s="518"/>
      <c r="H324" s="518"/>
      <c r="I324" s="518"/>
      <c r="J324" s="518"/>
      <c r="K324" s="802" t="s">
        <v>5</v>
      </c>
      <c r="L324" s="803" t="s">
        <v>590</v>
      </c>
      <c r="M324" s="518"/>
      <c r="N324" s="518"/>
      <c r="O324" s="518"/>
      <c r="P324" s="518"/>
      <c r="Q324" s="518"/>
      <c r="R324" s="821"/>
      <c r="S324" s="518"/>
      <c r="T324" s="821"/>
    </row>
    <row r="325" spans="1:41" s="834" customFormat="1" ht="14.4" customHeight="1">
      <c r="A325" s="822"/>
      <c r="B325" s="804" t="s">
        <v>592</v>
      </c>
      <c r="C325" s="823"/>
      <c r="D325" s="824"/>
      <c r="E325" s="824"/>
      <c r="F325" s="824"/>
      <c r="G325" s="825"/>
      <c r="H325" s="826"/>
      <c r="I325" s="826"/>
      <c r="J325" s="827"/>
      <c r="K325" s="828"/>
      <c r="L325" s="823"/>
      <c r="M325" s="829"/>
      <c r="N325" s="830"/>
      <c r="O325" s="831"/>
      <c r="P325" s="832"/>
      <c r="Q325" s="833"/>
      <c r="R325" s="807">
        <f>$A325*Q325</f>
        <v>0</v>
      </c>
      <c r="S325" s="528"/>
      <c r="T325" s="643">
        <f>$A325*S325*$T$1</f>
        <v>0</v>
      </c>
    </row>
    <row r="326" spans="1:41" s="519" customFormat="1" ht="11.4">
      <c r="A326" s="49"/>
      <c r="B326" s="528"/>
      <c r="C326" s="528"/>
      <c r="D326" s="528"/>
      <c r="E326" s="528"/>
      <c r="F326" s="528"/>
      <c r="G326" s="528"/>
      <c r="H326" s="528"/>
      <c r="I326" s="528"/>
      <c r="J326" s="528"/>
      <c r="K326" s="528"/>
      <c r="L326" s="806"/>
      <c r="M326" s="528"/>
      <c r="N326" s="528"/>
      <c r="O326" s="528"/>
      <c r="P326" s="528"/>
      <c r="Q326" s="528"/>
      <c r="R326" s="807">
        <f>$A326*Q326</f>
        <v>0</v>
      </c>
      <c r="S326" s="528"/>
      <c r="T326" s="643">
        <f>$A326*S326*$T$1</f>
        <v>0</v>
      </c>
    </row>
    <row r="327" spans="1:41" s="519" customFormat="1" ht="13.2">
      <c r="A327" s="49"/>
      <c r="B327" s="528"/>
      <c r="C327" s="528"/>
      <c r="D327" s="3"/>
      <c r="E327" s="528"/>
      <c r="F327" s="528"/>
      <c r="G327" s="528"/>
      <c r="H327" s="528"/>
      <c r="I327" s="528"/>
      <c r="J327" s="528"/>
      <c r="K327" s="528"/>
      <c r="L327" s="806"/>
      <c r="M327" s="528"/>
      <c r="N327" s="528"/>
      <c r="O327" s="528"/>
      <c r="P327" s="528"/>
      <c r="Q327" s="528"/>
      <c r="R327" s="807">
        <f>$A327*Q327</f>
        <v>0</v>
      </c>
      <c r="S327" s="528"/>
      <c r="T327" s="643">
        <f>$A327*S327*$T$1</f>
        <v>0</v>
      </c>
    </row>
    <row r="328" spans="1:41" s="519" customFormat="1" ht="12" customHeight="1">
      <c r="A328" s="835" t="s">
        <v>145</v>
      </c>
      <c r="B328" s="836">
        <f>(R327+T327)</f>
        <v>0</v>
      </c>
      <c r="C328" s="837"/>
      <c r="D328" s="837"/>
      <c r="E328" s="837"/>
      <c r="F328" s="837"/>
      <c r="G328" s="813"/>
      <c r="H328" s="813"/>
      <c r="I328" s="813"/>
      <c r="J328" s="813"/>
      <c r="K328" s="838" t="s">
        <v>5</v>
      </c>
      <c r="L328" s="839" t="s">
        <v>590</v>
      </c>
      <c r="M328" s="813"/>
      <c r="N328" s="813"/>
      <c r="O328" s="813"/>
      <c r="P328" s="813"/>
      <c r="Q328" s="813"/>
      <c r="R328" s="814">
        <f>SUM(R324:R327)</f>
        <v>0</v>
      </c>
      <c r="S328" s="815"/>
      <c r="T328" s="814">
        <f>SUM(T324:T327)</f>
        <v>0</v>
      </c>
      <c r="AG328" s="840">
        <f>ROUND($R328*$S$3,2)</f>
        <v>0</v>
      </c>
    </row>
    <row r="329" spans="1:41" s="519" customFormat="1" ht="12.75" customHeight="1">
      <c r="A329" s="841"/>
      <c r="B329" s="842"/>
      <c r="E329" s="641"/>
      <c r="F329" s="843"/>
      <c r="G329" s="641"/>
      <c r="H329" s="641"/>
      <c r="I329" s="518"/>
      <c r="J329" s="641"/>
      <c r="K329" s="641"/>
      <c r="L329" s="844"/>
      <c r="M329" s="652"/>
      <c r="N329" s="652"/>
      <c r="O329" s="652"/>
      <c r="P329" s="652"/>
      <c r="Q329" s="653"/>
      <c r="R329" s="821"/>
      <c r="S329" s="641"/>
      <c r="T329" s="821"/>
    </row>
    <row r="330" spans="1:41" s="519" customFormat="1" ht="13.5" customHeight="1" thickBot="1">
      <c r="A330" s="845"/>
      <c r="B330" s="846"/>
      <c r="C330" s="529"/>
      <c r="D330" s="529"/>
      <c r="E330" s="646"/>
      <c r="F330" s="647"/>
      <c r="G330" s="646" t="s">
        <v>146</v>
      </c>
      <c r="H330" s="646"/>
      <c r="I330" s="648"/>
      <c r="J330" s="646"/>
      <c r="K330" s="646"/>
      <c r="L330" s="847" t="s">
        <v>143</v>
      </c>
      <c r="M330" s="649"/>
      <c r="N330" s="649"/>
      <c r="O330" s="649"/>
      <c r="P330" s="649"/>
      <c r="Q330" s="650"/>
      <c r="R330" s="848">
        <f ca="1">SUMIF($L317:$L329,"SUBI",R317:R329)</f>
        <v>985.19999999999993</v>
      </c>
      <c r="S330" s="646"/>
      <c r="T330" s="848">
        <f ca="1">SUMIF($L317:$L329,"SUBI",T317:T329)</f>
        <v>19.68</v>
      </c>
      <c r="U330" s="529"/>
      <c r="V330" s="529"/>
      <c r="W330" s="529"/>
      <c r="X330" s="529"/>
      <c r="Y330" s="529"/>
      <c r="Z330" s="529"/>
      <c r="AA330" s="529"/>
      <c r="AB330" s="529"/>
      <c r="AC330" s="529"/>
      <c r="AD330" s="529"/>
      <c r="AE330" s="529"/>
      <c r="AF330" s="529"/>
      <c r="AG330" s="529"/>
      <c r="AH330" s="529"/>
      <c r="AI330" s="529"/>
      <c r="AJ330" s="529"/>
      <c r="AK330" s="529"/>
      <c r="AL330" s="529"/>
      <c r="AM330" s="529"/>
      <c r="AN330" s="529"/>
      <c r="AO330" s="529"/>
    </row>
    <row r="331" spans="1:41" s="519" customFormat="1" thickTop="1">
      <c r="A331" s="47"/>
      <c r="B331" s="47"/>
      <c r="C331" s="3"/>
      <c r="D331" s="3"/>
      <c r="E331" s="47"/>
      <c r="F331" s="47"/>
      <c r="G331" s="47"/>
      <c r="H331" s="47"/>
      <c r="I331" s="47"/>
      <c r="J331" s="47"/>
      <c r="K331" s="47" t="s">
        <v>134</v>
      </c>
      <c r="L331" s="47"/>
      <c r="M331" s="47"/>
      <c r="N331" s="47"/>
      <c r="O331" s="48"/>
      <c r="P331" s="47"/>
      <c r="Q331" s="47"/>
      <c r="R331" s="47"/>
      <c r="S331" s="47"/>
      <c r="T331" s="47"/>
    </row>
    <row r="332" spans="1:41" s="519" customFormat="1" ht="12">
      <c r="A332" s="47"/>
      <c r="B332" s="47"/>
      <c r="C332" s="47" t="s">
        <v>135</v>
      </c>
      <c r="D332" s="36"/>
      <c r="E332" s="47"/>
      <c r="F332" s="47"/>
      <c r="G332" s="47"/>
      <c r="H332" s="47"/>
      <c r="I332" s="47"/>
      <c r="J332" s="47"/>
      <c r="K332" s="47"/>
      <c r="L332" s="47"/>
      <c r="M332" s="47"/>
      <c r="N332" s="47"/>
      <c r="O332" s="48"/>
      <c r="P332" s="47"/>
      <c r="Q332" s="47"/>
      <c r="R332" s="47"/>
      <c r="S332" s="47"/>
      <c r="T332" s="47"/>
    </row>
    <row r="333" spans="1:41" s="519" customFormat="1" ht="12">
      <c r="A333" s="47"/>
      <c r="B333" s="47"/>
      <c r="C333" s="47"/>
      <c r="D333" s="36" t="s">
        <v>398</v>
      </c>
      <c r="E333" s="47"/>
      <c r="F333" s="47"/>
      <c r="G333" s="47"/>
      <c r="H333" s="47"/>
      <c r="I333" s="47"/>
      <c r="J333" s="47"/>
      <c r="K333" s="47"/>
      <c r="L333" s="47"/>
      <c r="M333" s="47"/>
      <c r="N333" s="47"/>
      <c r="O333" s="48"/>
      <c r="P333" s="47"/>
      <c r="Q333" s="47"/>
      <c r="R333" s="47"/>
      <c r="S333" s="37"/>
      <c r="T333" s="37"/>
    </row>
    <row r="334" spans="1:41" s="3" customFormat="1" thickBot="1">
      <c r="A334" s="529"/>
      <c r="O334" s="99"/>
    </row>
    <row r="335" spans="1:41" s="519" customFormat="1" thickTop="1">
      <c r="A335" s="47"/>
      <c r="B335" s="47"/>
      <c r="C335" s="3"/>
      <c r="D335" s="3"/>
      <c r="E335" s="47"/>
      <c r="F335" s="47"/>
      <c r="G335" s="47"/>
      <c r="H335" s="47"/>
      <c r="I335" s="47"/>
      <c r="J335" s="47"/>
      <c r="K335" s="47" t="s">
        <v>134</v>
      </c>
      <c r="L335" s="47"/>
      <c r="M335" s="47"/>
      <c r="N335" s="47"/>
      <c r="O335" s="48"/>
      <c r="P335" s="47"/>
      <c r="Q335" s="47"/>
      <c r="R335" s="47"/>
      <c r="S335" s="47"/>
      <c r="T335" s="47"/>
    </row>
    <row r="336" spans="1:41" s="519" customFormat="1" ht="12">
      <c r="A336" s="47"/>
      <c r="B336" s="47"/>
      <c r="C336" s="47" t="s">
        <v>135</v>
      </c>
      <c r="D336" s="36"/>
      <c r="E336" s="47"/>
      <c r="F336" s="47"/>
      <c r="G336" s="47"/>
      <c r="H336" s="47"/>
      <c r="I336" s="47"/>
      <c r="J336" s="47"/>
      <c r="K336" s="47"/>
      <c r="L336" s="47"/>
      <c r="M336" s="47"/>
      <c r="N336" s="47"/>
      <c r="O336" s="48"/>
      <c r="P336" s="47"/>
      <c r="Q336" s="47"/>
      <c r="R336" s="47"/>
      <c r="S336" s="47"/>
      <c r="T336" s="47"/>
    </row>
    <row r="337" spans="1:41" s="519" customFormat="1" ht="39.9" customHeight="1">
      <c r="A337" s="47"/>
      <c r="B337" s="47"/>
      <c r="C337" s="47"/>
      <c r="D337" s="979" t="s">
        <v>399</v>
      </c>
      <c r="E337" s="980"/>
      <c r="F337" s="980"/>
      <c r="G337" s="980"/>
      <c r="H337" s="980"/>
      <c r="I337" s="980"/>
      <c r="J337" s="980"/>
      <c r="K337" s="980"/>
      <c r="L337" s="980"/>
      <c r="M337" s="980"/>
      <c r="N337" s="980"/>
      <c r="O337" s="980"/>
      <c r="P337" s="980"/>
      <c r="Q337" s="980"/>
      <c r="R337" s="980"/>
      <c r="S337" s="980"/>
      <c r="T337" s="980"/>
    </row>
    <row r="338" spans="1:41" s="3" customFormat="1" thickBot="1">
      <c r="A338" s="529"/>
      <c r="O338" s="99"/>
    </row>
    <row r="339" spans="1:41" s="519" customFormat="1" thickTop="1">
      <c r="A339" s="47"/>
      <c r="B339" s="40"/>
      <c r="C339" s="47"/>
      <c r="E339" s="41" t="s">
        <v>138</v>
      </c>
      <c r="F339" s="41" t="s">
        <v>139</v>
      </c>
      <c r="G339" s="47"/>
      <c r="H339" s="47"/>
      <c r="I339" s="47"/>
      <c r="J339" s="47"/>
      <c r="K339" s="47" t="s">
        <v>140</v>
      </c>
      <c r="L339" s="774"/>
      <c r="M339" s="47"/>
      <c r="N339" s="47"/>
      <c r="O339" s="48"/>
      <c r="P339" s="47"/>
      <c r="Q339"/>
      <c r="R339"/>
      <c r="S339"/>
      <c r="T339" s="40"/>
      <c r="AG339" s="627" t="s">
        <v>277</v>
      </c>
      <c r="AH339" s="627" t="s">
        <v>278</v>
      </c>
      <c r="AI339" s="627" t="s">
        <v>279</v>
      </c>
      <c r="AJ339" s="627" t="s">
        <v>280</v>
      </c>
      <c r="AK339" s="627" t="s">
        <v>281</v>
      </c>
      <c r="AM339" s="628" t="s">
        <v>290</v>
      </c>
      <c r="AN339" s="629" t="s">
        <v>291</v>
      </c>
      <c r="AO339" s="520" t="s">
        <v>287</v>
      </c>
    </row>
    <row r="340" spans="1:41" s="519" customFormat="1" ht="13.2">
      <c r="A340" s="630">
        <v>1</v>
      </c>
      <c r="B340" s="521" t="s">
        <v>312</v>
      </c>
      <c r="C340" s="631"/>
      <c r="D340" s="632" t="s">
        <v>624</v>
      </c>
      <c r="E340" s="775">
        <f ca="1">IF(AND($A340=0,$A$1="DIF"),0, ROUND(ROUND(SUMIF($L342:$L348,"SUBI",$E342:$E348)/$A340,2)*$C$12,2))</f>
        <v>65.62</v>
      </c>
      <c r="F340" s="776">
        <f ca="1">ROUND($A340*$E340,2)</f>
        <v>65.62</v>
      </c>
      <c r="G340" s="635" t="s">
        <v>142</v>
      </c>
      <c r="H340" s="636"/>
      <c r="I340" s="637"/>
      <c r="J340" s="636"/>
      <c r="K340" s="777"/>
      <c r="L340" s="778" t="s">
        <v>143</v>
      </c>
      <c r="M340" s="638"/>
      <c r="N340" s="638"/>
      <c r="O340" s="638"/>
      <c r="P340" s="638"/>
      <c r="Q340"/>
      <c r="R340"/>
      <c r="S340"/>
      <c r="T340" s="779" t="str">
        <f ca="1">IF(AND($R354=0,$T354=0),"0.00","mu :" &amp; ROUND($F340/$C$12/($R354+$T354*$D$9),2))</f>
        <v>mu :1</v>
      </c>
      <c r="W340" s="522"/>
      <c r="AG340" s="780">
        <f ca="1">IF(A340=0,0,ROUND(SUM(AG342:AG354)/A340,2))</f>
        <v>20.04</v>
      </c>
      <c r="AH340" s="780">
        <f ca="1">$AG340*$A340</f>
        <v>20.04</v>
      </c>
      <c r="AI340" s="780">
        <f ca="1">$E340-$AG340</f>
        <v>45.580000000000005</v>
      </c>
      <c r="AJ340" s="780">
        <f ca="1">$A340*$AI340</f>
        <v>45.580000000000005</v>
      </c>
      <c r="AK340" s="781">
        <f ca="1">ROUND(($AG340+$AI340)*$A340,2)</f>
        <v>65.62</v>
      </c>
      <c r="AM340" s="525">
        <f ca="1">ROUND(R354,2)</f>
        <v>20.04</v>
      </c>
      <c r="AN340" s="526">
        <f ca="1">ROUND(T354,2)</f>
        <v>1.66</v>
      </c>
      <c r="AO340" s="527">
        <f ca="1">ROUND(AM340+AN340,2)*A340</f>
        <v>21.7</v>
      </c>
    </row>
    <row r="341" spans="1:41" s="519" customFormat="1" ht="19.95" customHeight="1">
      <c r="A341" s="782"/>
      <c r="B341" s="783"/>
      <c r="C341" s="631"/>
      <c r="D341" s="784" t="s">
        <v>625</v>
      </c>
      <c r="F341" s="636"/>
      <c r="G341" s="636"/>
      <c r="H341" s="636"/>
      <c r="I341" s="637"/>
      <c r="J341" s="636"/>
      <c r="K341" s="636" t="s">
        <v>144</v>
      </c>
      <c r="L341" s="785"/>
      <c r="M341" s="636"/>
      <c r="N341" s="636"/>
      <c r="O341" s="636"/>
      <c r="P341" s="636"/>
      <c r="Q341" s="47"/>
      <c r="R341" s="528"/>
      <c r="S341" s="640"/>
      <c r="T341" s="636"/>
    </row>
    <row r="342" spans="1:41" s="519" customFormat="1" ht="12">
      <c r="A342" s="786"/>
      <c r="B342" s="787"/>
      <c r="C342" s="641"/>
      <c r="D342" s="636"/>
      <c r="E342" s="788">
        <f ca="1">F340/$C$12-SUMIF($L339:$L354,"SUBI",$E339:$E354)</f>
        <v>0</v>
      </c>
      <c r="F342" s="789" t="s">
        <v>589</v>
      </c>
      <c r="G342" s="790"/>
      <c r="H342" s="790"/>
      <c r="I342" s="791"/>
      <c r="J342" s="790"/>
      <c r="K342" s="790"/>
      <c r="L342" s="792"/>
      <c r="M342" s="793"/>
      <c r="N342" s="793"/>
      <c r="O342" s="793"/>
      <c r="P342" s="793"/>
      <c r="Q342" s="794"/>
      <c r="R342" s="795"/>
      <c r="S342" s="794"/>
      <c r="T342" s="796"/>
    </row>
    <row r="343" spans="1:41" s="519" customFormat="1" ht="12" customHeight="1">
      <c r="A343" s="797"/>
      <c r="B343" s="798"/>
      <c r="C343" s="799"/>
      <c r="D343" s="799" t="str">
        <f>$F$2</f>
        <v>Electrical</v>
      </c>
      <c r="E343" s="799">
        <f ca="1">ROUND(($R347*$S$2 + ($T347*$T$2)), 2)</f>
        <v>65.62</v>
      </c>
      <c r="F343" s="800">
        <f ca="1">$E343*$C$12</f>
        <v>65.62</v>
      </c>
      <c r="G343" s="528"/>
      <c r="H343" s="801"/>
      <c r="I343" s="528"/>
      <c r="J343" s="48"/>
      <c r="K343" s="802" t="s">
        <v>3</v>
      </c>
      <c r="L343" s="803" t="s">
        <v>590</v>
      </c>
      <c r="M343" s="528"/>
      <c r="N343" s="528"/>
      <c r="O343" s="48"/>
      <c r="P343" s="528"/>
      <c r="Q343" s="528"/>
      <c r="R343"/>
      <c r="S343"/>
      <c r="T343"/>
    </row>
    <row r="344" spans="1:41" s="956" customFormat="1" ht="13.2">
      <c r="A344"/>
      <c r="B344" s="948"/>
      <c r="C344" s="948" t="s">
        <v>742</v>
      </c>
      <c r="D344" s="948" t="str">
        <f ca="1">CELL("Address",Elec_Rates!D$54)</f>
        <v>[ELM25_0085_Quintano_Elec_Mech_HVAC_Est_Rev_B.xlsx]Elec_Rates!$D$54</v>
      </c>
      <c r="E344" s="949"/>
      <c r="F344" s="949"/>
      <c r="G344" s="950" t="s">
        <v>743</v>
      </c>
      <c r="H344" s="950"/>
      <c r="I344" s="950"/>
      <c r="J344" s="950"/>
      <c r="K344" s="951"/>
      <c r="L344" s="949"/>
      <c r="M344" s="949"/>
      <c r="N344" s="949"/>
      <c r="O344" s="952"/>
      <c r="P344" s="949"/>
      <c r="Q344" s="953"/>
      <c r="R344" s="954"/>
      <c r="S344" s="953"/>
      <c r="T344" s="943"/>
      <c r="U344" s="955"/>
    </row>
    <row r="345" spans="1:41" s="956" customFormat="1" ht="11.4">
      <c r="A345" s="957">
        <v>1</v>
      </c>
      <c r="B345" s="958">
        <v>1</v>
      </c>
      <c r="C345" s="958">
        <f>$A345*$B345</f>
        <v>1</v>
      </c>
      <c r="D345" s="959" t="str">
        <f>Elec_Rates!$D$54</f>
        <v>046# 3 x 4mm2 XLPE/SWA/LSZH</v>
      </c>
      <c r="E345" s="959"/>
      <c r="F345" s="959" t="s">
        <v>744</v>
      </c>
      <c r="G345" s="960" t="s">
        <v>760</v>
      </c>
      <c r="H345" s="960"/>
      <c r="I345" s="960"/>
      <c r="J345" s="960"/>
      <c r="K345" s="961"/>
      <c r="L345" s="955"/>
      <c r="M345" s="955"/>
      <c r="N345" s="955"/>
      <c r="O345" s="962"/>
      <c r="P345" s="959"/>
      <c r="Q345" s="963">
        <f ca="1">$B345*Elec_Rates!$R$54</f>
        <v>20.04</v>
      </c>
      <c r="R345" s="954">
        <f ca="1">$A345*Q345</f>
        <v>20.04</v>
      </c>
      <c r="S345" s="963">
        <f ca="1">$B345*Elec_Rates!$T$54</f>
        <v>1.66</v>
      </c>
      <c r="T345" s="943">
        <f ca="1">$A345*S345</f>
        <v>1.66</v>
      </c>
      <c r="U345" s="501"/>
    </row>
    <row r="346" spans="1:41" s="519" customFormat="1" ht="13.95" customHeight="1">
      <c r="A346" s="49"/>
      <c r="B346" s="528"/>
      <c r="C346" s="528"/>
      <c r="D346" s="528"/>
      <c r="E346" s="528"/>
      <c r="F346" s="528"/>
      <c r="G346" s="528"/>
      <c r="H346" s="801"/>
      <c r="I346" s="528"/>
      <c r="J346" s="48"/>
      <c r="K346" s="805"/>
      <c r="L346" s="806"/>
      <c r="M346" s="528"/>
      <c r="N346" s="528"/>
      <c r="O346" s="48"/>
      <c r="P346" s="528"/>
      <c r="Q346" s="528"/>
      <c r="R346" s="807">
        <f>$A346*Q346</f>
        <v>0</v>
      </c>
      <c r="S346" s="528"/>
      <c r="T346" s="643">
        <f>$A346*S346*$T$1</f>
        <v>0</v>
      </c>
    </row>
    <row r="347" spans="1:41" s="519" customFormat="1" ht="12">
      <c r="A347" s="808" t="s">
        <v>145</v>
      </c>
      <c r="B347" s="809">
        <f>(R346+T346)</f>
        <v>0</v>
      </c>
      <c r="C347" s="641"/>
      <c r="G347" s="810"/>
      <c r="H347" s="810"/>
      <c r="I347" s="810"/>
      <c r="J347" s="810"/>
      <c r="K347" s="811" t="s">
        <v>3</v>
      </c>
      <c r="L347" s="812" t="s">
        <v>590</v>
      </c>
      <c r="M347" s="810"/>
      <c r="N347" s="810"/>
      <c r="O347" s="810"/>
      <c r="P347" s="810"/>
      <c r="Q347" s="813"/>
      <c r="R347" s="814">
        <f ca="1">SUM(R343:R346)</f>
        <v>20.04</v>
      </c>
      <c r="S347" s="815"/>
      <c r="T347" s="814">
        <f ca="1">SUM(T343:T346)</f>
        <v>1.66</v>
      </c>
      <c r="AG347" s="816">
        <f ca="1">ROUND($R347*$S$2,2)</f>
        <v>20.04</v>
      </c>
    </row>
    <row r="348" spans="1:41" s="519" customFormat="1" ht="12" customHeight="1">
      <c r="A348" s="817"/>
      <c r="B348" s="818"/>
      <c r="C348" s="819"/>
      <c r="D348" s="819" t="str">
        <f>$F$3</f>
        <v>ECA</v>
      </c>
      <c r="E348" s="819">
        <f>ROUND(($R352*$S$3 + ($T352*$T$3)), 2)</f>
        <v>0</v>
      </c>
      <c r="F348" s="820">
        <f ca="1">$F340-SUMIF($L342:$P345,"SUBI",$F342:$F345)</f>
        <v>0</v>
      </c>
      <c r="G348" s="518"/>
      <c r="H348" s="518"/>
      <c r="I348" s="518"/>
      <c r="J348" s="518"/>
      <c r="K348" s="802" t="s">
        <v>5</v>
      </c>
      <c r="L348" s="803" t="s">
        <v>590</v>
      </c>
      <c r="M348" s="518"/>
      <c r="N348" s="518"/>
      <c r="O348" s="518"/>
      <c r="P348" s="518"/>
      <c r="Q348" s="518"/>
      <c r="R348" s="821"/>
      <c r="S348" s="518"/>
      <c r="T348" s="821"/>
    </row>
    <row r="349" spans="1:41" s="834" customFormat="1" ht="14.4" customHeight="1">
      <c r="A349" s="822"/>
      <c r="B349" s="804" t="s">
        <v>592</v>
      </c>
      <c r="C349" s="823"/>
      <c r="D349" s="824"/>
      <c r="E349" s="824"/>
      <c r="F349" s="824"/>
      <c r="G349" s="825"/>
      <c r="H349" s="826"/>
      <c r="I349" s="826"/>
      <c r="J349" s="827"/>
      <c r="K349" s="828"/>
      <c r="L349" s="823"/>
      <c r="M349" s="829"/>
      <c r="N349" s="830"/>
      <c r="O349" s="831"/>
      <c r="P349" s="832"/>
      <c r="Q349" s="833"/>
      <c r="R349" s="807">
        <f>$A349*Q349</f>
        <v>0</v>
      </c>
      <c r="S349" s="528"/>
      <c r="T349" s="643">
        <f>$A349*S349*$T$1</f>
        <v>0</v>
      </c>
    </row>
    <row r="350" spans="1:41" s="519" customFormat="1" ht="11.4">
      <c r="A350" s="49"/>
      <c r="B350" s="528"/>
      <c r="C350" s="528"/>
      <c r="D350" s="528"/>
      <c r="E350" s="528"/>
      <c r="F350" s="528"/>
      <c r="G350" s="528"/>
      <c r="H350" s="528"/>
      <c r="I350" s="528"/>
      <c r="J350" s="528"/>
      <c r="K350" s="528"/>
      <c r="L350" s="806"/>
      <c r="M350" s="528"/>
      <c r="N350" s="528"/>
      <c r="O350" s="528"/>
      <c r="P350" s="528"/>
      <c r="Q350" s="528"/>
      <c r="R350" s="807">
        <f>$A350*Q350</f>
        <v>0</v>
      </c>
      <c r="S350" s="528"/>
      <c r="T350" s="643">
        <f>$A350*S350*$T$1</f>
        <v>0</v>
      </c>
    </row>
    <row r="351" spans="1:41" s="519" customFormat="1" ht="13.2">
      <c r="A351" s="49"/>
      <c r="B351" s="528"/>
      <c r="C351" s="528"/>
      <c r="D351" s="3"/>
      <c r="E351" s="528"/>
      <c r="F351" s="528"/>
      <c r="G351" s="528"/>
      <c r="H351" s="528"/>
      <c r="I351" s="528"/>
      <c r="J351" s="528"/>
      <c r="K351" s="528"/>
      <c r="L351" s="806"/>
      <c r="M351" s="528"/>
      <c r="N351" s="528"/>
      <c r="O351" s="528"/>
      <c r="P351" s="528"/>
      <c r="Q351" s="528"/>
      <c r="R351" s="807">
        <f>$A351*Q351</f>
        <v>0</v>
      </c>
      <c r="S351" s="528"/>
      <c r="T351" s="643">
        <f>$A351*S351*$T$1</f>
        <v>0</v>
      </c>
    </row>
    <row r="352" spans="1:41" s="519" customFormat="1" ht="12" customHeight="1">
      <c r="A352" s="835" t="s">
        <v>145</v>
      </c>
      <c r="B352" s="836">
        <f>(R351+T351)</f>
        <v>0</v>
      </c>
      <c r="C352" s="837"/>
      <c r="D352" s="837"/>
      <c r="E352" s="837"/>
      <c r="F352" s="837"/>
      <c r="G352" s="813"/>
      <c r="H352" s="813"/>
      <c r="I352" s="813"/>
      <c r="J352" s="813"/>
      <c r="K352" s="838" t="s">
        <v>5</v>
      </c>
      <c r="L352" s="839" t="s">
        <v>590</v>
      </c>
      <c r="M352" s="813"/>
      <c r="N352" s="813"/>
      <c r="O352" s="813"/>
      <c r="P352" s="813"/>
      <c r="Q352" s="813"/>
      <c r="R352" s="814">
        <f>SUM(R348:R351)</f>
        <v>0</v>
      </c>
      <c r="S352" s="815"/>
      <c r="T352" s="814">
        <f>SUM(T348:T351)</f>
        <v>0</v>
      </c>
      <c r="AG352" s="840">
        <f>ROUND($R352*$S$3,2)</f>
        <v>0</v>
      </c>
    </row>
    <row r="353" spans="1:41" s="519" customFormat="1" ht="12.75" customHeight="1">
      <c r="A353" s="841"/>
      <c r="B353" s="842"/>
      <c r="E353" s="641"/>
      <c r="F353" s="843"/>
      <c r="G353" s="641"/>
      <c r="H353" s="641"/>
      <c r="I353" s="518"/>
      <c r="J353" s="641"/>
      <c r="K353" s="641"/>
      <c r="L353" s="844"/>
      <c r="M353" s="652"/>
      <c r="N353" s="652"/>
      <c r="O353" s="652"/>
      <c r="P353" s="652"/>
      <c r="Q353" s="653"/>
      <c r="R353" s="821"/>
      <c r="S353" s="641"/>
      <c r="T353" s="821"/>
    </row>
    <row r="354" spans="1:41" s="519" customFormat="1" ht="13.5" customHeight="1" thickBot="1">
      <c r="A354" s="845"/>
      <c r="B354" s="846"/>
      <c r="C354" s="529"/>
      <c r="D354" s="529"/>
      <c r="E354" s="646"/>
      <c r="F354" s="647"/>
      <c r="G354" s="646" t="s">
        <v>146</v>
      </c>
      <c r="H354" s="646"/>
      <c r="I354" s="648"/>
      <c r="J354" s="646"/>
      <c r="K354" s="646"/>
      <c r="L354" s="847" t="s">
        <v>143</v>
      </c>
      <c r="M354" s="649"/>
      <c r="N354" s="649"/>
      <c r="O354" s="649"/>
      <c r="P354" s="649"/>
      <c r="Q354" s="650"/>
      <c r="R354" s="848">
        <f ca="1">SUMIF($L341:$L353,"SUBI",R341:R353)</f>
        <v>20.04</v>
      </c>
      <c r="S354" s="646"/>
      <c r="T354" s="848">
        <f ca="1">SUMIF($L341:$L353,"SUBI",T341:T353)</f>
        <v>1.66</v>
      </c>
      <c r="U354" s="529"/>
      <c r="V354" s="529"/>
      <c r="W354" s="529"/>
      <c r="X354" s="529"/>
      <c r="Y354" s="529"/>
      <c r="Z354" s="529"/>
      <c r="AA354" s="529"/>
      <c r="AB354" s="529"/>
      <c r="AC354" s="529"/>
      <c r="AD354" s="529"/>
      <c r="AE354" s="529"/>
      <c r="AF354" s="529"/>
      <c r="AG354" s="529"/>
      <c r="AH354" s="529"/>
      <c r="AI354" s="529"/>
      <c r="AJ354" s="529"/>
      <c r="AK354" s="529"/>
      <c r="AL354" s="529"/>
      <c r="AM354" s="529"/>
      <c r="AN354" s="529"/>
      <c r="AO354" s="529"/>
    </row>
    <row r="355" spans="1:41" s="519" customFormat="1" thickTop="1">
      <c r="A355" s="47"/>
      <c r="B355" s="40"/>
      <c r="C355" s="47"/>
      <c r="E355" s="41" t="s">
        <v>138</v>
      </c>
      <c r="F355" s="41" t="s">
        <v>139</v>
      </c>
      <c r="G355" s="47"/>
      <c r="H355" s="47"/>
      <c r="I355" s="47"/>
      <c r="J355" s="47"/>
      <c r="K355" s="47" t="s">
        <v>140</v>
      </c>
      <c r="L355" s="774"/>
      <c r="M355" s="47"/>
      <c r="N355" s="47"/>
      <c r="O355" s="48"/>
      <c r="P355" s="47"/>
      <c r="Q355"/>
      <c r="R355"/>
      <c r="S355"/>
      <c r="T355" s="40"/>
      <c r="AG355" s="627" t="s">
        <v>277</v>
      </c>
      <c r="AH355" s="627" t="s">
        <v>278</v>
      </c>
      <c r="AI355" s="627" t="s">
        <v>279</v>
      </c>
      <c r="AJ355" s="627" t="s">
        <v>280</v>
      </c>
      <c r="AK355" s="627" t="s">
        <v>281</v>
      </c>
      <c r="AM355" s="628" t="s">
        <v>290</v>
      </c>
      <c r="AN355" s="629" t="s">
        <v>291</v>
      </c>
      <c r="AO355" s="520" t="s">
        <v>287</v>
      </c>
    </row>
    <row r="356" spans="1:41" s="519" customFormat="1" ht="13.2">
      <c r="A356" s="630">
        <v>1</v>
      </c>
      <c r="B356" s="521" t="s">
        <v>312</v>
      </c>
      <c r="C356" s="631"/>
      <c r="D356" s="632" t="s">
        <v>347</v>
      </c>
      <c r="E356" s="775">
        <f ca="1">IF(AND($A356=0,$A$1="DIF"),0, ROUND(ROUND(SUMIF($L358:$L364,"SUBI",$E358:$E364)/$A356,2)*$C$12,2))</f>
        <v>65.62</v>
      </c>
      <c r="F356" s="776">
        <f ca="1">ROUND($A356*$E356,2)</f>
        <v>65.62</v>
      </c>
      <c r="G356" s="635" t="s">
        <v>142</v>
      </c>
      <c r="H356" s="636"/>
      <c r="I356" s="637"/>
      <c r="J356" s="636"/>
      <c r="K356" s="777"/>
      <c r="L356" s="778" t="s">
        <v>143</v>
      </c>
      <c r="M356" s="638"/>
      <c r="N356" s="638"/>
      <c r="O356" s="638"/>
      <c r="P356" s="638"/>
      <c r="Q356"/>
      <c r="R356"/>
      <c r="S356"/>
      <c r="T356" s="779" t="str">
        <f ca="1">IF(AND($R370=0,$T370=0),"0.00","mu :" &amp; ROUND($F356/$C$12/($R370+$T370*$D$9),2))</f>
        <v>mu :1</v>
      </c>
      <c r="W356" s="522"/>
      <c r="AG356" s="780">
        <f ca="1">IF(A356=0,0,ROUND(SUM(AG358:AG370)/A356,2))</f>
        <v>20.04</v>
      </c>
      <c r="AH356" s="780">
        <f ca="1">$AG356*$A356</f>
        <v>20.04</v>
      </c>
      <c r="AI356" s="780">
        <f ca="1">$E356-$AG356</f>
        <v>45.580000000000005</v>
      </c>
      <c r="AJ356" s="780">
        <f ca="1">$A356*$AI356</f>
        <v>45.580000000000005</v>
      </c>
      <c r="AK356" s="781">
        <f ca="1">ROUND(($AG356+$AI356)*$A356,2)</f>
        <v>65.62</v>
      </c>
      <c r="AM356" s="525">
        <f ca="1">ROUND(R370,2)</f>
        <v>20.04</v>
      </c>
      <c r="AN356" s="526">
        <f ca="1">ROUND(T370,2)</f>
        <v>1.66</v>
      </c>
      <c r="AO356" s="527">
        <f ca="1">ROUND(AM356+AN356,2)*A356</f>
        <v>21.7</v>
      </c>
    </row>
    <row r="357" spans="1:41" s="519" customFormat="1" ht="19.95" customHeight="1">
      <c r="A357" s="782"/>
      <c r="B357" s="783"/>
      <c r="C357" s="631"/>
      <c r="D357" s="784" t="s">
        <v>626</v>
      </c>
      <c r="F357" s="636"/>
      <c r="G357" s="636"/>
      <c r="H357" s="636"/>
      <c r="I357" s="637"/>
      <c r="J357" s="636"/>
      <c r="K357" s="636" t="s">
        <v>144</v>
      </c>
      <c r="L357" s="785"/>
      <c r="M357" s="636"/>
      <c r="N357" s="636"/>
      <c r="O357" s="636"/>
      <c r="P357" s="636"/>
      <c r="Q357" s="47"/>
      <c r="R357" s="528"/>
      <c r="S357" s="640"/>
      <c r="T357" s="636"/>
    </row>
    <row r="358" spans="1:41" s="519" customFormat="1" ht="12">
      <c r="A358" s="786"/>
      <c r="B358" s="787"/>
      <c r="C358" s="641"/>
      <c r="D358" s="636"/>
      <c r="E358" s="788">
        <f ca="1">F356/$C$12-SUMIF($L355:$L370,"SUBI",$E355:$E370)</f>
        <v>0</v>
      </c>
      <c r="F358" s="789" t="s">
        <v>589</v>
      </c>
      <c r="G358" s="790"/>
      <c r="H358" s="790"/>
      <c r="I358" s="791"/>
      <c r="J358" s="790"/>
      <c r="K358" s="790"/>
      <c r="L358" s="792"/>
      <c r="M358" s="793"/>
      <c r="N358" s="793"/>
      <c r="O358" s="793"/>
      <c r="P358" s="793"/>
      <c r="Q358" s="794"/>
      <c r="R358" s="795"/>
      <c r="S358" s="794"/>
      <c r="T358" s="796"/>
    </row>
    <row r="359" spans="1:41" s="519" customFormat="1" ht="12" customHeight="1">
      <c r="A359" s="797"/>
      <c r="B359" s="798"/>
      <c r="C359" s="799"/>
      <c r="D359" s="799" t="str">
        <f>$F$2</f>
        <v>Electrical</v>
      </c>
      <c r="E359" s="799">
        <f ca="1">ROUND(($R363*$S$2 + ($T363*$T$2)), 2)</f>
        <v>65.62</v>
      </c>
      <c r="F359" s="800">
        <f ca="1">$E359*$C$12</f>
        <v>65.62</v>
      </c>
      <c r="G359" s="528"/>
      <c r="H359" s="801"/>
      <c r="I359" s="528"/>
      <c r="J359" s="48"/>
      <c r="K359" s="802" t="s">
        <v>3</v>
      </c>
      <c r="L359" s="803" t="s">
        <v>590</v>
      </c>
      <c r="M359" s="528"/>
      <c r="N359" s="528"/>
      <c r="O359" s="48"/>
      <c r="P359" s="528"/>
      <c r="Q359" s="528"/>
      <c r="R359"/>
      <c r="S359"/>
      <c r="T359"/>
    </row>
    <row r="360" spans="1:41" s="956" customFormat="1" ht="13.2">
      <c r="A360"/>
      <c r="B360" s="948"/>
      <c r="C360" s="948" t="s">
        <v>742</v>
      </c>
      <c r="D360" s="948" t="str">
        <f ca="1">CELL("Address",Elec_Rates!D$54)</f>
        <v>[ELM25_0085_Quintano_Elec_Mech_HVAC_Est_Rev_B.xlsx]Elec_Rates!$D$54</v>
      </c>
      <c r="E360" s="949"/>
      <c r="F360" s="949"/>
      <c r="G360" s="950" t="s">
        <v>743</v>
      </c>
      <c r="H360" s="950"/>
      <c r="I360" s="950"/>
      <c r="J360" s="950"/>
      <c r="K360" s="951"/>
      <c r="L360" s="949"/>
      <c r="M360" s="949"/>
      <c r="N360" s="949"/>
      <c r="O360" s="952"/>
      <c r="P360" s="949"/>
      <c r="Q360" s="953"/>
      <c r="R360" s="954"/>
      <c r="S360" s="953"/>
      <c r="T360" s="943"/>
      <c r="U360" s="955"/>
    </row>
    <row r="361" spans="1:41" s="956" customFormat="1" ht="11.4">
      <c r="A361" s="957">
        <v>1</v>
      </c>
      <c r="B361" s="958">
        <v>1</v>
      </c>
      <c r="C361" s="958">
        <f>$A361*$B361</f>
        <v>1</v>
      </c>
      <c r="D361" s="959" t="str">
        <f>Elec_Rates!$D$54</f>
        <v>046# 3 x 4mm2 XLPE/SWA/LSZH</v>
      </c>
      <c r="E361" s="959"/>
      <c r="F361" s="959" t="s">
        <v>744</v>
      </c>
      <c r="G361" s="960" t="s">
        <v>760</v>
      </c>
      <c r="H361" s="960"/>
      <c r="I361" s="960"/>
      <c r="J361" s="960"/>
      <c r="K361" s="961"/>
      <c r="L361" s="955"/>
      <c r="M361" s="955"/>
      <c r="N361" s="955"/>
      <c r="O361" s="962"/>
      <c r="P361" s="959"/>
      <c r="Q361" s="963">
        <f ca="1">$B361*Elec_Rates!$R$54</f>
        <v>20.04</v>
      </c>
      <c r="R361" s="954">
        <f ca="1">$A361*Q361</f>
        <v>20.04</v>
      </c>
      <c r="S361" s="963">
        <f ca="1">$B361*Elec_Rates!$T$54</f>
        <v>1.66</v>
      </c>
      <c r="T361" s="943">
        <f ca="1">$A361*S361</f>
        <v>1.66</v>
      </c>
      <c r="U361" s="501"/>
    </row>
    <row r="362" spans="1:41" s="519" customFormat="1" ht="13.95" customHeight="1">
      <c r="A362" s="49"/>
      <c r="B362" s="528"/>
      <c r="C362" s="528"/>
      <c r="D362" s="528"/>
      <c r="E362" s="528"/>
      <c r="F362" s="528"/>
      <c r="G362" s="528"/>
      <c r="H362" s="801"/>
      <c r="I362" s="528"/>
      <c r="J362" s="48"/>
      <c r="K362" s="805"/>
      <c r="L362" s="806"/>
      <c r="M362" s="528"/>
      <c r="N362" s="528"/>
      <c r="O362" s="48"/>
      <c r="P362" s="528"/>
      <c r="Q362" s="528"/>
      <c r="R362" s="807">
        <f>$A362*Q362</f>
        <v>0</v>
      </c>
      <c r="S362" s="528"/>
      <c r="T362" s="643">
        <f>$A362*S362*$T$1</f>
        <v>0</v>
      </c>
    </row>
    <row r="363" spans="1:41" s="519" customFormat="1" ht="12">
      <c r="A363" s="808" t="s">
        <v>145</v>
      </c>
      <c r="B363" s="809">
        <f>(R362+T362)</f>
        <v>0</v>
      </c>
      <c r="C363" s="641"/>
      <c r="G363" s="810"/>
      <c r="H363" s="810"/>
      <c r="I363" s="810"/>
      <c r="J363" s="810"/>
      <c r="K363" s="811" t="s">
        <v>3</v>
      </c>
      <c r="L363" s="812" t="s">
        <v>590</v>
      </c>
      <c r="M363" s="810"/>
      <c r="N363" s="810"/>
      <c r="O363" s="810"/>
      <c r="P363" s="810"/>
      <c r="Q363" s="813"/>
      <c r="R363" s="814">
        <f ca="1">SUM(R359:R362)</f>
        <v>20.04</v>
      </c>
      <c r="S363" s="815"/>
      <c r="T363" s="814">
        <f ca="1">SUM(T359:T362)</f>
        <v>1.66</v>
      </c>
      <c r="AG363" s="816">
        <f ca="1">ROUND($R363*$S$2,2)</f>
        <v>20.04</v>
      </c>
    </row>
    <row r="364" spans="1:41" s="519" customFormat="1" ht="12" customHeight="1">
      <c r="A364" s="817"/>
      <c r="B364" s="818"/>
      <c r="C364" s="819"/>
      <c r="D364" s="819" t="str">
        <f>$F$3</f>
        <v>ECA</v>
      </c>
      <c r="E364" s="819">
        <f>ROUND(($R368*$S$3 + ($T368*$T$3)), 2)</f>
        <v>0</v>
      </c>
      <c r="F364" s="820">
        <f ca="1">$F356-SUMIF($L358:$P361,"SUBI",$F358:$F361)</f>
        <v>0</v>
      </c>
      <c r="G364" s="518"/>
      <c r="H364" s="518"/>
      <c r="I364" s="518"/>
      <c r="J364" s="518"/>
      <c r="K364" s="802" t="s">
        <v>5</v>
      </c>
      <c r="L364" s="803" t="s">
        <v>590</v>
      </c>
      <c r="M364" s="518"/>
      <c r="N364" s="518"/>
      <c r="O364" s="518"/>
      <c r="P364" s="518"/>
      <c r="Q364" s="518"/>
      <c r="R364" s="821"/>
      <c r="S364" s="518"/>
      <c r="T364" s="821"/>
    </row>
    <row r="365" spans="1:41" s="834" customFormat="1" ht="14.4" customHeight="1">
      <c r="A365" s="822"/>
      <c r="B365" s="804" t="s">
        <v>592</v>
      </c>
      <c r="C365" s="823"/>
      <c r="D365" s="824"/>
      <c r="E365" s="824"/>
      <c r="F365" s="824"/>
      <c r="G365" s="825"/>
      <c r="H365" s="826"/>
      <c r="I365" s="826"/>
      <c r="J365" s="827"/>
      <c r="K365" s="828"/>
      <c r="L365" s="823"/>
      <c r="M365" s="829"/>
      <c r="N365" s="830"/>
      <c r="O365" s="831"/>
      <c r="P365" s="832"/>
      <c r="Q365" s="833"/>
      <c r="R365" s="807">
        <f>$A365*Q365</f>
        <v>0</v>
      </c>
      <c r="S365" s="528"/>
      <c r="T365" s="643">
        <f>$A365*S365*$T$1</f>
        <v>0</v>
      </c>
    </row>
    <row r="366" spans="1:41" s="519" customFormat="1" ht="11.4">
      <c r="A366" s="49"/>
      <c r="B366" s="528"/>
      <c r="C366" s="528"/>
      <c r="D366" s="528"/>
      <c r="E366" s="528"/>
      <c r="F366" s="528"/>
      <c r="G366" s="528"/>
      <c r="H366" s="528"/>
      <c r="I366" s="528"/>
      <c r="J366" s="528"/>
      <c r="K366" s="528"/>
      <c r="L366" s="806"/>
      <c r="M366" s="528"/>
      <c r="N366" s="528"/>
      <c r="O366" s="528"/>
      <c r="P366" s="528"/>
      <c r="Q366" s="528"/>
      <c r="R366" s="807">
        <f>$A366*Q366</f>
        <v>0</v>
      </c>
      <c r="S366" s="528"/>
      <c r="T366" s="643">
        <f>$A366*S366*$T$1</f>
        <v>0</v>
      </c>
    </row>
    <row r="367" spans="1:41" s="519" customFormat="1" ht="13.2">
      <c r="A367" s="49"/>
      <c r="B367" s="528"/>
      <c r="C367" s="528"/>
      <c r="D367" s="3"/>
      <c r="E367" s="528"/>
      <c r="F367" s="528"/>
      <c r="G367" s="528"/>
      <c r="H367" s="528"/>
      <c r="I367" s="528"/>
      <c r="J367" s="528"/>
      <c r="K367" s="528"/>
      <c r="L367" s="806"/>
      <c r="M367" s="528"/>
      <c r="N367" s="528"/>
      <c r="O367" s="528"/>
      <c r="P367" s="528"/>
      <c r="Q367" s="528"/>
      <c r="R367" s="807">
        <f>$A367*Q367</f>
        <v>0</v>
      </c>
      <c r="S367" s="528"/>
      <c r="T367" s="643">
        <f>$A367*S367*$T$1</f>
        <v>0</v>
      </c>
    </row>
    <row r="368" spans="1:41" s="519" customFormat="1" ht="12" customHeight="1">
      <c r="A368" s="835" t="s">
        <v>145</v>
      </c>
      <c r="B368" s="836">
        <f>(R367+T367)</f>
        <v>0</v>
      </c>
      <c r="C368" s="837"/>
      <c r="D368" s="837"/>
      <c r="E368" s="837"/>
      <c r="F368" s="837"/>
      <c r="G368" s="813"/>
      <c r="H368" s="813"/>
      <c r="I368" s="813"/>
      <c r="J368" s="813"/>
      <c r="K368" s="838" t="s">
        <v>5</v>
      </c>
      <c r="L368" s="839" t="s">
        <v>590</v>
      </c>
      <c r="M368" s="813"/>
      <c r="N368" s="813"/>
      <c r="O368" s="813"/>
      <c r="P368" s="813"/>
      <c r="Q368" s="813"/>
      <c r="R368" s="814">
        <f>SUM(R364:R367)</f>
        <v>0</v>
      </c>
      <c r="S368" s="815"/>
      <c r="T368" s="814">
        <f>SUM(T364:T367)</f>
        <v>0</v>
      </c>
      <c r="AG368" s="840">
        <f>ROUND($R368*$S$3,2)</f>
        <v>0</v>
      </c>
    </row>
    <row r="369" spans="1:41" s="519" customFormat="1" ht="12.75" customHeight="1">
      <c r="A369" s="841"/>
      <c r="B369" s="842"/>
      <c r="E369" s="641"/>
      <c r="F369" s="843"/>
      <c r="G369" s="641"/>
      <c r="H369" s="641"/>
      <c r="I369" s="518"/>
      <c r="J369" s="641"/>
      <c r="K369" s="641"/>
      <c r="L369" s="844"/>
      <c r="M369" s="652"/>
      <c r="N369" s="652"/>
      <c r="O369" s="652"/>
      <c r="P369" s="652"/>
      <c r="Q369" s="653"/>
      <c r="R369" s="821"/>
      <c r="S369" s="641"/>
      <c r="T369" s="821"/>
    </row>
    <row r="370" spans="1:41" s="519" customFormat="1" ht="13.5" customHeight="1" thickBot="1">
      <c r="A370" s="845"/>
      <c r="B370" s="846"/>
      <c r="C370" s="529"/>
      <c r="D370" s="529"/>
      <c r="E370" s="646"/>
      <c r="F370" s="647"/>
      <c r="G370" s="646" t="s">
        <v>146</v>
      </c>
      <c r="H370" s="646"/>
      <c r="I370" s="648"/>
      <c r="J370" s="646"/>
      <c r="K370" s="646"/>
      <c r="L370" s="847" t="s">
        <v>143</v>
      </c>
      <c r="M370" s="649"/>
      <c r="N370" s="649"/>
      <c r="O370" s="649"/>
      <c r="P370" s="649"/>
      <c r="Q370" s="650"/>
      <c r="R370" s="848">
        <f ca="1">SUMIF($L357:$L369,"SUBI",R357:R369)</f>
        <v>20.04</v>
      </c>
      <c r="S370" s="646"/>
      <c r="T370" s="848">
        <f ca="1">SUMIF($L357:$L369,"SUBI",T357:T369)</f>
        <v>1.66</v>
      </c>
      <c r="U370" s="529"/>
      <c r="V370" s="529"/>
      <c r="W370" s="529"/>
      <c r="X370" s="529"/>
      <c r="Y370" s="529"/>
      <c r="Z370" s="529"/>
      <c r="AA370" s="529"/>
      <c r="AB370" s="529"/>
      <c r="AC370" s="529"/>
      <c r="AD370" s="529"/>
      <c r="AE370" s="529"/>
      <c r="AF370" s="529"/>
      <c r="AG370" s="529"/>
      <c r="AH370" s="529"/>
      <c r="AI370" s="529"/>
      <c r="AJ370" s="529"/>
      <c r="AK370" s="529"/>
      <c r="AL370" s="529"/>
      <c r="AM370" s="529"/>
      <c r="AN370" s="529"/>
      <c r="AO370" s="529"/>
    </row>
    <row r="371" spans="1:41" s="519" customFormat="1" thickTop="1">
      <c r="A371" s="47"/>
      <c r="B371" s="40"/>
      <c r="C371" s="47"/>
      <c r="E371" s="41" t="s">
        <v>138</v>
      </c>
      <c r="F371" s="41" t="s">
        <v>139</v>
      </c>
      <c r="G371" s="47"/>
      <c r="H371" s="47"/>
      <c r="I371" s="47"/>
      <c r="J371" s="47"/>
      <c r="K371" s="47" t="s">
        <v>140</v>
      </c>
      <c r="L371" s="774"/>
      <c r="M371" s="47"/>
      <c r="N371" s="47"/>
      <c r="O371" s="48"/>
      <c r="P371" s="47"/>
      <c r="Q371"/>
      <c r="R371"/>
      <c r="S371"/>
      <c r="T371" s="40"/>
      <c r="AG371" s="627" t="s">
        <v>277</v>
      </c>
      <c r="AH371" s="627" t="s">
        <v>278</v>
      </c>
      <c r="AI371" s="627" t="s">
        <v>279</v>
      </c>
      <c r="AJ371" s="627" t="s">
        <v>280</v>
      </c>
      <c r="AK371" s="627" t="s">
        <v>281</v>
      </c>
      <c r="AM371" s="628" t="s">
        <v>290</v>
      </c>
      <c r="AN371" s="629" t="s">
        <v>291</v>
      </c>
      <c r="AO371" s="520" t="s">
        <v>287</v>
      </c>
    </row>
    <row r="372" spans="1:41" s="519" customFormat="1" ht="13.2">
      <c r="A372" s="630">
        <v>1</v>
      </c>
      <c r="B372" s="521" t="s">
        <v>312</v>
      </c>
      <c r="C372" s="631"/>
      <c r="D372" s="632" t="s">
        <v>348</v>
      </c>
      <c r="E372" s="775">
        <f ca="1">IF(AND($A372=0,$A$1="DIF"),0, ROUND(ROUND(SUMIF($L374:$L380,"SUBI",$E374:$E380)/$A372,2)*$C$12,2))</f>
        <v>65.62</v>
      </c>
      <c r="F372" s="776">
        <f ca="1">ROUND($A372*$E372,2)</f>
        <v>65.62</v>
      </c>
      <c r="G372" s="635" t="s">
        <v>142</v>
      </c>
      <c r="H372" s="636"/>
      <c r="I372" s="637"/>
      <c r="J372" s="636"/>
      <c r="K372" s="777"/>
      <c r="L372" s="778" t="s">
        <v>143</v>
      </c>
      <c r="M372" s="638"/>
      <c r="N372" s="638"/>
      <c r="O372" s="638"/>
      <c r="P372" s="638"/>
      <c r="Q372"/>
      <c r="R372"/>
      <c r="S372"/>
      <c r="T372" s="779" t="str">
        <f ca="1">IF(AND($R386=0,$T386=0),"0.00","mu :" &amp; ROUND($F372/$C$12/($R386+$T386*$D$9),2))</f>
        <v>mu :1</v>
      </c>
      <c r="W372" s="522"/>
      <c r="AG372" s="780">
        <f ca="1">IF(A372=0,0,ROUND(SUM(AG374:AG386)/A372,2))</f>
        <v>20.04</v>
      </c>
      <c r="AH372" s="780">
        <f ca="1">$AG372*$A372</f>
        <v>20.04</v>
      </c>
      <c r="AI372" s="780">
        <f ca="1">$E372-$AG372</f>
        <v>45.580000000000005</v>
      </c>
      <c r="AJ372" s="780">
        <f ca="1">$A372*$AI372</f>
        <v>45.580000000000005</v>
      </c>
      <c r="AK372" s="781">
        <f ca="1">ROUND(($AG372+$AI372)*$A372,2)</f>
        <v>65.62</v>
      </c>
      <c r="AM372" s="525">
        <f ca="1">ROUND(R386,2)</f>
        <v>20.04</v>
      </c>
      <c r="AN372" s="526">
        <f ca="1">ROUND(T386,2)</f>
        <v>1.66</v>
      </c>
      <c r="AO372" s="527">
        <f ca="1">ROUND(AM372+AN372,2)*A372</f>
        <v>21.7</v>
      </c>
    </row>
    <row r="373" spans="1:41" s="519" customFormat="1" ht="19.95" customHeight="1">
      <c r="A373" s="782"/>
      <c r="B373" s="783"/>
      <c r="C373" s="631"/>
      <c r="D373" s="784" t="s">
        <v>627</v>
      </c>
      <c r="F373" s="636"/>
      <c r="G373" s="636"/>
      <c r="H373" s="636"/>
      <c r="I373" s="637"/>
      <c r="J373" s="636"/>
      <c r="K373" s="636" t="s">
        <v>144</v>
      </c>
      <c r="L373" s="785"/>
      <c r="M373" s="636"/>
      <c r="N373" s="636"/>
      <c r="O373" s="636"/>
      <c r="P373" s="636"/>
      <c r="Q373" s="47"/>
      <c r="R373" s="528"/>
      <c r="S373" s="640"/>
      <c r="T373" s="636"/>
    </row>
    <row r="374" spans="1:41" s="519" customFormat="1" ht="12">
      <c r="A374" s="786"/>
      <c r="B374" s="787"/>
      <c r="C374" s="641"/>
      <c r="D374" s="636"/>
      <c r="E374" s="788">
        <f ca="1">F372/$C$12-SUMIF($L371:$L386,"SUBI",$E371:$E386)</f>
        <v>0</v>
      </c>
      <c r="F374" s="789" t="s">
        <v>589</v>
      </c>
      <c r="G374" s="790"/>
      <c r="H374" s="790"/>
      <c r="I374" s="791"/>
      <c r="J374" s="790"/>
      <c r="K374" s="790"/>
      <c r="L374" s="792"/>
      <c r="M374" s="793"/>
      <c r="N374" s="793"/>
      <c r="O374" s="793"/>
      <c r="P374" s="793"/>
      <c r="Q374" s="794"/>
      <c r="R374" s="795"/>
      <c r="S374" s="794"/>
      <c r="T374" s="796"/>
    </row>
    <row r="375" spans="1:41" s="519" customFormat="1" ht="12" customHeight="1">
      <c r="A375" s="797"/>
      <c r="B375" s="798"/>
      <c r="C375" s="799"/>
      <c r="D375" s="799" t="str">
        <f>$F$2</f>
        <v>Electrical</v>
      </c>
      <c r="E375" s="799">
        <f ca="1">ROUND(($R379*$S$2 + ($T379*$T$2)), 2)</f>
        <v>65.62</v>
      </c>
      <c r="F375" s="800">
        <f ca="1">$E375*$C$12</f>
        <v>65.62</v>
      </c>
      <c r="G375" s="528"/>
      <c r="H375" s="801"/>
      <c r="I375" s="528"/>
      <c r="J375" s="48"/>
      <c r="K375" s="802" t="s">
        <v>3</v>
      </c>
      <c r="L375" s="803" t="s">
        <v>590</v>
      </c>
      <c r="M375" s="528"/>
      <c r="N375" s="528"/>
      <c r="O375" s="48"/>
      <c r="P375" s="528"/>
      <c r="Q375" s="528"/>
      <c r="R375"/>
      <c r="S375"/>
      <c r="T375"/>
    </row>
    <row r="376" spans="1:41" s="956" customFormat="1" ht="13.2">
      <c r="A376"/>
      <c r="B376" s="948"/>
      <c r="C376" s="948" t="s">
        <v>742</v>
      </c>
      <c r="D376" s="948" t="str">
        <f ca="1">CELL("Address",Elec_Rates!D$54)</f>
        <v>[ELM25_0085_Quintano_Elec_Mech_HVAC_Est_Rev_B.xlsx]Elec_Rates!$D$54</v>
      </c>
      <c r="E376" s="949"/>
      <c r="F376" s="949"/>
      <c r="G376" s="950" t="s">
        <v>743</v>
      </c>
      <c r="H376" s="950"/>
      <c r="I376" s="950"/>
      <c r="J376" s="950"/>
      <c r="K376" s="951"/>
      <c r="L376" s="949"/>
      <c r="M376" s="949"/>
      <c r="N376" s="949"/>
      <c r="O376" s="952"/>
      <c r="P376" s="949"/>
      <c r="Q376" s="953"/>
      <c r="R376" s="954"/>
      <c r="S376" s="953"/>
      <c r="T376" s="943"/>
      <c r="U376" s="955"/>
    </row>
    <row r="377" spans="1:41" s="956" customFormat="1" ht="11.4">
      <c r="A377" s="957">
        <v>1</v>
      </c>
      <c r="B377" s="958">
        <v>1</v>
      </c>
      <c r="C377" s="958">
        <f>$A377*$B377</f>
        <v>1</v>
      </c>
      <c r="D377" s="959" t="str">
        <f>Elec_Rates!$D$54</f>
        <v>046# 3 x 4mm2 XLPE/SWA/LSZH</v>
      </c>
      <c r="E377" s="959"/>
      <c r="F377" s="959" t="s">
        <v>744</v>
      </c>
      <c r="G377" s="960" t="s">
        <v>760</v>
      </c>
      <c r="H377" s="960"/>
      <c r="I377" s="960"/>
      <c r="J377" s="960"/>
      <c r="K377" s="961"/>
      <c r="L377" s="955"/>
      <c r="M377" s="955"/>
      <c r="N377" s="955"/>
      <c r="O377" s="962"/>
      <c r="P377" s="959"/>
      <c r="Q377" s="963">
        <f ca="1">$B377*Elec_Rates!$R$54</f>
        <v>20.04</v>
      </c>
      <c r="R377" s="954">
        <f ca="1">$A377*Q377</f>
        <v>20.04</v>
      </c>
      <c r="S377" s="963">
        <f ca="1">$B377*Elec_Rates!$T$54</f>
        <v>1.66</v>
      </c>
      <c r="T377" s="943">
        <f ca="1">$A377*S377</f>
        <v>1.66</v>
      </c>
      <c r="U377" s="501"/>
    </row>
    <row r="378" spans="1:41" s="519" customFormat="1" ht="13.95" customHeight="1">
      <c r="A378" s="49"/>
      <c r="B378" s="528"/>
      <c r="C378" s="528"/>
      <c r="D378" s="528"/>
      <c r="E378" s="528"/>
      <c r="F378" s="528"/>
      <c r="G378" s="528"/>
      <c r="H378" s="801"/>
      <c r="I378" s="528"/>
      <c r="J378" s="48"/>
      <c r="K378" s="805"/>
      <c r="L378" s="806"/>
      <c r="M378" s="528"/>
      <c r="N378" s="528"/>
      <c r="O378" s="48"/>
      <c r="P378" s="528"/>
      <c r="Q378" s="528"/>
      <c r="R378" s="807">
        <f>$A378*Q378</f>
        <v>0</v>
      </c>
      <c r="S378" s="528"/>
      <c r="T378" s="643">
        <f>$A378*S378*$T$1</f>
        <v>0</v>
      </c>
    </row>
    <row r="379" spans="1:41" s="519" customFormat="1" ht="12">
      <c r="A379" s="808" t="s">
        <v>145</v>
      </c>
      <c r="B379" s="809">
        <f>(R378+T378)</f>
        <v>0</v>
      </c>
      <c r="C379" s="641"/>
      <c r="G379" s="810"/>
      <c r="H379" s="810"/>
      <c r="I379" s="810"/>
      <c r="J379" s="810"/>
      <c r="K379" s="811" t="s">
        <v>3</v>
      </c>
      <c r="L379" s="812" t="s">
        <v>590</v>
      </c>
      <c r="M379" s="810"/>
      <c r="N379" s="810"/>
      <c r="O379" s="810"/>
      <c r="P379" s="810"/>
      <c r="Q379" s="813"/>
      <c r="R379" s="814">
        <f ca="1">SUM(R375:R378)</f>
        <v>20.04</v>
      </c>
      <c r="S379" s="815"/>
      <c r="T379" s="814">
        <f ca="1">SUM(T375:T378)</f>
        <v>1.66</v>
      </c>
      <c r="AG379" s="816">
        <f ca="1">ROUND($R379*$S$2,2)</f>
        <v>20.04</v>
      </c>
    </row>
    <row r="380" spans="1:41" s="519" customFormat="1" ht="12" customHeight="1">
      <c r="A380" s="817"/>
      <c r="B380" s="818"/>
      <c r="C380" s="819"/>
      <c r="D380" s="819" t="str">
        <f>$F$3</f>
        <v>ECA</v>
      </c>
      <c r="E380" s="819">
        <f>ROUND(($R384*$S$3 + ($T384*$T$3)), 2)</f>
        <v>0</v>
      </c>
      <c r="F380" s="820">
        <f ca="1">$F372-SUMIF($L374:$P377,"SUBI",$F374:$F377)</f>
        <v>0</v>
      </c>
      <c r="G380" s="518"/>
      <c r="H380" s="518"/>
      <c r="I380" s="518"/>
      <c r="J380" s="518"/>
      <c r="K380" s="802" t="s">
        <v>5</v>
      </c>
      <c r="L380" s="803" t="s">
        <v>590</v>
      </c>
      <c r="M380" s="518"/>
      <c r="N380" s="518"/>
      <c r="O380" s="518"/>
      <c r="P380" s="518"/>
      <c r="Q380" s="518"/>
      <c r="R380" s="821"/>
      <c r="S380" s="518"/>
      <c r="T380" s="821"/>
    </row>
    <row r="381" spans="1:41" s="834" customFormat="1" ht="14.4" customHeight="1">
      <c r="A381" s="822"/>
      <c r="B381" s="804" t="s">
        <v>592</v>
      </c>
      <c r="C381" s="823"/>
      <c r="D381" s="824"/>
      <c r="E381" s="824"/>
      <c r="F381" s="824"/>
      <c r="G381" s="825"/>
      <c r="H381" s="826"/>
      <c r="I381" s="826"/>
      <c r="J381" s="827"/>
      <c r="K381" s="828"/>
      <c r="L381" s="823"/>
      <c r="M381" s="829"/>
      <c r="N381" s="830"/>
      <c r="O381" s="831"/>
      <c r="P381" s="832"/>
      <c r="Q381" s="833"/>
      <c r="R381" s="807">
        <f>$A381*Q381</f>
        <v>0</v>
      </c>
      <c r="S381" s="528"/>
      <c r="T381" s="643">
        <f>$A381*S381*$T$1</f>
        <v>0</v>
      </c>
    </row>
    <row r="382" spans="1:41" s="519" customFormat="1" ht="11.4">
      <c r="A382" s="49"/>
      <c r="B382" s="528"/>
      <c r="C382" s="528"/>
      <c r="D382" s="528"/>
      <c r="E382" s="528"/>
      <c r="F382" s="528"/>
      <c r="G382" s="528"/>
      <c r="H382" s="528"/>
      <c r="I382" s="528"/>
      <c r="J382" s="528"/>
      <c r="K382" s="528"/>
      <c r="L382" s="806"/>
      <c r="M382" s="528"/>
      <c r="N382" s="528"/>
      <c r="O382" s="528"/>
      <c r="P382" s="528"/>
      <c r="Q382" s="528"/>
      <c r="R382" s="807">
        <f>$A382*Q382</f>
        <v>0</v>
      </c>
      <c r="S382" s="528"/>
      <c r="T382" s="643">
        <f>$A382*S382*$T$1</f>
        <v>0</v>
      </c>
    </row>
    <row r="383" spans="1:41" s="519" customFormat="1" ht="13.2">
      <c r="A383" s="49"/>
      <c r="B383" s="528"/>
      <c r="C383" s="528"/>
      <c r="D383" s="3"/>
      <c r="E383" s="528"/>
      <c r="F383" s="528"/>
      <c r="G383" s="528"/>
      <c r="H383" s="528"/>
      <c r="I383" s="528"/>
      <c r="J383" s="528"/>
      <c r="K383" s="528"/>
      <c r="L383" s="806"/>
      <c r="M383" s="528"/>
      <c r="N383" s="528"/>
      <c r="O383" s="528"/>
      <c r="P383" s="528"/>
      <c r="Q383" s="528"/>
      <c r="R383" s="807">
        <f>$A383*Q383</f>
        <v>0</v>
      </c>
      <c r="S383" s="528"/>
      <c r="T383" s="643">
        <f>$A383*S383*$T$1</f>
        <v>0</v>
      </c>
    </row>
    <row r="384" spans="1:41" s="519" customFormat="1" ht="12" customHeight="1">
      <c r="A384" s="835" t="s">
        <v>145</v>
      </c>
      <c r="B384" s="836">
        <f>(R383+T383)</f>
        <v>0</v>
      </c>
      <c r="C384" s="837"/>
      <c r="D384" s="837"/>
      <c r="E384" s="837"/>
      <c r="F384" s="837"/>
      <c r="G384" s="813"/>
      <c r="H384" s="813"/>
      <c r="I384" s="813"/>
      <c r="J384" s="813"/>
      <c r="K384" s="838" t="s">
        <v>5</v>
      </c>
      <c r="L384" s="839" t="s">
        <v>590</v>
      </c>
      <c r="M384" s="813"/>
      <c r="N384" s="813"/>
      <c r="O384" s="813"/>
      <c r="P384" s="813"/>
      <c r="Q384" s="813"/>
      <c r="R384" s="814">
        <f>SUM(R380:R383)</f>
        <v>0</v>
      </c>
      <c r="S384" s="815"/>
      <c r="T384" s="814">
        <f>SUM(T380:T383)</f>
        <v>0</v>
      </c>
      <c r="AG384" s="840">
        <f>ROUND($R384*$S$3,2)</f>
        <v>0</v>
      </c>
    </row>
    <row r="385" spans="1:41" s="519" customFormat="1" ht="12.75" customHeight="1">
      <c r="A385" s="841"/>
      <c r="B385" s="842"/>
      <c r="E385" s="641"/>
      <c r="F385" s="843"/>
      <c r="G385" s="641"/>
      <c r="H385" s="641"/>
      <c r="I385" s="518"/>
      <c r="J385" s="641"/>
      <c r="K385" s="641"/>
      <c r="L385" s="844"/>
      <c r="M385" s="652"/>
      <c r="N385" s="652"/>
      <c r="O385" s="652"/>
      <c r="P385" s="652"/>
      <c r="Q385" s="653"/>
      <c r="R385" s="821"/>
      <c r="S385" s="641"/>
      <c r="T385" s="821"/>
    </row>
    <row r="386" spans="1:41" s="519" customFormat="1" ht="13.5" customHeight="1" thickBot="1">
      <c r="A386" s="845"/>
      <c r="B386" s="846"/>
      <c r="C386" s="529"/>
      <c r="D386" s="529"/>
      <c r="E386" s="646"/>
      <c r="F386" s="647"/>
      <c r="G386" s="646" t="s">
        <v>146</v>
      </c>
      <c r="H386" s="646"/>
      <c r="I386" s="648"/>
      <c r="J386" s="646"/>
      <c r="K386" s="646"/>
      <c r="L386" s="847" t="s">
        <v>143</v>
      </c>
      <c r="M386" s="649"/>
      <c r="N386" s="649"/>
      <c r="O386" s="649"/>
      <c r="P386" s="649"/>
      <c r="Q386" s="650"/>
      <c r="R386" s="848">
        <f ca="1">SUMIF($L373:$L385,"SUBI",R373:R385)</f>
        <v>20.04</v>
      </c>
      <c r="S386" s="646"/>
      <c r="T386" s="848">
        <f ca="1">SUMIF($L373:$L385,"SUBI",T373:T385)</f>
        <v>1.66</v>
      </c>
      <c r="U386" s="529"/>
      <c r="V386" s="529"/>
      <c r="W386" s="529"/>
      <c r="X386" s="529"/>
      <c r="Y386" s="529"/>
      <c r="Z386" s="529"/>
      <c r="AA386" s="529"/>
      <c r="AB386" s="529"/>
      <c r="AC386" s="529"/>
      <c r="AD386" s="529"/>
      <c r="AE386" s="529"/>
      <c r="AF386" s="529"/>
      <c r="AG386" s="529"/>
      <c r="AH386" s="529"/>
      <c r="AI386" s="529"/>
      <c r="AJ386" s="529"/>
      <c r="AK386" s="529"/>
      <c r="AL386" s="529"/>
      <c r="AM386" s="529"/>
      <c r="AN386" s="529"/>
      <c r="AO386" s="529"/>
    </row>
    <row r="387" spans="1:41" s="519" customFormat="1" thickTop="1">
      <c r="A387" s="47"/>
      <c r="B387" s="40"/>
      <c r="C387" s="47"/>
      <c r="E387" s="41" t="s">
        <v>138</v>
      </c>
      <c r="F387" s="41" t="s">
        <v>139</v>
      </c>
      <c r="G387" s="47"/>
      <c r="H387" s="47"/>
      <c r="I387" s="47"/>
      <c r="J387" s="47"/>
      <c r="K387" s="47" t="s">
        <v>140</v>
      </c>
      <c r="L387" s="774"/>
      <c r="M387" s="47"/>
      <c r="N387" s="47"/>
      <c r="O387" s="48"/>
      <c r="P387" s="47"/>
      <c r="Q387"/>
      <c r="R387"/>
      <c r="S387"/>
      <c r="T387" s="40"/>
      <c r="AG387" s="627" t="s">
        <v>277</v>
      </c>
      <c r="AH387" s="627" t="s">
        <v>278</v>
      </c>
      <c r="AI387" s="627" t="s">
        <v>279</v>
      </c>
      <c r="AJ387" s="627" t="s">
        <v>280</v>
      </c>
      <c r="AK387" s="627" t="s">
        <v>281</v>
      </c>
      <c r="AM387" s="628" t="s">
        <v>290</v>
      </c>
      <c r="AN387" s="629" t="s">
        <v>291</v>
      </c>
      <c r="AO387" s="520" t="s">
        <v>287</v>
      </c>
    </row>
    <row r="388" spans="1:41" s="519" customFormat="1" ht="13.2">
      <c r="A388" s="630">
        <v>1</v>
      </c>
      <c r="B388" s="521" t="s">
        <v>312</v>
      </c>
      <c r="C388" s="631"/>
      <c r="D388" s="632" t="s">
        <v>349</v>
      </c>
      <c r="E388" s="775">
        <f ca="1">IF(AND($A388=0,$A$1="DIF"),0, ROUND(ROUND(SUMIF($L390:$L396,"SUBI",$E390:$E396)/$A388,2)*$C$12,2))</f>
        <v>65.62</v>
      </c>
      <c r="F388" s="776">
        <f ca="1">ROUND($A388*$E388,2)</f>
        <v>65.62</v>
      </c>
      <c r="G388" s="635" t="s">
        <v>142</v>
      </c>
      <c r="H388" s="636"/>
      <c r="I388" s="637"/>
      <c r="J388" s="636"/>
      <c r="K388" s="777"/>
      <c r="L388" s="778" t="s">
        <v>143</v>
      </c>
      <c r="M388" s="638"/>
      <c r="N388" s="638"/>
      <c r="O388" s="638"/>
      <c r="P388" s="638"/>
      <c r="Q388"/>
      <c r="R388"/>
      <c r="S388"/>
      <c r="T388" s="779" t="str">
        <f ca="1">IF(AND($R402=0,$T402=0),"0.00","mu :" &amp; ROUND($F388/$C$12/($R402+$T402*$D$9),2))</f>
        <v>mu :1</v>
      </c>
      <c r="W388" s="522"/>
      <c r="AG388" s="780">
        <f ca="1">IF(A388=0,0,ROUND(SUM(AG390:AG402)/A388,2))</f>
        <v>20.04</v>
      </c>
      <c r="AH388" s="780">
        <f ca="1">$AG388*$A388</f>
        <v>20.04</v>
      </c>
      <c r="AI388" s="780">
        <f ca="1">$E388-$AG388</f>
        <v>45.580000000000005</v>
      </c>
      <c r="AJ388" s="780">
        <f ca="1">$A388*$AI388</f>
        <v>45.580000000000005</v>
      </c>
      <c r="AK388" s="781">
        <f ca="1">ROUND(($AG388+$AI388)*$A388,2)</f>
        <v>65.62</v>
      </c>
      <c r="AM388" s="525">
        <f ca="1">ROUND(R402,2)</f>
        <v>20.04</v>
      </c>
      <c r="AN388" s="526">
        <f ca="1">ROUND(T402,2)</f>
        <v>1.66</v>
      </c>
      <c r="AO388" s="527">
        <f ca="1">ROUND(AM388+AN388,2)*A388</f>
        <v>21.7</v>
      </c>
    </row>
    <row r="389" spans="1:41" s="519" customFormat="1" ht="19.95" customHeight="1">
      <c r="A389" s="782"/>
      <c r="B389" s="783"/>
      <c r="C389" s="631"/>
      <c r="D389" s="784" t="s">
        <v>628</v>
      </c>
      <c r="F389" s="636"/>
      <c r="G389" s="636"/>
      <c r="H389" s="636"/>
      <c r="I389" s="637"/>
      <c r="J389" s="636"/>
      <c r="K389" s="636" t="s">
        <v>144</v>
      </c>
      <c r="L389" s="785"/>
      <c r="M389" s="636"/>
      <c r="N389" s="636"/>
      <c r="O389" s="636"/>
      <c r="P389" s="636"/>
      <c r="Q389" s="47"/>
      <c r="R389" s="528"/>
      <c r="S389" s="640"/>
      <c r="T389" s="636"/>
    </row>
    <row r="390" spans="1:41" s="519" customFormat="1" ht="12">
      <c r="A390" s="786"/>
      <c r="B390" s="787"/>
      <c r="C390" s="641"/>
      <c r="D390" s="636"/>
      <c r="E390" s="788">
        <f ca="1">F388/$C$12-SUMIF($L387:$L402,"SUBI",$E387:$E402)</f>
        <v>0</v>
      </c>
      <c r="F390" s="789" t="s">
        <v>589</v>
      </c>
      <c r="G390" s="790"/>
      <c r="H390" s="790"/>
      <c r="I390" s="791"/>
      <c r="J390" s="790"/>
      <c r="K390" s="790"/>
      <c r="L390" s="792"/>
      <c r="M390" s="793"/>
      <c r="N390" s="793"/>
      <c r="O390" s="793"/>
      <c r="P390" s="793"/>
      <c r="Q390" s="794"/>
      <c r="R390" s="795"/>
      <c r="S390" s="794"/>
      <c r="T390" s="796"/>
    </row>
    <row r="391" spans="1:41" s="519" customFormat="1" ht="12" customHeight="1">
      <c r="A391" s="797"/>
      <c r="B391" s="798"/>
      <c r="C391" s="799"/>
      <c r="D391" s="799" t="str">
        <f>$F$2</f>
        <v>Electrical</v>
      </c>
      <c r="E391" s="799">
        <f ca="1">ROUND(($R395*$S$2 + ($T395*$T$2)), 2)</f>
        <v>65.62</v>
      </c>
      <c r="F391" s="800">
        <f ca="1">$E391*$C$12</f>
        <v>65.62</v>
      </c>
      <c r="G391" s="528"/>
      <c r="H391" s="801"/>
      <c r="I391" s="528"/>
      <c r="J391" s="48"/>
      <c r="K391" s="802" t="s">
        <v>3</v>
      </c>
      <c r="L391" s="803" t="s">
        <v>590</v>
      </c>
      <c r="M391" s="528"/>
      <c r="N391" s="528"/>
      <c r="O391" s="48"/>
      <c r="P391" s="528"/>
      <c r="Q391" s="528"/>
      <c r="R391"/>
      <c r="S391"/>
      <c r="T391"/>
    </row>
    <row r="392" spans="1:41" s="956" customFormat="1" ht="13.2">
      <c r="A392"/>
      <c r="B392" s="948"/>
      <c r="C392" s="948" t="s">
        <v>742</v>
      </c>
      <c r="D392" s="948" t="str">
        <f ca="1">CELL("Address",Elec_Rates!D$54)</f>
        <v>[ELM25_0085_Quintano_Elec_Mech_HVAC_Est_Rev_B.xlsx]Elec_Rates!$D$54</v>
      </c>
      <c r="E392" s="949"/>
      <c r="F392" s="949"/>
      <c r="G392" s="950" t="s">
        <v>743</v>
      </c>
      <c r="H392" s="950"/>
      <c r="I392" s="950"/>
      <c r="J392" s="950"/>
      <c r="K392" s="951"/>
      <c r="L392" s="949"/>
      <c r="M392" s="949"/>
      <c r="N392" s="949"/>
      <c r="O392" s="952"/>
      <c r="P392" s="949"/>
      <c r="Q392" s="953"/>
      <c r="R392" s="954"/>
      <c r="S392" s="953"/>
      <c r="T392" s="943"/>
      <c r="U392" s="955"/>
    </row>
    <row r="393" spans="1:41" s="956" customFormat="1" ht="11.4">
      <c r="A393" s="957">
        <v>1</v>
      </c>
      <c r="B393" s="958">
        <v>1</v>
      </c>
      <c r="C393" s="958">
        <f>$A393*$B393</f>
        <v>1</v>
      </c>
      <c r="D393" s="959" t="str">
        <f>Elec_Rates!$D$54</f>
        <v>046# 3 x 4mm2 XLPE/SWA/LSZH</v>
      </c>
      <c r="E393" s="959"/>
      <c r="F393" s="959" t="s">
        <v>744</v>
      </c>
      <c r="G393" s="960" t="s">
        <v>760</v>
      </c>
      <c r="H393" s="960"/>
      <c r="I393" s="960"/>
      <c r="J393" s="960"/>
      <c r="K393" s="961"/>
      <c r="L393" s="955"/>
      <c r="M393" s="955"/>
      <c r="N393" s="955"/>
      <c r="O393" s="962"/>
      <c r="P393" s="959"/>
      <c r="Q393" s="963">
        <f ca="1">$B393*Elec_Rates!$R$54</f>
        <v>20.04</v>
      </c>
      <c r="R393" s="954">
        <f ca="1">$A393*Q393</f>
        <v>20.04</v>
      </c>
      <c r="S393" s="963">
        <f ca="1">$B393*Elec_Rates!$T$54</f>
        <v>1.66</v>
      </c>
      <c r="T393" s="943">
        <f ca="1">$A393*S393</f>
        <v>1.66</v>
      </c>
      <c r="U393" s="501"/>
    </row>
    <row r="394" spans="1:41" s="519" customFormat="1" ht="13.95" customHeight="1">
      <c r="A394" s="49"/>
      <c r="B394" s="528"/>
      <c r="C394" s="528"/>
      <c r="D394" s="528"/>
      <c r="E394" s="528"/>
      <c r="F394" s="528"/>
      <c r="G394" s="528"/>
      <c r="H394" s="801"/>
      <c r="I394" s="528"/>
      <c r="J394" s="48"/>
      <c r="K394" s="805"/>
      <c r="L394" s="806"/>
      <c r="M394" s="528"/>
      <c r="N394" s="528"/>
      <c r="O394" s="48"/>
      <c r="P394" s="528"/>
      <c r="Q394" s="528"/>
      <c r="R394" s="807">
        <f>$A394*Q394</f>
        <v>0</v>
      </c>
      <c r="S394" s="528"/>
      <c r="T394" s="643">
        <f>$A394*S394*$T$1</f>
        <v>0</v>
      </c>
    </row>
    <row r="395" spans="1:41" s="519" customFormat="1" ht="12">
      <c r="A395" s="808" t="s">
        <v>145</v>
      </c>
      <c r="B395" s="809">
        <f>(R394+T394)</f>
        <v>0</v>
      </c>
      <c r="C395" s="641"/>
      <c r="G395" s="810"/>
      <c r="H395" s="810"/>
      <c r="I395" s="810"/>
      <c r="J395" s="810"/>
      <c r="K395" s="811" t="s">
        <v>3</v>
      </c>
      <c r="L395" s="812" t="s">
        <v>590</v>
      </c>
      <c r="M395" s="810"/>
      <c r="N395" s="810"/>
      <c r="O395" s="810"/>
      <c r="P395" s="810"/>
      <c r="Q395" s="813"/>
      <c r="R395" s="814">
        <f ca="1">SUM(R391:R394)</f>
        <v>20.04</v>
      </c>
      <c r="S395" s="815"/>
      <c r="T395" s="814">
        <f ca="1">SUM(T391:T394)</f>
        <v>1.66</v>
      </c>
      <c r="AG395" s="816">
        <f ca="1">ROUND($R395*$S$2,2)</f>
        <v>20.04</v>
      </c>
    </row>
    <row r="396" spans="1:41" s="519" customFormat="1" ht="12" customHeight="1">
      <c r="A396" s="817"/>
      <c r="B396" s="818"/>
      <c r="C396" s="819"/>
      <c r="D396" s="819" t="str">
        <f>$F$3</f>
        <v>ECA</v>
      </c>
      <c r="E396" s="819">
        <f>ROUND(($R400*$S$3 + ($T400*$T$3)), 2)</f>
        <v>0</v>
      </c>
      <c r="F396" s="820">
        <f ca="1">$F388-SUMIF($L390:$P393,"SUBI",$F390:$F393)</f>
        <v>0</v>
      </c>
      <c r="G396" s="518"/>
      <c r="H396" s="518"/>
      <c r="I396" s="518"/>
      <c r="J396" s="518"/>
      <c r="K396" s="802" t="s">
        <v>5</v>
      </c>
      <c r="L396" s="803" t="s">
        <v>590</v>
      </c>
      <c r="M396" s="518"/>
      <c r="N396" s="518"/>
      <c r="O396" s="518"/>
      <c r="P396" s="518"/>
      <c r="Q396" s="518"/>
      <c r="R396" s="821"/>
      <c r="S396" s="518"/>
      <c r="T396" s="821"/>
    </row>
    <row r="397" spans="1:41" s="834" customFormat="1" ht="14.4" customHeight="1">
      <c r="A397" s="822"/>
      <c r="B397" s="804" t="s">
        <v>592</v>
      </c>
      <c r="C397" s="823"/>
      <c r="D397" s="824"/>
      <c r="E397" s="824"/>
      <c r="F397" s="824"/>
      <c r="G397" s="825"/>
      <c r="H397" s="826"/>
      <c r="I397" s="826"/>
      <c r="J397" s="827"/>
      <c r="K397" s="828"/>
      <c r="L397" s="823"/>
      <c r="M397" s="829"/>
      <c r="N397" s="830"/>
      <c r="O397" s="831"/>
      <c r="P397" s="832"/>
      <c r="Q397" s="833"/>
      <c r="R397" s="807">
        <f>$A397*Q397</f>
        <v>0</v>
      </c>
      <c r="S397" s="528"/>
      <c r="T397" s="643">
        <f>$A397*S397*$T$1</f>
        <v>0</v>
      </c>
    </row>
    <row r="398" spans="1:41" s="519" customFormat="1" ht="11.4">
      <c r="A398" s="49"/>
      <c r="B398" s="528"/>
      <c r="C398" s="528"/>
      <c r="D398" s="528"/>
      <c r="E398" s="528"/>
      <c r="F398" s="528"/>
      <c r="G398" s="528"/>
      <c r="H398" s="528"/>
      <c r="I398" s="528"/>
      <c r="J398" s="528"/>
      <c r="K398" s="528"/>
      <c r="L398" s="806"/>
      <c r="M398" s="528"/>
      <c r="N398" s="528"/>
      <c r="O398" s="528"/>
      <c r="P398" s="528"/>
      <c r="Q398" s="528"/>
      <c r="R398" s="807">
        <f>$A398*Q398</f>
        <v>0</v>
      </c>
      <c r="S398" s="528"/>
      <c r="T398" s="643">
        <f>$A398*S398*$T$1</f>
        <v>0</v>
      </c>
    </row>
    <row r="399" spans="1:41" s="519" customFormat="1" ht="13.2">
      <c r="A399" s="49"/>
      <c r="B399" s="528"/>
      <c r="C399" s="528"/>
      <c r="D399" s="3"/>
      <c r="E399" s="528"/>
      <c r="F399" s="528"/>
      <c r="G399" s="528"/>
      <c r="H399" s="528"/>
      <c r="I399" s="528"/>
      <c r="J399" s="528"/>
      <c r="K399" s="528"/>
      <c r="L399" s="806"/>
      <c r="M399" s="528"/>
      <c r="N399" s="528"/>
      <c r="O399" s="528"/>
      <c r="P399" s="528"/>
      <c r="Q399" s="528"/>
      <c r="R399" s="807">
        <f>$A399*Q399</f>
        <v>0</v>
      </c>
      <c r="S399" s="528"/>
      <c r="T399" s="643">
        <f>$A399*S399*$T$1</f>
        <v>0</v>
      </c>
    </row>
    <row r="400" spans="1:41" s="519" customFormat="1" ht="12" customHeight="1">
      <c r="A400" s="835" t="s">
        <v>145</v>
      </c>
      <c r="B400" s="836">
        <f>(R399+T399)</f>
        <v>0</v>
      </c>
      <c r="C400" s="837"/>
      <c r="D400" s="837"/>
      <c r="E400" s="837"/>
      <c r="F400" s="837"/>
      <c r="G400" s="813"/>
      <c r="H400" s="813"/>
      <c r="I400" s="813"/>
      <c r="J400" s="813"/>
      <c r="K400" s="838" t="s">
        <v>5</v>
      </c>
      <c r="L400" s="839" t="s">
        <v>590</v>
      </c>
      <c r="M400" s="813"/>
      <c r="N400" s="813"/>
      <c r="O400" s="813"/>
      <c r="P400" s="813"/>
      <c r="Q400" s="813"/>
      <c r="R400" s="814">
        <f>SUM(R396:R399)</f>
        <v>0</v>
      </c>
      <c r="S400" s="815"/>
      <c r="T400" s="814">
        <f>SUM(T396:T399)</f>
        <v>0</v>
      </c>
      <c r="AG400" s="840">
        <f>ROUND($R400*$S$3,2)</f>
        <v>0</v>
      </c>
    </row>
    <row r="401" spans="1:41" s="519" customFormat="1" ht="12.75" customHeight="1">
      <c r="A401" s="841"/>
      <c r="B401" s="842"/>
      <c r="E401" s="641"/>
      <c r="F401" s="843"/>
      <c r="G401" s="641"/>
      <c r="H401" s="641"/>
      <c r="I401" s="518"/>
      <c r="J401" s="641"/>
      <c r="K401" s="641"/>
      <c r="L401" s="844"/>
      <c r="M401" s="652"/>
      <c r="N401" s="652"/>
      <c r="O401" s="652"/>
      <c r="P401" s="652"/>
      <c r="Q401" s="653"/>
      <c r="R401" s="821"/>
      <c r="S401" s="641"/>
      <c r="T401" s="821"/>
    </row>
    <row r="402" spans="1:41" s="519" customFormat="1" ht="13.5" customHeight="1" thickBot="1">
      <c r="A402" s="845"/>
      <c r="B402" s="846"/>
      <c r="C402" s="529"/>
      <c r="D402" s="529"/>
      <c r="E402" s="646"/>
      <c r="F402" s="647"/>
      <c r="G402" s="646" t="s">
        <v>146</v>
      </c>
      <c r="H402" s="646"/>
      <c r="I402" s="648"/>
      <c r="J402" s="646"/>
      <c r="K402" s="646"/>
      <c r="L402" s="847" t="s">
        <v>143</v>
      </c>
      <c r="M402" s="649"/>
      <c r="N402" s="649"/>
      <c r="O402" s="649"/>
      <c r="P402" s="649"/>
      <c r="Q402" s="650"/>
      <c r="R402" s="848">
        <f ca="1">SUMIF($L389:$L401,"SUBI",R389:R401)</f>
        <v>20.04</v>
      </c>
      <c r="S402" s="646"/>
      <c r="T402" s="848">
        <f ca="1">SUMIF($L389:$L401,"SUBI",T389:T401)</f>
        <v>1.66</v>
      </c>
      <c r="U402" s="529"/>
      <c r="V402" s="529"/>
      <c r="W402" s="529"/>
      <c r="X402" s="529"/>
      <c r="Y402" s="529"/>
      <c r="Z402" s="529"/>
      <c r="AA402" s="529"/>
      <c r="AB402" s="529"/>
      <c r="AC402" s="529"/>
      <c r="AD402" s="529"/>
      <c r="AE402" s="529"/>
      <c r="AF402" s="529"/>
      <c r="AG402" s="529"/>
      <c r="AH402" s="529"/>
      <c r="AI402" s="529"/>
      <c r="AJ402" s="529"/>
      <c r="AK402" s="529"/>
      <c r="AL402" s="529"/>
      <c r="AM402" s="529"/>
      <c r="AN402" s="529"/>
      <c r="AO402" s="529"/>
    </row>
    <row r="403" spans="1:41" s="519" customFormat="1" thickTop="1">
      <c r="A403" s="47"/>
      <c r="B403" s="40"/>
      <c r="C403" s="47"/>
      <c r="E403" s="41" t="s">
        <v>138</v>
      </c>
      <c r="F403" s="41" t="s">
        <v>139</v>
      </c>
      <c r="G403" s="47"/>
      <c r="H403" s="47"/>
      <c r="I403" s="47"/>
      <c r="J403" s="47"/>
      <c r="K403" s="47" t="s">
        <v>140</v>
      </c>
      <c r="L403" s="774"/>
      <c r="M403" s="47"/>
      <c r="N403" s="47"/>
      <c r="O403" s="48"/>
      <c r="P403" s="47"/>
      <c r="Q403"/>
      <c r="R403"/>
      <c r="S403"/>
      <c r="T403" s="40"/>
      <c r="AG403" s="627" t="s">
        <v>277</v>
      </c>
      <c r="AH403" s="627" t="s">
        <v>278</v>
      </c>
      <c r="AI403" s="627" t="s">
        <v>279</v>
      </c>
      <c r="AJ403" s="627" t="s">
        <v>280</v>
      </c>
      <c r="AK403" s="627" t="s">
        <v>281</v>
      </c>
      <c r="AM403" s="628" t="s">
        <v>290</v>
      </c>
      <c r="AN403" s="629" t="s">
        <v>291</v>
      </c>
      <c r="AO403" s="520" t="s">
        <v>287</v>
      </c>
    </row>
    <row r="404" spans="1:41" s="519" customFormat="1" ht="13.2">
      <c r="A404" s="630">
        <v>1</v>
      </c>
      <c r="B404" s="521" t="s">
        <v>312</v>
      </c>
      <c r="C404" s="631"/>
      <c r="D404" s="632" t="s">
        <v>629</v>
      </c>
      <c r="E404" s="775">
        <f ca="1">IF(AND($A404=0,$A$1="DIF"),0, ROUND(ROUND(SUMIF($L406:$L412,"SUBI",$E406:$E412)/$A404,2)*$C$12,2))</f>
        <v>65.62</v>
      </c>
      <c r="F404" s="776">
        <f ca="1">ROUND($A404*$E404,2)</f>
        <v>65.62</v>
      </c>
      <c r="G404" s="635" t="s">
        <v>142</v>
      </c>
      <c r="H404" s="636"/>
      <c r="I404" s="637"/>
      <c r="J404" s="636"/>
      <c r="K404" s="777"/>
      <c r="L404" s="778" t="s">
        <v>143</v>
      </c>
      <c r="M404" s="638"/>
      <c r="N404" s="638"/>
      <c r="O404" s="638"/>
      <c r="P404" s="638"/>
      <c r="Q404"/>
      <c r="R404"/>
      <c r="S404"/>
      <c r="T404" s="779" t="str">
        <f ca="1">IF(AND($R418=0,$T418=0),"0.00","mu :" &amp; ROUND($F404/$C$12/($R418+$T418*$D$9),2))</f>
        <v>mu :1</v>
      </c>
      <c r="W404" s="522"/>
      <c r="AG404" s="780">
        <f ca="1">IF(A404=0,0,ROUND(SUM(AG406:AG418)/A404,2))</f>
        <v>20.04</v>
      </c>
      <c r="AH404" s="780">
        <f ca="1">$AG404*$A404</f>
        <v>20.04</v>
      </c>
      <c r="AI404" s="780">
        <f ca="1">$E404-$AG404</f>
        <v>45.580000000000005</v>
      </c>
      <c r="AJ404" s="780">
        <f ca="1">$A404*$AI404</f>
        <v>45.580000000000005</v>
      </c>
      <c r="AK404" s="781">
        <f ca="1">ROUND(($AG404+$AI404)*$A404,2)</f>
        <v>65.62</v>
      </c>
      <c r="AM404" s="525">
        <f ca="1">ROUND(R418,2)</f>
        <v>20.04</v>
      </c>
      <c r="AN404" s="526">
        <f ca="1">ROUND(T418,2)</f>
        <v>1.66</v>
      </c>
      <c r="AO404" s="527">
        <f ca="1">ROUND(AM404+AN404,2)*A404</f>
        <v>21.7</v>
      </c>
    </row>
    <row r="405" spans="1:41" s="519" customFormat="1" ht="19.95" customHeight="1">
      <c r="A405" s="782"/>
      <c r="B405" s="783"/>
      <c r="C405" s="631"/>
      <c r="D405" s="784" t="s">
        <v>630</v>
      </c>
      <c r="F405" s="636"/>
      <c r="G405" s="636"/>
      <c r="H405" s="636"/>
      <c r="I405" s="637"/>
      <c r="J405" s="636"/>
      <c r="K405" s="636" t="s">
        <v>144</v>
      </c>
      <c r="L405" s="785"/>
      <c r="M405" s="636"/>
      <c r="N405" s="636"/>
      <c r="O405" s="636"/>
      <c r="P405" s="636"/>
      <c r="Q405" s="47"/>
      <c r="R405" s="528"/>
      <c r="S405" s="640"/>
      <c r="T405" s="636"/>
    </row>
    <row r="406" spans="1:41" s="519" customFormat="1" ht="12">
      <c r="A406" s="786"/>
      <c r="B406" s="787"/>
      <c r="C406" s="641"/>
      <c r="D406" s="636"/>
      <c r="E406" s="788">
        <f ca="1">F404/$C$12-SUMIF($L403:$L418,"SUBI",$E403:$E418)</f>
        <v>0</v>
      </c>
      <c r="F406" s="789" t="s">
        <v>589</v>
      </c>
      <c r="G406" s="790"/>
      <c r="H406" s="790"/>
      <c r="I406" s="791"/>
      <c r="J406" s="790"/>
      <c r="K406" s="790"/>
      <c r="L406" s="792"/>
      <c r="M406" s="793"/>
      <c r="N406" s="793"/>
      <c r="O406" s="793"/>
      <c r="P406" s="793"/>
      <c r="Q406" s="794"/>
      <c r="R406" s="795"/>
      <c r="S406" s="794"/>
      <c r="T406" s="796"/>
    </row>
    <row r="407" spans="1:41" s="519" customFormat="1" ht="12" customHeight="1">
      <c r="A407" s="797"/>
      <c r="B407" s="798"/>
      <c r="C407" s="799"/>
      <c r="D407" s="799" t="str">
        <f>$F$2</f>
        <v>Electrical</v>
      </c>
      <c r="E407" s="799">
        <f ca="1">ROUND(($R411*$S$2 + ($T411*$T$2)), 2)</f>
        <v>65.62</v>
      </c>
      <c r="F407" s="800">
        <f ca="1">$E407*$C$12</f>
        <v>65.62</v>
      </c>
      <c r="G407" s="528"/>
      <c r="H407" s="801"/>
      <c r="I407" s="528"/>
      <c r="J407" s="48"/>
      <c r="K407" s="802" t="s">
        <v>3</v>
      </c>
      <c r="L407" s="803" t="s">
        <v>590</v>
      </c>
      <c r="M407" s="528"/>
      <c r="N407" s="528"/>
      <c r="O407" s="48"/>
      <c r="P407" s="528"/>
      <c r="Q407" s="528"/>
      <c r="R407"/>
      <c r="S407"/>
      <c r="T407"/>
    </row>
    <row r="408" spans="1:41" s="956" customFormat="1" ht="13.2">
      <c r="A408"/>
      <c r="B408" s="948"/>
      <c r="C408" s="948" t="s">
        <v>742</v>
      </c>
      <c r="D408" s="948" t="str">
        <f ca="1">CELL("Address",Elec_Rates!D$54)</f>
        <v>[ELM25_0085_Quintano_Elec_Mech_HVAC_Est_Rev_B.xlsx]Elec_Rates!$D$54</v>
      </c>
      <c r="E408" s="949"/>
      <c r="F408" s="949"/>
      <c r="G408" s="950" t="s">
        <v>743</v>
      </c>
      <c r="H408" s="950"/>
      <c r="I408" s="950"/>
      <c r="J408" s="950"/>
      <c r="K408" s="951"/>
      <c r="L408" s="949"/>
      <c r="M408" s="949"/>
      <c r="N408" s="949"/>
      <c r="O408" s="952"/>
      <c r="P408" s="949"/>
      <c r="Q408" s="953"/>
      <c r="R408" s="954"/>
      <c r="S408" s="953"/>
      <c r="T408" s="943"/>
      <c r="U408" s="955"/>
    </row>
    <row r="409" spans="1:41" s="956" customFormat="1" ht="11.4">
      <c r="A409" s="957">
        <v>1</v>
      </c>
      <c r="B409" s="958">
        <v>1</v>
      </c>
      <c r="C409" s="958">
        <f>$A409*$B409</f>
        <v>1</v>
      </c>
      <c r="D409" s="959" t="str">
        <f>Elec_Rates!$D$54</f>
        <v>046# 3 x 4mm2 XLPE/SWA/LSZH</v>
      </c>
      <c r="E409" s="959"/>
      <c r="F409" s="959" t="s">
        <v>744</v>
      </c>
      <c r="G409" s="960" t="s">
        <v>760</v>
      </c>
      <c r="H409" s="960"/>
      <c r="I409" s="960"/>
      <c r="J409" s="960"/>
      <c r="K409" s="961"/>
      <c r="L409" s="955"/>
      <c r="M409" s="955"/>
      <c r="N409" s="955"/>
      <c r="O409" s="962"/>
      <c r="P409" s="959"/>
      <c r="Q409" s="963">
        <f ca="1">$B409*Elec_Rates!$R$54</f>
        <v>20.04</v>
      </c>
      <c r="R409" s="954">
        <f ca="1">$A409*Q409</f>
        <v>20.04</v>
      </c>
      <c r="S409" s="963">
        <f ca="1">$B409*Elec_Rates!$T$54</f>
        <v>1.66</v>
      </c>
      <c r="T409" s="943">
        <f ca="1">$A409*S409</f>
        <v>1.66</v>
      </c>
      <c r="U409" s="501"/>
    </row>
    <row r="410" spans="1:41" s="519" customFormat="1" ht="13.95" customHeight="1">
      <c r="A410" s="49"/>
      <c r="B410" s="528"/>
      <c r="C410" s="528"/>
      <c r="D410" s="528"/>
      <c r="E410" s="528"/>
      <c r="F410" s="528"/>
      <c r="G410" s="528"/>
      <c r="H410" s="801"/>
      <c r="I410" s="528"/>
      <c r="J410" s="48"/>
      <c r="K410" s="805"/>
      <c r="L410" s="806"/>
      <c r="M410" s="528"/>
      <c r="N410" s="528"/>
      <c r="O410" s="48"/>
      <c r="P410" s="528"/>
      <c r="Q410" s="528"/>
      <c r="R410" s="807">
        <f>$A410*Q410</f>
        <v>0</v>
      </c>
      <c r="S410" s="528"/>
      <c r="T410" s="643">
        <f>$A410*S410*$T$1</f>
        <v>0</v>
      </c>
    </row>
    <row r="411" spans="1:41" s="519" customFormat="1" ht="12">
      <c r="A411" s="808" t="s">
        <v>145</v>
      </c>
      <c r="B411" s="809">
        <f>(R410+T410)</f>
        <v>0</v>
      </c>
      <c r="C411" s="641"/>
      <c r="G411" s="810"/>
      <c r="H411" s="810"/>
      <c r="I411" s="810"/>
      <c r="J411" s="810"/>
      <c r="K411" s="811" t="s">
        <v>3</v>
      </c>
      <c r="L411" s="812" t="s">
        <v>590</v>
      </c>
      <c r="M411" s="810"/>
      <c r="N411" s="810"/>
      <c r="O411" s="810"/>
      <c r="P411" s="810"/>
      <c r="Q411" s="813"/>
      <c r="R411" s="814">
        <f ca="1">SUM(R407:R410)</f>
        <v>20.04</v>
      </c>
      <c r="S411" s="815"/>
      <c r="T411" s="814">
        <f ca="1">SUM(T407:T410)</f>
        <v>1.66</v>
      </c>
      <c r="AG411" s="816">
        <f ca="1">ROUND($R411*$S$2,2)</f>
        <v>20.04</v>
      </c>
    </row>
    <row r="412" spans="1:41" s="519" customFormat="1" ht="12" customHeight="1">
      <c r="A412" s="817"/>
      <c r="B412" s="818"/>
      <c r="C412" s="819"/>
      <c r="D412" s="819" t="str">
        <f>$F$3</f>
        <v>ECA</v>
      </c>
      <c r="E412" s="819">
        <f>ROUND(($R416*$S$3 + ($T416*$T$3)), 2)</f>
        <v>0</v>
      </c>
      <c r="F412" s="820">
        <f ca="1">$F404-SUMIF($L406:$P409,"SUBI",$F406:$F409)</f>
        <v>0</v>
      </c>
      <c r="G412" s="518"/>
      <c r="H412" s="518"/>
      <c r="I412" s="518"/>
      <c r="J412" s="518"/>
      <c r="K412" s="802" t="s">
        <v>5</v>
      </c>
      <c r="L412" s="803" t="s">
        <v>590</v>
      </c>
      <c r="M412" s="518"/>
      <c r="N412" s="518"/>
      <c r="O412" s="518"/>
      <c r="P412" s="518"/>
      <c r="Q412" s="518"/>
      <c r="R412" s="821"/>
      <c r="S412" s="518"/>
      <c r="T412" s="821"/>
    </row>
    <row r="413" spans="1:41" s="834" customFormat="1" ht="14.4" customHeight="1">
      <c r="A413" s="822"/>
      <c r="B413" s="804" t="s">
        <v>592</v>
      </c>
      <c r="C413" s="823"/>
      <c r="D413" s="824"/>
      <c r="E413" s="824"/>
      <c r="F413" s="824"/>
      <c r="G413" s="825"/>
      <c r="H413" s="826"/>
      <c r="I413" s="826"/>
      <c r="J413" s="827"/>
      <c r="K413" s="828"/>
      <c r="L413" s="823"/>
      <c r="M413" s="829"/>
      <c r="N413" s="830"/>
      <c r="O413" s="831"/>
      <c r="P413" s="832"/>
      <c r="Q413" s="833"/>
      <c r="R413" s="807">
        <f>$A413*Q413</f>
        <v>0</v>
      </c>
      <c r="S413" s="528"/>
      <c r="T413" s="643">
        <f>$A413*S413*$T$1</f>
        <v>0</v>
      </c>
    </row>
    <row r="414" spans="1:41" s="519" customFormat="1" ht="11.4">
      <c r="A414" s="49"/>
      <c r="B414" s="528"/>
      <c r="C414" s="528"/>
      <c r="D414" s="528"/>
      <c r="E414" s="528"/>
      <c r="F414" s="528"/>
      <c r="G414" s="528"/>
      <c r="H414" s="528"/>
      <c r="I414" s="528"/>
      <c r="J414" s="528"/>
      <c r="K414" s="528"/>
      <c r="L414" s="806"/>
      <c r="M414" s="528"/>
      <c r="N414" s="528"/>
      <c r="O414" s="528"/>
      <c r="P414" s="528"/>
      <c r="Q414" s="528"/>
      <c r="R414" s="807">
        <f>$A414*Q414</f>
        <v>0</v>
      </c>
      <c r="S414" s="528"/>
      <c r="T414" s="643">
        <f>$A414*S414*$T$1</f>
        <v>0</v>
      </c>
    </row>
    <row r="415" spans="1:41" s="519" customFormat="1" ht="13.2">
      <c r="A415" s="49"/>
      <c r="B415" s="528"/>
      <c r="C415" s="528"/>
      <c r="D415" s="3"/>
      <c r="E415" s="528"/>
      <c r="F415" s="528"/>
      <c r="G415" s="528"/>
      <c r="H415" s="528"/>
      <c r="I415" s="528"/>
      <c r="J415" s="528"/>
      <c r="K415" s="528"/>
      <c r="L415" s="806"/>
      <c r="M415" s="528"/>
      <c r="N415" s="528"/>
      <c r="O415" s="528"/>
      <c r="P415" s="528"/>
      <c r="Q415" s="528"/>
      <c r="R415" s="807">
        <f>$A415*Q415</f>
        <v>0</v>
      </c>
      <c r="S415" s="528"/>
      <c r="T415" s="643">
        <f>$A415*S415*$T$1</f>
        <v>0</v>
      </c>
    </row>
    <row r="416" spans="1:41" s="519" customFormat="1" ht="12" customHeight="1">
      <c r="A416" s="835" t="s">
        <v>145</v>
      </c>
      <c r="B416" s="836">
        <f>(R415+T415)</f>
        <v>0</v>
      </c>
      <c r="C416" s="837"/>
      <c r="D416" s="837"/>
      <c r="E416" s="837"/>
      <c r="F416" s="837"/>
      <c r="G416" s="813"/>
      <c r="H416" s="813"/>
      <c r="I416" s="813"/>
      <c r="J416" s="813"/>
      <c r="K416" s="838" t="s">
        <v>5</v>
      </c>
      <c r="L416" s="839" t="s">
        <v>590</v>
      </c>
      <c r="M416" s="813"/>
      <c r="N416" s="813"/>
      <c r="O416" s="813"/>
      <c r="P416" s="813"/>
      <c r="Q416" s="813"/>
      <c r="R416" s="814">
        <f>SUM(R412:R415)</f>
        <v>0</v>
      </c>
      <c r="S416" s="815"/>
      <c r="T416" s="814">
        <f>SUM(T412:T415)</f>
        <v>0</v>
      </c>
      <c r="AG416" s="840">
        <f>ROUND($R416*$S$3,2)</f>
        <v>0</v>
      </c>
    </row>
    <row r="417" spans="1:41" s="519" customFormat="1" ht="12.75" customHeight="1">
      <c r="A417" s="841"/>
      <c r="B417" s="842"/>
      <c r="E417" s="641"/>
      <c r="F417" s="843"/>
      <c r="G417" s="641"/>
      <c r="H417" s="641"/>
      <c r="I417" s="518"/>
      <c r="J417" s="641"/>
      <c r="K417" s="641"/>
      <c r="L417" s="844"/>
      <c r="M417" s="652"/>
      <c r="N417" s="652"/>
      <c r="O417" s="652"/>
      <c r="P417" s="652"/>
      <c r="Q417" s="653"/>
      <c r="R417" s="821"/>
      <c r="S417" s="641"/>
      <c r="T417" s="821"/>
    </row>
    <row r="418" spans="1:41" s="519" customFormat="1" ht="13.5" customHeight="1" thickBot="1">
      <c r="A418" s="845"/>
      <c r="B418" s="846"/>
      <c r="C418" s="529"/>
      <c r="D418" s="529"/>
      <c r="E418" s="646"/>
      <c r="F418" s="647"/>
      <c r="G418" s="646" t="s">
        <v>146</v>
      </c>
      <c r="H418" s="646"/>
      <c r="I418" s="648"/>
      <c r="J418" s="646"/>
      <c r="K418" s="646"/>
      <c r="L418" s="847" t="s">
        <v>143</v>
      </c>
      <c r="M418" s="649"/>
      <c r="N418" s="649"/>
      <c r="O418" s="649"/>
      <c r="P418" s="649"/>
      <c r="Q418" s="650"/>
      <c r="R418" s="848">
        <f ca="1">SUMIF($L405:$L417,"SUBI",R405:R417)</f>
        <v>20.04</v>
      </c>
      <c r="S418" s="646"/>
      <c r="T418" s="848">
        <f ca="1">SUMIF($L405:$L417,"SUBI",T405:T417)</f>
        <v>1.66</v>
      </c>
      <c r="U418" s="529"/>
      <c r="V418" s="529"/>
      <c r="W418" s="529"/>
      <c r="X418" s="529"/>
      <c r="Y418" s="529"/>
      <c r="Z418" s="529"/>
      <c r="AA418" s="529"/>
      <c r="AB418" s="529"/>
      <c r="AC418" s="529"/>
      <c r="AD418" s="529"/>
      <c r="AE418" s="529"/>
      <c r="AF418" s="529"/>
      <c r="AG418" s="529"/>
      <c r="AH418" s="529"/>
      <c r="AI418" s="529"/>
      <c r="AJ418" s="529"/>
      <c r="AK418" s="529"/>
      <c r="AL418" s="529"/>
      <c r="AM418" s="529"/>
      <c r="AN418" s="529"/>
      <c r="AO418" s="529"/>
    </row>
    <row r="419" spans="1:41" s="519" customFormat="1" thickTop="1">
      <c r="A419" s="47"/>
      <c r="B419" s="40"/>
      <c r="C419" s="47"/>
      <c r="E419" s="41" t="s">
        <v>138</v>
      </c>
      <c r="F419" s="41" t="s">
        <v>139</v>
      </c>
      <c r="G419" s="47"/>
      <c r="H419" s="47"/>
      <c r="I419" s="47"/>
      <c r="J419" s="47"/>
      <c r="K419" s="47" t="s">
        <v>140</v>
      </c>
      <c r="L419" s="774"/>
      <c r="M419" s="47"/>
      <c r="N419" s="47"/>
      <c r="O419" s="48"/>
      <c r="P419" s="47"/>
      <c r="Q419"/>
      <c r="R419"/>
      <c r="S419"/>
      <c r="T419" s="40"/>
      <c r="AG419" s="627" t="s">
        <v>277</v>
      </c>
      <c r="AH419" s="627" t="s">
        <v>278</v>
      </c>
      <c r="AI419" s="627" t="s">
        <v>279</v>
      </c>
      <c r="AJ419" s="627" t="s">
        <v>280</v>
      </c>
      <c r="AK419" s="627" t="s">
        <v>281</v>
      </c>
      <c r="AM419" s="628" t="s">
        <v>290</v>
      </c>
      <c r="AN419" s="629" t="s">
        <v>291</v>
      </c>
      <c r="AO419" s="520" t="s">
        <v>287</v>
      </c>
    </row>
    <row r="420" spans="1:41" s="519" customFormat="1" ht="13.2">
      <c r="A420" s="630">
        <v>1</v>
      </c>
      <c r="B420" s="521" t="s">
        <v>312</v>
      </c>
      <c r="C420" s="631"/>
      <c r="D420" s="632" t="s">
        <v>631</v>
      </c>
      <c r="E420" s="775">
        <f ca="1">IF(AND($A420=0,$A$1="DIF"),0, ROUND(ROUND(SUMIF($L422:$L428,"SUBI",$E422:$E428)/$A420,2)*$C$12,2))</f>
        <v>65.62</v>
      </c>
      <c r="F420" s="776">
        <f ca="1">ROUND($A420*$E420,2)</f>
        <v>65.62</v>
      </c>
      <c r="G420" s="635" t="s">
        <v>142</v>
      </c>
      <c r="H420" s="636"/>
      <c r="I420" s="637"/>
      <c r="J420" s="636"/>
      <c r="K420" s="777"/>
      <c r="L420" s="778" t="s">
        <v>143</v>
      </c>
      <c r="M420" s="638"/>
      <c r="N420" s="638"/>
      <c r="O420" s="638"/>
      <c r="P420" s="638"/>
      <c r="Q420"/>
      <c r="R420"/>
      <c r="S420"/>
      <c r="T420" s="779" t="str">
        <f ca="1">IF(AND($R434=0,$T434=0),"0.00","mu :" &amp; ROUND($F420/$C$12/($R434+$T434*$D$9),2))</f>
        <v>mu :1</v>
      </c>
      <c r="W420" s="522"/>
      <c r="AG420" s="780">
        <f ca="1">IF(A420=0,0,ROUND(SUM(AG422:AG434)/A420,2))</f>
        <v>20.04</v>
      </c>
      <c r="AH420" s="780">
        <f ca="1">$AG420*$A420</f>
        <v>20.04</v>
      </c>
      <c r="AI420" s="780">
        <f ca="1">$E420-$AG420</f>
        <v>45.580000000000005</v>
      </c>
      <c r="AJ420" s="780">
        <f ca="1">$A420*$AI420</f>
        <v>45.580000000000005</v>
      </c>
      <c r="AK420" s="781">
        <f ca="1">ROUND(($AG420+$AI420)*$A420,2)</f>
        <v>65.62</v>
      </c>
      <c r="AM420" s="525">
        <f ca="1">ROUND(R434,2)</f>
        <v>20.04</v>
      </c>
      <c r="AN420" s="526">
        <f ca="1">ROUND(T434,2)</f>
        <v>1.66</v>
      </c>
      <c r="AO420" s="527">
        <f ca="1">ROUND(AM420+AN420,2)*A420</f>
        <v>21.7</v>
      </c>
    </row>
    <row r="421" spans="1:41" s="519" customFormat="1" ht="19.95" customHeight="1">
      <c r="A421" s="782"/>
      <c r="B421" s="783"/>
      <c r="C421" s="631"/>
      <c r="D421" s="784" t="s">
        <v>632</v>
      </c>
      <c r="F421" s="636"/>
      <c r="G421" s="636"/>
      <c r="H421" s="636"/>
      <c r="I421" s="637"/>
      <c r="J421" s="636"/>
      <c r="K421" s="636" t="s">
        <v>144</v>
      </c>
      <c r="L421" s="785"/>
      <c r="M421" s="636"/>
      <c r="N421" s="636"/>
      <c r="O421" s="636"/>
      <c r="P421" s="636"/>
      <c r="Q421" s="47"/>
      <c r="R421" s="528"/>
      <c r="S421" s="640"/>
      <c r="T421" s="636"/>
    </row>
    <row r="422" spans="1:41" s="519" customFormat="1" ht="12">
      <c r="A422" s="786"/>
      <c r="B422" s="787"/>
      <c r="C422" s="641"/>
      <c r="D422" s="636"/>
      <c r="E422" s="788">
        <f ca="1">F420/$C$12-SUMIF($L419:$L434,"SUBI",$E419:$E434)</f>
        <v>0</v>
      </c>
      <c r="F422" s="789" t="s">
        <v>589</v>
      </c>
      <c r="G422" s="790"/>
      <c r="H422" s="790"/>
      <c r="I422" s="791"/>
      <c r="J422" s="790"/>
      <c r="K422" s="790"/>
      <c r="L422" s="792"/>
      <c r="M422" s="793"/>
      <c r="N422" s="793"/>
      <c r="O422" s="793"/>
      <c r="P422" s="793"/>
      <c r="Q422" s="794"/>
      <c r="R422" s="795"/>
      <c r="S422" s="794"/>
      <c r="T422" s="796"/>
    </row>
    <row r="423" spans="1:41" s="519" customFormat="1" ht="12" customHeight="1">
      <c r="A423" s="797"/>
      <c r="B423" s="798"/>
      <c r="C423" s="799"/>
      <c r="D423" s="799" t="str">
        <f>$F$2</f>
        <v>Electrical</v>
      </c>
      <c r="E423" s="799">
        <f ca="1">ROUND(($R427*$S$2 + ($T427*$T$2)), 2)</f>
        <v>65.62</v>
      </c>
      <c r="F423" s="800">
        <f ca="1">$E423*$C$12</f>
        <v>65.62</v>
      </c>
      <c r="G423" s="528"/>
      <c r="H423" s="801"/>
      <c r="I423" s="528"/>
      <c r="J423" s="48"/>
      <c r="K423" s="802" t="s">
        <v>3</v>
      </c>
      <c r="L423" s="803" t="s">
        <v>590</v>
      </c>
      <c r="M423" s="528"/>
      <c r="N423" s="528"/>
      <c r="O423" s="48"/>
      <c r="P423" s="528"/>
      <c r="Q423" s="528"/>
      <c r="R423"/>
      <c r="S423"/>
      <c r="T423"/>
    </row>
    <row r="424" spans="1:41" s="956" customFormat="1" ht="13.2">
      <c r="A424"/>
      <c r="B424" s="948"/>
      <c r="C424" s="948" t="s">
        <v>742</v>
      </c>
      <c r="D424" s="948" t="str">
        <f ca="1">CELL("Address",Elec_Rates!D$54)</f>
        <v>[ELM25_0085_Quintano_Elec_Mech_HVAC_Est_Rev_B.xlsx]Elec_Rates!$D$54</v>
      </c>
      <c r="E424" s="949"/>
      <c r="F424" s="949"/>
      <c r="G424" s="950" t="s">
        <v>743</v>
      </c>
      <c r="H424" s="950"/>
      <c r="I424" s="950"/>
      <c r="J424" s="950"/>
      <c r="K424" s="951"/>
      <c r="L424" s="949"/>
      <c r="M424" s="949"/>
      <c r="N424" s="949"/>
      <c r="O424" s="952"/>
      <c r="P424" s="949"/>
      <c r="Q424" s="953"/>
      <c r="R424" s="954"/>
      <c r="S424" s="953"/>
      <c r="T424" s="943"/>
      <c r="U424" s="955"/>
    </row>
    <row r="425" spans="1:41" s="956" customFormat="1" ht="11.4">
      <c r="A425" s="957">
        <v>1</v>
      </c>
      <c r="B425" s="958">
        <v>1</v>
      </c>
      <c r="C425" s="958">
        <f>$A425*$B425</f>
        <v>1</v>
      </c>
      <c r="D425" s="959" t="str">
        <f>Elec_Rates!$D$54</f>
        <v>046# 3 x 4mm2 XLPE/SWA/LSZH</v>
      </c>
      <c r="E425" s="959"/>
      <c r="F425" s="959" t="s">
        <v>744</v>
      </c>
      <c r="G425" s="960" t="s">
        <v>760</v>
      </c>
      <c r="H425" s="960"/>
      <c r="I425" s="960"/>
      <c r="J425" s="960"/>
      <c r="K425" s="961"/>
      <c r="L425" s="955"/>
      <c r="M425" s="955"/>
      <c r="N425" s="955"/>
      <c r="O425" s="962"/>
      <c r="P425" s="959"/>
      <c r="Q425" s="963">
        <f ca="1">$B425*Elec_Rates!$R$54</f>
        <v>20.04</v>
      </c>
      <c r="R425" s="954">
        <f ca="1">$A425*Q425</f>
        <v>20.04</v>
      </c>
      <c r="S425" s="963">
        <f ca="1">$B425*Elec_Rates!$T$54</f>
        <v>1.66</v>
      </c>
      <c r="T425" s="943">
        <f ca="1">$A425*S425</f>
        <v>1.66</v>
      </c>
      <c r="U425" s="501"/>
    </row>
    <row r="426" spans="1:41" s="519" customFormat="1" ht="13.95" customHeight="1">
      <c r="A426" s="49"/>
      <c r="B426" s="528"/>
      <c r="C426" s="528"/>
      <c r="D426" s="528"/>
      <c r="E426" s="528"/>
      <c r="F426" s="528"/>
      <c r="G426" s="528"/>
      <c r="H426" s="801"/>
      <c r="I426" s="528"/>
      <c r="J426" s="48"/>
      <c r="K426" s="805"/>
      <c r="L426" s="806"/>
      <c r="M426" s="528"/>
      <c r="N426" s="528"/>
      <c r="O426" s="48"/>
      <c r="P426" s="528"/>
      <c r="Q426" s="528"/>
      <c r="R426" s="807">
        <f>$A426*Q426</f>
        <v>0</v>
      </c>
      <c r="S426" s="528"/>
      <c r="T426" s="643">
        <f>$A426*S426*$T$1</f>
        <v>0</v>
      </c>
    </row>
    <row r="427" spans="1:41" s="519" customFormat="1" ht="12">
      <c r="A427" s="808" t="s">
        <v>145</v>
      </c>
      <c r="B427" s="809">
        <f>(R426+T426)</f>
        <v>0</v>
      </c>
      <c r="C427" s="641"/>
      <c r="G427" s="810"/>
      <c r="H427" s="810"/>
      <c r="I427" s="810"/>
      <c r="J427" s="810"/>
      <c r="K427" s="811" t="s">
        <v>3</v>
      </c>
      <c r="L427" s="812" t="s">
        <v>590</v>
      </c>
      <c r="M427" s="810"/>
      <c r="N427" s="810"/>
      <c r="O427" s="810"/>
      <c r="P427" s="810"/>
      <c r="Q427" s="813"/>
      <c r="R427" s="814">
        <f ca="1">SUM(R423:R426)</f>
        <v>20.04</v>
      </c>
      <c r="S427" s="815"/>
      <c r="T427" s="814">
        <f ca="1">SUM(T423:T426)</f>
        <v>1.66</v>
      </c>
      <c r="AG427" s="816">
        <f ca="1">ROUND($R427*$S$2,2)</f>
        <v>20.04</v>
      </c>
    </row>
    <row r="428" spans="1:41" s="519" customFormat="1" ht="12" customHeight="1">
      <c r="A428" s="817"/>
      <c r="B428" s="818"/>
      <c r="C428" s="819"/>
      <c r="D428" s="819" t="str">
        <f>$F$3</f>
        <v>ECA</v>
      </c>
      <c r="E428" s="819">
        <f>ROUND(($R432*$S$3 + ($T432*$T$3)), 2)</f>
        <v>0</v>
      </c>
      <c r="F428" s="820">
        <f ca="1">$F420-SUMIF($L422:$P425,"SUBI",$F422:$F425)</f>
        <v>0</v>
      </c>
      <c r="G428" s="518"/>
      <c r="H428" s="518"/>
      <c r="I428" s="518"/>
      <c r="J428" s="518"/>
      <c r="K428" s="802" t="s">
        <v>5</v>
      </c>
      <c r="L428" s="803" t="s">
        <v>590</v>
      </c>
      <c r="M428" s="518"/>
      <c r="N428" s="518"/>
      <c r="O428" s="518"/>
      <c r="P428" s="518"/>
      <c r="Q428" s="518"/>
      <c r="R428" s="821"/>
      <c r="S428" s="518"/>
      <c r="T428" s="821"/>
    </row>
    <row r="429" spans="1:41" s="834" customFormat="1" ht="14.4" customHeight="1">
      <c r="A429" s="822"/>
      <c r="B429" s="804" t="s">
        <v>592</v>
      </c>
      <c r="C429" s="823"/>
      <c r="D429" s="824"/>
      <c r="E429" s="824"/>
      <c r="F429" s="824"/>
      <c r="G429" s="825"/>
      <c r="H429" s="826"/>
      <c r="I429" s="826"/>
      <c r="J429" s="827"/>
      <c r="K429" s="828"/>
      <c r="L429" s="823"/>
      <c r="M429" s="829"/>
      <c r="N429" s="830"/>
      <c r="O429" s="831"/>
      <c r="P429" s="832"/>
      <c r="Q429" s="833"/>
      <c r="R429" s="807">
        <f>$A429*Q429</f>
        <v>0</v>
      </c>
      <c r="S429" s="528"/>
      <c r="T429" s="643">
        <f>$A429*S429*$T$1</f>
        <v>0</v>
      </c>
    </row>
    <row r="430" spans="1:41" s="519" customFormat="1" ht="11.4">
      <c r="A430" s="49"/>
      <c r="B430" s="528"/>
      <c r="C430" s="528"/>
      <c r="D430" s="528"/>
      <c r="E430" s="528"/>
      <c r="F430" s="528"/>
      <c r="G430" s="528"/>
      <c r="H430" s="528"/>
      <c r="I430" s="528"/>
      <c r="J430" s="528"/>
      <c r="K430" s="528"/>
      <c r="L430" s="806"/>
      <c r="M430" s="528"/>
      <c r="N430" s="528"/>
      <c r="O430" s="528"/>
      <c r="P430" s="528"/>
      <c r="Q430" s="528"/>
      <c r="R430" s="807">
        <f>$A430*Q430</f>
        <v>0</v>
      </c>
      <c r="S430" s="528"/>
      <c r="T430" s="643">
        <f>$A430*S430*$T$1</f>
        <v>0</v>
      </c>
    </row>
    <row r="431" spans="1:41" s="519" customFormat="1" ht="13.2">
      <c r="A431" s="49"/>
      <c r="B431" s="528"/>
      <c r="C431" s="528"/>
      <c r="D431" s="3"/>
      <c r="E431" s="528"/>
      <c r="F431" s="528"/>
      <c r="G431" s="528"/>
      <c r="H431" s="528"/>
      <c r="I431" s="528"/>
      <c r="J431" s="528"/>
      <c r="K431" s="528"/>
      <c r="L431" s="806"/>
      <c r="M431" s="528"/>
      <c r="N431" s="528"/>
      <c r="O431" s="528"/>
      <c r="P431" s="528"/>
      <c r="Q431" s="528"/>
      <c r="R431" s="807">
        <f>$A431*Q431</f>
        <v>0</v>
      </c>
      <c r="S431" s="528"/>
      <c r="T431" s="643">
        <f>$A431*S431*$T$1</f>
        <v>0</v>
      </c>
    </row>
    <row r="432" spans="1:41" s="519" customFormat="1" ht="12" customHeight="1">
      <c r="A432" s="835" t="s">
        <v>145</v>
      </c>
      <c r="B432" s="836">
        <f>(R431+T431)</f>
        <v>0</v>
      </c>
      <c r="C432" s="837"/>
      <c r="D432" s="837"/>
      <c r="E432" s="837"/>
      <c r="F432" s="837"/>
      <c r="G432" s="813"/>
      <c r="H432" s="813"/>
      <c r="I432" s="813"/>
      <c r="J432" s="813"/>
      <c r="K432" s="838" t="s">
        <v>5</v>
      </c>
      <c r="L432" s="839" t="s">
        <v>590</v>
      </c>
      <c r="M432" s="813"/>
      <c r="N432" s="813"/>
      <c r="O432" s="813"/>
      <c r="P432" s="813"/>
      <c r="Q432" s="813"/>
      <c r="R432" s="814">
        <f>SUM(R428:R431)</f>
        <v>0</v>
      </c>
      <c r="S432" s="815"/>
      <c r="T432" s="814">
        <f>SUM(T428:T431)</f>
        <v>0</v>
      </c>
      <c r="AG432" s="840">
        <f>ROUND($R432*$S$3,2)</f>
        <v>0</v>
      </c>
    </row>
    <row r="433" spans="1:41" s="519" customFormat="1" ht="12.75" customHeight="1">
      <c r="A433" s="841"/>
      <c r="B433" s="842"/>
      <c r="E433" s="641"/>
      <c r="F433" s="843"/>
      <c r="G433" s="641"/>
      <c r="H433" s="641"/>
      <c r="I433" s="518"/>
      <c r="J433" s="641"/>
      <c r="K433" s="641"/>
      <c r="L433" s="844"/>
      <c r="M433" s="652"/>
      <c r="N433" s="652"/>
      <c r="O433" s="652"/>
      <c r="P433" s="652"/>
      <c r="Q433" s="653"/>
      <c r="R433" s="821"/>
      <c r="S433" s="641"/>
      <c r="T433" s="821"/>
    </row>
    <row r="434" spans="1:41" s="519" customFormat="1" ht="13.5" customHeight="1" thickBot="1">
      <c r="A434" s="845"/>
      <c r="B434" s="846"/>
      <c r="C434" s="529"/>
      <c r="D434" s="529"/>
      <c r="E434" s="646"/>
      <c r="F434" s="647"/>
      <c r="G434" s="646" t="s">
        <v>146</v>
      </c>
      <c r="H434" s="646"/>
      <c r="I434" s="648"/>
      <c r="J434" s="646"/>
      <c r="K434" s="646"/>
      <c r="L434" s="847" t="s">
        <v>143</v>
      </c>
      <c r="M434" s="649"/>
      <c r="N434" s="649"/>
      <c r="O434" s="649"/>
      <c r="P434" s="649"/>
      <c r="Q434" s="650"/>
      <c r="R434" s="848">
        <f ca="1">SUMIF($L421:$L433,"SUBI",R421:R433)</f>
        <v>20.04</v>
      </c>
      <c r="S434" s="646"/>
      <c r="T434" s="848">
        <f ca="1">SUMIF($L421:$L433,"SUBI",T421:T433)</f>
        <v>1.66</v>
      </c>
      <c r="U434" s="529"/>
      <c r="V434" s="529"/>
      <c r="W434" s="529"/>
      <c r="X434" s="529"/>
      <c r="Y434" s="529"/>
      <c r="Z434" s="529"/>
      <c r="AA434" s="529"/>
      <c r="AB434" s="529"/>
      <c r="AC434" s="529"/>
      <c r="AD434" s="529"/>
      <c r="AE434" s="529"/>
      <c r="AF434" s="529"/>
      <c r="AG434" s="529"/>
      <c r="AH434" s="529"/>
      <c r="AI434" s="529"/>
      <c r="AJ434" s="529"/>
      <c r="AK434" s="529"/>
      <c r="AL434" s="529"/>
      <c r="AM434" s="529"/>
      <c r="AN434" s="529"/>
      <c r="AO434" s="529"/>
    </row>
    <row r="435" spans="1:41" s="519" customFormat="1" thickTop="1">
      <c r="A435" s="47"/>
      <c r="B435" s="40"/>
      <c r="C435" s="47"/>
      <c r="E435" s="41" t="s">
        <v>138</v>
      </c>
      <c r="F435" s="41" t="s">
        <v>139</v>
      </c>
      <c r="G435" s="47"/>
      <c r="H435" s="47"/>
      <c r="I435" s="47"/>
      <c r="J435" s="47"/>
      <c r="K435" s="47" t="s">
        <v>140</v>
      </c>
      <c r="L435" s="774"/>
      <c r="M435" s="47"/>
      <c r="N435" s="47"/>
      <c r="O435" s="48"/>
      <c r="P435" s="47"/>
      <c r="Q435"/>
      <c r="R435"/>
      <c r="S435"/>
      <c r="T435" s="40"/>
      <c r="AG435" s="627" t="s">
        <v>277</v>
      </c>
      <c r="AH435" s="627" t="s">
        <v>278</v>
      </c>
      <c r="AI435" s="627" t="s">
        <v>279</v>
      </c>
      <c r="AJ435" s="627" t="s">
        <v>280</v>
      </c>
      <c r="AK435" s="627" t="s">
        <v>281</v>
      </c>
      <c r="AM435" s="628" t="s">
        <v>290</v>
      </c>
      <c r="AN435" s="629" t="s">
        <v>291</v>
      </c>
      <c r="AO435" s="520" t="s">
        <v>287</v>
      </c>
    </row>
    <row r="436" spans="1:41" s="519" customFormat="1" ht="13.2">
      <c r="A436" s="630">
        <v>1</v>
      </c>
      <c r="B436" s="521" t="s">
        <v>312</v>
      </c>
      <c r="C436" s="631"/>
      <c r="D436" s="632" t="s">
        <v>633</v>
      </c>
      <c r="E436" s="775">
        <f ca="1">IF(AND($A436=0,$A$1="DIF"),0, ROUND(ROUND(SUMIF($L438:$L444,"SUBI",$E438:$E444)/$A436,2)*$C$12,2))</f>
        <v>65.62</v>
      </c>
      <c r="F436" s="776">
        <f ca="1">ROUND($A436*$E436,2)</f>
        <v>65.62</v>
      </c>
      <c r="G436" s="635" t="s">
        <v>142</v>
      </c>
      <c r="H436" s="636"/>
      <c r="I436" s="637"/>
      <c r="J436" s="636"/>
      <c r="K436" s="777"/>
      <c r="L436" s="778" t="s">
        <v>143</v>
      </c>
      <c r="M436" s="638"/>
      <c r="N436" s="638"/>
      <c r="O436" s="638"/>
      <c r="P436" s="638"/>
      <c r="Q436"/>
      <c r="R436"/>
      <c r="S436"/>
      <c r="T436" s="779" t="str">
        <f ca="1">IF(AND($R450=0,$T450=0),"0.00","mu :" &amp; ROUND($F436/$C$12/($R450+$T450*$D$9),2))</f>
        <v>mu :1</v>
      </c>
      <c r="W436" s="522"/>
      <c r="AG436" s="780">
        <f ca="1">IF(A436=0,0,ROUND(SUM(AG438:AG450)/A436,2))</f>
        <v>20.04</v>
      </c>
      <c r="AH436" s="780">
        <f ca="1">$AG436*$A436</f>
        <v>20.04</v>
      </c>
      <c r="AI436" s="780">
        <f ca="1">$E436-$AG436</f>
        <v>45.580000000000005</v>
      </c>
      <c r="AJ436" s="780">
        <f ca="1">$A436*$AI436</f>
        <v>45.580000000000005</v>
      </c>
      <c r="AK436" s="781">
        <f ca="1">ROUND(($AG436+$AI436)*$A436,2)</f>
        <v>65.62</v>
      </c>
      <c r="AM436" s="525">
        <f ca="1">ROUND(R450,2)</f>
        <v>20.04</v>
      </c>
      <c r="AN436" s="526">
        <f ca="1">ROUND(T450,2)</f>
        <v>1.66</v>
      </c>
      <c r="AO436" s="527">
        <f ca="1">ROUND(AM436+AN436,2)*A436</f>
        <v>21.7</v>
      </c>
    </row>
    <row r="437" spans="1:41" s="519" customFormat="1" ht="19.95" customHeight="1">
      <c r="A437" s="782"/>
      <c r="B437" s="783"/>
      <c r="C437" s="631"/>
      <c r="D437" s="784" t="s">
        <v>634</v>
      </c>
      <c r="F437" s="636"/>
      <c r="G437" s="636"/>
      <c r="H437" s="636"/>
      <c r="I437" s="637"/>
      <c r="J437" s="636"/>
      <c r="K437" s="636" t="s">
        <v>144</v>
      </c>
      <c r="L437" s="785"/>
      <c r="M437" s="636"/>
      <c r="N437" s="636"/>
      <c r="O437" s="636"/>
      <c r="P437" s="636"/>
      <c r="Q437" s="47"/>
      <c r="R437" s="528"/>
      <c r="S437" s="640"/>
      <c r="T437" s="636"/>
    </row>
    <row r="438" spans="1:41" s="519" customFormat="1" ht="12">
      <c r="A438" s="786"/>
      <c r="B438" s="787"/>
      <c r="C438" s="641"/>
      <c r="D438" s="636"/>
      <c r="E438" s="788">
        <f ca="1">F436/$C$12-SUMIF($L435:$L450,"SUBI",$E435:$E450)</f>
        <v>0</v>
      </c>
      <c r="F438" s="789" t="s">
        <v>589</v>
      </c>
      <c r="G438" s="790"/>
      <c r="H438" s="790"/>
      <c r="I438" s="791"/>
      <c r="J438" s="790"/>
      <c r="K438" s="790"/>
      <c r="L438" s="792"/>
      <c r="M438" s="793"/>
      <c r="N438" s="793"/>
      <c r="O438" s="793"/>
      <c r="P438" s="793"/>
      <c r="Q438" s="794"/>
      <c r="R438" s="795"/>
      <c r="S438" s="794"/>
      <c r="T438" s="796"/>
    </row>
    <row r="439" spans="1:41" s="519" customFormat="1" ht="12" customHeight="1">
      <c r="A439" s="797"/>
      <c r="B439" s="798"/>
      <c r="C439" s="799"/>
      <c r="D439" s="799" t="str">
        <f>$F$2</f>
        <v>Electrical</v>
      </c>
      <c r="E439" s="799">
        <f ca="1">ROUND(($R443*$S$2 + ($T443*$T$2)), 2)</f>
        <v>65.62</v>
      </c>
      <c r="F439" s="800">
        <f ca="1">$E439*$C$12</f>
        <v>65.62</v>
      </c>
      <c r="G439" s="528"/>
      <c r="H439" s="801"/>
      <c r="I439" s="528"/>
      <c r="J439" s="48"/>
      <c r="K439" s="802" t="s">
        <v>3</v>
      </c>
      <c r="L439" s="803" t="s">
        <v>590</v>
      </c>
      <c r="M439" s="528"/>
      <c r="N439" s="528"/>
      <c r="O439" s="48"/>
      <c r="P439" s="528"/>
      <c r="Q439" s="528"/>
      <c r="R439"/>
      <c r="S439"/>
      <c r="T439"/>
    </row>
    <row r="440" spans="1:41" s="956" customFormat="1" ht="13.2">
      <c r="A440"/>
      <c r="B440" s="948"/>
      <c r="C440" s="948" t="s">
        <v>742</v>
      </c>
      <c r="D440" s="948" t="str">
        <f ca="1">CELL("Address",Elec_Rates!D$54)</f>
        <v>[ELM25_0085_Quintano_Elec_Mech_HVAC_Est_Rev_B.xlsx]Elec_Rates!$D$54</v>
      </c>
      <c r="E440" s="949"/>
      <c r="F440" s="949"/>
      <c r="G440" s="950" t="s">
        <v>743</v>
      </c>
      <c r="H440" s="950"/>
      <c r="I440" s="950"/>
      <c r="J440" s="950"/>
      <c r="K440" s="951"/>
      <c r="L440" s="949"/>
      <c r="M440" s="949"/>
      <c r="N440" s="949"/>
      <c r="O440" s="952"/>
      <c r="P440" s="949"/>
      <c r="Q440" s="953"/>
      <c r="R440" s="954"/>
      <c r="S440" s="953"/>
      <c r="T440" s="943"/>
      <c r="U440" s="955"/>
    </row>
    <row r="441" spans="1:41" s="956" customFormat="1" ht="11.4">
      <c r="A441" s="957">
        <v>1</v>
      </c>
      <c r="B441" s="958">
        <v>1</v>
      </c>
      <c r="C441" s="958">
        <f>$A441*$B441</f>
        <v>1</v>
      </c>
      <c r="D441" s="959" t="str">
        <f>Elec_Rates!$D$54</f>
        <v>046# 3 x 4mm2 XLPE/SWA/LSZH</v>
      </c>
      <c r="E441" s="959"/>
      <c r="F441" s="959" t="s">
        <v>744</v>
      </c>
      <c r="G441" s="960" t="s">
        <v>760</v>
      </c>
      <c r="H441" s="960"/>
      <c r="I441" s="960"/>
      <c r="J441" s="960"/>
      <c r="K441" s="961"/>
      <c r="L441" s="955"/>
      <c r="M441" s="955"/>
      <c r="N441" s="955"/>
      <c r="O441" s="962"/>
      <c r="P441" s="959"/>
      <c r="Q441" s="963">
        <f ca="1">$B441*Elec_Rates!$R$54</f>
        <v>20.04</v>
      </c>
      <c r="R441" s="954">
        <f ca="1">$A441*Q441</f>
        <v>20.04</v>
      </c>
      <c r="S441" s="963">
        <f ca="1">$B441*Elec_Rates!$T$54</f>
        <v>1.66</v>
      </c>
      <c r="T441" s="943">
        <f ca="1">$A441*S441</f>
        <v>1.66</v>
      </c>
      <c r="U441" s="501"/>
    </row>
    <row r="442" spans="1:41" s="519" customFormat="1" ht="13.95" customHeight="1">
      <c r="A442" s="49"/>
      <c r="B442" s="528"/>
      <c r="C442" s="528"/>
      <c r="D442" s="528"/>
      <c r="E442" s="528"/>
      <c r="F442" s="528"/>
      <c r="G442" s="528"/>
      <c r="H442" s="801"/>
      <c r="I442" s="528"/>
      <c r="J442" s="48"/>
      <c r="K442" s="805"/>
      <c r="L442" s="806"/>
      <c r="M442" s="528"/>
      <c r="N442" s="528"/>
      <c r="O442" s="48"/>
      <c r="P442" s="528"/>
      <c r="Q442" s="528"/>
      <c r="R442" s="807">
        <f>$A442*Q442</f>
        <v>0</v>
      </c>
      <c r="S442" s="528"/>
      <c r="T442" s="643">
        <f>$A442*S442*$T$1</f>
        <v>0</v>
      </c>
    </row>
    <row r="443" spans="1:41" s="519" customFormat="1" ht="12">
      <c r="A443" s="808" t="s">
        <v>145</v>
      </c>
      <c r="B443" s="809">
        <f>(R442+T442)</f>
        <v>0</v>
      </c>
      <c r="C443" s="641"/>
      <c r="G443" s="810"/>
      <c r="H443" s="810"/>
      <c r="I443" s="810"/>
      <c r="J443" s="810"/>
      <c r="K443" s="811" t="s">
        <v>3</v>
      </c>
      <c r="L443" s="812" t="s">
        <v>590</v>
      </c>
      <c r="M443" s="810"/>
      <c r="N443" s="810"/>
      <c r="O443" s="810"/>
      <c r="P443" s="810"/>
      <c r="Q443" s="813"/>
      <c r="R443" s="814">
        <f ca="1">SUM(R439:R442)</f>
        <v>20.04</v>
      </c>
      <c r="S443" s="815"/>
      <c r="T443" s="814">
        <f ca="1">SUM(T439:T442)</f>
        <v>1.66</v>
      </c>
      <c r="AG443" s="816">
        <f ca="1">ROUND($R443*$S$2,2)</f>
        <v>20.04</v>
      </c>
    </row>
    <row r="444" spans="1:41" s="519" customFormat="1" ht="12" customHeight="1">
      <c r="A444" s="817"/>
      <c r="B444" s="818"/>
      <c r="C444" s="819"/>
      <c r="D444" s="819" t="str">
        <f>$F$3</f>
        <v>ECA</v>
      </c>
      <c r="E444" s="819">
        <f>ROUND(($R448*$S$3 + ($T448*$T$3)), 2)</f>
        <v>0</v>
      </c>
      <c r="F444" s="820">
        <f ca="1">$F436-SUMIF($L438:$P441,"SUBI",$F438:$F441)</f>
        <v>0</v>
      </c>
      <c r="G444" s="518"/>
      <c r="H444" s="518"/>
      <c r="I444" s="518"/>
      <c r="J444" s="518"/>
      <c r="K444" s="802" t="s">
        <v>5</v>
      </c>
      <c r="L444" s="803" t="s">
        <v>590</v>
      </c>
      <c r="M444" s="518"/>
      <c r="N444" s="518"/>
      <c r="O444" s="518"/>
      <c r="P444" s="518"/>
      <c r="Q444" s="518"/>
      <c r="R444" s="821"/>
      <c r="S444" s="518"/>
      <c r="T444" s="821"/>
    </row>
    <row r="445" spans="1:41" s="834" customFormat="1" ht="14.4" customHeight="1">
      <c r="A445" s="822"/>
      <c r="B445" s="804" t="s">
        <v>592</v>
      </c>
      <c r="C445" s="823"/>
      <c r="D445" s="824"/>
      <c r="E445" s="824"/>
      <c r="F445" s="824"/>
      <c r="G445" s="825"/>
      <c r="H445" s="826"/>
      <c r="I445" s="826"/>
      <c r="J445" s="827"/>
      <c r="K445" s="828"/>
      <c r="L445" s="823"/>
      <c r="M445" s="829"/>
      <c r="N445" s="830"/>
      <c r="O445" s="831"/>
      <c r="P445" s="832"/>
      <c r="Q445" s="833"/>
      <c r="R445" s="807">
        <f>$A445*Q445</f>
        <v>0</v>
      </c>
      <c r="S445" s="528"/>
      <c r="T445" s="643">
        <f>$A445*S445*$T$1</f>
        <v>0</v>
      </c>
    </row>
    <row r="446" spans="1:41" s="519" customFormat="1" ht="11.4">
      <c r="A446" s="49"/>
      <c r="B446" s="528"/>
      <c r="C446" s="528"/>
      <c r="D446" s="528"/>
      <c r="E446" s="528"/>
      <c r="F446" s="528"/>
      <c r="G446" s="528"/>
      <c r="H446" s="528"/>
      <c r="I446" s="528"/>
      <c r="J446" s="528"/>
      <c r="K446" s="528"/>
      <c r="L446" s="806"/>
      <c r="M446" s="528"/>
      <c r="N446" s="528"/>
      <c r="O446" s="528"/>
      <c r="P446" s="528"/>
      <c r="Q446" s="528"/>
      <c r="R446" s="807">
        <f>$A446*Q446</f>
        <v>0</v>
      </c>
      <c r="S446" s="528"/>
      <c r="T446" s="643">
        <f>$A446*S446*$T$1</f>
        <v>0</v>
      </c>
    </row>
    <row r="447" spans="1:41" s="519" customFormat="1" ht="13.2">
      <c r="A447" s="49"/>
      <c r="B447" s="528"/>
      <c r="C447" s="528"/>
      <c r="D447" s="3"/>
      <c r="E447" s="528"/>
      <c r="F447" s="528"/>
      <c r="G447" s="528"/>
      <c r="H447" s="528"/>
      <c r="I447" s="528"/>
      <c r="J447" s="528"/>
      <c r="K447" s="528"/>
      <c r="L447" s="806"/>
      <c r="M447" s="528"/>
      <c r="N447" s="528"/>
      <c r="O447" s="528"/>
      <c r="P447" s="528"/>
      <c r="Q447" s="528"/>
      <c r="R447" s="807">
        <f>$A447*Q447</f>
        <v>0</v>
      </c>
      <c r="S447" s="528"/>
      <c r="T447" s="643">
        <f>$A447*S447*$T$1</f>
        <v>0</v>
      </c>
    </row>
    <row r="448" spans="1:41" s="519" customFormat="1" ht="12" customHeight="1">
      <c r="A448" s="835" t="s">
        <v>145</v>
      </c>
      <c r="B448" s="836">
        <f>(R447+T447)</f>
        <v>0</v>
      </c>
      <c r="C448" s="837"/>
      <c r="D448" s="837"/>
      <c r="E448" s="837"/>
      <c r="F448" s="837"/>
      <c r="G448" s="813"/>
      <c r="H448" s="813"/>
      <c r="I448" s="813"/>
      <c r="J448" s="813"/>
      <c r="K448" s="838" t="s">
        <v>5</v>
      </c>
      <c r="L448" s="839" t="s">
        <v>590</v>
      </c>
      <c r="M448" s="813"/>
      <c r="N448" s="813"/>
      <c r="O448" s="813"/>
      <c r="P448" s="813"/>
      <c r="Q448" s="813"/>
      <c r="R448" s="814">
        <f>SUM(R444:R447)</f>
        <v>0</v>
      </c>
      <c r="S448" s="815"/>
      <c r="T448" s="814">
        <f>SUM(T444:T447)</f>
        <v>0</v>
      </c>
      <c r="AG448" s="840">
        <f>ROUND($R448*$S$3,2)</f>
        <v>0</v>
      </c>
    </row>
    <row r="449" spans="1:41" s="519" customFormat="1" ht="12.75" customHeight="1">
      <c r="A449" s="841"/>
      <c r="B449" s="842"/>
      <c r="E449" s="641"/>
      <c r="F449" s="843"/>
      <c r="G449" s="641"/>
      <c r="H449" s="641"/>
      <c r="I449" s="518"/>
      <c r="J449" s="641"/>
      <c r="K449" s="641"/>
      <c r="L449" s="844"/>
      <c r="M449" s="652"/>
      <c r="N449" s="652"/>
      <c r="O449" s="652"/>
      <c r="P449" s="652"/>
      <c r="Q449" s="653"/>
      <c r="R449" s="821"/>
      <c r="S449" s="641"/>
      <c r="T449" s="821"/>
    </row>
    <row r="450" spans="1:41" s="519" customFormat="1" ht="13.5" customHeight="1" thickBot="1">
      <c r="A450" s="845"/>
      <c r="B450" s="846"/>
      <c r="C450" s="529"/>
      <c r="D450" s="529"/>
      <c r="E450" s="646"/>
      <c r="F450" s="647"/>
      <c r="G450" s="646" t="s">
        <v>146</v>
      </c>
      <c r="H450" s="646"/>
      <c r="I450" s="648"/>
      <c r="J450" s="646"/>
      <c r="K450" s="646"/>
      <c r="L450" s="847" t="s">
        <v>143</v>
      </c>
      <c r="M450" s="649"/>
      <c r="N450" s="649"/>
      <c r="O450" s="649"/>
      <c r="P450" s="649"/>
      <c r="Q450" s="650"/>
      <c r="R450" s="848">
        <f ca="1">SUMIF($L437:$L449,"SUBI",R437:R449)</f>
        <v>20.04</v>
      </c>
      <c r="S450" s="646"/>
      <c r="T450" s="848">
        <f ca="1">SUMIF($L437:$L449,"SUBI",T437:T449)</f>
        <v>1.66</v>
      </c>
      <c r="U450" s="529"/>
      <c r="V450" s="529"/>
      <c r="W450" s="529"/>
      <c r="X450" s="529"/>
      <c r="Y450" s="529"/>
      <c r="Z450" s="529"/>
      <c r="AA450" s="529"/>
      <c r="AB450" s="529"/>
      <c r="AC450" s="529"/>
      <c r="AD450" s="529"/>
      <c r="AE450" s="529"/>
      <c r="AF450" s="529"/>
      <c r="AG450" s="529"/>
      <c r="AH450" s="529"/>
      <c r="AI450" s="529"/>
      <c r="AJ450" s="529"/>
      <c r="AK450" s="529"/>
      <c r="AL450" s="529"/>
      <c r="AM450" s="529"/>
      <c r="AN450" s="529"/>
      <c r="AO450" s="529"/>
    </row>
    <row r="451" spans="1:41" s="519" customFormat="1" thickTop="1">
      <c r="A451" s="47"/>
      <c r="B451" s="40"/>
      <c r="C451" s="47"/>
      <c r="E451" s="41" t="s">
        <v>138</v>
      </c>
      <c r="F451" s="41" t="s">
        <v>139</v>
      </c>
      <c r="G451" s="47"/>
      <c r="H451" s="47"/>
      <c r="I451" s="47"/>
      <c r="J451" s="47"/>
      <c r="K451" s="47" t="s">
        <v>140</v>
      </c>
      <c r="L451" s="774"/>
      <c r="M451" s="47"/>
      <c r="N451" s="47"/>
      <c r="O451" s="48"/>
      <c r="P451" s="47"/>
      <c r="Q451"/>
      <c r="R451"/>
      <c r="S451"/>
      <c r="T451" s="40"/>
      <c r="AG451" s="627" t="s">
        <v>277</v>
      </c>
      <c r="AH451" s="627" t="s">
        <v>278</v>
      </c>
      <c r="AI451" s="627" t="s">
        <v>279</v>
      </c>
      <c r="AJ451" s="627" t="s">
        <v>280</v>
      </c>
      <c r="AK451" s="627" t="s">
        <v>281</v>
      </c>
      <c r="AM451" s="628" t="s">
        <v>290</v>
      </c>
      <c r="AN451" s="629" t="s">
        <v>291</v>
      </c>
      <c r="AO451" s="520" t="s">
        <v>287</v>
      </c>
    </row>
    <row r="452" spans="1:41" s="519" customFormat="1" ht="13.2">
      <c r="A452" s="630">
        <v>1</v>
      </c>
      <c r="B452" s="521" t="s">
        <v>312</v>
      </c>
      <c r="C452" s="631"/>
      <c r="D452" s="632" t="s">
        <v>635</v>
      </c>
      <c r="E452" s="775">
        <f ca="1">IF(AND($A452=0,$A$1="DIF"),0, ROUND(ROUND(SUMIF($L454:$L460,"SUBI",$E454:$E460)/$A452,2)*$C$12,2))</f>
        <v>65.62</v>
      </c>
      <c r="F452" s="776">
        <f ca="1">ROUND($A452*$E452,2)</f>
        <v>65.62</v>
      </c>
      <c r="G452" s="635" t="s">
        <v>142</v>
      </c>
      <c r="H452" s="636"/>
      <c r="I452" s="637"/>
      <c r="J452" s="636"/>
      <c r="K452" s="777"/>
      <c r="L452" s="778" t="s">
        <v>143</v>
      </c>
      <c r="M452" s="638"/>
      <c r="N452" s="638"/>
      <c r="O452" s="638"/>
      <c r="P452" s="638"/>
      <c r="Q452"/>
      <c r="R452"/>
      <c r="S452"/>
      <c r="T452" s="779" t="str">
        <f ca="1">IF(AND($R466=0,$T466=0),"0.00","mu :" &amp; ROUND($F452/$C$12/($R466+$T466*$D$9),2))</f>
        <v>mu :1</v>
      </c>
      <c r="W452" s="522"/>
      <c r="AG452" s="780">
        <f ca="1">IF(A452=0,0,ROUND(SUM(AG454:AG466)/A452,2))</f>
        <v>20.04</v>
      </c>
      <c r="AH452" s="780">
        <f ca="1">$AG452*$A452</f>
        <v>20.04</v>
      </c>
      <c r="AI452" s="780">
        <f ca="1">$E452-$AG452</f>
        <v>45.580000000000005</v>
      </c>
      <c r="AJ452" s="780">
        <f ca="1">$A452*$AI452</f>
        <v>45.580000000000005</v>
      </c>
      <c r="AK452" s="781">
        <f ca="1">ROUND(($AG452+$AI452)*$A452,2)</f>
        <v>65.62</v>
      </c>
      <c r="AM452" s="525">
        <f ca="1">ROUND(R466,2)</f>
        <v>20.04</v>
      </c>
      <c r="AN452" s="526">
        <f ca="1">ROUND(T466,2)</f>
        <v>1.66</v>
      </c>
      <c r="AO452" s="527">
        <f ca="1">ROUND(AM452+AN452,2)*A452</f>
        <v>21.7</v>
      </c>
    </row>
    <row r="453" spans="1:41" s="519" customFormat="1" ht="19.95" customHeight="1">
      <c r="A453" s="782"/>
      <c r="B453" s="783"/>
      <c r="C453" s="631"/>
      <c r="D453" s="784" t="s">
        <v>636</v>
      </c>
      <c r="F453" s="636"/>
      <c r="G453" s="636"/>
      <c r="H453" s="636"/>
      <c r="I453" s="637"/>
      <c r="J453" s="636"/>
      <c r="K453" s="636" t="s">
        <v>144</v>
      </c>
      <c r="L453" s="785"/>
      <c r="M453" s="636"/>
      <c r="N453" s="636"/>
      <c r="O453" s="636"/>
      <c r="P453" s="636"/>
      <c r="Q453" s="47"/>
      <c r="R453" s="528"/>
      <c r="S453" s="640"/>
      <c r="T453" s="636"/>
    </row>
    <row r="454" spans="1:41" s="519" customFormat="1" ht="12">
      <c r="A454" s="786"/>
      <c r="B454" s="787"/>
      <c r="C454" s="641"/>
      <c r="D454" s="636"/>
      <c r="E454" s="788">
        <f ca="1">F452/$C$12-SUMIF($L451:$L466,"SUBI",$E451:$E466)</f>
        <v>0</v>
      </c>
      <c r="F454" s="789" t="s">
        <v>589</v>
      </c>
      <c r="G454" s="790"/>
      <c r="H454" s="790"/>
      <c r="I454" s="791"/>
      <c r="J454" s="790"/>
      <c r="K454" s="790"/>
      <c r="L454" s="792"/>
      <c r="M454" s="793"/>
      <c r="N454" s="793"/>
      <c r="O454" s="793"/>
      <c r="P454" s="793"/>
      <c r="Q454" s="794"/>
      <c r="R454" s="795"/>
      <c r="S454" s="794"/>
      <c r="T454" s="796"/>
    </row>
    <row r="455" spans="1:41" s="519" customFormat="1" ht="12" customHeight="1">
      <c r="A455" s="797"/>
      <c r="B455" s="798"/>
      <c r="C455" s="799"/>
      <c r="D455" s="799" t="str">
        <f>$F$2</f>
        <v>Electrical</v>
      </c>
      <c r="E455" s="799">
        <f ca="1">ROUND(($R459*$S$2 + ($T459*$T$2)), 2)</f>
        <v>65.62</v>
      </c>
      <c r="F455" s="800">
        <f ca="1">$E455*$C$12</f>
        <v>65.62</v>
      </c>
      <c r="G455" s="528"/>
      <c r="H455" s="801"/>
      <c r="I455" s="528"/>
      <c r="J455" s="48"/>
      <c r="K455" s="802" t="s">
        <v>3</v>
      </c>
      <c r="L455" s="803" t="s">
        <v>590</v>
      </c>
      <c r="M455" s="528"/>
      <c r="N455" s="528"/>
      <c r="O455" s="48"/>
      <c r="P455" s="528"/>
      <c r="Q455" s="528"/>
      <c r="R455"/>
      <c r="S455"/>
      <c r="T455"/>
    </row>
    <row r="456" spans="1:41" s="956" customFormat="1" ht="13.2">
      <c r="A456"/>
      <c r="B456" s="948"/>
      <c r="C456" s="948" t="s">
        <v>742</v>
      </c>
      <c r="D456" s="948" t="str">
        <f ca="1">CELL("Address",Elec_Rates!D$54)</f>
        <v>[ELM25_0085_Quintano_Elec_Mech_HVAC_Est_Rev_B.xlsx]Elec_Rates!$D$54</v>
      </c>
      <c r="E456" s="949"/>
      <c r="F456" s="949"/>
      <c r="G456" s="950" t="s">
        <v>743</v>
      </c>
      <c r="H456" s="950"/>
      <c r="I456" s="950"/>
      <c r="J456" s="950"/>
      <c r="K456" s="951"/>
      <c r="L456" s="949"/>
      <c r="M456" s="949"/>
      <c r="N456" s="949"/>
      <c r="O456" s="952"/>
      <c r="P456" s="949"/>
      <c r="Q456" s="953"/>
      <c r="R456" s="954"/>
      <c r="S456" s="953"/>
      <c r="T456" s="943"/>
      <c r="U456" s="955"/>
    </row>
    <row r="457" spans="1:41" s="956" customFormat="1" ht="11.4">
      <c r="A457" s="957">
        <v>1</v>
      </c>
      <c r="B457" s="958">
        <v>1</v>
      </c>
      <c r="C457" s="958">
        <f>$A457*$B457</f>
        <v>1</v>
      </c>
      <c r="D457" s="959" t="str">
        <f>Elec_Rates!$D$54</f>
        <v>046# 3 x 4mm2 XLPE/SWA/LSZH</v>
      </c>
      <c r="E457" s="959"/>
      <c r="F457" s="959" t="s">
        <v>744</v>
      </c>
      <c r="G457" s="960" t="s">
        <v>760</v>
      </c>
      <c r="H457" s="960"/>
      <c r="I457" s="960"/>
      <c r="J457" s="960"/>
      <c r="K457" s="961"/>
      <c r="L457" s="955"/>
      <c r="M457" s="955"/>
      <c r="N457" s="955"/>
      <c r="O457" s="962"/>
      <c r="P457" s="959"/>
      <c r="Q457" s="963">
        <f ca="1">$B457*Elec_Rates!$R$54</f>
        <v>20.04</v>
      </c>
      <c r="R457" s="954">
        <f ca="1">$A457*Q457</f>
        <v>20.04</v>
      </c>
      <c r="S457" s="963">
        <f ca="1">$B457*Elec_Rates!$T$54</f>
        <v>1.66</v>
      </c>
      <c r="T457" s="943">
        <f ca="1">$A457*S457</f>
        <v>1.66</v>
      </c>
      <c r="U457" s="501"/>
    </row>
    <row r="458" spans="1:41" s="519" customFormat="1" ht="13.95" customHeight="1">
      <c r="A458" s="49"/>
      <c r="B458" s="528"/>
      <c r="C458" s="528"/>
      <c r="D458" s="528"/>
      <c r="E458" s="528"/>
      <c r="F458" s="528"/>
      <c r="G458" s="528"/>
      <c r="H458" s="801"/>
      <c r="I458" s="528"/>
      <c r="J458" s="48"/>
      <c r="K458" s="805"/>
      <c r="L458" s="806"/>
      <c r="M458" s="528"/>
      <c r="N458" s="528"/>
      <c r="O458" s="48"/>
      <c r="P458" s="528"/>
      <c r="Q458" s="528"/>
      <c r="R458" s="807">
        <f>$A458*Q458</f>
        <v>0</v>
      </c>
      <c r="S458" s="528"/>
      <c r="T458" s="643">
        <f>$A458*S458*$T$1</f>
        <v>0</v>
      </c>
    </row>
    <row r="459" spans="1:41" s="519" customFormat="1" ht="12">
      <c r="A459" s="808" t="s">
        <v>145</v>
      </c>
      <c r="B459" s="809">
        <f>(R458+T458)</f>
        <v>0</v>
      </c>
      <c r="C459" s="641"/>
      <c r="G459" s="810"/>
      <c r="H459" s="810"/>
      <c r="I459" s="810"/>
      <c r="J459" s="810"/>
      <c r="K459" s="811" t="s">
        <v>3</v>
      </c>
      <c r="L459" s="812" t="s">
        <v>590</v>
      </c>
      <c r="M459" s="810"/>
      <c r="N459" s="810"/>
      <c r="O459" s="810"/>
      <c r="P459" s="810"/>
      <c r="Q459" s="813"/>
      <c r="R459" s="814">
        <f ca="1">SUM(R455:R458)</f>
        <v>20.04</v>
      </c>
      <c r="S459" s="815"/>
      <c r="T459" s="814">
        <f ca="1">SUM(T455:T458)</f>
        <v>1.66</v>
      </c>
      <c r="AG459" s="816">
        <f ca="1">ROUND($R459*$S$2,2)</f>
        <v>20.04</v>
      </c>
    </row>
    <row r="460" spans="1:41" s="519" customFormat="1" ht="12" customHeight="1">
      <c r="A460" s="817"/>
      <c r="B460" s="818"/>
      <c r="C460" s="819"/>
      <c r="D460" s="819" t="str">
        <f>$F$3</f>
        <v>ECA</v>
      </c>
      <c r="E460" s="819">
        <f>ROUND(($R464*$S$3 + ($T464*$T$3)), 2)</f>
        <v>0</v>
      </c>
      <c r="F460" s="820">
        <f ca="1">$F452-SUMIF($L454:$P457,"SUBI",$F454:$F457)</f>
        <v>0</v>
      </c>
      <c r="G460" s="518"/>
      <c r="H460" s="518"/>
      <c r="I460" s="518"/>
      <c r="J460" s="518"/>
      <c r="K460" s="802" t="s">
        <v>5</v>
      </c>
      <c r="L460" s="803" t="s">
        <v>590</v>
      </c>
      <c r="M460" s="518"/>
      <c r="N460" s="518"/>
      <c r="O460" s="518"/>
      <c r="P460" s="518"/>
      <c r="Q460" s="518"/>
      <c r="R460" s="821"/>
      <c r="S460" s="518"/>
      <c r="T460" s="821"/>
    </row>
    <row r="461" spans="1:41" s="834" customFormat="1" ht="14.4" customHeight="1">
      <c r="A461" s="822"/>
      <c r="B461" s="804" t="s">
        <v>592</v>
      </c>
      <c r="C461" s="823"/>
      <c r="D461" s="824"/>
      <c r="E461" s="824"/>
      <c r="F461" s="824"/>
      <c r="G461" s="825"/>
      <c r="H461" s="826"/>
      <c r="I461" s="826"/>
      <c r="J461" s="827"/>
      <c r="K461" s="828"/>
      <c r="L461" s="823"/>
      <c r="M461" s="829"/>
      <c r="N461" s="830"/>
      <c r="O461" s="831"/>
      <c r="P461" s="832"/>
      <c r="Q461" s="833"/>
      <c r="R461" s="807">
        <f>$A461*Q461</f>
        <v>0</v>
      </c>
      <c r="S461" s="528"/>
      <c r="T461" s="643">
        <f>$A461*S461*$T$1</f>
        <v>0</v>
      </c>
    </row>
    <row r="462" spans="1:41" s="519" customFormat="1" ht="11.4">
      <c r="A462" s="49"/>
      <c r="B462" s="528"/>
      <c r="C462" s="528"/>
      <c r="D462" s="528"/>
      <c r="E462" s="528"/>
      <c r="F462" s="528"/>
      <c r="G462" s="528"/>
      <c r="H462" s="528"/>
      <c r="I462" s="528"/>
      <c r="J462" s="528"/>
      <c r="K462" s="528"/>
      <c r="L462" s="806"/>
      <c r="M462" s="528"/>
      <c r="N462" s="528"/>
      <c r="O462" s="528"/>
      <c r="P462" s="528"/>
      <c r="Q462" s="528"/>
      <c r="R462" s="807">
        <f>$A462*Q462</f>
        <v>0</v>
      </c>
      <c r="S462" s="528"/>
      <c r="T462" s="643">
        <f>$A462*S462*$T$1</f>
        <v>0</v>
      </c>
    </row>
    <row r="463" spans="1:41" s="519" customFormat="1" ht="13.2">
      <c r="A463" s="49"/>
      <c r="B463" s="528"/>
      <c r="C463" s="528"/>
      <c r="D463" s="3"/>
      <c r="E463" s="528"/>
      <c r="F463" s="528"/>
      <c r="G463" s="528"/>
      <c r="H463" s="528"/>
      <c r="I463" s="528"/>
      <c r="J463" s="528"/>
      <c r="K463" s="528"/>
      <c r="L463" s="806"/>
      <c r="M463" s="528"/>
      <c r="N463" s="528"/>
      <c r="O463" s="528"/>
      <c r="P463" s="528"/>
      <c r="Q463" s="528"/>
      <c r="R463" s="807">
        <f>$A463*Q463</f>
        <v>0</v>
      </c>
      <c r="S463" s="528"/>
      <c r="T463" s="643">
        <f>$A463*S463*$T$1</f>
        <v>0</v>
      </c>
    </row>
    <row r="464" spans="1:41" s="519" customFormat="1" ht="12" customHeight="1">
      <c r="A464" s="835" t="s">
        <v>145</v>
      </c>
      <c r="B464" s="836">
        <f>(R463+T463)</f>
        <v>0</v>
      </c>
      <c r="C464" s="837"/>
      <c r="D464" s="837"/>
      <c r="E464" s="837"/>
      <c r="F464" s="837"/>
      <c r="G464" s="813"/>
      <c r="H464" s="813"/>
      <c r="I464" s="813"/>
      <c r="J464" s="813"/>
      <c r="K464" s="838" t="s">
        <v>5</v>
      </c>
      <c r="L464" s="839" t="s">
        <v>590</v>
      </c>
      <c r="M464" s="813"/>
      <c r="N464" s="813"/>
      <c r="O464" s="813"/>
      <c r="P464" s="813"/>
      <c r="Q464" s="813"/>
      <c r="R464" s="814">
        <f>SUM(R460:R463)</f>
        <v>0</v>
      </c>
      <c r="S464" s="815"/>
      <c r="T464" s="814">
        <f>SUM(T460:T463)</f>
        <v>0</v>
      </c>
      <c r="AG464" s="840">
        <f>ROUND($R464*$S$3,2)</f>
        <v>0</v>
      </c>
    </row>
    <row r="465" spans="1:256" s="519" customFormat="1" ht="12.75" customHeight="1">
      <c r="A465" s="841"/>
      <c r="B465" s="842"/>
      <c r="E465" s="641"/>
      <c r="F465" s="843"/>
      <c r="G465" s="641"/>
      <c r="H465" s="641"/>
      <c r="I465" s="518"/>
      <c r="J465" s="641"/>
      <c r="K465" s="641"/>
      <c r="L465" s="844"/>
      <c r="M465" s="652"/>
      <c r="N465" s="652"/>
      <c r="O465" s="652"/>
      <c r="P465" s="652"/>
      <c r="Q465" s="653"/>
      <c r="R465" s="821"/>
      <c r="S465" s="641"/>
      <c r="T465" s="821"/>
    </row>
    <row r="466" spans="1:256" s="519" customFormat="1" ht="13.5" customHeight="1" thickBot="1">
      <c r="A466" s="845"/>
      <c r="B466" s="846"/>
      <c r="C466" s="529"/>
      <c r="D466" s="529"/>
      <c r="E466" s="646"/>
      <c r="F466" s="647"/>
      <c r="G466" s="646" t="s">
        <v>146</v>
      </c>
      <c r="H466" s="646"/>
      <c r="I466" s="648"/>
      <c r="J466" s="646"/>
      <c r="K466" s="646"/>
      <c r="L466" s="847" t="s">
        <v>143</v>
      </c>
      <c r="M466" s="649"/>
      <c r="N466" s="649"/>
      <c r="O466" s="649"/>
      <c r="P466" s="649"/>
      <c r="Q466" s="650"/>
      <c r="R466" s="848">
        <f ca="1">SUMIF($L453:$L465,"SUBI",R453:R465)</f>
        <v>20.04</v>
      </c>
      <c r="S466" s="646"/>
      <c r="T466" s="848">
        <f ca="1">SUMIF($L453:$L465,"SUBI",T453:T465)</f>
        <v>1.66</v>
      </c>
      <c r="U466" s="529"/>
      <c r="V466" s="529"/>
      <c r="W466" s="529"/>
      <c r="X466" s="529"/>
      <c r="Y466" s="529"/>
      <c r="Z466" s="529"/>
      <c r="AA466" s="529"/>
      <c r="AB466" s="529"/>
      <c r="AC466" s="529"/>
      <c r="AD466" s="529"/>
      <c r="AE466" s="529"/>
      <c r="AF466" s="529"/>
      <c r="AG466" s="529"/>
      <c r="AH466" s="529"/>
      <c r="AI466" s="529"/>
      <c r="AJ466" s="529"/>
      <c r="AK466" s="529"/>
      <c r="AL466" s="529"/>
      <c r="AM466" s="529"/>
      <c r="AN466" s="529"/>
      <c r="AO466" s="529"/>
    </row>
    <row r="467" spans="1:256" s="519" customFormat="1" ht="12" thickTop="1">
      <c r="A467" s="47"/>
      <c r="B467" s="40"/>
      <c r="C467" s="47"/>
      <c r="E467" s="41" t="s">
        <v>138</v>
      </c>
      <c r="F467" s="41" t="s">
        <v>139</v>
      </c>
      <c r="G467" s="47"/>
      <c r="H467" s="47"/>
      <c r="I467" s="47"/>
      <c r="J467" s="47"/>
      <c r="K467" s="47" t="s">
        <v>140</v>
      </c>
      <c r="L467" s="47"/>
      <c r="M467" s="47"/>
      <c r="N467" s="47"/>
      <c r="O467" s="48"/>
      <c r="P467" s="47"/>
      <c r="Q467" s="47"/>
      <c r="R467" s="47"/>
      <c r="S467" s="47"/>
      <c r="T467" s="40"/>
      <c r="AG467" s="627" t="s">
        <v>277</v>
      </c>
      <c r="AH467" s="627" t="s">
        <v>278</v>
      </c>
      <c r="AI467" s="627" t="s">
        <v>279</v>
      </c>
      <c r="AJ467" s="627" t="s">
        <v>280</v>
      </c>
      <c r="AK467" s="627" t="s">
        <v>281</v>
      </c>
      <c r="AM467" s="628" t="s">
        <v>290</v>
      </c>
      <c r="AN467" s="629" t="s">
        <v>291</v>
      </c>
      <c r="AO467" s="520" t="s">
        <v>287</v>
      </c>
    </row>
    <row r="468" spans="1:256" s="519" customFormat="1" ht="12" customHeight="1">
      <c r="A468" s="630">
        <v>8</v>
      </c>
      <c r="B468" s="521" t="s">
        <v>312</v>
      </c>
      <c r="C468" s="631"/>
      <c r="D468" s="632" t="s">
        <v>637</v>
      </c>
      <c r="E468" s="633">
        <f ca="1">IF(AND($A468=0,$A$1="DIF"),0, ROUND(ROUND(($R480*$S$2+($T480*$T$2))/A468,2)*$C$2,2))</f>
        <v>709.79</v>
      </c>
      <c r="F468" s="634">
        <f ca="1">ROUND($A468*$E468,2)</f>
        <v>5678.32</v>
      </c>
      <c r="G468" s="635" t="s">
        <v>142</v>
      </c>
      <c r="H468" s="636"/>
      <c r="I468" s="637"/>
      <c r="J468" s="636"/>
      <c r="K468" s="636" t="s">
        <v>3</v>
      </c>
      <c r="L468" s="638" t="s">
        <v>143</v>
      </c>
      <c r="M468" s="638"/>
      <c r="N468" s="638"/>
      <c r="O468" s="638"/>
      <c r="P468" s="638"/>
      <c r="Q468" s="47"/>
      <c r="T468" s="639" t="str">
        <f ca="1">IF(AND($R480=0,$T480=0),"0.00","mu :" &amp; ROUND($F468/$C$2/($R480+$T480*$D$9),2))</f>
        <v>mu :1</v>
      </c>
      <c r="W468" s="522"/>
      <c r="AG468" s="470">
        <f ca="1">IF($E468=0,0,ROUND($R480*$S$2*$C$2/$A468,2))</f>
        <v>255.05</v>
      </c>
      <c r="AH468" s="470">
        <f ca="1">$AG468*$A468</f>
        <v>2040.4</v>
      </c>
      <c r="AI468" s="523">
        <f ca="1">$E468-$AG468</f>
        <v>454.73999999999995</v>
      </c>
      <c r="AJ468" s="523">
        <f ca="1">$A468*$AI468</f>
        <v>3637.9199999999996</v>
      </c>
      <c r="AK468" s="524">
        <f ca="1">ROUND(($AG468+$AI468)*$A468,2)</f>
        <v>5678.32</v>
      </c>
      <c r="AM468" s="525">
        <f ca="1">ROUND(R480,2)</f>
        <v>2040.4</v>
      </c>
      <c r="AN468" s="526">
        <f ca="1">ROUND(T480,2)</f>
        <v>132.47999999999999</v>
      </c>
      <c r="AO468" s="527">
        <f ca="1">ROUND(AM468+AN468,2)*A468</f>
        <v>17383.04</v>
      </c>
    </row>
    <row r="469" spans="1:256" s="519" customFormat="1" ht="69.599999999999994" customHeight="1">
      <c r="A469" s="631"/>
      <c r="B469"/>
      <c r="C469" s="631"/>
      <c r="D469" s="981" t="s">
        <v>604</v>
      </c>
      <c r="E469" s="980"/>
      <c r="F469" s="980"/>
      <c r="G469" s="980"/>
      <c r="H469" s="980"/>
      <c r="I469" s="980"/>
      <c r="J469" s="980"/>
      <c r="K469" s="980"/>
      <c r="L469" s="980"/>
      <c r="M469" s="980"/>
      <c r="N469" s="980"/>
      <c r="O469" s="980"/>
      <c r="P469" s="980"/>
      <c r="Q469" s="980"/>
      <c r="R469" s="980"/>
      <c r="S469" s="980"/>
      <c r="T469" s="980"/>
    </row>
    <row r="470" spans="1:256" s="519" customFormat="1" ht="24">
      <c r="A470" s="631"/>
      <c r="B470"/>
      <c r="C470" s="631"/>
      <c r="D470" s="1016" t="s">
        <v>933</v>
      </c>
      <c r="E470" s="980"/>
      <c r="F470" s="980"/>
      <c r="G470" s="980"/>
      <c r="H470" s="980"/>
      <c r="I470" s="980"/>
      <c r="J470" s="980"/>
      <c r="K470" s="980"/>
      <c r="L470" s="980"/>
      <c r="M470" s="980"/>
      <c r="N470" s="980"/>
      <c r="O470" s="980"/>
      <c r="P470" s="980"/>
      <c r="Q470" s="980"/>
      <c r="R470" s="980"/>
      <c r="S470" s="980"/>
      <c r="T470" s="980"/>
    </row>
    <row r="471" spans="1:256" s="956" customFormat="1" ht="13.2">
      <c r="A471"/>
      <c r="B471" s="948"/>
      <c r="C471" s="948" t="s">
        <v>742</v>
      </c>
      <c r="D471" s="948" t="str">
        <f ca="1">CELL("Address",Elec_Rates!D$121)</f>
        <v>[ELM25_0085_Quintano_Elec_Mech_HVAC_Est_Rev_B.xlsx]Elec_Rates!$D$121</v>
      </c>
      <c r="E471" s="949"/>
      <c r="F471" s="949"/>
      <c r="G471" s="950" t="s">
        <v>743</v>
      </c>
      <c r="H471" s="950"/>
      <c r="I471" s="950"/>
      <c r="J471" s="950"/>
      <c r="K471" s="951"/>
      <c r="L471" s="949"/>
      <c r="M471" s="949"/>
      <c r="N471" s="949"/>
      <c r="O471" s="952"/>
      <c r="P471" s="949"/>
      <c r="Q471" s="953"/>
      <c r="R471" s="954"/>
      <c r="S471" s="953"/>
      <c r="T471" s="943"/>
      <c r="U471" s="955"/>
    </row>
    <row r="472" spans="1:256" s="956" customFormat="1" ht="11.4">
      <c r="A472" s="957">
        <v>20</v>
      </c>
      <c r="B472" s="958">
        <v>1</v>
      </c>
      <c r="C472" s="958">
        <f>$A472*$B472</f>
        <v>20</v>
      </c>
      <c r="D472" s="959" t="str">
        <f>Elec_Rates!$D$121</f>
        <v>073# 300mm cable Tray c/w bracket to wall</v>
      </c>
      <c r="E472" s="959"/>
      <c r="F472" s="959" t="s">
        <v>744</v>
      </c>
      <c r="G472" s="960" t="s">
        <v>745</v>
      </c>
      <c r="H472" s="960"/>
      <c r="I472" s="960"/>
      <c r="J472" s="960"/>
      <c r="K472" s="961"/>
      <c r="L472" s="955"/>
      <c r="M472" s="955"/>
      <c r="N472" s="955"/>
      <c r="O472" s="962"/>
      <c r="P472" s="959"/>
      <c r="Q472" s="963">
        <f ca="1">$B472*Elec_Rates!$R$121</f>
        <v>8.66</v>
      </c>
      <c r="R472" s="954">
        <f ca="1">$A472*Q472</f>
        <v>173.2</v>
      </c>
      <c r="S472" s="963">
        <f ca="1">$B472*Elec_Rates!$T$121</f>
        <v>0.56000000000000005</v>
      </c>
      <c r="T472" s="943">
        <f ca="1">$A472*S472</f>
        <v>11.200000000000001</v>
      </c>
      <c r="U472" s="501"/>
    </row>
    <row r="473" spans="1:256" s="933" customFormat="1" ht="11.4">
      <c r="A473" s="957">
        <f>8*10*3</f>
        <v>240</v>
      </c>
      <c r="B473" s="933" t="s">
        <v>311</v>
      </c>
      <c r="D473" s="933" t="s">
        <v>851</v>
      </c>
      <c r="G473" s="936" t="s">
        <v>852</v>
      </c>
      <c r="H473" s="937">
        <v>690</v>
      </c>
      <c r="I473" s="933" t="s">
        <v>780</v>
      </c>
      <c r="J473" s="933" t="s">
        <v>781</v>
      </c>
      <c r="K473" s="940" t="s">
        <v>7</v>
      </c>
      <c r="O473" s="938">
        <v>1</v>
      </c>
      <c r="P473" s="939">
        <v>34669</v>
      </c>
      <c r="Q473" s="982">
        <v>3.66</v>
      </c>
      <c r="R473" s="941">
        <f t="shared" ref="R473:R477" si="6">$A473*Q473</f>
        <v>878.40000000000009</v>
      </c>
      <c r="S473" s="940">
        <v>0.2</v>
      </c>
      <c r="T473" s="942">
        <f t="shared" ref="T473:T478" si="7">$A473*S473*$T$1</f>
        <v>48</v>
      </c>
    </row>
    <row r="474" spans="1:256" s="933" customFormat="1" ht="11.4">
      <c r="A474" s="957">
        <f>48*8*3</f>
        <v>1152</v>
      </c>
      <c r="B474" s="933" t="s">
        <v>311</v>
      </c>
      <c r="D474" s="933" t="s">
        <v>853</v>
      </c>
      <c r="E474" s="933" t="s">
        <v>952</v>
      </c>
      <c r="F474" s="984"/>
      <c r="G474" s="936" t="s">
        <v>854</v>
      </c>
      <c r="H474" s="937">
        <v>617</v>
      </c>
      <c r="I474" s="933" t="s">
        <v>855</v>
      </c>
      <c r="J474" s="933" t="s">
        <v>856</v>
      </c>
      <c r="K474" s="940" t="s">
        <v>7</v>
      </c>
      <c r="O474" s="938">
        <v>2</v>
      </c>
      <c r="P474" s="939"/>
      <c r="Q474" s="940">
        <f>0.62*1.25</f>
        <v>0.77500000000000002</v>
      </c>
      <c r="R474" s="941">
        <f t="shared" si="6"/>
        <v>892.80000000000007</v>
      </c>
      <c r="S474" s="940">
        <v>0.05</v>
      </c>
      <c r="T474" s="942">
        <f t="shared" si="7"/>
        <v>57.6</v>
      </c>
    </row>
    <row r="475" spans="1:256" s="956" customFormat="1" ht="11.4">
      <c r="A475" s="957">
        <f>8*2*3</f>
        <v>48</v>
      </c>
      <c r="B475" s="933" t="s">
        <v>141</v>
      </c>
      <c r="C475" s="933"/>
      <c r="D475" s="933" t="s">
        <v>857</v>
      </c>
      <c r="E475" s="933"/>
      <c r="F475" s="933"/>
      <c r="G475" s="936" t="s">
        <v>858</v>
      </c>
      <c r="H475" s="937">
        <v>620</v>
      </c>
      <c r="I475" s="933" t="s">
        <v>729</v>
      </c>
      <c r="J475" s="933"/>
      <c r="K475" s="940" t="s">
        <v>7</v>
      </c>
      <c r="L475" s="933"/>
      <c r="M475" s="933"/>
      <c r="N475" s="933"/>
      <c r="O475" s="938">
        <v>2</v>
      </c>
      <c r="P475" s="939">
        <v>38148</v>
      </c>
      <c r="Q475" s="940">
        <f>1.1*1.5</f>
        <v>1.6500000000000001</v>
      </c>
      <c r="R475" s="941">
        <f t="shared" si="6"/>
        <v>79.2</v>
      </c>
      <c r="S475" s="940">
        <v>0.1</v>
      </c>
      <c r="T475" s="942">
        <f t="shared" si="7"/>
        <v>4.8000000000000007</v>
      </c>
      <c r="U475" s="933"/>
      <c r="V475" s="933"/>
      <c r="W475" s="933"/>
      <c r="X475" s="933"/>
      <c r="Y475" s="933"/>
      <c r="Z475" s="933"/>
      <c r="AA475" s="933"/>
      <c r="AB475" s="933"/>
      <c r="AC475" s="519"/>
      <c r="AD475" s="519"/>
      <c r="AE475" s="519"/>
      <c r="AF475" s="519"/>
      <c r="AG475" s="933"/>
      <c r="AH475" s="933"/>
      <c r="AI475" s="933"/>
      <c r="AJ475" s="933"/>
      <c r="AK475" s="933"/>
      <c r="AL475" s="933"/>
      <c r="AM475" s="933"/>
      <c r="AN475" s="933"/>
      <c r="AO475" s="933"/>
      <c r="AP475" s="933"/>
      <c r="AQ475" s="933"/>
      <c r="AR475" s="933"/>
      <c r="AS475" s="933"/>
      <c r="AT475" s="933"/>
      <c r="AU475" s="933"/>
      <c r="AV475" s="933"/>
      <c r="AW475" s="933"/>
      <c r="AX475" s="933"/>
      <c r="AY475" s="933"/>
      <c r="AZ475" s="933"/>
      <c r="BA475" s="933"/>
      <c r="BB475" s="933"/>
      <c r="BC475" s="933"/>
      <c r="BD475" s="933"/>
      <c r="BE475" s="933"/>
      <c r="BF475" s="933"/>
      <c r="BG475" s="933"/>
      <c r="BH475" s="933"/>
      <c r="BI475" s="933"/>
      <c r="BJ475" s="933"/>
      <c r="BK475" s="933"/>
      <c r="BL475" s="933"/>
      <c r="BM475" s="933"/>
      <c r="BN475" s="933"/>
      <c r="BO475" s="933"/>
      <c r="BP475" s="933"/>
      <c r="BQ475" s="933"/>
      <c r="BR475" s="933"/>
      <c r="BS475" s="933"/>
      <c r="BT475" s="933"/>
      <c r="BU475" s="933"/>
      <c r="BV475" s="933"/>
      <c r="BW475" s="933"/>
      <c r="BX475" s="933"/>
      <c r="BY475" s="933"/>
      <c r="BZ475" s="933"/>
      <c r="CA475" s="933"/>
      <c r="CB475" s="933"/>
      <c r="CC475" s="933"/>
      <c r="CD475" s="933"/>
      <c r="CE475" s="933"/>
      <c r="CF475" s="933"/>
      <c r="CG475" s="933"/>
      <c r="CH475" s="933"/>
      <c r="CI475" s="933"/>
      <c r="CJ475" s="933"/>
      <c r="CK475" s="933"/>
      <c r="CL475" s="933"/>
      <c r="CM475" s="933"/>
      <c r="CN475" s="933"/>
      <c r="CO475" s="933"/>
      <c r="CP475" s="933"/>
      <c r="CQ475" s="933"/>
      <c r="CR475" s="933"/>
      <c r="CS475" s="933"/>
      <c r="CT475" s="933"/>
      <c r="CU475" s="933"/>
      <c r="CV475" s="933"/>
      <c r="CW475" s="933"/>
      <c r="CX475" s="933"/>
      <c r="CY475" s="933"/>
      <c r="CZ475" s="933"/>
      <c r="DA475" s="933"/>
      <c r="DB475" s="933"/>
      <c r="DC475" s="933"/>
      <c r="DD475" s="933"/>
      <c r="DE475" s="933"/>
      <c r="DF475" s="933"/>
      <c r="DG475" s="933"/>
      <c r="DH475" s="933"/>
      <c r="DI475" s="933"/>
      <c r="DJ475" s="933"/>
      <c r="DK475" s="933"/>
      <c r="DL475" s="933"/>
      <c r="DM475" s="933"/>
      <c r="DN475" s="933"/>
      <c r="DO475" s="933"/>
      <c r="DP475" s="933"/>
      <c r="DQ475" s="933"/>
      <c r="DR475" s="933"/>
      <c r="DS475" s="933"/>
      <c r="DT475" s="933"/>
      <c r="DU475" s="933"/>
      <c r="DV475" s="933"/>
      <c r="DW475" s="933"/>
      <c r="DX475" s="933"/>
      <c r="DY475" s="933"/>
      <c r="DZ475" s="933"/>
      <c r="EA475" s="933"/>
      <c r="EB475" s="933"/>
      <c r="EC475" s="933"/>
      <c r="ED475" s="933"/>
      <c r="EE475" s="933"/>
      <c r="EF475" s="933"/>
      <c r="EG475" s="933"/>
      <c r="EH475" s="933"/>
      <c r="EI475" s="933"/>
      <c r="EJ475" s="933"/>
      <c r="EK475" s="933"/>
      <c r="EL475" s="933"/>
      <c r="EM475" s="933"/>
      <c r="EN475" s="933"/>
      <c r="EO475" s="933"/>
      <c r="EP475" s="933"/>
      <c r="EQ475" s="933"/>
      <c r="ER475" s="933"/>
      <c r="ES475" s="933"/>
      <c r="ET475" s="933"/>
      <c r="EU475" s="933"/>
      <c r="EV475" s="933"/>
      <c r="EW475" s="933"/>
      <c r="EX475" s="933"/>
      <c r="EY475" s="933"/>
      <c r="EZ475" s="933"/>
      <c r="FA475" s="933"/>
      <c r="FB475" s="933"/>
      <c r="FC475" s="933"/>
      <c r="FD475" s="933"/>
      <c r="FE475" s="933"/>
      <c r="FF475" s="933"/>
      <c r="FG475" s="933"/>
      <c r="FH475" s="933"/>
      <c r="FI475" s="933"/>
      <c r="FJ475" s="933"/>
      <c r="FK475" s="933"/>
      <c r="FL475" s="933"/>
      <c r="FM475" s="933"/>
      <c r="FN475" s="933"/>
      <c r="FO475" s="933"/>
      <c r="FP475" s="933"/>
      <c r="FQ475" s="933"/>
      <c r="FR475" s="933"/>
      <c r="FS475" s="933"/>
      <c r="FT475" s="933"/>
      <c r="FU475" s="933"/>
      <c r="FV475" s="933"/>
      <c r="FW475" s="933"/>
      <c r="FX475" s="933"/>
      <c r="FY475" s="933"/>
      <c r="FZ475" s="933"/>
      <c r="GA475" s="933"/>
      <c r="GB475" s="933"/>
      <c r="GC475" s="933"/>
      <c r="GD475" s="933"/>
      <c r="GE475" s="933"/>
      <c r="GF475" s="933"/>
      <c r="GG475" s="933"/>
      <c r="GH475" s="933"/>
      <c r="GI475" s="933"/>
      <c r="GJ475" s="933"/>
      <c r="GK475" s="933"/>
      <c r="GL475" s="933"/>
      <c r="GM475" s="933"/>
      <c r="GN475" s="933"/>
      <c r="GO475" s="933"/>
      <c r="GP475" s="933"/>
      <c r="GQ475" s="933"/>
      <c r="GR475" s="933"/>
      <c r="GS475" s="933"/>
      <c r="GT475" s="933"/>
      <c r="GU475" s="933"/>
      <c r="GV475" s="933"/>
      <c r="GW475" s="933"/>
      <c r="GX475" s="933"/>
      <c r="GY475" s="933"/>
      <c r="GZ475" s="933"/>
      <c r="HA475" s="933"/>
      <c r="HB475" s="933"/>
      <c r="HC475" s="933"/>
      <c r="HD475" s="933"/>
      <c r="HE475" s="933"/>
      <c r="HF475" s="933"/>
      <c r="HG475" s="933"/>
      <c r="HH475" s="933"/>
      <c r="HI475" s="933"/>
      <c r="HJ475" s="933"/>
      <c r="HK475" s="933"/>
      <c r="HL475" s="933"/>
      <c r="HM475" s="933"/>
      <c r="HN475" s="933"/>
      <c r="HO475" s="933"/>
      <c r="HP475" s="933"/>
      <c r="HQ475" s="933"/>
      <c r="HR475" s="933"/>
      <c r="HS475" s="933"/>
      <c r="HT475" s="933"/>
      <c r="HU475" s="933"/>
      <c r="HV475" s="933"/>
      <c r="HW475" s="933"/>
      <c r="HX475" s="933"/>
      <c r="HY475" s="933"/>
      <c r="HZ475" s="933"/>
      <c r="IA475" s="933"/>
      <c r="IB475" s="933"/>
      <c r="IC475" s="933"/>
      <c r="ID475" s="933"/>
      <c r="IE475" s="933"/>
      <c r="IF475" s="933"/>
      <c r="IG475" s="933"/>
      <c r="IH475" s="933"/>
      <c r="II475" s="933"/>
      <c r="IJ475" s="933"/>
      <c r="IK475" s="933"/>
      <c r="IL475" s="933"/>
      <c r="IM475" s="933"/>
      <c r="IN475" s="933"/>
      <c r="IO475" s="933"/>
      <c r="IP475" s="933"/>
      <c r="IQ475" s="933"/>
      <c r="IR475" s="933"/>
      <c r="IS475" s="933"/>
      <c r="IT475" s="933"/>
      <c r="IU475" s="933"/>
      <c r="IV475" s="933"/>
    </row>
    <row r="476" spans="1:256" s="956" customFormat="1" ht="11.4">
      <c r="A476" s="957">
        <f>8*2*3</f>
        <v>48</v>
      </c>
      <c r="B476" s="933" t="s">
        <v>141</v>
      </c>
      <c r="C476" s="933"/>
      <c r="D476" s="933" t="s">
        <v>859</v>
      </c>
      <c r="E476" s="933"/>
      <c r="F476" s="933"/>
      <c r="G476" s="936" t="s">
        <v>860</v>
      </c>
      <c r="H476" s="937">
        <v>620</v>
      </c>
      <c r="I476" s="933" t="s">
        <v>729</v>
      </c>
      <c r="J476" s="933"/>
      <c r="K476" s="940" t="s">
        <v>7</v>
      </c>
      <c r="L476" s="933"/>
      <c r="M476" s="933"/>
      <c r="N476" s="933"/>
      <c r="O476" s="938">
        <v>2</v>
      </c>
      <c r="P476" s="939"/>
      <c r="Q476" s="940">
        <v>0.2</v>
      </c>
      <c r="R476" s="941">
        <f t="shared" si="6"/>
        <v>9.6000000000000014</v>
      </c>
      <c r="S476" s="940">
        <v>0.03</v>
      </c>
      <c r="T476" s="942">
        <f t="shared" si="7"/>
        <v>1.44</v>
      </c>
      <c r="U476" s="933"/>
      <c r="V476" s="933"/>
      <c r="W476" s="933"/>
      <c r="X476" s="933"/>
      <c r="Y476" s="933"/>
      <c r="Z476" s="933"/>
      <c r="AA476" s="933"/>
      <c r="AB476" s="933"/>
      <c r="AC476" s="933"/>
      <c r="AD476" s="933"/>
      <c r="AE476" s="933"/>
      <c r="AF476" s="933"/>
      <c r="AG476" s="933"/>
      <c r="AH476" s="933"/>
      <c r="AI476" s="933"/>
      <c r="AJ476" s="933"/>
      <c r="AK476" s="933"/>
      <c r="AL476" s="933"/>
      <c r="AM476" s="933"/>
      <c r="AN476" s="933"/>
      <c r="AO476" s="933"/>
      <c r="AP476" s="933"/>
      <c r="AQ476" s="933"/>
      <c r="AR476" s="933"/>
      <c r="AS476" s="933"/>
      <c r="AT476" s="933"/>
      <c r="AU476" s="933"/>
      <c r="AV476" s="933"/>
      <c r="AW476" s="933"/>
      <c r="AX476" s="933"/>
      <c r="AY476" s="933"/>
      <c r="AZ476" s="933"/>
      <c r="BA476" s="933"/>
      <c r="BB476" s="933"/>
      <c r="BC476" s="933"/>
      <c r="BD476" s="933"/>
      <c r="BE476" s="933"/>
      <c r="BF476" s="933"/>
      <c r="BG476" s="933"/>
      <c r="BH476" s="933"/>
      <c r="BI476" s="933"/>
      <c r="BJ476" s="933"/>
      <c r="BK476" s="933"/>
      <c r="BL476" s="933"/>
      <c r="BM476" s="933"/>
      <c r="BN476" s="933"/>
      <c r="BO476" s="933"/>
      <c r="BP476" s="933"/>
      <c r="BQ476" s="933"/>
      <c r="BR476" s="933"/>
      <c r="BS476" s="933"/>
      <c r="BT476" s="933"/>
      <c r="BU476" s="933"/>
      <c r="BV476" s="933"/>
      <c r="BW476" s="933"/>
      <c r="BX476" s="933"/>
      <c r="BY476" s="933"/>
      <c r="BZ476" s="933"/>
      <c r="CA476" s="933"/>
      <c r="CB476" s="933"/>
      <c r="CC476" s="933"/>
      <c r="CD476" s="933"/>
      <c r="CE476" s="933"/>
      <c r="CF476" s="933"/>
      <c r="CG476" s="933"/>
      <c r="CH476" s="933"/>
      <c r="CI476" s="933"/>
      <c r="CJ476" s="933"/>
      <c r="CK476" s="933"/>
      <c r="CL476" s="933"/>
      <c r="CM476" s="933"/>
      <c r="CN476" s="933"/>
      <c r="CO476" s="933"/>
      <c r="CP476" s="933"/>
      <c r="CQ476" s="933"/>
      <c r="CR476" s="933"/>
      <c r="CS476" s="933"/>
      <c r="CT476" s="933"/>
      <c r="CU476" s="933"/>
      <c r="CV476" s="933"/>
      <c r="CW476" s="933"/>
      <c r="CX476" s="933"/>
      <c r="CY476" s="933"/>
      <c r="CZ476" s="933"/>
      <c r="DA476" s="933"/>
      <c r="DB476" s="933"/>
      <c r="DC476" s="933"/>
      <c r="DD476" s="933"/>
      <c r="DE476" s="933"/>
      <c r="DF476" s="933"/>
      <c r="DG476" s="933"/>
      <c r="DH476" s="933"/>
      <c r="DI476" s="933"/>
      <c r="DJ476" s="933"/>
      <c r="DK476" s="933"/>
      <c r="DL476" s="933"/>
      <c r="DM476" s="933"/>
      <c r="DN476" s="933"/>
      <c r="DO476" s="933"/>
      <c r="DP476" s="933"/>
      <c r="DQ476" s="933"/>
      <c r="DR476" s="933"/>
      <c r="DS476" s="933"/>
      <c r="DT476" s="933"/>
      <c r="DU476" s="933"/>
      <c r="DV476" s="933"/>
      <c r="DW476" s="933"/>
      <c r="DX476" s="933"/>
      <c r="DY476" s="933"/>
      <c r="DZ476" s="933"/>
      <c r="EA476" s="933"/>
      <c r="EB476" s="933"/>
      <c r="EC476" s="933"/>
      <c r="ED476" s="933"/>
      <c r="EE476" s="933"/>
      <c r="EF476" s="933"/>
      <c r="EG476" s="933"/>
      <c r="EH476" s="933"/>
      <c r="EI476" s="933"/>
      <c r="EJ476" s="933"/>
      <c r="EK476" s="933"/>
      <c r="EL476" s="933"/>
      <c r="EM476" s="933"/>
      <c r="EN476" s="933"/>
      <c r="EO476" s="933"/>
      <c r="EP476" s="933"/>
      <c r="EQ476" s="933"/>
      <c r="ER476" s="933"/>
      <c r="ES476" s="933"/>
      <c r="ET476" s="933"/>
      <c r="EU476" s="933"/>
      <c r="EV476" s="933"/>
      <c r="EW476" s="933"/>
      <c r="EX476" s="933"/>
      <c r="EY476" s="933"/>
      <c r="EZ476" s="933"/>
      <c r="FA476" s="933"/>
      <c r="FB476" s="933"/>
      <c r="FC476" s="933"/>
      <c r="FD476" s="933"/>
      <c r="FE476" s="933"/>
      <c r="FF476" s="933"/>
      <c r="FG476" s="933"/>
      <c r="FH476" s="933"/>
      <c r="FI476" s="933"/>
      <c r="FJ476" s="933"/>
      <c r="FK476" s="933"/>
      <c r="FL476" s="933"/>
      <c r="FM476" s="933"/>
      <c r="FN476" s="933"/>
      <c r="FO476" s="933"/>
      <c r="FP476" s="933"/>
      <c r="FQ476" s="933"/>
      <c r="FR476" s="933"/>
      <c r="FS476" s="933"/>
      <c r="FT476" s="933"/>
      <c r="FU476" s="933"/>
      <c r="FV476" s="933"/>
      <c r="FW476" s="933"/>
      <c r="FX476" s="933"/>
      <c r="FY476" s="933"/>
      <c r="FZ476" s="933"/>
      <c r="GA476" s="933"/>
      <c r="GB476" s="933"/>
      <c r="GC476" s="933"/>
      <c r="GD476" s="933"/>
      <c r="GE476" s="933"/>
      <c r="GF476" s="933"/>
      <c r="GG476" s="933"/>
      <c r="GH476" s="933"/>
      <c r="GI476" s="933"/>
      <c r="GJ476" s="933"/>
      <c r="GK476" s="933"/>
      <c r="GL476" s="933"/>
      <c r="GM476" s="933"/>
      <c r="GN476" s="933"/>
      <c r="GO476" s="933"/>
      <c r="GP476" s="933"/>
      <c r="GQ476" s="933"/>
      <c r="GR476" s="933"/>
      <c r="GS476" s="933"/>
      <c r="GT476" s="933"/>
      <c r="GU476" s="933"/>
      <c r="GV476" s="933"/>
      <c r="GW476" s="933"/>
      <c r="GX476" s="933"/>
      <c r="GY476" s="933"/>
      <c r="GZ476" s="933"/>
      <c r="HA476" s="933"/>
      <c r="HB476" s="933"/>
      <c r="HC476" s="933"/>
      <c r="HD476" s="933"/>
      <c r="HE476" s="933"/>
      <c r="HF476" s="933"/>
      <c r="HG476" s="933"/>
      <c r="HH476" s="933"/>
      <c r="HI476" s="933"/>
      <c r="HJ476" s="933"/>
      <c r="HK476" s="933"/>
      <c r="HL476" s="933"/>
      <c r="HM476" s="933"/>
      <c r="HN476" s="933"/>
      <c r="HO476" s="933"/>
      <c r="HP476" s="933"/>
      <c r="HQ476" s="933"/>
      <c r="HR476" s="933"/>
      <c r="HS476" s="933"/>
      <c r="HT476" s="933"/>
      <c r="HU476" s="933"/>
      <c r="HV476" s="933"/>
      <c r="HW476" s="933"/>
      <c r="HX476" s="933"/>
      <c r="HY476" s="933"/>
      <c r="HZ476" s="933"/>
      <c r="IA476" s="933"/>
      <c r="IB476" s="933"/>
      <c r="IC476" s="933"/>
      <c r="ID476" s="933"/>
      <c r="IE476" s="933"/>
      <c r="IF476" s="933"/>
      <c r="IG476" s="933"/>
      <c r="IH476" s="933"/>
      <c r="II476" s="933"/>
      <c r="IJ476" s="933"/>
      <c r="IK476" s="933"/>
      <c r="IL476" s="933"/>
      <c r="IM476" s="933"/>
      <c r="IN476" s="933"/>
      <c r="IO476" s="933"/>
      <c r="IP476" s="933"/>
      <c r="IQ476" s="933"/>
      <c r="IR476" s="933"/>
      <c r="IS476" s="933"/>
      <c r="IT476" s="933"/>
      <c r="IU476" s="933"/>
      <c r="IV476" s="933"/>
    </row>
    <row r="477" spans="1:256" s="956" customFormat="1" ht="11.4">
      <c r="A477" s="957">
        <f>48*3</f>
        <v>144</v>
      </c>
      <c r="B477" s="933" t="s">
        <v>141</v>
      </c>
      <c r="C477" s="933"/>
      <c r="D477" s="933" t="s">
        <v>861</v>
      </c>
      <c r="E477" s="933"/>
      <c r="F477" s="933"/>
      <c r="G477" s="936" t="s">
        <v>862</v>
      </c>
      <c r="H477" s="937">
        <v>620</v>
      </c>
      <c r="I477" s="933" t="s">
        <v>741</v>
      </c>
      <c r="J477" s="933"/>
      <c r="K477" s="940" t="s">
        <v>7</v>
      </c>
      <c r="L477" s="933"/>
      <c r="M477" s="933"/>
      <c r="N477" s="933"/>
      <c r="O477" s="938">
        <v>2</v>
      </c>
      <c r="P477" s="939">
        <v>34669</v>
      </c>
      <c r="Q477" s="940">
        <v>0.05</v>
      </c>
      <c r="R477" s="941">
        <f t="shared" si="6"/>
        <v>7.2</v>
      </c>
      <c r="S477" s="940">
        <v>0.01</v>
      </c>
      <c r="T477" s="942">
        <f t="shared" si="7"/>
        <v>1.44</v>
      </c>
      <c r="U477" s="933"/>
      <c r="V477" s="933"/>
      <c r="W477" s="933"/>
      <c r="X477" s="933"/>
      <c r="Y477" s="933"/>
      <c r="Z477" s="933"/>
      <c r="AA477" s="933"/>
      <c r="AB477" s="933"/>
      <c r="AC477" s="933"/>
      <c r="AD477" s="933"/>
      <c r="AE477" s="933"/>
      <c r="AF477" s="933"/>
      <c r="AG477" s="933"/>
      <c r="AH477" s="933"/>
      <c r="AI477" s="933"/>
      <c r="AJ477" s="933"/>
      <c r="AK477" s="933"/>
      <c r="AL477" s="933"/>
      <c r="AM477" s="933"/>
      <c r="AN477" s="933"/>
      <c r="AO477" s="933"/>
      <c r="AP477" s="933"/>
      <c r="AQ477" s="933"/>
      <c r="AR477" s="933"/>
      <c r="AS477" s="933"/>
      <c r="AT477" s="933"/>
      <c r="AU477" s="933"/>
      <c r="AV477" s="933"/>
      <c r="AW477" s="933"/>
      <c r="AX477" s="933"/>
      <c r="AY477" s="933"/>
      <c r="AZ477" s="933"/>
      <c r="BA477" s="933"/>
      <c r="BB477" s="933"/>
      <c r="BC477" s="933"/>
      <c r="BD477" s="933"/>
      <c r="BE477" s="933"/>
      <c r="BF477" s="933"/>
      <c r="BG477" s="933"/>
      <c r="BH477" s="933"/>
      <c r="BI477" s="933"/>
      <c r="BJ477" s="933"/>
      <c r="BK477" s="933"/>
      <c r="BL477" s="933"/>
      <c r="BM477" s="933"/>
      <c r="BN477" s="933"/>
      <c r="BO477" s="933"/>
      <c r="BP477" s="933"/>
      <c r="BQ477" s="933"/>
      <c r="BR477" s="933"/>
      <c r="BS477" s="933"/>
      <c r="BT477" s="933"/>
      <c r="BU477" s="933"/>
      <c r="BV477" s="933"/>
      <c r="BW477" s="933"/>
      <c r="BX477" s="933"/>
      <c r="BY477" s="933"/>
      <c r="BZ477" s="933"/>
      <c r="CA477" s="933"/>
      <c r="CB477" s="933"/>
      <c r="CC477" s="933"/>
      <c r="CD477" s="933"/>
      <c r="CE477" s="933"/>
      <c r="CF477" s="933"/>
      <c r="CG477" s="933"/>
      <c r="CH477" s="933"/>
      <c r="CI477" s="933"/>
      <c r="CJ477" s="933"/>
      <c r="CK477" s="933"/>
      <c r="CL477" s="933"/>
      <c r="CM477" s="933"/>
      <c r="CN477" s="933"/>
      <c r="CO477" s="933"/>
      <c r="CP477" s="933"/>
      <c r="CQ477" s="933"/>
      <c r="CR477" s="933"/>
      <c r="CS477" s="933"/>
      <c r="CT477" s="933"/>
      <c r="CU477" s="933"/>
      <c r="CV477" s="933"/>
      <c r="CW477" s="933"/>
      <c r="CX477" s="933"/>
      <c r="CY477" s="933"/>
      <c r="CZ477" s="933"/>
      <c r="DA477" s="933"/>
      <c r="DB477" s="933"/>
      <c r="DC477" s="933"/>
      <c r="DD477" s="933"/>
      <c r="DE477" s="933"/>
      <c r="DF477" s="933"/>
      <c r="DG477" s="933"/>
      <c r="DH477" s="933"/>
      <c r="DI477" s="933"/>
      <c r="DJ477" s="933"/>
      <c r="DK477" s="933"/>
      <c r="DL477" s="933"/>
      <c r="DM477" s="933"/>
      <c r="DN477" s="933"/>
      <c r="DO477" s="933"/>
      <c r="DP477" s="933"/>
      <c r="DQ477" s="933"/>
      <c r="DR477" s="933"/>
      <c r="DS477" s="933"/>
      <c r="DT477" s="933"/>
      <c r="DU477" s="933"/>
      <c r="DV477" s="933"/>
      <c r="DW477" s="933"/>
      <c r="DX477" s="933"/>
      <c r="DY477" s="933"/>
      <c r="DZ477" s="933"/>
      <c r="EA477" s="933"/>
      <c r="EB477" s="933"/>
      <c r="EC477" s="933"/>
      <c r="ED477" s="933"/>
      <c r="EE477" s="933"/>
      <c r="EF477" s="933"/>
      <c r="EG477" s="933"/>
      <c r="EH477" s="933"/>
      <c r="EI477" s="933"/>
      <c r="EJ477" s="933"/>
      <c r="EK477" s="933"/>
      <c r="EL477" s="933"/>
      <c r="EM477" s="933"/>
      <c r="EN477" s="933"/>
      <c r="EO477" s="933"/>
      <c r="EP477" s="933"/>
      <c r="EQ477" s="933"/>
      <c r="ER477" s="933"/>
      <c r="ES477" s="933"/>
      <c r="ET477" s="933"/>
      <c r="EU477" s="933"/>
      <c r="EV477" s="933"/>
      <c r="EW477" s="933"/>
      <c r="EX477" s="933"/>
      <c r="EY477" s="933"/>
      <c r="EZ477" s="933"/>
      <c r="FA477" s="933"/>
      <c r="FB477" s="933"/>
      <c r="FC477" s="933"/>
      <c r="FD477" s="933"/>
      <c r="FE477" s="933"/>
      <c r="FF477" s="933"/>
      <c r="FG477" s="933"/>
      <c r="FH477" s="933"/>
      <c r="FI477" s="933"/>
      <c r="FJ477" s="933"/>
      <c r="FK477" s="933"/>
      <c r="FL477" s="933"/>
      <c r="FM477" s="933"/>
      <c r="FN477" s="933"/>
      <c r="FO477" s="933"/>
      <c r="FP477" s="933"/>
      <c r="FQ477" s="933"/>
      <c r="FR477" s="933"/>
      <c r="FS477" s="933"/>
      <c r="FT477" s="933"/>
      <c r="FU477" s="933"/>
      <c r="FV477" s="933"/>
      <c r="FW477" s="933"/>
      <c r="FX477" s="933"/>
      <c r="FY477" s="933"/>
      <c r="FZ477" s="933"/>
      <c r="GA477" s="933"/>
      <c r="GB477" s="933"/>
      <c r="GC477" s="933"/>
      <c r="GD477" s="933"/>
      <c r="GE477" s="933"/>
      <c r="GF477" s="933"/>
      <c r="GG477" s="933"/>
      <c r="GH477" s="933"/>
      <c r="GI477" s="933"/>
      <c r="GJ477" s="933"/>
      <c r="GK477" s="933"/>
      <c r="GL477" s="933"/>
      <c r="GM477" s="933"/>
      <c r="GN477" s="933"/>
      <c r="GO477" s="933"/>
      <c r="GP477" s="933"/>
      <c r="GQ477" s="933"/>
      <c r="GR477" s="933"/>
      <c r="GS477" s="933"/>
      <c r="GT477" s="933"/>
      <c r="GU477" s="933"/>
      <c r="GV477" s="933"/>
      <c r="GW477" s="933"/>
      <c r="GX477" s="933"/>
      <c r="GY477" s="933"/>
      <c r="GZ477" s="933"/>
      <c r="HA477" s="933"/>
      <c r="HB477" s="933"/>
      <c r="HC477" s="933"/>
      <c r="HD477" s="933"/>
      <c r="HE477" s="933"/>
      <c r="HF477" s="933"/>
      <c r="HG477" s="933"/>
      <c r="HH477" s="933"/>
      <c r="HI477" s="933"/>
      <c r="HJ477" s="933"/>
      <c r="HK477" s="933"/>
      <c r="HL477" s="933"/>
      <c r="HM477" s="933"/>
      <c r="HN477" s="933"/>
      <c r="HO477" s="933"/>
      <c r="HP477" s="933"/>
      <c r="HQ477" s="933"/>
      <c r="HR477" s="933"/>
      <c r="HS477" s="933"/>
      <c r="HT477" s="933"/>
      <c r="HU477" s="933"/>
      <c r="HV477" s="933"/>
      <c r="HW477" s="933"/>
      <c r="HX477" s="933"/>
      <c r="HY477" s="933"/>
      <c r="HZ477" s="933"/>
      <c r="IA477" s="933"/>
      <c r="IB477" s="933"/>
      <c r="IC477" s="933"/>
      <c r="ID477" s="933"/>
      <c r="IE477" s="933"/>
      <c r="IF477" s="933"/>
      <c r="IG477" s="933"/>
      <c r="IH477" s="933"/>
      <c r="II477" s="933"/>
      <c r="IJ477" s="933"/>
      <c r="IK477" s="933"/>
      <c r="IL477" s="933"/>
      <c r="IM477" s="933"/>
      <c r="IN477" s="933"/>
      <c r="IO477" s="933"/>
      <c r="IP477" s="933"/>
      <c r="IQ477" s="933"/>
      <c r="IR477" s="933"/>
      <c r="IS477" s="933"/>
      <c r="IT477" s="933"/>
      <c r="IU477" s="933"/>
      <c r="IV477" s="933"/>
    </row>
    <row r="478" spans="1:256" s="933" customFormat="1" ht="11.4">
      <c r="A478" s="957">
        <v>8</v>
      </c>
      <c r="B478" s="933" t="s">
        <v>141</v>
      </c>
      <c r="D478" s="933" t="s">
        <v>776</v>
      </c>
      <c r="G478" s="936" t="s">
        <v>777</v>
      </c>
      <c r="H478" s="937">
        <v>900</v>
      </c>
      <c r="I478" s="933" t="s">
        <v>778</v>
      </c>
      <c r="K478" s="933" t="s">
        <v>7</v>
      </c>
      <c r="O478" s="938">
        <v>1</v>
      </c>
      <c r="P478" s="939"/>
      <c r="Q478" s="983"/>
      <c r="R478" s="941">
        <f>$A478*Q478</f>
        <v>0</v>
      </c>
      <c r="S478" s="940">
        <v>1</v>
      </c>
      <c r="T478" s="942">
        <f t="shared" si="7"/>
        <v>8</v>
      </c>
      <c r="U478" s="933" t="s">
        <v>863</v>
      </c>
    </row>
    <row r="479" spans="1:256" s="519" customFormat="1" ht="12">
      <c r="A479" s="641"/>
      <c r="B479" s="641"/>
      <c r="C479" s="641"/>
      <c r="D479" s="641"/>
      <c r="E479" s="641"/>
      <c r="F479" s="636"/>
      <c r="G479" s="641"/>
      <c r="H479" s="641"/>
      <c r="I479" s="518"/>
      <c r="J479" s="641"/>
      <c r="K479" s="641"/>
      <c r="L479" s="641"/>
      <c r="M479" s="641"/>
      <c r="N479" s="641"/>
      <c r="O479" s="641"/>
      <c r="P479" s="641"/>
      <c r="Q479" s="518"/>
      <c r="R479" s="642">
        <f t="shared" ref="R479" si="8">$A479*Q479</f>
        <v>0</v>
      </c>
      <c r="S479" s="518"/>
      <c r="T479" s="643">
        <f t="shared" ref="T479" si="9">$A479*S479*$T$1</f>
        <v>0</v>
      </c>
    </row>
    <row r="480" spans="1:256" s="519" customFormat="1" ht="12.6" thickBot="1">
      <c r="A480" s="644" t="s">
        <v>145</v>
      </c>
      <c r="B480" s="645">
        <f>(R479+T479)</f>
        <v>0</v>
      </c>
      <c r="C480" s="646"/>
      <c r="D480" s="646"/>
      <c r="E480" s="646"/>
      <c r="F480" s="647"/>
      <c r="G480" s="646" t="s">
        <v>146</v>
      </c>
      <c r="H480" s="646"/>
      <c r="I480" s="648"/>
      <c r="J480" s="646"/>
      <c r="K480" s="646" t="s">
        <v>3</v>
      </c>
      <c r="L480" s="649" t="s">
        <v>143</v>
      </c>
      <c r="M480" s="649"/>
      <c r="N480" s="649"/>
      <c r="O480" s="649"/>
      <c r="P480" s="649"/>
      <c r="Q480" s="650"/>
      <c r="R480" s="651">
        <f ca="1">SUM(R469:R479)</f>
        <v>2040.4</v>
      </c>
      <c r="S480" s="646"/>
      <c r="T480" s="651">
        <f ca="1">SUM(T469:T479)</f>
        <v>132.48000000000002</v>
      </c>
      <c r="U480" s="529"/>
      <c r="V480" s="529"/>
      <c r="W480" s="529"/>
      <c r="X480" s="529"/>
      <c r="Y480" s="529"/>
      <c r="Z480" s="529"/>
      <c r="AA480" s="529"/>
      <c r="AB480" s="529"/>
      <c r="AC480" s="529"/>
      <c r="AD480" s="529"/>
      <c r="AE480" s="529"/>
      <c r="AF480" s="529"/>
      <c r="AG480" s="529"/>
      <c r="AH480" s="529"/>
      <c r="AI480" s="529"/>
      <c r="AJ480" s="529"/>
      <c r="AK480" s="529"/>
      <c r="AL480" s="529"/>
      <c r="AM480" s="529"/>
      <c r="AN480" s="529"/>
      <c r="AO480" s="529"/>
    </row>
    <row r="481" spans="1:41" s="519" customFormat="1" ht="12" thickTop="1">
      <c r="A481" s="42" t="s">
        <v>154</v>
      </c>
      <c r="D481" s="12"/>
      <c r="E481" s="41"/>
      <c r="O481" s="654"/>
    </row>
    <row r="482" spans="1:41" s="519" customFormat="1" ht="13.2">
      <c r="B482" s="3"/>
      <c r="O482" s="654"/>
    </row>
    <row r="483" spans="1:41" s="519" customFormat="1" ht="12">
      <c r="B483" s="655">
        <f ca="1">$F483/$C$2-($R483*$S$2+$T483*$T$2)</f>
        <v>-6.1400000000503496E-2</v>
      </c>
      <c r="D483" s="656" t="s">
        <v>934</v>
      </c>
      <c r="E483" s="657"/>
      <c r="F483" s="658">
        <f ca="1">SUMIF($L14:$L481,"ITEM",F14:F481)</f>
        <v>12043.409999999998</v>
      </c>
      <c r="G483" s="641"/>
      <c r="H483" s="641"/>
      <c r="I483" s="518"/>
      <c r="J483" s="641"/>
      <c r="K483" s="641"/>
      <c r="L483" s="638" t="s">
        <v>165</v>
      </c>
      <c r="M483" s="638"/>
      <c r="N483" s="638"/>
      <c r="O483" s="638"/>
      <c r="P483" s="638"/>
      <c r="R483" s="658">
        <f ca="1">SUMIF($L14:$L481,"ITEM",R14:R481)</f>
        <v>5347.625</v>
      </c>
      <c r="S483" s="50"/>
      <c r="T483" s="658">
        <f ca="1">SUMIF($L14:$L481,"ITEM",T14:T481)</f>
        <v>243.83999999999997</v>
      </c>
    </row>
    <row r="484" spans="1:41" s="519" customFormat="1" ht="13.2">
      <c r="A484" s="47"/>
      <c r="B484" s="43" t="s">
        <v>344</v>
      </c>
      <c r="C484" s="47"/>
      <c r="D484" s="3"/>
      <c r="F484" s="659" t="s">
        <v>166</v>
      </c>
      <c r="G484" s="641"/>
      <c r="H484" s="641"/>
      <c r="I484" s="518"/>
      <c r="J484" s="641"/>
      <c r="K484" s="641"/>
      <c r="L484" s="641"/>
      <c r="M484" s="641"/>
      <c r="N484" s="641"/>
      <c r="O484" s="641"/>
      <c r="P484" s="641"/>
      <c r="Q484" s="653"/>
      <c r="R484" s="659" t="s">
        <v>167</v>
      </c>
      <c r="S484" s="37"/>
      <c r="T484" s="659" t="s">
        <v>168</v>
      </c>
    </row>
    <row r="485" spans="1:41" s="519" customFormat="1" ht="13.2">
      <c r="A485" s="641"/>
      <c r="B485" s="3"/>
      <c r="C485" s="641"/>
      <c r="D485" s="3"/>
      <c r="E485" s="3"/>
      <c r="G485" s="3"/>
      <c r="H485" s="3"/>
      <c r="I485" s="3"/>
      <c r="J485" s="3"/>
      <c r="K485" s="3"/>
      <c r="L485" s="3"/>
      <c r="M485" s="3"/>
      <c r="N485" s="3"/>
      <c r="O485" s="99"/>
      <c r="P485" s="3"/>
      <c r="Q485" s="3"/>
      <c r="R485" s="3"/>
      <c r="S485" s="3"/>
      <c r="T485" s="3"/>
    </row>
    <row r="486" spans="1:41" s="519" customFormat="1" ht="12" thickBot="1">
      <c r="A486" s="529"/>
      <c r="B486" s="646"/>
      <c r="C486" s="646"/>
      <c r="D486" s="529"/>
      <c r="E486" s="38"/>
      <c r="F486" s="660"/>
      <c r="G486" s="646"/>
      <c r="H486" s="646"/>
      <c r="I486" s="648"/>
      <c r="J486" s="646"/>
      <c r="K486" s="646"/>
      <c r="L486" s="649"/>
      <c r="M486" s="649"/>
      <c r="N486" s="649"/>
      <c r="O486" s="649"/>
      <c r="P486" s="649"/>
      <c r="Q486" s="650"/>
      <c r="R486" s="660"/>
      <c r="S486" s="661"/>
      <c r="T486" s="660"/>
      <c r="U486" s="529"/>
      <c r="V486" s="529"/>
      <c r="W486" s="529"/>
      <c r="X486" s="529"/>
      <c r="Y486" s="529"/>
      <c r="Z486" s="529"/>
      <c r="AA486" s="529"/>
      <c r="AB486" s="529"/>
      <c r="AC486" s="529"/>
      <c r="AD486" s="529"/>
      <c r="AE486" s="529"/>
      <c r="AF486" s="529"/>
      <c r="AG486" s="529"/>
      <c r="AH486" s="529"/>
      <c r="AI486" s="529"/>
      <c r="AJ486" s="529"/>
      <c r="AK486" s="529"/>
    </row>
    <row r="487" spans="1:41" s="519" customFormat="1" thickTop="1">
      <c r="A487" s="47"/>
      <c r="B487" s="47"/>
      <c r="C487" s="3"/>
      <c r="D487" s="3"/>
      <c r="E487" s="47"/>
      <c r="F487" s="47"/>
      <c r="G487" s="47"/>
      <c r="H487" s="47"/>
      <c r="I487" s="47"/>
      <c r="J487" s="47"/>
      <c r="K487" s="47" t="s">
        <v>134</v>
      </c>
      <c r="L487" s="47"/>
      <c r="M487" s="47"/>
      <c r="N487" s="47"/>
      <c r="O487" s="48"/>
      <c r="P487" s="47"/>
      <c r="Q487" s="47"/>
      <c r="R487" s="47"/>
      <c r="S487" s="47"/>
      <c r="T487" s="47"/>
    </row>
    <row r="488" spans="1:41" s="519" customFormat="1" ht="12">
      <c r="A488" s="47"/>
      <c r="B488" s="47"/>
      <c r="C488" s="47" t="s">
        <v>135</v>
      </c>
      <c r="D488" s="36"/>
      <c r="E488" s="47"/>
      <c r="F488" s="47"/>
      <c r="G488" s="47"/>
      <c r="H488" s="47"/>
      <c r="I488" s="47"/>
      <c r="J488" s="47"/>
      <c r="K488" s="47"/>
      <c r="L488" s="47"/>
      <c r="M488" s="47"/>
      <c r="N488" s="47"/>
      <c r="O488" s="48"/>
      <c r="P488" s="47"/>
      <c r="Q488" s="47"/>
      <c r="R488" s="47"/>
      <c r="S488" s="47"/>
      <c r="T488" s="47"/>
    </row>
    <row r="489" spans="1:41" s="519" customFormat="1" ht="39.9" customHeight="1">
      <c r="A489" s="47"/>
      <c r="B489" s="47"/>
      <c r="C489" s="47"/>
      <c r="D489" s="979" t="s">
        <v>428</v>
      </c>
      <c r="E489" s="980"/>
      <c r="F489" s="980"/>
      <c r="G489" s="980"/>
      <c r="H489" s="980"/>
      <c r="I489" s="980"/>
      <c r="J489" s="980"/>
      <c r="K489" s="980"/>
      <c r="L489" s="980"/>
      <c r="M489" s="980"/>
      <c r="N489" s="980"/>
      <c r="O489" s="980"/>
      <c r="P489" s="980"/>
      <c r="Q489" s="980"/>
      <c r="R489" s="980"/>
      <c r="S489" s="980"/>
      <c r="T489" s="980"/>
    </row>
    <row r="490" spans="1:41" s="3" customFormat="1" thickBot="1">
      <c r="A490" s="529"/>
      <c r="O490" s="99"/>
    </row>
    <row r="491" spans="1:41" s="519" customFormat="1" thickTop="1">
      <c r="A491" s="47"/>
      <c r="B491" s="40"/>
      <c r="C491" s="47"/>
      <c r="E491" s="41" t="s">
        <v>138</v>
      </c>
      <c r="F491" s="41" t="s">
        <v>139</v>
      </c>
      <c r="G491" s="47"/>
      <c r="H491" s="47"/>
      <c r="I491" s="47"/>
      <c r="J491" s="47"/>
      <c r="K491" s="47" t="s">
        <v>140</v>
      </c>
      <c r="L491" s="774"/>
      <c r="M491" s="47"/>
      <c r="N491" s="47"/>
      <c r="O491" s="48"/>
      <c r="P491" s="47"/>
      <c r="Q491"/>
      <c r="R491"/>
      <c r="S491"/>
      <c r="T491" s="40"/>
      <c r="AG491" s="627" t="s">
        <v>277</v>
      </c>
      <c r="AH491" s="627" t="s">
        <v>278</v>
      </c>
      <c r="AI491" s="627" t="s">
        <v>279</v>
      </c>
      <c r="AJ491" s="627" t="s">
        <v>280</v>
      </c>
      <c r="AK491" s="627" t="s">
        <v>281</v>
      </c>
      <c r="AM491" s="628" t="s">
        <v>290</v>
      </c>
      <c r="AN491" s="629" t="s">
        <v>291</v>
      </c>
      <c r="AO491" s="520" t="s">
        <v>287</v>
      </c>
    </row>
    <row r="492" spans="1:41" s="519" customFormat="1" ht="13.2">
      <c r="A492" s="630">
        <v>2</v>
      </c>
      <c r="B492" s="521" t="s">
        <v>312</v>
      </c>
      <c r="C492" s="631"/>
      <c r="D492" s="632" t="s">
        <v>638</v>
      </c>
      <c r="E492" s="775">
        <f ca="1">IF(AND($A492=0,$A$1="DIF"),0, ROUND(ROUND(SUMIF($L494:$L500,"SUBI",$E494:$E500)/$A492,2)*$C$12,2))</f>
        <v>0</v>
      </c>
      <c r="F492" s="776">
        <f ca="1">ROUND($A492*$E492,2)</f>
        <v>0</v>
      </c>
      <c r="G492" s="635" t="s">
        <v>142</v>
      </c>
      <c r="H492" s="636"/>
      <c r="I492" s="637"/>
      <c r="J492" s="636"/>
      <c r="K492" s="777"/>
      <c r="L492" s="778" t="s">
        <v>143</v>
      </c>
      <c r="M492" s="638"/>
      <c r="N492" s="638"/>
      <c r="O492" s="638"/>
      <c r="P492" s="638"/>
      <c r="Q492" s="967" t="s">
        <v>802</v>
      </c>
      <c r="R492"/>
      <c r="S492"/>
      <c r="T492" s="779" t="str">
        <f ca="1">IF(AND($R506=0,$T506=0),"0.00","mu :" &amp; ROUND($F492/$C$12/($R506+$T506*$D$9),2))</f>
        <v>0.00</v>
      </c>
      <c r="W492" s="522"/>
      <c r="AG492" s="780">
        <f ca="1">IF(A492=0,0,ROUND(SUM(AG494:AG506)/A492,2))</f>
        <v>0</v>
      </c>
      <c r="AH492" s="780">
        <f ca="1">$AG492*$A492</f>
        <v>0</v>
      </c>
      <c r="AI492" s="780">
        <f ca="1">$E492-$AG492</f>
        <v>0</v>
      </c>
      <c r="AJ492" s="780">
        <f ca="1">$A492*$AI492</f>
        <v>0</v>
      </c>
      <c r="AK492" s="781">
        <f ca="1">ROUND(($AG492+$AI492)*$A492,2)</f>
        <v>0</v>
      </c>
      <c r="AM492" s="525">
        <f ca="1">ROUND(R506,2)</f>
        <v>0</v>
      </c>
      <c r="AN492" s="526">
        <f ca="1">ROUND(T506,2)</f>
        <v>0</v>
      </c>
      <c r="AO492" s="527">
        <f ca="1">ROUND(AM492+AN492,2)*A492</f>
        <v>0</v>
      </c>
    </row>
    <row r="493" spans="1:41" s="519" customFormat="1" ht="19.95" customHeight="1">
      <c r="A493" s="782"/>
      <c r="B493" s="783"/>
      <c r="C493" s="631"/>
      <c r="D493" s="784" t="s">
        <v>639</v>
      </c>
      <c r="F493" s="636"/>
      <c r="G493" s="636"/>
      <c r="H493" s="636"/>
      <c r="I493" s="637"/>
      <c r="J493" s="636"/>
      <c r="K493" s="636" t="s">
        <v>144</v>
      </c>
      <c r="L493" s="785"/>
      <c r="M493" s="636"/>
      <c r="N493" s="636"/>
      <c r="O493" s="636"/>
      <c r="P493" s="636"/>
      <c r="Q493" s="47"/>
      <c r="R493" s="528"/>
      <c r="S493" s="640"/>
      <c r="T493" s="636"/>
    </row>
    <row r="494" spans="1:41" s="519" customFormat="1" ht="12">
      <c r="A494" s="786"/>
      <c r="B494" s="787"/>
      <c r="C494" s="641"/>
      <c r="D494" s="636"/>
      <c r="E494" s="788">
        <f ca="1">F492/$C$12-SUMIF($L491:$L506,"SUBI",$E491:$E506)</f>
        <v>0</v>
      </c>
      <c r="F494" s="789" t="s">
        <v>589</v>
      </c>
      <c r="G494" s="790"/>
      <c r="H494" s="790"/>
      <c r="I494" s="791"/>
      <c r="J494" s="790"/>
      <c r="K494" s="790"/>
      <c r="L494" s="792"/>
      <c r="M494" s="793"/>
      <c r="N494" s="793"/>
      <c r="O494" s="793"/>
      <c r="P494" s="793"/>
      <c r="Q494" s="794"/>
      <c r="R494" s="795"/>
      <c r="S494" s="794"/>
      <c r="T494" s="796"/>
    </row>
    <row r="495" spans="1:41" s="519" customFormat="1" ht="12" customHeight="1">
      <c r="A495" s="797"/>
      <c r="B495" s="798"/>
      <c r="C495" s="799"/>
      <c r="D495" s="799" t="str">
        <f>$F$2</f>
        <v>Electrical</v>
      </c>
      <c r="E495" s="799">
        <f ca="1">ROUND(($R499*$S$2 + ($T499*$T$2)), 2)</f>
        <v>0</v>
      </c>
      <c r="F495" s="800">
        <f ca="1">$E495*$C$12</f>
        <v>0</v>
      </c>
      <c r="G495" s="528"/>
      <c r="H495" s="801"/>
      <c r="I495" s="528"/>
      <c r="J495" s="48"/>
      <c r="K495" s="802" t="s">
        <v>3</v>
      </c>
      <c r="L495" s="803" t="s">
        <v>590</v>
      </c>
      <c r="M495" s="528"/>
      <c r="N495" s="528"/>
      <c r="O495" s="48"/>
      <c r="P495" s="528"/>
      <c r="Q495" s="528"/>
      <c r="R495"/>
      <c r="S495"/>
      <c r="T495"/>
    </row>
    <row r="496" spans="1:41" s="956" customFormat="1" ht="13.2">
      <c r="A496"/>
      <c r="B496" s="948"/>
      <c r="C496" s="948" t="s">
        <v>742</v>
      </c>
      <c r="D496" s="948" t="str">
        <f ca="1">CELL("Address",Elec_Rates!D$100)</f>
        <v>[ELM25_0085_Quintano_Elec_Mech_HVAC_Est_Rev_B.xlsx]Elec_Rates!$D$100</v>
      </c>
      <c r="E496" s="949"/>
      <c r="F496" s="949"/>
      <c r="G496" s="950" t="s">
        <v>743</v>
      </c>
      <c r="H496" s="950"/>
      <c r="I496" s="950"/>
      <c r="J496" s="950"/>
      <c r="K496" s="951"/>
      <c r="L496" s="949"/>
      <c r="M496" s="949"/>
      <c r="N496" s="949"/>
      <c r="O496" s="952"/>
      <c r="P496" s="949"/>
      <c r="Q496" s="953"/>
      <c r="R496" s="954"/>
      <c r="S496" s="953"/>
      <c r="T496" s="943"/>
      <c r="U496" s="955"/>
    </row>
    <row r="497" spans="1:41" s="956" customFormat="1" ht="11.4">
      <c r="A497" s="957">
        <v>0</v>
      </c>
      <c r="B497" s="958">
        <v>1</v>
      </c>
      <c r="C497" s="958">
        <f>$A497*$B497</f>
        <v>0</v>
      </c>
      <c r="D497" s="959" t="str">
        <f>Elec_Rates!$D$100</f>
        <v>001# SFDI adjacent to each damper.</v>
      </c>
      <c r="E497" s="959"/>
      <c r="F497" s="959" t="s">
        <v>744</v>
      </c>
      <c r="G497" s="960" t="s">
        <v>760</v>
      </c>
      <c r="H497" s="960"/>
      <c r="I497" s="960"/>
      <c r="J497" s="960"/>
      <c r="K497" s="961"/>
      <c r="L497" s="955"/>
      <c r="M497" s="955"/>
      <c r="N497" s="955"/>
      <c r="O497" s="962"/>
      <c r="P497" s="959"/>
      <c r="Q497" s="963">
        <f ca="1">$B497*Elec_Rates!$R$100</f>
        <v>330.73</v>
      </c>
      <c r="R497" s="954">
        <f ca="1">$A497*Q497</f>
        <v>0</v>
      </c>
      <c r="S497" s="963">
        <f ca="1">$B497*Elec_Rates!$T$100</f>
        <v>3.37</v>
      </c>
      <c r="T497" s="943">
        <f ca="1">$A497*S497</f>
        <v>0</v>
      </c>
      <c r="U497" s="501"/>
    </row>
    <row r="498" spans="1:41" s="519" customFormat="1" ht="13.95" customHeight="1">
      <c r="A498" s="49"/>
      <c r="B498" s="528"/>
      <c r="C498" s="528"/>
      <c r="D498" s="528"/>
      <c r="E498" s="528"/>
      <c r="F498" s="528"/>
      <c r="G498" s="528"/>
      <c r="H498" s="801"/>
      <c r="I498" s="528"/>
      <c r="J498" s="48"/>
      <c r="K498" s="805"/>
      <c r="L498" s="806"/>
      <c r="M498" s="528"/>
      <c r="N498" s="528"/>
      <c r="O498" s="48"/>
      <c r="P498" s="528"/>
      <c r="Q498" s="528"/>
      <c r="R498" s="807">
        <f>$A498*Q498</f>
        <v>0</v>
      </c>
      <c r="S498" s="528"/>
      <c r="T498" s="643">
        <f>$A498*S498*$T$1</f>
        <v>0</v>
      </c>
    </row>
    <row r="499" spans="1:41" s="519" customFormat="1" ht="12">
      <c r="A499" s="808" t="s">
        <v>145</v>
      </c>
      <c r="B499" s="809">
        <f>(R498+T498)</f>
        <v>0</v>
      </c>
      <c r="C499" s="641"/>
      <c r="G499" s="810"/>
      <c r="H499" s="810"/>
      <c r="I499" s="810"/>
      <c r="J499" s="810"/>
      <c r="K499" s="811" t="s">
        <v>3</v>
      </c>
      <c r="L499" s="812" t="s">
        <v>590</v>
      </c>
      <c r="M499" s="810"/>
      <c r="N499" s="810"/>
      <c r="O499" s="810"/>
      <c r="P499" s="810"/>
      <c r="Q499" s="813"/>
      <c r="R499" s="814">
        <f ca="1">SUM(R495:R498)</f>
        <v>0</v>
      </c>
      <c r="S499" s="815"/>
      <c r="T499" s="814">
        <f ca="1">SUM(T495:T498)</f>
        <v>0</v>
      </c>
      <c r="AG499" s="816">
        <f ca="1">ROUND($R499*$S$2,2)</f>
        <v>0</v>
      </c>
    </row>
    <row r="500" spans="1:41" s="519" customFormat="1" ht="12" customHeight="1">
      <c r="A500" s="817"/>
      <c r="B500" s="818"/>
      <c r="C500" s="819"/>
      <c r="D500" s="819" t="str">
        <f>$F$3</f>
        <v>ECA</v>
      </c>
      <c r="E500" s="819">
        <f>ROUND(($R504*$S$3 + ($T504*$T$3)), 2)</f>
        <v>0</v>
      </c>
      <c r="F500" s="820">
        <f ca="1">$F492-SUMIF($L494:$P497,"SUBI",$F494:$F497)</f>
        <v>0</v>
      </c>
      <c r="G500" s="518"/>
      <c r="H500" s="518"/>
      <c r="I500" s="518"/>
      <c r="J500" s="518"/>
      <c r="K500" s="802" t="s">
        <v>5</v>
      </c>
      <c r="L500" s="803" t="s">
        <v>590</v>
      </c>
      <c r="M500" s="518"/>
      <c r="N500" s="518"/>
      <c r="O500" s="518"/>
      <c r="P500" s="518"/>
      <c r="Q500" s="518"/>
      <c r="R500" s="821"/>
      <c r="S500" s="518"/>
      <c r="T500" s="821"/>
    </row>
    <row r="501" spans="1:41" s="834" customFormat="1" ht="14.4" customHeight="1">
      <c r="A501" s="822"/>
      <c r="B501" s="804" t="s">
        <v>592</v>
      </c>
      <c r="C501" s="823"/>
      <c r="D501" s="824"/>
      <c r="E501" s="824"/>
      <c r="F501" s="824"/>
      <c r="G501" s="825"/>
      <c r="H501" s="826"/>
      <c r="I501" s="826"/>
      <c r="J501" s="827"/>
      <c r="K501" s="828"/>
      <c r="L501" s="823"/>
      <c r="M501" s="829"/>
      <c r="N501" s="830"/>
      <c r="O501" s="831"/>
      <c r="P501" s="832"/>
      <c r="Q501" s="833"/>
      <c r="R501" s="807">
        <f>$A501*Q501</f>
        <v>0</v>
      </c>
      <c r="S501" s="528"/>
      <c r="T501" s="643">
        <f>$A501*S501*$T$1</f>
        <v>0</v>
      </c>
    </row>
    <row r="502" spans="1:41" s="519" customFormat="1" ht="11.4">
      <c r="A502" s="49"/>
      <c r="B502" s="528"/>
      <c r="C502" s="528"/>
      <c r="D502" s="528"/>
      <c r="E502" s="528"/>
      <c r="F502" s="528"/>
      <c r="G502" s="528"/>
      <c r="H502" s="528"/>
      <c r="I502" s="528"/>
      <c r="J502" s="528"/>
      <c r="K502" s="528"/>
      <c r="L502" s="806"/>
      <c r="M502" s="528"/>
      <c r="N502" s="528"/>
      <c r="O502" s="528"/>
      <c r="P502" s="528"/>
      <c r="Q502" s="528"/>
      <c r="R502" s="807">
        <f>$A502*Q502</f>
        <v>0</v>
      </c>
      <c r="S502" s="528"/>
      <c r="T502" s="643">
        <f>$A502*S502*$T$1</f>
        <v>0</v>
      </c>
    </row>
    <row r="503" spans="1:41" s="519" customFormat="1" ht="13.2">
      <c r="A503" s="49"/>
      <c r="B503" s="528"/>
      <c r="C503" s="528"/>
      <c r="D503" s="3"/>
      <c r="E503" s="528"/>
      <c r="F503" s="528"/>
      <c r="G503" s="528"/>
      <c r="H503" s="528"/>
      <c r="I503" s="528"/>
      <c r="J503" s="528"/>
      <c r="K503" s="528"/>
      <c r="L503" s="806"/>
      <c r="M503" s="528"/>
      <c r="N503" s="528"/>
      <c r="O503" s="528"/>
      <c r="P503" s="528"/>
      <c r="Q503" s="528"/>
      <c r="R503" s="807">
        <f>$A503*Q503</f>
        <v>0</v>
      </c>
      <c r="S503" s="528"/>
      <c r="T503" s="643">
        <f>$A503*S503*$T$1</f>
        <v>0</v>
      </c>
    </row>
    <row r="504" spans="1:41" s="519" customFormat="1" ht="12" customHeight="1">
      <c r="A504" s="835" t="s">
        <v>145</v>
      </c>
      <c r="B504" s="836">
        <f>(R503+T503)</f>
        <v>0</v>
      </c>
      <c r="C504" s="837"/>
      <c r="D504" s="837"/>
      <c r="E504" s="837"/>
      <c r="F504" s="837"/>
      <c r="G504" s="813"/>
      <c r="H504" s="813"/>
      <c r="I504" s="813"/>
      <c r="J504" s="813"/>
      <c r="K504" s="838" t="s">
        <v>5</v>
      </c>
      <c r="L504" s="839" t="s">
        <v>590</v>
      </c>
      <c r="M504" s="813"/>
      <c r="N504" s="813"/>
      <c r="O504" s="813"/>
      <c r="P504" s="813"/>
      <c r="Q504" s="813"/>
      <c r="R504" s="814">
        <f>SUM(R500:R503)</f>
        <v>0</v>
      </c>
      <c r="S504" s="815"/>
      <c r="T504" s="814">
        <f>SUM(T500:T503)</f>
        <v>0</v>
      </c>
      <c r="AG504" s="840">
        <f>ROUND($R504*$S$3,2)</f>
        <v>0</v>
      </c>
    </row>
    <row r="505" spans="1:41" s="519" customFormat="1" ht="12.75" customHeight="1">
      <c r="A505" s="841"/>
      <c r="B505" s="842"/>
      <c r="E505" s="641"/>
      <c r="F505" s="843"/>
      <c r="G505" s="641"/>
      <c r="H505" s="641"/>
      <c r="I505" s="518"/>
      <c r="J505" s="641"/>
      <c r="K505" s="641"/>
      <c r="L505" s="844"/>
      <c r="M505" s="652"/>
      <c r="N505" s="652"/>
      <c r="O505" s="652"/>
      <c r="P505" s="652"/>
      <c r="Q505" s="653"/>
      <c r="R505" s="821"/>
      <c r="S505" s="641"/>
      <c r="T505" s="821"/>
    </row>
    <row r="506" spans="1:41" s="519" customFormat="1" ht="13.5" customHeight="1" thickBot="1">
      <c r="A506" s="845"/>
      <c r="B506" s="846"/>
      <c r="C506" s="529"/>
      <c r="D506" s="529"/>
      <c r="E506" s="646"/>
      <c r="F506" s="647"/>
      <c r="G506" s="646" t="s">
        <v>146</v>
      </c>
      <c r="H506" s="646"/>
      <c r="I506" s="648"/>
      <c r="J506" s="646"/>
      <c r="K506" s="646"/>
      <c r="L506" s="847" t="s">
        <v>143</v>
      </c>
      <c r="M506" s="649"/>
      <c r="N506" s="649"/>
      <c r="O506" s="649"/>
      <c r="P506" s="649"/>
      <c r="Q506" s="650"/>
      <c r="R506" s="848">
        <f ca="1">SUMIF($L493:$L505,"SUBI",R493:R505)</f>
        <v>0</v>
      </c>
      <c r="S506" s="646"/>
      <c r="T506" s="848">
        <f ca="1">SUMIF($L493:$L505,"SUBI",T493:T505)</f>
        <v>0</v>
      </c>
      <c r="U506" s="529"/>
      <c r="V506" s="529"/>
      <c r="W506" s="529"/>
      <c r="X506" s="529"/>
      <c r="Y506" s="529"/>
      <c r="Z506" s="529"/>
      <c r="AA506" s="529"/>
      <c r="AB506" s="529"/>
      <c r="AC506" s="529"/>
      <c r="AD506" s="529"/>
      <c r="AE506" s="529"/>
      <c r="AF506" s="529"/>
      <c r="AG506" s="529"/>
      <c r="AH506" s="529"/>
      <c r="AI506" s="529"/>
      <c r="AJ506" s="529"/>
      <c r="AK506" s="529"/>
      <c r="AL506" s="529"/>
      <c r="AM506" s="529"/>
      <c r="AN506" s="529"/>
      <c r="AO506" s="529"/>
    </row>
    <row r="507" spans="1:41" s="519" customFormat="1" thickTop="1">
      <c r="A507" s="47"/>
      <c r="B507" s="40"/>
      <c r="C507" s="47"/>
      <c r="E507" s="41" t="s">
        <v>138</v>
      </c>
      <c r="F507" s="41" t="s">
        <v>139</v>
      </c>
      <c r="G507" s="47"/>
      <c r="H507" s="47"/>
      <c r="I507" s="47"/>
      <c r="J507" s="47"/>
      <c r="K507" s="47" t="s">
        <v>140</v>
      </c>
      <c r="L507" s="774"/>
      <c r="M507" s="47"/>
      <c r="N507" s="47"/>
      <c r="O507" s="48"/>
      <c r="P507" s="47"/>
      <c r="Q507"/>
      <c r="R507"/>
      <c r="S507"/>
      <c r="T507" s="40"/>
      <c r="AG507" s="627" t="s">
        <v>277</v>
      </c>
      <c r="AH507" s="627" t="s">
        <v>278</v>
      </c>
      <c r="AI507" s="627" t="s">
        <v>279</v>
      </c>
      <c r="AJ507" s="627" t="s">
        <v>280</v>
      </c>
      <c r="AK507" s="627" t="s">
        <v>281</v>
      </c>
      <c r="AM507" s="628" t="s">
        <v>290</v>
      </c>
      <c r="AN507" s="629" t="s">
        <v>291</v>
      </c>
      <c r="AO507" s="520" t="s">
        <v>287</v>
      </c>
    </row>
    <row r="508" spans="1:41" s="519" customFormat="1" ht="13.2">
      <c r="A508" s="630">
        <v>1</v>
      </c>
      <c r="B508" s="521" t="s">
        <v>312</v>
      </c>
      <c r="C508" s="631"/>
      <c r="D508" s="632" t="s">
        <v>640</v>
      </c>
      <c r="E508" s="775">
        <f ca="1">IF(AND($A508=0,$A$1="DIF"),0, ROUND(ROUND(SUMIF($L510:$L516,"SUBI",$E510:$E516)/$A508,2)*$C$12,2))</f>
        <v>0</v>
      </c>
      <c r="F508" s="776">
        <f ca="1">ROUND($A508*$E508,2)</f>
        <v>0</v>
      </c>
      <c r="G508" s="635" t="s">
        <v>142</v>
      </c>
      <c r="H508" s="636"/>
      <c r="I508" s="637"/>
      <c r="J508" s="636"/>
      <c r="K508" s="777"/>
      <c r="L508" s="778" t="s">
        <v>143</v>
      </c>
      <c r="M508" s="638"/>
      <c r="N508" s="638"/>
      <c r="O508" s="638"/>
      <c r="P508" s="638"/>
      <c r="Q508" s="967" t="s">
        <v>802</v>
      </c>
      <c r="R508"/>
      <c r="S508"/>
      <c r="T508" s="779" t="str">
        <f ca="1">IF(AND($R522=0,$T522=0),"0.00","mu :" &amp; ROUND($F508/$C$12/($R522+$T522*$D$9),2))</f>
        <v>0.00</v>
      </c>
      <c r="W508" s="522"/>
      <c r="AG508" s="780">
        <f ca="1">IF(A508=0,0,ROUND(SUM(AG510:AG522)/A508,2))</f>
        <v>0</v>
      </c>
      <c r="AH508" s="780">
        <f ca="1">$AG508*$A508</f>
        <v>0</v>
      </c>
      <c r="AI508" s="780">
        <f ca="1">$E508-$AG508</f>
        <v>0</v>
      </c>
      <c r="AJ508" s="780">
        <f ca="1">$A508*$AI508</f>
        <v>0</v>
      </c>
      <c r="AK508" s="781">
        <f ca="1">ROUND(($AG508+$AI508)*$A508,2)</f>
        <v>0</v>
      </c>
      <c r="AM508" s="525">
        <f ca="1">ROUND(R522,2)</f>
        <v>0</v>
      </c>
      <c r="AN508" s="526">
        <f ca="1">ROUND(T522,2)</f>
        <v>0</v>
      </c>
      <c r="AO508" s="527">
        <f ca="1">ROUND(AM508+AN508,2)*A508</f>
        <v>0</v>
      </c>
    </row>
    <row r="509" spans="1:41" s="519" customFormat="1" ht="19.95" customHeight="1">
      <c r="A509" s="782"/>
      <c r="B509" s="783"/>
      <c r="C509" s="631"/>
      <c r="D509" s="784" t="s">
        <v>641</v>
      </c>
      <c r="F509" s="636"/>
      <c r="G509" s="636"/>
      <c r="H509" s="636"/>
      <c r="I509" s="637"/>
      <c r="J509" s="636"/>
      <c r="K509" s="636" t="s">
        <v>144</v>
      </c>
      <c r="L509" s="785"/>
      <c r="M509" s="636"/>
      <c r="N509" s="636"/>
      <c r="O509" s="636"/>
      <c r="P509" s="636"/>
      <c r="Q509" s="47"/>
      <c r="R509" s="528"/>
      <c r="S509" s="640"/>
      <c r="T509" s="636"/>
    </row>
    <row r="510" spans="1:41" s="519" customFormat="1" ht="12">
      <c r="A510" s="786"/>
      <c r="B510" s="787"/>
      <c r="C510" s="641"/>
      <c r="D510" s="636"/>
      <c r="E510" s="788">
        <f ca="1">F508/$C$12-SUMIF($L507:$L522,"SUBI",$E507:$E522)</f>
        <v>0</v>
      </c>
      <c r="F510" s="789" t="s">
        <v>589</v>
      </c>
      <c r="G510" s="790"/>
      <c r="H510" s="790"/>
      <c r="I510" s="791"/>
      <c r="J510" s="790"/>
      <c r="K510" s="790"/>
      <c r="L510" s="792"/>
      <c r="M510" s="793"/>
      <c r="N510" s="793"/>
      <c r="O510" s="793"/>
      <c r="P510" s="793"/>
      <c r="Q510" s="794"/>
      <c r="R510" s="795"/>
      <c r="S510" s="794"/>
      <c r="T510" s="796"/>
    </row>
    <row r="511" spans="1:41" s="519" customFormat="1" ht="12" customHeight="1">
      <c r="A511" s="797"/>
      <c r="B511" s="798"/>
      <c r="C511" s="799"/>
      <c r="D511" s="799" t="str">
        <f>$F$2</f>
        <v>Electrical</v>
      </c>
      <c r="E511" s="799">
        <f ca="1">ROUND(($R515*$S$2 + ($T515*$T$2)), 2)</f>
        <v>0</v>
      </c>
      <c r="F511" s="800">
        <f ca="1">$E511*$C$12</f>
        <v>0</v>
      </c>
      <c r="G511" s="528"/>
      <c r="H511" s="801"/>
      <c r="I511" s="528"/>
      <c r="J511" s="48"/>
      <c r="K511" s="802" t="s">
        <v>3</v>
      </c>
      <c r="L511" s="803" t="s">
        <v>590</v>
      </c>
      <c r="M511" s="528"/>
      <c r="N511" s="528"/>
      <c r="O511" s="48"/>
      <c r="P511" s="528"/>
      <c r="Q511" s="528"/>
      <c r="R511"/>
      <c r="S511"/>
      <c r="T511"/>
    </row>
    <row r="512" spans="1:41" s="956" customFormat="1" ht="13.2">
      <c r="A512"/>
      <c r="B512" s="948"/>
      <c r="C512" s="948" t="s">
        <v>742</v>
      </c>
      <c r="D512" s="948" t="str">
        <f ca="1">CELL("Address",Elec_Rates!D$100)</f>
        <v>[ELM25_0085_Quintano_Elec_Mech_HVAC_Est_Rev_B.xlsx]Elec_Rates!$D$100</v>
      </c>
      <c r="E512" s="949"/>
      <c r="F512" s="949"/>
      <c r="G512" s="950" t="s">
        <v>743</v>
      </c>
      <c r="H512" s="950"/>
      <c r="I512" s="950"/>
      <c r="J512" s="950"/>
      <c r="K512" s="951"/>
      <c r="L512" s="949"/>
      <c r="M512" s="949"/>
      <c r="N512" s="949"/>
      <c r="O512" s="952"/>
      <c r="P512" s="949"/>
      <c r="Q512" s="953"/>
      <c r="R512" s="954"/>
      <c r="S512" s="953"/>
      <c r="T512" s="943"/>
      <c r="U512" s="955"/>
    </row>
    <row r="513" spans="1:41" s="956" customFormat="1" ht="11.4">
      <c r="A513" s="957">
        <v>0</v>
      </c>
      <c r="B513" s="958">
        <v>1</v>
      </c>
      <c r="C513" s="958">
        <f>$A513*$B513</f>
        <v>0</v>
      </c>
      <c r="D513" s="959" t="str">
        <f>Elec_Rates!$D$100</f>
        <v>001# SFDI adjacent to each damper.</v>
      </c>
      <c r="E513" s="959"/>
      <c r="F513" s="959" t="s">
        <v>744</v>
      </c>
      <c r="G513" s="960" t="s">
        <v>760</v>
      </c>
      <c r="H513" s="960"/>
      <c r="I513" s="960"/>
      <c r="J513" s="960"/>
      <c r="K513" s="961"/>
      <c r="L513" s="955"/>
      <c r="M513" s="955"/>
      <c r="N513" s="955"/>
      <c r="O513" s="962"/>
      <c r="P513" s="959"/>
      <c r="Q513" s="963">
        <f ca="1">$B513*Elec_Rates!$R$100</f>
        <v>330.73</v>
      </c>
      <c r="R513" s="954">
        <f ca="1">$A513*Q513</f>
        <v>0</v>
      </c>
      <c r="S513" s="963">
        <f ca="1">$B513*Elec_Rates!$T$100</f>
        <v>3.37</v>
      </c>
      <c r="T513" s="943">
        <f ca="1">$A513*S513</f>
        <v>0</v>
      </c>
      <c r="U513" s="501"/>
    </row>
    <row r="514" spans="1:41" s="519" customFormat="1" ht="13.95" customHeight="1">
      <c r="A514" s="49"/>
      <c r="B514" s="528"/>
      <c r="C514" s="528"/>
      <c r="D514" s="528"/>
      <c r="E514" s="528"/>
      <c r="F514" s="528"/>
      <c r="G514" s="528"/>
      <c r="H514" s="801"/>
      <c r="I514" s="528"/>
      <c r="J514" s="48"/>
      <c r="K514" s="805"/>
      <c r="L514" s="806"/>
      <c r="M514" s="528"/>
      <c r="N514" s="528"/>
      <c r="O514" s="48"/>
      <c r="P514" s="528"/>
      <c r="Q514" s="528"/>
      <c r="R514" s="807">
        <f>$A514*Q514</f>
        <v>0</v>
      </c>
      <c r="S514" s="528"/>
      <c r="T514" s="643">
        <f>$A514*S514*$T$1</f>
        <v>0</v>
      </c>
    </row>
    <row r="515" spans="1:41" s="519" customFormat="1" ht="12">
      <c r="A515" s="808" t="s">
        <v>145</v>
      </c>
      <c r="B515" s="809">
        <f>(R514+T514)</f>
        <v>0</v>
      </c>
      <c r="C515" s="641"/>
      <c r="G515" s="810"/>
      <c r="H515" s="810"/>
      <c r="I515" s="810"/>
      <c r="J515" s="810"/>
      <c r="K515" s="811" t="s">
        <v>3</v>
      </c>
      <c r="L515" s="812" t="s">
        <v>590</v>
      </c>
      <c r="M515" s="810"/>
      <c r="N515" s="810"/>
      <c r="O515" s="810"/>
      <c r="P515" s="810"/>
      <c r="Q515" s="813"/>
      <c r="R515" s="814">
        <f ca="1">SUM(R511:R514)</f>
        <v>0</v>
      </c>
      <c r="S515" s="815"/>
      <c r="T515" s="814">
        <f ca="1">SUM(T511:T514)</f>
        <v>0</v>
      </c>
      <c r="AG515" s="816">
        <f ca="1">ROUND($R515*$S$2,2)</f>
        <v>0</v>
      </c>
    </row>
    <row r="516" spans="1:41" s="519" customFormat="1" ht="12" customHeight="1">
      <c r="A516" s="817"/>
      <c r="B516" s="818"/>
      <c r="C516" s="819"/>
      <c r="D516" s="819" t="str">
        <f>$F$3</f>
        <v>ECA</v>
      </c>
      <c r="E516" s="819">
        <f>ROUND(($R520*$S$3 + ($T520*$T$3)), 2)</f>
        <v>0</v>
      </c>
      <c r="F516" s="820">
        <f ca="1">$F508-SUMIF($L510:$P513,"SUBI",$F510:$F513)</f>
        <v>0</v>
      </c>
      <c r="G516" s="518"/>
      <c r="H516" s="518"/>
      <c r="I516" s="518"/>
      <c r="J516" s="518"/>
      <c r="K516" s="802" t="s">
        <v>5</v>
      </c>
      <c r="L516" s="803" t="s">
        <v>590</v>
      </c>
      <c r="M516" s="518"/>
      <c r="N516" s="518"/>
      <c r="O516" s="518"/>
      <c r="P516" s="518"/>
      <c r="Q516" s="518"/>
      <c r="R516" s="821"/>
      <c r="S516" s="518"/>
      <c r="T516" s="821"/>
    </row>
    <row r="517" spans="1:41" s="834" customFormat="1" ht="14.4" customHeight="1">
      <c r="A517" s="822"/>
      <c r="B517" s="804" t="s">
        <v>592</v>
      </c>
      <c r="C517" s="823"/>
      <c r="D517" s="824"/>
      <c r="E517" s="824"/>
      <c r="F517" s="824"/>
      <c r="G517" s="825"/>
      <c r="H517" s="826"/>
      <c r="I517" s="826"/>
      <c r="J517" s="827"/>
      <c r="K517" s="828"/>
      <c r="L517" s="823"/>
      <c r="M517" s="829"/>
      <c r="N517" s="830"/>
      <c r="O517" s="831"/>
      <c r="P517" s="832"/>
      <c r="Q517" s="833"/>
      <c r="R517" s="807">
        <f>$A517*Q517</f>
        <v>0</v>
      </c>
      <c r="S517" s="528"/>
      <c r="T517" s="643">
        <f>$A517*S517*$T$1</f>
        <v>0</v>
      </c>
    </row>
    <row r="518" spans="1:41" s="519" customFormat="1" ht="11.4">
      <c r="A518" s="49"/>
      <c r="B518" s="528"/>
      <c r="C518" s="528"/>
      <c r="D518" s="528"/>
      <c r="E518" s="528"/>
      <c r="F518" s="528"/>
      <c r="G518" s="528"/>
      <c r="H518" s="528"/>
      <c r="I518" s="528"/>
      <c r="J518" s="528"/>
      <c r="K518" s="528"/>
      <c r="L518" s="806"/>
      <c r="M518" s="528"/>
      <c r="N518" s="528"/>
      <c r="O518" s="528"/>
      <c r="P518" s="528"/>
      <c r="Q518" s="528"/>
      <c r="R518" s="807">
        <f>$A518*Q518</f>
        <v>0</v>
      </c>
      <c r="S518" s="528"/>
      <c r="T518" s="643">
        <f>$A518*S518*$T$1</f>
        <v>0</v>
      </c>
    </row>
    <row r="519" spans="1:41" s="519" customFormat="1" ht="13.2">
      <c r="A519" s="49"/>
      <c r="B519" s="528"/>
      <c r="C519" s="528"/>
      <c r="D519" s="3"/>
      <c r="E519" s="528"/>
      <c r="F519" s="528"/>
      <c r="G519" s="528"/>
      <c r="H519" s="528"/>
      <c r="I519" s="528"/>
      <c r="J519" s="528"/>
      <c r="K519" s="528"/>
      <c r="L519" s="806"/>
      <c r="M519" s="528"/>
      <c r="N519" s="528"/>
      <c r="O519" s="528"/>
      <c r="P519" s="528"/>
      <c r="Q519" s="528"/>
      <c r="R519" s="807">
        <f>$A519*Q519</f>
        <v>0</v>
      </c>
      <c r="S519" s="528"/>
      <c r="T519" s="643">
        <f>$A519*S519*$T$1</f>
        <v>0</v>
      </c>
    </row>
    <row r="520" spans="1:41" s="519" customFormat="1" ht="12" customHeight="1">
      <c r="A520" s="835" t="s">
        <v>145</v>
      </c>
      <c r="B520" s="836">
        <f>(R519+T519)</f>
        <v>0</v>
      </c>
      <c r="C520" s="837"/>
      <c r="D520" s="837"/>
      <c r="E520" s="837"/>
      <c r="F520" s="837"/>
      <c r="G520" s="813"/>
      <c r="H520" s="813"/>
      <c r="I520" s="813"/>
      <c r="J520" s="813"/>
      <c r="K520" s="838" t="s">
        <v>5</v>
      </c>
      <c r="L520" s="839" t="s">
        <v>590</v>
      </c>
      <c r="M520" s="813"/>
      <c r="N520" s="813"/>
      <c r="O520" s="813"/>
      <c r="P520" s="813"/>
      <c r="Q520" s="813"/>
      <c r="R520" s="814">
        <f>SUM(R516:R519)</f>
        <v>0</v>
      </c>
      <c r="S520" s="815"/>
      <c r="T520" s="814">
        <f>SUM(T516:T519)</f>
        <v>0</v>
      </c>
      <c r="AG520" s="840">
        <f>ROUND($R520*$S$3,2)</f>
        <v>0</v>
      </c>
    </row>
    <row r="521" spans="1:41" s="519" customFormat="1" ht="12.75" customHeight="1">
      <c r="A521" s="841"/>
      <c r="B521" s="842"/>
      <c r="E521" s="641"/>
      <c r="F521" s="843"/>
      <c r="G521" s="641"/>
      <c r="H521" s="641"/>
      <c r="I521" s="518"/>
      <c r="J521" s="641"/>
      <c r="K521" s="641"/>
      <c r="L521" s="844"/>
      <c r="M521" s="652"/>
      <c r="N521" s="652"/>
      <c r="O521" s="652"/>
      <c r="P521" s="652"/>
      <c r="Q521" s="653"/>
      <c r="R521" s="821"/>
      <c r="S521" s="641"/>
      <c r="T521" s="821"/>
    </row>
    <row r="522" spans="1:41" s="519" customFormat="1" ht="13.5" customHeight="1" thickBot="1">
      <c r="A522" s="845"/>
      <c r="B522" s="846"/>
      <c r="C522" s="529"/>
      <c r="D522" s="529"/>
      <c r="E522" s="646"/>
      <c r="F522" s="647"/>
      <c r="G522" s="646" t="s">
        <v>146</v>
      </c>
      <c r="H522" s="646"/>
      <c r="I522" s="648"/>
      <c r="J522" s="646"/>
      <c r="K522" s="646"/>
      <c r="L522" s="847" t="s">
        <v>143</v>
      </c>
      <c r="M522" s="649"/>
      <c r="N522" s="649"/>
      <c r="O522" s="649"/>
      <c r="P522" s="649"/>
      <c r="Q522" s="650"/>
      <c r="R522" s="848">
        <f ca="1">SUMIF($L509:$L521,"SUBI",R509:R521)</f>
        <v>0</v>
      </c>
      <c r="S522" s="646"/>
      <c r="T522" s="848">
        <f ca="1">SUMIF($L509:$L521,"SUBI",T509:T521)</f>
        <v>0</v>
      </c>
      <c r="U522" s="529"/>
      <c r="V522" s="529"/>
      <c r="W522" s="529"/>
      <c r="X522" s="529"/>
      <c r="Y522" s="529"/>
      <c r="Z522" s="529"/>
      <c r="AA522" s="529"/>
      <c r="AB522" s="529"/>
      <c r="AC522" s="529"/>
      <c r="AD522" s="529"/>
      <c r="AE522" s="529"/>
      <c r="AF522" s="529"/>
      <c r="AG522" s="529"/>
      <c r="AH522" s="529"/>
      <c r="AI522" s="529"/>
      <c r="AJ522" s="529"/>
      <c r="AK522" s="529"/>
      <c r="AL522" s="529"/>
      <c r="AM522" s="529"/>
      <c r="AN522" s="529"/>
      <c r="AO522" s="529"/>
    </row>
    <row r="523" spans="1:41" s="519" customFormat="1" thickTop="1">
      <c r="A523" s="47"/>
      <c r="B523" s="40"/>
      <c r="C523" s="47"/>
      <c r="E523" s="41" t="s">
        <v>138</v>
      </c>
      <c r="F523" s="41" t="s">
        <v>139</v>
      </c>
      <c r="G523" s="47"/>
      <c r="H523" s="47"/>
      <c r="I523" s="47"/>
      <c r="J523" s="47"/>
      <c r="K523" s="47" t="s">
        <v>140</v>
      </c>
      <c r="L523" s="774"/>
      <c r="M523" s="47"/>
      <c r="N523" s="47"/>
      <c r="O523" s="48"/>
      <c r="P523" s="47"/>
      <c r="Q523"/>
      <c r="R523"/>
      <c r="S523"/>
      <c r="T523" s="40"/>
      <c r="AG523" s="627" t="s">
        <v>277</v>
      </c>
      <c r="AH523" s="627" t="s">
        <v>278</v>
      </c>
      <c r="AI523" s="627" t="s">
        <v>279</v>
      </c>
      <c r="AJ523" s="627" t="s">
        <v>280</v>
      </c>
      <c r="AK523" s="627" t="s">
        <v>281</v>
      </c>
      <c r="AM523" s="628" t="s">
        <v>290</v>
      </c>
      <c r="AN523" s="629" t="s">
        <v>291</v>
      </c>
      <c r="AO523" s="520" t="s">
        <v>287</v>
      </c>
    </row>
    <row r="524" spans="1:41" s="519" customFormat="1" ht="13.2">
      <c r="A524" s="630">
        <v>1</v>
      </c>
      <c r="B524" s="521" t="s">
        <v>312</v>
      </c>
      <c r="C524" s="631"/>
      <c r="D524" s="632" t="s">
        <v>642</v>
      </c>
      <c r="E524" s="775">
        <f ca="1">IF(AND($A524=0,$A$1="DIF"),0, ROUND(ROUND(SUMIF($L526:$L532,"SUBI",$E526:$E532)/$A524,2)*$C$12,2))</f>
        <v>0</v>
      </c>
      <c r="F524" s="776">
        <f ca="1">ROUND($A524*$E524,2)</f>
        <v>0</v>
      </c>
      <c r="G524" s="635" t="s">
        <v>142</v>
      </c>
      <c r="H524" s="636"/>
      <c r="I524" s="637"/>
      <c r="J524" s="636"/>
      <c r="K524" s="777"/>
      <c r="L524" s="778" t="s">
        <v>143</v>
      </c>
      <c r="M524" s="638"/>
      <c r="N524" s="638"/>
      <c r="O524" s="638"/>
      <c r="P524" s="638"/>
      <c r="Q524" s="967" t="s">
        <v>802</v>
      </c>
      <c r="R524"/>
      <c r="S524"/>
      <c r="T524" s="779" t="str">
        <f ca="1">IF(AND($R538=0,$T538=0),"0.00","mu :" &amp; ROUND($F524/$C$12/($R538+$T538*$D$9),2))</f>
        <v>0.00</v>
      </c>
      <c r="W524" s="522"/>
      <c r="AG524" s="780">
        <f ca="1">IF(A524=0,0,ROUND(SUM(AG526:AG538)/A524,2))</f>
        <v>0</v>
      </c>
      <c r="AH524" s="780">
        <f ca="1">$AG524*$A524</f>
        <v>0</v>
      </c>
      <c r="AI524" s="780">
        <f ca="1">$E524-$AG524</f>
        <v>0</v>
      </c>
      <c r="AJ524" s="780">
        <f ca="1">$A524*$AI524</f>
        <v>0</v>
      </c>
      <c r="AK524" s="781">
        <f ca="1">ROUND(($AG524+$AI524)*$A524,2)</f>
        <v>0</v>
      </c>
      <c r="AM524" s="525">
        <f ca="1">ROUND(R538,2)</f>
        <v>0</v>
      </c>
      <c r="AN524" s="526">
        <f ca="1">ROUND(T538,2)</f>
        <v>0</v>
      </c>
      <c r="AO524" s="527">
        <f ca="1">ROUND(AM524+AN524,2)*A524</f>
        <v>0</v>
      </c>
    </row>
    <row r="525" spans="1:41" s="519" customFormat="1" ht="19.95" customHeight="1">
      <c r="A525" s="782"/>
      <c r="B525" s="783"/>
      <c r="C525" s="631"/>
      <c r="D525" s="784" t="s">
        <v>643</v>
      </c>
      <c r="F525" s="636"/>
      <c r="G525" s="636"/>
      <c r="H525" s="636"/>
      <c r="I525" s="637"/>
      <c r="J525" s="636"/>
      <c r="K525" s="636" t="s">
        <v>144</v>
      </c>
      <c r="L525" s="785"/>
      <c r="M525" s="636"/>
      <c r="N525" s="636"/>
      <c r="O525" s="636"/>
      <c r="P525" s="636"/>
      <c r="Q525" s="47"/>
      <c r="R525" s="528"/>
      <c r="S525" s="640"/>
      <c r="T525" s="636"/>
    </row>
    <row r="526" spans="1:41" s="519" customFormat="1" ht="12">
      <c r="A526" s="786"/>
      <c r="B526" s="787"/>
      <c r="C526" s="641"/>
      <c r="D526" s="636"/>
      <c r="E526" s="788">
        <f ca="1">F524/$C$12-SUMIF($L523:$L538,"SUBI",$E523:$E538)</f>
        <v>0</v>
      </c>
      <c r="F526" s="789" t="s">
        <v>589</v>
      </c>
      <c r="G526" s="790"/>
      <c r="H526" s="790"/>
      <c r="I526" s="791"/>
      <c r="J526" s="790"/>
      <c r="K526" s="790"/>
      <c r="L526" s="792"/>
      <c r="M526" s="793"/>
      <c r="N526" s="793"/>
      <c r="O526" s="793"/>
      <c r="P526" s="793"/>
      <c r="Q526" s="794"/>
      <c r="R526" s="795"/>
      <c r="S526" s="794"/>
      <c r="T526" s="796"/>
    </row>
    <row r="527" spans="1:41" s="519" customFormat="1" ht="12" customHeight="1">
      <c r="A527" s="797"/>
      <c r="B527" s="798"/>
      <c r="C527" s="799"/>
      <c r="D527" s="799" t="str">
        <f>$F$2</f>
        <v>Electrical</v>
      </c>
      <c r="E527" s="799">
        <f ca="1">ROUND(($R531*$S$2 + ($T531*$T$2)), 2)</f>
        <v>0</v>
      </c>
      <c r="F527" s="800">
        <f ca="1">$E527*$C$12</f>
        <v>0</v>
      </c>
      <c r="G527" s="528"/>
      <c r="H527" s="801"/>
      <c r="I527" s="528"/>
      <c r="J527" s="48"/>
      <c r="K527" s="802" t="s">
        <v>3</v>
      </c>
      <c r="L527" s="803" t="s">
        <v>590</v>
      </c>
      <c r="M527" s="528"/>
      <c r="N527" s="528"/>
      <c r="O527" s="48"/>
      <c r="P527" s="528"/>
      <c r="Q527" s="528"/>
      <c r="R527"/>
      <c r="S527"/>
      <c r="T527"/>
    </row>
    <row r="528" spans="1:41" s="956" customFormat="1" ht="13.2">
      <c r="A528"/>
      <c r="B528" s="948"/>
      <c r="C528" s="948" t="s">
        <v>742</v>
      </c>
      <c r="D528" s="948" t="str">
        <f ca="1">CELL("Address",Elec_Rates!D$100)</f>
        <v>[ELM25_0085_Quintano_Elec_Mech_HVAC_Est_Rev_B.xlsx]Elec_Rates!$D$100</v>
      </c>
      <c r="E528" s="949"/>
      <c r="F528" s="949"/>
      <c r="G528" s="950" t="s">
        <v>743</v>
      </c>
      <c r="H528" s="950"/>
      <c r="I528" s="950"/>
      <c r="J528" s="950"/>
      <c r="K528" s="951"/>
      <c r="L528" s="949"/>
      <c r="M528" s="949"/>
      <c r="N528" s="949"/>
      <c r="O528" s="952"/>
      <c r="P528" s="949"/>
      <c r="Q528" s="953"/>
      <c r="R528" s="954"/>
      <c r="S528" s="953"/>
      <c r="T528" s="943"/>
      <c r="U528" s="955"/>
    </row>
    <row r="529" spans="1:41" s="956" customFormat="1" ht="11.4">
      <c r="A529" s="957">
        <v>0</v>
      </c>
      <c r="B529" s="958">
        <v>1</v>
      </c>
      <c r="C529" s="958">
        <f>$A529*$B529</f>
        <v>0</v>
      </c>
      <c r="D529" s="959" t="str">
        <f>Elec_Rates!$D$100</f>
        <v>001# SFDI adjacent to each damper.</v>
      </c>
      <c r="E529" s="959"/>
      <c r="F529" s="959" t="s">
        <v>744</v>
      </c>
      <c r="G529" s="960" t="s">
        <v>760</v>
      </c>
      <c r="H529" s="960"/>
      <c r="I529" s="960"/>
      <c r="J529" s="960"/>
      <c r="K529" s="961"/>
      <c r="L529" s="955"/>
      <c r="M529" s="955"/>
      <c r="N529" s="955"/>
      <c r="O529" s="962"/>
      <c r="P529" s="959"/>
      <c r="Q529" s="963">
        <f ca="1">$B529*Elec_Rates!$R$100</f>
        <v>330.73</v>
      </c>
      <c r="R529" s="954">
        <f ca="1">$A529*Q529</f>
        <v>0</v>
      </c>
      <c r="S529" s="963">
        <f ca="1">$B529*Elec_Rates!$T$100</f>
        <v>3.37</v>
      </c>
      <c r="T529" s="943">
        <f ca="1">$A529*S529</f>
        <v>0</v>
      </c>
      <c r="U529" s="501"/>
    </row>
    <row r="530" spans="1:41" s="519" customFormat="1" ht="13.95" customHeight="1">
      <c r="A530" s="49"/>
      <c r="B530" s="528"/>
      <c r="C530" s="528"/>
      <c r="D530" s="528"/>
      <c r="E530" s="528"/>
      <c r="F530" s="528"/>
      <c r="G530" s="528"/>
      <c r="H530" s="801"/>
      <c r="I530" s="528"/>
      <c r="J530" s="48"/>
      <c r="K530" s="805"/>
      <c r="L530" s="806"/>
      <c r="M530" s="528"/>
      <c r="N530" s="528"/>
      <c r="O530" s="48"/>
      <c r="P530" s="528"/>
      <c r="Q530" s="528"/>
      <c r="R530" s="807">
        <f>$A530*Q530</f>
        <v>0</v>
      </c>
      <c r="S530" s="528"/>
      <c r="T530" s="643">
        <f>$A530*S530*$T$1</f>
        <v>0</v>
      </c>
    </row>
    <row r="531" spans="1:41" s="519" customFormat="1" ht="12">
      <c r="A531" s="808" t="s">
        <v>145</v>
      </c>
      <c r="B531" s="809">
        <f>(R530+T530)</f>
        <v>0</v>
      </c>
      <c r="C531" s="641"/>
      <c r="G531" s="810"/>
      <c r="H531" s="810"/>
      <c r="I531" s="810"/>
      <c r="J531" s="810"/>
      <c r="K531" s="811" t="s">
        <v>3</v>
      </c>
      <c r="L531" s="812" t="s">
        <v>590</v>
      </c>
      <c r="M531" s="810"/>
      <c r="N531" s="810"/>
      <c r="O531" s="810"/>
      <c r="P531" s="810"/>
      <c r="Q531" s="813"/>
      <c r="R531" s="814">
        <f ca="1">SUM(R527:R530)</f>
        <v>0</v>
      </c>
      <c r="S531" s="815"/>
      <c r="T531" s="814">
        <f ca="1">SUM(T527:T530)</f>
        <v>0</v>
      </c>
      <c r="AG531" s="816">
        <f ca="1">ROUND($R531*$S$2,2)</f>
        <v>0</v>
      </c>
    </row>
    <row r="532" spans="1:41" s="519" customFormat="1" ht="12" customHeight="1">
      <c r="A532" s="817"/>
      <c r="B532" s="818"/>
      <c r="C532" s="819"/>
      <c r="D532" s="819" t="str">
        <f>$F$3</f>
        <v>ECA</v>
      </c>
      <c r="E532" s="819">
        <f>ROUND(($R536*$S$3 + ($T536*$T$3)), 2)</f>
        <v>0</v>
      </c>
      <c r="F532" s="820">
        <f ca="1">$F524-SUMIF($L526:$P529,"SUBI",$F526:$F529)</f>
        <v>0</v>
      </c>
      <c r="G532" s="518"/>
      <c r="H532" s="518"/>
      <c r="I532" s="518"/>
      <c r="J532" s="518"/>
      <c r="K532" s="802" t="s">
        <v>5</v>
      </c>
      <c r="L532" s="803" t="s">
        <v>590</v>
      </c>
      <c r="M532" s="518"/>
      <c r="N532" s="518"/>
      <c r="O532" s="518"/>
      <c r="P532" s="518"/>
      <c r="Q532" s="518"/>
      <c r="R532" s="821"/>
      <c r="S532" s="518"/>
      <c r="T532" s="821"/>
    </row>
    <row r="533" spans="1:41" s="834" customFormat="1" ht="14.4" customHeight="1">
      <c r="A533" s="822"/>
      <c r="B533" s="804" t="s">
        <v>592</v>
      </c>
      <c r="C533" s="823"/>
      <c r="D533" s="824"/>
      <c r="E533" s="824"/>
      <c r="F533" s="824"/>
      <c r="G533" s="825"/>
      <c r="H533" s="826"/>
      <c r="I533" s="826"/>
      <c r="J533" s="827"/>
      <c r="K533" s="828"/>
      <c r="L533" s="823"/>
      <c r="M533" s="829"/>
      <c r="N533" s="830"/>
      <c r="O533" s="831"/>
      <c r="P533" s="832"/>
      <c r="Q533" s="833"/>
      <c r="R533" s="807">
        <f>$A533*Q533</f>
        <v>0</v>
      </c>
      <c r="S533" s="528"/>
      <c r="T533" s="643">
        <f>$A533*S533*$T$1</f>
        <v>0</v>
      </c>
    </row>
    <row r="534" spans="1:41" s="519" customFormat="1" ht="11.4">
      <c r="A534" s="49"/>
      <c r="B534" s="528"/>
      <c r="C534" s="528"/>
      <c r="D534" s="528"/>
      <c r="E534" s="528"/>
      <c r="F534" s="528"/>
      <c r="G534" s="528"/>
      <c r="H534" s="528"/>
      <c r="I534" s="528"/>
      <c r="J534" s="528"/>
      <c r="K534" s="528"/>
      <c r="L534" s="806"/>
      <c r="M534" s="528"/>
      <c r="N534" s="528"/>
      <c r="O534" s="528"/>
      <c r="P534" s="528"/>
      <c r="Q534" s="528"/>
      <c r="R534" s="807">
        <f>$A534*Q534</f>
        <v>0</v>
      </c>
      <c r="S534" s="528"/>
      <c r="T534" s="643">
        <f>$A534*S534*$T$1</f>
        <v>0</v>
      </c>
    </row>
    <row r="535" spans="1:41" s="519" customFormat="1" ht="13.2">
      <c r="A535" s="49"/>
      <c r="B535" s="528"/>
      <c r="C535" s="528"/>
      <c r="D535" s="3"/>
      <c r="E535" s="528"/>
      <c r="F535" s="528"/>
      <c r="G535" s="528"/>
      <c r="H535" s="528"/>
      <c r="I535" s="528"/>
      <c r="J535" s="528"/>
      <c r="K535" s="528"/>
      <c r="L535" s="806"/>
      <c r="M535" s="528"/>
      <c r="N535" s="528"/>
      <c r="O535" s="528"/>
      <c r="P535" s="528"/>
      <c r="Q535" s="528"/>
      <c r="R535" s="807">
        <f>$A535*Q535</f>
        <v>0</v>
      </c>
      <c r="S535" s="528"/>
      <c r="T535" s="643">
        <f>$A535*S535*$T$1</f>
        <v>0</v>
      </c>
    </row>
    <row r="536" spans="1:41" s="519" customFormat="1" ht="12" customHeight="1">
      <c r="A536" s="835" t="s">
        <v>145</v>
      </c>
      <c r="B536" s="836">
        <f>(R535+T535)</f>
        <v>0</v>
      </c>
      <c r="C536" s="837"/>
      <c r="D536" s="837"/>
      <c r="E536" s="837"/>
      <c r="F536" s="837"/>
      <c r="G536" s="813"/>
      <c r="H536" s="813"/>
      <c r="I536" s="813"/>
      <c r="J536" s="813"/>
      <c r="K536" s="838" t="s">
        <v>5</v>
      </c>
      <c r="L536" s="839" t="s">
        <v>590</v>
      </c>
      <c r="M536" s="813"/>
      <c r="N536" s="813"/>
      <c r="O536" s="813"/>
      <c r="P536" s="813"/>
      <c r="Q536" s="813"/>
      <c r="R536" s="814">
        <f>SUM(R532:R535)</f>
        <v>0</v>
      </c>
      <c r="S536" s="815"/>
      <c r="T536" s="814">
        <f>SUM(T532:T535)</f>
        <v>0</v>
      </c>
      <c r="AG536" s="840">
        <f>ROUND($R536*$S$3,2)</f>
        <v>0</v>
      </c>
    </row>
    <row r="537" spans="1:41" s="519" customFormat="1" ht="12.75" customHeight="1">
      <c r="A537" s="841"/>
      <c r="B537" s="842"/>
      <c r="E537" s="641"/>
      <c r="F537" s="843"/>
      <c r="G537" s="641"/>
      <c r="H537" s="641"/>
      <c r="I537" s="518"/>
      <c r="J537" s="641"/>
      <c r="K537" s="641"/>
      <c r="L537" s="844"/>
      <c r="M537" s="652"/>
      <c r="N537" s="652"/>
      <c r="O537" s="652"/>
      <c r="P537" s="652"/>
      <c r="Q537" s="653"/>
      <c r="R537" s="821"/>
      <c r="S537" s="641"/>
      <c r="T537" s="821"/>
    </row>
    <row r="538" spans="1:41" s="519" customFormat="1" ht="13.5" customHeight="1" thickBot="1">
      <c r="A538" s="845"/>
      <c r="B538" s="846"/>
      <c r="C538" s="529"/>
      <c r="D538" s="529"/>
      <c r="E538" s="646"/>
      <c r="F538" s="647"/>
      <c r="G538" s="646" t="s">
        <v>146</v>
      </c>
      <c r="H538" s="646"/>
      <c r="I538" s="648"/>
      <c r="J538" s="646"/>
      <c r="K538" s="646"/>
      <c r="L538" s="847" t="s">
        <v>143</v>
      </c>
      <c r="M538" s="649"/>
      <c r="N538" s="649"/>
      <c r="O538" s="649"/>
      <c r="P538" s="649"/>
      <c r="Q538" s="650"/>
      <c r="R538" s="848">
        <f ca="1">SUMIF($L525:$L537,"SUBI",R525:R537)</f>
        <v>0</v>
      </c>
      <c r="S538" s="646"/>
      <c r="T538" s="848">
        <f ca="1">SUMIF($L525:$L537,"SUBI",T525:T537)</f>
        <v>0</v>
      </c>
      <c r="U538" s="529"/>
      <c r="V538" s="529"/>
      <c r="W538" s="529"/>
      <c r="X538" s="529"/>
      <c r="Y538" s="529"/>
      <c r="Z538" s="529"/>
      <c r="AA538" s="529"/>
      <c r="AB538" s="529"/>
      <c r="AC538" s="529"/>
      <c r="AD538" s="529"/>
      <c r="AE538" s="529"/>
      <c r="AF538" s="529"/>
      <c r="AG538" s="529"/>
      <c r="AH538" s="529"/>
      <c r="AI538" s="529"/>
      <c r="AJ538" s="529"/>
      <c r="AK538" s="529"/>
      <c r="AL538" s="529"/>
      <c r="AM538" s="529"/>
      <c r="AN538" s="529"/>
      <c r="AO538" s="529"/>
    </row>
    <row r="539" spans="1:41" s="519" customFormat="1" thickTop="1">
      <c r="A539" s="47"/>
      <c r="B539" s="47"/>
      <c r="C539" s="3"/>
      <c r="D539" s="3"/>
      <c r="E539" s="47"/>
      <c r="F539" s="47"/>
      <c r="G539" s="47"/>
      <c r="H539" s="47"/>
      <c r="I539" s="47"/>
      <c r="J539" s="47"/>
      <c r="K539" s="47" t="s">
        <v>134</v>
      </c>
      <c r="L539" s="47"/>
      <c r="M539" s="47"/>
      <c r="N539" s="47"/>
      <c r="O539" s="48"/>
      <c r="P539" s="47"/>
      <c r="Q539" s="47"/>
      <c r="R539" s="47"/>
      <c r="S539" s="47"/>
      <c r="T539" s="47"/>
    </row>
    <row r="540" spans="1:41" s="519" customFormat="1" ht="12">
      <c r="A540" s="47"/>
      <c r="B540" s="47"/>
      <c r="C540" s="47" t="s">
        <v>135</v>
      </c>
      <c r="D540" s="36"/>
      <c r="E540" s="47"/>
      <c r="F540" s="47"/>
      <c r="G540" s="47"/>
      <c r="H540" s="47"/>
      <c r="I540" s="47"/>
      <c r="J540" s="47"/>
      <c r="K540" s="47"/>
      <c r="L540" s="47"/>
      <c r="M540" s="47"/>
      <c r="N540" s="47"/>
      <c r="O540" s="48"/>
      <c r="P540" s="47"/>
      <c r="Q540" s="47"/>
      <c r="R540" s="47"/>
      <c r="S540" s="47"/>
      <c r="T540" s="47"/>
    </row>
    <row r="541" spans="1:41" s="519" customFormat="1" ht="39.9" customHeight="1">
      <c r="A541" s="47"/>
      <c r="B541" s="47"/>
      <c r="C541" s="47"/>
      <c r="D541" s="979" t="s">
        <v>428</v>
      </c>
      <c r="E541" s="980"/>
      <c r="F541" s="980"/>
      <c r="G541" s="980"/>
      <c r="H541" s="980"/>
      <c r="I541" s="980"/>
      <c r="J541" s="980"/>
      <c r="K541" s="980"/>
      <c r="L541" s="980"/>
      <c r="M541" s="980"/>
      <c r="N541" s="980"/>
      <c r="O541" s="980"/>
      <c r="P541" s="980"/>
      <c r="Q541" s="980"/>
      <c r="R541" s="980"/>
      <c r="S541" s="980"/>
      <c r="T541" s="980"/>
    </row>
    <row r="542" spans="1:41" s="3" customFormat="1" thickBot="1">
      <c r="A542" s="529"/>
      <c r="O542" s="99"/>
    </row>
    <row r="543" spans="1:41" s="519" customFormat="1" thickTop="1">
      <c r="A543" s="47"/>
      <c r="B543" s="40"/>
      <c r="C543" s="47"/>
      <c r="E543" s="41" t="s">
        <v>138</v>
      </c>
      <c r="F543" s="41" t="s">
        <v>139</v>
      </c>
      <c r="G543" s="47"/>
      <c r="H543" s="47"/>
      <c r="I543" s="47"/>
      <c r="J543" s="47"/>
      <c r="K543" s="47" t="s">
        <v>140</v>
      </c>
      <c r="L543" s="774"/>
      <c r="M543" s="47"/>
      <c r="N543" s="47"/>
      <c r="O543" s="48"/>
      <c r="P543" s="47"/>
      <c r="Q543"/>
      <c r="R543"/>
      <c r="S543"/>
      <c r="T543" s="40"/>
      <c r="AG543" s="627" t="s">
        <v>277</v>
      </c>
      <c r="AH543" s="627" t="s">
        <v>278</v>
      </c>
      <c r="AI543" s="627" t="s">
        <v>279</v>
      </c>
      <c r="AJ543" s="627" t="s">
        <v>280</v>
      </c>
      <c r="AK543" s="627" t="s">
        <v>281</v>
      </c>
      <c r="AM543" s="628" t="s">
        <v>290</v>
      </c>
      <c r="AN543" s="629" t="s">
        <v>291</v>
      </c>
      <c r="AO543" s="520" t="s">
        <v>287</v>
      </c>
    </row>
    <row r="544" spans="1:41" s="519" customFormat="1" ht="13.2">
      <c r="A544" s="630">
        <v>1</v>
      </c>
      <c r="B544" s="521" t="s">
        <v>312</v>
      </c>
      <c r="C544" s="631"/>
      <c r="D544" s="632" t="s">
        <v>644</v>
      </c>
      <c r="E544" s="775">
        <f ca="1">IF(AND($A544=0,$A$1="DIF"),0, ROUND(ROUND(SUMIF($L546:$L552,"SUBI",$E546:$E552)/$A544,2)*$C$12,2))</f>
        <v>0</v>
      </c>
      <c r="F544" s="776">
        <f ca="1">ROUND($A544*$E544,2)</f>
        <v>0</v>
      </c>
      <c r="G544" s="635" t="s">
        <v>142</v>
      </c>
      <c r="H544" s="636"/>
      <c r="I544" s="637"/>
      <c r="J544" s="636"/>
      <c r="K544" s="777"/>
      <c r="L544" s="778" t="s">
        <v>143</v>
      </c>
      <c r="M544" s="638"/>
      <c r="N544" s="638"/>
      <c r="O544" s="638"/>
      <c r="P544" s="638"/>
      <c r="Q544" s="967" t="s">
        <v>802</v>
      </c>
      <c r="R544"/>
      <c r="S544"/>
      <c r="T544" s="779" t="str">
        <f ca="1">IF(AND($R558=0,$T558=0),"0.00","mu :" &amp; ROUND($F544/$C$12/($R558+$T558*$D$9),2))</f>
        <v>0.00</v>
      </c>
      <c r="W544" s="522"/>
      <c r="AG544" s="780">
        <f ca="1">IF(A544=0,0,ROUND(SUM(AG546:AG558)/A544,2))</f>
        <v>0</v>
      </c>
      <c r="AH544" s="780">
        <f ca="1">$AG544*$A544</f>
        <v>0</v>
      </c>
      <c r="AI544" s="780">
        <f ca="1">$E544-$AG544</f>
        <v>0</v>
      </c>
      <c r="AJ544" s="780">
        <f ca="1">$A544*$AI544</f>
        <v>0</v>
      </c>
      <c r="AK544" s="781">
        <f ca="1">ROUND(($AG544+$AI544)*$A544,2)</f>
        <v>0</v>
      </c>
      <c r="AM544" s="525">
        <f ca="1">ROUND(R558,2)</f>
        <v>0</v>
      </c>
      <c r="AN544" s="526">
        <f ca="1">ROUND(T558,2)</f>
        <v>0</v>
      </c>
      <c r="AO544" s="527">
        <f ca="1">ROUND(AM544+AN544,2)*A544</f>
        <v>0</v>
      </c>
    </row>
    <row r="545" spans="1:41" s="519" customFormat="1" ht="19.95" customHeight="1">
      <c r="A545" s="782"/>
      <c r="B545" s="783"/>
      <c r="C545" s="631"/>
      <c r="D545" s="784" t="s">
        <v>639</v>
      </c>
      <c r="F545" s="636"/>
      <c r="G545" s="636"/>
      <c r="H545" s="636"/>
      <c r="I545" s="637"/>
      <c r="J545" s="636"/>
      <c r="K545" s="636" t="s">
        <v>144</v>
      </c>
      <c r="L545" s="785"/>
      <c r="M545" s="636"/>
      <c r="N545" s="636"/>
      <c r="O545" s="636"/>
      <c r="P545" s="636"/>
      <c r="Q545" s="47"/>
      <c r="R545" s="528"/>
      <c r="S545" s="640"/>
      <c r="T545" s="636"/>
    </row>
    <row r="546" spans="1:41" s="519" customFormat="1" ht="12">
      <c r="A546" s="786"/>
      <c r="B546" s="787"/>
      <c r="C546" s="641"/>
      <c r="D546" s="636"/>
      <c r="E546" s="788">
        <f ca="1">F544/$C$12-SUMIF($L543:$L558,"SUBI",$E543:$E558)</f>
        <v>0</v>
      </c>
      <c r="F546" s="789" t="s">
        <v>589</v>
      </c>
      <c r="G546" s="790"/>
      <c r="H546" s="790"/>
      <c r="I546" s="791"/>
      <c r="J546" s="790"/>
      <c r="K546" s="790"/>
      <c r="L546" s="792"/>
      <c r="M546" s="793"/>
      <c r="N546" s="793"/>
      <c r="O546" s="793"/>
      <c r="P546" s="793"/>
      <c r="Q546" s="794"/>
      <c r="R546" s="795"/>
      <c r="S546" s="794"/>
      <c r="T546" s="796"/>
    </row>
    <row r="547" spans="1:41" s="519" customFormat="1" ht="12" customHeight="1">
      <c r="A547" s="797"/>
      <c r="B547" s="798"/>
      <c r="C547" s="799"/>
      <c r="D547" s="799" t="str">
        <f>$F$2</f>
        <v>Electrical</v>
      </c>
      <c r="E547" s="799">
        <f ca="1">ROUND(($R551*$S$2 + ($T551*$T$2)), 2)</f>
        <v>0</v>
      </c>
      <c r="F547" s="800">
        <f ca="1">$E547*$C$12</f>
        <v>0</v>
      </c>
      <c r="G547" s="528"/>
      <c r="H547" s="801"/>
      <c r="I547" s="528"/>
      <c r="J547" s="48"/>
      <c r="K547" s="802" t="s">
        <v>3</v>
      </c>
      <c r="L547" s="803" t="s">
        <v>590</v>
      </c>
      <c r="M547" s="528"/>
      <c r="N547" s="528"/>
      <c r="O547" s="48"/>
      <c r="P547" s="528"/>
      <c r="Q547" s="528"/>
      <c r="R547"/>
      <c r="S547"/>
      <c r="T547"/>
    </row>
    <row r="548" spans="1:41" s="956" customFormat="1" ht="13.2">
      <c r="A548"/>
      <c r="B548" s="948"/>
      <c r="C548" s="948" t="s">
        <v>742</v>
      </c>
      <c r="D548" s="948" t="str">
        <f ca="1">CELL("Address",Elec_Rates!D$100)</f>
        <v>[ELM25_0085_Quintano_Elec_Mech_HVAC_Est_Rev_B.xlsx]Elec_Rates!$D$100</v>
      </c>
      <c r="E548" s="949"/>
      <c r="F548" s="949"/>
      <c r="G548" s="950" t="s">
        <v>743</v>
      </c>
      <c r="H548" s="950"/>
      <c r="I548" s="950"/>
      <c r="J548" s="950"/>
      <c r="K548" s="951"/>
      <c r="L548" s="949"/>
      <c r="M548" s="949"/>
      <c r="N548" s="949"/>
      <c r="O548" s="952"/>
      <c r="P548" s="949"/>
      <c r="Q548" s="953"/>
      <c r="R548" s="954"/>
      <c r="S548" s="953"/>
      <c r="T548" s="943"/>
      <c r="U548" s="955"/>
    </row>
    <row r="549" spans="1:41" s="956" customFormat="1" ht="11.4">
      <c r="A549" s="957">
        <v>0</v>
      </c>
      <c r="B549" s="958">
        <v>1</v>
      </c>
      <c r="C549" s="958">
        <f>$A549*$B549</f>
        <v>0</v>
      </c>
      <c r="D549" s="959" t="str">
        <f>Elec_Rates!$D$100</f>
        <v>001# SFDI adjacent to each damper.</v>
      </c>
      <c r="E549" s="959"/>
      <c r="F549" s="959" t="s">
        <v>744</v>
      </c>
      <c r="G549" s="960" t="s">
        <v>760</v>
      </c>
      <c r="H549" s="960"/>
      <c r="I549" s="960"/>
      <c r="J549" s="960"/>
      <c r="K549" s="961"/>
      <c r="L549" s="955"/>
      <c r="M549" s="955"/>
      <c r="N549" s="955"/>
      <c r="O549" s="962"/>
      <c r="P549" s="959"/>
      <c r="Q549" s="963">
        <f ca="1">$B549*Elec_Rates!$R$100</f>
        <v>330.73</v>
      </c>
      <c r="R549" s="954">
        <f ca="1">$A549*Q549</f>
        <v>0</v>
      </c>
      <c r="S549" s="963">
        <f ca="1">$B549*Elec_Rates!$T$100</f>
        <v>3.37</v>
      </c>
      <c r="T549" s="943">
        <f ca="1">$A549*S549</f>
        <v>0</v>
      </c>
      <c r="U549" s="501"/>
    </row>
    <row r="550" spans="1:41" s="519" customFormat="1" ht="13.95" customHeight="1">
      <c r="A550" s="49"/>
      <c r="B550" s="528"/>
      <c r="C550" s="528"/>
      <c r="D550" s="528"/>
      <c r="E550" s="528"/>
      <c r="F550" s="528"/>
      <c r="G550" s="528"/>
      <c r="H550" s="801"/>
      <c r="I550" s="528"/>
      <c r="J550" s="48"/>
      <c r="K550" s="805"/>
      <c r="L550" s="806"/>
      <c r="M550" s="528"/>
      <c r="N550" s="528"/>
      <c r="O550" s="48"/>
      <c r="P550" s="528"/>
      <c r="Q550" s="528"/>
      <c r="R550" s="807">
        <f>$A550*Q550</f>
        <v>0</v>
      </c>
      <c r="S550" s="528"/>
      <c r="T550" s="643">
        <f>$A550*S550*$T$1</f>
        <v>0</v>
      </c>
    </row>
    <row r="551" spans="1:41" s="519" customFormat="1" ht="12">
      <c r="A551" s="808" t="s">
        <v>145</v>
      </c>
      <c r="B551" s="809">
        <f>(R550+T550)</f>
        <v>0</v>
      </c>
      <c r="C551" s="641"/>
      <c r="G551" s="810"/>
      <c r="H551" s="810"/>
      <c r="I551" s="810"/>
      <c r="J551" s="810"/>
      <c r="K551" s="811" t="s">
        <v>3</v>
      </c>
      <c r="L551" s="812" t="s">
        <v>590</v>
      </c>
      <c r="M551" s="810"/>
      <c r="N551" s="810"/>
      <c r="O551" s="810"/>
      <c r="P551" s="810"/>
      <c r="Q551" s="813"/>
      <c r="R551" s="814">
        <f ca="1">SUM(R547:R550)</f>
        <v>0</v>
      </c>
      <c r="S551" s="815"/>
      <c r="T551" s="814">
        <f ca="1">SUM(T547:T550)</f>
        <v>0</v>
      </c>
      <c r="AG551" s="816">
        <f ca="1">ROUND($R551*$S$2,2)</f>
        <v>0</v>
      </c>
    </row>
    <row r="552" spans="1:41" s="519" customFormat="1" ht="12" customHeight="1">
      <c r="A552" s="817"/>
      <c r="B552" s="818"/>
      <c r="C552" s="819"/>
      <c r="D552" s="819" t="str">
        <f>$F$3</f>
        <v>ECA</v>
      </c>
      <c r="E552" s="819">
        <f>ROUND(($R556*$S$3 + ($T556*$T$3)), 2)</f>
        <v>0</v>
      </c>
      <c r="F552" s="820">
        <f ca="1">$F544-SUMIF($L546:$P549,"SUBI",$F546:$F549)</f>
        <v>0</v>
      </c>
      <c r="G552" s="518"/>
      <c r="H552" s="518"/>
      <c r="I552" s="518"/>
      <c r="J552" s="518"/>
      <c r="K552" s="802" t="s">
        <v>5</v>
      </c>
      <c r="L552" s="803" t="s">
        <v>590</v>
      </c>
      <c r="M552" s="518"/>
      <c r="N552" s="518"/>
      <c r="O552" s="518"/>
      <c r="P552" s="518"/>
      <c r="Q552" s="518"/>
      <c r="R552" s="821"/>
      <c r="S552" s="518"/>
      <c r="T552" s="821"/>
    </row>
    <row r="553" spans="1:41" s="834" customFormat="1" ht="14.4" customHeight="1">
      <c r="A553" s="822"/>
      <c r="B553" s="804" t="s">
        <v>592</v>
      </c>
      <c r="C553" s="823"/>
      <c r="D553" s="824"/>
      <c r="E553" s="824"/>
      <c r="F553" s="824"/>
      <c r="G553" s="825"/>
      <c r="H553" s="826"/>
      <c r="I553" s="826"/>
      <c r="J553" s="827"/>
      <c r="K553" s="828"/>
      <c r="L553" s="823"/>
      <c r="M553" s="829"/>
      <c r="N553" s="830"/>
      <c r="O553" s="831"/>
      <c r="P553" s="832"/>
      <c r="Q553" s="833"/>
      <c r="R553" s="807">
        <f>$A553*Q553</f>
        <v>0</v>
      </c>
      <c r="S553" s="528"/>
      <c r="T553" s="643">
        <f>$A553*S553*$T$1</f>
        <v>0</v>
      </c>
    </row>
    <row r="554" spans="1:41" s="519" customFormat="1" ht="11.4">
      <c r="A554" s="49"/>
      <c r="B554" s="528"/>
      <c r="C554" s="528"/>
      <c r="D554" s="528"/>
      <c r="E554" s="528"/>
      <c r="F554" s="528"/>
      <c r="G554" s="528"/>
      <c r="H554" s="528"/>
      <c r="I554" s="528"/>
      <c r="J554" s="528"/>
      <c r="K554" s="528"/>
      <c r="L554" s="806"/>
      <c r="M554" s="528"/>
      <c r="N554" s="528"/>
      <c r="O554" s="528"/>
      <c r="P554" s="528"/>
      <c r="Q554" s="528"/>
      <c r="R554" s="807">
        <f>$A554*Q554</f>
        <v>0</v>
      </c>
      <c r="S554" s="528"/>
      <c r="T554" s="643">
        <f>$A554*S554*$T$1</f>
        <v>0</v>
      </c>
    </row>
    <row r="555" spans="1:41" s="519" customFormat="1" ht="13.2">
      <c r="A555" s="49"/>
      <c r="B555" s="528"/>
      <c r="C555" s="528"/>
      <c r="D555" s="3"/>
      <c r="E555" s="528"/>
      <c r="F555" s="528"/>
      <c r="G555" s="528"/>
      <c r="H555" s="528"/>
      <c r="I555" s="528"/>
      <c r="J555" s="528"/>
      <c r="K555" s="528"/>
      <c r="L555" s="806"/>
      <c r="M555" s="528"/>
      <c r="N555" s="528"/>
      <c r="O555" s="528"/>
      <c r="P555" s="528"/>
      <c r="Q555" s="528"/>
      <c r="R555" s="807">
        <f>$A555*Q555</f>
        <v>0</v>
      </c>
      <c r="S555" s="528"/>
      <c r="T555" s="643">
        <f>$A555*S555*$T$1</f>
        <v>0</v>
      </c>
    </row>
    <row r="556" spans="1:41" s="519" customFormat="1" ht="12" customHeight="1">
      <c r="A556" s="835" t="s">
        <v>145</v>
      </c>
      <c r="B556" s="836">
        <f>(R555+T555)</f>
        <v>0</v>
      </c>
      <c r="C556" s="837"/>
      <c r="D556" s="837"/>
      <c r="E556" s="837"/>
      <c r="F556" s="837"/>
      <c r="G556" s="813"/>
      <c r="H556" s="813"/>
      <c r="I556" s="813"/>
      <c r="J556" s="813"/>
      <c r="K556" s="838" t="s">
        <v>5</v>
      </c>
      <c r="L556" s="839" t="s">
        <v>590</v>
      </c>
      <c r="M556" s="813"/>
      <c r="N556" s="813"/>
      <c r="O556" s="813"/>
      <c r="P556" s="813"/>
      <c r="Q556" s="813"/>
      <c r="R556" s="814">
        <f>SUM(R552:R555)</f>
        <v>0</v>
      </c>
      <c r="S556" s="815"/>
      <c r="T556" s="814">
        <f>SUM(T552:T555)</f>
        <v>0</v>
      </c>
      <c r="AG556" s="840">
        <f>ROUND($R556*$S$3,2)</f>
        <v>0</v>
      </c>
    </row>
    <row r="557" spans="1:41" s="519" customFormat="1" ht="12.75" customHeight="1">
      <c r="A557" s="841"/>
      <c r="B557" s="842"/>
      <c r="E557" s="641"/>
      <c r="F557" s="843"/>
      <c r="G557" s="641"/>
      <c r="H557" s="641"/>
      <c r="I557" s="518"/>
      <c r="J557" s="641"/>
      <c r="K557" s="641"/>
      <c r="L557" s="844"/>
      <c r="M557" s="652"/>
      <c r="N557" s="652"/>
      <c r="O557" s="652"/>
      <c r="P557" s="652"/>
      <c r="Q557" s="653"/>
      <c r="R557" s="821"/>
      <c r="S557" s="641"/>
      <c r="T557" s="821"/>
    </row>
    <row r="558" spans="1:41" s="519" customFormat="1" ht="13.5" customHeight="1" thickBot="1">
      <c r="A558" s="845"/>
      <c r="B558" s="846"/>
      <c r="C558" s="529"/>
      <c r="D558" s="529"/>
      <c r="E558" s="646"/>
      <c r="F558" s="647"/>
      <c r="G558" s="646" t="s">
        <v>146</v>
      </c>
      <c r="H558" s="646"/>
      <c r="I558" s="648"/>
      <c r="J558" s="646"/>
      <c r="K558" s="646"/>
      <c r="L558" s="847" t="s">
        <v>143</v>
      </c>
      <c r="M558" s="649"/>
      <c r="N558" s="649"/>
      <c r="O558" s="649"/>
      <c r="P558" s="649"/>
      <c r="Q558" s="650"/>
      <c r="R558" s="848">
        <f ca="1">SUMIF($L545:$L557,"SUBI",R545:R557)</f>
        <v>0</v>
      </c>
      <c r="S558" s="646"/>
      <c r="T558" s="848">
        <f ca="1">SUMIF($L545:$L557,"SUBI",T545:T557)</f>
        <v>0</v>
      </c>
      <c r="U558" s="529"/>
      <c r="V558" s="529"/>
      <c r="W558" s="529"/>
      <c r="X558" s="529"/>
      <c r="Y558" s="529"/>
      <c r="Z558" s="529"/>
      <c r="AA558" s="529"/>
      <c r="AB558" s="529"/>
      <c r="AC558" s="529"/>
      <c r="AD558" s="529"/>
      <c r="AE558" s="529"/>
      <c r="AF558" s="529"/>
      <c r="AG558" s="529"/>
      <c r="AH558" s="529"/>
      <c r="AI558" s="529"/>
      <c r="AJ558" s="529"/>
      <c r="AK558" s="529"/>
      <c r="AL558" s="529"/>
      <c r="AM558" s="529"/>
      <c r="AN558" s="529"/>
      <c r="AO558" s="529"/>
    </row>
    <row r="559" spans="1:41" s="519" customFormat="1" thickTop="1">
      <c r="A559" s="47"/>
      <c r="B559" s="40"/>
      <c r="C559" s="47"/>
      <c r="E559" s="41" t="s">
        <v>138</v>
      </c>
      <c r="F559" s="41" t="s">
        <v>139</v>
      </c>
      <c r="G559" s="47"/>
      <c r="H559" s="47"/>
      <c r="I559" s="47"/>
      <c r="J559" s="47"/>
      <c r="K559" s="47" t="s">
        <v>140</v>
      </c>
      <c r="L559" s="774"/>
      <c r="M559" s="47"/>
      <c r="N559" s="47"/>
      <c r="O559" s="48"/>
      <c r="P559" s="47"/>
      <c r="Q559"/>
      <c r="R559"/>
      <c r="S559"/>
      <c r="T559" s="40"/>
      <c r="AG559" s="627" t="s">
        <v>277</v>
      </c>
      <c r="AH559" s="627" t="s">
        <v>278</v>
      </c>
      <c r="AI559" s="627" t="s">
        <v>279</v>
      </c>
      <c r="AJ559" s="627" t="s">
        <v>280</v>
      </c>
      <c r="AK559" s="627" t="s">
        <v>281</v>
      </c>
      <c r="AM559" s="628" t="s">
        <v>290</v>
      </c>
      <c r="AN559" s="629" t="s">
        <v>291</v>
      </c>
      <c r="AO559" s="520" t="s">
        <v>287</v>
      </c>
    </row>
    <row r="560" spans="1:41" s="519" customFormat="1" ht="13.2">
      <c r="A560" s="630">
        <v>2</v>
      </c>
      <c r="B560" s="521" t="s">
        <v>312</v>
      </c>
      <c r="C560" s="631"/>
      <c r="D560" s="632" t="s">
        <v>645</v>
      </c>
      <c r="E560" s="775">
        <f ca="1">IF(AND($A560=0,$A$1="DIF"),0, ROUND(ROUND(SUMIF($L562:$L568,"SUBI",$E562:$E568)/$A560,2)*$C$12,2))</f>
        <v>0</v>
      </c>
      <c r="F560" s="776">
        <f ca="1">ROUND($A560*$E560,2)</f>
        <v>0</v>
      </c>
      <c r="G560" s="635" t="s">
        <v>142</v>
      </c>
      <c r="H560" s="636"/>
      <c r="I560" s="637"/>
      <c r="J560" s="636"/>
      <c r="K560" s="777"/>
      <c r="L560" s="778" t="s">
        <v>143</v>
      </c>
      <c r="M560" s="638"/>
      <c r="N560" s="638"/>
      <c r="O560" s="638"/>
      <c r="P560" s="638"/>
      <c r="Q560" s="967" t="s">
        <v>802</v>
      </c>
      <c r="R560"/>
      <c r="S560"/>
      <c r="T560" s="779" t="str">
        <f ca="1">IF(AND($R574=0,$T574=0),"0.00","mu :" &amp; ROUND($F560/$C$12/($R574+$T574*$D$9),2))</f>
        <v>0.00</v>
      </c>
      <c r="W560" s="522"/>
      <c r="AG560" s="780">
        <f ca="1">IF(A560=0,0,ROUND(SUM(AG562:AG574)/A560,2))</f>
        <v>0</v>
      </c>
      <c r="AH560" s="780">
        <f ca="1">$AG560*$A560</f>
        <v>0</v>
      </c>
      <c r="AI560" s="780">
        <f ca="1">$E560-$AG560</f>
        <v>0</v>
      </c>
      <c r="AJ560" s="780">
        <f ca="1">$A560*$AI560</f>
        <v>0</v>
      </c>
      <c r="AK560" s="781">
        <f ca="1">ROUND(($AG560+$AI560)*$A560,2)</f>
        <v>0</v>
      </c>
      <c r="AM560" s="525">
        <f ca="1">ROUND(R574,2)</f>
        <v>0</v>
      </c>
      <c r="AN560" s="526">
        <f ca="1">ROUND(T574,2)</f>
        <v>0</v>
      </c>
      <c r="AO560" s="527">
        <f ca="1">ROUND(AM560+AN560,2)*A560</f>
        <v>0</v>
      </c>
    </row>
    <row r="561" spans="1:41" s="519" customFormat="1" ht="19.95" customHeight="1">
      <c r="A561" s="782"/>
      <c r="B561" s="783"/>
      <c r="C561" s="631"/>
      <c r="D561" s="784" t="s">
        <v>646</v>
      </c>
      <c r="F561" s="636"/>
      <c r="G561" s="636"/>
      <c r="H561" s="636"/>
      <c r="I561" s="637"/>
      <c r="J561" s="636"/>
      <c r="K561" s="636" t="s">
        <v>144</v>
      </c>
      <c r="L561" s="785"/>
      <c r="M561" s="636"/>
      <c r="N561" s="636"/>
      <c r="O561" s="636"/>
      <c r="P561" s="636"/>
      <c r="Q561" s="47"/>
      <c r="R561" s="528"/>
      <c r="S561" s="640"/>
      <c r="T561" s="636"/>
    </row>
    <row r="562" spans="1:41" s="519" customFormat="1" ht="12">
      <c r="A562" s="786"/>
      <c r="B562" s="787"/>
      <c r="C562" s="641"/>
      <c r="D562" s="636"/>
      <c r="E562" s="788">
        <f ca="1">F560/$C$12-SUMIF($L559:$L574,"SUBI",$E559:$E574)</f>
        <v>0</v>
      </c>
      <c r="F562" s="789" t="s">
        <v>589</v>
      </c>
      <c r="G562" s="790"/>
      <c r="H562" s="790"/>
      <c r="I562" s="791"/>
      <c r="J562" s="790"/>
      <c r="K562" s="790"/>
      <c r="L562" s="792"/>
      <c r="M562" s="793"/>
      <c r="N562" s="793"/>
      <c r="O562" s="793"/>
      <c r="P562" s="793"/>
      <c r="Q562" s="794"/>
      <c r="R562" s="795"/>
      <c r="S562" s="794"/>
      <c r="T562" s="796"/>
    </row>
    <row r="563" spans="1:41" s="519" customFormat="1" ht="12" customHeight="1">
      <c r="A563" s="797"/>
      <c r="B563" s="798"/>
      <c r="C563" s="799"/>
      <c r="D563" s="799" t="str">
        <f>$F$2</f>
        <v>Electrical</v>
      </c>
      <c r="E563" s="799">
        <f ca="1">ROUND(($R567*$S$2 + ($T567*$T$2)), 2)</f>
        <v>0</v>
      </c>
      <c r="F563" s="800">
        <f ca="1">$E563*$C$12</f>
        <v>0</v>
      </c>
      <c r="G563" s="528"/>
      <c r="H563" s="801"/>
      <c r="I563" s="528"/>
      <c r="J563" s="48"/>
      <c r="K563" s="802" t="s">
        <v>3</v>
      </c>
      <c r="L563" s="803" t="s">
        <v>590</v>
      </c>
      <c r="M563" s="528"/>
      <c r="N563" s="528"/>
      <c r="O563" s="48"/>
      <c r="P563" s="528"/>
      <c r="Q563" s="528"/>
      <c r="R563"/>
      <c r="S563"/>
      <c r="T563"/>
    </row>
    <row r="564" spans="1:41" s="956" customFormat="1" ht="13.2">
      <c r="A564"/>
      <c r="B564" s="948"/>
      <c r="C564" s="948" t="s">
        <v>742</v>
      </c>
      <c r="D564" s="948" t="str">
        <f ca="1">CELL("Address",Elec_Rates!D$100)</f>
        <v>[ELM25_0085_Quintano_Elec_Mech_HVAC_Est_Rev_B.xlsx]Elec_Rates!$D$100</v>
      </c>
      <c r="E564" s="949"/>
      <c r="F564" s="949"/>
      <c r="G564" s="950" t="s">
        <v>743</v>
      </c>
      <c r="H564" s="950"/>
      <c r="I564" s="950"/>
      <c r="J564" s="950"/>
      <c r="K564" s="951"/>
      <c r="L564" s="949"/>
      <c r="M564" s="949"/>
      <c r="N564" s="949"/>
      <c r="O564" s="952"/>
      <c r="P564" s="949"/>
      <c r="Q564" s="953"/>
      <c r="R564" s="954"/>
      <c r="S564" s="953"/>
      <c r="T564" s="943"/>
      <c r="U564" s="955"/>
    </row>
    <row r="565" spans="1:41" s="956" customFormat="1" ht="11.4">
      <c r="A565" s="957">
        <v>0</v>
      </c>
      <c r="B565" s="958">
        <v>1</v>
      </c>
      <c r="C565" s="958">
        <f>$A565*$B565</f>
        <v>0</v>
      </c>
      <c r="D565" s="959" t="str">
        <f>Elec_Rates!$D$100</f>
        <v>001# SFDI adjacent to each damper.</v>
      </c>
      <c r="E565" s="959"/>
      <c r="F565" s="959" t="s">
        <v>744</v>
      </c>
      <c r="G565" s="960" t="s">
        <v>760</v>
      </c>
      <c r="H565" s="960"/>
      <c r="I565" s="960"/>
      <c r="J565" s="960"/>
      <c r="K565" s="961"/>
      <c r="L565" s="955"/>
      <c r="M565" s="955"/>
      <c r="N565" s="955"/>
      <c r="O565" s="962"/>
      <c r="P565" s="959"/>
      <c r="Q565" s="963">
        <f ca="1">$B565*Elec_Rates!$R$100</f>
        <v>330.73</v>
      </c>
      <c r="R565" s="954">
        <f ca="1">$A565*Q565</f>
        <v>0</v>
      </c>
      <c r="S565" s="963">
        <f ca="1">$B565*Elec_Rates!$T$100</f>
        <v>3.37</v>
      </c>
      <c r="T565" s="943">
        <f ca="1">$A565*S565</f>
        <v>0</v>
      </c>
      <c r="U565" s="501"/>
    </row>
    <row r="566" spans="1:41" s="519" customFormat="1" ht="13.95" customHeight="1">
      <c r="A566" s="49"/>
      <c r="B566" s="528"/>
      <c r="C566" s="528"/>
      <c r="D566" s="528"/>
      <c r="E566" s="528"/>
      <c r="F566" s="528"/>
      <c r="G566" s="528"/>
      <c r="H566" s="801"/>
      <c r="I566" s="528"/>
      <c r="J566" s="48"/>
      <c r="K566" s="805"/>
      <c r="L566" s="806"/>
      <c r="M566" s="528"/>
      <c r="N566" s="528"/>
      <c r="O566" s="48"/>
      <c r="P566" s="528"/>
      <c r="Q566" s="528"/>
      <c r="R566" s="807">
        <f>$A566*Q566</f>
        <v>0</v>
      </c>
      <c r="S566" s="528"/>
      <c r="T566" s="643">
        <f>$A566*S566*$T$1</f>
        <v>0</v>
      </c>
    </row>
    <row r="567" spans="1:41" s="519" customFormat="1" ht="12">
      <c r="A567" s="808" t="s">
        <v>145</v>
      </c>
      <c r="B567" s="809">
        <f>(R566+T566)</f>
        <v>0</v>
      </c>
      <c r="C567" s="641"/>
      <c r="G567" s="810"/>
      <c r="H567" s="810"/>
      <c r="I567" s="810"/>
      <c r="J567" s="810"/>
      <c r="K567" s="811" t="s">
        <v>3</v>
      </c>
      <c r="L567" s="812" t="s">
        <v>590</v>
      </c>
      <c r="M567" s="810"/>
      <c r="N567" s="810"/>
      <c r="O567" s="810"/>
      <c r="P567" s="810"/>
      <c r="Q567" s="813"/>
      <c r="R567" s="814">
        <f ca="1">SUM(R563:R566)</f>
        <v>0</v>
      </c>
      <c r="S567" s="815"/>
      <c r="T567" s="814">
        <f ca="1">SUM(T563:T566)</f>
        <v>0</v>
      </c>
      <c r="AG567" s="816">
        <f ca="1">ROUND($R567*$S$2,2)</f>
        <v>0</v>
      </c>
    </row>
    <row r="568" spans="1:41" s="519" customFormat="1" ht="12" customHeight="1">
      <c r="A568" s="817"/>
      <c r="B568" s="818"/>
      <c r="C568" s="819"/>
      <c r="D568" s="819" t="str">
        <f>$F$3</f>
        <v>ECA</v>
      </c>
      <c r="E568" s="819">
        <f>ROUND(($R572*$S$3 + ($T572*$T$3)), 2)</f>
        <v>0</v>
      </c>
      <c r="F568" s="820">
        <f ca="1">$F560-SUMIF($L562:$P565,"SUBI",$F562:$F565)</f>
        <v>0</v>
      </c>
      <c r="G568" s="518"/>
      <c r="H568" s="518"/>
      <c r="I568" s="518"/>
      <c r="J568" s="518"/>
      <c r="K568" s="802" t="s">
        <v>5</v>
      </c>
      <c r="L568" s="803" t="s">
        <v>590</v>
      </c>
      <c r="M568" s="518"/>
      <c r="N568" s="518"/>
      <c r="O568" s="518"/>
      <c r="P568" s="518"/>
      <c r="Q568" s="518"/>
      <c r="R568" s="821"/>
      <c r="S568" s="518"/>
      <c r="T568" s="821"/>
    </row>
    <row r="569" spans="1:41" s="834" customFormat="1" ht="14.4" customHeight="1">
      <c r="A569" s="822"/>
      <c r="B569" s="804" t="s">
        <v>592</v>
      </c>
      <c r="C569" s="823"/>
      <c r="D569" s="824"/>
      <c r="E569" s="824"/>
      <c r="F569" s="824"/>
      <c r="G569" s="825"/>
      <c r="H569" s="826"/>
      <c r="I569" s="826"/>
      <c r="J569" s="827"/>
      <c r="K569" s="828"/>
      <c r="L569" s="823"/>
      <c r="M569" s="829"/>
      <c r="N569" s="830"/>
      <c r="O569" s="831"/>
      <c r="P569" s="832"/>
      <c r="Q569" s="833"/>
      <c r="R569" s="807">
        <f>$A569*Q569</f>
        <v>0</v>
      </c>
      <c r="S569" s="528"/>
      <c r="T569" s="643">
        <f>$A569*S569*$T$1</f>
        <v>0</v>
      </c>
    </row>
    <row r="570" spans="1:41" s="519" customFormat="1" ht="11.4">
      <c r="A570" s="49"/>
      <c r="B570" s="528"/>
      <c r="C570" s="528"/>
      <c r="D570" s="528"/>
      <c r="E570" s="528"/>
      <c r="F570" s="528"/>
      <c r="G570" s="528"/>
      <c r="H570" s="528"/>
      <c r="I570" s="528"/>
      <c r="J570" s="528"/>
      <c r="K570" s="528"/>
      <c r="L570" s="806"/>
      <c r="M570" s="528"/>
      <c r="N570" s="528"/>
      <c r="O570" s="528"/>
      <c r="P570" s="528"/>
      <c r="Q570" s="528"/>
      <c r="R570" s="807">
        <f>$A570*Q570</f>
        <v>0</v>
      </c>
      <c r="S570" s="528"/>
      <c r="T570" s="643">
        <f>$A570*S570*$T$1</f>
        <v>0</v>
      </c>
    </row>
    <row r="571" spans="1:41" s="519" customFormat="1" ht="13.2">
      <c r="A571" s="49"/>
      <c r="B571" s="528"/>
      <c r="C571" s="528"/>
      <c r="D571" s="3"/>
      <c r="E571" s="528"/>
      <c r="F571" s="528"/>
      <c r="G571" s="528"/>
      <c r="H571" s="528"/>
      <c r="I571" s="528"/>
      <c r="J571" s="528"/>
      <c r="K571" s="528"/>
      <c r="L571" s="806"/>
      <c r="M571" s="528"/>
      <c r="N571" s="528"/>
      <c r="O571" s="528"/>
      <c r="P571" s="528"/>
      <c r="Q571" s="528"/>
      <c r="R571" s="807">
        <f>$A571*Q571</f>
        <v>0</v>
      </c>
      <c r="S571" s="528"/>
      <c r="T571" s="643">
        <f>$A571*S571*$T$1</f>
        <v>0</v>
      </c>
    </row>
    <row r="572" spans="1:41" s="519" customFormat="1" ht="12" customHeight="1">
      <c r="A572" s="835" t="s">
        <v>145</v>
      </c>
      <c r="B572" s="836">
        <f>(R571+T571)</f>
        <v>0</v>
      </c>
      <c r="C572" s="837"/>
      <c r="D572" s="837"/>
      <c r="E572" s="837"/>
      <c r="F572" s="837"/>
      <c r="G572" s="813"/>
      <c r="H572" s="813"/>
      <c r="I572" s="813"/>
      <c r="J572" s="813"/>
      <c r="K572" s="838" t="s">
        <v>5</v>
      </c>
      <c r="L572" s="839" t="s">
        <v>590</v>
      </c>
      <c r="M572" s="813"/>
      <c r="N572" s="813"/>
      <c r="O572" s="813"/>
      <c r="P572" s="813"/>
      <c r="Q572" s="813"/>
      <c r="R572" s="814">
        <f>SUM(R568:R571)</f>
        <v>0</v>
      </c>
      <c r="S572" s="815"/>
      <c r="T572" s="814">
        <f>SUM(T568:T571)</f>
        <v>0</v>
      </c>
      <c r="AG572" s="840">
        <f>ROUND($R572*$S$3,2)</f>
        <v>0</v>
      </c>
    </row>
    <row r="573" spans="1:41" s="519" customFormat="1" ht="12.75" customHeight="1">
      <c r="A573" s="841"/>
      <c r="B573" s="842"/>
      <c r="E573" s="641"/>
      <c r="F573" s="843"/>
      <c r="G573" s="641"/>
      <c r="H573" s="641"/>
      <c r="I573" s="518"/>
      <c r="J573" s="641"/>
      <c r="K573" s="641"/>
      <c r="L573" s="844"/>
      <c r="M573" s="652"/>
      <c r="N573" s="652"/>
      <c r="O573" s="652"/>
      <c r="P573" s="652"/>
      <c r="Q573" s="653"/>
      <c r="R573" s="821"/>
      <c r="S573" s="641"/>
      <c r="T573" s="821"/>
    </row>
    <row r="574" spans="1:41" s="519" customFormat="1" ht="13.5" customHeight="1" thickBot="1">
      <c r="A574" s="845"/>
      <c r="B574" s="846"/>
      <c r="C574" s="529"/>
      <c r="D574" s="529"/>
      <c r="E574" s="646"/>
      <c r="F574" s="647"/>
      <c r="G574" s="646" t="s">
        <v>146</v>
      </c>
      <c r="H574" s="646"/>
      <c r="I574" s="648"/>
      <c r="J574" s="646"/>
      <c r="K574" s="646"/>
      <c r="L574" s="847" t="s">
        <v>143</v>
      </c>
      <c r="M574" s="649"/>
      <c r="N574" s="649"/>
      <c r="O574" s="649"/>
      <c r="P574" s="649"/>
      <c r="Q574" s="650"/>
      <c r="R574" s="848">
        <f ca="1">SUMIF($L561:$L573,"SUBI",R561:R573)</f>
        <v>0</v>
      </c>
      <c r="S574" s="646"/>
      <c r="T574" s="848">
        <f ca="1">SUMIF($L561:$L573,"SUBI",T561:T573)</f>
        <v>0</v>
      </c>
      <c r="U574" s="529"/>
      <c r="V574" s="529"/>
      <c r="W574" s="529"/>
      <c r="X574" s="529"/>
      <c r="Y574" s="529"/>
      <c r="Z574" s="529"/>
      <c r="AA574" s="529"/>
      <c r="AB574" s="529"/>
      <c r="AC574" s="529"/>
      <c r="AD574" s="529"/>
      <c r="AE574" s="529"/>
      <c r="AF574" s="529"/>
      <c r="AG574" s="529"/>
      <c r="AH574" s="529"/>
      <c r="AI574" s="529"/>
      <c r="AJ574" s="529"/>
      <c r="AK574" s="529"/>
      <c r="AL574" s="529"/>
      <c r="AM574" s="529"/>
      <c r="AN574" s="529"/>
      <c r="AO574" s="529"/>
    </row>
    <row r="575" spans="1:41" s="519" customFormat="1" thickTop="1">
      <c r="A575" s="47"/>
      <c r="B575" s="47"/>
      <c r="C575" s="3"/>
      <c r="D575" s="3"/>
      <c r="E575" s="47"/>
      <c r="F575" s="47"/>
      <c r="G575" s="47"/>
      <c r="H575" s="47"/>
      <c r="I575" s="47"/>
      <c r="J575" s="47"/>
      <c r="K575" s="47" t="s">
        <v>134</v>
      </c>
      <c r="L575" s="47"/>
      <c r="M575" s="47"/>
      <c r="N575" s="47"/>
      <c r="O575" s="48"/>
      <c r="P575" s="47"/>
      <c r="Q575" s="47"/>
      <c r="R575" s="47"/>
      <c r="S575" s="47"/>
      <c r="T575" s="47"/>
    </row>
    <row r="576" spans="1:41" s="519" customFormat="1" ht="12">
      <c r="A576" s="47"/>
      <c r="B576" s="47"/>
      <c r="C576" s="47" t="s">
        <v>135</v>
      </c>
      <c r="D576" s="36"/>
      <c r="E576" s="47"/>
      <c r="F576" s="47"/>
      <c r="G576" s="47"/>
      <c r="H576" s="47"/>
      <c r="I576" s="47"/>
      <c r="J576" s="47"/>
      <c r="K576" s="47"/>
      <c r="L576" s="47"/>
      <c r="M576" s="47"/>
      <c r="N576" s="47"/>
      <c r="O576" s="48"/>
      <c r="P576" s="47"/>
      <c r="Q576" s="47"/>
      <c r="R576" s="47"/>
      <c r="S576" s="47"/>
      <c r="T576" s="47"/>
    </row>
    <row r="577" spans="1:41" s="519" customFormat="1" ht="39.9" customHeight="1">
      <c r="A577" s="47"/>
      <c r="B577" s="47"/>
      <c r="C577" s="47"/>
      <c r="D577" s="979" t="s">
        <v>428</v>
      </c>
      <c r="E577" s="980"/>
      <c r="F577" s="980"/>
      <c r="G577" s="980"/>
      <c r="H577" s="980"/>
      <c r="I577" s="980"/>
      <c r="J577" s="980"/>
      <c r="K577" s="980"/>
      <c r="L577" s="980"/>
      <c r="M577" s="980"/>
      <c r="N577" s="980"/>
      <c r="O577" s="980"/>
      <c r="P577" s="980"/>
      <c r="Q577" s="980"/>
      <c r="R577" s="980"/>
      <c r="S577" s="980"/>
      <c r="T577" s="980"/>
    </row>
    <row r="578" spans="1:41" s="3" customFormat="1" thickBot="1">
      <c r="A578" s="529"/>
      <c r="O578" s="99"/>
    </row>
    <row r="579" spans="1:41" s="519" customFormat="1" thickTop="1">
      <c r="A579" s="47"/>
      <c r="B579" s="40"/>
      <c r="C579" s="47"/>
      <c r="E579" s="41" t="s">
        <v>138</v>
      </c>
      <c r="F579" s="41" t="s">
        <v>139</v>
      </c>
      <c r="G579" s="47"/>
      <c r="H579" s="47"/>
      <c r="I579" s="47"/>
      <c r="J579" s="47"/>
      <c r="K579" s="47" t="s">
        <v>140</v>
      </c>
      <c r="L579" s="774"/>
      <c r="M579" s="47"/>
      <c r="N579" s="47"/>
      <c r="O579" s="48"/>
      <c r="P579" s="47"/>
      <c r="Q579"/>
      <c r="R579"/>
      <c r="S579"/>
      <c r="T579" s="40"/>
      <c r="AG579" s="627" t="s">
        <v>277</v>
      </c>
      <c r="AH579" s="627" t="s">
        <v>278</v>
      </c>
      <c r="AI579" s="627" t="s">
        <v>279</v>
      </c>
      <c r="AJ579" s="627" t="s">
        <v>280</v>
      </c>
      <c r="AK579" s="627" t="s">
        <v>281</v>
      </c>
      <c r="AM579" s="628" t="s">
        <v>290</v>
      </c>
      <c r="AN579" s="629" t="s">
        <v>291</v>
      </c>
      <c r="AO579" s="520" t="s">
        <v>287</v>
      </c>
    </row>
    <row r="580" spans="1:41" s="519" customFormat="1" ht="13.2">
      <c r="A580" s="630">
        <v>1</v>
      </c>
      <c r="B580" s="521" t="s">
        <v>312</v>
      </c>
      <c r="C580" s="631"/>
      <c r="D580" s="632" t="s">
        <v>350</v>
      </c>
      <c r="E580" s="775">
        <f ca="1">IF(AND($A580=0,$A$1="DIF"),0, ROUND(ROUND(SUMIF($L582:$L588,"SUBI",$E582:$E588)/$A580,2)*$C$12,2))</f>
        <v>0</v>
      </c>
      <c r="F580" s="776">
        <f ca="1">ROUND($A580*$E580,2)</f>
        <v>0</v>
      </c>
      <c r="G580" s="635" t="s">
        <v>142</v>
      </c>
      <c r="H580" s="636"/>
      <c r="I580" s="637"/>
      <c r="J580" s="636"/>
      <c r="K580" s="777"/>
      <c r="L580" s="778" t="s">
        <v>143</v>
      </c>
      <c r="M580" s="638"/>
      <c r="N580" s="638"/>
      <c r="O580" s="638"/>
      <c r="P580" s="638"/>
      <c r="Q580" s="967" t="s">
        <v>802</v>
      </c>
      <c r="R580"/>
      <c r="S580"/>
      <c r="T580" s="779" t="str">
        <f ca="1">IF(AND($R594=0,$T594=0),"0.00","mu :" &amp; ROUND($F580/$C$12/($R594+$T594*$D$9),2))</f>
        <v>0.00</v>
      </c>
      <c r="W580" s="522"/>
      <c r="AG580" s="780">
        <f ca="1">IF(A580=0,0,ROUND(SUM(AG582:AG594)/A580,2))</f>
        <v>0</v>
      </c>
      <c r="AH580" s="780">
        <f ca="1">$AG580*$A580</f>
        <v>0</v>
      </c>
      <c r="AI580" s="780">
        <f ca="1">$E580-$AG580</f>
        <v>0</v>
      </c>
      <c r="AJ580" s="780">
        <f ca="1">$A580*$AI580</f>
        <v>0</v>
      </c>
      <c r="AK580" s="781">
        <f ca="1">ROUND(($AG580+$AI580)*$A580,2)</f>
        <v>0</v>
      </c>
      <c r="AM580" s="525">
        <f ca="1">ROUND(R594,2)</f>
        <v>0</v>
      </c>
      <c r="AN580" s="526">
        <f ca="1">ROUND(T594,2)</f>
        <v>0</v>
      </c>
      <c r="AO580" s="527">
        <f ca="1">ROUND(AM580+AN580,2)*A580</f>
        <v>0</v>
      </c>
    </row>
    <row r="581" spans="1:41" s="519" customFormat="1" ht="19.95" customHeight="1">
      <c r="A581" s="782"/>
      <c r="B581" s="783"/>
      <c r="C581" s="631"/>
      <c r="D581" s="784" t="s">
        <v>647</v>
      </c>
      <c r="F581" s="636"/>
      <c r="G581" s="636"/>
      <c r="H581" s="636"/>
      <c r="I581" s="637"/>
      <c r="J581" s="636"/>
      <c r="K581" s="636" t="s">
        <v>144</v>
      </c>
      <c r="L581" s="785"/>
      <c r="M581" s="636"/>
      <c r="N581" s="636"/>
      <c r="O581" s="636"/>
      <c r="P581" s="636"/>
      <c r="Q581" s="47"/>
      <c r="R581" s="528"/>
      <c r="S581" s="640"/>
      <c r="T581" s="636"/>
    </row>
    <row r="582" spans="1:41" s="519" customFormat="1" ht="12">
      <c r="A582" s="786"/>
      <c r="B582" s="787"/>
      <c r="C582" s="641"/>
      <c r="D582" s="636"/>
      <c r="E582" s="788">
        <f ca="1">F580/$C$12-SUMIF($L579:$L594,"SUBI",$E579:$E594)</f>
        <v>0</v>
      </c>
      <c r="F582" s="789" t="s">
        <v>589</v>
      </c>
      <c r="G582" s="790"/>
      <c r="H582" s="790"/>
      <c r="I582" s="791"/>
      <c r="J582" s="790"/>
      <c r="K582" s="790"/>
      <c r="L582" s="792"/>
      <c r="M582" s="793"/>
      <c r="N582" s="793"/>
      <c r="O582" s="793"/>
      <c r="P582" s="793"/>
      <c r="Q582" s="794"/>
      <c r="R582" s="795"/>
      <c r="S582" s="794"/>
      <c r="T582" s="796"/>
    </row>
    <row r="583" spans="1:41" s="519" customFormat="1" ht="12" customHeight="1">
      <c r="A583" s="797"/>
      <c r="B583" s="798"/>
      <c r="C583" s="799"/>
      <c r="D583" s="799" t="str">
        <f>$F$2</f>
        <v>Electrical</v>
      </c>
      <c r="E583" s="799">
        <f ca="1">ROUND(($R587*$S$2 + ($T587*$T$2)), 2)</f>
        <v>0</v>
      </c>
      <c r="F583" s="800">
        <f ca="1">$E583*$C$12</f>
        <v>0</v>
      </c>
      <c r="G583" s="528"/>
      <c r="H583" s="801"/>
      <c r="I583" s="528"/>
      <c r="J583" s="48"/>
      <c r="K583" s="802" t="s">
        <v>3</v>
      </c>
      <c r="L583" s="803" t="s">
        <v>590</v>
      </c>
      <c r="M583" s="528"/>
      <c r="N583" s="528"/>
      <c r="O583" s="48"/>
      <c r="P583" s="528"/>
      <c r="Q583" s="528"/>
      <c r="R583"/>
      <c r="S583"/>
      <c r="T583"/>
    </row>
    <row r="584" spans="1:41" s="956" customFormat="1" ht="13.2">
      <c r="A584"/>
      <c r="B584" s="948"/>
      <c r="C584" s="948" t="s">
        <v>742</v>
      </c>
      <c r="D584" s="948" t="str">
        <f ca="1">CELL("Address",Elec_Rates!D$100)</f>
        <v>[ELM25_0085_Quintano_Elec_Mech_HVAC_Est_Rev_B.xlsx]Elec_Rates!$D$100</v>
      </c>
      <c r="E584" s="949"/>
      <c r="F584" s="949"/>
      <c r="G584" s="950" t="s">
        <v>743</v>
      </c>
      <c r="H584" s="950"/>
      <c r="I584" s="950"/>
      <c r="J584" s="950"/>
      <c r="K584" s="951"/>
      <c r="L584" s="949"/>
      <c r="M584" s="949"/>
      <c r="N584" s="949"/>
      <c r="O584" s="952"/>
      <c r="P584" s="949"/>
      <c r="Q584" s="953"/>
      <c r="R584" s="954"/>
      <c r="S584" s="953"/>
      <c r="T584" s="943"/>
      <c r="U584" s="955"/>
    </row>
    <row r="585" spans="1:41" s="956" customFormat="1" ht="11.4">
      <c r="A585" s="957">
        <v>0</v>
      </c>
      <c r="B585" s="958">
        <v>1</v>
      </c>
      <c r="C585" s="958">
        <f>$A585*$B585</f>
        <v>0</v>
      </c>
      <c r="D585" s="959" t="str">
        <f>Elec_Rates!$D$100</f>
        <v>001# SFDI adjacent to each damper.</v>
      </c>
      <c r="E585" s="959"/>
      <c r="F585" s="959" t="s">
        <v>744</v>
      </c>
      <c r="G585" s="960" t="s">
        <v>760</v>
      </c>
      <c r="H585" s="960"/>
      <c r="I585" s="960"/>
      <c r="J585" s="960"/>
      <c r="K585" s="961"/>
      <c r="L585" s="955"/>
      <c r="M585" s="955"/>
      <c r="N585" s="955"/>
      <c r="O585" s="962"/>
      <c r="P585" s="959"/>
      <c r="Q585" s="963">
        <f ca="1">$B585*Elec_Rates!$R$100</f>
        <v>330.73</v>
      </c>
      <c r="R585" s="954">
        <f ca="1">$A585*Q585</f>
        <v>0</v>
      </c>
      <c r="S585" s="963">
        <f ca="1">$B585*Elec_Rates!$T$100</f>
        <v>3.37</v>
      </c>
      <c r="T585" s="943">
        <f ca="1">$A585*S585</f>
        <v>0</v>
      </c>
      <c r="U585" s="501"/>
    </row>
    <row r="586" spans="1:41" s="519" customFormat="1" ht="13.95" customHeight="1">
      <c r="A586" s="49"/>
      <c r="B586" s="528"/>
      <c r="C586" s="528"/>
      <c r="D586" s="528"/>
      <c r="E586" s="528"/>
      <c r="F586" s="528"/>
      <c r="G586" s="528"/>
      <c r="H586" s="801"/>
      <c r="I586" s="528"/>
      <c r="J586" s="48"/>
      <c r="K586" s="805"/>
      <c r="L586" s="806"/>
      <c r="M586" s="528"/>
      <c r="N586" s="528"/>
      <c r="O586" s="48"/>
      <c r="P586" s="528"/>
      <c r="Q586" s="528"/>
      <c r="R586" s="807">
        <f>$A586*Q586</f>
        <v>0</v>
      </c>
      <c r="S586" s="528"/>
      <c r="T586" s="643">
        <f>$A586*S586*$T$1</f>
        <v>0</v>
      </c>
    </row>
    <row r="587" spans="1:41" s="519" customFormat="1" ht="12">
      <c r="A587" s="808" t="s">
        <v>145</v>
      </c>
      <c r="B587" s="809">
        <f>(R586+T586)</f>
        <v>0</v>
      </c>
      <c r="C587" s="641"/>
      <c r="G587" s="810"/>
      <c r="H587" s="810"/>
      <c r="I587" s="810"/>
      <c r="J587" s="810"/>
      <c r="K587" s="811" t="s">
        <v>3</v>
      </c>
      <c r="L587" s="812" t="s">
        <v>590</v>
      </c>
      <c r="M587" s="810"/>
      <c r="N587" s="810"/>
      <c r="O587" s="810"/>
      <c r="P587" s="810"/>
      <c r="Q587" s="813"/>
      <c r="R587" s="814">
        <f ca="1">SUM(R583:R586)</f>
        <v>0</v>
      </c>
      <c r="S587" s="815"/>
      <c r="T587" s="814">
        <f ca="1">SUM(T583:T586)</f>
        <v>0</v>
      </c>
      <c r="AG587" s="816">
        <f ca="1">ROUND($R587*$S$2,2)</f>
        <v>0</v>
      </c>
    </row>
    <row r="588" spans="1:41" s="519" customFormat="1" ht="12" customHeight="1">
      <c r="A588" s="817"/>
      <c r="B588" s="818"/>
      <c r="C588" s="819"/>
      <c r="D588" s="819" t="str">
        <f>$F$3</f>
        <v>ECA</v>
      </c>
      <c r="E588" s="819">
        <f>ROUND(($R592*$S$3 + ($T592*$T$3)), 2)</f>
        <v>0</v>
      </c>
      <c r="F588" s="820">
        <f ca="1">$F580-SUMIF($L582:$P585,"SUBI",$F582:$F585)</f>
        <v>0</v>
      </c>
      <c r="G588" s="518"/>
      <c r="H588" s="518"/>
      <c r="I588" s="518"/>
      <c r="J588" s="518"/>
      <c r="K588" s="802" t="s">
        <v>5</v>
      </c>
      <c r="L588" s="803" t="s">
        <v>590</v>
      </c>
      <c r="M588" s="518"/>
      <c r="N588" s="518"/>
      <c r="O588" s="518"/>
      <c r="P588" s="518"/>
      <c r="Q588" s="518"/>
      <c r="R588" s="821"/>
      <c r="S588" s="518"/>
      <c r="T588" s="821"/>
    </row>
    <row r="589" spans="1:41" s="834" customFormat="1" ht="14.4" customHeight="1">
      <c r="A589" s="822"/>
      <c r="B589" s="804" t="s">
        <v>592</v>
      </c>
      <c r="C589" s="823"/>
      <c r="D589" s="824"/>
      <c r="E589" s="824"/>
      <c r="F589" s="824"/>
      <c r="G589" s="825"/>
      <c r="H589" s="826"/>
      <c r="I589" s="826"/>
      <c r="J589" s="827"/>
      <c r="K589" s="828"/>
      <c r="L589" s="823"/>
      <c r="M589" s="829"/>
      <c r="N589" s="830"/>
      <c r="O589" s="831"/>
      <c r="P589" s="832"/>
      <c r="Q589" s="833"/>
      <c r="R589" s="807">
        <f>$A589*Q589</f>
        <v>0</v>
      </c>
      <c r="S589" s="528"/>
      <c r="T589" s="643">
        <f>$A589*S589*$T$1</f>
        <v>0</v>
      </c>
    </row>
    <row r="590" spans="1:41" s="519" customFormat="1" ht="11.4">
      <c r="A590" s="49"/>
      <c r="B590" s="528"/>
      <c r="C590" s="528"/>
      <c r="D590" s="528"/>
      <c r="E590" s="528"/>
      <c r="F590" s="528"/>
      <c r="G590" s="528"/>
      <c r="H590" s="528"/>
      <c r="I590" s="528"/>
      <c r="J590" s="528"/>
      <c r="K590" s="528"/>
      <c r="L590" s="806"/>
      <c r="M590" s="528"/>
      <c r="N590" s="528"/>
      <c r="O590" s="528"/>
      <c r="P590" s="528"/>
      <c r="Q590" s="528"/>
      <c r="R590" s="807">
        <f>$A590*Q590</f>
        <v>0</v>
      </c>
      <c r="S590" s="528"/>
      <c r="T590" s="643">
        <f>$A590*S590*$T$1</f>
        <v>0</v>
      </c>
    </row>
    <row r="591" spans="1:41" s="519" customFormat="1" ht="13.2">
      <c r="A591" s="49"/>
      <c r="B591" s="528"/>
      <c r="C591" s="528"/>
      <c r="D591" s="3"/>
      <c r="E591" s="528"/>
      <c r="F591" s="528"/>
      <c r="G591" s="528"/>
      <c r="H591" s="528"/>
      <c r="I591" s="528"/>
      <c r="J591" s="528"/>
      <c r="K591" s="528"/>
      <c r="L591" s="806"/>
      <c r="M591" s="528"/>
      <c r="N591" s="528"/>
      <c r="O591" s="528"/>
      <c r="P591" s="528"/>
      <c r="Q591" s="528"/>
      <c r="R591" s="807">
        <f>$A591*Q591</f>
        <v>0</v>
      </c>
      <c r="S591" s="528"/>
      <c r="T591" s="643">
        <f>$A591*S591*$T$1</f>
        <v>0</v>
      </c>
    </row>
    <row r="592" spans="1:41" s="519" customFormat="1" ht="12" customHeight="1">
      <c r="A592" s="835" t="s">
        <v>145</v>
      </c>
      <c r="B592" s="836">
        <f>(R591+T591)</f>
        <v>0</v>
      </c>
      <c r="C592" s="837"/>
      <c r="D592" s="837"/>
      <c r="E592" s="837"/>
      <c r="F592" s="837"/>
      <c r="G592" s="813"/>
      <c r="H592" s="813"/>
      <c r="I592" s="813"/>
      <c r="J592" s="813"/>
      <c r="K592" s="838" t="s">
        <v>5</v>
      </c>
      <c r="L592" s="839" t="s">
        <v>590</v>
      </c>
      <c r="M592" s="813"/>
      <c r="N592" s="813"/>
      <c r="O592" s="813"/>
      <c r="P592" s="813"/>
      <c r="Q592" s="813"/>
      <c r="R592" s="814">
        <f>SUM(R588:R591)</f>
        <v>0</v>
      </c>
      <c r="S592" s="815"/>
      <c r="T592" s="814">
        <f>SUM(T588:T591)</f>
        <v>0</v>
      </c>
      <c r="AG592" s="840">
        <f>ROUND($R592*$S$3,2)</f>
        <v>0</v>
      </c>
    </row>
    <row r="593" spans="1:41" s="519" customFormat="1" ht="12.75" customHeight="1">
      <c r="A593" s="841"/>
      <c r="B593" s="842"/>
      <c r="E593" s="641"/>
      <c r="F593" s="843"/>
      <c r="G593" s="641"/>
      <c r="H593" s="641"/>
      <c r="I593" s="518"/>
      <c r="J593" s="641"/>
      <c r="K593" s="641"/>
      <c r="L593" s="844"/>
      <c r="M593" s="652"/>
      <c r="N593" s="652"/>
      <c r="O593" s="652"/>
      <c r="P593" s="652"/>
      <c r="Q593" s="653"/>
      <c r="R593" s="821"/>
      <c r="S593" s="641"/>
      <c r="T593" s="821"/>
    </row>
    <row r="594" spans="1:41" s="519" customFormat="1" ht="13.5" customHeight="1" thickBot="1">
      <c r="A594" s="845"/>
      <c r="B594" s="846"/>
      <c r="C594" s="529"/>
      <c r="D594" s="529"/>
      <c r="E594" s="646"/>
      <c r="F594" s="647"/>
      <c r="G594" s="646" t="s">
        <v>146</v>
      </c>
      <c r="H594" s="646"/>
      <c r="I594" s="648"/>
      <c r="J594" s="646"/>
      <c r="K594" s="646"/>
      <c r="L594" s="847" t="s">
        <v>143</v>
      </c>
      <c r="M594" s="649"/>
      <c r="N594" s="649"/>
      <c r="O594" s="649"/>
      <c r="P594" s="649"/>
      <c r="Q594" s="650"/>
      <c r="R594" s="848">
        <f ca="1">SUMIF($L581:$L593,"SUBI",R581:R593)</f>
        <v>0</v>
      </c>
      <c r="S594" s="646"/>
      <c r="T594" s="848">
        <f ca="1">SUMIF($L581:$L593,"SUBI",T581:T593)</f>
        <v>0</v>
      </c>
      <c r="U594" s="529"/>
      <c r="V594" s="529"/>
      <c r="W594" s="529"/>
      <c r="X594" s="529"/>
      <c r="Y594" s="529"/>
      <c r="Z594" s="529"/>
      <c r="AA594" s="529"/>
      <c r="AB594" s="529"/>
      <c r="AC594" s="529"/>
      <c r="AD594" s="529"/>
      <c r="AE594" s="529"/>
      <c r="AF594" s="529"/>
      <c r="AG594" s="529"/>
      <c r="AH594" s="529"/>
      <c r="AI594" s="529"/>
      <c r="AJ594" s="529"/>
      <c r="AK594" s="529"/>
      <c r="AL594" s="529"/>
      <c r="AM594" s="529"/>
      <c r="AN594" s="529"/>
      <c r="AO594" s="529"/>
    </row>
    <row r="595" spans="1:41" s="519" customFormat="1" thickTop="1">
      <c r="A595" s="47"/>
      <c r="B595" s="40"/>
      <c r="C595" s="47"/>
      <c r="E595" s="41" t="s">
        <v>138</v>
      </c>
      <c r="F595" s="41" t="s">
        <v>139</v>
      </c>
      <c r="G595" s="47"/>
      <c r="H595" s="47"/>
      <c r="I595" s="47"/>
      <c r="J595" s="47"/>
      <c r="K595" s="47" t="s">
        <v>140</v>
      </c>
      <c r="L595" s="774"/>
      <c r="M595" s="47"/>
      <c r="N595" s="47"/>
      <c r="O595" s="48"/>
      <c r="P595" s="47"/>
      <c r="Q595"/>
      <c r="R595"/>
      <c r="S595"/>
      <c r="T595" s="40"/>
      <c r="AG595" s="627" t="s">
        <v>277</v>
      </c>
      <c r="AH595" s="627" t="s">
        <v>278</v>
      </c>
      <c r="AI595" s="627" t="s">
        <v>279</v>
      </c>
      <c r="AJ595" s="627" t="s">
        <v>280</v>
      </c>
      <c r="AK595" s="627" t="s">
        <v>281</v>
      </c>
      <c r="AM595" s="628" t="s">
        <v>290</v>
      </c>
      <c r="AN595" s="629" t="s">
        <v>291</v>
      </c>
      <c r="AO595" s="520" t="s">
        <v>287</v>
      </c>
    </row>
    <row r="596" spans="1:41" s="519" customFormat="1" ht="13.2">
      <c r="A596" s="630">
        <v>6</v>
      </c>
      <c r="B596" s="521" t="s">
        <v>312</v>
      </c>
      <c r="C596" s="631"/>
      <c r="D596" s="632" t="s">
        <v>351</v>
      </c>
      <c r="E596" s="775">
        <f ca="1">IF(AND($A596=0,$A$1="DIF"),0, ROUND(ROUND(SUMIF($L598:$L604,"SUBI",$E598:$E604)/$A596,2)*$C$12,2))</f>
        <v>0</v>
      </c>
      <c r="F596" s="776">
        <f ca="1">ROUND($A596*$E596,2)</f>
        <v>0</v>
      </c>
      <c r="G596" s="635" t="s">
        <v>142</v>
      </c>
      <c r="H596" s="636"/>
      <c r="I596" s="637"/>
      <c r="J596" s="636"/>
      <c r="K596" s="777"/>
      <c r="L596" s="778" t="s">
        <v>143</v>
      </c>
      <c r="M596" s="638"/>
      <c r="N596" s="638"/>
      <c r="O596" s="638"/>
      <c r="P596" s="638"/>
      <c r="Q596" s="967" t="s">
        <v>802</v>
      </c>
      <c r="R596"/>
      <c r="S596"/>
      <c r="T596" s="779" t="str">
        <f ca="1">IF(AND($R610=0,$T610=0),"0.00","mu :" &amp; ROUND($F596/$C$12/($R610+$T610*$D$9),2))</f>
        <v>0.00</v>
      </c>
      <c r="W596" s="522"/>
      <c r="AG596" s="780">
        <f ca="1">IF(A596=0,0,ROUND(SUM(AG598:AG610)/A596,2))</f>
        <v>0</v>
      </c>
      <c r="AH596" s="780">
        <f ca="1">$AG596*$A596</f>
        <v>0</v>
      </c>
      <c r="AI596" s="780">
        <f ca="1">$E596-$AG596</f>
        <v>0</v>
      </c>
      <c r="AJ596" s="780">
        <f ca="1">$A596*$AI596</f>
        <v>0</v>
      </c>
      <c r="AK596" s="781">
        <f ca="1">ROUND(($AG596+$AI596)*$A596,2)</f>
        <v>0</v>
      </c>
      <c r="AM596" s="525">
        <f ca="1">ROUND(R610,2)</f>
        <v>0</v>
      </c>
      <c r="AN596" s="526">
        <f ca="1">ROUND(T610,2)</f>
        <v>0</v>
      </c>
      <c r="AO596" s="527">
        <f ca="1">ROUND(AM596+AN596,2)*A596</f>
        <v>0</v>
      </c>
    </row>
    <row r="597" spans="1:41" s="519" customFormat="1" ht="19.95" customHeight="1">
      <c r="A597" s="782"/>
      <c r="B597" s="783"/>
      <c r="C597" s="631"/>
      <c r="D597" s="784" t="s">
        <v>646</v>
      </c>
      <c r="F597" s="636"/>
      <c r="G597" s="636"/>
      <c r="H597" s="636"/>
      <c r="I597" s="637"/>
      <c r="J597" s="636"/>
      <c r="K597" s="636" t="s">
        <v>144</v>
      </c>
      <c r="L597" s="785"/>
      <c r="M597" s="636"/>
      <c r="N597" s="636"/>
      <c r="O597" s="636"/>
      <c r="P597" s="636"/>
      <c r="Q597" s="47"/>
      <c r="R597" s="528"/>
      <c r="S597" s="640"/>
      <c r="T597" s="636"/>
    </row>
    <row r="598" spans="1:41" s="519" customFormat="1" ht="12">
      <c r="A598" s="786"/>
      <c r="B598" s="787"/>
      <c r="C598" s="641"/>
      <c r="D598" s="636"/>
      <c r="E598" s="788">
        <f ca="1">F596/$C$12-SUMIF($L595:$L610,"SUBI",$E595:$E610)</f>
        <v>0</v>
      </c>
      <c r="F598" s="789" t="s">
        <v>589</v>
      </c>
      <c r="G598" s="790"/>
      <c r="H598" s="790"/>
      <c r="I598" s="791"/>
      <c r="J598" s="790"/>
      <c r="K598" s="790"/>
      <c r="L598" s="792"/>
      <c r="M598" s="793"/>
      <c r="N598" s="793"/>
      <c r="O598" s="793"/>
      <c r="P598" s="793"/>
      <c r="Q598" s="794"/>
      <c r="R598" s="795"/>
      <c r="S598" s="794"/>
      <c r="T598" s="796"/>
    </row>
    <row r="599" spans="1:41" s="519" customFormat="1" ht="12" customHeight="1">
      <c r="A599" s="797"/>
      <c r="B599" s="798"/>
      <c r="C599" s="799"/>
      <c r="D599" s="799" t="str">
        <f>$F$2</f>
        <v>Electrical</v>
      </c>
      <c r="E599" s="799">
        <f ca="1">ROUND(($R603*$S$2 + ($T603*$T$2)), 2)</f>
        <v>0</v>
      </c>
      <c r="F599" s="800">
        <f ca="1">$E599*$C$12</f>
        <v>0</v>
      </c>
      <c r="G599" s="528"/>
      <c r="H599" s="801"/>
      <c r="I599" s="528"/>
      <c r="J599" s="48"/>
      <c r="K599" s="802" t="s">
        <v>3</v>
      </c>
      <c r="L599" s="803" t="s">
        <v>590</v>
      </c>
      <c r="M599" s="528"/>
      <c r="N599" s="528"/>
      <c r="O599" s="48"/>
      <c r="P599" s="528"/>
      <c r="Q599" s="528"/>
      <c r="R599"/>
      <c r="S599"/>
      <c r="T599"/>
    </row>
    <row r="600" spans="1:41" s="956" customFormat="1" ht="13.2">
      <c r="A600"/>
      <c r="B600" s="948"/>
      <c r="C600" s="948" t="s">
        <v>742</v>
      </c>
      <c r="D600" s="948" t="str">
        <f ca="1">CELL("Address",Elec_Rates!D$100)</f>
        <v>[ELM25_0085_Quintano_Elec_Mech_HVAC_Est_Rev_B.xlsx]Elec_Rates!$D$100</v>
      </c>
      <c r="E600" s="949"/>
      <c r="F600" s="949"/>
      <c r="G600" s="950" t="s">
        <v>743</v>
      </c>
      <c r="H600" s="950"/>
      <c r="I600" s="950"/>
      <c r="J600" s="950"/>
      <c r="K600" s="951"/>
      <c r="L600" s="949"/>
      <c r="M600" s="949"/>
      <c r="N600" s="949"/>
      <c r="O600" s="952"/>
      <c r="P600" s="949"/>
      <c r="Q600" s="953"/>
      <c r="R600" s="954"/>
      <c r="S600" s="953"/>
      <c r="T600" s="943"/>
      <c r="U600" s="955"/>
    </row>
    <row r="601" spans="1:41" s="956" customFormat="1" ht="11.4">
      <c r="A601" s="957">
        <v>0</v>
      </c>
      <c r="B601" s="958">
        <v>1</v>
      </c>
      <c r="C601" s="958">
        <f>$A601*$B601</f>
        <v>0</v>
      </c>
      <c r="D601" s="959" t="str">
        <f>Elec_Rates!$D$100</f>
        <v>001# SFDI adjacent to each damper.</v>
      </c>
      <c r="E601" s="959"/>
      <c r="F601" s="959" t="s">
        <v>744</v>
      </c>
      <c r="G601" s="960" t="s">
        <v>760</v>
      </c>
      <c r="H601" s="960"/>
      <c r="I601" s="960"/>
      <c r="J601" s="960"/>
      <c r="K601" s="961"/>
      <c r="L601" s="955"/>
      <c r="M601" s="955"/>
      <c r="N601" s="955"/>
      <c r="O601" s="962"/>
      <c r="P601" s="959"/>
      <c r="Q601" s="963">
        <f ca="1">$B601*Elec_Rates!$R$100</f>
        <v>330.73</v>
      </c>
      <c r="R601" s="954">
        <f ca="1">$A601*Q601</f>
        <v>0</v>
      </c>
      <c r="S601" s="963">
        <f ca="1">$B601*Elec_Rates!$T$100</f>
        <v>3.37</v>
      </c>
      <c r="T601" s="943">
        <f ca="1">$A601*S601</f>
        <v>0</v>
      </c>
      <c r="U601" s="501"/>
    </row>
    <row r="602" spans="1:41" s="519" customFormat="1" ht="13.95" customHeight="1">
      <c r="A602" s="49"/>
      <c r="B602" s="528"/>
      <c r="C602" s="528"/>
      <c r="D602" s="528"/>
      <c r="E602" s="528"/>
      <c r="F602" s="528"/>
      <c r="G602" s="528"/>
      <c r="H602" s="801"/>
      <c r="I602" s="528"/>
      <c r="J602" s="48"/>
      <c r="K602" s="805"/>
      <c r="L602" s="806"/>
      <c r="M602" s="528"/>
      <c r="N602" s="528"/>
      <c r="O602" s="48"/>
      <c r="P602" s="528"/>
      <c r="Q602" s="528"/>
      <c r="R602" s="807">
        <f>$A602*Q602</f>
        <v>0</v>
      </c>
      <c r="S602" s="528"/>
      <c r="T602" s="643">
        <f>$A602*S602*$T$1</f>
        <v>0</v>
      </c>
    </row>
    <row r="603" spans="1:41" s="519" customFormat="1" ht="12">
      <c r="A603" s="808" t="s">
        <v>145</v>
      </c>
      <c r="B603" s="809">
        <f>(R602+T602)</f>
        <v>0</v>
      </c>
      <c r="C603" s="641"/>
      <c r="G603" s="810"/>
      <c r="H603" s="810"/>
      <c r="I603" s="810"/>
      <c r="J603" s="810"/>
      <c r="K603" s="811" t="s">
        <v>3</v>
      </c>
      <c r="L603" s="812" t="s">
        <v>590</v>
      </c>
      <c r="M603" s="810"/>
      <c r="N603" s="810"/>
      <c r="O603" s="810"/>
      <c r="P603" s="810"/>
      <c r="Q603" s="813"/>
      <c r="R603" s="814">
        <f ca="1">SUM(R599:R602)</f>
        <v>0</v>
      </c>
      <c r="S603" s="815"/>
      <c r="T603" s="814">
        <f ca="1">SUM(T599:T602)</f>
        <v>0</v>
      </c>
      <c r="AG603" s="816">
        <f ca="1">ROUND($R603*$S$2,2)</f>
        <v>0</v>
      </c>
    </row>
    <row r="604" spans="1:41" s="519" customFormat="1" ht="12" customHeight="1">
      <c r="A604" s="817"/>
      <c r="B604" s="818"/>
      <c r="C604" s="819"/>
      <c r="D604" s="819" t="str">
        <f>$F$3</f>
        <v>ECA</v>
      </c>
      <c r="E604" s="819">
        <f>ROUND(($R608*$S$3 + ($T608*$T$3)), 2)</f>
        <v>0</v>
      </c>
      <c r="F604" s="820">
        <f ca="1">$F596-SUMIF($L598:$P601,"SUBI",$F598:$F601)</f>
        <v>0</v>
      </c>
      <c r="G604" s="518"/>
      <c r="H604" s="518"/>
      <c r="I604" s="518"/>
      <c r="J604" s="518"/>
      <c r="K604" s="802" t="s">
        <v>5</v>
      </c>
      <c r="L604" s="803" t="s">
        <v>590</v>
      </c>
      <c r="M604" s="518"/>
      <c r="N604" s="518"/>
      <c r="O604" s="518"/>
      <c r="P604" s="518"/>
      <c r="Q604" s="518"/>
      <c r="R604" s="821"/>
      <c r="S604" s="518"/>
      <c r="T604" s="821"/>
    </row>
    <row r="605" spans="1:41" s="834" customFormat="1" ht="14.4" customHeight="1">
      <c r="A605" s="822"/>
      <c r="B605" s="804" t="s">
        <v>592</v>
      </c>
      <c r="C605" s="823"/>
      <c r="D605" s="824"/>
      <c r="E605" s="824"/>
      <c r="F605" s="824"/>
      <c r="G605" s="825"/>
      <c r="H605" s="826"/>
      <c r="I605" s="826"/>
      <c r="J605" s="827"/>
      <c r="K605" s="828"/>
      <c r="L605" s="823"/>
      <c r="M605" s="829"/>
      <c r="N605" s="830"/>
      <c r="O605" s="831"/>
      <c r="P605" s="832"/>
      <c r="Q605" s="833"/>
      <c r="R605" s="807">
        <f>$A605*Q605</f>
        <v>0</v>
      </c>
      <c r="S605" s="528"/>
      <c r="T605" s="643">
        <f>$A605*S605*$T$1</f>
        <v>0</v>
      </c>
    </row>
    <row r="606" spans="1:41" s="519" customFormat="1" ht="11.4">
      <c r="A606" s="49"/>
      <c r="B606" s="528"/>
      <c r="C606" s="528"/>
      <c r="D606" s="528"/>
      <c r="E606" s="528"/>
      <c r="F606" s="528"/>
      <c r="G606" s="528"/>
      <c r="H606" s="528"/>
      <c r="I606" s="528"/>
      <c r="J606" s="528"/>
      <c r="K606" s="528"/>
      <c r="L606" s="806"/>
      <c r="M606" s="528"/>
      <c r="N606" s="528"/>
      <c r="O606" s="528"/>
      <c r="P606" s="528"/>
      <c r="Q606" s="528"/>
      <c r="R606" s="807">
        <f>$A606*Q606</f>
        <v>0</v>
      </c>
      <c r="S606" s="528"/>
      <c r="T606" s="643">
        <f>$A606*S606*$T$1</f>
        <v>0</v>
      </c>
    </row>
    <row r="607" spans="1:41" s="519" customFormat="1" ht="13.2">
      <c r="A607" s="49"/>
      <c r="B607" s="528"/>
      <c r="C607" s="528"/>
      <c r="D607" s="3"/>
      <c r="E607" s="528"/>
      <c r="F607" s="528"/>
      <c r="G607" s="528"/>
      <c r="H607" s="528"/>
      <c r="I607" s="528"/>
      <c r="J607" s="528"/>
      <c r="K607" s="528"/>
      <c r="L607" s="806"/>
      <c r="M607" s="528"/>
      <c r="N607" s="528"/>
      <c r="O607" s="528"/>
      <c r="P607" s="528"/>
      <c r="Q607" s="528"/>
      <c r="R607" s="807">
        <f>$A607*Q607</f>
        <v>0</v>
      </c>
      <c r="S607" s="528"/>
      <c r="T607" s="643">
        <f>$A607*S607*$T$1</f>
        <v>0</v>
      </c>
    </row>
    <row r="608" spans="1:41" s="519" customFormat="1" ht="12" customHeight="1">
      <c r="A608" s="835" t="s">
        <v>145</v>
      </c>
      <c r="B608" s="836">
        <f>(R607+T607)</f>
        <v>0</v>
      </c>
      <c r="C608" s="837"/>
      <c r="D608" s="837"/>
      <c r="E608" s="837"/>
      <c r="F608" s="837"/>
      <c r="G608" s="813"/>
      <c r="H608" s="813"/>
      <c r="I608" s="813"/>
      <c r="J608" s="813"/>
      <c r="K608" s="838" t="s">
        <v>5</v>
      </c>
      <c r="L608" s="839" t="s">
        <v>590</v>
      </c>
      <c r="M608" s="813"/>
      <c r="N608" s="813"/>
      <c r="O608" s="813"/>
      <c r="P608" s="813"/>
      <c r="Q608" s="813"/>
      <c r="R608" s="814">
        <f>SUM(R604:R607)</f>
        <v>0</v>
      </c>
      <c r="S608" s="815"/>
      <c r="T608" s="814">
        <f>SUM(T604:T607)</f>
        <v>0</v>
      </c>
      <c r="AG608" s="840">
        <f>ROUND($R608*$S$3,2)</f>
        <v>0</v>
      </c>
    </row>
    <row r="609" spans="1:41" s="519" customFormat="1" ht="12.75" customHeight="1">
      <c r="A609" s="841"/>
      <c r="B609" s="842"/>
      <c r="E609" s="641"/>
      <c r="F609" s="843"/>
      <c r="G609" s="641"/>
      <c r="H609" s="641"/>
      <c r="I609" s="518"/>
      <c r="J609" s="641"/>
      <c r="K609" s="641"/>
      <c r="L609" s="844"/>
      <c r="M609" s="652"/>
      <c r="N609" s="652"/>
      <c r="O609" s="652"/>
      <c r="P609" s="652"/>
      <c r="Q609" s="653"/>
      <c r="R609" s="821"/>
      <c r="S609" s="641"/>
      <c r="T609" s="821"/>
    </row>
    <row r="610" spans="1:41" s="519" customFormat="1" ht="13.5" customHeight="1" thickBot="1">
      <c r="A610" s="845"/>
      <c r="B610" s="846"/>
      <c r="C610" s="529"/>
      <c r="D610" s="529"/>
      <c r="E610" s="646"/>
      <c r="F610" s="647"/>
      <c r="G610" s="646" t="s">
        <v>146</v>
      </c>
      <c r="H610" s="646"/>
      <c r="I610" s="648"/>
      <c r="J610" s="646"/>
      <c r="K610" s="646"/>
      <c r="L610" s="847" t="s">
        <v>143</v>
      </c>
      <c r="M610" s="649"/>
      <c r="N610" s="649"/>
      <c r="O610" s="649"/>
      <c r="P610" s="649"/>
      <c r="Q610" s="650"/>
      <c r="R610" s="848">
        <f ca="1">SUMIF($L597:$L609,"SUBI",R597:R609)</f>
        <v>0</v>
      </c>
      <c r="S610" s="646"/>
      <c r="T610" s="848">
        <f ca="1">SUMIF($L597:$L609,"SUBI",T597:T609)</f>
        <v>0</v>
      </c>
      <c r="U610" s="529"/>
      <c r="V610" s="529"/>
      <c r="W610" s="529"/>
      <c r="X610" s="529"/>
      <c r="Y610" s="529"/>
      <c r="Z610" s="529"/>
      <c r="AA610" s="529"/>
      <c r="AB610" s="529"/>
      <c r="AC610" s="529"/>
      <c r="AD610" s="529"/>
      <c r="AE610" s="529"/>
      <c r="AF610" s="529"/>
      <c r="AG610" s="529"/>
      <c r="AH610" s="529"/>
      <c r="AI610" s="529"/>
      <c r="AJ610" s="529"/>
      <c r="AK610" s="529"/>
      <c r="AL610" s="529"/>
      <c r="AM610" s="529"/>
      <c r="AN610" s="529"/>
      <c r="AO610" s="529"/>
    </row>
    <row r="611" spans="1:41" s="519" customFormat="1" thickTop="1">
      <c r="A611" s="47"/>
      <c r="B611" s="47"/>
      <c r="C611" s="3"/>
      <c r="D611" s="3"/>
      <c r="E611" s="47"/>
      <c r="F611" s="47"/>
      <c r="G611" s="47"/>
      <c r="H611" s="47"/>
      <c r="I611" s="47"/>
      <c r="J611" s="47"/>
      <c r="K611" s="47" t="s">
        <v>134</v>
      </c>
      <c r="L611" s="47"/>
      <c r="M611" s="47"/>
      <c r="N611" s="47"/>
      <c r="O611" s="48"/>
      <c r="P611" s="47"/>
      <c r="Q611" s="47"/>
      <c r="R611" s="47"/>
      <c r="S611" s="47"/>
      <c r="T611" s="47"/>
    </row>
    <row r="612" spans="1:41" s="519" customFormat="1" ht="12">
      <c r="A612" s="47"/>
      <c r="B612" s="47"/>
      <c r="C612" s="47" t="s">
        <v>135</v>
      </c>
      <c r="D612" s="36"/>
      <c r="E612" s="47"/>
      <c r="F612" s="47"/>
      <c r="G612" s="47"/>
      <c r="H612" s="47"/>
      <c r="I612" s="47"/>
      <c r="J612" s="47"/>
      <c r="K612" s="47"/>
      <c r="L612" s="47"/>
      <c r="M612" s="47"/>
      <c r="N612" s="47"/>
      <c r="O612" s="48"/>
      <c r="P612" s="47"/>
      <c r="Q612" s="47"/>
      <c r="R612" s="47"/>
      <c r="S612" s="47"/>
      <c r="T612" s="47"/>
    </row>
    <row r="613" spans="1:41" s="519" customFormat="1" ht="39.9" customHeight="1">
      <c r="A613" s="47"/>
      <c r="B613" s="47"/>
      <c r="C613" s="47"/>
      <c r="D613" s="979" t="s">
        <v>428</v>
      </c>
      <c r="E613" s="980"/>
      <c r="F613" s="980"/>
      <c r="G613" s="980"/>
      <c r="H613" s="980"/>
      <c r="I613" s="980"/>
      <c r="J613" s="980"/>
      <c r="K613" s="980"/>
      <c r="L613" s="980"/>
      <c r="M613" s="980"/>
      <c r="N613" s="980"/>
      <c r="O613" s="980"/>
      <c r="P613" s="980"/>
      <c r="Q613" s="980"/>
      <c r="R613" s="980"/>
      <c r="S613" s="980"/>
      <c r="T613" s="980"/>
    </row>
    <row r="614" spans="1:41" s="3" customFormat="1" thickBot="1">
      <c r="A614" s="529"/>
      <c r="O614" s="99"/>
    </row>
    <row r="615" spans="1:41" s="519" customFormat="1" thickTop="1">
      <c r="A615" s="47"/>
      <c r="B615" s="40"/>
      <c r="C615" s="47"/>
      <c r="E615" s="41" t="s">
        <v>138</v>
      </c>
      <c r="F615" s="41" t="s">
        <v>139</v>
      </c>
      <c r="G615" s="47"/>
      <c r="H615" s="47"/>
      <c r="I615" s="47"/>
      <c r="J615" s="47"/>
      <c r="K615" s="47" t="s">
        <v>140</v>
      </c>
      <c r="L615" s="774"/>
      <c r="M615" s="47"/>
      <c r="N615" s="47"/>
      <c r="O615" s="48"/>
      <c r="P615" s="47"/>
      <c r="Q615"/>
      <c r="R615"/>
      <c r="S615"/>
      <c r="T615" s="40"/>
      <c r="AG615" s="627" t="s">
        <v>277</v>
      </c>
      <c r="AH615" s="627" t="s">
        <v>278</v>
      </c>
      <c r="AI615" s="627" t="s">
        <v>279</v>
      </c>
      <c r="AJ615" s="627" t="s">
        <v>280</v>
      </c>
      <c r="AK615" s="627" t="s">
        <v>281</v>
      </c>
      <c r="AM615" s="628" t="s">
        <v>290</v>
      </c>
      <c r="AN615" s="629" t="s">
        <v>291</v>
      </c>
      <c r="AO615" s="520" t="s">
        <v>287</v>
      </c>
    </row>
    <row r="616" spans="1:41" s="519" customFormat="1" ht="13.2">
      <c r="A616" s="630">
        <v>2</v>
      </c>
      <c r="B616" s="521" t="s">
        <v>312</v>
      </c>
      <c r="C616" s="631"/>
      <c r="D616" s="632" t="s">
        <v>352</v>
      </c>
      <c r="E616" s="775">
        <f ca="1">IF(AND($A616=0,$A$1="DIF"),0, ROUND(ROUND(SUMIF($L618:$L624,"SUBI",$E618:$E624)/$A616,2)*$C$12,2))</f>
        <v>0</v>
      </c>
      <c r="F616" s="776">
        <f ca="1">ROUND($A616*$E616,2)</f>
        <v>0</v>
      </c>
      <c r="G616" s="635" t="s">
        <v>142</v>
      </c>
      <c r="H616" s="636"/>
      <c r="I616" s="637"/>
      <c r="J616" s="636"/>
      <c r="K616" s="777"/>
      <c r="L616" s="778" t="s">
        <v>143</v>
      </c>
      <c r="M616" s="638"/>
      <c r="N616" s="638"/>
      <c r="O616" s="638"/>
      <c r="P616" s="638"/>
      <c r="Q616" s="967" t="s">
        <v>802</v>
      </c>
      <c r="R616"/>
      <c r="S616"/>
      <c r="T616" s="779" t="str">
        <f ca="1">IF(AND($R630=0,$T630=0),"0.00","mu :" &amp; ROUND($F616/$C$12/($R630+$T630*$D$9),2))</f>
        <v>0.00</v>
      </c>
      <c r="W616" s="522"/>
      <c r="AG616" s="780">
        <f ca="1">IF(A616=0,0,ROUND(SUM(AG618:AG630)/A616,2))</f>
        <v>0</v>
      </c>
      <c r="AH616" s="780">
        <f ca="1">$AG616*$A616</f>
        <v>0</v>
      </c>
      <c r="AI616" s="780">
        <f ca="1">$E616-$AG616</f>
        <v>0</v>
      </c>
      <c r="AJ616" s="780">
        <f ca="1">$A616*$AI616</f>
        <v>0</v>
      </c>
      <c r="AK616" s="781">
        <f ca="1">ROUND(($AG616+$AI616)*$A616,2)</f>
        <v>0</v>
      </c>
      <c r="AM616" s="525">
        <f ca="1">ROUND(R630,2)</f>
        <v>0</v>
      </c>
      <c r="AN616" s="526">
        <f ca="1">ROUND(T630,2)</f>
        <v>0</v>
      </c>
      <c r="AO616" s="527">
        <f ca="1">ROUND(AM616+AN616,2)*A616</f>
        <v>0</v>
      </c>
    </row>
    <row r="617" spans="1:41" s="519" customFormat="1" ht="19.95" customHeight="1">
      <c r="A617" s="782"/>
      <c r="B617" s="783"/>
      <c r="C617" s="631"/>
      <c r="D617" s="784" t="s">
        <v>648</v>
      </c>
      <c r="F617" s="636"/>
      <c r="G617" s="636"/>
      <c r="H617" s="636"/>
      <c r="I617" s="637"/>
      <c r="J617" s="636"/>
      <c r="K617" s="636" t="s">
        <v>144</v>
      </c>
      <c r="L617" s="785"/>
      <c r="M617" s="636"/>
      <c r="N617" s="636"/>
      <c r="O617" s="636"/>
      <c r="P617" s="636"/>
      <c r="Q617" s="47"/>
      <c r="R617" s="528"/>
      <c r="S617" s="640"/>
      <c r="T617" s="636"/>
    </row>
    <row r="618" spans="1:41" s="519" customFormat="1" ht="12">
      <c r="A618" s="786"/>
      <c r="B618" s="787"/>
      <c r="C618" s="641"/>
      <c r="D618" s="636"/>
      <c r="E618" s="788">
        <f ca="1">F616/$C$12-SUMIF($L615:$L630,"SUBI",$E615:$E630)</f>
        <v>0</v>
      </c>
      <c r="F618" s="789" t="s">
        <v>589</v>
      </c>
      <c r="G618" s="790"/>
      <c r="H618" s="790"/>
      <c r="I618" s="791"/>
      <c r="J618" s="790"/>
      <c r="K618" s="790"/>
      <c r="L618" s="792"/>
      <c r="M618" s="793"/>
      <c r="N618" s="793"/>
      <c r="O618" s="793"/>
      <c r="P618" s="793"/>
      <c r="Q618" s="794"/>
      <c r="R618" s="795"/>
      <c r="S618" s="794"/>
      <c r="T618" s="796"/>
    </row>
    <row r="619" spans="1:41" s="519" customFormat="1" ht="12" customHeight="1">
      <c r="A619" s="797"/>
      <c r="B619" s="798"/>
      <c r="C619" s="799"/>
      <c r="D619" s="799" t="str">
        <f>$F$2</f>
        <v>Electrical</v>
      </c>
      <c r="E619" s="799">
        <f ca="1">ROUND(($R623*$S$2 + ($T623*$T$2)), 2)</f>
        <v>0</v>
      </c>
      <c r="F619" s="800">
        <f ca="1">$E619*$C$12</f>
        <v>0</v>
      </c>
      <c r="G619" s="528"/>
      <c r="H619" s="801"/>
      <c r="I619" s="528"/>
      <c r="J619" s="48"/>
      <c r="K619" s="802" t="s">
        <v>3</v>
      </c>
      <c r="L619" s="803" t="s">
        <v>590</v>
      </c>
      <c r="M619" s="528"/>
      <c r="N619" s="528"/>
      <c r="O619" s="48"/>
      <c r="P619" s="528"/>
      <c r="Q619" s="528"/>
      <c r="R619"/>
      <c r="S619"/>
      <c r="T619"/>
    </row>
    <row r="620" spans="1:41" s="956" customFormat="1" ht="13.2">
      <c r="A620"/>
      <c r="B620" s="948"/>
      <c r="C620" s="948" t="s">
        <v>742</v>
      </c>
      <c r="D620" s="948" t="str">
        <f ca="1">CELL("Address",Elec_Rates!D$100)</f>
        <v>[ELM25_0085_Quintano_Elec_Mech_HVAC_Est_Rev_B.xlsx]Elec_Rates!$D$100</v>
      </c>
      <c r="E620" s="949"/>
      <c r="F620" s="949"/>
      <c r="G620" s="950" t="s">
        <v>743</v>
      </c>
      <c r="H620" s="950"/>
      <c r="I620" s="950"/>
      <c r="J620" s="950"/>
      <c r="K620" s="951"/>
      <c r="L620" s="949"/>
      <c r="M620" s="949"/>
      <c r="N620" s="949"/>
      <c r="O620" s="952"/>
      <c r="P620" s="949"/>
      <c r="Q620" s="953"/>
      <c r="R620" s="954"/>
      <c r="S620" s="953"/>
      <c r="T620" s="943"/>
      <c r="U620" s="955"/>
    </row>
    <row r="621" spans="1:41" s="956" customFormat="1" ht="11.4">
      <c r="A621" s="957">
        <v>0</v>
      </c>
      <c r="B621" s="958">
        <v>1</v>
      </c>
      <c r="C621" s="958">
        <f>$A621*$B621</f>
        <v>0</v>
      </c>
      <c r="D621" s="959" t="str">
        <f>Elec_Rates!$D$100</f>
        <v>001# SFDI adjacent to each damper.</v>
      </c>
      <c r="E621" s="959"/>
      <c r="F621" s="959" t="s">
        <v>744</v>
      </c>
      <c r="G621" s="960" t="s">
        <v>760</v>
      </c>
      <c r="H621" s="960"/>
      <c r="I621" s="960"/>
      <c r="J621" s="960"/>
      <c r="K621" s="961"/>
      <c r="L621" s="955"/>
      <c r="M621" s="955"/>
      <c r="N621" s="955"/>
      <c r="O621" s="962"/>
      <c r="P621" s="959"/>
      <c r="Q621" s="963">
        <f ca="1">$B621*Elec_Rates!$R$100</f>
        <v>330.73</v>
      </c>
      <c r="R621" s="954">
        <f ca="1">$A621*Q621</f>
        <v>0</v>
      </c>
      <c r="S621" s="963">
        <f ca="1">$B621*Elec_Rates!$T$100</f>
        <v>3.37</v>
      </c>
      <c r="T621" s="943">
        <f ca="1">$A621*S621</f>
        <v>0</v>
      </c>
      <c r="U621" s="501"/>
    </row>
    <row r="622" spans="1:41" s="519" customFormat="1" ht="13.95" customHeight="1">
      <c r="A622" s="49"/>
      <c r="B622" s="528"/>
      <c r="C622" s="528"/>
      <c r="D622" s="528"/>
      <c r="E622" s="528"/>
      <c r="F622" s="528"/>
      <c r="G622" s="528"/>
      <c r="H622" s="801"/>
      <c r="I622" s="528"/>
      <c r="J622" s="48"/>
      <c r="K622" s="805"/>
      <c r="L622" s="806"/>
      <c r="M622" s="528"/>
      <c r="N622" s="528"/>
      <c r="O622" s="48"/>
      <c r="P622" s="528"/>
      <c r="Q622" s="528"/>
      <c r="R622" s="807">
        <f>$A622*Q622</f>
        <v>0</v>
      </c>
      <c r="S622" s="528"/>
      <c r="T622" s="643">
        <f>$A622*S622*$T$1</f>
        <v>0</v>
      </c>
    </row>
    <row r="623" spans="1:41" s="519" customFormat="1" ht="12">
      <c r="A623" s="808" t="s">
        <v>145</v>
      </c>
      <c r="B623" s="809">
        <f>(R622+T622)</f>
        <v>0</v>
      </c>
      <c r="C623" s="641"/>
      <c r="G623" s="810"/>
      <c r="H623" s="810"/>
      <c r="I623" s="810"/>
      <c r="J623" s="810"/>
      <c r="K623" s="811" t="s">
        <v>3</v>
      </c>
      <c r="L623" s="812" t="s">
        <v>590</v>
      </c>
      <c r="M623" s="810"/>
      <c r="N623" s="810"/>
      <c r="O623" s="810"/>
      <c r="P623" s="810"/>
      <c r="Q623" s="813"/>
      <c r="R623" s="814">
        <f ca="1">SUM(R619:R622)</f>
        <v>0</v>
      </c>
      <c r="S623" s="815"/>
      <c r="T623" s="814">
        <f ca="1">SUM(T619:T622)</f>
        <v>0</v>
      </c>
      <c r="AG623" s="816">
        <f ca="1">ROUND($R623*$S$2,2)</f>
        <v>0</v>
      </c>
    </row>
    <row r="624" spans="1:41" s="519" customFormat="1" ht="12" customHeight="1">
      <c r="A624" s="817"/>
      <c r="B624" s="818"/>
      <c r="C624" s="819"/>
      <c r="D624" s="819" t="str">
        <f>$F$3</f>
        <v>ECA</v>
      </c>
      <c r="E624" s="819">
        <f>ROUND(($R628*$S$3 + ($T628*$T$3)), 2)</f>
        <v>0</v>
      </c>
      <c r="F624" s="820">
        <f ca="1">$F616-SUMIF($L618:$P621,"SUBI",$F618:$F621)</f>
        <v>0</v>
      </c>
      <c r="G624" s="518"/>
      <c r="H624" s="518"/>
      <c r="I624" s="518"/>
      <c r="J624" s="518"/>
      <c r="K624" s="802" t="s">
        <v>5</v>
      </c>
      <c r="L624" s="803" t="s">
        <v>590</v>
      </c>
      <c r="M624" s="518"/>
      <c r="N624" s="518"/>
      <c r="O624" s="518"/>
      <c r="P624" s="518"/>
      <c r="Q624" s="518"/>
      <c r="R624" s="821"/>
      <c r="S624" s="518"/>
      <c r="T624" s="821"/>
    </row>
    <row r="625" spans="1:41" s="834" customFormat="1" ht="14.4" customHeight="1">
      <c r="A625" s="822"/>
      <c r="B625" s="804" t="s">
        <v>592</v>
      </c>
      <c r="C625" s="823"/>
      <c r="D625" s="824"/>
      <c r="E625" s="824"/>
      <c r="F625" s="824"/>
      <c r="G625" s="825"/>
      <c r="H625" s="826"/>
      <c r="I625" s="826"/>
      <c r="J625" s="827"/>
      <c r="K625" s="828"/>
      <c r="L625" s="823"/>
      <c r="M625" s="829"/>
      <c r="N625" s="830"/>
      <c r="O625" s="831"/>
      <c r="P625" s="832"/>
      <c r="Q625" s="833"/>
      <c r="R625" s="807">
        <f>$A625*Q625</f>
        <v>0</v>
      </c>
      <c r="S625" s="528"/>
      <c r="T625" s="643">
        <f>$A625*S625*$T$1</f>
        <v>0</v>
      </c>
    </row>
    <row r="626" spans="1:41" s="519" customFormat="1" ht="11.4">
      <c r="A626" s="49"/>
      <c r="B626" s="528"/>
      <c r="C626" s="528"/>
      <c r="D626" s="528"/>
      <c r="E626" s="528"/>
      <c r="F626" s="528"/>
      <c r="G626" s="528"/>
      <c r="H626" s="528"/>
      <c r="I626" s="528"/>
      <c r="J626" s="528"/>
      <c r="K626" s="528"/>
      <c r="L626" s="806"/>
      <c r="M626" s="528"/>
      <c r="N626" s="528"/>
      <c r="O626" s="528"/>
      <c r="P626" s="528"/>
      <c r="Q626" s="528"/>
      <c r="R626" s="807">
        <f>$A626*Q626</f>
        <v>0</v>
      </c>
      <c r="S626" s="528"/>
      <c r="T626" s="643">
        <f>$A626*S626*$T$1</f>
        <v>0</v>
      </c>
    </row>
    <row r="627" spans="1:41" s="519" customFormat="1" ht="13.2">
      <c r="A627" s="49"/>
      <c r="B627" s="528"/>
      <c r="C627" s="528"/>
      <c r="D627" s="3"/>
      <c r="E627" s="528"/>
      <c r="F627" s="528"/>
      <c r="G627" s="528"/>
      <c r="H627" s="528"/>
      <c r="I627" s="528"/>
      <c r="J627" s="528"/>
      <c r="K627" s="528"/>
      <c r="L627" s="806"/>
      <c r="M627" s="528"/>
      <c r="N627" s="528"/>
      <c r="O627" s="528"/>
      <c r="P627" s="528"/>
      <c r="Q627" s="528"/>
      <c r="R627" s="807">
        <f>$A627*Q627</f>
        <v>0</v>
      </c>
      <c r="S627" s="528"/>
      <c r="T627" s="643">
        <f>$A627*S627*$T$1</f>
        <v>0</v>
      </c>
    </row>
    <row r="628" spans="1:41" s="519" customFormat="1" ht="12" customHeight="1">
      <c r="A628" s="835" t="s">
        <v>145</v>
      </c>
      <c r="B628" s="836">
        <f>(R627+T627)</f>
        <v>0</v>
      </c>
      <c r="C628" s="837"/>
      <c r="D628" s="837"/>
      <c r="E628" s="837"/>
      <c r="F628" s="837"/>
      <c r="G628" s="813"/>
      <c r="H628" s="813"/>
      <c r="I628" s="813"/>
      <c r="J628" s="813"/>
      <c r="K628" s="838" t="s">
        <v>5</v>
      </c>
      <c r="L628" s="839" t="s">
        <v>590</v>
      </c>
      <c r="M628" s="813"/>
      <c r="N628" s="813"/>
      <c r="O628" s="813"/>
      <c r="P628" s="813"/>
      <c r="Q628" s="813"/>
      <c r="R628" s="814">
        <f>SUM(R624:R627)</f>
        <v>0</v>
      </c>
      <c r="S628" s="815"/>
      <c r="T628" s="814">
        <f>SUM(T624:T627)</f>
        <v>0</v>
      </c>
      <c r="AG628" s="840">
        <f>ROUND($R628*$S$3,2)</f>
        <v>0</v>
      </c>
    </row>
    <row r="629" spans="1:41" s="519" customFormat="1" ht="12.75" customHeight="1">
      <c r="A629" s="841"/>
      <c r="B629" s="842"/>
      <c r="E629" s="641"/>
      <c r="F629" s="843"/>
      <c r="G629" s="641"/>
      <c r="H629" s="641"/>
      <c r="I629" s="518"/>
      <c r="J629" s="641"/>
      <c r="K629" s="641"/>
      <c r="L629" s="844"/>
      <c r="M629" s="652"/>
      <c r="N629" s="652"/>
      <c r="O629" s="652"/>
      <c r="P629" s="652"/>
      <c r="Q629" s="653"/>
      <c r="R629" s="821"/>
      <c r="S629" s="641"/>
      <c r="T629" s="821"/>
    </row>
    <row r="630" spans="1:41" s="519" customFormat="1" ht="13.5" customHeight="1" thickBot="1">
      <c r="A630" s="845"/>
      <c r="B630" s="846"/>
      <c r="C630" s="529"/>
      <c r="D630" s="529"/>
      <c r="E630" s="646"/>
      <c r="F630" s="647"/>
      <c r="G630" s="646" t="s">
        <v>146</v>
      </c>
      <c r="H630" s="646"/>
      <c r="I630" s="648"/>
      <c r="J630" s="646"/>
      <c r="K630" s="646"/>
      <c r="L630" s="847" t="s">
        <v>143</v>
      </c>
      <c r="M630" s="649"/>
      <c r="N630" s="649"/>
      <c r="O630" s="649"/>
      <c r="P630" s="649"/>
      <c r="Q630" s="650"/>
      <c r="R630" s="848">
        <f ca="1">SUMIF($L617:$L629,"SUBI",R617:R629)</f>
        <v>0</v>
      </c>
      <c r="S630" s="646"/>
      <c r="T630" s="848">
        <f ca="1">SUMIF($L617:$L629,"SUBI",T617:T629)</f>
        <v>0</v>
      </c>
      <c r="U630" s="529"/>
      <c r="V630" s="529"/>
      <c r="W630" s="529"/>
      <c r="X630" s="529"/>
      <c r="Y630" s="529"/>
      <c r="Z630" s="529"/>
      <c r="AA630" s="529"/>
      <c r="AB630" s="529"/>
      <c r="AC630" s="529"/>
      <c r="AD630" s="529"/>
      <c r="AE630" s="529"/>
      <c r="AF630" s="529"/>
      <c r="AG630" s="529"/>
      <c r="AH630" s="529"/>
      <c r="AI630" s="529"/>
      <c r="AJ630" s="529"/>
      <c r="AK630" s="529"/>
      <c r="AL630" s="529"/>
      <c r="AM630" s="529"/>
      <c r="AN630" s="529"/>
      <c r="AO630" s="529"/>
    </row>
    <row r="631" spans="1:41" s="519" customFormat="1" thickTop="1">
      <c r="A631" s="47"/>
      <c r="B631" s="40"/>
      <c r="C631" s="47"/>
      <c r="E631" s="41" t="s">
        <v>138</v>
      </c>
      <c r="F631" s="41" t="s">
        <v>139</v>
      </c>
      <c r="G631" s="47"/>
      <c r="H631" s="47"/>
      <c r="I631" s="47"/>
      <c r="J631" s="47"/>
      <c r="K631" s="47" t="s">
        <v>140</v>
      </c>
      <c r="L631" s="774"/>
      <c r="M631" s="47"/>
      <c r="N631" s="47"/>
      <c r="O631" s="48"/>
      <c r="P631" s="47"/>
      <c r="Q631"/>
      <c r="R631"/>
      <c r="S631"/>
      <c r="T631" s="40"/>
      <c r="AG631" s="627" t="s">
        <v>277</v>
      </c>
      <c r="AH631" s="627" t="s">
        <v>278</v>
      </c>
      <c r="AI631" s="627" t="s">
        <v>279</v>
      </c>
      <c r="AJ631" s="627" t="s">
        <v>280</v>
      </c>
      <c r="AK631" s="627" t="s">
        <v>281</v>
      </c>
      <c r="AM631" s="628" t="s">
        <v>290</v>
      </c>
      <c r="AN631" s="629" t="s">
        <v>291</v>
      </c>
      <c r="AO631" s="520" t="s">
        <v>287</v>
      </c>
    </row>
    <row r="632" spans="1:41" s="519" customFormat="1" ht="13.2">
      <c r="A632" s="630">
        <v>1</v>
      </c>
      <c r="B632" s="521" t="s">
        <v>312</v>
      </c>
      <c r="C632" s="631"/>
      <c r="D632" s="632" t="s">
        <v>353</v>
      </c>
      <c r="E632" s="775">
        <f ca="1">IF(AND($A632=0,$A$1="DIF"),0, ROUND(ROUND(SUMIF($L634:$L640,"SUBI",$E634:$E640)/$A632,2)*$C$12,2))</f>
        <v>0</v>
      </c>
      <c r="F632" s="776">
        <f ca="1">ROUND($A632*$E632,2)</f>
        <v>0</v>
      </c>
      <c r="G632" s="635" t="s">
        <v>142</v>
      </c>
      <c r="H632" s="636"/>
      <c r="I632" s="637"/>
      <c r="J632" s="636"/>
      <c r="K632" s="777"/>
      <c r="L632" s="778" t="s">
        <v>143</v>
      </c>
      <c r="M632" s="638"/>
      <c r="N632" s="638"/>
      <c r="O632" s="638"/>
      <c r="P632" s="638"/>
      <c r="Q632" s="967" t="s">
        <v>802</v>
      </c>
      <c r="R632"/>
      <c r="S632"/>
      <c r="T632" s="779" t="str">
        <f ca="1">IF(AND($R646=0,$T646=0),"0.00","mu :" &amp; ROUND($F632/$C$12/($R646+$T646*$D$9),2))</f>
        <v>0.00</v>
      </c>
      <c r="W632" s="522"/>
      <c r="AG632" s="780">
        <f ca="1">IF(A632=0,0,ROUND(SUM(AG634:AG646)/A632,2))</f>
        <v>0</v>
      </c>
      <c r="AH632" s="780">
        <f ca="1">$AG632*$A632</f>
        <v>0</v>
      </c>
      <c r="AI632" s="780">
        <f ca="1">$E632-$AG632</f>
        <v>0</v>
      </c>
      <c r="AJ632" s="780">
        <f ca="1">$A632*$AI632</f>
        <v>0</v>
      </c>
      <c r="AK632" s="781">
        <f ca="1">ROUND(($AG632+$AI632)*$A632,2)</f>
        <v>0</v>
      </c>
      <c r="AM632" s="525">
        <f ca="1">ROUND(R646,2)</f>
        <v>0</v>
      </c>
      <c r="AN632" s="526">
        <f ca="1">ROUND(T646,2)</f>
        <v>0</v>
      </c>
      <c r="AO632" s="527">
        <f ca="1">ROUND(AM632+AN632,2)*A632</f>
        <v>0</v>
      </c>
    </row>
    <row r="633" spans="1:41" s="519" customFormat="1" ht="19.95" customHeight="1">
      <c r="A633" s="782"/>
      <c r="B633" s="783"/>
      <c r="C633" s="631"/>
      <c r="D633" s="784" t="s">
        <v>649</v>
      </c>
      <c r="F633" s="636"/>
      <c r="G633" s="636"/>
      <c r="H633" s="636"/>
      <c r="I633" s="637"/>
      <c r="J633" s="636"/>
      <c r="K633" s="636" t="s">
        <v>144</v>
      </c>
      <c r="L633" s="785"/>
      <c r="M633" s="636"/>
      <c r="N633" s="636"/>
      <c r="O633" s="636"/>
      <c r="P633" s="636"/>
      <c r="Q633" s="47"/>
      <c r="R633" s="528"/>
      <c r="S633" s="640"/>
      <c r="T633" s="636"/>
    </row>
    <row r="634" spans="1:41" s="519" customFormat="1" ht="12">
      <c r="A634" s="786"/>
      <c r="B634" s="787"/>
      <c r="C634" s="641"/>
      <c r="D634" s="636"/>
      <c r="E634" s="788">
        <f ca="1">F632/$C$12-SUMIF($L631:$L646,"SUBI",$E631:$E646)</f>
        <v>0</v>
      </c>
      <c r="F634" s="789" t="s">
        <v>589</v>
      </c>
      <c r="G634" s="790"/>
      <c r="H634" s="790"/>
      <c r="I634" s="791"/>
      <c r="J634" s="790"/>
      <c r="K634" s="790"/>
      <c r="L634" s="792"/>
      <c r="M634" s="793"/>
      <c r="N634" s="793"/>
      <c r="O634" s="793"/>
      <c r="P634" s="793"/>
      <c r="Q634" s="794"/>
      <c r="R634" s="795"/>
      <c r="S634" s="794"/>
      <c r="T634" s="796"/>
    </row>
    <row r="635" spans="1:41" s="519" customFormat="1" ht="12" customHeight="1">
      <c r="A635" s="797"/>
      <c r="B635" s="798"/>
      <c r="C635" s="799"/>
      <c r="D635" s="799" t="str">
        <f>$F$2</f>
        <v>Electrical</v>
      </c>
      <c r="E635" s="799">
        <f ca="1">ROUND(($R639*$S$2 + ($T639*$T$2)), 2)</f>
        <v>0</v>
      </c>
      <c r="F635" s="800">
        <f ca="1">$E635*$C$12</f>
        <v>0</v>
      </c>
      <c r="G635" s="528"/>
      <c r="H635" s="801"/>
      <c r="I635" s="528"/>
      <c r="J635" s="48"/>
      <c r="K635" s="802" t="s">
        <v>3</v>
      </c>
      <c r="L635" s="803" t="s">
        <v>590</v>
      </c>
      <c r="M635" s="528"/>
      <c r="N635" s="528"/>
      <c r="O635" s="48"/>
      <c r="P635" s="528"/>
      <c r="Q635" s="528"/>
      <c r="R635"/>
      <c r="S635"/>
      <c r="T635"/>
    </row>
    <row r="636" spans="1:41" s="956" customFormat="1" ht="13.2">
      <c r="A636"/>
      <c r="B636" s="948"/>
      <c r="C636" s="948" t="s">
        <v>742</v>
      </c>
      <c r="D636" s="948" t="str">
        <f ca="1">CELL("Address",Elec_Rates!D$100)</f>
        <v>[ELM25_0085_Quintano_Elec_Mech_HVAC_Est_Rev_B.xlsx]Elec_Rates!$D$100</v>
      </c>
      <c r="E636" s="949"/>
      <c r="F636" s="949"/>
      <c r="G636" s="950" t="s">
        <v>743</v>
      </c>
      <c r="H636" s="950"/>
      <c r="I636" s="950"/>
      <c r="J636" s="950"/>
      <c r="K636" s="951"/>
      <c r="L636" s="949"/>
      <c r="M636" s="949"/>
      <c r="N636" s="949"/>
      <c r="O636" s="952"/>
      <c r="P636" s="949"/>
      <c r="Q636" s="953"/>
      <c r="R636" s="954"/>
      <c r="S636" s="953"/>
      <c r="T636" s="943"/>
      <c r="U636" s="955"/>
    </row>
    <row r="637" spans="1:41" s="956" customFormat="1" ht="11.4">
      <c r="A637" s="957">
        <v>0</v>
      </c>
      <c r="B637" s="958">
        <v>1</v>
      </c>
      <c r="C637" s="958">
        <f>$A637*$B637</f>
        <v>0</v>
      </c>
      <c r="D637" s="959" t="str">
        <f>Elec_Rates!$D$100</f>
        <v>001# SFDI adjacent to each damper.</v>
      </c>
      <c r="E637" s="959"/>
      <c r="F637" s="959" t="s">
        <v>744</v>
      </c>
      <c r="G637" s="960" t="s">
        <v>760</v>
      </c>
      <c r="H637" s="960"/>
      <c r="I637" s="960"/>
      <c r="J637" s="960"/>
      <c r="K637" s="961"/>
      <c r="L637" s="955"/>
      <c r="M637" s="955"/>
      <c r="N637" s="955"/>
      <c r="O637" s="962"/>
      <c r="P637" s="959"/>
      <c r="Q637" s="963">
        <f ca="1">$B637*Elec_Rates!$R$100</f>
        <v>330.73</v>
      </c>
      <c r="R637" s="954">
        <f ca="1">$A637*Q637</f>
        <v>0</v>
      </c>
      <c r="S637" s="963">
        <f ca="1">$B637*Elec_Rates!$T$100</f>
        <v>3.37</v>
      </c>
      <c r="T637" s="943">
        <f ca="1">$A637*S637</f>
        <v>0</v>
      </c>
      <c r="U637" s="501"/>
    </row>
    <row r="638" spans="1:41" s="519" customFormat="1" ht="13.95" customHeight="1">
      <c r="A638" s="49"/>
      <c r="B638" s="528"/>
      <c r="C638" s="528"/>
      <c r="D638" s="528"/>
      <c r="E638" s="528"/>
      <c r="F638" s="528"/>
      <c r="G638" s="528"/>
      <c r="H638" s="801"/>
      <c r="I638" s="528"/>
      <c r="J638" s="48"/>
      <c r="K638" s="805"/>
      <c r="L638" s="806"/>
      <c r="M638" s="528"/>
      <c r="N638" s="528"/>
      <c r="O638" s="48"/>
      <c r="P638" s="528"/>
      <c r="Q638" s="528"/>
      <c r="R638" s="807">
        <f>$A638*Q638</f>
        <v>0</v>
      </c>
      <c r="S638" s="528"/>
      <c r="T638" s="643">
        <f>$A638*S638*$T$1</f>
        <v>0</v>
      </c>
    </row>
    <row r="639" spans="1:41" s="519" customFormat="1" ht="12">
      <c r="A639" s="808" t="s">
        <v>145</v>
      </c>
      <c r="B639" s="809">
        <f>(R638+T638)</f>
        <v>0</v>
      </c>
      <c r="C639" s="641"/>
      <c r="G639" s="810"/>
      <c r="H639" s="810"/>
      <c r="I639" s="810"/>
      <c r="J639" s="810"/>
      <c r="K639" s="811" t="s">
        <v>3</v>
      </c>
      <c r="L639" s="812" t="s">
        <v>590</v>
      </c>
      <c r="M639" s="810"/>
      <c r="N639" s="810"/>
      <c r="O639" s="810"/>
      <c r="P639" s="810"/>
      <c r="Q639" s="813"/>
      <c r="R639" s="814">
        <f ca="1">SUM(R635:R638)</f>
        <v>0</v>
      </c>
      <c r="S639" s="815"/>
      <c r="T639" s="814">
        <f ca="1">SUM(T635:T638)</f>
        <v>0</v>
      </c>
      <c r="AG639" s="816">
        <f ca="1">ROUND($R639*$S$2,2)</f>
        <v>0</v>
      </c>
    </row>
    <row r="640" spans="1:41" s="519" customFormat="1" ht="12" customHeight="1">
      <c r="A640" s="817"/>
      <c r="B640" s="818"/>
      <c r="C640" s="819"/>
      <c r="D640" s="819" t="str">
        <f>$F$3</f>
        <v>ECA</v>
      </c>
      <c r="E640" s="819">
        <f>ROUND(($R644*$S$3 + ($T644*$T$3)), 2)</f>
        <v>0</v>
      </c>
      <c r="F640" s="820">
        <f ca="1">$F632-SUMIF($L634:$P637,"SUBI",$F634:$F637)</f>
        <v>0</v>
      </c>
      <c r="G640" s="518"/>
      <c r="H640" s="518"/>
      <c r="I640" s="518"/>
      <c r="J640" s="518"/>
      <c r="K640" s="802" t="s">
        <v>5</v>
      </c>
      <c r="L640" s="803" t="s">
        <v>590</v>
      </c>
      <c r="M640" s="518"/>
      <c r="N640" s="518"/>
      <c r="O640" s="518"/>
      <c r="P640" s="518"/>
      <c r="Q640" s="518"/>
      <c r="R640" s="821"/>
      <c r="S640" s="518"/>
      <c r="T640" s="821"/>
    </row>
    <row r="641" spans="1:41" s="834" customFormat="1" ht="14.4" customHeight="1">
      <c r="A641" s="822"/>
      <c r="B641" s="804" t="s">
        <v>592</v>
      </c>
      <c r="C641" s="823"/>
      <c r="D641" s="824"/>
      <c r="E641" s="824"/>
      <c r="F641" s="824"/>
      <c r="G641" s="825"/>
      <c r="H641" s="826"/>
      <c r="I641" s="826"/>
      <c r="J641" s="827"/>
      <c r="K641" s="828"/>
      <c r="L641" s="823"/>
      <c r="M641" s="829"/>
      <c r="N641" s="830"/>
      <c r="O641" s="831"/>
      <c r="P641" s="832"/>
      <c r="Q641" s="833"/>
      <c r="R641" s="807">
        <f>$A641*Q641</f>
        <v>0</v>
      </c>
      <c r="S641" s="528"/>
      <c r="T641" s="643">
        <f>$A641*S641*$T$1</f>
        <v>0</v>
      </c>
    </row>
    <row r="642" spans="1:41" s="519" customFormat="1" ht="11.4">
      <c r="A642" s="49"/>
      <c r="B642" s="528"/>
      <c r="C642" s="528"/>
      <c r="D642" s="528"/>
      <c r="E642" s="528"/>
      <c r="F642" s="528"/>
      <c r="G642" s="528"/>
      <c r="H642" s="528"/>
      <c r="I642" s="528"/>
      <c r="J642" s="528"/>
      <c r="K642" s="528"/>
      <c r="L642" s="806"/>
      <c r="M642" s="528"/>
      <c r="N642" s="528"/>
      <c r="O642" s="528"/>
      <c r="P642" s="528"/>
      <c r="Q642" s="528"/>
      <c r="R642" s="807">
        <f>$A642*Q642</f>
        <v>0</v>
      </c>
      <c r="S642" s="528"/>
      <c r="T642" s="643">
        <f>$A642*S642*$T$1</f>
        <v>0</v>
      </c>
    </row>
    <row r="643" spans="1:41" s="519" customFormat="1" ht="13.2">
      <c r="A643" s="49"/>
      <c r="B643" s="528"/>
      <c r="C643" s="528"/>
      <c r="D643" s="3"/>
      <c r="E643" s="528"/>
      <c r="F643" s="528"/>
      <c r="G643" s="528"/>
      <c r="H643" s="528"/>
      <c r="I643" s="528"/>
      <c r="J643" s="528"/>
      <c r="K643" s="528"/>
      <c r="L643" s="806"/>
      <c r="M643" s="528"/>
      <c r="N643" s="528"/>
      <c r="O643" s="528"/>
      <c r="P643" s="528"/>
      <c r="Q643" s="528"/>
      <c r="R643" s="807">
        <f>$A643*Q643</f>
        <v>0</v>
      </c>
      <c r="S643" s="528"/>
      <c r="T643" s="643">
        <f>$A643*S643*$T$1</f>
        <v>0</v>
      </c>
    </row>
    <row r="644" spans="1:41" s="519" customFormat="1" ht="12" customHeight="1">
      <c r="A644" s="835" t="s">
        <v>145</v>
      </c>
      <c r="B644" s="836">
        <f>(R643+T643)</f>
        <v>0</v>
      </c>
      <c r="C644" s="837"/>
      <c r="D644" s="837"/>
      <c r="E644" s="837"/>
      <c r="F644" s="837"/>
      <c r="G644" s="813"/>
      <c r="H644" s="813"/>
      <c r="I644" s="813"/>
      <c r="J644" s="813"/>
      <c r="K644" s="838" t="s">
        <v>5</v>
      </c>
      <c r="L644" s="839" t="s">
        <v>590</v>
      </c>
      <c r="M644" s="813"/>
      <c r="N644" s="813"/>
      <c r="O644" s="813"/>
      <c r="P644" s="813"/>
      <c r="Q644" s="813"/>
      <c r="R644" s="814">
        <f>SUM(R640:R643)</f>
        <v>0</v>
      </c>
      <c r="S644" s="815"/>
      <c r="T644" s="814">
        <f>SUM(T640:T643)</f>
        <v>0</v>
      </c>
      <c r="AG644" s="840">
        <f>ROUND($R644*$S$3,2)</f>
        <v>0</v>
      </c>
    </row>
    <row r="645" spans="1:41" s="519" customFormat="1" ht="12.75" customHeight="1">
      <c r="A645" s="841"/>
      <c r="B645" s="842"/>
      <c r="E645" s="641"/>
      <c r="F645" s="843"/>
      <c r="G645" s="641"/>
      <c r="H645" s="641"/>
      <c r="I645" s="518"/>
      <c r="J645" s="641"/>
      <c r="K645" s="641"/>
      <c r="L645" s="844"/>
      <c r="M645" s="652"/>
      <c r="N645" s="652"/>
      <c r="O645" s="652"/>
      <c r="P645" s="652"/>
      <c r="Q645" s="653"/>
      <c r="R645" s="821"/>
      <c r="S645" s="641"/>
      <c r="T645" s="821"/>
    </row>
    <row r="646" spans="1:41" s="519" customFormat="1" ht="13.5" customHeight="1" thickBot="1">
      <c r="A646" s="845"/>
      <c r="B646" s="846"/>
      <c r="C646" s="529"/>
      <c r="D646" s="529"/>
      <c r="E646" s="646"/>
      <c r="F646" s="647"/>
      <c r="G646" s="646" t="s">
        <v>146</v>
      </c>
      <c r="H646" s="646"/>
      <c r="I646" s="648"/>
      <c r="J646" s="646"/>
      <c r="K646" s="646"/>
      <c r="L646" s="847" t="s">
        <v>143</v>
      </c>
      <c r="M646" s="649"/>
      <c r="N646" s="649"/>
      <c r="O646" s="649"/>
      <c r="P646" s="649"/>
      <c r="Q646" s="650"/>
      <c r="R646" s="848">
        <f ca="1">SUMIF($L633:$L645,"SUBI",R633:R645)</f>
        <v>0</v>
      </c>
      <c r="S646" s="646"/>
      <c r="T646" s="848">
        <f ca="1">SUMIF($L633:$L645,"SUBI",T633:T645)</f>
        <v>0</v>
      </c>
      <c r="U646" s="529"/>
      <c r="V646" s="529"/>
      <c r="W646" s="529"/>
      <c r="X646" s="529"/>
      <c r="Y646" s="529"/>
      <c r="Z646" s="529"/>
      <c r="AA646" s="529"/>
      <c r="AB646" s="529"/>
      <c r="AC646" s="529"/>
      <c r="AD646" s="529"/>
      <c r="AE646" s="529"/>
      <c r="AF646" s="529"/>
      <c r="AG646" s="529"/>
      <c r="AH646" s="529"/>
      <c r="AI646" s="529"/>
      <c r="AJ646" s="529"/>
      <c r="AK646" s="529"/>
      <c r="AL646" s="529"/>
      <c r="AM646" s="529"/>
      <c r="AN646" s="529"/>
      <c r="AO646" s="529"/>
    </row>
    <row r="647" spans="1:41" s="519" customFormat="1" thickTop="1">
      <c r="A647" s="47"/>
      <c r="B647" s="40"/>
      <c r="C647" s="47"/>
      <c r="E647" s="41" t="s">
        <v>138</v>
      </c>
      <c r="F647" s="41" t="s">
        <v>139</v>
      </c>
      <c r="G647" s="47"/>
      <c r="H647" s="47"/>
      <c r="I647" s="47"/>
      <c r="J647" s="47"/>
      <c r="K647" s="47" t="s">
        <v>140</v>
      </c>
      <c r="L647" s="774"/>
      <c r="M647" s="47"/>
      <c r="N647" s="47"/>
      <c r="O647" s="48"/>
      <c r="P647" s="47"/>
      <c r="Q647"/>
      <c r="R647"/>
      <c r="S647"/>
      <c r="T647" s="40"/>
      <c r="AG647" s="627" t="s">
        <v>277</v>
      </c>
      <c r="AH647" s="627" t="s">
        <v>278</v>
      </c>
      <c r="AI647" s="627" t="s">
        <v>279</v>
      </c>
      <c r="AJ647" s="627" t="s">
        <v>280</v>
      </c>
      <c r="AK647" s="627" t="s">
        <v>281</v>
      </c>
      <c r="AM647" s="628" t="s">
        <v>290</v>
      </c>
      <c r="AN647" s="629" t="s">
        <v>291</v>
      </c>
      <c r="AO647" s="520" t="s">
        <v>287</v>
      </c>
    </row>
    <row r="648" spans="1:41" s="519" customFormat="1" ht="13.2">
      <c r="A648" s="630">
        <v>4</v>
      </c>
      <c r="B648" s="521" t="s">
        <v>312</v>
      </c>
      <c r="C648" s="631"/>
      <c r="D648" s="632" t="s">
        <v>354</v>
      </c>
      <c r="E648" s="775">
        <f ca="1">IF(AND($A648=0,$A$1="DIF"),0, ROUND(ROUND(SUMIF($L650:$L656,"SUBI",$E650:$E656)/$A648,2)*$C$12,2))</f>
        <v>0</v>
      </c>
      <c r="F648" s="776">
        <f ca="1">ROUND($A648*$E648,2)</f>
        <v>0</v>
      </c>
      <c r="G648" s="635" t="s">
        <v>142</v>
      </c>
      <c r="H648" s="636"/>
      <c r="I648" s="637"/>
      <c r="J648" s="636"/>
      <c r="K648" s="777"/>
      <c r="L648" s="778" t="s">
        <v>143</v>
      </c>
      <c r="M648" s="638"/>
      <c r="N648" s="638"/>
      <c r="O648" s="638"/>
      <c r="P648" s="638"/>
      <c r="Q648" s="967" t="s">
        <v>802</v>
      </c>
      <c r="R648"/>
      <c r="S648"/>
      <c r="T648" s="779" t="str">
        <f ca="1">IF(AND($R662=0,$T662=0),"0.00","mu :" &amp; ROUND($F648/$C$12/($R662+$T662*$D$9),2))</f>
        <v>0.00</v>
      </c>
      <c r="W648" s="522"/>
      <c r="AG648" s="780">
        <f ca="1">IF(A648=0,0,ROUND(SUM(AG650:AG662)/A648,2))</f>
        <v>0</v>
      </c>
      <c r="AH648" s="780">
        <f ca="1">$AG648*$A648</f>
        <v>0</v>
      </c>
      <c r="AI648" s="780">
        <f ca="1">$E648-$AG648</f>
        <v>0</v>
      </c>
      <c r="AJ648" s="780">
        <f ca="1">$A648*$AI648</f>
        <v>0</v>
      </c>
      <c r="AK648" s="781">
        <f ca="1">ROUND(($AG648+$AI648)*$A648,2)</f>
        <v>0</v>
      </c>
      <c r="AM648" s="525">
        <f ca="1">ROUND(R662,2)</f>
        <v>0</v>
      </c>
      <c r="AN648" s="526">
        <f ca="1">ROUND(T662,2)</f>
        <v>0</v>
      </c>
      <c r="AO648" s="527">
        <f ca="1">ROUND(AM648+AN648,2)*A648</f>
        <v>0</v>
      </c>
    </row>
    <row r="649" spans="1:41" s="519" customFormat="1" ht="19.95" customHeight="1">
      <c r="A649" s="782"/>
      <c r="B649" s="783"/>
      <c r="C649" s="631"/>
      <c r="D649" s="784" t="s">
        <v>650</v>
      </c>
      <c r="F649" s="636"/>
      <c r="G649" s="636"/>
      <c r="H649" s="636"/>
      <c r="I649" s="637"/>
      <c r="J649" s="636"/>
      <c r="K649" s="636" t="s">
        <v>144</v>
      </c>
      <c r="L649" s="785"/>
      <c r="M649" s="636"/>
      <c r="N649" s="636"/>
      <c r="O649" s="636"/>
      <c r="P649" s="636"/>
      <c r="Q649" s="47"/>
      <c r="R649" s="528"/>
      <c r="S649" s="640"/>
      <c r="T649" s="636"/>
    </row>
    <row r="650" spans="1:41" s="519" customFormat="1" ht="12">
      <c r="A650" s="786"/>
      <c r="B650" s="787"/>
      <c r="C650" s="641"/>
      <c r="D650" s="636"/>
      <c r="E650" s="788">
        <f ca="1">F648/$C$12-SUMIF($L647:$L662,"SUBI",$E647:$E662)</f>
        <v>0</v>
      </c>
      <c r="F650" s="789" t="s">
        <v>589</v>
      </c>
      <c r="G650" s="790"/>
      <c r="H650" s="790"/>
      <c r="I650" s="791"/>
      <c r="J650" s="790"/>
      <c r="K650" s="790"/>
      <c r="L650" s="792"/>
      <c r="M650" s="793"/>
      <c r="N650" s="793"/>
      <c r="O650" s="793"/>
      <c r="P650" s="793"/>
      <c r="Q650" s="794"/>
      <c r="R650" s="795"/>
      <c r="S650" s="794"/>
      <c r="T650" s="796"/>
    </row>
    <row r="651" spans="1:41" s="519" customFormat="1" ht="12" customHeight="1">
      <c r="A651" s="797"/>
      <c r="B651" s="798"/>
      <c r="C651" s="799"/>
      <c r="D651" s="799" t="str">
        <f>$F$2</f>
        <v>Electrical</v>
      </c>
      <c r="E651" s="799">
        <f ca="1">ROUND(($R655*$S$2 + ($T655*$T$2)), 2)</f>
        <v>0</v>
      </c>
      <c r="F651" s="800">
        <f ca="1">$E651*$C$12</f>
        <v>0</v>
      </c>
      <c r="G651" s="528"/>
      <c r="H651" s="801"/>
      <c r="I651" s="528"/>
      <c r="J651" s="48"/>
      <c r="K651" s="802" t="s">
        <v>3</v>
      </c>
      <c r="L651" s="803" t="s">
        <v>590</v>
      </c>
      <c r="M651" s="528"/>
      <c r="N651" s="528"/>
      <c r="O651" s="48"/>
      <c r="P651" s="528"/>
      <c r="Q651" s="528"/>
      <c r="R651"/>
      <c r="S651"/>
      <c r="T651"/>
    </row>
    <row r="652" spans="1:41" s="956" customFormat="1" ht="13.2">
      <c r="A652"/>
      <c r="B652" s="948"/>
      <c r="C652" s="948" t="s">
        <v>742</v>
      </c>
      <c r="D652" s="948" t="str">
        <f ca="1">CELL("Address",Elec_Rates!D$100)</f>
        <v>[ELM25_0085_Quintano_Elec_Mech_HVAC_Est_Rev_B.xlsx]Elec_Rates!$D$100</v>
      </c>
      <c r="E652" s="949"/>
      <c r="F652" s="949"/>
      <c r="G652" s="950" t="s">
        <v>743</v>
      </c>
      <c r="H652" s="950"/>
      <c r="I652" s="950"/>
      <c r="J652" s="950"/>
      <c r="K652" s="951"/>
      <c r="L652" s="949"/>
      <c r="M652" s="949"/>
      <c r="N652" s="949"/>
      <c r="O652" s="952"/>
      <c r="P652" s="949"/>
      <c r="Q652" s="953"/>
      <c r="R652" s="954"/>
      <c r="S652" s="953"/>
      <c r="T652" s="943"/>
      <c r="U652" s="955"/>
    </row>
    <row r="653" spans="1:41" s="956" customFormat="1" ht="11.4">
      <c r="A653" s="957">
        <v>0</v>
      </c>
      <c r="B653" s="958">
        <v>1</v>
      </c>
      <c r="C653" s="958">
        <f>$A653*$B653</f>
        <v>0</v>
      </c>
      <c r="D653" s="959" t="str">
        <f>Elec_Rates!$D$100</f>
        <v>001# SFDI adjacent to each damper.</v>
      </c>
      <c r="E653" s="959"/>
      <c r="F653" s="959" t="s">
        <v>744</v>
      </c>
      <c r="G653" s="960" t="s">
        <v>760</v>
      </c>
      <c r="H653" s="960"/>
      <c r="I653" s="960"/>
      <c r="J653" s="960"/>
      <c r="K653" s="961"/>
      <c r="L653" s="955"/>
      <c r="M653" s="955"/>
      <c r="N653" s="955"/>
      <c r="O653" s="962"/>
      <c r="P653" s="959"/>
      <c r="Q653" s="963">
        <f ca="1">$B653*Elec_Rates!$R$100</f>
        <v>330.73</v>
      </c>
      <c r="R653" s="954">
        <f ca="1">$A653*Q653</f>
        <v>0</v>
      </c>
      <c r="S653" s="963">
        <f ca="1">$B653*Elec_Rates!$T$100</f>
        <v>3.37</v>
      </c>
      <c r="T653" s="943">
        <f ca="1">$A653*S653</f>
        <v>0</v>
      </c>
      <c r="U653" s="501"/>
    </row>
    <row r="654" spans="1:41" s="519" customFormat="1" ht="13.95" customHeight="1">
      <c r="A654" s="49"/>
      <c r="B654" s="528"/>
      <c r="C654" s="528"/>
      <c r="D654" s="528"/>
      <c r="E654" s="528"/>
      <c r="F654" s="528"/>
      <c r="G654" s="528"/>
      <c r="H654" s="801"/>
      <c r="I654" s="528"/>
      <c r="J654" s="48"/>
      <c r="K654" s="805"/>
      <c r="L654" s="806"/>
      <c r="M654" s="528"/>
      <c r="N654" s="528"/>
      <c r="O654" s="48"/>
      <c r="P654" s="528"/>
      <c r="Q654" s="528"/>
      <c r="R654" s="807">
        <f>$A654*Q654</f>
        <v>0</v>
      </c>
      <c r="S654" s="528"/>
      <c r="T654" s="643">
        <f>$A654*S654*$T$1</f>
        <v>0</v>
      </c>
    </row>
    <row r="655" spans="1:41" s="519" customFormat="1" ht="12">
      <c r="A655" s="808" t="s">
        <v>145</v>
      </c>
      <c r="B655" s="809">
        <f>(R654+T654)</f>
        <v>0</v>
      </c>
      <c r="C655" s="641"/>
      <c r="G655" s="810"/>
      <c r="H655" s="810"/>
      <c r="I655" s="810"/>
      <c r="J655" s="810"/>
      <c r="K655" s="811" t="s">
        <v>3</v>
      </c>
      <c r="L655" s="812" t="s">
        <v>590</v>
      </c>
      <c r="M655" s="810"/>
      <c r="N655" s="810"/>
      <c r="O655" s="810"/>
      <c r="P655" s="810"/>
      <c r="Q655" s="813"/>
      <c r="R655" s="814">
        <f ca="1">SUM(R651:R654)</f>
        <v>0</v>
      </c>
      <c r="S655" s="815"/>
      <c r="T655" s="814">
        <f ca="1">SUM(T651:T654)</f>
        <v>0</v>
      </c>
      <c r="AG655" s="816">
        <f ca="1">ROUND($R655*$S$2,2)</f>
        <v>0</v>
      </c>
    </row>
    <row r="656" spans="1:41" s="519" customFormat="1" ht="12" customHeight="1">
      <c r="A656" s="817"/>
      <c r="B656" s="818"/>
      <c r="C656" s="819"/>
      <c r="D656" s="819" t="str">
        <f>$F$3</f>
        <v>ECA</v>
      </c>
      <c r="E656" s="819">
        <f>ROUND(($R660*$S$3 + ($T660*$T$3)), 2)</f>
        <v>0</v>
      </c>
      <c r="F656" s="820">
        <f ca="1">$F648-SUMIF($L650:$P653,"SUBI",$F650:$F653)</f>
        <v>0</v>
      </c>
      <c r="G656" s="518"/>
      <c r="H656" s="518"/>
      <c r="I656" s="518"/>
      <c r="J656" s="518"/>
      <c r="K656" s="802" t="s">
        <v>5</v>
      </c>
      <c r="L656" s="803" t="s">
        <v>590</v>
      </c>
      <c r="M656" s="518"/>
      <c r="N656" s="518"/>
      <c r="O656" s="518"/>
      <c r="P656" s="518"/>
      <c r="Q656" s="518"/>
      <c r="R656" s="821"/>
      <c r="S656" s="518"/>
      <c r="T656" s="821"/>
    </row>
    <row r="657" spans="1:41" s="834" customFormat="1" ht="14.4" customHeight="1">
      <c r="A657" s="822"/>
      <c r="B657" s="804" t="s">
        <v>592</v>
      </c>
      <c r="C657" s="823"/>
      <c r="D657" s="824"/>
      <c r="E657" s="824"/>
      <c r="F657" s="824"/>
      <c r="G657" s="825"/>
      <c r="H657" s="826"/>
      <c r="I657" s="826"/>
      <c r="J657" s="827"/>
      <c r="K657" s="828"/>
      <c r="L657" s="823"/>
      <c r="M657" s="829"/>
      <c r="N657" s="830"/>
      <c r="O657" s="831"/>
      <c r="P657" s="832"/>
      <c r="Q657" s="833"/>
      <c r="R657" s="807">
        <f>$A657*Q657</f>
        <v>0</v>
      </c>
      <c r="S657" s="528"/>
      <c r="T657" s="643">
        <f>$A657*S657*$T$1</f>
        <v>0</v>
      </c>
    </row>
    <row r="658" spans="1:41" s="519" customFormat="1" ht="11.4">
      <c r="A658" s="49"/>
      <c r="B658" s="528"/>
      <c r="C658" s="528"/>
      <c r="D658" s="528"/>
      <c r="E658" s="528"/>
      <c r="F658" s="528"/>
      <c r="G658" s="528"/>
      <c r="H658" s="528"/>
      <c r="I658" s="528"/>
      <c r="J658" s="528"/>
      <c r="K658" s="528"/>
      <c r="L658" s="806"/>
      <c r="M658" s="528"/>
      <c r="N658" s="528"/>
      <c r="O658" s="528"/>
      <c r="P658" s="528"/>
      <c r="Q658" s="528"/>
      <c r="R658" s="807">
        <f>$A658*Q658</f>
        <v>0</v>
      </c>
      <c r="S658" s="528"/>
      <c r="T658" s="643">
        <f>$A658*S658*$T$1</f>
        <v>0</v>
      </c>
    </row>
    <row r="659" spans="1:41" s="519" customFormat="1" ht="13.2">
      <c r="A659" s="49"/>
      <c r="B659" s="528"/>
      <c r="C659" s="528"/>
      <c r="D659" s="3"/>
      <c r="E659" s="528"/>
      <c r="F659" s="528"/>
      <c r="G659" s="528"/>
      <c r="H659" s="528"/>
      <c r="I659" s="528"/>
      <c r="J659" s="528"/>
      <c r="K659" s="528"/>
      <c r="L659" s="806"/>
      <c r="M659" s="528"/>
      <c r="N659" s="528"/>
      <c r="O659" s="528"/>
      <c r="P659" s="528"/>
      <c r="Q659" s="528"/>
      <c r="R659" s="807">
        <f>$A659*Q659</f>
        <v>0</v>
      </c>
      <c r="S659" s="528"/>
      <c r="T659" s="643">
        <f>$A659*S659*$T$1</f>
        <v>0</v>
      </c>
    </row>
    <row r="660" spans="1:41" s="519" customFormat="1" ht="12" customHeight="1">
      <c r="A660" s="835" t="s">
        <v>145</v>
      </c>
      <c r="B660" s="836">
        <f>(R659+T659)</f>
        <v>0</v>
      </c>
      <c r="C660" s="837"/>
      <c r="D660" s="837"/>
      <c r="E660" s="837"/>
      <c r="F660" s="837"/>
      <c r="G660" s="813"/>
      <c r="H660" s="813"/>
      <c r="I660" s="813"/>
      <c r="J660" s="813"/>
      <c r="K660" s="838" t="s">
        <v>5</v>
      </c>
      <c r="L660" s="839" t="s">
        <v>590</v>
      </c>
      <c r="M660" s="813"/>
      <c r="N660" s="813"/>
      <c r="O660" s="813"/>
      <c r="P660" s="813"/>
      <c r="Q660" s="813"/>
      <c r="R660" s="814">
        <f>SUM(R656:R659)</f>
        <v>0</v>
      </c>
      <c r="S660" s="815"/>
      <c r="T660" s="814">
        <f>SUM(T656:T659)</f>
        <v>0</v>
      </c>
      <c r="AG660" s="840">
        <f>ROUND($R660*$S$3,2)</f>
        <v>0</v>
      </c>
    </row>
    <row r="661" spans="1:41" s="519" customFormat="1" ht="12.75" customHeight="1">
      <c r="A661" s="841"/>
      <c r="B661" s="842"/>
      <c r="E661" s="641"/>
      <c r="F661" s="843"/>
      <c r="G661" s="641"/>
      <c r="H661" s="641"/>
      <c r="I661" s="518"/>
      <c r="J661" s="641"/>
      <c r="K661" s="641"/>
      <c r="L661" s="844"/>
      <c r="M661" s="652"/>
      <c r="N661" s="652"/>
      <c r="O661" s="652"/>
      <c r="P661" s="652"/>
      <c r="Q661" s="653"/>
      <c r="R661" s="821"/>
      <c r="S661" s="641"/>
      <c r="T661" s="821"/>
    </row>
    <row r="662" spans="1:41" s="519" customFormat="1" ht="13.5" customHeight="1" thickBot="1">
      <c r="A662" s="845"/>
      <c r="B662" s="846"/>
      <c r="C662" s="529"/>
      <c r="D662" s="529"/>
      <c r="E662" s="646"/>
      <c r="F662" s="647"/>
      <c r="G662" s="646" t="s">
        <v>146</v>
      </c>
      <c r="H662" s="646"/>
      <c r="I662" s="648"/>
      <c r="J662" s="646"/>
      <c r="K662" s="646"/>
      <c r="L662" s="847" t="s">
        <v>143</v>
      </c>
      <c r="M662" s="649"/>
      <c r="N662" s="649"/>
      <c r="O662" s="649"/>
      <c r="P662" s="649"/>
      <c r="Q662" s="650"/>
      <c r="R662" s="848">
        <f ca="1">SUMIF($L649:$L661,"SUBI",R649:R661)</f>
        <v>0</v>
      </c>
      <c r="S662" s="646"/>
      <c r="T662" s="848">
        <f ca="1">SUMIF($L649:$L661,"SUBI",T649:T661)</f>
        <v>0</v>
      </c>
      <c r="U662" s="529"/>
      <c r="V662" s="529"/>
      <c r="W662" s="529"/>
      <c r="X662" s="529"/>
      <c r="Y662" s="529"/>
      <c r="Z662" s="529"/>
      <c r="AA662" s="529"/>
      <c r="AB662" s="529"/>
      <c r="AC662" s="529"/>
      <c r="AD662" s="529"/>
      <c r="AE662" s="529"/>
      <c r="AF662" s="529"/>
      <c r="AG662" s="529"/>
      <c r="AH662" s="529"/>
      <c r="AI662" s="529"/>
      <c r="AJ662" s="529"/>
      <c r="AK662" s="529"/>
      <c r="AL662" s="529"/>
      <c r="AM662" s="529"/>
      <c r="AN662" s="529"/>
      <c r="AO662" s="529"/>
    </row>
    <row r="663" spans="1:41" s="519" customFormat="1" thickTop="1">
      <c r="A663" s="47"/>
      <c r="B663" s="40"/>
      <c r="C663" s="47"/>
      <c r="E663" s="41" t="s">
        <v>138</v>
      </c>
      <c r="F663" s="41" t="s">
        <v>139</v>
      </c>
      <c r="G663" s="47"/>
      <c r="H663" s="47"/>
      <c r="I663" s="47"/>
      <c r="J663" s="47"/>
      <c r="K663" s="47" t="s">
        <v>140</v>
      </c>
      <c r="L663" s="774"/>
      <c r="M663" s="47"/>
      <c r="N663" s="47"/>
      <c r="O663" s="48"/>
      <c r="P663" s="47"/>
      <c r="Q663"/>
      <c r="R663"/>
      <c r="S663"/>
      <c r="T663" s="40"/>
      <c r="AG663" s="627" t="s">
        <v>277</v>
      </c>
      <c r="AH663" s="627" t="s">
        <v>278</v>
      </c>
      <c r="AI663" s="627" t="s">
        <v>279</v>
      </c>
      <c r="AJ663" s="627" t="s">
        <v>280</v>
      </c>
      <c r="AK663" s="627" t="s">
        <v>281</v>
      </c>
      <c r="AM663" s="628" t="s">
        <v>290</v>
      </c>
      <c r="AN663" s="629" t="s">
        <v>291</v>
      </c>
      <c r="AO663" s="520" t="s">
        <v>287</v>
      </c>
    </row>
    <row r="664" spans="1:41" s="519" customFormat="1" ht="13.2">
      <c r="A664" s="630">
        <v>1</v>
      </c>
      <c r="B664" s="521" t="s">
        <v>312</v>
      </c>
      <c r="C664" s="631"/>
      <c r="D664" s="632" t="s">
        <v>355</v>
      </c>
      <c r="E664" s="775">
        <f ca="1">IF(AND($A664=0,$A$1="DIF"),0, ROUND(ROUND(SUMIF($L666:$L672,"SUBI",$E666:$E672)/$A664,2)*$C$12,2))</f>
        <v>0</v>
      </c>
      <c r="F664" s="776">
        <f ca="1">ROUND($A664*$E664,2)</f>
        <v>0</v>
      </c>
      <c r="G664" s="635" t="s">
        <v>142</v>
      </c>
      <c r="H664" s="636"/>
      <c r="I664" s="637"/>
      <c r="J664" s="636"/>
      <c r="K664" s="777"/>
      <c r="L664" s="778" t="s">
        <v>143</v>
      </c>
      <c r="M664" s="638"/>
      <c r="N664" s="638"/>
      <c r="O664" s="638"/>
      <c r="P664" s="638"/>
      <c r="Q664" s="967" t="s">
        <v>802</v>
      </c>
      <c r="R664"/>
      <c r="S664"/>
      <c r="T664" s="779" t="str">
        <f ca="1">IF(AND($R678=0,$T678=0),"0.00","mu :" &amp; ROUND($F664/$C$12/($R678+$T678*$D$9),2))</f>
        <v>0.00</v>
      </c>
      <c r="W664" s="522"/>
      <c r="AG664" s="780">
        <f ca="1">IF(A664=0,0,ROUND(SUM(AG666:AG678)/A664,2))</f>
        <v>0</v>
      </c>
      <c r="AH664" s="780">
        <f ca="1">$AG664*$A664</f>
        <v>0</v>
      </c>
      <c r="AI664" s="780">
        <f ca="1">$E664-$AG664</f>
        <v>0</v>
      </c>
      <c r="AJ664" s="780">
        <f ca="1">$A664*$AI664</f>
        <v>0</v>
      </c>
      <c r="AK664" s="781">
        <f ca="1">ROUND(($AG664+$AI664)*$A664,2)</f>
        <v>0</v>
      </c>
      <c r="AM664" s="525">
        <f ca="1">ROUND(R678,2)</f>
        <v>0</v>
      </c>
      <c r="AN664" s="526">
        <f ca="1">ROUND(T678,2)</f>
        <v>0</v>
      </c>
      <c r="AO664" s="527">
        <f ca="1">ROUND(AM664+AN664,2)*A664</f>
        <v>0</v>
      </c>
    </row>
    <row r="665" spans="1:41" s="519" customFormat="1" ht="19.95" customHeight="1">
      <c r="A665" s="782"/>
      <c r="B665" s="783"/>
      <c r="C665" s="631"/>
      <c r="D665" s="784" t="s">
        <v>651</v>
      </c>
      <c r="F665" s="636"/>
      <c r="G665" s="636"/>
      <c r="H665" s="636"/>
      <c r="I665" s="637"/>
      <c r="J665" s="636"/>
      <c r="K665" s="636" t="s">
        <v>144</v>
      </c>
      <c r="L665" s="785"/>
      <c r="M665" s="636"/>
      <c r="N665" s="636"/>
      <c r="O665" s="636"/>
      <c r="P665" s="636"/>
      <c r="Q665" s="47"/>
      <c r="R665" s="528"/>
      <c r="S665" s="640"/>
      <c r="T665" s="636"/>
    </row>
    <row r="666" spans="1:41" s="519" customFormat="1" ht="12">
      <c r="A666" s="786"/>
      <c r="B666" s="787"/>
      <c r="C666" s="641"/>
      <c r="D666" s="636"/>
      <c r="E666" s="788">
        <f ca="1">F664/$C$12-SUMIF($L663:$L678,"SUBI",$E663:$E678)</f>
        <v>0</v>
      </c>
      <c r="F666" s="789" t="s">
        <v>589</v>
      </c>
      <c r="G666" s="790"/>
      <c r="H666" s="790"/>
      <c r="I666" s="791"/>
      <c r="J666" s="790"/>
      <c r="K666" s="790"/>
      <c r="L666" s="792"/>
      <c r="M666" s="793"/>
      <c r="N666" s="793"/>
      <c r="O666" s="793"/>
      <c r="P666" s="793"/>
      <c r="Q666" s="794"/>
      <c r="R666" s="795"/>
      <c r="S666" s="794"/>
      <c r="T666" s="796"/>
    </row>
    <row r="667" spans="1:41" s="519" customFormat="1" ht="12" customHeight="1">
      <c r="A667" s="797"/>
      <c r="B667" s="798"/>
      <c r="C667" s="799"/>
      <c r="D667" s="799" t="str">
        <f>$F$2</f>
        <v>Electrical</v>
      </c>
      <c r="E667" s="799">
        <f ca="1">ROUND(($R671*$S$2 + ($T671*$T$2)), 2)</f>
        <v>0</v>
      </c>
      <c r="F667" s="800">
        <f ca="1">$E667*$C$12</f>
        <v>0</v>
      </c>
      <c r="G667" s="528"/>
      <c r="H667" s="801"/>
      <c r="I667" s="528"/>
      <c r="J667" s="48"/>
      <c r="K667" s="802" t="s">
        <v>3</v>
      </c>
      <c r="L667" s="803" t="s">
        <v>590</v>
      </c>
      <c r="M667" s="528"/>
      <c r="N667" s="528"/>
      <c r="O667" s="48"/>
      <c r="P667" s="528"/>
      <c r="Q667" s="528"/>
      <c r="R667"/>
      <c r="S667"/>
      <c r="T667"/>
    </row>
    <row r="668" spans="1:41" s="956" customFormat="1" ht="13.2">
      <c r="A668"/>
      <c r="B668" s="948"/>
      <c r="C668" s="948" t="s">
        <v>742</v>
      </c>
      <c r="D668" s="948" t="str">
        <f ca="1">CELL("Address",Elec_Rates!D$100)</f>
        <v>[ELM25_0085_Quintano_Elec_Mech_HVAC_Est_Rev_B.xlsx]Elec_Rates!$D$100</v>
      </c>
      <c r="E668" s="949"/>
      <c r="F668" s="949"/>
      <c r="G668" s="950" t="s">
        <v>743</v>
      </c>
      <c r="H668" s="950"/>
      <c r="I668" s="950"/>
      <c r="J668" s="950"/>
      <c r="K668" s="951"/>
      <c r="L668" s="949"/>
      <c r="M668" s="949"/>
      <c r="N668" s="949"/>
      <c r="O668" s="952"/>
      <c r="P668" s="949"/>
      <c r="Q668" s="953"/>
      <c r="R668" s="954"/>
      <c r="S668" s="953"/>
      <c r="T668" s="943"/>
      <c r="U668" s="955"/>
    </row>
    <row r="669" spans="1:41" s="956" customFormat="1" ht="11.4">
      <c r="A669" s="957">
        <v>0</v>
      </c>
      <c r="B669" s="958">
        <v>1</v>
      </c>
      <c r="C669" s="958">
        <f>$A669*$B669</f>
        <v>0</v>
      </c>
      <c r="D669" s="959" t="str">
        <f>Elec_Rates!$D$100</f>
        <v>001# SFDI adjacent to each damper.</v>
      </c>
      <c r="E669" s="959"/>
      <c r="F669" s="959" t="s">
        <v>744</v>
      </c>
      <c r="G669" s="960" t="s">
        <v>760</v>
      </c>
      <c r="H669" s="960"/>
      <c r="I669" s="960"/>
      <c r="J669" s="960"/>
      <c r="K669" s="961"/>
      <c r="L669" s="955"/>
      <c r="M669" s="955"/>
      <c r="N669" s="955"/>
      <c r="O669" s="962"/>
      <c r="P669" s="959"/>
      <c r="Q669" s="963">
        <f ca="1">$B669*Elec_Rates!$R$100</f>
        <v>330.73</v>
      </c>
      <c r="R669" s="954">
        <f ca="1">$A669*Q669</f>
        <v>0</v>
      </c>
      <c r="S669" s="963">
        <f ca="1">$B669*Elec_Rates!$T$100</f>
        <v>3.37</v>
      </c>
      <c r="T669" s="943">
        <f ca="1">$A669*S669</f>
        <v>0</v>
      </c>
      <c r="U669" s="501"/>
    </row>
    <row r="670" spans="1:41" s="519" customFormat="1" ht="13.95" customHeight="1">
      <c r="A670" s="49"/>
      <c r="B670" s="528"/>
      <c r="C670" s="528"/>
      <c r="D670" s="528"/>
      <c r="E670" s="528"/>
      <c r="F670" s="528"/>
      <c r="G670" s="528"/>
      <c r="H670" s="801"/>
      <c r="I670" s="528"/>
      <c r="J670" s="48"/>
      <c r="K670" s="805"/>
      <c r="L670" s="806"/>
      <c r="M670" s="528"/>
      <c r="N670" s="528"/>
      <c r="O670" s="48"/>
      <c r="P670" s="528"/>
      <c r="Q670" s="528"/>
      <c r="R670" s="807">
        <f>$A670*Q670</f>
        <v>0</v>
      </c>
      <c r="S670" s="528"/>
      <c r="T670" s="643">
        <f>$A670*S670*$T$1</f>
        <v>0</v>
      </c>
    </row>
    <row r="671" spans="1:41" s="519" customFormat="1" ht="12">
      <c r="A671" s="808" t="s">
        <v>145</v>
      </c>
      <c r="B671" s="809">
        <f>(R670+T670)</f>
        <v>0</v>
      </c>
      <c r="C671" s="641"/>
      <c r="G671" s="810"/>
      <c r="H671" s="810"/>
      <c r="I671" s="810"/>
      <c r="J671" s="810"/>
      <c r="K671" s="811" t="s">
        <v>3</v>
      </c>
      <c r="L671" s="812" t="s">
        <v>590</v>
      </c>
      <c r="M671" s="810"/>
      <c r="N671" s="810"/>
      <c r="O671" s="810"/>
      <c r="P671" s="810"/>
      <c r="Q671" s="813"/>
      <c r="R671" s="814">
        <f ca="1">SUM(R667:R670)</f>
        <v>0</v>
      </c>
      <c r="S671" s="815"/>
      <c r="T671" s="814">
        <f ca="1">SUM(T667:T670)</f>
        <v>0</v>
      </c>
      <c r="AG671" s="816">
        <f ca="1">ROUND($R671*$S$2,2)</f>
        <v>0</v>
      </c>
    </row>
    <row r="672" spans="1:41" s="519" customFormat="1" ht="12" customHeight="1">
      <c r="A672" s="817"/>
      <c r="B672" s="818"/>
      <c r="C672" s="819"/>
      <c r="D672" s="819" t="str">
        <f>$F$3</f>
        <v>ECA</v>
      </c>
      <c r="E672" s="819">
        <f>ROUND(($R676*$S$3 + ($T676*$T$3)), 2)</f>
        <v>0</v>
      </c>
      <c r="F672" s="820">
        <f ca="1">$F664-SUMIF($L666:$P669,"SUBI",$F666:$F669)</f>
        <v>0</v>
      </c>
      <c r="G672" s="518"/>
      <c r="H672" s="518"/>
      <c r="I672" s="518"/>
      <c r="J672" s="518"/>
      <c r="K672" s="802" t="s">
        <v>5</v>
      </c>
      <c r="L672" s="803" t="s">
        <v>590</v>
      </c>
      <c r="M672" s="518"/>
      <c r="N672" s="518"/>
      <c r="O672" s="518"/>
      <c r="P672" s="518"/>
      <c r="Q672" s="518"/>
      <c r="R672" s="821"/>
      <c r="S672" s="518"/>
      <c r="T672" s="821"/>
    </row>
    <row r="673" spans="1:41" s="834" customFormat="1" ht="14.4" customHeight="1">
      <c r="A673" s="822"/>
      <c r="B673" s="804" t="s">
        <v>592</v>
      </c>
      <c r="C673" s="823"/>
      <c r="D673" s="824"/>
      <c r="E673" s="824"/>
      <c r="F673" s="824"/>
      <c r="G673" s="825"/>
      <c r="H673" s="826"/>
      <c r="I673" s="826"/>
      <c r="J673" s="827"/>
      <c r="K673" s="828"/>
      <c r="L673" s="823"/>
      <c r="M673" s="829"/>
      <c r="N673" s="830"/>
      <c r="O673" s="831"/>
      <c r="P673" s="832"/>
      <c r="Q673" s="833"/>
      <c r="R673" s="807">
        <f>$A673*Q673</f>
        <v>0</v>
      </c>
      <c r="S673" s="528"/>
      <c r="T673" s="643">
        <f>$A673*S673*$T$1</f>
        <v>0</v>
      </c>
    </row>
    <row r="674" spans="1:41" s="519" customFormat="1" ht="11.4">
      <c r="A674" s="49"/>
      <c r="B674" s="528"/>
      <c r="C674" s="528"/>
      <c r="D674" s="528"/>
      <c r="E674" s="528"/>
      <c r="F674" s="528"/>
      <c r="G674" s="528"/>
      <c r="H674" s="528"/>
      <c r="I674" s="528"/>
      <c r="J674" s="528"/>
      <c r="K674" s="528"/>
      <c r="L674" s="806"/>
      <c r="M674" s="528"/>
      <c r="N674" s="528"/>
      <c r="O674" s="528"/>
      <c r="P674" s="528"/>
      <c r="Q674" s="528"/>
      <c r="R674" s="807">
        <f>$A674*Q674</f>
        <v>0</v>
      </c>
      <c r="S674" s="528"/>
      <c r="T674" s="643">
        <f>$A674*S674*$T$1</f>
        <v>0</v>
      </c>
    </row>
    <row r="675" spans="1:41" s="519" customFormat="1" ht="13.2">
      <c r="A675" s="49"/>
      <c r="B675" s="528"/>
      <c r="C675" s="528"/>
      <c r="D675" s="3"/>
      <c r="E675" s="528"/>
      <c r="F675" s="528"/>
      <c r="G675" s="528"/>
      <c r="H675" s="528"/>
      <c r="I675" s="528"/>
      <c r="J675" s="528"/>
      <c r="K675" s="528"/>
      <c r="L675" s="806"/>
      <c r="M675" s="528"/>
      <c r="N675" s="528"/>
      <c r="O675" s="528"/>
      <c r="P675" s="528"/>
      <c r="Q675" s="528"/>
      <c r="R675" s="807">
        <f>$A675*Q675</f>
        <v>0</v>
      </c>
      <c r="S675" s="528"/>
      <c r="T675" s="643">
        <f>$A675*S675*$T$1</f>
        <v>0</v>
      </c>
    </row>
    <row r="676" spans="1:41" s="519" customFormat="1" ht="12" customHeight="1">
      <c r="A676" s="835" t="s">
        <v>145</v>
      </c>
      <c r="B676" s="836">
        <f>(R675+T675)</f>
        <v>0</v>
      </c>
      <c r="C676" s="837"/>
      <c r="D676" s="837"/>
      <c r="E676" s="837"/>
      <c r="F676" s="837"/>
      <c r="G676" s="813"/>
      <c r="H676" s="813"/>
      <c r="I676" s="813"/>
      <c r="J676" s="813"/>
      <c r="K676" s="838" t="s">
        <v>5</v>
      </c>
      <c r="L676" s="839" t="s">
        <v>590</v>
      </c>
      <c r="M676" s="813"/>
      <c r="N676" s="813"/>
      <c r="O676" s="813"/>
      <c r="P676" s="813"/>
      <c r="Q676" s="813"/>
      <c r="R676" s="814">
        <f>SUM(R672:R675)</f>
        <v>0</v>
      </c>
      <c r="S676" s="815"/>
      <c r="T676" s="814">
        <f>SUM(T672:T675)</f>
        <v>0</v>
      </c>
      <c r="AG676" s="840">
        <f>ROUND($R676*$S$3,2)</f>
        <v>0</v>
      </c>
    </row>
    <row r="677" spans="1:41" s="519" customFormat="1" ht="12.75" customHeight="1">
      <c r="A677" s="841"/>
      <c r="B677" s="842"/>
      <c r="E677" s="641"/>
      <c r="F677" s="843"/>
      <c r="G677" s="641"/>
      <c r="H677" s="641"/>
      <c r="I677" s="518"/>
      <c r="J677" s="641"/>
      <c r="K677" s="641"/>
      <c r="L677" s="844"/>
      <c r="M677" s="652"/>
      <c r="N677" s="652"/>
      <c r="O677" s="652"/>
      <c r="P677" s="652"/>
      <c r="Q677" s="653"/>
      <c r="R677" s="821"/>
      <c r="S677" s="641"/>
      <c r="T677" s="821"/>
    </row>
    <row r="678" spans="1:41" s="519" customFormat="1" ht="13.5" customHeight="1" thickBot="1">
      <c r="A678" s="845"/>
      <c r="B678" s="846"/>
      <c r="C678" s="529"/>
      <c r="D678" s="529"/>
      <c r="E678" s="646"/>
      <c r="F678" s="647"/>
      <c r="G678" s="646" t="s">
        <v>146</v>
      </c>
      <c r="H678" s="646"/>
      <c r="I678" s="648"/>
      <c r="J678" s="646"/>
      <c r="K678" s="646"/>
      <c r="L678" s="847" t="s">
        <v>143</v>
      </c>
      <c r="M678" s="649"/>
      <c r="N678" s="649"/>
      <c r="O678" s="649"/>
      <c r="P678" s="649"/>
      <c r="Q678" s="650"/>
      <c r="R678" s="848">
        <f ca="1">SUMIF($L665:$L677,"SUBI",R665:R677)</f>
        <v>0</v>
      </c>
      <c r="S678" s="646"/>
      <c r="T678" s="848">
        <f ca="1">SUMIF($L665:$L677,"SUBI",T665:T677)</f>
        <v>0</v>
      </c>
      <c r="U678" s="529"/>
      <c r="V678" s="529"/>
      <c r="W678" s="529"/>
      <c r="X678" s="529"/>
      <c r="Y678" s="529"/>
      <c r="Z678" s="529"/>
      <c r="AA678" s="529"/>
      <c r="AB678" s="529"/>
      <c r="AC678" s="529"/>
      <c r="AD678" s="529"/>
      <c r="AE678" s="529"/>
      <c r="AF678" s="529"/>
      <c r="AG678" s="529"/>
      <c r="AH678" s="529"/>
      <c r="AI678" s="529"/>
      <c r="AJ678" s="529"/>
      <c r="AK678" s="529"/>
      <c r="AL678" s="529"/>
      <c r="AM678" s="529"/>
      <c r="AN678" s="529"/>
      <c r="AO678" s="529"/>
    </row>
    <row r="679" spans="1:41" s="519" customFormat="1" thickTop="1">
      <c r="A679" s="47"/>
      <c r="B679" s="47"/>
      <c r="C679" s="3"/>
      <c r="D679" s="3"/>
      <c r="E679" s="47"/>
      <c r="F679" s="47"/>
      <c r="G679" s="47"/>
      <c r="H679" s="47"/>
      <c r="I679" s="47"/>
      <c r="J679" s="47"/>
      <c r="K679" s="47" t="s">
        <v>134</v>
      </c>
      <c r="L679" s="47"/>
      <c r="M679" s="47"/>
      <c r="N679" s="47"/>
      <c r="O679" s="48"/>
      <c r="P679" s="47"/>
      <c r="Q679" s="47"/>
      <c r="R679" s="47"/>
      <c r="S679" s="47"/>
      <c r="T679" s="47"/>
    </row>
    <row r="680" spans="1:41" s="519" customFormat="1" ht="12">
      <c r="A680" s="47"/>
      <c r="B680" s="47"/>
      <c r="C680" s="47" t="s">
        <v>135</v>
      </c>
      <c r="D680" s="36"/>
      <c r="E680" s="47"/>
      <c r="F680" s="47"/>
      <c r="G680" s="47"/>
      <c r="H680" s="47"/>
      <c r="I680" s="47"/>
      <c r="J680" s="47"/>
      <c r="K680" s="47"/>
      <c r="L680" s="47"/>
      <c r="M680" s="47"/>
      <c r="N680" s="47"/>
      <c r="O680" s="48"/>
      <c r="P680" s="47"/>
      <c r="Q680" s="47"/>
      <c r="R680" s="47"/>
      <c r="S680" s="47"/>
      <c r="T680" s="47"/>
    </row>
    <row r="681" spans="1:41" s="519" customFormat="1" ht="39.9" customHeight="1">
      <c r="A681" s="47"/>
      <c r="B681" s="47"/>
      <c r="C681" s="47"/>
      <c r="D681" s="979" t="s">
        <v>428</v>
      </c>
      <c r="E681" s="980"/>
      <c r="F681" s="980"/>
      <c r="G681" s="980"/>
      <c r="H681" s="980"/>
      <c r="I681" s="980"/>
      <c r="J681" s="980"/>
      <c r="K681" s="980"/>
      <c r="L681" s="980"/>
      <c r="M681" s="980"/>
      <c r="N681" s="980"/>
      <c r="O681" s="980"/>
      <c r="P681" s="980"/>
      <c r="Q681" s="980"/>
      <c r="R681" s="980"/>
      <c r="S681" s="980"/>
      <c r="T681" s="980"/>
    </row>
    <row r="682" spans="1:41" s="3" customFormat="1" thickBot="1">
      <c r="A682" s="529"/>
      <c r="O682" s="99"/>
    </row>
    <row r="683" spans="1:41" s="519" customFormat="1" thickTop="1">
      <c r="A683" s="47"/>
      <c r="B683" s="40"/>
      <c r="C683" s="47"/>
      <c r="E683" s="41" t="s">
        <v>138</v>
      </c>
      <c r="F683" s="41" t="s">
        <v>139</v>
      </c>
      <c r="G683" s="47"/>
      <c r="H683" s="47"/>
      <c r="I683" s="47"/>
      <c r="J683" s="47"/>
      <c r="K683" s="47" t="s">
        <v>140</v>
      </c>
      <c r="L683" s="774"/>
      <c r="M683" s="47"/>
      <c r="N683" s="47"/>
      <c r="O683" s="48"/>
      <c r="P683" s="47"/>
      <c r="Q683"/>
      <c r="R683"/>
      <c r="S683"/>
      <c r="T683" s="40"/>
      <c r="AG683" s="627" t="s">
        <v>277</v>
      </c>
      <c r="AH683" s="627" t="s">
        <v>278</v>
      </c>
      <c r="AI683" s="627" t="s">
        <v>279</v>
      </c>
      <c r="AJ683" s="627" t="s">
        <v>280</v>
      </c>
      <c r="AK683" s="627" t="s">
        <v>281</v>
      </c>
      <c r="AM683" s="628" t="s">
        <v>290</v>
      </c>
      <c r="AN683" s="629" t="s">
        <v>291</v>
      </c>
      <c r="AO683" s="520" t="s">
        <v>287</v>
      </c>
    </row>
    <row r="684" spans="1:41" s="519" customFormat="1" ht="13.2">
      <c r="A684" s="630">
        <v>1</v>
      </c>
      <c r="B684" s="521" t="s">
        <v>312</v>
      </c>
      <c r="C684" s="631"/>
      <c r="D684" s="632" t="s">
        <v>652</v>
      </c>
      <c r="E684" s="775">
        <f ca="1">IF(AND($A684=0,$A$1="DIF"),0, ROUND(ROUND(SUMIF($L686:$L692,"SUBI",$E686:$E692)/$A684,2)*$C$12,2))</f>
        <v>0</v>
      </c>
      <c r="F684" s="776">
        <f ca="1">ROUND($A684*$E684,2)</f>
        <v>0</v>
      </c>
      <c r="G684" s="635" t="s">
        <v>142</v>
      </c>
      <c r="H684" s="636"/>
      <c r="I684" s="637"/>
      <c r="J684" s="636"/>
      <c r="K684" s="777"/>
      <c r="L684" s="778" t="s">
        <v>143</v>
      </c>
      <c r="M684" s="638"/>
      <c r="N684" s="638"/>
      <c r="O684" s="638"/>
      <c r="P684" s="638"/>
      <c r="Q684" s="967" t="s">
        <v>802</v>
      </c>
      <c r="R684"/>
      <c r="S684"/>
      <c r="T684" s="779" t="str">
        <f ca="1">IF(AND($R698=0,$T698=0),"0.00","mu :" &amp; ROUND($F684/$C$12/($R698+$T698*$D$9),2))</f>
        <v>0.00</v>
      </c>
      <c r="W684" s="522"/>
      <c r="AG684" s="780">
        <f ca="1">IF(A684=0,0,ROUND(SUM(AG686:AG698)/A684,2))</f>
        <v>0</v>
      </c>
      <c r="AH684" s="780">
        <f ca="1">$AG684*$A684</f>
        <v>0</v>
      </c>
      <c r="AI684" s="780">
        <f ca="1">$E684-$AG684</f>
        <v>0</v>
      </c>
      <c r="AJ684" s="780">
        <f ca="1">$A684*$AI684</f>
        <v>0</v>
      </c>
      <c r="AK684" s="781">
        <f ca="1">ROUND(($AG684+$AI684)*$A684,2)</f>
        <v>0</v>
      </c>
      <c r="AM684" s="525">
        <f ca="1">ROUND(R698,2)</f>
        <v>0</v>
      </c>
      <c r="AN684" s="526">
        <f ca="1">ROUND(T698,2)</f>
        <v>0</v>
      </c>
      <c r="AO684" s="527">
        <f ca="1">ROUND(AM684+AN684,2)*A684</f>
        <v>0</v>
      </c>
    </row>
    <row r="685" spans="1:41" s="519" customFormat="1" ht="19.95" customHeight="1">
      <c r="A685" s="782"/>
      <c r="B685" s="783"/>
      <c r="C685" s="631"/>
      <c r="D685" s="784" t="s">
        <v>648</v>
      </c>
      <c r="F685" s="636"/>
      <c r="G685" s="636"/>
      <c r="H685" s="636"/>
      <c r="I685" s="637"/>
      <c r="J685" s="636"/>
      <c r="K685" s="636" t="s">
        <v>144</v>
      </c>
      <c r="L685" s="785"/>
      <c r="M685" s="636"/>
      <c r="N685" s="636"/>
      <c r="O685" s="636"/>
      <c r="P685" s="636"/>
      <c r="Q685" s="47"/>
      <c r="R685" s="528"/>
      <c r="S685" s="640"/>
      <c r="T685" s="636"/>
    </row>
    <row r="686" spans="1:41" s="519" customFormat="1" ht="12">
      <c r="A686" s="786"/>
      <c r="B686" s="787"/>
      <c r="C686" s="641"/>
      <c r="D686" s="636"/>
      <c r="E686" s="788">
        <f ca="1">F684/$C$12-SUMIF($L683:$L698,"SUBI",$E683:$E698)</f>
        <v>0</v>
      </c>
      <c r="F686" s="789" t="s">
        <v>589</v>
      </c>
      <c r="G686" s="790"/>
      <c r="H686" s="790"/>
      <c r="I686" s="791"/>
      <c r="J686" s="790"/>
      <c r="K686" s="790"/>
      <c r="L686" s="792"/>
      <c r="M686" s="793"/>
      <c r="N686" s="793"/>
      <c r="O686" s="793"/>
      <c r="P686" s="793"/>
      <c r="Q686" s="794"/>
      <c r="R686" s="795"/>
      <c r="S686" s="794"/>
      <c r="T686" s="796"/>
    </row>
    <row r="687" spans="1:41" s="519" customFormat="1" ht="12" customHeight="1">
      <c r="A687" s="797"/>
      <c r="B687" s="798"/>
      <c r="C687" s="799"/>
      <c r="D687" s="799" t="str">
        <f>$F$2</f>
        <v>Electrical</v>
      </c>
      <c r="E687" s="799">
        <f ca="1">ROUND(($R691*$S$2 + ($T691*$T$2)), 2)</f>
        <v>0</v>
      </c>
      <c r="F687" s="800">
        <f ca="1">$E687*$C$12</f>
        <v>0</v>
      </c>
      <c r="G687" s="528"/>
      <c r="H687" s="801"/>
      <c r="I687" s="528"/>
      <c r="J687" s="48"/>
      <c r="K687" s="802" t="s">
        <v>3</v>
      </c>
      <c r="L687" s="803" t="s">
        <v>590</v>
      </c>
      <c r="M687" s="528"/>
      <c r="N687" s="528"/>
      <c r="O687" s="48"/>
      <c r="P687" s="528"/>
      <c r="Q687" s="528"/>
      <c r="R687"/>
      <c r="S687"/>
      <c r="T687"/>
    </row>
    <row r="688" spans="1:41" s="956" customFormat="1" ht="13.2">
      <c r="A688"/>
      <c r="B688" s="948"/>
      <c r="C688" s="948" t="s">
        <v>742</v>
      </c>
      <c r="D688" s="948" t="str">
        <f ca="1">CELL("Address",Elec_Rates!D$100)</f>
        <v>[ELM25_0085_Quintano_Elec_Mech_HVAC_Est_Rev_B.xlsx]Elec_Rates!$D$100</v>
      </c>
      <c r="E688" s="949"/>
      <c r="F688" s="949"/>
      <c r="G688" s="950" t="s">
        <v>743</v>
      </c>
      <c r="H688" s="950"/>
      <c r="I688" s="950"/>
      <c r="J688" s="950"/>
      <c r="K688" s="951"/>
      <c r="L688" s="949"/>
      <c r="M688" s="949"/>
      <c r="N688" s="949"/>
      <c r="O688" s="952"/>
      <c r="P688" s="949"/>
      <c r="Q688" s="953"/>
      <c r="R688" s="954"/>
      <c r="S688" s="953"/>
      <c r="T688" s="943"/>
      <c r="U688" s="955"/>
    </row>
    <row r="689" spans="1:41" s="956" customFormat="1" ht="11.4">
      <c r="A689" s="957">
        <v>0</v>
      </c>
      <c r="B689" s="958">
        <v>1</v>
      </c>
      <c r="C689" s="958">
        <f>$A689*$B689</f>
        <v>0</v>
      </c>
      <c r="D689" s="959" t="str">
        <f>Elec_Rates!$D$100</f>
        <v>001# SFDI adjacent to each damper.</v>
      </c>
      <c r="E689" s="959"/>
      <c r="F689" s="959" t="s">
        <v>744</v>
      </c>
      <c r="G689" s="960" t="s">
        <v>760</v>
      </c>
      <c r="H689" s="960"/>
      <c r="I689" s="960"/>
      <c r="J689" s="960"/>
      <c r="K689" s="961"/>
      <c r="L689" s="955"/>
      <c r="M689" s="955"/>
      <c r="N689" s="955"/>
      <c r="O689" s="962"/>
      <c r="P689" s="959"/>
      <c r="Q689" s="963">
        <f ca="1">$B689*Elec_Rates!$R$100</f>
        <v>330.73</v>
      </c>
      <c r="R689" s="954">
        <f ca="1">$A689*Q689</f>
        <v>0</v>
      </c>
      <c r="S689" s="963">
        <f ca="1">$B689*Elec_Rates!$T$100</f>
        <v>3.37</v>
      </c>
      <c r="T689" s="943">
        <f ca="1">$A689*S689</f>
        <v>0</v>
      </c>
      <c r="U689" s="501"/>
    </row>
    <row r="690" spans="1:41" s="519" customFormat="1" ht="13.95" customHeight="1">
      <c r="A690" s="49"/>
      <c r="B690" s="528"/>
      <c r="C690" s="528"/>
      <c r="D690" s="528"/>
      <c r="E690" s="528"/>
      <c r="F690" s="528"/>
      <c r="G690" s="528"/>
      <c r="H690" s="801"/>
      <c r="I690" s="528"/>
      <c r="J690" s="48"/>
      <c r="K690" s="805"/>
      <c r="L690" s="806"/>
      <c r="M690" s="528"/>
      <c r="N690" s="528"/>
      <c r="O690" s="48"/>
      <c r="P690" s="528"/>
      <c r="Q690" s="528"/>
      <c r="R690" s="807">
        <f>$A690*Q690</f>
        <v>0</v>
      </c>
      <c r="S690" s="528"/>
      <c r="T690" s="643">
        <f>$A690*S690*$T$1</f>
        <v>0</v>
      </c>
    </row>
    <row r="691" spans="1:41" s="519" customFormat="1" ht="12">
      <c r="A691" s="808" t="s">
        <v>145</v>
      </c>
      <c r="B691" s="809">
        <f>(R690+T690)</f>
        <v>0</v>
      </c>
      <c r="C691" s="641"/>
      <c r="G691" s="810"/>
      <c r="H691" s="810"/>
      <c r="I691" s="810"/>
      <c r="J691" s="810"/>
      <c r="K691" s="811" t="s">
        <v>3</v>
      </c>
      <c r="L691" s="812" t="s">
        <v>590</v>
      </c>
      <c r="M691" s="810"/>
      <c r="N691" s="810"/>
      <c r="O691" s="810"/>
      <c r="P691" s="810"/>
      <c r="Q691" s="813"/>
      <c r="R691" s="814">
        <f ca="1">SUM(R687:R690)</f>
        <v>0</v>
      </c>
      <c r="S691" s="815"/>
      <c r="T691" s="814">
        <f ca="1">SUM(T687:T690)</f>
        <v>0</v>
      </c>
      <c r="AG691" s="816">
        <f ca="1">ROUND($R691*$S$2,2)</f>
        <v>0</v>
      </c>
    </row>
    <row r="692" spans="1:41" s="519" customFormat="1" ht="12" customHeight="1">
      <c r="A692" s="817"/>
      <c r="B692" s="818"/>
      <c r="C692" s="819"/>
      <c r="D692" s="819" t="str">
        <f>$F$3</f>
        <v>ECA</v>
      </c>
      <c r="E692" s="819">
        <f>ROUND(($R696*$S$3 + ($T696*$T$3)), 2)</f>
        <v>0</v>
      </c>
      <c r="F692" s="820">
        <f ca="1">$F684-SUMIF($L686:$P689,"SUBI",$F686:$F689)</f>
        <v>0</v>
      </c>
      <c r="G692" s="518"/>
      <c r="H692" s="518"/>
      <c r="I692" s="518"/>
      <c r="J692" s="518"/>
      <c r="K692" s="802" t="s">
        <v>5</v>
      </c>
      <c r="L692" s="803" t="s">
        <v>590</v>
      </c>
      <c r="M692" s="518"/>
      <c r="N692" s="518"/>
      <c r="O692" s="518"/>
      <c r="P692" s="518"/>
      <c r="Q692" s="518"/>
      <c r="R692" s="821"/>
      <c r="S692" s="518"/>
      <c r="T692" s="821"/>
    </row>
    <row r="693" spans="1:41" s="834" customFormat="1" ht="14.4" customHeight="1">
      <c r="A693" s="822"/>
      <c r="B693" s="804" t="s">
        <v>592</v>
      </c>
      <c r="C693" s="823"/>
      <c r="D693" s="824"/>
      <c r="E693" s="824"/>
      <c r="F693" s="824"/>
      <c r="G693" s="825"/>
      <c r="H693" s="826"/>
      <c r="I693" s="826"/>
      <c r="J693" s="827"/>
      <c r="K693" s="828"/>
      <c r="L693" s="823"/>
      <c r="M693" s="829"/>
      <c r="N693" s="830"/>
      <c r="O693" s="831"/>
      <c r="P693" s="832"/>
      <c r="Q693" s="833"/>
      <c r="R693" s="807">
        <f>$A693*Q693</f>
        <v>0</v>
      </c>
      <c r="S693" s="528"/>
      <c r="T693" s="643">
        <f>$A693*S693*$T$1</f>
        <v>0</v>
      </c>
    </row>
    <row r="694" spans="1:41" s="519" customFormat="1" ht="11.4">
      <c r="A694" s="49"/>
      <c r="B694" s="528"/>
      <c r="C694" s="528"/>
      <c r="D694" s="528"/>
      <c r="E694" s="528"/>
      <c r="F694" s="528"/>
      <c r="G694" s="528"/>
      <c r="H694" s="528"/>
      <c r="I694" s="528"/>
      <c r="J694" s="528"/>
      <c r="K694" s="528"/>
      <c r="L694" s="806"/>
      <c r="M694" s="528"/>
      <c r="N694" s="528"/>
      <c r="O694" s="528"/>
      <c r="P694" s="528"/>
      <c r="Q694" s="528"/>
      <c r="R694" s="807">
        <f>$A694*Q694</f>
        <v>0</v>
      </c>
      <c r="S694" s="528"/>
      <c r="T694" s="643">
        <f>$A694*S694*$T$1</f>
        <v>0</v>
      </c>
    </row>
    <row r="695" spans="1:41" s="519" customFormat="1" ht="13.2">
      <c r="A695" s="49"/>
      <c r="B695" s="528"/>
      <c r="C695" s="528"/>
      <c r="D695" s="3"/>
      <c r="E695" s="528"/>
      <c r="F695" s="528"/>
      <c r="G695" s="528"/>
      <c r="H695" s="528"/>
      <c r="I695" s="528"/>
      <c r="J695" s="528"/>
      <c r="K695" s="528"/>
      <c r="L695" s="806"/>
      <c r="M695" s="528"/>
      <c r="N695" s="528"/>
      <c r="O695" s="528"/>
      <c r="P695" s="528"/>
      <c r="Q695" s="528"/>
      <c r="R695" s="807">
        <f>$A695*Q695</f>
        <v>0</v>
      </c>
      <c r="S695" s="528"/>
      <c r="T695" s="643">
        <f>$A695*S695*$T$1</f>
        <v>0</v>
      </c>
    </row>
    <row r="696" spans="1:41" s="519" customFormat="1" ht="12" customHeight="1">
      <c r="A696" s="835" t="s">
        <v>145</v>
      </c>
      <c r="B696" s="836">
        <f>(R695+T695)</f>
        <v>0</v>
      </c>
      <c r="C696" s="837"/>
      <c r="D696" s="837"/>
      <c r="E696" s="837"/>
      <c r="F696" s="837"/>
      <c r="G696" s="813"/>
      <c r="H696" s="813"/>
      <c r="I696" s="813"/>
      <c r="J696" s="813"/>
      <c r="K696" s="838" t="s">
        <v>5</v>
      </c>
      <c r="L696" s="839" t="s">
        <v>590</v>
      </c>
      <c r="M696" s="813"/>
      <c r="N696" s="813"/>
      <c r="O696" s="813"/>
      <c r="P696" s="813"/>
      <c r="Q696" s="813"/>
      <c r="R696" s="814">
        <f>SUM(R692:R695)</f>
        <v>0</v>
      </c>
      <c r="S696" s="815"/>
      <c r="T696" s="814">
        <f>SUM(T692:T695)</f>
        <v>0</v>
      </c>
      <c r="AG696" s="840">
        <f>ROUND($R696*$S$3,2)</f>
        <v>0</v>
      </c>
    </row>
    <row r="697" spans="1:41" s="519" customFormat="1" ht="12.75" customHeight="1">
      <c r="A697" s="841"/>
      <c r="B697" s="842"/>
      <c r="E697" s="641"/>
      <c r="F697" s="843"/>
      <c r="G697" s="641"/>
      <c r="H697" s="641"/>
      <c r="I697" s="518"/>
      <c r="J697" s="641"/>
      <c r="K697" s="641"/>
      <c r="L697" s="844"/>
      <c r="M697" s="652"/>
      <c r="N697" s="652"/>
      <c r="O697" s="652"/>
      <c r="P697" s="652"/>
      <c r="Q697" s="653"/>
      <c r="R697" s="821"/>
      <c r="S697" s="641"/>
      <c r="T697" s="821"/>
    </row>
    <row r="698" spans="1:41" s="519" customFormat="1" ht="13.5" customHeight="1" thickBot="1">
      <c r="A698" s="845"/>
      <c r="B698" s="846"/>
      <c r="C698" s="529"/>
      <c r="D698" s="529"/>
      <c r="E698" s="646"/>
      <c r="F698" s="647"/>
      <c r="G698" s="646" t="s">
        <v>146</v>
      </c>
      <c r="H698" s="646"/>
      <c r="I698" s="648"/>
      <c r="J698" s="646"/>
      <c r="K698" s="646"/>
      <c r="L698" s="847" t="s">
        <v>143</v>
      </c>
      <c r="M698" s="649"/>
      <c r="N698" s="649"/>
      <c r="O698" s="649"/>
      <c r="P698" s="649"/>
      <c r="Q698" s="650"/>
      <c r="R698" s="848">
        <f ca="1">SUMIF($L685:$L697,"SUBI",R685:R697)</f>
        <v>0</v>
      </c>
      <c r="S698" s="646"/>
      <c r="T698" s="848">
        <f ca="1">SUMIF($L685:$L697,"SUBI",T685:T697)</f>
        <v>0</v>
      </c>
      <c r="U698" s="529"/>
      <c r="V698" s="529"/>
      <c r="W698" s="529"/>
      <c r="X698" s="529"/>
      <c r="Y698" s="529"/>
      <c r="Z698" s="529"/>
      <c r="AA698" s="529"/>
      <c r="AB698" s="529"/>
      <c r="AC698" s="529"/>
      <c r="AD698" s="529"/>
      <c r="AE698" s="529"/>
      <c r="AF698" s="529"/>
      <c r="AG698" s="529"/>
      <c r="AH698" s="529"/>
      <c r="AI698" s="529"/>
      <c r="AJ698" s="529"/>
      <c r="AK698" s="529"/>
      <c r="AL698" s="529"/>
      <c r="AM698" s="529"/>
      <c r="AN698" s="529"/>
      <c r="AO698" s="529"/>
    </row>
    <row r="699" spans="1:41" s="519" customFormat="1" thickTop="1">
      <c r="A699" s="47"/>
      <c r="B699" s="40"/>
      <c r="C699" s="47"/>
      <c r="E699" s="41" t="s">
        <v>138</v>
      </c>
      <c r="F699" s="41" t="s">
        <v>139</v>
      </c>
      <c r="G699" s="47"/>
      <c r="H699" s="47"/>
      <c r="I699" s="47"/>
      <c r="J699" s="47"/>
      <c r="K699" s="47" t="s">
        <v>140</v>
      </c>
      <c r="L699" s="774"/>
      <c r="M699" s="47"/>
      <c r="N699" s="47"/>
      <c r="O699" s="48"/>
      <c r="P699" s="47"/>
      <c r="Q699"/>
      <c r="R699"/>
      <c r="S699"/>
      <c r="T699" s="40"/>
      <c r="AG699" s="627" t="s">
        <v>277</v>
      </c>
      <c r="AH699" s="627" t="s">
        <v>278</v>
      </c>
      <c r="AI699" s="627" t="s">
        <v>279</v>
      </c>
      <c r="AJ699" s="627" t="s">
        <v>280</v>
      </c>
      <c r="AK699" s="627" t="s">
        <v>281</v>
      </c>
      <c r="AM699" s="628" t="s">
        <v>290</v>
      </c>
      <c r="AN699" s="629" t="s">
        <v>291</v>
      </c>
      <c r="AO699" s="520" t="s">
        <v>287</v>
      </c>
    </row>
    <row r="700" spans="1:41" s="519" customFormat="1" ht="13.2">
      <c r="A700" s="630">
        <v>1</v>
      </c>
      <c r="B700" s="521" t="s">
        <v>312</v>
      </c>
      <c r="C700" s="631"/>
      <c r="D700" s="632" t="s">
        <v>653</v>
      </c>
      <c r="E700" s="775">
        <f ca="1">IF(AND($A700=0,$A$1="DIF"),0, ROUND(ROUND(SUMIF($L702:$L708,"SUBI",$E702:$E708)/$A700,2)*$C$12,2))</f>
        <v>0</v>
      </c>
      <c r="F700" s="776">
        <f ca="1">ROUND($A700*$E700,2)</f>
        <v>0</v>
      </c>
      <c r="G700" s="635" t="s">
        <v>142</v>
      </c>
      <c r="H700" s="636"/>
      <c r="I700" s="637"/>
      <c r="J700" s="636"/>
      <c r="K700" s="777"/>
      <c r="L700" s="778" t="s">
        <v>143</v>
      </c>
      <c r="M700" s="638"/>
      <c r="N700" s="638"/>
      <c r="O700" s="638"/>
      <c r="P700" s="638"/>
      <c r="Q700" s="967" t="s">
        <v>802</v>
      </c>
      <c r="R700"/>
      <c r="S700"/>
      <c r="T700" s="779" t="str">
        <f ca="1">IF(AND($R714=0,$T714=0),"0.00","mu :" &amp; ROUND($F700/$C$12/($R714+$T714*$D$9),2))</f>
        <v>0.00</v>
      </c>
      <c r="W700" s="522"/>
      <c r="AG700" s="780">
        <f ca="1">IF(A700=0,0,ROUND(SUM(AG702:AG714)/A700,2))</f>
        <v>0</v>
      </c>
      <c r="AH700" s="780">
        <f ca="1">$AG700*$A700</f>
        <v>0</v>
      </c>
      <c r="AI700" s="780">
        <f ca="1">$E700-$AG700</f>
        <v>0</v>
      </c>
      <c r="AJ700" s="780">
        <f ca="1">$A700*$AI700</f>
        <v>0</v>
      </c>
      <c r="AK700" s="781">
        <f ca="1">ROUND(($AG700+$AI700)*$A700,2)</f>
        <v>0</v>
      </c>
      <c r="AM700" s="525">
        <f ca="1">ROUND(R714,2)</f>
        <v>0</v>
      </c>
      <c r="AN700" s="526">
        <f ca="1">ROUND(T714,2)</f>
        <v>0</v>
      </c>
      <c r="AO700" s="527">
        <f ca="1">ROUND(AM700+AN700,2)*A700</f>
        <v>0</v>
      </c>
    </row>
    <row r="701" spans="1:41" s="519" customFormat="1" ht="19.95" customHeight="1">
      <c r="A701" s="782"/>
      <c r="B701" s="783"/>
      <c r="C701" s="631"/>
      <c r="D701" s="784" t="s">
        <v>649</v>
      </c>
      <c r="F701" s="636"/>
      <c r="G701" s="636"/>
      <c r="H701" s="636"/>
      <c r="I701" s="637"/>
      <c r="J701" s="636"/>
      <c r="K701" s="636" t="s">
        <v>144</v>
      </c>
      <c r="L701" s="785"/>
      <c r="M701" s="636"/>
      <c r="N701" s="636"/>
      <c r="O701" s="636"/>
      <c r="P701" s="636"/>
      <c r="Q701" s="47"/>
      <c r="R701" s="528"/>
      <c r="S701" s="640"/>
      <c r="T701" s="636"/>
    </row>
    <row r="702" spans="1:41" s="519" customFormat="1" ht="12">
      <c r="A702" s="786"/>
      <c r="B702" s="787"/>
      <c r="C702" s="641"/>
      <c r="D702" s="636"/>
      <c r="E702" s="788">
        <f ca="1">F700/$C$12-SUMIF($L699:$L714,"SUBI",$E699:$E714)</f>
        <v>0</v>
      </c>
      <c r="F702" s="789" t="s">
        <v>589</v>
      </c>
      <c r="G702" s="790"/>
      <c r="H702" s="790"/>
      <c r="I702" s="791"/>
      <c r="J702" s="790"/>
      <c r="K702" s="790"/>
      <c r="L702" s="792"/>
      <c r="M702" s="793"/>
      <c r="N702" s="793"/>
      <c r="O702" s="793"/>
      <c r="P702" s="793"/>
      <c r="Q702" s="794"/>
      <c r="R702" s="795"/>
      <c r="S702" s="794"/>
      <c r="T702" s="796"/>
    </row>
    <row r="703" spans="1:41" s="519" customFormat="1" ht="12" customHeight="1">
      <c r="A703" s="797"/>
      <c r="B703" s="798"/>
      <c r="C703" s="799"/>
      <c r="D703" s="799" t="str">
        <f>$F$2</f>
        <v>Electrical</v>
      </c>
      <c r="E703" s="799">
        <f ca="1">ROUND(($R707*$S$2 + ($T707*$T$2)), 2)</f>
        <v>0</v>
      </c>
      <c r="F703" s="800">
        <f ca="1">$E703*$C$12</f>
        <v>0</v>
      </c>
      <c r="G703" s="528"/>
      <c r="H703" s="801"/>
      <c r="I703" s="528"/>
      <c r="J703" s="48"/>
      <c r="K703" s="802" t="s">
        <v>3</v>
      </c>
      <c r="L703" s="803" t="s">
        <v>590</v>
      </c>
      <c r="M703" s="528"/>
      <c r="N703" s="528"/>
      <c r="O703" s="48"/>
      <c r="P703" s="528"/>
      <c r="Q703" s="528"/>
      <c r="R703"/>
      <c r="S703"/>
      <c r="T703"/>
    </row>
    <row r="704" spans="1:41" s="956" customFormat="1" ht="13.2">
      <c r="A704"/>
      <c r="B704" s="948"/>
      <c r="C704" s="948" t="s">
        <v>742</v>
      </c>
      <c r="D704" s="948" t="str">
        <f ca="1">CELL("Address",Elec_Rates!D$100)</f>
        <v>[ELM25_0085_Quintano_Elec_Mech_HVAC_Est_Rev_B.xlsx]Elec_Rates!$D$100</v>
      </c>
      <c r="E704" s="949"/>
      <c r="F704" s="949"/>
      <c r="G704" s="950" t="s">
        <v>743</v>
      </c>
      <c r="H704" s="950"/>
      <c r="I704" s="950"/>
      <c r="J704" s="950"/>
      <c r="K704" s="951"/>
      <c r="L704" s="949"/>
      <c r="M704" s="949"/>
      <c r="N704" s="949"/>
      <c r="O704" s="952"/>
      <c r="P704" s="949"/>
      <c r="Q704" s="953"/>
      <c r="R704" s="954"/>
      <c r="S704" s="953"/>
      <c r="T704" s="943"/>
      <c r="U704" s="955"/>
    </row>
    <row r="705" spans="1:41" s="956" customFormat="1" ht="11.4">
      <c r="A705" s="957">
        <v>0</v>
      </c>
      <c r="B705" s="958">
        <v>1</v>
      </c>
      <c r="C705" s="958">
        <f>$A705*$B705</f>
        <v>0</v>
      </c>
      <c r="D705" s="959" t="str">
        <f>Elec_Rates!$D$100</f>
        <v>001# SFDI adjacent to each damper.</v>
      </c>
      <c r="E705" s="959"/>
      <c r="F705" s="959" t="s">
        <v>744</v>
      </c>
      <c r="G705" s="960" t="s">
        <v>760</v>
      </c>
      <c r="H705" s="960"/>
      <c r="I705" s="960"/>
      <c r="J705" s="960"/>
      <c r="K705" s="961"/>
      <c r="L705" s="955"/>
      <c r="M705" s="955"/>
      <c r="N705" s="955"/>
      <c r="O705" s="962"/>
      <c r="P705" s="959"/>
      <c r="Q705" s="963">
        <f ca="1">$B705*Elec_Rates!$R$100</f>
        <v>330.73</v>
      </c>
      <c r="R705" s="954">
        <f ca="1">$A705*Q705</f>
        <v>0</v>
      </c>
      <c r="S705" s="963">
        <f ca="1">$B705*Elec_Rates!$T$100</f>
        <v>3.37</v>
      </c>
      <c r="T705" s="943">
        <f ca="1">$A705*S705</f>
        <v>0</v>
      </c>
      <c r="U705" s="501"/>
    </row>
    <row r="706" spans="1:41" s="519" customFormat="1" ht="13.95" customHeight="1">
      <c r="A706" s="49"/>
      <c r="B706" s="528"/>
      <c r="C706" s="528"/>
      <c r="D706" s="528"/>
      <c r="E706" s="528"/>
      <c r="F706" s="528"/>
      <c r="G706" s="528"/>
      <c r="H706" s="801"/>
      <c r="I706" s="528"/>
      <c r="J706" s="48"/>
      <c r="K706" s="805"/>
      <c r="L706" s="806"/>
      <c r="M706" s="528"/>
      <c r="N706" s="528"/>
      <c r="O706" s="48"/>
      <c r="P706" s="528"/>
      <c r="Q706" s="528"/>
      <c r="R706" s="807">
        <f>$A706*Q706</f>
        <v>0</v>
      </c>
      <c r="S706" s="528"/>
      <c r="T706" s="643">
        <f>$A706*S706*$T$1</f>
        <v>0</v>
      </c>
    </row>
    <row r="707" spans="1:41" s="519" customFormat="1" ht="12">
      <c r="A707" s="808" t="s">
        <v>145</v>
      </c>
      <c r="B707" s="809">
        <f>(R706+T706)</f>
        <v>0</v>
      </c>
      <c r="C707" s="641"/>
      <c r="G707" s="810"/>
      <c r="H707" s="810"/>
      <c r="I707" s="810"/>
      <c r="J707" s="810"/>
      <c r="K707" s="811" t="s">
        <v>3</v>
      </c>
      <c r="L707" s="812" t="s">
        <v>590</v>
      </c>
      <c r="M707" s="810"/>
      <c r="N707" s="810"/>
      <c r="O707" s="810"/>
      <c r="P707" s="810"/>
      <c r="Q707" s="813"/>
      <c r="R707" s="814">
        <f ca="1">SUM(R703:R706)</f>
        <v>0</v>
      </c>
      <c r="S707" s="815"/>
      <c r="T707" s="814">
        <f ca="1">SUM(T703:T706)</f>
        <v>0</v>
      </c>
      <c r="AG707" s="816">
        <f ca="1">ROUND($R707*$S$2,2)</f>
        <v>0</v>
      </c>
    </row>
    <row r="708" spans="1:41" s="519" customFormat="1" ht="12" customHeight="1">
      <c r="A708" s="817"/>
      <c r="B708" s="818"/>
      <c r="C708" s="819"/>
      <c r="D708" s="819" t="str">
        <f>$F$3</f>
        <v>ECA</v>
      </c>
      <c r="E708" s="819">
        <f>ROUND(($R712*$S$3 + ($T712*$T$3)), 2)</f>
        <v>0</v>
      </c>
      <c r="F708" s="820">
        <f ca="1">$F700-SUMIF($L702:$P705,"SUBI",$F702:$F705)</f>
        <v>0</v>
      </c>
      <c r="G708" s="518"/>
      <c r="H708" s="518"/>
      <c r="I708" s="518"/>
      <c r="J708" s="518"/>
      <c r="K708" s="802" t="s">
        <v>5</v>
      </c>
      <c r="L708" s="803" t="s">
        <v>590</v>
      </c>
      <c r="M708" s="518"/>
      <c r="N708" s="518"/>
      <c r="O708" s="518"/>
      <c r="P708" s="518"/>
      <c r="Q708" s="518"/>
      <c r="R708" s="821"/>
      <c r="S708" s="518"/>
      <c r="T708" s="821"/>
    </row>
    <row r="709" spans="1:41" s="834" customFormat="1" ht="14.4" customHeight="1">
      <c r="A709" s="822"/>
      <c r="B709" s="804" t="s">
        <v>592</v>
      </c>
      <c r="C709" s="823"/>
      <c r="D709" s="824"/>
      <c r="E709" s="824"/>
      <c r="F709" s="824"/>
      <c r="G709" s="825"/>
      <c r="H709" s="826"/>
      <c r="I709" s="826"/>
      <c r="J709" s="827"/>
      <c r="K709" s="828"/>
      <c r="L709" s="823"/>
      <c r="M709" s="829"/>
      <c r="N709" s="830"/>
      <c r="O709" s="831"/>
      <c r="P709" s="832"/>
      <c r="Q709" s="833"/>
      <c r="R709" s="807">
        <f>$A709*Q709</f>
        <v>0</v>
      </c>
      <c r="S709" s="528"/>
      <c r="T709" s="643">
        <f>$A709*S709*$T$1</f>
        <v>0</v>
      </c>
    </row>
    <row r="710" spans="1:41" s="519" customFormat="1" ht="11.4">
      <c r="A710" s="49"/>
      <c r="B710" s="528"/>
      <c r="C710" s="528"/>
      <c r="D710" s="528"/>
      <c r="E710" s="528"/>
      <c r="F710" s="528"/>
      <c r="G710" s="528"/>
      <c r="H710" s="528"/>
      <c r="I710" s="528"/>
      <c r="J710" s="528"/>
      <c r="K710" s="528"/>
      <c r="L710" s="806"/>
      <c r="M710" s="528"/>
      <c r="N710" s="528"/>
      <c r="O710" s="528"/>
      <c r="P710" s="528"/>
      <c r="Q710" s="528"/>
      <c r="R710" s="807">
        <f>$A710*Q710</f>
        <v>0</v>
      </c>
      <c r="S710" s="528"/>
      <c r="T710" s="643">
        <f>$A710*S710*$T$1</f>
        <v>0</v>
      </c>
    </row>
    <row r="711" spans="1:41" s="519" customFormat="1" ht="13.2">
      <c r="A711" s="49"/>
      <c r="B711" s="528"/>
      <c r="C711" s="528"/>
      <c r="D711" s="3"/>
      <c r="E711" s="528"/>
      <c r="F711" s="528"/>
      <c r="G711" s="528"/>
      <c r="H711" s="528"/>
      <c r="I711" s="528"/>
      <c r="J711" s="528"/>
      <c r="K711" s="528"/>
      <c r="L711" s="806"/>
      <c r="M711" s="528"/>
      <c r="N711" s="528"/>
      <c r="O711" s="528"/>
      <c r="P711" s="528"/>
      <c r="Q711" s="528"/>
      <c r="R711" s="807">
        <f>$A711*Q711</f>
        <v>0</v>
      </c>
      <c r="S711" s="528"/>
      <c r="T711" s="643">
        <f>$A711*S711*$T$1</f>
        <v>0</v>
      </c>
    </row>
    <row r="712" spans="1:41" s="519" customFormat="1" ht="12" customHeight="1">
      <c r="A712" s="835" t="s">
        <v>145</v>
      </c>
      <c r="B712" s="836">
        <f>(R711+T711)</f>
        <v>0</v>
      </c>
      <c r="C712" s="837"/>
      <c r="D712" s="837"/>
      <c r="E712" s="837"/>
      <c r="F712" s="837"/>
      <c r="G712" s="813"/>
      <c r="H712" s="813"/>
      <c r="I712" s="813"/>
      <c r="J712" s="813"/>
      <c r="K712" s="838" t="s">
        <v>5</v>
      </c>
      <c r="L712" s="839" t="s">
        <v>590</v>
      </c>
      <c r="M712" s="813"/>
      <c r="N712" s="813"/>
      <c r="O712" s="813"/>
      <c r="P712" s="813"/>
      <c r="Q712" s="813"/>
      <c r="R712" s="814">
        <f>SUM(R708:R711)</f>
        <v>0</v>
      </c>
      <c r="S712" s="815"/>
      <c r="T712" s="814">
        <f>SUM(T708:T711)</f>
        <v>0</v>
      </c>
      <c r="AG712" s="840">
        <f>ROUND($R712*$S$3,2)</f>
        <v>0</v>
      </c>
    </row>
    <row r="713" spans="1:41" s="519" customFormat="1" ht="12.75" customHeight="1">
      <c r="A713" s="841"/>
      <c r="B713" s="842"/>
      <c r="E713" s="641"/>
      <c r="F713" s="843"/>
      <c r="G713" s="641"/>
      <c r="H713" s="641"/>
      <c r="I713" s="518"/>
      <c r="J713" s="641"/>
      <c r="K713" s="641"/>
      <c r="L713" s="844"/>
      <c r="M713" s="652"/>
      <c r="N713" s="652"/>
      <c r="O713" s="652"/>
      <c r="P713" s="652"/>
      <c r="Q713" s="653"/>
      <c r="R713" s="821"/>
      <c r="S713" s="641"/>
      <c r="T713" s="821"/>
    </row>
    <row r="714" spans="1:41" s="519" customFormat="1" ht="13.5" customHeight="1" thickBot="1">
      <c r="A714" s="845"/>
      <c r="B714" s="846"/>
      <c r="C714" s="529"/>
      <c r="D714" s="529"/>
      <c r="E714" s="646"/>
      <c r="F714" s="647"/>
      <c r="G714" s="646" t="s">
        <v>146</v>
      </c>
      <c r="H714" s="646"/>
      <c r="I714" s="648"/>
      <c r="J714" s="646"/>
      <c r="K714" s="646"/>
      <c r="L714" s="847" t="s">
        <v>143</v>
      </c>
      <c r="M714" s="649"/>
      <c r="N714" s="649"/>
      <c r="O714" s="649"/>
      <c r="P714" s="649"/>
      <c r="Q714" s="650"/>
      <c r="R714" s="848">
        <f ca="1">SUMIF($L701:$L713,"SUBI",R701:R713)</f>
        <v>0</v>
      </c>
      <c r="S714" s="646"/>
      <c r="T714" s="848">
        <f ca="1">SUMIF($L701:$L713,"SUBI",T701:T713)</f>
        <v>0</v>
      </c>
      <c r="U714" s="529"/>
      <c r="V714" s="529"/>
      <c r="W714" s="529"/>
      <c r="X714" s="529"/>
      <c r="Y714" s="529"/>
      <c r="Z714" s="529"/>
      <c r="AA714" s="529"/>
      <c r="AB714" s="529"/>
      <c r="AC714" s="529"/>
      <c r="AD714" s="529"/>
      <c r="AE714" s="529"/>
      <c r="AF714" s="529"/>
      <c r="AG714" s="529"/>
      <c r="AH714" s="529"/>
      <c r="AI714" s="529"/>
      <c r="AJ714" s="529"/>
      <c r="AK714" s="529"/>
      <c r="AL714" s="529"/>
      <c r="AM714" s="529"/>
      <c r="AN714" s="529"/>
      <c r="AO714" s="529"/>
    </row>
    <row r="715" spans="1:41" s="519" customFormat="1" thickTop="1">
      <c r="A715" s="47"/>
      <c r="B715" s="40"/>
      <c r="C715" s="47"/>
      <c r="E715" s="41" t="s">
        <v>138</v>
      </c>
      <c r="F715" s="41" t="s">
        <v>139</v>
      </c>
      <c r="G715" s="47"/>
      <c r="H715" s="47"/>
      <c r="I715" s="47"/>
      <c r="J715" s="47"/>
      <c r="K715" s="47" t="s">
        <v>140</v>
      </c>
      <c r="L715" s="774"/>
      <c r="M715" s="47"/>
      <c r="N715" s="47"/>
      <c r="O715" s="48"/>
      <c r="P715" s="47"/>
      <c r="Q715"/>
      <c r="R715"/>
      <c r="S715"/>
      <c r="T715" s="40"/>
      <c r="AG715" s="627" t="s">
        <v>277</v>
      </c>
      <c r="AH715" s="627" t="s">
        <v>278</v>
      </c>
      <c r="AI715" s="627" t="s">
        <v>279</v>
      </c>
      <c r="AJ715" s="627" t="s">
        <v>280</v>
      </c>
      <c r="AK715" s="627" t="s">
        <v>281</v>
      </c>
      <c r="AM715" s="628" t="s">
        <v>290</v>
      </c>
      <c r="AN715" s="629" t="s">
        <v>291</v>
      </c>
      <c r="AO715" s="520" t="s">
        <v>287</v>
      </c>
    </row>
    <row r="716" spans="1:41" s="519" customFormat="1" ht="13.2">
      <c r="A716" s="630">
        <v>2</v>
      </c>
      <c r="B716" s="521" t="s">
        <v>312</v>
      </c>
      <c r="C716" s="631"/>
      <c r="D716" s="632" t="s">
        <v>654</v>
      </c>
      <c r="E716" s="775">
        <f ca="1">IF(AND($A716=0,$A$1="DIF"),0, ROUND(ROUND(SUMIF($L718:$L724,"SUBI",$E718:$E724)/$A716,2)*$C$12,2))</f>
        <v>0</v>
      </c>
      <c r="F716" s="776">
        <f ca="1">ROUND($A716*$E716,2)</f>
        <v>0</v>
      </c>
      <c r="G716" s="635" t="s">
        <v>142</v>
      </c>
      <c r="H716" s="636"/>
      <c r="I716" s="637"/>
      <c r="J716" s="636"/>
      <c r="K716" s="777"/>
      <c r="L716" s="778" t="s">
        <v>143</v>
      </c>
      <c r="M716" s="638"/>
      <c r="N716" s="638"/>
      <c r="O716" s="638"/>
      <c r="P716" s="638"/>
      <c r="Q716" s="967" t="s">
        <v>802</v>
      </c>
      <c r="R716"/>
      <c r="S716"/>
      <c r="T716" s="779" t="str">
        <f ca="1">IF(AND($R730=0,$T730=0),"0.00","mu :" &amp; ROUND($F716/$C$12/($R730+$T730*$D$9),2))</f>
        <v>0.00</v>
      </c>
      <c r="W716" s="522"/>
      <c r="AG716" s="780">
        <f ca="1">IF(A716=0,0,ROUND(SUM(AG718:AG730)/A716,2))</f>
        <v>0</v>
      </c>
      <c r="AH716" s="780">
        <f ca="1">$AG716*$A716</f>
        <v>0</v>
      </c>
      <c r="AI716" s="780">
        <f ca="1">$E716-$AG716</f>
        <v>0</v>
      </c>
      <c r="AJ716" s="780">
        <f ca="1">$A716*$AI716</f>
        <v>0</v>
      </c>
      <c r="AK716" s="781">
        <f ca="1">ROUND(($AG716+$AI716)*$A716,2)</f>
        <v>0</v>
      </c>
      <c r="AM716" s="525">
        <f ca="1">ROUND(R730,2)</f>
        <v>0</v>
      </c>
      <c r="AN716" s="526">
        <f ca="1">ROUND(T730,2)</f>
        <v>0</v>
      </c>
      <c r="AO716" s="527">
        <f ca="1">ROUND(AM716+AN716,2)*A716</f>
        <v>0</v>
      </c>
    </row>
    <row r="717" spans="1:41" s="519" customFormat="1" ht="19.95" customHeight="1">
      <c r="A717" s="782"/>
      <c r="B717" s="783"/>
      <c r="C717" s="631"/>
      <c r="D717" s="784" t="s">
        <v>650</v>
      </c>
      <c r="F717" s="636"/>
      <c r="G717" s="636"/>
      <c r="H717" s="636"/>
      <c r="I717" s="637"/>
      <c r="J717" s="636"/>
      <c r="K717" s="636" t="s">
        <v>144</v>
      </c>
      <c r="L717" s="785"/>
      <c r="M717" s="636"/>
      <c r="N717" s="636"/>
      <c r="O717" s="636"/>
      <c r="P717" s="636"/>
      <c r="Q717" s="47"/>
      <c r="R717" s="528"/>
      <c r="S717" s="640"/>
      <c r="T717" s="636"/>
    </row>
    <row r="718" spans="1:41" s="519" customFormat="1" ht="12">
      <c r="A718" s="786"/>
      <c r="B718" s="787"/>
      <c r="C718" s="641"/>
      <c r="D718" s="636"/>
      <c r="E718" s="788">
        <f ca="1">F716/$C$12-SUMIF($L715:$L730,"SUBI",$E715:$E730)</f>
        <v>0</v>
      </c>
      <c r="F718" s="789" t="s">
        <v>589</v>
      </c>
      <c r="G718" s="790"/>
      <c r="H718" s="790"/>
      <c r="I718" s="791"/>
      <c r="J718" s="790"/>
      <c r="K718" s="790"/>
      <c r="L718" s="792"/>
      <c r="M718" s="793"/>
      <c r="N718" s="793"/>
      <c r="O718" s="793"/>
      <c r="P718" s="793"/>
      <c r="Q718" s="794"/>
      <c r="R718" s="795"/>
      <c r="S718" s="794"/>
      <c r="T718" s="796"/>
    </row>
    <row r="719" spans="1:41" s="519" customFormat="1" ht="12" customHeight="1">
      <c r="A719" s="797"/>
      <c r="B719" s="798"/>
      <c r="C719" s="799"/>
      <c r="D719" s="799" t="str">
        <f>$F$2</f>
        <v>Electrical</v>
      </c>
      <c r="E719" s="799">
        <f ca="1">ROUND(($R723*$S$2 + ($T723*$T$2)), 2)</f>
        <v>0</v>
      </c>
      <c r="F719" s="800">
        <f ca="1">$E719*$C$12</f>
        <v>0</v>
      </c>
      <c r="G719" s="528"/>
      <c r="H719" s="801"/>
      <c r="I719" s="528"/>
      <c r="J719" s="48"/>
      <c r="K719" s="802" t="s">
        <v>3</v>
      </c>
      <c r="L719" s="803" t="s">
        <v>590</v>
      </c>
      <c r="M719" s="528"/>
      <c r="N719" s="528"/>
      <c r="O719" s="48"/>
      <c r="P719" s="528"/>
      <c r="Q719" s="528"/>
      <c r="R719"/>
      <c r="S719"/>
      <c r="T719"/>
    </row>
    <row r="720" spans="1:41" s="956" customFormat="1" ht="13.2">
      <c r="A720"/>
      <c r="B720" s="948"/>
      <c r="C720" s="948" t="s">
        <v>742</v>
      </c>
      <c r="D720" s="948" t="str">
        <f ca="1">CELL("Address",Elec_Rates!D$100)</f>
        <v>[ELM25_0085_Quintano_Elec_Mech_HVAC_Est_Rev_B.xlsx]Elec_Rates!$D$100</v>
      </c>
      <c r="E720" s="949"/>
      <c r="F720" s="949"/>
      <c r="G720" s="950" t="s">
        <v>743</v>
      </c>
      <c r="H720" s="950"/>
      <c r="I720" s="950"/>
      <c r="J720" s="950"/>
      <c r="K720" s="951"/>
      <c r="L720" s="949"/>
      <c r="M720" s="949"/>
      <c r="N720" s="949"/>
      <c r="O720" s="952"/>
      <c r="P720" s="949"/>
      <c r="Q720" s="953"/>
      <c r="R720" s="954"/>
      <c r="S720" s="953"/>
      <c r="T720" s="943"/>
      <c r="U720" s="955"/>
    </row>
    <row r="721" spans="1:41" s="956" customFormat="1" ht="11.4">
      <c r="A721" s="957">
        <v>0</v>
      </c>
      <c r="B721" s="958">
        <v>1</v>
      </c>
      <c r="C721" s="958">
        <f>$A721*$B721</f>
        <v>0</v>
      </c>
      <c r="D721" s="959" t="str">
        <f>Elec_Rates!$D$100</f>
        <v>001# SFDI adjacent to each damper.</v>
      </c>
      <c r="E721" s="959"/>
      <c r="F721" s="959" t="s">
        <v>744</v>
      </c>
      <c r="G721" s="960" t="s">
        <v>760</v>
      </c>
      <c r="H721" s="960"/>
      <c r="I721" s="960"/>
      <c r="J721" s="960"/>
      <c r="K721" s="961"/>
      <c r="L721" s="955"/>
      <c r="M721" s="955"/>
      <c r="N721" s="955"/>
      <c r="O721" s="962"/>
      <c r="P721" s="959"/>
      <c r="Q721" s="963">
        <f ca="1">$B721*Elec_Rates!$R$100</f>
        <v>330.73</v>
      </c>
      <c r="R721" s="954">
        <f ca="1">$A721*Q721</f>
        <v>0</v>
      </c>
      <c r="S721" s="963">
        <f ca="1">$B721*Elec_Rates!$T$100</f>
        <v>3.37</v>
      </c>
      <c r="T721" s="943">
        <f ca="1">$A721*S721</f>
        <v>0</v>
      </c>
      <c r="U721" s="501"/>
    </row>
    <row r="722" spans="1:41" s="519" customFormat="1" ht="13.95" customHeight="1">
      <c r="A722" s="49"/>
      <c r="B722" s="528"/>
      <c r="C722" s="528"/>
      <c r="D722" s="528"/>
      <c r="E722" s="528"/>
      <c r="F722" s="528"/>
      <c r="G722" s="528"/>
      <c r="H722" s="801"/>
      <c r="I722" s="528"/>
      <c r="J722" s="48"/>
      <c r="K722" s="805"/>
      <c r="L722" s="806"/>
      <c r="M722" s="528"/>
      <c r="N722" s="528"/>
      <c r="O722" s="48"/>
      <c r="P722" s="528"/>
      <c r="Q722" s="528"/>
      <c r="R722" s="807">
        <f>$A722*Q722</f>
        <v>0</v>
      </c>
      <c r="S722" s="528"/>
      <c r="T722" s="643">
        <f>$A722*S722*$T$1</f>
        <v>0</v>
      </c>
    </row>
    <row r="723" spans="1:41" s="519" customFormat="1" ht="12">
      <c r="A723" s="808" t="s">
        <v>145</v>
      </c>
      <c r="B723" s="809">
        <f>(R722+T722)</f>
        <v>0</v>
      </c>
      <c r="C723" s="641"/>
      <c r="G723" s="810"/>
      <c r="H723" s="810"/>
      <c r="I723" s="810"/>
      <c r="J723" s="810"/>
      <c r="K723" s="811" t="s">
        <v>3</v>
      </c>
      <c r="L723" s="812" t="s">
        <v>590</v>
      </c>
      <c r="M723" s="810"/>
      <c r="N723" s="810"/>
      <c r="O723" s="810"/>
      <c r="P723" s="810"/>
      <c r="Q723" s="813"/>
      <c r="R723" s="814">
        <f ca="1">SUM(R719:R722)</f>
        <v>0</v>
      </c>
      <c r="S723" s="815"/>
      <c r="T723" s="814">
        <f ca="1">SUM(T719:T722)</f>
        <v>0</v>
      </c>
      <c r="AG723" s="816">
        <f ca="1">ROUND($R723*$S$2,2)</f>
        <v>0</v>
      </c>
    </row>
    <row r="724" spans="1:41" s="519" customFormat="1" ht="12" customHeight="1">
      <c r="A724" s="817"/>
      <c r="B724" s="818"/>
      <c r="C724" s="819"/>
      <c r="D724" s="819" t="str">
        <f>$F$3</f>
        <v>ECA</v>
      </c>
      <c r="E724" s="819">
        <f>ROUND(($R728*$S$3 + ($T728*$T$3)), 2)</f>
        <v>0</v>
      </c>
      <c r="F724" s="820">
        <f ca="1">$F716-SUMIF($L718:$P721,"SUBI",$F718:$F721)</f>
        <v>0</v>
      </c>
      <c r="G724" s="518"/>
      <c r="H724" s="518"/>
      <c r="I724" s="518"/>
      <c r="J724" s="518"/>
      <c r="K724" s="802" t="s">
        <v>5</v>
      </c>
      <c r="L724" s="803" t="s">
        <v>590</v>
      </c>
      <c r="M724" s="518"/>
      <c r="N724" s="518"/>
      <c r="O724" s="518"/>
      <c r="P724" s="518"/>
      <c r="Q724" s="518"/>
      <c r="R724" s="821"/>
      <c r="S724" s="518"/>
      <c r="T724" s="821"/>
    </row>
    <row r="725" spans="1:41" s="834" customFormat="1" ht="14.4" customHeight="1">
      <c r="A725" s="822"/>
      <c r="B725" s="804" t="s">
        <v>592</v>
      </c>
      <c r="C725" s="823"/>
      <c r="D725" s="824"/>
      <c r="E725" s="824"/>
      <c r="F725" s="824"/>
      <c r="G725" s="825"/>
      <c r="H725" s="826"/>
      <c r="I725" s="826"/>
      <c r="J725" s="827"/>
      <c r="K725" s="828"/>
      <c r="L725" s="823"/>
      <c r="M725" s="829"/>
      <c r="N725" s="830"/>
      <c r="O725" s="831"/>
      <c r="P725" s="832"/>
      <c r="Q725" s="833"/>
      <c r="R725" s="807">
        <f>$A725*Q725</f>
        <v>0</v>
      </c>
      <c r="S725" s="528"/>
      <c r="T725" s="643">
        <f>$A725*S725*$T$1</f>
        <v>0</v>
      </c>
    </row>
    <row r="726" spans="1:41" s="519" customFormat="1" ht="11.4">
      <c r="A726" s="49"/>
      <c r="B726" s="528"/>
      <c r="C726" s="528"/>
      <c r="D726" s="528"/>
      <c r="E726" s="528"/>
      <c r="F726" s="528"/>
      <c r="G726" s="528"/>
      <c r="H726" s="528"/>
      <c r="I726" s="528"/>
      <c r="J726" s="528"/>
      <c r="K726" s="528"/>
      <c r="L726" s="806"/>
      <c r="M726" s="528"/>
      <c r="N726" s="528"/>
      <c r="O726" s="528"/>
      <c r="P726" s="528"/>
      <c r="Q726" s="528"/>
      <c r="R726" s="807">
        <f>$A726*Q726</f>
        <v>0</v>
      </c>
      <c r="S726" s="528"/>
      <c r="T726" s="643">
        <f>$A726*S726*$T$1</f>
        <v>0</v>
      </c>
    </row>
    <row r="727" spans="1:41" s="519" customFormat="1" ht="13.2">
      <c r="A727" s="49"/>
      <c r="B727" s="528"/>
      <c r="C727" s="528"/>
      <c r="D727" s="3"/>
      <c r="E727" s="528"/>
      <c r="F727" s="528"/>
      <c r="G727" s="528"/>
      <c r="H727" s="528"/>
      <c r="I727" s="528"/>
      <c r="J727" s="528"/>
      <c r="K727" s="528"/>
      <c r="L727" s="806"/>
      <c r="M727" s="528"/>
      <c r="N727" s="528"/>
      <c r="O727" s="528"/>
      <c r="P727" s="528"/>
      <c r="Q727" s="528"/>
      <c r="R727" s="807">
        <f>$A727*Q727</f>
        <v>0</v>
      </c>
      <c r="S727" s="528"/>
      <c r="T727" s="643">
        <f>$A727*S727*$T$1</f>
        <v>0</v>
      </c>
    </row>
    <row r="728" spans="1:41" s="519" customFormat="1" ht="12" customHeight="1">
      <c r="A728" s="835" t="s">
        <v>145</v>
      </c>
      <c r="B728" s="836">
        <f>(R727+T727)</f>
        <v>0</v>
      </c>
      <c r="C728" s="837"/>
      <c r="D728" s="837"/>
      <c r="E728" s="837"/>
      <c r="F728" s="837"/>
      <c r="G728" s="813"/>
      <c r="H728" s="813"/>
      <c r="I728" s="813"/>
      <c r="J728" s="813"/>
      <c r="K728" s="838" t="s">
        <v>5</v>
      </c>
      <c r="L728" s="839" t="s">
        <v>590</v>
      </c>
      <c r="M728" s="813"/>
      <c r="N728" s="813"/>
      <c r="O728" s="813"/>
      <c r="P728" s="813"/>
      <c r="Q728" s="813"/>
      <c r="R728" s="814">
        <f>SUM(R724:R727)</f>
        <v>0</v>
      </c>
      <c r="S728" s="815"/>
      <c r="T728" s="814">
        <f>SUM(T724:T727)</f>
        <v>0</v>
      </c>
      <c r="AG728" s="840">
        <f>ROUND($R728*$S$3,2)</f>
        <v>0</v>
      </c>
    </row>
    <row r="729" spans="1:41" s="519" customFormat="1" ht="12.75" customHeight="1">
      <c r="A729" s="841"/>
      <c r="B729" s="842"/>
      <c r="E729" s="641"/>
      <c r="F729" s="843"/>
      <c r="G729" s="641"/>
      <c r="H729" s="641"/>
      <c r="I729" s="518"/>
      <c r="J729" s="641"/>
      <c r="K729" s="641"/>
      <c r="L729" s="844"/>
      <c r="M729" s="652"/>
      <c r="N729" s="652"/>
      <c r="O729" s="652"/>
      <c r="P729" s="652"/>
      <c r="Q729" s="653"/>
      <c r="R729" s="821"/>
      <c r="S729" s="641"/>
      <c r="T729" s="821"/>
    </row>
    <row r="730" spans="1:41" s="519" customFormat="1" ht="13.5" customHeight="1" thickBot="1">
      <c r="A730" s="845"/>
      <c r="B730" s="846"/>
      <c r="C730" s="529"/>
      <c r="D730" s="529"/>
      <c r="E730" s="646"/>
      <c r="F730" s="647"/>
      <c r="G730" s="646" t="s">
        <v>146</v>
      </c>
      <c r="H730" s="646"/>
      <c r="I730" s="648"/>
      <c r="J730" s="646"/>
      <c r="K730" s="646"/>
      <c r="L730" s="847" t="s">
        <v>143</v>
      </c>
      <c r="M730" s="649"/>
      <c r="N730" s="649"/>
      <c r="O730" s="649"/>
      <c r="P730" s="649"/>
      <c r="Q730" s="650"/>
      <c r="R730" s="848">
        <f ca="1">SUMIF($L717:$L729,"SUBI",R717:R729)</f>
        <v>0</v>
      </c>
      <c r="S730" s="646"/>
      <c r="T730" s="848">
        <f ca="1">SUMIF($L717:$L729,"SUBI",T717:T729)</f>
        <v>0</v>
      </c>
      <c r="U730" s="529"/>
      <c r="V730" s="529"/>
      <c r="W730" s="529"/>
      <c r="X730" s="529"/>
      <c r="Y730" s="529"/>
      <c r="Z730" s="529"/>
      <c r="AA730" s="529"/>
      <c r="AB730" s="529"/>
      <c r="AC730" s="529"/>
      <c r="AD730" s="529"/>
      <c r="AE730" s="529"/>
      <c r="AF730" s="529"/>
      <c r="AG730" s="529"/>
      <c r="AH730" s="529"/>
      <c r="AI730" s="529"/>
      <c r="AJ730" s="529"/>
      <c r="AK730" s="529"/>
      <c r="AL730" s="529"/>
      <c r="AM730" s="529"/>
      <c r="AN730" s="529"/>
      <c r="AO730" s="529"/>
    </row>
    <row r="731" spans="1:41" s="519" customFormat="1" thickTop="1">
      <c r="A731" s="47"/>
      <c r="B731" s="47"/>
      <c r="C731" s="3"/>
      <c r="D731" s="3"/>
      <c r="E731" s="47"/>
      <c r="F731" s="47"/>
      <c r="G731" s="47"/>
      <c r="H731" s="47"/>
      <c r="I731" s="47"/>
      <c r="J731" s="47"/>
      <c r="K731" s="47" t="s">
        <v>134</v>
      </c>
      <c r="L731" s="47"/>
      <c r="M731" s="47"/>
      <c r="N731" s="47"/>
      <c r="O731" s="48"/>
      <c r="P731" s="47"/>
      <c r="Q731" s="47"/>
      <c r="R731" s="47"/>
      <c r="S731" s="47"/>
      <c r="T731" s="47"/>
    </row>
    <row r="732" spans="1:41" s="519" customFormat="1" ht="12">
      <c r="A732" s="47"/>
      <c r="B732" s="47"/>
      <c r="C732" s="47" t="s">
        <v>135</v>
      </c>
      <c r="D732" s="36"/>
      <c r="E732" s="47"/>
      <c r="F732" s="47"/>
      <c r="G732" s="47"/>
      <c r="H732" s="47"/>
      <c r="I732" s="47"/>
      <c r="J732" s="47"/>
      <c r="K732" s="47"/>
      <c r="L732" s="47"/>
      <c r="M732" s="47"/>
      <c r="N732" s="47"/>
      <c r="O732" s="48"/>
      <c r="P732" s="47"/>
      <c r="Q732" s="47"/>
      <c r="R732" s="47"/>
      <c r="S732" s="47"/>
      <c r="T732" s="47"/>
    </row>
    <row r="733" spans="1:41" s="519" customFormat="1" ht="39.9" customHeight="1">
      <c r="A733" s="47"/>
      <c r="B733" s="47"/>
      <c r="C733" s="47"/>
      <c r="D733" s="979" t="s">
        <v>480</v>
      </c>
      <c r="E733" s="980"/>
      <c r="F733" s="980"/>
      <c r="G733" s="980"/>
      <c r="H733" s="980"/>
      <c r="I733" s="980"/>
      <c r="J733" s="980"/>
      <c r="K733" s="980"/>
      <c r="L733" s="980"/>
      <c r="M733" s="980"/>
      <c r="N733" s="980"/>
      <c r="O733" s="980"/>
      <c r="P733" s="980"/>
      <c r="Q733" s="980"/>
      <c r="R733" s="980"/>
      <c r="S733" s="980"/>
      <c r="T733" s="980"/>
    </row>
    <row r="734" spans="1:41" s="3" customFormat="1" thickBot="1">
      <c r="A734" s="529"/>
      <c r="O734" s="99"/>
    </row>
    <row r="735" spans="1:41" s="519" customFormat="1" ht="12" thickTop="1">
      <c r="A735" s="47"/>
      <c r="B735" s="40"/>
      <c r="C735" s="47"/>
      <c r="E735" s="41" t="s">
        <v>138</v>
      </c>
      <c r="F735" s="41" t="s">
        <v>139</v>
      </c>
      <c r="G735" s="47"/>
      <c r="H735" s="47"/>
      <c r="I735" s="47"/>
      <c r="J735" s="47"/>
      <c r="K735" s="47" t="s">
        <v>140</v>
      </c>
      <c r="L735" s="47"/>
      <c r="M735" s="47"/>
      <c r="N735" s="47"/>
      <c r="O735" s="48"/>
      <c r="P735" s="47"/>
      <c r="Q735" s="47"/>
      <c r="R735" s="47"/>
      <c r="S735" s="47"/>
      <c r="T735" s="40"/>
      <c r="AG735" s="627" t="s">
        <v>277</v>
      </c>
      <c r="AH735" s="627" t="s">
        <v>278</v>
      </c>
      <c r="AI735" s="627" t="s">
        <v>279</v>
      </c>
      <c r="AJ735" s="627" t="s">
        <v>280</v>
      </c>
      <c r="AK735" s="627" t="s">
        <v>281</v>
      </c>
      <c r="AM735" s="628" t="s">
        <v>290</v>
      </c>
      <c r="AN735" s="629" t="s">
        <v>291</v>
      </c>
      <c r="AO735" s="520" t="s">
        <v>287</v>
      </c>
    </row>
    <row r="736" spans="1:41" s="519" customFormat="1" ht="12" customHeight="1">
      <c r="A736" s="630">
        <v>1</v>
      </c>
      <c r="B736" s="521" t="s">
        <v>312</v>
      </c>
      <c r="C736" s="631"/>
      <c r="D736" s="632" t="s">
        <v>655</v>
      </c>
      <c r="E736" s="633">
        <f>IF(AND($A736=0,$A$1="DIF"),0, ROUND(ROUND(($R744*$S$2+($T744*$T$2))/A736,2)*$C$2,2))</f>
        <v>0</v>
      </c>
      <c r="F736" s="634">
        <f>ROUND($A736*$E736,2)</f>
        <v>0</v>
      </c>
      <c r="G736" s="635" t="s">
        <v>142</v>
      </c>
      <c r="H736" s="636"/>
      <c r="I736" s="637"/>
      <c r="J736" s="636"/>
      <c r="K736" s="636" t="s">
        <v>3</v>
      </c>
      <c r="L736" s="638" t="s">
        <v>143</v>
      </c>
      <c r="M736" s="638"/>
      <c r="N736" s="638"/>
      <c r="O736" s="638"/>
      <c r="P736" s="638"/>
      <c r="Q736" s="968" t="s">
        <v>819</v>
      </c>
      <c r="T736" s="639" t="str">
        <f>IF(AND($R744=0,$T744=0),"0.00","mu :" &amp; ROUND($F736/$C$2/($R744+$T744*$D$9),2))</f>
        <v>0.00</v>
      </c>
      <c r="W736" s="522"/>
      <c r="AG736" s="470">
        <f>IF($E736=0,0,ROUND($R744*$S$2*$C$2/$A736,2))</f>
        <v>0</v>
      </c>
      <c r="AH736" s="470">
        <f>$AG736*$A736</f>
        <v>0</v>
      </c>
      <c r="AI736" s="523">
        <f>$E736-$AG736</f>
        <v>0</v>
      </c>
      <c r="AJ736" s="523">
        <f>$A736*$AI736</f>
        <v>0</v>
      </c>
      <c r="AK736" s="524">
        <f>ROUND(($AG736+$AI736)*$A736,2)</f>
        <v>0</v>
      </c>
      <c r="AM736" s="525">
        <f>ROUND(R744,2)</f>
        <v>0</v>
      </c>
      <c r="AN736" s="526">
        <f>ROUND(T744,2)</f>
        <v>0</v>
      </c>
      <c r="AO736" s="527">
        <f>ROUND(AM736+AN736,2)*A736</f>
        <v>0</v>
      </c>
    </row>
    <row r="737" spans="1:41" s="519" customFormat="1" ht="13.2">
      <c r="A737" s="631"/>
      <c r="B737"/>
      <c r="C737" s="631"/>
      <c r="D737" s="632" t="s">
        <v>656</v>
      </c>
      <c r="F737" s="636"/>
      <c r="G737" s="3"/>
      <c r="H737" s="636"/>
      <c r="I737" s="637"/>
      <c r="J737" s="636"/>
      <c r="K737" s="636" t="s">
        <v>144</v>
      </c>
      <c r="L737" s="636"/>
      <c r="M737" s="636"/>
      <c r="N737" s="636"/>
      <c r="O737" s="636"/>
      <c r="P737" s="636"/>
      <c r="Q737" s="47"/>
      <c r="R737" s="528"/>
      <c r="S737" s="640"/>
      <c r="T737" s="636"/>
    </row>
    <row r="738" spans="1:41" s="519" customFormat="1" ht="12">
      <c r="A738" s="47"/>
      <c r="B738" s="641"/>
      <c r="C738" s="641"/>
      <c r="D738" s="641"/>
      <c r="E738" s="641"/>
      <c r="F738" s="636"/>
      <c r="G738" s="641"/>
      <c r="H738" s="641"/>
      <c r="I738" s="518"/>
      <c r="J738" s="641"/>
      <c r="K738" s="641"/>
      <c r="L738" s="641"/>
      <c r="M738" s="641"/>
      <c r="N738" s="641"/>
      <c r="O738" s="641"/>
      <c r="P738" s="641"/>
      <c r="Q738" s="518"/>
      <c r="R738" s="642">
        <f t="shared" ref="R738:R743" si="10">$A738*Q738</f>
        <v>0</v>
      </c>
      <c r="S738" s="518"/>
      <c r="T738" s="643">
        <f t="shared" ref="T738:T743" si="11">$A738*S738*$T$1</f>
        <v>0</v>
      </c>
    </row>
    <row r="739" spans="1:41" s="519" customFormat="1" ht="12">
      <c r="A739" s="47"/>
      <c r="B739" s="641"/>
      <c r="C739" s="641"/>
      <c r="D739" s="641"/>
      <c r="E739" s="641"/>
      <c r="F739" s="636"/>
      <c r="G739" s="641"/>
      <c r="H739" s="641"/>
      <c r="I739" s="518"/>
      <c r="J739" s="641"/>
      <c r="K739" s="641"/>
      <c r="L739" s="641"/>
      <c r="M739" s="641"/>
      <c r="N739" s="641"/>
      <c r="O739" s="641"/>
      <c r="P739" s="641"/>
      <c r="Q739" s="518"/>
      <c r="R739" s="642">
        <f t="shared" si="10"/>
        <v>0</v>
      </c>
      <c r="S739" s="518"/>
      <c r="T739" s="643">
        <f t="shared" si="11"/>
        <v>0</v>
      </c>
    </row>
    <row r="740" spans="1:41" s="519" customFormat="1" ht="12">
      <c r="A740" s="47"/>
      <c r="B740" s="641"/>
      <c r="C740" s="641"/>
      <c r="D740" s="641"/>
      <c r="E740" s="641"/>
      <c r="F740" s="636"/>
      <c r="G740" s="641"/>
      <c r="H740" s="641"/>
      <c r="I740" s="518"/>
      <c r="J740" s="641"/>
      <c r="K740" s="641"/>
      <c r="L740" s="641"/>
      <c r="M740" s="641"/>
      <c r="N740" s="641"/>
      <c r="O740" s="641"/>
      <c r="P740" s="641"/>
      <c r="Q740" s="518"/>
      <c r="R740" s="642">
        <f t="shared" si="10"/>
        <v>0</v>
      </c>
      <c r="S740" s="518"/>
      <c r="T740" s="643">
        <f t="shared" si="11"/>
        <v>0</v>
      </c>
    </row>
    <row r="741" spans="1:41" s="519" customFormat="1" ht="12">
      <c r="A741" s="47"/>
      <c r="B741" s="641"/>
      <c r="C741" s="641"/>
      <c r="D741" s="641"/>
      <c r="E741" s="641"/>
      <c r="F741" s="636"/>
      <c r="G741" s="641"/>
      <c r="H741" s="641"/>
      <c r="I741" s="518"/>
      <c r="J741" s="641"/>
      <c r="K741" s="641"/>
      <c r="L741" s="641"/>
      <c r="M741" s="641"/>
      <c r="N741" s="641"/>
      <c r="O741" s="641"/>
      <c r="P741" s="641"/>
      <c r="Q741" s="518"/>
      <c r="R741" s="642">
        <f t="shared" si="10"/>
        <v>0</v>
      </c>
      <c r="S741" s="518"/>
      <c r="T741" s="643">
        <f t="shared" si="11"/>
        <v>0</v>
      </c>
    </row>
    <row r="742" spans="1:41" s="519" customFormat="1" ht="12">
      <c r="A742" s="47"/>
      <c r="B742" s="641"/>
      <c r="C742" s="641"/>
      <c r="D742" s="641"/>
      <c r="E742" s="641"/>
      <c r="F742" s="636"/>
      <c r="G742" s="641"/>
      <c r="H742" s="641"/>
      <c r="I742" s="518"/>
      <c r="J742" s="641"/>
      <c r="K742" s="641"/>
      <c r="L742" s="641"/>
      <c r="M742" s="641"/>
      <c r="N742" s="641"/>
      <c r="O742" s="641"/>
      <c r="P742" s="641"/>
      <c r="Q742" s="518"/>
      <c r="R742" s="642">
        <f t="shared" si="10"/>
        <v>0</v>
      </c>
      <c r="S742" s="518"/>
      <c r="T742" s="643">
        <f t="shared" si="11"/>
        <v>0</v>
      </c>
    </row>
    <row r="743" spans="1:41" s="519" customFormat="1" ht="12">
      <c r="A743" s="641"/>
      <c r="B743" s="641"/>
      <c r="C743" s="641"/>
      <c r="D743" s="641"/>
      <c r="E743" s="641"/>
      <c r="F743" s="636"/>
      <c r="G743" s="641"/>
      <c r="H743" s="641"/>
      <c r="I743" s="518"/>
      <c r="J743" s="641"/>
      <c r="K743" s="641"/>
      <c r="L743" s="641"/>
      <c r="M743" s="641"/>
      <c r="N743" s="641"/>
      <c r="O743" s="641"/>
      <c r="P743" s="641"/>
      <c r="Q743" s="518"/>
      <c r="R743" s="642">
        <f t="shared" si="10"/>
        <v>0</v>
      </c>
      <c r="S743" s="518"/>
      <c r="T743" s="643">
        <f t="shared" si="11"/>
        <v>0</v>
      </c>
    </row>
    <row r="744" spans="1:41" s="519" customFormat="1" ht="12.6" thickBot="1">
      <c r="A744" s="644" t="s">
        <v>145</v>
      </c>
      <c r="B744" s="645">
        <f>(R743+T743)</f>
        <v>0</v>
      </c>
      <c r="C744" s="646"/>
      <c r="D744" s="646"/>
      <c r="E744" s="646"/>
      <c r="F744" s="647"/>
      <c r="G744" s="646" t="s">
        <v>146</v>
      </c>
      <c r="H744" s="646"/>
      <c r="I744" s="648"/>
      <c r="J744" s="646"/>
      <c r="K744" s="646" t="s">
        <v>3</v>
      </c>
      <c r="L744" s="649" t="s">
        <v>143</v>
      </c>
      <c r="M744" s="649"/>
      <c r="N744" s="649"/>
      <c r="O744" s="649"/>
      <c r="P744" s="649"/>
      <c r="Q744" s="650"/>
      <c r="R744" s="651">
        <f>SUM(R737:R743)</f>
        <v>0</v>
      </c>
      <c r="S744" s="646"/>
      <c r="T744" s="651">
        <f>SUM(T737:T743)</f>
        <v>0</v>
      </c>
      <c r="U744" s="529"/>
      <c r="V744" s="529"/>
      <c r="W744" s="529"/>
      <c r="X744" s="529"/>
      <c r="Y744" s="529"/>
      <c r="Z744" s="529"/>
      <c r="AA744" s="529"/>
      <c r="AB744" s="529"/>
      <c r="AC744" s="529"/>
      <c r="AD744" s="529"/>
      <c r="AE744" s="529"/>
      <c r="AF744" s="529"/>
      <c r="AG744" s="529"/>
      <c r="AH744" s="529"/>
      <c r="AI744" s="529"/>
      <c r="AJ744" s="529"/>
      <c r="AK744" s="529"/>
      <c r="AL744" s="529"/>
      <c r="AM744" s="529"/>
      <c r="AN744" s="529"/>
      <c r="AO744" s="529"/>
    </row>
    <row r="745" spans="1:41" s="519" customFormat="1" ht="12" thickTop="1">
      <c r="A745" s="47"/>
      <c r="B745" s="40"/>
      <c r="C745" s="47"/>
      <c r="E745" s="41" t="s">
        <v>138</v>
      </c>
      <c r="F745" s="41" t="s">
        <v>139</v>
      </c>
      <c r="G745" s="47"/>
      <c r="H745" s="47"/>
      <c r="I745" s="47"/>
      <c r="J745" s="47"/>
      <c r="K745" s="47" t="s">
        <v>140</v>
      </c>
      <c r="L745" s="47"/>
      <c r="M745" s="47"/>
      <c r="N745" s="47"/>
      <c r="O745" s="48"/>
      <c r="P745" s="47"/>
      <c r="Q745" s="47"/>
      <c r="R745" s="47"/>
      <c r="S745" s="47"/>
      <c r="T745" s="40"/>
      <c r="AG745" s="627" t="s">
        <v>277</v>
      </c>
      <c r="AH745" s="627" t="s">
        <v>278</v>
      </c>
      <c r="AI745" s="627" t="s">
        <v>279</v>
      </c>
      <c r="AJ745" s="627" t="s">
        <v>280</v>
      </c>
      <c r="AK745" s="627" t="s">
        <v>281</v>
      </c>
      <c r="AM745" s="628" t="s">
        <v>290</v>
      </c>
      <c r="AN745" s="629" t="s">
        <v>291</v>
      </c>
      <c r="AO745" s="520" t="s">
        <v>287</v>
      </c>
    </row>
    <row r="746" spans="1:41" s="519" customFormat="1" ht="12" customHeight="1">
      <c r="A746" s="630">
        <v>1</v>
      </c>
      <c r="B746" s="521" t="s">
        <v>312</v>
      </c>
      <c r="C746" s="631"/>
      <c r="D746" s="632" t="s">
        <v>657</v>
      </c>
      <c r="E746" s="633">
        <f>IF(AND($A746=0,$A$1="DIF"),0, ROUND(ROUND(($R754*$S$2+($T754*$T$2))/A746,2)*$C$2,2))</f>
        <v>0</v>
      </c>
      <c r="F746" s="634">
        <f>ROUND($A746*$E746,2)</f>
        <v>0</v>
      </c>
      <c r="G746" s="635" t="s">
        <v>142</v>
      </c>
      <c r="H746" s="636"/>
      <c r="I746" s="637"/>
      <c r="J746" s="636"/>
      <c r="K746" s="636" t="s">
        <v>3</v>
      </c>
      <c r="L746" s="638" t="s">
        <v>143</v>
      </c>
      <c r="M746" s="638"/>
      <c r="N746" s="638"/>
      <c r="O746" s="638"/>
      <c r="P746" s="638"/>
      <c r="Q746" s="968" t="s">
        <v>819</v>
      </c>
      <c r="T746" s="639" t="str">
        <f>IF(AND($R754=0,$T754=0),"0.00","mu :" &amp; ROUND($F746/$C$2/($R754+$T754*$D$9),2))</f>
        <v>0.00</v>
      </c>
      <c r="W746" s="522"/>
      <c r="AG746" s="470">
        <f>IF($E746=0,0,ROUND($R754*$S$2*$C$2/$A746,2))</f>
        <v>0</v>
      </c>
      <c r="AH746" s="470">
        <f>$AG746*$A746</f>
        <v>0</v>
      </c>
      <c r="AI746" s="523">
        <f>$E746-$AG746</f>
        <v>0</v>
      </c>
      <c r="AJ746" s="523">
        <f>$A746*$AI746</f>
        <v>0</v>
      </c>
      <c r="AK746" s="524">
        <f>ROUND(($AG746+$AI746)*$A746,2)</f>
        <v>0</v>
      </c>
      <c r="AM746" s="525">
        <f>ROUND(R754,2)</f>
        <v>0</v>
      </c>
      <c r="AN746" s="526">
        <f>ROUND(T754,2)</f>
        <v>0</v>
      </c>
      <c r="AO746" s="527">
        <f>ROUND(AM746+AN746,2)*A746</f>
        <v>0</v>
      </c>
    </row>
    <row r="747" spans="1:41" s="519" customFormat="1" ht="13.2">
      <c r="A747" s="631"/>
      <c r="B747"/>
      <c r="C747" s="631"/>
      <c r="D747" s="632" t="s">
        <v>658</v>
      </c>
      <c r="F747" s="636"/>
      <c r="G747" s="3"/>
      <c r="H747" s="636"/>
      <c r="I747" s="637"/>
      <c r="J747" s="636"/>
      <c r="K747" s="636" t="s">
        <v>144</v>
      </c>
      <c r="L747" s="636"/>
      <c r="M747" s="636"/>
      <c r="N747" s="636"/>
      <c r="O747" s="636"/>
      <c r="P747" s="636"/>
      <c r="Q747" s="47"/>
      <c r="R747" s="528"/>
      <c r="S747" s="640"/>
      <c r="T747" s="636"/>
    </row>
    <row r="748" spans="1:41" s="519" customFormat="1" ht="12">
      <c r="A748" s="47"/>
      <c r="B748" s="641"/>
      <c r="C748" s="641"/>
      <c r="D748" s="641"/>
      <c r="E748" s="641"/>
      <c r="F748" s="636"/>
      <c r="G748" s="641"/>
      <c r="H748" s="641"/>
      <c r="I748" s="518"/>
      <c r="J748" s="641"/>
      <c r="K748" s="641"/>
      <c r="L748" s="641"/>
      <c r="M748" s="641"/>
      <c r="N748" s="641"/>
      <c r="O748" s="641"/>
      <c r="P748" s="641"/>
      <c r="Q748" s="518"/>
      <c r="R748" s="642">
        <f t="shared" ref="R748:R753" si="12">$A748*Q748</f>
        <v>0</v>
      </c>
      <c r="S748" s="518"/>
      <c r="T748" s="643">
        <f t="shared" ref="T748:T753" si="13">$A748*S748*$T$1</f>
        <v>0</v>
      </c>
    </row>
    <row r="749" spans="1:41" s="519" customFormat="1" ht="12">
      <c r="A749" s="47"/>
      <c r="B749" s="641"/>
      <c r="C749" s="641"/>
      <c r="D749" s="641"/>
      <c r="E749" s="641"/>
      <c r="F749" s="636"/>
      <c r="G749" s="641"/>
      <c r="H749" s="641"/>
      <c r="I749" s="518"/>
      <c r="J749" s="641"/>
      <c r="K749" s="641"/>
      <c r="L749" s="641"/>
      <c r="M749" s="641"/>
      <c r="N749" s="641"/>
      <c r="O749" s="641"/>
      <c r="P749" s="641"/>
      <c r="Q749" s="518"/>
      <c r="R749" s="642">
        <f t="shared" si="12"/>
        <v>0</v>
      </c>
      <c r="S749" s="518"/>
      <c r="T749" s="643">
        <f t="shared" si="13"/>
        <v>0</v>
      </c>
    </row>
    <row r="750" spans="1:41" s="519" customFormat="1" ht="12">
      <c r="A750" s="47"/>
      <c r="B750" s="641"/>
      <c r="C750" s="641"/>
      <c r="D750" s="641"/>
      <c r="E750" s="641"/>
      <c r="F750" s="636"/>
      <c r="G750" s="641"/>
      <c r="H750" s="641"/>
      <c r="I750" s="518"/>
      <c r="J750" s="641"/>
      <c r="K750" s="641"/>
      <c r="L750" s="641"/>
      <c r="M750" s="641"/>
      <c r="N750" s="641"/>
      <c r="O750" s="641"/>
      <c r="P750" s="641"/>
      <c r="Q750" s="518"/>
      <c r="R750" s="642">
        <f t="shared" si="12"/>
        <v>0</v>
      </c>
      <c r="S750" s="518"/>
      <c r="T750" s="643">
        <f t="shared" si="13"/>
        <v>0</v>
      </c>
    </row>
    <row r="751" spans="1:41" s="519" customFormat="1" ht="12">
      <c r="A751" s="47"/>
      <c r="B751" s="641"/>
      <c r="C751" s="641"/>
      <c r="D751" s="641"/>
      <c r="E751" s="641"/>
      <c r="F751" s="636"/>
      <c r="G751" s="641"/>
      <c r="H751" s="641"/>
      <c r="I751" s="518"/>
      <c r="J751" s="641"/>
      <c r="K751" s="641"/>
      <c r="L751" s="641"/>
      <c r="M751" s="641"/>
      <c r="N751" s="641"/>
      <c r="O751" s="641"/>
      <c r="P751" s="641"/>
      <c r="Q751" s="518"/>
      <c r="R751" s="642">
        <f t="shared" si="12"/>
        <v>0</v>
      </c>
      <c r="S751" s="518"/>
      <c r="T751" s="643">
        <f t="shared" si="13"/>
        <v>0</v>
      </c>
    </row>
    <row r="752" spans="1:41" s="519" customFormat="1" ht="12">
      <c r="A752" s="47"/>
      <c r="B752" s="641"/>
      <c r="C752" s="641"/>
      <c r="D752" s="641"/>
      <c r="E752" s="641"/>
      <c r="F752" s="636"/>
      <c r="G752" s="641"/>
      <c r="H752" s="641"/>
      <c r="I752" s="518"/>
      <c r="J752" s="641"/>
      <c r="K752" s="641"/>
      <c r="L752" s="641"/>
      <c r="M752" s="641"/>
      <c r="N752" s="641"/>
      <c r="O752" s="641"/>
      <c r="P752" s="641"/>
      <c r="Q752" s="518"/>
      <c r="R752" s="642">
        <f t="shared" si="12"/>
        <v>0</v>
      </c>
      <c r="S752" s="518"/>
      <c r="T752" s="643">
        <f t="shared" si="13"/>
        <v>0</v>
      </c>
    </row>
    <row r="753" spans="1:41" s="519" customFormat="1" ht="12">
      <c r="A753" s="641"/>
      <c r="B753" s="641"/>
      <c r="C753" s="641"/>
      <c r="D753" s="641"/>
      <c r="E753" s="641"/>
      <c r="F753" s="636"/>
      <c r="G753" s="641"/>
      <c r="H753" s="641"/>
      <c r="I753" s="518"/>
      <c r="J753" s="641"/>
      <c r="K753" s="641"/>
      <c r="L753" s="641"/>
      <c r="M753" s="641"/>
      <c r="N753" s="641"/>
      <c r="O753" s="641"/>
      <c r="P753" s="641"/>
      <c r="Q753" s="518"/>
      <c r="R753" s="642">
        <f t="shared" si="12"/>
        <v>0</v>
      </c>
      <c r="S753" s="518"/>
      <c r="T753" s="643">
        <f t="shared" si="13"/>
        <v>0</v>
      </c>
    </row>
    <row r="754" spans="1:41" s="519" customFormat="1" ht="12.6" thickBot="1">
      <c r="A754" s="644" t="s">
        <v>145</v>
      </c>
      <c r="B754" s="645">
        <f>(R753+T753)</f>
        <v>0</v>
      </c>
      <c r="C754" s="646"/>
      <c r="D754" s="646"/>
      <c r="E754" s="646"/>
      <c r="F754" s="647"/>
      <c r="G754" s="646" t="s">
        <v>146</v>
      </c>
      <c r="H754" s="646"/>
      <c r="I754" s="648"/>
      <c r="J754" s="646"/>
      <c r="K754" s="646" t="s">
        <v>3</v>
      </c>
      <c r="L754" s="649" t="s">
        <v>143</v>
      </c>
      <c r="M754" s="649"/>
      <c r="N754" s="649"/>
      <c r="O754" s="649"/>
      <c r="P754" s="649"/>
      <c r="Q754" s="650"/>
      <c r="R754" s="651">
        <f>SUM(R747:R753)</f>
        <v>0</v>
      </c>
      <c r="S754" s="646"/>
      <c r="T754" s="651">
        <f>SUM(T747:T753)</f>
        <v>0</v>
      </c>
      <c r="U754" s="529"/>
      <c r="V754" s="529"/>
      <c r="W754" s="529"/>
      <c r="X754" s="529"/>
      <c r="Y754" s="529"/>
      <c r="Z754" s="529"/>
      <c r="AA754" s="529"/>
      <c r="AB754" s="529"/>
      <c r="AC754" s="529"/>
      <c r="AD754" s="529"/>
      <c r="AE754" s="529"/>
      <c r="AF754" s="529"/>
      <c r="AG754" s="529"/>
      <c r="AH754" s="529"/>
      <c r="AI754" s="529"/>
      <c r="AJ754" s="529"/>
      <c r="AK754" s="529"/>
      <c r="AL754" s="529"/>
      <c r="AM754" s="529"/>
      <c r="AN754" s="529"/>
      <c r="AO754" s="529"/>
    </row>
    <row r="755" spans="1:41" s="519" customFormat="1" thickTop="1">
      <c r="A755" s="47"/>
      <c r="B755" s="47"/>
      <c r="C755" s="3"/>
      <c r="D755" s="3"/>
      <c r="E755" s="47"/>
      <c r="F755" s="47"/>
      <c r="G755" s="47"/>
      <c r="H755" s="47"/>
      <c r="I755" s="47"/>
      <c r="J755" s="47"/>
      <c r="K755" s="47" t="s">
        <v>134</v>
      </c>
      <c r="L755" s="47"/>
      <c r="M755" s="47"/>
      <c r="N755" s="47"/>
      <c r="O755" s="48"/>
      <c r="P755" s="47"/>
      <c r="Q755" s="47"/>
      <c r="R755" s="47"/>
      <c r="S755" s="47"/>
      <c r="T755" s="47"/>
    </row>
    <row r="756" spans="1:41" s="519" customFormat="1" ht="12">
      <c r="A756" s="47"/>
      <c r="B756" s="47"/>
      <c r="C756" s="47" t="s">
        <v>135</v>
      </c>
      <c r="D756" s="36"/>
      <c r="E756" s="47"/>
      <c r="F756" s="47"/>
      <c r="G756" s="47"/>
      <c r="H756" s="47"/>
      <c r="I756" s="47"/>
      <c r="J756" s="47"/>
      <c r="K756" s="47"/>
      <c r="L756" s="47"/>
      <c r="M756" s="47"/>
      <c r="N756" s="47"/>
      <c r="O756" s="48"/>
      <c r="P756" s="47"/>
      <c r="Q756" s="47"/>
      <c r="R756" s="47"/>
      <c r="S756" s="47"/>
      <c r="T756" s="47"/>
    </row>
    <row r="757" spans="1:41" s="519" customFormat="1" ht="39.9" customHeight="1">
      <c r="A757" s="47"/>
      <c r="B757" s="47"/>
      <c r="C757" s="47"/>
      <c r="D757" s="979" t="s">
        <v>659</v>
      </c>
      <c r="E757" s="980"/>
      <c r="F757" s="980"/>
      <c r="G757" s="980"/>
      <c r="H757" s="980"/>
      <c r="I757" s="980"/>
      <c r="J757" s="980"/>
      <c r="K757" s="980"/>
      <c r="L757" s="980"/>
      <c r="M757" s="980"/>
      <c r="N757" s="980"/>
      <c r="O757" s="980"/>
      <c r="P757" s="980"/>
      <c r="Q757" s="980"/>
      <c r="R757" s="980"/>
      <c r="S757" s="980"/>
      <c r="T757" s="980"/>
    </row>
    <row r="758" spans="1:41" s="3" customFormat="1" thickBot="1">
      <c r="A758" s="529"/>
      <c r="O758" s="99"/>
    </row>
    <row r="759" spans="1:41" s="519" customFormat="1" thickTop="1">
      <c r="A759" s="47"/>
      <c r="B759" s="40"/>
      <c r="C759" s="47"/>
      <c r="E759" s="41" t="s">
        <v>138</v>
      </c>
      <c r="F759" s="41" t="s">
        <v>139</v>
      </c>
      <c r="G759" s="47"/>
      <c r="H759" s="47"/>
      <c r="I759" s="47"/>
      <c r="J759" s="47"/>
      <c r="K759" s="47" t="s">
        <v>140</v>
      </c>
      <c r="L759" s="774"/>
      <c r="M759" s="47"/>
      <c r="N759" s="47"/>
      <c r="O759" s="48"/>
      <c r="P759" s="47"/>
      <c r="Q759"/>
      <c r="R759"/>
      <c r="S759"/>
      <c r="T759" s="40"/>
      <c r="AG759" s="627" t="s">
        <v>277</v>
      </c>
      <c r="AH759" s="627" t="s">
        <v>278</v>
      </c>
      <c r="AI759" s="627" t="s">
        <v>279</v>
      </c>
      <c r="AJ759" s="627" t="s">
        <v>280</v>
      </c>
      <c r="AK759" s="627" t="s">
        <v>281</v>
      </c>
      <c r="AM759" s="628" t="s">
        <v>290</v>
      </c>
      <c r="AN759" s="629" t="s">
        <v>291</v>
      </c>
      <c r="AO759" s="520" t="s">
        <v>287</v>
      </c>
    </row>
    <row r="760" spans="1:41" s="519" customFormat="1" ht="13.2">
      <c r="A760" s="630">
        <v>1</v>
      </c>
      <c r="B760" s="521" t="s">
        <v>339</v>
      </c>
      <c r="C760" s="631"/>
      <c r="D760" s="632" t="s">
        <v>660</v>
      </c>
      <c r="E760" s="775">
        <f ca="1">IF(AND($A760=0,$A$1="DIF"),0, ROUND(ROUND(SUMIF($L762:$L798,"SUBI",$E762:$E798)/$A760,2)*$C$12,2))</f>
        <v>7319</v>
      </c>
      <c r="F760" s="776">
        <f ca="1">ROUND($A760*$E760,2)</f>
        <v>7319</v>
      </c>
      <c r="G760" s="635" t="s">
        <v>142</v>
      </c>
      <c r="H760" s="636"/>
      <c r="I760" s="637"/>
      <c r="J760" s="636"/>
      <c r="K760" s="777"/>
      <c r="L760" s="778" t="s">
        <v>143</v>
      </c>
      <c r="M760" s="638"/>
      <c r="N760" s="638"/>
      <c r="O760" s="638"/>
      <c r="P760" s="638"/>
      <c r="Q760"/>
      <c r="R760"/>
      <c r="S760"/>
      <c r="T760" s="779" t="str">
        <f ca="1">IF(AND($R804=0,$T804=0),"0.00","mu :" &amp; ROUND($F760/$C$12/($R804+$T804*$D$9),2))</f>
        <v>mu :1</v>
      </c>
      <c r="W760" s="522"/>
      <c r="AG760" s="780">
        <f ca="1">IF(A760=0,0,ROUND(SUM(AG762:AG804)/A760,2))</f>
        <v>6294.47</v>
      </c>
      <c r="AH760" s="780">
        <f ca="1">$AG760*$A760</f>
        <v>6294.47</v>
      </c>
      <c r="AI760" s="780">
        <f ca="1">$E760-$AG760</f>
        <v>1024.5299999999997</v>
      </c>
      <c r="AJ760" s="780">
        <f ca="1">$A760*$AI760</f>
        <v>1024.5299999999997</v>
      </c>
      <c r="AK760" s="781">
        <f ca="1">ROUND(($AG760+$AI760)*$A760,2)</f>
        <v>7319</v>
      </c>
      <c r="AM760" s="525">
        <f ca="1">ROUND(R804,2)</f>
        <v>6294.47</v>
      </c>
      <c r="AN760" s="526">
        <f ca="1">ROUND(T804,2)</f>
        <v>37.31</v>
      </c>
      <c r="AO760" s="527">
        <f ca="1">ROUND(AM760+AN760,2)*A760</f>
        <v>6331.78</v>
      </c>
    </row>
    <row r="761" spans="1:41" s="519" customFormat="1" ht="19.95" customHeight="1">
      <c r="A761" s="782"/>
      <c r="B761" s="783"/>
      <c r="C761" s="631"/>
      <c r="D761" s="784" t="s">
        <v>661</v>
      </c>
      <c r="F761" s="636"/>
      <c r="G761" s="636"/>
      <c r="H761" s="636"/>
      <c r="I761" s="637"/>
      <c r="J761" s="636"/>
      <c r="K761" s="636" t="s">
        <v>144</v>
      </c>
      <c r="L761" s="785"/>
      <c r="M761" s="636"/>
      <c r="N761" s="636"/>
      <c r="O761" s="636"/>
      <c r="P761" s="636"/>
      <c r="Q761" s="47"/>
      <c r="R761" s="528"/>
      <c r="S761" s="640"/>
      <c r="T761" s="636"/>
    </row>
    <row r="762" spans="1:41" s="519" customFormat="1" ht="12">
      <c r="A762" s="786"/>
      <c r="B762" s="787"/>
      <c r="C762" s="641"/>
      <c r="D762" s="636"/>
      <c r="E762" s="788">
        <f ca="1">F760/$C$12-SUMIF($L759:$L804,"SUBI",$E759:$E804)</f>
        <v>0</v>
      </c>
      <c r="F762" s="789" t="s">
        <v>589</v>
      </c>
      <c r="G762" s="790"/>
      <c r="H762" s="790"/>
      <c r="I762" s="791"/>
      <c r="J762" s="790"/>
      <c r="K762" s="790"/>
      <c r="L762" s="792"/>
      <c r="M762" s="793"/>
      <c r="N762" s="793"/>
      <c r="O762" s="793"/>
      <c r="P762" s="793"/>
      <c r="Q762" s="794"/>
      <c r="R762" s="795"/>
      <c r="S762" s="794"/>
      <c r="T762" s="796"/>
    </row>
    <row r="763" spans="1:41" s="519" customFormat="1" ht="12" customHeight="1">
      <c r="A763" s="797"/>
      <c r="B763" s="798"/>
      <c r="C763" s="799"/>
      <c r="D763" s="799" t="str">
        <f>$F$2</f>
        <v>Electrical</v>
      </c>
      <c r="E763" s="799">
        <f ca="1">ROUND(($R797*$S$2 + ($T797*$T$2)), 2)</f>
        <v>730.63</v>
      </c>
      <c r="F763" s="800">
        <f ca="1">$E763*$C$12</f>
        <v>730.63</v>
      </c>
      <c r="G763" s="528"/>
      <c r="H763" s="801"/>
      <c r="I763" s="528"/>
      <c r="J763" s="48"/>
      <c r="K763" s="802" t="s">
        <v>3</v>
      </c>
      <c r="L763" s="803" t="s">
        <v>590</v>
      </c>
      <c r="M763" s="528"/>
      <c r="N763" s="528"/>
      <c r="O763" s="48"/>
      <c r="P763" s="528"/>
      <c r="Q763" s="528"/>
      <c r="R763"/>
      <c r="S763"/>
      <c r="T763"/>
    </row>
    <row r="764" spans="1:41" s="933" customFormat="1" ht="13.2">
      <c r="A764">
        <v>1</v>
      </c>
      <c r="B764" s="933" t="s">
        <v>141</v>
      </c>
      <c r="D764" s="933" t="s">
        <v>785</v>
      </c>
      <c r="E764" s="935" t="s">
        <v>804</v>
      </c>
      <c r="F764" s="933" t="s">
        <v>803</v>
      </c>
      <c r="G764" s="936" t="s">
        <v>786</v>
      </c>
      <c r="H764" s="937">
        <v>570</v>
      </c>
      <c r="I764" s="933" t="s">
        <v>729</v>
      </c>
      <c r="O764" s="938">
        <v>2</v>
      </c>
      <c r="P764" s="939">
        <v>38443</v>
      </c>
      <c r="Q764" s="940"/>
      <c r="R764" s="941">
        <f>$A764*Q764</f>
        <v>0</v>
      </c>
      <c r="S764" s="940">
        <f>8+10</f>
        <v>18</v>
      </c>
      <c r="T764" s="942">
        <f>$A764*S764*$T$1</f>
        <v>18</v>
      </c>
    </row>
    <row r="765" spans="1:41" s="933" customFormat="1" ht="13.2">
      <c r="A765">
        <v>1</v>
      </c>
      <c r="B765" s="933" t="s">
        <v>141</v>
      </c>
      <c r="D765" s="933" t="s">
        <v>787</v>
      </c>
      <c r="F765" s="933" t="s">
        <v>847</v>
      </c>
      <c r="G765" s="936" t="s">
        <v>788</v>
      </c>
      <c r="H765" s="937">
        <v>501</v>
      </c>
      <c r="I765" s="933" t="s">
        <v>729</v>
      </c>
      <c r="K765" s="933" t="s">
        <v>789</v>
      </c>
      <c r="O765" s="938">
        <v>1</v>
      </c>
      <c r="P765" s="939"/>
      <c r="Q765" s="940">
        <v>100</v>
      </c>
      <c r="R765" s="941">
        <f>$A765*Q765</f>
        <v>100</v>
      </c>
      <c r="S765" s="940"/>
      <c r="T765" s="942">
        <f>$A765*S765*$T$1</f>
        <v>0</v>
      </c>
    </row>
    <row r="766" spans="1:41" s="956" customFormat="1" ht="13.2">
      <c r="A766"/>
      <c r="B766" s="948"/>
      <c r="C766" s="948" t="s">
        <v>742</v>
      </c>
      <c r="D766" s="948" t="str">
        <f ca="1">CELL("Address",Elec_Rates!D$121)</f>
        <v>[ELM25_0085_Quintano_Elec_Mech_HVAC_Est_Rev_B.xlsx]Elec_Rates!$D$121</v>
      </c>
      <c r="E766" s="949"/>
      <c r="F766" s="949"/>
      <c r="G766" s="950" t="s">
        <v>743</v>
      </c>
      <c r="H766" s="950"/>
      <c r="I766" s="950"/>
      <c r="J766" s="950"/>
      <c r="K766" s="951"/>
      <c r="L766" s="949"/>
      <c r="M766" s="949"/>
      <c r="N766" s="949"/>
      <c r="O766" s="952"/>
      <c r="P766" s="949"/>
      <c r="Q766" s="953"/>
      <c r="R766" s="954"/>
      <c r="S766" s="953"/>
      <c r="T766" s="943"/>
      <c r="U766" s="955"/>
    </row>
    <row r="767" spans="1:41" s="956" customFormat="1" ht="11.4">
      <c r="A767" s="1059">
        <v>3</v>
      </c>
      <c r="B767" s="958">
        <v>1</v>
      </c>
      <c r="C767" s="958">
        <f>$A767*$B767</f>
        <v>3</v>
      </c>
      <c r="D767" s="959" t="str">
        <f>Elec_Rates!$D$121</f>
        <v>073# 300mm cable Tray c/w bracket to wall</v>
      </c>
      <c r="E767" s="959"/>
      <c r="F767" s="959" t="s">
        <v>744</v>
      </c>
      <c r="G767" s="960" t="s">
        <v>745</v>
      </c>
      <c r="H767" s="960"/>
      <c r="I767" s="960"/>
      <c r="J767" s="960"/>
      <c r="K767" s="961"/>
      <c r="L767" s="955"/>
      <c r="M767" s="955"/>
      <c r="N767" s="955"/>
      <c r="O767" s="962"/>
      <c r="P767" s="959"/>
      <c r="Q767" s="963">
        <f ca="1">$B767*Elec_Rates!$R$121</f>
        <v>8.66</v>
      </c>
      <c r="R767" s="954">
        <f ca="1">$A767*Q767</f>
        <v>25.98</v>
      </c>
      <c r="S767" s="963">
        <f ca="1">$B767*Elec_Rates!$T$121</f>
        <v>0.56000000000000005</v>
      </c>
      <c r="T767" s="943">
        <f ca="1">$A767*S767</f>
        <v>1.6800000000000002</v>
      </c>
      <c r="U767" s="501"/>
    </row>
    <row r="768" spans="1:41" s="933" customFormat="1" ht="13.2">
      <c r="A768"/>
      <c r="D768" s="978" t="s">
        <v>844</v>
      </c>
      <c r="E768" s="935"/>
      <c r="G768" s="936"/>
      <c r="H768" s="937"/>
      <c r="O768" s="938"/>
      <c r="P768" s="939"/>
      <c r="Q768" s="940"/>
      <c r="R768" s="941">
        <f t="shared" ref="R768:R787" si="14">$A768*Q768</f>
        <v>0</v>
      </c>
      <c r="S768" s="940"/>
      <c r="T768" s="942">
        <f t="shared" ref="T768:T781" si="15">$A768*S768*$T$1</f>
        <v>0</v>
      </c>
    </row>
    <row r="769" spans="1:20" s="933" customFormat="1" ht="13.2">
      <c r="A769" s="1060">
        <v>0</v>
      </c>
      <c r="B769" s="933" t="s">
        <v>311</v>
      </c>
      <c r="C769">
        <f>2*5</f>
        <v>10</v>
      </c>
      <c r="D769" s="933" t="s">
        <v>725</v>
      </c>
      <c r="E769" s="934" t="s">
        <v>726</v>
      </c>
      <c r="F769" s="935" t="s">
        <v>727</v>
      </c>
      <c r="G769" s="936" t="s">
        <v>728</v>
      </c>
      <c r="H769" s="937">
        <v>616</v>
      </c>
      <c r="I769" s="933" t="s">
        <v>729</v>
      </c>
      <c r="J769" s="933" t="s">
        <v>730</v>
      </c>
      <c r="O769" s="938">
        <v>2</v>
      </c>
      <c r="P769" s="939">
        <v>38371</v>
      </c>
      <c r="Q769" s="940">
        <v>26.22</v>
      </c>
      <c r="R769" s="941">
        <f t="shared" si="14"/>
        <v>0</v>
      </c>
      <c r="S769" s="940">
        <v>0.1</v>
      </c>
      <c r="T769" s="942">
        <f t="shared" si="15"/>
        <v>0</v>
      </c>
    </row>
    <row r="770" spans="1:20" s="933" customFormat="1" ht="13.2">
      <c r="A770" s="1060">
        <v>0</v>
      </c>
      <c r="B770" s="933" t="s">
        <v>141</v>
      </c>
      <c r="C770">
        <f>2*5</f>
        <v>10</v>
      </c>
      <c r="D770" s="933" t="s">
        <v>731</v>
      </c>
      <c r="G770" s="936" t="s">
        <v>732</v>
      </c>
      <c r="H770" s="937">
        <v>875</v>
      </c>
      <c r="I770" s="933" t="s">
        <v>729</v>
      </c>
      <c r="K770" s="933" t="s">
        <v>733</v>
      </c>
      <c r="O770" s="938">
        <v>1</v>
      </c>
      <c r="P770" s="939">
        <v>34669</v>
      </c>
      <c r="Q770" s="940">
        <v>0.05</v>
      </c>
      <c r="R770" s="941">
        <f t="shared" si="14"/>
        <v>0</v>
      </c>
      <c r="S770" s="940"/>
      <c r="T770" s="942">
        <f t="shared" si="15"/>
        <v>0</v>
      </c>
    </row>
    <row r="771" spans="1:20" s="933" customFormat="1" ht="13.2">
      <c r="A771" s="1060">
        <v>0</v>
      </c>
      <c r="B771" s="933" t="s">
        <v>141</v>
      </c>
      <c r="C771">
        <f>2*2</f>
        <v>4</v>
      </c>
      <c r="D771" s="933" t="s">
        <v>734</v>
      </c>
      <c r="G771" s="936" t="s">
        <v>735</v>
      </c>
      <c r="H771" s="937">
        <v>620</v>
      </c>
      <c r="I771" s="933" t="s">
        <v>736</v>
      </c>
      <c r="O771" s="938">
        <v>2</v>
      </c>
      <c r="P771" s="939">
        <v>35431</v>
      </c>
      <c r="Q771" s="940">
        <v>7.66</v>
      </c>
      <c r="R771" s="941">
        <f t="shared" si="14"/>
        <v>0</v>
      </c>
      <c r="S771" s="940">
        <v>0.4</v>
      </c>
      <c r="T771" s="942">
        <f t="shared" si="15"/>
        <v>0</v>
      </c>
    </row>
    <row r="772" spans="1:20" s="933" customFormat="1" ht="13.2">
      <c r="A772" s="1060">
        <v>0</v>
      </c>
      <c r="B772" s="933" t="s">
        <v>311</v>
      </c>
      <c r="C772">
        <f>2*2</f>
        <v>4</v>
      </c>
      <c r="D772" s="933" t="s">
        <v>737</v>
      </c>
      <c r="G772" s="936" t="s">
        <v>738</v>
      </c>
      <c r="H772" s="937">
        <v>620</v>
      </c>
      <c r="I772" s="933" t="s">
        <v>729</v>
      </c>
      <c r="O772" s="938">
        <v>2</v>
      </c>
      <c r="P772" s="939">
        <v>38148</v>
      </c>
      <c r="Q772" s="940">
        <v>1.5</v>
      </c>
      <c r="R772" s="941">
        <f t="shared" si="14"/>
        <v>0</v>
      </c>
      <c r="S772" s="940">
        <v>0.08</v>
      </c>
      <c r="T772" s="942">
        <f t="shared" si="15"/>
        <v>0</v>
      </c>
    </row>
    <row r="773" spans="1:20" s="933" customFormat="1" ht="13.2">
      <c r="A773" s="1060">
        <v>0</v>
      </c>
      <c r="B773" s="933" t="s">
        <v>141</v>
      </c>
      <c r="C773">
        <f>2*5*2</f>
        <v>20</v>
      </c>
      <c r="D773" s="933" t="s">
        <v>739</v>
      </c>
      <c r="G773" s="936" t="s">
        <v>740</v>
      </c>
      <c r="H773" s="937">
        <v>620</v>
      </c>
      <c r="I773" s="933" t="s">
        <v>741</v>
      </c>
      <c r="O773" s="938">
        <v>2</v>
      </c>
      <c r="P773" s="939">
        <v>34669</v>
      </c>
      <c r="Q773" s="940">
        <v>0.14000000000000001</v>
      </c>
      <c r="R773" s="941">
        <f t="shared" si="14"/>
        <v>0</v>
      </c>
      <c r="S773" s="940">
        <v>0.06</v>
      </c>
      <c r="T773" s="942">
        <f t="shared" si="15"/>
        <v>0</v>
      </c>
    </row>
    <row r="774" spans="1:20" s="933" customFormat="1" ht="13.2">
      <c r="A774" s="1060">
        <v>0</v>
      </c>
      <c r="B774" s="933" t="s">
        <v>141</v>
      </c>
      <c r="C774">
        <v>2</v>
      </c>
      <c r="D774" s="933" t="s">
        <v>785</v>
      </c>
      <c r="E774" s="935" t="s">
        <v>846</v>
      </c>
      <c r="F774" s="933" t="s">
        <v>803</v>
      </c>
      <c r="G774" s="936" t="s">
        <v>786</v>
      </c>
      <c r="H774" s="937">
        <v>570</v>
      </c>
      <c r="I774" s="933" t="s">
        <v>729</v>
      </c>
      <c r="O774" s="938">
        <v>2</v>
      </c>
      <c r="P774" s="939">
        <v>38443</v>
      </c>
      <c r="Q774" s="940">
        <v>10</v>
      </c>
      <c r="R774" s="941">
        <f>$A774*Q774</f>
        <v>0</v>
      </c>
      <c r="S774" s="940">
        <v>2</v>
      </c>
      <c r="T774" s="942">
        <f t="shared" si="15"/>
        <v>0</v>
      </c>
    </row>
    <row r="775" spans="1:20" s="933" customFormat="1" ht="13.2">
      <c r="A775"/>
      <c r="C775"/>
      <c r="D775" s="978" t="s">
        <v>843</v>
      </c>
      <c r="E775" s="935"/>
      <c r="G775" s="936"/>
      <c r="H775" s="937"/>
      <c r="O775" s="938"/>
      <c r="P775" s="939"/>
      <c r="Q775" s="940"/>
      <c r="R775" s="941">
        <f t="shared" si="14"/>
        <v>0</v>
      </c>
      <c r="S775" s="940"/>
      <c r="T775" s="942">
        <f t="shared" si="15"/>
        <v>0</v>
      </c>
    </row>
    <row r="776" spans="1:20" s="933" customFormat="1" ht="13.2">
      <c r="A776" s="1060">
        <v>0</v>
      </c>
      <c r="B776" s="933" t="s">
        <v>311</v>
      </c>
      <c r="C776">
        <f>7*5</f>
        <v>35</v>
      </c>
      <c r="D776" s="933" t="s">
        <v>762</v>
      </c>
      <c r="E776" s="934" t="s">
        <v>726</v>
      </c>
      <c r="F776" s="935" t="s">
        <v>727</v>
      </c>
      <c r="G776" s="936" t="s">
        <v>763</v>
      </c>
      <c r="H776" s="937">
        <v>616</v>
      </c>
      <c r="I776" s="933" t="s">
        <v>729</v>
      </c>
      <c r="J776" s="933" t="s">
        <v>764</v>
      </c>
      <c r="O776" s="938">
        <v>2</v>
      </c>
      <c r="P776" s="939">
        <v>38301</v>
      </c>
      <c r="Q776" s="940">
        <v>11.19</v>
      </c>
      <c r="R776" s="941">
        <f t="shared" si="14"/>
        <v>0</v>
      </c>
      <c r="S776" s="940">
        <v>0.06</v>
      </c>
      <c r="T776" s="942">
        <f t="shared" si="15"/>
        <v>0</v>
      </c>
    </row>
    <row r="777" spans="1:20" s="933" customFormat="1" ht="13.2">
      <c r="A777" s="1060">
        <v>0</v>
      </c>
      <c r="B777" s="933" t="s">
        <v>141</v>
      </c>
      <c r="C777">
        <f>7*5</f>
        <v>35</v>
      </c>
      <c r="D777" s="933" t="s">
        <v>731</v>
      </c>
      <c r="G777" s="936" t="s">
        <v>732</v>
      </c>
      <c r="H777" s="937">
        <v>875</v>
      </c>
      <c r="I777" s="933" t="s">
        <v>729</v>
      </c>
      <c r="K777" s="933" t="s">
        <v>733</v>
      </c>
      <c r="O777" s="938">
        <v>1</v>
      </c>
      <c r="P777" s="939">
        <v>34669</v>
      </c>
      <c r="Q777" s="940">
        <v>0.05</v>
      </c>
      <c r="R777" s="941">
        <f t="shared" si="14"/>
        <v>0</v>
      </c>
      <c r="S777" s="940"/>
      <c r="T777" s="942">
        <f t="shared" si="15"/>
        <v>0</v>
      </c>
    </row>
    <row r="778" spans="1:20" s="933" customFormat="1" ht="13.2">
      <c r="A778" s="1060">
        <v>0</v>
      </c>
      <c r="B778" s="933" t="s">
        <v>141</v>
      </c>
      <c r="C778">
        <f>7*2</f>
        <v>14</v>
      </c>
      <c r="D778" s="933" t="s">
        <v>765</v>
      </c>
      <c r="G778" s="936" t="s">
        <v>766</v>
      </c>
      <c r="H778" s="937">
        <v>620</v>
      </c>
      <c r="I778" s="933" t="s">
        <v>736</v>
      </c>
      <c r="O778" s="938">
        <v>2</v>
      </c>
      <c r="P778" s="939">
        <v>35431</v>
      </c>
      <c r="Q778" s="940">
        <v>3.56</v>
      </c>
      <c r="R778" s="941">
        <f t="shared" si="14"/>
        <v>0</v>
      </c>
      <c r="S778" s="940">
        <v>0.3</v>
      </c>
      <c r="T778" s="942">
        <f t="shared" si="15"/>
        <v>0</v>
      </c>
    </row>
    <row r="779" spans="1:20" s="933" customFormat="1" ht="13.2">
      <c r="A779" s="1060">
        <v>0</v>
      </c>
      <c r="B779" s="933" t="s">
        <v>311</v>
      </c>
      <c r="C779">
        <f>7*2</f>
        <v>14</v>
      </c>
      <c r="D779" s="933" t="s">
        <v>737</v>
      </c>
      <c r="G779" s="936" t="s">
        <v>738</v>
      </c>
      <c r="H779" s="937">
        <v>620</v>
      </c>
      <c r="I779" s="933" t="s">
        <v>729</v>
      </c>
      <c r="O779" s="938">
        <v>2</v>
      </c>
      <c r="P779" s="939">
        <v>38148</v>
      </c>
      <c r="Q779" s="940">
        <v>1.5</v>
      </c>
      <c r="R779" s="941">
        <f t="shared" si="14"/>
        <v>0</v>
      </c>
      <c r="S779" s="940">
        <v>0.08</v>
      </c>
      <c r="T779" s="942">
        <f t="shared" si="15"/>
        <v>0</v>
      </c>
    </row>
    <row r="780" spans="1:20" s="933" customFormat="1" ht="13.2">
      <c r="A780" s="1060">
        <v>0</v>
      </c>
      <c r="B780" s="933" t="s">
        <v>141</v>
      </c>
      <c r="C780">
        <f>7*2*5</f>
        <v>70</v>
      </c>
      <c r="D780" s="933" t="s">
        <v>767</v>
      </c>
      <c r="G780" s="936" t="s">
        <v>768</v>
      </c>
      <c r="H780" s="937">
        <v>620</v>
      </c>
      <c r="I780" s="933" t="s">
        <v>741</v>
      </c>
      <c r="O780" s="938">
        <v>2</v>
      </c>
      <c r="P780" s="939">
        <v>34669</v>
      </c>
      <c r="Q780" s="940">
        <v>0.05</v>
      </c>
      <c r="R780" s="941">
        <f t="shared" si="14"/>
        <v>0</v>
      </c>
      <c r="S780" s="940">
        <v>0.02</v>
      </c>
      <c r="T780" s="942">
        <f t="shared" si="15"/>
        <v>0</v>
      </c>
    </row>
    <row r="781" spans="1:20" s="933" customFormat="1" ht="13.2">
      <c r="A781" s="1060">
        <v>0</v>
      </c>
      <c r="B781" s="933" t="s">
        <v>141</v>
      </c>
      <c r="C781">
        <v>7</v>
      </c>
      <c r="D781" s="933" t="s">
        <v>785</v>
      </c>
      <c r="E781" s="935" t="s">
        <v>846</v>
      </c>
      <c r="F781" s="933" t="s">
        <v>803</v>
      </c>
      <c r="G781" s="936" t="s">
        <v>786</v>
      </c>
      <c r="H781" s="937">
        <v>570</v>
      </c>
      <c r="I781" s="933" t="s">
        <v>729</v>
      </c>
      <c r="O781" s="938">
        <v>2</v>
      </c>
      <c r="P781" s="939">
        <v>38443</v>
      </c>
      <c r="Q781" s="940">
        <v>10</v>
      </c>
      <c r="R781" s="941">
        <f>$A781*Q781</f>
        <v>0</v>
      </c>
      <c r="S781" s="940">
        <v>2</v>
      </c>
      <c r="T781" s="942">
        <f t="shared" si="15"/>
        <v>0</v>
      </c>
    </row>
    <row r="782" spans="1:20" s="933" customFormat="1" ht="13.2">
      <c r="A782"/>
      <c r="C782"/>
      <c r="D782" s="978" t="s">
        <v>845</v>
      </c>
      <c r="G782" s="936"/>
      <c r="H782" s="937"/>
      <c r="O782" s="938"/>
      <c r="P782" s="939"/>
      <c r="Q782" s="940"/>
      <c r="R782" s="941"/>
      <c r="S782" s="940"/>
      <c r="T782" s="942"/>
    </row>
    <row r="783" spans="1:20" s="933" customFormat="1" ht="13.2">
      <c r="A783" s="1060">
        <v>0</v>
      </c>
      <c r="B783" s="933" t="s">
        <v>311</v>
      </c>
      <c r="C783">
        <v>5</v>
      </c>
      <c r="D783" s="933" t="s">
        <v>747</v>
      </c>
      <c r="F783" s="935" t="s">
        <v>727</v>
      </c>
      <c r="G783" s="936" t="s">
        <v>748</v>
      </c>
      <c r="H783" s="937">
        <v>616</v>
      </c>
      <c r="I783" s="933" t="s">
        <v>749</v>
      </c>
      <c r="J783" s="933" t="s">
        <v>750</v>
      </c>
      <c r="K783" s="933" t="s">
        <v>751</v>
      </c>
      <c r="O783" s="938">
        <v>2</v>
      </c>
      <c r="P783" s="939"/>
      <c r="Q783" s="940">
        <v>2.39</v>
      </c>
      <c r="R783" s="941">
        <f t="shared" si="14"/>
        <v>0</v>
      </c>
      <c r="S783" s="940">
        <v>0.06</v>
      </c>
      <c r="T783" s="942">
        <f t="shared" ref="T783:T796" si="16">$A783*S783*$T$1</f>
        <v>0</v>
      </c>
    </row>
    <row r="784" spans="1:20" s="933" customFormat="1" ht="13.2">
      <c r="A784" s="1060">
        <v>0</v>
      </c>
      <c r="B784" s="933" t="s">
        <v>141</v>
      </c>
      <c r="C784">
        <v>5</v>
      </c>
      <c r="D784" s="933" t="s">
        <v>731</v>
      </c>
      <c r="G784" s="936" t="s">
        <v>732</v>
      </c>
      <c r="H784" s="937">
        <v>875</v>
      </c>
      <c r="I784" s="933" t="s">
        <v>729</v>
      </c>
      <c r="K784" s="933" t="s">
        <v>733</v>
      </c>
      <c r="O784" s="938">
        <v>1</v>
      </c>
      <c r="P784" s="939">
        <v>34669</v>
      </c>
      <c r="Q784" s="940">
        <v>0.05</v>
      </c>
      <c r="R784" s="941">
        <f t="shared" si="14"/>
        <v>0</v>
      </c>
      <c r="S784" s="940"/>
      <c r="T784" s="942">
        <f t="shared" si="16"/>
        <v>0</v>
      </c>
    </row>
    <row r="785" spans="1:256" s="933" customFormat="1" ht="13.2">
      <c r="A785" s="1060">
        <v>0</v>
      </c>
      <c r="B785" s="933" t="s">
        <v>141</v>
      </c>
      <c r="C785">
        <v>2</v>
      </c>
      <c r="D785" s="933" t="s">
        <v>752</v>
      </c>
      <c r="G785" s="936" t="s">
        <v>753</v>
      </c>
      <c r="H785" s="937">
        <v>620</v>
      </c>
      <c r="I785" s="933" t="s">
        <v>736</v>
      </c>
      <c r="O785" s="938">
        <v>2</v>
      </c>
      <c r="P785" s="939">
        <v>35431</v>
      </c>
      <c r="Q785" s="940">
        <v>4.71</v>
      </c>
      <c r="R785" s="941">
        <f t="shared" si="14"/>
        <v>0</v>
      </c>
      <c r="S785" s="940">
        <v>0.35000000000000003</v>
      </c>
      <c r="T785" s="942">
        <f t="shared" si="16"/>
        <v>0</v>
      </c>
    </row>
    <row r="786" spans="1:256" s="933" customFormat="1" ht="13.2">
      <c r="A786" s="1060">
        <v>0</v>
      </c>
      <c r="B786" s="933" t="s">
        <v>311</v>
      </c>
      <c r="C786">
        <v>2</v>
      </c>
      <c r="D786" s="933" t="s">
        <v>737</v>
      </c>
      <c r="G786" s="936" t="s">
        <v>738</v>
      </c>
      <c r="H786" s="937">
        <v>620</v>
      </c>
      <c r="I786" s="933" t="s">
        <v>729</v>
      </c>
      <c r="O786" s="938">
        <v>2</v>
      </c>
      <c r="P786" s="939">
        <v>38148</v>
      </c>
      <c r="Q786" s="940">
        <v>1.5</v>
      </c>
      <c r="R786" s="941">
        <f t="shared" si="14"/>
        <v>0</v>
      </c>
      <c r="S786" s="940">
        <v>0.08</v>
      </c>
      <c r="T786" s="942">
        <f t="shared" si="16"/>
        <v>0</v>
      </c>
    </row>
    <row r="787" spans="1:256" s="933" customFormat="1" ht="13.2">
      <c r="A787" s="1060">
        <v>0</v>
      </c>
      <c r="B787" s="933" t="s">
        <v>141</v>
      </c>
      <c r="C787">
        <v>10</v>
      </c>
      <c r="D787" s="933" t="s">
        <v>754</v>
      </c>
      <c r="G787" s="936" t="s">
        <v>755</v>
      </c>
      <c r="H787" s="937">
        <v>620</v>
      </c>
      <c r="I787" s="933" t="s">
        <v>741</v>
      </c>
      <c r="O787" s="938">
        <v>2</v>
      </c>
      <c r="P787" s="939">
        <v>34669</v>
      </c>
      <c r="Q787" s="940">
        <v>0.05</v>
      </c>
      <c r="R787" s="941">
        <f t="shared" si="14"/>
        <v>0</v>
      </c>
      <c r="S787" s="940">
        <v>0.02</v>
      </c>
      <c r="T787" s="942">
        <f t="shared" si="16"/>
        <v>0</v>
      </c>
    </row>
    <row r="788" spans="1:256" s="933" customFormat="1" ht="13.2">
      <c r="A788" s="1060">
        <v>0</v>
      </c>
      <c r="B788" s="933" t="s">
        <v>141</v>
      </c>
      <c r="C788">
        <v>7</v>
      </c>
      <c r="D788" s="933" t="s">
        <v>785</v>
      </c>
      <c r="E788" s="935" t="s">
        <v>846</v>
      </c>
      <c r="F788" s="933" t="s">
        <v>803</v>
      </c>
      <c r="G788" s="936" t="s">
        <v>786</v>
      </c>
      <c r="H788" s="937">
        <v>570</v>
      </c>
      <c r="I788" s="933" t="s">
        <v>729</v>
      </c>
      <c r="O788" s="938">
        <v>2</v>
      </c>
      <c r="P788" s="939">
        <v>38443</v>
      </c>
      <c r="Q788" s="940">
        <v>10</v>
      </c>
      <c r="R788" s="941">
        <f>$A788*Q788</f>
        <v>0</v>
      </c>
      <c r="S788" s="940">
        <v>2</v>
      </c>
      <c r="T788" s="942">
        <f t="shared" si="16"/>
        <v>0</v>
      </c>
    </row>
    <row r="789" spans="1:256" s="933" customFormat="1" ht="13.2">
      <c r="A789"/>
      <c r="D789" s="978" t="s">
        <v>900</v>
      </c>
      <c r="E789" s="935"/>
      <c r="G789" s="936"/>
      <c r="H789" s="937"/>
      <c r="O789" s="938"/>
      <c r="P789" s="939"/>
      <c r="Q789" s="940"/>
      <c r="R789" s="941"/>
      <c r="S789" s="940"/>
      <c r="T789" s="942"/>
    </row>
    <row r="790" spans="1:256" s="933" customFormat="1" ht="11.4">
      <c r="A790" s="957">
        <v>3</v>
      </c>
      <c r="B790" s="933" t="s">
        <v>311</v>
      </c>
      <c r="D790" s="933" t="s">
        <v>851</v>
      </c>
      <c r="G790" s="936" t="s">
        <v>852</v>
      </c>
      <c r="H790" s="937">
        <v>690</v>
      </c>
      <c r="I790" s="933" t="s">
        <v>780</v>
      </c>
      <c r="J790" s="933" t="s">
        <v>781</v>
      </c>
      <c r="K790" s="940" t="s">
        <v>7</v>
      </c>
      <c r="O790" s="938">
        <v>1</v>
      </c>
      <c r="P790" s="939">
        <v>34669</v>
      </c>
      <c r="Q790" s="982">
        <v>3.66</v>
      </c>
      <c r="R790" s="941">
        <f>$A790*Q790</f>
        <v>10.98</v>
      </c>
      <c r="S790" s="940">
        <v>0.2</v>
      </c>
      <c r="T790" s="942">
        <f t="shared" ref="T790:T795" si="17">$A790*S790*$T$1</f>
        <v>0.60000000000000009</v>
      </c>
    </row>
    <row r="791" spans="1:256" s="933" customFormat="1" ht="13.2">
      <c r="A791">
        <v>3</v>
      </c>
      <c r="B791" s="933" t="s">
        <v>311</v>
      </c>
      <c r="D791" s="933" t="s">
        <v>792</v>
      </c>
      <c r="G791" s="936" t="s">
        <v>793</v>
      </c>
      <c r="H791" s="937">
        <v>617</v>
      </c>
      <c r="I791" s="933" t="s">
        <v>729</v>
      </c>
      <c r="O791" s="938">
        <v>2</v>
      </c>
      <c r="P791" s="939">
        <v>40767</v>
      </c>
      <c r="Q791" s="940">
        <v>1.5</v>
      </c>
      <c r="R791" s="941">
        <f>$A791*Q791</f>
        <v>4.5</v>
      </c>
      <c r="S791" s="940">
        <v>7.0000000000000007E-2</v>
      </c>
      <c r="T791" s="942">
        <f>$A791*S791*$T$1</f>
        <v>0.21000000000000002</v>
      </c>
    </row>
    <row r="792" spans="1:256" s="956" customFormat="1" ht="11.4">
      <c r="A792" s="957">
        <v>2</v>
      </c>
      <c r="B792" s="933" t="s">
        <v>141</v>
      </c>
      <c r="C792" s="933"/>
      <c r="D792" s="933" t="s">
        <v>857</v>
      </c>
      <c r="E792" s="933"/>
      <c r="F792" s="933"/>
      <c r="G792" s="936" t="s">
        <v>858</v>
      </c>
      <c r="H792" s="937">
        <v>620</v>
      </c>
      <c r="I792" s="933" t="s">
        <v>729</v>
      </c>
      <c r="J792" s="933"/>
      <c r="K792" s="940" t="s">
        <v>7</v>
      </c>
      <c r="L792" s="933"/>
      <c r="M792" s="933"/>
      <c r="N792" s="933"/>
      <c r="O792" s="938">
        <v>2</v>
      </c>
      <c r="P792" s="939">
        <v>38148</v>
      </c>
      <c r="Q792" s="940">
        <f>1.1*1.5</f>
        <v>1.6500000000000001</v>
      </c>
      <c r="R792" s="941">
        <f t="shared" ref="R792:R794" si="18">$A792*Q792</f>
        <v>3.3000000000000003</v>
      </c>
      <c r="S792" s="940">
        <v>0.1</v>
      </c>
      <c r="T792" s="942">
        <f t="shared" si="17"/>
        <v>0.2</v>
      </c>
      <c r="U792" s="933"/>
      <c r="V792" s="933"/>
      <c r="W792" s="933"/>
      <c r="X792" s="933"/>
      <c r="Y792" s="933"/>
      <c r="Z792" s="933"/>
      <c r="AA792" s="933"/>
      <c r="AB792" s="933"/>
      <c r="AC792" s="519"/>
      <c r="AD792" s="519"/>
      <c r="AE792" s="519"/>
      <c r="AF792" s="519"/>
      <c r="AG792" s="933"/>
      <c r="AH792" s="933"/>
      <c r="AI792" s="933"/>
      <c r="AJ792" s="933"/>
      <c r="AK792" s="933"/>
      <c r="AL792" s="933"/>
      <c r="AM792" s="933"/>
      <c r="AN792" s="933"/>
      <c r="AO792" s="933"/>
      <c r="AP792" s="933"/>
      <c r="AQ792" s="933"/>
      <c r="AR792" s="933"/>
      <c r="AS792" s="933"/>
      <c r="AT792" s="933"/>
      <c r="AU792" s="933"/>
      <c r="AV792" s="933"/>
      <c r="AW792" s="933"/>
      <c r="AX792" s="933"/>
      <c r="AY792" s="933"/>
      <c r="AZ792" s="933"/>
      <c r="BA792" s="933"/>
      <c r="BB792" s="933"/>
      <c r="BC792" s="933"/>
      <c r="BD792" s="933"/>
      <c r="BE792" s="933"/>
      <c r="BF792" s="933"/>
      <c r="BG792" s="933"/>
      <c r="BH792" s="933"/>
      <c r="BI792" s="933"/>
      <c r="BJ792" s="933"/>
      <c r="BK792" s="933"/>
      <c r="BL792" s="933"/>
      <c r="BM792" s="933"/>
      <c r="BN792" s="933"/>
      <c r="BO792" s="933"/>
      <c r="BP792" s="933"/>
      <c r="BQ792" s="933"/>
      <c r="BR792" s="933"/>
      <c r="BS792" s="933"/>
      <c r="BT792" s="933"/>
      <c r="BU792" s="933"/>
      <c r="BV792" s="933"/>
      <c r="BW792" s="933"/>
      <c r="BX792" s="933"/>
      <c r="BY792" s="933"/>
      <c r="BZ792" s="933"/>
      <c r="CA792" s="933"/>
      <c r="CB792" s="933"/>
      <c r="CC792" s="933"/>
      <c r="CD792" s="933"/>
      <c r="CE792" s="933"/>
      <c r="CF792" s="933"/>
      <c r="CG792" s="933"/>
      <c r="CH792" s="933"/>
      <c r="CI792" s="933"/>
      <c r="CJ792" s="933"/>
      <c r="CK792" s="933"/>
      <c r="CL792" s="933"/>
      <c r="CM792" s="933"/>
      <c r="CN792" s="933"/>
      <c r="CO792" s="933"/>
      <c r="CP792" s="933"/>
      <c r="CQ792" s="933"/>
      <c r="CR792" s="933"/>
      <c r="CS792" s="933"/>
      <c r="CT792" s="933"/>
      <c r="CU792" s="933"/>
      <c r="CV792" s="933"/>
      <c r="CW792" s="933"/>
      <c r="CX792" s="933"/>
      <c r="CY792" s="933"/>
      <c r="CZ792" s="933"/>
      <c r="DA792" s="933"/>
      <c r="DB792" s="933"/>
      <c r="DC792" s="933"/>
      <c r="DD792" s="933"/>
      <c r="DE792" s="933"/>
      <c r="DF792" s="933"/>
      <c r="DG792" s="933"/>
      <c r="DH792" s="933"/>
      <c r="DI792" s="933"/>
      <c r="DJ792" s="933"/>
      <c r="DK792" s="933"/>
      <c r="DL792" s="933"/>
      <c r="DM792" s="933"/>
      <c r="DN792" s="933"/>
      <c r="DO792" s="933"/>
      <c r="DP792" s="933"/>
      <c r="DQ792" s="933"/>
      <c r="DR792" s="933"/>
      <c r="DS792" s="933"/>
      <c r="DT792" s="933"/>
      <c r="DU792" s="933"/>
      <c r="DV792" s="933"/>
      <c r="DW792" s="933"/>
      <c r="DX792" s="933"/>
      <c r="DY792" s="933"/>
      <c r="DZ792" s="933"/>
      <c r="EA792" s="933"/>
      <c r="EB792" s="933"/>
      <c r="EC792" s="933"/>
      <c r="ED792" s="933"/>
      <c r="EE792" s="933"/>
      <c r="EF792" s="933"/>
      <c r="EG792" s="933"/>
      <c r="EH792" s="933"/>
      <c r="EI792" s="933"/>
      <c r="EJ792" s="933"/>
      <c r="EK792" s="933"/>
      <c r="EL792" s="933"/>
      <c r="EM792" s="933"/>
      <c r="EN792" s="933"/>
      <c r="EO792" s="933"/>
      <c r="EP792" s="933"/>
      <c r="EQ792" s="933"/>
      <c r="ER792" s="933"/>
      <c r="ES792" s="933"/>
      <c r="ET792" s="933"/>
      <c r="EU792" s="933"/>
      <c r="EV792" s="933"/>
      <c r="EW792" s="933"/>
      <c r="EX792" s="933"/>
      <c r="EY792" s="933"/>
      <c r="EZ792" s="933"/>
      <c r="FA792" s="933"/>
      <c r="FB792" s="933"/>
      <c r="FC792" s="933"/>
      <c r="FD792" s="933"/>
      <c r="FE792" s="933"/>
      <c r="FF792" s="933"/>
      <c r="FG792" s="933"/>
      <c r="FH792" s="933"/>
      <c r="FI792" s="933"/>
      <c r="FJ792" s="933"/>
      <c r="FK792" s="933"/>
      <c r="FL792" s="933"/>
      <c r="FM792" s="933"/>
      <c r="FN792" s="933"/>
      <c r="FO792" s="933"/>
      <c r="FP792" s="933"/>
      <c r="FQ792" s="933"/>
      <c r="FR792" s="933"/>
      <c r="FS792" s="933"/>
      <c r="FT792" s="933"/>
      <c r="FU792" s="933"/>
      <c r="FV792" s="933"/>
      <c r="FW792" s="933"/>
      <c r="FX792" s="933"/>
      <c r="FY792" s="933"/>
      <c r="FZ792" s="933"/>
      <c r="GA792" s="933"/>
      <c r="GB792" s="933"/>
      <c r="GC792" s="933"/>
      <c r="GD792" s="933"/>
      <c r="GE792" s="933"/>
      <c r="GF792" s="933"/>
      <c r="GG792" s="933"/>
      <c r="GH792" s="933"/>
      <c r="GI792" s="933"/>
      <c r="GJ792" s="933"/>
      <c r="GK792" s="933"/>
      <c r="GL792" s="933"/>
      <c r="GM792" s="933"/>
      <c r="GN792" s="933"/>
      <c r="GO792" s="933"/>
      <c r="GP792" s="933"/>
      <c r="GQ792" s="933"/>
      <c r="GR792" s="933"/>
      <c r="GS792" s="933"/>
      <c r="GT792" s="933"/>
      <c r="GU792" s="933"/>
      <c r="GV792" s="933"/>
      <c r="GW792" s="933"/>
      <c r="GX792" s="933"/>
      <c r="GY792" s="933"/>
      <c r="GZ792" s="933"/>
      <c r="HA792" s="933"/>
      <c r="HB792" s="933"/>
      <c r="HC792" s="933"/>
      <c r="HD792" s="933"/>
      <c r="HE792" s="933"/>
      <c r="HF792" s="933"/>
      <c r="HG792" s="933"/>
      <c r="HH792" s="933"/>
      <c r="HI792" s="933"/>
      <c r="HJ792" s="933"/>
      <c r="HK792" s="933"/>
      <c r="HL792" s="933"/>
      <c r="HM792" s="933"/>
      <c r="HN792" s="933"/>
      <c r="HO792" s="933"/>
      <c r="HP792" s="933"/>
      <c r="HQ792" s="933"/>
      <c r="HR792" s="933"/>
      <c r="HS792" s="933"/>
      <c r="HT792" s="933"/>
      <c r="HU792" s="933"/>
      <c r="HV792" s="933"/>
      <c r="HW792" s="933"/>
      <c r="HX792" s="933"/>
      <c r="HY792" s="933"/>
      <c r="HZ792" s="933"/>
      <c r="IA792" s="933"/>
      <c r="IB792" s="933"/>
      <c r="IC792" s="933"/>
      <c r="ID792" s="933"/>
      <c r="IE792" s="933"/>
      <c r="IF792" s="933"/>
      <c r="IG792" s="933"/>
      <c r="IH792" s="933"/>
      <c r="II792" s="933"/>
      <c r="IJ792" s="933"/>
      <c r="IK792" s="933"/>
      <c r="IL792" s="933"/>
      <c r="IM792" s="933"/>
      <c r="IN792" s="933"/>
      <c r="IO792" s="933"/>
      <c r="IP792" s="933"/>
      <c r="IQ792" s="933"/>
      <c r="IR792" s="933"/>
      <c r="IS792" s="933"/>
      <c r="IT792" s="933"/>
      <c r="IU792" s="933"/>
      <c r="IV792" s="933"/>
    </row>
    <row r="793" spans="1:256" s="956" customFormat="1" ht="11.4">
      <c r="A793" s="957">
        <v>2</v>
      </c>
      <c r="B793" s="933" t="s">
        <v>141</v>
      </c>
      <c r="C793" s="933"/>
      <c r="D793" s="933" t="s">
        <v>859</v>
      </c>
      <c r="E793" s="933"/>
      <c r="F793" s="933"/>
      <c r="G793" s="936" t="s">
        <v>860</v>
      </c>
      <c r="H793" s="937">
        <v>620</v>
      </c>
      <c r="I793" s="933" t="s">
        <v>729</v>
      </c>
      <c r="J793" s="933"/>
      <c r="K793" s="940" t="s">
        <v>7</v>
      </c>
      <c r="L793" s="933"/>
      <c r="M793" s="933"/>
      <c r="N793" s="933"/>
      <c r="O793" s="938">
        <v>2</v>
      </c>
      <c r="P793" s="939"/>
      <c r="Q793" s="940">
        <v>0.2</v>
      </c>
      <c r="R793" s="941">
        <f t="shared" si="18"/>
        <v>0.4</v>
      </c>
      <c r="S793" s="940">
        <v>0.03</v>
      </c>
      <c r="T793" s="942">
        <f t="shared" si="17"/>
        <v>0.06</v>
      </c>
      <c r="U793" s="933"/>
      <c r="V793" s="933"/>
      <c r="W793" s="933"/>
      <c r="X793" s="933"/>
      <c r="Y793" s="933"/>
      <c r="Z793" s="933"/>
      <c r="AA793" s="933"/>
      <c r="AB793" s="933"/>
      <c r="AC793" s="933"/>
      <c r="AD793" s="933"/>
      <c r="AE793" s="933"/>
      <c r="AF793" s="933"/>
      <c r="AG793" s="933"/>
      <c r="AH793" s="933"/>
      <c r="AI793" s="933"/>
      <c r="AJ793" s="933"/>
      <c r="AK793" s="933"/>
      <c r="AL793" s="933"/>
      <c r="AM793" s="933"/>
      <c r="AN793" s="933"/>
      <c r="AO793" s="933"/>
      <c r="AP793" s="933"/>
      <c r="AQ793" s="933"/>
      <c r="AR793" s="933"/>
      <c r="AS793" s="933"/>
      <c r="AT793" s="933"/>
      <c r="AU793" s="933"/>
      <c r="AV793" s="933"/>
      <c r="AW793" s="933"/>
      <c r="AX793" s="933"/>
      <c r="AY793" s="933"/>
      <c r="AZ793" s="933"/>
      <c r="BA793" s="933"/>
      <c r="BB793" s="933"/>
      <c r="BC793" s="933"/>
      <c r="BD793" s="933"/>
      <c r="BE793" s="933"/>
      <c r="BF793" s="933"/>
      <c r="BG793" s="933"/>
      <c r="BH793" s="933"/>
      <c r="BI793" s="933"/>
      <c r="BJ793" s="933"/>
      <c r="BK793" s="933"/>
      <c r="BL793" s="933"/>
      <c r="BM793" s="933"/>
      <c r="BN793" s="933"/>
      <c r="BO793" s="933"/>
      <c r="BP793" s="933"/>
      <c r="BQ793" s="933"/>
      <c r="BR793" s="933"/>
      <c r="BS793" s="933"/>
      <c r="BT793" s="933"/>
      <c r="BU793" s="933"/>
      <c r="BV793" s="933"/>
      <c r="BW793" s="933"/>
      <c r="BX793" s="933"/>
      <c r="BY793" s="933"/>
      <c r="BZ793" s="933"/>
      <c r="CA793" s="933"/>
      <c r="CB793" s="933"/>
      <c r="CC793" s="933"/>
      <c r="CD793" s="933"/>
      <c r="CE793" s="933"/>
      <c r="CF793" s="933"/>
      <c r="CG793" s="933"/>
      <c r="CH793" s="933"/>
      <c r="CI793" s="933"/>
      <c r="CJ793" s="933"/>
      <c r="CK793" s="933"/>
      <c r="CL793" s="933"/>
      <c r="CM793" s="933"/>
      <c r="CN793" s="933"/>
      <c r="CO793" s="933"/>
      <c r="CP793" s="933"/>
      <c r="CQ793" s="933"/>
      <c r="CR793" s="933"/>
      <c r="CS793" s="933"/>
      <c r="CT793" s="933"/>
      <c r="CU793" s="933"/>
      <c r="CV793" s="933"/>
      <c r="CW793" s="933"/>
      <c r="CX793" s="933"/>
      <c r="CY793" s="933"/>
      <c r="CZ793" s="933"/>
      <c r="DA793" s="933"/>
      <c r="DB793" s="933"/>
      <c r="DC793" s="933"/>
      <c r="DD793" s="933"/>
      <c r="DE793" s="933"/>
      <c r="DF793" s="933"/>
      <c r="DG793" s="933"/>
      <c r="DH793" s="933"/>
      <c r="DI793" s="933"/>
      <c r="DJ793" s="933"/>
      <c r="DK793" s="933"/>
      <c r="DL793" s="933"/>
      <c r="DM793" s="933"/>
      <c r="DN793" s="933"/>
      <c r="DO793" s="933"/>
      <c r="DP793" s="933"/>
      <c r="DQ793" s="933"/>
      <c r="DR793" s="933"/>
      <c r="DS793" s="933"/>
      <c r="DT793" s="933"/>
      <c r="DU793" s="933"/>
      <c r="DV793" s="933"/>
      <c r="DW793" s="933"/>
      <c r="DX793" s="933"/>
      <c r="DY793" s="933"/>
      <c r="DZ793" s="933"/>
      <c r="EA793" s="933"/>
      <c r="EB793" s="933"/>
      <c r="EC793" s="933"/>
      <c r="ED793" s="933"/>
      <c r="EE793" s="933"/>
      <c r="EF793" s="933"/>
      <c r="EG793" s="933"/>
      <c r="EH793" s="933"/>
      <c r="EI793" s="933"/>
      <c r="EJ793" s="933"/>
      <c r="EK793" s="933"/>
      <c r="EL793" s="933"/>
      <c r="EM793" s="933"/>
      <c r="EN793" s="933"/>
      <c r="EO793" s="933"/>
      <c r="EP793" s="933"/>
      <c r="EQ793" s="933"/>
      <c r="ER793" s="933"/>
      <c r="ES793" s="933"/>
      <c r="ET793" s="933"/>
      <c r="EU793" s="933"/>
      <c r="EV793" s="933"/>
      <c r="EW793" s="933"/>
      <c r="EX793" s="933"/>
      <c r="EY793" s="933"/>
      <c r="EZ793" s="933"/>
      <c r="FA793" s="933"/>
      <c r="FB793" s="933"/>
      <c r="FC793" s="933"/>
      <c r="FD793" s="933"/>
      <c r="FE793" s="933"/>
      <c r="FF793" s="933"/>
      <c r="FG793" s="933"/>
      <c r="FH793" s="933"/>
      <c r="FI793" s="933"/>
      <c r="FJ793" s="933"/>
      <c r="FK793" s="933"/>
      <c r="FL793" s="933"/>
      <c r="FM793" s="933"/>
      <c r="FN793" s="933"/>
      <c r="FO793" s="933"/>
      <c r="FP793" s="933"/>
      <c r="FQ793" s="933"/>
      <c r="FR793" s="933"/>
      <c r="FS793" s="933"/>
      <c r="FT793" s="933"/>
      <c r="FU793" s="933"/>
      <c r="FV793" s="933"/>
      <c r="FW793" s="933"/>
      <c r="FX793" s="933"/>
      <c r="FY793" s="933"/>
      <c r="FZ793" s="933"/>
      <c r="GA793" s="933"/>
      <c r="GB793" s="933"/>
      <c r="GC793" s="933"/>
      <c r="GD793" s="933"/>
      <c r="GE793" s="933"/>
      <c r="GF793" s="933"/>
      <c r="GG793" s="933"/>
      <c r="GH793" s="933"/>
      <c r="GI793" s="933"/>
      <c r="GJ793" s="933"/>
      <c r="GK793" s="933"/>
      <c r="GL793" s="933"/>
      <c r="GM793" s="933"/>
      <c r="GN793" s="933"/>
      <c r="GO793" s="933"/>
      <c r="GP793" s="933"/>
      <c r="GQ793" s="933"/>
      <c r="GR793" s="933"/>
      <c r="GS793" s="933"/>
      <c r="GT793" s="933"/>
      <c r="GU793" s="933"/>
      <c r="GV793" s="933"/>
      <c r="GW793" s="933"/>
      <c r="GX793" s="933"/>
      <c r="GY793" s="933"/>
      <c r="GZ793" s="933"/>
      <c r="HA793" s="933"/>
      <c r="HB793" s="933"/>
      <c r="HC793" s="933"/>
      <c r="HD793" s="933"/>
      <c r="HE793" s="933"/>
      <c r="HF793" s="933"/>
      <c r="HG793" s="933"/>
      <c r="HH793" s="933"/>
      <c r="HI793" s="933"/>
      <c r="HJ793" s="933"/>
      <c r="HK793" s="933"/>
      <c r="HL793" s="933"/>
      <c r="HM793" s="933"/>
      <c r="HN793" s="933"/>
      <c r="HO793" s="933"/>
      <c r="HP793" s="933"/>
      <c r="HQ793" s="933"/>
      <c r="HR793" s="933"/>
      <c r="HS793" s="933"/>
      <c r="HT793" s="933"/>
      <c r="HU793" s="933"/>
      <c r="HV793" s="933"/>
      <c r="HW793" s="933"/>
      <c r="HX793" s="933"/>
      <c r="HY793" s="933"/>
      <c r="HZ793" s="933"/>
      <c r="IA793" s="933"/>
      <c r="IB793" s="933"/>
      <c r="IC793" s="933"/>
      <c r="ID793" s="933"/>
      <c r="IE793" s="933"/>
      <c r="IF793" s="933"/>
      <c r="IG793" s="933"/>
      <c r="IH793" s="933"/>
      <c r="II793" s="933"/>
      <c r="IJ793" s="933"/>
      <c r="IK793" s="933"/>
      <c r="IL793" s="933"/>
      <c r="IM793" s="933"/>
      <c r="IN793" s="933"/>
      <c r="IO793" s="933"/>
      <c r="IP793" s="933"/>
      <c r="IQ793" s="933"/>
      <c r="IR793" s="933"/>
      <c r="IS793" s="933"/>
      <c r="IT793" s="933"/>
      <c r="IU793" s="933"/>
      <c r="IV793" s="933"/>
    </row>
    <row r="794" spans="1:256" s="956" customFormat="1" ht="11.4">
      <c r="A794" s="957">
        <v>6</v>
      </c>
      <c r="B794" s="933" t="s">
        <v>141</v>
      </c>
      <c r="C794" s="933"/>
      <c r="D794" s="933" t="s">
        <v>861</v>
      </c>
      <c r="E794" s="933"/>
      <c r="F794" s="933"/>
      <c r="G794" s="936" t="s">
        <v>862</v>
      </c>
      <c r="H794" s="937">
        <v>620</v>
      </c>
      <c r="I794" s="933" t="s">
        <v>741</v>
      </c>
      <c r="J794" s="933"/>
      <c r="K794" s="940" t="s">
        <v>7</v>
      </c>
      <c r="L794" s="933"/>
      <c r="M794" s="933"/>
      <c r="N794" s="933"/>
      <c r="O794" s="938">
        <v>2</v>
      </c>
      <c r="P794" s="939">
        <v>34669</v>
      </c>
      <c r="Q794" s="940">
        <v>0.05</v>
      </c>
      <c r="R794" s="941">
        <f t="shared" si="18"/>
        <v>0.30000000000000004</v>
      </c>
      <c r="S794" s="940">
        <v>0.01</v>
      </c>
      <c r="T794" s="942">
        <f t="shared" si="17"/>
        <v>0.06</v>
      </c>
      <c r="U794" s="933"/>
      <c r="V794" s="933"/>
      <c r="W794" s="933"/>
      <c r="X794" s="933"/>
      <c r="Y794" s="933"/>
      <c r="Z794" s="933"/>
      <c r="AA794" s="933"/>
      <c r="AB794" s="933"/>
      <c r="AC794" s="933"/>
      <c r="AD794" s="933"/>
      <c r="AE794" s="933"/>
      <c r="AF794" s="933"/>
      <c r="AG794" s="933"/>
      <c r="AH794" s="933"/>
      <c r="AI794" s="933"/>
      <c r="AJ794" s="933"/>
      <c r="AK794" s="933"/>
      <c r="AL794" s="933"/>
      <c r="AM794" s="933"/>
      <c r="AN794" s="933"/>
      <c r="AO794" s="933"/>
      <c r="AP794" s="933"/>
      <c r="AQ794" s="933"/>
      <c r="AR794" s="933"/>
      <c r="AS794" s="933"/>
      <c r="AT794" s="933"/>
      <c r="AU794" s="933"/>
      <c r="AV794" s="933"/>
      <c r="AW794" s="933"/>
      <c r="AX794" s="933"/>
      <c r="AY794" s="933"/>
      <c r="AZ794" s="933"/>
      <c r="BA794" s="933"/>
      <c r="BB794" s="933"/>
      <c r="BC794" s="933"/>
      <c r="BD794" s="933"/>
      <c r="BE794" s="933"/>
      <c r="BF794" s="933"/>
      <c r="BG794" s="933"/>
      <c r="BH794" s="933"/>
      <c r="BI794" s="933"/>
      <c r="BJ794" s="933"/>
      <c r="BK794" s="933"/>
      <c r="BL794" s="933"/>
      <c r="BM794" s="933"/>
      <c r="BN794" s="933"/>
      <c r="BO794" s="933"/>
      <c r="BP794" s="933"/>
      <c r="BQ794" s="933"/>
      <c r="BR794" s="933"/>
      <c r="BS794" s="933"/>
      <c r="BT794" s="933"/>
      <c r="BU794" s="933"/>
      <c r="BV794" s="933"/>
      <c r="BW794" s="933"/>
      <c r="BX794" s="933"/>
      <c r="BY794" s="933"/>
      <c r="BZ794" s="933"/>
      <c r="CA794" s="933"/>
      <c r="CB794" s="933"/>
      <c r="CC794" s="933"/>
      <c r="CD794" s="933"/>
      <c r="CE794" s="933"/>
      <c r="CF794" s="933"/>
      <c r="CG794" s="933"/>
      <c r="CH794" s="933"/>
      <c r="CI794" s="933"/>
      <c r="CJ794" s="933"/>
      <c r="CK794" s="933"/>
      <c r="CL794" s="933"/>
      <c r="CM794" s="933"/>
      <c r="CN794" s="933"/>
      <c r="CO794" s="933"/>
      <c r="CP794" s="933"/>
      <c r="CQ794" s="933"/>
      <c r="CR794" s="933"/>
      <c r="CS794" s="933"/>
      <c r="CT794" s="933"/>
      <c r="CU794" s="933"/>
      <c r="CV794" s="933"/>
      <c r="CW794" s="933"/>
      <c r="CX794" s="933"/>
      <c r="CY794" s="933"/>
      <c r="CZ794" s="933"/>
      <c r="DA794" s="933"/>
      <c r="DB794" s="933"/>
      <c r="DC794" s="933"/>
      <c r="DD794" s="933"/>
      <c r="DE794" s="933"/>
      <c r="DF794" s="933"/>
      <c r="DG794" s="933"/>
      <c r="DH794" s="933"/>
      <c r="DI794" s="933"/>
      <c r="DJ794" s="933"/>
      <c r="DK794" s="933"/>
      <c r="DL794" s="933"/>
      <c r="DM794" s="933"/>
      <c r="DN794" s="933"/>
      <c r="DO794" s="933"/>
      <c r="DP794" s="933"/>
      <c r="DQ794" s="933"/>
      <c r="DR794" s="933"/>
      <c r="DS794" s="933"/>
      <c r="DT794" s="933"/>
      <c r="DU794" s="933"/>
      <c r="DV794" s="933"/>
      <c r="DW794" s="933"/>
      <c r="DX794" s="933"/>
      <c r="DY794" s="933"/>
      <c r="DZ794" s="933"/>
      <c r="EA794" s="933"/>
      <c r="EB794" s="933"/>
      <c r="EC794" s="933"/>
      <c r="ED794" s="933"/>
      <c r="EE794" s="933"/>
      <c r="EF794" s="933"/>
      <c r="EG794" s="933"/>
      <c r="EH794" s="933"/>
      <c r="EI794" s="933"/>
      <c r="EJ794" s="933"/>
      <c r="EK794" s="933"/>
      <c r="EL794" s="933"/>
      <c r="EM794" s="933"/>
      <c r="EN794" s="933"/>
      <c r="EO794" s="933"/>
      <c r="EP794" s="933"/>
      <c r="EQ794" s="933"/>
      <c r="ER794" s="933"/>
      <c r="ES794" s="933"/>
      <c r="ET794" s="933"/>
      <c r="EU794" s="933"/>
      <c r="EV794" s="933"/>
      <c r="EW794" s="933"/>
      <c r="EX794" s="933"/>
      <c r="EY794" s="933"/>
      <c r="EZ794" s="933"/>
      <c r="FA794" s="933"/>
      <c r="FB794" s="933"/>
      <c r="FC794" s="933"/>
      <c r="FD794" s="933"/>
      <c r="FE794" s="933"/>
      <c r="FF794" s="933"/>
      <c r="FG794" s="933"/>
      <c r="FH794" s="933"/>
      <c r="FI794" s="933"/>
      <c r="FJ794" s="933"/>
      <c r="FK794" s="933"/>
      <c r="FL794" s="933"/>
      <c r="FM794" s="933"/>
      <c r="FN794" s="933"/>
      <c r="FO794" s="933"/>
      <c r="FP794" s="933"/>
      <c r="FQ794" s="933"/>
      <c r="FR794" s="933"/>
      <c r="FS794" s="933"/>
      <c r="FT794" s="933"/>
      <c r="FU794" s="933"/>
      <c r="FV794" s="933"/>
      <c r="FW794" s="933"/>
      <c r="FX794" s="933"/>
      <c r="FY794" s="933"/>
      <c r="FZ794" s="933"/>
      <c r="GA794" s="933"/>
      <c r="GB794" s="933"/>
      <c r="GC794" s="933"/>
      <c r="GD794" s="933"/>
      <c r="GE794" s="933"/>
      <c r="GF794" s="933"/>
      <c r="GG794" s="933"/>
      <c r="GH794" s="933"/>
      <c r="GI794" s="933"/>
      <c r="GJ794" s="933"/>
      <c r="GK794" s="933"/>
      <c r="GL794" s="933"/>
      <c r="GM794" s="933"/>
      <c r="GN794" s="933"/>
      <c r="GO794" s="933"/>
      <c r="GP794" s="933"/>
      <c r="GQ794" s="933"/>
      <c r="GR794" s="933"/>
      <c r="GS794" s="933"/>
      <c r="GT794" s="933"/>
      <c r="GU794" s="933"/>
      <c r="GV794" s="933"/>
      <c r="GW794" s="933"/>
      <c r="GX794" s="933"/>
      <c r="GY794" s="933"/>
      <c r="GZ794" s="933"/>
      <c r="HA794" s="933"/>
      <c r="HB794" s="933"/>
      <c r="HC794" s="933"/>
      <c r="HD794" s="933"/>
      <c r="HE794" s="933"/>
      <c r="HF794" s="933"/>
      <c r="HG794" s="933"/>
      <c r="HH794" s="933"/>
      <c r="HI794" s="933"/>
      <c r="HJ794" s="933"/>
      <c r="HK794" s="933"/>
      <c r="HL794" s="933"/>
      <c r="HM794" s="933"/>
      <c r="HN794" s="933"/>
      <c r="HO794" s="933"/>
      <c r="HP794" s="933"/>
      <c r="HQ794" s="933"/>
      <c r="HR794" s="933"/>
      <c r="HS794" s="933"/>
      <c r="HT794" s="933"/>
      <c r="HU794" s="933"/>
      <c r="HV794" s="933"/>
      <c r="HW794" s="933"/>
      <c r="HX794" s="933"/>
      <c r="HY794" s="933"/>
      <c r="HZ794" s="933"/>
      <c r="IA794" s="933"/>
      <c r="IB794" s="933"/>
      <c r="IC794" s="933"/>
      <c r="ID794" s="933"/>
      <c r="IE794" s="933"/>
      <c r="IF794" s="933"/>
      <c r="IG794" s="933"/>
      <c r="IH794" s="933"/>
      <c r="II794" s="933"/>
      <c r="IJ794" s="933"/>
      <c r="IK794" s="933"/>
      <c r="IL794" s="933"/>
      <c r="IM794" s="933"/>
      <c r="IN794" s="933"/>
      <c r="IO794" s="933"/>
      <c r="IP794" s="933"/>
      <c r="IQ794" s="933"/>
      <c r="IR794" s="933"/>
      <c r="IS794" s="933"/>
      <c r="IT794" s="933"/>
      <c r="IU794" s="933"/>
      <c r="IV794" s="933"/>
    </row>
    <row r="795" spans="1:256" s="933" customFormat="1" ht="11.4">
      <c r="A795" s="957">
        <v>1</v>
      </c>
      <c r="B795" s="933" t="s">
        <v>141</v>
      </c>
      <c r="D795" s="933" t="s">
        <v>776</v>
      </c>
      <c r="F795" s="933" t="s">
        <v>901</v>
      </c>
      <c r="G795" s="936" t="s">
        <v>777</v>
      </c>
      <c r="H795" s="937">
        <v>900</v>
      </c>
      <c r="I795" s="933" t="s">
        <v>778</v>
      </c>
      <c r="K795" s="933" t="s">
        <v>7</v>
      </c>
      <c r="O795" s="938">
        <v>1</v>
      </c>
      <c r="P795" s="939"/>
      <c r="Q795" s="983"/>
      <c r="R795" s="941">
        <f>$A795*Q795</f>
        <v>0</v>
      </c>
      <c r="S795" s="940">
        <v>0.5</v>
      </c>
      <c r="T795" s="942">
        <f t="shared" si="17"/>
        <v>0.5</v>
      </c>
      <c r="U795" s="933" t="s">
        <v>863</v>
      </c>
    </row>
    <row r="796" spans="1:256" s="519" customFormat="1" ht="13.95" customHeight="1">
      <c r="A796" s="49"/>
      <c r="B796" s="528"/>
      <c r="C796" s="528"/>
      <c r="D796" s="528"/>
      <c r="E796" s="528"/>
      <c r="F796" s="528"/>
      <c r="G796" s="528"/>
      <c r="H796" s="801"/>
      <c r="I796" s="528"/>
      <c r="J796" s="48"/>
      <c r="K796" s="805"/>
      <c r="L796" s="806"/>
      <c r="M796" s="528"/>
      <c r="N796" s="528"/>
      <c r="O796" s="48"/>
      <c r="P796" s="528"/>
      <c r="Q796" s="528"/>
      <c r="R796" s="807">
        <f>$A796*Q796</f>
        <v>0</v>
      </c>
      <c r="S796" s="528"/>
      <c r="T796" s="643">
        <f t="shared" si="16"/>
        <v>0</v>
      </c>
    </row>
    <row r="797" spans="1:256" s="519" customFormat="1" ht="12">
      <c r="A797" s="808" t="s">
        <v>145</v>
      </c>
      <c r="B797" s="809">
        <f>(R796+T796)</f>
        <v>0</v>
      </c>
      <c r="C797" s="641"/>
      <c r="G797" s="810"/>
      <c r="H797" s="810"/>
      <c r="I797" s="810"/>
      <c r="J797" s="810"/>
      <c r="K797" s="811" t="s">
        <v>3</v>
      </c>
      <c r="L797" s="812" t="s">
        <v>590</v>
      </c>
      <c r="M797" s="810"/>
      <c r="N797" s="810"/>
      <c r="O797" s="810"/>
      <c r="P797" s="810"/>
      <c r="Q797" s="813"/>
      <c r="R797" s="814">
        <f ca="1">SUM(R763:R796)</f>
        <v>145.46000000000004</v>
      </c>
      <c r="S797" s="815"/>
      <c r="T797" s="814">
        <f ca="1">SUM(T763:T796)</f>
        <v>21.31</v>
      </c>
      <c r="AG797" s="816">
        <f ca="1">ROUND($R797*$S$2,2)</f>
        <v>145.46</v>
      </c>
    </row>
    <row r="798" spans="1:256" s="519" customFormat="1" ht="12" customHeight="1">
      <c r="A798" s="817"/>
      <c r="B798" s="818"/>
      <c r="C798" s="819"/>
      <c r="D798" s="819" t="str">
        <f>$F$3</f>
        <v>ECA</v>
      </c>
      <c r="E798" s="819">
        <f>ROUND(($R802*$S$3 + ($T802*$T$3)), 2)</f>
        <v>6588.37</v>
      </c>
      <c r="F798" s="820">
        <f ca="1">$F760-SUMIF($L762:$P781,"SUBI",$F762:$F781)</f>
        <v>6588.37</v>
      </c>
      <c r="G798" s="518"/>
      <c r="H798" s="518"/>
      <c r="I798" s="518"/>
      <c r="J798" s="518"/>
      <c r="K798" s="802" t="s">
        <v>5</v>
      </c>
      <c r="L798" s="803" t="s">
        <v>590</v>
      </c>
      <c r="M798" s="518"/>
      <c r="N798" s="518"/>
      <c r="O798" s="518"/>
      <c r="P798" s="518"/>
      <c r="Q798" s="518"/>
      <c r="R798" s="821"/>
      <c r="S798" s="518"/>
      <c r="T798" s="821"/>
    </row>
    <row r="799" spans="1:256" s="933" customFormat="1" ht="13.2">
      <c r="A799">
        <v>1</v>
      </c>
      <c r="B799" s="933" t="s">
        <v>141</v>
      </c>
      <c r="D799" s="933" t="s">
        <v>785</v>
      </c>
      <c r="E799" s="935" t="s">
        <v>804</v>
      </c>
      <c r="F799" s="933" t="s">
        <v>973</v>
      </c>
      <c r="G799" s="936" t="s">
        <v>786</v>
      </c>
      <c r="H799" s="937">
        <v>570</v>
      </c>
      <c r="I799" s="933" t="s">
        <v>729</v>
      </c>
      <c r="O799" s="938">
        <v>2</v>
      </c>
      <c r="P799" s="939">
        <v>38443</v>
      </c>
      <c r="Q799" s="1058">
        <v>6149.01</v>
      </c>
      <c r="R799" s="941">
        <f>$A799*Q799</f>
        <v>6149.01</v>
      </c>
      <c r="S799" s="940"/>
      <c r="T799" s="942">
        <f>$A799*S799*$T$1</f>
        <v>0</v>
      </c>
    </row>
    <row r="800" spans="1:256" s="933" customFormat="1" ht="13.2">
      <c r="A800">
        <v>1</v>
      </c>
      <c r="B800" s="933" t="s">
        <v>141</v>
      </c>
      <c r="D800" s="933" t="s">
        <v>785</v>
      </c>
      <c r="E800" s="935" t="s">
        <v>885</v>
      </c>
      <c r="F800" s="933" t="s">
        <v>974</v>
      </c>
      <c r="G800" s="936" t="s">
        <v>786</v>
      </c>
      <c r="H800" s="937">
        <v>570</v>
      </c>
      <c r="I800" s="933" t="s">
        <v>729</v>
      </c>
      <c r="O800" s="938">
        <v>2</v>
      </c>
      <c r="P800" s="939">
        <v>38443</v>
      </c>
      <c r="Q800" s="940"/>
      <c r="R800" s="941">
        <f>$A800*Q800</f>
        <v>0</v>
      </c>
      <c r="S800" s="1058">
        <v>16</v>
      </c>
      <c r="T800" s="942">
        <f>$A800*S800*$T$1</f>
        <v>16</v>
      </c>
    </row>
    <row r="801" spans="1:41" s="519" customFormat="1" ht="13.2">
      <c r="A801" s="49"/>
      <c r="B801" s="528"/>
      <c r="C801" s="528"/>
      <c r="D801" s="3"/>
      <c r="E801" s="528"/>
      <c r="F801" s="528"/>
      <c r="G801" s="528"/>
      <c r="H801" s="528"/>
      <c r="I801" s="528"/>
      <c r="J801" s="528"/>
      <c r="K801" s="528"/>
      <c r="L801" s="806"/>
      <c r="M801" s="528"/>
      <c r="N801" s="528"/>
      <c r="O801" s="528"/>
      <c r="P801" s="528"/>
      <c r="Q801" s="528"/>
      <c r="R801" s="807">
        <f>$A801*Q801</f>
        <v>0</v>
      </c>
      <c r="S801" s="528"/>
      <c r="T801" s="643">
        <f>$A801*S801*$T$1</f>
        <v>0</v>
      </c>
    </row>
    <row r="802" spans="1:41" s="519" customFormat="1" ht="12" customHeight="1">
      <c r="A802" s="835" t="s">
        <v>145</v>
      </c>
      <c r="B802" s="836">
        <f>(R801+T801)</f>
        <v>0</v>
      </c>
      <c r="C802" s="837"/>
      <c r="D802" s="837"/>
      <c r="E802" s="837"/>
      <c r="F802" s="837"/>
      <c r="G802" s="813"/>
      <c r="H802" s="813"/>
      <c r="I802" s="813"/>
      <c r="J802" s="813"/>
      <c r="K802" s="838" t="s">
        <v>5</v>
      </c>
      <c r="L802" s="839" t="s">
        <v>590</v>
      </c>
      <c r="M802" s="813"/>
      <c r="N802" s="813"/>
      <c r="O802" s="813"/>
      <c r="P802" s="813"/>
      <c r="Q802" s="813"/>
      <c r="R802" s="814">
        <f>SUM(R798:R801)</f>
        <v>6149.01</v>
      </c>
      <c r="S802" s="815"/>
      <c r="T802" s="814">
        <f>SUM(T798:T801)</f>
        <v>16</v>
      </c>
      <c r="AG802" s="840">
        <f>ROUND($R802*$S$3,2)</f>
        <v>6149.01</v>
      </c>
    </row>
    <row r="803" spans="1:41" s="519" customFormat="1" ht="12.75" customHeight="1">
      <c r="A803" s="841"/>
      <c r="B803" s="842"/>
      <c r="E803" s="641"/>
      <c r="F803" s="843"/>
      <c r="G803" s="641"/>
      <c r="H803" s="641"/>
      <c r="I803" s="518"/>
      <c r="J803" s="641"/>
      <c r="K803" s="641"/>
      <c r="L803" s="844"/>
      <c r="M803" s="652"/>
      <c r="N803" s="652"/>
      <c r="O803" s="652"/>
      <c r="P803" s="652"/>
      <c r="Q803" s="653"/>
      <c r="R803" s="821"/>
      <c r="S803" s="641"/>
      <c r="T803" s="821"/>
    </row>
    <row r="804" spans="1:41" s="519" customFormat="1" ht="13.5" customHeight="1" thickBot="1">
      <c r="A804" s="845"/>
      <c r="B804" s="846"/>
      <c r="C804" s="529"/>
      <c r="D804" s="529"/>
      <c r="E804" s="646"/>
      <c r="F804" s="647"/>
      <c r="G804" s="646" t="s">
        <v>146</v>
      </c>
      <c r="H804" s="646"/>
      <c r="I804" s="648"/>
      <c r="J804" s="646"/>
      <c r="K804" s="646"/>
      <c r="L804" s="847" t="s">
        <v>143</v>
      </c>
      <c r="M804" s="649"/>
      <c r="N804" s="649"/>
      <c r="O804" s="649"/>
      <c r="P804" s="649"/>
      <c r="Q804" s="650"/>
      <c r="R804" s="848">
        <f ca="1">SUMIF($L761:$L803,"SUBI",R761:R803)</f>
        <v>6294.47</v>
      </c>
      <c r="S804" s="646"/>
      <c r="T804" s="848">
        <f ca="1">SUMIF($L761:$L803,"SUBI",T761:T803)</f>
        <v>37.31</v>
      </c>
      <c r="U804" s="529"/>
      <c r="V804" s="529"/>
      <c r="W804" s="529"/>
      <c r="X804" s="529"/>
      <c r="Y804" s="529"/>
      <c r="Z804" s="529"/>
      <c r="AA804" s="529"/>
      <c r="AB804" s="529"/>
      <c r="AC804" s="529"/>
      <c r="AD804" s="529"/>
      <c r="AE804" s="529"/>
      <c r="AF804" s="529"/>
      <c r="AG804" s="529"/>
      <c r="AH804" s="529"/>
      <c r="AI804" s="529"/>
      <c r="AJ804" s="529"/>
      <c r="AK804" s="529"/>
      <c r="AL804" s="529"/>
      <c r="AM804" s="529"/>
      <c r="AN804" s="529"/>
      <c r="AO804" s="529"/>
    </row>
    <row r="805" spans="1:41" s="519" customFormat="1" thickTop="1">
      <c r="A805" s="47"/>
      <c r="B805" s="40"/>
      <c r="C805" s="47"/>
      <c r="E805" s="41" t="s">
        <v>138</v>
      </c>
      <c r="F805" s="41" t="s">
        <v>139</v>
      </c>
      <c r="G805" s="47"/>
      <c r="H805" s="47"/>
      <c r="I805" s="47"/>
      <c r="J805" s="47"/>
      <c r="K805" s="47" t="s">
        <v>140</v>
      </c>
      <c r="L805" s="774"/>
      <c r="M805" s="47"/>
      <c r="N805" s="47"/>
      <c r="O805" s="48"/>
      <c r="P805" s="47"/>
      <c r="Q805"/>
      <c r="R805"/>
      <c r="S805"/>
      <c r="T805" s="40"/>
      <c r="AG805" s="627" t="s">
        <v>277</v>
      </c>
      <c r="AH805" s="627" t="s">
        <v>278</v>
      </c>
      <c r="AI805" s="627" t="s">
        <v>279</v>
      </c>
      <c r="AJ805" s="627" t="s">
        <v>280</v>
      </c>
      <c r="AK805" s="627" t="s">
        <v>281</v>
      </c>
      <c r="AM805" s="628" t="s">
        <v>290</v>
      </c>
      <c r="AN805" s="629" t="s">
        <v>291</v>
      </c>
      <c r="AO805" s="520" t="s">
        <v>287</v>
      </c>
    </row>
    <row r="806" spans="1:41" s="519" customFormat="1" ht="13.2">
      <c r="A806" s="630">
        <v>1</v>
      </c>
      <c r="B806" s="521" t="s">
        <v>339</v>
      </c>
      <c r="C806" s="631"/>
      <c r="D806" s="632" t="s">
        <v>662</v>
      </c>
      <c r="E806" s="775">
        <f ca="1">IF(AND($A806=0,$A$1="DIF"),0, ROUND(ROUND(SUMIF($L808:$L837,"SUBI",$E808:$E837)/$A806,2)*$C$12,2))</f>
        <v>8060.53</v>
      </c>
      <c r="F806" s="776">
        <f ca="1">ROUND($A806*$E806,2)</f>
        <v>8060.53</v>
      </c>
      <c r="G806" s="635" t="s">
        <v>142</v>
      </c>
      <c r="H806" s="636"/>
      <c r="I806" s="637"/>
      <c r="J806" s="636"/>
      <c r="K806" s="777"/>
      <c r="L806" s="778" t="s">
        <v>143</v>
      </c>
      <c r="M806" s="638"/>
      <c r="N806" s="638"/>
      <c r="O806" s="638"/>
      <c r="P806" s="638"/>
      <c r="Q806"/>
      <c r="R806"/>
      <c r="S806"/>
      <c r="T806" s="779" t="str">
        <f ca="1">IF(AND($R843=0,$T843=0),"0.00","mu :" &amp; ROUND($F806/$C$12/($R843+$T843*$D$9),2))</f>
        <v>mu :1</v>
      </c>
      <c r="W806" s="522"/>
      <c r="AG806" s="780">
        <f ca="1">IF(A806=0,0,ROUND(SUM(AG808:AG843)/A806,2))</f>
        <v>7036</v>
      </c>
      <c r="AH806" s="780">
        <f ca="1">$AG806*$A806</f>
        <v>7036</v>
      </c>
      <c r="AI806" s="780">
        <f ca="1">$E806-$AG806</f>
        <v>1024.5299999999997</v>
      </c>
      <c r="AJ806" s="780">
        <f ca="1">$A806*$AI806</f>
        <v>1024.5299999999997</v>
      </c>
      <c r="AK806" s="781">
        <f ca="1">ROUND(($AG806+$AI806)*$A806,2)</f>
        <v>8060.53</v>
      </c>
      <c r="AM806" s="525">
        <f ca="1">ROUND(R843,2)</f>
        <v>7036</v>
      </c>
      <c r="AN806" s="526">
        <f ca="1">ROUND(T843,2)</f>
        <v>37.31</v>
      </c>
      <c r="AO806" s="527">
        <f ca="1">ROUND(AM806+AN806,2)*A806</f>
        <v>7073.31</v>
      </c>
    </row>
    <row r="807" spans="1:41" s="519" customFormat="1" ht="19.95" customHeight="1">
      <c r="A807" s="782"/>
      <c r="B807" s="783"/>
      <c r="C807" s="631"/>
      <c r="D807" s="784" t="s">
        <v>663</v>
      </c>
      <c r="F807" s="636"/>
      <c r="G807" s="636"/>
      <c r="H807" s="636"/>
      <c r="I807" s="637"/>
      <c r="J807" s="636"/>
      <c r="K807" s="636" t="s">
        <v>144</v>
      </c>
      <c r="L807" s="785"/>
      <c r="M807" s="636"/>
      <c r="N807" s="636"/>
      <c r="O807" s="636"/>
      <c r="P807" s="636"/>
      <c r="Q807" s="47"/>
      <c r="R807" s="528"/>
      <c r="S807" s="640"/>
      <c r="T807" s="636"/>
    </row>
    <row r="808" spans="1:41" s="519" customFormat="1" ht="12">
      <c r="A808" s="786"/>
      <c r="B808" s="787"/>
      <c r="C808" s="641"/>
      <c r="D808" s="636"/>
      <c r="E808" s="788">
        <f ca="1">F806/$C$12-SUMIF($L805:$L843,"SUBI",$E805:$E843)</f>
        <v>0</v>
      </c>
      <c r="F808" s="789" t="s">
        <v>589</v>
      </c>
      <c r="G808" s="790"/>
      <c r="H808" s="790"/>
      <c r="I808" s="791"/>
      <c r="J808" s="790"/>
      <c r="K808" s="790"/>
      <c r="L808" s="792"/>
      <c r="M808" s="793"/>
      <c r="N808" s="793"/>
      <c r="O808" s="793"/>
      <c r="P808" s="793"/>
      <c r="Q808" s="794"/>
      <c r="R808" s="795"/>
      <c r="S808" s="794"/>
      <c r="T808" s="796"/>
    </row>
    <row r="809" spans="1:41" s="519" customFormat="1" ht="12" customHeight="1">
      <c r="A809" s="797"/>
      <c r="B809" s="798"/>
      <c r="C809" s="799"/>
      <c r="D809" s="799" t="str">
        <f>$F$2</f>
        <v>Electrical</v>
      </c>
      <c r="E809" s="799">
        <f ca="1">ROUND(($R836*$S$2 + ($T836*$T$2)), 2)</f>
        <v>730.63</v>
      </c>
      <c r="F809" s="800">
        <f ca="1">$E809*$C$12</f>
        <v>730.63</v>
      </c>
      <c r="G809" s="528"/>
      <c r="H809" s="801"/>
      <c r="I809" s="528"/>
      <c r="J809" s="48"/>
      <c r="K809" s="802" t="s">
        <v>3</v>
      </c>
      <c r="L809" s="803" t="s">
        <v>590</v>
      </c>
      <c r="M809" s="528"/>
      <c r="N809" s="528"/>
      <c r="O809" s="48"/>
      <c r="P809" s="528"/>
      <c r="Q809" s="528"/>
      <c r="R809"/>
      <c r="S809"/>
      <c r="T809"/>
    </row>
    <row r="810" spans="1:41" s="933" customFormat="1" ht="13.2">
      <c r="A810">
        <v>1</v>
      </c>
      <c r="B810" s="933" t="s">
        <v>141</v>
      </c>
      <c r="D810" s="933" t="s">
        <v>785</v>
      </c>
      <c r="E810" s="935" t="s">
        <v>805</v>
      </c>
      <c r="F810" s="933" t="s">
        <v>803</v>
      </c>
      <c r="G810" s="936" t="s">
        <v>786</v>
      </c>
      <c r="H810" s="937">
        <v>570</v>
      </c>
      <c r="I810" s="933" t="s">
        <v>729</v>
      </c>
      <c r="O810" s="938">
        <v>2</v>
      </c>
      <c r="P810" s="939">
        <v>38443</v>
      </c>
      <c r="Q810" s="940"/>
      <c r="R810" s="941">
        <f>$A810*Q810</f>
        <v>0</v>
      </c>
      <c r="S810" s="940">
        <f>8+10</f>
        <v>18</v>
      </c>
      <c r="T810" s="942">
        <f>$A810*S810*$T$1</f>
        <v>18</v>
      </c>
    </row>
    <row r="811" spans="1:41" s="933" customFormat="1" ht="13.2">
      <c r="A811">
        <v>1</v>
      </c>
      <c r="B811" s="933" t="s">
        <v>141</v>
      </c>
      <c r="D811" s="933" t="s">
        <v>787</v>
      </c>
      <c r="F811" s="933" t="s">
        <v>847</v>
      </c>
      <c r="G811" s="936" t="s">
        <v>788</v>
      </c>
      <c r="H811" s="937">
        <v>501</v>
      </c>
      <c r="I811" s="933" t="s">
        <v>729</v>
      </c>
      <c r="K811" s="933" t="s">
        <v>789</v>
      </c>
      <c r="O811" s="938">
        <v>1</v>
      </c>
      <c r="P811" s="939"/>
      <c r="Q811" s="940">
        <v>100</v>
      </c>
      <c r="R811" s="941">
        <f>$A811*Q811</f>
        <v>100</v>
      </c>
      <c r="S811" s="940"/>
      <c r="T811" s="942">
        <f>$A811*S811*$T$1</f>
        <v>0</v>
      </c>
    </row>
    <row r="812" spans="1:41" s="956" customFormat="1" ht="13.2">
      <c r="A812"/>
      <c r="B812" s="948"/>
      <c r="C812" s="948" t="s">
        <v>742</v>
      </c>
      <c r="D812" s="948" t="str">
        <f ca="1">CELL("Address",Elec_Rates!D$121)</f>
        <v>[ELM25_0085_Quintano_Elec_Mech_HVAC_Est_Rev_B.xlsx]Elec_Rates!$D$121</v>
      </c>
      <c r="E812" s="949"/>
      <c r="F812" s="949"/>
      <c r="G812" s="950" t="s">
        <v>743</v>
      </c>
      <c r="H812" s="950"/>
      <c r="I812" s="950"/>
      <c r="J812" s="950"/>
      <c r="K812" s="951"/>
      <c r="L812" s="949"/>
      <c r="M812" s="949"/>
      <c r="N812" s="949"/>
      <c r="O812" s="952"/>
      <c r="P812" s="949"/>
      <c r="Q812" s="953"/>
      <c r="R812" s="954"/>
      <c r="S812" s="953"/>
      <c r="T812" s="943"/>
      <c r="U812" s="955"/>
    </row>
    <row r="813" spans="1:41" s="956" customFormat="1" ht="11.4">
      <c r="A813" s="1059">
        <v>3</v>
      </c>
      <c r="B813" s="958">
        <v>1</v>
      </c>
      <c r="C813" s="958">
        <f>$A813*$B813</f>
        <v>3</v>
      </c>
      <c r="D813" s="959" t="str">
        <f>Elec_Rates!$D$121</f>
        <v>073# 300mm cable Tray c/w bracket to wall</v>
      </c>
      <c r="E813" s="959"/>
      <c r="F813" s="959" t="s">
        <v>744</v>
      </c>
      <c r="G813" s="960" t="s">
        <v>745</v>
      </c>
      <c r="H813" s="960"/>
      <c r="I813" s="960"/>
      <c r="J813" s="960"/>
      <c r="K813" s="961"/>
      <c r="L813" s="955"/>
      <c r="M813" s="955"/>
      <c r="N813" s="955"/>
      <c r="O813" s="962"/>
      <c r="P813" s="959"/>
      <c r="Q813" s="963">
        <f ca="1">$B813*Elec_Rates!$R$121</f>
        <v>8.66</v>
      </c>
      <c r="R813" s="954">
        <f ca="1">$A813*Q813</f>
        <v>25.98</v>
      </c>
      <c r="S813" s="963">
        <f ca="1">$B813*Elec_Rates!$T$121</f>
        <v>0.56000000000000005</v>
      </c>
      <c r="T813" s="943">
        <f ca="1">$A813*S813</f>
        <v>1.6800000000000002</v>
      </c>
      <c r="U813" s="501"/>
    </row>
    <row r="814" spans="1:41" s="933" customFormat="1" ht="13.2">
      <c r="A814"/>
      <c r="D814" s="978" t="s">
        <v>844</v>
      </c>
      <c r="E814" s="935"/>
      <c r="G814" s="936"/>
      <c r="H814" s="937"/>
      <c r="O814" s="938"/>
      <c r="P814" s="939"/>
      <c r="Q814" s="940"/>
      <c r="R814" s="941">
        <f t="shared" ref="R814:R826" si="19">$A814*Q814</f>
        <v>0</v>
      </c>
      <c r="S814" s="940"/>
      <c r="T814" s="942">
        <f t="shared" ref="T814:T835" si="20">$A814*S814*$T$1</f>
        <v>0</v>
      </c>
    </row>
    <row r="815" spans="1:41" s="933" customFormat="1" ht="13.2">
      <c r="A815" s="1060">
        <v>0</v>
      </c>
      <c r="B815" s="933" t="s">
        <v>311</v>
      </c>
      <c r="C815">
        <f>2*5</f>
        <v>10</v>
      </c>
      <c r="D815" s="933" t="s">
        <v>725</v>
      </c>
      <c r="E815" s="934" t="s">
        <v>726</v>
      </c>
      <c r="F815" s="935" t="s">
        <v>727</v>
      </c>
      <c r="G815" s="936" t="s">
        <v>728</v>
      </c>
      <c r="H815" s="937">
        <v>616</v>
      </c>
      <c r="I815" s="933" t="s">
        <v>729</v>
      </c>
      <c r="J815" s="933" t="s">
        <v>730</v>
      </c>
      <c r="O815" s="938">
        <v>2</v>
      </c>
      <c r="P815" s="939">
        <v>38371</v>
      </c>
      <c r="Q815" s="940">
        <v>26.22</v>
      </c>
      <c r="R815" s="941">
        <f t="shared" si="19"/>
        <v>0</v>
      </c>
      <c r="S815" s="940">
        <v>0.1</v>
      </c>
      <c r="T815" s="942">
        <f t="shared" si="20"/>
        <v>0</v>
      </c>
    </row>
    <row r="816" spans="1:41" s="933" customFormat="1" ht="13.2">
      <c r="A816" s="1060">
        <v>0</v>
      </c>
      <c r="B816" s="933" t="s">
        <v>141</v>
      </c>
      <c r="C816">
        <f>2*5</f>
        <v>10</v>
      </c>
      <c r="D816" s="933" t="s">
        <v>731</v>
      </c>
      <c r="G816" s="936" t="s">
        <v>732</v>
      </c>
      <c r="H816" s="937">
        <v>875</v>
      </c>
      <c r="I816" s="933" t="s">
        <v>729</v>
      </c>
      <c r="K816" s="933" t="s">
        <v>733</v>
      </c>
      <c r="O816" s="938">
        <v>1</v>
      </c>
      <c r="P816" s="939">
        <v>34669</v>
      </c>
      <c r="Q816" s="940">
        <v>0.05</v>
      </c>
      <c r="R816" s="941">
        <f t="shared" si="19"/>
        <v>0</v>
      </c>
      <c r="S816" s="940"/>
      <c r="T816" s="942">
        <f t="shared" si="20"/>
        <v>0</v>
      </c>
    </row>
    <row r="817" spans="1:256" s="933" customFormat="1" ht="13.2">
      <c r="A817" s="1060">
        <v>0</v>
      </c>
      <c r="B817" s="933" t="s">
        <v>141</v>
      </c>
      <c r="C817">
        <f>2*2</f>
        <v>4</v>
      </c>
      <c r="D817" s="933" t="s">
        <v>734</v>
      </c>
      <c r="G817" s="936" t="s">
        <v>735</v>
      </c>
      <c r="H817" s="937">
        <v>620</v>
      </c>
      <c r="I817" s="933" t="s">
        <v>736</v>
      </c>
      <c r="O817" s="938">
        <v>2</v>
      </c>
      <c r="P817" s="939">
        <v>35431</v>
      </c>
      <c r="Q817" s="940">
        <v>7.66</v>
      </c>
      <c r="R817" s="941">
        <f t="shared" si="19"/>
        <v>0</v>
      </c>
      <c r="S817" s="940">
        <v>0.4</v>
      </c>
      <c r="T817" s="942">
        <f t="shared" si="20"/>
        <v>0</v>
      </c>
    </row>
    <row r="818" spans="1:256" s="933" customFormat="1" ht="13.2">
      <c r="A818" s="1060">
        <v>0</v>
      </c>
      <c r="B818" s="933" t="s">
        <v>311</v>
      </c>
      <c r="C818">
        <f>2*2</f>
        <v>4</v>
      </c>
      <c r="D818" s="933" t="s">
        <v>737</v>
      </c>
      <c r="G818" s="936" t="s">
        <v>738</v>
      </c>
      <c r="H818" s="937">
        <v>620</v>
      </c>
      <c r="I818" s="933" t="s">
        <v>729</v>
      </c>
      <c r="O818" s="938">
        <v>2</v>
      </c>
      <c r="P818" s="939">
        <v>38148</v>
      </c>
      <c r="Q818" s="940">
        <v>1.5</v>
      </c>
      <c r="R818" s="941">
        <f t="shared" si="19"/>
        <v>0</v>
      </c>
      <c r="S818" s="940">
        <v>0.08</v>
      </c>
      <c r="T818" s="942">
        <f t="shared" si="20"/>
        <v>0</v>
      </c>
    </row>
    <row r="819" spans="1:256" s="933" customFormat="1" ht="13.2">
      <c r="A819" s="1060">
        <v>0</v>
      </c>
      <c r="B819" s="933" t="s">
        <v>141</v>
      </c>
      <c r="C819">
        <f>2*5*2</f>
        <v>20</v>
      </c>
      <c r="D819" s="933" t="s">
        <v>739</v>
      </c>
      <c r="G819" s="936" t="s">
        <v>740</v>
      </c>
      <c r="H819" s="937">
        <v>620</v>
      </c>
      <c r="I819" s="933" t="s">
        <v>741</v>
      </c>
      <c r="O819" s="938">
        <v>2</v>
      </c>
      <c r="P819" s="939">
        <v>34669</v>
      </c>
      <c r="Q819" s="940">
        <v>0.14000000000000001</v>
      </c>
      <c r="R819" s="941">
        <f t="shared" si="19"/>
        <v>0</v>
      </c>
      <c r="S819" s="940">
        <v>0.06</v>
      </c>
      <c r="T819" s="942">
        <f t="shared" si="20"/>
        <v>0</v>
      </c>
    </row>
    <row r="820" spans="1:256" s="933" customFormat="1" ht="13.2">
      <c r="A820" s="1060">
        <v>0</v>
      </c>
      <c r="B820" s="933" t="s">
        <v>141</v>
      </c>
      <c r="C820">
        <v>2</v>
      </c>
      <c r="D820" s="933" t="s">
        <v>785</v>
      </c>
      <c r="E820" s="935" t="s">
        <v>846</v>
      </c>
      <c r="F820" s="933" t="s">
        <v>803</v>
      </c>
      <c r="G820" s="936" t="s">
        <v>786</v>
      </c>
      <c r="H820" s="937">
        <v>570</v>
      </c>
      <c r="I820" s="933" t="s">
        <v>729</v>
      </c>
      <c r="O820" s="938">
        <v>2</v>
      </c>
      <c r="P820" s="939">
        <v>38443</v>
      </c>
      <c r="Q820" s="940">
        <v>10</v>
      </c>
      <c r="R820" s="941">
        <f>$A820*Q820</f>
        <v>0</v>
      </c>
      <c r="S820" s="940">
        <v>2</v>
      </c>
      <c r="T820" s="942">
        <f t="shared" si="20"/>
        <v>0</v>
      </c>
    </row>
    <row r="821" spans="1:256" s="933" customFormat="1" ht="13.2">
      <c r="A821"/>
      <c r="C821"/>
      <c r="D821" s="978" t="s">
        <v>848</v>
      </c>
      <c r="E821" s="935"/>
      <c r="G821" s="936"/>
      <c r="H821" s="937"/>
      <c r="O821" s="938"/>
      <c r="P821" s="939"/>
      <c r="Q821" s="940"/>
      <c r="R821" s="941">
        <f t="shared" si="19"/>
        <v>0</v>
      </c>
      <c r="S821" s="940"/>
      <c r="T821" s="942">
        <f t="shared" si="20"/>
        <v>0</v>
      </c>
    </row>
    <row r="822" spans="1:256" s="933" customFormat="1" ht="13.2">
      <c r="A822" s="1060">
        <v>0</v>
      </c>
      <c r="B822" s="933" t="s">
        <v>311</v>
      </c>
      <c r="C822">
        <f>8*5</f>
        <v>40</v>
      </c>
      <c r="D822" s="933" t="s">
        <v>762</v>
      </c>
      <c r="E822" s="934" t="s">
        <v>726</v>
      </c>
      <c r="F822" s="935" t="s">
        <v>727</v>
      </c>
      <c r="G822" s="936" t="s">
        <v>763</v>
      </c>
      <c r="H822" s="937">
        <v>616</v>
      </c>
      <c r="I822" s="933" t="s">
        <v>729</v>
      </c>
      <c r="J822" s="933" t="s">
        <v>764</v>
      </c>
      <c r="O822" s="938">
        <v>2</v>
      </c>
      <c r="P822" s="939">
        <v>38301</v>
      </c>
      <c r="Q822" s="940">
        <v>11.19</v>
      </c>
      <c r="R822" s="941">
        <f t="shared" si="19"/>
        <v>0</v>
      </c>
      <c r="S822" s="940">
        <v>0.06</v>
      </c>
      <c r="T822" s="942">
        <f t="shared" si="20"/>
        <v>0</v>
      </c>
    </row>
    <row r="823" spans="1:256" s="933" customFormat="1" ht="13.2">
      <c r="A823" s="1060">
        <v>0</v>
      </c>
      <c r="B823" s="933" t="s">
        <v>141</v>
      </c>
      <c r="C823">
        <f>8*5</f>
        <v>40</v>
      </c>
      <c r="D823" s="933" t="s">
        <v>731</v>
      </c>
      <c r="G823" s="936" t="s">
        <v>732</v>
      </c>
      <c r="H823" s="937">
        <v>875</v>
      </c>
      <c r="I823" s="933" t="s">
        <v>729</v>
      </c>
      <c r="K823" s="933" t="s">
        <v>733</v>
      </c>
      <c r="O823" s="938">
        <v>1</v>
      </c>
      <c r="P823" s="939">
        <v>34669</v>
      </c>
      <c r="Q823" s="940">
        <v>0.05</v>
      </c>
      <c r="R823" s="941">
        <f t="shared" si="19"/>
        <v>0</v>
      </c>
      <c r="S823" s="940"/>
      <c r="T823" s="942">
        <f t="shared" si="20"/>
        <v>0</v>
      </c>
    </row>
    <row r="824" spans="1:256" s="933" customFormat="1" ht="13.2">
      <c r="A824" s="1060">
        <v>0</v>
      </c>
      <c r="B824" s="933" t="s">
        <v>141</v>
      </c>
      <c r="C824">
        <f>8*2</f>
        <v>16</v>
      </c>
      <c r="D824" s="933" t="s">
        <v>765</v>
      </c>
      <c r="G824" s="936" t="s">
        <v>766</v>
      </c>
      <c r="H824" s="937">
        <v>620</v>
      </c>
      <c r="I824" s="933" t="s">
        <v>736</v>
      </c>
      <c r="O824" s="938">
        <v>2</v>
      </c>
      <c r="P824" s="939">
        <v>35431</v>
      </c>
      <c r="Q824" s="940">
        <v>3.56</v>
      </c>
      <c r="R824" s="941">
        <f t="shared" si="19"/>
        <v>0</v>
      </c>
      <c r="S824" s="940">
        <v>0.3</v>
      </c>
      <c r="T824" s="942">
        <f t="shared" si="20"/>
        <v>0</v>
      </c>
    </row>
    <row r="825" spans="1:256" s="933" customFormat="1" ht="13.2">
      <c r="A825" s="1060">
        <v>0</v>
      </c>
      <c r="B825" s="933" t="s">
        <v>311</v>
      </c>
      <c r="C825">
        <f>8*2</f>
        <v>16</v>
      </c>
      <c r="D825" s="933" t="s">
        <v>737</v>
      </c>
      <c r="G825" s="936" t="s">
        <v>738</v>
      </c>
      <c r="H825" s="937">
        <v>620</v>
      </c>
      <c r="I825" s="933" t="s">
        <v>729</v>
      </c>
      <c r="O825" s="938">
        <v>2</v>
      </c>
      <c r="P825" s="939">
        <v>38148</v>
      </c>
      <c r="Q825" s="940">
        <v>1.5</v>
      </c>
      <c r="R825" s="941">
        <f t="shared" si="19"/>
        <v>0</v>
      </c>
      <c r="S825" s="940">
        <v>0.08</v>
      </c>
      <c r="T825" s="942">
        <f t="shared" si="20"/>
        <v>0</v>
      </c>
    </row>
    <row r="826" spans="1:256" s="933" customFormat="1" ht="13.2">
      <c r="A826" s="1060">
        <v>0</v>
      </c>
      <c r="B826" s="933" t="s">
        <v>141</v>
      </c>
      <c r="C826">
        <f>8*2*5</f>
        <v>80</v>
      </c>
      <c r="D826" s="933" t="s">
        <v>767</v>
      </c>
      <c r="G826" s="936" t="s">
        <v>768</v>
      </c>
      <c r="H826" s="937">
        <v>620</v>
      </c>
      <c r="I826" s="933" t="s">
        <v>741</v>
      </c>
      <c r="O826" s="938">
        <v>2</v>
      </c>
      <c r="P826" s="939">
        <v>34669</v>
      </c>
      <c r="Q826" s="940">
        <v>0.05</v>
      </c>
      <c r="R826" s="941">
        <f t="shared" si="19"/>
        <v>0</v>
      </c>
      <c r="S826" s="940">
        <v>0.02</v>
      </c>
      <c r="T826" s="942">
        <f t="shared" si="20"/>
        <v>0</v>
      </c>
    </row>
    <row r="827" spans="1:256" s="933" customFormat="1" ht="13.2">
      <c r="A827" s="1060">
        <v>0</v>
      </c>
      <c r="B827" s="933" t="s">
        <v>141</v>
      </c>
      <c r="C827">
        <v>8</v>
      </c>
      <c r="D827" s="933" t="s">
        <v>785</v>
      </c>
      <c r="E827" s="935" t="s">
        <v>846</v>
      </c>
      <c r="F827" s="933" t="s">
        <v>803</v>
      </c>
      <c r="G827" s="936" t="s">
        <v>786</v>
      </c>
      <c r="H827" s="937">
        <v>570</v>
      </c>
      <c r="I827" s="933" t="s">
        <v>729</v>
      </c>
      <c r="O827" s="938">
        <v>2</v>
      </c>
      <c r="P827" s="939">
        <v>38443</v>
      </c>
      <c r="Q827" s="940">
        <v>10</v>
      </c>
      <c r="R827" s="941">
        <f>$A827*Q827</f>
        <v>0</v>
      </c>
      <c r="S827" s="940">
        <v>2</v>
      </c>
      <c r="T827" s="942">
        <f t="shared" si="20"/>
        <v>0</v>
      </c>
    </row>
    <row r="828" spans="1:256" s="933" customFormat="1" ht="13.2">
      <c r="A828"/>
      <c r="D828" s="978" t="s">
        <v>900</v>
      </c>
      <c r="E828" s="935"/>
      <c r="G828" s="936"/>
      <c r="H828" s="937"/>
      <c r="O828" s="938"/>
      <c r="P828" s="939"/>
      <c r="Q828" s="940"/>
      <c r="R828" s="941"/>
      <c r="S828" s="940"/>
      <c r="T828" s="942"/>
    </row>
    <row r="829" spans="1:256" s="933" customFormat="1" ht="11.4">
      <c r="A829" s="957">
        <v>3</v>
      </c>
      <c r="B829" s="933" t="s">
        <v>311</v>
      </c>
      <c r="D829" s="933" t="s">
        <v>851</v>
      </c>
      <c r="G829" s="936" t="s">
        <v>852</v>
      </c>
      <c r="H829" s="937">
        <v>690</v>
      </c>
      <c r="I829" s="933" t="s">
        <v>780</v>
      </c>
      <c r="J829" s="933" t="s">
        <v>781</v>
      </c>
      <c r="K829" s="940" t="s">
        <v>7</v>
      </c>
      <c r="O829" s="938">
        <v>1</v>
      </c>
      <c r="P829" s="939">
        <v>34669</v>
      </c>
      <c r="Q829" s="982">
        <v>3.66</v>
      </c>
      <c r="R829" s="941">
        <f>$A829*Q829</f>
        <v>10.98</v>
      </c>
      <c r="S829" s="940">
        <v>0.2</v>
      </c>
      <c r="T829" s="942">
        <f t="shared" ref="T829" si="21">$A829*S829*$T$1</f>
        <v>0.60000000000000009</v>
      </c>
    </row>
    <row r="830" spans="1:256" s="933" customFormat="1" ht="13.2">
      <c r="A830">
        <v>3</v>
      </c>
      <c r="B830" s="933" t="s">
        <v>311</v>
      </c>
      <c r="D830" s="933" t="s">
        <v>792</v>
      </c>
      <c r="G830" s="936" t="s">
        <v>793</v>
      </c>
      <c r="H830" s="937">
        <v>617</v>
      </c>
      <c r="I830" s="933" t="s">
        <v>729</v>
      </c>
      <c r="O830" s="938">
        <v>2</v>
      </c>
      <c r="P830" s="939">
        <v>40767</v>
      </c>
      <c r="Q830" s="940">
        <v>1.5</v>
      </c>
      <c r="R830" s="941">
        <f>$A830*Q830</f>
        <v>4.5</v>
      </c>
      <c r="S830" s="940">
        <v>7.0000000000000007E-2</v>
      </c>
      <c r="T830" s="942">
        <f>$A830*S830*$T$1</f>
        <v>0.21000000000000002</v>
      </c>
    </row>
    <row r="831" spans="1:256" s="956" customFormat="1" ht="11.4">
      <c r="A831" s="957">
        <v>2</v>
      </c>
      <c r="B831" s="933" t="s">
        <v>141</v>
      </c>
      <c r="C831" s="933"/>
      <c r="D831" s="933" t="s">
        <v>857</v>
      </c>
      <c r="E831" s="933"/>
      <c r="F831" s="933"/>
      <c r="G831" s="936" t="s">
        <v>858</v>
      </c>
      <c r="H831" s="937">
        <v>620</v>
      </c>
      <c r="I831" s="933" t="s">
        <v>729</v>
      </c>
      <c r="J831" s="933"/>
      <c r="K831" s="940" t="s">
        <v>7</v>
      </c>
      <c r="L831" s="933"/>
      <c r="M831" s="933"/>
      <c r="N831" s="933"/>
      <c r="O831" s="938">
        <v>2</v>
      </c>
      <c r="P831" s="939">
        <v>38148</v>
      </c>
      <c r="Q831" s="940">
        <f>1.1*1.5</f>
        <v>1.6500000000000001</v>
      </c>
      <c r="R831" s="941">
        <f t="shared" ref="R831:R833" si="22">$A831*Q831</f>
        <v>3.3000000000000003</v>
      </c>
      <c r="S831" s="940">
        <v>0.1</v>
      </c>
      <c r="T831" s="942">
        <f t="shared" ref="T831:T834" si="23">$A831*S831*$T$1</f>
        <v>0.2</v>
      </c>
      <c r="U831" s="933"/>
      <c r="V831" s="933"/>
      <c r="W831" s="933"/>
      <c r="X831" s="933"/>
      <c r="Y831" s="933"/>
      <c r="Z831" s="933"/>
      <c r="AA831" s="933"/>
      <c r="AB831" s="933"/>
      <c r="AC831" s="519"/>
      <c r="AD831" s="519"/>
      <c r="AE831" s="519"/>
      <c r="AF831" s="519"/>
      <c r="AG831" s="933"/>
      <c r="AH831" s="933"/>
      <c r="AI831" s="933"/>
      <c r="AJ831" s="933"/>
      <c r="AK831" s="933"/>
      <c r="AL831" s="933"/>
      <c r="AM831" s="933"/>
      <c r="AN831" s="933"/>
      <c r="AO831" s="933"/>
      <c r="AP831" s="933"/>
      <c r="AQ831" s="933"/>
      <c r="AR831" s="933"/>
      <c r="AS831" s="933"/>
      <c r="AT831" s="933"/>
      <c r="AU831" s="933"/>
      <c r="AV831" s="933"/>
      <c r="AW831" s="933"/>
      <c r="AX831" s="933"/>
      <c r="AY831" s="933"/>
      <c r="AZ831" s="933"/>
      <c r="BA831" s="933"/>
      <c r="BB831" s="933"/>
      <c r="BC831" s="933"/>
      <c r="BD831" s="933"/>
      <c r="BE831" s="933"/>
      <c r="BF831" s="933"/>
      <c r="BG831" s="933"/>
      <c r="BH831" s="933"/>
      <c r="BI831" s="933"/>
      <c r="BJ831" s="933"/>
      <c r="BK831" s="933"/>
      <c r="BL831" s="933"/>
      <c r="BM831" s="933"/>
      <c r="BN831" s="933"/>
      <c r="BO831" s="933"/>
      <c r="BP831" s="933"/>
      <c r="BQ831" s="933"/>
      <c r="BR831" s="933"/>
      <c r="BS831" s="933"/>
      <c r="BT831" s="933"/>
      <c r="BU831" s="933"/>
      <c r="BV831" s="933"/>
      <c r="BW831" s="933"/>
      <c r="BX831" s="933"/>
      <c r="BY831" s="933"/>
      <c r="BZ831" s="933"/>
      <c r="CA831" s="933"/>
      <c r="CB831" s="933"/>
      <c r="CC831" s="933"/>
      <c r="CD831" s="933"/>
      <c r="CE831" s="933"/>
      <c r="CF831" s="933"/>
      <c r="CG831" s="933"/>
      <c r="CH831" s="933"/>
      <c r="CI831" s="933"/>
      <c r="CJ831" s="933"/>
      <c r="CK831" s="933"/>
      <c r="CL831" s="933"/>
      <c r="CM831" s="933"/>
      <c r="CN831" s="933"/>
      <c r="CO831" s="933"/>
      <c r="CP831" s="933"/>
      <c r="CQ831" s="933"/>
      <c r="CR831" s="933"/>
      <c r="CS831" s="933"/>
      <c r="CT831" s="933"/>
      <c r="CU831" s="933"/>
      <c r="CV831" s="933"/>
      <c r="CW831" s="933"/>
      <c r="CX831" s="933"/>
      <c r="CY831" s="933"/>
      <c r="CZ831" s="933"/>
      <c r="DA831" s="933"/>
      <c r="DB831" s="933"/>
      <c r="DC831" s="933"/>
      <c r="DD831" s="933"/>
      <c r="DE831" s="933"/>
      <c r="DF831" s="933"/>
      <c r="DG831" s="933"/>
      <c r="DH831" s="933"/>
      <c r="DI831" s="933"/>
      <c r="DJ831" s="933"/>
      <c r="DK831" s="933"/>
      <c r="DL831" s="933"/>
      <c r="DM831" s="933"/>
      <c r="DN831" s="933"/>
      <c r="DO831" s="933"/>
      <c r="DP831" s="933"/>
      <c r="DQ831" s="933"/>
      <c r="DR831" s="933"/>
      <c r="DS831" s="933"/>
      <c r="DT831" s="933"/>
      <c r="DU831" s="933"/>
      <c r="DV831" s="933"/>
      <c r="DW831" s="933"/>
      <c r="DX831" s="933"/>
      <c r="DY831" s="933"/>
      <c r="DZ831" s="933"/>
      <c r="EA831" s="933"/>
      <c r="EB831" s="933"/>
      <c r="EC831" s="933"/>
      <c r="ED831" s="933"/>
      <c r="EE831" s="933"/>
      <c r="EF831" s="933"/>
      <c r="EG831" s="933"/>
      <c r="EH831" s="933"/>
      <c r="EI831" s="933"/>
      <c r="EJ831" s="933"/>
      <c r="EK831" s="933"/>
      <c r="EL831" s="933"/>
      <c r="EM831" s="933"/>
      <c r="EN831" s="933"/>
      <c r="EO831" s="933"/>
      <c r="EP831" s="933"/>
      <c r="EQ831" s="933"/>
      <c r="ER831" s="933"/>
      <c r="ES831" s="933"/>
      <c r="ET831" s="933"/>
      <c r="EU831" s="933"/>
      <c r="EV831" s="933"/>
      <c r="EW831" s="933"/>
      <c r="EX831" s="933"/>
      <c r="EY831" s="933"/>
      <c r="EZ831" s="933"/>
      <c r="FA831" s="933"/>
      <c r="FB831" s="933"/>
      <c r="FC831" s="933"/>
      <c r="FD831" s="933"/>
      <c r="FE831" s="933"/>
      <c r="FF831" s="933"/>
      <c r="FG831" s="933"/>
      <c r="FH831" s="933"/>
      <c r="FI831" s="933"/>
      <c r="FJ831" s="933"/>
      <c r="FK831" s="933"/>
      <c r="FL831" s="933"/>
      <c r="FM831" s="933"/>
      <c r="FN831" s="933"/>
      <c r="FO831" s="933"/>
      <c r="FP831" s="933"/>
      <c r="FQ831" s="933"/>
      <c r="FR831" s="933"/>
      <c r="FS831" s="933"/>
      <c r="FT831" s="933"/>
      <c r="FU831" s="933"/>
      <c r="FV831" s="933"/>
      <c r="FW831" s="933"/>
      <c r="FX831" s="933"/>
      <c r="FY831" s="933"/>
      <c r="FZ831" s="933"/>
      <c r="GA831" s="933"/>
      <c r="GB831" s="933"/>
      <c r="GC831" s="933"/>
      <c r="GD831" s="933"/>
      <c r="GE831" s="933"/>
      <c r="GF831" s="933"/>
      <c r="GG831" s="933"/>
      <c r="GH831" s="933"/>
      <c r="GI831" s="933"/>
      <c r="GJ831" s="933"/>
      <c r="GK831" s="933"/>
      <c r="GL831" s="933"/>
      <c r="GM831" s="933"/>
      <c r="GN831" s="933"/>
      <c r="GO831" s="933"/>
      <c r="GP831" s="933"/>
      <c r="GQ831" s="933"/>
      <c r="GR831" s="933"/>
      <c r="GS831" s="933"/>
      <c r="GT831" s="933"/>
      <c r="GU831" s="933"/>
      <c r="GV831" s="933"/>
      <c r="GW831" s="933"/>
      <c r="GX831" s="933"/>
      <c r="GY831" s="933"/>
      <c r="GZ831" s="933"/>
      <c r="HA831" s="933"/>
      <c r="HB831" s="933"/>
      <c r="HC831" s="933"/>
      <c r="HD831" s="933"/>
      <c r="HE831" s="933"/>
      <c r="HF831" s="933"/>
      <c r="HG831" s="933"/>
      <c r="HH831" s="933"/>
      <c r="HI831" s="933"/>
      <c r="HJ831" s="933"/>
      <c r="HK831" s="933"/>
      <c r="HL831" s="933"/>
      <c r="HM831" s="933"/>
      <c r="HN831" s="933"/>
      <c r="HO831" s="933"/>
      <c r="HP831" s="933"/>
      <c r="HQ831" s="933"/>
      <c r="HR831" s="933"/>
      <c r="HS831" s="933"/>
      <c r="HT831" s="933"/>
      <c r="HU831" s="933"/>
      <c r="HV831" s="933"/>
      <c r="HW831" s="933"/>
      <c r="HX831" s="933"/>
      <c r="HY831" s="933"/>
      <c r="HZ831" s="933"/>
      <c r="IA831" s="933"/>
      <c r="IB831" s="933"/>
      <c r="IC831" s="933"/>
      <c r="ID831" s="933"/>
      <c r="IE831" s="933"/>
      <c r="IF831" s="933"/>
      <c r="IG831" s="933"/>
      <c r="IH831" s="933"/>
      <c r="II831" s="933"/>
      <c r="IJ831" s="933"/>
      <c r="IK831" s="933"/>
      <c r="IL831" s="933"/>
      <c r="IM831" s="933"/>
      <c r="IN831" s="933"/>
      <c r="IO831" s="933"/>
      <c r="IP831" s="933"/>
      <c r="IQ831" s="933"/>
      <c r="IR831" s="933"/>
      <c r="IS831" s="933"/>
      <c r="IT831" s="933"/>
      <c r="IU831" s="933"/>
      <c r="IV831" s="933"/>
    </row>
    <row r="832" spans="1:256" s="956" customFormat="1" ht="11.4">
      <c r="A832" s="957">
        <v>2</v>
      </c>
      <c r="B832" s="933" t="s">
        <v>141</v>
      </c>
      <c r="C832" s="933"/>
      <c r="D832" s="933" t="s">
        <v>859</v>
      </c>
      <c r="E832" s="933"/>
      <c r="F832" s="933"/>
      <c r="G832" s="936" t="s">
        <v>860</v>
      </c>
      <c r="H832" s="937">
        <v>620</v>
      </c>
      <c r="I832" s="933" t="s">
        <v>729</v>
      </c>
      <c r="J832" s="933"/>
      <c r="K832" s="940" t="s">
        <v>7</v>
      </c>
      <c r="L832" s="933"/>
      <c r="M832" s="933"/>
      <c r="N832" s="933"/>
      <c r="O832" s="938">
        <v>2</v>
      </c>
      <c r="P832" s="939"/>
      <c r="Q832" s="940">
        <v>0.2</v>
      </c>
      <c r="R832" s="941">
        <f t="shared" si="22"/>
        <v>0.4</v>
      </c>
      <c r="S832" s="940">
        <v>0.03</v>
      </c>
      <c r="T832" s="942">
        <f t="shared" si="23"/>
        <v>0.06</v>
      </c>
      <c r="U832" s="933"/>
      <c r="V832" s="933"/>
      <c r="W832" s="933"/>
      <c r="X832" s="933"/>
      <c r="Y832" s="933"/>
      <c r="Z832" s="933"/>
      <c r="AA832" s="933"/>
      <c r="AB832" s="933"/>
      <c r="AC832" s="933"/>
      <c r="AD832" s="933"/>
      <c r="AE832" s="933"/>
      <c r="AF832" s="933"/>
      <c r="AG832" s="933"/>
      <c r="AH832" s="933"/>
      <c r="AI832" s="933"/>
      <c r="AJ832" s="933"/>
      <c r="AK832" s="933"/>
      <c r="AL832" s="933"/>
      <c r="AM832" s="933"/>
      <c r="AN832" s="933"/>
      <c r="AO832" s="933"/>
      <c r="AP832" s="933"/>
      <c r="AQ832" s="933"/>
      <c r="AR832" s="933"/>
      <c r="AS832" s="933"/>
      <c r="AT832" s="933"/>
      <c r="AU832" s="933"/>
      <c r="AV832" s="933"/>
      <c r="AW832" s="933"/>
      <c r="AX832" s="933"/>
      <c r="AY832" s="933"/>
      <c r="AZ832" s="933"/>
      <c r="BA832" s="933"/>
      <c r="BB832" s="933"/>
      <c r="BC832" s="933"/>
      <c r="BD832" s="933"/>
      <c r="BE832" s="933"/>
      <c r="BF832" s="933"/>
      <c r="BG832" s="933"/>
      <c r="BH832" s="933"/>
      <c r="BI832" s="933"/>
      <c r="BJ832" s="933"/>
      <c r="BK832" s="933"/>
      <c r="BL832" s="933"/>
      <c r="BM832" s="933"/>
      <c r="BN832" s="933"/>
      <c r="BO832" s="933"/>
      <c r="BP832" s="933"/>
      <c r="BQ832" s="933"/>
      <c r="BR832" s="933"/>
      <c r="BS832" s="933"/>
      <c r="BT832" s="933"/>
      <c r="BU832" s="933"/>
      <c r="BV832" s="933"/>
      <c r="BW832" s="933"/>
      <c r="BX832" s="933"/>
      <c r="BY832" s="933"/>
      <c r="BZ832" s="933"/>
      <c r="CA832" s="933"/>
      <c r="CB832" s="933"/>
      <c r="CC832" s="933"/>
      <c r="CD832" s="933"/>
      <c r="CE832" s="933"/>
      <c r="CF832" s="933"/>
      <c r="CG832" s="933"/>
      <c r="CH832" s="933"/>
      <c r="CI832" s="933"/>
      <c r="CJ832" s="933"/>
      <c r="CK832" s="933"/>
      <c r="CL832" s="933"/>
      <c r="CM832" s="933"/>
      <c r="CN832" s="933"/>
      <c r="CO832" s="933"/>
      <c r="CP832" s="933"/>
      <c r="CQ832" s="933"/>
      <c r="CR832" s="933"/>
      <c r="CS832" s="933"/>
      <c r="CT832" s="933"/>
      <c r="CU832" s="933"/>
      <c r="CV832" s="933"/>
      <c r="CW832" s="933"/>
      <c r="CX832" s="933"/>
      <c r="CY832" s="933"/>
      <c r="CZ832" s="933"/>
      <c r="DA832" s="933"/>
      <c r="DB832" s="933"/>
      <c r="DC832" s="933"/>
      <c r="DD832" s="933"/>
      <c r="DE832" s="933"/>
      <c r="DF832" s="933"/>
      <c r="DG832" s="933"/>
      <c r="DH832" s="933"/>
      <c r="DI832" s="933"/>
      <c r="DJ832" s="933"/>
      <c r="DK832" s="933"/>
      <c r="DL832" s="933"/>
      <c r="DM832" s="933"/>
      <c r="DN832" s="933"/>
      <c r="DO832" s="933"/>
      <c r="DP832" s="933"/>
      <c r="DQ832" s="933"/>
      <c r="DR832" s="933"/>
      <c r="DS832" s="933"/>
      <c r="DT832" s="933"/>
      <c r="DU832" s="933"/>
      <c r="DV832" s="933"/>
      <c r="DW832" s="933"/>
      <c r="DX832" s="933"/>
      <c r="DY832" s="933"/>
      <c r="DZ832" s="933"/>
      <c r="EA832" s="933"/>
      <c r="EB832" s="933"/>
      <c r="EC832" s="933"/>
      <c r="ED832" s="933"/>
      <c r="EE832" s="933"/>
      <c r="EF832" s="933"/>
      <c r="EG832" s="933"/>
      <c r="EH832" s="933"/>
      <c r="EI832" s="933"/>
      <c r="EJ832" s="933"/>
      <c r="EK832" s="933"/>
      <c r="EL832" s="933"/>
      <c r="EM832" s="933"/>
      <c r="EN832" s="933"/>
      <c r="EO832" s="933"/>
      <c r="EP832" s="933"/>
      <c r="EQ832" s="933"/>
      <c r="ER832" s="933"/>
      <c r="ES832" s="933"/>
      <c r="ET832" s="933"/>
      <c r="EU832" s="933"/>
      <c r="EV832" s="933"/>
      <c r="EW832" s="933"/>
      <c r="EX832" s="933"/>
      <c r="EY832" s="933"/>
      <c r="EZ832" s="933"/>
      <c r="FA832" s="933"/>
      <c r="FB832" s="933"/>
      <c r="FC832" s="933"/>
      <c r="FD832" s="933"/>
      <c r="FE832" s="933"/>
      <c r="FF832" s="933"/>
      <c r="FG832" s="933"/>
      <c r="FH832" s="933"/>
      <c r="FI832" s="933"/>
      <c r="FJ832" s="933"/>
      <c r="FK832" s="933"/>
      <c r="FL832" s="933"/>
      <c r="FM832" s="933"/>
      <c r="FN832" s="933"/>
      <c r="FO832" s="933"/>
      <c r="FP832" s="933"/>
      <c r="FQ832" s="933"/>
      <c r="FR832" s="933"/>
      <c r="FS832" s="933"/>
      <c r="FT832" s="933"/>
      <c r="FU832" s="933"/>
      <c r="FV832" s="933"/>
      <c r="FW832" s="933"/>
      <c r="FX832" s="933"/>
      <c r="FY832" s="933"/>
      <c r="FZ832" s="933"/>
      <c r="GA832" s="933"/>
      <c r="GB832" s="933"/>
      <c r="GC832" s="933"/>
      <c r="GD832" s="933"/>
      <c r="GE832" s="933"/>
      <c r="GF832" s="933"/>
      <c r="GG832" s="933"/>
      <c r="GH832" s="933"/>
      <c r="GI832" s="933"/>
      <c r="GJ832" s="933"/>
      <c r="GK832" s="933"/>
      <c r="GL832" s="933"/>
      <c r="GM832" s="933"/>
      <c r="GN832" s="933"/>
      <c r="GO832" s="933"/>
      <c r="GP832" s="933"/>
      <c r="GQ832" s="933"/>
      <c r="GR832" s="933"/>
      <c r="GS832" s="933"/>
      <c r="GT832" s="933"/>
      <c r="GU832" s="933"/>
      <c r="GV832" s="933"/>
      <c r="GW832" s="933"/>
      <c r="GX832" s="933"/>
      <c r="GY832" s="933"/>
      <c r="GZ832" s="933"/>
      <c r="HA832" s="933"/>
      <c r="HB832" s="933"/>
      <c r="HC832" s="933"/>
      <c r="HD832" s="933"/>
      <c r="HE832" s="933"/>
      <c r="HF832" s="933"/>
      <c r="HG832" s="933"/>
      <c r="HH832" s="933"/>
      <c r="HI832" s="933"/>
      <c r="HJ832" s="933"/>
      <c r="HK832" s="933"/>
      <c r="HL832" s="933"/>
      <c r="HM832" s="933"/>
      <c r="HN832" s="933"/>
      <c r="HO832" s="933"/>
      <c r="HP832" s="933"/>
      <c r="HQ832" s="933"/>
      <c r="HR832" s="933"/>
      <c r="HS832" s="933"/>
      <c r="HT832" s="933"/>
      <c r="HU832" s="933"/>
      <c r="HV832" s="933"/>
      <c r="HW832" s="933"/>
      <c r="HX832" s="933"/>
      <c r="HY832" s="933"/>
      <c r="HZ832" s="933"/>
      <c r="IA832" s="933"/>
      <c r="IB832" s="933"/>
      <c r="IC832" s="933"/>
      <c r="ID832" s="933"/>
      <c r="IE832" s="933"/>
      <c r="IF832" s="933"/>
      <c r="IG832" s="933"/>
      <c r="IH832" s="933"/>
      <c r="II832" s="933"/>
      <c r="IJ832" s="933"/>
      <c r="IK832" s="933"/>
      <c r="IL832" s="933"/>
      <c r="IM832" s="933"/>
      <c r="IN832" s="933"/>
      <c r="IO832" s="933"/>
      <c r="IP832" s="933"/>
      <c r="IQ832" s="933"/>
      <c r="IR832" s="933"/>
      <c r="IS832" s="933"/>
      <c r="IT832" s="933"/>
      <c r="IU832" s="933"/>
      <c r="IV832" s="933"/>
    </row>
    <row r="833" spans="1:256" s="956" customFormat="1" ht="11.4">
      <c r="A833" s="957">
        <v>6</v>
      </c>
      <c r="B833" s="933" t="s">
        <v>141</v>
      </c>
      <c r="C833" s="933"/>
      <c r="D833" s="933" t="s">
        <v>861</v>
      </c>
      <c r="E833" s="933"/>
      <c r="F833" s="933"/>
      <c r="G833" s="936" t="s">
        <v>862</v>
      </c>
      <c r="H833" s="937">
        <v>620</v>
      </c>
      <c r="I833" s="933" t="s">
        <v>741</v>
      </c>
      <c r="J833" s="933"/>
      <c r="K833" s="940" t="s">
        <v>7</v>
      </c>
      <c r="L833" s="933"/>
      <c r="M833" s="933"/>
      <c r="N833" s="933"/>
      <c r="O833" s="938">
        <v>2</v>
      </c>
      <c r="P833" s="939">
        <v>34669</v>
      </c>
      <c r="Q833" s="940">
        <v>0.05</v>
      </c>
      <c r="R833" s="941">
        <f t="shared" si="22"/>
        <v>0.30000000000000004</v>
      </c>
      <c r="S833" s="940">
        <v>0.01</v>
      </c>
      <c r="T833" s="942">
        <f t="shared" si="23"/>
        <v>0.06</v>
      </c>
      <c r="U833" s="933"/>
      <c r="V833" s="933"/>
      <c r="W833" s="933"/>
      <c r="X833" s="933"/>
      <c r="Y833" s="933"/>
      <c r="Z833" s="933"/>
      <c r="AA833" s="933"/>
      <c r="AB833" s="933"/>
      <c r="AC833" s="933"/>
      <c r="AD833" s="933"/>
      <c r="AE833" s="933"/>
      <c r="AF833" s="933"/>
      <c r="AG833" s="933"/>
      <c r="AH833" s="933"/>
      <c r="AI833" s="933"/>
      <c r="AJ833" s="933"/>
      <c r="AK833" s="933"/>
      <c r="AL833" s="933"/>
      <c r="AM833" s="933"/>
      <c r="AN833" s="933"/>
      <c r="AO833" s="933"/>
      <c r="AP833" s="933"/>
      <c r="AQ833" s="933"/>
      <c r="AR833" s="933"/>
      <c r="AS833" s="933"/>
      <c r="AT833" s="933"/>
      <c r="AU833" s="933"/>
      <c r="AV833" s="933"/>
      <c r="AW833" s="933"/>
      <c r="AX833" s="933"/>
      <c r="AY833" s="933"/>
      <c r="AZ833" s="933"/>
      <c r="BA833" s="933"/>
      <c r="BB833" s="933"/>
      <c r="BC833" s="933"/>
      <c r="BD833" s="933"/>
      <c r="BE833" s="933"/>
      <c r="BF833" s="933"/>
      <c r="BG833" s="933"/>
      <c r="BH833" s="933"/>
      <c r="BI833" s="933"/>
      <c r="BJ833" s="933"/>
      <c r="BK833" s="933"/>
      <c r="BL833" s="933"/>
      <c r="BM833" s="933"/>
      <c r="BN833" s="933"/>
      <c r="BO833" s="933"/>
      <c r="BP833" s="933"/>
      <c r="BQ833" s="933"/>
      <c r="BR833" s="933"/>
      <c r="BS833" s="933"/>
      <c r="BT833" s="933"/>
      <c r="BU833" s="933"/>
      <c r="BV833" s="933"/>
      <c r="BW833" s="933"/>
      <c r="BX833" s="933"/>
      <c r="BY833" s="933"/>
      <c r="BZ833" s="933"/>
      <c r="CA833" s="933"/>
      <c r="CB833" s="933"/>
      <c r="CC833" s="933"/>
      <c r="CD833" s="933"/>
      <c r="CE833" s="933"/>
      <c r="CF833" s="933"/>
      <c r="CG833" s="933"/>
      <c r="CH833" s="933"/>
      <c r="CI833" s="933"/>
      <c r="CJ833" s="933"/>
      <c r="CK833" s="933"/>
      <c r="CL833" s="933"/>
      <c r="CM833" s="933"/>
      <c r="CN833" s="933"/>
      <c r="CO833" s="933"/>
      <c r="CP833" s="933"/>
      <c r="CQ833" s="933"/>
      <c r="CR833" s="933"/>
      <c r="CS833" s="933"/>
      <c r="CT833" s="933"/>
      <c r="CU833" s="933"/>
      <c r="CV833" s="933"/>
      <c r="CW833" s="933"/>
      <c r="CX833" s="933"/>
      <c r="CY833" s="933"/>
      <c r="CZ833" s="933"/>
      <c r="DA833" s="933"/>
      <c r="DB833" s="933"/>
      <c r="DC833" s="933"/>
      <c r="DD833" s="933"/>
      <c r="DE833" s="933"/>
      <c r="DF833" s="933"/>
      <c r="DG833" s="933"/>
      <c r="DH833" s="933"/>
      <c r="DI833" s="933"/>
      <c r="DJ833" s="933"/>
      <c r="DK833" s="933"/>
      <c r="DL833" s="933"/>
      <c r="DM833" s="933"/>
      <c r="DN833" s="933"/>
      <c r="DO833" s="933"/>
      <c r="DP833" s="933"/>
      <c r="DQ833" s="933"/>
      <c r="DR833" s="933"/>
      <c r="DS833" s="933"/>
      <c r="DT833" s="933"/>
      <c r="DU833" s="933"/>
      <c r="DV833" s="933"/>
      <c r="DW833" s="933"/>
      <c r="DX833" s="933"/>
      <c r="DY833" s="933"/>
      <c r="DZ833" s="933"/>
      <c r="EA833" s="933"/>
      <c r="EB833" s="933"/>
      <c r="EC833" s="933"/>
      <c r="ED833" s="933"/>
      <c r="EE833" s="933"/>
      <c r="EF833" s="933"/>
      <c r="EG833" s="933"/>
      <c r="EH833" s="933"/>
      <c r="EI833" s="933"/>
      <c r="EJ833" s="933"/>
      <c r="EK833" s="933"/>
      <c r="EL833" s="933"/>
      <c r="EM833" s="933"/>
      <c r="EN833" s="933"/>
      <c r="EO833" s="933"/>
      <c r="EP833" s="933"/>
      <c r="EQ833" s="933"/>
      <c r="ER833" s="933"/>
      <c r="ES833" s="933"/>
      <c r="ET833" s="933"/>
      <c r="EU833" s="933"/>
      <c r="EV833" s="933"/>
      <c r="EW833" s="933"/>
      <c r="EX833" s="933"/>
      <c r="EY833" s="933"/>
      <c r="EZ833" s="933"/>
      <c r="FA833" s="933"/>
      <c r="FB833" s="933"/>
      <c r="FC833" s="933"/>
      <c r="FD833" s="933"/>
      <c r="FE833" s="933"/>
      <c r="FF833" s="933"/>
      <c r="FG833" s="933"/>
      <c r="FH833" s="933"/>
      <c r="FI833" s="933"/>
      <c r="FJ833" s="933"/>
      <c r="FK833" s="933"/>
      <c r="FL833" s="933"/>
      <c r="FM833" s="933"/>
      <c r="FN833" s="933"/>
      <c r="FO833" s="933"/>
      <c r="FP833" s="933"/>
      <c r="FQ833" s="933"/>
      <c r="FR833" s="933"/>
      <c r="FS833" s="933"/>
      <c r="FT833" s="933"/>
      <c r="FU833" s="933"/>
      <c r="FV833" s="933"/>
      <c r="FW833" s="933"/>
      <c r="FX833" s="933"/>
      <c r="FY833" s="933"/>
      <c r="FZ833" s="933"/>
      <c r="GA833" s="933"/>
      <c r="GB833" s="933"/>
      <c r="GC833" s="933"/>
      <c r="GD833" s="933"/>
      <c r="GE833" s="933"/>
      <c r="GF833" s="933"/>
      <c r="GG833" s="933"/>
      <c r="GH833" s="933"/>
      <c r="GI833" s="933"/>
      <c r="GJ833" s="933"/>
      <c r="GK833" s="933"/>
      <c r="GL833" s="933"/>
      <c r="GM833" s="933"/>
      <c r="GN833" s="933"/>
      <c r="GO833" s="933"/>
      <c r="GP833" s="933"/>
      <c r="GQ833" s="933"/>
      <c r="GR833" s="933"/>
      <c r="GS833" s="933"/>
      <c r="GT833" s="933"/>
      <c r="GU833" s="933"/>
      <c r="GV833" s="933"/>
      <c r="GW833" s="933"/>
      <c r="GX833" s="933"/>
      <c r="GY833" s="933"/>
      <c r="GZ833" s="933"/>
      <c r="HA833" s="933"/>
      <c r="HB833" s="933"/>
      <c r="HC833" s="933"/>
      <c r="HD833" s="933"/>
      <c r="HE833" s="933"/>
      <c r="HF833" s="933"/>
      <c r="HG833" s="933"/>
      <c r="HH833" s="933"/>
      <c r="HI833" s="933"/>
      <c r="HJ833" s="933"/>
      <c r="HK833" s="933"/>
      <c r="HL833" s="933"/>
      <c r="HM833" s="933"/>
      <c r="HN833" s="933"/>
      <c r="HO833" s="933"/>
      <c r="HP833" s="933"/>
      <c r="HQ833" s="933"/>
      <c r="HR833" s="933"/>
      <c r="HS833" s="933"/>
      <c r="HT833" s="933"/>
      <c r="HU833" s="933"/>
      <c r="HV833" s="933"/>
      <c r="HW833" s="933"/>
      <c r="HX833" s="933"/>
      <c r="HY833" s="933"/>
      <c r="HZ833" s="933"/>
      <c r="IA833" s="933"/>
      <c r="IB833" s="933"/>
      <c r="IC833" s="933"/>
      <c r="ID833" s="933"/>
      <c r="IE833" s="933"/>
      <c r="IF833" s="933"/>
      <c r="IG833" s="933"/>
      <c r="IH833" s="933"/>
      <c r="II833" s="933"/>
      <c r="IJ833" s="933"/>
      <c r="IK833" s="933"/>
      <c r="IL833" s="933"/>
      <c r="IM833" s="933"/>
      <c r="IN833" s="933"/>
      <c r="IO833" s="933"/>
      <c r="IP833" s="933"/>
      <c r="IQ833" s="933"/>
      <c r="IR833" s="933"/>
      <c r="IS833" s="933"/>
      <c r="IT833" s="933"/>
      <c r="IU833" s="933"/>
      <c r="IV833" s="933"/>
    </row>
    <row r="834" spans="1:256" s="933" customFormat="1" ht="11.4">
      <c r="A834" s="957">
        <v>1</v>
      </c>
      <c r="B834" s="933" t="s">
        <v>141</v>
      </c>
      <c r="D834" s="933" t="s">
        <v>776</v>
      </c>
      <c r="F834" s="933" t="s">
        <v>901</v>
      </c>
      <c r="G834" s="936" t="s">
        <v>777</v>
      </c>
      <c r="H834" s="937">
        <v>900</v>
      </c>
      <c r="I834" s="933" t="s">
        <v>778</v>
      </c>
      <c r="K834" s="933" t="s">
        <v>7</v>
      </c>
      <c r="O834" s="938">
        <v>1</v>
      </c>
      <c r="P834" s="939"/>
      <c r="Q834" s="983"/>
      <c r="R834" s="941">
        <f>$A834*Q834</f>
        <v>0</v>
      </c>
      <c r="S834" s="940">
        <v>0.5</v>
      </c>
      <c r="T834" s="942">
        <f t="shared" si="23"/>
        <v>0.5</v>
      </c>
      <c r="U834" s="933" t="s">
        <v>863</v>
      </c>
    </row>
    <row r="835" spans="1:256" s="519" customFormat="1" ht="13.95" customHeight="1">
      <c r="A835" s="49"/>
      <c r="B835" s="528"/>
      <c r="C835" s="528"/>
      <c r="D835" s="528"/>
      <c r="E835" s="528"/>
      <c r="F835" s="528"/>
      <c r="G835" s="528"/>
      <c r="H835" s="801"/>
      <c r="I835" s="528"/>
      <c r="J835" s="48"/>
      <c r="K835" s="805"/>
      <c r="L835" s="806"/>
      <c r="M835" s="528"/>
      <c r="N835" s="528"/>
      <c r="O835" s="48"/>
      <c r="P835" s="528"/>
      <c r="Q835" s="528"/>
      <c r="R835" s="807">
        <f>$A835*Q835</f>
        <v>0</v>
      </c>
      <c r="S835" s="528"/>
      <c r="T835" s="643">
        <f t="shared" si="20"/>
        <v>0</v>
      </c>
    </row>
    <row r="836" spans="1:256" s="519" customFormat="1" ht="12">
      <c r="A836" s="808" t="s">
        <v>145</v>
      </c>
      <c r="B836" s="809">
        <f>(R835+T835)</f>
        <v>0</v>
      </c>
      <c r="C836" s="641"/>
      <c r="G836" s="810"/>
      <c r="H836" s="810"/>
      <c r="I836" s="810"/>
      <c r="J836" s="810"/>
      <c r="K836" s="811" t="s">
        <v>3</v>
      </c>
      <c r="L836" s="812" t="s">
        <v>590</v>
      </c>
      <c r="M836" s="810"/>
      <c r="N836" s="810"/>
      <c r="O836" s="810"/>
      <c r="P836" s="810"/>
      <c r="Q836" s="813"/>
      <c r="R836" s="814">
        <f ca="1">SUM(R809:R835)</f>
        <v>145.46000000000004</v>
      </c>
      <c r="S836" s="815"/>
      <c r="T836" s="814">
        <f ca="1">SUM(T809:T835)</f>
        <v>21.31</v>
      </c>
      <c r="AG836" s="816">
        <f ca="1">ROUND($R836*$S$2,2)</f>
        <v>145.46</v>
      </c>
    </row>
    <row r="837" spans="1:256" s="519" customFormat="1" ht="12" customHeight="1">
      <c r="A837" s="817"/>
      <c r="B837" s="818"/>
      <c r="C837" s="819"/>
      <c r="D837" s="819" t="str">
        <f>$F$3</f>
        <v>ECA</v>
      </c>
      <c r="E837" s="819">
        <f>ROUND(($R841*$S$3 + ($T841*$T$3)), 2)</f>
        <v>7329.9</v>
      </c>
      <c r="F837" s="820">
        <f ca="1">$F806-SUMIF($L808:$P827,"SUBI",$F808:$F827)</f>
        <v>7329.9</v>
      </c>
      <c r="G837" s="518"/>
      <c r="H837" s="518"/>
      <c r="I837" s="518"/>
      <c r="J837" s="518"/>
      <c r="K837" s="802" t="s">
        <v>5</v>
      </c>
      <c r="L837" s="803" t="s">
        <v>590</v>
      </c>
      <c r="M837" s="518"/>
      <c r="N837" s="518"/>
      <c r="O837" s="518"/>
      <c r="P837" s="518"/>
      <c r="Q837" s="518"/>
      <c r="R837" s="821"/>
      <c r="S837" s="518"/>
      <c r="T837" s="821"/>
    </row>
    <row r="838" spans="1:256" s="933" customFormat="1" ht="13.2">
      <c r="A838">
        <v>1</v>
      </c>
      <c r="B838" s="933" t="s">
        <v>141</v>
      </c>
      <c r="D838" s="933" t="s">
        <v>785</v>
      </c>
      <c r="E838" s="935" t="s">
        <v>805</v>
      </c>
      <c r="F838" s="933" t="s">
        <v>974</v>
      </c>
      <c r="G838" s="936" t="s">
        <v>786</v>
      </c>
      <c r="H838" s="937">
        <v>570</v>
      </c>
      <c r="I838" s="933" t="s">
        <v>729</v>
      </c>
      <c r="O838" s="938">
        <v>2</v>
      </c>
      <c r="P838" s="939">
        <v>38443</v>
      </c>
      <c r="Q838" s="1058">
        <v>6890.54</v>
      </c>
      <c r="R838" s="941">
        <f>$A838*Q838</f>
        <v>6890.54</v>
      </c>
      <c r="S838" s="940"/>
      <c r="T838" s="942">
        <f>$A838*S838*$T$1</f>
        <v>0</v>
      </c>
    </row>
    <row r="839" spans="1:256" s="933" customFormat="1" ht="13.2">
      <c r="A839">
        <v>1</v>
      </c>
      <c r="B839" s="933" t="s">
        <v>141</v>
      </c>
      <c r="D839" s="933" t="s">
        <v>785</v>
      </c>
      <c r="E839" s="935" t="s">
        <v>885</v>
      </c>
      <c r="F839" s="933" t="s">
        <v>974</v>
      </c>
      <c r="G839" s="936" t="s">
        <v>786</v>
      </c>
      <c r="H839" s="937">
        <v>570</v>
      </c>
      <c r="I839" s="933" t="s">
        <v>729</v>
      </c>
      <c r="O839" s="938">
        <v>2</v>
      </c>
      <c r="P839" s="939">
        <v>38443</v>
      </c>
      <c r="Q839" s="940"/>
      <c r="R839" s="941">
        <f>$A839*Q839</f>
        <v>0</v>
      </c>
      <c r="S839" s="1058">
        <v>16</v>
      </c>
      <c r="T839" s="942">
        <f>$A839*S839*$T$1</f>
        <v>16</v>
      </c>
    </row>
    <row r="840" spans="1:256" s="519" customFormat="1" ht="13.2">
      <c r="A840" s="49"/>
      <c r="B840" s="528"/>
      <c r="C840" s="528"/>
      <c r="D840" s="3"/>
      <c r="E840" s="528"/>
      <c r="F840" s="528"/>
      <c r="G840" s="528"/>
      <c r="H840" s="528"/>
      <c r="I840" s="528"/>
      <c r="J840" s="528"/>
      <c r="K840" s="528"/>
      <c r="L840" s="806"/>
      <c r="M840" s="528"/>
      <c r="N840" s="528"/>
      <c r="O840" s="528"/>
      <c r="P840" s="528"/>
      <c r="Q840" s="528"/>
      <c r="R840" s="807">
        <f>$A840*Q840</f>
        <v>0</v>
      </c>
      <c r="S840" s="528"/>
      <c r="T840" s="643">
        <f>$A840*S840*$T$1</f>
        <v>0</v>
      </c>
    </row>
    <row r="841" spans="1:256" s="519" customFormat="1" ht="12" customHeight="1">
      <c r="A841" s="835" t="s">
        <v>145</v>
      </c>
      <c r="B841" s="836">
        <f>(R840+T840)</f>
        <v>0</v>
      </c>
      <c r="C841" s="837"/>
      <c r="D841" s="837"/>
      <c r="E841" s="837"/>
      <c r="F841" s="837"/>
      <c r="G841" s="813"/>
      <c r="H841" s="813"/>
      <c r="I841" s="813"/>
      <c r="J841" s="813"/>
      <c r="K841" s="838" t="s">
        <v>5</v>
      </c>
      <c r="L841" s="839" t="s">
        <v>590</v>
      </c>
      <c r="M841" s="813"/>
      <c r="N841" s="813"/>
      <c r="O841" s="813"/>
      <c r="P841" s="813"/>
      <c r="Q841" s="813"/>
      <c r="R841" s="814">
        <f>SUM(R837:R840)</f>
        <v>6890.54</v>
      </c>
      <c r="S841" s="815"/>
      <c r="T841" s="814">
        <f>SUM(T837:T840)</f>
        <v>16</v>
      </c>
      <c r="AG841" s="840">
        <f>ROUND($R841*$S$3,2)</f>
        <v>6890.54</v>
      </c>
    </row>
    <row r="842" spans="1:256" s="519" customFormat="1" ht="12.75" customHeight="1">
      <c r="A842" s="841"/>
      <c r="B842" s="842"/>
      <c r="E842" s="641"/>
      <c r="F842" s="843"/>
      <c r="G842" s="641"/>
      <c r="H842" s="641"/>
      <c r="I842" s="518"/>
      <c r="J842" s="641"/>
      <c r="K842" s="641"/>
      <c r="L842" s="844"/>
      <c r="M842" s="652"/>
      <c r="N842" s="652"/>
      <c r="O842" s="652"/>
      <c r="P842" s="652"/>
      <c r="Q842" s="653"/>
      <c r="R842" s="821"/>
      <c r="S842" s="641"/>
      <c r="T842" s="821"/>
    </row>
    <row r="843" spans="1:256" s="519" customFormat="1" ht="13.5" customHeight="1" thickBot="1">
      <c r="A843" s="845"/>
      <c r="B843" s="846"/>
      <c r="C843" s="529"/>
      <c r="D843" s="529"/>
      <c r="E843" s="646"/>
      <c r="F843" s="647"/>
      <c r="G843" s="646" t="s">
        <v>146</v>
      </c>
      <c r="H843" s="646"/>
      <c r="I843" s="648"/>
      <c r="J843" s="646"/>
      <c r="K843" s="646"/>
      <c r="L843" s="847" t="s">
        <v>143</v>
      </c>
      <c r="M843" s="649"/>
      <c r="N843" s="649"/>
      <c r="O843" s="649"/>
      <c r="P843" s="649"/>
      <c r="Q843" s="650"/>
      <c r="R843" s="848">
        <f ca="1">SUMIF($L807:$L842,"SUBI",R807:R842)</f>
        <v>7036</v>
      </c>
      <c r="S843" s="646"/>
      <c r="T843" s="848">
        <f ca="1">SUMIF($L807:$L842,"SUBI",T807:T842)</f>
        <v>37.31</v>
      </c>
      <c r="U843" s="529"/>
      <c r="V843" s="529"/>
      <c r="W843" s="529"/>
      <c r="X843" s="529"/>
      <c r="Y843" s="529"/>
      <c r="Z843" s="529"/>
      <c r="AA843" s="529"/>
      <c r="AB843" s="529"/>
      <c r="AC843" s="529"/>
      <c r="AD843" s="529"/>
      <c r="AE843" s="529"/>
      <c r="AF843" s="529"/>
      <c r="AG843" s="529"/>
      <c r="AH843" s="529"/>
      <c r="AI843" s="529"/>
      <c r="AJ843" s="529"/>
      <c r="AK843" s="529"/>
      <c r="AL843" s="529"/>
      <c r="AM843" s="529"/>
      <c r="AN843" s="529"/>
      <c r="AO843" s="529"/>
    </row>
    <row r="844" spans="1:256" s="519" customFormat="1" thickTop="1">
      <c r="A844" s="47"/>
      <c r="B844" s="40"/>
      <c r="C844" s="47"/>
      <c r="E844" s="41" t="s">
        <v>138</v>
      </c>
      <c r="F844" s="41" t="s">
        <v>139</v>
      </c>
      <c r="G844" s="47"/>
      <c r="H844" s="47"/>
      <c r="I844" s="47"/>
      <c r="J844" s="47"/>
      <c r="K844" s="47" t="s">
        <v>140</v>
      </c>
      <c r="L844" s="774"/>
      <c r="M844" s="47"/>
      <c r="N844" s="47"/>
      <c r="O844" s="48"/>
      <c r="P844" s="47"/>
      <c r="Q844"/>
      <c r="R844"/>
      <c r="S844"/>
      <c r="T844" s="40"/>
      <c r="AG844" s="627" t="s">
        <v>277</v>
      </c>
      <c r="AH844" s="627" t="s">
        <v>278</v>
      </c>
      <c r="AI844" s="627" t="s">
        <v>279</v>
      </c>
      <c r="AJ844" s="627" t="s">
        <v>280</v>
      </c>
      <c r="AK844" s="627" t="s">
        <v>281</v>
      </c>
      <c r="AM844" s="628" t="s">
        <v>290</v>
      </c>
      <c r="AN844" s="629" t="s">
        <v>291</v>
      </c>
      <c r="AO844" s="520" t="s">
        <v>287</v>
      </c>
    </row>
    <row r="845" spans="1:256" s="519" customFormat="1" ht="13.2">
      <c r="A845" s="630">
        <v>1</v>
      </c>
      <c r="B845" s="521" t="s">
        <v>339</v>
      </c>
      <c r="C845" s="631"/>
      <c r="D845" s="632" t="s">
        <v>664</v>
      </c>
      <c r="E845" s="775">
        <f>IF(AND($A845=0,$A$1="DIF"),0, ROUND(ROUND(SUMIF($L847:$L860,"SUBI",$E847:$E860)/$A845,2)*$C$12,2))</f>
        <v>2653.76</v>
      </c>
      <c r="F845" s="776">
        <f>ROUND($A845*$E845,2)</f>
        <v>2653.76</v>
      </c>
      <c r="G845" s="635" t="s">
        <v>142</v>
      </c>
      <c r="H845" s="636"/>
      <c r="I845" s="637"/>
      <c r="J845" s="636"/>
      <c r="K845" s="777"/>
      <c r="L845" s="778" t="s">
        <v>143</v>
      </c>
      <c r="M845" s="638"/>
      <c r="N845" s="638"/>
      <c r="O845" s="638"/>
      <c r="P845" s="638"/>
      <c r="Q845" s="967" t="s">
        <v>980</v>
      </c>
      <c r="R845"/>
      <c r="S845"/>
      <c r="T845" s="779" t="str">
        <f>IF(AND($R866=0,$T866=0),"0.00","mu :" &amp; ROUND($F845/$C$12/($R866+$T866*$D$9),2))</f>
        <v>mu :1</v>
      </c>
      <c r="W845" s="522"/>
      <c r="AG845" s="780">
        <f>IF(A845=0,0,ROUND(SUM(AG847:AG866)/A845,2))</f>
        <v>2279.48</v>
      </c>
      <c r="AH845" s="780">
        <f>$AG845*$A845</f>
        <v>2279.48</v>
      </c>
      <c r="AI845" s="780">
        <f>$E845-$AG845</f>
        <v>374.2800000000002</v>
      </c>
      <c r="AJ845" s="780">
        <f>$A845*$AI845</f>
        <v>374.2800000000002</v>
      </c>
      <c r="AK845" s="781">
        <f>ROUND(($AG845+$AI845)*$A845,2)</f>
        <v>2653.76</v>
      </c>
      <c r="AM845" s="525">
        <f>ROUND(R866,2)</f>
        <v>2279.48</v>
      </c>
      <c r="AN845" s="526">
        <f>ROUND(T866,2)</f>
        <v>13.63</v>
      </c>
      <c r="AO845" s="527">
        <f>ROUND(AM845+AN845,2)*A845</f>
        <v>2293.11</v>
      </c>
    </row>
    <row r="846" spans="1:256" s="519" customFormat="1" ht="19.95" customHeight="1">
      <c r="A846" s="782"/>
      <c r="B846" s="783"/>
      <c r="C846" s="631"/>
      <c r="D846" s="784" t="s">
        <v>978</v>
      </c>
      <c r="F846" s="636"/>
      <c r="G846" s="636"/>
      <c r="H846" s="636"/>
      <c r="I846" s="637"/>
      <c r="J846" s="636"/>
      <c r="K846" s="636" t="s">
        <v>144</v>
      </c>
      <c r="L846" s="785"/>
      <c r="M846" s="636"/>
      <c r="N846" s="636"/>
      <c r="O846" s="636"/>
      <c r="P846" s="636"/>
      <c r="Q846" s="47"/>
      <c r="R846" s="528"/>
      <c r="S846" s="640"/>
      <c r="T846" s="636"/>
    </row>
    <row r="847" spans="1:256" s="519" customFormat="1" ht="12">
      <c r="A847" s="786"/>
      <c r="B847" s="787"/>
      <c r="C847" s="641"/>
      <c r="D847" s="636"/>
      <c r="E847" s="788">
        <f>F845/$C$12-SUMIF($L844:$L866,"SUBI",$E844:$E866)</f>
        <v>0</v>
      </c>
      <c r="F847" s="789" t="s">
        <v>589</v>
      </c>
      <c r="G847" s="790"/>
      <c r="H847" s="790"/>
      <c r="I847" s="791"/>
      <c r="J847" s="790"/>
      <c r="K847" s="790"/>
      <c r="L847" s="792"/>
      <c r="M847" s="793"/>
      <c r="N847" s="793"/>
      <c r="O847" s="793"/>
      <c r="P847" s="793"/>
      <c r="Q847" s="794"/>
      <c r="R847" s="795"/>
      <c r="S847" s="794"/>
      <c r="T847" s="796"/>
    </row>
    <row r="848" spans="1:256" s="519" customFormat="1" ht="12" customHeight="1">
      <c r="A848" s="797"/>
      <c r="B848" s="798"/>
      <c r="C848" s="799"/>
      <c r="D848" s="799" t="str">
        <f>$F$2</f>
        <v>Electrical</v>
      </c>
      <c r="E848" s="799">
        <f>ROUND(($R859*$S$2 + ($T859*$T$2)), 2)</f>
        <v>356.46</v>
      </c>
      <c r="F848" s="800">
        <f>$E848*$C$12</f>
        <v>356.46</v>
      </c>
      <c r="G848" s="528"/>
      <c r="H848" s="801"/>
      <c r="I848" s="528"/>
      <c r="J848" s="48"/>
      <c r="K848" s="802" t="s">
        <v>3</v>
      </c>
      <c r="L848" s="803" t="s">
        <v>590</v>
      </c>
      <c r="M848" s="528"/>
      <c r="N848" s="528"/>
      <c r="O848" s="48"/>
      <c r="P848" s="528"/>
      <c r="Q848" s="528"/>
      <c r="R848"/>
      <c r="S848"/>
      <c r="T848"/>
    </row>
    <row r="849" spans="1:256" s="933" customFormat="1" ht="13.2">
      <c r="A849">
        <v>1</v>
      </c>
      <c r="B849" s="933" t="s">
        <v>141</v>
      </c>
      <c r="D849" s="933" t="s">
        <v>785</v>
      </c>
      <c r="E849" s="935" t="s">
        <v>979</v>
      </c>
      <c r="F849" s="933" t="s">
        <v>803</v>
      </c>
      <c r="G849" s="936" t="s">
        <v>786</v>
      </c>
      <c r="H849" s="937">
        <v>570</v>
      </c>
      <c r="I849" s="933" t="s">
        <v>729</v>
      </c>
      <c r="O849" s="938">
        <v>2</v>
      </c>
      <c r="P849" s="939">
        <v>38443</v>
      </c>
      <c r="Q849" s="940"/>
      <c r="R849" s="941">
        <f>$A849*Q849</f>
        <v>0</v>
      </c>
      <c r="S849" s="940">
        <f>4+3</f>
        <v>7</v>
      </c>
      <c r="T849" s="942">
        <f>$A849*S849*$T$1</f>
        <v>7</v>
      </c>
    </row>
    <row r="850" spans="1:256" s="933" customFormat="1" ht="13.2">
      <c r="A850">
        <v>1</v>
      </c>
      <c r="B850" s="933" t="s">
        <v>141</v>
      </c>
      <c r="D850" s="933" t="s">
        <v>787</v>
      </c>
      <c r="G850" s="936" t="s">
        <v>788</v>
      </c>
      <c r="H850" s="937">
        <v>501</v>
      </c>
      <c r="I850" s="933" t="s">
        <v>729</v>
      </c>
      <c r="K850" s="933" t="s">
        <v>789</v>
      </c>
      <c r="O850" s="938">
        <v>1</v>
      </c>
      <c r="P850" s="939"/>
      <c r="Q850" s="940">
        <v>100</v>
      </c>
      <c r="R850" s="941">
        <f>$A850*Q850</f>
        <v>100</v>
      </c>
      <c r="S850" s="940"/>
      <c r="T850" s="942">
        <f>$A850*S850*$T$1</f>
        <v>0</v>
      </c>
    </row>
    <row r="851" spans="1:256" s="933" customFormat="1" ht="13.2">
      <c r="A851"/>
      <c r="D851" s="978" t="s">
        <v>900</v>
      </c>
      <c r="E851" s="935"/>
      <c r="G851" s="936"/>
      <c r="H851" s="937"/>
      <c r="O851" s="938"/>
      <c r="P851" s="939"/>
      <c r="Q851" s="940"/>
      <c r="R851" s="941"/>
      <c r="S851" s="940"/>
      <c r="T851" s="942"/>
    </row>
    <row r="852" spans="1:256" s="933" customFormat="1" ht="11.4">
      <c r="A852" s="957">
        <v>3</v>
      </c>
      <c r="B852" s="933" t="s">
        <v>311</v>
      </c>
      <c r="D852" s="933" t="s">
        <v>851</v>
      </c>
      <c r="G852" s="936" t="s">
        <v>852</v>
      </c>
      <c r="H852" s="937">
        <v>690</v>
      </c>
      <c r="I852" s="933" t="s">
        <v>780</v>
      </c>
      <c r="J852" s="933" t="s">
        <v>781</v>
      </c>
      <c r="K852" s="940" t="s">
        <v>7</v>
      </c>
      <c r="O852" s="938">
        <v>1</v>
      </c>
      <c r="P852" s="939">
        <v>34669</v>
      </c>
      <c r="Q852" s="982">
        <v>3.66</v>
      </c>
      <c r="R852" s="941">
        <f>$A852*Q852</f>
        <v>10.98</v>
      </c>
      <c r="S852" s="940">
        <v>0.2</v>
      </c>
      <c r="T852" s="942">
        <f t="shared" ref="T852" si="24">$A852*S852*$T$1</f>
        <v>0.60000000000000009</v>
      </c>
    </row>
    <row r="853" spans="1:256" s="933" customFormat="1" ht="13.2">
      <c r="A853">
        <v>3</v>
      </c>
      <c r="B853" s="933" t="s">
        <v>311</v>
      </c>
      <c r="D853" s="933" t="s">
        <v>792</v>
      </c>
      <c r="G853" s="936" t="s">
        <v>793</v>
      </c>
      <c r="H853" s="937">
        <v>617</v>
      </c>
      <c r="I853" s="933" t="s">
        <v>729</v>
      </c>
      <c r="O853" s="938">
        <v>2</v>
      </c>
      <c r="P853" s="939">
        <v>40767</v>
      </c>
      <c r="Q853" s="940">
        <v>1.5</v>
      </c>
      <c r="R853" s="941">
        <f>$A853*Q853</f>
        <v>4.5</v>
      </c>
      <c r="S853" s="940">
        <v>7.0000000000000007E-2</v>
      </c>
      <c r="T853" s="942">
        <f>$A853*S853*$T$1</f>
        <v>0.21000000000000002</v>
      </c>
    </row>
    <row r="854" spans="1:256" s="956" customFormat="1" ht="11.4">
      <c r="A854" s="957">
        <v>2</v>
      </c>
      <c r="B854" s="933" t="s">
        <v>141</v>
      </c>
      <c r="C854" s="933"/>
      <c r="D854" s="933" t="s">
        <v>857</v>
      </c>
      <c r="E854" s="933"/>
      <c r="F854" s="933"/>
      <c r="G854" s="936" t="s">
        <v>858</v>
      </c>
      <c r="H854" s="937">
        <v>620</v>
      </c>
      <c r="I854" s="933" t="s">
        <v>729</v>
      </c>
      <c r="J854" s="933"/>
      <c r="K854" s="940" t="s">
        <v>7</v>
      </c>
      <c r="L854" s="933"/>
      <c r="M854" s="933"/>
      <c r="N854" s="933"/>
      <c r="O854" s="938">
        <v>2</v>
      </c>
      <c r="P854" s="939">
        <v>38148</v>
      </c>
      <c r="Q854" s="940">
        <f>1.1*1.5</f>
        <v>1.6500000000000001</v>
      </c>
      <c r="R854" s="941">
        <f t="shared" ref="R854:R856" si="25">$A854*Q854</f>
        <v>3.3000000000000003</v>
      </c>
      <c r="S854" s="940">
        <v>0.1</v>
      </c>
      <c r="T854" s="942">
        <f t="shared" ref="T854:T857" si="26">$A854*S854*$T$1</f>
        <v>0.2</v>
      </c>
      <c r="U854" s="933"/>
      <c r="V854" s="933"/>
      <c r="W854" s="933"/>
      <c r="X854" s="933"/>
      <c r="Y854" s="933"/>
      <c r="Z854" s="933"/>
      <c r="AA854" s="933"/>
      <c r="AB854" s="933"/>
      <c r="AC854" s="519"/>
      <c r="AD854" s="519"/>
      <c r="AE854" s="519"/>
      <c r="AF854" s="519"/>
      <c r="AG854" s="933"/>
      <c r="AH854" s="933"/>
      <c r="AI854" s="933"/>
      <c r="AJ854" s="933"/>
      <c r="AK854" s="933"/>
      <c r="AL854" s="933"/>
      <c r="AM854" s="933"/>
      <c r="AN854" s="933"/>
      <c r="AO854" s="933"/>
      <c r="AP854" s="933"/>
      <c r="AQ854" s="933"/>
      <c r="AR854" s="933"/>
      <c r="AS854" s="933"/>
      <c r="AT854" s="933"/>
      <c r="AU854" s="933"/>
      <c r="AV854" s="933"/>
      <c r="AW854" s="933"/>
      <c r="AX854" s="933"/>
      <c r="AY854" s="933"/>
      <c r="AZ854" s="933"/>
      <c r="BA854" s="933"/>
      <c r="BB854" s="933"/>
      <c r="BC854" s="933"/>
      <c r="BD854" s="933"/>
      <c r="BE854" s="933"/>
      <c r="BF854" s="933"/>
      <c r="BG854" s="933"/>
      <c r="BH854" s="933"/>
      <c r="BI854" s="933"/>
      <c r="BJ854" s="933"/>
      <c r="BK854" s="933"/>
      <c r="BL854" s="933"/>
      <c r="BM854" s="933"/>
      <c r="BN854" s="933"/>
      <c r="BO854" s="933"/>
      <c r="BP854" s="933"/>
      <c r="BQ854" s="933"/>
      <c r="BR854" s="933"/>
      <c r="BS854" s="933"/>
      <c r="BT854" s="933"/>
      <c r="BU854" s="933"/>
      <c r="BV854" s="933"/>
      <c r="BW854" s="933"/>
      <c r="BX854" s="933"/>
      <c r="BY854" s="933"/>
      <c r="BZ854" s="933"/>
      <c r="CA854" s="933"/>
      <c r="CB854" s="933"/>
      <c r="CC854" s="933"/>
      <c r="CD854" s="933"/>
      <c r="CE854" s="933"/>
      <c r="CF854" s="933"/>
      <c r="CG854" s="933"/>
      <c r="CH854" s="933"/>
      <c r="CI854" s="933"/>
      <c r="CJ854" s="933"/>
      <c r="CK854" s="933"/>
      <c r="CL854" s="933"/>
      <c r="CM854" s="933"/>
      <c r="CN854" s="933"/>
      <c r="CO854" s="933"/>
      <c r="CP854" s="933"/>
      <c r="CQ854" s="933"/>
      <c r="CR854" s="933"/>
      <c r="CS854" s="933"/>
      <c r="CT854" s="933"/>
      <c r="CU854" s="933"/>
      <c r="CV854" s="933"/>
      <c r="CW854" s="933"/>
      <c r="CX854" s="933"/>
      <c r="CY854" s="933"/>
      <c r="CZ854" s="933"/>
      <c r="DA854" s="933"/>
      <c r="DB854" s="933"/>
      <c r="DC854" s="933"/>
      <c r="DD854" s="933"/>
      <c r="DE854" s="933"/>
      <c r="DF854" s="933"/>
      <c r="DG854" s="933"/>
      <c r="DH854" s="933"/>
      <c r="DI854" s="933"/>
      <c r="DJ854" s="933"/>
      <c r="DK854" s="933"/>
      <c r="DL854" s="933"/>
      <c r="DM854" s="933"/>
      <c r="DN854" s="933"/>
      <c r="DO854" s="933"/>
      <c r="DP854" s="933"/>
      <c r="DQ854" s="933"/>
      <c r="DR854" s="933"/>
      <c r="DS854" s="933"/>
      <c r="DT854" s="933"/>
      <c r="DU854" s="933"/>
      <c r="DV854" s="933"/>
      <c r="DW854" s="933"/>
      <c r="DX854" s="933"/>
      <c r="DY854" s="933"/>
      <c r="DZ854" s="933"/>
      <c r="EA854" s="933"/>
      <c r="EB854" s="933"/>
      <c r="EC854" s="933"/>
      <c r="ED854" s="933"/>
      <c r="EE854" s="933"/>
      <c r="EF854" s="933"/>
      <c r="EG854" s="933"/>
      <c r="EH854" s="933"/>
      <c r="EI854" s="933"/>
      <c r="EJ854" s="933"/>
      <c r="EK854" s="933"/>
      <c r="EL854" s="933"/>
      <c r="EM854" s="933"/>
      <c r="EN854" s="933"/>
      <c r="EO854" s="933"/>
      <c r="EP854" s="933"/>
      <c r="EQ854" s="933"/>
      <c r="ER854" s="933"/>
      <c r="ES854" s="933"/>
      <c r="ET854" s="933"/>
      <c r="EU854" s="933"/>
      <c r="EV854" s="933"/>
      <c r="EW854" s="933"/>
      <c r="EX854" s="933"/>
      <c r="EY854" s="933"/>
      <c r="EZ854" s="933"/>
      <c r="FA854" s="933"/>
      <c r="FB854" s="933"/>
      <c r="FC854" s="933"/>
      <c r="FD854" s="933"/>
      <c r="FE854" s="933"/>
      <c r="FF854" s="933"/>
      <c r="FG854" s="933"/>
      <c r="FH854" s="933"/>
      <c r="FI854" s="933"/>
      <c r="FJ854" s="933"/>
      <c r="FK854" s="933"/>
      <c r="FL854" s="933"/>
      <c r="FM854" s="933"/>
      <c r="FN854" s="933"/>
      <c r="FO854" s="933"/>
      <c r="FP854" s="933"/>
      <c r="FQ854" s="933"/>
      <c r="FR854" s="933"/>
      <c r="FS854" s="933"/>
      <c r="FT854" s="933"/>
      <c r="FU854" s="933"/>
      <c r="FV854" s="933"/>
      <c r="FW854" s="933"/>
      <c r="FX854" s="933"/>
      <c r="FY854" s="933"/>
      <c r="FZ854" s="933"/>
      <c r="GA854" s="933"/>
      <c r="GB854" s="933"/>
      <c r="GC854" s="933"/>
      <c r="GD854" s="933"/>
      <c r="GE854" s="933"/>
      <c r="GF854" s="933"/>
      <c r="GG854" s="933"/>
      <c r="GH854" s="933"/>
      <c r="GI854" s="933"/>
      <c r="GJ854" s="933"/>
      <c r="GK854" s="933"/>
      <c r="GL854" s="933"/>
      <c r="GM854" s="933"/>
      <c r="GN854" s="933"/>
      <c r="GO854" s="933"/>
      <c r="GP854" s="933"/>
      <c r="GQ854" s="933"/>
      <c r="GR854" s="933"/>
      <c r="GS854" s="933"/>
      <c r="GT854" s="933"/>
      <c r="GU854" s="933"/>
      <c r="GV854" s="933"/>
      <c r="GW854" s="933"/>
      <c r="GX854" s="933"/>
      <c r="GY854" s="933"/>
      <c r="GZ854" s="933"/>
      <c r="HA854" s="933"/>
      <c r="HB854" s="933"/>
      <c r="HC854" s="933"/>
      <c r="HD854" s="933"/>
      <c r="HE854" s="933"/>
      <c r="HF854" s="933"/>
      <c r="HG854" s="933"/>
      <c r="HH854" s="933"/>
      <c r="HI854" s="933"/>
      <c r="HJ854" s="933"/>
      <c r="HK854" s="933"/>
      <c r="HL854" s="933"/>
      <c r="HM854" s="933"/>
      <c r="HN854" s="933"/>
      <c r="HO854" s="933"/>
      <c r="HP854" s="933"/>
      <c r="HQ854" s="933"/>
      <c r="HR854" s="933"/>
      <c r="HS854" s="933"/>
      <c r="HT854" s="933"/>
      <c r="HU854" s="933"/>
      <c r="HV854" s="933"/>
      <c r="HW854" s="933"/>
      <c r="HX854" s="933"/>
      <c r="HY854" s="933"/>
      <c r="HZ854" s="933"/>
      <c r="IA854" s="933"/>
      <c r="IB854" s="933"/>
      <c r="IC854" s="933"/>
      <c r="ID854" s="933"/>
      <c r="IE854" s="933"/>
      <c r="IF854" s="933"/>
      <c r="IG854" s="933"/>
      <c r="IH854" s="933"/>
      <c r="II854" s="933"/>
      <c r="IJ854" s="933"/>
      <c r="IK854" s="933"/>
      <c r="IL854" s="933"/>
      <c r="IM854" s="933"/>
      <c r="IN854" s="933"/>
      <c r="IO854" s="933"/>
      <c r="IP854" s="933"/>
      <c r="IQ854" s="933"/>
      <c r="IR854" s="933"/>
      <c r="IS854" s="933"/>
      <c r="IT854" s="933"/>
      <c r="IU854" s="933"/>
      <c r="IV854" s="933"/>
    </row>
    <row r="855" spans="1:256" s="956" customFormat="1" ht="11.4">
      <c r="A855" s="957">
        <v>2</v>
      </c>
      <c r="B855" s="933" t="s">
        <v>141</v>
      </c>
      <c r="C855" s="933"/>
      <c r="D855" s="933" t="s">
        <v>859</v>
      </c>
      <c r="E855" s="933"/>
      <c r="F855" s="933"/>
      <c r="G855" s="936" t="s">
        <v>860</v>
      </c>
      <c r="H855" s="937">
        <v>620</v>
      </c>
      <c r="I855" s="933" t="s">
        <v>729</v>
      </c>
      <c r="J855" s="933"/>
      <c r="K855" s="940" t="s">
        <v>7</v>
      </c>
      <c r="L855" s="933"/>
      <c r="M855" s="933"/>
      <c r="N855" s="933"/>
      <c r="O855" s="938">
        <v>2</v>
      </c>
      <c r="P855" s="939"/>
      <c r="Q855" s="940">
        <v>0.2</v>
      </c>
      <c r="R855" s="941">
        <f t="shared" si="25"/>
        <v>0.4</v>
      </c>
      <c r="S855" s="940">
        <v>0.03</v>
      </c>
      <c r="T855" s="942">
        <f t="shared" si="26"/>
        <v>0.06</v>
      </c>
      <c r="U855" s="933"/>
      <c r="V855" s="933"/>
      <c r="W855" s="933"/>
      <c r="X855" s="933"/>
      <c r="Y855" s="933"/>
      <c r="Z855" s="933"/>
      <c r="AA855" s="933"/>
      <c r="AB855" s="933"/>
      <c r="AC855" s="933"/>
      <c r="AD855" s="933"/>
      <c r="AE855" s="933"/>
      <c r="AF855" s="933"/>
      <c r="AG855" s="933"/>
      <c r="AH855" s="933"/>
      <c r="AI855" s="933"/>
      <c r="AJ855" s="933"/>
      <c r="AK855" s="933"/>
      <c r="AL855" s="933"/>
      <c r="AM855" s="933"/>
      <c r="AN855" s="933"/>
      <c r="AO855" s="933"/>
      <c r="AP855" s="933"/>
      <c r="AQ855" s="933"/>
      <c r="AR855" s="933"/>
      <c r="AS855" s="933"/>
      <c r="AT855" s="933"/>
      <c r="AU855" s="933"/>
      <c r="AV855" s="933"/>
      <c r="AW855" s="933"/>
      <c r="AX855" s="933"/>
      <c r="AY855" s="933"/>
      <c r="AZ855" s="933"/>
      <c r="BA855" s="933"/>
      <c r="BB855" s="933"/>
      <c r="BC855" s="933"/>
      <c r="BD855" s="933"/>
      <c r="BE855" s="933"/>
      <c r="BF855" s="933"/>
      <c r="BG855" s="933"/>
      <c r="BH855" s="933"/>
      <c r="BI855" s="933"/>
      <c r="BJ855" s="933"/>
      <c r="BK855" s="933"/>
      <c r="BL855" s="933"/>
      <c r="BM855" s="933"/>
      <c r="BN855" s="933"/>
      <c r="BO855" s="933"/>
      <c r="BP855" s="933"/>
      <c r="BQ855" s="933"/>
      <c r="BR855" s="933"/>
      <c r="BS855" s="933"/>
      <c r="BT855" s="933"/>
      <c r="BU855" s="933"/>
      <c r="BV855" s="933"/>
      <c r="BW855" s="933"/>
      <c r="BX855" s="933"/>
      <c r="BY855" s="933"/>
      <c r="BZ855" s="933"/>
      <c r="CA855" s="933"/>
      <c r="CB855" s="933"/>
      <c r="CC855" s="933"/>
      <c r="CD855" s="933"/>
      <c r="CE855" s="933"/>
      <c r="CF855" s="933"/>
      <c r="CG855" s="933"/>
      <c r="CH855" s="933"/>
      <c r="CI855" s="933"/>
      <c r="CJ855" s="933"/>
      <c r="CK855" s="933"/>
      <c r="CL855" s="933"/>
      <c r="CM855" s="933"/>
      <c r="CN855" s="933"/>
      <c r="CO855" s="933"/>
      <c r="CP855" s="933"/>
      <c r="CQ855" s="933"/>
      <c r="CR855" s="933"/>
      <c r="CS855" s="933"/>
      <c r="CT855" s="933"/>
      <c r="CU855" s="933"/>
      <c r="CV855" s="933"/>
      <c r="CW855" s="933"/>
      <c r="CX855" s="933"/>
      <c r="CY855" s="933"/>
      <c r="CZ855" s="933"/>
      <c r="DA855" s="933"/>
      <c r="DB855" s="933"/>
      <c r="DC855" s="933"/>
      <c r="DD855" s="933"/>
      <c r="DE855" s="933"/>
      <c r="DF855" s="933"/>
      <c r="DG855" s="933"/>
      <c r="DH855" s="933"/>
      <c r="DI855" s="933"/>
      <c r="DJ855" s="933"/>
      <c r="DK855" s="933"/>
      <c r="DL855" s="933"/>
      <c r="DM855" s="933"/>
      <c r="DN855" s="933"/>
      <c r="DO855" s="933"/>
      <c r="DP855" s="933"/>
      <c r="DQ855" s="933"/>
      <c r="DR855" s="933"/>
      <c r="DS855" s="933"/>
      <c r="DT855" s="933"/>
      <c r="DU855" s="933"/>
      <c r="DV855" s="933"/>
      <c r="DW855" s="933"/>
      <c r="DX855" s="933"/>
      <c r="DY855" s="933"/>
      <c r="DZ855" s="933"/>
      <c r="EA855" s="933"/>
      <c r="EB855" s="933"/>
      <c r="EC855" s="933"/>
      <c r="ED855" s="933"/>
      <c r="EE855" s="933"/>
      <c r="EF855" s="933"/>
      <c r="EG855" s="933"/>
      <c r="EH855" s="933"/>
      <c r="EI855" s="933"/>
      <c r="EJ855" s="933"/>
      <c r="EK855" s="933"/>
      <c r="EL855" s="933"/>
      <c r="EM855" s="933"/>
      <c r="EN855" s="933"/>
      <c r="EO855" s="933"/>
      <c r="EP855" s="933"/>
      <c r="EQ855" s="933"/>
      <c r="ER855" s="933"/>
      <c r="ES855" s="933"/>
      <c r="ET855" s="933"/>
      <c r="EU855" s="933"/>
      <c r="EV855" s="933"/>
      <c r="EW855" s="933"/>
      <c r="EX855" s="933"/>
      <c r="EY855" s="933"/>
      <c r="EZ855" s="933"/>
      <c r="FA855" s="933"/>
      <c r="FB855" s="933"/>
      <c r="FC855" s="933"/>
      <c r="FD855" s="933"/>
      <c r="FE855" s="933"/>
      <c r="FF855" s="933"/>
      <c r="FG855" s="933"/>
      <c r="FH855" s="933"/>
      <c r="FI855" s="933"/>
      <c r="FJ855" s="933"/>
      <c r="FK855" s="933"/>
      <c r="FL855" s="933"/>
      <c r="FM855" s="933"/>
      <c r="FN855" s="933"/>
      <c r="FO855" s="933"/>
      <c r="FP855" s="933"/>
      <c r="FQ855" s="933"/>
      <c r="FR855" s="933"/>
      <c r="FS855" s="933"/>
      <c r="FT855" s="933"/>
      <c r="FU855" s="933"/>
      <c r="FV855" s="933"/>
      <c r="FW855" s="933"/>
      <c r="FX855" s="933"/>
      <c r="FY855" s="933"/>
      <c r="FZ855" s="933"/>
      <c r="GA855" s="933"/>
      <c r="GB855" s="933"/>
      <c r="GC855" s="933"/>
      <c r="GD855" s="933"/>
      <c r="GE855" s="933"/>
      <c r="GF855" s="933"/>
      <c r="GG855" s="933"/>
      <c r="GH855" s="933"/>
      <c r="GI855" s="933"/>
      <c r="GJ855" s="933"/>
      <c r="GK855" s="933"/>
      <c r="GL855" s="933"/>
      <c r="GM855" s="933"/>
      <c r="GN855" s="933"/>
      <c r="GO855" s="933"/>
      <c r="GP855" s="933"/>
      <c r="GQ855" s="933"/>
      <c r="GR855" s="933"/>
      <c r="GS855" s="933"/>
      <c r="GT855" s="933"/>
      <c r="GU855" s="933"/>
      <c r="GV855" s="933"/>
      <c r="GW855" s="933"/>
      <c r="GX855" s="933"/>
      <c r="GY855" s="933"/>
      <c r="GZ855" s="933"/>
      <c r="HA855" s="933"/>
      <c r="HB855" s="933"/>
      <c r="HC855" s="933"/>
      <c r="HD855" s="933"/>
      <c r="HE855" s="933"/>
      <c r="HF855" s="933"/>
      <c r="HG855" s="933"/>
      <c r="HH855" s="933"/>
      <c r="HI855" s="933"/>
      <c r="HJ855" s="933"/>
      <c r="HK855" s="933"/>
      <c r="HL855" s="933"/>
      <c r="HM855" s="933"/>
      <c r="HN855" s="933"/>
      <c r="HO855" s="933"/>
      <c r="HP855" s="933"/>
      <c r="HQ855" s="933"/>
      <c r="HR855" s="933"/>
      <c r="HS855" s="933"/>
      <c r="HT855" s="933"/>
      <c r="HU855" s="933"/>
      <c r="HV855" s="933"/>
      <c r="HW855" s="933"/>
      <c r="HX855" s="933"/>
      <c r="HY855" s="933"/>
      <c r="HZ855" s="933"/>
      <c r="IA855" s="933"/>
      <c r="IB855" s="933"/>
      <c r="IC855" s="933"/>
      <c r="ID855" s="933"/>
      <c r="IE855" s="933"/>
      <c r="IF855" s="933"/>
      <c r="IG855" s="933"/>
      <c r="IH855" s="933"/>
      <c r="II855" s="933"/>
      <c r="IJ855" s="933"/>
      <c r="IK855" s="933"/>
      <c r="IL855" s="933"/>
      <c r="IM855" s="933"/>
      <c r="IN855" s="933"/>
      <c r="IO855" s="933"/>
      <c r="IP855" s="933"/>
      <c r="IQ855" s="933"/>
      <c r="IR855" s="933"/>
      <c r="IS855" s="933"/>
      <c r="IT855" s="933"/>
      <c r="IU855" s="933"/>
      <c r="IV855" s="933"/>
    </row>
    <row r="856" spans="1:256" s="956" customFormat="1" ht="11.4">
      <c r="A856" s="957">
        <v>6</v>
      </c>
      <c r="B856" s="933" t="s">
        <v>141</v>
      </c>
      <c r="C856" s="933"/>
      <c r="D856" s="933" t="s">
        <v>861</v>
      </c>
      <c r="E856" s="933"/>
      <c r="F856" s="933"/>
      <c r="G856" s="936" t="s">
        <v>862</v>
      </c>
      <c r="H856" s="937">
        <v>620</v>
      </c>
      <c r="I856" s="933" t="s">
        <v>741</v>
      </c>
      <c r="J856" s="933"/>
      <c r="K856" s="940" t="s">
        <v>7</v>
      </c>
      <c r="L856" s="933"/>
      <c r="M856" s="933"/>
      <c r="N856" s="933"/>
      <c r="O856" s="938">
        <v>2</v>
      </c>
      <c r="P856" s="939">
        <v>34669</v>
      </c>
      <c r="Q856" s="940">
        <v>0.05</v>
      </c>
      <c r="R856" s="941">
        <f t="shared" si="25"/>
        <v>0.30000000000000004</v>
      </c>
      <c r="S856" s="940">
        <v>0.01</v>
      </c>
      <c r="T856" s="942">
        <f t="shared" si="26"/>
        <v>0.06</v>
      </c>
      <c r="U856" s="933"/>
      <c r="V856" s="933"/>
      <c r="W856" s="933"/>
      <c r="X856" s="933"/>
      <c r="Y856" s="933"/>
      <c r="Z856" s="933"/>
      <c r="AA856" s="933"/>
      <c r="AB856" s="933"/>
      <c r="AC856" s="933"/>
      <c r="AD856" s="933"/>
      <c r="AE856" s="933"/>
      <c r="AF856" s="933"/>
      <c r="AG856" s="933"/>
      <c r="AH856" s="933"/>
      <c r="AI856" s="933"/>
      <c r="AJ856" s="933"/>
      <c r="AK856" s="933"/>
      <c r="AL856" s="933"/>
      <c r="AM856" s="933"/>
      <c r="AN856" s="933"/>
      <c r="AO856" s="933"/>
      <c r="AP856" s="933"/>
      <c r="AQ856" s="933"/>
      <c r="AR856" s="933"/>
      <c r="AS856" s="933"/>
      <c r="AT856" s="933"/>
      <c r="AU856" s="933"/>
      <c r="AV856" s="933"/>
      <c r="AW856" s="933"/>
      <c r="AX856" s="933"/>
      <c r="AY856" s="933"/>
      <c r="AZ856" s="933"/>
      <c r="BA856" s="933"/>
      <c r="BB856" s="933"/>
      <c r="BC856" s="933"/>
      <c r="BD856" s="933"/>
      <c r="BE856" s="933"/>
      <c r="BF856" s="933"/>
      <c r="BG856" s="933"/>
      <c r="BH856" s="933"/>
      <c r="BI856" s="933"/>
      <c r="BJ856" s="933"/>
      <c r="BK856" s="933"/>
      <c r="BL856" s="933"/>
      <c r="BM856" s="933"/>
      <c r="BN856" s="933"/>
      <c r="BO856" s="933"/>
      <c r="BP856" s="933"/>
      <c r="BQ856" s="933"/>
      <c r="BR856" s="933"/>
      <c r="BS856" s="933"/>
      <c r="BT856" s="933"/>
      <c r="BU856" s="933"/>
      <c r="BV856" s="933"/>
      <c r="BW856" s="933"/>
      <c r="BX856" s="933"/>
      <c r="BY856" s="933"/>
      <c r="BZ856" s="933"/>
      <c r="CA856" s="933"/>
      <c r="CB856" s="933"/>
      <c r="CC856" s="933"/>
      <c r="CD856" s="933"/>
      <c r="CE856" s="933"/>
      <c r="CF856" s="933"/>
      <c r="CG856" s="933"/>
      <c r="CH856" s="933"/>
      <c r="CI856" s="933"/>
      <c r="CJ856" s="933"/>
      <c r="CK856" s="933"/>
      <c r="CL856" s="933"/>
      <c r="CM856" s="933"/>
      <c r="CN856" s="933"/>
      <c r="CO856" s="933"/>
      <c r="CP856" s="933"/>
      <c r="CQ856" s="933"/>
      <c r="CR856" s="933"/>
      <c r="CS856" s="933"/>
      <c r="CT856" s="933"/>
      <c r="CU856" s="933"/>
      <c r="CV856" s="933"/>
      <c r="CW856" s="933"/>
      <c r="CX856" s="933"/>
      <c r="CY856" s="933"/>
      <c r="CZ856" s="933"/>
      <c r="DA856" s="933"/>
      <c r="DB856" s="933"/>
      <c r="DC856" s="933"/>
      <c r="DD856" s="933"/>
      <c r="DE856" s="933"/>
      <c r="DF856" s="933"/>
      <c r="DG856" s="933"/>
      <c r="DH856" s="933"/>
      <c r="DI856" s="933"/>
      <c r="DJ856" s="933"/>
      <c r="DK856" s="933"/>
      <c r="DL856" s="933"/>
      <c r="DM856" s="933"/>
      <c r="DN856" s="933"/>
      <c r="DO856" s="933"/>
      <c r="DP856" s="933"/>
      <c r="DQ856" s="933"/>
      <c r="DR856" s="933"/>
      <c r="DS856" s="933"/>
      <c r="DT856" s="933"/>
      <c r="DU856" s="933"/>
      <c r="DV856" s="933"/>
      <c r="DW856" s="933"/>
      <c r="DX856" s="933"/>
      <c r="DY856" s="933"/>
      <c r="DZ856" s="933"/>
      <c r="EA856" s="933"/>
      <c r="EB856" s="933"/>
      <c r="EC856" s="933"/>
      <c r="ED856" s="933"/>
      <c r="EE856" s="933"/>
      <c r="EF856" s="933"/>
      <c r="EG856" s="933"/>
      <c r="EH856" s="933"/>
      <c r="EI856" s="933"/>
      <c r="EJ856" s="933"/>
      <c r="EK856" s="933"/>
      <c r="EL856" s="933"/>
      <c r="EM856" s="933"/>
      <c r="EN856" s="933"/>
      <c r="EO856" s="933"/>
      <c r="EP856" s="933"/>
      <c r="EQ856" s="933"/>
      <c r="ER856" s="933"/>
      <c r="ES856" s="933"/>
      <c r="ET856" s="933"/>
      <c r="EU856" s="933"/>
      <c r="EV856" s="933"/>
      <c r="EW856" s="933"/>
      <c r="EX856" s="933"/>
      <c r="EY856" s="933"/>
      <c r="EZ856" s="933"/>
      <c r="FA856" s="933"/>
      <c r="FB856" s="933"/>
      <c r="FC856" s="933"/>
      <c r="FD856" s="933"/>
      <c r="FE856" s="933"/>
      <c r="FF856" s="933"/>
      <c r="FG856" s="933"/>
      <c r="FH856" s="933"/>
      <c r="FI856" s="933"/>
      <c r="FJ856" s="933"/>
      <c r="FK856" s="933"/>
      <c r="FL856" s="933"/>
      <c r="FM856" s="933"/>
      <c r="FN856" s="933"/>
      <c r="FO856" s="933"/>
      <c r="FP856" s="933"/>
      <c r="FQ856" s="933"/>
      <c r="FR856" s="933"/>
      <c r="FS856" s="933"/>
      <c r="FT856" s="933"/>
      <c r="FU856" s="933"/>
      <c r="FV856" s="933"/>
      <c r="FW856" s="933"/>
      <c r="FX856" s="933"/>
      <c r="FY856" s="933"/>
      <c r="FZ856" s="933"/>
      <c r="GA856" s="933"/>
      <c r="GB856" s="933"/>
      <c r="GC856" s="933"/>
      <c r="GD856" s="933"/>
      <c r="GE856" s="933"/>
      <c r="GF856" s="933"/>
      <c r="GG856" s="933"/>
      <c r="GH856" s="933"/>
      <c r="GI856" s="933"/>
      <c r="GJ856" s="933"/>
      <c r="GK856" s="933"/>
      <c r="GL856" s="933"/>
      <c r="GM856" s="933"/>
      <c r="GN856" s="933"/>
      <c r="GO856" s="933"/>
      <c r="GP856" s="933"/>
      <c r="GQ856" s="933"/>
      <c r="GR856" s="933"/>
      <c r="GS856" s="933"/>
      <c r="GT856" s="933"/>
      <c r="GU856" s="933"/>
      <c r="GV856" s="933"/>
      <c r="GW856" s="933"/>
      <c r="GX856" s="933"/>
      <c r="GY856" s="933"/>
      <c r="GZ856" s="933"/>
      <c r="HA856" s="933"/>
      <c r="HB856" s="933"/>
      <c r="HC856" s="933"/>
      <c r="HD856" s="933"/>
      <c r="HE856" s="933"/>
      <c r="HF856" s="933"/>
      <c r="HG856" s="933"/>
      <c r="HH856" s="933"/>
      <c r="HI856" s="933"/>
      <c r="HJ856" s="933"/>
      <c r="HK856" s="933"/>
      <c r="HL856" s="933"/>
      <c r="HM856" s="933"/>
      <c r="HN856" s="933"/>
      <c r="HO856" s="933"/>
      <c r="HP856" s="933"/>
      <c r="HQ856" s="933"/>
      <c r="HR856" s="933"/>
      <c r="HS856" s="933"/>
      <c r="HT856" s="933"/>
      <c r="HU856" s="933"/>
      <c r="HV856" s="933"/>
      <c r="HW856" s="933"/>
      <c r="HX856" s="933"/>
      <c r="HY856" s="933"/>
      <c r="HZ856" s="933"/>
      <c r="IA856" s="933"/>
      <c r="IB856" s="933"/>
      <c r="IC856" s="933"/>
      <c r="ID856" s="933"/>
      <c r="IE856" s="933"/>
      <c r="IF856" s="933"/>
      <c r="IG856" s="933"/>
      <c r="IH856" s="933"/>
      <c r="II856" s="933"/>
      <c r="IJ856" s="933"/>
      <c r="IK856" s="933"/>
      <c r="IL856" s="933"/>
      <c r="IM856" s="933"/>
      <c r="IN856" s="933"/>
      <c r="IO856" s="933"/>
      <c r="IP856" s="933"/>
      <c r="IQ856" s="933"/>
      <c r="IR856" s="933"/>
      <c r="IS856" s="933"/>
      <c r="IT856" s="933"/>
      <c r="IU856" s="933"/>
      <c r="IV856" s="933"/>
    </row>
    <row r="857" spans="1:256" s="933" customFormat="1" ht="11.4">
      <c r="A857" s="957">
        <v>1</v>
      </c>
      <c r="B857" s="933" t="s">
        <v>141</v>
      </c>
      <c r="D857" s="933" t="s">
        <v>776</v>
      </c>
      <c r="F857" s="933" t="s">
        <v>901</v>
      </c>
      <c r="G857" s="936" t="s">
        <v>777</v>
      </c>
      <c r="H857" s="937">
        <v>900</v>
      </c>
      <c r="I857" s="933" t="s">
        <v>778</v>
      </c>
      <c r="K857" s="933" t="s">
        <v>7</v>
      </c>
      <c r="O857" s="938">
        <v>1</v>
      </c>
      <c r="P857" s="939"/>
      <c r="Q857" s="983"/>
      <c r="R857" s="941">
        <f>$A857*Q857</f>
        <v>0</v>
      </c>
      <c r="S857" s="940">
        <v>0.5</v>
      </c>
      <c r="T857" s="942">
        <f t="shared" si="26"/>
        <v>0.5</v>
      </c>
      <c r="U857" s="933" t="s">
        <v>863</v>
      </c>
    </row>
    <row r="858" spans="1:256" s="519" customFormat="1" ht="13.95" customHeight="1">
      <c r="A858" s="49"/>
      <c r="B858" s="528"/>
      <c r="C858" s="528"/>
      <c r="D858" s="528"/>
      <c r="E858" s="528"/>
      <c r="F858" s="528"/>
      <c r="G858" s="528"/>
      <c r="H858" s="801"/>
      <c r="I858" s="528"/>
      <c r="J858" s="48"/>
      <c r="K858" s="805"/>
      <c r="L858" s="806"/>
      <c r="M858" s="528"/>
      <c r="N858" s="528"/>
      <c r="O858" s="48"/>
      <c r="P858" s="528"/>
      <c r="Q858" s="528"/>
      <c r="R858" s="807">
        <f>$A858*Q858</f>
        <v>0</v>
      </c>
      <c r="S858" s="528"/>
      <c r="T858" s="643">
        <f>$A858*S858*$T$1</f>
        <v>0</v>
      </c>
    </row>
    <row r="859" spans="1:256" s="519" customFormat="1" ht="12">
      <c r="A859" s="808" t="s">
        <v>145</v>
      </c>
      <c r="B859" s="809">
        <f>(R858+T858)</f>
        <v>0</v>
      </c>
      <c r="C859" s="641"/>
      <c r="G859" s="810"/>
      <c r="H859" s="810"/>
      <c r="I859" s="810"/>
      <c r="J859" s="810"/>
      <c r="K859" s="811" t="s">
        <v>3</v>
      </c>
      <c r="L859" s="812" t="s">
        <v>590</v>
      </c>
      <c r="M859" s="810"/>
      <c r="N859" s="810"/>
      <c r="O859" s="810"/>
      <c r="P859" s="810"/>
      <c r="Q859" s="813"/>
      <c r="R859" s="814">
        <f>SUM(R848:R858)</f>
        <v>119.48</v>
      </c>
      <c r="S859" s="815"/>
      <c r="T859" s="814">
        <f>SUM(T848:T858)</f>
        <v>8.6300000000000008</v>
      </c>
      <c r="AG859" s="816">
        <f>ROUND($R859*$S$2,2)</f>
        <v>119.48</v>
      </c>
    </row>
    <row r="860" spans="1:256" s="519" customFormat="1" ht="12" customHeight="1">
      <c r="A860" s="817"/>
      <c r="B860" s="818"/>
      <c r="C860" s="819"/>
      <c r="D860" s="819" t="str">
        <f>$F$3</f>
        <v>ECA</v>
      </c>
      <c r="E860" s="819">
        <f>ROUND(($R864*$S$3 + ($T864*$T$3)), 2)</f>
        <v>2297.3000000000002</v>
      </c>
      <c r="F860" s="820">
        <f ca="1">$F845-SUMIF($L847:$P850,"SUBI",$F847:$F850)</f>
        <v>2297.3000000000002</v>
      </c>
      <c r="G860" s="518"/>
      <c r="H860" s="518"/>
      <c r="I860" s="518"/>
      <c r="J860" s="518"/>
      <c r="K860" s="802" t="s">
        <v>5</v>
      </c>
      <c r="L860" s="803" t="s">
        <v>590</v>
      </c>
      <c r="M860" s="518"/>
      <c r="N860" s="518"/>
      <c r="O860" s="518"/>
      <c r="P860" s="518"/>
      <c r="Q860" s="518"/>
      <c r="R860" s="821"/>
      <c r="S860" s="518"/>
      <c r="T860" s="821"/>
    </row>
    <row r="861" spans="1:256" s="933" customFormat="1" ht="13.2">
      <c r="A861">
        <v>1</v>
      </c>
      <c r="B861" s="933" t="s">
        <v>141</v>
      </c>
      <c r="D861" s="933" t="s">
        <v>785</v>
      </c>
      <c r="E861" s="935" t="s">
        <v>979</v>
      </c>
      <c r="F861" s="933" t="s">
        <v>990</v>
      </c>
      <c r="G861" s="936" t="s">
        <v>786</v>
      </c>
      <c r="H861" s="937">
        <v>570</v>
      </c>
      <c r="I861" s="933" t="s">
        <v>729</v>
      </c>
      <c r="O861" s="938">
        <v>2</v>
      </c>
      <c r="P861" s="939">
        <v>38443</v>
      </c>
      <c r="Q861" s="1058">
        <v>2160</v>
      </c>
      <c r="R861" s="941">
        <f>$A861*Q861</f>
        <v>2160</v>
      </c>
      <c r="S861" s="940"/>
      <c r="T861" s="942">
        <f>$A861*S861*$T$1</f>
        <v>0</v>
      </c>
    </row>
    <row r="862" spans="1:256" s="933" customFormat="1" ht="13.2">
      <c r="A862">
        <v>1</v>
      </c>
      <c r="B862" s="933" t="s">
        <v>141</v>
      </c>
      <c r="D862" s="933" t="s">
        <v>785</v>
      </c>
      <c r="E862" s="935" t="s">
        <v>885</v>
      </c>
      <c r="F862" s="933" t="s">
        <v>990</v>
      </c>
      <c r="G862" s="936" t="s">
        <v>786</v>
      </c>
      <c r="H862" s="937">
        <v>570</v>
      </c>
      <c r="I862" s="933" t="s">
        <v>729</v>
      </c>
      <c r="O862" s="938">
        <v>2</v>
      </c>
      <c r="P862" s="939">
        <v>38443</v>
      </c>
      <c r="Q862" s="940"/>
      <c r="R862" s="941">
        <f>$A862*Q862</f>
        <v>0</v>
      </c>
      <c r="S862" s="1058">
        <v>5</v>
      </c>
      <c r="T862" s="942">
        <f>$A862*S862*$T$1</f>
        <v>5</v>
      </c>
    </row>
    <row r="863" spans="1:256" s="519" customFormat="1" ht="13.2">
      <c r="A863" s="49"/>
      <c r="B863" s="528"/>
      <c r="C863" s="528"/>
      <c r="D863" s="3"/>
      <c r="E863" s="528"/>
      <c r="F863" s="528"/>
      <c r="G863" s="528"/>
      <c r="H863" s="528"/>
      <c r="I863" s="528"/>
      <c r="J863" s="528"/>
      <c r="K863" s="528"/>
      <c r="L863" s="806"/>
      <c r="M863" s="528"/>
      <c r="N863" s="528"/>
      <c r="O863" s="528"/>
      <c r="P863" s="528"/>
      <c r="Q863" s="528"/>
      <c r="R863" s="807">
        <f>$A863*Q863</f>
        <v>0</v>
      </c>
      <c r="S863" s="528"/>
      <c r="T863" s="643">
        <f>$A863*S863*$T$1</f>
        <v>0</v>
      </c>
    </row>
    <row r="864" spans="1:256" s="519" customFormat="1" ht="12" customHeight="1">
      <c r="A864" s="835" t="s">
        <v>145</v>
      </c>
      <c r="B864" s="836">
        <f>(R863+T863)</f>
        <v>0</v>
      </c>
      <c r="C864" s="837"/>
      <c r="D864" s="837"/>
      <c r="E864" s="837"/>
      <c r="F864" s="837"/>
      <c r="G864" s="813"/>
      <c r="H864" s="813"/>
      <c r="I864" s="813"/>
      <c r="J864" s="813"/>
      <c r="K864" s="838" t="s">
        <v>5</v>
      </c>
      <c r="L864" s="839" t="s">
        <v>590</v>
      </c>
      <c r="M864" s="813"/>
      <c r="N864" s="813"/>
      <c r="O864" s="813"/>
      <c r="P864" s="813"/>
      <c r="Q864" s="813"/>
      <c r="R864" s="814">
        <f>SUM(R860:R863)</f>
        <v>2160</v>
      </c>
      <c r="S864" s="815"/>
      <c r="T864" s="814">
        <f>SUM(T860:T863)</f>
        <v>5</v>
      </c>
      <c r="AG864" s="840">
        <f>ROUND($R864*$S$3,2)</f>
        <v>2160</v>
      </c>
    </row>
    <row r="865" spans="1:256" s="519" customFormat="1" ht="12.75" customHeight="1">
      <c r="A865" s="841"/>
      <c r="B865" s="842"/>
      <c r="E865" s="641"/>
      <c r="F865" s="843"/>
      <c r="G865" s="641"/>
      <c r="H865" s="641"/>
      <c r="I865" s="518"/>
      <c r="J865" s="641"/>
      <c r="K865" s="641"/>
      <c r="L865" s="844"/>
      <c r="M865" s="652"/>
      <c r="N865" s="652"/>
      <c r="O865" s="652"/>
      <c r="P865" s="652"/>
      <c r="Q865" s="653"/>
      <c r="R865" s="821"/>
      <c r="S865" s="641"/>
      <c r="T865" s="821"/>
    </row>
    <row r="866" spans="1:256" s="519" customFormat="1" ht="13.5" customHeight="1" thickBot="1">
      <c r="A866" s="845"/>
      <c r="B866" s="846"/>
      <c r="C866" s="529"/>
      <c r="D866" s="529"/>
      <c r="E866" s="646"/>
      <c r="F866" s="647"/>
      <c r="G866" s="646" t="s">
        <v>146</v>
      </c>
      <c r="H866" s="646"/>
      <c r="I866" s="648"/>
      <c r="J866" s="646"/>
      <c r="K866" s="646"/>
      <c r="L866" s="847" t="s">
        <v>143</v>
      </c>
      <c r="M866" s="649"/>
      <c r="N866" s="649"/>
      <c r="O866" s="649"/>
      <c r="P866" s="649"/>
      <c r="Q866" s="650"/>
      <c r="R866" s="848">
        <f>SUMIF($L846:$L865,"SUBI",R846:R865)</f>
        <v>2279.48</v>
      </c>
      <c r="S866" s="646"/>
      <c r="T866" s="848">
        <f>SUMIF($L846:$L865,"SUBI",T846:T865)</f>
        <v>13.63</v>
      </c>
      <c r="U866" s="529"/>
      <c r="V866" s="529"/>
      <c r="W866" s="529"/>
      <c r="X866" s="529"/>
      <c r="Y866" s="529"/>
      <c r="Z866" s="529"/>
      <c r="AA866" s="529"/>
      <c r="AB866" s="529"/>
      <c r="AC866" s="529"/>
      <c r="AD866" s="529"/>
      <c r="AE866" s="529"/>
      <c r="AF866" s="529"/>
      <c r="AG866" s="529"/>
      <c r="AH866" s="529"/>
      <c r="AI866" s="529"/>
      <c r="AJ866" s="529"/>
      <c r="AK866" s="529"/>
      <c r="AL866" s="529"/>
      <c r="AM866" s="529"/>
      <c r="AN866" s="529"/>
      <c r="AO866" s="529"/>
    </row>
    <row r="867" spans="1:256" s="519" customFormat="1" thickTop="1">
      <c r="A867" s="47"/>
      <c r="B867" s="40"/>
      <c r="C867" s="47"/>
      <c r="E867" s="41" t="s">
        <v>138</v>
      </c>
      <c r="F867" s="41" t="s">
        <v>139</v>
      </c>
      <c r="G867" s="47"/>
      <c r="H867" s="47"/>
      <c r="I867" s="47"/>
      <c r="J867" s="47"/>
      <c r="K867" s="47" t="s">
        <v>140</v>
      </c>
      <c r="L867" s="774"/>
      <c r="M867" s="47"/>
      <c r="N867" s="47"/>
      <c r="O867" s="48"/>
      <c r="P867" s="47"/>
      <c r="Q867"/>
      <c r="R867"/>
      <c r="S867"/>
      <c r="T867" s="40"/>
      <c r="AG867" s="627" t="s">
        <v>277</v>
      </c>
      <c r="AH867" s="627" t="s">
        <v>278</v>
      </c>
      <c r="AI867" s="627" t="s">
        <v>279</v>
      </c>
      <c r="AJ867" s="627" t="s">
        <v>280</v>
      </c>
      <c r="AK867" s="627" t="s">
        <v>281</v>
      </c>
      <c r="AM867" s="628" t="s">
        <v>290</v>
      </c>
      <c r="AN867" s="629" t="s">
        <v>291</v>
      </c>
      <c r="AO867" s="520" t="s">
        <v>287</v>
      </c>
    </row>
    <row r="868" spans="1:256" s="519" customFormat="1" ht="13.2">
      <c r="A868" s="630">
        <v>1</v>
      </c>
      <c r="B868" s="521" t="s">
        <v>339</v>
      </c>
      <c r="C868" s="631"/>
      <c r="D868" s="632" t="s">
        <v>975</v>
      </c>
      <c r="E868" s="775">
        <f>IF(AND($A868=0,$A$1="DIF"),0, ROUND(ROUND(SUMIF($L870:$L883,"SUBI",$E870:$E883)/$A868,2)*$C$12,2))</f>
        <v>1553.68</v>
      </c>
      <c r="F868" s="776">
        <f>ROUND($A868*$E868,2)</f>
        <v>1553.68</v>
      </c>
      <c r="G868" s="635" t="s">
        <v>142</v>
      </c>
      <c r="H868" s="636"/>
      <c r="I868" s="637"/>
      <c r="J868" s="636"/>
      <c r="K868" s="777"/>
      <c r="L868" s="778" t="s">
        <v>143</v>
      </c>
      <c r="M868" s="638"/>
      <c r="N868" s="638"/>
      <c r="O868" s="638"/>
      <c r="P868" s="638"/>
      <c r="Q868"/>
      <c r="R868"/>
      <c r="S868"/>
      <c r="T868" s="779" t="str">
        <f>IF(AND($R889=0,$T889=0),"0.00","mu :" &amp; ROUND($F868/$C$12/($R889+$T889*$D$9),2))</f>
        <v>mu :1</v>
      </c>
      <c r="W868" s="522"/>
      <c r="AG868" s="780">
        <f>IF(A868=0,0,ROUND(SUM(AG870:AG889)/A868,2))</f>
        <v>1179.4000000000001</v>
      </c>
      <c r="AH868" s="780">
        <f>$AG868*$A868</f>
        <v>1179.4000000000001</v>
      </c>
      <c r="AI868" s="780">
        <f>$E868-$AG868</f>
        <v>374.28</v>
      </c>
      <c r="AJ868" s="780">
        <f>$A868*$AI868</f>
        <v>374.28</v>
      </c>
      <c r="AK868" s="781">
        <f>ROUND(($AG868+$AI868)*$A868,2)</f>
        <v>1553.68</v>
      </c>
      <c r="AM868" s="525">
        <f>ROUND(R889,2)</f>
        <v>1179.4000000000001</v>
      </c>
      <c r="AN868" s="526">
        <f>ROUND(T889,2)</f>
        <v>13.63</v>
      </c>
      <c r="AO868" s="527">
        <f>ROUND(AM868+AN868,2)*A868</f>
        <v>1193.03</v>
      </c>
    </row>
    <row r="869" spans="1:256" s="519" customFormat="1" ht="19.95" customHeight="1">
      <c r="A869" s="782"/>
      <c r="B869" s="783"/>
      <c r="C869" s="631"/>
      <c r="D869" s="784" t="s">
        <v>665</v>
      </c>
      <c r="F869" s="636"/>
      <c r="G869" s="636"/>
      <c r="H869" s="636"/>
      <c r="I869" s="637"/>
      <c r="J869" s="636"/>
      <c r="K869" s="636" t="s">
        <v>144</v>
      </c>
      <c r="L869" s="785"/>
      <c r="M869" s="636"/>
      <c r="N869" s="636"/>
      <c r="O869" s="636"/>
      <c r="P869" s="636"/>
      <c r="Q869" s="47"/>
      <c r="R869" s="528"/>
      <c r="S869" s="640"/>
      <c r="T869" s="636"/>
    </row>
    <row r="870" spans="1:256" s="519" customFormat="1" ht="12">
      <c r="A870" s="786"/>
      <c r="B870" s="787"/>
      <c r="C870" s="641"/>
      <c r="D870" s="636"/>
      <c r="E870" s="788">
        <f>F868/$C$12-SUMIF($L867:$L889,"SUBI",$E867:$E889)</f>
        <v>0</v>
      </c>
      <c r="F870" s="789" t="s">
        <v>589</v>
      </c>
      <c r="G870" s="790"/>
      <c r="H870" s="790"/>
      <c r="I870" s="791"/>
      <c r="J870" s="790"/>
      <c r="K870" s="790"/>
      <c r="L870" s="792"/>
      <c r="M870" s="793"/>
      <c r="N870" s="793"/>
      <c r="O870" s="793"/>
      <c r="P870" s="793"/>
      <c r="Q870" s="794"/>
      <c r="R870" s="795"/>
      <c r="S870" s="794"/>
      <c r="T870" s="796"/>
    </row>
    <row r="871" spans="1:256" s="519" customFormat="1" ht="12" customHeight="1">
      <c r="A871" s="797"/>
      <c r="B871" s="798"/>
      <c r="C871" s="799"/>
      <c r="D871" s="799" t="str">
        <f>$F$2</f>
        <v>Electrical</v>
      </c>
      <c r="E871" s="799">
        <f>ROUND(($R882*$S$2 + ($T882*$T$2)), 2)</f>
        <v>356.46</v>
      </c>
      <c r="F871" s="800">
        <f>$E871*$C$12</f>
        <v>356.46</v>
      </c>
      <c r="G871" s="528"/>
      <c r="H871" s="801"/>
      <c r="I871" s="528"/>
      <c r="J871" s="48"/>
      <c r="K871" s="802" t="s">
        <v>3</v>
      </c>
      <c r="L871" s="803" t="s">
        <v>590</v>
      </c>
      <c r="M871" s="528"/>
      <c r="N871" s="528"/>
      <c r="O871" s="48"/>
      <c r="P871" s="528"/>
      <c r="Q871" s="528"/>
      <c r="R871"/>
      <c r="S871"/>
      <c r="T871"/>
    </row>
    <row r="872" spans="1:256" s="933" customFormat="1" ht="13.2">
      <c r="A872">
        <v>1</v>
      </c>
      <c r="B872" s="933" t="s">
        <v>141</v>
      </c>
      <c r="D872" s="933" t="s">
        <v>785</v>
      </c>
      <c r="E872" s="935" t="s">
        <v>806</v>
      </c>
      <c r="F872" s="933" t="s">
        <v>803</v>
      </c>
      <c r="G872" s="936" t="s">
        <v>786</v>
      </c>
      <c r="H872" s="937">
        <v>570</v>
      </c>
      <c r="I872" s="933" t="s">
        <v>729</v>
      </c>
      <c r="O872" s="938">
        <v>2</v>
      </c>
      <c r="P872" s="939">
        <v>38443</v>
      </c>
      <c r="Q872" s="940"/>
      <c r="R872" s="941">
        <f>$A872*Q872</f>
        <v>0</v>
      </c>
      <c r="S872" s="940">
        <f>4+3</f>
        <v>7</v>
      </c>
      <c r="T872" s="942">
        <f>$A872*S872*$T$1</f>
        <v>7</v>
      </c>
    </row>
    <row r="873" spans="1:256" s="933" customFormat="1" ht="13.2">
      <c r="A873">
        <v>1</v>
      </c>
      <c r="B873" s="933" t="s">
        <v>141</v>
      </c>
      <c r="D873" s="933" t="s">
        <v>787</v>
      </c>
      <c r="G873" s="936" t="s">
        <v>788</v>
      </c>
      <c r="H873" s="937">
        <v>501</v>
      </c>
      <c r="I873" s="933" t="s">
        <v>729</v>
      </c>
      <c r="K873" s="933" t="s">
        <v>789</v>
      </c>
      <c r="O873" s="938">
        <v>1</v>
      </c>
      <c r="P873" s="939"/>
      <c r="Q873" s="940">
        <v>100</v>
      </c>
      <c r="R873" s="941">
        <f>$A873*Q873</f>
        <v>100</v>
      </c>
      <c r="S873" s="940"/>
      <c r="T873" s="942">
        <f>$A873*S873*$T$1</f>
        <v>0</v>
      </c>
    </row>
    <row r="874" spans="1:256" s="933" customFormat="1" ht="13.2">
      <c r="A874"/>
      <c r="D874" s="978" t="s">
        <v>900</v>
      </c>
      <c r="E874" s="935"/>
      <c r="G874" s="936"/>
      <c r="H874" s="937"/>
      <c r="O874" s="938"/>
      <c r="P874" s="939"/>
      <c r="Q874" s="940"/>
      <c r="R874" s="941"/>
      <c r="S874" s="940"/>
      <c r="T874" s="942"/>
    </row>
    <row r="875" spans="1:256" s="933" customFormat="1" ht="11.4">
      <c r="A875" s="957">
        <v>3</v>
      </c>
      <c r="B875" s="933" t="s">
        <v>311</v>
      </c>
      <c r="D875" s="933" t="s">
        <v>851</v>
      </c>
      <c r="G875" s="936" t="s">
        <v>852</v>
      </c>
      <c r="H875" s="937">
        <v>690</v>
      </c>
      <c r="I875" s="933" t="s">
        <v>780</v>
      </c>
      <c r="J875" s="933" t="s">
        <v>781</v>
      </c>
      <c r="K875" s="940" t="s">
        <v>7</v>
      </c>
      <c r="O875" s="938">
        <v>1</v>
      </c>
      <c r="P875" s="939">
        <v>34669</v>
      </c>
      <c r="Q875" s="982">
        <v>3.66</v>
      </c>
      <c r="R875" s="941">
        <f>$A875*Q875</f>
        <v>10.98</v>
      </c>
      <c r="S875" s="940">
        <v>0.2</v>
      </c>
      <c r="T875" s="942">
        <f t="shared" ref="T875" si="27">$A875*S875*$T$1</f>
        <v>0.60000000000000009</v>
      </c>
    </row>
    <row r="876" spans="1:256" s="933" customFormat="1" ht="13.2">
      <c r="A876">
        <v>3</v>
      </c>
      <c r="B876" s="933" t="s">
        <v>311</v>
      </c>
      <c r="D876" s="933" t="s">
        <v>792</v>
      </c>
      <c r="G876" s="936" t="s">
        <v>793</v>
      </c>
      <c r="H876" s="937">
        <v>617</v>
      </c>
      <c r="I876" s="933" t="s">
        <v>729</v>
      </c>
      <c r="O876" s="938">
        <v>2</v>
      </c>
      <c r="P876" s="939">
        <v>40767</v>
      </c>
      <c r="Q876" s="940">
        <v>1.5</v>
      </c>
      <c r="R876" s="941">
        <f>$A876*Q876</f>
        <v>4.5</v>
      </c>
      <c r="S876" s="940">
        <v>7.0000000000000007E-2</v>
      </c>
      <c r="T876" s="942">
        <f>$A876*S876*$T$1</f>
        <v>0.21000000000000002</v>
      </c>
    </row>
    <row r="877" spans="1:256" s="956" customFormat="1" ht="11.4">
      <c r="A877" s="957">
        <v>2</v>
      </c>
      <c r="B877" s="933" t="s">
        <v>141</v>
      </c>
      <c r="C877" s="933"/>
      <c r="D877" s="933" t="s">
        <v>857</v>
      </c>
      <c r="E877" s="933"/>
      <c r="F877" s="933"/>
      <c r="G877" s="936" t="s">
        <v>858</v>
      </c>
      <c r="H877" s="937">
        <v>620</v>
      </c>
      <c r="I877" s="933" t="s">
        <v>729</v>
      </c>
      <c r="J877" s="933"/>
      <c r="K877" s="940" t="s">
        <v>7</v>
      </c>
      <c r="L877" s="933"/>
      <c r="M877" s="933"/>
      <c r="N877" s="933"/>
      <c r="O877" s="938">
        <v>2</v>
      </c>
      <c r="P877" s="939">
        <v>38148</v>
      </c>
      <c r="Q877" s="940">
        <f>1.1*1.5</f>
        <v>1.6500000000000001</v>
      </c>
      <c r="R877" s="941">
        <f t="shared" ref="R877:R879" si="28">$A877*Q877</f>
        <v>3.3000000000000003</v>
      </c>
      <c r="S877" s="940">
        <v>0.1</v>
      </c>
      <c r="T877" s="942">
        <f t="shared" ref="T877:T880" si="29">$A877*S877*$T$1</f>
        <v>0.2</v>
      </c>
      <c r="U877" s="933"/>
      <c r="V877" s="933"/>
      <c r="W877" s="933"/>
      <c r="X877" s="933"/>
      <c r="Y877" s="933"/>
      <c r="Z877" s="933"/>
      <c r="AA877" s="933"/>
      <c r="AB877" s="933"/>
      <c r="AC877" s="519"/>
      <c r="AD877" s="519"/>
      <c r="AE877" s="519"/>
      <c r="AF877" s="519"/>
      <c r="AG877" s="933"/>
      <c r="AH877" s="933"/>
      <c r="AI877" s="933"/>
      <c r="AJ877" s="933"/>
      <c r="AK877" s="933"/>
      <c r="AL877" s="933"/>
      <c r="AM877" s="933"/>
      <c r="AN877" s="933"/>
      <c r="AO877" s="933"/>
      <c r="AP877" s="933"/>
      <c r="AQ877" s="933"/>
      <c r="AR877" s="933"/>
      <c r="AS877" s="933"/>
      <c r="AT877" s="933"/>
      <c r="AU877" s="933"/>
      <c r="AV877" s="933"/>
      <c r="AW877" s="933"/>
      <c r="AX877" s="933"/>
      <c r="AY877" s="933"/>
      <c r="AZ877" s="933"/>
      <c r="BA877" s="933"/>
      <c r="BB877" s="933"/>
      <c r="BC877" s="933"/>
      <c r="BD877" s="933"/>
      <c r="BE877" s="933"/>
      <c r="BF877" s="933"/>
      <c r="BG877" s="933"/>
      <c r="BH877" s="933"/>
      <c r="BI877" s="933"/>
      <c r="BJ877" s="933"/>
      <c r="BK877" s="933"/>
      <c r="BL877" s="933"/>
      <c r="BM877" s="933"/>
      <c r="BN877" s="933"/>
      <c r="BO877" s="933"/>
      <c r="BP877" s="933"/>
      <c r="BQ877" s="933"/>
      <c r="BR877" s="933"/>
      <c r="BS877" s="933"/>
      <c r="BT877" s="933"/>
      <c r="BU877" s="933"/>
      <c r="BV877" s="933"/>
      <c r="BW877" s="933"/>
      <c r="BX877" s="933"/>
      <c r="BY877" s="933"/>
      <c r="BZ877" s="933"/>
      <c r="CA877" s="933"/>
      <c r="CB877" s="933"/>
      <c r="CC877" s="933"/>
      <c r="CD877" s="933"/>
      <c r="CE877" s="933"/>
      <c r="CF877" s="933"/>
      <c r="CG877" s="933"/>
      <c r="CH877" s="933"/>
      <c r="CI877" s="933"/>
      <c r="CJ877" s="933"/>
      <c r="CK877" s="933"/>
      <c r="CL877" s="933"/>
      <c r="CM877" s="933"/>
      <c r="CN877" s="933"/>
      <c r="CO877" s="933"/>
      <c r="CP877" s="933"/>
      <c r="CQ877" s="933"/>
      <c r="CR877" s="933"/>
      <c r="CS877" s="933"/>
      <c r="CT877" s="933"/>
      <c r="CU877" s="933"/>
      <c r="CV877" s="933"/>
      <c r="CW877" s="933"/>
      <c r="CX877" s="933"/>
      <c r="CY877" s="933"/>
      <c r="CZ877" s="933"/>
      <c r="DA877" s="933"/>
      <c r="DB877" s="933"/>
      <c r="DC877" s="933"/>
      <c r="DD877" s="933"/>
      <c r="DE877" s="933"/>
      <c r="DF877" s="933"/>
      <c r="DG877" s="933"/>
      <c r="DH877" s="933"/>
      <c r="DI877" s="933"/>
      <c r="DJ877" s="933"/>
      <c r="DK877" s="933"/>
      <c r="DL877" s="933"/>
      <c r="DM877" s="933"/>
      <c r="DN877" s="933"/>
      <c r="DO877" s="933"/>
      <c r="DP877" s="933"/>
      <c r="DQ877" s="933"/>
      <c r="DR877" s="933"/>
      <c r="DS877" s="933"/>
      <c r="DT877" s="933"/>
      <c r="DU877" s="933"/>
      <c r="DV877" s="933"/>
      <c r="DW877" s="933"/>
      <c r="DX877" s="933"/>
      <c r="DY877" s="933"/>
      <c r="DZ877" s="933"/>
      <c r="EA877" s="933"/>
      <c r="EB877" s="933"/>
      <c r="EC877" s="933"/>
      <c r="ED877" s="933"/>
      <c r="EE877" s="933"/>
      <c r="EF877" s="933"/>
      <c r="EG877" s="933"/>
      <c r="EH877" s="933"/>
      <c r="EI877" s="933"/>
      <c r="EJ877" s="933"/>
      <c r="EK877" s="933"/>
      <c r="EL877" s="933"/>
      <c r="EM877" s="933"/>
      <c r="EN877" s="933"/>
      <c r="EO877" s="933"/>
      <c r="EP877" s="933"/>
      <c r="EQ877" s="933"/>
      <c r="ER877" s="933"/>
      <c r="ES877" s="933"/>
      <c r="ET877" s="933"/>
      <c r="EU877" s="933"/>
      <c r="EV877" s="933"/>
      <c r="EW877" s="933"/>
      <c r="EX877" s="933"/>
      <c r="EY877" s="933"/>
      <c r="EZ877" s="933"/>
      <c r="FA877" s="933"/>
      <c r="FB877" s="933"/>
      <c r="FC877" s="933"/>
      <c r="FD877" s="933"/>
      <c r="FE877" s="933"/>
      <c r="FF877" s="933"/>
      <c r="FG877" s="933"/>
      <c r="FH877" s="933"/>
      <c r="FI877" s="933"/>
      <c r="FJ877" s="933"/>
      <c r="FK877" s="933"/>
      <c r="FL877" s="933"/>
      <c r="FM877" s="933"/>
      <c r="FN877" s="933"/>
      <c r="FO877" s="933"/>
      <c r="FP877" s="933"/>
      <c r="FQ877" s="933"/>
      <c r="FR877" s="933"/>
      <c r="FS877" s="933"/>
      <c r="FT877" s="933"/>
      <c r="FU877" s="933"/>
      <c r="FV877" s="933"/>
      <c r="FW877" s="933"/>
      <c r="FX877" s="933"/>
      <c r="FY877" s="933"/>
      <c r="FZ877" s="933"/>
      <c r="GA877" s="933"/>
      <c r="GB877" s="933"/>
      <c r="GC877" s="933"/>
      <c r="GD877" s="933"/>
      <c r="GE877" s="933"/>
      <c r="GF877" s="933"/>
      <c r="GG877" s="933"/>
      <c r="GH877" s="933"/>
      <c r="GI877" s="933"/>
      <c r="GJ877" s="933"/>
      <c r="GK877" s="933"/>
      <c r="GL877" s="933"/>
      <c r="GM877" s="933"/>
      <c r="GN877" s="933"/>
      <c r="GO877" s="933"/>
      <c r="GP877" s="933"/>
      <c r="GQ877" s="933"/>
      <c r="GR877" s="933"/>
      <c r="GS877" s="933"/>
      <c r="GT877" s="933"/>
      <c r="GU877" s="933"/>
      <c r="GV877" s="933"/>
      <c r="GW877" s="933"/>
      <c r="GX877" s="933"/>
      <c r="GY877" s="933"/>
      <c r="GZ877" s="933"/>
      <c r="HA877" s="933"/>
      <c r="HB877" s="933"/>
      <c r="HC877" s="933"/>
      <c r="HD877" s="933"/>
      <c r="HE877" s="933"/>
      <c r="HF877" s="933"/>
      <c r="HG877" s="933"/>
      <c r="HH877" s="933"/>
      <c r="HI877" s="933"/>
      <c r="HJ877" s="933"/>
      <c r="HK877" s="933"/>
      <c r="HL877" s="933"/>
      <c r="HM877" s="933"/>
      <c r="HN877" s="933"/>
      <c r="HO877" s="933"/>
      <c r="HP877" s="933"/>
      <c r="HQ877" s="933"/>
      <c r="HR877" s="933"/>
      <c r="HS877" s="933"/>
      <c r="HT877" s="933"/>
      <c r="HU877" s="933"/>
      <c r="HV877" s="933"/>
      <c r="HW877" s="933"/>
      <c r="HX877" s="933"/>
      <c r="HY877" s="933"/>
      <c r="HZ877" s="933"/>
      <c r="IA877" s="933"/>
      <c r="IB877" s="933"/>
      <c r="IC877" s="933"/>
      <c r="ID877" s="933"/>
      <c r="IE877" s="933"/>
      <c r="IF877" s="933"/>
      <c r="IG877" s="933"/>
      <c r="IH877" s="933"/>
      <c r="II877" s="933"/>
      <c r="IJ877" s="933"/>
      <c r="IK877" s="933"/>
      <c r="IL877" s="933"/>
      <c r="IM877" s="933"/>
      <c r="IN877" s="933"/>
      <c r="IO877" s="933"/>
      <c r="IP877" s="933"/>
      <c r="IQ877" s="933"/>
      <c r="IR877" s="933"/>
      <c r="IS877" s="933"/>
      <c r="IT877" s="933"/>
      <c r="IU877" s="933"/>
      <c r="IV877" s="933"/>
    </row>
    <row r="878" spans="1:256" s="956" customFormat="1" ht="11.4">
      <c r="A878" s="957">
        <v>2</v>
      </c>
      <c r="B878" s="933" t="s">
        <v>141</v>
      </c>
      <c r="C878" s="933"/>
      <c r="D878" s="933" t="s">
        <v>859</v>
      </c>
      <c r="E878" s="933"/>
      <c r="F878" s="933"/>
      <c r="G878" s="936" t="s">
        <v>860</v>
      </c>
      <c r="H878" s="937">
        <v>620</v>
      </c>
      <c r="I878" s="933" t="s">
        <v>729</v>
      </c>
      <c r="J878" s="933"/>
      <c r="K878" s="940" t="s">
        <v>7</v>
      </c>
      <c r="L878" s="933"/>
      <c r="M878" s="933"/>
      <c r="N878" s="933"/>
      <c r="O878" s="938">
        <v>2</v>
      </c>
      <c r="P878" s="939"/>
      <c r="Q878" s="940">
        <v>0.2</v>
      </c>
      <c r="R878" s="941">
        <f t="shared" si="28"/>
        <v>0.4</v>
      </c>
      <c r="S878" s="940">
        <v>0.03</v>
      </c>
      <c r="T878" s="942">
        <f t="shared" si="29"/>
        <v>0.06</v>
      </c>
      <c r="U878" s="933"/>
      <c r="V878" s="933"/>
      <c r="W878" s="933"/>
      <c r="X878" s="933"/>
      <c r="Y878" s="933"/>
      <c r="Z878" s="933"/>
      <c r="AA878" s="933"/>
      <c r="AB878" s="933"/>
      <c r="AC878" s="933"/>
      <c r="AD878" s="933"/>
      <c r="AE878" s="933"/>
      <c r="AF878" s="933"/>
      <c r="AG878" s="933"/>
      <c r="AH878" s="933"/>
      <c r="AI878" s="933"/>
      <c r="AJ878" s="933"/>
      <c r="AK878" s="933"/>
      <c r="AL878" s="933"/>
      <c r="AM878" s="933"/>
      <c r="AN878" s="933"/>
      <c r="AO878" s="933"/>
      <c r="AP878" s="933"/>
      <c r="AQ878" s="933"/>
      <c r="AR878" s="933"/>
      <c r="AS878" s="933"/>
      <c r="AT878" s="933"/>
      <c r="AU878" s="933"/>
      <c r="AV878" s="933"/>
      <c r="AW878" s="933"/>
      <c r="AX878" s="933"/>
      <c r="AY878" s="933"/>
      <c r="AZ878" s="933"/>
      <c r="BA878" s="933"/>
      <c r="BB878" s="933"/>
      <c r="BC878" s="933"/>
      <c r="BD878" s="933"/>
      <c r="BE878" s="933"/>
      <c r="BF878" s="933"/>
      <c r="BG878" s="933"/>
      <c r="BH878" s="933"/>
      <c r="BI878" s="933"/>
      <c r="BJ878" s="933"/>
      <c r="BK878" s="933"/>
      <c r="BL878" s="933"/>
      <c r="BM878" s="933"/>
      <c r="BN878" s="933"/>
      <c r="BO878" s="933"/>
      <c r="BP878" s="933"/>
      <c r="BQ878" s="933"/>
      <c r="BR878" s="933"/>
      <c r="BS878" s="933"/>
      <c r="BT878" s="933"/>
      <c r="BU878" s="933"/>
      <c r="BV878" s="933"/>
      <c r="BW878" s="933"/>
      <c r="BX878" s="933"/>
      <c r="BY878" s="933"/>
      <c r="BZ878" s="933"/>
      <c r="CA878" s="933"/>
      <c r="CB878" s="933"/>
      <c r="CC878" s="933"/>
      <c r="CD878" s="933"/>
      <c r="CE878" s="933"/>
      <c r="CF878" s="933"/>
      <c r="CG878" s="933"/>
      <c r="CH878" s="933"/>
      <c r="CI878" s="933"/>
      <c r="CJ878" s="933"/>
      <c r="CK878" s="933"/>
      <c r="CL878" s="933"/>
      <c r="CM878" s="933"/>
      <c r="CN878" s="933"/>
      <c r="CO878" s="933"/>
      <c r="CP878" s="933"/>
      <c r="CQ878" s="933"/>
      <c r="CR878" s="933"/>
      <c r="CS878" s="933"/>
      <c r="CT878" s="933"/>
      <c r="CU878" s="933"/>
      <c r="CV878" s="933"/>
      <c r="CW878" s="933"/>
      <c r="CX878" s="933"/>
      <c r="CY878" s="933"/>
      <c r="CZ878" s="933"/>
      <c r="DA878" s="933"/>
      <c r="DB878" s="933"/>
      <c r="DC878" s="933"/>
      <c r="DD878" s="933"/>
      <c r="DE878" s="933"/>
      <c r="DF878" s="933"/>
      <c r="DG878" s="933"/>
      <c r="DH878" s="933"/>
      <c r="DI878" s="933"/>
      <c r="DJ878" s="933"/>
      <c r="DK878" s="933"/>
      <c r="DL878" s="933"/>
      <c r="DM878" s="933"/>
      <c r="DN878" s="933"/>
      <c r="DO878" s="933"/>
      <c r="DP878" s="933"/>
      <c r="DQ878" s="933"/>
      <c r="DR878" s="933"/>
      <c r="DS878" s="933"/>
      <c r="DT878" s="933"/>
      <c r="DU878" s="933"/>
      <c r="DV878" s="933"/>
      <c r="DW878" s="933"/>
      <c r="DX878" s="933"/>
      <c r="DY878" s="933"/>
      <c r="DZ878" s="933"/>
      <c r="EA878" s="933"/>
      <c r="EB878" s="933"/>
      <c r="EC878" s="933"/>
      <c r="ED878" s="933"/>
      <c r="EE878" s="933"/>
      <c r="EF878" s="933"/>
      <c r="EG878" s="933"/>
      <c r="EH878" s="933"/>
      <c r="EI878" s="933"/>
      <c r="EJ878" s="933"/>
      <c r="EK878" s="933"/>
      <c r="EL878" s="933"/>
      <c r="EM878" s="933"/>
      <c r="EN878" s="933"/>
      <c r="EO878" s="933"/>
      <c r="EP878" s="933"/>
      <c r="EQ878" s="933"/>
      <c r="ER878" s="933"/>
      <c r="ES878" s="933"/>
      <c r="ET878" s="933"/>
      <c r="EU878" s="933"/>
      <c r="EV878" s="933"/>
      <c r="EW878" s="933"/>
      <c r="EX878" s="933"/>
      <c r="EY878" s="933"/>
      <c r="EZ878" s="933"/>
      <c r="FA878" s="933"/>
      <c r="FB878" s="933"/>
      <c r="FC878" s="933"/>
      <c r="FD878" s="933"/>
      <c r="FE878" s="933"/>
      <c r="FF878" s="933"/>
      <c r="FG878" s="933"/>
      <c r="FH878" s="933"/>
      <c r="FI878" s="933"/>
      <c r="FJ878" s="933"/>
      <c r="FK878" s="933"/>
      <c r="FL878" s="933"/>
      <c r="FM878" s="933"/>
      <c r="FN878" s="933"/>
      <c r="FO878" s="933"/>
      <c r="FP878" s="933"/>
      <c r="FQ878" s="933"/>
      <c r="FR878" s="933"/>
      <c r="FS878" s="933"/>
      <c r="FT878" s="933"/>
      <c r="FU878" s="933"/>
      <c r="FV878" s="933"/>
      <c r="FW878" s="933"/>
      <c r="FX878" s="933"/>
      <c r="FY878" s="933"/>
      <c r="FZ878" s="933"/>
      <c r="GA878" s="933"/>
      <c r="GB878" s="933"/>
      <c r="GC878" s="933"/>
      <c r="GD878" s="933"/>
      <c r="GE878" s="933"/>
      <c r="GF878" s="933"/>
      <c r="GG878" s="933"/>
      <c r="GH878" s="933"/>
      <c r="GI878" s="933"/>
      <c r="GJ878" s="933"/>
      <c r="GK878" s="933"/>
      <c r="GL878" s="933"/>
      <c r="GM878" s="933"/>
      <c r="GN878" s="933"/>
      <c r="GO878" s="933"/>
      <c r="GP878" s="933"/>
      <c r="GQ878" s="933"/>
      <c r="GR878" s="933"/>
      <c r="GS878" s="933"/>
      <c r="GT878" s="933"/>
      <c r="GU878" s="933"/>
      <c r="GV878" s="933"/>
      <c r="GW878" s="933"/>
      <c r="GX878" s="933"/>
      <c r="GY878" s="933"/>
      <c r="GZ878" s="933"/>
      <c r="HA878" s="933"/>
      <c r="HB878" s="933"/>
      <c r="HC878" s="933"/>
      <c r="HD878" s="933"/>
      <c r="HE878" s="933"/>
      <c r="HF878" s="933"/>
      <c r="HG878" s="933"/>
      <c r="HH878" s="933"/>
      <c r="HI878" s="933"/>
      <c r="HJ878" s="933"/>
      <c r="HK878" s="933"/>
      <c r="HL878" s="933"/>
      <c r="HM878" s="933"/>
      <c r="HN878" s="933"/>
      <c r="HO878" s="933"/>
      <c r="HP878" s="933"/>
      <c r="HQ878" s="933"/>
      <c r="HR878" s="933"/>
      <c r="HS878" s="933"/>
      <c r="HT878" s="933"/>
      <c r="HU878" s="933"/>
      <c r="HV878" s="933"/>
      <c r="HW878" s="933"/>
      <c r="HX878" s="933"/>
      <c r="HY878" s="933"/>
      <c r="HZ878" s="933"/>
      <c r="IA878" s="933"/>
      <c r="IB878" s="933"/>
      <c r="IC878" s="933"/>
      <c r="ID878" s="933"/>
      <c r="IE878" s="933"/>
      <c r="IF878" s="933"/>
      <c r="IG878" s="933"/>
      <c r="IH878" s="933"/>
      <c r="II878" s="933"/>
      <c r="IJ878" s="933"/>
      <c r="IK878" s="933"/>
      <c r="IL878" s="933"/>
      <c r="IM878" s="933"/>
      <c r="IN878" s="933"/>
      <c r="IO878" s="933"/>
      <c r="IP878" s="933"/>
      <c r="IQ878" s="933"/>
      <c r="IR878" s="933"/>
      <c r="IS878" s="933"/>
      <c r="IT878" s="933"/>
      <c r="IU878" s="933"/>
      <c r="IV878" s="933"/>
    </row>
    <row r="879" spans="1:256" s="956" customFormat="1" ht="11.4">
      <c r="A879" s="957">
        <v>6</v>
      </c>
      <c r="B879" s="933" t="s">
        <v>141</v>
      </c>
      <c r="C879" s="933"/>
      <c r="D879" s="933" t="s">
        <v>861</v>
      </c>
      <c r="E879" s="933"/>
      <c r="F879" s="933"/>
      <c r="G879" s="936" t="s">
        <v>862</v>
      </c>
      <c r="H879" s="937">
        <v>620</v>
      </c>
      <c r="I879" s="933" t="s">
        <v>741</v>
      </c>
      <c r="J879" s="933"/>
      <c r="K879" s="940" t="s">
        <v>7</v>
      </c>
      <c r="L879" s="933"/>
      <c r="M879" s="933"/>
      <c r="N879" s="933"/>
      <c r="O879" s="938">
        <v>2</v>
      </c>
      <c r="P879" s="939">
        <v>34669</v>
      </c>
      <c r="Q879" s="940">
        <v>0.05</v>
      </c>
      <c r="R879" s="941">
        <f t="shared" si="28"/>
        <v>0.30000000000000004</v>
      </c>
      <c r="S879" s="940">
        <v>0.01</v>
      </c>
      <c r="T879" s="942">
        <f t="shared" si="29"/>
        <v>0.06</v>
      </c>
      <c r="U879" s="933"/>
      <c r="V879" s="933"/>
      <c r="W879" s="933"/>
      <c r="X879" s="933"/>
      <c r="Y879" s="933"/>
      <c r="Z879" s="933"/>
      <c r="AA879" s="933"/>
      <c r="AB879" s="933"/>
      <c r="AC879" s="933"/>
      <c r="AD879" s="933"/>
      <c r="AE879" s="933"/>
      <c r="AF879" s="933"/>
      <c r="AG879" s="933"/>
      <c r="AH879" s="933"/>
      <c r="AI879" s="933"/>
      <c r="AJ879" s="933"/>
      <c r="AK879" s="933"/>
      <c r="AL879" s="933"/>
      <c r="AM879" s="933"/>
      <c r="AN879" s="933"/>
      <c r="AO879" s="933"/>
      <c r="AP879" s="933"/>
      <c r="AQ879" s="933"/>
      <c r="AR879" s="933"/>
      <c r="AS879" s="933"/>
      <c r="AT879" s="933"/>
      <c r="AU879" s="933"/>
      <c r="AV879" s="933"/>
      <c r="AW879" s="933"/>
      <c r="AX879" s="933"/>
      <c r="AY879" s="933"/>
      <c r="AZ879" s="933"/>
      <c r="BA879" s="933"/>
      <c r="BB879" s="933"/>
      <c r="BC879" s="933"/>
      <c r="BD879" s="933"/>
      <c r="BE879" s="933"/>
      <c r="BF879" s="933"/>
      <c r="BG879" s="933"/>
      <c r="BH879" s="933"/>
      <c r="BI879" s="933"/>
      <c r="BJ879" s="933"/>
      <c r="BK879" s="933"/>
      <c r="BL879" s="933"/>
      <c r="BM879" s="933"/>
      <c r="BN879" s="933"/>
      <c r="BO879" s="933"/>
      <c r="BP879" s="933"/>
      <c r="BQ879" s="933"/>
      <c r="BR879" s="933"/>
      <c r="BS879" s="933"/>
      <c r="BT879" s="933"/>
      <c r="BU879" s="933"/>
      <c r="BV879" s="933"/>
      <c r="BW879" s="933"/>
      <c r="BX879" s="933"/>
      <c r="BY879" s="933"/>
      <c r="BZ879" s="933"/>
      <c r="CA879" s="933"/>
      <c r="CB879" s="933"/>
      <c r="CC879" s="933"/>
      <c r="CD879" s="933"/>
      <c r="CE879" s="933"/>
      <c r="CF879" s="933"/>
      <c r="CG879" s="933"/>
      <c r="CH879" s="933"/>
      <c r="CI879" s="933"/>
      <c r="CJ879" s="933"/>
      <c r="CK879" s="933"/>
      <c r="CL879" s="933"/>
      <c r="CM879" s="933"/>
      <c r="CN879" s="933"/>
      <c r="CO879" s="933"/>
      <c r="CP879" s="933"/>
      <c r="CQ879" s="933"/>
      <c r="CR879" s="933"/>
      <c r="CS879" s="933"/>
      <c r="CT879" s="933"/>
      <c r="CU879" s="933"/>
      <c r="CV879" s="933"/>
      <c r="CW879" s="933"/>
      <c r="CX879" s="933"/>
      <c r="CY879" s="933"/>
      <c r="CZ879" s="933"/>
      <c r="DA879" s="933"/>
      <c r="DB879" s="933"/>
      <c r="DC879" s="933"/>
      <c r="DD879" s="933"/>
      <c r="DE879" s="933"/>
      <c r="DF879" s="933"/>
      <c r="DG879" s="933"/>
      <c r="DH879" s="933"/>
      <c r="DI879" s="933"/>
      <c r="DJ879" s="933"/>
      <c r="DK879" s="933"/>
      <c r="DL879" s="933"/>
      <c r="DM879" s="933"/>
      <c r="DN879" s="933"/>
      <c r="DO879" s="933"/>
      <c r="DP879" s="933"/>
      <c r="DQ879" s="933"/>
      <c r="DR879" s="933"/>
      <c r="DS879" s="933"/>
      <c r="DT879" s="933"/>
      <c r="DU879" s="933"/>
      <c r="DV879" s="933"/>
      <c r="DW879" s="933"/>
      <c r="DX879" s="933"/>
      <c r="DY879" s="933"/>
      <c r="DZ879" s="933"/>
      <c r="EA879" s="933"/>
      <c r="EB879" s="933"/>
      <c r="EC879" s="933"/>
      <c r="ED879" s="933"/>
      <c r="EE879" s="933"/>
      <c r="EF879" s="933"/>
      <c r="EG879" s="933"/>
      <c r="EH879" s="933"/>
      <c r="EI879" s="933"/>
      <c r="EJ879" s="933"/>
      <c r="EK879" s="933"/>
      <c r="EL879" s="933"/>
      <c r="EM879" s="933"/>
      <c r="EN879" s="933"/>
      <c r="EO879" s="933"/>
      <c r="EP879" s="933"/>
      <c r="EQ879" s="933"/>
      <c r="ER879" s="933"/>
      <c r="ES879" s="933"/>
      <c r="ET879" s="933"/>
      <c r="EU879" s="933"/>
      <c r="EV879" s="933"/>
      <c r="EW879" s="933"/>
      <c r="EX879" s="933"/>
      <c r="EY879" s="933"/>
      <c r="EZ879" s="933"/>
      <c r="FA879" s="933"/>
      <c r="FB879" s="933"/>
      <c r="FC879" s="933"/>
      <c r="FD879" s="933"/>
      <c r="FE879" s="933"/>
      <c r="FF879" s="933"/>
      <c r="FG879" s="933"/>
      <c r="FH879" s="933"/>
      <c r="FI879" s="933"/>
      <c r="FJ879" s="933"/>
      <c r="FK879" s="933"/>
      <c r="FL879" s="933"/>
      <c r="FM879" s="933"/>
      <c r="FN879" s="933"/>
      <c r="FO879" s="933"/>
      <c r="FP879" s="933"/>
      <c r="FQ879" s="933"/>
      <c r="FR879" s="933"/>
      <c r="FS879" s="933"/>
      <c r="FT879" s="933"/>
      <c r="FU879" s="933"/>
      <c r="FV879" s="933"/>
      <c r="FW879" s="933"/>
      <c r="FX879" s="933"/>
      <c r="FY879" s="933"/>
      <c r="FZ879" s="933"/>
      <c r="GA879" s="933"/>
      <c r="GB879" s="933"/>
      <c r="GC879" s="933"/>
      <c r="GD879" s="933"/>
      <c r="GE879" s="933"/>
      <c r="GF879" s="933"/>
      <c r="GG879" s="933"/>
      <c r="GH879" s="933"/>
      <c r="GI879" s="933"/>
      <c r="GJ879" s="933"/>
      <c r="GK879" s="933"/>
      <c r="GL879" s="933"/>
      <c r="GM879" s="933"/>
      <c r="GN879" s="933"/>
      <c r="GO879" s="933"/>
      <c r="GP879" s="933"/>
      <c r="GQ879" s="933"/>
      <c r="GR879" s="933"/>
      <c r="GS879" s="933"/>
      <c r="GT879" s="933"/>
      <c r="GU879" s="933"/>
      <c r="GV879" s="933"/>
      <c r="GW879" s="933"/>
      <c r="GX879" s="933"/>
      <c r="GY879" s="933"/>
      <c r="GZ879" s="933"/>
      <c r="HA879" s="933"/>
      <c r="HB879" s="933"/>
      <c r="HC879" s="933"/>
      <c r="HD879" s="933"/>
      <c r="HE879" s="933"/>
      <c r="HF879" s="933"/>
      <c r="HG879" s="933"/>
      <c r="HH879" s="933"/>
      <c r="HI879" s="933"/>
      <c r="HJ879" s="933"/>
      <c r="HK879" s="933"/>
      <c r="HL879" s="933"/>
      <c r="HM879" s="933"/>
      <c r="HN879" s="933"/>
      <c r="HO879" s="933"/>
      <c r="HP879" s="933"/>
      <c r="HQ879" s="933"/>
      <c r="HR879" s="933"/>
      <c r="HS879" s="933"/>
      <c r="HT879" s="933"/>
      <c r="HU879" s="933"/>
      <c r="HV879" s="933"/>
      <c r="HW879" s="933"/>
      <c r="HX879" s="933"/>
      <c r="HY879" s="933"/>
      <c r="HZ879" s="933"/>
      <c r="IA879" s="933"/>
      <c r="IB879" s="933"/>
      <c r="IC879" s="933"/>
      <c r="ID879" s="933"/>
      <c r="IE879" s="933"/>
      <c r="IF879" s="933"/>
      <c r="IG879" s="933"/>
      <c r="IH879" s="933"/>
      <c r="II879" s="933"/>
      <c r="IJ879" s="933"/>
      <c r="IK879" s="933"/>
      <c r="IL879" s="933"/>
      <c r="IM879" s="933"/>
      <c r="IN879" s="933"/>
      <c r="IO879" s="933"/>
      <c r="IP879" s="933"/>
      <c r="IQ879" s="933"/>
      <c r="IR879" s="933"/>
      <c r="IS879" s="933"/>
      <c r="IT879" s="933"/>
      <c r="IU879" s="933"/>
      <c r="IV879" s="933"/>
    </row>
    <row r="880" spans="1:256" s="933" customFormat="1" ht="11.4">
      <c r="A880" s="957">
        <v>1</v>
      </c>
      <c r="B880" s="933" t="s">
        <v>141</v>
      </c>
      <c r="D880" s="933" t="s">
        <v>776</v>
      </c>
      <c r="F880" s="933" t="s">
        <v>901</v>
      </c>
      <c r="G880" s="936" t="s">
        <v>777</v>
      </c>
      <c r="H880" s="937">
        <v>900</v>
      </c>
      <c r="I880" s="933" t="s">
        <v>778</v>
      </c>
      <c r="K880" s="933" t="s">
        <v>7</v>
      </c>
      <c r="O880" s="938">
        <v>1</v>
      </c>
      <c r="P880" s="939"/>
      <c r="Q880" s="983"/>
      <c r="R880" s="941">
        <f>$A880*Q880</f>
        <v>0</v>
      </c>
      <c r="S880" s="940">
        <v>0.5</v>
      </c>
      <c r="T880" s="942">
        <f t="shared" si="29"/>
        <v>0.5</v>
      </c>
      <c r="U880" s="933" t="s">
        <v>863</v>
      </c>
    </row>
    <row r="881" spans="1:41" s="519" customFormat="1" ht="13.95" customHeight="1">
      <c r="A881" s="49"/>
      <c r="B881" s="528"/>
      <c r="C881" s="528"/>
      <c r="D881" s="528"/>
      <c r="E881" s="528"/>
      <c r="F881" s="528"/>
      <c r="G881" s="528"/>
      <c r="H881" s="801"/>
      <c r="I881" s="528"/>
      <c r="J881" s="48"/>
      <c r="K881" s="805"/>
      <c r="L881" s="806"/>
      <c r="M881" s="528"/>
      <c r="N881" s="528"/>
      <c r="O881" s="48"/>
      <c r="P881" s="528"/>
      <c r="Q881" s="528"/>
      <c r="R881" s="807">
        <f>$A881*Q881</f>
        <v>0</v>
      </c>
      <c r="S881" s="528"/>
      <c r="T881" s="643">
        <f>$A881*S881*$T$1</f>
        <v>0</v>
      </c>
    </row>
    <row r="882" spans="1:41" s="519" customFormat="1" ht="12">
      <c r="A882" s="808" t="s">
        <v>145</v>
      </c>
      <c r="B882" s="809">
        <f>(R881+T881)</f>
        <v>0</v>
      </c>
      <c r="C882" s="641"/>
      <c r="G882" s="810"/>
      <c r="H882" s="810"/>
      <c r="I882" s="810"/>
      <c r="J882" s="810"/>
      <c r="K882" s="811" t="s">
        <v>3</v>
      </c>
      <c r="L882" s="812" t="s">
        <v>590</v>
      </c>
      <c r="M882" s="810"/>
      <c r="N882" s="810"/>
      <c r="O882" s="810"/>
      <c r="P882" s="810"/>
      <c r="Q882" s="813"/>
      <c r="R882" s="814">
        <f>SUM(R871:R881)</f>
        <v>119.48</v>
      </c>
      <c r="S882" s="815"/>
      <c r="T882" s="814">
        <f>SUM(T871:T881)</f>
        <v>8.6300000000000008</v>
      </c>
      <c r="AG882" s="816">
        <f>ROUND($R882*$S$2,2)</f>
        <v>119.48</v>
      </c>
    </row>
    <row r="883" spans="1:41" s="519" customFormat="1" ht="12" customHeight="1">
      <c r="A883" s="817"/>
      <c r="B883" s="818"/>
      <c r="C883" s="819"/>
      <c r="D883" s="819" t="str">
        <f>$F$3</f>
        <v>ECA</v>
      </c>
      <c r="E883" s="819">
        <f>ROUND(($R887*$S$3 + ($T887*$T$3)), 2)</f>
        <v>1197.22</v>
      </c>
      <c r="F883" s="820">
        <f ca="1">$F868-SUMIF($L870:$P873,"SUBI",$F870:$F873)</f>
        <v>1197.22</v>
      </c>
      <c r="G883" s="518"/>
      <c r="H883" s="518"/>
      <c r="I883" s="518"/>
      <c r="J883" s="518"/>
      <c r="K883" s="802" t="s">
        <v>5</v>
      </c>
      <c r="L883" s="803" t="s">
        <v>590</v>
      </c>
      <c r="M883" s="518"/>
      <c r="N883" s="518"/>
      <c r="O883" s="518"/>
      <c r="P883" s="518"/>
      <c r="Q883" s="518"/>
      <c r="R883" s="821"/>
      <c r="S883" s="518"/>
      <c r="T883" s="821"/>
    </row>
    <row r="884" spans="1:41" s="933" customFormat="1" ht="13.2">
      <c r="A884">
        <v>1</v>
      </c>
      <c r="B884" s="933" t="s">
        <v>141</v>
      </c>
      <c r="D884" s="933" t="s">
        <v>785</v>
      </c>
      <c r="E884" s="935" t="s">
        <v>806</v>
      </c>
      <c r="F884" s="933" t="s">
        <v>974</v>
      </c>
      <c r="G884" s="936" t="s">
        <v>786</v>
      </c>
      <c r="H884" s="937">
        <v>570</v>
      </c>
      <c r="I884" s="933" t="s">
        <v>729</v>
      </c>
      <c r="O884" s="938">
        <v>2</v>
      </c>
      <c r="P884" s="939">
        <v>38443</v>
      </c>
      <c r="Q884" s="1058">
        <v>1059.92</v>
      </c>
      <c r="R884" s="941">
        <f>$A884*Q884</f>
        <v>1059.92</v>
      </c>
      <c r="S884" s="940"/>
      <c r="T884" s="942">
        <f>$A884*S884*$T$1</f>
        <v>0</v>
      </c>
    </row>
    <row r="885" spans="1:41" s="933" customFormat="1" ht="13.2">
      <c r="A885">
        <v>1</v>
      </c>
      <c r="B885" s="933" t="s">
        <v>141</v>
      </c>
      <c r="D885" s="933" t="s">
        <v>785</v>
      </c>
      <c r="E885" s="935" t="s">
        <v>885</v>
      </c>
      <c r="F885" s="933" t="s">
        <v>974</v>
      </c>
      <c r="G885" s="936" t="s">
        <v>786</v>
      </c>
      <c r="H885" s="937">
        <v>570</v>
      </c>
      <c r="I885" s="933" t="s">
        <v>729</v>
      </c>
      <c r="O885" s="938">
        <v>2</v>
      </c>
      <c r="P885" s="939">
        <v>38443</v>
      </c>
      <c r="Q885" s="940"/>
      <c r="R885" s="941">
        <f>$A885*Q885</f>
        <v>0</v>
      </c>
      <c r="S885" s="1058">
        <v>5</v>
      </c>
      <c r="T885" s="942">
        <f>$A885*S885*$T$1</f>
        <v>5</v>
      </c>
    </row>
    <row r="886" spans="1:41" s="519" customFormat="1" ht="13.2">
      <c r="A886" s="49"/>
      <c r="B886" s="528"/>
      <c r="C886" s="528"/>
      <c r="D886" s="3"/>
      <c r="E886" s="528"/>
      <c r="F886" s="528"/>
      <c r="G886" s="528"/>
      <c r="H886" s="528"/>
      <c r="I886" s="528"/>
      <c r="J886" s="528"/>
      <c r="K886" s="528"/>
      <c r="L886" s="806"/>
      <c r="M886" s="528"/>
      <c r="N886" s="528"/>
      <c r="O886" s="528"/>
      <c r="P886" s="528"/>
      <c r="Q886" s="528"/>
      <c r="R886" s="807">
        <f>$A886*Q886</f>
        <v>0</v>
      </c>
      <c r="S886" s="528"/>
      <c r="T886" s="643">
        <f>$A886*S886*$T$1</f>
        <v>0</v>
      </c>
    </row>
    <row r="887" spans="1:41" s="519" customFormat="1" ht="12" customHeight="1">
      <c r="A887" s="835" t="s">
        <v>145</v>
      </c>
      <c r="B887" s="836">
        <f>(R886+T886)</f>
        <v>0</v>
      </c>
      <c r="C887" s="837"/>
      <c r="D887" s="837"/>
      <c r="E887" s="837"/>
      <c r="F887" s="837"/>
      <c r="G887" s="813"/>
      <c r="H887" s="813"/>
      <c r="I887" s="813"/>
      <c r="J887" s="813"/>
      <c r="K887" s="838" t="s">
        <v>5</v>
      </c>
      <c r="L887" s="839" t="s">
        <v>590</v>
      </c>
      <c r="M887" s="813"/>
      <c r="N887" s="813"/>
      <c r="O887" s="813"/>
      <c r="P887" s="813"/>
      <c r="Q887" s="813"/>
      <c r="R887" s="814">
        <f>SUM(R883:R886)</f>
        <v>1059.92</v>
      </c>
      <c r="S887" s="815"/>
      <c r="T887" s="814">
        <f>SUM(T883:T886)</f>
        <v>5</v>
      </c>
      <c r="AG887" s="840">
        <f>ROUND($R887*$S$3,2)</f>
        <v>1059.92</v>
      </c>
    </row>
    <row r="888" spans="1:41" s="519" customFormat="1" ht="12.75" customHeight="1">
      <c r="A888" s="841"/>
      <c r="B888" s="842"/>
      <c r="E888" s="641"/>
      <c r="F888" s="843"/>
      <c r="G888" s="641"/>
      <c r="H888" s="641"/>
      <c r="I888" s="518"/>
      <c r="J888" s="641"/>
      <c r="K888" s="641"/>
      <c r="L888" s="844"/>
      <c r="M888" s="652"/>
      <c r="N888" s="652"/>
      <c r="O888" s="652"/>
      <c r="P888" s="652"/>
      <c r="Q888" s="653"/>
      <c r="R888" s="821"/>
      <c r="S888" s="641"/>
      <c r="T888" s="821"/>
    </row>
    <row r="889" spans="1:41" s="519" customFormat="1" ht="13.5" customHeight="1" thickBot="1">
      <c r="A889" s="845"/>
      <c r="B889" s="846"/>
      <c r="C889" s="529"/>
      <c r="D889" s="529"/>
      <c r="E889" s="646"/>
      <c r="F889" s="647"/>
      <c r="G889" s="646" t="s">
        <v>146</v>
      </c>
      <c r="H889" s="646"/>
      <c r="I889" s="648"/>
      <c r="J889" s="646"/>
      <c r="K889" s="646"/>
      <c r="L889" s="847" t="s">
        <v>143</v>
      </c>
      <c r="M889" s="649"/>
      <c r="N889" s="649"/>
      <c r="O889" s="649"/>
      <c r="P889" s="649"/>
      <c r="Q889" s="650"/>
      <c r="R889" s="848">
        <f>SUMIF($L869:$L888,"SUBI",R869:R888)</f>
        <v>1179.4000000000001</v>
      </c>
      <c r="S889" s="646"/>
      <c r="T889" s="848">
        <f>SUMIF($L869:$L888,"SUBI",T869:T888)</f>
        <v>13.63</v>
      </c>
      <c r="U889" s="529"/>
      <c r="V889" s="529"/>
      <c r="W889" s="529"/>
      <c r="X889" s="529"/>
      <c r="Y889" s="529"/>
      <c r="Z889" s="529"/>
      <c r="AA889" s="529"/>
      <c r="AB889" s="529"/>
      <c r="AC889" s="529"/>
      <c r="AD889" s="529"/>
      <c r="AE889" s="529"/>
      <c r="AF889" s="529"/>
      <c r="AG889" s="529"/>
      <c r="AH889" s="529"/>
      <c r="AI889" s="529"/>
      <c r="AJ889" s="529"/>
      <c r="AK889" s="529"/>
      <c r="AL889" s="529"/>
      <c r="AM889" s="529"/>
      <c r="AN889" s="529"/>
      <c r="AO889" s="529"/>
    </row>
    <row r="890" spans="1:41" s="519" customFormat="1" thickTop="1">
      <c r="A890" s="47"/>
      <c r="B890" s="40"/>
      <c r="C890" s="47"/>
      <c r="E890" s="41" t="s">
        <v>138</v>
      </c>
      <c r="F890" s="41" t="s">
        <v>139</v>
      </c>
      <c r="G890" s="47"/>
      <c r="H890" s="47"/>
      <c r="I890" s="47"/>
      <c r="J890" s="47"/>
      <c r="K890" s="47" t="s">
        <v>140</v>
      </c>
      <c r="L890" s="774"/>
      <c r="M890" s="47"/>
      <c r="N890" s="47"/>
      <c r="O890" s="48"/>
      <c r="P890" s="47"/>
      <c r="Q890"/>
      <c r="R890"/>
      <c r="S890"/>
      <c r="T890" s="40"/>
      <c r="AG890" s="627" t="s">
        <v>277</v>
      </c>
      <c r="AH890" s="627" t="s">
        <v>278</v>
      </c>
      <c r="AI890" s="627" t="s">
        <v>279</v>
      </c>
      <c r="AJ890" s="627" t="s">
        <v>280</v>
      </c>
      <c r="AK890" s="627" t="s">
        <v>281</v>
      </c>
      <c r="AM890" s="628" t="s">
        <v>290</v>
      </c>
      <c r="AN890" s="629" t="s">
        <v>291</v>
      </c>
      <c r="AO890" s="520" t="s">
        <v>287</v>
      </c>
    </row>
    <row r="891" spans="1:41" s="519" customFormat="1" ht="13.2">
      <c r="A891" s="630">
        <v>1</v>
      </c>
      <c r="B891" s="521" t="s">
        <v>339</v>
      </c>
      <c r="C891" s="631"/>
      <c r="D891" s="632" t="s">
        <v>666</v>
      </c>
      <c r="E891" s="775">
        <f ca="1">IF(AND($A891=0,$A$1="DIF"),0, ROUND(ROUND(SUMIF($L893:$L929,"SUBI",$E893:$E929)/$A891,2)*$C$12,2))</f>
        <v>8822.2000000000007</v>
      </c>
      <c r="F891" s="776">
        <f ca="1">ROUND($A891*$E891,2)</f>
        <v>8822.2000000000007</v>
      </c>
      <c r="G891" s="635" t="s">
        <v>142</v>
      </c>
      <c r="H891" s="636"/>
      <c r="I891" s="637"/>
      <c r="J891" s="636"/>
      <c r="K891" s="777"/>
      <c r="L891" s="778" t="s">
        <v>143</v>
      </c>
      <c r="M891" s="638"/>
      <c r="N891" s="638"/>
      <c r="O891" s="638"/>
      <c r="P891" s="638"/>
      <c r="Q891"/>
      <c r="R891"/>
      <c r="S891"/>
      <c r="T891" s="779" t="str">
        <f ca="1">IF(AND($R936=0,$T936=0),"0.00","mu :" &amp; ROUND($F891/$C$12/($R936+$T936*$D$9),2))</f>
        <v>mu :1</v>
      </c>
      <c r="W891" s="522"/>
      <c r="AG891" s="780">
        <f ca="1">IF(A891=0,0,ROUND(SUM(AG893:AG936)/A891,2))</f>
        <v>7284.71</v>
      </c>
      <c r="AH891" s="780">
        <f ca="1">$AG891*$A891</f>
        <v>7284.71</v>
      </c>
      <c r="AI891" s="780">
        <f ca="1">$E891-$AG891</f>
        <v>1537.4900000000007</v>
      </c>
      <c r="AJ891" s="780">
        <f ca="1">$A891*$AI891</f>
        <v>1537.4900000000007</v>
      </c>
      <c r="AK891" s="781">
        <f ca="1">ROUND(($AG891+$AI891)*$A891,2)</f>
        <v>8822.2000000000007</v>
      </c>
      <c r="AM891" s="525">
        <f ca="1">ROUND(R936,2)</f>
        <v>7284.71</v>
      </c>
      <c r="AN891" s="526">
        <f ca="1">ROUND(T936,2)</f>
        <v>55.99</v>
      </c>
      <c r="AO891" s="527">
        <f ca="1">ROUND(AM891+AN891,2)*A891</f>
        <v>7340.7</v>
      </c>
    </row>
    <row r="892" spans="1:41" s="519" customFormat="1" ht="39.9" customHeight="1">
      <c r="A892" s="782"/>
      <c r="B892" s="783"/>
      <c r="C892" s="631"/>
      <c r="D892" s="981" t="s">
        <v>667</v>
      </c>
      <c r="E892" s="980"/>
      <c r="F892" s="980"/>
      <c r="G892" s="980"/>
      <c r="H892" s="980"/>
      <c r="I892" s="980"/>
      <c r="J892" s="980"/>
      <c r="K892" s="980"/>
      <c r="L892" s="980"/>
      <c r="M892" s="980"/>
      <c r="N892" s="980"/>
      <c r="O892" s="980"/>
      <c r="P892" s="980"/>
      <c r="Q892" s="980"/>
      <c r="R892" s="980"/>
      <c r="S892" s="980"/>
      <c r="T892" s="980"/>
    </row>
    <row r="893" spans="1:41" s="519" customFormat="1" ht="12">
      <c r="A893" s="786"/>
      <c r="B893" s="787"/>
      <c r="C893" s="641"/>
      <c r="D893" s="636"/>
      <c r="E893" s="788">
        <f ca="1">F891/$C$12-SUMIF($L890:$L936,"SUBI",$E890:$E936)</f>
        <v>0</v>
      </c>
      <c r="F893" s="789" t="s">
        <v>589</v>
      </c>
      <c r="G893" s="790"/>
      <c r="H893" s="790"/>
      <c r="I893" s="791"/>
      <c r="J893" s="790"/>
      <c r="K893" s="790"/>
      <c r="L893" s="792"/>
      <c r="M893" s="793"/>
      <c r="N893" s="793"/>
      <c r="O893" s="793"/>
      <c r="P893" s="793"/>
      <c r="Q893" s="794"/>
      <c r="R893" s="795"/>
      <c r="S893" s="794"/>
      <c r="T893" s="796"/>
    </row>
    <row r="894" spans="1:41" s="519" customFormat="1" ht="12" customHeight="1">
      <c r="A894" s="797"/>
      <c r="B894" s="798"/>
      <c r="C894" s="799"/>
      <c r="D894" s="799" t="str">
        <f>$F$2</f>
        <v>Electrical</v>
      </c>
      <c r="E894" s="799">
        <f ca="1">ROUND(($R928*$S$2 + ($T928*$T$2)), 2)</f>
        <v>1410.89</v>
      </c>
      <c r="F894" s="800">
        <f ca="1">$E894*$C$12</f>
        <v>1410.89</v>
      </c>
      <c r="G894" s="528"/>
      <c r="H894" s="801"/>
      <c r="I894" s="528"/>
      <c r="J894" s="48"/>
      <c r="K894" s="802" t="s">
        <v>3</v>
      </c>
      <c r="L894" s="803" t="s">
        <v>590</v>
      </c>
      <c r="M894" s="528"/>
      <c r="N894" s="528"/>
      <c r="O894" s="48"/>
      <c r="P894" s="528"/>
      <c r="Q894" s="528"/>
      <c r="R894"/>
      <c r="S894"/>
      <c r="T894"/>
    </row>
    <row r="895" spans="1:41" s="933" customFormat="1" ht="13.2">
      <c r="A895">
        <v>1</v>
      </c>
      <c r="B895" s="933" t="s">
        <v>141</v>
      </c>
      <c r="D895" s="933" t="s">
        <v>785</v>
      </c>
      <c r="E895" s="935" t="s">
        <v>807</v>
      </c>
      <c r="F895" s="933" t="s">
        <v>803</v>
      </c>
      <c r="G895" s="936" t="s">
        <v>786</v>
      </c>
      <c r="H895" s="937">
        <v>570</v>
      </c>
      <c r="I895" s="933" t="s">
        <v>729</v>
      </c>
      <c r="O895" s="938">
        <v>2</v>
      </c>
      <c r="P895" s="939">
        <v>38443</v>
      </c>
      <c r="Q895" s="940"/>
      <c r="R895" s="941">
        <f>$A895*Q895</f>
        <v>0</v>
      </c>
      <c r="S895" s="940">
        <f>8+18</f>
        <v>26</v>
      </c>
      <c r="T895" s="942">
        <f>$A895*S895*$T$1</f>
        <v>26</v>
      </c>
    </row>
    <row r="896" spans="1:41" s="933" customFormat="1" ht="13.2">
      <c r="A896">
        <v>1</v>
      </c>
      <c r="B896" s="933" t="s">
        <v>141</v>
      </c>
      <c r="D896" s="933" t="s">
        <v>787</v>
      </c>
      <c r="G896" s="936" t="s">
        <v>788</v>
      </c>
      <c r="H896" s="937">
        <v>501</v>
      </c>
      <c r="I896" s="933" t="s">
        <v>729</v>
      </c>
      <c r="K896" s="933" t="s">
        <v>789</v>
      </c>
      <c r="O896" s="938">
        <v>1</v>
      </c>
      <c r="P896" s="939"/>
      <c r="Q896" s="1058">
        <v>100</v>
      </c>
      <c r="R896" s="941">
        <f>$A896*Q896</f>
        <v>100</v>
      </c>
      <c r="S896" s="940"/>
      <c r="T896" s="942">
        <f>$A896*S896*$T$1</f>
        <v>0</v>
      </c>
    </row>
    <row r="897" spans="1:28" s="956" customFormat="1" ht="13.2">
      <c r="A897"/>
      <c r="B897" s="948"/>
      <c r="C897" s="948" t="s">
        <v>742</v>
      </c>
      <c r="D897" s="948" t="str">
        <f ca="1">CELL("Address",Elec_Rates!D$121)</f>
        <v>[ELM25_0085_Quintano_Elec_Mech_HVAC_Est_Rev_B.xlsx]Elec_Rates!$D$121</v>
      </c>
      <c r="E897" s="949"/>
      <c r="F897" s="949"/>
      <c r="G897" s="950" t="s">
        <v>743</v>
      </c>
      <c r="H897" s="950"/>
      <c r="I897" s="950"/>
      <c r="J897" s="950"/>
      <c r="K897" s="951"/>
      <c r="L897" s="949"/>
      <c r="M897" s="949"/>
      <c r="N897" s="949"/>
      <c r="O897" s="952"/>
      <c r="P897" s="949"/>
      <c r="Q897" s="953"/>
      <c r="R897" s="954"/>
      <c r="S897" s="953"/>
      <c r="T897" s="943"/>
      <c r="U897" s="955"/>
    </row>
    <row r="898" spans="1:28" s="956" customFormat="1" ht="11.4">
      <c r="A898" s="957">
        <v>3</v>
      </c>
      <c r="B898" s="958">
        <v>1</v>
      </c>
      <c r="C898" s="958">
        <f>$A898*$B898</f>
        <v>3</v>
      </c>
      <c r="D898" s="959" t="str">
        <f>Elec_Rates!$D$121</f>
        <v>073# 300mm cable Tray c/w bracket to wall</v>
      </c>
      <c r="E898" s="959"/>
      <c r="F898" s="959" t="s">
        <v>744</v>
      </c>
      <c r="G898" s="960" t="s">
        <v>745</v>
      </c>
      <c r="H898" s="960"/>
      <c r="I898" s="960"/>
      <c r="J898" s="960"/>
      <c r="K898" s="961"/>
      <c r="L898" s="955"/>
      <c r="M898" s="955"/>
      <c r="N898" s="955"/>
      <c r="O898" s="962"/>
      <c r="P898" s="959"/>
      <c r="Q898" s="963">
        <f ca="1">$B898*Elec_Rates!$R$121</f>
        <v>8.66</v>
      </c>
      <c r="R898" s="954">
        <f ca="1">$A898*Q898</f>
        <v>25.98</v>
      </c>
      <c r="S898" s="963">
        <f ca="1">$B898*Elec_Rates!$T$121</f>
        <v>0.56000000000000005</v>
      </c>
      <c r="T898" s="943">
        <f ca="1">$A898*S898</f>
        <v>1.6800000000000002</v>
      </c>
      <c r="U898" s="501"/>
    </row>
    <row r="899" spans="1:28" s="933" customFormat="1" ht="13.2">
      <c r="A899"/>
      <c r="D899" s="978" t="s">
        <v>849</v>
      </c>
      <c r="G899" s="936"/>
      <c r="H899" s="937"/>
      <c r="O899" s="938"/>
      <c r="P899" s="939"/>
      <c r="Q899" s="940"/>
      <c r="R899" s="941"/>
      <c r="S899" s="940"/>
      <c r="T899" s="942"/>
    </row>
    <row r="900" spans="1:28" s="933" customFormat="1" ht="11.4">
      <c r="A900" s="1059">
        <v>0</v>
      </c>
      <c r="B900" s="933" t="s">
        <v>311</v>
      </c>
      <c r="C900" s="957">
        <f>3*5</f>
        <v>15</v>
      </c>
      <c r="D900" s="933" t="s">
        <v>757</v>
      </c>
      <c r="E900" s="934" t="s">
        <v>726</v>
      </c>
      <c r="F900" s="935" t="s">
        <v>727</v>
      </c>
      <c r="G900" s="936" t="s">
        <v>758</v>
      </c>
      <c r="H900" s="937">
        <v>616</v>
      </c>
      <c r="I900" s="933" t="s">
        <v>729</v>
      </c>
      <c r="J900" s="933" t="s">
        <v>750</v>
      </c>
      <c r="K900" s="933" t="s">
        <v>759</v>
      </c>
      <c r="O900" s="938">
        <v>2</v>
      </c>
      <c r="P900" s="939">
        <v>38371</v>
      </c>
      <c r="Q900" s="940">
        <v>11.19</v>
      </c>
      <c r="R900" s="941">
        <f t="shared" ref="R900:R904" si="30">$A900*Q900</f>
        <v>0</v>
      </c>
      <c r="S900" s="940">
        <v>7.0000000000000007E-2</v>
      </c>
      <c r="T900" s="942">
        <f t="shared" ref="T900:T905" si="31">$A900*S900*$T$1</f>
        <v>0</v>
      </c>
      <c r="U900" s="985"/>
      <c r="V900" s="985"/>
      <c r="W900" s="985"/>
      <c r="X900" s="985"/>
      <c r="Y900" s="985"/>
      <c r="Z900" s="985"/>
      <c r="AA900" s="985"/>
      <c r="AB900" s="985"/>
    </row>
    <row r="901" spans="1:28" s="933" customFormat="1" ht="11.4">
      <c r="A901" s="1059">
        <v>0</v>
      </c>
      <c r="B901" s="933" t="s">
        <v>141</v>
      </c>
      <c r="C901" s="957">
        <v>15</v>
      </c>
      <c r="D901" s="933" t="s">
        <v>731</v>
      </c>
      <c r="G901" s="936" t="s">
        <v>732</v>
      </c>
      <c r="H901" s="937">
        <v>875</v>
      </c>
      <c r="I901" s="933" t="s">
        <v>729</v>
      </c>
      <c r="K901" s="933" t="s">
        <v>733</v>
      </c>
      <c r="O901" s="938">
        <v>1</v>
      </c>
      <c r="P901" s="939">
        <v>34669</v>
      </c>
      <c r="Q901" s="940">
        <v>0.05</v>
      </c>
      <c r="R901" s="941">
        <f t="shared" si="30"/>
        <v>0</v>
      </c>
      <c r="S901" s="940"/>
      <c r="T901" s="942">
        <f t="shared" si="31"/>
        <v>0</v>
      </c>
      <c r="U901" s="985"/>
      <c r="V901" s="985"/>
      <c r="W901" s="985"/>
      <c r="X901" s="985"/>
      <c r="Y901" s="985"/>
      <c r="Z901" s="985"/>
      <c r="AA901" s="985"/>
      <c r="AB901" s="985"/>
    </row>
    <row r="902" spans="1:28" s="933" customFormat="1" ht="11.4">
      <c r="A902" s="1059">
        <v>0</v>
      </c>
      <c r="B902" s="933" t="s">
        <v>141</v>
      </c>
      <c r="C902" s="957">
        <v>6</v>
      </c>
      <c r="D902" s="933" t="s">
        <v>752</v>
      </c>
      <c r="G902" s="936" t="s">
        <v>753</v>
      </c>
      <c r="H902" s="937">
        <v>620</v>
      </c>
      <c r="I902" s="933" t="s">
        <v>736</v>
      </c>
      <c r="O902" s="938">
        <v>2</v>
      </c>
      <c r="P902" s="939">
        <v>35431</v>
      </c>
      <c r="Q902" s="940">
        <v>4.71</v>
      </c>
      <c r="R902" s="941">
        <f t="shared" si="30"/>
        <v>0</v>
      </c>
      <c r="S902" s="940">
        <v>0.35000000000000003</v>
      </c>
      <c r="T902" s="942">
        <f t="shared" si="31"/>
        <v>0</v>
      </c>
      <c r="U902" s="985"/>
      <c r="V902" s="985"/>
      <c r="W902" s="985"/>
      <c r="X902" s="985"/>
      <c r="Y902" s="985"/>
      <c r="Z902" s="985"/>
      <c r="AA902" s="985"/>
      <c r="AB902" s="985"/>
    </row>
    <row r="903" spans="1:28" s="933" customFormat="1" ht="11.4">
      <c r="A903" s="1059">
        <v>0</v>
      </c>
      <c r="B903" s="933" t="s">
        <v>311</v>
      </c>
      <c r="C903" s="957">
        <v>6</v>
      </c>
      <c r="D903" s="933" t="s">
        <v>737</v>
      </c>
      <c r="G903" s="936" t="s">
        <v>738</v>
      </c>
      <c r="H903" s="937">
        <v>620</v>
      </c>
      <c r="I903" s="933" t="s">
        <v>729</v>
      </c>
      <c r="O903" s="938">
        <v>2</v>
      </c>
      <c r="P903" s="939">
        <v>38148</v>
      </c>
      <c r="Q903" s="940">
        <v>1.5</v>
      </c>
      <c r="R903" s="941">
        <f t="shared" si="30"/>
        <v>0</v>
      </c>
      <c r="S903" s="940">
        <v>0.08</v>
      </c>
      <c r="T903" s="942">
        <f t="shared" si="31"/>
        <v>0</v>
      </c>
      <c r="U903" s="985"/>
      <c r="V903" s="985"/>
      <c r="W903" s="985"/>
      <c r="X903" s="985"/>
      <c r="Y903" s="985"/>
      <c r="Z903" s="985"/>
      <c r="AA903" s="985"/>
      <c r="AB903" s="985"/>
    </row>
    <row r="904" spans="1:28" s="933" customFormat="1" ht="11.4">
      <c r="A904" s="1059">
        <v>0</v>
      </c>
      <c r="B904" s="933" t="s">
        <v>141</v>
      </c>
      <c r="C904" s="957">
        <f>6*5</f>
        <v>30</v>
      </c>
      <c r="D904" s="933" t="s">
        <v>754</v>
      </c>
      <c r="G904" s="936" t="s">
        <v>755</v>
      </c>
      <c r="H904" s="937">
        <v>620</v>
      </c>
      <c r="I904" s="933" t="s">
        <v>741</v>
      </c>
      <c r="O904" s="938">
        <v>2</v>
      </c>
      <c r="P904" s="939">
        <v>34669</v>
      </c>
      <c r="Q904" s="940">
        <v>0.05</v>
      </c>
      <c r="R904" s="941">
        <f t="shared" si="30"/>
        <v>0</v>
      </c>
      <c r="S904" s="940">
        <v>0.02</v>
      </c>
      <c r="T904" s="942">
        <f t="shared" si="31"/>
        <v>0</v>
      </c>
      <c r="U904" s="985"/>
      <c r="V904" s="985"/>
      <c r="W904" s="985"/>
      <c r="X904" s="985"/>
      <c r="Y904" s="985"/>
      <c r="Z904" s="985"/>
      <c r="AA904" s="985"/>
      <c r="AB904" s="985"/>
    </row>
    <row r="905" spans="1:28" s="933" customFormat="1" ht="13.2">
      <c r="A905" s="1060">
        <v>0</v>
      </c>
      <c r="B905" s="933" t="s">
        <v>141</v>
      </c>
      <c r="C905">
        <v>3</v>
      </c>
      <c r="D905" s="933" t="s">
        <v>785</v>
      </c>
      <c r="E905" s="935" t="s">
        <v>846</v>
      </c>
      <c r="F905" s="933" t="s">
        <v>803</v>
      </c>
      <c r="G905" s="936" t="s">
        <v>786</v>
      </c>
      <c r="H905" s="937">
        <v>570</v>
      </c>
      <c r="I905" s="933" t="s">
        <v>729</v>
      </c>
      <c r="O905" s="938">
        <v>2</v>
      </c>
      <c r="P905" s="939">
        <v>38443</v>
      </c>
      <c r="Q905" s="940">
        <v>10</v>
      </c>
      <c r="R905" s="941">
        <f>$A905*Q905</f>
        <v>0</v>
      </c>
      <c r="S905" s="940">
        <v>2</v>
      </c>
      <c r="T905" s="942">
        <f t="shared" si="31"/>
        <v>0</v>
      </c>
    </row>
    <row r="906" spans="1:28" s="933" customFormat="1" ht="13.2">
      <c r="A906" s="957"/>
      <c r="C906"/>
      <c r="D906" s="978" t="s">
        <v>849</v>
      </c>
      <c r="G906" s="936"/>
      <c r="H906" s="937"/>
      <c r="O906" s="938"/>
      <c r="P906" s="939"/>
      <c r="Q906" s="940"/>
      <c r="R906" s="941"/>
      <c r="S906" s="940"/>
      <c r="T906" s="942"/>
    </row>
    <row r="907" spans="1:28" s="933" customFormat="1" ht="11.4">
      <c r="A907" s="1059">
        <v>0</v>
      </c>
      <c r="B907" s="985" t="s">
        <v>311</v>
      </c>
      <c r="C907" s="957">
        <f>3*5</f>
        <v>15</v>
      </c>
      <c r="D907" s="985" t="s">
        <v>771</v>
      </c>
      <c r="E907" s="991" t="s">
        <v>726</v>
      </c>
      <c r="F907" s="992" t="s">
        <v>727</v>
      </c>
      <c r="G907" s="986" t="s">
        <v>772</v>
      </c>
      <c r="H907" s="987">
        <v>616</v>
      </c>
      <c r="I907" s="985" t="s">
        <v>729</v>
      </c>
      <c r="J907" s="985" t="s">
        <v>773</v>
      </c>
      <c r="K907" s="985"/>
      <c r="L907" s="985"/>
      <c r="M907" s="985"/>
      <c r="N907" s="985"/>
      <c r="O907" s="988">
        <v>2</v>
      </c>
      <c r="P907" s="989">
        <v>38371</v>
      </c>
      <c r="Q907" s="990">
        <v>20.11</v>
      </c>
      <c r="R907" s="941">
        <f t="shared" ref="R907:R915" si="32">$A907*Q907</f>
        <v>0</v>
      </c>
      <c r="S907" s="990">
        <v>0.09</v>
      </c>
      <c r="T907" s="942">
        <f t="shared" ref="T907:T915" si="33">$A907*S907*$T$1</f>
        <v>0</v>
      </c>
      <c r="U907" s="985"/>
      <c r="V907" s="985"/>
      <c r="W907" s="985"/>
      <c r="X907" s="985"/>
      <c r="Y907" s="985"/>
      <c r="Z907" s="985"/>
      <c r="AA907" s="985"/>
      <c r="AB907" s="985"/>
    </row>
    <row r="908" spans="1:28" s="933" customFormat="1" ht="11.4">
      <c r="A908" s="1059">
        <v>0</v>
      </c>
      <c r="B908" s="985" t="s">
        <v>141</v>
      </c>
      <c r="C908" s="957">
        <v>15</v>
      </c>
      <c r="D908" s="985" t="s">
        <v>731</v>
      </c>
      <c r="E908" s="985"/>
      <c r="F908" s="985"/>
      <c r="G908" s="986" t="s">
        <v>732</v>
      </c>
      <c r="H908" s="987">
        <v>875</v>
      </c>
      <c r="I908" s="985" t="s">
        <v>729</v>
      </c>
      <c r="J908" s="985"/>
      <c r="K908" s="985" t="s">
        <v>733</v>
      </c>
      <c r="L908" s="985"/>
      <c r="M908" s="985"/>
      <c r="N908" s="985"/>
      <c r="O908" s="988">
        <v>1</v>
      </c>
      <c r="P908" s="989">
        <v>34669</v>
      </c>
      <c r="Q908" s="990">
        <v>0.05</v>
      </c>
      <c r="R908" s="941">
        <f t="shared" si="32"/>
        <v>0</v>
      </c>
      <c r="S908" s="990"/>
      <c r="T908" s="942">
        <f t="shared" si="33"/>
        <v>0</v>
      </c>
      <c r="U908" s="985"/>
      <c r="V908" s="985"/>
      <c r="W908" s="985"/>
      <c r="X908" s="985"/>
      <c r="Y908" s="985"/>
      <c r="Z908" s="985"/>
      <c r="AA908" s="985"/>
      <c r="AB908" s="985"/>
    </row>
    <row r="909" spans="1:28" s="933" customFormat="1" ht="11.4">
      <c r="A909" s="1059">
        <v>0</v>
      </c>
      <c r="B909" s="985" t="s">
        <v>141</v>
      </c>
      <c r="C909" s="957">
        <v>6</v>
      </c>
      <c r="D909" s="985" t="s">
        <v>734</v>
      </c>
      <c r="E909" s="985"/>
      <c r="F909" s="985"/>
      <c r="G909" s="986" t="s">
        <v>735</v>
      </c>
      <c r="H909" s="987">
        <v>620</v>
      </c>
      <c r="I909" s="985" t="s">
        <v>736</v>
      </c>
      <c r="J909" s="985"/>
      <c r="K909" s="985"/>
      <c r="L909" s="985"/>
      <c r="M909" s="985"/>
      <c r="N909" s="985"/>
      <c r="O909" s="988">
        <v>2</v>
      </c>
      <c r="P909" s="989">
        <v>35431</v>
      </c>
      <c r="Q909" s="990">
        <v>7.66</v>
      </c>
      <c r="R909" s="941">
        <f t="shared" si="32"/>
        <v>0</v>
      </c>
      <c r="S909" s="990">
        <v>0.4</v>
      </c>
      <c r="T909" s="942">
        <f t="shared" si="33"/>
        <v>0</v>
      </c>
      <c r="U909" s="985"/>
      <c r="V909" s="985"/>
      <c r="W909" s="985"/>
      <c r="X909" s="985"/>
      <c r="Y909" s="985"/>
      <c r="Z909" s="985"/>
      <c r="AA909" s="985"/>
      <c r="AB909" s="985"/>
    </row>
    <row r="910" spans="1:28" s="933" customFormat="1" ht="11.4">
      <c r="A910" s="1059">
        <v>0</v>
      </c>
      <c r="B910" s="985" t="s">
        <v>311</v>
      </c>
      <c r="C910" s="957">
        <v>6</v>
      </c>
      <c r="D910" s="985" t="s">
        <v>737</v>
      </c>
      <c r="E910" s="985"/>
      <c r="F910" s="985"/>
      <c r="G910" s="986" t="s">
        <v>738</v>
      </c>
      <c r="H910" s="987">
        <v>620</v>
      </c>
      <c r="I910" s="985" t="s">
        <v>729</v>
      </c>
      <c r="J910" s="985"/>
      <c r="K910" s="985"/>
      <c r="L910" s="985"/>
      <c r="M910" s="985"/>
      <c r="N910" s="985"/>
      <c r="O910" s="988">
        <v>2</v>
      </c>
      <c r="P910" s="989">
        <v>38148</v>
      </c>
      <c r="Q910" s="990">
        <v>1.5</v>
      </c>
      <c r="R910" s="941">
        <f t="shared" si="32"/>
        <v>0</v>
      </c>
      <c r="S910" s="990">
        <v>0.08</v>
      </c>
      <c r="T910" s="942">
        <f t="shared" si="33"/>
        <v>0</v>
      </c>
      <c r="U910" s="985"/>
      <c r="V910" s="985"/>
      <c r="W910" s="985"/>
      <c r="X910" s="985"/>
      <c r="Y910" s="985"/>
      <c r="Z910" s="985"/>
      <c r="AA910" s="985"/>
      <c r="AB910" s="985"/>
    </row>
    <row r="911" spans="1:28" s="933" customFormat="1" ht="11.4">
      <c r="A911" s="1059">
        <v>0</v>
      </c>
      <c r="B911" s="985" t="s">
        <v>141</v>
      </c>
      <c r="C911" s="957">
        <f>6*5</f>
        <v>30</v>
      </c>
      <c r="D911" s="985" t="s">
        <v>774</v>
      </c>
      <c r="E911" s="985"/>
      <c r="F911" s="985"/>
      <c r="G911" s="986" t="s">
        <v>775</v>
      </c>
      <c r="H911" s="987">
        <v>620</v>
      </c>
      <c r="I911" s="985" t="s">
        <v>741</v>
      </c>
      <c r="J911" s="985"/>
      <c r="K911" s="985"/>
      <c r="L911" s="985"/>
      <c r="M911" s="985"/>
      <c r="N911" s="985"/>
      <c r="O911" s="988">
        <v>2</v>
      </c>
      <c r="P911" s="989">
        <v>34669</v>
      </c>
      <c r="Q911" s="990">
        <v>0.14000000000000001</v>
      </c>
      <c r="R911" s="941">
        <f t="shared" si="32"/>
        <v>0</v>
      </c>
      <c r="S911" s="990">
        <v>0.06</v>
      </c>
      <c r="T911" s="942">
        <f t="shared" si="33"/>
        <v>0</v>
      </c>
      <c r="U911" s="985"/>
      <c r="V911" s="985"/>
      <c r="W911" s="985"/>
      <c r="X911" s="985"/>
      <c r="Y911" s="985"/>
      <c r="Z911" s="985"/>
      <c r="AA911" s="985"/>
      <c r="AB911" s="985"/>
    </row>
    <row r="912" spans="1:28" s="933" customFormat="1" ht="13.2">
      <c r="A912" s="1060">
        <v>0</v>
      </c>
      <c r="B912" s="933" t="s">
        <v>141</v>
      </c>
      <c r="C912">
        <v>3</v>
      </c>
      <c r="D912" s="933" t="s">
        <v>785</v>
      </c>
      <c r="E912" s="935" t="s">
        <v>846</v>
      </c>
      <c r="F912" s="933" t="s">
        <v>803</v>
      </c>
      <c r="G912" s="936" t="s">
        <v>786</v>
      </c>
      <c r="H912" s="937">
        <v>570</v>
      </c>
      <c r="I912" s="933" t="s">
        <v>729</v>
      </c>
      <c r="O912" s="938">
        <v>2</v>
      </c>
      <c r="P912" s="939">
        <v>38443</v>
      </c>
      <c r="Q912" s="940">
        <v>10</v>
      </c>
      <c r="R912" s="941">
        <f t="shared" si="32"/>
        <v>0</v>
      </c>
      <c r="S912" s="940">
        <v>2</v>
      </c>
      <c r="T912" s="942">
        <f t="shared" si="33"/>
        <v>0</v>
      </c>
    </row>
    <row r="913" spans="1:256" s="933" customFormat="1" ht="13.2">
      <c r="A913"/>
      <c r="C913"/>
      <c r="D913" s="978" t="s">
        <v>850</v>
      </c>
      <c r="E913" s="935"/>
      <c r="G913" s="936"/>
      <c r="H913" s="937"/>
      <c r="O913" s="938"/>
      <c r="P913" s="939"/>
      <c r="Q913" s="940"/>
      <c r="R913" s="941">
        <f t="shared" si="32"/>
        <v>0</v>
      </c>
      <c r="S913" s="940"/>
      <c r="T913" s="942">
        <f t="shared" si="33"/>
        <v>0</v>
      </c>
    </row>
    <row r="914" spans="1:256" s="933" customFormat="1" ht="11.4">
      <c r="A914" s="957">
        <f>5+30</f>
        <v>35</v>
      </c>
      <c r="B914" s="933" t="s">
        <v>311</v>
      </c>
      <c r="C914" s="957"/>
      <c r="D914" s="933" t="s">
        <v>851</v>
      </c>
      <c r="G914" s="936" t="s">
        <v>852</v>
      </c>
      <c r="H914" s="937">
        <v>690</v>
      </c>
      <c r="I914" s="933" t="s">
        <v>780</v>
      </c>
      <c r="J914" s="933" t="s">
        <v>781</v>
      </c>
      <c r="K914" s="940" t="s">
        <v>7</v>
      </c>
      <c r="O914" s="938">
        <v>1</v>
      </c>
      <c r="P914" s="939">
        <v>34669</v>
      </c>
      <c r="Q914" s="982">
        <v>3.66</v>
      </c>
      <c r="R914" s="941">
        <f t="shared" si="32"/>
        <v>128.1</v>
      </c>
      <c r="S914" s="940">
        <v>0.2</v>
      </c>
      <c r="T914" s="942">
        <f t="shared" si="33"/>
        <v>7</v>
      </c>
    </row>
    <row r="915" spans="1:256" s="933" customFormat="1" ht="11.4">
      <c r="A915" s="957">
        <f>40</f>
        <v>40</v>
      </c>
      <c r="B915" s="933" t="s">
        <v>311</v>
      </c>
      <c r="C915" s="957"/>
      <c r="D915" s="933" t="s">
        <v>853</v>
      </c>
      <c r="F915" s="984"/>
      <c r="G915" s="936" t="s">
        <v>854</v>
      </c>
      <c r="H915" s="937">
        <v>617</v>
      </c>
      <c r="I915" s="933" t="s">
        <v>855</v>
      </c>
      <c r="J915" s="933" t="s">
        <v>856</v>
      </c>
      <c r="K915" s="940" t="s">
        <v>7</v>
      </c>
      <c r="O915" s="938">
        <v>2</v>
      </c>
      <c r="P915" s="939"/>
      <c r="Q915" s="940">
        <f>0.62*1.25</f>
        <v>0.77500000000000002</v>
      </c>
      <c r="R915" s="941">
        <f t="shared" si="32"/>
        <v>31</v>
      </c>
      <c r="S915" s="940">
        <v>0.05</v>
      </c>
      <c r="T915" s="942">
        <f t="shared" si="33"/>
        <v>2</v>
      </c>
    </row>
    <row r="916" spans="1:256" s="956" customFormat="1" ht="11.4">
      <c r="A916" s="957">
        <v>4</v>
      </c>
      <c r="B916" s="933" t="s">
        <v>141</v>
      </c>
      <c r="C916" s="957"/>
      <c r="D916" s="933" t="s">
        <v>857</v>
      </c>
      <c r="E916" s="933"/>
      <c r="F916" s="933"/>
      <c r="G916" s="936" t="s">
        <v>858</v>
      </c>
      <c r="H916" s="937">
        <v>620</v>
      </c>
      <c r="I916" s="933" t="s">
        <v>729</v>
      </c>
      <c r="J916" s="933"/>
      <c r="K916" s="940" t="s">
        <v>7</v>
      </c>
      <c r="L916" s="933"/>
      <c r="M916" s="933"/>
      <c r="N916" s="933"/>
      <c r="O916" s="938">
        <v>2</v>
      </c>
      <c r="P916" s="939">
        <v>38148</v>
      </c>
      <c r="Q916" s="940">
        <f>1.1*1.5</f>
        <v>1.6500000000000001</v>
      </c>
      <c r="R916" s="941">
        <f t="shared" ref="R916:R918" si="34">$A916*Q916</f>
        <v>6.6000000000000005</v>
      </c>
      <c r="S916" s="940">
        <v>0.1</v>
      </c>
      <c r="T916" s="942">
        <f t="shared" ref="T916:T927" si="35">$A916*S916*$T$1</f>
        <v>0.4</v>
      </c>
      <c r="U916" s="933"/>
      <c r="V916" s="933"/>
      <c r="W916" s="933"/>
      <c r="X916" s="933"/>
      <c r="Y916" s="933"/>
      <c r="Z916" s="933"/>
      <c r="AA916" s="933"/>
      <c r="AB916" s="933"/>
      <c r="AC916" s="519"/>
      <c r="AD916" s="519"/>
      <c r="AE916" s="519"/>
      <c r="AF916" s="519"/>
      <c r="AG916" s="933"/>
      <c r="AH916" s="933"/>
      <c r="AI916" s="933"/>
      <c r="AJ916" s="933"/>
      <c r="AK916" s="933"/>
      <c r="AL916" s="933"/>
      <c r="AM916" s="933"/>
      <c r="AN916" s="933"/>
      <c r="AO916" s="933"/>
      <c r="AP916" s="933"/>
      <c r="AQ916" s="933"/>
      <c r="AR916" s="933"/>
      <c r="AS916" s="933"/>
      <c r="AT916" s="933"/>
      <c r="AU916" s="933"/>
      <c r="AV916" s="933"/>
      <c r="AW916" s="933"/>
      <c r="AX916" s="933"/>
      <c r="AY916" s="933"/>
      <c r="AZ916" s="933"/>
      <c r="BA916" s="933"/>
      <c r="BB916" s="933"/>
      <c r="BC916" s="933"/>
      <c r="BD916" s="933"/>
      <c r="BE916" s="933"/>
      <c r="BF916" s="933"/>
      <c r="BG916" s="933"/>
      <c r="BH916" s="933"/>
      <c r="BI916" s="933"/>
      <c r="BJ916" s="933"/>
      <c r="BK916" s="933"/>
      <c r="BL916" s="933"/>
      <c r="BM916" s="933"/>
      <c r="BN916" s="933"/>
      <c r="BO916" s="933"/>
      <c r="BP916" s="933"/>
      <c r="BQ916" s="933"/>
      <c r="BR916" s="933"/>
      <c r="BS916" s="933"/>
      <c r="BT916" s="933"/>
      <c r="BU916" s="933"/>
      <c r="BV916" s="933"/>
      <c r="BW916" s="933"/>
      <c r="BX916" s="933"/>
      <c r="BY916" s="933"/>
      <c r="BZ916" s="933"/>
      <c r="CA916" s="933"/>
      <c r="CB916" s="933"/>
      <c r="CC916" s="933"/>
      <c r="CD916" s="933"/>
      <c r="CE916" s="933"/>
      <c r="CF916" s="933"/>
      <c r="CG916" s="933"/>
      <c r="CH916" s="933"/>
      <c r="CI916" s="933"/>
      <c r="CJ916" s="933"/>
      <c r="CK916" s="933"/>
      <c r="CL916" s="933"/>
      <c r="CM916" s="933"/>
      <c r="CN916" s="933"/>
      <c r="CO916" s="933"/>
      <c r="CP916" s="933"/>
      <c r="CQ916" s="933"/>
      <c r="CR916" s="933"/>
      <c r="CS916" s="933"/>
      <c r="CT916" s="933"/>
      <c r="CU916" s="933"/>
      <c r="CV916" s="933"/>
      <c r="CW916" s="933"/>
      <c r="CX916" s="933"/>
      <c r="CY916" s="933"/>
      <c r="CZ916" s="933"/>
      <c r="DA916" s="933"/>
      <c r="DB916" s="933"/>
      <c r="DC916" s="933"/>
      <c r="DD916" s="933"/>
      <c r="DE916" s="933"/>
      <c r="DF916" s="933"/>
      <c r="DG916" s="933"/>
      <c r="DH916" s="933"/>
      <c r="DI916" s="933"/>
      <c r="DJ916" s="933"/>
      <c r="DK916" s="933"/>
      <c r="DL916" s="933"/>
      <c r="DM916" s="933"/>
      <c r="DN916" s="933"/>
      <c r="DO916" s="933"/>
      <c r="DP916" s="933"/>
      <c r="DQ916" s="933"/>
      <c r="DR916" s="933"/>
      <c r="DS916" s="933"/>
      <c r="DT916" s="933"/>
      <c r="DU916" s="933"/>
      <c r="DV916" s="933"/>
      <c r="DW916" s="933"/>
      <c r="DX916" s="933"/>
      <c r="DY916" s="933"/>
      <c r="DZ916" s="933"/>
      <c r="EA916" s="933"/>
      <c r="EB916" s="933"/>
      <c r="EC916" s="933"/>
      <c r="ED916" s="933"/>
      <c r="EE916" s="933"/>
      <c r="EF916" s="933"/>
      <c r="EG916" s="933"/>
      <c r="EH916" s="933"/>
      <c r="EI916" s="933"/>
      <c r="EJ916" s="933"/>
      <c r="EK916" s="933"/>
      <c r="EL916" s="933"/>
      <c r="EM916" s="933"/>
      <c r="EN916" s="933"/>
      <c r="EO916" s="933"/>
      <c r="EP916" s="933"/>
      <c r="EQ916" s="933"/>
      <c r="ER916" s="933"/>
      <c r="ES916" s="933"/>
      <c r="ET916" s="933"/>
      <c r="EU916" s="933"/>
      <c r="EV916" s="933"/>
      <c r="EW916" s="933"/>
      <c r="EX916" s="933"/>
      <c r="EY916" s="933"/>
      <c r="EZ916" s="933"/>
      <c r="FA916" s="933"/>
      <c r="FB916" s="933"/>
      <c r="FC916" s="933"/>
      <c r="FD916" s="933"/>
      <c r="FE916" s="933"/>
      <c r="FF916" s="933"/>
      <c r="FG916" s="933"/>
      <c r="FH916" s="933"/>
      <c r="FI916" s="933"/>
      <c r="FJ916" s="933"/>
      <c r="FK916" s="933"/>
      <c r="FL916" s="933"/>
      <c r="FM916" s="933"/>
      <c r="FN916" s="933"/>
      <c r="FO916" s="933"/>
      <c r="FP916" s="933"/>
      <c r="FQ916" s="933"/>
      <c r="FR916" s="933"/>
      <c r="FS916" s="933"/>
      <c r="FT916" s="933"/>
      <c r="FU916" s="933"/>
      <c r="FV916" s="933"/>
      <c r="FW916" s="933"/>
      <c r="FX916" s="933"/>
      <c r="FY916" s="933"/>
      <c r="FZ916" s="933"/>
      <c r="GA916" s="933"/>
      <c r="GB916" s="933"/>
      <c r="GC916" s="933"/>
      <c r="GD916" s="933"/>
      <c r="GE916" s="933"/>
      <c r="GF916" s="933"/>
      <c r="GG916" s="933"/>
      <c r="GH916" s="933"/>
      <c r="GI916" s="933"/>
      <c r="GJ916" s="933"/>
      <c r="GK916" s="933"/>
      <c r="GL916" s="933"/>
      <c r="GM916" s="933"/>
      <c r="GN916" s="933"/>
      <c r="GO916" s="933"/>
      <c r="GP916" s="933"/>
      <c r="GQ916" s="933"/>
      <c r="GR916" s="933"/>
      <c r="GS916" s="933"/>
      <c r="GT916" s="933"/>
      <c r="GU916" s="933"/>
      <c r="GV916" s="933"/>
      <c r="GW916" s="933"/>
      <c r="GX916" s="933"/>
      <c r="GY916" s="933"/>
      <c r="GZ916" s="933"/>
      <c r="HA916" s="933"/>
      <c r="HB916" s="933"/>
      <c r="HC916" s="933"/>
      <c r="HD916" s="933"/>
      <c r="HE916" s="933"/>
      <c r="HF916" s="933"/>
      <c r="HG916" s="933"/>
      <c r="HH916" s="933"/>
      <c r="HI916" s="933"/>
      <c r="HJ916" s="933"/>
      <c r="HK916" s="933"/>
      <c r="HL916" s="933"/>
      <c r="HM916" s="933"/>
      <c r="HN916" s="933"/>
      <c r="HO916" s="933"/>
      <c r="HP916" s="933"/>
      <c r="HQ916" s="933"/>
      <c r="HR916" s="933"/>
      <c r="HS916" s="933"/>
      <c r="HT916" s="933"/>
      <c r="HU916" s="933"/>
      <c r="HV916" s="933"/>
      <c r="HW916" s="933"/>
      <c r="HX916" s="933"/>
      <c r="HY916" s="933"/>
      <c r="HZ916" s="933"/>
      <c r="IA916" s="933"/>
      <c r="IB916" s="933"/>
      <c r="IC916" s="933"/>
      <c r="ID916" s="933"/>
      <c r="IE916" s="933"/>
      <c r="IF916" s="933"/>
      <c r="IG916" s="933"/>
      <c r="IH916" s="933"/>
      <c r="II916" s="933"/>
      <c r="IJ916" s="933"/>
      <c r="IK916" s="933"/>
      <c r="IL916" s="933"/>
      <c r="IM916" s="933"/>
      <c r="IN916" s="933"/>
      <c r="IO916" s="933"/>
      <c r="IP916" s="933"/>
      <c r="IQ916" s="933"/>
      <c r="IR916" s="933"/>
      <c r="IS916" s="933"/>
      <c r="IT916" s="933"/>
      <c r="IU916" s="933"/>
      <c r="IV916" s="933"/>
    </row>
    <row r="917" spans="1:256" s="956" customFormat="1" ht="11.4">
      <c r="A917" s="957">
        <v>4</v>
      </c>
      <c r="B917" s="933" t="s">
        <v>141</v>
      </c>
      <c r="C917" s="957"/>
      <c r="D917" s="933" t="s">
        <v>859</v>
      </c>
      <c r="E917" s="933"/>
      <c r="F917" s="933"/>
      <c r="G917" s="936" t="s">
        <v>860</v>
      </c>
      <c r="H917" s="937">
        <v>620</v>
      </c>
      <c r="I917" s="933" t="s">
        <v>729</v>
      </c>
      <c r="J917" s="933"/>
      <c r="K917" s="940" t="s">
        <v>7</v>
      </c>
      <c r="L917" s="933"/>
      <c r="M917" s="933"/>
      <c r="N917" s="933"/>
      <c r="O917" s="938">
        <v>2</v>
      </c>
      <c r="P917" s="939"/>
      <c r="Q917" s="940">
        <v>0.2</v>
      </c>
      <c r="R917" s="941">
        <f t="shared" si="34"/>
        <v>0.8</v>
      </c>
      <c r="S917" s="940">
        <v>0.03</v>
      </c>
      <c r="T917" s="942">
        <f t="shared" si="35"/>
        <v>0.12</v>
      </c>
      <c r="U917" s="933"/>
      <c r="V917" s="933"/>
      <c r="W917" s="933"/>
      <c r="X917" s="933"/>
      <c r="Y917" s="933"/>
      <c r="Z917" s="933"/>
      <c r="AA917" s="933"/>
      <c r="AB917" s="933"/>
      <c r="AC917" s="933"/>
      <c r="AD917" s="933"/>
      <c r="AE917" s="933"/>
      <c r="AF917" s="933"/>
      <c r="AG917" s="933"/>
      <c r="AH917" s="933"/>
      <c r="AI917" s="933"/>
      <c r="AJ917" s="933"/>
      <c r="AK917" s="933"/>
      <c r="AL917" s="933"/>
      <c r="AM917" s="933"/>
      <c r="AN917" s="933"/>
      <c r="AO917" s="933"/>
      <c r="AP917" s="933"/>
      <c r="AQ917" s="933"/>
      <c r="AR917" s="933"/>
      <c r="AS917" s="933"/>
      <c r="AT917" s="933"/>
      <c r="AU917" s="933"/>
      <c r="AV917" s="933"/>
      <c r="AW917" s="933"/>
      <c r="AX917" s="933"/>
      <c r="AY917" s="933"/>
      <c r="AZ917" s="933"/>
      <c r="BA917" s="933"/>
      <c r="BB917" s="933"/>
      <c r="BC917" s="933"/>
      <c r="BD917" s="933"/>
      <c r="BE917" s="933"/>
      <c r="BF917" s="933"/>
      <c r="BG917" s="933"/>
      <c r="BH917" s="933"/>
      <c r="BI917" s="933"/>
      <c r="BJ917" s="933"/>
      <c r="BK917" s="933"/>
      <c r="BL917" s="933"/>
      <c r="BM917" s="933"/>
      <c r="BN917" s="933"/>
      <c r="BO917" s="933"/>
      <c r="BP917" s="933"/>
      <c r="BQ917" s="933"/>
      <c r="BR917" s="933"/>
      <c r="BS917" s="933"/>
      <c r="BT917" s="933"/>
      <c r="BU917" s="933"/>
      <c r="BV917" s="933"/>
      <c r="BW917" s="933"/>
      <c r="BX917" s="933"/>
      <c r="BY917" s="933"/>
      <c r="BZ917" s="933"/>
      <c r="CA917" s="933"/>
      <c r="CB917" s="933"/>
      <c r="CC917" s="933"/>
      <c r="CD917" s="933"/>
      <c r="CE917" s="933"/>
      <c r="CF917" s="933"/>
      <c r="CG917" s="933"/>
      <c r="CH917" s="933"/>
      <c r="CI917" s="933"/>
      <c r="CJ917" s="933"/>
      <c r="CK917" s="933"/>
      <c r="CL917" s="933"/>
      <c r="CM917" s="933"/>
      <c r="CN917" s="933"/>
      <c r="CO917" s="933"/>
      <c r="CP917" s="933"/>
      <c r="CQ917" s="933"/>
      <c r="CR917" s="933"/>
      <c r="CS917" s="933"/>
      <c r="CT917" s="933"/>
      <c r="CU917" s="933"/>
      <c r="CV917" s="933"/>
      <c r="CW917" s="933"/>
      <c r="CX917" s="933"/>
      <c r="CY917" s="933"/>
      <c r="CZ917" s="933"/>
      <c r="DA917" s="933"/>
      <c r="DB917" s="933"/>
      <c r="DC917" s="933"/>
      <c r="DD917" s="933"/>
      <c r="DE917" s="933"/>
      <c r="DF917" s="933"/>
      <c r="DG917" s="933"/>
      <c r="DH917" s="933"/>
      <c r="DI917" s="933"/>
      <c r="DJ917" s="933"/>
      <c r="DK917" s="933"/>
      <c r="DL917" s="933"/>
      <c r="DM917" s="933"/>
      <c r="DN917" s="933"/>
      <c r="DO917" s="933"/>
      <c r="DP917" s="933"/>
      <c r="DQ917" s="933"/>
      <c r="DR917" s="933"/>
      <c r="DS917" s="933"/>
      <c r="DT917" s="933"/>
      <c r="DU917" s="933"/>
      <c r="DV917" s="933"/>
      <c r="DW917" s="933"/>
      <c r="DX917" s="933"/>
      <c r="DY917" s="933"/>
      <c r="DZ917" s="933"/>
      <c r="EA917" s="933"/>
      <c r="EB917" s="933"/>
      <c r="EC917" s="933"/>
      <c r="ED917" s="933"/>
      <c r="EE917" s="933"/>
      <c r="EF917" s="933"/>
      <c r="EG917" s="933"/>
      <c r="EH917" s="933"/>
      <c r="EI917" s="933"/>
      <c r="EJ917" s="933"/>
      <c r="EK917" s="933"/>
      <c r="EL917" s="933"/>
      <c r="EM917" s="933"/>
      <c r="EN917" s="933"/>
      <c r="EO917" s="933"/>
      <c r="EP917" s="933"/>
      <c r="EQ917" s="933"/>
      <c r="ER917" s="933"/>
      <c r="ES917" s="933"/>
      <c r="ET917" s="933"/>
      <c r="EU917" s="933"/>
      <c r="EV917" s="933"/>
      <c r="EW917" s="933"/>
      <c r="EX917" s="933"/>
      <c r="EY917" s="933"/>
      <c r="EZ917" s="933"/>
      <c r="FA917" s="933"/>
      <c r="FB917" s="933"/>
      <c r="FC917" s="933"/>
      <c r="FD917" s="933"/>
      <c r="FE917" s="933"/>
      <c r="FF917" s="933"/>
      <c r="FG917" s="933"/>
      <c r="FH917" s="933"/>
      <c r="FI917" s="933"/>
      <c r="FJ917" s="933"/>
      <c r="FK917" s="933"/>
      <c r="FL917" s="933"/>
      <c r="FM917" s="933"/>
      <c r="FN917" s="933"/>
      <c r="FO917" s="933"/>
      <c r="FP917" s="933"/>
      <c r="FQ917" s="933"/>
      <c r="FR917" s="933"/>
      <c r="FS917" s="933"/>
      <c r="FT917" s="933"/>
      <c r="FU917" s="933"/>
      <c r="FV917" s="933"/>
      <c r="FW917" s="933"/>
      <c r="FX917" s="933"/>
      <c r="FY917" s="933"/>
      <c r="FZ917" s="933"/>
      <c r="GA917" s="933"/>
      <c r="GB917" s="933"/>
      <c r="GC917" s="933"/>
      <c r="GD917" s="933"/>
      <c r="GE917" s="933"/>
      <c r="GF917" s="933"/>
      <c r="GG917" s="933"/>
      <c r="GH917" s="933"/>
      <c r="GI917" s="933"/>
      <c r="GJ917" s="933"/>
      <c r="GK917" s="933"/>
      <c r="GL917" s="933"/>
      <c r="GM917" s="933"/>
      <c r="GN917" s="933"/>
      <c r="GO917" s="933"/>
      <c r="GP917" s="933"/>
      <c r="GQ917" s="933"/>
      <c r="GR917" s="933"/>
      <c r="GS917" s="933"/>
      <c r="GT917" s="933"/>
      <c r="GU917" s="933"/>
      <c r="GV917" s="933"/>
      <c r="GW917" s="933"/>
      <c r="GX917" s="933"/>
      <c r="GY917" s="933"/>
      <c r="GZ917" s="933"/>
      <c r="HA917" s="933"/>
      <c r="HB917" s="933"/>
      <c r="HC917" s="933"/>
      <c r="HD917" s="933"/>
      <c r="HE917" s="933"/>
      <c r="HF917" s="933"/>
      <c r="HG917" s="933"/>
      <c r="HH917" s="933"/>
      <c r="HI917" s="933"/>
      <c r="HJ917" s="933"/>
      <c r="HK917" s="933"/>
      <c r="HL917" s="933"/>
      <c r="HM917" s="933"/>
      <c r="HN917" s="933"/>
      <c r="HO917" s="933"/>
      <c r="HP917" s="933"/>
      <c r="HQ917" s="933"/>
      <c r="HR917" s="933"/>
      <c r="HS917" s="933"/>
      <c r="HT917" s="933"/>
      <c r="HU917" s="933"/>
      <c r="HV917" s="933"/>
      <c r="HW917" s="933"/>
      <c r="HX917" s="933"/>
      <c r="HY917" s="933"/>
      <c r="HZ917" s="933"/>
      <c r="IA917" s="933"/>
      <c r="IB917" s="933"/>
      <c r="IC917" s="933"/>
      <c r="ID917" s="933"/>
      <c r="IE917" s="933"/>
      <c r="IF917" s="933"/>
      <c r="IG917" s="933"/>
      <c r="IH917" s="933"/>
      <c r="II917" s="933"/>
      <c r="IJ917" s="933"/>
      <c r="IK917" s="933"/>
      <c r="IL917" s="933"/>
      <c r="IM917" s="933"/>
      <c r="IN917" s="933"/>
      <c r="IO917" s="933"/>
      <c r="IP917" s="933"/>
      <c r="IQ917" s="933"/>
      <c r="IR917" s="933"/>
      <c r="IS917" s="933"/>
      <c r="IT917" s="933"/>
      <c r="IU917" s="933"/>
      <c r="IV917" s="933"/>
    </row>
    <row r="918" spans="1:256" s="956" customFormat="1" ht="11.4">
      <c r="A918" s="957">
        <v>16</v>
      </c>
      <c r="B918" s="933" t="s">
        <v>141</v>
      </c>
      <c r="C918" s="957"/>
      <c r="D918" s="933" t="s">
        <v>861</v>
      </c>
      <c r="E918" s="933"/>
      <c r="F918" s="933"/>
      <c r="G918" s="936" t="s">
        <v>862</v>
      </c>
      <c r="H918" s="937">
        <v>620</v>
      </c>
      <c r="I918" s="933" t="s">
        <v>741</v>
      </c>
      <c r="J918" s="933"/>
      <c r="K918" s="940" t="s">
        <v>7</v>
      </c>
      <c r="L918" s="933"/>
      <c r="M918" s="933"/>
      <c r="N918" s="933"/>
      <c r="O918" s="938">
        <v>2</v>
      </c>
      <c r="P918" s="939">
        <v>34669</v>
      </c>
      <c r="Q918" s="940">
        <v>0.05</v>
      </c>
      <c r="R918" s="941">
        <f t="shared" si="34"/>
        <v>0.8</v>
      </c>
      <c r="S918" s="940">
        <v>0.01</v>
      </c>
      <c r="T918" s="942">
        <f t="shared" si="35"/>
        <v>0.16</v>
      </c>
      <c r="U918" s="933"/>
      <c r="V918" s="933"/>
      <c r="W918" s="933"/>
      <c r="X918" s="933"/>
      <c r="Y918" s="933"/>
      <c r="Z918" s="933"/>
      <c r="AA918" s="933"/>
      <c r="AB918" s="933"/>
      <c r="AC918" s="933"/>
      <c r="AD918" s="933"/>
      <c r="AE918" s="933"/>
      <c r="AF918" s="933"/>
      <c r="AG918" s="933"/>
      <c r="AH918" s="933"/>
      <c r="AI918" s="933"/>
      <c r="AJ918" s="933"/>
      <c r="AK918" s="933"/>
      <c r="AL918" s="933"/>
      <c r="AM918" s="933"/>
      <c r="AN918" s="933"/>
      <c r="AO918" s="933"/>
      <c r="AP918" s="933"/>
      <c r="AQ918" s="933"/>
      <c r="AR918" s="933"/>
      <c r="AS918" s="933"/>
      <c r="AT918" s="933"/>
      <c r="AU918" s="933"/>
      <c r="AV918" s="933"/>
      <c r="AW918" s="933"/>
      <c r="AX918" s="933"/>
      <c r="AY918" s="933"/>
      <c r="AZ918" s="933"/>
      <c r="BA918" s="933"/>
      <c r="BB918" s="933"/>
      <c r="BC918" s="933"/>
      <c r="BD918" s="933"/>
      <c r="BE918" s="933"/>
      <c r="BF918" s="933"/>
      <c r="BG918" s="933"/>
      <c r="BH918" s="933"/>
      <c r="BI918" s="933"/>
      <c r="BJ918" s="933"/>
      <c r="BK918" s="933"/>
      <c r="BL918" s="933"/>
      <c r="BM918" s="933"/>
      <c r="BN918" s="933"/>
      <c r="BO918" s="933"/>
      <c r="BP918" s="933"/>
      <c r="BQ918" s="933"/>
      <c r="BR918" s="933"/>
      <c r="BS918" s="933"/>
      <c r="BT918" s="933"/>
      <c r="BU918" s="933"/>
      <c r="BV918" s="933"/>
      <c r="BW918" s="933"/>
      <c r="BX918" s="933"/>
      <c r="BY918" s="933"/>
      <c r="BZ918" s="933"/>
      <c r="CA918" s="933"/>
      <c r="CB918" s="933"/>
      <c r="CC918" s="933"/>
      <c r="CD918" s="933"/>
      <c r="CE918" s="933"/>
      <c r="CF918" s="933"/>
      <c r="CG918" s="933"/>
      <c r="CH918" s="933"/>
      <c r="CI918" s="933"/>
      <c r="CJ918" s="933"/>
      <c r="CK918" s="933"/>
      <c r="CL918" s="933"/>
      <c r="CM918" s="933"/>
      <c r="CN918" s="933"/>
      <c r="CO918" s="933"/>
      <c r="CP918" s="933"/>
      <c r="CQ918" s="933"/>
      <c r="CR918" s="933"/>
      <c r="CS918" s="933"/>
      <c r="CT918" s="933"/>
      <c r="CU918" s="933"/>
      <c r="CV918" s="933"/>
      <c r="CW918" s="933"/>
      <c r="CX918" s="933"/>
      <c r="CY918" s="933"/>
      <c r="CZ918" s="933"/>
      <c r="DA918" s="933"/>
      <c r="DB918" s="933"/>
      <c r="DC918" s="933"/>
      <c r="DD918" s="933"/>
      <c r="DE918" s="933"/>
      <c r="DF918" s="933"/>
      <c r="DG918" s="933"/>
      <c r="DH918" s="933"/>
      <c r="DI918" s="933"/>
      <c r="DJ918" s="933"/>
      <c r="DK918" s="933"/>
      <c r="DL918" s="933"/>
      <c r="DM918" s="933"/>
      <c r="DN918" s="933"/>
      <c r="DO918" s="933"/>
      <c r="DP918" s="933"/>
      <c r="DQ918" s="933"/>
      <c r="DR918" s="933"/>
      <c r="DS918" s="933"/>
      <c r="DT918" s="933"/>
      <c r="DU918" s="933"/>
      <c r="DV918" s="933"/>
      <c r="DW918" s="933"/>
      <c r="DX918" s="933"/>
      <c r="DY918" s="933"/>
      <c r="DZ918" s="933"/>
      <c r="EA918" s="933"/>
      <c r="EB918" s="933"/>
      <c r="EC918" s="933"/>
      <c r="ED918" s="933"/>
      <c r="EE918" s="933"/>
      <c r="EF918" s="933"/>
      <c r="EG918" s="933"/>
      <c r="EH918" s="933"/>
      <c r="EI918" s="933"/>
      <c r="EJ918" s="933"/>
      <c r="EK918" s="933"/>
      <c r="EL918" s="933"/>
      <c r="EM918" s="933"/>
      <c r="EN918" s="933"/>
      <c r="EO918" s="933"/>
      <c r="EP918" s="933"/>
      <c r="EQ918" s="933"/>
      <c r="ER918" s="933"/>
      <c r="ES918" s="933"/>
      <c r="ET918" s="933"/>
      <c r="EU918" s="933"/>
      <c r="EV918" s="933"/>
      <c r="EW918" s="933"/>
      <c r="EX918" s="933"/>
      <c r="EY918" s="933"/>
      <c r="EZ918" s="933"/>
      <c r="FA918" s="933"/>
      <c r="FB918" s="933"/>
      <c r="FC918" s="933"/>
      <c r="FD918" s="933"/>
      <c r="FE918" s="933"/>
      <c r="FF918" s="933"/>
      <c r="FG918" s="933"/>
      <c r="FH918" s="933"/>
      <c r="FI918" s="933"/>
      <c r="FJ918" s="933"/>
      <c r="FK918" s="933"/>
      <c r="FL918" s="933"/>
      <c r="FM918" s="933"/>
      <c r="FN918" s="933"/>
      <c r="FO918" s="933"/>
      <c r="FP918" s="933"/>
      <c r="FQ918" s="933"/>
      <c r="FR918" s="933"/>
      <c r="FS918" s="933"/>
      <c r="FT918" s="933"/>
      <c r="FU918" s="933"/>
      <c r="FV918" s="933"/>
      <c r="FW918" s="933"/>
      <c r="FX918" s="933"/>
      <c r="FY918" s="933"/>
      <c r="FZ918" s="933"/>
      <c r="GA918" s="933"/>
      <c r="GB918" s="933"/>
      <c r="GC918" s="933"/>
      <c r="GD918" s="933"/>
      <c r="GE918" s="933"/>
      <c r="GF918" s="933"/>
      <c r="GG918" s="933"/>
      <c r="GH918" s="933"/>
      <c r="GI918" s="933"/>
      <c r="GJ918" s="933"/>
      <c r="GK918" s="933"/>
      <c r="GL918" s="933"/>
      <c r="GM918" s="933"/>
      <c r="GN918" s="933"/>
      <c r="GO918" s="933"/>
      <c r="GP918" s="933"/>
      <c r="GQ918" s="933"/>
      <c r="GR918" s="933"/>
      <c r="GS918" s="933"/>
      <c r="GT918" s="933"/>
      <c r="GU918" s="933"/>
      <c r="GV918" s="933"/>
      <c r="GW918" s="933"/>
      <c r="GX918" s="933"/>
      <c r="GY918" s="933"/>
      <c r="GZ918" s="933"/>
      <c r="HA918" s="933"/>
      <c r="HB918" s="933"/>
      <c r="HC918" s="933"/>
      <c r="HD918" s="933"/>
      <c r="HE918" s="933"/>
      <c r="HF918" s="933"/>
      <c r="HG918" s="933"/>
      <c r="HH918" s="933"/>
      <c r="HI918" s="933"/>
      <c r="HJ918" s="933"/>
      <c r="HK918" s="933"/>
      <c r="HL918" s="933"/>
      <c r="HM918" s="933"/>
      <c r="HN918" s="933"/>
      <c r="HO918" s="933"/>
      <c r="HP918" s="933"/>
      <c r="HQ918" s="933"/>
      <c r="HR918" s="933"/>
      <c r="HS918" s="933"/>
      <c r="HT918" s="933"/>
      <c r="HU918" s="933"/>
      <c r="HV918" s="933"/>
      <c r="HW918" s="933"/>
      <c r="HX918" s="933"/>
      <c r="HY918" s="933"/>
      <c r="HZ918" s="933"/>
      <c r="IA918" s="933"/>
      <c r="IB918" s="933"/>
      <c r="IC918" s="933"/>
      <c r="ID918" s="933"/>
      <c r="IE918" s="933"/>
      <c r="IF918" s="933"/>
      <c r="IG918" s="933"/>
      <c r="IH918" s="933"/>
      <c r="II918" s="933"/>
      <c r="IJ918" s="933"/>
      <c r="IK918" s="933"/>
      <c r="IL918" s="933"/>
      <c r="IM918" s="933"/>
      <c r="IN918" s="933"/>
      <c r="IO918" s="933"/>
      <c r="IP918" s="933"/>
      <c r="IQ918" s="933"/>
      <c r="IR918" s="933"/>
      <c r="IS918" s="933"/>
      <c r="IT918" s="933"/>
      <c r="IU918" s="933"/>
      <c r="IV918" s="933"/>
    </row>
    <row r="919" spans="1:256" s="933" customFormat="1" ht="11.4">
      <c r="A919" s="957">
        <v>2</v>
      </c>
      <c r="B919" s="933" t="s">
        <v>141</v>
      </c>
      <c r="C919" s="957"/>
      <c r="D919" s="933" t="s">
        <v>776</v>
      </c>
      <c r="F919" s="933" t="s">
        <v>864</v>
      </c>
      <c r="G919" s="936" t="s">
        <v>777</v>
      </c>
      <c r="H919" s="937">
        <v>900</v>
      </c>
      <c r="I919" s="933" t="s">
        <v>778</v>
      </c>
      <c r="K919" s="933" t="s">
        <v>7</v>
      </c>
      <c r="O919" s="938">
        <v>1</v>
      </c>
      <c r="P919" s="939"/>
      <c r="Q919" s="983"/>
      <c r="R919" s="941">
        <f>$A919*Q919</f>
        <v>0</v>
      </c>
      <c r="S919" s="940">
        <v>0.5</v>
      </c>
      <c r="T919" s="942">
        <f t="shared" si="35"/>
        <v>1</v>
      </c>
      <c r="U919" s="933" t="s">
        <v>863</v>
      </c>
    </row>
    <row r="920" spans="1:256" s="933" customFormat="1" ht="13.2">
      <c r="A920"/>
      <c r="C920"/>
      <c r="D920" s="978" t="s">
        <v>900</v>
      </c>
      <c r="E920" s="935"/>
      <c r="G920" s="936"/>
      <c r="H920" s="937"/>
      <c r="O920" s="938"/>
      <c r="P920" s="939"/>
      <c r="Q920" s="940"/>
      <c r="R920" s="941"/>
      <c r="S920" s="940"/>
      <c r="T920" s="942"/>
    </row>
    <row r="921" spans="1:256" s="933" customFormat="1" ht="11.4">
      <c r="A921" s="957">
        <v>3</v>
      </c>
      <c r="B921" s="933" t="s">
        <v>311</v>
      </c>
      <c r="C921" s="957"/>
      <c r="D921" s="933" t="s">
        <v>851</v>
      </c>
      <c r="G921" s="936" t="s">
        <v>852</v>
      </c>
      <c r="H921" s="937">
        <v>690</v>
      </c>
      <c r="I921" s="933" t="s">
        <v>780</v>
      </c>
      <c r="J921" s="933" t="s">
        <v>781</v>
      </c>
      <c r="K921" s="940" t="s">
        <v>7</v>
      </c>
      <c r="O921" s="938">
        <v>1</v>
      </c>
      <c r="P921" s="939">
        <v>34669</v>
      </c>
      <c r="Q921" s="982">
        <v>3.66</v>
      </c>
      <c r="R921" s="941">
        <f>$A921*Q921</f>
        <v>10.98</v>
      </c>
      <c r="S921" s="940">
        <v>0.2</v>
      </c>
      <c r="T921" s="942">
        <f t="shared" ref="T921" si="36">$A921*S921*$T$1</f>
        <v>0.60000000000000009</v>
      </c>
    </row>
    <row r="922" spans="1:256" s="933" customFormat="1" ht="13.2">
      <c r="A922">
        <v>3</v>
      </c>
      <c r="B922" s="933" t="s">
        <v>311</v>
      </c>
      <c r="C922"/>
      <c r="D922" s="933" t="s">
        <v>792</v>
      </c>
      <c r="G922" s="936" t="s">
        <v>793</v>
      </c>
      <c r="H922" s="937">
        <v>617</v>
      </c>
      <c r="I922" s="933" t="s">
        <v>729</v>
      </c>
      <c r="O922" s="938">
        <v>2</v>
      </c>
      <c r="P922" s="939">
        <v>40767</v>
      </c>
      <c r="Q922" s="940">
        <v>1.5</v>
      </c>
      <c r="R922" s="941">
        <f>$A922*Q922</f>
        <v>4.5</v>
      </c>
      <c r="S922" s="940">
        <v>7.0000000000000007E-2</v>
      </c>
      <c r="T922" s="942">
        <f>$A922*S922*$T$1</f>
        <v>0.21000000000000002</v>
      </c>
    </row>
    <row r="923" spans="1:256" s="956" customFormat="1" ht="11.4">
      <c r="A923" s="957">
        <v>2</v>
      </c>
      <c r="B923" s="933" t="s">
        <v>141</v>
      </c>
      <c r="C923" s="957"/>
      <c r="D923" s="933" t="s">
        <v>857</v>
      </c>
      <c r="E923" s="933"/>
      <c r="F923" s="933"/>
      <c r="G923" s="936" t="s">
        <v>858</v>
      </c>
      <c r="H923" s="937">
        <v>620</v>
      </c>
      <c r="I923" s="933" t="s">
        <v>729</v>
      </c>
      <c r="J923" s="933"/>
      <c r="K923" s="940" t="s">
        <v>7</v>
      </c>
      <c r="L923" s="933"/>
      <c r="M923" s="933"/>
      <c r="N923" s="933"/>
      <c r="O923" s="938">
        <v>2</v>
      </c>
      <c r="P923" s="939">
        <v>38148</v>
      </c>
      <c r="Q923" s="940">
        <f>1.1*1.5</f>
        <v>1.6500000000000001</v>
      </c>
      <c r="R923" s="941">
        <f t="shared" ref="R923:R925" si="37">$A923*Q923</f>
        <v>3.3000000000000003</v>
      </c>
      <c r="S923" s="940">
        <v>0.1</v>
      </c>
      <c r="T923" s="942">
        <f t="shared" ref="T923:T926" si="38">$A923*S923*$T$1</f>
        <v>0.2</v>
      </c>
      <c r="U923" s="933"/>
      <c r="V923" s="933"/>
      <c r="W923" s="933"/>
      <c r="X923" s="933"/>
      <c r="Y923" s="933"/>
      <c r="Z923" s="933"/>
      <c r="AA923" s="933"/>
      <c r="AB923" s="933"/>
      <c r="AC923" s="519"/>
      <c r="AD923" s="519"/>
      <c r="AE923" s="519"/>
      <c r="AF923" s="519"/>
      <c r="AG923" s="933"/>
      <c r="AH923" s="933"/>
      <c r="AI923" s="933"/>
      <c r="AJ923" s="933"/>
      <c r="AK923" s="933"/>
      <c r="AL923" s="933"/>
      <c r="AM923" s="933"/>
      <c r="AN923" s="933"/>
      <c r="AO923" s="933"/>
      <c r="AP923" s="933"/>
      <c r="AQ923" s="933"/>
      <c r="AR923" s="933"/>
      <c r="AS923" s="933"/>
      <c r="AT923" s="933"/>
      <c r="AU923" s="933"/>
      <c r="AV923" s="933"/>
      <c r="AW923" s="933"/>
      <c r="AX923" s="933"/>
      <c r="AY923" s="933"/>
      <c r="AZ923" s="933"/>
      <c r="BA923" s="933"/>
      <c r="BB923" s="933"/>
      <c r="BC923" s="933"/>
      <c r="BD923" s="933"/>
      <c r="BE923" s="933"/>
      <c r="BF923" s="933"/>
      <c r="BG923" s="933"/>
      <c r="BH923" s="933"/>
      <c r="BI923" s="933"/>
      <c r="BJ923" s="933"/>
      <c r="BK923" s="933"/>
      <c r="BL923" s="933"/>
      <c r="BM923" s="933"/>
      <c r="BN923" s="933"/>
      <c r="BO923" s="933"/>
      <c r="BP923" s="933"/>
      <c r="BQ923" s="933"/>
      <c r="BR923" s="933"/>
      <c r="BS923" s="933"/>
      <c r="BT923" s="933"/>
      <c r="BU923" s="933"/>
      <c r="BV923" s="933"/>
      <c r="BW923" s="933"/>
      <c r="BX923" s="933"/>
      <c r="BY923" s="933"/>
      <c r="BZ923" s="933"/>
      <c r="CA923" s="933"/>
      <c r="CB923" s="933"/>
      <c r="CC923" s="933"/>
      <c r="CD923" s="933"/>
      <c r="CE923" s="933"/>
      <c r="CF923" s="933"/>
      <c r="CG923" s="933"/>
      <c r="CH923" s="933"/>
      <c r="CI923" s="933"/>
      <c r="CJ923" s="933"/>
      <c r="CK923" s="933"/>
      <c r="CL923" s="933"/>
      <c r="CM923" s="933"/>
      <c r="CN923" s="933"/>
      <c r="CO923" s="933"/>
      <c r="CP923" s="933"/>
      <c r="CQ923" s="933"/>
      <c r="CR923" s="933"/>
      <c r="CS923" s="933"/>
      <c r="CT923" s="933"/>
      <c r="CU923" s="933"/>
      <c r="CV923" s="933"/>
      <c r="CW923" s="933"/>
      <c r="CX923" s="933"/>
      <c r="CY923" s="933"/>
      <c r="CZ923" s="933"/>
      <c r="DA923" s="933"/>
      <c r="DB923" s="933"/>
      <c r="DC923" s="933"/>
      <c r="DD923" s="933"/>
      <c r="DE923" s="933"/>
      <c r="DF923" s="933"/>
      <c r="DG923" s="933"/>
      <c r="DH923" s="933"/>
      <c r="DI923" s="933"/>
      <c r="DJ923" s="933"/>
      <c r="DK923" s="933"/>
      <c r="DL923" s="933"/>
      <c r="DM923" s="933"/>
      <c r="DN923" s="933"/>
      <c r="DO923" s="933"/>
      <c r="DP923" s="933"/>
      <c r="DQ923" s="933"/>
      <c r="DR923" s="933"/>
      <c r="DS923" s="933"/>
      <c r="DT923" s="933"/>
      <c r="DU923" s="933"/>
      <c r="DV923" s="933"/>
      <c r="DW923" s="933"/>
      <c r="DX923" s="933"/>
      <c r="DY923" s="933"/>
      <c r="DZ923" s="933"/>
      <c r="EA923" s="933"/>
      <c r="EB923" s="933"/>
      <c r="EC923" s="933"/>
      <c r="ED923" s="933"/>
      <c r="EE923" s="933"/>
      <c r="EF923" s="933"/>
      <c r="EG923" s="933"/>
      <c r="EH923" s="933"/>
      <c r="EI923" s="933"/>
      <c r="EJ923" s="933"/>
      <c r="EK923" s="933"/>
      <c r="EL923" s="933"/>
      <c r="EM923" s="933"/>
      <c r="EN923" s="933"/>
      <c r="EO923" s="933"/>
      <c r="EP923" s="933"/>
      <c r="EQ923" s="933"/>
      <c r="ER923" s="933"/>
      <c r="ES923" s="933"/>
      <c r="ET923" s="933"/>
      <c r="EU923" s="933"/>
      <c r="EV923" s="933"/>
      <c r="EW923" s="933"/>
      <c r="EX923" s="933"/>
      <c r="EY923" s="933"/>
      <c r="EZ923" s="933"/>
      <c r="FA923" s="933"/>
      <c r="FB923" s="933"/>
      <c r="FC923" s="933"/>
      <c r="FD923" s="933"/>
      <c r="FE923" s="933"/>
      <c r="FF923" s="933"/>
      <c r="FG923" s="933"/>
      <c r="FH923" s="933"/>
      <c r="FI923" s="933"/>
      <c r="FJ923" s="933"/>
      <c r="FK923" s="933"/>
      <c r="FL923" s="933"/>
      <c r="FM923" s="933"/>
      <c r="FN923" s="933"/>
      <c r="FO923" s="933"/>
      <c r="FP923" s="933"/>
      <c r="FQ923" s="933"/>
      <c r="FR923" s="933"/>
      <c r="FS923" s="933"/>
      <c r="FT923" s="933"/>
      <c r="FU923" s="933"/>
      <c r="FV923" s="933"/>
      <c r="FW923" s="933"/>
      <c r="FX923" s="933"/>
      <c r="FY923" s="933"/>
      <c r="FZ923" s="933"/>
      <c r="GA923" s="933"/>
      <c r="GB923" s="933"/>
      <c r="GC923" s="933"/>
      <c r="GD923" s="933"/>
      <c r="GE923" s="933"/>
      <c r="GF923" s="933"/>
      <c r="GG923" s="933"/>
      <c r="GH923" s="933"/>
      <c r="GI923" s="933"/>
      <c r="GJ923" s="933"/>
      <c r="GK923" s="933"/>
      <c r="GL923" s="933"/>
      <c r="GM923" s="933"/>
      <c r="GN923" s="933"/>
      <c r="GO923" s="933"/>
      <c r="GP923" s="933"/>
      <c r="GQ923" s="933"/>
      <c r="GR923" s="933"/>
      <c r="GS923" s="933"/>
      <c r="GT923" s="933"/>
      <c r="GU923" s="933"/>
      <c r="GV923" s="933"/>
      <c r="GW923" s="933"/>
      <c r="GX923" s="933"/>
      <c r="GY923" s="933"/>
      <c r="GZ923" s="933"/>
      <c r="HA923" s="933"/>
      <c r="HB923" s="933"/>
      <c r="HC923" s="933"/>
      <c r="HD923" s="933"/>
      <c r="HE923" s="933"/>
      <c r="HF923" s="933"/>
      <c r="HG923" s="933"/>
      <c r="HH923" s="933"/>
      <c r="HI923" s="933"/>
      <c r="HJ923" s="933"/>
      <c r="HK923" s="933"/>
      <c r="HL923" s="933"/>
      <c r="HM923" s="933"/>
      <c r="HN923" s="933"/>
      <c r="HO923" s="933"/>
      <c r="HP923" s="933"/>
      <c r="HQ923" s="933"/>
      <c r="HR923" s="933"/>
      <c r="HS923" s="933"/>
      <c r="HT923" s="933"/>
      <c r="HU923" s="933"/>
      <c r="HV923" s="933"/>
      <c r="HW923" s="933"/>
      <c r="HX923" s="933"/>
      <c r="HY923" s="933"/>
      <c r="HZ923" s="933"/>
      <c r="IA923" s="933"/>
      <c r="IB923" s="933"/>
      <c r="IC923" s="933"/>
      <c r="ID923" s="933"/>
      <c r="IE923" s="933"/>
      <c r="IF923" s="933"/>
      <c r="IG923" s="933"/>
      <c r="IH923" s="933"/>
      <c r="II923" s="933"/>
      <c r="IJ923" s="933"/>
      <c r="IK923" s="933"/>
      <c r="IL923" s="933"/>
      <c r="IM923" s="933"/>
      <c r="IN923" s="933"/>
      <c r="IO923" s="933"/>
      <c r="IP923" s="933"/>
      <c r="IQ923" s="933"/>
      <c r="IR923" s="933"/>
      <c r="IS923" s="933"/>
      <c r="IT923" s="933"/>
      <c r="IU923" s="933"/>
      <c r="IV923" s="933"/>
    </row>
    <row r="924" spans="1:256" s="956" customFormat="1" ht="11.4">
      <c r="A924" s="957">
        <v>2</v>
      </c>
      <c r="B924" s="933" t="s">
        <v>141</v>
      </c>
      <c r="C924" s="957"/>
      <c r="D924" s="933" t="s">
        <v>859</v>
      </c>
      <c r="E924" s="933"/>
      <c r="F924" s="933"/>
      <c r="G924" s="936" t="s">
        <v>860</v>
      </c>
      <c r="H924" s="937">
        <v>620</v>
      </c>
      <c r="I924" s="933" t="s">
        <v>729</v>
      </c>
      <c r="J924" s="933"/>
      <c r="K924" s="940" t="s">
        <v>7</v>
      </c>
      <c r="L924" s="933"/>
      <c r="M924" s="933"/>
      <c r="N924" s="933"/>
      <c r="O924" s="938">
        <v>2</v>
      </c>
      <c r="P924" s="939"/>
      <c r="Q924" s="940">
        <v>0.2</v>
      </c>
      <c r="R924" s="941">
        <f t="shared" si="37"/>
        <v>0.4</v>
      </c>
      <c r="S924" s="940">
        <v>0.03</v>
      </c>
      <c r="T924" s="942">
        <f t="shared" si="38"/>
        <v>0.06</v>
      </c>
      <c r="U924" s="933"/>
      <c r="V924" s="933"/>
      <c r="W924" s="933"/>
      <c r="X924" s="933"/>
      <c r="Y924" s="933"/>
      <c r="Z924" s="933"/>
      <c r="AA924" s="933"/>
      <c r="AB924" s="933"/>
      <c r="AC924" s="933"/>
      <c r="AD924" s="933"/>
      <c r="AE924" s="933"/>
      <c r="AF924" s="933"/>
      <c r="AG924" s="933"/>
      <c r="AH924" s="933"/>
      <c r="AI924" s="933"/>
      <c r="AJ924" s="933"/>
      <c r="AK924" s="933"/>
      <c r="AL924" s="933"/>
      <c r="AM924" s="933"/>
      <c r="AN924" s="933"/>
      <c r="AO924" s="933"/>
      <c r="AP924" s="933"/>
      <c r="AQ924" s="933"/>
      <c r="AR924" s="933"/>
      <c r="AS924" s="933"/>
      <c r="AT924" s="933"/>
      <c r="AU924" s="933"/>
      <c r="AV924" s="933"/>
      <c r="AW924" s="933"/>
      <c r="AX924" s="933"/>
      <c r="AY924" s="933"/>
      <c r="AZ924" s="933"/>
      <c r="BA924" s="933"/>
      <c r="BB924" s="933"/>
      <c r="BC924" s="933"/>
      <c r="BD924" s="933"/>
      <c r="BE924" s="933"/>
      <c r="BF924" s="933"/>
      <c r="BG924" s="933"/>
      <c r="BH924" s="933"/>
      <c r="BI924" s="933"/>
      <c r="BJ924" s="933"/>
      <c r="BK924" s="933"/>
      <c r="BL924" s="933"/>
      <c r="BM924" s="933"/>
      <c r="BN924" s="933"/>
      <c r="BO924" s="933"/>
      <c r="BP924" s="933"/>
      <c r="BQ924" s="933"/>
      <c r="BR924" s="933"/>
      <c r="BS924" s="933"/>
      <c r="BT924" s="933"/>
      <c r="BU924" s="933"/>
      <c r="BV924" s="933"/>
      <c r="BW924" s="933"/>
      <c r="BX924" s="933"/>
      <c r="BY924" s="933"/>
      <c r="BZ924" s="933"/>
      <c r="CA924" s="933"/>
      <c r="CB924" s="933"/>
      <c r="CC924" s="933"/>
      <c r="CD924" s="933"/>
      <c r="CE924" s="933"/>
      <c r="CF924" s="933"/>
      <c r="CG924" s="933"/>
      <c r="CH924" s="933"/>
      <c r="CI924" s="933"/>
      <c r="CJ924" s="933"/>
      <c r="CK924" s="933"/>
      <c r="CL924" s="933"/>
      <c r="CM924" s="933"/>
      <c r="CN924" s="933"/>
      <c r="CO924" s="933"/>
      <c r="CP924" s="933"/>
      <c r="CQ924" s="933"/>
      <c r="CR924" s="933"/>
      <c r="CS924" s="933"/>
      <c r="CT924" s="933"/>
      <c r="CU924" s="933"/>
      <c r="CV924" s="933"/>
      <c r="CW924" s="933"/>
      <c r="CX924" s="933"/>
      <c r="CY924" s="933"/>
      <c r="CZ924" s="933"/>
      <c r="DA924" s="933"/>
      <c r="DB924" s="933"/>
      <c r="DC924" s="933"/>
      <c r="DD924" s="933"/>
      <c r="DE924" s="933"/>
      <c r="DF924" s="933"/>
      <c r="DG924" s="933"/>
      <c r="DH924" s="933"/>
      <c r="DI924" s="933"/>
      <c r="DJ924" s="933"/>
      <c r="DK924" s="933"/>
      <c r="DL924" s="933"/>
      <c r="DM924" s="933"/>
      <c r="DN924" s="933"/>
      <c r="DO924" s="933"/>
      <c r="DP924" s="933"/>
      <c r="DQ924" s="933"/>
      <c r="DR924" s="933"/>
      <c r="DS924" s="933"/>
      <c r="DT924" s="933"/>
      <c r="DU924" s="933"/>
      <c r="DV924" s="933"/>
      <c r="DW924" s="933"/>
      <c r="DX924" s="933"/>
      <c r="DY924" s="933"/>
      <c r="DZ924" s="933"/>
      <c r="EA924" s="933"/>
      <c r="EB924" s="933"/>
      <c r="EC924" s="933"/>
      <c r="ED924" s="933"/>
      <c r="EE924" s="933"/>
      <c r="EF924" s="933"/>
      <c r="EG924" s="933"/>
      <c r="EH924" s="933"/>
      <c r="EI924" s="933"/>
      <c r="EJ924" s="933"/>
      <c r="EK924" s="933"/>
      <c r="EL924" s="933"/>
      <c r="EM924" s="933"/>
      <c r="EN924" s="933"/>
      <c r="EO924" s="933"/>
      <c r="EP924" s="933"/>
      <c r="EQ924" s="933"/>
      <c r="ER924" s="933"/>
      <c r="ES924" s="933"/>
      <c r="ET924" s="933"/>
      <c r="EU924" s="933"/>
      <c r="EV924" s="933"/>
      <c r="EW924" s="933"/>
      <c r="EX924" s="933"/>
      <c r="EY924" s="933"/>
      <c r="EZ924" s="933"/>
      <c r="FA924" s="933"/>
      <c r="FB924" s="933"/>
      <c r="FC924" s="933"/>
      <c r="FD924" s="933"/>
      <c r="FE924" s="933"/>
      <c r="FF924" s="933"/>
      <c r="FG924" s="933"/>
      <c r="FH924" s="933"/>
      <c r="FI924" s="933"/>
      <c r="FJ924" s="933"/>
      <c r="FK924" s="933"/>
      <c r="FL924" s="933"/>
      <c r="FM924" s="933"/>
      <c r="FN924" s="933"/>
      <c r="FO924" s="933"/>
      <c r="FP924" s="933"/>
      <c r="FQ924" s="933"/>
      <c r="FR924" s="933"/>
      <c r="FS924" s="933"/>
      <c r="FT924" s="933"/>
      <c r="FU924" s="933"/>
      <c r="FV924" s="933"/>
      <c r="FW924" s="933"/>
      <c r="FX924" s="933"/>
      <c r="FY924" s="933"/>
      <c r="FZ924" s="933"/>
      <c r="GA924" s="933"/>
      <c r="GB924" s="933"/>
      <c r="GC924" s="933"/>
      <c r="GD924" s="933"/>
      <c r="GE924" s="933"/>
      <c r="GF924" s="933"/>
      <c r="GG924" s="933"/>
      <c r="GH924" s="933"/>
      <c r="GI924" s="933"/>
      <c r="GJ924" s="933"/>
      <c r="GK924" s="933"/>
      <c r="GL924" s="933"/>
      <c r="GM924" s="933"/>
      <c r="GN924" s="933"/>
      <c r="GO924" s="933"/>
      <c r="GP924" s="933"/>
      <c r="GQ924" s="933"/>
      <c r="GR924" s="933"/>
      <c r="GS924" s="933"/>
      <c r="GT924" s="933"/>
      <c r="GU924" s="933"/>
      <c r="GV924" s="933"/>
      <c r="GW924" s="933"/>
      <c r="GX924" s="933"/>
      <c r="GY924" s="933"/>
      <c r="GZ924" s="933"/>
      <c r="HA924" s="933"/>
      <c r="HB924" s="933"/>
      <c r="HC924" s="933"/>
      <c r="HD924" s="933"/>
      <c r="HE924" s="933"/>
      <c r="HF924" s="933"/>
      <c r="HG924" s="933"/>
      <c r="HH924" s="933"/>
      <c r="HI924" s="933"/>
      <c r="HJ924" s="933"/>
      <c r="HK924" s="933"/>
      <c r="HL924" s="933"/>
      <c r="HM924" s="933"/>
      <c r="HN924" s="933"/>
      <c r="HO924" s="933"/>
      <c r="HP924" s="933"/>
      <c r="HQ924" s="933"/>
      <c r="HR924" s="933"/>
      <c r="HS924" s="933"/>
      <c r="HT924" s="933"/>
      <c r="HU924" s="933"/>
      <c r="HV924" s="933"/>
      <c r="HW924" s="933"/>
      <c r="HX924" s="933"/>
      <c r="HY924" s="933"/>
      <c r="HZ924" s="933"/>
      <c r="IA924" s="933"/>
      <c r="IB924" s="933"/>
      <c r="IC924" s="933"/>
      <c r="ID924" s="933"/>
      <c r="IE924" s="933"/>
      <c r="IF924" s="933"/>
      <c r="IG924" s="933"/>
      <c r="IH924" s="933"/>
      <c r="II924" s="933"/>
      <c r="IJ924" s="933"/>
      <c r="IK924" s="933"/>
      <c r="IL924" s="933"/>
      <c r="IM924" s="933"/>
      <c r="IN924" s="933"/>
      <c r="IO924" s="933"/>
      <c r="IP924" s="933"/>
      <c r="IQ924" s="933"/>
      <c r="IR924" s="933"/>
      <c r="IS924" s="933"/>
      <c r="IT924" s="933"/>
      <c r="IU924" s="933"/>
      <c r="IV924" s="933"/>
    </row>
    <row r="925" spans="1:256" s="956" customFormat="1" ht="11.4">
      <c r="A925" s="957">
        <v>6</v>
      </c>
      <c r="B925" s="933" t="s">
        <v>141</v>
      </c>
      <c r="C925" s="957"/>
      <c r="D925" s="933" t="s">
        <v>861</v>
      </c>
      <c r="E925" s="933"/>
      <c r="F925" s="933"/>
      <c r="G925" s="936" t="s">
        <v>862</v>
      </c>
      <c r="H925" s="937">
        <v>620</v>
      </c>
      <c r="I925" s="933" t="s">
        <v>741</v>
      </c>
      <c r="J925" s="933"/>
      <c r="K925" s="940" t="s">
        <v>7</v>
      </c>
      <c r="L925" s="933"/>
      <c r="M925" s="933"/>
      <c r="N925" s="933"/>
      <c r="O925" s="938">
        <v>2</v>
      </c>
      <c r="P925" s="939">
        <v>34669</v>
      </c>
      <c r="Q925" s="940">
        <v>0.05</v>
      </c>
      <c r="R925" s="941">
        <f t="shared" si="37"/>
        <v>0.30000000000000004</v>
      </c>
      <c r="S925" s="940">
        <v>0.01</v>
      </c>
      <c r="T925" s="942">
        <f t="shared" si="38"/>
        <v>0.06</v>
      </c>
      <c r="U925" s="933"/>
      <c r="V925" s="933"/>
      <c r="W925" s="933"/>
      <c r="X925" s="933"/>
      <c r="Y925" s="933"/>
      <c r="Z925" s="933"/>
      <c r="AA925" s="933"/>
      <c r="AB925" s="933"/>
      <c r="AC925" s="933"/>
      <c r="AD925" s="933"/>
      <c r="AE925" s="933"/>
      <c r="AF925" s="933"/>
      <c r="AG925" s="933"/>
      <c r="AH925" s="933"/>
      <c r="AI925" s="933"/>
      <c r="AJ925" s="933"/>
      <c r="AK925" s="933"/>
      <c r="AL925" s="933"/>
      <c r="AM925" s="933"/>
      <c r="AN925" s="933"/>
      <c r="AO925" s="933"/>
      <c r="AP925" s="933"/>
      <c r="AQ925" s="933"/>
      <c r="AR925" s="933"/>
      <c r="AS925" s="933"/>
      <c r="AT925" s="933"/>
      <c r="AU925" s="933"/>
      <c r="AV925" s="933"/>
      <c r="AW925" s="933"/>
      <c r="AX925" s="933"/>
      <c r="AY925" s="933"/>
      <c r="AZ925" s="933"/>
      <c r="BA925" s="933"/>
      <c r="BB925" s="933"/>
      <c r="BC925" s="933"/>
      <c r="BD925" s="933"/>
      <c r="BE925" s="933"/>
      <c r="BF925" s="933"/>
      <c r="BG925" s="933"/>
      <c r="BH925" s="933"/>
      <c r="BI925" s="933"/>
      <c r="BJ925" s="933"/>
      <c r="BK925" s="933"/>
      <c r="BL925" s="933"/>
      <c r="BM925" s="933"/>
      <c r="BN925" s="933"/>
      <c r="BO925" s="933"/>
      <c r="BP925" s="933"/>
      <c r="BQ925" s="933"/>
      <c r="BR925" s="933"/>
      <c r="BS925" s="933"/>
      <c r="BT925" s="933"/>
      <c r="BU925" s="933"/>
      <c r="BV925" s="933"/>
      <c r="BW925" s="933"/>
      <c r="BX925" s="933"/>
      <c r="BY925" s="933"/>
      <c r="BZ925" s="933"/>
      <c r="CA925" s="933"/>
      <c r="CB925" s="933"/>
      <c r="CC925" s="933"/>
      <c r="CD925" s="933"/>
      <c r="CE925" s="933"/>
      <c r="CF925" s="933"/>
      <c r="CG925" s="933"/>
      <c r="CH925" s="933"/>
      <c r="CI925" s="933"/>
      <c r="CJ925" s="933"/>
      <c r="CK925" s="933"/>
      <c r="CL925" s="933"/>
      <c r="CM925" s="933"/>
      <c r="CN925" s="933"/>
      <c r="CO925" s="933"/>
      <c r="CP925" s="933"/>
      <c r="CQ925" s="933"/>
      <c r="CR925" s="933"/>
      <c r="CS925" s="933"/>
      <c r="CT925" s="933"/>
      <c r="CU925" s="933"/>
      <c r="CV925" s="933"/>
      <c r="CW925" s="933"/>
      <c r="CX925" s="933"/>
      <c r="CY925" s="933"/>
      <c r="CZ925" s="933"/>
      <c r="DA925" s="933"/>
      <c r="DB925" s="933"/>
      <c r="DC925" s="933"/>
      <c r="DD925" s="933"/>
      <c r="DE925" s="933"/>
      <c r="DF925" s="933"/>
      <c r="DG925" s="933"/>
      <c r="DH925" s="933"/>
      <c r="DI925" s="933"/>
      <c r="DJ925" s="933"/>
      <c r="DK925" s="933"/>
      <c r="DL925" s="933"/>
      <c r="DM925" s="933"/>
      <c r="DN925" s="933"/>
      <c r="DO925" s="933"/>
      <c r="DP925" s="933"/>
      <c r="DQ925" s="933"/>
      <c r="DR925" s="933"/>
      <c r="DS925" s="933"/>
      <c r="DT925" s="933"/>
      <c r="DU925" s="933"/>
      <c r="DV925" s="933"/>
      <c r="DW925" s="933"/>
      <c r="DX925" s="933"/>
      <c r="DY925" s="933"/>
      <c r="DZ925" s="933"/>
      <c r="EA925" s="933"/>
      <c r="EB925" s="933"/>
      <c r="EC925" s="933"/>
      <c r="ED925" s="933"/>
      <c r="EE925" s="933"/>
      <c r="EF925" s="933"/>
      <c r="EG925" s="933"/>
      <c r="EH925" s="933"/>
      <c r="EI925" s="933"/>
      <c r="EJ925" s="933"/>
      <c r="EK925" s="933"/>
      <c r="EL925" s="933"/>
      <c r="EM925" s="933"/>
      <c r="EN925" s="933"/>
      <c r="EO925" s="933"/>
      <c r="EP925" s="933"/>
      <c r="EQ925" s="933"/>
      <c r="ER925" s="933"/>
      <c r="ES925" s="933"/>
      <c r="ET925" s="933"/>
      <c r="EU925" s="933"/>
      <c r="EV925" s="933"/>
      <c r="EW925" s="933"/>
      <c r="EX925" s="933"/>
      <c r="EY925" s="933"/>
      <c r="EZ925" s="933"/>
      <c r="FA925" s="933"/>
      <c r="FB925" s="933"/>
      <c r="FC925" s="933"/>
      <c r="FD925" s="933"/>
      <c r="FE925" s="933"/>
      <c r="FF925" s="933"/>
      <c r="FG925" s="933"/>
      <c r="FH925" s="933"/>
      <c r="FI925" s="933"/>
      <c r="FJ925" s="933"/>
      <c r="FK925" s="933"/>
      <c r="FL925" s="933"/>
      <c r="FM925" s="933"/>
      <c r="FN925" s="933"/>
      <c r="FO925" s="933"/>
      <c r="FP925" s="933"/>
      <c r="FQ925" s="933"/>
      <c r="FR925" s="933"/>
      <c r="FS925" s="933"/>
      <c r="FT925" s="933"/>
      <c r="FU925" s="933"/>
      <c r="FV925" s="933"/>
      <c r="FW925" s="933"/>
      <c r="FX925" s="933"/>
      <c r="FY925" s="933"/>
      <c r="FZ925" s="933"/>
      <c r="GA925" s="933"/>
      <c r="GB925" s="933"/>
      <c r="GC925" s="933"/>
      <c r="GD925" s="933"/>
      <c r="GE925" s="933"/>
      <c r="GF925" s="933"/>
      <c r="GG925" s="933"/>
      <c r="GH925" s="933"/>
      <c r="GI925" s="933"/>
      <c r="GJ925" s="933"/>
      <c r="GK925" s="933"/>
      <c r="GL925" s="933"/>
      <c r="GM925" s="933"/>
      <c r="GN925" s="933"/>
      <c r="GO925" s="933"/>
      <c r="GP925" s="933"/>
      <c r="GQ925" s="933"/>
      <c r="GR925" s="933"/>
      <c r="GS925" s="933"/>
      <c r="GT925" s="933"/>
      <c r="GU925" s="933"/>
      <c r="GV925" s="933"/>
      <c r="GW925" s="933"/>
      <c r="GX925" s="933"/>
      <c r="GY925" s="933"/>
      <c r="GZ925" s="933"/>
      <c r="HA925" s="933"/>
      <c r="HB925" s="933"/>
      <c r="HC925" s="933"/>
      <c r="HD925" s="933"/>
      <c r="HE925" s="933"/>
      <c r="HF925" s="933"/>
      <c r="HG925" s="933"/>
      <c r="HH925" s="933"/>
      <c r="HI925" s="933"/>
      <c r="HJ925" s="933"/>
      <c r="HK925" s="933"/>
      <c r="HL925" s="933"/>
      <c r="HM925" s="933"/>
      <c r="HN925" s="933"/>
      <c r="HO925" s="933"/>
      <c r="HP925" s="933"/>
      <c r="HQ925" s="933"/>
      <c r="HR925" s="933"/>
      <c r="HS925" s="933"/>
      <c r="HT925" s="933"/>
      <c r="HU925" s="933"/>
      <c r="HV925" s="933"/>
      <c r="HW925" s="933"/>
      <c r="HX925" s="933"/>
      <c r="HY925" s="933"/>
      <c r="HZ925" s="933"/>
      <c r="IA925" s="933"/>
      <c r="IB925" s="933"/>
      <c r="IC925" s="933"/>
      <c r="ID925" s="933"/>
      <c r="IE925" s="933"/>
      <c r="IF925" s="933"/>
      <c r="IG925" s="933"/>
      <c r="IH925" s="933"/>
      <c r="II925" s="933"/>
      <c r="IJ925" s="933"/>
      <c r="IK925" s="933"/>
      <c r="IL925" s="933"/>
      <c r="IM925" s="933"/>
      <c r="IN925" s="933"/>
      <c r="IO925" s="933"/>
      <c r="IP925" s="933"/>
      <c r="IQ925" s="933"/>
      <c r="IR925" s="933"/>
      <c r="IS925" s="933"/>
      <c r="IT925" s="933"/>
      <c r="IU925" s="933"/>
      <c r="IV925" s="933"/>
    </row>
    <row r="926" spans="1:256" s="933" customFormat="1" ht="11.4">
      <c r="A926" s="957">
        <v>1</v>
      </c>
      <c r="B926" s="933" t="s">
        <v>141</v>
      </c>
      <c r="C926" s="957"/>
      <c r="D926" s="933" t="s">
        <v>776</v>
      </c>
      <c r="F926" s="933" t="s">
        <v>901</v>
      </c>
      <c r="G926" s="936" t="s">
        <v>777</v>
      </c>
      <c r="H926" s="937">
        <v>900</v>
      </c>
      <c r="I926" s="933" t="s">
        <v>778</v>
      </c>
      <c r="K926" s="933" t="s">
        <v>7</v>
      </c>
      <c r="O926" s="938">
        <v>1</v>
      </c>
      <c r="P926" s="939"/>
      <c r="Q926" s="983"/>
      <c r="R926" s="941">
        <f>$A926*Q926</f>
        <v>0</v>
      </c>
      <c r="S926" s="940">
        <v>0.5</v>
      </c>
      <c r="T926" s="942">
        <f t="shared" si="38"/>
        <v>0.5</v>
      </c>
      <c r="U926" s="933" t="s">
        <v>863</v>
      </c>
    </row>
    <row r="927" spans="1:256" s="519" customFormat="1" ht="13.95" customHeight="1">
      <c r="A927" s="49"/>
      <c r="B927" s="528"/>
      <c r="C927" s="528"/>
      <c r="D927" s="528"/>
      <c r="E927" s="528"/>
      <c r="F927" s="528"/>
      <c r="G927" s="528"/>
      <c r="H927" s="801"/>
      <c r="I927" s="528"/>
      <c r="J927" s="48"/>
      <c r="K927" s="805"/>
      <c r="L927" s="806"/>
      <c r="M927" s="528"/>
      <c r="N927" s="528"/>
      <c r="O927" s="48"/>
      <c r="P927" s="528"/>
      <c r="Q927" s="528"/>
      <c r="R927" s="807">
        <f>$A927*Q927</f>
        <v>0</v>
      </c>
      <c r="S927" s="528"/>
      <c r="T927" s="643">
        <f t="shared" si="35"/>
        <v>0</v>
      </c>
    </row>
    <row r="928" spans="1:256" s="519" customFormat="1" ht="12">
      <c r="A928" s="808" t="s">
        <v>145</v>
      </c>
      <c r="B928" s="809">
        <f>(R927+T927)</f>
        <v>0</v>
      </c>
      <c r="C928" s="641"/>
      <c r="G928" s="810"/>
      <c r="H928" s="810"/>
      <c r="I928" s="810"/>
      <c r="J928" s="810"/>
      <c r="K928" s="811" t="s">
        <v>3</v>
      </c>
      <c r="L928" s="812" t="s">
        <v>590</v>
      </c>
      <c r="M928" s="810"/>
      <c r="N928" s="810"/>
      <c r="O928" s="810"/>
      <c r="P928" s="810"/>
      <c r="Q928" s="813"/>
      <c r="R928" s="814">
        <f ca="1">SUM(R894:R927)</f>
        <v>312.76000000000005</v>
      </c>
      <c r="S928" s="815"/>
      <c r="T928" s="814">
        <f ca="1">SUM(T894:T927)</f>
        <v>39.99</v>
      </c>
      <c r="AG928" s="816">
        <f ca="1">ROUND($R928*$S$2,2)</f>
        <v>312.76</v>
      </c>
    </row>
    <row r="929" spans="1:41" s="519" customFormat="1" ht="12" customHeight="1">
      <c r="A929" s="817"/>
      <c r="B929" s="818"/>
      <c r="C929" s="819"/>
      <c r="D929" s="819" t="str">
        <f>$F$3</f>
        <v>ECA</v>
      </c>
      <c r="E929" s="819">
        <f>ROUND(($R934*$S$3 + ($T934*$T$3)), 2)</f>
        <v>7411.31</v>
      </c>
      <c r="F929" s="820">
        <f ca="1">$F891-SUMIF($L893:$P896,"SUBI",$F893:$F896)</f>
        <v>7411.31</v>
      </c>
      <c r="G929" s="518"/>
      <c r="H929" s="518"/>
      <c r="I929" s="518"/>
      <c r="J929" s="518"/>
      <c r="K929" s="802" t="s">
        <v>5</v>
      </c>
      <c r="L929" s="803" t="s">
        <v>590</v>
      </c>
      <c r="M929" s="518"/>
      <c r="N929" s="518"/>
      <c r="O929" s="518"/>
      <c r="P929" s="518"/>
      <c r="Q929" s="518"/>
      <c r="R929" s="821"/>
      <c r="S929" s="518"/>
      <c r="T929" s="821"/>
    </row>
    <row r="930" spans="1:41" s="933" customFormat="1" ht="13.2">
      <c r="A930">
        <v>1</v>
      </c>
      <c r="B930" s="933" t="s">
        <v>141</v>
      </c>
      <c r="D930" s="933" t="s">
        <v>785</v>
      </c>
      <c r="E930" s="935" t="s">
        <v>807</v>
      </c>
      <c r="F930" s="933" t="s">
        <v>974</v>
      </c>
      <c r="G930" s="936" t="s">
        <v>786</v>
      </c>
      <c r="H930" s="937">
        <v>570</v>
      </c>
      <c r="I930" s="933" t="s">
        <v>729</v>
      </c>
      <c r="O930" s="938">
        <v>2</v>
      </c>
      <c r="P930" s="939">
        <v>38443</v>
      </c>
      <c r="Q930" s="1058">
        <v>6871.95</v>
      </c>
      <c r="R930" s="941">
        <f>$A930*Q930</f>
        <v>6871.95</v>
      </c>
      <c r="S930" s="940"/>
      <c r="T930" s="942">
        <f>$A930*S930*$T$1</f>
        <v>0</v>
      </c>
    </row>
    <row r="931" spans="1:41" s="933" customFormat="1" ht="13.2">
      <c r="A931">
        <v>1</v>
      </c>
      <c r="B931" s="933" t="s">
        <v>141</v>
      </c>
      <c r="D931" s="933" t="s">
        <v>785</v>
      </c>
      <c r="E931" s="935" t="s">
        <v>885</v>
      </c>
      <c r="F931" s="933" t="s">
        <v>974</v>
      </c>
      <c r="G931" s="936" t="s">
        <v>786</v>
      </c>
      <c r="H931" s="937">
        <v>570</v>
      </c>
      <c r="I931" s="933" t="s">
        <v>729</v>
      </c>
      <c r="O931" s="938">
        <v>2</v>
      </c>
      <c r="P931" s="939">
        <v>38443</v>
      </c>
      <c r="Q931" s="940"/>
      <c r="R931" s="941">
        <f>$A931*Q931</f>
        <v>0</v>
      </c>
      <c r="S931" s="1058">
        <v>16</v>
      </c>
      <c r="T931" s="942">
        <f>$A931*S931*$T$1</f>
        <v>16</v>
      </c>
    </row>
    <row r="932" spans="1:41" s="933" customFormat="1" ht="13.2">
      <c r="A932">
        <v>2</v>
      </c>
      <c r="B932" s="933" t="s">
        <v>141</v>
      </c>
      <c r="D932" s="933" t="s">
        <v>881</v>
      </c>
      <c r="F932" s="933" t="s">
        <v>902</v>
      </c>
      <c r="G932" s="936" t="s">
        <v>882</v>
      </c>
      <c r="H932" s="937">
        <v>512</v>
      </c>
      <c r="I932" s="933" t="s">
        <v>729</v>
      </c>
      <c r="O932" s="938">
        <v>2</v>
      </c>
      <c r="P932" s="939"/>
      <c r="Q932" s="940">
        <v>50</v>
      </c>
      <c r="R932" s="941">
        <f>$A932*Q932</f>
        <v>100</v>
      </c>
      <c r="S932" s="940"/>
      <c r="T932" s="942">
        <f>$A932*S932*$T$1</f>
        <v>0</v>
      </c>
    </row>
    <row r="933" spans="1:41" s="519" customFormat="1" ht="13.2">
      <c r="A933" s="49"/>
      <c r="B933" s="528"/>
      <c r="C933" s="528"/>
      <c r="D933" s="3"/>
      <c r="E933" s="528"/>
      <c r="F933" s="528"/>
      <c r="G933" s="528"/>
      <c r="H933" s="528"/>
      <c r="I933" s="528"/>
      <c r="J933" s="528"/>
      <c r="K933" s="528"/>
      <c r="L933" s="806"/>
      <c r="M933" s="528"/>
      <c r="N933" s="528"/>
      <c r="O933" s="528"/>
      <c r="P933" s="528"/>
      <c r="Q933" s="528"/>
      <c r="R933" s="807">
        <f>$A933*Q933</f>
        <v>0</v>
      </c>
      <c r="S933" s="528"/>
      <c r="T933" s="643">
        <f>$A933*S933*$T$1</f>
        <v>0</v>
      </c>
    </row>
    <row r="934" spans="1:41" s="519" customFormat="1" ht="12" customHeight="1">
      <c r="A934" s="835" t="s">
        <v>145</v>
      </c>
      <c r="B934" s="836">
        <f>(R933+T933)</f>
        <v>0</v>
      </c>
      <c r="C934" s="837"/>
      <c r="D934" s="837"/>
      <c r="E934" s="837"/>
      <c r="F934" s="837"/>
      <c r="G934" s="813"/>
      <c r="H934" s="813"/>
      <c r="I934" s="813"/>
      <c r="J934" s="813"/>
      <c r="K934" s="838" t="s">
        <v>5</v>
      </c>
      <c r="L934" s="839" t="s">
        <v>590</v>
      </c>
      <c r="M934" s="813"/>
      <c r="N934" s="813"/>
      <c r="O934" s="813"/>
      <c r="P934" s="813"/>
      <c r="Q934" s="813"/>
      <c r="R934" s="814">
        <f>SUM(R929:R933)</f>
        <v>6971.95</v>
      </c>
      <c r="S934" s="815"/>
      <c r="T934" s="814">
        <f>SUM(T929:T933)</f>
        <v>16</v>
      </c>
      <c r="AG934" s="840">
        <f>ROUND($R934*$S$3,2)</f>
        <v>6971.95</v>
      </c>
    </row>
    <row r="935" spans="1:41" s="519" customFormat="1" ht="12.75" customHeight="1">
      <c r="A935" s="841"/>
      <c r="B935" s="842"/>
      <c r="E935" s="641"/>
      <c r="F935" s="843"/>
      <c r="G935" s="641"/>
      <c r="H935" s="641"/>
      <c r="I935" s="518"/>
      <c r="J935" s="641"/>
      <c r="K935" s="641"/>
      <c r="L935" s="844"/>
      <c r="M935" s="652"/>
      <c r="N935" s="652"/>
      <c r="O935" s="652"/>
      <c r="P935" s="652"/>
      <c r="Q935" s="653"/>
      <c r="R935" s="821"/>
      <c r="S935" s="641"/>
      <c r="T935" s="821"/>
    </row>
    <row r="936" spans="1:41" s="519" customFormat="1" ht="13.5" customHeight="1" thickBot="1">
      <c r="A936" s="845"/>
      <c r="B936" s="846"/>
      <c r="C936" s="529"/>
      <c r="D936" s="529"/>
      <c r="E936" s="646"/>
      <c r="F936" s="647"/>
      <c r="G936" s="646" t="s">
        <v>146</v>
      </c>
      <c r="H936" s="646"/>
      <c r="I936" s="648"/>
      <c r="J936" s="646"/>
      <c r="K936" s="646"/>
      <c r="L936" s="847" t="s">
        <v>143</v>
      </c>
      <c r="M936" s="649"/>
      <c r="N936" s="649"/>
      <c r="O936" s="649"/>
      <c r="P936" s="649"/>
      <c r="Q936" s="650"/>
      <c r="R936" s="848">
        <f ca="1">SUMIF($L892:$L935,"SUBI",R892:R935)</f>
        <v>7284.71</v>
      </c>
      <c r="S936" s="646"/>
      <c r="T936" s="848">
        <f ca="1">SUMIF($L892:$L935,"SUBI",T892:T935)</f>
        <v>55.99</v>
      </c>
      <c r="U936" s="529"/>
      <c r="V936" s="529"/>
      <c r="W936" s="529"/>
      <c r="X936" s="529"/>
      <c r="Y936" s="529"/>
      <c r="Z936" s="529"/>
      <c r="AA936" s="529"/>
      <c r="AB936" s="529"/>
      <c r="AC936" s="529"/>
      <c r="AD936" s="529"/>
      <c r="AE936" s="529"/>
      <c r="AF936" s="529"/>
      <c r="AG936" s="529"/>
      <c r="AH936" s="529"/>
      <c r="AI936" s="529"/>
      <c r="AJ936" s="529"/>
      <c r="AK936" s="529"/>
      <c r="AL936" s="529"/>
      <c r="AM936" s="529"/>
      <c r="AN936" s="529"/>
      <c r="AO936" s="529"/>
    </row>
    <row r="937" spans="1:41" s="519" customFormat="1" thickTop="1">
      <c r="A937" s="47"/>
      <c r="B937" s="40"/>
      <c r="C937" s="47"/>
      <c r="E937" s="41" t="s">
        <v>138</v>
      </c>
      <c r="F937" s="41" t="s">
        <v>139</v>
      </c>
      <c r="G937" s="47"/>
      <c r="H937" s="47"/>
      <c r="I937" s="47"/>
      <c r="J937" s="47"/>
      <c r="K937" s="47" t="s">
        <v>140</v>
      </c>
      <c r="L937" s="774"/>
      <c r="M937" s="47"/>
      <c r="N937" s="47"/>
      <c r="O937" s="48"/>
      <c r="P937" s="47"/>
      <c r="Q937"/>
      <c r="R937"/>
      <c r="S937"/>
      <c r="T937" s="40"/>
      <c r="AG937" s="627" t="s">
        <v>277</v>
      </c>
      <c r="AH937" s="627" t="s">
        <v>278</v>
      </c>
      <c r="AI937" s="627" t="s">
        <v>279</v>
      </c>
      <c r="AJ937" s="627" t="s">
        <v>280</v>
      </c>
      <c r="AK937" s="627" t="s">
        <v>281</v>
      </c>
      <c r="AM937" s="628" t="s">
        <v>290</v>
      </c>
      <c r="AN937" s="629" t="s">
        <v>291</v>
      </c>
      <c r="AO937" s="520" t="s">
        <v>287</v>
      </c>
    </row>
    <row r="938" spans="1:41" s="519" customFormat="1" ht="13.2">
      <c r="A938" s="630">
        <v>1</v>
      </c>
      <c r="B938" s="521" t="s">
        <v>339</v>
      </c>
      <c r="C938" s="631"/>
      <c r="D938" s="632" t="s">
        <v>668</v>
      </c>
      <c r="E938" s="775">
        <f>IF(AND($A938=0,$A$1="DIF"),0, ROUND(ROUND(SUMIF($L940:$L953,"SUBI",$E940:$E953)/$A938,2)*$C$12,2))</f>
        <v>1374.75</v>
      </c>
      <c r="F938" s="776">
        <f>ROUND($A938*$E938,2)</f>
        <v>1374.75</v>
      </c>
      <c r="G938" s="635" t="s">
        <v>142</v>
      </c>
      <c r="H938" s="636"/>
      <c r="I938" s="637"/>
      <c r="J938" s="636"/>
      <c r="K938" s="777"/>
      <c r="L938" s="778" t="s">
        <v>143</v>
      </c>
      <c r="M938" s="638"/>
      <c r="N938" s="638"/>
      <c r="O938" s="638"/>
      <c r="P938" s="638"/>
      <c r="Q938"/>
      <c r="R938"/>
      <c r="S938"/>
      <c r="T938" s="779" t="str">
        <f>IF(AND($R959=0,$T959=0),"0.00","mu :" &amp; ROUND($F938/$C$12/($R959+$T959*$D$9),2))</f>
        <v>mu :1</v>
      </c>
      <c r="W938" s="522"/>
      <c r="AG938" s="780">
        <f>IF(A938=0,0,ROUND(SUM(AG940:AG959)/A938,2))</f>
        <v>1000.47</v>
      </c>
      <c r="AH938" s="780">
        <f>$AG938*$A938</f>
        <v>1000.47</v>
      </c>
      <c r="AI938" s="780">
        <f>$E938-$AG938</f>
        <v>374.28</v>
      </c>
      <c r="AJ938" s="780">
        <f>$A938*$AI938</f>
        <v>374.28</v>
      </c>
      <c r="AK938" s="781">
        <f>ROUND(($AG938+$AI938)*$A938,2)</f>
        <v>1374.75</v>
      </c>
      <c r="AM938" s="525">
        <f>ROUND(R959,2)</f>
        <v>1000.47</v>
      </c>
      <c r="AN938" s="526">
        <f>ROUND(T959,2)</f>
        <v>13.63</v>
      </c>
      <c r="AO938" s="527">
        <f>ROUND(AM938+AN938,2)*A938</f>
        <v>1014.1</v>
      </c>
    </row>
    <row r="939" spans="1:41" s="519" customFormat="1" ht="19.95" customHeight="1">
      <c r="A939" s="782"/>
      <c r="B939" s="783"/>
      <c r="C939" s="631"/>
      <c r="D939" s="784" t="s">
        <v>669</v>
      </c>
      <c r="F939" s="636"/>
      <c r="G939" s="636"/>
      <c r="H939" s="636"/>
      <c r="I939" s="637"/>
      <c r="J939" s="636"/>
      <c r="K939" s="636" t="s">
        <v>144</v>
      </c>
      <c r="L939" s="785"/>
      <c r="M939" s="636"/>
      <c r="N939" s="636"/>
      <c r="O939" s="636"/>
      <c r="P939" s="636"/>
      <c r="Q939" s="47"/>
      <c r="R939" s="528"/>
      <c r="S939" s="640"/>
      <c r="T939" s="636"/>
    </row>
    <row r="940" spans="1:41" s="519" customFormat="1" ht="12">
      <c r="A940" s="786"/>
      <c r="B940" s="787"/>
      <c r="C940" s="641"/>
      <c r="D940" s="636"/>
      <c r="E940" s="788">
        <f>F938/$C$12-SUMIF($L937:$L959,"SUBI",$E937:$E959)</f>
        <v>0</v>
      </c>
      <c r="F940" s="789" t="s">
        <v>589</v>
      </c>
      <c r="G940" s="790"/>
      <c r="H940" s="790"/>
      <c r="I940" s="791"/>
      <c r="J940" s="790"/>
      <c r="K940" s="790"/>
      <c r="L940" s="792"/>
      <c r="M940" s="793"/>
      <c r="N940" s="793"/>
      <c r="O940" s="793"/>
      <c r="P940" s="793"/>
      <c r="Q940" s="794"/>
      <c r="R940" s="795"/>
      <c r="S940" s="794"/>
      <c r="T940" s="796"/>
    </row>
    <row r="941" spans="1:41" s="519" customFormat="1" ht="12" customHeight="1">
      <c r="A941" s="797"/>
      <c r="B941" s="798"/>
      <c r="C941" s="799"/>
      <c r="D941" s="799" t="str">
        <f>$F$2</f>
        <v>Electrical</v>
      </c>
      <c r="E941" s="799">
        <f>ROUND(($R952*$S$2 + ($T952*$T$2)), 2)</f>
        <v>306.45999999999998</v>
      </c>
      <c r="F941" s="800">
        <f>$E941*$C$12</f>
        <v>306.45999999999998</v>
      </c>
      <c r="G941" s="528"/>
      <c r="H941" s="801"/>
      <c r="I941" s="528"/>
      <c r="J941" s="48"/>
      <c r="K941" s="802" t="s">
        <v>3</v>
      </c>
      <c r="L941" s="803" t="s">
        <v>590</v>
      </c>
      <c r="M941" s="528"/>
      <c r="N941" s="528"/>
      <c r="O941" s="48"/>
      <c r="P941" s="528"/>
      <c r="Q941" s="528"/>
      <c r="R941"/>
      <c r="S941"/>
      <c r="T941"/>
    </row>
    <row r="942" spans="1:41" s="933" customFormat="1" ht="13.2">
      <c r="A942">
        <v>1</v>
      </c>
      <c r="B942" s="933" t="s">
        <v>141</v>
      </c>
      <c r="D942" s="933" t="s">
        <v>785</v>
      </c>
      <c r="E942" s="935" t="s">
        <v>808</v>
      </c>
      <c r="F942" s="933" t="s">
        <v>803</v>
      </c>
      <c r="G942" s="936" t="s">
        <v>786</v>
      </c>
      <c r="H942" s="937">
        <v>570</v>
      </c>
      <c r="I942" s="933" t="s">
        <v>729</v>
      </c>
      <c r="O942" s="938">
        <v>2</v>
      </c>
      <c r="P942" s="939">
        <v>38443</v>
      </c>
      <c r="Q942" s="940"/>
      <c r="R942" s="941">
        <f>$A942*Q942</f>
        <v>0</v>
      </c>
      <c r="S942" s="940">
        <f>4+3</f>
        <v>7</v>
      </c>
      <c r="T942" s="942">
        <f>$A942*S942*$T$1</f>
        <v>7</v>
      </c>
    </row>
    <row r="943" spans="1:41" s="933" customFormat="1" ht="13.2">
      <c r="A943">
        <v>1</v>
      </c>
      <c r="B943" s="933" t="s">
        <v>141</v>
      </c>
      <c r="D943" s="933" t="s">
        <v>787</v>
      </c>
      <c r="G943" s="936" t="s">
        <v>788</v>
      </c>
      <c r="H943" s="937">
        <v>501</v>
      </c>
      <c r="I943" s="933" t="s">
        <v>729</v>
      </c>
      <c r="K943" s="933" t="s">
        <v>789</v>
      </c>
      <c r="O943" s="938">
        <v>1</v>
      </c>
      <c r="P943" s="939"/>
      <c r="Q943" s="1058">
        <v>50</v>
      </c>
      <c r="R943" s="941">
        <f>$A943*Q943</f>
        <v>50</v>
      </c>
      <c r="S943" s="940"/>
      <c r="T943" s="942">
        <f>$A943*S943*$T$1</f>
        <v>0</v>
      </c>
    </row>
    <row r="944" spans="1:41" s="933" customFormat="1" ht="13.2">
      <c r="A944"/>
      <c r="D944" s="978" t="s">
        <v>900</v>
      </c>
      <c r="E944" s="935"/>
      <c r="G944" s="936"/>
      <c r="H944" s="937"/>
      <c r="O944" s="938"/>
      <c r="P944" s="939"/>
      <c r="Q944" s="940"/>
      <c r="R944" s="941"/>
      <c r="S944" s="940"/>
      <c r="T944" s="942"/>
    </row>
    <row r="945" spans="1:256" s="933" customFormat="1" ht="11.4">
      <c r="A945" s="957">
        <v>3</v>
      </c>
      <c r="B945" s="933" t="s">
        <v>311</v>
      </c>
      <c r="D945" s="933" t="s">
        <v>851</v>
      </c>
      <c r="G945" s="936" t="s">
        <v>852</v>
      </c>
      <c r="H945" s="937">
        <v>690</v>
      </c>
      <c r="I945" s="933" t="s">
        <v>780</v>
      </c>
      <c r="J945" s="933" t="s">
        <v>781</v>
      </c>
      <c r="K945" s="940" t="s">
        <v>7</v>
      </c>
      <c r="O945" s="938">
        <v>1</v>
      </c>
      <c r="P945" s="939">
        <v>34669</v>
      </c>
      <c r="Q945" s="982">
        <v>3.66</v>
      </c>
      <c r="R945" s="941">
        <f>$A945*Q945</f>
        <v>10.98</v>
      </c>
      <c r="S945" s="940">
        <v>0.2</v>
      </c>
      <c r="T945" s="942">
        <f t="shared" ref="T945" si="39">$A945*S945*$T$1</f>
        <v>0.60000000000000009</v>
      </c>
    </row>
    <row r="946" spans="1:256" s="933" customFormat="1" ht="13.2">
      <c r="A946">
        <v>3</v>
      </c>
      <c r="B946" s="933" t="s">
        <v>311</v>
      </c>
      <c r="D946" s="933" t="s">
        <v>792</v>
      </c>
      <c r="G946" s="936" t="s">
        <v>793</v>
      </c>
      <c r="H946" s="937">
        <v>617</v>
      </c>
      <c r="I946" s="933" t="s">
        <v>729</v>
      </c>
      <c r="O946" s="938">
        <v>2</v>
      </c>
      <c r="P946" s="939">
        <v>40767</v>
      </c>
      <c r="Q946" s="940">
        <v>1.5</v>
      </c>
      <c r="R946" s="941">
        <f>$A946*Q946</f>
        <v>4.5</v>
      </c>
      <c r="S946" s="940">
        <v>7.0000000000000007E-2</v>
      </c>
      <c r="T946" s="942">
        <f>$A946*S946*$T$1</f>
        <v>0.21000000000000002</v>
      </c>
    </row>
    <row r="947" spans="1:256" s="956" customFormat="1" ht="11.4">
      <c r="A947" s="957">
        <v>2</v>
      </c>
      <c r="B947" s="933" t="s">
        <v>141</v>
      </c>
      <c r="C947" s="933"/>
      <c r="D947" s="933" t="s">
        <v>857</v>
      </c>
      <c r="E947" s="933"/>
      <c r="F947" s="933"/>
      <c r="G947" s="936" t="s">
        <v>858</v>
      </c>
      <c r="H947" s="937">
        <v>620</v>
      </c>
      <c r="I947" s="933" t="s">
        <v>729</v>
      </c>
      <c r="J947" s="933"/>
      <c r="K947" s="940" t="s">
        <v>7</v>
      </c>
      <c r="L947" s="933"/>
      <c r="M947" s="933"/>
      <c r="N947" s="933"/>
      <c r="O947" s="938">
        <v>2</v>
      </c>
      <c r="P947" s="939">
        <v>38148</v>
      </c>
      <c r="Q947" s="940">
        <f>1.1*1.5</f>
        <v>1.6500000000000001</v>
      </c>
      <c r="R947" s="941">
        <f t="shared" ref="R947:R949" si="40">$A947*Q947</f>
        <v>3.3000000000000003</v>
      </c>
      <c r="S947" s="940">
        <v>0.1</v>
      </c>
      <c r="T947" s="942">
        <f t="shared" ref="T947:T950" si="41">$A947*S947*$T$1</f>
        <v>0.2</v>
      </c>
      <c r="U947" s="933"/>
      <c r="V947" s="933"/>
      <c r="W947" s="933"/>
      <c r="X947" s="933"/>
      <c r="Y947" s="933"/>
      <c r="Z947" s="933"/>
      <c r="AA947" s="933"/>
      <c r="AB947" s="933"/>
      <c r="AC947" s="519"/>
      <c r="AD947" s="519"/>
      <c r="AE947" s="519"/>
      <c r="AF947" s="519"/>
      <c r="AG947" s="933"/>
      <c r="AH947" s="933"/>
      <c r="AI947" s="933"/>
      <c r="AJ947" s="933"/>
      <c r="AK947" s="933"/>
      <c r="AL947" s="933"/>
      <c r="AM947" s="933"/>
      <c r="AN947" s="933"/>
      <c r="AO947" s="933"/>
      <c r="AP947" s="933"/>
      <c r="AQ947" s="933"/>
      <c r="AR947" s="933"/>
      <c r="AS947" s="933"/>
      <c r="AT947" s="933"/>
      <c r="AU947" s="933"/>
      <c r="AV947" s="933"/>
      <c r="AW947" s="933"/>
      <c r="AX947" s="933"/>
      <c r="AY947" s="933"/>
      <c r="AZ947" s="933"/>
      <c r="BA947" s="933"/>
      <c r="BB947" s="933"/>
      <c r="BC947" s="933"/>
      <c r="BD947" s="933"/>
      <c r="BE947" s="933"/>
      <c r="BF947" s="933"/>
      <c r="BG947" s="933"/>
      <c r="BH947" s="933"/>
      <c r="BI947" s="933"/>
      <c r="BJ947" s="933"/>
      <c r="BK947" s="933"/>
      <c r="BL947" s="933"/>
      <c r="BM947" s="933"/>
      <c r="BN947" s="933"/>
      <c r="BO947" s="933"/>
      <c r="BP947" s="933"/>
      <c r="BQ947" s="933"/>
      <c r="BR947" s="933"/>
      <c r="BS947" s="933"/>
      <c r="BT947" s="933"/>
      <c r="BU947" s="933"/>
      <c r="BV947" s="933"/>
      <c r="BW947" s="933"/>
      <c r="BX947" s="933"/>
      <c r="BY947" s="933"/>
      <c r="BZ947" s="933"/>
      <c r="CA947" s="933"/>
      <c r="CB947" s="933"/>
      <c r="CC947" s="933"/>
      <c r="CD947" s="933"/>
      <c r="CE947" s="933"/>
      <c r="CF947" s="933"/>
      <c r="CG947" s="933"/>
      <c r="CH947" s="933"/>
      <c r="CI947" s="933"/>
      <c r="CJ947" s="933"/>
      <c r="CK947" s="933"/>
      <c r="CL947" s="933"/>
      <c r="CM947" s="933"/>
      <c r="CN947" s="933"/>
      <c r="CO947" s="933"/>
      <c r="CP947" s="933"/>
      <c r="CQ947" s="933"/>
      <c r="CR947" s="933"/>
      <c r="CS947" s="933"/>
      <c r="CT947" s="933"/>
      <c r="CU947" s="933"/>
      <c r="CV947" s="933"/>
      <c r="CW947" s="933"/>
      <c r="CX947" s="933"/>
      <c r="CY947" s="933"/>
      <c r="CZ947" s="933"/>
      <c r="DA947" s="933"/>
      <c r="DB947" s="933"/>
      <c r="DC947" s="933"/>
      <c r="DD947" s="933"/>
      <c r="DE947" s="933"/>
      <c r="DF947" s="933"/>
      <c r="DG947" s="933"/>
      <c r="DH947" s="933"/>
      <c r="DI947" s="933"/>
      <c r="DJ947" s="933"/>
      <c r="DK947" s="933"/>
      <c r="DL947" s="933"/>
      <c r="DM947" s="933"/>
      <c r="DN947" s="933"/>
      <c r="DO947" s="933"/>
      <c r="DP947" s="933"/>
      <c r="DQ947" s="933"/>
      <c r="DR947" s="933"/>
      <c r="DS947" s="933"/>
      <c r="DT947" s="933"/>
      <c r="DU947" s="933"/>
      <c r="DV947" s="933"/>
      <c r="DW947" s="933"/>
      <c r="DX947" s="933"/>
      <c r="DY947" s="933"/>
      <c r="DZ947" s="933"/>
      <c r="EA947" s="933"/>
      <c r="EB947" s="933"/>
      <c r="EC947" s="933"/>
      <c r="ED947" s="933"/>
      <c r="EE947" s="933"/>
      <c r="EF947" s="933"/>
      <c r="EG947" s="933"/>
      <c r="EH947" s="933"/>
      <c r="EI947" s="933"/>
      <c r="EJ947" s="933"/>
      <c r="EK947" s="933"/>
      <c r="EL947" s="933"/>
      <c r="EM947" s="933"/>
      <c r="EN947" s="933"/>
      <c r="EO947" s="933"/>
      <c r="EP947" s="933"/>
      <c r="EQ947" s="933"/>
      <c r="ER947" s="933"/>
      <c r="ES947" s="933"/>
      <c r="ET947" s="933"/>
      <c r="EU947" s="933"/>
      <c r="EV947" s="933"/>
      <c r="EW947" s="933"/>
      <c r="EX947" s="933"/>
      <c r="EY947" s="933"/>
      <c r="EZ947" s="933"/>
      <c r="FA947" s="933"/>
      <c r="FB947" s="933"/>
      <c r="FC947" s="933"/>
      <c r="FD947" s="933"/>
      <c r="FE947" s="933"/>
      <c r="FF947" s="933"/>
      <c r="FG947" s="933"/>
      <c r="FH947" s="933"/>
      <c r="FI947" s="933"/>
      <c r="FJ947" s="933"/>
      <c r="FK947" s="933"/>
      <c r="FL947" s="933"/>
      <c r="FM947" s="933"/>
      <c r="FN947" s="933"/>
      <c r="FO947" s="933"/>
      <c r="FP947" s="933"/>
      <c r="FQ947" s="933"/>
      <c r="FR947" s="933"/>
      <c r="FS947" s="933"/>
      <c r="FT947" s="933"/>
      <c r="FU947" s="933"/>
      <c r="FV947" s="933"/>
      <c r="FW947" s="933"/>
      <c r="FX947" s="933"/>
      <c r="FY947" s="933"/>
      <c r="FZ947" s="933"/>
      <c r="GA947" s="933"/>
      <c r="GB947" s="933"/>
      <c r="GC947" s="933"/>
      <c r="GD947" s="933"/>
      <c r="GE947" s="933"/>
      <c r="GF947" s="933"/>
      <c r="GG947" s="933"/>
      <c r="GH947" s="933"/>
      <c r="GI947" s="933"/>
      <c r="GJ947" s="933"/>
      <c r="GK947" s="933"/>
      <c r="GL947" s="933"/>
      <c r="GM947" s="933"/>
      <c r="GN947" s="933"/>
      <c r="GO947" s="933"/>
      <c r="GP947" s="933"/>
      <c r="GQ947" s="933"/>
      <c r="GR947" s="933"/>
      <c r="GS947" s="933"/>
      <c r="GT947" s="933"/>
      <c r="GU947" s="933"/>
      <c r="GV947" s="933"/>
      <c r="GW947" s="933"/>
      <c r="GX947" s="933"/>
      <c r="GY947" s="933"/>
      <c r="GZ947" s="933"/>
      <c r="HA947" s="933"/>
      <c r="HB947" s="933"/>
      <c r="HC947" s="933"/>
      <c r="HD947" s="933"/>
      <c r="HE947" s="933"/>
      <c r="HF947" s="933"/>
      <c r="HG947" s="933"/>
      <c r="HH947" s="933"/>
      <c r="HI947" s="933"/>
      <c r="HJ947" s="933"/>
      <c r="HK947" s="933"/>
      <c r="HL947" s="933"/>
      <c r="HM947" s="933"/>
      <c r="HN947" s="933"/>
      <c r="HO947" s="933"/>
      <c r="HP947" s="933"/>
      <c r="HQ947" s="933"/>
      <c r="HR947" s="933"/>
      <c r="HS947" s="933"/>
      <c r="HT947" s="933"/>
      <c r="HU947" s="933"/>
      <c r="HV947" s="933"/>
      <c r="HW947" s="933"/>
      <c r="HX947" s="933"/>
      <c r="HY947" s="933"/>
      <c r="HZ947" s="933"/>
      <c r="IA947" s="933"/>
      <c r="IB947" s="933"/>
      <c r="IC947" s="933"/>
      <c r="ID947" s="933"/>
      <c r="IE947" s="933"/>
      <c r="IF947" s="933"/>
      <c r="IG947" s="933"/>
      <c r="IH947" s="933"/>
      <c r="II947" s="933"/>
      <c r="IJ947" s="933"/>
      <c r="IK947" s="933"/>
      <c r="IL947" s="933"/>
      <c r="IM947" s="933"/>
      <c r="IN947" s="933"/>
      <c r="IO947" s="933"/>
      <c r="IP947" s="933"/>
      <c r="IQ947" s="933"/>
      <c r="IR947" s="933"/>
      <c r="IS947" s="933"/>
      <c r="IT947" s="933"/>
      <c r="IU947" s="933"/>
      <c r="IV947" s="933"/>
    </row>
    <row r="948" spans="1:256" s="956" customFormat="1" ht="11.4">
      <c r="A948" s="957">
        <v>2</v>
      </c>
      <c r="B948" s="933" t="s">
        <v>141</v>
      </c>
      <c r="C948" s="933"/>
      <c r="D948" s="933" t="s">
        <v>859</v>
      </c>
      <c r="E948" s="933"/>
      <c r="F948" s="933"/>
      <c r="G948" s="936" t="s">
        <v>860</v>
      </c>
      <c r="H948" s="937">
        <v>620</v>
      </c>
      <c r="I948" s="933" t="s">
        <v>729</v>
      </c>
      <c r="J948" s="933"/>
      <c r="K948" s="940" t="s">
        <v>7</v>
      </c>
      <c r="L948" s="933"/>
      <c r="M948" s="933"/>
      <c r="N948" s="933"/>
      <c r="O948" s="938">
        <v>2</v>
      </c>
      <c r="P948" s="939"/>
      <c r="Q948" s="940">
        <v>0.2</v>
      </c>
      <c r="R948" s="941">
        <f t="shared" si="40"/>
        <v>0.4</v>
      </c>
      <c r="S948" s="940">
        <v>0.03</v>
      </c>
      <c r="T948" s="942">
        <f t="shared" si="41"/>
        <v>0.06</v>
      </c>
      <c r="U948" s="933"/>
      <c r="V948" s="933"/>
      <c r="W948" s="933"/>
      <c r="X948" s="933"/>
      <c r="Y948" s="933"/>
      <c r="Z948" s="933"/>
      <c r="AA948" s="933"/>
      <c r="AB948" s="933"/>
      <c r="AC948" s="933"/>
      <c r="AD948" s="933"/>
      <c r="AE948" s="933"/>
      <c r="AF948" s="933"/>
      <c r="AG948" s="933"/>
      <c r="AH948" s="933"/>
      <c r="AI948" s="933"/>
      <c r="AJ948" s="933"/>
      <c r="AK948" s="933"/>
      <c r="AL948" s="933"/>
      <c r="AM948" s="933"/>
      <c r="AN948" s="933"/>
      <c r="AO948" s="933"/>
      <c r="AP948" s="933"/>
      <c r="AQ948" s="933"/>
      <c r="AR948" s="933"/>
      <c r="AS948" s="933"/>
      <c r="AT948" s="933"/>
      <c r="AU948" s="933"/>
      <c r="AV948" s="933"/>
      <c r="AW948" s="933"/>
      <c r="AX948" s="933"/>
      <c r="AY948" s="933"/>
      <c r="AZ948" s="933"/>
      <c r="BA948" s="933"/>
      <c r="BB948" s="933"/>
      <c r="BC948" s="933"/>
      <c r="BD948" s="933"/>
      <c r="BE948" s="933"/>
      <c r="BF948" s="933"/>
      <c r="BG948" s="933"/>
      <c r="BH948" s="933"/>
      <c r="BI948" s="933"/>
      <c r="BJ948" s="933"/>
      <c r="BK948" s="933"/>
      <c r="BL948" s="933"/>
      <c r="BM948" s="933"/>
      <c r="BN948" s="933"/>
      <c r="BO948" s="933"/>
      <c r="BP948" s="933"/>
      <c r="BQ948" s="933"/>
      <c r="BR948" s="933"/>
      <c r="BS948" s="933"/>
      <c r="BT948" s="933"/>
      <c r="BU948" s="933"/>
      <c r="BV948" s="933"/>
      <c r="BW948" s="933"/>
      <c r="BX948" s="933"/>
      <c r="BY948" s="933"/>
      <c r="BZ948" s="933"/>
      <c r="CA948" s="933"/>
      <c r="CB948" s="933"/>
      <c r="CC948" s="933"/>
      <c r="CD948" s="933"/>
      <c r="CE948" s="933"/>
      <c r="CF948" s="933"/>
      <c r="CG948" s="933"/>
      <c r="CH948" s="933"/>
      <c r="CI948" s="933"/>
      <c r="CJ948" s="933"/>
      <c r="CK948" s="933"/>
      <c r="CL948" s="933"/>
      <c r="CM948" s="933"/>
      <c r="CN948" s="933"/>
      <c r="CO948" s="933"/>
      <c r="CP948" s="933"/>
      <c r="CQ948" s="933"/>
      <c r="CR948" s="933"/>
      <c r="CS948" s="933"/>
      <c r="CT948" s="933"/>
      <c r="CU948" s="933"/>
      <c r="CV948" s="933"/>
      <c r="CW948" s="933"/>
      <c r="CX948" s="933"/>
      <c r="CY948" s="933"/>
      <c r="CZ948" s="933"/>
      <c r="DA948" s="933"/>
      <c r="DB948" s="933"/>
      <c r="DC948" s="933"/>
      <c r="DD948" s="933"/>
      <c r="DE948" s="933"/>
      <c r="DF948" s="933"/>
      <c r="DG948" s="933"/>
      <c r="DH948" s="933"/>
      <c r="DI948" s="933"/>
      <c r="DJ948" s="933"/>
      <c r="DK948" s="933"/>
      <c r="DL948" s="933"/>
      <c r="DM948" s="933"/>
      <c r="DN948" s="933"/>
      <c r="DO948" s="933"/>
      <c r="DP948" s="933"/>
      <c r="DQ948" s="933"/>
      <c r="DR948" s="933"/>
      <c r="DS948" s="933"/>
      <c r="DT948" s="933"/>
      <c r="DU948" s="933"/>
      <c r="DV948" s="933"/>
      <c r="DW948" s="933"/>
      <c r="DX948" s="933"/>
      <c r="DY948" s="933"/>
      <c r="DZ948" s="933"/>
      <c r="EA948" s="933"/>
      <c r="EB948" s="933"/>
      <c r="EC948" s="933"/>
      <c r="ED948" s="933"/>
      <c r="EE948" s="933"/>
      <c r="EF948" s="933"/>
      <c r="EG948" s="933"/>
      <c r="EH948" s="933"/>
      <c r="EI948" s="933"/>
      <c r="EJ948" s="933"/>
      <c r="EK948" s="933"/>
      <c r="EL948" s="933"/>
      <c r="EM948" s="933"/>
      <c r="EN948" s="933"/>
      <c r="EO948" s="933"/>
      <c r="EP948" s="933"/>
      <c r="EQ948" s="933"/>
      <c r="ER948" s="933"/>
      <c r="ES948" s="933"/>
      <c r="ET948" s="933"/>
      <c r="EU948" s="933"/>
      <c r="EV948" s="933"/>
      <c r="EW948" s="933"/>
      <c r="EX948" s="933"/>
      <c r="EY948" s="933"/>
      <c r="EZ948" s="933"/>
      <c r="FA948" s="933"/>
      <c r="FB948" s="933"/>
      <c r="FC948" s="933"/>
      <c r="FD948" s="933"/>
      <c r="FE948" s="933"/>
      <c r="FF948" s="933"/>
      <c r="FG948" s="933"/>
      <c r="FH948" s="933"/>
      <c r="FI948" s="933"/>
      <c r="FJ948" s="933"/>
      <c r="FK948" s="933"/>
      <c r="FL948" s="933"/>
      <c r="FM948" s="933"/>
      <c r="FN948" s="933"/>
      <c r="FO948" s="933"/>
      <c r="FP948" s="933"/>
      <c r="FQ948" s="933"/>
      <c r="FR948" s="933"/>
      <c r="FS948" s="933"/>
      <c r="FT948" s="933"/>
      <c r="FU948" s="933"/>
      <c r="FV948" s="933"/>
      <c r="FW948" s="933"/>
      <c r="FX948" s="933"/>
      <c r="FY948" s="933"/>
      <c r="FZ948" s="933"/>
      <c r="GA948" s="933"/>
      <c r="GB948" s="933"/>
      <c r="GC948" s="933"/>
      <c r="GD948" s="933"/>
      <c r="GE948" s="933"/>
      <c r="GF948" s="933"/>
      <c r="GG948" s="933"/>
      <c r="GH948" s="933"/>
      <c r="GI948" s="933"/>
      <c r="GJ948" s="933"/>
      <c r="GK948" s="933"/>
      <c r="GL948" s="933"/>
      <c r="GM948" s="933"/>
      <c r="GN948" s="933"/>
      <c r="GO948" s="933"/>
      <c r="GP948" s="933"/>
      <c r="GQ948" s="933"/>
      <c r="GR948" s="933"/>
      <c r="GS948" s="933"/>
      <c r="GT948" s="933"/>
      <c r="GU948" s="933"/>
      <c r="GV948" s="933"/>
      <c r="GW948" s="933"/>
      <c r="GX948" s="933"/>
      <c r="GY948" s="933"/>
      <c r="GZ948" s="933"/>
      <c r="HA948" s="933"/>
      <c r="HB948" s="933"/>
      <c r="HC948" s="933"/>
      <c r="HD948" s="933"/>
      <c r="HE948" s="933"/>
      <c r="HF948" s="933"/>
      <c r="HG948" s="933"/>
      <c r="HH948" s="933"/>
      <c r="HI948" s="933"/>
      <c r="HJ948" s="933"/>
      <c r="HK948" s="933"/>
      <c r="HL948" s="933"/>
      <c r="HM948" s="933"/>
      <c r="HN948" s="933"/>
      <c r="HO948" s="933"/>
      <c r="HP948" s="933"/>
      <c r="HQ948" s="933"/>
      <c r="HR948" s="933"/>
      <c r="HS948" s="933"/>
      <c r="HT948" s="933"/>
      <c r="HU948" s="933"/>
      <c r="HV948" s="933"/>
      <c r="HW948" s="933"/>
      <c r="HX948" s="933"/>
      <c r="HY948" s="933"/>
      <c r="HZ948" s="933"/>
      <c r="IA948" s="933"/>
      <c r="IB948" s="933"/>
      <c r="IC948" s="933"/>
      <c r="ID948" s="933"/>
      <c r="IE948" s="933"/>
      <c r="IF948" s="933"/>
      <c r="IG948" s="933"/>
      <c r="IH948" s="933"/>
      <c r="II948" s="933"/>
      <c r="IJ948" s="933"/>
      <c r="IK948" s="933"/>
      <c r="IL948" s="933"/>
      <c r="IM948" s="933"/>
      <c r="IN948" s="933"/>
      <c r="IO948" s="933"/>
      <c r="IP948" s="933"/>
      <c r="IQ948" s="933"/>
      <c r="IR948" s="933"/>
      <c r="IS948" s="933"/>
      <c r="IT948" s="933"/>
      <c r="IU948" s="933"/>
      <c r="IV948" s="933"/>
    </row>
    <row r="949" spans="1:256" s="956" customFormat="1" ht="11.4">
      <c r="A949" s="957">
        <v>6</v>
      </c>
      <c r="B949" s="933" t="s">
        <v>141</v>
      </c>
      <c r="C949" s="933"/>
      <c r="D949" s="933" t="s">
        <v>861</v>
      </c>
      <c r="E949" s="933"/>
      <c r="F949" s="933"/>
      <c r="G949" s="936" t="s">
        <v>862</v>
      </c>
      <c r="H949" s="937">
        <v>620</v>
      </c>
      <c r="I949" s="933" t="s">
        <v>741</v>
      </c>
      <c r="J949" s="933"/>
      <c r="K949" s="940" t="s">
        <v>7</v>
      </c>
      <c r="L949" s="933"/>
      <c r="M949" s="933"/>
      <c r="N949" s="933"/>
      <c r="O949" s="938">
        <v>2</v>
      </c>
      <c r="P949" s="939">
        <v>34669</v>
      </c>
      <c r="Q949" s="940">
        <v>0.05</v>
      </c>
      <c r="R949" s="941">
        <f t="shared" si="40"/>
        <v>0.30000000000000004</v>
      </c>
      <c r="S949" s="940">
        <v>0.01</v>
      </c>
      <c r="T949" s="942">
        <f t="shared" si="41"/>
        <v>0.06</v>
      </c>
      <c r="U949" s="933"/>
      <c r="V949" s="933"/>
      <c r="W949" s="933"/>
      <c r="X949" s="933"/>
      <c r="Y949" s="933"/>
      <c r="Z949" s="933"/>
      <c r="AA949" s="933"/>
      <c r="AB949" s="933"/>
      <c r="AC949" s="933"/>
      <c r="AD949" s="933"/>
      <c r="AE949" s="933"/>
      <c r="AF949" s="933"/>
      <c r="AG949" s="933"/>
      <c r="AH949" s="933"/>
      <c r="AI949" s="933"/>
      <c r="AJ949" s="933"/>
      <c r="AK949" s="933"/>
      <c r="AL949" s="933"/>
      <c r="AM949" s="933"/>
      <c r="AN949" s="933"/>
      <c r="AO949" s="933"/>
      <c r="AP949" s="933"/>
      <c r="AQ949" s="933"/>
      <c r="AR949" s="933"/>
      <c r="AS949" s="933"/>
      <c r="AT949" s="933"/>
      <c r="AU949" s="933"/>
      <c r="AV949" s="933"/>
      <c r="AW949" s="933"/>
      <c r="AX949" s="933"/>
      <c r="AY949" s="933"/>
      <c r="AZ949" s="933"/>
      <c r="BA949" s="933"/>
      <c r="BB949" s="933"/>
      <c r="BC949" s="933"/>
      <c r="BD949" s="933"/>
      <c r="BE949" s="933"/>
      <c r="BF949" s="933"/>
      <c r="BG949" s="933"/>
      <c r="BH949" s="933"/>
      <c r="BI949" s="933"/>
      <c r="BJ949" s="933"/>
      <c r="BK949" s="933"/>
      <c r="BL949" s="933"/>
      <c r="BM949" s="933"/>
      <c r="BN949" s="933"/>
      <c r="BO949" s="933"/>
      <c r="BP949" s="933"/>
      <c r="BQ949" s="933"/>
      <c r="BR949" s="933"/>
      <c r="BS949" s="933"/>
      <c r="BT949" s="933"/>
      <c r="BU949" s="933"/>
      <c r="BV949" s="933"/>
      <c r="BW949" s="933"/>
      <c r="BX949" s="933"/>
      <c r="BY949" s="933"/>
      <c r="BZ949" s="933"/>
      <c r="CA949" s="933"/>
      <c r="CB949" s="933"/>
      <c r="CC949" s="933"/>
      <c r="CD949" s="933"/>
      <c r="CE949" s="933"/>
      <c r="CF949" s="933"/>
      <c r="CG949" s="933"/>
      <c r="CH949" s="933"/>
      <c r="CI949" s="933"/>
      <c r="CJ949" s="933"/>
      <c r="CK949" s="933"/>
      <c r="CL949" s="933"/>
      <c r="CM949" s="933"/>
      <c r="CN949" s="933"/>
      <c r="CO949" s="933"/>
      <c r="CP949" s="933"/>
      <c r="CQ949" s="933"/>
      <c r="CR949" s="933"/>
      <c r="CS949" s="933"/>
      <c r="CT949" s="933"/>
      <c r="CU949" s="933"/>
      <c r="CV949" s="933"/>
      <c r="CW949" s="933"/>
      <c r="CX949" s="933"/>
      <c r="CY949" s="933"/>
      <c r="CZ949" s="933"/>
      <c r="DA949" s="933"/>
      <c r="DB949" s="933"/>
      <c r="DC949" s="933"/>
      <c r="DD949" s="933"/>
      <c r="DE949" s="933"/>
      <c r="DF949" s="933"/>
      <c r="DG949" s="933"/>
      <c r="DH949" s="933"/>
      <c r="DI949" s="933"/>
      <c r="DJ949" s="933"/>
      <c r="DK949" s="933"/>
      <c r="DL949" s="933"/>
      <c r="DM949" s="933"/>
      <c r="DN949" s="933"/>
      <c r="DO949" s="933"/>
      <c r="DP949" s="933"/>
      <c r="DQ949" s="933"/>
      <c r="DR949" s="933"/>
      <c r="DS949" s="933"/>
      <c r="DT949" s="933"/>
      <c r="DU949" s="933"/>
      <c r="DV949" s="933"/>
      <c r="DW949" s="933"/>
      <c r="DX949" s="933"/>
      <c r="DY949" s="933"/>
      <c r="DZ949" s="933"/>
      <c r="EA949" s="933"/>
      <c r="EB949" s="933"/>
      <c r="EC949" s="933"/>
      <c r="ED949" s="933"/>
      <c r="EE949" s="933"/>
      <c r="EF949" s="933"/>
      <c r="EG949" s="933"/>
      <c r="EH949" s="933"/>
      <c r="EI949" s="933"/>
      <c r="EJ949" s="933"/>
      <c r="EK949" s="933"/>
      <c r="EL949" s="933"/>
      <c r="EM949" s="933"/>
      <c r="EN949" s="933"/>
      <c r="EO949" s="933"/>
      <c r="EP949" s="933"/>
      <c r="EQ949" s="933"/>
      <c r="ER949" s="933"/>
      <c r="ES949" s="933"/>
      <c r="ET949" s="933"/>
      <c r="EU949" s="933"/>
      <c r="EV949" s="933"/>
      <c r="EW949" s="933"/>
      <c r="EX949" s="933"/>
      <c r="EY949" s="933"/>
      <c r="EZ949" s="933"/>
      <c r="FA949" s="933"/>
      <c r="FB949" s="933"/>
      <c r="FC949" s="933"/>
      <c r="FD949" s="933"/>
      <c r="FE949" s="933"/>
      <c r="FF949" s="933"/>
      <c r="FG949" s="933"/>
      <c r="FH949" s="933"/>
      <c r="FI949" s="933"/>
      <c r="FJ949" s="933"/>
      <c r="FK949" s="933"/>
      <c r="FL949" s="933"/>
      <c r="FM949" s="933"/>
      <c r="FN949" s="933"/>
      <c r="FO949" s="933"/>
      <c r="FP949" s="933"/>
      <c r="FQ949" s="933"/>
      <c r="FR949" s="933"/>
      <c r="FS949" s="933"/>
      <c r="FT949" s="933"/>
      <c r="FU949" s="933"/>
      <c r="FV949" s="933"/>
      <c r="FW949" s="933"/>
      <c r="FX949" s="933"/>
      <c r="FY949" s="933"/>
      <c r="FZ949" s="933"/>
      <c r="GA949" s="933"/>
      <c r="GB949" s="933"/>
      <c r="GC949" s="933"/>
      <c r="GD949" s="933"/>
      <c r="GE949" s="933"/>
      <c r="GF949" s="933"/>
      <c r="GG949" s="933"/>
      <c r="GH949" s="933"/>
      <c r="GI949" s="933"/>
      <c r="GJ949" s="933"/>
      <c r="GK949" s="933"/>
      <c r="GL949" s="933"/>
      <c r="GM949" s="933"/>
      <c r="GN949" s="933"/>
      <c r="GO949" s="933"/>
      <c r="GP949" s="933"/>
      <c r="GQ949" s="933"/>
      <c r="GR949" s="933"/>
      <c r="GS949" s="933"/>
      <c r="GT949" s="933"/>
      <c r="GU949" s="933"/>
      <c r="GV949" s="933"/>
      <c r="GW949" s="933"/>
      <c r="GX949" s="933"/>
      <c r="GY949" s="933"/>
      <c r="GZ949" s="933"/>
      <c r="HA949" s="933"/>
      <c r="HB949" s="933"/>
      <c r="HC949" s="933"/>
      <c r="HD949" s="933"/>
      <c r="HE949" s="933"/>
      <c r="HF949" s="933"/>
      <c r="HG949" s="933"/>
      <c r="HH949" s="933"/>
      <c r="HI949" s="933"/>
      <c r="HJ949" s="933"/>
      <c r="HK949" s="933"/>
      <c r="HL949" s="933"/>
      <c r="HM949" s="933"/>
      <c r="HN949" s="933"/>
      <c r="HO949" s="933"/>
      <c r="HP949" s="933"/>
      <c r="HQ949" s="933"/>
      <c r="HR949" s="933"/>
      <c r="HS949" s="933"/>
      <c r="HT949" s="933"/>
      <c r="HU949" s="933"/>
      <c r="HV949" s="933"/>
      <c r="HW949" s="933"/>
      <c r="HX949" s="933"/>
      <c r="HY949" s="933"/>
      <c r="HZ949" s="933"/>
      <c r="IA949" s="933"/>
      <c r="IB949" s="933"/>
      <c r="IC949" s="933"/>
      <c r="ID949" s="933"/>
      <c r="IE949" s="933"/>
      <c r="IF949" s="933"/>
      <c r="IG949" s="933"/>
      <c r="IH949" s="933"/>
      <c r="II949" s="933"/>
      <c r="IJ949" s="933"/>
      <c r="IK949" s="933"/>
      <c r="IL949" s="933"/>
      <c r="IM949" s="933"/>
      <c r="IN949" s="933"/>
      <c r="IO949" s="933"/>
      <c r="IP949" s="933"/>
      <c r="IQ949" s="933"/>
      <c r="IR949" s="933"/>
      <c r="IS949" s="933"/>
      <c r="IT949" s="933"/>
      <c r="IU949" s="933"/>
      <c r="IV949" s="933"/>
    </row>
    <row r="950" spans="1:256" s="933" customFormat="1" ht="11.4">
      <c r="A950" s="957">
        <v>1</v>
      </c>
      <c r="B950" s="933" t="s">
        <v>141</v>
      </c>
      <c r="D950" s="933" t="s">
        <v>776</v>
      </c>
      <c r="F950" s="933" t="s">
        <v>901</v>
      </c>
      <c r="G950" s="936" t="s">
        <v>777</v>
      </c>
      <c r="H950" s="937">
        <v>900</v>
      </c>
      <c r="I950" s="933" t="s">
        <v>778</v>
      </c>
      <c r="K950" s="933" t="s">
        <v>7</v>
      </c>
      <c r="O950" s="938">
        <v>1</v>
      </c>
      <c r="P950" s="939"/>
      <c r="Q950" s="983"/>
      <c r="R950" s="941">
        <f>$A950*Q950</f>
        <v>0</v>
      </c>
      <c r="S950" s="940">
        <v>0.5</v>
      </c>
      <c r="T950" s="942">
        <f t="shared" si="41"/>
        <v>0.5</v>
      </c>
      <c r="U950" s="933" t="s">
        <v>863</v>
      </c>
    </row>
    <row r="951" spans="1:256" s="519" customFormat="1" ht="13.95" customHeight="1">
      <c r="A951" s="49"/>
      <c r="B951" s="528"/>
      <c r="C951" s="528"/>
      <c r="D951" s="528"/>
      <c r="E951" s="528"/>
      <c r="F951" s="528"/>
      <c r="G951" s="528"/>
      <c r="H951" s="801"/>
      <c r="I951" s="528"/>
      <c r="J951" s="48"/>
      <c r="K951" s="805"/>
      <c r="L951" s="806"/>
      <c r="M951" s="528"/>
      <c r="N951" s="528"/>
      <c r="O951" s="48"/>
      <c r="P951" s="528"/>
      <c r="Q951" s="528"/>
      <c r="R951" s="807">
        <f>$A951*Q951</f>
        <v>0</v>
      </c>
      <c r="S951" s="528"/>
      <c r="T951" s="643">
        <f>$A951*S951*$T$1</f>
        <v>0</v>
      </c>
    </row>
    <row r="952" spans="1:256" s="519" customFormat="1" ht="12">
      <c r="A952" s="808" t="s">
        <v>145</v>
      </c>
      <c r="B952" s="809">
        <f>(R951+T951)</f>
        <v>0</v>
      </c>
      <c r="C952" s="641"/>
      <c r="G952" s="810"/>
      <c r="H952" s="810"/>
      <c r="I952" s="810"/>
      <c r="J952" s="810"/>
      <c r="K952" s="811" t="s">
        <v>3</v>
      </c>
      <c r="L952" s="812" t="s">
        <v>590</v>
      </c>
      <c r="M952" s="810"/>
      <c r="N952" s="810"/>
      <c r="O952" s="810"/>
      <c r="P952" s="810"/>
      <c r="Q952" s="813"/>
      <c r="R952" s="814">
        <f>SUM(R941:R951)</f>
        <v>69.48</v>
      </c>
      <c r="S952" s="815"/>
      <c r="T952" s="814">
        <f>SUM(T941:T951)</f>
        <v>8.6300000000000008</v>
      </c>
      <c r="AG952" s="816">
        <f>ROUND($R952*$S$2,2)</f>
        <v>69.48</v>
      </c>
    </row>
    <row r="953" spans="1:256" s="519" customFormat="1" ht="12" customHeight="1">
      <c r="A953" s="817"/>
      <c r="B953" s="818"/>
      <c r="C953" s="819"/>
      <c r="D953" s="819" t="str">
        <f>$F$3</f>
        <v>ECA</v>
      </c>
      <c r="E953" s="819">
        <f>ROUND(($R957*$S$3 + ($T957*$T$3)), 2)</f>
        <v>1068.29</v>
      </c>
      <c r="F953" s="820">
        <f ca="1">$F938-SUMIF($L940:$P943,"SUBI",$F940:$F943)</f>
        <v>1068.29</v>
      </c>
      <c r="G953" s="518"/>
      <c r="H953" s="518"/>
      <c r="I953" s="518"/>
      <c r="J953" s="518"/>
      <c r="K953" s="802" t="s">
        <v>5</v>
      </c>
      <c r="L953" s="803" t="s">
        <v>590</v>
      </c>
      <c r="M953" s="518"/>
      <c r="N953" s="518"/>
      <c r="O953" s="518"/>
      <c r="P953" s="518"/>
      <c r="Q953" s="518"/>
      <c r="R953" s="821"/>
      <c r="S953" s="518"/>
      <c r="T953" s="821"/>
    </row>
    <row r="954" spans="1:256" s="933" customFormat="1" ht="13.2">
      <c r="A954">
        <v>1</v>
      </c>
      <c r="B954" s="933" t="s">
        <v>141</v>
      </c>
      <c r="D954" s="933" t="s">
        <v>785</v>
      </c>
      <c r="E954" s="935" t="s">
        <v>808</v>
      </c>
      <c r="F954" s="933" t="s">
        <v>974</v>
      </c>
      <c r="G954" s="936" t="s">
        <v>786</v>
      </c>
      <c r="H954" s="937">
        <v>570</v>
      </c>
      <c r="I954" s="933" t="s">
        <v>729</v>
      </c>
      <c r="O954" s="938">
        <v>2</v>
      </c>
      <c r="P954" s="939">
        <v>38443</v>
      </c>
      <c r="Q954" s="1058">
        <v>930.99</v>
      </c>
      <c r="R954" s="941">
        <f>$A954*Q954</f>
        <v>930.99</v>
      </c>
      <c r="S954" s="940"/>
      <c r="T954" s="942">
        <f>$A954*S954*$T$1</f>
        <v>0</v>
      </c>
    </row>
    <row r="955" spans="1:256" s="933" customFormat="1" ht="13.2">
      <c r="A955">
        <v>1</v>
      </c>
      <c r="B955" s="933" t="s">
        <v>141</v>
      </c>
      <c r="D955" s="933" t="s">
        <v>785</v>
      </c>
      <c r="E955" s="935" t="s">
        <v>885</v>
      </c>
      <c r="F955" s="933" t="s">
        <v>974</v>
      </c>
      <c r="G955" s="936" t="s">
        <v>786</v>
      </c>
      <c r="H955" s="937">
        <v>570</v>
      </c>
      <c r="I955" s="933" t="s">
        <v>729</v>
      </c>
      <c r="O955" s="938">
        <v>2</v>
      </c>
      <c r="P955" s="939">
        <v>38443</v>
      </c>
      <c r="Q955" s="940"/>
      <c r="R955" s="941">
        <f>$A955*Q955</f>
        <v>0</v>
      </c>
      <c r="S955" s="1058">
        <v>5</v>
      </c>
      <c r="T955" s="942">
        <f>$A955*S955*$T$1</f>
        <v>5</v>
      </c>
    </row>
    <row r="956" spans="1:256" s="519" customFormat="1" ht="13.2">
      <c r="A956" s="49"/>
      <c r="B956" s="528"/>
      <c r="C956" s="528"/>
      <c r="D956" s="3"/>
      <c r="E956" s="528"/>
      <c r="F956" s="528"/>
      <c r="G956" s="528"/>
      <c r="H956" s="528"/>
      <c r="I956" s="528"/>
      <c r="J956" s="528"/>
      <c r="K956" s="528"/>
      <c r="L956" s="806"/>
      <c r="M956" s="528"/>
      <c r="N956" s="528"/>
      <c r="O956" s="528"/>
      <c r="P956" s="528"/>
      <c r="Q956" s="528"/>
      <c r="R956" s="807">
        <f>$A956*Q956</f>
        <v>0</v>
      </c>
      <c r="S956" s="528"/>
      <c r="T956" s="643">
        <f>$A956*S956*$T$1</f>
        <v>0</v>
      </c>
    </row>
    <row r="957" spans="1:256" s="519" customFormat="1" ht="12" customHeight="1">
      <c r="A957" s="835" t="s">
        <v>145</v>
      </c>
      <c r="B957" s="836">
        <f>(R956+T956)</f>
        <v>0</v>
      </c>
      <c r="C957" s="837"/>
      <c r="D957" s="837"/>
      <c r="E957" s="837"/>
      <c r="F957" s="837"/>
      <c r="G957" s="813"/>
      <c r="H957" s="813"/>
      <c r="I957" s="813"/>
      <c r="J957" s="813"/>
      <c r="K957" s="838" t="s">
        <v>5</v>
      </c>
      <c r="L957" s="839" t="s">
        <v>590</v>
      </c>
      <c r="M957" s="813"/>
      <c r="N957" s="813"/>
      <c r="O957" s="813"/>
      <c r="P957" s="813"/>
      <c r="Q957" s="813"/>
      <c r="R957" s="814">
        <f>SUM(R953:R956)</f>
        <v>930.99</v>
      </c>
      <c r="S957" s="815"/>
      <c r="T957" s="814">
        <f>SUM(T953:T956)</f>
        <v>5</v>
      </c>
      <c r="AG957" s="840">
        <f>ROUND($R957*$S$3,2)</f>
        <v>930.99</v>
      </c>
    </row>
    <row r="958" spans="1:256" s="519" customFormat="1" ht="12.75" customHeight="1">
      <c r="A958" s="841"/>
      <c r="B958" s="842"/>
      <c r="E958" s="641"/>
      <c r="F958" s="843"/>
      <c r="G958" s="641"/>
      <c r="H958" s="641"/>
      <c r="I958" s="518"/>
      <c r="J958" s="641"/>
      <c r="K958" s="641"/>
      <c r="L958" s="844"/>
      <c r="M958" s="652"/>
      <c r="N958" s="652"/>
      <c r="O958" s="652"/>
      <c r="P958" s="652"/>
      <c r="Q958" s="653"/>
      <c r="R958" s="821"/>
      <c r="S958" s="641"/>
      <c r="T958" s="821"/>
    </row>
    <row r="959" spans="1:256" s="519" customFormat="1" ht="13.5" customHeight="1" thickBot="1">
      <c r="A959" s="845"/>
      <c r="B959" s="846"/>
      <c r="C959" s="529"/>
      <c r="D959" s="529"/>
      <c r="E959" s="646"/>
      <c r="F959" s="647"/>
      <c r="G959" s="646" t="s">
        <v>146</v>
      </c>
      <c r="H959" s="646"/>
      <c r="I959" s="648"/>
      <c r="J959" s="646"/>
      <c r="K959" s="646"/>
      <c r="L959" s="847" t="s">
        <v>143</v>
      </c>
      <c r="M959" s="649"/>
      <c r="N959" s="649"/>
      <c r="O959" s="649"/>
      <c r="P959" s="649"/>
      <c r="Q959" s="650"/>
      <c r="R959" s="848">
        <f>SUMIF($L939:$L958,"SUBI",R939:R958)</f>
        <v>1000.47</v>
      </c>
      <c r="S959" s="646"/>
      <c r="T959" s="848">
        <f>SUMIF($L939:$L958,"SUBI",T939:T958)</f>
        <v>13.63</v>
      </c>
      <c r="U959" s="529"/>
      <c r="V959" s="529"/>
      <c r="W959" s="529"/>
      <c r="X959" s="529"/>
      <c r="Y959" s="529"/>
      <c r="Z959" s="529"/>
      <c r="AA959" s="529"/>
      <c r="AB959" s="529"/>
      <c r="AC959" s="529"/>
      <c r="AD959" s="529"/>
      <c r="AE959" s="529"/>
      <c r="AF959" s="529"/>
      <c r="AG959" s="529"/>
      <c r="AH959" s="529"/>
      <c r="AI959" s="529"/>
      <c r="AJ959" s="529"/>
      <c r="AK959" s="529"/>
      <c r="AL959" s="529"/>
      <c r="AM959" s="529"/>
      <c r="AN959" s="529"/>
      <c r="AO959" s="529"/>
    </row>
    <row r="960" spans="1:256" s="519" customFormat="1" thickTop="1">
      <c r="A960" s="47"/>
      <c r="B960" s="40"/>
      <c r="C960" s="47"/>
      <c r="E960" s="41" t="s">
        <v>138</v>
      </c>
      <c r="F960" s="41" t="s">
        <v>139</v>
      </c>
      <c r="G960" s="47"/>
      <c r="H960" s="47"/>
      <c r="I960" s="47"/>
      <c r="J960" s="47"/>
      <c r="K960" s="47" t="s">
        <v>140</v>
      </c>
      <c r="L960" s="774"/>
      <c r="M960" s="47"/>
      <c r="N960" s="47"/>
      <c r="O960" s="48"/>
      <c r="P960" s="47"/>
      <c r="Q960"/>
      <c r="R960"/>
      <c r="S960"/>
      <c r="T960" s="40"/>
      <c r="AG960" s="627" t="s">
        <v>277</v>
      </c>
      <c r="AH960" s="627" t="s">
        <v>278</v>
      </c>
      <c r="AI960" s="627" t="s">
        <v>279</v>
      </c>
      <c r="AJ960" s="627" t="s">
        <v>280</v>
      </c>
      <c r="AK960" s="627" t="s">
        <v>281</v>
      </c>
      <c r="AM960" s="628" t="s">
        <v>290</v>
      </c>
      <c r="AN960" s="629" t="s">
        <v>291</v>
      </c>
      <c r="AO960" s="520" t="s">
        <v>287</v>
      </c>
    </row>
    <row r="961" spans="1:256" s="519" customFormat="1" ht="13.2">
      <c r="A961" s="630">
        <v>1</v>
      </c>
      <c r="B961" s="521" t="s">
        <v>339</v>
      </c>
      <c r="C961" s="631"/>
      <c r="D961" s="632" t="s">
        <v>670</v>
      </c>
      <c r="E961" s="775">
        <f>IF(AND($A961=0,$A$1="DIF"),0, ROUND(ROUND(SUMIF($L963:$L976,"SUBI",$E963:$E976)/$A961,2)*$C$12,2))</f>
        <v>1521.35</v>
      </c>
      <c r="F961" s="776">
        <f>ROUND($A961*$E961,2)</f>
        <v>1521.35</v>
      </c>
      <c r="G961" s="635" t="s">
        <v>142</v>
      </c>
      <c r="H961" s="636"/>
      <c r="I961" s="637"/>
      <c r="J961" s="636"/>
      <c r="K961" s="777"/>
      <c r="L961" s="778" t="s">
        <v>143</v>
      </c>
      <c r="M961" s="638"/>
      <c r="N961" s="638"/>
      <c r="O961" s="638"/>
      <c r="P961" s="638"/>
      <c r="Q961"/>
      <c r="R961"/>
      <c r="S961"/>
      <c r="T961" s="779" t="str">
        <f>IF(AND($R982=0,$T982=0),"0.00","mu :" &amp; ROUND($F961/$C$12/($R982+$T982*$D$9),2))</f>
        <v>mu :1</v>
      </c>
      <c r="W961" s="522"/>
      <c r="AG961" s="780">
        <f>IF(A961=0,0,ROUND(SUM(AG963:AG982)/A961,2))</f>
        <v>1147.07</v>
      </c>
      <c r="AH961" s="780">
        <f>$AG961*$A961</f>
        <v>1147.07</v>
      </c>
      <c r="AI961" s="780">
        <f>$E961-$AG961</f>
        <v>374.28</v>
      </c>
      <c r="AJ961" s="780">
        <f>$A961*$AI961</f>
        <v>374.28</v>
      </c>
      <c r="AK961" s="781">
        <f>ROUND(($AG961+$AI961)*$A961,2)</f>
        <v>1521.35</v>
      </c>
      <c r="AM961" s="525">
        <f>ROUND(R982,2)</f>
        <v>1147.07</v>
      </c>
      <c r="AN961" s="526">
        <f>ROUND(T982,2)</f>
        <v>13.63</v>
      </c>
      <c r="AO961" s="527">
        <f>ROUND(AM961+AN961,2)*A961</f>
        <v>1160.7</v>
      </c>
    </row>
    <row r="962" spans="1:256" s="519" customFormat="1" ht="19.95" customHeight="1">
      <c r="A962" s="782"/>
      <c r="B962" s="783"/>
      <c r="C962" s="631"/>
      <c r="D962" s="784" t="s">
        <v>671</v>
      </c>
      <c r="F962" s="636"/>
      <c r="G962" s="636"/>
      <c r="H962" s="636"/>
      <c r="I962" s="637"/>
      <c r="J962" s="636"/>
      <c r="K962" s="636" t="s">
        <v>144</v>
      </c>
      <c r="L962" s="785"/>
      <c r="M962" s="636"/>
      <c r="N962" s="636"/>
      <c r="O962" s="636"/>
      <c r="P962" s="636"/>
      <c r="Q962" s="47"/>
      <c r="R962" s="528"/>
      <c r="S962" s="640"/>
      <c r="T962" s="636"/>
    </row>
    <row r="963" spans="1:256" s="519" customFormat="1" ht="12">
      <c r="A963" s="786"/>
      <c r="B963" s="787"/>
      <c r="C963" s="641"/>
      <c r="D963" s="636"/>
      <c r="E963" s="788">
        <f>F961/$C$12-SUMIF($L960:$L982,"SUBI",$E960:$E982)</f>
        <v>0</v>
      </c>
      <c r="F963" s="789" t="s">
        <v>589</v>
      </c>
      <c r="G963" s="790"/>
      <c r="H963" s="790"/>
      <c r="I963" s="791"/>
      <c r="J963" s="790"/>
      <c r="K963" s="790"/>
      <c r="L963" s="792"/>
      <c r="M963" s="793"/>
      <c r="N963" s="793"/>
      <c r="O963" s="793"/>
      <c r="P963" s="793"/>
      <c r="Q963" s="794"/>
      <c r="R963" s="795"/>
      <c r="S963" s="794"/>
      <c r="T963" s="796"/>
    </row>
    <row r="964" spans="1:256" s="519" customFormat="1" ht="12" customHeight="1">
      <c r="A964" s="797"/>
      <c r="B964" s="798"/>
      <c r="C964" s="799"/>
      <c r="D964" s="799" t="str">
        <f>$F$2</f>
        <v>Electrical</v>
      </c>
      <c r="E964" s="799">
        <f>ROUND(($R975*$S$2 + ($T975*$T$2)), 2)</f>
        <v>306.45999999999998</v>
      </c>
      <c r="F964" s="800">
        <f>$E964*$C$12</f>
        <v>306.45999999999998</v>
      </c>
      <c r="G964" s="528"/>
      <c r="H964" s="801"/>
      <c r="I964" s="528"/>
      <c r="J964" s="48"/>
      <c r="K964" s="802" t="s">
        <v>3</v>
      </c>
      <c r="L964" s="803" t="s">
        <v>590</v>
      </c>
      <c r="M964" s="528"/>
      <c r="N964" s="528"/>
      <c r="O964" s="48"/>
      <c r="P964" s="528"/>
      <c r="Q964" s="528"/>
      <c r="R964"/>
      <c r="S964"/>
      <c r="T964"/>
    </row>
    <row r="965" spans="1:256" s="933" customFormat="1" ht="13.2">
      <c r="A965">
        <v>1</v>
      </c>
      <c r="B965" s="933" t="s">
        <v>141</v>
      </c>
      <c r="D965" s="933" t="s">
        <v>785</v>
      </c>
      <c r="E965" s="935" t="s">
        <v>809</v>
      </c>
      <c r="F965" s="933" t="s">
        <v>803</v>
      </c>
      <c r="G965" s="936" t="s">
        <v>786</v>
      </c>
      <c r="H965" s="937">
        <v>570</v>
      </c>
      <c r="I965" s="933" t="s">
        <v>729</v>
      </c>
      <c r="O965" s="938">
        <v>2</v>
      </c>
      <c r="P965" s="939">
        <v>38443</v>
      </c>
      <c r="Q965" s="940"/>
      <c r="R965" s="941">
        <f>$A965*Q965</f>
        <v>0</v>
      </c>
      <c r="S965" s="940">
        <f>4+3</f>
        <v>7</v>
      </c>
      <c r="T965" s="942">
        <f>$A965*S965*$T$1</f>
        <v>7</v>
      </c>
    </row>
    <row r="966" spans="1:256" s="933" customFormat="1" ht="13.2">
      <c r="A966">
        <v>1</v>
      </c>
      <c r="B966" s="933" t="s">
        <v>141</v>
      </c>
      <c r="D966" s="933" t="s">
        <v>787</v>
      </c>
      <c r="G966" s="936" t="s">
        <v>788</v>
      </c>
      <c r="H966" s="937">
        <v>501</v>
      </c>
      <c r="I966" s="933" t="s">
        <v>729</v>
      </c>
      <c r="K966" s="933" t="s">
        <v>789</v>
      </c>
      <c r="O966" s="938">
        <v>1</v>
      </c>
      <c r="P966" s="939"/>
      <c r="Q966" s="1058">
        <v>50</v>
      </c>
      <c r="R966" s="941">
        <f>$A966*Q966</f>
        <v>50</v>
      </c>
      <c r="S966" s="940"/>
      <c r="T966" s="942">
        <f>$A966*S966*$T$1</f>
        <v>0</v>
      </c>
    </row>
    <row r="967" spans="1:256" s="933" customFormat="1" ht="13.2">
      <c r="A967"/>
      <c r="D967" s="978" t="s">
        <v>900</v>
      </c>
      <c r="E967" s="935"/>
      <c r="G967" s="936"/>
      <c r="H967" s="937"/>
      <c r="O967" s="938"/>
      <c r="P967" s="939"/>
      <c r="Q967" s="940"/>
      <c r="R967" s="941"/>
      <c r="S967" s="940"/>
      <c r="T967" s="942"/>
    </row>
    <row r="968" spans="1:256" s="933" customFormat="1" ht="11.4">
      <c r="A968" s="957">
        <v>3</v>
      </c>
      <c r="B968" s="933" t="s">
        <v>311</v>
      </c>
      <c r="D968" s="933" t="s">
        <v>851</v>
      </c>
      <c r="G968" s="936" t="s">
        <v>852</v>
      </c>
      <c r="H968" s="937">
        <v>690</v>
      </c>
      <c r="I968" s="933" t="s">
        <v>780</v>
      </c>
      <c r="J968" s="933" t="s">
        <v>781</v>
      </c>
      <c r="K968" s="940" t="s">
        <v>7</v>
      </c>
      <c r="O968" s="938">
        <v>1</v>
      </c>
      <c r="P968" s="939">
        <v>34669</v>
      </c>
      <c r="Q968" s="982">
        <v>3.66</v>
      </c>
      <c r="R968" s="941">
        <f>$A968*Q968</f>
        <v>10.98</v>
      </c>
      <c r="S968" s="940">
        <v>0.2</v>
      </c>
      <c r="T968" s="942">
        <f t="shared" ref="T968" si="42">$A968*S968*$T$1</f>
        <v>0.60000000000000009</v>
      </c>
    </row>
    <row r="969" spans="1:256" s="933" customFormat="1" ht="13.2">
      <c r="A969">
        <v>3</v>
      </c>
      <c r="B969" s="933" t="s">
        <v>311</v>
      </c>
      <c r="D969" s="933" t="s">
        <v>792</v>
      </c>
      <c r="G969" s="936" t="s">
        <v>793</v>
      </c>
      <c r="H969" s="937">
        <v>617</v>
      </c>
      <c r="I969" s="933" t="s">
        <v>729</v>
      </c>
      <c r="O969" s="938">
        <v>2</v>
      </c>
      <c r="P969" s="939">
        <v>40767</v>
      </c>
      <c r="Q969" s="940">
        <v>1.5</v>
      </c>
      <c r="R969" s="941">
        <f>$A969*Q969</f>
        <v>4.5</v>
      </c>
      <c r="S969" s="940">
        <v>7.0000000000000007E-2</v>
      </c>
      <c r="T969" s="942">
        <f>$A969*S969*$T$1</f>
        <v>0.21000000000000002</v>
      </c>
    </row>
    <row r="970" spans="1:256" s="956" customFormat="1" ht="11.4">
      <c r="A970" s="957">
        <v>2</v>
      </c>
      <c r="B970" s="933" t="s">
        <v>141</v>
      </c>
      <c r="C970" s="933"/>
      <c r="D970" s="933" t="s">
        <v>857</v>
      </c>
      <c r="E970" s="933"/>
      <c r="F970" s="933"/>
      <c r="G970" s="936" t="s">
        <v>858</v>
      </c>
      <c r="H970" s="937">
        <v>620</v>
      </c>
      <c r="I970" s="933" t="s">
        <v>729</v>
      </c>
      <c r="J970" s="933"/>
      <c r="K970" s="940" t="s">
        <v>7</v>
      </c>
      <c r="L970" s="933"/>
      <c r="M970" s="933"/>
      <c r="N970" s="933"/>
      <c r="O970" s="938">
        <v>2</v>
      </c>
      <c r="P970" s="939">
        <v>38148</v>
      </c>
      <c r="Q970" s="940">
        <f>1.1*1.5</f>
        <v>1.6500000000000001</v>
      </c>
      <c r="R970" s="941">
        <f t="shared" ref="R970:R972" si="43">$A970*Q970</f>
        <v>3.3000000000000003</v>
      </c>
      <c r="S970" s="940">
        <v>0.1</v>
      </c>
      <c r="T970" s="942">
        <f t="shared" ref="T970:T973" si="44">$A970*S970*$T$1</f>
        <v>0.2</v>
      </c>
      <c r="U970" s="933"/>
      <c r="V970" s="933"/>
      <c r="W970" s="933"/>
      <c r="X970" s="933"/>
      <c r="Y970" s="933"/>
      <c r="Z970" s="933"/>
      <c r="AA970" s="933"/>
      <c r="AB970" s="933"/>
      <c r="AC970" s="519"/>
      <c r="AD970" s="519"/>
      <c r="AE970" s="519"/>
      <c r="AF970" s="519"/>
      <c r="AG970" s="933"/>
      <c r="AH970" s="933"/>
      <c r="AI970" s="933"/>
      <c r="AJ970" s="933"/>
      <c r="AK970" s="933"/>
      <c r="AL970" s="933"/>
      <c r="AM970" s="933"/>
      <c r="AN970" s="933"/>
      <c r="AO970" s="933"/>
      <c r="AP970" s="933"/>
      <c r="AQ970" s="933"/>
      <c r="AR970" s="933"/>
      <c r="AS970" s="933"/>
      <c r="AT970" s="933"/>
      <c r="AU970" s="933"/>
      <c r="AV970" s="933"/>
      <c r="AW970" s="933"/>
      <c r="AX970" s="933"/>
      <c r="AY970" s="933"/>
      <c r="AZ970" s="933"/>
      <c r="BA970" s="933"/>
      <c r="BB970" s="933"/>
      <c r="BC970" s="933"/>
      <c r="BD970" s="933"/>
      <c r="BE970" s="933"/>
      <c r="BF970" s="933"/>
      <c r="BG970" s="933"/>
      <c r="BH970" s="933"/>
      <c r="BI970" s="933"/>
      <c r="BJ970" s="933"/>
      <c r="BK970" s="933"/>
      <c r="BL970" s="933"/>
      <c r="BM970" s="933"/>
      <c r="BN970" s="933"/>
      <c r="BO970" s="933"/>
      <c r="BP970" s="933"/>
      <c r="BQ970" s="933"/>
      <c r="BR970" s="933"/>
      <c r="BS970" s="933"/>
      <c r="BT970" s="933"/>
      <c r="BU970" s="933"/>
      <c r="BV970" s="933"/>
      <c r="BW970" s="933"/>
      <c r="BX970" s="933"/>
      <c r="BY970" s="933"/>
      <c r="BZ970" s="933"/>
      <c r="CA970" s="933"/>
      <c r="CB970" s="933"/>
      <c r="CC970" s="933"/>
      <c r="CD970" s="933"/>
      <c r="CE970" s="933"/>
      <c r="CF970" s="933"/>
      <c r="CG970" s="933"/>
      <c r="CH970" s="933"/>
      <c r="CI970" s="933"/>
      <c r="CJ970" s="933"/>
      <c r="CK970" s="933"/>
      <c r="CL970" s="933"/>
      <c r="CM970" s="933"/>
      <c r="CN970" s="933"/>
      <c r="CO970" s="933"/>
      <c r="CP970" s="933"/>
      <c r="CQ970" s="933"/>
      <c r="CR970" s="933"/>
      <c r="CS970" s="933"/>
      <c r="CT970" s="933"/>
      <c r="CU970" s="933"/>
      <c r="CV970" s="933"/>
      <c r="CW970" s="933"/>
      <c r="CX970" s="933"/>
      <c r="CY970" s="933"/>
      <c r="CZ970" s="933"/>
      <c r="DA970" s="933"/>
      <c r="DB970" s="933"/>
      <c r="DC970" s="933"/>
      <c r="DD970" s="933"/>
      <c r="DE970" s="933"/>
      <c r="DF970" s="933"/>
      <c r="DG970" s="933"/>
      <c r="DH970" s="933"/>
      <c r="DI970" s="933"/>
      <c r="DJ970" s="933"/>
      <c r="DK970" s="933"/>
      <c r="DL970" s="933"/>
      <c r="DM970" s="933"/>
      <c r="DN970" s="933"/>
      <c r="DO970" s="933"/>
      <c r="DP970" s="933"/>
      <c r="DQ970" s="933"/>
      <c r="DR970" s="933"/>
      <c r="DS970" s="933"/>
      <c r="DT970" s="933"/>
      <c r="DU970" s="933"/>
      <c r="DV970" s="933"/>
      <c r="DW970" s="933"/>
      <c r="DX970" s="933"/>
      <c r="DY970" s="933"/>
      <c r="DZ970" s="933"/>
      <c r="EA970" s="933"/>
      <c r="EB970" s="933"/>
      <c r="EC970" s="933"/>
      <c r="ED970" s="933"/>
      <c r="EE970" s="933"/>
      <c r="EF970" s="933"/>
      <c r="EG970" s="933"/>
      <c r="EH970" s="933"/>
      <c r="EI970" s="933"/>
      <c r="EJ970" s="933"/>
      <c r="EK970" s="933"/>
      <c r="EL970" s="933"/>
      <c r="EM970" s="933"/>
      <c r="EN970" s="933"/>
      <c r="EO970" s="933"/>
      <c r="EP970" s="933"/>
      <c r="EQ970" s="933"/>
      <c r="ER970" s="933"/>
      <c r="ES970" s="933"/>
      <c r="ET970" s="933"/>
      <c r="EU970" s="933"/>
      <c r="EV970" s="933"/>
      <c r="EW970" s="933"/>
      <c r="EX970" s="933"/>
      <c r="EY970" s="933"/>
      <c r="EZ970" s="933"/>
      <c r="FA970" s="933"/>
      <c r="FB970" s="933"/>
      <c r="FC970" s="933"/>
      <c r="FD970" s="933"/>
      <c r="FE970" s="933"/>
      <c r="FF970" s="933"/>
      <c r="FG970" s="933"/>
      <c r="FH970" s="933"/>
      <c r="FI970" s="933"/>
      <c r="FJ970" s="933"/>
      <c r="FK970" s="933"/>
      <c r="FL970" s="933"/>
      <c r="FM970" s="933"/>
      <c r="FN970" s="933"/>
      <c r="FO970" s="933"/>
      <c r="FP970" s="933"/>
      <c r="FQ970" s="933"/>
      <c r="FR970" s="933"/>
      <c r="FS970" s="933"/>
      <c r="FT970" s="933"/>
      <c r="FU970" s="933"/>
      <c r="FV970" s="933"/>
      <c r="FW970" s="933"/>
      <c r="FX970" s="933"/>
      <c r="FY970" s="933"/>
      <c r="FZ970" s="933"/>
      <c r="GA970" s="933"/>
      <c r="GB970" s="933"/>
      <c r="GC970" s="933"/>
      <c r="GD970" s="933"/>
      <c r="GE970" s="933"/>
      <c r="GF970" s="933"/>
      <c r="GG970" s="933"/>
      <c r="GH970" s="933"/>
      <c r="GI970" s="933"/>
      <c r="GJ970" s="933"/>
      <c r="GK970" s="933"/>
      <c r="GL970" s="933"/>
      <c r="GM970" s="933"/>
      <c r="GN970" s="933"/>
      <c r="GO970" s="933"/>
      <c r="GP970" s="933"/>
      <c r="GQ970" s="933"/>
      <c r="GR970" s="933"/>
      <c r="GS970" s="933"/>
      <c r="GT970" s="933"/>
      <c r="GU970" s="933"/>
      <c r="GV970" s="933"/>
      <c r="GW970" s="933"/>
      <c r="GX970" s="933"/>
      <c r="GY970" s="933"/>
      <c r="GZ970" s="933"/>
      <c r="HA970" s="933"/>
      <c r="HB970" s="933"/>
      <c r="HC970" s="933"/>
      <c r="HD970" s="933"/>
      <c r="HE970" s="933"/>
      <c r="HF970" s="933"/>
      <c r="HG970" s="933"/>
      <c r="HH970" s="933"/>
      <c r="HI970" s="933"/>
      <c r="HJ970" s="933"/>
      <c r="HK970" s="933"/>
      <c r="HL970" s="933"/>
      <c r="HM970" s="933"/>
      <c r="HN970" s="933"/>
      <c r="HO970" s="933"/>
      <c r="HP970" s="933"/>
      <c r="HQ970" s="933"/>
      <c r="HR970" s="933"/>
      <c r="HS970" s="933"/>
      <c r="HT970" s="933"/>
      <c r="HU970" s="933"/>
      <c r="HV970" s="933"/>
      <c r="HW970" s="933"/>
      <c r="HX970" s="933"/>
      <c r="HY970" s="933"/>
      <c r="HZ970" s="933"/>
      <c r="IA970" s="933"/>
      <c r="IB970" s="933"/>
      <c r="IC970" s="933"/>
      <c r="ID970" s="933"/>
      <c r="IE970" s="933"/>
      <c r="IF970" s="933"/>
      <c r="IG970" s="933"/>
      <c r="IH970" s="933"/>
      <c r="II970" s="933"/>
      <c r="IJ970" s="933"/>
      <c r="IK970" s="933"/>
      <c r="IL970" s="933"/>
      <c r="IM970" s="933"/>
      <c r="IN970" s="933"/>
      <c r="IO970" s="933"/>
      <c r="IP970" s="933"/>
      <c r="IQ970" s="933"/>
      <c r="IR970" s="933"/>
      <c r="IS970" s="933"/>
      <c r="IT970" s="933"/>
      <c r="IU970" s="933"/>
      <c r="IV970" s="933"/>
    </row>
    <row r="971" spans="1:256" s="956" customFormat="1" ht="11.4">
      <c r="A971" s="957">
        <v>2</v>
      </c>
      <c r="B971" s="933" t="s">
        <v>141</v>
      </c>
      <c r="C971" s="933"/>
      <c r="D971" s="933" t="s">
        <v>859</v>
      </c>
      <c r="E971" s="933"/>
      <c r="F971" s="933"/>
      <c r="G971" s="936" t="s">
        <v>860</v>
      </c>
      <c r="H971" s="937">
        <v>620</v>
      </c>
      <c r="I971" s="933" t="s">
        <v>729</v>
      </c>
      <c r="J971" s="933"/>
      <c r="K971" s="940" t="s">
        <v>7</v>
      </c>
      <c r="L971" s="933"/>
      <c r="M971" s="933"/>
      <c r="N971" s="933"/>
      <c r="O971" s="938">
        <v>2</v>
      </c>
      <c r="P971" s="939"/>
      <c r="Q971" s="940">
        <v>0.2</v>
      </c>
      <c r="R971" s="941">
        <f t="shared" si="43"/>
        <v>0.4</v>
      </c>
      <c r="S971" s="940">
        <v>0.03</v>
      </c>
      <c r="T971" s="942">
        <f t="shared" si="44"/>
        <v>0.06</v>
      </c>
      <c r="U971" s="933"/>
      <c r="V971" s="933"/>
      <c r="W971" s="933"/>
      <c r="X971" s="933"/>
      <c r="Y971" s="933"/>
      <c r="Z971" s="933"/>
      <c r="AA971" s="933"/>
      <c r="AB971" s="933"/>
      <c r="AC971" s="933"/>
      <c r="AD971" s="933"/>
      <c r="AE971" s="933"/>
      <c r="AF971" s="933"/>
      <c r="AG971" s="933"/>
      <c r="AH971" s="933"/>
      <c r="AI971" s="933"/>
      <c r="AJ971" s="933"/>
      <c r="AK971" s="933"/>
      <c r="AL971" s="933"/>
      <c r="AM971" s="933"/>
      <c r="AN971" s="933"/>
      <c r="AO971" s="933"/>
      <c r="AP971" s="933"/>
      <c r="AQ971" s="933"/>
      <c r="AR971" s="933"/>
      <c r="AS971" s="933"/>
      <c r="AT971" s="933"/>
      <c r="AU971" s="933"/>
      <c r="AV971" s="933"/>
      <c r="AW971" s="933"/>
      <c r="AX971" s="933"/>
      <c r="AY971" s="933"/>
      <c r="AZ971" s="933"/>
      <c r="BA971" s="933"/>
      <c r="BB971" s="933"/>
      <c r="BC971" s="933"/>
      <c r="BD971" s="933"/>
      <c r="BE971" s="933"/>
      <c r="BF971" s="933"/>
      <c r="BG971" s="933"/>
      <c r="BH971" s="933"/>
      <c r="BI971" s="933"/>
      <c r="BJ971" s="933"/>
      <c r="BK971" s="933"/>
      <c r="BL971" s="933"/>
      <c r="BM971" s="933"/>
      <c r="BN971" s="933"/>
      <c r="BO971" s="933"/>
      <c r="BP971" s="933"/>
      <c r="BQ971" s="933"/>
      <c r="BR971" s="933"/>
      <c r="BS971" s="933"/>
      <c r="BT971" s="933"/>
      <c r="BU971" s="933"/>
      <c r="BV971" s="933"/>
      <c r="BW971" s="933"/>
      <c r="BX971" s="933"/>
      <c r="BY971" s="933"/>
      <c r="BZ971" s="933"/>
      <c r="CA971" s="933"/>
      <c r="CB971" s="933"/>
      <c r="CC971" s="933"/>
      <c r="CD971" s="933"/>
      <c r="CE971" s="933"/>
      <c r="CF971" s="933"/>
      <c r="CG971" s="933"/>
      <c r="CH971" s="933"/>
      <c r="CI971" s="933"/>
      <c r="CJ971" s="933"/>
      <c r="CK971" s="933"/>
      <c r="CL971" s="933"/>
      <c r="CM971" s="933"/>
      <c r="CN971" s="933"/>
      <c r="CO971" s="933"/>
      <c r="CP971" s="933"/>
      <c r="CQ971" s="933"/>
      <c r="CR971" s="933"/>
      <c r="CS971" s="933"/>
      <c r="CT971" s="933"/>
      <c r="CU971" s="933"/>
      <c r="CV971" s="933"/>
      <c r="CW971" s="933"/>
      <c r="CX971" s="933"/>
      <c r="CY971" s="933"/>
      <c r="CZ971" s="933"/>
      <c r="DA971" s="933"/>
      <c r="DB971" s="933"/>
      <c r="DC971" s="933"/>
      <c r="DD971" s="933"/>
      <c r="DE971" s="933"/>
      <c r="DF971" s="933"/>
      <c r="DG971" s="933"/>
      <c r="DH971" s="933"/>
      <c r="DI971" s="933"/>
      <c r="DJ971" s="933"/>
      <c r="DK971" s="933"/>
      <c r="DL971" s="933"/>
      <c r="DM971" s="933"/>
      <c r="DN971" s="933"/>
      <c r="DO971" s="933"/>
      <c r="DP971" s="933"/>
      <c r="DQ971" s="933"/>
      <c r="DR971" s="933"/>
      <c r="DS971" s="933"/>
      <c r="DT971" s="933"/>
      <c r="DU971" s="933"/>
      <c r="DV971" s="933"/>
      <c r="DW971" s="933"/>
      <c r="DX971" s="933"/>
      <c r="DY971" s="933"/>
      <c r="DZ971" s="933"/>
      <c r="EA971" s="933"/>
      <c r="EB971" s="933"/>
      <c r="EC971" s="933"/>
      <c r="ED971" s="933"/>
      <c r="EE971" s="933"/>
      <c r="EF971" s="933"/>
      <c r="EG971" s="933"/>
      <c r="EH971" s="933"/>
      <c r="EI971" s="933"/>
      <c r="EJ971" s="933"/>
      <c r="EK971" s="933"/>
      <c r="EL971" s="933"/>
      <c r="EM971" s="933"/>
      <c r="EN971" s="933"/>
      <c r="EO971" s="933"/>
      <c r="EP971" s="933"/>
      <c r="EQ971" s="933"/>
      <c r="ER971" s="933"/>
      <c r="ES971" s="933"/>
      <c r="ET971" s="933"/>
      <c r="EU971" s="933"/>
      <c r="EV971" s="933"/>
      <c r="EW971" s="933"/>
      <c r="EX971" s="933"/>
      <c r="EY971" s="933"/>
      <c r="EZ971" s="933"/>
      <c r="FA971" s="933"/>
      <c r="FB971" s="933"/>
      <c r="FC971" s="933"/>
      <c r="FD971" s="933"/>
      <c r="FE971" s="933"/>
      <c r="FF971" s="933"/>
      <c r="FG971" s="933"/>
      <c r="FH971" s="933"/>
      <c r="FI971" s="933"/>
      <c r="FJ971" s="933"/>
      <c r="FK971" s="933"/>
      <c r="FL971" s="933"/>
      <c r="FM971" s="933"/>
      <c r="FN971" s="933"/>
      <c r="FO971" s="933"/>
      <c r="FP971" s="933"/>
      <c r="FQ971" s="933"/>
      <c r="FR971" s="933"/>
      <c r="FS971" s="933"/>
      <c r="FT971" s="933"/>
      <c r="FU971" s="933"/>
      <c r="FV971" s="933"/>
      <c r="FW971" s="933"/>
      <c r="FX971" s="933"/>
      <c r="FY971" s="933"/>
      <c r="FZ971" s="933"/>
      <c r="GA971" s="933"/>
      <c r="GB971" s="933"/>
      <c r="GC971" s="933"/>
      <c r="GD971" s="933"/>
      <c r="GE971" s="933"/>
      <c r="GF971" s="933"/>
      <c r="GG971" s="933"/>
      <c r="GH971" s="933"/>
      <c r="GI971" s="933"/>
      <c r="GJ971" s="933"/>
      <c r="GK971" s="933"/>
      <c r="GL971" s="933"/>
      <c r="GM971" s="933"/>
      <c r="GN971" s="933"/>
      <c r="GO971" s="933"/>
      <c r="GP971" s="933"/>
      <c r="GQ971" s="933"/>
      <c r="GR971" s="933"/>
      <c r="GS971" s="933"/>
      <c r="GT971" s="933"/>
      <c r="GU971" s="933"/>
      <c r="GV971" s="933"/>
      <c r="GW971" s="933"/>
      <c r="GX971" s="933"/>
      <c r="GY971" s="933"/>
      <c r="GZ971" s="933"/>
      <c r="HA971" s="933"/>
      <c r="HB971" s="933"/>
      <c r="HC971" s="933"/>
      <c r="HD971" s="933"/>
      <c r="HE971" s="933"/>
      <c r="HF971" s="933"/>
      <c r="HG971" s="933"/>
      <c r="HH971" s="933"/>
      <c r="HI971" s="933"/>
      <c r="HJ971" s="933"/>
      <c r="HK971" s="933"/>
      <c r="HL971" s="933"/>
      <c r="HM971" s="933"/>
      <c r="HN971" s="933"/>
      <c r="HO971" s="933"/>
      <c r="HP971" s="933"/>
      <c r="HQ971" s="933"/>
      <c r="HR971" s="933"/>
      <c r="HS971" s="933"/>
      <c r="HT971" s="933"/>
      <c r="HU971" s="933"/>
      <c r="HV971" s="933"/>
      <c r="HW971" s="933"/>
      <c r="HX971" s="933"/>
      <c r="HY971" s="933"/>
      <c r="HZ971" s="933"/>
      <c r="IA971" s="933"/>
      <c r="IB971" s="933"/>
      <c r="IC971" s="933"/>
      <c r="ID971" s="933"/>
      <c r="IE971" s="933"/>
      <c r="IF971" s="933"/>
      <c r="IG971" s="933"/>
      <c r="IH971" s="933"/>
      <c r="II971" s="933"/>
      <c r="IJ971" s="933"/>
      <c r="IK971" s="933"/>
      <c r="IL971" s="933"/>
      <c r="IM971" s="933"/>
      <c r="IN971" s="933"/>
      <c r="IO971" s="933"/>
      <c r="IP971" s="933"/>
      <c r="IQ971" s="933"/>
      <c r="IR971" s="933"/>
      <c r="IS971" s="933"/>
      <c r="IT971" s="933"/>
      <c r="IU971" s="933"/>
      <c r="IV971" s="933"/>
    </row>
    <row r="972" spans="1:256" s="956" customFormat="1" ht="11.4">
      <c r="A972" s="957">
        <v>6</v>
      </c>
      <c r="B972" s="933" t="s">
        <v>141</v>
      </c>
      <c r="C972" s="933"/>
      <c r="D972" s="933" t="s">
        <v>861</v>
      </c>
      <c r="E972" s="933"/>
      <c r="F972" s="933"/>
      <c r="G972" s="936" t="s">
        <v>862</v>
      </c>
      <c r="H972" s="937">
        <v>620</v>
      </c>
      <c r="I972" s="933" t="s">
        <v>741</v>
      </c>
      <c r="J972" s="933"/>
      <c r="K972" s="940" t="s">
        <v>7</v>
      </c>
      <c r="L972" s="933"/>
      <c r="M972" s="933"/>
      <c r="N972" s="933"/>
      <c r="O972" s="938">
        <v>2</v>
      </c>
      <c r="P972" s="939">
        <v>34669</v>
      </c>
      <c r="Q972" s="940">
        <v>0.05</v>
      </c>
      <c r="R972" s="941">
        <f t="shared" si="43"/>
        <v>0.30000000000000004</v>
      </c>
      <c r="S972" s="940">
        <v>0.01</v>
      </c>
      <c r="T972" s="942">
        <f t="shared" si="44"/>
        <v>0.06</v>
      </c>
      <c r="U972" s="933"/>
      <c r="V972" s="933"/>
      <c r="W972" s="933"/>
      <c r="X972" s="933"/>
      <c r="Y972" s="933"/>
      <c r="Z972" s="933"/>
      <c r="AA972" s="933"/>
      <c r="AB972" s="933"/>
      <c r="AC972" s="933"/>
      <c r="AD972" s="933"/>
      <c r="AE972" s="933"/>
      <c r="AF972" s="933"/>
      <c r="AG972" s="933"/>
      <c r="AH972" s="933"/>
      <c r="AI972" s="933"/>
      <c r="AJ972" s="933"/>
      <c r="AK972" s="933"/>
      <c r="AL972" s="933"/>
      <c r="AM972" s="933"/>
      <c r="AN972" s="933"/>
      <c r="AO972" s="933"/>
      <c r="AP972" s="933"/>
      <c r="AQ972" s="933"/>
      <c r="AR972" s="933"/>
      <c r="AS972" s="933"/>
      <c r="AT972" s="933"/>
      <c r="AU972" s="933"/>
      <c r="AV972" s="933"/>
      <c r="AW972" s="933"/>
      <c r="AX972" s="933"/>
      <c r="AY972" s="933"/>
      <c r="AZ972" s="933"/>
      <c r="BA972" s="933"/>
      <c r="BB972" s="933"/>
      <c r="BC972" s="933"/>
      <c r="BD972" s="933"/>
      <c r="BE972" s="933"/>
      <c r="BF972" s="933"/>
      <c r="BG972" s="933"/>
      <c r="BH972" s="933"/>
      <c r="BI972" s="933"/>
      <c r="BJ972" s="933"/>
      <c r="BK972" s="933"/>
      <c r="BL972" s="933"/>
      <c r="BM972" s="933"/>
      <c r="BN972" s="933"/>
      <c r="BO972" s="933"/>
      <c r="BP972" s="933"/>
      <c r="BQ972" s="933"/>
      <c r="BR972" s="933"/>
      <c r="BS972" s="933"/>
      <c r="BT972" s="933"/>
      <c r="BU972" s="933"/>
      <c r="BV972" s="933"/>
      <c r="BW972" s="933"/>
      <c r="BX972" s="933"/>
      <c r="BY972" s="933"/>
      <c r="BZ972" s="933"/>
      <c r="CA972" s="933"/>
      <c r="CB972" s="933"/>
      <c r="CC972" s="933"/>
      <c r="CD972" s="933"/>
      <c r="CE972" s="933"/>
      <c r="CF972" s="933"/>
      <c r="CG972" s="933"/>
      <c r="CH972" s="933"/>
      <c r="CI972" s="933"/>
      <c r="CJ972" s="933"/>
      <c r="CK972" s="933"/>
      <c r="CL972" s="933"/>
      <c r="CM972" s="933"/>
      <c r="CN972" s="933"/>
      <c r="CO972" s="933"/>
      <c r="CP972" s="933"/>
      <c r="CQ972" s="933"/>
      <c r="CR972" s="933"/>
      <c r="CS972" s="933"/>
      <c r="CT972" s="933"/>
      <c r="CU972" s="933"/>
      <c r="CV972" s="933"/>
      <c r="CW972" s="933"/>
      <c r="CX972" s="933"/>
      <c r="CY972" s="933"/>
      <c r="CZ972" s="933"/>
      <c r="DA972" s="933"/>
      <c r="DB972" s="933"/>
      <c r="DC972" s="933"/>
      <c r="DD972" s="933"/>
      <c r="DE972" s="933"/>
      <c r="DF972" s="933"/>
      <c r="DG972" s="933"/>
      <c r="DH972" s="933"/>
      <c r="DI972" s="933"/>
      <c r="DJ972" s="933"/>
      <c r="DK972" s="933"/>
      <c r="DL972" s="933"/>
      <c r="DM972" s="933"/>
      <c r="DN972" s="933"/>
      <c r="DO972" s="933"/>
      <c r="DP972" s="933"/>
      <c r="DQ972" s="933"/>
      <c r="DR972" s="933"/>
      <c r="DS972" s="933"/>
      <c r="DT972" s="933"/>
      <c r="DU972" s="933"/>
      <c r="DV972" s="933"/>
      <c r="DW972" s="933"/>
      <c r="DX972" s="933"/>
      <c r="DY972" s="933"/>
      <c r="DZ972" s="933"/>
      <c r="EA972" s="933"/>
      <c r="EB972" s="933"/>
      <c r="EC972" s="933"/>
      <c r="ED972" s="933"/>
      <c r="EE972" s="933"/>
      <c r="EF972" s="933"/>
      <c r="EG972" s="933"/>
      <c r="EH972" s="933"/>
      <c r="EI972" s="933"/>
      <c r="EJ972" s="933"/>
      <c r="EK972" s="933"/>
      <c r="EL972" s="933"/>
      <c r="EM972" s="933"/>
      <c r="EN972" s="933"/>
      <c r="EO972" s="933"/>
      <c r="EP972" s="933"/>
      <c r="EQ972" s="933"/>
      <c r="ER972" s="933"/>
      <c r="ES972" s="933"/>
      <c r="ET972" s="933"/>
      <c r="EU972" s="933"/>
      <c r="EV972" s="933"/>
      <c r="EW972" s="933"/>
      <c r="EX972" s="933"/>
      <c r="EY972" s="933"/>
      <c r="EZ972" s="933"/>
      <c r="FA972" s="933"/>
      <c r="FB972" s="933"/>
      <c r="FC972" s="933"/>
      <c r="FD972" s="933"/>
      <c r="FE972" s="933"/>
      <c r="FF972" s="933"/>
      <c r="FG972" s="933"/>
      <c r="FH972" s="933"/>
      <c r="FI972" s="933"/>
      <c r="FJ972" s="933"/>
      <c r="FK972" s="933"/>
      <c r="FL972" s="933"/>
      <c r="FM972" s="933"/>
      <c r="FN972" s="933"/>
      <c r="FO972" s="933"/>
      <c r="FP972" s="933"/>
      <c r="FQ972" s="933"/>
      <c r="FR972" s="933"/>
      <c r="FS972" s="933"/>
      <c r="FT972" s="933"/>
      <c r="FU972" s="933"/>
      <c r="FV972" s="933"/>
      <c r="FW972" s="933"/>
      <c r="FX972" s="933"/>
      <c r="FY972" s="933"/>
      <c r="FZ972" s="933"/>
      <c r="GA972" s="933"/>
      <c r="GB972" s="933"/>
      <c r="GC972" s="933"/>
      <c r="GD972" s="933"/>
      <c r="GE972" s="933"/>
      <c r="GF972" s="933"/>
      <c r="GG972" s="933"/>
      <c r="GH972" s="933"/>
      <c r="GI972" s="933"/>
      <c r="GJ972" s="933"/>
      <c r="GK972" s="933"/>
      <c r="GL972" s="933"/>
      <c r="GM972" s="933"/>
      <c r="GN972" s="933"/>
      <c r="GO972" s="933"/>
      <c r="GP972" s="933"/>
      <c r="GQ972" s="933"/>
      <c r="GR972" s="933"/>
      <c r="GS972" s="933"/>
      <c r="GT972" s="933"/>
      <c r="GU972" s="933"/>
      <c r="GV972" s="933"/>
      <c r="GW972" s="933"/>
      <c r="GX972" s="933"/>
      <c r="GY972" s="933"/>
      <c r="GZ972" s="933"/>
      <c r="HA972" s="933"/>
      <c r="HB972" s="933"/>
      <c r="HC972" s="933"/>
      <c r="HD972" s="933"/>
      <c r="HE972" s="933"/>
      <c r="HF972" s="933"/>
      <c r="HG972" s="933"/>
      <c r="HH972" s="933"/>
      <c r="HI972" s="933"/>
      <c r="HJ972" s="933"/>
      <c r="HK972" s="933"/>
      <c r="HL972" s="933"/>
      <c r="HM972" s="933"/>
      <c r="HN972" s="933"/>
      <c r="HO972" s="933"/>
      <c r="HP972" s="933"/>
      <c r="HQ972" s="933"/>
      <c r="HR972" s="933"/>
      <c r="HS972" s="933"/>
      <c r="HT972" s="933"/>
      <c r="HU972" s="933"/>
      <c r="HV972" s="933"/>
      <c r="HW972" s="933"/>
      <c r="HX972" s="933"/>
      <c r="HY972" s="933"/>
      <c r="HZ972" s="933"/>
      <c r="IA972" s="933"/>
      <c r="IB972" s="933"/>
      <c r="IC972" s="933"/>
      <c r="ID972" s="933"/>
      <c r="IE972" s="933"/>
      <c r="IF972" s="933"/>
      <c r="IG972" s="933"/>
      <c r="IH972" s="933"/>
      <c r="II972" s="933"/>
      <c r="IJ972" s="933"/>
      <c r="IK972" s="933"/>
      <c r="IL972" s="933"/>
      <c r="IM972" s="933"/>
      <c r="IN972" s="933"/>
      <c r="IO972" s="933"/>
      <c r="IP972" s="933"/>
      <c r="IQ972" s="933"/>
      <c r="IR972" s="933"/>
      <c r="IS972" s="933"/>
      <c r="IT972" s="933"/>
      <c r="IU972" s="933"/>
      <c r="IV972" s="933"/>
    </row>
    <row r="973" spans="1:256" s="933" customFormat="1" ht="11.4">
      <c r="A973" s="957">
        <v>1</v>
      </c>
      <c r="B973" s="933" t="s">
        <v>141</v>
      </c>
      <c r="D973" s="933" t="s">
        <v>776</v>
      </c>
      <c r="F973" s="933" t="s">
        <v>901</v>
      </c>
      <c r="G973" s="936" t="s">
        <v>777</v>
      </c>
      <c r="H973" s="937">
        <v>900</v>
      </c>
      <c r="I973" s="933" t="s">
        <v>778</v>
      </c>
      <c r="K973" s="933" t="s">
        <v>7</v>
      </c>
      <c r="O973" s="938">
        <v>1</v>
      </c>
      <c r="P973" s="939"/>
      <c r="Q973" s="983"/>
      <c r="R973" s="941">
        <f>$A973*Q973</f>
        <v>0</v>
      </c>
      <c r="S973" s="940">
        <v>0.5</v>
      </c>
      <c r="T973" s="942">
        <f t="shared" si="44"/>
        <v>0.5</v>
      </c>
      <c r="U973" s="933" t="s">
        <v>863</v>
      </c>
    </row>
    <row r="974" spans="1:256" s="519" customFormat="1" ht="13.95" customHeight="1">
      <c r="A974" s="49"/>
      <c r="B974" s="528"/>
      <c r="C974" s="528"/>
      <c r="D974" s="528"/>
      <c r="E974" s="528"/>
      <c r="F974" s="528"/>
      <c r="G974" s="528"/>
      <c r="H974" s="801"/>
      <c r="I974" s="528"/>
      <c r="J974" s="48"/>
      <c r="K974" s="805"/>
      <c r="L974" s="806"/>
      <c r="M974" s="528"/>
      <c r="N974" s="528"/>
      <c r="O974" s="48"/>
      <c r="P974" s="528"/>
      <c r="Q974" s="528"/>
      <c r="R974" s="807">
        <f>$A974*Q974</f>
        <v>0</v>
      </c>
      <c r="S974" s="528"/>
      <c r="T974" s="643">
        <f>$A974*S974*$T$1</f>
        <v>0</v>
      </c>
    </row>
    <row r="975" spans="1:256" s="519" customFormat="1" ht="12">
      <c r="A975" s="808" t="s">
        <v>145</v>
      </c>
      <c r="B975" s="809">
        <f>(R974+T974)</f>
        <v>0</v>
      </c>
      <c r="C975" s="641"/>
      <c r="G975" s="810"/>
      <c r="H975" s="810"/>
      <c r="I975" s="810"/>
      <c r="J975" s="810"/>
      <c r="K975" s="811" t="s">
        <v>3</v>
      </c>
      <c r="L975" s="812" t="s">
        <v>590</v>
      </c>
      <c r="M975" s="810"/>
      <c r="N975" s="810"/>
      <c r="O975" s="810"/>
      <c r="P975" s="810"/>
      <c r="Q975" s="813"/>
      <c r="R975" s="814">
        <f>SUM(R964:R974)</f>
        <v>69.48</v>
      </c>
      <c r="S975" s="815"/>
      <c r="T975" s="814">
        <f>SUM(T964:T974)</f>
        <v>8.6300000000000008</v>
      </c>
      <c r="AG975" s="816">
        <f>ROUND($R975*$S$2,2)</f>
        <v>69.48</v>
      </c>
    </row>
    <row r="976" spans="1:256" s="519" customFormat="1" ht="12" customHeight="1">
      <c r="A976" s="817"/>
      <c r="B976" s="818"/>
      <c r="C976" s="819"/>
      <c r="D976" s="819" t="str">
        <f>$F$3</f>
        <v>ECA</v>
      </c>
      <c r="E976" s="819">
        <f>ROUND(($R980*$S$3 + ($T980*$T$3)), 2)</f>
        <v>1214.8900000000001</v>
      </c>
      <c r="F976" s="820">
        <f ca="1">$F961-SUMIF($L963:$P966,"SUBI",$F963:$F966)</f>
        <v>1214.8899999999999</v>
      </c>
      <c r="G976" s="518"/>
      <c r="H976" s="518"/>
      <c r="I976" s="518"/>
      <c r="J976" s="518"/>
      <c r="K976" s="802" t="s">
        <v>5</v>
      </c>
      <c r="L976" s="803" t="s">
        <v>590</v>
      </c>
      <c r="M976" s="518"/>
      <c r="N976" s="518"/>
      <c r="O976" s="518"/>
      <c r="P976" s="518"/>
      <c r="Q976" s="518"/>
      <c r="R976" s="821"/>
      <c r="S976" s="518"/>
      <c r="T976" s="821"/>
    </row>
    <row r="977" spans="1:41" s="933" customFormat="1" ht="13.2">
      <c r="A977">
        <v>1</v>
      </c>
      <c r="B977" s="933" t="s">
        <v>141</v>
      </c>
      <c r="D977" s="933" t="s">
        <v>785</v>
      </c>
      <c r="E977" s="935" t="s">
        <v>809</v>
      </c>
      <c r="F977" s="933" t="s">
        <v>974</v>
      </c>
      <c r="G977" s="936" t="s">
        <v>786</v>
      </c>
      <c r="H977" s="937">
        <v>570</v>
      </c>
      <c r="I977" s="933" t="s">
        <v>729</v>
      </c>
      <c r="O977" s="938">
        <v>2</v>
      </c>
      <c r="P977" s="939">
        <v>38443</v>
      </c>
      <c r="Q977" s="1058">
        <v>1077.5899999999999</v>
      </c>
      <c r="R977" s="941">
        <f>$A977*Q977</f>
        <v>1077.5899999999999</v>
      </c>
      <c r="S977" s="940"/>
      <c r="T977" s="942">
        <f>$A977*S977*$T$1</f>
        <v>0</v>
      </c>
    </row>
    <row r="978" spans="1:41" s="933" customFormat="1" ht="13.2">
      <c r="A978">
        <v>1</v>
      </c>
      <c r="B978" s="933" t="s">
        <v>141</v>
      </c>
      <c r="D978" s="933" t="s">
        <v>785</v>
      </c>
      <c r="E978" s="935" t="s">
        <v>885</v>
      </c>
      <c r="F978" s="933" t="s">
        <v>974</v>
      </c>
      <c r="G978" s="936" t="s">
        <v>786</v>
      </c>
      <c r="H978" s="937">
        <v>570</v>
      </c>
      <c r="I978" s="933" t="s">
        <v>729</v>
      </c>
      <c r="O978" s="938">
        <v>2</v>
      </c>
      <c r="P978" s="939">
        <v>38443</v>
      </c>
      <c r="Q978" s="940"/>
      <c r="R978" s="941">
        <f>$A978*Q978</f>
        <v>0</v>
      </c>
      <c r="S978" s="1058">
        <v>5</v>
      </c>
      <c r="T978" s="942">
        <f>$A978*S978*$T$1</f>
        <v>5</v>
      </c>
    </row>
    <row r="979" spans="1:41" s="519" customFormat="1" ht="13.2">
      <c r="A979" s="49"/>
      <c r="B979" s="528"/>
      <c r="C979" s="528"/>
      <c r="D979" s="3"/>
      <c r="E979" s="528"/>
      <c r="F979" s="528"/>
      <c r="G979" s="528"/>
      <c r="H979" s="528"/>
      <c r="I979" s="528"/>
      <c r="J979" s="528"/>
      <c r="K979" s="528"/>
      <c r="L979" s="806"/>
      <c r="M979" s="528"/>
      <c r="N979" s="528"/>
      <c r="O979" s="528"/>
      <c r="P979" s="528"/>
      <c r="Q979" s="528"/>
      <c r="R979" s="807">
        <f>$A979*Q979</f>
        <v>0</v>
      </c>
      <c r="S979" s="528"/>
      <c r="T979" s="643">
        <f>$A979*S979*$T$1</f>
        <v>0</v>
      </c>
    </row>
    <row r="980" spans="1:41" s="519" customFormat="1" ht="12" customHeight="1">
      <c r="A980" s="835" t="s">
        <v>145</v>
      </c>
      <c r="B980" s="836">
        <f>(R979+T979)</f>
        <v>0</v>
      </c>
      <c r="C980" s="837"/>
      <c r="D980" s="837"/>
      <c r="E980" s="837"/>
      <c r="F980" s="837"/>
      <c r="G980" s="813"/>
      <c r="H980" s="813"/>
      <c r="I980" s="813"/>
      <c r="J980" s="813"/>
      <c r="K980" s="838" t="s">
        <v>5</v>
      </c>
      <c r="L980" s="839" t="s">
        <v>590</v>
      </c>
      <c r="M980" s="813"/>
      <c r="N980" s="813"/>
      <c r="O980" s="813"/>
      <c r="P980" s="813"/>
      <c r="Q980" s="813"/>
      <c r="R980" s="814">
        <f>SUM(R976:R979)</f>
        <v>1077.5899999999999</v>
      </c>
      <c r="S980" s="815"/>
      <c r="T980" s="814">
        <f>SUM(T976:T979)</f>
        <v>5</v>
      </c>
      <c r="AG980" s="840">
        <f>ROUND($R980*$S$3,2)</f>
        <v>1077.5899999999999</v>
      </c>
    </row>
    <row r="981" spans="1:41" s="519" customFormat="1" ht="12.75" customHeight="1">
      <c r="A981" s="841"/>
      <c r="B981" s="842"/>
      <c r="E981" s="641"/>
      <c r="F981" s="843"/>
      <c r="G981" s="641"/>
      <c r="H981" s="641"/>
      <c r="I981" s="518"/>
      <c r="J981" s="641"/>
      <c r="K981" s="641"/>
      <c r="L981" s="844"/>
      <c r="M981" s="652"/>
      <c r="N981" s="652"/>
      <c r="O981" s="652"/>
      <c r="P981" s="652"/>
      <c r="Q981" s="653"/>
      <c r="R981" s="821"/>
      <c r="S981" s="641"/>
      <c r="T981" s="821"/>
    </row>
    <row r="982" spans="1:41" s="519" customFormat="1" ht="13.5" customHeight="1" thickBot="1">
      <c r="A982" s="845"/>
      <c r="B982" s="846"/>
      <c r="C982" s="529"/>
      <c r="D982" s="529"/>
      <c r="E982" s="646"/>
      <c r="F982" s="647"/>
      <c r="G982" s="646" t="s">
        <v>146</v>
      </c>
      <c r="H982" s="646"/>
      <c r="I982" s="648"/>
      <c r="J982" s="646"/>
      <c r="K982" s="646"/>
      <c r="L982" s="847" t="s">
        <v>143</v>
      </c>
      <c r="M982" s="649"/>
      <c r="N982" s="649"/>
      <c r="O982" s="649"/>
      <c r="P982" s="649"/>
      <c r="Q982" s="650"/>
      <c r="R982" s="848">
        <f>SUMIF($L962:$L981,"SUBI",R962:R981)</f>
        <v>1147.07</v>
      </c>
      <c r="S982" s="646"/>
      <c r="T982" s="848">
        <f>SUMIF($L962:$L981,"SUBI",T962:T981)</f>
        <v>13.63</v>
      </c>
      <c r="U982" s="529"/>
      <c r="V982" s="529"/>
      <c r="W982" s="529"/>
      <c r="X982" s="529"/>
      <c r="Y982" s="529"/>
      <c r="Z982" s="529"/>
      <c r="AA982" s="529"/>
      <c r="AB982" s="529"/>
      <c r="AC982" s="529"/>
      <c r="AD982" s="529"/>
      <c r="AE982" s="529"/>
      <c r="AF982" s="529"/>
      <c r="AG982" s="529"/>
      <c r="AH982" s="529"/>
      <c r="AI982" s="529"/>
      <c r="AJ982" s="529"/>
      <c r="AK982" s="529"/>
      <c r="AL982" s="529"/>
      <c r="AM982" s="529"/>
      <c r="AN982" s="529"/>
      <c r="AO982" s="529"/>
    </row>
    <row r="983" spans="1:41" s="519" customFormat="1" thickTop="1">
      <c r="A983" s="47"/>
      <c r="B983" s="40"/>
      <c r="C983" s="47"/>
      <c r="E983" s="41" t="s">
        <v>138</v>
      </c>
      <c r="F983" s="41" t="s">
        <v>139</v>
      </c>
      <c r="G983" s="47"/>
      <c r="H983" s="47"/>
      <c r="I983" s="47"/>
      <c r="J983" s="47"/>
      <c r="K983" s="47" t="s">
        <v>140</v>
      </c>
      <c r="L983" s="774"/>
      <c r="M983" s="47"/>
      <c r="N983" s="47"/>
      <c r="O983" s="48"/>
      <c r="P983" s="47"/>
      <c r="Q983"/>
      <c r="R983"/>
      <c r="S983"/>
      <c r="T983" s="40"/>
      <c r="AG983" s="627" t="s">
        <v>277</v>
      </c>
      <c r="AH983" s="627" t="s">
        <v>278</v>
      </c>
      <c r="AI983" s="627" t="s">
        <v>279</v>
      </c>
      <c r="AJ983" s="627" t="s">
        <v>280</v>
      </c>
      <c r="AK983" s="627" t="s">
        <v>281</v>
      </c>
      <c r="AM983" s="628" t="s">
        <v>290</v>
      </c>
      <c r="AN983" s="629" t="s">
        <v>291</v>
      </c>
      <c r="AO983" s="520" t="s">
        <v>287</v>
      </c>
    </row>
    <row r="984" spans="1:41" s="519" customFormat="1" ht="13.2">
      <c r="A984" s="630">
        <v>1</v>
      </c>
      <c r="B984" s="521" t="s">
        <v>339</v>
      </c>
      <c r="C984" s="631"/>
      <c r="D984" s="632" t="s">
        <v>672</v>
      </c>
      <c r="E984" s="775">
        <f>IF(AND($A984=0,$A$1="DIF"),0, ROUND(ROUND(SUMIF($L986:$L999,"SUBI",$E986:$E999)/$A984,2)*$C$12,2))</f>
        <v>1381.04</v>
      </c>
      <c r="F984" s="776">
        <f>ROUND($A984*$E984,2)</f>
        <v>1381.04</v>
      </c>
      <c r="G984" s="635" t="s">
        <v>142</v>
      </c>
      <c r="H984" s="636"/>
      <c r="I984" s="637"/>
      <c r="J984" s="636"/>
      <c r="K984" s="777"/>
      <c r="L984" s="778" t="s">
        <v>143</v>
      </c>
      <c r="M984" s="638"/>
      <c r="N984" s="638"/>
      <c r="O984" s="638"/>
      <c r="P984" s="638"/>
      <c r="Q984"/>
      <c r="R984"/>
      <c r="S984"/>
      <c r="T984" s="779" t="str">
        <f>IF(AND($R1005=0,$T1005=0),"0.00","mu :" &amp; ROUND($F984/$C$12/($R1005+$T1005*$D$9),2))</f>
        <v>mu :1</v>
      </c>
      <c r="W984" s="522"/>
      <c r="AG984" s="780">
        <f>IF(A984=0,0,ROUND(SUM(AG986:AG1005)/A984,2))</f>
        <v>1034.22</v>
      </c>
      <c r="AH984" s="780">
        <f>$AG984*$A984</f>
        <v>1034.22</v>
      </c>
      <c r="AI984" s="780">
        <f>$E984-$AG984</f>
        <v>346.81999999999994</v>
      </c>
      <c r="AJ984" s="780">
        <f>$A984*$AI984</f>
        <v>346.81999999999994</v>
      </c>
      <c r="AK984" s="781">
        <f>ROUND(($AG984+$AI984)*$A984,2)</f>
        <v>1381.04</v>
      </c>
      <c r="AM984" s="525">
        <f>ROUND(R1005,2)</f>
        <v>1034.22</v>
      </c>
      <c r="AN984" s="526">
        <f>ROUND(T1005,2)</f>
        <v>12.63</v>
      </c>
      <c r="AO984" s="527">
        <f>ROUND(AM984+AN984,2)*A984</f>
        <v>1046.8499999999999</v>
      </c>
    </row>
    <row r="985" spans="1:41" s="519" customFormat="1" ht="19.95" customHeight="1">
      <c r="A985" s="782"/>
      <c r="B985" s="783"/>
      <c r="C985" s="631"/>
      <c r="D985" s="784" t="s">
        <v>673</v>
      </c>
      <c r="F985" s="636"/>
      <c r="G985" s="636"/>
      <c r="H985" s="636"/>
      <c r="I985" s="637"/>
      <c r="J985" s="636"/>
      <c r="K985" s="636" t="s">
        <v>144</v>
      </c>
      <c r="L985" s="785"/>
      <c r="M985" s="636"/>
      <c r="N985" s="636"/>
      <c r="O985" s="636"/>
      <c r="P985" s="636"/>
      <c r="Q985" s="47"/>
      <c r="R985" s="528"/>
      <c r="S985" s="640"/>
      <c r="T985" s="636"/>
    </row>
    <row r="986" spans="1:41" s="519" customFormat="1" ht="12">
      <c r="A986" s="786"/>
      <c r="B986" s="787"/>
      <c r="C986" s="641"/>
      <c r="D986" s="636"/>
      <c r="E986" s="788">
        <f>F984/$C$12-SUMIF($L983:$L1005,"SUBI",$E983:$E1005)</f>
        <v>0</v>
      </c>
      <c r="F986" s="789" t="s">
        <v>589</v>
      </c>
      <c r="G986" s="790"/>
      <c r="H986" s="790"/>
      <c r="I986" s="791"/>
      <c r="J986" s="790"/>
      <c r="K986" s="790"/>
      <c r="L986" s="792"/>
      <c r="M986" s="793"/>
      <c r="N986" s="793"/>
      <c r="O986" s="793"/>
      <c r="P986" s="793"/>
      <c r="Q986" s="794"/>
      <c r="R986" s="795"/>
      <c r="S986" s="794"/>
      <c r="T986" s="796"/>
    </row>
    <row r="987" spans="1:41" s="519" customFormat="1" ht="12" customHeight="1">
      <c r="A987" s="797"/>
      <c r="B987" s="798"/>
      <c r="C987" s="799"/>
      <c r="D987" s="799" t="str">
        <f>$F$2</f>
        <v>Electrical</v>
      </c>
      <c r="E987" s="799">
        <f>ROUND(($R998*$S$2 + ($T998*$T$2)), 2)</f>
        <v>279</v>
      </c>
      <c r="F987" s="800">
        <f>$E987*$C$12</f>
        <v>279</v>
      </c>
      <c r="G987" s="528"/>
      <c r="H987" s="801"/>
      <c r="I987" s="528"/>
      <c r="J987" s="48"/>
      <c r="K987" s="802" t="s">
        <v>3</v>
      </c>
      <c r="L987" s="803" t="s">
        <v>590</v>
      </c>
      <c r="M987" s="528"/>
      <c r="N987" s="528"/>
      <c r="O987" s="48"/>
      <c r="P987" s="528"/>
      <c r="Q987" s="528"/>
      <c r="R987"/>
      <c r="S987"/>
      <c r="T987"/>
    </row>
    <row r="988" spans="1:41" s="933" customFormat="1" ht="13.2">
      <c r="A988">
        <v>1</v>
      </c>
      <c r="B988" s="933" t="s">
        <v>141</v>
      </c>
      <c r="D988" s="933" t="s">
        <v>785</v>
      </c>
      <c r="E988" s="935" t="s">
        <v>810</v>
      </c>
      <c r="F988" s="933" t="s">
        <v>803</v>
      </c>
      <c r="G988" s="936" t="s">
        <v>786</v>
      </c>
      <c r="H988" s="937">
        <v>570</v>
      </c>
      <c r="I988" s="933" t="s">
        <v>729</v>
      </c>
      <c r="O988" s="938">
        <v>2</v>
      </c>
      <c r="P988" s="939">
        <v>38443</v>
      </c>
      <c r="Q988" s="940"/>
      <c r="R988" s="941">
        <f>$A988*Q988</f>
        <v>0</v>
      </c>
      <c r="S988" s="940">
        <f>4+2</f>
        <v>6</v>
      </c>
      <c r="T988" s="942">
        <f>$A988*S988*$T$1</f>
        <v>6</v>
      </c>
    </row>
    <row r="989" spans="1:41" s="933" customFormat="1" ht="13.2">
      <c r="A989">
        <v>1</v>
      </c>
      <c r="B989" s="933" t="s">
        <v>141</v>
      </c>
      <c r="D989" s="933" t="s">
        <v>787</v>
      </c>
      <c r="G989" s="936" t="s">
        <v>788</v>
      </c>
      <c r="H989" s="937">
        <v>501</v>
      </c>
      <c r="I989" s="933" t="s">
        <v>729</v>
      </c>
      <c r="K989" s="933" t="s">
        <v>789</v>
      </c>
      <c r="O989" s="938">
        <v>1</v>
      </c>
      <c r="P989" s="939"/>
      <c r="Q989" s="1058">
        <v>50</v>
      </c>
      <c r="R989" s="941">
        <f>$A989*Q989</f>
        <v>50</v>
      </c>
      <c r="S989" s="940"/>
      <c r="T989" s="942">
        <f>$A989*S989*$T$1</f>
        <v>0</v>
      </c>
    </row>
    <row r="990" spans="1:41" s="933" customFormat="1" ht="13.2">
      <c r="A990"/>
      <c r="D990" s="978" t="s">
        <v>900</v>
      </c>
      <c r="E990" s="935"/>
      <c r="G990" s="936"/>
      <c r="H990" s="937"/>
      <c r="O990" s="938"/>
      <c r="P990" s="939"/>
      <c r="Q990" s="940"/>
      <c r="R990" s="941"/>
      <c r="S990" s="940"/>
      <c r="T990" s="942"/>
    </row>
    <row r="991" spans="1:41" s="933" customFormat="1" ht="11.4">
      <c r="A991" s="957">
        <v>3</v>
      </c>
      <c r="B991" s="933" t="s">
        <v>311</v>
      </c>
      <c r="D991" s="933" t="s">
        <v>851</v>
      </c>
      <c r="G991" s="936" t="s">
        <v>852</v>
      </c>
      <c r="H991" s="937">
        <v>690</v>
      </c>
      <c r="I991" s="933" t="s">
        <v>780</v>
      </c>
      <c r="J991" s="933" t="s">
        <v>781</v>
      </c>
      <c r="K991" s="940" t="s">
        <v>7</v>
      </c>
      <c r="O991" s="938">
        <v>1</v>
      </c>
      <c r="P991" s="939">
        <v>34669</v>
      </c>
      <c r="Q991" s="982">
        <v>3.66</v>
      </c>
      <c r="R991" s="941">
        <f>$A991*Q991</f>
        <v>10.98</v>
      </c>
      <c r="S991" s="940">
        <v>0.2</v>
      </c>
      <c r="T991" s="942">
        <f t="shared" ref="T991" si="45">$A991*S991*$T$1</f>
        <v>0.60000000000000009</v>
      </c>
    </row>
    <row r="992" spans="1:41" s="933" customFormat="1" ht="13.2">
      <c r="A992">
        <v>3</v>
      </c>
      <c r="B992" s="933" t="s">
        <v>311</v>
      </c>
      <c r="D992" s="933" t="s">
        <v>792</v>
      </c>
      <c r="G992" s="936" t="s">
        <v>793</v>
      </c>
      <c r="H992" s="937">
        <v>617</v>
      </c>
      <c r="I992" s="933" t="s">
        <v>729</v>
      </c>
      <c r="O992" s="938">
        <v>2</v>
      </c>
      <c r="P992" s="939">
        <v>40767</v>
      </c>
      <c r="Q992" s="940">
        <v>1.5</v>
      </c>
      <c r="R992" s="941">
        <f>$A992*Q992</f>
        <v>4.5</v>
      </c>
      <c r="S992" s="940">
        <v>7.0000000000000007E-2</v>
      </c>
      <c r="T992" s="942">
        <f>$A992*S992*$T$1</f>
        <v>0.21000000000000002</v>
      </c>
    </row>
    <row r="993" spans="1:256" s="956" customFormat="1" ht="11.4">
      <c r="A993" s="957">
        <v>2</v>
      </c>
      <c r="B993" s="933" t="s">
        <v>141</v>
      </c>
      <c r="C993" s="933"/>
      <c r="D993" s="933" t="s">
        <v>857</v>
      </c>
      <c r="E993" s="933"/>
      <c r="F993" s="933"/>
      <c r="G993" s="936" t="s">
        <v>858</v>
      </c>
      <c r="H993" s="937">
        <v>620</v>
      </c>
      <c r="I993" s="933" t="s">
        <v>729</v>
      </c>
      <c r="J993" s="933"/>
      <c r="K993" s="940" t="s">
        <v>7</v>
      </c>
      <c r="L993" s="933"/>
      <c r="M993" s="933"/>
      <c r="N993" s="933"/>
      <c r="O993" s="938">
        <v>2</v>
      </c>
      <c r="P993" s="939">
        <v>38148</v>
      </c>
      <c r="Q993" s="940">
        <f>1.1*1.5</f>
        <v>1.6500000000000001</v>
      </c>
      <c r="R993" s="941">
        <f t="shared" ref="R993:R995" si="46">$A993*Q993</f>
        <v>3.3000000000000003</v>
      </c>
      <c r="S993" s="940">
        <v>0.1</v>
      </c>
      <c r="T993" s="942">
        <f t="shared" ref="T993:T996" si="47">$A993*S993*$T$1</f>
        <v>0.2</v>
      </c>
      <c r="U993" s="933"/>
      <c r="V993" s="933"/>
      <c r="W993" s="933"/>
      <c r="X993" s="933"/>
      <c r="Y993" s="933"/>
      <c r="Z993" s="933"/>
      <c r="AA993" s="933"/>
      <c r="AB993" s="933"/>
      <c r="AC993" s="519"/>
      <c r="AD993" s="519"/>
      <c r="AE993" s="519"/>
      <c r="AF993" s="519"/>
      <c r="AG993" s="933"/>
      <c r="AH993" s="933"/>
      <c r="AI993" s="933"/>
      <c r="AJ993" s="933"/>
      <c r="AK993" s="933"/>
      <c r="AL993" s="933"/>
      <c r="AM993" s="933"/>
      <c r="AN993" s="933"/>
      <c r="AO993" s="933"/>
      <c r="AP993" s="933"/>
      <c r="AQ993" s="933"/>
      <c r="AR993" s="933"/>
      <c r="AS993" s="933"/>
      <c r="AT993" s="933"/>
      <c r="AU993" s="933"/>
      <c r="AV993" s="933"/>
      <c r="AW993" s="933"/>
      <c r="AX993" s="933"/>
      <c r="AY993" s="933"/>
      <c r="AZ993" s="933"/>
      <c r="BA993" s="933"/>
      <c r="BB993" s="933"/>
      <c r="BC993" s="933"/>
      <c r="BD993" s="933"/>
      <c r="BE993" s="933"/>
      <c r="BF993" s="933"/>
      <c r="BG993" s="933"/>
      <c r="BH993" s="933"/>
      <c r="BI993" s="933"/>
      <c r="BJ993" s="933"/>
      <c r="BK993" s="933"/>
      <c r="BL993" s="933"/>
      <c r="BM993" s="933"/>
      <c r="BN993" s="933"/>
      <c r="BO993" s="933"/>
      <c r="BP993" s="933"/>
      <c r="BQ993" s="933"/>
      <c r="BR993" s="933"/>
      <c r="BS993" s="933"/>
      <c r="BT993" s="933"/>
      <c r="BU993" s="933"/>
      <c r="BV993" s="933"/>
      <c r="BW993" s="933"/>
      <c r="BX993" s="933"/>
      <c r="BY993" s="933"/>
      <c r="BZ993" s="933"/>
      <c r="CA993" s="933"/>
      <c r="CB993" s="933"/>
      <c r="CC993" s="933"/>
      <c r="CD993" s="933"/>
      <c r="CE993" s="933"/>
      <c r="CF993" s="933"/>
      <c r="CG993" s="933"/>
      <c r="CH993" s="933"/>
      <c r="CI993" s="933"/>
      <c r="CJ993" s="933"/>
      <c r="CK993" s="933"/>
      <c r="CL993" s="933"/>
      <c r="CM993" s="933"/>
      <c r="CN993" s="933"/>
      <c r="CO993" s="933"/>
      <c r="CP993" s="933"/>
      <c r="CQ993" s="933"/>
      <c r="CR993" s="933"/>
      <c r="CS993" s="933"/>
      <c r="CT993" s="933"/>
      <c r="CU993" s="933"/>
      <c r="CV993" s="933"/>
      <c r="CW993" s="933"/>
      <c r="CX993" s="933"/>
      <c r="CY993" s="933"/>
      <c r="CZ993" s="933"/>
      <c r="DA993" s="933"/>
      <c r="DB993" s="933"/>
      <c r="DC993" s="933"/>
      <c r="DD993" s="933"/>
      <c r="DE993" s="933"/>
      <c r="DF993" s="933"/>
      <c r="DG993" s="933"/>
      <c r="DH993" s="933"/>
      <c r="DI993" s="933"/>
      <c r="DJ993" s="933"/>
      <c r="DK993" s="933"/>
      <c r="DL993" s="933"/>
      <c r="DM993" s="933"/>
      <c r="DN993" s="933"/>
      <c r="DO993" s="933"/>
      <c r="DP993" s="933"/>
      <c r="DQ993" s="933"/>
      <c r="DR993" s="933"/>
      <c r="DS993" s="933"/>
      <c r="DT993" s="933"/>
      <c r="DU993" s="933"/>
      <c r="DV993" s="933"/>
      <c r="DW993" s="933"/>
      <c r="DX993" s="933"/>
      <c r="DY993" s="933"/>
      <c r="DZ993" s="933"/>
      <c r="EA993" s="933"/>
      <c r="EB993" s="933"/>
      <c r="EC993" s="933"/>
      <c r="ED993" s="933"/>
      <c r="EE993" s="933"/>
      <c r="EF993" s="933"/>
      <c r="EG993" s="933"/>
      <c r="EH993" s="933"/>
      <c r="EI993" s="933"/>
      <c r="EJ993" s="933"/>
      <c r="EK993" s="933"/>
      <c r="EL993" s="933"/>
      <c r="EM993" s="933"/>
      <c r="EN993" s="933"/>
      <c r="EO993" s="933"/>
      <c r="EP993" s="933"/>
      <c r="EQ993" s="933"/>
      <c r="ER993" s="933"/>
      <c r="ES993" s="933"/>
      <c r="ET993" s="933"/>
      <c r="EU993" s="933"/>
      <c r="EV993" s="933"/>
      <c r="EW993" s="933"/>
      <c r="EX993" s="933"/>
      <c r="EY993" s="933"/>
      <c r="EZ993" s="933"/>
      <c r="FA993" s="933"/>
      <c r="FB993" s="933"/>
      <c r="FC993" s="933"/>
      <c r="FD993" s="933"/>
      <c r="FE993" s="933"/>
      <c r="FF993" s="933"/>
      <c r="FG993" s="933"/>
      <c r="FH993" s="933"/>
      <c r="FI993" s="933"/>
      <c r="FJ993" s="933"/>
      <c r="FK993" s="933"/>
      <c r="FL993" s="933"/>
      <c r="FM993" s="933"/>
      <c r="FN993" s="933"/>
      <c r="FO993" s="933"/>
      <c r="FP993" s="933"/>
      <c r="FQ993" s="933"/>
      <c r="FR993" s="933"/>
      <c r="FS993" s="933"/>
      <c r="FT993" s="933"/>
      <c r="FU993" s="933"/>
      <c r="FV993" s="933"/>
      <c r="FW993" s="933"/>
      <c r="FX993" s="933"/>
      <c r="FY993" s="933"/>
      <c r="FZ993" s="933"/>
      <c r="GA993" s="933"/>
      <c r="GB993" s="933"/>
      <c r="GC993" s="933"/>
      <c r="GD993" s="933"/>
      <c r="GE993" s="933"/>
      <c r="GF993" s="933"/>
      <c r="GG993" s="933"/>
      <c r="GH993" s="933"/>
      <c r="GI993" s="933"/>
      <c r="GJ993" s="933"/>
      <c r="GK993" s="933"/>
      <c r="GL993" s="933"/>
      <c r="GM993" s="933"/>
      <c r="GN993" s="933"/>
      <c r="GO993" s="933"/>
      <c r="GP993" s="933"/>
      <c r="GQ993" s="933"/>
      <c r="GR993" s="933"/>
      <c r="GS993" s="933"/>
      <c r="GT993" s="933"/>
      <c r="GU993" s="933"/>
      <c r="GV993" s="933"/>
      <c r="GW993" s="933"/>
      <c r="GX993" s="933"/>
      <c r="GY993" s="933"/>
      <c r="GZ993" s="933"/>
      <c r="HA993" s="933"/>
      <c r="HB993" s="933"/>
      <c r="HC993" s="933"/>
      <c r="HD993" s="933"/>
      <c r="HE993" s="933"/>
      <c r="HF993" s="933"/>
      <c r="HG993" s="933"/>
      <c r="HH993" s="933"/>
      <c r="HI993" s="933"/>
      <c r="HJ993" s="933"/>
      <c r="HK993" s="933"/>
      <c r="HL993" s="933"/>
      <c r="HM993" s="933"/>
      <c r="HN993" s="933"/>
      <c r="HO993" s="933"/>
      <c r="HP993" s="933"/>
      <c r="HQ993" s="933"/>
      <c r="HR993" s="933"/>
      <c r="HS993" s="933"/>
      <c r="HT993" s="933"/>
      <c r="HU993" s="933"/>
      <c r="HV993" s="933"/>
      <c r="HW993" s="933"/>
      <c r="HX993" s="933"/>
      <c r="HY993" s="933"/>
      <c r="HZ993" s="933"/>
      <c r="IA993" s="933"/>
      <c r="IB993" s="933"/>
      <c r="IC993" s="933"/>
      <c r="ID993" s="933"/>
      <c r="IE993" s="933"/>
      <c r="IF993" s="933"/>
      <c r="IG993" s="933"/>
      <c r="IH993" s="933"/>
      <c r="II993" s="933"/>
      <c r="IJ993" s="933"/>
      <c r="IK993" s="933"/>
      <c r="IL993" s="933"/>
      <c r="IM993" s="933"/>
      <c r="IN993" s="933"/>
      <c r="IO993" s="933"/>
      <c r="IP993" s="933"/>
      <c r="IQ993" s="933"/>
      <c r="IR993" s="933"/>
      <c r="IS993" s="933"/>
      <c r="IT993" s="933"/>
      <c r="IU993" s="933"/>
      <c r="IV993" s="933"/>
    </row>
    <row r="994" spans="1:256" s="956" customFormat="1" ht="11.4">
      <c r="A994" s="957">
        <v>2</v>
      </c>
      <c r="B994" s="933" t="s">
        <v>141</v>
      </c>
      <c r="C994" s="933"/>
      <c r="D994" s="933" t="s">
        <v>859</v>
      </c>
      <c r="E994" s="933"/>
      <c r="F994" s="933"/>
      <c r="G994" s="936" t="s">
        <v>860</v>
      </c>
      <c r="H994" s="937">
        <v>620</v>
      </c>
      <c r="I994" s="933" t="s">
        <v>729</v>
      </c>
      <c r="J994" s="933"/>
      <c r="K994" s="940" t="s">
        <v>7</v>
      </c>
      <c r="L994" s="933"/>
      <c r="M994" s="933"/>
      <c r="N994" s="933"/>
      <c r="O994" s="938">
        <v>2</v>
      </c>
      <c r="P994" s="939"/>
      <c r="Q994" s="940">
        <v>0.2</v>
      </c>
      <c r="R994" s="941">
        <f t="shared" si="46"/>
        <v>0.4</v>
      </c>
      <c r="S994" s="940">
        <v>0.03</v>
      </c>
      <c r="T994" s="942">
        <f t="shared" si="47"/>
        <v>0.06</v>
      </c>
      <c r="U994" s="933"/>
      <c r="V994" s="933"/>
      <c r="W994" s="933"/>
      <c r="X994" s="933"/>
      <c r="Y994" s="933"/>
      <c r="Z994" s="933"/>
      <c r="AA994" s="933"/>
      <c r="AB994" s="933"/>
      <c r="AC994" s="933"/>
      <c r="AD994" s="933"/>
      <c r="AE994" s="933"/>
      <c r="AF994" s="933"/>
      <c r="AG994" s="933"/>
      <c r="AH994" s="933"/>
      <c r="AI994" s="933"/>
      <c r="AJ994" s="933"/>
      <c r="AK994" s="933"/>
      <c r="AL994" s="933"/>
      <c r="AM994" s="933"/>
      <c r="AN994" s="933"/>
      <c r="AO994" s="933"/>
      <c r="AP994" s="933"/>
      <c r="AQ994" s="933"/>
      <c r="AR994" s="933"/>
      <c r="AS994" s="933"/>
      <c r="AT994" s="933"/>
      <c r="AU994" s="933"/>
      <c r="AV994" s="933"/>
      <c r="AW994" s="933"/>
      <c r="AX994" s="933"/>
      <c r="AY994" s="933"/>
      <c r="AZ994" s="933"/>
      <c r="BA994" s="933"/>
      <c r="BB994" s="933"/>
      <c r="BC994" s="933"/>
      <c r="BD994" s="933"/>
      <c r="BE994" s="933"/>
      <c r="BF994" s="933"/>
      <c r="BG994" s="933"/>
      <c r="BH994" s="933"/>
      <c r="BI994" s="933"/>
      <c r="BJ994" s="933"/>
      <c r="BK994" s="933"/>
      <c r="BL994" s="933"/>
      <c r="BM994" s="933"/>
      <c r="BN994" s="933"/>
      <c r="BO994" s="933"/>
      <c r="BP994" s="933"/>
      <c r="BQ994" s="933"/>
      <c r="BR994" s="933"/>
      <c r="BS994" s="933"/>
      <c r="BT994" s="933"/>
      <c r="BU994" s="933"/>
      <c r="BV994" s="933"/>
      <c r="BW994" s="933"/>
      <c r="BX994" s="933"/>
      <c r="BY994" s="933"/>
      <c r="BZ994" s="933"/>
      <c r="CA994" s="933"/>
      <c r="CB994" s="933"/>
      <c r="CC994" s="933"/>
      <c r="CD994" s="933"/>
      <c r="CE994" s="933"/>
      <c r="CF994" s="933"/>
      <c r="CG994" s="933"/>
      <c r="CH994" s="933"/>
      <c r="CI994" s="933"/>
      <c r="CJ994" s="933"/>
      <c r="CK994" s="933"/>
      <c r="CL994" s="933"/>
      <c r="CM994" s="933"/>
      <c r="CN994" s="933"/>
      <c r="CO994" s="933"/>
      <c r="CP994" s="933"/>
      <c r="CQ994" s="933"/>
      <c r="CR994" s="933"/>
      <c r="CS994" s="933"/>
      <c r="CT994" s="933"/>
      <c r="CU994" s="933"/>
      <c r="CV994" s="933"/>
      <c r="CW994" s="933"/>
      <c r="CX994" s="933"/>
      <c r="CY994" s="933"/>
      <c r="CZ994" s="933"/>
      <c r="DA994" s="933"/>
      <c r="DB994" s="933"/>
      <c r="DC994" s="933"/>
      <c r="DD994" s="933"/>
      <c r="DE994" s="933"/>
      <c r="DF994" s="933"/>
      <c r="DG994" s="933"/>
      <c r="DH994" s="933"/>
      <c r="DI994" s="933"/>
      <c r="DJ994" s="933"/>
      <c r="DK994" s="933"/>
      <c r="DL994" s="933"/>
      <c r="DM994" s="933"/>
      <c r="DN994" s="933"/>
      <c r="DO994" s="933"/>
      <c r="DP994" s="933"/>
      <c r="DQ994" s="933"/>
      <c r="DR994" s="933"/>
      <c r="DS994" s="933"/>
      <c r="DT994" s="933"/>
      <c r="DU994" s="933"/>
      <c r="DV994" s="933"/>
      <c r="DW994" s="933"/>
      <c r="DX994" s="933"/>
      <c r="DY994" s="933"/>
      <c r="DZ994" s="933"/>
      <c r="EA994" s="933"/>
      <c r="EB994" s="933"/>
      <c r="EC994" s="933"/>
      <c r="ED994" s="933"/>
      <c r="EE994" s="933"/>
      <c r="EF994" s="933"/>
      <c r="EG994" s="933"/>
      <c r="EH994" s="933"/>
      <c r="EI994" s="933"/>
      <c r="EJ994" s="933"/>
      <c r="EK994" s="933"/>
      <c r="EL994" s="933"/>
      <c r="EM994" s="933"/>
      <c r="EN994" s="933"/>
      <c r="EO994" s="933"/>
      <c r="EP994" s="933"/>
      <c r="EQ994" s="933"/>
      <c r="ER994" s="933"/>
      <c r="ES994" s="933"/>
      <c r="ET994" s="933"/>
      <c r="EU994" s="933"/>
      <c r="EV994" s="933"/>
      <c r="EW994" s="933"/>
      <c r="EX994" s="933"/>
      <c r="EY994" s="933"/>
      <c r="EZ994" s="933"/>
      <c r="FA994" s="933"/>
      <c r="FB994" s="933"/>
      <c r="FC994" s="933"/>
      <c r="FD994" s="933"/>
      <c r="FE994" s="933"/>
      <c r="FF994" s="933"/>
      <c r="FG994" s="933"/>
      <c r="FH994" s="933"/>
      <c r="FI994" s="933"/>
      <c r="FJ994" s="933"/>
      <c r="FK994" s="933"/>
      <c r="FL994" s="933"/>
      <c r="FM994" s="933"/>
      <c r="FN994" s="933"/>
      <c r="FO994" s="933"/>
      <c r="FP994" s="933"/>
      <c r="FQ994" s="933"/>
      <c r="FR994" s="933"/>
      <c r="FS994" s="933"/>
      <c r="FT994" s="933"/>
      <c r="FU994" s="933"/>
      <c r="FV994" s="933"/>
      <c r="FW994" s="933"/>
      <c r="FX994" s="933"/>
      <c r="FY994" s="933"/>
      <c r="FZ994" s="933"/>
      <c r="GA994" s="933"/>
      <c r="GB994" s="933"/>
      <c r="GC994" s="933"/>
      <c r="GD994" s="933"/>
      <c r="GE994" s="933"/>
      <c r="GF994" s="933"/>
      <c r="GG994" s="933"/>
      <c r="GH994" s="933"/>
      <c r="GI994" s="933"/>
      <c r="GJ994" s="933"/>
      <c r="GK994" s="933"/>
      <c r="GL994" s="933"/>
      <c r="GM994" s="933"/>
      <c r="GN994" s="933"/>
      <c r="GO994" s="933"/>
      <c r="GP994" s="933"/>
      <c r="GQ994" s="933"/>
      <c r="GR994" s="933"/>
      <c r="GS994" s="933"/>
      <c r="GT994" s="933"/>
      <c r="GU994" s="933"/>
      <c r="GV994" s="933"/>
      <c r="GW994" s="933"/>
      <c r="GX994" s="933"/>
      <c r="GY994" s="933"/>
      <c r="GZ994" s="933"/>
      <c r="HA994" s="933"/>
      <c r="HB994" s="933"/>
      <c r="HC994" s="933"/>
      <c r="HD994" s="933"/>
      <c r="HE994" s="933"/>
      <c r="HF994" s="933"/>
      <c r="HG994" s="933"/>
      <c r="HH994" s="933"/>
      <c r="HI994" s="933"/>
      <c r="HJ994" s="933"/>
      <c r="HK994" s="933"/>
      <c r="HL994" s="933"/>
      <c r="HM994" s="933"/>
      <c r="HN994" s="933"/>
      <c r="HO994" s="933"/>
      <c r="HP994" s="933"/>
      <c r="HQ994" s="933"/>
      <c r="HR994" s="933"/>
      <c r="HS994" s="933"/>
      <c r="HT994" s="933"/>
      <c r="HU994" s="933"/>
      <c r="HV994" s="933"/>
      <c r="HW994" s="933"/>
      <c r="HX994" s="933"/>
      <c r="HY994" s="933"/>
      <c r="HZ994" s="933"/>
      <c r="IA994" s="933"/>
      <c r="IB994" s="933"/>
      <c r="IC994" s="933"/>
      <c r="ID994" s="933"/>
      <c r="IE994" s="933"/>
      <c r="IF994" s="933"/>
      <c r="IG994" s="933"/>
      <c r="IH994" s="933"/>
      <c r="II994" s="933"/>
      <c r="IJ994" s="933"/>
      <c r="IK994" s="933"/>
      <c r="IL994" s="933"/>
      <c r="IM994" s="933"/>
      <c r="IN994" s="933"/>
      <c r="IO994" s="933"/>
      <c r="IP994" s="933"/>
      <c r="IQ994" s="933"/>
      <c r="IR994" s="933"/>
      <c r="IS994" s="933"/>
      <c r="IT994" s="933"/>
      <c r="IU994" s="933"/>
      <c r="IV994" s="933"/>
    </row>
    <row r="995" spans="1:256" s="956" customFormat="1" ht="11.4">
      <c r="A995" s="957">
        <v>6</v>
      </c>
      <c r="B995" s="933" t="s">
        <v>141</v>
      </c>
      <c r="C995" s="933"/>
      <c r="D995" s="933" t="s">
        <v>861</v>
      </c>
      <c r="E995" s="933"/>
      <c r="F995" s="933"/>
      <c r="G995" s="936" t="s">
        <v>862</v>
      </c>
      <c r="H995" s="937">
        <v>620</v>
      </c>
      <c r="I995" s="933" t="s">
        <v>741</v>
      </c>
      <c r="J995" s="933"/>
      <c r="K995" s="940" t="s">
        <v>7</v>
      </c>
      <c r="L995" s="933"/>
      <c r="M995" s="933"/>
      <c r="N995" s="933"/>
      <c r="O995" s="938">
        <v>2</v>
      </c>
      <c r="P995" s="939">
        <v>34669</v>
      </c>
      <c r="Q995" s="940">
        <v>0.05</v>
      </c>
      <c r="R995" s="941">
        <f t="shared" si="46"/>
        <v>0.30000000000000004</v>
      </c>
      <c r="S995" s="940">
        <v>0.01</v>
      </c>
      <c r="T995" s="942">
        <f t="shared" si="47"/>
        <v>0.06</v>
      </c>
      <c r="U995" s="933"/>
      <c r="V995" s="933"/>
      <c r="W995" s="933"/>
      <c r="X995" s="933"/>
      <c r="Y995" s="933"/>
      <c r="Z995" s="933"/>
      <c r="AA995" s="933"/>
      <c r="AB995" s="933"/>
      <c r="AC995" s="933"/>
      <c r="AD995" s="933"/>
      <c r="AE995" s="933"/>
      <c r="AF995" s="933"/>
      <c r="AG995" s="933"/>
      <c r="AH995" s="933"/>
      <c r="AI995" s="933"/>
      <c r="AJ995" s="933"/>
      <c r="AK995" s="933"/>
      <c r="AL995" s="933"/>
      <c r="AM995" s="933"/>
      <c r="AN995" s="933"/>
      <c r="AO995" s="933"/>
      <c r="AP995" s="933"/>
      <c r="AQ995" s="933"/>
      <c r="AR995" s="933"/>
      <c r="AS995" s="933"/>
      <c r="AT995" s="933"/>
      <c r="AU995" s="933"/>
      <c r="AV995" s="933"/>
      <c r="AW995" s="933"/>
      <c r="AX995" s="933"/>
      <c r="AY995" s="933"/>
      <c r="AZ995" s="933"/>
      <c r="BA995" s="933"/>
      <c r="BB995" s="933"/>
      <c r="BC995" s="933"/>
      <c r="BD995" s="933"/>
      <c r="BE995" s="933"/>
      <c r="BF995" s="933"/>
      <c r="BG995" s="933"/>
      <c r="BH995" s="933"/>
      <c r="BI995" s="933"/>
      <c r="BJ995" s="933"/>
      <c r="BK995" s="933"/>
      <c r="BL995" s="933"/>
      <c r="BM995" s="933"/>
      <c r="BN995" s="933"/>
      <c r="BO995" s="933"/>
      <c r="BP995" s="933"/>
      <c r="BQ995" s="933"/>
      <c r="BR995" s="933"/>
      <c r="BS995" s="933"/>
      <c r="BT995" s="933"/>
      <c r="BU995" s="933"/>
      <c r="BV995" s="933"/>
      <c r="BW995" s="933"/>
      <c r="BX995" s="933"/>
      <c r="BY995" s="933"/>
      <c r="BZ995" s="933"/>
      <c r="CA995" s="933"/>
      <c r="CB995" s="933"/>
      <c r="CC995" s="933"/>
      <c r="CD995" s="933"/>
      <c r="CE995" s="933"/>
      <c r="CF995" s="933"/>
      <c r="CG995" s="933"/>
      <c r="CH995" s="933"/>
      <c r="CI995" s="933"/>
      <c r="CJ995" s="933"/>
      <c r="CK995" s="933"/>
      <c r="CL995" s="933"/>
      <c r="CM995" s="933"/>
      <c r="CN995" s="933"/>
      <c r="CO995" s="933"/>
      <c r="CP995" s="933"/>
      <c r="CQ995" s="933"/>
      <c r="CR995" s="933"/>
      <c r="CS995" s="933"/>
      <c r="CT995" s="933"/>
      <c r="CU995" s="933"/>
      <c r="CV995" s="933"/>
      <c r="CW995" s="933"/>
      <c r="CX995" s="933"/>
      <c r="CY995" s="933"/>
      <c r="CZ995" s="933"/>
      <c r="DA995" s="933"/>
      <c r="DB995" s="933"/>
      <c r="DC995" s="933"/>
      <c r="DD995" s="933"/>
      <c r="DE995" s="933"/>
      <c r="DF995" s="933"/>
      <c r="DG995" s="933"/>
      <c r="DH995" s="933"/>
      <c r="DI995" s="933"/>
      <c r="DJ995" s="933"/>
      <c r="DK995" s="933"/>
      <c r="DL995" s="933"/>
      <c r="DM995" s="933"/>
      <c r="DN995" s="933"/>
      <c r="DO995" s="933"/>
      <c r="DP995" s="933"/>
      <c r="DQ995" s="933"/>
      <c r="DR995" s="933"/>
      <c r="DS995" s="933"/>
      <c r="DT995" s="933"/>
      <c r="DU995" s="933"/>
      <c r="DV995" s="933"/>
      <c r="DW995" s="933"/>
      <c r="DX995" s="933"/>
      <c r="DY995" s="933"/>
      <c r="DZ995" s="933"/>
      <c r="EA995" s="933"/>
      <c r="EB995" s="933"/>
      <c r="EC995" s="933"/>
      <c r="ED995" s="933"/>
      <c r="EE995" s="933"/>
      <c r="EF995" s="933"/>
      <c r="EG995" s="933"/>
      <c r="EH995" s="933"/>
      <c r="EI995" s="933"/>
      <c r="EJ995" s="933"/>
      <c r="EK995" s="933"/>
      <c r="EL995" s="933"/>
      <c r="EM995" s="933"/>
      <c r="EN995" s="933"/>
      <c r="EO995" s="933"/>
      <c r="EP995" s="933"/>
      <c r="EQ995" s="933"/>
      <c r="ER995" s="933"/>
      <c r="ES995" s="933"/>
      <c r="ET995" s="933"/>
      <c r="EU995" s="933"/>
      <c r="EV995" s="933"/>
      <c r="EW995" s="933"/>
      <c r="EX995" s="933"/>
      <c r="EY995" s="933"/>
      <c r="EZ995" s="933"/>
      <c r="FA995" s="933"/>
      <c r="FB995" s="933"/>
      <c r="FC995" s="933"/>
      <c r="FD995" s="933"/>
      <c r="FE995" s="933"/>
      <c r="FF995" s="933"/>
      <c r="FG995" s="933"/>
      <c r="FH995" s="933"/>
      <c r="FI995" s="933"/>
      <c r="FJ995" s="933"/>
      <c r="FK995" s="933"/>
      <c r="FL995" s="933"/>
      <c r="FM995" s="933"/>
      <c r="FN995" s="933"/>
      <c r="FO995" s="933"/>
      <c r="FP995" s="933"/>
      <c r="FQ995" s="933"/>
      <c r="FR995" s="933"/>
      <c r="FS995" s="933"/>
      <c r="FT995" s="933"/>
      <c r="FU995" s="933"/>
      <c r="FV995" s="933"/>
      <c r="FW995" s="933"/>
      <c r="FX995" s="933"/>
      <c r="FY995" s="933"/>
      <c r="FZ995" s="933"/>
      <c r="GA995" s="933"/>
      <c r="GB995" s="933"/>
      <c r="GC995" s="933"/>
      <c r="GD995" s="933"/>
      <c r="GE995" s="933"/>
      <c r="GF995" s="933"/>
      <c r="GG995" s="933"/>
      <c r="GH995" s="933"/>
      <c r="GI995" s="933"/>
      <c r="GJ995" s="933"/>
      <c r="GK995" s="933"/>
      <c r="GL995" s="933"/>
      <c r="GM995" s="933"/>
      <c r="GN995" s="933"/>
      <c r="GO995" s="933"/>
      <c r="GP995" s="933"/>
      <c r="GQ995" s="933"/>
      <c r="GR995" s="933"/>
      <c r="GS995" s="933"/>
      <c r="GT995" s="933"/>
      <c r="GU995" s="933"/>
      <c r="GV995" s="933"/>
      <c r="GW995" s="933"/>
      <c r="GX995" s="933"/>
      <c r="GY995" s="933"/>
      <c r="GZ995" s="933"/>
      <c r="HA995" s="933"/>
      <c r="HB995" s="933"/>
      <c r="HC995" s="933"/>
      <c r="HD995" s="933"/>
      <c r="HE995" s="933"/>
      <c r="HF995" s="933"/>
      <c r="HG995" s="933"/>
      <c r="HH995" s="933"/>
      <c r="HI995" s="933"/>
      <c r="HJ995" s="933"/>
      <c r="HK995" s="933"/>
      <c r="HL995" s="933"/>
      <c r="HM995" s="933"/>
      <c r="HN995" s="933"/>
      <c r="HO995" s="933"/>
      <c r="HP995" s="933"/>
      <c r="HQ995" s="933"/>
      <c r="HR995" s="933"/>
      <c r="HS995" s="933"/>
      <c r="HT995" s="933"/>
      <c r="HU995" s="933"/>
      <c r="HV995" s="933"/>
      <c r="HW995" s="933"/>
      <c r="HX995" s="933"/>
      <c r="HY995" s="933"/>
      <c r="HZ995" s="933"/>
      <c r="IA995" s="933"/>
      <c r="IB995" s="933"/>
      <c r="IC995" s="933"/>
      <c r="ID995" s="933"/>
      <c r="IE995" s="933"/>
      <c r="IF995" s="933"/>
      <c r="IG995" s="933"/>
      <c r="IH995" s="933"/>
      <c r="II995" s="933"/>
      <c r="IJ995" s="933"/>
      <c r="IK995" s="933"/>
      <c r="IL995" s="933"/>
      <c r="IM995" s="933"/>
      <c r="IN995" s="933"/>
      <c r="IO995" s="933"/>
      <c r="IP995" s="933"/>
      <c r="IQ995" s="933"/>
      <c r="IR995" s="933"/>
      <c r="IS995" s="933"/>
      <c r="IT995" s="933"/>
      <c r="IU995" s="933"/>
      <c r="IV995" s="933"/>
    </row>
    <row r="996" spans="1:256" s="933" customFormat="1" ht="11.4">
      <c r="A996" s="957">
        <v>1</v>
      </c>
      <c r="B996" s="933" t="s">
        <v>141</v>
      </c>
      <c r="D996" s="933" t="s">
        <v>776</v>
      </c>
      <c r="F996" s="933" t="s">
        <v>901</v>
      </c>
      <c r="G996" s="936" t="s">
        <v>777</v>
      </c>
      <c r="H996" s="937">
        <v>900</v>
      </c>
      <c r="I996" s="933" t="s">
        <v>778</v>
      </c>
      <c r="K996" s="933" t="s">
        <v>7</v>
      </c>
      <c r="O996" s="938">
        <v>1</v>
      </c>
      <c r="P996" s="939"/>
      <c r="Q996" s="983"/>
      <c r="R996" s="941">
        <f>$A996*Q996</f>
        <v>0</v>
      </c>
      <c r="S996" s="940">
        <v>0.5</v>
      </c>
      <c r="T996" s="942">
        <f t="shared" si="47"/>
        <v>0.5</v>
      </c>
      <c r="U996" s="933" t="s">
        <v>863</v>
      </c>
    </row>
    <row r="997" spans="1:256" s="519" customFormat="1" ht="13.95" customHeight="1">
      <c r="A997" s="49"/>
      <c r="B997" s="528"/>
      <c r="C997" s="528"/>
      <c r="D997" s="528"/>
      <c r="E997" s="528"/>
      <c r="F997" s="528"/>
      <c r="G997" s="528"/>
      <c r="H997" s="801"/>
      <c r="I997" s="528"/>
      <c r="J997" s="48"/>
      <c r="K997" s="805"/>
      <c r="L997" s="806"/>
      <c r="M997" s="528"/>
      <c r="N997" s="528"/>
      <c r="O997" s="48"/>
      <c r="P997" s="528"/>
      <c r="Q997" s="528"/>
      <c r="R997" s="807">
        <f>$A997*Q997</f>
        <v>0</v>
      </c>
      <c r="S997" s="528"/>
      <c r="T997" s="643">
        <f>$A997*S997*$T$1</f>
        <v>0</v>
      </c>
    </row>
    <row r="998" spans="1:256" s="519" customFormat="1" ht="12">
      <c r="A998" s="808" t="s">
        <v>145</v>
      </c>
      <c r="B998" s="809">
        <f>(R997+T997)</f>
        <v>0</v>
      </c>
      <c r="C998" s="641"/>
      <c r="G998" s="810"/>
      <c r="H998" s="810"/>
      <c r="I998" s="810"/>
      <c r="J998" s="810"/>
      <c r="K998" s="811" t="s">
        <v>3</v>
      </c>
      <c r="L998" s="812" t="s">
        <v>590</v>
      </c>
      <c r="M998" s="810"/>
      <c r="N998" s="810"/>
      <c r="O998" s="810"/>
      <c r="P998" s="810"/>
      <c r="Q998" s="813"/>
      <c r="R998" s="814">
        <f>SUM(R987:R997)</f>
        <v>69.48</v>
      </c>
      <c r="S998" s="815"/>
      <c r="T998" s="814">
        <f>SUM(T987:T997)</f>
        <v>7.629999999999999</v>
      </c>
      <c r="AG998" s="816">
        <f>ROUND($R998*$S$2,2)</f>
        <v>69.48</v>
      </c>
    </row>
    <row r="999" spans="1:256" s="519" customFormat="1" ht="12" customHeight="1">
      <c r="A999" s="817"/>
      <c r="B999" s="818"/>
      <c r="C999" s="819"/>
      <c r="D999" s="819" t="str">
        <f>$F$3</f>
        <v>ECA</v>
      </c>
      <c r="E999" s="819">
        <f>ROUND(($R1003*$S$3 + ($T1003*$T$3)), 2)</f>
        <v>1102.04</v>
      </c>
      <c r="F999" s="820">
        <f ca="1">$F984-SUMIF($L986:$P989,"SUBI",$F986:$F989)</f>
        <v>1102.04</v>
      </c>
      <c r="G999" s="518"/>
      <c r="H999" s="518"/>
      <c r="I999" s="518"/>
      <c r="J999" s="518"/>
      <c r="K999" s="802" t="s">
        <v>5</v>
      </c>
      <c r="L999" s="803" t="s">
        <v>590</v>
      </c>
      <c r="M999" s="518"/>
      <c r="N999" s="518"/>
      <c r="O999" s="518"/>
      <c r="P999" s="518"/>
      <c r="Q999" s="518"/>
      <c r="R999" s="821"/>
      <c r="S999" s="518"/>
      <c r="T999" s="821"/>
    </row>
    <row r="1000" spans="1:256" s="933" customFormat="1" ht="13.2">
      <c r="A1000">
        <v>1</v>
      </c>
      <c r="B1000" s="933" t="s">
        <v>141</v>
      </c>
      <c r="D1000" s="933" t="s">
        <v>785</v>
      </c>
      <c r="E1000" s="935" t="s">
        <v>810</v>
      </c>
      <c r="F1000" s="933" t="s">
        <v>974</v>
      </c>
      <c r="G1000" s="936" t="s">
        <v>786</v>
      </c>
      <c r="H1000" s="937">
        <v>570</v>
      </c>
      <c r="I1000" s="933" t="s">
        <v>729</v>
      </c>
      <c r="O1000" s="938">
        <v>2</v>
      </c>
      <c r="P1000" s="939">
        <v>38443</v>
      </c>
      <c r="Q1000" s="1058">
        <v>964.74</v>
      </c>
      <c r="R1000" s="941">
        <f>$A1000*Q1000</f>
        <v>964.74</v>
      </c>
      <c r="S1000" s="940"/>
      <c r="T1000" s="942">
        <f>$A1000*S1000*$T$1</f>
        <v>0</v>
      </c>
    </row>
    <row r="1001" spans="1:256" s="933" customFormat="1" ht="13.2">
      <c r="A1001">
        <v>1</v>
      </c>
      <c r="B1001" s="933" t="s">
        <v>141</v>
      </c>
      <c r="D1001" s="933" t="s">
        <v>785</v>
      </c>
      <c r="E1001" s="935" t="s">
        <v>885</v>
      </c>
      <c r="F1001" s="933" t="s">
        <v>974</v>
      </c>
      <c r="G1001" s="936" t="s">
        <v>786</v>
      </c>
      <c r="H1001" s="937">
        <v>570</v>
      </c>
      <c r="I1001" s="933" t="s">
        <v>729</v>
      </c>
      <c r="O1001" s="938">
        <v>2</v>
      </c>
      <c r="P1001" s="939">
        <v>38443</v>
      </c>
      <c r="Q1001" s="940"/>
      <c r="R1001" s="941">
        <f>$A1001*Q1001</f>
        <v>0</v>
      </c>
      <c r="S1001" s="1058">
        <v>5</v>
      </c>
      <c r="T1001" s="942">
        <f>$A1001*S1001*$T$1</f>
        <v>5</v>
      </c>
    </row>
    <row r="1002" spans="1:256" s="519" customFormat="1" ht="13.2">
      <c r="A1002" s="49"/>
      <c r="B1002" s="528"/>
      <c r="C1002" s="528"/>
      <c r="D1002" s="3"/>
      <c r="E1002" s="528"/>
      <c r="F1002" s="528"/>
      <c r="G1002" s="528"/>
      <c r="H1002" s="528"/>
      <c r="I1002" s="528"/>
      <c r="J1002" s="528"/>
      <c r="K1002" s="528"/>
      <c r="L1002" s="806"/>
      <c r="M1002" s="528"/>
      <c r="N1002" s="528"/>
      <c r="O1002" s="528"/>
      <c r="P1002" s="528"/>
      <c r="Q1002" s="528"/>
      <c r="R1002" s="807">
        <f>$A1002*Q1002</f>
        <v>0</v>
      </c>
      <c r="S1002" s="528"/>
      <c r="T1002" s="643">
        <f>$A1002*S1002*$T$1</f>
        <v>0</v>
      </c>
    </row>
    <row r="1003" spans="1:256" s="519" customFormat="1" ht="12" customHeight="1">
      <c r="A1003" s="835" t="s">
        <v>145</v>
      </c>
      <c r="B1003" s="836">
        <f>(R1002+T1002)</f>
        <v>0</v>
      </c>
      <c r="C1003" s="837"/>
      <c r="D1003" s="837"/>
      <c r="E1003" s="837"/>
      <c r="F1003" s="837"/>
      <c r="G1003" s="813"/>
      <c r="H1003" s="813"/>
      <c r="I1003" s="813"/>
      <c r="J1003" s="813"/>
      <c r="K1003" s="838" t="s">
        <v>5</v>
      </c>
      <c r="L1003" s="839" t="s">
        <v>590</v>
      </c>
      <c r="M1003" s="813"/>
      <c r="N1003" s="813"/>
      <c r="O1003" s="813"/>
      <c r="P1003" s="813"/>
      <c r="Q1003" s="813"/>
      <c r="R1003" s="814">
        <f>SUM(R999:R1002)</f>
        <v>964.74</v>
      </c>
      <c r="S1003" s="815"/>
      <c r="T1003" s="814">
        <f>SUM(T999:T1002)</f>
        <v>5</v>
      </c>
      <c r="AG1003" s="840">
        <f>ROUND($R1003*$S$3,2)</f>
        <v>964.74</v>
      </c>
    </row>
    <row r="1004" spans="1:256" s="519" customFormat="1" ht="12.75" customHeight="1">
      <c r="A1004" s="841"/>
      <c r="B1004" s="842"/>
      <c r="E1004" s="641"/>
      <c r="F1004" s="843"/>
      <c r="G1004" s="641"/>
      <c r="H1004" s="641"/>
      <c r="I1004" s="518"/>
      <c r="J1004" s="641"/>
      <c r="K1004" s="641"/>
      <c r="L1004" s="844"/>
      <c r="M1004" s="652"/>
      <c r="N1004" s="652"/>
      <c r="O1004" s="652"/>
      <c r="P1004" s="652"/>
      <c r="Q1004" s="653"/>
      <c r="R1004" s="821"/>
      <c r="S1004" s="641"/>
      <c r="T1004" s="821"/>
    </row>
    <row r="1005" spans="1:256" s="519" customFormat="1" ht="13.5" customHeight="1" thickBot="1">
      <c r="A1005" s="845"/>
      <c r="B1005" s="846"/>
      <c r="C1005" s="529"/>
      <c r="D1005" s="529"/>
      <c r="E1005" s="646"/>
      <c r="F1005" s="647"/>
      <c r="G1005" s="646" t="s">
        <v>146</v>
      </c>
      <c r="H1005" s="646"/>
      <c r="I1005" s="648"/>
      <c r="J1005" s="646"/>
      <c r="K1005" s="646"/>
      <c r="L1005" s="847" t="s">
        <v>143</v>
      </c>
      <c r="M1005" s="649"/>
      <c r="N1005" s="649"/>
      <c r="O1005" s="649"/>
      <c r="P1005" s="649"/>
      <c r="Q1005" s="650"/>
      <c r="R1005" s="848">
        <f>SUMIF($L985:$L1004,"SUBI",R985:R1004)</f>
        <v>1034.22</v>
      </c>
      <c r="S1005" s="646"/>
      <c r="T1005" s="848">
        <f>SUMIF($L985:$L1004,"SUBI",T985:T1004)</f>
        <v>12.629999999999999</v>
      </c>
      <c r="U1005" s="529"/>
      <c r="V1005" s="529"/>
      <c r="W1005" s="529"/>
      <c r="X1005" s="529"/>
      <c r="Y1005" s="529"/>
      <c r="Z1005" s="529"/>
      <c r="AA1005" s="529"/>
      <c r="AB1005" s="529"/>
      <c r="AC1005" s="529"/>
      <c r="AD1005" s="529"/>
      <c r="AE1005" s="529"/>
      <c r="AF1005" s="529"/>
      <c r="AG1005" s="529"/>
      <c r="AH1005" s="529"/>
      <c r="AI1005" s="529"/>
      <c r="AJ1005" s="529"/>
      <c r="AK1005" s="529"/>
      <c r="AL1005" s="529"/>
      <c r="AM1005" s="529"/>
      <c r="AN1005" s="529"/>
      <c r="AO1005" s="529"/>
    </row>
    <row r="1006" spans="1:256" s="519" customFormat="1" thickTop="1">
      <c r="A1006" s="47"/>
      <c r="B1006" s="40"/>
      <c r="C1006" s="47"/>
      <c r="E1006" s="41" t="s">
        <v>138</v>
      </c>
      <c r="F1006" s="41" t="s">
        <v>139</v>
      </c>
      <c r="G1006" s="47"/>
      <c r="H1006" s="47"/>
      <c r="I1006" s="47"/>
      <c r="J1006" s="47"/>
      <c r="K1006" s="47" t="s">
        <v>140</v>
      </c>
      <c r="L1006" s="774"/>
      <c r="M1006" s="47"/>
      <c r="N1006" s="47"/>
      <c r="O1006" s="48"/>
      <c r="P1006" s="47"/>
      <c r="Q1006"/>
      <c r="R1006"/>
      <c r="S1006"/>
      <c r="T1006" s="40"/>
      <c r="AG1006" s="627" t="s">
        <v>277</v>
      </c>
      <c r="AH1006" s="627" t="s">
        <v>278</v>
      </c>
      <c r="AI1006" s="627" t="s">
        <v>279</v>
      </c>
      <c r="AJ1006" s="627" t="s">
        <v>280</v>
      </c>
      <c r="AK1006" s="627" t="s">
        <v>281</v>
      </c>
      <c r="AM1006" s="628" t="s">
        <v>290</v>
      </c>
      <c r="AN1006" s="629" t="s">
        <v>291</v>
      </c>
      <c r="AO1006" s="520" t="s">
        <v>287</v>
      </c>
    </row>
    <row r="1007" spans="1:256" s="519" customFormat="1" ht="13.2">
      <c r="A1007" s="630">
        <v>1</v>
      </c>
      <c r="B1007" s="521" t="s">
        <v>339</v>
      </c>
      <c r="C1007" s="631"/>
      <c r="D1007" s="632" t="s">
        <v>674</v>
      </c>
      <c r="E1007" s="775">
        <f>IF(AND($A1007=0,$A$1="DIF"),0, ROUND(ROUND(SUMIF($L1009:$L1022,"SUBI",$E1009:$E1022)/$A1007,2)*$C$12,2))</f>
        <v>1442.25</v>
      </c>
      <c r="F1007" s="776">
        <f>ROUND($A1007*$E1007,2)</f>
        <v>1442.25</v>
      </c>
      <c r="G1007" s="635" t="s">
        <v>142</v>
      </c>
      <c r="H1007" s="636"/>
      <c r="I1007" s="637"/>
      <c r="J1007" s="636"/>
      <c r="K1007" s="777"/>
      <c r="L1007" s="778" t="s">
        <v>143</v>
      </c>
      <c r="M1007" s="638"/>
      <c r="N1007" s="638"/>
      <c r="O1007" s="638"/>
      <c r="P1007" s="638"/>
      <c r="Q1007"/>
      <c r="R1007"/>
      <c r="S1007"/>
      <c r="T1007" s="779" t="str">
        <f>IF(AND($R1028=0,$T1028=0),"0.00","mu :" &amp; ROUND($F1007/$C$12/($R1028+$T1028*$D$9),2))</f>
        <v>mu :1</v>
      </c>
      <c r="W1007" s="522"/>
      <c r="AG1007" s="780">
        <f>IF(A1007=0,0,ROUND(SUM(AG1009:AG1028)/A1007,2))</f>
        <v>1067.97</v>
      </c>
      <c r="AH1007" s="780">
        <f>$AG1007*$A1007</f>
        <v>1067.97</v>
      </c>
      <c r="AI1007" s="780">
        <f>$E1007-$AG1007</f>
        <v>374.28</v>
      </c>
      <c r="AJ1007" s="780">
        <f>$A1007*$AI1007</f>
        <v>374.28</v>
      </c>
      <c r="AK1007" s="781">
        <f>ROUND(($AG1007+$AI1007)*$A1007,2)</f>
        <v>1442.25</v>
      </c>
      <c r="AM1007" s="525">
        <f>ROUND(R1028,2)</f>
        <v>1067.97</v>
      </c>
      <c r="AN1007" s="526">
        <f>ROUND(T1028,2)</f>
        <v>13.63</v>
      </c>
      <c r="AO1007" s="527">
        <f>ROUND(AM1007+AN1007,2)*A1007</f>
        <v>1081.5999999999999</v>
      </c>
    </row>
    <row r="1008" spans="1:256" s="519" customFormat="1" ht="19.95" customHeight="1">
      <c r="A1008" s="782"/>
      <c r="B1008" s="783"/>
      <c r="C1008" s="631"/>
      <c r="D1008" s="784" t="s">
        <v>675</v>
      </c>
      <c r="F1008" s="636"/>
      <c r="G1008" s="636"/>
      <c r="H1008" s="636"/>
      <c r="I1008" s="637"/>
      <c r="J1008" s="636"/>
      <c r="K1008" s="636" t="s">
        <v>144</v>
      </c>
      <c r="L1008" s="785"/>
      <c r="M1008" s="636"/>
      <c r="N1008" s="636"/>
      <c r="O1008" s="636"/>
      <c r="P1008" s="636"/>
      <c r="Q1008" s="47"/>
      <c r="R1008" s="528"/>
      <c r="S1008" s="640"/>
      <c r="T1008" s="636"/>
    </row>
    <row r="1009" spans="1:256" s="519" customFormat="1" ht="12">
      <c r="A1009" s="786"/>
      <c r="B1009" s="787"/>
      <c r="C1009" s="641"/>
      <c r="D1009" s="636"/>
      <c r="E1009" s="788">
        <f>F1007/$C$12-SUMIF($L1006:$L1028,"SUBI",$E1006:$E1028)</f>
        <v>0</v>
      </c>
      <c r="F1009" s="789" t="s">
        <v>589</v>
      </c>
      <c r="G1009" s="790"/>
      <c r="H1009" s="790"/>
      <c r="I1009" s="791"/>
      <c r="J1009" s="790"/>
      <c r="K1009" s="790"/>
      <c r="L1009" s="792"/>
      <c r="M1009" s="793"/>
      <c r="N1009" s="793"/>
      <c r="O1009" s="793"/>
      <c r="P1009" s="793"/>
      <c r="Q1009" s="794"/>
      <c r="R1009" s="795"/>
      <c r="S1009" s="794"/>
      <c r="T1009" s="796"/>
    </row>
    <row r="1010" spans="1:256" s="519" customFormat="1" ht="12" customHeight="1">
      <c r="A1010" s="797"/>
      <c r="B1010" s="798"/>
      <c r="C1010" s="799"/>
      <c r="D1010" s="799" t="str">
        <f>$F$2</f>
        <v>Electrical</v>
      </c>
      <c r="E1010" s="799">
        <f>ROUND(($R1021*$S$2 + ($T1021*$T$2)), 2)</f>
        <v>306.45999999999998</v>
      </c>
      <c r="F1010" s="800">
        <f>$E1010*$C$12</f>
        <v>306.45999999999998</v>
      </c>
      <c r="G1010" s="528"/>
      <c r="H1010" s="801"/>
      <c r="I1010" s="528"/>
      <c r="J1010" s="48"/>
      <c r="K1010" s="802" t="s">
        <v>3</v>
      </c>
      <c r="L1010" s="803" t="s">
        <v>590</v>
      </c>
      <c r="M1010" s="528"/>
      <c r="N1010" s="528"/>
      <c r="O1010" s="48"/>
      <c r="P1010" s="528"/>
      <c r="Q1010" s="528"/>
      <c r="R1010"/>
      <c r="S1010"/>
      <c r="T1010"/>
    </row>
    <row r="1011" spans="1:256" s="933" customFormat="1" ht="13.2">
      <c r="A1011">
        <v>1</v>
      </c>
      <c r="B1011" s="933" t="s">
        <v>141</v>
      </c>
      <c r="D1011" s="933" t="s">
        <v>785</v>
      </c>
      <c r="E1011" s="935" t="s">
        <v>811</v>
      </c>
      <c r="F1011" s="933" t="s">
        <v>803</v>
      </c>
      <c r="G1011" s="936" t="s">
        <v>786</v>
      </c>
      <c r="H1011" s="937">
        <v>570</v>
      </c>
      <c r="I1011" s="933" t="s">
        <v>729</v>
      </c>
      <c r="O1011" s="938">
        <v>2</v>
      </c>
      <c r="P1011" s="939">
        <v>38443</v>
      </c>
      <c r="Q1011" s="940"/>
      <c r="R1011" s="941">
        <f>$A1011*Q1011</f>
        <v>0</v>
      </c>
      <c r="S1011" s="940">
        <f>4+3</f>
        <v>7</v>
      </c>
      <c r="T1011" s="942">
        <f>$A1011*S1011*$T$1</f>
        <v>7</v>
      </c>
    </row>
    <row r="1012" spans="1:256" s="933" customFormat="1" ht="13.2">
      <c r="A1012">
        <v>1</v>
      </c>
      <c r="B1012" s="933" t="s">
        <v>141</v>
      </c>
      <c r="D1012" s="933" t="s">
        <v>787</v>
      </c>
      <c r="G1012" s="936" t="s">
        <v>788</v>
      </c>
      <c r="H1012" s="937">
        <v>501</v>
      </c>
      <c r="I1012" s="933" t="s">
        <v>729</v>
      </c>
      <c r="K1012" s="933" t="s">
        <v>789</v>
      </c>
      <c r="O1012" s="938">
        <v>1</v>
      </c>
      <c r="P1012" s="939"/>
      <c r="Q1012" s="1058">
        <v>50</v>
      </c>
      <c r="R1012" s="941">
        <f>$A1012*Q1012</f>
        <v>50</v>
      </c>
      <c r="S1012" s="940"/>
      <c r="T1012" s="942">
        <f>$A1012*S1012*$T$1</f>
        <v>0</v>
      </c>
    </row>
    <row r="1013" spans="1:256" s="933" customFormat="1" ht="13.2">
      <c r="A1013"/>
      <c r="D1013" s="978" t="s">
        <v>900</v>
      </c>
      <c r="E1013" s="935"/>
      <c r="G1013" s="936"/>
      <c r="H1013" s="937"/>
      <c r="O1013" s="938"/>
      <c r="P1013" s="939"/>
      <c r="Q1013" s="940"/>
      <c r="R1013" s="941"/>
      <c r="S1013" s="940"/>
      <c r="T1013" s="942"/>
    </row>
    <row r="1014" spans="1:256" s="933" customFormat="1" ht="11.4">
      <c r="A1014" s="957">
        <v>3</v>
      </c>
      <c r="B1014" s="933" t="s">
        <v>311</v>
      </c>
      <c r="D1014" s="933" t="s">
        <v>851</v>
      </c>
      <c r="G1014" s="936" t="s">
        <v>852</v>
      </c>
      <c r="H1014" s="937">
        <v>690</v>
      </c>
      <c r="I1014" s="933" t="s">
        <v>780</v>
      </c>
      <c r="J1014" s="933" t="s">
        <v>781</v>
      </c>
      <c r="K1014" s="940" t="s">
        <v>7</v>
      </c>
      <c r="O1014" s="938">
        <v>1</v>
      </c>
      <c r="P1014" s="939">
        <v>34669</v>
      </c>
      <c r="Q1014" s="982">
        <v>3.66</v>
      </c>
      <c r="R1014" s="941">
        <f>$A1014*Q1014</f>
        <v>10.98</v>
      </c>
      <c r="S1014" s="940">
        <v>0.2</v>
      </c>
      <c r="T1014" s="942">
        <f t="shared" ref="T1014" si="48">$A1014*S1014*$T$1</f>
        <v>0.60000000000000009</v>
      </c>
    </row>
    <row r="1015" spans="1:256" s="933" customFormat="1" ht="13.2">
      <c r="A1015">
        <v>3</v>
      </c>
      <c r="B1015" s="933" t="s">
        <v>311</v>
      </c>
      <c r="D1015" s="933" t="s">
        <v>792</v>
      </c>
      <c r="G1015" s="936" t="s">
        <v>793</v>
      </c>
      <c r="H1015" s="937">
        <v>617</v>
      </c>
      <c r="I1015" s="933" t="s">
        <v>729</v>
      </c>
      <c r="O1015" s="938">
        <v>2</v>
      </c>
      <c r="P1015" s="939">
        <v>40767</v>
      </c>
      <c r="Q1015" s="940">
        <v>1.5</v>
      </c>
      <c r="R1015" s="941">
        <f>$A1015*Q1015</f>
        <v>4.5</v>
      </c>
      <c r="S1015" s="940">
        <v>7.0000000000000007E-2</v>
      </c>
      <c r="T1015" s="942">
        <f>$A1015*S1015*$T$1</f>
        <v>0.21000000000000002</v>
      </c>
    </row>
    <row r="1016" spans="1:256" s="956" customFormat="1" ht="11.4">
      <c r="A1016" s="957">
        <v>2</v>
      </c>
      <c r="B1016" s="933" t="s">
        <v>141</v>
      </c>
      <c r="C1016" s="933"/>
      <c r="D1016" s="933" t="s">
        <v>857</v>
      </c>
      <c r="E1016" s="933"/>
      <c r="F1016" s="933"/>
      <c r="G1016" s="936" t="s">
        <v>858</v>
      </c>
      <c r="H1016" s="937">
        <v>620</v>
      </c>
      <c r="I1016" s="933" t="s">
        <v>729</v>
      </c>
      <c r="J1016" s="933"/>
      <c r="K1016" s="940" t="s">
        <v>7</v>
      </c>
      <c r="L1016" s="933"/>
      <c r="M1016" s="933"/>
      <c r="N1016" s="933"/>
      <c r="O1016" s="938">
        <v>2</v>
      </c>
      <c r="P1016" s="939">
        <v>38148</v>
      </c>
      <c r="Q1016" s="940">
        <f>1.1*1.5</f>
        <v>1.6500000000000001</v>
      </c>
      <c r="R1016" s="941">
        <f t="shared" ref="R1016:R1018" si="49">$A1016*Q1016</f>
        <v>3.3000000000000003</v>
      </c>
      <c r="S1016" s="940">
        <v>0.1</v>
      </c>
      <c r="T1016" s="942">
        <f t="shared" ref="T1016:T1019" si="50">$A1016*S1016*$T$1</f>
        <v>0.2</v>
      </c>
      <c r="U1016" s="933"/>
      <c r="V1016" s="933"/>
      <c r="W1016" s="933"/>
      <c r="X1016" s="933"/>
      <c r="Y1016" s="933"/>
      <c r="Z1016" s="933"/>
      <c r="AA1016" s="933"/>
      <c r="AB1016" s="933"/>
      <c r="AC1016" s="519"/>
      <c r="AD1016" s="519"/>
      <c r="AE1016" s="519"/>
      <c r="AF1016" s="519"/>
      <c r="AG1016" s="933"/>
      <c r="AH1016" s="933"/>
      <c r="AI1016" s="933"/>
      <c r="AJ1016" s="933"/>
      <c r="AK1016" s="933"/>
      <c r="AL1016" s="933"/>
      <c r="AM1016" s="933"/>
      <c r="AN1016" s="933"/>
      <c r="AO1016" s="933"/>
      <c r="AP1016" s="933"/>
      <c r="AQ1016" s="933"/>
      <c r="AR1016" s="933"/>
      <c r="AS1016" s="933"/>
      <c r="AT1016" s="933"/>
      <c r="AU1016" s="933"/>
      <c r="AV1016" s="933"/>
      <c r="AW1016" s="933"/>
      <c r="AX1016" s="933"/>
      <c r="AY1016" s="933"/>
      <c r="AZ1016" s="933"/>
      <c r="BA1016" s="933"/>
      <c r="BB1016" s="933"/>
      <c r="BC1016" s="933"/>
      <c r="BD1016" s="933"/>
      <c r="BE1016" s="933"/>
      <c r="BF1016" s="933"/>
      <c r="BG1016" s="933"/>
      <c r="BH1016" s="933"/>
      <c r="BI1016" s="933"/>
      <c r="BJ1016" s="933"/>
      <c r="BK1016" s="933"/>
      <c r="BL1016" s="933"/>
      <c r="BM1016" s="933"/>
      <c r="BN1016" s="933"/>
      <c r="BO1016" s="933"/>
      <c r="BP1016" s="933"/>
      <c r="BQ1016" s="933"/>
      <c r="BR1016" s="933"/>
      <c r="BS1016" s="933"/>
      <c r="BT1016" s="933"/>
      <c r="BU1016" s="933"/>
      <c r="BV1016" s="933"/>
      <c r="BW1016" s="933"/>
      <c r="BX1016" s="933"/>
      <c r="BY1016" s="933"/>
      <c r="BZ1016" s="933"/>
      <c r="CA1016" s="933"/>
      <c r="CB1016" s="933"/>
      <c r="CC1016" s="933"/>
      <c r="CD1016" s="933"/>
      <c r="CE1016" s="933"/>
      <c r="CF1016" s="933"/>
      <c r="CG1016" s="933"/>
      <c r="CH1016" s="933"/>
      <c r="CI1016" s="933"/>
      <c r="CJ1016" s="933"/>
      <c r="CK1016" s="933"/>
      <c r="CL1016" s="933"/>
      <c r="CM1016" s="933"/>
      <c r="CN1016" s="933"/>
      <c r="CO1016" s="933"/>
      <c r="CP1016" s="933"/>
      <c r="CQ1016" s="933"/>
      <c r="CR1016" s="933"/>
      <c r="CS1016" s="933"/>
      <c r="CT1016" s="933"/>
      <c r="CU1016" s="933"/>
      <c r="CV1016" s="933"/>
      <c r="CW1016" s="933"/>
      <c r="CX1016" s="933"/>
      <c r="CY1016" s="933"/>
      <c r="CZ1016" s="933"/>
      <c r="DA1016" s="933"/>
      <c r="DB1016" s="933"/>
      <c r="DC1016" s="933"/>
      <c r="DD1016" s="933"/>
      <c r="DE1016" s="933"/>
      <c r="DF1016" s="933"/>
      <c r="DG1016" s="933"/>
      <c r="DH1016" s="933"/>
      <c r="DI1016" s="933"/>
      <c r="DJ1016" s="933"/>
      <c r="DK1016" s="933"/>
      <c r="DL1016" s="933"/>
      <c r="DM1016" s="933"/>
      <c r="DN1016" s="933"/>
      <c r="DO1016" s="933"/>
      <c r="DP1016" s="933"/>
      <c r="DQ1016" s="933"/>
      <c r="DR1016" s="933"/>
      <c r="DS1016" s="933"/>
      <c r="DT1016" s="933"/>
      <c r="DU1016" s="933"/>
      <c r="DV1016" s="933"/>
      <c r="DW1016" s="933"/>
      <c r="DX1016" s="933"/>
      <c r="DY1016" s="933"/>
      <c r="DZ1016" s="933"/>
      <c r="EA1016" s="933"/>
      <c r="EB1016" s="933"/>
      <c r="EC1016" s="933"/>
      <c r="ED1016" s="933"/>
      <c r="EE1016" s="933"/>
      <c r="EF1016" s="933"/>
      <c r="EG1016" s="933"/>
      <c r="EH1016" s="933"/>
      <c r="EI1016" s="933"/>
      <c r="EJ1016" s="933"/>
      <c r="EK1016" s="933"/>
      <c r="EL1016" s="933"/>
      <c r="EM1016" s="933"/>
      <c r="EN1016" s="933"/>
      <c r="EO1016" s="933"/>
      <c r="EP1016" s="933"/>
      <c r="EQ1016" s="933"/>
      <c r="ER1016" s="933"/>
      <c r="ES1016" s="933"/>
      <c r="ET1016" s="933"/>
      <c r="EU1016" s="933"/>
      <c r="EV1016" s="933"/>
      <c r="EW1016" s="933"/>
      <c r="EX1016" s="933"/>
      <c r="EY1016" s="933"/>
      <c r="EZ1016" s="933"/>
      <c r="FA1016" s="933"/>
      <c r="FB1016" s="933"/>
      <c r="FC1016" s="933"/>
      <c r="FD1016" s="933"/>
      <c r="FE1016" s="933"/>
      <c r="FF1016" s="933"/>
      <c r="FG1016" s="933"/>
      <c r="FH1016" s="933"/>
      <c r="FI1016" s="933"/>
      <c r="FJ1016" s="933"/>
      <c r="FK1016" s="933"/>
      <c r="FL1016" s="933"/>
      <c r="FM1016" s="933"/>
      <c r="FN1016" s="933"/>
      <c r="FO1016" s="933"/>
      <c r="FP1016" s="933"/>
      <c r="FQ1016" s="933"/>
      <c r="FR1016" s="933"/>
      <c r="FS1016" s="933"/>
      <c r="FT1016" s="933"/>
      <c r="FU1016" s="933"/>
      <c r="FV1016" s="933"/>
      <c r="FW1016" s="933"/>
      <c r="FX1016" s="933"/>
      <c r="FY1016" s="933"/>
      <c r="FZ1016" s="933"/>
      <c r="GA1016" s="933"/>
      <c r="GB1016" s="933"/>
      <c r="GC1016" s="933"/>
      <c r="GD1016" s="933"/>
      <c r="GE1016" s="933"/>
      <c r="GF1016" s="933"/>
      <c r="GG1016" s="933"/>
      <c r="GH1016" s="933"/>
      <c r="GI1016" s="933"/>
      <c r="GJ1016" s="933"/>
      <c r="GK1016" s="933"/>
      <c r="GL1016" s="933"/>
      <c r="GM1016" s="933"/>
      <c r="GN1016" s="933"/>
      <c r="GO1016" s="933"/>
      <c r="GP1016" s="933"/>
      <c r="GQ1016" s="933"/>
      <c r="GR1016" s="933"/>
      <c r="GS1016" s="933"/>
      <c r="GT1016" s="933"/>
      <c r="GU1016" s="933"/>
      <c r="GV1016" s="933"/>
      <c r="GW1016" s="933"/>
      <c r="GX1016" s="933"/>
      <c r="GY1016" s="933"/>
      <c r="GZ1016" s="933"/>
      <c r="HA1016" s="933"/>
      <c r="HB1016" s="933"/>
      <c r="HC1016" s="933"/>
      <c r="HD1016" s="933"/>
      <c r="HE1016" s="933"/>
      <c r="HF1016" s="933"/>
      <c r="HG1016" s="933"/>
      <c r="HH1016" s="933"/>
      <c r="HI1016" s="933"/>
      <c r="HJ1016" s="933"/>
      <c r="HK1016" s="933"/>
      <c r="HL1016" s="933"/>
      <c r="HM1016" s="933"/>
      <c r="HN1016" s="933"/>
      <c r="HO1016" s="933"/>
      <c r="HP1016" s="933"/>
      <c r="HQ1016" s="933"/>
      <c r="HR1016" s="933"/>
      <c r="HS1016" s="933"/>
      <c r="HT1016" s="933"/>
      <c r="HU1016" s="933"/>
      <c r="HV1016" s="933"/>
      <c r="HW1016" s="933"/>
      <c r="HX1016" s="933"/>
      <c r="HY1016" s="933"/>
      <c r="HZ1016" s="933"/>
      <c r="IA1016" s="933"/>
      <c r="IB1016" s="933"/>
      <c r="IC1016" s="933"/>
      <c r="ID1016" s="933"/>
      <c r="IE1016" s="933"/>
      <c r="IF1016" s="933"/>
      <c r="IG1016" s="933"/>
      <c r="IH1016" s="933"/>
      <c r="II1016" s="933"/>
      <c r="IJ1016" s="933"/>
      <c r="IK1016" s="933"/>
      <c r="IL1016" s="933"/>
      <c r="IM1016" s="933"/>
      <c r="IN1016" s="933"/>
      <c r="IO1016" s="933"/>
      <c r="IP1016" s="933"/>
      <c r="IQ1016" s="933"/>
      <c r="IR1016" s="933"/>
      <c r="IS1016" s="933"/>
      <c r="IT1016" s="933"/>
      <c r="IU1016" s="933"/>
      <c r="IV1016" s="933"/>
    </row>
    <row r="1017" spans="1:256" s="956" customFormat="1" ht="11.4">
      <c r="A1017" s="957">
        <v>2</v>
      </c>
      <c r="B1017" s="933" t="s">
        <v>141</v>
      </c>
      <c r="C1017" s="933"/>
      <c r="D1017" s="933" t="s">
        <v>859</v>
      </c>
      <c r="E1017" s="933"/>
      <c r="F1017" s="933"/>
      <c r="G1017" s="936" t="s">
        <v>860</v>
      </c>
      <c r="H1017" s="937">
        <v>620</v>
      </c>
      <c r="I1017" s="933" t="s">
        <v>729</v>
      </c>
      <c r="J1017" s="933"/>
      <c r="K1017" s="940" t="s">
        <v>7</v>
      </c>
      <c r="L1017" s="933"/>
      <c r="M1017" s="933"/>
      <c r="N1017" s="933"/>
      <c r="O1017" s="938">
        <v>2</v>
      </c>
      <c r="P1017" s="939"/>
      <c r="Q1017" s="940">
        <v>0.2</v>
      </c>
      <c r="R1017" s="941">
        <f t="shared" si="49"/>
        <v>0.4</v>
      </c>
      <c r="S1017" s="940">
        <v>0.03</v>
      </c>
      <c r="T1017" s="942">
        <f t="shared" si="50"/>
        <v>0.06</v>
      </c>
      <c r="U1017" s="933"/>
      <c r="V1017" s="933"/>
      <c r="W1017" s="933"/>
      <c r="X1017" s="933"/>
      <c r="Y1017" s="933"/>
      <c r="Z1017" s="933"/>
      <c r="AA1017" s="933"/>
      <c r="AB1017" s="933"/>
      <c r="AC1017" s="933"/>
      <c r="AD1017" s="933"/>
      <c r="AE1017" s="933"/>
      <c r="AF1017" s="933"/>
      <c r="AG1017" s="933"/>
      <c r="AH1017" s="933"/>
      <c r="AI1017" s="933"/>
      <c r="AJ1017" s="933"/>
      <c r="AK1017" s="933"/>
      <c r="AL1017" s="933"/>
      <c r="AM1017" s="933"/>
      <c r="AN1017" s="933"/>
      <c r="AO1017" s="933"/>
      <c r="AP1017" s="933"/>
      <c r="AQ1017" s="933"/>
      <c r="AR1017" s="933"/>
      <c r="AS1017" s="933"/>
      <c r="AT1017" s="933"/>
      <c r="AU1017" s="933"/>
      <c r="AV1017" s="933"/>
      <c r="AW1017" s="933"/>
      <c r="AX1017" s="933"/>
      <c r="AY1017" s="933"/>
      <c r="AZ1017" s="933"/>
      <c r="BA1017" s="933"/>
      <c r="BB1017" s="933"/>
      <c r="BC1017" s="933"/>
      <c r="BD1017" s="933"/>
      <c r="BE1017" s="933"/>
      <c r="BF1017" s="933"/>
      <c r="BG1017" s="933"/>
      <c r="BH1017" s="933"/>
      <c r="BI1017" s="933"/>
      <c r="BJ1017" s="933"/>
      <c r="BK1017" s="933"/>
      <c r="BL1017" s="933"/>
      <c r="BM1017" s="933"/>
      <c r="BN1017" s="933"/>
      <c r="BO1017" s="933"/>
      <c r="BP1017" s="933"/>
      <c r="BQ1017" s="933"/>
      <c r="BR1017" s="933"/>
      <c r="BS1017" s="933"/>
      <c r="BT1017" s="933"/>
      <c r="BU1017" s="933"/>
      <c r="BV1017" s="933"/>
      <c r="BW1017" s="933"/>
      <c r="BX1017" s="933"/>
      <c r="BY1017" s="933"/>
      <c r="BZ1017" s="933"/>
      <c r="CA1017" s="933"/>
      <c r="CB1017" s="933"/>
      <c r="CC1017" s="933"/>
      <c r="CD1017" s="933"/>
      <c r="CE1017" s="933"/>
      <c r="CF1017" s="933"/>
      <c r="CG1017" s="933"/>
      <c r="CH1017" s="933"/>
      <c r="CI1017" s="933"/>
      <c r="CJ1017" s="933"/>
      <c r="CK1017" s="933"/>
      <c r="CL1017" s="933"/>
      <c r="CM1017" s="933"/>
      <c r="CN1017" s="933"/>
      <c r="CO1017" s="933"/>
      <c r="CP1017" s="933"/>
      <c r="CQ1017" s="933"/>
      <c r="CR1017" s="933"/>
      <c r="CS1017" s="933"/>
      <c r="CT1017" s="933"/>
      <c r="CU1017" s="933"/>
      <c r="CV1017" s="933"/>
      <c r="CW1017" s="933"/>
      <c r="CX1017" s="933"/>
      <c r="CY1017" s="933"/>
      <c r="CZ1017" s="933"/>
      <c r="DA1017" s="933"/>
      <c r="DB1017" s="933"/>
      <c r="DC1017" s="933"/>
      <c r="DD1017" s="933"/>
      <c r="DE1017" s="933"/>
      <c r="DF1017" s="933"/>
      <c r="DG1017" s="933"/>
      <c r="DH1017" s="933"/>
      <c r="DI1017" s="933"/>
      <c r="DJ1017" s="933"/>
      <c r="DK1017" s="933"/>
      <c r="DL1017" s="933"/>
      <c r="DM1017" s="933"/>
      <c r="DN1017" s="933"/>
      <c r="DO1017" s="933"/>
      <c r="DP1017" s="933"/>
      <c r="DQ1017" s="933"/>
      <c r="DR1017" s="933"/>
      <c r="DS1017" s="933"/>
      <c r="DT1017" s="933"/>
      <c r="DU1017" s="933"/>
      <c r="DV1017" s="933"/>
      <c r="DW1017" s="933"/>
      <c r="DX1017" s="933"/>
      <c r="DY1017" s="933"/>
      <c r="DZ1017" s="933"/>
      <c r="EA1017" s="933"/>
      <c r="EB1017" s="933"/>
      <c r="EC1017" s="933"/>
      <c r="ED1017" s="933"/>
      <c r="EE1017" s="933"/>
      <c r="EF1017" s="933"/>
      <c r="EG1017" s="933"/>
      <c r="EH1017" s="933"/>
      <c r="EI1017" s="933"/>
      <c r="EJ1017" s="933"/>
      <c r="EK1017" s="933"/>
      <c r="EL1017" s="933"/>
      <c r="EM1017" s="933"/>
      <c r="EN1017" s="933"/>
      <c r="EO1017" s="933"/>
      <c r="EP1017" s="933"/>
      <c r="EQ1017" s="933"/>
      <c r="ER1017" s="933"/>
      <c r="ES1017" s="933"/>
      <c r="ET1017" s="933"/>
      <c r="EU1017" s="933"/>
      <c r="EV1017" s="933"/>
      <c r="EW1017" s="933"/>
      <c r="EX1017" s="933"/>
      <c r="EY1017" s="933"/>
      <c r="EZ1017" s="933"/>
      <c r="FA1017" s="933"/>
      <c r="FB1017" s="933"/>
      <c r="FC1017" s="933"/>
      <c r="FD1017" s="933"/>
      <c r="FE1017" s="933"/>
      <c r="FF1017" s="933"/>
      <c r="FG1017" s="933"/>
      <c r="FH1017" s="933"/>
      <c r="FI1017" s="933"/>
      <c r="FJ1017" s="933"/>
      <c r="FK1017" s="933"/>
      <c r="FL1017" s="933"/>
      <c r="FM1017" s="933"/>
      <c r="FN1017" s="933"/>
      <c r="FO1017" s="933"/>
      <c r="FP1017" s="933"/>
      <c r="FQ1017" s="933"/>
      <c r="FR1017" s="933"/>
      <c r="FS1017" s="933"/>
      <c r="FT1017" s="933"/>
      <c r="FU1017" s="933"/>
      <c r="FV1017" s="933"/>
      <c r="FW1017" s="933"/>
      <c r="FX1017" s="933"/>
      <c r="FY1017" s="933"/>
      <c r="FZ1017" s="933"/>
      <c r="GA1017" s="933"/>
      <c r="GB1017" s="933"/>
      <c r="GC1017" s="933"/>
      <c r="GD1017" s="933"/>
      <c r="GE1017" s="933"/>
      <c r="GF1017" s="933"/>
      <c r="GG1017" s="933"/>
      <c r="GH1017" s="933"/>
      <c r="GI1017" s="933"/>
      <c r="GJ1017" s="933"/>
      <c r="GK1017" s="933"/>
      <c r="GL1017" s="933"/>
      <c r="GM1017" s="933"/>
      <c r="GN1017" s="933"/>
      <c r="GO1017" s="933"/>
      <c r="GP1017" s="933"/>
      <c r="GQ1017" s="933"/>
      <c r="GR1017" s="933"/>
      <c r="GS1017" s="933"/>
      <c r="GT1017" s="933"/>
      <c r="GU1017" s="933"/>
      <c r="GV1017" s="933"/>
      <c r="GW1017" s="933"/>
      <c r="GX1017" s="933"/>
      <c r="GY1017" s="933"/>
      <c r="GZ1017" s="933"/>
      <c r="HA1017" s="933"/>
      <c r="HB1017" s="933"/>
      <c r="HC1017" s="933"/>
      <c r="HD1017" s="933"/>
      <c r="HE1017" s="933"/>
      <c r="HF1017" s="933"/>
      <c r="HG1017" s="933"/>
      <c r="HH1017" s="933"/>
      <c r="HI1017" s="933"/>
      <c r="HJ1017" s="933"/>
      <c r="HK1017" s="933"/>
      <c r="HL1017" s="933"/>
      <c r="HM1017" s="933"/>
      <c r="HN1017" s="933"/>
      <c r="HO1017" s="933"/>
      <c r="HP1017" s="933"/>
      <c r="HQ1017" s="933"/>
      <c r="HR1017" s="933"/>
      <c r="HS1017" s="933"/>
      <c r="HT1017" s="933"/>
      <c r="HU1017" s="933"/>
      <c r="HV1017" s="933"/>
      <c r="HW1017" s="933"/>
      <c r="HX1017" s="933"/>
      <c r="HY1017" s="933"/>
      <c r="HZ1017" s="933"/>
      <c r="IA1017" s="933"/>
      <c r="IB1017" s="933"/>
      <c r="IC1017" s="933"/>
      <c r="ID1017" s="933"/>
      <c r="IE1017" s="933"/>
      <c r="IF1017" s="933"/>
      <c r="IG1017" s="933"/>
      <c r="IH1017" s="933"/>
      <c r="II1017" s="933"/>
      <c r="IJ1017" s="933"/>
      <c r="IK1017" s="933"/>
      <c r="IL1017" s="933"/>
      <c r="IM1017" s="933"/>
      <c r="IN1017" s="933"/>
      <c r="IO1017" s="933"/>
      <c r="IP1017" s="933"/>
      <c r="IQ1017" s="933"/>
      <c r="IR1017" s="933"/>
      <c r="IS1017" s="933"/>
      <c r="IT1017" s="933"/>
      <c r="IU1017" s="933"/>
      <c r="IV1017" s="933"/>
    </row>
    <row r="1018" spans="1:256" s="956" customFormat="1" ht="11.4">
      <c r="A1018" s="957">
        <v>6</v>
      </c>
      <c r="B1018" s="933" t="s">
        <v>141</v>
      </c>
      <c r="C1018" s="933"/>
      <c r="D1018" s="933" t="s">
        <v>861</v>
      </c>
      <c r="E1018" s="933"/>
      <c r="F1018" s="933"/>
      <c r="G1018" s="936" t="s">
        <v>862</v>
      </c>
      <c r="H1018" s="937">
        <v>620</v>
      </c>
      <c r="I1018" s="933" t="s">
        <v>741</v>
      </c>
      <c r="J1018" s="933"/>
      <c r="K1018" s="940" t="s">
        <v>7</v>
      </c>
      <c r="L1018" s="933"/>
      <c r="M1018" s="933"/>
      <c r="N1018" s="933"/>
      <c r="O1018" s="938">
        <v>2</v>
      </c>
      <c r="P1018" s="939">
        <v>34669</v>
      </c>
      <c r="Q1018" s="940">
        <v>0.05</v>
      </c>
      <c r="R1018" s="941">
        <f t="shared" si="49"/>
        <v>0.30000000000000004</v>
      </c>
      <c r="S1018" s="940">
        <v>0.01</v>
      </c>
      <c r="T1018" s="942">
        <f t="shared" si="50"/>
        <v>0.06</v>
      </c>
      <c r="U1018" s="933"/>
      <c r="V1018" s="933"/>
      <c r="W1018" s="933"/>
      <c r="X1018" s="933"/>
      <c r="Y1018" s="933"/>
      <c r="Z1018" s="933"/>
      <c r="AA1018" s="933"/>
      <c r="AB1018" s="933"/>
      <c r="AC1018" s="933"/>
      <c r="AD1018" s="933"/>
      <c r="AE1018" s="933"/>
      <c r="AF1018" s="933"/>
      <c r="AG1018" s="933"/>
      <c r="AH1018" s="933"/>
      <c r="AI1018" s="933"/>
      <c r="AJ1018" s="933"/>
      <c r="AK1018" s="933"/>
      <c r="AL1018" s="933"/>
      <c r="AM1018" s="933"/>
      <c r="AN1018" s="933"/>
      <c r="AO1018" s="933"/>
      <c r="AP1018" s="933"/>
      <c r="AQ1018" s="933"/>
      <c r="AR1018" s="933"/>
      <c r="AS1018" s="933"/>
      <c r="AT1018" s="933"/>
      <c r="AU1018" s="933"/>
      <c r="AV1018" s="933"/>
      <c r="AW1018" s="933"/>
      <c r="AX1018" s="933"/>
      <c r="AY1018" s="933"/>
      <c r="AZ1018" s="933"/>
      <c r="BA1018" s="933"/>
      <c r="BB1018" s="933"/>
      <c r="BC1018" s="933"/>
      <c r="BD1018" s="933"/>
      <c r="BE1018" s="933"/>
      <c r="BF1018" s="933"/>
      <c r="BG1018" s="933"/>
      <c r="BH1018" s="933"/>
      <c r="BI1018" s="933"/>
      <c r="BJ1018" s="933"/>
      <c r="BK1018" s="933"/>
      <c r="BL1018" s="933"/>
      <c r="BM1018" s="933"/>
      <c r="BN1018" s="933"/>
      <c r="BO1018" s="933"/>
      <c r="BP1018" s="933"/>
      <c r="BQ1018" s="933"/>
      <c r="BR1018" s="933"/>
      <c r="BS1018" s="933"/>
      <c r="BT1018" s="933"/>
      <c r="BU1018" s="933"/>
      <c r="BV1018" s="933"/>
      <c r="BW1018" s="933"/>
      <c r="BX1018" s="933"/>
      <c r="BY1018" s="933"/>
      <c r="BZ1018" s="933"/>
      <c r="CA1018" s="933"/>
      <c r="CB1018" s="933"/>
      <c r="CC1018" s="933"/>
      <c r="CD1018" s="933"/>
      <c r="CE1018" s="933"/>
      <c r="CF1018" s="933"/>
      <c r="CG1018" s="933"/>
      <c r="CH1018" s="933"/>
      <c r="CI1018" s="933"/>
      <c r="CJ1018" s="933"/>
      <c r="CK1018" s="933"/>
      <c r="CL1018" s="933"/>
      <c r="CM1018" s="933"/>
      <c r="CN1018" s="933"/>
      <c r="CO1018" s="933"/>
      <c r="CP1018" s="933"/>
      <c r="CQ1018" s="933"/>
      <c r="CR1018" s="933"/>
      <c r="CS1018" s="933"/>
      <c r="CT1018" s="933"/>
      <c r="CU1018" s="933"/>
      <c r="CV1018" s="933"/>
      <c r="CW1018" s="933"/>
      <c r="CX1018" s="933"/>
      <c r="CY1018" s="933"/>
      <c r="CZ1018" s="933"/>
      <c r="DA1018" s="933"/>
      <c r="DB1018" s="933"/>
      <c r="DC1018" s="933"/>
      <c r="DD1018" s="933"/>
      <c r="DE1018" s="933"/>
      <c r="DF1018" s="933"/>
      <c r="DG1018" s="933"/>
      <c r="DH1018" s="933"/>
      <c r="DI1018" s="933"/>
      <c r="DJ1018" s="933"/>
      <c r="DK1018" s="933"/>
      <c r="DL1018" s="933"/>
      <c r="DM1018" s="933"/>
      <c r="DN1018" s="933"/>
      <c r="DO1018" s="933"/>
      <c r="DP1018" s="933"/>
      <c r="DQ1018" s="933"/>
      <c r="DR1018" s="933"/>
      <c r="DS1018" s="933"/>
      <c r="DT1018" s="933"/>
      <c r="DU1018" s="933"/>
      <c r="DV1018" s="933"/>
      <c r="DW1018" s="933"/>
      <c r="DX1018" s="933"/>
      <c r="DY1018" s="933"/>
      <c r="DZ1018" s="933"/>
      <c r="EA1018" s="933"/>
      <c r="EB1018" s="933"/>
      <c r="EC1018" s="933"/>
      <c r="ED1018" s="933"/>
      <c r="EE1018" s="933"/>
      <c r="EF1018" s="933"/>
      <c r="EG1018" s="933"/>
      <c r="EH1018" s="933"/>
      <c r="EI1018" s="933"/>
      <c r="EJ1018" s="933"/>
      <c r="EK1018" s="933"/>
      <c r="EL1018" s="933"/>
      <c r="EM1018" s="933"/>
      <c r="EN1018" s="933"/>
      <c r="EO1018" s="933"/>
      <c r="EP1018" s="933"/>
      <c r="EQ1018" s="933"/>
      <c r="ER1018" s="933"/>
      <c r="ES1018" s="933"/>
      <c r="ET1018" s="933"/>
      <c r="EU1018" s="933"/>
      <c r="EV1018" s="933"/>
      <c r="EW1018" s="933"/>
      <c r="EX1018" s="933"/>
      <c r="EY1018" s="933"/>
      <c r="EZ1018" s="933"/>
      <c r="FA1018" s="933"/>
      <c r="FB1018" s="933"/>
      <c r="FC1018" s="933"/>
      <c r="FD1018" s="933"/>
      <c r="FE1018" s="933"/>
      <c r="FF1018" s="933"/>
      <c r="FG1018" s="933"/>
      <c r="FH1018" s="933"/>
      <c r="FI1018" s="933"/>
      <c r="FJ1018" s="933"/>
      <c r="FK1018" s="933"/>
      <c r="FL1018" s="933"/>
      <c r="FM1018" s="933"/>
      <c r="FN1018" s="933"/>
      <c r="FO1018" s="933"/>
      <c r="FP1018" s="933"/>
      <c r="FQ1018" s="933"/>
      <c r="FR1018" s="933"/>
      <c r="FS1018" s="933"/>
      <c r="FT1018" s="933"/>
      <c r="FU1018" s="933"/>
      <c r="FV1018" s="933"/>
      <c r="FW1018" s="933"/>
      <c r="FX1018" s="933"/>
      <c r="FY1018" s="933"/>
      <c r="FZ1018" s="933"/>
      <c r="GA1018" s="933"/>
      <c r="GB1018" s="933"/>
      <c r="GC1018" s="933"/>
      <c r="GD1018" s="933"/>
      <c r="GE1018" s="933"/>
      <c r="GF1018" s="933"/>
      <c r="GG1018" s="933"/>
      <c r="GH1018" s="933"/>
      <c r="GI1018" s="933"/>
      <c r="GJ1018" s="933"/>
      <c r="GK1018" s="933"/>
      <c r="GL1018" s="933"/>
      <c r="GM1018" s="933"/>
      <c r="GN1018" s="933"/>
      <c r="GO1018" s="933"/>
      <c r="GP1018" s="933"/>
      <c r="GQ1018" s="933"/>
      <c r="GR1018" s="933"/>
      <c r="GS1018" s="933"/>
      <c r="GT1018" s="933"/>
      <c r="GU1018" s="933"/>
      <c r="GV1018" s="933"/>
      <c r="GW1018" s="933"/>
      <c r="GX1018" s="933"/>
      <c r="GY1018" s="933"/>
      <c r="GZ1018" s="933"/>
      <c r="HA1018" s="933"/>
      <c r="HB1018" s="933"/>
      <c r="HC1018" s="933"/>
      <c r="HD1018" s="933"/>
      <c r="HE1018" s="933"/>
      <c r="HF1018" s="933"/>
      <c r="HG1018" s="933"/>
      <c r="HH1018" s="933"/>
      <c r="HI1018" s="933"/>
      <c r="HJ1018" s="933"/>
      <c r="HK1018" s="933"/>
      <c r="HL1018" s="933"/>
      <c r="HM1018" s="933"/>
      <c r="HN1018" s="933"/>
      <c r="HO1018" s="933"/>
      <c r="HP1018" s="933"/>
      <c r="HQ1018" s="933"/>
      <c r="HR1018" s="933"/>
      <c r="HS1018" s="933"/>
      <c r="HT1018" s="933"/>
      <c r="HU1018" s="933"/>
      <c r="HV1018" s="933"/>
      <c r="HW1018" s="933"/>
      <c r="HX1018" s="933"/>
      <c r="HY1018" s="933"/>
      <c r="HZ1018" s="933"/>
      <c r="IA1018" s="933"/>
      <c r="IB1018" s="933"/>
      <c r="IC1018" s="933"/>
      <c r="ID1018" s="933"/>
      <c r="IE1018" s="933"/>
      <c r="IF1018" s="933"/>
      <c r="IG1018" s="933"/>
      <c r="IH1018" s="933"/>
      <c r="II1018" s="933"/>
      <c r="IJ1018" s="933"/>
      <c r="IK1018" s="933"/>
      <c r="IL1018" s="933"/>
      <c r="IM1018" s="933"/>
      <c r="IN1018" s="933"/>
      <c r="IO1018" s="933"/>
      <c r="IP1018" s="933"/>
      <c r="IQ1018" s="933"/>
      <c r="IR1018" s="933"/>
      <c r="IS1018" s="933"/>
      <c r="IT1018" s="933"/>
      <c r="IU1018" s="933"/>
      <c r="IV1018" s="933"/>
    </row>
    <row r="1019" spans="1:256" s="933" customFormat="1" ht="11.4">
      <c r="A1019" s="957">
        <v>1</v>
      </c>
      <c r="B1019" s="933" t="s">
        <v>141</v>
      </c>
      <c r="D1019" s="933" t="s">
        <v>776</v>
      </c>
      <c r="F1019" s="933" t="s">
        <v>901</v>
      </c>
      <c r="G1019" s="936" t="s">
        <v>777</v>
      </c>
      <c r="H1019" s="937">
        <v>900</v>
      </c>
      <c r="I1019" s="933" t="s">
        <v>778</v>
      </c>
      <c r="K1019" s="933" t="s">
        <v>7</v>
      </c>
      <c r="O1019" s="938">
        <v>1</v>
      </c>
      <c r="P1019" s="939"/>
      <c r="Q1019" s="983"/>
      <c r="R1019" s="941">
        <f>$A1019*Q1019</f>
        <v>0</v>
      </c>
      <c r="S1019" s="940">
        <v>0.5</v>
      </c>
      <c r="T1019" s="942">
        <f t="shared" si="50"/>
        <v>0.5</v>
      </c>
      <c r="U1019" s="933" t="s">
        <v>863</v>
      </c>
    </row>
    <row r="1020" spans="1:256" s="519" customFormat="1" ht="13.95" customHeight="1">
      <c r="A1020" s="49"/>
      <c r="B1020" s="528"/>
      <c r="C1020" s="528"/>
      <c r="D1020" s="528"/>
      <c r="E1020" s="528"/>
      <c r="F1020" s="528"/>
      <c r="G1020" s="528"/>
      <c r="H1020" s="801"/>
      <c r="I1020" s="528"/>
      <c r="J1020" s="48"/>
      <c r="K1020" s="805"/>
      <c r="L1020" s="806"/>
      <c r="M1020" s="528"/>
      <c r="N1020" s="528"/>
      <c r="O1020" s="48"/>
      <c r="P1020" s="528"/>
      <c r="Q1020" s="528"/>
      <c r="R1020" s="807">
        <f>$A1020*Q1020</f>
        <v>0</v>
      </c>
      <c r="S1020" s="528"/>
      <c r="T1020" s="643">
        <f>$A1020*S1020*$T$1</f>
        <v>0</v>
      </c>
    </row>
    <row r="1021" spans="1:256" s="519" customFormat="1" ht="12">
      <c r="A1021" s="808" t="s">
        <v>145</v>
      </c>
      <c r="B1021" s="809">
        <f>(R1020+T1020)</f>
        <v>0</v>
      </c>
      <c r="C1021" s="641"/>
      <c r="G1021" s="810"/>
      <c r="H1021" s="810"/>
      <c r="I1021" s="810"/>
      <c r="J1021" s="810"/>
      <c r="K1021" s="811" t="s">
        <v>3</v>
      </c>
      <c r="L1021" s="812" t="s">
        <v>590</v>
      </c>
      <c r="M1021" s="810"/>
      <c r="N1021" s="810"/>
      <c r="O1021" s="810"/>
      <c r="P1021" s="810"/>
      <c r="Q1021" s="813"/>
      <c r="R1021" s="814">
        <f>SUM(R1010:R1020)</f>
        <v>69.48</v>
      </c>
      <c r="S1021" s="815"/>
      <c r="T1021" s="814">
        <f>SUM(T1010:T1020)</f>
        <v>8.6300000000000008</v>
      </c>
      <c r="AG1021" s="816">
        <f>ROUND($R1021*$S$2,2)</f>
        <v>69.48</v>
      </c>
    </row>
    <row r="1022" spans="1:256" s="519" customFormat="1" ht="12" customHeight="1">
      <c r="A1022" s="817"/>
      <c r="B1022" s="818"/>
      <c r="C1022" s="819"/>
      <c r="D1022" s="819" t="str">
        <f>$F$3</f>
        <v>ECA</v>
      </c>
      <c r="E1022" s="819">
        <f>ROUND(($R1026*$S$3 + ($T1026*$T$3)), 2)</f>
        <v>1135.79</v>
      </c>
      <c r="F1022" s="820">
        <f ca="1">$F1007-SUMIF($L1009:$P1012,"SUBI",$F1009:$F1012)</f>
        <v>1135.79</v>
      </c>
      <c r="G1022" s="518"/>
      <c r="H1022" s="518"/>
      <c r="I1022" s="518"/>
      <c r="J1022" s="518"/>
      <c r="K1022" s="802" t="s">
        <v>5</v>
      </c>
      <c r="L1022" s="803" t="s">
        <v>590</v>
      </c>
      <c r="M1022" s="518"/>
      <c r="N1022" s="518"/>
      <c r="O1022" s="518"/>
      <c r="P1022" s="518"/>
      <c r="Q1022" s="518"/>
      <c r="R1022" s="821"/>
      <c r="S1022" s="518"/>
      <c r="T1022" s="821"/>
    </row>
    <row r="1023" spans="1:256" s="933" customFormat="1" ht="13.2">
      <c r="A1023">
        <v>1</v>
      </c>
      <c r="B1023" s="933" t="s">
        <v>141</v>
      </c>
      <c r="D1023" s="933" t="s">
        <v>785</v>
      </c>
      <c r="E1023" s="935" t="s">
        <v>811</v>
      </c>
      <c r="F1023" s="933" t="s">
        <v>974</v>
      </c>
      <c r="G1023" s="936" t="s">
        <v>786</v>
      </c>
      <c r="H1023" s="937">
        <v>570</v>
      </c>
      <c r="I1023" s="933" t="s">
        <v>729</v>
      </c>
      <c r="O1023" s="938">
        <v>2</v>
      </c>
      <c r="P1023" s="939">
        <v>38443</v>
      </c>
      <c r="Q1023" s="1058">
        <v>998.49</v>
      </c>
      <c r="R1023" s="941">
        <f>$A1023*Q1023</f>
        <v>998.49</v>
      </c>
      <c r="S1023" s="940"/>
      <c r="T1023" s="942">
        <f>$A1023*S1023*$T$1</f>
        <v>0</v>
      </c>
    </row>
    <row r="1024" spans="1:256" s="933" customFormat="1" ht="13.2">
      <c r="A1024">
        <v>1</v>
      </c>
      <c r="B1024" s="933" t="s">
        <v>141</v>
      </c>
      <c r="D1024" s="933" t="s">
        <v>785</v>
      </c>
      <c r="E1024" s="935" t="s">
        <v>885</v>
      </c>
      <c r="F1024" s="933" t="s">
        <v>974</v>
      </c>
      <c r="G1024" s="936" t="s">
        <v>786</v>
      </c>
      <c r="H1024" s="937">
        <v>570</v>
      </c>
      <c r="I1024" s="933" t="s">
        <v>729</v>
      </c>
      <c r="O1024" s="938">
        <v>2</v>
      </c>
      <c r="P1024" s="939">
        <v>38443</v>
      </c>
      <c r="Q1024" s="940"/>
      <c r="R1024" s="941">
        <f>$A1024*Q1024</f>
        <v>0</v>
      </c>
      <c r="S1024" s="1058">
        <v>5</v>
      </c>
      <c r="T1024" s="942">
        <f>$A1024*S1024*$T$1</f>
        <v>5</v>
      </c>
    </row>
    <row r="1025" spans="1:41" s="519" customFormat="1" ht="13.2">
      <c r="A1025" s="49"/>
      <c r="B1025" s="528"/>
      <c r="C1025" s="528"/>
      <c r="D1025" s="3"/>
      <c r="E1025" s="528"/>
      <c r="F1025" s="528"/>
      <c r="G1025" s="528"/>
      <c r="H1025" s="528"/>
      <c r="I1025" s="528"/>
      <c r="J1025" s="528"/>
      <c r="K1025" s="528"/>
      <c r="L1025" s="806"/>
      <c r="M1025" s="528"/>
      <c r="N1025" s="528"/>
      <c r="O1025" s="528"/>
      <c r="P1025" s="528"/>
      <c r="Q1025" s="528"/>
      <c r="R1025" s="807">
        <f>$A1025*Q1025</f>
        <v>0</v>
      </c>
      <c r="S1025" s="528"/>
      <c r="T1025" s="643">
        <f>$A1025*S1025*$T$1</f>
        <v>0</v>
      </c>
    </row>
    <row r="1026" spans="1:41" s="519" customFormat="1" ht="12" customHeight="1">
      <c r="A1026" s="835" t="s">
        <v>145</v>
      </c>
      <c r="B1026" s="836">
        <f>(R1025+T1025)</f>
        <v>0</v>
      </c>
      <c r="C1026" s="837"/>
      <c r="D1026" s="837"/>
      <c r="E1026" s="837"/>
      <c r="F1026" s="837"/>
      <c r="G1026" s="813"/>
      <c r="H1026" s="813"/>
      <c r="I1026" s="813"/>
      <c r="J1026" s="813"/>
      <c r="K1026" s="838" t="s">
        <v>5</v>
      </c>
      <c r="L1026" s="839" t="s">
        <v>590</v>
      </c>
      <c r="M1026" s="813"/>
      <c r="N1026" s="813"/>
      <c r="O1026" s="813"/>
      <c r="P1026" s="813"/>
      <c r="Q1026" s="813"/>
      <c r="R1026" s="814">
        <f>SUM(R1022:R1025)</f>
        <v>998.49</v>
      </c>
      <c r="S1026" s="815"/>
      <c r="T1026" s="814">
        <f>SUM(T1022:T1025)</f>
        <v>5</v>
      </c>
      <c r="AG1026" s="840">
        <f>ROUND($R1026*$S$3,2)</f>
        <v>998.49</v>
      </c>
    </row>
    <row r="1027" spans="1:41" s="519" customFormat="1" ht="12.75" customHeight="1">
      <c r="A1027" s="841"/>
      <c r="B1027" s="842"/>
      <c r="E1027" s="641"/>
      <c r="F1027" s="843"/>
      <c r="G1027" s="641"/>
      <c r="H1027" s="641"/>
      <c r="I1027" s="518"/>
      <c r="J1027" s="641"/>
      <c r="K1027" s="641"/>
      <c r="L1027" s="844"/>
      <c r="M1027" s="652"/>
      <c r="N1027" s="652"/>
      <c r="O1027" s="652"/>
      <c r="P1027" s="652"/>
      <c r="Q1027" s="653"/>
      <c r="R1027" s="821"/>
      <c r="S1027" s="641"/>
      <c r="T1027" s="821"/>
    </row>
    <row r="1028" spans="1:41" s="519" customFormat="1" ht="13.5" customHeight="1" thickBot="1">
      <c r="A1028" s="845"/>
      <c r="B1028" s="846"/>
      <c r="C1028" s="529"/>
      <c r="D1028" s="529"/>
      <c r="E1028" s="646"/>
      <c r="F1028" s="647"/>
      <c r="G1028" s="646" t="s">
        <v>146</v>
      </c>
      <c r="H1028" s="646"/>
      <c r="I1028" s="648"/>
      <c r="J1028" s="646"/>
      <c r="K1028" s="646"/>
      <c r="L1028" s="847" t="s">
        <v>143</v>
      </c>
      <c r="M1028" s="649"/>
      <c r="N1028" s="649"/>
      <c r="O1028" s="649"/>
      <c r="P1028" s="649"/>
      <c r="Q1028" s="650"/>
      <c r="R1028" s="848">
        <f>SUMIF($L1008:$L1027,"SUBI",R1008:R1027)</f>
        <v>1067.97</v>
      </c>
      <c r="S1028" s="646"/>
      <c r="T1028" s="848">
        <f>SUMIF($L1008:$L1027,"SUBI",T1008:T1027)</f>
        <v>13.63</v>
      </c>
      <c r="U1028" s="529"/>
      <c r="V1028" s="529"/>
      <c r="W1028" s="529"/>
      <c r="X1028" s="529"/>
      <c r="Y1028" s="529"/>
      <c r="Z1028" s="529"/>
      <c r="AA1028" s="529"/>
      <c r="AB1028" s="529"/>
      <c r="AC1028" s="529"/>
      <c r="AD1028" s="529"/>
      <c r="AE1028" s="529"/>
      <c r="AF1028" s="529"/>
      <c r="AG1028" s="529"/>
      <c r="AH1028" s="529"/>
      <c r="AI1028" s="529"/>
      <c r="AJ1028" s="529"/>
      <c r="AK1028" s="529"/>
      <c r="AL1028" s="529"/>
      <c r="AM1028" s="529"/>
      <c r="AN1028" s="529"/>
      <c r="AO1028" s="529"/>
    </row>
    <row r="1029" spans="1:41" s="519" customFormat="1" thickTop="1">
      <c r="A1029" s="47"/>
      <c r="B1029" s="47"/>
      <c r="C1029" s="3"/>
      <c r="D1029" s="3"/>
      <c r="E1029" s="47"/>
      <c r="F1029" s="47"/>
      <c r="G1029" s="47"/>
      <c r="H1029" s="47"/>
      <c r="I1029" s="47"/>
      <c r="J1029" s="47"/>
      <c r="K1029" s="47" t="s">
        <v>134</v>
      </c>
      <c r="L1029" s="47"/>
      <c r="M1029" s="47"/>
      <c r="N1029" s="47"/>
      <c r="O1029" s="48"/>
      <c r="P1029" s="47"/>
      <c r="Q1029" s="47"/>
      <c r="R1029" s="47"/>
      <c r="S1029" s="47"/>
      <c r="T1029" s="47"/>
    </row>
    <row r="1030" spans="1:41" s="519" customFormat="1" ht="12">
      <c r="A1030" s="47"/>
      <c r="B1030" s="47"/>
      <c r="C1030" s="47" t="s">
        <v>135</v>
      </c>
      <c r="D1030" s="36"/>
      <c r="E1030" s="47"/>
      <c r="F1030" s="47"/>
      <c r="G1030" s="47"/>
      <c r="H1030" s="47"/>
      <c r="I1030" s="47"/>
      <c r="J1030" s="47"/>
      <c r="K1030" s="47"/>
      <c r="L1030" s="47"/>
      <c r="M1030" s="47"/>
      <c r="N1030" s="47"/>
      <c r="O1030" s="48"/>
      <c r="P1030" s="47"/>
      <c r="Q1030" s="47"/>
      <c r="R1030" s="47"/>
      <c r="S1030" s="47"/>
      <c r="T1030" s="47"/>
    </row>
    <row r="1031" spans="1:41" s="519" customFormat="1" ht="12">
      <c r="A1031" s="47"/>
      <c r="B1031" s="47"/>
      <c r="C1031" s="47"/>
      <c r="D1031" s="36" t="s">
        <v>498</v>
      </c>
      <c r="E1031" s="47"/>
      <c r="F1031" s="47"/>
      <c r="G1031" s="47"/>
      <c r="H1031" s="47"/>
      <c r="I1031" s="47"/>
      <c r="J1031" s="47"/>
      <c r="K1031" s="47"/>
      <c r="L1031" s="47"/>
      <c r="M1031" s="47"/>
      <c r="N1031" s="47"/>
      <c r="O1031" s="48"/>
      <c r="P1031" s="47"/>
      <c r="Q1031" s="47"/>
      <c r="R1031" s="47"/>
      <c r="S1031" s="37"/>
      <c r="T1031" s="37"/>
    </row>
    <row r="1032" spans="1:41" s="3" customFormat="1" thickBot="1">
      <c r="A1032" s="529"/>
      <c r="O1032" s="99"/>
    </row>
    <row r="1033" spans="1:41" s="519" customFormat="1" ht="12" thickTop="1">
      <c r="A1033" s="47"/>
      <c r="B1033" s="40"/>
      <c r="C1033" s="47"/>
      <c r="E1033" s="41" t="s">
        <v>138</v>
      </c>
      <c r="F1033" s="41" t="s">
        <v>139</v>
      </c>
      <c r="G1033" s="47"/>
      <c r="H1033" s="47"/>
      <c r="I1033" s="47"/>
      <c r="J1033" s="47"/>
      <c r="K1033" s="47" t="s">
        <v>140</v>
      </c>
      <c r="L1033" s="47"/>
      <c r="M1033" s="47"/>
      <c r="N1033" s="47"/>
      <c r="O1033" s="48"/>
      <c r="P1033" s="47"/>
      <c r="Q1033" s="47"/>
      <c r="R1033" s="47"/>
      <c r="S1033" s="47"/>
      <c r="T1033" s="40"/>
      <c r="AG1033" s="627" t="s">
        <v>277</v>
      </c>
      <c r="AH1033" s="627" t="s">
        <v>278</v>
      </c>
      <c r="AI1033" s="627" t="s">
        <v>279</v>
      </c>
      <c r="AJ1033" s="627" t="s">
        <v>280</v>
      </c>
      <c r="AK1033" s="627" t="s">
        <v>281</v>
      </c>
      <c r="AM1033" s="628" t="s">
        <v>290</v>
      </c>
      <c r="AN1033" s="629" t="s">
        <v>291</v>
      </c>
      <c r="AO1033" s="520" t="s">
        <v>287</v>
      </c>
    </row>
    <row r="1034" spans="1:41" s="519" customFormat="1" ht="12" customHeight="1">
      <c r="A1034" s="630">
        <v>1</v>
      </c>
      <c r="B1034" s="521" t="s">
        <v>339</v>
      </c>
      <c r="C1034" s="631"/>
      <c r="D1034" s="632" t="s">
        <v>676</v>
      </c>
      <c r="E1034" s="633">
        <f>IF(AND($A1034=0,$A$1="DIF"),0, ROUND(ROUND(($R1048*$S$2+($T1048*$T$2))/A1034,2)*$C$2,2))</f>
        <v>638.92999999999995</v>
      </c>
      <c r="F1034" s="634">
        <f>ROUND($A1034*$E1034,2)</f>
        <v>638.92999999999995</v>
      </c>
      <c r="G1034" s="635" t="s">
        <v>142</v>
      </c>
      <c r="H1034" s="636"/>
      <c r="I1034" s="637"/>
      <c r="J1034" s="636"/>
      <c r="K1034" s="636" t="s">
        <v>3</v>
      </c>
      <c r="L1034" s="638" t="s">
        <v>143</v>
      </c>
      <c r="M1034" s="638"/>
      <c r="N1034" s="638"/>
      <c r="O1034" s="638"/>
      <c r="P1034" s="638"/>
      <c r="Q1034" s="47"/>
      <c r="T1034" s="639" t="str">
        <f>IF(AND($R1048=0,$T1048=0),"0.00","mu :" &amp; ROUND($F1034/$C$2/($R1048+$T1048*$D$9),2))</f>
        <v>mu :1</v>
      </c>
      <c r="W1034" s="522"/>
      <c r="AG1034" s="470">
        <f>IF($E1034=0,0,ROUND($R1048*$S$2*$C$2/$A1034,2))</f>
        <v>197.1</v>
      </c>
      <c r="AH1034" s="470">
        <f>$AG1034*$A1034</f>
        <v>197.1</v>
      </c>
      <c r="AI1034" s="523">
        <f>$E1034-$AG1034</f>
        <v>441.82999999999993</v>
      </c>
      <c r="AJ1034" s="523">
        <f>$A1034*$AI1034</f>
        <v>441.82999999999993</v>
      </c>
      <c r="AK1034" s="524">
        <f>ROUND(($AG1034+$AI1034)*$A1034,2)</f>
        <v>638.92999999999995</v>
      </c>
      <c r="AM1034" s="525">
        <f>ROUND(R1048,2)</f>
        <v>197.1</v>
      </c>
      <c r="AN1034" s="526">
        <f>ROUND(T1048,2)</f>
        <v>16.09</v>
      </c>
      <c r="AO1034" s="527">
        <f>ROUND(AM1034+AN1034,2)*A1034</f>
        <v>213.19</v>
      </c>
    </row>
    <row r="1035" spans="1:41" s="519" customFormat="1" ht="45.6" customHeight="1">
      <c r="A1035" s="631"/>
      <c r="B1035"/>
      <c r="C1035" s="631"/>
      <c r="D1035" s="1081" t="s">
        <v>677</v>
      </c>
      <c r="E1035" s="1081"/>
      <c r="F1035" s="1081"/>
      <c r="G1035" s="1081"/>
      <c r="H1035" s="1081"/>
      <c r="I1035" s="1081"/>
      <c r="J1035" s="1081"/>
      <c r="K1035" s="1081"/>
      <c r="L1035" s="1081"/>
      <c r="M1035" s="1081"/>
      <c r="N1035" s="1081"/>
      <c r="O1035" s="1081"/>
      <c r="P1035" s="1081"/>
      <c r="Q1035" s="1081"/>
      <c r="R1035" s="1081"/>
      <c r="S1035" s="1081"/>
      <c r="T1035" s="1081"/>
    </row>
    <row r="1036" spans="1:41" s="519" customFormat="1" ht="12">
      <c r="A1036" s="47"/>
      <c r="B1036" s="641"/>
      <c r="C1036" s="641"/>
      <c r="D1036" s="1015" t="s">
        <v>915</v>
      </c>
      <c r="E1036" s="641"/>
      <c r="F1036" s="636"/>
      <c r="G1036" s="641"/>
      <c r="H1036" s="641"/>
      <c r="I1036" s="518"/>
      <c r="J1036" s="641"/>
      <c r="K1036" s="641"/>
      <c r="L1036" s="641"/>
      <c r="M1036" s="641"/>
      <c r="N1036" s="641"/>
      <c r="O1036" s="641"/>
      <c r="P1036" s="641"/>
      <c r="Q1036" s="518"/>
      <c r="R1036" s="642">
        <f t="shared" ref="R1036:R1047" si="51">$A1036*Q1036</f>
        <v>0</v>
      </c>
      <c r="S1036" s="518"/>
      <c r="T1036" s="643">
        <f t="shared" ref="T1036:T1047" si="52">$A1036*S1036*$T$1</f>
        <v>0</v>
      </c>
    </row>
    <row r="1037" spans="1:41" s="933" customFormat="1" ht="13.2">
      <c r="A1037">
        <v>1</v>
      </c>
      <c r="B1037" s="933" t="s">
        <v>141</v>
      </c>
      <c r="D1037" s="933" t="s">
        <v>918</v>
      </c>
      <c r="F1037" s="933" t="s">
        <v>920</v>
      </c>
      <c r="G1037" s="936" t="s">
        <v>919</v>
      </c>
      <c r="H1037" s="937">
        <v>512</v>
      </c>
      <c r="I1037" s="933" t="s">
        <v>729</v>
      </c>
      <c r="O1037" s="938">
        <v>3</v>
      </c>
      <c r="P1037" s="939"/>
      <c r="Q1037" s="940"/>
      <c r="R1037" s="941">
        <f>$A1037*Q1037</f>
        <v>0</v>
      </c>
      <c r="S1037" s="940">
        <v>8</v>
      </c>
      <c r="T1037" s="942">
        <f>$A1037*S1037*$T$1</f>
        <v>8</v>
      </c>
    </row>
    <row r="1038" spans="1:41" s="933" customFormat="1" ht="13.2">
      <c r="A1038">
        <v>1</v>
      </c>
      <c r="B1038" s="933" t="s">
        <v>141</v>
      </c>
      <c r="D1038" s="933" t="s">
        <v>787</v>
      </c>
      <c r="G1038" s="936" t="s">
        <v>788</v>
      </c>
      <c r="H1038" s="937">
        <v>501</v>
      </c>
      <c r="I1038" s="933" t="s">
        <v>729</v>
      </c>
      <c r="K1038" s="933" t="s">
        <v>789</v>
      </c>
      <c r="O1038" s="938">
        <v>1</v>
      </c>
      <c r="P1038" s="939"/>
      <c r="Q1038" s="940">
        <v>100</v>
      </c>
      <c r="R1038" s="941">
        <f>$A1038*Q1038</f>
        <v>100</v>
      </c>
      <c r="S1038" s="940"/>
      <c r="T1038" s="942">
        <f>$A1038*S1038*$T$1</f>
        <v>0</v>
      </c>
    </row>
    <row r="1039" spans="1:41" s="933" customFormat="1" ht="13.2">
      <c r="A1039"/>
      <c r="D1039" s="1015" t="s">
        <v>953</v>
      </c>
      <c r="G1039" s="936"/>
      <c r="H1039" s="937"/>
      <c r="O1039" s="938"/>
      <c r="P1039" s="939"/>
      <c r="Q1039" s="940"/>
      <c r="R1039" s="941"/>
      <c r="S1039" s="940"/>
      <c r="T1039" s="942"/>
    </row>
    <row r="1040" spans="1:41" s="933" customFormat="1" ht="13.2">
      <c r="A1040"/>
      <c r="D1040" s="978" t="s">
        <v>972</v>
      </c>
      <c r="E1040" s="935"/>
      <c r="G1040" s="936"/>
      <c r="H1040" s="937"/>
      <c r="O1040" s="938"/>
      <c r="P1040" s="939"/>
      <c r="Q1040" s="940"/>
      <c r="R1040" s="941"/>
      <c r="S1040" s="940"/>
      <c r="T1040" s="942"/>
    </row>
    <row r="1041" spans="1:256" s="933" customFormat="1" ht="11.4">
      <c r="A1041" s="957">
        <f>5 *(3)</f>
        <v>15</v>
      </c>
      <c r="B1041" s="933" t="s">
        <v>311</v>
      </c>
      <c r="D1041" s="933" t="s">
        <v>851</v>
      </c>
      <c r="G1041" s="936" t="s">
        <v>852</v>
      </c>
      <c r="H1041" s="937">
        <v>690</v>
      </c>
      <c r="I1041" s="933" t="s">
        <v>780</v>
      </c>
      <c r="J1041" s="933" t="s">
        <v>781</v>
      </c>
      <c r="K1041" s="940" t="s">
        <v>7</v>
      </c>
      <c r="O1041" s="938">
        <v>1</v>
      </c>
      <c r="P1041" s="939">
        <v>34669</v>
      </c>
      <c r="Q1041" s="982">
        <v>3.66</v>
      </c>
      <c r="R1041" s="941">
        <f>$A1041*Q1041</f>
        <v>54.900000000000006</v>
      </c>
      <c r="S1041" s="940">
        <v>0.2</v>
      </c>
      <c r="T1041" s="942">
        <f t="shared" ref="T1041" si="53">$A1041*S1041*$T$1</f>
        <v>3</v>
      </c>
    </row>
    <row r="1042" spans="1:256" s="933" customFormat="1" ht="13.2">
      <c r="A1042">
        <f>5 *(3)</f>
        <v>15</v>
      </c>
      <c r="B1042" s="933" t="s">
        <v>311</v>
      </c>
      <c r="D1042" s="933" t="s">
        <v>792</v>
      </c>
      <c r="G1042" s="936" t="s">
        <v>793</v>
      </c>
      <c r="H1042" s="937">
        <v>617</v>
      </c>
      <c r="I1042" s="933" t="s">
        <v>729</v>
      </c>
      <c r="O1042" s="938">
        <v>2</v>
      </c>
      <c r="P1042" s="939">
        <v>40767</v>
      </c>
      <c r="Q1042" s="940">
        <v>1.5</v>
      </c>
      <c r="R1042" s="941">
        <f>$A1042*Q1042</f>
        <v>22.5</v>
      </c>
      <c r="S1042" s="940">
        <v>7.0000000000000007E-2</v>
      </c>
      <c r="T1042" s="942">
        <f>$A1042*S1042*$T$1</f>
        <v>1.05</v>
      </c>
    </row>
    <row r="1043" spans="1:256" s="956" customFormat="1" ht="11.4">
      <c r="A1043" s="957">
        <f>5 *(2)</f>
        <v>10</v>
      </c>
      <c r="B1043" s="933" t="s">
        <v>141</v>
      </c>
      <c r="C1043" s="933"/>
      <c r="D1043" s="933" t="s">
        <v>857</v>
      </c>
      <c r="E1043" s="933"/>
      <c r="F1043" s="933"/>
      <c r="G1043" s="936" t="s">
        <v>858</v>
      </c>
      <c r="H1043" s="937">
        <v>620</v>
      </c>
      <c r="I1043" s="933" t="s">
        <v>729</v>
      </c>
      <c r="J1043" s="933"/>
      <c r="K1043" s="940" t="s">
        <v>7</v>
      </c>
      <c r="L1043" s="933"/>
      <c r="M1043" s="933"/>
      <c r="N1043" s="933"/>
      <c r="O1043" s="938">
        <v>2</v>
      </c>
      <c r="P1043" s="939">
        <v>38148</v>
      </c>
      <c r="Q1043" s="940">
        <f>1.1*1.5</f>
        <v>1.6500000000000001</v>
      </c>
      <c r="R1043" s="941">
        <f t="shared" ref="R1043:R1045" si="54">$A1043*Q1043</f>
        <v>16.5</v>
      </c>
      <c r="S1043" s="940">
        <v>0.1</v>
      </c>
      <c r="T1043" s="942">
        <f t="shared" ref="T1043:T1046" si="55">$A1043*S1043*$T$1</f>
        <v>1</v>
      </c>
      <c r="U1043" s="933"/>
      <c r="V1043" s="933"/>
      <c r="W1043" s="933"/>
      <c r="X1043" s="933"/>
      <c r="Y1043" s="933"/>
      <c r="Z1043" s="933"/>
      <c r="AA1043" s="933"/>
      <c r="AB1043" s="933"/>
      <c r="AC1043" s="519"/>
      <c r="AD1043" s="519"/>
      <c r="AE1043" s="519"/>
      <c r="AF1043" s="519"/>
      <c r="AG1043" s="933"/>
      <c r="AH1043" s="933"/>
      <c r="AI1043" s="933"/>
      <c r="AJ1043" s="933"/>
      <c r="AK1043" s="933"/>
      <c r="AL1043" s="933"/>
      <c r="AM1043" s="933"/>
      <c r="AN1043" s="933"/>
      <c r="AO1043" s="933"/>
      <c r="AP1043" s="933"/>
      <c r="AQ1043" s="933"/>
      <c r="AR1043" s="933"/>
      <c r="AS1043" s="933"/>
      <c r="AT1043" s="933"/>
      <c r="AU1043" s="933"/>
      <c r="AV1043" s="933"/>
      <c r="AW1043" s="933"/>
      <c r="AX1043" s="933"/>
      <c r="AY1043" s="933"/>
      <c r="AZ1043" s="933"/>
      <c r="BA1043" s="933"/>
      <c r="BB1043" s="933"/>
      <c r="BC1043" s="933"/>
      <c r="BD1043" s="933"/>
      <c r="BE1043" s="933"/>
      <c r="BF1043" s="933"/>
      <c r="BG1043" s="933"/>
      <c r="BH1043" s="933"/>
      <c r="BI1043" s="933"/>
      <c r="BJ1043" s="933"/>
      <c r="BK1043" s="933"/>
      <c r="BL1043" s="933"/>
      <c r="BM1043" s="933"/>
      <c r="BN1043" s="933"/>
      <c r="BO1043" s="933"/>
      <c r="BP1043" s="933"/>
      <c r="BQ1043" s="933"/>
      <c r="BR1043" s="933"/>
      <c r="BS1043" s="933"/>
      <c r="BT1043" s="933"/>
      <c r="BU1043" s="933"/>
      <c r="BV1043" s="933"/>
      <c r="BW1043" s="933"/>
      <c r="BX1043" s="933"/>
      <c r="BY1043" s="933"/>
      <c r="BZ1043" s="933"/>
      <c r="CA1043" s="933"/>
      <c r="CB1043" s="933"/>
      <c r="CC1043" s="933"/>
      <c r="CD1043" s="933"/>
      <c r="CE1043" s="933"/>
      <c r="CF1043" s="933"/>
      <c r="CG1043" s="933"/>
      <c r="CH1043" s="933"/>
      <c r="CI1043" s="933"/>
      <c r="CJ1043" s="933"/>
      <c r="CK1043" s="933"/>
      <c r="CL1043" s="933"/>
      <c r="CM1043" s="933"/>
      <c r="CN1043" s="933"/>
      <c r="CO1043" s="933"/>
      <c r="CP1043" s="933"/>
      <c r="CQ1043" s="933"/>
      <c r="CR1043" s="933"/>
      <c r="CS1043" s="933"/>
      <c r="CT1043" s="933"/>
      <c r="CU1043" s="933"/>
      <c r="CV1043" s="933"/>
      <c r="CW1043" s="933"/>
      <c r="CX1043" s="933"/>
      <c r="CY1043" s="933"/>
      <c r="CZ1043" s="933"/>
      <c r="DA1043" s="933"/>
      <c r="DB1043" s="933"/>
      <c r="DC1043" s="933"/>
      <c r="DD1043" s="933"/>
      <c r="DE1043" s="933"/>
      <c r="DF1043" s="933"/>
      <c r="DG1043" s="933"/>
      <c r="DH1043" s="933"/>
      <c r="DI1043" s="933"/>
      <c r="DJ1043" s="933"/>
      <c r="DK1043" s="933"/>
      <c r="DL1043" s="933"/>
      <c r="DM1043" s="933"/>
      <c r="DN1043" s="933"/>
      <c r="DO1043" s="933"/>
      <c r="DP1043" s="933"/>
      <c r="DQ1043" s="933"/>
      <c r="DR1043" s="933"/>
      <c r="DS1043" s="933"/>
      <c r="DT1043" s="933"/>
      <c r="DU1043" s="933"/>
      <c r="DV1043" s="933"/>
      <c r="DW1043" s="933"/>
      <c r="DX1043" s="933"/>
      <c r="DY1043" s="933"/>
      <c r="DZ1043" s="933"/>
      <c r="EA1043" s="933"/>
      <c r="EB1043" s="933"/>
      <c r="EC1043" s="933"/>
      <c r="ED1043" s="933"/>
      <c r="EE1043" s="933"/>
      <c r="EF1043" s="933"/>
      <c r="EG1043" s="933"/>
      <c r="EH1043" s="933"/>
      <c r="EI1043" s="933"/>
      <c r="EJ1043" s="933"/>
      <c r="EK1043" s="933"/>
      <c r="EL1043" s="933"/>
      <c r="EM1043" s="933"/>
      <c r="EN1043" s="933"/>
      <c r="EO1043" s="933"/>
      <c r="EP1043" s="933"/>
      <c r="EQ1043" s="933"/>
      <c r="ER1043" s="933"/>
      <c r="ES1043" s="933"/>
      <c r="ET1043" s="933"/>
      <c r="EU1043" s="933"/>
      <c r="EV1043" s="933"/>
      <c r="EW1043" s="933"/>
      <c r="EX1043" s="933"/>
      <c r="EY1043" s="933"/>
      <c r="EZ1043" s="933"/>
      <c r="FA1043" s="933"/>
      <c r="FB1043" s="933"/>
      <c r="FC1043" s="933"/>
      <c r="FD1043" s="933"/>
      <c r="FE1043" s="933"/>
      <c r="FF1043" s="933"/>
      <c r="FG1043" s="933"/>
      <c r="FH1043" s="933"/>
      <c r="FI1043" s="933"/>
      <c r="FJ1043" s="933"/>
      <c r="FK1043" s="933"/>
      <c r="FL1043" s="933"/>
      <c r="FM1043" s="933"/>
      <c r="FN1043" s="933"/>
      <c r="FO1043" s="933"/>
      <c r="FP1043" s="933"/>
      <c r="FQ1043" s="933"/>
      <c r="FR1043" s="933"/>
      <c r="FS1043" s="933"/>
      <c r="FT1043" s="933"/>
      <c r="FU1043" s="933"/>
      <c r="FV1043" s="933"/>
      <c r="FW1043" s="933"/>
      <c r="FX1043" s="933"/>
      <c r="FY1043" s="933"/>
      <c r="FZ1043" s="933"/>
      <c r="GA1043" s="933"/>
      <c r="GB1043" s="933"/>
      <c r="GC1043" s="933"/>
      <c r="GD1043" s="933"/>
      <c r="GE1043" s="933"/>
      <c r="GF1043" s="933"/>
      <c r="GG1043" s="933"/>
      <c r="GH1043" s="933"/>
      <c r="GI1043" s="933"/>
      <c r="GJ1043" s="933"/>
      <c r="GK1043" s="933"/>
      <c r="GL1043" s="933"/>
      <c r="GM1043" s="933"/>
      <c r="GN1043" s="933"/>
      <c r="GO1043" s="933"/>
      <c r="GP1043" s="933"/>
      <c r="GQ1043" s="933"/>
      <c r="GR1043" s="933"/>
      <c r="GS1043" s="933"/>
      <c r="GT1043" s="933"/>
      <c r="GU1043" s="933"/>
      <c r="GV1043" s="933"/>
      <c r="GW1043" s="933"/>
      <c r="GX1043" s="933"/>
      <c r="GY1043" s="933"/>
      <c r="GZ1043" s="933"/>
      <c r="HA1043" s="933"/>
      <c r="HB1043" s="933"/>
      <c r="HC1043" s="933"/>
      <c r="HD1043" s="933"/>
      <c r="HE1043" s="933"/>
      <c r="HF1043" s="933"/>
      <c r="HG1043" s="933"/>
      <c r="HH1043" s="933"/>
      <c r="HI1043" s="933"/>
      <c r="HJ1043" s="933"/>
      <c r="HK1043" s="933"/>
      <c r="HL1043" s="933"/>
      <c r="HM1043" s="933"/>
      <c r="HN1043" s="933"/>
      <c r="HO1043" s="933"/>
      <c r="HP1043" s="933"/>
      <c r="HQ1043" s="933"/>
      <c r="HR1043" s="933"/>
      <c r="HS1043" s="933"/>
      <c r="HT1043" s="933"/>
      <c r="HU1043" s="933"/>
      <c r="HV1043" s="933"/>
      <c r="HW1043" s="933"/>
      <c r="HX1043" s="933"/>
      <c r="HY1043" s="933"/>
      <c r="HZ1043" s="933"/>
      <c r="IA1043" s="933"/>
      <c r="IB1043" s="933"/>
      <c r="IC1043" s="933"/>
      <c r="ID1043" s="933"/>
      <c r="IE1043" s="933"/>
      <c r="IF1043" s="933"/>
      <c r="IG1043" s="933"/>
      <c r="IH1043" s="933"/>
      <c r="II1043" s="933"/>
      <c r="IJ1043" s="933"/>
      <c r="IK1043" s="933"/>
      <c r="IL1043" s="933"/>
      <c r="IM1043" s="933"/>
      <c r="IN1043" s="933"/>
      <c r="IO1043" s="933"/>
      <c r="IP1043" s="933"/>
      <c r="IQ1043" s="933"/>
      <c r="IR1043" s="933"/>
      <c r="IS1043" s="933"/>
      <c r="IT1043" s="933"/>
      <c r="IU1043" s="933"/>
      <c r="IV1043" s="933"/>
    </row>
    <row r="1044" spans="1:256" s="956" customFormat="1" ht="11.4">
      <c r="A1044" s="957">
        <f>5 *(2)</f>
        <v>10</v>
      </c>
      <c r="B1044" s="933" t="s">
        <v>141</v>
      </c>
      <c r="C1044" s="933"/>
      <c r="D1044" s="933" t="s">
        <v>859</v>
      </c>
      <c r="E1044" s="933"/>
      <c r="F1044" s="933"/>
      <c r="G1044" s="936" t="s">
        <v>860</v>
      </c>
      <c r="H1044" s="937">
        <v>620</v>
      </c>
      <c r="I1044" s="933" t="s">
        <v>729</v>
      </c>
      <c r="J1044" s="933"/>
      <c r="K1044" s="940" t="s">
        <v>7</v>
      </c>
      <c r="L1044" s="933"/>
      <c r="M1044" s="933"/>
      <c r="N1044" s="933"/>
      <c r="O1044" s="938">
        <v>2</v>
      </c>
      <c r="P1044" s="939"/>
      <c r="Q1044" s="940">
        <v>0.2</v>
      </c>
      <c r="R1044" s="941">
        <f t="shared" si="54"/>
        <v>2</v>
      </c>
      <c r="S1044" s="940">
        <v>0.03</v>
      </c>
      <c r="T1044" s="942">
        <f t="shared" si="55"/>
        <v>0.3</v>
      </c>
      <c r="U1044" s="933"/>
      <c r="V1044" s="933"/>
      <c r="W1044" s="933"/>
      <c r="X1044" s="933"/>
      <c r="Y1044" s="933"/>
      <c r="Z1044" s="933"/>
      <c r="AA1044" s="933"/>
      <c r="AB1044" s="933"/>
      <c r="AC1044" s="933"/>
      <c r="AD1044" s="933"/>
      <c r="AE1044" s="933"/>
      <c r="AF1044" s="933"/>
      <c r="AG1044" s="933"/>
      <c r="AH1044" s="933"/>
      <c r="AI1044" s="933"/>
      <c r="AJ1044" s="933"/>
      <c r="AK1044" s="933"/>
      <c r="AL1044" s="933"/>
      <c r="AM1044" s="933"/>
      <c r="AN1044" s="933"/>
      <c r="AO1044" s="933"/>
      <c r="AP1044" s="933"/>
      <c r="AQ1044" s="933"/>
      <c r="AR1044" s="933"/>
      <c r="AS1044" s="933"/>
      <c r="AT1044" s="933"/>
      <c r="AU1044" s="933"/>
      <c r="AV1044" s="933"/>
      <c r="AW1044" s="933"/>
      <c r="AX1044" s="933"/>
      <c r="AY1044" s="933"/>
      <c r="AZ1044" s="933"/>
      <c r="BA1044" s="933"/>
      <c r="BB1044" s="933"/>
      <c r="BC1044" s="933"/>
      <c r="BD1044" s="933"/>
      <c r="BE1044" s="933"/>
      <c r="BF1044" s="933"/>
      <c r="BG1044" s="933"/>
      <c r="BH1044" s="933"/>
      <c r="BI1044" s="933"/>
      <c r="BJ1044" s="933"/>
      <c r="BK1044" s="933"/>
      <c r="BL1044" s="933"/>
      <c r="BM1044" s="933"/>
      <c r="BN1044" s="933"/>
      <c r="BO1044" s="933"/>
      <c r="BP1044" s="933"/>
      <c r="BQ1044" s="933"/>
      <c r="BR1044" s="933"/>
      <c r="BS1044" s="933"/>
      <c r="BT1044" s="933"/>
      <c r="BU1044" s="933"/>
      <c r="BV1044" s="933"/>
      <c r="BW1044" s="933"/>
      <c r="BX1044" s="933"/>
      <c r="BY1044" s="933"/>
      <c r="BZ1044" s="933"/>
      <c r="CA1044" s="933"/>
      <c r="CB1044" s="933"/>
      <c r="CC1044" s="933"/>
      <c r="CD1044" s="933"/>
      <c r="CE1044" s="933"/>
      <c r="CF1044" s="933"/>
      <c r="CG1044" s="933"/>
      <c r="CH1044" s="933"/>
      <c r="CI1044" s="933"/>
      <c r="CJ1044" s="933"/>
      <c r="CK1044" s="933"/>
      <c r="CL1044" s="933"/>
      <c r="CM1044" s="933"/>
      <c r="CN1044" s="933"/>
      <c r="CO1044" s="933"/>
      <c r="CP1044" s="933"/>
      <c r="CQ1044" s="933"/>
      <c r="CR1044" s="933"/>
      <c r="CS1044" s="933"/>
      <c r="CT1044" s="933"/>
      <c r="CU1044" s="933"/>
      <c r="CV1044" s="933"/>
      <c r="CW1044" s="933"/>
      <c r="CX1044" s="933"/>
      <c r="CY1044" s="933"/>
      <c r="CZ1044" s="933"/>
      <c r="DA1044" s="933"/>
      <c r="DB1044" s="933"/>
      <c r="DC1044" s="933"/>
      <c r="DD1044" s="933"/>
      <c r="DE1044" s="933"/>
      <c r="DF1044" s="933"/>
      <c r="DG1044" s="933"/>
      <c r="DH1044" s="933"/>
      <c r="DI1044" s="933"/>
      <c r="DJ1044" s="933"/>
      <c r="DK1044" s="933"/>
      <c r="DL1044" s="933"/>
      <c r="DM1044" s="933"/>
      <c r="DN1044" s="933"/>
      <c r="DO1044" s="933"/>
      <c r="DP1044" s="933"/>
      <c r="DQ1044" s="933"/>
      <c r="DR1044" s="933"/>
      <c r="DS1044" s="933"/>
      <c r="DT1044" s="933"/>
      <c r="DU1044" s="933"/>
      <c r="DV1044" s="933"/>
      <c r="DW1044" s="933"/>
      <c r="DX1044" s="933"/>
      <c r="DY1044" s="933"/>
      <c r="DZ1044" s="933"/>
      <c r="EA1044" s="933"/>
      <c r="EB1044" s="933"/>
      <c r="EC1044" s="933"/>
      <c r="ED1044" s="933"/>
      <c r="EE1044" s="933"/>
      <c r="EF1044" s="933"/>
      <c r="EG1044" s="933"/>
      <c r="EH1044" s="933"/>
      <c r="EI1044" s="933"/>
      <c r="EJ1044" s="933"/>
      <c r="EK1044" s="933"/>
      <c r="EL1044" s="933"/>
      <c r="EM1044" s="933"/>
      <c r="EN1044" s="933"/>
      <c r="EO1044" s="933"/>
      <c r="EP1044" s="933"/>
      <c r="EQ1044" s="933"/>
      <c r="ER1044" s="933"/>
      <c r="ES1044" s="933"/>
      <c r="ET1044" s="933"/>
      <c r="EU1044" s="933"/>
      <c r="EV1044" s="933"/>
      <c r="EW1044" s="933"/>
      <c r="EX1044" s="933"/>
      <c r="EY1044" s="933"/>
      <c r="EZ1044" s="933"/>
      <c r="FA1044" s="933"/>
      <c r="FB1044" s="933"/>
      <c r="FC1044" s="933"/>
      <c r="FD1044" s="933"/>
      <c r="FE1044" s="933"/>
      <c r="FF1044" s="933"/>
      <c r="FG1044" s="933"/>
      <c r="FH1044" s="933"/>
      <c r="FI1044" s="933"/>
      <c r="FJ1044" s="933"/>
      <c r="FK1044" s="933"/>
      <c r="FL1044" s="933"/>
      <c r="FM1044" s="933"/>
      <c r="FN1044" s="933"/>
      <c r="FO1044" s="933"/>
      <c r="FP1044" s="933"/>
      <c r="FQ1044" s="933"/>
      <c r="FR1044" s="933"/>
      <c r="FS1044" s="933"/>
      <c r="FT1044" s="933"/>
      <c r="FU1044" s="933"/>
      <c r="FV1044" s="933"/>
      <c r="FW1044" s="933"/>
      <c r="FX1044" s="933"/>
      <c r="FY1044" s="933"/>
      <c r="FZ1044" s="933"/>
      <c r="GA1044" s="933"/>
      <c r="GB1044" s="933"/>
      <c r="GC1044" s="933"/>
      <c r="GD1044" s="933"/>
      <c r="GE1044" s="933"/>
      <c r="GF1044" s="933"/>
      <c r="GG1044" s="933"/>
      <c r="GH1044" s="933"/>
      <c r="GI1044" s="933"/>
      <c r="GJ1044" s="933"/>
      <c r="GK1044" s="933"/>
      <c r="GL1044" s="933"/>
      <c r="GM1044" s="933"/>
      <c r="GN1044" s="933"/>
      <c r="GO1044" s="933"/>
      <c r="GP1044" s="933"/>
      <c r="GQ1044" s="933"/>
      <c r="GR1044" s="933"/>
      <c r="GS1044" s="933"/>
      <c r="GT1044" s="933"/>
      <c r="GU1044" s="933"/>
      <c r="GV1044" s="933"/>
      <c r="GW1044" s="933"/>
      <c r="GX1044" s="933"/>
      <c r="GY1044" s="933"/>
      <c r="GZ1044" s="933"/>
      <c r="HA1044" s="933"/>
      <c r="HB1044" s="933"/>
      <c r="HC1044" s="933"/>
      <c r="HD1044" s="933"/>
      <c r="HE1044" s="933"/>
      <c r="HF1044" s="933"/>
      <c r="HG1044" s="933"/>
      <c r="HH1044" s="933"/>
      <c r="HI1044" s="933"/>
      <c r="HJ1044" s="933"/>
      <c r="HK1044" s="933"/>
      <c r="HL1044" s="933"/>
      <c r="HM1044" s="933"/>
      <c r="HN1044" s="933"/>
      <c r="HO1044" s="933"/>
      <c r="HP1044" s="933"/>
      <c r="HQ1044" s="933"/>
      <c r="HR1044" s="933"/>
      <c r="HS1044" s="933"/>
      <c r="HT1044" s="933"/>
      <c r="HU1044" s="933"/>
      <c r="HV1044" s="933"/>
      <c r="HW1044" s="933"/>
      <c r="HX1044" s="933"/>
      <c r="HY1044" s="933"/>
      <c r="HZ1044" s="933"/>
      <c r="IA1044" s="933"/>
      <c r="IB1044" s="933"/>
      <c r="IC1044" s="933"/>
      <c r="ID1044" s="933"/>
      <c r="IE1044" s="933"/>
      <c r="IF1044" s="933"/>
      <c r="IG1044" s="933"/>
      <c r="IH1044" s="933"/>
      <c r="II1044" s="933"/>
      <c r="IJ1044" s="933"/>
      <c r="IK1044" s="933"/>
      <c r="IL1044" s="933"/>
      <c r="IM1044" s="933"/>
      <c r="IN1044" s="933"/>
      <c r="IO1044" s="933"/>
      <c r="IP1044" s="933"/>
      <c r="IQ1044" s="933"/>
      <c r="IR1044" s="933"/>
      <c r="IS1044" s="933"/>
      <c r="IT1044" s="933"/>
      <c r="IU1044" s="933"/>
      <c r="IV1044" s="933"/>
    </row>
    <row r="1045" spans="1:256" s="956" customFormat="1" ht="11.4">
      <c r="A1045" s="957">
        <f>4 *(6)</f>
        <v>24</v>
      </c>
      <c r="B1045" s="933" t="s">
        <v>141</v>
      </c>
      <c r="C1045" s="933"/>
      <c r="D1045" s="933" t="s">
        <v>861</v>
      </c>
      <c r="E1045" s="933"/>
      <c r="F1045" s="933"/>
      <c r="G1045" s="936" t="s">
        <v>862</v>
      </c>
      <c r="H1045" s="937">
        <v>620</v>
      </c>
      <c r="I1045" s="933" t="s">
        <v>741</v>
      </c>
      <c r="J1045" s="933"/>
      <c r="K1045" s="940" t="s">
        <v>7</v>
      </c>
      <c r="L1045" s="933"/>
      <c r="M1045" s="933"/>
      <c r="N1045" s="933"/>
      <c r="O1045" s="938">
        <v>2</v>
      </c>
      <c r="P1045" s="939">
        <v>34669</v>
      </c>
      <c r="Q1045" s="940">
        <v>0.05</v>
      </c>
      <c r="R1045" s="941">
        <f t="shared" si="54"/>
        <v>1.2000000000000002</v>
      </c>
      <c r="S1045" s="940">
        <v>0.01</v>
      </c>
      <c r="T1045" s="942">
        <f t="shared" si="55"/>
        <v>0.24</v>
      </c>
      <c r="U1045" s="933"/>
      <c r="V1045" s="933"/>
      <c r="W1045" s="933"/>
      <c r="X1045" s="933"/>
      <c r="Y1045" s="933"/>
      <c r="Z1045" s="933"/>
      <c r="AA1045" s="933"/>
      <c r="AB1045" s="933"/>
      <c r="AC1045" s="933"/>
      <c r="AD1045" s="933"/>
      <c r="AE1045" s="933"/>
      <c r="AF1045" s="933"/>
      <c r="AG1045" s="933"/>
      <c r="AH1045" s="933"/>
      <c r="AI1045" s="933"/>
      <c r="AJ1045" s="933"/>
      <c r="AK1045" s="933"/>
      <c r="AL1045" s="933"/>
      <c r="AM1045" s="933"/>
      <c r="AN1045" s="933"/>
      <c r="AO1045" s="933"/>
      <c r="AP1045" s="933"/>
      <c r="AQ1045" s="933"/>
      <c r="AR1045" s="933"/>
      <c r="AS1045" s="933"/>
      <c r="AT1045" s="933"/>
      <c r="AU1045" s="933"/>
      <c r="AV1045" s="933"/>
      <c r="AW1045" s="933"/>
      <c r="AX1045" s="933"/>
      <c r="AY1045" s="933"/>
      <c r="AZ1045" s="933"/>
      <c r="BA1045" s="933"/>
      <c r="BB1045" s="933"/>
      <c r="BC1045" s="933"/>
      <c r="BD1045" s="933"/>
      <c r="BE1045" s="933"/>
      <c r="BF1045" s="933"/>
      <c r="BG1045" s="933"/>
      <c r="BH1045" s="933"/>
      <c r="BI1045" s="933"/>
      <c r="BJ1045" s="933"/>
      <c r="BK1045" s="933"/>
      <c r="BL1045" s="933"/>
      <c r="BM1045" s="933"/>
      <c r="BN1045" s="933"/>
      <c r="BO1045" s="933"/>
      <c r="BP1045" s="933"/>
      <c r="BQ1045" s="933"/>
      <c r="BR1045" s="933"/>
      <c r="BS1045" s="933"/>
      <c r="BT1045" s="933"/>
      <c r="BU1045" s="933"/>
      <c r="BV1045" s="933"/>
      <c r="BW1045" s="933"/>
      <c r="BX1045" s="933"/>
      <c r="BY1045" s="933"/>
      <c r="BZ1045" s="933"/>
      <c r="CA1045" s="933"/>
      <c r="CB1045" s="933"/>
      <c r="CC1045" s="933"/>
      <c r="CD1045" s="933"/>
      <c r="CE1045" s="933"/>
      <c r="CF1045" s="933"/>
      <c r="CG1045" s="933"/>
      <c r="CH1045" s="933"/>
      <c r="CI1045" s="933"/>
      <c r="CJ1045" s="933"/>
      <c r="CK1045" s="933"/>
      <c r="CL1045" s="933"/>
      <c r="CM1045" s="933"/>
      <c r="CN1045" s="933"/>
      <c r="CO1045" s="933"/>
      <c r="CP1045" s="933"/>
      <c r="CQ1045" s="933"/>
      <c r="CR1045" s="933"/>
      <c r="CS1045" s="933"/>
      <c r="CT1045" s="933"/>
      <c r="CU1045" s="933"/>
      <c r="CV1045" s="933"/>
      <c r="CW1045" s="933"/>
      <c r="CX1045" s="933"/>
      <c r="CY1045" s="933"/>
      <c r="CZ1045" s="933"/>
      <c r="DA1045" s="933"/>
      <c r="DB1045" s="933"/>
      <c r="DC1045" s="933"/>
      <c r="DD1045" s="933"/>
      <c r="DE1045" s="933"/>
      <c r="DF1045" s="933"/>
      <c r="DG1045" s="933"/>
      <c r="DH1045" s="933"/>
      <c r="DI1045" s="933"/>
      <c r="DJ1045" s="933"/>
      <c r="DK1045" s="933"/>
      <c r="DL1045" s="933"/>
      <c r="DM1045" s="933"/>
      <c r="DN1045" s="933"/>
      <c r="DO1045" s="933"/>
      <c r="DP1045" s="933"/>
      <c r="DQ1045" s="933"/>
      <c r="DR1045" s="933"/>
      <c r="DS1045" s="933"/>
      <c r="DT1045" s="933"/>
      <c r="DU1045" s="933"/>
      <c r="DV1045" s="933"/>
      <c r="DW1045" s="933"/>
      <c r="DX1045" s="933"/>
      <c r="DY1045" s="933"/>
      <c r="DZ1045" s="933"/>
      <c r="EA1045" s="933"/>
      <c r="EB1045" s="933"/>
      <c r="EC1045" s="933"/>
      <c r="ED1045" s="933"/>
      <c r="EE1045" s="933"/>
      <c r="EF1045" s="933"/>
      <c r="EG1045" s="933"/>
      <c r="EH1045" s="933"/>
      <c r="EI1045" s="933"/>
      <c r="EJ1045" s="933"/>
      <c r="EK1045" s="933"/>
      <c r="EL1045" s="933"/>
      <c r="EM1045" s="933"/>
      <c r="EN1045" s="933"/>
      <c r="EO1045" s="933"/>
      <c r="EP1045" s="933"/>
      <c r="EQ1045" s="933"/>
      <c r="ER1045" s="933"/>
      <c r="ES1045" s="933"/>
      <c r="ET1045" s="933"/>
      <c r="EU1045" s="933"/>
      <c r="EV1045" s="933"/>
      <c r="EW1045" s="933"/>
      <c r="EX1045" s="933"/>
      <c r="EY1045" s="933"/>
      <c r="EZ1045" s="933"/>
      <c r="FA1045" s="933"/>
      <c r="FB1045" s="933"/>
      <c r="FC1045" s="933"/>
      <c r="FD1045" s="933"/>
      <c r="FE1045" s="933"/>
      <c r="FF1045" s="933"/>
      <c r="FG1045" s="933"/>
      <c r="FH1045" s="933"/>
      <c r="FI1045" s="933"/>
      <c r="FJ1045" s="933"/>
      <c r="FK1045" s="933"/>
      <c r="FL1045" s="933"/>
      <c r="FM1045" s="933"/>
      <c r="FN1045" s="933"/>
      <c r="FO1045" s="933"/>
      <c r="FP1045" s="933"/>
      <c r="FQ1045" s="933"/>
      <c r="FR1045" s="933"/>
      <c r="FS1045" s="933"/>
      <c r="FT1045" s="933"/>
      <c r="FU1045" s="933"/>
      <c r="FV1045" s="933"/>
      <c r="FW1045" s="933"/>
      <c r="FX1045" s="933"/>
      <c r="FY1045" s="933"/>
      <c r="FZ1045" s="933"/>
      <c r="GA1045" s="933"/>
      <c r="GB1045" s="933"/>
      <c r="GC1045" s="933"/>
      <c r="GD1045" s="933"/>
      <c r="GE1045" s="933"/>
      <c r="GF1045" s="933"/>
      <c r="GG1045" s="933"/>
      <c r="GH1045" s="933"/>
      <c r="GI1045" s="933"/>
      <c r="GJ1045" s="933"/>
      <c r="GK1045" s="933"/>
      <c r="GL1045" s="933"/>
      <c r="GM1045" s="933"/>
      <c r="GN1045" s="933"/>
      <c r="GO1045" s="933"/>
      <c r="GP1045" s="933"/>
      <c r="GQ1045" s="933"/>
      <c r="GR1045" s="933"/>
      <c r="GS1045" s="933"/>
      <c r="GT1045" s="933"/>
      <c r="GU1045" s="933"/>
      <c r="GV1045" s="933"/>
      <c r="GW1045" s="933"/>
      <c r="GX1045" s="933"/>
      <c r="GY1045" s="933"/>
      <c r="GZ1045" s="933"/>
      <c r="HA1045" s="933"/>
      <c r="HB1045" s="933"/>
      <c r="HC1045" s="933"/>
      <c r="HD1045" s="933"/>
      <c r="HE1045" s="933"/>
      <c r="HF1045" s="933"/>
      <c r="HG1045" s="933"/>
      <c r="HH1045" s="933"/>
      <c r="HI1045" s="933"/>
      <c r="HJ1045" s="933"/>
      <c r="HK1045" s="933"/>
      <c r="HL1045" s="933"/>
      <c r="HM1045" s="933"/>
      <c r="HN1045" s="933"/>
      <c r="HO1045" s="933"/>
      <c r="HP1045" s="933"/>
      <c r="HQ1045" s="933"/>
      <c r="HR1045" s="933"/>
      <c r="HS1045" s="933"/>
      <c r="HT1045" s="933"/>
      <c r="HU1045" s="933"/>
      <c r="HV1045" s="933"/>
      <c r="HW1045" s="933"/>
      <c r="HX1045" s="933"/>
      <c r="HY1045" s="933"/>
      <c r="HZ1045" s="933"/>
      <c r="IA1045" s="933"/>
      <c r="IB1045" s="933"/>
      <c r="IC1045" s="933"/>
      <c r="ID1045" s="933"/>
      <c r="IE1045" s="933"/>
      <c r="IF1045" s="933"/>
      <c r="IG1045" s="933"/>
      <c r="IH1045" s="933"/>
      <c r="II1045" s="933"/>
      <c r="IJ1045" s="933"/>
      <c r="IK1045" s="933"/>
      <c r="IL1045" s="933"/>
      <c r="IM1045" s="933"/>
      <c r="IN1045" s="933"/>
      <c r="IO1045" s="933"/>
      <c r="IP1045" s="933"/>
      <c r="IQ1045" s="933"/>
      <c r="IR1045" s="933"/>
      <c r="IS1045" s="933"/>
      <c r="IT1045" s="933"/>
      <c r="IU1045" s="933"/>
      <c r="IV1045" s="933"/>
    </row>
    <row r="1046" spans="1:256" s="933" customFormat="1" ht="11.4">
      <c r="A1046" s="957">
        <f>5 *(1)</f>
        <v>5</v>
      </c>
      <c r="B1046" s="933" t="s">
        <v>141</v>
      </c>
      <c r="D1046" s="933" t="s">
        <v>776</v>
      </c>
      <c r="F1046" s="933" t="s">
        <v>901</v>
      </c>
      <c r="G1046" s="936" t="s">
        <v>777</v>
      </c>
      <c r="H1046" s="937">
        <v>900</v>
      </c>
      <c r="I1046" s="933" t="s">
        <v>778</v>
      </c>
      <c r="K1046" s="933" t="s">
        <v>7</v>
      </c>
      <c r="O1046" s="938">
        <v>1</v>
      </c>
      <c r="P1046" s="939"/>
      <c r="Q1046" s="983"/>
      <c r="R1046" s="941">
        <f>$A1046*Q1046</f>
        <v>0</v>
      </c>
      <c r="S1046" s="940">
        <v>0.5</v>
      </c>
      <c r="T1046" s="942">
        <f t="shared" si="55"/>
        <v>2.5</v>
      </c>
      <c r="U1046" s="933" t="s">
        <v>863</v>
      </c>
    </row>
    <row r="1047" spans="1:256" s="519" customFormat="1" ht="12">
      <c r="A1047" s="641"/>
      <c r="B1047" s="641"/>
      <c r="C1047" s="641"/>
      <c r="D1047" s="641"/>
      <c r="E1047" s="641"/>
      <c r="F1047" s="636"/>
      <c r="G1047" s="641"/>
      <c r="H1047" s="641"/>
      <c r="I1047" s="518"/>
      <c r="J1047" s="641"/>
      <c r="K1047" s="641"/>
      <c r="L1047" s="641"/>
      <c r="M1047" s="641"/>
      <c r="N1047" s="641"/>
      <c r="O1047" s="641"/>
      <c r="P1047" s="641"/>
      <c r="Q1047" s="518"/>
      <c r="R1047" s="642">
        <f t="shared" si="51"/>
        <v>0</v>
      </c>
      <c r="S1047" s="518"/>
      <c r="T1047" s="643">
        <f t="shared" si="52"/>
        <v>0</v>
      </c>
    </row>
    <row r="1048" spans="1:256" s="519" customFormat="1" ht="12.6" thickBot="1">
      <c r="A1048" s="644" t="s">
        <v>145</v>
      </c>
      <c r="B1048" s="645">
        <f>(R1047+T1047)</f>
        <v>0</v>
      </c>
      <c r="C1048" s="646"/>
      <c r="D1048" s="646"/>
      <c r="E1048" s="646"/>
      <c r="F1048" s="647"/>
      <c r="G1048" s="646" t="s">
        <v>146</v>
      </c>
      <c r="H1048" s="646"/>
      <c r="I1048" s="648"/>
      <c r="J1048" s="646"/>
      <c r="K1048" s="646" t="s">
        <v>3</v>
      </c>
      <c r="L1048" s="649" t="s">
        <v>143</v>
      </c>
      <c r="M1048" s="649"/>
      <c r="N1048" s="649"/>
      <c r="O1048" s="649"/>
      <c r="P1048" s="649"/>
      <c r="Q1048" s="650"/>
      <c r="R1048" s="651">
        <f>SUM(R1035:R1047)</f>
        <v>197.1</v>
      </c>
      <c r="S1048" s="646"/>
      <c r="T1048" s="651">
        <f>SUM(T1035:T1047)</f>
        <v>16.090000000000003</v>
      </c>
      <c r="U1048" s="529"/>
      <c r="V1048" s="529"/>
      <c r="W1048" s="529"/>
      <c r="X1048" s="529"/>
      <c r="Y1048" s="529"/>
      <c r="Z1048" s="529"/>
      <c r="AA1048" s="529"/>
      <c r="AB1048" s="529"/>
      <c r="AC1048" s="529"/>
      <c r="AD1048" s="529"/>
      <c r="AE1048" s="529"/>
      <c r="AF1048" s="529"/>
      <c r="AG1048" s="529"/>
      <c r="AH1048" s="529"/>
      <c r="AI1048" s="529"/>
      <c r="AJ1048" s="529"/>
      <c r="AK1048" s="529"/>
      <c r="AL1048" s="529"/>
      <c r="AM1048" s="529"/>
      <c r="AN1048" s="529"/>
      <c r="AO1048" s="529"/>
    </row>
    <row r="1049" spans="1:256" s="519" customFormat="1" thickTop="1">
      <c r="A1049" s="47"/>
      <c r="B1049" s="40"/>
      <c r="C1049" s="47"/>
      <c r="E1049" s="41" t="s">
        <v>138</v>
      </c>
      <c r="F1049" s="41" t="s">
        <v>139</v>
      </c>
      <c r="G1049" s="47"/>
      <c r="H1049" s="47"/>
      <c r="I1049" s="47"/>
      <c r="J1049" s="47"/>
      <c r="K1049" s="47" t="s">
        <v>140</v>
      </c>
      <c r="L1049" s="774"/>
      <c r="M1049" s="47"/>
      <c r="N1049" s="47"/>
      <c r="O1049" s="48"/>
      <c r="P1049" s="47"/>
      <c r="Q1049"/>
      <c r="R1049"/>
      <c r="S1049"/>
      <c r="T1049" s="40"/>
      <c r="AG1049" s="627" t="s">
        <v>277</v>
      </c>
      <c r="AH1049" s="627" t="s">
        <v>278</v>
      </c>
      <c r="AI1049" s="627" t="s">
        <v>279</v>
      </c>
      <c r="AJ1049" s="627" t="s">
        <v>280</v>
      </c>
      <c r="AK1049" s="627" t="s">
        <v>281</v>
      </c>
      <c r="AM1049" s="628" t="s">
        <v>290</v>
      </c>
      <c r="AN1049" s="629" t="s">
        <v>291</v>
      </c>
      <c r="AO1049" s="520" t="s">
        <v>287</v>
      </c>
    </row>
    <row r="1050" spans="1:256" s="519" customFormat="1" ht="13.2">
      <c r="A1050" s="630">
        <v>24</v>
      </c>
      <c r="B1050" s="521" t="s">
        <v>141</v>
      </c>
      <c r="C1050" s="631"/>
      <c r="D1050" s="632" t="s">
        <v>678</v>
      </c>
      <c r="E1050" s="775">
        <f>IF(AND($A1050=0,$A$1="DIF"),0, ROUND(ROUND(SUMIF($L1052:$L1063,"SUBI",$E1052:$E1063)/$A1050,2)*$C$12,2))</f>
        <v>694.83</v>
      </c>
      <c r="F1050" s="776">
        <f>ROUND($A1050*$E1050,2)</f>
        <v>16675.919999999998</v>
      </c>
      <c r="G1050" s="635" t="s">
        <v>142</v>
      </c>
      <c r="H1050" s="636"/>
      <c r="I1050" s="637"/>
      <c r="J1050" s="636"/>
      <c r="K1050" s="777"/>
      <c r="L1050" s="778" t="s">
        <v>143</v>
      </c>
      <c r="M1050" s="638"/>
      <c r="N1050" s="638"/>
      <c r="O1050" s="638"/>
      <c r="P1050" s="638"/>
      <c r="Q1050"/>
      <c r="R1050"/>
      <c r="S1050"/>
      <c r="T1050" s="779" t="str">
        <f>IF(AND($R1068=0,$T1068=0),"0.00","mu :" &amp; ROUND($F1050/$C$12/($R1068+$T1068*$D$9),2))</f>
        <v>mu :1</v>
      </c>
      <c r="W1050" s="522"/>
      <c r="AG1050" s="780">
        <f>IF(A1050=0,0,ROUND(SUM(AG1052:AG1068)/A1050,2))</f>
        <v>591.47</v>
      </c>
      <c r="AH1050" s="780">
        <f>$AG1050*$A1050</f>
        <v>14195.28</v>
      </c>
      <c r="AI1050" s="780">
        <f>$E1050-$AG1050</f>
        <v>103.36000000000001</v>
      </c>
      <c r="AJ1050" s="780">
        <f>$A1050*$AI1050</f>
        <v>2480.6400000000003</v>
      </c>
      <c r="AK1050" s="781">
        <f>ROUND(($AG1050+$AI1050)*$A1050,2)</f>
        <v>16675.919999999998</v>
      </c>
      <c r="AM1050" s="525">
        <f>ROUND(R1068,2)</f>
        <v>14195.24</v>
      </c>
      <c r="AN1050" s="526">
        <f>ROUND(T1068,2)</f>
        <v>90.34</v>
      </c>
      <c r="AO1050" s="527">
        <f>ROUND(AM1050+AN1050,2)*A1050</f>
        <v>342853.92</v>
      </c>
    </row>
    <row r="1051" spans="1:256" s="519" customFormat="1" ht="76.8" customHeight="1">
      <c r="A1051" s="782"/>
      <c r="B1051" s="783"/>
      <c r="C1051" s="631"/>
      <c r="D1051" s="1081" t="s">
        <v>500</v>
      </c>
      <c r="E1051" s="1081"/>
      <c r="F1051" s="1081"/>
      <c r="G1051" s="1081"/>
      <c r="H1051" s="1081"/>
      <c r="I1051" s="1081"/>
      <c r="J1051" s="1081"/>
      <c r="K1051" s="1081"/>
      <c r="L1051" s="1081"/>
      <c r="M1051" s="1081"/>
      <c r="N1051" s="1081"/>
      <c r="O1051" s="1081"/>
      <c r="P1051" s="1081"/>
      <c r="Q1051" s="1081"/>
      <c r="R1051" s="1081"/>
      <c r="S1051" s="1081"/>
      <c r="T1051" s="1081"/>
    </row>
    <row r="1052" spans="1:256" s="519" customFormat="1" ht="12">
      <c r="A1052" s="786"/>
      <c r="B1052" s="787"/>
      <c r="C1052" s="641"/>
      <c r="D1052" s="636"/>
      <c r="E1052" s="788">
        <f>F1050/$C$12-SUMIF($L1049:$L1068,"SUBI",$E1049:$E1068)</f>
        <v>-6.0000000001309672E-2</v>
      </c>
      <c r="F1052" s="789" t="s">
        <v>589</v>
      </c>
      <c r="G1052" s="790"/>
      <c r="H1052" s="790"/>
      <c r="I1052" s="791"/>
      <c r="J1052" s="790"/>
      <c r="K1052" s="790"/>
      <c r="L1052" s="792"/>
      <c r="M1052" s="793"/>
      <c r="N1052" s="793"/>
      <c r="O1052" s="793"/>
      <c r="P1052" s="793"/>
      <c r="Q1052" s="794"/>
      <c r="R1052" s="795"/>
      <c r="S1052" s="794"/>
      <c r="T1052" s="796"/>
    </row>
    <row r="1053" spans="1:256" s="519" customFormat="1" ht="12" customHeight="1">
      <c r="A1053" s="797"/>
      <c r="B1053" s="798"/>
      <c r="C1053" s="799"/>
      <c r="D1053" s="799" t="str">
        <f>$F$2</f>
        <v>Electrical</v>
      </c>
      <c r="E1053" s="799">
        <f>ROUND(($R1062*$S$2 + ($T1062*$T$2)), 2)</f>
        <v>16346.46</v>
      </c>
      <c r="F1053" s="800">
        <f>$E1053*$C$12</f>
        <v>16346.46</v>
      </c>
      <c r="G1053" s="528"/>
      <c r="H1053" s="801"/>
      <c r="I1053" s="528"/>
      <c r="J1053" s="48"/>
      <c r="K1053" s="802" t="s">
        <v>3</v>
      </c>
      <c r="L1053" s="803" t="s">
        <v>590</v>
      </c>
      <c r="M1053" s="528"/>
      <c r="N1053" s="528"/>
      <c r="O1053" s="48"/>
      <c r="P1053" s="528"/>
      <c r="Q1053" s="528"/>
      <c r="R1053"/>
      <c r="S1053"/>
      <c r="T1053"/>
    </row>
    <row r="1054" spans="1:256" s="933" customFormat="1" ht="13.2">
      <c r="A1054">
        <v>1450</v>
      </c>
      <c r="B1054" s="933" t="s">
        <v>311</v>
      </c>
      <c r="D1054" s="933" t="s">
        <v>921</v>
      </c>
      <c r="F1054" s="933" t="s">
        <v>922</v>
      </c>
      <c r="G1054" s="936" t="s">
        <v>923</v>
      </c>
      <c r="H1054" s="937">
        <v>616</v>
      </c>
      <c r="I1054" s="933" t="s">
        <v>749</v>
      </c>
      <c r="J1054" s="933" t="s">
        <v>750</v>
      </c>
      <c r="K1054" s="933" t="s">
        <v>924</v>
      </c>
      <c r="O1054" s="938">
        <v>2</v>
      </c>
      <c r="P1054" s="939"/>
      <c r="Q1054" s="940">
        <v>8.9499999999999993</v>
      </c>
      <c r="R1054" s="941">
        <f t="shared" ref="R1054:R1061" si="56">$A1054*Q1054</f>
        <v>12977.499999999998</v>
      </c>
      <c r="S1054" s="940">
        <v>0.03</v>
      </c>
      <c r="T1054" s="942">
        <f t="shared" ref="T1054:T1061" si="57">$A1054*S1054*$T$1</f>
        <v>43.5</v>
      </c>
    </row>
    <row r="1055" spans="1:256" s="933" customFormat="1" ht="13.2">
      <c r="A1055">
        <f>26*2</f>
        <v>52</v>
      </c>
      <c r="B1055" s="933" t="s">
        <v>141</v>
      </c>
      <c r="D1055" s="933" t="s">
        <v>931</v>
      </c>
      <c r="G1055" s="936" t="s">
        <v>932</v>
      </c>
      <c r="H1055" s="937">
        <v>620</v>
      </c>
      <c r="I1055" s="933" t="s">
        <v>736</v>
      </c>
      <c r="O1055" s="938">
        <v>2</v>
      </c>
      <c r="P1055" s="939">
        <v>35431</v>
      </c>
      <c r="Q1055" s="940">
        <v>4.12</v>
      </c>
      <c r="R1055" s="941">
        <f t="shared" si="56"/>
        <v>214.24</v>
      </c>
      <c r="S1055" s="940">
        <v>0.25</v>
      </c>
      <c r="T1055" s="942">
        <f t="shared" si="57"/>
        <v>13</v>
      </c>
    </row>
    <row r="1056" spans="1:256" s="933" customFormat="1" ht="13.2">
      <c r="A1056">
        <f>24*2</f>
        <v>48</v>
      </c>
      <c r="B1056" s="933" t="s">
        <v>311</v>
      </c>
      <c r="D1056" s="933" t="s">
        <v>737</v>
      </c>
      <c r="G1056" s="936" t="s">
        <v>738</v>
      </c>
      <c r="H1056" s="937">
        <v>620</v>
      </c>
      <c r="I1056" s="933" t="s">
        <v>729</v>
      </c>
      <c r="O1056" s="938">
        <v>2</v>
      </c>
      <c r="P1056" s="939">
        <v>38148</v>
      </c>
      <c r="Q1056" s="940">
        <v>0.25</v>
      </c>
      <c r="R1056" s="941">
        <f t="shared" si="56"/>
        <v>12</v>
      </c>
      <c r="S1056" s="940">
        <v>0.08</v>
      </c>
      <c r="T1056" s="942">
        <f t="shared" si="57"/>
        <v>3.84</v>
      </c>
    </row>
    <row r="1057" spans="1:41" s="933" customFormat="1" ht="13.2">
      <c r="A1057" s="100">
        <f>ROUND(1450*0.4,0)</f>
        <v>580</v>
      </c>
      <c r="B1057" s="933" t="s">
        <v>141</v>
      </c>
      <c r="D1057" s="933" t="s">
        <v>925</v>
      </c>
      <c r="G1057" s="936" t="s">
        <v>926</v>
      </c>
      <c r="H1057" s="937">
        <v>875</v>
      </c>
      <c r="I1057" s="933" t="s">
        <v>729</v>
      </c>
      <c r="K1057" s="933" t="s">
        <v>789</v>
      </c>
      <c r="O1057" s="938">
        <v>1</v>
      </c>
      <c r="P1057" s="939">
        <v>34669</v>
      </c>
      <c r="Q1057" s="940">
        <v>0.05</v>
      </c>
      <c r="R1057" s="941">
        <f t="shared" si="56"/>
        <v>29</v>
      </c>
      <c r="S1057" s="940"/>
      <c r="T1057" s="942">
        <f t="shared" si="57"/>
        <v>0</v>
      </c>
    </row>
    <row r="1058" spans="1:41" s="933" customFormat="1" ht="13.2">
      <c r="A1058">
        <v>1450</v>
      </c>
      <c r="B1058" s="933" t="s">
        <v>141</v>
      </c>
      <c r="D1058" s="933" t="s">
        <v>731</v>
      </c>
      <c r="F1058" s="933" t="s">
        <v>927</v>
      </c>
      <c r="G1058" s="936" t="s">
        <v>732</v>
      </c>
      <c r="H1058" s="937">
        <v>875</v>
      </c>
      <c r="I1058" s="933" t="s">
        <v>729</v>
      </c>
      <c r="K1058" s="933" t="s">
        <v>733</v>
      </c>
      <c r="O1058" s="938">
        <v>1</v>
      </c>
      <c r="P1058" s="939">
        <v>34669</v>
      </c>
      <c r="Q1058" s="940">
        <v>0.25</v>
      </c>
      <c r="R1058" s="941">
        <f t="shared" si="56"/>
        <v>362.5</v>
      </c>
      <c r="S1058" s="940"/>
      <c r="T1058" s="942">
        <f t="shared" si="57"/>
        <v>0</v>
      </c>
    </row>
    <row r="1059" spans="1:41" s="933" customFormat="1" ht="13.2">
      <c r="A1059">
        <v>24</v>
      </c>
      <c r="B1059" s="933" t="s">
        <v>141</v>
      </c>
      <c r="D1059" s="933" t="s">
        <v>928</v>
      </c>
      <c r="F1059" s="933" t="s">
        <v>930</v>
      </c>
      <c r="G1059" s="936" t="s">
        <v>929</v>
      </c>
      <c r="H1059" s="937">
        <v>570</v>
      </c>
      <c r="I1059" s="933" t="s">
        <v>729</v>
      </c>
      <c r="O1059" s="938">
        <v>2</v>
      </c>
      <c r="P1059" s="939">
        <v>34700</v>
      </c>
      <c r="Q1059" s="940">
        <v>25</v>
      </c>
      <c r="R1059" s="941">
        <f t="shared" si="56"/>
        <v>600</v>
      </c>
      <c r="S1059" s="940">
        <v>0.5</v>
      </c>
      <c r="T1059" s="942">
        <f t="shared" si="57"/>
        <v>12</v>
      </c>
    </row>
    <row r="1060" spans="1:41" s="933" customFormat="1" ht="13.2">
      <c r="A1060" s="100">
        <v>24</v>
      </c>
      <c r="B1060" s="933" t="s">
        <v>141</v>
      </c>
      <c r="D1060" s="933" t="s">
        <v>776</v>
      </c>
      <c r="G1060" s="936" t="s">
        <v>777</v>
      </c>
      <c r="H1060" s="937">
        <v>900</v>
      </c>
      <c r="I1060" s="933" t="s">
        <v>778</v>
      </c>
      <c r="O1060" s="938">
        <v>1</v>
      </c>
      <c r="P1060" s="939"/>
      <c r="Q1060" s="940"/>
      <c r="R1060" s="941">
        <f t="shared" si="56"/>
        <v>0</v>
      </c>
      <c r="S1060" s="940">
        <v>0.25</v>
      </c>
      <c r="T1060" s="942">
        <f t="shared" si="57"/>
        <v>6</v>
      </c>
    </row>
    <row r="1061" spans="1:41" s="519" customFormat="1" ht="13.95" customHeight="1">
      <c r="A1061" s="49"/>
      <c r="B1061" s="528"/>
      <c r="C1061" s="528"/>
      <c r="D1061" s="528"/>
      <c r="E1061" s="528"/>
      <c r="F1061" s="528"/>
      <c r="G1061" s="528"/>
      <c r="H1061" s="801"/>
      <c r="I1061" s="528"/>
      <c r="J1061" s="48"/>
      <c r="K1061" s="805"/>
      <c r="L1061" s="806"/>
      <c r="M1061" s="528"/>
      <c r="N1061" s="528"/>
      <c r="O1061" s="48"/>
      <c r="P1061" s="528"/>
      <c r="Q1061" s="528"/>
      <c r="R1061" s="807">
        <f t="shared" si="56"/>
        <v>0</v>
      </c>
      <c r="S1061" s="528"/>
      <c r="T1061" s="643">
        <f t="shared" si="57"/>
        <v>0</v>
      </c>
    </row>
    <row r="1062" spans="1:41" s="519" customFormat="1" ht="12">
      <c r="A1062" s="808" t="s">
        <v>145</v>
      </c>
      <c r="B1062" s="809">
        <f>(R1061+T1061)</f>
        <v>0</v>
      </c>
      <c r="C1062" s="641"/>
      <c r="G1062" s="810"/>
      <c r="H1062" s="810"/>
      <c r="I1062" s="810"/>
      <c r="J1062" s="810"/>
      <c r="K1062" s="811" t="s">
        <v>3</v>
      </c>
      <c r="L1062" s="812" t="s">
        <v>590</v>
      </c>
      <c r="M1062" s="810"/>
      <c r="N1062" s="810"/>
      <c r="O1062" s="810"/>
      <c r="P1062" s="810"/>
      <c r="Q1062" s="813"/>
      <c r="R1062" s="814">
        <f>SUM(R1053:R1061)</f>
        <v>14195.239999999998</v>
      </c>
      <c r="S1062" s="815"/>
      <c r="T1062" s="814">
        <f>SUM(T1053:T1061)</f>
        <v>78.34</v>
      </c>
      <c r="AG1062" s="816">
        <f>ROUND($R1062*$S$2,2)</f>
        <v>14195.24</v>
      </c>
    </row>
    <row r="1063" spans="1:41" s="519" customFormat="1" ht="12" customHeight="1">
      <c r="A1063" s="817"/>
      <c r="B1063" s="818"/>
      <c r="C1063" s="819"/>
      <c r="D1063" s="819" t="str">
        <f>$F$3</f>
        <v>ECA</v>
      </c>
      <c r="E1063" s="819">
        <f>ROUND(($R1066*$S$3 + ($T1066*$T$3)), 2)</f>
        <v>329.52</v>
      </c>
      <c r="F1063" s="820">
        <f ca="1">$F1050-SUMIF($L1052:$P1060,"SUBI",$F1052:$F1060)</f>
        <v>329.45999999999913</v>
      </c>
      <c r="G1063" s="518"/>
      <c r="H1063" s="518"/>
      <c r="I1063" s="518"/>
      <c r="J1063" s="518"/>
      <c r="K1063" s="802" t="s">
        <v>5</v>
      </c>
      <c r="L1063" s="803" t="s">
        <v>590</v>
      </c>
      <c r="M1063" s="518"/>
      <c r="N1063" s="518"/>
      <c r="O1063" s="518"/>
      <c r="P1063" s="518"/>
      <c r="Q1063" s="518"/>
      <c r="R1063" s="821"/>
      <c r="S1063" s="518"/>
      <c r="T1063" s="821"/>
    </row>
    <row r="1064" spans="1:41" s="933" customFormat="1" ht="13.2">
      <c r="A1064" s="100">
        <v>24</v>
      </c>
      <c r="B1064" s="933" t="s">
        <v>840</v>
      </c>
      <c r="D1064" s="933" t="s">
        <v>879</v>
      </c>
      <c r="G1064" s="936" t="s">
        <v>880</v>
      </c>
      <c r="H1064" s="937">
        <v>902</v>
      </c>
      <c r="I1064" s="933" t="s">
        <v>778</v>
      </c>
      <c r="O1064" s="938">
        <v>3</v>
      </c>
      <c r="P1064" s="939">
        <v>35072</v>
      </c>
      <c r="Q1064" s="940"/>
      <c r="R1064" s="941">
        <f>$A1064*Q1064</f>
        <v>0</v>
      </c>
      <c r="S1064" s="940">
        <v>0.5</v>
      </c>
      <c r="T1064" s="942">
        <f>$A1064*S1064*$T$1</f>
        <v>12</v>
      </c>
    </row>
    <row r="1065" spans="1:41" s="519" customFormat="1" ht="13.2">
      <c r="A1065" s="49"/>
      <c r="B1065" s="528"/>
      <c r="C1065" s="528"/>
      <c r="D1065" s="3"/>
      <c r="E1065" s="528"/>
      <c r="F1065" s="528"/>
      <c r="G1065" s="528"/>
      <c r="H1065" s="528"/>
      <c r="I1065" s="528"/>
      <c r="J1065" s="528"/>
      <c r="K1065" s="528"/>
      <c r="L1065" s="806"/>
      <c r="M1065" s="528"/>
      <c r="N1065" s="528"/>
      <c r="O1065" s="528"/>
      <c r="P1065" s="528"/>
      <c r="Q1065" s="528"/>
      <c r="R1065" s="807">
        <f>$A1065*Q1065</f>
        <v>0</v>
      </c>
      <c r="S1065" s="528"/>
      <c r="T1065" s="643">
        <f>$A1065*S1065*$T$1</f>
        <v>0</v>
      </c>
    </row>
    <row r="1066" spans="1:41" s="519" customFormat="1" ht="12" customHeight="1">
      <c r="A1066" s="835" t="s">
        <v>145</v>
      </c>
      <c r="B1066" s="836">
        <f>(R1065+T1065)</f>
        <v>0</v>
      </c>
      <c r="C1066" s="837"/>
      <c r="D1066" s="837"/>
      <c r="E1066" s="837"/>
      <c r="F1066" s="837"/>
      <c r="G1066" s="813"/>
      <c r="H1066" s="813"/>
      <c r="I1066" s="813"/>
      <c r="J1066" s="813"/>
      <c r="K1066" s="838" t="s">
        <v>5</v>
      </c>
      <c r="L1066" s="839" t="s">
        <v>590</v>
      </c>
      <c r="M1066" s="813"/>
      <c r="N1066" s="813"/>
      <c r="O1066" s="813"/>
      <c r="P1066" s="813"/>
      <c r="Q1066" s="813"/>
      <c r="R1066" s="814">
        <f>SUM(R1063:R1065)</f>
        <v>0</v>
      </c>
      <c r="S1066" s="815"/>
      <c r="T1066" s="814">
        <f>SUM(T1063:T1065)</f>
        <v>12</v>
      </c>
      <c r="AG1066" s="840">
        <f>ROUND($R1066*$S$3,2)</f>
        <v>0</v>
      </c>
    </row>
    <row r="1067" spans="1:41" s="519" customFormat="1" ht="12.75" customHeight="1">
      <c r="A1067" s="841"/>
      <c r="B1067" s="842"/>
      <c r="E1067" s="641"/>
      <c r="F1067" s="843"/>
      <c r="G1067" s="641"/>
      <c r="H1067" s="641"/>
      <c r="I1067" s="518"/>
      <c r="J1067" s="641"/>
      <c r="K1067" s="641"/>
      <c r="L1067" s="844"/>
      <c r="M1067" s="652"/>
      <c r="N1067" s="652"/>
      <c r="O1067" s="652"/>
      <c r="P1067" s="652"/>
      <c r="Q1067" s="653"/>
      <c r="R1067" s="821"/>
      <c r="S1067" s="641"/>
      <c r="T1067" s="821"/>
    </row>
    <row r="1068" spans="1:41" s="519" customFormat="1" ht="13.5" customHeight="1" thickBot="1">
      <c r="A1068" s="845"/>
      <c r="B1068" s="846"/>
      <c r="C1068" s="529"/>
      <c r="D1068" s="529"/>
      <c r="E1068" s="646"/>
      <c r="F1068" s="647"/>
      <c r="G1068" s="646" t="s">
        <v>146</v>
      </c>
      <c r="H1068" s="646"/>
      <c r="I1068" s="648"/>
      <c r="J1068" s="646"/>
      <c r="K1068" s="646"/>
      <c r="L1068" s="847" t="s">
        <v>143</v>
      </c>
      <c r="M1068" s="649"/>
      <c r="N1068" s="649"/>
      <c r="O1068" s="649"/>
      <c r="P1068" s="649"/>
      <c r="Q1068" s="650"/>
      <c r="R1068" s="848">
        <f>SUMIF($L1051:$L1067,"SUBI",R1051:R1067)</f>
        <v>14195.239999999998</v>
      </c>
      <c r="S1068" s="646"/>
      <c r="T1068" s="848">
        <f>SUMIF($L1051:$L1067,"SUBI",T1051:T1067)</f>
        <v>90.34</v>
      </c>
      <c r="U1068" s="529"/>
      <c r="V1068" s="529"/>
      <c r="W1068" s="529"/>
      <c r="X1068" s="529"/>
      <c r="Y1068" s="529"/>
      <c r="Z1068" s="529"/>
      <c r="AA1068" s="529"/>
      <c r="AB1068" s="529"/>
      <c r="AC1068" s="529"/>
      <c r="AD1068" s="529"/>
      <c r="AE1068" s="529"/>
      <c r="AF1068" s="529"/>
      <c r="AG1068" s="529"/>
      <c r="AH1068" s="529"/>
      <c r="AI1068" s="529"/>
      <c r="AJ1068" s="529"/>
      <c r="AK1068" s="529"/>
      <c r="AL1068" s="529"/>
      <c r="AM1068" s="529"/>
      <c r="AN1068" s="529"/>
      <c r="AO1068" s="529"/>
    </row>
    <row r="1069" spans="1:41" s="519" customFormat="1" ht="12" thickTop="1">
      <c r="A1069" s="47"/>
      <c r="B1069" s="40"/>
      <c r="C1069" s="47"/>
      <c r="E1069" s="41" t="s">
        <v>138</v>
      </c>
      <c r="F1069" s="41" t="s">
        <v>139</v>
      </c>
      <c r="G1069" s="47"/>
      <c r="H1069" s="47"/>
      <c r="I1069" s="47"/>
      <c r="J1069" s="47"/>
      <c r="K1069" s="47" t="s">
        <v>140</v>
      </c>
      <c r="L1069" s="47"/>
      <c r="M1069" s="47"/>
      <c r="N1069" s="47"/>
      <c r="O1069" s="48"/>
      <c r="P1069" s="47"/>
      <c r="Q1069" s="47"/>
      <c r="R1069" s="47"/>
      <c r="S1069" s="47"/>
      <c r="T1069" s="40"/>
      <c r="AG1069" s="627" t="s">
        <v>277</v>
      </c>
      <c r="AH1069" s="627" t="s">
        <v>278</v>
      </c>
      <c r="AI1069" s="627" t="s">
        <v>279</v>
      </c>
      <c r="AJ1069" s="627" t="s">
        <v>280</v>
      </c>
      <c r="AK1069" s="627" t="s">
        <v>281</v>
      </c>
      <c r="AM1069" s="628" t="s">
        <v>290</v>
      </c>
      <c r="AN1069" s="629" t="s">
        <v>291</v>
      </c>
      <c r="AO1069" s="520" t="s">
        <v>287</v>
      </c>
    </row>
    <row r="1070" spans="1:41" s="519" customFormat="1" ht="12" customHeight="1">
      <c r="A1070" s="630">
        <v>24</v>
      </c>
      <c r="B1070" s="521" t="s">
        <v>141</v>
      </c>
      <c r="C1070" s="631"/>
      <c r="D1070" s="632" t="s">
        <v>679</v>
      </c>
      <c r="E1070" s="633">
        <f>IF(AND($A1070=0,$A$1="DIF"),0, ROUND(ROUND(($R1073*$S$2+($T1073*$T$2))/A1070,2)*$C$2,2))</f>
        <v>0</v>
      </c>
      <c r="F1070" s="634">
        <f>ROUND($A1070*$E1070,2)</f>
        <v>0</v>
      </c>
      <c r="G1070" s="635" t="s">
        <v>142</v>
      </c>
      <c r="H1070" s="636"/>
      <c r="I1070" s="637"/>
      <c r="J1070" s="636"/>
      <c r="K1070" s="636" t="s">
        <v>3</v>
      </c>
      <c r="L1070" s="638" t="s">
        <v>143</v>
      </c>
      <c r="M1070" s="638"/>
      <c r="N1070" s="638"/>
      <c r="O1070" s="638"/>
      <c r="P1070" s="638"/>
      <c r="Q1070" s="968" t="s">
        <v>916</v>
      </c>
      <c r="T1070" s="639" t="str">
        <f>IF(AND($R1073=0,$T1073=0),"0.00","mu :" &amp; ROUND($F1070/$C$2/($R1073+$T1073*$D$9),2))</f>
        <v>0.00</v>
      </c>
      <c r="W1070" s="522"/>
      <c r="AG1070" s="470">
        <f>IF($E1070=0,0,ROUND($R1073*$S$2*$C$2/$A1070,2))</f>
        <v>0</v>
      </c>
      <c r="AH1070" s="470">
        <f>$AG1070*$A1070</f>
        <v>0</v>
      </c>
      <c r="AI1070" s="523">
        <f>$E1070-$AG1070</f>
        <v>0</v>
      </c>
      <c r="AJ1070" s="523">
        <f>$A1070*$AI1070</f>
        <v>0</v>
      </c>
      <c r="AK1070" s="524">
        <f>ROUND(($AG1070+$AI1070)*$A1070,2)</f>
        <v>0</v>
      </c>
      <c r="AM1070" s="525">
        <f>ROUND(R1073,2)</f>
        <v>0</v>
      </c>
      <c r="AN1070" s="526">
        <f>ROUND(T1073,2)</f>
        <v>0</v>
      </c>
      <c r="AO1070" s="527">
        <f>ROUND(AM1070+AN1070,2)*A1070</f>
        <v>0</v>
      </c>
    </row>
    <row r="1071" spans="1:41" s="519" customFormat="1" ht="13.2">
      <c r="A1071" s="631"/>
      <c r="B1071"/>
      <c r="C1071" s="631"/>
      <c r="D1071" s="632" t="s">
        <v>501</v>
      </c>
      <c r="F1071" s="636"/>
      <c r="G1071" s="3"/>
      <c r="H1071" s="636"/>
      <c r="I1071" s="637"/>
      <c r="J1071" s="636"/>
      <c r="K1071" s="636" t="s">
        <v>144</v>
      </c>
      <c r="L1071" s="636"/>
      <c r="M1071" s="636"/>
      <c r="N1071" s="636"/>
      <c r="O1071" s="636"/>
      <c r="P1071" s="636"/>
      <c r="Q1071" s="47"/>
      <c r="R1071" s="528"/>
      <c r="S1071" s="640"/>
      <c r="T1071" s="636"/>
    </row>
    <row r="1072" spans="1:41" s="519" customFormat="1" ht="12">
      <c r="A1072" s="641"/>
      <c r="B1072" s="641"/>
      <c r="C1072" s="641"/>
      <c r="D1072" s="641"/>
      <c r="E1072" s="641"/>
      <c r="F1072" s="636"/>
      <c r="G1072" s="641"/>
      <c r="H1072" s="641"/>
      <c r="I1072" s="518"/>
      <c r="J1072" s="641"/>
      <c r="K1072" s="641"/>
      <c r="L1072" s="641"/>
      <c r="M1072" s="641"/>
      <c r="N1072" s="641"/>
      <c r="O1072" s="641"/>
      <c r="P1072" s="641"/>
      <c r="Q1072" s="518"/>
      <c r="R1072" s="642">
        <f t="shared" ref="R1072" si="58">$A1072*Q1072</f>
        <v>0</v>
      </c>
      <c r="S1072" s="518"/>
      <c r="T1072" s="643">
        <f t="shared" ref="T1072" si="59">$A1072*S1072*$T$1</f>
        <v>0</v>
      </c>
    </row>
    <row r="1073" spans="1:41" s="519" customFormat="1" ht="12.6" thickBot="1">
      <c r="A1073" s="644" t="s">
        <v>145</v>
      </c>
      <c r="B1073" s="645">
        <f>(R1072+T1072)</f>
        <v>0</v>
      </c>
      <c r="C1073" s="646"/>
      <c r="D1073" s="646"/>
      <c r="E1073" s="646"/>
      <c r="F1073" s="647"/>
      <c r="G1073" s="646" t="s">
        <v>146</v>
      </c>
      <c r="H1073" s="646"/>
      <c r="I1073" s="648"/>
      <c r="J1073" s="646"/>
      <c r="K1073" s="646" t="s">
        <v>3</v>
      </c>
      <c r="L1073" s="649" t="s">
        <v>143</v>
      </c>
      <c r="M1073" s="649"/>
      <c r="N1073" s="649"/>
      <c r="O1073" s="649"/>
      <c r="P1073" s="649"/>
      <c r="Q1073" s="650"/>
      <c r="R1073" s="651">
        <f>SUM(R1071:R1072)</f>
        <v>0</v>
      </c>
      <c r="S1073" s="646"/>
      <c r="T1073" s="651">
        <f>SUM(T1071:T1072)</f>
        <v>0</v>
      </c>
      <c r="U1073" s="529"/>
      <c r="V1073" s="529"/>
      <c r="W1073" s="529"/>
      <c r="X1073" s="529"/>
      <c r="Y1073" s="529"/>
      <c r="Z1073" s="529"/>
      <c r="AA1073" s="529"/>
      <c r="AB1073" s="529"/>
      <c r="AC1073" s="529"/>
      <c r="AD1073" s="529"/>
      <c r="AE1073" s="529"/>
      <c r="AF1073" s="529"/>
      <c r="AG1073" s="529"/>
      <c r="AH1073" s="529"/>
      <c r="AI1073" s="529"/>
      <c r="AJ1073" s="529"/>
      <c r="AK1073" s="529"/>
      <c r="AL1073" s="529"/>
      <c r="AM1073" s="529"/>
      <c r="AN1073" s="529"/>
      <c r="AO1073" s="529"/>
    </row>
    <row r="1074" spans="1:41" s="519" customFormat="1" thickTop="1">
      <c r="A1074" s="47"/>
      <c r="B1074" s="47"/>
      <c r="C1074" s="3"/>
      <c r="D1074" s="3"/>
      <c r="E1074" s="47"/>
      <c r="F1074" s="47"/>
      <c r="G1074" s="47"/>
      <c r="H1074" s="47"/>
      <c r="I1074" s="47"/>
      <c r="J1074" s="47"/>
      <c r="K1074" s="47" t="s">
        <v>134</v>
      </c>
      <c r="L1074" s="47"/>
      <c r="M1074" s="47"/>
      <c r="N1074" s="47"/>
      <c r="O1074" s="48"/>
      <c r="P1074" s="47"/>
      <c r="Q1074" s="47"/>
      <c r="R1074" s="47"/>
      <c r="S1074" s="47"/>
      <c r="T1074" s="47"/>
    </row>
    <row r="1075" spans="1:41" s="519" customFormat="1" ht="12">
      <c r="A1075" s="47"/>
      <c r="B1075" s="47"/>
      <c r="C1075" s="47" t="s">
        <v>135</v>
      </c>
      <c r="D1075" s="36"/>
      <c r="E1075" s="47"/>
      <c r="F1075" s="47"/>
      <c r="G1075" s="47"/>
      <c r="H1075" s="47"/>
      <c r="I1075" s="47"/>
      <c r="J1075" s="47"/>
      <c r="K1075" s="47"/>
      <c r="L1075" s="47"/>
      <c r="M1075" s="47"/>
      <c r="N1075" s="47"/>
      <c r="O1075" s="48"/>
      <c r="P1075" s="47"/>
      <c r="Q1075" s="47"/>
      <c r="R1075" s="47"/>
      <c r="S1075" s="47"/>
      <c r="T1075" s="47"/>
    </row>
    <row r="1076" spans="1:41" s="519" customFormat="1" ht="12">
      <c r="A1076" s="47"/>
      <c r="B1076" s="47"/>
      <c r="C1076" s="47"/>
      <c r="D1076" s="36" t="s">
        <v>502</v>
      </c>
      <c r="E1076" s="47"/>
      <c r="F1076" s="47"/>
      <c r="G1076" s="47"/>
      <c r="H1076" s="47"/>
      <c r="I1076" s="47"/>
      <c r="J1076" s="47"/>
      <c r="K1076" s="47"/>
      <c r="L1076" s="47"/>
      <c r="M1076" s="47"/>
      <c r="N1076" s="47"/>
      <c r="O1076" s="48"/>
      <c r="P1076" s="47"/>
      <c r="Q1076" s="47"/>
      <c r="R1076" s="47"/>
      <c r="S1076" s="37"/>
      <c r="T1076" s="37"/>
    </row>
    <row r="1077" spans="1:41" s="3" customFormat="1" thickBot="1">
      <c r="A1077" s="529"/>
      <c r="O1077" s="99"/>
    </row>
    <row r="1078" spans="1:41" s="519" customFormat="1" thickTop="1">
      <c r="A1078" s="47"/>
      <c r="B1078" s="40"/>
      <c r="C1078" s="47"/>
      <c r="E1078" s="41" t="s">
        <v>138</v>
      </c>
      <c r="F1078" s="41" t="s">
        <v>139</v>
      </c>
      <c r="G1078" s="47"/>
      <c r="H1078" s="47"/>
      <c r="I1078" s="47"/>
      <c r="J1078" s="47"/>
      <c r="K1078" s="47" t="s">
        <v>140</v>
      </c>
      <c r="L1078" s="774"/>
      <c r="M1078" s="47"/>
      <c r="N1078" s="47"/>
      <c r="O1078" s="48"/>
      <c r="P1078" s="47"/>
      <c r="Q1078"/>
      <c r="R1078"/>
      <c r="S1078"/>
      <c r="T1078" s="40"/>
      <c r="AG1078" s="627" t="s">
        <v>277</v>
      </c>
      <c r="AH1078" s="627" t="s">
        <v>278</v>
      </c>
      <c r="AI1078" s="627" t="s">
        <v>279</v>
      </c>
      <c r="AJ1078" s="627" t="s">
        <v>280</v>
      </c>
      <c r="AK1078" s="627" t="s">
        <v>281</v>
      </c>
      <c r="AM1078" s="628" t="s">
        <v>290</v>
      </c>
      <c r="AN1078" s="629" t="s">
        <v>291</v>
      </c>
      <c r="AO1078" s="520" t="s">
        <v>287</v>
      </c>
    </row>
    <row r="1079" spans="1:41" s="519" customFormat="1" ht="13.2">
      <c r="A1079" s="630">
        <v>1</v>
      </c>
      <c r="B1079" s="521" t="s">
        <v>339</v>
      </c>
      <c r="C1079" s="631"/>
      <c r="D1079" s="632" t="s">
        <v>681</v>
      </c>
      <c r="E1079" s="775">
        <f>IF(AND($A1079=0,$A$1="DIF"),0,ROUND(ROUND(SUMIF($L1081:$L1091,"SUBI",$E1081:$E1091)/$A1079,2)*$C$12,2))</f>
        <v>3031.9</v>
      </c>
      <c r="F1079" s="776">
        <f>ROUND($A1079*$E1079,2)</f>
        <v>3031.9</v>
      </c>
      <c r="G1079" s="635" t="s">
        <v>142</v>
      </c>
      <c r="H1079" s="636"/>
      <c r="I1079" s="637"/>
      <c r="J1079" s="636"/>
      <c r="K1079" s="777"/>
      <c r="L1079" s="778" t="s">
        <v>143</v>
      </c>
      <c r="M1079" s="638"/>
      <c r="N1079" s="638"/>
      <c r="O1079" s="638"/>
      <c r="P1079" s="638"/>
      <c r="Q1079"/>
      <c r="R1079"/>
      <c r="S1079"/>
      <c r="T1079" s="779" t="str">
        <f>IF(AND($R1097=0,$T1097=0),"0.00","mu :" &amp; ROUND($F1079/$C$12/($R1097+$T1097*$D$9),2))</f>
        <v>mu :1</v>
      </c>
      <c r="W1079" s="522"/>
      <c r="AG1079" s="780">
        <f>IF(A1079=0,0,ROUND(SUM(AG1081:AG1097)/A1079,2))</f>
        <v>2620</v>
      </c>
      <c r="AH1079" s="780">
        <f>$AG1079*$A1079</f>
        <v>2620</v>
      </c>
      <c r="AI1079" s="780">
        <f>$E1079-$AG1079</f>
        <v>411.90000000000009</v>
      </c>
      <c r="AJ1079" s="780">
        <f>$A1079*$AI1079</f>
        <v>411.90000000000009</v>
      </c>
      <c r="AK1079" s="781">
        <f>ROUND(($AG1079+$AI1079)*$A1079,2)</f>
        <v>3031.9</v>
      </c>
      <c r="AM1079" s="525">
        <f>ROUND(R1097,2)</f>
        <v>2620</v>
      </c>
      <c r="AN1079" s="526">
        <f>ROUND(T1097,2)</f>
        <v>15</v>
      </c>
      <c r="AO1079" s="527">
        <f>ROUND(AM1079+AN1079,2)*A1079</f>
        <v>2635</v>
      </c>
    </row>
    <row r="1080" spans="1:41" s="519" customFormat="1" ht="39.9" customHeight="1">
      <c r="A1080" s="782"/>
      <c r="B1080" s="783"/>
      <c r="C1080" s="631"/>
      <c r="D1080" s="981" t="s">
        <v>682</v>
      </c>
      <c r="E1080" s="980"/>
      <c r="F1080" s="980"/>
      <c r="G1080" s="980"/>
      <c r="H1080" s="980"/>
      <c r="I1080" s="980"/>
      <c r="J1080" s="980"/>
      <c r="K1080" s="980"/>
      <c r="L1080" s="980"/>
      <c r="M1080" s="980"/>
      <c r="N1080" s="980"/>
      <c r="O1080" s="980"/>
      <c r="P1080" s="980"/>
      <c r="Q1080" s="980"/>
      <c r="R1080" s="980"/>
      <c r="S1080" s="980"/>
      <c r="T1080" s="980"/>
    </row>
    <row r="1081" spans="1:41" s="519" customFormat="1" ht="12">
      <c r="A1081" s="849"/>
      <c r="B1081" s="850"/>
      <c r="C1081" s="641"/>
      <c r="D1081" s="811"/>
      <c r="E1081" s="851">
        <f>F1079/$C$12-SUMIF($L1078:$L1097,"SUBI",$E1078:$E1097)</f>
        <v>0</v>
      </c>
      <c r="F1081" s="852" t="s">
        <v>589</v>
      </c>
      <c r="G1081" s="790"/>
      <c r="H1081" s="790"/>
      <c r="I1081" s="791"/>
      <c r="J1081" s="790"/>
      <c r="K1081" s="790"/>
      <c r="L1081" s="792"/>
      <c r="M1081" s="793"/>
      <c r="N1081" s="793"/>
      <c r="O1081" s="793"/>
      <c r="P1081" s="793"/>
      <c r="Q1081" s="794"/>
      <c r="R1081" s="795"/>
      <c r="S1081" s="794"/>
      <c r="T1081" s="796"/>
    </row>
    <row r="1082" spans="1:41" s="519" customFormat="1" ht="12" customHeight="1">
      <c r="A1082" s="797"/>
      <c r="B1082" s="798"/>
      <c r="C1082" s="799"/>
      <c r="D1082" s="799" t="str">
        <f>$F$2</f>
        <v>Electrical</v>
      </c>
      <c r="E1082" s="799">
        <f>ROUND(($R1086*$S$2 + ($T1086*$T$2)), 2)</f>
        <v>349.52</v>
      </c>
      <c r="F1082" s="800">
        <f>$E1082*$C$12</f>
        <v>349.52</v>
      </c>
      <c r="G1082" s="528"/>
      <c r="H1082" s="801"/>
      <c r="I1082" s="528"/>
      <c r="J1082" s="48"/>
      <c r="K1082" s="802" t="s">
        <v>3</v>
      </c>
      <c r="L1082" s="803" t="s">
        <v>590</v>
      </c>
      <c r="M1082" s="528"/>
      <c r="N1082" s="528"/>
      <c r="O1082" s="48"/>
      <c r="P1082" s="528"/>
      <c r="Q1082" s="528"/>
      <c r="R1082"/>
      <c r="S1082"/>
      <c r="T1082"/>
    </row>
    <row r="1083" spans="1:41" s="933" customFormat="1" ht="13.2">
      <c r="A1083">
        <v>1</v>
      </c>
      <c r="B1083" s="933" t="s">
        <v>141</v>
      </c>
      <c r="D1083" s="933" t="s">
        <v>785</v>
      </c>
      <c r="F1083" s="935" t="s">
        <v>865</v>
      </c>
      <c r="G1083" s="936" t="s">
        <v>786</v>
      </c>
      <c r="H1083" s="937">
        <v>570</v>
      </c>
      <c r="I1083" s="933" t="s">
        <v>729</v>
      </c>
      <c r="O1083" s="938">
        <v>2</v>
      </c>
      <c r="P1083" s="939">
        <v>38443</v>
      </c>
      <c r="Q1083" s="940"/>
      <c r="R1083" s="941">
        <f>$A1083*Q1083</f>
        <v>0</v>
      </c>
      <c r="S1083" s="940">
        <v>12</v>
      </c>
      <c r="T1083" s="942">
        <f>$A1083*S1083*$T$1</f>
        <v>12</v>
      </c>
    </row>
    <row r="1084" spans="1:41" s="933" customFormat="1" ht="13.2">
      <c r="A1084">
        <v>1</v>
      </c>
      <c r="B1084" s="933" t="s">
        <v>141</v>
      </c>
      <c r="D1084" s="933" t="s">
        <v>787</v>
      </c>
      <c r="G1084" s="936" t="s">
        <v>788</v>
      </c>
      <c r="H1084" s="937">
        <v>501</v>
      </c>
      <c r="I1084" s="933" t="s">
        <v>729</v>
      </c>
      <c r="K1084" s="933" t="s">
        <v>789</v>
      </c>
      <c r="O1084" s="938">
        <v>1</v>
      </c>
      <c r="P1084" s="939"/>
      <c r="Q1084" s="940">
        <v>20</v>
      </c>
      <c r="R1084" s="941">
        <f>$A1084*Q1084</f>
        <v>20</v>
      </c>
      <c r="S1084" s="940"/>
      <c r="T1084" s="942">
        <f>$A1084*S1084*$T$1</f>
        <v>0</v>
      </c>
    </row>
    <row r="1085" spans="1:41" s="519" customFormat="1" ht="14.4" customHeight="1">
      <c r="A1085" s="49"/>
      <c r="B1085" s="528"/>
      <c r="C1085" s="528"/>
      <c r="D1085" s="528"/>
      <c r="E1085" s="528"/>
      <c r="F1085" s="528"/>
      <c r="G1085" s="528"/>
      <c r="H1085" s="801"/>
      <c r="I1085" s="528"/>
      <c r="J1085" s="48"/>
      <c r="K1085" s="805"/>
      <c r="L1085" s="806"/>
      <c r="M1085" s="528"/>
      <c r="N1085" s="528"/>
      <c r="O1085" s="48"/>
      <c r="P1085" s="528"/>
      <c r="Q1085" s="528"/>
      <c r="R1085" s="807">
        <f>$A1085*Q1085</f>
        <v>0</v>
      </c>
      <c r="S1085" s="528"/>
      <c r="T1085" s="643">
        <f>$A1085*S1085*$T$1</f>
        <v>0</v>
      </c>
    </row>
    <row r="1086" spans="1:41" s="519" customFormat="1" ht="12">
      <c r="A1086" s="835" t="s">
        <v>145</v>
      </c>
      <c r="B1086" s="836">
        <f>(R1085+T1085)</f>
        <v>0</v>
      </c>
      <c r="C1086" s="790"/>
      <c r="G1086" s="810"/>
      <c r="H1086" s="810"/>
      <c r="I1086" s="810"/>
      <c r="J1086" s="810"/>
      <c r="K1086" s="811" t="s">
        <v>3</v>
      </c>
      <c r="L1086" s="812" t="s">
        <v>590</v>
      </c>
      <c r="M1086" s="810"/>
      <c r="N1086" s="810"/>
      <c r="O1086" s="810"/>
      <c r="P1086" s="810"/>
      <c r="Q1086" s="813"/>
      <c r="R1086" s="814">
        <f>SUM(R1082:R1085)</f>
        <v>20</v>
      </c>
      <c r="S1086" s="815"/>
      <c r="T1086" s="814">
        <f>SUM(T1082:T1085)</f>
        <v>12</v>
      </c>
      <c r="AG1086" s="816">
        <f>ROUND($R1086*$S$2,2)</f>
        <v>20</v>
      </c>
    </row>
    <row r="1087" spans="1:41" s="519" customFormat="1" ht="12" customHeight="1">
      <c r="A1087" s="797"/>
      <c r="B1087" s="853"/>
      <c r="C1087" s="854"/>
      <c r="D1087" s="855" t="str">
        <f>$F$3</f>
        <v>ECA</v>
      </c>
      <c r="E1087" s="855">
        <f>ROUND(($R1090*$S$3 + ($T1090*$T$3)), 2)</f>
        <v>2682.38</v>
      </c>
      <c r="F1087" s="856">
        <f>$E1087*$C$12</f>
        <v>2682.38</v>
      </c>
      <c r="G1087" s="518"/>
      <c r="H1087" s="518"/>
      <c r="I1087" s="518"/>
      <c r="J1087" s="518"/>
      <c r="K1087" s="802" t="s">
        <v>5</v>
      </c>
      <c r="L1087" s="803" t="s">
        <v>590</v>
      </c>
      <c r="M1087" s="518"/>
      <c r="N1087" s="518"/>
      <c r="O1087" s="518"/>
      <c r="P1087" s="518"/>
      <c r="Q1087" s="518"/>
      <c r="R1087" s="821"/>
      <c r="S1087" s="518"/>
      <c r="T1087" s="821"/>
    </row>
    <row r="1088" spans="1:41" s="933" customFormat="1" ht="13.2">
      <c r="A1088">
        <v>1</v>
      </c>
      <c r="B1088" s="933" t="s">
        <v>141</v>
      </c>
      <c r="D1088" s="933" t="s">
        <v>785</v>
      </c>
      <c r="E1088" s="933" t="s">
        <v>877</v>
      </c>
      <c r="F1088" s="935" t="s">
        <v>866</v>
      </c>
      <c r="G1088" s="936" t="s">
        <v>786</v>
      </c>
      <c r="H1088" s="937">
        <v>570</v>
      </c>
      <c r="I1088" s="933" t="s">
        <v>729</v>
      </c>
      <c r="O1088" s="938">
        <v>2</v>
      </c>
      <c r="P1088" s="939">
        <v>38443</v>
      </c>
      <c r="Q1088" s="940">
        <v>2600</v>
      </c>
      <c r="R1088" s="941">
        <f>$A1088*Q1088</f>
        <v>2600</v>
      </c>
      <c r="S1088" s="940">
        <v>3</v>
      </c>
      <c r="T1088" s="942">
        <f>$A1088*S1088*$T$1</f>
        <v>3</v>
      </c>
    </row>
    <row r="1089" spans="1:41" s="519" customFormat="1" ht="15.6" customHeight="1">
      <c r="A1089" s="49"/>
      <c r="B1089" s="528"/>
      <c r="C1089" s="528"/>
      <c r="D1089" s="3"/>
      <c r="E1089" s="528"/>
      <c r="F1089" s="528"/>
      <c r="G1089" s="528"/>
      <c r="H1089" s="528"/>
      <c r="I1089" s="528"/>
      <c r="J1089" s="528"/>
      <c r="K1089" s="528"/>
      <c r="L1089" s="806"/>
      <c r="M1089" s="528"/>
      <c r="N1089" s="528"/>
      <c r="O1089" s="528"/>
      <c r="P1089" s="528"/>
      <c r="Q1089" s="528"/>
      <c r="R1089" s="807">
        <f>$A1089*Q1089</f>
        <v>0</v>
      </c>
      <c r="S1089" s="528"/>
      <c r="T1089" s="643">
        <f>$A1089*S1089*$T$1</f>
        <v>0</v>
      </c>
    </row>
    <row r="1090" spans="1:41" s="519" customFormat="1" ht="12">
      <c r="A1090" s="835" t="s">
        <v>145</v>
      </c>
      <c r="B1090" s="836">
        <f>(R1089+T1089)</f>
        <v>0</v>
      </c>
      <c r="C1090" s="790"/>
      <c r="G1090" s="810"/>
      <c r="H1090" s="810"/>
      <c r="I1090" s="810"/>
      <c r="J1090" s="810"/>
      <c r="K1090" s="838" t="s">
        <v>5</v>
      </c>
      <c r="L1090" s="812" t="s">
        <v>590</v>
      </c>
      <c r="M1090" s="810"/>
      <c r="N1090" s="810"/>
      <c r="O1090" s="810"/>
      <c r="P1090" s="810"/>
      <c r="Q1090" s="813"/>
      <c r="R1090" s="814">
        <f>SUM(R1087:R1089)</f>
        <v>2600</v>
      </c>
      <c r="S1090" s="815"/>
      <c r="T1090" s="814">
        <f>SUM(T1087:T1089)</f>
        <v>3</v>
      </c>
      <c r="AG1090" s="840">
        <f>ROUND($R1090*$S$3,2)</f>
        <v>2600</v>
      </c>
    </row>
    <row r="1091" spans="1:41" s="519" customFormat="1" ht="12" customHeight="1">
      <c r="A1091" s="817"/>
      <c r="B1091" s="857"/>
      <c r="C1091" s="858"/>
      <c r="D1091" s="859">
        <f>$F$4</f>
        <v>0</v>
      </c>
      <c r="E1091" s="859">
        <f>ROUND(($R1095*$S$4 + ($T1095*$T$4)), 2)</f>
        <v>0</v>
      </c>
      <c r="F1091" s="860">
        <f ca="1">$F1079-SUMIF($L1081:$P1088,"SUBI",$F1081:$F1088)</f>
        <v>0</v>
      </c>
      <c r="G1091" s="518"/>
      <c r="H1091" s="518"/>
      <c r="I1091" s="518"/>
      <c r="J1091" s="518"/>
      <c r="K1091" s="861" t="s">
        <v>8</v>
      </c>
      <c r="L1091" s="803" t="s">
        <v>590</v>
      </c>
      <c r="M1091" s="518"/>
      <c r="N1091" s="518"/>
      <c r="O1091" s="518"/>
      <c r="P1091" s="518"/>
      <c r="Q1091" s="518"/>
      <c r="R1091" s="821"/>
      <c r="S1091" s="518"/>
      <c r="T1091" s="821"/>
    </row>
    <row r="1092" spans="1:41" s="834" customFormat="1" ht="14.4" customHeight="1">
      <c r="A1092" s="822"/>
      <c r="B1092" s="804" t="s">
        <v>680</v>
      </c>
      <c r="C1092" s="823"/>
      <c r="D1092" s="824"/>
      <c r="E1092" s="824"/>
      <c r="F1092" s="824"/>
      <c r="G1092" s="825"/>
      <c r="H1092" s="826"/>
      <c r="I1092" s="826"/>
      <c r="J1092" s="827"/>
      <c r="K1092" s="828"/>
      <c r="L1092" s="823"/>
      <c r="M1092" s="829"/>
      <c r="N1092" s="830"/>
      <c r="O1092" s="862"/>
      <c r="P1092" s="832"/>
      <c r="Q1092" s="833"/>
      <c r="R1092" s="642">
        <f>$A1092*Q1092</f>
        <v>0</v>
      </c>
      <c r="S1092" s="833"/>
      <c r="T1092" s="643">
        <f>$A1092*S1092*$T$1</f>
        <v>0</v>
      </c>
    </row>
    <row r="1093" spans="1:41" s="519" customFormat="1" ht="12">
      <c r="A1093" s="47"/>
      <c r="B1093" s="641"/>
      <c r="C1093" s="641"/>
      <c r="D1093" s="863"/>
      <c r="E1093" s="843"/>
      <c r="F1093" s="518"/>
      <c r="G1093" s="518"/>
      <c r="H1093" s="518"/>
      <c r="I1093" s="518"/>
      <c r="J1093" s="518"/>
      <c r="K1093" s="518"/>
      <c r="L1093" s="864"/>
      <c r="M1093" s="518"/>
      <c r="N1093" s="518"/>
      <c r="O1093" s="518"/>
      <c r="P1093" s="518"/>
      <c r="Q1093" s="518"/>
      <c r="R1093" s="642">
        <f>$A1093*Q1093</f>
        <v>0</v>
      </c>
      <c r="S1093" s="518"/>
      <c r="T1093" s="643">
        <f>$A1093*S1093*$T$1</f>
        <v>0</v>
      </c>
    </row>
    <row r="1094" spans="1:41" s="519" customFormat="1" ht="12">
      <c r="A1094" s="47"/>
      <c r="B1094" s="641"/>
      <c r="C1094" s="641"/>
      <c r="D1094" s="863"/>
      <c r="E1094" s="843"/>
      <c r="F1094" s="518"/>
      <c r="G1094" s="518"/>
      <c r="H1094" s="518"/>
      <c r="I1094" s="518"/>
      <c r="J1094" s="518"/>
      <c r="K1094" s="518"/>
      <c r="L1094" s="864"/>
      <c r="M1094" s="518"/>
      <c r="N1094" s="518"/>
      <c r="O1094" s="518"/>
      <c r="P1094" s="518"/>
      <c r="Q1094" s="518"/>
      <c r="R1094" s="642">
        <f>$A1094*Q1094</f>
        <v>0</v>
      </c>
      <c r="S1094" s="518"/>
      <c r="T1094" s="643">
        <f>$A1094*S1094*$T$1</f>
        <v>0</v>
      </c>
    </row>
    <row r="1095" spans="1:41" s="519" customFormat="1" ht="12.75" customHeight="1">
      <c r="A1095" s="835" t="s">
        <v>145</v>
      </c>
      <c r="B1095" s="836">
        <f>(R1094+T1094)</f>
        <v>0</v>
      </c>
      <c r="C1095" s="837"/>
      <c r="D1095" s="837"/>
      <c r="E1095" s="837"/>
      <c r="F1095" s="837"/>
      <c r="G1095" s="813"/>
      <c r="H1095" s="813"/>
      <c r="I1095" s="813"/>
      <c r="J1095" s="813"/>
      <c r="K1095" s="838" t="s">
        <v>8</v>
      </c>
      <c r="L1095" s="839" t="s">
        <v>590</v>
      </c>
      <c r="M1095" s="813"/>
      <c r="N1095" s="813"/>
      <c r="O1095" s="813"/>
      <c r="P1095" s="813"/>
      <c r="Q1095" s="813"/>
      <c r="R1095" s="814">
        <f>SUM(R1091:R1094)</f>
        <v>0</v>
      </c>
      <c r="S1095" s="815"/>
      <c r="T1095" s="814">
        <f>SUM(T1091:T1094)</f>
        <v>0</v>
      </c>
      <c r="AG1095" s="865">
        <f>ROUND($R1095*$S$4,2)</f>
        <v>0</v>
      </c>
    </row>
    <row r="1096" spans="1:41" s="519" customFormat="1" ht="12.75" customHeight="1">
      <c r="A1096" s="841"/>
      <c r="B1096" s="842"/>
      <c r="E1096" s="641"/>
      <c r="F1096" s="843"/>
      <c r="G1096" s="641"/>
      <c r="H1096" s="641"/>
      <c r="I1096" s="518"/>
      <c r="J1096" s="641"/>
      <c r="K1096" s="641"/>
      <c r="L1096" s="844"/>
      <c r="M1096" s="652"/>
      <c r="N1096" s="652"/>
      <c r="O1096" s="652"/>
      <c r="P1096" s="652"/>
      <c r="Q1096" s="653"/>
      <c r="R1096" s="821"/>
      <c r="S1096" s="641"/>
      <c r="T1096" s="821"/>
    </row>
    <row r="1097" spans="1:41" s="519" customFormat="1" ht="13.5" customHeight="1" thickBot="1">
      <c r="A1097" s="845"/>
      <c r="B1097" s="846"/>
      <c r="C1097" s="529"/>
      <c r="D1097" s="529"/>
      <c r="E1097" s="646"/>
      <c r="F1097" s="647"/>
      <c r="G1097" s="646" t="s">
        <v>146</v>
      </c>
      <c r="H1097" s="646"/>
      <c r="I1097" s="648"/>
      <c r="J1097" s="646"/>
      <c r="K1097" s="646"/>
      <c r="L1097" s="847" t="s">
        <v>143</v>
      </c>
      <c r="M1097" s="649"/>
      <c r="N1097" s="649"/>
      <c r="O1097" s="649"/>
      <c r="P1097" s="649"/>
      <c r="Q1097" s="650"/>
      <c r="R1097" s="848">
        <f>SUMIF($L1080:$L1096,"SUBI",R1080:R1096)</f>
        <v>2620</v>
      </c>
      <c r="S1097" s="866"/>
      <c r="T1097" s="848">
        <f>SUMIF($L1080:$L1096,"SUBI",T1080:T1096)</f>
        <v>15</v>
      </c>
      <c r="U1097" s="529"/>
      <c r="V1097" s="529"/>
      <c r="W1097" s="529"/>
      <c r="X1097" s="529"/>
      <c r="Y1097" s="529"/>
      <c r="Z1097" s="529"/>
      <c r="AA1097" s="529"/>
      <c r="AB1097" s="529"/>
      <c r="AC1097" s="529"/>
      <c r="AD1097" s="529"/>
      <c r="AE1097" s="529"/>
      <c r="AF1097" s="529"/>
      <c r="AG1097" s="529"/>
      <c r="AH1097" s="529"/>
      <c r="AI1097" s="529"/>
      <c r="AJ1097" s="529"/>
      <c r="AK1097" s="529"/>
      <c r="AL1097" s="529"/>
      <c r="AM1097" s="529"/>
      <c r="AN1097" s="529"/>
      <c r="AO1097" s="529"/>
    </row>
    <row r="1098" spans="1:41" s="519" customFormat="1" thickTop="1">
      <c r="A1098" s="47"/>
      <c r="B1098" s="40"/>
      <c r="C1098" s="47"/>
      <c r="E1098" s="41" t="s">
        <v>138</v>
      </c>
      <c r="F1098" s="41" t="s">
        <v>139</v>
      </c>
      <c r="G1098" s="47"/>
      <c r="H1098" s="47"/>
      <c r="I1098" s="47"/>
      <c r="J1098" s="47"/>
      <c r="K1098" s="47" t="s">
        <v>140</v>
      </c>
      <c r="L1098" s="774"/>
      <c r="M1098" s="47"/>
      <c r="N1098" s="47"/>
      <c r="O1098" s="48"/>
      <c r="P1098" s="47"/>
      <c r="Q1098"/>
      <c r="R1098"/>
      <c r="S1098"/>
      <c r="T1098" s="40"/>
      <c r="AG1098" s="627" t="s">
        <v>277</v>
      </c>
      <c r="AH1098" s="627" t="s">
        <v>278</v>
      </c>
      <c r="AI1098" s="627" t="s">
        <v>279</v>
      </c>
      <c r="AJ1098" s="627" t="s">
        <v>280</v>
      </c>
      <c r="AK1098" s="627" t="s">
        <v>281</v>
      </c>
      <c r="AM1098" s="628" t="s">
        <v>290</v>
      </c>
      <c r="AN1098" s="629" t="s">
        <v>291</v>
      </c>
      <c r="AO1098" s="520" t="s">
        <v>287</v>
      </c>
    </row>
    <row r="1099" spans="1:41" s="519" customFormat="1" ht="13.2">
      <c r="A1099" s="630">
        <v>26</v>
      </c>
      <c r="B1099" s="521" t="s">
        <v>141</v>
      </c>
      <c r="C1099" s="631"/>
      <c r="D1099" s="632" t="s">
        <v>683</v>
      </c>
      <c r="E1099" s="775">
        <f ca="1">IF(AND($A1099=0,$A$1="DIF"),0, ROUND(ROUND(SUMIF($L1101:$L1107,"SUBI",$E1101:$E1107)/$A1099,2)*$C$12,2))</f>
        <v>437</v>
      </c>
      <c r="F1099" s="776">
        <f ca="1">ROUND($A1099*$E1099,2)</f>
        <v>11362</v>
      </c>
      <c r="G1099" s="635" t="s">
        <v>142</v>
      </c>
      <c r="H1099" s="636"/>
      <c r="I1099" s="637"/>
      <c r="J1099" s="636"/>
      <c r="K1099" s="777"/>
      <c r="L1099" s="778" t="s">
        <v>143</v>
      </c>
      <c r="M1099" s="638"/>
      <c r="N1099" s="638"/>
      <c r="O1099" s="638"/>
      <c r="P1099" s="638"/>
      <c r="Q1099"/>
      <c r="R1099"/>
      <c r="S1099"/>
      <c r="T1099" s="779" t="str">
        <f ca="1">IF(AND($R1113=0,$T1113=0),"0.00","mu :" &amp; ROUND($F1099/$C$12/($R1113+$T1113*$D$9),2))</f>
        <v>mu :1</v>
      </c>
      <c r="W1099" s="522"/>
      <c r="AG1099" s="780">
        <f ca="1">IF(A1099=0,0,ROUND(SUM(AG1101:AG1113)/A1099,2))</f>
        <v>330.73</v>
      </c>
      <c r="AH1099" s="780">
        <f ca="1">$AG1099*$A1099</f>
        <v>8598.98</v>
      </c>
      <c r="AI1099" s="780">
        <f ca="1">$E1099-$AG1099</f>
        <v>106.26999999999998</v>
      </c>
      <c r="AJ1099" s="780">
        <f ca="1">$A1099*$AI1099</f>
        <v>2763.0199999999995</v>
      </c>
      <c r="AK1099" s="781">
        <f ca="1">ROUND(($AG1099+$AI1099)*$A1099,2)</f>
        <v>11362</v>
      </c>
      <c r="AM1099" s="525">
        <f ca="1">ROUND(R1113,2)</f>
        <v>8598.98</v>
      </c>
      <c r="AN1099" s="526">
        <f ca="1">ROUND(T1113,2)</f>
        <v>100.62</v>
      </c>
      <c r="AO1099" s="527">
        <f ca="1">ROUND(AM1099+AN1099,2)*A1099</f>
        <v>226189.6</v>
      </c>
    </row>
    <row r="1100" spans="1:41" s="519" customFormat="1" ht="133.19999999999999" customHeight="1">
      <c r="A1100" s="782"/>
      <c r="B1100" s="783"/>
      <c r="C1100" s="631"/>
      <c r="D1100" s="981" t="s">
        <v>504</v>
      </c>
      <c r="F1100" s="636"/>
      <c r="G1100" s="636"/>
      <c r="H1100" s="636"/>
      <c r="I1100" s="637"/>
      <c r="J1100" s="636"/>
      <c r="K1100" s="636" t="s">
        <v>144</v>
      </c>
      <c r="L1100" s="785"/>
      <c r="M1100" s="636"/>
      <c r="N1100" s="636"/>
      <c r="O1100" s="636"/>
      <c r="P1100" s="636"/>
      <c r="Q1100" s="47"/>
      <c r="R1100" s="528"/>
      <c r="S1100" s="640"/>
      <c r="T1100" s="636"/>
    </row>
    <row r="1101" spans="1:41" s="519" customFormat="1" ht="12">
      <c r="A1101" s="786"/>
      <c r="B1101" s="787"/>
      <c r="C1101" s="641"/>
      <c r="D1101" s="636"/>
      <c r="E1101" s="788">
        <f ca="1">F1099/$C$12-SUMIF($L1098:$L1113,"SUBI",$E1098:$E1113)</f>
        <v>-1.0000000000218279E-2</v>
      </c>
      <c r="F1101" s="789" t="s">
        <v>589</v>
      </c>
      <c r="G1101" s="790"/>
      <c r="H1101" s="790"/>
      <c r="I1101" s="791"/>
      <c r="J1101" s="790"/>
      <c r="K1101" s="790"/>
      <c r="L1101" s="792"/>
      <c r="M1101" s="793"/>
      <c r="N1101" s="793"/>
      <c r="O1101" s="793"/>
      <c r="P1101" s="793"/>
      <c r="Q1101" s="794"/>
      <c r="R1101" s="795"/>
      <c r="S1101" s="794"/>
      <c r="T1101" s="796"/>
    </row>
    <row r="1102" spans="1:41" s="519" customFormat="1" ht="12" customHeight="1">
      <c r="A1102" s="797"/>
      <c r="B1102" s="798"/>
      <c r="C1102" s="799"/>
      <c r="D1102" s="799" t="str">
        <f>$F$2</f>
        <v>Electrical</v>
      </c>
      <c r="E1102" s="799">
        <f ca="1">ROUND(($R1106*$S$2 + ($T1106*$T$2)), 2)</f>
        <v>11005.03</v>
      </c>
      <c r="F1102" s="800">
        <f ca="1">$E1102*$C$12</f>
        <v>11005.03</v>
      </c>
      <c r="G1102" s="528"/>
      <c r="H1102" s="801"/>
      <c r="I1102" s="528"/>
      <c r="J1102" s="48"/>
      <c r="K1102" s="802" t="s">
        <v>3</v>
      </c>
      <c r="L1102" s="803" t="s">
        <v>590</v>
      </c>
      <c r="M1102" s="528"/>
      <c r="N1102" s="528"/>
      <c r="O1102" s="48"/>
      <c r="P1102" s="528"/>
      <c r="Q1102" s="528"/>
      <c r="R1102"/>
      <c r="S1102"/>
      <c r="T1102"/>
    </row>
    <row r="1103" spans="1:41" s="956" customFormat="1" ht="13.2">
      <c r="A1103"/>
      <c r="B1103" s="948"/>
      <c r="C1103" s="948" t="s">
        <v>742</v>
      </c>
      <c r="D1103" s="948" t="str">
        <f ca="1">CELL("Address",Elec_Rates!D$100)</f>
        <v>[ELM25_0085_Quintano_Elec_Mech_HVAC_Est_Rev_B.xlsx]Elec_Rates!$D$100</v>
      </c>
      <c r="E1103" s="949"/>
      <c r="F1103" s="949"/>
      <c r="G1103" s="950" t="s">
        <v>743</v>
      </c>
      <c r="H1103" s="950"/>
      <c r="I1103" s="950"/>
      <c r="J1103" s="950"/>
      <c r="K1103" s="951"/>
      <c r="L1103" s="949"/>
      <c r="M1103" s="949"/>
      <c r="N1103" s="949"/>
      <c r="O1103" s="952"/>
      <c r="P1103" s="949"/>
      <c r="Q1103" s="953"/>
      <c r="R1103" s="954"/>
      <c r="S1103" s="953"/>
      <c r="T1103" s="943"/>
      <c r="U1103" s="955"/>
    </row>
    <row r="1104" spans="1:41" s="956" customFormat="1" ht="11.4">
      <c r="A1104" s="957">
        <v>26</v>
      </c>
      <c r="B1104" s="958">
        <v>1</v>
      </c>
      <c r="C1104" s="958">
        <f>$A1104*$B1104</f>
        <v>26</v>
      </c>
      <c r="D1104" s="959" t="str">
        <f>Elec_Rates!$D$100</f>
        <v>001# SFDI adjacent to each damper.</v>
      </c>
      <c r="E1104" s="959"/>
      <c r="F1104" s="959" t="s">
        <v>744</v>
      </c>
      <c r="G1104" s="960" t="s">
        <v>760</v>
      </c>
      <c r="H1104" s="960"/>
      <c r="I1104" s="960"/>
      <c r="J1104" s="960"/>
      <c r="K1104" s="961"/>
      <c r="L1104" s="955"/>
      <c r="M1104" s="955"/>
      <c r="N1104" s="955"/>
      <c r="O1104" s="962"/>
      <c r="P1104" s="959"/>
      <c r="Q1104" s="963">
        <f ca="1">$B1104*Elec_Rates!$R$100</f>
        <v>330.73</v>
      </c>
      <c r="R1104" s="954">
        <f ca="1">$A1104*Q1104</f>
        <v>8598.98</v>
      </c>
      <c r="S1104" s="963">
        <f ca="1">$B1104*Elec_Rates!$T$100</f>
        <v>3.37</v>
      </c>
      <c r="T1104" s="943">
        <f ca="1">$A1104*S1104</f>
        <v>87.62</v>
      </c>
      <c r="U1104" s="501"/>
    </row>
    <row r="1105" spans="1:41" s="519" customFormat="1" ht="13.95" customHeight="1">
      <c r="A1105" s="49"/>
      <c r="B1105" s="528"/>
      <c r="C1105" s="528"/>
      <c r="D1105" s="528"/>
      <c r="E1105" s="528"/>
      <c r="F1105" s="528"/>
      <c r="G1105" s="528"/>
      <c r="H1105" s="801"/>
      <c r="I1105" s="528"/>
      <c r="J1105" s="48"/>
      <c r="K1105" s="805"/>
      <c r="L1105" s="806"/>
      <c r="M1105" s="528"/>
      <c r="N1105" s="528"/>
      <c r="O1105" s="48"/>
      <c r="P1105" s="528"/>
      <c r="Q1105" s="528"/>
      <c r="R1105" s="807">
        <f>$A1105*Q1105</f>
        <v>0</v>
      </c>
      <c r="S1105" s="528"/>
      <c r="T1105" s="643">
        <f>$A1105*S1105*$T$1</f>
        <v>0</v>
      </c>
    </row>
    <row r="1106" spans="1:41" s="519" customFormat="1" ht="12">
      <c r="A1106" s="808" t="s">
        <v>145</v>
      </c>
      <c r="B1106" s="809">
        <f>(R1105+T1105)</f>
        <v>0</v>
      </c>
      <c r="C1106" s="641"/>
      <c r="G1106" s="810"/>
      <c r="H1106" s="810"/>
      <c r="I1106" s="810"/>
      <c r="J1106" s="810"/>
      <c r="K1106" s="811" t="s">
        <v>3</v>
      </c>
      <c r="L1106" s="812" t="s">
        <v>590</v>
      </c>
      <c r="M1106" s="810"/>
      <c r="N1106" s="810"/>
      <c r="O1106" s="810"/>
      <c r="P1106" s="810"/>
      <c r="Q1106" s="813"/>
      <c r="R1106" s="814">
        <f ca="1">SUM(R1102:R1105)</f>
        <v>8598.98</v>
      </c>
      <c r="S1106" s="815"/>
      <c r="T1106" s="814">
        <f ca="1">SUM(T1102:T1105)</f>
        <v>87.62</v>
      </c>
      <c r="AG1106" s="816">
        <f ca="1">ROUND($R1106*$S$2,2)</f>
        <v>8598.98</v>
      </c>
    </row>
    <row r="1107" spans="1:41" s="519" customFormat="1" ht="12" customHeight="1">
      <c r="A1107" s="817"/>
      <c r="B1107" s="818"/>
      <c r="C1107" s="819"/>
      <c r="D1107" s="819" t="str">
        <f>$F$3</f>
        <v>ECA</v>
      </c>
      <c r="E1107" s="819">
        <f>ROUND(($R1111*$S$3 + ($T1111*$T$3)), 2)</f>
        <v>356.98</v>
      </c>
      <c r="F1107" s="820">
        <f ca="1">$F1099-SUMIF($L1101:$P1104,"SUBI",$F1101:$F1104)</f>
        <v>356.96999999999935</v>
      </c>
      <c r="G1107" s="518"/>
      <c r="H1107" s="518"/>
      <c r="I1107" s="518"/>
      <c r="J1107" s="518"/>
      <c r="K1107" s="802" t="s">
        <v>5</v>
      </c>
      <c r="L1107" s="803" t="s">
        <v>590</v>
      </c>
      <c r="M1107" s="518"/>
      <c r="N1107" s="518"/>
      <c r="O1107" s="518"/>
      <c r="P1107" s="518"/>
      <c r="Q1107" s="518"/>
      <c r="R1107" s="821"/>
      <c r="S1107" s="518"/>
      <c r="T1107" s="821"/>
    </row>
    <row r="1108" spans="1:41" s="933" customFormat="1" ht="13.2">
      <c r="A1108" s="100">
        <v>26</v>
      </c>
      <c r="B1108" s="933" t="s">
        <v>840</v>
      </c>
      <c r="D1108" s="933" t="s">
        <v>879</v>
      </c>
      <c r="F1108" s="933" t="s">
        <v>877</v>
      </c>
      <c r="G1108" s="936" t="s">
        <v>880</v>
      </c>
      <c r="H1108" s="937">
        <v>902</v>
      </c>
      <c r="I1108" s="933" t="s">
        <v>778</v>
      </c>
      <c r="O1108" s="938">
        <v>3</v>
      </c>
      <c r="P1108" s="939">
        <v>35072</v>
      </c>
      <c r="Q1108" s="940"/>
      <c r="R1108" s="941">
        <f>$A1108*Q1108</f>
        <v>0</v>
      </c>
      <c r="S1108" s="940">
        <f>13/26</f>
        <v>0.5</v>
      </c>
      <c r="T1108" s="942">
        <f>$A1108*S1108*$T$1</f>
        <v>13</v>
      </c>
    </row>
    <row r="1109" spans="1:41" s="519" customFormat="1" ht="11.4">
      <c r="A1109" s="49"/>
      <c r="B1109" s="528"/>
      <c r="C1109" s="528"/>
      <c r="D1109" s="528"/>
      <c r="E1109" s="528"/>
      <c r="F1109" s="528"/>
      <c r="G1109" s="528"/>
      <c r="H1109" s="528"/>
      <c r="I1109" s="528"/>
      <c r="J1109" s="528"/>
      <c r="K1109" s="528"/>
      <c r="L1109" s="806"/>
      <c r="M1109" s="528"/>
      <c r="N1109" s="528"/>
      <c r="O1109" s="528"/>
      <c r="P1109" s="528"/>
      <c r="Q1109" s="528"/>
      <c r="R1109" s="807">
        <f>$A1109*Q1109</f>
        <v>0</v>
      </c>
      <c r="S1109" s="528"/>
      <c r="T1109" s="643">
        <f>$A1109*S1109*$T$1</f>
        <v>0</v>
      </c>
    </row>
    <row r="1110" spans="1:41" s="519" customFormat="1" ht="13.2">
      <c r="A1110" s="49"/>
      <c r="B1110" s="528"/>
      <c r="C1110" s="528"/>
      <c r="D1110" s="3"/>
      <c r="E1110" s="528"/>
      <c r="F1110" s="528"/>
      <c r="G1110" s="528"/>
      <c r="H1110" s="528"/>
      <c r="I1110" s="528"/>
      <c r="J1110" s="528"/>
      <c r="K1110" s="528"/>
      <c r="L1110" s="806"/>
      <c r="M1110" s="528"/>
      <c r="N1110" s="528"/>
      <c r="O1110" s="528"/>
      <c r="P1110" s="528"/>
      <c r="Q1110" s="528"/>
      <c r="R1110" s="807">
        <f>$A1110*Q1110</f>
        <v>0</v>
      </c>
      <c r="S1110" s="528"/>
      <c r="T1110" s="643">
        <f>$A1110*S1110*$T$1</f>
        <v>0</v>
      </c>
    </row>
    <row r="1111" spans="1:41" s="519" customFormat="1" ht="12" customHeight="1">
      <c r="A1111" s="835" t="s">
        <v>145</v>
      </c>
      <c r="B1111" s="836">
        <f>(R1110+T1110)</f>
        <v>0</v>
      </c>
      <c r="C1111" s="837"/>
      <c r="D1111" s="837"/>
      <c r="E1111" s="837"/>
      <c r="F1111" s="837"/>
      <c r="G1111" s="813"/>
      <c r="H1111" s="813"/>
      <c r="I1111" s="813"/>
      <c r="J1111" s="813"/>
      <c r="K1111" s="838" t="s">
        <v>5</v>
      </c>
      <c r="L1111" s="839" t="s">
        <v>590</v>
      </c>
      <c r="M1111" s="813"/>
      <c r="N1111" s="813"/>
      <c r="O1111" s="813"/>
      <c r="P1111" s="813"/>
      <c r="Q1111" s="813"/>
      <c r="R1111" s="814">
        <f>SUM(R1107:R1110)</f>
        <v>0</v>
      </c>
      <c r="S1111" s="815"/>
      <c r="T1111" s="814">
        <f>SUM(T1107:T1110)</f>
        <v>13</v>
      </c>
      <c r="AG1111" s="840">
        <f>ROUND($R1111*$S$3,2)</f>
        <v>0</v>
      </c>
    </row>
    <row r="1112" spans="1:41" s="519" customFormat="1" ht="12.75" customHeight="1">
      <c r="A1112" s="841"/>
      <c r="B1112" s="842"/>
      <c r="E1112" s="641"/>
      <c r="F1112" s="843"/>
      <c r="G1112" s="641"/>
      <c r="H1112" s="641"/>
      <c r="I1112" s="518"/>
      <c r="J1112" s="641"/>
      <c r="K1112" s="641"/>
      <c r="L1112" s="844"/>
      <c r="M1112" s="652"/>
      <c r="N1112" s="652"/>
      <c r="O1112" s="652"/>
      <c r="P1112" s="652"/>
      <c r="Q1112" s="653"/>
      <c r="R1112" s="821"/>
      <c r="S1112" s="641"/>
      <c r="T1112" s="821"/>
    </row>
    <row r="1113" spans="1:41" s="519" customFormat="1" ht="13.5" customHeight="1" thickBot="1">
      <c r="A1113" s="845"/>
      <c r="B1113" s="846"/>
      <c r="C1113" s="529"/>
      <c r="D1113" s="529"/>
      <c r="E1113" s="646"/>
      <c r="F1113" s="647"/>
      <c r="G1113" s="646" t="s">
        <v>146</v>
      </c>
      <c r="H1113" s="646"/>
      <c r="I1113" s="648"/>
      <c r="J1113" s="646"/>
      <c r="K1113" s="646"/>
      <c r="L1113" s="847" t="s">
        <v>143</v>
      </c>
      <c r="M1113" s="649"/>
      <c r="N1113" s="649"/>
      <c r="O1113" s="649"/>
      <c r="P1113" s="649"/>
      <c r="Q1113" s="650"/>
      <c r="R1113" s="848">
        <f ca="1">SUMIF($L1100:$L1112,"SUBI",R1100:R1112)</f>
        <v>8598.98</v>
      </c>
      <c r="S1113" s="646"/>
      <c r="T1113" s="848">
        <f ca="1">SUMIF($L1100:$L1112,"SUBI",T1100:T1112)</f>
        <v>100.62</v>
      </c>
      <c r="U1113" s="529"/>
      <c r="V1113" s="529"/>
      <c r="W1113" s="529"/>
      <c r="X1113" s="529"/>
      <c r="Y1113" s="529"/>
      <c r="Z1113" s="529"/>
      <c r="AA1113" s="529"/>
      <c r="AB1113" s="529"/>
      <c r="AC1113" s="529"/>
      <c r="AD1113" s="529"/>
      <c r="AE1113" s="529"/>
      <c r="AF1113" s="529"/>
      <c r="AG1113" s="529"/>
      <c r="AH1113" s="529"/>
      <c r="AI1113" s="529"/>
      <c r="AJ1113" s="529"/>
      <c r="AK1113" s="529"/>
      <c r="AL1113" s="529"/>
      <c r="AM1113" s="529"/>
      <c r="AN1113" s="529"/>
      <c r="AO1113" s="529"/>
    </row>
    <row r="1114" spans="1:41" s="519" customFormat="1" ht="12" thickTop="1">
      <c r="A1114" s="42" t="s">
        <v>154</v>
      </c>
      <c r="D1114" s="12"/>
      <c r="E1114" s="41"/>
      <c r="O1114" s="654"/>
    </row>
    <row r="1115" spans="1:41" s="519" customFormat="1" ht="13.2">
      <c r="B1115" s="3"/>
      <c r="O1115" s="654"/>
    </row>
    <row r="1116" spans="1:41" s="519" customFormat="1" ht="12">
      <c r="B1116" s="655">
        <f ca="1">$F1116/$C$2-($R1116*$S$2+$T1116*$T$2)</f>
        <v>-6.2399999995250255E-2</v>
      </c>
      <c r="D1116" s="656" t="s">
        <v>934</v>
      </c>
      <c r="E1116" s="657"/>
      <c r="F1116" s="658">
        <f ca="1">SUMIF($L487:$L1114,"ITEM",F487:F1114)</f>
        <v>65837.31</v>
      </c>
      <c r="G1116" s="641"/>
      <c r="H1116" s="641"/>
      <c r="I1116" s="518"/>
      <c r="J1116" s="641"/>
      <c r="K1116" s="641"/>
      <c r="L1116" s="638" t="s">
        <v>165</v>
      </c>
      <c r="M1116" s="638"/>
      <c r="N1116" s="638"/>
      <c r="O1116" s="638"/>
      <c r="P1116" s="638"/>
      <c r="R1116" s="658">
        <f ca="1">SUMIF($L487:$L1114,"ITEM",R487:R1114)</f>
        <v>53935.11</v>
      </c>
      <c r="S1116" s="50"/>
      <c r="T1116" s="658">
        <f ca="1">SUMIF($L487:$L1114,"ITEM",T487:T1114)</f>
        <v>433.44</v>
      </c>
    </row>
    <row r="1117" spans="1:41" s="519" customFormat="1" ht="13.2">
      <c r="A1117" s="47"/>
      <c r="B1117" s="43" t="s">
        <v>344</v>
      </c>
      <c r="C1117" s="47"/>
      <c r="D1117" s="3"/>
      <c r="F1117" s="659" t="s">
        <v>166</v>
      </c>
      <c r="G1117" s="641"/>
      <c r="H1117" s="641"/>
      <c r="I1117" s="518"/>
      <c r="J1117" s="641"/>
      <c r="K1117" s="641"/>
      <c r="L1117" s="641"/>
      <c r="M1117" s="641"/>
      <c r="N1117" s="641"/>
      <c r="O1117" s="641"/>
      <c r="P1117" s="641"/>
      <c r="Q1117" s="653"/>
      <c r="R1117" s="659" t="s">
        <v>167</v>
      </c>
      <c r="S1117" s="37"/>
      <c r="T1117" s="659" t="s">
        <v>168</v>
      </c>
    </row>
    <row r="1118" spans="1:41" s="519" customFormat="1" ht="13.2">
      <c r="A1118" s="641"/>
      <c r="B1118" s="3"/>
      <c r="C1118" s="641"/>
      <c r="D1118" s="3"/>
      <c r="E1118" s="3"/>
      <c r="G1118" s="3"/>
      <c r="H1118" s="3"/>
      <c r="I1118" s="3"/>
      <c r="J1118" s="3"/>
      <c r="K1118" s="3"/>
      <c r="L1118" s="3"/>
      <c r="M1118" s="3"/>
      <c r="N1118" s="3"/>
      <c r="O1118" s="99"/>
      <c r="P1118" s="3"/>
      <c r="Q1118" s="3"/>
      <c r="R1118" s="3"/>
      <c r="S1118" s="3"/>
      <c r="T1118" s="3"/>
    </row>
    <row r="1119" spans="1:41" s="519" customFormat="1" ht="12" thickBot="1">
      <c r="A1119" s="529"/>
      <c r="B1119" s="646"/>
      <c r="C1119" s="646"/>
      <c r="D1119" s="529"/>
      <c r="E1119" s="38"/>
      <c r="F1119" s="660"/>
      <c r="G1119" s="646"/>
      <c r="H1119" s="646"/>
      <c r="I1119" s="648"/>
      <c r="J1119" s="646"/>
      <c r="K1119" s="646"/>
      <c r="L1119" s="649"/>
      <c r="M1119" s="649"/>
      <c r="N1119" s="649"/>
      <c r="O1119" s="649"/>
      <c r="P1119" s="649"/>
      <c r="Q1119" s="650"/>
      <c r="R1119" s="660"/>
      <c r="S1119" s="661"/>
      <c r="T1119" s="660"/>
      <c r="U1119" s="529"/>
      <c r="V1119" s="529"/>
      <c r="W1119" s="529"/>
      <c r="X1119" s="529"/>
      <c r="Y1119" s="529"/>
      <c r="Z1119" s="529"/>
      <c r="AA1119" s="529"/>
      <c r="AB1119" s="529"/>
      <c r="AC1119" s="529"/>
      <c r="AD1119" s="529"/>
      <c r="AE1119" s="529"/>
      <c r="AF1119" s="529"/>
      <c r="AG1119" s="529"/>
      <c r="AH1119" s="529"/>
      <c r="AI1119" s="529"/>
      <c r="AJ1119" s="529"/>
      <c r="AK1119" s="529"/>
    </row>
    <row r="1120" spans="1:41" s="519" customFormat="1" thickTop="1">
      <c r="A1120" s="42" t="s">
        <v>154</v>
      </c>
      <c r="B1120" s="3"/>
      <c r="C1120" s="47"/>
      <c r="D1120" s="47"/>
      <c r="E1120" s="47"/>
      <c r="F1120" s="47"/>
      <c r="G1120" s="47"/>
      <c r="H1120" s="47"/>
      <c r="I1120" s="47"/>
      <c r="J1120" s="47"/>
      <c r="K1120" s="47"/>
      <c r="L1120" s="47"/>
      <c r="M1120" s="47"/>
      <c r="N1120" s="47"/>
      <c r="O1120" s="48"/>
      <c r="P1120" s="47"/>
      <c r="Q1120" s="47"/>
      <c r="R1120" s="47"/>
      <c r="S1120" s="47"/>
      <c r="T1120" s="47"/>
    </row>
    <row r="1121" spans="1:37" s="519" customFormat="1" ht="13.2">
      <c r="A1121" s="47"/>
      <c r="B1121" s="3"/>
      <c r="C1121" s="3"/>
      <c r="E1121" s="3"/>
      <c r="F1121" s="3"/>
      <c r="G1121" s="3"/>
      <c r="H1121" s="3"/>
      <c r="I1121" s="3"/>
      <c r="J1121" s="3"/>
      <c r="K1121" s="3"/>
      <c r="L1121" s="3"/>
      <c r="M1121" s="3"/>
      <c r="N1121" s="3"/>
      <c r="O1121" s="99"/>
      <c r="P1121" s="3"/>
      <c r="Q1121" s="3"/>
      <c r="R1121" s="3"/>
      <c r="S1121" s="3"/>
      <c r="T1121" s="3"/>
    </row>
    <row r="1122" spans="1:37" s="519" customFormat="1" ht="12">
      <c r="A1122" s="47"/>
      <c r="B1122" s="655">
        <f ca="1">$F1122/$C$2-($R1122*$S$2+$T1122*$T$2)</f>
        <v>-0.12380000000121072</v>
      </c>
      <c r="C1122" s="47"/>
      <c r="D1122" s="1019" t="s">
        <v>943</v>
      </c>
      <c r="E1122" s="657"/>
      <c r="F1122" s="1020">
        <f ca="1">SUMIF($L14:$L1120,"PAGE",F14:F1120)</f>
        <v>77880.72</v>
      </c>
      <c r="G1122" s="641"/>
      <c r="H1122" s="641"/>
      <c r="I1122" s="518"/>
      <c r="J1122" s="641"/>
      <c r="K1122" s="641"/>
      <c r="L1122" s="105" t="s">
        <v>944</v>
      </c>
      <c r="M1122" s="105"/>
      <c r="N1122" s="105"/>
      <c r="O1122" s="106"/>
      <c r="P1122" s="105"/>
      <c r="Q1122" s="47"/>
      <c r="R1122" s="1020">
        <f ca="1">SUMIF($L14:$L1120,"PAGE",R14:R1120)</f>
        <v>59282.735000000001</v>
      </c>
      <c r="S1122" s="47"/>
      <c r="T1122" s="1020">
        <f ca="1">SUMIF($L14:$L1120,"PAGE",T14:T1120)</f>
        <v>677.28</v>
      </c>
    </row>
    <row r="1123" spans="1:37" s="519" customFormat="1" ht="12">
      <c r="A1123" s="47"/>
      <c r="B1123" s="43" t="s">
        <v>344</v>
      </c>
      <c r="C1123" s="47"/>
      <c r="D1123" s="1019"/>
      <c r="F1123" s="1021" t="s">
        <v>945</v>
      </c>
      <c r="G1123" s="641"/>
      <c r="H1123" s="641"/>
      <c r="I1123" s="518"/>
      <c r="J1123" s="641"/>
      <c r="K1123" s="641"/>
      <c r="L1123" s="47"/>
      <c r="M1123" s="47"/>
      <c r="N1123" s="47"/>
      <c r="O1123" s="48"/>
      <c r="P1123" s="47"/>
      <c r="Q1123" s="47"/>
      <c r="R1123" s="1021" t="s">
        <v>946</v>
      </c>
      <c r="S1123" s="37"/>
      <c r="T1123" s="1021" t="s">
        <v>947</v>
      </c>
    </row>
    <row r="1124" spans="1:37" s="519" customFormat="1" ht="11.4">
      <c r="O1124" s="654"/>
    </row>
    <row r="1125" spans="1:37" s="519" customFormat="1" ht="12" thickBot="1">
      <c r="A1125" s="646"/>
      <c r="B1125" s="646"/>
      <c r="C1125" s="646"/>
      <c r="D1125" s="646"/>
      <c r="E1125" s="646"/>
      <c r="F1125" s="38"/>
      <c r="G1125" s="529"/>
      <c r="H1125" s="529"/>
      <c r="I1125" s="529"/>
      <c r="J1125" s="529"/>
      <c r="K1125" s="529"/>
      <c r="L1125" s="646"/>
      <c r="M1125" s="646"/>
      <c r="N1125" s="646"/>
      <c r="O1125" s="646"/>
      <c r="P1125" s="646"/>
      <c r="Q1125" s="650"/>
      <c r="R1125" s="38"/>
      <c r="S1125" s="38"/>
      <c r="T1125" s="38"/>
      <c r="U1125" s="529"/>
      <c r="V1125" s="529"/>
      <c r="W1125" s="529"/>
      <c r="X1125" s="529"/>
      <c r="Y1125" s="529"/>
      <c r="Z1125" s="529"/>
      <c r="AA1125" s="529"/>
      <c r="AB1125" s="529"/>
      <c r="AC1125" s="529"/>
      <c r="AD1125" s="529"/>
      <c r="AE1125" s="529"/>
      <c r="AF1125" s="529"/>
      <c r="AG1125" s="529"/>
      <c r="AH1125" s="529"/>
      <c r="AI1125" s="529"/>
      <c r="AJ1125" s="529"/>
      <c r="AK1125" s="529"/>
    </row>
    <row r="1126" spans="1:37" s="519" customFormat="1" thickTop="1">
      <c r="A1126" s="47"/>
      <c r="B1126" s="47"/>
      <c r="C1126" s="3"/>
      <c r="D1126" s="3"/>
      <c r="E1126" s="47"/>
      <c r="F1126" s="47"/>
      <c r="G1126" s="47"/>
      <c r="H1126" s="47"/>
      <c r="I1126" s="47"/>
      <c r="J1126" s="47"/>
      <c r="K1126" s="47" t="s">
        <v>134</v>
      </c>
      <c r="L1126" s="47"/>
      <c r="M1126" s="47"/>
      <c r="N1126" s="47"/>
      <c r="O1126" s="48"/>
      <c r="P1126" s="47"/>
      <c r="Q1126" s="47"/>
      <c r="R1126" s="47"/>
      <c r="S1126" s="47"/>
      <c r="T1126" s="47"/>
    </row>
    <row r="1127" spans="1:37" s="519" customFormat="1" ht="12">
      <c r="A1127" s="47"/>
      <c r="B1127" s="47"/>
      <c r="C1127" s="47" t="s">
        <v>135</v>
      </c>
      <c r="D1127" s="36" t="s">
        <v>342</v>
      </c>
      <c r="E1127" s="47"/>
      <c r="F1127" s="47"/>
      <c r="G1127" s="47"/>
      <c r="H1127" s="47"/>
      <c r="I1127" s="47"/>
      <c r="J1127" s="47"/>
      <c r="K1127" s="47"/>
      <c r="L1127" s="47"/>
      <c r="M1127" s="47"/>
      <c r="N1127" s="47"/>
      <c r="O1127" s="48"/>
      <c r="P1127" s="47"/>
      <c r="Q1127" s="47"/>
      <c r="R1127" s="47"/>
      <c r="S1127" s="47"/>
      <c r="T1127" s="47"/>
    </row>
    <row r="1128" spans="1:37" s="519" customFormat="1" ht="12">
      <c r="A1128" s="47"/>
      <c r="B1128" s="47"/>
      <c r="C1128" s="47"/>
      <c r="D1128" s="36" t="s">
        <v>508</v>
      </c>
      <c r="E1128" s="47"/>
      <c r="F1128" s="47"/>
      <c r="G1128" s="47"/>
      <c r="H1128" s="47"/>
      <c r="I1128" s="47"/>
      <c r="J1128" s="47"/>
      <c r="K1128" s="47"/>
      <c r="L1128" s="47"/>
      <c r="M1128" s="47"/>
      <c r="N1128" s="47"/>
      <c r="O1128" s="48"/>
      <c r="P1128" s="47"/>
      <c r="Q1128" s="47"/>
      <c r="R1128" s="47"/>
      <c r="S1128" s="37"/>
      <c r="T1128" s="37"/>
    </row>
    <row r="1129" spans="1:37" s="3" customFormat="1" thickBot="1">
      <c r="A1129" s="529"/>
      <c r="O1129" s="99"/>
    </row>
    <row r="1130" spans="1:37" s="519" customFormat="1" thickTop="1">
      <c r="A1130" s="47"/>
      <c r="B1130" s="47"/>
      <c r="C1130" s="3"/>
      <c r="D1130" s="3"/>
      <c r="E1130" s="47"/>
      <c r="F1130" s="47"/>
      <c r="G1130" s="47"/>
      <c r="H1130" s="47"/>
      <c r="I1130" s="47"/>
      <c r="J1130" s="47"/>
      <c r="K1130" s="47" t="s">
        <v>134</v>
      </c>
      <c r="L1130" s="47"/>
      <c r="M1130" s="47"/>
      <c r="N1130" s="47"/>
      <c r="O1130" s="48"/>
      <c r="P1130" s="47"/>
      <c r="Q1130" s="47"/>
      <c r="R1130" s="47"/>
      <c r="S1130" s="47"/>
      <c r="T1130" s="47"/>
    </row>
    <row r="1131" spans="1:37" s="519" customFormat="1" ht="12">
      <c r="A1131" s="47"/>
      <c r="B1131" s="47"/>
      <c r="C1131" s="47" t="s">
        <v>135</v>
      </c>
      <c r="D1131" s="36"/>
      <c r="E1131" s="47"/>
      <c r="F1131" s="47"/>
      <c r="G1131" s="47"/>
      <c r="H1131" s="47"/>
      <c r="I1131" s="47"/>
      <c r="J1131" s="47"/>
      <c r="K1131" s="47"/>
      <c r="L1131" s="47"/>
      <c r="M1131" s="47"/>
      <c r="N1131" s="47"/>
      <c r="O1131" s="48"/>
      <c r="P1131" s="47"/>
      <c r="Q1131" s="47"/>
      <c r="R1131" s="47"/>
      <c r="S1131" s="47"/>
      <c r="T1131" s="47"/>
    </row>
    <row r="1132" spans="1:37" s="519" customFormat="1" ht="12">
      <c r="A1132" s="47"/>
      <c r="B1132" s="47"/>
      <c r="C1132" s="47"/>
      <c r="D1132" s="36" t="s">
        <v>509</v>
      </c>
      <c r="E1132" s="47"/>
      <c r="F1132" s="47"/>
      <c r="G1132" s="47"/>
      <c r="H1132" s="47"/>
      <c r="I1132" s="47"/>
      <c r="J1132" s="47"/>
      <c r="K1132" s="47"/>
      <c r="L1132" s="47"/>
      <c r="M1132" s="47"/>
      <c r="N1132" s="47"/>
      <c r="O1132" s="48"/>
      <c r="P1132" s="47"/>
      <c r="Q1132" s="47"/>
      <c r="R1132" s="47"/>
      <c r="S1132" s="37"/>
      <c r="T1132" s="37"/>
    </row>
    <row r="1133" spans="1:37" s="3" customFormat="1" thickBot="1">
      <c r="A1133" s="529"/>
      <c r="O1133" s="99"/>
    </row>
    <row r="1134" spans="1:37" s="519" customFormat="1" thickTop="1">
      <c r="A1134" s="47"/>
      <c r="B1134" s="47"/>
      <c r="C1134" s="3"/>
      <c r="D1134" s="3"/>
      <c r="E1134" s="47"/>
      <c r="F1134" s="47"/>
      <c r="G1134" s="47"/>
      <c r="H1134" s="47"/>
      <c r="I1134" s="47"/>
      <c r="J1134" s="47"/>
      <c r="K1134" s="47" t="s">
        <v>134</v>
      </c>
      <c r="L1134" s="47"/>
      <c r="M1134" s="47"/>
      <c r="N1134" s="47"/>
      <c r="O1134" s="48"/>
      <c r="P1134" s="47"/>
      <c r="Q1134" s="47"/>
      <c r="R1134" s="47"/>
      <c r="S1134" s="47"/>
      <c r="T1134" s="47"/>
    </row>
    <row r="1135" spans="1:37" s="519" customFormat="1" ht="12">
      <c r="A1135" s="47"/>
      <c r="B1135" s="47"/>
      <c r="C1135" s="47" t="s">
        <v>135</v>
      </c>
      <c r="D1135" s="36"/>
      <c r="E1135" s="47"/>
      <c r="F1135" s="47"/>
      <c r="G1135" s="47"/>
      <c r="H1135" s="47"/>
      <c r="I1135" s="47"/>
      <c r="J1135" s="47"/>
      <c r="K1135" s="47"/>
      <c r="L1135" s="47"/>
      <c r="M1135" s="47"/>
      <c r="N1135" s="47"/>
      <c r="O1135" s="48"/>
      <c r="P1135" s="47"/>
      <c r="Q1135" s="47"/>
      <c r="R1135" s="47"/>
      <c r="S1135" s="47"/>
      <c r="T1135" s="47"/>
    </row>
    <row r="1136" spans="1:37" s="519" customFormat="1" ht="12">
      <c r="A1136" s="47"/>
      <c r="B1136" s="47"/>
      <c r="C1136" s="47"/>
      <c r="D1136" s="36" t="s">
        <v>510</v>
      </c>
      <c r="E1136" s="47"/>
      <c r="F1136" s="47"/>
      <c r="G1136" s="47"/>
      <c r="H1136" s="47"/>
      <c r="I1136" s="47"/>
      <c r="J1136" s="47"/>
      <c r="K1136" s="47"/>
      <c r="L1136" s="47"/>
      <c r="M1136" s="47"/>
      <c r="N1136" s="47"/>
      <c r="O1136" s="48"/>
      <c r="P1136" s="47"/>
      <c r="Q1136" s="47"/>
      <c r="R1136" s="47"/>
      <c r="S1136" s="37"/>
      <c r="T1136" s="37"/>
    </row>
    <row r="1137" spans="1:41" s="3" customFormat="1" thickBot="1">
      <c r="A1137" s="529"/>
      <c r="O1137" s="99"/>
    </row>
    <row r="1138" spans="1:41" s="519" customFormat="1" thickTop="1">
      <c r="A1138" s="47"/>
      <c r="B1138" s="40"/>
      <c r="C1138" s="47"/>
      <c r="E1138" s="41" t="s">
        <v>138</v>
      </c>
      <c r="F1138" s="41" t="s">
        <v>139</v>
      </c>
      <c r="G1138" s="47"/>
      <c r="H1138" s="47"/>
      <c r="I1138" s="47"/>
      <c r="J1138" s="47"/>
      <c r="K1138" s="47" t="s">
        <v>140</v>
      </c>
      <c r="L1138" s="774"/>
      <c r="M1138" s="47"/>
      <c r="N1138" s="47"/>
      <c r="O1138" s="48"/>
      <c r="P1138" s="47"/>
      <c r="Q1138"/>
      <c r="R1138"/>
      <c r="S1138"/>
      <c r="T1138" s="40"/>
      <c r="AG1138" s="627" t="s">
        <v>277</v>
      </c>
      <c r="AH1138" s="627" t="s">
        <v>278</v>
      </c>
      <c r="AI1138" s="627" t="s">
        <v>279</v>
      </c>
      <c r="AJ1138" s="627" t="s">
        <v>280</v>
      </c>
      <c r="AK1138" s="627" t="s">
        <v>281</v>
      </c>
      <c r="AM1138" s="628" t="s">
        <v>290</v>
      </c>
      <c r="AN1138" s="629" t="s">
        <v>291</v>
      </c>
      <c r="AO1138" s="520" t="s">
        <v>287</v>
      </c>
    </row>
    <row r="1139" spans="1:41" s="519" customFormat="1" ht="13.2">
      <c r="A1139" s="630">
        <v>1</v>
      </c>
      <c r="B1139" s="521" t="s">
        <v>141</v>
      </c>
      <c r="C1139" s="631"/>
      <c r="D1139" s="632" t="s">
        <v>343</v>
      </c>
      <c r="E1139" s="775">
        <f>IF(AND($A1139=0,$A$1="DIF"),0,ROUND(ROUND(SUMIF($L1141:$L1152,"SUBI",$E1141:$E1152)/$A1139,2)*$C$12,2))</f>
        <v>0</v>
      </c>
      <c r="F1139" s="776">
        <f>ROUND($A1139*$E1139,2)</f>
        <v>0</v>
      </c>
      <c r="G1139" s="635" t="s">
        <v>142</v>
      </c>
      <c r="H1139" s="636"/>
      <c r="I1139" s="637"/>
      <c r="J1139" s="636"/>
      <c r="K1139" s="777"/>
      <c r="L1139" s="778" t="s">
        <v>143</v>
      </c>
      <c r="M1139" s="638"/>
      <c r="N1139" s="638"/>
      <c r="O1139" s="638"/>
      <c r="P1139" s="638"/>
      <c r="Q1139" s="967" t="s">
        <v>867</v>
      </c>
      <c r="R1139"/>
      <c r="S1139"/>
      <c r="T1139" s="779" t="str">
        <f>IF(AND($R1158=0,$T1158=0),"0.00","mu :" &amp; ROUND($F1139/$C$12/($R1158+$T1158*$D$9),2))</f>
        <v>0.00</v>
      </c>
      <c r="W1139" s="522"/>
      <c r="AG1139" s="780">
        <f>IF(A1139=0,0,ROUND(SUM(AG1141:AG1158)/A1139,2))</f>
        <v>0</v>
      </c>
      <c r="AH1139" s="780">
        <f>$AG1139*$A1139</f>
        <v>0</v>
      </c>
      <c r="AI1139" s="780">
        <f>$E1139-$AG1139</f>
        <v>0</v>
      </c>
      <c r="AJ1139" s="780">
        <f>$A1139*$AI1139</f>
        <v>0</v>
      </c>
      <c r="AK1139" s="781">
        <f>ROUND(($AG1139+$AI1139)*$A1139,2)</f>
        <v>0</v>
      </c>
      <c r="AM1139" s="525">
        <f>ROUND(R1158,2)</f>
        <v>0</v>
      </c>
      <c r="AN1139" s="526">
        <f>ROUND(T1158,2)</f>
        <v>0</v>
      </c>
      <c r="AO1139" s="527">
        <f>ROUND(AM1139+AN1139,2)*A1139</f>
        <v>0</v>
      </c>
    </row>
    <row r="1140" spans="1:41" s="519" customFormat="1" ht="70.2" customHeight="1">
      <c r="A1140" s="782"/>
      <c r="B1140" s="783"/>
      <c r="C1140" s="631"/>
      <c r="D1140" s="1081" t="s">
        <v>684</v>
      </c>
      <c r="E1140" s="1081"/>
      <c r="F1140" s="1081"/>
      <c r="G1140" s="1081"/>
      <c r="H1140" s="1081"/>
      <c r="I1140" s="1081"/>
      <c r="J1140" s="1081"/>
      <c r="K1140" s="1081"/>
      <c r="L1140" s="1081"/>
      <c r="M1140" s="1081"/>
      <c r="N1140" s="1081"/>
      <c r="O1140" s="1081"/>
      <c r="P1140" s="1081"/>
      <c r="Q1140" s="1081"/>
      <c r="R1140" s="1081"/>
      <c r="S1140" s="1081"/>
      <c r="T1140" s="1081"/>
    </row>
    <row r="1141" spans="1:41" s="519" customFormat="1" ht="12">
      <c r="A1141" s="849"/>
      <c r="B1141" s="850"/>
      <c r="C1141" s="641"/>
      <c r="D1141" s="811"/>
      <c r="E1141" s="851">
        <f>F1139/$C$12-SUMIF($L1138:$L1158,"SUBI",$E1138:$E1158)</f>
        <v>0</v>
      </c>
      <c r="F1141" s="852" t="s">
        <v>589</v>
      </c>
      <c r="G1141" s="790"/>
      <c r="H1141" s="790"/>
      <c r="I1141" s="791"/>
      <c r="J1141" s="790"/>
      <c r="K1141" s="790"/>
      <c r="L1141" s="792"/>
      <c r="M1141" s="793"/>
      <c r="N1141" s="793"/>
      <c r="O1141" s="793"/>
      <c r="P1141" s="793"/>
      <c r="Q1141" s="794"/>
      <c r="R1141" s="795"/>
      <c r="S1141" s="794"/>
      <c r="T1141" s="796"/>
    </row>
    <row r="1142" spans="1:41" s="519" customFormat="1" ht="12" customHeight="1">
      <c r="A1142" s="797"/>
      <c r="B1142" s="798"/>
      <c r="C1142" s="799"/>
      <c r="D1142" s="799" t="str">
        <f>$F$2</f>
        <v>Electrical</v>
      </c>
      <c r="E1142" s="799">
        <f>ROUND(($R1146*$S$2 + ($T1146*$T$2)), 2)</f>
        <v>0</v>
      </c>
      <c r="F1142" s="800">
        <f>$E1142*$C$12</f>
        <v>0</v>
      </c>
      <c r="G1142" s="528"/>
      <c r="H1142" s="801"/>
      <c r="I1142" s="528"/>
      <c r="J1142" s="48"/>
      <c r="K1142" s="802" t="s">
        <v>3</v>
      </c>
      <c r="L1142" s="803" t="s">
        <v>590</v>
      </c>
      <c r="M1142" s="528"/>
      <c r="N1142" s="528"/>
      <c r="O1142" s="48"/>
      <c r="P1142" s="528"/>
      <c r="Q1142" s="528"/>
      <c r="R1142"/>
      <c r="S1142"/>
      <c r="T1142"/>
    </row>
    <row r="1143" spans="1:41" s="519" customFormat="1" ht="14.4" customHeight="1">
      <c r="A1143" s="49"/>
      <c r="B1143" s="804" t="s">
        <v>591</v>
      </c>
      <c r="C1143" s="528"/>
      <c r="D1143" s="528"/>
      <c r="E1143" s="528"/>
      <c r="F1143" s="528"/>
      <c r="G1143" s="528"/>
      <c r="H1143" s="801"/>
      <c r="I1143" s="528"/>
      <c r="J1143" s="48"/>
      <c r="K1143" s="805"/>
      <c r="L1143" s="806"/>
      <c r="M1143" s="528"/>
      <c r="N1143" s="528"/>
      <c r="O1143" s="48"/>
      <c r="P1143" s="528"/>
      <c r="Q1143" s="528"/>
      <c r="R1143" s="807">
        <f>$A1143*Q1143</f>
        <v>0</v>
      </c>
      <c r="S1143" s="528"/>
      <c r="T1143" s="643">
        <f>$A1143*S1143*$T$1</f>
        <v>0</v>
      </c>
    </row>
    <row r="1144" spans="1:41" s="519" customFormat="1" ht="14.4" customHeight="1">
      <c r="A1144" s="49"/>
      <c r="B1144" s="528"/>
      <c r="C1144" s="528"/>
      <c r="D1144" s="528"/>
      <c r="E1144" s="528"/>
      <c r="F1144" s="528"/>
      <c r="G1144" s="528"/>
      <c r="H1144" s="801"/>
      <c r="I1144" s="528"/>
      <c r="J1144" s="48"/>
      <c r="K1144" s="805"/>
      <c r="L1144" s="806"/>
      <c r="M1144" s="528"/>
      <c r="N1144" s="528"/>
      <c r="O1144" s="48"/>
      <c r="P1144" s="528"/>
      <c r="Q1144" s="528"/>
      <c r="R1144" s="807">
        <f>$A1144*Q1144</f>
        <v>0</v>
      </c>
      <c r="S1144" s="528"/>
      <c r="T1144" s="643">
        <f>$A1144*S1144*$T$1</f>
        <v>0</v>
      </c>
    </row>
    <row r="1145" spans="1:41" s="519" customFormat="1" ht="14.4" customHeight="1">
      <c r="A1145" s="49"/>
      <c r="B1145" s="528"/>
      <c r="C1145" s="528"/>
      <c r="D1145" s="528"/>
      <c r="E1145" s="528"/>
      <c r="F1145" s="528"/>
      <c r="G1145" s="528"/>
      <c r="H1145" s="801"/>
      <c r="I1145" s="528"/>
      <c r="J1145" s="48"/>
      <c r="K1145" s="805"/>
      <c r="L1145" s="806"/>
      <c r="M1145" s="528"/>
      <c r="N1145" s="528"/>
      <c r="O1145" s="48"/>
      <c r="P1145" s="528"/>
      <c r="Q1145" s="528"/>
      <c r="R1145" s="807">
        <f>$A1145*Q1145</f>
        <v>0</v>
      </c>
      <c r="S1145" s="528"/>
      <c r="T1145" s="643">
        <f>$A1145*S1145*$T$1</f>
        <v>0</v>
      </c>
    </row>
    <row r="1146" spans="1:41" s="519" customFormat="1" ht="12">
      <c r="A1146" s="835" t="s">
        <v>145</v>
      </c>
      <c r="B1146" s="836">
        <f>(R1145+T1145)</f>
        <v>0</v>
      </c>
      <c r="C1146" s="790"/>
      <c r="G1146" s="810"/>
      <c r="H1146" s="810"/>
      <c r="I1146" s="810"/>
      <c r="J1146" s="810"/>
      <c r="K1146" s="811" t="s">
        <v>3</v>
      </c>
      <c r="L1146" s="812" t="s">
        <v>590</v>
      </c>
      <c r="M1146" s="810"/>
      <c r="N1146" s="810"/>
      <c r="O1146" s="810"/>
      <c r="P1146" s="810"/>
      <c r="Q1146" s="813"/>
      <c r="R1146" s="814">
        <f>SUM(R1142:R1145)</f>
        <v>0</v>
      </c>
      <c r="S1146" s="815"/>
      <c r="T1146" s="814">
        <f>SUM(T1142:T1145)</f>
        <v>0</v>
      </c>
      <c r="AG1146" s="816">
        <f>ROUND($R1146*$S$2,2)</f>
        <v>0</v>
      </c>
    </row>
    <row r="1147" spans="1:41" s="519" customFormat="1" ht="12" customHeight="1">
      <c r="A1147" s="797"/>
      <c r="B1147" s="853"/>
      <c r="C1147" s="854"/>
      <c r="D1147" s="855" t="str">
        <f>$F$3</f>
        <v>ECA</v>
      </c>
      <c r="E1147" s="855">
        <f>ROUND(($R1151*$S$3 + ($T1151*$T$3)), 2)</f>
        <v>0</v>
      </c>
      <c r="F1147" s="856">
        <f>$E1147*$C$12</f>
        <v>0</v>
      </c>
      <c r="G1147" s="518"/>
      <c r="H1147" s="518"/>
      <c r="I1147" s="518"/>
      <c r="J1147" s="518"/>
      <c r="K1147" s="802" t="s">
        <v>5</v>
      </c>
      <c r="L1147" s="803" t="s">
        <v>590</v>
      </c>
      <c r="M1147" s="518"/>
      <c r="N1147" s="518"/>
      <c r="O1147" s="518"/>
      <c r="P1147" s="518"/>
      <c r="Q1147" s="518"/>
      <c r="R1147" s="821"/>
      <c r="S1147" s="518"/>
      <c r="T1147" s="821"/>
    </row>
    <row r="1148" spans="1:41" s="834" customFormat="1" ht="15.6" customHeight="1">
      <c r="A1148" s="822"/>
      <c r="B1148" s="804" t="s">
        <v>592</v>
      </c>
      <c r="C1148" s="823"/>
      <c r="D1148" s="824"/>
      <c r="E1148" s="824"/>
      <c r="F1148" s="824"/>
      <c r="G1148" s="825"/>
      <c r="H1148" s="826"/>
      <c r="I1148" s="826"/>
      <c r="J1148" s="827"/>
      <c r="K1148" s="828"/>
      <c r="L1148" s="823"/>
      <c r="M1148" s="829"/>
      <c r="N1148" s="830"/>
      <c r="O1148" s="831"/>
      <c r="P1148" s="832"/>
      <c r="Q1148" s="833"/>
      <c r="R1148" s="807">
        <f>$A1148*Q1148</f>
        <v>0</v>
      </c>
      <c r="S1148" s="528"/>
      <c r="T1148" s="643">
        <f>$A1148*S1148*$T$1</f>
        <v>0</v>
      </c>
    </row>
    <row r="1149" spans="1:41" s="519" customFormat="1" ht="15.6" customHeight="1">
      <c r="A1149" s="49"/>
      <c r="B1149" s="528"/>
      <c r="C1149" s="528"/>
      <c r="D1149" s="528"/>
      <c r="E1149" s="528"/>
      <c r="F1149" s="528"/>
      <c r="G1149" s="528"/>
      <c r="H1149" s="528"/>
      <c r="I1149" s="528"/>
      <c r="J1149" s="528"/>
      <c r="K1149" s="528"/>
      <c r="L1149" s="806"/>
      <c r="M1149" s="528"/>
      <c r="N1149" s="528"/>
      <c r="O1149" s="528"/>
      <c r="P1149" s="528"/>
      <c r="Q1149" s="528"/>
      <c r="R1149" s="807">
        <f>$A1149*Q1149</f>
        <v>0</v>
      </c>
      <c r="S1149" s="528"/>
      <c r="T1149" s="643">
        <f>$A1149*S1149*$T$1</f>
        <v>0</v>
      </c>
    </row>
    <row r="1150" spans="1:41" s="519" customFormat="1" ht="15.6" customHeight="1">
      <c r="A1150" s="49"/>
      <c r="B1150" s="528"/>
      <c r="C1150" s="528"/>
      <c r="D1150" s="3"/>
      <c r="E1150" s="528"/>
      <c r="F1150" s="528"/>
      <c r="G1150" s="528"/>
      <c r="H1150" s="528"/>
      <c r="I1150" s="528"/>
      <c r="J1150" s="528"/>
      <c r="K1150" s="528"/>
      <c r="L1150" s="806"/>
      <c r="M1150" s="528"/>
      <c r="N1150" s="528"/>
      <c r="O1150" s="528"/>
      <c r="P1150" s="528"/>
      <c r="Q1150" s="528"/>
      <c r="R1150" s="807">
        <f>$A1150*Q1150</f>
        <v>0</v>
      </c>
      <c r="S1150" s="528"/>
      <c r="T1150" s="643">
        <f>$A1150*S1150*$T$1</f>
        <v>0</v>
      </c>
    </row>
    <row r="1151" spans="1:41" s="519" customFormat="1" ht="12">
      <c r="A1151" s="835" t="s">
        <v>145</v>
      </c>
      <c r="B1151" s="836">
        <f>(R1150+T1150)</f>
        <v>0</v>
      </c>
      <c r="C1151" s="790"/>
      <c r="G1151" s="810"/>
      <c r="H1151" s="810"/>
      <c r="I1151" s="810"/>
      <c r="J1151" s="810"/>
      <c r="K1151" s="838" t="s">
        <v>5</v>
      </c>
      <c r="L1151" s="812" t="s">
        <v>590</v>
      </c>
      <c r="M1151" s="810"/>
      <c r="N1151" s="810"/>
      <c r="O1151" s="810"/>
      <c r="P1151" s="810"/>
      <c r="Q1151" s="813"/>
      <c r="R1151" s="814">
        <f>SUM(R1147:R1150)</f>
        <v>0</v>
      </c>
      <c r="S1151" s="815"/>
      <c r="T1151" s="814">
        <f>SUM(T1147:T1150)</f>
        <v>0</v>
      </c>
      <c r="AG1151" s="840">
        <f>ROUND($R1151*$S$3,2)</f>
        <v>0</v>
      </c>
    </row>
    <row r="1152" spans="1:41" s="519" customFormat="1" ht="12" customHeight="1">
      <c r="A1152" s="817"/>
      <c r="B1152" s="857"/>
      <c r="C1152" s="858"/>
      <c r="D1152" s="859">
        <f>$F$4</f>
        <v>0</v>
      </c>
      <c r="E1152" s="859">
        <f>ROUND(($R1156*$S$4 + ($T1156*$T$4)), 2)</f>
        <v>0</v>
      </c>
      <c r="F1152" s="860">
        <f ca="1">$F1139-SUMIF($L1141:$P1149,"SUBI",$F1141:$F1149)</f>
        <v>0</v>
      </c>
      <c r="G1152" s="518"/>
      <c r="H1152" s="518"/>
      <c r="I1152" s="518"/>
      <c r="J1152" s="518"/>
      <c r="K1152" s="861" t="s">
        <v>8</v>
      </c>
      <c r="L1152" s="803" t="s">
        <v>590</v>
      </c>
      <c r="M1152" s="518"/>
      <c r="N1152" s="518"/>
      <c r="O1152" s="518"/>
      <c r="P1152" s="518"/>
      <c r="Q1152" s="518"/>
      <c r="R1152" s="821"/>
      <c r="S1152" s="518"/>
      <c r="T1152" s="821"/>
    </row>
    <row r="1153" spans="1:41" s="834" customFormat="1" ht="14.4" customHeight="1">
      <c r="A1153" s="822"/>
      <c r="B1153" s="804" t="s">
        <v>680</v>
      </c>
      <c r="C1153" s="823"/>
      <c r="D1153" s="824"/>
      <c r="E1153" s="824"/>
      <c r="F1153" s="824"/>
      <c r="G1153" s="825"/>
      <c r="H1153" s="826"/>
      <c r="I1153" s="826"/>
      <c r="J1153" s="827"/>
      <c r="K1153" s="828"/>
      <c r="L1153" s="823"/>
      <c r="M1153" s="829"/>
      <c r="N1153" s="830"/>
      <c r="O1153" s="862"/>
      <c r="P1153" s="832"/>
      <c r="Q1153" s="833"/>
      <c r="R1153" s="642">
        <f>$A1153*Q1153</f>
        <v>0</v>
      </c>
      <c r="S1153" s="833"/>
      <c r="T1153" s="643">
        <f>$A1153*S1153*$T$1</f>
        <v>0</v>
      </c>
    </row>
    <row r="1154" spans="1:41" s="519" customFormat="1" ht="12">
      <c r="A1154" s="47"/>
      <c r="B1154" s="641"/>
      <c r="C1154" s="641"/>
      <c r="D1154" s="863"/>
      <c r="E1154" s="843"/>
      <c r="F1154" s="518"/>
      <c r="G1154" s="518"/>
      <c r="H1154" s="518"/>
      <c r="I1154" s="518"/>
      <c r="J1154" s="518"/>
      <c r="K1154" s="518"/>
      <c r="L1154" s="864"/>
      <c r="M1154" s="518"/>
      <c r="N1154" s="518"/>
      <c r="O1154" s="518"/>
      <c r="P1154" s="518"/>
      <c r="Q1154" s="518"/>
      <c r="R1154" s="642">
        <f>$A1154*Q1154</f>
        <v>0</v>
      </c>
      <c r="S1154" s="518"/>
      <c r="T1154" s="643">
        <f>$A1154*S1154*$T$1</f>
        <v>0</v>
      </c>
    </row>
    <row r="1155" spans="1:41" s="519" customFormat="1" ht="12">
      <c r="A1155" s="47"/>
      <c r="B1155" s="641"/>
      <c r="C1155" s="641"/>
      <c r="D1155" s="863"/>
      <c r="E1155" s="843"/>
      <c r="F1155" s="518"/>
      <c r="G1155" s="518"/>
      <c r="H1155" s="518"/>
      <c r="I1155" s="518"/>
      <c r="J1155" s="518"/>
      <c r="K1155" s="518"/>
      <c r="L1155" s="864"/>
      <c r="M1155" s="518"/>
      <c r="N1155" s="518"/>
      <c r="O1155" s="518"/>
      <c r="P1155" s="518"/>
      <c r="Q1155" s="518"/>
      <c r="R1155" s="642">
        <f>$A1155*Q1155</f>
        <v>0</v>
      </c>
      <c r="S1155" s="518"/>
      <c r="T1155" s="643">
        <f>$A1155*S1155*$T$1</f>
        <v>0</v>
      </c>
    </row>
    <row r="1156" spans="1:41" s="519" customFormat="1" ht="12.75" customHeight="1">
      <c r="A1156" s="835" t="s">
        <v>145</v>
      </c>
      <c r="B1156" s="836">
        <f>(R1155+T1155)</f>
        <v>0</v>
      </c>
      <c r="C1156" s="837"/>
      <c r="D1156" s="837"/>
      <c r="E1156" s="837"/>
      <c r="F1156" s="837"/>
      <c r="G1156" s="813"/>
      <c r="H1156" s="813"/>
      <c r="I1156" s="813"/>
      <c r="J1156" s="813"/>
      <c r="K1156" s="838" t="s">
        <v>8</v>
      </c>
      <c r="L1156" s="839" t="s">
        <v>590</v>
      </c>
      <c r="M1156" s="813"/>
      <c r="N1156" s="813"/>
      <c r="O1156" s="813"/>
      <c r="P1156" s="813"/>
      <c r="Q1156" s="813"/>
      <c r="R1156" s="814">
        <f>SUM(R1152:R1155)</f>
        <v>0</v>
      </c>
      <c r="S1156" s="815"/>
      <c r="T1156" s="814">
        <f>SUM(T1152:T1155)</f>
        <v>0</v>
      </c>
      <c r="AG1156" s="865">
        <f>ROUND($R1156*$S$4,2)</f>
        <v>0</v>
      </c>
    </row>
    <row r="1157" spans="1:41" s="519" customFormat="1" ht="12.75" customHeight="1">
      <c r="A1157" s="841"/>
      <c r="B1157" s="842"/>
      <c r="E1157" s="641"/>
      <c r="F1157" s="843"/>
      <c r="G1157" s="641"/>
      <c r="H1157" s="641"/>
      <c r="I1157" s="518"/>
      <c r="J1157" s="641"/>
      <c r="K1157" s="641"/>
      <c r="L1157" s="844"/>
      <c r="M1157" s="652"/>
      <c r="N1157" s="652"/>
      <c r="O1157" s="652"/>
      <c r="P1157" s="652"/>
      <c r="Q1157" s="653"/>
      <c r="R1157" s="821"/>
      <c r="S1157" s="641"/>
      <c r="T1157" s="821"/>
    </row>
    <row r="1158" spans="1:41" s="519" customFormat="1" ht="13.5" customHeight="1" thickBot="1">
      <c r="A1158" s="845"/>
      <c r="B1158" s="846"/>
      <c r="C1158" s="529"/>
      <c r="D1158" s="529"/>
      <c r="E1158" s="646"/>
      <c r="F1158" s="647"/>
      <c r="G1158" s="646" t="s">
        <v>146</v>
      </c>
      <c r="H1158" s="646"/>
      <c r="I1158" s="648"/>
      <c r="J1158" s="646"/>
      <c r="K1158" s="646"/>
      <c r="L1158" s="847" t="s">
        <v>143</v>
      </c>
      <c r="M1158" s="649"/>
      <c r="N1158" s="649"/>
      <c r="O1158" s="649"/>
      <c r="P1158" s="649"/>
      <c r="Q1158" s="650"/>
      <c r="R1158" s="848">
        <f>SUMIF($L1140:$L1157,"SUBI",R1140:R1157)</f>
        <v>0</v>
      </c>
      <c r="S1158" s="866"/>
      <c r="T1158" s="848">
        <f>SUMIF($L1140:$L1157,"SUBI",T1140:T1157)</f>
        <v>0</v>
      </c>
      <c r="U1158" s="529"/>
      <c r="V1158" s="529"/>
      <c r="W1158" s="529"/>
      <c r="X1158" s="529"/>
      <c r="Y1158" s="529"/>
      <c r="Z1158" s="529"/>
      <c r="AA1158" s="529"/>
      <c r="AB1158" s="529"/>
      <c r="AC1158" s="529"/>
      <c r="AD1158" s="529"/>
      <c r="AE1158" s="529"/>
      <c r="AF1158" s="529"/>
      <c r="AG1158" s="529"/>
      <c r="AH1158" s="529"/>
      <c r="AI1158" s="529"/>
      <c r="AJ1158" s="529"/>
      <c r="AK1158" s="529"/>
      <c r="AL1158" s="529"/>
      <c r="AM1158" s="529"/>
      <c r="AN1158" s="529"/>
      <c r="AO1158" s="529"/>
    </row>
    <row r="1159" spans="1:41" s="519" customFormat="1" thickTop="1">
      <c r="A1159" s="47"/>
      <c r="B1159" s="40"/>
      <c r="C1159" s="47"/>
      <c r="E1159" s="41" t="s">
        <v>138</v>
      </c>
      <c r="F1159" s="41" t="s">
        <v>139</v>
      </c>
      <c r="G1159" s="47"/>
      <c r="H1159" s="47"/>
      <c r="I1159" s="47"/>
      <c r="J1159" s="47"/>
      <c r="K1159" s="47" t="s">
        <v>140</v>
      </c>
      <c r="L1159" s="774"/>
      <c r="M1159" s="47"/>
      <c r="N1159" s="47"/>
      <c r="O1159" s="48"/>
      <c r="P1159" s="47"/>
      <c r="Q1159"/>
      <c r="R1159"/>
      <c r="S1159"/>
      <c r="T1159" s="40"/>
      <c r="AG1159" s="627" t="s">
        <v>277</v>
      </c>
      <c r="AH1159" s="627" t="s">
        <v>278</v>
      </c>
      <c r="AI1159" s="627" t="s">
        <v>279</v>
      </c>
      <c r="AJ1159" s="627" t="s">
        <v>280</v>
      </c>
      <c r="AK1159" s="627" t="s">
        <v>281</v>
      </c>
      <c r="AM1159" s="628" t="s">
        <v>290</v>
      </c>
      <c r="AN1159" s="629" t="s">
        <v>291</v>
      </c>
      <c r="AO1159" s="520" t="s">
        <v>287</v>
      </c>
    </row>
    <row r="1160" spans="1:41" s="519" customFormat="1" ht="13.2">
      <c r="A1160" s="630">
        <v>1</v>
      </c>
      <c r="B1160" s="521" t="s">
        <v>141</v>
      </c>
      <c r="C1160" s="631"/>
      <c r="D1160" s="632" t="s">
        <v>685</v>
      </c>
      <c r="E1160" s="775">
        <f>IF(AND($A1160=0,$A$1="DIF"),0,ROUND(ROUND(SUMIF($L1162:$L1173,"SUBI",$E1162:$E1173)/$A1160,2)*$C$12,2))</f>
        <v>0</v>
      </c>
      <c r="F1160" s="776">
        <f>ROUND($A1160*$E1160,2)</f>
        <v>0</v>
      </c>
      <c r="G1160" s="635" t="s">
        <v>142</v>
      </c>
      <c r="H1160" s="636"/>
      <c r="I1160" s="637"/>
      <c r="J1160" s="636"/>
      <c r="K1160" s="777"/>
      <c r="L1160" s="778" t="s">
        <v>143</v>
      </c>
      <c r="M1160" s="638"/>
      <c r="N1160" s="638"/>
      <c r="O1160" s="638"/>
      <c r="P1160" s="638"/>
      <c r="Q1160" s="967" t="s">
        <v>867</v>
      </c>
      <c r="R1160"/>
      <c r="S1160"/>
      <c r="T1160" s="779" t="str">
        <f>IF(AND($R1179=0,$T1179=0),"0.00","mu :" &amp; ROUND($F1160/$C$12/($R1179+$T1179*$D$9),2))</f>
        <v>0.00</v>
      </c>
      <c r="W1160" s="522"/>
      <c r="AG1160" s="780">
        <f>IF(A1160=0,0,ROUND(SUM(AG1162:AG1179)/A1160,2))</f>
        <v>0</v>
      </c>
      <c r="AH1160" s="780">
        <f>$AG1160*$A1160</f>
        <v>0</v>
      </c>
      <c r="AI1160" s="780">
        <f>$E1160-$AG1160</f>
        <v>0</v>
      </c>
      <c r="AJ1160" s="780">
        <f>$A1160*$AI1160</f>
        <v>0</v>
      </c>
      <c r="AK1160" s="781">
        <f>ROUND(($AG1160+$AI1160)*$A1160,2)</f>
        <v>0</v>
      </c>
      <c r="AM1160" s="525">
        <f>ROUND(R1179,2)</f>
        <v>0</v>
      </c>
      <c r="AN1160" s="526">
        <f>ROUND(T1179,2)</f>
        <v>0</v>
      </c>
      <c r="AO1160" s="527">
        <f>ROUND(AM1160+AN1160,2)*A1160</f>
        <v>0</v>
      </c>
    </row>
    <row r="1161" spans="1:41" s="519" customFormat="1" ht="39.9" customHeight="1">
      <c r="A1161" s="782"/>
      <c r="B1161" s="783"/>
      <c r="C1161" s="631"/>
      <c r="D1161" s="1081" t="s">
        <v>686</v>
      </c>
      <c r="E1161" s="1081"/>
      <c r="F1161" s="1081"/>
      <c r="G1161" s="1081"/>
      <c r="H1161" s="1081"/>
      <c r="I1161" s="1081"/>
      <c r="J1161" s="1081"/>
      <c r="K1161" s="1081"/>
      <c r="L1161" s="1081"/>
      <c r="M1161" s="1081"/>
      <c r="N1161" s="1081"/>
      <c r="O1161" s="1081"/>
      <c r="P1161" s="1081"/>
      <c r="Q1161" s="1081"/>
      <c r="R1161" s="1081"/>
      <c r="S1161" s="1081"/>
      <c r="T1161" s="1081"/>
    </row>
    <row r="1162" spans="1:41" s="519" customFormat="1" ht="12">
      <c r="A1162" s="849"/>
      <c r="B1162" s="850"/>
      <c r="C1162" s="641"/>
      <c r="D1162" s="811"/>
      <c r="E1162" s="851">
        <f>F1160/$C$12-SUMIF($L1159:$L1179,"SUBI",$E1159:$E1179)</f>
        <v>0</v>
      </c>
      <c r="F1162" s="852" t="s">
        <v>589</v>
      </c>
      <c r="G1162" s="790"/>
      <c r="H1162" s="790"/>
      <c r="I1162" s="791"/>
      <c r="J1162" s="790"/>
      <c r="K1162" s="790"/>
      <c r="L1162" s="792"/>
      <c r="M1162" s="793"/>
      <c r="N1162" s="793"/>
      <c r="O1162" s="793"/>
      <c r="P1162" s="793"/>
      <c r="Q1162" s="794"/>
      <c r="R1162" s="795"/>
      <c r="S1162" s="794"/>
      <c r="T1162" s="796"/>
    </row>
    <row r="1163" spans="1:41" s="519" customFormat="1" ht="12" customHeight="1">
      <c r="A1163" s="797"/>
      <c r="B1163" s="798"/>
      <c r="C1163" s="799"/>
      <c r="D1163" s="799" t="str">
        <f>$F$2</f>
        <v>Electrical</v>
      </c>
      <c r="E1163" s="799">
        <f>ROUND(($R1167*$S$2 + ($T1167*$T$2)), 2)</f>
        <v>0</v>
      </c>
      <c r="F1163" s="800">
        <f>$E1163*$C$12</f>
        <v>0</v>
      </c>
      <c r="G1163" s="528"/>
      <c r="H1163" s="801"/>
      <c r="I1163" s="528"/>
      <c r="J1163" s="48"/>
      <c r="K1163" s="802" t="s">
        <v>3</v>
      </c>
      <c r="L1163" s="803" t="s">
        <v>590</v>
      </c>
      <c r="M1163" s="528"/>
      <c r="N1163" s="528"/>
      <c r="O1163" s="48"/>
      <c r="P1163" s="528"/>
      <c r="Q1163" s="528"/>
      <c r="R1163"/>
      <c r="S1163"/>
      <c r="T1163"/>
    </row>
    <row r="1164" spans="1:41" s="519" customFormat="1" ht="14.4" customHeight="1">
      <c r="A1164" s="49"/>
      <c r="B1164" s="804" t="s">
        <v>591</v>
      </c>
      <c r="C1164" s="528"/>
      <c r="D1164" s="528"/>
      <c r="E1164" s="528"/>
      <c r="F1164" s="528"/>
      <c r="G1164" s="528"/>
      <c r="H1164" s="801"/>
      <c r="I1164" s="528"/>
      <c r="J1164" s="48"/>
      <c r="K1164" s="805"/>
      <c r="L1164" s="806"/>
      <c r="M1164" s="528"/>
      <c r="N1164" s="528"/>
      <c r="O1164" s="48"/>
      <c r="P1164" s="528"/>
      <c r="Q1164" s="528"/>
      <c r="R1164" s="807">
        <f>$A1164*Q1164</f>
        <v>0</v>
      </c>
      <c r="S1164" s="528"/>
      <c r="T1164" s="643">
        <f>$A1164*S1164*$T$1</f>
        <v>0</v>
      </c>
    </row>
    <row r="1165" spans="1:41" s="519" customFormat="1" ht="14.4" customHeight="1">
      <c r="A1165" s="49"/>
      <c r="B1165" s="528"/>
      <c r="C1165" s="528"/>
      <c r="D1165" s="528"/>
      <c r="E1165" s="528"/>
      <c r="F1165" s="528"/>
      <c r="G1165" s="528"/>
      <c r="H1165" s="801"/>
      <c r="I1165" s="528"/>
      <c r="J1165" s="48"/>
      <c r="K1165" s="805"/>
      <c r="L1165" s="806"/>
      <c r="M1165" s="528"/>
      <c r="N1165" s="528"/>
      <c r="O1165" s="48"/>
      <c r="P1165" s="528"/>
      <c r="Q1165" s="528"/>
      <c r="R1165" s="807">
        <f>$A1165*Q1165</f>
        <v>0</v>
      </c>
      <c r="S1165" s="528"/>
      <c r="T1165" s="643">
        <f>$A1165*S1165*$T$1</f>
        <v>0</v>
      </c>
    </row>
    <row r="1166" spans="1:41" s="519" customFormat="1" ht="14.4" customHeight="1">
      <c r="A1166" s="49"/>
      <c r="B1166" s="528"/>
      <c r="C1166" s="528"/>
      <c r="D1166" s="528"/>
      <c r="E1166" s="528"/>
      <c r="F1166" s="528"/>
      <c r="G1166" s="528"/>
      <c r="H1166" s="801"/>
      <c r="I1166" s="528"/>
      <c r="J1166" s="48"/>
      <c r="K1166" s="805"/>
      <c r="L1166" s="806"/>
      <c r="M1166" s="528"/>
      <c r="N1166" s="528"/>
      <c r="O1166" s="48"/>
      <c r="P1166" s="528"/>
      <c r="Q1166" s="528"/>
      <c r="R1166" s="807">
        <f>$A1166*Q1166</f>
        <v>0</v>
      </c>
      <c r="S1166" s="528"/>
      <c r="T1166" s="643">
        <f>$A1166*S1166*$T$1</f>
        <v>0</v>
      </c>
    </row>
    <row r="1167" spans="1:41" s="519" customFormat="1" ht="12">
      <c r="A1167" s="835" t="s">
        <v>145</v>
      </c>
      <c r="B1167" s="836">
        <f>(R1166+T1166)</f>
        <v>0</v>
      </c>
      <c r="C1167" s="790"/>
      <c r="G1167" s="810"/>
      <c r="H1167" s="810"/>
      <c r="I1167" s="810"/>
      <c r="J1167" s="810"/>
      <c r="K1167" s="811" t="s">
        <v>3</v>
      </c>
      <c r="L1167" s="812" t="s">
        <v>590</v>
      </c>
      <c r="M1167" s="810"/>
      <c r="N1167" s="810"/>
      <c r="O1167" s="810"/>
      <c r="P1167" s="810"/>
      <c r="Q1167" s="813"/>
      <c r="R1167" s="814">
        <f>SUM(R1163:R1166)</f>
        <v>0</v>
      </c>
      <c r="S1167" s="815"/>
      <c r="T1167" s="814">
        <f>SUM(T1163:T1166)</f>
        <v>0</v>
      </c>
      <c r="AG1167" s="816">
        <f>ROUND($R1167*$S$2,2)</f>
        <v>0</v>
      </c>
    </row>
    <row r="1168" spans="1:41" s="519" customFormat="1" ht="12" customHeight="1">
      <c r="A1168" s="797"/>
      <c r="B1168" s="853"/>
      <c r="C1168" s="854"/>
      <c r="D1168" s="855" t="str">
        <f>$F$3</f>
        <v>ECA</v>
      </c>
      <c r="E1168" s="855">
        <f>ROUND(($R1172*$S$3 + ($T1172*$T$3)), 2)</f>
        <v>0</v>
      </c>
      <c r="F1168" s="856">
        <f>$E1168*$C$12</f>
        <v>0</v>
      </c>
      <c r="G1168" s="518"/>
      <c r="H1168" s="518"/>
      <c r="I1168" s="518"/>
      <c r="J1168" s="518"/>
      <c r="K1168" s="802" t="s">
        <v>5</v>
      </c>
      <c r="L1168" s="803" t="s">
        <v>590</v>
      </c>
      <c r="M1168" s="518"/>
      <c r="N1168" s="518"/>
      <c r="O1168" s="518"/>
      <c r="P1168" s="518"/>
      <c r="Q1168" s="518"/>
      <c r="R1168" s="821"/>
      <c r="S1168" s="518"/>
      <c r="T1168" s="821"/>
    </row>
    <row r="1169" spans="1:41" s="834" customFormat="1" ht="15.6" customHeight="1">
      <c r="A1169" s="822"/>
      <c r="B1169" s="804" t="s">
        <v>592</v>
      </c>
      <c r="C1169" s="823"/>
      <c r="D1169" s="824"/>
      <c r="E1169" s="824"/>
      <c r="F1169" s="824"/>
      <c r="G1169" s="825"/>
      <c r="H1169" s="826"/>
      <c r="I1169" s="826"/>
      <c r="J1169" s="827"/>
      <c r="K1169" s="828"/>
      <c r="L1169" s="823"/>
      <c r="M1169" s="829"/>
      <c r="N1169" s="830"/>
      <c r="O1169" s="831"/>
      <c r="P1169" s="832"/>
      <c r="Q1169" s="833"/>
      <c r="R1169" s="807">
        <f>$A1169*Q1169</f>
        <v>0</v>
      </c>
      <c r="S1169" s="528"/>
      <c r="T1169" s="643">
        <f>$A1169*S1169*$T$1</f>
        <v>0</v>
      </c>
    </row>
    <row r="1170" spans="1:41" s="519" customFormat="1" ht="15.6" customHeight="1">
      <c r="A1170" s="49"/>
      <c r="B1170" s="528"/>
      <c r="C1170" s="528"/>
      <c r="D1170" s="528"/>
      <c r="E1170" s="528"/>
      <c r="F1170" s="528"/>
      <c r="G1170" s="528"/>
      <c r="H1170" s="528"/>
      <c r="I1170" s="528"/>
      <c r="J1170" s="528"/>
      <c r="K1170" s="528"/>
      <c r="L1170" s="806"/>
      <c r="M1170" s="528"/>
      <c r="N1170" s="528"/>
      <c r="O1170" s="528"/>
      <c r="P1170" s="528"/>
      <c r="Q1170" s="528"/>
      <c r="R1170" s="807">
        <f>$A1170*Q1170</f>
        <v>0</v>
      </c>
      <c r="S1170" s="528"/>
      <c r="T1170" s="643">
        <f>$A1170*S1170*$T$1</f>
        <v>0</v>
      </c>
    </row>
    <row r="1171" spans="1:41" s="519" customFormat="1" ht="15.6" customHeight="1">
      <c r="A1171" s="49"/>
      <c r="B1171" s="528"/>
      <c r="C1171" s="528"/>
      <c r="D1171" s="3"/>
      <c r="E1171" s="528"/>
      <c r="F1171" s="528"/>
      <c r="G1171" s="528"/>
      <c r="H1171" s="528"/>
      <c r="I1171" s="528"/>
      <c r="J1171" s="528"/>
      <c r="K1171" s="528"/>
      <c r="L1171" s="806"/>
      <c r="M1171" s="528"/>
      <c r="N1171" s="528"/>
      <c r="O1171" s="528"/>
      <c r="P1171" s="528"/>
      <c r="Q1171" s="528"/>
      <c r="R1171" s="807">
        <f>$A1171*Q1171</f>
        <v>0</v>
      </c>
      <c r="S1171" s="528"/>
      <c r="T1171" s="643">
        <f>$A1171*S1171*$T$1</f>
        <v>0</v>
      </c>
    </row>
    <row r="1172" spans="1:41" s="519" customFormat="1" ht="12">
      <c r="A1172" s="835" t="s">
        <v>145</v>
      </c>
      <c r="B1172" s="836">
        <f>(R1171+T1171)</f>
        <v>0</v>
      </c>
      <c r="C1172" s="790"/>
      <c r="G1172" s="810"/>
      <c r="H1172" s="810"/>
      <c r="I1172" s="810"/>
      <c r="J1172" s="810"/>
      <c r="K1172" s="838" t="s">
        <v>5</v>
      </c>
      <c r="L1172" s="812" t="s">
        <v>590</v>
      </c>
      <c r="M1172" s="810"/>
      <c r="N1172" s="810"/>
      <c r="O1172" s="810"/>
      <c r="P1172" s="810"/>
      <c r="Q1172" s="813"/>
      <c r="R1172" s="814">
        <f>SUM(R1168:R1171)</f>
        <v>0</v>
      </c>
      <c r="S1172" s="815"/>
      <c r="T1172" s="814">
        <f>SUM(T1168:T1171)</f>
        <v>0</v>
      </c>
      <c r="AG1172" s="840">
        <f>ROUND($R1172*$S$3,2)</f>
        <v>0</v>
      </c>
    </row>
    <row r="1173" spans="1:41" s="519" customFormat="1" ht="12" customHeight="1">
      <c r="A1173" s="817"/>
      <c r="B1173" s="857"/>
      <c r="C1173" s="858"/>
      <c r="D1173" s="859">
        <f>$F$4</f>
        <v>0</v>
      </c>
      <c r="E1173" s="859">
        <f>ROUND(($R1177*$S$4 + ($T1177*$T$4)), 2)</f>
        <v>0</v>
      </c>
      <c r="F1173" s="860">
        <f ca="1">$F1160-SUMIF($L1162:$P1170,"SUBI",$F1162:$F1170)</f>
        <v>0</v>
      </c>
      <c r="G1173" s="518"/>
      <c r="H1173" s="518"/>
      <c r="I1173" s="518"/>
      <c r="J1173" s="518"/>
      <c r="K1173" s="861" t="s">
        <v>8</v>
      </c>
      <c r="L1173" s="803" t="s">
        <v>590</v>
      </c>
      <c r="M1173" s="518"/>
      <c r="N1173" s="518"/>
      <c r="O1173" s="518"/>
      <c r="P1173" s="518"/>
      <c r="Q1173" s="518"/>
      <c r="R1173" s="821"/>
      <c r="S1173" s="518"/>
      <c r="T1173" s="821"/>
    </row>
    <row r="1174" spans="1:41" s="834" customFormat="1" ht="14.4" customHeight="1">
      <c r="A1174" s="822"/>
      <c r="B1174" s="804" t="s">
        <v>680</v>
      </c>
      <c r="C1174" s="823"/>
      <c r="D1174" s="824"/>
      <c r="E1174" s="824"/>
      <c r="F1174" s="824"/>
      <c r="G1174" s="825"/>
      <c r="H1174" s="826"/>
      <c r="I1174" s="826"/>
      <c r="J1174" s="827"/>
      <c r="K1174" s="828"/>
      <c r="L1174" s="823"/>
      <c r="M1174" s="829"/>
      <c r="N1174" s="830"/>
      <c r="O1174" s="862"/>
      <c r="P1174" s="832"/>
      <c r="Q1174" s="833"/>
      <c r="R1174" s="642">
        <f>$A1174*Q1174</f>
        <v>0</v>
      </c>
      <c r="S1174" s="833"/>
      <c r="T1174" s="643">
        <f>$A1174*S1174*$T$1</f>
        <v>0</v>
      </c>
    </row>
    <row r="1175" spans="1:41" s="519" customFormat="1" ht="12">
      <c r="A1175" s="47"/>
      <c r="B1175" s="641"/>
      <c r="C1175" s="641"/>
      <c r="D1175" s="863"/>
      <c r="E1175" s="843"/>
      <c r="F1175" s="518"/>
      <c r="G1175" s="518"/>
      <c r="H1175" s="518"/>
      <c r="I1175" s="518"/>
      <c r="J1175" s="518"/>
      <c r="K1175" s="518"/>
      <c r="L1175" s="864"/>
      <c r="M1175" s="518"/>
      <c r="N1175" s="518"/>
      <c r="O1175" s="518"/>
      <c r="P1175" s="518"/>
      <c r="Q1175" s="518"/>
      <c r="R1175" s="642">
        <f>$A1175*Q1175</f>
        <v>0</v>
      </c>
      <c r="S1175" s="518"/>
      <c r="T1175" s="643">
        <f>$A1175*S1175*$T$1</f>
        <v>0</v>
      </c>
    </row>
    <row r="1176" spans="1:41" s="519" customFormat="1" ht="12">
      <c r="A1176" s="47"/>
      <c r="B1176" s="641"/>
      <c r="C1176" s="641"/>
      <c r="D1176" s="863"/>
      <c r="E1176" s="843"/>
      <c r="F1176" s="518"/>
      <c r="G1176" s="518"/>
      <c r="H1176" s="518"/>
      <c r="I1176" s="518"/>
      <c r="J1176" s="518"/>
      <c r="K1176" s="518"/>
      <c r="L1176" s="864"/>
      <c r="M1176" s="518"/>
      <c r="N1176" s="518"/>
      <c r="O1176" s="518"/>
      <c r="P1176" s="518"/>
      <c r="Q1176" s="518"/>
      <c r="R1176" s="642">
        <f>$A1176*Q1176</f>
        <v>0</v>
      </c>
      <c r="S1176" s="518"/>
      <c r="T1176" s="643">
        <f>$A1176*S1176*$T$1</f>
        <v>0</v>
      </c>
    </row>
    <row r="1177" spans="1:41" s="519" customFormat="1" ht="12.75" customHeight="1">
      <c r="A1177" s="835" t="s">
        <v>145</v>
      </c>
      <c r="B1177" s="836">
        <f>(R1176+T1176)</f>
        <v>0</v>
      </c>
      <c r="C1177" s="837"/>
      <c r="D1177" s="837"/>
      <c r="E1177" s="837"/>
      <c r="F1177" s="837"/>
      <c r="G1177" s="813"/>
      <c r="H1177" s="813"/>
      <c r="I1177" s="813"/>
      <c r="J1177" s="813"/>
      <c r="K1177" s="838" t="s">
        <v>8</v>
      </c>
      <c r="L1177" s="839" t="s">
        <v>590</v>
      </c>
      <c r="M1177" s="813"/>
      <c r="N1177" s="813"/>
      <c r="O1177" s="813"/>
      <c r="P1177" s="813"/>
      <c r="Q1177" s="813"/>
      <c r="R1177" s="814">
        <f>SUM(R1173:R1176)</f>
        <v>0</v>
      </c>
      <c r="S1177" s="815"/>
      <c r="T1177" s="814">
        <f>SUM(T1173:T1176)</f>
        <v>0</v>
      </c>
      <c r="AG1177" s="865">
        <f>ROUND($R1177*$S$4,2)</f>
        <v>0</v>
      </c>
    </row>
    <row r="1178" spans="1:41" s="519" customFormat="1" ht="12.75" customHeight="1">
      <c r="A1178" s="841"/>
      <c r="B1178" s="842"/>
      <c r="E1178" s="641"/>
      <c r="F1178" s="843"/>
      <c r="G1178" s="641"/>
      <c r="H1178" s="641"/>
      <c r="I1178" s="518"/>
      <c r="J1178" s="641"/>
      <c r="K1178" s="641"/>
      <c r="L1178" s="844"/>
      <c r="M1178" s="652"/>
      <c r="N1178" s="652"/>
      <c r="O1178" s="652"/>
      <c r="P1178" s="652"/>
      <c r="Q1178" s="653"/>
      <c r="R1178" s="821"/>
      <c r="S1178" s="641"/>
      <c r="T1178" s="821"/>
    </row>
    <row r="1179" spans="1:41" s="519" customFormat="1" ht="13.5" customHeight="1" thickBot="1">
      <c r="A1179" s="845"/>
      <c r="B1179" s="846"/>
      <c r="C1179" s="529"/>
      <c r="D1179" s="529"/>
      <c r="E1179" s="646"/>
      <c r="F1179" s="647"/>
      <c r="G1179" s="646" t="s">
        <v>146</v>
      </c>
      <c r="H1179" s="646"/>
      <c r="I1179" s="648"/>
      <c r="J1179" s="646"/>
      <c r="K1179" s="646"/>
      <c r="L1179" s="847" t="s">
        <v>143</v>
      </c>
      <c r="M1179" s="649"/>
      <c r="N1179" s="649"/>
      <c r="O1179" s="649"/>
      <c r="P1179" s="649"/>
      <c r="Q1179" s="650"/>
      <c r="R1179" s="848">
        <f>SUMIF($L1161:$L1178,"SUBI",R1161:R1178)</f>
        <v>0</v>
      </c>
      <c r="S1179" s="866"/>
      <c r="T1179" s="848">
        <f>SUMIF($L1161:$L1178,"SUBI",T1161:T1178)</f>
        <v>0</v>
      </c>
      <c r="U1179" s="529"/>
      <c r="V1179" s="529"/>
      <c r="W1179" s="529"/>
      <c r="X1179" s="529"/>
      <c r="Y1179" s="529"/>
      <c r="Z1179" s="529"/>
      <c r="AA1179" s="529"/>
      <c r="AB1179" s="529"/>
      <c r="AC1179" s="529"/>
      <c r="AD1179" s="529"/>
      <c r="AE1179" s="529"/>
      <c r="AF1179" s="529"/>
      <c r="AG1179" s="529"/>
      <c r="AH1179" s="529"/>
      <c r="AI1179" s="529"/>
      <c r="AJ1179" s="529"/>
      <c r="AK1179" s="529"/>
      <c r="AL1179" s="529"/>
      <c r="AM1179" s="529"/>
      <c r="AN1179" s="529"/>
      <c r="AO1179" s="529"/>
    </row>
    <row r="1180" spans="1:41" s="519" customFormat="1" thickTop="1">
      <c r="A1180" s="47"/>
      <c r="B1180" s="40"/>
      <c r="C1180" s="47"/>
      <c r="E1180" s="41" t="s">
        <v>138</v>
      </c>
      <c r="F1180" s="41" t="s">
        <v>139</v>
      </c>
      <c r="G1180" s="47"/>
      <c r="H1180" s="47"/>
      <c r="I1180" s="47"/>
      <c r="J1180" s="47"/>
      <c r="K1180" s="47" t="s">
        <v>140</v>
      </c>
      <c r="L1180" s="774"/>
      <c r="M1180" s="47"/>
      <c r="N1180" s="47"/>
      <c r="O1180" s="48"/>
      <c r="P1180" s="47"/>
      <c r="Q1180"/>
      <c r="R1180"/>
      <c r="S1180"/>
      <c r="T1180" s="40"/>
      <c r="AG1180" s="627" t="s">
        <v>277</v>
      </c>
      <c r="AH1180" s="627" t="s">
        <v>278</v>
      </c>
      <c r="AI1180" s="627" t="s">
        <v>279</v>
      </c>
      <c r="AJ1180" s="627" t="s">
        <v>280</v>
      </c>
      <c r="AK1180" s="627" t="s">
        <v>281</v>
      </c>
      <c r="AM1180" s="628" t="s">
        <v>290</v>
      </c>
      <c r="AN1180" s="629" t="s">
        <v>291</v>
      </c>
      <c r="AO1180" s="520" t="s">
        <v>287</v>
      </c>
    </row>
    <row r="1181" spans="1:41" s="519" customFormat="1" ht="13.2">
      <c r="A1181" s="630">
        <v>1</v>
      </c>
      <c r="B1181" s="521" t="s">
        <v>141</v>
      </c>
      <c r="C1181" s="631"/>
      <c r="D1181" s="632" t="s">
        <v>687</v>
      </c>
      <c r="E1181" s="775">
        <f>IF(AND($A1181=0,$A$1="DIF"),0,ROUND(ROUND(SUMIF($L1183:$L1194,"SUBI",$E1183:$E1194)/$A1181,2)*$C$12,2))</f>
        <v>0</v>
      </c>
      <c r="F1181" s="776">
        <f>ROUND($A1181*$E1181,2)</f>
        <v>0</v>
      </c>
      <c r="G1181" s="635" t="s">
        <v>142</v>
      </c>
      <c r="H1181" s="636"/>
      <c r="I1181" s="637"/>
      <c r="J1181" s="636"/>
      <c r="K1181" s="777"/>
      <c r="L1181" s="778" t="s">
        <v>143</v>
      </c>
      <c r="M1181" s="638"/>
      <c r="N1181" s="638"/>
      <c r="O1181" s="638"/>
      <c r="P1181" s="638"/>
      <c r="Q1181" s="967" t="s">
        <v>867</v>
      </c>
      <c r="R1181"/>
      <c r="S1181"/>
      <c r="T1181" s="779" t="str">
        <f>IF(AND($R1200=0,$T1200=0),"0.00","mu :" &amp; ROUND($F1181/$C$12/($R1200+$T1200*$D$9),2))</f>
        <v>0.00</v>
      </c>
      <c r="W1181" s="522"/>
      <c r="AG1181" s="780">
        <f>IF(A1181=0,0,ROUND(SUM(AG1183:AG1200)/A1181,2))</f>
        <v>0</v>
      </c>
      <c r="AH1181" s="780">
        <f>$AG1181*$A1181</f>
        <v>0</v>
      </c>
      <c r="AI1181" s="780">
        <f>$E1181-$AG1181</f>
        <v>0</v>
      </c>
      <c r="AJ1181" s="780">
        <f>$A1181*$AI1181</f>
        <v>0</v>
      </c>
      <c r="AK1181" s="781">
        <f>ROUND(($AG1181+$AI1181)*$A1181,2)</f>
        <v>0</v>
      </c>
      <c r="AM1181" s="525">
        <f>ROUND(R1200,2)</f>
        <v>0</v>
      </c>
      <c r="AN1181" s="526">
        <f>ROUND(T1200,2)</f>
        <v>0</v>
      </c>
      <c r="AO1181" s="527">
        <f>ROUND(AM1181+AN1181,2)*A1181</f>
        <v>0</v>
      </c>
    </row>
    <row r="1182" spans="1:41" s="519" customFormat="1" ht="39.9" customHeight="1">
      <c r="A1182" s="782"/>
      <c r="B1182" s="783"/>
      <c r="C1182" s="631"/>
      <c r="D1182" s="1081" t="s">
        <v>688</v>
      </c>
      <c r="E1182" s="1081"/>
      <c r="F1182" s="1081"/>
      <c r="G1182" s="1081"/>
      <c r="H1182" s="1081"/>
      <c r="I1182" s="1081"/>
      <c r="J1182" s="1081"/>
      <c r="K1182" s="1081"/>
      <c r="L1182" s="1081"/>
      <c r="M1182" s="1081"/>
      <c r="N1182" s="1081"/>
      <c r="O1182" s="1081"/>
      <c r="P1182" s="1081"/>
      <c r="Q1182" s="1081"/>
      <c r="R1182" s="1081"/>
      <c r="S1182" s="1081"/>
      <c r="T1182" s="1081"/>
    </row>
    <row r="1183" spans="1:41" s="519" customFormat="1" ht="12">
      <c r="A1183" s="849"/>
      <c r="B1183" s="850"/>
      <c r="C1183" s="641"/>
      <c r="D1183" s="811"/>
      <c r="E1183" s="851">
        <f>F1181/$C$12-SUMIF($L1180:$L1200,"SUBI",$E1180:$E1200)</f>
        <v>0</v>
      </c>
      <c r="F1183" s="852" t="s">
        <v>589</v>
      </c>
      <c r="G1183" s="790"/>
      <c r="H1183" s="790"/>
      <c r="I1183" s="791"/>
      <c r="J1183" s="790"/>
      <c r="K1183" s="790"/>
      <c r="L1183" s="792"/>
      <c r="M1183" s="793"/>
      <c r="N1183" s="793"/>
      <c r="O1183" s="793"/>
      <c r="P1183" s="793"/>
      <c r="Q1183" s="794"/>
      <c r="R1183" s="795"/>
      <c r="S1183" s="794"/>
      <c r="T1183" s="796"/>
    </row>
    <row r="1184" spans="1:41" s="519" customFormat="1" ht="12" customHeight="1">
      <c r="A1184" s="797"/>
      <c r="B1184" s="798"/>
      <c r="C1184" s="799"/>
      <c r="D1184" s="799" t="str">
        <f>$F$2</f>
        <v>Electrical</v>
      </c>
      <c r="E1184" s="799">
        <f>ROUND(($R1188*$S$2 + ($T1188*$T$2)), 2)</f>
        <v>0</v>
      </c>
      <c r="F1184" s="800">
        <f>$E1184*$C$12</f>
        <v>0</v>
      </c>
      <c r="G1184" s="528"/>
      <c r="H1184" s="801"/>
      <c r="I1184" s="528"/>
      <c r="J1184" s="48"/>
      <c r="K1184" s="802" t="s">
        <v>3</v>
      </c>
      <c r="L1184" s="803" t="s">
        <v>590</v>
      </c>
      <c r="M1184" s="528"/>
      <c r="N1184" s="528"/>
      <c r="O1184" s="48"/>
      <c r="P1184" s="528"/>
      <c r="Q1184" s="528"/>
      <c r="R1184"/>
      <c r="S1184"/>
      <c r="T1184"/>
    </row>
    <row r="1185" spans="1:41" s="519" customFormat="1" ht="14.4" customHeight="1">
      <c r="A1185" s="49"/>
      <c r="B1185" s="804" t="s">
        <v>591</v>
      </c>
      <c r="C1185" s="528"/>
      <c r="D1185" s="528"/>
      <c r="E1185" s="528"/>
      <c r="F1185" s="528"/>
      <c r="G1185" s="528"/>
      <c r="H1185" s="801"/>
      <c r="I1185" s="528"/>
      <c r="J1185" s="48"/>
      <c r="K1185" s="805"/>
      <c r="L1185" s="806"/>
      <c r="M1185" s="528"/>
      <c r="N1185" s="528"/>
      <c r="O1185" s="48"/>
      <c r="P1185" s="528"/>
      <c r="Q1185" s="528"/>
      <c r="R1185" s="807">
        <f>$A1185*Q1185</f>
        <v>0</v>
      </c>
      <c r="S1185" s="528"/>
      <c r="T1185" s="643">
        <f>$A1185*S1185*$T$1</f>
        <v>0</v>
      </c>
    </row>
    <row r="1186" spans="1:41" s="519" customFormat="1" ht="14.4" customHeight="1">
      <c r="A1186" s="49"/>
      <c r="B1186" s="528"/>
      <c r="C1186" s="528"/>
      <c r="D1186" s="528"/>
      <c r="E1186" s="528"/>
      <c r="F1186" s="528"/>
      <c r="G1186" s="528"/>
      <c r="H1186" s="801"/>
      <c r="I1186" s="528"/>
      <c r="J1186" s="48"/>
      <c r="K1186" s="805"/>
      <c r="L1186" s="806"/>
      <c r="M1186" s="528"/>
      <c r="N1186" s="528"/>
      <c r="O1186" s="48"/>
      <c r="P1186" s="528"/>
      <c r="Q1186" s="528"/>
      <c r="R1186" s="807">
        <f>$A1186*Q1186</f>
        <v>0</v>
      </c>
      <c r="S1186" s="528"/>
      <c r="T1186" s="643">
        <f>$A1186*S1186*$T$1</f>
        <v>0</v>
      </c>
    </row>
    <row r="1187" spans="1:41" s="519" customFormat="1" ht="14.4" customHeight="1">
      <c r="A1187" s="49"/>
      <c r="B1187" s="528"/>
      <c r="C1187" s="528"/>
      <c r="D1187" s="528"/>
      <c r="E1187" s="528"/>
      <c r="F1187" s="528"/>
      <c r="G1187" s="528"/>
      <c r="H1187" s="801"/>
      <c r="I1187" s="528"/>
      <c r="J1187" s="48"/>
      <c r="K1187" s="805"/>
      <c r="L1187" s="806"/>
      <c r="M1187" s="528"/>
      <c r="N1187" s="528"/>
      <c r="O1187" s="48"/>
      <c r="P1187" s="528"/>
      <c r="Q1187" s="528"/>
      <c r="R1187" s="807">
        <f>$A1187*Q1187</f>
        <v>0</v>
      </c>
      <c r="S1187" s="528"/>
      <c r="T1187" s="643">
        <f>$A1187*S1187*$T$1</f>
        <v>0</v>
      </c>
    </row>
    <row r="1188" spans="1:41" s="519" customFormat="1" ht="12">
      <c r="A1188" s="835" t="s">
        <v>145</v>
      </c>
      <c r="B1188" s="836">
        <f>(R1187+T1187)</f>
        <v>0</v>
      </c>
      <c r="C1188" s="790"/>
      <c r="G1188" s="810"/>
      <c r="H1188" s="810"/>
      <c r="I1188" s="810"/>
      <c r="J1188" s="810"/>
      <c r="K1188" s="811" t="s">
        <v>3</v>
      </c>
      <c r="L1188" s="812" t="s">
        <v>590</v>
      </c>
      <c r="M1188" s="810"/>
      <c r="N1188" s="810"/>
      <c r="O1188" s="810"/>
      <c r="P1188" s="810"/>
      <c r="Q1188" s="813"/>
      <c r="R1188" s="814">
        <f>SUM(R1184:R1187)</f>
        <v>0</v>
      </c>
      <c r="S1188" s="815"/>
      <c r="T1188" s="814">
        <f>SUM(T1184:T1187)</f>
        <v>0</v>
      </c>
      <c r="AG1188" s="816">
        <f>ROUND($R1188*$S$2,2)</f>
        <v>0</v>
      </c>
    </row>
    <row r="1189" spans="1:41" s="519" customFormat="1" ht="12" customHeight="1">
      <c r="A1189" s="797"/>
      <c r="B1189" s="853"/>
      <c r="C1189" s="854"/>
      <c r="D1189" s="855" t="str">
        <f>$F$3</f>
        <v>ECA</v>
      </c>
      <c r="E1189" s="855">
        <f>ROUND(($R1193*$S$3 + ($T1193*$T$3)), 2)</f>
        <v>0</v>
      </c>
      <c r="F1189" s="856">
        <f>$E1189*$C$12</f>
        <v>0</v>
      </c>
      <c r="G1189" s="518"/>
      <c r="H1189" s="518"/>
      <c r="I1189" s="518"/>
      <c r="J1189" s="518"/>
      <c r="K1189" s="802" t="s">
        <v>5</v>
      </c>
      <c r="L1189" s="803" t="s">
        <v>590</v>
      </c>
      <c r="M1189" s="518"/>
      <c r="N1189" s="518"/>
      <c r="O1189" s="518"/>
      <c r="P1189" s="518"/>
      <c r="Q1189" s="518"/>
      <c r="R1189" s="821"/>
      <c r="S1189" s="518"/>
      <c r="T1189" s="821"/>
    </row>
    <row r="1190" spans="1:41" s="834" customFormat="1" ht="15.6" customHeight="1">
      <c r="A1190" s="822"/>
      <c r="B1190" s="804" t="s">
        <v>592</v>
      </c>
      <c r="C1190" s="823"/>
      <c r="D1190" s="824"/>
      <c r="E1190" s="824"/>
      <c r="F1190" s="824"/>
      <c r="G1190" s="825"/>
      <c r="H1190" s="826"/>
      <c r="I1190" s="826"/>
      <c r="J1190" s="827"/>
      <c r="K1190" s="828"/>
      <c r="L1190" s="823"/>
      <c r="M1190" s="829"/>
      <c r="N1190" s="830"/>
      <c r="O1190" s="831"/>
      <c r="P1190" s="832"/>
      <c r="Q1190" s="833"/>
      <c r="R1190" s="807">
        <f>$A1190*Q1190</f>
        <v>0</v>
      </c>
      <c r="S1190" s="528"/>
      <c r="T1190" s="643">
        <f>$A1190*S1190*$T$1</f>
        <v>0</v>
      </c>
    </row>
    <row r="1191" spans="1:41" s="519" customFormat="1" ht="15.6" customHeight="1">
      <c r="A1191" s="49"/>
      <c r="B1191" s="528"/>
      <c r="C1191" s="528"/>
      <c r="D1191" s="528"/>
      <c r="E1191" s="528"/>
      <c r="F1191" s="528"/>
      <c r="G1191" s="528"/>
      <c r="H1191" s="528"/>
      <c r="I1191" s="528"/>
      <c r="J1191" s="528"/>
      <c r="K1191" s="528"/>
      <c r="L1191" s="806"/>
      <c r="M1191" s="528"/>
      <c r="N1191" s="528"/>
      <c r="O1191" s="528"/>
      <c r="P1191" s="528"/>
      <c r="Q1191" s="528"/>
      <c r="R1191" s="807">
        <f>$A1191*Q1191</f>
        <v>0</v>
      </c>
      <c r="S1191" s="528"/>
      <c r="T1191" s="643">
        <f>$A1191*S1191*$T$1</f>
        <v>0</v>
      </c>
    </row>
    <row r="1192" spans="1:41" s="519" customFormat="1" ht="15.6" customHeight="1">
      <c r="A1192" s="49"/>
      <c r="B1192" s="528"/>
      <c r="C1192" s="528"/>
      <c r="D1192" s="3"/>
      <c r="E1192" s="528"/>
      <c r="F1192" s="528"/>
      <c r="G1192" s="528"/>
      <c r="H1192" s="528"/>
      <c r="I1192" s="528"/>
      <c r="J1192" s="528"/>
      <c r="K1192" s="528"/>
      <c r="L1192" s="806"/>
      <c r="M1192" s="528"/>
      <c r="N1192" s="528"/>
      <c r="O1192" s="528"/>
      <c r="P1192" s="528"/>
      <c r="Q1192" s="528"/>
      <c r="R1192" s="807">
        <f>$A1192*Q1192</f>
        <v>0</v>
      </c>
      <c r="S1192" s="528"/>
      <c r="T1192" s="643">
        <f>$A1192*S1192*$T$1</f>
        <v>0</v>
      </c>
    </row>
    <row r="1193" spans="1:41" s="519" customFormat="1" ht="12">
      <c r="A1193" s="835" t="s">
        <v>145</v>
      </c>
      <c r="B1193" s="836">
        <f>(R1192+T1192)</f>
        <v>0</v>
      </c>
      <c r="C1193" s="790"/>
      <c r="G1193" s="810"/>
      <c r="H1193" s="810"/>
      <c r="I1193" s="810"/>
      <c r="J1193" s="810"/>
      <c r="K1193" s="838" t="s">
        <v>5</v>
      </c>
      <c r="L1193" s="812" t="s">
        <v>590</v>
      </c>
      <c r="M1193" s="810"/>
      <c r="N1193" s="810"/>
      <c r="O1193" s="810"/>
      <c r="P1193" s="810"/>
      <c r="Q1193" s="813"/>
      <c r="R1193" s="814">
        <f>SUM(R1189:R1192)</f>
        <v>0</v>
      </c>
      <c r="S1193" s="815"/>
      <c r="T1193" s="814">
        <f>SUM(T1189:T1192)</f>
        <v>0</v>
      </c>
      <c r="AG1193" s="840">
        <f>ROUND($R1193*$S$3,2)</f>
        <v>0</v>
      </c>
    </row>
    <row r="1194" spans="1:41" s="519" customFormat="1" ht="12" customHeight="1">
      <c r="A1194" s="817"/>
      <c r="B1194" s="857"/>
      <c r="C1194" s="858"/>
      <c r="D1194" s="859">
        <f>$F$4</f>
        <v>0</v>
      </c>
      <c r="E1194" s="859">
        <f>ROUND(($R1198*$S$4 + ($T1198*$T$4)), 2)</f>
        <v>0</v>
      </c>
      <c r="F1194" s="860">
        <f ca="1">$F1181-SUMIF($L1183:$P1191,"SUBI",$F1183:$F1191)</f>
        <v>0</v>
      </c>
      <c r="G1194" s="518"/>
      <c r="H1194" s="518"/>
      <c r="I1194" s="518"/>
      <c r="J1194" s="518"/>
      <c r="K1194" s="861" t="s">
        <v>8</v>
      </c>
      <c r="L1194" s="803" t="s">
        <v>590</v>
      </c>
      <c r="M1194" s="518"/>
      <c r="N1194" s="518"/>
      <c r="O1194" s="518"/>
      <c r="P1194" s="518"/>
      <c r="Q1194" s="518"/>
      <c r="R1194" s="821"/>
      <c r="S1194" s="518"/>
      <c r="T1194" s="821"/>
    </row>
    <row r="1195" spans="1:41" s="834" customFormat="1" ht="14.4" customHeight="1">
      <c r="A1195" s="822"/>
      <c r="B1195" s="804" t="s">
        <v>680</v>
      </c>
      <c r="C1195" s="823"/>
      <c r="D1195" s="824"/>
      <c r="E1195" s="824"/>
      <c r="F1195" s="824"/>
      <c r="G1195" s="825"/>
      <c r="H1195" s="826"/>
      <c r="I1195" s="826"/>
      <c r="J1195" s="827"/>
      <c r="K1195" s="828"/>
      <c r="L1195" s="823"/>
      <c r="M1195" s="829"/>
      <c r="N1195" s="830"/>
      <c r="O1195" s="862"/>
      <c r="P1195" s="832"/>
      <c r="Q1195" s="833"/>
      <c r="R1195" s="642">
        <f>$A1195*Q1195</f>
        <v>0</v>
      </c>
      <c r="S1195" s="833"/>
      <c r="T1195" s="643">
        <f>$A1195*S1195*$T$1</f>
        <v>0</v>
      </c>
    </row>
    <row r="1196" spans="1:41" s="519" customFormat="1" ht="12">
      <c r="A1196" s="47"/>
      <c r="B1196" s="641"/>
      <c r="C1196" s="641"/>
      <c r="D1196" s="863"/>
      <c r="E1196" s="843"/>
      <c r="F1196" s="518"/>
      <c r="G1196" s="518"/>
      <c r="H1196" s="518"/>
      <c r="I1196" s="518"/>
      <c r="J1196" s="518"/>
      <c r="K1196" s="518"/>
      <c r="L1196" s="864"/>
      <c r="M1196" s="518"/>
      <c r="N1196" s="518"/>
      <c r="O1196" s="518"/>
      <c r="P1196" s="518"/>
      <c r="Q1196" s="518"/>
      <c r="R1196" s="642">
        <f>$A1196*Q1196</f>
        <v>0</v>
      </c>
      <c r="S1196" s="518"/>
      <c r="T1196" s="643">
        <f>$A1196*S1196*$T$1</f>
        <v>0</v>
      </c>
    </row>
    <row r="1197" spans="1:41" s="519" customFormat="1" ht="12">
      <c r="A1197" s="47"/>
      <c r="B1197" s="641"/>
      <c r="C1197" s="641"/>
      <c r="D1197" s="863"/>
      <c r="E1197" s="843"/>
      <c r="F1197" s="518"/>
      <c r="G1197" s="518"/>
      <c r="H1197" s="518"/>
      <c r="I1197" s="518"/>
      <c r="J1197" s="518"/>
      <c r="K1197" s="518"/>
      <c r="L1197" s="864"/>
      <c r="M1197" s="518"/>
      <c r="N1197" s="518"/>
      <c r="O1197" s="518"/>
      <c r="P1197" s="518"/>
      <c r="Q1197" s="518"/>
      <c r="R1197" s="642">
        <f>$A1197*Q1197</f>
        <v>0</v>
      </c>
      <c r="S1197" s="518"/>
      <c r="T1197" s="643">
        <f>$A1197*S1197*$T$1</f>
        <v>0</v>
      </c>
    </row>
    <row r="1198" spans="1:41" s="519" customFormat="1" ht="12.75" customHeight="1">
      <c r="A1198" s="835" t="s">
        <v>145</v>
      </c>
      <c r="B1198" s="836">
        <f>(R1197+T1197)</f>
        <v>0</v>
      </c>
      <c r="C1198" s="837"/>
      <c r="D1198" s="837"/>
      <c r="E1198" s="837"/>
      <c r="F1198" s="837"/>
      <c r="G1198" s="813"/>
      <c r="H1198" s="813"/>
      <c r="I1198" s="813"/>
      <c r="J1198" s="813"/>
      <c r="K1198" s="838" t="s">
        <v>8</v>
      </c>
      <c r="L1198" s="839" t="s">
        <v>590</v>
      </c>
      <c r="M1198" s="813"/>
      <c r="N1198" s="813"/>
      <c r="O1198" s="813"/>
      <c r="P1198" s="813"/>
      <c r="Q1198" s="813"/>
      <c r="R1198" s="814">
        <f>SUM(R1194:R1197)</f>
        <v>0</v>
      </c>
      <c r="S1198" s="815"/>
      <c r="T1198" s="814">
        <f>SUM(T1194:T1197)</f>
        <v>0</v>
      </c>
      <c r="AG1198" s="865">
        <f>ROUND($R1198*$S$4,2)</f>
        <v>0</v>
      </c>
    </row>
    <row r="1199" spans="1:41" s="519" customFormat="1" ht="12.75" customHeight="1">
      <c r="A1199" s="841"/>
      <c r="B1199" s="842"/>
      <c r="E1199" s="641"/>
      <c r="F1199" s="843"/>
      <c r="G1199" s="641"/>
      <c r="H1199" s="641"/>
      <c r="I1199" s="518"/>
      <c r="J1199" s="641"/>
      <c r="K1199" s="641"/>
      <c r="L1199" s="844"/>
      <c r="M1199" s="652"/>
      <c r="N1199" s="652"/>
      <c r="O1199" s="652"/>
      <c r="P1199" s="652"/>
      <c r="Q1199" s="653"/>
      <c r="R1199" s="821"/>
      <c r="S1199" s="641"/>
      <c r="T1199" s="821"/>
    </row>
    <row r="1200" spans="1:41" s="519" customFormat="1" ht="13.5" customHeight="1" thickBot="1">
      <c r="A1200" s="845"/>
      <c r="B1200" s="846"/>
      <c r="C1200" s="529"/>
      <c r="D1200" s="529"/>
      <c r="E1200" s="646"/>
      <c r="F1200" s="647"/>
      <c r="G1200" s="646" t="s">
        <v>146</v>
      </c>
      <c r="H1200" s="646"/>
      <c r="I1200" s="648"/>
      <c r="J1200" s="646"/>
      <c r="K1200" s="646"/>
      <c r="L1200" s="847" t="s">
        <v>143</v>
      </c>
      <c r="M1200" s="649"/>
      <c r="N1200" s="649"/>
      <c r="O1200" s="649"/>
      <c r="P1200" s="649"/>
      <c r="Q1200" s="650"/>
      <c r="R1200" s="848">
        <f>SUMIF($L1182:$L1199,"SUBI",R1182:R1199)</f>
        <v>0</v>
      </c>
      <c r="S1200" s="866"/>
      <c r="T1200" s="848">
        <f>SUMIF($L1182:$L1199,"SUBI",T1182:T1199)</f>
        <v>0</v>
      </c>
      <c r="U1200" s="529"/>
      <c r="V1200" s="529"/>
      <c r="W1200" s="529"/>
      <c r="X1200" s="529"/>
      <c r="Y1200" s="529"/>
      <c r="Z1200" s="529"/>
      <c r="AA1200" s="529"/>
      <c r="AB1200" s="529"/>
      <c r="AC1200" s="529"/>
      <c r="AD1200" s="529"/>
      <c r="AE1200" s="529"/>
      <c r="AF1200" s="529"/>
      <c r="AG1200" s="529"/>
      <c r="AH1200" s="529"/>
      <c r="AI1200" s="529"/>
      <c r="AJ1200" s="529"/>
      <c r="AK1200" s="529"/>
      <c r="AL1200" s="529"/>
      <c r="AM1200" s="529"/>
      <c r="AN1200" s="529"/>
      <c r="AO1200" s="529"/>
    </row>
    <row r="1201" spans="1:41" s="519" customFormat="1" thickTop="1">
      <c r="A1201" s="47"/>
      <c r="B1201" s="40"/>
      <c r="C1201" s="47"/>
      <c r="E1201" s="41" t="s">
        <v>138</v>
      </c>
      <c r="F1201" s="41" t="s">
        <v>139</v>
      </c>
      <c r="G1201" s="47"/>
      <c r="H1201" s="47"/>
      <c r="I1201" s="47"/>
      <c r="J1201" s="47"/>
      <c r="K1201" s="47" t="s">
        <v>140</v>
      </c>
      <c r="L1201" s="774"/>
      <c r="M1201" s="47"/>
      <c r="N1201" s="47"/>
      <c r="O1201" s="48"/>
      <c r="P1201" s="47"/>
      <c r="Q1201"/>
      <c r="R1201"/>
      <c r="S1201"/>
      <c r="T1201" s="40"/>
      <c r="AG1201" s="627" t="s">
        <v>277</v>
      </c>
      <c r="AH1201" s="627" t="s">
        <v>278</v>
      </c>
      <c r="AI1201" s="627" t="s">
        <v>279</v>
      </c>
      <c r="AJ1201" s="627" t="s">
        <v>280</v>
      </c>
      <c r="AK1201" s="627" t="s">
        <v>281</v>
      </c>
      <c r="AM1201" s="628" t="s">
        <v>290</v>
      </c>
      <c r="AN1201" s="629" t="s">
        <v>291</v>
      </c>
      <c r="AO1201" s="520" t="s">
        <v>287</v>
      </c>
    </row>
    <row r="1202" spans="1:41" s="519" customFormat="1" ht="13.2">
      <c r="A1202" s="630">
        <v>1</v>
      </c>
      <c r="B1202" s="521" t="s">
        <v>141</v>
      </c>
      <c r="C1202" s="631"/>
      <c r="D1202" s="632" t="s">
        <v>689</v>
      </c>
      <c r="E1202" s="775">
        <f>IF(AND($A1202=0,$A$1="DIF"),0,ROUND(ROUND(SUMIF($L1204:$L1215,"SUBI",$E1204:$E1215)/$A1202,2)*$C$12,2))</f>
        <v>0</v>
      </c>
      <c r="F1202" s="776">
        <f>ROUND($A1202*$E1202,2)</f>
        <v>0</v>
      </c>
      <c r="G1202" s="635" t="s">
        <v>142</v>
      </c>
      <c r="H1202" s="636"/>
      <c r="I1202" s="637"/>
      <c r="J1202" s="636"/>
      <c r="K1202" s="777"/>
      <c r="L1202" s="778" t="s">
        <v>143</v>
      </c>
      <c r="M1202" s="638"/>
      <c r="N1202" s="638"/>
      <c r="O1202" s="638"/>
      <c r="P1202" s="638"/>
      <c r="Q1202" s="967" t="s">
        <v>867</v>
      </c>
      <c r="R1202"/>
      <c r="S1202"/>
      <c r="T1202" s="779" t="str">
        <f>IF(AND($R1221=0,$T1221=0),"0.00","mu :" &amp; ROUND($F1202/$C$12/($R1221+$T1221*$D$9),2))</f>
        <v>0.00</v>
      </c>
      <c r="W1202" s="522"/>
      <c r="AG1202" s="780">
        <f>IF(A1202=0,0,ROUND(SUM(AG1204:AG1221)/A1202,2))</f>
        <v>0</v>
      </c>
      <c r="AH1202" s="780">
        <f>$AG1202*$A1202</f>
        <v>0</v>
      </c>
      <c r="AI1202" s="780">
        <f>$E1202-$AG1202</f>
        <v>0</v>
      </c>
      <c r="AJ1202" s="780">
        <f>$A1202*$AI1202</f>
        <v>0</v>
      </c>
      <c r="AK1202" s="781">
        <f>ROUND(($AG1202+$AI1202)*$A1202,2)</f>
        <v>0</v>
      </c>
      <c r="AM1202" s="525">
        <f>ROUND(R1221,2)</f>
        <v>0</v>
      </c>
      <c r="AN1202" s="526">
        <f>ROUND(T1221,2)</f>
        <v>0</v>
      </c>
      <c r="AO1202" s="527">
        <f>ROUND(AM1202+AN1202,2)*A1202</f>
        <v>0</v>
      </c>
    </row>
    <row r="1203" spans="1:41" s="519" customFormat="1" ht="39.9" customHeight="1">
      <c r="A1203" s="782"/>
      <c r="B1203" s="783"/>
      <c r="C1203" s="631"/>
      <c r="D1203" s="1081" t="s">
        <v>690</v>
      </c>
      <c r="E1203" s="1081"/>
      <c r="F1203" s="1081"/>
      <c r="G1203" s="1081"/>
      <c r="H1203" s="1081"/>
      <c r="I1203" s="1081"/>
      <c r="J1203" s="1081"/>
      <c r="K1203" s="1081"/>
      <c r="L1203" s="1081"/>
      <c r="M1203" s="1081"/>
      <c r="N1203" s="1081"/>
      <c r="O1203" s="1081"/>
      <c r="P1203" s="1081"/>
      <c r="Q1203" s="1081"/>
      <c r="R1203" s="1081"/>
      <c r="S1203" s="1081"/>
      <c r="T1203" s="1081"/>
    </row>
    <row r="1204" spans="1:41" s="519" customFormat="1" ht="12">
      <c r="A1204" s="849"/>
      <c r="B1204" s="850"/>
      <c r="C1204" s="641"/>
      <c r="D1204" s="811"/>
      <c r="E1204" s="851">
        <f>F1202/$C$12-SUMIF($L1201:$L1221,"SUBI",$E1201:$E1221)</f>
        <v>0</v>
      </c>
      <c r="F1204" s="852" t="s">
        <v>589</v>
      </c>
      <c r="G1204" s="790"/>
      <c r="H1204" s="790"/>
      <c r="I1204" s="791"/>
      <c r="J1204" s="790"/>
      <c r="K1204" s="790"/>
      <c r="L1204" s="792"/>
      <c r="M1204" s="793"/>
      <c r="N1204" s="793"/>
      <c r="O1204" s="793"/>
      <c r="P1204" s="793"/>
      <c r="Q1204" s="794"/>
      <c r="R1204" s="795"/>
      <c r="S1204" s="794"/>
      <c r="T1204" s="796"/>
    </row>
    <row r="1205" spans="1:41" s="519" customFormat="1" ht="12" customHeight="1">
      <c r="A1205" s="797"/>
      <c r="B1205" s="798"/>
      <c r="C1205" s="799"/>
      <c r="D1205" s="799" t="str">
        <f>$F$2</f>
        <v>Electrical</v>
      </c>
      <c r="E1205" s="799">
        <f>ROUND(($R1209*$S$2 + ($T1209*$T$2)), 2)</f>
        <v>0</v>
      </c>
      <c r="F1205" s="800">
        <f>$E1205*$C$12</f>
        <v>0</v>
      </c>
      <c r="G1205" s="528"/>
      <c r="H1205" s="801"/>
      <c r="I1205" s="528"/>
      <c r="J1205" s="48"/>
      <c r="K1205" s="802" t="s">
        <v>3</v>
      </c>
      <c r="L1205" s="803" t="s">
        <v>590</v>
      </c>
      <c r="M1205" s="528"/>
      <c r="N1205" s="528"/>
      <c r="O1205" s="48"/>
      <c r="P1205" s="528"/>
      <c r="Q1205" s="528"/>
      <c r="R1205"/>
      <c r="S1205"/>
      <c r="T1205"/>
    </row>
    <row r="1206" spans="1:41" s="519" customFormat="1" ht="14.4" customHeight="1">
      <c r="A1206" s="49"/>
      <c r="B1206" s="804" t="s">
        <v>591</v>
      </c>
      <c r="C1206" s="528"/>
      <c r="D1206" s="528"/>
      <c r="E1206" s="528"/>
      <c r="F1206" s="528"/>
      <c r="G1206" s="528"/>
      <c r="H1206" s="801"/>
      <c r="I1206" s="528"/>
      <c r="J1206" s="48"/>
      <c r="K1206" s="805"/>
      <c r="L1206" s="806"/>
      <c r="M1206" s="528"/>
      <c r="N1206" s="528"/>
      <c r="O1206" s="48"/>
      <c r="P1206" s="528"/>
      <c r="Q1206" s="528"/>
      <c r="R1206" s="807">
        <f>$A1206*Q1206</f>
        <v>0</v>
      </c>
      <c r="S1206" s="528"/>
      <c r="T1206" s="643">
        <f>$A1206*S1206*$T$1</f>
        <v>0</v>
      </c>
    </row>
    <row r="1207" spans="1:41" s="519" customFormat="1" ht="14.4" customHeight="1">
      <c r="A1207" s="49"/>
      <c r="B1207" s="528"/>
      <c r="C1207" s="528"/>
      <c r="D1207" s="528"/>
      <c r="E1207" s="528"/>
      <c r="F1207" s="528"/>
      <c r="G1207" s="528"/>
      <c r="H1207" s="801"/>
      <c r="I1207" s="528"/>
      <c r="J1207" s="48"/>
      <c r="K1207" s="805"/>
      <c r="L1207" s="806"/>
      <c r="M1207" s="528"/>
      <c r="N1207" s="528"/>
      <c r="O1207" s="48"/>
      <c r="P1207" s="528"/>
      <c r="Q1207" s="528"/>
      <c r="R1207" s="807">
        <f>$A1207*Q1207</f>
        <v>0</v>
      </c>
      <c r="S1207" s="528"/>
      <c r="T1207" s="643">
        <f>$A1207*S1207*$T$1</f>
        <v>0</v>
      </c>
    </row>
    <row r="1208" spans="1:41" s="519" customFormat="1" ht="14.4" customHeight="1">
      <c r="A1208" s="49"/>
      <c r="B1208" s="528"/>
      <c r="C1208" s="528"/>
      <c r="D1208" s="528"/>
      <c r="E1208" s="528"/>
      <c r="F1208" s="528"/>
      <c r="G1208" s="528"/>
      <c r="H1208" s="801"/>
      <c r="I1208" s="528"/>
      <c r="J1208" s="48"/>
      <c r="K1208" s="805"/>
      <c r="L1208" s="806"/>
      <c r="M1208" s="528"/>
      <c r="N1208" s="528"/>
      <c r="O1208" s="48"/>
      <c r="P1208" s="528"/>
      <c r="Q1208" s="528"/>
      <c r="R1208" s="807">
        <f>$A1208*Q1208</f>
        <v>0</v>
      </c>
      <c r="S1208" s="528"/>
      <c r="T1208" s="643">
        <f>$A1208*S1208*$T$1</f>
        <v>0</v>
      </c>
    </row>
    <row r="1209" spans="1:41" s="519" customFormat="1" ht="12">
      <c r="A1209" s="835" t="s">
        <v>145</v>
      </c>
      <c r="B1209" s="836">
        <f>(R1208+T1208)</f>
        <v>0</v>
      </c>
      <c r="C1209" s="790"/>
      <c r="G1209" s="810"/>
      <c r="H1209" s="810"/>
      <c r="I1209" s="810"/>
      <c r="J1209" s="810"/>
      <c r="K1209" s="811" t="s">
        <v>3</v>
      </c>
      <c r="L1209" s="812" t="s">
        <v>590</v>
      </c>
      <c r="M1209" s="810"/>
      <c r="N1209" s="810"/>
      <c r="O1209" s="810"/>
      <c r="P1209" s="810"/>
      <c r="Q1209" s="813"/>
      <c r="R1209" s="814">
        <f>SUM(R1205:R1208)</f>
        <v>0</v>
      </c>
      <c r="S1209" s="815"/>
      <c r="T1209" s="814">
        <f>SUM(T1205:T1208)</f>
        <v>0</v>
      </c>
      <c r="AG1209" s="816">
        <f>ROUND($R1209*$S$2,2)</f>
        <v>0</v>
      </c>
    </row>
    <row r="1210" spans="1:41" s="519" customFormat="1" ht="12" customHeight="1">
      <c r="A1210" s="797"/>
      <c r="B1210" s="853"/>
      <c r="C1210" s="854"/>
      <c r="D1210" s="855" t="str">
        <f>$F$3</f>
        <v>ECA</v>
      </c>
      <c r="E1210" s="855">
        <f>ROUND(($R1214*$S$3 + ($T1214*$T$3)), 2)</f>
        <v>0</v>
      </c>
      <c r="F1210" s="856">
        <f>$E1210*$C$12</f>
        <v>0</v>
      </c>
      <c r="G1210" s="518"/>
      <c r="H1210" s="518"/>
      <c r="I1210" s="518"/>
      <c r="J1210" s="518"/>
      <c r="K1210" s="802" t="s">
        <v>5</v>
      </c>
      <c r="L1210" s="803" t="s">
        <v>590</v>
      </c>
      <c r="M1210" s="518"/>
      <c r="N1210" s="518"/>
      <c r="O1210" s="518"/>
      <c r="P1210" s="518"/>
      <c r="Q1210" s="518"/>
      <c r="R1210" s="821"/>
      <c r="S1210" s="518"/>
      <c r="T1210" s="821"/>
    </row>
    <row r="1211" spans="1:41" s="834" customFormat="1" ht="15.6" customHeight="1">
      <c r="A1211" s="822"/>
      <c r="B1211" s="804" t="s">
        <v>592</v>
      </c>
      <c r="C1211" s="823"/>
      <c r="D1211" s="824"/>
      <c r="E1211" s="824"/>
      <c r="F1211" s="824"/>
      <c r="G1211" s="825"/>
      <c r="H1211" s="826"/>
      <c r="I1211" s="826"/>
      <c r="J1211" s="827"/>
      <c r="K1211" s="828"/>
      <c r="L1211" s="823"/>
      <c r="M1211" s="829"/>
      <c r="N1211" s="830"/>
      <c r="O1211" s="831"/>
      <c r="P1211" s="832"/>
      <c r="Q1211" s="833"/>
      <c r="R1211" s="807">
        <f>$A1211*Q1211</f>
        <v>0</v>
      </c>
      <c r="S1211" s="528"/>
      <c r="T1211" s="643">
        <f>$A1211*S1211*$T$1</f>
        <v>0</v>
      </c>
    </row>
    <row r="1212" spans="1:41" s="519" customFormat="1" ht="15.6" customHeight="1">
      <c r="A1212" s="49"/>
      <c r="B1212" s="528"/>
      <c r="C1212" s="528"/>
      <c r="D1212" s="528"/>
      <c r="E1212" s="528"/>
      <c r="F1212" s="528"/>
      <c r="G1212" s="528"/>
      <c r="H1212" s="528"/>
      <c r="I1212" s="528"/>
      <c r="J1212" s="528"/>
      <c r="K1212" s="528"/>
      <c r="L1212" s="806"/>
      <c r="M1212" s="528"/>
      <c r="N1212" s="528"/>
      <c r="O1212" s="528"/>
      <c r="P1212" s="528"/>
      <c r="Q1212" s="528"/>
      <c r="R1212" s="807">
        <f>$A1212*Q1212</f>
        <v>0</v>
      </c>
      <c r="S1212" s="528"/>
      <c r="T1212" s="643">
        <f>$A1212*S1212*$T$1</f>
        <v>0</v>
      </c>
    </row>
    <row r="1213" spans="1:41" s="519" customFormat="1" ht="15.6" customHeight="1">
      <c r="A1213" s="49"/>
      <c r="B1213" s="528"/>
      <c r="C1213" s="528"/>
      <c r="D1213" s="3"/>
      <c r="E1213" s="528"/>
      <c r="F1213" s="528"/>
      <c r="G1213" s="528"/>
      <c r="H1213" s="528"/>
      <c r="I1213" s="528"/>
      <c r="J1213" s="528"/>
      <c r="K1213" s="528"/>
      <c r="L1213" s="806"/>
      <c r="M1213" s="528"/>
      <c r="N1213" s="528"/>
      <c r="O1213" s="528"/>
      <c r="P1213" s="528"/>
      <c r="Q1213" s="528"/>
      <c r="R1213" s="807">
        <f>$A1213*Q1213</f>
        <v>0</v>
      </c>
      <c r="S1213" s="528"/>
      <c r="T1213" s="643">
        <f>$A1213*S1213*$T$1</f>
        <v>0</v>
      </c>
    </row>
    <row r="1214" spans="1:41" s="519" customFormat="1" ht="12">
      <c r="A1214" s="835" t="s">
        <v>145</v>
      </c>
      <c r="B1214" s="836">
        <f>(R1213+T1213)</f>
        <v>0</v>
      </c>
      <c r="C1214" s="790"/>
      <c r="G1214" s="810"/>
      <c r="H1214" s="810"/>
      <c r="I1214" s="810"/>
      <c r="J1214" s="810"/>
      <c r="K1214" s="838" t="s">
        <v>5</v>
      </c>
      <c r="L1214" s="812" t="s">
        <v>590</v>
      </c>
      <c r="M1214" s="810"/>
      <c r="N1214" s="810"/>
      <c r="O1214" s="810"/>
      <c r="P1214" s="810"/>
      <c r="Q1214" s="813"/>
      <c r="R1214" s="814">
        <f>SUM(R1210:R1213)</f>
        <v>0</v>
      </c>
      <c r="S1214" s="815"/>
      <c r="T1214" s="814">
        <f>SUM(T1210:T1213)</f>
        <v>0</v>
      </c>
      <c r="AG1214" s="840">
        <f>ROUND($R1214*$S$3,2)</f>
        <v>0</v>
      </c>
    </row>
    <row r="1215" spans="1:41" s="519" customFormat="1" ht="12" customHeight="1">
      <c r="A1215" s="817"/>
      <c r="B1215" s="857"/>
      <c r="C1215" s="858"/>
      <c r="D1215" s="859">
        <f>$F$4</f>
        <v>0</v>
      </c>
      <c r="E1215" s="859">
        <f>ROUND(($R1219*$S$4 + ($T1219*$T$4)), 2)</f>
        <v>0</v>
      </c>
      <c r="F1215" s="860">
        <f ca="1">$F1202-SUMIF($L1204:$P1212,"SUBI",$F1204:$F1212)</f>
        <v>0</v>
      </c>
      <c r="G1215" s="518"/>
      <c r="H1215" s="518"/>
      <c r="I1215" s="518"/>
      <c r="J1215" s="518"/>
      <c r="K1215" s="861" t="s">
        <v>8</v>
      </c>
      <c r="L1215" s="803" t="s">
        <v>590</v>
      </c>
      <c r="M1215" s="518"/>
      <c r="N1215" s="518"/>
      <c r="O1215" s="518"/>
      <c r="P1215" s="518"/>
      <c r="Q1215" s="518"/>
      <c r="R1215" s="821"/>
      <c r="S1215" s="518"/>
      <c r="T1215" s="821"/>
    </row>
    <row r="1216" spans="1:41" s="834" customFormat="1" ht="14.4" customHeight="1">
      <c r="A1216" s="822"/>
      <c r="B1216" s="804" t="s">
        <v>680</v>
      </c>
      <c r="C1216" s="823"/>
      <c r="D1216" s="824"/>
      <c r="E1216" s="824"/>
      <c r="F1216" s="824"/>
      <c r="G1216" s="825"/>
      <c r="H1216" s="826"/>
      <c r="I1216" s="826"/>
      <c r="J1216" s="827"/>
      <c r="K1216" s="828"/>
      <c r="L1216" s="823"/>
      <c r="M1216" s="829"/>
      <c r="N1216" s="830"/>
      <c r="O1216" s="862"/>
      <c r="P1216" s="832"/>
      <c r="Q1216" s="833"/>
      <c r="R1216" s="642">
        <f>$A1216*Q1216</f>
        <v>0</v>
      </c>
      <c r="S1216" s="833"/>
      <c r="T1216" s="643">
        <f>$A1216*S1216*$T$1</f>
        <v>0</v>
      </c>
    </row>
    <row r="1217" spans="1:41" s="519" customFormat="1" ht="12">
      <c r="A1217" s="47"/>
      <c r="B1217" s="641"/>
      <c r="C1217" s="641"/>
      <c r="D1217" s="863"/>
      <c r="E1217" s="843"/>
      <c r="F1217" s="518"/>
      <c r="G1217" s="518"/>
      <c r="H1217" s="518"/>
      <c r="I1217" s="518"/>
      <c r="J1217" s="518"/>
      <c r="K1217" s="518"/>
      <c r="L1217" s="864"/>
      <c r="M1217" s="518"/>
      <c r="N1217" s="518"/>
      <c r="O1217" s="518"/>
      <c r="P1217" s="518"/>
      <c r="Q1217" s="518"/>
      <c r="R1217" s="642">
        <f>$A1217*Q1217</f>
        <v>0</v>
      </c>
      <c r="S1217" s="518"/>
      <c r="T1217" s="643">
        <f>$A1217*S1217*$T$1</f>
        <v>0</v>
      </c>
    </row>
    <row r="1218" spans="1:41" s="519" customFormat="1" ht="12">
      <c r="A1218" s="47"/>
      <c r="B1218" s="641"/>
      <c r="C1218" s="641"/>
      <c r="D1218" s="863"/>
      <c r="E1218" s="843"/>
      <c r="F1218" s="518"/>
      <c r="G1218" s="518"/>
      <c r="H1218" s="518"/>
      <c r="I1218" s="518"/>
      <c r="J1218" s="518"/>
      <c r="K1218" s="518"/>
      <c r="L1218" s="864"/>
      <c r="M1218" s="518"/>
      <c r="N1218" s="518"/>
      <c r="O1218" s="518"/>
      <c r="P1218" s="518"/>
      <c r="Q1218" s="518"/>
      <c r="R1218" s="642">
        <f>$A1218*Q1218</f>
        <v>0</v>
      </c>
      <c r="S1218" s="518"/>
      <c r="T1218" s="643">
        <f>$A1218*S1218*$T$1</f>
        <v>0</v>
      </c>
    </row>
    <row r="1219" spans="1:41" s="519" customFormat="1" ht="12.75" customHeight="1">
      <c r="A1219" s="835" t="s">
        <v>145</v>
      </c>
      <c r="B1219" s="836">
        <f>(R1218+T1218)</f>
        <v>0</v>
      </c>
      <c r="C1219" s="837"/>
      <c r="D1219" s="837"/>
      <c r="E1219" s="837"/>
      <c r="F1219" s="837"/>
      <c r="G1219" s="813"/>
      <c r="H1219" s="813"/>
      <c r="I1219" s="813"/>
      <c r="J1219" s="813"/>
      <c r="K1219" s="838" t="s">
        <v>8</v>
      </c>
      <c r="L1219" s="839" t="s">
        <v>590</v>
      </c>
      <c r="M1219" s="813"/>
      <c r="N1219" s="813"/>
      <c r="O1219" s="813"/>
      <c r="P1219" s="813"/>
      <c r="Q1219" s="813"/>
      <c r="R1219" s="814">
        <f>SUM(R1215:R1218)</f>
        <v>0</v>
      </c>
      <c r="S1219" s="815"/>
      <c r="T1219" s="814">
        <f>SUM(T1215:T1218)</f>
        <v>0</v>
      </c>
      <c r="AG1219" s="865">
        <f>ROUND($R1219*$S$4,2)</f>
        <v>0</v>
      </c>
    </row>
    <row r="1220" spans="1:41" s="519" customFormat="1" ht="12.75" customHeight="1">
      <c r="A1220" s="841"/>
      <c r="B1220" s="842"/>
      <c r="E1220" s="641"/>
      <c r="F1220" s="843"/>
      <c r="G1220" s="641"/>
      <c r="H1220" s="641"/>
      <c r="I1220" s="518"/>
      <c r="J1220" s="641"/>
      <c r="K1220" s="641"/>
      <c r="L1220" s="844"/>
      <c r="M1220" s="652"/>
      <c r="N1220" s="652"/>
      <c r="O1220" s="652"/>
      <c r="P1220" s="652"/>
      <c r="Q1220" s="653"/>
      <c r="R1220" s="821"/>
      <c r="S1220" s="641"/>
      <c r="T1220" s="821"/>
    </row>
    <row r="1221" spans="1:41" s="519" customFormat="1" ht="13.5" customHeight="1" thickBot="1">
      <c r="A1221" s="845"/>
      <c r="B1221" s="846"/>
      <c r="C1221" s="529"/>
      <c r="D1221" s="529"/>
      <c r="E1221" s="646"/>
      <c r="F1221" s="647"/>
      <c r="G1221" s="646" t="s">
        <v>146</v>
      </c>
      <c r="H1221" s="646"/>
      <c r="I1221" s="648"/>
      <c r="J1221" s="646"/>
      <c r="K1221" s="646"/>
      <c r="L1221" s="847" t="s">
        <v>143</v>
      </c>
      <c r="M1221" s="649"/>
      <c r="N1221" s="649"/>
      <c r="O1221" s="649"/>
      <c r="P1221" s="649"/>
      <c r="Q1221" s="650"/>
      <c r="R1221" s="848">
        <f>SUMIF($L1203:$L1220,"SUBI",R1203:R1220)</f>
        <v>0</v>
      </c>
      <c r="S1221" s="866"/>
      <c r="T1221" s="848">
        <f>SUMIF($L1203:$L1220,"SUBI",T1203:T1220)</f>
        <v>0</v>
      </c>
      <c r="U1221" s="529"/>
      <c r="V1221" s="529"/>
      <c r="W1221" s="529"/>
      <c r="X1221" s="529"/>
      <c r="Y1221" s="529"/>
      <c r="Z1221" s="529"/>
      <c r="AA1221" s="529"/>
      <c r="AB1221" s="529"/>
      <c r="AC1221" s="529"/>
      <c r="AD1221" s="529"/>
      <c r="AE1221" s="529"/>
      <c r="AF1221" s="529"/>
      <c r="AG1221" s="529"/>
      <c r="AH1221" s="529"/>
      <c r="AI1221" s="529"/>
      <c r="AJ1221" s="529"/>
      <c r="AK1221" s="529"/>
      <c r="AL1221" s="529"/>
      <c r="AM1221" s="529"/>
      <c r="AN1221" s="529"/>
      <c r="AO1221" s="529"/>
    </row>
    <row r="1222" spans="1:41" s="519" customFormat="1" thickTop="1">
      <c r="A1222" s="47"/>
      <c r="B1222" s="40"/>
      <c r="C1222" s="47"/>
      <c r="E1222" s="41" t="s">
        <v>138</v>
      </c>
      <c r="F1222" s="41" t="s">
        <v>139</v>
      </c>
      <c r="G1222" s="47"/>
      <c r="H1222" s="47"/>
      <c r="I1222" s="47"/>
      <c r="J1222" s="47"/>
      <c r="K1222" s="47" t="s">
        <v>140</v>
      </c>
      <c r="L1222" s="774"/>
      <c r="M1222" s="47"/>
      <c r="N1222" s="47"/>
      <c r="O1222" s="48"/>
      <c r="P1222" s="47"/>
      <c r="Q1222"/>
      <c r="R1222"/>
      <c r="S1222"/>
      <c r="T1222" s="40"/>
      <c r="AG1222" s="627" t="s">
        <v>277</v>
      </c>
      <c r="AH1222" s="627" t="s">
        <v>278</v>
      </c>
      <c r="AI1222" s="627" t="s">
        <v>279</v>
      </c>
      <c r="AJ1222" s="627" t="s">
        <v>280</v>
      </c>
      <c r="AK1222" s="627" t="s">
        <v>281</v>
      </c>
      <c r="AM1222" s="628" t="s">
        <v>290</v>
      </c>
      <c r="AN1222" s="629" t="s">
        <v>291</v>
      </c>
      <c r="AO1222" s="520" t="s">
        <v>287</v>
      </c>
    </row>
    <row r="1223" spans="1:41" s="519" customFormat="1" ht="13.2">
      <c r="A1223" s="630">
        <v>1</v>
      </c>
      <c r="B1223" s="521" t="s">
        <v>141</v>
      </c>
      <c r="C1223" s="631"/>
      <c r="D1223" s="632" t="s">
        <v>691</v>
      </c>
      <c r="E1223" s="775">
        <f>IF(AND($A1223=0,$A$1="DIF"),0,ROUND(ROUND(SUMIF($L1225:$L1236,"SUBI",$E1225:$E1236)/$A1223,2)*$C$12,2))</f>
        <v>0</v>
      </c>
      <c r="F1223" s="776">
        <f>ROUND($A1223*$E1223,2)</f>
        <v>0</v>
      </c>
      <c r="G1223" s="635" t="s">
        <v>142</v>
      </c>
      <c r="H1223" s="636"/>
      <c r="I1223" s="637"/>
      <c r="J1223" s="636"/>
      <c r="K1223" s="777"/>
      <c r="L1223" s="778" t="s">
        <v>143</v>
      </c>
      <c r="M1223" s="638"/>
      <c r="N1223" s="638"/>
      <c r="O1223" s="638"/>
      <c r="P1223" s="638"/>
      <c r="Q1223" s="967" t="s">
        <v>867</v>
      </c>
      <c r="R1223"/>
      <c r="S1223"/>
      <c r="T1223" s="779" t="str">
        <f>IF(AND($R1242=0,$T1242=0),"0.00","mu :" &amp; ROUND($F1223/$C$12/($R1242+$T1242*$D$9),2))</f>
        <v>0.00</v>
      </c>
      <c r="W1223" s="522"/>
      <c r="AG1223" s="780">
        <f>IF(A1223=0,0,ROUND(SUM(AG1225:AG1242)/A1223,2))</f>
        <v>0</v>
      </c>
      <c r="AH1223" s="780">
        <f>$AG1223*$A1223</f>
        <v>0</v>
      </c>
      <c r="AI1223" s="780">
        <f>$E1223-$AG1223</f>
        <v>0</v>
      </c>
      <c r="AJ1223" s="780">
        <f>$A1223*$AI1223</f>
        <v>0</v>
      </c>
      <c r="AK1223" s="781">
        <f>ROUND(($AG1223+$AI1223)*$A1223,2)</f>
        <v>0</v>
      </c>
      <c r="AM1223" s="525">
        <f>ROUND(R1242,2)</f>
        <v>0</v>
      </c>
      <c r="AN1223" s="526">
        <f>ROUND(T1242,2)</f>
        <v>0</v>
      </c>
      <c r="AO1223" s="527">
        <f>ROUND(AM1223+AN1223,2)*A1223</f>
        <v>0</v>
      </c>
    </row>
    <row r="1224" spans="1:41" s="519" customFormat="1" ht="39.9" customHeight="1">
      <c r="A1224" s="782"/>
      <c r="B1224" s="783"/>
      <c r="C1224" s="631"/>
      <c r="D1224" s="1081" t="s">
        <v>692</v>
      </c>
      <c r="E1224" s="1081"/>
      <c r="F1224" s="1081"/>
      <c r="G1224" s="1081"/>
      <c r="H1224" s="1081"/>
      <c r="I1224" s="1081"/>
      <c r="J1224" s="1081"/>
      <c r="K1224" s="1081"/>
      <c r="L1224" s="1081"/>
      <c r="M1224" s="1081"/>
      <c r="N1224" s="1081"/>
      <c r="O1224" s="1081"/>
      <c r="P1224" s="1081"/>
      <c r="Q1224" s="1081"/>
      <c r="R1224" s="1081"/>
      <c r="S1224" s="1081"/>
      <c r="T1224" s="1081"/>
    </row>
    <row r="1225" spans="1:41" s="519" customFormat="1" ht="12">
      <c r="A1225" s="849"/>
      <c r="B1225" s="850"/>
      <c r="C1225" s="641"/>
      <c r="D1225" s="811"/>
      <c r="E1225" s="851">
        <f>F1223/$C$12-SUMIF($L1222:$L1242,"SUBI",$E1222:$E1242)</f>
        <v>0</v>
      </c>
      <c r="F1225" s="852" t="s">
        <v>589</v>
      </c>
      <c r="G1225" s="790"/>
      <c r="H1225" s="790"/>
      <c r="I1225" s="791"/>
      <c r="J1225" s="790"/>
      <c r="K1225" s="790"/>
      <c r="L1225" s="792"/>
      <c r="M1225" s="793"/>
      <c r="N1225" s="793"/>
      <c r="O1225" s="793"/>
      <c r="P1225" s="793"/>
      <c r="Q1225" s="794"/>
      <c r="R1225" s="795"/>
      <c r="S1225" s="794"/>
      <c r="T1225" s="796"/>
    </row>
    <row r="1226" spans="1:41" s="519" customFormat="1" ht="12" customHeight="1">
      <c r="A1226" s="797"/>
      <c r="B1226" s="798"/>
      <c r="C1226" s="799"/>
      <c r="D1226" s="799" t="str">
        <f>$F$2</f>
        <v>Electrical</v>
      </c>
      <c r="E1226" s="799">
        <f>ROUND(($R1230*$S$2 + ($T1230*$T$2)), 2)</f>
        <v>0</v>
      </c>
      <c r="F1226" s="800">
        <f>$E1226*$C$12</f>
        <v>0</v>
      </c>
      <c r="G1226" s="528"/>
      <c r="H1226" s="801"/>
      <c r="I1226" s="528"/>
      <c r="J1226" s="48"/>
      <c r="K1226" s="802" t="s">
        <v>3</v>
      </c>
      <c r="L1226" s="803" t="s">
        <v>590</v>
      </c>
      <c r="M1226" s="528"/>
      <c r="N1226" s="528"/>
      <c r="O1226" s="48"/>
      <c r="P1226" s="528"/>
      <c r="Q1226" s="528"/>
      <c r="R1226"/>
      <c r="S1226"/>
      <c r="T1226"/>
    </row>
    <row r="1227" spans="1:41" s="519" customFormat="1" ht="14.4" customHeight="1">
      <c r="A1227" s="49"/>
      <c r="B1227" s="804" t="s">
        <v>591</v>
      </c>
      <c r="C1227" s="528"/>
      <c r="D1227" s="528"/>
      <c r="E1227" s="528"/>
      <c r="F1227" s="528"/>
      <c r="G1227" s="528"/>
      <c r="H1227" s="801"/>
      <c r="I1227" s="528"/>
      <c r="J1227" s="48"/>
      <c r="K1227" s="805"/>
      <c r="L1227" s="806"/>
      <c r="M1227" s="528"/>
      <c r="N1227" s="528"/>
      <c r="O1227" s="48"/>
      <c r="P1227" s="528"/>
      <c r="Q1227" s="528"/>
      <c r="R1227" s="807">
        <f>$A1227*Q1227</f>
        <v>0</v>
      </c>
      <c r="S1227" s="528"/>
      <c r="T1227" s="643">
        <f>$A1227*S1227*$T$1</f>
        <v>0</v>
      </c>
    </row>
    <row r="1228" spans="1:41" s="519" customFormat="1" ht="14.4" customHeight="1">
      <c r="A1228" s="49"/>
      <c r="B1228" s="528"/>
      <c r="C1228" s="528"/>
      <c r="D1228" s="528"/>
      <c r="E1228" s="528"/>
      <c r="F1228" s="528"/>
      <c r="G1228" s="528"/>
      <c r="H1228" s="801"/>
      <c r="I1228" s="528"/>
      <c r="J1228" s="48"/>
      <c r="K1228" s="805"/>
      <c r="L1228" s="806"/>
      <c r="M1228" s="528"/>
      <c r="N1228" s="528"/>
      <c r="O1228" s="48"/>
      <c r="P1228" s="528"/>
      <c r="Q1228" s="528"/>
      <c r="R1228" s="807">
        <f>$A1228*Q1228</f>
        <v>0</v>
      </c>
      <c r="S1228" s="528"/>
      <c r="T1228" s="643">
        <f>$A1228*S1228*$T$1</f>
        <v>0</v>
      </c>
    </row>
    <row r="1229" spans="1:41" s="519" customFormat="1" ht="14.4" customHeight="1">
      <c r="A1229" s="49"/>
      <c r="B1229" s="528"/>
      <c r="C1229" s="528"/>
      <c r="D1229" s="528"/>
      <c r="E1229" s="528"/>
      <c r="F1229" s="528"/>
      <c r="G1229" s="528"/>
      <c r="H1229" s="801"/>
      <c r="I1229" s="528"/>
      <c r="J1229" s="48"/>
      <c r="K1229" s="805"/>
      <c r="L1229" s="806"/>
      <c r="M1229" s="528"/>
      <c r="N1229" s="528"/>
      <c r="O1229" s="48"/>
      <c r="P1229" s="528"/>
      <c r="Q1229" s="528"/>
      <c r="R1229" s="807">
        <f>$A1229*Q1229</f>
        <v>0</v>
      </c>
      <c r="S1229" s="528"/>
      <c r="T1229" s="643">
        <f>$A1229*S1229*$T$1</f>
        <v>0</v>
      </c>
    </row>
    <row r="1230" spans="1:41" s="519" customFormat="1" ht="12">
      <c r="A1230" s="835" t="s">
        <v>145</v>
      </c>
      <c r="B1230" s="836">
        <f>(R1229+T1229)</f>
        <v>0</v>
      </c>
      <c r="C1230" s="790"/>
      <c r="G1230" s="810"/>
      <c r="H1230" s="810"/>
      <c r="I1230" s="810"/>
      <c r="J1230" s="810"/>
      <c r="K1230" s="811" t="s">
        <v>3</v>
      </c>
      <c r="L1230" s="812" t="s">
        <v>590</v>
      </c>
      <c r="M1230" s="810"/>
      <c r="N1230" s="810"/>
      <c r="O1230" s="810"/>
      <c r="P1230" s="810"/>
      <c r="Q1230" s="813"/>
      <c r="R1230" s="814">
        <f>SUM(R1226:R1229)</f>
        <v>0</v>
      </c>
      <c r="S1230" s="815"/>
      <c r="T1230" s="814">
        <f>SUM(T1226:T1229)</f>
        <v>0</v>
      </c>
      <c r="AG1230" s="816">
        <f>ROUND($R1230*$S$2,2)</f>
        <v>0</v>
      </c>
    </row>
    <row r="1231" spans="1:41" s="519" customFormat="1" ht="12" customHeight="1">
      <c r="A1231" s="797"/>
      <c r="B1231" s="853"/>
      <c r="C1231" s="854"/>
      <c r="D1231" s="855" t="str">
        <f>$F$3</f>
        <v>ECA</v>
      </c>
      <c r="E1231" s="855">
        <f>ROUND(($R1235*$S$3 + ($T1235*$T$3)), 2)</f>
        <v>0</v>
      </c>
      <c r="F1231" s="856">
        <f>$E1231*$C$12</f>
        <v>0</v>
      </c>
      <c r="G1231" s="518"/>
      <c r="H1231" s="518"/>
      <c r="I1231" s="518"/>
      <c r="J1231" s="518"/>
      <c r="K1231" s="802" t="s">
        <v>5</v>
      </c>
      <c r="L1231" s="803" t="s">
        <v>590</v>
      </c>
      <c r="M1231" s="518"/>
      <c r="N1231" s="518"/>
      <c r="O1231" s="518"/>
      <c r="P1231" s="518"/>
      <c r="Q1231" s="518"/>
      <c r="R1231" s="821"/>
      <c r="S1231" s="518"/>
      <c r="T1231" s="821"/>
    </row>
    <row r="1232" spans="1:41" s="834" customFormat="1" ht="15.6" customHeight="1">
      <c r="A1232" s="822"/>
      <c r="B1232" s="804" t="s">
        <v>592</v>
      </c>
      <c r="C1232" s="823"/>
      <c r="D1232" s="824"/>
      <c r="E1232" s="824"/>
      <c r="F1232" s="824"/>
      <c r="G1232" s="825"/>
      <c r="H1232" s="826"/>
      <c r="I1232" s="826"/>
      <c r="J1232" s="827"/>
      <c r="K1232" s="828"/>
      <c r="L1232" s="823"/>
      <c r="M1232" s="829"/>
      <c r="N1232" s="830"/>
      <c r="O1232" s="831"/>
      <c r="P1232" s="832"/>
      <c r="Q1232" s="833"/>
      <c r="R1232" s="807">
        <f>$A1232*Q1232</f>
        <v>0</v>
      </c>
      <c r="S1232" s="528"/>
      <c r="T1232" s="643">
        <f>$A1232*S1232*$T$1</f>
        <v>0</v>
      </c>
    </row>
    <row r="1233" spans="1:41" s="519" customFormat="1" ht="15.6" customHeight="1">
      <c r="A1233" s="49"/>
      <c r="B1233" s="528"/>
      <c r="C1233" s="528"/>
      <c r="D1233" s="528"/>
      <c r="E1233" s="528"/>
      <c r="F1233" s="528"/>
      <c r="G1233" s="528"/>
      <c r="H1233" s="528"/>
      <c r="I1233" s="528"/>
      <c r="J1233" s="528"/>
      <c r="K1233" s="528"/>
      <c r="L1233" s="806"/>
      <c r="M1233" s="528"/>
      <c r="N1233" s="528"/>
      <c r="O1233" s="528"/>
      <c r="P1233" s="528"/>
      <c r="Q1233" s="528"/>
      <c r="R1233" s="807">
        <f>$A1233*Q1233</f>
        <v>0</v>
      </c>
      <c r="S1233" s="528"/>
      <c r="T1233" s="643">
        <f>$A1233*S1233*$T$1</f>
        <v>0</v>
      </c>
    </row>
    <row r="1234" spans="1:41" s="519" customFormat="1" ht="15.6" customHeight="1">
      <c r="A1234" s="49"/>
      <c r="B1234" s="528"/>
      <c r="C1234" s="528"/>
      <c r="D1234" s="3"/>
      <c r="E1234" s="528"/>
      <c r="F1234" s="528"/>
      <c r="G1234" s="528"/>
      <c r="H1234" s="528"/>
      <c r="I1234" s="528"/>
      <c r="J1234" s="528"/>
      <c r="K1234" s="528"/>
      <c r="L1234" s="806"/>
      <c r="M1234" s="528"/>
      <c r="N1234" s="528"/>
      <c r="O1234" s="528"/>
      <c r="P1234" s="528"/>
      <c r="Q1234" s="528"/>
      <c r="R1234" s="807">
        <f>$A1234*Q1234</f>
        <v>0</v>
      </c>
      <c r="S1234" s="528"/>
      <c r="T1234" s="643">
        <f>$A1234*S1234*$T$1</f>
        <v>0</v>
      </c>
    </row>
    <row r="1235" spans="1:41" s="519" customFormat="1" ht="12">
      <c r="A1235" s="835" t="s">
        <v>145</v>
      </c>
      <c r="B1235" s="836">
        <f>(R1234+T1234)</f>
        <v>0</v>
      </c>
      <c r="C1235" s="790"/>
      <c r="G1235" s="810"/>
      <c r="H1235" s="810"/>
      <c r="I1235" s="810"/>
      <c r="J1235" s="810"/>
      <c r="K1235" s="838" t="s">
        <v>5</v>
      </c>
      <c r="L1235" s="812" t="s">
        <v>590</v>
      </c>
      <c r="M1235" s="810"/>
      <c r="N1235" s="810"/>
      <c r="O1235" s="810"/>
      <c r="P1235" s="810"/>
      <c r="Q1235" s="813"/>
      <c r="R1235" s="814">
        <f>SUM(R1231:R1234)</f>
        <v>0</v>
      </c>
      <c r="S1235" s="815"/>
      <c r="T1235" s="814">
        <f>SUM(T1231:T1234)</f>
        <v>0</v>
      </c>
      <c r="AG1235" s="840">
        <f>ROUND($R1235*$S$3,2)</f>
        <v>0</v>
      </c>
    </row>
    <row r="1236" spans="1:41" s="519" customFormat="1" ht="12" customHeight="1">
      <c r="A1236" s="817"/>
      <c r="B1236" s="857"/>
      <c r="C1236" s="858"/>
      <c r="D1236" s="859">
        <f>$F$4</f>
        <v>0</v>
      </c>
      <c r="E1236" s="859">
        <f>ROUND(($R1240*$S$4 + ($T1240*$T$4)), 2)</f>
        <v>0</v>
      </c>
      <c r="F1236" s="860">
        <f ca="1">$F1223-SUMIF($L1225:$P1233,"SUBI",$F1225:$F1233)</f>
        <v>0</v>
      </c>
      <c r="G1236" s="518"/>
      <c r="H1236" s="518"/>
      <c r="I1236" s="518"/>
      <c r="J1236" s="518"/>
      <c r="K1236" s="861" t="s">
        <v>8</v>
      </c>
      <c r="L1236" s="803" t="s">
        <v>590</v>
      </c>
      <c r="M1236" s="518"/>
      <c r="N1236" s="518"/>
      <c r="O1236" s="518"/>
      <c r="P1236" s="518"/>
      <c r="Q1236" s="518"/>
      <c r="R1236" s="821"/>
      <c r="S1236" s="518"/>
      <c r="T1236" s="821"/>
    </row>
    <row r="1237" spans="1:41" s="834" customFormat="1" ht="14.4" customHeight="1">
      <c r="A1237" s="822"/>
      <c r="B1237" s="804" t="s">
        <v>680</v>
      </c>
      <c r="C1237" s="823"/>
      <c r="D1237" s="824"/>
      <c r="E1237" s="824"/>
      <c r="F1237" s="824"/>
      <c r="G1237" s="825"/>
      <c r="H1237" s="826"/>
      <c r="I1237" s="826"/>
      <c r="J1237" s="827"/>
      <c r="K1237" s="828"/>
      <c r="L1237" s="823"/>
      <c r="M1237" s="829"/>
      <c r="N1237" s="830"/>
      <c r="O1237" s="862"/>
      <c r="P1237" s="832"/>
      <c r="Q1237" s="833"/>
      <c r="R1237" s="642">
        <f>$A1237*Q1237</f>
        <v>0</v>
      </c>
      <c r="S1237" s="833"/>
      <c r="T1237" s="643">
        <f>$A1237*S1237*$T$1</f>
        <v>0</v>
      </c>
    </row>
    <row r="1238" spans="1:41" s="519" customFormat="1" ht="12">
      <c r="A1238" s="47"/>
      <c r="B1238" s="641"/>
      <c r="C1238" s="641"/>
      <c r="D1238" s="863"/>
      <c r="E1238" s="843"/>
      <c r="F1238" s="518"/>
      <c r="G1238" s="518"/>
      <c r="H1238" s="518"/>
      <c r="I1238" s="518"/>
      <c r="J1238" s="518"/>
      <c r="K1238" s="518"/>
      <c r="L1238" s="864"/>
      <c r="M1238" s="518"/>
      <c r="N1238" s="518"/>
      <c r="O1238" s="518"/>
      <c r="P1238" s="518"/>
      <c r="Q1238" s="518"/>
      <c r="R1238" s="642">
        <f>$A1238*Q1238</f>
        <v>0</v>
      </c>
      <c r="S1238" s="518"/>
      <c r="T1238" s="643">
        <f>$A1238*S1238*$T$1</f>
        <v>0</v>
      </c>
    </row>
    <row r="1239" spans="1:41" s="519" customFormat="1" ht="12">
      <c r="A1239" s="47"/>
      <c r="B1239" s="641"/>
      <c r="C1239" s="641"/>
      <c r="D1239" s="863"/>
      <c r="E1239" s="843"/>
      <c r="F1239" s="518"/>
      <c r="G1239" s="518"/>
      <c r="H1239" s="518"/>
      <c r="I1239" s="518"/>
      <c r="J1239" s="518"/>
      <c r="K1239" s="518"/>
      <c r="L1239" s="864"/>
      <c r="M1239" s="518"/>
      <c r="N1239" s="518"/>
      <c r="O1239" s="518"/>
      <c r="P1239" s="518"/>
      <c r="Q1239" s="518"/>
      <c r="R1239" s="642">
        <f>$A1239*Q1239</f>
        <v>0</v>
      </c>
      <c r="S1239" s="518"/>
      <c r="T1239" s="643">
        <f>$A1239*S1239*$T$1</f>
        <v>0</v>
      </c>
    </row>
    <row r="1240" spans="1:41" s="519" customFormat="1" ht="12.75" customHeight="1">
      <c r="A1240" s="835" t="s">
        <v>145</v>
      </c>
      <c r="B1240" s="836">
        <f>(R1239+T1239)</f>
        <v>0</v>
      </c>
      <c r="C1240" s="837"/>
      <c r="D1240" s="837"/>
      <c r="E1240" s="837"/>
      <c r="F1240" s="837"/>
      <c r="G1240" s="813"/>
      <c r="H1240" s="813"/>
      <c r="I1240" s="813"/>
      <c r="J1240" s="813"/>
      <c r="K1240" s="838" t="s">
        <v>8</v>
      </c>
      <c r="L1240" s="839" t="s">
        <v>590</v>
      </c>
      <c r="M1240" s="813"/>
      <c r="N1240" s="813"/>
      <c r="O1240" s="813"/>
      <c r="P1240" s="813"/>
      <c r="Q1240" s="813"/>
      <c r="R1240" s="814">
        <f>SUM(R1236:R1239)</f>
        <v>0</v>
      </c>
      <c r="S1240" s="815"/>
      <c r="T1240" s="814">
        <f>SUM(T1236:T1239)</f>
        <v>0</v>
      </c>
      <c r="AG1240" s="865">
        <f>ROUND($R1240*$S$4,2)</f>
        <v>0</v>
      </c>
    </row>
    <row r="1241" spans="1:41" s="519" customFormat="1" ht="12.75" customHeight="1">
      <c r="A1241" s="841"/>
      <c r="B1241" s="842"/>
      <c r="E1241" s="641"/>
      <c r="F1241" s="843"/>
      <c r="G1241" s="641"/>
      <c r="H1241" s="641"/>
      <c r="I1241" s="518"/>
      <c r="J1241" s="641"/>
      <c r="K1241" s="641"/>
      <c r="L1241" s="844"/>
      <c r="M1241" s="652"/>
      <c r="N1241" s="652"/>
      <c r="O1241" s="652"/>
      <c r="P1241" s="652"/>
      <c r="Q1241" s="653"/>
      <c r="R1241" s="821"/>
      <c r="S1241" s="641"/>
      <c r="T1241" s="821"/>
    </row>
    <row r="1242" spans="1:41" s="519" customFormat="1" ht="13.5" customHeight="1" thickBot="1">
      <c r="A1242" s="845"/>
      <c r="B1242" s="846"/>
      <c r="C1242" s="529"/>
      <c r="D1242" s="529"/>
      <c r="E1242" s="646"/>
      <c r="F1242" s="647"/>
      <c r="G1242" s="646" t="s">
        <v>146</v>
      </c>
      <c r="H1242" s="646"/>
      <c r="I1242" s="648"/>
      <c r="J1242" s="646"/>
      <c r="K1242" s="646"/>
      <c r="L1242" s="847" t="s">
        <v>143</v>
      </c>
      <c r="M1242" s="649"/>
      <c r="N1242" s="649"/>
      <c r="O1242" s="649"/>
      <c r="P1242" s="649"/>
      <c r="Q1242" s="650"/>
      <c r="R1242" s="848">
        <f>SUMIF($L1224:$L1241,"SUBI",R1224:R1241)</f>
        <v>0</v>
      </c>
      <c r="S1242" s="866"/>
      <c r="T1242" s="848">
        <f>SUMIF($L1224:$L1241,"SUBI",T1224:T1241)</f>
        <v>0</v>
      </c>
      <c r="U1242" s="529"/>
      <c r="V1242" s="529"/>
      <c r="W1242" s="529"/>
      <c r="X1242" s="529"/>
      <c r="Y1242" s="529"/>
      <c r="Z1242" s="529"/>
      <c r="AA1242" s="529"/>
      <c r="AB1242" s="529"/>
      <c r="AC1242" s="529"/>
      <c r="AD1242" s="529"/>
      <c r="AE1242" s="529"/>
      <c r="AF1242" s="529"/>
      <c r="AG1242" s="529"/>
      <c r="AH1242" s="529"/>
      <c r="AI1242" s="529"/>
      <c r="AJ1242" s="529"/>
      <c r="AK1242" s="529"/>
      <c r="AL1242" s="529"/>
      <c r="AM1242" s="529"/>
      <c r="AN1242" s="529"/>
      <c r="AO1242" s="529"/>
    </row>
    <row r="1243" spans="1:41" s="519" customFormat="1" thickTop="1">
      <c r="A1243" s="47"/>
      <c r="B1243" s="40"/>
      <c r="C1243" s="47"/>
      <c r="E1243" s="41" t="s">
        <v>138</v>
      </c>
      <c r="F1243" s="41" t="s">
        <v>139</v>
      </c>
      <c r="G1243" s="47"/>
      <c r="H1243" s="47"/>
      <c r="I1243" s="47"/>
      <c r="J1243" s="47"/>
      <c r="K1243" s="47" t="s">
        <v>140</v>
      </c>
      <c r="L1243" s="774"/>
      <c r="M1243" s="47"/>
      <c r="N1243" s="47"/>
      <c r="O1243" s="48"/>
      <c r="P1243" s="47"/>
      <c r="Q1243"/>
      <c r="R1243"/>
      <c r="S1243"/>
      <c r="T1243" s="40"/>
      <c r="AG1243" s="627" t="s">
        <v>277</v>
      </c>
      <c r="AH1243" s="627" t="s">
        <v>278</v>
      </c>
      <c r="AI1243" s="627" t="s">
        <v>279</v>
      </c>
      <c r="AJ1243" s="627" t="s">
        <v>280</v>
      </c>
      <c r="AK1243" s="627" t="s">
        <v>281</v>
      </c>
      <c r="AM1243" s="628" t="s">
        <v>290</v>
      </c>
      <c r="AN1243" s="629" t="s">
        <v>291</v>
      </c>
      <c r="AO1243" s="520" t="s">
        <v>287</v>
      </c>
    </row>
    <row r="1244" spans="1:41" s="519" customFormat="1" ht="13.2">
      <c r="A1244" s="630">
        <v>1</v>
      </c>
      <c r="B1244" s="521" t="s">
        <v>141</v>
      </c>
      <c r="C1244" s="631"/>
      <c r="D1244" s="632" t="s">
        <v>693</v>
      </c>
      <c r="E1244" s="775">
        <f>IF(AND($A1244=0,$A$1="DIF"),0,ROUND(ROUND(SUMIF($L1246:$L1257,"SUBI",$E1246:$E1257)/$A1244,2)*$C$12,2))</f>
        <v>0</v>
      </c>
      <c r="F1244" s="776">
        <f>ROUND($A1244*$E1244,2)</f>
        <v>0</v>
      </c>
      <c r="G1244" s="635" t="s">
        <v>142</v>
      </c>
      <c r="H1244" s="636"/>
      <c r="I1244" s="637"/>
      <c r="J1244" s="636"/>
      <c r="K1244" s="777"/>
      <c r="L1244" s="778" t="s">
        <v>143</v>
      </c>
      <c r="M1244" s="638"/>
      <c r="N1244" s="638"/>
      <c r="O1244" s="638"/>
      <c r="P1244" s="638"/>
      <c r="Q1244" s="967" t="s">
        <v>867</v>
      </c>
      <c r="R1244"/>
      <c r="S1244"/>
      <c r="T1244" s="779" t="str">
        <f>IF(AND($R1263=0,$T1263=0),"0.00","mu :" &amp; ROUND($F1244/$C$12/($R1263+$T1263*$D$9),2))</f>
        <v>0.00</v>
      </c>
      <c r="W1244" s="522"/>
      <c r="AG1244" s="780">
        <f>IF(A1244=0,0,ROUND(SUM(AG1246:AG1263)/A1244,2))</f>
        <v>0</v>
      </c>
      <c r="AH1244" s="780">
        <f>$AG1244*$A1244</f>
        <v>0</v>
      </c>
      <c r="AI1244" s="780">
        <f>$E1244-$AG1244</f>
        <v>0</v>
      </c>
      <c r="AJ1244" s="780">
        <f>$A1244*$AI1244</f>
        <v>0</v>
      </c>
      <c r="AK1244" s="781">
        <f>ROUND(($AG1244+$AI1244)*$A1244,2)</f>
        <v>0</v>
      </c>
      <c r="AM1244" s="525">
        <f>ROUND(R1263,2)</f>
        <v>0</v>
      </c>
      <c r="AN1244" s="526">
        <f>ROUND(T1263,2)</f>
        <v>0</v>
      </c>
      <c r="AO1244" s="527">
        <f>ROUND(AM1244+AN1244,2)*A1244</f>
        <v>0</v>
      </c>
    </row>
    <row r="1245" spans="1:41" s="519" customFormat="1" ht="39.9" customHeight="1">
      <c r="A1245" s="782"/>
      <c r="B1245" s="783"/>
      <c r="C1245" s="631"/>
      <c r="D1245" s="1081" t="s">
        <v>694</v>
      </c>
      <c r="E1245" s="1081"/>
      <c r="F1245" s="1081"/>
      <c r="G1245" s="1081"/>
      <c r="H1245" s="1081"/>
      <c r="I1245" s="1081"/>
      <c r="J1245" s="1081"/>
      <c r="K1245" s="1081"/>
      <c r="L1245" s="1081"/>
      <c r="M1245" s="1081"/>
      <c r="N1245" s="1081"/>
      <c r="O1245" s="1081"/>
      <c r="P1245" s="1081"/>
      <c r="Q1245" s="1081"/>
      <c r="R1245" s="1081"/>
      <c r="S1245" s="1081"/>
      <c r="T1245" s="1081"/>
    </row>
    <row r="1246" spans="1:41" s="519" customFormat="1" ht="12">
      <c r="A1246" s="849"/>
      <c r="B1246" s="850"/>
      <c r="C1246" s="641"/>
      <c r="D1246" s="811"/>
      <c r="E1246" s="851">
        <f>F1244/$C$12-SUMIF($L1243:$L1263,"SUBI",$E1243:$E1263)</f>
        <v>0</v>
      </c>
      <c r="F1246" s="852" t="s">
        <v>589</v>
      </c>
      <c r="G1246" s="790"/>
      <c r="H1246" s="790"/>
      <c r="I1246" s="791"/>
      <c r="J1246" s="790"/>
      <c r="K1246" s="790"/>
      <c r="L1246" s="792"/>
      <c r="M1246" s="793"/>
      <c r="N1246" s="793"/>
      <c r="O1246" s="793"/>
      <c r="P1246" s="793"/>
      <c r="Q1246" s="794"/>
      <c r="R1246" s="795"/>
      <c r="S1246" s="794"/>
      <c r="T1246" s="796"/>
    </row>
    <row r="1247" spans="1:41" s="519" customFormat="1" ht="12" customHeight="1">
      <c r="A1247" s="797"/>
      <c r="B1247" s="798"/>
      <c r="C1247" s="799"/>
      <c r="D1247" s="799" t="str">
        <f>$F$2</f>
        <v>Electrical</v>
      </c>
      <c r="E1247" s="799">
        <f>ROUND(($R1251*$S$2 + ($T1251*$T$2)), 2)</f>
        <v>0</v>
      </c>
      <c r="F1247" s="800">
        <f>$E1247*$C$12</f>
        <v>0</v>
      </c>
      <c r="G1247" s="528"/>
      <c r="H1247" s="801"/>
      <c r="I1247" s="528"/>
      <c r="J1247" s="48"/>
      <c r="K1247" s="802" t="s">
        <v>3</v>
      </c>
      <c r="L1247" s="803" t="s">
        <v>590</v>
      </c>
      <c r="M1247" s="528"/>
      <c r="N1247" s="528"/>
      <c r="O1247" s="48"/>
      <c r="P1247" s="528"/>
      <c r="Q1247" s="528"/>
      <c r="R1247"/>
      <c r="S1247"/>
      <c r="T1247"/>
    </row>
    <row r="1248" spans="1:41" s="519" customFormat="1" ht="14.4" customHeight="1">
      <c r="A1248" s="49"/>
      <c r="B1248" s="804" t="s">
        <v>591</v>
      </c>
      <c r="C1248" s="528"/>
      <c r="D1248" s="528"/>
      <c r="E1248" s="528"/>
      <c r="F1248" s="528"/>
      <c r="G1248" s="528"/>
      <c r="H1248" s="801"/>
      <c r="I1248" s="528"/>
      <c r="J1248" s="48"/>
      <c r="K1248" s="805"/>
      <c r="L1248" s="806"/>
      <c r="M1248" s="528"/>
      <c r="N1248" s="528"/>
      <c r="O1248" s="48"/>
      <c r="P1248" s="528"/>
      <c r="Q1248" s="528"/>
      <c r="R1248" s="807">
        <f>$A1248*Q1248</f>
        <v>0</v>
      </c>
      <c r="S1248" s="528"/>
      <c r="T1248" s="643">
        <f>$A1248*S1248*$T$1</f>
        <v>0</v>
      </c>
    </row>
    <row r="1249" spans="1:41" s="519" customFormat="1" ht="14.4" customHeight="1">
      <c r="A1249" s="49"/>
      <c r="B1249" s="528"/>
      <c r="C1249" s="528"/>
      <c r="D1249" s="528"/>
      <c r="E1249" s="528"/>
      <c r="F1249" s="528"/>
      <c r="G1249" s="528"/>
      <c r="H1249" s="801"/>
      <c r="I1249" s="528"/>
      <c r="J1249" s="48"/>
      <c r="K1249" s="805"/>
      <c r="L1249" s="806"/>
      <c r="M1249" s="528"/>
      <c r="N1249" s="528"/>
      <c r="O1249" s="48"/>
      <c r="P1249" s="528"/>
      <c r="Q1249" s="528"/>
      <c r="R1249" s="807">
        <f>$A1249*Q1249</f>
        <v>0</v>
      </c>
      <c r="S1249" s="528"/>
      <c r="T1249" s="643">
        <f>$A1249*S1249*$T$1</f>
        <v>0</v>
      </c>
    </row>
    <row r="1250" spans="1:41" s="519" customFormat="1" ht="14.4" customHeight="1">
      <c r="A1250" s="49"/>
      <c r="B1250" s="528"/>
      <c r="C1250" s="528"/>
      <c r="D1250" s="528"/>
      <c r="E1250" s="528"/>
      <c r="F1250" s="528"/>
      <c r="G1250" s="528"/>
      <c r="H1250" s="801"/>
      <c r="I1250" s="528"/>
      <c r="J1250" s="48"/>
      <c r="K1250" s="805"/>
      <c r="L1250" s="806"/>
      <c r="M1250" s="528"/>
      <c r="N1250" s="528"/>
      <c r="O1250" s="48"/>
      <c r="P1250" s="528"/>
      <c r="Q1250" s="528"/>
      <c r="R1250" s="807">
        <f>$A1250*Q1250</f>
        <v>0</v>
      </c>
      <c r="S1250" s="528"/>
      <c r="T1250" s="643">
        <f>$A1250*S1250*$T$1</f>
        <v>0</v>
      </c>
    </row>
    <row r="1251" spans="1:41" s="519" customFormat="1" ht="12">
      <c r="A1251" s="835" t="s">
        <v>145</v>
      </c>
      <c r="B1251" s="836">
        <f>(R1250+T1250)</f>
        <v>0</v>
      </c>
      <c r="C1251" s="790"/>
      <c r="G1251" s="810"/>
      <c r="H1251" s="810"/>
      <c r="I1251" s="810"/>
      <c r="J1251" s="810"/>
      <c r="K1251" s="811" t="s">
        <v>3</v>
      </c>
      <c r="L1251" s="812" t="s">
        <v>590</v>
      </c>
      <c r="M1251" s="810"/>
      <c r="N1251" s="810"/>
      <c r="O1251" s="810"/>
      <c r="P1251" s="810"/>
      <c r="Q1251" s="813"/>
      <c r="R1251" s="814">
        <f>SUM(R1247:R1250)</f>
        <v>0</v>
      </c>
      <c r="S1251" s="815"/>
      <c r="T1251" s="814">
        <f>SUM(T1247:T1250)</f>
        <v>0</v>
      </c>
      <c r="AG1251" s="816">
        <f>ROUND($R1251*$S$2,2)</f>
        <v>0</v>
      </c>
    </row>
    <row r="1252" spans="1:41" s="519" customFormat="1" ht="12" customHeight="1">
      <c r="A1252" s="797"/>
      <c r="B1252" s="853"/>
      <c r="C1252" s="854"/>
      <c r="D1252" s="855" t="str">
        <f>$F$3</f>
        <v>ECA</v>
      </c>
      <c r="E1252" s="855">
        <f>ROUND(($R1256*$S$3 + ($T1256*$T$3)), 2)</f>
        <v>0</v>
      </c>
      <c r="F1252" s="856">
        <f>$E1252*$C$12</f>
        <v>0</v>
      </c>
      <c r="G1252" s="518"/>
      <c r="H1252" s="518"/>
      <c r="I1252" s="518"/>
      <c r="J1252" s="518"/>
      <c r="K1252" s="802" t="s">
        <v>5</v>
      </c>
      <c r="L1252" s="803" t="s">
        <v>590</v>
      </c>
      <c r="M1252" s="518"/>
      <c r="N1252" s="518"/>
      <c r="O1252" s="518"/>
      <c r="P1252" s="518"/>
      <c r="Q1252" s="518"/>
      <c r="R1252" s="821"/>
      <c r="S1252" s="518"/>
      <c r="T1252" s="821"/>
    </row>
    <row r="1253" spans="1:41" s="834" customFormat="1" ht="15.6" customHeight="1">
      <c r="A1253" s="822"/>
      <c r="B1253" s="804" t="s">
        <v>592</v>
      </c>
      <c r="C1253" s="823"/>
      <c r="D1253" s="824"/>
      <c r="E1253" s="824"/>
      <c r="F1253" s="824"/>
      <c r="G1253" s="825"/>
      <c r="H1253" s="826"/>
      <c r="I1253" s="826"/>
      <c r="J1253" s="827"/>
      <c r="K1253" s="828"/>
      <c r="L1253" s="823"/>
      <c r="M1253" s="829"/>
      <c r="N1253" s="830"/>
      <c r="O1253" s="831"/>
      <c r="P1253" s="832"/>
      <c r="Q1253" s="833"/>
      <c r="R1253" s="807">
        <f>$A1253*Q1253</f>
        <v>0</v>
      </c>
      <c r="S1253" s="528"/>
      <c r="T1253" s="643">
        <f>$A1253*S1253*$T$1</f>
        <v>0</v>
      </c>
    </row>
    <row r="1254" spans="1:41" s="519" customFormat="1" ht="15.6" customHeight="1">
      <c r="A1254" s="49"/>
      <c r="B1254" s="528"/>
      <c r="C1254" s="528"/>
      <c r="D1254" s="528"/>
      <c r="E1254" s="528"/>
      <c r="F1254" s="528"/>
      <c r="G1254" s="528"/>
      <c r="H1254" s="528"/>
      <c r="I1254" s="528"/>
      <c r="J1254" s="528"/>
      <c r="K1254" s="528"/>
      <c r="L1254" s="806"/>
      <c r="M1254" s="528"/>
      <c r="N1254" s="528"/>
      <c r="O1254" s="528"/>
      <c r="P1254" s="528"/>
      <c r="Q1254" s="528"/>
      <c r="R1254" s="807">
        <f>$A1254*Q1254</f>
        <v>0</v>
      </c>
      <c r="S1254" s="528"/>
      <c r="T1254" s="643">
        <f>$A1254*S1254*$T$1</f>
        <v>0</v>
      </c>
    </row>
    <row r="1255" spans="1:41" s="519" customFormat="1" ht="15.6" customHeight="1">
      <c r="A1255" s="49"/>
      <c r="B1255" s="528"/>
      <c r="C1255" s="528"/>
      <c r="D1255" s="3"/>
      <c r="E1255" s="528"/>
      <c r="F1255" s="528"/>
      <c r="G1255" s="528"/>
      <c r="H1255" s="528"/>
      <c r="I1255" s="528"/>
      <c r="J1255" s="528"/>
      <c r="K1255" s="528"/>
      <c r="L1255" s="806"/>
      <c r="M1255" s="528"/>
      <c r="N1255" s="528"/>
      <c r="O1255" s="528"/>
      <c r="P1255" s="528"/>
      <c r="Q1255" s="528"/>
      <c r="R1255" s="807">
        <f>$A1255*Q1255</f>
        <v>0</v>
      </c>
      <c r="S1255" s="528"/>
      <c r="T1255" s="643">
        <f>$A1255*S1255*$T$1</f>
        <v>0</v>
      </c>
    </row>
    <row r="1256" spans="1:41" s="519" customFormat="1" ht="12">
      <c r="A1256" s="835" t="s">
        <v>145</v>
      </c>
      <c r="B1256" s="836">
        <f>(R1255+T1255)</f>
        <v>0</v>
      </c>
      <c r="C1256" s="790"/>
      <c r="G1256" s="810"/>
      <c r="H1256" s="810"/>
      <c r="I1256" s="810"/>
      <c r="J1256" s="810"/>
      <c r="K1256" s="838" t="s">
        <v>5</v>
      </c>
      <c r="L1256" s="812" t="s">
        <v>590</v>
      </c>
      <c r="M1256" s="810"/>
      <c r="N1256" s="810"/>
      <c r="O1256" s="810"/>
      <c r="P1256" s="810"/>
      <c r="Q1256" s="813"/>
      <c r="R1256" s="814">
        <f>SUM(R1252:R1255)</f>
        <v>0</v>
      </c>
      <c r="S1256" s="815"/>
      <c r="T1256" s="814">
        <f>SUM(T1252:T1255)</f>
        <v>0</v>
      </c>
      <c r="AG1256" s="840">
        <f>ROUND($R1256*$S$3,2)</f>
        <v>0</v>
      </c>
    </row>
    <row r="1257" spans="1:41" s="519" customFormat="1" ht="12" customHeight="1">
      <c r="A1257" s="817"/>
      <c r="B1257" s="857"/>
      <c r="C1257" s="858"/>
      <c r="D1257" s="859">
        <f>$F$4</f>
        <v>0</v>
      </c>
      <c r="E1257" s="859">
        <f>ROUND(($R1261*$S$4 + ($T1261*$T$4)), 2)</f>
        <v>0</v>
      </c>
      <c r="F1257" s="860">
        <f ca="1">$F1244-SUMIF($L1246:$P1254,"SUBI",$F1246:$F1254)</f>
        <v>0</v>
      </c>
      <c r="G1257" s="518"/>
      <c r="H1257" s="518"/>
      <c r="I1257" s="518"/>
      <c r="J1257" s="518"/>
      <c r="K1257" s="861" t="s">
        <v>8</v>
      </c>
      <c r="L1257" s="803" t="s">
        <v>590</v>
      </c>
      <c r="M1257" s="518"/>
      <c r="N1257" s="518"/>
      <c r="O1257" s="518"/>
      <c r="P1257" s="518"/>
      <c r="Q1257" s="518"/>
      <c r="R1257" s="821"/>
      <c r="S1257" s="518"/>
      <c r="T1257" s="821"/>
    </row>
    <row r="1258" spans="1:41" s="834" customFormat="1" ht="14.4" customHeight="1">
      <c r="A1258" s="822"/>
      <c r="B1258" s="804" t="s">
        <v>680</v>
      </c>
      <c r="C1258" s="823"/>
      <c r="D1258" s="824"/>
      <c r="E1258" s="824"/>
      <c r="F1258" s="824"/>
      <c r="G1258" s="825"/>
      <c r="H1258" s="826"/>
      <c r="I1258" s="826"/>
      <c r="J1258" s="827"/>
      <c r="K1258" s="828"/>
      <c r="L1258" s="823"/>
      <c r="M1258" s="829"/>
      <c r="N1258" s="830"/>
      <c r="O1258" s="862"/>
      <c r="P1258" s="832"/>
      <c r="Q1258" s="833"/>
      <c r="R1258" s="642">
        <f>$A1258*Q1258</f>
        <v>0</v>
      </c>
      <c r="S1258" s="833"/>
      <c r="T1258" s="643">
        <f>$A1258*S1258*$T$1</f>
        <v>0</v>
      </c>
    </row>
    <row r="1259" spans="1:41" s="519" customFormat="1" ht="12">
      <c r="A1259" s="47"/>
      <c r="B1259" s="641"/>
      <c r="C1259" s="641"/>
      <c r="D1259" s="863"/>
      <c r="E1259" s="843"/>
      <c r="F1259" s="518"/>
      <c r="G1259" s="518"/>
      <c r="H1259" s="518"/>
      <c r="I1259" s="518"/>
      <c r="J1259" s="518"/>
      <c r="K1259" s="518"/>
      <c r="L1259" s="864"/>
      <c r="M1259" s="518"/>
      <c r="N1259" s="518"/>
      <c r="O1259" s="518"/>
      <c r="P1259" s="518"/>
      <c r="Q1259" s="518"/>
      <c r="R1259" s="642">
        <f>$A1259*Q1259</f>
        <v>0</v>
      </c>
      <c r="S1259" s="518"/>
      <c r="T1259" s="643">
        <f>$A1259*S1259*$T$1</f>
        <v>0</v>
      </c>
    </row>
    <row r="1260" spans="1:41" s="519" customFormat="1" ht="12">
      <c r="A1260" s="47"/>
      <c r="B1260" s="641"/>
      <c r="C1260" s="641"/>
      <c r="D1260" s="863"/>
      <c r="E1260" s="843"/>
      <c r="F1260" s="518"/>
      <c r="G1260" s="518"/>
      <c r="H1260" s="518"/>
      <c r="I1260" s="518"/>
      <c r="J1260" s="518"/>
      <c r="K1260" s="518"/>
      <c r="L1260" s="864"/>
      <c r="M1260" s="518"/>
      <c r="N1260" s="518"/>
      <c r="O1260" s="518"/>
      <c r="P1260" s="518"/>
      <c r="Q1260" s="518"/>
      <c r="R1260" s="642">
        <f>$A1260*Q1260</f>
        <v>0</v>
      </c>
      <c r="S1260" s="518"/>
      <c r="T1260" s="643">
        <f>$A1260*S1260*$T$1</f>
        <v>0</v>
      </c>
    </row>
    <row r="1261" spans="1:41" s="519" customFormat="1" ht="12.75" customHeight="1">
      <c r="A1261" s="835" t="s">
        <v>145</v>
      </c>
      <c r="B1261" s="836">
        <f>(R1260+T1260)</f>
        <v>0</v>
      </c>
      <c r="C1261" s="837"/>
      <c r="D1261" s="837"/>
      <c r="E1261" s="837"/>
      <c r="F1261" s="837"/>
      <c r="G1261" s="813"/>
      <c r="H1261" s="813"/>
      <c r="I1261" s="813"/>
      <c r="J1261" s="813"/>
      <c r="K1261" s="838" t="s">
        <v>8</v>
      </c>
      <c r="L1261" s="839" t="s">
        <v>590</v>
      </c>
      <c r="M1261" s="813"/>
      <c r="N1261" s="813"/>
      <c r="O1261" s="813"/>
      <c r="P1261" s="813"/>
      <c r="Q1261" s="813"/>
      <c r="R1261" s="814">
        <f>SUM(R1257:R1260)</f>
        <v>0</v>
      </c>
      <c r="S1261" s="815"/>
      <c r="T1261" s="814">
        <f>SUM(T1257:T1260)</f>
        <v>0</v>
      </c>
      <c r="AG1261" s="865">
        <f>ROUND($R1261*$S$4,2)</f>
        <v>0</v>
      </c>
    </row>
    <row r="1262" spans="1:41" s="519" customFormat="1" ht="12.75" customHeight="1">
      <c r="A1262" s="841"/>
      <c r="B1262" s="842"/>
      <c r="E1262" s="641"/>
      <c r="F1262" s="843"/>
      <c r="G1262" s="641"/>
      <c r="H1262" s="641"/>
      <c r="I1262" s="518"/>
      <c r="J1262" s="641"/>
      <c r="K1262" s="641"/>
      <c r="L1262" s="844"/>
      <c r="M1262" s="652"/>
      <c r="N1262" s="652"/>
      <c r="O1262" s="652"/>
      <c r="P1262" s="652"/>
      <c r="Q1262" s="653"/>
      <c r="R1262" s="821"/>
      <c r="S1262" s="641"/>
      <c r="T1262" s="821"/>
    </row>
    <row r="1263" spans="1:41" s="519" customFormat="1" ht="13.5" customHeight="1" thickBot="1">
      <c r="A1263" s="845"/>
      <c r="B1263" s="846"/>
      <c r="C1263" s="529"/>
      <c r="D1263" s="529"/>
      <c r="E1263" s="646"/>
      <c r="F1263" s="647"/>
      <c r="G1263" s="646" t="s">
        <v>146</v>
      </c>
      <c r="H1263" s="646"/>
      <c r="I1263" s="648"/>
      <c r="J1263" s="646"/>
      <c r="K1263" s="646"/>
      <c r="L1263" s="847" t="s">
        <v>143</v>
      </c>
      <c r="M1263" s="649"/>
      <c r="N1263" s="649"/>
      <c r="O1263" s="649"/>
      <c r="P1263" s="649"/>
      <c r="Q1263" s="650"/>
      <c r="R1263" s="848">
        <f>SUMIF($L1245:$L1262,"SUBI",R1245:R1262)</f>
        <v>0</v>
      </c>
      <c r="S1263" s="866"/>
      <c r="T1263" s="848">
        <f>SUMIF($L1245:$L1262,"SUBI",T1245:T1262)</f>
        <v>0</v>
      </c>
      <c r="U1263" s="529"/>
      <c r="V1263" s="529"/>
      <c r="W1263" s="529"/>
      <c r="X1263" s="529"/>
      <c r="Y1263" s="529"/>
      <c r="Z1263" s="529"/>
      <c r="AA1263" s="529"/>
      <c r="AB1263" s="529"/>
      <c r="AC1263" s="529"/>
      <c r="AD1263" s="529"/>
      <c r="AE1263" s="529"/>
      <c r="AF1263" s="529"/>
      <c r="AG1263" s="529"/>
      <c r="AH1263" s="529"/>
      <c r="AI1263" s="529"/>
      <c r="AJ1263" s="529"/>
      <c r="AK1263" s="529"/>
      <c r="AL1263" s="529"/>
      <c r="AM1263" s="529"/>
      <c r="AN1263" s="529"/>
      <c r="AO1263" s="529"/>
    </row>
    <row r="1264" spans="1:41" s="519" customFormat="1" thickTop="1">
      <c r="A1264" s="47"/>
      <c r="B1264" s="40"/>
      <c r="C1264" s="47"/>
      <c r="E1264" s="41" t="s">
        <v>138</v>
      </c>
      <c r="F1264" s="41" t="s">
        <v>139</v>
      </c>
      <c r="G1264" s="47"/>
      <c r="H1264" s="47"/>
      <c r="I1264" s="47"/>
      <c r="J1264" s="47"/>
      <c r="K1264" s="47" t="s">
        <v>140</v>
      </c>
      <c r="L1264" s="774"/>
      <c r="M1264" s="47"/>
      <c r="N1264" s="47"/>
      <c r="O1264" s="48"/>
      <c r="P1264" s="47"/>
      <c r="Q1264"/>
      <c r="R1264"/>
      <c r="S1264"/>
      <c r="T1264" s="40"/>
      <c r="AG1264" s="627" t="s">
        <v>277</v>
      </c>
      <c r="AH1264" s="627" t="s">
        <v>278</v>
      </c>
      <c r="AI1264" s="627" t="s">
        <v>279</v>
      </c>
      <c r="AJ1264" s="627" t="s">
        <v>280</v>
      </c>
      <c r="AK1264" s="627" t="s">
        <v>281</v>
      </c>
      <c r="AM1264" s="628" t="s">
        <v>290</v>
      </c>
      <c r="AN1264" s="629" t="s">
        <v>291</v>
      </c>
      <c r="AO1264" s="520" t="s">
        <v>287</v>
      </c>
    </row>
    <row r="1265" spans="1:41" s="519" customFormat="1" ht="13.2">
      <c r="A1265" s="630">
        <v>1</v>
      </c>
      <c r="B1265" s="521" t="s">
        <v>141</v>
      </c>
      <c r="C1265" s="631"/>
      <c r="D1265" s="632" t="s">
        <v>695</v>
      </c>
      <c r="E1265" s="775">
        <f>IF(AND($A1265=0,$A$1="DIF"),0,ROUND(ROUND(SUMIF($L1267:$L1278,"SUBI",$E1267:$E1278)/$A1265,2)*$C$12,2))</f>
        <v>0</v>
      </c>
      <c r="F1265" s="776">
        <f>ROUND($A1265*$E1265,2)</f>
        <v>0</v>
      </c>
      <c r="G1265" s="635" t="s">
        <v>142</v>
      </c>
      <c r="H1265" s="636"/>
      <c r="I1265" s="637"/>
      <c r="J1265" s="636"/>
      <c r="K1265" s="777"/>
      <c r="L1265" s="778" t="s">
        <v>143</v>
      </c>
      <c r="M1265" s="638"/>
      <c r="N1265" s="638"/>
      <c r="O1265" s="638"/>
      <c r="P1265" s="638"/>
      <c r="Q1265" s="967" t="s">
        <v>867</v>
      </c>
      <c r="R1265"/>
      <c r="S1265"/>
      <c r="T1265" s="779" t="str">
        <f>IF(AND($R1284=0,$T1284=0),"0.00","mu :" &amp; ROUND($F1265/$C$12/($R1284+$T1284*$D$9),2))</f>
        <v>0.00</v>
      </c>
      <c r="W1265" s="522"/>
      <c r="AG1265" s="780">
        <f>IF(A1265=0,0,ROUND(SUM(AG1267:AG1284)/A1265,2))</f>
        <v>0</v>
      </c>
      <c r="AH1265" s="780">
        <f>$AG1265*$A1265</f>
        <v>0</v>
      </c>
      <c r="AI1265" s="780">
        <f>$E1265-$AG1265</f>
        <v>0</v>
      </c>
      <c r="AJ1265" s="780">
        <f>$A1265*$AI1265</f>
        <v>0</v>
      </c>
      <c r="AK1265" s="781">
        <f>ROUND(($AG1265+$AI1265)*$A1265,2)</f>
        <v>0</v>
      </c>
      <c r="AM1265" s="525">
        <f>ROUND(R1284,2)</f>
        <v>0</v>
      </c>
      <c r="AN1265" s="526">
        <f>ROUND(T1284,2)</f>
        <v>0</v>
      </c>
      <c r="AO1265" s="527">
        <f>ROUND(AM1265+AN1265,2)*A1265</f>
        <v>0</v>
      </c>
    </row>
    <row r="1266" spans="1:41" s="519" customFormat="1" ht="39.9" customHeight="1">
      <c r="A1266" s="782"/>
      <c r="B1266" s="783"/>
      <c r="C1266" s="631"/>
      <c r="D1266" s="1081" t="s">
        <v>696</v>
      </c>
      <c r="E1266" s="1081"/>
      <c r="F1266" s="1081"/>
      <c r="G1266" s="1081"/>
      <c r="H1266" s="1081"/>
      <c r="I1266" s="1081"/>
      <c r="J1266" s="1081"/>
      <c r="K1266" s="1081"/>
      <c r="L1266" s="1081"/>
      <c r="M1266" s="1081"/>
      <c r="N1266" s="1081"/>
      <c r="O1266" s="1081"/>
      <c r="P1266" s="1081"/>
      <c r="Q1266" s="1081"/>
      <c r="R1266" s="1081"/>
      <c r="S1266" s="1081"/>
      <c r="T1266" s="1081"/>
    </row>
    <row r="1267" spans="1:41" s="519" customFormat="1" ht="12">
      <c r="A1267" s="849"/>
      <c r="B1267" s="850"/>
      <c r="C1267" s="641"/>
      <c r="D1267" s="811"/>
      <c r="E1267" s="851">
        <f>F1265/$C$12-SUMIF($L1264:$L1284,"SUBI",$E1264:$E1284)</f>
        <v>0</v>
      </c>
      <c r="F1267" s="852" t="s">
        <v>589</v>
      </c>
      <c r="G1267" s="790"/>
      <c r="H1267" s="790"/>
      <c r="I1267" s="791"/>
      <c r="J1267" s="790"/>
      <c r="K1267" s="790"/>
      <c r="L1267" s="792"/>
      <c r="M1267" s="793"/>
      <c r="N1267" s="793"/>
      <c r="O1267" s="793"/>
      <c r="P1267" s="793"/>
      <c r="Q1267" s="794"/>
      <c r="R1267" s="795"/>
      <c r="S1267" s="794"/>
      <c r="T1267" s="796"/>
    </row>
    <row r="1268" spans="1:41" s="519" customFormat="1" ht="12" customHeight="1">
      <c r="A1268" s="797"/>
      <c r="B1268" s="798"/>
      <c r="C1268" s="799"/>
      <c r="D1268" s="799" t="str">
        <f>$F$2</f>
        <v>Electrical</v>
      </c>
      <c r="E1268" s="799">
        <f>ROUND(($R1272*$S$2 + ($T1272*$T$2)), 2)</f>
        <v>0</v>
      </c>
      <c r="F1268" s="800">
        <f>$E1268*$C$12</f>
        <v>0</v>
      </c>
      <c r="G1268" s="528"/>
      <c r="H1268" s="801"/>
      <c r="I1268" s="528"/>
      <c r="J1268" s="48"/>
      <c r="K1268" s="802" t="s">
        <v>3</v>
      </c>
      <c r="L1268" s="803" t="s">
        <v>590</v>
      </c>
      <c r="M1268" s="528"/>
      <c r="N1268" s="528"/>
      <c r="O1268" s="48"/>
      <c r="P1268" s="528"/>
      <c r="Q1268" s="528"/>
      <c r="R1268"/>
      <c r="S1268"/>
      <c r="T1268"/>
    </row>
    <row r="1269" spans="1:41" s="519" customFormat="1" ht="14.4" customHeight="1">
      <c r="A1269" s="49"/>
      <c r="B1269" s="804" t="s">
        <v>591</v>
      </c>
      <c r="C1269" s="528"/>
      <c r="D1269" s="528"/>
      <c r="E1269" s="528"/>
      <c r="F1269" s="528"/>
      <c r="G1269" s="528"/>
      <c r="H1269" s="801"/>
      <c r="I1269" s="528"/>
      <c r="J1269" s="48"/>
      <c r="K1269" s="805"/>
      <c r="L1269" s="806"/>
      <c r="M1269" s="528"/>
      <c r="N1269" s="528"/>
      <c r="O1269" s="48"/>
      <c r="P1269" s="528"/>
      <c r="Q1269" s="528"/>
      <c r="R1269" s="807">
        <f>$A1269*Q1269</f>
        <v>0</v>
      </c>
      <c r="S1269" s="528"/>
      <c r="T1269" s="643">
        <f>$A1269*S1269*$T$1</f>
        <v>0</v>
      </c>
    </row>
    <row r="1270" spans="1:41" s="519" customFormat="1" ht="14.4" customHeight="1">
      <c r="A1270" s="49"/>
      <c r="B1270" s="528"/>
      <c r="C1270" s="528"/>
      <c r="D1270" s="528"/>
      <c r="E1270" s="528"/>
      <c r="F1270" s="528"/>
      <c r="G1270" s="528"/>
      <c r="H1270" s="801"/>
      <c r="I1270" s="528"/>
      <c r="J1270" s="48"/>
      <c r="K1270" s="805"/>
      <c r="L1270" s="806"/>
      <c r="M1270" s="528"/>
      <c r="N1270" s="528"/>
      <c r="O1270" s="48"/>
      <c r="P1270" s="528"/>
      <c r="Q1270" s="528"/>
      <c r="R1270" s="807">
        <f>$A1270*Q1270</f>
        <v>0</v>
      </c>
      <c r="S1270" s="528"/>
      <c r="T1270" s="643">
        <f>$A1270*S1270*$T$1</f>
        <v>0</v>
      </c>
    </row>
    <row r="1271" spans="1:41" s="519" customFormat="1" ht="14.4" customHeight="1">
      <c r="A1271" s="49"/>
      <c r="B1271" s="528"/>
      <c r="C1271" s="528"/>
      <c r="D1271" s="528"/>
      <c r="E1271" s="528"/>
      <c r="F1271" s="528"/>
      <c r="G1271" s="528"/>
      <c r="H1271" s="801"/>
      <c r="I1271" s="528"/>
      <c r="J1271" s="48"/>
      <c r="K1271" s="805"/>
      <c r="L1271" s="806"/>
      <c r="M1271" s="528"/>
      <c r="N1271" s="528"/>
      <c r="O1271" s="48"/>
      <c r="P1271" s="528"/>
      <c r="Q1271" s="528"/>
      <c r="R1271" s="807">
        <f>$A1271*Q1271</f>
        <v>0</v>
      </c>
      <c r="S1271" s="528"/>
      <c r="T1271" s="643">
        <f>$A1271*S1271*$T$1</f>
        <v>0</v>
      </c>
    </row>
    <row r="1272" spans="1:41" s="519" customFormat="1" ht="12">
      <c r="A1272" s="835" t="s">
        <v>145</v>
      </c>
      <c r="B1272" s="836">
        <f>(R1271+T1271)</f>
        <v>0</v>
      </c>
      <c r="C1272" s="790"/>
      <c r="G1272" s="810"/>
      <c r="H1272" s="810"/>
      <c r="I1272" s="810"/>
      <c r="J1272" s="810"/>
      <c r="K1272" s="811" t="s">
        <v>3</v>
      </c>
      <c r="L1272" s="812" t="s">
        <v>590</v>
      </c>
      <c r="M1272" s="810"/>
      <c r="N1272" s="810"/>
      <c r="O1272" s="810"/>
      <c r="P1272" s="810"/>
      <c r="Q1272" s="813"/>
      <c r="R1272" s="814">
        <f>SUM(R1268:R1271)</f>
        <v>0</v>
      </c>
      <c r="S1272" s="815"/>
      <c r="T1272" s="814">
        <f>SUM(T1268:T1271)</f>
        <v>0</v>
      </c>
      <c r="AG1272" s="816">
        <f>ROUND($R1272*$S$2,2)</f>
        <v>0</v>
      </c>
    </row>
    <row r="1273" spans="1:41" s="519" customFormat="1" ht="12" customHeight="1">
      <c r="A1273" s="797"/>
      <c r="B1273" s="853"/>
      <c r="C1273" s="854"/>
      <c r="D1273" s="855" t="str">
        <f>$F$3</f>
        <v>ECA</v>
      </c>
      <c r="E1273" s="855">
        <f>ROUND(($R1277*$S$3 + ($T1277*$T$3)), 2)</f>
        <v>0</v>
      </c>
      <c r="F1273" s="856">
        <f>$E1273*$C$12</f>
        <v>0</v>
      </c>
      <c r="G1273" s="518"/>
      <c r="H1273" s="518"/>
      <c r="I1273" s="518"/>
      <c r="J1273" s="518"/>
      <c r="K1273" s="802" t="s">
        <v>5</v>
      </c>
      <c r="L1273" s="803" t="s">
        <v>590</v>
      </c>
      <c r="M1273" s="518"/>
      <c r="N1273" s="518"/>
      <c r="O1273" s="518"/>
      <c r="P1273" s="518"/>
      <c r="Q1273" s="518"/>
      <c r="R1273" s="821"/>
      <c r="S1273" s="518"/>
      <c r="T1273" s="821"/>
    </row>
    <row r="1274" spans="1:41" s="834" customFormat="1" ht="15.6" customHeight="1">
      <c r="A1274" s="822"/>
      <c r="B1274" s="804" t="s">
        <v>592</v>
      </c>
      <c r="C1274" s="823"/>
      <c r="D1274" s="824"/>
      <c r="E1274" s="824"/>
      <c r="F1274" s="824"/>
      <c r="G1274" s="825"/>
      <c r="H1274" s="826"/>
      <c r="I1274" s="826"/>
      <c r="J1274" s="827"/>
      <c r="K1274" s="828"/>
      <c r="L1274" s="823"/>
      <c r="M1274" s="829"/>
      <c r="N1274" s="830"/>
      <c r="O1274" s="831"/>
      <c r="P1274" s="832"/>
      <c r="Q1274" s="833"/>
      <c r="R1274" s="807">
        <f>$A1274*Q1274</f>
        <v>0</v>
      </c>
      <c r="S1274" s="528"/>
      <c r="T1274" s="643">
        <f>$A1274*S1274*$T$1</f>
        <v>0</v>
      </c>
    </row>
    <row r="1275" spans="1:41" s="519" customFormat="1" ht="15.6" customHeight="1">
      <c r="A1275" s="49"/>
      <c r="B1275" s="528"/>
      <c r="C1275" s="528"/>
      <c r="D1275" s="528"/>
      <c r="E1275" s="528"/>
      <c r="F1275" s="528"/>
      <c r="G1275" s="528"/>
      <c r="H1275" s="528"/>
      <c r="I1275" s="528"/>
      <c r="J1275" s="528"/>
      <c r="K1275" s="528"/>
      <c r="L1275" s="806"/>
      <c r="M1275" s="528"/>
      <c r="N1275" s="528"/>
      <c r="O1275" s="528"/>
      <c r="P1275" s="528"/>
      <c r="Q1275" s="528"/>
      <c r="R1275" s="807">
        <f>$A1275*Q1275</f>
        <v>0</v>
      </c>
      <c r="S1275" s="528"/>
      <c r="T1275" s="643">
        <f>$A1275*S1275*$T$1</f>
        <v>0</v>
      </c>
    </row>
    <row r="1276" spans="1:41" s="519" customFormat="1" ht="15.6" customHeight="1">
      <c r="A1276" s="49"/>
      <c r="B1276" s="528"/>
      <c r="C1276" s="528"/>
      <c r="D1276" s="3"/>
      <c r="E1276" s="528"/>
      <c r="F1276" s="528"/>
      <c r="G1276" s="528"/>
      <c r="H1276" s="528"/>
      <c r="I1276" s="528"/>
      <c r="J1276" s="528"/>
      <c r="K1276" s="528"/>
      <c r="L1276" s="806"/>
      <c r="M1276" s="528"/>
      <c r="N1276" s="528"/>
      <c r="O1276" s="528"/>
      <c r="P1276" s="528"/>
      <c r="Q1276" s="528"/>
      <c r="R1276" s="807">
        <f>$A1276*Q1276</f>
        <v>0</v>
      </c>
      <c r="S1276" s="528"/>
      <c r="T1276" s="643">
        <f>$A1276*S1276*$T$1</f>
        <v>0</v>
      </c>
    </row>
    <row r="1277" spans="1:41" s="519" customFormat="1" ht="12">
      <c r="A1277" s="835" t="s">
        <v>145</v>
      </c>
      <c r="B1277" s="836">
        <f>(R1276+T1276)</f>
        <v>0</v>
      </c>
      <c r="C1277" s="790"/>
      <c r="G1277" s="810"/>
      <c r="H1277" s="810"/>
      <c r="I1277" s="810"/>
      <c r="J1277" s="810"/>
      <c r="K1277" s="838" t="s">
        <v>5</v>
      </c>
      <c r="L1277" s="812" t="s">
        <v>590</v>
      </c>
      <c r="M1277" s="810"/>
      <c r="N1277" s="810"/>
      <c r="O1277" s="810"/>
      <c r="P1277" s="810"/>
      <c r="Q1277" s="813"/>
      <c r="R1277" s="814">
        <f>SUM(R1273:R1276)</f>
        <v>0</v>
      </c>
      <c r="S1277" s="815"/>
      <c r="T1277" s="814">
        <f>SUM(T1273:T1276)</f>
        <v>0</v>
      </c>
      <c r="AG1277" s="840">
        <f>ROUND($R1277*$S$3,2)</f>
        <v>0</v>
      </c>
    </row>
    <row r="1278" spans="1:41" s="519" customFormat="1" ht="12" customHeight="1">
      <c r="A1278" s="817"/>
      <c r="B1278" s="857"/>
      <c r="C1278" s="858"/>
      <c r="D1278" s="859">
        <f>$F$4</f>
        <v>0</v>
      </c>
      <c r="E1278" s="859">
        <f>ROUND(($R1282*$S$4 + ($T1282*$T$4)), 2)</f>
        <v>0</v>
      </c>
      <c r="F1278" s="860">
        <f ca="1">$F1265-SUMIF($L1267:$P1275,"SUBI",$F1267:$F1275)</f>
        <v>0</v>
      </c>
      <c r="G1278" s="518"/>
      <c r="H1278" s="518"/>
      <c r="I1278" s="518"/>
      <c r="J1278" s="518"/>
      <c r="K1278" s="861" t="s">
        <v>8</v>
      </c>
      <c r="L1278" s="803" t="s">
        <v>590</v>
      </c>
      <c r="M1278" s="518"/>
      <c r="N1278" s="518"/>
      <c r="O1278" s="518"/>
      <c r="P1278" s="518"/>
      <c r="Q1278" s="518"/>
      <c r="R1278" s="821"/>
      <c r="S1278" s="518"/>
      <c r="T1278" s="821"/>
    </row>
    <row r="1279" spans="1:41" s="834" customFormat="1" ht="14.4" customHeight="1">
      <c r="A1279" s="822"/>
      <c r="B1279" s="804" t="s">
        <v>680</v>
      </c>
      <c r="C1279" s="823"/>
      <c r="D1279" s="824"/>
      <c r="E1279" s="824"/>
      <c r="F1279" s="824"/>
      <c r="G1279" s="825"/>
      <c r="H1279" s="826"/>
      <c r="I1279" s="826"/>
      <c r="J1279" s="827"/>
      <c r="K1279" s="828"/>
      <c r="L1279" s="823"/>
      <c r="M1279" s="829"/>
      <c r="N1279" s="830"/>
      <c r="O1279" s="862"/>
      <c r="P1279" s="832"/>
      <c r="Q1279" s="833"/>
      <c r="R1279" s="642">
        <f>$A1279*Q1279</f>
        <v>0</v>
      </c>
      <c r="S1279" s="833"/>
      <c r="T1279" s="643">
        <f>$A1279*S1279*$T$1</f>
        <v>0</v>
      </c>
    </row>
    <row r="1280" spans="1:41" s="519" customFormat="1" ht="12">
      <c r="A1280" s="47"/>
      <c r="B1280" s="641"/>
      <c r="C1280" s="641"/>
      <c r="D1280" s="863"/>
      <c r="E1280" s="843"/>
      <c r="F1280" s="518"/>
      <c r="G1280" s="518"/>
      <c r="H1280" s="518"/>
      <c r="I1280" s="518"/>
      <c r="J1280" s="518"/>
      <c r="K1280" s="518"/>
      <c r="L1280" s="864"/>
      <c r="M1280" s="518"/>
      <c r="N1280" s="518"/>
      <c r="O1280" s="518"/>
      <c r="P1280" s="518"/>
      <c r="Q1280" s="518"/>
      <c r="R1280" s="642">
        <f>$A1280*Q1280</f>
        <v>0</v>
      </c>
      <c r="S1280" s="518"/>
      <c r="T1280" s="643">
        <f>$A1280*S1280*$T$1</f>
        <v>0</v>
      </c>
    </row>
    <row r="1281" spans="1:41" s="519" customFormat="1" ht="12">
      <c r="A1281" s="47"/>
      <c r="B1281" s="641"/>
      <c r="C1281" s="641"/>
      <c r="D1281" s="863"/>
      <c r="E1281" s="843"/>
      <c r="F1281" s="518"/>
      <c r="G1281" s="518"/>
      <c r="H1281" s="518"/>
      <c r="I1281" s="518"/>
      <c r="J1281" s="518"/>
      <c r="K1281" s="518"/>
      <c r="L1281" s="864"/>
      <c r="M1281" s="518"/>
      <c r="N1281" s="518"/>
      <c r="O1281" s="518"/>
      <c r="P1281" s="518"/>
      <c r="Q1281" s="518"/>
      <c r="R1281" s="642">
        <f>$A1281*Q1281</f>
        <v>0</v>
      </c>
      <c r="S1281" s="518"/>
      <c r="T1281" s="643">
        <f>$A1281*S1281*$T$1</f>
        <v>0</v>
      </c>
    </row>
    <row r="1282" spans="1:41" s="519" customFormat="1" ht="12.75" customHeight="1">
      <c r="A1282" s="835" t="s">
        <v>145</v>
      </c>
      <c r="B1282" s="836">
        <f>(R1281+T1281)</f>
        <v>0</v>
      </c>
      <c r="C1282" s="837"/>
      <c r="D1282" s="837"/>
      <c r="E1282" s="837"/>
      <c r="F1282" s="837"/>
      <c r="G1282" s="813"/>
      <c r="H1282" s="813"/>
      <c r="I1282" s="813"/>
      <c r="J1282" s="813"/>
      <c r="K1282" s="838" t="s">
        <v>8</v>
      </c>
      <c r="L1282" s="839" t="s">
        <v>590</v>
      </c>
      <c r="M1282" s="813"/>
      <c r="N1282" s="813"/>
      <c r="O1282" s="813"/>
      <c r="P1282" s="813"/>
      <c r="Q1282" s="813"/>
      <c r="R1282" s="814">
        <f>SUM(R1278:R1281)</f>
        <v>0</v>
      </c>
      <c r="S1282" s="815"/>
      <c r="T1282" s="814">
        <f>SUM(T1278:T1281)</f>
        <v>0</v>
      </c>
      <c r="AG1282" s="865">
        <f>ROUND($R1282*$S$4,2)</f>
        <v>0</v>
      </c>
    </row>
    <row r="1283" spans="1:41" s="519" customFormat="1" ht="12.75" customHeight="1">
      <c r="A1283" s="841"/>
      <c r="B1283" s="842"/>
      <c r="E1283" s="641"/>
      <c r="F1283" s="843"/>
      <c r="G1283" s="641"/>
      <c r="H1283" s="641"/>
      <c r="I1283" s="518"/>
      <c r="J1283" s="641"/>
      <c r="K1283" s="641"/>
      <c r="L1283" s="844"/>
      <c r="M1283" s="652"/>
      <c r="N1283" s="652"/>
      <c r="O1283" s="652"/>
      <c r="P1283" s="652"/>
      <c r="Q1283" s="653"/>
      <c r="R1283" s="821"/>
      <c r="S1283" s="641"/>
      <c r="T1283" s="821"/>
    </row>
    <row r="1284" spans="1:41" s="519" customFormat="1" ht="13.5" customHeight="1" thickBot="1">
      <c r="A1284" s="845"/>
      <c r="B1284" s="846"/>
      <c r="C1284" s="529"/>
      <c r="D1284" s="529"/>
      <c r="E1284" s="646"/>
      <c r="F1284" s="647"/>
      <c r="G1284" s="646" t="s">
        <v>146</v>
      </c>
      <c r="H1284" s="646"/>
      <c r="I1284" s="648"/>
      <c r="J1284" s="646"/>
      <c r="K1284" s="646"/>
      <c r="L1284" s="847" t="s">
        <v>143</v>
      </c>
      <c r="M1284" s="649"/>
      <c r="N1284" s="649"/>
      <c r="O1284" s="649"/>
      <c r="P1284" s="649"/>
      <c r="Q1284" s="650"/>
      <c r="R1284" s="848">
        <f>SUMIF($L1266:$L1283,"SUBI",R1266:R1283)</f>
        <v>0</v>
      </c>
      <c r="S1284" s="866"/>
      <c r="T1284" s="848">
        <f>SUMIF($L1266:$L1283,"SUBI",T1266:T1283)</f>
        <v>0</v>
      </c>
      <c r="U1284" s="529"/>
      <c r="V1284" s="529"/>
      <c r="W1284" s="529"/>
      <c r="X1284" s="529"/>
      <c r="Y1284" s="529"/>
      <c r="Z1284" s="529"/>
      <c r="AA1284" s="529"/>
      <c r="AB1284" s="529"/>
      <c r="AC1284" s="529"/>
      <c r="AD1284" s="529"/>
      <c r="AE1284" s="529"/>
      <c r="AF1284" s="529"/>
      <c r="AG1284" s="529"/>
      <c r="AH1284" s="529"/>
      <c r="AI1284" s="529"/>
      <c r="AJ1284" s="529"/>
      <c r="AK1284" s="529"/>
      <c r="AL1284" s="529"/>
      <c r="AM1284" s="529"/>
      <c r="AN1284" s="529"/>
      <c r="AO1284" s="529"/>
    </row>
    <row r="1285" spans="1:41" s="519" customFormat="1" thickTop="1">
      <c r="A1285" s="47"/>
      <c r="B1285" s="47"/>
      <c r="C1285" s="3"/>
      <c r="D1285" s="3"/>
      <c r="E1285" s="47"/>
      <c r="F1285" s="47"/>
      <c r="G1285" s="47"/>
      <c r="H1285" s="47"/>
      <c r="I1285" s="47"/>
      <c r="J1285" s="47"/>
      <c r="K1285" s="47" t="s">
        <v>134</v>
      </c>
      <c r="L1285" s="47"/>
      <c r="M1285" s="47"/>
      <c r="N1285" s="47"/>
      <c r="O1285" s="48"/>
      <c r="P1285" s="47"/>
      <c r="Q1285" s="47"/>
      <c r="R1285" s="47"/>
      <c r="S1285" s="47"/>
      <c r="T1285" s="47"/>
    </row>
    <row r="1286" spans="1:41" s="519" customFormat="1" ht="12">
      <c r="A1286" s="47"/>
      <c r="B1286" s="47"/>
      <c r="C1286" s="47" t="s">
        <v>135</v>
      </c>
      <c r="D1286" s="36"/>
      <c r="E1286" s="47"/>
      <c r="F1286" s="47"/>
      <c r="G1286" s="47"/>
      <c r="H1286" s="47"/>
      <c r="I1286" s="47"/>
      <c r="J1286" s="47"/>
      <c r="K1286" s="47"/>
      <c r="L1286" s="47"/>
      <c r="M1286" s="47"/>
      <c r="N1286" s="47"/>
      <c r="O1286" s="48"/>
      <c r="P1286" s="47"/>
      <c r="Q1286" s="47"/>
      <c r="R1286" s="47"/>
      <c r="S1286" s="47"/>
      <c r="T1286" s="47"/>
    </row>
    <row r="1287" spans="1:41" s="519" customFormat="1" ht="12">
      <c r="A1287" s="47"/>
      <c r="B1287" s="47"/>
      <c r="C1287" s="47"/>
      <c r="D1287" s="36" t="s">
        <v>528</v>
      </c>
      <c r="E1287" s="47"/>
      <c r="F1287" s="47"/>
      <c r="G1287" s="47"/>
      <c r="H1287" s="47"/>
      <c r="I1287" s="47"/>
      <c r="J1287" s="47"/>
      <c r="K1287" s="47"/>
      <c r="L1287" s="47"/>
      <c r="M1287" s="47"/>
      <c r="N1287" s="47"/>
      <c r="O1287" s="48"/>
      <c r="P1287" s="47"/>
      <c r="Q1287" s="47"/>
      <c r="R1287" s="47"/>
      <c r="S1287" s="37"/>
      <c r="T1287" s="37"/>
    </row>
    <row r="1288" spans="1:41" s="3" customFormat="1" thickBot="1">
      <c r="A1288" s="529"/>
      <c r="O1288" s="99"/>
    </row>
    <row r="1289" spans="1:41" s="519" customFormat="1" thickTop="1">
      <c r="A1289" s="47"/>
      <c r="B1289" s="47"/>
      <c r="C1289" s="3"/>
      <c r="D1289" s="3"/>
      <c r="E1289" s="47"/>
      <c r="F1289" s="47"/>
      <c r="G1289" s="47"/>
      <c r="H1289" s="47"/>
      <c r="I1289" s="47"/>
      <c r="J1289" s="47"/>
      <c r="K1289" s="47" t="s">
        <v>134</v>
      </c>
      <c r="L1289" s="47"/>
      <c r="M1289" s="47"/>
      <c r="N1289" s="47"/>
      <c r="O1289" s="48"/>
      <c r="P1289" s="47"/>
      <c r="Q1289" s="47"/>
      <c r="R1289" s="47"/>
      <c r="S1289" s="47"/>
      <c r="T1289" s="47"/>
    </row>
    <row r="1290" spans="1:41" s="519" customFormat="1" ht="12">
      <c r="A1290" s="47"/>
      <c r="B1290" s="47"/>
      <c r="C1290" s="47" t="s">
        <v>135</v>
      </c>
      <c r="D1290" s="36"/>
      <c r="E1290" s="47"/>
      <c r="F1290" s="47"/>
      <c r="G1290" s="47"/>
      <c r="H1290" s="47"/>
      <c r="I1290" s="47"/>
      <c r="J1290" s="47"/>
      <c r="K1290" s="47"/>
      <c r="L1290" s="47"/>
      <c r="M1290" s="47"/>
      <c r="N1290" s="47"/>
      <c r="O1290" s="48"/>
      <c r="P1290" s="47"/>
      <c r="Q1290" s="47"/>
      <c r="R1290" s="47"/>
      <c r="S1290" s="47"/>
      <c r="T1290" s="47"/>
    </row>
    <row r="1291" spans="1:41" s="519" customFormat="1" ht="12">
      <c r="A1291" s="47"/>
      <c r="B1291" s="47"/>
      <c r="C1291" s="47"/>
      <c r="D1291" s="36" t="s">
        <v>529</v>
      </c>
      <c r="E1291" s="47"/>
      <c r="F1291" s="47"/>
      <c r="G1291" s="47"/>
      <c r="H1291" s="47"/>
      <c r="I1291" s="47"/>
      <c r="J1291" s="47"/>
      <c r="K1291" s="47"/>
      <c r="L1291" s="47"/>
      <c r="M1291" s="47"/>
      <c r="N1291" s="47"/>
      <c r="O1291" s="48"/>
      <c r="P1291" s="47"/>
      <c r="Q1291" s="47"/>
      <c r="R1291" s="47"/>
      <c r="S1291" s="37"/>
      <c r="T1291" s="37"/>
    </row>
    <row r="1292" spans="1:41" s="3" customFormat="1" thickBot="1">
      <c r="A1292" s="529"/>
      <c r="O1292" s="99"/>
    </row>
    <row r="1293" spans="1:41" s="519" customFormat="1" thickTop="1">
      <c r="A1293" s="47"/>
      <c r="B1293" s="47"/>
      <c r="C1293" s="3"/>
      <c r="D1293" s="3"/>
      <c r="E1293" s="47"/>
      <c r="F1293" s="47"/>
      <c r="G1293" s="47"/>
      <c r="H1293" s="47"/>
      <c r="I1293" s="47"/>
      <c r="J1293" s="47"/>
      <c r="K1293" s="47" t="s">
        <v>134</v>
      </c>
      <c r="L1293" s="47"/>
      <c r="M1293" s="47"/>
      <c r="N1293" s="47"/>
      <c r="O1293" s="48"/>
      <c r="P1293" s="47"/>
      <c r="Q1293" s="47"/>
      <c r="R1293" s="47"/>
      <c r="S1293" s="47"/>
      <c r="T1293" s="47"/>
    </row>
    <row r="1294" spans="1:41" s="519" customFormat="1" ht="12">
      <c r="A1294" s="47"/>
      <c r="B1294" s="47"/>
      <c r="C1294" s="47" t="s">
        <v>135</v>
      </c>
      <c r="D1294" s="36"/>
      <c r="E1294" s="47"/>
      <c r="F1294" s="47"/>
      <c r="G1294" s="47"/>
      <c r="H1294" s="47"/>
      <c r="I1294" s="47"/>
      <c r="J1294" s="47"/>
      <c r="K1294" s="47"/>
      <c r="L1294" s="47"/>
      <c r="M1294" s="47"/>
      <c r="N1294" s="47"/>
      <c r="O1294" s="48"/>
      <c r="P1294" s="47"/>
      <c r="Q1294" s="47"/>
      <c r="R1294" s="47"/>
      <c r="S1294" s="47"/>
      <c r="T1294" s="47"/>
    </row>
    <row r="1295" spans="1:41" s="519" customFormat="1" ht="39.9" customHeight="1">
      <c r="A1295" s="47"/>
      <c r="B1295" s="47"/>
      <c r="C1295" s="47"/>
      <c r="D1295" s="1081" t="s">
        <v>530</v>
      </c>
      <c r="E1295" s="1081"/>
      <c r="F1295" s="1081"/>
      <c r="G1295" s="1081"/>
      <c r="H1295" s="1081"/>
      <c r="I1295" s="1081"/>
      <c r="J1295" s="1081"/>
      <c r="K1295" s="1081"/>
      <c r="L1295" s="1081"/>
      <c r="M1295" s="1081"/>
      <c r="N1295" s="1081"/>
      <c r="O1295" s="1081"/>
      <c r="P1295" s="1081"/>
      <c r="Q1295" s="1081"/>
      <c r="R1295" s="1081"/>
      <c r="S1295" s="1081"/>
      <c r="T1295" s="1081"/>
    </row>
    <row r="1296" spans="1:41" s="3" customFormat="1" thickBot="1">
      <c r="A1296" s="529"/>
      <c r="O1296" s="99"/>
    </row>
    <row r="1297" spans="1:41" s="519" customFormat="1" thickTop="1">
      <c r="A1297" s="47"/>
      <c r="B1297" s="40"/>
      <c r="C1297" s="47"/>
      <c r="E1297" s="41" t="s">
        <v>138</v>
      </c>
      <c r="F1297" s="41" t="s">
        <v>139</v>
      </c>
      <c r="G1297" s="47"/>
      <c r="H1297" s="47"/>
      <c r="I1297" s="47"/>
      <c r="J1297" s="47"/>
      <c r="K1297" s="47" t="s">
        <v>140</v>
      </c>
      <c r="L1297" s="774"/>
      <c r="M1297" s="47"/>
      <c r="N1297" s="47"/>
      <c r="O1297" s="48"/>
      <c r="P1297" s="47"/>
      <c r="Q1297"/>
      <c r="R1297"/>
      <c r="S1297"/>
      <c r="T1297" s="40"/>
      <c r="AG1297" s="627" t="s">
        <v>277</v>
      </c>
      <c r="AH1297" s="627" t="s">
        <v>278</v>
      </c>
      <c r="AI1297" s="627" t="s">
        <v>279</v>
      </c>
      <c r="AJ1297" s="627" t="s">
        <v>280</v>
      </c>
      <c r="AK1297" s="627" t="s">
        <v>281</v>
      </c>
      <c r="AM1297" s="628" t="s">
        <v>290</v>
      </c>
      <c r="AN1297" s="629" t="s">
        <v>291</v>
      </c>
      <c r="AO1297" s="520" t="s">
        <v>287</v>
      </c>
    </row>
    <row r="1298" spans="1:41" s="519" customFormat="1" ht="13.2">
      <c r="A1298" s="630">
        <v>2</v>
      </c>
      <c r="B1298" s="521" t="s">
        <v>312</v>
      </c>
      <c r="C1298" s="631"/>
      <c r="D1298" s="632" t="s">
        <v>697</v>
      </c>
      <c r="E1298" s="775">
        <f>IF(AND($A1298=0,$A$1="DIF"),0,ROUND(ROUND(SUMIF($L1300:$L1311,"SUBI",$E1300:$E1311)/$A1298,2)*$C$12,2))</f>
        <v>0</v>
      </c>
      <c r="F1298" s="776">
        <f>ROUND($A1298*$E1298,2)</f>
        <v>0</v>
      </c>
      <c r="G1298" s="635" t="s">
        <v>142</v>
      </c>
      <c r="H1298" s="636"/>
      <c r="I1298" s="637"/>
      <c r="J1298" s="636"/>
      <c r="K1298" s="777"/>
      <c r="L1298" s="778" t="s">
        <v>143</v>
      </c>
      <c r="M1298" s="638"/>
      <c r="N1298" s="638"/>
      <c r="O1298" s="638"/>
      <c r="P1298" s="638"/>
      <c r="Q1298" s="967" t="s">
        <v>867</v>
      </c>
      <c r="R1298"/>
      <c r="S1298"/>
      <c r="T1298" s="779" t="str">
        <f>IF(AND($R1317=0,$T1317=0),"0.00","mu :" &amp; ROUND($F1298/$C$12/($R1317+$T1317*$D$9),2))</f>
        <v>0.00</v>
      </c>
      <c r="W1298" s="522"/>
      <c r="AG1298" s="780">
        <f>IF(A1298=0,0,ROUND(SUM(AG1300:AG1317)/A1298,2))</f>
        <v>0</v>
      </c>
      <c r="AH1298" s="780">
        <f>$AG1298*$A1298</f>
        <v>0</v>
      </c>
      <c r="AI1298" s="780">
        <f>$E1298-$AG1298</f>
        <v>0</v>
      </c>
      <c r="AJ1298" s="780">
        <f>$A1298*$AI1298</f>
        <v>0</v>
      </c>
      <c r="AK1298" s="781">
        <f>ROUND(($AG1298+$AI1298)*$A1298,2)</f>
        <v>0</v>
      </c>
      <c r="AM1298" s="525">
        <f>ROUND(R1317,2)</f>
        <v>0</v>
      </c>
      <c r="AN1298" s="526">
        <f>ROUND(T1317,2)</f>
        <v>0</v>
      </c>
      <c r="AO1298" s="527">
        <f>ROUND(AM1298+AN1298,2)*A1298</f>
        <v>0</v>
      </c>
    </row>
    <row r="1299" spans="1:41" s="519" customFormat="1" ht="21.6" customHeight="1">
      <c r="A1299" s="782"/>
      <c r="B1299" s="783"/>
      <c r="C1299" s="631"/>
      <c r="D1299" s="784" t="s">
        <v>531</v>
      </c>
      <c r="F1299" s="636"/>
      <c r="G1299" s="636"/>
      <c r="H1299" s="636"/>
      <c r="I1299" s="637"/>
      <c r="J1299" s="636"/>
      <c r="K1299" s="636" t="s">
        <v>144</v>
      </c>
      <c r="L1299" s="785"/>
      <c r="M1299" s="636"/>
      <c r="N1299" s="636"/>
      <c r="O1299" s="636"/>
      <c r="P1299" s="636"/>
      <c r="Q1299" s="47"/>
      <c r="R1299" s="528"/>
      <c r="S1299" s="640"/>
      <c r="T1299" s="636"/>
    </row>
    <row r="1300" spans="1:41" s="519" customFormat="1" ht="12">
      <c r="A1300" s="849"/>
      <c r="B1300" s="850"/>
      <c r="C1300" s="641"/>
      <c r="D1300" s="811"/>
      <c r="E1300" s="851">
        <f>F1298/$C$12-SUMIF($L1297:$L1317,"SUBI",$E1297:$E1317)</f>
        <v>0</v>
      </c>
      <c r="F1300" s="852" t="s">
        <v>589</v>
      </c>
      <c r="G1300" s="790"/>
      <c r="H1300" s="790"/>
      <c r="I1300" s="791"/>
      <c r="J1300" s="790"/>
      <c r="K1300" s="790"/>
      <c r="L1300" s="792"/>
      <c r="M1300" s="793"/>
      <c r="N1300" s="793"/>
      <c r="O1300" s="793"/>
      <c r="P1300" s="793"/>
      <c r="Q1300" s="794"/>
      <c r="R1300" s="795"/>
      <c r="S1300" s="794"/>
      <c r="T1300" s="796"/>
    </row>
    <row r="1301" spans="1:41" s="519" customFormat="1" ht="12" customHeight="1">
      <c r="A1301" s="797"/>
      <c r="B1301" s="798"/>
      <c r="C1301" s="799"/>
      <c r="D1301" s="799" t="str">
        <f>$F$2</f>
        <v>Electrical</v>
      </c>
      <c r="E1301" s="799">
        <f>ROUND(($R1305*$S$2 + ($T1305*$T$2)), 2)</f>
        <v>0</v>
      </c>
      <c r="F1301" s="800">
        <f>$E1301*$C$12</f>
        <v>0</v>
      </c>
      <c r="G1301" s="528"/>
      <c r="H1301" s="801"/>
      <c r="I1301" s="528"/>
      <c r="J1301" s="48"/>
      <c r="K1301" s="802" t="s">
        <v>3</v>
      </c>
      <c r="L1301" s="803" t="s">
        <v>590</v>
      </c>
      <c r="M1301" s="528"/>
      <c r="N1301" s="528"/>
      <c r="O1301" s="48"/>
      <c r="P1301" s="528"/>
      <c r="Q1301" s="528"/>
      <c r="R1301"/>
      <c r="S1301"/>
      <c r="T1301"/>
    </row>
    <row r="1302" spans="1:41" s="519" customFormat="1" ht="14.4" customHeight="1">
      <c r="A1302" s="49"/>
      <c r="B1302" s="804" t="s">
        <v>591</v>
      </c>
      <c r="C1302" s="528"/>
      <c r="D1302" s="528"/>
      <c r="E1302" s="528"/>
      <c r="F1302" s="528"/>
      <c r="G1302" s="528"/>
      <c r="H1302" s="801"/>
      <c r="I1302" s="528"/>
      <c r="J1302" s="48"/>
      <c r="K1302" s="805"/>
      <c r="L1302" s="806"/>
      <c r="M1302" s="528"/>
      <c r="N1302" s="528"/>
      <c r="O1302" s="48"/>
      <c r="P1302" s="528"/>
      <c r="Q1302" s="528"/>
      <c r="R1302" s="807">
        <f>$A1302*Q1302</f>
        <v>0</v>
      </c>
      <c r="S1302" s="528"/>
      <c r="T1302" s="643">
        <f>$A1302*S1302*$T$1</f>
        <v>0</v>
      </c>
    </row>
    <row r="1303" spans="1:41" s="519" customFormat="1" ht="14.4" customHeight="1">
      <c r="A1303" s="49"/>
      <c r="B1303" s="528"/>
      <c r="C1303" s="528"/>
      <c r="D1303" s="528"/>
      <c r="E1303" s="528"/>
      <c r="F1303" s="528"/>
      <c r="G1303" s="528"/>
      <c r="H1303" s="801"/>
      <c r="I1303" s="528"/>
      <c r="J1303" s="48"/>
      <c r="K1303" s="805"/>
      <c r="L1303" s="806"/>
      <c r="M1303" s="528"/>
      <c r="N1303" s="528"/>
      <c r="O1303" s="48"/>
      <c r="P1303" s="528"/>
      <c r="Q1303" s="528"/>
      <c r="R1303" s="807">
        <f>$A1303*Q1303</f>
        <v>0</v>
      </c>
      <c r="S1303" s="528"/>
      <c r="T1303" s="643">
        <f>$A1303*S1303*$T$1</f>
        <v>0</v>
      </c>
    </row>
    <row r="1304" spans="1:41" s="519" customFormat="1" ht="14.4" customHeight="1">
      <c r="A1304" s="49"/>
      <c r="B1304" s="528"/>
      <c r="C1304" s="528"/>
      <c r="D1304" s="528"/>
      <c r="E1304" s="528"/>
      <c r="F1304" s="528"/>
      <c r="G1304" s="528"/>
      <c r="H1304" s="801"/>
      <c r="I1304" s="528"/>
      <c r="J1304" s="48"/>
      <c r="K1304" s="805"/>
      <c r="L1304" s="806"/>
      <c r="M1304" s="528"/>
      <c r="N1304" s="528"/>
      <c r="O1304" s="48"/>
      <c r="P1304" s="528"/>
      <c r="Q1304" s="528"/>
      <c r="R1304" s="807">
        <f>$A1304*Q1304</f>
        <v>0</v>
      </c>
      <c r="S1304" s="528"/>
      <c r="T1304" s="643">
        <f>$A1304*S1304*$T$1</f>
        <v>0</v>
      </c>
    </row>
    <row r="1305" spans="1:41" s="519" customFormat="1" ht="12">
      <c r="A1305" s="835" t="s">
        <v>145</v>
      </c>
      <c r="B1305" s="836">
        <f>(R1304+T1304)</f>
        <v>0</v>
      </c>
      <c r="C1305" s="790"/>
      <c r="G1305" s="810"/>
      <c r="H1305" s="810"/>
      <c r="I1305" s="810"/>
      <c r="J1305" s="810"/>
      <c r="K1305" s="811" t="s">
        <v>3</v>
      </c>
      <c r="L1305" s="812" t="s">
        <v>590</v>
      </c>
      <c r="M1305" s="810"/>
      <c r="N1305" s="810"/>
      <c r="O1305" s="810"/>
      <c r="P1305" s="810"/>
      <c r="Q1305" s="813"/>
      <c r="R1305" s="814">
        <f>SUM(R1301:R1304)</f>
        <v>0</v>
      </c>
      <c r="S1305" s="815"/>
      <c r="T1305" s="814">
        <f>SUM(T1301:T1304)</f>
        <v>0</v>
      </c>
      <c r="AG1305" s="816">
        <f>ROUND($R1305*$S$2,2)</f>
        <v>0</v>
      </c>
    </row>
    <row r="1306" spans="1:41" s="519" customFormat="1" ht="12" customHeight="1">
      <c r="A1306" s="797"/>
      <c r="B1306" s="853"/>
      <c r="C1306" s="854"/>
      <c r="D1306" s="855" t="str">
        <f>$F$3</f>
        <v>ECA</v>
      </c>
      <c r="E1306" s="855">
        <f>ROUND(($R1310*$S$3 + ($T1310*$T$3)), 2)</f>
        <v>0</v>
      </c>
      <c r="F1306" s="856">
        <f>$E1306*$C$12</f>
        <v>0</v>
      </c>
      <c r="G1306" s="518"/>
      <c r="H1306" s="518"/>
      <c r="I1306" s="518"/>
      <c r="J1306" s="518"/>
      <c r="K1306" s="802" t="s">
        <v>5</v>
      </c>
      <c r="L1306" s="803" t="s">
        <v>590</v>
      </c>
      <c r="M1306" s="518"/>
      <c r="N1306" s="518"/>
      <c r="O1306" s="518"/>
      <c r="P1306" s="518"/>
      <c r="Q1306" s="518"/>
      <c r="R1306" s="821"/>
      <c r="S1306" s="518"/>
      <c r="T1306" s="821"/>
    </row>
    <row r="1307" spans="1:41" s="834" customFormat="1" ht="15.6" customHeight="1">
      <c r="A1307" s="822"/>
      <c r="B1307" s="804" t="s">
        <v>592</v>
      </c>
      <c r="C1307" s="823"/>
      <c r="D1307" s="824"/>
      <c r="E1307" s="824"/>
      <c r="F1307" s="824"/>
      <c r="G1307" s="825"/>
      <c r="H1307" s="826"/>
      <c r="I1307" s="826"/>
      <c r="J1307" s="827"/>
      <c r="K1307" s="828"/>
      <c r="L1307" s="823"/>
      <c r="M1307" s="829"/>
      <c r="N1307" s="830"/>
      <c r="O1307" s="831"/>
      <c r="P1307" s="832"/>
      <c r="Q1307" s="833"/>
      <c r="R1307" s="807">
        <f>$A1307*Q1307</f>
        <v>0</v>
      </c>
      <c r="S1307" s="528"/>
      <c r="T1307" s="643">
        <f>$A1307*S1307*$T$1</f>
        <v>0</v>
      </c>
    </row>
    <row r="1308" spans="1:41" s="519" customFormat="1" ht="15.6" customHeight="1">
      <c r="A1308" s="49"/>
      <c r="B1308" s="528"/>
      <c r="C1308" s="528"/>
      <c r="D1308" s="528"/>
      <c r="E1308" s="528"/>
      <c r="F1308" s="528"/>
      <c r="G1308" s="528"/>
      <c r="H1308" s="528"/>
      <c r="I1308" s="528"/>
      <c r="J1308" s="528"/>
      <c r="K1308" s="528"/>
      <c r="L1308" s="806"/>
      <c r="M1308" s="528"/>
      <c r="N1308" s="528"/>
      <c r="O1308" s="528"/>
      <c r="P1308" s="528"/>
      <c r="Q1308" s="528"/>
      <c r="R1308" s="807">
        <f>$A1308*Q1308</f>
        <v>0</v>
      </c>
      <c r="S1308" s="528"/>
      <c r="T1308" s="643">
        <f>$A1308*S1308*$T$1</f>
        <v>0</v>
      </c>
    </row>
    <row r="1309" spans="1:41" s="519" customFormat="1" ht="15.6" customHeight="1">
      <c r="A1309" s="49"/>
      <c r="B1309" s="528"/>
      <c r="C1309" s="528"/>
      <c r="D1309" s="3"/>
      <c r="E1309" s="528"/>
      <c r="F1309" s="528"/>
      <c r="G1309" s="528"/>
      <c r="H1309" s="528"/>
      <c r="I1309" s="528"/>
      <c r="J1309" s="528"/>
      <c r="K1309" s="528"/>
      <c r="L1309" s="806"/>
      <c r="M1309" s="528"/>
      <c r="N1309" s="528"/>
      <c r="O1309" s="528"/>
      <c r="P1309" s="528"/>
      <c r="Q1309" s="528"/>
      <c r="R1309" s="807">
        <f>$A1309*Q1309</f>
        <v>0</v>
      </c>
      <c r="S1309" s="528"/>
      <c r="T1309" s="643">
        <f>$A1309*S1309*$T$1</f>
        <v>0</v>
      </c>
    </row>
    <row r="1310" spans="1:41" s="519" customFormat="1" ht="12">
      <c r="A1310" s="835" t="s">
        <v>145</v>
      </c>
      <c r="B1310" s="836">
        <f>(R1309+T1309)</f>
        <v>0</v>
      </c>
      <c r="C1310" s="790"/>
      <c r="G1310" s="810"/>
      <c r="H1310" s="810"/>
      <c r="I1310" s="810"/>
      <c r="J1310" s="810"/>
      <c r="K1310" s="838" t="s">
        <v>5</v>
      </c>
      <c r="L1310" s="812" t="s">
        <v>590</v>
      </c>
      <c r="M1310" s="810"/>
      <c r="N1310" s="810"/>
      <c r="O1310" s="810"/>
      <c r="P1310" s="810"/>
      <c r="Q1310" s="813"/>
      <c r="R1310" s="814">
        <f>SUM(R1306:R1309)</f>
        <v>0</v>
      </c>
      <c r="S1310" s="815"/>
      <c r="T1310" s="814">
        <f>SUM(T1306:T1309)</f>
        <v>0</v>
      </c>
      <c r="AG1310" s="840">
        <f>ROUND($R1310*$S$3,2)</f>
        <v>0</v>
      </c>
    </row>
    <row r="1311" spans="1:41" s="519" customFormat="1" ht="12" customHeight="1">
      <c r="A1311" s="817"/>
      <c r="B1311" s="857"/>
      <c r="C1311" s="858"/>
      <c r="D1311" s="859">
        <f>$F$4</f>
        <v>0</v>
      </c>
      <c r="E1311" s="859">
        <f>ROUND(($R1315*$S$4 + ($T1315*$T$4)), 2)</f>
        <v>0</v>
      </c>
      <c r="F1311" s="860">
        <f ca="1">$F1298-SUMIF($L1300:$P1308,"SUBI",$F1300:$F1308)</f>
        <v>0</v>
      </c>
      <c r="G1311" s="518"/>
      <c r="H1311" s="518"/>
      <c r="I1311" s="518"/>
      <c r="J1311" s="518"/>
      <c r="K1311" s="861" t="s">
        <v>8</v>
      </c>
      <c r="L1311" s="803" t="s">
        <v>590</v>
      </c>
      <c r="M1311" s="518"/>
      <c r="N1311" s="518"/>
      <c r="O1311" s="518"/>
      <c r="P1311" s="518"/>
      <c r="Q1311" s="518"/>
      <c r="R1311" s="821"/>
      <c r="S1311" s="518"/>
      <c r="T1311" s="821"/>
    </row>
    <row r="1312" spans="1:41" s="834" customFormat="1" ht="14.4" customHeight="1">
      <c r="A1312" s="822"/>
      <c r="B1312" s="804" t="s">
        <v>680</v>
      </c>
      <c r="C1312" s="823"/>
      <c r="D1312" s="824"/>
      <c r="E1312" s="824"/>
      <c r="F1312" s="824"/>
      <c r="G1312" s="825"/>
      <c r="H1312" s="826"/>
      <c r="I1312" s="826"/>
      <c r="J1312" s="827"/>
      <c r="K1312" s="828"/>
      <c r="L1312" s="823"/>
      <c r="M1312" s="829"/>
      <c r="N1312" s="830"/>
      <c r="O1312" s="862"/>
      <c r="P1312" s="832"/>
      <c r="Q1312" s="833"/>
      <c r="R1312" s="642">
        <f>$A1312*Q1312</f>
        <v>0</v>
      </c>
      <c r="S1312" s="833"/>
      <c r="T1312" s="643">
        <f>$A1312*S1312*$T$1</f>
        <v>0</v>
      </c>
    </row>
    <row r="1313" spans="1:41" s="519" customFormat="1" ht="12">
      <c r="A1313" s="47"/>
      <c r="B1313" s="641"/>
      <c r="C1313" s="641"/>
      <c r="D1313" s="863"/>
      <c r="E1313" s="843"/>
      <c r="F1313" s="518"/>
      <c r="G1313" s="518"/>
      <c r="H1313" s="518"/>
      <c r="I1313" s="518"/>
      <c r="J1313" s="518"/>
      <c r="K1313" s="518"/>
      <c r="L1313" s="864"/>
      <c r="M1313" s="518"/>
      <c r="N1313" s="518"/>
      <c r="O1313" s="518"/>
      <c r="P1313" s="518"/>
      <c r="Q1313" s="518"/>
      <c r="R1313" s="642">
        <f>$A1313*Q1313</f>
        <v>0</v>
      </c>
      <c r="S1313" s="518"/>
      <c r="T1313" s="643">
        <f>$A1313*S1313*$T$1</f>
        <v>0</v>
      </c>
    </row>
    <row r="1314" spans="1:41" s="519" customFormat="1" ht="12">
      <c r="A1314" s="47"/>
      <c r="B1314" s="641"/>
      <c r="C1314" s="641"/>
      <c r="D1314" s="863"/>
      <c r="E1314" s="843"/>
      <c r="F1314" s="518"/>
      <c r="G1314" s="518"/>
      <c r="H1314" s="518"/>
      <c r="I1314" s="518"/>
      <c r="J1314" s="518"/>
      <c r="K1314" s="518"/>
      <c r="L1314" s="864"/>
      <c r="M1314" s="518"/>
      <c r="N1314" s="518"/>
      <c r="O1314" s="518"/>
      <c r="P1314" s="518"/>
      <c r="Q1314" s="518"/>
      <c r="R1314" s="642">
        <f>$A1314*Q1314</f>
        <v>0</v>
      </c>
      <c r="S1314" s="518"/>
      <c r="T1314" s="643">
        <f>$A1314*S1314*$T$1</f>
        <v>0</v>
      </c>
    </row>
    <row r="1315" spans="1:41" s="519" customFormat="1" ht="12.75" customHeight="1">
      <c r="A1315" s="835" t="s">
        <v>145</v>
      </c>
      <c r="B1315" s="836">
        <f>(R1314+T1314)</f>
        <v>0</v>
      </c>
      <c r="C1315" s="837"/>
      <c r="D1315" s="837"/>
      <c r="E1315" s="837"/>
      <c r="F1315" s="837"/>
      <c r="G1315" s="813"/>
      <c r="H1315" s="813"/>
      <c r="I1315" s="813"/>
      <c r="J1315" s="813"/>
      <c r="K1315" s="838" t="s">
        <v>8</v>
      </c>
      <c r="L1315" s="839" t="s">
        <v>590</v>
      </c>
      <c r="M1315" s="813"/>
      <c r="N1315" s="813"/>
      <c r="O1315" s="813"/>
      <c r="P1315" s="813"/>
      <c r="Q1315" s="813"/>
      <c r="R1315" s="814">
        <f>SUM(R1311:R1314)</f>
        <v>0</v>
      </c>
      <c r="S1315" s="815"/>
      <c r="T1315" s="814">
        <f>SUM(T1311:T1314)</f>
        <v>0</v>
      </c>
      <c r="AG1315" s="865">
        <f>ROUND($R1315*$S$4,2)</f>
        <v>0</v>
      </c>
    </row>
    <row r="1316" spans="1:41" s="519" customFormat="1" ht="12.75" customHeight="1">
      <c r="A1316" s="841"/>
      <c r="B1316" s="842"/>
      <c r="E1316" s="641"/>
      <c r="F1316" s="843"/>
      <c r="G1316" s="641"/>
      <c r="H1316" s="641"/>
      <c r="I1316" s="518"/>
      <c r="J1316" s="641"/>
      <c r="K1316" s="641"/>
      <c r="L1316" s="844"/>
      <c r="M1316" s="652"/>
      <c r="N1316" s="652"/>
      <c r="O1316" s="652"/>
      <c r="P1316" s="652"/>
      <c r="Q1316" s="653"/>
      <c r="R1316" s="821"/>
      <c r="S1316" s="641"/>
      <c r="T1316" s="821"/>
    </row>
    <row r="1317" spans="1:41" s="519" customFormat="1" ht="13.5" customHeight="1" thickBot="1">
      <c r="A1317" s="845"/>
      <c r="B1317" s="846"/>
      <c r="C1317" s="529"/>
      <c r="D1317" s="529"/>
      <c r="E1317" s="646"/>
      <c r="F1317" s="647"/>
      <c r="G1317" s="646" t="s">
        <v>146</v>
      </c>
      <c r="H1317" s="646"/>
      <c r="I1317" s="648"/>
      <c r="J1317" s="646"/>
      <c r="K1317" s="646"/>
      <c r="L1317" s="847" t="s">
        <v>143</v>
      </c>
      <c r="M1317" s="649"/>
      <c r="N1317" s="649"/>
      <c r="O1317" s="649"/>
      <c r="P1317" s="649"/>
      <c r="Q1317" s="650"/>
      <c r="R1317" s="848">
        <f>SUMIF($L1299:$L1316,"SUBI",R1299:R1316)</f>
        <v>0</v>
      </c>
      <c r="S1317" s="866"/>
      <c r="T1317" s="848">
        <f>SUMIF($L1299:$L1316,"SUBI",T1299:T1316)</f>
        <v>0</v>
      </c>
      <c r="U1317" s="529"/>
      <c r="V1317" s="529"/>
      <c r="W1317" s="529"/>
      <c r="X1317" s="529"/>
      <c r="Y1317" s="529"/>
      <c r="Z1317" s="529"/>
      <c r="AA1317" s="529"/>
      <c r="AB1317" s="529"/>
      <c r="AC1317" s="529"/>
      <c r="AD1317" s="529"/>
      <c r="AE1317" s="529"/>
      <c r="AF1317" s="529"/>
      <c r="AG1317" s="529"/>
      <c r="AH1317" s="529"/>
      <c r="AI1317" s="529"/>
      <c r="AJ1317" s="529"/>
      <c r="AK1317" s="529"/>
      <c r="AL1317" s="529"/>
      <c r="AM1317" s="529"/>
      <c r="AN1317" s="529"/>
      <c r="AO1317" s="529"/>
    </row>
    <row r="1318" spans="1:41" s="519" customFormat="1" thickTop="1">
      <c r="A1318" s="47"/>
      <c r="B1318" s="40"/>
      <c r="C1318" s="47"/>
      <c r="E1318" s="41" t="s">
        <v>138</v>
      </c>
      <c r="F1318" s="41" t="s">
        <v>139</v>
      </c>
      <c r="G1318" s="47"/>
      <c r="H1318" s="47"/>
      <c r="I1318" s="47"/>
      <c r="J1318" s="47"/>
      <c r="K1318" s="47" t="s">
        <v>140</v>
      </c>
      <c r="L1318" s="774"/>
      <c r="M1318" s="47"/>
      <c r="N1318" s="47"/>
      <c r="O1318" s="48"/>
      <c r="P1318" s="47"/>
      <c r="Q1318"/>
      <c r="R1318"/>
      <c r="S1318"/>
      <c r="T1318" s="40"/>
      <c r="AG1318" s="627" t="s">
        <v>277</v>
      </c>
      <c r="AH1318" s="627" t="s">
        <v>278</v>
      </c>
      <c r="AI1318" s="627" t="s">
        <v>279</v>
      </c>
      <c r="AJ1318" s="627" t="s">
        <v>280</v>
      </c>
      <c r="AK1318" s="627" t="s">
        <v>281</v>
      </c>
      <c r="AM1318" s="628" t="s">
        <v>290</v>
      </c>
      <c r="AN1318" s="629" t="s">
        <v>291</v>
      </c>
      <c r="AO1318" s="520" t="s">
        <v>287</v>
      </c>
    </row>
    <row r="1319" spans="1:41" s="519" customFormat="1" ht="13.2">
      <c r="A1319" s="630">
        <v>1</v>
      </c>
      <c r="B1319" s="521" t="s">
        <v>312</v>
      </c>
      <c r="C1319" s="631"/>
      <c r="D1319" s="632" t="s">
        <v>698</v>
      </c>
      <c r="E1319" s="775">
        <f>IF(AND($A1319=0,$A$1="DIF"),0,ROUND(ROUND(SUMIF($L1321:$L1332,"SUBI",$E1321:$E1332)/$A1319,2)*$C$12,2))</f>
        <v>0</v>
      </c>
      <c r="F1319" s="776">
        <f>ROUND($A1319*$E1319,2)</f>
        <v>0</v>
      </c>
      <c r="G1319" s="635" t="s">
        <v>142</v>
      </c>
      <c r="H1319" s="636"/>
      <c r="I1319" s="637"/>
      <c r="J1319" s="636"/>
      <c r="K1319" s="777"/>
      <c r="L1319" s="778" t="s">
        <v>143</v>
      </c>
      <c r="M1319" s="638"/>
      <c r="N1319" s="638"/>
      <c r="O1319" s="638"/>
      <c r="P1319" s="638"/>
      <c r="Q1319" s="967" t="s">
        <v>867</v>
      </c>
      <c r="R1319"/>
      <c r="S1319"/>
      <c r="T1319" s="779" t="str">
        <f>IF(AND($R1338=0,$T1338=0),"0.00","mu :" &amp; ROUND($F1319/$C$12/($R1338+$T1338*$D$9),2))</f>
        <v>0.00</v>
      </c>
      <c r="W1319" s="522"/>
      <c r="AG1319" s="780">
        <f>IF(A1319=0,0,ROUND(SUM(AG1321:AG1338)/A1319,2))</f>
        <v>0</v>
      </c>
      <c r="AH1319" s="780">
        <f>$AG1319*$A1319</f>
        <v>0</v>
      </c>
      <c r="AI1319" s="780">
        <f>$E1319-$AG1319</f>
        <v>0</v>
      </c>
      <c r="AJ1319" s="780">
        <f>$A1319*$AI1319</f>
        <v>0</v>
      </c>
      <c r="AK1319" s="781">
        <f>ROUND(($AG1319+$AI1319)*$A1319,2)</f>
        <v>0</v>
      </c>
      <c r="AM1319" s="525">
        <f>ROUND(R1338,2)</f>
        <v>0</v>
      </c>
      <c r="AN1319" s="526">
        <f>ROUND(T1338,2)</f>
        <v>0</v>
      </c>
      <c r="AO1319" s="527">
        <f>ROUND(AM1319+AN1319,2)*A1319</f>
        <v>0</v>
      </c>
    </row>
    <row r="1320" spans="1:41" s="519" customFormat="1" ht="21.6" customHeight="1">
      <c r="A1320" s="782"/>
      <c r="B1320" s="783"/>
      <c r="C1320" s="631"/>
      <c r="D1320" s="784" t="s">
        <v>532</v>
      </c>
      <c r="F1320" s="636"/>
      <c r="G1320" s="636"/>
      <c r="H1320" s="636"/>
      <c r="I1320" s="637"/>
      <c r="J1320" s="636"/>
      <c r="K1320" s="636" t="s">
        <v>144</v>
      </c>
      <c r="L1320" s="785"/>
      <c r="M1320" s="636"/>
      <c r="N1320" s="636"/>
      <c r="O1320" s="636"/>
      <c r="P1320" s="636"/>
      <c r="Q1320" s="47"/>
      <c r="R1320" s="528"/>
      <c r="S1320" s="640"/>
      <c r="T1320" s="636"/>
    </row>
    <row r="1321" spans="1:41" s="519" customFormat="1" ht="12">
      <c r="A1321" s="849"/>
      <c r="B1321" s="850"/>
      <c r="C1321" s="641"/>
      <c r="D1321" s="811"/>
      <c r="E1321" s="851">
        <f>F1319/$C$12-SUMIF($L1318:$L1338,"SUBI",$E1318:$E1338)</f>
        <v>0</v>
      </c>
      <c r="F1321" s="852" t="s">
        <v>589</v>
      </c>
      <c r="G1321" s="790"/>
      <c r="H1321" s="790"/>
      <c r="I1321" s="791"/>
      <c r="J1321" s="790"/>
      <c r="K1321" s="790"/>
      <c r="L1321" s="792"/>
      <c r="M1321" s="793"/>
      <c r="N1321" s="793"/>
      <c r="O1321" s="793"/>
      <c r="P1321" s="793"/>
      <c r="Q1321" s="794"/>
      <c r="R1321" s="795"/>
      <c r="S1321" s="794"/>
      <c r="T1321" s="796"/>
    </row>
    <row r="1322" spans="1:41" s="519" customFormat="1" ht="12" customHeight="1">
      <c r="A1322" s="797"/>
      <c r="B1322" s="798"/>
      <c r="C1322" s="799"/>
      <c r="D1322" s="799" t="str">
        <f>$F$2</f>
        <v>Electrical</v>
      </c>
      <c r="E1322" s="799">
        <f>ROUND(($R1326*$S$2 + ($T1326*$T$2)), 2)</f>
        <v>0</v>
      </c>
      <c r="F1322" s="800">
        <f>$E1322*$C$12</f>
        <v>0</v>
      </c>
      <c r="G1322" s="528"/>
      <c r="H1322" s="801"/>
      <c r="I1322" s="528"/>
      <c r="J1322" s="48"/>
      <c r="K1322" s="802" t="s">
        <v>3</v>
      </c>
      <c r="L1322" s="803" t="s">
        <v>590</v>
      </c>
      <c r="M1322" s="528"/>
      <c r="N1322" s="528"/>
      <c r="O1322" s="48"/>
      <c r="P1322" s="528"/>
      <c r="Q1322" s="528"/>
      <c r="R1322"/>
      <c r="S1322"/>
      <c r="T1322"/>
    </row>
    <row r="1323" spans="1:41" s="519" customFormat="1" ht="14.4" customHeight="1">
      <c r="A1323" s="49"/>
      <c r="B1323" s="804" t="s">
        <v>591</v>
      </c>
      <c r="C1323" s="528"/>
      <c r="D1323" s="528"/>
      <c r="E1323" s="528"/>
      <c r="F1323" s="528"/>
      <c r="G1323" s="528"/>
      <c r="H1323" s="801"/>
      <c r="I1323" s="528"/>
      <c r="J1323" s="48"/>
      <c r="K1323" s="805"/>
      <c r="L1323" s="806"/>
      <c r="M1323" s="528"/>
      <c r="N1323" s="528"/>
      <c r="O1323" s="48"/>
      <c r="P1323" s="528"/>
      <c r="Q1323" s="528"/>
      <c r="R1323" s="807">
        <f>$A1323*Q1323</f>
        <v>0</v>
      </c>
      <c r="S1323" s="528"/>
      <c r="T1323" s="643">
        <f>$A1323*S1323*$T$1</f>
        <v>0</v>
      </c>
    </row>
    <row r="1324" spans="1:41" s="519" customFormat="1" ht="14.4" customHeight="1">
      <c r="A1324" s="49"/>
      <c r="B1324" s="528"/>
      <c r="C1324" s="528"/>
      <c r="D1324" s="528"/>
      <c r="E1324" s="528"/>
      <c r="F1324" s="528"/>
      <c r="G1324" s="528"/>
      <c r="H1324" s="801"/>
      <c r="I1324" s="528"/>
      <c r="J1324" s="48"/>
      <c r="K1324" s="805"/>
      <c r="L1324" s="806"/>
      <c r="M1324" s="528"/>
      <c r="N1324" s="528"/>
      <c r="O1324" s="48"/>
      <c r="P1324" s="528"/>
      <c r="Q1324" s="528"/>
      <c r="R1324" s="807">
        <f>$A1324*Q1324</f>
        <v>0</v>
      </c>
      <c r="S1324" s="528"/>
      <c r="T1324" s="643">
        <f>$A1324*S1324*$T$1</f>
        <v>0</v>
      </c>
    </row>
    <row r="1325" spans="1:41" s="519" customFormat="1" ht="14.4" customHeight="1">
      <c r="A1325" s="49"/>
      <c r="B1325" s="528"/>
      <c r="C1325" s="528"/>
      <c r="D1325" s="528"/>
      <c r="E1325" s="528"/>
      <c r="F1325" s="528"/>
      <c r="G1325" s="528"/>
      <c r="H1325" s="801"/>
      <c r="I1325" s="528"/>
      <c r="J1325" s="48"/>
      <c r="K1325" s="805"/>
      <c r="L1325" s="806"/>
      <c r="M1325" s="528"/>
      <c r="N1325" s="528"/>
      <c r="O1325" s="48"/>
      <c r="P1325" s="528"/>
      <c r="Q1325" s="528"/>
      <c r="R1325" s="807">
        <f>$A1325*Q1325</f>
        <v>0</v>
      </c>
      <c r="S1325" s="528"/>
      <c r="T1325" s="643">
        <f>$A1325*S1325*$T$1</f>
        <v>0</v>
      </c>
    </row>
    <row r="1326" spans="1:41" s="519" customFormat="1" ht="12">
      <c r="A1326" s="835" t="s">
        <v>145</v>
      </c>
      <c r="B1326" s="836">
        <f>(R1325+T1325)</f>
        <v>0</v>
      </c>
      <c r="C1326" s="790"/>
      <c r="G1326" s="810"/>
      <c r="H1326" s="810"/>
      <c r="I1326" s="810"/>
      <c r="J1326" s="810"/>
      <c r="K1326" s="811" t="s">
        <v>3</v>
      </c>
      <c r="L1326" s="812" t="s">
        <v>590</v>
      </c>
      <c r="M1326" s="810"/>
      <c r="N1326" s="810"/>
      <c r="O1326" s="810"/>
      <c r="P1326" s="810"/>
      <c r="Q1326" s="813"/>
      <c r="R1326" s="814">
        <f>SUM(R1322:R1325)</f>
        <v>0</v>
      </c>
      <c r="S1326" s="815"/>
      <c r="T1326" s="814">
        <f>SUM(T1322:T1325)</f>
        <v>0</v>
      </c>
      <c r="AG1326" s="816">
        <f>ROUND($R1326*$S$2,2)</f>
        <v>0</v>
      </c>
    </row>
    <row r="1327" spans="1:41" s="519" customFormat="1" ht="12" customHeight="1">
      <c r="A1327" s="797"/>
      <c r="B1327" s="853"/>
      <c r="C1327" s="854"/>
      <c r="D1327" s="855" t="str">
        <f>$F$3</f>
        <v>ECA</v>
      </c>
      <c r="E1327" s="855">
        <f>ROUND(($R1331*$S$3 + ($T1331*$T$3)), 2)</f>
        <v>0</v>
      </c>
      <c r="F1327" s="856">
        <f>$E1327*$C$12</f>
        <v>0</v>
      </c>
      <c r="G1327" s="518"/>
      <c r="H1327" s="518"/>
      <c r="I1327" s="518"/>
      <c r="J1327" s="518"/>
      <c r="K1327" s="802" t="s">
        <v>5</v>
      </c>
      <c r="L1327" s="803" t="s">
        <v>590</v>
      </c>
      <c r="M1327" s="518"/>
      <c r="N1327" s="518"/>
      <c r="O1327" s="518"/>
      <c r="P1327" s="518"/>
      <c r="Q1327" s="518"/>
      <c r="R1327" s="821"/>
      <c r="S1327" s="518"/>
      <c r="T1327" s="821"/>
    </row>
    <row r="1328" spans="1:41" s="834" customFormat="1" ht="15.6" customHeight="1">
      <c r="A1328" s="822"/>
      <c r="B1328" s="804" t="s">
        <v>592</v>
      </c>
      <c r="C1328" s="823"/>
      <c r="D1328" s="824"/>
      <c r="E1328" s="824"/>
      <c r="F1328" s="824"/>
      <c r="G1328" s="825"/>
      <c r="H1328" s="826"/>
      <c r="I1328" s="826"/>
      <c r="J1328" s="827"/>
      <c r="K1328" s="828"/>
      <c r="L1328" s="823"/>
      <c r="M1328" s="829"/>
      <c r="N1328" s="830"/>
      <c r="O1328" s="831"/>
      <c r="P1328" s="832"/>
      <c r="Q1328" s="833"/>
      <c r="R1328" s="807">
        <f>$A1328*Q1328</f>
        <v>0</v>
      </c>
      <c r="S1328" s="528"/>
      <c r="T1328" s="643">
        <f>$A1328*S1328*$T$1</f>
        <v>0</v>
      </c>
    </row>
    <row r="1329" spans="1:41" s="519" customFormat="1" ht="15.6" customHeight="1">
      <c r="A1329" s="49"/>
      <c r="B1329" s="528"/>
      <c r="C1329" s="528"/>
      <c r="D1329" s="528"/>
      <c r="E1329" s="528"/>
      <c r="F1329" s="528"/>
      <c r="G1329" s="528"/>
      <c r="H1329" s="528"/>
      <c r="I1329" s="528"/>
      <c r="J1329" s="528"/>
      <c r="K1329" s="528"/>
      <c r="L1329" s="806"/>
      <c r="M1329" s="528"/>
      <c r="N1329" s="528"/>
      <c r="O1329" s="528"/>
      <c r="P1329" s="528"/>
      <c r="Q1329" s="528"/>
      <c r="R1329" s="807">
        <f>$A1329*Q1329</f>
        <v>0</v>
      </c>
      <c r="S1329" s="528"/>
      <c r="T1329" s="643">
        <f>$A1329*S1329*$T$1</f>
        <v>0</v>
      </c>
    </row>
    <row r="1330" spans="1:41" s="519" customFormat="1" ht="15.6" customHeight="1">
      <c r="A1330" s="49"/>
      <c r="B1330" s="528"/>
      <c r="C1330" s="528"/>
      <c r="D1330" s="3"/>
      <c r="E1330" s="528"/>
      <c r="F1330" s="528"/>
      <c r="G1330" s="528"/>
      <c r="H1330" s="528"/>
      <c r="I1330" s="528"/>
      <c r="J1330" s="528"/>
      <c r="K1330" s="528"/>
      <c r="L1330" s="806"/>
      <c r="M1330" s="528"/>
      <c r="N1330" s="528"/>
      <c r="O1330" s="528"/>
      <c r="P1330" s="528"/>
      <c r="Q1330" s="528"/>
      <c r="R1330" s="807">
        <f>$A1330*Q1330</f>
        <v>0</v>
      </c>
      <c r="S1330" s="528"/>
      <c r="T1330" s="643">
        <f>$A1330*S1330*$T$1</f>
        <v>0</v>
      </c>
    </row>
    <row r="1331" spans="1:41" s="519" customFormat="1" ht="12">
      <c r="A1331" s="835" t="s">
        <v>145</v>
      </c>
      <c r="B1331" s="836">
        <f>(R1330+T1330)</f>
        <v>0</v>
      </c>
      <c r="C1331" s="790"/>
      <c r="G1331" s="810"/>
      <c r="H1331" s="810"/>
      <c r="I1331" s="810"/>
      <c r="J1331" s="810"/>
      <c r="K1331" s="838" t="s">
        <v>5</v>
      </c>
      <c r="L1331" s="812" t="s">
        <v>590</v>
      </c>
      <c r="M1331" s="810"/>
      <c r="N1331" s="810"/>
      <c r="O1331" s="810"/>
      <c r="P1331" s="810"/>
      <c r="Q1331" s="813"/>
      <c r="R1331" s="814">
        <f>SUM(R1327:R1330)</f>
        <v>0</v>
      </c>
      <c r="S1331" s="815"/>
      <c r="T1331" s="814">
        <f>SUM(T1327:T1330)</f>
        <v>0</v>
      </c>
      <c r="AG1331" s="840">
        <f>ROUND($R1331*$S$3,2)</f>
        <v>0</v>
      </c>
    </row>
    <row r="1332" spans="1:41" s="519" customFormat="1" ht="12" customHeight="1">
      <c r="A1332" s="817"/>
      <c r="B1332" s="857"/>
      <c r="C1332" s="858"/>
      <c r="D1332" s="859">
        <f>$F$4</f>
        <v>0</v>
      </c>
      <c r="E1332" s="859">
        <f>ROUND(($R1336*$S$4 + ($T1336*$T$4)), 2)</f>
        <v>0</v>
      </c>
      <c r="F1332" s="860">
        <f ca="1">$F1319-SUMIF($L1321:$P1329,"SUBI",$F1321:$F1329)</f>
        <v>0</v>
      </c>
      <c r="G1332" s="518"/>
      <c r="H1332" s="518"/>
      <c r="I1332" s="518"/>
      <c r="J1332" s="518"/>
      <c r="K1332" s="861" t="s">
        <v>8</v>
      </c>
      <c r="L1332" s="803" t="s">
        <v>590</v>
      </c>
      <c r="M1332" s="518"/>
      <c r="N1332" s="518"/>
      <c r="O1332" s="518"/>
      <c r="P1332" s="518"/>
      <c r="Q1332" s="518"/>
      <c r="R1332" s="821"/>
      <c r="S1332" s="518"/>
      <c r="T1332" s="821"/>
    </row>
    <row r="1333" spans="1:41" s="834" customFormat="1" ht="14.4" customHeight="1">
      <c r="A1333" s="822"/>
      <c r="B1333" s="804" t="s">
        <v>680</v>
      </c>
      <c r="C1333" s="823"/>
      <c r="D1333" s="824"/>
      <c r="E1333" s="824"/>
      <c r="F1333" s="824"/>
      <c r="G1333" s="825"/>
      <c r="H1333" s="826"/>
      <c r="I1333" s="826"/>
      <c r="J1333" s="827"/>
      <c r="K1333" s="828"/>
      <c r="L1333" s="823"/>
      <c r="M1333" s="829"/>
      <c r="N1333" s="830"/>
      <c r="O1333" s="862"/>
      <c r="P1333" s="832"/>
      <c r="Q1333" s="833"/>
      <c r="R1333" s="642">
        <f>$A1333*Q1333</f>
        <v>0</v>
      </c>
      <c r="S1333" s="833"/>
      <c r="T1333" s="643">
        <f>$A1333*S1333*$T$1</f>
        <v>0</v>
      </c>
    </row>
    <row r="1334" spans="1:41" s="519" customFormat="1" ht="12">
      <c r="A1334" s="47"/>
      <c r="B1334" s="641"/>
      <c r="C1334" s="641"/>
      <c r="D1334" s="863"/>
      <c r="E1334" s="843"/>
      <c r="F1334" s="518"/>
      <c r="G1334" s="518"/>
      <c r="H1334" s="518"/>
      <c r="I1334" s="518"/>
      <c r="J1334" s="518"/>
      <c r="K1334" s="518"/>
      <c r="L1334" s="864"/>
      <c r="M1334" s="518"/>
      <c r="N1334" s="518"/>
      <c r="O1334" s="518"/>
      <c r="P1334" s="518"/>
      <c r="Q1334" s="518"/>
      <c r="R1334" s="642">
        <f>$A1334*Q1334</f>
        <v>0</v>
      </c>
      <c r="S1334" s="518"/>
      <c r="T1334" s="643">
        <f>$A1334*S1334*$T$1</f>
        <v>0</v>
      </c>
    </row>
    <row r="1335" spans="1:41" s="519" customFormat="1" ht="12">
      <c r="A1335" s="47"/>
      <c r="B1335" s="641"/>
      <c r="C1335" s="641"/>
      <c r="D1335" s="863"/>
      <c r="E1335" s="843"/>
      <c r="F1335" s="518"/>
      <c r="G1335" s="518"/>
      <c r="H1335" s="518"/>
      <c r="I1335" s="518"/>
      <c r="J1335" s="518"/>
      <c r="K1335" s="518"/>
      <c r="L1335" s="864"/>
      <c r="M1335" s="518"/>
      <c r="N1335" s="518"/>
      <c r="O1335" s="518"/>
      <c r="P1335" s="518"/>
      <c r="Q1335" s="518"/>
      <c r="R1335" s="642">
        <f>$A1335*Q1335</f>
        <v>0</v>
      </c>
      <c r="S1335" s="518"/>
      <c r="T1335" s="643">
        <f>$A1335*S1335*$T$1</f>
        <v>0</v>
      </c>
    </row>
    <row r="1336" spans="1:41" s="519" customFormat="1" ht="12.75" customHeight="1">
      <c r="A1336" s="835" t="s">
        <v>145</v>
      </c>
      <c r="B1336" s="836">
        <f>(R1335+T1335)</f>
        <v>0</v>
      </c>
      <c r="C1336" s="837"/>
      <c r="D1336" s="837"/>
      <c r="E1336" s="837"/>
      <c r="F1336" s="837"/>
      <c r="G1336" s="813"/>
      <c r="H1336" s="813"/>
      <c r="I1336" s="813"/>
      <c r="J1336" s="813"/>
      <c r="K1336" s="838" t="s">
        <v>8</v>
      </c>
      <c r="L1336" s="839" t="s">
        <v>590</v>
      </c>
      <c r="M1336" s="813"/>
      <c r="N1336" s="813"/>
      <c r="O1336" s="813"/>
      <c r="P1336" s="813"/>
      <c r="Q1336" s="813"/>
      <c r="R1336" s="814">
        <f>SUM(R1332:R1335)</f>
        <v>0</v>
      </c>
      <c r="S1336" s="815"/>
      <c r="T1336" s="814">
        <f>SUM(T1332:T1335)</f>
        <v>0</v>
      </c>
      <c r="AG1336" s="865">
        <f>ROUND($R1336*$S$4,2)</f>
        <v>0</v>
      </c>
    </row>
    <row r="1337" spans="1:41" s="519" customFormat="1" ht="12.75" customHeight="1">
      <c r="A1337" s="841"/>
      <c r="B1337" s="842"/>
      <c r="E1337" s="641"/>
      <c r="F1337" s="843"/>
      <c r="G1337" s="641"/>
      <c r="H1337" s="641"/>
      <c r="I1337" s="518"/>
      <c r="J1337" s="641"/>
      <c r="K1337" s="641"/>
      <c r="L1337" s="844"/>
      <c r="M1337" s="652"/>
      <c r="N1337" s="652"/>
      <c r="O1337" s="652"/>
      <c r="P1337" s="652"/>
      <c r="Q1337" s="653"/>
      <c r="R1337" s="821"/>
      <c r="S1337" s="641"/>
      <c r="T1337" s="821"/>
    </row>
    <row r="1338" spans="1:41" s="519" customFormat="1" ht="13.5" customHeight="1" thickBot="1">
      <c r="A1338" s="845"/>
      <c r="B1338" s="846"/>
      <c r="C1338" s="529"/>
      <c r="D1338" s="529"/>
      <c r="E1338" s="646"/>
      <c r="F1338" s="647"/>
      <c r="G1338" s="646" t="s">
        <v>146</v>
      </c>
      <c r="H1338" s="646"/>
      <c r="I1338" s="648"/>
      <c r="J1338" s="646"/>
      <c r="K1338" s="646"/>
      <c r="L1338" s="847" t="s">
        <v>143</v>
      </c>
      <c r="M1338" s="649"/>
      <c r="N1338" s="649"/>
      <c r="O1338" s="649"/>
      <c r="P1338" s="649"/>
      <c r="Q1338" s="650"/>
      <c r="R1338" s="848">
        <f>SUMIF($L1320:$L1337,"SUBI",R1320:R1337)</f>
        <v>0</v>
      </c>
      <c r="S1338" s="866"/>
      <c r="T1338" s="848">
        <f>SUMIF($L1320:$L1337,"SUBI",T1320:T1337)</f>
        <v>0</v>
      </c>
      <c r="U1338" s="529"/>
      <c r="V1338" s="529"/>
      <c r="W1338" s="529"/>
      <c r="X1338" s="529"/>
      <c r="Y1338" s="529"/>
      <c r="Z1338" s="529"/>
      <c r="AA1338" s="529"/>
      <c r="AB1338" s="529"/>
      <c r="AC1338" s="529"/>
      <c r="AD1338" s="529"/>
      <c r="AE1338" s="529"/>
      <c r="AF1338" s="529"/>
      <c r="AG1338" s="529"/>
      <c r="AH1338" s="529"/>
      <c r="AI1338" s="529"/>
      <c r="AJ1338" s="529"/>
      <c r="AK1338" s="529"/>
      <c r="AL1338" s="529"/>
      <c r="AM1338" s="529"/>
      <c r="AN1338" s="529"/>
      <c r="AO1338" s="529"/>
    </row>
    <row r="1339" spans="1:41" s="519" customFormat="1" thickTop="1">
      <c r="A1339" s="47"/>
      <c r="B1339" s="40"/>
      <c r="C1339" s="47"/>
      <c r="E1339" s="41" t="s">
        <v>138</v>
      </c>
      <c r="F1339" s="41" t="s">
        <v>139</v>
      </c>
      <c r="G1339" s="47"/>
      <c r="H1339" s="47"/>
      <c r="I1339" s="47"/>
      <c r="J1339" s="47"/>
      <c r="K1339" s="47" t="s">
        <v>140</v>
      </c>
      <c r="L1339" s="774"/>
      <c r="M1339" s="47"/>
      <c r="N1339" s="47"/>
      <c r="O1339" s="48"/>
      <c r="P1339" s="47"/>
      <c r="Q1339"/>
      <c r="R1339"/>
      <c r="S1339"/>
      <c r="T1339" s="40"/>
      <c r="AG1339" s="627" t="s">
        <v>277</v>
      </c>
      <c r="AH1339" s="627" t="s">
        <v>278</v>
      </c>
      <c r="AI1339" s="627" t="s">
        <v>279</v>
      </c>
      <c r="AJ1339" s="627" t="s">
        <v>280</v>
      </c>
      <c r="AK1339" s="627" t="s">
        <v>281</v>
      </c>
      <c r="AM1339" s="628" t="s">
        <v>290</v>
      </c>
      <c r="AN1339" s="629" t="s">
        <v>291</v>
      </c>
      <c r="AO1339" s="520" t="s">
        <v>287</v>
      </c>
    </row>
    <row r="1340" spans="1:41" s="519" customFormat="1" ht="13.2">
      <c r="A1340" s="630">
        <v>2</v>
      </c>
      <c r="B1340" s="521" t="s">
        <v>312</v>
      </c>
      <c r="C1340" s="631"/>
      <c r="D1340" s="632" t="s">
        <v>699</v>
      </c>
      <c r="E1340" s="775">
        <f>IF(AND($A1340=0,$A$1="DIF"),0,ROUND(ROUND(SUMIF($L1342:$L1353,"SUBI",$E1342:$E1353)/$A1340,2)*$C$12,2))</f>
        <v>0</v>
      </c>
      <c r="F1340" s="776">
        <f>ROUND($A1340*$E1340,2)</f>
        <v>0</v>
      </c>
      <c r="G1340" s="635" t="s">
        <v>142</v>
      </c>
      <c r="H1340" s="636"/>
      <c r="I1340" s="637"/>
      <c r="J1340" s="636"/>
      <c r="K1340" s="777"/>
      <c r="L1340" s="778" t="s">
        <v>143</v>
      </c>
      <c r="M1340" s="638"/>
      <c r="N1340" s="638"/>
      <c r="O1340" s="638"/>
      <c r="P1340" s="638"/>
      <c r="Q1340" s="967" t="s">
        <v>867</v>
      </c>
      <c r="R1340"/>
      <c r="S1340"/>
      <c r="T1340" s="779" t="str">
        <f>IF(AND($R1359=0,$T1359=0),"0.00","mu :" &amp; ROUND($F1340/$C$12/($R1359+$T1359*$D$9),2))</f>
        <v>0.00</v>
      </c>
      <c r="W1340" s="522"/>
      <c r="AG1340" s="780">
        <f>IF(A1340=0,0,ROUND(SUM(AG1342:AG1359)/A1340,2))</f>
        <v>0</v>
      </c>
      <c r="AH1340" s="780">
        <f>$AG1340*$A1340</f>
        <v>0</v>
      </c>
      <c r="AI1340" s="780">
        <f>$E1340-$AG1340</f>
        <v>0</v>
      </c>
      <c r="AJ1340" s="780">
        <f>$A1340*$AI1340</f>
        <v>0</v>
      </c>
      <c r="AK1340" s="781">
        <f>ROUND(($AG1340+$AI1340)*$A1340,2)</f>
        <v>0</v>
      </c>
      <c r="AM1340" s="525">
        <f>ROUND(R1359,2)</f>
        <v>0</v>
      </c>
      <c r="AN1340" s="526">
        <f>ROUND(T1359,2)</f>
        <v>0</v>
      </c>
      <c r="AO1340" s="527">
        <f>ROUND(AM1340+AN1340,2)*A1340</f>
        <v>0</v>
      </c>
    </row>
    <row r="1341" spans="1:41" s="519" customFormat="1" ht="21.6" customHeight="1">
      <c r="A1341" s="782"/>
      <c r="B1341" s="783"/>
      <c r="C1341" s="631"/>
      <c r="D1341" s="784" t="s">
        <v>533</v>
      </c>
      <c r="F1341" s="636"/>
      <c r="G1341" s="636"/>
      <c r="H1341" s="636"/>
      <c r="I1341" s="637"/>
      <c r="J1341" s="636"/>
      <c r="K1341" s="636" t="s">
        <v>144</v>
      </c>
      <c r="L1341" s="785"/>
      <c r="M1341" s="636"/>
      <c r="N1341" s="636"/>
      <c r="O1341" s="636"/>
      <c r="P1341" s="636"/>
      <c r="Q1341" s="47"/>
      <c r="R1341" s="528"/>
      <c r="S1341" s="640"/>
      <c r="T1341" s="636"/>
    </row>
    <row r="1342" spans="1:41" s="519" customFormat="1" ht="12">
      <c r="A1342" s="849"/>
      <c r="B1342" s="850"/>
      <c r="C1342" s="641"/>
      <c r="D1342" s="811"/>
      <c r="E1342" s="851">
        <f>F1340/$C$12-SUMIF($L1339:$L1359,"SUBI",$E1339:$E1359)</f>
        <v>0</v>
      </c>
      <c r="F1342" s="852" t="s">
        <v>589</v>
      </c>
      <c r="G1342" s="790"/>
      <c r="H1342" s="790"/>
      <c r="I1342" s="791"/>
      <c r="J1342" s="790"/>
      <c r="K1342" s="790"/>
      <c r="L1342" s="792"/>
      <c r="M1342" s="793"/>
      <c r="N1342" s="793"/>
      <c r="O1342" s="793"/>
      <c r="P1342" s="793"/>
      <c r="Q1342" s="794"/>
      <c r="R1342" s="795"/>
      <c r="S1342" s="794"/>
      <c r="T1342" s="796"/>
    </row>
    <row r="1343" spans="1:41" s="519" customFormat="1" ht="12" customHeight="1">
      <c r="A1343" s="797"/>
      <c r="B1343" s="798"/>
      <c r="C1343" s="799"/>
      <c r="D1343" s="799" t="str">
        <f>$F$2</f>
        <v>Electrical</v>
      </c>
      <c r="E1343" s="799">
        <f>ROUND(($R1347*$S$2 + ($T1347*$T$2)), 2)</f>
        <v>0</v>
      </c>
      <c r="F1343" s="800">
        <f>$E1343*$C$12</f>
        <v>0</v>
      </c>
      <c r="G1343" s="528"/>
      <c r="H1343" s="801"/>
      <c r="I1343" s="528"/>
      <c r="J1343" s="48"/>
      <c r="K1343" s="802" t="s">
        <v>3</v>
      </c>
      <c r="L1343" s="803" t="s">
        <v>590</v>
      </c>
      <c r="M1343" s="528"/>
      <c r="N1343" s="528"/>
      <c r="O1343" s="48"/>
      <c r="P1343" s="528"/>
      <c r="Q1343" s="528"/>
      <c r="R1343"/>
      <c r="S1343"/>
      <c r="T1343"/>
    </row>
    <row r="1344" spans="1:41" s="519" customFormat="1" ht="14.4" customHeight="1">
      <c r="A1344" s="49"/>
      <c r="B1344" s="804" t="s">
        <v>591</v>
      </c>
      <c r="C1344" s="528"/>
      <c r="D1344" s="528"/>
      <c r="E1344" s="528"/>
      <c r="F1344" s="528"/>
      <c r="G1344" s="528"/>
      <c r="H1344" s="801"/>
      <c r="I1344" s="528"/>
      <c r="J1344" s="48"/>
      <c r="K1344" s="805"/>
      <c r="L1344" s="806"/>
      <c r="M1344" s="528"/>
      <c r="N1344" s="528"/>
      <c r="O1344" s="48"/>
      <c r="P1344" s="528"/>
      <c r="Q1344" s="528"/>
      <c r="R1344" s="807">
        <f>$A1344*Q1344</f>
        <v>0</v>
      </c>
      <c r="S1344" s="528"/>
      <c r="T1344" s="643">
        <f>$A1344*S1344*$T$1</f>
        <v>0</v>
      </c>
    </row>
    <row r="1345" spans="1:41" s="519" customFormat="1" ht="14.4" customHeight="1">
      <c r="A1345" s="49"/>
      <c r="B1345" s="528"/>
      <c r="C1345" s="528"/>
      <c r="D1345" s="528"/>
      <c r="E1345" s="528"/>
      <c r="F1345" s="528"/>
      <c r="G1345" s="528"/>
      <c r="H1345" s="801"/>
      <c r="I1345" s="528"/>
      <c r="J1345" s="48"/>
      <c r="K1345" s="805"/>
      <c r="L1345" s="806"/>
      <c r="M1345" s="528"/>
      <c r="N1345" s="528"/>
      <c r="O1345" s="48"/>
      <c r="P1345" s="528"/>
      <c r="Q1345" s="528"/>
      <c r="R1345" s="807">
        <f>$A1345*Q1345</f>
        <v>0</v>
      </c>
      <c r="S1345" s="528"/>
      <c r="T1345" s="643">
        <f>$A1345*S1345*$T$1</f>
        <v>0</v>
      </c>
    </row>
    <row r="1346" spans="1:41" s="519" customFormat="1" ht="14.4" customHeight="1">
      <c r="A1346" s="49"/>
      <c r="B1346" s="528"/>
      <c r="C1346" s="528"/>
      <c r="D1346" s="528"/>
      <c r="E1346" s="528"/>
      <c r="F1346" s="528"/>
      <c r="G1346" s="528"/>
      <c r="H1346" s="801"/>
      <c r="I1346" s="528"/>
      <c r="J1346" s="48"/>
      <c r="K1346" s="805"/>
      <c r="L1346" s="806"/>
      <c r="M1346" s="528"/>
      <c r="N1346" s="528"/>
      <c r="O1346" s="48"/>
      <c r="P1346" s="528"/>
      <c r="Q1346" s="528"/>
      <c r="R1346" s="807">
        <f>$A1346*Q1346</f>
        <v>0</v>
      </c>
      <c r="S1346" s="528"/>
      <c r="T1346" s="643">
        <f>$A1346*S1346*$T$1</f>
        <v>0</v>
      </c>
    </row>
    <row r="1347" spans="1:41" s="519" customFormat="1" ht="12">
      <c r="A1347" s="835" t="s">
        <v>145</v>
      </c>
      <c r="B1347" s="836">
        <f>(R1346+T1346)</f>
        <v>0</v>
      </c>
      <c r="C1347" s="790"/>
      <c r="G1347" s="810"/>
      <c r="H1347" s="810"/>
      <c r="I1347" s="810"/>
      <c r="J1347" s="810"/>
      <c r="K1347" s="811" t="s">
        <v>3</v>
      </c>
      <c r="L1347" s="812" t="s">
        <v>590</v>
      </c>
      <c r="M1347" s="810"/>
      <c r="N1347" s="810"/>
      <c r="O1347" s="810"/>
      <c r="P1347" s="810"/>
      <c r="Q1347" s="813"/>
      <c r="R1347" s="814">
        <f>SUM(R1343:R1346)</f>
        <v>0</v>
      </c>
      <c r="S1347" s="815"/>
      <c r="T1347" s="814">
        <f>SUM(T1343:T1346)</f>
        <v>0</v>
      </c>
      <c r="AG1347" s="816">
        <f>ROUND($R1347*$S$2,2)</f>
        <v>0</v>
      </c>
    </row>
    <row r="1348" spans="1:41" s="519" customFormat="1" ht="12" customHeight="1">
      <c r="A1348" s="797"/>
      <c r="B1348" s="853"/>
      <c r="C1348" s="854"/>
      <c r="D1348" s="855" t="str">
        <f>$F$3</f>
        <v>ECA</v>
      </c>
      <c r="E1348" s="855">
        <f>ROUND(($R1352*$S$3 + ($T1352*$T$3)), 2)</f>
        <v>0</v>
      </c>
      <c r="F1348" s="856">
        <f>$E1348*$C$12</f>
        <v>0</v>
      </c>
      <c r="G1348" s="518"/>
      <c r="H1348" s="518"/>
      <c r="I1348" s="518"/>
      <c r="J1348" s="518"/>
      <c r="K1348" s="802" t="s">
        <v>5</v>
      </c>
      <c r="L1348" s="803" t="s">
        <v>590</v>
      </c>
      <c r="M1348" s="518"/>
      <c r="N1348" s="518"/>
      <c r="O1348" s="518"/>
      <c r="P1348" s="518"/>
      <c r="Q1348" s="518"/>
      <c r="R1348" s="821"/>
      <c r="S1348" s="518"/>
      <c r="T1348" s="821"/>
    </row>
    <row r="1349" spans="1:41" s="834" customFormat="1" ht="15.6" customHeight="1">
      <c r="A1349" s="822"/>
      <c r="B1349" s="804" t="s">
        <v>592</v>
      </c>
      <c r="C1349" s="823"/>
      <c r="D1349" s="824"/>
      <c r="E1349" s="824"/>
      <c r="F1349" s="824"/>
      <c r="G1349" s="825"/>
      <c r="H1349" s="826"/>
      <c r="I1349" s="826"/>
      <c r="J1349" s="827"/>
      <c r="K1349" s="828"/>
      <c r="L1349" s="823"/>
      <c r="M1349" s="829"/>
      <c r="N1349" s="830"/>
      <c r="O1349" s="831"/>
      <c r="P1349" s="832"/>
      <c r="Q1349" s="833"/>
      <c r="R1349" s="807">
        <f>$A1349*Q1349</f>
        <v>0</v>
      </c>
      <c r="S1349" s="528"/>
      <c r="T1349" s="643">
        <f>$A1349*S1349*$T$1</f>
        <v>0</v>
      </c>
    </row>
    <row r="1350" spans="1:41" s="519" customFormat="1" ht="15.6" customHeight="1">
      <c r="A1350" s="49"/>
      <c r="B1350" s="528"/>
      <c r="C1350" s="528"/>
      <c r="D1350" s="528"/>
      <c r="E1350" s="528"/>
      <c r="F1350" s="528"/>
      <c r="G1350" s="528"/>
      <c r="H1350" s="528"/>
      <c r="I1350" s="528"/>
      <c r="J1350" s="528"/>
      <c r="K1350" s="528"/>
      <c r="L1350" s="806"/>
      <c r="M1350" s="528"/>
      <c r="N1350" s="528"/>
      <c r="O1350" s="528"/>
      <c r="P1350" s="528"/>
      <c r="Q1350" s="528"/>
      <c r="R1350" s="807">
        <f>$A1350*Q1350</f>
        <v>0</v>
      </c>
      <c r="S1350" s="528"/>
      <c r="T1350" s="643">
        <f>$A1350*S1350*$T$1</f>
        <v>0</v>
      </c>
    </row>
    <row r="1351" spans="1:41" s="519" customFormat="1" ht="15.6" customHeight="1">
      <c r="A1351" s="49"/>
      <c r="B1351" s="528"/>
      <c r="C1351" s="528"/>
      <c r="D1351" s="3"/>
      <c r="E1351" s="528"/>
      <c r="F1351" s="528"/>
      <c r="G1351" s="528"/>
      <c r="H1351" s="528"/>
      <c r="I1351" s="528"/>
      <c r="J1351" s="528"/>
      <c r="K1351" s="528"/>
      <c r="L1351" s="806"/>
      <c r="M1351" s="528"/>
      <c r="N1351" s="528"/>
      <c r="O1351" s="528"/>
      <c r="P1351" s="528"/>
      <c r="Q1351" s="528"/>
      <c r="R1351" s="807">
        <f>$A1351*Q1351</f>
        <v>0</v>
      </c>
      <c r="S1351" s="528"/>
      <c r="T1351" s="643">
        <f>$A1351*S1351*$T$1</f>
        <v>0</v>
      </c>
    </row>
    <row r="1352" spans="1:41" s="519" customFormat="1" ht="12">
      <c r="A1352" s="835" t="s">
        <v>145</v>
      </c>
      <c r="B1352" s="836">
        <f>(R1351+T1351)</f>
        <v>0</v>
      </c>
      <c r="C1352" s="790"/>
      <c r="G1352" s="810"/>
      <c r="H1352" s="810"/>
      <c r="I1352" s="810"/>
      <c r="J1352" s="810"/>
      <c r="K1352" s="838" t="s">
        <v>5</v>
      </c>
      <c r="L1352" s="812" t="s">
        <v>590</v>
      </c>
      <c r="M1352" s="810"/>
      <c r="N1352" s="810"/>
      <c r="O1352" s="810"/>
      <c r="P1352" s="810"/>
      <c r="Q1352" s="813"/>
      <c r="R1352" s="814">
        <f>SUM(R1348:R1351)</f>
        <v>0</v>
      </c>
      <c r="S1352" s="815"/>
      <c r="T1352" s="814">
        <f>SUM(T1348:T1351)</f>
        <v>0</v>
      </c>
      <c r="AG1352" s="840">
        <f>ROUND($R1352*$S$3,2)</f>
        <v>0</v>
      </c>
    </row>
    <row r="1353" spans="1:41" s="519" customFormat="1" ht="12" customHeight="1">
      <c r="A1353" s="817"/>
      <c r="B1353" s="857"/>
      <c r="C1353" s="858"/>
      <c r="D1353" s="859">
        <f>$F$4</f>
        <v>0</v>
      </c>
      <c r="E1353" s="859">
        <f>ROUND(($R1357*$S$4 + ($T1357*$T$4)), 2)</f>
        <v>0</v>
      </c>
      <c r="F1353" s="860">
        <f ca="1">$F1340-SUMIF($L1342:$P1350,"SUBI",$F1342:$F1350)</f>
        <v>0</v>
      </c>
      <c r="G1353" s="518"/>
      <c r="H1353" s="518"/>
      <c r="I1353" s="518"/>
      <c r="J1353" s="518"/>
      <c r="K1353" s="861" t="s">
        <v>8</v>
      </c>
      <c r="L1353" s="803" t="s">
        <v>590</v>
      </c>
      <c r="M1353" s="518"/>
      <c r="N1353" s="518"/>
      <c r="O1353" s="518"/>
      <c r="P1353" s="518"/>
      <c r="Q1353" s="518"/>
      <c r="R1353" s="821"/>
      <c r="S1353" s="518"/>
      <c r="T1353" s="821"/>
    </row>
    <row r="1354" spans="1:41" s="834" customFormat="1" ht="14.4" customHeight="1">
      <c r="A1354" s="822"/>
      <c r="B1354" s="804" t="s">
        <v>680</v>
      </c>
      <c r="C1354" s="823"/>
      <c r="D1354" s="824"/>
      <c r="E1354" s="824"/>
      <c r="F1354" s="824"/>
      <c r="G1354" s="825"/>
      <c r="H1354" s="826"/>
      <c r="I1354" s="826"/>
      <c r="J1354" s="827"/>
      <c r="K1354" s="828"/>
      <c r="L1354" s="823"/>
      <c r="M1354" s="829"/>
      <c r="N1354" s="830"/>
      <c r="O1354" s="862"/>
      <c r="P1354" s="832"/>
      <c r="Q1354" s="833"/>
      <c r="R1354" s="642">
        <f>$A1354*Q1354</f>
        <v>0</v>
      </c>
      <c r="S1354" s="833"/>
      <c r="T1354" s="643">
        <f>$A1354*S1354*$T$1</f>
        <v>0</v>
      </c>
    </row>
    <row r="1355" spans="1:41" s="519" customFormat="1" ht="12">
      <c r="A1355" s="47"/>
      <c r="B1355" s="641"/>
      <c r="C1355" s="641"/>
      <c r="D1355" s="863"/>
      <c r="E1355" s="843"/>
      <c r="F1355" s="518"/>
      <c r="G1355" s="518"/>
      <c r="H1355" s="518"/>
      <c r="I1355" s="518"/>
      <c r="J1355" s="518"/>
      <c r="K1355" s="518"/>
      <c r="L1355" s="864"/>
      <c r="M1355" s="518"/>
      <c r="N1355" s="518"/>
      <c r="O1355" s="518"/>
      <c r="P1355" s="518"/>
      <c r="Q1355" s="518"/>
      <c r="R1355" s="642">
        <f>$A1355*Q1355</f>
        <v>0</v>
      </c>
      <c r="S1355" s="518"/>
      <c r="T1355" s="643">
        <f>$A1355*S1355*$T$1</f>
        <v>0</v>
      </c>
    </row>
    <row r="1356" spans="1:41" s="519" customFormat="1" ht="12">
      <c r="A1356" s="47"/>
      <c r="B1356" s="641"/>
      <c r="C1356" s="641"/>
      <c r="D1356" s="863"/>
      <c r="E1356" s="843"/>
      <c r="F1356" s="518"/>
      <c r="G1356" s="518"/>
      <c r="H1356" s="518"/>
      <c r="I1356" s="518"/>
      <c r="J1356" s="518"/>
      <c r="K1356" s="518"/>
      <c r="L1356" s="864"/>
      <c r="M1356" s="518"/>
      <c r="N1356" s="518"/>
      <c r="O1356" s="518"/>
      <c r="P1356" s="518"/>
      <c r="Q1356" s="518"/>
      <c r="R1356" s="642">
        <f>$A1356*Q1356</f>
        <v>0</v>
      </c>
      <c r="S1356" s="518"/>
      <c r="T1356" s="643">
        <f>$A1356*S1356*$T$1</f>
        <v>0</v>
      </c>
    </row>
    <row r="1357" spans="1:41" s="519" customFormat="1" ht="12.75" customHeight="1">
      <c r="A1357" s="835" t="s">
        <v>145</v>
      </c>
      <c r="B1357" s="836">
        <f>(R1356+T1356)</f>
        <v>0</v>
      </c>
      <c r="C1357" s="837"/>
      <c r="D1357" s="837"/>
      <c r="E1357" s="837"/>
      <c r="F1357" s="837"/>
      <c r="G1357" s="813"/>
      <c r="H1357" s="813"/>
      <c r="I1357" s="813"/>
      <c r="J1357" s="813"/>
      <c r="K1357" s="838" t="s">
        <v>8</v>
      </c>
      <c r="L1357" s="839" t="s">
        <v>590</v>
      </c>
      <c r="M1357" s="813"/>
      <c r="N1357" s="813"/>
      <c r="O1357" s="813"/>
      <c r="P1357" s="813"/>
      <c r="Q1357" s="813"/>
      <c r="R1357" s="814">
        <f>SUM(R1353:R1356)</f>
        <v>0</v>
      </c>
      <c r="S1357" s="815"/>
      <c r="T1357" s="814">
        <f>SUM(T1353:T1356)</f>
        <v>0</v>
      </c>
      <c r="AG1357" s="865">
        <f>ROUND($R1357*$S$4,2)</f>
        <v>0</v>
      </c>
    </row>
    <row r="1358" spans="1:41" s="519" customFormat="1" ht="12.75" customHeight="1">
      <c r="A1358" s="841"/>
      <c r="B1358" s="842"/>
      <c r="E1358" s="641"/>
      <c r="F1358" s="843"/>
      <c r="G1358" s="641"/>
      <c r="H1358" s="641"/>
      <c r="I1358" s="518"/>
      <c r="J1358" s="641"/>
      <c r="K1358" s="641"/>
      <c r="L1358" s="844"/>
      <c r="M1358" s="652"/>
      <c r="N1358" s="652"/>
      <c r="O1358" s="652"/>
      <c r="P1358" s="652"/>
      <c r="Q1358" s="653"/>
      <c r="R1358" s="821"/>
      <c r="S1358" s="641"/>
      <c r="T1358" s="821"/>
    </row>
    <row r="1359" spans="1:41" s="519" customFormat="1" ht="13.5" customHeight="1" thickBot="1">
      <c r="A1359" s="845"/>
      <c r="B1359" s="846"/>
      <c r="C1359" s="529"/>
      <c r="D1359" s="529"/>
      <c r="E1359" s="646"/>
      <c r="F1359" s="647"/>
      <c r="G1359" s="646" t="s">
        <v>146</v>
      </c>
      <c r="H1359" s="646"/>
      <c r="I1359" s="648"/>
      <c r="J1359" s="646"/>
      <c r="K1359" s="646"/>
      <c r="L1359" s="847" t="s">
        <v>143</v>
      </c>
      <c r="M1359" s="649"/>
      <c r="N1359" s="649"/>
      <c r="O1359" s="649"/>
      <c r="P1359" s="649"/>
      <c r="Q1359" s="650"/>
      <c r="R1359" s="848">
        <f>SUMIF($L1341:$L1358,"SUBI",R1341:R1358)</f>
        <v>0</v>
      </c>
      <c r="S1359" s="866"/>
      <c r="T1359" s="848">
        <f>SUMIF($L1341:$L1358,"SUBI",T1341:T1358)</f>
        <v>0</v>
      </c>
      <c r="U1359" s="529"/>
      <c r="V1359" s="529"/>
      <c r="W1359" s="529"/>
      <c r="X1359" s="529"/>
      <c r="Y1359" s="529"/>
      <c r="Z1359" s="529"/>
      <c r="AA1359" s="529"/>
      <c r="AB1359" s="529"/>
      <c r="AC1359" s="529"/>
      <c r="AD1359" s="529"/>
      <c r="AE1359" s="529"/>
      <c r="AF1359" s="529"/>
      <c r="AG1359" s="529"/>
      <c r="AH1359" s="529"/>
      <c r="AI1359" s="529"/>
      <c r="AJ1359" s="529"/>
      <c r="AK1359" s="529"/>
      <c r="AL1359" s="529"/>
      <c r="AM1359" s="529"/>
      <c r="AN1359" s="529"/>
      <c r="AO1359" s="529"/>
    </row>
    <row r="1360" spans="1:41" s="519" customFormat="1" thickTop="1">
      <c r="A1360" s="47"/>
      <c r="B1360" s="40"/>
      <c r="C1360" s="47"/>
      <c r="E1360" s="41" t="s">
        <v>138</v>
      </c>
      <c r="F1360" s="41" t="s">
        <v>139</v>
      </c>
      <c r="G1360" s="47"/>
      <c r="H1360" s="47"/>
      <c r="I1360" s="47"/>
      <c r="J1360" s="47"/>
      <c r="K1360" s="47" t="s">
        <v>140</v>
      </c>
      <c r="L1360" s="774"/>
      <c r="M1360" s="47"/>
      <c r="N1360" s="47"/>
      <c r="O1360" s="48"/>
      <c r="P1360" s="47"/>
      <c r="Q1360"/>
      <c r="R1360"/>
      <c r="S1360"/>
      <c r="T1360" s="40"/>
      <c r="AG1360" s="627" t="s">
        <v>277</v>
      </c>
      <c r="AH1360" s="627" t="s">
        <v>278</v>
      </c>
      <c r="AI1360" s="627" t="s">
        <v>279</v>
      </c>
      <c r="AJ1360" s="627" t="s">
        <v>280</v>
      </c>
      <c r="AK1360" s="627" t="s">
        <v>281</v>
      </c>
      <c r="AM1360" s="628" t="s">
        <v>290</v>
      </c>
      <c r="AN1360" s="629" t="s">
        <v>291</v>
      </c>
      <c r="AO1360" s="520" t="s">
        <v>287</v>
      </c>
    </row>
    <row r="1361" spans="1:41" s="519" customFormat="1" ht="13.2">
      <c r="A1361" s="630">
        <v>5</v>
      </c>
      <c r="B1361" s="521" t="s">
        <v>312</v>
      </c>
      <c r="C1361" s="631"/>
      <c r="D1361" s="632" t="s">
        <v>935</v>
      </c>
      <c r="E1361" s="775">
        <f ca="1">IF(AND($A1361=0,$A$1="DIF"),0,ROUND(ROUND(SUMIF($L1363:$L1374,"SUBI",$E1363:$E1374)/$A1361,2)*$C$12,2))</f>
        <v>41.96</v>
      </c>
      <c r="F1361" s="776">
        <f ca="1">ROUND($A1361*$E1361,2)</f>
        <v>209.8</v>
      </c>
      <c r="G1361" s="635" t="s">
        <v>142</v>
      </c>
      <c r="H1361" s="636"/>
      <c r="I1361" s="637"/>
      <c r="J1361" s="636"/>
      <c r="K1361" s="777"/>
      <c r="L1361" s="778" t="s">
        <v>143</v>
      </c>
      <c r="M1361" s="638"/>
      <c r="N1361" s="638"/>
      <c r="O1361" s="638"/>
      <c r="P1361" s="638"/>
      <c r="Q1361" s="967"/>
      <c r="R1361"/>
      <c r="S1361"/>
      <c r="T1361" s="779" t="str">
        <f ca="1">IF(AND($R1380=0,$T1380=0),"0.00","mu :" &amp; ROUND($F1361/$C$12/($R1380+$T1380*$D$9),2))</f>
        <v>mu :1</v>
      </c>
      <c r="W1361" s="522"/>
      <c r="AG1361" s="780">
        <f ca="1">IF(A1361=0,0,ROUND(SUM(AG1363:AG1380)/A1361,2))</f>
        <v>12.3</v>
      </c>
      <c r="AH1361" s="780">
        <f ca="1">$AG1361*$A1361</f>
        <v>61.5</v>
      </c>
      <c r="AI1361" s="780">
        <f ca="1">$E1361-$AG1361</f>
        <v>29.66</v>
      </c>
      <c r="AJ1361" s="780">
        <f ca="1">$A1361*$AI1361</f>
        <v>148.30000000000001</v>
      </c>
      <c r="AK1361" s="781">
        <f ca="1">ROUND(($AG1361+$AI1361)*$A1361,2)</f>
        <v>209.8</v>
      </c>
      <c r="AM1361" s="525">
        <f ca="1">ROUND(R1380,2)</f>
        <v>61.5</v>
      </c>
      <c r="AN1361" s="526">
        <f ca="1">ROUND(T1380,2)</f>
        <v>5.4</v>
      </c>
      <c r="AO1361" s="527">
        <f ca="1">ROUND(AM1361+AN1361,2)*A1361</f>
        <v>334.5</v>
      </c>
    </row>
    <row r="1362" spans="1:41" s="519" customFormat="1" ht="21.6" customHeight="1">
      <c r="A1362" s="782"/>
      <c r="B1362" s="783"/>
      <c r="C1362" s="631"/>
      <c r="D1362" s="784" t="s">
        <v>534</v>
      </c>
      <c r="F1362" s="636"/>
      <c r="G1362" s="636"/>
      <c r="H1362" s="636"/>
      <c r="I1362" s="637"/>
      <c r="J1362" s="636"/>
      <c r="K1362" s="636" t="s">
        <v>144</v>
      </c>
      <c r="L1362" s="785"/>
      <c r="M1362" s="636"/>
      <c r="N1362" s="636"/>
      <c r="O1362" s="636"/>
      <c r="P1362" s="636"/>
      <c r="Q1362" s="47"/>
      <c r="R1362" s="528"/>
      <c r="S1362" s="640"/>
      <c r="T1362" s="636"/>
    </row>
    <row r="1363" spans="1:41" s="519" customFormat="1" ht="12">
      <c r="A1363" s="849"/>
      <c r="B1363" s="850"/>
      <c r="C1363" s="641"/>
      <c r="D1363" s="811"/>
      <c r="E1363" s="851">
        <f ca="1">F1361/$C$12-SUMIF($L1360:$L1380,"SUBI",$E1360:$E1380)</f>
        <v>2.0000000000010232E-2</v>
      </c>
      <c r="F1363" s="852" t="s">
        <v>589</v>
      </c>
      <c r="G1363" s="790"/>
      <c r="H1363" s="790"/>
      <c r="I1363" s="791"/>
      <c r="J1363" s="790"/>
      <c r="K1363" s="790"/>
      <c r="L1363" s="792"/>
      <c r="M1363" s="793"/>
      <c r="N1363" s="793"/>
      <c r="O1363" s="793"/>
      <c r="P1363" s="793"/>
      <c r="Q1363" s="794"/>
      <c r="R1363" s="795"/>
      <c r="S1363" s="794"/>
      <c r="T1363" s="796"/>
    </row>
    <row r="1364" spans="1:41" s="519" customFormat="1" ht="12" customHeight="1">
      <c r="A1364" s="797"/>
      <c r="B1364" s="798"/>
      <c r="C1364" s="799"/>
      <c r="D1364" s="799" t="str">
        <f>$F$2</f>
        <v>Electrical</v>
      </c>
      <c r="E1364" s="799">
        <f ca="1">ROUND(($R1368*$S$2 + ($T1368*$T$2)), 2)</f>
        <v>209.78</v>
      </c>
      <c r="F1364" s="800">
        <f ca="1">$E1364*$C$12</f>
        <v>209.78</v>
      </c>
      <c r="G1364" s="528"/>
      <c r="H1364" s="801"/>
      <c r="I1364" s="528"/>
      <c r="J1364" s="48"/>
      <c r="K1364" s="802" t="s">
        <v>3</v>
      </c>
      <c r="L1364" s="803" t="s">
        <v>590</v>
      </c>
      <c r="M1364" s="528"/>
      <c r="N1364" s="528"/>
      <c r="O1364" s="48"/>
      <c r="P1364" s="528"/>
      <c r="Q1364" s="528"/>
      <c r="R1364"/>
      <c r="S1364"/>
      <c r="T1364"/>
    </row>
    <row r="1365" spans="1:41" s="956" customFormat="1" ht="13.2">
      <c r="A1365"/>
      <c r="B1365" s="948"/>
      <c r="C1365" s="948" t="s">
        <v>742</v>
      </c>
      <c r="D1365" s="948" t="str">
        <f ca="1">CELL("Address",Elec_Rates!D$138)</f>
        <v>[ELM25_0085_Quintano_Elec_Mech_HVAC_Est_Rev_B.xlsx]Elec_Rates!$D$138</v>
      </c>
      <c r="E1365" s="949"/>
      <c r="F1365" s="949"/>
      <c r="G1365" s="950" t="s">
        <v>743</v>
      </c>
      <c r="H1365" s="950"/>
      <c r="I1365" s="950"/>
      <c r="J1365" s="950"/>
      <c r="K1365" s="951"/>
      <c r="L1365" s="949"/>
      <c r="M1365" s="949"/>
      <c r="N1365" s="949"/>
      <c r="O1365" s="952"/>
      <c r="P1365" s="949"/>
      <c r="Q1365" s="953"/>
      <c r="R1365" s="954"/>
      <c r="S1365" s="953"/>
      <c r="T1365" s="943"/>
      <c r="U1365" s="955"/>
    </row>
    <row r="1366" spans="1:41" s="956" customFormat="1" ht="11.4">
      <c r="A1366" s="957">
        <v>5</v>
      </c>
      <c r="B1366" s="958">
        <v>1</v>
      </c>
      <c r="C1366" s="958">
        <f>$A1366*$B1366</f>
        <v>5</v>
      </c>
      <c r="D1366" s="959" t="str">
        <f>Elec_Rates!$D$138</f>
        <v>000# Empty conduit for thermostat</v>
      </c>
      <c r="E1366" s="959"/>
      <c r="F1366" s="959" t="s">
        <v>744</v>
      </c>
      <c r="G1366" s="960" t="s">
        <v>760</v>
      </c>
      <c r="H1366" s="960"/>
      <c r="I1366" s="960"/>
      <c r="J1366" s="960"/>
      <c r="K1366" s="961"/>
      <c r="L1366" s="955"/>
      <c r="M1366" s="955"/>
      <c r="N1366" s="955"/>
      <c r="O1366" s="962"/>
      <c r="P1366" s="959"/>
      <c r="Q1366" s="963">
        <f ca="1">$B1366*Elec_Rates!$R$138</f>
        <v>12.3</v>
      </c>
      <c r="R1366" s="954">
        <f ca="1">$A1366*Q1366</f>
        <v>61.5</v>
      </c>
      <c r="S1366" s="963">
        <f ca="1">$B1366*Elec_Rates!$T$138</f>
        <v>1.08</v>
      </c>
      <c r="T1366" s="943">
        <f ca="1">$A1366*S1366</f>
        <v>5.4</v>
      </c>
      <c r="U1366" s="501"/>
    </row>
    <row r="1367" spans="1:41" s="519" customFormat="1" ht="14.4" customHeight="1">
      <c r="A1367" s="49"/>
      <c r="B1367" s="528"/>
      <c r="C1367" s="528"/>
      <c r="D1367" s="528"/>
      <c r="E1367" s="528"/>
      <c r="F1367" s="528"/>
      <c r="G1367" s="528"/>
      <c r="H1367" s="801"/>
      <c r="I1367" s="528"/>
      <c r="J1367" s="48"/>
      <c r="K1367" s="805"/>
      <c r="L1367" s="806"/>
      <c r="M1367" s="528"/>
      <c r="N1367" s="528"/>
      <c r="O1367" s="48"/>
      <c r="P1367" s="528"/>
      <c r="Q1367" s="528"/>
      <c r="R1367" s="807">
        <f>$A1367*Q1367</f>
        <v>0</v>
      </c>
      <c r="S1367" s="528"/>
      <c r="T1367" s="643">
        <f>$A1367*S1367*$T$1</f>
        <v>0</v>
      </c>
    </row>
    <row r="1368" spans="1:41" s="519" customFormat="1" ht="12">
      <c r="A1368" s="835" t="s">
        <v>145</v>
      </c>
      <c r="B1368" s="836">
        <f>(R1367+T1367)</f>
        <v>0</v>
      </c>
      <c r="C1368" s="790"/>
      <c r="G1368" s="810"/>
      <c r="H1368" s="810"/>
      <c r="I1368" s="810"/>
      <c r="J1368" s="810"/>
      <c r="K1368" s="811" t="s">
        <v>3</v>
      </c>
      <c r="L1368" s="812" t="s">
        <v>590</v>
      </c>
      <c r="M1368" s="810"/>
      <c r="N1368" s="810"/>
      <c r="O1368" s="810"/>
      <c r="P1368" s="810"/>
      <c r="Q1368" s="813"/>
      <c r="R1368" s="814">
        <f ca="1">SUM(R1364:R1367)</f>
        <v>61.5</v>
      </c>
      <c r="S1368" s="815"/>
      <c r="T1368" s="814">
        <f ca="1">SUM(T1364:T1367)</f>
        <v>5.4</v>
      </c>
      <c r="AG1368" s="816">
        <f ca="1">ROUND($R1368*$S$2,2)</f>
        <v>61.5</v>
      </c>
    </row>
    <row r="1369" spans="1:41" s="519" customFormat="1" ht="12" customHeight="1">
      <c r="A1369" s="797"/>
      <c r="B1369" s="853"/>
      <c r="C1369" s="854"/>
      <c r="D1369" s="855" t="str">
        <f>$F$3</f>
        <v>ECA</v>
      </c>
      <c r="E1369" s="855">
        <f>ROUND(($R1373*$S$3 + ($T1373*$T$3)), 2)</f>
        <v>0</v>
      </c>
      <c r="F1369" s="856">
        <f>$E1369*$C$12</f>
        <v>0</v>
      </c>
      <c r="G1369" s="518"/>
      <c r="H1369" s="518"/>
      <c r="I1369" s="518"/>
      <c r="J1369" s="518"/>
      <c r="K1369" s="802" t="s">
        <v>5</v>
      </c>
      <c r="L1369" s="803" t="s">
        <v>590</v>
      </c>
      <c r="M1369" s="518"/>
      <c r="N1369" s="518"/>
      <c r="O1369" s="518"/>
      <c r="P1369" s="518"/>
      <c r="Q1369" s="518"/>
      <c r="R1369" s="821"/>
      <c r="S1369" s="518"/>
      <c r="T1369" s="821"/>
    </row>
    <row r="1370" spans="1:41" s="834" customFormat="1" ht="15.6" customHeight="1">
      <c r="A1370" s="822"/>
      <c r="B1370" s="804" t="s">
        <v>592</v>
      </c>
      <c r="C1370" s="823"/>
      <c r="D1370" s="824"/>
      <c r="E1370" s="824"/>
      <c r="F1370" s="824"/>
      <c r="G1370" s="825"/>
      <c r="H1370" s="826"/>
      <c r="I1370" s="826"/>
      <c r="J1370" s="827"/>
      <c r="K1370" s="828"/>
      <c r="L1370" s="823"/>
      <c r="M1370" s="829"/>
      <c r="N1370" s="830"/>
      <c r="O1370" s="831"/>
      <c r="P1370" s="832"/>
      <c r="Q1370" s="833"/>
      <c r="R1370" s="807">
        <f>$A1370*Q1370</f>
        <v>0</v>
      </c>
      <c r="S1370" s="528"/>
      <c r="T1370" s="643">
        <f>$A1370*S1370*$T$1</f>
        <v>0</v>
      </c>
    </row>
    <row r="1371" spans="1:41" s="519" customFormat="1" ht="15.6" customHeight="1">
      <c r="A1371" s="49"/>
      <c r="B1371" s="528"/>
      <c r="C1371" s="528"/>
      <c r="D1371" s="528"/>
      <c r="E1371" s="528"/>
      <c r="F1371" s="528"/>
      <c r="G1371" s="528"/>
      <c r="H1371" s="528"/>
      <c r="I1371" s="528"/>
      <c r="J1371" s="528"/>
      <c r="K1371" s="528"/>
      <c r="L1371" s="806"/>
      <c r="M1371" s="528"/>
      <c r="N1371" s="528"/>
      <c r="O1371" s="528"/>
      <c r="P1371" s="528"/>
      <c r="Q1371" s="528"/>
      <c r="R1371" s="807">
        <f>$A1371*Q1371</f>
        <v>0</v>
      </c>
      <c r="S1371" s="528"/>
      <c r="T1371" s="643">
        <f>$A1371*S1371*$T$1</f>
        <v>0</v>
      </c>
    </row>
    <row r="1372" spans="1:41" s="519" customFormat="1" ht="15.6" customHeight="1">
      <c r="A1372" s="49"/>
      <c r="B1372" s="528"/>
      <c r="C1372" s="528"/>
      <c r="D1372" s="3"/>
      <c r="E1372" s="528"/>
      <c r="F1372" s="528"/>
      <c r="G1372" s="528"/>
      <c r="H1372" s="528"/>
      <c r="I1372" s="528"/>
      <c r="J1372" s="528"/>
      <c r="K1372" s="528"/>
      <c r="L1372" s="806"/>
      <c r="M1372" s="528"/>
      <c r="N1372" s="528"/>
      <c r="O1372" s="528"/>
      <c r="P1372" s="528"/>
      <c r="Q1372" s="528"/>
      <c r="R1372" s="807">
        <f>$A1372*Q1372</f>
        <v>0</v>
      </c>
      <c r="S1372" s="528"/>
      <c r="T1372" s="643">
        <f>$A1372*S1372*$T$1</f>
        <v>0</v>
      </c>
    </row>
    <row r="1373" spans="1:41" s="519" customFormat="1" ht="12">
      <c r="A1373" s="835" t="s">
        <v>145</v>
      </c>
      <c r="B1373" s="836">
        <f>(R1372+T1372)</f>
        <v>0</v>
      </c>
      <c r="C1373" s="790"/>
      <c r="G1373" s="810"/>
      <c r="H1373" s="810"/>
      <c r="I1373" s="810"/>
      <c r="J1373" s="810"/>
      <c r="K1373" s="838" t="s">
        <v>5</v>
      </c>
      <c r="L1373" s="812" t="s">
        <v>590</v>
      </c>
      <c r="M1373" s="810"/>
      <c r="N1373" s="810"/>
      <c r="O1373" s="810"/>
      <c r="P1373" s="810"/>
      <c r="Q1373" s="813"/>
      <c r="R1373" s="814">
        <f>SUM(R1369:R1372)</f>
        <v>0</v>
      </c>
      <c r="S1373" s="815"/>
      <c r="T1373" s="814">
        <f>SUM(T1369:T1372)</f>
        <v>0</v>
      </c>
      <c r="AG1373" s="840">
        <f>ROUND($R1373*$S$3,2)</f>
        <v>0</v>
      </c>
    </row>
    <row r="1374" spans="1:41" s="519" customFormat="1" ht="12" customHeight="1">
      <c r="A1374" s="817"/>
      <c r="B1374" s="857"/>
      <c r="C1374" s="858"/>
      <c r="D1374" s="859">
        <f>$F$4</f>
        <v>0</v>
      </c>
      <c r="E1374" s="859">
        <f>ROUND(($R1378*$S$4 + ($T1378*$T$4)), 2)</f>
        <v>0</v>
      </c>
      <c r="F1374" s="860">
        <f ca="1">$F1361-SUMIF($L1363:$P1371,"SUBI",$F1363:$F1371)</f>
        <v>2.0000000000010232E-2</v>
      </c>
      <c r="G1374" s="518"/>
      <c r="H1374" s="518"/>
      <c r="I1374" s="518"/>
      <c r="J1374" s="518"/>
      <c r="K1374" s="861" t="s">
        <v>8</v>
      </c>
      <c r="L1374" s="803" t="s">
        <v>590</v>
      </c>
      <c r="M1374" s="518"/>
      <c r="N1374" s="518"/>
      <c r="O1374" s="518"/>
      <c r="P1374" s="518"/>
      <c r="Q1374" s="518"/>
      <c r="R1374" s="821"/>
      <c r="S1374" s="518"/>
      <c r="T1374" s="821"/>
    </row>
    <row r="1375" spans="1:41" s="834" customFormat="1" ht="14.4" customHeight="1">
      <c r="A1375" s="822"/>
      <c r="B1375" s="804" t="s">
        <v>680</v>
      </c>
      <c r="C1375" s="823"/>
      <c r="D1375" s="824"/>
      <c r="E1375" s="824"/>
      <c r="F1375" s="824"/>
      <c r="G1375" s="825"/>
      <c r="H1375" s="826"/>
      <c r="I1375" s="826"/>
      <c r="J1375" s="827"/>
      <c r="K1375" s="828"/>
      <c r="L1375" s="823"/>
      <c r="M1375" s="829"/>
      <c r="N1375" s="830"/>
      <c r="O1375" s="862"/>
      <c r="P1375" s="832"/>
      <c r="Q1375" s="833"/>
      <c r="R1375" s="642">
        <f>$A1375*Q1375</f>
        <v>0</v>
      </c>
      <c r="S1375" s="833"/>
      <c r="T1375" s="643">
        <f>$A1375*S1375*$T$1</f>
        <v>0</v>
      </c>
    </row>
    <row r="1376" spans="1:41" s="519" customFormat="1" ht="12">
      <c r="A1376" s="47"/>
      <c r="B1376" s="641"/>
      <c r="C1376" s="641"/>
      <c r="D1376" s="863"/>
      <c r="E1376" s="843"/>
      <c r="F1376" s="518"/>
      <c r="G1376" s="518"/>
      <c r="H1376" s="518"/>
      <c r="I1376" s="518"/>
      <c r="J1376" s="518"/>
      <c r="K1376" s="518"/>
      <c r="L1376" s="864"/>
      <c r="M1376" s="518"/>
      <c r="N1376" s="518"/>
      <c r="O1376" s="518"/>
      <c r="P1376" s="518"/>
      <c r="Q1376" s="518"/>
      <c r="R1376" s="642">
        <f>$A1376*Q1376</f>
        <v>0</v>
      </c>
      <c r="S1376" s="518"/>
      <c r="T1376" s="643">
        <f>$A1376*S1376*$T$1</f>
        <v>0</v>
      </c>
    </row>
    <row r="1377" spans="1:41" s="519" customFormat="1" ht="12">
      <c r="A1377" s="47"/>
      <c r="B1377" s="641"/>
      <c r="C1377" s="641"/>
      <c r="D1377" s="863"/>
      <c r="E1377" s="843"/>
      <c r="F1377" s="518"/>
      <c r="G1377" s="518"/>
      <c r="H1377" s="518"/>
      <c r="I1377" s="518"/>
      <c r="J1377" s="518"/>
      <c r="K1377" s="518"/>
      <c r="L1377" s="864"/>
      <c r="M1377" s="518"/>
      <c r="N1377" s="518"/>
      <c r="O1377" s="518"/>
      <c r="P1377" s="518"/>
      <c r="Q1377" s="518"/>
      <c r="R1377" s="642">
        <f>$A1377*Q1377</f>
        <v>0</v>
      </c>
      <c r="S1377" s="518"/>
      <c r="T1377" s="643">
        <f>$A1377*S1377*$T$1</f>
        <v>0</v>
      </c>
    </row>
    <row r="1378" spans="1:41" s="519" customFormat="1" ht="12.75" customHeight="1">
      <c r="A1378" s="835" t="s">
        <v>145</v>
      </c>
      <c r="B1378" s="836">
        <f>(R1377+T1377)</f>
        <v>0</v>
      </c>
      <c r="C1378" s="837"/>
      <c r="D1378" s="837"/>
      <c r="E1378" s="837"/>
      <c r="F1378" s="837"/>
      <c r="G1378" s="813"/>
      <c r="H1378" s="813"/>
      <c r="I1378" s="813"/>
      <c r="J1378" s="813"/>
      <c r="K1378" s="838" t="s">
        <v>8</v>
      </c>
      <c r="L1378" s="839" t="s">
        <v>590</v>
      </c>
      <c r="M1378" s="813"/>
      <c r="N1378" s="813"/>
      <c r="O1378" s="813"/>
      <c r="P1378" s="813"/>
      <c r="Q1378" s="813"/>
      <c r="R1378" s="814">
        <f>SUM(R1374:R1377)</f>
        <v>0</v>
      </c>
      <c r="S1378" s="815"/>
      <c r="T1378" s="814">
        <f>SUM(T1374:T1377)</f>
        <v>0</v>
      </c>
      <c r="AG1378" s="865">
        <f>ROUND($R1378*$S$4,2)</f>
        <v>0</v>
      </c>
    </row>
    <row r="1379" spans="1:41" s="519" customFormat="1" ht="12.75" customHeight="1">
      <c r="A1379" s="841"/>
      <c r="B1379" s="842"/>
      <c r="E1379" s="641"/>
      <c r="F1379" s="843"/>
      <c r="G1379" s="641"/>
      <c r="H1379" s="641"/>
      <c r="I1379" s="518"/>
      <c r="J1379" s="641"/>
      <c r="K1379" s="641"/>
      <c r="L1379" s="844"/>
      <c r="M1379" s="652"/>
      <c r="N1379" s="652"/>
      <c r="O1379" s="652"/>
      <c r="P1379" s="652"/>
      <c r="Q1379" s="653"/>
      <c r="R1379" s="821"/>
      <c r="S1379" s="641"/>
      <c r="T1379" s="821"/>
    </row>
    <row r="1380" spans="1:41" s="519" customFormat="1" ht="13.5" customHeight="1" thickBot="1">
      <c r="A1380" s="845"/>
      <c r="B1380" s="846"/>
      <c r="C1380" s="529"/>
      <c r="D1380" s="529"/>
      <c r="E1380" s="646"/>
      <c r="F1380" s="647"/>
      <c r="G1380" s="646" t="s">
        <v>146</v>
      </c>
      <c r="H1380" s="646"/>
      <c r="I1380" s="648"/>
      <c r="J1380" s="646"/>
      <c r="K1380" s="646"/>
      <c r="L1380" s="847" t="s">
        <v>143</v>
      </c>
      <c r="M1380" s="649"/>
      <c r="N1380" s="649"/>
      <c r="O1380" s="649"/>
      <c r="P1380" s="649"/>
      <c r="Q1380" s="650"/>
      <c r="R1380" s="848">
        <f ca="1">SUMIF($L1362:$L1379,"SUBI",R1362:R1379)</f>
        <v>61.5</v>
      </c>
      <c r="S1380" s="866"/>
      <c r="T1380" s="848">
        <f ca="1">SUMIF($L1362:$L1379,"SUBI",T1362:T1379)</f>
        <v>5.4</v>
      </c>
      <c r="U1380" s="529"/>
      <c r="V1380" s="529"/>
      <c r="W1380" s="529"/>
      <c r="X1380" s="529"/>
      <c r="Y1380" s="529"/>
      <c r="Z1380" s="529"/>
      <c r="AA1380" s="529"/>
      <c r="AB1380" s="529"/>
      <c r="AC1380" s="529"/>
      <c r="AD1380" s="529"/>
      <c r="AE1380" s="529"/>
      <c r="AF1380" s="529"/>
      <c r="AG1380" s="529"/>
      <c r="AH1380" s="529"/>
      <c r="AI1380" s="529"/>
      <c r="AJ1380" s="529"/>
      <c r="AK1380" s="529"/>
      <c r="AL1380" s="529"/>
      <c r="AM1380" s="529"/>
      <c r="AN1380" s="529"/>
      <c r="AO1380" s="529"/>
    </row>
    <row r="1381" spans="1:41" s="519" customFormat="1" thickTop="1">
      <c r="A1381" s="47"/>
      <c r="B1381" s="47"/>
      <c r="C1381" s="3"/>
      <c r="D1381" s="3"/>
      <c r="E1381" s="47"/>
      <c r="F1381" s="47"/>
      <c r="G1381" s="47"/>
      <c r="H1381" s="47"/>
      <c r="I1381" s="47"/>
      <c r="J1381" s="47"/>
      <c r="K1381" s="47" t="s">
        <v>134</v>
      </c>
      <c r="L1381" s="47"/>
      <c r="M1381" s="47"/>
      <c r="N1381" s="47"/>
      <c r="O1381" s="48"/>
      <c r="P1381" s="47"/>
      <c r="Q1381" s="47"/>
      <c r="R1381" s="47"/>
      <c r="S1381" s="47"/>
      <c r="T1381" s="47"/>
    </row>
    <row r="1382" spans="1:41" s="519" customFormat="1" ht="12">
      <c r="A1382" s="47"/>
      <c r="B1382" s="47"/>
      <c r="C1382" s="47" t="s">
        <v>135</v>
      </c>
      <c r="D1382" s="36"/>
      <c r="E1382" s="47"/>
      <c r="F1382" s="47"/>
      <c r="G1382" s="47"/>
      <c r="H1382" s="47"/>
      <c r="I1382" s="47"/>
      <c r="J1382" s="47"/>
      <c r="K1382" s="47"/>
      <c r="L1382" s="47"/>
      <c r="M1382" s="47"/>
      <c r="N1382" s="47"/>
      <c r="O1382" s="48"/>
      <c r="P1382" s="47"/>
      <c r="Q1382" s="47"/>
      <c r="R1382" s="47"/>
      <c r="S1382" s="47"/>
      <c r="T1382" s="47"/>
    </row>
    <row r="1383" spans="1:41" s="519" customFormat="1" ht="12">
      <c r="A1383" s="47"/>
      <c r="B1383" s="47"/>
      <c r="C1383" s="47"/>
      <c r="D1383" s="36" t="s">
        <v>541</v>
      </c>
      <c r="E1383" s="47"/>
      <c r="F1383" s="47"/>
      <c r="G1383" s="47"/>
      <c r="H1383" s="47"/>
      <c r="I1383" s="47"/>
      <c r="J1383" s="47"/>
      <c r="K1383" s="47"/>
      <c r="L1383" s="47"/>
      <c r="M1383" s="47"/>
      <c r="N1383" s="47"/>
      <c r="O1383" s="48"/>
      <c r="P1383" s="47"/>
      <c r="Q1383" s="47"/>
      <c r="R1383" s="47"/>
      <c r="S1383" s="37"/>
      <c r="T1383" s="37"/>
    </row>
    <row r="1384" spans="1:41" s="3" customFormat="1" thickBot="1">
      <c r="A1384" s="529"/>
      <c r="O1384" s="99"/>
    </row>
    <row r="1385" spans="1:41" s="519" customFormat="1" thickTop="1">
      <c r="A1385" s="47"/>
      <c r="B1385" s="47"/>
      <c r="C1385" s="3"/>
      <c r="D1385" s="3"/>
      <c r="E1385" s="47"/>
      <c r="F1385" s="47"/>
      <c r="G1385" s="47"/>
      <c r="H1385" s="47"/>
      <c r="I1385" s="47"/>
      <c r="J1385" s="47"/>
      <c r="K1385" s="47" t="s">
        <v>134</v>
      </c>
      <c r="L1385" s="47"/>
      <c r="M1385" s="47"/>
      <c r="N1385" s="47"/>
      <c r="O1385" s="48"/>
      <c r="P1385" s="47"/>
      <c r="Q1385" s="47"/>
      <c r="R1385" s="47"/>
      <c r="S1385" s="47"/>
      <c r="T1385" s="47"/>
    </row>
    <row r="1386" spans="1:41" s="519" customFormat="1" ht="12">
      <c r="A1386" s="47"/>
      <c r="B1386" s="47"/>
      <c r="C1386" s="47" t="s">
        <v>135</v>
      </c>
      <c r="D1386" s="36"/>
      <c r="E1386" s="47"/>
      <c r="F1386" s="47"/>
      <c r="G1386" s="47"/>
      <c r="H1386" s="47"/>
      <c r="I1386" s="47"/>
      <c r="J1386" s="47"/>
      <c r="K1386" s="47"/>
      <c r="L1386" s="47"/>
      <c r="M1386" s="47"/>
      <c r="N1386" s="47"/>
      <c r="O1386" s="48"/>
      <c r="P1386" s="47"/>
      <c r="Q1386" s="47"/>
      <c r="R1386" s="47"/>
      <c r="S1386" s="47"/>
      <c r="T1386" s="47"/>
    </row>
    <row r="1387" spans="1:41" s="519" customFormat="1" ht="12">
      <c r="A1387" s="47"/>
      <c r="B1387" s="47"/>
      <c r="C1387" s="47"/>
      <c r="D1387" s="36" t="s">
        <v>542</v>
      </c>
      <c r="E1387" s="47"/>
      <c r="F1387" s="47"/>
      <c r="G1387" s="47"/>
      <c r="H1387" s="47"/>
      <c r="I1387" s="47"/>
      <c r="J1387" s="47"/>
      <c r="K1387" s="47"/>
      <c r="L1387" s="47"/>
      <c r="M1387" s="47"/>
      <c r="N1387" s="47"/>
      <c r="O1387" s="48"/>
      <c r="P1387" s="47"/>
      <c r="Q1387" s="47"/>
      <c r="R1387" s="47"/>
      <c r="S1387" s="37"/>
      <c r="T1387" s="37"/>
    </row>
    <row r="1388" spans="1:41" s="3" customFormat="1" thickBot="1">
      <c r="A1388" s="529"/>
      <c r="O1388" s="99"/>
    </row>
    <row r="1389" spans="1:41" s="519" customFormat="1" thickTop="1">
      <c r="A1389" s="47"/>
      <c r="B1389" s="47"/>
      <c r="C1389" s="3"/>
      <c r="D1389" s="3"/>
      <c r="E1389" s="47"/>
      <c r="F1389" s="47"/>
      <c r="G1389" s="47"/>
      <c r="H1389" s="47"/>
      <c r="I1389" s="47"/>
      <c r="J1389" s="47"/>
      <c r="K1389" s="47" t="s">
        <v>134</v>
      </c>
      <c r="L1389" s="47"/>
      <c r="M1389" s="47"/>
      <c r="N1389" s="47"/>
      <c r="O1389" s="48"/>
      <c r="P1389" s="47"/>
      <c r="Q1389" s="47"/>
      <c r="R1389" s="47"/>
      <c r="S1389" s="47"/>
      <c r="T1389" s="47"/>
    </row>
    <row r="1390" spans="1:41" s="519" customFormat="1" ht="12">
      <c r="A1390" s="47"/>
      <c r="B1390" s="47"/>
      <c r="C1390" s="47" t="s">
        <v>135</v>
      </c>
      <c r="D1390" s="36"/>
      <c r="E1390" s="47"/>
      <c r="F1390" s="47"/>
      <c r="G1390" s="47"/>
      <c r="H1390" s="47"/>
      <c r="I1390" s="47"/>
      <c r="J1390" s="47"/>
      <c r="K1390" s="47"/>
      <c r="L1390" s="47"/>
      <c r="M1390" s="47"/>
      <c r="N1390" s="47"/>
      <c r="O1390" s="48"/>
      <c r="P1390" s="47"/>
      <c r="Q1390" s="47"/>
      <c r="R1390" s="47"/>
      <c r="S1390" s="47"/>
      <c r="T1390" s="47"/>
    </row>
    <row r="1391" spans="1:41" s="519" customFormat="1" ht="39.9" customHeight="1">
      <c r="A1391" s="47"/>
      <c r="B1391" s="47"/>
      <c r="C1391" s="47"/>
      <c r="D1391" s="1081" t="s">
        <v>530</v>
      </c>
      <c r="E1391" s="1081"/>
      <c r="F1391" s="1081"/>
      <c r="G1391" s="1081"/>
      <c r="H1391" s="1081"/>
      <c r="I1391" s="1081"/>
      <c r="J1391" s="1081"/>
      <c r="K1391" s="1081"/>
      <c r="L1391" s="1081"/>
      <c r="M1391" s="1081"/>
      <c r="N1391" s="1081"/>
      <c r="O1391" s="1081"/>
      <c r="P1391" s="1081"/>
      <c r="Q1391" s="1081"/>
      <c r="R1391" s="1081"/>
      <c r="S1391" s="1081"/>
      <c r="T1391" s="1081"/>
    </row>
    <row r="1392" spans="1:41" s="3" customFormat="1" thickBot="1">
      <c r="A1392" s="529"/>
      <c r="O1392" s="99"/>
    </row>
    <row r="1393" spans="1:41" s="519" customFormat="1" thickTop="1">
      <c r="A1393" s="47"/>
      <c r="B1393" s="40"/>
      <c r="C1393" s="47"/>
      <c r="E1393" s="41" t="s">
        <v>138</v>
      </c>
      <c r="F1393" s="41" t="s">
        <v>139</v>
      </c>
      <c r="G1393" s="47"/>
      <c r="H1393" s="47"/>
      <c r="I1393" s="47"/>
      <c r="J1393" s="47"/>
      <c r="K1393" s="47" t="s">
        <v>140</v>
      </c>
      <c r="L1393" s="774"/>
      <c r="M1393" s="47"/>
      <c r="N1393" s="47"/>
      <c r="O1393" s="48"/>
      <c r="P1393" s="47"/>
      <c r="Q1393"/>
      <c r="R1393"/>
      <c r="S1393"/>
      <c r="T1393" s="40"/>
      <c r="AG1393" s="627" t="s">
        <v>277</v>
      </c>
      <c r="AH1393" s="627" t="s">
        <v>278</v>
      </c>
      <c r="AI1393" s="627" t="s">
        <v>279</v>
      </c>
      <c r="AJ1393" s="627" t="s">
        <v>280</v>
      </c>
      <c r="AK1393" s="627" t="s">
        <v>281</v>
      </c>
      <c r="AM1393" s="628" t="s">
        <v>290</v>
      </c>
      <c r="AN1393" s="629" t="s">
        <v>291</v>
      </c>
      <c r="AO1393" s="520" t="s">
        <v>287</v>
      </c>
    </row>
    <row r="1394" spans="1:41" s="519" customFormat="1" ht="13.2">
      <c r="A1394" s="630">
        <v>3</v>
      </c>
      <c r="B1394" s="521" t="s">
        <v>312</v>
      </c>
      <c r="C1394" s="631"/>
      <c r="D1394" s="632" t="s">
        <v>356</v>
      </c>
      <c r="E1394" s="775">
        <f>IF(AND($A1394=0,$A$1="DIF"),0,ROUND(ROUND(SUMIF($L1396:$L1407,"SUBI",$E1396:$E1407)/$A1394,2)*$C$12,2))</f>
        <v>0</v>
      </c>
      <c r="F1394" s="776">
        <f>ROUND($A1394*$E1394,2)</f>
        <v>0</v>
      </c>
      <c r="G1394" s="635" t="s">
        <v>142</v>
      </c>
      <c r="H1394" s="636"/>
      <c r="I1394" s="637"/>
      <c r="J1394" s="636"/>
      <c r="K1394" s="777"/>
      <c r="L1394" s="778" t="s">
        <v>143</v>
      </c>
      <c r="M1394" s="638"/>
      <c r="N1394" s="638"/>
      <c r="O1394" s="638"/>
      <c r="P1394" s="638"/>
      <c r="Q1394" s="967" t="s">
        <v>867</v>
      </c>
      <c r="R1394"/>
      <c r="S1394"/>
      <c r="T1394" s="779" t="str">
        <f>IF(AND($R1413=0,$T1413=0),"0.00","mu :" &amp; ROUND($F1394/$C$12/($R1413+$T1413*$D$9),2))</f>
        <v>0.00</v>
      </c>
      <c r="W1394" s="522"/>
      <c r="AG1394" s="780">
        <f>IF(A1394=0,0,ROUND(SUM(AG1396:AG1413)/A1394,2))</f>
        <v>0</v>
      </c>
      <c r="AH1394" s="780">
        <f>$AG1394*$A1394</f>
        <v>0</v>
      </c>
      <c r="AI1394" s="780">
        <f>$E1394-$AG1394</f>
        <v>0</v>
      </c>
      <c r="AJ1394" s="780">
        <f>$A1394*$AI1394</f>
        <v>0</v>
      </c>
      <c r="AK1394" s="781">
        <f>ROUND(($AG1394+$AI1394)*$A1394,2)</f>
        <v>0</v>
      </c>
      <c r="AM1394" s="525">
        <f>ROUND(R1413,2)</f>
        <v>0</v>
      </c>
      <c r="AN1394" s="526">
        <f>ROUND(T1413,2)</f>
        <v>0</v>
      </c>
      <c r="AO1394" s="527">
        <f>ROUND(AM1394+AN1394,2)*A1394</f>
        <v>0</v>
      </c>
    </row>
    <row r="1395" spans="1:41" s="519" customFormat="1" ht="21.6" customHeight="1">
      <c r="A1395" s="782"/>
      <c r="B1395" s="783"/>
      <c r="C1395" s="631"/>
      <c r="D1395" s="784" t="s">
        <v>543</v>
      </c>
      <c r="F1395" s="636"/>
      <c r="G1395" s="636"/>
      <c r="H1395" s="636"/>
      <c r="I1395" s="637"/>
      <c r="J1395" s="636"/>
      <c r="K1395" s="636" t="s">
        <v>144</v>
      </c>
      <c r="L1395" s="785"/>
      <c r="M1395" s="636"/>
      <c r="N1395" s="636"/>
      <c r="O1395" s="636"/>
      <c r="P1395" s="636"/>
      <c r="Q1395" s="47"/>
      <c r="R1395" s="528"/>
      <c r="S1395" s="640"/>
      <c r="T1395" s="636"/>
    </row>
    <row r="1396" spans="1:41" s="519" customFormat="1" ht="12">
      <c r="A1396" s="849"/>
      <c r="B1396" s="850"/>
      <c r="C1396" s="641"/>
      <c r="D1396" s="811"/>
      <c r="E1396" s="851">
        <f>F1394/$C$12-SUMIF($L1393:$L1413,"SUBI",$E1393:$E1413)</f>
        <v>0</v>
      </c>
      <c r="F1396" s="852" t="s">
        <v>589</v>
      </c>
      <c r="G1396" s="790"/>
      <c r="H1396" s="790"/>
      <c r="I1396" s="791"/>
      <c r="J1396" s="790"/>
      <c r="K1396" s="790"/>
      <c r="L1396" s="792"/>
      <c r="M1396" s="793"/>
      <c r="N1396" s="793"/>
      <c r="O1396" s="793"/>
      <c r="P1396" s="793"/>
      <c r="Q1396" s="794"/>
      <c r="R1396" s="795"/>
      <c r="S1396" s="794"/>
      <c r="T1396" s="796"/>
    </row>
    <row r="1397" spans="1:41" s="519" customFormat="1" ht="12" customHeight="1">
      <c r="A1397" s="797"/>
      <c r="B1397" s="798"/>
      <c r="C1397" s="799"/>
      <c r="D1397" s="799" t="str">
        <f>$F$2</f>
        <v>Electrical</v>
      </c>
      <c r="E1397" s="799">
        <f>ROUND(($R1401*$S$2 + ($T1401*$T$2)), 2)</f>
        <v>0</v>
      </c>
      <c r="F1397" s="800">
        <f>$E1397*$C$12</f>
        <v>0</v>
      </c>
      <c r="G1397" s="528"/>
      <c r="H1397" s="801"/>
      <c r="I1397" s="528"/>
      <c r="J1397" s="48"/>
      <c r="K1397" s="802" t="s">
        <v>3</v>
      </c>
      <c r="L1397" s="803" t="s">
        <v>590</v>
      </c>
      <c r="M1397" s="528"/>
      <c r="N1397" s="528"/>
      <c r="O1397" s="48"/>
      <c r="P1397" s="528"/>
      <c r="Q1397" s="528"/>
      <c r="R1397"/>
      <c r="S1397"/>
      <c r="T1397"/>
    </row>
    <row r="1398" spans="1:41" s="519" customFormat="1" ht="14.4" customHeight="1">
      <c r="A1398" s="49"/>
      <c r="B1398" s="804" t="s">
        <v>591</v>
      </c>
      <c r="C1398" s="528"/>
      <c r="D1398" s="528"/>
      <c r="E1398" s="528"/>
      <c r="F1398" s="528"/>
      <c r="G1398" s="528"/>
      <c r="H1398" s="801"/>
      <c r="I1398" s="528"/>
      <c r="J1398" s="48"/>
      <c r="K1398" s="805"/>
      <c r="L1398" s="806"/>
      <c r="M1398" s="528"/>
      <c r="N1398" s="528"/>
      <c r="O1398" s="48"/>
      <c r="P1398" s="528"/>
      <c r="Q1398" s="528"/>
      <c r="R1398" s="807">
        <f>$A1398*Q1398</f>
        <v>0</v>
      </c>
      <c r="S1398" s="528"/>
      <c r="T1398" s="643">
        <f>$A1398*S1398*$T$1</f>
        <v>0</v>
      </c>
    </row>
    <row r="1399" spans="1:41" s="519" customFormat="1" ht="14.4" customHeight="1">
      <c r="A1399" s="49"/>
      <c r="B1399" s="528"/>
      <c r="C1399" s="528"/>
      <c r="D1399" s="528"/>
      <c r="E1399" s="528"/>
      <c r="F1399" s="528"/>
      <c r="G1399" s="528"/>
      <c r="H1399" s="801"/>
      <c r="I1399" s="528"/>
      <c r="J1399" s="48"/>
      <c r="K1399" s="805"/>
      <c r="L1399" s="806"/>
      <c r="M1399" s="528"/>
      <c r="N1399" s="528"/>
      <c r="O1399" s="48"/>
      <c r="P1399" s="528"/>
      <c r="Q1399" s="528"/>
      <c r="R1399" s="807">
        <f>$A1399*Q1399</f>
        <v>0</v>
      </c>
      <c r="S1399" s="528"/>
      <c r="T1399" s="643">
        <f>$A1399*S1399*$T$1</f>
        <v>0</v>
      </c>
    </row>
    <row r="1400" spans="1:41" s="519" customFormat="1" ht="14.4" customHeight="1">
      <c r="A1400" s="49"/>
      <c r="B1400" s="528"/>
      <c r="C1400" s="528"/>
      <c r="D1400" s="528"/>
      <c r="E1400" s="528"/>
      <c r="F1400" s="528"/>
      <c r="G1400" s="528"/>
      <c r="H1400" s="801"/>
      <c r="I1400" s="528"/>
      <c r="J1400" s="48"/>
      <c r="K1400" s="805"/>
      <c r="L1400" s="806"/>
      <c r="M1400" s="528"/>
      <c r="N1400" s="528"/>
      <c r="O1400" s="48"/>
      <c r="P1400" s="528"/>
      <c r="Q1400" s="528"/>
      <c r="R1400" s="807">
        <f>$A1400*Q1400</f>
        <v>0</v>
      </c>
      <c r="S1400" s="528"/>
      <c r="T1400" s="643">
        <f>$A1400*S1400*$T$1</f>
        <v>0</v>
      </c>
    </row>
    <row r="1401" spans="1:41" s="519" customFormat="1" ht="12">
      <c r="A1401" s="835" t="s">
        <v>145</v>
      </c>
      <c r="B1401" s="836">
        <f>(R1400+T1400)</f>
        <v>0</v>
      </c>
      <c r="C1401" s="790"/>
      <c r="G1401" s="810"/>
      <c r="H1401" s="810"/>
      <c r="I1401" s="810"/>
      <c r="J1401" s="810"/>
      <c r="K1401" s="811" t="s">
        <v>3</v>
      </c>
      <c r="L1401" s="812" t="s">
        <v>590</v>
      </c>
      <c r="M1401" s="810"/>
      <c r="N1401" s="810"/>
      <c r="O1401" s="810"/>
      <c r="P1401" s="810"/>
      <c r="Q1401" s="813"/>
      <c r="R1401" s="814">
        <f>SUM(R1397:R1400)</f>
        <v>0</v>
      </c>
      <c r="S1401" s="815"/>
      <c r="T1401" s="814">
        <f>SUM(T1397:T1400)</f>
        <v>0</v>
      </c>
      <c r="AG1401" s="816">
        <f>ROUND($R1401*$S$2,2)</f>
        <v>0</v>
      </c>
    </row>
    <row r="1402" spans="1:41" s="519" customFormat="1" ht="12" customHeight="1">
      <c r="A1402" s="797"/>
      <c r="B1402" s="853"/>
      <c r="C1402" s="854"/>
      <c r="D1402" s="855" t="str">
        <f>$F$3</f>
        <v>ECA</v>
      </c>
      <c r="E1402" s="855">
        <f>ROUND(($R1406*$S$3 + ($T1406*$T$3)), 2)</f>
        <v>0</v>
      </c>
      <c r="F1402" s="856">
        <f>$E1402*$C$12</f>
        <v>0</v>
      </c>
      <c r="G1402" s="518"/>
      <c r="H1402" s="518"/>
      <c r="I1402" s="518"/>
      <c r="J1402" s="518"/>
      <c r="K1402" s="802" t="s">
        <v>5</v>
      </c>
      <c r="L1402" s="803" t="s">
        <v>590</v>
      </c>
      <c r="M1402" s="518"/>
      <c r="N1402" s="518"/>
      <c r="O1402" s="518"/>
      <c r="P1402" s="518"/>
      <c r="Q1402" s="518"/>
      <c r="R1402" s="821"/>
      <c r="S1402" s="518"/>
      <c r="T1402" s="821"/>
    </row>
    <row r="1403" spans="1:41" s="834" customFormat="1" ht="15.6" customHeight="1">
      <c r="A1403" s="822"/>
      <c r="B1403" s="804" t="s">
        <v>592</v>
      </c>
      <c r="C1403" s="823"/>
      <c r="D1403" s="824"/>
      <c r="E1403" s="824"/>
      <c r="F1403" s="824"/>
      <c r="G1403" s="825"/>
      <c r="H1403" s="826"/>
      <c r="I1403" s="826"/>
      <c r="J1403" s="827"/>
      <c r="K1403" s="828"/>
      <c r="L1403" s="823"/>
      <c r="M1403" s="829"/>
      <c r="N1403" s="830"/>
      <c r="O1403" s="831"/>
      <c r="P1403" s="832"/>
      <c r="Q1403" s="833"/>
      <c r="R1403" s="807">
        <f>$A1403*Q1403</f>
        <v>0</v>
      </c>
      <c r="S1403" s="528"/>
      <c r="T1403" s="643">
        <f>$A1403*S1403*$T$1</f>
        <v>0</v>
      </c>
    </row>
    <row r="1404" spans="1:41" s="519" customFormat="1" ht="15.6" customHeight="1">
      <c r="A1404" s="49"/>
      <c r="B1404" s="528"/>
      <c r="C1404" s="528"/>
      <c r="D1404" s="528"/>
      <c r="E1404" s="528"/>
      <c r="F1404" s="528"/>
      <c r="G1404" s="528"/>
      <c r="H1404" s="528"/>
      <c r="I1404" s="528"/>
      <c r="J1404" s="528"/>
      <c r="K1404" s="528"/>
      <c r="L1404" s="806"/>
      <c r="M1404" s="528"/>
      <c r="N1404" s="528"/>
      <c r="O1404" s="528"/>
      <c r="P1404" s="528"/>
      <c r="Q1404" s="528"/>
      <c r="R1404" s="807">
        <f>$A1404*Q1404</f>
        <v>0</v>
      </c>
      <c r="S1404" s="528"/>
      <c r="T1404" s="643">
        <f>$A1404*S1404*$T$1</f>
        <v>0</v>
      </c>
    </row>
    <row r="1405" spans="1:41" s="519" customFormat="1" ht="15.6" customHeight="1">
      <c r="A1405" s="49"/>
      <c r="B1405" s="528"/>
      <c r="C1405" s="528"/>
      <c r="D1405" s="3"/>
      <c r="E1405" s="528"/>
      <c r="F1405" s="528"/>
      <c r="G1405" s="528"/>
      <c r="H1405" s="528"/>
      <c r="I1405" s="528"/>
      <c r="J1405" s="528"/>
      <c r="K1405" s="528"/>
      <c r="L1405" s="806"/>
      <c r="M1405" s="528"/>
      <c r="N1405" s="528"/>
      <c r="O1405" s="528"/>
      <c r="P1405" s="528"/>
      <c r="Q1405" s="528"/>
      <c r="R1405" s="807">
        <f>$A1405*Q1405</f>
        <v>0</v>
      </c>
      <c r="S1405" s="528"/>
      <c r="T1405" s="643">
        <f>$A1405*S1405*$T$1</f>
        <v>0</v>
      </c>
    </row>
    <row r="1406" spans="1:41" s="519" customFormat="1" ht="12">
      <c r="A1406" s="835" t="s">
        <v>145</v>
      </c>
      <c r="B1406" s="836">
        <f>(R1405+T1405)</f>
        <v>0</v>
      </c>
      <c r="C1406" s="790"/>
      <c r="G1406" s="810"/>
      <c r="H1406" s="810"/>
      <c r="I1406" s="810"/>
      <c r="J1406" s="810"/>
      <c r="K1406" s="838" t="s">
        <v>5</v>
      </c>
      <c r="L1406" s="812" t="s">
        <v>590</v>
      </c>
      <c r="M1406" s="810"/>
      <c r="N1406" s="810"/>
      <c r="O1406" s="810"/>
      <c r="P1406" s="810"/>
      <c r="Q1406" s="813"/>
      <c r="R1406" s="814">
        <f>SUM(R1402:R1405)</f>
        <v>0</v>
      </c>
      <c r="S1406" s="815"/>
      <c r="T1406" s="814">
        <f>SUM(T1402:T1405)</f>
        <v>0</v>
      </c>
      <c r="AG1406" s="840">
        <f>ROUND($R1406*$S$3,2)</f>
        <v>0</v>
      </c>
    </row>
    <row r="1407" spans="1:41" s="519" customFormat="1" ht="12" customHeight="1">
      <c r="A1407" s="817"/>
      <c r="B1407" s="857"/>
      <c r="C1407" s="858"/>
      <c r="D1407" s="859">
        <f>$F$4</f>
        <v>0</v>
      </c>
      <c r="E1407" s="859">
        <f>ROUND(($R1411*$S$4 + ($T1411*$T$4)), 2)</f>
        <v>0</v>
      </c>
      <c r="F1407" s="860">
        <f ca="1">$F1394-SUMIF($L1396:$P1404,"SUBI",$F1396:$F1404)</f>
        <v>0</v>
      </c>
      <c r="G1407" s="518"/>
      <c r="H1407" s="518"/>
      <c r="I1407" s="518"/>
      <c r="J1407" s="518"/>
      <c r="K1407" s="861" t="s">
        <v>8</v>
      </c>
      <c r="L1407" s="803" t="s">
        <v>590</v>
      </c>
      <c r="M1407" s="518"/>
      <c r="N1407" s="518"/>
      <c r="O1407" s="518"/>
      <c r="P1407" s="518"/>
      <c r="Q1407" s="518"/>
      <c r="R1407" s="821"/>
      <c r="S1407" s="518"/>
      <c r="T1407" s="821"/>
    </row>
    <row r="1408" spans="1:41" s="834" customFormat="1" ht="14.4" customHeight="1">
      <c r="A1408" s="822"/>
      <c r="B1408" s="804" t="s">
        <v>680</v>
      </c>
      <c r="C1408" s="823"/>
      <c r="D1408" s="824"/>
      <c r="E1408" s="824"/>
      <c r="F1408" s="824"/>
      <c r="G1408" s="825"/>
      <c r="H1408" s="826"/>
      <c r="I1408" s="826"/>
      <c r="J1408" s="827"/>
      <c r="K1408" s="828"/>
      <c r="L1408" s="823"/>
      <c r="M1408" s="829"/>
      <c r="N1408" s="830"/>
      <c r="O1408" s="862"/>
      <c r="P1408" s="832"/>
      <c r="Q1408" s="833"/>
      <c r="R1408" s="642">
        <f>$A1408*Q1408</f>
        <v>0</v>
      </c>
      <c r="S1408" s="833"/>
      <c r="T1408" s="643">
        <f>$A1408*S1408*$T$1</f>
        <v>0</v>
      </c>
    </row>
    <row r="1409" spans="1:41" s="519" customFormat="1" ht="12">
      <c r="A1409" s="47"/>
      <c r="B1409" s="641"/>
      <c r="C1409" s="641"/>
      <c r="D1409" s="863"/>
      <c r="E1409" s="843"/>
      <c r="F1409" s="518"/>
      <c r="G1409" s="518"/>
      <c r="H1409" s="518"/>
      <c r="I1409" s="518"/>
      <c r="J1409" s="518"/>
      <c r="K1409" s="518"/>
      <c r="L1409" s="864"/>
      <c r="M1409" s="518"/>
      <c r="N1409" s="518"/>
      <c r="O1409" s="518"/>
      <c r="P1409" s="518"/>
      <c r="Q1409" s="518"/>
      <c r="R1409" s="642">
        <f>$A1409*Q1409</f>
        <v>0</v>
      </c>
      <c r="S1409" s="518"/>
      <c r="T1409" s="643">
        <f>$A1409*S1409*$T$1</f>
        <v>0</v>
      </c>
    </row>
    <row r="1410" spans="1:41" s="519" customFormat="1" ht="12">
      <c r="A1410" s="47"/>
      <c r="B1410" s="641"/>
      <c r="C1410" s="641"/>
      <c r="D1410" s="863"/>
      <c r="E1410" s="843"/>
      <c r="F1410" s="518"/>
      <c r="G1410" s="518"/>
      <c r="H1410" s="518"/>
      <c r="I1410" s="518"/>
      <c r="J1410" s="518"/>
      <c r="K1410" s="518"/>
      <c r="L1410" s="864"/>
      <c r="M1410" s="518"/>
      <c r="N1410" s="518"/>
      <c r="O1410" s="518"/>
      <c r="P1410" s="518"/>
      <c r="Q1410" s="518"/>
      <c r="R1410" s="642">
        <f>$A1410*Q1410</f>
        <v>0</v>
      </c>
      <c r="S1410" s="518"/>
      <c r="T1410" s="643">
        <f>$A1410*S1410*$T$1</f>
        <v>0</v>
      </c>
    </row>
    <row r="1411" spans="1:41" s="519" customFormat="1" ht="12.75" customHeight="1">
      <c r="A1411" s="835" t="s">
        <v>145</v>
      </c>
      <c r="B1411" s="836">
        <f>(R1410+T1410)</f>
        <v>0</v>
      </c>
      <c r="C1411" s="837"/>
      <c r="D1411" s="837"/>
      <c r="E1411" s="837"/>
      <c r="F1411" s="837"/>
      <c r="G1411" s="813"/>
      <c r="H1411" s="813"/>
      <c r="I1411" s="813"/>
      <c r="J1411" s="813"/>
      <c r="K1411" s="838" t="s">
        <v>8</v>
      </c>
      <c r="L1411" s="839" t="s">
        <v>590</v>
      </c>
      <c r="M1411" s="813"/>
      <c r="N1411" s="813"/>
      <c r="O1411" s="813"/>
      <c r="P1411" s="813"/>
      <c r="Q1411" s="813"/>
      <c r="R1411" s="814">
        <f>SUM(R1407:R1410)</f>
        <v>0</v>
      </c>
      <c r="S1411" s="815"/>
      <c r="T1411" s="814">
        <f>SUM(T1407:T1410)</f>
        <v>0</v>
      </c>
      <c r="AG1411" s="865">
        <f>ROUND($R1411*$S$4,2)</f>
        <v>0</v>
      </c>
    </row>
    <row r="1412" spans="1:41" s="519" customFormat="1" ht="12.75" customHeight="1">
      <c r="A1412" s="841"/>
      <c r="B1412" s="842"/>
      <c r="E1412" s="641"/>
      <c r="F1412" s="843"/>
      <c r="G1412" s="641"/>
      <c r="H1412" s="641"/>
      <c r="I1412" s="518"/>
      <c r="J1412" s="641"/>
      <c r="K1412" s="641"/>
      <c r="L1412" s="844"/>
      <c r="M1412" s="652"/>
      <c r="N1412" s="652"/>
      <c r="O1412" s="652"/>
      <c r="P1412" s="652"/>
      <c r="Q1412" s="653"/>
      <c r="R1412" s="821"/>
      <c r="S1412" s="641"/>
      <c r="T1412" s="821"/>
    </row>
    <row r="1413" spans="1:41" s="519" customFormat="1" ht="13.5" customHeight="1" thickBot="1">
      <c r="A1413" s="845"/>
      <c r="B1413" s="846"/>
      <c r="C1413" s="529"/>
      <c r="D1413" s="529"/>
      <c r="E1413" s="646"/>
      <c r="F1413" s="647"/>
      <c r="G1413" s="646" t="s">
        <v>146</v>
      </c>
      <c r="H1413" s="646"/>
      <c r="I1413" s="648"/>
      <c r="J1413" s="646"/>
      <c r="K1413" s="646"/>
      <c r="L1413" s="847" t="s">
        <v>143</v>
      </c>
      <c r="M1413" s="649"/>
      <c r="N1413" s="649"/>
      <c r="O1413" s="649"/>
      <c r="P1413" s="649"/>
      <c r="Q1413" s="650"/>
      <c r="R1413" s="848">
        <f>SUMIF($L1395:$L1412,"SUBI",R1395:R1412)</f>
        <v>0</v>
      </c>
      <c r="S1413" s="866"/>
      <c r="T1413" s="848">
        <f>SUMIF($L1395:$L1412,"SUBI",T1395:T1412)</f>
        <v>0</v>
      </c>
      <c r="U1413" s="529"/>
      <c r="V1413" s="529"/>
      <c r="W1413" s="529"/>
      <c r="X1413" s="529"/>
      <c r="Y1413" s="529"/>
      <c r="Z1413" s="529"/>
      <c r="AA1413" s="529"/>
      <c r="AB1413" s="529"/>
      <c r="AC1413" s="529"/>
      <c r="AD1413" s="529"/>
      <c r="AE1413" s="529"/>
      <c r="AF1413" s="529"/>
      <c r="AG1413" s="529"/>
      <c r="AH1413" s="529"/>
      <c r="AI1413" s="529"/>
      <c r="AJ1413" s="529"/>
      <c r="AK1413" s="529"/>
      <c r="AL1413" s="529"/>
      <c r="AM1413" s="529"/>
      <c r="AN1413" s="529"/>
      <c r="AO1413" s="529"/>
    </row>
    <row r="1414" spans="1:41" s="519" customFormat="1" thickTop="1">
      <c r="A1414" s="47"/>
      <c r="B1414" s="40"/>
      <c r="C1414" s="47"/>
      <c r="E1414" s="41" t="s">
        <v>138</v>
      </c>
      <c r="F1414" s="41" t="s">
        <v>139</v>
      </c>
      <c r="G1414" s="47"/>
      <c r="H1414" s="47"/>
      <c r="I1414" s="47"/>
      <c r="J1414" s="47"/>
      <c r="K1414" s="47" t="s">
        <v>140</v>
      </c>
      <c r="L1414" s="774"/>
      <c r="M1414" s="47"/>
      <c r="N1414" s="47"/>
      <c r="O1414" s="48"/>
      <c r="P1414" s="47"/>
      <c r="Q1414"/>
      <c r="R1414"/>
      <c r="S1414"/>
      <c r="T1414" s="40"/>
      <c r="AG1414" s="627" t="s">
        <v>277</v>
      </c>
      <c r="AH1414" s="627" t="s">
        <v>278</v>
      </c>
      <c r="AI1414" s="627" t="s">
        <v>279</v>
      </c>
      <c r="AJ1414" s="627" t="s">
        <v>280</v>
      </c>
      <c r="AK1414" s="627" t="s">
        <v>281</v>
      </c>
      <c r="AM1414" s="628" t="s">
        <v>290</v>
      </c>
      <c r="AN1414" s="629" t="s">
        <v>291</v>
      </c>
      <c r="AO1414" s="520" t="s">
        <v>287</v>
      </c>
    </row>
    <row r="1415" spans="1:41" s="519" customFormat="1" ht="13.2">
      <c r="A1415" s="630">
        <v>2</v>
      </c>
      <c r="B1415" s="521" t="s">
        <v>312</v>
      </c>
      <c r="C1415" s="631"/>
      <c r="D1415" s="632" t="s">
        <v>357</v>
      </c>
      <c r="E1415" s="775">
        <f>IF(AND($A1415=0,$A$1="DIF"),0,ROUND(ROUND(SUMIF($L1417:$L1428,"SUBI",$E1417:$E1428)/$A1415,2)*$C$12,2))</f>
        <v>0</v>
      </c>
      <c r="F1415" s="776">
        <f>ROUND($A1415*$E1415,2)</f>
        <v>0</v>
      </c>
      <c r="G1415" s="635" t="s">
        <v>142</v>
      </c>
      <c r="H1415" s="636"/>
      <c r="I1415" s="637"/>
      <c r="J1415" s="636"/>
      <c r="K1415" s="777"/>
      <c r="L1415" s="778" t="s">
        <v>143</v>
      </c>
      <c r="M1415" s="638"/>
      <c r="N1415" s="638"/>
      <c r="O1415" s="638"/>
      <c r="P1415" s="638"/>
      <c r="Q1415" s="967" t="s">
        <v>867</v>
      </c>
      <c r="R1415"/>
      <c r="S1415"/>
      <c r="T1415" s="779" t="str">
        <f>IF(AND($R1434=0,$T1434=0),"0.00","mu :" &amp; ROUND($F1415/$C$12/($R1434+$T1434*$D$9),2))</f>
        <v>0.00</v>
      </c>
      <c r="W1415" s="522"/>
      <c r="AG1415" s="780">
        <f>IF(A1415=0,0,ROUND(SUM(AG1417:AG1434)/A1415,2))</f>
        <v>0</v>
      </c>
      <c r="AH1415" s="780">
        <f>$AG1415*$A1415</f>
        <v>0</v>
      </c>
      <c r="AI1415" s="780">
        <f>$E1415-$AG1415</f>
        <v>0</v>
      </c>
      <c r="AJ1415" s="780">
        <f>$A1415*$AI1415</f>
        <v>0</v>
      </c>
      <c r="AK1415" s="781">
        <f>ROUND(($AG1415+$AI1415)*$A1415,2)</f>
        <v>0</v>
      </c>
      <c r="AM1415" s="525">
        <f>ROUND(R1434,2)</f>
        <v>0</v>
      </c>
      <c r="AN1415" s="526">
        <f>ROUND(T1434,2)</f>
        <v>0</v>
      </c>
      <c r="AO1415" s="527">
        <f>ROUND(AM1415+AN1415,2)*A1415</f>
        <v>0</v>
      </c>
    </row>
    <row r="1416" spans="1:41" s="519" customFormat="1" ht="21.6" customHeight="1">
      <c r="A1416" s="782"/>
      <c r="B1416" s="783"/>
      <c r="C1416" s="631"/>
      <c r="D1416" s="784" t="s">
        <v>531</v>
      </c>
      <c r="F1416" s="636"/>
      <c r="G1416" s="636"/>
      <c r="H1416" s="636"/>
      <c r="I1416" s="637"/>
      <c r="J1416" s="636"/>
      <c r="K1416" s="636" t="s">
        <v>144</v>
      </c>
      <c r="L1416" s="785"/>
      <c r="M1416" s="636"/>
      <c r="N1416" s="636"/>
      <c r="O1416" s="636"/>
      <c r="P1416" s="636"/>
      <c r="Q1416" s="47"/>
      <c r="R1416" s="528"/>
      <c r="S1416" s="640"/>
      <c r="T1416" s="636"/>
    </row>
    <row r="1417" spans="1:41" s="519" customFormat="1" ht="12">
      <c r="A1417" s="849"/>
      <c r="B1417" s="850"/>
      <c r="C1417" s="641"/>
      <c r="D1417" s="811"/>
      <c r="E1417" s="851">
        <f>F1415/$C$12-SUMIF($L1414:$L1434,"SUBI",$E1414:$E1434)</f>
        <v>0</v>
      </c>
      <c r="F1417" s="852" t="s">
        <v>589</v>
      </c>
      <c r="G1417" s="790"/>
      <c r="H1417" s="790"/>
      <c r="I1417" s="791"/>
      <c r="J1417" s="790"/>
      <c r="K1417" s="790"/>
      <c r="L1417" s="792"/>
      <c r="M1417" s="793"/>
      <c r="N1417" s="793"/>
      <c r="O1417" s="793"/>
      <c r="P1417" s="793"/>
      <c r="Q1417" s="794"/>
      <c r="R1417" s="795"/>
      <c r="S1417" s="794"/>
      <c r="T1417" s="796"/>
    </row>
    <row r="1418" spans="1:41" s="519" customFormat="1" ht="12" customHeight="1">
      <c r="A1418" s="797"/>
      <c r="B1418" s="798"/>
      <c r="C1418" s="799"/>
      <c r="D1418" s="799" t="str">
        <f>$F$2</f>
        <v>Electrical</v>
      </c>
      <c r="E1418" s="799">
        <f>ROUND(($R1422*$S$2 + ($T1422*$T$2)), 2)</f>
        <v>0</v>
      </c>
      <c r="F1418" s="800">
        <f>$E1418*$C$12</f>
        <v>0</v>
      </c>
      <c r="G1418" s="528"/>
      <c r="H1418" s="801"/>
      <c r="I1418" s="528"/>
      <c r="J1418" s="48"/>
      <c r="K1418" s="802" t="s">
        <v>3</v>
      </c>
      <c r="L1418" s="803" t="s">
        <v>590</v>
      </c>
      <c r="M1418" s="528"/>
      <c r="N1418" s="528"/>
      <c r="O1418" s="48"/>
      <c r="P1418" s="528"/>
      <c r="Q1418" s="528"/>
      <c r="R1418"/>
      <c r="S1418"/>
      <c r="T1418"/>
    </row>
    <row r="1419" spans="1:41" s="519" customFormat="1" ht="14.4" customHeight="1">
      <c r="A1419" s="49"/>
      <c r="B1419" s="804" t="s">
        <v>591</v>
      </c>
      <c r="C1419" s="528"/>
      <c r="D1419" s="528"/>
      <c r="E1419" s="528"/>
      <c r="F1419" s="528"/>
      <c r="G1419" s="528"/>
      <c r="H1419" s="801"/>
      <c r="I1419" s="528"/>
      <c r="J1419" s="48"/>
      <c r="K1419" s="805"/>
      <c r="L1419" s="806"/>
      <c r="M1419" s="528"/>
      <c r="N1419" s="528"/>
      <c r="O1419" s="48"/>
      <c r="P1419" s="528"/>
      <c r="Q1419" s="528"/>
      <c r="R1419" s="807">
        <f>$A1419*Q1419</f>
        <v>0</v>
      </c>
      <c r="S1419" s="528"/>
      <c r="T1419" s="643">
        <f>$A1419*S1419*$T$1</f>
        <v>0</v>
      </c>
    </row>
    <row r="1420" spans="1:41" s="519" customFormat="1" ht="14.4" customHeight="1">
      <c r="A1420" s="49"/>
      <c r="B1420" s="528"/>
      <c r="C1420" s="528"/>
      <c r="D1420" s="528"/>
      <c r="E1420" s="528"/>
      <c r="F1420" s="528"/>
      <c r="G1420" s="528"/>
      <c r="H1420" s="801"/>
      <c r="I1420" s="528"/>
      <c r="J1420" s="48"/>
      <c r="K1420" s="805"/>
      <c r="L1420" s="806"/>
      <c r="M1420" s="528"/>
      <c r="N1420" s="528"/>
      <c r="O1420" s="48"/>
      <c r="P1420" s="528"/>
      <c r="Q1420" s="528"/>
      <c r="R1420" s="807">
        <f>$A1420*Q1420</f>
        <v>0</v>
      </c>
      <c r="S1420" s="528"/>
      <c r="T1420" s="643">
        <f>$A1420*S1420*$T$1</f>
        <v>0</v>
      </c>
    </row>
    <row r="1421" spans="1:41" s="519" customFormat="1" ht="14.4" customHeight="1">
      <c r="A1421" s="49"/>
      <c r="B1421" s="528"/>
      <c r="C1421" s="528"/>
      <c r="D1421" s="528"/>
      <c r="E1421" s="528"/>
      <c r="F1421" s="528"/>
      <c r="G1421" s="528"/>
      <c r="H1421" s="801"/>
      <c r="I1421" s="528"/>
      <c r="J1421" s="48"/>
      <c r="K1421" s="805"/>
      <c r="L1421" s="806"/>
      <c r="M1421" s="528"/>
      <c r="N1421" s="528"/>
      <c r="O1421" s="48"/>
      <c r="P1421" s="528"/>
      <c r="Q1421" s="528"/>
      <c r="R1421" s="807">
        <f>$A1421*Q1421</f>
        <v>0</v>
      </c>
      <c r="S1421" s="528"/>
      <c r="T1421" s="643">
        <f>$A1421*S1421*$T$1</f>
        <v>0</v>
      </c>
    </row>
    <row r="1422" spans="1:41" s="519" customFormat="1" ht="12">
      <c r="A1422" s="835" t="s">
        <v>145</v>
      </c>
      <c r="B1422" s="836">
        <f>(R1421+T1421)</f>
        <v>0</v>
      </c>
      <c r="C1422" s="790"/>
      <c r="G1422" s="810"/>
      <c r="H1422" s="810"/>
      <c r="I1422" s="810"/>
      <c r="J1422" s="810"/>
      <c r="K1422" s="811" t="s">
        <v>3</v>
      </c>
      <c r="L1422" s="812" t="s">
        <v>590</v>
      </c>
      <c r="M1422" s="810"/>
      <c r="N1422" s="810"/>
      <c r="O1422" s="810"/>
      <c r="P1422" s="810"/>
      <c r="Q1422" s="813"/>
      <c r="R1422" s="814">
        <f>SUM(R1418:R1421)</f>
        <v>0</v>
      </c>
      <c r="S1422" s="815"/>
      <c r="T1422" s="814">
        <f>SUM(T1418:T1421)</f>
        <v>0</v>
      </c>
      <c r="AG1422" s="816">
        <f>ROUND($R1422*$S$2,2)</f>
        <v>0</v>
      </c>
    </row>
    <row r="1423" spans="1:41" s="519" customFormat="1" ht="12" customHeight="1">
      <c r="A1423" s="797"/>
      <c r="B1423" s="853"/>
      <c r="C1423" s="854"/>
      <c r="D1423" s="855" t="str">
        <f>$F$3</f>
        <v>ECA</v>
      </c>
      <c r="E1423" s="855">
        <f>ROUND(($R1427*$S$3 + ($T1427*$T$3)), 2)</f>
        <v>0</v>
      </c>
      <c r="F1423" s="856">
        <f>$E1423*$C$12</f>
        <v>0</v>
      </c>
      <c r="G1423" s="518"/>
      <c r="H1423" s="518"/>
      <c r="I1423" s="518"/>
      <c r="J1423" s="518"/>
      <c r="K1423" s="802" t="s">
        <v>5</v>
      </c>
      <c r="L1423" s="803" t="s">
        <v>590</v>
      </c>
      <c r="M1423" s="518"/>
      <c r="N1423" s="518"/>
      <c r="O1423" s="518"/>
      <c r="P1423" s="518"/>
      <c r="Q1423" s="518"/>
      <c r="R1423" s="821"/>
      <c r="S1423" s="518"/>
      <c r="T1423" s="821"/>
    </row>
    <row r="1424" spans="1:41" s="834" customFormat="1" ht="15.6" customHeight="1">
      <c r="A1424" s="822"/>
      <c r="B1424" s="804" t="s">
        <v>592</v>
      </c>
      <c r="C1424" s="823"/>
      <c r="D1424" s="824"/>
      <c r="E1424" s="824"/>
      <c r="F1424" s="824"/>
      <c r="G1424" s="825"/>
      <c r="H1424" s="826"/>
      <c r="I1424" s="826"/>
      <c r="J1424" s="827"/>
      <c r="K1424" s="828"/>
      <c r="L1424" s="823"/>
      <c r="M1424" s="829"/>
      <c r="N1424" s="830"/>
      <c r="O1424" s="831"/>
      <c r="P1424" s="832"/>
      <c r="Q1424" s="833"/>
      <c r="R1424" s="807">
        <f>$A1424*Q1424</f>
        <v>0</v>
      </c>
      <c r="S1424" s="528"/>
      <c r="T1424" s="643">
        <f>$A1424*S1424*$T$1</f>
        <v>0</v>
      </c>
    </row>
    <row r="1425" spans="1:41" s="519" customFormat="1" ht="15.6" customHeight="1">
      <c r="A1425" s="49"/>
      <c r="B1425" s="528"/>
      <c r="C1425" s="528"/>
      <c r="D1425" s="528"/>
      <c r="E1425" s="528"/>
      <c r="F1425" s="528"/>
      <c r="G1425" s="528"/>
      <c r="H1425" s="528"/>
      <c r="I1425" s="528"/>
      <c r="J1425" s="528"/>
      <c r="K1425" s="528"/>
      <c r="L1425" s="806"/>
      <c r="M1425" s="528"/>
      <c r="N1425" s="528"/>
      <c r="O1425" s="528"/>
      <c r="P1425" s="528"/>
      <c r="Q1425" s="528"/>
      <c r="R1425" s="807">
        <f>$A1425*Q1425</f>
        <v>0</v>
      </c>
      <c r="S1425" s="528"/>
      <c r="T1425" s="643">
        <f>$A1425*S1425*$T$1</f>
        <v>0</v>
      </c>
    </row>
    <row r="1426" spans="1:41" s="519" customFormat="1" ht="15.6" customHeight="1">
      <c r="A1426" s="49"/>
      <c r="B1426" s="528"/>
      <c r="C1426" s="528"/>
      <c r="D1426" s="3"/>
      <c r="E1426" s="528"/>
      <c r="F1426" s="528"/>
      <c r="G1426" s="528"/>
      <c r="H1426" s="528"/>
      <c r="I1426" s="528"/>
      <c r="J1426" s="528"/>
      <c r="K1426" s="528"/>
      <c r="L1426" s="806"/>
      <c r="M1426" s="528"/>
      <c r="N1426" s="528"/>
      <c r="O1426" s="528"/>
      <c r="P1426" s="528"/>
      <c r="Q1426" s="528"/>
      <c r="R1426" s="807">
        <f>$A1426*Q1426</f>
        <v>0</v>
      </c>
      <c r="S1426" s="528"/>
      <c r="T1426" s="643">
        <f>$A1426*S1426*$T$1</f>
        <v>0</v>
      </c>
    </row>
    <row r="1427" spans="1:41" s="519" customFormat="1" ht="12">
      <c r="A1427" s="835" t="s">
        <v>145</v>
      </c>
      <c r="B1427" s="836">
        <f>(R1426+T1426)</f>
        <v>0</v>
      </c>
      <c r="C1427" s="790"/>
      <c r="G1427" s="810"/>
      <c r="H1427" s="810"/>
      <c r="I1427" s="810"/>
      <c r="J1427" s="810"/>
      <c r="K1427" s="838" t="s">
        <v>5</v>
      </c>
      <c r="L1427" s="812" t="s">
        <v>590</v>
      </c>
      <c r="M1427" s="810"/>
      <c r="N1427" s="810"/>
      <c r="O1427" s="810"/>
      <c r="P1427" s="810"/>
      <c r="Q1427" s="813"/>
      <c r="R1427" s="814">
        <f>SUM(R1423:R1426)</f>
        <v>0</v>
      </c>
      <c r="S1427" s="815"/>
      <c r="T1427" s="814">
        <f>SUM(T1423:T1426)</f>
        <v>0</v>
      </c>
      <c r="AG1427" s="840">
        <f>ROUND($R1427*$S$3,2)</f>
        <v>0</v>
      </c>
    </row>
    <row r="1428" spans="1:41" s="519" customFormat="1" ht="12" customHeight="1">
      <c r="A1428" s="817"/>
      <c r="B1428" s="857"/>
      <c r="C1428" s="858"/>
      <c r="D1428" s="859">
        <f>$F$4</f>
        <v>0</v>
      </c>
      <c r="E1428" s="859">
        <f>ROUND(($R1432*$S$4 + ($T1432*$T$4)), 2)</f>
        <v>0</v>
      </c>
      <c r="F1428" s="860">
        <f ca="1">$F1415-SUMIF($L1417:$P1425,"SUBI",$F1417:$F1425)</f>
        <v>0</v>
      </c>
      <c r="G1428" s="518"/>
      <c r="H1428" s="518"/>
      <c r="I1428" s="518"/>
      <c r="J1428" s="518"/>
      <c r="K1428" s="861" t="s">
        <v>8</v>
      </c>
      <c r="L1428" s="803" t="s">
        <v>590</v>
      </c>
      <c r="M1428" s="518"/>
      <c r="N1428" s="518"/>
      <c r="O1428" s="518"/>
      <c r="P1428" s="518"/>
      <c r="Q1428" s="518"/>
      <c r="R1428" s="821"/>
      <c r="S1428" s="518"/>
      <c r="T1428" s="821"/>
    </row>
    <row r="1429" spans="1:41" s="834" customFormat="1" ht="14.4" customHeight="1">
      <c r="A1429" s="822"/>
      <c r="B1429" s="804" t="s">
        <v>680</v>
      </c>
      <c r="C1429" s="823"/>
      <c r="D1429" s="824"/>
      <c r="E1429" s="824"/>
      <c r="F1429" s="824"/>
      <c r="G1429" s="825"/>
      <c r="H1429" s="826"/>
      <c r="I1429" s="826"/>
      <c r="J1429" s="827"/>
      <c r="K1429" s="828"/>
      <c r="L1429" s="823"/>
      <c r="M1429" s="829"/>
      <c r="N1429" s="830"/>
      <c r="O1429" s="862"/>
      <c r="P1429" s="832"/>
      <c r="Q1429" s="833"/>
      <c r="R1429" s="642">
        <f>$A1429*Q1429</f>
        <v>0</v>
      </c>
      <c r="S1429" s="833"/>
      <c r="T1429" s="643">
        <f>$A1429*S1429*$T$1</f>
        <v>0</v>
      </c>
    </row>
    <row r="1430" spans="1:41" s="519" customFormat="1" ht="12">
      <c r="A1430" s="47"/>
      <c r="B1430" s="641"/>
      <c r="C1430" s="641"/>
      <c r="D1430" s="863"/>
      <c r="E1430" s="843"/>
      <c r="F1430" s="518"/>
      <c r="G1430" s="518"/>
      <c r="H1430" s="518"/>
      <c r="I1430" s="518"/>
      <c r="J1430" s="518"/>
      <c r="K1430" s="518"/>
      <c r="L1430" s="864"/>
      <c r="M1430" s="518"/>
      <c r="N1430" s="518"/>
      <c r="O1430" s="518"/>
      <c r="P1430" s="518"/>
      <c r="Q1430" s="518"/>
      <c r="R1430" s="642">
        <f>$A1430*Q1430</f>
        <v>0</v>
      </c>
      <c r="S1430" s="518"/>
      <c r="T1430" s="643">
        <f>$A1430*S1430*$T$1</f>
        <v>0</v>
      </c>
    </row>
    <row r="1431" spans="1:41" s="519" customFormat="1" ht="12">
      <c r="A1431" s="47"/>
      <c r="B1431" s="641"/>
      <c r="C1431" s="641"/>
      <c r="D1431" s="863"/>
      <c r="E1431" s="843"/>
      <c r="F1431" s="518"/>
      <c r="G1431" s="518"/>
      <c r="H1431" s="518"/>
      <c r="I1431" s="518"/>
      <c r="J1431" s="518"/>
      <c r="K1431" s="518"/>
      <c r="L1431" s="864"/>
      <c r="M1431" s="518"/>
      <c r="N1431" s="518"/>
      <c r="O1431" s="518"/>
      <c r="P1431" s="518"/>
      <c r="Q1431" s="518"/>
      <c r="R1431" s="642">
        <f>$A1431*Q1431</f>
        <v>0</v>
      </c>
      <c r="S1431" s="518"/>
      <c r="T1431" s="643">
        <f>$A1431*S1431*$T$1</f>
        <v>0</v>
      </c>
    </row>
    <row r="1432" spans="1:41" s="519" customFormat="1" ht="12.75" customHeight="1">
      <c r="A1432" s="835" t="s">
        <v>145</v>
      </c>
      <c r="B1432" s="836">
        <f>(R1431+T1431)</f>
        <v>0</v>
      </c>
      <c r="C1432" s="837"/>
      <c r="D1432" s="837"/>
      <c r="E1432" s="837"/>
      <c r="F1432" s="837"/>
      <c r="G1432" s="813"/>
      <c r="H1432" s="813"/>
      <c r="I1432" s="813"/>
      <c r="J1432" s="813"/>
      <c r="K1432" s="838" t="s">
        <v>8</v>
      </c>
      <c r="L1432" s="839" t="s">
        <v>590</v>
      </c>
      <c r="M1432" s="813"/>
      <c r="N1432" s="813"/>
      <c r="O1432" s="813"/>
      <c r="P1432" s="813"/>
      <c r="Q1432" s="813"/>
      <c r="R1432" s="814">
        <f>SUM(R1428:R1431)</f>
        <v>0</v>
      </c>
      <c r="S1432" s="815"/>
      <c r="T1432" s="814">
        <f>SUM(T1428:T1431)</f>
        <v>0</v>
      </c>
      <c r="AG1432" s="865">
        <f>ROUND($R1432*$S$4,2)</f>
        <v>0</v>
      </c>
    </row>
    <row r="1433" spans="1:41" s="519" customFormat="1" ht="12.75" customHeight="1">
      <c r="A1433" s="841"/>
      <c r="B1433" s="842"/>
      <c r="E1433" s="641"/>
      <c r="F1433" s="843"/>
      <c r="G1433" s="641"/>
      <c r="H1433" s="641"/>
      <c r="I1433" s="518"/>
      <c r="J1433" s="641"/>
      <c r="K1433" s="641"/>
      <c r="L1433" s="844"/>
      <c r="M1433" s="652"/>
      <c r="N1433" s="652"/>
      <c r="O1433" s="652"/>
      <c r="P1433" s="652"/>
      <c r="Q1433" s="653"/>
      <c r="R1433" s="821"/>
      <c r="S1433" s="641"/>
      <c r="T1433" s="821"/>
    </row>
    <row r="1434" spans="1:41" s="519" customFormat="1" ht="13.5" customHeight="1" thickBot="1">
      <c r="A1434" s="845"/>
      <c r="B1434" s="846"/>
      <c r="C1434" s="529"/>
      <c r="D1434" s="529"/>
      <c r="E1434" s="646"/>
      <c r="F1434" s="647"/>
      <c r="G1434" s="646" t="s">
        <v>146</v>
      </c>
      <c r="H1434" s="646"/>
      <c r="I1434" s="648"/>
      <c r="J1434" s="646"/>
      <c r="K1434" s="646"/>
      <c r="L1434" s="847" t="s">
        <v>143</v>
      </c>
      <c r="M1434" s="649"/>
      <c r="N1434" s="649"/>
      <c r="O1434" s="649"/>
      <c r="P1434" s="649"/>
      <c r="Q1434" s="650"/>
      <c r="R1434" s="848">
        <f>SUMIF($L1416:$L1433,"SUBI",R1416:R1433)</f>
        <v>0</v>
      </c>
      <c r="S1434" s="866"/>
      <c r="T1434" s="848">
        <f>SUMIF($L1416:$L1433,"SUBI",T1416:T1433)</f>
        <v>0</v>
      </c>
      <c r="U1434" s="529"/>
      <c r="V1434" s="529"/>
      <c r="W1434" s="529"/>
      <c r="X1434" s="529"/>
      <c r="Y1434" s="529"/>
      <c r="Z1434" s="529"/>
      <c r="AA1434" s="529"/>
      <c r="AB1434" s="529"/>
      <c r="AC1434" s="529"/>
      <c r="AD1434" s="529"/>
      <c r="AE1434" s="529"/>
      <c r="AF1434" s="529"/>
      <c r="AG1434" s="529"/>
      <c r="AH1434" s="529"/>
      <c r="AI1434" s="529"/>
      <c r="AJ1434" s="529"/>
      <c r="AK1434" s="529"/>
      <c r="AL1434" s="529"/>
      <c r="AM1434" s="529"/>
      <c r="AN1434" s="529"/>
      <c r="AO1434" s="529"/>
    </row>
    <row r="1435" spans="1:41" s="519" customFormat="1" thickTop="1">
      <c r="A1435" s="47"/>
      <c r="B1435" s="40"/>
      <c r="C1435" s="47"/>
      <c r="E1435" s="41" t="s">
        <v>138</v>
      </c>
      <c r="F1435" s="41" t="s">
        <v>139</v>
      </c>
      <c r="G1435" s="47"/>
      <c r="H1435" s="47"/>
      <c r="I1435" s="47"/>
      <c r="J1435" s="47"/>
      <c r="K1435" s="47" t="s">
        <v>140</v>
      </c>
      <c r="L1435" s="774"/>
      <c r="M1435" s="47"/>
      <c r="N1435" s="47"/>
      <c r="O1435" s="48"/>
      <c r="P1435" s="47"/>
      <c r="Q1435"/>
      <c r="R1435"/>
      <c r="S1435"/>
      <c r="T1435" s="40"/>
      <c r="AG1435" s="627" t="s">
        <v>277</v>
      </c>
      <c r="AH1435" s="627" t="s">
        <v>278</v>
      </c>
      <c r="AI1435" s="627" t="s">
        <v>279</v>
      </c>
      <c r="AJ1435" s="627" t="s">
        <v>280</v>
      </c>
      <c r="AK1435" s="627" t="s">
        <v>281</v>
      </c>
      <c r="AM1435" s="628" t="s">
        <v>290</v>
      </c>
      <c r="AN1435" s="629" t="s">
        <v>291</v>
      </c>
      <c r="AO1435" s="520" t="s">
        <v>287</v>
      </c>
    </row>
    <row r="1436" spans="1:41" s="519" customFormat="1" ht="13.2">
      <c r="A1436" s="630">
        <v>1</v>
      </c>
      <c r="B1436" s="521" t="s">
        <v>312</v>
      </c>
      <c r="C1436" s="631"/>
      <c r="D1436" s="632" t="s">
        <v>358</v>
      </c>
      <c r="E1436" s="775">
        <f>IF(AND($A1436=0,$A$1="DIF"),0,ROUND(ROUND(SUMIF($L1438:$L1449,"SUBI",$E1438:$E1449)/$A1436,2)*$C$12,2))</f>
        <v>0</v>
      </c>
      <c r="F1436" s="776">
        <f>ROUND($A1436*$E1436,2)</f>
        <v>0</v>
      </c>
      <c r="G1436" s="635" t="s">
        <v>142</v>
      </c>
      <c r="H1436" s="636"/>
      <c r="I1436" s="637"/>
      <c r="J1436" s="636"/>
      <c r="K1436" s="777"/>
      <c r="L1436" s="778" t="s">
        <v>143</v>
      </c>
      <c r="M1436" s="638"/>
      <c r="N1436" s="638"/>
      <c r="O1436" s="638"/>
      <c r="P1436" s="638"/>
      <c r="Q1436" s="967" t="s">
        <v>867</v>
      </c>
      <c r="R1436"/>
      <c r="S1436"/>
      <c r="T1436" s="779" t="str">
        <f>IF(AND($R1455=0,$T1455=0),"0.00","mu :" &amp; ROUND($F1436/$C$12/($R1455+$T1455*$D$9),2))</f>
        <v>0.00</v>
      </c>
      <c r="W1436" s="522"/>
      <c r="AG1436" s="780">
        <f>IF(A1436=0,0,ROUND(SUM(AG1438:AG1455)/A1436,2))</f>
        <v>0</v>
      </c>
      <c r="AH1436" s="780">
        <f>$AG1436*$A1436</f>
        <v>0</v>
      </c>
      <c r="AI1436" s="780">
        <f>$E1436-$AG1436</f>
        <v>0</v>
      </c>
      <c r="AJ1436" s="780">
        <f>$A1436*$AI1436</f>
        <v>0</v>
      </c>
      <c r="AK1436" s="781">
        <f>ROUND(($AG1436+$AI1436)*$A1436,2)</f>
        <v>0</v>
      </c>
      <c r="AM1436" s="525">
        <f>ROUND(R1455,2)</f>
        <v>0</v>
      </c>
      <c r="AN1436" s="526">
        <f>ROUND(T1455,2)</f>
        <v>0</v>
      </c>
      <c r="AO1436" s="527">
        <f>ROUND(AM1436+AN1436,2)*A1436</f>
        <v>0</v>
      </c>
    </row>
    <row r="1437" spans="1:41" s="519" customFormat="1" ht="21.6" customHeight="1">
      <c r="A1437" s="782"/>
      <c r="B1437" s="783"/>
      <c r="C1437" s="631"/>
      <c r="D1437" s="784" t="s">
        <v>533</v>
      </c>
      <c r="F1437" s="636"/>
      <c r="G1437" s="636"/>
      <c r="H1437" s="636"/>
      <c r="I1437" s="637"/>
      <c r="J1437" s="636"/>
      <c r="K1437" s="636" t="s">
        <v>144</v>
      </c>
      <c r="L1437" s="785"/>
      <c r="M1437" s="636"/>
      <c r="N1437" s="636"/>
      <c r="O1437" s="636"/>
      <c r="P1437" s="636"/>
      <c r="Q1437" s="47"/>
      <c r="R1437" s="528"/>
      <c r="S1437" s="640"/>
      <c r="T1437" s="636"/>
    </row>
    <row r="1438" spans="1:41" s="519" customFormat="1" ht="12">
      <c r="A1438" s="849"/>
      <c r="B1438" s="850"/>
      <c r="C1438" s="641"/>
      <c r="D1438" s="811"/>
      <c r="E1438" s="851">
        <f>F1436/$C$12-SUMIF($L1435:$L1455,"SUBI",$E1435:$E1455)</f>
        <v>0</v>
      </c>
      <c r="F1438" s="852" t="s">
        <v>589</v>
      </c>
      <c r="G1438" s="790"/>
      <c r="H1438" s="790"/>
      <c r="I1438" s="791"/>
      <c r="J1438" s="790"/>
      <c r="K1438" s="790"/>
      <c r="L1438" s="792"/>
      <c r="M1438" s="793"/>
      <c r="N1438" s="793"/>
      <c r="O1438" s="793"/>
      <c r="P1438" s="793"/>
      <c r="Q1438" s="794"/>
      <c r="R1438" s="795"/>
      <c r="S1438" s="794"/>
      <c r="T1438" s="796"/>
    </row>
    <row r="1439" spans="1:41" s="519" customFormat="1" ht="12" customHeight="1">
      <c r="A1439" s="797"/>
      <c r="B1439" s="798"/>
      <c r="C1439" s="799"/>
      <c r="D1439" s="799" t="str">
        <f>$F$2</f>
        <v>Electrical</v>
      </c>
      <c r="E1439" s="799">
        <f>ROUND(($R1443*$S$2 + ($T1443*$T$2)), 2)</f>
        <v>0</v>
      </c>
      <c r="F1439" s="800">
        <f>$E1439*$C$12</f>
        <v>0</v>
      </c>
      <c r="G1439" s="528"/>
      <c r="H1439" s="801"/>
      <c r="I1439" s="528"/>
      <c r="J1439" s="48"/>
      <c r="K1439" s="802" t="s">
        <v>3</v>
      </c>
      <c r="L1439" s="803" t="s">
        <v>590</v>
      </c>
      <c r="M1439" s="528"/>
      <c r="N1439" s="528"/>
      <c r="O1439" s="48"/>
      <c r="P1439" s="528"/>
      <c r="Q1439" s="528"/>
      <c r="R1439"/>
      <c r="S1439"/>
      <c r="T1439"/>
    </row>
    <row r="1440" spans="1:41" s="519" customFormat="1" ht="14.4" customHeight="1">
      <c r="A1440" s="49"/>
      <c r="B1440" s="804" t="s">
        <v>591</v>
      </c>
      <c r="C1440" s="528"/>
      <c r="D1440" s="528"/>
      <c r="E1440" s="528"/>
      <c r="F1440" s="528"/>
      <c r="G1440" s="528"/>
      <c r="H1440" s="801"/>
      <c r="I1440" s="528"/>
      <c r="J1440" s="48"/>
      <c r="K1440" s="805"/>
      <c r="L1440" s="806"/>
      <c r="M1440" s="528"/>
      <c r="N1440" s="528"/>
      <c r="O1440" s="48"/>
      <c r="P1440" s="528"/>
      <c r="Q1440" s="528"/>
      <c r="R1440" s="807">
        <f>$A1440*Q1440</f>
        <v>0</v>
      </c>
      <c r="S1440" s="528"/>
      <c r="T1440" s="643">
        <f>$A1440*S1440*$T$1</f>
        <v>0</v>
      </c>
    </row>
    <row r="1441" spans="1:41" s="519" customFormat="1" ht="14.4" customHeight="1">
      <c r="A1441" s="49"/>
      <c r="B1441" s="528"/>
      <c r="C1441" s="528"/>
      <c r="D1441" s="528"/>
      <c r="E1441" s="528"/>
      <c r="F1441" s="528"/>
      <c r="G1441" s="528"/>
      <c r="H1441" s="801"/>
      <c r="I1441" s="528"/>
      <c r="J1441" s="48"/>
      <c r="K1441" s="805"/>
      <c r="L1441" s="806"/>
      <c r="M1441" s="528"/>
      <c r="N1441" s="528"/>
      <c r="O1441" s="48"/>
      <c r="P1441" s="528"/>
      <c r="Q1441" s="528"/>
      <c r="R1441" s="807">
        <f>$A1441*Q1441</f>
        <v>0</v>
      </c>
      <c r="S1441" s="528"/>
      <c r="T1441" s="643">
        <f>$A1441*S1441*$T$1</f>
        <v>0</v>
      </c>
    </row>
    <row r="1442" spans="1:41" s="519" customFormat="1" ht="14.4" customHeight="1">
      <c r="A1442" s="49"/>
      <c r="B1442" s="528"/>
      <c r="C1442" s="528"/>
      <c r="D1442" s="528"/>
      <c r="E1442" s="528"/>
      <c r="F1442" s="528"/>
      <c r="G1442" s="528"/>
      <c r="H1442" s="801"/>
      <c r="I1442" s="528"/>
      <c r="J1442" s="48"/>
      <c r="K1442" s="805"/>
      <c r="L1442" s="806"/>
      <c r="M1442" s="528"/>
      <c r="N1442" s="528"/>
      <c r="O1442" s="48"/>
      <c r="P1442" s="528"/>
      <c r="Q1442" s="528"/>
      <c r="R1442" s="807">
        <f>$A1442*Q1442</f>
        <v>0</v>
      </c>
      <c r="S1442" s="528"/>
      <c r="T1442" s="643">
        <f>$A1442*S1442*$T$1</f>
        <v>0</v>
      </c>
    </row>
    <row r="1443" spans="1:41" s="519" customFormat="1" ht="12">
      <c r="A1443" s="835" t="s">
        <v>145</v>
      </c>
      <c r="B1443" s="836">
        <f>(R1442+T1442)</f>
        <v>0</v>
      </c>
      <c r="C1443" s="790"/>
      <c r="G1443" s="810"/>
      <c r="H1443" s="810"/>
      <c r="I1443" s="810"/>
      <c r="J1443" s="810"/>
      <c r="K1443" s="811" t="s">
        <v>3</v>
      </c>
      <c r="L1443" s="812" t="s">
        <v>590</v>
      </c>
      <c r="M1443" s="810"/>
      <c r="N1443" s="810"/>
      <c r="O1443" s="810"/>
      <c r="P1443" s="810"/>
      <c r="Q1443" s="813"/>
      <c r="R1443" s="814">
        <f>SUM(R1439:R1442)</f>
        <v>0</v>
      </c>
      <c r="S1443" s="815"/>
      <c r="T1443" s="814">
        <f>SUM(T1439:T1442)</f>
        <v>0</v>
      </c>
      <c r="AG1443" s="816">
        <f>ROUND($R1443*$S$2,2)</f>
        <v>0</v>
      </c>
    </row>
    <row r="1444" spans="1:41" s="519" customFormat="1" ht="12" customHeight="1">
      <c r="A1444" s="797"/>
      <c r="B1444" s="853"/>
      <c r="C1444" s="854"/>
      <c r="D1444" s="855" t="str">
        <f>$F$3</f>
        <v>ECA</v>
      </c>
      <c r="E1444" s="855">
        <f>ROUND(($R1448*$S$3 + ($T1448*$T$3)), 2)</f>
        <v>0</v>
      </c>
      <c r="F1444" s="856">
        <f>$E1444*$C$12</f>
        <v>0</v>
      </c>
      <c r="G1444" s="518"/>
      <c r="H1444" s="518"/>
      <c r="I1444" s="518"/>
      <c r="J1444" s="518"/>
      <c r="K1444" s="802" t="s">
        <v>5</v>
      </c>
      <c r="L1444" s="803" t="s">
        <v>590</v>
      </c>
      <c r="M1444" s="518"/>
      <c r="N1444" s="518"/>
      <c r="O1444" s="518"/>
      <c r="P1444" s="518"/>
      <c r="Q1444" s="518"/>
      <c r="R1444" s="821"/>
      <c r="S1444" s="518"/>
      <c r="T1444" s="821"/>
    </row>
    <row r="1445" spans="1:41" s="834" customFormat="1" ht="15.6" customHeight="1">
      <c r="A1445" s="822"/>
      <c r="B1445" s="804" t="s">
        <v>592</v>
      </c>
      <c r="C1445" s="823"/>
      <c r="D1445" s="824"/>
      <c r="E1445" s="824"/>
      <c r="F1445" s="824"/>
      <c r="G1445" s="825"/>
      <c r="H1445" s="826"/>
      <c r="I1445" s="826"/>
      <c r="J1445" s="827"/>
      <c r="K1445" s="828"/>
      <c r="L1445" s="823"/>
      <c r="M1445" s="829"/>
      <c r="N1445" s="830"/>
      <c r="O1445" s="831"/>
      <c r="P1445" s="832"/>
      <c r="Q1445" s="833"/>
      <c r="R1445" s="807">
        <f>$A1445*Q1445</f>
        <v>0</v>
      </c>
      <c r="S1445" s="528"/>
      <c r="T1445" s="643">
        <f>$A1445*S1445*$T$1</f>
        <v>0</v>
      </c>
    </row>
    <row r="1446" spans="1:41" s="519" customFormat="1" ht="15.6" customHeight="1">
      <c r="A1446" s="49"/>
      <c r="B1446" s="528"/>
      <c r="C1446" s="528"/>
      <c r="D1446" s="528"/>
      <c r="E1446" s="528"/>
      <c r="F1446" s="528"/>
      <c r="G1446" s="528"/>
      <c r="H1446" s="528"/>
      <c r="I1446" s="528"/>
      <c r="J1446" s="528"/>
      <c r="K1446" s="528"/>
      <c r="L1446" s="806"/>
      <c r="M1446" s="528"/>
      <c r="N1446" s="528"/>
      <c r="O1446" s="528"/>
      <c r="P1446" s="528"/>
      <c r="Q1446" s="528"/>
      <c r="R1446" s="807">
        <f>$A1446*Q1446</f>
        <v>0</v>
      </c>
      <c r="S1446" s="528"/>
      <c r="T1446" s="643">
        <f>$A1446*S1446*$T$1</f>
        <v>0</v>
      </c>
    </row>
    <row r="1447" spans="1:41" s="519" customFormat="1" ht="15.6" customHeight="1">
      <c r="A1447" s="49"/>
      <c r="B1447" s="528"/>
      <c r="C1447" s="528"/>
      <c r="D1447" s="3"/>
      <c r="E1447" s="528"/>
      <c r="F1447" s="528"/>
      <c r="G1447" s="528"/>
      <c r="H1447" s="528"/>
      <c r="I1447" s="528"/>
      <c r="J1447" s="528"/>
      <c r="K1447" s="528"/>
      <c r="L1447" s="806"/>
      <c r="M1447" s="528"/>
      <c r="N1447" s="528"/>
      <c r="O1447" s="528"/>
      <c r="P1447" s="528"/>
      <c r="Q1447" s="528"/>
      <c r="R1447" s="807">
        <f>$A1447*Q1447</f>
        <v>0</v>
      </c>
      <c r="S1447" s="528"/>
      <c r="T1447" s="643">
        <f>$A1447*S1447*$T$1</f>
        <v>0</v>
      </c>
    </row>
    <row r="1448" spans="1:41" s="519" customFormat="1" ht="12">
      <c r="A1448" s="835" t="s">
        <v>145</v>
      </c>
      <c r="B1448" s="836">
        <f>(R1447+T1447)</f>
        <v>0</v>
      </c>
      <c r="C1448" s="790"/>
      <c r="G1448" s="810"/>
      <c r="H1448" s="810"/>
      <c r="I1448" s="810"/>
      <c r="J1448" s="810"/>
      <c r="K1448" s="838" t="s">
        <v>5</v>
      </c>
      <c r="L1448" s="812" t="s">
        <v>590</v>
      </c>
      <c r="M1448" s="810"/>
      <c r="N1448" s="810"/>
      <c r="O1448" s="810"/>
      <c r="P1448" s="810"/>
      <c r="Q1448" s="813"/>
      <c r="R1448" s="814">
        <f>SUM(R1444:R1447)</f>
        <v>0</v>
      </c>
      <c r="S1448" s="815"/>
      <c r="T1448" s="814">
        <f>SUM(T1444:T1447)</f>
        <v>0</v>
      </c>
      <c r="AG1448" s="840">
        <f>ROUND($R1448*$S$3,2)</f>
        <v>0</v>
      </c>
    </row>
    <row r="1449" spans="1:41" s="519" customFormat="1" ht="12" customHeight="1">
      <c r="A1449" s="817"/>
      <c r="B1449" s="857"/>
      <c r="C1449" s="858"/>
      <c r="D1449" s="859">
        <f>$F$4</f>
        <v>0</v>
      </c>
      <c r="E1449" s="859">
        <f>ROUND(($R1453*$S$4 + ($T1453*$T$4)), 2)</f>
        <v>0</v>
      </c>
      <c r="F1449" s="860">
        <f ca="1">$F1436-SUMIF($L1438:$P1446,"SUBI",$F1438:$F1446)</f>
        <v>0</v>
      </c>
      <c r="G1449" s="518"/>
      <c r="H1449" s="518"/>
      <c r="I1449" s="518"/>
      <c r="J1449" s="518"/>
      <c r="K1449" s="861" t="s">
        <v>8</v>
      </c>
      <c r="L1449" s="803" t="s">
        <v>590</v>
      </c>
      <c r="M1449" s="518"/>
      <c r="N1449" s="518"/>
      <c r="O1449" s="518"/>
      <c r="P1449" s="518"/>
      <c r="Q1449" s="518"/>
      <c r="R1449" s="821"/>
      <c r="S1449" s="518"/>
      <c r="T1449" s="821"/>
    </row>
    <row r="1450" spans="1:41" s="834" customFormat="1" ht="14.4" customHeight="1">
      <c r="A1450" s="822"/>
      <c r="B1450" s="804" t="s">
        <v>680</v>
      </c>
      <c r="C1450" s="823"/>
      <c r="D1450" s="824"/>
      <c r="E1450" s="824"/>
      <c r="F1450" s="824"/>
      <c r="G1450" s="825"/>
      <c r="H1450" s="826"/>
      <c r="I1450" s="826"/>
      <c r="J1450" s="827"/>
      <c r="K1450" s="828"/>
      <c r="L1450" s="823"/>
      <c r="M1450" s="829"/>
      <c r="N1450" s="830"/>
      <c r="O1450" s="862"/>
      <c r="P1450" s="832"/>
      <c r="Q1450" s="833"/>
      <c r="R1450" s="642">
        <f>$A1450*Q1450</f>
        <v>0</v>
      </c>
      <c r="S1450" s="833"/>
      <c r="T1450" s="643">
        <f>$A1450*S1450*$T$1</f>
        <v>0</v>
      </c>
    </row>
    <row r="1451" spans="1:41" s="519" customFormat="1" ht="12">
      <c r="A1451" s="47"/>
      <c r="B1451" s="641"/>
      <c r="C1451" s="641"/>
      <c r="D1451" s="863"/>
      <c r="E1451" s="843"/>
      <c r="F1451" s="518"/>
      <c r="G1451" s="518"/>
      <c r="H1451" s="518"/>
      <c r="I1451" s="518"/>
      <c r="J1451" s="518"/>
      <c r="K1451" s="518"/>
      <c r="L1451" s="864"/>
      <c r="M1451" s="518"/>
      <c r="N1451" s="518"/>
      <c r="O1451" s="518"/>
      <c r="P1451" s="518"/>
      <c r="Q1451" s="518"/>
      <c r="R1451" s="642">
        <f>$A1451*Q1451</f>
        <v>0</v>
      </c>
      <c r="S1451" s="518"/>
      <c r="T1451" s="643">
        <f>$A1451*S1451*$T$1</f>
        <v>0</v>
      </c>
    </row>
    <row r="1452" spans="1:41" s="519" customFormat="1" ht="12">
      <c r="A1452" s="47"/>
      <c r="B1452" s="641"/>
      <c r="C1452" s="641"/>
      <c r="D1452" s="863"/>
      <c r="E1452" s="843"/>
      <c r="F1452" s="518"/>
      <c r="G1452" s="518"/>
      <c r="H1452" s="518"/>
      <c r="I1452" s="518"/>
      <c r="J1452" s="518"/>
      <c r="K1452" s="518"/>
      <c r="L1452" s="864"/>
      <c r="M1452" s="518"/>
      <c r="N1452" s="518"/>
      <c r="O1452" s="518"/>
      <c r="P1452" s="518"/>
      <c r="Q1452" s="518"/>
      <c r="R1452" s="642">
        <f>$A1452*Q1452</f>
        <v>0</v>
      </c>
      <c r="S1452" s="518"/>
      <c r="T1452" s="643">
        <f>$A1452*S1452*$T$1</f>
        <v>0</v>
      </c>
    </row>
    <row r="1453" spans="1:41" s="519" customFormat="1" ht="12.75" customHeight="1">
      <c r="A1453" s="835" t="s">
        <v>145</v>
      </c>
      <c r="B1453" s="836">
        <f>(R1452+T1452)</f>
        <v>0</v>
      </c>
      <c r="C1453" s="837"/>
      <c r="D1453" s="837"/>
      <c r="E1453" s="837"/>
      <c r="F1453" s="837"/>
      <c r="G1453" s="813"/>
      <c r="H1453" s="813"/>
      <c r="I1453" s="813"/>
      <c r="J1453" s="813"/>
      <c r="K1453" s="838" t="s">
        <v>8</v>
      </c>
      <c r="L1453" s="839" t="s">
        <v>590</v>
      </c>
      <c r="M1453" s="813"/>
      <c r="N1453" s="813"/>
      <c r="O1453" s="813"/>
      <c r="P1453" s="813"/>
      <c r="Q1453" s="813"/>
      <c r="R1453" s="814">
        <f>SUM(R1449:R1452)</f>
        <v>0</v>
      </c>
      <c r="S1453" s="815"/>
      <c r="T1453" s="814">
        <f>SUM(T1449:T1452)</f>
        <v>0</v>
      </c>
      <c r="AG1453" s="865">
        <f>ROUND($R1453*$S$4,2)</f>
        <v>0</v>
      </c>
    </row>
    <row r="1454" spans="1:41" s="519" customFormat="1" ht="12.75" customHeight="1">
      <c r="A1454" s="841"/>
      <c r="B1454" s="842"/>
      <c r="E1454" s="641"/>
      <c r="F1454" s="843"/>
      <c r="G1454" s="641"/>
      <c r="H1454" s="641"/>
      <c r="I1454" s="518"/>
      <c r="J1454" s="641"/>
      <c r="K1454" s="641"/>
      <c r="L1454" s="844"/>
      <c r="M1454" s="652"/>
      <c r="N1454" s="652"/>
      <c r="O1454" s="652"/>
      <c r="P1454" s="652"/>
      <c r="Q1454" s="653"/>
      <c r="R1454" s="821"/>
      <c r="S1454" s="641"/>
      <c r="T1454" s="821"/>
    </row>
    <row r="1455" spans="1:41" s="519" customFormat="1" ht="13.5" customHeight="1" thickBot="1">
      <c r="A1455" s="845"/>
      <c r="B1455" s="846"/>
      <c r="C1455" s="529"/>
      <c r="D1455" s="529"/>
      <c r="E1455" s="646"/>
      <c r="F1455" s="647"/>
      <c r="G1455" s="646" t="s">
        <v>146</v>
      </c>
      <c r="H1455" s="646"/>
      <c r="I1455" s="648"/>
      <c r="J1455" s="646"/>
      <c r="K1455" s="646"/>
      <c r="L1455" s="847" t="s">
        <v>143</v>
      </c>
      <c r="M1455" s="649"/>
      <c r="N1455" s="649"/>
      <c r="O1455" s="649"/>
      <c r="P1455" s="649"/>
      <c r="Q1455" s="650"/>
      <c r="R1455" s="848">
        <f>SUMIF($L1437:$L1454,"SUBI",R1437:R1454)</f>
        <v>0</v>
      </c>
      <c r="S1455" s="866"/>
      <c r="T1455" s="848">
        <f>SUMIF($L1437:$L1454,"SUBI",T1437:T1454)</f>
        <v>0</v>
      </c>
      <c r="U1455" s="529"/>
      <c r="V1455" s="529"/>
      <c r="W1455" s="529"/>
      <c r="X1455" s="529"/>
      <c r="Y1455" s="529"/>
      <c r="Z1455" s="529"/>
      <c r="AA1455" s="529"/>
      <c r="AB1455" s="529"/>
      <c r="AC1455" s="529"/>
      <c r="AD1455" s="529"/>
      <c r="AE1455" s="529"/>
      <c r="AF1455" s="529"/>
      <c r="AG1455" s="529"/>
      <c r="AH1455" s="529"/>
      <c r="AI1455" s="529"/>
      <c r="AJ1455" s="529"/>
      <c r="AK1455" s="529"/>
      <c r="AL1455" s="529"/>
      <c r="AM1455" s="529"/>
      <c r="AN1455" s="529"/>
      <c r="AO1455" s="529"/>
    </row>
    <row r="1456" spans="1:41" s="519" customFormat="1" thickTop="1">
      <c r="A1456" s="47"/>
      <c r="B1456" s="40"/>
      <c r="C1456" s="47"/>
      <c r="E1456" s="41" t="s">
        <v>138</v>
      </c>
      <c r="F1456" s="41" t="s">
        <v>139</v>
      </c>
      <c r="G1456" s="47"/>
      <c r="H1456" s="47"/>
      <c r="I1456" s="47"/>
      <c r="J1456" s="47"/>
      <c r="K1456" s="47" t="s">
        <v>140</v>
      </c>
      <c r="L1456" s="774"/>
      <c r="M1456" s="47"/>
      <c r="N1456" s="47"/>
      <c r="O1456" s="48"/>
      <c r="P1456" s="47"/>
      <c r="Q1456"/>
      <c r="R1456"/>
      <c r="S1456"/>
      <c r="T1456" s="40"/>
      <c r="AG1456" s="627" t="s">
        <v>277</v>
      </c>
      <c r="AH1456" s="627" t="s">
        <v>278</v>
      </c>
      <c r="AI1456" s="627" t="s">
        <v>279</v>
      </c>
      <c r="AJ1456" s="627" t="s">
        <v>280</v>
      </c>
      <c r="AK1456" s="627" t="s">
        <v>281</v>
      </c>
      <c r="AM1456" s="628" t="s">
        <v>290</v>
      </c>
      <c r="AN1456" s="629" t="s">
        <v>291</v>
      </c>
      <c r="AO1456" s="520" t="s">
        <v>287</v>
      </c>
    </row>
    <row r="1457" spans="1:41" s="519" customFormat="1" ht="13.2">
      <c r="A1457" s="630">
        <v>6</v>
      </c>
      <c r="B1457" s="521" t="s">
        <v>312</v>
      </c>
      <c r="C1457" s="631"/>
      <c r="D1457" s="632" t="s">
        <v>359</v>
      </c>
      <c r="E1457" s="775">
        <f ca="1">IF(AND($A1457=0,$A$1="DIF"),0,ROUND(ROUND(SUMIF($L1459:$L1470,"SUBI",$E1459:$E1470)/$A1457,2)*$C$12,2))</f>
        <v>41.96</v>
      </c>
      <c r="F1457" s="776">
        <f ca="1">ROUND($A1457*$E1457,2)</f>
        <v>251.76</v>
      </c>
      <c r="G1457" s="635" t="s">
        <v>142</v>
      </c>
      <c r="H1457" s="636"/>
      <c r="I1457" s="637"/>
      <c r="J1457" s="636"/>
      <c r="K1457" s="777"/>
      <c r="L1457" s="778" t="s">
        <v>143</v>
      </c>
      <c r="M1457" s="638"/>
      <c r="N1457" s="638"/>
      <c r="O1457" s="638"/>
      <c r="P1457" s="638"/>
      <c r="Q1457" s="967"/>
      <c r="R1457"/>
      <c r="S1457"/>
      <c r="T1457" s="779" t="str">
        <f ca="1">IF(AND($R1476=0,$T1476=0),"0.00","mu :" &amp; ROUND($F1457/$C$12/($R1476+$T1476*$D$9),2))</f>
        <v>mu :1</v>
      </c>
      <c r="W1457" s="522"/>
      <c r="AG1457" s="780">
        <f ca="1">IF(A1457=0,0,ROUND(SUM(AG1459:AG1476)/A1457,2))</f>
        <v>12.3</v>
      </c>
      <c r="AH1457" s="780">
        <f ca="1">$AG1457*$A1457</f>
        <v>73.800000000000011</v>
      </c>
      <c r="AI1457" s="780">
        <f ca="1">$E1457-$AG1457</f>
        <v>29.66</v>
      </c>
      <c r="AJ1457" s="780">
        <f ca="1">$A1457*$AI1457</f>
        <v>177.96</v>
      </c>
      <c r="AK1457" s="781">
        <f ca="1">ROUND(($AG1457+$AI1457)*$A1457,2)</f>
        <v>251.76</v>
      </c>
      <c r="AM1457" s="525">
        <f ca="1">ROUND(R1476,2)</f>
        <v>73.8</v>
      </c>
      <c r="AN1457" s="526">
        <f ca="1">ROUND(T1476,2)</f>
        <v>6.48</v>
      </c>
      <c r="AO1457" s="527">
        <f ca="1">ROUND(AM1457+AN1457,2)*A1457</f>
        <v>481.68</v>
      </c>
    </row>
    <row r="1458" spans="1:41" s="519" customFormat="1" ht="21.6" customHeight="1">
      <c r="A1458" s="782"/>
      <c r="B1458" s="783"/>
      <c r="C1458" s="631"/>
      <c r="D1458" s="784" t="s">
        <v>534</v>
      </c>
      <c r="F1458" s="636"/>
      <c r="G1458" s="636"/>
      <c r="H1458" s="636"/>
      <c r="I1458" s="637"/>
      <c r="J1458" s="636"/>
      <c r="K1458" s="636" t="s">
        <v>144</v>
      </c>
      <c r="L1458" s="785"/>
      <c r="M1458" s="636"/>
      <c r="N1458" s="636"/>
      <c r="O1458" s="636"/>
      <c r="P1458" s="636"/>
      <c r="Q1458" s="47"/>
      <c r="R1458" s="528"/>
      <c r="S1458" s="640"/>
      <c r="T1458" s="636"/>
    </row>
    <row r="1459" spans="1:41" s="519" customFormat="1" ht="12">
      <c r="A1459" s="849"/>
      <c r="B1459" s="850"/>
      <c r="C1459" s="641"/>
      <c r="D1459" s="811"/>
      <c r="E1459" s="851">
        <f ca="1">F1457/$C$12-SUMIF($L1456:$L1476,"SUBI",$E1456:$E1476)</f>
        <v>1.999999999998181E-2</v>
      </c>
      <c r="F1459" s="852" t="s">
        <v>589</v>
      </c>
      <c r="G1459" s="790"/>
      <c r="H1459" s="790"/>
      <c r="I1459" s="791"/>
      <c r="J1459" s="790"/>
      <c r="K1459" s="790"/>
      <c r="L1459" s="792"/>
      <c r="M1459" s="793"/>
      <c r="N1459" s="793"/>
      <c r="O1459" s="793"/>
      <c r="P1459" s="793"/>
      <c r="Q1459" s="794"/>
      <c r="R1459" s="795"/>
      <c r="S1459" s="794"/>
      <c r="T1459" s="796"/>
    </row>
    <row r="1460" spans="1:41" s="519" customFormat="1" ht="12" customHeight="1">
      <c r="A1460" s="797"/>
      <c r="B1460" s="798"/>
      <c r="C1460" s="799"/>
      <c r="D1460" s="799" t="str">
        <f>$F$2</f>
        <v>Electrical</v>
      </c>
      <c r="E1460" s="799">
        <f ca="1">ROUND(($R1464*$S$2 + ($T1464*$T$2)), 2)</f>
        <v>251.74</v>
      </c>
      <c r="F1460" s="800">
        <f ca="1">$E1460*$C$12</f>
        <v>251.74</v>
      </c>
      <c r="G1460" s="528"/>
      <c r="H1460" s="801"/>
      <c r="I1460" s="528"/>
      <c r="J1460" s="48"/>
      <c r="K1460" s="802" t="s">
        <v>3</v>
      </c>
      <c r="L1460" s="803" t="s">
        <v>590</v>
      </c>
      <c r="M1460" s="528"/>
      <c r="N1460" s="528"/>
      <c r="O1460" s="48"/>
      <c r="P1460" s="528"/>
      <c r="Q1460" s="528"/>
      <c r="R1460"/>
      <c r="S1460"/>
      <c r="T1460"/>
    </row>
    <row r="1461" spans="1:41" s="956" customFormat="1" ht="13.2">
      <c r="A1461"/>
      <c r="B1461" s="948"/>
      <c r="C1461" s="948" t="s">
        <v>742</v>
      </c>
      <c r="D1461" s="948" t="str">
        <f ca="1">CELL("Address",Elec_Rates!D$138)</f>
        <v>[ELM25_0085_Quintano_Elec_Mech_HVAC_Est_Rev_B.xlsx]Elec_Rates!$D$138</v>
      </c>
      <c r="E1461" s="949"/>
      <c r="F1461" s="949"/>
      <c r="G1461" s="950" t="s">
        <v>743</v>
      </c>
      <c r="H1461" s="950"/>
      <c r="I1461" s="950"/>
      <c r="J1461" s="950"/>
      <c r="K1461" s="951"/>
      <c r="L1461" s="949"/>
      <c r="M1461" s="949"/>
      <c r="N1461" s="949"/>
      <c r="O1461" s="952"/>
      <c r="P1461" s="949"/>
      <c r="Q1461" s="953"/>
      <c r="R1461" s="954"/>
      <c r="S1461" s="953"/>
      <c r="T1461" s="943"/>
      <c r="U1461" s="955"/>
    </row>
    <row r="1462" spans="1:41" s="956" customFormat="1" ht="11.4">
      <c r="A1462" s="957">
        <v>6</v>
      </c>
      <c r="B1462" s="958">
        <v>1</v>
      </c>
      <c r="C1462" s="958">
        <f>$A1462*$B1462</f>
        <v>6</v>
      </c>
      <c r="D1462" s="959" t="str">
        <f>Elec_Rates!$D$138</f>
        <v>000# Empty conduit for thermostat</v>
      </c>
      <c r="E1462" s="959"/>
      <c r="F1462" s="959" t="s">
        <v>744</v>
      </c>
      <c r="G1462" s="960" t="s">
        <v>760</v>
      </c>
      <c r="H1462" s="960"/>
      <c r="I1462" s="960"/>
      <c r="J1462" s="960"/>
      <c r="K1462" s="961"/>
      <c r="L1462" s="955"/>
      <c r="M1462" s="955"/>
      <c r="N1462" s="955"/>
      <c r="O1462" s="962"/>
      <c r="P1462" s="959"/>
      <c r="Q1462" s="963">
        <f ca="1">$B1462*Elec_Rates!$R$138</f>
        <v>12.3</v>
      </c>
      <c r="R1462" s="954">
        <f ca="1">$A1462*Q1462</f>
        <v>73.800000000000011</v>
      </c>
      <c r="S1462" s="963">
        <f ca="1">$B1462*Elec_Rates!$T$138</f>
        <v>1.08</v>
      </c>
      <c r="T1462" s="943">
        <f ca="1">$A1462*S1462</f>
        <v>6.48</v>
      </c>
      <c r="U1462" s="501"/>
    </row>
    <row r="1463" spans="1:41" s="519" customFormat="1" ht="14.4" customHeight="1">
      <c r="A1463" s="49"/>
      <c r="B1463" s="528"/>
      <c r="C1463" s="528"/>
      <c r="D1463" s="528"/>
      <c r="E1463" s="528"/>
      <c r="F1463" s="528"/>
      <c r="G1463" s="528"/>
      <c r="H1463" s="801"/>
      <c r="I1463" s="528"/>
      <c r="J1463" s="48"/>
      <c r="K1463" s="805"/>
      <c r="L1463" s="806"/>
      <c r="M1463" s="528"/>
      <c r="N1463" s="528"/>
      <c r="O1463" s="48"/>
      <c r="P1463" s="528"/>
      <c r="Q1463" s="528"/>
      <c r="R1463" s="807">
        <f>$A1463*Q1463</f>
        <v>0</v>
      </c>
      <c r="S1463" s="528"/>
      <c r="T1463" s="643">
        <f>$A1463*S1463*$T$1</f>
        <v>0</v>
      </c>
    </row>
    <row r="1464" spans="1:41" s="519" customFormat="1" ht="12">
      <c r="A1464" s="835" t="s">
        <v>145</v>
      </c>
      <c r="B1464" s="836">
        <f>(R1463+T1463)</f>
        <v>0</v>
      </c>
      <c r="C1464" s="790"/>
      <c r="G1464" s="810"/>
      <c r="H1464" s="810"/>
      <c r="I1464" s="810"/>
      <c r="J1464" s="810"/>
      <c r="K1464" s="811" t="s">
        <v>3</v>
      </c>
      <c r="L1464" s="812" t="s">
        <v>590</v>
      </c>
      <c r="M1464" s="810"/>
      <c r="N1464" s="810"/>
      <c r="O1464" s="810"/>
      <c r="P1464" s="810"/>
      <c r="Q1464" s="813"/>
      <c r="R1464" s="814">
        <f ca="1">SUM(R1460:R1463)</f>
        <v>73.800000000000011</v>
      </c>
      <c r="S1464" s="815"/>
      <c r="T1464" s="814">
        <f ca="1">SUM(T1460:T1463)</f>
        <v>6.48</v>
      </c>
      <c r="AG1464" s="816">
        <f ca="1">ROUND($R1464*$S$2,2)</f>
        <v>73.8</v>
      </c>
    </row>
    <row r="1465" spans="1:41" s="519" customFormat="1" ht="12" customHeight="1">
      <c r="A1465" s="797"/>
      <c r="B1465" s="853"/>
      <c r="C1465" s="854"/>
      <c r="D1465" s="855" t="str">
        <f>$F$3</f>
        <v>ECA</v>
      </c>
      <c r="E1465" s="855">
        <f>ROUND(($R1469*$S$3 + ($T1469*$T$3)), 2)</f>
        <v>0</v>
      </c>
      <c r="F1465" s="856">
        <f>$E1465*$C$12</f>
        <v>0</v>
      </c>
      <c r="G1465" s="518"/>
      <c r="H1465" s="518"/>
      <c r="I1465" s="518"/>
      <c r="J1465" s="518"/>
      <c r="K1465" s="802" t="s">
        <v>5</v>
      </c>
      <c r="L1465" s="803" t="s">
        <v>590</v>
      </c>
      <c r="M1465" s="518"/>
      <c r="N1465" s="518"/>
      <c r="O1465" s="518"/>
      <c r="P1465" s="518"/>
      <c r="Q1465" s="518"/>
      <c r="R1465" s="821"/>
      <c r="S1465" s="518"/>
      <c r="T1465" s="821"/>
    </row>
    <row r="1466" spans="1:41" s="834" customFormat="1" ht="15.6" customHeight="1">
      <c r="A1466" s="822"/>
      <c r="B1466" s="804" t="s">
        <v>592</v>
      </c>
      <c r="C1466" s="823"/>
      <c r="D1466" s="824"/>
      <c r="E1466" s="824"/>
      <c r="F1466" s="824"/>
      <c r="G1466" s="825"/>
      <c r="H1466" s="826"/>
      <c r="I1466" s="826"/>
      <c r="J1466" s="827"/>
      <c r="K1466" s="828"/>
      <c r="L1466" s="823"/>
      <c r="M1466" s="829"/>
      <c r="N1466" s="830"/>
      <c r="O1466" s="831"/>
      <c r="P1466" s="832"/>
      <c r="Q1466" s="833"/>
      <c r="R1466" s="807">
        <f>$A1466*Q1466</f>
        <v>0</v>
      </c>
      <c r="S1466" s="528"/>
      <c r="T1466" s="643">
        <f>$A1466*S1466*$T$1</f>
        <v>0</v>
      </c>
    </row>
    <row r="1467" spans="1:41" s="519" customFormat="1" ht="15.6" customHeight="1">
      <c r="A1467" s="49"/>
      <c r="B1467" s="528"/>
      <c r="C1467" s="528"/>
      <c r="D1467" s="528"/>
      <c r="E1467" s="528"/>
      <c r="F1467" s="528"/>
      <c r="G1467" s="528"/>
      <c r="H1467" s="528"/>
      <c r="I1467" s="528"/>
      <c r="J1467" s="528"/>
      <c r="K1467" s="528"/>
      <c r="L1467" s="806"/>
      <c r="M1467" s="528"/>
      <c r="N1467" s="528"/>
      <c r="O1467" s="528"/>
      <c r="P1467" s="528"/>
      <c r="Q1467" s="528"/>
      <c r="R1467" s="807">
        <f>$A1467*Q1467</f>
        <v>0</v>
      </c>
      <c r="S1467" s="528"/>
      <c r="T1467" s="643">
        <f>$A1467*S1467*$T$1</f>
        <v>0</v>
      </c>
    </row>
    <row r="1468" spans="1:41" s="519" customFormat="1" ht="15.6" customHeight="1">
      <c r="A1468" s="49"/>
      <c r="B1468" s="528"/>
      <c r="C1468" s="528"/>
      <c r="D1468" s="3"/>
      <c r="E1468" s="528"/>
      <c r="F1468" s="528"/>
      <c r="G1468" s="528"/>
      <c r="H1468" s="528"/>
      <c r="I1468" s="528"/>
      <c r="J1468" s="528"/>
      <c r="K1468" s="528"/>
      <c r="L1468" s="806"/>
      <c r="M1468" s="528"/>
      <c r="N1468" s="528"/>
      <c r="O1468" s="528"/>
      <c r="P1468" s="528"/>
      <c r="Q1468" s="528"/>
      <c r="R1468" s="807">
        <f>$A1468*Q1468</f>
        <v>0</v>
      </c>
      <c r="S1468" s="528"/>
      <c r="T1468" s="643">
        <f>$A1468*S1468*$T$1</f>
        <v>0</v>
      </c>
    </row>
    <row r="1469" spans="1:41" s="519" customFormat="1" ht="12">
      <c r="A1469" s="835" t="s">
        <v>145</v>
      </c>
      <c r="B1469" s="836">
        <f>(R1468+T1468)</f>
        <v>0</v>
      </c>
      <c r="C1469" s="790"/>
      <c r="G1469" s="810"/>
      <c r="H1469" s="810"/>
      <c r="I1469" s="810"/>
      <c r="J1469" s="810"/>
      <c r="K1469" s="838" t="s">
        <v>5</v>
      </c>
      <c r="L1469" s="812" t="s">
        <v>590</v>
      </c>
      <c r="M1469" s="810"/>
      <c r="N1469" s="810"/>
      <c r="O1469" s="810"/>
      <c r="P1469" s="810"/>
      <c r="Q1469" s="813"/>
      <c r="R1469" s="814">
        <f>SUM(R1465:R1468)</f>
        <v>0</v>
      </c>
      <c r="S1469" s="815"/>
      <c r="T1469" s="814">
        <f>SUM(T1465:T1468)</f>
        <v>0</v>
      </c>
      <c r="AG1469" s="840">
        <f>ROUND($R1469*$S$3,2)</f>
        <v>0</v>
      </c>
    </row>
    <row r="1470" spans="1:41" s="519" customFormat="1" ht="12" customHeight="1">
      <c r="A1470" s="817"/>
      <c r="B1470" s="857"/>
      <c r="C1470" s="858"/>
      <c r="D1470" s="859">
        <f>$F$4</f>
        <v>0</v>
      </c>
      <c r="E1470" s="859">
        <f>ROUND(($R1474*$S$4 + ($T1474*$T$4)), 2)</f>
        <v>0</v>
      </c>
      <c r="F1470" s="860">
        <f ca="1">$F1457-SUMIF($L1459:$P1467,"SUBI",$F1459:$F1467)</f>
        <v>1.999999999998181E-2</v>
      </c>
      <c r="G1470" s="518"/>
      <c r="H1470" s="518"/>
      <c r="I1470" s="518"/>
      <c r="J1470" s="518"/>
      <c r="K1470" s="861" t="s">
        <v>8</v>
      </c>
      <c r="L1470" s="803" t="s">
        <v>590</v>
      </c>
      <c r="M1470" s="518"/>
      <c r="N1470" s="518"/>
      <c r="O1470" s="518"/>
      <c r="P1470" s="518"/>
      <c r="Q1470" s="518"/>
      <c r="R1470" s="821"/>
      <c r="S1470" s="518"/>
      <c r="T1470" s="821"/>
    </row>
    <row r="1471" spans="1:41" s="834" customFormat="1" ht="14.4" customHeight="1">
      <c r="A1471" s="822"/>
      <c r="B1471" s="804" t="s">
        <v>680</v>
      </c>
      <c r="C1471" s="823"/>
      <c r="D1471" s="824"/>
      <c r="E1471" s="824"/>
      <c r="F1471" s="824"/>
      <c r="G1471" s="825"/>
      <c r="H1471" s="826"/>
      <c r="I1471" s="826"/>
      <c r="J1471" s="827"/>
      <c r="K1471" s="828"/>
      <c r="L1471" s="823"/>
      <c r="M1471" s="829"/>
      <c r="N1471" s="830"/>
      <c r="O1471" s="862"/>
      <c r="P1471" s="832"/>
      <c r="Q1471" s="833"/>
      <c r="R1471" s="642">
        <f>$A1471*Q1471</f>
        <v>0</v>
      </c>
      <c r="S1471" s="833"/>
      <c r="T1471" s="643">
        <f>$A1471*S1471*$T$1</f>
        <v>0</v>
      </c>
    </row>
    <row r="1472" spans="1:41" s="519" customFormat="1" ht="12">
      <c r="A1472" s="47"/>
      <c r="B1472" s="641"/>
      <c r="C1472" s="641"/>
      <c r="D1472" s="863"/>
      <c r="E1472" s="843"/>
      <c r="F1472" s="518"/>
      <c r="G1472" s="518"/>
      <c r="H1472" s="518"/>
      <c r="I1472" s="518"/>
      <c r="J1472" s="518"/>
      <c r="K1472" s="518"/>
      <c r="L1472" s="864"/>
      <c r="M1472" s="518"/>
      <c r="N1472" s="518"/>
      <c r="O1472" s="518"/>
      <c r="P1472" s="518"/>
      <c r="Q1472" s="518"/>
      <c r="R1472" s="642">
        <f>$A1472*Q1472</f>
        <v>0</v>
      </c>
      <c r="S1472" s="518"/>
      <c r="T1472" s="643">
        <f>$A1472*S1472*$T$1</f>
        <v>0</v>
      </c>
    </row>
    <row r="1473" spans="1:41" s="519" customFormat="1" ht="12">
      <c r="A1473" s="47"/>
      <c r="B1473" s="641"/>
      <c r="C1473" s="641"/>
      <c r="D1473" s="863"/>
      <c r="E1473" s="843"/>
      <c r="F1473" s="518"/>
      <c r="G1473" s="518"/>
      <c r="H1473" s="518"/>
      <c r="I1473" s="518"/>
      <c r="J1473" s="518"/>
      <c r="K1473" s="518"/>
      <c r="L1473" s="864"/>
      <c r="M1473" s="518"/>
      <c r="N1473" s="518"/>
      <c r="O1473" s="518"/>
      <c r="P1473" s="518"/>
      <c r="Q1473" s="518"/>
      <c r="R1473" s="642">
        <f>$A1473*Q1473</f>
        <v>0</v>
      </c>
      <c r="S1473" s="518"/>
      <c r="T1473" s="643">
        <f>$A1473*S1473*$T$1</f>
        <v>0</v>
      </c>
    </row>
    <row r="1474" spans="1:41" s="519" customFormat="1" ht="12.75" customHeight="1">
      <c r="A1474" s="835" t="s">
        <v>145</v>
      </c>
      <c r="B1474" s="836">
        <f>(R1473+T1473)</f>
        <v>0</v>
      </c>
      <c r="C1474" s="837"/>
      <c r="D1474" s="837"/>
      <c r="E1474" s="837"/>
      <c r="F1474" s="837"/>
      <c r="G1474" s="813"/>
      <c r="H1474" s="813"/>
      <c r="I1474" s="813"/>
      <c r="J1474" s="813"/>
      <c r="K1474" s="838" t="s">
        <v>8</v>
      </c>
      <c r="L1474" s="839" t="s">
        <v>590</v>
      </c>
      <c r="M1474" s="813"/>
      <c r="N1474" s="813"/>
      <c r="O1474" s="813"/>
      <c r="P1474" s="813"/>
      <c r="Q1474" s="813"/>
      <c r="R1474" s="814">
        <f>SUM(R1470:R1473)</f>
        <v>0</v>
      </c>
      <c r="S1474" s="815"/>
      <c r="T1474" s="814">
        <f>SUM(T1470:T1473)</f>
        <v>0</v>
      </c>
      <c r="AG1474" s="865">
        <f>ROUND($R1474*$S$4,2)</f>
        <v>0</v>
      </c>
    </row>
    <row r="1475" spans="1:41" s="519" customFormat="1" ht="12.75" customHeight="1">
      <c r="A1475" s="841"/>
      <c r="B1475" s="842"/>
      <c r="E1475" s="641"/>
      <c r="F1475" s="843"/>
      <c r="G1475" s="641"/>
      <c r="H1475" s="641"/>
      <c r="I1475" s="518"/>
      <c r="J1475" s="641"/>
      <c r="K1475" s="641"/>
      <c r="L1475" s="844"/>
      <c r="M1475" s="652"/>
      <c r="N1475" s="652"/>
      <c r="O1475" s="652"/>
      <c r="P1475" s="652"/>
      <c r="Q1475" s="653"/>
      <c r="R1475" s="821"/>
      <c r="S1475" s="641"/>
      <c r="T1475" s="821"/>
    </row>
    <row r="1476" spans="1:41" s="519" customFormat="1" ht="13.5" customHeight="1" thickBot="1">
      <c r="A1476" s="845"/>
      <c r="B1476" s="846"/>
      <c r="C1476" s="529"/>
      <c r="D1476" s="529"/>
      <c r="E1476" s="646"/>
      <c r="F1476" s="647"/>
      <c r="G1476" s="646" t="s">
        <v>146</v>
      </c>
      <c r="H1476" s="646"/>
      <c r="I1476" s="648"/>
      <c r="J1476" s="646"/>
      <c r="K1476" s="646"/>
      <c r="L1476" s="847" t="s">
        <v>143</v>
      </c>
      <c r="M1476" s="649"/>
      <c r="N1476" s="649"/>
      <c r="O1476" s="649"/>
      <c r="P1476" s="649"/>
      <c r="Q1476" s="650"/>
      <c r="R1476" s="848">
        <f ca="1">SUMIF($L1458:$L1475,"SUBI",R1458:R1475)</f>
        <v>73.800000000000011</v>
      </c>
      <c r="S1476" s="866"/>
      <c r="T1476" s="848">
        <f ca="1">SUMIF($L1458:$L1475,"SUBI",T1458:T1475)</f>
        <v>6.48</v>
      </c>
      <c r="U1476" s="529"/>
      <c r="V1476" s="529"/>
      <c r="W1476" s="529"/>
      <c r="X1476" s="529"/>
      <c r="Y1476" s="529"/>
      <c r="Z1476" s="529"/>
      <c r="AA1476" s="529"/>
      <c r="AB1476" s="529"/>
      <c r="AC1476" s="529"/>
      <c r="AD1476" s="529"/>
      <c r="AE1476" s="529"/>
      <c r="AF1476" s="529"/>
      <c r="AG1476" s="529"/>
      <c r="AH1476" s="529"/>
      <c r="AI1476" s="529"/>
      <c r="AJ1476" s="529"/>
      <c r="AK1476" s="529"/>
      <c r="AL1476" s="529"/>
      <c r="AM1476" s="529"/>
      <c r="AN1476" s="529"/>
      <c r="AO1476" s="529"/>
    </row>
    <row r="1477" spans="1:41" s="519" customFormat="1" ht="13.5" customHeight="1" thickTop="1">
      <c r="E1477" s="641"/>
      <c r="F1477" s="636"/>
      <c r="G1477" s="641"/>
      <c r="H1477" s="641"/>
      <c r="I1477" s="518"/>
      <c r="J1477" s="641"/>
      <c r="K1477" s="641"/>
      <c r="L1477" s="844"/>
      <c r="M1477" s="652"/>
      <c r="N1477" s="652"/>
      <c r="O1477" s="652"/>
      <c r="P1477" s="652"/>
      <c r="Q1477" s="653"/>
      <c r="R1477" s="867"/>
      <c r="S1477" s="868"/>
      <c r="T1477" s="867"/>
    </row>
    <row r="1478" spans="1:41" s="519" customFormat="1" ht="12">
      <c r="A1478" s="47"/>
      <c r="B1478" s="47"/>
      <c r="C1478" s="47" t="s">
        <v>135</v>
      </c>
      <c r="D1478" s="36"/>
      <c r="E1478" s="47"/>
      <c r="F1478" s="47"/>
      <c r="G1478" s="47"/>
      <c r="H1478" s="47"/>
      <c r="I1478" s="47"/>
      <c r="J1478" s="47"/>
      <c r="K1478" s="47"/>
      <c r="L1478" s="47"/>
      <c r="M1478" s="47"/>
      <c r="N1478" s="47"/>
      <c r="O1478" s="48"/>
      <c r="P1478" s="47"/>
      <c r="Q1478" s="47"/>
      <c r="R1478" s="47"/>
      <c r="S1478" s="47"/>
      <c r="T1478" s="47"/>
    </row>
    <row r="1479" spans="1:41" s="519" customFormat="1" ht="12">
      <c r="A1479" s="47"/>
      <c r="B1479" s="47"/>
      <c r="C1479" s="47"/>
      <c r="D1479" s="36" t="s">
        <v>544</v>
      </c>
      <c r="E1479" s="47"/>
      <c r="F1479" s="47"/>
      <c r="G1479" s="47"/>
      <c r="H1479" s="47"/>
      <c r="I1479" s="47"/>
      <c r="J1479" s="47"/>
      <c r="K1479" s="47"/>
      <c r="L1479" s="47"/>
      <c r="M1479" s="47"/>
      <c r="N1479" s="47"/>
      <c r="O1479" s="48"/>
      <c r="P1479" s="47"/>
      <c r="Q1479" s="47"/>
      <c r="R1479" s="47"/>
      <c r="S1479" s="37"/>
      <c r="T1479" s="37"/>
    </row>
    <row r="1480" spans="1:41" s="3" customFormat="1" thickBot="1">
      <c r="A1480" s="529"/>
      <c r="O1480" s="99"/>
    </row>
    <row r="1481" spans="1:41" s="519" customFormat="1" thickTop="1">
      <c r="A1481" s="47"/>
      <c r="B1481" s="47"/>
      <c r="C1481" s="3"/>
      <c r="D1481" s="3"/>
      <c r="E1481" s="47"/>
      <c r="F1481" s="47"/>
      <c r="G1481" s="47"/>
      <c r="H1481" s="47"/>
      <c r="I1481" s="47"/>
      <c r="J1481" s="47"/>
      <c r="K1481" s="47" t="s">
        <v>134</v>
      </c>
      <c r="L1481" s="47"/>
      <c r="M1481" s="47"/>
      <c r="N1481" s="47"/>
      <c r="O1481" s="48"/>
      <c r="P1481" s="47"/>
      <c r="Q1481" s="47"/>
      <c r="R1481" s="47"/>
      <c r="S1481" s="47"/>
      <c r="T1481" s="47"/>
    </row>
    <row r="1482" spans="1:41" s="519" customFormat="1" ht="12">
      <c r="A1482" s="47"/>
      <c r="B1482" s="47"/>
      <c r="C1482" s="47" t="s">
        <v>135</v>
      </c>
      <c r="D1482" s="36"/>
      <c r="E1482" s="47"/>
      <c r="F1482" s="47"/>
      <c r="G1482" s="47"/>
      <c r="H1482" s="47"/>
      <c r="I1482" s="47"/>
      <c r="J1482" s="47"/>
      <c r="K1482" s="47"/>
      <c r="L1482" s="47"/>
      <c r="M1482" s="47"/>
      <c r="N1482" s="47"/>
      <c r="O1482" s="48"/>
      <c r="P1482" s="47"/>
      <c r="Q1482" s="47"/>
      <c r="R1482" s="47"/>
      <c r="S1482" s="47"/>
      <c r="T1482" s="47"/>
    </row>
    <row r="1483" spans="1:41" s="519" customFormat="1" ht="39.9" customHeight="1">
      <c r="A1483" s="47"/>
      <c r="B1483" s="47"/>
      <c r="C1483" s="47"/>
      <c r="D1483" s="1081" t="s">
        <v>530</v>
      </c>
      <c r="E1483" s="1081"/>
      <c r="F1483" s="1081"/>
      <c r="G1483" s="1081"/>
      <c r="H1483" s="1081"/>
      <c r="I1483" s="1081"/>
      <c r="J1483" s="1081"/>
      <c r="K1483" s="1081"/>
      <c r="L1483" s="1081"/>
      <c r="M1483" s="1081"/>
      <c r="N1483" s="1081"/>
      <c r="O1483" s="1081"/>
      <c r="P1483" s="1081"/>
      <c r="Q1483" s="1081"/>
      <c r="R1483" s="1081"/>
      <c r="S1483" s="1081"/>
      <c r="T1483" s="1081"/>
    </row>
    <row r="1484" spans="1:41" s="3" customFormat="1" thickBot="1">
      <c r="A1484" s="529"/>
      <c r="O1484" s="99"/>
    </row>
    <row r="1485" spans="1:41" s="519" customFormat="1" thickTop="1">
      <c r="A1485" s="47"/>
      <c r="B1485" s="40"/>
      <c r="C1485" s="47"/>
      <c r="E1485" s="41" t="s">
        <v>138</v>
      </c>
      <c r="F1485" s="41" t="s">
        <v>139</v>
      </c>
      <c r="G1485" s="47"/>
      <c r="H1485" s="47"/>
      <c r="I1485" s="47"/>
      <c r="J1485" s="47"/>
      <c r="K1485" s="47" t="s">
        <v>140</v>
      </c>
      <c r="L1485" s="774"/>
      <c r="M1485" s="47"/>
      <c r="N1485" s="47"/>
      <c r="O1485" s="48"/>
      <c r="P1485" s="47"/>
      <c r="Q1485"/>
      <c r="R1485"/>
      <c r="S1485"/>
      <c r="T1485" s="40"/>
      <c r="AG1485" s="627" t="s">
        <v>277</v>
      </c>
      <c r="AH1485" s="627" t="s">
        <v>278</v>
      </c>
      <c r="AI1485" s="627" t="s">
        <v>279</v>
      </c>
      <c r="AJ1485" s="627" t="s">
        <v>280</v>
      </c>
      <c r="AK1485" s="627" t="s">
        <v>281</v>
      </c>
      <c r="AM1485" s="628" t="s">
        <v>290</v>
      </c>
      <c r="AN1485" s="629" t="s">
        <v>291</v>
      </c>
      <c r="AO1485" s="520" t="s">
        <v>287</v>
      </c>
    </row>
    <row r="1486" spans="1:41" s="519" customFormat="1" ht="13.2">
      <c r="A1486" s="630">
        <v>2</v>
      </c>
      <c r="B1486" s="521" t="s">
        <v>312</v>
      </c>
      <c r="C1486" s="631"/>
      <c r="D1486" s="632" t="s">
        <v>700</v>
      </c>
      <c r="E1486" s="775">
        <f>IF(AND($A1486=0,$A$1="DIF"),0,ROUND(ROUND(SUMIF($L1488:$L1499,"SUBI",$E1488:$E1499)/$A1486,2)*$C$12,2))</f>
        <v>0</v>
      </c>
      <c r="F1486" s="776">
        <f>ROUND($A1486*$E1486,2)</f>
        <v>0</v>
      </c>
      <c r="G1486" s="635" t="s">
        <v>142</v>
      </c>
      <c r="H1486" s="636"/>
      <c r="I1486" s="637"/>
      <c r="J1486" s="636"/>
      <c r="K1486" s="777"/>
      <c r="L1486" s="778" t="s">
        <v>143</v>
      </c>
      <c r="M1486" s="638"/>
      <c r="N1486" s="638"/>
      <c r="O1486" s="638"/>
      <c r="P1486" s="638"/>
      <c r="Q1486" s="967" t="s">
        <v>867</v>
      </c>
      <c r="R1486"/>
      <c r="S1486"/>
      <c r="T1486" s="779" t="str">
        <f>IF(AND($R1505=0,$T1505=0),"0.00","mu :" &amp; ROUND($F1486/$C$12/($R1505+$T1505*$D$9),2))</f>
        <v>0.00</v>
      </c>
      <c r="W1486" s="522"/>
      <c r="AG1486" s="780">
        <f>IF(A1486=0,0,ROUND(SUM(AG1488:AG1505)/A1486,2))</f>
        <v>0</v>
      </c>
      <c r="AH1486" s="780">
        <f>$AG1486*$A1486</f>
        <v>0</v>
      </c>
      <c r="AI1486" s="780">
        <f>$E1486-$AG1486</f>
        <v>0</v>
      </c>
      <c r="AJ1486" s="780">
        <f>$A1486*$AI1486</f>
        <v>0</v>
      </c>
      <c r="AK1486" s="781">
        <f>ROUND(($AG1486+$AI1486)*$A1486,2)</f>
        <v>0</v>
      </c>
      <c r="AM1486" s="525">
        <f>ROUND(R1505,2)</f>
        <v>0</v>
      </c>
      <c r="AN1486" s="526">
        <f>ROUND(T1505,2)</f>
        <v>0</v>
      </c>
      <c r="AO1486" s="527">
        <f>ROUND(AM1486+AN1486,2)*A1486</f>
        <v>0</v>
      </c>
    </row>
    <row r="1487" spans="1:41" s="519" customFormat="1" ht="21.6" customHeight="1">
      <c r="A1487" s="782"/>
      <c r="B1487" s="783"/>
      <c r="C1487" s="631"/>
      <c r="D1487" s="784" t="s">
        <v>545</v>
      </c>
      <c r="F1487" s="636"/>
      <c r="G1487" s="636"/>
      <c r="H1487" s="636"/>
      <c r="I1487" s="637"/>
      <c r="J1487" s="636"/>
      <c r="K1487" s="636" t="s">
        <v>144</v>
      </c>
      <c r="L1487" s="785"/>
      <c r="M1487" s="636"/>
      <c r="N1487" s="636"/>
      <c r="O1487" s="636"/>
      <c r="P1487" s="636"/>
      <c r="Q1487" s="47"/>
      <c r="R1487" s="528"/>
      <c r="S1487" s="640"/>
      <c r="T1487" s="636"/>
    </row>
    <row r="1488" spans="1:41" s="519" customFormat="1" ht="12">
      <c r="A1488" s="849"/>
      <c r="B1488" s="850"/>
      <c r="C1488" s="641"/>
      <c r="D1488" s="811"/>
      <c r="E1488" s="851">
        <f>F1486/$C$12-SUMIF($L1485:$L1505,"SUBI",$E1485:$E1505)</f>
        <v>0</v>
      </c>
      <c r="F1488" s="852" t="s">
        <v>589</v>
      </c>
      <c r="G1488" s="790"/>
      <c r="H1488" s="790"/>
      <c r="I1488" s="791"/>
      <c r="J1488" s="790"/>
      <c r="K1488" s="790"/>
      <c r="L1488" s="792"/>
      <c r="M1488" s="793"/>
      <c r="N1488" s="793"/>
      <c r="O1488" s="793"/>
      <c r="P1488" s="793"/>
      <c r="Q1488" s="794"/>
      <c r="R1488" s="795"/>
      <c r="S1488" s="794"/>
      <c r="T1488" s="796"/>
    </row>
    <row r="1489" spans="1:33" s="519" customFormat="1" ht="12" customHeight="1">
      <c r="A1489" s="797"/>
      <c r="B1489" s="798"/>
      <c r="C1489" s="799"/>
      <c r="D1489" s="799" t="str">
        <f>$F$2</f>
        <v>Electrical</v>
      </c>
      <c r="E1489" s="799">
        <f>ROUND(($R1493*$S$2 + ($T1493*$T$2)), 2)</f>
        <v>0</v>
      </c>
      <c r="F1489" s="800">
        <f>$E1489*$C$12</f>
        <v>0</v>
      </c>
      <c r="G1489" s="528"/>
      <c r="H1489" s="801"/>
      <c r="I1489" s="528"/>
      <c r="J1489" s="48"/>
      <c r="K1489" s="802" t="s">
        <v>3</v>
      </c>
      <c r="L1489" s="803" t="s">
        <v>590</v>
      </c>
      <c r="M1489" s="528"/>
      <c r="N1489" s="528"/>
      <c r="O1489" s="48"/>
      <c r="P1489" s="528"/>
      <c r="Q1489" s="528"/>
      <c r="R1489"/>
      <c r="S1489"/>
      <c r="T1489"/>
    </row>
    <row r="1490" spans="1:33" s="519" customFormat="1" ht="14.4" customHeight="1">
      <c r="A1490" s="49"/>
      <c r="B1490" s="804" t="s">
        <v>591</v>
      </c>
      <c r="C1490" s="528"/>
      <c r="D1490" s="528"/>
      <c r="E1490" s="528"/>
      <c r="F1490" s="528"/>
      <c r="G1490" s="528"/>
      <c r="H1490" s="801"/>
      <c r="I1490" s="528"/>
      <c r="J1490" s="48"/>
      <c r="K1490" s="805"/>
      <c r="L1490" s="806"/>
      <c r="M1490" s="528"/>
      <c r="N1490" s="528"/>
      <c r="O1490" s="48"/>
      <c r="P1490" s="528"/>
      <c r="Q1490" s="528"/>
      <c r="R1490" s="807">
        <f>$A1490*Q1490</f>
        <v>0</v>
      </c>
      <c r="S1490" s="528"/>
      <c r="T1490" s="643">
        <f>$A1490*S1490*$T$1</f>
        <v>0</v>
      </c>
    </row>
    <row r="1491" spans="1:33" s="519" customFormat="1" ht="14.4" customHeight="1">
      <c r="A1491" s="49"/>
      <c r="B1491" s="528"/>
      <c r="C1491" s="528"/>
      <c r="D1491" s="528"/>
      <c r="E1491" s="528"/>
      <c r="F1491" s="528"/>
      <c r="G1491" s="528"/>
      <c r="H1491" s="801"/>
      <c r="I1491" s="528"/>
      <c r="J1491" s="48"/>
      <c r="K1491" s="805"/>
      <c r="L1491" s="806"/>
      <c r="M1491" s="528"/>
      <c r="N1491" s="528"/>
      <c r="O1491" s="48"/>
      <c r="P1491" s="528"/>
      <c r="Q1491" s="528"/>
      <c r="R1491" s="807">
        <f>$A1491*Q1491</f>
        <v>0</v>
      </c>
      <c r="S1491" s="528"/>
      <c r="T1491" s="643">
        <f>$A1491*S1491*$T$1</f>
        <v>0</v>
      </c>
    </row>
    <row r="1492" spans="1:33" s="519" customFormat="1" ht="14.4" customHeight="1">
      <c r="A1492" s="49"/>
      <c r="B1492" s="528"/>
      <c r="C1492" s="528"/>
      <c r="D1492" s="528"/>
      <c r="E1492" s="528"/>
      <c r="F1492" s="528"/>
      <c r="G1492" s="528"/>
      <c r="H1492" s="801"/>
      <c r="I1492" s="528"/>
      <c r="J1492" s="48"/>
      <c r="K1492" s="805"/>
      <c r="L1492" s="806"/>
      <c r="M1492" s="528"/>
      <c r="N1492" s="528"/>
      <c r="O1492" s="48"/>
      <c r="P1492" s="528"/>
      <c r="Q1492" s="528"/>
      <c r="R1492" s="807">
        <f>$A1492*Q1492</f>
        <v>0</v>
      </c>
      <c r="S1492" s="528"/>
      <c r="T1492" s="643">
        <f>$A1492*S1492*$T$1</f>
        <v>0</v>
      </c>
    </row>
    <row r="1493" spans="1:33" s="519" customFormat="1" ht="12">
      <c r="A1493" s="835" t="s">
        <v>145</v>
      </c>
      <c r="B1493" s="836">
        <f>(R1492+T1492)</f>
        <v>0</v>
      </c>
      <c r="C1493" s="790"/>
      <c r="G1493" s="810"/>
      <c r="H1493" s="810"/>
      <c r="I1493" s="810"/>
      <c r="J1493" s="810"/>
      <c r="K1493" s="811" t="s">
        <v>3</v>
      </c>
      <c r="L1493" s="812" t="s">
        <v>590</v>
      </c>
      <c r="M1493" s="810"/>
      <c r="N1493" s="810"/>
      <c r="O1493" s="810"/>
      <c r="P1493" s="810"/>
      <c r="Q1493" s="813"/>
      <c r="R1493" s="814">
        <f>SUM(R1489:R1492)</f>
        <v>0</v>
      </c>
      <c r="S1493" s="815"/>
      <c r="T1493" s="814">
        <f>SUM(T1489:T1492)</f>
        <v>0</v>
      </c>
      <c r="AG1493" s="816">
        <f>ROUND($R1493*$S$2,2)</f>
        <v>0</v>
      </c>
    </row>
    <row r="1494" spans="1:33" s="519" customFormat="1" ht="12" customHeight="1">
      <c r="A1494" s="797"/>
      <c r="B1494" s="853"/>
      <c r="C1494" s="854"/>
      <c r="D1494" s="855" t="str">
        <f>$F$3</f>
        <v>ECA</v>
      </c>
      <c r="E1494" s="855">
        <f>ROUND(($R1498*$S$3 + ($T1498*$T$3)), 2)</f>
        <v>0</v>
      </c>
      <c r="F1494" s="856">
        <f>$E1494*$C$12</f>
        <v>0</v>
      </c>
      <c r="G1494" s="518"/>
      <c r="H1494" s="518"/>
      <c r="I1494" s="518"/>
      <c r="J1494" s="518"/>
      <c r="K1494" s="802" t="s">
        <v>5</v>
      </c>
      <c r="L1494" s="803" t="s">
        <v>590</v>
      </c>
      <c r="M1494" s="518"/>
      <c r="N1494" s="518"/>
      <c r="O1494" s="518"/>
      <c r="P1494" s="518"/>
      <c r="Q1494" s="518"/>
      <c r="R1494" s="821"/>
      <c r="S1494" s="518"/>
      <c r="T1494" s="821"/>
    </row>
    <row r="1495" spans="1:33" s="834" customFormat="1" ht="15.6" customHeight="1">
      <c r="A1495" s="822"/>
      <c r="B1495" s="804" t="s">
        <v>592</v>
      </c>
      <c r="C1495" s="823"/>
      <c r="D1495" s="824"/>
      <c r="E1495" s="824"/>
      <c r="F1495" s="824"/>
      <c r="G1495" s="825"/>
      <c r="H1495" s="826"/>
      <c r="I1495" s="826"/>
      <c r="J1495" s="827"/>
      <c r="K1495" s="828"/>
      <c r="L1495" s="823"/>
      <c r="M1495" s="829"/>
      <c r="N1495" s="830"/>
      <c r="O1495" s="831"/>
      <c r="P1495" s="832"/>
      <c r="Q1495" s="833"/>
      <c r="R1495" s="807">
        <f>$A1495*Q1495</f>
        <v>0</v>
      </c>
      <c r="S1495" s="528"/>
      <c r="T1495" s="643">
        <f>$A1495*S1495*$T$1</f>
        <v>0</v>
      </c>
    </row>
    <row r="1496" spans="1:33" s="519" customFormat="1" ht="15.6" customHeight="1">
      <c r="A1496" s="49"/>
      <c r="B1496" s="528"/>
      <c r="C1496" s="528"/>
      <c r="D1496" s="528"/>
      <c r="E1496" s="528"/>
      <c r="F1496" s="528"/>
      <c r="G1496" s="528"/>
      <c r="H1496" s="528"/>
      <c r="I1496" s="528"/>
      <c r="J1496" s="528"/>
      <c r="K1496" s="528"/>
      <c r="L1496" s="806"/>
      <c r="M1496" s="528"/>
      <c r="N1496" s="528"/>
      <c r="O1496" s="528"/>
      <c r="P1496" s="528"/>
      <c r="Q1496" s="528"/>
      <c r="R1496" s="807">
        <f>$A1496*Q1496</f>
        <v>0</v>
      </c>
      <c r="S1496" s="528"/>
      <c r="T1496" s="643">
        <f>$A1496*S1496*$T$1</f>
        <v>0</v>
      </c>
    </row>
    <row r="1497" spans="1:33" s="519" customFormat="1" ht="15.6" customHeight="1">
      <c r="A1497" s="49"/>
      <c r="B1497" s="528"/>
      <c r="C1497" s="528"/>
      <c r="D1497" s="3"/>
      <c r="E1497" s="528"/>
      <c r="F1497" s="528"/>
      <c r="G1497" s="528"/>
      <c r="H1497" s="528"/>
      <c r="I1497" s="528"/>
      <c r="J1497" s="528"/>
      <c r="K1497" s="528"/>
      <c r="L1497" s="806"/>
      <c r="M1497" s="528"/>
      <c r="N1497" s="528"/>
      <c r="O1497" s="528"/>
      <c r="P1497" s="528"/>
      <c r="Q1497" s="528"/>
      <c r="R1497" s="807">
        <f>$A1497*Q1497</f>
        <v>0</v>
      </c>
      <c r="S1497" s="528"/>
      <c r="T1497" s="643">
        <f>$A1497*S1497*$T$1</f>
        <v>0</v>
      </c>
    </row>
    <row r="1498" spans="1:33" s="519" customFormat="1" ht="12">
      <c r="A1498" s="835" t="s">
        <v>145</v>
      </c>
      <c r="B1498" s="836">
        <f>(R1497+T1497)</f>
        <v>0</v>
      </c>
      <c r="C1498" s="790"/>
      <c r="G1498" s="810"/>
      <c r="H1498" s="810"/>
      <c r="I1498" s="810"/>
      <c r="J1498" s="810"/>
      <c r="K1498" s="838" t="s">
        <v>5</v>
      </c>
      <c r="L1498" s="812" t="s">
        <v>590</v>
      </c>
      <c r="M1498" s="810"/>
      <c r="N1498" s="810"/>
      <c r="O1498" s="810"/>
      <c r="P1498" s="810"/>
      <c r="Q1498" s="813"/>
      <c r="R1498" s="814">
        <f>SUM(R1494:R1497)</f>
        <v>0</v>
      </c>
      <c r="S1498" s="815"/>
      <c r="T1498" s="814">
        <f>SUM(T1494:T1497)</f>
        <v>0</v>
      </c>
      <c r="AG1498" s="840">
        <f>ROUND($R1498*$S$3,2)</f>
        <v>0</v>
      </c>
    </row>
    <row r="1499" spans="1:33" s="519" customFormat="1" ht="12" customHeight="1">
      <c r="A1499" s="817"/>
      <c r="B1499" s="857"/>
      <c r="C1499" s="858"/>
      <c r="D1499" s="859">
        <f>$F$4</f>
        <v>0</v>
      </c>
      <c r="E1499" s="859">
        <f>ROUND(($R1503*$S$4 + ($T1503*$T$4)), 2)</f>
        <v>0</v>
      </c>
      <c r="F1499" s="860">
        <f ca="1">$F1486-SUMIF($L1488:$P1496,"SUBI",$F1488:$F1496)</f>
        <v>0</v>
      </c>
      <c r="G1499" s="518"/>
      <c r="H1499" s="518"/>
      <c r="I1499" s="518"/>
      <c r="J1499" s="518"/>
      <c r="K1499" s="861" t="s">
        <v>8</v>
      </c>
      <c r="L1499" s="803" t="s">
        <v>590</v>
      </c>
      <c r="M1499" s="518"/>
      <c r="N1499" s="518"/>
      <c r="O1499" s="518"/>
      <c r="P1499" s="518"/>
      <c r="Q1499" s="518"/>
      <c r="R1499" s="821"/>
      <c r="S1499" s="518"/>
      <c r="T1499" s="821"/>
    </row>
    <row r="1500" spans="1:33" s="834" customFormat="1" ht="14.4" customHeight="1">
      <c r="A1500" s="822"/>
      <c r="B1500" s="804" t="s">
        <v>680</v>
      </c>
      <c r="C1500" s="823"/>
      <c r="D1500" s="824"/>
      <c r="E1500" s="824"/>
      <c r="F1500" s="824"/>
      <c r="G1500" s="825"/>
      <c r="H1500" s="826"/>
      <c r="I1500" s="826"/>
      <c r="J1500" s="827"/>
      <c r="K1500" s="828"/>
      <c r="L1500" s="823"/>
      <c r="M1500" s="829"/>
      <c r="N1500" s="830"/>
      <c r="O1500" s="862"/>
      <c r="P1500" s="832"/>
      <c r="Q1500" s="833"/>
      <c r="R1500" s="642">
        <f>$A1500*Q1500</f>
        <v>0</v>
      </c>
      <c r="S1500" s="833"/>
      <c r="T1500" s="643">
        <f>$A1500*S1500*$T$1</f>
        <v>0</v>
      </c>
    </row>
    <row r="1501" spans="1:33" s="519" customFormat="1" ht="12">
      <c r="A1501" s="47"/>
      <c r="B1501" s="641"/>
      <c r="C1501" s="641"/>
      <c r="D1501" s="863"/>
      <c r="E1501" s="843"/>
      <c r="F1501" s="518"/>
      <c r="G1501" s="518"/>
      <c r="H1501" s="518"/>
      <c r="I1501" s="518"/>
      <c r="J1501" s="518"/>
      <c r="K1501" s="518"/>
      <c r="L1501" s="864"/>
      <c r="M1501" s="518"/>
      <c r="N1501" s="518"/>
      <c r="O1501" s="518"/>
      <c r="P1501" s="518"/>
      <c r="Q1501" s="518"/>
      <c r="R1501" s="642">
        <f>$A1501*Q1501</f>
        <v>0</v>
      </c>
      <c r="S1501" s="518"/>
      <c r="T1501" s="643">
        <f>$A1501*S1501*$T$1</f>
        <v>0</v>
      </c>
    </row>
    <row r="1502" spans="1:33" s="519" customFormat="1" ht="12">
      <c r="A1502" s="47"/>
      <c r="B1502" s="641"/>
      <c r="C1502" s="641"/>
      <c r="D1502" s="863"/>
      <c r="E1502" s="843"/>
      <c r="F1502" s="518"/>
      <c r="G1502" s="518"/>
      <c r="H1502" s="518"/>
      <c r="I1502" s="518"/>
      <c r="J1502" s="518"/>
      <c r="K1502" s="518"/>
      <c r="L1502" s="864"/>
      <c r="M1502" s="518"/>
      <c r="N1502" s="518"/>
      <c r="O1502" s="518"/>
      <c r="P1502" s="518"/>
      <c r="Q1502" s="518"/>
      <c r="R1502" s="642">
        <f>$A1502*Q1502</f>
        <v>0</v>
      </c>
      <c r="S1502" s="518"/>
      <c r="T1502" s="643">
        <f>$A1502*S1502*$T$1</f>
        <v>0</v>
      </c>
    </row>
    <row r="1503" spans="1:33" s="519" customFormat="1" ht="12.75" customHeight="1">
      <c r="A1503" s="835" t="s">
        <v>145</v>
      </c>
      <c r="B1503" s="836">
        <f>(R1502+T1502)</f>
        <v>0</v>
      </c>
      <c r="C1503" s="837"/>
      <c r="D1503" s="837"/>
      <c r="E1503" s="837"/>
      <c r="F1503" s="837"/>
      <c r="G1503" s="813"/>
      <c r="H1503" s="813"/>
      <c r="I1503" s="813"/>
      <c r="J1503" s="813"/>
      <c r="K1503" s="838" t="s">
        <v>8</v>
      </c>
      <c r="L1503" s="839" t="s">
        <v>590</v>
      </c>
      <c r="M1503" s="813"/>
      <c r="N1503" s="813"/>
      <c r="O1503" s="813"/>
      <c r="P1503" s="813"/>
      <c r="Q1503" s="813"/>
      <c r="R1503" s="814">
        <f>SUM(R1499:R1502)</f>
        <v>0</v>
      </c>
      <c r="S1503" s="815"/>
      <c r="T1503" s="814">
        <f>SUM(T1499:T1502)</f>
        <v>0</v>
      </c>
      <c r="AG1503" s="865">
        <f>ROUND($R1503*$S$4,2)</f>
        <v>0</v>
      </c>
    </row>
    <row r="1504" spans="1:33" s="519" customFormat="1" ht="12.75" customHeight="1">
      <c r="A1504" s="841"/>
      <c r="B1504" s="842"/>
      <c r="E1504" s="641"/>
      <c r="F1504" s="843"/>
      <c r="G1504" s="641"/>
      <c r="H1504" s="641"/>
      <c r="I1504" s="518"/>
      <c r="J1504" s="641"/>
      <c r="K1504" s="641"/>
      <c r="L1504" s="844"/>
      <c r="M1504" s="652"/>
      <c r="N1504" s="652"/>
      <c r="O1504" s="652"/>
      <c r="P1504" s="652"/>
      <c r="Q1504" s="653"/>
      <c r="R1504" s="821"/>
      <c r="S1504" s="641"/>
      <c r="T1504" s="821"/>
    </row>
    <row r="1505" spans="1:41" s="519" customFormat="1" ht="13.5" customHeight="1" thickBot="1">
      <c r="A1505" s="845"/>
      <c r="B1505" s="846"/>
      <c r="C1505" s="529"/>
      <c r="D1505" s="529"/>
      <c r="E1505" s="646"/>
      <c r="F1505" s="647"/>
      <c r="G1505" s="646" t="s">
        <v>146</v>
      </c>
      <c r="H1505" s="646"/>
      <c r="I1505" s="648"/>
      <c r="J1505" s="646"/>
      <c r="K1505" s="646"/>
      <c r="L1505" s="847" t="s">
        <v>143</v>
      </c>
      <c r="M1505" s="649"/>
      <c r="N1505" s="649"/>
      <c r="O1505" s="649"/>
      <c r="P1505" s="649"/>
      <c r="Q1505" s="650"/>
      <c r="R1505" s="848">
        <f>SUMIF($L1487:$L1504,"SUBI",R1487:R1504)</f>
        <v>0</v>
      </c>
      <c r="S1505" s="866"/>
      <c r="T1505" s="848">
        <f>SUMIF($L1487:$L1504,"SUBI",T1487:T1504)</f>
        <v>0</v>
      </c>
      <c r="U1505" s="529"/>
      <c r="V1505" s="529"/>
      <c r="W1505" s="529"/>
      <c r="X1505" s="529"/>
      <c r="Y1505" s="529"/>
      <c r="Z1505" s="529"/>
      <c r="AA1505" s="529"/>
      <c r="AB1505" s="529"/>
      <c r="AC1505" s="529"/>
      <c r="AD1505" s="529"/>
      <c r="AE1505" s="529"/>
      <c r="AF1505" s="529"/>
      <c r="AG1505" s="529"/>
      <c r="AH1505" s="529"/>
      <c r="AI1505" s="529"/>
      <c r="AJ1505" s="529"/>
      <c r="AK1505" s="529"/>
      <c r="AL1505" s="529"/>
      <c r="AM1505" s="529"/>
      <c r="AN1505" s="529"/>
      <c r="AO1505" s="529"/>
    </row>
    <row r="1506" spans="1:41" s="519" customFormat="1" thickTop="1">
      <c r="A1506" s="47"/>
      <c r="B1506" s="40"/>
      <c r="C1506" s="47"/>
      <c r="E1506" s="41" t="s">
        <v>138</v>
      </c>
      <c r="F1506" s="41" t="s">
        <v>139</v>
      </c>
      <c r="G1506" s="47"/>
      <c r="H1506" s="47"/>
      <c r="I1506" s="47"/>
      <c r="J1506" s="47"/>
      <c r="K1506" s="47" t="s">
        <v>140</v>
      </c>
      <c r="L1506" s="774"/>
      <c r="M1506" s="47"/>
      <c r="N1506" s="47"/>
      <c r="O1506" s="48"/>
      <c r="P1506" s="47"/>
      <c r="Q1506"/>
      <c r="R1506"/>
      <c r="S1506"/>
      <c r="T1506" s="40"/>
      <c r="AG1506" s="627" t="s">
        <v>277</v>
      </c>
      <c r="AH1506" s="627" t="s">
        <v>278</v>
      </c>
      <c r="AI1506" s="627" t="s">
        <v>279</v>
      </c>
      <c r="AJ1506" s="627" t="s">
        <v>280</v>
      </c>
      <c r="AK1506" s="627" t="s">
        <v>281</v>
      </c>
      <c r="AM1506" s="628" t="s">
        <v>290</v>
      </c>
      <c r="AN1506" s="629" t="s">
        <v>291</v>
      </c>
      <c r="AO1506" s="520" t="s">
        <v>287</v>
      </c>
    </row>
    <row r="1507" spans="1:41" s="519" customFormat="1" ht="13.2">
      <c r="A1507" s="630">
        <v>1</v>
      </c>
      <c r="B1507" s="521" t="s">
        <v>312</v>
      </c>
      <c r="C1507" s="631"/>
      <c r="D1507" s="632" t="s">
        <v>701</v>
      </c>
      <c r="E1507" s="775">
        <f>IF(AND($A1507=0,$A$1="DIF"),0,ROUND(ROUND(SUMIF($L1509:$L1520,"SUBI",$E1509:$E1520)/$A1507,2)*$C$12,2))</f>
        <v>0</v>
      </c>
      <c r="F1507" s="776">
        <f>ROUND($A1507*$E1507,2)</f>
        <v>0</v>
      </c>
      <c r="G1507" s="635" t="s">
        <v>142</v>
      </c>
      <c r="H1507" s="636"/>
      <c r="I1507" s="637"/>
      <c r="J1507" s="636"/>
      <c r="K1507" s="777"/>
      <c r="L1507" s="778" t="s">
        <v>143</v>
      </c>
      <c r="M1507" s="638"/>
      <c r="N1507" s="638"/>
      <c r="O1507" s="638"/>
      <c r="P1507" s="638"/>
      <c r="Q1507" s="967" t="s">
        <v>867</v>
      </c>
      <c r="R1507"/>
      <c r="S1507"/>
      <c r="T1507" s="779" t="str">
        <f>IF(AND($R1526=0,$T1526=0),"0.00","mu :" &amp; ROUND($F1507/$C$12/($R1526+$T1526*$D$9),2))</f>
        <v>0.00</v>
      </c>
      <c r="W1507" s="522"/>
      <c r="AG1507" s="780">
        <f>IF(A1507=0,0,ROUND(SUM(AG1509:AG1526)/A1507,2))</f>
        <v>0</v>
      </c>
      <c r="AH1507" s="780">
        <f>$AG1507*$A1507</f>
        <v>0</v>
      </c>
      <c r="AI1507" s="780">
        <f>$E1507-$AG1507</f>
        <v>0</v>
      </c>
      <c r="AJ1507" s="780">
        <f>$A1507*$AI1507</f>
        <v>0</v>
      </c>
      <c r="AK1507" s="781">
        <f>ROUND(($AG1507+$AI1507)*$A1507,2)</f>
        <v>0</v>
      </c>
      <c r="AM1507" s="525">
        <f>ROUND(R1526,2)</f>
        <v>0</v>
      </c>
      <c r="AN1507" s="526">
        <f>ROUND(T1526,2)</f>
        <v>0</v>
      </c>
      <c r="AO1507" s="527">
        <f>ROUND(AM1507+AN1507,2)*A1507</f>
        <v>0</v>
      </c>
    </row>
    <row r="1508" spans="1:41" s="519" customFormat="1" ht="21.6" customHeight="1">
      <c r="A1508" s="782"/>
      <c r="B1508" s="783"/>
      <c r="C1508" s="631"/>
      <c r="D1508" s="784" t="s">
        <v>546</v>
      </c>
      <c r="F1508" s="636"/>
      <c r="G1508" s="636"/>
      <c r="H1508" s="636"/>
      <c r="I1508" s="637"/>
      <c r="J1508" s="636"/>
      <c r="K1508" s="636" t="s">
        <v>144</v>
      </c>
      <c r="L1508" s="785"/>
      <c r="M1508" s="636"/>
      <c r="N1508" s="636"/>
      <c r="O1508" s="636"/>
      <c r="P1508" s="636"/>
      <c r="Q1508" s="47"/>
      <c r="R1508" s="528"/>
      <c r="S1508" s="640"/>
      <c r="T1508" s="636"/>
    </row>
    <row r="1509" spans="1:41" s="519" customFormat="1" ht="12">
      <c r="A1509" s="849"/>
      <c r="B1509" s="850"/>
      <c r="C1509" s="641"/>
      <c r="D1509" s="811"/>
      <c r="E1509" s="851">
        <f>F1507/$C$12-SUMIF($L1506:$L1526,"SUBI",$E1506:$E1526)</f>
        <v>0</v>
      </c>
      <c r="F1509" s="852" t="s">
        <v>589</v>
      </c>
      <c r="G1509" s="790"/>
      <c r="H1509" s="790"/>
      <c r="I1509" s="791"/>
      <c r="J1509" s="790"/>
      <c r="K1509" s="790"/>
      <c r="L1509" s="792"/>
      <c r="M1509" s="793"/>
      <c r="N1509" s="793"/>
      <c r="O1509" s="793"/>
      <c r="P1509" s="793"/>
      <c r="Q1509" s="794"/>
      <c r="R1509" s="795"/>
      <c r="S1509" s="794"/>
      <c r="T1509" s="796"/>
    </row>
    <row r="1510" spans="1:41" s="519" customFormat="1" ht="12" customHeight="1">
      <c r="A1510" s="797"/>
      <c r="B1510" s="798"/>
      <c r="C1510" s="799"/>
      <c r="D1510" s="799" t="str">
        <f>$F$2</f>
        <v>Electrical</v>
      </c>
      <c r="E1510" s="799">
        <f>ROUND(($R1514*$S$2 + ($T1514*$T$2)), 2)</f>
        <v>0</v>
      </c>
      <c r="F1510" s="800">
        <f>$E1510*$C$12</f>
        <v>0</v>
      </c>
      <c r="G1510" s="528"/>
      <c r="H1510" s="801"/>
      <c r="I1510" s="528"/>
      <c r="J1510" s="48"/>
      <c r="K1510" s="802" t="s">
        <v>3</v>
      </c>
      <c r="L1510" s="803" t="s">
        <v>590</v>
      </c>
      <c r="M1510" s="528"/>
      <c r="N1510" s="528"/>
      <c r="O1510" s="48"/>
      <c r="P1510" s="528"/>
      <c r="Q1510" s="528"/>
      <c r="R1510"/>
      <c r="S1510"/>
      <c r="T1510"/>
    </row>
    <row r="1511" spans="1:41" s="519" customFormat="1" ht="14.4" customHeight="1">
      <c r="A1511" s="49"/>
      <c r="B1511" s="804" t="s">
        <v>591</v>
      </c>
      <c r="C1511" s="528"/>
      <c r="D1511" s="528"/>
      <c r="E1511" s="528"/>
      <c r="F1511" s="528"/>
      <c r="G1511" s="528"/>
      <c r="H1511" s="801"/>
      <c r="I1511" s="528"/>
      <c r="J1511" s="48"/>
      <c r="K1511" s="805"/>
      <c r="L1511" s="806"/>
      <c r="M1511" s="528"/>
      <c r="N1511" s="528"/>
      <c r="O1511" s="48"/>
      <c r="P1511" s="528"/>
      <c r="Q1511" s="528"/>
      <c r="R1511" s="807">
        <f>$A1511*Q1511</f>
        <v>0</v>
      </c>
      <c r="S1511" s="528"/>
      <c r="T1511" s="643">
        <f>$A1511*S1511*$T$1</f>
        <v>0</v>
      </c>
    </row>
    <row r="1512" spans="1:41" s="519" customFormat="1" ht="14.4" customHeight="1">
      <c r="A1512" s="49"/>
      <c r="B1512" s="528"/>
      <c r="C1512" s="528"/>
      <c r="D1512" s="528"/>
      <c r="E1512" s="528"/>
      <c r="F1512" s="528"/>
      <c r="G1512" s="528"/>
      <c r="H1512" s="801"/>
      <c r="I1512" s="528"/>
      <c r="J1512" s="48"/>
      <c r="K1512" s="805"/>
      <c r="L1512" s="806"/>
      <c r="M1512" s="528"/>
      <c r="N1512" s="528"/>
      <c r="O1512" s="48"/>
      <c r="P1512" s="528"/>
      <c r="Q1512" s="528"/>
      <c r="R1512" s="807">
        <f>$A1512*Q1512</f>
        <v>0</v>
      </c>
      <c r="S1512" s="528"/>
      <c r="T1512" s="643">
        <f>$A1512*S1512*$T$1</f>
        <v>0</v>
      </c>
    </row>
    <row r="1513" spans="1:41" s="519" customFormat="1" ht="14.4" customHeight="1">
      <c r="A1513" s="49"/>
      <c r="B1513" s="528"/>
      <c r="C1513" s="528"/>
      <c r="D1513" s="528"/>
      <c r="E1513" s="528"/>
      <c r="F1513" s="528"/>
      <c r="G1513" s="528"/>
      <c r="H1513" s="801"/>
      <c r="I1513" s="528"/>
      <c r="J1513" s="48"/>
      <c r="K1513" s="805"/>
      <c r="L1513" s="806"/>
      <c r="M1513" s="528"/>
      <c r="N1513" s="528"/>
      <c r="O1513" s="48"/>
      <c r="P1513" s="528"/>
      <c r="Q1513" s="528"/>
      <c r="R1513" s="807">
        <f>$A1513*Q1513</f>
        <v>0</v>
      </c>
      <c r="S1513" s="528"/>
      <c r="T1513" s="643">
        <f>$A1513*S1513*$T$1</f>
        <v>0</v>
      </c>
    </row>
    <row r="1514" spans="1:41" s="519" customFormat="1" ht="12">
      <c r="A1514" s="835" t="s">
        <v>145</v>
      </c>
      <c r="B1514" s="836">
        <f>(R1513+T1513)</f>
        <v>0</v>
      </c>
      <c r="C1514" s="790"/>
      <c r="G1514" s="810"/>
      <c r="H1514" s="810"/>
      <c r="I1514" s="810"/>
      <c r="J1514" s="810"/>
      <c r="K1514" s="811" t="s">
        <v>3</v>
      </c>
      <c r="L1514" s="812" t="s">
        <v>590</v>
      </c>
      <c r="M1514" s="810"/>
      <c r="N1514" s="810"/>
      <c r="O1514" s="810"/>
      <c r="P1514" s="810"/>
      <c r="Q1514" s="813"/>
      <c r="R1514" s="814">
        <f>SUM(R1510:R1513)</f>
        <v>0</v>
      </c>
      <c r="S1514" s="815"/>
      <c r="T1514" s="814">
        <f>SUM(T1510:T1513)</f>
        <v>0</v>
      </c>
      <c r="AG1514" s="816">
        <f>ROUND($R1514*$S$2,2)</f>
        <v>0</v>
      </c>
    </row>
    <row r="1515" spans="1:41" s="519" customFormat="1" ht="12" customHeight="1">
      <c r="A1515" s="797"/>
      <c r="B1515" s="853"/>
      <c r="C1515" s="854"/>
      <c r="D1515" s="855" t="str">
        <f>$F$3</f>
        <v>ECA</v>
      </c>
      <c r="E1515" s="855">
        <f>ROUND(($R1519*$S$3 + ($T1519*$T$3)), 2)</f>
        <v>0</v>
      </c>
      <c r="F1515" s="856">
        <f>$E1515*$C$12</f>
        <v>0</v>
      </c>
      <c r="G1515" s="518"/>
      <c r="H1515" s="518"/>
      <c r="I1515" s="518"/>
      <c r="J1515" s="518"/>
      <c r="K1515" s="802" t="s">
        <v>5</v>
      </c>
      <c r="L1515" s="803" t="s">
        <v>590</v>
      </c>
      <c r="M1515" s="518"/>
      <c r="N1515" s="518"/>
      <c r="O1515" s="518"/>
      <c r="P1515" s="518"/>
      <c r="Q1515" s="518"/>
      <c r="R1515" s="821"/>
      <c r="S1515" s="518"/>
      <c r="T1515" s="821"/>
    </row>
    <row r="1516" spans="1:41" s="834" customFormat="1" ht="15.6" customHeight="1">
      <c r="A1516" s="822"/>
      <c r="B1516" s="804" t="s">
        <v>592</v>
      </c>
      <c r="C1516" s="823"/>
      <c r="D1516" s="824"/>
      <c r="E1516" s="824"/>
      <c r="F1516" s="824"/>
      <c r="G1516" s="825"/>
      <c r="H1516" s="826"/>
      <c r="I1516" s="826"/>
      <c r="J1516" s="827"/>
      <c r="K1516" s="828"/>
      <c r="L1516" s="823"/>
      <c r="M1516" s="829"/>
      <c r="N1516" s="830"/>
      <c r="O1516" s="831"/>
      <c r="P1516" s="832"/>
      <c r="Q1516" s="833"/>
      <c r="R1516" s="807">
        <f>$A1516*Q1516</f>
        <v>0</v>
      </c>
      <c r="S1516" s="528"/>
      <c r="T1516" s="643">
        <f>$A1516*S1516*$T$1</f>
        <v>0</v>
      </c>
    </row>
    <row r="1517" spans="1:41" s="519" customFormat="1" ht="15.6" customHeight="1">
      <c r="A1517" s="49"/>
      <c r="B1517" s="528"/>
      <c r="C1517" s="528"/>
      <c r="D1517" s="528"/>
      <c r="E1517" s="528"/>
      <c r="F1517" s="528"/>
      <c r="G1517" s="528"/>
      <c r="H1517" s="528"/>
      <c r="I1517" s="528"/>
      <c r="J1517" s="528"/>
      <c r="K1517" s="528"/>
      <c r="L1517" s="806"/>
      <c r="M1517" s="528"/>
      <c r="N1517" s="528"/>
      <c r="O1517" s="528"/>
      <c r="P1517" s="528"/>
      <c r="Q1517" s="528"/>
      <c r="R1517" s="807">
        <f>$A1517*Q1517</f>
        <v>0</v>
      </c>
      <c r="S1517" s="528"/>
      <c r="T1517" s="643">
        <f>$A1517*S1517*$T$1</f>
        <v>0</v>
      </c>
    </row>
    <row r="1518" spans="1:41" s="519" customFormat="1" ht="15.6" customHeight="1">
      <c r="A1518" s="49"/>
      <c r="B1518" s="528"/>
      <c r="C1518" s="528"/>
      <c r="D1518" s="3"/>
      <c r="E1518" s="528"/>
      <c r="F1518" s="528"/>
      <c r="G1518" s="528"/>
      <c r="H1518" s="528"/>
      <c r="I1518" s="528"/>
      <c r="J1518" s="528"/>
      <c r="K1518" s="528"/>
      <c r="L1518" s="806"/>
      <c r="M1518" s="528"/>
      <c r="N1518" s="528"/>
      <c r="O1518" s="528"/>
      <c r="P1518" s="528"/>
      <c r="Q1518" s="528"/>
      <c r="R1518" s="807">
        <f>$A1518*Q1518</f>
        <v>0</v>
      </c>
      <c r="S1518" s="528"/>
      <c r="T1518" s="643">
        <f>$A1518*S1518*$T$1</f>
        <v>0</v>
      </c>
    </row>
    <row r="1519" spans="1:41" s="519" customFormat="1" ht="12">
      <c r="A1519" s="835" t="s">
        <v>145</v>
      </c>
      <c r="B1519" s="836">
        <f>(R1518+T1518)</f>
        <v>0</v>
      </c>
      <c r="C1519" s="790"/>
      <c r="G1519" s="810"/>
      <c r="H1519" s="810"/>
      <c r="I1519" s="810"/>
      <c r="J1519" s="810"/>
      <c r="K1519" s="838" t="s">
        <v>5</v>
      </c>
      <c r="L1519" s="812" t="s">
        <v>590</v>
      </c>
      <c r="M1519" s="810"/>
      <c r="N1519" s="810"/>
      <c r="O1519" s="810"/>
      <c r="P1519" s="810"/>
      <c r="Q1519" s="813"/>
      <c r="R1519" s="814">
        <f>SUM(R1515:R1518)</f>
        <v>0</v>
      </c>
      <c r="S1519" s="815"/>
      <c r="T1519" s="814">
        <f>SUM(T1515:T1518)</f>
        <v>0</v>
      </c>
      <c r="AG1519" s="840">
        <f>ROUND($R1519*$S$3,2)</f>
        <v>0</v>
      </c>
    </row>
    <row r="1520" spans="1:41" s="519" customFormat="1" ht="12" customHeight="1">
      <c r="A1520" s="817"/>
      <c r="B1520" s="857"/>
      <c r="C1520" s="858"/>
      <c r="D1520" s="859">
        <f>$F$4</f>
        <v>0</v>
      </c>
      <c r="E1520" s="859">
        <f>ROUND(($R1524*$S$4 + ($T1524*$T$4)), 2)</f>
        <v>0</v>
      </c>
      <c r="F1520" s="860">
        <f ca="1">$F1507-SUMIF($L1509:$P1517,"SUBI",$F1509:$F1517)</f>
        <v>0</v>
      </c>
      <c r="G1520" s="518"/>
      <c r="H1520" s="518"/>
      <c r="I1520" s="518"/>
      <c r="J1520" s="518"/>
      <c r="K1520" s="861" t="s">
        <v>8</v>
      </c>
      <c r="L1520" s="803" t="s">
        <v>590</v>
      </c>
      <c r="M1520" s="518"/>
      <c r="N1520" s="518"/>
      <c r="O1520" s="518"/>
      <c r="P1520" s="518"/>
      <c r="Q1520" s="518"/>
      <c r="R1520" s="821"/>
      <c r="S1520" s="518"/>
      <c r="T1520" s="821"/>
    </row>
    <row r="1521" spans="1:41" s="834" customFormat="1" ht="14.4" customHeight="1">
      <c r="A1521" s="822"/>
      <c r="B1521" s="804" t="s">
        <v>680</v>
      </c>
      <c r="C1521" s="823"/>
      <c r="D1521" s="824"/>
      <c r="E1521" s="824"/>
      <c r="F1521" s="824"/>
      <c r="G1521" s="825"/>
      <c r="H1521" s="826"/>
      <c r="I1521" s="826"/>
      <c r="J1521" s="827"/>
      <c r="K1521" s="828"/>
      <c r="L1521" s="823"/>
      <c r="M1521" s="829"/>
      <c r="N1521" s="830"/>
      <c r="O1521" s="862"/>
      <c r="P1521" s="832"/>
      <c r="Q1521" s="833"/>
      <c r="R1521" s="642">
        <f>$A1521*Q1521</f>
        <v>0</v>
      </c>
      <c r="S1521" s="833"/>
      <c r="T1521" s="643">
        <f>$A1521*S1521*$T$1</f>
        <v>0</v>
      </c>
    </row>
    <row r="1522" spans="1:41" s="519" customFormat="1" ht="12">
      <c r="A1522" s="47"/>
      <c r="B1522" s="641"/>
      <c r="C1522" s="641"/>
      <c r="D1522" s="863"/>
      <c r="E1522" s="843"/>
      <c r="F1522" s="518"/>
      <c r="G1522" s="518"/>
      <c r="H1522" s="518"/>
      <c r="I1522" s="518"/>
      <c r="J1522" s="518"/>
      <c r="K1522" s="518"/>
      <c r="L1522" s="864"/>
      <c r="M1522" s="518"/>
      <c r="N1522" s="518"/>
      <c r="O1522" s="518"/>
      <c r="P1522" s="518"/>
      <c r="Q1522" s="518"/>
      <c r="R1522" s="642">
        <f>$A1522*Q1522</f>
        <v>0</v>
      </c>
      <c r="S1522" s="518"/>
      <c r="T1522" s="643">
        <f>$A1522*S1522*$T$1</f>
        <v>0</v>
      </c>
    </row>
    <row r="1523" spans="1:41" s="519" customFormat="1" ht="12">
      <c r="A1523" s="47"/>
      <c r="B1523" s="641"/>
      <c r="C1523" s="641"/>
      <c r="D1523" s="863"/>
      <c r="E1523" s="843"/>
      <c r="F1523" s="518"/>
      <c r="G1523" s="518"/>
      <c r="H1523" s="518"/>
      <c r="I1523" s="518"/>
      <c r="J1523" s="518"/>
      <c r="K1523" s="518"/>
      <c r="L1523" s="864"/>
      <c r="M1523" s="518"/>
      <c r="N1523" s="518"/>
      <c r="O1523" s="518"/>
      <c r="P1523" s="518"/>
      <c r="Q1523" s="518"/>
      <c r="R1523" s="642">
        <f>$A1523*Q1523</f>
        <v>0</v>
      </c>
      <c r="S1523" s="518"/>
      <c r="T1523" s="643">
        <f>$A1523*S1523*$T$1</f>
        <v>0</v>
      </c>
    </row>
    <row r="1524" spans="1:41" s="519" customFormat="1" ht="12.75" customHeight="1">
      <c r="A1524" s="835" t="s">
        <v>145</v>
      </c>
      <c r="B1524" s="836">
        <f>(R1523+T1523)</f>
        <v>0</v>
      </c>
      <c r="C1524" s="837"/>
      <c r="D1524" s="837"/>
      <c r="E1524" s="837"/>
      <c r="F1524" s="837"/>
      <c r="G1524" s="813"/>
      <c r="H1524" s="813"/>
      <c r="I1524" s="813"/>
      <c r="J1524" s="813"/>
      <c r="K1524" s="838" t="s">
        <v>8</v>
      </c>
      <c r="L1524" s="839" t="s">
        <v>590</v>
      </c>
      <c r="M1524" s="813"/>
      <c r="N1524" s="813"/>
      <c r="O1524" s="813"/>
      <c r="P1524" s="813"/>
      <c r="Q1524" s="813"/>
      <c r="R1524" s="814">
        <f>SUM(R1520:R1523)</f>
        <v>0</v>
      </c>
      <c r="S1524" s="815"/>
      <c r="T1524" s="814">
        <f>SUM(T1520:T1523)</f>
        <v>0</v>
      </c>
      <c r="AG1524" s="865">
        <f>ROUND($R1524*$S$4,2)</f>
        <v>0</v>
      </c>
    </row>
    <row r="1525" spans="1:41" s="519" customFormat="1" ht="12.75" customHeight="1">
      <c r="A1525" s="841"/>
      <c r="B1525" s="842"/>
      <c r="E1525" s="641"/>
      <c r="F1525" s="843"/>
      <c r="G1525" s="641"/>
      <c r="H1525" s="641"/>
      <c r="I1525" s="518"/>
      <c r="J1525" s="641"/>
      <c r="K1525" s="641"/>
      <c r="L1525" s="844"/>
      <c r="M1525" s="652"/>
      <c r="N1525" s="652"/>
      <c r="O1525" s="652"/>
      <c r="P1525" s="652"/>
      <c r="Q1525" s="653"/>
      <c r="R1525" s="821"/>
      <c r="S1525" s="641"/>
      <c r="T1525" s="821"/>
    </row>
    <row r="1526" spans="1:41" s="519" customFormat="1" ht="13.5" customHeight="1" thickBot="1">
      <c r="A1526" s="845"/>
      <c r="B1526" s="846"/>
      <c r="C1526" s="529"/>
      <c r="D1526" s="529"/>
      <c r="E1526" s="646"/>
      <c r="F1526" s="647"/>
      <c r="G1526" s="646" t="s">
        <v>146</v>
      </c>
      <c r="H1526" s="646"/>
      <c r="I1526" s="648"/>
      <c r="J1526" s="646"/>
      <c r="K1526" s="646"/>
      <c r="L1526" s="847" t="s">
        <v>143</v>
      </c>
      <c r="M1526" s="649"/>
      <c r="N1526" s="649"/>
      <c r="O1526" s="649"/>
      <c r="P1526" s="649"/>
      <c r="Q1526" s="650"/>
      <c r="R1526" s="848">
        <f>SUMIF($L1508:$L1525,"SUBI",R1508:R1525)</f>
        <v>0</v>
      </c>
      <c r="S1526" s="866"/>
      <c r="T1526" s="848">
        <f>SUMIF($L1508:$L1525,"SUBI",T1508:T1525)</f>
        <v>0</v>
      </c>
      <c r="U1526" s="529"/>
      <c r="V1526" s="529"/>
      <c r="W1526" s="529"/>
      <c r="X1526" s="529"/>
      <c r="Y1526" s="529"/>
      <c r="Z1526" s="529"/>
      <c r="AA1526" s="529"/>
      <c r="AB1526" s="529"/>
      <c r="AC1526" s="529"/>
      <c r="AD1526" s="529"/>
      <c r="AE1526" s="529"/>
      <c r="AF1526" s="529"/>
      <c r="AG1526" s="529"/>
      <c r="AH1526" s="529"/>
      <c r="AI1526" s="529"/>
      <c r="AJ1526" s="529"/>
      <c r="AK1526" s="529"/>
      <c r="AL1526" s="529"/>
      <c r="AM1526" s="529"/>
      <c r="AN1526" s="529"/>
      <c r="AO1526" s="529"/>
    </row>
    <row r="1527" spans="1:41" s="519" customFormat="1" thickTop="1">
      <c r="A1527" s="47"/>
      <c r="B1527" s="40"/>
      <c r="C1527" s="47"/>
      <c r="E1527" s="41" t="s">
        <v>138</v>
      </c>
      <c r="F1527" s="41" t="s">
        <v>139</v>
      </c>
      <c r="G1527" s="47"/>
      <c r="H1527" s="47"/>
      <c r="I1527" s="47"/>
      <c r="J1527" s="47"/>
      <c r="K1527" s="47" t="s">
        <v>140</v>
      </c>
      <c r="L1527" s="774"/>
      <c r="M1527" s="47"/>
      <c r="N1527" s="47"/>
      <c r="O1527" s="48"/>
      <c r="P1527" s="47"/>
      <c r="Q1527"/>
      <c r="R1527"/>
      <c r="S1527"/>
      <c r="T1527" s="40"/>
      <c r="AG1527" s="627" t="s">
        <v>277</v>
      </c>
      <c r="AH1527" s="627" t="s">
        <v>278</v>
      </c>
      <c r="AI1527" s="627" t="s">
        <v>279</v>
      </c>
      <c r="AJ1527" s="627" t="s">
        <v>280</v>
      </c>
      <c r="AK1527" s="627" t="s">
        <v>281</v>
      </c>
      <c r="AM1527" s="628" t="s">
        <v>290</v>
      </c>
      <c r="AN1527" s="629" t="s">
        <v>291</v>
      </c>
      <c r="AO1527" s="520" t="s">
        <v>287</v>
      </c>
    </row>
    <row r="1528" spans="1:41" s="519" customFormat="1" ht="13.2">
      <c r="A1528" s="630">
        <v>3</v>
      </c>
      <c r="B1528" s="521" t="s">
        <v>312</v>
      </c>
      <c r="C1528" s="631"/>
      <c r="D1528" s="632" t="s">
        <v>702</v>
      </c>
      <c r="E1528" s="775">
        <f ca="1">IF(AND($A1528=0,$A$1="DIF"),0,ROUND(ROUND(SUMIF($L1530:$L1541,"SUBI",$E1530:$E1541)/$A1528,2)*$C$12,2))</f>
        <v>41.96</v>
      </c>
      <c r="F1528" s="776">
        <f ca="1">ROUND($A1528*$E1528,2)</f>
        <v>125.88</v>
      </c>
      <c r="G1528" s="635" t="s">
        <v>142</v>
      </c>
      <c r="H1528" s="636"/>
      <c r="I1528" s="637"/>
      <c r="J1528" s="636"/>
      <c r="K1528" s="777"/>
      <c r="L1528" s="778" t="s">
        <v>143</v>
      </c>
      <c r="M1528" s="638"/>
      <c r="N1528" s="638"/>
      <c r="O1528" s="638"/>
      <c r="P1528" s="638"/>
      <c r="Q1528" s="967"/>
      <c r="R1528"/>
      <c r="S1528"/>
      <c r="T1528" s="779" t="str">
        <f ca="1">IF(AND($R1547=0,$T1547=0),"0.00","mu :" &amp; ROUND($F1528/$C$12/($R1547+$T1547*$D$9),2))</f>
        <v>mu :1</v>
      </c>
      <c r="W1528" s="522"/>
      <c r="AG1528" s="780">
        <f ca="1">IF(A1528=0,0,ROUND(SUM(AG1530:AG1547)/A1528,2))</f>
        <v>12.3</v>
      </c>
      <c r="AH1528" s="780">
        <f ca="1">$AG1528*$A1528</f>
        <v>36.900000000000006</v>
      </c>
      <c r="AI1528" s="780">
        <f ca="1">$E1528-$AG1528</f>
        <v>29.66</v>
      </c>
      <c r="AJ1528" s="780">
        <f ca="1">$A1528*$AI1528</f>
        <v>88.98</v>
      </c>
      <c r="AK1528" s="781">
        <f ca="1">ROUND(($AG1528+$AI1528)*$A1528,2)</f>
        <v>125.88</v>
      </c>
      <c r="AM1528" s="525">
        <f ca="1">ROUND(R1547,2)</f>
        <v>36.9</v>
      </c>
      <c r="AN1528" s="526">
        <f ca="1">ROUND(T1547,2)</f>
        <v>3.24</v>
      </c>
      <c r="AO1528" s="527">
        <f ca="1">ROUND(AM1528+AN1528,2)*A1528</f>
        <v>120.42</v>
      </c>
    </row>
    <row r="1529" spans="1:41" s="519" customFormat="1" ht="21.6" customHeight="1">
      <c r="A1529" s="782"/>
      <c r="B1529" s="783"/>
      <c r="C1529" s="631"/>
      <c r="D1529" s="784" t="s">
        <v>534</v>
      </c>
      <c r="F1529" s="636"/>
      <c r="G1529" s="636"/>
      <c r="H1529" s="636"/>
      <c r="I1529" s="637"/>
      <c r="J1529" s="636"/>
      <c r="K1529" s="636" t="s">
        <v>144</v>
      </c>
      <c r="L1529" s="785"/>
      <c r="M1529" s="636"/>
      <c r="N1529" s="636"/>
      <c r="O1529" s="636"/>
      <c r="P1529" s="636"/>
      <c r="Q1529" s="47"/>
      <c r="R1529" s="528"/>
      <c r="S1529" s="640"/>
      <c r="T1529" s="636"/>
    </row>
    <row r="1530" spans="1:41" s="519" customFormat="1" ht="12">
      <c r="A1530" s="849"/>
      <c r="B1530" s="850"/>
      <c r="C1530" s="641"/>
      <c r="D1530" s="811"/>
      <c r="E1530" s="851">
        <f ca="1">F1528/$C$12-SUMIF($L1527:$L1547,"SUBI",$E1527:$E1547)</f>
        <v>9.9999999999909051E-3</v>
      </c>
      <c r="F1530" s="852" t="s">
        <v>589</v>
      </c>
      <c r="G1530" s="790"/>
      <c r="H1530" s="790"/>
      <c r="I1530" s="791"/>
      <c r="J1530" s="790"/>
      <c r="K1530" s="790"/>
      <c r="L1530" s="792"/>
      <c r="M1530" s="793"/>
      <c r="N1530" s="793"/>
      <c r="O1530" s="793"/>
      <c r="P1530" s="793"/>
      <c r="Q1530" s="794"/>
      <c r="R1530" s="795"/>
      <c r="S1530" s="794"/>
      <c r="T1530" s="796"/>
    </row>
    <row r="1531" spans="1:41" s="519" customFormat="1" ht="12" customHeight="1">
      <c r="A1531" s="797"/>
      <c r="B1531" s="798"/>
      <c r="C1531" s="799"/>
      <c r="D1531" s="799" t="str">
        <f>$F$2</f>
        <v>Electrical</v>
      </c>
      <c r="E1531" s="799">
        <f ca="1">ROUND(($R1535*$S$2 + ($T1535*$T$2)), 2)</f>
        <v>125.87</v>
      </c>
      <c r="F1531" s="800">
        <f ca="1">$E1531*$C$12</f>
        <v>125.87</v>
      </c>
      <c r="G1531" s="528"/>
      <c r="H1531" s="801"/>
      <c r="I1531" s="528"/>
      <c r="J1531" s="48"/>
      <c r="K1531" s="802" t="s">
        <v>3</v>
      </c>
      <c r="L1531" s="803" t="s">
        <v>590</v>
      </c>
      <c r="M1531" s="528"/>
      <c r="N1531" s="528"/>
      <c r="O1531" s="48"/>
      <c r="P1531" s="528"/>
      <c r="Q1531" s="528"/>
      <c r="R1531"/>
      <c r="S1531"/>
      <c r="T1531"/>
    </row>
    <row r="1532" spans="1:41" s="956" customFormat="1" ht="13.2">
      <c r="A1532"/>
      <c r="B1532" s="948"/>
      <c r="C1532" s="948" t="s">
        <v>742</v>
      </c>
      <c r="D1532" s="948" t="str">
        <f ca="1">CELL("Address",Elec_Rates!D$138)</f>
        <v>[ELM25_0085_Quintano_Elec_Mech_HVAC_Est_Rev_B.xlsx]Elec_Rates!$D$138</v>
      </c>
      <c r="E1532" s="949"/>
      <c r="F1532" s="949"/>
      <c r="G1532" s="950" t="s">
        <v>743</v>
      </c>
      <c r="H1532" s="950"/>
      <c r="I1532" s="950"/>
      <c r="J1532" s="950"/>
      <c r="K1532" s="951"/>
      <c r="L1532" s="949"/>
      <c r="M1532" s="949"/>
      <c r="N1532" s="949"/>
      <c r="O1532" s="952"/>
      <c r="P1532" s="949"/>
      <c r="Q1532" s="953"/>
      <c r="R1532" s="954"/>
      <c r="S1532" s="953"/>
      <c r="T1532" s="943"/>
      <c r="U1532" s="955"/>
    </row>
    <row r="1533" spans="1:41" s="956" customFormat="1" ht="11.4">
      <c r="A1533" s="957">
        <v>3</v>
      </c>
      <c r="B1533" s="958">
        <v>1</v>
      </c>
      <c r="C1533" s="958">
        <f>$A1533*$B1533</f>
        <v>3</v>
      </c>
      <c r="D1533" s="959" t="str">
        <f>Elec_Rates!$D$138</f>
        <v>000# Empty conduit for thermostat</v>
      </c>
      <c r="E1533" s="959"/>
      <c r="F1533" s="959" t="s">
        <v>744</v>
      </c>
      <c r="G1533" s="960" t="s">
        <v>760</v>
      </c>
      <c r="H1533" s="960"/>
      <c r="I1533" s="960"/>
      <c r="J1533" s="960"/>
      <c r="K1533" s="961"/>
      <c r="L1533" s="955"/>
      <c r="M1533" s="955"/>
      <c r="N1533" s="955"/>
      <c r="O1533" s="962"/>
      <c r="P1533" s="959"/>
      <c r="Q1533" s="963">
        <f ca="1">$B1533*Elec_Rates!$R$138</f>
        <v>12.3</v>
      </c>
      <c r="R1533" s="954">
        <f ca="1">$A1533*Q1533</f>
        <v>36.900000000000006</v>
      </c>
      <c r="S1533" s="963">
        <f ca="1">$B1533*Elec_Rates!$T$138</f>
        <v>1.08</v>
      </c>
      <c r="T1533" s="943">
        <f ca="1">$A1533*S1533</f>
        <v>3.24</v>
      </c>
      <c r="U1533" s="501"/>
    </row>
    <row r="1534" spans="1:41" s="519" customFormat="1" ht="14.4" customHeight="1">
      <c r="A1534" s="49"/>
      <c r="B1534" s="528"/>
      <c r="C1534" s="528"/>
      <c r="D1534" s="528"/>
      <c r="E1534" s="528"/>
      <c r="F1534" s="528"/>
      <c r="G1534" s="528"/>
      <c r="H1534" s="801"/>
      <c r="I1534" s="528"/>
      <c r="J1534" s="48"/>
      <c r="K1534" s="805"/>
      <c r="L1534" s="806"/>
      <c r="M1534" s="528"/>
      <c r="N1534" s="528"/>
      <c r="O1534" s="48"/>
      <c r="P1534" s="528"/>
      <c r="Q1534" s="528"/>
      <c r="R1534" s="807">
        <f>$A1534*Q1534</f>
        <v>0</v>
      </c>
      <c r="S1534" s="528"/>
      <c r="T1534" s="643">
        <f>$A1534*S1534*$T$1</f>
        <v>0</v>
      </c>
    </row>
    <row r="1535" spans="1:41" s="519" customFormat="1" ht="12">
      <c r="A1535" s="835" t="s">
        <v>145</v>
      </c>
      <c r="B1535" s="836">
        <f>(R1534+T1534)</f>
        <v>0</v>
      </c>
      <c r="C1535" s="790"/>
      <c r="G1535" s="810"/>
      <c r="H1535" s="810"/>
      <c r="I1535" s="810"/>
      <c r="J1535" s="810"/>
      <c r="K1535" s="811" t="s">
        <v>3</v>
      </c>
      <c r="L1535" s="812" t="s">
        <v>590</v>
      </c>
      <c r="M1535" s="810"/>
      <c r="N1535" s="810"/>
      <c r="O1535" s="810"/>
      <c r="P1535" s="810"/>
      <c r="Q1535" s="813"/>
      <c r="R1535" s="814">
        <f ca="1">SUM(R1531:R1534)</f>
        <v>36.900000000000006</v>
      </c>
      <c r="S1535" s="815"/>
      <c r="T1535" s="814">
        <f ca="1">SUM(T1531:T1534)</f>
        <v>3.24</v>
      </c>
      <c r="AG1535" s="816">
        <f ca="1">ROUND($R1535*$S$2,2)</f>
        <v>36.9</v>
      </c>
    </row>
    <row r="1536" spans="1:41" s="519" customFormat="1" ht="12" customHeight="1">
      <c r="A1536" s="797"/>
      <c r="B1536" s="853"/>
      <c r="C1536" s="854"/>
      <c r="D1536" s="855" t="str">
        <f>$F$3</f>
        <v>ECA</v>
      </c>
      <c r="E1536" s="855">
        <f>ROUND(($R1540*$S$3 + ($T1540*$T$3)), 2)</f>
        <v>0</v>
      </c>
      <c r="F1536" s="856">
        <f>$E1536*$C$12</f>
        <v>0</v>
      </c>
      <c r="G1536" s="518"/>
      <c r="H1536" s="518"/>
      <c r="I1536" s="518"/>
      <c r="J1536" s="518"/>
      <c r="K1536" s="802" t="s">
        <v>5</v>
      </c>
      <c r="L1536" s="803" t="s">
        <v>590</v>
      </c>
      <c r="M1536" s="518"/>
      <c r="N1536" s="518"/>
      <c r="O1536" s="518"/>
      <c r="P1536" s="518"/>
      <c r="Q1536" s="518"/>
      <c r="R1536" s="821"/>
      <c r="S1536" s="518"/>
      <c r="T1536" s="821"/>
    </row>
    <row r="1537" spans="1:41" s="834" customFormat="1" ht="15.6" customHeight="1">
      <c r="A1537" s="822"/>
      <c r="B1537" s="804" t="s">
        <v>592</v>
      </c>
      <c r="C1537" s="823"/>
      <c r="D1537" s="824"/>
      <c r="E1537" s="824"/>
      <c r="F1537" s="824"/>
      <c r="G1537" s="825"/>
      <c r="H1537" s="826"/>
      <c r="I1537" s="826"/>
      <c r="J1537" s="827"/>
      <c r="K1537" s="828"/>
      <c r="L1537" s="823"/>
      <c r="M1537" s="829"/>
      <c r="N1537" s="830"/>
      <c r="O1537" s="831"/>
      <c r="P1537" s="832"/>
      <c r="Q1537" s="833"/>
      <c r="R1537" s="807">
        <f>$A1537*Q1537</f>
        <v>0</v>
      </c>
      <c r="S1537" s="528"/>
      <c r="T1537" s="643">
        <f>$A1537*S1537*$T$1</f>
        <v>0</v>
      </c>
    </row>
    <row r="1538" spans="1:41" s="519" customFormat="1" ht="15.6" customHeight="1">
      <c r="A1538" s="49"/>
      <c r="B1538" s="528"/>
      <c r="C1538" s="528"/>
      <c r="D1538" s="528"/>
      <c r="E1538" s="528"/>
      <c r="F1538" s="528"/>
      <c r="G1538" s="528"/>
      <c r="H1538" s="528"/>
      <c r="I1538" s="528"/>
      <c r="J1538" s="528"/>
      <c r="K1538" s="528"/>
      <c r="L1538" s="806"/>
      <c r="M1538" s="528"/>
      <c r="N1538" s="528"/>
      <c r="O1538" s="528"/>
      <c r="P1538" s="528"/>
      <c r="Q1538" s="528"/>
      <c r="R1538" s="807">
        <f>$A1538*Q1538</f>
        <v>0</v>
      </c>
      <c r="S1538" s="528"/>
      <c r="T1538" s="643">
        <f>$A1538*S1538*$T$1</f>
        <v>0</v>
      </c>
    </row>
    <row r="1539" spans="1:41" s="519" customFormat="1" ht="15.6" customHeight="1">
      <c r="A1539" s="49"/>
      <c r="B1539" s="528"/>
      <c r="C1539" s="528"/>
      <c r="D1539" s="3"/>
      <c r="E1539" s="528"/>
      <c r="F1539" s="528"/>
      <c r="G1539" s="528"/>
      <c r="H1539" s="528"/>
      <c r="I1539" s="528"/>
      <c r="J1539" s="528"/>
      <c r="K1539" s="528"/>
      <c r="L1539" s="806"/>
      <c r="M1539" s="528"/>
      <c r="N1539" s="528"/>
      <c r="O1539" s="528"/>
      <c r="P1539" s="528"/>
      <c r="Q1539" s="528"/>
      <c r="R1539" s="807">
        <f>$A1539*Q1539</f>
        <v>0</v>
      </c>
      <c r="S1539" s="528"/>
      <c r="T1539" s="643">
        <f>$A1539*S1539*$T$1</f>
        <v>0</v>
      </c>
    </row>
    <row r="1540" spans="1:41" s="519" customFormat="1" ht="12">
      <c r="A1540" s="835" t="s">
        <v>145</v>
      </c>
      <c r="B1540" s="836">
        <f>(R1539+T1539)</f>
        <v>0</v>
      </c>
      <c r="C1540" s="790"/>
      <c r="G1540" s="810"/>
      <c r="H1540" s="810"/>
      <c r="I1540" s="810"/>
      <c r="J1540" s="810"/>
      <c r="K1540" s="838" t="s">
        <v>5</v>
      </c>
      <c r="L1540" s="812" t="s">
        <v>590</v>
      </c>
      <c r="M1540" s="810"/>
      <c r="N1540" s="810"/>
      <c r="O1540" s="810"/>
      <c r="P1540" s="810"/>
      <c r="Q1540" s="813"/>
      <c r="R1540" s="814">
        <f>SUM(R1536:R1539)</f>
        <v>0</v>
      </c>
      <c r="S1540" s="815"/>
      <c r="T1540" s="814">
        <f>SUM(T1536:T1539)</f>
        <v>0</v>
      </c>
      <c r="AG1540" s="840">
        <f>ROUND($R1540*$S$3,2)</f>
        <v>0</v>
      </c>
    </row>
    <row r="1541" spans="1:41" s="519" customFormat="1" ht="12" customHeight="1">
      <c r="A1541" s="817"/>
      <c r="B1541" s="857"/>
      <c r="C1541" s="858"/>
      <c r="D1541" s="859">
        <f>$F$4</f>
        <v>0</v>
      </c>
      <c r="E1541" s="859">
        <f>ROUND(($R1545*$S$4 + ($T1545*$T$4)), 2)</f>
        <v>0</v>
      </c>
      <c r="F1541" s="860">
        <f ca="1">$F1528-SUMIF($L1530:$P1538,"SUBI",$F1530:$F1538)</f>
        <v>9.9999999999909051E-3</v>
      </c>
      <c r="G1541" s="518"/>
      <c r="H1541" s="518"/>
      <c r="I1541" s="518"/>
      <c r="J1541" s="518"/>
      <c r="K1541" s="861" t="s">
        <v>8</v>
      </c>
      <c r="L1541" s="803" t="s">
        <v>590</v>
      </c>
      <c r="M1541" s="518"/>
      <c r="N1541" s="518"/>
      <c r="O1541" s="518"/>
      <c r="P1541" s="518"/>
      <c r="Q1541" s="518"/>
      <c r="R1541" s="821"/>
      <c r="S1541" s="518"/>
      <c r="T1541" s="821"/>
    </row>
    <row r="1542" spans="1:41" s="834" customFormat="1" ht="14.4" customHeight="1">
      <c r="A1542" s="822"/>
      <c r="B1542" s="804" t="s">
        <v>680</v>
      </c>
      <c r="C1542" s="823"/>
      <c r="D1542" s="824"/>
      <c r="E1542" s="824"/>
      <c r="F1542" s="824"/>
      <c r="G1542" s="825"/>
      <c r="H1542" s="826"/>
      <c r="I1542" s="826"/>
      <c r="J1542" s="827"/>
      <c r="K1542" s="828"/>
      <c r="L1542" s="823"/>
      <c r="M1542" s="829"/>
      <c r="N1542" s="830"/>
      <c r="O1542" s="862"/>
      <c r="P1542" s="832"/>
      <c r="Q1542" s="833"/>
      <c r="R1542" s="642">
        <f>$A1542*Q1542</f>
        <v>0</v>
      </c>
      <c r="S1542" s="833"/>
      <c r="T1542" s="643">
        <f>$A1542*S1542*$T$1</f>
        <v>0</v>
      </c>
    </row>
    <row r="1543" spans="1:41" s="519" customFormat="1" ht="12">
      <c r="A1543" s="47"/>
      <c r="B1543" s="641"/>
      <c r="C1543" s="641"/>
      <c r="D1543" s="863"/>
      <c r="E1543" s="843"/>
      <c r="F1543" s="518"/>
      <c r="G1543" s="518"/>
      <c r="H1543" s="518"/>
      <c r="I1543" s="518"/>
      <c r="J1543" s="518"/>
      <c r="K1543" s="518"/>
      <c r="L1543" s="864"/>
      <c r="M1543" s="518"/>
      <c r="N1543" s="518"/>
      <c r="O1543" s="518"/>
      <c r="P1543" s="518"/>
      <c r="Q1543" s="518"/>
      <c r="R1543" s="642">
        <f>$A1543*Q1543</f>
        <v>0</v>
      </c>
      <c r="S1543" s="518"/>
      <c r="T1543" s="643">
        <f>$A1543*S1543*$T$1</f>
        <v>0</v>
      </c>
    </row>
    <row r="1544" spans="1:41" s="519" customFormat="1" ht="12">
      <c r="A1544" s="47"/>
      <c r="B1544" s="641"/>
      <c r="C1544" s="641"/>
      <c r="D1544" s="863"/>
      <c r="E1544" s="843"/>
      <c r="F1544" s="518"/>
      <c r="G1544" s="518"/>
      <c r="H1544" s="518"/>
      <c r="I1544" s="518"/>
      <c r="J1544" s="518"/>
      <c r="K1544" s="518"/>
      <c r="L1544" s="864"/>
      <c r="M1544" s="518"/>
      <c r="N1544" s="518"/>
      <c r="O1544" s="518"/>
      <c r="P1544" s="518"/>
      <c r="Q1544" s="518"/>
      <c r="R1544" s="642">
        <f>$A1544*Q1544</f>
        <v>0</v>
      </c>
      <c r="S1544" s="518"/>
      <c r="T1544" s="643">
        <f>$A1544*S1544*$T$1</f>
        <v>0</v>
      </c>
    </row>
    <row r="1545" spans="1:41" s="519" customFormat="1" ht="12.75" customHeight="1">
      <c r="A1545" s="835" t="s">
        <v>145</v>
      </c>
      <c r="B1545" s="836">
        <f>(R1544+T1544)</f>
        <v>0</v>
      </c>
      <c r="C1545" s="837"/>
      <c r="D1545" s="837"/>
      <c r="E1545" s="837"/>
      <c r="F1545" s="837"/>
      <c r="G1545" s="813"/>
      <c r="H1545" s="813"/>
      <c r="I1545" s="813"/>
      <c r="J1545" s="813"/>
      <c r="K1545" s="838" t="s">
        <v>8</v>
      </c>
      <c r="L1545" s="839" t="s">
        <v>590</v>
      </c>
      <c r="M1545" s="813"/>
      <c r="N1545" s="813"/>
      <c r="O1545" s="813"/>
      <c r="P1545" s="813"/>
      <c r="Q1545" s="813"/>
      <c r="R1545" s="814">
        <f>SUM(R1541:R1544)</f>
        <v>0</v>
      </c>
      <c r="S1545" s="815"/>
      <c r="T1545" s="814">
        <f>SUM(T1541:T1544)</f>
        <v>0</v>
      </c>
      <c r="AG1545" s="865">
        <f>ROUND($R1545*$S$4,2)</f>
        <v>0</v>
      </c>
    </row>
    <row r="1546" spans="1:41" s="519" customFormat="1" ht="12.75" customHeight="1">
      <c r="A1546" s="841"/>
      <c r="B1546" s="842"/>
      <c r="E1546" s="641"/>
      <c r="F1546" s="843"/>
      <c r="G1546" s="641"/>
      <c r="H1546" s="641"/>
      <c r="I1546" s="518"/>
      <c r="J1546" s="641"/>
      <c r="K1546" s="641"/>
      <c r="L1546" s="844"/>
      <c r="M1546" s="652"/>
      <c r="N1546" s="652"/>
      <c r="O1546" s="652"/>
      <c r="P1546" s="652"/>
      <c r="Q1546" s="653"/>
      <c r="R1546" s="821"/>
      <c r="S1546" s="641"/>
      <c r="T1546" s="821"/>
    </row>
    <row r="1547" spans="1:41" s="519" customFormat="1" ht="13.5" customHeight="1" thickBot="1">
      <c r="A1547" s="845"/>
      <c r="B1547" s="846"/>
      <c r="C1547" s="529"/>
      <c r="D1547" s="529"/>
      <c r="E1547" s="646"/>
      <c r="F1547" s="647"/>
      <c r="G1547" s="646" t="s">
        <v>146</v>
      </c>
      <c r="H1547" s="646"/>
      <c r="I1547" s="648"/>
      <c r="J1547" s="646"/>
      <c r="K1547" s="646"/>
      <c r="L1547" s="847" t="s">
        <v>143</v>
      </c>
      <c r="M1547" s="649"/>
      <c r="N1547" s="649"/>
      <c r="O1547" s="649"/>
      <c r="P1547" s="649"/>
      <c r="Q1547" s="650"/>
      <c r="R1547" s="848">
        <f ca="1">SUMIF($L1529:$L1546,"SUBI",R1529:R1546)</f>
        <v>36.900000000000006</v>
      </c>
      <c r="S1547" s="866"/>
      <c r="T1547" s="848">
        <f ca="1">SUMIF($L1529:$L1546,"SUBI",T1529:T1546)</f>
        <v>3.24</v>
      </c>
      <c r="U1547" s="529"/>
      <c r="V1547" s="529"/>
      <c r="W1547" s="529"/>
      <c r="X1547" s="529"/>
      <c r="Y1547" s="529"/>
      <c r="Z1547" s="529"/>
      <c r="AA1547" s="529"/>
      <c r="AB1547" s="529"/>
      <c r="AC1547" s="529"/>
      <c r="AD1547" s="529"/>
      <c r="AE1547" s="529"/>
      <c r="AF1547" s="529"/>
      <c r="AG1547" s="529"/>
      <c r="AH1547" s="529"/>
      <c r="AI1547" s="529"/>
      <c r="AJ1547" s="529"/>
      <c r="AK1547" s="529"/>
      <c r="AL1547" s="529"/>
      <c r="AM1547" s="529"/>
      <c r="AN1547" s="529"/>
      <c r="AO1547" s="529"/>
    </row>
    <row r="1548" spans="1:41" s="519" customFormat="1" thickTop="1">
      <c r="A1548" s="47"/>
      <c r="B1548" s="47"/>
      <c r="C1548" s="3"/>
      <c r="D1548" s="3"/>
      <c r="E1548" s="47"/>
      <c r="F1548" s="47"/>
      <c r="G1548" s="47"/>
      <c r="H1548" s="47"/>
      <c r="I1548" s="47"/>
      <c r="J1548" s="47"/>
      <c r="K1548" s="47" t="s">
        <v>134</v>
      </c>
      <c r="L1548" s="47"/>
      <c r="M1548" s="47"/>
      <c r="N1548" s="47"/>
      <c r="O1548" s="48"/>
      <c r="P1548" s="47"/>
      <c r="Q1548" s="47"/>
      <c r="R1548" s="47"/>
      <c r="S1548" s="47"/>
      <c r="T1548" s="47"/>
    </row>
    <row r="1549" spans="1:41" s="519" customFormat="1" ht="12">
      <c r="A1549" s="47"/>
      <c r="B1549" s="47"/>
      <c r="C1549" s="47" t="s">
        <v>135</v>
      </c>
      <c r="D1549" s="36"/>
      <c r="E1549" s="47"/>
      <c r="F1549" s="47"/>
      <c r="G1549" s="47"/>
      <c r="H1549" s="47"/>
      <c r="I1549" s="47"/>
      <c r="J1549" s="47"/>
      <c r="K1549" s="47"/>
      <c r="L1549" s="47"/>
      <c r="M1549" s="47"/>
      <c r="N1549" s="47"/>
      <c r="O1549" s="48"/>
      <c r="P1549" s="47"/>
      <c r="Q1549" s="47"/>
      <c r="R1549" s="47"/>
      <c r="S1549" s="47"/>
      <c r="T1549" s="47"/>
    </row>
    <row r="1550" spans="1:41" s="519" customFormat="1" ht="12">
      <c r="A1550" s="47"/>
      <c r="B1550" s="47"/>
      <c r="C1550" s="47"/>
      <c r="D1550" s="36" t="s">
        <v>548</v>
      </c>
      <c r="E1550" s="47"/>
      <c r="F1550" s="47"/>
      <c r="G1550" s="47"/>
      <c r="H1550" s="47"/>
      <c r="I1550" s="47"/>
      <c r="J1550" s="47"/>
      <c r="K1550" s="47"/>
      <c r="L1550" s="47"/>
      <c r="M1550" s="47"/>
      <c r="N1550" s="47"/>
      <c r="O1550" s="48"/>
      <c r="P1550" s="47"/>
      <c r="Q1550" s="47"/>
      <c r="R1550" s="47"/>
      <c r="S1550" s="37"/>
      <c r="T1550" s="37"/>
    </row>
    <row r="1551" spans="1:41" s="3" customFormat="1" thickBot="1">
      <c r="A1551" s="529"/>
      <c r="O1551" s="99"/>
    </row>
    <row r="1552" spans="1:41" s="519" customFormat="1" thickTop="1">
      <c r="A1552" s="47"/>
      <c r="B1552" s="47"/>
      <c r="C1552" s="3"/>
      <c r="D1552" s="3"/>
      <c r="E1552" s="47"/>
      <c r="F1552" s="47"/>
      <c r="G1552" s="47"/>
      <c r="H1552" s="47"/>
      <c r="I1552" s="47"/>
      <c r="J1552" s="47"/>
      <c r="K1552" s="47" t="s">
        <v>134</v>
      </c>
      <c r="L1552" s="47"/>
      <c r="M1552" s="47"/>
      <c r="N1552" s="47"/>
      <c r="O1552" s="48"/>
      <c r="P1552" s="47"/>
      <c r="Q1552" s="47"/>
      <c r="R1552" s="47"/>
      <c r="S1552" s="47"/>
      <c r="T1552" s="47"/>
    </row>
    <row r="1553" spans="1:41" s="519" customFormat="1" ht="12">
      <c r="A1553" s="47"/>
      <c r="B1553" s="47"/>
      <c r="C1553" s="47" t="s">
        <v>135</v>
      </c>
      <c r="D1553" s="36"/>
      <c r="E1553" s="47"/>
      <c r="F1553" s="47"/>
      <c r="G1553" s="47"/>
      <c r="H1553" s="47"/>
      <c r="I1553" s="47"/>
      <c r="J1553" s="47"/>
      <c r="K1553" s="47"/>
      <c r="L1553" s="47"/>
      <c r="M1553" s="47"/>
      <c r="N1553" s="47"/>
      <c r="O1553" s="48"/>
      <c r="P1553" s="47"/>
      <c r="Q1553" s="47"/>
      <c r="R1553" s="47"/>
      <c r="S1553" s="47"/>
      <c r="T1553" s="47"/>
    </row>
    <row r="1554" spans="1:41" s="519" customFormat="1" ht="12">
      <c r="A1554" s="47"/>
      <c r="B1554" s="47"/>
      <c r="C1554" s="47"/>
      <c r="D1554" s="36" t="s">
        <v>549</v>
      </c>
      <c r="E1554" s="47"/>
      <c r="F1554" s="47"/>
      <c r="G1554" s="47"/>
      <c r="H1554" s="47"/>
      <c r="I1554" s="47"/>
      <c r="J1554" s="47"/>
      <c r="K1554" s="47"/>
      <c r="L1554" s="47"/>
      <c r="M1554" s="47"/>
      <c r="N1554" s="47"/>
      <c r="O1554" s="48"/>
      <c r="P1554" s="47"/>
      <c r="Q1554" s="47"/>
      <c r="R1554" s="47"/>
      <c r="S1554" s="37"/>
      <c r="T1554" s="37"/>
    </row>
    <row r="1555" spans="1:41" s="3" customFormat="1" thickBot="1">
      <c r="A1555" s="529"/>
      <c r="O1555" s="99"/>
    </row>
    <row r="1556" spans="1:41" s="519" customFormat="1" thickTop="1">
      <c r="A1556" s="47"/>
      <c r="B1556" s="47"/>
      <c r="C1556" s="3"/>
      <c r="D1556" s="3"/>
      <c r="E1556" s="47"/>
      <c r="F1556" s="47"/>
      <c r="G1556" s="47"/>
      <c r="H1556" s="47"/>
      <c r="I1556" s="47"/>
      <c r="J1556" s="47"/>
      <c r="K1556" s="47" t="s">
        <v>134</v>
      </c>
      <c r="L1556" s="47"/>
      <c r="M1556" s="47"/>
      <c r="N1556" s="47"/>
      <c r="O1556" s="48"/>
      <c r="P1556" s="47"/>
      <c r="Q1556" s="47"/>
      <c r="R1556" s="47"/>
      <c r="S1556" s="47"/>
      <c r="T1556" s="47"/>
    </row>
    <row r="1557" spans="1:41" s="519" customFormat="1" ht="12">
      <c r="A1557" s="47"/>
      <c r="B1557" s="47"/>
      <c r="C1557" s="47" t="s">
        <v>135</v>
      </c>
      <c r="D1557" s="36"/>
      <c r="E1557" s="47"/>
      <c r="F1557" s="47"/>
      <c r="G1557" s="47"/>
      <c r="H1557" s="47"/>
      <c r="I1557" s="47"/>
      <c r="J1557" s="47"/>
      <c r="K1557" s="47"/>
      <c r="L1557" s="47"/>
      <c r="M1557" s="47"/>
      <c r="N1557" s="47"/>
      <c r="O1557" s="48"/>
      <c r="P1557" s="47"/>
      <c r="Q1557" s="47"/>
      <c r="R1557" s="47"/>
      <c r="S1557" s="47"/>
      <c r="T1557" s="47"/>
    </row>
    <row r="1558" spans="1:41" s="519" customFormat="1" ht="39.9" customHeight="1">
      <c r="A1558" s="47"/>
      <c r="B1558" s="47"/>
      <c r="C1558" s="47"/>
      <c r="D1558" s="1081" t="s">
        <v>530</v>
      </c>
      <c r="E1558" s="1081"/>
      <c r="F1558" s="1081"/>
      <c r="G1558" s="1081"/>
      <c r="H1558" s="1081"/>
      <c r="I1558" s="1081"/>
      <c r="J1558" s="1081"/>
      <c r="K1558" s="1081"/>
      <c r="L1558" s="1081"/>
      <c r="M1558" s="1081"/>
      <c r="N1558" s="1081"/>
      <c r="O1558" s="1081"/>
      <c r="P1558" s="1081"/>
      <c r="Q1558" s="1081"/>
      <c r="R1558" s="1081"/>
      <c r="S1558" s="1081"/>
      <c r="T1558" s="1081"/>
    </row>
    <row r="1559" spans="1:41" s="3" customFormat="1" thickBot="1">
      <c r="A1559" s="529"/>
      <c r="O1559" s="99"/>
    </row>
    <row r="1560" spans="1:41" s="519" customFormat="1" thickTop="1">
      <c r="A1560" s="47"/>
      <c r="B1560" s="40"/>
      <c r="C1560" s="47"/>
      <c r="E1560" s="41" t="s">
        <v>138</v>
      </c>
      <c r="F1560" s="41" t="s">
        <v>139</v>
      </c>
      <c r="G1560" s="47"/>
      <c r="H1560" s="47"/>
      <c r="I1560" s="47"/>
      <c r="J1560" s="47"/>
      <c r="K1560" s="47" t="s">
        <v>140</v>
      </c>
      <c r="L1560" s="774"/>
      <c r="M1560" s="47"/>
      <c r="N1560" s="47"/>
      <c r="O1560" s="48"/>
      <c r="P1560" s="47"/>
      <c r="Q1560"/>
      <c r="R1560"/>
      <c r="S1560"/>
      <c r="T1560" s="40"/>
      <c r="AG1560" s="627" t="s">
        <v>277</v>
      </c>
      <c r="AH1560" s="627" t="s">
        <v>278</v>
      </c>
      <c r="AI1560" s="627" t="s">
        <v>279</v>
      </c>
      <c r="AJ1560" s="627" t="s">
        <v>280</v>
      </c>
      <c r="AK1560" s="627" t="s">
        <v>281</v>
      </c>
      <c r="AM1560" s="628" t="s">
        <v>290</v>
      </c>
      <c r="AN1560" s="629" t="s">
        <v>291</v>
      </c>
      <c r="AO1560" s="520" t="s">
        <v>287</v>
      </c>
    </row>
    <row r="1561" spans="1:41" s="519" customFormat="1" ht="13.2">
      <c r="A1561" s="630">
        <v>3</v>
      </c>
      <c r="B1561" s="521" t="s">
        <v>312</v>
      </c>
      <c r="C1561" s="631"/>
      <c r="D1561" s="632" t="s">
        <v>703</v>
      </c>
      <c r="E1561" s="775">
        <f>IF(AND($A1561=0,$A$1="DIF"),0,ROUND(ROUND(SUMIF($L1563:$L1574,"SUBI",$E1563:$E1574)/$A1561,2)*$C$12,2))</f>
        <v>0</v>
      </c>
      <c r="F1561" s="776">
        <f>ROUND($A1561*$E1561,2)</f>
        <v>0</v>
      </c>
      <c r="G1561" s="635" t="s">
        <v>142</v>
      </c>
      <c r="H1561" s="636"/>
      <c r="I1561" s="637"/>
      <c r="J1561" s="636"/>
      <c r="K1561" s="777"/>
      <c r="L1561" s="778" t="s">
        <v>143</v>
      </c>
      <c r="M1561" s="638"/>
      <c r="N1561" s="638"/>
      <c r="O1561" s="638"/>
      <c r="P1561" s="638"/>
      <c r="Q1561" s="967" t="s">
        <v>867</v>
      </c>
      <c r="R1561"/>
      <c r="S1561"/>
      <c r="T1561" s="779" t="str">
        <f>IF(AND($R1580=0,$T1580=0),"0.00","mu :" &amp; ROUND($F1561/$C$12/($R1580+$T1580*$D$9),2))</f>
        <v>0.00</v>
      </c>
      <c r="W1561" s="522"/>
      <c r="AG1561" s="780">
        <f>IF(A1561=0,0,ROUND(SUM(AG1563:AG1580)/A1561,2))</f>
        <v>0</v>
      </c>
      <c r="AH1561" s="780">
        <f>$AG1561*$A1561</f>
        <v>0</v>
      </c>
      <c r="AI1561" s="780">
        <f>$E1561-$AG1561</f>
        <v>0</v>
      </c>
      <c r="AJ1561" s="780">
        <f>$A1561*$AI1561</f>
        <v>0</v>
      </c>
      <c r="AK1561" s="781">
        <f>ROUND(($AG1561+$AI1561)*$A1561,2)</f>
        <v>0</v>
      </c>
      <c r="AM1561" s="525">
        <f>ROUND(R1580,2)</f>
        <v>0</v>
      </c>
      <c r="AN1561" s="526">
        <f>ROUND(T1580,2)</f>
        <v>0</v>
      </c>
      <c r="AO1561" s="527">
        <f>ROUND(AM1561+AN1561,2)*A1561</f>
        <v>0</v>
      </c>
    </row>
    <row r="1562" spans="1:41" s="519" customFormat="1" ht="21.6" customHeight="1">
      <c r="A1562" s="782"/>
      <c r="B1562" s="783"/>
      <c r="C1562" s="631"/>
      <c r="D1562" s="784" t="s">
        <v>543</v>
      </c>
      <c r="F1562" s="636"/>
      <c r="G1562" s="636"/>
      <c r="H1562" s="636"/>
      <c r="I1562" s="637"/>
      <c r="J1562" s="636"/>
      <c r="K1562" s="636" t="s">
        <v>144</v>
      </c>
      <c r="L1562" s="785"/>
      <c r="M1562" s="636"/>
      <c r="N1562" s="636"/>
      <c r="O1562" s="636"/>
      <c r="P1562" s="636"/>
      <c r="Q1562" s="47"/>
      <c r="R1562" s="528"/>
      <c r="S1562" s="640"/>
      <c r="T1562" s="636"/>
    </row>
    <row r="1563" spans="1:41" s="519" customFormat="1" ht="12">
      <c r="A1563" s="849"/>
      <c r="B1563" s="850"/>
      <c r="C1563" s="641"/>
      <c r="D1563" s="811"/>
      <c r="E1563" s="851">
        <f>F1561/$C$12-SUMIF($L1560:$L1580,"SUBI",$E1560:$E1580)</f>
        <v>0</v>
      </c>
      <c r="F1563" s="852" t="s">
        <v>589</v>
      </c>
      <c r="G1563" s="790"/>
      <c r="H1563" s="790"/>
      <c r="I1563" s="791"/>
      <c r="J1563" s="790"/>
      <c r="K1563" s="790"/>
      <c r="L1563" s="792"/>
      <c r="M1563" s="793"/>
      <c r="N1563" s="793"/>
      <c r="O1563" s="793"/>
      <c r="P1563" s="793"/>
      <c r="Q1563" s="794"/>
      <c r="R1563" s="795"/>
      <c r="S1563" s="794"/>
      <c r="T1563" s="796"/>
    </row>
    <row r="1564" spans="1:41" s="519" customFormat="1" ht="12" customHeight="1">
      <c r="A1564" s="797"/>
      <c r="B1564" s="798"/>
      <c r="C1564" s="799"/>
      <c r="D1564" s="799" t="str">
        <f>$F$2</f>
        <v>Electrical</v>
      </c>
      <c r="E1564" s="799">
        <f>ROUND(($R1568*$S$2 + ($T1568*$T$2)), 2)</f>
        <v>0</v>
      </c>
      <c r="F1564" s="800">
        <f>$E1564*$C$12</f>
        <v>0</v>
      </c>
      <c r="G1564" s="528"/>
      <c r="H1564" s="801"/>
      <c r="I1564" s="528"/>
      <c r="J1564" s="48"/>
      <c r="K1564" s="802" t="s">
        <v>3</v>
      </c>
      <c r="L1564" s="803" t="s">
        <v>590</v>
      </c>
      <c r="M1564" s="528"/>
      <c r="N1564" s="528"/>
      <c r="O1564" s="48"/>
      <c r="P1564" s="528"/>
      <c r="Q1564" s="528"/>
      <c r="R1564"/>
      <c r="S1564"/>
      <c r="T1564"/>
    </row>
    <row r="1565" spans="1:41" s="519" customFormat="1" ht="14.4" customHeight="1">
      <c r="A1565" s="49"/>
      <c r="B1565" s="804" t="s">
        <v>591</v>
      </c>
      <c r="C1565" s="528"/>
      <c r="D1565" s="528"/>
      <c r="E1565" s="528"/>
      <c r="F1565" s="528"/>
      <c r="G1565" s="528"/>
      <c r="H1565" s="801"/>
      <c r="I1565" s="528"/>
      <c r="J1565" s="48"/>
      <c r="K1565" s="805"/>
      <c r="L1565" s="806"/>
      <c r="M1565" s="528"/>
      <c r="N1565" s="528"/>
      <c r="O1565" s="48"/>
      <c r="P1565" s="528"/>
      <c r="Q1565" s="528"/>
      <c r="R1565" s="807">
        <f>$A1565*Q1565</f>
        <v>0</v>
      </c>
      <c r="S1565" s="528"/>
      <c r="T1565" s="643">
        <f>$A1565*S1565*$T$1</f>
        <v>0</v>
      </c>
    </row>
    <row r="1566" spans="1:41" s="519" customFormat="1" ht="14.4" customHeight="1">
      <c r="A1566" s="49"/>
      <c r="B1566" s="528"/>
      <c r="C1566" s="528"/>
      <c r="D1566" s="528"/>
      <c r="E1566" s="528"/>
      <c r="F1566" s="528"/>
      <c r="G1566" s="528"/>
      <c r="H1566" s="801"/>
      <c r="I1566" s="528"/>
      <c r="J1566" s="48"/>
      <c r="K1566" s="805"/>
      <c r="L1566" s="806"/>
      <c r="M1566" s="528"/>
      <c r="N1566" s="528"/>
      <c r="O1566" s="48"/>
      <c r="P1566" s="528"/>
      <c r="Q1566" s="528"/>
      <c r="R1566" s="807">
        <f>$A1566*Q1566</f>
        <v>0</v>
      </c>
      <c r="S1566" s="528"/>
      <c r="T1566" s="643">
        <f>$A1566*S1566*$T$1</f>
        <v>0</v>
      </c>
    </row>
    <row r="1567" spans="1:41" s="519" customFormat="1" ht="14.4" customHeight="1">
      <c r="A1567" s="49"/>
      <c r="B1567" s="528"/>
      <c r="C1567" s="528"/>
      <c r="D1567" s="528"/>
      <c r="E1567" s="528"/>
      <c r="F1567" s="528"/>
      <c r="G1567" s="528"/>
      <c r="H1567" s="801"/>
      <c r="I1567" s="528"/>
      <c r="J1567" s="48"/>
      <c r="K1567" s="805"/>
      <c r="L1567" s="806"/>
      <c r="M1567" s="528"/>
      <c r="N1567" s="528"/>
      <c r="O1567" s="48"/>
      <c r="P1567" s="528"/>
      <c r="Q1567" s="528"/>
      <c r="R1567" s="807">
        <f>$A1567*Q1567</f>
        <v>0</v>
      </c>
      <c r="S1567" s="528"/>
      <c r="T1567" s="643">
        <f>$A1567*S1567*$T$1</f>
        <v>0</v>
      </c>
    </row>
    <row r="1568" spans="1:41" s="519" customFormat="1" ht="12">
      <c r="A1568" s="835" t="s">
        <v>145</v>
      </c>
      <c r="B1568" s="836">
        <f>(R1567+T1567)</f>
        <v>0</v>
      </c>
      <c r="C1568" s="790"/>
      <c r="G1568" s="810"/>
      <c r="H1568" s="810"/>
      <c r="I1568" s="810"/>
      <c r="J1568" s="810"/>
      <c r="K1568" s="811" t="s">
        <v>3</v>
      </c>
      <c r="L1568" s="812" t="s">
        <v>590</v>
      </c>
      <c r="M1568" s="810"/>
      <c r="N1568" s="810"/>
      <c r="O1568" s="810"/>
      <c r="P1568" s="810"/>
      <c r="Q1568" s="813"/>
      <c r="R1568" s="814">
        <f>SUM(R1564:R1567)</f>
        <v>0</v>
      </c>
      <c r="S1568" s="815"/>
      <c r="T1568" s="814">
        <f>SUM(T1564:T1567)</f>
        <v>0</v>
      </c>
      <c r="AG1568" s="816">
        <f>ROUND($R1568*$S$2,2)</f>
        <v>0</v>
      </c>
    </row>
    <row r="1569" spans="1:41" s="519" customFormat="1" ht="12" customHeight="1">
      <c r="A1569" s="797"/>
      <c r="B1569" s="853"/>
      <c r="C1569" s="854"/>
      <c r="D1569" s="855" t="str">
        <f>$F$3</f>
        <v>ECA</v>
      </c>
      <c r="E1569" s="855">
        <f>ROUND(($R1573*$S$3 + ($T1573*$T$3)), 2)</f>
        <v>0</v>
      </c>
      <c r="F1569" s="856">
        <f>$E1569*$C$12</f>
        <v>0</v>
      </c>
      <c r="G1569" s="518"/>
      <c r="H1569" s="518"/>
      <c r="I1569" s="518"/>
      <c r="J1569" s="518"/>
      <c r="K1569" s="802" t="s">
        <v>5</v>
      </c>
      <c r="L1569" s="803" t="s">
        <v>590</v>
      </c>
      <c r="M1569" s="518"/>
      <c r="N1569" s="518"/>
      <c r="O1569" s="518"/>
      <c r="P1569" s="518"/>
      <c r="Q1569" s="518"/>
      <c r="R1569" s="821"/>
      <c r="S1569" s="518"/>
      <c r="T1569" s="821"/>
    </row>
    <row r="1570" spans="1:41" s="834" customFormat="1" ht="15.6" customHeight="1">
      <c r="A1570" s="822"/>
      <c r="B1570" s="804" t="s">
        <v>592</v>
      </c>
      <c r="C1570" s="823"/>
      <c r="D1570" s="824"/>
      <c r="E1570" s="824"/>
      <c r="F1570" s="824"/>
      <c r="G1570" s="825"/>
      <c r="H1570" s="826"/>
      <c r="I1570" s="826"/>
      <c r="J1570" s="827"/>
      <c r="K1570" s="828"/>
      <c r="L1570" s="823"/>
      <c r="M1570" s="829"/>
      <c r="N1570" s="830"/>
      <c r="O1570" s="831"/>
      <c r="P1570" s="832"/>
      <c r="Q1570" s="833"/>
      <c r="R1570" s="807">
        <f>$A1570*Q1570</f>
        <v>0</v>
      </c>
      <c r="S1570" s="528"/>
      <c r="T1570" s="643">
        <f>$A1570*S1570*$T$1</f>
        <v>0</v>
      </c>
    </row>
    <row r="1571" spans="1:41" s="519" customFormat="1" ht="15.6" customHeight="1">
      <c r="A1571" s="49"/>
      <c r="B1571" s="528"/>
      <c r="C1571" s="528"/>
      <c r="D1571" s="528"/>
      <c r="E1571" s="528"/>
      <c r="F1571" s="528"/>
      <c r="G1571" s="528"/>
      <c r="H1571" s="528"/>
      <c r="I1571" s="528"/>
      <c r="J1571" s="528"/>
      <c r="K1571" s="528"/>
      <c r="L1571" s="806"/>
      <c r="M1571" s="528"/>
      <c r="N1571" s="528"/>
      <c r="O1571" s="528"/>
      <c r="P1571" s="528"/>
      <c r="Q1571" s="528"/>
      <c r="R1571" s="807">
        <f>$A1571*Q1571</f>
        <v>0</v>
      </c>
      <c r="S1571" s="528"/>
      <c r="T1571" s="643">
        <f>$A1571*S1571*$T$1</f>
        <v>0</v>
      </c>
    </row>
    <row r="1572" spans="1:41" s="519" customFormat="1" ht="15.6" customHeight="1">
      <c r="A1572" s="49"/>
      <c r="B1572" s="528"/>
      <c r="C1572" s="528"/>
      <c r="D1572" s="3"/>
      <c r="E1572" s="528"/>
      <c r="F1572" s="528"/>
      <c r="G1572" s="528"/>
      <c r="H1572" s="528"/>
      <c r="I1572" s="528"/>
      <c r="J1572" s="528"/>
      <c r="K1572" s="528"/>
      <c r="L1572" s="806"/>
      <c r="M1572" s="528"/>
      <c r="N1572" s="528"/>
      <c r="O1572" s="528"/>
      <c r="P1572" s="528"/>
      <c r="Q1572" s="528"/>
      <c r="R1572" s="807">
        <f>$A1572*Q1572</f>
        <v>0</v>
      </c>
      <c r="S1572" s="528"/>
      <c r="T1572" s="643">
        <f>$A1572*S1572*$T$1</f>
        <v>0</v>
      </c>
    </row>
    <row r="1573" spans="1:41" s="519" customFormat="1" ht="12">
      <c r="A1573" s="835" t="s">
        <v>145</v>
      </c>
      <c r="B1573" s="836">
        <f>(R1572+T1572)</f>
        <v>0</v>
      </c>
      <c r="C1573" s="790"/>
      <c r="G1573" s="810"/>
      <c r="H1573" s="810"/>
      <c r="I1573" s="810"/>
      <c r="J1573" s="810"/>
      <c r="K1573" s="838" t="s">
        <v>5</v>
      </c>
      <c r="L1573" s="812" t="s">
        <v>590</v>
      </c>
      <c r="M1573" s="810"/>
      <c r="N1573" s="810"/>
      <c r="O1573" s="810"/>
      <c r="P1573" s="810"/>
      <c r="Q1573" s="813"/>
      <c r="R1573" s="814">
        <f>SUM(R1569:R1572)</f>
        <v>0</v>
      </c>
      <c r="S1573" s="815"/>
      <c r="T1573" s="814">
        <f>SUM(T1569:T1572)</f>
        <v>0</v>
      </c>
      <c r="AG1573" s="840">
        <f>ROUND($R1573*$S$3,2)</f>
        <v>0</v>
      </c>
    </row>
    <row r="1574" spans="1:41" s="519" customFormat="1" ht="12" customHeight="1">
      <c r="A1574" s="817"/>
      <c r="B1574" s="857"/>
      <c r="C1574" s="858"/>
      <c r="D1574" s="859">
        <f>$F$4</f>
        <v>0</v>
      </c>
      <c r="E1574" s="859">
        <f>ROUND(($R1578*$S$4 + ($T1578*$T$4)), 2)</f>
        <v>0</v>
      </c>
      <c r="F1574" s="860">
        <f ca="1">$F1561-SUMIF($L1563:$P1571,"SUBI",$F1563:$F1571)</f>
        <v>0</v>
      </c>
      <c r="G1574" s="518"/>
      <c r="H1574" s="518"/>
      <c r="I1574" s="518"/>
      <c r="J1574" s="518"/>
      <c r="K1574" s="861" t="s">
        <v>8</v>
      </c>
      <c r="L1574" s="803" t="s">
        <v>590</v>
      </c>
      <c r="M1574" s="518"/>
      <c r="N1574" s="518"/>
      <c r="O1574" s="518"/>
      <c r="P1574" s="518"/>
      <c r="Q1574" s="518"/>
      <c r="R1574" s="821"/>
      <c r="S1574" s="518"/>
      <c r="T1574" s="821"/>
    </row>
    <row r="1575" spans="1:41" s="834" customFormat="1" ht="14.4" customHeight="1">
      <c r="A1575" s="822"/>
      <c r="B1575" s="804" t="s">
        <v>680</v>
      </c>
      <c r="C1575" s="823"/>
      <c r="D1575" s="824"/>
      <c r="E1575" s="824"/>
      <c r="F1575" s="824"/>
      <c r="G1575" s="825"/>
      <c r="H1575" s="826"/>
      <c r="I1575" s="826"/>
      <c r="J1575" s="827"/>
      <c r="K1575" s="828"/>
      <c r="L1575" s="823"/>
      <c r="M1575" s="829"/>
      <c r="N1575" s="830"/>
      <c r="O1575" s="862"/>
      <c r="P1575" s="832"/>
      <c r="Q1575" s="833"/>
      <c r="R1575" s="642">
        <f>$A1575*Q1575</f>
        <v>0</v>
      </c>
      <c r="S1575" s="833"/>
      <c r="T1575" s="643">
        <f>$A1575*S1575*$T$1</f>
        <v>0</v>
      </c>
    </row>
    <row r="1576" spans="1:41" s="519" customFormat="1" ht="12">
      <c r="A1576" s="47"/>
      <c r="B1576" s="641"/>
      <c r="C1576" s="641"/>
      <c r="D1576" s="863"/>
      <c r="E1576" s="843"/>
      <c r="F1576" s="518"/>
      <c r="G1576" s="518"/>
      <c r="H1576" s="518"/>
      <c r="I1576" s="518"/>
      <c r="J1576" s="518"/>
      <c r="K1576" s="518"/>
      <c r="L1576" s="864"/>
      <c r="M1576" s="518"/>
      <c r="N1576" s="518"/>
      <c r="O1576" s="518"/>
      <c r="P1576" s="518"/>
      <c r="Q1576" s="518"/>
      <c r="R1576" s="642">
        <f>$A1576*Q1576</f>
        <v>0</v>
      </c>
      <c r="S1576" s="518"/>
      <c r="T1576" s="643">
        <f>$A1576*S1576*$T$1</f>
        <v>0</v>
      </c>
    </row>
    <row r="1577" spans="1:41" s="519" customFormat="1" ht="12">
      <c r="A1577" s="47"/>
      <c r="B1577" s="641"/>
      <c r="C1577" s="641"/>
      <c r="D1577" s="863"/>
      <c r="E1577" s="843"/>
      <c r="F1577" s="518"/>
      <c r="G1577" s="518"/>
      <c r="H1577" s="518"/>
      <c r="I1577" s="518"/>
      <c r="J1577" s="518"/>
      <c r="K1577" s="518"/>
      <c r="L1577" s="864"/>
      <c r="M1577" s="518"/>
      <c r="N1577" s="518"/>
      <c r="O1577" s="518"/>
      <c r="P1577" s="518"/>
      <c r="Q1577" s="518"/>
      <c r="R1577" s="642">
        <f>$A1577*Q1577</f>
        <v>0</v>
      </c>
      <c r="S1577" s="518"/>
      <c r="T1577" s="643">
        <f>$A1577*S1577*$T$1</f>
        <v>0</v>
      </c>
    </row>
    <row r="1578" spans="1:41" s="519" customFormat="1" ht="12.75" customHeight="1">
      <c r="A1578" s="835" t="s">
        <v>145</v>
      </c>
      <c r="B1578" s="836">
        <f>(R1577+T1577)</f>
        <v>0</v>
      </c>
      <c r="C1578" s="837"/>
      <c r="D1578" s="837"/>
      <c r="E1578" s="837"/>
      <c r="F1578" s="837"/>
      <c r="G1578" s="813"/>
      <c r="H1578" s="813"/>
      <c r="I1578" s="813"/>
      <c r="J1578" s="813"/>
      <c r="K1578" s="838" t="s">
        <v>8</v>
      </c>
      <c r="L1578" s="839" t="s">
        <v>590</v>
      </c>
      <c r="M1578" s="813"/>
      <c r="N1578" s="813"/>
      <c r="O1578" s="813"/>
      <c r="P1578" s="813"/>
      <c r="Q1578" s="813"/>
      <c r="R1578" s="814">
        <f>SUM(R1574:R1577)</f>
        <v>0</v>
      </c>
      <c r="S1578" s="815"/>
      <c r="T1578" s="814">
        <f>SUM(T1574:T1577)</f>
        <v>0</v>
      </c>
      <c r="AG1578" s="865">
        <f>ROUND($R1578*$S$4,2)</f>
        <v>0</v>
      </c>
    </row>
    <row r="1579" spans="1:41" s="519" customFormat="1" ht="12.75" customHeight="1">
      <c r="A1579" s="841"/>
      <c r="B1579" s="842"/>
      <c r="E1579" s="641"/>
      <c r="F1579" s="843"/>
      <c r="G1579" s="641"/>
      <c r="H1579" s="641"/>
      <c r="I1579" s="518"/>
      <c r="J1579" s="641"/>
      <c r="K1579" s="641"/>
      <c r="L1579" s="844"/>
      <c r="M1579" s="652"/>
      <c r="N1579" s="652"/>
      <c r="O1579" s="652"/>
      <c r="P1579" s="652"/>
      <c r="Q1579" s="653"/>
      <c r="R1579" s="821"/>
      <c r="S1579" s="641"/>
      <c r="T1579" s="821"/>
    </row>
    <row r="1580" spans="1:41" s="519" customFormat="1" ht="13.5" customHeight="1" thickBot="1">
      <c r="A1580" s="845"/>
      <c r="B1580" s="846"/>
      <c r="C1580" s="529"/>
      <c r="D1580" s="529"/>
      <c r="E1580" s="646"/>
      <c r="F1580" s="647"/>
      <c r="G1580" s="646" t="s">
        <v>146</v>
      </c>
      <c r="H1580" s="646"/>
      <c r="I1580" s="648"/>
      <c r="J1580" s="646"/>
      <c r="K1580" s="646"/>
      <c r="L1580" s="847" t="s">
        <v>143</v>
      </c>
      <c r="M1580" s="649"/>
      <c r="N1580" s="649"/>
      <c r="O1580" s="649"/>
      <c r="P1580" s="649"/>
      <c r="Q1580" s="650"/>
      <c r="R1580" s="848">
        <f>SUMIF($L1562:$L1579,"SUBI",R1562:R1579)</f>
        <v>0</v>
      </c>
      <c r="S1580" s="866"/>
      <c r="T1580" s="848">
        <f>SUMIF($L1562:$L1579,"SUBI",T1562:T1579)</f>
        <v>0</v>
      </c>
      <c r="U1580" s="529"/>
      <c r="V1580" s="529"/>
      <c r="W1580" s="529"/>
      <c r="X1580" s="529"/>
      <c r="Y1580" s="529"/>
      <c r="Z1580" s="529"/>
      <c r="AA1580" s="529"/>
      <c r="AB1580" s="529"/>
      <c r="AC1580" s="529"/>
      <c r="AD1580" s="529"/>
      <c r="AE1580" s="529"/>
      <c r="AF1580" s="529"/>
      <c r="AG1580" s="529"/>
      <c r="AH1580" s="529"/>
      <c r="AI1580" s="529"/>
      <c r="AJ1580" s="529"/>
      <c r="AK1580" s="529"/>
      <c r="AL1580" s="529"/>
      <c r="AM1580" s="529"/>
      <c r="AN1580" s="529"/>
      <c r="AO1580" s="529"/>
    </row>
    <row r="1581" spans="1:41" s="519" customFormat="1" thickTop="1">
      <c r="A1581" s="47"/>
      <c r="B1581" s="40"/>
      <c r="C1581" s="47"/>
      <c r="E1581" s="41" t="s">
        <v>138</v>
      </c>
      <c r="F1581" s="41" t="s">
        <v>139</v>
      </c>
      <c r="G1581" s="47"/>
      <c r="H1581" s="47"/>
      <c r="I1581" s="47"/>
      <c r="J1581" s="47"/>
      <c r="K1581" s="47" t="s">
        <v>140</v>
      </c>
      <c r="L1581" s="774"/>
      <c r="M1581" s="47"/>
      <c r="N1581" s="47"/>
      <c r="O1581" s="48"/>
      <c r="P1581" s="47"/>
      <c r="Q1581"/>
      <c r="R1581"/>
      <c r="S1581"/>
      <c r="T1581" s="40"/>
      <c r="AG1581" s="627" t="s">
        <v>277</v>
      </c>
      <c r="AH1581" s="627" t="s">
        <v>278</v>
      </c>
      <c r="AI1581" s="627" t="s">
        <v>279</v>
      </c>
      <c r="AJ1581" s="627" t="s">
        <v>280</v>
      </c>
      <c r="AK1581" s="627" t="s">
        <v>281</v>
      </c>
      <c r="AM1581" s="628" t="s">
        <v>290</v>
      </c>
      <c r="AN1581" s="629" t="s">
        <v>291</v>
      </c>
      <c r="AO1581" s="520" t="s">
        <v>287</v>
      </c>
    </row>
    <row r="1582" spans="1:41" s="519" customFormat="1" ht="13.2">
      <c r="A1582" s="630">
        <v>1</v>
      </c>
      <c r="B1582" s="521" t="s">
        <v>312</v>
      </c>
      <c r="C1582" s="631"/>
      <c r="D1582" s="632" t="s">
        <v>704</v>
      </c>
      <c r="E1582" s="775">
        <f>IF(AND($A1582=0,$A$1="DIF"),0,ROUND(ROUND(SUMIF($L1584:$L1595,"SUBI",$E1584:$E1595)/$A1582,2)*$C$12,2))</f>
        <v>0</v>
      </c>
      <c r="F1582" s="776">
        <f>ROUND($A1582*$E1582,2)</f>
        <v>0</v>
      </c>
      <c r="G1582" s="635" t="s">
        <v>142</v>
      </c>
      <c r="H1582" s="636"/>
      <c r="I1582" s="637"/>
      <c r="J1582" s="636"/>
      <c r="K1582" s="777"/>
      <c r="L1582" s="778" t="s">
        <v>143</v>
      </c>
      <c r="M1582" s="638"/>
      <c r="N1582" s="638"/>
      <c r="O1582" s="638"/>
      <c r="P1582" s="638"/>
      <c r="Q1582" s="967" t="s">
        <v>867</v>
      </c>
      <c r="R1582"/>
      <c r="S1582"/>
      <c r="T1582" s="779" t="str">
        <f>IF(AND($R1601=0,$T1601=0),"0.00","mu :" &amp; ROUND($F1582/$C$12/($R1601+$T1601*$D$9),2))</f>
        <v>0.00</v>
      </c>
      <c r="W1582" s="522"/>
      <c r="AG1582" s="780">
        <f>IF(A1582=0,0,ROUND(SUM(AG1584:AG1601)/A1582,2))</f>
        <v>0</v>
      </c>
      <c r="AH1582" s="780">
        <f>$AG1582*$A1582</f>
        <v>0</v>
      </c>
      <c r="AI1582" s="780">
        <f>$E1582-$AG1582</f>
        <v>0</v>
      </c>
      <c r="AJ1582" s="780">
        <f>$A1582*$AI1582</f>
        <v>0</v>
      </c>
      <c r="AK1582" s="781">
        <f>ROUND(($AG1582+$AI1582)*$A1582,2)</f>
        <v>0</v>
      </c>
      <c r="AM1582" s="525">
        <f>ROUND(R1601,2)</f>
        <v>0</v>
      </c>
      <c r="AN1582" s="526">
        <f>ROUND(T1601,2)</f>
        <v>0</v>
      </c>
      <c r="AO1582" s="527">
        <f>ROUND(AM1582+AN1582,2)*A1582</f>
        <v>0</v>
      </c>
    </row>
    <row r="1583" spans="1:41" s="519" customFormat="1" ht="21.6" customHeight="1">
      <c r="A1583" s="782"/>
      <c r="B1583" s="783"/>
      <c r="C1583" s="631"/>
      <c r="D1583" s="784" t="s">
        <v>550</v>
      </c>
      <c r="F1583" s="636"/>
      <c r="G1583" s="636"/>
      <c r="H1583" s="636"/>
      <c r="I1583" s="637"/>
      <c r="J1583" s="636"/>
      <c r="K1583" s="636" t="s">
        <v>144</v>
      </c>
      <c r="L1583" s="785"/>
      <c r="M1583" s="636"/>
      <c r="N1583" s="636"/>
      <c r="O1583" s="636"/>
      <c r="P1583" s="636"/>
      <c r="Q1583" s="47"/>
      <c r="R1583" s="528"/>
      <c r="S1583" s="640"/>
      <c r="T1583" s="636"/>
    </row>
    <row r="1584" spans="1:41" s="519" customFormat="1" ht="12">
      <c r="A1584" s="849"/>
      <c r="B1584" s="850"/>
      <c r="C1584" s="641"/>
      <c r="D1584" s="811"/>
      <c r="E1584" s="851">
        <f>F1582/$C$12-SUMIF($L1581:$L1601,"SUBI",$E1581:$E1601)</f>
        <v>0</v>
      </c>
      <c r="F1584" s="852" t="s">
        <v>589</v>
      </c>
      <c r="G1584" s="790"/>
      <c r="H1584" s="790"/>
      <c r="I1584" s="791"/>
      <c r="J1584" s="790"/>
      <c r="K1584" s="790"/>
      <c r="L1584" s="792"/>
      <c r="M1584" s="793"/>
      <c r="N1584" s="793"/>
      <c r="O1584" s="793"/>
      <c r="P1584" s="793"/>
      <c r="Q1584" s="794"/>
      <c r="R1584" s="795"/>
      <c r="S1584" s="794"/>
      <c r="T1584" s="796"/>
    </row>
    <row r="1585" spans="1:33" s="519" customFormat="1" ht="12" customHeight="1">
      <c r="A1585" s="797"/>
      <c r="B1585" s="798"/>
      <c r="C1585" s="799"/>
      <c r="D1585" s="799" t="str">
        <f>$F$2</f>
        <v>Electrical</v>
      </c>
      <c r="E1585" s="799">
        <f>ROUND(($R1589*$S$2 + ($T1589*$T$2)), 2)</f>
        <v>0</v>
      </c>
      <c r="F1585" s="800">
        <f>$E1585*$C$12</f>
        <v>0</v>
      </c>
      <c r="G1585" s="528"/>
      <c r="H1585" s="801"/>
      <c r="I1585" s="528"/>
      <c r="J1585" s="48"/>
      <c r="K1585" s="802" t="s">
        <v>3</v>
      </c>
      <c r="L1585" s="803" t="s">
        <v>590</v>
      </c>
      <c r="M1585" s="528"/>
      <c r="N1585" s="528"/>
      <c r="O1585" s="48"/>
      <c r="P1585" s="528"/>
      <c r="Q1585" s="528"/>
      <c r="R1585"/>
      <c r="S1585"/>
      <c r="T1585"/>
    </row>
    <row r="1586" spans="1:33" s="519" customFormat="1" ht="14.4" customHeight="1">
      <c r="A1586" s="49"/>
      <c r="B1586" s="804" t="s">
        <v>591</v>
      </c>
      <c r="C1586" s="528"/>
      <c r="D1586" s="528"/>
      <c r="E1586" s="528"/>
      <c r="F1586" s="528"/>
      <c r="G1586" s="528"/>
      <c r="H1586" s="801"/>
      <c r="I1586" s="528"/>
      <c r="J1586" s="48"/>
      <c r="K1586" s="805"/>
      <c r="L1586" s="806"/>
      <c r="M1586" s="528"/>
      <c r="N1586" s="528"/>
      <c r="O1586" s="48"/>
      <c r="P1586" s="528"/>
      <c r="Q1586" s="528"/>
      <c r="R1586" s="807">
        <f>$A1586*Q1586</f>
        <v>0</v>
      </c>
      <c r="S1586" s="528"/>
      <c r="T1586" s="643">
        <f>$A1586*S1586*$T$1</f>
        <v>0</v>
      </c>
    </row>
    <row r="1587" spans="1:33" s="519" customFormat="1" ht="14.4" customHeight="1">
      <c r="A1587" s="49"/>
      <c r="B1587" s="528"/>
      <c r="C1587" s="528"/>
      <c r="D1587" s="528"/>
      <c r="E1587" s="528"/>
      <c r="F1587" s="528"/>
      <c r="G1587" s="528"/>
      <c r="H1587" s="801"/>
      <c r="I1587" s="528"/>
      <c r="J1587" s="48"/>
      <c r="K1587" s="805"/>
      <c r="L1587" s="806"/>
      <c r="M1587" s="528"/>
      <c r="N1587" s="528"/>
      <c r="O1587" s="48"/>
      <c r="P1587" s="528"/>
      <c r="Q1587" s="528"/>
      <c r="R1587" s="807">
        <f>$A1587*Q1587</f>
        <v>0</v>
      </c>
      <c r="S1587" s="528"/>
      <c r="T1587" s="643">
        <f>$A1587*S1587*$T$1</f>
        <v>0</v>
      </c>
    </row>
    <row r="1588" spans="1:33" s="519" customFormat="1" ht="14.4" customHeight="1">
      <c r="A1588" s="49"/>
      <c r="B1588" s="528"/>
      <c r="C1588" s="528"/>
      <c r="D1588" s="528"/>
      <c r="E1588" s="528"/>
      <c r="F1588" s="528"/>
      <c r="G1588" s="528"/>
      <c r="H1588" s="801"/>
      <c r="I1588" s="528"/>
      <c r="J1588" s="48"/>
      <c r="K1588" s="805"/>
      <c r="L1588" s="806"/>
      <c r="M1588" s="528"/>
      <c r="N1588" s="528"/>
      <c r="O1588" s="48"/>
      <c r="P1588" s="528"/>
      <c r="Q1588" s="528"/>
      <c r="R1588" s="807">
        <f>$A1588*Q1588</f>
        <v>0</v>
      </c>
      <c r="S1588" s="528"/>
      <c r="T1588" s="643">
        <f>$A1588*S1588*$T$1</f>
        <v>0</v>
      </c>
    </row>
    <row r="1589" spans="1:33" s="519" customFormat="1" ht="12">
      <c r="A1589" s="835" t="s">
        <v>145</v>
      </c>
      <c r="B1589" s="836">
        <f>(R1588+T1588)</f>
        <v>0</v>
      </c>
      <c r="C1589" s="790"/>
      <c r="G1589" s="810"/>
      <c r="H1589" s="810"/>
      <c r="I1589" s="810"/>
      <c r="J1589" s="810"/>
      <c r="K1589" s="811" t="s">
        <v>3</v>
      </c>
      <c r="L1589" s="812" t="s">
        <v>590</v>
      </c>
      <c r="M1589" s="810"/>
      <c r="N1589" s="810"/>
      <c r="O1589" s="810"/>
      <c r="P1589" s="810"/>
      <c r="Q1589" s="813"/>
      <c r="R1589" s="814">
        <f>SUM(R1585:R1588)</f>
        <v>0</v>
      </c>
      <c r="S1589" s="815"/>
      <c r="T1589" s="814">
        <f>SUM(T1585:T1588)</f>
        <v>0</v>
      </c>
      <c r="AG1589" s="816">
        <f>ROUND($R1589*$S$2,2)</f>
        <v>0</v>
      </c>
    </row>
    <row r="1590" spans="1:33" s="519" customFormat="1" ht="12" customHeight="1">
      <c r="A1590" s="797"/>
      <c r="B1590" s="853"/>
      <c r="C1590" s="854"/>
      <c r="D1590" s="855" t="str">
        <f>$F$3</f>
        <v>ECA</v>
      </c>
      <c r="E1590" s="855">
        <f>ROUND(($R1594*$S$3 + ($T1594*$T$3)), 2)</f>
        <v>0</v>
      </c>
      <c r="F1590" s="856">
        <f>$E1590*$C$12</f>
        <v>0</v>
      </c>
      <c r="G1590" s="518"/>
      <c r="H1590" s="518"/>
      <c r="I1590" s="518"/>
      <c r="J1590" s="518"/>
      <c r="K1590" s="802" t="s">
        <v>5</v>
      </c>
      <c r="L1590" s="803" t="s">
        <v>590</v>
      </c>
      <c r="M1590" s="518"/>
      <c r="N1590" s="518"/>
      <c r="O1590" s="518"/>
      <c r="P1590" s="518"/>
      <c r="Q1590" s="518"/>
      <c r="R1590" s="821"/>
      <c r="S1590" s="518"/>
      <c r="T1590" s="821"/>
    </row>
    <row r="1591" spans="1:33" s="834" customFormat="1" ht="15.6" customHeight="1">
      <c r="A1591" s="822"/>
      <c r="B1591" s="804" t="s">
        <v>592</v>
      </c>
      <c r="C1591" s="823"/>
      <c r="D1591" s="824"/>
      <c r="E1591" s="824"/>
      <c r="F1591" s="824"/>
      <c r="G1591" s="825"/>
      <c r="H1591" s="826"/>
      <c r="I1591" s="826"/>
      <c r="J1591" s="827"/>
      <c r="K1591" s="828"/>
      <c r="L1591" s="823"/>
      <c r="M1591" s="829"/>
      <c r="N1591" s="830"/>
      <c r="O1591" s="831"/>
      <c r="P1591" s="832"/>
      <c r="Q1591" s="833"/>
      <c r="R1591" s="807">
        <f>$A1591*Q1591</f>
        <v>0</v>
      </c>
      <c r="S1591" s="528"/>
      <c r="T1591" s="643">
        <f>$A1591*S1591*$T$1</f>
        <v>0</v>
      </c>
    </row>
    <row r="1592" spans="1:33" s="519" customFormat="1" ht="15.6" customHeight="1">
      <c r="A1592" s="49"/>
      <c r="B1592" s="528"/>
      <c r="C1592" s="528"/>
      <c r="D1592" s="528"/>
      <c r="E1592" s="528"/>
      <c r="F1592" s="528"/>
      <c r="G1592" s="528"/>
      <c r="H1592" s="528"/>
      <c r="I1592" s="528"/>
      <c r="J1592" s="528"/>
      <c r="K1592" s="528"/>
      <c r="L1592" s="806"/>
      <c r="M1592" s="528"/>
      <c r="N1592" s="528"/>
      <c r="O1592" s="528"/>
      <c r="P1592" s="528"/>
      <c r="Q1592" s="528"/>
      <c r="R1592" s="807">
        <f>$A1592*Q1592</f>
        <v>0</v>
      </c>
      <c r="S1592" s="528"/>
      <c r="T1592" s="643">
        <f>$A1592*S1592*$T$1</f>
        <v>0</v>
      </c>
    </row>
    <row r="1593" spans="1:33" s="519" customFormat="1" ht="15.6" customHeight="1">
      <c r="A1593" s="49"/>
      <c r="B1593" s="528"/>
      <c r="C1593" s="528"/>
      <c r="D1593" s="3"/>
      <c r="E1593" s="528"/>
      <c r="F1593" s="528"/>
      <c r="G1593" s="528"/>
      <c r="H1593" s="528"/>
      <c r="I1593" s="528"/>
      <c r="J1593" s="528"/>
      <c r="K1593" s="528"/>
      <c r="L1593" s="806"/>
      <c r="M1593" s="528"/>
      <c r="N1593" s="528"/>
      <c r="O1593" s="528"/>
      <c r="P1593" s="528"/>
      <c r="Q1593" s="528"/>
      <c r="R1593" s="807">
        <f>$A1593*Q1593</f>
        <v>0</v>
      </c>
      <c r="S1593" s="528"/>
      <c r="T1593" s="643">
        <f>$A1593*S1593*$T$1</f>
        <v>0</v>
      </c>
    </row>
    <row r="1594" spans="1:33" s="519" customFormat="1" ht="12">
      <c r="A1594" s="835" t="s">
        <v>145</v>
      </c>
      <c r="B1594" s="836">
        <f>(R1593+T1593)</f>
        <v>0</v>
      </c>
      <c r="C1594" s="790"/>
      <c r="G1594" s="810"/>
      <c r="H1594" s="810"/>
      <c r="I1594" s="810"/>
      <c r="J1594" s="810"/>
      <c r="K1594" s="838" t="s">
        <v>5</v>
      </c>
      <c r="L1594" s="812" t="s">
        <v>590</v>
      </c>
      <c r="M1594" s="810"/>
      <c r="N1594" s="810"/>
      <c r="O1594" s="810"/>
      <c r="P1594" s="810"/>
      <c r="Q1594" s="813"/>
      <c r="R1594" s="814">
        <f>SUM(R1590:R1593)</f>
        <v>0</v>
      </c>
      <c r="S1594" s="815"/>
      <c r="T1594" s="814">
        <f>SUM(T1590:T1593)</f>
        <v>0</v>
      </c>
      <c r="AG1594" s="840">
        <f>ROUND($R1594*$S$3,2)</f>
        <v>0</v>
      </c>
    </row>
    <row r="1595" spans="1:33" s="519" customFormat="1" ht="12" customHeight="1">
      <c r="A1595" s="817"/>
      <c r="B1595" s="857"/>
      <c r="C1595" s="858"/>
      <c r="D1595" s="859">
        <f>$F$4</f>
        <v>0</v>
      </c>
      <c r="E1595" s="859">
        <f>ROUND(($R1599*$S$4 + ($T1599*$T$4)), 2)</f>
        <v>0</v>
      </c>
      <c r="F1595" s="860">
        <f ca="1">$F1582-SUMIF($L1584:$P1592,"SUBI",$F1584:$F1592)</f>
        <v>0</v>
      </c>
      <c r="G1595" s="518"/>
      <c r="H1595" s="518"/>
      <c r="I1595" s="518"/>
      <c r="J1595" s="518"/>
      <c r="K1595" s="861" t="s">
        <v>8</v>
      </c>
      <c r="L1595" s="803" t="s">
        <v>590</v>
      </c>
      <c r="M1595" s="518"/>
      <c r="N1595" s="518"/>
      <c r="O1595" s="518"/>
      <c r="P1595" s="518"/>
      <c r="Q1595" s="518"/>
      <c r="R1595" s="821"/>
      <c r="S1595" s="518"/>
      <c r="T1595" s="821"/>
    </row>
    <row r="1596" spans="1:33" s="834" customFormat="1" ht="14.4" customHeight="1">
      <c r="A1596" s="822"/>
      <c r="B1596" s="804" t="s">
        <v>680</v>
      </c>
      <c r="C1596" s="823"/>
      <c r="D1596" s="824"/>
      <c r="E1596" s="824"/>
      <c r="F1596" s="824"/>
      <c r="G1596" s="825"/>
      <c r="H1596" s="826"/>
      <c r="I1596" s="826"/>
      <c r="J1596" s="827"/>
      <c r="K1596" s="828"/>
      <c r="L1596" s="823"/>
      <c r="M1596" s="829"/>
      <c r="N1596" s="830"/>
      <c r="O1596" s="862"/>
      <c r="P1596" s="832"/>
      <c r="Q1596" s="833"/>
      <c r="R1596" s="642">
        <f>$A1596*Q1596</f>
        <v>0</v>
      </c>
      <c r="S1596" s="833"/>
      <c r="T1596" s="643">
        <f>$A1596*S1596*$T$1</f>
        <v>0</v>
      </c>
    </row>
    <row r="1597" spans="1:33" s="519" customFormat="1" ht="12">
      <c r="A1597" s="47"/>
      <c r="B1597" s="641"/>
      <c r="C1597" s="641"/>
      <c r="D1597" s="863"/>
      <c r="E1597" s="843"/>
      <c r="F1597" s="518"/>
      <c r="G1597" s="518"/>
      <c r="H1597" s="518"/>
      <c r="I1597" s="518"/>
      <c r="J1597" s="518"/>
      <c r="K1597" s="518"/>
      <c r="L1597" s="864"/>
      <c r="M1597" s="518"/>
      <c r="N1597" s="518"/>
      <c r="O1597" s="518"/>
      <c r="P1597" s="518"/>
      <c r="Q1597" s="518"/>
      <c r="R1597" s="642">
        <f>$A1597*Q1597</f>
        <v>0</v>
      </c>
      <c r="S1597" s="518"/>
      <c r="T1597" s="643">
        <f>$A1597*S1597*$T$1</f>
        <v>0</v>
      </c>
    </row>
    <row r="1598" spans="1:33" s="519" customFormat="1" ht="12">
      <c r="A1598" s="47"/>
      <c r="B1598" s="641"/>
      <c r="C1598" s="641"/>
      <c r="D1598" s="863"/>
      <c r="E1598" s="843"/>
      <c r="F1598" s="518"/>
      <c r="G1598" s="518"/>
      <c r="H1598" s="518"/>
      <c r="I1598" s="518"/>
      <c r="J1598" s="518"/>
      <c r="K1598" s="518"/>
      <c r="L1598" s="864"/>
      <c r="M1598" s="518"/>
      <c r="N1598" s="518"/>
      <c r="O1598" s="518"/>
      <c r="P1598" s="518"/>
      <c r="Q1598" s="518"/>
      <c r="R1598" s="642">
        <f>$A1598*Q1598</f>
        <v>0</v>
      </c>
      <c r="S1598" s="518"/>
      <c r="T1598" s="643">
        <f>$A1598*S1598*$T$1</f>
        <v>0</v>
      </c>
    </row>
    <row r="1599" spans="1:33" s="519" customFormat="1" ht="12.75" customHeight="1">
      <c r="A1599" s="835" t="s">
        <v>145</v>
      </c>
      <c r="B1599" s="836">
        <f>(R1598+T1598)</f>
        <v>0</v>
      </c>
      <c r="C1599" s="837"/>
      <c r="D1599" s="837"/>
      <c r="E1599" s="837"/>
      <c r="F1599" s="837"/>
      <c r="G1599" s="813"/>
      <c r="H1599" s="813"/>
      <c r="I1599" s="813"/>
      <c r="J1599" s="813"/>
      <c r="K1599" s="838" t="s">
        <v>8</v>
      </c>
      <c r="L1599" s="839" t="s">
        <v>590</v>
      </c>
      <c r="M1599" s="813"/>
      <c r="N1599" s="813"/>
      <c r="O1599" s="813"/>
      <c r="P1599" s="813"/>
      <c r="Q1599" s="813"/>
      <c r="R1599" s="814">
        <f>SUM(R1595:R1598)</f>
        <v>0</v>
      </c>
      <c r="S1599" s="815"/>
      <c r="T1599" s="814">
        <f>SUM(T1595:T1598)</f>
        <v>0</v>
      </c>
      <c r="AG1599" s="865">
        <f>ROUND($R1599*$S$4,2)</f>
        <v>0</v>
      </c>
    </row>
    <row r="1600" spans="1:33" s="519" customFormat="1" ht="12.75" customHeight="1">
      <c r="A1600" s="841"/>
      <c r="B1600" s="842"/>
      <c r="E1600" s="641"/>
      <c r="F1600" s="843"/>
      <c r="G1600" s="641"/>
      <c r="H1600" s="641"/>
      <c r="I1600" s="518"/>
      <c r="J1600" s="641"/>
      <c r="K1600" s="641"/>
      <c r="L1600" s="844"/>
      <c r="M1600" s="652"/>
      <c r="N1600" s="652"/>
      <c r="O1600" s="652"/>
      <c r="P1600" s="652"/>
      <c r="Q1600" s="653"/>
      <c r="R1600" s="821"/>
      <c r="S1600" s="641"/>
      <c r="T1600" s="821"/>
    </row>
    <row r="1601" spans="1:41" s="519" customFormat="1" ht="13.5" customHeight="1" thickBot="1">
      <c r="A1601" s="845"/>
      <c r="B1601" s="846"/>
      <c r="C1601" s="529"/>
      <c r="D1601" s="529"/>
      <c r="E1601" s="646"/>
      <c r="F1601" s="647"/>
      <c r="G1601" s="646" t="s">
        <v>146</v>
      </c>
      <c r="H1601" s="646"/>
      <c r="I1601" s="648"/>
      <c r="J1601" s="646"/>
      <c r="K1601" s="646"/>
      <c r="L1601" s="847" t="s">
        <v>143</v>
      </c>
      <c r="M1601" s="649"/>
      <c r="N1601" s="649"/>
      <c r="O1601" s="649"/>
      <c r="P1601" s="649"/>
      <c r="Q1601" s="650"/>
      <c r="R1601" s="848">
        <f>SUMIF($L1583:$L1600,"SUBI",R1583:R1600)</f>
        <v>0</v>
      </c>
      <c r="S1601" s="866"/>
      <c r="T1601" s="848">
        <f>SUMIF($L1583:$L1600,"SUBI",T1583:T1600)</f>
        <v>0</v>
      </c>
      <c r="U1601" s="529"/>
      <c r="V1601" s="529"/>
      <c r="W1601" s="529"/>
      <c r="X1601" s="529"/>
      <c r="Y1601" s="529"/>
      <c r="Z1601" s="529"/>
      <c r="AA1601" s="529"/>
      <c r="AB1601" s="529"/>
      <c r="AC1601" s="529"/>
      <c r="AD1601" s="529"/>
      <c r="AE1601" s="529"/>
      <c r="AF1601" s="529"/>
      <c r="AG1601" s="529"/>
      <c r="AH1601" s="529"/>
      <c r="AI1601" s="529"/>
      <c r="AJ1601" s="529"/>
      <c r="AK1601" s="529"/>
      <c r="AL1601" s="529"/>
      <c r="AM1601" s="529"/>
      <c r="AN1601" s="529"/>
      <c r="AO1601" s="529"/>
    </row>
    <row r="1602" spans="1:41" s="519" customFormat="1" thickTop="1">
      <c r="A1602" s="47"/>
      <c r="B1602" s="40"/>
      <c r="C1602" s="47"/>
      <c r="E1602" s="41" t="s">
        <v>138</v>
      </c>
      <c r="F1602" s="41" t="s">
        <v>139</v>
      </c>
      <c r="G1602" s="47"/>
      <c r="H1602" s="47"/>
      <c r="I1602" s="47"/>
      <c r="J1602" s="47"/>
      <c r="K1602" s="47" t="s">
        <v>140</v>
      </c>
      <c r="L1602" s="774"/>
      <c r="M1602" s="47"/>
      <c r="N1602" s="47"/>
      <c r="O1602" s="48"/>
      <c r="P1602" s="47"/>
      <c r="Q1602"/>
      <c r="R1602"/>
      <c r="S1602"/>
      <c r="T1602" s="40"/>
      <c r="AG1602" s="627" t="s">
        <v>277</v>
      </c>
      <c r="AH1602" s="627" t="s">
        <v>278</v>
      </c>
      <c r="AI1602" s="627" t="s">
        <v>279</v>
      </c>
      <c r="AJ1602" s="627" t="s">
        <v>280</v>
      </c>
      <c r="AK1602" s="627" t="s">
        <v>281</v>
      </c>
      <c r="AM1602" s="628" t="s">
        <v>290</v>
      </c>
      <c r="AN1602" s="629" t="s">
        <v>291</v>
      </c>
      <c r="AO1602" s="520" t="s">
        <v>287</v>
      </c>
    </row>
    <row r="1603" spans="1:41" s="519" customFormat="1" ht="13.2">
      <c r="A1603" s="630">
        <v>1</v>
      </c>
      <c r="B1603" s="521" t="s">
        <v>312</v>
      </c>
      <c r="C1603" s="631"/>
      <c r="D1603" s="632" t="s">
        <v>705</v>
      </c>
      <c r="E1603" s="775">
        <f>IF(AND($A1603=0,$A$1="DIF"),0,ROUND(ROUND(SUMIF($L1605:$L1616,"SUBI",$E1605:$E1616)/$A1603,2)*$C$12,2))</f>
        <v>0</v>
      </c>
      <c r="F1603" s="776">
        <f>ROUND($A1603*$E1603,2)</f>
        <v>0</v>
      </c>
      <c r="G1603" s="635" t="s">
        <v>142</v>
      </c>
      <c r="H1603" s="636"/>
      <c r="I1603" s="637"/>
      <c r="J1603" s="636"/>
      <c r="K1603" s="777"/>
      <c r="L1603" s="778" t="s">
        <v>143</v>
      </c>
      <c r="M1603" s="638"/>
      <c r="N1603" s="638"/>
      <c r="O1603" s="638"/>
      <c r="P1603" s="638"/>
      <c r="Q1603" s="967" t="s">
        <v>867</v>
      </c>
      <c r="R1603"/>
      <c r="S1603"/>
      <c r="T1603" s="779" t="str">
        <f>IF(AND($R1622=0,$T1622=0),"0.00","mu :" &amp; ROUND($F1603/$C$12/($R1622+$T1622*$D$9),2))</f>
        <v>0.00</v>
      </c>
      <c r="W1603" s="522"/>
      <c r="AG1603" s="780">
        <f>IF(A1603=0,0,ROUND(SUM(AG1605:AG1622)/A1603,2))</f>
        <v>0</v>
      </c>
      <c r="AH1603" s="780">
        <f>$AG1603*$A1603</f>
        <v>0</v>
      </c>
      <c r="AI1603" s="780">
        <f>$E1603-$AG1603</f>
        <v>0</v>
      </c>
      <c r="AJ1603" s="780">
        <f>$A1603*$AI1603</f>
        <v>0</v>
      </c>
      <c r="AK1603" s="781">
        <f>ROUND(($AG1603+$AI1603)*$A1603,2)</f>
        <v>0</v>
      </c>
      <c r="AM1603" s="525">
        <f>ROUND(R1622,2)</f>
        <v>0</v>
      </c>
      <c r="AN1603" s="526">
        <f>ROUND(T1622,2)</f>
        <v>0</v>
      </c>
      <c r="AO1603" s="527">
        <f>ROUND(AM1603+AN1603,2)*A1603</f>
        <v>0</v>
      </c>
    </row>
    <row r="1604" spans="1:41" s="519" customFormat="1" ht="21.6" customHeight="1">
      <c r="A1604" s="782"/>
      <c r="B1604" s="783"/>
      <c r="C1604" s="631"/>
      <c r="D1604" s="784" t="s">
        <v>551</v>
      </c>
      <c r="F1604" s="636"/>
      <c r="G1604" s="636"/>
      <c r="H1604" s="636"/>
      <c r="I1604" s="637"/>
      <c r="J1604" s="636"/>
      <c r="K1604" s="636" t="s">
        <v>144</v>
      </c>
      <c r="L1604" s="785"/>
      <c r="M1604" s="636"/>
      <c r="N1604" s="636"/>
      <c r="O1604" s="636"/>
      <c r="P1604" s="636"/>
      <c r="Q1604" s="47"/>
      <c r="R1604" s="528"/>
      <c r="S1604" s="640"/>
      <c r="T1604" s="636"/>
    </row>
    <row r="1605" spans="1:41" s="519" customFormat="1" ht="12">
      <c r="A1605" s="849"/>
      <c r="B1605" s="850"/>
      <c r="C1605" s="641"/>
      <c r="D1605" s="811"/>
      <c r="E1605" s="851">
        <f>F1603/$C$12-SUMIF($L1602:$L1622,"SUBI",$E1602:$E1622)</f>
        <v>0</v>
      </c>
      <c r="F1605" s="852" t="s">
        <v>589</v>
      </c>
      <c r="G1605" s="790"/>
      <c r="H1605" s="790"/>
      <c r="I1605" s="791"/>
      <c r="J1605" s="790"/>
      <c r="K1605" s="790"/>
      <c r="L1605" s="792"/>
      <c r="M1605" s="793"/>
      <c r="N1605" s="793"/>
      <c r="O1605" s="793"/>
      <c r="P1605" s="793"/>
      <c r="Q1605" s="794"/>
      <c r="R1605" s="795"/>
      <c r="S1605" s="794"/>
      <c r="T1605" s="796"/>
    </row>
    <row r="1606" spans="1:41" s="519" customFormat="1" ht="12" customHeight="1">
      <c r="A1606" s="797"/>
      <c r="B1606" s="798"/>
      <c r="C1606" s="799"/>
      <c r="D1606" s="799" t="str">
        <f>$F$2</f>
        <v>Electrical</v>
      </c>
      <c r="E1606" s="799">
        <f>ROUND(($R1610*$S$2 + ($T1610*$T$2)), 2)</f>
        <v>0</v>
      </c>
      <c r="F1606" s="800">
        <f>$E1606*$C$12</f>
        <v>0</v>
      </c>
      <c r="G1606" s="528"/>
      <c r="H1606" s="801"/>
      <c r="I1606" s="528"/>
      <c r="J1606" s="48"/>
      <c r="K1606" s="802" t="s">
        <v>3</v>
      </c>
      <c r="L1606" s="803" t="s">
        <v>590</v>
      </c>
      <c r="M1606" s="528"/>
      <c r="N1606" s="528"/>
      <c r="O1606" s="48"/>
      <c r="P1606" s="528"/>
      <c r="Q1606" s="528"/>
      <c r="R1606"/>
      <c r="S1606"/>
      <c r="T1606"/>
    </row>
    <row r="1607" spans="1:41" s="519" customFormat="1" ht="14.4" customHeight="1">
      <c r="A1607" s="49"/>
      <c r="B1607" s="804" t="s">
        <v>591</v>
      </c>
      <c r="C1607" s="528"/>
      <c r="D1607" s="528"/>
      <c r="E1607" s="528"/>
      <c r="F1607" s="528"/>
      <c r="G1607" s="528"/>
      <c r="H1607" s="801"/>
      <c r="I1607" s="528"/>
      <c r="J1607" s="48"/>
      <c r="K1607" s="805"/>
      <c r="L1607" s="806"/>
      <c r="M1607" s="528"/>
      <c r="N1607" s="528"/>
      <c r="O1607" s="48"/>
      <c r="P1607" s="528"/>
      <c r="Q1607" s="528"/>
      <c r="R1607" s="807">
        <f>$A1607*Q1607</f>
        <v>0</v>
      </c>
      <c r="S1607" s="528"/>
      <c r="T1607" s="643">
        <f>$A1607*S1607*$T$1</f>
        <v>0</v>
      </c>
    </row>
    <row r="1608" spans="1:41" s="519" customFormat="1" ht="14.4" customHeight="1">
      <c r="A1608" s="49"/>
      <c r="B1608" s="528"/>
      <c r="C1608" s="528"/>
      <c r="D1608" s="528"/>
      <c r="E1608" s="528"/>
      <c r="F1608" s="528"/>
      <c r="G1608" s="528"/>
      <c r="H1608" s="801"/>
      <c r="I1608" s="528"/>
      <c r="J1608" s="48"/>
      <c r="K1608" s="805"/>
      <c r="L1608" s="806"/>
      <c r="M1608" s="528"/>
      <c r="N1608" s="528"/>
      <c r="O1608" s="48"/>
      <c r="P1608" s="528"/>
      <c r="Q1608" s="528"/>
      <c r="R1608" s="807">
        <f>$A1608*Q1608</f>
        <v>0</v>
      </c>
      <c r="S1608" s="528"/>
      <c r="T1608" s="643">
        <f>$A1608*S1608*$T$1</f>
        <v>0</v>
      </c>
    </row>
    <row r="1609" spans="1:41" s="519" customFormat="1" ht="14.4" customHeight="1">
      <c r="A1609" s="49"/>
      <c r="B1609" s="528"/>
      <c r="C1609" s="528"/>
      <c r="D1609" s="528"/>
      <c r="E1609" s="528"/>
      <c r="F1609" s="528"/>
      <c r="G1609" s="528"/>
      <c r="H1609" s="801"/>
      <c r="I1609" s="528"/>
      <c r="J1609" s="48"/>
      <c r="K1609" s="805"/>
      <c r="L1609" s="806"/>
      <c r="M1609" s="528"/>
      <c r="N1609" s="528"/>
      <c r="O1609" s="48"/>
      <c r="P1609" s="528"/>
      <c r="Q1609" s="528"/>
      <c r="R1609" s="807">
        <f>$A1609*Q1609</f>
        <v>0</v>
      </c>
      <c r="S1609" s="528"/>
      <c r="T1609" s="643">
        <f>$A1609*S1609*$T$1</f>
        <v>0</v>
      </c>
    </row>
    <row r="1610" spans="1:41" s="519" customFormat="1" ht="12">
      <c r="A1610" s="835" t="s">
        <v>145</v>
      </c>
      <c r="B1610" s="836">
        <f>(R1609+T1609)</f>
        <v>0</v>
      </c>
      <c r="C1610" s="790"/>
      <c r="G1610" s="810"/>
      <c r="H1610" s="810"/>
      <c r="I1610" s="810"/>
      <c r="J1610" s="810"/>
      <c r="K1610" s="811" t="s">
        <v>3</v>
      </c>
      <c r="L1610" s="812" t="s">
        <v>590</v>
      </c>
      <c r="M1610" s="810"/>
      <c r="N1610" s="810"/>
      <c r="O1610" s="810"/>
      <c r="P1610" s="810"/>
      <c r="Q1610" s="813"/>
      <c r="R1610" s="814">
        <f>SUM(R1606:R1609)</f>
        <v>0</v>
      </c>
      <c r="S1610" s="815"/>
      <c r="T1610" s="814">
        <f>SUM(T1606:T1609)</f>
        <v>0</v>
      </c>
      <c r="AG1610" s="816">
        <f>ROUND($R1610*$S$2,2)</f>
        <v>0</v>
      </c>
    </row>
    <row r="1611" spans="1:41" s="519" customFormat="1" ht="12" customHeight="1">
      <c r="A1611" s="797"/>
      <c r="B1611" s="853"/>
      <c r="C1611" s="854"/>
      <c r="D1611" s="855" t="str">
        <f>$F$3</f>
        <v>ECA</v>
      </c>
      <c r="E1611" s="855">
        <f>ROUND(($R1615*$S$3 + ($T1615*$T$3)), 2)</f>
        <v>0</v>
      </c>
      <c r="F1611" s="856">
        <f>$E1611*$C$12</f>
        <v>0</v>
      </c>
      <c r="G1611" s="518"/>
      <c r="H1611" s="518"/>
      <c r="I1611" s="518"/>
      <c r="J1611" s="518"/>
      <c r="K1611" s="802" t="s">
        <v>5</v>
      </c>
      <c r="L1611" s="803" t="s">
        <v>590</v>
      </c>
      <c r="M1611" s="518"/>
      <c r="N1611" s="518"/>
      <c r="O1611" s="518"/>
      <c r="P1611" s="518"/>
      <c r="Q1611" s="518"/>
      <c r="R1611" s="821"/>
      <c r="S1611" s="518"/>
      <c r="T1611" s="821"/>
    </row>
    <row r="1612" spans="1:41" s="834" customFormat="1" ht="15.6" customHeight="1">
      <c r="A1612" s="822"/>
      <c r="B1612" s="804" t="s">
        <v>592</v>
      </c>
      <c r="C1612" s="823"/>
      <c r="D1612" s="824"/>
      <c r="E1612" s="824"/>
      <c r="F1612" s="824"/>
      <c r="G1612" s="825"/>
      <c r="H1612" s="826"/>
      <c r="I1612" s="826"/>
      <c r="J1612" s="827"/>
      <c r="K1612" s="828"/>
      <c r="L1612" s="823"/>
      <c r="M1612" s="829"/>
      <c r="N1612" s="830"/>
      <c r="O1612" s="831"/>
      <c r="P1612" s="832"/>
      <c r="Q1612" s="833"/>
      <c r="R1612" s="807">
        <f>$A1612*Q1612</f>
        <v>0</v>
      </c>
      <c r="S1612" s="528"/>
      <c r="T1612" s="643">
        <f>$A1612*S1612*$T$1</f>
        <v>0</v>
      </c>
    </row>
    <row r="1613" spans="1:41" s="519" customFormat="1" ht="15.6" customHeight="1">
      <c r="A1613" s="49"/>
      <c r="B1613" s="528"/>
      <c r="C1613" s="528"/>
      <c r="D1613" s="528"/>
      <c r="E1613" s="528"/>
      <c r="F1613" s="528"/>
      <c r="G1613" s="528"/>
      <c r="H1613" s="528"/>
      <c r="I1613" s="528"/>
      <c r="J1613" s="528"/>
      <c r="K1613" s="528"/>
      <c r="L1613" s="806"/>
      <c r="M1613" s="528"/>
      <c r="N1613" s="528"/>
      <c r="O1613" s="528"/>
      <c r="P1613" s="528"/>
      <c r="Q1613" s="528"/>
      <c r="R1613" s="807">
        <f>$A1613*Q1613</f>
        <v>0</v>
      </c>
      <c r="S1613" s="528"/>
      <c r="T1613" s="643">
        <f>$A1613*S1613*$T$1</f>
        <v>0</v>
      </c>
    </row>
    <row r="1614" spans="1:41" s="519" customFormat="1" ht="15.6" customHeight="1">
      <c r="A1614" s="49"/>
      <c r="B1614" s="528"/>
      <c r="C1614" s="528"/>
      <c r="D1614" s="3"/>
      <c r="E1614" s="528"/>
      <c r="F1614" s="528"/>
      <c r="G1614" s="528"/>
      <c r="H1614" s="528"/>
      <c r="I1614" s="528"/>
      <c r="J1614" s="528"/>
      <c r="K1614" s="528"/>
      <c r="L1614" s="806"/>
      <c r="M1614" s="528"/>
      <c r="N1614" s="528"/>
      <c r="O1614" s="528"/>
      <c r="P1614" s="528"/>
      <c r="Q1614" s="528"/>
      <c r="R1614" s="807">
        <f>$A1614*Q1614</f>
        <v>0</v>
      </c>
      <c r="S1614" s="528"/>
      <c r="T1614" s="643">
        <f>$A1614*S1614*$T$1</f>
        <v>0</v>
      </c>
    </row>
    <row r="1615" spans="1:41" s="519" customFormat="1" ht="12">
      <c r="A1615" s="835" t="s">
        <v>145</v>
      </c>
      <c r="B1615" s="836">
        <f>(R1614+T1614)</f>
        <v>0</v>
      </c>
      <c r="C1615" s="790"/>
      <c r="G1615" s="810"/>
      <c r="H1615" s="810"/>
      <c r="I1615" s="810"/>
      <c r="J1615" s="810"/>
      <c r="K1615" s="838" t="s">
        <v>5</v>
      </c>
      <c r="L1615" s="812" t="s">
        <v>590</v>
      </c>
      <c r="M1615" s="810"/>
      <c r="N1615" s="810"/>
      <c r="O1615" s="810"/>
      <c r="P1615" s="810"/>
      <c r="Q1615" s="813"/>
      <c r="R1615" s="814">
        <f>SUM(R1611:R1614)</f>
        <v>0</v>
      </c>
      <c r="S1615" s="815"/>
      <c r="T1615" s="814">
        <f>SUM(T1611:T1614)</f>
        <v>0</v>
      </c>
      <c r="AG1615" s="840">
        <f>ROUND($R1615*$S$3,2)</f>
        <v>0</v>
      </c>
    </row>
    <row r="1616" spans="1:41" s="519" customFormat="1" ht="12" customHeight="1">
      <c r="A1616" s="817"/>
      <c r="B1616" s="857"/>
      <c r="C1616" s="858"/>
      <c r="D1616" s="859">
        <f>$F$4</f>
        <v>0</v>
      </c>
      <c r="E1616" s="859">
        <f>ROUND(($R1620*$S$4 + ($T1620*$T$4)), 2)</f>
        <v>0</v>
      </c>
      <c r="F1616" s="860">
        <f ca="1">$F1603-SUMIF($L1605:$P1613,"SUBI",$F1605:$F1613)</f>
        <v>0</v>
      </c>
      <c r="G1616" s="518"/>
      <c r="H1616" s="518"/>
      <c r="I1616" s="518"/>
      <c r="J1616" s="518"/>
      <c r="K1616" s="861" t="s">
        <v>8</v>
      </c>
      <c r="L1616" s="803" t="s">
        <v>590</v>
      </c>
      <c r="M1616" s="518"/>
      <c r="N1616" s="518"/>
      <c r="O1616" s="518"/>
      <c r="P1616" s="518"/>
      <c r="Q1616" s="518"/>
      <c r="R1616" s="821"/>
      <c r="S1616" s="518"/>
      <c r="T1616" s="821"/>
    </row>
    <row r="1617" spans="1:41" s="834" customFormat="1" ht="14.4" customHeight="1">
      <c r="A1617" s="822"/>
      <c r="B1617" s="804" t="s">
        <v>680</v>
      </c>
      <c r="C1617" s="823"/>
      <c r="D1617" s="824"/>
      <c r="E1617" s="824"/>
      <c r="F1617" s="824"/>
      <c r="G1617" s="825"/>
      <c r="H1617" s="826"/>
      <c r="I1617" s="826"/>
      <c r="J1617" s="827"/>
      <c r="K1617" s="828"/>
      <c r="L1617" s="823"/>
      <c r="M1617" s="829"/>
      <c r="N1617" s="830"/>
      <c r="O1617" s="862"/>
      <c r="P1617" s="832"/>
      <c r="Q1617" s="833"/>
      <c r="R1617" s="642">
        <f>$A1617*Q1617</f>
        <v>0</v>
      </c>
      <c r="S1617" s="833"/>
      <c r="T1617" s="643">
        <f>$A1617*S1617*$T$1</f>
        <v>0</v>
      </c>
    </row>
    <row r="1618" spans="1:41" s="519" customFormat="1" ht="12">
      <c r="A1618" s="47"/>
      <c r="B1618" s="641"/>
      <c r="C1618" s="641"/>
      <c r="D1618" s="863"/>
      <c r="E1618" s="843"/>
      <c r="F1618" s="518"/>
      <c r="G1618" s="518"/>
      <c r="H1618" s="518"/>
      <c r="I1618" s="518"/>
      <c r="J1618" s="518"/>
      <c r="K1618" s="518"/>
      <c r="L1618" s="864"/>
      <c r="M1618" s="518"/>
      <c r="N1618" s="518"/>
      <c r="O1618" s="518"/>
      <c r="P1618" s="518"/>
      <c r="Q1618" s="518"/>
      <c r="R1618" s="642">
        <f>$A1618*Q1618</f>
        <v>0</v>
      </c>
      <c r="S1618" s="518"/>
      <c r="T1618" s="643">
        <f>$A1618*S1618*$T$1</f>
        <v>0</v>
      </c>
    </row>
    <row r="1619" spans="1:41" s="519" customFormat="1" ht="12">
      <c r="A1619" s="47"/>
      <c r="B1619" s="641"/>
      <c r="C1619" s="641"/>
      <c r="D1619" s="863"/>
      <c r="E1619" s="843"/>
      <c r="F1619" s="518"/>
      <c r="G1619" s="518"/>
      <c r="H1619" s="518"/>
      <c r="I1619" s="518"/>
      <c r="J1619" s="518"/>
      <c r="K1619" s="518"/>
      <c r="L1619" s="864"/>
      <c r="M1619" s="518"/>
      <c r="N1619" s="518"/>
      <c r="O1619" s="518"/>
      <c r="P1619" s="518"/>
      <c r="Q1619" s="518"/>
      <c r="R1619" s="642">
        <f>$A1619*Q1619</f>
        <v>0</v>
      </c>
      <c r="S1619" s="518"/>
      <c r="T1619" s="643">
        <f>$A1619*S1619*$T$1</f>
        <v>0</v>
      </c>
    </row>
    <row r="1620" spans="1:41" s="519" customFormat="1" ht="12.75" customHeight="1">
      <c r="A1620" s="835" t="s">
        <v>145</v>
      </c>
      <c r="B1620" s="836">
        <f>(R1619+T1619)</f>
        <v>0</v>
      </c>
      <c r="C1620" s="837"/>
      <c r="D1620" s="837"/>
      <c r="E1620" s="837"/>
      <c r="F1620" s="837"/>
      <c r="G1620" s="813"/>
      <c r="H1620" s="813"/>
      <c r="I1620" s="813"/>
      <c r="J1620" s="813"/>
      <c r="K1620" s="838" t="s">
        <v>8</v>
      </c>
      <c r="L1620" s="839" t="s">
        <v>590</v>
      </c>
      <c r="M1620" s="813"/>
      <c r="N1620" s="813"/>
      <c r="O1620" s="813"/>
      <c r="P1620" s="813"/>
      <c r="Q1620" s="813"/>
      <c r="R1620" s="814">
        <f>SUM(R1616:R1619)</f>
        <v>0</v>
      </c>
      <c r="S1620" s="815"/>
      <c r="T1620" s="814">
        <f>SUM(T1616:T1619)</f>
        <v>0</v>
      </c>
      <c r="AG1620" s="865">
        <f>ROUND($R1620*$S$4,2)</f>
        <v>0</v>
      </c>
    </row>
    <row r="1621" spans="1:41" s="519" customFormat="1" ht="12.75" customHeight="1">
      <c r="A1621" s="841"/>
      <c r="B1621" s="842"/>
      <c r="E1621" s="641"/>
      <c r="F1621" s="843"/>
      <c r="G1621" s="641"/>
      <c r="H1621" s="641"/>
      <c r="I1621" s="518"/>
      <c r="J1621" s="641"/>
      <c r="K1621" s="641"/>
      <c r="L1621" s="844"/>
      <c r="M1621" s="652"/>
      <c r="N1621" s="652"/>
      <c r="O1621" s="652"/>
      <c r="P1621" s="652"/>
      <c r="Q1621" s="653"/>
      <c r="R1621" s="821"/>
      <c r="S1621" s="641"/>
      <c r="T1621" s="821"/>
    </row>
    <row r="1622" spans="1:41" s="519" customFormat="1" ht="13.5" customHeight="1" thickBot="1">
      <c r="A1622" s="845"/>
      <c r="B1622" s="846"/>
      <c r="C1622" s="529"/>
      <c r="D1622" s="529"/>
      <c r="E1622" s="646"/>
      <c r="F1622" s="647"/>
      <c r="G1622" s="646" t="s">
        <v>146</v>
      </c>
      <c r="H1622" s="646"/>
      <c r="I1622" s="648"/>
      <c r="J1622" s="646"/>
      <c r="K1622" s="646"/>
      <c r="L1622" s="847" t="s">
        <v>143</v>
      </c>
      <c r="M1622" s="649"/>
      <c r="N1622" s="649"/>
      <c r="O1622" s="649"/>
      <c r="P1622" s="649"/>
      <c r="Q1622" s="650"/>
      <c r="R1622" s="848">
        <f>SUMIF($L1604:$L1621,"SUBI",R1604:R1621)</f>
        <v>0</v>
      </c>
      <c r="S1622" s="866"/>
      <c r="T1622" s="848">
        <f>SUMIF($L1604:$L1621,"SUBI",T1604:T1621)</f>
        <v>0</v>
      </c>
      <c r="U1622" s="529"/>
      <c r="V1622" s="529"/>
      <c r="W1622" s="529"/>
      <c r="X1622" s="529"/>
      <c r="Y1622" s="529"/>
      <c r="Z1622" s="529"/>
      <c r="AA1622" s="529"/>
      <c r="AB1622" s="529"/>
      <c r="AC1622" s="529"/>
      <c r="AD1622" s="529"/>
      <c r="AE1622" s="529"/>
      <c r="AF1622" s="529"/>
      <c r="AG1622" s="529"/>
      <c r="AH1622" s="529"/>
      <c r="AI1622" s="529"/>
      <c r="AJ1622" s="529"/>
      <c r="AK1622" s="529"/>
      <c r="AL1622" s="529"/>
      <c r="AM1622" s="529"/>
      <c r="AN1622" s="529"/>
      <c r="AO1622" s="529"/>
    </row>
    <row r="1623" spans="1:41" s="519" customFormat="1" thickTop="1">
      <c r="A1623" s="47"/>
      <c r="B1623" s="40"/>
      <c r="C1623" s="47"/>
      <c r="E1623" s="41" t="s">
        <v>138</v>
      </c>
      <c r="F1623" s="41" t="s">
        <v>139</v>
      </c>
      <c r="G1623" s="47"/>
      <c r="H1623" s="47"/>
      <c r="I1623" s="47"/>
      <c r="J1623" s="47"/>
      <c r="K1623" s="47" t="s">
        <v>140</v>
      </c>
      <c r="L1623" s="774"/>
      <c r="M1623" s="47"/>
      <c r="N1623" s="47"/>
      <c r="O1623" s="48"/>
      <c r="P1623" s="47"/>
      <c r="Q1623"/>
      <c r="R1623"/>
      <c r="S1623"/>
      <c r="T1623" s="40"/>
      <c r="AG1623" s="627" t="s">
        <v>277</v>
      </c>
      <c r="AH1623" s="627" t="s">
        <v>278</v>
      </c>
      <c r="AI1623" s="627" t="s">
        <v>279</v>
      </c>
      <c r="AJ1623" s="627" t="s">
        <v>280</v>
      </c>
      <c r="AK1623" s="627" t="s">
        <v>281</v>
      </c>
      <c r="AM1623" s="628" t="s">
        <v>290</v>
      </c>
      <c r="AN1623" s="629" t="s">
        <v>291</v>
      </c>
      <c r="AO1623" s="520" t="s">
        <v>287</v>
      </c>
    </row>
    <row r="1624" spans="1:41" s="519" customFormat="1" ht="13.2">
      <c r="A1624" s="630">
        <v>1</v>
      </c>
      <c r="B1624" s="521" t="s">
        <v>312</v>
      </c>
      <c r="C1624" s="631"/>
      <c r="D1624" s="632" t="s">
        <v>706</v>
      </c>
      <c r="E1624" s="775">
        <f>IF(AND($A1624=0,$A$1="DIF"),0,ROUND(ROUND(SUMIF($L1626:$L1637,"SUBI",$E1626:$E1637)/$A1624,2)*$C$12,2))</f>
        <v>0</v>
      </c>
      <c r="F1624" s="776">
        <f>ROUND($A1624*$E1624,2)</f>
        <v>0</v>
      </c>
      <c r="G1624" s="635" t="s">
        <v>142</v>
      </c>
      <c r="H1624" s="636"/>
      <c r="I1624" s="637"/>
      <c r="J1624" s="636"/>
      <c r="K1624" s="777"/>
      <c r="L1624" s="778" t="s">
        <v>143</v>
      </c>
      <c r="M1624" s="638"/>
      <c r="N1624" s="638"/>
      <c r="O1624" s="638"/>
      <c r="P1624" s="638"/>
      <c r="Q1624" s="967" t="s">
        <v>867</v>
      </c>
      <c r="R1624"/>
      <c r="S1624"/>
      <c r="T1624" s="779" t="str">
        <f>IF(AND($R1643=0,$T1643=0),"0.00","mu :" &amp; ROUND($F1624/$C$12/($R1643+$T1643*$D$9),2))</f>
        <v>0.00</v>
      </c>
      <c r="W1624" s="522"/>
      <c r="AG1624" s="780">
        <f>IF(A1624=0,0,ROUND(SUM(AG1626:AG1643)/A1624,2))</f>
        <v>0</v>
      </c>
      <c r="AH1624" s="780">
        <f>$AG1624*$A1624</f>
        <v>0</v>
      </c>
      <c r="AI1624" s="780">
        <f>$E1624-$AG1624</f>
        <v>0</v>
      </c>
      <c r="AJ1624" s="780">
        <f>$A1624*$AI1624</f>
        <v>0</v>
      </c>
      <c r="AK1624" s="781">
        <f>ROUND(($AG1624+$AI1624)*$A1624,2)</f>
        <v>0</v>
      </c>
      <c r="AM1624" s="525">
        <f>ROUND(R1643,2)</f>
        <v>0</v>
      </c>
      <c r="AN1624" s="526">
        <f>ROUND(T1643,2)</f>
        <v>0</v>
      </c>
      <c r="AO1624" s="527">
        <f>ROUND(AM1624+AN1624,2)*A1624</f>
        <v>0</v>
      </c>
    </row>
    <row r="1625" spans="1:41" s="519" customFormat="1" ht="21.6" customHeight="1">
      <c r="A1625" s="782"/>
      <c r="B1625" s="783"/>
      <c r="C1625" s="631"/>
      <c r="D1625" s="784" t="s">
        <v>552</v>
      </c>
      <c r="F1625" s="636"/>
      <c r="G1625" s="636"/>
      <c r="H1625" s="636"/>
      <c r="I1625" s="637"/>
      <c r="J1625" s="636"/>
      <c r="K1625" s="636" t="s">
        <v>144</v>
      </c>
      <c r="L1625" s="785"/>
      <c r="M1625" s="636"/>
      <c r="N1625" s="636"/>
      <c r="O1625" s="636"/>
      <c r="P1625" s="636"/>
      <c r="Q1625" s="47"/>
      <c r="R1625" s="528"/>
      <c r="S1625" s="640"/>
      <c r="T1625" s="636"/>
    </row>
    <row r="1626" spans="1:41" s="519" customFormat="1" ht="12">
      <c r="A1626" s="849"/>
      <c r="B1626" s="850"/>
      <c r="C1626" s="641"/>
      <c r="D1626" s="811"/>
      <c r="E1626" s="851">
        <f>F1624/$C$12-SUMIF($L1623:$L1643,"SUBI",$E1623:$E1643)</f>
        <v>0</v>
      </c>
      <c r="F1626" s="852" t="s">
        <v>589</v>
      </c>
      <c r="G1626" s="790"/>
      <c r="H1626" s="790"/>
      <c r="I1626" s="791"/>
      <c r="J1626" s="790"/>
      <c r="K1626" s="790"/>
      <c r="L1626" s="792"/>
      <c r="M1626" s="793"/>
      <c r="N1626" s="793"/>
      <c r="O1626" s="793"/>
      <c r="P1626" s="793"/>
      <c r="Q1626" s="794"/>
      <c r="R1626" s="795"/>
      <c r="S1626" s="794"/>
      <c r="T1626" s="796"/>
    </row>
    <row r="1627" spans="1:41" s="519" customFormat="1" ht="12" customHeight="1">
      <c r="A1627" s="797"/>
      <c r="B1627" s="798"/>
      <c r="C1627" s="799"/>
      <c r="D1627" s="799" t="str">
        <f>$F$2</f>
        <v>Electrical</v>
      </c>
      <c r="E1627" s="799">
        <f>ROUND(($R1631*$S$2 + ($T1631*$T$2)), 2)</f>
        <v>0</v>
      </c>
      <c r="F1627" s="800">
        <f>$E1627*$C$12</f>
        <v>0</v>
      </c>
      <c r="G1627" s="528"/>
      <c r="H1627" s="801"/>
      <c r="I1627" s="528"/>
      <c r="J1627" s="48"/>
      <c r="K1627" s="802" t="s">
        <v>3</v>
      </c>
      <c r="L1627" s="803" t="s">
        <v>590</v>
      </c>
      <c r="M1627" s="528"/>
      <c r="N1627" s="528"/>
      <c r="O1627" s="48"/>
      <c r="P1627" s="528"/>
      <c r="Q1627" s="528"/>
      <c r="R1627"/>
      <c r="S1627"/>
      <c r="T1627"/>
    </row>
    <row r="1628" spans="1:41" s="519" customFormat="1" ht="14.4" customHeight="1">
      <c r="A1628" s="49"/>
      <c r="B1628" s="804" t="s">
        <v>591</v>
      </c>
      <c r="C1628" s="528"/>
      <c r="D1628" s="528"/>
      <c r="E1628" s="528"/>
      <c r="F1628" s="528"/>
      <c r="G1628" s="528"/>
      <c r="H1628" s="801"/>
      <c r="I1628" s="528"/>
      <c r="J1628" s="48"/>
      <c r="K1628" s="805"/>
      <c r="L1628" s="806"/>
      <c r="M1628" s="528"/>
      <c r="N1628" s="528"/>
      <c r="O1628" s="48"/>
      <c r="P1628" s="528"/>
      <c r="Q1628" s="528"/>
      <c r="R1628" s="807">
        <f>$A1628*Q1628</f>
        <v>0</v>
      </c>
      <c r="S1628" s="528"/>
      <c r="T1628" s="643">
        <f>$A1628*S1628*$T$1</f>
        <v>0</v>
      </c>
    </row>
    <row r="1629" spans="1:41" s="519" customFormat="1" ht="14.4" customHeight="1">
      <c r="A1629" s="49"/>
      <c r="B1629" s="528"/>
      <c r="C1629" s="528"/>
      <c r="D1629" s="528"/>
      <c r="E1629" s="528"/>
      <c r="F1629" s="528"/>
      <c r="G1629" s="528"/>
      <c r="H1629" s="801"/>
      <c r="I1629" s="528"/>
      <c r="J1629" s="48"/>
      <c r="K1629" s="805"/>
      <c r="L1629" s="806"/>
      <c r="M1629" s="528"/>
      <c r="N1629" s="528"/>
      <c r="O1629" s="48"/>
      <c r="P1629" s="528"/>
      <c r="Q1629" s="528"/>
      <c r="R1629" s="807">
        <f>$A1629*Q1629</f>
        <v>0</v>
      </c>
      <c r="S1629" s="528"/>
      <c r="T1629" s="643">
        <f>$A1629*S1629*$T$1</f>
        <v>0</v>
      </c>
    </row>
    <row r="1630" spans="1:41" s="519" customFormat="1" ht="14.4" customHeight="1">
      <c r="A1630" s="49"/>
      <c r="B1630" s="528"/>
      <c r="C1630" s="528"/>
      <c r="D1630" s="528"/>
      <c r="E1630" s="528"/>
      <c r="F1630" s="528"/>
      <c r="G1630" s="528"/>
      <c r="H1630" s="801"/>
      <c r="I1630" s="528"/>
      <c r="J1630" s="48"/>
      <c r="K1630" s="805"/>
      <c r="L1630" s="806"/>
      <c r="M1630" s="528"/>
      <c r="N1630" s="528"/>
      <c r="O1630" s="48"/>
      <c r="P1630" s="528"/>
      <c r="Q1630" s="528"/>
      <c r="R1630" s="807">
        <f>$A1630*Q1630</f>
        <v>0</v>
      </c>
      <c r="S1630" s="528"/>
      <c r="T1630" s="643">
        <f>$A1630*S1630*$T$1</f>
        <v>0</v>
      </c>
    </row>
    <row r="1631" spans="1:41" s="519" customFormat="1" ht="12">
      <c r="A1631" s="835" t="s">
        <v>145</v>
      </c>
      <c r="B1631" s="836">
        <f>(R1630+T1630)</f>
        <v>0</v>
      </c>
      <c r="C1631" s="790"/>
      <c r="G1631" s="810"/>
      <c r="H1631" s="810"/>
      <c r="I1631" s="810"/>
      <c r="J1631" s="810"/>
      <c r="K1631" s="811" t="s">
        <v>3</v>
      </c>
      <c r="L1631" s="812" t="s">
        <v>590</v>
      </c>
      <c r="M1631" s="810"/>
      <c r="N1631" s="810"/>
      <c r="O1631" s="810"/>
      <c r="P1631" s="810"/>
      <c r="Q1631" s="813"/>
      <c r="R1631" s="814">
        <f>SUM(R1627:R1630)</f>
        <v>0</v>
      </c>
      <c r="S1631" s="815"/>
      <c r="T1631" s="814">
        <f>SUM(T1627:T1630)</f>
        <v>0</v>
      </c>
      <c r="AG1631" s="816">
        <f>ROUND($R1631*$S$2,2)</f>
        <v>0</v>
      </c>
    </row>
    <row r="1632" spans="1:41" s="519" customFormat="1" ht="12" customHeight="1">
      <c r="A1632" s="797"/>
      <c r="B1632" s="853"/>
      <c r="C1632" s="854"/>
      <c r="D1632" s="855" t="str">
        <f>$F$3</f>
        <v>ECA</v>
      </c>
      <c r="E1632" s="855">
        <f>ROUND(($R1636*$S$3 + ($T1636*$T$3)), 2)</f>
        <v>0</v>
      </c>
      <c r="F1632" s="856">
        <f>$E1632*$C$12</f>
        <v>0</v>
      </c>
      <c r="G1632" s="518"/>
      <c r="H1632" s="518"/>
      <c r="I1632" s="518"/>
      <c r="J1632" s="518"/>
      <c r="K1632" s="802" t="s">
        <v>5</v>
      </c>
      <c r="L1632" s="803" t="s">
        <v>590</v>
      </c>
      <c r="M1632" s="518"/>
      <c r="N1632" s="518"/>
      <c r="O1632" s="518"/>
      <c r="P1632" s="518"/>
      <c r="Q1632" s="518"/>
      <c r="R1632" s="821"/>
      <c r="S1632" s="518"/>
      <c r="T1632" s="821"/>
    </row>
    <row r="1633" spans="1:41" s="834" customFormat="1" ht="15.6" customHeight="1">
      <c r="A1633" s="822"/>
      <c r="B1633" s="804" t="s">
        <v>592</v>
      </c>
      <c r="C1633" s="823"/>
      <c r="D1633" s="824"/>
      <c r="E1633" s="824"/>
      <c r="F1633" s="824"/>
      <c r="G1633" s="825"/>
      <c r="H1633" s="826"/>
      <c r="I1633" s="826"/>
      <c r="J1633" s="827"/>
      <c r="K1633" s="828"/>
      <c r="L1633" s="823"/>
      <c r="M1633" s="829"/>
      <c r="N1633" s="830"/>
      <c r="O1633" s="831"/>
      <c r="P1633" s="832"/>
      <c r="Q1633" s="833"/>
      <c r="R1633" s="807">
        <f>$A1633*Q1633</f>
        <v>0</v>
      </c>
      <c r="S1633" s="528"/>
      <c r="T1633" s="643">
        <f>$A1633*S1633*$T$1</f>
        <v>0</v>
      </c>
    </row>
    <row r="1634" spans="1:41" s="519" customFormat="1" ht="15.6" customHeight="1">
      <c r="A1634" s="49"/>
      <c r="B1634" s="528"/>
      <c r="C1634" s="528"/>
      <c r="D1634" s="528"/>
      <c r="E1634" s="528"/>
      <c r="F1634" s="528"/>
      <c r="G1634" s="528"/>
      <c r="H1634" s="528"/>
      <c r="I1634" s="528"/>
      <c r="J1634" s="528"/>
      <c r="K1634" s="528"/>
      <c r="L1634" s="806"/>
      <c r="M1634" s="528"/>
      <c r="N1634" s="528"/>
      <c r="O1634" s="528"/>
      <c r="P1634" s="528"/>
      <c r="Q1634" s="528"/>
      <c r="R1634" s="807">
        <f>$A1634*Q1634</f>
        <v>0</v>
      </c>
      <c r="S1634" s="528"/>
      <c r="T1634" s="643">
        <f>$A1634*S1634*$T$1</f>
        <v>0</v>
      </c>
    </row>
    <row r="1635" spans="1:41" s="519" customFormat="1" ht="15.6" customHeight="1">
      <c r="A1635" s="49"/>
      <c r="B1635" s="528"/>
      <c r="C1635" s="528"/>
      <c r="D1635" s="3"/>
      <c r="E1635" s="528"/>
      <c r="F1635" s="528"/>
      <c r="G1635" s="528"/>
      <c r="H1635" s="528"/>
      <c r="I1635" s="528"/>
      <c r="J1635" s="528"/>
      <c r="K1635" s="528"/>
      <c r="L1635" s="806"/>
      <c r="M1635" s="528"/>
      <c r="N1635" s="528"/>
      <c r="O1635" s="528"/>
      <c r="P1635" s="528"/>
      <c r="Q1635" s="528"/>
      <c r="R1635" s="807">
        <f>$A1635*Q1635</f>
        <v>0</v>
      </c>
      <c r="S1635" s="528"/>
      <c r="T1635" s="643">
        <f>$A1635*S1635*$T$1</f>
        <v>0</v>
      </c>
    </row>
    <row r="1636" spans="1:41" s="519" customFormat="1" ht="12">
      <c r="A1636" s="835" t="s">
        <v>145</v>
      </c>
      <c r="B1636" s="836">
        <f>(R1635+T1635)</f>
        <v>0</v>
      </c>
      <c r="C1636" s="790"/>
      <c r="G1636" s="810"/>
      <c r="H1636" s="810"/>
      <c r="I1636" s="810"/>
      <c r="J1636" s="810"/>
      <c r="K1636" s="838" t="s">
        <v>5</v>
      </c>
      <c r="L1636" s="812" t="s">
        <v>590</v>
      </c>
      <c r="M1636" s="810"/>
      <c r="N1636" s="810"/>
      <c r="O1636" s="810"/>
      <c r="P1636" s="810"/>
      <c r="Q1636" s="813"/>
      <c r="R1636" s="814">
        <f>SUM(R1632:R1635)</f>
        <v>0</v>
      </c>
      <c r="S1636" s="815"/>
      <c r="T1636" s="814">
        <f>SUM(T1632:T1635)</f>
        <v>0</v>
      </c>
      <c r="AG1636" s="840">
        <f>ROUND($R1636*$S$3,2)</f>
        <v>0</v>
      </c>
    </row>
    <row r="1637" spans="1:41" s="519" customFormat="1" ht="12" customHeight="1">
      <c r="A1637" s="817"/>
      <c r="B1637" s="857"/>
      <c r="C1637" s="858"/>
      <c r="D1637" s="859">
        <f>$F$4</f>
        <v>0</v>
      </c>
      <c r="E1637" s="859">
        <f>ROUND(($R1641*$S$4 + ($T1641*$T$4)), 2)</f>
        <v>0</v>
      </c>
      <c r="F1637" s="860">
        <f ca="1">$F1624-SUMIF($L1626:$P1634,"SUBI",$F1626:$F1634)</f>
        <v>0</v>
      </c>
      <c r="G1637" s="518"/>
      <c r="H1637" s="518"/>
      <c r="I1637" s="518"/>
      <c r="J1637" s="518"/>
      <c r="K1637" s="861" t="s">
        <v>8</v>
      </c>
      <c r="L1637" s="803" t="s">
        <v>590</v>
      </c>
      <c r="M1637" s="518"/>
      <c r="N1637" s="518"/>
      <c r="O1637" s="518"/>
      <c r="P1637" s="518"/>
      <c r="Q1637" s="518"/>
      <c r="R1637" s="821"/>
      <c r="S1637" s="518"/>
      <c r="T1637" s="821"/>
    </row>
    <row r="1638" spans="1:41" s="834" customFormat="1" ht="14.4" customHeight="1">
      <c r="A1638" s="822"/>
      <c r="B1638" s="804" t="s">
        <v>680</v>
      </c>
      <c r="C1638" s="823"/>
      <c r="D1638" s="824"/>
      <c r="E1638" s="824"/>
      <c r="F1638" s="824"/>
      <c r="G1638" s="825"/>
      <c r="H1638" s="826"/>
      <c r="I1638" s="826"/>
      <c r="J1638" s="827"/>
      <c r="K1638" s="828"/>
      <c r="L1638" s="823"/>
      <c r="M1638" s="829"/>
      <c r="N1638" s="830"/>
      <c r="O1638" s="862"/>
      <c r="P1638" s="832"/>
      <c r="Q1638" s="833"/>
      <c r="R1638" s="642">
        <f>$A1638*Q1638</f>
        <v>0</v>
      </c>
      <c r="S1638" s="833"/>
      <c r="T1638" s="643">
        <f>$A1638*S1638*$T$1</f>
        <v>0</v>
      </c>
    </row>
    <row r="1639" spans="1:41" s="519" customFormat="1" ht="12">
      <c r="A1639" s="47"/>
      <c r="B1639" s="641"/>
      <c r="C1639" s="641"/>
      <c r="D1639" s="863"/>
      <c r="E1639" s="843"/>
      <c r="F1639" s="518"/>
      <c r="G1639" s="518"/>
      <c r="H1639" s="518"/>
      <c r="I1639" s="518"/>
      <c r="J1639" s="518"/>
      <c r="K1639" s="518"/>
      <c r="L1639" s="864"/>
      <c r="M1639" s="518"/>
      <c r="N1639" s="518"/>
      <c r="O1639" s="518"/>
      <c r="P1639" s="518"/>
      <c r="Q1639" s="518"/>
      <c r="R1639" s="642">
        <f>$A1639*Q1639</f>
        <v>0</v>
      </c>
      <c r="S1639" s="518"/>
      <c r="T1639" s="643">
        <f>$A1639*S1639*$T$1</f>
        <v>0</v>
      </c>
    </row>
    <row r="1640" spans="1:41" s="519" customFormat="1" ht="12">
      <c r="A1640" s="47"/>
      <c r="B1640" s="641"/>
      <c r="C1640" s="641"/>
      <c r="D1640" s="863"/>
      <c r="E1640" s="843"/>
      <c r="F1640" s="518"/>
      <c r="G1640" s="518"/>
      <c r="H1640" s="518"/>
      <c r="I1640" s="518"/>
      <c r="J1640" s="518"/>
      <c r="K1640" s="518"/>
      <c r="L1640" s="864"/>
      <c r="M1640" s="518"/>
      <c r="N1640" s="518"/>
      <c r="O1640" s="518"/>
      <c r="P1640" s="518"/>
      <c r="Q1640" s="518"/>
      <c r="R1640" s="642">
        <f>$A1640*Q1640</f>
        <v>0</v>
      </c>
      <c r="S1640" s="518"/>
      <c r="T1640" s="643">
        <f>$A1640*S1640*$T$1</f>
        <v>0</v>
      </c>
    </row>
    <row r="1641" spans="1:41" s="519" customFormat="1" ht="12.75" customHeight="1">
      <c r="A1641" s="835" t="s">
        <v>145</v>
      </c>
      <c r="B1641" s="836">
        <f>(R1640+T1640)</f>
        <v>0</v>
      </c>
      <c r="C1641" s="837"/>
      <c r="D1641" s="837"/>
      <c r="E1641" s="837"/>
      <c r="F1641" s="837"/>
      <c r="G1641" s="813"/>
      <c r="H1641" s="813"/>
      <c r="I1641" s="813"/>
      <c r="J1641" s="813"/>
      <c r="K1641" s="838" t="s">
        <v>8</v>
      </c>
      <c r="L1641" s="839" t="s">
        <v>590</v>
      </c>
      <c r="M1641" s="813"/>
      <c r="N1641" s="813"/>
      <c r="O1641" s="813"/>
      <c r="P1641" s="813"/>
      <c r="Q1641" s="813"/>
      <c r="R1641" s="814">
        <f>SUM(R1637:R1640)</f>
        <v>0</v>
      </c>
      <c r="S1641" s="815"/>
      <c r="T1641" s="814">
        <f>SUM(T1637:T1640)</f>
        <v>0</v>
      </c>
      <c r="AG1641" s="865">
        <f>ROUND($R1641*$S$4,2)</f>
        <v>0</v>
      </c>
    </row>
    <row r="1642" spans="1:41" s="519" customFormat="1" ht="12.75" customHeight="1">
      <c r="A1642" s="841"/>
      <c r="B1642" s="842"/>
      <c r="E1642" s="641"/>
      <c r="F1642" s="843"/>
      <c r="G1642" s="641"/>
      <c r="H1642" s="641"/>
      <c r="I1642" s="518"/>
      <c r="J1642" s="641"/>
      <c r="K1642" s="641"/>
      <c r="L1642" s="844"/>
      <c r="M1642" s="652"/>
      <c r="N1642" s="652"/>
      <c r="O1642" s="652"/>
      <c r="P1642" s="652"/>
      <c r="Q1642" s="653"/>
      <c r="R1642" s="821"/>
      <c r="S1642" s="641"/>
      <c r="T1642" s="821"/>
    </row>
    <row r="1643" spans="1:41" s="519" customFormat="1" ht="13.5" customHeight="1" thickBot="1">
      <c r="A1643" s="845"/>
      <c r="B1643" s="846"/>
      <c r="C1643" s="529"/>
      <c r="D1643" s="529"/>
      <c r="E1643" s="646"/>
      <c r="F1643" s="647"/>
      <c r="G1643" s="646" t="s">
        <v>146</v>
      </c>
      <c r="H1643" s="646"/>
      <c r="I1643" s="648"/>
      <c r="J1643" s="646"/>
      <c r="K1643" s="646"/>
      <c r="L1643" s="847" t="s">
        <v>143</v>
      </c>
      <c r="M1643" s="649"/>
      <c r="N1643" s="649"/>
      <c r="O1643" s="649"/>
      <c r="P1643" s="649"/>
      <c r="Q1643" s="650"/>
      <c r="R1643" s="848">
        <f>SUMIF($L1625:$L1642,"SUBI",R1625:R1642)</f>
        <v>0</v>
      </c>
      <c r="S1643" s="866"/>
      <c r="T1643" s="848">
        <f>SUMIF($L1625:$L1642,"SUBI",T1625:T1642)</f>
        <v>0</v>
      </c>
      <c r="U1643" s="529"/>
      <c r="V1643" s="529"/>
      <c r="W1643" s="529"/>
      <c r="X1643" s="529"/>
      <c r="Y1643" s="529"/>
      <c r="Z1643" s="529"/>
      <c r="AA1643" s="529"/>
      <c r="AB1643" s="529"/>
      <c r="AC1643" s="529"/>
      <c r="AD1643" s="529"/>
      <c r="AE1643" s="529"/>
      <c r="AF1643" s="529"/>
      <c r="AG1643" s="529"/>
      <c r="AH1643" s="529"/>
      <c r="AI1643" s="529"/>
      <c r="AJ1643" s="529"/>
      <c r="AK1643" s="529"/>
      <c r="AL1643" s="529"/>
      <c r="AM1643" s="529"/>
      <c r="AN1643" s="529"/>
      <c r="AO1643" s="529"/>
    </row>
    <row r="1644" spans="1:41" s="519" customFormat="1" thickTop="1">
      <c r="A1644" s="47"/>
      <c r="B1644" s="40"/>
      <c r="C1644" s="47"/>
      <c r="E1644" s="41" t="s">
        <v>138</v>
      </c>
      <c r="F1644" s="41" t="s">
        <v>139</v>
      </c>
      <c r="G1644" s="47"/>
      <c r="H1644" s="47"/>
      <c r="I1644" s="47"/>
      <c r="J1644" s="47"/>
      <c r="K1644" s="47" t="s">
        <v>140</v>
      </c>
      <c r="L1644" s="774"/>
      <c r="M1644" s="47"/>
      <c r="N1644" s="47"/>
      <c r="O1644" s="48"/>
      <c r="P1644" s="47"/>
      <c r="Q1644"/>
      <c r="R1644"/>
      <c r="S1644"/>
      <c r="T1644" s="40"/>
      <c r="AG1644" s="627" t="s">
        <v>277</v>
      </c>
      <c r="AH1644" s="627" t="s">
        <v>278</v>
      </c>
      <c r="AI1644" s="627" t="s">
        <v>279</v>
      </c>
      <c r="AJ1644" s="627" t="s">
        <v>280</v>
      </c>
      <c r="AK1644" s="627" t="s">
        <v>281</v>
      </c>
      <c r="AM1644" s="628" t="s">
        <v>290</v>
      </c>
      <c r="AN1644" s="629" t="s">
        <v>291</v>
      </c>
      <c r="AO1644" s="520" t="s">
        <v>287</v>
      </c>
    </row>
    <row r="1645" spans="1:41" s="519" customFormat="1" ht="13.2">
      <c r="A1645" s="630">
        <v>1</v>
      </c>
      <c r="B1645" s="521" t="s">
        <v>312</v>
      </c>
      <c r="C1645" s="631"/>
      <c r="D1645" s="632" t="s">
        <v>707</v>
      </c>
      <c r="E1645" s="775">
        <f>IF(AND($A1645=0,$A$1="DIF"),0,ROUND(ROUND(SUMIF($L1647:$L1658,"SUBI",$E1647:$E1658)/$A1645,2)*$C$12,2))</f>
        <v>0</v>
      </c>
      <c r="F1645" s="776">
        <f>ROUND($A1645*$E1645,2)</f>
        <v>0</v>
      </c>
      <c r="G1645" s="635" t="s">
        <v>142</v>
      </c>
      <c r="H1645" s="636"/>
      <c r="I1645" s="637"/>
      <c r="J1645" s="636"/>
      <c r="K1645" s="777"/>
      <c r="L1645" s="778" t="s">
        <v>143</v>
      </c>
      <c r="M1645" s="638"/>
      <c r="N1645" s="638"/>
      <c r="O1645" s="638"/>
      <c r="P1645" s="638"/>
      <c r="Q1645" s="967" t="s">
        <v>867</v>
      </c>
      <c r="R1645"/>
      <c r="S1645"/>
      <c r="T1645" s="779" t="str">
        <f>IF(AND($R1664=0,$T1664=0),"0.00","mu :" &amp; ROUND($F1645/$C$12/($R1664+$T1664*$D$9),2))</f>
        <v>0.00</v>
      </c>
      <c r="W1645" s="522"/>
      <c r="AG1645" s="780">
        <f>IF(A1645=0,0,ROUND(SUM(AG1647:AG1664)/A1645,2))</f>
        <v>0</v>
      </c>
      <c r="AH1645" s="780">
        <f>$AG1645*$A1645</f>
        <v>0</v>
      </c>
      <c r="AI1645" s="780">
        <f>$E1645-$AG1645</f>
        <v>0</v>
      </c>
      <c r="AJ1645" s="780">
        <f>$A1645*$AI1645</f>
        <v>0</v>
      </c>
      <c r="AK1645" s="781">
        <f>ROUND(($AG1645+$AI1645)*$A1645,2)</f>
        <v>0</v>
      </c>
      <c r="AM1645" s="525">
        <f>ROUND(R1664,2)</f>
        <v>0</v>
      </c>
      <c r="AN1645" s="526">
        <f>ROUND(T1664,2)</f>
        <v>0</v>
      </c>
      <c r="AO1645" s="527">
        <f>ROUND(AM1645+AN1645,2)*A1645</f>
        <v>0</v>
      </c>
    </row>
    <row r="1646" spans="1:41" s="519" customFormat="1" ht="21.6" customHeight="1">
      <c r="A1646" s="782"/>
      <c r="B1646" s="783"/>
      <c r="C1646" s="631"/>
      <c r="D1646" s="784" t="s">
        <v>533</v>
      </c>
      <c r="F1646" s="636"/>
      <c r="G1646" s="636"/>
      <c r="H1646" s="636"/>
      <c r="I1646" s="637"/>
      <c r="J1646" s="636"/>
      <c r="K1646" s="636" t="s">
        <v>144</v>
      </c>
      <c r="L1646" s="785"/>
      <c r="M1646" s="636"/>
      <c r="N1646" s="636"/>
      <c r="O1646" s="636"/>
      <c r="P1646" s="636"/>
      <c r="Q1646" s="47"/>
      <c r="R1646" s="528"/>
      <c r="S1646" s="640"/>
      <c r="T1646" s="636"/>
    </row>
    <row r="1647" spans="1:41" s="519" customFormat="1" ht="12">
      <c r="A1647" s="849"/>
      <c r="B1647" s="850"/>
      <c r="C1647" s="641"/>
      <c r="D1647" s="811"/>
      <c r="E1647" s="851">
        <f>F1645/$C$12-SUMIF($L1644:$L1664,"SUBI",$E1644:$E1664)</f>
        <v>0</v>
      </c>
      <c r="F1647" s="852" t="s">
        <v>589</v>
      </c>
      <c r="G1647" s="790"/>
      <c r="H1647" s="790"/>
      <c r="I1647" s="791"/>
      <c r="J1647" s="790"/>
      <c r="K1647" s="790"/>
      <c r="L1647" s="792"/>
      <c r="M1647" s="793"/>
      <c r="N1647" s="793"/>
      <c r="O1647" s="793"/>
      <c r="P1647" s="793"/>
      <c r="Q1647" s="794"/>
      <c r="R1647" s="795"/>
      <c r="S1647" s="794"/>
      <c r="T1647" s="796"/>
    </row>
    <row r="1648" spans="1:41" s="519" customFormat="1" ht="12" customHeight="1">
      <c r="A1648" s="797"/>
      <c r="B1648" s="798"/>
      <c r="C1648" s="799"/>
      <c r="D1648" s="799" t="str">
        <f>$F$2</f>
        <v>Electrical</v>
      </c>
      <c r="E1648" s="799">
        <f>ROUND(($R1652*$S$2 + ($T1652*$T$2)), 2)</f>
        <v>0</v>
      </c>
      <c r="F1648" s="800">
        <f>$E1648*$C$12</f>
        <v>0</v>
      </c>
      <c r="G1648" s="528"/>
      <c r="H1648" s="801"/>
      <c r="I1648" s="528"/>
      <c r="J1648" s="48"/>
      <c r="K1648" s="802" t="s">
        <v>3</v>
      </c>
      <c r="L1648" s="803" t="s">
        <v>590</v>
      </c>
      <c r="M1648" s="528"/>
      <c r="N1648" s="528"/>
      <c r="O1648" s="48"/>
      <c r="P1648" s="528"/>
      <c r="Q1648" s="528"/>
      <c r="R1648"/>
      <c r="S1648"/>
      <c r="T1648"/>
    </row>
    <row r="1649" spans="1:41" s="519" customFormat="1" ht="14.4" customHeight="1">
      <c r="A1649" s="49"/>
      <c r="B1649" s="804" t="s">
        <v>591</v>
      </c>
      <c r="C1649" s="528"/>
      <c r="D1649" s="528"/>
      <c r="E1649" s="528"/>
      <c r="F1649" s="528"/>
      <c r="G1649" s="528"/>
      <c r="H1649" s="801"/>
      <c r="I1649" s="528"/>
      <c r="J1649" s="48"/>
      <c r="K1649" s="805"/>
      <c r="L1649" s="806"/>
      <c r="M1649" s="528"/>
      <c r="N1649" s="528"/>
      <c r="O1649" s="48"/>
      <c r="P1649" s="528"/>
      <c r="Q1649" s="528"/>
      <c r="R1649" s="807">
        <f>$A1649*Q1649</f>
        <v>0</v>
      </c>
      <c r="S1649" s="528"/>
      <c r="T1649" s="643">
        <f>$A1649*S1649*$T$1</f>
        <v>0</v>
      </c>
    </row>
    <row r="1650" spans="1:41" s="519" customFormat="1" ht="14.4" customHeight="1">
      <c r="A1650" s="49"/>
      <c r="B1650" s="528"/>
      <c r="C1650" s="528"/>
      <c r="D1650" s="528"/>
      <c r="E1650" s="528"/>
      <c r="F1650" s="528"/>
      <c r="G1650" s="528"/>
      <c r="H1650" s="801"/>
      <c r="I1650" s="528"/>
      <c r="J1650" s="48"/>
      <c r="K1650" s="805"/>
      <c r="L1650" s="806"/>
      <c r="M1650" s="528"/>
      <c r="N1650" s="528"/>
      <c r="O1650" s="48"/>
      <c r="P1650" s="528"/>
      <c r="Q1650" s="528"/>
      <c r="R1650" s="807">
        <f>$A1650*Q1650</f>
        <v>0</v>
      </c>
      <c r="S1650" s="528"/>
      <c r="T1650" s="643">
        <f>$A1650*S1650*$T$1</f>
        <v>0</v>
      </c>
    </row>
    <row r="1651" spans="1:41" s="519" customFormat="1" ht="14.4" customHeight="1">
      <c r="A1651" s="49"/>
      <c r="B1651" s="528"/>
      <c r="C1651" s="528"/>
      <c r="D1651" s="528"/>
      <c r="E1651" s="528"/>
      <c r="F1651" s="528"/>
      <c r="G1651" s="528"/>
      <c r="H1651" s="801"/>
      <c r="I1651" s="528"/>
      <c r="J1651" s="48"/>
      <c r="K1651" s="805"/>
      <c r="L1651" s="806"/>
      <c r="M1651" s="528"/>
      <c r="N1651" s="528"/>
      <c r="O1651" s="48"/>
      <c r="P1651" s="528"/>
      <c r="Q1651" s="528"/>
      <c r="R1651" s="807">
        <f>$A1651*Q1651</f>
        <v>0</v>
      </c>
      <c r="S1651" s="528"/>
      <c r="T1651" s="643">
        <f>$A1651*S1651*$T$1</f>
        <v>0</v>
      </c>
    </row>
    <row r="1652" spans="1:41" s="519" customFormat="1" ht="12">
      <c r="A1652" s="835" t="s">
        <v>145</v>
      </c>
      <c r="B1652" s="836">
        <f>(R1651+T1651)</f>
        <v>0</v>
      </c>
      <c r="C1652" s="790"/>
      <c r="G1652" s="810"/>
      <c r="H1652" s="810"/>
      <c r="I1652" s="810"/>
      <c r="J1652" s="810"/>
      <c r="K1652" s="811" t="s">
        <v>3</v>
      </c>
      <c r="L1652" s="812" t="s">
        <v>590</v>
      </c>
      <c r="M1652" s="810"/>
      <c r="N1652" s="810"/>
      <c r="O1652" s="810"/>
      <c r="P1652" s="810"/>
      <c r="Q1652" s="813"/>
      <c r="R1652" s="814">
        <f>SUM(R1648:R1651)</f>
        <v>0</v>
      </c>
      <c r="S1652" s="815"/>
      <c r="T1652" s="814">
        <f>SUM(T1648:T1651)</f>
        <v>0</v>
      </c>
      <c r="AG1652" s="816">
        <f>ROUND($R1652*$S$2,2)</f>
        <v>0</v>
      </c>
    </row>
    <row r="1653" spans="1:41" s="519" customFormat="1" ht="12" customHeight="1">
      <c r="A1653" s="797"/>
      <c r="B1653" s="853"/>
      <c r="C1653" s="854"/>
      <c r="D1653" s="855" t="str">
        <f>$F$3</f>
        <v>ECA</v>
      </c>
      <c r="E1653" s="855">
        <f>ROUND(($R1657*$S$3 + ($T1657*$T$3)), 2)</f>
        <v>0</v>
      </c>
      <c r="F1653" s="856">
        <f>$E1653*$C$12</f>
        <v>0</v>
      </c>
      <c r="G1653" s="518"/>
      <c r="H1653" s="518"/>
      <c r="I1653" s="518"/>
      <c r="J1653" s="518"/>
      <c r="K1653" s="802" t="s">
        <v>5</v>
      </c>
      <c r="L1653" s="803" t="s">
        <v>590</v>
      </c>
      <c r="M1653" s="518"/>
      <c r="N1653" s="518"/>
      <c r="O1653" s="518"/>
      <c r="P1653" s="518"/>
      <c r="Q1653" s="518"/>
      <c r="R1653" s="821"/>
      <c r="S1653" s="518"/>
      <c r="T1653" s="821"/>
    </row>
    <row r="1654" spans="1:41" s="834" customFormat="1" ht="15.6" customHeight="1">
      <c r="A1654" s="822"/>
      <c r="B1654" s="804" t="s">
        <v>592</v>
      </c>
      <c r="C1654" s="823"/>
      <c r="D1654" s="824"/>
      <c r="E1654" s="824"/>
      <c r="F1654" s="824"/>
      <c r="G1654" s="825"/>
      <c r="H1654" s="826"/>
      <c r="I1654" s="826"/>
      <c r="J1654" s="827"/>
      <c r="K1654" s="828"/>
      <c r="L1654" s="823"/>
      <c r="M1654" s="829"/>
      <c r="N1654" s="830"/>
      <c r="O1654" s="831"/>
      <c r="P1654" s="832"/>
      <c r="Q1654" s="833"/>
      <c r="R1654" s="807">
        <f>$A1654*Q1654</f>
        <v>0</v>
      </c>
      <c r="S1654" s="528"/>
      <c r="T1654" s="643">
        <f>$A1654*S1654*$T$1</f>
        <v>0</v>
      </c>
    </row>
    <row r="1655" spans="1:41" s="519" customFormat="1" ht="15.6" customHeight="1">
      <c r="A1655" s="49"/>
      <c r="B1655" s="528"/>
      <c r="C1655" s="528"/>
      <c r="D1655" s="528"/>
      <c r="E1655" s="528"/>
      <c r="F1655" s="528"/>
      <c r="G1655" s="528"/>
      <c r="H1655" s="528"/>
      <c r="I1655" s="528"/>
      <c r="J1655" s="528"/>
      <c r="K1655" s="528"/>
      <c r="L1655" s="806"/>
      <c r="M1655" s="528"/>
      <c r="N1655" s="528"/>
      <c r="O1655" s="528"/>
      <c r="P1655" s="528"/>
      <c r="Q1655" s="528"/>
      <c r="R1655" s="807">
        <f>$A1655*Q1655</f>
        <v>0</v>
      </c>
      <c r="S1655" s="528"/>
      <c r="T1655" s="643">
        <f>$A1655*S1655*$T$1</f>
        <v>0</v>
      </c>
    </row>
    <row r="1656" spans="1:41" s="519" customFormat="1" ht="15.6" customHeight="1">
      <c r="A1656" s="49"/>
      <c r="B1656" s="528"/>
      <c r="C1656" s="528"/>
      <c r="D1656" s="3"/>
      <c r="E1656" s="528"/>
      <c r="F1656" s="528"/>
      <c r="G1656" s="528"/>
      <c r="H1656" s="528"/>
      <c r="I1656" s="528"/>
      <c r="J1656" s="528"/>
      <c r="K1656" s="528"/>
      <c r="L1656" s="806"/>
      <c r="M1656" s="528"/>
      <c r="N1656" s="528"/>
      <c r="O1656" s="528"/>
      <c r="P1656" s="528"/>
      <c r="Q1656" s="528"/>
      <c r="R1656" s="807">
        <f>$A1656*Q1656</f>
        <v>0</v>
      </c>
      <c r="S1656" s="528"/>
      <c r="T1656" s="643">
        <f>$A1656*S1656*$T$1</f>
        <v>0</v>
      </c>
    </row>
    <row r="1657" spans="1:41" s="519" customFormat="1" ht="12">
      <c r="A1657" s="835" t="s">
        <v>145</v>
      </c>
      <c r="B1657" s="836">
        <f>(R1656+T1656)</f>
        <v>0</v>
      </c>
      <c r="C1657" s="790"/>
      <c r="G1657" s="810"/>
      <c r="H1657" s="810"/>
      <c r="I1657" s="810"/>
      <c r="J1657" s="810"/>
      <c r="K1657" s="838" t="s">
        <v>5</v>
      </c>
      <c r="L1657" s="812" t="s">
        <v>590</v>
      </c>
      <c r="M1657" s="810"/>
      <c r="N1657" s="810"/>
      <c r="O1657" s="810"/>
      <c r="P1657" s="810"/>
      <c r="Q1657" s="813"/>
      <c r="R1657" s="814">
        <f>SUM(R1653:R1656)</f>
        <v>0</v>
      </c>
      <c r="S1657" s="815"/>
      <c r="T1657" s="814">
        <f>SUM(T1653:T1656)</f>
        <v>0</v>
      </c>
      <c r="AG1657" s="840">
        <f>ROUND($R1657*$S$3,2)</f>
        <v>0</v>
      </c>
    </row>
    <row r="1658" spans="1:41" s="519" customFormat="1" ht="12" customHeight="1">
      <c r="A1658" s="817"/>
      <c r="B1658" s="857"/>
      <c r="C1658" s="858"/>
      <c r="D1658" s="859">
        <f>$F$4</f>
        <v>0</v>
      </c>
      <c r="E1658" s="859">
        <f>ROUND(($R1662*$S$4 + ($T1662*$T$4)), 2)</f>
        <v>0</v>
      </c>
      <c r="F1658" s="860">
        <f ca="1">$F1645-SUMIF($L1647:$P1655,"SUBI",$F1647:$F1655)</f>
        <v>0</v>
      </c>
      <c r="G1658" s="518"/>
      <c r="H1658" s="518"/>
      <c r="I1658" s="518"/>
      <c r="J1658" s="518"/>
      <c r="K1658" s="861" t="s">
        <v>8</v>
      </c>
      <c r="L1658" s="803" t="s">
        <v>590</v>
      </c>
      <c r="M1658" s="518"/>
      <c r="N1658" s="518"/>
      <c r="O1658" s="518"/>
      <c r="P1658" s="518"/>
      <c r="Q1658" s="518"/>
      <c r="R1658" s="821"/>
      <c r="S1658" s="518"/>
      <c r="T1658" s="821"/>
    </row>
    <row r="1659" spans="1:41" s="834" customFormat="1" ht="14.4" customHeight="1">
      <c r="A1659" s="822"/>
      <c r="B1659" s="804" t="s">
        <v>680</v>
      </c>
      <c r="C1659" s="823"/>
      <c r="D1659" s="824"/>
      <c r="E1659" s="824"/>
      <c r="F1659" s="824"/>
      <c r="G1659" s="825"/>
      <c r="H1659" s="826"/>
      <c r="I1659" s="826"/>
      <c r="J1659" s="827"/>
      <c r="K1659" s="828"/>
      <c r="L1659" s="823"/>
      <c r="M1659" s="829"/>
      <c r="N1659" s="830"/>
      <c r="O1659" s="862"/>
      <c r="P1659" s="832"/>
      <c r="Q1659" s="833"/>
      <c r="R1659" s="642">
        <f>$A1659*Q1659</f>
        <v>0</v>
      </c>
      <c r="S1659" s="833"/>
      <c r="T1659" s="643">
        <f>$A1659*S1659*$T$1</f>
        <v>0</v>
      </c>
    </row>
    <row r="1660" spans="1:41" s="519" customFormat="1" ht="12">
      <c r="A1660" s="47"/>
      <c r="B1660" s="641"/>
      <c r="C1660" s="641"/>
      <c r="D1660" s="863"/>
      <c r="E1660" s="843"/>
      <c r="F1660" s="518"/>
      <c r="G1660" s="518"/>
      <c r="H1660" s="518"/>
      <c r="I1660" s="518"/>
      <c r="J1660" s="518"/>
      <c r="K1660" s="518"/>
      <c r="L1660" s="864"/>
      <c r="M1660" s="518"/>
      <c r="N1660" s="518"/>
      <c r="O1660" s="518"/>
      <c r="P1660" s="518"/>
      <c r="Q1660" s="518"/>
      <c r="R1660" s="642">
        <f>$A1660*Q1660</f>
        <v>0</v>
      </c>
      <c r="S1660" s="518"/>
      <c r="T1660" s="643">
        <f>$A1660*S1660*$T$1</f>
        <v>0</v>
      </c>
    </row>
    <row r="1661" spans="1:41" s="519" customFormat="1" ht="12">
      <c r="A1661" s="47"/>
      <c r="B1661" s="641"/>
      <c r="C1661" s="641"/>
      <c r="D1661" s="863"/>
      <c r="E1661" s="843"/>
      <c r="F1661" s="518"/>
      <c r="G1661" s="518"/>
      <c r="H1661" s="518"/>
      <c r="I1661" s="518"/>
      <c r="J1661" s="518"/>
      <c r="K1661" s="518"/>
      <c r="L1661" s="864"/>
      <c r="M1661" s="518"/>
      <c r="N1661" s="518"/>
      <c r="O1661" s="518"/>
      <c r="P1661" s="518"/>
      <c r="Q1661" s="518"/>
      <c r="R1661" s="642">
        <f>$A1661*Q1661</f>
        <v>0</v>
      </c>
      <c r="S1661" s="518"/>
      <c r="T1661" s="643">
        <f>$A1661*S1661*$T$1</f>
        <v>0</v>
      </c>
    </row>
    <row r="1662" spans="1:41" s="519" customFormat="1" ht="12.75" customHeight="1">
      <c r="A1662" s="835" t="s">
        <v>145</v>
      </c>
      <c r="B1662" s="836">
        <f>(R1661+T1661)</f>
        <v>0</v>
      </c>
      <c r="C1662" s="837"/>
      <c r="D1662" s="837"/>
      <c r="E1662" s="837"/>
      <c r="F1662" s="837"/>
      <c r="G1662" s="813"/>
      <c r="H1662" s="813"/>
      <c r="I1662" s="813"/>
      <c r="J1662" s="813"/>
      <c r="K1662" s="838" t="s">
        <v>8</v>
      </c>
      <c r="L1662" s="839" t="s">
        <v>590</v>
      </c>
      <c r="M1662" s="813"/>
      <c r="N1662" s="813"/>
      <c r="O1662" s="813"/>
      <c r="P1662" s="813"/>
      <c r="Q1662" s="813"/>
      <c r="R1662" s="814">
        <f>SUM(R1658:R1661)</f>
        <v>0</v>
      </c>
      <c r="S1662" s="815"/>
      <c r="T1662" s="814">
        <f>SUM(T1658:T1661)</f>
        <v>0</v>
      </c>
      <c r="AG1662" s="865">
        <f>ROUND($R1662*$S$4,2)</f>
        <v>0</v>
      </c>
    </row>
    <row r="1663" spans="1:41" s="519" customFormat="1" ht="12.75" customHeight="1">
      <c r="A1663" s="841"/>
      <c r="B1663" s="842"/>
      <c r="E1663" s="641"/>
      <c r="F1663" s="843"/>
      <c r="G1663" s="641"/>
      <c r="H1663" s="641"/>
      <c r="I1663" s="518"/>
      <c r="J1663" s="641"/>
      <c r="K1663" s="641"/>
      <c r="L1663" s="844"/>
      <c r="M1663" s="652"/>
      <c r="N1663" s="652"/>
      <c r="O1663" s="652"/>
      <c r="P1663" s="652"/>
      <c r="Q1663" s="653"/>
      <c r="R1663" s="821"/>
      <c r="S1663" s="641"/>
      <c r="T1663" s="821"/>
    </row>
    <row r="1664" spans="1:41" s="519" customFormat="1" ht="13.5" customHeight="1" thickBot="1">
      <c r="A1664" s="845"/>
      <c r="B1664" s="846"/>
      <c r="C1664" s="529"/>
      <c r="D1664" s="529"/>
      <c r="E1664" s="646"/>
      <c r="F1664" s="647"/>
      <c r="G1664" s="646" t="s">
        <v>146</v>
      </c>
      <c r="H1664" s="646"/>
      <c r="I1664" s="648"/>
      <c r="J1664" s="646"/>
      <c r="K1664" s="646"/>
      <c r="L1664" s="847" t="s">
        <v>143</v>
      </c>
      <c r="M1664" s="649"/>
      <c r="N1664" s="649"/>
      <c r="O1664" s="649"/>
      <c r="P1664" s="649"/>
      <c r="Q1664" s="650"/>
      <c r="R1664" s="848">
        <f>SUMIF($L1646:$L1663,"SUBI",R1646:R1663)</f>
        <v>0</v>
      </c>
      <c r="S1664" s="866"/>
      <c r="T1664" s="848">
        <f>SUMIF($L1646:$L1663,"SUBI",T1646:T1663)</f>
        <v>0</v>
      </c>
      <c r="U1664" s="529"/>
      <c r="V1664" s="529"/>
      <c r="W1664" s="529"/>
      <c r="X1664" s="529"/>
      <c r="Y1664" s="529"/>
      <c r="Z1664" s="529"/>
      <c r="AA1664" s="529"/>
      <c r="AB1664" s="529"/>
      <c r="AC1664" s="529"/>
      <c r="AD1664" s="529"/>
      <c r="AE1664" s="529"/>
      <c r="AF1664" s="529"/>
      <c r="AG1664" s="529"/>
      <c r="AH1664" s="529"/>
      <c r="AI1664" s="529"/>
      <c r="AJ1664" s="529"/>
      <c r="AK1664" s="529"/>
      <c r="AL1664" s="529"/>
      <c r="AM1664" s="529"/>
      <c r="AN1664" s="529"/>
      <c r="AO1664" s="529"/>
    </row>
    <row r="1665" spans="1:41" s="519" customFormat="1" thickTop="1">
      <c r="A1665" s="47"/>
      <c r="B1665" s="40"/>
      <c r="C1665" s="47"/>
      <c r="E1665" s="41" t="s">
        <v>138</v>
      </c>
      <c r="F1665" s="41" t="s">
        <v>139</v>
      </c>
      <c r="G1665" s="47"/>
      <c r="H1665" s="47"/>
      <c r="I1665" s="47"/>
      <c r="J1665" s="47"/>
      <c r="K1665" s="47" t="s">
        <v>140</v>
      </c>
      <c r="L1665" s="774"/>
      <c r="M1665" s="47"/>
      <c r="N1665" s="47"/>
      <c r="O1665" s="48"/>
      <c r="P1665" s="47"/>
      <c r="Q1665"/>
      <c r="R1665"/>
      <c r="S1665"/>
      <c r="T1665" s="40"/>
      <c r="AG1665" s="627" t="s">
        <v>277</v>
      </c>
      <c r="AH1665" s="627" t="s">
        <v>278</v>
      </c>
      <c r="AI1665" s="627" t="s">
        <v>279</v>
      </c>
      <c r="AJ1665" s="627" t="s">
        <v>280</v>
      </c>
      <c r="AK1665" s="627" t="s">
        <v>281</v>
      </c>
      <c r="AM1665" s="628" t="s">
        <v>290</v>
      </c>
      <c r="AN1665" s="629" t="s">
        <v>291</v>
      </c>
      <c r="AO1665" s="520" t="s">
        <v>287</v>
      </c>
    </row>
    <row r="1666" spans="1:41" s="519" customFormat="1" ht="13.2">
      <c r="A1666" s="630">
        <v>7</v>
      </c>
      <c r="B1666" s="521" t="s">
        <v>312</v>
      </c>
      <c r="C1666" s="631"/>
      <c r="D1666" s="632" t="s">
        <v>708</v>
      </c>
      <c r="E1666" s="775">
        <f ca="1">IF(AND($A1666=0,$A$1="DIF"),0,ROUND(ROUND(SUMIF($L1668:$L1679,"SUBI",$E1668:$E1679)/$A1666,2)*$C$12,2))</f>
        <v>41.96</v>
      </c>
      <c r="F1666" s="776">
        <f ca="1">ROUND($A1666*$E1666,2)</f>
        <v>293.72000000000003</v>
      </c>
      <c r="G1666" s="635" t="s">
        <v>142</v>
      </c>
      <c r="H1666" s="636"/>
      <c r="I1666" s="637"/>
      <c r="J1666" s="636"/>
      <c r="K1666" s="777"/>
      <c r="L1666" s="778" t="s">
        <v>143</v>
      </c>
      <c r="M1666" s="638"/>
      <c r="N1666" s="638"/>
      <c r="O1666" s="638"/>
      <c r="P1666" s="638"/>
      <c r="Q1666" s="967"/>
      <c r="R1666"/>
      <c r="S1666"/>
      <c r="T1666" s="779" t="str">
        <f ca="1">IF(AND($R1685=0,$T1685=0),"0.00","mu :" &amp; ROUND($F1666/$C$12/($R1685+$T1685*$D$9),2))</f>
        <v>mu :1</v>
      </c>
      <c r="W1666" s="522"/>
      <c r="AG1666" s="780">
        <f ca="1">IF(A1666=0,0,ROUND(SUM(AG1668:AG1685)/A1666,2))</f>
        <v>12.3</v>
      </c>
      <c r="AH1666" s="780">
        <f ca="1">$AG1666*$A1666</f>
        <v>86.100000000000009</v>
      </c>
      <c r="AI1666" s="780">
        <f ca="1">$E1666-$AG1666</f>
        <v>29.66</v>
      </c>
      <c r="AJ1666" s="780">
        <f ca="1">$A1666*$AI1666</f>
        <v>207.62</v>
      </c>
      <c r="AK1666" s="781">
        <f ca="1">ROUND(($AG1666+$AI1666)*$A1666,2)</f>
        <v>293.72000000000003</v>
      </c>
      <c r="AM1666" s="525">
        <f ca="1">ROUND(R1685,2)</f>
        <v>86.1</v>
      </c>
      <c r="AN1666" s="526">
        <f ca="1">ROUND(T1685,2)</f>
        <v>7.56</v>
      </c>
      <c r="AO1666" s="527">
        <f ca="1">ROUND(AM1666+AN1666,2)*A1666</f>
        <v>655.62</v>
      </c>
    </row>
    <row r="1667" spans="1:41" s="519" customFormat="1" ht="21.6" customHeight="1">
      <c r="A1667" s="782"/>
      <c r="B1667" s="783"/>
      <c r="C1667" s="631"/>
      <c r="D1667" s="784" t="s">
        <v>534</v>
      </c>
      <c r="F1667" s="636"/>
      <c r="G1667" s="636"/>
      <c r="H1667" s="636"/>
      <c r="I1667" s="637"/>
      <c r="J1667" s="636"/>
      <c r="K1667" s="636" t="s">
        <v>144</v>
      </c>
      <c r="L1667" s="785"/>
      <c r="M1667" s="636"/>
      <c r="N1667" s="636"/>
      <c r="O1667" s="636"/>
      <c r="P1667" s="636"/>
      <c r="Q1667" s="47"/>
      <c r="R1667" s="528"/>
      <c r="S1667" s="640"/>
      <c r="T1667" s="636"/>
    </row>
    <row r="1668" spans="1:41" s="519" customFormat="1" ht="12">
      <c r="A1668" s="849"/>
      <c r="B1668" s="850"/>
      <c r="C1668" s="641"/>
      <c r="D1668" s="811"/>
      <c r="E1668" s="851">
        <f ca="1">F1666/$C$12-SUMIF($L1665:$L1685,"SUBI",$E1665:$E1685)</f>
        <v>2.0000000000038654E-2</v>
      </c>
      <c r="F1668" s="852" t="s">
        <v>589</v>
      </c>
      <c r="G1668" s="790"/>
      <c r="H1668" s="790"/>
      <c r="I1668" s="791"/>
      <c r="J1668" s="790"/>
      <c r="K1668" s="790"/>
      <c r="L1668" s="792"/>
      <c r="M1668" s="793"/>
      <c r="N1668" s="793"/>
      <c r="O1668" s="793"/>
      <c r="P1668" s="793"/>
      <c r="Q1668" s="794"/>
      <c r="R1668" s="795"/>
      <c r="S1668" s="794"/>
      <c r="T1668" s="796"/>
    </row>
    <row r="1669" spans="1:41" s="519" customFormat="1" ht="12" customHeight="1">
      <c r="A1669" s="797"/>
      <c r="B1669" s="798"/>
      <c r="C1669" s="799"/>
      <c r="D1669" s="799" t="str">
        <f>$F$2</f>
        <v>Electrical</v>
      </c>
      <c r="E1669" s="799">
        <f ca="1">ROUND(($R1673*$S$2 + ($T1673*$T$2)), 2)</f>
        <v>293.7</v>
      </c>
      <c r="F1669" s="800">
        <f ca="1">$E1669*$C$12</f>
        <v>293.7</v>
      </c>
      <c r="G1669" s="528"/>
      <c r="H1669" s="801"/>
      <c r="I1669" s="528"/>
      <c r="J1669" s="48"/>
      <c r="K1669" s="802" t="s">
        <v>3</v>
      </c>
      <c r="L1669" s="803" t="s">
        <v>590</v>
      </c>
      <c r="M1669" s="528"/>
      <c r="N1669" s="528"/>
      <c r="O1669" s="48"/>
      <c r="P1669" s="528"/>
      <c r="Q1669" s="528"/>
      <c r="R1669"/>
      <c r="S1669"/>
      <c r="T1669"/>
    </row>
    <row r="1670" spans="1:41" s="956" customFormat="1" ht="13.2">
      <c r="A1670"/>
      <c r="B1670" s="948"/>
      <c r="C1670" s="948" t="s">
        <v>742</v>
      </c>
      <c r="D1670" s="948" t="str">
        <f ca="1">CELL("Address",Elec_Rates!D$138)</f>
        <v>[ELM25_0085_Quintano_Elec_Mech_HVAC_Est_Rev_B.xlsx]Elec_Rates!$D$138</v>
      </c>
      <c r="E1670" s="949"/>
      <c r="F1670" s="949"/>
      <c r="G1670" s="950" t="s">
        <v>743</v>
      </c>
      <c r="H1670" s="950"/>
      <c r="I1670" s="950"/>
      <c r="J1670" s="950"/>
      <c r="K1670" s="951"/>
      <c r="L1670" s="949"/>
      <c r="M1670" s="949"/>
      <c r="N1670" s="949"/>
      <c r="O1670" s="952"/>
      <c r="P1670" s="949"/>
      <c r="Q1670" s="953"/>
      <c r="R1670" s="954"/>
      <c r="S1670" s="953"/>
      <c r="T1670" s="943"/>
      <c r="U1670" s="955"/>
    </row>
    <row r="1671" spans="1:41" s="956" customFormat="1" ht="11.4">
      <c r="A1671" s="957">
        <v>7</v>
      </c>
      <c r="B1671" s="958">
        <v>1</v>
      </c>
      <c r="C1671" s="958">
        <f>$A1671*$B1671</f>
        <v>7</v>
      </c>
      <c r="D1671" s="959" t="str">
        <f>Elec_Rates!$D$138</f>
        <v>000# Empty conduit for thermostat</v>
      </c>
      <c r="E1671" s="959"/>
      <c r="F1671" s="959" t="s">
        <v>744</v>
      </c>
      <c r="G1671" s="960" t="s">
        <v>760</v>
      </c>
      <c r="H1671" s="960"/>
      <c r="I1671" s="960"/>
      <c r="J1671" s="960"/>
      <c r="K1671" s="961"/>
      <c r="L1671" s="955"/>
      <c r="M1671" s="955"/>
      <c r="N1671" s="955"/>
      <c r="O1671" s="962"/>
      <c r="P1671" s="959"/>
      <c r="Q1671" s="963">
        <f ca="1">$B1671*Elec_Rates!$R$138</f>
        <v>12.3</v>
      </c>
      <c r="R1671" s="954">
        <f ca="1">$A1671*Q1671</f>
        <v>86.100000000000009</v>
      </c>
      <c r="S1671" s="963">
        <f ca="1">$B1671*Elec_Rates!$T$138</f>
        <v>1.08</v>
      </c>
      <c r="T1671" s="943">
        <f ca="1">$A1671*S1671</f>
        <v>7.5600000000000005</v>
      </c>
      <c r="U1671" s="501"/>
    </row>
    <row r="1672" spans="1:41" s="519" customFormat="1" ht="14.4" customHeight="1">
      <c r="A1672" s="49"/>
      <c r="B1672" s="528"/>
      <c r="C1672" s="528"/>
      <c r="D1672" s="528"/>
      <c r="E1672" s="528"/>
      <c r="F1672" s="528"/>
      <c r="G1672" s="528"/>
      <c r="H1672" s="801"/>
      <c r="I1672" s="528"/>
      <c r="J1672" s="48"/>
      <c r="K1672" s="805"/>
      <c r="L1672" s="806"/>
      <c r="M1672" s="528"/>
      <c r="N1672" s="528"/>
      <c r="O1672" s="48"/>
      <c r="P1672" s="528"/>
      <c r="Q1672" s="528"/>
      <c r="R1672" s="807">
        <f>$A1672*Q1672</f>
        <v>0</v>
      </c>
      <c r="S1672" s="528"/>
      <c r="T1672" s="643">
        <f>$A1672*S1672*$T$1</f>
        <v>0</v>
      </c>
    </row>
    <row r="1673" spans="1:41" s="519" customFormat="1" ht="12">
      <c r="A1673" s="835" t="s">
        <v>145</v>
      </c>
      <c r="B1673" s="836">
        <f>(R1672+T1672)</f>
        <v>0</v>
      </c>
      <c r="C1673" s="790"/>
      <c r="G1673" s="810"/>
      <c r="H1673" s="810"/>
      <c r="I1673" s="810"/>
      <c r="J1673" s="810"/>
      <c r="K1673" s="811" t="s">
        <v>3</v>
      </c>
      <c r="L1673" s="812" t="s">
        <v>590</v>
      </c>
      <c r="M1673" s="810"/>
      <c r="N1673" s="810"/>
      <c r="O1673" s="810"/>
      <c r="P1673" s="810"/>
      <c r="Q1673" s="813"/>
      <c r="R1673" s="814">
        <f ca="1">SUM(R1669:R1672)</f>
        <v>86.100000000000009</v>
      </c>
      <c r="S1673" s="815"/>
      <c r="T1673" s="814">
        <f ca="1">SUM(T1669:T1672)</f>
        <v>7.5600000000000005</v>
      </c>
      <c r="AG1673" s="816">
        <f ca="1">ROUND($R1673*$S$2,2)</f>
        <v>86.1</v>
      </c>
    </row>
    <row r="1674" spans="1:41" s="519" customFormat="1" ht="12" customHeight="1">
      <c r="A1674" s="797"/>
      <c r="B1674" s="853"/>
      <c r="C1674" s="854"/>
      <c r="D1674" s="855" t="str">
        <f>$F$3</f>
        <v>ECA</v>
      </c>
      <c r="E1674" s="855">
        <f>ROUND(($R1678*$S$3 + ($T1678*$T$3)), 2)</f>
        <v>0</v>
      </c>
      <c r="F1674" s="856">
        <f>$E1674*$C$12</f>
        <v>0</v>
      </c>
      <c r="G1674" s="518"/>
      <c r="H1674" s="518"/>
      <c r="I1674" s="518"/>
      <c r="J1674" s="518"/>
      <c r="K1674" s="802" t="s">
        <v>5</v>
      </c>
      <c r="L1674" s="803" t="s">
        <v>590</v>
      </c>
      <c r="M1674" s="518"/>
      <c r="N1674" s="518"/>
      <c r="O1674" s="518"/>
      <c r="P1674" s="518"/>
      <c r="Q1674" s="518"/>
      <c r="R1674" s="821"/>
      <c r="S1674" s="518"/>
      <c r="T1674" s="821"/>
    </row>
    <row r="1675" spans="1:41" s="834" customFormat="1" ht="15.6" customHeight="1">
      <c r="A1675" s="822"/>
      <c r="B1675" s="804" t="s">
        <v>592</v>
      </c>
      <c r="C1675" s="823"/>
      <c r="D1675" s="824"/>
      <c r="E1675" s="824"/>
      <c r="F1675" s="824"/>
      <c r="G1675" s="825"/>
      <c r="H1675" s="826"/>
      <c r="I1675" s="826"/>
      <c r="J1675" s="827"/>
      <c r="K1675" s="828"/>
      <c r="L1675" s="823"/>
      <c r="M1675" s="829"/>
      <c r="N1675" s="830"/>
      <c r="O1675" s="831"/>
      <c r="P1675" s="832"/>
      <c r="Q1675" s="833"/>
      <c r="R1675" s="807">
        <f>$A1675*Q1675</f>
        <v>0</v>
      </c>
      <c r="S1675" s="528"/>
      <c r="T1675" s="643">
        <f>$A1675*S1675*$T$1</f>
        <v>0</v>
      </c>
    </row>
    <row r="1676" spans="1:41" s="519" customFormat="1" ht="15.6" customHeight="1">
      <c r="A1676" s="49"/>
      <c r="B1676" s="528"/>
      <c r="C1676" s="528"/>
      <c r="D1676" s="528"/>
      <c r="E1676" s="528"/>
      <c r="F1676" s="528"/>
      <c r="G1676" s="528"/>
      <c r="H1676" s="528"/>
      <c r="I1676" s="528"/>
      <c r="J1676" s="528"/>
      <c r="K1676" s="528"/>
      <c r="L1676" s="806"/>
      <c r="M1676" s="528"/>
      <c r="N1676" s="528"/>
      <c r="O1676" s="528"/>
      <c r="P1676" s="528"/>
      <c r="Q1676" s="528"/>
      <c r="R1676" s="807">
        <f>$A1676*Q1676</f>
        <v>0</v>
      </c>
      <c r="S1676" s="528"/>
      <c r="T1676" s="643">
        <f>$A1676*S1676*$T$1</f>
        <v>0</v>
      </c>
    </row>
    <row r="1677" spans="1:41" s="519" customFormat="1" ht="15.6" customHeight="1">
      <c r="A1677" s="49"/>
      <c r="B1677" s="528"/>
      <c r="C1677" s="528"/>
      <c r="D1677" s="3"/>
      <c r="E1677" s="528"/>
      <c r="F1677" s="528"/>
      <c r="G1677" s="528"/>
      <c r="H1677" s="528"/>
      <c r="I1677" s="528"/>
      <c r="J1677" s="528"/>
      <c r="K1677" s="528"/>
      <c r="L1677" s="806"/>
      <c r="M1677" s="528"/>
      <c r="N1677" s="528"/>
      <c r="O1677" s="528"/>
      <c r="P1677" s="528"/>
      <c r="Q1677" s="528"/>
      <c r="R1677" s="807">
        <f>$A1677*Q1677</f>
        <v>0</v>
      </c>
      <c r="S1677" s="528"/>
      <c r="T1677" s="643">
        <f>$A1677*S1677*$T$1</f>
        <v>0</v>
      </c>
    </row>
    <row r="1678" spans="1:41" s="519" customFormat="1" ht="12">
      <c r="A1678" s="835" t="s">
        <v>145</v>
      </c>
      <c r="B1678" s="836">
        <f>(R1677+T1677)</f>
        <v>0</v>
      </c>
      <c r="C1678" s="790"/>
      <c r="G1678" s="810"/>
      <c r="H1678" s="810"/>
      <c r="I1678" s="810"/>
      <c r="J1678" s="810"/>
      <c r="K1678" s="838" t="s">
        <v>5</v>
      </c>
      <c r="L1678" s="812" t="s">
        <v>590</v>
      </c>
      <c r="M1678" s="810"/>
      <c r="N1678" s="810"/>
      <c r="O1678" s="810"/>
      <c r="P1678" s="810"/>
      <c r="Q1678" s="813"/>
      <c r="R1678" s="814">
        <f>SUM(R1674:R1677)</f>
        <v>0</v>
      </c>
      <c r="S1678" s="815"/>
      <c r="T1678" s="814">
        <f>SUM(T1674:T1677)</f>
        <v>0</v>
      </c>
      <c r="AG1678" s="840">
        <f>ROUND($R1678*$S$3,2)</f>
        <v>0</v>
      </c>
    </row>
    <row r="1679" spans="1:41" s="519" customFormat="1" ht="12" customHeight="1">
      <c r="A1679" s="817"/>
      <c r="B1679" s="857"/>
      <c r="C1679" s="858"/>
      <c r="D1679" s="859">
        <f>$F$4</f>
        <v>0</v>
      </c>
      <c r="E1679" s="859">
        <f>ROUND(($R1683*$S$4 + ($T1683*$T$4)), 2)</f>
        <v>0</v>
      </c>
      <c r="F1679" s="860">
        <f ca="1">$F1666-SUMIF($L1668:$P1676,"SUBI",$F1668:$F1676)</f>
        <v>2.0000000000038654E-2</v>
      </c>
      <c r="G1679" s="518"/>
      <c r="H1679" s="518"/>
      <c r="I1679" s="518"/>
      <c r="J1679" s="518"/>
      <c r="K1679" s="861" t="s">
        <v>8</v>
      </c>
      <c r="L1679" s="803" t="s">
        <v>590</v>
      </c>
      <c r="M1679" s="518"/>
      <c r="N1679" s="518"/>
      <c r="O1679" s="518"/>
      <c r="P1679" s="518"/>
      <c r="Q1679" s="518"/>
      <c r="R1679" s="821"/>
      <c r="S1679" s="518"/>
      <c r="T1679" s="821"/>
    </row>
    <row r="1680" spans="1:41" s="834" customFormat="1" ht="14.4" customHeight="1">
      <c r="A1680" s="822"/>
      <c r="B1680" s="804" t="s">
        <v>680</v>
      </c>
      <c r="C1680" s="823"/>
      <c r="D1680" s="824"/>
      <c r="E1680" s="824"/>
      <c r="F1680" s="824"/>
      <c r="G1680" s="825"/>
      <c r="H1680" s="826"/>
      <c r="I1680" s="826"/>
      <c r="J1680" s="827"/>
      <c r="K1680" s="828"/>
      <c r="L1680" s="823"/>
      <c r="M1680" s="829"/>
      <c r="N1680" s="830"/>
      <c r="O1680" s="862"/>
      <c r="P1680" s="832"/>
      <c r="Q1680" s="833"/>
      <c r="R1680" s="642">
        <f>$A1680*Q1680</f>
        <v>0</v>
      </c>
      <c r="S1680" s="833"/>
      <c r="T1680" s="643">
        <f>$A1680*S1680*$T$1</f>
        <v>0</v>
      </c>
    </row>
    <row r="1681" spans="1:41" s="519" customFormat="1" ht="12">
      <c r="A1681" s="47"/>
      <c r="B1681" s="641"/>
      <c r="C1681" s="641"/>
      <c r="D1681" s="863"/>
      <c r="E1681" s="843"/>
      <c r="F1681" s="518"/>
      <c r="G1681" s="518"/>
      <c r="H1681" s="518"/>
      <c r="I1681" s="518"/>
      <c r="J1681" s="518"/>
      <c r="K1681" s="518"/>
      <c r="L1681" s="864"/>
      <c r="M1681" s="518"/>
      <c r="N1681" s="518"/>
      <c r="O1681" s="518"/>
      <c r="P1681" s="518"/>
      <c r="Q1681" s="518"/>
      <c r="R1681" s="642">
        <f>$A1681*Q1681</f>
        <v>0</v>
      </c>
      <c r="S1681" s="518"/>
      <c r="T1681" s="643">
        <f>$A1681*S1681*$T$1</f>
        <v>0</v>
      </c>
    </row>
    <row r="1682" spans="1:41" s="519" customFormat="1" ht="12">
      <c r="A1682" s="47"/>
      <c r="B1682" s="641"/>
      <c r="C1682" s="641"/>
      <c r="D1682" s="863"/>
      <c r="E1682" s="843"/>
      <c r="F1682" s="518"/>
      <c r="G1682" s="518"/>
      <c r="H1682" s="518"/>
      <c r="I1682" s="518"/>
      <c r="J1682" s="518"/>
      <c r="K1682" s="518"/>
      <c r="L1682" s="864"/>
      <c r="M1682" s="518"/>
      <c r="N1682" s="518"/>
      <c r="O1682" s="518"/>
      <c r="P1682" s="518"/>
      <c r="Q1682" s="518"/>
      <c r="R1682" s="642">
        <f>$A1682*Q1682</f>
        <v>0</v>
      </c>
      <c r="S1682" s="518"/>
      <c r="T1682" s="643">
        <f>$A1682*S1682*$T$1</f>
        <v>0</v>
      </c>
    </row>
    <row r="1683" spans="1:41" s="519" customFormat="1" ht="12.75" customHeight="1">
      <c r="A1683" s="835" t="s">
        <v>145</v>
      </c>
      <c r="B1683" s="836">
        <f>(R1682+T1682)</f>
        <v>0</v>
      </c>
      <c r="C1683" s="837"/>
      <c r="D1683" s="837"/>
      <c r="E1683" s="837"/>
      <c r="F1683" s="837"/>
      <c r="G1683" s="813"/>
      <c r="H1683" s="813"/>
      <c r="I1683" s="813"/>
      <c r="J1683" s="813"/>
      <c r="K1683" s="838" t="s">
        <v>8</v>
      </c>
      <c r="L1683" s="839" t="s">
        <v>590</v>
      </c>
      <c r="M1683" s="813"/>
      <c r="N1683" s="813"/>
      <c r="O1683" s="813"/>
      <c r="P1683" s="813"/>
      <c r="Q1683" s="813"/>
      <c r="R1683" s="814">
        <f>SUM(R1679:R1682)</f>
        <v>0</v>
      </c>
      <c r="S1683" s="815"/>
      <c r="T1683" s="814">
        <f>SUM(T1679:T1682)</f>
        <v>0</v>
      </c>
      <c r="AG1683" s="865">
        <f>ROUND($R1683*$S$4,2)</f>
        <v>0</v>
      </c>
    </row>
    <row r="1684" spans="1:41" s="519" customFormat="1" ht="12.75" customHeight="1">
      <c r="A1684" s="841"/>
      <c r="B1684" s="842"/>
      <c r="E1684" s="641"/>
      <c r="F1684" s="843"/>
      <c r="G1684" s="641"/>
      <c r="H1684" s="641"/>
      <c r="I1684" s="518"/>
      <c r="J1684" s="641"/>
      <c r="K1684" s="641"/>
      <c r="L1684" s="844"/>
      <c r="M1684" s="652"/>
      <c r="N1684" s="652"/>
      <c r="O1684" s="652"/>
      <c r="P1684" s="652"/>
      <c r="Q1684" s="653"/>
      <c r="R1684" s="821"/>
      <c r="S1684" s="641"/>
      <c r="T1684" s="821"/>
    </row>
    <row r="1685" spans="1:41" s="519" customFormat="1" ht="13.5" customHeight="1" thickBot="1">
      <c r="A1685" s="845"/>
      <c r="B1685" s="846"/>
      <c r="C1685" s="529"/>
      <c r="D1685" s="529"/>
      <c r="E1685" s="646"/>
      <c r="F1685" s="647"/>
      <c r="G1685" s="646" t="s">
        <v>146</v>
      </c>
      <c r="H1685" s="646"/>
      <c r="I1685" s="648"/>
      <c r="J1685" s="646"/>
      <c r="K1685" s="646"/>
      <c r="L1685" s="847" t="s">
        <v>143</v>
      </c>
      <c r="M1685" s="649"/>
      <c r="N1685" s="649"/>
      <c r="O1685" s="649"/>
      <c r="P1685" s="649"/>
      <c r="Q1685" s="650"/>
      <c r="R1685" s="848">
        <f ca="1">SUMIF($L1667:$L1684,"SUBI",R1667:R1684)</f>
        <v>86.100000000000009</v>
      </c>
      <c r="S1685" s="866"/>
      <c r="T1685" s="848">
        <f ca="1">SUMIF($L1667:$L1684,"SUBI",T1667:T1684)</f>
        <v>7.5600000000000005</v>
      </c>
      <c r="U1685" s="529"/>
      <c r="V1685" s="529"/>
      <c r="W1685" s="529"/>
      <c r="X1685" s="529"/>
      <c r="Y1685" s="529"/>
      <c r="Z1685" s="529"/>
      <c r="AA1685" s="529"/>
      <c r="AB1685" s="529"/>
      <c r="AC1685" s="529"/>
      <c r="AD1685" s="529"/>
      <c r="AE1685" s="529"/>
      <c r="AF1685" s="529"/>
      <c r="AG1685" s="529"/>
      <c r="AH1685" s="529"/>
      <c r="AI1685" s="529"/>
      <c r="AJ1685" s="529"/>
      <c r="AK1685" s="529"/>
      <c r="AL1685" s="529"/>
      <c r="AM1685" s="529"/>
      <c r="AN1685" s="529"/>
      <c r="AO1685" s="529"/>
    </row>
    <row r="1686" spans="1:41" s="519" customFormat="1" thickTop="1">
      <c r="A1686" s="47"/>
      <c r="B1686" s="47"/>
      <c r="C1686" s="3"/>
      <c r="D1686" s="3"/>
      <c r="E1686" s="47"/>
      <c r="F1686" s="47"/>
      <c r="G1686" s="47"/>
      <c r="H1686" s="47"/>
      <c r="I1686" s="47"/>
      <c r="J1686" s="47"/>
      <c r="K1686" s="47" t="s">
        <v>134</v>
      </c>
      <c r="L1686" s="47"/>
      <c r="M1686" s="47"/>
      <c r="N1686" s="47"/>
      <c r="O1686" s="48"/>
      <c r="P1686" s="47"/>
      <c r="Q1686" s="47"/>
      <c r="R1686" s="47"/>
      <c r="S1686" s="47"/>
      <c r="T1686" s="47"/>
    </row>
    <row r="1687" spans="1:41" s="519" customFormat="1" ht="12">
      <c r="A1687" s="47"/>
      <c r="B1687" s="47"/>
      <c r="C1687" s="47" t="s">
        <v>135</v>
      </c>
      <c r="D1687" s="36"/>
      <c r="E1687" s="47"/>
      <c r="F1687" s="47"/>
      <c r="G1687" s="47"/>
      <c r="H1687" s="47"/>
      <c r="I1687" s="47"/>
      <c r="J1687" s="47"/>
      <c r="K1687" s="47"/>
      <c r="L1687" s="47"/>
      <c r="M1687" s="47"/>
      <c r="N1687" s="47"/>
      <c r="O1687" s="48"/>
      <c r="P1687" s="47"/>
      <c r="Q1687" s="47"/>
      <c r="R1687" s="47"/>
      <c r="S1687" s="47"/>
      <c r="T1687" s="47"/>
    </row>
    <row r="1688" spans="1:41" s="519" customFormat="1" ht="12">
      <c r="A1688" s="47"/>
      <c r="B1688" s="47"/>
      <c r="C1688" s="47"/>
      <c r="D1688" s="36" t="s">
        <v>556</v>
      </c>
      <c r="E1688" s="47"/>
      <c r="F1688" s="47"/>
      <c r="G1688" s="47"/>
      <c r="H1688" s="47"/>
      <c r="I1688" s="47"/>
      <c r="J1688" s="47"/>
      <c r="K1688" s="47"/>
      <c r="L1688" s="47"/>
      <c r="M1688" s="47"/>
      <c r="N1688" s="47"/>
      <c r="O1688" s="48"/>
      <c r="P1688" s="47"/>
      <c r="Q1688" s="47"/>
      <c r="R1688" s="47"/>
      <c r="S1688" s="37"/>
      <c r="T1688" s="37"/>
    </row>
    <row r="1689" spans="1:41" s="3" customFormat="1" thickBot="1">
      <c r="A1689" s="529"/>
      <c r="O1689" s="99"/>
    </row>
    <row r="1690" spans="1:41" s="519" customFormat="1" thickTop="1">
      <c r="A1690" s="47"/>
      <c r="B1690" s="47"/>
      <c r="C1690" s="3"/>
      <c r="D1690" s="3"/>
      <c r="E1690" s="47"/>
      <c r="F1690" s="47"/>
      <c r="G1690" s="47"/>
      <c r="H1690" s="47"/>
      <c r="I1690" s="47"/>
      <c r="J1690" s="47"/>
      <c r="K1690" s="47" t="s">
        <v>134</v>
      </c>
      <c r="L1690" s="47"/>
      <c r="M1690" s="47"/>
      <c r="N1690" s="47"/>
      <c r="O1690" s="48"/>
      <c r="P1690" s="47"/>
      <c r="Q1690" s="47"/>
      <c r="R1690" s="47"/>
      <c r="S1690" s="47"/>
      <c r="T1690" s="47"/>
    </row>
    <row r="1691" spans="1:41" s="519" customFormat="1" ht="12">
      <c r="A1691" s="47"/>
      <c r="B1691" s="47"/>
      <c r="C1691" s="47" t="s">
        <v>135</v>
      </c>
      <c r="D1691" s="36"/>
      <c r="E1691" s="47"/>
      <c r="F1691" s="47"/>
      <c r="G1691" s="47"/>
      <c r="H1691" s="47"/>
      <c r="I1691" s="47"/>
      <c r="J1691" s="47"/>
      <c r="K1691" s="47"/>
      <c r="L1691" s="47"/>
      <c r="M1691" s="47"/>
      <c r="N1691" s="47"/>
      <c r="O1691" s="48"/>
      <c r="P1691" s="47"/>
      <c r="Q1691" s="47"/>
      <c r="R1691" s="47"/>
      <c r="S1691" s="47"/>
      <c r="T1691" s="47"/>
    </row>
    <row r="1692" spans="1:41" s="519" customFormat="1" ht="39.9" customHeight="1">
      <c r="A1692" s="47"/>
      <c r="B1692" s="47"/>
      <c r="C1692" s="47"/>
      <c r="D1692" s="1081" t="s">
        <v>530</v>
      </c>
      <c r="E1692" s="1081"/>
      <c r="F1692" s="1081"/>
      <c r="G1692" s="1081"/>
      <c r="H1692" s="1081"/>
      <c r="I1692" s="1081"/>
      <c r="J1692" s="1081"/>
      <c r="K1692" s="1081"/>
      <c r="L1692" s="1081"/>
      <c r="M1692" s="1081"/>
      <c r="N1692" s="1081"/>
      <c r="O1692" s="1081"/>
      <c r="P1692" s="1081"/>
      <c r="Q1692" s="1081"/>
      <c r="R1692" s="1081"/>
      <c r="S1692" s="1081"/>
      <c r="T1692" s="1081"/>
    </row>
    <row r="1693" spans="1:41" s="3" customFormat="1" thickBot="1">
      <c r="A1693" s="529"/>
      <c r="O1693" s="99"/>
    </row>
    <row r="1694" spans="1:41" s="519" customFormat="1" thickTop="1">
      <c r="A1694" s="47"/>
      <c r="B1694" s="40"/>
      <c r="C1694" s="47"/>
      <c r="E1694" s="41" t="s">
        <v>138</v>
      </c>
      <c r="F1694" s="41" t="s">
        <v>139</v>
      </c>
      <c r="G1694" s="47"/>
      <c r="H1694" s="47"/>
      <c r="I1694" s="47"/>
      <c r="J1694" s="47"/>
      <c r="K1694" s="47" t="s">
        <v>140</v>
      </c>
      <c r="L1694" s="774"/>
      <c r="M1694" s="47"/>
      <c r="N1694" s="47"/>
      <c r="O1694" s="48"/>
      <c r="P1694" s="47"/>
      <c r="Q1694"/>
      <c r="R1694"/>
      <c r="S1694"/>
      <c r="T1694" s="40"/>
      <c r="AG1694" s="627" t="s">
        <v>277</v>
      </c>
      <c r="AH1694" s="627" t="s">
        <v>278</v>
      </c>
      <c r="AI1694" s="627" t="s">
        <v>279</v>
      </c>
      <c r="AJ1694" s="627" t="s">
        <v>280</v>
      </c>
      <c r="AK1694" s="627" t="s">
        <v>281</v>
      </c>
      <c r="AM1694" s="628" t="s">
        <v>290</v>
      </c>
      <c r="AN1694" s="629" t="s">
        <v>291</v>
      </c>
      <c r="AO1694" s="520" t="s">
        <v>287</v>
      </c>
    </row>
    <row r="1695" spans="1:41" s="519" customFormat="1" ht="13.2">
      <c r="A1695" s="630">
        <v>7</v>
      </c>
      <c r="B1695" s="521" t="s">
        <v>312</v>
      </c>
      <c r="C1695" s="631"/>
      <c r="D1695" s="632" t="s">
        <v>709</v>
      </c>
      <c r="E1695" s="775">
        <f>IF(AND($A1695=0,$A$1="DIF"),0,ROUND(ROUND(SUMIF($L1697:$L1708,"SUBI",$E1697:$E1708)/$A1695,2)*$C$12,2))</f>
        <v>0</v>
      </c>
      <c r="F1695" s="776">
        <f>ROUND($A1695*$E1695,2)</f>
        <v>0</v>
      </c>
      <c r="G1695" s="635" t="s">
        <v>142</v>
      </c>
      <c r="H1695" s="636"/>
      <c r="I1695" s="637"/>
      <c r="J1695" s="636"/>
      <c r="K1695" s="777"/>
      <c r="L1695" s="778" t="s">
        <v>143</v>
      </c>
      <c r="M1695" s="638"/>
      <c r="N1695" s="638"/>
      <c r="O1695" s="638"/>
      <c r="P1695" s="638"/>
      <c r="Q1695" s="967" t="s">
        <v>867</v>
      </c>
      <c r="R1695"/>
      <c r="S1695"/>
      <c r="T1695" s="779" t="str">
        <f>IF(AND($R1714=0,$T1714=0),"0.00","mu :" &amp; ROUND($F1695/$C$12/($R1714+$T1714*$D$9),2))</f>
        <v>0.00</v>
      </c>
      <c r="W1695" s="522"/>
      <c r="AG1695" s="780">
        <f>IF(A1695=0,0,ROUND(SUM(AG1697:AG1714)/A1695,2))</f>
        <v>0</v>
      </c>
      <c r="AH1695" s="780">
        <f>$AG1695*$A1695</f>
        <v>0</v>
      </c>
      <c r="AI1695" s="780">
        <f>$E1695-$AG1695</f>
        <v>0</v>
      </c>
      <c r="AJ1695" s="780">
        <f>$A1695*$AI1695</f>
        <v>0</v>
      </c>
      <c r="AK1695" s="781">
        <f>ROUND(($AG1695+$AI1695)*$A1695,2)</f>
        <v>0</v>
      </c>
      <c r="AM1695" s="525">
        <f>ROUND(R1714,2)</f>
        <v>0</v>
      </c>
      <c r="AN1695" s="526">
        <f>ROUND(T1714,2)</f>
        <v>0</v>
      </c>
      <c r="AO1695" s="527">
        <f>ROUND(AM1695+AN1695,2)*A1695</f>
        <v>0</v>
      </c>
    </row>
    <row r="1696" spans="1:41" s="519" customFormat="1" ht="21.6" customHeight="1">
      <c r="A1696" s="782"/>
      <c r="B1696" s="783"/>
      <c r="C1696" s="631"/>
      <c r="D1696" s="784" t="s">
        <v>557</v>
      </c>
      <c r="F1696" s="636"/>
      <c r="G1696" s="636"/>
      <c r="H1696" s="636"/>
      <c r="I1696" s="637"/>
      <c r="J1696" s="636"/>
      <c r="K1696" s="636" t="s">
        <v>144</v>
      </c>
      <c r="L1696" s="785"/>
      <c r="M1696" s="636"/>
      <c r="N1696" s="636"/>
      <c r="O1696" s="636"/>
      <c r="P1696" s="636"/>
      <c r="Q1696" s="47"/>
      <c r="R1696" s="528"/>
      <c r="S1696" s="640"/>
      <c r="T1696" s="636"/>
    </row>
    <row r="1697" spans="1:33" s="519" customFormat="1" ht="12">
      <c r="A1697" s="849"/>
      <c r="B1697" s="850"/>
      <c r="C1697" s="641"/>
      <c r="D1697" s="811"/>
      <c r="E1697" s="851">
        <f>F1695/$C$12-SUMIF($L1694:$L1714,"SUBI",$E1694:$E1714)</f>
        <v>0</v>
      </c>
      <c r="F1697" s="852" t="s">
        <v>589</v>
      </c>
      <c r="G1697" s="790"/>
      <c r="H1697" s="790"/>
      <c r="I1697" s="791"/>
      <c r="J1697" s="790"/>
      <c r="K1697" s="790"/>
      <c r="L1697" s="792"/>
      <c r="M1697" s="793"/>
      <c r="N1697" s="793"/>
      <c r="O1697" s="793"/>
      <c r="P1697" s="793"/>
      <c r="Q1697" s="794"/>
      <c r="R1697" s="795"/>
      <c r="S1697" s="794"/>
      <c r="T1697" s="796"/>
    </row>
    <row r="1698" spans="1:33" s="519" customFormat="1" ht="12" customHeight="1">
      <c r="A1698" s="797"/>
      <c r="B1698" s="798"/>
      <c r="C1698" s="799"/>
      <c r="D1698" s="799" t="str">
        <f>$F$2</f>
        <v>Electrical</v>
      </c>
      <c r="E1698" s="799">
        <f>ROUND(($R1702*$S$2 + ($T1702*$T$2)), 2)</f>
        <v>0</v>
      </c>
      <c r="F1698" s="800">
        <f>$E1698*$C$12</f>
        <v>0</v>
      </c>
      <c r="G1698" s="528"/>
      <c r="H1698" s="801"/>
      <c r="I1698" s="528"/>
      <c r="J1698" s="48"/>
      <c r="K1698" s="802" t="s">
        <v>3</v>
      </c>
      <c r="L1698" s="803" t="s">
        <v>590</v>
      </c>
      <c r="M1698" s="528"/>
      <c r="N1698" s="528"/>
      <c r="O1698" s="48"/>
      <c r="P1698" s="528"/>
      <c r="Q1698" s="528"/>
      <c r="R1698"/>
      <c r="S1698"/>
      <c r="T1698"/>
    </row>
    <row r="1699" spans="1:33" s="519" customFormat="1" ht="14.4" customHeight="1">
      <c r="A1699" s="49"/>
      <c r="B1699" s="804" t="s">
        <v>591</v>
      </c>
      <c r="C1699" s="528"/>
      <c r="D1699" s="528"/>
      <c r="E1699" s="528"/>
      <c r="F1699" s="528"/>
      <c r="G1699" s="528"/>
      <c r="H1699" s="801"/>
      <c r="I1699" s="528"/>
      <c r="J1699" s="48"/>
      <c r="K1699" s="805"/>
      <c r="L1699" s="806"/>
      <c r="M1699" s="528"/>
      <c r="N1699" s="528"/>
      <c r="O1699" s="48"/>
      <c r="P1699" s="528"/>
      <c r="Q1699" s="528"/>
      <c r="R1699" s="807">
        <f>$A1699*Q1699</f>
        <v>0</v>
      </c>
      <c r="S1699" s="528"/>
      <c r="T1699" s="643">
        <f>$A1699*S1699*$T$1</f>
        <v>0</v>
      </c>
    </row>
    <row r="1700" spans="1:33" s="519" customFormat="1" ht="14.4" customHeight="1">
      <c r="A1700" s="49"/>
      <c r="B1700" s="528"/>
      <c r="C1700" s="528"/>
      <c r="D1700" s="528"/>
      <c r="E1700" s="528"/>
      <c r="F1700" s="528"/>
      <c r="G1700" s="528"/>
      <c r="H1700" s="801"/>
      <c r="I1700" s="528"/>
      <c r="J1700" s="48"/>
      <c r="K1700" s="805"/>
      <c r="L1700" s="806"/>
      <c r="M1700" s="528"/>
      <c r="N1700" s="528"/>
      <c r="O1700" s="48"/>
      <c r="P1700" s="528"/>
      <c r="Q1700" s="528"/>
      <c r="R1700" s="807">
        <f>$A1700*Q1700</f>
        <v>0</v>
      </c>
      <c r="S1700" s="528"/>
      <c r="T1700" s="643">
        <f>$A1700*S1700*$T$1</f>
        <v>0</v>
      </c>
    </row>
    <row r="1701" spans="1:33" s="519" customFormat="1" ht="14.4" customHeight="1">
      <c r="A1701" s="49"/>
      <c r="B1701" s="528"/>
      <c r="C1701" s="528"/>
      <c r="D1701" s="528"/>
      <c r="E1701" s="528"/>
      <c r="F1701" s="528"/>
      <c r="G1701" s="528"/>
      <c r="H1701" s="801"/>
      <c r="I1701" s="528"/>
      <c r="J1701" s="48"/>
      <c r="K1701" s="805"/>
      <c r="L1701" s="806"/>
      <c r="M1701" s="528"/>
      <c r="N1701" s="528"/>
      <c r="O1701" s="48"/>
      <c r="P1701" s="528"/>
      <c r="Q1701" s="528"/>
      <c r="R1701" s="807">
        <f>$A1701*Q1701</f>
        <v>0</v>
      </c>
      <c r="S1701" s="528"/>
      <c r="T1701" s="643">
        <f>$A1701*S1701*$T$1</f>
        <v>0</v>
      </c>
    </row>
    <row r="1702" spans="1:33" s="519" customFormat="1" ht="12">
      <c r="A1702" s="835" t="s">
        <v>145</v>
      </c>
      <c r="B1702" s="836">
        <f>(R1701+T1701)</f>
        <v>0</v>
      </c>
      <c r="C1702" s="790"/>
      <c r="G1702" s="810"/>
      <c r="H1702" s="810"/>
      <c r="I1702" s="810"/>
      <c r="J1702" s="810"/>
      <c r="K1702" s="811" t="s">
        <v>3</v>
      </c>
      <c r="L1702" s="812" t="s">
        <v>590</v>
      </c>
      <c r="M1702" s="810"/>
      <c r="N1702" s="810"/>
      <c r="O1702" s="810"/>
      <c r="P1702" s="810"/>
      <c r="Q1702" s="813"/>
      <c r="R1702" s="814">
        <f>SUM(R1698:R1701)</f>
        <v>0</v>
      </c>
      <c r="S1702" s="815"/>
      <c r="T1702" s="814">
        <f>SUM(T1698:T1701)</f>
        <v>0</v>
      </c>
      <c r="AG1702" s="816">
        <f>ROUND($R1702*$S$2,2)</f>
        <v>0</v>
      </c>
    </row>
    <row r="1703" spans="1:33" s="519" customFormat="1" ht="12" customHeight="1">
      <c r="A1703" s="797"/>
      <c r="B1703" s="853"/>
      <c r="C1703" s="854"/>
      <c r="D1703" s="855" t="str">
        <f>$F$3</f>
        <v>ECA</v>
      </c>
      <c r="E1703" s="855">
        <f>ROUND(($R1707*$S$3 + ($T1707*$T$3)), 2)</f>
        <v>0</v>
      </c>
      <c r="F1703" s="856">
        <f>$E1703*$C$12</f>
        <v>0</v>
      </c>
      <c r="G1703" s="518"/>
      <c r="H1703" s="518"/>
      <c r="I1703" s="518"/>
      <c r="J1703" s="518"/>
      <c r="K1703" s="802" t="s">
        <v>5</v>
      </c>
      <c r="L1703" s="803" t="s">
        <v>590</v>
      </c>
      <c r="M1703" s="518"/>
      <c r="N1703" s="518"/>
      <c r="O1703" s="518"/>
      <c r="P1703" s="518"/>
      <c r="Q1703" s="518"/>
      <c r="R1703" s="821"/>
      <c r="S1703" s="518"/>
      <c r="T1703" s="821"/>
    </row>
    <row r="1704" spans="1:33" s="834" customFormat="1" ht="15.6" customHeight="1">
      <c r="A1704" s="822"/>
      <c r="B1704" s="804" t="s">
        <v>592</v>
      </c>
      <c r="C1704" s="823"/>
      <c r="D1704" s="824"/>
      <c r="E1704" s="824"/>
      <c r="F1704" s="824"/>
      <c r="G1704" s="825"/>
      <c r="H1704" s="826"/>
      <c r="I1704" s="826"/>
      <c r="J1704" s="827"/>
      <c r="K1704" s="828"/>
      <c r="L1704" s="823"/>
      <c r="M1704" s="829"/>
      <c r="N1704" s="830"/>
      <c r="O1704" s="831"/>
      <c r="P1704" s="832"/>
      <c r="Q1704" s="833"/>
      <c r="R1704" s="807">
        <f>$A1704*Q1704</f>
        <v>0</v>
      </c>
      <c r="S1704" s="528"/>
      <c r="T1704" s="643">
        <f>$A1704*S1704*$T$1</f>
        <v>0</v>
      </c>
    </row>
    <row r="1705" spans="1:33" s="519" customFormat="1" ht="15.6" customHeight="1">
      <c r="A1705" s="49"/>
      <c r="B1705" s="528"/>
      <c r="C1705" s="528"/>
      <c r="D1705" s="528"/>
      <c r="E1705" s="528"/>
      <c r="F1705" s="528"/>
      <c r="G1705" s="528"/>
      <c r="H1705" s="528"/>
      <c r="I1705" s="528"/>
      <c r="J1705" s="528"/>
      <c r="K1705" s="528"/>
      <c r="L1705" s="806"/>
      <c r="M1705" s="528"/>
      <c r="N1705" s="528"/>
      <c r="O1705" s="528"/>
      <c r="P1705" s="528"/>
      <c r="Q1705" s="528"/>
      <c r="R1705" s="807">
        <f>$A1705*Q1705</f>
        <v>0</v>
      </c>
      <c r="S1705" s="528"/>
      <c r="T1705" s="643">
        <f>$A1705*S1705*$T$1</f>
        <v>0</v>
      </c>
    </row>
    <row r="1706" spans="1:33" s="519" customFormat="1" ht="15.6" customHeight="1">
      <c r="A1706" s="49"/>
      <c r="B1706" s="528"/>
      <c r="C1706" s="528"/>
      <c r="D1706" s="3"/>
      <c r="E1706" s="528"/>
      <c r="F1706" s="528"/>
      <c r="G1706" s="528"/>
      <c r="H1706" s="528"/>
      <c r="I1706" s="528"/>
      <c r="J1706" s="528"/>
      <c r="K1706" s="528"/>
      <c r="L1706" s="806"/>
      <c r="M1706" s="528"/>
      <c r="N1706" s="528"/>
      <c r="O1706" s="528"/>
      <c r="P1706" s="528"/>
      <c r="Q1706" s="528"/>
      <c r="R1706" s="807">
        <f>$A1706*Q1706</f>
        <v>0</v>
      </c>
      <c r="S1706" s="528"/>
      <c r="T1706" s="643">
        <f>$A1706*S1706*$T$1</f>
        <v>0</v>
      </c>
    </row>
    <row r="1707" spans="1:33" s="519" customFormat="1" ht="12">
      <c r="A1707" s="835" t="s">
        <v>145</v>
      </c>
      <c r="B1707" s="836">
        <f>(R1706+T1706)</f>
        <v>0</v>
      </c>
      <c r="C1707" s="790"/>
      <c r="G1707" s="810"/>
      <c r="H1707" s="810"/>
      <c r="I1707" s="810"/>
      <c r="J1707" s="810"/>
      <c r="K1707" s="838" t="s">
        <v>5</v>
      </c>
      <c r="L1707" s="812" t="s">
        <v>590</v>
      </c>
      <c r="M1707" s="810"/>
      <c r="N1707" s="810"/>
      <c r="O1707" s="810"/>
      <c r="P1707" s="810"/>
      <c r="Q1707" s="813"/>
      <c r="R1707" s="814">
        <f>SUM(R1703:R1706)</f>
        <v>0</v>
      </c>
      <c r="S1707" s="815"/>
      <c r="T1707" s="814">
        <f>SUM(T1703:T1706)</f>
        <v>0</v>
      </c>
      <c r="AG1707" s="840">
        <f>ROUND($R1707*$S$3,2)</f>
        <v>0</v>
      </c>
    </row>
    <row r="1708" spans="1:33" s="519" customFormat="1" ht="12" customHeight="1">
      <c r="A1708" s="817"/>
      <c r="B1708" s="857"/>
      <c r="C1708" s="858"/>
      <c r="D1708" s="859">
        <f>$F$4</f>
        <v>0</v>
      </c>
      <c r="E1708" s="859">
        <f>ROUND(($R1712*$S$4 + ($T1712*$T$4)), 2)</f>
        <v>0</v>
      </c>
      <c r="F1708" s="860">
        <f ca="1">$F1695-SUMIF($L1697:$P1705,"SUBI",$F1697:$F1705)</f>
        <v>0</v>
      </c>
      <c r="G1708" s="518"/>
      <c r="H1708" s="518"/>
      <c r="I1708" s="518"/>
      <c r="J1708" s="518"/>
      <c r="K1708" s="861" t="s">
        <v>8</v>
      </c>
      <c r="L1708" s="803" t="s">
        <v>590</v>
      </c>
      <c r="M1708" s="518"/>
      <c r="N1708" s="518"/>
      <c r="O1708" s="518"/>
      <c r="P1708" s="518"/>
      <c r="Q1708" s="518"/>
      <c r="R1708" s="821"/>
      <c r="S1708" s="518"/>
      <c r="T1708" s="821"/>
    </row>
    <row r="1709" spans="1:33" s="834" customFormat="1" ht="14.4" customHeight="1">
      <c r="A1709" s="822"/>
      <c r="B1709" s="804" t="s">
        <v>680</v>
      </c>
      <c r="C1709" s="823"/>
      <c r="D1709" s="824"/>
      <c r="E1709" s="824"/>
      <c r="F1709" s="824"/>
      <c r="G1709" s="825"/>
      <c r="H1709" s="826"/>
      <c r="I1709" s="826"/>
      <c r="J1709" s="827"/>
      <c r="K1709" s="828"/>
      <c r="L1709" s="823"/>
      <c r="M1709" s="829"/>
      <c r="N1709" s="830"/>
      <c r="O1709" s="862"/>
      <c r="P1709" s="832"/>
      <c r="Q1709" s="833"/>
      <c r="R1709" s="642">
        <f>$A1709*Q1709</f>
        <v>0</v>
      </c>
      <c r="S1709" s="833"/>
      <c r="T1709" s="643">
        <f>$A1709*S1709*$T$1</f>
        <v>0</v>
      </c>
    </row>
    <row r="1710" spans="1:33" s="519" customFormat="1" ht="12">
      <c r="A1710" s="47"/>
      <c r="B1710" s="641"/>
      <c r="C1710" s="641"/>
      <c r="D1710" s="863"/>
      <c r="E1710" s="843"/>
      <c r="F1710" s="518"/>
      <c r="G1710" s="518"/>
      <c r="H1710" s="518"/>
      <c r="I1710" s="518"/>
      <c r="J1710" s="518"/>
      <c r="K1710" s="518"/>
      <c r="L1710" s="864"/>
      <c r="M1710" s="518"/>
      <c r="N1710" s="518"/>
      <c r="O1710" s="518"/>
      <c r="P1710" s="518"/>
      <c r="Q1710" s="518"/>
      <c r="R1710" s="642">
        <f>$A1710*Q1710</f>
        <v>0</v>
      </c>
      <c r="S1710" s="518"/>
      <c r="T1710" s="643">
        <f>$A1710*S1710*$T$1</f>
        <v>0</v>
      </c>
    </row>
    <row r="1711" spans="1:33" s="519" customFormat="1" ht="12">
      <c r="A1711" s="47"/>
      <c r="B1711" s="641"/>
      <c r="C1711" s="641"/>
      <c r="D1711" s="863"/>
      <c r="E1711" s="843"/>
      <c r="F1711" s="518"/>
      <c r="G1711" s="518"/>
      <c r="H1711" s="518"/>
      <c r="I1711" s="518"/>
      <c r="J1711" s="518"/>
      <c r="K1711" s="518"/>
      <c r="L1711" s="864"/>
      <c r="M1711" s="518"/>
      <c r="N1711" s="518"/>
      <c r="O1711" s="518"/>
      <c r="P1711" s="518"/>
      <c r="Q1711" s="518"/>
      <c r="R1711" s="642">
        <f>$A1711*Q1711</f>
        <v>0</v>
      </c>
      <c r="S1711" s="518"/>
      <c r="T1711" s="643">
        <f>$A1711*S1711*$T$1</f>
        <v>0</v>
      </c>
    </row>
    <row r="1712" spans="1:33" s="519" customFormat="1" ht="12.75" customHeight="1">
      <c r="A1712" s="835" t="s">
        <v>145</v>
      </c>
      <c r="B1712" s="836">
        <f>(R1711+T1711)</f>
        <v>0</v>
      </c>
      <c r="C1712" s="837"/>
      <c r="D1712" s="837"/>
      <c r="E1712" s="837"/>
      <c r="F1712" s="837"/>
      <c r="G1712" s="813"/>
      <c r="H1712" s="813"/>
      <c r="I1712" s="813"/>
      <c r="J1712" s="813"/>
      <c r="K1712" s="838" t="s">
        <v>8</v>
      </c>
      <c r="L1712" s="839" t="s">
        <v>590</v>
      </c>
      <c r="M1712" s="813"/>
      <c r="N1712" s="813"/>
      <c r="O1712" s="813"/>
      <c r="P1712" s="813"/>
      <c r="Q1712" s="813"/>
      <c r="R1712" s="814">
        <f>SUM(R1708:R1711)</f>
        <v>0</v>
      </c>
      <c r="S1712" s="815"/>
      <c r="T1712" s="814">
        <f>SUM(T1708:T1711)</f>
        <v>0</v>
      </c>
      <c r="AG1712" s="865">
        <f>ROUND($R1712*$S$4,2)</f>
        <v>0</v>
      </c>
    </row>
    <row r="1713" spans="1:41" s="519" customFormat="1" ht="12.75" customHeight="1">
      <c r="A1713" s="841"/>
      <c r="B1713" s="842"/>
      <c r="E1713" s="641"/>
      <c r="F1713" s="843"/>
      <c r="G1713" s="641"/>
      <c r="H1713" s="641"/>
      <c r="I1713" s="518"/>
      <c r="J1713" s="641"/>
      <c r="K1713" s="641"/>
      <c r="L1713" s="844"/>
      <c r="M1713" s="652"/>
      <c r="N1713" s="652"/>
      <c r="O1713" s="652"/>
      <c r="P1713" s="652"/>
      <c r="Q1713" s="653"/>
      <c r="R1713" s="821"/>
      <c r="S1713" s="641"/>
      <c r="T1713" s="821"/>
    </row>
    <row r="1714" spans="1:41" s="519" customFormat="1" ht="13.5" customHeight="1" thickBot="1">
      <c r="A1714" s="845"/>
      <c r="B1714" s="846"/>
      <c r="C1714" s="529"/>
      <c r="D1714" s="529"/>
      <c r="E1714" s="646"/>
      <c r="F1714" s="647"/>
      <c r="G1714" s="646" t="s">
        <v>146</v>
      </c>
      <c r="H1714" s="646"/>
      <c r="I1714" s="648"/>
      <c r="J1714" s="646"/>
      <c r="K1714" s="646"/>
      <c r="L1714" s="847" t="s">
        <v>143</v>
      </c>
      <c r="M1714" s="649"/>
      <c r="N1714" s="649"/>
      <c r="O1714" s="649"/>
      <c r="P1714" s="649"/>
      <c r="Q1714" s="650"/>
      <c r="R1714" s="848">
        <f>SUMIF($L1696:$L1713,"SUBI",R1696:R1713)</f>
        <v>0</v>
      </c>
      <c r="S1714" s="866"/>
      <c r="T1714" s="848">
        <f>SUMIF($L1696:$L1713,"SUBI",T1696:T1713)</f>
        <v>0</v>
      </c>
      <c r="U1714" s="529"/>
      <c r="V1714" s="529"/>
      <c r="W1714" s="529"/>
      <c r="X1714" s="529"/>
      <c r="Y1714" s="529"/>
      <c r="Z1714" s="529"/>
      <c r="AA1714" s="529"/>
      <c r="AB1714" s="529"/>
      <c r="AC1714" s="529"/>
      <c r="AD1714" s="529"/>
      <c r="AE1714" s="529"/>
      <c r="AF1714" s="529"/>
      <c r="AG1714" s="529"/>
      <c r="AH1714" s="529"/>
      <c r="AI1714" s="529"/>
      <c r="AJ1714" s="529"/>
      <c r="AK1714" s="529"/>
      <c r="AL1714" s="529"/>
      <c r="AM1714" s="529"/>
      <c r="AN1714" s="529"/>
      <c r="AO1714" s="529"/>
    </row>
    <row r="1715" spans="1:41" s="519" customFormat="1" thickTop="1">
      <c r="A1715" s="47"/>
      <c r="B1715" s="40"/>
      <c r="C1715" s="47"/>
      <c r="E1715" s="41" t="s">
        <v>138</v>
      </c>
      <c r="F1715" s="41" t="s">
        <v>139</v>
      </c>
      <c r="G1715" s="47"/>
      <c r="H1715" s="47"/>
      <c r="I1715" s="47"/>
      <c r="J1715" s="47"/>
      <c r="K1715" s="47" t="s">
        <v>140</v>
      </c>
      <c r="L1715" s="774"/>
      <c r="M1715" s="47"/>
      <c r="N1715" s="47"/>
      <c r="O1715" s="48"/>
      <c r="P1715" s="47"/>
      <c r="Q1715"/>
      <c r="R1715"/>
      <c r="S1715"/>
      <c r="T1715" s="40"/>
      <c r="AG1715" s="627" t="s">
        <v>277</v>
      </c>
      <c r="AH1715" s="627" t="s">
        <v>278</v>
      </c>
      <c r="AI1715" s="627" t="s">
        <v>279</v>
      </c>
      <c r="AJ1715" s="627" t="s">
        <v>280</v>
      </c>
      <c r="AK1715" s="627" t="s">
        <v>281</v>
      </c>
      <c r="AM1715" s="628" t="s">
        <v>290</v>
      </c>
      <c r="AN1715" s="629" t="s">
        <v>291</v>
      </c>
      <c r="AO1715" s="520" t="s">
        <v>287</v>
      </c>
    </row>
    <row r="1716" spans="1:41" s="519" customFormat="1" ht="13.2">
      <c r="A1716" s="630">
        <v>1</v>
      </c>
      <c r="B1716" s="521" t="s">
        <v>312</v>
      </c>
      <c r="C1716" s="631"/>
      <c r="D1716" s="632" t="s">
        <v>710</v>
      </c>
      <c r="E1716" s="775">
        <f>IF(AND($A1716=0,$A$1="DIF"),0,ROUND(ROUND(SUMIF($L1718:$L1729,"SUBI",$E1718:$E1729)/$A1716,2)*$C$12,2))</f>
        <v>0</v>
      </c>
      <c r="F1716" s="776">
        <f>ROUND($A1716*$E1716,2)</f>
        <v>0</v>
      </c>
      <c r="G1716" s="635" t="s">
        <v>142</v>
      </c>
      <c r="H1716" s="636"/>
      <c r="I1716" s="637"/>
      <c r="J1716" s="636"/>
      <c r="K1716" s="777"/>
      <c r="L1716" s="778" t="s">
        <v>143</v>
      </c>
      <c r="M1716" s="638"/>
      <c r="N1716" s="638"/>
      <c r="O1716" s="638"/>
      <c r="P1716" s="638"/>
      <c r="Q1716" s="967" t="s">
        <v>867</v>
      </c>
      <c r="R1716"/>
      <c r="S1716"/>
      <c r="T1716" s="779" t="str">
        <f>IF(AND($R1735=0,$T1735=0),"0.00","mu :" &amp; ROUND($F1716/$C$12/($R1735+$T1735*$D$9),2))</f>
        <v>0.00</v>
      </c>
      <c r="W1716" s="522"/>
      <c r="AG1716" s="780">
        <f>IF(A1716=0,0,ROUND(SUM(AG1718:AG1735)/A1716,2))</f>
        <v>0</v>
      </c>
      <c r="AH1716" s="780">
        <f>$AG1716*$A1716</f>
        <v>0</v>
      </c>
      <c r="AI1716" s="780">
        <f>$E1716-$AG1716</f>
        <v>0</v>
      </c>
      <c r="AJ1716" s="780">
        <f>$A1716*$AI1716</f>
        <v>0</v>
      </c>
      <c r="AK1716" s="781">
        <f>ROUND(($AG1716+$AI1716)*$A1716,2)</f>
        <v>0</v>
      </c>
      <c r="AM1716" s="525">
        <f>ROUND(R1735,2)</f>
        <v>0</v>
      </c>
      <c r="AN1716" s="526">
        <f>ROUND(T1735,2)</f>
        <v>0</v>
      </c>
      <c r="AO1716" s="527">
        <f>ROUND(AM1716+AN1716,2)*A1716</f>
        <v>0</v>
      </c>
    </row>
    <row r="1717" spans="1:41" s="519" customFormat="1" ht="21.6" customHeight="1">
      <c r="A1717" s="782"/>
      <c r="B1717" s="783"/>
      <c r="C1717" s="631"/>
      <c r="D1717" s="784" t="s">
        <v>543</v>
      </c>
      <c r="F1717" s="636"/>
      <c r="G1717" s="636"/>
      <c r="H1717" s="636"/>
      <c r="I1717" s="637"/>
      <c r="J1717" s="636"/>
      <c r="K1717" s="636" t="s">
        <v>144</v>
      </c>
      <c r="L1717" s="785"/>
      <c r="M1717" s="636"/>
      <c r="N1717" s="636"/>
      <c r="O1717" s="636"/>
      <c r="P1717" s="636"/>
      <c r="Q1717" s="47"/>
      <c r="R1717" s="528"/>
      <c r="S1717" s="640"/>
      <c r="T1717" s="636"/>
    </row>
    <row r="1718" spans="1:41" s="519" customFormat="1" ht="12">
      <c r="A1718" s="849"/>
      <c r="B1718" s="850"/>
      <c r="C1718" s="641"/>
      <c r="D1718" s="811"/>
      <c r="E1718" s="851">
        <f>F1716/$C$12-SUMIF($L1715:$L1735,"SUBI",$E1715:$E1735)</f>
        <v>0</v>
      </c>
      <c r="F1718" s="852" t="s">
        <v>589</v>
      </c>
      <c r="G1718" s="790"/>
      <c r="H1718" s="790"/>
      <c r="I1718" s="791"/>
      <c r="J1718" s="790"/>
      <c r="K1718" s="790"/>
      <c r="L1718" s="792"/>
      <c r="M1718" s="793"/>
      <c r="N1718" s="793"/>
      <c r="O1718" s="793"/>
      <c r="P1718" s="793"/>
      <c r="Q1718" s="794"/>
      <c r="R1718" s="795"/>
      <c r="S1718" s="794"/>
      <c r="T1718" s="796"/>
    </row>
    <row r="1719" spans="1:41" s="519" customFormat="1" ht="12" customHeight="1">
      <c r="A1719" s="797"/>
      <c r="B1719" s="798"/>
      <c r="C1719" s="799"/>
      <c r="D1719" s="799" t="str">
        <f>$F$2</f>
        <v>Electrical</v>
      </c>
      <c r="E1719" s="799">
        <f>ROUND(($R1723*$S$2 + ($T1723*$T$2)), 2)</f>
        <v>0</v>
      </c>
      <c r="F1719" s="800">
        <f>$E1719*$C$12</f>
        <v>0</v>
      </c>
      <c r="G1719" s="528"/>
      <c r="H1719" s="801"/>
      <c r="I1719" s="528"/>
      <c r="J1719" s="48"/>
      <c r="K1719" s="802" t="s">
        <v>3</v>
      </c>
      <c r="L1719" s="803" t="s">
        <v>590</v>
      </c>
      <c r="M1719" s="528"/>
      <c r="N1719" s="528"/>
      <c r="O1719" s="48"/>
      <c r="P1719" s="528"/>
      <c r="Q1719" s="528"/>
      <c r="R1719"/>
      <c r="S1719"/>
      <c r="T1719"/>
    </row>
    <row r="1720" spans="1:41" s="519" customFormat="1" ht="14.4" customHeight="1">
      <c r="A1720" s="49"/>
      <c r="B1720" s="804" t="s">
        <v>591</v>
      </c>
      <c r="C1720" s="528"/>
      <c r="D1720" s="528"/>
      <c r="E1720" s="528"/>
      <c r="F1720" s="528"/>
      <c r="G1720" s="528"/>
      <c r="H1720" s="801"/>
      <c r="I1720" s="528"/>
      <c r="J1720" s="48"/>
      <c r="K1720" s="805"/>
      <c r="L1720" s="806"/>
      <c r="M1720" s="528"/>
      <c r="N1720" s="528"/>
      <c r="O1720" s="48"/>
      <c r="P1720" s="528"/>
      <c r="Q1720" s="528"/>
      <c r="R1720" s="807">
        <f>$A1720*Q1720</f>
        <v>0</v>
      </c>
      <c r="S1720" s="528"/>
      <c r="T1720" s="643">
        <f>$A1720*S1720*$T$1</f>
        <v>0</v>
      </c>
    </row>
    <row r="1721" spans="1:41" s="519" customFormat="1" ht="14.4" customHeight="1">
      <c r="A1721" s="49"/>
      <c r="B1721" s="528"/>
      <c r="C1721" s="528"/>
      <c r="D1721" s="528"/>
      <c r="E1721" s="528"/>
      <c r="F1721" s="528"/>
      <c r="G1721" s="528"/>
      <c r="H1721" s="801"/>
      <c r="I1721" s="528"/>
      <c r="J1721" s="48"/>
      <c r="K1721" s="805"/>
      <c r="L1721" s="806"/>
      <c r="M1721" s="528"/>
      <c r="N1721" s="528"/>
      <c r="O1721" s="48"/>
      <c r="P1721" s="528"/>
      <c r="Q1721" s="528"/>
      <c r="R1721" s="807">
        <f>$A1721*Q1721</f>
        <v>0</v>
      </c>
      <c r="S1721" s="528"/>
      <c r="T1721" s="643">
        <f>$A1721*S1721*$T$1</f>
        <v>0</v>
      </c>
    </row>
    <row r="1722" spans="1:41" s="519" customFormat="1" ht="14.4" customHeight="1">
      <c r="A1722" s="49"/>
      <c r="B1722" s="528"/>
      <c r="C1722" s="528"/>
      <c r="D1722" s="528"/>
      <c r="E1722" s="528"/>
      <c r="F1722" s="528"/>
      <c r="G1722" s="528"/>
      <c r="H1722" s="801"/>
      <c r="I1722" s="528"/>
      <c r="J1722" s="48"/>
      <c r="K1722" s="805"/>
      <c r="L1722" s="806"/>
      <c r="M1722" s="528"/>
      <c r="N1722" s="528"/>
      <c r="O1722" s="48"/>
      <c r="P1722" s="528"/>
      <c r="Q1722" s="528"/>
      <c r="R1722" s="807">
        <f>$A1722*Q1722</f>
        <v>0</v>
      </c>
      <c r="S1722" s="528"/>
      <c r="T1722" s="643">
        <f>$A1722*S1722*$T$1</f>
        <v>0</v>
      </c>
    </row>
    <row r="1723" spans="1:41" s="519" customFormat="1" ht="12">
      <c r="A1723" s="835" t="s">
        <v>145</v>
      </c>
      <c r="B1723" s="836">
        <f>(R1722+T1722)</f>
        <v>0</v>
      </c>
      <c r="C1723" s="790"/>
      <c r="G1723" s="810"/>
      <c r="H1723" s="810"/>
      <c r="I1723" s="810"/>
      <c r="J1723" s="810"/>
      <c r="K1723" s="811" t="s">
        <v>3</v>
      </c>
      <c r="L1723" s="812" t="s">
        <v>590</v>
      </c>
      <c r="M1723" s="810"/>
      <c r="N1723" s="810"/>
      <c r="O1723" s="810"/>
      <c r="P1723" s="810"/>
      <c r="Q1723" s="813"/>
      <c r="R1723" s="814">
        <f>SUM(R1719:R1722)</f>
        <v>0</v>
      </c>
      <c r="S1723" s="815"/>
      <c r="T1723" s="814">
        <f>SUM(T1719:T1722)</f>
        <v>0</v>
      </c>
      <c r="AG1723" s="816">
        <f>ROUND($R1723*$S$2,2)</f>
        <v>0</v>
      </c>
    </row>
    <row r="1724" spans="1:41" s="519" customFormat="1" ht="12" customHeight="1">
      <c r="A1724" s="797"/>
      <c r="B1724" s="853"/>
      <c r="C1724" s="854"/>
      <c r="D1724" s="855" t="str">
        <f>$F$3</f>
        <v>ECA</v>
      </c>
      <c r="E1724" s="855">
        <f>ROUND(($R1728*$S$3 + ($T1728*$T$3)), 2)</f>
        <v>0</v>
      </c>
      <c r="F1724" s="856">
        <f>$E1724*$C$12</f>
        <v>0</v>
      </c>
      <c r="G1724" s="518"/>
      <c r="H1724" s="518"/>
      <c r="I1724" s="518"/>
      <c r="J1724" s="518"/>
      <c r="K1724" s="802" t="s">
        <v>5</v>
      </c>
      <c r="L1724" s="803" t="s">
        <v>590</v>
      </c>
      <c r="M1724" s="518"/>
      <c r="N1724" s="518"/>
      <c r="O1724" s="518"/>
      <c r="P1724" s="518"/>
      <c r="Q1724" s="518"/>
      <c r="R1724" s="821"/>
      <c r="S1724" s="518"/>
      <c r="T1724" s="821"/>
    </row>
    <row r="1725" spans="1:41" s="834" customFormat="1" ht="15.6" customHeight="1">
      <c r="A1725" s="822"/>
      <c r="B1725" s="804" t="s">
        <v>592</v>
      </c>
      <c r="C1725" s="823"/>
      <c r="D1725" s="824"/>
      <c r="E1725" s="824"/>
      <c r="F1725" s="824"/>
      <c r="G1725" s="825"/>
      <c r="H1725" s="826"/>
      <c r="I1725" s="826"/>
      <c r="J1725" s="827"/>
      <c r="K1725" s="828"/>
      <c r="L1725" s="823"/>
      <c r="M1725" s="829"/>
      <c r="N1725" s="830"/>
      <c r="O1725" s="831"/>
      <c r="P1725" s="832"/>
      <c r="Q1725" s="833"/>
      <c r="R1725" s="807">
        <f>$A1725*Q1725</f>
        <v>0</v>
      </c>
      <c r="S1725" s="528"/>
      <c r="T1725" s="643">
        <f>$A1725*S1725*$T$1</f>
        <v>0</v>
      </c>
    </row>
    <row r="1726" spans="1:41" s="519" customFormat="1" ht="15.6" customHeight="1">
      <c r="A1726" s="49"/>
      <c r="B1726" s="528"/>
      <c r="C1726" s="528"/>
      <c r="D1726" s="528"/>
      <c r="E1726" s="528"/>
      <c r="F1726" s="528"/>
      <c r="G1726" s="528"/>
      <c r="H1726" s="528"/>
      <c r="I1726" s="528"/>
      <c r="J1726" s="528"/>
      <c r="K1726" s="528"/>
      <c r="L1726" s="806"/>
      <c r="M1726" s="528"/>
      <c r="N1726" s="528"/>
      <c r="O1726" s="528"/>
      <c r="P1726" s="528"/>
      <c r="Q1726" s="528"/>
      <c r="R1726" s="807">
        <f>$A1726*Q1726</f>
        <v>0</v>
      </c>
      <c r="S1726" s="528"/>
      <c r="T1726" s="643">
        <f>$A1726*S1726*$T$1</f>
        <v>0</v>
      </c>
    </row>
    <row r="1727" spans="1:41" s="519" customFormat="1" ht="15.6" customHeight="1">
      <c r="A1727" s="49"/>
      <c r="B1727" s="528"/>
      <c r="C1727" s="528"/>
      <c r="D1727" s="3"/>
      <c r="E1727" s="528"/>
      <c r="F1727" s="528"/>
      <c r="G1727" s="528"/>
      <c r="H1727" s="528"/>
      <c r="I1727" s="528"/>
      <c r="J1727" s="528"/>
      <c r="K1727" s="528"/>
      <c r="L1727" s="806"/>
      <c r="M1727" s="528"/>
      <c r="N1727" s="528"/>
      <c r="O1727" s="528"/>
      <c r="P1727" s="528"/>
      <c r="Q1727" s="528"/>
      <c r="R1727" s="807">
        <f>$A1727*Q1727</f>
        <v>0</v>
      </c>
      <c r="S1727" s="528"/>
      <c r="T1727" s="643">
        <f>$A1727*S1727*$T$1</f>
        <v>0</v>
      </c>
    </row>
    <row r="1728" spans="1:41" s="519" customFormat="1" ht="12">
      <c r="A1728" s="835" t="s">
        <v>145</v>
      </c>
      <c r="B1728" s="836">
        <f>(R1727+T1727)</f>
        <v>0</v>
      </c>
      <c r="C1728" s="790"/>
      <c r="G1728" s="810"/>
      <c r="H1728" s="810"/>
      <c r="I1728" s="810"/>
      <c r="J1728" s="810"/>
      <c r="K1728" s="838" t="s">
        <v>5</v>
      </c>
      <c r="L1728" s="812" t="s">
        <v>590</v>
      </c>
      <c r="M1728" s="810"/>
      <c r="N1728" s="810"/>
      <c r="O1728" s="810"/>
      <c r="P1728" s="810"/>
      <c r="Q1728" s="813"/>
      <c r="R1728" s="814">
        <f>SUM(R1724:R1727)</f>
        <v>0</v>
      </c>
      <c r="S1728" s="815"/>
      <c r="T1728" s="814">
        <f>SUM(T1724:T1727)</f>
        <v>0</v>
      </c>
      <c r="AG1728" s="840">
        <f>ROUND($R1728*$S$3,2)</f>
        <v>0</v>
      </c>
    </row>
    <row r="1729" spans="1:41" s="519" customFormat="1" ht="12" customHeight="1">
      <c r="A1729" s="817"/>
      <c r="B1729" s="857"/>
      <c r="C1729" s="858"/>
      <c r="D1729" s="859">
        <f>$F$4</f>
        <v>0</v>
      </c>
      <c r="E1729" s="859">
        <f>ROUND(($R1733*$S$4 + ($T1733*$T$4)), 2)</f>
        <v>0</v>
      </c>
      <c r="F1729" s="860">
        <f ca="1">$F1716-SUMIF($L1718:$P1726,"SUBI",$F1718:$F1726)</f>
        <v>0</v>
      </c>
      <c r="G1729" s="518"/>
      <c r="H1729" s="518"/>
      <c r="I1729" s="518"/>
      <c r="J1729" s="518"/>
      <c r="K1729" s="861" t="s">
        <v>8</v>
      </c>
      <c r="L1729" s="803" t="s">
        <v>590</v>
      </c>
      <c r="M1729" s="518"/>
      <c r="N1729" s="518"/>
      <c r="O1729" s="518"/>
      <c r="P1729" s="518"/>
      <c r="Q1729" s="518"/>
      <c r="R1729" s="821"/>
      <c r="S1729" s="518"/>
      <c r="T1729" s="821"/>
    </row>
    <row r="1730" spans="1:41" s="834" customFormat="1" ht="14.4" customHeight="1">
      <c r="A1730" s="822"/>
      <c r="B1730" s="804" t="s">
        <v>680</v>
      </c>
      <c r="C1730" s="823"/>
      <c r="D1730" s="824"/>
      <c r="E1730" s="824"/>
      <c r="F1730" s="824"/>
      <c r="G1730" s="825"/>
      <c r="H1730" s="826"/>
      <c r="I1730" s="826"/>
      <c r="J1730" s="827"/>
      <c r="K1730" s="828"/>
      <c r="L1730" s="823"/>
      <c r="M1730" s="829"/>
      <c r="N1730" s="830"/>
      <c r="O1730" s="862"/>
      <c r="P1730" s="832"/>
      <c r="Q1730" s="833"/>
      <c r="R1730" s="642">
        <f>$A1730*Q1730</f>
        <v>0</v>
      </c>
      <c r="S1730" s="833"/>
      <c r="T1730" s="643">
        <f>$A1730*S1730*$T$1</f>
        <v>0</v>
      </c>
    </row>
    <row r="1731" spans="1:41" s="519" customFormat="1" ht="12">
      <c r="A1731" s="47"/>
      <c r="B1731" s="641"/>
      <c r="C1731" s="641"/>
      <c r="D1731" s="863"/>
      <c r="E1731" s="843"/>
      <c r="F1731" s="518"/>
      <c r="G1731" s="518"/>
      <c r="H1731" s="518"/>
      <c r="I1731" s="518"/>
      <c r="J1731" s="518"/>
      <c r="K1731" s="518"/>
      <c r="L1731" s="864"/>
      <c r="M1731" s="518"/>
      <c r="N1731" s="518"/>
      <c r="O1731" s="518"/>
      <c r="P1731" s="518"/>
      <c r="Q1731" s="518"/>
      <c r="R1731" s="642">
        <f>$A1731*Q1731</f>
        <v>0</v>
      </c>
      <c r="S1731" s="518"/>
      <c r="T1731" s="643">
        <f>$A1731*S1731*$T$1</f>
        <v>0</v>
      </c>
    </row>
    <row r="1732" spans="1:41" s="519" customFormat="1" ht="12">
      <c r="A1732" s="47"/>
      <c r="B1732" s="641"/>
      <c r="C1732" s="641"/>
      <c r="D1732" s="863"/>
      <c r="E1732" s="843"/>
      <c r="F1732" s="518"/>
      <c r="G1732" s="518"/>
      <c r="H1732" s="518"/>
      <c r="I1732" s="518"/>
      <c r="J1732" s="518"/>
      <c r="K1732" s="518"/>
      <c r="L1732" s="864"/>
      <c r="M1732" s="518"/>
      <c r="N1732" s="518"/>
      <c r="O1732" s="518"/>
      <c r="P1732" s="518"/>
      <c r="Q1732" s="518"/>
      <c r="R1732" s="642">
        <f>$A1732*Q1732</f>
        <v>0</v>
      </c>
      <c r="S1732" s="518"/>
      <c r="T1732" s="643">
        <f>$A1732*S1732*$T$1</f>
        <v>0</v>
      </c>
    </row>
    <row r="1733" spans="1:41" s="519" customFormat="1" ht="12.75" customHeight="1">
      <c r="A1733" s="835" t="s">
        <v>145</v>
      </c>
      <c r="B1733" s="836">
        <f>(R1732+T1732)</f>
        <v>0</v>
      </c>
      <c r="C1733" s="837"/>
      <c r="D1733" s="837"/>
      <c r="E1733" s="837"/>
      <c r="F1733" s="837"/>
      <c r="G1733" s="813"/>
      <c r="H1733" s="813"/>
      <c r="I1733" s="813"/>
      <c r="J1733" s="813"/>
      <c r="K1733" s="838" t="s">
        <v>8</v>
      </c>
      <c r="L1733" s="839" t="s">
        <v>590</v>
      </c>
      <c r="M1733" s="813"/>
      <c r="N1733" s="813"/>
      <c r="O1733" s="813"/>
      <c r="P1733" s="813"/>
      <c r="Q1733" s="813"/>
      <c r="R1733" s="814">
        <f>SUM(R1729:R1732)</f>
        <v>0</v>
      </c>
      <c r="S1733" s="815"/>
      <c r="T1733" s="814">
        <f>SUM(T1729:T1732)</f>
        <v>0</v>
      </c>
      <c r="AG1733" s="865">
        <f>ROUND($R1733*$S$4,2)</f>
        <v>0</v>
      </c>
    </row>
    <row r="1734" spans="1:41" s="519" customFormat="1" ht="12.75" customHeight="1">
      <c r="A1734" s="841"/>
      <c r="B1734" s="842"/>
      <c r="E1734" s="641"/>
      <c r="F1734" s="843"/>
      <c r="G1734" s="641"/>
      <c r="H1734" s="641"/>
      <c r="I1734" s="518"/>
      <c r="J1734" s="641"/>
      <c r="K1734" s="641"/>
      <c r="L1734" s="844"/>
      <c r="M1734" s="652"/>
      <c r="N1734" s="652"/>
      <c r="O1734" s="652"/>
      <c r="P1734" s="652"/>
      <c r="Q1734" s="653"/>
      <c r="R1734" s="821"/>
      <c r="S1734" s="641"/>
      <c r="T1734" s="821"/>
    </row>
    <row r="1735" spans="1:41" s="519" customFormat="1" ht="13.5" customHeight="1" thickBot="1">
      <c r="A1735" s="845"/>
      <c r="B1735" s="846"/>
      <c r="C1735" s="529"/>
      <c r="D1735" s="529"/>
      <c r="E1735" s="646"/>
      <c r="F1735" s="647"/>
      <c r="G1735" s="646" t="s">
        <v>146</v>
      </c>
      <c r="H1735" s="646"/>
      <c r="I1735" s="648"/>
      <c r="J1735" s="646"/>
      <c r="K1735" s="646"/>
      <c r="L1735" s="847" t="s">
        <v>143</v>
      </c>
      <c r="M1735" s="649"/>
      <c r="N1735" s="649"/>
      <c r="O1735" s="649"/>
      <c r="P1735" s="649"/>
      <c r="Q1735" s="650"/>
      <c r="R1735" s="848">
        <f>SUMIF($L1717:$L1734,"SUBI",R1717:R1734)</f>
        <v>0</v>
      </c>
      <c r="S1735" s="866"/>
      <c r="T1735" s="848">
        <f>SUMIF($L1717:$L1734,"SUBI",T1717:T1734)</f>
        <v>0</v>
      </c>
      <c r="U1735" s="529"/>
      <c r="V1735" s="529"/>
      <c r="W1735" s="529"/>
      <c r="X1735" s="529"/>
      <c r="Y1735" s="529"/>
      <c r="Z1735" s="529"/>
      <c r="AA1735" s="529"/>
      <c r="AB1735" s="529"/>
      <c r="AC1735" s="529"/>
      <c r="AD1735" s="529"/>
      <c r="AE1735" s="529"/>
      <c r="AF1735" s="529"/>
      <c r="AG1735" s="529"/>
      <c r="AH1735" s="529"/>
      <c r="AI1735" s="529"/>
      <c r="AJ1735" s="529"/>
      <c r="AK1735" s="529"/>
      <c r="AL1735" s="529"/>
      <c r="AM1735" s="529"/>
      <c r="AN1735" s="529"/>
      <c r="AO1735" s="529"/>
    </row>
    <row r="1736" spans="1:41" s="519" customFormat="1" thickTop="1">
      <c r="A1736" s="47"/>
      <c r="B1736" s="40"/>
      <c r="C1736" s="47"/>
      <c r="E1736" s="41" t="s">
        <v>138</v>
      </c>
      <c r="F1736" s="41" t="s">
        <v>139</v>
      </c>
      <c r="G1736" s="47"/>
      <c r="H1736" s="47"/>
      <c r="I1736" s="47"/>
      <c r="J1736" s="47"/>
      <c r="K1736" s="47" t="s">
        <v>140</v>
      </c>
      <c r="L1736" s="774"/>
      <c r="M1736" s="47"/>
      <c r="N1736" s="47"/>
      <c r="O1736" s="48"/>
      <c r="P1736" s="47"/>
      <c r="Q1736"/>
      <c r="R1736"/>
      <c r="S1736"/>
      <c r="T1736" s="40"/>
      <c r="AG1736" s="627" t="s">
        <v>277</v>
      </c>
      <c r="AH1736" s="627" t="s">
        <v>278</v>
      </c>
      <c r="AI1736" s="627" t="s">
        <v>279</v>
      </c>
      <c r="AJ1736" s="627" t="s">
        <v>280</v>
      </c>
      <c r="AK1736" s="627" t="s">
        <v>281</v>
      </c>
      <c r="AM1736" s="628" t="s">
        <v>290</v>
      </c>
      <c r="AN1736" s="629" t="s">
        <v>291</v>
      </c>
      <c r="AO1736" s="520" t="s">
        <v>287</v>
      </c>
    </row>
    <row r="1737" spans="1:41" s="519" customFormat="1" ht="13.2">
      <c r="A1737" s="630">
        <v>1</v>
      </c>
      <c r="B1737" s="521" t="s">
        <v>312</v>
      </c>
      <c r="C1737" s="631"/>
      <c r="D1737" s="632" t="s">
        <v>711</v>
      </c>
      <c r="E1737" s="775">
        <f>IF(AND($A1737=0,$A$1="DIF"),0,ROUND(ROUND(SUMIF($L1739:$L1750,"SUBI",$E1739:$E1750)/$A1737,2)*$C$12,2))</f>
        <v>0</v>
      </c>
      <c r="F1737" s="776">
        <f>ROUND($A1737*$E1737,2)</f>
        <v>0</v>
      </c>
      <c r="G1737" s="635" t="s">
        <v>142</v>
      </c>
      <c r="H1737" s="636"/>
      <c r="I1737" s="637"/>
      <c r="J1737" s="636"/>
      <c r="K1737" s="777"/>
      <c r="L1737" s="778" t="s">
        <v>143</v>
      </c>
      <c r="M1737" s="638"/>
      <c r="N1737" s="638"/>
      <c r="O1737" s="638"/>
      <c r="P1737" s="638"/>
      <c r="Q1737" s="967" t="s">
        <v>867</v>
      </c>
      <c r="R1737"/>
      <c r="S1737"/>
      <c r="T1737" s="779" t="str">
        <f>IF(AND($R1756=0,$T1756=0),"0.00","mu :" &amp; ROUND($F1737/$C$12/($R1756+$T1756*$D$9),2))</f>
        <v>0.00</v>
      </c>
      <c r="W1737" s="522"/>
      <c r="AG1737" s="780">
        <f>IF(A1737=0,0,ROUND(SUM(AG1739:AG1756)/A1737,2))</f>
        <v>0</v>
      </c>
      <c r="AH1737" s="780">
        <f>$AG1737*$A1737</f>
        <v>0</v>
      </c>
      <c r="AI1737" s="780">
        <f>$E1737-$AG1737</f>
        <v>0</v>
      </c>
      <c r="AJ1737" s="780">
        <f>$A1737*$AI1737</f>
        <v>0</v>
      </c>
      <c r="AK1737" s="781">
        <f>ROUND(($AG1737+$AI1737)*$A1737,2)</f>
        <v>0</v>
      </c>
      <c r="AM1737" s="525">
        <f>ROUND(R1756,2)</f>
        <v>0</v>
      </c>
      <c r="AN1737" s="526">
        <f>ROUND(T1756,2)</f>
        <v>0</v>
      </c>
      <c r="AO1737" s="527">
        <f>ROUND(AM1737+AN1737,2)*A1737</f>
        <v>0</v>
      </c>
    </row>
    <row r="1738" spans="1:41" s="519" customFormat="1" ht="21.6" customHeight="1">
      <c r="A1738" s="782"/>
      <c r="B1738" s="783"/>
      <c r="C1738" s="631"/>
      <c r="D1738" s="784" t="s">
        <v>531</v>
      </c>
      <c r="F1738" s="636"/>
      <c r="G1738" s="636"/>
      <c r="H1738" s="636"/>
      <c r="I1738" s="637"/>
      <c r="J1738" s="636"/>
      <c r="K1738" s="636" t="s">
        <v>144</v>
      </c>
      <c r="L1738" s="785"/>
      <c r="M1738" s="636"/>
      <c r="N1738" s="636"/>
      <c r="O1738" s="636"/>
      <c r="P1738" s="636"/>
      <c r="Q1738" s="47"/>
      <c r="R1738" s="528"/>
      <c r="S1738" s="640"/>
      <c r="T1738" s="636"/>
    </row>
    <row r="1739" spans="1:41" s="519" customFormat="1" ht="12">
      <c r="A1739" s="849"/>
      <c r="B1739" s="850"/>
      <c r="C1739" s="641"/>
      <c r="D1739" s="811"/>
      <c r="E1739" s="851">
        <f>F1737/$C$12-SUMIF($L1736:$L1756,"SUBI",$E1736:$E1756)</f>
        <v>0</v>
      </c>
      <c r="F1739" s="852" t="s">
        <v>589</v>
      </c>
      <c r="G1739" s="790"/>
      <c r="H1739" s="790"/>
      <c r="I1739" s="791"/>
      <c r="J1739" s="790"/>
      <c r="K1739" s="790"/>
      <c r="L1739" s="792"/>
      <c r="M1739" s="793"/>
      <c r="N1739" s="793"/>
      <c r="O1739" s="793"/>
      <c r="P1739" s="793"/>
      <c r="Q1739" s="794"/>
      <c r="R1739" s="795"/>
      <c r="S1739" s="794"/>
      <c r="T1739" s="796"/>
    </row>
    <row r="1740" spans="1:41" s="519" customFormat="1" ht="12" customHeight="1">
      <c r="A1740" s="797"/>
      <c r="B1740" s="798"/>
      <c r="C1740" s="799"/>
      <c r="D1740" s="799" t="str">
        <f>$F$2</f>
        <v>Electrical</v>
      </c>
      <c r="E1740" s="799">
        <f>ROUND(($R1744*$S$2 + ($T1744*$T$2)), 2)</f>
        <v>0</v>
      </c>
      <c r="F1740" s="800">
        <f>$E1740*$C$12</f>
        <v>0</v>
      </c>
      <c r="G1740" s="528"/>
      <c r="H1740" s="801"/>
      <c r="I1740" s="528"/>
      <c r="J1740" s="48"/>
      <c r="K1740" s="802" t="s">
        <v>3</v>
      </c>
      <c r="L1740" s="803" t="s">
        <v>590</v>
      </c>
      <c r="M1740" s="528"/>
      <c r="N1740" s="528"/>
      <c r="O1740" s="48"/>
      <c r="P1740" s="528"/>
      <c r="Q1740" s="528"/>
      <c r="R1740"/>
      <c r="S1740"/>
      <c r="T1740"/>
    </row>
    <row r="1741" spans="1:41" s="519" customFormat="1" ht="14.4" customHeight="1">
      <c r="A1741" s="49"/>
      <c r="B1741" s="804" t="s">
        <v>591</v>
      </c>
      <c r="C1741" s="528"/>
      <c r="D1741" s="528"/>
      <c r="E1741" s="528"/>
      <c r="F1741" s="528"/>
      <c r="G1741" s="528"/>
      <c r="H1741" s="801"/>
      <c r="I1741" s="528"/>
      <c r="J1741" s="48"/>
      <c r="K1741" s="805"/>
      <c r="L1741" s="806"/>
      <c r="M1741" s="528"/>
      <c r="N1741" s="528"/>
      <c r="O1741" s="48"/>
      <c r="P1741" s="528"/>
      <c r="Q1741" s="528"/>
      <c r="R1741" s="807">
        <f>$A1741*Q1741</f>
        <v>0</v>
      </c>
      <c r="S1741" s="528"/>
      <c r="T1741" s="643">
        <f>$A1741*S1741*$T$1</f>
        <v>0</v>
      </c>
    </row>
    <row r="1742" spans="1:41" s="519" customFormat="1" ht="14.4" customHeight="1">
      <c r="A1742" s="49"/>
      <c r="B1742" s="528"/>
      <c r="C1742" s="528"/>
      <c r="D1742" s="528"/>
      <c r="E1742" s="528"/>
      <c r="F1742" s="528"/>
      <c r="G1742" s="528"/>
      <c r="H1742" s="801"/>
      <c r="I1742" s="528"/>
      <c r="J1742" s="48"/>
      <c r="K1742" s="805"/>
      <c r="L1742" s="806"/>
      <c r="M1742" s="528"/>
      <c r="N1742" s="528"/>
      <c r="O1742" s="48"/>
      <c r="P1742" s="528"/>
      <c r="Q1742" s="528"/>
      <c r="R1742" s="807">
        <f>$A1742*Q1742</f>
        <v>0</v>
      </c>
      <c r="S1742" s="528"/>
      <c r="T1742" s="643">
        <f>$A1742*S1742*$T$1</f>
        <v>0</v>
      </c>
    </row>
    <row r="1743" spans="1:41" s="519" customFormat="1" ht="14.4" customHeight="1">
      <c r="A1743" s="49"/>
      <c r="B1743" s="528"/>
      <c r="C1743" s="528"/>
      <c r="D1743" s="528"/>
      <c r="E1743" s="528"/>
      <c r="F1743" s="528"/>
      <c r="G1743" s="528"/>
      <c r="H1743" s="801"/>
      <c r="I1743" s="528"/>
      <c r="J1743" s="48"/>
      <c r="K1743" s="805"/>
      <c r="L1743" s="806"/>
      <c r="M1743" s="528"/>
      <c r="N1743" s="528"/>
      <c r="O1743" s="48"/>
      <c r="P1743" s="528"/>
      <c r="Q1743" s="528"/>
      <c r="R1743" s="807">
        <f>$A1743*Q1743</f>
        <v>0</v>
      </c>
      <c r="S1743" s="528"/>
      <c r="T1743" s="643">
        <f>$A1743*S1743*$T$1</f>
        <v>0</v>
      </c>
    </row>
    <row r="1744" spans="1:41" s="519" customFormat="1" ht="12">
      <c r="A1744" s="835" t="s">
        <v>145</v>
      </c>
      <c r="B1744" s="836">
        <f>(R1743+T1743)</f>
        <v>0</v>
      </c>
      <c r="C1744" s="790"/>
      <c r="G1744" s="810"/>
      <c r="H1744" s="810"/>
      <c r="I1744" s="810"/>
      <c r="J1744" s="810"/>
      <c r="K1744" s="811" t="s">
        <v>3</v>
      </c>
      <c r="L1744" s="812" t="s">
        <v>590</v>
      </c>
      <c r="M1744" s="810"/>
      <c r="N1744" s="810"/>
      <c r="O1744" s="810"/>
      <c r="P1744" s="810"/>
      <c r="Q1744" s="813"/>
      <c r="R1744" s="814">
        <f>SUM(R1740:R1743)</f>
        <v>0</v>
      </c>
      <c r="S1744" s="815"/>
      <c r="T1744" s="814">
        <f>SUM(T1740:T1743)</f>
        <v>0</v>
      </c>
      <c r="AG1744" s="816">
        <f>ROUND($R1744*$S$2,2)</f>
        <v>0</v>
      </c>
    </row>
    <row r="1745" spans="1:41" s="519" customFormat="1" ht="12" customHeight="1">
      <c r="A1745" s="797"/>
      <c r="B1745" s="853"/>
      <c r="C1745" s="854"/>
      <c r="D1745" s="855" t="str">
        <f>$F$3</f>
        <v>ECA</v>
      </c>
      <c r="E1745" s="855">
        <f>ROUND(($R1749*$S$3 + ($T1749*$T$3)), 2)</f>
        <v>0</v>
      </c>
      <c r="F1745" s="856">
        <f>$E1745*$C$12</f>
        <v>0</v>
      </c>
      <c r="G1745" s="518"/>
      <c r="H1745" s="518"/>
      <c r="I1745" s="518"/>
      <c r="J1745" s="518"/>
      <c r="K1745" s="802" t="s">
        <v>5</v>
      </c>
      <c r="L1745" s="803" t="s">
        <v>590</v>
      </c>
      <c r="M1745" s="518"/>
      <c r="N1745" s="518"/>
      <c r="O1745" s="518"/>
      <c r="P1745" s="518"/>
      <c r="Q1745" s="518"/>
      <c r="R1745" s="821"/>
      <c r="S1745" s="518"/>
      <c r="T1745" s="821"/>
    </row>
    <row r="1746" spans="1:41" s="834" customFormat="1" ht="15.6" customHeight="1">
      <c r="A1746" s="822"/>
      <c r="B1746" s="804" t="s">
        <v>592</v>
      </c>
      <c r="C1746" s="823"/>
      <c r="D1746" s="824"/>
      <c r="E1746" s="824"/>
      <c r="F1746" s="824"/>
      <c r="G1746" s="825"/>
      <c r="H1746" s="826"/>
      <c r="I1746" s="826"/>
      <c r="J1746" s="827"/>
      <c r="K1746" s="828"/>
      <c r="L1746" s="823"/>
      <c r="M1746" s="829"/>
      <c r="N1746" s="830"/>
      <c r="O1746" s="831"/>
      <c r="P1746" s="832"/>
      <c r="Q1746" s="833"/>
      <c r="R1746" s="807">
        <f>$A1746*Q1746</f>
        <v>0</v>
      </c>
      <c r="S1746" s="528"/>
      <c r="T1746" s="643">
        <f>$A1746*S1746*$T$1</f>
        <v>0</v>
      </c>
    </row>
    <row r="1747" spans="1:41" s="519" customFormat="1" ht="15.6" customHeight="1">
      <c r="A1747" s="49"/>
      <c r="B1747" s="528"/>
      <c r="C1747" s="528"/>
      <c r="D1747" s="528"/>
      <c r="E1747" s="528"/>
      <c r="F1747" s="528"/>
      <c r="G1747" s="528"/>
      <c r="H1747" s="528"/>
      <c r="I1747" s="528"/>
      <c r="J1747" s="528"/>
      <c r="K1747" s="528"/>
      <c r="L1747" s="806"/>
      <c r="M1747" s="528"/>
      <c r="N1747" s="528"/>
      <c r="O1747" s="528"/>
      <c r="P1747" s="528"/>
      <c r="Q1747" s="528"/>
      <c r="R1747" s="807">
        <f>$A1747*Q1747</f>
        <v>0</v>
      </c>
      <c r="S1747" s="528"/>
      <c r="T1747" s="643">
        <f>$A1747*S1747*$T$1</f>
        <v>0</v>
      </c>
    </row>
    <row r="1748" spans="1:41" s="519" customFormat="1" ht="15.6" customHeight="1">
      <c r="A1748" s="49"/>
      <c r="B1748" s="528"/>
      <c r="C1748" s="528"/>
      <c r="D1748" s="3"/>
      <c r="E1748" s="528"/>
      <c r="F1748" s="528"/>
      <c r="G1748" s="528"/>
      <c r="H1748" s="528"/>
      <c r="I1748" s="528"/>
      <c r="J1748" s="528"/>
      <c r="K1748" s="528"/>
      <c r="L1748" s="806"/>
      <c r="M1748" s="528"/>
      <c r="N1748" s="528"/>
      <c r="O1748" s="528"/>
      <c r="P1748" s="528"/>
      <c r="Q1748" s="528"/>
      <c r="R1748" s="807">
        <f>$A1748*Q1748</f>
        <v>0</v>
      </c>
      <c r="S1748" s="528"/>
      <c r="T1748" s="643">
        <f>$A1748*S1748*$T$1</f>
        <v>0</v>
      </c>
    </row>
    <row r="1749" spans="1:41" s="519" customFormat="1" ht="12">
      <c r="A1749" s="835" t="s">
        <v>145</v>
      </c>
      <c r="B1749" s="836">
        <f>(R1748+T1748)</f>
        <v>0</v>
      </c>
      <c r="C1749" s="790"/>
      <c r="G1749" s="810"/>
      <c r="H1749" s="810"/>
      <c r="I1749" s="810"/>
      <c r="J1749" s="810"/>
      <c r="K1749" s="838" t="s">
        <v>5</v>
      </c>
      <c r="L1749" s="812" t="s">
        <v>590</v>
      </c>
      <c r="M1749" s="810"/>
      <c r="N1749" s="810"/>
      <c r="O1749" s="810"/>
      <c r="P1749" s="810"/>
      <c r="Q1749" s="813"/>
      <c r="R1749" s="814">
        <f>SUM(R1745:R1748)</f>
        <v>0</v>
      </c>
      <c r="S1749" s="815"/>
      <c r="T1749" s="814">
        <f>SUM(T1745:T1748)</f>
        <v>0</v>
      </c>
      <c r="AG1749" s="840">
        <f>ROUND($R1749*$S$3,2)</f>
        <v>0</v>
      </c>
    </row>
    <row r="1750" spans="1:41" s="519" customFormat="1" ht="12" customHeight="1">
      <c r="A1750" s="817"/>
      <c r="B1750" s="857"/>
      <c r="C1750" s="858"/>
      <c r="D1750" s="859">
        <f>$F$4</f>
        <v>0</v>
      </c>
      <c r="E1750" s="859">
        <f>ROUND(($R1754*$S$4 + ($T1754*$T$4)), 2)</f>
        <v>0</v>
      </c>
      <c r="F1750" s="860">
        <f ca="1">$F1737-SUMIF($L1739:$P1747,"SUBI",$F1739:$F1747)</f>
        <v>0</v>
      </c>
      <c r="G1750" s="518"/>
      <c r="H1750" s="518"/>
      <c r="I1750" s="518"/>
      <c r="J1750" s="518"/>
      <c r="K1750" s="861" t="s">
        <v>8</v>
      </c>
      <c r="L1750" s="803" t="s">
        <v>590</v>
      </c>
      <c r="M1750" s="518"/>
      <c r="N1750" s="518"/>
      <c r="O1750" s="518"/>
      <c r="P1750" s="518"/>
      <c r="Q1750" s="518"/>
      <c r="R1750" s="821"/>
      <c r="S1750" s="518"/>
      <c r="T1750" s="821"/>
    </row>
    <row r="1751" spans="1:41" s="834" customFormat="1" ht="14.4" customHeight="1">
      <c r="A1751" s="822"/>
      <c r="B1751" s="804" t="s">
        <v>680</v>
      </c>
      <c r="C1751" s="823"/>
      <c r="D1751" s="824"/>
      <c r="E1751" s="824"/>
      <c r="F1751" s="824"/>
      <c r="G1751" s="825"/>
      <c r="H1751" s="826"/>
      <c r="I1751" s="826"/>
      <c r="J1751" s="827"/>
      <c r="K1751" s="828"/>
      <c r="L1751" s="823"/>
      <c r="M1751" s="829"/>
      <c r="N1751" s="830"/>
      <c r="O1751" s="862"/>
      <c r="P1751" s="832"/>
      <c r="Q1751" s="833"/>
      <c r="R1751" s="642">
        <f>$A1751*Q1751</f>
        <v>0</v>
      </c>
      <c r="S1751" s="833"/>
      <c r="T1751" s="643">
        <f>$A1751*S1751*$T$1</f>
        <v>0</v>
      </c>
    </row>
    <row r="1752" spans="1:41" s="519" customFormat="1" ht="12">
      <c r="A1752" s="47"/>
      <c r="B1752" s="641"/>
      <c r="C1752" s="641"/>
      <c r="D1752" s="863"/>
      <c r="E1752" s="843"/>
      <c r="F1752" s="518"/>
      <c r="G1752" s="518"/>
      <c r="H1752" s="518"/>
      <c r="I1752" s="518"/>
      <c r="J1752" s="518"/>
      <c r="K1752" s="518"/>
      <c r="L1752" s="864"/>
      <c r="M1752" s="518"/>
      <c r="N1752" s="518"/>
      <c r="O1752" s="518"/>
      <c r="P1752" s="518"/>
      <c r="Q1752" s="518"/>
      <c r="R1752" s="642">
        <f>$A1752*Q1752</f>
        <v>0</v>
      </c>
      <c r="S1752" s="518"/>
      <c r="T1752" s="643">
        <f>$A1752*S1752*$T$1</f>
        <v>0</v>
      </c>
    </row>
    <row r="1753" spans="1:41" s="519" customFormat="1" ht="12">
      <c r="A1753" s="47"/>
      <c r="B1753" s="641"/>
      <c r="C1753" s="641"/>
      <c r="D1753" s="863"/>
      <c r="E1753" s="843"/>
      <c r="F1753" s="518"/>
      <c r="G1753" s="518"/>
      <c r="H1753" s="518"/>
      <c r="I1753" s="518"/>
      <c r="J1753" s="518"/>
      <c r="K1753" s="518"/>
      <c r="L1753" s="864"/>
      <c r="M1753" s="518"/>
      <c r="N1753" s="518"/>
      <c r="O1753" s="518"/>
      <c r="P1753" s="518"/>
      <c r="Q1753" s="518"/>
      <c r="R1753" s="642">
        <f>$A1753*Q1753</f>
        <v>0</v>
      </c>
      <c r="S1753" s="518"/>
      <c r="T1753" s="643">
        <f>$A1753*S1753*$T$1</f>
        <v>0</v>
      </c>
    </row>
    <row r="1754" spans="1:41" s="519" customFormat="1" ht="12.75" customHeight="1">
      <c r="A1754" s="835" t="s">
        <v>145</v>
      </c>
      <c r="B1754" s="836">
        <f>(R1753+T1753)</f>
        <v>0</v>
      </c>
      <c r="C1754" s="837"/>
      <c r="D1754" s="837"/>
      <c r="E1754" s="837"/>
      <c r="F1754" s="837"/>
      <c r="G1754" s="813"/>
      <c r="H1754" s="813"/>
      <c r="I1754" s="813"/>
      <c r="J1754" s="813"/>
      <c r="K1754" s="838" t="s">
        <v>8</v>
      </c>
      <c r="L1754" s="839" t="s">
        <v>590</v>
      </c>
      <c r="M1754" s="813"/>
      <c r="N1754" s="813"/>
      <c r="O1754" s="813"/>
      <c r="P1754" s="813"/>
      <c r="Q1754" s="813"/>
      <c r="R1754" s="814">
        <f>SUM(R1750:R1753)</f>
        <v>0</v>
      </c>
      <c r="S1754" s="815"/>
      <c r="T1754" s="814">
        <f>SUM(T1750:T1753)</f>
        <v>0</v>
      </c>
      <c r="AG1754" s="865">
        <f>ROUND($R1754*$S$4,2)</f>
        <v>0</v>
      </c>
    </row>
    <row r="1755" spans="1:41" s="519" customFormat="1" ht="12.75" customHeight="1">
      <c r="A1755" s="841"/>
      <c r="B1755" s="842"/>
      <c r="E1755" s="641"/>
      <c r="F1755" s="843"/>
      <c r="G1755" s="641"/>
      <c r="H1755" s="641"/>
      <c r="I1755" s="518"/>
      <c r="J1755" s="641"/>
      <c r="K1755" s="641"/>
      <c r="L1755" s="844"/>
      <c r="M1755" s="652"/>
      <c r="N1755" s="652"/>
      <c r="O1755" s="652"/>
      <c r="P1755" s="652"/>
      <c r="Q1755" s="653"/>
      <c r="R1755" s="821"/>
      <c r="S1755" s="641"/>
      <c r="T1755" s="821"/>
    </row>
    <row r="1756" spans="1:41" s="519" customFormat="1" ht="13.5" customHeight="1" thickBot="1">
      <c r="A1756" s="845"/>
      <c r="B1756" s="846"/>
      <c r="C1756" s="529"/>
      <c r="D1756" s="529"/>
      <c r="E1756" s="646"/>
      <c r="F1756" s="647"/>
      <c r="G1756" s="646" t="s">
        <v>146</v>
      </c>
      <c r="H1756" s="646"/>
      <c r="I1756" s="648"/>
      <c r="J1756" s="646"/>
      <c r="K1756" s="646"/>
      <c r="L1756" s="847" t="s">
        <v>143</v>
      </c>
      <c r="M1756" s="649"/>
      <c r="N1756" s="649"/>
      <c r="O1756" s="649"/>
      <c r="P1756" s="649"/>
      <c r="Q1756" s="650"/>
      <c r="R1756" s="848">
        <f>SUMIF($L1738:$L1755,"SUBI",R1738:R1755)</f>
        <v>0</v>
      </c>
      <c r="S1756" s="866"/>
      <c r="T1756" s="848">
        <f>SUMIF($L1738:$L1755,"SUBI",T1738:T1755)</f>
        <v>0</v>
      </c>
      <c r="U1756" s="529"/>
      <c r="V1756" s="529"/>
      <c r="W1756" s="529"/>
      <c r="X1756" s="529"/>
      <c r="Y1756" s="529"/>
      <c r="Z1756" s="529"/>
      <c r="AA1756" s="529"/>
      <c r="AB1756" s="529"/>
      <c r="AC1756" s="529"/>
      <c r="AD1756" s="529"/>
      <c r="AE1756" s="529"/>
      <c r="AF1756" s="529"/>
      <c r="AG1756" s="529"/>
      <c r="AH1756" s="529"/>
      <c r="AI1756" s="529"/>
      <c r="AJ1756" s="529"/>
      <c r="AK1756" s="529"/>
      <c r="AL1756" s="529"/>
      <c r="AM1756" s="529"/>
      <c r="AN1756" s="529"/>
      <c r="AO1756" s="529"/>
    </row>
    <row r="1757" spans="1:41" s="519" customFormat="1" thickTop="1">
      <c r="A1757" s="47"/>
      <c r="B1757" s="40"/>
      <c r="C1757" s="47"/>
      <c r="E1757" s="41" t="s">
        <v>138</v>
      </c>
      <c r="F1757" s="41" t="s">
        <v>139</v>
      </c>
      <c r="G1757" s="47"/>
      <c r="H1757" s="47"/>
      <c r="I1757" s="47"/>
      <c r="J1757" s="47"/>
      <c r="K1757" s="47" t="s">
        <v>140</v>
      </c>
      <c r="L1757" s="774"/>
      <c r="M1757" s="47"/>
      <c r="N1757" s="47"/>
      <c r="O1757" s="48"/>
      <c r="P1757" s="47"/>
      <c r="Q1757"/>
      <c r="R1757"/>
      <c r="S1757"/>
      <c r="T1757" s="40"/>
      <c r="AG1757" s="627" t="s">
        <v>277</v>
      </c>
      <c r="AH1757" s="627" t="s">
        <v>278</v>
      </c>
      <c r="AI1757" s="627" t="s">
        <v>279</v>
      </c>
      <c r="AJ1757" s="627" t="s">
        <v>280</v>
      </c>
      <c r="AK1757" s="627" t="s">
        <v>281</v>
      </c>
      <c r="AM1757" s="628" t="s">
        <v>290</v>
      </c>
      <c r="AN1757" s="629" t="s">
        <v>291</v>
      </c>
      <c r="AO1757" s="520" t="s">
        <v>287</v>
      </c>
    </row>
    <row r="1758" spans="1:41" s="519" customFormat="1" ht="13.2">
      <c r="A1758" s="630">
        <v>2</v>
      </c>
      <c r="B1758" s="521" t="s">
        <v>312</v>
      </c>
      <c r="C1758" s="631"/>
      <c r="D1758" s="632" t="s">
        <v>712</v>
      </c>
      <c r="E1758" s="775">
        <f>IF(AND($A1758=0,$A$1="DIF"),0,ROUND(ROUND(SUMIF($L1760:$L1771,"SUBI",$E1760:$E1771)/$A1758,2)*$C$12,2))</f>
        <v>0</v>
      </c>
      <c r="F1758" s="776">
        <f>ROUND($A1758*$E1758,2)</f>
        <v>0</v>
      </c>
      <c r="G1758" s="635" t="s">
        <v>142</v>
      </c>
      <c r="H1758" s="636"/>
      <c r="I1758" s="637"/>
      <c r="J1758" s="636"/>
      <c r="K1758" s="777"/>
      <c r="L1758" s="778" t="s">
        <v>143</v>
      </c>
      <c r="M1758" s="638"/>
      <c r="N1758" s="638"/>
      <c r="O1758" s="638"/>
      <c r="P1758" s="638"/>
      <c r="Q1758" s="967" t="s">
        <v>867</v>
      </c>
      <c r="R1758"/>
      <c r="S1758"/>
      <c r="T1758" s="779" t="str">
        <f>IF(AND($R1777=0,$T1777=0),"0.00","mu :" &amp; ROUND($F1758/$C$12/($R1777+$T1777*$D$9),2))</f>
        <v>0.00</v>
      </c>
      <c r="W1758" s="522"/>
      <c r="AG1758" s="780">
        <f>IF(A1758=0,0,ROUND(SUM(AG1760:AG1777)/A1758,2))</f>
        <v>0</v>
      </c>
      <c r="AH1758" s="780">
        <f>$AG1758*$A1758</f>
        <v>0</v>
      </c>
      <c r="AI1758" s="780">
        <f>$E1758-$AG1758</f>
        <v>0</v>
      </c>
      <c r="AJ1758" s="780">
        <f>$A1758*$AI1758</f>
        <v>0</v>
      </c>
      <c r="AK1758" s="781">
        <f>ROUND(($AG1758+$AI1758)*$A1758,2)</f>
        <v>0</v>
      </c>
      <c r="AM1758" s="525">
        <f>ROUND(R1777,2)</f>
        <v>0</v>
      </c>
      <c r="AN1758" s="526">
        <f>ROUND(T1777,2)</f>
        <v>0</v>
      </c>
      <c r="AO1758" s="527">
        <f>ROUND(AM1758+AN1758,2)*A1758</f>
        <v>0</v>
      </c>
    </row>
    <row r="1759" spans="1:41" s="519" customFormat="1" ht="21.6" customHeight="1">
      <c r="A1759" s="782"/>
      <c r="B1759" s="783"/>
      <c r="C1759" s="631"/>
      <c r="D1759" s="784" t="s">
        <v>550</v>
      </c>
      <c r="F1759" s="636"/>
      <c r="G1759" s="636"/>
      <c r="H1759" s="636"/>
      <c r="I1759" s="637"/>
      <c r="J1759" s="636"/>
      <c r="K1759" s="636" t="s">
        <v>144</v>
      </c>
      <c r="L1759" s="785"/>
      <c r="M1759" s="636"/>
      <c r="N1759" s="636"/>
      <c r="O1759" s="636"/>
      <c r="P1759" s="636"/>
      <c r="Q1759" s="47"/>
      <c r="R1759" s="528"/>
      <c r="S1759" s="640"/>
      <c r="T1759" s="636"/>
    </row>
    <row r="1760" spans="1:41" s="519" customFormat="1" ht="12">
      <c r="A1760" s="849"/>
      <c r="B1760" s="850"/>
      <c r="C1760" s="641"/>
      <c r="D1760" s="811"/>
      <c r="E1760" s="851">
        <f>F1758/$C$12-SUMIF($L1757:$L1777,"SUBI",$E1757:$E1777)</f>
        <v>0</v>
      </c>
      <c r="F1760" s="852" t="s">
        <v>589</v>
      </c>
      <c r="G1760" s="790"/>
      <c r="H1760" s="790"/>
      <c r="I1760" s="791"/>
      <c r="J1760" s="790"/>
      <c r="K1760" s="790"/>
      <c r="L1760" s="792"/>
      <c r="M1760" s="793"/>
      <c r="N1760" s="793"/>
      <c r="O1760" s="793"/>
      <c r="P1760" s="793"/>
      <c r="Q1760" s="794"/>
      <c r="R1760" s="795"/>
      <c r="S1760" s="794"/>
      <c r="T1760" s="796"/>
    </row>
    <row r="1761" spans="1:33" s="519" customFormat="1" ht="12" customHeight="1">
      <c r="A1761" s="797"/>
      <c r="B1761" s="798"/>
      <c r="C1761" s="799"/>
      <c r="D1761" s="799" t="str">
        <f>$F$2</f>
        <v>Electrical</v>
      </c>
      <c r="E1761" s="799">
        <f>ROUND(($R1765*$S$2 + ($T1765*$T$2)), 2)</f>
        <v>0</v>
      </c>
      <c r="F1761" s="800">
        <f>$E1761*$C$12</f>
        <v>0</v>
      </c>
      <c r="G1761" s="528"/>
      <c r="H1761" s="801"/>
      <c r="I1761" s="528"/>
      <c r="J1761" s="48"/>
      <c r="K1761" s="802" t="s">
        <v>3</v>
      </c>
      <c r="L1761" s="803" t="s">
        <v>590</v>
      </c>
      <c r="M1761" s="528"/>
      <c r="N1761" s="528"/>
      <c r="O1761" s="48"/>
      <c r="P1761" s="528"/>
      <c r="Q1761" s="528"/>
      <c r="R1761"/>
      <c r="S1761"/>
      <c r="T1761"/>
    </row>
    <row r="1762" spans="1:33" s="519" customFormat="1" ht="14.4" customHeight="1">
      <c r="A1762" s="49"/>
      <c r="B1762" s="804" t="s">
        <v>591</v>
      </c>
      <c r="C1762" s="528"/>
      <c r="D1762" s="528"/>
      <c r="E1762" s="528"/>
      <c r="F1762" s="528"/>
      <c r="G1762" s="528"/>
      <c r="H1762" s="801"/>
      <c r="I1762" s="528"/>
      <c r="J1762" s="48"/>
      <c r="K1762" s="805"/>
      <c r="L1762" s="806"/>
      <c r="M1762" s="528"/>
      <c r="N1762" s="528"/>
      <c r="O1762" s="48"/>
      <c r="P1762" s="528"/>
      <c r="Q1762" s="528"/>
      <c r="R1762" s="807">
        <f>$A1762*Q1762</f>
        <v>0</v>
      </c>
      <c r="S1762" s="528"/>
      <c r="T1762" s="643">
        <f>$A1762*S1762*$T$1</f>
        <v>0</v>
      </c>
    </row>
    <row r="1763" spans="1:33" s="519" customFormat="1" ht="14.4" customHeight="1">
      <c r="A1763" s="49"/>
      <c r="B1763" s="528"/>
      <c r="C1763" s="528"/>
      <c r="D1763" s="528"/>
      <c r="E1763" s="528"/>
      <c r="F1763" s="528"/>
      <c r="G1763" s="528"/>
      <c r="H1763" s="801"/>
      <c r="I1763" s="528"/>
      <c r="J1763" s="48"/>
      <c r="K1763" s="805"/>
      <c r="L1763" s="806"/>
      <c r="M1763" s="528"/>
      <c r="N1763" s="528"/>
      <c r="O1763" s="48"/>
      <c r="P1763" s="528"/>
      <c r="Q1763" s="528"/>
      <c r="R1763" s="807">
        <f>$A1763*Q1763</f>
        <v>0</v>
      </c>
      <c r="S1763" s="528"/>
      <c r="T1763" s="643">
        <f>$A1763*S1763*$T$1</f>
        <v>0</v>
      </c>
    </row>
    <row r="1764" spans="1:33" s="519" customFormat="1" ht="14.4" customHeight="1">
      <c r="A1764" s="49"/>
      <c r="B1764" s="528"/>
      <c r="C1764" s="528"/>
      <c r="D1764" s="528"/>
      <c r="E1764" s="528"/>
      <c r="F1764" s="528"/>
      <c r="G1764" s="528"/>
      <c r="H1764" s="801"/>
      <c r="I1764" s="528"/>
      <c r="J1764" s="48"/>
      <c r="K1764" s="805"/>
      <c r="L1764" s="806"/>
      <c r="M1764" s="528"/>
      <c r="N1764" s="528"/>
      <c r="O1764" s="48"/>
      <c r="P1764" s="528"/>
      <c r="Q1764" s="528"/>
      <c r="R1764" s="807">
        <f>$A1764*Q1764</f>
        <v>0</v>
      </c>
      <c r="S1764" s="528"/>
      <c r="T1764" s="643">
        <f>$A1764*S1764*$T$1</f>
        <v>0</v>
      </c>
    </row>
    <row r="1765" spans="1:33" s="519" customFormat="1" ht="12">
      <c r="A1765" s="835" t="s">
        <v>145</v>
      </c>
      <c r="B1765" s="836">
        <f>(R1764+T1764)</f>
        <v>0</v>
      </c>
      <c r="C1765" s="790"/>
      <c r="G1765" s="810"/>
      <c r="H1765" s="810"/>
      <c r="I1765" s="810"/>
      <c r="J1765" s="810"/>
      <c r="K1765" s="811" t="s">
        <v>3</v>
      </c>
      <c r="L1765" s="812" t="s">
        <v>590</v>
      </c>
      <c r="M1765" s="810"/>
      <c r="N1765" s="810"/>
      <c r="O1765" s="810"/>
      <c r="P1765" s="810"/>
      <c r="Q1765" s="813"/>
      <c r="R1765" s="814">
        <f>SUM(R1761:R1764)</f>
        <v>0</v>
      </c>
      <c r="S1765" s="815"/>
      <c r="T1765" s="814">
        <f>SUM(T1761:T1764)</f>
        <v>0</v>
      </c>
      <c r="AG1765" s="816">
        <f>ROUND($R1765*$S$2,2)</f>
        <v>0</v>
      </c>
    </row>
    <row r="1766" spans="1:33" s="519" customFormat="1" ht="12" customHeight="1">
      <c r="A1766" s="797"/>
      <c r="B1766" s="853"/>
      <c r="C1766" s="854"/>
      <c r="D1766" s="855" t="str">
        <f>$F$3</f>
        <v>ECA</v>
      </c>
      <c r="E1766" s="855">
        <f>ROUND(($R1770*$S$3 + ($T1770*$T$3)), 2)</f>
        <v>0</v>
      </c>
      <c r="F1766" s="856">
        <f>$E1766*$C$12</f>
        <v>0</v>
      </c>
      <c r="G1766" s="518"/>
      <c r="H1766" s="518"/>
      <c r="I1766" s="518"/>
      <c r="J1766" s="518"/>
      <c r="K1766" s="802" t="s">
        <v>5</v>
      </c>
      <c r="L1766" s="803" t="s">
        <v>590</v>
      </c>
      <c r="M1766" s="518"/>
      <c r="N1766" s="518"/>
      <c r="O1766" s="518"/>
      <c r="P1766" s="518"/>
      <c r="Q1766" s="518"/>
      <c r="R1766" s="821"/>
      <c r="S1766" s="518"/>
      <c r="T1766" s="821"/>
    </row>
    <row r="1767" spans="1:33" s="834" customFormat="1" ht="15.6" customHeight="1">
      <c r="A1767" s="822"/>
      <c r="B1767" s="804" t="s">
        <v>592</v>
      </c>
      <c r="C1767" s="823"/>
      <c r="D1767" s="824"/>
      <c r="E1767" s="824"/>
      <c r="F1767" s="824"/>
      <c r="G1767" s="825"/>
      <c r="H1767" s="826"/>
      <c r="I1767" s="826"/>
      <c r="J1767" s="827"/>
      <c r="K1767" s="828"/>
      <c r="L1767" s="823"/>
      <c r="M1767" s="829"/>
      <c r="N1767" s="830"/>
      <c r="O1767" s="831"/>
      <c r="P1767" s="832"/>
      <c r="Q1767" s="833"/>
      <c r="R1767" s="807">
        <f>$A1767*Q1767</f>
        <v>0</v>
      </c>
      <c r="S1767" s="528"/>
      <c r="T1767" s="643">
        <f>$A1767*S1767*$T$1</f>
        <v>0</v>
      </c>
    </row>
    <row r="1768" spans="1:33" s="519" customFormat="1" ht="15.6" customHeight="1">
      <c r="A1768" s="49"/>
      <c r="B1768" s="528"/>
      <c r="C1768" s="528"/>
      <c r="D1768" s="528"/>
      <c r="E1768" s="528"/>
      <c r="F1768" s="528"/>
      <c r="G1768" s="528"/>
      <c r="H1768" s="528"/>
      <c r="I1768" s="528"/>
      <c r="J1768" s="528"/>
      <c r="K1768" s="528"/>
      <c r="L1768" s="806"/>
      <c r="M1768" s="528"/>
      <c r="N1768" s="528"/>
      <c r="O1768" s="528"/>
      <c r="P1768" s="528"/>
      <c r="Q1768" s="528"/>
      <c r="R1768" s="807">
        <f>$A1768*Q1768</f>
        <v>0</v>
      </c>
      <c r="S1768" s="528"/>
      <c r="T1768" s="643">
        <f>$A1768*S1768*$T$1</f>
        <v>0</v>
      </c>
    </row>
    <row r="1769" spans="1:33" s="519" customFormat="1" ht="15.6" customHeight="1">
      <c r="A1769" s="49"/>
      <c r="B1769" s="528"/>
      <c r="C1769" s="528"/>
      <c r="D1769" s="3"/>
      <c r="E1769" s="528"/>
      <c r="F1769" s="528"/>
      <c r="G1769" s="528"/>
      <c r="H1769" s="528"/>
      <c r="I1769" s="528"/>
      <c r="J1769" s="528"/>
      <c r="K1769" s="528"/>
      <c r="L1769" s="806"/>
      <c r="M1769" s="528"/>
      <c r="N1769" s="528"/>
      <c r="O1769" s="528"/>
      <c r="P1769" s="528"/>
      <c r="Q1769" s="528"/>
      <c r="R1769" s="807">
        <f>$A1769*Q1769</f>
        <v>0</v>
      </c>
      <c r="S1769" s="528"/>
      <c r="T1769" s="643">
        <f>$A1769*S1769*$T$1</f>
        <v>0</v>
      </c>
    </row>
    <row r="1770" spans="1:33" s="519" customFormat="1" ht="12">
      <c r="A1770" s="835" t="s">
        <v>145</v>
      </c>
      <c r="B1770" s="836">
        <f>(R1769+T1769)</f>
        <v>0</v>
      </c>
      <c r="C1770" s="790"/>
      <c r="G1770" s="810"/>
      <c r="H1770" s="810"/>
      <c r="I1770" s="810"/>
      <c r="J1770" s="810"/>
      <c r="K1770" s="838" t="s">
        <v>5</v>
      </c>
      <c r="L1770" s="812" t="s">
        <v>590</v>
      </c>
      <c r="M1770" s="810"/>
      <c r="N1770" s="810"/>
      <c r="O1770" s="810"/>
      <c r="P1770" s="810"/>
      <c r="Q1770" s="813"/>
      <c r="R1770" s="814">
        <f>SUM(R1766:R1769)</f>
        <v>0</v>
      </c>
      <c r="S1770" s="815"/>
      <c r="T1770" s="814">
        <f>SUM(T1766:T1769)</f>
        <v>0</v>
      </c>
      <c r="AG1770" s="840">
        <f>ROUND($R1770*$S$3,2)</f>
        <v>0</v>
      </c>
    </row>
    <row r="1771" spans="1:33" s="519" customFormat="1" ht="12" customHeight="1">
      <c r="A1771" s="817"/>
      <c r="B1771" s="857"/>
      <c r="C1771" s="858"/>
      <c r="D1771" s="859">
        <f>$F$4</f>
        <v>0</v>
      </c>
      <c r="E1771" s="859">
        <f>ROUND(($R1775*$S$4 + ($T1775*$T$4)), 2)</f>
        <v>0</v>
      </c>
      <c r="F1771" s="860">
        <f ca="1">$F1758-SUMIF($L1760:$P1768,"SUBI",$F1760:$F1768)</f>
        <v>0</v>
      </c>
      <c r="G1771" s="518"/>
      <c r="H1771" s="518"/>
      <c r="I1771" s="518"/>
      <c r="J1771" s="518"/>
      <c r="K1771" s="861" t="s">
        <v>8</v>
      </c>
      <c r="L1771" s="803" t="s">
        <v>590</v>
      </c>
      <c r="M1771" s="518"/>
      <c r="N1771" s="518"/>
      <c r="O1771" s="518"/>
      <c r="P1771" s="518"/>
      <c r="Q1771" s="518"/>
      <c r="R1771" s="821"/>
      <c r="S1771" s="518"/>
      <c r="T1771" s="821"/>
    </row>
    <row r="1772" spans="1:33" s="834" customFormat="1" ht="14.4" customHeight="1">
      <c r="A1772" s="822"/>
      <c r="B1772" s="804" t="s">
        <v>680</v>
      </c>
      <c r="C1772" s="823"/>
      <c r="D1772" s="824"/>
      <c r="E1772" s="824"/>
      <c r="F1772" s="824"/>
      <c r="G1772" s="825"/>
      <c r="H1772" s="826"/>
      <c r="I1772" s="826"/>
      <c r="J1772" s="827"/>
      <c r="K1772" s="828"/>
      <c r="L1772" s="823"/>
      <c r="M1772" s="829"/>
      <c r="N1772" s="830"/>
      <c r="O1772" s="862"/>
      <c r="P1772" s="832"/>
      <c r="Q1772" s="833"/>
      <c r="R1772" s="642">
        <f>$A1772*Q1772</f>
        <v>0</v>
      </c>
      <c r="S1772" s="833"/>
      <c r="T1772" s="643">
        <f>$A1772*S1772*$T$1</f>
        <v>0</v>
      </c>
    </row>
    <row r="1773" spans="1:33" s="519" customFormat="1" ht="12">
      <c r="A1773" s="47"/>
      <c r="B1773" s="641"/>
      <c r="C1773" s="641"/>
      <c r="D1773" s="863"/>
      <c r="E1773" s="843"/>
      <c r="F1773" s="518"/>
      <c r="G1773" s="518"/>
      <c r="H1773" s="518"/>
      <c r="I1773" s="518"/>
      <c r="J1773" s="518"/>
      <c r="K1773" s="518"/>
      <c r="L1773" s="864"/>
      <c r="M1773" s="518"/>
      <c r="N1773" s="518"/>
      <c r="O1773" s="518"/>
      <c r="P1773" s="518"/>
      <c r="Q1773" s="518"/>
      <c r="R1773" s="642">
        <f>$A1773*Q1773</f>
        <v>0</v>
      </c>
      <c r="S1773" s="518"/>
      <c r="T1773" s="643">
        <f>$A1773*S1773*$T$1</f>
        <v>0</v>
      </c>
    </row>
    <row r="1774" spans="1:33" s="519" customFormat="1" ht="12">
      <c r="A1774" s="47"/>
      <c r="B1774" s="641"/>
      <c r="C1774" s="641"/>
      <c r="D1774" s="863"/>
      <c r="E1774" s="843"/>
      <c r="F1774" s="518"/>
      <c r="G1774" s="518"/>
      <c r="H1774" s="518"/>
      <c r="I1774" s="518"/>
      <c r="J1774" s="518"/>
      <c r="K1774" s="518"/>
      <c r="L1774" s="864"/>
      <c r="M1774" s="518"/>
      <c r="N1774" s="518"/>
      <c r="O1774" s="518"/>
      <c r="P1774" s="518"/>
      <c r="Q1774" s="518"/>
      <c r="R1774" s="642">
        <f>$A1774*Q1774</f>
        <v>0</v>
      </c>
      <c r="S1774" s="518"/>
      <c r="T1774" s="643">
        <f>$A1774*S1774*$T$1</f>
        <v>0</v>
      </c>
    </row>
    <row r="1775" spans="1:33" s="519" customFormat="1" ht="12.75" customHeight="1">
      <c r="A1775" s="835" t="s">
        <v>145</v>
      </c>
      <c r="B1775" s="836">
        <f>(R1774+T1774)</f>
        <v>0</v>
      </c>
      <c r="C1775" s="837"/>
      <c r="D1775" s="837"/>
      <c r="E1775" s="837"/>
      <c r="F1775" s="837"/>
      <c r="G1775" s="813"/>
      <c r="H1775" s="813"/>
      <c r="I1775" s="813"/>
      <c r="J1775" s="813"/>
      <c r="K1775" s="838" t="s">
        <v>8</v>
      </c>
      <c r="L1775" s="839" t="s">
        <v>590</v>
      </c>
      <c r="M1775" s="813"/>
      <c r="N1775" s="813"/>
      <c r="O1775" s="813"/>
      <c r="P1775" s="813"/>
      <c r="Q1775" s="813"/>
      <c r="R1775" s="814">
        <f>SUM(R1771:R1774)</f>
        <v>0</v>
      </c>
      <c r="S1775" s="815"/>
      <c r="T1775" s="814">
        <f>SUM(T1771:T1774)</f>
        <v>0</v>
      </c>
      <c r="AG1775" s="865">
        <f>ROUND($R1775*$S$4,2)</f>
        <v>0</v>
      </c>
    </row>
    <row r="1776" spans="1:33" s="519" customFormat="1" ht="12.75" customHeight="1">
      <c r="A1776" s="841"/>
      <c r="B1776" s="842"/>
      <c r="E1776" s="641"/>
      <c r="F1776" s="843"/>
      <c r="G1776" s="641"/>
      <c r="H1776" s="641"/>
      <c r="I1776" s="518"/>
      <c r="J1776" s="641"/>
      <c r="K1776" s="641"/>
      <c r="L1776" s="844"/>
      <c r="M1776" s="652"/>
      <c r="N1776" s="652"/>
      <c r="O1776" s="652"/>
      <c r="P1776" s="652"/>
      <c r="Q1776" s="653"/>
      <c r="R1776" s="821"/>
      <c r="S1776" s="641"/>
      <c r="T1776" s="821"/>
    </row>
    <row r="1777" spans="1:41" s="519" customFormat="1" ht="13.5" customHeight="1" thickBot="1">
      <c r="A1777" s="845"/>
      <c r="B1777" s="846"/>
      <c r="C1777" s="529"/>
      <c r="D1777" s="529"/>
      <c r="E1777" s="646"/>
      <c r="F1777" s="647"/>
      <c r="G1777" s="646" t="s">
        <v>146</v>
      </c>
      <c r="H1777" s="646"/>
      <c r="I1777" s="648"/>
      <c r="J1777" s="646"/>
      <c r="K1777" s="646"/>
      <c r="L1777" s="847" t="s">
        <v>143</v>
      </c>
      <c r="M1777" s="649"/>
      <c r="N1777" s="649"/>
      <c r="O1777" s="649"/>
      <c r="P1777" s="649"/>
      <c r="Q1777" s="650"/>
      <c r="R1777" s="848">
        <f>SUMIF($L1759:$L1776,"SUBI",R1759:R1776)</f>
        <v>0</v>
      </c>
      <c r="S1777" s="866"/>
      <c r="T1777" s="848">
        <f>SUMIF($L1759:$L1776,"SUBI",T1759:T1776)</f>
        <v>0</v>
      </c>
      <c r="U1777" s="529"/>
      <c r="V1777" s="529"/>
      <c r="W1777" s="529"/>
      <c r="X1777" s="529"/>
      <c r="Y1777" s="529"/>
      <c r="Z1777" s="529"/>
      <c r="AA1777" s="529"/>
      <c r="AB1777" s="529"/>
      <c r="AC1777" s="529"/>
      <c r="AD1777" s="529"/>
      <c r="AE1777" s="529"/>
      <c r="AF1777" s="529"/>
      <c r="AG1777" s="529"/>
      <c r="AH1777" s="529"/>
      <c r="AI1777" s="529"/>
      <c r="AJ1777" s="529"/>
      <c r="AK1777" s="529"/>
      <c r="AL1777" s="529"/>
      <c r="AM1777" s="529"/>
      <c r="AN1777" s="529"/>
      <c r="AO1777" s="529"/>
    </row>
    <row r="1778" spans="1:41" s="519" customFormat="1" thickTop="1">
      <c r="A1778" s="47"/>
      <c r="B1778" s="40"/>
      <c r="C1778" s="47"/>
      <c r="E1778" s="41" t="s">
        <v>138</v>
      </c>
      <c r="F1778" s="41" t="s">
        <v>139</v>
      </c>
      <c r="G1778" s="47"/>
      <c r="H1778" s="47"/>
      <c r="I1778" s="47"/>
      <c r="J1778" s="47"/>
      <c r="K1778" s="47" t="s">
        <v>140</v>
      </c>
      <c r="L1778" s="774"/>
      <c r="M1778" s="47"/>
      <c r="N1778" s="47"/>
      <c r="O1778" s="48"/>
      <c r="P1778" s="47"/>
      <c r="Q1778"/>
      <c r="R1778"/>
      <c r="S1778"/>
      <c r="T1778" s="40"/>
      <c r="AG1778" s="627" t="s">
        <v>277</v>
      </c>
      <c r="AH1778" s="627" t="s">
        <v>278</v>
      </c>
      <c r="AI1778" s="627" t="s">
        <v>279</v>
      </c>
      <c r="AJ1778" s="627" t="s">
        <v>280</v>
      </c>
      <c r="AK1778" s="627" t="s">
        <v>281</v>
      </c>
      <c r="AM1778" s="628" t="s">
        <v>290</v>
      </c>
      <c r="AN1778" s="629" t="s">
        <v>291</v>
      </c>
      <c r="AO1778" s="520" t="s">
        <v>287</v>
      </c>
    </row>
    <row r="1779" spans="1:41" s="519" customFormat="1" ht="13.2">
      <c r="A1779" s="630">
        <v>11</v>
      </c>
      <c r="B1779" s="521" t="s">
        <v>312</v>
      </c>
      <c r="C1779" s="631"/>
      <c r="D1779" s="632" t="s">
        <v>713</v>
      </c>
      <c r="E1779" s="775">
        <f ca="1">IF(AND($A1779=0,$A$1="DIF"),0,ROUND(ROUND(SUMIF($L1781:$L1792,"SUBI",$E1781:$E1792)/$A1779,2)*$C$12,2))</f>
        <v>41.96</v>
      </c>
      <c r="F1779" s="776">
        <f ca="1">ROUND($A1779*$E1779,2)</f>
        <v>461.56</v>
      </c>
      <c r="G1779" s="635" t="s">
        <v>142</v>
      </c>
      <c r="H1779" s="636"/>
      <c r="I1779" s="637"/>
      <c r="J1779" s="636"/>
      <c r="K1779" s="777"/>
      <c r="L1779" s="778" t="s">
        <v>143</v>
      </c>
      <c r="M1779" s="638"/>
      <c r="N1779" s="638"/>
      <c r="O1779" s="638"/>
      <c r="P1779" s="638"/>
      <c r="Q1779"/>
      <c r="R1779"/>
      <c r="S1779"/>
      <c r="T1779" s="779" t="str">
        <f ca="1">IF(AND($R1798=0,$T1798=0),"0.00","mu :" &amp; ROUND($F1779/$C$12/($R1798+$T1798*$D$9),2))</f>
        <v>mu :1</v>
      </c>
      <c r="W1779" s="522"/>
      <c r="AG1779" s="780">
        <f ca="1">IF(A1779=0,0,ROUND(SUM(AG1781:AG1798)/A1779,2))</f>
        <v>12.3</v>
      </c>
      <c r="AH1779" s="780">
        <f ca="1">$AG1779*$A1779</f>
        <v>135.30000000000001</v>
      </c>
      <c r="AI1779" s="780">
        <f ca="1">$E1779-$AG1779</f>
        <v>29.66</v>
      </c>
      <c r="AJ1779" s="780">
        <f ca="1">$A1779*$AI1779</f>
        <v>326.26</v>
      </c>
      <c r="AK1779" s="781">
        <f ca="1">ROUND(($AG1779+$AI1779)*$A1779,2)</f>
        <v>461.56</v>
      </c>
      <c r="AM1779" s="525">
        <f ca="1">ROUND(R1798,2)</f>
        <v>135.30000000000001</v>
      </c>
      <c r="AN1779" s="526">
        <f ca="1">ROUND(T1798,2)</f>
        <v>11.88</v>
      </c>
      <c r="AO1779" s="527">
        <f ca="1">ROUND(AM1779+AN1779,2)*A1779</f>
        <v>1618.98</v>
      </c>
    </row>
    <row r="1780" spans="1:41" s="519" customFormat="1" ht="21.6" customHeight="1">
      <c r="A1780" s="782"/>
      <c r="B1780" s="783"/>
      <c r="C1780" s="631"/>
      <c r="D1780" s="784" t="s">
        <v>534</v>
      </c>
      <c r="F1780" s="636"/>
      <c r="G1780" s="636"/>
      <c r="H1780" s="636"/>
      <c r="I1780" s="637"/>
      <c r="J1780" s="636"/>
      <c r="K1780" s="636" t="s">
        <v>144</v>
      </c>
      <c r="L1780" s="785"/>
      <c r="M1780" s="636"/>
      <c r="N1780" s="636"/>
      <c r="O1780" s="636"/>
      <c r="P1780" s="636"/>
      <c r="Q1780" s="47"/>
      <c r="R1780" s="528"/>
      <c r="S1780" s="640"/>
      <c r="T1780" s="636"/>
    </row>
    <row r="1781" spans="1:41" s="519" customFormat="1" ht="12">
      <c r="A1781" s="849"/>
      <c r="B1781" s="850"/>
      <c r="C1781" s="641"/>
      <c r="D1781" s="811"/>
      <c r="E1781" s="851">
        <f ca="1">F1779/$C$12-SUMIF($L1778:$L1798,"SUBI",$E1778:$E1798)</f>
        <v>4.0000000000020464E-2</v>
      </c>
      <c r="F1781" s="852" t="s">
        <v>589</v>
      </c>
      <c r="G1781" s="790"/>
      <c r="H1781" s="790"/>
      <c r="I1781" s="791"/>
      <c r="J1781" s="790"/>
      <c r="K1781" s="790"/>
      <c r="L1781" s="792"/>
      <c r="M1781" s="793"/>
      <c r="N1781" s="793"/>
      <c r="O1781" s="793"/>
      <c r="P1781" s="793"/>
      <c r="Q1781" s="794"/>
      <c r="R1781" s="795"/>
      <c r="S1781" s="794"/>
      <c r="T1781" s="796"/>
    </row>
    <row r="1782" spans="1:41" s="519" customFormat="1" ht="12" customHeight="1">
      <c r="A1782" s="797"/>
      <c r="B1782" s="798"/>
      <c r="C1782" s="799"/>
      <c r="D1782" s="799" t="str">
        <f>$F$2</f>
        <v>Electrical</v>
      </c>
      <c r="E1782" s="799">
        <f ca="1">ROUND(($R1786*$S$2 + ($T1786*$T$2)), 2)</f>
        <v>461.52</v>
      </c>
      <c r="F1782" s="800">
        <f ca="1">$E1782*$C$12</f>
        <v>461.52</v>
      </c>
      <c r="G1782" s="528"/>
      <c r="H1782" s="801"/>
      <c r="I1782" s="528"/>
      <c r="J1782" s="48"/>
      <c r="K1782" s="802" t="s">
        <v>3</v>
      </c>
      <c r="L1782" s="803" t="s">
        <v>590</v>
      </c>
      <c r="M1782" s="528"/>
      <c r="N1782" s="528"/>
      <c r="O1782" s="48"/>
      <c r="P1782" s="528"/>
      <c r="Q1782" s="528"/>
      <c r="R1782"/>
      <c r="S1782"/>
      <c r="T1782"/>
    </row>
    <row r="1783" spans="1:41" s="956" customFormat="1" ht="13.2">
      <c r="A1783"/>
      <c r="B1783" s="948"/>
      <c r="C1783" s="948" t="s">
        <v>742</v>
      </c>
      <c r="D1783" s="948" t="str">
        <f ca="1">CELL("Address",Elec_Rates!D$138)</f>
        <v>[ELM25_0085_Quintano_Elec_Mech_HVAC_Est_Rev_B.xlsx]Elec_Rates!$D$138</v>
      </c>
      <c r="E1783" s="949"/>
      <c r="F1783" s="949"/>
      <c r="G1783" s="950" t="s">
        <v>743</v>
      </c>
      <c r="H1783" s="950"/>
      <c r="I1783" s="950"/>
      <c r="J1783" s="950"/>
      <c r="K1783" s="951"/>
      <c r="L1783" s="949"/>
      <c r="M1783" s="949"/>
      <c r="N1783" s="949"/>
      <c r="O1783" s="952"/>
      <c r="P1783" s="949"/>
      <c r="Q1783" s="953"/>
      <c r="R1783" s="954"/>
      <c r="S1783" s="953"/>
      <c r="T1783" s="943"/>
      <c r="U1783" s="955"/>
    </row>
    <row r="1784" spans="1:41" s="956" customFormat="1" ht="11.4">
      <c r="A1784" s="957">
        <v>11</v>
      </c>
      <c r="B1784" s="958">
        <v>1</v>
      </c>
      <c r="C1784" s="958">
        <f>$A1784*$B1784</f>
        <v>11</v>
      </c>
      <c r="D1784" s="959" t="str">
        <f>Elec_Rates!$D$138</f>
        <v>000# Empty conduit for thermostat</v>
      </c>
      <c r="E1784" s="959"/>
      <c r="F1784" s="959" t="s">
        <v>744</v>
      </c>
      <c r="G1784" s="960" t="s">
        <v>760</v>
      </c>
      <c r="H1784" s="960"/>
      <c r="I1784" s="960"/>
      <c r="J1784" s="960"/>
      <c r="K1784" s="961"/>
      <c r="L1784" s="955"/>
      <c r="M1784" s="955"/>
      <c r="N1784" s="955"/>
      <c r="O1784" s="962"/>
      <c r="P1784" s="959"/>
      <c r="Q1784" s="963">
        <f ca="1">$B1784*Elec_Rates!$R$138</f>
        <v>12.3</v>
      </c>
      <c r="R1784" s="954">
        <f ca="1">$A1784*Q1784</f>
        <v>135.30000000000001</v>
      </c>
      <c r="S1784" s="963">
        <f ca="1">$B1784*Elec_Rates!$T$138</f>
        <v>1.08</v>
      </c>
      <c r="T1784" s="943">
        <f ca="1">$A1784*S1784</f>
        <v>11.88</v>
      </c>
      <c r="U1784" s="501"/>
    </row>
    <row r="1785" spans="1:41" s="519" customFormat="1" ht="14.4" customHeight="1">
      <c r="A1785" s="49"/>
      <c r="B1785" s="528"/>
      <c r="C1785" s="528"/>
      <c r="D1785" s="528"/>
      <c r="E1785" s="528"/>
      <c r="F1785" s="528"/>
      <c r="G1785" s="528"/>
      <c r="H1785" s="801"/>
      <c r="I1785" s="528"/>
      <c r="J1785" s="48"/>
      <c r="K1785" s="805"/>
      <c r="L1785" s="806"/>
      <c r="M1785" s="528"/>
      <c r="N1785" s="528"/>
      <c r="O1785" s="48"/>
      <c r="P1785" s="528"/>
      <c r="Q1785" s="528"/>
      <c r="R1785" s="807">
        <f>$A1785*Q1785</f>
        <v>0</v>
      </c>
      <c r="S1785" s="528"/>
      <c r="T1785" s="643">
        <f>$A1785*S1785*$T$1</f>
        <v>0</v>
      </c>
    </row>
    <row r="1786" spans="1:41" s="519" customFormat="1" ht="12">
      <c r="A1786" s="835" t="s">
        <v>145</v>
      </c>
      <c r="B1786" s="836">
        <f>(R1785+T1785)</f>
        <v>0</v>
      </c>
      <c r="C1786" s="790"/>
      <c r="G1786" s="810"/>
      <c r="H1786" s="810"/>
      <c r="I1786" s="810"/>
      <c r="J1786" s="810"/>
      <c r="K1786" s="811" t="s">
        <v>3</v>
      </c>
      <c r="L1786" s="812" t="s">
        <v>590</v>
      </c>
      <c r="M1786" s="810"/>
      <c r="N1786" s="810"/>
      <c r="O1786" s="810"/>
      <c r="P1786" s="810"/>
      <c r="Q1786" s="813"/>
      <c r="R1786" s="814">
        <f ca="1">SUM(R1782:R1785)</f>
        <v>135.30000000000001</v>
      </c>
      <c r="S1786" s="815"/>
      <c r="T1786" s="814">
        <f ca="1">SUM(T1782:T1785)</f>
        <v>11.88</v>
      </c>
      <c r="AG1786" s="816">
        <f ca="1">ROUND($R1786*$S$2,2)</f>
        <v>135.30000000000001</v>
      </c>
    </row>
    <row r="1787" spans="1:41" s="519" customFormat="1" ht="12" customHeight="1">
      <c r="A1787" s="797"/>
      <c r="B1787" s="853"/>
      <c r="C1787" s="854"/>
      <c r="D1787" s="855" t="str">
        <f>$F$3</f>
        <v>ECA</v>
      </c>
      <c r="E1787" s="855">
        <f>ROUND(($R1791*$S$3 + ($T1791*$T$3)), 2)</f>
        <v>0</v>
      </c>
      <c r="F1787" s="856">
        <f>$E1787*$C$12</f>
        <v>0</v>
      </c>
      <c r="G1787" s="518"/>
      <c r="H1787" s="518"/>
      <c r="I1787" s="518"/>
      <c r="J1787" s="518"/>
      <c r="K1787" s="802" t="s">
        <v>5</v>
      </c>
      <c r="L1787" s="803" t="s">
        <v>590</v>
      </c>
      <c r="M1787" s="518"/>
      <c r="N1787" s="518"/>
      <c r="O1787" s="518"/>
      <c r="P1787" s="518"/>
      <c r="Q1787" s="518"/>
      <c r="R1787" s="821"/>
      <c r="S1787" s="518"/>
      <c r="T1787" s="821"/>
    </row>
    <row r="1788" spans="1:41" s="834" customFormat="1" ht="15.6" customHeight="1">
      <c r="A1788" s="822"/>
      <c r="B1788" s="804" t="s">
        <v>592</v>
      </c>
      <c r="C1788" s="823"/>
      <c r="D1788" s="824"/>
      <c r="E1788" s="824"/>
      <c r="F1788" s="824"/>
      <c r="G1788" s="825"/>
      <c r="H1788" s="826"/>
      <c r="I1788" s="826"/>
      <c r="J1788" s="827"/>
      <c r="K1788" s="828"/>
      <c r="L1788" s="823"/>
      <c r="M1788" s="829"/>
      <c r="N1788" s="830"/>
      <c r="O1788" s="831"/>
      <c r="P1788" s="832"/>
      <c r="Q1788" s="833"/>
      <c r="R1788" s="807">
        <f>$A1788*Q1788</f>
        <v>0</v>
      </c>
      <c r="S1788" s="528"/>
      <c r="T1788" s="643">
        <f>$A1788*S1788*$T$1</f>
        <v>0</v>
      </c>
    </row>
    <row r="1789" spans="1:41" s="519" customFormat="1" ht="15.6" customHeight="1">
      <c r="A1789" s="49"/>
      <c r="B1789" s="528"/>
      <c r="C1789" s="528"/>
      <c r="D1789" s="528"/>
      <c r="E1789" s="528"/>
      <c r="F1789" s="528"/>
      <c r="G1789" s="528"/>
      <c r="H1789" s="528"/>
      <c r="I1789" s="528"/>
      <c r="J1789" s="528"/>
      <c r="K1789" s="528"/>
      <c r="L1789" s="806"/>
      <c r="M1789" s="528"/>
      <c r="N1789" s="528"/>
      <c r="O1789" s="528"/>
      <c r="P1789" s="528"/>
      <c r="Q1789" s="528"/>
      <c r="R1789" s="807">
        <f>$A1789*Q1789</f>
        <v>0</v>
      </c>
      <c r="S1789" s="528"/>
      <c r="T1789" s="643">
        <f>$A1789*S1789*$T$1</f>
        <v>0</v>
      </c>
    </row>
    <row r="1790" spans="1:41" s="519" customFormat="1" ht="15.6" customHeight="1">
      <c r="A1790" s="49"/>
      <c r="B1790" s="528"/>
      <c r="C1790" s="528"/>
      <c r="D1790" s="3"/>
      <c r="E1790" s="528"/>
      <c r="F1790" s="528"/>
      <c r="G1790" s="528"/>
      <c r="H1790" s="528"/>
      <c r="I1790" s="528"/>
      <c r="J1790" s="528"/>
      <c r="K1790" s="528"/>
      <c r="L1790" s="806"/>
      <c r="M1790" s="528"/>
      <c r="N1790" s="528"/>
      <c r="O1790" s="528"/>
      <c r="P1790" s="528"/>
      <c r="Q1790" s="528"/>
      <c r="R1790" s="807">
        <f>$A1790*Q1790</f>
        <v>0</v>
      </c>
      <c r="S1790" s="528"/>
      <c r="T1790" s="643">
        <f>$A1790*S1790*$T$1</f>
        <v>0</v>
      </c>
    </row>
    <row r="1791" spans="1:41" s="519" customFormat="1" ht="12">
      <c r="A1791" s="835" t="s">
        <v>145</v>
      </c>
      <c r="B1791" s="836">
        <f>(R1790+T1790)</f>
        <v>0</v>
      </c>
      <c r="C1791" s="790"/>
      <c r="G1791" s="810"/>
      <c r="H1791" s="810"/>
      <c r="I1791" s="810"/>
      <c r="J1791" s="810"/>
      <c r="K1791" s="838" t="s">
        <v>5</v>
      </c>
      <c r="L1791" s="812" t="s">
        <v>590</v>
      </c>
      <c r="M1791" s="810"/>
      <c r="N1791" s="810"/>
      <c r="O1791" s="810"/>
      <c r="P1791" s="810"/>
      <c r="Q1791" s="813"/>
      <c r="R1791" s="814">
        <f>SUM(R1787:R1790)</f>
        <v>0</v>
      </c>
      <c r="S1791" s="815"/>
      <c r="T1791" s="814">
        <f>SUM(T1787:T1790)</f>
        <v>0</v>
      </c>
      <c r="AG1791" s="840">
        <f>ROUND($R1791*$S$3,2)</f>
        <v>0</v>
      </c>
    </row>
    <row r="1792" spans="1:41" s="519" customFormat="1" ht="12" customHeight="1">
      <c r="A1792" s="817"/>
      <c r="B1792" s="857"/>
      <c r="C1792" s="858"/>
      <c r="D1792" s="859">
        <f>$F$4</f>
        <v>0</v>
      </c>
      <c r="E1792" s="859">
        <f>ROUND(($R1796*$S$4 + ($T1796*$T$4)), 2)</f>
        <v>0</v>
      </c>
      <c r="F1792" s="860">
        <f ca="1">$F1779-SUMIF($L1781:$P1789,"SUBI",$F1781:$F1789)</f>
        <v>4.0000000000020464E-2</v>
      </c>
      <c r="G1792" s="518"/>
      <c r="H1792" s="518"/>
      <c r="I1792" s="518"/>
      <c r="J1792" s="518"/>
      <c r="K1792" s="861" t="s">
        <v>8</v>
      </c>
      <c r="L1792" s="803" t="s">
        <v>590</v>
      </c>
      <c r="M1792" s="518"/>
      <c r="N1792" s="518"/>
      <c r="O1792" s="518"/>
      <c r="P1792" s="518"/>
      <c r="Q1792" s="518"/>
      <c r="R1792" s="821"/>
      <c r="S1792" s="518"/>
      <c r="T1792" s="821"/>
    </row>
    <row r="1793" spans="1:41" s="834" customFormat="1" ht="14.4" customHeight="1">
      <c r="A1793" s="822"/>
      <c r="B1793" s="804" t="s">
        <v>680</v>
      </c>
      <c r="C1793" s="823"/>
      <c r="D1793" s="824"/>
      <c r="E1793" s="824"/>
      <c r="F1793" s="824"/>
      <c r="G1793" s="825"/>
      <c r="H1793" s="826"/>
      <c r="I1793" s="826"/>
      <c r="J1793" s="827"/>
      <c r="K1793" s="828"/>
      <c r="L1793" s="823"/>
      <c r="M1793" s="829"/>
      <c r="N1793" s="830"/>
      <c r="O1793" s="862"/>
      <c r="P1793" s="832"/>
      <c r="Q1793" s="833"/>
      <c r="R1793" s="642">
        <f>$A1793*Q1793</f>
        <v>0</v>
      </c>
      <c r="S1793" s="833"/>
      <c r="T1793" s="643">
        <f>$A1793*S1793*$T$1</f>
        <v>0</v>
      </c>
    </row>
    <row r="1794" spans="1:41" s="519" customFormat="1" ht="12">
      <c r="A1794" s="47"/>
      <c r="B1794" s="641"/>
      <c r="C1794" s="641"/>
      <c r="D1794" s="863"/>
      <c r="E1794" s="843"/>
      <c r="F1794" s="518"/>
      <c r="G1794" s="518"/>
      <c r="H1794" s="518"/>
      <c r="I1794" s="518"/>
      <c r="J1794" s="518"/>
      <c r="K1794" s="518"/>
      <c r="L1794" s="864"/>
      <c r="M1794" s="518"/>
      <c r="N1794" s="518"/>
      <c r="O1794" s="518"/>
      <c r="P1794" s="518"/>
      <c r="Q1794" s="518"/>
      <c r="R1794" s="642">
        <f>$A1794*Q1794</f>
        <v>0</v>
      </c>
      <c r="S1794" s="518"/>
      <c r="T1794" s="643">
        <f>$A1794*S1794*$T$1</f>
        <v>0</v>
      </c>
    </row>
    <row r="1795" spans="1:41" s="519" customFormat="1" ht="12">
      <c r="A1795" s="47"/>
      <c r="B1795" s="641"/>
      <c r="C1795" s="641"/>
      <c r="D1795" s="863"/>
      <c r="E1795" s="843"/>
      <c r="F1795" s="518"/>
      <c r="G1795" s="518"/>
      <c r="H1795" s="518"/>
      <c r="I1795" s="518"/>
      <c r="J1795" s="518"/>
      <c r="K1795" s="518"/>
      <c r="L1795" s="864"/>
      <c r="M1795" s="518"/>
      <c r="N1795" s="518"/>
      <c r="O1795" s="518"/>
      <c r="P1795" s="518"/>
      <c r="Q1795" s="518"/>
      <c r="R1795" s="642">
        <f>$A1795*Q1795</f>
        <v>0</v>
      </c>
      <c r="S1795" s="518"/>
      <c r="T1795" s="643">
        <f>$A1795*S1795*$T$1</f>
        <v>0</v>
      </c>
    </row>
    <row r="1796" spans="1:41" s="519" customFormat="1" ht="12.75" customHeight="1">
      <c r="A1796" s="835" t="s">
        <v>145</v>
      </c>
      <c r="B1796" s="836">
        <f>(R1795+T1795)</f>
        <v>0</v>
      </c>
      <c r="C1796" s="837"/>
      <c r="D1796" s="837"/>
      <c r="E1796" s="837"/>
      <c r="F1796" s="837"/>
      <c r="G1796" s="813"/>
      <c r="H1796" s="813"/>
      <c r="I1796" s="813"/>
      <c r="J1796" s="813"/>
      <c r="K1796" s="838" t="s">
        <v>8</v>
      </c>
      <c r="L1796" s="839" t="s">
        <v>590</v>
      </c>
      <c r="M1796" s="813"/>
      <c r="N1796" s="813"/>
      <c r="O1796" s="813"/>
      <c r="P1796" s="813"/>
      <c r="Q1796" s="813"/>
      <c r="R1796" s="814">
        <f>SUM(R1792:R1795)</f>
        <v>0</v>
      </c>
      <c r="S1796" s="815"/>
      <c r="T1796" s="814">
        <f>SUM(T1792:T1795)</f>
        <v>0</v>
      </c>
      <c r="AG1796" s="865">
        <f>ROUND($R1796*$S$4,2)</f>
        <v>0</v>
      </c>
    </row>
    <row r="1797" spans="1:41" s="519" customFormat="1" ht="12.75" customHeight="1">
      <c r="A1797" s="841"/>
      <c r="B1797" s="842"/>
      <c r="E1797" s="641"/>
      <c r="F1797" s="843"/>
      <c r="G1797" s="641"/>
      <c r="H1797" s="641"/>
      <c r="I1797" s="518"/>
      <c r="J1797" s="641"/>
      <c r="K1797" s="641"/>
      <c r="L1797" s="844"/>
      <c r="M1797" s="652"/>
      <c r="N1797" s="652"/>
      <c r="O1797" s="652"/>
      <c r="P1797" s="652"/>
      <c r="Q1797" s="653"/>
      <c r="R1797" s="821"/>
      <c r="S1797" s="641"/>
      <c r="T1797" s="821"/>
    </row>
    <row r="1798" spans="1:41" s="519" customFormat="1" ht="13.5" customHeight="1" thickBot="1">
      <c r="A1798" s="845"/>
      <c r="B1798" s="846"/>
      <c r="C1798" s="529"/>
      <c r="D1798" s="529"/>
      <c r="E1798" s="646"/>
      <c r="F1798" s="647"/>
      <c r="G1798" s="646" t="s">
        <v>146</v>
      </c>
      <c r="H1798" s="646"/>
      <c r="I1798" s="648"/>
      <c r="J1798" s="646"/>
      <c r="K1798" s="646"/>
      <c r="L1798" s="847" t="s">
        <v>143</v>
      </c>
      <c r="M1798" s="649"/>
      <c r="N1798" s="649"/>
      <c r="O1798" s="649"/>
      <c r="P1798" s="649"/>
      <c r="Q1798" s="650"/>
      <c r="R1798" s="848">
        <f ca="1">SUMIF($L1780:$L1797,"SUBI",R1780:R1797)</f>
        <v>135.30000000000001</v>
      </c>
      <c r="S1798" s="866"/>
      <c r="T1798" s="848">
        <f ca="1">SUMIF($L1780:$L1797,"SUBI",T1780:T1797)</f>
        <v>11.88</v>
      </c>
      <c r="U1798" s="529"/>
      <c r="V1798" s="529"/>
      <c r="W1798" s="529"/>
      <c r="X1798" s="529"/>
      <c r="Y1798" s="529"/>
      <c r="Z1798" s="529"/>
      <c r="AA1798" s="529"/>
      <c r="AB1798" s="529"/>
      <c r="AC1798" s="529"/>
      <c r="AD1798" s="529"/>
      <c r="AE1798" s="529"/>
      <c r="AF1798" s="529"/>
      <c r="AG1798" s="529"/>
      <c r="AH1798" s="529"/>
      <c r="AI1798" s="529"/>
      <c r="AJ1798" s="529"/>
      <c r="AK1798" s="529"/>
      <c r="AL1798" s="529"/>
      <c r="AM1798" s="529"/>
      <c r="AN1798" s="529"/>
      <c r="AO1798" s="529"/>
    </row>
    <row r="1799" spans="1:41" s="519" customFormat="1" thickTop="1">
      <c r="A1799" s="47"/>
      <c r="B1799" s="47"/>
      <c r="C1799" s="3"/>
      <c r="D1799" s="3"/>
      <c r="E1799" s="47"/>
      <c r="F1799" s="47"/>
      <c r="G1799" s="47"/>
      <c r="H1799" s="47"/>
      <c r="I1799" s="47"/>
      <c r="J1799" s="47"/>
      <c r="K1799" s="47" t="s">
        <v>134</v>
      </c>
      <c r="L1799" s="47"/>
      <c r="M1799" s="47"/>
      <c r="N1799" s="47"/>
      <c r="O1799" s="48"/>
      <c r="P1799" s="47"/>
      <c r="Q1799" s="47"/>
      <c r="R1799" s="47"/>
      <c r="S1799" s="47"/>
      <c r="T1799" s="47"/>
    </row>
    <row r="1800" spans="1:41" s="519" customFormat="1" ht="12">
      <c r="A1800" s="47"/>
      <c r="B1800" s="47"/>
      <c r="C1800" s="47" t="s">
        <v>135</v>
      </c>
      <c r="D1800" s="36"/>
      <c r="E1800" s="47"/>
      <c r="F1800" s="47"/>
      <c r="G1800" s="47"/>
      <c r="H1800" s="47"/>
      <c r="I1800" s="47"/>
      <c r="J1800" s="47"/>
      <c r="K1800" s="47"/>
      <c r="L1800" s="47"/>
      <c r="M1800" s="47"/>
      <c r="N1800" s="47"/>
      <c r="O1800" s="48"/>
      <c r="P1800" s="47"/>
      <c r="Q1800" s="47"/>
      <c r="R1800" s="47"/>
      <c r="S1800" s="47"/>
      <c r="T1800" s="47"/>
    </row>
    <row r="1801" spans="1:41" s="519" customFormat="1" ht="12">
      <c r="A1801" s="47"/>
      <c r="B1801" s="47"/>
      <c r="C1801" s="47"/>
      <c r="D1801" s="36" t="s">
        <v>544</v>
      </c>
      <c r="E1801" s="47"/>
      <c r="F1801" s="47"/>
      <c r="G1801" s="47"/>
      <c r="H1801" s="47"/>
      <c r="I1801" s="47"/>
      <c r="J1801" s="47"/>
      <c r="K1801" s="47"/>
      <c r="L1801" s="47"/>
      <c r="M1801" s="47"/>
      <c r="N1801" s="47"/>
      <c r="O1801" s="48"/>
      <c r="P1801" s="47"/>
      <c r="Q1801" s="47"/>
      <c r="R1801" s="47"/>
      <c r="S1801" s="37"/>
      <c r="T1801" s="37"/>
    </row>
    <row r="1802" spans="1:41" s="3" customFormat="1" thickBot="1">
      <c r="A1802" s="529"/>
      <c r="O1802" s="99"/>
    </row>
    <row r="1803" spans="1:41" s="519" customFormat="1" thickTop="1">
      <c r="A1803" s="47"/>
      <c r="B1803" s="47"/>
      <c r="C1803" s="3"/>
      <c r="D1803" s="3"/>
      <c r="E1803" s="47"/>
      <c r="F1803" s="47"/>
      <c r="G1803" s="47"/>
      <c r="H1803" s="47"/>
      <c r="I1803" s="47"/>
      <c r="J1803" s="47"/>
      <c r="K1803" s="47" t="s">
        <v>134</v>
      </c>
      <c r="L1803" s="47"/>
      <c r="M1803" s="47"/>
      <c r="N1803" s="47"/>
      <c r="O1803" s="48"/>
      <c r="P1803" s="47"/>
      <c r="Q1803" s="47"/>
      <c r="R1803" s="47"/>
      <c r="S1803" s="47"/>
      <c r="T1803" s="47"/>
    </row>
    <row r="1804" spans="1:41" s="519" customFormat="1" ht="12">
      <c r="A1804" s="47"/>
      <c r="B1804" s="47"/>
      <c r="C1804" s="47" t="s">
        <v>135</v>
      </c>
      <c r="D1804" s="36"/>
      <c r="E1804" s="47"/>
      <c r="F1804" s="47"/>
      <c r="G1804" s="47"/>
      <c r="H1804" s="47"/>
      <c r="I1804" s="47"/>
      <c r="J1804" s="47"/>
      <c r="K1804" s="47"/>
      <c r="L1804" s="47"/>
      <c r="M1804" s="47"/>
      <c r="N1804" s="47"/>
      <c r="O1804" s="48"/>
      <c r="P1804" s="47"/>
      <c r="Q1804" s="47"/>
      <c r="R1804" s="47"/>
      <c r="S1804" s="47"/>
      <c r="T1804" s="47"/>
    </row>
    <row r="1805" spans="1:41" s="519" customFormat="1" ht="39.9" customHeight="1">
      <c r="A1805" s="47"/>
      <c r="B1805" s="47"/>
      <c r="C1805" s="47"/>
      <c r="D1805" s="979" t="s">
        <v>530</v>
      </c>
      <c r="E1805" s="980"/>
      <c r="F1805" s="980"/>
      <c r="G1805" s="980"/>
      <c r="H1805" s="980"/>
      <c r="I1805" s="980"/>
      <c r="J1805" s="980"/>
      <c r="K1805" s="980"/>
      <c r="L1805" s="980"/>
      <c r="M1805" s="980"/>
      <c r="N1805" s="980"/>
      <c r="O1805" s="980"/>
      <c r="P1805" s="980"/>
      <c r="Q1805" s="980"/>
      <c r="R1805" s="980"/>
      <c r="S1805" s="980"/>
      <c r="T1805" s="980"/>
    </row>
    <row r="1806" spans="1:41" s="3" customFormat="1" thickBot="1">
      <c r="A1806" s="529"/>
      <c r="O1806" s="99"/>
    </row>
    <row r="1807" spans="1:41" s="519" customFormat="1" thickTop="1">
      <c r="A1807" s="47"/>
      <c r="B1807" s="40"/>
      <c r="C1807" s="47"/>
      <c r="E1807" s="41" t="s">
        <v>138</v>
      </c>
      <c r="F1807" s="41" t="s">
        <v>139</v>
      </c>
      <c r="G1807" s="47"/>
      <c r="H1807" s="47"/>
      <c r="I1807" s="47"/>
      <c r="J1807" s="47"/>
      <c r="K1807" s="47" t="s">
        <v>140</v>
      </c>
      <c r="L1807" s="774"/>
      <c r="M1807" s="47"/>
      <c r="N1807" s="47"/>
      <c r="O1807" s="48"/>
      <c r="P1807" s="47"/>
      <c r="Q1807"/>
      <c r="R1807"/>
      <c r="S1807"/>
      <c r="T1807" s="40"/>
      <c r="AG1807" s="627" t="s">
        <v>277</v>
      </c>
      <c r="AH1807" s="627" t="s">
        <v>278</v>
      </c>
      <c r="AI1807" s="627" t="s">
        <v>279</v>
      </c>
      <c r="AJ1807" s="627" t="s">
        <v>280</v>
      </c>
      <c r="AK1807" s="627" t="s">
        <v>281</v>
      </c>
      <c r="AM1807" s="628" t="s">
        <v>290</v>
      </c>
      <c r="AN1807" s="629" t="s">
        <v>291</v>
      </c>
      <c r="AO1807" s="520" t="s">
        <v>287</v>
      </c>
    </row>
    <row r="1808" spans="1:41" s="519" customFormat="1" ht="13.2">
      <c r="A1808" s="630">
        <v>2</v>
      </c>
      <c r="B1808" s="521" t="s">
        <v>312</v>
      </c>
      <c r="C1808" s="631"/>
      <c r="D1808" s="632" t="s">
        <v>714</v>
      </c>
      <c r="E1808" s="775">
        <f>IF(AND($A1808=0,$A$1="DIF"),0,ROUND(ROUND(SUMIF($L1810:$L1821,"SUBI",$E1810:$E1821)/$A1808,2)*$C$12,2))</f>
        <v>0</v>
      </c>
      <c r="F1808" s="776">
        <f>ROUND($A1808*$E1808,2)</f>
        <v>0</v>
      </c>
      <c r="G1808" s="635" t="s">
        <v>142</v>
      </c>
      <c r="H1808" s="636"/>
      <c r="I1808" s="637"/>
      <c r="J1808" s="636"/>
      <c r="K1808" s="777"/>
      <c r="L1808" s="778" t="s">
        <v>143</v>
      </c>
      <c r="M1808" s="638"/>
      <c r="N1808" s="638"/>
      <c r="O1808" s="638"/>
      <c r="P1808" s="638"/>
      <c r="Q1808" s="967" t="s">
        <v>867</v>
      </c>
      <c r="R1808"/>
      <c r="S1808"/>
      <c r="T1808" s="779" t="str">
        <f>IF(AND($R1827=0,$T1827=0),"0.00","mu :" &amp; ROUND($F1808/$C$12/($R1827+$T1827*$D$9),2))</f>
        <v>0.00</v>
      </c>
      <c r="W1808" s="522"/>
      <c r="AG1808" s="780">
        <f>IF(A1808=0,0,ROUND(SUM(AG1810:AG1827)/A1808,2))</f>
        <v>0</v>
      </c>
      <c r="AH1808" s="780">
        <f>$AG1808*$A1808</f>
        <v>0</v>
      </c>
      <c r="AI1808" s="780">
        <f>$E1808-$AG1808</f>
        <v>0</v>
      </c>
      <c r="AJ1808" s="780">
        <f>$A1808*$AI1808</f>
        <v>0</v>
      </c>
      <c r="AK1808" s="781">
        <f>ROUND(($AG1808+$AI1808)*$A1808,2)</f>
        <v>0</v>
      </c>
      <c r="AM1808" s="525">
        <f>ROUND(R1827,2)</f>
        <v>0</v>
      </c>
      <c r="AN1808" s="526">
        <f>ROUND(T1827,2)</f>
        <v>0</v>
      </c>
      <c r="AO1808" s="527">
        <f>ROUND(AM1808+AN1808,2)*A1808</f>
        <v>0</v>
      </c>
    </row>
    <row r="1809" spans="1:33" s="519" customFormat="1" ht="21.6" customHeight="1">
      <c r="A1809" s="782"/>
      <c r="B1809" s="783"/>
      <c r="C1809" s="631"/>
      <c r="D1809" s="784" t="s">
        <v>558</v>
      </c>
      <c r="F1809" s="636"/>
      <c r="G1809" s="636"/>
      <c r="H1809" s="636"/>
      <c r="I1809" s="637"/>
      <c r="J1809" s="636"/>
      <c r="K1809" s="636" t="s">
        <v>144</v>
      </c>
      <c r="L1809" s="785"/>
      <c r="M1809" s="636"/>
      <c r="N1809" s="636"/>
      <c r="O1809" s="636"/>
      <c r="P1809" s="636"/>
      <c r="Q1809" s="47"/>
      <c r="R1809" s="528"/>
      <c r="S1809" s="640"/>
      <c r="T1809" s="636"/>
    </row>
    <row r="1810" spans="1:33" s="519" customFormat="1" ht="12">
      <c r="A1810" s="849"/>
      <c r="B1810" s="850"/>
      <c r="C1810" s="641"/>
      <c r="D1810" s="811"/>
      <c r="E1810" s="851">
        <f>F1808/$C$12-SUMIF($L1807:$L1827,"SUBI",$E1807:$E1827)</f>
        <v>0</v>
      </c>
      <c r="F1810" s="852" t="s">
        <v>589</v>
      </c>
      <c r="G1810" s="790"/>
      <c r="H1810" s="790"/>
      <c r="I1810" s="791"/>
      <c r="J1810" s="790"/>
      <c r="K1810" s="790"/>
      <c r="L1810" s="792"/>
      <c r="M1810" s="793"/>
      <c r="N1810" s="793"/>
      <c r="O1810" s="793"/>
      <c r="P1810" s="793"/>
      <c r="Q1810" s="794"/>
      <c r="R1810" s="795"/>
      <c r="S1810" s="794"/>
      <c r="T1810" s="796"/>
    </row>
    <row r="1811" spans="1:33" s="519" customFormat="1" ht="12" customHeight="1">
      <c r="A1811" s="797"/>
      <c r="B1811" s="798"/>
      <c r="C1811" s="799"/>
      <c r="D1811" s="799" t="str">
        <f>$F$2</f>
        <v>Electrical</v>
      </c>
      <c r="E1811" s="799">
        <f>ROUND(($R1815*$S$2 + ($T1815*$T$2)), 2)</f>
        <v>0</v>
      </c>
      <c r="F1811" s="800">
        <f>$E1811*$C$12</f>
        <v>0</v>
      </c>
      <c r="G1811" s="528"/>
      <c r="H1811" s="801"/>
      <c r="I1811" s="528"/>
      <c r="J1811" s="48"/>
      <c r="K1811" s="802" t="s">
        <v>3</v>
      </c>
      <c r="L1811" s="803" t="s">
        <v>590</v>
      </c>
      <c r="M1811" s="528"/>
      <c r="N1811" s="528"/>
      <c r="O1811" s="48"/>
      <c r="P1811" s="528"/>
      <c r="Q1811" s="528"/>
      <c r="R1811"/>
      <c r="S1811"/>
      <c r="T1811"/>
    </row>
    <row r="1812" spans="1:33" s="519" customFormat="1" ht="14.4" customHeight="1">
      <c r="A1812" s="49"/>
      <c r="B1812" s="804" t="s">
        <v>591</v>
      </c>
      <c r="C1812" s="528"/>
      <c r="D1812" s="528"/>
      <c r="E1812" s="528"/>
      <c r="F1812" s="528"/>
      <c r="G1812" s="528"/>
      <c r="H1812" s="801"/>
      <c r="I1812" s="528"/>
      <c r="J1812" s="48"/>
      <c r="K1812" s="805"/>
      <c r="L1812" s="806"/>
      <c r="M1812" s="528"/>
      <c r="N1812" s="528"/>
      <c r="O1812" s="48"/>
      <c r="P1812" s="528"/>
      <c r="Q1812" s="528"/>
      <c r="R1812" s="807">
        <f>$A1812*Q1812</f>
        <v>0</v>
      </c>
      <c r="S1812" s="528"/>
      <c r="T1812" s="643">
        <f>$A1812*S1812*$T$1</f>
        <v>0</v>
      </c>
    </row>
    <row r="1813" spans="1:33" s="519" customFormat="1" ht="14.4" customHeight="1">
      <c r="A1813" s="49"/>
      <c r="B1813" s="528"/>
      <c r="C1813" s="528"/>
      <c r="D1813" s="528"/>
      <c r="E1813" s="528"/>
      <c r="F1813" s="528"/>
      <c r="G1813" s="528"/>
      <c r="H1813" s="801"/>
      <c r="I1813" s="528"/>
      <c r="J1813" s="48"/>
      <c r="K1813" s="805"/>
      <c r="L1813" s="806"/>
      <c r="M1813" s="528"/>
      <c r="N1813" s="528"/>
      <c r="O1813" s="48"/>
      <c r="P1813" s="528"/>
      <c r="Q1813" s="528"/>
      <c r="R1813" s="807">
        <f>$A1813*Q1813</f>
        <v>0</v>
      </c>
      <c r="S1813" s="528"/>
      <c r="T1813" s="643">
        <f>$A1813*S1813*$T$1</f>
        <v>0</v>
      </c>
    </row>
    <row r="1814" spans="1:33" s="519" customFormat="1" ht="14.4" customHeight="1">
      <c r="A1814" s="49"/>
      <c r="B1814" s="528"/>
      <c r="C1814" s="528"/>
      <c r="D1814" s="528"/>
      <c r="E1814" s="528"/>
      <c r="F1814" s="528"/>
      <c r="G1814" s="528"/>
      <c r="H1814" s="801"/>
      <c r="I1814" s="528"/>
      <c r="J1814" s="48"/>
      <c r="K1814" s="805"/>
      <c r="L1814" s="806"/>
      <c r="M1814" s="528"/>
      <c r="N1814" s="528"/>
      <c r="O1814" s="48"/>
      <c r="P1814" s="528"/>
      <c r="Q1814" s="528"/>
      <c r="R1814" s="807">
        <f>$A1814*Q1814</f>
        <v>0</v>
      </c>
      <c r="S1814" s="528"/>
      <c r="T1814" s="643">
        <f>$A1814*S1814*$T$1</f>
        <v>0</v>
      </c>
    </row>
    <row r="1815" spans="1:33" s="519" customFormat="1" ht="12">
      <c r="A1815" s="835" t="s">
        <v>145</v>
      </c>
      <c r="B1815" s="836">
        <f>(R1814+T1814)</f>
        <v>0</v>
      </c>
      <c r="C1815" s="790"/>
      <c r="G1815" s="810"/>
      <c r="H1815" s="810"/>
      <c r="I1815" s="810"/>
      <c r="J1815" s="810"/>
      <c r="K1815" s="811" t="s">
        <v>3</v>
      </c>
      <c r="L1815" s="812" t="s">
        <v>590</v>
      </c>
      <c r="M1815" s="810"/>
      <c r="N1815" s="810"/>
      <c r="O1815" s="810"/>
      <c r="P1815" s="810"/>
      <c r="Q1815" s="813"/>
      <c r="R1815" s="814">
        <f>SUM(R1811:R1814)</f>
        <v>0</v>
      </c>
      <c r="S1815" s="815"/>
      <c r="T1815" s="814">
        <f>SUM(T1811:T1814)</f>
        <v>0</v>
      </c>
      <c r="AG1815" s="816">
        <f>ROUND($R1815*$S$2,2)</f>
        <v>0</v>
      </c>
    </row>
    <row r="1816" spans="1:33" s="519" customFormat="1" ht="12" customHeight="1">
      <c r="A1816" s="797"/>
      <c r="B1816" s="853"/>
      <c r="C1816" s="854"/>
      <c r="D1816" s="855" t="str">
        <f>$F$3</f>
        <v>ECA</v>
      </c>
      <c r="E1816" s="855">
        <f>ROUND(($R1820*$S$3 + ($T1820*$T$3)), 2)</f>
        <v>0</v>
      </c>
      <c r="F1816" s="856">
        <f>$E1816*$C$12</f>
        <v>0</v>
      </c>
      <c r="G1816" s="518"/>
      <c r="H1816" s="518"/>
      <c r="I1816" s="518"/>
      <c r="J1816" s="518"/>
      <c r="K1816" s="802" t="s">
        <v>5</v>
      </c>
      <c r="L1816" s="803" t="s">
        <v>590</v>
      </c>
      <c r="M1816" s="518"/>
      <c r="N1816" s="518"/>
      <c r="O1816" s="518"/>
      <c r="P1816" s="518"/>
      <c r="Q1816" s="518"/>
      <c r="R1816" s="821"/>
      <c r="S1816" s="518"/>
      <c r="T1816" s="821"/>
    </row>
    <row r="1817" spans="1:33" s="834" customFormat="1" ht="15.6" customHeight="1">
      <c r="A1817" s="822"/>
      <c r="B1817" s="804" t="s">
        <v>592</v>
      </c>
      <c r="C1817" s="823"/>
      <c r="D1817" s="824"/>
      <c r="E1817" s="824"/>
      <c r="F1817" s="824"/>
      <c r="G1817" s="825"/>
      <c r="H1817" s="826"/>
      <c r="I1817" s="826"/>
      <c r="J1817" s="827"/>
      <c r="K1817" s="828"/>
      <c r="L1817" s="823"/>
      <c r="M1817" s="829"/>
      <c r="N1817" s="830"/>
      <c r="O1817" s="831"/>
      <c r="P1817" s="832"/>
      <c r="Q1817" s="833"/>
      <c r="R1817" s="807">
        <f>$A1817*Q1817</f>
        <v>0</v>
      </c>
      <c r="S1817" s="528"/>
      <c r="T1817" s="643">
        <f>$A1817*S1817*$T$1</f>
        <v>0</v>
      </c>
    </row>
    <row r="1818" spans="1:33" s="519" customFormat="1" ht="15.6" customHeight="1">
      <c r="A1818" s="49"/>
      <c r="B1818" s="528"/>
      <c r="C1818" s="528"/>
      <c r="D1818" s="528"/>
      <c r="E1818" s="528"/>
      <c r="F1818" s="528"/>
      <c r="G1818" s="528"/>
      <c r="H1818" s="528"/>
      <c r="I1818" s="528"/>
      <c r="J1818" s="528"/>
      <c r="K1818" s="528"/>
      <c r="L1818" s="806"/>
      <c r="M1818" s="528"/>
      <c r="N1818" s="528"/>
      <c r="O1818" s="528"/>
      <c r="P1818" s="528"/>
      <c r="Q1818" s="528"/>
      <c r="R1818" s="807">
        <f>$A1818*Q1818</f>
        <v>0</v>
      </c>
      <c r="S1818" s="528"/>
      <c r="T1818" s="643">
        <f>$A1818*S1818*$T$1</f>
        <v>0</v>
      </c>
    </row>
    <row r="1819" spans="1:33" s="519" customFormat="1" ht="15.6" customHeight="1">
      <c r="A1819" s="49"/>
      <c r="B1819" s="528"/>
      <c r="C1819" s="528"/>
      <c r="D1819" s="3"/>
      <c r="E1819" s="528"/>
      <c r="F1819" s="528"/>
      <c r="G1819" s="528"/>
      <c r="H1819" s="528"/>
      <c r="I1819" s="528"/>
      <c r="J1819" s="528"/>
      <c r="K1819" s="528"/>
      <c r="L1819" s="806"/>
      <c r="M1819" s="528"/>
      <c r="N1819" s="528"/>
      <c r="O1819" s="528"/>
      <c r="P1819" s="528"/>
      <c r="Q1819" s="528"/>
      <c r="R1819" s="807">
        <f>$A1819*Q1819</f>
        <v>0</v>
      </c>
      <c r="S1819" s="528"/>
      <c r="T1819" s="643">
        <f>$A1819*S1819*$T$1</f>
        <v>0</v>
      </c>
    </row>
    <row r="1820" spans="1:33" s="519" customFormat="1" ht="12">
      <c r="A1820" s="835" t="s">
        <v>145</v>
      </c>
      <c r="B1820" s="836">
        <f>(R1819+T1819)</f>
        <v>0</v>
      </c>
      <c r="C1820" s="790"/>
      <c r="G1820" s="810"/>
      <c r="H1820" s="810"/>
      <c r="I1820" s="810"/>
      <c r="J1820" s="810"/>
      <c r="K1820" s="838" t="s">
        <v>5</v>
      </c>
      <c r="L1820" s="812" t="s">
        <v>590</v>
      </c>
      <c r="M1820" s="810"/>
      <c r="N1820" s="810"/>
      <c r="O1820" s="810"/>
      <c r="P1820" s="810"/>
      <c r="Q1820" s="813"/>
      <c r="R1820" s="814">
        <f>SUM(R1816:R1819)</f>
        <v>0</v>
      </c>
      <c r="S1820" s="815"/>
      <c r="T1820" s="814">
        <f>SUM(T1816:T1819)</f>
        <v>0</v>
      </c>
      <c r="AG1820" s="840">
        <f>ROUND($R1820*$S$3,2)</f>
        <v>0</v>
      </c>
    </row>
    <row r="1821" spans="1:33" s="519" customFormat="1" ht="12" customHeight="1">
      <c r="A1821" s="817"/>
      <c r="B1821" s="857"/>
      <c r="C1821" s="858"/>
      <c r="D1821" s="859">
        <f>$F$4</f>
        <v>0</v>
      </c>
      <c r="E1821" s="859">
        <f>ROUND(($R1825*$S$4 + ($T1825*$T$4)), 2)</f>
        <v>0</v>
      </c>
      <c r="F1821" s="860">
        <f ca="1">$F1808-SUMIF($L1810:$P1818,"SUBI",$F1810:$F1818)</f>
        <v>0</v>
      </c>
      <c r="G1821" s="518"/>
      <c r="H1821" s="518"/>
      <c r="I1821" s="518"/>
      <c r="J1821" s="518"/>
      <c r="K1821" s="861" t="s">
        <v>8</v>
      </c>
      <c r="L1821" s="803" t="s">
        <v>590</v>
      </c>
      <c r="M1821" s="518"/>
      <c r="N1821" s="518"/>
      <c r="O1821" s="518"/>
      <c r="P1821" s="518"/>
      <c r="Q1821" s="518"/>
      <c r="R1821" s="821"/>
      <c r="S1821" s="518"/>
      <c r="T1821" s="821"/>
    </row>
    <row r="1822" spans="1:33" s="834" customFormat="1" ht="14.4" customHeight="1">
      <c r="A1822" s="822"/>
      <c r="B1822" s="804" t="s">
        <v>680</v>
      </c>
      <c r="C1822" s="823"/>
      <c r="D1822" s="824"/>
      <c r="E1822" s="824"/>
      <c r="F1822" s="824"/>
      <c r="G1822" s="825"/>
      <c r="H1822" s="826"/>
      <c r="I1822" s="826"/>
      <c r="J1822" s="827"/>
      <c r="K1822" s="828"/>
      <c r="L1822" s="823"/>
      <c r="M1822" s="829"/>
      <c r="N1822" s="830"/>
      <c r="O1822" s="862"/>
      <c r="P1822" s="832"/>
      <c r="Q1822" s="833"/>
      <c r="R1822" s="642">
        <f>$A1822*Q1822</f>
        <v>0</v>
      </c>
      <c r="S1822" s="833"/>
      <c r="T1822" s="643">
        <f>$A1822*S1822*$T$1</f>
        <v>0</v>
      </c>
    </row>
    <row r="1823" spans="1:33" s="519" customFormat="1" ht="12">
      <c r="A1823" s="47"/>
      <c r="B1823" s="641"/>
      <c r="C1823" s="641"/>
      <c r="D1823" s="863"/>
      <c r="E1823" s="843"/>
      <c r="F1823" s="518"/>
      <c r="G1823" s="518"/>
      <c r="H1823" s="518"/>
      <c r="I1823" s="518"/>
      <c r="J1823" s="518"/>
      <c r="K1823" s="518"/>
      <c r="L1823" s="864"/>
      <c r="M1823" s="518"/>
      <c r="N1823" s="518"/>
      <c r="O1823" s="518"/>
      <c r="P1823" s="518"/>
      <c r="Q1823" s="518"/>
      <c r="R1823" s="642">
        <f>$A1823*Q1823</f>
        <v>0</v>
      </c>
      <c r="S1823" s="518"/>
      <c r="T1823" s="643">
        <f>$A1823*S1823*$T$1</f>
        <v>0</v>
      </c>
    </row>
    <row r="1824" spans="1:33" s="519" customFormat="1" ht="12">
      <c r="A1824" s="47"/>
      <c r="B1824" s="641"/>
      <c r="C1824" s="641"/>
      <c r="D1824" s="863"/>
      <c r="E1824" s="843"/>
      <c r="F1824" s="518"/>
      <c r="G1824" s="518"/>
      <c r="H1824" s="518"/>
      <c r="I1824" s="518"/>
      <c r="J1824" s="518"/>
      <c r="K1824" s="518"/>
      <c r="L1824" s="864"/>
      <c r="M1824" s="518"/>
      <c r="N1824" s="518"/>
      <c r="O1824" s="518"/>
      <c r="P1824" s="518"/>
      <c r="Q1824" s="518"/>
      <c r="R1824" s="642">
        <f>$A1824*Q1824</f>
        <v>0</v>
      </c>
      <c r="S1824" s="518"/>
      <c r="T1824" s="643">
        <f>$A1824*S1824*$T$1</f>
        <v>0</v>
      </c>
    </row>
    <row r="1825" spans="1:41" s="519" customFormat="1" ht="12.75" customHeight="1">
      <c r="A1825" s="835" t="s">
        <v>145</v>
      </c>
      <c r="B1825" s="836">
        <f>(R1824+T1824)</f>
        <v>0</v>
      </c>
      <c r="C1825" s="837"/>
      <c r="D1825" s="837"/>
      <c r="E1825" s="837"/>
      <c r="F1825" s="837"/>
      <c r="G1825" s="813"/>
      <c r="H1825" s="813"/>
      <c r="I1825" s="813"/>
      <c r="J1825" s="813"/>
      <c r="K1825" s="838" t="s">
        <v>8</v>
      </c>
      <c r="L1825" s="839" t="s">
        <v>590</v>
      </c>
      <c r="M1825" s="813"/>
      <c r="N1825" s="813"/>
      <c r="O1825" s="813"/>
      <c r="P1825" s="813"/>
      <c r="Q1825" s="813"/>
      <c r="R1825" s="814">
        <f>SUM(R1821:R1824)</f>
        <v>0</v>
      </c>
      <c r="S1825" s="815"/>
      <c r="T1825" s="814">
        <f>SUM(T1821:T1824)</f>
        <v>0</v>
      </c>
      <c r="AG1825" s="865">
        <f>ROUND($R1825*$S$4,2)</f>
        <v>0</v>
      </c>
    </row>
    <row r="1826" spans="1:41" s="519" customFormat="1" ht="12.75" customHeight="1">
      <c r="A1826" s="841"/>
      <c r="B1826" s="842"/>
      <c r="E1826" s="641"/>
      <c r="F1826" s="843"/>
      <c r="G1826" s="641"/>
      <c r="H1826" s="641"/>
      <c r="I1826" s="518"/>
      <c r="J1826" s="641"/>
      <c r="K1826" s="641"/>
      <c r="L1826" s="844"/>
      <c r="M1826" s="652"/>
      <c r="N1826" s="652"/>
      <c r="O1826" s="652"/>
      <c r="P1826" s="652"/>
      <c r="Q1826" s="653"/>
      <c r="R1826" s="821"/>
      <c r="S1826" s="641"/>
      <c r="T1826" s="821"/>
    </row>
    <row r="1827" spans="1:41" s="519" customFormat="1" ht="13.5" customHeight="1" thickBot="1">
      <c r="A1827" s="845"/>
      <c r="B1827" s="846"/>
      <c r="C1827" s="529"/>
      <c r="D1827" s="529"/>
      <c r="E1827" s="646"/>
      <c r="F1827" s="647"/>
      <c r="G1827" s="646" t="s">
        <v>146</v>
      </c>
      <c r="H1827" s="646"/>
      <c r="I1827" s="648"/>
      <c r="J1827" s="646"/>
      <c r="K1827" s="646"/>
      <c r="L1827" s="847" t="s">
        <v>143</v>
      </c>
      <c r="M1827" s="649"/>
      <c r="N1827" s="649"/>
      <c r="O1827" s="649"/>
      <c r="P1827" s="649"/>
      <c r="Q1827" s="650"/>
      <c r="R1827" s="848">
        <f>SUMIF($L1809:$L1826,"SUBI",R1809:R1826)</f>
        <v>0</v>
      </c>
      <c r="S1827" s="866"/>
      <c r="T1827" s="848">
        <f>SUMIF($L1809:$L1826,"SUBI",T1809:T1826)</f>
        <v>0</v>
      </c>
      <c r="U1827" s="529"/>
      <c r="V1827" s="529"/>
      <c r="W1827" s="529"/>
      <c r="X1827" s="529"/>
      <c r="Y1827" s="529"/>
      <c r="Z1827" s="529"/>
      <c r="AA1827" s="529"/>
      <c r="AB1827" s="529"/>
      <c r="AC1827" s="529"/>
      <c r="AD1827" s="529"/>
      <c r="AE1827" s="529"/>
      <c r="AF1827" s="529"/>
      <c r="AG1827" s="529"/>
      <c r="AH1827" s="529"/>
      <c r="AI1827" s="529"/>
      <c r="AJ1827" s="529"/>
      <c r="AK1827" s="529"/>
      <c r="AL1827" s="529"/>
      <c r="AM1827" s="529"/>
      <c r="AN1827" s="529"/>
      <c r="AO1827" s="529"/>
    </row>
    <row r="1828" spans="1:41" s="519" customFormat="1" thickTop="1">
      <c r="A1828" s="47"/>
      <c r="B1828" s="40"/>
      <c r="C1828" s="47"/>
      <c r="E1828" s="41" t="s">
        <v>138</v>
      </c>
      <c r="F1828" s="41" t="s">
        <v>139</v>
      </c>
      <c r="G1828" s="47"/>
      <c r="H1828" s="47"/>
      <c r="I1828" s="47"/>
      <c r="J1828" s="47"/>
      <c r="K1828" s="47" t="s">
        <v>140</v>
      </c>
      <c r="L1828" s="774"/>
      <c r="M1828" s="47"/>
      <c r="N1828" s="47"/>
      <c r="O1828" s="48"/>
      <c r="P1828" s="47"/>
      <c r="Q1828"/>
      <c r="R1828"/>
      <c r="S1828"/>
      <c r="T1828" s="40"/>
      <c r="AG1828" s="627" t="s">
        <v>277</v>
      </c>
      <c r="AH1828" s="627" t="s">
        <v>278</v>
      </c>
      <c r="AI1828" s="627" t="s">
        <v>279</v>
      </c>
      <c r="AJ1828" s="627" t="s">
        <v>280</v>
      </c>
      <c r="AK1828" s="627" t="s">
        <v>281</v>
      </c>
      <c r="AM1828" s="628" t="s">
        <v>290</v>
      </c>
      <c r="AN1828" s="629" t="s">
        <v>291</v>
      </c>
      <c r="AO1828" s="520" t="s">
        <v>287</v>
      </c>
    </row>
    <row r="1829" spans="1:41" s="519" customFormat="1" ht="13.2">
      <c r="A1829" s="630">
        <v>2</v>
      </c>
      <c r="B1829" s="521" t="s">
        <v>312</v>
      </c>
      <c r="C1829" s="631"/>
      <c r="D1829" s="632" t="s">
        <v>715</v>
      </c>
      <c r="E1829" s="775">
        <f ca="1">IF(AND($A1829=0,$A$1="DIF"),0,ROUND(ROUND(SUMIF($L1831:$L1842,"SUBI",$E1831:$E1842)/$A1829,2)*$C$12,2))</f>
        <v>41.96</v>
      </c>
      <c r="F1829" s="776">
        <f ca="1">ROUND($A1829*$E1829,2)</f>
        <v>83.92</v>
      </c>
      <c r="G1829" s="635" t="s">
        <v>142</v>
      </c>
      <c r="H1829" s="636"/>
      <c r="I1829" s="637"/>
      <c r="J1829" s="636"/>
      <c r="K1829" s="777"/>
      <c r="L1829" s="778" t="s">
        <v>143</v>
      </c>
      <c r="M1829" s="638"/>
      <c r="N1829" s="638"/>
      <c r="O1829" s="638"/>
      <c r="P1829" s="638"/>
      <c r="Q1829"/>
      <c r="R1829"/>
      <c r="S1829"/>
      <c r="T1829" s="779" t="str">
        <f ca="1">IF(AND($R1848=0,$T1848=0),"0.00","mu :" &amp; ROUND($F1829/$C$12/($R1848+$T1848*$D$9),2))</f>
        <v>mu :1</v>
      </c>
      <c r="W1829" s="522"/>
      <c r="AG1829" s="780">
        <f ca="1">IF(A1829=0,0,ROUND(SUM(AG1831:AG1848)/A1829,2))</f>
        <v>12.3</v>
      </c>
      <c r="AH1829" s="780">
        <f ca="1">$AG1829*$A1829</f>
        <v>24.6</v>
      </c>
      <c r="AI1829" s="780">
        <f ca="1">$E1829-$AG1829</f>
        <v>29.66</v>
      </c>
      <c r="AJ1829" s="780">
        <f ca="1">$A1829*$AI1829</f>
        <v>59.32</v>
      </c>
      <c r="AK1829" s="781">
        <f ca="1">ROUND(($AG1829+$AI1829)*$A1829,2)</f>
        <v>83.92</v>
      </c>
      <c r="AM1829" s="525">
        <f ca="1">ROUND(R1848,2)</f>
        <v>24.6</v>
      </c>
      <c r="AN1829" s="526">
        <f ca="1">ROUND(T1848,2)</f>
        <v>2.16</v>
      </c>
      <c r="AO1829" s="527">
        <f ca="1">ROUND(AM1829+AN1829,2)*A1829</f>
        <v>53.52</v>
      </c>
    </row>
    <row r="1830" spans="1:41" s="519" customFormat="1" ht="21.6" customHeight="1">
      <c r="A1830" s="782"/>
      <c r="B1830" s="783"/>
      <c r="C1830" s="631"/>
      <c r="D1830" s="784" t="s">
        <v>534</v>
      </c>
      <c r="F1830" s="636"/>
      <c r="G1830" s="636"/>
      <c r="H1830" s="636"/>
      <c r="I1830" s="637"/>
      <c r="J1830" s="636"/>
      <c r="K1830" s="636" t="s">
        <v>144</v>
      </c>
      <c r="L1830" s="785"/>
      <c r="M1830" s="636"/>
      <c r="N1830" s="636"/>
      <c r="O1830" s="636"/>
      <c r="P1830" s="636"/>
      <c r="Q1830" s="47"/>
      <c r="R1830" s="528"/>
      <c r="S1830" s="640"/>
      <c r="T1830" s="636"/>
    </row>
    <row r="1831" spans="1:41" s="519" customFormat="1" ht="12">
      <c r="A1831" s="849"/>
      <c r="B1831" s="850"/>
      <c r="C1831" s="641"/>
      <c r="D1831" s="811"/>
      <c r="E1831" s="851">
        <f ca="1">F1829/$C$12-SUMIF($L1828:$L1848,"SUBI",$E1828:$E1848)</f>
        <v>1.0000000000005116E-2</v>
      </c>
      <c r="F1831" s="852" t="s">
        <v>589</v>
      </c>
      <c r="G1831" s="790"/>
      <c r="H1831" s="790"/>
      <c r="I1831" s="791"/>
      <c r="J1831" s="790"/>
      <c r="K1831" s="790"/>
      <c r="L1831" s="792"/>
      <c r="M1831" s="793"/>
      <c r="N1831" s="793"/>
      <c r="O1831" s="793"/>
      <c r="P1831" s="793"/>
      <c r="Q1831" s="794"/>
      <c r="R1831" s="795"/>
      <c r="S1831" s="794"/>
      <c r="T1831" s="796"/>
    </row>
    <row r="1832" spans="1:41" s="519" customFormat="1" ht="12" customHeight="1">
      <c r="A1832" s="797"/>
      <c r="B1832" s="798"/>
      <c r="C1832" s="799"/>
      <c r="D1832" s="799" t="str">
        <f>$F$2</f>
        <v>Electrical</v>
      </c>
      <c r="E1832" s="799">
        <f ca="1">ROUND(($R1836*$S$2 + ($T1836*$T$2)), 2)</f>
        <v>83.91</v>
      </c>
      <c r="F1832" s="800">
        <f ca="1">$E1832*$C$12</f>
        <v>83.91</v>
      </c>
      <c r="G1832" s="528"/>
      <c r="H1832" s="801"/>
      <c r="I1832" s="528"/>
      <c r="J1832" s="48"/>
      <c r="K1832" s="802" t="s">
        <v>3</v>
      </c>
      <c r="L1832" s="803" t="s">
        <v>590</v>
      </c>
      <c r="M1832" s="528"/>
      <c r="N1832" s="528"/>
      <c r="O1832" s="48"/>
      <c r="P1832" s="528"/>
      <c r="Q1832" s="528"/>
      <c r="R1832"/>
      <c r="S1832"/>
      <c r="T1832"/>
    </row>
    <row r="1833" spans="1:41" s="956" customFormat="1" ht="13.2">
      <c r="A1833"/>
      <c r="B1833" s="948"/>
      <c r="C1833" s="948" t="s">
        <v>742</v>
      </c>
      <c r="D1833" s="948" t="str">
        <f ca="1">CELL("Address",Elec_Rates!D$138)</f>
        <v>[ELM25_0085_Quintano_Elec_Mech_HVAC_Est_Rev_B.xlsx]Elec_Rates!$D$138</v>
      </c>
      <c r="E1833" s="949"/>
      <c r="F1833" s="949"/>
      <c r="G1833" s="950" t="s">
        <v>743</v>
      </c>
      <c r="H1833" s="950"/>
      <c r="I1833" s="950"/>
      <c r="J1833" s="950"/>
      <c r="K1833" s="951"/>
      <c r="L1833" s="949"/>
      <c r="M1833" s="949"/>
      <c r="N1833" s="949"/>
      <c r="O1833" s="952"/>
      <c r="P1833" s="949"/>
      <c r="Q1833" s="953"/>
      <c r="R1833" s="954"/>
      <c r="S1833" s="953"/>
      <c r="T1833" s="943"/>
      <c r="U1833" s="955"/>
    </row>
    <row r="1834" spans="1:41" s="956" customFormat="1" ht="11.4">
      <c r="A1834" s="957">
        <v>2</v>
      </c>
      <c r="B1834" s="958">
        <v>1</v>
      </c>
      <c r="C1834" s="958">
        <f>$A1834*$B1834</f>
        <v>2</v>
      </c>
      <c r="D1834" s="959" t="str">
        <f>Elec_Rates!$D$138</f>
        <v>000# Empty conduit for thermostat</v>
      </c>
      <c r="E1834" s="959"/>
      <c r="F1834" s="959" t="s">
        <v>744</v>
      </c>
      <c r="G1834" s="960" t="s">
        <v>760</v>
      </c>
      <c r="H1834" s="960"/>
      <c r="I1834" s="960"/>
      <c r="J1834" s="960"/>
      <c r="K1834" s="961"/>
      <c r="L1834" s="955"/>
      <c r="M1834" s="955"/>
      <c r="N1834" s="955"/>
      <c r="O1834" s="962"/>
      <c r="P1834" s="959"/>
      <c r="Q1834" s="963">
        <f ca="1">$B1834*Elec_Rates!$R$138</f>
        <v>12.3</v>
      </c>
      <c r="R1834" s="954">
        <f ca="1">$A1834*Q1834</f>
        <v>24.6</v>
      </c>
      <c r="S1834" s="963">
        <f ca="1">$B1834*Elec_Rates!$T$138</f>
        <v>1.08</v>
      </c>
      <c r="T1834" s="943">
        <f ca="1">$A1834*S1834</f>
        <v>2.16</v>
      </c>
      <c r="U1834" s="501"/>
    </row>
    <row r="1835" spans="1:41" s="519" customFormat="1" ht="14.4" customHeight="1">
      <c r="A1835" s="49"/>
      <c r="B1835" s="528"/>
      <c r="C1835" s="528"/>
      <c r="D1835" s="528"/>
      <c r="E1835" s="528"/>
      <c r="F1835" s="528"/>
      <c r="G1835" s="528"/>
      <c r="H1835" s="801"/>
      <c r="I1835" s="528"/>
      <c r="J1835" s="48"/>
      <c r="K1835" s="805"/>
      <c r="L1835" s="806"/>
      <c r="M1835" s="528"/>
      <c r="N1835" s="528"/>
      <c r="O1835" s="48"/>
      <c r="P1835" s="528"/>
      <c r="Q1835" s="528"/>
      <c r="R1835" s="807">
        <f>$A1835*Q1835</f>
        <v>0</v>
      </c>
      <c r="S1835" s="528"/>
      <c r="T1835" s="643">
        <f>$A1835*S1835*$T$1</f>
        <v>0</v>
      </c>
    </row>
    <row r="1836" spans="1:41" s="519" customFormat="1" ht="12">
      <c r="A1836" s="835" t="s">
        <v>145</v>
      </c>
      <c r="B1836" s="836">
        <f>(R1835+T1835)</f>
        <v>0</v>
      </c>
      <c r="C1836" s="790"/>
      <c r="G1836" s="810"/>
      <c r="H1836" s="810"/>
      <c r="I1836" s="810"/>
      <c r="J1836" s="810"/>
      <c r="K1836" s="811" t="s">
        <v>3</v>
      </c>
      <c r="L1836" s="812" t="s">
        <v>590</v>
      </c>
      <c r="M1836" s="810"/>
      <c r="N1836" s="810"/>
      <c r="O1836" s="810"/>
      <c r="P1836" s="810"/>
      <c r="Q1836" s="813"/>
      <c r="R1836" s="814">
        <f ca="1">SUM(R1832:R1835)</f>
        <v>24.6</v>
      </c>
      <c r="S1836" s="815"/>
      <c r="T1836" s="814">
        <f ca="1">SUM(T1832:T1835)</f>
        <v>2.16</v>
      </c>
      <c r="AG1836" s="816">
        <f ca="1">ROUND($R1836*$S$2,2)</f>
        <v>24.6</v>
      </c>
    </row>
    <row r="1837" spans="1:41" s="519" customFormat="1" ht="12" customHeight="1">
      <c r="A1837" s="797"/>
      <c r="B1837" s="853"/>
      <c r="C1837" s="854"/>
      <c r="D1837" s="855" t="str">
        <f>$F$3</f>
        <v>ECA</v>
      </c>
      <c r="E1837" s="855">
        <f>ROUND(($R1841*$S$3 + ($T1841*$T$3)), 2)</f>
        <v>0</v>
      </c>
      <c r="F1837" s="856">
        <f>$E1837*$C$12</f>
        <v>0</v>
      </c>
      <c r="G1837" s="518"/>
      <c r="H1837" s="518"/>
      <c r="I1837" s="518"/>
      <c r="J1837" s="518"/>
      <c r="K1837" s="802" t="s">
        <v>5</v>
      </c>
      <c r="L1837" s="803" t="s">
        <v>590</v>
      </c>
      <c r="M1837" s="518"/>
      <c r="N1837" s="518"/>
      <c r="O1837" s="518"/>
      <c r="P1837" s="518"/>
      <c r="Q1837" s="518"/>
      <c r="R1837" s="821"/>
      <c r="S1837" s="518"/>
      <c r="T1837" s="821"/>
    </row>
    <row r="1838" spans="1:41" s="834" customFormat="1" ht="15.6" customHeight="1">
      <c r="A1838" s="822"/>
      <c r="B1838" s="804" t="s">
        <v>592</v>
      </c>
      <c r="C1838" s="823"/>
      <c r="D1838" s="824"/>
      <c r="E1838" s="824"/>
      <c r="F1838" s="824"/>
      <c r="G1838" s="825"/>
      <c r="H1838" s="826"/>
      <c r="I1838" s="826"/>
      <c r="J1838" s="827"/>
      <c r="K1838" s="828"/>
      <c r="L1838" s="823"/>
      <c r="M1838" s="829"/>
      <c r="N1838" s="830"/>
      <c r="O1838" s="831"/>
      <c r="P1838" s="832"/>
      <c r="Q1838" s="833"/>
      <c r="R1838" s="807">
        <f>$A1838*Q1838</f>
        <v>0</v>
      </c>
      <c r="S1838" s="528"/>
      <c r="T1838" s="643">
        <f>$A1838*S1838*$T$1</f>
        <v>0</v>
      </c>
    </row>
    <row r="1839" spans="1:41" s="519" customFormat="1" ht="15.6" customHeight="1">
      <c r="A1839" s="49"/>
      <c r="B1839" s="528"/>
      <c r="C1839" s="528"/>
      <c r="D1839" s="528"/>
      <c r="E1839" s="528"/>
      <c r="F1839" s="528"/>
      <c r="G1839" s="528"/>
      <c r="H1839" s="528"/>
      <c r="I1839" s="528"/>
      <c r="J1839" s="528"/>
      <c r="K1839" s="528"/>
      <c r="L1839" s="806"/>
      <c r="M1839" s="528"/>
      <c r="N1839" s="528"/>
      <c r="O1839" s="528"/>
      <c r="P1839" s="528"/>
      <c r="Q1839" s="528"/>
      <c r="R1839" s="807">
        <f>$A1839*Q1839</f>
        <v>0</v>
      </c>
      <c r="S1839" s="528"/>
      <c r="T1839" s="643">
        <f>$A1839*S1839*$T$1</f>
        <v>0</v>
      </c>
    </row>
    <row r="1840" spans="1:41" s="519" customFormat="1" ht="15.6" customHeight="1">
      <c r="A1840" s="49"/>
      <c r="B1840" s="528"/>
      <c r="C1840" s="528"/>
      <c r="D1840" s="3"/>
      <c r="E1840" s="528"/>
      <c r="F1840" s="528"/>
      <c r="G1840" s="528"/>
      <c r="H1840" s="528"/>
      <c r="I1840" s="528"/>
      <c r="J1840" s="528"/>
      <c r="K1840" s="528"/>
      <c r="L1840" s="806"/>
      <c r="M1840" s="528"/>
      <c r="N1840" s="528"/>
      <c r="O1840" s="528"/>
      <c r="P1840" s="528"/>
      <c r="Q1840" s="528"/>
      <c r="R1840" s="807">
        <f>$A1840*Q1840</f>
        <v>0</v>
      </c>
      <c r="S1840" s="528"/>
      <c r="T1840" s="643">
        <f>$A1840*S1840*$T$1</f>
        <v>0</v>
      </c>
    </row>
    <row r="1841" spans="1:41" s="519" customFormat="1" ht="12">
      <c r="A1841" s="835" t="s">
        <v>145</v>
      </c>
      <c r="B1841" s="836">
        <f>(R1840+T1840)</f>
        <v>0</v>
      </c>
      <c r="C1841" s="790"/>
      <c r="G1841" s="810"/>
      <c r="H1841" s="810"/>
      <c r="I1841" s="810"/>
      <c r="J1841" s="810"/>
      <c r="K1841" s="838" t="s">
        <v>5</v>
      </c>
      <c r="L1841" s="812" t="s">
        <v>590</v>
      </c>
      <c r="M1841" s="810"/>
      <c r="N1841" s="810"/>
      <c r="O1841" s="810"/>
      <c r="P1841" s="810"/>
      <c r="Q1841" s="813"/>
      <c r="R1841" s="814">
        <f>SUM(R1837:R1840)</f>
        <v>0</v>
      </c>
      <c r="S1841" s="815"/>
      <c r="T1841" s="814">
        <f>SUM(T1837:T1840)</f>
        <v>0</v>
      </c>
      <c r="AG1841" s="840">
        <f>ROUND($R1841*$S$3,2)</f>
        <v>0</v>
      </c>
    </row>
    <row r="1842" spans="1:41" s="519" customFormat="1" ht="12" customHeight="1">
      <c r="A1842" s="817"/>
      <c r="B1842" s="857"/>
      <c r="C1842" s="858"/>
      <c r="D1842" s="859">
        <f>$F$4</f>
        <v>0</v>
      </c>
      <c r="E1842" s="859">
        <f>ROUND(($R1846*$S$4 + ($T1846*$T$4)), 2)</f>
        <v>0</v>
      </c>
      <c r="F1842" s="860">
        <f ca="1">$F1829-SUMIF($L1831:$P1839,"SUBI",$F1831:$F1839)</f>
        <v>1.0000000000005116E-2</v>
      </c>
      <c r="G1842" s="518"/>
      <c r="H1842" s="518"/>
      <c r="I1842" s="518"/>
      <c r="J1842" s="518"/>
      <c r="K1842" s="861" t="s">
        <v>8</v>
      </c>
      <c r="L1842" s="803" t="s">
        <v>590</v>
      </c>
      <c r="M1842" s="518"/>
      <c r="N1842" s="518"/>
      <c r="O1842" s="518"/>
      <c r="P1842" s="518"/>
      <c r="Q1842" s="518"/>
      <c r="R1842" s="821"/>
      <c r="S1842" s="518"/>
      <c r="T1842" s="821"/>
    </row>
    <row r="1843" spans="1:41" s="834" customFormat="1" ht="14.4" customHeight="1">
      <c r="A1843" s="822"/>
      <c r="B1843" s="804" t="s">
        <v>680</v>
      </c>
      <c r="C1843" s="823"/>
      <c r="D1843" s="824"/>
      <c r="E1843" s="824"/>
      <c r="F1843" s="824"/>
      <c r="G1843" s="825"/>
      <c r="H1843" s="826"/>
      <c r="I1843" s="826"/>
      <c r="J1843" s="827"/>
      <c r="K1843" s="828"/>
      <c r="L1843" s="823"/>
      <c r="M1843" s="829"/>
      <c r="N1843" s="830"/>
      <c r="O1843" s="862"/>
      <c r="P1843" s="832"/>
      <c r="Q1843" s="833"/>
      <c r="R1843" s="642">
        <f>$A1843*Q1843</f>
        <v>0</v>
      </c>
      <c r="S1843" s="833"/>
      <c r="T1843" s="643">
        <f>$A1843*S1843*$T$1</f>
        <v>0</v>
      </c>
    </row>
    <row r="1844" spans="1:41" s="519" customFormat="1" ht="12">
      <c r="A1844" s="47"/>
      <c r="B1844" s="641"/>
      <c r="C1844" s="641"/>
      <c r="D1844" s="863"/>
      <c r="E1844" s="843"/>
      <c r="F1844" s="518"/>
      <c r="G1844" s="518"/>
      <c r="H1844" s="518"/>
      <c r="I1844" s="518"/>
      <c r="J1844" s="518"/>
      <c r="K1844" s="518"/>
      <c r="L1844" s="864"/>
      <c r="M1844" s="518"/>
      <c r="N1844" s="518"/>
      <c r="O1844" s="518"/>
      <c r="P1844" s="518"/>
      <c r="Q1844" s="518"/>
      <c r="R1844" s="642">
        <f>$A1844*Q1844</f>
        <v>0</v>
      </c>
      <c r="S1844" s="518"/>
      <c r="T1844" s="643">
        <f>$A1844*S1844*$T$1</f>
        <v>0</v>
      </c>
    </row>
    <row r="1845" spans="1:41" s="519" customFormat="1" ht="12">
      <c r="A1845" s="47"/>
      <c r="B1845" s="641"/>
      <c r="C1845" s="641"/>
      <c r="D1845" s="863"/>
      <c r="E1845" s="843"/>
      <c r="F1845" s="518"/>
      <c r="G1845" s="518"/>
      <c r="H1845" s="518"/>
      <c r="I1845" s="518"/>
      <c r="J1845" s="518"/>
      <c r="K1845" s="518"/>
      <c r="L1845" s="864"/>
      <c r="M1845" s="518"/>
      <c r="N1845" s="518"/>
      <c r="O1845" s="518"/>
      <c r="P1845" s="518"/>
      <c r="Q1845" s="518"/>
      <c r="R1845" s="642">
        <f>$A1845*Q1845</f>
        <v>0</v>
      </c>
      <c r="S1845" s="518"/>
      <c r="T1845" s="643">
        <f>$A1845*S1845*$T$1</f>
        <v>0</v>
      </c>
    </row>
    <row r="1846" spans="1:41" s="519" customFormat="1" ht="12.75" customHeight="1">
      <c r="A1846" s="835" t="s">
        <v>145</v>
      </c>
      <c r="B1846" s="836">
        <f>(R1845+T1845)</f>
        <v>0</v>
      </c>
      <c r="C1846" s="837"/>
      <c r="D1846" s="837"/>
      <c r="E1846" s="837"/>
      <c r="F1846" s="837"/>
      <c r="G1846" s="813"/>
      <c r="H1846" s="813"/>
      <c r="I1846" s="813"/>
      <c r="J1846" s="813"/>
      <c r="K1846" s="838" t="s">
        <v>8</v>
      </c>
      <c r="L1846" s="839" t="s">
        <v>590</v>
      </c>
      <c r="M1846" s="813"/>
      <c r="N1846" s="813"/>
      <c r="O1846" s="813"/>
      <c r="P1846" s="813"/>
      <c r="Q1846" s="813"/>
      <c r="R1846" s="814">
        <f>SUM(R1842:R1845)</f>
        <v>0</v>
      </c>
      <c r="S1846" s="815"/>
      <c r="T1846" s="814">
        <f>SUM(T1842:T1845)</f>
        <v>0</v>
      </c>
      <c r="AG1846" s="865">
        <f>ROUND($R1846*$S$4,2)</f>
        <v>0</v>
      </c>
    </row>
    <row r="1847" spans="1:41" s="519" customFormat="1" ht="12.75" customHeight="1">
      <c r="A1847" s="841"/>
      <c r="B1847" s="842"/>
      <c r="E1847" s="641"/>
      <c r="F1847" s="843"/>
      <c r="G1847" s="641"/>
      <c r="H1847" s="641"/>
      <c r="I1847" s="518"/>
      <c r="J1847" s="641"/>
      <c r="K1847" s="641"/>
      <c r="L1847" s="844"/>
      <c r="M1847" s="652"/>
      <c r="N1847" s="652"/>
      <c r="O1847" s="652"/>
      <c r="P1847" s="652"/>
      <c r="Q1847" s="653"/>
      <c r="R1847" s="821"/>
      <c r="S1847" s="641"/>
      <c r="T1847" s="821"/>
    </row>
    <row r="1848" spans="1:41" s="519" customFormat="1" ht="13.5" customHeight="1" thickBot="1">
      <c r="A1848" s="845"/>
      <c r="B1848" s="846"/>
      <c r="C1848" s="529"/>
      <c r="D1848" s="529"/>
      <c r="E1848" s="646"/>
      <c r="F1848" s="647"/>
      <c r="G1848" s="646" t="s">
        <v>146</v>
      </c>
      <c r="H1848" s="646"/>
      <c r="I1848" s="648"/>
      <c r="J1848" s="646"/>
      <c r="K1848" s="646"/>
      <c r="L1848" s="847" t="s">
        <v>143</v>
      </c>
      <c r="M1848" s="649"/>
      <c r="N1848" s="649"/>
      <c r="O1848" s="649"/>
      <c r="P1848" s="649"/>
      <c r="Q1848" s="650"/>
      <c r="R1848" s="848">
        <f ca="1">SUMIF($L1830:$L1847,"SUBI",R1830:R1847)</f>
        <v>24.6</v>
      </c>
      <c r="S1848" s="866"/>
      <c r="T1848" s="848">
        <f ca="1">SUMIF($L1830:$L1847,"SUBI",T1830:T1847)</f>
        <v>2.16</v>
      </c>
      <c r="U1848" s="529"/>
      <c r="V1848" s="529"/>
      <c r="W1848" s="529"/>
      <c r="X1848" s="529"/>
      <c r="Y1848" s="529"/>
      <c r="Z1848" s="529"/>
      <c r="AA1848" s="529"/>
      <c r="AB1848" s="529"/>
      <c r="AC1848" s="529"/>
      <c r="AD1848" s="529"/>
      <c r="AE1848" s="529"/>
      <c r="AF1848" s="529"/>
      <c r="AG1848" s="529"/>
      <c r="AH1848" s="529"/>
      <c r="AI1848" s="529"/>
      <c r="AJ1848" s="529"/>
      <c r="AK1848" s="529"/>
      <c r="AL1848" s="529"/>
      <c r="AM1848" s="529"/>
      <c r="AN1848" s="529"/>
      <c r="AO1848" s="529"/>
    </row>
    <row r="1849" spans="1:41" s="519" customFormat="1" thickTop="1">
      <c r="A1849" s="47"/>
      <c r="B1849" s="47"/>
      <c r="C1849" s="3"/>
      <c r="D1849" s="3"/>
      <c r="E1849" s="47"/>
      <c r="F1849" s="47"/>
      <c r="G1849" s="47"/>
      <c r="H1849" s="47"/>
      <c r="I1849" s="47"/>
      <c r="J1849" s="47"/>
      <c r="K1849" s="47" t="s">
        <v>134</v>
      </c>
      <c r="L1849" s="47"/>
      <c r="M1849" s="47"/>
      <c r="N1849" s="47"/>
      <c r="O1849" s="48"/>
      <c r="P1849" s="47"/>
      <c r="Q1849" s="47"/>
      <c r="R1849" s="47"/>
      <c r="S1849" s="47"/>
      <c r="T1849" s="47"/>
    </row>
    <row r="1850" spans="1:41" s="519" customFormat="1" ht="12">
      <c r="A1850" s="47"/>
      <c r="B1850" s="47"/>
      <c r="C1850" s="47" t="s">
        <v>135</v>
      </c>
      <c r="D1850" s="36"/>
      <c r="E1850" s="47"/>
      <c r="F1850" s="47"/>
      <c r="G1850" s="47"/>
      <c r="H1850" s="47"/>
      <c r="I1850" s="47"/>
      <c r="J1850" s="47"/>
      <c r="K1850" s="47"/>
      <c r="L1850" s="47"/>
      <c r="M1850" s="47"/>
      <c r="N1850" s="47"/>
      <c r="O1850" s="48"/>
      <c r="P1850" s="47"/>
      <c r="Q1850" s="47"/>
      <c r="R1850" s="47"/>
      <c r="S1850" s="47"/>
      <c r="T1850" s="47"/>
    </row>
    <row r="1851" spans="1:41" s="519" customFormat="1" ht="12">
      <c r="A1851" s="47"/>
      <c r="B1851" s="47"/>
      <c r="C1851" s="47"/>
      <c r="D1851" s="36" t="s">
        <v>560</v>
      </c>
      <c r="E1851" s="47"/>
      <c r="F1851" s="47"/>
      <c r="G1851" s="47"/>
      <c r="H1851" s="47"/>
      <c r="I1851" s="47"/>
      <c r="J1851" s="47"/>
      <c r="K1851" s="47"/>
      <c r="L1851" s="47"/>
      <c r="M1851" s="47"/>
      <c r="N1851" s="47"/>
      <c r="O1851" s="48"/>
      <c r="P1851" s="47"/>
      <c r="Q1851" s="47"/>
      <c r="R1851" s="47"/>
      <c r="S1851" s="37"/>
      <c r="T1851" s="37"/>
    </row>
    <row r="1852" spans="1:41" s="3" customFormat="1" thickBot="1">
      <c r="A1852" s="529"/>
      <c r="O1852" s="99"/>
    </row>
    <row r="1853" spans="1:41" s="519" customFormat="1" thickTop="1">
      <c r="A1853" s="47"/>
      <c r="B1853" s="47"/>
      <c r="C1853" s="3"/>
      <c r="D1853" s="3"/>
      <c r="E1853" s="47"/>
      <c r="F1853" s="47"/>
      <c r="G1853" s="47"/>
      <c r="H1853" s="47"/>
      <c r="I1853" s="47"/>
      <c r="J1853" s="47"/>
      <c r="K1853" s="47" t="s">
        <v>134</v>
      </c>
      <c r="L1853" s="47"/>
      <c r="M1853" s="47"/>
      <c r="N1853" s="47"/>
      <c r="O1853" s="48"/>
      <c r="P1853" s="47"/>
      <c r="Q1853" s="47"/>
      <c r="R1853" s="47"/>
      <c r="S1853" s="47"/>
      <c r="T1853" s="47"/>
    </row>
    <row r="1854" spans="1:41" s="519" customFormat="1" ht="12">
      <c r="A1854" s="47"/>
      <c r="B1854" s="47"/>
      <c r="C1854" s="47" t="s">
        <v>135</v>
      </c>
      <c r="D1854" s="36"/>
      <c r="E1854" s="47"/>
      <c r="F1854" s="47"/>
      <c r="G1854" s="47"/>
      <c r="H1854" s="47"/>
      <c r="I1854" s="47"/>
      <c r="J1854" s="47"/>
      <c r="K1854" s="47"/>
      <c r="L1854" s="47"/>
      <c r="M1854" s="47"/>
      <c r="N1854" s="47"/>
      <c r="O1854" s="48"/>
      <c r="P1854" s="47"/>
      <c r="Q1854" s="47"/>
      <c r="R1854" s="47"/>
      <c r="S1854" s="47"/>
      <c r="T1854" s="47"/>
    </row>
    <row r="1855" spans="1:41" s="519" customFormat="1" ht="12">
      <c r="A1855" s="47"/>
      <c r="B1855" s="47"/>
      <c r="C1855" s="47"/>
      <c r="D1855" s="36" t="s">
        <v>561</v>
      </c>
      <c r="E1855" s="47"/>
      <c r="F1855" s="47"/>
      <c r="G1855" s="47"/>
      <c r="H1855" s="47"/>
      <c r="I1855" s="47"/>
      <c r="J1855" s="47"/>
      <c r="K1855" s="47"/>
      <c r="L1855" s="47"/>
      <c r="M1855" s="47"/>
      <c r="N1855" s="47"/>
      <c r="O1855" s="48"/>
      <c r="P1855" s="47"/>
      <c r="Q1855" s="47"/>
      <c r="R1855" s="47"/>
      <c r="S1855" s="37"/>
      <c r="T1855" s="37"/>
    </row>
    <row r="1856" spans="1:41" s="3" customFormat="1" thickBot="1">
      <c r="A1856" s="529"/>
      <c r="O1856" s="99"/>
    </row>
    <row r="1857" spans="1:41" s="519" customFormat="1" thickTop="1">
      <c r="A1857" s="47"/>
      <c r="B1857" s="47"/>
      <c r="C1857" s="3"/>
      <c r="D1857" s="3"/>
      <c r="E1857" s="47"/>
      <c r="F1857" s="47"/>
      <c r="G1857" s="47"/>
      <c r="H1857" s="47"/>
      <c r="I1857" s="47"/>
      <c r="J1857" s="47"/>
      <c r="K1857" s="47" t="s">
        <v>134</v>
      </c>
      <c r="L1857" s="47"/>
      <c r="M1857" s="47"/>
      <c r="N1857" s="47"/>
      <c r="O1857" s="48"/>
      <c r="P1857" s="47"/>
      <c r="Q1857" s="47"/>
      <c r="R1857" s="47"/>
      <c r="S1857" s="47"/>
      <c r="T1857" s="47"/>
    </row>
    <row r="1858" spans="1:41" s="519" customFormat="1" ht="12">
      <c r="A1858" s="47"/>
      <c r="B1858" s="47"/>
      <c r="C1858" s="47" t="s">
        <v>135</v>
      </c>
      <c r="D1858" s="36"/>
      <c r="E1858" s="47"/>
      <c r="F1858" s="47"/>
      <c r="G1858" s="47"/>
      <c r="H1858" s="47"/>
      <c r="I1858" s="47"/>
      <c r="J1858" s="47"/>
      <c r="K1858" s="47"/>
      <c r="L1858" s="47"/>
      <c r="M1858" s="47"/>
      <c r="N1858" s="47"/>
      <c r="O1858" s="48"/>
      <c r="P1858" s="47"/>
      <c r="Q1858" s="47"/>
      <c r="R1858" s="47"/>
      <c r="S1858" s="47"/>
      <c r="T1858" s="47"/>
    </row>
    <row r="1859" spans="1:41" s="519" customFormat="1" ht="39.9" customHeight="1">
      <c r="A1859" s="47"/>
      <c r="B1859" s="47"/>
      <c r="C1859" s="47"/>
      <c r="D1859" s="979" t="s">
        <v>530</v>
      </c>
      <c r="E1859" s="980"/>
      <c r="F1859" s="980"/>
      <c r="G1859" s="980"/>
      <c r="H1859" s="980"/>
      <c r="I1859" s="980"/>
      <c r="J1859" s="980"/>
      <c r="K1859" s="980"/>
      <c r="L1859" s="980"/>
      <c r="M1859" s="980"/>
      <c r="N1859" s="980"/>
      <c r="O1859" s="980"/>
      <c r="P1859" s="980"/>
      <c r="Q1859" s="980"/>
      <c r="R1859" s="980"/>
      <c r="S1859" s="980"/>
      <c r="T1859" s="980"/>
    </row>
    <row r="1860" spans="1:41" s="3" customFormat="1" thickBot="1">
      <c r="A1860" s="529"/>
      <c r="O1860" s="99"/>
    </row>
    <row r="1861" spans="1:41" s="519" customFormat="1" thickTop="1">
      <c r="A1861" s="47"/>
      <c r="B1861" s="40"/>
      <c r="C1861" s="47"/>
      <c r="E1861" s="41" t="s">
        <v>138</v>
      </c>
      <c r="F1861" s="41" t="s">
        <v>139</v>
      </c>
      <c r="G1861" s="47"/>
      <c r="H1861" s="47"/>
      <c r="I1861" s="47"/>
      <c r="J1861" s="47"/>
      <c r="K1861" s="47" t="s">
        <v>140</v>
      </c>
      <c r="L1861" s="774"/>
      <c r="M1861" s="47"/>
      <c r="N1861" s="47"/>
      <c r="O1861" s="48"/>
      <c r="P1861" s="47"/>
      <c r="Q1861"/>
      <c r="R1861"/>
      <c r="S1861"/>
      <c r="T1861" s="40"/>
      <c r="AG1861" s="627" t="s">
        <v>277</v>
      </c>
      <c r="AH1861" s="627" t="s">
        <v>278</v>
      </c>
      <c r="AI1861" s="627" t="s">
        <v>279</v>
      </c>
      <c r="AJ1861" s="627" t="s">
        <v>280</v>
      </c>
      <c r="AK1861" s="627" t="s">
        <v>281</v>
      </c>
      <c r="AM1861" s="628" t="s">
        <v>290</v>
      </c>
      <c r="AN1861" s="629" t="s">
        <v>291</v>
      </c>
      <c r="AO1861" s="520" t="s">
        <v>287</v>
      </c>
    </row>
    <row r="1862" spans="1:41" s="519" customFormat="1" ht="13.2">
      <c r="A1862" s="630">
        <v>4</v>
      </c>
      <c r="B1862" s="521" t="s">
        <v>312</v>
      </c>
      <c r="C1862" s="631"/>
      <c r="D1862" s="632" t="s">
        <v>716</v>
      </c>
      <c r="E1862" s="775">
        <f>IF(AND($A1862=0,$A$1="DIF"),0,ROUND(ROUND(SUMIF($L1864:$L1875,"SUBI",$E1864:$E1875)/$A1862,2)*$C$12,2))</f>
        <v>0</v>
      </c>
      <c r="F1862" s="776">
        <f>ROUND($A1862*$E1862,2)</f>
        <v>0</v>
      </c>
      <c r="G1862" s="635" t="s">
        <v>142</v>
      </c>
      <c r="H1862" s="636"/>
      <c r="I1862" s="637"/>
      <c r="J1862" s="636"/>
      <c r="K1862" s="777"/>
      <c r="L1862" s="778" t="s">
        <v>143</v>
      </c>
      <c r="M1862" s="638"/>
      <c r="N1862" s="638"/>
      <c r="O1862" s="638"/>
      <c r="P1862" s="638"/>
      <c r="Q1862" s="967" t="s">
        <v>867</v>
      </c>
      <c r="R1862"/>
      <c r="S1862"/>
      <c r="T1862" s="779" t="str">
        <f>IF(AND($R1881=0,$T1881=0),"0.00","mu :" &amp; ROUND($F1862/$C$12/($R1881+$T1881*$D$9),2))</f>
        <v>0.00</v>
      </c>
      <c r="W1862" s="522"/>
      <c r="AG1862" s="780">
        <f>IF(A1862=0,0,ROUND(SUM(AG1864:AG1881)/A1862,2))</f>
        <v>0</v>
      </c>
      <c r="AH1862" s="780">
        <f>$AG1862*$A1862</f>
        <v>0</v>
      </c>
      <c r="AI1862" s="780">
        <f>$E1862-$AG1862</f>
        <v>0</v>
      </c>
      <c r="AJ1862" s="780">
        <f>$A1862*$AI1862</f>
        <v>0</v>
      </c>
      <c r="AK1862" s="781">
        <f>ROUND(($AG1862+$AI1862)*$A1862,2)</f>
        <v>0</v>
      </c>
      <c r="AM1862" s="525">
        <f>ROUND(R1881,2)</f>
        <v>0</v>
      </c>
      <c r="AN1862" s="526">
        <f>ROUND(T1881,2)</f>
        <v>0</v>
      </c>
      <c r="AO1862" s="527">
        <f>ROUND(AM1862+AN1862,2)*A1862</f>
        <v>0</v>
      </c>
    </row>
    <row r="1863" spans="1:41" s="519" customFormat="1" ht="21.6" customHeight="1">
      <c r="A1863" s="782"/>
      <c r="B1863" s="783"/>
      <c r="C1863" s="631"/>
      <c r="D1863" s="784" t="s">
        <v>543</v>
      </c>
      <c r="F1863" s="636"/>
      <c r="G1863" s="636"/>
      <c r="H1863" s="636"/>
      <c r="I1863" s="637"/>
      <c r="J1863" s="636"/>
      <c r="K1863" s="636" t="s">
        <v>144</v>
      </c>
      <c r="L1863" s="785"/>
      <c r="M1863" s="636"/>
      <c r="N1863" s="636"/>
      <c r="O1863" s="636"/>
      <c r="P1863" s="636"/>
      <c r="Q1863" s="47"/>
      <c r="R1863" s="528"/>
      <c r="S1863" s="640"/>
      <c r="T1863" s="636"/>
    </row>
    <row r="1864" spans="1:41" s="519" customFormat="1" ht="12">
      <c r="A1864" s="849"/>
      <c r="B1864" s="850"/>
      <c r="C1864" s="641"/>
      <c r="D1864" s="811"/>
      <c r="E1864" s="851">
        <f>F1862/$C$12-SUMIF($L1861:$L1881,"SUBI",$E1861:$E1881)</f>
        <v>0</v>
      </c>
      <c r="F1864" s="852" t="s">
        <v>589</v>
      </c>
      <c r="G1864" s="790"/>
      <c r="H1864" s="790"/>
      <c r="I1864" s="791"/>
      <c r="J1864" s="790"/>
      <c r="K1864" s="790"/>
      <c r="L1864" s="792"/>
      <c r="M1864" s="793"/>
      <c r="N1864" s="793"/>
      <c r="O1864" s="793"/>
      <c r="P1864" s="793"/>
      <c r="Q1864" s="794"/>
      <c r="R1864" s="795"/>
      <c r="S1864" s="794"/>
      <c r="T1864" s="796"/>
    </row>
    <row r="1865" spans="1:41" s="519" customFormat="1" ht="12" customHeight="1">
      <c r="A1865" s="797"/>
      <c r="B1865" s="798"/>
      <c r="C1865" s="799"/>
      <c r="D1865" s="799" t="str">
        <f>$F$2</f>
        <v>Electrical</v>
      </c>
      <c r="E1865" s="799">
        <f>ROUND(($R1869*$S$2 + ($T1869*$T$2)), 2)</f>
        <v>0</v>
      </c>
      <c r="F1865" s="800">
        <f>$E1865*$C$12</f>
        <v>0</v>
      </c>
      <c r="G1865" s="528"/>
      <c r="H1865" s="801"/>
      <c r="I1865" s="528"/>
      <c r="J1865" s="48"/>
      <c r="K1865" s="802" t="s">
        <v>3</v>
      </c>
      <c r="L1865" s="803" t="s">
        <v>590</v>
      </c>
      <c r="M1865" s="528"/>
      <c r="N1865" s="528"/>
      <c r="O1865" s="48"/>
      <c r="P1865" s="528"/>
      <c r="Q1865" s="528"/>
      <c r="R1865"/>
      <c r="S1865"/>
      <c r="T1865"/>
    </row>
    <row r="1866" spans="1:41" s="519" customFormat="1" ht="14.4" customHeight="1">
      <c r="A1866" s="49"/>
      <c r="B1866" s="804" t="s">
        <v>591</v>
      </c>
      <c r="C1866" s="528"/>
      <c r="D1866" s="528"/>
      <c r="E1866" s="528"/>
      <c r="F1866" s="528"/>
      <c r="G1866" s="528"/>
      <c r="H1866" s="801"/>
      <c r="I1866" s="528"/>
      <c r="J1866" s="48"/>
      <c r="K1866" s="805"/>
      <c r="L1866" s="806"/>
      <c r="M1866" s="528"/>
      <c r="N1866" s="528"/>
      <c r="O1866" s="48"/>
      <c r="P1866" s="528"/>
      <c r="Q1866" s="528"/>
      <c r="R1866" s="807">
        <f>$A1866*Q1866</f>
        <v>0</v>
      </c>
      <c r="S1866" s="528"/>
      <c r="T1866" s="643">
        <f>$A1866*S1866*$T$1</f>
        <v>0</v>
      </c>
    </row>
    <row r="1867" spans="1:41" s="519" customFormat="1" ht="14.4" customHeight="1">
      <c r="A1867" s="49"/>
      <c r="B1867" s="528"/>
      <c r="C1867" s="528"/>
      <c r="D1867" s="528"/>
      <c r="E1867" s="528"/>
      <c r="F1867" s="528"/>
      <c r="G1867" s="528"/>
      <c r="H1867" s="801"/>
      <c r="I1867" s="528"/>
      <c r="J1867" s="48"/>
      <c r="K1867" s="805"/>
      <c r="L1867" s="806"/>
      <c r="M1867" s="528"/>
      <c r="N1867" s="528"/>
      <c r="O1867" s="48"/>
      <c r="P1867" s="528"/>
      <c r="Q1867" s="528"/>
      <c r="R1867" s="807">
        <f>$A1867*Q1867</f>
        <v>0</v>
      </c>
      <c r="S1867" s="528"/>
      <c r="T1867" s="643">
        <f>$A1867*S1867*$T$1</f>
        <v>0</v>
      </c>
    </row>
    <row r="1868" spans="1:41" s="519" customFormat="1" ht="14.4" customHeight="1">
      <c r="A1868" s="49"/>
      <c r="B1868" s="528"/>
      <c r="C1868" s="528"/>
      <c r="D1868" s="528"/>
      <c r="E1868" s="528"/>
      <c r="F1868" s="528"/>
      <c r="G1868" s="528"/>
      <c r="H1868" s="801"/>
      <c r="I1868" s="528"/>
      <c r="J1868" s="48"/>
      <c r="K1868" s="805"/>
      <c r="L1868" s="806"/>
      <c r="M1868" s="528"/>
      <c r="N1868" s="528"/>
      <c r="O1868" s="48"/>
      <c r="P1868" s="528"/>
      <c r="Q1868" s="528"/>
      <c r="R1868" s="807">
        <f>$A1868*Q1868</f>
        <v>0</v>
      </c>
      <c r="S1868" s="528"/>
      <c r="T1868" s="643">
        <f>$A1868*S1868*$T$1</f>
        <v>0</v>
      </c>
    </row>
    <row r="1869" spans="1:41" s="519" customFormat="1" ht="12">
      <c r="A1869" s="835" t="s">
        <v>145</v>
      </c>
      <c r="B1869" s="836">
        <f>(R1868+T1868)</f>
        <v>0</v>
      </c>
      <c r="C1869" s="790"/>
      <c r="G1869" s="810"/>
      <c r="H1869" s="810"/>
      <c r="I1869" s="810"/>
      <c r="J1869" s="810"/>
      <c r="K1869" s="811" t="s">
        <v>3</v>
      </c>
      <c r="L1869" s="812" t="s">
        <v>590</v>
      </c>
      <c r="M1869" s="810"/>
      <c r="N1869" s="810"/>
      <c r="O1869" s="810"/>
      <c r="P1869" s="810"/>
      <c r="Q1869" s="813"/>
      <c r="R1869" s="814">
        <f>SUM(R1865:R1868)</f>
        <v>0</v>
      </c>
      <c r="S1869" s="815"/>
      <c r="T1869" s="814">
        <f>SUM(T1865:T1868)</f>
        <v>0</v>
      </c>
      <c r="AG1869" s="816">
        <f>ROUND($R1869*$S$2,2)</f>
        <v>0</v>
      </c>
    </row>
    <row r="1870" spans="1:41" s="519" customFormat="1" ht="12" customHeight="1">
      <c r="A1870" s="797"/>
      <c r="B1870" s="853"/>
      <c r="C1870" s="854"/>
      <c r="D1870" s="855" t="str">
        <f>$F$3</f>
        <v>ECA</v>
      </c>
      <c r="E1870" s="855">
        <f>ROUND(($R1874*$S$3 + ($T1874*$T$3)), 2)</f>
        <v>0</v>
      </c>
      <c r="F1870" s="856">
        <f>$E1870*$C$12</f>
        <v>0</v>
      </c>
      <c r="G1870" s="518"/>
      <c r="H1870" s="518"/>
      <c r="I1870" s="518"/>
      <c r="J1870" s="518"/>
      <c r="K1870" s="802" t="s">
        <v>5</v>
      </c>
      <c r="L1870" s="803" t="s">
        <v>590</v>
      </c>
      <c r="M1870" s="518"/>
      <c r="N1870" s="518"/>
      <c r="O1870" s="518"/>
      <c r="P1870" s="518"/>
      <c r="Q1870" s="518"/>
      <c r="R1870" s="821"/>
      <c r="S1870" s="518"/>
      <c r="T1870" s="821"/>
    </row>
    <row r="1871" spans="1:41" s="834" customFormat="1" ht="15.6" customHeight="1">
      <c r="A1871" s="822"/>
      <c r="B1871" s="804" t="s">
        <v>592</v>
      </c>
      <c r="C1871" s="823"/>
      <c r="D1871" s="824"/>
      <c r="E1871" s="824"/>
      <c r="F1871" s="824"/>
      <c r="G1871" s="825"/>
      <c r="H1871" s="826"/>
      <c r="I1871" s="826"/>
      <c r="J1871" s="827"/>
      <c r="K1871" s="828"/>
      <c r="L1871" s="823"/>
      <c r="M1871" s="829"/>
      <c r="N1871" s="830"/>
      <c r="O1871" s="831"/>
      <c r="P1871" s="832"/>
      <c r="Q1871" s="833"/>
      <c r="R1871" s="807">
        <f>$A1871*Q1871</f>
        <v>0</v>
      </c>
      <c r="S1871" s="528"/>
      <c r="T1871" s="643">
        <f>$A1871*S1871*$T$1</f>
        <v>0</v>
      </c>
    </row>
    <row r="1872" spans="1:41" s="519" customFormat="1" ht="15.6" customHeight="1">
      <c r="A1872" s="49"/>
      <c r="B1872" s="528"/>
      <c r="C1872" s="528"/>
      <c r="D1872" s="528"/>
      <c r="E1872" s="528"/>
      <c r="F1872" s="528"/>
      <c r="G1872" s="528"/>
      <c r="H1872" s="528"/>
      <c r="I1872" s="528"/>
      <c r="J1872" s="528"/>
      <c r="K1872" s="528"/>
      <c r="L1872" s="806"/>
      <c r="M1872" s="528"/>
      <c r="N1872" s="528"/>
      <c r="O1872" s="528"/>
      <c r="P1872" s="528"/>
      <c r="Q1872" s="528"/>
      <c r="R1872" s="807">
        <f>$A1872*Q1872</f>
        <v>0</v>
      </c>
      <c r="S1872" s="528"/>
      <c r="T1872" s="643">
        <f>$A1872*S1872*$T$1</f>
        <v>0</v>
      </c>
    </row>
    <row r="1873" spans="1:41" s="519" customFormat="1" ht="15.6" customHeight="1">
      <c r="A1873" s="49"/>
      <c r="B1873" s="528"/>
      <c r="C1873" s="528"/>
      <c r="D1873" s="3"/>
      <c r="E1873" s="528"/>
      <c r="F1873" s="528"/>
      <c r="G1873" s="528"/>
      <c r="H1873" s="528"/>
      <c r="I1873" s="528"/>
      <c r="J1873" s="528"/>
      <c r="K1873" s="528"/>
      <c r="L1873" s="806"/>
      <c r="M1873" s="528"/>
      <c r="N1873" s="528"/>
      <c r="O1873" s="528"/>
      <c r="P1873" s="528"/>
      <c r="Q1873" s="528"/>
      <c r="R1873" s="807">
        <f>$A1873*Q1873</f>
        <v>0</v>
      </c>
      <c r="S1873" s="528"/>
      <c r="T1873" s="643">
        <f>$A1873*S1873*$T$1</f>
        <v>0</v>
      </c>
    </row>
    <row r="1874" spans="1:41" s="519" customFormat="1" ht="12">
      <c r="A1874" s="835" t="s">
        <v>145</v>
      </c>
      <c r="B1874" s="836">
        <f>(R1873+T1873)</f>
        <v>0</v>
      </c>
      <c r="C1874" s="790"/>
      <c r="G1874" s="810"/>
      <c r="H1874" s="810"/>
      <c r="I1874" s="810"/>
      <c r="J1874" s="810"/>
      <c r="K1874" s="838" t="s">
        <v>5</v>
      </c>
      <c r="L1874" s="812" t="s">
        <v>590</v>
      </c>
      <c r="M1874" s="810"/>
      <c r="N1874" s="810"/>
      <c r="O1874" s="810"/>
      <c r="P1874" s="810"/>
      <c r="Q1874" s="813"/>
      <c r="R1874" s="814">
        <f>SUM(R1870:R1873)</f>
        <v>0</v>
      </c>
      <c r="S1874" s="815"/>
      <c r="T1874" s="814">
        <f>SUM(T1870:T1873)</f>
        <v>0</v>
      </c>
      <c r="AG1874" s="840">
        <f>ROUND($R1874*$S$3,2)</f>
        <v>0</v>
      </c>
    </row>
    <row r="1875" spans="1:41" s="519" customFormat="1" ht="12" customHeight="1">
      <c r="A1875" s="817"/>
      <c r="B1875" s="857"/>
      <c r="C1875" s="858"/>
      <c r="D1875" s="859">
        <f>$F$4</f>
        <v>0</v>
      </c>
      <c r="E1875" s="859">
        <f>ROUND(($R1879*$S$4 + ($T1879*$T$4)), 2)</f>
        <v>0</v>
      </c>
      <c r="F1875" s="860">
        <f ca="1">$F1862-SUMIF($L1864:$P1872,"SUBI",$F1864:$F1872)</f>
        <v>0</v>
      </c>
      <c r="G1875" s="518"/>
      <c r="H1875" s="518"/>
      <c r="I1875" s="518"/>
      <c r="J1875" s="518"/>
      <c r="K1875" s="861" t="s">
        <v>8</v>
      </c>
      <c r="L1875" s="803" t="s">
        <v>590</v>
      </c>
      <c r="M1875" s="518"/>
      <c r="N1875" s="518"/>
      <c r="O1875" s="518"/>
      <c r="P1875" s="518"/>
      <c r="Q1875" s="518"/>
      <c r="R1875" s="821"/>
      <c r="S1875" s="518"/>
      <c r="T1875" s="821"/>
    </row>
    <row r="1876" spans="1:41" s="834" customFormat="1" ht="14.4" customHeight="1">
      <c r="A1876" s="822"/>
      <c r="B1876" s="804" t="s">
        <v>680</v>
      </c>
      <c r="C1876" s="823"/>
      <c r="D1876" s="824"/>
      <c r="E1876" s="824"/>
      <c r="F1876" s="824"/>
      <c r="G1876" s="825"/>
      <c r="H1876" s="826"/>
      <c r="I1876" s="826"/>
      <c r="J1876" s="827"/>
      <c r="K1876" s="828"/>
      <c r="L1876" s="823"/>
      <c r="M1876" s="829"/>
      <c r="N1876" s="830"/>
      <c r="O1876" s="862"/>
      <c r="P1876" s="832"/>
      <c r="Q1876" s="833"/>
      <c r="R1876" s="642">
        <f>$A1876*Q1876</f>
        <v>0</v>
      </c>
      <c r="S1876" s="833"/>
      <c r="T1876" s="643">
        <f>$A1876*S1876*$T$1</f>
        <v>0</v>
      </c>
    </row>
    <row r="1877" spans="1:41" s="519" customFormat="1" ht="12">
      <c r="A1877" s="47"/>
      <c r="B1877" s="641"/>
      <c r="C1877" s="641"/>
      <c r="D1877" s="863"/>
      <c r="E1877" s="843"/>
      <c r="F1877" s="518"/>
      <c r="G1877" s="518"/>
      <c r="H1877" s="518"/>
      <c r="I1877" s="518"/>
      <c r="J1877" s="518"/>
      <c r="K1877" s="518"/>
      <c r="L1877" s="864"/>
      <c r="M1877" s="518"/>
      <c r="N1877" s="518"/>
      <c r="O1877" s="518"/>
      <c r="P1877" s="518"/>
      <c r="Q1877" s="518"/>
      <c r="R1877" s="642">
        <f>$A1877*Q1877</f>
        <v>0</v>
      </c>
      <c r="S1877" s="518"/>
      <c r="T1877" s="643">
        <f>$A1877*S1877*$T$1</f>
        <v>0</v>
      </c>
    </row>
    <row r="1878" spans="1:41" s="519" customFormat="1" ht="12">
      <c r="A1878" s="47"/>
      <c r="B1878" s="641"/>
      <c r="C1878" s="641"/>
      <c r="D1878" s="863"/>
      <c r="E1878" s="843"/>
      <c r="F1878" s="518"/>
      <c r="G1878" s="518"/>
      <c r="H1878" s="518"/>
      <c r="I1878" s="518"/>
      <c r="J1878" s="518"/>
      <c r="K1878" s="518"/>
      <c r="L1878" s="864"/>
      <c r="M1878" s="518"/>
      <c r="N1878" s="518"/>
      <c r="O1878" s="518"/>
      <c r="P1878" s="518"/>
      <c r="Q1878" s="518"/>
      <c r="R1878" s="642">
        <f>$A1878*Q1878</f>
        <v>0</v>
      </c>
      <c r="S1878" s="518"/>
      <c r="T1878" s="643">
        <f>$A1878*S1878*$T$1</f>
        <v>0</v>
      </c>
    </row>
    <row r="1879" spans="1:41" s="519" customFormat="1" ht="12.75" customHeight="1">
      <c r="A1879" s="835" t="s">
        <v>145</v>
      </c>
      <c r="B1879" s="836">
        <f>(R1878+T1878)</f>
        <v>0</v>
      </c>
      <c r="C1879" s="837"/>
      <c r="D1879" s="837"/>
      <c r="E1879" s="837"/>
      <c r="F1879" s="837"/>
      <c r="G1879" s="813"/>
      <c r="H1879" s="813"/>
      <c r="I1879" s="813"/>
      <c r="J1879" s="813"/>
      <c r="K1879" s="838" t="s">
        <v>8</v>
      </c>
      <c r="L1879" s="839" t="s">
        <v>590</v>
      </c>
      <c r="M1879" s="813"/>
      <c r="N1879" s="813"/>
      <c r="O1879" s="813"/>
      <c r="P1879" s="813"/>
      <c r="Q1879" s="813"/>
      <c r="R1879" s="814">
        <f>SUM(R1875:R1878)</f>
        <v>0</v>
      </c>
      <c r="S1879" s="815"/>
      <c r="T1879" s="814">
        <f>SUM(T1875:T1878)</f>
        <v>0</v>
      </c>
      <c r="AG1879" s="865">
        <f>ROUND($R1879*$S$4,2)</f>
        <v>0</v>
      </c>
    </row>
    <row r="1880" spans="1:41" s="519" customFormat="1" ht="12.75" customHeight="1">
      <c r="A1880" s="841"/>
      <c r="B1880" s="842"/>
      <c r="E1880" s="641"/>
      <c r="F1880" s="843"/>
      <c r="G1880" s="641"/>
      <c r="H1880" s="641"/>
      <c r="I1880" s="518"/>
      <c r="J1880" s="641"/>
      <c r="K1880" s="641"/>
      <c r="L1880" s="844"/>
      <c r="M1880" s="652"/>
      <c r="N1880" s="652"/>
      <c r="O1880" s="652"/>
      <c r="P1880" s="652"/>
      <c r="Q1880" s="653"/>
      <c r="R1880" s="821"/>
      <c r="S1880" s="641"/>
      <c r="T1880" s="821"/>
    </row>
    <row r="1881" spans="1:41" s="519" customFormat="1" ht="13.5" customHeight="1" thickBot="1">
      <c r="A1881" s="845"/>
      <c r="B1881" s="846"/>
      <c r="C1881" s="529"/>
      <c r="D1881" s="529"/>
      <c r="E1881" s="646"/>
      <c r="F1881" s="647"/>
      <c r="G1881" s="646" t="s">
        <v>146</v>
      </c>
      <c r="H1881" s="646"/>
      <c r="I1881" s="648"/>
      <c r="J1881" s="646"/>
      <c r="K1881" s="646"/>
      <c r="L1881" s="847" t="s">
        <v>143</v>
      </c>
      <c r="M1881" s="649"/>
      <c r="N1881" s="649"/>
      <c r="O1881" s="649"/>
      <c r="P1881" s="649"/>
      <c r="Q1881" s="650"/>
      <c r="R1881" s="848">
        <f>SUMIF($L1863:$L1880,"SUBI",R1863:R1880)</f>
        <v>0</v>
      </c>
      <c r="S1881" s="866"/>
      <c r="T1881" s="848">
        <f>SUMIF($L1863:$L1880,"SUBI",T1863:T1880)</f>
        <v>0</v>
      </c>
      <c r="U1881" s="529"/>
      <c r="V1881" s="529"/>
      <c r="W1881" s="529"/>
      <c r="X1881" s="529"/>
      <c r="Y1881" s="529"/>
      <c r="Z1881" s="529"/>
      <c r="AA1881" s="529"/>
      <c r="AB1881" s="529"/>
      <c r="AC1881" s="529"/>
      <c r="AD1881" s="529"/>
      <c r="AE1881" s="529"/>
      <c r="AF1881" s="529"/>
      <c r="AG1881" s="529"/>
      <c r="AH1881" s="529"/>
      <c r="AI1881" s="529"/>
      <c r="AJ1881" s="529"/>
      <c r="AK1881" s="529"/>
      <c r="AL1881" s="529"/>
      <c r="AM1881" s="529"/>
      <c r="AN1881" s="529"/>
      <c r="AO1881" s="529"/>
    </row>
    <row r="1882" spans="1:41" s="519" customFormat="1" thickTop="1">
      <c r="A1882" s="47"/>
      <c r="B1882" s="40"/>
      <c r="C1882" s="47"/>
      <c r="E1882" s="41" t="s">
        <v>138</v>
      </c>
      <c r="F1882" s="41" t="s">
        <v>139</v>
      </c>
      <c r="G1882" s="47"/>
      <c r="H1882" s="47"/>
      <c r="I1882" s="47"/>
      <c r="J1882" s="47"/>
      <c r="K1882" s="47" t="s">
        <v>140</v>
      </c>
      <c r="L1882" s="774"/>
      <c r="M1882" s="47"/>
      <c r="N1882" s="47"/>
      <c r="O1882" s="48"/>
      <c r="P1882" s="47"/>
      <c r="Q1882"/>
      <c r="R1882"/>
      <c r="S1882"/>
      <c r="T1882" s="40"/>
      <c r="AG1882" s="627" t="s">
        <v>277</v>
      </c>
      <c r="AH1882" s="627" t="s">
        <v>278</v>
      </c>
      <c r="AI1882" s="627" t="s">
        <v>279</v>
      </c>
      <c r="AJ1882" s="627" t="s">
        <v>280</v>
      </c>
      <c r="AK1882" s="627" t="s">
        <v>281</v>
      </c>
      <c r="AM1882" s="628" t="s">
        <v>290</v>
      </c>
      <c r="AN1882" s="629" t="s">
        <v>291</v>
      </c>
      <c r="AO1882" s="520" t="s">
        <v>287</v>
      </c>
    </row>
    <row r="1883" spans="1:41" s="519" customFormat="1" ht="13.2">
      <c r="A1883" s="630">
        <v>2</v>
      </c>
      <c r="B1883" s="521" t="s">
        <v>312</v>
      </c>
      <c r="C1883" s="631"/>
      <c r="D1883" s="632" t="s">
        <v>717</v>
      </c>
      <c r="E1883" s="775">
        <f>IF(AND($A1883=0,$A$1="DIF"),0,ROUND(ROUND(SUMIF($L1885:$L1896,"SUBI",$E1885:$E1896)/$A1883,2)*$C$12,2))</f>
        <v>0</v>
      </c>
      <c r="F1883" s="776">
        <f>ROUND($A1883*$E1883,2)</f>
        <v>0</v>
      </c>
      <c r="G1883" s="635" t="s">
        <v>142</v>
      </c>
      <c r="H1883" s="636"/>
      <c r="I1883" s="637"/>
      <c r="J1883" s="636"/>
      <c r="K1883" s="777"/>
      <c r="L1883" s="778" t="s">
        <v>143</v>
      </c>
      <c r="M1883" s="638"/>
      <c r="N1883" s="638"/>
      <c r="O1883" s="638"/>
      <c r="P1883" s="638"/>
      <c r="Q1883" s="967" t="s">
        <v>867</v>
      </c>
      <c r="R1883"/>
      <c r="S1883"/>
      <c r="T1883" s="779" t="str">
        <f>IF(AND($R1902=0,$T1902=0),"0.00","mu :" &amp; ROUND($F1883/$C$12/($R1902+$T1902*$D$9),2))</f>
        <v>0.00</v>
      </c>
      <c r="W1883" s="522"/>
      <c r="AG1883" s="780">
        <f>IF(A1883=0,0,ROUND(SUM(AG1885:AG1902)/A1883,2))</f>
        <v>0</v>
      </c>
      <c r="AH1883" s="780">
        <f>$AG1883*$A1883</f>
        <v>0</v>
      </c>
      <c r="AI1883" s="780">
        <f>$E1883-$AG1883</f>
        <v>0</v>
      </c>
      <c r="AJ1883" s="780">
        <f>$A1883*$AI1883</f>
        <v>0</v>
      </c>
      <c r="AK1883" s="781">
        <f>ROUND(($AG1883+$AI1883)*$A1883,2)</f>
        <v>0</v>
      </c>
      <c r="AM1883" s="525">
        <f>ROUND(R1902,2)</f>
        <v>0</v>
      </c>
      <c r="AN1883" s="526">
        <f>ROUND(T1902,2)</f>
        <v>0</v>
      </c>
      <c r="AO1883" s="527">
        <f>ROUND(AM1883+AN1883,2)*A1883</f>
        <v>0</v>
      </c>
    </row>
    <row r="1884" spans="1:41" s="519" customFormat="1" ht="21.6" customHeight="1">
      <c r="A1884" s="782"/>
      <c r="B1884" s="783"/>
      <c r="C1884" s="631"/>
      <c r="D1884" s="784" t="s">
        <v>531</v>
      </c>
      <c r="F1884" s="636"/>
      <c r="G1884" s="636"/>
      <c r="H1884" s="636"/>
      <c r="I1884" s="637"/>
      <c r="J1884" s="636"/>
      <c r="K1884" s="636" t="s">
        <v>144</v>
      </c>
      <c r="L1884" s="785"/>
      <c r="M1884" s="636"/>
      <c r="N1884" s="636"/>
      <c r="O1884" s="636"/>
      <c r="P1884" s="636"/>
      <c r="Q1884" s="47"/>
      <c r="R1884" s="528"/>
      <c r="S1884" s="640"/>
      <c r="T1884" s="636"/>
    </row>
    <row r="1885" spans="1:41" s="519" customFormat="1" ht="12">
      <c r="A1885" s="849"/>
      <c r="B1885" s="850"/>
      <c r="C1885" s="641"/>
      <c r="D1885" s="811"/>
      <c r="E1885" s="851">
        <f>F1883/$C$12-SUMIF($L1882:$L1902,"SUBI",$E1882:$E1902)</f>
        <v>0</v>
      </c>
      <c r="F1885" s="852" t="s">
        <v>589</v>
      </c>
      <c r="G1885" s="790"/>
      <c r="H1885" s="790"/>
      <c r="I1885" s="791"/>
      <c r="J1885" s="790"/>
      <c r="K1885" s="790"/>
      <c r="L1885" s="792"/>
      <c r="M1885" s="793"/>
      <c r="N1885" s="793"/>
      <c r="O1885" s="793"/>
      <c r="P1885" s="793"/>
      <c r="Q1885" s="794"/>
      <c r="R1885" s="795"/>
      <c r="S1885" s="794"/>
      <c r="T1885" s="796"/>
    </row>
    <row r="1886" spans="1:41" s="519" customFormat="1" ht="12" customHeight="1">
      <c r="A1886" s="797"/>
      <c r="B1886" s="798"/>
      <c r="C1886" s="799"/>
      <c r="D1886" s="799" t="str">
        <f>$F$2</f>
        <v>Electrical</v>
      </c>
      <c r="E1886" s="799">
        <f>ROUND(($R1890*$S$2 + ($T1890*$T$2)), 2)</f>
        <v>0</v>
      </c>
      <c r="F1886" s="800">
        <f>$E1886*$C$12</f>
        <v>0</v>
      </c>
      <c r="G1886" s="528"/>
      <c r="H1886" s="801"/>
      <c r="I1886" s="528"/>
      <c r="J1886" s="48"/>
      <c r="K1886" s="802" t="s">
        <v>3</v>
      </c>
      <c r="L1886" s="803" t="s">
        <v>590</v>
      </c>
      <c r="M1886" s="528"/>
      <c r="N1886" s="528"/>
      <c r="O1886" s="48"/>
      <c r="P1886" s="528"/>
      <c r="Q1886" s="528"/>
      <c r="R1886"/>
      <c r="S1886"/>
      <c r="T1886"/>
    </row>
    <row r="1887" spans="1:41" s="519" customFormat="1" ht="14.4" customHeight="1">
      <c r="A1887" s="49"/>
      <c r="B1887" s="804" t="s">
        <v>591</v>
      </c>
      <c r="C1887" s="528"/>
      <c r="D1887" s="528"/>
      <c r="E1887" s="528"/>
      <c r="F1887" s="528"/>
      <c r="G1887" s="528"/>
      <c r="H1887" s="801"/>
      <c r="I1887" s="528"/>
      <c r="J1887" s="48"/>
      <c r="K1887" s="805"/>
      <c r="L1887" s="806"/>
      <c r="M1887" s="528"/>
      <c r="N1887" s="528"/>
      <c r="O1887" s="48"/>
      <c r="P1887" s="528"/>
      <c r="Q1887" s="528"/>
      <c r="R1887" s="807">
        <f>$A1887*Q1887</f>
        <v>0</v>
      </c>
      <c r="S1887" s="528"/>
      <c r="T1887" s="643">
        <f>$A1887*S1887*$T$1</f>
        <v>0</v>
      </c>
    </row>
    <row r="1888" spans="1:41" s="519" customFormat="1" ht="14.4" customHeight="1">
      <c r="A1888" s="49"/>
      <c r="B1888" s="528"/>
      <c r="C1888" s="528"/>
      <c r="D1888" s="528"/>
      <c r="E1888" s="528"/>
      <c r="F1888" s="528"/>
      <c r="G1888" s="528"/>
      <c r="H1888" s="801"/>
      <c r="I1888" s="528"/>
      <c r="J1888" s="48"/>
      <c r="K1888" s="805"/>
      <c r="L1888" s="806"/>
      <c r="M1888" s="528"/>
      <c r="N1888" s="528"/>
      <c r="O1888" s="48"/>
      <c r="P1888" s="528"/>
      <c r="Q1888" s="528"/>
      <c r="R1888" s="807">
        <f>$A1888*Q1888</f>
        <v>0</v>
      </c>
      <c r="S1888" s="528"/>
      <c r="T1888" s="643">
        <f>$A1888*S1888*$T$1</f>
        <v>0</v>
      </c>
    </row>
    <row r="1889" spans="1:41" s="519" customFormat="1" ht="14.4" customHeight="1">
      <c r="A1889" s="49"/>
      <c r="B1889" s="528"/>
      <c r="C1889" s="528"/>
      <c r="D1889" s="528"/>
      <c r="E1889" s="528"/>
      <c r="F1889" s="528"/>
      <c r="G1889" s="528"/>
      <c r="H1889" s="801"/>
      <c r="I1889" s="528"/>
      <c r="J1889" s="48"/>
      <c r="K1889" s="805"/>
      <c r="L1889" s="806"/>
      <c r="M1889" s="528"/>
      <c r="N1889" s="528"/>
      <c r="O1889" s="48"/>
      <c r="P1889" s="528"/>
      <c r="Q1889" s="528"/>
      <c r="R1889" s="807">
        <f>$A1889*Q1889</f>
        <v>0</v>
      </c>
      <c r="S1889" s="528"/>
      <c r="T1889" s="643">
        <f>$A1889*S1889*$T$1</f>
        <v>0</v>
      </c>
    </row>
    <row r="1890" spans="1:41" s="519" customFormat="1" ht="12">
      <c r="A1890" s="835" t="s">
        <v>145</v>
      </c>
      <c r="B1890" s="836">
        <f>(R1889+T1889)</f>
        <v>0</v>
      </c>
      <c r="C1890" s="790"/>
      <c r="G1890" s="810"/>
      <c r="H1890" s="810"/>
      <c r="I1890" s="810"/>
      <c r="J1890" s="810"/>
      <c r="K1890" s="811" t="s">
        <v>3</v>
      </c>
      <c r="L1890" s="812" t="s">
        <v>590</v>
      </c>
      <c r="M1890" s="810"/>
      <c r="N1890" s="810"/>
      <c r="O1890" s="810"/>
      <c r="P1890" s="810"/>
      <c r="Q1890" s="813"/>
      <c r="R1890" s="814">
        <f>SUM(R1886:R1889)</f>
        <v>0</v>
      </c>
      <c r="S1890" s="815"/>
      <c r="T1890" s="814">
        <f>SUM(T1886:T1889)</f>
        <v>0</v>
      </c>
      <c r="AG1890" s="816">
        <f>ROUND($R1890*$S$2,2)</f>
        <v>0</v>
      </c>
    </row>
    <row r="1891" spans="1:41" s="519" customFormat="1" ht="12" customHeight="1">
      <c r="A1891" s="797"/>
      <c r="B1891" s="853"/>
      <c r="C1891" s="854"/>
      <c r="D1891" s="855" t="str">
        <f>$F$3</f>
        <v>ECA</v>
      </c>
      <c r="E1891" s="855">
        <f>ROUND(($R1895*$S$3 + ($T1895*$T$3)), 2)</f>
        <v>0</v>
      </c>
      <c r="F1891" s="856">
        <f>$E1891*$C$12</f>
        <v>0</v>
      </c>
      <c r="G1891" s="518"/>
      <c r="H1891" s="518"/>
      <c r="I1891" s="518"/>
      <c r="J1891" s="518"/>
      <c r="K1891" s="802" t="s">
        <v>5</v>
      </c>
      <c r="L1891" s="803" t="s">
        <v>590</v>
      </c>
      <c r="M1891" s="518"/>
      <c r="N1891" s="518"/>
      <c r="O1891" s="518"/>
      <c r="P1891" s="518"/>
      <c r="Q1891" s="518"/>
      <c r="R1891" s="821"/>
      <c r="S1891" s="518"/>
      <c r="T1891" s="821"/>
    </row>
    <row r="1892" spans="1:41" s="834" customFormat="1" ht="15.6" customHeight="1">
      <c r="A1892" s="822"/>
      <c r="B1892" s="804" t="s">
        <v>592</v>
      </c>
      <c r="C1892" s="823"/>
      <c r="D1892" s="824"/>
      <c r="E1892" s="824"/>
      <c r="F1892" s="824"/>
      <c r="G1892" s="825"/>
      <c r="H1892" s="826"/>
      <c r="I1892" s="826"/>
      <c r="J1892" s="827"/>
      <c r="K1892" s="828"/>
      <c r="L1892" s="823"/>
      <c r="M1892" s="829"/>
      <c r="N1892" s="830"/>
      <c r="O1892" s="831"/>
      <c r="P1892" s="832"/>
      <c r="Q1892" s="833"/>
      <c r="R1892" s="807">
        <f>$A1892*Q1892</f>
        <v>0</v>
      </c>
      <c r="S1892" s="528"/>
      <c r="T1892" s="643">
        <f>$A1892*S1892*$T$1</f>
        <v>0</v>
      </c>
    </row>
    <row r="1893" spans="1:41" s="519" customFormat="1" ht="15.6" customHeight="1">
      <c r="A1893" s="49"/>
      <c r="B1893" s="528"/>
      <c r="C1893" s="528"/>
      <c r="D1893" s="528"/>
      <c r="E1893" s="528"/>
      <c r="F1893" s="528"/>
      <c r="G1893" s="528"/>
      <c r="H1893" s="528"/>
      <c r="I1893" s="528"/>
      <c r="J1893" s="528"/>
      <c r="K1893" s="528"/>
      <c r="L1893" s="806"/>
      <c r="M1893" s="528"/>
      <c r="N1893" s="528"/>
      <c r="O1893" s="528"/>
      <c r="P1893" s="528"/>
      <c r="Q1893" s="528"/>
      <c r="R1893" s="807">
        <f>$A1893*Q1893</f>
        <v>0</v>
      </c>
      <c r="S1893" s="528"/>
      <c r="T1893" s="643">
        <f>$A1893*S1893*$T$1</f>
        <v>0</v>
      </c>
    </row>
    <row r="1894" spans="1:41" s="519" customFormat="1" ht="15.6" customHeight="1">
      <c r="A1894" s="49"/>
      <c r="B1894" s="528"/>
      <c r="C1894" s="528"/>
      <c r="D1894" s="3"/>
      <c r="E1894" s="528"/>
      <c r="F1894" s="528"/>
      <c r="G1894" s="528"/>
      <c r="H1894" s="528"/>
      <c r="I1894" s="528"/>
      <c r="J1894" s="528"/>
      <c r="K1894" s="528"/>
      <c r="L1894" s="806"/>
      <c r="M1894" s="528"/>
      <c r="N1894" s="528"/>
      <c r="O1894" s="528"/>
      <c r="P1894" s="528"/>
      <c r="Q1894" s="528"/>
      <c r="R1894" s="807">
        <f>$A1894*Q1894</f>
        <v>0</v>
      </c>
      <c r="S1894" s="528"/>
      <c r="T1894" s="643">
        <f>$A1894*S1894*$T$1</f>
        <v>0</v>
      </c>
    </row>
    <row r="1895" spans="1:41" s="519" customFormat="1" ht="12">
      <c r="A1895" s="835" t="s">
        <v>145</v>
      </c>
      <c r="B1895" s="836">
        <f>(R1894+T1894)</f>
        <v>0</v>
      </c>
      <c r="C1895" s="790"/>
      <c r="G1895" s="810"/>
      <c r="H1895" s="810"/>
      <c r="I1895" s="810"/>
      <c r="J1895" s="810"/>
      <c r="K1895" s="838" t="s">
        <v>5</v>
      </c>
      <c r="L1895" s="812" t="s">
        <v>590</v>
      </c>
      <c r="M1895" s="810"/>
      <c r="N1895" s="810"/>
      <c r="O1895" s="810"/>
      <c r="P1895" s="810"/>
      <c r="Q1895" s="813"/>
      <c r="R1895" s="814">
        <f>SUM(R1891:R1894)</f>
        <v>0</v>
      </c>
      <c r="S1895" s="815"/>
      <c r="T1895" s="814">
        <f>SUM(T1891:T1894)</f>
        <v>0</v>
      </c>
      <c r="AG1895" s="840">
        <f>ROUND($R1895*$S$3,2)</f>
        <v>0</v>
      </c>
    </row>
    <row r="1896" spans="1:41" s="519" customFormat="1" ht="12" customHeight="1">
      <c r="A1896" s="817"/>
      <c r="B1896" s="857"/>
      <c r="C1896" s="858"/>
      <c r="D1896" s="859">
        <f>$F$4</f>
        <v>0</v>
      </c>
      <c r="E1896" s="859">
        <f>ROUND(($R1900*$S$4 + ($T1900*$T$4)), 2)</f>
        <v>0</v>
      </c>
      <c r="F1896" s="860">
        <f ca="1">$F1883-SUMIF($L1885:$P1893,"SUBI",$F1885:$F1893)</f>
        <v>0</v>
      </c>
      <c r="G1896" s="518"/>
      <c r="H1896" s="518"/>
      <c r="I1896" s="518"/>
      <c r="J1896" s="518"/>
      <c r="K1896" s="861" t="s">
        <v>8</v>
      </c>
      <c r="L1896" s="803" t="s">
        <v>590</v>
      </c>
      <c r="M1896" s="518"/>
      <c r="N1896" s="518"/>
      <c r="O1896" s="518"/>
      <c r="P1896" s="518"/>
      <c r="Q1896" s="518"/>
      <c r="R1896" s="821"/>
      <c r="S1896" s="518"/>
      <c r="T1896" s="821"/>
    </row>
    <row r="1897" spans="1:41" s="834" customFormat="1" ht="14.4" customHeight="1">
      <c r="A1897" s="822"/>
      <c r="B1897" s="804" t="s">
        <v>680</v>
      </c>
      <c r="C1897" s="823"/>
      <c r="D1897" s="824"/>
      <c r="E1897" s="824"/>
      <c r="F1897" s="824"/>
      <c r="G1897" s="825"/>
      <c r="H1897" s="826"/>
      <c r="I1897" s="826"/>
      <c r="J1897" s="827"/>
      <c r="K1897" s="828"/>
      <c r="L1897" s="823"/>
      <c r="M1897" s="829"/>
      <c r="N1897" s="830"/>
      <c r="O1897" s="862"/>
      <c r="P1897" s="832"/>
      <c r="Q1897" s="833"/>
      <c r="R1897" s="642">
        <f>$A1897*Q1897</f>
        <v>0</v>
      </c>
      <c r="S1897" s="833"/>
      <c r="T1897" s="643">
        <f>$A1897*S1897*$T$1</f>
        <v>0</v>
      </c>
    </row>
    <row r="1898" spans="1:41" s="519" customFormat="1" ht="12">
      <c r="A1898" s="47"/>
      <c r="B1898" s="641"/>
      <c r="C1898" s="641"/>
      <c r="D1898" s="863"/>
      <c r="E1898" s="843"/>
      <c r="F1898" s="518"/>
      <c r="G1898" s="518"/>
      <c r="H1898" s="518"/>
      <c r="I1898" s="518"/>
      <c r="J1898" s="518"/>
      <c r="K1898" s="518"/>
      <c r="L1898" s="864"/>
      <c r="M1898" s="518"/>
      <c r="N1898" s="518"/>
      <c r="O1898" s="518"/>
      <c r="P1898" s="518"/>
      <c r="Q1898" s="518"/>
      <c r="R1898" s="642">
        <f>$A1898*Q1898</f>
        <v>0</v>
      </c>
      <c r="S1898" s="518"/>
      <c r="T1898" s="643">
        <f>$A1898*S1898*$T$1</f>
        <v>0</v>
      </c>
    </row>
    <row r="1899" spans="1:41" s="519" customFormat="1" ht="12">
      <c r="A1899" s="47"/>
      <c r="B1899" s="641"/>
      <c r="C1899" s="641"/>
      <c r="D1899" s="863"/>
      <c r="E1899" s="843"/>
      <c r="F1899" s="518"/>
      <c r="G1899" s="518"/>
      <c r="H1899" s="518"/>
      <c r="I1899" s="518"/>
      <c r="J1899" s="518"/>
      <c r="K1899" s="518"/>
      <c r="L1899" s="864"/>
      <c r="M1899" s="518"/>
      <c r="N1899" s="518"/>
      <c r="O1899" s="518"/>
      <c r="P1899" s="518"/>
      <c r="Q1899" s="518"/>
      <c r="R1899" s="642">
        <f>$A1899*Q1899</f>
        <v>0</v>
      </c>
      <c r="S1899" s="518"/>
      <c r="T1899" s="643">
        <f>$A1899*S1899*$T$1</f>
        <v>0</v>
      </c>
    </row>
    <row r="1900" spans="1:41" s="519" customFormat="1" ht="12.75" customHeight="1">
      <c r="A1900" s="835" t="s">
        <v>145</v>
      </c>
      <c r="B1900" s="836">
        <f>(R1899+T1899)</f>
        <v>0</v>
      </c>
      <c r="C1900" s="837"/>
      <c r="D1900" s="837"/>
      <c r="E1900" s="837"/>
      <c r="F1900" s="837"/>
      <c r="G1900" s="813"/>
      <c r="H1900" s="813"/>
      <c r="I1900" s="813"/>
      <c r="J1900" s="813"/>
      <c r="K1900" s="838" t="s">
        <v>8</v>
      </c>
      <c r="L1900" s="839" t="s">
        <v>590</v>
      </c>
      <c r="M1900" s="813"/>
      <c r="N1900" s="813"/>
      <c r="O1900" s="813"/>
      <c r="P1900" s="813"/>
      <c r="Q1900" s="813"/>
      <c r="R1900" s="814">
        <f>SUM(R1896:R1899)</f>
        <v>0</v>
      </c>
      <c r="S1900" s="815"/>
      <c r="T1900" s="814">
        <f>SUM(T1896:T1899)</f>
        <v>0</v>
      </c>
      <c r="AG1900" s="865">
        <f>ROUND($R1900*$S$4,2)</f>
        <v>0</v>
      </c>
    </row>
    <row r="1901" spans="1:41" s="519" customFormat="1" ht="12.75" customHeight="1">
      <c r="A1901" s="841"/>
      <c r="B1901" s="842"/>
      <c r="E1901" s="641"/>
      <c r="F1901" s="843"/>
      <c r="G1901" s="641"/>
      <c r="H1901" s="641"/>
      <c r="I1901" s="518"/>
      <c r="J1901" s="641"/>
      <c r="K1901" s="641"/>
      <c r="L1901" s="844"/>
      <c r="M1901" s="652"/>
      <c r="N1901" s="652"/>
      <c r="O1901" s="652"/>
      <c r="P1901" s="652"/>
      <c r="Q1901" s="653"/>
      <c r="R1901" s="821"/>
      <c r="S1901" s="641"/>
      <c r="T1901" s="821"/>
    </row>
    <row r="1902" spans="1:41" s="519" customFormat="1" ht="13.5" customHeight="1" thickBot="1">
      <c r="A1902" s="845"/>
      <c r="B1902" s="846"/>
      <c r="C1902" s="529"/>
      <c r="D1902" s="529"/>
      <c r="E1902" s="646"/>
      <c r="F1902" s="647"/>
      <c r="G1902" s="646" t="s">
        <v>146</v>
      </c>
      <c r="H1902" s="646"/>
      <c r="I1902" s="648"/>
      <c r="J1902" s="646"/>
      <c r="K1902" s="646"/>
      <c r="L1902" s="847" t="s">
        <v>143</v>
      </c>
      <c r="M1902" s="649"/>
      <c r="N1902" s="649"/>
      <c r="O1902" s="649"/>
      <c r="P1902" s="649"/>
      <c r="Q1902" s="650"/>
      <c r="R1902" s="848">
        <f>SUMIF($L1884:$L1901,"SUBI",R1884:R1901)</f>
        <v>0</v>
      </c>
      <c r="S1902" s="866"/>
      <c r="T1902" s="848">
        <f>SUMIF($L1884:$L1901,"SUBI",T1884:T1901)</f>
        <v>0</v>
      </c>
      <c r="U1902" s="529"/>
      <c r="V1902" s="529"/>
      <c r="W1902" s="529"/>
      <c r="X1902" s="529"/>
      <c r="Y1902" s="529"/>
      <c r="Z1902" s="529"/>
      <c r="AA1902" s="529"/>
      <c r="AB1902" s="529"/>
      <c r="AC1902" s="529"/>
      <c r="AD1902" s="529"/>
      <c r="AE1902" s="529"/>
      <c r="AF1902" s="529"/>
      <c r="AG1902" s="529"/>
      <c r="AH1902" s="529"/>
      <c r="AI1902" s="529"/>
      <c r="AJ1902" s="529"/>
      <c r="AK1902" s="529"/>
      <c r="AL1902" s="529"/>
      <c r="AM1902" s="529"/>
      <c r="AN1902" s="529"/>
      <c r="AO1902" s="529"/>
    </row>
    <row r="1903" spans="1:41" s="519" customFormat="1" thickTop="1">
      <c r="A1903" s="47"/>
      <c r="B1903" s="40"/>
      <c r="C1903" s="47"/>
      <c r="E1903" s="41" t="s">
        <v>138</v>
      </c>
      <c r="F1903" s="41" t="s">
        <v>139</v>
      </c>
      <c r="G1903" s="47"/>
      <c r="H1903" s="47"/>
      <c r="I1903" s="47"/>
      <c r="J1903" s="47"/>
      <c r="K1903" s="47" t="s">
        <v>140</v>
      </c>
      <c r="L1903" s="774"/>
      <c r="M1903" s="47"/>
      <c r="N1903" s="47"/>
      <c r="O1903" s="48"/>
      <c r="P1903" s="47"/>
      <c r="Q1903"/>
      <c r="R1903"/>
      <c r="S1903"/>
      <c r="T1903" s="40"/>
      <c r="AG1903" s="627" t="s">
        <v>277</v>
      </c>
      <c r="AH1903" s="627" t="s">
        <v>278</v>
      </c>
      <c r="AI1903" s="627" t="s">
        <v>279</v>
      </c>
      <c r="AJ1903" s="627" t="s">
        <v>280</v>
      </c>
      <c r="AK1903" s="627" t="s">
        <v>281</v>
      </c>
      <c r="AM1903" s="628" t="s">
        <v>290</v>
      </c>
      <c r="AN1903" s="629" t="s">
        <v>291</v>
      </c>
      <c r="AO1903" s="520" t="s">
        <v>287</v>
      </c>
    </row>
    <row r="1904" spans="1:41" s="519" customFormat="1" ht="13.2">
      <c r="A1904" s="630">
        <v>2</v>
      </c>
      <c r="B1904" s="521" t="s">
        <v>312</v>
      </c>
      <c r="C1904" s="631"/>
      <c r="D1904" s="632" t="s">
        <v>718</v>
      </c>
      <c r="E1904" s="775">
        <f>IF(AND($A1904=0,$A$1="DIF"),0,ROUND(ROUND(SUMIF($L1906:$L1917,"SUBI",$E1906:$E1917)/$A1904,2)*$C$12,2))</f>
        <v>0</v>
      </c>
      <c r="F1904" s="776">
        <f>ROUND($A1904*$E1904,2)</f>
        <v>0</v>
      </c>
      <c r="G1904" s="635" t="s">
        <v>142</v>
      </c>
      <c r="H1904" s="636"/>
      <c r="I1904" s="637"/>
      <c r="J1904" s="636"/>
      <c r="K1904" s="777"/>
      <c r="L1904" s="778" t="s">
        <v>143</v>
      </c>
      <c r="M1904" s="638"/>
      <c r="N1904" s="638"/>
      <c r="O1904" s="638"/>
      <c r="P1904" s="638"/>
      <c r="Q1904" s="967" t="s">
        <v>867</v>
      </c>
      <c r="R1904"/>
      <c r="S1904"/>
      <c r="T1904" s="779" t="str">
        <f>IF(AND($R1923=0,$T1923=0),"0.00","mu :" &amp; ROUND($F1904/$C$12/($R1923+$T1923*$D$9),2))</f>
        <v>0.00</v>
      </c>
      <c r="W1904" s="522"/>
      <c r="AG1904" s="780">
        <f>IF(A1904=0,0,ROUND(SUM(AG1906:AG1923)/A1904,2))</f>
        <v>0</v>
      </c>
      <c r="AH1904" s="780">
        <f>$AG1904*$A1904</f>
        <v>0</v>
      </c>
      <c r="AI1904" s="780">
        <f>$E1904-$AG1904</f>
        <v>0</v>
      </c>
      <c r="AJ1904" s="780">
        <f>$A1904*$AI1904</f>
        <v>0</v>
      </c>
      <c r="AK1904" s="781">
        <f>ROUND(($AG1904+$AI1904)*$A1904,2)</f>
        <v>0</v>
      </c>
      <c r="AM1904" s="525">
        <f>ROUND(R1923,2)</f>
        <v>0</v>
      </c>
      <c r="AN1904" s="526">
        <f>ROUND(T1923,2)</f>
        <v>0</v>
      </c>
      <c r="AO1904" s="527">
        <f>ROUND(AM1904+AN1904,2)*A1904</f>
        <v>0</v>
      </c>
    </row>
    <row r="1905" spans="1:33" s="519" customFormat="1" ht="21.6" customHeight="1">
      <c r="A1905" s="782"/>
      <c r="B1905" s="783"/>
      <c r="C1905" s="631"/>
      <c r="D1905" s="784" t="s">
        <v>550</v>
      </c>
      <c r="F1905" s="636"/>
      <c r="G1905" s="636"/>
      <c r="H1905" s="636"/>
      <c r="I1905" s="637"/>
      <c r="J1905" s="636"/>
      <c r="K1905" s="636" t="s">
        <v>144</v>
      </c>
      <c r="L1905" s="785"/>
      <c r="M1905" s="636"/>
      <c r="N1905" s="636"/>
      <c r="O1905" s="636"/>
      <c r="P1905" s="636"/>
      <c r="Q1905" s="47"/>
      <c r="R1905" s="528"/>
      <c r="S1905" s="640"/>
      <c r="T1905" s="636"/>
    </row>
    <row r="1906" spans="1:33" s="519" customFormat="1" ht="12">
      <c r="A1906" s="849"/>
      <c r="B1906" s="850"/>
      <c r="C1906" s="641"/>
      <c r="D1906" s="811"/>
      <c r="E1906" s="851">
        <f>F1904/$C$12-SUMIF($L1903:$L1923,"SUBI",$E1903:$E1923)</f>
        <v>0</v>
      </c>
      <c r="F1906" s="852" t="s">
        <v>589</v>
      </c>
      <c r="G1906" s="790"/>
      <c r="H1906" s="790"/>
      <c r="I1906" s="791"/>
      <c r="J1906" s="790"/>
      <c r="K1906" s="790"/>
      <c r="L1906" s="792"/>
      <c r="M1906" s="793"/>
      <c r="N1906" s="793"/>
      <c r="O1906" s="793"/>
      <c r="P1906" s="793"/>
      <c r="Q1906" s="794"/>
      <c r="R1906" s="795"/>
      <c r="S1906" s="794"/>
      <c r="T1906" s="796"/>
    </row>
    <row r="1907" spans="1:33" s="519" customFormat="1" ht="12" customHeight="1">
      <c r="A1907" s="797"/>
      <c r="B1907" s="798"/>
      <c r="C1907" s="799"/>
      <c r="D1907" s="799" t="str">
        <f>$F$2</f>
        <v>Electrical</v>
      </c>
      <c r="E1907" s="799">
        <f>ROUND(($R1911*$S$2 + ($T1911*$T$2)), 2)</f>
        <v>0</v>
      </c>
      <c r="F1907" s="800">
        <f>$E1907*$C$12</f>
        <v>0</v>
      </c>
      <c r="G1907" s="528"/>
      <c r="H1907" s="801"/>
      <c r="I1907" s="528"/>
      <c r="J1907" s="48"/>
      <c r="K1907" s="802" t="s">
        <v>3</v>
      </c>
      <c r="L1907" s="803" t="s">
        <v>590</v>
      </c>
      <c r="M1907" s="528"/>
      <c r="N1907" s="528"/>
      <c r="O1907" s="48"/>
      <c r="P1907" s="528"/>
      <c r="Q1907" s="528"/>
      <c r="R1907"/>
      <c r="S1907"/>
      <c r="T1907"/>
    </row>
    <row r="1908" spans="1:33" s="519" customFormat="1" ht="14.4" customHeight="1">
      <c r="A1908" s="49"/>
      <c r="B1908" s="804" t="s">
        <v>591</v>
      </c>
      <c r="C1908" s="528"/>
      <c r="D1908" s="528"/>
      <c r="E1908" s="528"/>
      <c r="F1908" s="528"/>
      <c r="G1908" s="528"/>
      <c r="H1908" s="801"/>
      <c r="I1908" s="528"/>
      <c r="J1908" s="48"/>
      <c r="K1908" s="805"/>
      <c r="L1908" s="806"/>
      <c r="M1908" s="528"/>
      <c r="N1908" s="528"/>
      <c r="O1908" s="48"/>
      <c r="P1908" s="528"/>
      <c r="Q1908" s="528"/>
      <c r="R1908" s="807">
        <f>$A1908*Q1908</f>
        <v>0</v>
      </c>
      <c r="S1908" s="528"/>
      <c r="T1908" s="643">
        <f>$A1908*S1908*$T$1</f>
        <v>0</v>
      </c>
    </row>
    <row r="1909" spans="1:33" s="519" customFormat="1" ht="14.4" customHeight="1">
      <c r="A1909" s="49"/>
      <c r="B1909" s="528"/>
      <c r="C1909" s="528"/>
      <c r="D1909" s="528"/>
      <c r="E1909" s="528"/>
      <c r="F1909" s="528"/>
      <c r="G1909" s="528"/>
      <c r="H1909" s="801"/>
      <c r="I1909" s="528"/>
      <c r="J1909" s="48"/>
      <c r="K1909" s="805"/>
      <c r="L1909" s="806"/>
      <c r="M1909" s="528"/>
      <c r="N1909" s="528"/>
      <c r="O1909" s="48"/>
      <c r="P1909" s="528"/>
      <c r="Q1909" s="528"/>
      <c r="R1909" s="807">
        <f>$A1909*Q1909</f>
        <v>0</v>
      </c>
      <c r="S1909" s="528"/>
      <c r="T1909" s="643">
        <f>$A1909*S1909*$T$1</f>
        <v>0</v>
      </c>
    </row>
    <row r="1910" spans="1:33" s="519" customFormat="1" ht="14.4" customHeight="1">
      <c r="A1910" s="49"/>
      <c r="B1910" s="528"/>
      <c r="C1910" s="528"/>
      <c r="D1910" s="528"/>
      <c r="E1910" s="528"/>
      <c r="F1910" s="528"/>
      <c r="G1910" s="528"/>
      <c r="H1910" s="801"/>
      <c r="I1910" s="528"/>
      <c r="J1910" s="48"/>
      <c r="K1910" s="805"/>
      <c r="L1910" s="806"/>
      <c r="M1910" s="528"/>
      <c r="N1910" s="528"/>
      <c r="O1910" s="48"/>
      <c r="P1910" s="528"/>
      <c r="Q1910" s="528"/>
      <c r="R1910" s="807">
        <f>$A1910*Q1910</f>
        <v>0</v>
      </c>
      <c r="S1910" s="528"/>
      <c r="T1910" s="643">
        <f>$A1910*S1910*$T$1</f>
        <v>0</v>
      </c>
    </row>
    <row r="1911" spans="1:33" s="519" customFormat="1" ht="12">
      <c r="A1911" s="835" t="s">
        <v>145</v>
      </c>
      <c r="B1911" s="836">
        <f>(R1910+T1910)</f>
        <v>0</v>
      </c>
      <c r="C1911" s="790"/>
      <c r="G1911" s="810"/>
      <c r="H1911" s="810"/>
      <c r="I1911" s="810"/>
      <c r="J1911" s="810"/>
      <c r="K1911" s="811" t="s">
        <v>3</v>
      </c>
      <c r="L1911" s="812" t="s">
        <v>590</v>
      </c>
      <c r="M1911" s="810"/>
      <c r="N1911" s="810"/>
      <c r="O1911" s="810"/>
      <c r="P1911" s="810"/>
      <c r="Q1911" s="813"/>
      <c r="R1911" s="814">
        <f>SUM(R1907:R1910)</f>
        <v>0</v>
      </c>
      <c r="S1911" s="815"/>
      <c r="T1911" s="814">
        <f>SUM(T1907:T1910)</f>
        <v>0</v>
      </c>
      <c r="AG1911" s="816">
        <f>ROUND($R1911*$S$2,2)</f>
        <v>0</v>
      </c>
    </row>
    <row r="1912" spans="1:33" s="519" customFormat="1" ht="12" customHeight="1">
      <c r="A1912" s="797"/>
      <c r="B1912" s="853"/>
      <c r="C1912" s="854"/>
      <c r="D1912" s="855" t="str">
        <f>$F$3</f>
        <v>ECA</v>
      </c>
      <c r="E1912" s="855">
        <f>ROUND(($R1916*$S$3 + ($T1916*$T$3)), 2)</f>
        <v>0</v>
      </c>
      <c r="F1912" s="856">
        <f>$E1912*$C$12</f>
        <v>0</v>
      </c>
      <c r="G1912" s="518"/>
      <c r="H1912" s="518"/>
      <c r="I1912" s="518"/>
      <c r="J1912" s="518"/>
      <c r="K1912" s="802" t="s">
        <v>5</v>
      </c>
      <c r="L1912" s="803" t="s">
        <v>590</v>
      </c>
      <c r="M1912" s="518"/>
      <c r="N1912" s="518"/>
      <c r="O1912" s="518"/>
      <c r="P1912" s="518"/>
      <c r="Q1912" s="518"/>
      <c r="R1912" s="821"/>
      <c r="S1912" s="518"/>
      <c r="T1912" s="821"/>
    </row>
    <row r="1913" spans="1:33" s="834" customFormat="1" ht="15.6" customHeight="1">
      <c r="A1913" s="822"/>
      <c r="B1913" s="804" t="s">
        <v>592</v>
      </c>
      <c r="C1913" s="823"/>
      <c r="D1913" s="824"/>
      <c r="E1913" s="824"/>
      <c r="F1913" s="824"/>
      <c r="G1913" s="825"/>
      <c r="H1913" s="826"/>
      <c r="I1913" s="826"/>
      <c r="J1913" s="827"/>
      <c r="K1913" s="828"/>
      <c r="L1913" s="823"/>
      <c r="M1913" s="829"/>
      <c r="N1913" s="830"/>
      <c r="O1913" s="831"/>
      <c r="P1913" s="832"/>
      <c r="Q1913" s="833"/>
      <c r="R1913" s="807">
        <f>$A1913*Q1913</f>
        <v>0</v>
      </c>
      <c r="S1913" s="528"/>
      <c r="T1913" s="643">
        <f>$A1913*S1913*$T$1</f>
        <v>0</v>
      </c>
    </row>
    <row r="1914" spans="1:33" s="519" customFormat="1" ht="15.6" customHeight="1">
      <c r="A1914" s="49"/>
      <c r="B1914" s="528"/>
      <c r="C1914" s="528"/>
      <c r="D1914" s="528"/>
      <c r="E1914" s="528"/>
      <c r="F1914" s="528"/>
      <c r="G1914" s="528"/>
      <c r="H1914" s="528"/>
      <c r="I1914" s="528"/>
      <c r="J1914" s="528"/>
      <c r="K1914" s="528"/>
      <c r="L1914" s="806"/>
      <c r="M1914" s="528"/>
      <c r="N1914" s="528"/>
      <c r="O1914" s="528"/>
      <c r="P1914" s="528"/>
      <c r="Q1914" s="528"/>
      <c r="R1914" s="807">
        <f>$A1914*Q1914</f>
        <v>0</v>
      </c>
      <c r="S1914" s="528"/>
      <c r="T1914" s="643">
        <f>$A1914*S1914*$T$1</f>
        <v>0</v>
      </c>
    </row>
    <row r="1915" spans="1:33" s="519" customFormat="1" ht="15.6" customHeight="1">
      <c r="A1915" s="49"/>
      <c r="B1915" s="528"/>
      <c r="C1915" s="528"/>
      <c r="D1915" s="3"/>
      <c r="E1915" s="528"/>
      <c r="F1915" s="528"/>
      <c r="G1915" s="528"/>
      <c r="H1915" s="528"/>
      <c r="I1915" s="528"/>
      <c r="J1915" s="528"/>
      <c r="K1915" s="528"/>
      <c r="L1915" s="806"/>
      <c r="M1915" s="528"/>
      <c r="N1915" s="528"/>
      <c r="O1915" s="528"/>
      <c r="P1915" s="528"/>
      <c r="Q1915" s="528"/>
      <c r="R1915" s="807">
        <f>$A1915*Q1915</f>
        <v>0</v>
      </c>
      <c r="S1915" s="528"/>
      <c r="T1915" s="643">
        <f>$A1915*S1915*$T$1</f>
        <v>0</v>
      </c>
    </row>
    <row r="1916" spans="1:33" s="519" customFormat="1" ht="12">
      <c r="A1916" s="835" t="s">
        <v>145</v>
      </c>
      <c r="B1916" s="836">
        <f>(R1915+T1915)</f>
        <v>0</v>
      </c>
      <c r="C1916" s="790"/>
      <c r="G1916" s="810"/>
      <c r="H1916" s="810"/>
      <c r="I1916" s="810"/>
      <c r="J1916" s="810"/>
      <c r="K1916" s="838" t="s">
        <v>5</v>
      </c>
      <c r="L1916" s="812" t="s">
        <v>590</v>
      </c>
      <c r="M1916" s="810"/>
      <c r="N1916" s="810"/>
      <c r="O1916" s="810"/>
      <c r="P1916" s="810"/>
      <c r="Q1916" s="813"/>
      <c r="R1916" s="814">
        <f>SUM(R1912:R1915)</f>
        <v>0</v>
      </c>
      <c r="S1916" s="815"/>
      <c r="T1916" s="814">
        <f>SUM(T1912:T1915)</f>
        <v>0</v>
      </c>
      <c r="AG1916" s="840">
        <f>ROUND($R1916*$S$3,2)</f>
        <v>0</v>
      </c>
    </row>
    <row r="1917" spans="1:33" s="519" customFormat="1" ht="12" customHeight="1">
      <c r="A1917" s="817"/>
      <c r="B1917" s="857"/>
      <c r="C1917" s="858"/>
      <c r="D1917" s="859">
        <f>$F$4</f>
        <v>0</v>
      </c>
      <c r="E1917" s="859">
        <f>ROUND(($R1921*$S$4 + ($T1921*$T$4)), 2)</f>
        <v>0</v>
      </c>
      <c r="F1917" s="860">
        <f ca="1">$F1904-SUMIF($L1906:$P1914,"SUBI",$F1906:$F1914)</f>
        <v>0</v>
      </c>
      <c r="G1917" s="518"/>
      <c r="H1917" s="518"/>
      <c r="I1917" s="518"/>
      <c r="J1917" s="518"/>
      <c r="K1917" s="861" t="s">
        <v>8</v>
      </c>
      <c r="L1917" s="803" t="s">
        <v>590</v>
      </c>
      <c r="M1917" s="518"/>
      <c r="N1917" s="518"/>
      <c r="O1917" s="518"/>
      <c r="P1917" s="518"/>
      <c r="Q1917" s="518"/>
      <c r="R1917" s="821"/>
      <c r="S1917" s="518"/>
      <c r="T1917" s="821"/>
    </row>
    <row r="1918" spans="1:33" s="834" customFormat="1" ht="14.4" customHeight="1">
      <c r="A1918" s="822"/>
      <c r="B1918" s="804" t="s">
        <v>680</v>
      </c>
      <c r="C1918" s="823"/>
      <c r="D1918" s="824"/>
      <c r="E1918" s="824"/>
      <c r="F1918" s="824"/>
      <c r="G1918" s="825"/>
      <c r="H1918" s="826"/>
      <c r="I1918" s="826"/>
      <c r="J1918" s="827"/>
      <c r="K1918" s="828"/>
      <c r="L1918" s="823"/>
      <c r="M1918" s="829"/>
      <c r="N1918" s="830"/>
      <c r="O1918" s="862"/>
      <c r="P1918" s="832"/>
      <c r="Q1918" s="833"/>
      <c r="R1918" s="642">
        <f>$A1918*Q1918</f>
        <v>0</v>
      </c>
      <c r="S1918" s="833"/>
      <c r="T1918" s="643">
        <f>$A1918*S1918*$T$1</f>
        <v>0</v>
      </c>
    </row>
    <row r="1919" spans="1:33" s="519" customFormat="1" ht="12">
      <c r="A1919" s="47"/>
      <c r="B1919" s="641"/>
      <c r="C1919" s="641"/>
      <c r="D1919" s="863"/>
      <c r="E1919" s="843"/>
      <c r="F1919" s="518"/>
      <c r="G1919" s="518"/>
      <c r="H1919" s="518"/>
      <c r="I1919" s="518"/>
      <c r="J1919" s="518"/>
      <c r="K1919" s="518"/>
      <c r="L1919" s="864"/>
      <c r="M1919" s="518"/>
      <c r="N1919" s="518"/>
      <c r="O1919" s="518"/>
      <c r="P1919" s="518"/>
      <c r="Q1919" s="518"/>
      <c r="R1919" s="642">
        <f>$A1919*Q1919</f>
        <v>0</v>
      </c>
      <c r="S1919" s="518"/>
      <c r="T1919" s="643">
        <f>$A1919*S1919*$T$1</f>
        <v>0</v>
      </c>
    </row>
    <row r="1920" spans="1:33" s="519" customFormat="1" ht="12">
      <c r="A1920" s="47"/>
      <c r="B1920" s="641"/>
      <c r="C1920" s="641"/>
      <c r="D1920" s="863"/>
      <c r="E1920" s="843"/>
      <c r="F1920" s="518"/>
      <c r="G1920" s="518"/>
      <c r="H1920" s="518"/>
      <c r="I1920" s="518"/>
      <c r="J1920" s="518"/>
      <c r="K1920" s="518"/>
      <c r="L1920" s="864"/>
      <c r="M1920" s="518"/>
      <c r="N1920" s="518"/>
      <c r="O1920" s="518"/>
      <c r="P1920" s="518"/>
      <c r="Q1920" s="518"/>
      <c r="R1920" s="642">
        <f>$A1920*Q1920</f>
        <v>0</v>
      </c>
      <c r="S1920" s="518"/>
      <c r="T1920" s="643">
        <f>$A1920*S1920*$T$1</f>
        <v>0</v>
      </c>
    </row>
    <row r="1921" spans="1:41" s="519" customFormat="1" ht="12.75" customHeight="1">
      <c r="A1921" s="835" t="s">
        <v>145</v>
      </c>
      <c r="B1921" s="836">
        <f>(R1920+T1920)</f>
        <v>0</v>
      </c>
      <c r="C1921" s="837"/>
      <c r="D1921" s="837"/>
      <c r="E1921" s="837"/>
      <c r="F1921" s="837"/>
      <c r="G1921" s="813"/>
      <c r="H1921" s="813"/>
      <c r="I1921" s="813"/>
      <c r="J1921" s="813"/>
      <c r="K1921" s="838" t="s">
        <v>8</v>
      </c>
      <c r="L1921" s="839" t="s">
        <v>590</v>
      </c>
      <c r="M1921" s="813"/>
      <c r="N1921" s="813"/>
      <c r="O1921" s="813"/>
      <c r="P1921" s="813"/>
      <c r="Q1921" s="813"/>
      <c r="R1921" s="814">
        <f>SUM(R1917:R1920)</f>
        <v>0</v>
      </c>
      <c r="S1921" s="815"/>
      <c r="T1921" s="814">
        <f>SUM(T1917:T1920)</f>
        <v>0</v>
      </c>
      <c r="AG1921" s="865">
        <f>ROUND($R1921*$S$4,2)</f>
        <v>0</v>
      </c>
    </row>
    <row r="1922" spans="1:41" s="519" customFormat="1" ht="12.75" customHeight="1">
      <c r="A1922" s="841"/>
      <c r="B1922" s="842"/>
      <c r="E1922" s="641"/>
      <c r="F1922" s="843"/>
      <c r="G1922" s="641"/>
      <c r="H1922" s="641"/>
      <c r="I1922" s="518"/>
      <c r="J1922" s="641"/>
      <c r="K1922" s="641"/>
      <c r="L1922" s="844"/>
      <c r="M1922" s="652"/>
      <c r="N1922" s="652"/>
      <c r="O1922" s="652"/>
      <c r="P1922" s="652"/>
      <c r="Q1922" s="653"/>
      <c r="R1922" s="821"/>
      <c r="S1922" s="641"/>
      <c r="T1922" s="821"/>
    </row>
    <row r="1923" spans="1:41" s="519" customFormat="1" ht="13.5" customHeight="1" thickBot="1">
      <c r="A1923" s="845"/>
      <c r="B1923" s="846"/>
      <c r="C1923" s="529"/>
      <c r="D1923" s="529"/>
      <c r="E1923" s="646"/>
      <c r="F1923" s="647"/>
      <c r="G1923" s="646" t="s">
        <v>146</v>
      </c>
      <c r="H1923" s="646"/>
      <c r="I1923" s="648"/>
      <c r="J1923" s="646"/>
      <c r="K1923" s="646"/>
      <c r="L1923" s="847" t="s">
        <v>143</v>
      </c>
      <c r="M1923" s="649"/>
      <c r="N1923" s="649"/>
      <c r="O1923" s="649"/>
      <c r="P1923" s="649"/>
      <c r="Q1923" s="650"/>
      <c r="R1923" s="848">
        <f>SUMIF($L1905:$L1922,"SUBI",R1905:R1922)</f>
        <v>0</v>
      </c>
      <c r="S1923" s="866"/>
      <c r="T1923" s="848">
        <f>SUMIF($L1905:$L1922,"SUBI",T1905:T1922)</f>
        <v>0</v>
      </c>
      <c r="U1923" s="529"/>
      <c r="V1923" s="529"/>
      <c r="W1923" s="529"/>
      <c r="X1923" s="529"/>
      <c r="Y1923" s="529"/>
      <c r="Z1923" s="529"/>
      <c r="AA1923" s="529"/>
      <c r="AB1923" s="529"/>
      <c r="AC1923" s="529"/>
      <c r="AD1923" s="529"/>
      <c r="AE1923" s="529"/>
      <c r="AF1923" s="529"/>
      <c r="AG1923" s="529"/>
      <c r="AH1923" s="529"/>
      <c r="AI1923" s="529"/>
      <c r="AJ1923" s="529"/>
      <c r="AK1923" s="529"/>
      <c r="AL1923" s="529"/>
      <c r="AM1923" s="529"/>
      <c r="AN1923" s="529"/>
      <c r="AO1923" s="529"/>
    </row>
    <row r="1924" spans="1:41" s="519" customFormat="1" thickTop="1">
      <c r="A1924" s="47"/>
      <c r="B1924" s="40"/>
      <c r="C1924" s="47"/>
      <c r="E1924" s="41" t="s">
        <v>138</v>
      </c>
      <c r="F1924" s="41" t="s">
        <v>139</v>
      </c>
      <c r="G1924" s="47"/>
      <c r="H1924" s="47"/>
      <c r="I1924" s="47"/>
      <c r="J1924" s="47"/>
      <c r="K1924" s="47" t="s">
        <v>140</v>
      </c>
      <c r="L1924" s="774"/>
      <c r="M1924" s="47"/>
      <c r="N1924" s="47"/>
      <c r="O1924" s="48"/>
      <c r="P1924" s="47"/>
      <c r="Q1924"/>
      <c r="R1924"/>
      <c r="S1924"/>
      <c r="T1924" s="40"/>
      <c r="AG1924" s="627" t="s">
        <v>277</v>
      </c>
      <c r="AH1924" s="627" t="s">
        <v>278</v>
      </c>
      <c r="AI1924" s="627" t="s">
        <v>279</v>
      </c>
      <c r="AJ1924" s="627" t="s">
        <v>280</v>
      </c>
      <c r="AK1924" s="627" t="s">
        <v>281</v>
      </c>
      <c r="AM1924" s="628" t="s">
        <v>290</v>
      </c>
      <c r="AN1924" s="629" t="s">
        <v>291</v>
      </c>
      <c r="AO1924" s="520" t="s">
        <v>287</v>
      </c>
    </row>
    <row r="1925" spans="1:41" s="519" customFormat="1" ht="13.2">
      <c r="A1925" s="630">
        <v>2</v>
      </c>
      <c r="B1925" s="521" t="s">
        <v>312</v>
      </c>
      <c r="C1925" s="631"/>
      <c r="D1925" s="632" t="s">
        <v>719</v>
      </c>
      <c r="E1925" s="775">
        <f>IF(AND($A1925=0,$A$1="DIF"),0,ROUND(ROUND(SUMIF($L1927:$L1938,"SUBI",$E1927:$E1938)/$A1925,2)*$C$12,2))</f>
        <v>0</v>
      </c>
      <c r="F1925" s="776">
        <f>ROUND($A1925*$E1925,2)</f>
        <v>0</v>
      </c>
      <c r="G1925" s="635" t="s">
        <v>142</v>
      </c>
      <c r="H1925" s="636"/>
      <c r="I1925" s="637"/>
      <c r="J1925" s="636"/>
      <c r="K1925" s="777"/>
      <c r="L1925" s="778" t="s">
        <v>143</v>
      </c>
      <c r="M1925" s="638"/>
      <c r="N1925" s="638"/>
      <c r="O1925" s="638"/>
      <c r="P1925" s="638"/>
      <c r="Q1925" s="967" t="s">
        <v>867</v>
      </c>
      <c r="R1925"/>
      <c r="S1925"/>
      <c r="T1925" s="779" t="str">
        <f>IF(AND($R1944=0,$T1944=0),"0.00","mu :" &amp; ROUND($F1925/$C$12/($R1944+$T1944*$D$9),2))</f>
        <v>0.00</v>
      </c>
      <c r="W1925" s="522"/>
      <c r="AG1925" s="780">
        <f>IF(A1925=0,0,ROUND(SUM(AG1927:AG1944)/A1925,2))</f>
        <v>0</v>
      </c>
      <c r="AH1925" s="780">
        <f>$AG1925*$A1925</f>
        <v>0</v>
      </c>
      <c r="AI1925" s="780">
        <f>$E1925-$AG1925</f>
        <v>0</v>
      </c>
      <c r="AJ1925" s="780">
        <f>$A1925*$AI1925</f>
        <v>0</v>
      </c>
      <c r="AK1925" s="781">
        <f>ROUND(($AG1925+$AI1925)*$A1925,2)</f>
        <v>0</v>
      </c>
      <c r="AM1925" s="525">
        <f>ROUND(R1944,2)</f>
        <v>0</v>
      </c>
      <c r="AN1925" s="526">
        <f>ROUND(T1944,2)</f>
        <v>0</v>
      </c>
      <c r="AO1925" s="527">
        <f>ROUND(AM1925+AN1925,2)*A1925</f>
        <v>0</v>
      </c>
    </row>
    <row r="1926" spans="1:41" s="519" customFormat="1" ht="21.6" customHeight="1">
      <c r="A1926" s="782"/>
      <c r="B1926" s="783"/>
      <c r="C1926" s="631"/>
      <c r="D1926" s="784" t="s">
        <v>532</v>
      </c>
      <c r="F1926" s="636"/>
      <c r="G1926" s="636"/>
      <c r="H1926" s="636"/>
      <c r="I1926" s="637"/>
      <c r="J1926" s="636"/>
      <c r="K1926" s="636" t="s">
        <v>144</v>
      </c>
      <c r="L1926" s="785"/>
      <c r="M1926" s="636"/>
      <c r="N1926" s="636"/>
      <c r="O1926" s="636"/>
      <c r="P1926" s="636"/>
      <c r="Q1926" s="47"/>
      <c r="R1926" s="528"/>
      <c r="S1926" s="640"/>
      <c r="T1926" s="636"/>
    </row>
    <row r="1927" spans="1:41" s="519" customFormat="1" ht="12">
      <c r="A1927" s="849"/>
      <c r="B1927" s="850"/>
      <c r="C1927" s="641"/>
      <c r="D1927" s="811"/>
      <c r="E1927" s="851">
        <f>F1925/$C$12-SUMIF($L1924:$L1944,"SUBI",$E1924:$E1944)</f>
        <v>0</v>
      </c>
      <c r="F1927" s="852" t="s">
        <v>589</v>
      </c>
      <c r="G1927" s="790"/>
      <c r="H1927" s="790"/>
      <c r="I1927" s="791"/>
      <c r="J1927" s="790"/>
      <c r="K1927" s="790"/>
      <c r="L1927" s="792"/>
      <c r="M1927" s="793"/>
      <c r="N1927" s="793"/>
      <c r="O1927" s="793"/>
      <c r="P1927" s="793"/>
      <c r="Q1927" s="794"/>
      <c r="R1927" s="795"/>
      <c r="S1927" s="794"/>
      <c r="T1927" s="796"/>
    </row>
    <row r="1928" spans="1:41" s="519" customFormat="1" ht="12" customHeight="1">
      <c r="A1928" s="797"/>
      <c r="B1928" s="798"/>
      <c r="C1928" s="799"/>
      <c r="D1928" s="799" t="str">
        <f>$F$2</f>
        <v>Electrical</v>
      </c>
      <c r="E1928" s="799">
        <f>ROUND(($R1932*$S$2 + ($T1932*$T$2)), 2)</f>
        <v>0</v>
      </c>
      <c r="F1928" s="800">
        <f>$E1928*$C$12</f>
        <v>0</v>
      </c>
      <c r="G1928" s="528"/>
      <c r="H1928" s="801"/>
      <c r="I1928" s="528"/>
      <c r="J1928" s="48"/>
      <c r="K1928" s="802" t="s">
        <v>3</v>
      </c>
      <c r="L1928" s="803" t="s">
        <v>590</v>
      </c>
      <c r="M1928" s="528"/>
      <c r="N1928" s="528"/>
      <c r="O1928" s="48"/>
      <c r="P1928" s="528"/>
      <c r="Q1928" s="528"/>
      <c r="R1928"/>
      <c r="S1928"/>
      <c r="T1928"/>
    </row>
    <row r="1929" spans="1:41" s="519" customFormat="1" ht="14.4" customHeight="1">
      <c r="A1929" s="49"/>
      <c r="B1929" s="804" t="s">
        <v>591</v>
      </c>
      <c r="C1929" s="528"/>
      <c r="D1929" s="528"/>
      <c r="E1929" s="528"/>
      <c r="F1929" s="528"/>
      <c r="G1929" s="528"/>
      <c r="H1929" s="801"/>
      <c r="I1929" s="528"/>
      <c r="J1929" s="48"/>
      <c r="K1929" s="805"/>
      <c r="L1929" s="806"/>
      <c r="M1929" s="528"/>
      <c r="N1929" s="528"/>
      <c r="O1929" s="48"/>
      <c r="P1929" s="528"/>
      <c r="Q1929" s="528"/>
      <c r="R1929" s="807">
        <f>$A1929*Q1929</f>
        <v>0</v>
      </c>
      <c r="S1929" s="528"/>
      <c r="T1929" s="643">
        <f>$A1929*S1929*$T$1</f>
        <v>0</v>
      </c>
    </row>
    <row r="1930" spans="1:41" s="519" customFormat="1" ht="14.4" customHeight="1">
      <c r="A1930" s="49"/>
      <c r="B1930" s="528"/>
      <c r="C1930" s="528"/>
      <c r="D1930" s="528"/>
      <c r="E1930" s="528"/>
      <c r="F1930" s="528"/>
      <c r="G1930" s="528"/>
      <c r="H1930" s="801"/>
      <c r="I1930" s="528"/>
      <c r="J1930" s="48"/>
      <c r="K1930" s="805"/>
      <c r="L1930" s="806"/>
      <c r="M1930" s="528"/>
      <c r="N1930" s="528"/>
      <c r="O1930" s="48"/>
      <c r="P1930" s="528"/>
      <c r="Q1930" s="528"/>
      <c r="R1930" s="807">
        <f>$A1930*Q1930</f>
        <v>0</v>
      </c>
      <c r="S1930" s="528"/>
      <c r="T1930" s="643">
        <f>$A1930*S1930*$T$1</f>
        <v>0</v>
      </c>
    </row>
    <row r="1931" spans="1:41" s="519" customFormat="1" ht="14.4" customHeight="1">
      <c r="A1931" s="49"/>
      <c r="B1931" s="528"/>
      <c r="C1931" s="528"/>
      <c r="D1931" s="528"/>
      <c r="E1931" s="528"/>
      <c r="F1931" s="528"/>
      <c r="G1931" s="528"/>
      <c r="H1931" s="801"/>
      <c r="I1931" s="528"/>
      <c r="J1931" s="48"/>
      <c r="K1931" s="805"/>
      <c r="L1931" s="806"/>
      <c r="M1931" s="528"/>
      <c r="N1931" s="528"/>
      <c r="O1931" s="48"/>
      <c r="P1931" s="528"/>
      <c r="Q1931" s="528"/>
      <c r="R1931" s="807">
        <f>$A1931*Q1931</f>
        <v>0</v>
      </c>
      <c r="S1931" s="528"/>
      <c r="T1931" s="643">
        <f>$A1931*S1931*$T$1</f>
        <v>0</v>
      </c>
    </row>
    <row r="1932" spans="1:41" s="519" customFormat="1" ht="12">
      <c r="A1932" s="835" t="s">
        <v>145</v>
      </c>
      <c r="B1932" s="836">
        <f>(R1931+T1931)</f>
        <v>0</v>
      </c>
      <c r="C1932" s="790"/>
      <c r="G1932" s="810"/>
      <c r="H1932" s="810"/>
      <c r="I1932" s="810"/>
      <c r="J1932" s="810"/>
      <c r="K1932" s="811" t="s">
        <v>3</v>
      </c>
      <c r="L1932" s="812" t="s">
        <v>590</v>
      </c>
      <c r="M1932" s="810"/>
      <c r="N1932" s="810"/>
      <c r="O1932" s="810"/>
      <c r="P1932" s="810"/>
      <c r="Q1932" s="813"/>
      <c r="R1932" s="814">
        <f>SUM(R1928:R1931)</f>
        <v>0</v>
      </c>
      <c r="S1932" s="815"/>
      <c r="T1932" s="814">
        <f>SUM(T1928:T1931)</f>
        <v>0</v>
      </c>
      <c r="AG1932" s="816">
        <f>ROUND($R1932*$S$2,2)</f>
        <v>0</v>
      </c>
    </row>
    <row r="1933" spans="1:41" s="519" customFormat="1" ht="12" customHeight="1">
      <c r="A1933" s="797"/>
      <c r="B1933" s="853"/>
      <c r="C1933" s="854"/>
      <c r="D1933" s="855" t="str">
        <f>$F$3</f>
        <v>ECA</v>
      </c>
      <c r="E1933" s="855">
        <f>ROUND(($R1937*$S$3 + ($T1937*$T$3)), 2)</f>
        <v>0</v>
      </c>
      <c r="F1933" s="856">
        <f>$E1933*$C$12</f>
        <v>0</v>
      </c>
      <c r="G1933" s="518"/>
      <c r="H1933" s="518"/>
      <c r="I1933" s="518"/>
      <c r="J1933" s="518"/>
      <c r="K1933" s="802" t="s">
        <v>5</v>
      </c>
      <c r="L1933" s="803" t="s">
        <v>590</v>
      </c>
      <c r="M1933" s="518"/>
      <c r="N1933" s="518"/>
      <c r="O1933" s="518"/>
      <c r="P1933" s="518"/>
      <c r="Q1933" s="518"/>
      <c r="R1933" s="821"/>
      <c r="S1933" s="518"/>
      <c r="T1933" s="821"/>
    </row>
    <row r="1934" spans="1:41" s="834" customFormat="1" ht="15.6" customHeight="1">
      <c r="A1934" s="822"/>
      <c r="B1934" s="804" t="s">
        <v>592</v>
      </c>
      <c r="C1934" s="823"/>
      <c r="D1934" s="824"/>
      <c r="E1934" s="824"/>
      <c r="F1934" s="824"/>
      <c r="G1934" s="825"/>
      <c r="H1934" s="826"/>
      <c r="I1934" s="826"/>
      <c r="J1934" s="827"/>
      <c r="K1934" s="828"/>
      <c r="L1934" s="823"/>
      <c r="M1934" s="829"/>
      <c r="N1934" s="830"/>
      <c r="O1934" s="831"/>
      <c r="P1934" s="832"/>
      <c r="Q1934" s="833"/>
      <c r="R1934" s="807">
        <f>$A1934*Q1934</f>
        <v>0</v>
      </c>
      <c r="S1934" s="528"/>
      <c r="T1934" s="643">
        <f>$A1934*S1934*$T$1</f>
        <v>0</v>
      </c>
    </row>
    <row r="1935" spans="1:41" s="519" customFormat="1" ht="15.6" customHeight="1">
      <c r="A1935" s="49"/>
      <c r="B1935" s="528"/>
      <c r="C1935" s="528"/>
      <c r="D1935" s="528"/>
      <c r="E1935" s="528"/>
      <c r="F1935" s="528"/>
      <c r="G1935" s="528"/>
      <c r="H1935" s="528"/>
      <c r="I1935" s="528"/>
      <c r="J1935" s="528"/>
      <c r="K1935" s="528"/>
      <c r="L1935" s="806"/>
      <c r="M1935" s="528"/>
      <c r="N1935" s="528"/>
      <c r="O1935" s="528"/>
      <c r="P1935" s="528"/>
      <c r="Q1935" s="528"/>
      <c r="R1935" s="807">
        <f>$A1935*Q1935</f>
        <v>0</v>
      </c>
      <c r="S1935" s="528"/>
      <c r="T1935" s="643">
        <f>$A1935*S1935*$T$1</f>
        <v>0</v>
      </c>
    </row>
    <row r="1936" spans="1:41" s="519" customFormat="1" ht="15.6" customHeight="1">
      <c r="A1936" s="49"/>
      <c r="B1936" s="528"/>
      <c r="C1936" s="528"/>
      <c r="D1936" s="3"/>
      <c r="E1936" s="528"/>
      <c r="F1936" s="528"/>
      <c r="G1936" s="528"/>
      <c r="H1936" s="528"/>
      <c r="I1936" s="528"/>
      <c r="J1936" s="528"/>
      <c r="K1936" s="528"/>
      <c r="L1936" s="806"/>
      <c r="M1936" s="528"/>
      <c r="N1936" s="528"/>
      <c r="O1936" s="528"/>
      <c r="P1936" s="528"/>
      <c r="Q1936" s="528"/>
      <c r="R1936" s="807">
        <f>$A1936*Q1936</f>
        <v>0</v>
      </c>
      <c r="S1936" s="528"/>
      <c r="T1936" s="643">
        <f>$A1936*S1936*$T$1</f>
        <v>0</v>
      </c>
    </row>
    <row r="1937" spans="1:41" s="519" customFormat="1" ht="12">
      <c r="A1937" s="835" t="s">
        <v>145</v>
      </c>
      <c r="B1937" s="836">
        <f>(R1936+T1936)</f>
        <v>0</v>
      </c>
      <c r="C1937" s="790"/>
      <c r="G1937" s="810"/>
      <c r="H1937" s="810"/>
      <c r="I1937" s="810"/>
      <c r="J1937" s="810"/>
      <c r="K1937" s="838" t="s">
        <v>5</v>
      </c>
      <c r="L1937" s="812" t="s">
        <v>590</v>
      </c>
      <c r="M1937" s="810"/>
      <c r="N1937" s="810"/>
      <c r="O1937" s="810"/>
      <c r="P1937" s="810"/>
      <c r="Q1937" s="813"/>
      <c r="R1937" s="814">
        <f>SUM(R1933:R1936)</f>
        <v>0</v>
      </c>
      <c r="S1937" s="815"/>
      <c r="T1937" s="814">
        <f>SUM(T1933:T1936)</f>
        <v>0</v>
      </c>
      <c r="AG1937" s="840">
        <f>ROUND($R1937*$S$3,2)</f>
        <v>0</v>
      </c>
    </row>
    <row r="1938" spans="1:41" s="519" customFormat="1" ht="12" customHeight="1">
      <c r="A1938" s="817"/>
      <c r="B1938" s="857"/>
      <c r="C1938" s="858"/>
      <c r="D1938" s="859">
        <f>$F$4</f>
        <v>0</v>
      </c>
      <c r="E1938" s="859">
        <f>ROUND(($R1942*$S$4 + ($T1942*$T$4)), 2)</f>
        <v>0</v>
      </c>
      <c r="F1938" s="860">
        <f ca="1">$F1925-SUMIF($L1927:$P1935,"SUBI",$F1927:$F1935)</f>
        <v>0</v>
      </c>
      <c r="G1938" s="518"/>
      <c r="H1938" s="518"/>
      <c r="I1938" s="518"/>
      <c r="J1938" s="518"/>
      <c r="K1938" s="861" t="s">
        <v>8</v>
      </c>
      <c r="L1938" s="803" t="s">
        <v>590</v>
      </c>
      <c r="M1938" s="518"/>
      <c r="N1938" s="518"/>
      <c r="O1938" s="518"/>
      <c r="P1938" s="518"/>
      <c r="Q1938" s="518"/>
      <c r="R1938" s="821"/>
      <c r="S1938" s="518"/>
      <c r="T1938" s="821"/>
    </row>
    <row r="1939" spans="1:41" s="834" customFormat="1" ht="14.4" customHeight="1">
      <c r="A1939" s="822"/>
      <c r="B1939" s="804" t="s">
        <v>680</v>
      </c>
      <c r="C1939" s="823"/>
      <c r="D1939" s="824"/>
      <c r="E1939" s="824"/>
      <c r="F1939" s="824"/>
      <c r="G1939" s="825"/>
      <c r="H1939" s="826"/>
      <c r="I1939" s="826"/>
      <c r="J1939" s="827"/>
      <c r="K1939" s="828"/>
      <c r="L1939" s="823"/>
      <c r="M1939" s="829"/>
      <c r="N1939" s="830"/>
      <c r="O1939" s="862"/>
      <c r="P1939" s="832"/>
      <c r="Q1939" s="833"/>
      <c r="R1939" s="642">
        <f>$A1939*Q1939</f>
        <v>0</v>
      </c>
      <c r="S1939" s="833"/>
      <c r="T1939" s="643">
        <f>$A1939*S1939*$T$1</f>
        <v>0</v>
      </c>
    </row>
    <row r="1940" spans="1:41" s="519" customFormat="1" ht="12">
      <c r="A1940" s="47"/>
      <c r="B1940" s="641"/>
      <c r="C1940" s="641"/>
      <c r="D1940" s="863"/>
      <c r="E1940" s="843"/>
      <c r="F1940" s="518"/>
      <c r="G1940" s="518"/>
      <c r="H1940" s="518"/>
      <c r="I1940" s="518"/>
      <c r="J1940" s="518"/>
      <c r="K1940" s="518"/>
      <c r="L1940" s="864"/>
      <c r="M1940" s="518"/>
      <c r="N1940" s="518"/>
      <c r="O1940" s="518"/>
      <c r="P1940" s="518"/>
      <c r="Q1940" s="518"/>
      <c r="R1940" s="642">
        <f>$A1940*Q1940</f>
        <v>0</v>
      </c>
      <c r="S1940" s="518"/>
      <c r="T1940" s="643">
        <f>$A1940*S1940*$T$1</f>
        <v>0</v>
      </c>
    </row>
    <row r="1941" spans="1:41" s="519" customFormat="1" ht="12">
      <c r="A1941" s="47"/>
      <c r="B1941" s="641"/>
      <c r="C1941" s="641"/>
      <c r="D1941" s="863"/>
      <c r="E1941" s="843"/>
      <c r="F1941" s="518"/>
      <c r="G1941" s="518"/>
      <c r="H1941" s="518"/>
      <c r="I1941" s="518"/>
      <c r="J1941" s="518"/>
      <c r="K1941" s="518"/>
      <c r="L1941" s="864"/>
      <c r="M1941" s="518"/>
      <c r="N1941" s="518"/>
      <c r="O1941" s="518"/>
      <c r="P1941" s="518"/>
      <c r="Q1941" s="518"/>
      <c r="R1941" s="642">
        <f>$A1941*Q1941</f>
        <v>0</v>
      </c>
      <c r="S1941" s="518"/>
      <c r="T1941" s="643">
        <f>$A1941*S1941*$T$1</f>
        <v>0</v>
      </c>
    </row>
    <row r="1942" spans="1:41" s="519" customFormat="1" ht="12.75" customHeight="1">
      <c r="A1942" s="835" t="s">
        <v>145</v>
      </c>
      <c r="B1942" s="836">
        <f>(R1941+T1941)</f>
        <v>0</v>
      </c>
      <c r="C1942" s="837"/>
      <c r="D1942" s="837"/>
      <c r="E1942" s="837"/>
      <c r="F1942" s="837"/>
      <c r="G1942" s="813"/>
      <c r="H1942" s="813"/>
      <c r="I1942" s="813"/>
      <c r="J1942" s="813"/>
      <c r="K1942" s="838" t="s">
        <v>8</v>
      </c>
      <c r="L1942" s="839" t="s">
        <v>590</v>
      </c>
      <c r="M1942" s="813"/>
      <c r="N1942" s="813"/>
      <c r="O1942" s="813"/>
      <c r="P1942" s="813"/>
      <c r="Q1942" s="813"/>
      <c r="R1942" s="814">
        <f>SUM(R1938:R1941)</f>
        <v>0</v>
      </c>
      <c r="S1942" s="815"/>
      <c r="T1942" s="814">
        <f>SUM(T1938:T1941)</f>
        <v>0</v>
      </c>
      <c r="AG1942" s="865">
        <f>ROUND($R1942*$S$4,2)</f>
        <v>0</v>
      </c>
    </row>
    <row r="1943" spans="1:41" s="519" customFormat="1" ht="12.75" customHeight="1">
      <c r="A1943" s="841"/>
      <c r="B1943" s="842"/>
      <c r="E1943" s="641"/>
      <c r="F1943" s="843"/>
      <c r="G1943" s="641"/>
      <c r="H1943" s="641"/>
      <c r="I1943" s="518"/>
      <c r="J1943" s="641"/>
      <c r="K1943" s="641"/>
      <c r="L1943" s="844"/>
      <c r="M1943" s="652"/>
      <c r="N1943" s="652"/>
      <c r="O1943" s="652"/>
      <c r="P1943" s="652"/>
      <c r="Q1943" s="653"/>
      <c r="R1943" s="821"/>
      <c r="S1943" s="641"/>
      <c r="T1943" s="821"/>
    </row>
    <row r="1944" spans="1:41" s="519" customFormat="1" ht="13.5" customHeight="1" thickBot="1">
      <c r="A1944" s="845"/>
      <c r="B1944" s="846"/>
      <c r="C1944" s="529"/>
      <c r="D1944" s="529"/>
      <c r="E1944" s="646"/>
      <c r="F1944" s="647"/>
      <c r="G1944" s="646" t="s">
        <v>146</v>
      </c>
      <c r="H1944" s="646"/>
      <c r="I1944" s="648"/>
      <c r="J1944" s="646"/>
      <c r="K1944" s="646"/>
      <c r="L1944" s="847" t="s">
        <v>143</v>
      </c>
      <c r="M1944" s="649"/>
      <c r="N1944" s="649"/>
      <c r="O1944" s="649"/>
      <c r="P1944" s="649"/>
      <c r="Q1944" s="650"/>
      <c r="R1944" s="848">
        <f>SUMIF($L1926:$L1943,"SUBI",R1926:R1943)</f>
        <v>0</v>
      </c>
      <c r="S1944" s="866"/>
      <c r="T1944" s="848">
        <f>SUMIF($L1926:$L1943,"SUBI",T1926:T1943)</f>
        <v>0</v>
      </c>
      <c r="U1944" s="529"/>
      <c r="V1944" s="529"/>
      <c r="W1944" s="529"/>
      <c r="X1944" s="529"/>
      <c r="Y1944" s="529"/>
      <c r="Z1944" s="529"/>
      <c r="AA1944" s="529"/>
      <c r="AB1944" s="529"/>
      <c r="AC1944" s="529"/>
      <c r="AD1944" s="529"/>
      <c r="AE1944" s="529"/>
      <c r="AF1944" s="529"/>
      <c r="AG1944" s="529"/>
      <c r="AH1944" s="529"/>
      <c r="AI1944" s="529"/>
      <c r="AJ1944" s="529"/>
      <c r="AK1944" s="529"/>
      <c r="AL1944" s="529"/>
      <c r="AM1944" s="529"/>
      <c r="AN1944" s="529"/>
      <c r="AO1944" s="529"/>
    </row>
    <row r="1945" spans="1:41" s="519" customFormat="1" ht="12" thickTop="1">
      <c r="A1945" s="47"/>
      <c r="B1945" s="40"/>
      <c r="C1945" s="47"/>
      <c r="E1945" s="41" t="s">
        <v>138</v>
      </c>
      <c r="F1945" s="41" t="s">
        <v>139</v>
      </c>
      <c r="G1945" s="47"/>
      <c r="H1945" s="47"/>
      <c r="I1945" s="47"/>
      <c r="J1945" s="47"/>
      <c r="K1945" s="47" t="s">
        <v>140</v>
      </c>
      <c r="L1945" s="47"/>
      <c r="M1945" s="47"/>
      <c r="N1945" s="47"/>
      <c r="O1945" s="48"/>
      <c r="P1945" s="47"/>
      <c r="Q1945" s="47"/>
      <c r="R1945" s="47"/>
      <c r="S1945" s="47"/>
      <c r="T1945" s="40"/>
      <c r="AG1945" s="627" t="s">
        <v>277</v>
      </c>
      <c r="AH1945" s="627" t="s">
        <v>278</v>
      </c>
      <c r="AI1945" s="627" t="s">
        <v>279</v>
      </c>
      <c r="AJ1945" s="627" t="s">
        <v>280</v>
      </c>
      <c r="AK1945" s="627" t="s">
        <v>281</v>
      </c>
      <c r="AM1945" s="628" t="s">
        <v>290</v>
      </c>
      <c r="AN1945" s="629" t="s">
        <v>291</v>
      </c>
      <c r="AO1945" s="520" t="s">
        <v>287</v>
      </c>
    </row>
    <row r="1946" spans="1:41" s="519" customFormat="1" ht="12" customHeight="1">
      <c r="A1946" s="630">
        <v>10</v>
      </c>
      <c r="B1946" s="521" t="s">
        <v>312</v>
      </c>
      <c r="C1946" s="631"/>
      <c r="D1946" s="632" t="s">
        <v>960</v>
      </c>
      <c r="E1946" s="633">
        <f ca="1">IF(AND($A1946=0,$A$1="DIF"),0, ROUND(ROUND(($R1951*$S$2+($T1951*$T$2))/A1946,2)*$C$2,2))</f>
        <v>41.96</v>
      </c>
      <c r="F1946" s="634">
        <f ca="1">ROUND($A1946*$E1946,2)</f>
        <v>419.6</v>
      </c>
      <c r="G1946" s="635" t="s">
        <v>142</v>
      </c>
      <c r="H1946" s="636"/>
      <c r="I1946" s="637"/>
      <c r="J1946" s="636"/>
      <c r="K1946" s="636" t="s">
        <v>3</v>
      </c>
      <c r="L1946" s="638" t="s">
        <v>143</v>
      </c>
      <c r="M1946" s="638"/>
      <c r="N1946" s="638"/>
      <c r="O1946" s="638"/>
      <c r="P1946" s="638"/>
      <c r="Q1946" s="47"/>
      <c r="T1946" s="639" t="str">
        <f ca="1">IF(AND($R1951=0,$T1951=0),"0.00","mu :" &amp; ROUND($F1946/$C$2/($R1951+$T1951*$D$9),2))</f>
        <v>mu :1</v>
      </c>
      <c r="W1946" s="522"/>
      <c r="AG1946" s="470">
        <f ca="1">IF($E1946=0,0,ROUND($R1951*$S$2*$C$2/$A1946,2))</f>
        <v>12.3</v>
      </c>
      <c r="AH1946" s="470">
        <f ca="1">$AG1946*$A1946</f>
        <v>123</v>
      </c>
      <c r="AI1946" s="523">
        <f ca="1">$E1946-$AG1946</f>
        <v>29.66</v>
      </c>
      <c r="AJ1946" s="523">
        <f ca="1">$A1946*$AI1946</f>
        <v>296.60000000000002</v>
      </c>
      <c r="AK1946" s="524">
        <f ca="1">ROUND(($AG1946+$AI1946)*$A1946,2)</f>
        <v>419.6</v>
      </c>
      <c r="AM1946" s="525">
        <f ca="1">ROUND(R1951,2)</f>
        <v>123</v>
      </c>
      <c r="AN1946" s="526">
        <f ca="1">ROUND(T1951,2)</f>
        <v>10.8</v>
      </c>
      <c r="AO1946" s="527">
        <f ca="1">ROUND(AM1946+AN1946,2)*A1946</f>
        <v>1338</v>
      </c>
    </row>
    <row r="1947" spans="1:41" s="519" customFormat="1" ht="13.2">
      <c r="A1947" s="631"/>
      <c r="B1947"/>
      <c r="C1947" s="631"/>
      <c r="D1947" s="632" t="s">
        <v>534</v>
      </c>
      <c r="F1947" s="636"/>
      <c r="G1947" s="3"/>
      <c r="H1947" s="636"/>
      <c r="I1947" s="637"/>
      <c r="J1947" s="636"/>
      <c r="K1947" s="636" t="s">
        <v>144</v>
      </c>
      <c r="L1947" s="636"/>
      <c r="M1947" s="636"/>
      <c r="N1947" s="636"/>
      <c r="O1947" s="636"/>
      <c r="P1947" s="636"/>
      <c r="Q1947" s="47"/>
      <c r="R1947" s="528"/>
      <c r="S1947" s="640"/>
      <c r="T1947" s="636"/>
    </row>
    <row r="1948" spans="1:41" s="956" customFormat="1" ht="13.2">
      <c r="A1948"/>
      <c r="B1948" s="948"/>
      <c r="C1948" s="948" t="s">
        <v>742</v>
      </c>
      <c r="D1948" s="948" t="str">
        <f ca="1">CELL("Address",Elec_Rates!D$138)</f>
        <v>[ELM25_0085_Quintano_Elec_Mech_HVAC_Est_Rev_B.xlsx]Elec_Rates!$D$138</v>
      </c>
      <c r="E1948" s="949"/>
      <c r="F1948" s="949"/>
      <c r="G1948" s="950" t="s">
        <v>743</v>
      </c>
      <c r="H1948" s="950"/>
      <c r="I1948" s="950"/>
      <c r="J1948" s="950"/>
      <c r="K1948" s="951"/>
      <c r="L1948" s="949"/>
      <c r="M1948" s="949"/>
      <c r="N1948" s="949"/>
      <c r="O1948" s="952"/>
      <c r="P1948" s="949"/>
      <c r="Q1948" s="953"/>
      <c r="R1948" s="954"/>
      <c r="S1948" s="953"/>
      <c r="T1948" s="943"/>
      <c r="U1948" s="955"/>
    </row>
    <row r="1949" spans="1:41" s="956" customFormat="1" ht="11.4">
      <c r="A1949" s="957">
        <v>10</v>
      </c>
      <c r="B1949" s="958">
        <v>1</v>
      </c>
      <c r="C1949" s="958">
        <f>$A1949*$B1949</f>
        <v>10</v>
      </c>
      <c r="D1949" s="959" t="str">
        <f>Elec_Rates!$D$138</f>
        <v>000# Empty conduit for thermostat</v>
      </c>
      <c r="E1949" s="959"/>
      <c r="F1949" s="959" t="s">
        <v>744</v>
      </c>
      <c r="G1949" s="960" t="s">
        <v>760</v>
      </c>
      <c r="H1949" s="960"/>
      <c r="I1949" s="960"/>
      <c r="J1949" s="960"/>
      <c r="K1949" s="961"/>
      <c r="L1949" s="955"/>
      <c r="M1949" s="955"/>
      <c r="N1949" s="955"/>
      <c r="O1949" s="962"/>
      <c r="P1949" s="959"/>
      <c r="Q1949" s="963">
        <f ca="1">$B1949*Elec_Rates!$R$138</f>
        <v>12.3</v>
      </c>
      <c r="R1949" s="954">
        <f ca="1">$A1949*Q1949</f>
        <v>123</v>
      </c>
      <c r="S1949" s="963">
        <f ca="1">$B1949*Elec_Rates!$T$138</f>
        <v>1.08</v>
      </c>
      <c r="T1949" s="943">
        <f ca="1">$A1949*S1949</f>
        <v>10.8</v>
      </c>
      <c r="U1949" s="501"/>
    </row>
    <row r="1950" spans="1:41" s="519" customFormat="1" ht="12">
      <c r="A1950" s="641"/>
      <c r="B1950" s="641"/>
      <c r="C1950" s="641"/>
      <c r="D1950" s="641"/>
      <c r="E1950" s="641"/>
      <c r="F1950" s="636"/>
      <c r="G1950" s="641"/>
      <c r="H1950" s="641"/>
      <c r="I1950" s="518"/>
      <c r="J1950" s="641"/>
      <c r="K1950" s="641"/>
      <c r="L1950" s="641"/>
      <c r="M1950" s="641"/>
      <c r="N1950" s="641"/>
      <c r="O1950" s="641"/>
      <c r="P1950" s="641"/>
      <c r="Q1950" s="518"/>
      <c r="R1950" s="642">
        <f t="shared" ref="R1950" si="60">$A1950*Q1950</f>
        <v>0</v>
      </c>
      <c r="S1950" s="518"/>
      <c r="T1950" s="643">
        <f t="shared" ref="T1950" si="61">$A1950*S1950*$T$1</f>
        <v>0</v>
      </c>
    </row>
    <row r="1951" spans="1:41" s="519" customFormat="1" ht="12.6" thickBot="1">
      <c r="A1951" s="644" t="s">
        <v>145</v>
      </c>
      <c r="B1951" s="645">
        <f>(R1950+T1950)</f>
        <v>0</v>
      </c>
      <c r="C1951" s="646"/>
      <c r="D1951" s="646"/>
      <c r="E1951" s="646"/>
      <c r="F1951" s="647"/>
      <c r="G1951" s="646" t="s">
        <v>146</v>
      </c>
      <c r="H1951" s="646"/>
      <c r="I1951" s="648"/>
      <c r="J1951" s="646"/>
      <c r="K1951" s="646" t="s">
        <v>3</v>
      </c>
      <c r="L1951" s="649" t="s">
        <v>143</v>
      </c>
      <c r="M1951" s="649"/>
      <c r="N1951" s="649"/>
      <c r="O1951" s="649"/>
      <c r="P1951" s="649"/>
      <c r="Q1951" s="650"/>
      <c r="R1951" s="651">
        <f ca="1">SUM(R1947:R1950)</f>
        <v>123</v>
      </c>
      <c r="S1951" s="646"/>
      <c r="T1951" s="651">
        <f ca="1">SUM(T1947:T1950)</f>
        <v>10.8</v>
      </c>
      <c r="U1951" s="529"/>
      <c r="V1951" s="529"/>
      <c r="W1951" s="529"/>
      <c r="X1951" s="529"/>
      <c r="Y1951" s="529"/>
      <c r="Z1951" s="529"/>
      <c r="AA1951" s="529"/>
      <c r="AB1951" s="529"/>
      <c r="AC1951" s="529"/>
      <c r="AD1951" s="529"/>
      <c r="AE1951" s="529"/>
      <c r="AF1951" s="529"/>
      <c r="AG1951" s="529"/>
      <c r="AH1951" s="529"/>
      <c r="AI1951" s="529"/>
      <c r="AJ1951" s="529"/>
      <c r="AK1951" s="529"/>
      <c r="AL1951" s="529"/>
      <c r="AM1951" s="529"/>
      <c r="AN1951" s="529"/>
      <c r="AO1951" s="529"/>
    </row>
    <row r="1952" spans="1:41" s="519" customFormat="1" thickTop="1">
      <c r="A1952" s="47"/>
      <c r="B1952" s="47"/>
      <c r="C1952" s="3"/>
      <c r="D1952" s="3"/>
      <c r="E1952" s="47"/>
      <c r="F1952" s="47"/>
      <c r="G1952" s="47"/>
      <c r="H1952" s="47"/>
      <c r="I1952" s="47"/>
      <c r="J1952" s="47"/>
      <c r="K1952" s="47" t="s">
        <v>134</v>
      </c>
      <c r="L1952" s="47"/>
      <c r="M1952" s="47"/>
      <c r="N1952" s="47"/>
      <c r="O1952" s="48"/>
      <c r="P1952" s="47"/>
      <c r="Q1952" s="47"/>
      <c r="R1952" s="47"/>
      <c r="S1952" s="47"/>
      <c r="T1952" s="47"/>
    </row>
    <row r="1953" spans="1:41" s="519" customFormat="1" ht="12">
      <c r="A1953" s="47"/>
      <c r="B1953" s="47"/>
      <c r="C1953" s="47" t="s">
        <v>135</v>
      </c>
      <c r="D1953" s="36"/>
      <c r="E1953" s="47"/>
      <c r="F1953" s="47"/>
      <c r="G1953" s="47"/>
      <c r="H1953" s="47"/>
      <c r="I1953" s="47"/>
      <c r="J1953" s="47"/>
      <c r="K1953" s="47"/>
      <c r="L1953" s="47"/>
      <c r="M1953" s="47"/>
      <c r="N1953" s="47"/>
      <c r="O1953" s="48"/>
      <c r="P1953" s="47"/>
      <c r="Q1953" s="47"/>
      <c r="R1953" s="47"/>
      <c r="S1953" s="47"/>
      <c r="T1953" s="47"/>
    </row>
    <row r="1954" spans="1:41" s="519" customFormat="1" ht="12">
      <c r="A1954" s="47"/>
      <c r="B1954" s="47"/>
      <c r="C1954" s="47"/>
      <c r="D1954" s="36" t="s">
        <v>562</v>
      </c>
      <c r="E1954" s="47"/>
      <c r="F1954" s="47"/>
      <c r="G1954" s="47"/>
      <c r="H1954" s="47"/>
      <c r="I1954" s="47"/>
      <c r="J1954" s="47"/>
      <c r="K1954" s="47"/>
      <c r="L1954" s="47"/>
      <c r="M1954" s="47"/>
      <c r="N1954" s="47"/>
      <c r="O1954" s="48"/>
      <c r="P1954" s="47"/>
      <c r="Q1954" s="47"/>
      <c r="R1954" s="47"/>
      <c r="S1954" s="37"/>
      <c r="T1954" s="37"/>
    </row>
    <row r="1955" spans="1:41" s="3" customFormat="1" thickBot="1">
      <c r="A1955" s="529"/>
      <c r="O1955" s="99"/>
    </row>
    <row r="1956" spans="1:41" s="519" customFormat="1" thickTop="1">
      <c r="A1956" s="47"/>
      <c r="B1956" s="47"/>
      <c r="C1956" s="3"/>
      <c r="D1956" s="3"/>
      <c r="E1956" s="47"/>
      <c r="F1956" s="47"/>
      <c r="G1956" s="47"/>
      <c r="H1956" s="47"/>
      <c r="I1956" s="47"/>
      <c r="J1956" s="47"/>
      <c r="K1956" s="47" t="s">
        <v>134</v>
      </c>
      <c r="L1956" s="47"/>
      <c r="M1956" s="47"/>
      <c r="N1956" s="47"/>
      <c r="O1956" s="48"/>
      <c r="P1956" s="47"/>
      <c r="Q1956" s="47"/>
      <c r="R1956" s="47"/>
      <c r="S1956" s="47"/>
      <c r="T1956" s="47"/>
    </row>
    <row r="1957" spans="1:41" s="519" customFormat="1" ht="12">
      <c r="A1957" s="47"/>
      <c r="B1957" s="47"/>
      <c r="C1957" s="47" t="s">
        <v>135</v>
      </c>
      <c r="D1957" s="36"/>
      <c r="E1957" s="47"/>
      <c r="F1957" s="47"/>
      <c r="G1957" s="47"/>
      <c r="H1957" s="47"/>
      <c r="I1957" s="47"/>
      <c r="J1957" s="47"/>
      <c r="K1957" s="47"/>
      <c r="L1957" s="47"/>
      <c r="M1957" s="47"/>
      <c r="N1957" s="47"/>
      <c r="O1957" s="48"/>
      <c r="P1957" s="47"/>
      <c r="Q1957" s="47"/>
      <c r="R1957" s="47"/>
      <c r="S1957" s="47"/>
      <c r="T1957" s="47"/>
    </row>
    <row r="1958" spans="1:41" s="519" customFormat="1" ht="39.9" customHeight="1">
      <c r="A1958" s="47"/>
      <c r="B1958" s="47"/>
      <c r="C1958" s="47"/>
      <c r="D1958" s="1079" t="s">
        <v>530</v>
      </c>
      <c r="E1958" s="1080"/>
      <c r="F1958" s="1080"/>
      <c r="G1958" s="1080"/>
      <c r="H1958" s="1080"/>
      <c r="I1958" s="1080"/>
      <c r="J1958" s="1080"/>
      <c r="K1958" s="1080"/>
      <c r="L1958" s="1080"/>
      <c r="M1958" s="1080"/>
      <c r="N1958" s="1080"/>
      <c r="O1958" s="1080"/>
      <c r="P1958" s="1080"/>
      <c r="Q1958" s="1080"/>
      <c r="R1958" s="1080"/>
      <c r="S1958" s="1080"/>
      <c r="T1958" s="1080"/>
    </row>
    <row r="1959" spans="1:41" s="3" customFormat="1" thickBot="1">
      <c r="A1959" s="529"/>
      <c r="O1959" s="99"/>
    </row>
    <row r="1960" spans="1:41" s="519" customFormat="1" ht="12" thickTop="1">
      <c r="A1960" s="47"/>
      <c r="B1960" s="40"/>
      <c r="C1960" s="47"/>
      <c r="E1960" s="41" t="s">
        <v>138</v>
      </c>
      <c r="F1960" s="41" t="s">
        <v>139</v>
      </c>
      <c r="G1960" s="47"/>
      <c r="H1960" s="47"/>
      <c r="I1960" s="47"/>
      <c r="J1960" s="47"/>
      <c r="K1960" s="47" t="s">
        <v>140</v>
      </c>
      <c r="L1960" s="47"/>
      <c r="M1960" s="47"/>
      <c r="N1960" s="47"/>
      <c r="O1960" s="48"/>
      <c r="P1960" s="47"/>
      <c r="Q1960" s="47"/>
      <c r="R1960" s="47"/>
      <c r="S1960" s="47"/>
      <c r="T1960" s="40"/>
      <c r="AG1960" s="627" t="s">
        <v>277</v>
      </c>
      <c r="AH1960" s="627" t="s">
        <v>278</v>
      </c>
      <c r="AI1960" s="627" t="s">
        <v>279</v>
      </c>
      <c r="AJ1960" s="627" t="s">
        <v>280</v>
      </c>
      <c r="AK1960" s="627" t="s">
        <v>281</v>
      </c>
      <c r="AM1960" s="628" t="s">
        <v>290</v>
      </c>
      <c r="AN1960" s="629" t="s">
        <v>291</v>
      </c>
      <c r="AO1960" s="520" t="s">
        <v>287</v>
      </c>
    </row>
    <row r="1961" spans="1:41" s="519" customFormat="1" ht="12" customHeight="1">
      <c r="A1961" s="630">
        <v>1</v>
      </c>
      <c r="B1961" s="521" t="s">
        <v>312</v>
      </c>
      <c r="C1961" s="631"/>
      <c r="D1961" s="632" t="s">
        <v>961</v>
      </c>
      <c r="E1961" s="633">
        <f>IF(AND($A1961=0,$A$1="DIF"),0, ROUND(ROUND(($R1969*$S$2+($T1969*$T$2))/A1961,2)*$C$2,2))</f>
        <v>0</v>
      </c>
      <c r="F1961" s="634">
        <f>ROUND($A1961*$E1961,2)</f>
        <v>0</v>
      </c>
      <c r="G1961" s="635" t="s">
        <v>142</v>
      </c>
      <c r="H1961" s="636"/>
      <c r="I1961" s="637"/>
      <c r="J1961" s="636"/>
      <c r="K1961" s="636" t="s">
        <v>3</v>
      </c>
      <c r="L1961" s="638" t="s">
        <v>143</v>
      </c>
      <c r="M1961" s="638"/>
      <c r="N1961" s="638"/>
      <c r="O1961" s="638"/>
      <c r="P1961" s="638"/>
      <c r="Q1961" s="967" t="s">
        <v>867</v>
      </c>
      <c r="T1961" s="639" t="str">
        <f>IF(AND($R1969=0,$T1969=0),"0.00","mu :" &amp; ROUND($F1961/$C$2/($R1969+$T1969*$D$9),2))</f>
        <v>0.00</v>
      </c>
      <c r="W1961" s="522"/>
      <c r="AG1961" s="470">
        <f>IF($E1961=0,0,ROUND($R1969*$S$2*$C$2/$A1961,2))</f>
        <v>0</v>
      </c>
      <c r="AH1961" s="470">
        <f>$AG1961*$A1961</f>
        <v>0</v>
      </c>
      <c r="AI1961" s="523">
        <f>$E1961-$AG1961</f>
        <v>0</v>
      </c>
      <c r="AJ1961" s="523">
        <f>$A1961*$AI1961</f>
        <v>0</v>
      </c>
      <c r="AK1961" s="524">
        <f>ROUND(($AG1961+$AI1961)*$A1961,2)</f>
        <v>0</v>
      </c>
      <c r="AM1961" s="525">
        <f>ROUND(R1969,2)</f>
        <v>0</v>
      </c>
      <c r="AN1961" s="526">
        <f>ROUND(T1969,2)</f>
        <v>0</v>
      </c>
      <c r="AO1961" s="527">
        <f>ROUND(AM1961+AN1961,2)*A1961</f>
        <v>0</v>
      </c>
    </row>
    <row r="1962" spans="1:41" s="519" customFormat="1" ht="13.2">
      <c r="A1962" s="631"/>
      <c r="B1962"/>
      <c r="C1962" s="631"/>
      <c r="D1962" s="632" t="s">
        <v>563</v>
      </c>
      <c r="F1962" s="636"/>
      <c r="G1962" s="3"/>
      <c r="H1962" s="636"/>
      <c r="I1962" s="637"/>
      <c r="J1962" s="636"/>
      <c r="K1962" s="636" t="s">
        <v>144</v>
      </c>
      <c r="L1962" s="636"/>
      <c r="M1962" s="636"/>
      <c r="N1962" s="636"/>
      <c r="O1962" s="636"/>
      <c r="P1962" s="636"/>
      <c r="Q1962" s="47"/>
      <c r="R1962" s="528"/>
      <c r="S1962" s="640"/>
      <c r="T1962" s="636"/>
    </row>
    <row r="1963" spans="1:41" s="519" customFormat="1" ht="12">
      <c r="A1963" s="47"/>
      <c r="B1963" s="641"/>
      <c r="C1963" s="641"/>
      <c r="D1963" s="641"/>
      <c r="E1963" s="641"/>
      <c r="F1963" s="636"/>
      <c r="G1963" s="641"/>
      <c r="H1963" s="641"/>
      <c r="I1963" s="518"/>
      <c r="J1963" s="641"/>
      <c r="K1963" s="641"/>
      <c r="L1963" s="641"/>
      <c r="M1963" s="641"/>
      <c r="N1963" s="641"/>
      <c r="O1963" s="641"/>
      <c r="P1963" s="641"/>
      <c r="Q1963" s="518"/>
      <c r="R1963" s="642">
        <f t="shared" ref="R1963:R1968" si="62">$A1963*Q1963</f>
        <v>0</v>
      </c>
      <c r="S1963" s="518"/>
      <c r="T1963" s="643">
        <f t="shared" ref="T1963:T1968" si="63">$A1963*S1963*$T$1</f>
        <v>0</v>
      </c>
    </row>
    <row r="1964" spans="1:41" s="519" customFormat="1" ht="12">
      <c r="A1964" s="47"/>
      <c r="B1964" s="641"/>
      <c r="C1964" s="641"/>
      <c r="D1964" s="641"/>
      <c r="E1964" s="641"/>
      <c r="F1964" s="636"/>
      <c r="G1964" s="641"/>
      <c r="H1964" s="641"/>
      <c r="I1964" s="518"/>
      <c r="J1964" s="641"/>
      <c r="K1964" s="641"/>
      <c r="L1964" s="641"/>
      <c r="M1964" s="641"/>
      <c r="N1964" s="641"/>
      <c r="O1964" s="641"/>
      <c r="P1964" s="641"/>
      <c r="Q1964" s="518"/>
      <c r="R1964" s="642">
        <f t="shared" si="62"/>
        <v>0</v>
      </c>
      <c r="S1964" s="518"/>
      <c r="T1964" s="643">
        <f t="shared" si="63"/>
        <v>0</v>
      </c>
    </row>
    <row r="1965" spans="1:41" s="519" customFormat="1" ht="12">
      <c r="A1965" s="47"/>
      <c r="B1965" s="641"/>
      <c r="C1965" s="641"/>
      <c r="D1965" s="641"/>
      <c r="E1965" s="641"/>
      <c r="F1965" s="636"/>
      <c r="G1965" s="641"/>
      <c r="H1965" s="641"/>
      <c r="I1965" s="518"/>
      <c r="J1965" s="641"/>
      <c r="K1965" s="641"/>
      <c r="L1965" s="641"/>
      <c r="M1965" s="641"/>
      <c r="N1965" s="641"/>
      <c r="O1965" s="641"/>
      <c r="P1965" s="641"/>
      <c r="Q1965" s="518"/>
      <c r="R1965" s="642">
        <f t="shared" si="62"/>
        <v>0</v>
      </c>
      <c r="S1965" s="518"/>
      <c r="T1965" s="643">
        <f t="shared" si="63"/>
        <v>0</v>
      </c>
    </row>
    <row r="1966" spans="1:41" s="519" customFormat="1" ht="12">
      <c r="A1966" s="47"/>
      <c r="B1966" s="641"/>
      <c r="C1966" s="641"/>
      <c r="D1966" s="641"/>
      <c r="E1966" s="641"/>
      <c r="F1966" s="636"/>
      <c r="G1966" s="641"/>
      <c r="H1966" s="641"/>
      <c r="I1966" s="518"/>
      <c r="J1966" s="641"/>
      <c r="K1966" s="641"/>
      <c r="L1966" s="641"/>
      <c r="M1966" s="641"/>
      <c r="N1966" s="641"/>
      <c r="O1966" s="641"/>
      <c r="P1966" s="641"/>
      <c r="Q1966" s="518"/>
      <c r="R1966" s="642">
        <f t="shared" si="62"/>
        <v>0</v>
      </c>
      <c r="S1966" s="518"/>
      <c r="T1966" s="643">
        <f t="shared" si="63"/>
        <v>0</v>
      </c>
    </row>
    <row r="1967" spans="1:41" s="519" customFormat="1" ht="12">
      <c r="A1967" s="47"/>
      <c r="B1967" s="641"/>
      <c r="C1967" s="641"/>
      <c r="D1967" s="641"/>
      <c r="E1967" s="641"/>
      <c r="F1967" s="636"/>
      <c r="G1967" s="641"/>
      <c r="H1967" s="641"/>
      <c r="I1967" s="518"/>
      <c r="J1967" s="641"/>
      <c r="K1967" s="641"/>
      <c r="L1967" s="641"/>
      <c r="M1967" s="641"/>
      <c r="N1967" s="641"/>
      <c r="O1967" s="641"/>
      <c r="P1967" s="641"/>
      <c r="Q1967" s="518"/>
      <c r="R1967" s="642">
        <f t="shared" si="62"/>
        <v>0</v>
      </c>
      <c r="S1967" s="518"/>
      <c r="T1967" s="643">
        <f t="shared" si="63"/>
        <v>0</v>
      </c>
    </row>
    <row r="1968" spans="1:41" s="519" customFormat="1" ht="12">
      <c r="A1968" s="641"/>
      <c r="B1968" s="641"/>
      <c r="C1968" s="641"/>
      <c r="D1968" s="641"/>
      <c r="E1968" s="641"/>
      <c r="F1968" s="636"/>
      <c r="G1968" s="641"/>
      <c r="H1968" s="641"/>
      <c r="I1968" s="518"/>
      <c r="J1968" s="641"/>
      <c r="K1968" s="641"/>
      <c r="L1968" s="641"/>
      <c r="M1968" s="641"/>
      <c r="N1968" s="641"/>
      <c r="O1968" s="641"/>
      <c r="P1968" s="641"/>
      <c r="Q1968" s="518"/>
      <c r="R1968" s="642">
        <f t="shared" si="62"/>
        <v>0</v>
      </c>
      <c r="S1968" s="518"/>
      <c r="T1968" s="643">
        <f t="shared" si="63"/>
        <v>0</v>
      </c>
    </row>
    <row r="1969" spans="1:41" s="519" customFormat="1" ht="12.6" thickBot="1">
      <c r="A1969" s="644" t="s">
        <v>145</v>
      </c>
      <c r="B1969" s="645">
        <f>(R1968+T1968)</f>
        <v>0</v>
      </c>
      <c r="C1969" s="646"/>
      <c r="D1969" s="646"/>
      <c r="E1969" s="646"/>
      <c r="F1969" s="647"/>
      <c r="G1969" s="646" t="s">
        <v>146</v>
      </c>
      <c r="H1969" s="646"/>
      <c r="I1969" s="648"/>
      <c r="J1969" s="646"/>
      <c r="K1969" s="646" t="s">
        <v>3</v>
      </c>
      <c r="L1969" s="649" t="s">
        <v>143</v>
      </c>
      <c r="M1969" s="649"/>
      <c r="N1969" s="649"/>
      <c r="O1969" s="649"/>
      <c r="P1969" s="649"/>
      <c r="Q1969" s="650"/>
      <c r="R1969" s="651">
        <f>SUM(R1962:R1968)</f>
        <v>0</v>
      </c>
      <c r="S1969" s="646"/>
      <c r="T1969" s="651">
        <f>SUM(T1962:T1968)</f>
        <v>0</v>
      </c>
      <c r="U1969" s="529"/>
      <c r="V1969" s="529"/>
      <c r="W1969" s="529"/>
      <c r="X1969" s="529"/>
      <c r="Y1969" s="529"/>
      <c r="Z1969" s="529"/>
      <c r="AA1969" s="529"/>
      <c r="AB1969" s="529"/>
      <c r="AC1969" s="529"/>
      <c r="AD1969" s="529"/>
      <c r="AE1969" s="529"/>
      <c r="AF1969" s="529"/>
      <c r="AG1969" s="529"/>
      <c r="AH1969" s="529"/>
      <c r="AI1969" s="529"/>
      <c r="AJ1969" s="529"/>
      <c r="AK1969" s="529"/>
      <c r="AL1969" s="529"/>
      <c r="AM1969" s="529"/>
      <c r="AN1969" s="529"/>
      <c r="AO1969" s="529"/>
    </row>
    <row r="1970" spans="1:41" s="519" customFormat="1" ht="12" thickTop="1">
      <c r="A1970" s="47"/>
      <c r="B1970" s="40"/>
      <c r="C1970" s="47"/>
      <c r="E1970" s="41" t="s">
        <v>138</v>
      </c>
      <c r="F1970" s="41" t="s">
        <v>139</v>
      </c>
      <c r="G1970" s="47"/>
      <c r="H1970" s="47"/>
      <c r="I1970" s="47"/>
      <c r="J1970" s="47"/>
      <c r="K1970" s="47" t="s">
        <v>140</v>
      </c>
      <c r="L1970" s="47"/>
      <c r="M1970" s="47"/>
      <c r="N1970" s="47"/>
      <c r="O1970" s="48"/>
      <c r="P1970" s="47"/>
      <c r="Q1970" s="47"/>
      <c r="R1970" s="47"/>
      <c r="S1970" s="47"/>
      <c r="T1970" s="40"/>
      <c r="AG1970" s="627" t="s">
        <v>277</v>
      </c>
      <c r="AH1970" s="627" t="s">
        <v>278</v>
      </c>
      <c r="AI1970" s="627" t="s">
        <v>279</v>
      </c>
      <c r="AJ1970" s="627" t="s">
        <v>280</v>
      </c>
      <c r="AK1970" s="627" t="s">
        <v>281</v>
      </c>
      <c r="AM1970" s="628" t="s">
        <v>290</v>
      </c>
      <c r="AN1970" s="629" t="s">
        <v>291</v>
      </c>
      <c r="AO1970" s="520" t="s">
        <v>287</v>
      </c>
    </row>
    <row r="1971" spans="1:41" s="519" customFormat="1" ht="12" customHeight="1">
      <c r="A1971" s="630">
        <v>1</v>
      </c>
      <c r="B1971" s="521" t="s">
        <v>312</v>
      </c>
      <c r="C1971" s="631"/>
      <c r="D1971" s="632" t="s">
        <v>962</v>
      </c>
      <c r="E1971" s="633">
        <f>IF(AND($A1971=0,$A$1="DIF"),0, ROUND(ROUND(($R1979*$S$2+($T1979*$T$2))/A1971,2)*$C$2,2))</f>
        <v>0</v>
      </c>
      <c r="F1971" s="634">
        <f>ROUND($A1971*$E1971,2)</f>
        <v>0</v>
      </c>
      <c r="G1971" s="635" t="s">
        <v>142</v>
      </c>
      <c r="H1971" s="636"/>
      <c r="I1971" s="637"/>
      <c r="J1971" s="636"/>
      <c r="K1971" s="636" t="s">
        <v>3</v>
      </c>
      <c r="L1971" s="638" t="s">
        <v>143</v>
      </c>
      <c r="M1971" s="638"/>
      <c r="N1971" s="638"/>
      <c r="O1971" s="638"/>
      <c r="P1971" s="638"/>
      <c r="Q1971" s="967" t="s">
        <v>867</v>
      </c>
      <c r="T1971" s="639" t="str">
        <f>IF(AND($R1979=0,$T1979=0),"0.00","mu :" &amp; ROUND($F1971/$C$2/($R1979+$T1979*$D$9),2))</f>
        <v>0.00</v>
      </c>
      <c r="W1971" s="522"/>
      <c r="AG1971" s="470">
        <f>IF($E1971=0,0,ROUND($R1979*$S$2*$C$2/$A1971,2))</f>
        <v>0</v>
      </c>
      <c r="AH1971" s="470">
        <f>$AG1971*$A1971</f>
        <v>0</v>
      </c>
      <c r="AI1971" s="523">
        <f>$E1971-$AG1971</f>
        <v>0</v>
      </c>
      <c r="AJ1971" s="523">
        <f>$A1971*$AI1971</f>
        <v>0</v>
      </c>
      <c r="AK1971" s="524">
        <f>ROUND(($AG1971+$AI1971)*$A1971,2)</f>
        <v>0</v>
      </c>
      <c r="AM1971" s="525">
        <f>ROUND(R1979,2)</f>
        <v>0</v>
      </c>
      <c r="AN1971" s="526">
        <f>ROUND(T1979,2)</f>
        <v>0</v>
      </c>
      <c r="AO1971" s="527">
        <f>ROUND(AM1971+AN1971,2)*A1971</f>
        <v>0</v>
      </c>
    </row>
    <row r="1972" spans="1:41" s="519" customFormat="1" ht="13.2">
      <c r="A1972" s="631"/>
      <c r="B1972"/>
      <c r="C1972" s="631"/>
      <c r="D1972" s="632" t="s">
        <v>552</v>
      </c>
      <c r="F1972" s="636"/>
      <c r="G1972" s="3"/>
      <c r="H1972" s="636"/>
      <c r="I1972" s="637"/>
      <c r="J1972" s="636"/>
      <c r="K1972" s="636" t="s">
        <v>144</v>
      </c>
      <c r="L1972" s="636"/>
      <c r="M1972" s="636"/>
      <c r="N1972" s="636"/>
      <c r="O1972" s="636"/>
      <c r="P1972" s="636"/>
      <c r="Q1972" s="47"/>
      <c r="R1972" s="528"/>
      <c r="S1972" s="640"/>
      <c r="T1972" s="636"/>
    </row>
    <row r="1973" spans="1:41" s="519" customFormat="1" ht="12">
      <c r="A1973" s="47"/>
      <c r="B1973" s="641"/>
      <c r="C1973" s="641"/>
      <c r="D1973" s="641"/>
      <c r="E1973" s="641"/>
      <c r="F1973" s="636"/>
      <c r="G1973" s="641"/>
      <c r="H1973" s="641"/>
      <c r="I1973" s="518"/>
      <c r="J1973" s="641"/>
      <c r="K1973" s="641"/>
      <c r="L1973" s="641"/>
      <c r="M1973" s="641"/>
      <c r="N1973" s="641"/>
      <c r="O1973" s="641"/>
      <c r="P1973" s="641"/>
      <c r="Q1973" s="518"/>
      <c r="R1973" s="642">
        <f t="shared" ref="R1973:R1978" si="64">$A1973*Q1973</f>
        <v>0</v>
      </c>
      <c r="S1973" s="518"/>
      <c r="T1973" s="643">
        <f t="shared" ref="T1973:T1978" si="65">$A1973*S1973*$T$1</f>
        <v>0</v>
      </c>
    </row>
    <row r="1974" spans="1:41" s="519" customFormat="1" ht="12">
      <c r="A1974" s="47"/>
      <c r="B1974" s="641"/>
      <c r="C1974" s="641"/>
      <c r="D1974" s="641"/>
      <c r="E1974" s="641"/>
      <c r="F1974" s="636"/>
      <c r="G1974" s="641"/>
      <c r="H1974" s="641"/>
      <c r="I1974" s="518"/>
      <c r="J1974" s="641"/>
      <c r="K1974" s="641"/>
      <c r="L1974" s="641"/>
      <c r="M1974" s="641"/>
      <c r="N1974" s="641"/>
      <c r="O1974" s="641"/>
      <c r="P1974" s="641"/>
      <c r="Q1974" s="518"/>
      <c r="R1974" s="642">
        <f t="shared" si="64"/>
        <v>0</v>
      </c>
      <c r="S1974" s="518"/>
      <c r="T1974" s="643">
        <f t="shared" si="65"/>
        <v>0</v>
      </c>
    </row>
    <row r="1975" spans="1:41" s="519" customFormat="1" ht="12">
      <c r="A1975" s="47"/>
      <c r="B1975" s="641"/>
      <c r="C1975" s="641"/>
      <c r="D1975" s="641"/>
      <c r="E1975" s="641"/>
      <c r="F1975" s="636"/>
      <c r="G1975" s="641"/>
      <c r="H1975" s="641"/>
      <c r="I1975" s="518"/>
      <c r="J1975" s="641"/>
      <c r="K1975" s="641"/>
      <c r="L1975" s="641"/>
      <c r="M1975" s="641"/>
      <c r="N1975" s="641"/>
      <c r="O1975" s="641"/>
      <c r="P1975" s="641"/>
      <c r="Q1975" s="518"/>
      <c r="R1975" s="642">
        <f t="shared" si="64"/>
        <v>0</v>
      </c>
      <c r="S1975" s="518"/>
      <c r="T1975" s="643">
        <f t="shared" si="65"/>
        <v>0</v>
      </c>
    </row>
    <row r="1976" spans="1:41" s="519" customFormat="1" ht="12">
      <c r="A1976" s="47"/>
      <c r="B1976" s="641"/>
      <c r="C1976" s="641"/>
      <c r="D1976" s="641"/>
      <c r="E1976" s="641"/>
      <c r="F1976" s="636"/>
      <c r="G1976" s="641"/>
      <c r="H1976" s="641"/>
      <c r="I1976" s="518"/>
      <c r="J1976" s="641"/>
      <c r="K1976" s="641"/>
      <c r="L1976" s="641"/>
      <c r="M1976" s="641"/>
      <c r="N1976" s="641"/>
      <c r="O1976" s="641"/>
      <c r="P1976" s="641"/>
      <c r="Q1976" s="518"/>
      <c r="R1976" s="642">
        <f t="shared" si="64"/>
        <v>0</v>
      </c>
      <c r="S1976" s="518"/>
      <c r="T1976" s="643">
        <f t="shared" si="65"/>
        <v>0</v>
      </c>
    </row>
    <row r="1977" spans="1:41" s="519" customFormat="1" ht="12">
      <c r="A1977" s="47"/>
      <c r="B1977" s="641"/>
      <c r="C1977" s="641"/>
      <c r="D1977" s="641"/>
      <c r="E1977" s="641"/>
      <c r="F1977" s="636"/>
      <c r="G1977" s="641"/>
      <c r="H1977" s="641"/>
      <c r="I1977" s="518"/>
      <c r="J1977" s="641"/>
      <c r="K1977" s="641"/>
      <c r="L1977" s="641"/>
      <c r="M1977" s="641"/>
      <c r="N1977" s="641"/>
      <c r="O1977" s="641"/>
      <c r="P1977" s="641"/>
      <c r="Q1977" s="518"/>
      <c r="R1977" s="642">
        <f t="shared" si="64"/>
        <v>0</v>
      </c>
      <c r="S1977" s="518"/>
      <c r="T1977" s="643">
        <f t="shared" si="65"/>
        <v>0</v>
      </c>
    </row>
    <row r="1978" spans="1:41" s="519" customFormat="1" ht="12">
      <c r="A1978" s="641"/>
      <c r="B1978" s="641"/>
      <c r="C1978" s="641"/>
      <c r="D1978" s="641"/>
      <c r="E1978" s="641"/>
      <c r="F1978" s="636"/>
      <c r="G1978" s="641"/>
      <c r="H1978" s="641"/>
      <c r="I1978" s="518"/>
      <c r="J1978" s="641"/>
      <c r="K1978" s="641"/>
      <c r="L1978" s="641"/>
      <c r="M1978" s="641"/>
      <c r="N1978" s="641"/>
      <c r="O1978" s="641"/>
      <c r="P1978" s="641"/>
      <c r="Q1978" s="518"/>
      <c r="R1978" s="642">
        <f t="shared" si="64"/>
        <v>0</v>
      </c>
      <c r="S1978" s="518"/>
      <c r="T1978" s="643">
        <f t="shared" si="65"/>
        <v>0</v>
      </c>
    </row>
    <row r="1979" spans="1:41" s="519" customFormat="1" ht="12.6" thickBot="1">
      <c r="A1979" s="644" t="s">
        <v>145</v>
      </c>
      <c r="B1979" s="645">
        <f>(R1978+T1978)</f>
        <v>0</v>
      </c>
      <c r="C1979" s="646"/>
      <c r="D1979" s="646"/>
      <c r="E1979" s="646"/>
      <c r="F1979" s="647"/>
      <c r="G1979" s="646" t="s">
        <v>146</v>
      </c>
      <c r="H1979" s="646"/>
      <c r="I1979" s="648"/>
      <c r="J1979" s="646"/>
      <c r="K1979" s="646" t="s">
        <v>3</v>
      </c>
      <c r="L1979" s="649" t="s">
        <v>143</v>
      </c>
      <c r="M1979" s="649"/>
      <c r="N1979" s="649"/>
      <c r="O1979" s="649"/>
      <c r="P1979" s="649"/>
      <c r="Q1979" s="650"/>
      <c r="R1979" s="651">
        <f>SUM(R1972:R1978)</f>
        <v>0</v>
      </c>
      <c r="S1979" s="646"/>
      <c r="T1979" s="651">
        <f>SUM(T1972:T1978)</f>
        <v>0</v>
      </c>
      <c r="U1979" s="529"/>
      <c r="V1979" s="529"/>
      <c r="W1979" s="529"/>
      <c r="X1979" s="529"/>
      <c r="Y1979" s="529"/>
      <c r="Z1979" s="529"/>
      <c r="AA1979" s="529"/>
      <c r="AB1979" s="529"/>
      <c r="AC1979" s="529"/>
      <c r="AD1979" s="529"/>
      <c r="AE1979" s="529"/>
      <c r="AF1979" s="529"/>
      <c r="AG1979" s="529"/>
      <c r="AH1979" s="529"/>
      <c r="AI1979" s="529"/>
      <c r="AJ1979" s="529"/>
      <c r="AK1979" s="529"/>
      <c r="AL1979" s="529"/>
      <c r="AM1979" s="529"/>
      <c r="AN1979" s="529"/>
      <c r="AO1979" s="529"/>
    </row>
    <row r="1980" spans="1:41" s="519" customFormat="1" ht="12" thickTop="1">
      <c r="A1980" s="47"/>
      <c r="B1980" s="40"/>
      <c r="C1980" s="47"/>
      <c r="E1980" s="41" t="s">
        <v>138</v>
      </c>
      <c r="F1980" s="41" t="s">
        <v>139</v>
      </c>
      <c r="G1980" s="47"/>
      <c r="H1980" s="47"/>
      <c r="I1980" s="47"/>
      <c r="J1980" s="47"/>
      <c r="K1980" s="47" t="s">
        <v>140</v>
      </c>
      <c r="L1980" s="47"/>
      <c r="M1980" s="47"/>
      <c r="N1980" s="47"/>
      <c r="O1980" s="48"/>
      <c r="P1980" s="47"/>
      <c r="Q1980" s="47"/>
      <c r="R1980" s="47"/>
      <c r="S1980" s="47"/>
      <c r="T1980" s="40"/>
      <c r="AG1980" s="627" t="s">
        <v>277</v>
      </c>
      <c r="AH1980" s="627" t="s">
        <v>278</v>
      </c>
      <c r="AI1980" s="627" t="s">
        <v>279</v>
      </c>
      <c r="AJ1980" s="627" t="s">
        <v>280</v>
      </c>
      <c r="AK1980" s="627" t="s">
        <v>281</v>
      </c>
      <c r="AM1980" s="628" t="s">
        <v>290</v>
      </c>
      <c r="AN1980" s="629" t="s">
        <v>291</v>
      </c>
      <c r="AO1980" s="520" t="s">
        <v>287</v>
      </c>
    </row>
    <row r="1981" spans="1:41" s="519" customFormat="1" ht="12" customHeight="1">
      <c r="A1981" s="630">
        <v>2</v>
      </c>
      <c r="B1981" s="521" t="s">
        <v>312</v>
      </c>
      <c r="C1981" s="631"/>
      <c r="D1981" s="632" t="s">
        <v>963</v>
      </c>
      <c r="E1981" s="633">
        <f>IF(AND($A1981=0,$A$1="DIF"),0, ROUND(ROUND(($R1989*$S$2+($T1989*$T$2))/A1981,2)*$C$2,2))</f>
        <v>0</v>
      </c>
      <c r="F1981" s="634">
        <f>ROUND($A1981*$E1981,2)</f>
        <v>0</v>
      </c>
      <c r="G1981" s="635" t="s">
        <v>142</v>
      </c>
      <c r="H1981" s="636"/>
      <c r="I1981" s="637"/>
      <c r="J1981" s="636"/>
      <c r="K1981" s="636" t="s">
        <v>3</v>
      </c>
      <c r="L1981" s="638" t="s">
        <v>143</v>
      </c>
      <c r="M1981" s="638"/>
      <c r="N1981" s="638"/>
      <c r="O1981" s="638"/>
      <c r="P1981" s="638"/>
      <c r="Q1981" s="967" t="s">
        <v>867</v>
      </c>
      <c r="T1981" s="639" t="str">
        <f>IF(AND($R1989=0,$T1989=0),"0.00","mu :" &amp; ROUND($F1981/$C$2/($R1989+$T1989*$D$9),2))</f>
        <v>0.00</v>
      </c>
      <c r="W1981" s="522"/>
      <c r="AG1981" s="470">
        <f>IF($E1981=0,0,ROUND($R1989*$S$2*$C$2/$A1981,2))</f>
        <v>0</v>
      </c>
      <c r="AH1981" s="470">
        <f>$AG1981*$A1981</f>
        <v>0</v>
      </c>
      <c r="AI1981" s="523">
        <f>$E1981-$AG1981</f>
        <v>0</v>
      </c>
      <c r="AJ1981" s="523">
        <f>$A1981*$AI1981</f>
        <v>0</v>
      </c>
      <c r="AK1981" s="524">
        <f>ROUND(($AG1981+$AI1981)*$A1981,2)</f>
        <v>0</v>
      </c>
      <c r="AM1981" s="525">
        <f>ROUND(R1989,2)</f>
        <v>0</v>
      </c>
      <c r="AN1981" s="526">
        <f>ROUND(T1989,2)</f>
        <v>0</v>
      </c>
      <c r="AO1981" s="527">
        <f>ROUND(AM1981+AN1981,2)*A1981</f>
        <v>0</v>
      </c>
    </row>
    <row r="1982" spans="1:41" s="519" customFormat="1" ht="13.2">
      <c r="A1982" s="631"/>
      <c r="B1982"/>
      <c r="C1982" s="631"/>
      <c r="D1982" s="632" t="s">
        <v>532</v>
      </c>
      <c r="F1982" s="636"/>
      <c r="G1982" s="3"/>
      <c r="H1982" s="636"/>
      <c r="I1982" s="637"/>
      <c r="J1982" s="636"/>
      <c r="K1982" s="636" t="s">
        <v>144</v>
      </c>
      <c r="L1982" s="636"/>
      <c r="M1982" s="636"/>
      <c r="N1982" s="636"/>
      <c r="O1982" s="636"/>
      <c r="P1982" s="636"/>
      <c r="Q1982" s="47"/>
      <c r="R1982" s="528"/>
      <c r="S1982" s="640"/>
      <c r="T1982" s="636"/>
    </row>
    <row r="1983" spans="1:41" s="519" customFormat="1" ht="12">
      <c r="A1983" s="47"/>
      <c r="B1983" s="641"/>
      <c r="C1983" s="641"/>
      <c r="D1983" s="641"/>
      <c r="E1983" s="641"/>
      <c r="F1983" s="636"/>
      <c r="G1983" s="641"/>
      <c r="H1983" s="641"/>
      <c r="I1983" s="518"/>
      <c r="J1983" s="641"/>
      <c r="K1983" s="641"/>
      <c r="L1983" s="641"/>
      <c r="M1983" s="641"/>
      <c r="N1983" s="641"/>
      <c r="O1983" s="641"/>
      <c r="P1983" s="641"/>
      <c r="Q1983" s="518"/>
      <c r="R1983" s="642">
        <f t="shared" ref="R1983:R1988" si="66">$A1983*Q1983</f>
        <v>0</v>
      </c>
      <c r="S1983" s="518"/>
      <c r="T1983" s="643">
        <f t="shared" ref="T1983:T1988" si="67">$A1983*S1983*$T$1</f>
        <v>0</v>
      </c>
    </row>
    <row r="1984" spans="1:41" s="519" customFormat="1" ht="12">
      <c r="A1984" s="47"/>
      <c r="B1984" s="641"/>
      <c r="C1984" s="641"/>
      <c r="D1984" s="641"/>
      <c r="E1984" s="641"/>
      <c r="F1984" s="636"/>
      <c r="G1984" s="641"/>
      <c r="H1984" s="641"/>
      <c r="I1984" s="518"/>
      <c r="J1984" s="641"/>
      <c r="K1984" s="641"/>
      <c r="L1984" s="641"/>
      <c r="M1984" s="641"/>
      <c r="N1984" s="641"/>
      <c r="O1984" s="641"/>
      <c r="P1984" s="641"/>
      <c r="Q1984" s="518"/>
      <c r="R1984" s="642">
        <f t="shared" si="66"/>
        <v>0</v>
      </c>
      <c r="S1984" s="518"/>
      <c r="T1984" s="643">
        <f t="shared" si="67"/>
        <v>0</v>
      </c>
    </row>
    <row r="1985" spans="1:41" s="519" customFormat="1" ht="12">
      <c r="A1985" s="47"/>
      <c r="B1985" s="641"/>
      <c r="C1985" s="641"/>
      <c r="D1985" s="641"/>
      <c r="E1985" s="641"/>
      <c r="F1985" s="636"/>
      <c r="G1985" s="641"/>
      <c r="H1985" s="641"/>
      <c r="I1985" s="518"/>
      <c r="J1985" s="641"/>
      <c r="K1985" s="641"/>
      <c r="L1985" s="641"/>
      <c r="M1985" s="641"/>
      <c r="N1985" s="641"/>
      <c r="O1985" s="641"/>
      <c r="P1985" s="641"/>
      <c r="Q1985" s="518"/>
      <c r="R1985" s="642">
        <f t="shared" si="66"/>
        <v>0</v>
      </c>
      <c r="S1985" s="518"/>
      <c r="T1985" s="643">
        <f t="shared" si="67"/>
        <v>0</v>
      </c>
    </row>
    <row r="1986" spans="1:41" s="519" customFormat="1" ht="12">
      <c r="A1986" s="47"/>
      <c r="B1986" s="641"/>
      <c r="C1986" s="641"/>
      <c r="D1986" s="641"/>
      <c r="E1986" s="641"/>
      <c r="F1986" s="636"/>
      <c r="G1986" s="641"/>
      <c r="H1986" s="641"/>
      <c r="I1986" s="518"/>
      <c r="J1986" s="641"/>
      <c r="K1986" s="641"/>
      <c r="L1986" s="641"/>
      <c r="M1986" s="641"/>
      <c r="N1986" s="641"/>
      <c r="O1986" s="641"/>
      <c r="P1986" s="641"/>
      <c r="Q1986" s="518"/>
      <c r="R1986" s="642">
        <f t="shared" si="66"/>
        <v>0</v>
      </c>
      <c r="S1986" s="518"/>
      <c r="T1986" s="643">
        <f t="shared" si="67"/>
        <v>0</v>
      </c>
    </row>
    <row r="1987" spans="1:41" s="519" customFormat="1" ht="12">
      <c r="A1987" s="47"/>
      <c r="B1987" s="641"/>
      <c r="C1987" s="641"/>
      <c r="D1987" s="641"/>
      <c r="E1987" s="641"/>
      <c r="F1987" s="636"/>
      <c r="G1987" s="641"/>
      <c r="H1987" s="641"/>
      <c r="I1987" s="518"/>
      <c r="J1987" s="641"/>
      <c r="K1987" s="641"/>
      <c r="L1987" s="641"/>
      <c r="M1987" s="641"/>
      <c r="N1987" s="641"/>
      <c r="O1987" s="641"/>
      <c r="P1987" s="641"/>
      <c r="Q1987" s="518"/>
      <c r="R1987" s="642">
        <f t="shared" si="66"/>
        <v>0</v>
      </c>
      <c r="S1987" s="518"/>
      <c r="T1987" s="643">
        <f t="shared" si="67"/>
        <v>0</v>
      </c>
    </row>
    <row r="1988" spans="1:41" s="519" customFormat="1" ht="12">
      <c r="A1988" s="641"/>
      <c r="B1988" s="641"/>
      <c r="C1988" s="641"/>
      <c r="D1988" s="641"/>
      <c r="E1988" s="641"/>
      <c r="F1988" s="636"/>
      <c r="G1988" s="641"/>
      <c r="H1988" s="641"/>
      <c r="I1988" s="518"/>
      <c r="J1988" s="641"/>
      <c r="K1988" s="641"/>
      <c r="L1988" s="641"/>
      <c r="M1988" s="641"/>
      <c r="N1988" s="641"/>
      <c r="O1988" s="641"/>
      <c r="P1988" s="641"/>
      <c r="Q1988" s="518"/>
      <c r="R1988" s="642">
        <f t="shared" si="66"/>
        <v>0</v>
      </c>
      <c r="S1988" s="518"/>
      <c r="T1988" s="643">
        <f t="shared" si="67"/>
        <v>0</v>
      </c>
    </row>
    <row r="1989" spans="1:41" s="519" customFormat="1" ht="12.6" thickBot="1">
      <c r="A1989" s="644" t="s">
        <v>145</v>
      </c>
      <c r="B1989" s="645">
        <f>(R1988+T1988)</f>
        <v>0</v>
      </c>
      <c r="C1989" s="646"/>
      <c r="D1989" s="646"/>
      <c r="E1989" s="646"/>
      <c r="F1989" s="647"/>
      <c r="G1989" s="646" t="s">
        <v>146</v>
      </c>
      <c r="H1989" s="646"/>
      <c r="I1989" s="648"/>
      <c r="J1989" s="646"/>
      <c r="K1989" s="646" t="s">
        <v>3</v>
      </c>
      <c r="L1989" s="649" t="s">
        <v>143</v>
      </c>
      <c r="M1989" s="649"/>
      <c r="N1989" s="649"/>
      <c r="O1989" s="649"/>
      <c r="P1989" s="649"/>
      <c r="Q1989" s="650"/>
      <c r="R1989" s="651">
        <f>SUM(R1982:R1988)</f>
        <v>0</v>
      </c>
      <c r="S1989" s="646"/>
      <c r="T1989" s="651">
        <f>SUM(T1982:T1988)</f>
        <v>0</v>
      </c>
      <c r="U1989" s="529"/>
      <c r="V1989" s="529"/>
      <c r="W1989" s="529"/>
      <c r="X1989" s="529"/>
      <c r="Y1989" s="529"/>
      <c r="Z1989" s="529"/>
      <c r="AA1989" s="529"/>
      <c r="AB1989" s="529"/>
      <c r="AC1989" s="529"/>
      <c r="AD1989" s="529"/>
      <c r="AE1989" s="529"/>
      <c r="AF1989" s="529"/>
      <c r="AG1989" s="529"/>
      <c r="AH1989" s="529"/>
      <c r="AI1989" s="529"/>
      <c r="AJ1989" s="529"/>
      <c r="AK1989" s="529"/>
      <c r="AL1989" s="529"/>
      <c r="AM1989" s="529"/>
      <c r="AN1989" s="529"/>
      <c r="AO1989" s="529"/>
    </row>
    <row r="1990" spans="1:41" s="519" customFormat="1" ht="12" thickTop="1">
      <c r="A1990" s="47"/>
      <c r="B1990" s="40"/>
      <c r="C1990" s="47"/>
      <c r="E1990" s="41" t="s">
        <v>138</v>
      </c>
      <c r="F1990" s="41" t="s">
        <v>139</v>
      </c>
      <c r="G1990" s="47"/>
      <c r="H1990" s="47"/>
      <c r="I1990" s="47"/>
      <c r="J1990" s="47"/>
      <c r="K1990" s="47" t="s">
        <v>140</v>
      </c>
      <c r="L1990" s="47"/>
      <c r="M1990" s="47"/>
      <c r="N1990" s="47"/>
      <c r="O1990" s="48"/>
      <c r="P1990" s="47"/>
      <c r="Q1990" s="47"/>
      <c r="R1990" s="47"/>
      <c r="S1990" s="47"/>
      <c r="T1990" s="40"/>
      <c r="AG1990" s="627" t="s">
        <v>277</v>
      </c>
      <c r="AH1990" s="627" t="s">
        <v>278</v>
      </c>
      <c r="AI1990" s="627" t="s">
        <v>279</v>
      </c>
      <c r="AJ1990" s="627" t="s">
        <v>280</v>
      </c>
      <c r="AK1990" s="627" t="s">
        <v>281</v>
      </c>
      <c r="AM1990" s="628" t="s">
        <v>290</v>
      </c>
      <c r="AN1990" s="629" t="s">
        <v>291</v>
      </c>
      <c r="AO1990" s="520" t="s">
        <v>287</v>
      </c>
    </row>
    <row r="1991" spans="1:41" s="519" customFormat="1" ht="12" customHeight="1">
      <c r="A1991" s="630">
        <v>1</v>
      </c>
      <c r="B1991" s="521" t="s">
        <v>312</v>
      </c>
      <c r="C1991" s="631"/>
      <c r="D1991" s="632" t="s">
        <v>964</v>
      </c>
      <c r="E1991" s="633">
        <f>IF(AND($A1991=0,$A$1="DIF"),0, ROUND(ROUND(($R1999*$S$2+($T1999*$T$2))/A1991,2)*$C$2,2))</f>
        <v>0</v>
      </c>
      <c r="F1991" s="634">
        <f>ROUND($A1991*$E1991,2)</f>
        <v>0</v>
      </c>
      <c r="G1991" s="635" t="s">
        <v>142</v>
      </c>
      <c r="H1991" s="636"/>
      <c r="I1991" s="637"/>
      <c r="J1991" s="636"/>
      <c r="K1991" s="636" t="s">
        <v>3</v>
      </c>
      <c r="L1991" s="638" t="s">
        <v>143</v>
      </c>
      <c r="M1991" s="638"/>
      <c r="N1991" s="638"/>
      <c r="O1991" s="638"/>
      <c r="P1991" s="638"/>
      <c r="Q1991" s="967" t="s">
        <v>867</v>
      </c>
      <c r="T1991" s="639" t="str">
        <f>IF(AND($R1999=0,$T1999=0),"0.00","mu :" &amp; ROUND($F1991/$C$2/($R1999+$T1999*$D$9),2))</f>
        <v>0.00</v>
      </c>
      <c r="W1991" s="522"/>
      <c r="AG1991" s="470">
        <f>IF($E1991=0,0,ROUND($R1999*$S$2*$C$2/$A1991,2))</f>
        <v>0</v>
      </c>
      <c r="AH1991" s="470">
        <f>$AG1991*$A1991</f>
        <v>0</v>
      </c>
      <c r="AI1991" s="523">
        <f>$E1991-$AG1991</f>
        <v>0</v>
      </c>
      <c r="AJ1991" s="523">
        <f>$A1991*$AI1991</f>
        <v>0</v>
      </c>
      <c r="AK1991" s="524">
        <f>ROUND(($AG1991+$AI1991)*$A1991,2)</f>
        <v>0</v>
      </c>
      <c r="AM1991" s="525">
        <f>ROUND(R1999,2)</f>
        <v>0</v>
      </c>
      <c r="AN1991" s="526">
        <f>ROUND(T1999,2)</f>
        <v>0</v>
      </c>
      <c r="AO1991" s="527">
        <f>ROUND(AM1991+AN1991,2)*A1991</f>
        <v>0</v>
      </c>
    </row>
    <row r="1992" spans="1:41" s="519" customFormat="1" ht="13.2">
      <c r="A1992" s="631"/>
      <c r="B1992"/>
      <c r="C1992" s="631"/>
      <c r="D1992" s="632" t="s">
        <v>533</v>
      </c>
      <c r="F1992" s="636"/>
      <c r="G1992" s="3"/>
      <c r="H1992" s="636"/>
      <c r="I1992" s="637"/>
      <c r="J1992" s="636"/>
      <c r="K1992" s="636" t="s">
        <v>144</v>
      </c>
      <c r="L1992" s="636"/>
      <c r="M1992" s="636"/>
      <c r="N1992" s="636"/>
      <c r="O1992" s="636"/>
      <c r="P1992" s="636"/>
      <c r="Q1992" s="47"/>
      <c r="R1992" s="528"/>
      <c r="S1992" s="640"/>
      <c r="T1992" s="636"/>
    </row>
    <row r="1993" spans="1:41" s="519" customFormat="1" ht="12">
      <c r="A1993" s="47"/>
      <c r="B1993" s="641"/>
      <c r="C1993" s="641"/>
      <c r="D1993" s="641"/>
      <c r="E1993" s="641"/>
      <c r="F1993" s="636"/>
      <c r="G1993" s="641"/>
      <c r="H1993" s="641"/>
      <c r="I1993" s="518"/>
      <c r="J1993" s="641"/>
      <c r="K1993" s="641"/>
      <c r="L1993" s="641"/>
      <c r="M1993" s="641"/>
      <c r="N1993" s="641"/>
      <c r="O1993" s="641"/>
      <c r="P1993" s="641"/>
      <c r="Q1993" s="518"/>
      <c r="R1993" s="642">
        <f t="shared" ref="R1993:R1998" si="68">$A1993*Q1993</f>
        <v>0</v>
      </c>
      <c r="S1993" s="518"/>
      <c r="T1993" s="643">
        <f t="shared" ref="T1993:T1998" si="69">$A1993*S1993*$T$1</f>
        <v>0</v>
      </c>
    </row>
    <row r="1994" spans="1:41" s="519" customFormat="1" ht="12">
      <c r="A1994" s="47"/>
      <c r="B1994" s="641"/>
      <c r="C1994" s="641"/>
      <c r="D1994" s="641"/>
      <c r="E1994" s="641"/>
      <c r="F1994" s="636"/>
      <c r="G1994" s="641"/>
      <c r="H1994" s="641"/>
      <c r="I1994" s="518"/>
      <c r="J1994" s="641"/>
      <c r="K1994" s="641"/>
      <c r="L1994" s="641"/>
      <c r="M1994" s="641"/>
      <c r="N1994" s="641"/>
      <c r="O1994" s="641"/>
      <c r="P1994" s="641"/>
      <c r="Q1994" s="518"/>
      <c r="R1994" s="642">
        <f t="shared" si="68"/>
        <v>0</v>
      </c>
      <c r="S1994" s="518"/>
      <c r="T1994" s="643">
        <f t="shared" si="69"/>
        <v>0</v>
      </c>
    </row>
    <row r="1995" spans="1:41" s="519" customFormat="1" ht="12">
      <c r="A1995" s="47"/>
      <c r="B1995" s="641"/>
      <c r="C1995" s="641"/>
      <c r="D1995" s="641"/>
      <c r="E1995" s="641"/>
      <c r="F1995" s="636"/>
      <c r="G1995" s="641"/>
      <c r="H1995" s="641"/>
      <c r="I1995" s="518"/>
      <c r="J1995" s="641"/>
      <c r="K1995" s="641"/>
      <c r="L1995" s="641"/>
      <c r="M1995" s="641"/>
      <c r="N1995" s="641"/>
      <c r="O1995" s="641"/>
      <c r="P1995" s="641"/>
      <c r="Q1995" s="518"/>
      <c r="R1995" s="642">
        <f t="shared" si="68"/>
        <v>0</v>
      </c>
      <c r="S1995" s="518"/>
      <c r="T1995" s="643">
        <f t="shared" si="69"/>
        <v>0</v>
      </c>
    </row>
    <row r="1996" spans="1:41" s="519" customFormat="1" ht="12">
      <c r="A1996" s="47"/>
      <c r="B1996" s="641"/>
      <c r="C1996" s="641"/>
      <c r="D1996" s="641"/>
      <c r="E1996" s="641"/>
      <c r="F1996" s="636"/>
      <c r="G1996" s="641"/>
      <c r="H1996" s="641"/>
      <c r="I1996" s="518"/>
      <c r="J1996" s="641"/>
      <c r="K1996" s="641"/>
      <c r="L1996" s="641"/>
      <c r="M1996" s="641"/>
      <c r="N1996" s="641"/>
      <c r="O1996" s="641"/>
      <c r="P1996" s="641"/>
      <c r="Q1996" s="518"/>
      <c r="R1996" s="642">
        <f t="shared" si="68"/>
        <v>0</v>
      </c>
      <c r="S1996" s="518"/>
      <c r="T1996" s="643">
        <f t="shared" si="69"/>
        <v>0</v>
      </c>
    </row>
    <row r="1997" spans="1:41" s="519" customFormat="1" ht="12">
      <c r="A1997" s="47"/>
      <c r="B1997" s="641"/>
      <c r="C1997" s="641"/>
      <c r="D1997" s="641"/>
      <c r="E1997" s="641"/>
      <c r="F1997" s="636"/>
      <c r="G1997" s="641"/>
      <c r="H1997" s="641"/>
      <c r="I1997" s="518"/>
      <c r="J1997" s="641"/>
      <c r="K1997" s="641"/>
      <c r="L1997" s="641"/>
      <c r="M1997" s="641"/>
      <c r="N1997" s="641"/>
      <c r="O1997" s="641"/>
      <c r="P1997" s="641"/>
      <c r="Q1997" s="518"/>
      <c r="R1997" s="642">
        <f t="shared" si="68"/>
        <v>0</v>
      </c>
      <c r="S1997" s="518"/>
      <c r="T1997" s="643">
        <f t="shared" si="69"/>
        <v>0</v>
      </c>
    </row>
    <row r="1998" spans="1:41" s="519" customFormat="1" ht="12">
      <c r="A1998" s="641"/>
      <c r="B1998" s="641"/>
      <c r="C1998" s="641"/>
      <c r="D1998" s="641"/>
      <c r="E1998" s="641"/>
      <c r="F1998" s="636"/>
      <c r="G1998" s="641"/>
      <c r="H1998" s="641"/>
      <c r="I1998" s="518"/>
      <c r="J1998" s="641"/>
      <c r="K1998" s="641"/>
      <c r="L1998" s="641"/>
      <c r="M1998" s="641"/>
      <c r="N1998" s="641"/>
      <c r="O1998" s="641"/>
      <c r="P1998" s="641"/>
      <c r="Q1998" s="518"/>
      <c r="R1998" s="642">
        <f t="shared" si="68"/>
        <v>0</v>
      </c>
      <c r="S1998" s="518"/>
      <c r="T1998" s="643">
        <f t="shared" si="69"/>
        <v>0</v>
      </c>
    </row>
    <row r="1999" spans="1:41" s="519" customFormat="1" ht="12.6" thickBot="1">
      <c r="A1999" s="644" t="s">
        <v>145</v>
      </c>
      <c r="B1999" s="645">
        <f>(R1998+T1998)</f>
        <v>0</v>
      </c>
      <c r="C1999" s="646"/>
      <c r="D1999" s="646"/>
      <c r="E1999" s="646"/>
      <c r="F1999" s="647"/>
      <c r="G1999" s="646" t="s">
        <v>146</v>
      </c>
      <c r="H1999" s="646"/>
      <c r="I1999" s="648"/>
      <c r="J1999" s="646"/>
      <c r="K1999" s="646" t="s">
        <v>3</v>
      </c>
      <c r="L1999" s="649" t="s">
        <v>143</v>
      </c>
      <c r="M1999" s="649"/>
      <c r="N1999" s="649"/>
      <c r="O1999" s="649"/>
      <c r="P1999" s="649"/>
      <c r="Q1999" s="650"/>
      <c r="R1999" s="651">
        <f>SUM(R1992:R1998)</f>
        <v>0</v>
      </c>
      <c r="S1999" s="646"/>
      <c r="T1999" s="651">
        <f>SUM(T1992:T1998)</f>
        <v>0</v>
      </c>
      <c r="U1999" s="529"/>
      <c r="V1999" s="529"/>
      <c r="W1999" s="529"/>
      <c r="X1999" s="529"/>
      <c r="Y1999" s="529"/>
      <c r="Z1999" s="529"/>
      <c r="AA1999" s="529"/>
      <c r="AB1999" s="529"/>
      <c r="AC1999" s="529"/>
      <c r="AD1999" s="529"/>
      <c r="AE1999" s="529"/>
      <c r="AF1999" s="529"/>
      <c r="AG1999" s="529"/>
      <c r="AH1999" s="529"/>
      <c r="AI1999" s="529"/>
      <c r="AJ1999" s="529"/>
      <c r="AK1999" s="529"/>
      <c r="AL1999" s="529"/>
      <c r="AM1999" s="529"/>
      <c r="AN1999" s="529"/>
      <c r="AO1999" s="529"/>
    </row>
    <row r="2000" spans="1:41" s="519" customFormat="1" ht="12" thickTop="1">
      <c r="A2000" s="47"/>
      <c r="B2000" s="40"/>
      <c r="C2000" s="47"/>
      <c r="E2000" s="41" t="s">
        <v>138</v>
      </c>
      <c r="F2000" s="41" t="s">
        <v>139</v>
      </c>
      <c r="G2000" s="47"/>
      <c r="H2000" s="47"/>
      <c r="I2000" s="47"/>
      <c r="J2000" s="47"/>
      <c r="K2000" s="47" t="s">
        <v>140</v>
      </c>
      <c r="L2000" s="47"/>
      <c r="M2000" s="47"/>
      <c r="N2000" s="47"/>
      <c r="O2000" s="48"/>
      <c r="P2000" s="47"/>
      <c r="Q2000" s="47"/>
      <c r="R2000" s="47"/>
      <c r="S2000" s="47"/>
      <c r="T2000" s="40"/>
      <c r="AG2000" s="627" t="s">
        <v>277</v>
      </c>
      <c r="AH2000" s="627" t="s">
        <v>278</v>
      </c>
      <c r="AI2000" s="627" t="s">
        <v>279</v>
      </c>
      <c r="AJ2000" s="627" t="s">
        <v>280</v>
      </c>
      <c r="AK2000" s="627" t="s">
        <v>281</v>
      </c>
      <c r="AM2000" s="628" t="s">
        <v>290</v>
      </c>
      <c r="AN2000" s="629" t="s">
        <v>291</v>
      </c>
      <c r="AO2000" s="520" t="s">
        <v>287</v>
      </c>
    </row>
    <row r="2001" spans="1:41" s="519" customFormat="1" ht="12" customHeight="1">
      <c r="A2001" s="630">
        <v>5</v>
      </c>
      <c r="B2001" s="521" t="s">
        <v>312</v>
      </c>
      <c r="C2001" s="631"/>
      <c r="D2001" s="632" t="s">
        <v>965</v>
      </c>
      <c r="E2001" s="633">
        <f ca="1">IF(AND($A2001=0,$A$1="DIF"),0, ROUND(ROUND(($R2006*$S$2+($T2006*$T$2))/A2001,2)*$C$2,2))</f>
        <v>41.96</v>
      </c>
      <c r="F2001" s="634">
        <f ca="1">ROUND($A2001*$E2001,2)</f>
        <v>209.8</v>
      </c>
      <c r="G2001" s="635" t="s">
        <v>142</v>
      </c>
      <c r="H2001" s="636"/>
      <c r="I2001" s="637"/>
      <c r="J2001" s="636"/>
      <c r="K2001" s="636" t="s">
        <v>3</v>
      </c>
      <c r="L2001" s="638" t="s">
        <v>143</v>
      </c>
      <c r="M2001" s="638"/>
      <c r="N2001" s="638"/>
      <c r="O2001" s="638"/>
      <c r="P2001" s="638"/>
      <c r="Q2001" s="47"/>
      <c r="T2001" s="639" t="str">
        <f ca="1">IF(AND($R2006=0,$T2006=0),"0.00","mu :" &amp; ROUND($F2001/$C$2/($R2006+$T2006*$D$9),2))</f>
        <v>mu :1</v>
      </c>
      <c r="W2001" s="522"/>
      <c r="AG2001" s="470">
        <f ca="1">IF($E2001=0,0,ROUND($R2006*$S$2*$C$2/$A2001,2))</f>
        <v>12.3</v>
      </c>
      <c r="AH2001" s="470">
        <f ca="1">$AG2001*$A2001</f>
        <v>61.5</v>
      </c>
      <c r="AI2001" s="523">
        <f ca="1">$E2001-$AG2001</f>
        <v>29.66</v>
      </c>
      <c r="AJ2001" s="523">
        <f ca="1">$A2001*$AI2001</f>
        <v>148.30000000000001</v>
      </c>
      <c r="AK2001" s="524">
        <f ca="1">ROUND(($AG2001+$AI2001)*$A2001,2)</f>
        <v>209.8</v>
      </c>
      <c r="AM2001" s="525">
        <f ca="1">ROUND(R2006,2)</f>
        <v>61.5</v>
      </c>
      <c r="AN2001" s="526">
        <f ca="1">ROUND(T2006,2)</f>
        <v>5.4</v>
      </c>
      <c r="AO2001" s="527">
        <f ca="1">ROUND(AM2001+AN2001,2)*A2001</f>
        <v>334.5</v>
      </c>
    </row>
    <row r="2002" spans="1:41" s="519" customFormat="1" ht="13.2">
      <c r="A2002" s="631"/>
      <c r="B2002"/>
      <c r="C2002" s="631"/>
      <c r="D2002" s="632" t="s">
        <v>534</v>
      </c>
      <c r="F2002" s="636"/>
      <c r="G2002" s="3"/>
      <c r="H2002" s="636"/>
      <c r="I2002" s="637"/>
      <c r="J2002" s="636"/>
      <c r="K2002" s="636" t="s">
        <v>144</v>
      </c>
      <c r="L2002" s="636"/>
      <c r="M2002" s="636"/>
      <c r="N2002" s="636"/>
      <c r="O2002" s="636"/>
      <c r="P2002" s="636"/>
      <c r="Q2002" s="47"/>
      <c r="R2002" s="528"/>
      <c r="S2002" s="640"/>
      <c r="T2002" s="636"/>
    </row>
    <row r="2003" spans="1:41" s="956" customFormat="1" ht="13.2">
      <c r="A2003"/>
      <c r="B2003" s="948"/>
      <c r="C2003" s="948" t="s">
        <v>742</v>
      </c>
      <c r="D2003" s="948" t="str">
        <f ca="1">CELL("Address",Elec_Rates!D$138)</f>
        <v>[ELM25_0085_Quintano_Elec_Mech_HVAC_Est_Rev_B.xlsx]Elec_Rates!$D$138</v>
      </c>
      <c r="E2003" s="949"/>
      <c r="F2003" s="949"/>
      <c r="G2003" s="950" t="s">
        <v>743</v>
      </c>
      <c r="H2003" s="950"/>
      <c r="I2003" s="950"/>
      <c r="J2003" s="950"/>
      <c r="K2003" s="951"/>
      <c r="L2003" s="949"/>
      <c r="M2003" s="949"/>
      <c r="N2003" s="949"/>
      <c r="O2003" s="952"/>
      <c r="P2003" s="949"/>
      <c r="Q2003" s="953"/>
      <c r="R2003" s="954"/>
      <c r="S2003" s="953"/>
      <c r="T2003" s="943"/>
      <c r="U2003" s="955"/>
    </row>
    <row r="2004" spans="1:41" s="956" customFormat="1" ht="11.4">
      <c r="A2004" s="957">
        <v>5</v>
      </c>
      <c r="B2004" s="958">
        <v>1</v>
      </c>
      <c r="C2004" s="958">
        <f>$A2004*$B2004</f>
        <v>5</v>
      </c>
      <c r="D2004" s="959" t="str">
        <f>Elec_Rates!$D$138</f>
        <v>000# Empty conduit for thermostat</v>
      </c>
      <c r="E2004" s="959"/>
      <c r="F2004" s="959" t="s">
        <v>744</v>
      </c>
      <c r="G2004" s="960" t="s">
        <v>760</v>
      </c>
      <c r="H2004" s="960"/>
      <c r="I2004" s="960"/>
      <c r="J2004" s="960"/>
      <c r="K2004" s="961"/>
      <c r="L2004" s="955"/>
      <c r="M2004" s="955"/>
      <c r="N2004" s="955"/>
      <c r="O2004" s="962"/>
      <c r="P2004" s="959"/>
      <c r="Q2004" s="963">
        <f ca="1">$B2004*Elec_Rates!$R$138</f>
        <v>12.3</v>
      </c>
      <c r="R2004" s="954">
        <f ca="1">$A2004*Q2004</f>
        <v>61.5</v>
      </c>
      <c r="S2004" s="963">
        <f ca="1">$B2004*Elec_Rates!$T$138</f>
        <v>1.08</v>
      </c>
      <c r="T2004" s="943">
        <f ca="1">$A2004*S2004</f>
        <v>5.4</v>
      </c>
      <c r="U2004" s="501"/>
    </row>
    <row r="2005" spans="1:41" s="519" customFormat="1" ht="12">
      <c r="A2005" s="641"/>
      <c r="B2005" s="641"/>
      <c r="C2005" s="641"/>
      <c r="D2005" s="641"/>
      <c r="E2005" s="641"/>
      <c r="F2005" s="636"/>
      <c r="G2005" s="641"/>
      <c r="H2005" s="641"/>
      <c r="I2005" s="518"/>
      <c r="J2005" s="641"/>
      <c r="K2005" s="641"/>
      <c r="L2005" s="641"/>
      <c r="M2005" s="641"/>
      <c r="N2005" s="641"/>
      <c r="O2005" s="641"/>
      <c r="P2005" s="641"/>
      <c r="Q2005" s="518"/>
      <c r="R2005" s="642">
        <f t="shared" ref="R2005" si="70">$A2005*Q2005</f>
        <v>0</v>
      </c>
      <c r="S2005" s="518"/>
      <c r="T2005" s="643">
        <f t="shared" ref="T2005" si="71">$A2005*S2005*$T$1</f>
        <v>0</v>
      </c>
    </row>
    <row r="2006" spans="1:41" s="519" customFormat="1" ht="12.6" thickBot="1">
      <c r="A2006" s="644" t="s">
        <v>145</v>
      </c>
      <c r="B2006" s="645">
        <f>(R2005+T2005)</f>
        <v>0</v>
      </c>
      <c r="C2006" s="646"/>
      <c r="D2006" s="646"/>
      <c r="E2006" s="646"/>
      <c r="F2006" s="647"/>
      <c r="G2006" s="646" t="s">
        <v>146</v>
      </c>
      <c r="H2006" s="646"/>
      <c r="I2006" s="648"/>
      <c r="J2006" s="646"/>
      <c r="K2006" s="646" t="s">
        <v>3</v>
      </c>
      <c r="L2006" s="649" t="s">
        <v>143</v>
      </c>
      <c r="M2006" s="649"/>
      <c r="N2006" s="649"/>
      <c r="O2006" s="649"/>
      <c r="P2006" s="649"/>
      <c r="Q2006" s="650"/>
      <c r="R2006" s="651">
        <f ca="1">SUM(R2002:R2005)</f>
        <v>61.5</v>
      </c>
      <c r="S2006" s="646"/>
      <c r="T2006" s="651">
        <f ca="1">SUM(T2002:T2005)</f>
        <v>5.4</v>
      </c>
      <c r="U2006" s="529"/>
      <c r="V2006" s="529"/>
      <c r="W2006" s="529"/>
      <c r="X2006" s="529"/>
      <c r="Y2006" s="529"/>
      <c r="Z2006" s="529"/>
      <c r="AA2006" s="529"/>
      <c r="AB2006" s="529"/>
      <c r="AC2006" s="529"/>
      <c r="AD2006" s="529"/>
      <c r="AE2006" s="529"/>
      <c r="AF2006" s="529"/>
      <c r="AG2006" s="529"/>
      <c r="AH2006" s="529"/>
      <c r="AI2006" s="529"/>
      <c r="AJ2006" s="529"/>
      <c r="AK2006" s="529"/>
      <c r="AL2006" s="529"/>
      <c r="AM2006" s="529"/>
      <c r="AN2006" s="529"/>
      <c r="AO2006" s="529"/>
    </row>
    <row r="2007" spans="1:41" s="519" customFormat="1" thickTop="1">
      <c r="A2007" s="47"/>
      <c r="B2007" s="47"/>
      <c r="C2007" s="3"/>
      <c r="D2007" s="3"/>
      <c r="E2007" s="47"/>
      <c r="F2007" s="47"/>
      <c r="G2007" s="47"/>
      <c r="H2007" s="47"/>
      <c r="I2007" s="47"/>
      <c r="J2007" s="47"/>
      <c r="K2007" s="47" t="s">
        <v>134</v>
      </c>
      <c r="L2007" s="47"/>
      <c r="M2007" s="47"/>
      <c r="N2007" s="47"/>
      <c r="O2007" s="48"/>
      <c r="P2007" s="47"/>
      <c r="Q2007" s="47"/>
      <c r="R2007" s="47"/>
      <c r="S2007" s="47"/>
      <c r="T2007" s="47"/>
    </row>
    <row r="2008" spans="1:41" s="519" customFormat="1" ht="12">
      <c r="A2008" s="47"/>
      <c r="B2008" s="47"/>
      <c r="C2008" s="47" t="s">
        <v>135</v>
      </c>
      <c r="D2008" s="36"/>
      <c r="E2008" s="47"/>
      <c r="F2008" s="47"/>
      <c r="G2008" s="47"/>
      <c r="H2008" s="47"/>
      <c r="I2008" s="47"/>
      <c r="J2008" s="47"/>
      <c r="K2008" s="47"/>
      <c r="L2008" s="47"/>
      <c r="M2008" s="47"/>
      <c r="N2008" s="47"/>
      <c r="O2008" s="48"/>
      <c r="P2008" s="47"/>
      <c r="Q2008" s="47"/>
      <c r="R2008" s="47"/>
      <c r="S2008" s="47"/>
      <c r="T2008" s="47"/>
    </row>
    <row r="2009" spans="1:41" s="519" customFormat="1" ht="12">
      <c r="A2009" s="47"/>
      <c r="B2009" s="47"/>
      <c r="C2009" s="47"/>
      <c r="D2009" s="36" t="s">
        <v>568</v>
      </c>
      <c r="E2009" s="47"/>
      <c r="F2009" s="47"/>
      <c r="G2009" s="47"/>
      <c r="H2009" s="47"/>
      <c r="I2009" s="47"/>
      <c r="J2009" s="47"/>
      <c r="K2009" s="47"/>
      <c r="L2009" s="47"/>
      <c r="M2009" s="47"/>
      <c r="N2009" s="47"/>
      <c r="O2009" s="48"/>
      <c r="P2009" s="47"/>
      <c r="Q2009" s="47"/>
      <c r="R2009" s="47"/>
      <c r="S2009" s="37"/>
      <c r="T2009" s="37"/>
    </row>
    <row r="2010" spans="1:41" s="3" customFormat="1" thickBot="1">
      <c r="A2010" s="529"/>
      <c r="O2010" s="99"/>
    </row>
    <row r="2011" spans="1:41" s="519" customFormat="1" thickTop="1">
      <c r="A2011" s="47"/>
      <c r="B2011" s="47"/>
      <c r="C2011" s="3"/>
      <c r="D2011" s="3"/>
      <c r="E2011" s="47"/>
      <c r="F2011" s="47"/>
      <c r="G2011" s="47"/>
      <c r="H2011" s="47"/>
      <c r="I2011" s="47"/>
      <c r="J2011" s="47"/>
      <c r="K2011" s="47" t="s">
        <v>134</v>
      </c>
      <c r="L2011" s="47"/>
      <c r="M2011" s="47"/>
      <c r="N2011" s="47"/>
      <c r="O2011" s="48"/>
      <c r="P2011" s="47"/>
      <c r="Q2011" s="47"/>
      <c r="R2011" s="47"/>
      <c r="S2011" s="47"/>
      <c r="T2011" s="47"/>
    </row>
    <row r="2012" spans="1:41" s="519" customFormat="1" ht="12">
      <c r="A2012" s="47"/>
      <c r="B2012" s="47"/>
      <c r="C2012" s="47" t="s">
        <v>135</v>
      </c>
      <c r="D2012" s="36"/>
      <c r="E2012" s="47"/>
      <c r="F2012" s="47"/>
      <c r="G2012" s="47"/>
      <c r="H2012" s="47"/>
      <c r="I2012" s="47"/>
      <c r="J2012" s="47"/>
      <c r="K2012" s="47"/>
      <c r="L2012" s="47"/>
      <c r="M2012" s="47"/>
      <c r="N2012" s="47"/>
      <c r="O2012" s="48"/>
      <c r="P2012" s="47"/>
      <c r="Q2012" s="47"/>
      <c r="R2012" s="47"/>
      <c r="S2012" s="47"/>
      <c r="T2012" s="47"/>
    </row>
    <row r="2013" spans="1:41" s="519" customFormat="1" ht="39.9" customHeight="1">
      <c r="A2013" s="47"/>
      <c r="B2013" s="47"/>
      <c r="C2013" s="47"/>
      <c r="D2013" s="1079" t="s">
        <v>569</v>
      </c>
      <c r="E2013" s="1080"/>
      <c r="F2013" s="1080"/>
      <c r="G2013" s="1080"/>
      <c r="H2013" s="1080"/>
      <c r="I2013" s="1080"/>
      <c r="J2013" s="1080"/>
      <c r="K2013" s="1080"/>
      <c r="L2013" s="1080"/>
      <c r="M2013" s="1080"/>
      <c r="N2013" s="1080"/>
      <c r="O2013" s="1080"/>
      <c r="P2013" s="1080"/>
      <c r="Q2013" s="1080"/>
      <c r="R2013" s="1080"/>
      <c r="S2013" s="1080"/>
      <c r="T2013" s="1080"/>
    </row>
    <row r="2014" spans="1:41" s="3" customFormat="1" thickBot="1">
      <c r="A2014" s="529"/>
      <c r="O2014" s="99"/>
    </row>
    <row r="2015" spans="1:41" s="519" customFormat="1" ht="12" thickTop="1">
      <c r="A2015" s="47"/>
      <c r="B2015" s="40"/>
      <c r="C2015" s="47"/>
      <c r="E2015" s="41" t="s">
        <v>138</v>
      </c>
      <c r="F2015" s="41" t="s">
        <v>139</v>
      </c>
      <c r="G2015" s="47"/>
      <c r="H2015" s="47"/>
      <c r="I2015" s="47"/>
      <c r="J2015" s="47"/>
      <c r="K2015" s="47" t="s">
        <v>140</v>
      </c>
      <c r="L2015" s="47"/>
      <c r="M2015" s="47"/>
      <c r="N2015" s="47"/>
      <c r="O2015" s="48"/>
      <c r="P2015" s="47"/>
      <c r="Q2015" s="47"/>
      <c r="R2015" s="47"/>
      <c r="S2015" s="47"/>
      <c r="T2015" s="40"/>
      <c r="AG2015" s="627" t="s">
        <v>277</v>
      </c>
      <c r="AH2015" s="627" t="s">
        <v>278</v>
      </c>
      <c r="AI2015" s="627" t="s">
        <v>279</v>
      </c>
      <c r="AJ2015" s="627" t="s">
        <v>280</v>
      </c>
      <c r="AK2015" s="627" t="s">
        <v>281</v>
      </c>
      <c r="AM2015" s="628" t="s">
        <v>290</v>
      </c>
      <c r="AN2015" s="629" t="s">
        <v>291</v>
      </c>
      <c r="AO2015" s="520" t="s">
        <v>287</v>
      </c>
    </row>
    <row r="2016" spans="1:41" s="519" customFormat="1" ht="12" customHeight="1">
      <c r="A2016" s="630">
        <v>1</v>
      </c>
      <c r="B2016" s="521" t="s">
        <v>312</v>
      </c>
      <c r="C2016" s="631"/>
      <c r="D2016" s="632" t="s">
        <v>966</v>
      </c>
      <c r="E2016" s="633">
        <f>IF(AND($A2016=0,$A$1="DIF"),0, ROUND(ROUND(($R2024*$S$2+($T2024*$T$2))/A2016,2)*$C$2,2))</f>
        <v>0</v>
      </c>
      <c r="F2016" s="634">
        <f>ROUND($A2016*$E2016,2)</f>
        <v>0</v>
      </c>
      <c r="G2016" s="635" t="s">
        <v>142</v>
      </c>
      <c r="H2016" s="636"/>
      <c r="I2016" s="637"/>
      <c r="J2016" s="636"/>
      <c r="K2016" s="636" t="s">
        <v>3</v>
      </c>
      <c r="L2016" s="638" t="s">
        <v>143</v>
      </c>
      <c r="M2016" s="638"/>
      <c r="N2016" s="638"/>
      <c r="O2016" s="638"/>
      <c r="P2016" s="638"/>
      <c r="Q2016" s="967" t="s">
        <v>867</v>
      </c>
      <c r="T2016" s="639" t="str">
        <f>IF(AND($R2024=0,$T2024=0),"0.00","mu :" &amp; ROUND($F2016/$C$2/($R2024+$T2024*$D$9),2))</f>
        <v>0.00</v>
      </c>
      <c r="W2016" s="522"/>
      <c r="AG2016" s="470">
        <f>IF($E2016=0,0,ROUND($R2024*$S$2*$C$2/$A2016,2))</f>
        <v>0</v>
      </c>
      <c r="AH2016" s="470">
        <f>$AG2016*$A2016</f>
        <v>0</v>
      </c>
      <c r="AI2016" s="523">
        <f>$E2016-$AG2016</f>
        <v>0</v>
      </c>
      <c r="AJ2016" s="523">
        <f>$A2016*$AI2016</f>
        <v>0</v>
      </c>
      <c r="AK2016" s="524">
        <f>ROUND(($AG2016+$AI2016)*$A2016,2)</f>
        <v>0</v>
      </c>
      <c r="AM2016" s="525">
        <f>ROUND(R2024,2)</f>
        <v>0</v>
      </c>
      <c r="AN2016" s="526">
        <f>ROUND(T2024,2)</f>
        <v>0</v>
      </c>
      <c r="AO2016" s="527">
        <f>ROUND(AM2016+AN2016,2)*A2016</f>
        <v>0</v>
      </c>
    </row>
    <row r="2017" spans="1:41" s="519" customFormat="1" ht="13.2">
      <c r="A2017" s="631"/>
      <c r="B2017"/>
      <c r="C2017" s="631"/>
      <c r="D2017" s="632" t="s">
        <v>967</v>
      </c>
      <c r="F2017" s="636"/>
      <c r="G2017" s="3"/>
      <c r="H2017" s="636"/>
      <c r="I2017" s="637"/>
      <c r="J2017" s="636"/>
      <c r="K2017" s="636" t="s">
        <v>144</v>
      </c>
      <c r="L2017" s="636"/>
      <c r="M2017" s="636"/>
      <c r="N2017" s="636"/>
      <c r="O2017" s="636"/>
      <c r="P2017" s="636"/>
      <c r="Q2017" s="47"/>
      <c r="R2017" s="528"/>
      <c r="S2017" s="640"/>
      <c r="T2017" s="636"/>
    </row>
    <row r="2018" spans="1:41" s="519" customFormat="1" ht="12">
      <c r="A2018" s="47"/>
      <c r="B2018" s="641"/>
      <c r="C2018" s="641"/>
      <c r="D2018" s="641"/>
      <c r="E2018" s="641"/>
      <c r="F2018" s="636"/>
      <c r="G2018" s="641"/>
      <c r="H2018" s="641"/>
      <c r="I2018" s="518"/>
      <c r="J2018" s="641"/>
      <c r="K2018" s="641"/>
      <c r="L2018" s="641"/>
      <c r="M2018" s="641"/>
      <c r="N2018" s="641"/>
      <c r="O2018" s="641"/>
      <c r="P2018" s="641"/>
      <c r="Q2018" s="518"/>
      <c r="R2018" s="642">
        <f t="shared" ref="R2018:R2023" si="72">$A2018*Q2018</f>
        <v>0</v>
      </c>
      <c r="S2018" s="518"/>
      <c r="T2018" s="643">
        <f t="shared" ref="T2018:T2023" si="73">$A2018*S2018*$T$1</f>
        <v>0</v>
      </c>
    </row>
    <row r="2019" spans="1:41" s="519" customFormat="1" ht="12">
      <c r="A2019" s="47"/>
      <c r="B2019" s="641"/>
      <c r="C2019" s="641"/>
      <c r="D2019" s="641"/>
      <c r="E2019" s="641"/>
      <c r="F2019" s="636"/>
      <c r="G2019" s="641"/>
      <c r="H2019" s="641"/>
      <c r="I2019" s="518"/>
      <c r="J2019" s="641"/>
      <c r="K2019" s="641"/>
      <c r="L2019" s="641"/>
      <c r="M2019" s="641"/>
      <c r="N2019" s="641"/>
      <c r="O2019" s="641"/>
      <c r="P2019" s="641"/>
      <c r="Q2019" s="518"/>
      <c r="R2019" s="642">
        <f t="shared" si="72"/>
        <v>0</v>
      </c>
      <c r="S2019" s="518"/>
      <c r="T2019" s="643">
        <f t="shared" si="73"/>
        <v>0</v>
      </c>
    </row>
    <row r="2020" spans="1:41" s="519" customFormat="1" ht="12">
      <c r="A2020" s="47"/>
      <c r="B2020" s="641"/>
      <c r="C2020" s="641"/>
      <c r="D2020" s="641"/>
      <c r="E2020" s="641"/>
      <c r="F2020" s="636"/>
      <c r="G2020" s="641"/>
      <c r="H2020" s="641"/>
      <c r="I2020" s="518"/>
      <c r="J2020" s="641"/>
      <c r="K2020" s="641"/>
      <c r="L2020" s="641"/>
      <c r="M2020" s="641"/>
      <c r="N2020" s="641"/>
      <c r="O2020" s="641"/>
      <c r="P2020" s="641"/>
      <c r="Q2020" s="518"/>
      <c r="R2020" s="642">
        <f t="shared" si="72"/>
        <v>0</v>
      </c>
      <c r="S2020" s="518"/>
      <c r="T2020" s="643">
        <f t="shared" si="73"/>
        <v>0</v>
      </c>
    </row>
    <row r="2021" spans="1:41" s="519" customFormat="1" ht="12">
      <c r="A2021" s="47"/>
      <c r="B2021" s="641"/>
      <c r="C2021" s="641"/>
      <c r="D2021" s="641"/>
      <c r="E2021" s="641"/>
      <c r="F2021" s="636"/>
      <c r="G2021" s="641"/>
      <c r="H2021" s="641"/>
      <c r="I2021" s="518"/>
      <c r="J2021" s="641"/>
      <c r="K2021" s="641"/>
      <c r="L2021" s="641"/>
      <c r="M2021" s="641"/>
      <c r="N2021" s="641"/>
      <c r="O2021" s="641"/>
      <c r="P2021" s="641"/>
      <c r="Q2021" s="518"/>
      <c r="R2021" s="642">
        <f t="shared" si="72"/>
        <v>0</v>
      </c>
      <c r="S2021" s="518"/>
      <c r="T2021" s="643">
        <f t="shared" si="73"/>
        <v>0</v>
      </c>
    </row>
    <row r="2022" spans="1:41" s="519" customFormat="1" ht="12">
      <c r="A2022" s="47"/>
      <c r="B2022" s="641"/>
      <c r="C2022" s="641"/>
      <c r="D2022" s="641"/>
      <c r="E2022" s="641"/>
      <c r="F2022" s="636"/>
      <c r="G2022" s="641"/>
      <c r="H2022" s="641"/>
      <c r="I2022" s="518"/>
      <c r="J2022" s="641"/>
      <c r="K2022" s="641"/>
      <c r="L2022" s="641"/>
      <c r="M2022" s="641"/>
      <c r="N2022" s="641"/>
      <c r="O2022" s="641"/>
      <c r="P2022" s="641"/>
      <c r="Q2022" s="518"/>
      <c r="R2022" s="642">
        <f t="shared" si="72"/>
        <v>0</v>
      </c>
      <c r="S2022" s="518"/>
      <c r="T2022" s="643">
        <f t="shared" si="73"/>
        <v>0</v>
      </c>
    </row>
    <row r="2023" spans="1:41" s="519" customFormat="1" ht="12">
      <c r="A2023" s="641"/>
      <c r="B2023" s="641"/>
      <c r="C2023" s="641"/>
      <c r="D2023" s="641"/>
      <c r="E2023" s="641"/>
      <c r="F2023" s="636"/>
      <c r="G2023" s="641"/>
      <c r="H2023" s="641"/>
      <c r="I2023" s="518"/>
      <c r="J2023" s="641"/>
      <c r="K2023" s="641"/>
      <c r="L2023" s="641"/>
      <c r="M2023" s="641"/>
      <c r="N2023" s="641"/>
      <c r="O2023" s="641"/>
      <c r="P2023" s="641"/>
      <c r="Q2023" s="518"/>
      <c r="R2023" s="642">
        <f t="shared" si="72"/>
        <v>0</v>
      </c>
      <c r="S2023" s="518"/>
      <c r="T2023" s="643">
        <f t="shared" si="73"/>
        <v>0</v>
      </c>
    </row>
    <row r="2024" spans="1:41" s="519" customFormat="1" ht="12.6" thickBot="1">
      <c r="A2024" s="644" t="s">
        <v>145</v>
      </c>
      <c r="B2024" s="645">
        <f>(R2023+T2023)</f>
        <v>0</v>
      </c>
      <c r="C2024" s="646"/>
      <c r="D2024" s="646"/>
      <c r="E2024" s="646"/>
      <c r="F2024" s="647"/>
      <c r="G2024" s="646" t="s">
        <v>146</v>
      </c>
      <c r="H2024" s="646"/>
      <c r="I2024" s="648"/>
      <c r="J2024" s="646"/>
      <c r="K2024" s="646" t="s">
        <v>3</v>
      </c>
      <c r="L2024" s="649" t="s">
        <v>143</v>
      </c>
      <c r="M2024" s="649"/>
      <c r="N2024" s="649"/>
      <c r="O2024" s="649"/>
      <c r="P2024" s="649"/>
      <c r="Q2024" s="650"/>
      <c r="R2024" s="651">
        <f>SUM(R2017:R2023)</f>
        <v>0</v>
      </c>
      <c r="S2024" s="646"/>
      <c r="T2024" s="651">
        <f>SUM(T2017:T2023)</f>
        <v>0</v>
      </c>
      <c r="U2024" s="529"/>
      <c r="V2024" s="529"/>
      <c r="W2024" s="529"/>
      <c r="X2024" s="529"/>
      <c r="Y2024" s="529"/>
      <c r="Z2024" s="529"/>
      <c r="AA2024" s="529"/>
      <c r="AB2024" s="529"/>
      <c r="AC2024" s="529"/>
      <c r="AD2024" s="529"/>
      <c r="AE2024" s="529"/>
      <c r="AF2024" s="529"/>
      <c r="AG2024" s="529"/>
      <c r="AH2024" s="529"/>
      <c r="AI2024" s="529"/>
      <c r="AJ2024" s="529"/>
      <c r="AK2024" s="529"/>
      <c r="AL2024" s="529"/>
      <c r="AM2024" s="529"/>
      <c r="AN2024" s="529"/>
      <c r="AO2024" s="529"/>
    </row>
    <row r="2025" spans="1:41" s="519" customFormat="1" ht="12" thickTop="1">
      <c r="A2025" s="47"/>
      <c r="B2025" s="40"/>
      <c r="C2025" s="47"/>
      <c r="E2025" s="41" t="s">
        <v>138</v>
      </c>
      <c r="F2025" s="41" t="s">
        <v>139</v>
      </c>
      <c r="G2025" s="47"/>
      <c r="H2025" s="47"/>
      <c r="I2025" s="47"/>
      <c r="J2025" s="47"/>
      <c r="K2025" s="47" t="s">
        <v>140</v>
      </c>
      <c r="L2025" s="47"/>
      <c r="M2025" s="47"/>
      <c r="N2025" s="47"/>
      <c r="O2025" s="48"/>
      <c r="P2025" s="47"/>
      <c r="Q2025" s="47"/>
      <c r="R2025" s="47"/>
      <c r="S2025" s="47"/>
      <c r="T2025" s="40"/>
      <c r="AG2025" s="627" t="s">
        <v>277</v>
      </c>
      <c r="AH2025" s="627" t="s">
        <v>278</v>
      </c>
      <c r="AI2025" s="627" t="s">
        <v>279</v>
      </c>
      <c r="AJ2025" s="627" t="s">
        <v>280</v>
      </c>
      <c r="AK2025" s="627" t="s">
        <v>281</v>
      </c>
      <c r="AM2025" s="628" t="s">
        <v>290</v>
      </c>
      <c r="AN2025" s="629" t="s">
        <v>291</v>
      </c>
      <c r="AO2025" s="520" t="s">
        <v>287</v>
      </c>
    </row>
    <row r="2026" spans="1:41" s="519" customFormat="1" ht="12" customHeight="1">
      <c r="A2026" s="630">
        <v>1</v>
      </c>
      <c r="B2026" s="521" t="s">
        <v>312</v>
      </c>
      <c r="C2026" s="631"/>
      <c r="D2026" s="632" t="s">
        <v>968</v>
      </c>
      <c r="E2026" s="633">
        <f>IF(AND($A2026=0,$A$1="DIF"),0, ROUND(ROUND(($R2034*$S$2+($T2034*$T$2))/A2026,2)*$C$2,2))</f>
        <v>0</v>
      </c>
      <c r="F2026" s="634">
        <f>ROUND($A2026*$E2026,2)</f>
        <v>0</v>
      </c>
      <c r="G2026" s="635" t="s">
        <v>142</v>
      </c>
      <c r="H2026" s="636"/>
      <c r="I2026" s="637"/>
      <c r="J2026" s="636"/>
      <c r="K2026" s="636" t="s">
        <v>3</v>
      </c>
      <c r="L2026" s="638" t="s">
        <v>143</v>
      </c>
      <c r="M2026" s="638"/>
      <c r="N2026" s="638"/>
      <c r="O2026" s="638"/>
      <c r="P2026" s="638"/>
      <c r="Q2026" s="967" t="s">
        <v>867</v>
      </c>
      <c r="T2026" s="639" t="str">
        <f>IF(AND($R2034=0,$T2034=0),"0.00","mu :" &amp; ROUND($F2026/$C$2/($R2034+$T2034*$D$9),2))</f>
        <v>0.00</v>
      </c>
      <c r="W2026" s="522"/>
      <c r="AG2026" s="470">
        <f>IF($E2026=0,0,ROUND($R2034*$S$2*$C$2/$A2026,2))</f>
        <v>0</v>
      </c>
      <c r="AH2026" s="470">
        <f>$AG2026*$A2026</f>
        <v>0</v>
      </c>
      <c r="AI2026" s="523">
        <f>$E2026-$AG2026</f>
        <v>0</v>
      </c>
      <c r="AJ2026" s="523">
        <f>$A2026*$AI2026</f>
        <v>0</v>
      </c>
      <c r="AK2026" s="524">
        <f>ROUND(($AG2026+$AI2026)*$A2026,2)</f>
        <v>0</v>
      </c>
      <c r="AM2026" s="525">
        <f>ROUND(R2034,2)</f>
        <v>0</v>
      </c>
      <c r="AN2026" s="526">
        <f>ROUND(T2034,2)</f>
        <v>0</v>
      </c>
      <c r="AO2026" s="527">
        <f>ROUND(AM2026+AN2026,2)*A2026</f>
        <v>0</v>
      </c>
    </row>
    <row r="2027" spans="1:41" s="519" customFormat="1" ht="13.2">
      <c r="A2027" s="631"/>
      <c r="B2027"/>
      <c r="C2027" s="631"/>
      <c r="D2027" s="632" t="s">
        <v>969</v>
      </c>
      <c r="F2027" s="636"/>
      <c r="G2027" s="3"/>
      <c r="H2027" s="636"/>
      <c r="I2027" s="637"/>
      <c r="J2027" s="636"/>
      <c r="K2027" s="636" t="s">
        <v>144</v>
      </c>
      <c r="L2027" s="636"/>
      <c r="M2027" s="636"/>
      <c r="N2027" s="636"/>
      <c r="O2027" s="636"/>
      <c r="P2027" s="636"/>
      <c r="Q2027" s="47"/>
      <c r="R2027" s="528"/>
      <c r="S2027" s="640"/>
      <c r="T2027" s="636"/>
    </row>
    <row r="2028" spans="1:41" s="519" customFormat="1" ht="12">
      <c r="A2028" s="47"/>
      <c r="B2028" s="641"/>
      <c r="C2028" s="641"/>
      <c r="D2028" s="641"/>
      <c r="E2028" s="641"/>
      <c r="F2028" s="636"/>
      <c r="G2028" s="641"/>
      <c r="H2028" s="641"/>
      <c r="I2028" s="518"/>
      <c r="J2028" s="641"/>
      <c r="K2028" s="641"/>
      <c r="L2028" s="641"/>
      <c r="M2028" s="641"/>
      <c r="N2028" s="641"/>
      <c r="O2028" s="641"/>
      <c r="P2028" s="641"/>
      <c r="Q2028" s="518"/>
      <c r="R2028" s="642">
        <f t="shared" ref="R2028:R2033" si="74">$A2028*Q2028</f>
        <v>0</v>
      </c>
      <c r="S2028" s="518"/>
      <c r="T2028" s="643">
        <f t="shared" ref="T2028:T2033" si="75">$A2028*S2028*$T$1</f>
        <v>0</v>
      </c>
    </row>
    <row r="2029" spans="1:41" s="519" customFormat="1" ht="12">
      <c r="A2029" s="47"/>
      <c r="B2029" s="641"/>
      <c r="C2029" s="641"/>
      <c r="D2029" s="641"/>
      <c r="E2029" s="641"/>
      <c r="F2029" s="636"/>
      <c r="G2029" s="641"/>
      <c r="H2029" s="641"/>
      <c r="I2029" s="518"/>
      <c r="J2029" s="641"/>
      <c r="K2029" s="641"/>
      <c r="L2029" s="641"/>
      <c r="M2029" s="641"/>
      <c r="N2029" s="641"/>
      <c r="O2029" s="641"/>
      <c r="P2029" s="641"/>
      <c r="Q2029" s="518"/>
      <c r="R2029" s="642">
        <f t="shared" si="74"/>
        <v>0</v>
      </c>
      <c r="S2029" s="518"/>
      <c r="T2029" s="643">
        <f t="shared" si="75"/>
        <v>0</v>
      </c>
    </row>
    <row r="2030" spans="1:41" s="519" customFormat="1" ht="12">
      <c r="A2030" s="47"/>
      <c r="B2030" s="641"/>
      <c r="C2030" s="641"/>
      <c r="D2030" s="641"/>
      <c r="E2030" s="641"/>
      <c r="F2030" s="636"/>
      <c r="G2030" s="641"/>
      <c r="H2030" s="641"/>
      <c r="I2030" s="518"/>
      <c r="J2030" s="641"/>
      <c r="K2030" s="641"/>
      <c r="L2030" s="641"/>
      <c r="M2030" s="641"/>
      <c r="N2030" s="641"/>
      <c r="O2030" s="641"/>
      <c r="P2030" s="641"/>
      <c r="Q2030" s="518"/>
      <c r="R2030" s="642">
        <f t="shared" si="74"/>
        <v>0</v>
      </c>
      <c r="S2030" s="518"/>
      <c r="T2030" s="643">
        <f t="shared" si="75"/>
        <v>0</v>
      </c>
    </row>
    <row r="2031" spans="1:41" s="519" customFormat="1" ht="12">
      <c r="A2031" s="47"/>
      <c r="B2031" s="641"/>
      <c r="C2031" s="641"/>
      <c r="D2031" s="641"/>
      <c r="E2031" s="641"/>
      <c r="F2031" s="636"/>
      <c r="G2031" s="641"/>
      <c r="H2031" s="641"/>
      <c r="I2031" s="518"/>
      <c r="J2031" s="641"/>
      <c r="K2031" s="641"/>
      <c r="L2031" s="641"/>
      <c r="M2031" s="641"/>
      <c r="N2031" s="641"/>
      <c r="O2031" s="641"/>
      <c r="P2031" s="641"/>
      <c r="Q2031" s="518"/>
      <c r="R2031" s="642">
        <f t="shared" si="74"/>
        <v>0</v>
      </c>
      <c r="S2031" s="518"/>
      <c r="T2031" s="643">
        <f t="shared" si="75"/>
        <v>0</v>
      </c>
    </row>
    <row r="2032" spans="1:41" s="519" customFormat="1" ht="12">
      <c r="A2032" s="47"/>
      <c r="B2032" s="641"/>
      <c r="C2032" s="641"/>
      <c r="D2032" s="641"/>
      <c r="E2032" s="641"/>
      <c r="F2032" s="636"/>
      <c r="G2032" s="641"/>
      <c r="H2032" s="641"/>
      <c r="I2032" s="518"/>
      <c r="J2032" s="641"/>
      <c r="K2032" s="641"/>
      <c r="L2032" s="641"/>
      <c r="M2032" s="641"/>
      <c r="N2032" s="641"/>
      <c r="O2032" s="641"/>
      <c r="P2032" s="641"/>
      <c r="Q2032" s="518"/>
      <c r="R2032" s="642">
        <f t="shared" si="74"/>
        <v>0</v>
      </c>
      <c r="S2032" s="518"/>
      <c r="T2032" s="643">
        <f t="shared" si="75"/>
        <v>0</v>
      </c>
    </row>
    <row r="2033" spans="1:41" s="519" customFormat="1" ht="12">
      <c r="A2033" s="641"/>
      <c r="B2033" s="641"/>
      <c r="C2033" s="641"/>
      <c r="D2033" s="641"/>
      <c r="E2033" s="641"/>
      <c r="F2033" s="636"/>
      <c r="G2033" s="641"/>
      <c r="H2033" s="641"/>
      <c r="I2033" s="518"/>
      <c r="J2033" s="641"/>
      <c r="K2033" s="641"/>
      <c r="L2033" s="641"/>
      <c r="M2033" s="641"/>
      <c r="N2033" s="641"/>
      <c r="O2033" s="641"/>
      <c r="P2033" s="641"/>
      <c r="Q2033" s="518"/>
      <c r="R2033" s="642">
        <f t="shared" si="74"/>
        <v>0</v>
      </c>
      <c r="S2033" s="518"/>
      <c r="T2033" s="643">
        <f t="shared" si="75"/>
        <v>0</v>
      </c>
    </row>
    <row r="2034" spans="1:41" s="519" customFormat="1" ht="12.6" thickBot="1">
      <c r="A2034" s="644" t="s">
        <v>145</v>
      </c>
      <c r="B2034" s="645">
        <f>(R2033+T2033)</f>
        <v>0</v>
      </c>
      <c r="C2034" s="646"/>
      <c r="D2034" s="646"/>
      <c r="E2034" s="646"/>
      <c r="F2034" s="647"/>
      <c r="G2034" s="646" t="s">
        <v>146</v>
      </c>
      <c r="H2034" s="646"/>
      <c r="I2034" s="648"/>
      <c r="J2034" s="646"/>
      <c r="K2034" s="646" t="s">
        <v>3</v>
      </c>
      <c r="L2034" s="649" t="s">
        <v>143</v>
      </c>
      <c r="M2034" s="649"/>
      <c r="N2034" s="649"/>
      <c r="O2034" s="649"/>
      <c r="P2034" s="649"/>
      <c r="Q2034" s="650"/>
      <c r="R2034" s="651">
        <f>SUM(R2027:R2033)</f>
        <v>0</v>
      </c>
      <c r="S2034" s="646"/>
      <c r="T2034" s="651">
        <f>SUM(T2027:T2033)</f>
        <v>0</v>
      </c>
      <c r="U2034" s="529"/>
      <c r="V2034" s="529"/>
      <c r="W2034" s="529"/>
      <c r="X2034" s="529"/>
      <c r="Y2034" s="529"/>
      <c r="Z2034" s="529"/>
      <c r="AA2034" s="529"/>
      <c r="AB2034" s="529"/>
      <c r="AC2034" s="529"/>
      <c r="AD2034" s="529"/>
      <c r="AE2034" s="529"/>
      <c r="AF2034" s="529"/>
      <c r="AG2034" s="529"/>
      <c r="AH2034" s="529"/>
      <c r="AI2034" s="529"/>
      <c r="AJ2034" s="529"/>
      <c r="AK2034" s="529"/>
      <c r="AL2034" s="529"/>
      <c r="AM2034" s="529"/>
      <c r="AN2034" s="529"/>
      <c r="AO2034" s="529"/>
    </row>
    <row r="2035" spans="1:41" s="519" customFormat="1" ht="12" thickTop="1">
      <c r="A2035" s="47"/>
      <c r="B2035" s="40"/>
      <c r="C2035" s="47"/>
      <c r="E2035" s="41" t="s">
        <v>138</v>
      </c>
      <c r="F2035" s="41" t="s">
        <v>139</v>
      </c>
      <c r="G2035" s="47"/>
      <c r="H2035" s="47"/>
      <c r="I2035" s="47"/>
      <c r="J2035" s="47"/>
      <c r="K2035" s="47" t="s">
        <v>140</v>
      </c>
      <c r="L2035" s="47"/>
      <c r="M2035" s="47"/>
      <c r="N2035" s="47"/>
      <c r="O2035" s="48"/>
      <c r="P2035" s="47"/>
      <c r="Q2035" s="47"/>
      <c r="R2035" s="47"/>
      <c r="S2035" s="47"/>
      <c r="T2035" s="40"/>
      <c r="AG2035" s="627" t="s">
        <v>277</v>
      </c>
      <c r="AH2035" s="627" t="s">
        <v>278</v>
      </c>
      <c r="AI2035" s="627" t="s">
        <v>279</v>
      </c>
      <c r="AJ2035" s="627" t="s">
        <v>280</v>
      </c>
      <c r="AK2035" s="627" t="s">
        <v>281</v>
      </c>
      <c r="AM2035" s="628" t="s">
        <v>290</v>
      </c>
      <c r="AN2035" s="629" t="s">
        <v>291</v>
      </c>
      <c r="AO2035" s="520" t="s">
        <v>287</v>
      </c>
    </row>
    <row r="2036" spans="1:41" s="519" customFormat="1" ht="12" customHeight="1">
      <c r="A2036" s="630">
        <v>2</v>
      </c>
      <c r="B2036" s="521" t="s">
        <v>312</v>
      </c>
      <c r="C2036" s="631"/>
      <c r="D2036" s="632" t="s">
        <v>970</v>
      </c>
      <c r="E2036" s="633">
        <f ca="1">IF(AND($A2036=0,$A$1="DIF"),0, ROUND(ROUND(($R2041*$S$2+($T2041*$T$2))/A2036,2)*$C$2,2))</f>
        <v>41.96</v>
      </c>
      <c r="F2036" s="634">
        <f ca="1">ROUND($A2036*$E2036,2)</f>
        <v>83.92</v>
      </c>
      <c r="G2036" s="635" t="s">
        <v>142</v>
      </c>
      <c r="H2036" s="636"/>
      <c r="I2036" s="637"/>
      <c r="J2036" s="636"/>
      <c r="K2036" s="636" t="s">
        <v>3</v>
      </c>
      <c r="L2036" s="638" t="s">
        <v>143</v>
      </c>
      <c r="M2036" s="638"/>
      <c r="N2036" s="638"/>
      <c r="O2036" s="638"/>
      <c r="P2036" s="638"/>
      <c r="Q2036" s="47"/>
      <c r="T2036" s="639" t="str">
        <f ca="1">IF(AND($R2041=0,$T2041=0),"0.00","mu :" &amp; ROUND($F2036/$C$2/($R2041+$T2041*$D$9),2))</f>
        <v>mu :1</v>
      </c>
      <c r="W2036" s="522"/>
      <c r="AG2036" s="470">
        <f ca="1">IF($E2036=0,0,ROUND($R2041*$S$2*$C$2/$A2036,2))</f>
        <v>12.3</v>
      </c>
      <c r="AH2036" s="470">
        <f ca="1">$AG2036*$A2036</f>
        <v>24.6</v>
      </c>
      <c r="AI2036" s="523">
        <f ca="1">$E2036-$AG2036</f>
        <v>29.66</v>
      </c>
      <c r="AJ2036" s="523">
        <f ca="1">$A2036*$AI2036</f>
        <v>59.32</v>
      </c>
      <c r="AK2036" s="524">
        <f ca="1">ROUND(($AG2036+$AI2036)*$A2036,2)</f>
        <v>83.92</v>
      </c>
      <c r="AM2036" s="525">
        <f ca="1">ROUND(R2041,2)</f>
        <v>24.6</v>
      </c>
      <c r="AN2036" s="526">
        <f ca="1">ROUND(T2041,2)</f>
        <v>2.16</v>
      </c>
      <c r="AO2036" s="527">
        <f ca="1">ROUND(AM2036+AN2036,2)*A2036</f>
        <v>53.52</v>
      </c>
    </row>
    <row r="2037" spans="1:41" s="519" customFormat="1" ht="13.2">
      <c r="A2037" s="631"/>
      <c r="B2037"/>
      <c r="C2037" s="631"/>
      <c r="D2037" s="632" t="s">
        <v>534</v>
      </c>
      <c r="F2037" s="636"/>
      <c r="G2037" s="3"/>
      <c r="H2037" s="636"/>
      <c r="I2037" s="637"/>
      <c r="J2037" s="636"/>
      <c r="K2037" s="636" t="s">
        <v>144</v>
      </c>
      <c r="L2037" s="636"/>
      <c r="M2037" s="636"/>
      <c r="N2037" s="636"/>
      <c r="O2037" s="636"/>
      <c r="P2037" s="636"/>
      <c r="Q2037" s="47"/>
      <c r="R2037" s="528"/>
      <c r="S2037" s="640"/>
      <c r="T2037" s="636"/>
    </row>
    <row r="2038" spans="1:41" s="956" customFormat="1" ht="13.2">
      <c r="A2038"/>
      <c r="B2038" s="948"/>
      <c r="C2038" s="948" t="s">
        <v>742</v>
      </c>
      <c r="D2038" s="948" t="str">
        <f ca="1">CELL("Address",Elec_Rates!D$138)</f>
        <v>[ELM25_0085_Quintano_Elec_Mech_HVAC_Est_Rev_B.xlsx]Elec_Rates!$D$138</v>
      </c>
      <c r="E2038" s="949"/>
      <c r="F2038" s="949"/>
      <c r="G2038" s="950" t="s">
        <v>743</v>
      </c>
      <c r="H2038" s="950"/>
      <c r="I2038" s="950"/>
      <c r="J2038" s="950"/>
      <c r="K2038" s="951"/>
      <c r="L2038" s="949"/>
      <c r="M2038" s="949"/>
      <c r="N2038" s="949"/>
      <c r="O2038" s="952"/>
      <c r="P2038" s="949"/>
      <c r="Q2038" s="953"/>
      <c r="R2038" s="954"/>
      <c r="S2038" s="953"/>
      <c r="T2038" s="943"/>
      <c r="U2038" s="955"/>
    </row>
    <row r="2039" spans="1:41" s="956" customFormat="1" ht="11.4">
      <c r="A2039" s="957">
        <v>2</v>
      </c>
      <c r="B2039" s="958">
        <v>1</v>
      </c>
      <c r="C2039" s="958">
        <f>$A2039*$B2039</f>
        <v>2</v>
      </c>
      <c r="D2039" s="959" t="str">
        <f>Elec_Rates!$D$138</f>
        <v>000# Empty conduit for thermostat</v>
      </c>
      <c r="E2039" s="959"/>
      <c r="F2039" s="959" t="s">
        <v>744</v>
      </c>
      <c r="G2039" s="960" t="s">
        <v>760</v>
      </c>
      <c r="H2039" s="960"/>
      <c r="I2039" s="960"/>
      <c r="J2039" s="960"/>
      <c r="K2039" s="961"/>
      <c r="L2039" s="955"/>
      <c r="M2039" s="955"/>
      <c r="N2039" s="955"/>
      <c r="O2039" s="962"/>
      <c r="P2039" s="959"/>
      <c r="Q2039" s="963">
        <f ca="1">$B2039*Elec_Rates!$R$138</f>
        <v>12.3</v>
      </c>
      <c r="R2039" s="954">
        <f ca="1">$A2039*Q2039</f>
        <v>24.6</v>
      </c>
      <c r="S2039" s="963">
        <f ca="1">$B2039*Elec_Rates!$T$138</f>
        <v>1.08</v>
      </c>
      <c r="T2039" s="943">
        <f ca="1">$A2039*S2039</f>
        <v>2.16</v>
      </c>
      <c r="U2039" s="501"/>
    </row>
    <row r="2040" spans="1:41" s="519" customFormat="1" ht="12">
      <c r="A2040" s="641"/>
      <c r="B2040" s="641"/>
      <c r="C2040" s="641"/>
      <c r="D2040" s="641"/>
      <c r="E2040" s="641"/>
      <c r="F2040" s="636"/>
      <c r="G2040" s="641"/>
      <c r="H2040" s="641"/>
      <c r="I2040" s="518"/>
      <c r="J2040" s="641"/>
      <c r="K2040" s="641"/>
      <c r="L2040" s="641"/>
      <c r="M2040" s="641"/>
      <c r="N2040" s="641"/>
      <c r="O2040" s="641"/>
      <c r="P2040" s="641"/>
      <c r="Q2040" s="518"/>
      <c r="R2040" s="642">
        <f t="shared" ref="R2040" si="76">$A2040*Q2040</f>
        <v>0</v>
      </c>
      <c r="S2040" s="518"/>
      <c r="T2040" s="643">
        <f t="shared" ref="T2040" si="77">$A2040*S2040*$T$1</f>
        <v>0</v>
      </c>
    </row>
    <row r="2041" spans="1:41" s="519" customFormat="1" ht="12.6" thickBot="1">
      <c r="A2041" s="644" t="s">
        <v>145</v>
      </c>
      <c r="B2041" s="645">
        <f>(R2040+T2040)</f>
        <v>0</v>
      </c>
      <c r="C2041" s="646"/>
      <c r="D2041" s="646"/>
      <c r="E2041" s="646"/>
      <c r="F2041" s="647"/>
      <c r="G2041" s="646" t="s">
        <v>146</v>
      </c>
      <c r="H2041" s="646"/>
      <c r="I2041" s="648"/>
      <c r="J2041" s="646"/>
      <c r="K2041" s="646" t="s">
        <v>3</v>
      </c>
      <c r="L2041" s="649" t="s">
        <v>143</v>
      </c>
      <c r="M2041" s="649"/>
      <c r="N2041" s="649"/>
      <c r="O2041" s="649"/>
      <c r="P2041" s="649"/>
      <c r="Q2041" s="650"/>
      <c r="R2041" s="651">
        <f ca="1">SUM(R2037:R2040)</f>
        <v>24.6</v>
      </c>
      <c r="S2041" s="646"/>
      <c r="T2041" s="651">
        <f ca="1">SUM(T2037:T2040)</f>
        <v>2.16</v>
      </c>
      <c r="U2041" s="529"/>
      <c r="V2041" s="529"/>
      <c r="W2041" s="529"/>
      <c r="X2041" s="529"/>
      <c r="Y2041" s="529"/>
      <c r="Z2041" s="529"/>
      <c r="AA2041" s="529"/>
      <c r="AB2041" s="529"/>
      <c r="AC2041" s="529"/>
      <c r="AD2041" s="529"/>
      <c r="AE2041" s="529"/>
      <c r="AF2041" s="529"/>
      <c r="AG2041" s="529"/>
      <c r="AH2041" s="529"/>
      <c r="AI2041" s="529"/>
      <c r="AJ2041" s="529"/>
      <c r="AK2041" s="529"/>
      <c r="AL2041" s="529"/>
      <c r="AM2041" s="529"/>
      <c r="AN2041" s="529"/>
      <c r="AO2041" s="529"/>
    </row>
    <row r="2042" spans="1:41" s="519" customFormat="1" ht="12" thickTop="1">
      <c r="A2042" s="42" t="s">
        <v>154</v>
      </c>
      <c r="D2042" s="12"/>
      <c r="E2042" s="41"/>
      <c r="O2042" s="654"/>
    </row>
    <row r="2043" spans="1:41" s="519" customFormat="1" ht="13.2">
      <c r="B2043" s="3"/>
      <c r="O2043" s="654"/>
    </row>
    <row r="2044" spans="1:41" s="519" customFormat="1" ht="12">
      <c r="B2044" s="655">
        <f ca="1">$F2044/$C$2-($R2044*$S$2+$T2044*$T$2)</f>
        <v>0.16320000000041546</v>
      </c>
      <c r="D2044" s="656" t="s">
        <v>723</v>
      </c>
      <c r="E2044" s="657"/>
      <c r="F2044" s="658">
        <f ca="1">SUMIF($L1126:$L2042,"ITEM",F1126:F2042)</f>
        <v>2139.9600000000005</v>
      </c>
      <c r="G2044" s="641"/>
      <c r="H2044" s="641"/>
      <c r="I2044" s="518"/>
      <c r="J2044" s="641"/>
      <c r="K2044" s="641"/>
      <c r="L2044" s="638" t="s">
        <v>165</v>
      </c>
      <c r="M2044" s="638"/>
      <c r="N2044" s="638"/>
      <c r="O2044" s="638"/>
      <c r="P2044" s="638"/>
      <c r="R2044" s="658">
        <f ca="1">SUMIF($L1126:$L2042,"ITEM",R1126:R2042)</f>
        <v>627.30000000000007</v>
      </c>
      <c r="S2044" s="50"/>
      <c r="T2044" s="658">
        <f ca="1">SUMIF($L1126:$L2042,"ITEM",T1126:T2042)</f>
        <v>55.08</v>
      </c>
    </row>
    <row r="2045" spans="1:41" s="519" customFormat="1" ht="13.2">
      <c r="A2045" s="47"/>
      <c r="B2045" s="43" t="s">
        <v>344</v>
      </c>
      <c r="C2045" s="47"/>
      <c r="D2045" s="3"/>
      <c r="F2045" s="659" t="s">
        <v>166</v>
      </c>
      <c r="G2045" s="641"/>
      <c r="H2045" s="641"/>
      <c r="I2045" s="518"/>
      <c r="J2045" s="641"/>
      <c r="K2045" s="641"/>
      <c r="L2045" s="641"/>
      <c r="M2045" s="641"/>
      <c r="N2045" s="641"/>
      <c r="O2045" s="641"/>
      <c r="P2045" s="641"/>
      <c r="Q2045" s="653"/>
      <c r="R2045" s="659" t="s">
        <v>167</v>
      </c>
      <c r="S2045" s="37"/>
      <c r="T2045" s="659" t="s">
        <v>168</v>
      </c>
    </row>
    <row r="2046" spans="1:41" s="519" customFormat="1" ht="13.2">
      <c r="A2046" s="641"/>
      <c r="B2046" s="3"/>
      <c r="C2046" s="641"/>
      <c r="D2046" s="3"/>
      <c r="E2046" s="3"/>
      <c r="G2046" s="3"/>
      <c r="H2046" s="3"/>
      <c r="I2046" s="3"/>
      <c r="J2046" s="3"/>
      <c r="K2046" s="3"/>
      <c r="L2046" s="3"/>
      <c r="M2046" s="3"/>
      <c r="N2046" s="3"/>
      <c r="O2046" s="99"/>
      <c r="P2046" s="3"/>
      <c r="Q2046" s="3"/>
      <c r="R2046" s="3"/>
      <c r="S2046" s="3"/>
      <c r="T2046" s="3"/>
    </row>
    <row r="2047" spans="1:41" s="519" customFormat="1" ht="12" thickBot="1">
      <c r="A2047" s="529"/>
      <c r="B2047" s="646"/>
      <c r="C2047" s="646"/>
      <c r="D2047" s="529"/>
      <c r="E2047" s="38"/>
      <c r="F2047" s="660"/>
      <c r="G2047" s="646"/>
      <c r="H2047" s="646"/>
      <c r="I2047" s="648"/>
      <c r="J2047" s="646"/>
      <c r="K2047" s="646"/>
      <c r="L2047" s="649"/>
      <c r="M2047" s="649"/>
      <c r="N2047" s="649"/>
      <c r="O2047" s="649"/>
      <c r="P2047" s="649"/>
      <c r="Q2047" s="650"/>
      <c r="R2047" s="660"/>
      <c r="S2047" s="661"/>
      <c r="T2047" s="660"/>
      <c r="U2047" s="529"/>
      <c r="V2047" s="529"/>
      <c r="W2047" s="529"/>
      <c r="X2047" s="529"/>
      <c r="Y2047" s="529"/>
      <c r="Z2047" s="529"/>
      <c r="AA2047" s="529"/>
      <c r="AB2047" s="529"/>
      <c r="AC2047" s="529"/>
      <c r="AD2047" s="529"/>
      <c r="AE2047" s="529"/>
      <c r="AF2047" s="529"/>
      <c r="AG2047" s="529"/>
      <c r="AH2047" s="529"/>
      <c r="AI2047" s="529"/>
      <c r="AJ2047" s="529"/>
      <c r="AK2047" s="529"/>
    </row>
    <row r="2048" spans="1:41" s="519" customFormat="1" thickTop="1">
      <c r="A2048" s="42" t="s">
        <v>154</v>
      </c>
      <c r="B2048" s="3"/>
      <c r="C2048" s="47"/>
      <c r="D2048" s="47"/>
      <c r="E2048" s="47"/>
      <c r="F2048" s="47"/>
      <c r="G2048" s="47"/>
      <c r="H2048" s="47"/>
      <c r="I2048" s="47"/>
      <c r="J2048" s="47"/>
      <c r="K2048" s="47"/>
      <c r="L2048" s="47"/>
      <c r="M2048" s="47"/>
      <c r="N2048" s="47"/>
      <c r="O2048" s="48"/>
      <c r="P2048" s="47"/>
      <c r="Q2048" s="47"/>
      <c r="R2048" s="47"/>
      <c r="S2048" s="47"/>
      <c r="T2048" s="47"/>
    </row>
    <row r="2049" spans="1:37" s="519" customFormat="1" ht="13.2">
      <c r="A2049" s="47"/>
      <c r="B2049" s="3"/>
      <c r="C2049" s="3"/>
      <c r="E2049" s="3"/>
      <c r="F2049" s="3"/>
      <c r="G2049" s="3"/>
      <c r="H2049" s="3"/>
      <c r="I2049" s="3"/>
      <c r="J2049" s="3"/>
      <c r="K2049" s="3"/>
      <c r="L2049" s="3"/>
      <c r="M2049" s="3"/>
      <c r="N2049" s="3"/>
      <c r="O2049" s="99"/>
      <c r="P2049" s="3"/>
      <c r="Q2049" s="3"/>
      <c r="R2049" s="3"/>
      <c r="S2049" s="3"/>
      <c r="T2049" s="3"/>
    </row>
    <row r="2050" spans="1:37" s="519" customFormat="1" ht="12">
      <c r="A2050" s="47"/>
      <c r="B2050" s="655">
        <f ca="1">$F2050/$C$2-($R2050*$S$2+$T2050*$T$2)</f>
        <v>0.16320000000041546</v>
      </c>
      <c r="C2050" s="47"/>
      <c r="D2050" s="1019" t="s">
        <v>943</v>
      </c>
      <c r="E2050" s="657"/>
      <c r="F2050" s="1020">
        <f ca="1">SUMIF($L1126:$L2048,"PAGE",F1126:F2048)</f>
        <v>2139.9600000000005</v>
      </c>
      <c r="G2050" s="641"/>
      <c r="H2050" s="641"/>
      <c r="I2050" s="518"/>
      <c r="J2050" s="641"/>
      <c r="K2050" s="641"/>
      <c r="L2050" s="105" t="s">
        <v>944</v>
      </c>
      <c r="M2050" s="105"/>
      <c r="N2050" s="105"/>
      <c r="O2050" s="106"/>
      <c r="P2050" s="105"/>
      <c r="Q2050" s="47"/>
      <c r="R2050" s="1020">
        <f ca="1">SUMIF($L1126:$L2048,"PAGE",R1126:R2048)</f>
        <v>627.30000000000007</v>
      </c>
      <c r="S2050" s="47"/>
      <c r="T2050" s="1020">
        <f ca="1">SUMIF($L1126:$L2048,"PAGE",T1126:T2048)</f>
        <v>55.08</v>
      </c>
    </row>
    <row r="2051" spans="1:37" s="519" customFormat="1" ht="12">
      <c r="A2051" s="47"/>
      <c r="B2051" s="43" t="s">
        <v>344</v>
      </c>
      <c r="C2051" s="47"/>
      <c r="D2051" s="1019"/>
      <c r="F2051" s="1021" t="s">
        <v>945</v>
      </c>
      <c r="G2051" s="641"/>
      <c r="H2051" s="641"/>
      <c r="I2051" s="518"/>
      <c r="J2051" s="641"/>
      <c r="K2051" s="641"/>
      <c r="L2051" s="47"/>
      <c r="M2051" s="47"/>
      <c r="N2051" s="47"/>
      <c r="O2051" s="48"/>
      <c r="P2051" s="47"/>
      <c r="Q2051" s="47"/>
      <c r="R2051" s="1021" t="s">
        <v>946</v>
      </c>
      <c r="S2051" s="37"/>
      <c r="T2051" s="1021" t="s">
        <v>947</v>
      </c>
    </row>
    <row r="2052" spans="1:37" s="519" customFormat="1" ht="11.4">
      <c r="O2052" s="654"/>
    </row>
    <row r="2053" spans="1:37" s="519" customFormat="1" ht="12" thickBot="1">
      <c r="A2053" s="646"/>
      <c r="B2053" s="646"/>
      <c r="C2053" s="646"/>
      <c r="D2053" s="646"/>
      <c r="E2053" s="646"/>
      <c r="F2053" s="38"/>
      <c r="G2053" s="529"/>
      <c r="H2053" s="529"/>
      <c r="I2053" s="529"/>
      <c r="J2053" s="529"/>
      <c r="K2053" s="529"/>
      <c r="L2053" s="646"/>
      <c r="M2053" s="646"/>
      <c r="N2053" s="646"/>
      <c r="O2053" s="646"/>
      <c r="P2053" s="646"/>
      <c r="Q2053" s="650"/>
      <c r="R2053" s="38"/>
      <c r="S2053" s="38"/>
      <c r="T2053" s="38"/>
      <c r="U2053" s="529"/>
      <c r="V2053" s="529"/>
      <c r="W2053" s="529"/>
      <c r="X2053" s="529"/>
      <c r="Y2053" s="529"/>
      <c r="Z2053" s="529"/>
      <c r="AA2053" s="529"/>
      <c r="AB2053" s="529"/>
      <c r="AC2053" s="529"/>
      <c r="AD2053" s="529"/>
      <c r="AE2053" s="529"/>
      <c r="AF2053" s="529"/>
      <c r="AG2053" s="529"/>
      <c r="AH2053" s="529"/>
      <c r="AI2053" s="529"/>
      <c r="AJ2053" s="529"/>
      <c r="AK2053" s="529"/>
    </row>
    <row r="2054" spans="1:37" s="519" customFormat="1" ht="14.4" thickTop="1" thickBot="1">
      <c r="A2054" s="42"/>
      <c r="B2054" s="3"/>
      <c r="C2054" s="47"/>
      <c r="D2054" s="3"/>
      <c r="E2054" s="3"/>
      <c r="F2054" s="3"/>
      <c r="G2054" s="3"/>
      <c r="H2054" s="3"/>
      <c r="I2054" s="3"/>
      <c r="J2054" s="3"/>
      <c r="K2054" s="3"/>
      <c r="L2054" s="3"/>
      <c r="M2054" s="3"/>
      <c r="N2054" s="3"/>
      <c r="O2054" s="99"/>
      <c r="P2054" s="3"/>
      <c r="Q2054" s="3"/>
      <c r="R2054" s="3"/>
      <c r="S2054" s="3"/>
      <c r="T2054" s="3"/>
      <c r="AH2054" s="507">
        <f ca="1">SUM(AH$14:AH2047)</f>
        <v>59910.080000000002</v>
      </c>
      <c r="AI2054" s="35"/>
      <c r="AJ2054" s="507">
        <f ca="1">SUM(AJ$14:AJ2047)</f>
        <v>20110.599999999991</v>
      </c>
      <c r="AK2054" s="507">
        <f ca="1">SUM(AK$14:AK2047)</f>
        <v>80020.680000000008</v>
      </c>
    </row>
    <row r="2055" spans="1:37" s="519" customFormat="1" ht="12" thickTop="1">
      <c r="B2055" s="46">
        <f ca="1">$F2055/$C$2-($R2055*$S$2+$T2055*$T$2)</f>
        <v>9.4000000026426278E-3</v>
      </c>
      <c r="C2055" s="519" t="s">
        <v>73</v>
      </c>
      <c r="D2055" s="871"/>
      <c r="E2055" s="871" t="str">
        <f>$F$2 &amp; " (mu_A) :"</f>
        <v>Electrical (mu_A) :</v>
      </c>
      <c r="F2055" s="872">
        <f ca="1">SUMIF($K$13:$K2054,"mu_A",F$13:F2054)</f>
        <v>47306.659999999982</v>
      </c>
      <c r="O2055" s="654"/>
      <c r="R2055" s="873">
        <f ca="1">SUMIF($K$13:$K2054,"mu_A",$R$13:$R2054)</f>
        <v>30106.804999999989</v>
      </c>
      <c r="T2055" s="873">
        <f ca="1">SUMIF($K$13:$K2054,"mu_A",$T$13:$T2054)</f>
        <v>626.35999999999979</v>
      </c>
      <c r="AH2055" s="874">
        <f ca="1">R2055*$S$2</f>
        <v>30106.804999999989</v>
      </c>
      <c r="AJ2055" s="874">
        <f ca="1">T2055*$T$2</f>
        <v>17199.845599999993</v>
      </c>
    </row>
    <row r="2056" spans="1:37" s="519" customFormat="1" ht="11.4">
      <c r="B2056" s="46">
        <f ca="1">$F2056/$C$3-($R2056*$S$3+$T2056*$T$3)</f>
        <v>-9.0000000003783498E-2</v>
      </c>
      <c r="C2056" s="519" t="s">
        <v>73</v>
      </c>
      <c r="D2056" s="871"/>
      <c r="E2056" s="871" t="str">
        <f>$F$3&amp; " (mu_B) :"</f>
        <v>ECA (mu_B) :</v>
      </c>
      <c r="F2056" s="875">
        <f ca="1">SUMIF($K$13:$K2054,"mu_B",F$13:F2054)</f>
        <v>32713.9</v>
      </c>
      <c r="G2056" s="641"/>
      <c r="H2056" s="641"/>
      <c r="I2056" s="518"/>
      <c r="J2056" s="641"/>
      <c r="K2056" s="641"/>
      <c r="L2056" s="641"/>
      <c r="M2056" s="641"/>
      <c r="N2056" s="641"/>
      <c r="O2056" s="641"/>
      <c r="P2056" s="641"/>
      <c r="Q2056" s="653"/>
      <c r="R2056" s="876">
        <f>SUMIF($K$13:$K2054,"mu_B",$R$13:$R2054)</f>
        <v>29803.230000000003</v>
      </c>
      <c r="S2056" s="49"/>
      <c r="T2056" s="876">
        <f>SUMIF($K$13:$K2054,"mu_B",$T$13:$T2054)</f>
        <v>106</v>
      </c>
      <c r="AH2056" s="877">
        <f>R2056*$S$3</f>
        <v>29803.230000000003</v>
      </c>
      <c r="AJ2056" s="877">
        <f>T2056*$T$3</f>
        <v>2910.76</v>
      </c>
    </row>
    <row r="2057" spans="1:37" s="519" customFormat="1" ht="11.4">
      <c r="B2057" s="46">
        <f ca="1">$F2057/$C$4-($R2057*$S$4+$T2057*$T$4)</f>
        <v>0.12000000000004718</v>
      </c>
      <c r="C2057" s="519" t="s">
        <v>73</v>
      </c>
      <c r="D2057" s="871"/>
      <c r="E2057" s="871" t="str">
        <f>$F$4&amp; " (mu_C) :"</f>
        <v>0 (mu_C) :</v>
      </c>
      <c r="F2057" s="878">
        <f ca="1">SUMIF($K$13:$K2054,"mu_C",F$13:F2054)</f>
        <v>0.12000000000004718</v>
      </c>
      <c r="G2057" s="641"/>
      <c r="H2057" s="641"/>
      <c r="I2057" s="518"/>
      <c r="J2057" s="641"/>
      <c r="K2057" s="641"/>
      <c r="L2057" s="652"/>
      <c r="M2057" s="652"/>
      <c r="N2057" s="652"/>
      <c r="O2057" s="652"/>
      <c r="P2057" s="652"/>
      <c r="R2057" s="876">
        <f>SUMIF($K$13:$K2054,"mu_C",$R$13:$R2054)</f>
        <v>0</v>
      </c>
      <c r="S2057" s="50"/>
      <c r="T2057" s="876">
        <f>SUMIF($K$13:$K2054,"mu_C",$T$13:$T2054)</f>
        <v>0</v>
      </c>
      <c r="AH2057" s="879">
        <f>R2057*$S$4</f>
        <v>0</v>
      </c>
      <c r="AJ2057" s="879">
        <f>T2057*$T$4</f>
        <v>0</v>
      </c>
    </row>
    <row r="2058" spans="1:37" s="519" customFormat="1" ht="11.4">
      <c r="B2058" s="46">
        <f>$F2058/$C$5-($R2058*$S$5+$T2058*$T$5)</f>
        <v>0</v>
      </c>
      <c r="C2058" s="519" t="s">
        <v>73</v>
      </c>
      <c r="D2058" s="871"/>
      <c r="E2058" s="871" t="str">
        <f>$F$5&amp; " (mu_D) :"</f>
        <v>0 (mu_D) :</v>
      </c>
      <c r="F2058" s="880">
        <f>SUMIF($K$13:$K2054,"mu_D",F$13:F2054)</f>
        <v>0</v>
      </c>
      <c r="G2058" s="641"/>
      <c r="H2058" s="641"/>
      <c r="I2058" s="518"/>
      <c r="J2058" s="641"/>
      <c r="K2058" s="641"/>
      <c r="L2058" s="652"/>
      <c r="M2058" s="652"/>
      <c r="N2058" s="652"/>
      <c r="O2058" s="652"/>
      <c r="P2058" s="652"/>
      <c r="R2058" s="876">
        <f>SUMIF($K$13:$K2054,"mu_D",$R$13:$R2054)</f>
        <v>0</v>
      </c>
      <c r="S2058" s="50"/>
      <c r="T2058" s="876">
        <f>SUMIF($K$13:$K2054,"mu_D",$T$13:$T2054)</f>
        <v>0</v>
      </c>
      <c r="AH2058" s="881">
        <f>R2058*$S$5</f>
        <v>0</v>
      </c>
      <c r="AJ2058" s="881">
        <f>T2058*$T$5</f>
        <v>0</v>
      </c>
    </row>
    <row r="2059" spans="1:37" s="519" customFormat="1" ht="11.4">
      <c r="B2059" s="46">
        <f>$F2059/$C$6-($R2059*$S$6+$T2059*$T$6)</f>
        <v>0</v>
      </c>
      <c r="C2059" s="519" t="s">
        <v>73</v>
      </c>
      <c r="D2059" s="871"/>
      <c r="E2059" s="871" t="str">
        <f>$F$6&amp; " (mu_E) :"</f>
        <v>0 (mu_E) :</v>
      </c>
      <c r="F2059" s="882">
        <f>SUMIF($K$13:$K2054,"mu_E",F$13:F2054)</f>
        <v>0</v>
      </c>
      <c r="G2059" s="641"/>
      <c r="H2059" s="641"/>
      <c r="I2059" s="518"/>
      <c r="J2059" s="641"/>
      <c r="K2059" s="641"/>
      <c r="L2059" s="652"/>
      <c r="M2059" s="652"/>
      <c r="N2059" s="652"/>
      <c r="O2059" s="652"/>
      <c r="P2059" s="652"/>
      <c r="R2059" s="876">
        <f>SUMIF($K$13:$K2054,"mu_E",$R$13:$R2054)</f>
        <v>0</v>
      </c>
      <c r="S2059" s="50"/>
      <c r="T2059" s="876">
        <f>SUMIF($K$13:$K2054,"mu_E",$T$13:$T2054)</f>
        <v>0</v>
      </c>
      <c r="AH2059" s="883">
        <f>R2059*$S$6</f>
        <v>0</v>
      </c>
      <c r="AJ2059" s="883">
        <f>T2059*$T$6</f>
        <v>0</v>
      </c>
    </row>
    <row r="2060" spans="1:37" s="519" customFormat="1" ht="11.4">
      <c r="B2060" s="46">
        <f>$F2060/$C$7-($R2060*$S$7+$T2060*$T$7)</f>
        <v>0</v>
      </c>
      <c r="C2060" s="519" t="s">
        <v>73</v>
      </c>
      <c r="D2060" s="871"/>
      <c r="E2060" s="871" t="str">
        <f>$F$7&amp; " (mu_F) :"</f>
        <v>0 (mu_F) :</v>
      </c>
      <c r="F2060" s="884">
        <f>SUMIF($K$13:$K2054,"mu_F",F$13:F2054)</f>
        <v>0</v>
      </c>
      <c r="G2060" s="641"/>
      <c r="H2060" s="641"/>
      <c r="I2060" s="518"/>
      <c r="J2060" s="641"/>
      <c r="K2060" s="641"/>
      <c r="L2060" s="652"/>
      <c r="M2060" s="652"/>
      <c r="N2060" s="652"/>
      <c r="O2060" s="652"/>
      <c r="P2060" s="652"/>
      <c r="R2060" s="876">
        <f>SUMIF($K$13:$K2054,"mu_F",$R$13:$R2054)</f>
        <v>0</v>
      </c>
      <c r="S2060" s="50"/>
      <c r="T2060" s="876">
        <f>SUMIF($K$13:$K2054,"mu_F",$T$13:$T2054)</f>
        <v>0</v>
      </c>
      <c r="AH2060" s="465">
        <f>R2060*$S$7</f>
        <v>0</v>
      </c>
      <c r="AJ2060" s="465">
        <f>T2060*$T$7</f>
        <v>0</v>
      </c>
    </row>
    <row r="2061" spans="1:37" s="519" customFormat="1" ht="11.4">
      <c r="B2061" s="46">
        <f>$F2061/$C$8-($R2061*$S$8+$T2061*$T$8)</f>
        <v>0</v>
      </c>
      <c r="C2061" s="519" t="s">
        <v>73</v>
      </c>
      <c r="D2061" s="871"/>
      <c r="E2061" s="871" t="str">
        <f>$F$8&amp; " (mu_G) :"</f>
        <v>0 (mu_G) :</v>
      </c>
      <c r="F2061" s="885">
        <f>SUMIF($K$13:$K2054,"mu_G",F$13:F2054)</f>
        <v>0</v>
      </c>
      <c r="G2061" s="641"/>
      <c r="H2061" s="641"/>
      <c r="I2061" s="518"/>
      <c r="J2061" s="641"/>
      <c r="K2061" s="641"/>
      <c r="L2061" s="652"/>
      <c r="M2061" s="652"/>
      <c r="N2061" s="652"/>
      <c r="O2061" s="652"/>
      <c r="P2061" s="652"/>
      <c r="R2061" s="876">
        <f>SUMIF($K$13:$K2054,"mu_G",$R$13:$R2054)</f>
        <v>0</v>
      </c>
      <c r="S2061" s="50"/>
      <c r="T2061" s="876">
        <f>SUMIF($K$13:$K2054,"mu_G",$T$13:$T2054)</f>
        <v>0</v>
      </c>
      <c r="AH2061" s="886">
        <f>R2061*$S$8</f>
        <v>0</v>
      </c>
      <c r="AJ2061" s="886">
        <f>T2061*$T$8</f>
        <v>0</v>
      </c>
    </row>
    <row r="2062" spans="1:37" s="519" customFormat="1" ht="11.4">
      <c r="B2062" s="46">
        <f>$F2062/$C$9-($R2062*$S$9+$T2062*$T$9)</f>
        <v>0</v>
      </c>
      <c r="C2062" s="519" t="s">
        <v>73</v>
      </c>
      <c r="D2062" s="871"/>
      <c r="E2062" s="871" t="str">
        <f>$F$9&amp; " (mu_H) :"</f>
        <v>0 (mu_H) :</v>
      </c>
      <c r="F2062" s="887">
        <f>SUMIF($K$13:$K2054,"mu_H",F$13:F2054)</f>
        <v>0</v>
      </c>
      <c r="G2062" s="641"/>
      <c r="H2062" s="641"/>
      <c r="I2062" s="518"/>
      <c r="J2062" s="641"/>
      <c r="K2062" s="641"/>
      <c r="L2062" s="652"/>
      <c r="M2062" s="652"/>
      <c r="N2062" s="652"/>
      <c r="O2062" s="652"/>
      <c r="P2062" s="652"/>
      <c r="R2062" s="876">
        <f>SUMIF($K$13:$K2054,"mu_H",$R$13:$R2054)</f>
        <v>0</v>
      </c>
      <c r="S2062" s="50"/>
      <c r="T2062" s="876">
        <f>SUMIF($K$13:$K2054,"mu_H",$T$13:$T2054)</f>
        <v>0</v>
      </c>
      <c r="AH2062" s="888">
        <f>R2062*$S$9</f>
        <v>0</v>
      </c>
      <c r="AJ2062" s="888">
        <f>T2062*$T$9</f>
        <v>0</v>
      </c>
    </row>
    <row r="2063" spans="1:37" s="519" customFormat="1" ht="11.4">
      <c r="B2063" s="46">
        <f>$F2063/$C$10-($R2063*$S$10+$T2063*$T$10)</f>
        <v>0</v>
      </c>
      <c r="C2063" s="519" t="s">
        <v>73</v>
      </c>
      <c r="D2063" s="871"/>
      <c r="E2063" s="871" t="str">
        <f>$F$10&amp; " (mu_I) :"</f>
        <v>0 (mu_I) :</v>
      </c>
      <c r="F2063" s="889">
        <f>SUMIF($K$13:$K2054,"mu_I",F$13:F2054)</f>
        <v>0</v>
      </c>
      <c r="G2063" s="641"/>
      <c r="H2063" s="641"/>
      <c r="I2063" s="518"/>
      <c r="J2063" s="641"/>
      <c r="K2063" s="641"/>
      <c r="L2063" s="652"/>
      <c r="M2063" s="652"/>
      <c r="N2063" s="652"/>
      <c r="O2063" s="652"/>
      <c r="P2063" s="652"/>
      <c r="R2063" s="876">
        <f>SUMIF($K$13:$K2054,"mu_I",$R$13:$R2054)</f>
        <v>0</v>
      </c>
      <c r="S2063" s="50"/>
      <c r="T2063" s="876">
        <f>SUMIF($K$13:$K2054,"mu_I",$T$13:$T2054)</f>
        <v>0</v>
      </c>
      <c r="AH2063" s="890">
        <f>R2063*$S$10</f>
        <v>0</v>
      </c>
      <c r="AJ2063" s="890">
        <f>T2063*$T$10</f>
        <v>0</v>
      </c>
    </row>
    <row r="2064" spans="1:37" s="519" customFormat="1" ht="11.4">
      <c r="B2064" s="46">
        <f>$F2064/$C$11-($R2064*$S$11+$T2064*$T$11)</f>
        <v>0</v>
      </c>
      <c r="D2064" s="871"/>
      <c r="E2064" s="871" t="str">
        <f>$F$10&amp; " (mu_J) :"</f>
        <v>0 (mu_J) :</v>
      </c>
      <c r="F2064" s="891">
        <f>SUMIF($K$13:$K2054,"mu_J",F$13:F2054)</f>
        <v>0</v>
      </c>
      <c r="G2064" s="641"/>
      <c r="H2064" s="641"/>
      <c r="I2064" s="518"/>
      <c r="J2064" s="641"/>
      <c r="K2064" s="641"/>
      <c r="L2064" s="652"/>
      <c r="M2064" s="652"/>
      <c r="N2064" s="652"/>
      <c r="O2064" s="652"/>
      <c r="P2064" s="652"/>
      <c r="R2064" s="876">
        <f>SUMIF($K$13:$K2054,"mu_J",$R$13:$R2054)</f>
        <v>0</v>
      </c>
      <c r="S2064" s="50"/>
      <c r="T2064" s="876">
        <f>SUMIF($K$13:$K2054,"mu_J",$T$13:$T2054)</f>
        <v>0</v>
      </c>
      <c r="AH2064" s="892">
        <f>R2064*$S$11</f>
        <v>0</v>
      </c>
      <c r="AJ2064" s="892">
        <f>T2064*$T$11</f>
        <v>0</v>
      </c>
    </row>
    <row r="2065" spans="1:37" s="519" customFormat="1" ht="14.4" thickBot="1">
      <c r="A2065" s="893"/>
      <c r="B2065" s="893"/>
      <c r="C2065" s="894" t="s">
        <v>148</v>
      </c>
      <c r="D2065" s="895"/>
      <c r="E2065" s="896" t="s">
        <v>149</v>
      </c>
      <c r="F2065" s="897">
        <f ca="1">SUM(F2055:F2064)</f>
        <v>80020.679999999978</v>
      </c>
      <c r="G2065" s="898"/>
      <c r="H2065" s="898"/>
      <c r="I2065" s="899"/>
      <c r="J2065" s="898"/>
      <c r="K2065" s="898"/>
      <c r="L2065" s="900"/>
      <c r="M2065" s="900"/>
      <c r="N2065" s="900"/>
      <c r="O2065" s="900"/>
      <c r="P2065" s="900"/>
      <c r="Q2065" s="901"/>
      <c r="R2065" s="901">
        <f ca="1">SUM(R2055:R2064)</f>
        <v>59910.034999999989</v>
      </c>
      <c r="S2065" s="51"/>
      <c r="T2065" s="901">
        <f ca="1">SUM(T2055:T2064)</f>
        <v>732.35999999999979</v>
      </c>
      <c r="U2065" s="529"/>
      <c r="V2065" s="529"/>
      <c r="W2065" s="529"/>
      <c r="X2065" s="529"/>
      <c r="Y2065" s="529"/>
      <c r="Z2065" s="529"/>
      <c r="AA2065" s="529"/>
      <c r="AB2065" s="529"/>
      <c r="AC2065" s="529"/>
      <c r="AD2065" s="529"/>
      <c r="AE2065" s="529"/>
      <c r="AF2065" s="529"/>
      <c r="AG2065" s="529"/>
      <c r="AH2065" s="507">
        <f ca="1">SUM(AH2055:AH2064)</f>
        <v>59910.034999999989</v>
      </c>
      <c r="AI2065" s="506"/>
      <c r="AJ2065" s="507">
        <f ca="1">SUM(AJ2055:AJ2064)</f>
        <v>20110.605599999995</v>
      </c>
      <c r="AK2065" s="507">
        <f ca="1">AH2065+AJ2065</f>
        <v>80020.640599999984</v>
      </c>
    </row>
    <row r="2066" spans="1:37" s="519" customFormat="1" ht="14.4" thickTop="1">
      <c r="A2066" s="512"/>
      <c r="B2066" s="512"/>
      <c r="C2066" s="902"/>
      <c r="D2066" s="903"/>
      <c r="E2066" s="659"/>
      <c r="F2066" s="904"/>
      <c r="G2066" s="637"/>
      <c r="H2066" s="637"/>
      <c r="I2066" s="637"/>
      <c r="J2066" s="637"/>
      <c r="K2066" s="637"/>
      <c r="L2066" s="905"/>
      <c r="M2066" s="905"/>
      <c r="N2066" s="905"/>
      <c r="O2066" s="905"/>
      <c r="P2066" s="905"/>
      <c r="Q2066" s="904"/>
      <c r="R2066" s="904"/>
      <c r="S2066" s="52"/>
      <c r="T2066" s="904"/>
      <c r="AH2066" s="505">
        <f ca="1">AH2054-AH2065</f>
        <v>4.5000000012805685E-2</v>
      </c>
      <c r="AI2066" s="35"/>
      <c r="AJ2066" s="505">
        <f ca="1">AJ2054-AJ2065</f>
        <v>-5.6000000040512532E-3</v>
      </c>
      <c r="AK2066" s="505">
        <f ca="1">AK2054-AK2065</f>
        <v>3.9400000023306347E-2</v>
      </c>
    </row>
    <row r="2067" spans="1:37" s="519" customFormat="1" ht="12.6" thickBot="1">
      <c r="A2067" s="54"/>
      <c r="B2067" s="906" t="s">
        <v>720</v>
      </c>
      <c r="C2067" s="47"/>
      <c r="D2067" s="53"/>
      <c r="E2067" s="37" t="s">
        <v>169</v>
      </c>
      <c r="F2067" s="907"/>
      <c r="G2067" s="528"/>
      <c r="H2067" s="528"/>
      <c r="I2067" s="528"/>
      <c r="J2067" s="528"/>
      <c r="K2067" s="528"/>
      <c r="L2067" s="904" t="s">
        <v>150</v>
      </c>
      <c r="M2067" s="904"/>
      <c r="N2067" s="904"/>
      <c r="O2067" s="904"/>
      <c r="P2067" s="904"/>
      <c r="Q2067" s="528"/>
      <c r="R2067" s="869">
        <f ca="1">SUMIF($L$14:$L2054,"",R$14:R2054)</f>
        <v>59910.034999999989</v>
      </c>
      <c r="S2067" s="908"/>
      <c r="T2067" s="869">
        <f ca="1">SUMIF($L$14:$L2054,"",T$14:T2054)</f>
        <v>732.35999999999979</v>
      </c>
    </row>
    <row r="2068" spans="1:37" s="519" customFormat="1" ht="12">
      <c r="A2068" s="54"/>
      <c r="B2068" s="906" t="s">
        <v>721</v>
      </c>
      <c r="C2068" s="47"/>
      <c r="D2068" s="47"/>
      <c r="E2068" s="49"/>
      <c r="F2068" s="528"/>
      <c r="G2068" s="528"/>
      <c r="H2068" s="528"/>
      <c r="I2068" s="528"/>
      <c r="J2068" s="528"/>
      <c r="K2068" s="528"/>
      <c r="L2068" s="528"/>
      <c r="M2068" s="528"/>
      <c r="N2068" s="528"/>
      <c r="O2068" s="528"/>
      <c r="P2068" s="528"/>
      <c r="Q2068" s="528"/>
      <c r="R2068" s="528"/>
      <c r="S2068" s="528"/>
      <c r="T2068" s="528"/>
    </row>
    <row r="2069" spans="1:37" s="519" customFormat="1" ht="12.6" thickBot="1">
      <c r="A2069" s="307"/>
      <c r="B2069" s="909">
        <f ca="1">$F2069/$C$2-($R2069*$S$2+$T2069*$T$2)</f>
        <v>3.9400000008754432E-2</v>
      </c>
      <c r="C2069" s="47"/>
      <c r="D2069" s="53"/>
      <c r="E2069" s="37" t="s">
        <v>722</v>
      </c>
      <c r="F2069" s="910">
        <f ca="1">SUMIF($L$14:$L2054,"ITEM",F$14:F2054)</f>
        <v>80020.680000000008</v>
      </c>
      <c r="G2069" s="528"/>
      <c r="H2069" s="528"/>
      <c r="I2069" s="528"/>
      <c r="J2069" s="528"/>
      <c r="K2069" s="528"/>
      <c r="L2069" s="904" t="s">
        <v>151</v>
      </c>
      <c r="M2069" s="904"/>
      <c r="N2069" s="904"/>
      <c r="O2069" s="904"/>
      <c r="P2069" s="904"/>
      <c r="Q2069" s="908"/>
      <c r="R2069" s="870">
        <f ca="1">SUMIF($L$14:$L2054,"ITEM",R$14:R2054)</f>
        <v>59910.035000000003</v>
      </c>
      <c r="S2069" s="911"/>
      <c r="T2069" s="870">
        <f ca="1">SUMIF($L$14:$L2054,"ITEM",T$14:T2054)</f>
        <v>732.35999999999979</v>
      </c>
    </row>
    <row r="2070" spans="1:37" s="519" customFormat="1" ht="11.4">
      <c r="A2070" s="307"/>
      <c r="B2070" s="912"/>
      <c r="C2070" s="641"/>
      <c r="D2070" s="47"/>
      <c r="E2070" s="49"/>
      <c r="F2070" s="528"/>
      <c r="G2070" s="528"/>
      <c r="H2070" s="528"/>
      <c r="I2070" s="528"/>
      <c r="J2070" s="528"/>
      <c r="K2070" s="528"/>
      <c r="L2070" s="528"/>
      <c r="M2070" s="528"/>
      <c r="N2070" s="528"/>
      <c r="O2070" s="528"/>
      <c r="P2070" s="528"/>
      <c r="Q2070" s="528"/>
      <c r="R2070" s="528"/>
      <c r="S2070" s="528"/>
      <c r="T2070" s="528"/>
    </row>
    <row r="2071" spans="1:37" s="519" customFormat="1" thickBot="1">
      <c r="A2071" s="307"/>
      <c r="B2071" s="909">
        <f ca="1">$F2071/$C$2-($R2071*$S$2+$T2071*$T$2)</f>
        <v>3.9399999994202517E-2</v>
      </c>
      <c r="C2071" s="47"/>
      <c r="D2071" s="913"/>
      <c r="E2071" s="914" t="s">
        <v>152</v>
      </c>
      <c r="F2071" s="915">
        <f ca="1">SUMIF($L$14:$L2054,"PAGE",F$14:F2054)</f>
        <v>80020.680000000008</v>
      </c>
      <c r="G2071" s="518"/>
      <c r="H2071" s="518"/>
      <c r="I2071" s="518"/>
      <c r="J2071" s="518"/>
      <c r="K2071" s="528"/>
      <c r="L2071" s="905" t="s">
        <v>153</v>
      </c>
      <c r="M2071" s="905"/>
      <c r="N2071" s="905"/>
      <c r="O2071" s="905"/>
      <c r="P2071" s="905"/>
      <c r="Q2071" s="908"/>
      <c r="R2071" s="916">
        <f ca="1">SUMIF($L$14:$L2054,"PAGE",R$14:R2054)</f>
        <v>59910.035000000003</v>
      </c>
      <c r="S2071" s="917"/>
      <c r="T2071" s="916">
        <f ca="1">SUMIF($L$14:$L2054,"PAGE",T$14:T2054)</f>
        <v>732.36</v>
      </c>
    </row>
    <row r="2072" spans="1:37" s="519" customFormat="1" ht="11.4">
      <c r="A2072" s="307"/>
      <c r="B2072" s="909"/>
      <c r="C2072" s="47"/>
      <c r="D2072" s="47"/>
      <c r="E2072" s="49"/>
      <c r="F2072" s="528"/>
      <c r="G2072" s="528"/>
      <c r="H2072" s="528"/>
      <c r="I2072" s="528"/>
      <c r="J2072" s="528"/>
      <c r="K2072" s="528"/>
      <c r="L2072" s="528"/>
      <c r="M2072" s="528"/>
      <c r="N2072" s="528"/>
      <c r="O2072" s="528"/>
      <c r="P2072" s="528"/>
      <c r="Q2072" s="528"/>
      <c r="R2072" s="528"/>
      <c r="S2072" s="528"/>
      <c r="T2072" s="528"/>
    </row>
    <row r="2073" spans="1:37" s="519" customFormat="1" ht="12.6" thickBot="1">
      <c r="A2073" s="308" t="s">
        <v>154</v>
      </c>
      <c r="B2073" s="909">
        <f ca="1">$F2073/$C$2-($R2073*$S$2+$T2073*$T$2)</f>
        <v>3.9399999994202517E-2</v>
      </c>
      <c r="C2073" s="47"/>
      <c r="D2073" s="636"/>
      <c r="E2073" s="914" t="s">
        <v>155</v>
      </c>
      <c r="F2073" s="918">
        <f ca="1">SUMIF($L$14:$L2054,"SECT",F$14:F2054)</f>
        <v>80020.680000000008</v>
      </c>
      <c r="G2073" s="518"/>
      <c r="H2073" s="518"/>
      <c r="I2073" s="518"/>
      <c r="J2073" s="518"/>
      <c r="K2073" s="528"/>
      <c r="L2073" s="904" t="s">
        <v>156</v>
      </c>
      <c r="M2073" s="904"/>
      <c r="N2073" s="904"/>
      <c r="O2073" s="904"/>
      <c r="P2073" s="904"/>
      <c r="Q2073" s="908"/>
      <c r="R2073" s="919">
        <f ca="1">SUMIF($L$14:$L2054,"SECT",R$14:R2054)</f>
        <v>59910.035000000003</v>
      </c>
      <c r="S2073" s="908"/>
      <c r="T2073" s="919">
        <f ca="1">SUMIF($L$14:$L2054,"SECT",T$14:T2054)</f>
        <v>732.36</v>
      </c>
    </row>
    <row r="2074" spans="1:37" s="519" customFormat="1" thickBot="1">
      <c r="A2074" s="55" t="s">
        <v>157</v>
      </c>
      <c r="B2074" s="38"/>
      <c r="C2074" s="3"/>
      <c r="D2074" s="38"/>
      <c r="E2074" s="38"/>
      <c r="F2074" s="920"/>
      <c r="G2074" s="921"/>
      <c r="H2074" s="921"/>
      <c r="I2074" s="921"/>
      <c r="J2074" s="921"/>
      <c r="K2074" s="921"/>
      <c r="L2074" s="921"/>
      <c r="M2074" s="921"/>
      <c r="N2074" s="921"/>
      <c r="O2074" s="921"/>
      <c r="P2074" s="921"/>
      <c r="Q2074" s="921"/>
      <c r="R2074" s="920">
        <f ca="1">R2073-R2075</f>
        <v>1.6499999990628567E-2</v>
      </c>
      <c r="S2074" s="56"/>
      <c r="T2074" s="920">
        <f ca="1">T2073-T2075</f>
        <v>8.8333333333252995E-2</v>
      </c>
      <c r="U2074" s="529"/>
      <c r="V2074" s="529"/>
      <c r="W2074" s="529"/>
      <c r="X2074" s="529"/>
      <c r="Y2074" s="529"/>
      <c r="Z2074" s="529"/>
      <c r="AA2074" s="529"/>
      <c r="AB2074" s="529"/>
      <c r="AC2074" s="529"/>
      <c r="AD2074" s="529"/>
      <c r="AE2074" s="529"/>
      <c r="AF2074" s="529"/>
      <c r="AG2074" s="529"/>
      <c r="AH2074" s="529"/>
      <c r="AI2074" s="529"/>
      <c r="AJ2074" s="529"/>
      <c r="AK2074" s="529"/>
    </row>
    <row r="2075" spans="1:37" ht="14.4" thickTop="1">
      <c r="A2075" s="57"/>
      <c r="B2075" s="499" t="s">
        <v>71</v>
      </c>
      <c r="C2075" s="5"/>
      <c r="D2075" s="58"/>
      <c r="E2075" s="59" t="s">
        <v>158</v>
      </c>
      <c r="F2075" s="60"/>
      <c r="G2075" s="60"/>
      <c r="H2075" s="60"/>
      <c r="I2075" s="60"/>
      <c r="J2075" s="60"/>
      <c r="K2075" s="60"/>
      <c r="L2075" s="60"/>
      <c r="M2075" s="60"/>
      <c r="N2075" s="60"/>
      <c r="O2075" s="61"/>
      <c r="P2075" s="60"/>
      <c r="Q2075" s="62"/>
      <c r="R2075" s="63">
        <f ca="1">SUM(R2076:R2131)</f>
        <v>59910.018500000013</v>
      </c>
      <c r="S2075" s="64"/>
      <c r="T2075" s="63">
        <f ca="1">SUM(T2076:T2131)</f>
        <v>732.27166666666676</v>
      </c>
    </row>
    <row r="2076" spans="1:37">
      <c r="A2076" s="65"/>
      <c r="B2076" s="469">
        <v>1</v>
      </c>
      <c r="C2076" s="5" t="s">
        <v>73</v>
      </c>
      <c r="D2076" s="35" t="s">
        <v>74</v>
      </c>
      <c r="F2076" s="66">
        <v>501</v>
      </c>
      <c r="O2076" s="67"/>
      <c r="P2076" s="35">
        <v>1</v>
      </c>
      <c r="R2076" s="68">
        <f ca="1">SUMIF($H$13:$H$2054,$F2076,R$13:R$2054)+Elec_Rates!R150</f>
        <v>1000.866</v>
      </c>
      <c r="S2076" s="69"/>
      <c r="T2076" s="68">
        <f ca="1">SUMIF($H$13:$H$2054,$F2076,T$13:T$2054)+Elec_Rates!T150</f>
        <v>6.0416666666666661</v>
      </c>
    </row>
    <row r="2077" spans="1:37">
      <c r="A2077" s="65"/>
      <c r="B2077" s="469">
        <v>2</v>
      </c>
      <c r="C2077" s="5" t="s">
        <v>73</v>
      </c>
      <c r="D2077" s="35" t="s">
        <v>75</v>
      </c>
      <c r="F2077" s="66">
        <v>505</v>
      </c>
      <c r="O2077" s="67"/>
      <c r="P2077" s="35">
        <v>1</v>
      </c>
      <c r="R2077" s="68">
        <f>SUMIF($H$13:$H$2054,$F2077,R$13:R$2054)+Elec_Rates!R151</f>
        <v>0</v>
      </c>
      <c r="S2077" s="69"/>
      <c r="T2077" s="68">
        <f>SUMIF($H$13:$H$2054,$F2077,T$13:T$2054)+Elec_Rates!T151</f>
        <v>0</v>
      </c>
    </row>
    <row r="2078" spans="1:37">
      <c r="A2078" s="65"/>
      <c r="B2078" s="469">
        <v>3</v>
      </c>
      <c r="C2078" s="5" t="s">
        <v>73</v>
      </c>
      <c r="D2078" s="35" t="s">
        <v>76</v>
      </c>
      <c r="F2078" s="66">
        <v>510</v>
      </c>
      <c r="O2078" s="67"/>
      <c r="P2078" s="35">
        <v>2</v>
      </c>
      <c r="R2078" s="68">
        <f>SUMIF($H$13:$H$2054,$F2078,R$13:R$2054)+Elec_Rates!R152</f>
        <v>0</v>
      </c>
      <c r="S2078" s="69"/>
      <c r="T2078" s="68">
        <f>SUMIF($H$13:$H$2054,$F2078,T$13:T$2054)+Elec_Rates!T152</f>
        <v>0</v>
      </c>
    </row>
    <row r="2079" spans="1:37">
      <c r="A2079" s="65"/>
      <c r="B2079" s="469">
        <v>4</v>
      </c>
      <c r="C2079" s="5" t="s">
        <v>73</v>
      </c>
      <c r="D2079" s="35" t="s">
        <v>77</v>
      </c>
      <c r="F2079" s="66">
        <v>511</v>
      </c>
      <c r="O2079" s="67"/>
      <c r="P2079" s="35">
        <v>2</v>
      </c>
      <c r="R2079" s="68">
        <f>SUMIF($H$13:$H$2054,$F2079,R$13:R$2054)+Elec_Rates!R153</f>
        <v>0</v>
      </c>
      <c r="S2079" s="69"/>
      <c r="T2079" s="68">
        <f>SUMIF($H$13:$H$2054,$F2079,T$13:T$2054)+Elec_Rates!T153</f>
        <v>0</v>
      </c>
    </row>
    <row r="2080" spans="1:37">
      <c r="A2080" s="65"/>
      <c r="B2080" s="469">
        <v>5</v>
      </c>
      <c r="C2080" s="5" t="s">
        <v>73</v>
      </c>
      <c r="D2080" s="35" t="s">
        <v>78</v>
      </c>
      <c r="F2080" s="66">
        <v>512</v>
      </c>
      <c r="O2080" s="67"/>
      <c r="P2080" s="35">
        <v>2</v>
      </c>
      <c r="R2080" s="68">
        <f>SUMIF($H$13:$H$2054,$F2080,R$13:R$2054)+Elec_Rates!R154</f>
        <v>100</v>
      </c>
      <c r="S2080" s="69"/>
      <c r="T2080" s="68">
        <f>SUMIF($H$13:$H$2054,$F2080,T$13:T$2054)+Elec_Rates!T154</f>
        <v>8</v>
      </c>
    </row>
    <row r="2081" spans="1:20">
      <c r="A2081" s="65"/>
      <c r="B2081" s="469">
        <v>6</v>
      </c>
      <c r="C2081" s="5" t="s">
        <v>73</v>
      </c>
      <c r="D2081" s="35" t="s">
        <v>79</v>
      </c>
      <c r="F2081" s="66">
        <v>520</v>
      </c>
      <c r="O2081" s="67"/>
      <c r="P2081" s="35">
        <v>1</v>
      </c>
      <c r="R2081" s="68">
        <f>SUMIF($H$13:$H$2054,$F2081,R$13:R$2054)+Elec_Rates!R155</f>
        <v>0</v>
      </c>
      <c r="S2081" s="69"/>
      <c r="T2081" s="68">
        <f>SUMIF($H$13:$H$2054,$F2081,T$13:T$2054)+Elec_Rates!T155</f>
        <v>0</v>
      </c>
    </row>
    <row r="2082" spans="1:20">
      <c r="A2082" s="65"/>
      <c r="B2082" s="469">
        <v>7</v>
      </c>
      <c r="C2082" s="5" t="s">
        <v>73</v>
      </c>
      <c r="D2082" s="35" t="s">
        <v>80</v>
      </c>
      <c r="F2082" s="66">
        <v>530</v>
      </c>
      <c r="O2082" s="67"/>
      <c r="P2082" s="35">
        <v>2</v>
      </c>
      <c r="R2082" s="68">
        <f>SUMIF($H$13:$H$2054,$F2082,R$13:R$2054)+Elec_Rates!R156</f>
        <v>0</v>
      </c>
      <c r="S2082" s="69"/>
      <c r="T2082" s="68">
        <f>SUMIF($H$13:$H$2054,$F2082,T$13:T$2054)+Elec_Rates!T156</f>
        <v>0</v>
      </c>
    </row>
    <row r="2083" spans="1:20">
      <c r="A2083" s="65"/>
      <c r="B2083" s="469">
        <v>8</v>
      </c>
      <c r="C2083" s="5" t="s">
        <v>73</v>
      </c>
      <c r="D2083" s="35" t="s">
        <v>81</v>
      </c>
      <c r="F2083" s="66">
        <v>550</v>
      </c>
      <c r="O2083" s="67"/>
      <c r="P2083" s="35">
        <v>2</v>
      </c>
      <c r="R2083" s="68">
        <f>SUMIF($H$13:$H$2054,$F2083,R$13:R$2054)+Elec_Rates!R157</f>
        <v>0</v>
      </c>
      <c r="S2083" s="69"/>
      <c r="T2083" s="68">
        <f>SUMIF($H$13:$H$2054,$F2083,T$13:T$2054)+Elec_Rates!T157</f>
        <v>0</v>
      </c>
    </row>
    <row r="2084" spans="1:20">
      <c r="A2084" s="65"/>
      <c r="B2084" s="469">
        <v>9</v>
      </c>
      <c r="C2084" s="5" t="s">
        <v>73</v>
      </c>
      <c r="D2084" s="35" t="s">
        <v>82</v>
      </c>
      <c r="F2084" s="66">
        <v>570</v>
      </c>
      <c r="O2084" s="67"/>
      <c r="P2084" s="35">
        <v>2</v>
      </c>
      <c r="R2084" s="68">
        <f ca="1">SUMIF($H$13:$H$2054,$F2084,R$13:R$2054)+Elec_Rates!R158</f>
        <v>35503.230000000003</v>
      </c>
      <c r="S2084" s="69"/>
      <c r="T2084" s="68">
        <f ca="1">SUMIF($H$13:$H$2054,$F2084,T$13:T$2054)+Elec_Rates!T158</f>
        <v>227.5</v>
      </c>
    </row>
    <row r="2085" spans="1:20">
      <c r="A2085" s="65"/>
      <c r="B2085" s="469">
        <v>10</v>
      </c>
      <c r="C2085" s="5" t="s">
        <v>73</v>
      </c>
      <c r="D2085" s="35" t="s">
        <v>83</v>
      </c>
      <c r="F2085" s="66">
        <v>615</v>
      </c>
      <c r="O2085" s="67"/>
      <c r="P2085" s="35">
        <v>2</v>
      </c>
      <c r="R2085" s="68">
        <f ca="1">SUMIF($H$13:$H$2054,$F2085,R$13:R$2054)+Elec_Rates!R159</f>
        <v>66.3</v>
      </c>
      <c r="S2085" s="69"/>
      <c r="T2085" s="68">
        <f ca="1">SUMIF($H$13:$H$2054,$F2085,T$13:T$2054)+Elec_Rates!T159</f>
        <v>2.6</v>
      </c>
    </row>
    <row r="2086" spans="1:20">
      <c r="A2086" s="65"/>
      <c r="B2086" s="469">
        <v>11</v>
      </c>
      <c r="C2086" s="5" t="s">
        <v>73</v>
      </c>
      <c r="D2086" s="35" t="s">
        <v>85</v>
      </c>
      <c r="F2086" s="66">
        <v>616</v>
      </c>
      <c r="O2086" s="67"/>
      <c r="P2086" s="35">
        <v>2</v>
      </c>
      <c r="R2086" s="68">
        <f ca="1">SUMIF($H$13:$H$2054,$F2086,R$13:R$2054)+Elec_Rates!R160</f>
        <v>14618.919999999998</v>
      </c>
      <c r="S2086" s="69"/>
      <c r="T2086" s="68">
        <f ca="1">SUMIF($H$13:$H$2054,$F2086,T$13:T$2054)+Elec_Rates!T160</f>
        <v>54.18</v>
      </c>
    </row>
    <row r="2087" spans="1:20">
      <c r="A2087" s="65"/>
      <c r="B2087" s="469">
        <v>12</v>
      </c>
      <c r="C2087" s="5" t="s">
        <v>73</v>
      </c>
      <c r="D2087" s="35" t="s">
        <v>86</v>
      </c>
      <c r="F2087" s="66">
        <v>617</v>
      </c>
      <c r="O2087" s="67"/>
      <c r="P2087" s="35">
        <v>2</v>
      </c>
      <c r="R2087" s="68">
        <f ca="1">SUMIF($H$13:$H$2054,$F2087,R$13:R$2054)+Elec_Rates!R161</f>
        <v>3971.625</v>
      </c>
      <c r="S2087" s="69"/>
      <c r="T2087" s="68">
        <f ca="1">SUMIF($H$13:$H$2054,$F2087,T$13:T$2054)+Elec_Rates!T161</f>
        <v>105.28999999999999</v>
      </c>
    </row>
    <row r="2088" spans="1:20">
      <c r="A2088" s="65"/>
      <c r="B2088" s="469">
        <v>13</v>
      </c>
      <c r="C2088" s="5" t="s">
        <v>73</v>
      </c>
      <c r="D2088" s="35" t="s">
        <v>159</v>
      </c>
      <c r="F2088" s="66">
        <v>620</v>
      </c>
      <c r="O2088" s="67"/>
      <c r="P2088" s="35">
        <v>2</v>
      </c>
      <c r="R2088" s="68">
        <f ca="1">SUMIF($H$13:$H$2054,$F2088,R$13:R$2054)+Elec_Rates!R162</f>
        <v>1188.02</v>
      </c>
      <c r="S2088" s="69"/>
      <c r="T2088" s="68">
        <f ca="1">SUMIF($H$13:$H$2054,$F2088,T$13:T$2054)+Elec_Rates!T162</f>
        <v>107.57999999999998</v>
      </c>
    </row>
    <row r="2089" spans="1:20">
      <c r="A2089" s="65"/>
      <c r="B2089" s="469">
        <v>14</v>
      </c>
      <c r="C2089" s="5" t="s">
        <v>73</v>
      </c>
      <c r="D2089" s="35" t="s">
        <v>88</v>
      </c>
      <c r="F2089" s="66">
        <v>650</v>
      </c>
      <c r="O2089" s="67"/>
      <c r="P2089" s="35">
        <v>1</v>
      </c>
      <c r="R2089" s="68">
        <f ca="1">SUMIF($H$13:$H$2054,$F2089,R$13:R$2054)+Elec_Rates!R163</f>
        <v>184.44</v>
      </c>
      <c r="S2089" s="69"/>
      <c r="T2089" s="68">
        <f ca="1">SUMIF($H$13:$H$2054,$F2089,T$13:T$2054)+Elec_Rates!T163</f>
        <v>10.15</v>
      </c>
    </row>
    <row r="2090" spans="1:20">
      <c r="A2090" s="65"/>
      <c r="B2090" s="469">
        <v>15</v>
      </c>
      <c r="C2090" s="5" t="s">
        <v>73</v>
      </c>
      <c r="D2090" s="35" t="s">
        <v>89</v>
      </c>
      <c r="F2090" s="66">
        <v>651</v>
      </c>
      <c r="O2090" s="67"/>
      <c r="P2090" s="35">
        <v>1</v>
      </c>
      <c r="R2090" s="68">
        <f>SUMIF($H$13:$H$2054,$F2090,R$13:R$2054)+Elec_Rates!R164</f>
        <v>0</v>
      </c>
      <c r="S2090" s="69"/>
      <c r="T2090" s="68">
        <f>SUMIF($H$13:$H$2054,$F2090,T$13:T$2054)+Elec_Rates!T164</f>
        <v>0</v>
      </c>
    </row>
    <row r="2091" spans="1:20">
      <c r="A2091" s="65"/>
      <c r="B2091" s="469">
        <v>16</v>
      </c>
      <c r="C2091" s="5" t="s">
        <v>73</v>
      </c>
      <c r="D2091" s="35" t="s">
        <v>90</v>
      </c>
      <c r="F2091" s="66">
        <v>652</v>
      </c>
      <c r="O2091" s="67"/>
      <c r="P2091" s="35">
        <v>1</v>
      </c>
      <c r="R2091" s="68">
        <f>SUMIF($H$13:$H$2054,$F2091,R$13:R$2054)+Elec_Rates!R165</f>
        <v>0</v>
      </c>
      <c r="S2091" s="69"/>
      <c r="T2091" s="68">
        <f>SUMIF($H$13:$H$2054,$F2091,T$13:T$2054)+Elec_Rates!T165</f>
        <v>0</v>
      </c>
    </row>
    <row r="2092" spans="1:20">
      <c r="A2092" s="65"/>
      <c r="B2092" s="469">
        <v>17</v>
      </c>
      <c r="C2092" s="5" t="s">
        <v>73</v>
      </c>
      <c r="D2092" s="35" t="s">
        <v>91</v>
      </c>
      <c r="F2092" s="66">
        <v>654</v>
      </c>
      <c r="O2092" s="67"/>
      <c r="P2092" s="35">
        <v>1</v>
      </c>
      <c r="R2092" s="68">
        <f>SUMIF($H$13:$H$2054,$F2092,R$13:R$2054)+Elec_Rates!R166</f>
        <v>0</v>
      </c>
      <c r="S2092" s="69"/>
      <c r="T2092" s="68">
        <f>SUMIF($H$13:$H$2054,$F2092,T$13:T$2054)+Elec_Rates!T166</f>
        <v>0</v>
      </c>
    </row>
    <row r="2093" spans="1:20">
      <c r="A2093" s="65"/>
      <c r="B2093" s="469">
        <v>18</v>
      </c>
      <c r="C2093" s="5" t="s">
        <v>73</v>
      </c>
      <c r="D2093" s="35" t="s">
        <v>92</v>
      </c>
      <c r="F2093" s="66">
        <v>675</v>
      </c>
      <c r="O2093" s="67"/>
      <c r="P2093" s="35">
        <v>1</v>
      </c>
      <c r="R2093" s="68">
        <f>SUMIF($H$13:$H$2054,$F2093,R$13:R$2054)+Elec_Rates!R167</f>
        <v>0</v>
      </c>
      <c r="S2093" s="69"/>
      <c r="T2093" s="68">
        <f>SUMIF($H$13:$H$2054,$F2093,T$13:T$2054)+Elec_Rates!T167</f>
        <v>0</v>
      </c>
    </row>
    <row r="2094" spans="1:20">
      <c r="A2094" s="65"/>
      <c r="B2094" s="469">
        <v>19</v>
      </c>
      <c r="C2094" s="5" t="s">
        <v>73</v>
      </c>
      <c r="D2094" s="35" t="s">
        <v>93</v>
      </c>
      <c r="F2094" s="66">
        <v>676</v>
      </c>
      <c r="O2094" s="67"/>
      <c r="P2094" s="35">
        <v>1</v>
      </c>
      <c r="R2094" s="68">
        <f>SUMIF($H$13:$H$2054,$F2094,R$13:R$2054)+Elec_Rates!R168</f>
        <v>0</v>
      </c>
      <c r="S2094" s="69"/>
      <c r="T2094" s="68">
        <f>SUMIF($H$13:$H$2054,$F2094,T$13:T$2054)+Elec_Rates!T168</f>
        <v>0</v>
      </c>
    </row>
    <row r="2095" spans="1:20">
      <c r="A2095" s="65"/>
      <c r="B2095" s="469">
        <v>20</v>
      </c>
      <c r="C2095" s="5" t="s">
        <v>73</v>
      </c>
      <c r="D2095" s="35" t="s">
        <v>94</v>
      </c>
      <c r="F2095" s="66">
        <v>680</v>
      </c>
      <c r="O2095" s="67"/>
      <c r="P2095" s="35">
        <v>1</v>
      </c>
      <c r="R2095" s="68">
        <f>SUMIF($H$13:$H$2054,$F2095,R$13:R$2054)+Elec_Rates!R169</f>
        <v>0</v>
      </c>
      <c r="S2095" s="69"/>
      <c r="T2095" s="68">
        <f>SUMIF($H$13:$H$2054,$F2095,T$13:T$2054)+Elec_Rates!T169</f>
        <v>0</v>
      </c>
    </row>
    <row r="2096" spans="1:20">
      <c r="A2096" s="65"/>
      <c r="B2096" s="469">
        <v>21</v>
      </c>
      <c r="C2096" s="5" t="s">
        <v>73</v>
      </c>
      <c r="D2096" s="35" t="s">
        <v>96</v>
      </c>
      <c r="F2096" s="66">
        <v>681</v>
      </c>
      <c r="O2096" s="67"/>
      <c r="P2096" s="35">
        <v>1</v>
      </c>
      <c r="R2096" s="68">
        <f>SUMIF($H$13:$H$2054,$F2096,R$13:R$2054)+Elec_Rates!R170</f>
        <v>0</v>
      </c>
      <c r="S2096" s="69"/>
      <c r="T2096" s="68">
        <f>SUMIF($H$13:$H$2054,$F2096,T$13:T$2054)+Elec_Rates!T170</f>
        <v>0</v>
      </c>
    </row>
    <row r="2097" spans="1:20">
      <c r="A2097" s="65"/>
      <c r="B2097" s="469">
        <v>22</v>
      </c>
      <c r="C2097" s="5" t="s">
        <v>73</v>
      </c>
      <c r="D2097" s="35" t="s">
        <v>97</v>
      </c>
      <c r="F2097" s="66">
        <v>690</v>
      </c>
      <c r="O2097" s="67"/>
      <c r="P2097" s="35">
        <v>1</v>
      </c>
      <c r="R2097" s="68">
        <f ca="1">SUMIF($H$13:$H$2054,$F2097,R$13:R$2054)+Elec_Rates!R171</f>
        <v>1460.8400000000001</v>
      </c>
      <c r="S2097" s="69"/>
      <c r="T2097" s="68">
        <f ca="1">SUMIF($H$13:$H$2054,$F2097,T$13:T$2054)+Elec_Rates!T171</f>
        <v>79.59999999999998</v>
      </c>
    </row>
    <row r="2098" spans="1:20">
      <c r="A2098" s="65"/>
      <c r="B2098" s="469">
        <v>23</v>
      </c>
      <c r="C2098" s="5" t="s">
        <v>73</v>
      </c>
      <c r="D2098" s="35" t="s">
        <v>98</v>
      </c>
      <c r="F2098" s="66">
        <v>700</v>
      </c>
      <c r="O2098" s="67"/>
      <c r="P2098" s="35">
        <v>1</v>
      </c>
      <c r="R2098" s="68">
        <f ca="1">SUMIF($H$13:$H$2054,$F2098,R$13:R$2054)+Elec_Rates!R172</f>
        <v>627.29999999999995</v>
      </c>
      <c r="S2098" s="69"/>
      <c r="T2098" s="68">
        <f ca="1">SUMIF($H$13:$H$2054,$F2098,T$13:T$2054)+Elec_Rates!T172</f>
        <v>55.08</v>
      </c>
    </row>
    <row r="2099" spans="1:20">
      <c r="A2099" s="65"/>
      <c r="B2099" s="469">
        <v>24</v>
      </c>
      <c r="C2099" s="5" t="s">
        <v>73</v>
      </c>
      <c r="D2099" s="35" t="s">
        <v>99</v>
      </c>
      <c r="F2099" s="66">
        <v>705</v>
      </c>
      <c r="O2099" s="67"/>
      <c r="P2099" s="35">
        <v>3</v>
      </c>
      <c r="R2099" s="68">
        <f>SUMIF($H$13:$H$2054,$F2099,R$13:R$2054)+Elec_Rates!R173</f>
        <v>0</v>
      </c>
      <c r="S2099" s="69"/>
      <c r="T2099" s="68">
        <f>SUMIF($H$13:$H$2054,$F2099,T$13:T$2054)+Elec_Rates!T173</f>
        <v>0</v>
      </c>
    </row>
    <row r="2100" spans="1:20">
      <c r="A2100" s="65"/>
      <c r="B2100" s="469">
        <v>25</v>
      </c>
      <c r="C2100" s="5" t="s">
        <v>73</v>
      </c>
      <c r="D2100" s="35" t="s">
        <v>100</v>
      </c>
      <c r="F2100" s="66">
        <v>706</v>
      </c>
      <c r="O2100" s="67"/>
      <c r="P2100" s="35">
        <v>3</v>
      </c>
      <c r="R2100" s="68">
        <f>SUMIF($H$13:$H$2054,$F2100,R$13:R$2054)+Elec_Rates!R174</f>
        <v>0</v>
      </c>
      <c r="S2100" s="69"/>
      <c r="T2100" s="68">
        <f>SUMIF($H$13:$H$2054,$F2100,T$13:T$2054)+Elec_Rates!T174</f>
        <v>0</v>
      </c>
    </row>
    <row r="2101" spans="1:20">
      <c r="A2101" s="65"/>
      <c r="B2101" s="469">
        <v>26</v>
      </c>
      <c r="C2101" s="5" t="s">
        <v>73</v>
      </c>
      <c r="D2101" s="35" t="s">
        <v>101</v>
      </c>
      <c r="F2101" s="66">
        <v>725</v>
      </c>
      <c r="O2101" s="67"/>
      <c r="P2101" s="35">
        <v>3</v>
      </c>
      <c r="R2101" s="68">
        <f>SUMIF($H$13:$H$2054,$F2101,R$13:R$2054)+Elec_Rates!R175</f>
        <v>0</v>
      </c>
      <c r="S2101" s="69"/>
      <c r="T2101" s="68">
        <f>SUMIF($H$13:$H$2054,$F2101,T$13:T$2054)+Elec_Rates!T175</f>
        <v>0</v>
      </c>
    </row>
    <row r="2102" spans="1:20">
      <c r="A2102" s="65"/>
      <c r="B2102" s="469">
        <v>27</v>
      </c>
      <c r="C2102" s="5" t="s">
        <v>73</v>
      </c>
      <c r="D2102" s="35" t="s">
        <v>102</v>
      </c>
      <c r="F2102" s="66">
        <v>726</v>
      </c>
      <c r="O2102" s="67"/>
      <c r="P2102" s="35">
        <v>3</v>
      </c>
      <c r="R2102" s="68">
        <f>SUMIF($H$13:$H$2054,$F2102,R$13:R$2054)+Elec_Rates!R176</f>
        <v>0</v>
      </c>
      <c r="S2102" s="69"/>
      <c r="T2102" s="68">
        <f>SUMIF($H$13:$H$2054,$F2102,T$13:T$2054)+Elec_Rates!T176</f>
        <v>0</v>
      </c>
    </row>
    <row r="2103" spans="1:20">
      <c r="A2103" s="65"/>
      <c r="B2103" s="469">
        <v>28</v>
      </c>
      <c r="C2103" s="5" t="s">
        <v>73</v>
      </c>
      <c r="D2103" s="35" t="s">
        <v>103</v>
      </c>
      <c r="F2103" s="66">
        <v>750</v>
      </c>
      <c r="O2103" s="67"/>
      <c r="P2103" s="35">
        <v>3</v>
      </c>
      <c r="R2103" s="68">
        <f>SUMIF($H$13:$H$2054,$F2103,R$13:R$2054)+Elec_Rates!R177</f>
        <v>0</v>
      </c>
      <c r="S2103" s="69"/>
      <c r="T2103" s="68">
        <f>SUMIF($H$13:$H$2054,$F2103,T$13:T$2054)+Elec_Rates!T177</f>
        <v>0</v>
      </c>
    </row>
    <row r="2104" spans="1:20">
      <c r="A2104" s="65"/>
      <c r="B2104" s="469">
        <v>29</v>
      </c>
      <c r="C2104" s="5" t="s">
        <v>73</v>
      </c>
      <c r="D2104" s="35" t="s">
        <v>104</v>
      </c>
      <c r="F2104" s="66">
        <v>751</v>
      </c>
      <c r="O2104" s="67"/>
      <c r="P2104" s="35">
        <v>3</v>
      </c>
      <c r="R2104" s="68">
        <f>SUMIF($H$13:$H$2054,$F2104,R$13:R$2054)+Elec_Rates!R178</f>
        <v>0</v>
      </c>
      <c r="S2104" s="69"/>
      <c r="T2104" s="68">
        <f>SUMIF($H$13:$H$2054,$F2104,T$13:T$2054)+Elec_Rates!T178</f>
        <v>0</v>
      </c>
    </row>
    <row r="2105" spans="1:20">
      <c r="A2105" s="65"/>
      <c r="B2105" s="469">
        <v>30</v>
      </c>
      <c r="C2105" s="5" t="s">
        <v>73</v>
      </c>
      <c r="D2105" s="35" t="s">
        <v>105</v>
      </c>
      <c r="F2105" s="66">
        <v>752</v>
      </c>
      <c r="O2105" s="67"/>
      <c r="P2105" s="35">
        <v>3</v>
      </c>
      <c r="R2105" s="68">
        <f>SUMIF($H$13:$H$2054,$F2105,R$13:R$2054)+Elec_Rates!R179</f>
        <v>0</v>
      </c>
      <c r="S2105" s="69"/>
      <c r="T2105" s="68">
        <f>SUMIF($H$13:$H$2054,$F2105,T$13:T$2054)+Elec_Rates!T179</f>
        <v>0</v>
      </c>
    </row>
    <row r="2106" spans="1:20">
      <c r="A2106" s="65"/>
      <c r="B2106" s="469">
        <v>31</v>
      </c>
      <c r="C2106" s="5" t="s">
        <v>73</v>
      </c>
      <c r="D2106" s="601" t="s">
        <v>296</v>
      </c>
      <c r="F2106" s="66">
        <v>753</v>
      </c>
      <c r="O2106" s="67"/>
      <c r="P2106" s="35">
        <v>3</v>
      </c>
      <c r="R2106" s="68">
        <f>SUMIF($H$13:$H$2054,$F2106,R$13:R$2054)+Elec_Rates!R180</f>
        <v>0</v>
      </c>
      <c r="S2106" s="69"/>
      <c r="T2106" s="68">
        <f>SUMIF($H$13:$H$2054,$F2106,T$13:T$2054)+Elec_Rates!T180</f>
        <v>0</v>
      </c>
    </row>
    <row r="2107" spans="1:20">
      <c r="A2107" s="65"/>
      <c r="B2107" s="469">
        <v>32</v>
      </c>
      <c r="C2107" s="5" t="s">
        <v>73</v>
      </c>
      <c r="D2107" s="35" t="s">
        <v>107</v>
      </c>
      <c r="F2107" s="66">
        <v>770</v>
      </c>
      <c r="O2107" s="67"/>
      <c r="P2107" s="35">
        <v>3</v>
      </c>
      <c r="R2107" s="68">
        <f>SUMIF($H$13:$H$2054,$F2107,R$13:R$2054)+Elec_Rates!R181</f>
        <v>0</v>
      </c>
      <c r="S2107" s="69"/>
      <c r="T2107" s="68">
        <f>SUMIF($H$13:$H$2054,$F2107,T$13:T$2054)+Elec_Rates!T181</f>
        <v>0</v>
      </c>
    </row>
    <row r="2108" spans="1:20">
      <c r="A2108" s="65"/>
      <c r="B2108" s="469">
        <v>33</v>
      </c>
      <c r="C2108" s="5" t="s">
        <v>73</v>
      </c>
      <c r="D2108" s="35" t="s">
        <v>108</v>
      </c>
      <c r="F2108" s="66">
        <v>790</v>
      </c>
      <c r="O2108" s="67"/>
      <c r="P2108" s="35">
        <v>3</v>
      </c>
      <c r="R2108" s="68">
        <f>SUMIF($H$13:$H$2054,$F2108,R$13:R$2054)+Elec_Rates!R182</f>
        <v>0</v>
      </c>
      <c r="S2108" s="69"/>
      <c r="T2108" s="68">
        <f>SUMIF($H$13:$H$2054,$F2108,T$13:T$2054)+Elec_Rates!T182</f>
        <v>0</v>
      </c>
    </row>
    <row r="2109" spans="1:20">
      <c r="A2109" s="65"/>
      <c r="B2109" s="469">
        <v>34</v>
      </c>
      <c r="C2109" s="5" t="s">
        <v>73</v>
      </c>
      <c r="D2109" s="35" t="s">
        <v>109</v>
      </c>
      <c r="F2109" s="66">
        <v>791</v>
      </c>
      <c r="O2109" s="67"/>
      <c r="P2109" s="35">
        <v>3</v>
      </c>
      <c r="R2109" s="68">
        <f>SUMIF($H$13:$H$2054,$F2109,R$13:R$2054)+Elec_Rates!R183</f>
        <v>0</v>
      </c>
      <c r="S2109" s="69"/>
      <c r="T2109" s="68">
        <f>SUMIF($H$13:$H$2054,$F2109,T$13:T$2054)+Elec_Rates!T183</f>
        <v>0</v>
      </c>
    </row>
    <row r="2110" spans="1:20">
      <c r="A2110" s="65"/>
      <c r="B2110" s="469">
        <v>35</v>
      </c>
      <c r="C2110" s="5" t="s">
        <v>73</v>
      </c>
      <c r="D2110" s="35" t="s">
        <v>110</v>
      </c>
      <c r="F2110" s="66">
        <v>810</v>
      </c>
      <c r="O2110" s="67"/>
      <c r="P2110" s="35">
        <v>3</v>
      </c>
      <c r="R2110" s="68">
        <f>SUMIF($H$13:$H$2054,$F2110,R$13:R$2054)+Elec_Rates!R184</f>
        <v>0</v>
      </c>
      <c r="S2110" s="69"/>
      <c r="T2110" s="68">
        <f>SUMIF($H$13:$H$2054,$F2110,T$13:T$2054)+Elec_Rates!T184</f>
        <v>0</v>
      </c>
    </row>
    <row r="2111" spans="1:20">
      <c r="A2111" s="65"/>
      <c r="B2111" s="469">
        <v>36</v>
      </c>
      <c r="C2111" s="5" t="s">
        <v>73</v>
      </c>
      <c r="D2111" s="35" t="s">
        <v>111</v>
      </c>
      <c r="F2111" s="66">
        <v>815</v>
      </c>
      <c r="O2111" s="67"/>
      <c r="P2111" s="35">
        <v>3</v>
      </c>
      <c r="R2111" s="68">
        <f>SUMIF($H$13:$H$2054,$F2111,R$13:R$2054)+Elec_Rates!R185</f>
        <v>0</v>
      </c>
      <c r="S2111" s="69"/>
      <c r="T2111" s="68">
        <f>SUMIF($H$13:$H$2054,$F2111,T$13:T$2054)+Elec_Rates!T185</f>
        <v>0</v>
      </c>
    </row>
    <row r="2112" spans="1:20">
      <c r="A2112" s="65"/>
      <c r="B2112" s="469">
        <v>37</v>
      </c>
      <c r="C2112" s="5" t="s">
        <v>73</v>
      </c>
      <c r="D2112" s="35" t="s">
        <v>112</v>
      </c>
      <c r="F2112" s="66">
        <v>820</v>
      </c>
      <c r="O2112" s="67"/>
      <c r="P2112" s="35">
        <v>2</v>
      </c>
      <c r="R2112" s="68">
        <f>SUMIF($H$13:$H$2054,$F2112,R$13:R$2054)+Elec_Rates!R186</f>
        <v>0</v>
      </c>
      <c r="S2112" s="69"/>
      <c r="T2112" s="68">
        <f>SUMIF($H$13:$H$2054,$F2112,T$13:T$2054)+Elec_Rates!T186</f>
        <v>0</v>
      </c>
    </row>
    <row r="2113" spans="1:20">
      <c r="A2113" s="65"/>
      <c r="B2113" s="469">
        <v>38</v>
      </c>
      <c r="C2113" s="5" t="s">
        <v>73</v>
      </c>
      <c r="D2113" s="35" t="s">
        <v>113</v>
      </c>
      <c r="F2113" s="66">
        <v>821</v>
      </c>
      <c r="O2113" s="67"/>
      <c r="P2113" s="35">
        <v>3</v>
      </c>
      <c r="R2113" s="68">
        <f>SUMIF($H$13:$H$2054,$F2113,R$13:R$2054)+Elec_Rates!R187</f>
        <v>0</v>
      </c>
      <c r="S2113" s="69"/>
      <c r="T2113" s="68">
        <f>SUMIF($H$13:$H$2054,$F2113,T$13:T$2054)+Elec_Rates!T187</f>
        <v>0</v>
      </c>
    </row>
    <row r="2114" spans="1:20">
      <c r="A2114" s="65"/>
      <c r="B2114" s="469">
        <v>39</v>
      </c>
      <c r="C2114" s="5" t="s">
        <v>73</v>
      </c>
      <c r="D2114" s="35" t="s">
        <v>114</v>
      </c>
      <c r="F2114" s="66">
        <v>835</v>
      </c>
      <c r="O2114" s="67"/>
      <c r="P2114" s="35">
        <v>3</v>
      </c>
      <c r="R2114" s="68">
        <f>SUMIF($H$13:$H$2054,$F2114,R$13:R$2054)+Elec_Rates!R188</f>
        <v>0</v>
      </c>
      <c r="S2114" s="69"/>
      <c r="T2114" s="68">
        <f>SUMIF($H$13:$H$2054,$F2114,T$13:T$2054)+Elec_Rates!T188</f>
        <v>0</v>
      </c>
    </row>
    <row r="2115" spans="1:20">
      <c r="A2115" s="65"/>
      <c r="B2115" s="469">
        <v>40</v>
      </c>
      <c r="C2115" s="5" t="s">
        <v>73</v>
      </c>
      <c r="D2115" s="35" t="s">
        <v>115</v>
      </c>
      <c r="F2115" s="66">
        <v>845</v>
      </c>
      <c r="O2115" s="67"/>
      <c r="P2115" s="35">
        <v>2</v>
      </c>
      <c r="R2115" s="68">
        <f ca="1">SUMIF($H$13:$H$2054,$F2115,R$13:R$2054)+Elec_Rates!R189</f>
        <v>100</v>
      </c>
      <c r="S2115" s="69"/>
      <c r="T2115" s="68">
        <f ca="1">SUMIF($H$13:$H$2054,$F2115,T$13:T$2054)+Elec_Rates!T189</f>
        <v>0</v>
      </c>
    </row>
    <row r="2116" spans="1:20">
      <c r="A2116" s="65"/>
      <c r="B2116" s="469">
        <v>41</v>
      </c>
      <c r="C2116" s="5" t="s">
        <v>73</v>
      </c>
      <c r="D2116" s="35" t="s">
        <v>117</v>
      </c>
      <c r="F2116" s="66">
        <v>855</v>
      </c>
      <c r="O2116" s="67"/>
      <c r="P2116" s="35">
        <v>3</v>
      </c>
      <c r="R2116" s="68">
        <f>SUMIF($H$13:$H$2054,$F2116,R$13:R$2054)+Elec_Rates!R190</f>
        <v>0</v>
      </c>
      <c r="S2116" s="69"/>
      <c r="T2116" s="68">
        <f>SUMIF($H$13:$H$2054,$F2116,T$13:T$2054)+Elec_Rates!T190</f>
        <v>0</v>
      </c>
    </row>
    <row r="2117" spans="1:20">
      <c r="A2117" s="65"/>
      <c r="B2117" s="469">
        <v>42</v>
      </c>
      <c r="C2117" s="5" t="s">
        <v>73</v>
      </c>
      <c r="D2117" s="35" t="s">
        <v>118</v>
      </c>
      <c r="F2117" s="66">
        <v>856</v>
      </c>
      <c r="O2117" s="67"/>
      <c r="P2117" s="35">
        <v>3</v>
      </c>
      <c r="R2117" s="68">
        <f>SUMIF($H$13:$H$2054,$F2117,R$13:R$2054)+Elec_Rates!R191</f>
        <v>0</v>
      </c>
      <c r="S2117" s="69"/>
      <c r="T2117" s="68">
        <f>SUMIF($H$13:$H$2054,$F2117,T$13:T$2054)+Elec_Rates!T191</f>
        <v>0</v>
      </c>
    </row>
    <row r="2118" spans="1:20">
      <c r="A2118" s="65"/>
      <c r="B2118" s="469">
        <v>43</v>
      </c>
      <c r="C2118" s="5" t="s">
        <v>73</v>
      </c>
      <c r="D2118" s="35" t="s">
        <v>273</v>
      </c>
      <c r="F2118" s="66">
        <v>857</v>
      </c>
      <c r="O2118" s="67"/>
      <c r="P2118" s="35">
        <v>3</v>
      </c>
      <c r="R2118" s="68">
        <f>SUMIF($H$13:$H$2054,$F2118,R$13:R$2054)+Elec_Rates!R192</f>
        <v>0</v>
      </c>
      <c r="S2118" s="69"/>
      <c r="T2118" s="68">
        <f>SUMIF($H$13:$H$2054,$F2118,T$13:T$2054)+Elec_Rates!T192</f>
        <v>0</v>
      </c>
    </row>
    <row r="2119" spans="1:20">
      <c r="A2119" s="65"/>
      <c r="B2119" s="469">
        <v>44</v>
      </c>
      <c r="C2119" s="5" t="s">
        <v>73</v>
      </c>
      <c r="D2119" s="35" t="s">
        <v>119</v>
      </c>
      <c r="F2119" s="66">
        <v>858</v>
      </c>
      <c r="O2119" s="67"/>
      <c r="P2119" s="35">
        <v>3</v>
      </c>
      <c r="R2119" s="68">
        <f>SUMIF($H$13:$H$2054,$F2119,R$13:R$2054)+Elec_Rates!R193</f>
        <v>0</v>
      </c>
      <c r="S2119" s="69"/>
      <c r="T2119" s="68">
        <f>SUMIF($H$13:$H$2054,$F2119,T$13:T$2054)+Elec_Rates!T193</f>
        <v>0</v>
      </c>
    </row>
    <row r="2120" spans="1:20">
      <c r="A2120" s="65"/>
      <c r="B2120" s="469">
        <v>45</v>
      </c>
      <c r="C2120" s="5" t="s">
        <v>73</v>
      </c>
      <c r="D2120" s="35" t="s">
        <v>120</v>
      </c>
      <c r="F2120" s="66">
        <v>865</v>
      </c>
      <c r="O2120" s="67"/>
      <c r="P2120" s="35">
        <v>3</v>
      </c>
      <c r="R2120" s="68">
        <f>SUMIF($H$13:$H$2054,$F2120,R$13:R$2054)+Elec_Rates!R194</f>
        <v>0</v>
      </c>
      <c r="S2120" s="69"/>
      <c r="T2120" s="68">
        <f>SUMIF($H$13:$H$2054,$F2120,T$13:T$2054)+Elec_Rates!T194</f>
        <v>0</v>
      </c>
    </row>
    <row r="2121" spans="1:20">
      <c r="A2121" s="65"/>
      <c r="B2121" s="469">
        <v>46</v>
      </c>
      <c r="C2121" s="5" t="s">
        <v>73</v>
      </c>
      <c r="D2121" s="35" t="s">
        <v>121</v>
      </c>
      <c r="F2121" s="66">
        <v>870</v>
      </c>
      <c r="O2121" s="67"/>
      <c r="P2121" s="35">
        <v>4</v>
      </c>
      <c r="R2121" s="68">
        <f>SUMIF($H$13:$H$2054,$F2121,R$13:R$2054)+Elec_Rates!R195</f>
        <v>0</v>
      </c>
      <c r="S2121" s="69"/>
      <c r="T2121" s="68">
        <f>SUMIF($H$13:$H$2054,$F2121,T$13:T$2054)+Elec_Rates!T195</f>
        <v>0</v>
      </c>
    </row>
    <row r="2122" spans="1:20">
      <c r="A2122" s="65"/>
      <c r="B2122" s="469">
        <v>47</v>
      </c>
      <c r="C2122" s="5" t="s">
        <v>73</v>
      </c>
      <c r="D2122" s="35" t="s">
        <v>122</v>
      </c>
      <c r="F2122" s="66">
        <v>875</v>
      </c>
      <c r="O2122" s="67"/>
      <c r="P2122" s="35">
        <v>1</v>
      </c>
      <c r="R2122" s="68">
        <f ca="1">SUMIF($H$13:$H$2054,$F2122,R$13:R$2054)+Elec_Rates!R196</f>
        <v>463.47749999999996</v>
      </c>
      <c r="S2122" s="69"/>
      <c r="T2122" s="68">
        <f ca="1">SUMIF($H$13:$H$2054,$F2122,T$13:T$2054)+Elec_Rates!T196</f>
        <v>0</v>
      </c>
    </row>
    <row r="2123" spans="1:20">
      <c r="A2123" s="65"/>
      <c r="B2123" s="469">
        <v>48</v>
      </c>
      <c r="C2123" s="5" t="s">
        <v>73</v>
      </c>
      <c r="D2123" s="35" t="s">
        <v>123</v>
      </c>
      <c r="F2123" s="66">
        <v>880</v>
      </c>
      <c r="O2123" s="67"/>
      <c r="P2123" s="35">
        <v>3</v>
      </c>
      <c r="R2123" s="68">
        <f>SUMIF($H$13:$H$2054,$F2123,R$13:R$2054)+Elec_Rates!R197</f>
        <v>0</v>
      </c>
      <c r="S2123" s="69"/>
      <c r="T2123" s="68">
        <f>SUMIF($H$13:$H$2054,$F2123,T$13:T$2054)+Elec_Rates!T197</f>
        <v>0</v>
      </c>
    </row>
    <row r="2124" spans="1:20">
      <c r="A2124" s="65"/>
      <c r="B2124" s="469">
        <v>49</v>
      </c>
      <c r="C2124" s="5" t="s">
        <v>73</v>
      </c>
      <c r="D2124" s="35" t="s">
        <v>124</v>
      </c>
      <c r="F2124" s="66">
        <v>885</v>
      </c>
      <c r="O2124" s="67"/>
      <c r="P2124" s="35">
        <v>4</v>
      </c>
      <c r="R2124" s="68">
        <f>SUMIF($H$13:$H$2054,$F2124,R$13:R$2054)+Elec_Rates!R198</f>
        <v>0</v>
      </c>
      <c r="S2124" s="69"/>
      <c r="T2124" s="68">
        <f>SUMIF($H$13:$H$2054,$F2124,T$13:T$2054)+Elec_Rates!T198</f>
        <v>0</v>
      </c>
    </row>
    <row r="2125" spans="1:20">
      <c r="A2125" s="65"/>
      <c r="B2125" s="469">
        <v>50</v>
      </c>
      <c r="C2125" s="5" t="s">
        <v>73</v>
      </c>
      <c r="D2125" s="35" t="s">
        <v>68</v>
      </c>
      <c r="F2125" s="66">
        <v>900</v>
      </c>
      <c r="O2125" s="67"/>
      <c r="P2125" s="35">
        <v>3</v>
      </c>
      <c r="R2125" s="68">
        <f ca="1">SUMIF($H$13:$H$2054,$F2125,R$13:R$2054)+Elec_Rates!R199</f>
        <v>0</v>
      </c>
      <c r="S2125" s="69"/>
      <c r="T2125" s="68">
        <f ca="1">SUMIF($H$13:$H$2054,$F2125,T$13:T$2054)+Elec_Rates!T199</f>
        <v>51.25</v>
      </c>
    </row>
    <row r="2126" spans="1:20">
      <c r="A2126" s="65"/>
      <c r="B2126" s="469">
        <v>51</v>
      </c>
      <c r="C2126" s="5" t="s">
        <v>73</v>
      </c>
      <c r="D2126" s="35" t="s">
        <v>126</v>
      </c>
      <c r="F2126" s="66">
        <v>901</v>
      </c>
      <c r="O2126" s="67"/>
      <c r="P2126" s="35">
        <v>1</v>
      </c>
      <c r="R2126" s="68">
        <f>SUMIF($H$13:$H$2054,$F2126,R$13:R$2054)+Elec_Rates!R200</f>
        <v>0</v>
      </c>
      <c r="S2126" s="69"/>
      <c r="T2126" s="68">
        <f>SUMIF($H$13:$H$2054,$F2126,T$13:T$2054)+Elec_Rates!T200</f>
        <v>0</v>
      </c>
    </row>
    <row r="2127" spans="1:20">
      <c r="A2127" s="65"/>
      <c r="B2127" s="469">
        <v>52</v>
      </c>
      <c r="C2127" s="5" t="s">
        <v>73</v>
      </c>
      <c r="D2127" s="35" t="s">
        <v>127</v>
      </c>
      <c r="F2127" s="66">
        <v>902</v>
      </c>
      <c r="O2127" s="67"/>
      <c r="P2127" s="35">
        <v>3</v>
      </c>
      <c r="R2127" s="68">
        <f>SUMIF($H$13:$H$2054,$F2127,R$13:R$2054)+Elec_Rates!R201</f>
        <v>0</v>
      </c>
      <c r="S2127" s="69"/>
      <c r="T2127" s="68">
        <f>SUMIF($H$13:$H$2054,$F2127,T$13:T$2054)+Elec_Rates!T201</f>
        <v>25</v>
      </c>
    </row>
    <row r="2128" spans="1:20">
      <c r="A2128" s="65"/>
      <c r="B2128" s="469">
        <v>53</v>
      </c>
      <c r="C2128" s="5" t="s">
        <v>73</v>
      </c>
      <c r="D2128" s="70" t="s">
        <v>128</v>
      </c>
      <c r="F2128" s="66">
        <v>960</v>
      </c>
      <c r="O2128" s="67"/>
      <c r="P2128" s="35">
        <v>4</v>
      </c>
      <c r="R2128" s="68">
        <f>SUMIF($H$13:$H$2054,$F2128,R$13:R$2054)+Elec_Rates!R202</f>
        <v>0</v>
      </c>
      <c r="S2128" s="69"/>
      <c r="T2128" s="68">
        <f>SUMIF($H$13:$H$2054,$F2128,T$13:T$2054)+Elec_Rates!T202</f>
        <v>0</v>
      </c>
    </row>
    <row r="2129" spans="1:37">
      <c r="A2129" s="65"/>
      <c r="B2129" s="469">
        <v>54</v>
      </c>
      <c r="C2129" s="5" t="s">
        <v>73</v>
      </c>
      <c r="D2129" s="70" t="s">
        <v>129</v>
      </c>
      <c r="F2129" s="66">
        <v>961</v>
      </c>
      <c r="O2129" s="67"/>
      <c r="P2129" s="35">
        <v>3</v>
      </c>
      <c r="R2129" s="68">
        <f>SUMIF($H$13:$H$2054,$F2129,R$13:R$2054)+Elec_Rates!R203</f>
        <v>0</v>
      </c>
      <c r="S2129" s="69"/>
      <c r="T2129" s="68">
        <f>SUMIF($H$13:$H$2054,$F2129,T$13:T$2054)+Elec_Rates!T203</f>
        <v>0</v>
      </c>
    </row>
    <row r="2130" spans="1:37">
      <c r="A2130" s="65"/>
      <c r="B2130" s="469">
        <v>55</v>
      </c>
      <c r="C2130" s="5" t="s">
        <v>73</v>
      </c>
      <c r="D2130" s="70" t="s">
        <v>130</v>
      </c>
      <c r="F2130" s="66">
        <v>962</v>
      </c>
      <c r="O2130" s="67"/>
      <c r="P2130" s="35">
        <v>1</v>
      </c>
      <c r="R2130" s="68">
        <f ca="1">SUMIF($H$13:$H$2054,$F2130,R$13:R$2054)+Elec_Rates!R204</f>
        <v>625</v>
      </c>
      <c r="S2130" s="69"/>
      <c r="T2130" s="68">
        <f ca="1">SUMIF($H$13:$H$2054,$F2130,T$13:T$2054)+Elec_Rates!T204</f>
        <v>0</v>
      </c>
    </row>
    <row r="2131" spans="1:37">
      <c r="A2131" s="65"/>
      <c r="B2131" s="469">
        <v>56</v>
      </c>
      <c r="C2131" s="5" t="s">
        <v>73</v>
      </c>
      <c r="D2131" s="70" t="s">
        <v>131</v>
      </c>
      <c r="F2131" s="66">
        <v>970</v>
      </c>
      <c r="O2131" s="67"/>
      <c r="P2131" s="35">
        <v>4</v>
      </c>
      <c r="R2131" s="68">
        <f>SUMIF($H$13:$H$2054,$F2131,R$13:R$2054)+Elec_Rates!R205</f>
        <v>0</v>
      </c>
      <c r="S2131" s="69"/>
      <c r="T2131" s="68">
        <f>SUMIF($H$13:$H$2054,$F2131,T$13:T$2054)+Elec_Rates!T205</f>
        <v>0</v>
      </c>
    </row>
    <row r="2132" spans="1:37" ht="14.4" thickBot="1">
      <c r="A2132" s="71"/>
      <c r="B2132" s="72"/>
      <c r="C2132" s="73"/>
      <c r="D2132" s="74"/>
      <c r="E2132" s="75"/>
      <c r="F2132" s="76"/>
      <c r="G2132" s="75"/>
      <c r="H2132" s="75"/>
      <c r="I2132" s="75"/>
      <c r="J2132" s="75"/>
      <c r="K2132" s="75"/>
      <c r="L2132" s="75"/>
      <c r="M2132" s="75"/>
      <c r="N2132" s="75"/>
      <c r="O2132" s="77"/>
      <c r="P2132" s="75"/>
      <c r="Q2132" s="75"/>
      <c r="R2132" s="78"/>
      <c r="S2132" s="79"/>
      <c r="T2132" s="78"/>
      <c r="U2132" s="75"/>
      <c r="V2132" s="408"/>
      <c r="W2132" s="408"/>
      <c r="X2132" s="408"/>
      <c r="Y2132" s="408"/>
      <c r="Z2132" s="408"/>
      <c r="AA2132" s="408"/>
      <c r="AB2132" s="408"/>
      <c r="AC2132" s="75"/>
      <c r="AD2132" s="75"/>
      <c r="AE2132" s="75"/>
      <c r="AF2132" s="75"/>
      <c r="AG2132" s="75"/>
      <c r="AH2132" s="75"/>
      <c r="AI2132" s="75"/>
      <c r="AJ2132" s="75"/>
      <c r="AK2132" s="75"/>
    </row>
    <row r="2133" spans="1:37" ht="14.4" thickTop="1">
      <c r="A2133" s="65"/>
      <c r="B2133" s="80"/>
      <c r="C2133" s="5" t="s">
        <v>73</v>
      </c>
      <c r="D2133" s="81"/>
      <c r="F2133" s="82" t="s">
        <v>160</v>
      </c>
      <c r="G2133" s="83"/>
      <c r="H2133" s="35">
        <v>1</v>
      </c>
      <c r="O2133" s="67"/>
      <c r="R2133" s="68">
        <f ca="1">SUMIF($P2076:$P2131,1,R2076:R2131)</f>
        <v>4361.9234999999999</v>
      </c>
      <c r="T2133" s="68">
        <f ca="1">SUMIF($P2076:$P2131,1,T2076:T2131)</f>
        <v>150.87166666666664</v>
      </c>
    </row>
    <row r="2134" spans="1:37">
      <c r="A2134" s="65"/>
      <c r="B2134" s="80"/>
      <c r="C2134" s="5" t="s">
        <v>73</v>
      </c>
      <c r="D2134" s="81"/>
      <c r="F2134" s="82" t="s">
        <v>161</v>
      </c>
      <c r="G2134" s="83"/>
      <c r="H2134" s="35">
        <v>2</v>
      </c>
      <c r="O2134" s="67"/>
      <c r="R2134" s="68">
        <f ca="1">SUMIF($P2076:$P2131,2,R2076:R2131)</f>
        <v>55548.095000000001</v>
      </c>
      <c r="T2134" s="68">
        <f ca="1">SUMIF($P2076:$P2131,2,T2076:T2131)</f>
        <v>505.14999999999992</v>
      </c>
    </row>
    <row r="2135" spans="1:37">
      <c r="A2135" s="65"/>
      <c r="B2135" s="80"/>
      <c r="C2135" s="5" t="s">
        <v>73</v>
      </c>
      <c r="D2135" s="81"/>
      <c r="F2135" s="82" t="s">
        <v>162</v>
      </c>
      <c r="G2135" s="83"/>
      <c r="H2135" s="35">
        <v>2</v>
      </c>
      <c r="O2135" s="67"/>
      <c r="R2135" s="68">
        <f ca="1">SUMIF($P2076:$P2131,3,R2076:R2131)</f>
        <v>0</v>
      </c>
      <c r="T2135" s="68">
        <f ca="1">SUMIF($P2076:$P2131,3,T2076:T2131)</f>
        <v>76.25</v>
      </c>
    </row>
    <row r="2136" spans="1:37">
      <c r="A2136" s="65"/>
      <c r="B2136" s="80"/>
      <c r="C2136" s="5" t="s">
        <v>73</v>
      </c>
      <c r="D2136" s="81"/>
      <c r="F2136" s="82" t="s">
        <v>163</v>
      </c>
      <c r="G2136" s="83"/>
      <c r="H2136" s="35">
        <v>3</v>
      </c>
      <c r="O2136" s="67"/>
      <c r="R2136" s="68">
        <f>SUMIF($P2076:$P2131,4,R2076:R2131)</f>
        <v>0</v>
      </c>
      <c r="T2136" s="68">
        <f>SUMIF($P2076:$P2131,4,T2076:T2131)</f>
        <v>0</v>
      </c>
    </row>
    <row r="2137" spans="1:37" ht="14.4" thickBot="1">
      <c r="A2137" s="71"/>
      <c r="B2137" s="84"/>
      <c r="C2137" s="73" t="s">
        <v>73</v>
      </c>
      <c r="D2137" s="85"/>
      <c r="E2137" s="75"/>
      <c r="F2137" s="86" t="s">
        <v>164</v>
      </c>
      <c r="G2137" s="87"/>
      <c r="H2137" s="88"/>
      <c r="I2137" s="88"/>
      <c r="J2137" s="88"/>
      <c r="K2137" s="88"/>
      <c r="L2137" s="88"/>
      <c r="M2137" s="88"/>
      <c r="N2137" s="88"/>
      <c r="O2137" s="89"/>
      <c r="P2137" s="88"/>
      <c r="Q2137" s="88"/>
      <c r="R2137" s="90">
        <f ca="1">SUM(R2133:R2136)</f>
        <v>59910.018499999998</v>
      </c>
      <c r="S2137" s="91"/>
      <c r="T2137" s="90">
        <f ca="1">SUM(T2133:T2136)</f>
        <v>732.27166666666653</v>
      </c>
      <c r="U2137" s="75"/>
      <c r="V2137" s="408"/>
      <c r="W2137" s="408"/>
      <c r="X2137" s="408"/>
      <c r="Y2137" s="408"/>
      <c r="Z2137" s="408"/>
      <c r="AA2137" s="408"/>
      <c r="AB2137" s="408"/>
      <c r="AC2137" s="75"/>
      <c r="AD2137" s="75"/>
      <c r="AE2137" s="75"/>
      <c r="AF2137" s="75"/>
      <c r="AG2137" s="75"/>
      <c r="AH2137" s="75"/>
      <c r="AI2137" s="75"/>
      <c r="AJ2137" s="75"/>
      <c r="AK2137" s="75"/>
    </row>
    <row r="2138" spans="1:37" ht="14.4" thickTop="1">
      <c r="A2138" s="47"/>
      <c r="B2138" s="500" t="s">
        <v>187</v>
      </c>
      <c r="C2138" s="81" t="s">
        <v>187</v>
      </c>
      <c r="D2138" s="81"/>
      <c r="O2138" s="67"/>
    </row>
    <row r="2139" spans="1:37">
      <c r="A2139" s="501"/>
      <c r="O2139" s="67"/>
    </row>
    <row r="2140" spans="1:37">
      <c r="A2140" s="501"/>
      <c r="B2140" s="502">
        <f t="shared" ref="B2140:B2149" ca="1" si="78">SUMIF($D$13:$D$2054,D2140,$C$13:$C$2054)</f>
        <v>4</v>
      </c>
      <c r="C2140" s="70"/>
      <c r="D2140" s="503" t="str">
        <f>Elec_Rates!$D$19</f>
        <v>037# 5 x 16mm2 F120 Fire Resistant Cable (BS7846) -  XLPE/SWA/LSZH</v>
      </c>
      <c r="O2140" s="67"/>
    </row>
    <row r="2141" spans="1:37">
      <c r="A2141" s="501"/>
      <c r="B2141" s="502">
        <f t="shared" ca="1" si="78"/>
        <v>3</v>
      </c>
      <c r="C2141" s="70"/>
      <c r="D2141" s="503" t="str">
        <f>Elec_Rates!$D$32</f>
        <v>039# 5 x 10mm2 F120 Fire Resistant Cable (BS7846) -  XLPE/SWA/LSZH</v>
      </c>
      <c r="O2141" s="67"/>
    </row>
    <row r="2142" spans="1:37">
      <c r="A2142" s="501"/>
      <c r="B2142" s="502">
        <f t="shared" ca="1" si="78"/>
        <v>4</v>
      </c>
      <c r="C2142" s="70"/>
      <c r="D2142" s="503" t="str">
        <f>Elec_Rates!$D$43</f>
        <v>045# 5 x 4mm2 XLPE/SWA/LSZH</v>
      </c>
      <c r="O2142" s="67"/>
    </row>
    <row r="2143" spans="1:37">
      <c r="A2143" s="501"/>
      <c r="B2143" s="502">
        <f t="shared" ca="1" si="78"/>
        <v>13</v>
      </c>
      <c r="C2143" s="70"/>
      <c r="D2143" s="503" t="str">
        <f>Elec_Rates!$D$54</f>
        <v>046# 3 x 4mm2 XLPE/SWA/LSZH</v>
      </c>
      <c r="O2143" s="67"/>
    </row>
    <row r="2144" spans="1:37">
      <c r="A2144" s="501"/>
      <c r="B2144" s="502">
        <f t="shared" ca="1" si="78"/>
        <v>15</v>
      </c>
      <c r="C2144" s="70"/>
      <c r="D2144" s="503" t="str">
        <f>Elec_Rates!$D$66</f>
        <v>047# 5 x 2.5mm2 F120 Fire Resistant Cable (BS7846) -  XLPE/SWA/LSZH</v>
      </c>
      <c r="O2144" s="67"/>
    </row>
    <row r="2145" spans="1:37">
      <c r="A2145" s="501"/>
      <c r="B2145" s="502">
        <f t="shared" ca="1" si="78"/>
        <v>12</v>
      </c>
      <c r="C2145" s="70"/>
      <c r="D2145" s="503" t="str">
        <f>Elec_Rates!$D$77</f>
        <v>047# 5 x 2.5mm2 F120 Fire Resistant Cable (BS7846) -  XLPE/SWA/LSZH - High level</v>
      </c>
      <c r="O2145" s="67"/>
    </row>
    <row r="2146" spans="1:37">
      <c r="A2146" s="501"/>
      <c r="B2146" s="502">
        <f t="shared" ca="1" si="78"/>
        <v>3</v>
      </c>
      <c r="C2146" s="70"/>
      <c r="D2146" s="503" t="str">
        <f>Elec_Rates!$D$90</f>
        <v>044# 5 x 4mm2 F120 Fire Resistant Cable (BS7846) -  XLPE/SWA/LSZH</v>
      </c>
      <c r="O2146" s="67"/>
    </row>
    <row r="2147" spans="1:37">
      <c r="A2147" s="501"/>
      <c r="B2147" s="502">
        <f t="shared" ca="1" si="78"/>
        <v>26</v>
      </c>
      <c r="C2147" s="70"/>
      <c r="D2147" s="503" t="str">
        <f>Elec_Rates!$D$100</f>
        <v>001# SFDI adjacent to each damper.</v>
      </c>
      <c r="O2147" s="67"/>
    </row>
    <row r="2148" spans="1:37">
      <c r="A2148" s="501"/>
      <c r="B2148" s="502">
        <f t="shared" ca="1" si="78"/>
        <v>29</v>
      </c>
      <c r="C2148" s="70"/>
      <c r="D2148" s="503" t="str">
        <f>Elec_Rates!$D$121</f>
        <v>073# 300mm cable Tray c/w bracket to wall</v>
      </c>
      <c r="O2148" s="67"/>
    </row>
    <row r="2149" spans="1:37">
      <c r="A2149" s="501"/>
      <c r="B2149" s="502">
        <f t="shared" ca="1" si="78"/>
        <v>51</v>
      </c>
      <c r="C2149" s="70"/>
      <c r="D2149" s="503" t="str">
        <f>Elec_Rates!$D$138</f>
        <v>000# Empty conduit for thermostat</v>
      </c>
      <c r="O2149" s="67"/>
    </row>
    <row r="2150" spans="1:37" ht="14.4" thickBot="1">
      <c r="A2150" s="504"/>
      <c r="B2150" s="75"/>
      <c r="C2150" s="75"/>
      <c r="D2150" s="75"/>
      <c r="E2150" s="75"/>
      <c r="F2150" s="75"/>
      <c r="G2150" s="75"/>
      <c r="H2150" s="75"/>
      <c r="I2150" s="75"/>
      <c r="J2150" s="75"/>
      <c r="K2150" s="75"/>
      <c r="L2150" s="75"/>
      <c r="M2150" s="75"/>
      <c r="N2150" s="75"/>
      <c r="O2150" s="77"/>
      <c r="P2150" s="75"/>
      <c r="Q2150" s="75"/>
      <c r="R2150" s="75"/>
      <c r="S2150" s="75"/>
      <c r="T2150" s="75"/>
      <c r="U2150" s="75"/>
      <c r="V2150" s="408"/>
      <c r="W2150" s="408"/>
      <c r="X2150" s="408"/>
      <c r="Y2150" s="408"/>
      <c r="Z2150" s="408"/>
      <c r="AA2150" s="408"/>
      <c r="AB2150" s="408"/>
      <c r="AC2150" s="75"/>
      <c r="AD2150" s="75"/>
      <c r="AE2150" s="75"/>
      <c r="AF2150" s="75"/>
      <c r="AG2150" s="75"/>
      <c r="AH2150" s="75"/>
      <c r="AI2150" s="75"/>
      <c r="AJ2150" s="75"/>
      <c r="AK2150" s="75"/>
    </row>
    <row r="2151" spans="1:37" ht="14.4" thickTop="1">
      <c r="A2151" s="306" t="s">
        <v>147</v>
      </c>
      <c r="B2151" s="4"/>
      <c r="C2151" s="4"/>
      <c r="D2151" s="4"/>
      <c r="E2151" s="4"/>
      <c r="F2151" s="2"/>
      <c r="G2151" s="32"/>
      <c r="H2151" s="32"/>
      <c r="I2151" s="32"/>
      <c r="J2151" s="32"/>
      <c r="K2151" s="32"/>
      <c r="L2151" s="4"/>
      <c r="M2151" s="4"/>
      <c r="N2151" s="4"/>
      <c r="O2151" s="4"/>
      <c r="P2151" s="4"/>
      <c r="Q2151" s="44"/>
      <c r="R2151" s="32"/>
      <c r="S2151" s="32"/>
      <c r="T2151" s="32"/>
    </row>
  </sheetData>
  <sheetProtection formatCells="0" formatColumns="0" formatRows="0" insertColumns="0" insertRows="0" insertHyperlinks="0" deleteColumns="0" deleteRows="0" sort="0" autoFilter="0" pivotTables="0"/>
  <mergeCells count="16">
    <mergeCell ref="D1958:T1958"/>
    <mergeCell ref="D2013:T2013"/>
    <mergeCell ref="D1140:T1140"/>
    <mergeCell ref="D1161:T1161"/>
    <mergeCell ref="D1035:T1035"/>
    <mergeCell ref="D1051:T1051"/>
    <mergeCell ref="D1182:T1182"/>
    <mergeCell ref="D1391:T1391"/>
    <mergeCell ref="D1483:T1483"/>
    <mergeCell ref="D1558:T1558"/>
    <mergeCell ref="D1692:T1692"/>
    <mergeCell ref="D1203:T1203"/>
    <mergeCell ref="D1224:T1224"/>
    <mergeCell ref="D1245:T1245"/>
    <mergeCell ref="D1266:T1266"/>
    <mergeCell ref="D1295:T1295"/>
  </mergeCells>
  <phoneticPr fontId="33" type="noConversion"/>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14"/>
  <sheetViews>
    <sheetView topLeftCell="A19" workbookViewId="0">
      <selection activeCell="H32" sqref="H32"/>
    </sheetView>
  </sheetViews>
  <sheetFormatPr defaultColWidth="9.33203125" defaultRowHeight="13.8"/>
  <cols>
    <col min="1" max="1" width="9.33203125" style="773"/>
    <col min="2" max="2" width="69.6640625" style="666" customWidth="1"/>
    <col min="3" max="4" width="9.33203125" style="662" customWidth="1"/>
    <col min="5" max="5" width="10.6640625" style="664" hidden="1" customWidth="1"/>
    <col min="6" max="6" width="13.44140625" style="665" hidden="1" customWidth="1"/>
    <col min="7" max="9" width="17.21875" style="664" customWidth="1"/>
    <col min="10" max="16384" width="9.33203125" style="666"/>
  </cols>
  <sheetData>
    <row r="1" spans="1:9">
      <c r="A1" s="662"/>
      <c r="B1" s="663"/>
    </row>
    <row r="2" spans="1:9" s="671" customFormat="1">
      <c r="A2" s="667"/>
      <c r="B2" s="668" t="s">
        <v>360</v>
      </c>
      <c r="C2" s="667"/>
      <c r="D2" s="667"/>
      <c r="E2" s="669"/>
      <c r="F2" s="670"/>
      <c r="G2" s="669"/>
      <c r="H2" s="669"/>
      <c r="I2" s="669"/>
    </row>
    <row r="3" spans="1:9" s="671" customFormat="1">
      <c r="A3" s="667"/>
      <c r="B3" s="672"/>
      <c r="C3" s="667"/>
      <c r="D3" s="667"/>
      <c r="E3" s="673"/>
      <c r="F3" s="670"/>
      <c r="G3" s="673"/>
      <c r="H3" s="673"/>
      <c r="I3" s="673"/>
    </row>
    <row r="4" spans="1:9" s="671" customFormat="1" ht="27.6">
      <c r="A4" s="613" t="s">
        <v>143</v>
      </c>
      <c r="B4" s="614" t="s">
        <v>209</v>
      </c>
      <c r="C4" s="615" t="s">
        <v>210</v>
      </c>
      <c r="D4" s="615" t="s">
        <v>211</v>
      </c>
      <c r="E4" s="616" t="s">
        <v>309</v>
      </c>
      <c r="F4" s="617" t="s">
        <v>310</v>
      </c>
      <c r="G4" s="616" t="s">
        <v>912</v>
      </c>
      <c r="H4" s="616" t="s">
        <v>913</v>
      </c>
      <c r="I4" s="616" t="s">
        <v>914</v>
      </c>
    </row>
    <row r="5" spans="1:9" s="671" customFormat="1">
      <c r="A5" s="674">
        <v>1</v>
      </c>
      <c r="B5" s="675" t="s">
        <v>361</v>
      </c>
      <c r="C5" s="676"/>
      <c r="D5" s="676"/>
      <c r="E5" s="677"/>
      <c r="F5" s="678"/>
      <c r="G5" s="677"/>
      <c r="H5" s="677"/>
      <c r="I5" s="677"/>
    </row>
    <row r="6" spans="1:9" s="671" customFormat="1" ht="27.6">
      <c r="A6" s="679"/>
      <c r="B6" s="680" t="s">
        <v>362</v>
      </c>
      <c r="C6" s="681"/>
      <c r="D6" s="682"/>
      <c r="E6" s="683"/>
      <c r="F6" s="684"/>
      <c r="G6" s="683"/>
      <c r="H6" s="683"/>
      <c r="I6" s="683"/>
    </row>
    <row r="7" spans="1:9" s="671" customFormat="1" ht="69">
      <c r="A7" s="679">
        <f ca="1">IFERROR(IF(OFFSET(A7,-1,0)&gt;0,OFFSET(A7,-1,0)+0.001,ERROR.TYPE(0)),IFERROR(IF(OFFSET(A7,-2,0)&gt;0,OFFSET(A7,-2,0)+0.001,ERROR.TYPE(0)),IFERROR(IF(OFFSET(A7,-3,0)&gt;0,OFFSET(A7,-3,0)+0.001,ERROR.TYPE(0)),IFERROR(IF(OFFSET(A7,-4,0)&gt;0,OFFSET(A7,-4,0)+0.001,ERROR.TYPE(0)),IFERROR(IF(OFFSET(A7,-5,0)&gt;0,OFFSET(A7,-5,0)+0.001,ERROR.TYPE(0)),IFERROR(IF(OFFSET(A7,-6,0)&gt;0,OFFSET(A7,-6,0)+0.001,ERROR.TYPE(0)),IFERROR(IF(OFFSET(A7,-7,0)&gt;0,OFFSET(A7,-7,0)+0.001,ERROR.TYPE(0)),IFERROR(IF(OFFSET(A7,-8,0)&gt;0,OFFSET(A7,-8,0)+0.001,ERROR.TYPE(0)),IFERROR(IF(OFFSET(A7,-9,0)&gt;0,OFFSET(A7,-9,0)+0.001,ERROR.TYPE(0)),IFERROR(IF(OFFSET(A7,-10,0)&gt;0,OFFSET(A7,-10,0)+0.001,ERROR.TYPE(0)),ERROR.TYPE(0)))))))))))</f>
        <v>1.0009999999999999</v>
      </c>
      <c r="B7" s="685" t="s">
        <v>363</v>
      </c>
      <c r="C7" s="682">
        <v>1</v>
      </c>
      <c r="D7" s="682" t="s">
        <v>313</v>
      </c>
      <c r="E7" s="686"/>
      <c r="F7" s="687">
        <f>IFERROR($C7*E7,E7)</f>
        <v>0</v>
      </c>
      <c r="G7" s="686"/>
      <c r="H7" s="686"/>
      <c r="I7" s="686"/>
    </row>
    <row r="8" spans="1:9" s="671" customFormat="1" ht="234.6">
      <c r="A8" s="679">
        <f ca="1">IFERROR(IF(OFFSET(A8,-1,0)&gt;0,OFFSET(A8,-1,0)+0.001,ERROR.TYPE(0)),IFERROR(IF(OFFSET(A8,-2,0)&gt;0,OFFSET(A8,-2,0)+0.001,ERROR.TYPE(0)),IFERROR(IF(OFFSET(A8,-3,0)&gt;0,OFFSET(A8,-3,0)+0.001,ERROR.TYPE(0)),IFERROR(IF(OFFSET(A8,-4,0)&gt;0,OFFSET(A8,-4,0)+0.001,ERROR.TYPE(0)),IFERROR(IF(OFFSET(A8,-5,0)&gt;0,OFFSET(A8,-5,0)+0.001,ERROR.TYPE(0)),IFERROR(IF(OFFSET(A8,-6,0)&gt;0,OFFSET(A8,-6,0)+0.001,ERROR.TYPE(0)),IFERROR(IF(OFFSET(A8,-7,0)&gt;0,OFFSET(A8,-7,0)+0.001,ERROR.TYPE(0)),IFERROR(IF(OFFSET(A8,-8,0)&gt;0,OFFSET(A8,-8,0)+0.001,ERROR.TYPE(0)),IFERROR(IF(OFFSET(A8,-9,0)&gt;0,OFFSET(A8,-9,0)+0.001,ERROR.TYPE(0)),IFERROR(IF(OFFSET(A8,-10,0)&gt;0,OFFSET(A8,-10,0)+0.001,ERROR.TYPE(0)),ERROR.TYPE(0)))))))))))</f>
        <v>1.0019999999999998</v>
      </c>
      <c r="B8" s="688" t="s">
        <v>364</v>
      </c>
      <c r="C8" s="682">
        <v>1</v>
      </c>
      <c r="D8" s="682" t="s">
        <v>313</v>
      </c>
      <c r="E8" s="686"/>
      <c r="F8" s="687">
        <f>IFERROR($C8*E8,E8)</f>
        <v>0</v>
      </c>
      <c r="G8" s="686"/>
      <c r="H8" s="686"/>
      <c r="I8" s="686"/>
    </row>
    <row r="9" spans="1:9" s="671" customFormat="1" ht="69">
      <c r="A9" s="679">
        <f ca="1">IFERROR(IF(OFFSET(A9,-1,0)&gt;0,OFFSET(A9,-1,0)+0.001,ERROR.TYPE(0)),IFERROR(IF(OFFSET(A9,-2,0)&gt;0,OFFSET(A9,-2,0)+0.001,ERROR.TYPE(0)),IFERROR(IF(OFFSET(A9,-3,0)&gt;0,OFFSET(A9,-3,0)+0.001,ERROR.TYPE(0)),IFERROR(IF(OFFSET(A9,-4,0)&gt;0,OFFSET(A9,-4,0)+0.001,ERROR.TYPE(0)),IFERROR(IF(OFFSET(A9,-5,0)&gt;0,OFFSET(A9,-5,0)+0.001,ERROR.TYPE(0)),IFERROR(IF(OFFSET(A9,-6,0)&gt;0,OFFSET(A9,-6,0)+0.001,ERROR.TYPE(0)),IFERROR(IF(OFFSET(A9,-7,0)&gt;0,OFFSET(A9,-7,0)+0.001,ERROR.TYPE(0)),IFERROR(IF(OFFSET(A9,-8,0)&gt;0,OFFSET(A9,-8,0)+0.001,ERROR.TYPE(0)),IFERROR(IF(OFFSET(A9,-9,0)&gt;0,OFFSET(A9,-9,0)+0.001,ERROR.TYPE(0)),IFERROR(IF(OFFSET(A9,-10,0)&gt;0,OFFSET(A9,-10,0)+0.001,ERROR.TYPE(0)),ERROR.TYPE(0)))))))))))</f>
        <v>1.0029999999999997</v>
      </c>
      <c r="B9" s="685" t="s">
        <v>365</v>
      </c>
      <c r="C9" s="682">
        <v>1</v>
      </c>
      <c r="D9" s="682" t="s">
        <v>313</v>
      </c>
      <c r="E9" s="686"/>
      <c r="F9" s="687">
        <f>IFERROR($C9*E9,E9)</f>
        <v>0</v>
      </c>
      <c r="G9" s="686"/>
      <c r="H9" s="686"/>
      <c r="I9" s="686"/>
    </row>
    <row r="10" spans="1:9" s="671" customFormat="1" ht="82.8">
      <c r="A10" s="679">
        <f ca="1">IFERROR(IF(OFFSET(A10,-1,0)&gt;0,OFFSET(A10,-1,0)+0.001,ERROR.TYPE(0)),IFERROR(IF(OFFSET(A10,-2,0)&gt;0,OFFSET(A10,-2,0)+0.001,ERROR.TYPE(0)),IFERROR(IF(OFFSET(A10,-3,0)&gt;0,OFFSET(A10,-3,0)+0.001,ERROR.TYPE(0)),IFERROR(IF(OFFSET(A10,-4,0)&gt;0,OFFSET(A10,-4,0)+0.001,ERROR.TYPE(0)),IFERROR(IF(OFFSET(A10,-5,0)&gt;0,OFFSET(A10,-5,0)+0.001,ERROR.TYPE(0)),IFERROR(IF(OFFSET(A10,-6,0)&gt;0,OFFSET(A10,-6,0)+0.001,ERROR.TYPE(0)),IFERROR(IF(OFFSET(A10,-7,0)&gt;0,OFFSET(A10,-7,0)+0.001,ERROR.TYPE(0)),IFERROR(IF(OFFSET(A10,-8,0)&gt;0,OFFSET(A10,-8,0)+0.001,ERROR.TYPE(0)),IFERROR(IF(OFFSET(A10,-9,0)&gt;0,OFFSET(A10,-9,0)+0.001,ERROR.TYPE(0)),IFERROR(IF(OFFSET(A10,-10,0)&gt;0,OFFSET(A10,-10,0)+0.001,ERROR.TYPE(0)),ERROR.TYPE(0)))))))))))</f>
        <v>1.0039999999999996</v>
      </c>
      <c r="B10" s="685" t="s">
        <v>366</v>
      </c>
      <c r="C10" s="682">
        <v>1</v>
      </c>
      <c r="D10" s="682" t="s">
        <v>313</v>
      </c>
      <c r="E10" s="686"/>
      <c r="F10" s="687">
        <f>IFERROR($C10*E10,E10)</f>
        <v>0</v>
      </c>
      <c r="G10" s="686"/>
      <c r="H10" s="686"/>
      <c r="I10" s="686"/>
    </row>
    <row r="11" spans="1:9" s="671" customFormat="1" ht="55.2">
      <c r="A11" s="679">
        <f ca="1">IFERROR(IF(OFFSET(A11,-1,0)&gt;0,OFFSET(A11,-1,0)+0.001,ERROR.TYPE(0)),IFERROR(IF(OFFSET(A11,-2,0)&gt;0,OFFSET(A11,-2,0)+0.001,ERROR.TYPE(0)),IFERROR(IF(OFFSET(A11,-3,0)&gt;0,OFFSET(A11,-3,0)+0.001,ERROR.TYPE(0)),IFERROR(IF(OFFSET(A11,-4,0)&gt;0,OFFSET(A11,-4,0)+0.001,ERROR.TYPE(0)),IFERROR(IF(OFFSET(A11,-5,0)&gt;0,OFFSET(A11,-5,0)+0.001,ERROR.TYPE(0)),IFERROR(IF(OFFSET(A11,-6,0)&gt;0,OFFSET(A11,-6,0)+0.001,ERROR.TYPE(0)),IFERROR(IF(OFFSET(A11,-7,0)&gt;0,OFFSET(A11,-7,0)+0.001,ERROR.TYPE(0)),IFERROR(IF(OFFSET(A11,-8,0)&gt;0,OFFSET(A11,-8,0)+0.001,ERROR.TYPE(0)),IFERROR(IF(OFFSET(A11,-9,0)&gt;0,OFFSET(A11,-9,0)+0.001,ERROR.TYPE(0)),IFERROR(IF(OFFSET(A11,-10,0)&gt;0,OFFSET(A11,-10,0)+0.001,ERROR.TYPE(0)),ERROR.TYPE(0)))))))))))</f>
        <v>1.0049999999999994</v>
      </c>
      <c r="B11" s="685" t="s">
        <v>367</v>
      </c>
      <c r="C11" s="682">
        <v>1</v>
      </c>
      <c r="D11" s="682" t="s">
        <v>313</v>
      </c>
      <c r="E11" s="686"/>
      <c r="F11" s="687">
        <f>IFERROR($C11*E11,E11)</f>
        <v>0</v>
      </c>
      <c r="G11" s="686"/>
      <c r="H11" s="686"/>
      <c r="I11" s="686"/>
    </row>
    <row r="12" spans="1:9" s="671" customFormat="1">
      <c r="A12" s="674" t="s">
        <v>941</v>
      </c>
      <c r="B12" s="675" t="s">
        <v>328</v>
      </c>
      <c r="C12" s="1082" t="s">
        <v>315</v>
      </c>
      <c r="D12" s="1083"/>
      <c r="E12" s="689"/>
      <c r="F12" s="678">
        <f>SUM(F7:F11)</f>
        <v>0</v>
      </c>
      <c r="G12" s="735">
        <f t="shared" ref="G12:I12" si="0">SUM(G7:G11)</f>
        <v>0</v>
      </c>
      <c r="H12" s="735">
        <f t="shared" si="0"/>
        <v>0</v>
      </c>
      <c r="I12" s="735">
        <f t="shared" si="0"/>
        <v>0</v>
      </c>
    </row>
    <row r="13" spans="1:9" s="671" customFormat="1">
      <c r="A13" s="690"/>
      <c r="B13" s="672"/>
      <c r="C13" s="691"/>
      <c r="D13" s="691"/>
      <c r="E13" s="692"/>
      <c r="F13" s="693"/>
      <c r="G13" s="692"/>
      <c r="H13" s="692"/>
      <c r="I13" s="692"/>
    </row>
    <row r="14" spans="1:9" s="671" customFormat="1">
      <c r="A14" s="690"/>
      <c r="B14" s="672"/>
      <c r="C14" s="691"/>
      <c r="D14" s="691"/>
      <c r="E14" s="692"/>
      <c r="F14" s="693"/>
      <c r="G14" s="692"/>
      <c r="H14" s="692"/>
      <c r="I14" s="692"/>
    </row>
    <row r="15" spans="1:9" s="671" customFormat="1" ht="27.6">
      <c r="A15" s="613" t="s">
        <v>143</v>
      </c>
      <c r="B15" s="614" t="s">
        <v>209</v>
      </c>
      <c r="C15" s="615" t="s">
        <v>210</v>
      </c>
      <c r="D15" s="615" t="s">
        <v>211</v>
      </c>
      <c r="E15" s="616" t="s">
        <v>309</v>
      </c>
      <c r="F15" s="617" t="s">
        <v>310</v>
      </c>
      <c r="G15" s="616" t="s">
        <v>912</v>
      </c>
      <c r="H15" s="616" t="s">
        <v>913</v>
      </c>
      <c r="I15" s="616" t="s">
        <v>914</v>
      </c>
    </row>
    <row r="16" spans="1:9" s="671" customFormat="1" ht="69">
      <c r="A16" s="679">
        <f t="shared" ref="A16:A23" ca="1" si="1">IFERROR(IF(OFFSET(A16,-1,0)&gt;0,OFFSET(A16,-1,0)+0.001,ERROR.TYPE(0)),IFERROR(IF(OFFSET(A16,-2,0)&gt;0,OFFSET(A16,-2,0)+0.001,ERROR.TYPE(0)),IFERROR(IF(OFFSET(A16,-3,0)&gt;0,OFFSET(A16,-3,0)+0.001,ERROR.TYPE(0)),IFERROR(IF(OFFSET(A16,-4,0)&gt;0,OFFSET(A16,-4,0)+0.001,ERROR.TYPE(0)),IFERROR(IF(OFFSET(A16,-5,0)&gt;0,OFFSET(A16,-5,0)+0.001,ERROR.TYPE(0)),IFERROR(IF(OFFSET(A16,-6,0)&gt;0,OFFSET(A16,-6,0)+0.001,ERROR.TYPE(0)),IFERROR(IF(OFFSET(A16,-7,0)&gt;0,OFFSET(A16,-7,0)+0.001,ERROR.TYPE(0)),IFERROR(IF(OFFSET(A16,-8,0)&gt;0,OFFSET(A16,-8,0)+0.001,ERROR.TYPE(0)),IFERROR(IF(OFFSET(A16,-9,0)&gt;0,OFFSET(A16,-9,0)+0.001,ERROR.TYPE(0)),IFERROR(IF(OFFSET(A16,-10,0)&gt;0,OFFSET(A16,-10,0)+0.001,ERROR.TYPE(0)),ERROR.TYPE(0)))))))))))</f>
        <v>1.0059999999999993</v>
      </c>
      <c r="B16" s="685" t="s">
        <v>368</v>
      </c>
      <c r="C16" s="682">
        <v>1</v>
      </c>
      <c r="D16" s="682" t="s">
        <v>313</v>
      </c>
      <c r="E16" s="686"/>
      <c r="F16" s="687">
        <f t="shared" ref="F16:F23" si="2">IFERROR($C16*E16,E16)</f>
        <v>0</v>
      </c>
      <c r="G16" s="686"/>
      <c r="H16" s="686"/>
      <c r="I16" s="686"/>
    </row>
    <row r="17" spans="1:9" s="671" customFormat="1" ht="55.2">
      <c r="A17" s="679">
        <f t="shared" ca="1" si="1"/>
        <v>1.0069999999999992</v>
      </c>
      <c r="B17" s="685" t="s">
        <v>369</v>
      </c>
      <c r="C17" s="682">
        <v>1</v>
      </c>
      <c r="D17" s="682" t="s">
        <v>313</v>
      </c>
      <c r="E17" s="686"/>
      <c r="F17" s="687">
        <f t="shared" si="2"/>
        <v>0</v>
      </c>
      <c r="G17" s="686"/>
      <c r="H17" s="686"/>
      <c r="I17" s="686"/>
    </row>
    <row r="18" spans="1:9" s="671" customFormat="1" ht="55.2">
      <c r="A18" s="679">
        <f t="shared" ca="1" si="1"/>
        <v>1.0079999999999991</v>
      </c>
      <c r="B18" s="685" t="s">
        <v>370</v>
      </c>
      <c r="C18" s="682">
        <v>1</v>
      </c>
      <c r="D18" s="682" t="s">
        <v>313</v>
      </c>
      <c r="E18" s="686"/>
      <c r="F18" s="687">
        <f t="shared" si="2"/>
        <v>0</v>
      </c>
      <c r="G18" s="686"/>
      <c r="H18" s="686"/>
      <c r="I18" s="686"/>
    </row>
    <row r="19" spans="1:9" s="671" customFormat="1" ht="124.2">
      <c r="A19" s="679">
        <f t="shared" ca="1" si="1"/>
        <v>1.008999999999999</v>
      </c>
      <c r="B19" s="685" t="s">
        <v>371</v>
      </c>
      <c r="C19" s="682">
        <v>1</v>
      </c>
      <c r="D19" s="682" t="s">
        <v>313</v>
      </c>
      <c r="E19" s="686"/>
      <c r="F19" s="687">
        <f t="shared" si="2"/>
        <v>0</v>
      </c>
      <c r="G19" s="686"/>
      <c r="H19" s="686"/>
      <c r="I19" s="686"/>
    </row>
    <row r="20" spans="1:9" s="671" customFormat="1" ht="55.2">
      <c r="A20" s="679">
        <f t="shared" ca="1" si="1"/>
        <v>1.0099999999999989</v>
      </c>
      <c r="B20" s="694" t="s">
        <v>372</v>
      </c>
      <c r="C20" s="682">
        <v>1</v>
      </c>
      <c r="D20" s="682" t="s">
        <v>313</v>
      </c>
      <c r="E20" s="686"/>
      <c r="F20" s="687">
        <f t="shared" si="2"/>
        <v>0</v>
      </c>
      <c r="G20" s="686"/>
      <c r="H20" s="686"/>
      <c r="I20" s="686"/>
    </row>
    <row r="21" spans="1:9" s="695" customFormat="1" ht="27.6">
      <c r="A21" s="679">
        <f t="shared" ca="1" si="1"/>
        <v>1.0109999999999988</v>
      </c>
      <c r="B21" s="624" t="s">
        <v>373</v>
      </c>
      <c r="C21" s="682">
        <v>1</v>
      </c>
      <c r="D21" s="682" t="s">
        <v>313</v>
      </c>
      <c r="E21" s="686"/>
      <c r="F21" s="687">
        <f t="shared" si="2"/>
        <v>0</v>
      </c>
      <c r="G21" s="686"/>
      <c r="H21" s="686"/>
      <c r="I21" s="686"/>
    </row>
    <row r="22" spans="1:9" s="671" customFormat="1" ht="41.4">
      <c r="A22" s="679">
        <f t="shared" ca="1" si="1"/>
        <v>1.0119999999999987</v>
      </c>
      <c r="B22" s="694" t="s">
        <v>374</v>
      </c>
      <c r="C22" s="682">
        <v>1</v>
      </c>
      <c r="D22" s="682" t="s">
        <v>313</v>
      </c>
      <c r="E22" s="686"/>
      <c r="F22" s="687">
        <f t="shared" si="2"/>
        <v>0</v>
      </c>
      <c r="G22" s="686"/>
      <c r="H22" s="686"/>
      <c r="I22" s="686"/>
    </row>
    <row r="23" spans="1:9" s="671" customFormat="1" ht="41.4">
      <c r="A23" s="679">
        <f t="shared" ca="1" si="1"/>
        <v>1.0129999999999986</v>
      </c>
      <c r="B23" s="694" t="s">
        <v>375</v>
      </c>
      <c r="C23" s="682">
        <v>1</v>
      </c>
      <c r="D23" s="682" t="s">
        <v>313</v>
      </c>
      <c r="E23" s="686"/>
      <c r="F23" s="687">
        <f t="shared" si="2"/>
        <v>0</v>
      </c>
      <c r="G23" s="686"/>
      <c r="H23" s="686"/>
      <c r="I23" s="686"/>
    </row>
    <row r="24" spans="1:9" s="671" customFormat="1" ht="14.7" customHeight="1">
      <c r="A24" s="674" t="s">
        <v>941</v>
      </c>
      <c r="B24" s="675" t="s">
        <v>329</v>
      </c>
      <c r="C24" s="1082" t="s">
        <v>315</v>
      </c>
      <c r="D24" s="1083"/>
      <c r="E24" s="689"/>
      <c r="F24" s="678">
        <f>SUM(F16:F23)</f>
        <v>0</v>
      </c>
      <c r="G24" s="735">
        <f t="shared" ref="G24:I24" si="3">SUM(G16:G23)</f>
        <v>0</v>
      </c>
      <c r="H24" s="735">
        <f t="shared" si="3"/>
        <v>0</v>
      </c>
      <c r="I24" s="735">
        <f t="shared" si="3"/>
        <v>0</v>
      </c>
    </row>
    <row r="25" spans="1:9" s="671" customFormat="1">
      <c r="A25" s="690"/>
      <c r="B25" s="672"/>
      <c r="C25" s="691"/>
      <c r="D25" s="691"/>
      <c r="E25" s="692"/>
      <c r="F25" s="693"/>
      <c r="G25" s="692"/>
      <c r="H25" s="692"/>
      <c r="I25" s="692"/>
    </row>
    <row r="26" spans="1:9" s="671" customFormat="1" ht="14.7" customHeight="1">
      <c r="A26" s="674"/>
      <c r="B26" s="675" t="s">
        <v>330</v>
      </c>
      <c r="C26" s="1082" t="s">
        <v>315</v>
      </c>
      <c r="D26" s="1083"/>
      <c r="E26" s="696"/>
      <c r="F26" s="678">
        <f>F24+F12</f>
        <v>0</v>
      </c>
      <c r="G26" s="735">
        <f t="shared" ref="G26:I26" si="4">G24+G12</f>
        <v>0</v>
      </c>
      <c r="H26" s="735">
        <f t="shared" si="4"/>
        <v>0</v>
      </c>
      <c r="I26" s="735">
        <f t="shared" si="4"/>
        <v>0</v>
      </c>
    </row>
    <row r="27" spans="1:9" s="671" customFormat="1" ht="14.7" customHeight="1">
      <c r="A27" s="697"/>
      <c r="B27" s="698"/>
      <c r="C27" s="699"/>
      <c r="D27" s="691"/>
      <c r="E27" s="700"/>
      <c r="F27" s="701"/>
      <c r="G27" s="700"/>
      <c r="H27" s="700"/>
      <c r="I27" s="700"/>
    </row>
    <row r="28" spans="1:9" s="671" customFormat="1">
      <c r="A28" s="697"/>
      <c r="B28" s="698"/>
      <c r="C28" s="699"/>
      <c r="D28" s="691"/>
      <c r="E28" s="700"/>
      <c r="F28" s="701"/>
      <c r="G28" s="700"/>
      <c r="H28" s="700"/>
      <c r="I28" s="700"/>
    </row>
    <row r="29" spans="1:9" s="671" customFormat="1" ht="27.6">
      <c r="A29" s="613" t="s">
        <v>143</v>
      </c>
      <c r="B29" s="614" t="s">
        <v>209</v>
      </c>
      <c r="C29" s="615" t="s">
        <v>210</v>
      </c>
      <c r="D29" s="615" t="s">
        <v>211</v>
      </c>
      <c r="E29" s="616" t="s">
        <v>309</v>
      </c>
      <c r="F29" s="617" t="s">
        <v>310</v>
      </c>
      <c r="G29" s="616" t="s">
        <v>912</v>
      </c>
      <c r="H29" s="616" t="s">
        <v>913</v>
      </c>
      <c r="I29" s="616" t="s">
        <v>914</v>
      </c>
    </row>
    <row r="30" spans="1:9" s="671" customFormat="1">
      <c r="A30" s="674" t="s">
        <v>345</v>
      </c>
      <c r="B30" s="702" t="s">
        <v>376</v>
      </c>
      <c r="C30" s="676"/>
      <c r="D30" s="676"/>
      <c r="E30" s="677"/>
      <c r="F30" s="678"/>
      <c r="G30" s="677"/>
      <c r="H30" s="677"/>
      <c r="I30" s="677"/>
    </row>
    <row r="31" spans="1:9" s="671" customFormat="1">
      <c r="A31" s="674" t="s">
        <v>340</v>
      </c>
      <c r="B31" s="702" t="s">
        <v>377</v>
      </c>
      <c r="C31" s="676"/>
      <c r="D31" s="676"/>
      <c r="E31" s="677"/>
      <c r="F31" s="678"/>
      <c r="G31" s="677"/>
      <c r="H31" s="677"/>
      <c r="I31" s="677"/>
    </row>
    <row r="32" spans="1:9" s="671" customFormat="1" ht="55.2">
      <c r="A32" s="703" t="s">
        <v>340</v>
      </c>
      <c r="B32" s="704" t="s">
        <v>378</v>
      </c>
      <c r="C32" s="705"/>
      <c r="D32" s="705"/>
      <c r="E32" s="706"/>
      <c r="F32" s="707"/>
      <c r="G32" s="706"/>
      <c r="H32" s="706"/>
      <c r="I32" s="706"/>
    </row>
    <row r="33" spans="1:9" s="671" customFormat="1" ht="36.6" customHeight="1">
      <c r="A33" s="708">
        <v>2.0009999999999999</v>
      </c>
      <c r="B33" s="709" t="s">
        <v>379</v>
      </c>
      <c r="C33" s="682">
        <v>2</v>
      </c>
      <c r="D33" s="682" t="s">
        <v>312</v>
      </c>
      <c r="E33" s="686">
        <f ca="1">Elec_Est!E27</f>
        <v>245.04</v>
      </c>
      <c r="F33" s="687">
        <f t="shared" ref="F33:F38" ca="1" si="5">IFERROR($C33*E33,E33)</f>
        <v>490.08</v>
      </c>
      <c r="G33" s="686">
        <f ca="1">Elec_Est!AM27</f>
        <v>333</v>
      </c>
      <c r="H33" s="686">
        <f ca="1">Elec_Est!AN27</f>
        <v>5.72</v>
      </c>
      <c r="I33" s="686"/>
    </row>
    <row r="34" spans="1:9" s="671" customFormat="1" ht="36.6" customHeight="1">
      <c r="A34" s="708">
        <f t="shared" ref="A34:A38" ca="1" si="6">IFERROR(IF(OFFSET(A34,-1,0,1,1)&gt;0,OFFSET(A34,-1,0,1,1)+0.001,ERROR.TYPE(0)),IFERROR(IF(OFFSET(A34,-2,0,1,1)&gt;0,OFFSET(A34,-2,0,1,1)+0.001,ERROR.TYPE(0)),IFERROR(IF(OFFSET(A34,-3,0,1,1)&gt;0,OFFSET(A34,-3,0,1,1)+0.001,ERROR.TYPE(0)),IFERROR(IF(OFFSET(A34,-4,0,1,1)&gt;0,OFFSET(A34,-4,0,1,1)+0.001,ERROR.TYPE(0)),IFERROR(IF(OFFSET(A34,-5,0,1,1)&gt;0,OFFSET(A34,-5,0,1,1)+0.001,ERROR.TYPE(0)),IFERROR(IF(OFFSET(A34,-6,0,1,1)&gt;0,OFFSET(A34,-6,0,1,1)+0.001,ERROR.TYPE(0)),IFERROR(IF(OFFSET(A34,-7,0,1,1)&gt;0,OFFSET(A34,-7,0,1,1)+0.001,ERROR.TYPE(0)),IFERROR(IF(OFFSET(A34,-8,0,1,1)&gt;0,OFFSET(A34,-8,0,1,1)+0.001,ERROR.TYPE(0)),IFERROR(IF(OFFSET(A34,-9,0,1,1)&gt;0,OFFSET(A34,-9,0,1,1)+0.001,ERROR.TYPE(0)),IFERROR(IF(OFFSET(A34,-10,0,1,1)&gt;0,OFFSET(A34,-10,0,1,1)+0.001,ERROR.TYPE(0)),ERROR.TYPE(0)))))))))))</f>
        <v>2.0019999999999998</v>
      </c>
      <c r="B34" s="709" t="s">
        <v>380</v>
      </c>
      <c r="C34" s="682">
        <v>2</v>
      </c>
      <c r="D34" s="682" t="s">
        <v>312</v>
      </c>
      <c r="E34" s="686">
        <f ca="1">Elec_Est!E43</f>
        <v>245.04</v>
      </c>
      <c r="F34" s="687">
        <f t="shared" ca="1" si="5"/>
        <v>490.08</v>
      </c>
      <c r="G34" s="686">
        <f ca="1">Elec_Est!AM43</f>
        <v>333</v>
      </c>
      <c r="H34" s="686">
        <f ca="1">Elec_Est!AN43</f>
        <v>5.72</v>
      </c>
      <c r="I34" s="686"/>
    </row>
    <row r="35" spans="1:9" s="671" customFormat="1">
      <c r="A35" s="708">
        <f ca="1">IFERROR(IF(OFFSET(A35,-1,0,1,1)&gt;0,OFFSET(A35,-1,0,1,1)+0.001,ERROR.TYPE(0)),IFERROR(IF(OFFSET(A35,-2,0,1,1)&gt;0,OFFSET(A35,-2,0,1,1)+0.001,ERROR.TYPE(0)),IFERROR(IF(OFFSET(A35,-3,0,1,1)&gt;0,OFFSET(A35,-3,0,1,1)+0.001,ERROR.TYPE(0)),IFERROR(IF(OFFSET(A35,-4,0,1,1)&gt;0,OFFSET(A35,-4,0,1,1)+0.001,ERROR.TYPE(0)),IFERROR(IF(OFFSET(A35,-5,0,1,1)&gt;0,OFFSET(A35,-5,0,1,1)+0.001,ERROR.TYPE(0)),IFERROR(IF(OFFSET(A35,-6,0,1,1)&gt;0,OFFSET(A35,-6,0,1,1)+0.001,ERROR.TYPE(0)),IFERROR(IF(OFFSET(A35,-7,0,1,1)&gt;0,OFFSET(A35,-7,0,1,1)+0.001,ERROR.TYPE(0)),IFERROR(IF(OFFSET(A35,-8,0,1,1)&gt;0,OFFSET(A35,-8,0,1,1)+0.001,ERROR.TYPE(0)),IFERROR(IF(OFFSET(A35,-9,0,1,1)&gt;0,OFFSET(A35,-9,0,1,1)+0.001,ERROR.TYPE(0)),IFERROR(IF(OFFSET(A35,-10,0,1,1)&gt;0,OFFSET(A35,-10,0,1,1)+0.001,ERROR.TYPE(0)),ERROR.TYPE(0)))))))))))</f>
        <v>2.0029999999999997</v>
      </c>
      <c r="B35" s="709" t="s">
        <v>381</v>
      </c>
      <c r="C35" s="682">
        <v>1</v>
      </c>
      <c r="D35" s="682" t="s">
        <v>312</v>
      </c>
      <c r="E35" s="686">
        <f ca="1">Elec_Est!E59</f>
        <v>65.62</v>
      </c>
      <c r="F35" s="687">
        <f ca="1">IFERROR($C35*E35,E35)</f>
        <v>65.62</v>
      </c>
      <c r="G35" s="686">
        <f ca="1">Elec_Est!AM59</f>
        <v>20.04</v>
      </c>
      <c r="H35" s="686">
        <f ca="1">Elec_Est!AN59</f>
        <v>1.66</v>
      </c>
      <c r="I35" s="686"/>
    </row>
    <row r="36" spans="1:9" s="671" customFormat="1">
      <c r="A36" s="708">
        <f t="shared" ca="1" si="6"/>
        <v>2.0039999999999996</v>
      </c>
      <c r="B36" s="709" t="s">
        <v>382</v>
      </c>
      <c r="C36" s="682">
        <v>1</v>
      </c>
      <c r="D36" s="682" t="s">
        <v>312</v>
      </c>
      <c r="E36" s="686">
        <f ca="1">Elec_Est!E75</f>
        <v>73.040000000000006</v>
      </c>
      <c r="F36" s="687">
        <f t="shared" ca="1" si="5"/>
        <v>73.040000000000006</v>
      </c>
      <c r="G36" s="686">
        <f ca="1">Elec_Est!AM75</f>
        <v>24.44</v>
      </c>
      <c r="H36" s="686">
        <f ca="1">Elec_Est!AN75</f>
        <v>1.77</v>
      </c>
      <c r="I36" s="686"/>
    </row>
    <row r="37" spans="1:9" s="671" customFormat="1">
      <c r="A37" s="708">
        <f ca="1">IFERROR(IF(OFFSET(A37,-1,0,1,1)&gt;0,OFFSET(A37,-1,0,1,1)+0.001,ERROR.TYPE(0)),IFERROR(IF(OFFSET(A37,-2,0,1,1)&gt;0,OFFSET(A37,-2,0,1,1)+0.001,ERROR.TYPE(0)),IFERROR(IF(OFFSET(A37,-3,0,1,1)&gt;0,OFFSET(A37,-3,0,1,1)+0.001,ERROR.TYPE(0)),IFERROR(IF(OFFSET(A37,-4,0,1,1)&gt;0,OFFSET(A37,-4,0,1,1)+0.001,ERROR.TYPE(0)),IFERROR(IF(OFFSET(A37,-5,0,1,1)&gt;0,OFFSET(A37,-5,0,1,1)+0.001,ERROR.TYPE(0)),IFERROR(IF(OFFSET(A37,-6,0,1,1)&gt;0,OFFSET(A37,-6,0,1,1)+0.001,ERROR.TYPE(0)),IFERROR(IF(OFFSET(A37,-7,0,1,1)&gt;0,OFFSET(A37,-7,0,1,1)+0.001,ERROR.TYPE(0)),IFERROR(IF(OFFSET(A37,-8,0,1,1)&gt;0,OFFSET(A37,-8,0,1,1)+0.001,ERROR.TYPE(0)),IFERROR(IF(OFFSET(A37,-9,0,1,1)&gt;0,OFFSET(A37,-9,0,1,1)+0.001,ERROR.TYPE(0)),IFERROR(IF(OFFSET(A37,-10,0,1,1)&gt;0,OFFSET(A37,-10,0,1,1)+0.001,ERROR.TYPE(0)),ERROR.TYPE(0)))))))))))</f>
        <v>2.0049999999999994</v>
      </c>
      <c r="B37" s="709" t="s">
        <v>383</v>
      </c>
      <c r="C37" s="682">
        <v>1</v>
      </c>
      <c r="D37" s="682" t="s">
        <v>312</v>
      </c>
      <c r="E37" s="686">
        <f ca="1">Elec_Est!E91</f>
        <v>73.040000000000006</v>
      </c>
      <c r="F37" s="687">
        <f ca="1">IFERROR($C37*E37,E37)</f>
        <v>73.040000000000006</v>
      </c>
      <c r="G37" s="686">
        <f ca="1">Elec_Est!AM91</f>
        <v>24.44</v>
      </c>
      <c r="H37" s="686">
        <f ca="1">Elec_Est!AN91</f>
        <v>1.77</v>
      </c>
      <c r="I37" s="686"/>
    </row>
    <row r="38" spans="1:9" s="671" customFormat="1" ht="27.6">
      <c r="A38" s="708">
        <f t="shared" ca="1" si="6"/>
        <v>2.0059999999999993</v>
      </c>
      <c r="B38" s="709" t="s">
        <v>384</v>
      </c>
      <c r="C38" s="682">
        <v>1</v>
      </c>
      <c r="D38" s="682" t="s">
        <v>312</v>
      </c>
      <c r="E38" s="686">
        <f>Elec_Est!E108</f>
        <v>309.67</v>
      </c>
      <c r="F38" s="687">
        <f t="shared" si="5"/>
        <v>309.67</v>
      </c>
      <c r="G38" s="686">
        <f>Elec_Est!AM108</f>
        <v>114.98</v>
      </c>
      <c r="H38" s="686">
        <f>Elec_Est!AN108</f>
        <v>7.09</v>
      </c>
      <c r="I38" s="686"/>
    </row>
    <row r="39" spans="1:9" s="1066" customFormat="1" ht="55.2">
      <c r="A39" s="1068"/>
      <c r="B39" s="1069" t="s">
        <v>378</v>
      </c>
      <c r="C39" s="1070"/>
      <c r="D39" s="1070"/>
      <c r="E39" s="1071"/>
      <c r="F39" s="1072"/>
      <c r="G39" s="1074"/>
      <c r="H39" s="1074"/>
      <c r="I39" s="1074"/>
    </row>
    <row r="40" spans="1:9" s="1066" customFormat="1">
      <c r="A40" s="1061" t="s">
        <v>981</v>
      </c>
      <c r="B40" s="1062" t="s">
        <v>982</v>
      </c>
      <c r="C40" s="1063">
        <v>1</v>
      </c>
      <c r="D40" s="1063" t="s">
        <v>312</v>
      </c>
      <c r="E40" s="1064"/>
      <c r="F40" s="1065">
        <f>IFERROR($C40*E40,E40)</f>
        <v>0</v>
      </c>
      <c r="G40" s="1073">
        <f ca="1">Elec_Est!AM123</f>
        <v>24.44</v>
      </c>
      <c r="H40" s="1073">
        <f ca="1">Elec_Est!AN123</f>
        <v>1.77</v>
      </c>
      <c r="I40" s="1074"/>
    </row>
    <row r="41" spans="1:9" s="1066" customFormat="1">
      <c r="A41" s="1061" t="s">
        <v>983</v>
      </c>
      <c r="B41" s="1062" t="s">
        <v>984</v>
      </c>
      <c r="C41" s="1063">
        <v>1</v>
      </c>
      <c r="D41" s="1063" t="s">
        <v>312</v>
      </c>
      <c r="E41" s="1064"/>
      <c r="F41" s="1065">
        <f>IFERROR($C41*E41,E41)</f>
        <v>0</v>
      </c>
      <c r="G41" s="1073">
        <f ca="1">Elec_Est!AM139</f>
        <v>24.44</v>
      </c>
      <c r="H41" s="1073">
        <f ca="1">Elec_Est!AN139</f>
        <v>1.77</v>
      </c>
      <c r="I41" s="1074"/>
    </row>
    <row r="42" spans="1:9" s="671" customFormat="1" ht="41.4">
      <c r="A42" s="703" t="s">
        <v>340</v>
      </c>
      <c r="B42" s="704" t="s">
        <v>385</v>
      </c>
      <c r="C42" s="705"/>
      <c r="D42" s="705"/>
      <c r="E42" s="706"/>
      <c r="F42" s="707"/>
      <c r="G42" s="706"/>
      <c r="H42" s="706"/>
      <c r="I42" s="706"/>
    </row>
    <row r="43" spans="1:9" s="671" customFormat="1" ht="27.6">
      <c r="A43" s="708">
        <f ca="1">IFERROR(IF(OFFSET(A43,-1,0,1,1)&gt;0,OFFSET(A43,-1,0,1,1)+0.001,ERROR.TYPE(0)),IFERROR(IF(OFFSET(A43,-2,0,1,1)&gt;0,OFFSET(A43,-2,0,1,1)+0.001,ERROR.TYPE(0)),IFERROR(IF(OFFSET(A43,-3,0,1,1)&gt;0,OFFSET(A43,-3,0,1,1)+0.001,ERROR.TYPE(0)),IFERROR(IF(OFFSET(A43,-4,0,1,1)&gt;0,OFFSET(A43,-4,0,1,1)+0.001,ERROR.TYPE(0)),IFERROR(IF(OFFSET(A43,-5,0,1,1)&gt;0,OFFSET(A43,-5,0,1,1)+0.001,ERROR.TYPE(0)),IFERROR(IF(OFFSET(A43,-6,0,1,1)&gt;0,OFFSET(A43,-6,0,1,1)+0.001,ERROR.TYPE(0)),IFERROR(IF(OFFSET(A43,-7,0,1,1)&gt;0,OFFSET(A43,-7,0,1,1)+0.001,ERROR.TYPE(0)),IFERROR(IF(OFFSET(A43,-8,0,1,1)&gt;0,OFFSET(A43,-8,0,1,1)+0.001,ERROR.TYPE(0)),IFERROR(IF(OFFSET(A43,-9,0,1,1)&gt;0,OFFSET(A43,-9,0,1,1)+0.001,ERROR.TYPE(0)),IFERROR(IF(OFFSET(A43,-10,0,1,1)&gt;0,OFFSET(A43,-10,0,1,1)+0.001,ERROR.TYPE(0)),ERROR.TYPE(0)))))))))))</f>
        <v>2.0069999999999992</v>
      </c>
      <c r="B43" s="709" t="s">
        <v>386</v>
      </c>
      <c r="C43" s="682">
        <v>7</v>
      </c>
      <c r="D43" s="682" t="s">
        <v>312</v>
      </c>
      <c r="E43" s="686">
        <f ca="1">Elec_Est!E159</f>
        <v>89.37</v>
      </c>
      <c r="F43" s="687">
        <f ca="1">IFERROR($C43*E43,E43)</f>
        <v>625.59</v>
      </c>
      <c r="G43" s="686">
        <f ca="1">Elec_Est!AM159</f>
        <v>310.38</v>
      </c>
      <c r="H43" s="686">
        <f ca="1">Elec_Est!AN159</f>
        <v>11.48</v>
      </c>
      <c r="I43" s="686"/>
    </row>
    <row r="44" spans="1:9" s="671" customFormat="1" ht="27.6">
      <c r="A44" s="708">
        <f ca="1">IFERROR(IF(OFFSET(A44,-1,0,1,1)&gt;0,OFFSET(A44,-1,0,1,1)+0.001,ERROR.TYPE(0)),IFERROR(IF(OFFSET(A44,-2,0,1,1)&gt;0,OFFSET(A44,-2,0,1,1)+0.001,ERROR.TYPE(0)),IFERROR(IF(OFFSET(A44,-3,0,1,1)&gt;0,OFFSET(A44,-3,0,1,1)+0.001,ERROR.TYPE(0)),IFERROR(IF(OFFSET(A44,-4,0,1,1)&gt;0,OFFSET(A44,-4,0,1,1)+0.001,ERROR.TYPE(0)),IFERROR(IF(OFFSET(A44,-5,0,1,1)&gt;0,OFFSET(A44,-5,0,1,1)+0.001,ERROR.TYPE(0)),IFERROR(IF(OFFSET(A44,-6,0,1,1)&gt;0,OFFSET(A44,-6,0,1,1)+0.001,ERROR.TYPE(0)),IFERROR(IF(OFFSET(A44,-7,0,1,1)&gt;0,OFFSET(A44,-7,0,1,1)+0.001,ERROR.TYPE(0)),IFERROR(IF(OFFSET(A44,-8,0,1,1)&gt;0,OFFSET(A44,-8,0,1,1)+0.001,ERROR.TYPE(0)),IFERROR(IF(OFFSET(A44,-9,0,1,1)&gt;0,OFFSET(A44,-9,0,1,1)+0.001,ERROR.TYPE(0)),IFERROR(IF(OFFSET(A44,-10,0,1,1)&gt;0,OFFSET(A44,-10,0,1,1)+0.001,ERROR.TYPE(0)),ERROR.TYPE(0)))))))))))</f>
        <v>2.0079999999999991</v>
      </c>
      <c r="B44" s="709" t="s">
        <v>387</v>
      </c>
      <c r="C44" s="682">
        <v>8</v>
      </c>
      <c r="D44" s="682" t="s">
        <v>312</v>
      </c>
      <c r="E44" s="686">
        <f ca="1">Elec_Est!E175</f>
        <v>89.38</v>
      </c>
      <c r="F44" s="687">
        <f ca="1">IFERROR($C44*E44,E44)</f>
        <v>715.04</v>
      </c>
      <c r="G44" s="686">
        <f ca="1">Elec_Est!AM175</f>
        <v>354.72</v>
      </c>
      <c r="H44" s="686">
        <f ca="1">Elec_Est!AN175</f>
        <v>13.12</v>
      </c>
      <c r="I44" s="686"/>
    </row>
    <row r="45" spans="1:9" s="671" customFormat="1">
      <c r="A45" s="674" t="s">
        <v>340</v>
      </c>
      <c r="B45" s="702" t="s">
        <v>388</v>
      </c>
      <c r="C45" s="676"/>
      <c r="D45" s="676"/>
      <c r="E45" s="677"/>
      <c r="F45" s="678"/>
      <c r="G45" s="677"/>
      <c r="H45" s="677"/>
      <c r="I45" s="677"/>
    </row>
    <row r="46" spans="1:9" s="671" customFormat="1" ht="55.2">
      <c r="A46" s="703" t="s">
        <v>340</v>
      </c>
      <c r="B46" s="704" t="s">
        <v>378</v>
      </c>
      <c r="C46" s="705"/>
      <c r="D46" s="705"/>
      <c r="E46" s="706"/>
      <c r="F46" s="707"/>
      <c r="G46" s="706"/>
      <c r="H46" s="706"/>
      <c r="I46" s="706"/>
    </row>
    <row r="47" spans="1:9" s="671" customFormat="1">
      <c r="A47" s="708">
        <f ca="1">IFERROR(IF(OFFSET(A47,-1,0,1,1)&gt;0,OFFSET(A47,-1,0,1,1)+0.001,ERROR.TYPE(0)),IFERROR(IF(OFFSET(A47,-2,0,1,1)&gt;0,OFFSET(A47,-2,0,1,1)+0.001,ERROR.TYPE(0)),IFERROR(IF(OFFSET(A47,-3,0,1,1)&gt;0,OFFSET(A47,-3,0,1,1)+0.001,ERROR.TYPE(0)),IFERROR(IF(OFFSET(A47,-4,0,1,1)&gt;0,OFFSET(A47,-4,0,1,1)+0.001,ERROR.TYPE(0)),IFERROR(IF(OFFSET(A47,-5,0,1,1)&gt;0,OFFSET(A47,-5,0,1,1)+0.001,ERROR.TYPE(0)),IFERROR(IF(OFFSET(A47,-6,0,1,1)&gt;0,OFFSET(A47,-6,0,1,1)+0.001,ERROR.TYPE(0)),IFERROR(IF(OFFSET(A47,-7,0,1,1)&gt;0,OFFSET(A47,-7,0,1,1)+0.001,ERROR.TYPE(0)),IFERROR(IF(OFFSET(A47,-8,0,1,1)&gt;0,OFFSET(A47,-8,0,1,1)+0.001,ERROR.TYPE(0)),IFERROR(IF(OFFSET(A47,-9,0,1,1)&gt;0,OFFSET(A47,-9,0,1,1)+0.001,ERROR.TYPE(0)),IFERROR(IF(OFFSET(A47,-10,0,1,1)&gt;0,OFFSET(A47,-10,0,1,1)+0.001,ERROR.TYPE(0)),ERROR.TYPE(0)))))))))))</f>
        <v>2.008999999999999</v>
      </c>
      <c r="B47" s="709" t="s">
        <v>389</v>
      </c>
      <c r="C47" s="682">
        <v>1</v>
      </c>
      <c r="D47" s="682" t="s">
        <v>312</v>
      </c>
      <c r="E47" s="686">
        <f ca="1">Elec_Est!E199</f>
        <v>65.62</v>
      </c>
      <c r="F47" s="687">
        <f ca="1">IFERROR($C47*E47,E47)</f>
        <v>65.62</v>
      </c>
      <c r="G47" s="686">
        <f ca="1">Elec_Est!AM199</f>
        <v>20.04</v>
      </c>
      <c r="H47" s="686">
        <f ca="1">Elec_Est!AN199</f>
        <v>1.66</v>
      </c>
      <c r="I47" s="686"/>
    </row>
    <row r="48" spans="1:9" s="671" customFormat="1">
      <c r="A48" s="708">
        <f ca="1">IFERROR(IF(OFFSET(A48,-1,0,1,1)&gt;0,OFFSET(A48,-1,0,1,1)+0.001,ERROR.TYPE(0)),IFERROR(IF(OFFSET(A48,-2,0,1,1)&gt;0,OFFSET(A48,-2,0,1,1)+0.001,ERROR.TYPE(0)),IFERROR(IF(OFFSET(A48,-3,0,1,1)&gt;0,OFFSET(A48,-3,0,1,1)+0.001,ERROR.TYPE(0)),IFERROR(IF(OFFSET(A48,-4,0,1,1)&gt;0,OFFSET(A48,-4,0,1,1)+0.001,ERROR.TYPE(0)),IFERROR(IF(OFFSET(A48,-5,0,1,1)&gt;0,OFFSET(A48,-5,0,1,1)+0.001,ERROR.TYPE(0)),IFERROR(IF(OFFSET(A48,-6,0,1,1)&gt;0,OFFSET(A48,-6,0,1,1)+0.001,ERROR.TYPE(0)),IFERROR(IF(OFFSET(A48,-7,0,1,1)&gt;0,OFFSET(A48,-7,0,1,1)+0.001,ERROR.TYPE(0)),IFERROR(IF(OFFSET(A48,-8,0,1,1)&gt;0,OFFSET(A48,-8,0,1,1)+0.001,ERROR.TYPE(0)),IFERROR(IF(OFFSET(A48,-9,0,1,1)&gt;0,OFFSET(A48,-9,0,1,1)+0.001,ERROR.TYPE(0)),IFERROR(IF(OFFSET(A48,-10,0,1,1)&gt;0,OFFSET(A48,-10,0,1,1)+0.001,ERROR.TYPE(0)),ERROR.TYPE(0)))))))))))</f>
        <v>2.0099999999999989</v>
      </c>
      <c r="B48" s="709" t="s">
        <v>390</v>
      </c>
      <c r="C48" s="682">
        <v>1</v>
      </c>
      <c r="D48" s="682" t="s">
        <v>312</v>
      </c>
      <c r="E48" s="686">
        <f ca="1">Elec_Est!E215</f>
        <v>65.62</v>
      </c>
      <c r="F48" s="687">
        <f ca="1">IFERROR($C48*E48,E48)</f>
        <v>65.62</v>
      </c>
      <c r="G48" s="686">
        <f ca="1">Elec_Est!AM215</f>
        <v>20.04</v>
      </c>
      <c r="H48" s="686">
        <f ca="1">Elec_Est!AN215</f>
        <v>1.66</v>
      </c>
      <c r="I48" s="686"/>
    </row>
    <row r="49" spans="1:9" s="671" customFormat="1">
      <c r="A49" s="708">
        <f ca="1">IFERROR(IF(OFFSET(A49,-1,0,1,1)&gt;0,OFFSET(A49,-1,0,1,1)+0.001,ERROR.TYPE(0)),IFERROR(IF(OFFSET(A49,-2,0,1,1)&gt;0,OFFSET(A49,-2,0,1,1)+0.001,ERROR.TYPE(0)),IFERROR(IF(OFFSET(A49,-3,0,1,1)&gt;0,OFFSET(A49,-3,0,1,1)+0.001,ERROR.TYPE(0)),IFERROR(IF(OFFSET(A49,-4,0,1,1)&gt;0,OFFSET(A49,-4,0,1,1)+0.001,ERROR.TYPE(0)),IFERROR(IF(OFFSET(A49,-5,0,1,1)&gt;0,OFFSET(A49,-5,0,1,1)+0.001,ERROR.TYPE(0)),IFERROR(IF(OFFSET(A49,-6,0,1,1)&gt;0,OFFSET(A49,-6,0,1,1)+0.001,ERROR.TYPE(0)),IFERROR(IF(OFFSET(A49,-7,0,1,1)&gt;0,OFFSET(A49,-7,0,1,1)+0.001,ERROR.TYPE(0)),IFERROR(IF(OFFSET(A49,-8,0,1,1)&gt;0,OFFSET(A49,-8,0,1,1)+0.001,ERROR.TYPE(0)),IFERROR(IF(OFFSET(A49,-9,0,1,1)&gt;0,OFFSET(A49,-9,0,1,1)+0.001,ERROR.TYPE(0)),IFERROR(IF(OFFSET(A49,-10,0,1,1)&gt;0,OFFSET(A49,-10,0,1,1)+0.001,ERROR.TYPE(0)),ERROR.TYPE(0)))))))))))</f>
        <v>2.0109999999999988</v>
      </c>
      <c r="B49" s="709" t="s">
        <v>391</v>
      </c>
      <c r="C49" s="682">
        <v>1</v>
      </c>
      <c r="D49" s="682" t="s">
        <v>312</v>
      </c>
      <c r="E49" s="686">
        <f ca="1">Elec_Est!E231</f>
        <v>65.62</v>
      </c>
      <c r="F49" s="687">
        <f ca="1">IFERROR($C49*E49,E49)</f>
        <v>65.62</v>
      </c>
      <c r="G49" s="686">
        <f ca="1">Elec_Est!AM231</f>
        <v>20.04</v>
      </c>
      <c r="H49" s="686">
        <f ca="1">Elec_Est!AN231</f>
        <v>1.66</v>
      </c>
      <c r="I49" s="686"/>
    </row>
    <row r="50" spans="1:9" s="671" customFormat="1">
      <c r="A50" s="708">
        <f ca="1">IFERROR(IF(OFFSET(A50,-1,0,1,1)&gt;0,OFFSET(A50,-1,0,1,1)+0.001,ERROR.TYPE(0)),IFERROR(IF(OFFSET(A50,-2,0,1,1)&gt;0,OFFSET(A50,-2,0,1,1)+0.001,ERROR.TYPE(0)),IFERROR(IF(OFFSET(A50,-3,0,1,1)&gt;0,OFFSET(A50,-3,0,1,1)+0.001,ERROR.TYPE(0)),IFERROR(IF(OFFSET(A50,-4,0,1,1)&gt;0,OFFSET(A50,-4,0,1,1)+0.001,ERROR.TYPE(0)),IFERROR(IF(OFFSET(A50,-5,0,1,1)&gt;0,OFFSET(A50,-5,0,1,1)+0.001,ERROR.TYPE(0)),IFERROR(IF(OFFSET(A50,-6,0,1,1)&gt;0,OFFSET(A50,-6,0,1,1)+0.001,ERROR.TYPE(0)),IFERROR(IF(OFFSET(A50,-7,0,1,1)&gt;0,OFFSET(A50,-7,0,1,1)+0.001,ERROR.TYPE(0)),IFERROR(IF(OFFSET(A50,-8,0,1,1)&gt;0,OFFSET(A50,-8,0,1,1)+0.001,ERROR.TYPE(0)),IFERROR(IF(OFFSET(A50,-9,0,1,1)&gt;0,OFFSET(A50,-9,0,1,1)+0.001,ERROR.TYPE(0)),IFERROR(IF(OFFSET(A50,-10,0,1,1)&gt;0,OFFSET(A50,-10,0,1,1)+0.001,ERROR.TYPE(0)),ERROR.TYPE(0)))))))))))</f>
        <v>2.0119999999999987</v>
      </c>
      <c r="B50" s="709" t="s">
        <v>392</v>
      </c>
      <c r="C50" s="682">
        <v>1</v>
      </c>
      <c r="D50" s="682" t="s">
        <v>312</v>
      </c>
      <c r="E50" s="686">
        <f ca="1">Elec_Est!E247</f>
        <v>65.62</v>
      </c>
      <c r="F50" s="687">
        <f ca="1">IFERROR($C50*E50,E50)</f>
        <v>65.62</v>
      </c>
      <c r="G50" s="686">
        <f ca="1">Elec_Est!AM247</f>
        <v>20.04</v>
      </c>
      <c r="H50" s="686">
        <f ca="1">Elec_Est!AN247</f>
        <v>1.66</v>
      </c>
      <c r="I50" s="686"/>
    </row>
    <row r="51" spans="1:9" s="671" customFormat="1" ht="27.6">
      <c r="A51" s="708">
        <f ca="1">IFERROR(IF(OFFSET(A51,-1,0,1,1)&gt;0,OFFSET(A51,-1,0,1,1)+0.001,ERROR.TYPE(0)),IFERROR(IF(OFFSET(A51,-2,0,1,1)&gt;0,OFFSET(A51,-2,0,1,1)+0.001,ERROR.TYPE(0)),IFERROR(IF(OFFSET(A51,-3,0,1,1)&gt;0,OFFSET(A51,-3,0,1,1)+0.001,ERROR.TYPE(0)),IFERROR(IF(OFFSET(A51,-4,0,1,1)&gt;0,OFFSET(A51,-4,0,1,1)+0.001,ERROR.TYPE(0)),IFERROR(IF(OFFSET(A51,-5,0,1,1)&gt;0,OFFSET(A51,-5,0,1,1)+0.001,ERROR.TYPE(0)),IFERROR(IF(OFFSET(A51,-6,0,1,1)&gt;0,OFFSET(A51,-6,0,1,1)+0.001,ERROR.TYPE(0)),IFERROR(IF(OFFSET(A51,-7,0,1,1)&gt;0,OFFSET(A51,-7,0,1,1)+0.001,ERROR.TYPE(0)),IFERROR(IF(OFFSET(A51,-8,0,1,1)&gt;0,OFFSET(A51,-8,0,1,1)+0.001,ERROR.TYPE(0)),IFERROR(IF(OFFSET(A51,-9,0,1,1)&gt;0,OFFSET(A51,-9,0,1,1)+0.001,ERROR.TYPE(0)),IFERROR(IF(OFFSET(A51,-10,0,1,1)&gt;0,OFFSET(A51,-10,0,1,1)+0.001,ERROR.TYPE(0)),ERROR.TYPE(0)))))))))))</f>
        <v>2.0129999999999986</v>
      </c>
      <c r="B51" s="709" t="s">
        <v>384</v>
      </c>
      <c r="C51" s="682">
        <v>1</v>
      </c>
      <c r="D51" s="682" t="s">
        <v>312</v>
      </c>
      <c r="E51" s="686">
        <f>Elec_Est!E264</f>
        <v>366.17</v>
      </c>
      <c r="F51" s="687">
        <f>IFERROR($C51*E51,E51)</f>
        <v>366.17</v>
      </c>
      <c r="G51" s="686">
        <f>Elec_Est!AM264</f>
        <v>137.15</v>
      </c>
      <c r="H51" s="686">
        <f>Elec_Est!AN264</f>
        <v>8.34</v>
      </c>
      <c r="I51" s="686"/>
    </row>
    <row r="52" spans="1:9" s="671" customFormat="1" ht="41.4">
      <c r="A52" s="703" t="s">
        <v>340</v>
      </c>
      <c r="B52" s="704" t="s">
        <v>393</v>
      </c>
      <c r="C52" s="705"/>
      <c r="D52" s="705"/>
      <c r="E52" s="706"/>
      <c r="F52" s="707"/>
      <c r="G52" s="706"/>
      <c r="H52" s="706"/>
      <c r="I52" s="706"/>
    </row>
    <row r="53" spans="1:9" s="671" customFormat="1" ht="27.6">
      <c r="A53" s="708">
        <f ca="1">IFERROR(IF(OFFSET(A53,-1,0,1,1)&gt;0,OFFSET(A53,-1,0,1,1)+0.001,ERROR.TYPE(0)),IFERROR(IF(OFFSET(A53,-2,0,1,1)&gt;0,OFFSET(A53,-2,0,1,1)+0.001,ERROR.TYPE(0)),IFERROR(IF(OFFSET(A53,-3,0,1,1)&gt;0,OFFSET(A53,-3,0,1,1)+0.001,ERROR.TYPE(0)),IFERROR(IF(OFFSET(A53,-4,0,1,1)&gt;0,OFFSET(A53,-4,0,1,1)+0.001,ERROR.TYPE(0)),IFERROR(IF(OFFSET(A53,-5,0,1,1)&gt;0,OFFSET(A53,-5,0,1,1)+0.001,ERROR.TYPE(0)),IFERROR(IF(OFFSET(A53,-6,0,1,1)&gt;0,OFFSET(A53,-6,0,1,1)+0.001,ERROR.TYPE(0)),IFERROR(IF(OFFSET(A53,-7,0,1,1)&gt;0,OFFSET(A53,-7,0,1,1)+0.001,ERROR.TYPE(0)),IFERROR(IF(OFFSET(A53,-8,0,1,1)&gt;0,OFFSET(A53,-8,0,1,1)+0.001,ERROR.TYPE(0)),IFERROR(IF(OFFSET(A53,-9,0,1,1)&gt;0,OFFSET(A53,-9,0,1,1)+0.001,ERROR.TYPE(0)),IFERROR(IF(OFFSET(A53,-10,0,1,1)&gt;0,OFFSET(A53,-10,0,1,1)+0.001,ERROR.TYPE(0)),ERROR.TYPE(0)))))))))))</f>
        <v>2.0139999999999985</v>
      </c>
      <c r="B53" s="709" t="s">
        <v>394</v>
      </c>
      <c r="C53" s="682">
        <v>3</v>
      </c>
      <c r="D53" s="682" t="s">
        <v>312</v>
      </c>
      <c r="E53" s="686">
        <f ca="1">Elec_Est!E280</f>
        <v>81.510000000000005</v>
      </c>
      <c r="F53" s="687">
        <f ca="1">IFERROR($C53*E53,E53)</f>
        <v>244.53000000000003</v>
      </c>
      <c r="G53" s="686">
        <f ca="1">Elec_Est!AM280</f>
        <v>139.91999999999999</v>
      </c>
      <c r="H53" s="686">
        <f ca="1">Elec_Est!AN280</f>
        <v>3.81</v>
      </c>
      <c r="I53" s="686"/>
    </row>
    <row r="54" spans="1:9" s="671" customFormat="1" ht="27.6">
      <c r="A54" s="708">
        <f ca="1">IFERROR(IF(OFFSET(A54,-1,0,1,1)&gt;0,OFFSET(A54,-1,0,1,1)+0.001,ERROR.TYPE(0)),IFERROR(IF(OFFSET(A54,-2,0,1,1)&gt;0,OFFSET(A54,-2,0,1,1)+0.001,ERROR.TYPE(0)),IFERROR(IF(OFFSET(A54,-3,0,1,1)&gt;0,OFFSET(A54,-3,0,1,1)+0.001,ERROR.TYPE(0)),IFERROR(IF(OFFSET(A54,-4,0,1,1)&gt;0,OFFSET(A54,-4,0,1,1)+0.001,ERROR.TYPE(0)),IFERROR(IF(OFFSET(A54,-5,0,1,1)&gt;0,OFFSET(A54,-5,0,1,1)+0.001,ERROR.TYPE(0)),IFERROR(IF(OFFSET(A54,-6,0,1,1)&gt;0,OFFSET(A54,-6,0,1,1)+0.001,ERROR.TYPE(0)),IFERROR(IF(OFFSET(A54,-7,0,1,1)&gt;0,OFFSET(A54,-7,0,1,1)+0.001,ERROR.TYPE(0)),IFERROR(IF(OFFSET(A54,-8,0,1,1)&gt;0,OFFSET(A54,-8,0,1,1)+0.001,ERROR.TYPE(0)),IFERROR(IF(OFFSET(A54,-9,0,1,1)&gt;0,OFFSET(A54,-9,0,1,1)+0.001,ERROR.TYPE(0)),IFERROR(IF(OFFSET(A54,-10,0,1,1)&gt;0,OFFSET(A54,-10,0,1,1)+0.001,ERROR.TYPE(0)),ERROR.TYPE(0)))))))))))</f>
        <v>2.0149999999999983</v>
      </c>
      <c r="B54" s="709" t="s">
        <v>395</v>
      </c>
      <c r="C54" s="682">
        <v>3</v>
      </c>
      <c r="D54" s="682" t="s">
        <v>312</v>
      </c>
      <c r="E54" s="686">
        <f ca="1">Elec_Est!E296</f>
        <v>151.05000000000001</v>
      </c>
      <c r="F54" s="687">
        <f ca="1">IFERROR($C54*E54,E54)</f>
        <v>453.15000000000003</v>
      </c>
      <c r="G54" s="686">
        <f ca="1">Elec_Est!AM296</f>
        <v>240.6</v>
      </c>
      <c r="H54" s="686">
        <f ca="1">Elec_Est!AN296</f>
        <v>7.74</v>
      </c>
      <c r="I54" s="686"/>
    </row>
    <row r="55" spans="1:9" s="671" customFormat="1" ht="41.4">
      <c r="A55" s="703" t="s">
        <v>340</v>
      </c>
      <c r="B55" s="704" t="s">
        <v>396</v>
      </c>
      <c r="C55" s="705"/>
      <c r="D55" s="705"/>
      <c r="E55" s="706"/>
      <c r="F55" s="707"/>
      <c r="G55" s="706"/>
      <c r="H55" s="706"/>
      <c r="I55" s="706"/>
    </row>
    <row r="56" spans="1:9" s="671" customFormat="1">
      <c r="A56" s="708">
        <f ca="1">IFERROR(IF(OFFSET(A56,-1,0,1,1)&gt;0,OFFSET(A56,-1,0,1,1)+0.001,ERROR.TYPE(0)),IFERROR(IF(OFFSET(A56,-2,0,1,1)&gt;0,OFFSET(A56,-2,0,1,1)+0.001,ERROR.TYPE(0)),IFERROR(IF(OFFSET(A56,-3,0,1,1)&gt;0,OFFSET(A56,-3,0,1,1)+0.001,ERROR.TYPE(0)),IFERROR(IF(OFFSET(A56,-4,0,1,1)&gt;0,OFFSET(A56,-4,0,1,1)+0.001,ERROR.TYPE(0)),IFERROR(IF(OFFSET(A56,-5,0,1,1)&gt;0,OFFSET(A56,-5,0,1,1)+0.001,ERROR.TYPE(0)),IFERROR(IF(OFFSET(A56,-6,0,1,1)&gt;0,OFFSET(A56,-6,0,1,1)+0.001,ERROR.TYPE(0)),IFERROR(IF(OFFSET(A56,-7,0,1,1)&gt;0,OFFSET(A56,-7,0,1,1)+0.001,ERROR.TYPE(0)),IFERROR(IF(OFFSET(A56,-8,0,1,1)&gt;0,OFFSET(A56,-8,0,1,1)+0.001,ERROR.TYPE(0)),IFERROR(IF(OFFSET(A56,-9,0,1,1)&gt;0,OFFSET(A56,-9,0,1,1)+0.001,ERROR.TYPE(0)),IFERROR(IF(OFFSET(A56,-10,0,1,1)&gt;0,OFFSET(A56,-10,0,1,1)+0.001,ERROR.TYPE(0)),ERROR.TYPE(0)))))))))))</f>
        <v>2.0159999999999982</v>
      </c>
      <c r="B56" s="709" t="s">
        <v>397</v>
      </c>
      <c r="C56" s="682">
        <v>12</v>
      </c>
      <c r="D56" s="682" t="s">
        <v>312</v>
      </c>
      <c r="E56" s="686">
        <f ca="1">Elec_Est!E316</f>
        <v>127.13</v>
      </c>
      <c r="F56" s="687">
        <f ca="1">IFERROR($C56*E56,E56)</f>
        <v>1525.56</v>
      </c>
      <c r="G56" s="686">
        <f ca="1">Elec_Est!AM316</f>
        <v>985.2</v>
      </c>
      <c r="H56" s="686">
        <f ca="1">Elec_Est!AN316</f>
        <v>19.68</v>
      </c>
      <c r="I56" s="686"/>
    </row>
    <row r="57" spans="1:9" s="671" customFormat="1">
      <c r="A57" s="674" t="s">
        <v>340</v>
      </c>
      <c r="B57" s="702" t="s">
        <v>398</v>
      </c>
      <c r="C57" s="676"/>
      <c r="D57" s="676"/>
      <c r="E57" s="677"/>
      <c r="F57" s="678"/>
      <c r="G57" s="677"/>
      <c r="H57" s="677"/>
      <c r="I57" s="677"/>
    </row>
    <row r="58" spans="1:9" s="671" customFormat="1" ht="27.6">
      <c r="A58" s="703" t="s">
        <v>340</v>
      </c>
      <c r="B58" s="704" t="s">
        <v>399</v>
      </c>
      <c r="C58" s="705"/>
      <c r="D58" s="705"/>
      <c r="E58" s="706"/>
      <c r="F58" s="707"/>
      <c r="G58" s="706"/>
      <c r="H58" s="706"/>
      <c r="I58" s="706"/>
    </row>
    <row r="59" spans="1:9" s="671" customFormat="1">
      <c r="A59" s="708">
        <f t="shared" ref="A59:A67" ca="1" si="7">IFERROR(IF(OFFSET(A59,-1,0,1,1)&gt;0,OFFSET(A59,-1,0,1,1)+0.001,ERROR.TYPE(0)),IFERROR(IF(OFFSET(A59,-2,0,1,1)&gt;0,OFFSET(A59,-2,0,1,1)+0.001,ERROR.TYPE(0)),IFERROR(IF(OFFSET(A59,-3,0,1,1)&gt;0,OFFSET(A59,-3,0,1,1)+0.001,ERROR.TYPE(0)),IFERROR(IF(OFFSET(A59,-4,0,1,1)&gt;0,OFFSET(A59,-4,0,1,1)+0.001,ERROR.TYPE(0)),IFERROR(IF(OFFSET(A59,-5,0,1,1)&gt;0,OFFSET(A59,-5,0,1,1)+0.001,ERROR.TYPE(0)),IFERROR(IF(OFFSET(A59,-6,0,1,1)&gt;0,OFFSET(A59,-6,0,1,1)+0.001,ERROR.TYPE(0)),IFERROR(IF(OFFSET(A59,-7,0,1,1)&gt;0,OFFSET(A59,-7,0,1,1)+0.001,ERROR.TYPE(0)),IFERROR(IF(OFFSET(A59,-8,0,1,1)&gt;0,OFFSET(A59,-8,0,1,1)+0.001,ERROR.TYPE(0)),IFERROR(IF(OFFSET(A59,-9,0,1,1)&gt;0,OFFSET(A59,-9,0,1,1)+0.001,ERROR.TYPE(0)),IFERROR(IF(OFFSET(A59,-10,0,1,1)&gt;0,OFFSET(A59,-10,0,1,1)+0.001,ERROR.TYPE(0)),ERROR.TYPE(0)))))))))))</f>
        <v>2.0169999999999981</v>
      </c>
      <c r="B59" s="709" t="s">
        <v>400</v>
      </c>
      <c r="C59" s="682">
        <v>1</v>
      </c>
      <c r="D59" s="682" t="s">
        <v>312</v>
      </c>
      <c r="E59" s="686">
        <f ca="1">Elec_Est!E340</f>
        <v>65.62</v>
      </c>
      <c r="F59" s="687">
        <f t="shared" ref="F59:F67" ca="1" si="8">IFERROR($C59*E59,E59)</f>
        <v>65.62</v>
      </c>
      <c r="G59" s="686">
        <f ca="1">Elec_Est!AM340</f>
        <v>20.04</v>
      </c>
      <c r="H59" s="686">
        <f ca="1">Elec_Est!AN340</f>
        <v>1.66</v>
      </c>
      <c r="I59" s="686"/>
    </row>
    <row r="60" spans="1:9" s="671" customFormat="1">
      <c r="A60" s="708">
        <f t="shared" ca="1" si="7"/>
        <v>2.017999999999998</v>
      </c>
      <c r="B60" s="709" t="s">
        <v>401</v>
      </c>
      <c r="C60" s="682">
        <v>1</v>
      </c>
      <c r="D60" s="682" t="s">
        <v>312</v>
      </c>
      <c r="E60" s="686">
        <f ca="1">Elec_Est!E356</f>
        <v>65.62</v>
      </c>
      <c r="F60" s="687">
        <f t="shared" ca="1" si="8"/>
        <v>65.62</v>
      </c>
      <c r="G60" s="686">
        <f ca="1">Elec_Est!AM356</f>
        <v>20.04</v>
      </c>
      <c r="H60" s="686">
        <f ca="1">Elec_Est!AN356</f>
        <v>1.66</v>
      </c>
      <c r="I60" s="686"/>
    </row>
    <row r="61" spans="1:9" s="671" customFormat="1">
      <c r="A61" s="708">
        <f t="shared" ca="1" si="7"/>
        <v>2.0189999999999979</v>
      </c>
      <c r="B61" s="709" t="s">
        <v>402</v>
      </c>
      <c r="C61" s="682">
        <v>1</v>
      </c>
      <c r="D61" s="682" t="s">
        <v>312</v>
      </c>
      <c r="E61" s="686">
        <f ca="1">Elec_Est!E372</f>
        <v>65.62</v>
      </c>
      <c r="F61" s="687">
        <f t="shared" ca="1" si="8"/>
        <v>65.62</v>
      </c>
      <c r="G61" s="686">
        <f ca="1">Elec_Est!AM372</f>
        <v>20.04</v>
      </c>
      <c r="H61" s="686">
        <f ca="1">Elec_Est!AN372</f>
        <v>1.66</v>
      </c>
      <c r="I61" s="686"/>
    </row>
    <row r="62" spans="1:9" s="671" customFormat="1">
      <c r="A62" s="708">
        <f t="shared" ca="1" si="7"/>
        <v>2.0199999999999978</v>
      </c>
      <c r="B62" s="709" t="s">
        <v>403</v>
      </c>
      <c r="C62" s="682">
        <v>1</v>
      </c>
      <c r="D62" s="682" t="s">
        <v>312</v>
      </c>
      <c r="E62" s="686">
        <f ca="1">Elec_Est!E388</f>
        <v>65.62</v>
      </c>
      <c r="F62" s="687">
        <f t="shared" ca="1" si="8"/>
        <v>65.62</v>
      </c>
      <c r="G62" s="686">
        <f ca="1">Elec_Est!AM388</f>
        <v>20.04</v>
      </c>
      <c r="H62" s="686">
        <f ca="1">Elec_Est!AN388</f>
        <v>1.66</v>
      </c>
      <c r="I62" s="686"/>
    </row>
    <row r="63" spans="1:9" s="671" customFormat="1">
      <c r="A63" s="708">
        <f t="shared" ca="1" si="7"/>
        <v>2.0209999999999977</v>
      </c>
      <c r="B63" s="709" t="s">
        <v>404</v>
      </c>
      <c r="C63" s="682">
        <v>1</v>
      </c>
      <c r="D63" s="682" t="s">
        <v>312</v>
      </c>
      <c r="E63" s="686">
        <f ca="1">Elec_Est!E404</f>
        <v>65.62</v>
      </c>
      <c r="F63" s="687">
        <f t="shared" ca="1" si="8"/>
        <v>65.62</v>
      </c>
      <c r="G63" s="686">
        <f ca="1">Elec_Est!AM404</f>
        <v>20.04</v>
      </c>
      <c r="H63" s="686">
        <f ca="1">Elec_Est!AN404</f>
        <v>1.66</v>
      </c>
      <c r="I63" s="686"/>
    </row>
    <row r="64" spans="1:9" s="671" customFormat="1">
      <c r="A64" s="708">
        <f t="shared" ca="1" si="7"/>
        <v>2.0219999999999976</v>
      </c>
      <c r="B64" s="709" t="s">
        <v>405</v>
      </c>
      <c r="C64" s="682">
        <v>1</v>
      </c>
      <c r="D64" s="682" t="s">
        <v>312</v>
      </c>
      <c r="E64" s="686">
        <f ca="1">Elec_Est!E420</f>
        <v>65.62</v>
      </c>
      <c r="F64" s="687">
        <f t="shared" ca="1" si="8"/>
        <v>65.62</v>
      </c>
      <c r="G64" s="686">
        <f ca="1">Elec_Est!AM420</f>
        <v>20.04</v>
      </c>
      <c r="H64" s="686">
        <f ca="1">Elec_Est!AN420</f>
        <v>1.66</v>
      </c>
      <c r="I64" s="686"/>
    </row>
    <row r="65" spans="1:9" s="671" customFormat="1">
      <c r="A65" s="708">
        <f t="shared" ca="1" si="7"/>
        <v>2.0229999999999975</v>
      </c>
      <c r="B65" s="709" t="s">
        <v>406</v>
      </c>
      <c r="C65" s="682">
        <v>1</v>
      </c>
      <c r="D65" s="682" t="s">
        <v>312</v>
      </c>
      <c r="E65" s="686">
        <f ca="1">Elec_Est!E436</f>
        <v>65.62</v>
      </c>
      <c r="F65" s="687">
        <f t="shared" ca="1" si="8"/>
        <v>65.62</v>
      </c>
      <c r="G65" s="686">
        <f ca="1">Elec_Est!AM436</f>
        <v>20.04</v>
      </c>
      <c r="H65" s="686">
        <f ca="1">Elec_Est!AN436</f>
        <v>1.66</v>
      </c>
      <c r="I65" s="686"/>
    </row>
    <row r="66" spans="1:9" s="671" customFormat="1">
      <c r="A66" s="708">
        <f t="shared" ca="1" si="7"/>
        <v>2.0239999999999974</v>
      </c>
      <c r="B66" s="709" t="s">
        <v>407</v>
      </c>
      <c r="C66" s="682">
        <v>1</v>
      </c>
      <c r="D66" s="682" t="s">
        <v>312</v>
      </c>
      <c r="E66" s="686">
        <f ca="1">Elec_Est!E452</f>
        <v>65.62</v>
      </c>
      <c r="F66" s="687">
        <f t="shared" ca="1" si="8"/>
        <v>65.62</v>
      </c>
      <c r="G66" s="686">
        <f ca="1">Elec_Est!AM452</f>
        <v>20.04</v>
      </c>
      <c r="H66" s="686">
        <f ca="1">Elec_Est!AN452</f>
        <v>1.66</v>
      </c>
      <c r="I66" s="686"/>
    </row>
    <row r="67" spans="1:9" s="671" customFormat="1" ht="27.6">
      <c r="A67" s="708">
        <f t="shared" ca="1" si="7"/>
        <v>2.0249999999999972</v>
      </c>
      <c r="B67" s="685" t="s">
        <v>384</v>
      </c>
      <c r="C67" s="682">
        <v>8</v>
      </c>
      <c r="D67" s="682" t="s">
        <v>312</v>
      </c>
      <c r="E67" s="686">
        <f ca="1">Elec_Est!E468</f>
        <v>709.79</v>
      </c>
      <c r="F67" s="687">
        <f t="shared" ca="1" si="8"/>
        <v>5678.32</v>
      </c>
      <c r="G67" s="686">
        <f ca="1">Elec_Est!AM468</f>
        <v>2040.4</v>
      </c>
      <c r="H67" s="686">
        <f ca="1">Elec_Est!AN468</f>
        <v>132.47999999999999</v>
      </c>
      <c r="I67" s="686"/>
    </row>
    <row r="68" spans="1:9" s="671" customFormat="1" ht="13.95" customHeight="1">
      <c r="A68" s="674" t="s">
        <v>941</v>
      </c>
      <c r="B68" s="675" t="s">
        <v>314</v>
      </c>
      <c r="C68" s="1082" t="s">
        <v>315</v>
      </c>
      <c r="D68" s="1083"/>
      <c r="E68" s="689"/>
      <c r="F68" s="678">
        <f ca="1">SUM(F32:F67)</f>
        <v>11897.329999999998</v>
      </c>
      <c r="G68" s="735">
        <f ca="1">SUM(G32:G67)</f>
        <v>5347.630000000001</v>
      </c>
      <c r="H68" s="735">
        <f ca="1">SUM(H32:H67)</f>
        <v>243.83999999999995</v>
      </c>
      <c r="I68" s="735">
        <f>SUM(I32:I67)</f>
        <v>0</v>
      </c>
    </row>
    <row r="69" spans="1:9" s="671" customFormat="1">
      <c r="A69" s="697"/>
      <c r="B69" s="698"/>
      <c r="C69" s="699"/>
      <c r="D69" s="699"/>
      <c r="E69" s="700"/>
      <c r="F69" s="701"/>
      <c r="G69" s="700"/>
      <c r="H69" s="700"/>
      <c r="I69" s="700"/>
    </row>
    <row r="70" spans="1:9" s="671" customFormat="1">
      <c r="A70" s="697"/>
      <c r="B70" s="698"/>
      <c r="C70" s="699"/>
      <c r="D70" s="691"/>
      <c r="E70" s="700"/>
      <c r="F70" s="701"/>
      <c r="G70" s="700"/>
      <c r="H70" s="700"/>
      <c r="I70" s="700"/>
    </row>
    <row r="71" spans="1:9" s="671" customFormat="1" ht="27.6">
      <c r="A71" s="613" t="s">
        <v>143</v>
      </c>
      <c r="B71" s="614" t="s">
        <v>209</v>
      </c>
      <c r="C71" s="615" t="s">
        <v>210</v>
      </c>
      <c r="D71" s="615" t="s">
        <v>211</v>
      </c>
      <c r="E71" s="616" t="s">
        <v>309</v>
      </c>
      <c r="F71" s="617" t="s">
        <v>310</v>
      </c>
      <c r="G71" s="616" t="s">
        <v>912</v>
      </c>
      <c r="H71" s="616" t="s">
        <v>913</v>
      </c>
      <c r="I71" s="616" t="s">
        <v>914</v>
      </c>
    </row>
    <row r="72" spans="1:9" s="671" customFormat="1">
      <c r="A72" s="674"/>
      <c r="B72" s="702" t="s">
        <v>408</v>
      </c>
      <c r="C72" s="676"/>
      <c r="D72" s="676"/>
      <c r="E72" s="677"/>
      <c r="F72" s="678"/>
      <c r="G72" s="677"/>
      <c r="H72" s="677"/>
      <c r="I72" s="677"/>
    </row>
    <row r="73" spans="1:9" s="671" customFormat="1" ht="27.6">
      <c r="A73" s="708"/>
      <c r="B73" s="704" t="s">
        <v>409</v>
      </c>
      <c r="C73" s="682"/>
      <c r="D73" s="682"/>
      <c r="E73" s="686"/>
      <c r="F73" s="687"/>
      <c r="G73" s="686"/>
      <c r="H73" s="686"/>
      <c r="I73" s="686"/>
    </row>
    <row r="74" spans="1:9" s="671" customFormat="1">
      <c r="A74" s="708">
        <f ca="1">IFERROR(IF(OFFSET(A74,-1,0,1,1)&gt;0,OFFSET(A74,-1,0,1,1)+0.001,ERROR.TYPE(0)),IFERROR(IF(OFFSET(A74,-2,0,1,1)&gt;0,OFFSET(A74,-2,0,1,1)+0.001,ERROR.TYPE(0)),IFERROR(IF(OFFSET(A74,-3,0,1,1)&gt;0,OFFSET(A74,-3,0,1,1)+0.001,ERROR.TYPE(0)),IFERROR(IF(OFFSET(A74,-4,0,1,1)&gt;0,OFFSET(A74,-4,0,1,1)+0.001,ERROR.TYPE(0)),IFERROR(IF(OFFSET(A74,-5,0,1,1)&gt;0,OFFSET(A74,-5,0,1,1)+0.001,ERROR.TYPE(0)),IFERROR(IF(OFFSET(A74,-6,0,1,1)&gt;0,OFFSET(A74,-6,0,1,1)+0.001,ERROR.TYPE(0)),IFERROR(IF(OFFSET(A74,-7,0,1,1)&gt;0,OFFSET(A74,-7,0,1,1)+0.001,ERROR.TYPE(0)),IFERROR(IF(OFFSET(A74,-8,0,1,1)&gt;0,OFFSET(A74,-8,0,1,1)+0.001,ERROR.TYPE(0)),IFERROR(IF(OFFSET(A74,-9,0,1,1)&gt;0,OFFSET(A74,-9,0,1,1)+0.001,ERROR.TYPE(0)),IFERROR(IF(OFFSET(A74,-10,0,1,1)&gt;0,OFFSET(A74,-10,0,1,1)+0.001,ERROR.TYPE(0)),ERROR.TYPE(0)))))))))))</f>
        <v>2.0259999999999971</v>
      </c>
      <c r="B74" s="685" t="s">
        <v>410</v>
      </c>
      <c r="C74" s="682">
        <v>5</v>
      </c>
      <c r="D74" s="682" t="s">
        <v>311</v>
      </c>
      <c r="E74" s="686"/>
      <c r="F74" s="687">
        <f>IFERROR($C74*E74,E74)</f>
        <v>0</v>
      </c>
      <c r="G74" s="686"/>
      <c r="H74" s="686"/>
      <c r="I74" s="686"/>
    </row>
    <row r="75" spans="1:9" s="671" customFormat="1">
      <c r="A75" s="708">
        <f ca="1">IFERROR(IF(OFFSET(A75,-1,0,1,1)&gt;0,OFFSET(A75,-1,0,1,1)+0.001,ERROR.TYPE(0)),IFERROR(IF(OFFSET(A75,-2,0,1,1)&gt;0,OFFSET(A75,-2,0,1,1)+0.001,ERROR.TYPE(0)),IFERROR(IF(OFFSET(A75,-3,0,1,1)&gt;0,OFFSET(A75,-3,0,1,1)+0.001,ERROR.TYPE(0)),IFERROR(IF(OFFSET(A75,-4,0,1,1)&gt;0,OFFSET(A75,-4,0,1,1)+0.001,ERROR.TYPE(0)),IFERROR(IF(OFFSET(A75,-5,0,1,1)&gt;0,OFFSET(A75,-5,0,1,1)+0.001,ERROR.TYPE(0)),IFERROR(IF(OFFSET(A75,-6,0,1,1)&gt;0,OFFSET(A75,-6,0,1,1)+0.001,ERROR.TYPE(0)),IFERROR(IF(OFFSET(A75,-7,0,1,1)&gt;0,OFFSET(A75,-7,0,1,1)+0.001,ERROR.TYPE(0)),IFERROR(IF(OFFSET(A75,-8,0,1,1)&gt;0,OFFSET(A75,-8,0,1,1)+0.001,ERROR.TYPE(0)),IFERROR(IF(OFFSET(A75,-9,0,1,1)&gt;0,OFFSET(A75,-9,0,1,1)+0.001,ERROR.TYPE(0)),IFERROR(IF(OFFSET(A75,-10,0,1,1)&gt;0,OFFSET(A75,-10,0,1,1)+0.001,ERROR.TYPE(0)),ERROR.TYPE(0)))))))))))</f>
        <v>2.026999999999997</v>
      </c>
      <c r="B75" s="685" t="s">
        <v>411</v>
      </c>
      <c r="C75" s="682">
        <v>5</v>
      </c>
      <c r="D75" s="682" t="s">
        <v>311</v>
      </c>
      <c r="E75" s="686"/>
      <c r="F75" s="687">
        <f>IFERROR($C75*E75,E75)</f>
        <v>0</v>
      </c>
      <c r="G75" s="686"/>
      <c r="H75" s="686"/>
      <c r="I75" s="686"/>
    </row>
    <row r="76" spans="1:9" s="671" customFormat="1">
      <c r="A76" s="708">
        <f ca="1">IFERROR(IF(OFFSET(A76,-1,0,1,1)&gt;0,OFFSET(A76,-1,0,1,1)+0.001,ERROR.TYPE(0)),IFERROR(IF(OFFSET(A76,-2,0,1,1)&gt;0,OFFSET(A76,-2,0,1,1)+0.001,ERROR.TYPE(0)),IFERROR(IF(OFFSET(A76,-3,0,1,1)&gt;0,OFFSET(A76,-3,0,1,1)+0.001,ERROR.TYPE(0)),IFERROR(IF(OFFSET(A76,-4,0,1,1)&gt;0,OFFSET(A76,-4,0,1,1)+0.001,ERROR.TYPE(0)),IFERROR(IF(OFFSET(A76,-5,0,1,1)&gt;0,OFFSET(A76,-5,0,1,1)+0.001,ERROR.TYPE(0)),IFERROR(IF(OFFSET(A76,-6,0,1,1)&gt;0,OFFSET(A76,-6,0,1,1)+0.001,ERROR.TYPE(0)),IFERROR(IF(OFFSET(A76,-7,0,1,1)&gt;0,OFFSET(A76,-7,0,1,1)+0.001,ERROR.TYPE(0)),IFERROR(IF(OFFSET(A76,-8,0,1,1)&gt;0,OFFSET(A76,-8,0,1,1)+0.001,ERROR.TYPE(0)),IFERROR(IF(OFFSET(A76,-9,0,1,1)&gt;0,OFFSET(A76,-9,0,1,1)+0.001,ERROR.TYPE(0)),IFERROR(IF(OFFSET(A76,-10,0,1,1)&gt;0,OFFSET(A76,-10,0,1,1)+0.001,ERROR.TYPE(0)),ERROR.TYPE(0)))))))))))</f>
        <v>2.0279999999999969</v>
      </c>
      <c r="B76" s="685" t="s">
        <v>412</v>
      </c>
      <c r="C76" s="682">
        <v>5</v>
      </c>
      <c r="D76" s="682" t="s">
        <v>311</v>
      </c>
      <c r="E76" s="686"/>
      <c r="F76" s="687">
        <f>IFERROR($C76*E76,E76)</f>
        <v>0</v>
      </c>
      <c r="G76" s="686"/>
      <c r="H76" s="686"/>
      <c r="I76" s="686"/>
    </row>
    <row r="77" spans="1:9" s="671" customFormat="1">
      <c r="A77" s="708">
        <f ca="1">IFERROR(IF(OFFSET(A77,-1,0,1,1)&gt;0,OFFSET(A77,-1,0,1,1)+0.001,ERROR.TYPE(0)),IFERROR(IF(OFFSET(A77,-2,0,1,1)&gt;0,OFFSET(A77,-2,0,1,1)+0.001,ERROR.TYPE(0)),IFERROR(IF(OFFSET(A77,-3,0,1,1)&gt;0,OFFSET(A77,-3,0,1,1)+0.001,ERROR.TYPE(0)),IFERROR(IF(OFFSET(A77,-4,0,1,1)&gt;0,OFFSET(A77,-4,0,1,1)+0.001,ERROR.TYPE(0)),IFERROR(IF(OFFSET(A77,-5,0,1,1)&gt;0,OFFSET(A77,-5,0,1,1)+0.001,ERROR.TYPE(0)),IFERROR(IF(OFFSET(A77,-6,0,1,1)&gt;0,OFFSET(A77,-6,0,1,1)+0.001,ERROR.TYPE(0)),IFERROR(IF(OFFSET(A77,-7,0,1,1)&gt;0,OFFSET(A77,-7,0,1,1)+0.001,ERROR.TYPE(0)),IFERROR(IF(OFFSET(A77,-8,0,1,1)&gt;0,OFFSET(A77,-8,0,1,1)+0.001,ERROR.TYPE(0)),IFERROR(IF(OFFSET(A77,-9,0,1,1)&gt;0,OFFSET(A77,-9,0,1,1)+0.001,ERROR.TYPE(0)),IFERROR(IF(OFFSET(A77,-10,0,1,1)&gt;0,OFFSET(A77,-10,0,1,1)+0.001,ERROR.TYPE(0)),ERROR.TYPE(0)))))))))))</f>
        <v>2.0289999999999968</v>
      </c>
      <c r="B77" s="685" t="s">
        <v>413</v>
      </c>
      <c r="C77" s="682">
        <v>5</v>
      </c>
      <c r="D77" s="682" t="s">
        <v>311</v>
      </c>
      <c r="E77" s="686"/>
      <c r="F77" s="687">
        <f>IFERROR($C77*E77,E77)</f>
        <v>0</v>
      </c>
      <c r="G77" s="686"/>
      <c r="H77" s="686"/>
      <c r="I77" s="686"/>
    </row>
    <row r="78" spans="1:9" s="671" customFormat="1" ht="27.6">
      <c r="A78" s="708"/>
      <c r="B78" s="704" t="s">
        <v>414</v>
      </c>
      <c r="C78" s="682"/>
      <c r="D78" s="682"/>
      <c r="E78" s="686"/>
      <c r="F78" s="687"/>
      <c r="G78" s="686"/>
      <c r="H78" s="686"/>
      <c r="I78" s="686"/>
    </row>
    <row r="79" spans="1:9" s="671" customFormat="1">
      <c r="A79" s="708">
        <f ca="1">IFERROR(IF(OFFSET(A79,-1,0,1,1)&gt;0,OFFSET(A79,-1,0,1,1)+0.001,ERROR.TYPE(0)),IFERROR(IF(OFFSET(A79,-2,0,1,1)&gt;0,OFFSET(A79,-2,0,1,1)+0.001,ERROR.TYPE(0)),IFERROR(IF(OFFSET(A79,-3,0,1,1)&gt;0,OFFSET(A79,-3,0,1,1)+0.001,ERROR.TYPE(0)),IFERROR(IF(OFFSET(A79,-4,0,1,1)&gt;0,OFFSET(A79,-4,0,1,1)+0.001,ERROR.TYPE(0)),IFERROR(IF(OFFSET(A79,-5,0,1,1)&gt;0,OFFSET(A79,-5,0,1,1)+0.001,ERROR.TYPE(0)),IFERROR(IF(OFFSET(A79,-6,0,1,1)&gt;0,OFFSET(A79,-6,0,1,1)+0.001,ERROR.TYPE(0)),IFERROR(IF(OFFSET(A79,-7,0,1,1)&gt;0,OFFSET(A79,-7,0,1,1)+0.001,ERROR.TYPE(0)),IFERROR(IF(OFFSET(A79,-8,0,1,1)&gt;0,OFFSET(A79,-8,0,1,1)+0.001,ERROR.TYPE(0)),IFERROR(IF(OFFSET(A79,-9,0,1,1)&gt;0,OFFSET(A79,-9,0,1,1)+0.001,ERROR.TYPE(0)),IFERROR(IF(OFFSET(A79,-10,0,1,1)&gt;0,OFFSET(A79,-10,0,1,1)+0.001,ERROR.TYPE(0)),ERROR.TYPE(0)))))))))))</f>
        <v>2.0299999999999967</v>
      </c>
      <c r="B79" s="685" t="s">
        <v>415</v>
      </c>
      <c r="C79" s="682">
        <v>1</v>
      </c>
      <c r="D79" s="682" t="s">
        <v>312</v>
      </c>
      <c r="E79" s="686"/>
      <c r="F79" s="687">
        <f>IFERROR($C79*E79,E79)</f>
        <v>0</v>
      </c>
      <c r="G79" s="686"/>
      <c r="H79" s="686"/>
      <c r="I79" s="686"/>
    </row>
    <row r="80" spans="1:9" s="671" customFormat="1">
      <c r="A80" s="708">
        <f ca="1">IFERROR(IF(OFFSET(A80,-1,0,1,1)&gt;0,OFFSET(A80,-1,0,1,1)+0.001,ERROR.TYPE(0)),IFERROR(IF(OFFSET(A80,-2,0,1,1)&gt;0,OFFSET(A80,-2,0,1,1)+0.001,ERROR.TYPE(0)),IFERROR(IF(OFFSET(A80,-3,0,1,1)&gt;0,OFFSET(A80,-3,0,1,1)+0.001,ERROR.TYPE(0)),IFERROR(IF(OFFSET(A80,-4,0,1,1)&gt;0,OFFSET(A80,-4,0,1,1)+0.001,ERROR.TYPE(0)),IFERROR(IF(OFFSET(A80,-5,0,1,1)&gt;0,OFFSET(A80,-5,0,1,1)+0.001,ERROR.TYPE(0)),IFERROR(IF(OFFSET(A80,-6,0,1,1)&gt;0,OFFSET(A80,-6,0,1,1)+0.001,ERROR.TYPE(0)),IFERROR(IF(OFFSET(A80,-7,0,1,1)&gt;0,OFFSET(A80,-7,0,1,1)+0.001,ERROR.TYPE(0)),IFERROR(IF(OFFSET(A80,-8,0,1,1)&gt;0,OFFSET(A80,-8,0,1,1)+0.001,ERROR.TYPE(0)),IFERROR(IF(OFFSET(A80,-9,0,1,1)&gt;0,OFFSET(A80,-9,0,1,1)+0.001,ERROR.TYPE(0)),IFERROR(IF(OFFSET(A80,-10,0,1,1)&gt;0,OFFSET(A80,-10,0,1,1)+0.001,ERROR.TYPE(0)),ERROR.TYPE(0)))))))))))</f>
        <v>2.0309999999999966</v>
      </c>
      <c r="B80" s="685" t="s">
        <v>416</v>
      </c>
      <c r="C80" s="682">
        <v>1</v>
      </c>
      <c r="D80" s="682" t="s">
        <v>312</v>
      </c>
      <c r="E80" s="686"/>
      <c r="F80" s="687">
        <f>IFERROR($C80*E80,E80)</f>
        <v>0</v>
      </c>
      <c r="G80" s="686"/>
      <c r="H80" s="686"/>
      <c r="I80" s="686"/>
    </row>
    <row r="81" spans="1:9" s="671" customFormat="1">
      <c r="A81" s="708">
        <f ca="1">IFERROR(IF(OFFSET(A81,-1,0,1,1)&gt;0,OFFSET(A81,-1,0,1,1)+0.001,ERROR.TYPE(0)),IFERROR(IF(OFFSET(A81,-2,0,1,1)&gt;0,OFFSET(A81,-2,0,1,1)+0.001,ERROR.TYPE(0)),IFERROR(IF(OFFSET(A81,-3,0,1,1)&gt;0,OFFSET(A81,-3,0,1,1)+0.001,ERROR.TYPE(0)),IFERROR(IF(OFFSET(A81,-4,0,1,1)&gt;0,OFFSET(A81,-4,0,1,1)+0.001,ERROR.TYPE(0)),IFERROR(IF(OFFSET(A81,-5,0,1,1)&gt;0,OFFSET(A81,-5,0,1,1)+0.001,ERROR.TYPE(0)),IFERROR(IF(OFFSET(A81,-6,0,1,1)&gt;0,OFFSET(A81,-6,0,1,1)+0.001,ERROR.TYPE(0)),IFERROR(IF(OFFSET(A81,-7,0,1,1)&gt;0,OFFSET(A81,-7,0,1,1)+0.001,ERROR.TYPE(0)),IFERROR(IF(OFFSET(A81,-8,0,1,1)&gt;0,OFFSET(A81,-8,0,1,1)+0.001,ERROR.TYPE(0)),IFERROR(IF(OFFSET(A81,-9,0,1,1)&gt;0,OFFSET(A81,-9,0,1,1)+0.001,ERROR.TYPE(0)),IFERROR(IF(OFFSET(A81,-10,0,1,1)&gt;0,OFFSET(A81,-10,0,1,1)+0.001,ERROR.TYPE(0)),ERROR.TYPE(0)))))))))))</f>
        <v>2.0319999999999965</v>
      </c>
      <c r="B81" s="685" t="s">
        <v>417</v>
      </c>
      <c r="C81" s="682">
        <v>1</v>
      </c>
      <c r="D81" s="682" t="s">
        <v>312</v>
      </c>
      <c r="E81" s="686"/>
      <c r="F81" s="687">
        <f>IFERROR($C81*E81,E81)</f>
        <v>0</v>
      </c>
      <c r="G81" s="686"/>
      <c r="H81" s="686"/>
      <c r="I81" s="686"/>
    </row>
    <row r="82" spans="1:9" s="671" customFormat="1">
      <c r="A82" s="708">
        <f ca="1">IFERROR(IF(OFFSET(A82,-1,0,1,1)&gt;0,OFFSET(A82,-1,0,1,1)+0.001,ERROR.TYPE(0)),IFERROR(IF(OFFSET(A82,-2,0,1,1)&gt;0,OFFSET(A82,-2,0,1,1)+0.001,ERROR.TYPE(0)),IFERROR(IF(OFFSET(A82,-3,0,1,1)&gt;0,OFFSET(A82,-3,0,1,1)+0.001,ERROR.TYPE(0)),IFERROR(IF(OFFSET(A82,-4,0,1,1)&gt;0,OFFSET(A82,-4,0,1,1)+0.001,ERROR.TYPE(0)),IFERROR(IF(OFFSET(A82,-5,0,1,1)&gt;0,OFFSET(A82,-5,0,1,1)+0.001,ERROR.TYPE(0)),IFERROR(IF(OFFSET(A82,-6,0,1,1)&gt;0,OFFSET(A82,-6,0,1,1)+0.001,ERROR.TYPE(0)),IFERROR(IF(OFFSET(A82,-7,0,1,1)&gt;0,OFFSET(A82,-7,0,1,1)+0.001,ERROR.TYPE(0)),IFERROR(IF(OFFSET(A82,-8,0,1,1)&gt;0,OFFSET(A82,-8,0,1,1)+0.001,ERROR.TYPE(0)),IFERROR(IF(OFFSET(A82,-9,0,1,1)&gt;0,OFFSET(A82,-9,0,1,1)+0.001,ERROR.TYPE(0)),IFERROR(IF(OFFSET(A82,-10,0,1,1)&gt;0,OFFSET(A82,-10,0,1,1)+0.001,ERROR.TYPE(0)),ERROR.TYPE(0)))))))))))</f>
        <v>2.0329999999999964</v>
      </c>
      <c r="B82" s="685" t="s">
        <v>418</v>
      </c>
      <c r="C82" s="682">
        <v>3</v>
      </c>
      <c r="D82" s="682" t="s">
        <v>312</v>
      </c>
      <c r="E82" s="686"/>
      <c r="F82" s="687">
        <f>IFERROR($C82*E82,E82)</f>
        <v>0</v>
      </c>
      <c r="G82" s="686"/>
      <c r="H82" s="686"/>
      <c r="I82" s="686"/>
    </row>
    <row r="83" spans="1:9" s="671" customFormat="1" ht="27.6">
      <c r="A83" s="708"/>
      <c r="B83" s="704" t="s">
        <v>419</v>
      </c>
      <c r="C83" s="682"/>
      <c r="D83" s="682"/>
      <c r="E83" s="686"/>
      <c r="F83" s="687"/>
      <c r="G83" s="686"/>
      <c r="H83" s="686"/>
      <c r="I83" s="686"/>
    </row>
    <row r="84" spans="1:9" s="671" customFormat="1">
      <c r="A84" s="708">
        <f ca="1">IFERROR(IF(OFFSET(A84,-1,0,1,1)&gt;0,OFFSET(A84,-1,0,1,1)+0.001,ERROR.TYPE(0)),IFERROR(IF(OFFSET(A84,-2,0,1,1)&gt;0,OFFSET(A84,-2,0,1,1)+0.001,ERROR.TYPE(0)),IFERROR(IF(OFFSET(A84,-3,0,1,1)&gt;0,OFFSET(A84,-3,0,1,1)+0.001,ERROR.TYPE(0)),IFERROR(IF(OFFSET(A84,-4,0,1,1)&gt;0,OFFSET(A84,-4,0,1,1)+0.001,ERROR.TYPE(0)),IFERROR(IF(OFFSET(A84,-5,0,1,1)&gt;0,OFFSET(A84,-5,0,1,1)+0.001,ERROR.TYPE(0)),IFERROR(IF(OFFSET(A84,-6,0,1,1)&gt;0,OFFSET(A84,-6,0,1,1)+0.001,ERROR.TYPE(0)),IFERROR(IF(OFFSET(A84,-7,0,1,1)&gt;0,OFFSET(A84,-7,0,1,1)+0.001,ERROR.TYPE(0)),IFERROR(IF(OFFSET(A84,-8,0,1,1)&gt;0,OFFSET(A84,-8,0,1,1)+0.001,ERROR.TYPE(0)),IFERROR(IF(OFFSET(A84,-9,0,1,1)&gt;0,OFFSET(A84,-9,0,1,1)+0.001,ERROR.TYPE(0)),IFERROR(IF(OFFSET(A84,-10,0,1,1)&gt;0,OFFSET(A84,-10,0,1,1)+0.001,ERROR.TYPE(0)),ERROR.TYPE(0)))))))))))</f>
        <v>2.0339999999999963</v>
      </c>
      <c r="B84" s="685" t="s">
        <v>420</v>
      </c>
      <c r="C84" s="682">
        <v>1</v>
      </c>
      <c r="D84" s="682" t="s">
        <v>312</v>
      </c>
      <c r="E84" s="686"/>
      <c r="F84" s="687">
        <f>IFERROR($C84*E84,E84)</f>
        <v>0</v>
      </c>
      <c r="G84" s="686"/>
      <c r="H84" s="686"/>
      <c r="I84" s="686"/>
    </row>
    <row r="85" spans="1:9" s="671" customFormat="1" ht="27.6">
      <c r="A85" s="708"/>
      <c r="B85" s="704" t="s">
        <v>421</v>
      </c>
      <c r="C85" s="682"/>
      <c r="D85" s="682"/>
      <c r="E85" s="686"/>
      <c r="F85" s="687"/>
      <c r="G85" s="686"/>
      <c r="H85" s="686"/>
      <c r="I85" s="686"/>
    </row>
    <row r="86" spans="1:9" s="671" customFormat="1">
      <c r="A86" s="708">
        <f ca="1">IFERROR(IF(OFFSET(A86,-1,0,1,1)&gt;0,OFFSET(A86,-1,0,1,1)+0.001,ERROR.TYPE(0)),IFERROR(IF(OFFSET(A86,-2,0,1,1)&gt;0,OFFSET(A86,-2,0,1,1)+0.001,ERROR.TYPE(0)),IFERROR(IF(OFFSET(A86,-3,0,1,1)&gt;0,OFFSET(A86,-3,0,1,1)+0.001,ERROR.TYPE(0)),IFERROR(IF(OFFSET(A86,-4,0,1,1)&gt;0,OFFSET(A86,-4,0,1,1)+0.001,ERROR.TYPE(0)),IFERROR(IF(OFFSET(A86,-5,0,1,1)&gt;0,OFFSET(A86,-5,0,1,1)+0.001,ERROR.TYPE(0)),IFERROR(IF(OFFSET(A86,-6,0,1,1)&gt;0,OFFSET(A86,-6,0,1,1)+0.001,ERROR.TYPE(0)),IFERROR(IF(OFFSET(A86,-7,0,1,1)&gt;0,OFFSET(A86,-7,0,1,1)+0.001,ERROR.TYPE(0)),IFERROR(IF(OFFSET(A86,-8,0,1,1)&gt;0,OFFSET(A86,-8,0,1,1)+0.001,ERROR.TYPE(0)),IFERROR(IF(OFFSET(A86,-9,0,1,1)&gt;0,OFFSET(A86,-9,0,1,1)+0.001,ERROR.TYPE(0)),IFERROR(IF(OFFSET(A86,-10,0,1,1)&gt;0,OFFSET(A86,-10,0,1,1)+0.001,ERROR.TYPE(0)),ERROR.TYPE(0)))))))))))</f>
        <v>2.0349999999999961</v>
      </c>
      <c r="B86" s="685" t="s">
        <v>422</v>
      </c>
      <c r="C86" s="682">
        <v>15</v>
      </c>
      <c r="D86" s="682" t="s">
        <v>311</v>
      </c>
      <c r="E86" s="686"/>
      <c r="F86" s="687">
        <f>IFERROR($C86*E86,E86)</f>
        <v>0</v>
      </c>
      <c r="G86" s="686"/>
      <c r="H86" s="686"/>
      <c r="I86" s="686"/>
    </row>
    <row r="87" spans="1:9" s="671" customFormat="1">
      <c r="A87" s="708">
        <f ca="1">IFERROR(IF(OFFSET(A87,-1,0,1,1)&gt;0,OFFSET(A87,-1,0,1,1)+0.001,ERROR.TYPE(0)),IFERROR(IF(OFFSET(A87,-2,0,1,1)&gt;0,OFFSET(A87,-2,0,1,1)+0.001,ERROR.TYPE(0)),IFERROR(IF(OFFSET(A87,-3,0,1,1)&gt;0,OFFSET(A87,-3,0,1,1)+0.001,ERROR.TYPE(0)),IFERROR(IF(OFFSET(A87,-4,0,1,1)&gt;0,OFFSET(A87,-4,0,1,1)+0.001,ERROR.TYPE(0)),IFERROR(IF(OFFSET(A87,-5,0,1,1)&gt;0,OFFSET(A87,-5,0,1,1)+0.001,ERROR.TYPE(0)),IFERROR(IF(OFFSET(A87,-6,0,1,1)&gt;0,OFFSET(A87,-6,0,1,1)+0.001,ERROR.TYPE(0)),IFERROR(IF(OFFSET(A87,-7,0,1,1)&gt;0,OFFSET(A87,-7,0,1,1)+0.001,ERROR.TYPE(0)),IFERROR(IF(OFFSET(A87,-8,0,1,1)&gt;0,OFFSET(A87,-8,0,1,1)+0.001,ERROR.TYPE(0)),IFERROR(IF(OFFSET(A87,-9,0,1,1)&gt;0,OFFSET(A87,-9,0,1,1)+0.001,ERROR.TYPE(0)),IFERROR(IF(OFFSET(A87,-10,0,1,1)&gt;0,OFFSET(A87,-10,0,1,1)+0.001,ERROR.TYPE(0)),ERROR.TYPE(0)))))))))))</f>
        <v>2.035999999999996</v>
      </c>
      <c r="B87" s="685" t="s">
        <v>423</v>
      </c>
      <c r="C87" s="682">
        <v>5</v>
      </c>
      <c r="D87" s="682" t="s">
        <v>311</v>
      </c>
      <c r="E87" s="686"/>
      <c r="F87" s="687">
        <f>IFERROR($C87*E87,E87)</f>
        <v>0</v>
      </c>
      <c r="G87" s="686"/>
      <c r="H87" s="686"/>
      <c r="I87" s="686"/>
    </row>
    <row r="88" spans="1:9" s="671" customFormat="1">
      <c r="A88" s="708">
        <f ca="1">IFERROR(IF(OFFSET(A88,-1,0,1,1)&gt;0,OFFSET(A88,-1,0,1,1)+0.001,ERROR.TYPE(0)),IFERROR(IF(OFFSET(A88,-2,0,1,1)&gt;0,OFFSET(A88,-2,0,1,1)+0.001,ERROR.TYPE(0)),IFERROR(IF(OFFSET(A88,-3,0,1,1)&gt;0,OFFSET(A88,-3,0,1,1)+0.001,ERROR.TYPE(0)),IFERROR(IF(OFFSET(A88,-4,0,1,1)&gt;0,OFFSET(A88,-4,0,1,1)+0.001,ERROR.TYPE(0)),IFERROR(IF(OFFSET(A88,-5,0,1,1)&gt;0,OFFSET(A88,-5,0,1,1)+0.001,ERROR.TYPE(0)),IFERROR(IF(OFFSET(A88,-6,0,1,1)&gt;0,OFFSET(A88,-6,0,1,1)+0.001,ERROR.TYPE(0)),IFERROR(IF(OFFSET(A88,-7,0,1,1)&gt;0,OFFSET(A88,-7,0,1,1)+0.001,ERROR.TYPE(0)),IFERROR(IF(OFFSET(A88,-8,0,1,1)&gt;0,OFFSET(A88,-8,0,1,1)+0.001,ERROR.TYPE(0)),IFERROR(IF(OFFSET(A88,-9,0,1,1)&gt;0,OFFSET(A88,-9,0,1,1)+0.001,ERROR.TYPE(0)),IFERROR(IF(OFFSET(A88,-10,0,1,1)&gt;0,OFFSET(A88,-10,0,1,1)+0.001,ERROR.TYPE(0)),ERROR.TYPE(0)))))))))))</f>
        <v>2.0369999999999959</v>
      </c>
      <c r="B88" s="685" t="s">
        <v>424</v>
      </c>
      <c r="C88" s="682">
        <v>5</v>
      </c>
      <c r="D88" s="682" t="s">
        <v>311</v>
      </c>
      <c r="E88" s="686"/>
      <c r="F88" s="687">
        <f>IFERROR($C88*E88,E88)</f>
        <v>0</v>
      </c>
      <c r="G88" s="686"/>
      <c r="H88" s="686"/>
      <c r="I88" s="686"/>
    </row>
    <row r="89" spans="1:9" s="671" customFormat="1" ht="27.6">
      <c r="A89" s="708"/>
      <c r="B89" s="704" t="s">
        <v>414</v>
      </c>
      <c r="C89" s="682"/>
      <c r="D89" s="682"/>
      <c r="E89" s="686"/>
      <c r="F89" s="687"/>
      <c r="G89" s="686"/>
      <c r="H89" s="686"/>
      <c r="I89" s="686"/>
    </row>
    <row r="90" spans="1:9" s="671" customFormat="1">
      <c r="A90" s="708">
        <f ca="1">IFERROR(IF(OFFSET(A90,-1,0,1,1)&gt;0,OFFSET(A90,-1,0,1,1)+0.001,ERROR.TYPE(0)),IFERROR(IF(OFFSET(A90,-2,0,1,1)&gt;0,OFFSET(A90,-2,0,1,1)+0.001,ERROR.TYPE(0)),IFERROR(IF(OFFSET(A90,-3,0,1,1)&gt;0,OFFSET(A90,-3,0,1,1)+0.001,ERROR.TYPE(0)),IFERROR(IF(OFFSET(A90,-4,0,1,1)&gt;0,OFFSET(A90,-4,0,1,1)+0.001,ERROR.TYPE(0)),IFERROR(IF(OFFSET(A90,-5,0,1,1)&gt;0,OFFSET(A90,-5,0,1,1)+0.001,ERROR.TYPE(0)),IFERROR(IF(OFFSET(A90,-6,0,1,1)&gt;0,OFFSET(A90,-6,0,1,1)+0.001,ERROR.TYPE(0)),IFERROR(IF(OFFSET(A90,-7,0,1,1)&gt;0,OFFSET(A90,-7,0,1,1)+0.001,ERROR.TYPE(0)),IFERROR(IF(OFFSET(A90,-8,0,1,1)&gt;0,OFFSET(A90,-8,0,1,1)+0.001,ERROR.TYPE(0)),IFERROR(IF(OFFSET(A90,-9,0,1,1)&gt;0,OFFSET(A90,-9,0,1,1)+0.001,ERROR.TYPE(0)),IFERROR(IF(OFFSET(A90,-10,0,1,1)&gt;0,OFFSET(A90,-10,0,1,1)+0.001,ERROR.TYPE(0)),ERROR.TYPE(0)))))))))))</f>
        <v>2.0379999999999958</v>
      </c>
      <c r="B90" s="685" t="s">
        <v>425</v>
      </c>
      <c r="C90" s="682">
        <v>1</v>
      </c>
      <c r="D90" s="682" t="s">
        <v>312</v>
      </c>
      <c r="E90" s="686"/>
      <c r="F90" s="687">
        <f>IFERROR($C90*E90,E90)</f>
        <v>0</v>
      </c>
      <c r="G90" s="686"/>
      <c r="H90" s="686"/>
      <c r="I90" s="686"/>
    </row>
    <row r="91" spans="1:9" s="671" customFormat="1">
      <c r="A91" s="708">
        <f ca="1">IFERROR(IF(OFFSET(A91,-1,0,1,1)&gt;0,OFFSET(A91,-1,0,1,1)+0.001,ERROR.TYPE(0)),IFERROR(IF(OFFSET(A91,-2,0,1,1)&gt;0,OFFSET(A91,-2,0,1,1)+0.001,ERROR.TYPE(0)),IFERROR(IF(OFFSET(A91,-3,0,1,1)&gt;0,OFFSET(A91,-3,0,1,1)+0.001,ERROR.TYPE(0)),IFERROR(IF(OFFSET(A91,-4,0,1,1)&gt;0,OFFSET(A91,-4,0,1,1)+0.001,ERROR.TYPE(0)),IFERROR(IF(OFFSET(A91,-5,0,1,1)&gt;0,OFFSET(A91,-5,0,1,1)+0.001,ERROR.TYPE(0)),IFERROR(IF(OFFSET(A91,-6,0,1,1)&gt;0,OFFSET(A91,-6,0,1,1)+0.001,ERROR.TYPE(0)),IFERROR(IF(OFFSET(A91,-7,0,1,1)&gt;0,OFFSET(A91,-7,0,1,1)+0.001,ERROR.TYPE(0)),IFERROR(IF(OFFSET(A91,-8,0,1,1)&gt;0,OFFSET(A91,-8,0,1,1)+0.001,ERROR.TYPE(0)),IFERROR(IF(OFFSET(A91,-9,0,1,1)&gt;0,OFFSET(A91,-9,0,1,1)+0.001,ERROR.TYPE(0)),IFERROR(IF(OFFSET(A91,-10,0,1,1)&gt;0,OFFSET(A91,-10,0,1,1)+0.001,ERROR.TYPE(0)),ERROR.TYPE(0)))))))))))</f>
        <v>2.0389999999999957</v>
      </c>
      <c r="B91" s="685" t="s">
        <v>426</v>
      </c>
      <c r="C91" s="682">
        <v>1</v>
      </c>
      <c r="D91" s="682" t="s">
        <v>312</v>
      </c>
      <c r="E91" s="686"/>
      <c r="F91" s="687">
        <f>IFERROR($C91*E91,E91)</f>
        <v>0</v>
      </c>
      <c r="G91" s="686"/>
      <c r="H91" s="686"/>
      <c r="I91" s="686"/>
    </row>
    <row r="92" spans="1:9" s="671" customFormat="1">
      <c r="A92" s="708">
        <f ca="1">IFERROR(IF(OFFSET(A92,-1,0,1,1)&gt;0,OFFSET(A92,-1,0,1,1)+0.001,ERROR.TYPE(0)),IFERROR(IF(OFFSET(A92,-2,0,1,1)&gt;0,OFFSET(A92,-2,0,1,1)+0.001,ERROR.TYPE(0)),IFERROR(IF(OFFSET(A92,-3,0,1,1)&gt;0,OFFSET(A92,-3,0,1,1)+0.001,ERROR.TYPE(0)),IFERROR(IF(OFFSET(A92,-4,0,1,1)&gt;0,OFFSET(A92,-4,0,1,1)+0.001,ERROR.TYPE(0)),IFERROR(IF(OFFSET(A92,-5,0,1,1)&gt;0,OFFSET(A92,-5,0,1,1)+0.001,ERROR.TYPE(0)),IFERROR(IF(OFFSET(A92,-6,0,1,1)&gt;0,OFFSET(A92,-6,0,1,1)+0.001,ERROR.TYPE(0)),IFERROR(IF(OFFSET(A92,-7,0,1,1)&gt;0,OFFSET(A92,-7,0,1,1)+0.001,ERROR.TYPE(0)),IFERROR(IF(OFFSET(A92,-8,0,1,1)&gt;0,OFFSET(A92,-8,0,1,1)+0.001,ERROR.TYPE(0)),IFERROR(IF(OFFSET(A92,-9,0,1,1)&gt;0,OFFSET(A92,-9,0,1,1)+0.001,ERROR.TYPE(0)),IFERROR(IF(OFFSET(A92,-10,0,1,1)&gt;0,OFFSET(A92,-10,0,1,1)+0.001,ERROR.TYPE(0)),ERROR.TYPE(0)))))))))))</f>
        <v>2.0399999999999956</v>
      </c>
      <c r="B92" s="685" t="s">
        <v>427</v>
      </c>
      <c r="C92" s="682">
        <v>1</v>
      </c>
      <c r="D92" s="682" t="s">
        <v>312</v>
      </c>
      <c r="E92" s="686"/>
      <c r="F92" s="687">
        <f>IFERROR($C92*E92,E92)</f>
        <v>0</v>
      </c>
      <c r="G92" s="686"/>
      <c r="H92" s="686"/>
      <c r="I92" s="686"/>
    </row>
    <row r="93" spans="1:9" s="671" customFormat="1" ht="41.4">
      <c r="A93" s="708" t="s">
        <v>340</v>
      </c>
      <c r="B93" s="704" t="s">
        <v>428</v>
      </c>
      <c r="C93" s="682"/>
      <c r="D93" s="682"/>
      <c r="E93" s="686"/>
      <c r="F93" s="687"/>
      <c r="G93" s="686"/>
      <c r="H93" s="686"/>
      <c r="I93" s="686"/>
    </row>
    <row r="94" spans="1:9" s="671" customFormat="1" ht="27.6">
      <c r="A94" s="708">
        <f ca="1">IFERROR(IF(OFFSET(A94,-1,0,1,1)&gt;0,OFFSET(A94,-1,0,1,1)+0.001,ERROR.TYPE(0)),IFERROR(IF(OFFSET(A94,-2,0,1,1)&gt;0,OFFSET(A94,-2,0,1,1)+0.001,ERROR.TYPE(0)),IFERROR(IF(OFFSET(A94,-3,0,1,1)&gt;0,OFFSET(A94,-3,0,1,1)+0.001,ERROR.TYPE(0)),IFERROR(IF(OFFSET(A94,-4,0,1,1)&gt;0,OFFSET(A94,-4,0,1,1)+0.001,ERROR.TYPE(0)),IFERROR(IF(OFFSET(A94,-5,0,1,1)&gt;0,OFFSET(A94,-5,0,1,1)+0.001,ERROR.TYPE(0)),IFERROR(IF(OFFSET(A94,-6,0,1,1)&gt;0,OFFSET(A94,-6,0,1,1)+0.001,ERROR.TYPE(0)),IFERROR(IF(OFFSET(A94,-7,0,1,1)&gt;0,OFFSET(A94,-7,0,1,1)+0.001,ERROR.TYPE(0)),IFERROR(IF(OFFSET(A94,-8,0,1,1)&gt;0,OFFSET(A94,-8,0,1,1)+0.001,ERROR.TYPE(0)),IFERROR(IF(OFFSET(A94,-9,0,1,1)&gt;0,OFFSET(A94,-9,0,1,1)+0.001,ERROR.TYPE(0)),IFERROR(IF(OFFSET(A94,-10,0,1,1)&gt;0,OFFSET(A94,-10,0,1,1)+0.001,ERROR.TYPE(0)),ERROR.TYPE(0)))))))))))</f>
        <v>2.0409999999999955</v>
      </c>
      <c r="B94" s="709" t="s">
        <v>429</v>
      </c>
      <c r="C94" s="682">
        <v>2</v>
      </c>
      <c r="D94" s="682" t="s">
        <v>312</v>
      </c>
      <c r="E94" s="686" t="str">
        <f>Elec_Est!$Q492</f>
        <v>Included in item 1.183</v>
      </c>
      <c r="F94" s="687"/>
      <c r="G94" s="686" t="str">
        <f>Elec_Est!$Q492</f>
        <v>Included in item 1.183</v>
      </c>
      <c r="H94" s="686" t="str">
        <f>Elec_Est!$Q492</f>
        <v>Included in item 1.183</v>
      </c>
      <c r="I94" s="686" t="str">
        <f>Elec_Est!$Q492</f>
        <v>Included in item 1.183</v>
      </c>
    </row>
    <row r="95" spans="1:9" s="671" customFormat="1" ht="27.6">
      <c r="A95" s="708">
        <f ca="1">IFERROR(IF(OFFSET(A95,-1,0,1,1)&gt;0,OFFSET(A95,-1,0,1,1)+0.001,ERROR.TYPE(0)),IFERROR(IF(OFFSET(A95,-2,0,1,1)&gt;0,OFFSET(A95,-2,0,1,1)+0.001,ERROR.TYPE(0)),IFERROR(IF(OFFSET(A95,-3,0,1,1)&gt;0,OFFSET(A95,-3,0,1,1)+0.001,ERROR.TYPE(0)),IFERROR(IF(OFFSET(A95,-4,0,1,1)&gt;0,OFFSET(A95,-4,0,1,1)+0.001,ERROR.TYPE(0)),IFERROR(IF(OFFSET(A95,-5,0,1,1)&gt;0,OFFSET(A95,-5,0,1,1)+0.001,ERROR.TYPE(0)),IFERROR(IF(OFFSET(A95,-6,0,1,1)&gt;0,OFFSET(A95,-6,0,1,1)+0.001,ERROR.TYPE(0)),IFERROR(IF(OFFSET(A95,-7,0,1,1)&gt;0,OFFSET(A95,-7,0,1,1)+0.001,ERROR.TYPE(0)),IFERROR(IF(OFFSET(A95,-8,0,1,1)&gt;0,OFFSET(A95,-8,0,1,1)+0.001,ERROR.TYPE(0)),IFERROR(IF(OFFSET(A95,-9,0,1,1)&gt;0,OFFSET(A95,-9,0,1,1)+0.001,ERROR.TYPE(0)),IFERROR(IF(OFFSET(A95,-10,0,1,1)&gt;0,OFFSET(A95,-10,0,1,1)+0.001,ERROR.TYPE(0)),ERROR.TYPE(0)))))))))))</f>
        <v>2.0419999999999954</v>
      </c>
      <c r="B95" s="709" t="s">
        <v>430</v>
      </c>
      <c r="C95" s="682">
        <v>1</v>
      </c>
      <c r="D95" s="682" t="s">
        <v>312</v>
      </c>
      <c r="E95" s="686" t="str">
        <f>Elec_Est!$Q508</f>
        <v>Included in item 1.183</v>
      </c>
      <c r="F95" s="687"/>
      <c r="G95" s="686" t="str">
        <f>Elec_Est!$Q508</f>
        <v>Included in item 1.183</v>
      </c>
      <c r="H95" s="686" t="str">
        <f>Elec_Est!$Q508</f>
        <v>Included in item 1.183</v>
      </c>
      <c r="I95" s="686" t="str">
        <f>Elec_Est!$Q508</f>
        <v>Included in item 1.183</v>
      </c>
    </row>
    <row r="96" spans="1:9" s="671" customFormat="1" ht="27.6">
      <c r="A96" s="708">
        <f ca="1">IFERROR(IF(OFFSET(A96,-1,0,1,1)&gt;0,OFFSET(A96,-1,0,1,1)+0.001,ERROR.TYPE(0)),IFERROR(IF(OFFSET(A96,-2,0,1,1)&gt;0,OFFSET(A96,-2,0,1,1)+0.001,ERROR.TYPE(0)),IFERROR(IF(OFFSET(A96,-3,0,1,1)&gt;0,OFFSET(A96,-3,0,1,1)+0.001,ERROR.TYPE(0)),IFERROR(IF(OFFSET(A96,-4,0,1,1)&gt;0,OFFSET(A96,-4,0,1,1)+0.001,ERROR.TYPE(0)),IFERROR(IF(OFFSET(A96,-5,0,1,1)&gt;0,OFFSET(A96,-5,0,1,1)+0.001,ERROR.TYPE(0)),IFERROR(IF(OFFSET(A96,-6,0,1,1)&gt;0,OFFSET(A96,-6,0,1,1)+0.001,ERROR.TYPE(0)),IFERROR(IF(OFFSET(A96,-7,0,1,1)&gt;0,OFFSET(A96,-7,0,1,1)+0.001,ERROR.TYPE(0)),IFERROR(IF(OFFSET(A96,-8,0,1,1)&gt;0,OFFSET(A96,-8,0,1,1)+0.001,ERROR.TYPE(0)),IFERROR(IF(OFFSET(A96,-9,0,1,1)&gt;0,OFFSET(A96,-9,0,1,1)+0.001,ERROR.TYPE(0)),IFERROR(IF(OFFSET(A96,-10,0,1,1)&gt;0,OFFSET(A96,-10,0,1,1)+0.001,ERROR.TYPE(0)),ERROR.TYPE(0)))))))))))</f>
        <v>2.0429999999999953</v>
      </c>
      <c r="B96" s="709" t="s">
        <v>431</v>
      </c>
      <c r="C96" s="682">
        <v>1</v>
      </c>
      <c r="D96" s="682" t="s">
        <v>312</v>
      </c>
      <c r="E96" s="686" t="str">
        <f>Elec_Est!$Q524</f>
        <v>Included in item 1.183</v>
      </c>
      <c r="F96" s="687"/>
      <c r="G96" s="686" t="str">
        <f>Elec_Est!$Q524</f>
        <v>Included in item 1.183</v>
      </c>
      <c r="H96" s="686" t="str">
        <f>Elec_Est!$Q524</f>
        <v>Included in item 1.183</v>
      </c>
      <c r="I96" s="686" t="str">
        <f>Elec_Est!$Q524</f>
        <v>Included in item 1.183</v>
      </c>
    </row>
    <row r="97" spans="1:9" s="671" customFormat="1" ht="27.6">
      <c r="A97" s="708"/>
      <c r="B97" s="704" t="s">
        <v>432</v>
      </c>
      <c r="C97" s="682"/>
      <c r="D97" s="682"/>
      <c r="E97" s="686"/>
      <c r="F97" s="687"/>
      <c r="G97" s="686"/>
      <c r="H97" s="686"/>
      <c r="I97" s="686"/>
    </row>
    <row r="98" spans="1:9" s="671" customFormat="1">
      <c r="A98" s="708">
        <f ca="1">IFERROR(IF(OFFSET(A98,-1,0,1,1)&gt;0,OFFSET(A98,-1,0,1,1)+0.001,ERROR.TYPE(0)),IFERROR(IF(OFFSET(A98,-2,0,1,1)&gt;0,OFFSET(A98,-2,0,1,1)+0.001,ERROR.TYPE(0)),IFERROR(IF(OFFSET(A98,-3,0,1,1)&gt;0,OFFSET(A98,-3,0,1,1)+0.001,ERROR.TYPE(0)),IFERROR(IF(OFFSET(A98,-4,0,1,1)&gt;0,OFFSET(A98,-4,0,1,1)+0.001,ERROR.TYPE(0)),IFERROR(IF(OFFSET(A98,-5,0,1,1)&gt;0,OFFSET(A98,-5,0,1,1)+0.001,ERROR.TYPE(0)),IFERROR(IF(OFFSET(A98,-6,0,1,1)&gt;0,OFFSET(A98,-6,0,1,1)+0.001,ERROR.TYPE(0)),IFERROR(IF(OFFSET(A98,-7,0,1,1)&gt;0,OFFSET(A98,-7,0,1,1)+0.001,ERROR.TYPE(0)),IFERROR(IF(OFFSET(A98,-8,0,1,1)&gt;0,OFFSET(A98,-8,0,1,1)+0.001,ERROR.TYPE(0)),IFERROR(IF(OFFSET(A98,-9,0,1,1)&gt;0,OFFSET(A98,-9,0,1,1)+0.001,ERROR.TYPE(0)),IFERROR(IF(OFFSET(A98,-10,0,1,1)&gt;0,OFFSET(A98,-10,0,1,1)+0.001,ERROR.TYPE(0)),ERROR.TYPE(0)))))))))))</f>
        <v>2.0439999999999952</v>
      </c>
      <c r="B98" s="685" t="s">
        <v>433</v>
      </c>
      <c r="C98" s="682">
        <v>3</v>
      </c>
      <c r="D98" s="682" t="s">
        <v>312</v>
      </c>
      <c r="E98" s="686"/>
      <c r="F98" s="687">
        <f>IFERROR($C98*E98,E98)</f>
        <v>0</v>
      </c>
      <c r="G98" s="686"/>
      <c r="H98" s="686"/>
      <c r="I98" s="686"/>
    </row>
    <row r="99" spans="1:9" s="671" customFormat="1">
      <c r="A99" s="708">
        <f ca="1">IFERROR(IF(OFFSET(A99,-1,0,1,1)&gt;0,OFFSET(A99,-1,0,1,1)+0.001,ERROR.TYPE(0)),IFERROR(IF(OFFSET(A99,-2,0,1,1)&gt;0,OFFSET(A99,-2,0,1,1)+0.001,ERROR.TYPE(0)),IFERROR(IF(OFFSET(A99,-3,0,1,1)&gt;0,OFFSET(A99,-3,0,1,1)+0.001,ERROR.TYPE(0)),IFERROR(IF(OFFSET(A99,-4,0,1,1)&gt;0,OFFSET(A99,-4,0,1,1)+0.001,ERROR.TYPE(0)),IFERROR(IF(OFFSET(A99,-5,0,1,1)&gt;0,OFFSET(A99,-5,0,1,1)+0.001,ERROR.TYPE(0)),IFERROR(IF(OFFSET(A99,-6,0,1,1)&gt;0,OFFSET(A99,-6,0,1,1)+0.001,ERROR.TYPE(0)),IFERROR(IF(OFFSET(A99,-7,0,1,1)&gt;0,OFFSET(A99,-7,0,1,1)+0.001,ERROR.TYPE(0)),IFERROR(IF(OFFSET(A99,-8,0,1,1)&gt;0,OFFSET(A99,-8,0,1,1)+0.001,ERROR.TYPE(0)),IFERROR(IF(OFFSET(A99,-9,0,1,1)&gt;0,OFFSET(A99,-9,0,1,1)+0.001,ERROR.TYPE(0)),IFERROR(IF(OFFSET(A99,-10,0,1,1)&gt;0,OFFSET(A99,-10,0,1,1)+0.001,ERROR.TYPE(0)),ERROR.TYPE(0)))))))))))</f>
        <v>2.044999999999995</v>
      </c>
      <c r="B99" s="685" t="s">
        <v>434</v>
      </c>
      <c r="C99" s="682">
        <v>3</v>
      </c>
      <c r="D99" s="682" t="s">
        <v>312</v>
      </c>
      <c r="E99" s="686"/>
      <c r="F99" s="687">
        <f>IFERROR($C99*E99,E99)</f>
        <v>0</v>
      </c>
      <c r="G99" s="686"/>
      <c r="H99" s="686"/>
      <c r="I99" s="686"/>
    </row>
    <row r="100" spans="1:9" s="671" customFormat="1">
      <c r="A100" s="674"/>
      <c r="B100" s="702" t="s">
        <v>435</v>
      </c>
      <c r="C100" s="676"/>
      <c r="D100" s="676"/>
      <c r="E100" s="677"/>
      <c r="F100" s="678"/>
      <c r="G100" s="677"/>
      <c r="H100" s="677"/>
      <c r="I100" s="677"/>
    </row>
    <row r="101" spans="1:9" s="671" customFormat="1" ht="27.6">
      <c r="A101" s="708"/>
      <c r="B101" s="704" t="s">
        <v>409</v>
      </c>
      <c r="C101" s="682"/>
      <c r="D101" s="682"/>
      <c r="E101" s="686"/>
      <c r="F101" s="687"/>
      <c r="G101" s="686"/>
      <c r="H101" s="686"/>
      <c r="I101" s="686"/>
    </row>
    <row r="102" spans="1:9" s="671" customFormat="1">
      <c r="A102" s="708">
        <f ca="1">IFERROR(IF(OFFSET(A102,-1,0,1,1)&gt;0,OFFSET(A102,-1,0,1,1)+0.001,ERROR.TYPE(0)),IFERROR(IF(OFFSET(A102,-2,0,1,1)&gt;0,OFFSET(A102,-2,0,1,1)+0.001,ERROR.TYPE(0)),IFERROR(IF(OFFSET(A102,-3,0,1,1)&gt;0,OFFSET(A102,-3,0,1,1)+0.001,ERROR.TYPE(0)),IFERROR(IF(OFFSET(A102,-4,0,1,1)&gt;0,OFFSET(A102,-4,0,1,1)+0.001,ERROR.TYPE(0)),IFERROR(IF(OFFSET(A102,-5,0,1,1)&gt;0,OFFSET(A102,-5,0,1,1)+0.001,ERROR.TYPE(0)),IFERROR(IF(OFFSET(A102,-6,0,1,1)&gt;0,OFFSET(A102,-6,0,1,1)+0.001,ERROR.TYPE(0)),IFERROR(IF(OFFSET(A102,-7,0,1,1)&gt;0,OFFSET(A102,-7,0,1,1)+0.001,ERROR.TYPE(0)),IFERROR(IF(OFFSET(A102,-8,0,1,1)&gt;0,OFFSET(A102,-8,0,1,1)+0.001,ERROR.TYPE(0)),IFERROR(IF(OFFSET(A102,-9,0,1,1)&gt;0,OFFSET(A102,-9,0,1,1)+0.001,ERROR.TYPE(0)),IFERROR(IF(OFFSET(A102,-10,0,1,1)&gt;0,OFFSET(A102,-10,0,1,1)+0.001,ERROR.TYPE(0)),ERROR.TYPE(0)))))))))))</f>
        <v>2.0459999999999949</v>
      </c>
      <c r="B102" s="685" t="s">
        <v>436</v>
      </c>
      <c r="C102" s="682">
        <v>5</v>
      </c>
      <c r="D102" s="682" t="s">
        <v>311</v>
      </c>
      <c r="E102" s="686"/>
      <c r="F102" s="687">
        <f>IFERROR($C102*E102,E102)</f>
        <v>0</v>
      </c>
      <c r="G102" s="686"/>
      <c r="H102" s="686"/>
      <c r="I102" s="686"/>
    </row>
    <row r="103" spans="1:9" s="671" customFormat="1" ht="27.6">
      <c r="A103" s="708"/>
      <c r="B103" s="704" t="s">
        <v>419</v>
      </c>
      <c r="C103" s="682"/>
      <c r="D103" s="682"/>
      <c r="E103" s="686"/>
      <c r="F103" s="687"/>
      <c r="G103" s="686"/>
      <c r="H103" s="686"/>
      <c r="I103" s="686"/>
    </row>
    <row r="104" spans="1:9" s="671" customFormat="1">
      <c r="A104" s="708">
        <f ca="1">IFERROR(IF(OFFSET(A104,-1,0,1,1)&gt;0,OFFSET(A104,-1,0,1,1)+0.001,ERROR.TYPE(0)),IFERROR(IF(OFFSET(A104,-2,0,1,1)&gt;0,OFFSET(A104,-2,0,1,1)+0.001,ERROR.TYPE(0)),IFERROR(IF(OFFSET(A104,-3,0,1,1)&gt;0,OFFSET(A104,-3,0,1,1)+0.001,ERROR.TYPE(0)),IFERROR(IF(OFFSET(A104,-4,0,1,1)&gt;0,OFFSET(A104,-4,0,1,1)+0.001,ERROR.TYPE(0)),IFERROR(IF(OFFSET(A104,-5,0,1,1)&gt;0,OFFSET(A104,-5,0,1,1)+0.001,ERROR.TYPE(0)),IFERROR(IF(OFFSET(A104,-6,0,1,1)&gt;0,OFFSET(A104,-6,0,1,1)+0.001,ERROR.TYPE(0)),IFERROR(IF(OFFSET(A104,-7,0,1,1)&gt;0,OFFSET(A104,-7,0,1,1)+0.001,ERROR.TYPE(0)),IFERROR(IF(OFFSET(A104,-8,0,1,1)&gt;0,OFFSET(A104,-8,0,1,1)+0.001,ERROR.TYPE(0)),IFERROR(IF(OFFSET(A104,-9,0,1,1)&gt;0,OFFSET(A104,-9,0,1,1)+0.001,ERROR.TYPE(0)),IFERROR(IF(OFFSET(A104,-10,0,1,1)&gt;0,OFFSET(A104,-10,0,1,1)+0.001,ERROR.TYPE(0)),ERROR.TYPE(0)))))))))))</f>
        <v>2.0469999999999948</v>
      </c>
      <c r="B104" s="685" t="s">
        <v>437</v>
      </c>
      <c r="C104" s="682">
        <v>2</v>
      </c>
      <c r="D104" s="682" t="s">
        <v>312</v>
      </c>
      <c r="E104" s="686"/>
      <c r="F104" s="687">
        <f>IFERROR($C104*E104,E104)</f>
        <v>0</v>
      </c>
      <c r="G104" s="686"/>
      <c r="H104" s="686"/>
      <c r="I104" s="686"/>
    </row>
    <row r="105" spans="1:9" s="671" customFormat="1" ht="27.6">
      <c r="A105" s="708"/>
      <c r="B105" s="704" t="s">
        <v>421</v>
      </c>
      <c r="C105" s="682"/>
      <c r="D105" s="682"/>
      <c r="E105" s="686"/>
      <c r="F105" s="687"/>
      <c r="G105" s="686"/>
      <c r="H105" s="686"/>
      <c r="I105" s="686"/>
    </row>
    <row r="106" spans="1:9" s="671" customFormat="1">
      <c r="A106" s="708">
        <f t="shared" ref="A106:A114" ca="1" si="9">IFERROR(IF(OFFSET(A106,-1,0,1,1)&gt;0,OFFSET(A106,-1,0,1,1)+0.001,ERROR.TYPE(0)),IFERROR(IF(OFFSET(A106,-2,0,1,1)&gt;0,OFFSET(A106,-2,0,1,1)+0.001,ERROR.TYPE(0)),IFERROR(IF(OFFSET(A106,-3,0,1,1)&gt;0,OFFSET(A106,-3,0,1,1)+0.001,ERROR.TYPE(0)),IFERROR(IF(OFFSET(A106,-4,0,1,1)&gt;0,OFFSET(A106,-4,0,1,1)+0.001,ERROR.TYPE(0)),IFERROR(IF(OFFSET(A106,-5,0,1,1)&gt;0,OFFSET(A106,-5,0,1,1)+0.001,ERROR.TYPE(0)),IFERROR(IF(OFFSET(A106,-6,0,1,1)&gt;0,OFFSET(A106,-6,0,1,1)+0.001,ERROR.TYPE(0)),IFERROR(IF(OFFSET(A106,-7,0,1,1)&gt;0,OFFSET(A106,-7,0,1,1)+0.001,ERROR.TYPE(0)),IFERROR(IF(OFFSET(A106,-8,0,1,1)&gt;0,OFFSET(A106,-8,0,1,1)+0.001,ERROR.TYPE(0)),IFERROR(IF(OFFSET(A106,-9,0,1,1)&gt;0,OFFSET(A106,-9,0,1,1)+0.001,ERROR.TYPE(0)),IFERROR(IF(OFFSET(A106,-10,0,1,1)&gt;0,OFFSET(A106,-10,0,1,1)+0.001,ERROR.TYPE(0)),ERROR.TYPE(0)))))))))))</f>
        <v>2.0479999999999947</v>
      </c>
      <c r="B106" s="685" t="s">
        <v>438</v>
      </c>
      <c r="C106" s="682">
        <v>5</v>
      </c>
      <c r="D106" s="682" t="s">
        <v>311</v>
      </c>
      <c r="E106" s="686"/>
      <c r="F106" s="687">
        <f t="shared" ref="F106:F114" si="10">IFERROR($C106*E106,E106)</f>
        <v>0</v>
      </c>
      <c r="G106" s="686"/>
      <c r="H106" s="686"/>
      <c r="I106" s="686"/>
    </row>
    <row r="107" spans="1:9" s="671" customFormat="1">
      <c r="A107" s="708">
        <f t="shared" ca="1" si="9"/>
        <v>2.0489999999999946</v>
      </c>
      <c r="B107" s="685" t="s">
        <v>439</v>
      </c>
      <c r="C107" s="682">
        <v>10</v>
      </c>
      <c r="D107" s="682" t="s">
        <v>311</v>
      </c>
      <c r="E107" s="686"/>
      <c r="F107" s="687">
        <f t="shared" si="10"/>
        <v>0</v>
      </c>
      <c r="G107" s="686"/>
      <c r="H107" s="686"/>
      <c r="I107" s="686"/>
    </row>
    <row r="108" spans="1:9" s="671" customFormat="1">
      <c r="A108" s="708">
        <f t="shared" ca="1" si="9"/>
        <v>2.0499999999999945</v>
      </c>
      <c r="B108" s="685" t="s">
        <v>440</v>
      </c>
      <c r="C108" s="682">
        <v>5</v>
      </c>
      <c r="D108" s="682" t="s">
        <v>311</v>
      </c>
      <c r="E108" s="686"/>
      <c r="F108" s="687">
        <f t="shared" si="10"/>
        <v>0</v>
      </c>
      <c r="G108" s="686"/>
      <c r="H108" s="686"/>
      <c r="I108" s="686"/>
    </row>
    <row r="109" spans="1:9" s="671" customFormat="1" ht="14.7" customHeight="1">
      <c r="A109" s="708">
        <f t="shared" ca="1" si="9"/>
        <v>2.0509999999999944</v>
      </c>
      <c r="B109" s="685" t="s">
        <v>441</v>
      </c>
      <c r="C109" s="682">
        <v>5</v>
      </c>
      <c r="D109" s="682" t="s">
        <v>311</v>
      </c>
      <c r="E109" s="686"/>
      <c r="F109" s="687">
        <f t="shared" si="10"/>
        <v>0</v>
      </c>
      <c r="G109" s="686"/>
      <c r="H109" s="686"/>
      <c r="I109" s="686"/>
    </row>
    <row r="110" spans="1:9" s="671" customFormat="1" ht="14.7" customHeight="1">
      <c r="A110" s="708">
        <f t="shared" ca="1" si="9"/>
        <v>2.0519999999999943</v>
      </c>
      <c r="B110" s="685" t="s">
        <v>442</v>
      </c>
      <c r="C110" s="682">
        <v>35</v>
      </c>
      <c r="D110" s="682" t="s">
        <v>311</v>
      </c>
      <c r="E110" s="686"/>
      <c r="F110" s="687">
        <f t="shared" si="10"/>
        <v>0</v>
      </c>
      <c r="G110" s="686"/>
      <c r="H110" s="686"/>
      <c r="I110" s="686"/>
    </row>
    <row r="111" spans="1:9" s="671" customFormat="1" ht="14.7" customHeight="1">
      <c r="A111" s="708">
        <f t="shared" ca="1" si="9"/>
        <v>2.0529999999999942</v>
      </c>
      <c r="B111" s="685" t="s">
        <v>422</v>
      </c>
      <c r="C111" s="682">
        <v>10</v>
      </c>
      <c r="D111" s="682" t="s">
        <v>311</v>
      </c>
      <c r="E111" s="686"/>
      <c r="F111" s="687">
        <f t="shared" si="10"/>
        <v>0</v>
      </c>
      <c r="G111" s="686"/>
      <c r="H111" s="686"/>
      <c r="I111" s="686"/>
    </row>
    <row r="112" spans="1:9" s="671" customFormat="1" ht="14.7" customHeight="1">
      <c r="A112" s="708">
        <f t="shared" ca="1" si="9"/>
        <v>2.0539999999999941</v>
      </c>
      <c r="B112" s="685" t="s">
        <v>443</v>
      </c>
      <c r="C112" s="682">
        <v>5</v>
      </c>
      <c r="D112" s="682" t="s">
        <v>311</v>
      </c>
      <c r="E112" s="686"/>
      <c r="F112" s="687">
        <f t="shared" si="10"/>
        <v>0</v>
      </c>
      <c r="G112" s="686"/>
      <c r="H112" s="686"/>
      <c r="I112" s="686"/>
    </row>
    <row r="113" spans="1:9" s="671" customFormat="1" ht="14.7" customHeight="1">
      <c r="A113" s="708">
        <f t="shared" ca="1" si="9"/>
        <v>2.0549999999999939</v>
      </c>
      <c r="B113" s="685" t="s">
        <v>444</v>
      </c>
      <c r="C113" s="682">
        <v>10</v>
      </c>
      <c r="D113" s="682" t="s">
        <v>311</v>
      </c>
      <c r="E113" s="686"/>
      <c r="F113" s="687">
        <f t="shared" si="10"/>
        <v>0</v>
      </c>
      <c r="G113" s="686"/>
      <c r="H113" s="686"/>
      <c r="I113" s="686"/>
    </row>
    <row r="114" spans="1:9" s="671" customFormat="1" ht="14.7" customHeight="1">
      <c r="A114" s="708">
        <f t="shared" ca="1" si="9"/>
        <v>2.0559999999999938</v>
      </c>
      <c r="B114" s="685" t="s">
        <v>445</v>
      </c>
      <c r="C114" s="682">
        <v>5</v>
      </c>
      <c r="D114" s="682" t="s">
        <v>311</v>
      </c>
      <c r="E114" s="686"/>
      <c r="F114" s="687">
        <f t="shared" si="10"/>
        <v>0</v>
      </c>
      <c r="G114" s="686"/>
      <c r="H114" s="686"/>
      <c r="I114" s="686"/>
    </row>
    <row r="115" spans="1:9" s="671" customFormat="1" ht="27.6">
      <c r="A115" s="708"/>
      <c r="B115" s="704" t="s">
        <v>414</v>
      </c>
      <c r="C115" s="682"/>
      <c r="D115" s="682"/>
      <c r="E115" s="686"/>
      <c r="F115" s="687"/>
      <c r="G115" s="686"/>
      <c r="H115" s="686"/>
      <c r="I115" s="686"/>
    </row>
    <row r="116" spans="1:9" s="671" customFormat="1">
      <c r="A116" s="708">
        <f ca="1">IFERROR(IF(OFFSET(A116,-1,0,1,1)&gt;0,OFFSET(A116,-1,0,1,1)+0.001,ERROR.TYPE(0)),IFERROR(IF(OFFSET(A116,-2,0,1,1)&gt;0,OFFSET(A116,-2,0,1,1)+0.001,ERROR.TYPE(0)),IFERROR(IF(OFFSET(A116,-3,0,1,1)&gt;0,OFFSET(A116,-3,0,1,1)+0.001,ERROR.TYPE(0)),IFERROR(IF(OFFSET(A116,-4,0,1,1)&gt;0,OFFSET(A116,-4,0,1,1)+0.001,ERROR.TYPE(0)),IFERROR(IF(OFFSET(A116,-5,0,1,1)&gt;0,OFFSET(A116,-5,0,1,1)+0.001,ERROR.TYPE(0)),IFERROR(IF(OFFSET(A116,-6,0,1,1)&gt;0,OFFSET(A116,-6,0,1,1)+0.001,ERROR.TYPE(0)),IFERROR(IF(OFFSET(A116,-7,0,1,1)&gt;0,OFFSET(A116,-7,0,1,1)+0.001,ERROR.TYPE(0)),IFERROR(IF(OFFSET(A116,-8,0,1,1)&gt;0,OFFSET(A116,-8,0,1,1)+0.001,ERROR.TYPE(0)),IFERROR(IF(OFFSET(A116,-9,0,1,1)&gt;0,OFFSET(A116,-9,0,1,1)+0.001,ERROR.TYPE(0)),IFERROR(IF(OFFSET(A116,-10,0,1,1)&gt;0,OFFSET(A116,-10,0,1,1)+0.001,ERROR.TYPE(0)),ERROR.TYPE(0)))))))))))</f>
        <v>2.0569999999999937</v>
      </c>
      <c r="B116" s="685" t="s">
        <v>446</v>
      </c>
      <c r="C116" s="682">
        <v>5</v>
      </c>
      <c r="D116" s="682" t="s">
        <v>312</v>
      </c>
      <c r="E116" s="686"/>
      <c r="F116" s="687">
        <f>IFERROR($C116*E116,E116)</f>
        <v>0</v>
      </c>
      <c r="G116" s="686"/>
      <c r="H116" s="686"/>
      <c r="I116" s="686"/>
    </row>
    <row r="117" spans="1:9" s="671" customFormat="1">
      <c r="A117" s="708">
        <f ca="1">IFERROR(IF(OFFSET(A117,-1,0,1,1)&gt;0,OFFSET(A117,-1,0,1,1)+0.001,ERROR.TYPE(0)),IFERROR(IF(OFFSET(A117,-2,0,1,1)&gt;0,OFFSET(A117,-2,0,1,1)+0.001,ERROR.TYPE(0)),IFERROR(IF(OFFSET(A117,-3,0,1,1)&gt;0,OFFSET(A117,-3,0,1,1)+0.001,ERROR.TYPE(0)),IFERROR(IF(OFFSET(A117,-4,0,1,1)&gt;0,OFFSET(A117,-4,0,1,1)+0.001,ERROR.TYPE(0)),IFERROR(IF(OFFSET(A117,-5,0,1,1)&gt;0,OFFSET(A117,-5,0,1,1)+0.001,ERROR.TYPE(0)),IFERROR(IF(OFFSET(A117,-6,0,1,1)&gt;0,OFFSET(A117,-6,0,1,1)+0.001,ERROR.TYPE(0)),IFERROR(IF(OFFSET(A117,-7,0,1,1)&gt;0,OFFSET(A117,-7,0,1,1)+0.001,ERROR.TYPE(0)),IFERROR(IF(OFFSET(A117,-8,0,1,1)&gt;0,OFFSET(A117,-8,0,1,1)+0.001,ERROR.TYPE(0)),IFERROR(IF(OFFSET(A117,-9,0,1,1)&gt;0,OFFSET(A117,-9,0,1,1)+0.001,ERROR.TYPE(0)),IFERROR(IF(OFFSET(A117,-10,0,1,1)&gt;0,OFFSET(A117,-10,0,1,1)+0.001,ERROR.TYPE(0)),ERROR.TYPE(0)))))))))))</f>
        <v>2.0579999999999936</v>
      </c>
      <c r="B117" s="685" t="s">
        <v>447</v>
      </c>
      <c r="C117" s="682">
        <v>1</v>
      </c>
      <c r="D117" s="682" t="s">
        <v>312</v>
      </c>
      <c r="E117" s="686"/>
      <c r="F117" s="687">
        <f>IFERROR($C117*E117,E117)</f>
        <v>0</v>
      </c>
      <c r="G117" s="686"/>
      <c r="H117" s="686"/>
      <c r="I117" s="686"/>
    </row>
    <row r="118" spans="1:9" s="671" customFormat="1">
      <c r="A118" s="708">
        <f ca="1">IFERROR(IF(OFFSET(A118,-1,0,1,1)&gt;0,OFFSET(A118,-1,0,1,1)+0.001,ERROR.TYPE(0)),IFERROR(IF(OFFSET(A118,-2,0,1,1)&gt;0,OFFSET(A118,-2,0,1,1)+0.001,ERROR.TYPE(0)),IFERROR(IF(OFFSET(A118,-3,0,1,1)&gt;0,OFFSET(A118,-3,0,1,1)+0.001,ERROR.TYPE(0)),IFERROR(IF(OFFSET(A118,-4,0,1,1)&gt;0,OFFSET(A118,-4,0,1,1)+0.001,ERROR.TYPE(0)),IFERROR(IF(OFFSET(A118,-5,0,1,1)&gt;0,OFFSET(A118,-5,0,1,1)+0.001,ERROR.TYPE(0)),IFERROR(IF(OFFSET(A118,-6,0,1,1)&gt;0,OFFSET(A118,-6,0,1,1)+0.001,ERROR.TYPE(0)),IFERROR(IF(OFFSET(A118,-7,0,1,1)&gt;0,OFFSET(A118,-7,0,1,1)+0.001,ERROR.TYPE(0)),IFERROR(IF(OFFSET(A118,-8,0,1,1)&gt;0,OFFSET(A118,-8,0,1,1)+0.001,ERROR.TYPE(0)),IFERROR(IF(OFFSET(A118,-9,0,1,1)&gt;0,OFFSET(A118,-9,0,1,1)+0.001,ERROR.TYPE(0)),IFERROR(IF(OFFSET(A118,-10,0,1,1)&gt;0,OFFSET(A118,-10,0,1,1)+0.001,ERROR.TYPE(0)),ERROR.TYPE(0)))))))))))</f>
        <v>2.0589999999999935</v>
      </c>
      <c r="B118" s="685" t="s">
        <v>448</v>
      </c>
      <c r="C118" s="682">
        <v>3</v>
      </c>
      <c r="D118" s="682" t="s">
        <v>312</v>
      </c>
      <c r="E118" s="686"/>
      <c r="F118" s="687">
        <f>IFERROR($C118*E118,E118)</f>
        <v>0</v>
      </c>
      <c r="G118" s="686"/>
      <c r="H118" s="686"/>
      <c r="I118" s="686"/>
    </row>
    <row r="119" spans="1:9" s="671" customFormat="1" ht="41.4">
      <c r="A119" s="708" t="s">
        <v>340</v>
      </c>
      <c r="B119" s="704" t="s">
        <v>428</v>
      </c>
      <c r="C119" s="682"/>
      <c r="D119" s="682"/>
      <c r="E119" s="686"/>
      <c r="F119" s="687"/>
      <c r="G119" s="686"/>
      <c r="H119" s="686"/>
      <c r="I119" s="686"/>
    </row>
    <row r="120" spans="1:9" s="671" customFormat="1" ht="27.6">
      <c r="A120" s="708">
        <f ca="1">IFERROR(IF(OFFSET(A120,-1,0,1,1)&gt;0,OFFSET(A120,-1,0,1,1)+0.001,ERROR.TYPE(0)),IFERROR(IF(OFFSET(A120,-2,0,1,1)&gt;0,OFFSET(A120,-2,0,1,1)+0.001,ERROR.TYPE(0)),IFERROR(IF(OFFSET(A120,-3,0,1,1)&gt;0,OFFSET(A120,-3,0,1,1)+0.001,ERROR.TYPE(0)),IFERROR(IF(OFFSET(A120,-4,0,1,1)&gt;0,OFFSET(A120,-4,0,1,1)+0.001,ERROR.TYPE(0)),IFERROR(IF(OFFSET(A120,-5,0,1,1)&gt;0,OFFSET(A120,-5,0,1,1)+0.001,ERROR.TYPE(0)),IFERROR(IF(OFFSET(A120,-6,0,1,1)&gt;0,OFFSET(A120,-6,0,1,1)+0.001,ERROR.TYPE(0)),IFERROR(IF(OFFSET(A120,-7,0,1,1)&gt;0,OFFSET(A120,-7,0,1,1)+0.001,ERROR.TYPE(0)),IFERROR(IF(OFFSET(A120,-8,0,1,1)&gt;0,OFFSET(A120,-8,0,1,1)+0.001,ERROR.TYPE(0)),IFERROR(IF(OFFSET(A120,-9,0,1,1)&gt;0,OFFSET(A120,-9,0,1,1)+0.001,ERROR.TYPE(0)),IFERROR(IF(OFFSET(A120,-10,0,1,1)&gt;0,OFFSET(A120,-10,0,1,1)+0.001,ERROR.TYPE(0)),ERROR.TYPE(0)))))))))))</f>
        <v>2.0599999999999934</v>
      </c>
      <c r="B120" s="709" t="s">
        <v>429</v>
      </c>
      <c r="C120" s="682">
        <v>1</v>
      </c>
      <c r="D120" s="682" t="s">
        <v>312</v>
      </c>
      <c r="E120" s="686" t="str">
        <f>Elec_Est!$Q544</f>
        <v>Included in item 1.183</v>
      </c>
      <c r="F120" s="687"/>
      <c r="G120" s="686" t="str">
        <f>Elec_Est!$Q544</f>
        <v>Included in item 1.183</v>
      </c>
      <c r="H120" s="686" t="str">
        <f>Elec_Est!$Q544</f>
        <v>Included in item 1.183</v>
      </c>
      <c r="I120" s="686" t="str">
        <f>Elec_Est!$Q544</f>
        <v>Included in item 1.183</v>
      </c>
    </row>
    <row r="121" spans="1:9" s="671" customFormat="1" ht="27.6">
      <c r="A121" s="708">
        <f ca="1">IFERROR(IF(OFFSET(A121,-1,0,1,1)&gt;0,OFFSET(A121,-1,0,1,1)+0.001,ERROR.TYPE(0)),IFERROR(IF(OFFSET(A121,-2,0,1,1)&gt;0,OFFSET(A121,-2,0,1,1)+0.001,ERROR.TYPE(0)),IFERROR(IF(OFFSET(A121,-3,0,1,1)&gt;0,OFFSET(A121,-3,0,1,1)+0.001,ERROR.TYPE(0)),IFERROR(IF(OFFSET(A121,-4,0,1,1)&gt;0,OFFSET(A121,-4,0,1,1)+0.001,ERROR.TYPE(0)),IFERROR(IF(OFFSET(A121,-5,0,1,1)&gt;0,OFFSET(A121,-5,0,1,1)+0.001,ERROR.TYPE(0)),IFERROR(IF(OFFSET(A121,-6,0,1,1)&gt;0,OFFSET(A121,-6,0,1,1)+0.001,ERROR.TYPE(0)),IFERROR(IF(OFFSET(A121,-7,0,1,1)&gt;0,OFFSET(A121,-7,0,1,1)+0.001,ERROR.TYPE(0)),IFERROR(IF(OFFSET(A121,-8,0,1,1)&gt;0,OFFSET(A121,-8,0,1,1)+0.001,ERROR.TYPE(0)),IFERROR(IF(OFFSET(A121,-9,0,1,1)&gt;0,OFFSET(A121,-9,0,1,1)+0.001,ERROR.TYPE(0)),IFERROR(IF(OFFSET(A121,-10,0,1,1)&gt;0,OFFSET(A121,-10,0,1,1)+0.001,ERROR.TYPE(0)),ERROR.TYPE(0)))))))))))</f>
        <v>2.0609999999999933</v>
      </c>
      <c r="B121" s="709" t="s">
        <v>449</v>
      </c>
      <c r="C121" s="682">
        <v>2</v>
      </c>
      <c r="D121" s="682" t="s">
        <v>312</v>
      </c>
      <c r="E121" s="686" t="str">
        <f>Elec_Est!$Q560</f>
        <v>Included in item 1.183</v>
      </c>
      <c r="F121" s="687"/>
      <c r="G121" s="686" t="str">
        <f>Elec_Est!$Q560</f>
        <v>Included in item 1.183</v>
      </c>
      <c r="H121" s="686" t="str">
        <f>Elec_Est!$Q560</f>
        <v>Included in item 1.183</v>
      </c>
      <c r="I121" s="686" t="str">
        <f>Elec_Est!$Q560</f>
        <v>Included in item 1.183</v>
      </c>
    </row>
    <row r="122" spans="1:9" s="671" customFormat="1" ht="27.6">
      <c r="A122" s="708"/>
      <c r="B122" s="704" t="s">
        <v>419</v>
      </c>
      <c r="C122" s="682"/>
      <c r="D122" s="682"/>
      <c r="E122" s="686"/>
      <c r="F122" s="687"/>
      <c r="G122" s="686"/>
      <c r="H122" s="686"/>
      <c r="I122" s="686"/>
    </row>
    <row r="123" spans="1:9" s="671" customFormat="1">
      <c r="A123" s="708">
        <f ca="1">IFERROR(IF(OFFSET(A123,-1,0,1,1)&gt;0,OFFSET(A123,-1,0,1,1)+0.001,ERROR.TYPE(0)),IFERROR(IF(OFFSET(A123,-2,0,1,1)&gt;0,OFFSET(A123,-2,0,1,1)+0.001,ERROR.TYPE(0)),IFERROR(IF(OFFSET(A123,-3,0,1,1)&gt;0,OFFSET(A123,-3,0,1,1)+0.001,ERROR.TYPE(0)),IFERROR(IF(OFFSET(A123,-4,0,1,1)&gt;0,OFFSET(A123,-4,0,1,1)+0.001,ERROR.TYPE(0)),IFERROR(IF(OFFSET(A123,-5,0,1,1)&gt;0,OFFSET(A123,-5,0,1,1)+0.001,ERROR.TYPE(0)),IFERROR(IF(OFFSET(A123,-6,0,1,1)&gt;0,OFFSET(A123,-6,0,1,1)+0.001,ERROR.TYPE(0)),IFERROR(IF(OFFSET(A123,-7,0,1,1)&gt;0,OFFSET(A123,-7,0,1,1)+0.001,ERROR.TYPE(0)),IFERROR(IF(OFFSET(A123,-8,0,1,1)&gt;0,OFFSET(A123,-8,0,1,1)+0.001,ERROR.TYPE(0)),IFERROR(IF(OFFSET(A123,-9,0,1,1)&gt;0,OFFSET(A123,-9,0,1,1)+0.001,ERROR.TYPE(0)),IFERROR(IF(OFFSET(A123,-10,0,1,1)&gt;0,OFFSET(A123,-10,0,1,1)+0.001,ERROR.TYPE(0)),ERROR.TYPE(0)))))))))))</f>
        <v>2.0619999999999932</v>
      </c>
      <c r="B123" s="685" t="s">
        <v>450</v>
      </c>
      <c r="C123" s="682">
        <v>2</v>
      </c>
      <c r="D123" s="682" t="s">
        <v>312</v>
      </c>
      <c r="E123" s="686"/>
      <c r="F123" s="687">
        <f>IFERROR($C123*E123,E123)</f>
        <v>0</v>
      </c>
      <c r="G123" s="686"/>
      <c r="H123" s="686"/>
      <c r="I123" s="686"/>
    </row>
    <row r="124" spans="1:9" s="671" customFormat="1" ht="13.95" customHeight="1">
      <c r="A124" s="674" t="s">
        <v>941</v>
      </c>
      <c r="B124" s="675" t="s">
        <v>316</v>
      </c>
      <c r="C124" s="1082" t="s">
        <v>315</v>
      </c>
      <c r="D124" s="1083"/>
      <c r="E124" s="689"/>
      <c r="F124" s="678">
        <f>SUM(F73:F123)</f>
        <v>0</v>
      </c>
      <c r="G124" s="735">
        <f t="shared" ref="G124:I124" si="11">SUM(G73:G123)</f>
        <v>0</v>
      </c>
      <c r="H124" s="735">
        <f t="shared" si="11"/>
        <v>0</v>
      </c>
      <c r="I124" s="735">
        <f t="shared" si="11"/>
        <v>0</v>
      </c>
    </row>
    <row r="125" spans="1:9" s="671" customFormat="1">
      <c r="A125" s="697"/>
      <c r="B125" s="698"/>
      <c r="C125" s="699"/>
      <c r="D125" s="699"/>
      <c r="E125" s="700"/>
      <c r="F125" s="701"/>
      <c r="G125" s="700"/>
      <c r="H125" s="700"/>
      <c r="I125" s="700"/>
    </row>
    <row r="126" spans="1:9" s="671" customFormat="1">
      <c r="A126" s="697"/>
      <c r="B126" s="698"/>
      <c r="C126" s="699"/>
      <c r="D126" s="691"/>
      <c r="E126" s="700"/>
      <c r="F126" s="701"/>
      <c r="G126" s="700"/>
      <c r="H126" s="700"/>
      <c r="I126" s="700"/>
    </row>
    <row r="127" spans="1:9" s="671" customFormat="1" ht="27.6">
      <c r="A127" s="613" t="s">
        <v>143</v>
      </c>
      <c r="B127" s="614" t="s">
        <v>209</v>
      </c>
      <c r="C127" s="615" t="s">
        <v>210</v>
      </c>
      <c r="D127" s="615" t="s">
        <v>211</v>
      </c>
      <c r="E127" s="616" t="s">
        <v>309</v>
      </c>
      <c r="F127" s="617" t="s">
        <v>310</v>
      </c>
      <c r="G127" s="616" t="s">
        <v>912</v>
      </c>
      <c r="H127" s="616" t="s">
        <v>913</v>
      </c>
      <c r="I127" s="616" t="s">
        <v>914</v>
      </c>
    </row>
    <row r="128" spans="1:9" s="671" customFormat="1">
      <c r="A128" s="674"/>
      <c r="B128" s="702" t="s">
        <v>451</v>
      </c>
      <c r="C128" s="676"/>
      <c r="D128" s="676"/>
      <c r="E128" s="677"/>
      <c r="F128" s="678"/>
      <c r="G128" s="677"/>
      <c r="H128" s="677"/>
      <c r="I128" s="677"/>
    </row>
    <row r="129" spans="1:9" s="671" customFormat="1" ht="27.6">
      <c r="A129" s="708"/>
      <c r="B129" s="704" t="s">
        <v>409</v>
      </c>
      <c r="C129" s="682"/>
      <c r="D129" s="682"/>
      <c r="E129" s="686"/>
      <c r="F129" s="687"/>
      <c r="G129" s="686"/>
      <c r="H129" s="686"/>
      <c r="I129" s="686"/>
    </row>
    <row r="130" spans="1:9" s="671" customFormat="1">
      <c r="A130" s="708">
        <f ca="1">IFERROR(IF(OFFSET(A130,-1,0,1,1)&gt;0,OFFSET(A130,-1,0,1,1)+0.001,ERROR.TYPE(0)),IFERROR(IF(OFFSET(A130,-2,0,1,1)&gt;0,OFFSET(A130,-2,0,1,1)+0.001,ERROR.TYPE(0)),IFERROR(IF(OFFSET(A130,-3,0,1,1)&gt;0,OFFSET(A130,-3,0,1,1)+0.001,ERROR.TYPE(0)),IFERROR(IF(OFFSET(A130,-4,0,1,1)&gt;0,OFFSET(A130,-4,0,1,1)+0.001,ERROR.TYPE(0)),IFERROR(IF(OFFSET(A130,-5,0,1,1)&gt;0,OFFSET(A130,-5,0,1,1)+0.001,ERROR.TYPE(0)),IFERROR(IF(OFFSET(A130,-6,0,1,1)&gt;0,OFFSET(A130,-6,0,1,1)+0.001,ERROR.TYPE(0)),IFERROR(IF(OFFSET(A130,-7,0,1,1)&gt;0,OFFSET(A130,-7,0,1,1)+0.001,ERROR.TYPE(0)),IFERROR(IF(OFFSET(A130,-8,0,1,1)&gt;0,OFFSET(A130,-8,0,1,1)+0.001,ERROR.TYPE(0)),IFERROR(IF(OFFSET(A130,-9,0,1,1)&gt;0,OFFSET(A130,-9,0,1,1)+0.001,ERROR.TYPE(0)),IFERROR(IF(OFFSET(A130,-10,0,1,1)&gt;0,OFFSET(A130,-10,0,1,1)+0.001,ERROR.TYPE(0)),ERROR.TYPE(0)))))))))))</f>
        <v>2.0629999999999931</v>
      </c>
      <c r="B130" s="685" t="s">
        <v>452</v>
      </c>
      <c r="C130" s="682">
        <v>5</v>
      </c>
      <c r="D130" s="682" t="s">
        <v>311</v>
      </c>
      <c r="E130" s="686"/>
      <c r="F130" s="687">
        <f>IFERROR($C130*E130,E130)</f>
        <v>0</v>
      </c>
      <c r="G130" s="686"/>
      <c r="H130" s="686"/>
      <c r="I130" s="686"/>
    </row>
    <row r="131" spans="1:9" s="671" customFormat="1" ht="27.6">
      <c r="A131" s="708"/>
      <c r="B131" s="704" t="s">
        <v>419</v>
      </c>
      <c r="C131" s="682"/>
      <c r="D131" s="682"/>
      <c r="E131" s="686"/>
      <c r="F131" s="687"/>
      <c r="G131" s="686"/>
      <c r="H131" s="686"/>
      <c r="I131" s="686"/>
    </row>
    <row r="132" spans="1:9" s="671" customFormat="1">
      <c r="A132" s="708">
        <f ca="1">IFERROR(IF(OFFSET(A132,-1,0,1,1)&gt;0,OFFSET(A132,-1,0,1,1)+0.001,ERROR.TYPE(0)),IFERROR(IF(OFFSET(A132,-2,0,1,1)&gt;0,OFFSET(A132,-2,0,1,1)+0.001,ERROR.TYPE(0)),IFERROR(IF(OFFSET(A132,-3,0,1,1)&gt;0,OFFSET(A132,-3,0,1,1)+0.001,ERROR.TYPE(0)),IFERROR(IF(OFFSET(A132,-4,0,1,1)&gt;0,OFFSET(A132,-4,0,1,1)+0.001,ERROR.TYPE(0)),IFERROR(IF(OFFSET(A132,-5,0,1,1)&gt;0,OFFSET(A132,-5,0,1,1)+0.001,ERROR.TYPE(0)),IFERROR(IF(OFFSET(A132,-6,0,1,1)&gt;0,OFFSET(A132,-6,0,1,1)+0.001,ERROR.TYPE(0)),IFERROR(IF(OFFSET(A132,-7,0,1,1)&gt;0,OFFSET(A132,-7,0,1,1)+0.001,ERROR.TYPE(0)),IFERROR(IF(OFFSET(A132,-8,0,1,1)&gt;0,OFFSET(A132,-8,0,1,1)+0.001,ERROR.TYPE(0)),IFERROR(IF(OFFSET(A132,-9,0,1,1)&gt;0,OFFSET(A132,-9,0,1,1)+0.001,ERROR.TYPE(0)),IFERROR(IF(OFFSET(A132,-10,0,1,1)&gt;0,OFFSET(A132,-10,0,1,1)+0.001,ERROR.TYPE(0)),ERROR.TYPE(0)))))))))))</f>
        <v>2.063999999999993</v>
      </c>
      <c r="B132" s="685" t="s">
        <v>420</v>
      </c>
      <c r="C132" s="682">
        <v>1</v>
      </c>
      <c r="D132" s="682" t="s">
        <v>312</v>
      </c>
      <c r="E132" s="686"/>
      <c r="F132" s="687">
        <f>IFERROR($C132*E132,E132)</f>
        <v>0</v>
      </c>
      <c r="G132" s="686"/>
      <c r="H132" s="686"/>
      <c r="I132" s="686"/>
    </row>
    <row r="133" spans="1:9" s="671" customFormat="1" ht="27.6">
      <c r="A133" s="708"/>
      <c r="B133" s="704" t="s">
        <v>421</v>
      </c>
      <c r="C133" s="682"/>
      <c r="D133" s="682"/>
      <c r="E133" s="686"/>
      <c r="F133" s="687"/>
      <c r="G133" s="686"/>
      <c r="H133" s="686"/>
      <c r="I133" s="686"/>
    </row>
    <row r="134" spans="1:9" s="671" customFormat="1">
      <c r="A134" s="708">
        <f t="shared" ref="A134:A141" ca="1" si="12">IFERROR(IF(OFFSET(A134,-1,0,1,1)&gt;0,OFFSET(A134,-1,0,1,1)+0.001,ERROR.TYPE(0)),IFERROR(IF(OFFSET(A134,-2,0,1,1)&gt;0,OFFSET(A134,-2,0,1,1)+0.001,ERROR.TYPE(0)),IFERROR(IF(OFFSET(A134,-3,0,1,1)&gt;0,OFFSET(A134,-3,0,1,1)+0.001,ERROR.TYPE(0)),IFERROR(IF(OFFSET(A134,-4,0,1,1)&gt;0,OFFSET(A134,-4,0,1,1)+0.001,ERROR.TYPE(0)),IFERROR(IF(OFFSET(A134,-5,0,1,1)&gt;0,OFFSET(A134,-5,0,1,1)+0.001,ERROR.TYPE(0)),IFERROR(IF(OFFSET(A134,-6,0,1,1)&gt;0,OFFSET(A134,-6,0,1,1)+0.001,ERROR.TYPE(0)),IFERROR(IF(OFFSET(A134,-7,0,1,1)&gt;0,OFFSET(A134,-7,0,1,1)+0.001,ERROR.TYPE(0)),IFERROR(IF(OFFSET(A134,-8,0,1,1)&gt;0,OFFSET(A134,-8,0,1,1)+0.001,ERROR.TYPE(0)),IFERROR(IF(OFFSET(A134,-9,0,1,1)&gt;0,OFFSET(A134,-9,0,1,1)+0.001,ERROR.TYPE(0)),IFERROR(IF(OFFSET(A134,-10,0,1,1)&gt;0,OFFSET(A134,-10,0,1,1)+0.001,ERROR.TYPE(0)),ERROR.TYPE(0)))))))))))</f>
        <v>2.0649999999999928</v>
      </c>
      <c r="B134" s="685" t="s">
        <v>438</v>
      </c>
      <c r="C134" s="682">
        <v>5</v>
      </c>
      <c r="D134" s="682" t="s">
        <v>311</v>
      </c>
      <c r="E134" s="686"/>
      <c r="F134" s="687">
        <f t="shared" ref="F134:F141" si="13">IFERROR($C134*E134,E134)</f>
        <v>0</v>
      </c>
      <c r="G134" s="686"/>
      <c r="H134" s="686"/>
      <c r="I134" s="686"/>
    </row>
    <row r="135" spans="1:9" s="671" customFormat="1">
      <c r="A135" s="708">
        <f t="shared" ca="1" si="12"/>
        <v>2.0659999999999927</v>
      </c>
      <c r="B135" s="685" t="s">
        <v>439</v>
      </c>
      <c r="C135" s="682">
        <v>10</v>
      </c>
      <c r="D135" s="682" t="s">
        <v>311</v>
      </c>
      <c r="E135" s="686"/>
      <c r="F135" s="687">
        <f t="shared" si="13"/>
        <v>0</v>
      </c>
      <c r="G135" s="686"/>
      <c r="H135" s="686"/>
      <c r="I135" s="686"/>
    </row>
    <row r="136" spans="1:9" s="671" customFormat="1">
      <c r="A136" s="708">
        <f t="shared" ca="1" si="12"/>
        <v>2.0669999999999926</v>
      </c>
      <c r="B136" s="685" t="s">
        <v>440</v>
      </c>
      <c r="C136" s="682">
        <v>10</v>
      </c>
      <c r="D136" s="682" t="s">
        <v>311</v>
      </c>
      <c r="E136" s="686"/>
      <c r="F136" s="687">
        <f t="shared" si="13"/>
        <v>0</v>
      </c>
      <c r="G136" s="686"/>
      <c r="H136" s="686"/>
      <c r="I136" s="686"/>
    </row>
    <row r="137" spans="1:9" s="671" customFormat="1" ht="14.7" customHeight="1">
      <c r="A137" s="708">
        <f t="shared" ca="1" si="12"/>
        <v>2.0679999999999925</v>
      </c>
      <c r="B137" s="685" t="s">
        <v>453</v>
      </c>
      <c r="C137" s="682">
        <v>15</v>
      </c>
      <c r="D137" s="682" t="s">
        <v>311</v>
      </c>
      <c r="E137" s="686"/>
      <c r="F137" s="687">
        <f t="shared" si="13"/>
        <v>0</v>
      </c>
      <c r="G137" s="686"/>
      <c r="H137" s="686"/>
      <c r="I137" s="686"/>
    </row>
    <row r="138" spans="1:9" s="671" customFormat="1" ht="14.7" customHeight="1">
      <c r="A138" s="708">
        <f t="shared" ca="1" si="12"/>
        <v>2.0689999999999924</v>
      </c>
      <c r="B138" s="685" t="s">
        <v>442</v>
      </c>
      <c r="C138" s="682">
        <v>20</v>
      </c>
      <c r="D138" s="682" t="s">
        <v>311</v>
      </c>
      <c r="E138" s="686"/>
      <c r="F138" s="687">
        <f t="shared" si="13"/>
        <v>0</v>
      </c>
      <c r="G138" s="686"/>
      <c r="H138" s="686"/>
      <c r="I138" s="686"/>
    </row>
    <row r="139" spans="1:9" s="671" customFormat="1" ht="14.7" customHeight="1">
      <c r="A139" s="708">
        <f t="shared" ca="1" si="12"/>
        <v>2.0699999999999923</v>
      </c>
      <c r="B139" s="685" t="s">
        <v>422</v>
      </c>
      <c r="C139" s="682">
        <v>25</v>
      </c>
      <c r="D139" s="682" t="s">
        <v>311</v>
      </c>
      <c r="E139" s="686"/>
      <c r="F139" s="687">
        <f t="shared" si="13"/>
        <v>0</v>
      </c>
      <c r="G139" s="686"/>
      <c r="H139" s="686"/>
      <c r="I139" s="686"/>
    </row>
    <row r="140" spans="1:9" s="671" customFormat="1" ht="14.7" customHeight="1">
      <c r="A140" s="708">
        <f t="shared" ca="1" si="12"/>
        <v>2.0709999999999922</v>
      </c>
      <c r="B140" s="685" t="s">
        <v>454</v>
      </c>
      <c r="C140" s="682">
        <v>15</v>
      </c>
      <c r="D140" s="682" t="s">
        <v>311</v>
      </c>
      <c r="E140" s="686"/>
      <c r="F140" s="687">
        <f t="shared" si="13"/>
        <v>0</v>
      </c>
      <c r="G140" s="686"/>
      <c r="H140" s="686"/>
      <c r="I140" s="686"/>
    </row>
    <row r="141" spans="1:9" s="671" customFormat="1" ht="14.7" customHeight="1">
      <c r="A141" s="708">
        <f t="shared" ca="1" si="12"/>
        <v>2.0719999999999921</v>
      </c>
      <c r="B141" s="685" t="s">
        <v>444</v>
      </c>
      <c r="C141" s="682">
        <v>20</v>
      </c>
      <c r="D141" s="682" t="s">
        <v>311</v>
      </c>
      <c r="E141" s="686"/>
      <c r="F141" s="687">
        <f t="shared" si="13"/>
        <v>0</v>
      </c>
      <c r="G141" s="686"/>
      <c r="H141" s="686"/>
      <c r="I141" s="686"/>
    </row>
    <row r="142" spans="1:9" s="671" customFormat="1" ht="27.6">
      <c r="A142" s="708"/>
      <c r="B142" s="704" t="s">
        <v>414</v>
      </c>
      <c r="C142" s="682"/>
      <c r="D142" s="682"/>
      <c r="E142" s="686"/>
      <c r="F142" s="687"/>
      <c r="G142" s="686"/>
      <c r="H142" s="686"/>
      <c r="I142" s="686"/>
    </row>
    <row r="143" spans="1:9" s="671" customFormat="1">
      <c r="A143" s="708">
        <f ca="1">IFERROR(IF(OFFSET(A143,-1,0,1,1)&gt;0,OFFSET(A143,-1,0,1,1)+0.001,ERROR.TYPE(0)),IFERROR(IF(OFFSET(A143,-2,0,1,1)&gt;0,OFFSET(A143,-2,0,1,1)+0.001,ERROR.TYPE(0)),IFERROR(IF(OFFSET(A143,-3,0,1,1)&gt;0,OFFSET(A143,-3,0,1,1)+0.001,ERROR.TYPE(0)),IFERROR(IF(OFFSET(A143,-4,0,1,1)&gt;0,OFFSET(A143,-4,0,1,1)+0.001,ERROR.TYPE(0)),IFERROR(IF(OFFSET(A143,-5,0,1,1)&gt;0,OFFSET(A143,-5,0,1,1)+0.001,ERROR.TYPE(0)),IFERROR(IF(OFFSET(A143,-6,0,1,1)&gt;0,OFFSET(A143,-6,0,1,1)+0.001,ERROR.TYPE(0)),IFERROR(IF(OFFSET(A143,-7,0,1,1)&gt;0,OFFSET(A143,-7,0,1,1)+0.001,ERROR.TYPE(0)),IFERROR(IF(OFFSET(A143,-8,0,1,1)&gt;0,OFFSET(A143,-8,0,1,1)+0.001,ERROR.TYPE(0)),IFERROR(IF(OFFSET(A143,-9,0,1,1)&gt;0,OFFSET(A143,-9,0,1,1)+0.001,ERROR.TYPE(0)),IFERROR(IF(OFFSET(A143,-10,0,1,1)&gt;0,OFFSET(A143,-10,0,1,1)+0.001,ERROR.TYPE(0)),ERROR.TYPE(0)))))))))))</f>
        <v>2.072999999999992</v>
      </c>
      <c r="B143" s="685" t="s">
        <v>446</v>
      </c>
      <c r="C143" s="682">
        <v>3</v>
      </c>
      <c r="D143" s="682" t="s">
        <v>312</v>
      </c>
      <c r="E143" s="686"/>
      <c r="F143" s="687">
        <f>IFERROR($C143*E143,E143)</f>
        <v>0</v>
      </c>
      <c r="G143" s="686"/>
      <c r="H143" s="686"/>
      <c r="I143" s="686"/>
    </row>
    <row r="144" spans="1:9" s="671" customFormat="1">
      <c r="A144" s="708">
        <f ca="1">IFERROR(IF(OFFSET(A144,-1,0,1,1)&gt;0,OFFSET(A144,-1,0,1,1)+0.001,ERROR.TYPE(0)),IFERROR(IF(OFFSET(A144,-2,0,1,1)&gt;0,OFFSET(A144,-2,0,1,1)+0.001,ERROR.TYPE(0)),IFERROR(IF(OFFSET(A144,-3,0,1,1)&gt;0,OFFSET(A144,-3,0,1,1)+0.001,ERROR.TYPE(0)),IFERROR(IF(OFFSET(A144,-4,0,1,1)&gt;0,OFFSET(A144,-4,0,1,1)+0.001,ERROR.TYPE(0)),IFERROR(IF(OFFSET(A144,-5,0,1,1)&gt;0,OFFSET(A144,-5,0,1,1)+0.001,ERROR.TYPE(0)),IFERROR(IF(OFFSET(A144,-6,0,1,1)&gt;0,OFFSET(A144,-6,0,1,1)+0.001,ERROR.TYPE(0)),IFERROR(IF(OFFSET(A144,-7,0,1,1)&gt;0,OFFSET(A144,-7,0,1,1)+0.001,ERROR.TYPE(0)),IFERROR(IF(OFFSET(A144,-8,0,1,1)&gt;0,OFFSET(A144,-8,0,1,1)+0.001,ERROR.TYPE(0)),IFERROR(IF(OFFSET(A144,-9,0,1,1)&gt;0,OFFSET(A144,-9,0,1,1)+0.001,ERROR.TYPE(0)),IFERROR(IF(OFFSET(A144,-10,0,1,1)&gt;0,OFFSET(A144,-10,0,1,1)+0.001,ERROR.TYPE(0)),ERROR.TYPE(0)))))))))))</f>
        <v>2.0739999999999919</v>
      </c>
      <c r="B144" s="685" t="s">
        <v>447</v>
      </c>
      <c r="C144" s="682">
        <v>6</v>
      </c>
      <c r="D144" s="682" t="s">
        <v>312</v>
      </c>
      <c r="E144" s="686"/>
      <c r="F144" s="687">
        <f>IFERROR($C144*E144,E144)</f>
        <v>0</v>
      </c>
      <c r="G144" s="686"/>
      <c r="H144" s="686"/>
      <c r="I144" s="686"/>
    </row>
    <row r="145" spans="1:9" s="671" customFormat="1">
      <c r="A145" s="708">
        <f ca="1">IFERROR(IF(OFFSET(A145,-1,0,1,1)&gt;0,OFFSET(A145,-1,0,1,1)+0.001,ERROR.TYPE(0)),IFERROR(IF(OFFSET(A145,-2,0,1,1)&gt;0,OFFSET(A145,-2,0,1,1)+0.001,ERROR.TYPE(0)),IFERROR(IF(OFFSET(A145,-3,0,1,1)&gt;0,OFFSET(A145,-3,0,1,1)+0.001,ERROR.TYPE(0)),IFERROR(IF(OFFSET(A145,-4,0,1,1)&gt;0,OFFSET(A145,-4,0,1,1)+0.001,ERROR.TYPE(0)),IFERROR(IF(OFFSET(A145,-5,0,1,1)&gt;0,OFFSET(A145,-5,0,1,1)+0.001,ERROR.TYPE(0)),IFERROR(IF(OFFSET(A145,-6,0,1,1)&gt;0,OFFSET(A145,-6,0,1,1)+0.001,ERROR.TYPE(0)),IFERROR(IF(OFFSET(A145,-7,0,1,1)&gt;0,OFFSET(A145,-7,0,1,1)+0.001,ERROR.TYPE(0)),IFERROR(IF(OFFSET(A145,-8,0,1,1)&gt;0,OFFSET(A145,-8,0,1,1)+0.001,ERROR.TYPE(0)),IFERROR(IF(OFFSET(A145,-9,0,1,1)&gt;0,OFFSET(A145,-9,0,1,1)+0.001,ERROR.TYPE(0)),IFERROR(IF(OFFSET(A145,-10,0,1,1)&gt;0,OFFSET(A145,-10,0,1,1)+0.001,ERROR.TYPE(0)),ERROR.TYPE(0)))))))))))</f>
        <v>2.0749999999999917</v>
      </c>
      <c r="B145" s="685" t="s">
        <v>448</v>
      </c>
      <c r="C145" s="682">
        <v>4</v>
      </c>
      <c r="D145" s="682" t="s">
        <v>312</v>
      </c>
      <c r="E145" s="686"/>
      <c r="F145" s="687">
        <f>IFERROR($C145*E145,E145)</f>
        <v>0</v>
      </c>
      <c r="G145" s="686"/>
      <c r="H145" s="686"/>
      <c r="I145" s="686"/>
    </row>
    <row r="146" spans="1:9" s="671" customFormat="1">
      <c r="A146" s="708">
        <f ca="1">IFERROR(IF(OFFSET(A146,-1,0,1,1)&gt;0,OFFSET(A146,-1,0,1,1)+0.001,ERROR.TYPE(0)),IFERROR(IF(OFFSET(A146,-2,0,1,1)&gt;0,OFFSET(A146,-2,0,1,1)+0.001,ERROR.TYPE(0)),IFERROR(IF(OFFSET(A146,-3,0,1,1)&gt;0,OFFSET(A146,-3,0,1,1)+0.001,ERROR.TYPE(0)),IFERROR(IF(OFFSET(A146,-4,0,1,1)&gt;0,OFFSET(A146,-4,0,1,1)+0.001,ERROR.TYPE(0)),IFERROR(IF(OFFSET(A146,-5,0,1,1)&gt;0,OFFSET(A146,-5,0,1,1)+0.001,ERROR.TYPE(0)),IFERROR(IF(OFFSET(A146,-6,0,1,1)&gt;0,OFFSET(A146,-6,0,1,1)+0.001,ERROR.TYPE(0)),IFERROR(IF(OFFSET(A146,-7,0,1,1)&gt;0,OFFSET(A146,-7,0,1,1)+0.001,ERROR.TYPE(0)),IFERROR(IF(OFFSET(A146,-8,0,1,1)&gt;0,OFFSET(A146,-8,0,1,1)+0.001,ERROR.TYPE(0)),IFERROR(IF(OFFSET(A146,-9,0,1,1)&gt;0,OFFSET(A146,-9,0,1,1)+0.001,ERROR.TYPE(0)),IFERROR(IF(OFFSET(A146,-10,0,1,1)&gt;0,OFFSET(A146,-10,0,1,1)+0.001,ERROR.TYPE(0)),ERROR.TYPE(0)))))))))))</f>
        <v>2.0759999999999916</v>
      </c>
      <c r="B146" s="685" t="s">
        <v>455</v>
      </c>
      <c r="C146" s="682">
        <v>1</v>
      </c>
      <c r="D146" s="682" t="s">
        <v>312</v>
      </c>
      <c r="E146" s="686"/>
      <c r="F146" s="687">
        <f>IFERROR($C146*E146,E146)</f>
        <v>0</v>
      </c>
      <c r="G146" s="686"/>
      <c r="H146" s="686"/>
      <c r="I146" s="686"/>
    </row>
    <row r="147" spans="1:9" s="671" customFormat="1" ht="41.4">
      <c r="A147" s="708" t="s">
        <v>340</v>
      </c>
      <c r="B147" s="704" t="s">
        <v>428</v>
      </c>
      <c r="C147" s="682"/>
      <c r="D147" s="682"/>
      <c r="E147" s="686"/>
      <c r="F147" s="687"/>
      <c r="G147" s="686"/>
      <c r="H147" s="686"/>
      <c r="I147" s="686"/>
    </row>
    <row r="148" spans="1:9" s="671" customFormat="1" ht="27.6">
      <c r="A148" s="708">
        <f ca="1">IFERROR(IF(OFFSET(A148,-1,0,1,1)&gt;0,OFFSET(A148,-1,0,1,1)+0.001,ERROR.TYPE(0)),IFERROR(IF(OFFSET(A148,-2,0,1,1)&gt;0,OFFSET(A148,-2,0,1,1)+0.001,ERROR.TYPE(0)),IFERROR(IF(OFFSET(A148,-3,0,1,1)&gt;0,OFFSET(A148,-3,0,1,1)+0.001,ERROR.TYPE(0)),IFERROR(IF(OFFSET(A148,-4,0,1,1)&gt;0,OFFSET(A148,-4,0,1,1)+0.001,ERROR.TYPE(0)),IFERROR(IF(OFFSET(A148,-5,0,1,1)&gt;0,OFFSET(A148,-5,0,1,1)+0.001,ERROR.TYPE(0)),IFERROR(IF(OFFSET(A148,-6,0,1,1)&gt;0,OFFSET(A148,-6,0,1,1)+0.001,ERROR.TYPE(0)),IFERROR(IF(OFFSET(A148,-7,0,1,1)&gt;0,OFFSET(A148,-7,0,1,1)+0.001,ERROR.TYPE(0)),IFERROR(IF(OFFSET(A148,-8,0,1,1)&gt;0,OFFSET(A148,-8,0,1,1)+0.001,ERROR.TYPE(0)),IFERROR(IF(OFFSET(A148,-9,0,1,1)&gt;0,OFFSET(A148,-9,0,1,1)+0.001,ERROR.TYPE(0)),IFERROR(IF(OFFSET(A148,-10,0,1,1)&gt;0,OFFSET(A148,-10,0,1,1)+0.001,ERROR.TYPE(0)),ERROR.TYPE(0)))))))))))</f>
        <v>2.0769999999999915</v>
      </c>
      <c r="B148" s="709" t="s">
        <v>456</v>
      </c>
      <c r="C148" s="682">
        <v>1</v>
      </c>
      <c r="D148" s="682" t="s">
        <v>312</v>
      </c>
      <c r="E148" s="686" t="str">
        <f>Elec_Est!$Q580</f>
        <v>Included in item 1.183</v>
      </c>
      <c r="F148" s="687"/>
      <c r="G148" s="686" t="str">
        <f>Elec_Est!$Q580</f>
        <v>Included in item 1.183</v>
      </c>
      <c r="H148" s="686" t="str">
        <f>Elec_Est!$Q580</f>
        <v>Included in item 1.183</v>
      </c>
      <c r="I148" s="686" t="str">
        <f>Elec_Est!$Q580</f>
        <v>Included in item 1.183</v>
      </c>
    </row>
    <row r="149" spans="1:9" s="671" customFormat="1" ht="27.6">
      <c r="A149" s="708">
        <f ca="1">IFERROR(IF(OFFSET(A149,-1,0,1,1)&gt;0,OFFSET(A149,-1,0,1,1)+0.001,ERROR.TYPE(0)),IFERROR(IF(OFFSET(A149,-2,0,1,1)&gt;0,OFFSET(A149,-2,0,1,1)+0.001,ERROR.TYPE(0)),IFERROR(IF(OFFSET(A149,-3,0,1,1)&gt;0,OFFSET(A149,-3,0,1,1)+0.001,ERROR.TYPE(0)),IFERROR(IF(OFFSET(A149,-4,0,1,1)&gt;0,OFFSET(A149,-4,0,1,1)+0.001,ERROR.TYPE(0)),IFERROR(IF(OFFSET(A149,-5,0,1,1)&gt;0,OFFSET(A149,-5,0,1,1)+0.001,ERROR.TYPE(0)),IFERROR(IF(OFFSET(A149,-6,0,1,1)&gt;0,OFFSET(A149,-6,0,1,1)+0.001,ERROR.TYPE(0)),IFERROR(IF(OFFSET(A149,-7,0,1,1)&gt;0,OFFSET(A149,-7,0,1,1)+0.001,ERROR.TYPE(0)),IFERROR(IF(OFFSET(A149,-8,0,1,1)&gt;0,OFFSET(A149,-8,0,1,1)+0.001,ERROR.TYPE(0)),IFERROR(IF(OFFSET(A149,-9,0,1,1)&gt;0,OFFSET(A149,-9,0,1,1)+0.001,ERROR.TYPE(0)),IFERROR(IF(OFFSET(A149,-10,0,1,1)&gt;0,OFFSET(A149,-10,0,1,1)+0.001,ERROR.TYPE(0)),ERROR.TYPE(0)))))))))))</f>
        <v>2.0779999999999914</v>
      </c>
      <c r="B149" s="709" t="s">
        <v>457</v>
      </c>
      <c r="C149" s="682">
        <v>6</v>
      </c>
      <c r="D149" s="682" t="s">
        <v>312</v>
      </c>
      <c r="E149" s="686" t="str">
        <f>Elec_Est!$Q596</f>
        <v>Included in item 1.183</v>
      </c>
      <c r="F149" s="687"/>
      <c r="G149" s="686" t="str">
        <f>Elec_Est!$Q596</f>
        <v>Included in item 1.183</v>
      </c>
      <c r="H149" s="686" t="str">
        <f>Elec_Est!$Q596</f>
        <v>Included in item 1.183</v>
      </c>
      <c r="I149" s="686" t="str">
        <f>Elec_Est!$Q596</f>
        <v>Included in item 1.183</v>
      </c>
    </row>
    <row r="150" spans="1:9" s="671" customFormat="1">
      <c r="A150" s="674"/>
      <c r="B150" s="702" t="s">
        <v>458</v>
      </c>
      <c r="C150" s="676"/>
      <c r="D150" s="676"/>
      <c r="E150" s="677"/>
      <c r="F150" s="678"/>
      <c r="G150" s="677"/>
      <c r="H150" s="677"/>
      <c r="I150" s="677"/>
    </row>
    <row r="151" spans="1:9" s="671" customFormat="1" ht="27.6">
      <c r="A151" s="708"/>
      <c r="B151" s="704" t="s">
        <v>421</v>
      </c>
      <c r="C151" s="682"/>
      <c r="D151" s="682"/>
      <c r="E151" s="686"/>
      <c r="F151" s="687"/>
      <c r="G151" s="686"/>
      <c r="H151" s="686"/>
      <c r="I151" s="686"/>
    </row>
    <row r="152" spans="1:9" s="671" customFormat="1">
      <c r="A152" s="708">
        <f t="shared" ref="A152:A166" ca="1" si="14">IFERROR(IF(OFFSET(A152,-1,0,1,1)&gt;0,OFFSET(A152,-1,0,1,1)+0.001,ERROR.TYPE(0)),IFERROR(IF(OFFSET(A152,-2,0,1,1)&gt;0,OFFSET(A152,-2,0,1,1)+0.001,ERROR.TYPE(0)),IFERROR(IF(OFFSET(A152,-3,0,1,1)&gt;0,OFFSET(A152,-3,0,1,1)+0.001,ERROR.TYPE(0)),IFERROR(IF(OFFSET(A152,-4,0,1,1)&gt;0,OFFSET(A152,-4,0,1,1)+0.001,ERROR.TYPE(0)),IFERROR(IF(OFFSET(A152,-5,0,1,1)&gt;0,OFFSET(A152,-5,0,1,1)+0.001,ERROR.TYPE(0)),IFERROR(IF(OFFSET(A152,-6,0,1,1)&gt;0,OFFSET(A152,-6,0,1,1)+0.001,ERROR.TYPE(0)),IFERROR(IF(OFFSET(A152,-7,0,1,1)&gt;0,OFFSET(A152,-7,0,1,1)+0.001,ERROR.TYPE(0)),IFERROR(IF(OFFSET(A152,-8,0,1,1)&gt;0,OFFSET(A152,-8,0,1,1)+0.001,ERROR.TYPE(0)),IFERROR(IF(OFFSET(A152,-9,0,1,1)&gt;0,OFFSET(A152,-9,0,1,1)+0.001,ERROR.TYPE(0)),IFERROR(IF(OFFSET(A152,-10,0,1,1)&gt;0,OFFSET(A152,-10,0,1,1)+0.001,ERROR.TYPE(0)),ERROR.TYPE(0)))))))))))</f>
        <v>2.0789999999999913</v>
      </c>
      <c r="B152" s="685" t="s">
        <v>438</v>
      </c>
      <c r="C152" s="682">
        <v>50</v>
      </c>
      <c r="D152" s="682" t="s">
        <v>311</v>
      </c>
      <c r="E152" s="686"/>
      <c r="F152" s="687">
        <f t="shared" ref="F152:F166" si="15">IFERROR($C152*E152,E152)</f>
        <v>0</v>
      </c>
      <c r="G152" s="686"/>
      <c r="H152" s="686"/>
      <c r="I152" s="686"/>
    </row>
    <row r="153" spans="1:9" s="671" customFormat="1">
      <c r="A153" s="708">
        <f t="shared" ca="1" si="14"/>
        <v>2.0799999999999912</v>
      </c>
      <c r="B153" s="685" t="s">
        <v>439</v>
      </c>
      <c r="C153" s="682">
        <v>10</v>
      </c>
      <c r="D153" s="682" t="s">
        <v>311</v>
      </c>
      <c r="E153" s="686"/>
      <c r="F153" s="687">
        <f t="shared" si="15"/>
        <v>0</v>
      </c>
      <c r="G153" s="686"/>
      <c r="H153" s="686"/>
      <c r="I153" s="686"/>
    </row>
    <row r="154" spans="1:9" s="671" customFormat="1">
      <c r="A154" s="708">
        <f t="shared" ca="1" si="14"/>
        <v>2.0809999999999911</v>
      </c>
      <c r="B154" s="685" t="s">
        <v>440</v>
      </c>
      <c r="C154" s="682">
        <v>20</v>
      </c>
      <c r="D154" s="682" t="s">
        <v>311</v>
      </c>
      <c r="E154" s="686"/>
      <c r="F154" s="687">
        <f t="shared" si="15"/>
        <v>0</v>
      </c>
      <c r="G154" s="686"/>
      <c r="H154" s="686"/>
      <c r="I154" s="686"/>
    </row>
    <row r="155" spans="1:9" s="671" customFormat="1">
      <c r="A155" s="708">
        <f t="shared" ca="1" si="14"/>
        <v>2.081999999999991</v>
      </c>
      <c r="B155" s="685" t="s">
        <v>453</v>
      </c>
      <c r="C155" s="682">
        <v>25</v>
      </c>
      <c r="D155" s="682" t="s">
        <v>311</v>
      </c>
      <c r="E155" s="686"/>
      <c r="F155" s="687">
        <f t="shared" si="15"/>
        <v>0</v>
      </c>
      <c r="G155" s="686"/>
      <c r="H155" s="686"/>
      <c r="I155" s="686"/>
    </row>
    <row r="156" spans="1:9" s="671" customFormat="1">
      <c r="A156" s="708">
        <f t="shared" ca="1" si="14"/>
        <v>2.0829999999999909</v>
      </c>
      <c r="B156" s="685" t="s">
        <v>441</v>
      </c>
      <c r="C156" s="682">
        <v>10</v>
      </c>
      <c r="D156" s="682" t="s">
        <v>311</v>
      </c>
      <c r="E156" s="686"/>
      <c r="F156" s="687">
        <f t="shared" si="15"/>
        <v>0</v>
      </c>
      <c r="G156" s="686"/>
      <c r="H156" s="686"/>
      <c r="I156" s="686"/>
    </row>
    <row r="157" spans="1:9" s="671" customFormat="1">
      <c r="A157" s="708">
        <f t="shared" ca="1" si="14"/>
        <v>2.0839999999999907</v>
      </c>
      <c r="B157" s="685" t="s">
        <v>442</v>
      </c>
      <c r="C157" s="682">
        <v>5</v>
      </c>
      <c r="D157" s="682" t="s">
        <v>311</v>
      </c>
      <c r="E157" s="686"/>
      <c r="F157" s="687">
        <f t="shared" si="15"/>
        <v>0</v>
      </c>
      <c r="G157" s="686"/>
      <c r="H157" s="686"/>
      <c r="I157" s="686"/>
    </row>
    <row r="158" spans="1:9" s="671" customFormat="1">
      <c r="A158" s="708">
        <f t="shared" ca="1" si="14"/>
        <v>2.0849999999999906</v>
      </c>
      <c r="B158" s="685" t="s">
        <v>459</v>
      </c>
      <c r="C158" s="682">
        <v>25</v>
      </c>
      <c r="D158" s="682" t="s">
        <v>311</v>
      </c>
      <c r="E158" s="686"/>
      <c r="F158" s="687">
        <f t="shared" si="15"/>
        <v>0</v>
      </c>
      <c r="G158" s="686"/>
      <c r="H158" s="686"/>
      <c r="I158" s="686"/>
    </row>
    <row r="159" spans="1:9" s="671" customFormat="1">
      <c r="A159" s="708">
        <f t="shared" ca="1" si="14"/>
        <v>2.0859999999999905</v>
      </c>
      <c r="B159" s="685" t="s">
        <v>422</v>
      </c>
      <c r="C159" s="682">
        <v>40</v>
      </c>
      <c r="D159" s="682" t="s">
        <v>311</v>
      </c>
      <c r="E159" s="686"/>
      <c r="F159" s="687">
        <f t="shared" si="15"/>
        <v>0</v>
      </c>
      <c r="G159" s="686"/>
      <c r="H159" s="686"/>
      <c r="I159" s="686"/>
    </row>
    <row r="160" spans="1:9" s="671" customFormat="1" ht="14.7" customHeight="1">
      <c r="A160" s="708">
        <f t="shared" ca="1" si="14"/>
        <v>2.0869999999999904</v>
      </c>
      <c r="B160" s="685" t="s">
        <v>460</v>
      </c>
      <c r="C160" s="682">
        <v>15</v>
      </c>
      <c r="D160" s="682" t="s">
        <v>311</v>
      </c>
      <c r="E160" s="686"/>
      <c r="F160" s="687">
        <f t="shared" si="15"/>
        <v>0</v>
      </c>
      <c r="G160" s="686"/>
      <c r="H160" s="686"/>
      <c r="I160" s="686"/>
    </row>
    <row r="161" spans="1:9" s="671" customFormat="1" ht="14.7" customHeight="1">
      <c r="A161" s="708">
        <f t="shared" ca="1" si="14"/>
        <v>2.0879999999999903</v>
      </c>
      <c r="B161" s="685" t="s">
        <v>461</v>
      </c>
      <c r="C161" s="682">
        <v>10</v>
      </c>
      <c r="D161" s="682" t="s">
        <v>311</v>
      </c>
      <c r="E161" s="686"/>
      <c r="F161" s="687">
        <f t="shared" si="15"/>
        <v>0</v>
      </c>
      <c r="G161" s="686"/>
      <c r="H161" s="686"/>
      <c r="I161" s="686"/>
    </row>
    <row r="162" spans="1:9" s="671" customFormat="1" ht="14.7" customHeight="1">
      <c r="A162" s="708">
        <f t="shared" ca="1" si="14"/>
        <v>2.0889999999999902</v>
      </c>
      <c r="B162" s="685" t="s">
        <v>454</v>
      </c>
      <c r="C162" s="682">
        <v>5</v>
      </c>
      <c r="D162" s="682" t="s">
        <v>311</v>
      </c>
      <c r="E162" s="686"/>
      <c r="F162" s="687">
        <f t="shared" si="15"/>
        <v>0</v>
      </c>
      <c r="G162" s="686"/>
      <c r="H162" s="686"/>
      <c r="I162" s="686"/>
    </row>
    <row r="163" spans="1:9" s="671" customFormat="1" ht="14.7" customHeight="1">
      <c r="A163" s="708">
        <f t="shared" ca="1" si="14"/>
        <v>2.0899999999999901</v>
      </c>
      <c r="B163" s="685" t="s">
        <v>462</v>
      </c>
      <c r="C163" s="682">
        <v>35</v>
      </c>
      <c r="D163" s="682" t="s">
        <v>311</v>
      </c>
      <c r="E163" s="686"/>
      <c r="F163" s="687">
        <f t="shared" si="15"/>
        <v>0</v>
      </c>
      <c r="G163" s="686"/>
      <c r="H163" s="686"/>
      <c r="I163" s="686"/>
    </row>
    <row r="164" spans="1:9" s="671" customFormat="1" ht="14.7" customHeight="1">
      <c r="A164" s="708">
        <f t="shared" ca="1" si="14"/>
        <v>2.09099999999999</v>
      </c>
      <c r="B164" s="685" t="s">
        <v>463</v>
      </c>
      <c r="C164" s="682">
        <v>10</v>
      </c>
      <c r="D164" s="682" t="s">
        <v>311</v>
      </c>
      <c r="E164" s="686"/>
      <c r="F164" s="687">
        <f t="shared" si="15"/>
        <v>0</v>
      </c>
      <c r="G164" s="686"/>
      <c r="H164" s="686"/>
      <c r="I164" s="686"/>
    </row>
    <row r="165" spans="1:9" s="671" customFormat="1" ht="14.7" customHeight="1">
      <c r="A165" s="708">
        <f t="shared" ca="1" si="14"/>
        <v>2.0919999999999899</v>
      </c>
      <c r="B165" s="685" t="s">
        <v>464</v>
      </c>
      <c r="C165" s="682">
        <v>10</v>
      </c>
      <c r="D165" s="682" t="s">
        <v>311</v>
      </c>
      <c r="E165" s="686"/>
      <c r="F165" s="687">
        <f t="shared" si="15"/>
        <v>0</v>
      </c>
      <c r="G165" s="686"/>
      <c r="H165" s="686"/>
      <c r="I165" s="686"/>
    </row>
    <row r="166" spans="1:9" s="671" customFormat="1" ht="14.7" customHeight="1">
      <c r="A166" s="708">
        <f t="shared" ca="1" si="14"/>
        <v>2.0929999999999898</v>
      </c>
      <c r="B166" s="685" t="s">
        <v>465</v>
      </c>
      <c r="C166" s="682">
        <v>15</v>
      </c>
      <c r="D166" s="682" t="s">
        <v>311</v>
      </c>
      <c r="E166" s="686"/>
      <c r="F166" s="687">
        <f t="shared" si="15"/>
        <v>0</v>
      </c>
      <c r="G166" s="686"/>
      <c r="H166" s="686"/>
      <c r="I166" s="686"/>
    </row>
    <row r="167" spans="1:9" s="671" customFormat="1" ht="27.6">
      <c r="A167" s="708"/>
      <c r="B167" s="704" t="s">
        <v>414</v>
      </c>
      <c r="C167" s="682"/>
      <c r="D167" s="682"/>
      <c r="E167" s="686"/>
      <c r="F167" s="687"/>
      <c r="G167" s="686"/>
      <c r="H167" s="686"/>
      <c r="I167" s="686"/>
    </row>
    <row r="168" spans="1:9" s="671" customFormat="1">
      <c r="A168" s="708">
        <f t="shared" ref="A168:A173" ca="1" si="16">IFERROR(IF(OFFSET(A168,-1,0,1,1)&gt;0,OFFSET(A168,-1,0,1,1)+0.001,ERROR.TYPE(0)),IFERROR(IF(OFFSET(A168,-2,0,1,1)&gt;0,OFFSET(A168,-2,0,1,1)+0.001,ERROR.TYPE(0)),IFERROR(IF(OFFSET(A168,-3,0,1,1)&gt;0,OFFSET(A168,-3,0,1,1)+0.001,ERROR.TYPE(0)),IFERROR(IF(OFFSET(A168,-4,0,1,1)&gt;0,OFFSET(A168,-4,0,1,1)+0.001,ERROR.TYPE(0)),IFERROR(IF(OFFSET(A168,-5,0,1,1)&gt;0,OFFSET(A168,-5,0,1,1)+0.001,ERROR.TYPE(0)),IFERROR(IF(OFFSET(A168,-6,0,1,1)&gt;0,OFFSET(A168,-6,0,1,1)+0.001,ERROR.TYPE(0)),IFERROR(IF(OFFSET(A168,-7,0,1,1)&gt;0,OFFSET(A168,-7,0,1,1)+0.001,ERROR.TYPE(0)),IFERROR(IF(OFFSET(A168,-8,0,1,1)&gt;0,OFFSET(A168,-8,0,1,1)+0.001,ERROR.TYPE(0)),IFERROR(IF(OFFSET(A168,-9,0,1,1)&gt;0,OFFSET(A168,-9,0,1,1)+0.001,ERROR.TYPE(0)),IFERROR(IF(OFFSET(A168,-10,0,1,1)&gt;0,OFFSET(A168,-10,0,1,1)+0.001,ERROR.TYPE(0)),ERROR.TYPE(0)))))))))))</f>
        <v>2.0939999999999896</v>
      </c>
      <c r="B168" s="685" t="s">
        <v>446</v>
      </c>
      <c r="C168" s="682">
        <v>8</v>
      </c>
      <c r="D168" s="682" t="s">
        <v>312</v>
      </c>
      <c r="E168" s="686"/>
      <c r="F168" s="687">
        <f t="shared" ref="F168:F173" si="17">IFERROR($C168*E168,E168)</f>
        <v>0</v>
      </c>
      <c r="G168" s="686"/>
      <c r="H168" s="686"/>
      <c r="I168" s="686"/>
    </row>
    <row r="169" spans="1:9" s="671" customFormat="1">
      <c r="A169" s="708">
        <f t="shared" ca="1" si="16"/>
        <v>2.0949999999999895</v>
      </c>
      <c r="B169" s="685" t="s">
        <v>447</v>
      </c>
      <c r="C169" s="682">
        <v>14</v>
      </c>
      <c r="D169" s="682" t="s">
        <v>312</v>
      </c>
      <c r="E169" s="686"/>
      <c r="F169" s="687">
        <f t="shared" si="17"/>
        <v>0</v>
      </c>
      <c r="G169" s="686"/>
      <c r="H169" s="686"/>
      <c r="I169" s="686"/>
    </row>
    <row r="170" spans="1:9" s="671" customFormat="1">
      <c r="A170" s="708">
        <f t="shared" ca="1" si="16"/>
        <v>2.0959999999999894</v>
      </c>
      <c r="B170" s="685" t="s">
        <v>466</v>
      </c>
      <c r="C170" s="682">
        <v>3</v>
      </c>
      <c r="D170" s="682" t="s">
        <v>312</v>
      </c>
      <c r="E170" s="686"/>
      <c r="F170" s="687">
        <f t="shared" si="17"/>
        <v>0</v>
      </c>
      <c r="G170" s="686"/>
      <c r="H170" s="686"/>
      <c r="I170" s="686"/>
    </row>
    <row r="171" spans="1:9" s="671" customFormat="1">
      <c r="A171" s="708">
        <f t="shared" ca="1" si="16"/>
        <v>2.0969999999999893</v>
      </c>
      <c r="B171" s="685" t="s">
        <v>448</v>
      </c>
      <c r="C171" s="682">
        <v>17</v>
      </c>
      <c r="D171" s="682" t="s">
        <v>312</v>
      </c>
      <c r="E171" s="686"/>
      <c r="F171" s="687">
        <f t="shared" si="17"/>
        <v>0</v>
      </c>
      <c r="G171" s="686"/>
      <c r="H171" s="686"/>
      <c r="I171" s="686"/>
    </row>
    <row r="172" spans="1:9" s="671" customFormat="1">
      <c r="A172" s="708">
        <f t="shared" ca="1" si="16"/>
        <v>2.0979999999999892</v>
      </c>
      <c r="B172" s="685" t="s">
        <v>455</v>
      </c>
      <c r="C172" s="682">
        <v>1</v>
      </c>
      <c r="D172" s="682" t="s">
        <v>312</v>
      </c>
      <c r="E172" s="686"/>
      <c r="F172" s="687">
        <f t="shared" si="17"/>
        <v>0</v>
      </c>
      <c r="G172" s="686"/>
      <c r="H172" s="686"/>
      <c r="I172" s="686"/>
    </row>
    <row r="173" spans="1:9" s="671" customFormat="1">
      <c r="A173" s="708">
        <f t="shared" ca="1" si="16"/>
        <v>2.0989999999999891</v>
      </c>
      <c r="B173" s="685" t="s">
        <v>467</v>
      </c>
      <c r="C173" s="682">
        <v>3</v>
      </c>
      <c r="D173" s="682" t="s">
        <v>312</v>
      </c>
      <c r="E173" s="686"/>
      <c r="F173" s="687">
        <f t="shared" si="17"/>
        <v>0</v>
      </c>
      <c r="G173" s="686"/>
      <c r="H173" s="686"/>
      <c r="I173" s="686"/>
    </row>
    <row r="174" spans="1:9" s="671" customFormat="1" ht="41.4">
      <c r="A174" s="708" t="s">
        <v>340</v>
      </c>
      <c r="B174" s="704" t="s">
        <v>428</v>
      </c>
      <c r="C174" s="682"/>
      <c r="D174" s="682"/>
      <c r="E174" s="686"/>
      <c r="F174" s="687"/>
      <c r="G174" s="686"/>
      <c r="H174" s="686"/>
      <c r="I174" s="686"/>
    </row>
    <row r="175" spans="1:9" s="671" customFormat="1" ht="27.6">
      <c r="A175" s="708">
        <f ca="1">IFERROR(IF(OFFSET(A175,-1,0,1,1)&gt;0,OFFSET(A175,-1,0,1,1)+0.001,ERROR.TYPE(0)),IFERROR(IF(OFFSET(A175,-2,0,1,1)&gt;0,OFFSET(A175,-2,0,1,1)+0.001,ERROR.TYPE(0)),IFERROR(IF(OFFSET(A175,-3,0,1,1)&gt;0,OFFSET(A175,-3,0,1,1)+0.001,ERROR.TYPE(0)),IFERROR(IF(OFFSET(A175,-4,0,1,1)&gt;0,OFFSET(A175,-4,0,1,1)+0.001,ERROR.TYPE(0)),IFERROR(IF(OFFSET(A175,-5,0,1,1)&gt;0,OFFSET(A175,-5,0,1,1)+0.001,ERROR.TYPE(0)),IFERROR(IF(OFFSET(A175,-6,0,1,1)&gt;0,OFFSET(A175,-6,0,1,1)+0.001,ERROR.TYPE(0)),IFERROR(IF(OFFSET(A175,-7,0,1,1)&gt;0,OFFSET(A175,-7,0,1,1)+0.001,ERROR.TYPE(0)),IFERROR(IF(OFFSET(A175,-8,0,1,1)&gt;0,OFFSET(A175,-8,0,1,1)+0.001,ERROR.TYPE(0)),IFERROR(IF(OFFSET(A175,-9,0,1,1)&gt;0,OFFSET(A175,-9,0,1,1)+0.001,ERROR.TYPE(0)),IFERROR(IF(OFFSET(A175,-10,0,1,1)&gt;0,OFFSET(A175,-10,0,1,1)+0.001,ERROR.TYPE(0)),ERROR.TYPE(0)))))))))))</f>
        <v>2.099999999999989</v>
      </c>
      <c r="B175" s="709" t="s">
        <v>468</v>
      </c>
      <c r="C175" s="682">
        <v>2</v>
      </c>
      <c r="D175" s="682" t="s">
        <v>312</v>
      </c>
      <c r="E175" s="686" t="str">
        <f>Elec_Est!$Q616</f>
        <v>Included in item 1.183</v>
      </c>
      <c r="F175" s="687"/>
      <c r="G175" s="686" t="str">
        <f>Elec_Est!$Q616</f>
        <v>Included in item 1.183</v>
      </c>
      <c r="H175" s="686" t="str">
        <f>Elec_Est!$Q616</f>
        <v>Included in item 1.183</v>
      </c>
      <c r="I175" s="686" t="str">
        <f>Elec_Est!$Q616</f>
        <v>Included in item 1.183</v>
      </c>
    </row>
    <row r="176" spans="1:9" s="671" customFormat="1" ht="27.6">
      <c r="A176" s="708">
        <f ca="1">IFERROR(IF(OFFSET(A176,-1,0,1,1)&gt;0,OFFSET(A176,-1,0,1,1)+0.001,ERROR.TYPE(0)),IFERROR(IF(OFFSET(A176,-2,0,1,1)&gt;0,OFFSET(A176,-2,0,1,1)+0.001,ERROR.TYPE(0)),IFERROR(IF(OFFSET(A176,-3,0,1,1)&gt;0,OFFSET(A176,-3,0,1,1)+0.001,ERROR.TYPE(0)),IFERROR(IF(OFFSET(A176,-4,0,1,1)&gt;0,OFFSET(A176,-4,0,1,1)+0.001,ERROR.TYPE(0)),IFERROR(IF(OFFSET(A176,-5,0,1,1)&gt;0,OFFSET(A176,-5,0,1,1)+0.001,ERROR.TYPE(0)),IFERROR(IF(OFFSET(A176,-6,0,1,1)&gt;0,OFFSET(A176,-6,0,1,1)+0.001,ERROR.TYPE(0)),IFERROR(IF(OFFSET(A176,-7,0,1,1)&gt;0,OFFSET(A176,-7,0,1,1)+0.001,ERROR.TYPE(0)),IFERROR(IF(OFFSET(A176,-8,0,1,1)&gt;0,OFFSET(A176,-8,0,1,1)+0.001,ERROR.TYPE(0)),IFERROR(IF(OFFSET(A176,-9,0,1,1)&gt;0,OFFSET(A176,-9,0,1,1)+0.001,ERROR.TYPE(0)),IFERROR(IF(OFFSET(A176,-10,0,1,1)&gt;0,OFFSET(A176,-10,0,1,1)+0.001,ERROR.TYPE(0)),ERROR.TYPE(0)))))))))))</f>
        <v>2.1009999999999889</v>
      </c>
      <c r="B176" s="709" t="s">
        <v>469</v>
      </c>
      <c r="C176" s="682">
        <v>1</v>
      </c>
      <c r="D176" s="682" t="s">
        <v>312</v>
      </c>
      <c r="E176" s="686" t="str">
        <f>Elec_Est!$Q632</f>
        <v>Included in item 1.183</v>
      </c>
      <c r="F176" s="687"/>
      <c r="G176" s="686" t="str">
        <f>Elec_Est!$Q632</f>
        <v>Included in item 1.183</v>
      </c>
      <c r="H176" s="686" t="str">
        <f>Elec_Est!$Q632</f>
        <v>Included in item 1.183</v>
      </c>
      <c r="I176" s="686" t="str">
        <f>Elec_Est!$Q632</f>
        <v>Included in item 1.183</v>
      </c>
    </row>
    <row r="177" spans="1:9" s="671" customFormat="1" ht="27.6">
      <c r="A177" s="708">
        <f ca="1">IFERROR(IF(OFFSET(A177,-1,0,1,1)&gt;0,OFFSET(A177,-1,0,1,1)+0.001,ERROR.TYPE(0)),IFERROR(IF(OFFSET(A177,-2,0,1,1)&gt;0,OFFSET(A177,-2,0,1,1)+0.001,ERROR.TYPE(0)),IFERROR(IF(OFFSET(A177,-3,0,1,1)&gt;0,OFFSET(A177,-3,0,1,1)+0.001,ERROR.TYPE(0)),IFERROR(IF(OFFSET(A177,-4,0,1,1)&gt;0,OFFSET(A177,-4,0,1,1)+0.001,ERROR.TYPE(0)),IFERROR(IF(OFFSET(A177,-5,0,1,1)&gt;0,OFFSET(A177,-5,0,1,1)+0.001,ERROR.TYPE(0)),IFERROR(IF(OFFSET(A177,-6,0,1,1)&gt;0,OFFSET(A177,-6,0,1,1)+0.001,ERROR.TYPE(0)),IFERROR(IF(OFFSET(A177,-7,0,1,1)&gt;0,OFFSET(A177,-7,0,1,1)+0.001,ERROR.TYPE(0)),IFERROR(IF(OFFSET(A177,-8,0,1,1)&gt;0,OFFSET(A177,-8,0,1,1)+0.001,ERROR.TYPE(0)),IFERROR(IF(OFFSET(A177,-9,0,1,1)&gt;0,OFFSET(A177,-9,0,1,1)+0.001,ERROR.TYPE(0)),IFERROR(IF(OFFSET(A177,-10,0,1,1)&gt;0,OFFSET(A177,-10,0,1,1)+0.001,ERROR.TYPE(0)),ERROR.TYPE(0)))))))))))</f>
        <v>2.1019999999999888</v>
      </c>
      <c r="B177" s="709" t="s">
        <v>470</v>
      </c>
      <c r="C177" s="682">
        <v>4</v>
      </c>
      <c r="D177" s="682" t="s">
        <v>312</v>
      </c>
      <c r="E177" s="686" t="str">
        <f>Elec_Est!$Q648</f>
        <v>Included in item 1.183</v>
      </c>
      <c r="F177" s="687"/>
      <c r="G177" s="686" t="str">
        <f>Elec_Est!$Q648</f>
        <v>Included in item 1.183</v>
      </c>
      <c r="H177" s="686" t="str">
        <f>Elec_Est!$Q648</f>
        <v>Included in item 1.183</v>
      </c>
      <c r="I177" s="686" t="str">
        <f>Elec_Est!$Q648</f>
        <v>Included in item 1.183</v>
      </c>
    </row>
    <row r="178" spans="1:9" s="671" customFormat="1" ht="27.6">
      <c r="A178" s="708">
        <f ca="1">IFERROR(IF(OFFSET(A178,-1,0,1,1)&gt;0,OFFSET(A178,-1,0,1,1)+0.001,ERROR.TYPE(0)),IFERROR(IF(OFFSET(A178,-2,0,1,1)&gt;0,OFFSET(A178,-2,0,1,1)+0.001,ERROR.TYPE(0)),IFERROR(IF(OFFSET(A178,-3,0,1,1)&gt;0,OFFSET(A178,-3,0,1,1)+0.001,ERROR.TYPE(0)),IFERROR(IF(OFFSET(A178,-4,0,1,1)&gt;0,OFFSET(A178,-4,0,1,1)+0.001,ERROR.TYPE(0)),IFERROR(IF(OFFSET(A178,-5,0,1,1)&gt;0,OFFSET(A178,-5,0,1,1)+0.001,ERROR.TYPE(0)),IFERROR(IF(OFFSET(A178,-6,0,1,1)&gt;0,OFFSET(A178,-6,0,1,1)+0.001,ERROR.TYPE(0)),IFERROR(IF(OFFSET(A178,-7,0,1,1)&gt;0,OFFSET(A178,-7,0,1,1)+0.001,ERROR.TYPE(0)),IFERROR(IF(OFFSET(A178,-8,0,1,1)&gt;0,OFFSET(A178,-8,0,1,1)+0.001,ERROR.TYPE(0)),IFERROR(IF(OFFSET(A178,-9,0,1,1)&gt;0,OFFSET(A178,-9,0,1,1)+0.001,ERROR.TYPE(0)),IFERROR(IF(OFFSET(A178,-10,0,1,1)&gt;0,OFFSET(A178,-10,0,1,1)+0.001,ERROR.TYPE(0)),ERROR.TYPE(0)))))))))))</f>
        <v>2.1029999999999887</v>
      </c>
      <c r="B178" s="709" t="s">
        <v>471</v>
      </c>
      <c r="C178" s="682">
        <v>1</v>
      </c>
      <c r="D178" s="682" t="s">
        <v>312</v>
      </c>
      <c r="E178" s="686" t="str">
        <f>Elec_Est!$Q664</f>
        <v>Included in item 1.183</v>
      </c>
      <c r="F178" s="687"/>
      <c r="G178" s="686" t="str">
        <f>Elec_Est!$Q664</f>
        <v>Included in item 1.183</v>
      </c>
      <c r="H178" s="686" t="str">
        <f>Elec_Est!$Q664</f>
        <v>Included in item 1.183</v>
      </c>
      <c r="I178" s="686" t="str">
        <f>Elec_Est!$Q664</f>
        <v>Included in item 1.183</v>
      </c>
    </row>
    <row r="179" spans="1:9" s="671" customFormat="1" ht="27.6">
      <c r="A179" s="708"/>
      <c r="B179" s="704" t="s">
        <v>419</v>
      </c>
      <c r="C179" s="682"/>
      <c r="D179" s="682"/>
      <c r="E179" s="686"/>
      <c r="F179" s="687"/>
      <c r="G179" s="686"/>
      <c r="H179" s="686"/>
      <c r="I179" s="686"/>
    </row>
    <row r="180" spans="1:9" s="671" customFormat="1">
      <c r="A180" s="708">
        <f ca="1">IFERROR(IF(OFFSET(A180,-1,0,1,1)&gt;0,OFFSET(A180,-1,0,1,1)+0.001,ERROR.TYPE(0)),IFERROR(IF(OFFSET(A180,-2,0,1,1)&gt;0,OFFSET(A180,-2,0,1,1)+0.001,ERROR.TYPE(0)),IFERROR(IF(OFFSET(A180,-3,0,1,1)&gt;0,OFFSET(A180,-3,0,1,1)+0.001,ERROR.TYPE(0)),IFERROR(IF(OFFSET(A180,-4,0,1,1)&gt;0,OFFSET(A180,-4,0,1,1)+0.001,ERROR.TYPE(0)),IFERROR(IF(OFFSET(A180,-5,0,1,1)&gt;0,OFFSET(A180,-5,0,1,1)+0.001,ERROR.TYPE(0)),IFERROR(IF(OFFSET(A180,-6,0,1,1)&gt;0,OFFSET(A180,-6,0,1,1)+0.001,ERROR.TYPE(0)),IFERROR(IF(OFFSET(A180,-7,0,1,1)&gt;0,OFFSET(A180,-7,0,1,1)+0.001,ERROR.TYPE(0)),IFERROR(IF(OFFSET(A180,-8,0,1,1)&gt;0,OFFSET(A180,-8,0,1,1)+0.001,ERROR.TYPE(0)),IFERROR(IF(OFFSET(A180,-9,0,1,1)&gt;0,OFFSET(A180,-9,0,1,1)+0.001,ERROR.TYPE(0)),IFERROR(IF(OFFSET(A180,-10,0,1,1)&gt;0,OFFSET(A180,-10,0,1,1)+0.001,ERROR.TYPE(0)),ERROR.TYPE(0)))))))))))</f>
        <v>2.1039999999999885</v>
      </c>
      <c r="B180" s="685" t="s">
        <v>472</v>
      </c>
      <c r="C180" s="682">
        <v>2</v>
      </c>
      <c r="D180" s="682" t="s">
        <v>312</v>
      </c>
      <c r="E180" s="686"/>
      <c r="F180" s="687">
        <f>IFERROR($C180*E180,E180)</f>
        <v>0</v>
      </c>
      <c r="G180" s="686"/>
      <c r="H180" s="686"/>
      <c r="I180" s="686"/>
    </row>
    <row r="181" spans="1:9" s="671" customFormat="1" ht="13.95" customHeight="1">
      <c r="A181" s="674" t="s">
        <v>941</v>
      </c>
      <c r="B181" s="675" t="s">
        <v>321</v>
      </c>
      <c r="C181" s="1082" t="s">
        <v>315</v>
      </c>
      <c r="D181" s="1083"/>
      <c r="E181" s="689"/>
      <c r="F181" s="678">
        <f>SUM(F129:F180)</f>
        <v>0</v>
      </c>
      <c r="G181" s="735">
        <f t="shared" ref="G181:I181" si="18">SUM(G129:G180)</f>
        <v>0</v>
      </c>
      <c r="H181" s="735">
        <f t="shared" si="18"/>
        <v>0</v>
      </c>
      <c r="I181" s="735">
        <f t="shared" si="18"/>
        <v>0</v>
      </c>
    </row>
    <row r="182" spans="1:9" s="671" customFormat="1">
      <c r="A182" s="697"/>
      <c r="B182" s="698"/>
      <c r="C182" s="699"/>
      <c r="D182" s="699"/>
      <c r="E182" s="700"/>
      <c r="F182" s="701"/>
      <c r="G182" s="700"/>
      <c r="H182" s="700"/>
      <c r="I182" s="700"/>
    </row>
    <row r="183" spans="1:9" s="671" customFormat="1">
      <c r="A183" s="697"/>
      <c r="B183" s="698"/>
      <c r="C183" s="699"/>
      <c r="D183" s="691"/>
      <c r="E183" s="700"/>
      <c r="F183" s="701"/>
      <c r="G183" s="700"/>
      <c r="H183" s="700"/>
      <c r="I183" s="700"/>
    </row>
    <row r="184" spans="1:9" s="671" customFormat="1" ht="27.6">
      <c r="A184" s="613" t="s">
        <v>143</v>
      </c>
      <c r="B184" s="614" t="s">
        <v>209</v>
      </c>
      <c r="C184" s="615" t="s">
        <v>210</v>
      </c>
      <c r="D184" s="615" t="s">
        <v>211</v>
      </c>
      <c r="E184" s="616" t="s">
        <v>309</v>
      </c>
      <c r="F184" s="617" t="s">
        <v>310</v>
      </c>
      <c r="G184" s="616" t="s">
        <v>912</v>
      </c>
      <c r="H184" s="616" t="s">
        <v>913</v>
      </c>
      <c r="I184" s="616" t="s">
        <v>914</v>
      </c>
    </row>
    <row r="185" spans="1:9" s="671" customFormat="1">
      <c r="A185" s="674"/>
      <c r="B185" s="702" t="s">
        <v>473</v>
      </c>
      <c r="C185" s="676"/>
      <c r="D185" s="676"/>
      <c r="E185" s="677"/>
      <c r="F185" s="678"/>
      <c r="G185" s="677"/>
      <c r="H185" s="677"/>
      <c r="I185" s="677"/>
    </row>
    <row r="186" spans="1:9" s="671" customFormat="1" ht="27.6">
      <c r="A186" s="708"/>
      <c r="B186" s="704" t="s">
        <v>421</v>
      </c>
      <c r="C186" s="682"/>
      <c r="D186" s="682"/>
      <c r="E186" s="686"/>
      <c r="F186" s="687"/>
      <c r="G186" s="686"/>
      <c r="H186" s="686"/>
      <c r="I186" s="686"/>
    </row>
    <row r="187" spans="1:9" s="671" customFormat="1">
      <c r="A187" s="708">
        <f t="shared" ref="A187:A199" ca="1" si="19">IFERROR(IF(OFFSET(A187,-1,0,1,1)&gt;0,OFFSET(A187,-1,0,1,1)+0.001,ERROR.TYPE(0)),IFERROR(IF(OFFSET(A187,-2,0,1,1)&gt;0,OFFSET(A187,-2,0,1,1)+0.001,ERROR.TYPE(0)),IFERROR(IF(OFFSET(A187,-3,0,1,1)&gt;0,OFFSET(A187,-3,0,1,1)+0.001,ERROR.TYPE(0)),IFERROR(IF(OFFSET(A187,-4,0,1,1)&gt;0,OFFSET(A187,-4,0,1,1)+0.001,ERROR.TYPE(0)),IFERROR(IF(OFFSET(A187,-5,0,1,1)&gt;0,OFFSET(A187,-5,0,1,1)+0.001,ERROR.TYPE(0)),IFERROR(IF(OFFSET(A187,-6,0,1,1)&gt;0,OFFSET(A187,-6,0,1,1)+0.001,ERROR.TYPE(0)),IFERROR(IF(OFFSET(A187,-7,0,1,1)&gt;0,OFFSET(A187,-7,0,1,1)+0.001,ERROR.TYPE(0)),IFERROR(IF(OFFSET(A187,-8,0,1,1)&gt;0,OFFSET(A187,-8,0,1,1)+0.001,ERROR.TYPE(0)),IFERROR(IF(OFFSET(A187,-9,0,1,1)&gt;0,OFFSET(A187,-9,0,1,1)+0.001,ERROR.TYPE(0)),IFERROR(IF(OFFSET(A187,-10,0,1,1)&gt;0,OFFSET(A187,-10,0,1,1)+0.001,ERROR.TYPE(0)),ERROR.TYPE(0)))))))))))</f>
        <v>2.1049999999999884</v>
      </c>
      <c r="B187" s="685" t="s">
        <v>438</v>
      </c>
      <c r="C187" s="682">
        <v>25</v>
      </c>
      <c r="D187" s="682" t="s">
        <v>311</v>
      </c>
      <c r="E187" s="686"/>
      <c r="F187" s="687">
        <f t="shared" ref="F187:F199" si="20">IFERROR($C187*E187,E187)</f>
        <v>0</v>
      </c>
      <c r="G187" s="686"/>
      <c r="H187" s="686"/>
      <c r="I187" s="686"/>
    </row>
    <row r="188" spans="1:9" s="671" customFormat="1">
      <c r="A188" s="708">
        <f t="shared" ca="1" si="19"/>
        <v>2.1059999999999883</v>
      </c>
      <c r="B188" s="685" t="s">
        <v>440</v>
      </c>
      <c r="C188" s="682">
        <v>10</v>
      </c>
      <c r="D188" s="682" t="s">
        <v>311</v>
      </c>
      <c r="E188" s="686"/>
      <c r="F188" s="687">
        <f t="shared" si="20"/>
        <v>0</v>
      </c>
      <c r="G188" s="686"/>
      <c r="H188" s="686"/>
      <c r="I188" s="686"/>
    </row>
    <row r="189" spans="1:9" s="671" customFormat="1">
      <c r="A189" s="708">
        <f t="shared" ca="1" si="19"/>
        <v>2.1069999999999882</v>
      </c>
      <c r="B189" s="685" t="s">
        <v>453</v>
      </c>
      <c r="C189" s="682">
        <v>25</v>
      </c>
      <c r="D189" s="682" t="s">
        <v>311</v>
      </c>
      <c r="E189" s="686"/>
      <c r="F189" s="687">
        <f t="shared" si="20"/>
        <v>0</v>
      </c>
      <c r="G189" s="686"/>
      <c r="H189" s="686"/>
      <c r="I189" s="686"/>
    </row>
    <row r="190" spans="1:9" s="671" customFormat="1">
      <c r="A190" s="708">
        <f t="shared" ca="1" si="19"/>
        <v>2.1079999999999881</v>
      </c>
      <c r="B190" s="685" t="s">
        <v>474</v>
      </c>
      <c r="C190" s="682">
        <v>5</v>
      </c>
      <c r="D190" s="682" t="s">
        <v>311</v>
      </c>
      <c r="E190" s="686"/>
      <c r="F190" s="687">
        <f t="shared" si="20"/>
        <v>0</v>
      </c>
      <c r="G190" s="686"/>
      <c r="H190" s="686"/>
      <c r="I190" s="686"/>
    </row>
    <row r="191" spans="1:9" s="671" customFormat="1">
      <c r="A191" s="708">
        <f t="shared" ca="1" si="19"/>
        <v>2.108999999999988</v>
      </c>
      <c r="B191" s="685" t="s">
        <v>475</v>
      </c>
      <c r="C191" s="682">
        <v>20</v>
      </c>
      <c r="D191" s="682" t="s">
        <v>311</v>
      </c>
      <c r="E191" s="686"/>
      <c r="F191" s="687">
        <f t="shared" si="20"/>
        <v>0</v>
      </c>
      <c r="G191" s="686"/>
      <c r="H191" s="686"/>
      <c r="I191" s="686"/>
    </row>
    <row r="192" spans="1:9" s="671" customFormat="1">
      <c r="A192" s="708">
        <f t="shared" ca="1" si="19"/>
        <v>2.1099999999999879</v>
      </c>
      <c r="B192" s="685" t="s">
        <v>459</v>
      </c>
      <c r="C192" s="682">
        <v>15</v>
      </c>
      <c r="D192" s="682" t="s">
        <v>311</v>
      </c>
      <c r="E192" s="686"/>
      <c r="F192" s="687">
        <f t="shared" si="20"/>
        <v>0</v>
      </c>
      <c r="G192" s="686"/>
      <c r="H192" s="686"/>
      <c r="I192" s="686"/>
    </row>
    <row r="193" spans="1:9" s="671" customFormat="1">
      <c r="A193" s="708">
        <f t="shared" ca="1" si="19"/>
        <v>2.1109999999999878</v>
      </c>
      <c r="B193" s="685" t="s">
        <v>460</v>
      </c>
      <c r="C193" s="682">
        <v>10</v>
      </c>
      <c r="D193" s="682" t="s">
        <v>311</v>
      </c>
      <c r="E193" s="686"/>
      <c r="F193" s="687">
        <f t="shared" si="20"/>
        <v>0</v>
      </c>
      <c r="G193" s="686"/>
      <c r="H193" s="686"/>
      <c r="I193" s="686"/>
    </row>
    <row r="194" spans="1:9" s="671" customFormat="1">
      <c r="A194" s="708">
        <f t="shared" ca="1" si="19"/>
        <v>2.1119999999999877</v>
      </c>
      <c r="B194" s="685" t="s">
        <v>476</v>
      </c>
      <c r="C194" s="682">
        <v>5</v>
      </c>
      <c r="D194" s="682" t="s">
        <v>311</v>
      </c>
      <c r="E194" s="686"/>
      <c r="F194" s="687">
        <f t="shared" si="20"/>
        <v>0</v>
      </c>
      <c r="G194" s="686"/>
      <c r="H194" s="686"/>
      <c r="I194" s="686"/>
    </row>
    <row r="195" spans="1:9" s="671" customFormat="1">
      <c r="A195" s="708">
        <f t="shared" ca="1" si="19"/>
        <v>2.1129999999999876</v>
      </c>
      <c r="B195" s="685" t="s">
        <v>462</v>
      </c>
      <c r="C195" s="682">
        <v>15</v>
      </c>
      <c r="D195" s="682" t="s">
        <v>311</v>
      </c>
      <c r="E195" s="686"/>
      <c r="F195" s="687">
        <f t="shared" si="20"/>
        <v>0</v>
      </c>
      <c r="G195" s="686"/>
      <c r="H195" s="686"/>
      <c r="I195" s="686"/>
    </row>
    <row r="196" spans="1:9" s="671" customFormat="1" ht="14.7" customHeight="1">
      <c r="A196" s="708">
        <f t="shared" ca="1" si="19"/>
        <v>2.1139999999999874</v>
      </c>
      <c r="B196" s="685" t="s">
        <v>454</v>
      </c>
      <c r="C196" s="682">
        <v>20</v>
      </c>
      <c r="D196" s="682" t="s">
        <v>311</v>
      </c>
      <c r="E196" s="686"/>
      <c r="F196" s="687">
        <f t="shared" si="20"/>
        <v>0</v>
      </c>
      <c r="G196" s="686"/>
      <c r="H196" s="686"/>
      <c r="I196" s="686"/>
    </row>
    <row r="197" spans="1:9" s="671" customFormat="1" ht="14.7" customHeight="1">
      <c r="A197" s="708">
        <f t="shared" ca="1" si="19"/>
        <v>2.1149999999999873</v>
      </c>
      <c r="B197" s="685" t="s">
        <v>463</v>
      </c>
      <c r="C197" s="682">
        <v>10</v>
      </c>
      <c r="D197" s="682" t="s">
        <v>311</v>
      </c>
      <c r="E197" s="686"/>
      <c r="F197" s="687">
        <f t="shared" si="20"/>
        <v>0</v>
      </c>
      <c r="G197" s="686"/>
      <c r="H197" s="686"/>
      <c r="I197" s="686"/>
    </row>
    <row r="198" spans="1:9" s="671" customFormat="1" ht="14.7" customHeight="1">
      <c r="A198" s="708">
        <f t="shared" ca="1" si="19"/>
        <v>2.1159999999999872</v>
      </c>
      <c r="B198" s="685" t="s">
        <v>464</v>
      </c>
      <c r="C198" s="682">
        <v>20</v>
      </c>
      <c r="D198" s="682" t="s">
        <v>311</v>
      </c>
      <c r="E198" s="686"/>
      <c r="F198" s="687">
        <f t="shared" si="20"/>
        <v>0</v>
      </c>
      <c r="G198" s="686"/>
      <c r="H198" s="686"/>
      <c r="I198" s="686"/>
    </row>
    <row r="199" spans="1:9" s="671" customFormat="1" ht="14.7" customHeight="1">
      <c r="A199" s="708">
        <f t="shared" ca="1" si="19"/>
        <v>2.1169999999999871</v>
      </c>
      <c r="B199" s="685" t="s">
        <v>477</v>
      </c>
      <c r="C199" s="682">
        <v>10</v>
      </c>
      <c r="D199" s="682" t="s">
        <v>311</v>
      </c>
      <c r="E199" s="686"/>
      <c r="F199" s="687">
        <f t="shared" si="20"/>
        <v>0</v>
      </c>
      <c r="G199" s="686"/>
      <c r="H199" s="686"/>
      <c r="I199" s="686"/>
    </row>
    <row r="200" spans="1:9" s="671" customFormat="1" ht="27.6">
      <c r="A200" s="708"/>
      <c r="B200" s="704" t="s">
        <v>414</v>
      </c>
      <c r="C200" s="682"/>
      <c r="D200" s="682"/>
      <c r="E200" s="686"/>
      <c r="F200" s="687"/>
      <c r="G200" s="686"/>
      <c r="H200" s="686"/>
      <c r="I200" s="686"/>
    </row>
    <row r="201" spans="1:9" s="671" customFormat="1">
      <c r="A201" s="708">
        <f ca="1">IFERROR(IF(OFFSET(A201,-1,0,1,1)&gt;0,OFFSET(A201,-1,0,1,1)+0.001,ERROR.TYPE(0)),IFERROR(IF(OFFSET(A201,-2,0,1,1)&gt;0,OFFSET(A201,-2,0,1,1)+0.001,ERROR.TYPE(0)),IFERROR(IF(OFFSET(A201,-3,0,1,1)&gt;0,OFFSET(A201,-3,0,1,1)+0.001,ERROR.TYPE(0)),IFERROR(IF(OFFSET(A201,-4,0,1,1)&gt;0,OFFSET(A201,-4,0,1,1)+0.001,ERROR.TYPE(0)),IFERROR(IF(OFFSET(A201,-5,0,1,1)&gt;0,OFFSET(A201,-5,0,1,1)+0.001,ERROR.TYPE(0)),IFERROR(IF(OFFSET(A201,-6,0,1,1)&gt;0,OFFSET(A201,-6,0,1,1)+0.001,ERROR.TYPE(0)),IFERROR(IF(OFFSET(A201,-7,0,1,1)&gt;0,OFFSET(A201,-7,0,1,1)+0.001,ERROR.TYPE(0)),IFERROR(IF(OFFSET(A201,-8,0,1,1)&gt;0,OFFSET(A201,-8,0,1,1)+0.001,ERROR.TYPE(0)),IFERROR(IF(OFFSET(A201,-9,0,1,1)&gt;0,OFFSET(A201,-9,0,1,1)+0.001,ERROR.TYPE(0)),IFERROR(IF(OFFSET(A201,-10,0,1,1)&gt;0,OFFSET(A201,-10,0,1,1)+0.001,ERROR.TYPE(0)),ERROR.TYPE(0)))))))))))</f>
        <v>2.117999999999987</v>
      </c>
      <c r="B201" s="685" t="s">
        <v>446</v>
      </c>
      <c r="C201" s="682">
        <v>3</v>
      </c>
      <c r="D201" s="682" t="s">
        <v>312</v>
      </c>
      <c r="E201" s="686"/>
      <c r="F201" s="687">
        <f>IFERROR($C201*E201,E201)</f>
        <v>0</v>
      </c>
      <c r="G201" s="686"/>
      <c r="H201" s="686"/>
      <c r="I201" s="686"/>
    </row>
    <row r="202" spans="1:9" s="671" customFormat="1">
      <c r="A202" s="708">
        <f ca="1">IFERROR(IF(OFFSET(A202,-1,0,1,1)&gt;0,OFFSET(A202,-1,0,1,1)+0.001,ERROR.TYPE(0)),IFERROR(IF(OFFSET(A202,-2,0,1,1)&gt;0,OFFSET(A202,-2,0,1,1)+0.001,ERROR.TYPE(0)),IFERROR(IF(OFFSET(A202,-3,0,1,1)&gt;0,OFFSET(A202,-3,0,1,1)+0.001,ERROR.TYPE(0)),IFERROR(IF(OFFSET(A202,-4,0,1,1)&gt;0,OFFSET(A202,-4,0,1,1)+0.001,ERROR.TYPE(0)),IFERROR(IF(OFFSET(A202,-5,0,1,1)&gt;0,OFFSET(A202,-5,0,1,1)+0.001,ERROR.TYPE(0)),IFERROR(IF(OFFSET(A202,-6,0,1,1)&gt;0,OFFSET(A202,-6,0,1,1)+0.001,ERROR.TYPE(0)),IFERROR(IF(OFFSET(A202,-7,0,1,1)&gt;0,OFFSET(A202,-7,0,1,1)+0.001,ERROR.TYPE(0)),IFERROR(IF(OFFSET(A202,-8,0,1,1)&gt;0,OFFSET(A202,-8,0,1,1)+0.001,ERROR.TYPE(0)),IFERROR(IF(OFFSET(A202,-9,0,1,1)&gt;0,OFFSET(A202,-9,0,1,1)+0.001,ERROR.TYPE(0)),IFERROR(IF(OFFSET(A202,-10,0,1,1)&gt;0,OFFSET(A202,-10,0,1,1)+0.001,ERROR.TYPE(0)),ERROR.TYPE(0)))))))))))</f>
        <v>2.1189999999999869</v>
      </c>
      <c r="B202" s="685" t="s">
        <v>447</v>
      </c>
      <c r="C202" s="682">
        <v>7</v>
      </c>
      <c r="D202" s="682" t="s">
        <v>312</v>
      </c>
      <c r="E202" s="686"/>
      <c r="F202" s="687">
        <f>IFERROR($C202*E202,E202)</f>
        <v>0</v>
      </c>
      <c r="G202" s="686"/>
      <c r="H202" s="686"/>
      <c r="I202" s="686"/>
    </row>
    <row r="203" spans="1:9" s="671" customFormat="1">
      <c r="A203" s="708">
        <f ca="1">IFERROR(IF(OFFSET(A203,-1,0,1,1)&gt;0,OFFSET(A203,-1,0,1,1)+0.001,ERROR.TYPE(0)),IFERROR(IF(OFFSET(A203,-2,0,1,1)&gt;0,OFFSET(A203,-2,0,1,1)+0.001,ERROR.TYPE(0)),IFERROR(IF(OFFSET(A203,-3,0,1,1)&gt;0,OFFSET(A203,-3,0,1,1)+0.001,ERROR.TYPE(0)),IFERROR(IF(OFFSET(A203,-4,0,1,1)&gt;0,OFFSET(A203,-4,0,1,1)+0.001,ERROR.TYPE(0)),IFERROR(IF(OFFSET(A203,-5,0,1,1)&gt;0,OFFSET(A203,-5,0,1,1)+0.001,ERROR.TYPE(0)),IFERROR(IF(OFFSET(A203,-6,0,1,1)&gt;0,OFFSET(A203,-6,0,1,1)+0.001,ERROR.TYPE(0)),IFERROR(IF(OFFSET(A203,-7,0,1,1)&gt;0,OFFSET(A203,-7,0,1,1)+0.001,ERROR.TYPE(0)),IFERROR(IF(OFFSET(A203,-8,0,1,1)&gt;0,OFFSET(A203,-8,0,1,1)+0.001,ERROR.TYPE(0)),IFERROR(IF(OFFSET(A203,-9,0,1,1)&gt;0,OFFSET(A203,-9,0,1,1)+0.001,ERROR.TYPE(0)),IFERROR(IF(OFFSET(A203,-10,0,1,1)&gt;0,OFFSET(A203,-10,0,1,1)+0.001,ERROR.TYPE(0)),ERROR.TYPE(0)))))))))))</f>
        <v>2.1199999999999868</v>
      </c>
      <c r="B203" s="685" t="s">
        <v>448</v>
      </c>
      <c r="C203" s="682">
        <v>10</v>
      </c>
      <c r="D203" s="682" t="s">
        <v>312</v>
      </c>
      <c r="E203" s="686"/>
      <c r="F203" s="687">
        <f>IFERROR($C203*E203,E203)</f>
        <v>0</v>
      </c>
      <c r="G203" s="686"/>
      <c r="H203" s="686"/>
      <c r="I203" s="686"/>
    </row>
    <row r="204" spans="1:9" s="671" customFormat="1">
      <c r="A204" s="708">
        <f ca="1">IFERROR(IF(OFFSET(A204,-1,0,1,1)&gt;0,OFFSET(A204,-1,0,1,1)+0.001,ERROR.TYPE(0)),IFERROR(IF(OFFSET(A204,-2,0,1,1)&gt;0,OFFSET(A204,-2,0,1,1)+0.001,ERROR.TYPE(0)),IFERROR(IF(OFFSET(A204,-3,0,1,1)&gt;0,OFFSET(A204,-3,0,1,1)+0.001,ERROR.TYPE(0)),IFERROR(IF(OFFSET(A204,-4,0,1,1)&gt;0,OFFSET(A204,-4,0,1,1)+0.001,ERROR.TYPE(0)),IFERROR(IF(OFFSET(A204,-5,0,1,1)&gt;0,OFFSET(A204,-5,0,1,1)+0.001,ERROR.TYPE(0)),IFERROR(IF(OFFSET(A204,-6,0,1,1)&gt;0,OFFSET(A204,-6,0,1,1)+0.001,ERROR.TYPE(0)),IFERROR(IF(OFFSET(A204,-7,0,1,1)&gt;0,OFFSET(A204,-7,0,1,1)+0.001,ERROR.TYPE(0)),IFERROR(IF(OFFSET(A204,-8,0,1,1)&gt;0,OFFSET(A204,-8,0,1,1)+0.001,ERROR.TYPE(0)),IFERROR(IF(OFFSET(A204,-9,0,1,1)&gt;0,OFFSET(A204,-9,0,1,1)+0.001,ERROR.TYPE(0)),IFERROR(IF(OFFSET(A204,-10,0,1,1)&gt;0,OFFSET(A204,-10,0,1,1)+0.001,ERROR.TYPE(0)),ERROR.TYPE(0)))))))))))</f>
        <v>2.1209999999999867</v>
      </c>
      <c r="B204" s="685" t="s">
        <v>455</v>
      </c>
      <c r="C204" s="682">
        <v>1</v>
      </c>
      <c r="D204" s="682" t="s">
        <v>312</v>
      </c>
      <c r="E204" s="686"/>
      <c r="F204" s="687">
        <f>IFERROR($C204*E204,E204)</f>
        <v>0</v>
      </c>
      <c r="G204" s="686"/>
      <c r="H204" s="686"/>
      <c r="I204" s="686"/>
    </row>
    <row r="205" spans="1:9" s="671" customFormat="1">
      <c r="A205" s="708">
        <f ca="1">IFERROR(IF(OFFSET(A205,-1,0,1,1)&gt;0,OFFSET(A205,-1,0,1,1)+0.001,ERROR.TYPE(0)),IFERROR(IF(OFFSET(A205,-2,0,1,1)&gt;0,OFFSET(A205,-2,0,1,1)+0.001,ERROR.TYPE(0)),IFERROR(IF(OFFSET(A205,-3,0,1,1)&gt;0,OFFSET(A205,-3,0,1,1)+0.001,ERROR.TYPE(0)),IFERROR(IF(OFFSET(A205,-4,0,1,1)&gt;0,OFFSET(A205,-4,0,1,1)+0.001,ERROR.TYPE(0)),IFERROR(IF(OFFSET(A205,-5,0,1,1)&gt;0,OFFSET(A205,-5,0,1,1)+0.001,ERROR.TYPE(0)),IFERROR(IF(OFFSET(A205,-6,0,1,1)&gt;0,OFFSET(A205,-6,0,1,1)+0.001,ERROR.TYPE(0)),IFERROR(IF(OFFSET(A205,-7,0,1,1)&gt;0,OFFSET(A205,-7,0,1,1)+0.001,ERROR.TYPE(0)),IFERROR(IF(OFFSET(A205,-8,0,1,1)&gt;0,OFFSET(A205,-8,0,1,1)+0.001,ERROR.TYPE(0)),IFERROR(IF(OFFSET(A205,-9,0,1,1)&gt;0,OFFSET(A205,-9,0,1,1)+0.001,ERROR.TYPE(0)),IFERROR(IF(OFFSET(A205,-10,0,1,1)&gt;0,OFFSET(A205,-10,0,1,1)+0.001,ERROR.TYPE(0)),ERROR.TYPE(0)))))))))))</f>
        <v>2.1219999999999866</v>
      </c>
      <c r="B205" s="685" t="s">
        <v>467</v>
      </c>
      <c r="C205" s="682">
        <v>1</v>
      </c>
      <c r="D205" s="682" t="s">
        <v>312</v>
      </c>
      <c r="E205" s="686"/>
      <c r="F205" s="687">
        <f>IFERROR($C205*E205,E205)</f>
        <v>0</v>
      </c>
      <c r="G205" s="686"/>
      <c r="H205" s="686"/>
      <c r="I205" s="686"/>
    </row>
    <row r="206" spans="1:9" s="671" customFormat="1" ht="41.4">
      <c r="A206" s="708" t="s">
        <v>340</v>
      </c>
      <c r="B206" s="704" t="s">
        <v>428</v>
      </c>
      <c r="C206" s="682"/>
      <c r="D206" s="682"/>
      <c r="E206" s="686"/>
      <c r="F206" s="687"/>
      <c r="G206" s="686"/>
      <c r="H206" s="686"/>
      <c r="I206" s="686"/>
    </row>
    <row r="207" spans="1:9" s="671" customFormat="1" ht="27.6">
      <c r="A207" s="708">
        <f ca="1">IFERROR(IF(OFFSET(A207,-1,0,1,1)&gt;0,OFFSET(A207,-1,0,1,1)+0.001,ERROR.TYPE(0)),IFERROR(IF(OFFSET(A207,-2,0,1,1)&gt;0,OFFSET(A207,-2,0,1,1)+0.001,ERROR.TYPE(0)),IFERROR(IF(OFFSET(A207,-3,0,1,1)&gt;0,OFFSET(A207,-3,0,1,1)+0.001,ERROR.TYPE(0)),IFERROR(IF(OFFSET(A207,-4,0,1,1)&gt;0,OFFSET(A207,-4,0,1,1)+0.001,ERROR.TYPE(0)),IFERROR(IF(OFFSET(A207,-5,0,1,1)&gt;0,OFFSET(A207,-5,0,1,1)+0.001,ERROR.TYPE(0)),IFERROR(IF(OFFSET(A207,-6,0,1,1)&gt;0,OFFSET(A207,-6,0,1,1)+0.001,ERROR.TYPE(0)),IFERROR(IF(OFFSET(A207,-7,0,1,1)&gt;0,OFFSET(A207,-7,0,1,1)+0.001,ERROR.TYPE(0)),IFERROR(IF(OFFSET(A207,-8,0,1,1)&gt;0,OFFSET(A207,-8,0,1,1)+0.001,ERROR.TYPE(0)),IFERROR(IF(OFFSET(A207,-9,0,1,1)&gt;0,OFFSET(A207,-9,0,1,1)+0.001,ERROR.TYPE(0)),IFERROR(IF(OFFSET(A207,-10,0,1,1)&gt;0,OFFSET(A207,-10,0,1,1)+0.001,ERROR.TYPE(0)),ERROR.TYPE(0)))))))))))</f>
        <v>2.1229999999999865</v>
      </c>
      <c r="B207" s="709" t="s">
        <v>468</v>
      </c>
      <c r="C207" s="682">
        <v>1</v>
      </c>
      <c r="D207" s="682" t="s">
        <v>312</v>
      </c>
      <c r="E207" s="686" t="str">
        <f>Elec_Est!$Q684</f>
        <v>Included in item 1.183</v>
      </c>
      <c r="F207" s="687"/>
      <c r="G207" s="686" t="str">
        <f>Elec_Est!$Q684</f>
        <v>Included in item 1.183</v>
      </c>
      <c r="H207" s="686" t="str">
        <f>Elec_Est!$Q684</f>
        <v>Included in item 1.183</v>
      </c>
      <c r="I207" s="686" t="str">
        <f>Elec_Est!$Q684</f>
        <v>Included in item 1.183</v>
      </c>
    </row>
    <row r="208" spans="1:9" s="671" customFormat="1" ht="27.6">
      <c r="A208" s="708">
        <f ca="1">IFERROR(IF(OFFSET(A208,-1,0,1,1)&gt;0,OFFSET(A208,-1,0,1,1)+0.001,ERROR.TYPE(0)),IFERROR(IF(OFFSET(A208,-2,0,1,1)&gt;0,OFFSET(A208,-2,0,1,1)+0.001,ERROR.TYPE(0)),IFERROR(IF(OFFSET(A208,-3,0,1,1)&gt;0,OFFSET(A208,-3,0,1,1)+0.001,ERROR.TYPE(0)),IFERROR(IF(OFFSET(A208,-4,0,1,1)&gt;0,OFFSET(A208,-4,0,1,1)+0.001,ERROR.TYPE(0)),IFERROR(IF(OFFSET(A208,-5,0,1,1)&gt;0,OFFSET(A208,-5,0,1,1)+0.001,ERROR.TYPE(0)),IFERROR(IF(OFFSET(A208,-6,0,1,1)&gt;0,OFFSET(A208,-6,0,1,1)+0.001,ERROR.TYPE(0)),IFERROR(IF(OFFSET(A208,-7,0,1,1)&gt;0,OFFSET(A208,-7,0,1,1)+0.001,ERROR.TYPE(0)),IFERROR(IF(OFFSET(A208,-8,0,1,1)&gt;0,OFFSET(A208,-8,0,1,1)+0.001,ERROR.TYPE(0)),IFERROR(IF(OFFSET(A208,-9,0,1,1)&gt;0,OFFSET(A208,-9,0,1,1)+0.001,ERROR.TYPE(0)),IFERROR(IF(OFFSET(A208,-10,0,1,1)&gt;0,OFFSET(A208,-10,0,1,1)+0.001,ERROR.TYPE(0)),ERROR.TYPE(0)))))))))))</f>
        <v>2.1239999999999863</v>
      </c>
      <c r="B208" s="709" t="s">
        <v>469</v>
      </c>
      <c r="C208" s="682">
        <v>1</v>
      </c>
      <c r="D208" s="682" t="s">
        <v>312</v>
      </c>
      <c r="E208" s="686" t="str">
        <f>Elec_Est!$Q700</f>
        <v>Included in item 1.183</v>
      </c>
      <c r="F208" s="687"/>
      <c r="G208" s="686" t="str">
        <f>Elec_Est!$Q700</f>
        <v>Included in item 1.183</v>
      </c>
      <c r="H208" s="686" t="str">
        <f>Elec_Est!$Q700</f>
        <v>Included in item 1.183</v>
      </c>
      <c r="I208" s="686" t="str">
        <f>Elec_Est!$Q700</f>
        <v>Included in item 1.183</v>
      </c>
    </row>
    <row r="209" spans="1:9" s="671" customFormat="1" ht="27.6">
      <c r="A209" s="708">
        <f ca="1">IFERROR(IF(OFFSET(A209,-1,0,1,1)&gt;0,OFFSET(A209,-1,0,1,1)+0.001,ERROR.TYPE(0)),IFERROR(IF(OFFSET(A209,-2,0,1,1)&gt;0,OFFSET(A209,-2,0,1,1)+0.001,ERROR.TYPE(0)),IFERROR(IF(OFFSET(A209,-3,0,1,1)&gt;0,OFFSET(A209,-3,0,1,1)+0.001,ERROR.TYPE(0)),IFERROR(IF(OFFSET(A209,-4,0,1,1)&gt;0,OFFSET(A209,-4,0,1,1)+0.001,ERROR.TYPE(0)),IFERROR(IF(OFFSET(A209,-5,0,1,1)&gt;0,OFFSET(A209,-5,0,1,1)+0.001,ERROR.TYPE(0)),IFERROR(IF(OFFSET(A209,-6,0,1,1)&gt;0,OFFSET(A209,-6,0,1,1)+0.001,ERROR.TYPE(0)),IFERROR(IF(OFFSET(A209,-7,0,1,1)&gt;0,OFFSET(A209,-7,0,1,1)+0.001,ERROR.TYPE(0)),IFERROR(IF(OFFSET(A209,-8,0,1,1)&gt;0,OFFSET(A209,-8,0,1,1)+0.001,ERROR.TYPE(0)),IFERROR(IF(OFFSET(A209,-9,0,1,1)&gt;0,OFFSET(A209,-9,0,1,1)+0.001,ERROR.TYPE(0)),IFERROR(IF(OFFSET(A209,-10,0,1,1)&gt;0,OFFSET(A209,-10,0,1,1)+0.001,ERROR.TYPE(0)),ERROR.TYPE(0)))))))))))</f>
        <v>2.1249999999999862</v>
      </c>
      <c r="B209" s="709" t="s">
        <v>470</v>
      </c>
      <c r="C209" s="682">
        <v>2</v>
      </c>
      <c r="D209" s="682" t="s">
        <v>312</v>
      </c>
      <c r="E209" s="686" t="str">
        <f>Elec_Est!$Q716</f>
        <v>Included in item 1.183</v>
      </c>
      <c r="F209" s="687"/>
      <c r="G209" s="686" t="str">
        <f>Elec_Est!$Q716</f>
        <v>Included in item 1.183</v>
      </c>
      <c r="H209" s="686" t="str">
        <f>Elec_Est!$Q716</f>
        <v>Included in item 1.183</v>
      </c>
      <c r="I209" s="686" t="str">
        <f>Elec_Est!$Q716</f>
        <v>Included in item 1.183</v>
      </c>
    </row>
    <row r="210" spans="1:9" s="671" customFormat="1" ht="27.6">
      <c r="A210" s="708"/>
      <c r="B210" s="704" t="s">
        <v>419</v>
      </c>
      <c r="C210" s="682"/>
      <c r="D210" s="682"/>
      <c r="E210" s="686"/>
      <c r="F210" s="687"/>
      <c r="G210" s="686"/>
      <c r="H210" s="686"/>
      <c r="I210" s="686"/>
    </row>
    <row r="211" spans="1:9" s="671" customFormat="1">
      <c r="A211" s="708">
        <f ca="1">IFERROR(IF(OFFSET(A211,-1,0,1,1)&gt;0,OFFSET(A211,-1,0,1,1)+0.001,ERROR.TYPE(0)),IFERROR(IF(OFFSET(A211,-2,0,1,1)&gt;0,OFFSET(A211,-2,0,1,1)+0.001,ERROR.TYPE(0)),IFERROR(IF(OFFSET(A211,-3,0,1,1)&gt;0,OFFSET(A211,-3,0,1,1)+0.001,ERROR.TYPE(0)),IFERROR(IF(OFFSET(A211,-4,0,1,1)&gt;0,OFFSET(A211,-4,0,1,1)+0.001,ERROR.TYPE(0)),IFERROR(IF(OFFSET(A211,-5,0,1,1)&gt;0,OFFSET(A211,-5,0,1,1)+0.001,ERROR.TYPE(0)),IFERROR(IF(OFFSET(A211,-6,0,1,1)&gt;0,OFFSET(A211,-6,0,1,1)+0.001,ERROR.TYPE(0)),IFERROR(IF(OFFSET(A211,-7,0,1,1)&gt;0,OFFSET(A211,-7,0,1,1)+0.001,ERROR.TYPE(0)),IFERROR(IF(OFFSET(A211,-8,0,1,1)&gt;0,OFFSET(A211,-8,0,1,1)+0.001,ERROR.TYPE(0)),IFERROR(IF(OFFSET(A211,-9,0,1,1)&gt;0,OFFSET(A211,-9,0,1,1)+0.001,ERROR.TYPE(0)),IFERROR(IF(OFFSET(A211,-10,0,1,1)&gt;0,OFFSET(A211,-10,0,1,1)+0.001,ERROR.TYPE(0)),ERROR.TYPE(0)))))))))))</f>
        <v>2.1259999999999861</v>
      </c>
      <c r="B211" s="685" t="s">
        <v>450</v>
      </c>
      <c r="C211" s="682">
        <v>1</v>
      </c>
      <c r="D211" s="682" t="s">
        <v>312</v>
      </c>
      <c r="E211" s="686"/>
      <c r="F211" s="687">
        <f>IFERROR($C211*E211,E211)</f>
        <v>0</v>
      </c>
      <c r="G211" s="686"/>
      <c r="H211" s="686"/>
      <c r="I211" s="686"/>
    </row>
    <row r="212" spans="1:9" s="671" customFormat="1">
      <c r="A212" s="708">
        <f ca="1">IFERROR(IF(OFFSET(A212,-1,0,1,1)&gt;0,OFFSET(A212,-1,0,1,1)+0.001,ERROR.TYPE(0)),IFERROR(IF(OFFSET(A212,-2,0,1,1)&gt;0,OFFSET(A212,-2,0,1,1)+0.001,ERROR.TYPE(0)),IFERROR(IF(OFFSET(A212,-3,0,1,1)&gt;0,OFFSET(A212,-3,0,1,1)+0.001,ERROR.TYPE(0)),IFERROR(IF(OFFSET(A212,-4,0,1,1)&gt;0,OFFSET(A212,-4,0,1,1)+0.001,ERROR.TYPE(0)),IFERROR(IF(OFFSET(A212,-5,0,1,1)&gt;0,OFFSET(A212,-5,0,1,1)+0.001,ERROR.TYPE(0)),IFERROR(IF(OFFSET(A212,-6,0,1,1)&gt;0,OFFSET(A212,-6,0,1,1)+0.001,ERROR.TYPE(0)),IFERROR(IF(OFFSET(A212,-7,0,1,1)&gt;0,OFFSET(A212,-7,0,1,1)+0.001,ERROR.TYPE(0)),IFERROR(IF(OFFSET(A212,-8,0,1,1)&gt;0,OFFSET(A212,-8,0,1,1)+0.001,ERROR.TYPE(0)),IFERROR(IF(OFFSET(A212,-9,0,1,1)&gt;0,OFFSET(A212,-9,0,1,1)+0.001,ERROR.TYPE(0)),IFERROR(IF(OFFSET(A212,-10,0,1,1)&gt;0,OFFSET(A212,-10,0,1,1)+0.001,ERROR.TYPE(0)),ERROR.TYPE(0)))))))))))</f>
        <v>2.126999999999986</v>
      </c>
      <c r="B212" s="685" t="s">
        <v>478</v>
      </c>
      <c r="C212" s="682">
        <v>1</v>
      </c>
      <c r="D212" s="682" t="s">
        <v>312</v>
      </c>
      <c r="E212" s="686"/>
      <c r="F212" s="687">
        <f>IFERROR($C212*E212,E212)</f>
        <v>0</v>
      </c>
      <c r="G212" s="686"/>
      <c r="H212" s="686"/>
      <c r="I212" s="686"/>
    </row>
    <row r="213" spans="1:9" s="671" customFormat="1">
      <c r="A213" s="674"/>
      <c r="B213" s="702" t="s">
        <v>479</v>
      </c>
      <c r="C213" s="676"/>
      <c r="D213" s="676"/>
      <c r="E213" s="677"/>
      <c r="F213" s="678"/>
      <c r="G213" s="677"/>
      <c r="H213" s="677"/>
      <c r="I213" s="677"/>
    </row>
    <row r="214" spans="1:9" s="671" customFormat="1" ht="27.6">
      <c r="A214" s="708"/>
      <c r="B214" s="704" t="s">
        <v>421</v>
      </c>
      <c r="C214" s="682"/>
      <c r="D214" s="682"/>
      <c r="E214" s="686"/>
      <c r="F214" s="687"/>
      <c r="G214" s="686"/>
      <c r="H214" s="686"/>
      <c r="I214" s="686"/>
    </row>
    <row r="215" spans="1:9" s="671" customFormat="1">
      <c r="A215" s="708">
        <f t="shared" ref="A215:A222" ca="1" si="21">IFERROR(IF(OFFSET(A215,-1,0,1,1)&gt;0,OFFSET(A215,-1,0,1,1)+0.001,ERROR.TYPE(0)),IFERROR(IF(OFFSET(A215,-2,0,1,1)&gt;0,OFFSET(A215,-2,0,1,1)+0.001,ERROR.TYPE(0)),IFERROR(IF(OFFSET(A215,-3,0,1,1)&gt;0,OFFSET(A215,-3,0,1,1)+0.001,ERROR.TYPE(0)),IFERROR(IF(OFFSET(A215,-4,0,1,1)&gt;0,OFFSET(A215,-4,0,1,1)+0.001,ERROR.TYPE(0)),IFERROR(IF(OFFSET(A215,-5,0,1,1)&gt;0,OFFSET(A215,-5,0,1,1)+0.001,ERROR.TYPE(0)),IFERROR(IF(OFFSET(A215,-6,0,1,1)&gt;0,OFFSET(A215,-6,0,1,1)+0.001,ERROR.TYPE(0)),IFERROR(IF(OFFSET(A215,-7,0,1,1)&gt;0,OFFSET(A215,-7,0,1,1)+0.001,ERROR.TYPE(0)),IFERROR(IF(OFFSET(A215,-8,0,1,1)&gt;0,OFFSET(A215,-8,0,1,1)+0.001,ERROR.TYPE(0)),IFERROR(IF(OFFSET(A215,-9,0,1,1)&gt;0,OFFSET(A215,-9,0,1,1)+0.001,ERROR.TYPE(0)),IFERROR(IF(OFFSET(A215,-10,0,1,1)&gt;0,OFFSET(A215,-10,0,1,1)+0.001,ERROR.TYPE(0)),ERROR.TYPE(0)))))))))))</f>
        <v>2.1279999999999859</v>
      </c>
      <c r="B215" s="685" t="s">
        <v>440</v>
      </c>
      <c r="C215" s="682">
        <v>5</v>
      </c>
      <c r="D215" s="682" t="s">
        <v>311</v>
      </c>
      <c r="E215" s="686"/>
      <c r="F215" s="687">
        <f t="shared" ref="F215:F222" si="22">IFERROR($C215*E215,E215)</f>
        <v>0</v>
      </c>
      <c r="G215" s="686"/>
      <c r="H215" s="686"/>
      <c r="I215" s="686"/>
    </row>
    <row r="216" spans="1:9" s="671" customFormat="1">
      <c r="A216" s="708">
        <f t="shared" ca="1" si="21"/>
        <v>2.1289999999999858</v>
      </c>
      <c r="B216" s="685" t="s">
        <v>475</v>
      </c>
      <c r="C216" s="682">
        <v>10</v>
      </c>
      <c r="D216" s="682" t="s">
        <v>311</v>
      </c>
      <c r="E216" s="686"/>
      <c r="F216" s="687">
        <f t="shared" si="22"/>
        <v>0</v>
      </c>
      <c r="G216" s="686"/>
      <c r="H216" s="686"/>
      <c r="I216" s="686"/>
    </row>
    <row r="217" spans="1:9" s="671" customFormat="1">
      <c r="A217" s="708">
        <f t="shared" ca="1" si="21"/>
        <v>2.1299999999999857</v>
      </c>
      <c r="B217" s="685" t="s">
        <v>459</v>
      </c>
      <c r="C217" s="682">
        <v>10</v>
      </c>
      <c r="D217" s="682" t="s">
        <v>311</v>
      </c>
      <c r="E217" s="686"/>
      <c r="F217" s="687">
        <f t="shared" si="22"/>
        <v>0</v>
      </c>
      <c r="G217" s="686"/>
      <c r="H217" s="686"/>
      <c r="I217" s="686"/>
    </row>
    <row r="218" spans="1:9" s="671" customFormat="1">
      <c r="A218" s="708">
        <f t="shared" ca="1" si="21"/>
        <v>2.1309999999999856</v>
      </c>
      <c r="B218" s="685" t="s">
        <v>422</v>
      </c>
      <c r="C218" s="682">
        <v>10</v>
      </c>
      <c r="D218" s="682" t="s">
        <v>311</v>
      </c>
      <c r="E218" s="686"/>
      <c r="F218" s="687">
        <f t="shared" si="22"/>
        <v>0</v>
      </c>
      <c r="G218" s="686"/>
      <c r="H218" s="686"/>
      <c r="I218" s="686"/>
    </row>
    <row r="219" spans="1:9" s="671" customFormat="1">
      <c r="A219" s="708">
        <f t="shared" ca="1" si="21"/>
        <v>2.1319999999999855</v>
      </c>
      <c r="B219" s="685" t="s">
        <v>454</v>
      </c>
      <c r="C219" s="682">
        <v>5</v>
      </c>
      <c r="D219" s="682" t="s">
        <v>311</v>
      </c>
      <c r="E219" s="686"/>
      <c r="F219" s="687">
        <f t="shared" si="22"/>
        <v>0</v>
      </c>
      <c r="G219" s="686"/>
      <c r="H219" s="686"/>
      <c r="I219" s="686"/>
    </row>
    <row r="220" spans="1:9" s="671" customFormat="1">
      <c r="A220" s="708">
        <f t="shared" ca="1" si="21"/>
        <v>2.1329999999999854</v>
      </c>
      <c r="B220" s="685" t="s">
        <v>444</v>
      </c>
      <c r="C220" s="682">
        <v>25</v>
      </c>
      <c r="D220" s="682" t="s">
        <v>311</v>
      </c>
      <c r="E220" s="686"/>
      <c r="F220" s="687">
        <f t="shared" si="22"/>
        <v>0</v>
      </c>
      <c r="G220" s="686"/>
      <c r="H220" s="686"/>
      <c r="I220" s="686"/>
    </row>
    <row r="221" spans="1:9" s="671" customFormat="1" ht="14.7" customHeight="1">
      <c r="A221" s="708">
        <f t="shared" ca="1" si="21"/>
        <v>2.1339999999999852</v>
      </c>
      <c r="B221" s="685" t="s">
        <v>464</v>
      </c>
      <c r="C221" s="682">
        <v>25</v>
      </c>
      <c r="D221" s="682" t="s">
        <v>311</v>
      </c>
      <c r="E221" s="686"/>
      <c r="F221" s="687">
        <f t="shared" si="22"/>
        <v>0</v>
      </c>
      <c r="G221" s="686"/>
      <c r="H221" s="686"/>
      <c r="I221" s="686"/>
    </row>
    <row r="222" spans="1:9" s="671" customFormat="1" ht="14.7" customHeight="1">
      <c r="A222" s="708">
        <f t="shared" ca="1" si="21"/>
        <v>2.1349999999999851</v>
      </c>
      <c r="B222" s="685" t="s">
        <v>477</v>
      </c>
      <c r="C222" s="682">
        <v>30</v>
      </c>
      <c r="D222" s="682" t="s">
        <v>311</v>
      </c>
      <c r="E222" s="686"/>
      <c r="F222" s="687">
        <f t="shared" si="22"/>
        <v>0</v>
      </c>
      <c r="G222" s="686"/>
      <c r="H222" s="686"/>
      <c r="I222" s="686"/>
    </row>
    <row r="223" spans="1:9" s="671" customFormat="1" ht="27.6">
      <c r="A223" s="708" t="s">
        <v>340</v>
      </c>
      <c r="B223" s="704" t="s">
        <v>480</v>
      </c>
      <c r="C223" s="682"/>
      <c r="D223" s="682"/>
      <c r="E223" s="686"/>
      <c r="F223" s="687"/>
      <c r="G223" s="686"/>
      <c r="H223" s="686"/>
      <c r="I223" s="686"/>
    </row>
    <row r="224" spans="1:9" s="671" customFormat="1" ht="27.6">
      <c r="A224" s="708">
        <f ca="1">IFERROR(IF(OFFSET(A224,-1,0,1,1)&gt;0,OFFSET(A224,-1,0,1,1)+0.001,ERROR.TYPE(0)),IFERROR(IF(OFFSET(A224,-2,0,1,1)&gt;0,OFFSET(A224,-2,0,1,1)+0.001,ERROR.TYPE(0)),IFERROR(IF(OFFSET(A224,-3,0,1,1)&gt;0,OFFSET(A224,-3,0,1,1)+0.001,ERROR.TYPE(0)),IFERROR(IF(OFFSET(A224,-4,0,1,1)&gt;0,OFFSET(A224,-4,0,1,1)+0.001,ERROR.TYPE(0)),IFERROR(IF(OFFSET(A224,-5,0,1,1)&gt;0,OFFSET(A224,-5,0,1,1)+0.001,ERROR.TYPE(0)),IFERROR(IF(OFFSET(A224,-6,0,1,1)&gt;0,OFFSET(A224,-6,0,1,1)+0.001,ERROR.TYPE(0)),IFERROR(IF(OFFSET(A224,-7,0,1,1)&gt;0,OFFSET(A224,-7,0,1,1)+0.001,ERROR.TYPE(0)),IFERROR(IF(OFFSET(A224,-8,0,1,1)&gt;0,OFFSET(A224,-8,0,1,1)+0.001,ERROR.TYPE(0)),IFERROR(IF(OFFSET(A224,-9,0,1,1)&gt;0,OFFSET(A224,-9,0,1,1)+0.001,ERROR.TYPE(0)),IFERROR(IF(OFFSET(A224,-10,0,1,1)&gt;0,OFFSET(A224,-10,0,1,1)+0.001,ERROR.TYPE(0)),ERROR.TYPE(0)))))))))))</f>
        <v>2.135999999999985</v>
      </c>
      <c r="B224" s="709" t="s">
        <v>481</v>
      </c>
      <c r="C224" s="682">
        <v>1</v>
      </c>
      <c r="D224" s="682" t="s">
        <v>312</v>
      </c>
      <c r="E224" s="686" t="str">
        <f>Elec_Est!$Q736</f>
        <v>Manually Operated</v>
      </c>
      <c r="F224" s="687"/>
      <c r="G224" s="686" t="str">
        <f>Elec_Est!$Q736</f>
        <v>Manually Operated</v>
      </c>
      <c r="H224" s="686" t="str">
        <f>Elec_Est!$Q736</f>
        <v>Manually Operated</v>
      </c>
      <c r="I224" s="686" t="str">
        <f>Elec_Est!$Q736</f>
        <v>Manually Operated</v>
      </c>
    </row>
    <row r="225" spans="1:9" s="671" customFormat="1" ht="27.6">
      <c r="A225" s="708">
        <f ca="1">IFERROR(IF(OFFSET(A225,-1,0,1,1)&gt;0,OFFSET(A225,-1,0,1,1)+0.001,ERROR.TYPE(0)),IFERROR(IF(OFFSET(A225,-2,0,1,1)&gt;0,OFFSET(A225,-2,0,1,1)+0.001,ERROR.TYPE(0)),IFERROR(IF(OFFSET(A225,-3,0,1,1)&gt;0,OFFSET(A225,-3,0,1,1)+0.001,ERROR.TYPE(0)),IFERROR(IF(OFFSET(A225,-4,0,1,1)&gt;0,OFFSET(A225,-4,0,1,1)+0.001,ERROR.TYPE(0)),IFERROR(IF(OFFSET(A225,-5,0,1,1)&gt;0,OFFSET(A225,-5,0,1,1)+0.001,ERROR.TYPE(0)),IFERROR(IF(OFFSET(A225,-6,0,1,1)&gt;0,OFFSET(A225,-6,0,1,1)+0.001,ERROR.TYPE(0)),IFERROR(IF(OFFSET(A225,-7,0,1,1)&gt;0,OFFSET(A225,-7,0,1,1)+0.001,ERROR.TYPE(0)),IFERROR(IF(OFFSET(A225,-8,0,1,1)&gt;0,OFFSET(A225,-8,0,1,1)+0.001,ERROR.TYPE(0)),IFERROR(IF(OFFSET(A225,-9,0,1,1)&gt;0,OFFSET(A225,-9,0,1,1)+0.001,ERROR.TYPE(0)),IFERROR(IF(OFFSET(A225,-10,0,1,1)&gt;0,OFFSET(A225,-10,0,1,1)+0.001,ERROR.TYPE(0)),ERROR.TYPE(0)))))))))))</f>
        <v>2.1369999999999849</v>
      </c>
      <c r="B225" s="709" t="s">
        <v>482</v>
      </c>
      <c r="C225" s="682">
        <v>1</v>
      </c>
      <c r="D225" s="682" t="s">
        <v>312</v>
      </c>
      <c r="E225" s="686" t="str">
        <f>Elec_Est!$Q746</f>
        <v>Manually Operated</v>
      </c>
      <c r="F225" s="687"/>
      <c r="G225" s="686" t="str">
        <f>Elec_Est!$Q746</f>
        <v>Manually Operated</v>
      </c>
      <c r="H225" s="686" t="str">
        <f>Elec_Est!$Q746</f>
        <v>Manually Operated</v>
      </c>
      <c r="I225" s="686" t="str">
        <f>Elec_Est!$Q746</f>
        <v>Manually Operated</v>
      </c>
    </row>
    <row r="226" spans="1:9" s="671" customFormat="1" ht="27.6">
      <c r="A226" s="708"/>
      <c r="B226" s="704" t="s">
        <v>419</v>
      </c>
      <c r="C226" s="682"/>
      <c r="D226" s="682"/>
      <c r="E226" s="686"/>
      <c r="F226" s="687"/>
      <c r="G226" s="686"/>
      <c r="H226" s="686"/>
      <c r="I226" s="686"/>
    </row>
    <row r="227" spans="1:9" s="671" customFormat="1">
      <c r="A227" s="708">
        <f t="shared" ref="A227:A232" ca="1" si="23">IFERROR(IF(OFFSET(A227,-1,0,1,1)&gt;0,OFFSET(A227,-1,0,1,1)+0.001,ERROR.TYPE(0)),IFERROR(IF(OFFSET(A227,-2,0,1,1)&gt;0,OFFSET(A227,-2,0,1,1)+0.001,ERROR.TYPE(0)),IFERROR(IF(OFFSET(A227,-3,0,1,1)&gt;0,OFFSET(A227,-3,0,1,1)+0.001,ERROR.TYPE(0)),IFERROR(IF(OFFSET(A227,-4,0,1,1)&gt;0,OFFSET(A227,-4,0,1,1)+0.001,ERROR.TYPE(0)),IFERROR(IF(OFFSET(A227,-5,0,1,1)&gt;0,OFFSET(A227,-5,0,1,1)+0.001,ERROR.TYPE(0)),IFERROR(IF(OFFSET(A227,-6,0,1,1)&gt;0,OFFSET(A227,-6,0,1,1)+0.001,ERROR.TYPE(0)),IFERROR(IF(OFFSET(A227,-7,0,1,1)&gt;0,OFFSET(A227,-7,0,1,1)+0.001,ERROR.TYPE(0)),IFERROR(IF(OFFSET(A227,-8,0,1,1)&gt;0,OFFSET(A227,-8,0,1,1)+0.001,ERROR.TYPE(0)),IFERROR(IF(OFFSET(A227,-9,0,1,1)&gt;0,OFFSET(A227,-9,0,1,1)+0.001,ERROR.TYPE(0)),IFERROR(IF(OFFSET(A227,-10,0,1,1)&gt;0,OFFSET(A227,-10,0,1,1)+0.001,ERROR.TYPE(0)),ERROR.TYPE(0)))))))))))</f>
        <v>2.1379999999999848</v>
      </c>
      <c r="B227" s="685" t="s">
        <v>450</v>
      </c>
      <c r="C227" s="682">
        <v>4</v>
      </c>
      <c r="D227" s="682" t="s">
        <v>312</v>
      </c>
      <c r="E227" s="686"/>
      <c r="F227" s="687">
        <f t="shared" ref="F227:F232" si="24">IFERROR($C227*E227,E227)</f>
        <v>0</v>
      </c>
      <c r="G227" s="686"/>
      <c r="H227" s="686"/>
      <c r="I227" s="686"/>
    </row>
    <row r="228" spans="1:9" s="671" customFormat="1">
      <c r="A228" s="708">
        <f t="shared" ca="1" si="23"/>
        <v>2.1389999999999847</v>
      </c>
      <c r="B228" s="685" t="s">
        <v>483</v>
      </c>
      <c r="C228" s="682">
        <v>4</v>
      </c>
      <c r="D228" s="682" t="s">
        <v>312</v>
      </c>
      <c r="E228" s="686"/>
      <c r="F228" s="687">
        <f t="shared" si="24"/>
        <v>0</v>
      </c>
      <c r="G228" s="686"/>
      <c r="H228" s="686"/>
      <c r="I228" s="686"/>
    </row>
    <row r="229" spans="1:9" s="671" customFormat="1">
      <c r="A229" s="708">
        <f t="shared" ca="1" si="23"/>
        <v>2.1399999999999846</v>
      </c>
      <c r="B229" s="685" t="s">
        <v>484</v>
      </c>
      <c r="C229" s="682">
        <v>2</v>
      </c>
      <c r="D229" s="682" t="s">
        <v>312</v>
      </c>
      <c r="E229" s="686"/>
      <c r="F229" s="687">
        <f t="shared" si="24"/>
        <v>0</v>
      </c>
      <c r="G229" s="686"/>
      <c r="H229" s="686"/>
      <c r="I229" s="686"/>
    </row>
    <row r="230" spans="1:9" s="671" customFormat="1">
      <c r="A230" s="708">
        <f t="shared" ca="1" si="23"/>
        <v>2.1409999999999845</v>
      </c>
      <c r="B230" s="685" t="s">
        <v>485</v>
      </c>
      <c r="C230" s="682">
        <v>2</v>
      </c>
      <c r="D230" s="682" t="s">
        <v>312</v>
      </c>
      <c r="E230" s="686"/>
      <c r="F230" s="687">
        <f t="shared" si="24"/>
        <v>0</v>
      </c>
      <c r="G230" s="686"/>
      <c r="H230" s="686"/>
      <c r="I230" s="686"/>
    </row>
    <row r="231" spans="1:9" s="671" customFormat="1">
      <c r="A231" s="708">
        <f t="shared" ca="1" si="23"/>
        <v>2.1419999999999844</v>
      </c>
      <c r="B231" s="685" t="s">
        <v>486</v>
      </c>
      <c r="C231" s="682">
        <v>2</v>
      </c>
      <c r="D231" s="682" t="s">
        <v>312</v>
      </c>
      <c r="E231" s="686"/>
      <c r="F231" s="687">
        <f t="shared" si="24"/>
        <v>0</v>
      </c>
      <c r="G231" s="686"/>
      <c r="H231" s="686"/>
      <c r="I231" s="686"/>
    </row>
    <row r="232" spans="1:9" s="671" customFormat="1">
      <c r="A232" s="708">
        <f t="shared" ca="1" si="23"/>
        <v>2.1429999999999843</v>
      </c>
      <c r="B232" s="685" t="s">
        <v>487</v>
      </c>
      <c r="C232" s="682">
        <v>1</v>
      </c>
      <c r="D232" s="682" t="s">
        <v>312</v>
      </c>
      <c r="E232" s="686"/>
      <c r="F232" s="687">
        <f t="shared" si="24"/>
        <v>0</v>
      </c>
      <c r="G232" s="686"/>
      <c r="H232" s="686"/>
      <c r="I232" s="686"/>
    </row>
    <row r="233" spans="1:9" s="671" customFormat="1" ht="13.95" customHeight="1">
      <c r="A233" s="674" t="s">
        <v>941</v>
      </c>
      <c r="B233" s="675" t="s">
        <v>322</v>
      </c>
      <c r="C233" s="1082" t="s">
        <v>315</v>
      </c>
      <c r="D233" s="1083"/>
      <c r="E233" s="689"/>
      <c r="F233" s="678">
        <f>SUM(F186:F232)</f>
        <v>0</v>
      </c>
      <c r="G233" s="735">
        <f t="shared" ref="G233:I233" si="25">SUM(G186:G232)</f>
        <v>0</v>
      </c>
      <c r="H233" s="735">
        <f t="shared" si="25"/>
        <v>0</v>
      </c>
      <c r="I233" s="735">
        <f t="shared" si="25"/>
        <v>0</v>
      </c>
    </row>
    <row r="234" spans="1:9" s="671" customFormat="1">
      <c r="A234" s="697"/>
      <c r="B234" s="698"/>
      <c r="C234" s="699"/>
      <c r="D234" s="699"/>
      <c r="E234" s="700"/>
      <c r="F234" s="701"/>
      <c r="G234" s="700"/>
      <c r="H234" s="700"/>
      <c r="I234" s="700"/>
    </row>
    <row r="235" spans="1:9" s="671" customFormat="1">
      <c r="A235" s="697"/>
      <c r="B235" s="698"/>
      <c r="C235" s="699"/>
      <c r="D235" s="691"/>
      <c r="E235" s="700"/>
      <c r="F235" s="701"/>
      <c r="G235" s="700"/>
      <c r="H235" s="700"/>
      <c r="I235" s="700"/>
    </row>
    <row r="236" spans="1:9" s="671" customFormat="1" ht="27.6">
      <c r="A236" s="613" t="s">
        <v>143</v>
      </c>
      <c r="B236" s="614" t="s">
        <v>209</v>
      </c>
      <c r="C236" s="615" t="s">
        <v>210</v>
      </c>
      <c r="D236" s="615" t="s">
        <v>211</v>
      </c>
      <c r="E236" s="616" t="s">
        <v>309</v>
      </c>
      <c r="F236" s="617" t="s">
        <v>310</v>
      </c>
      <c r="G236" s="616" t="s">
        <v>912</v>
      </c>
      <c r="H236" s="616" t="s">
        <v>913</v>
      </c>
      <c r="I236" s="616" t="s">
        <v>914</v>
      </c>
    </row>
    <row r="237" spans="1:9" s="671" customFormat="1">
      <c r="A237" s="674"/>
      <c r="B237" s="702" t="s">
        <v>488</v>
      </c>
      <c r="C237" s="676"/>
      <c r="D237" s="676"/>
      <c r="E237" s="677"/>
      <c r="F237" s="678"/>
      <c r="G237" s="677"/>
      <c r="H237" s="677"/>
      <c r="I237" s="677"/>
    </row>
    <row r="238" spans="1:9" s="671" customFormat="1" ht="27.6">
      <c r="A238" s="708"/>
      <c r="B238" s="704" t="s">
        <v>409</v>
      </c>
      <c r="C238" s="682"/>
      <c r="D238" s="682"/>
      <c r="E238" s="686"/>
      <c r="F238" s="687"/>
      <c r="G238" s="686"/>
      <c r="H238" s="686"/>
      <c r="I238" s="686"/>
    </row>
    <row r="239" spans="1:9" s="671" customFormat="1">
      <c r="A239" s="708">
        <f ca="1">IFERROR(IF(OFFSET(A239,-1,0,1,1)&gt;0,OFFSET(A239,-1,0,1,1)+0.001,ERROR.TYPE(0)),IFERROR(IF(OFFSET(A239,-2,0,1,1)&gt;0,OFFSET(A239,-2,0,1,1)+0.001,ERROR.TYPE(0)),IFERROR(IF(OFFSET(A239,-3,0,1,1)&gt;0,OFFSET(A239,-3,0,1,1)+0.001,ERROR.TYPE(0)),IFERROR(IF(OFFSET(A239,-4,0,1,1)&gt;0,OFFSET(A239,-4,0,1,1)+0.001,ERROR.TYPE(0)),IFERROR(IF(OFFSET(A239,-5,0,1,1)&gt;0,OFFSET(A239,-5,0,1,1)+0.001,ERROR.TYPE(0)),IFERROR(IF(OFFSET(A239,-6,0,1,1)&gt;0,OFFSET(A239,-6,0,1,1)+0.001,ERROR.TYPE(0)),IFERROR(IF(OFFSET(A239,-7,0,1,1)&gt;0,OFFSET(A239,-7,0,1,1)+0.001,ERROR.TYPE(0)),IFERROR(IF(OFFSET(A239,-8,0,1,1)&gt;0,OFFSET(A239,-8,0,1,1)+0.001,ERROR.TYPE(0)),IFERROR(IF(OFFSET(A239,-9,0,1,1)&gt;0,OFFSET(A239,-9,0,1,1)+0.001,ERROR.TYPE(0)),IFERROR(IF(OFFSET(A239,-10,0,1,1)&gt;0,OFFSET(A239,-10,0,1,1)+0.001,ERROR.TYPE(0)),ERROR.TYPE(0)))))))))))</f>
        <v>2.1439999999999841</v>
      </c>
      <c r="B239" s="685" t="s">
        <v>410</v>
      </c>
      <c r="C239" s="682">
        <v>20</v>
      </c>
      <c r="D239" s="682" t="s">
        <v>311</v>
      </c>
      <c r="E239" s="686"/>
      <c r="F239" s="687">
        <f>IFERROR($C239*E239,E239)</f>
        <v>0</v>
      </c>
      <c r="G239" s="686"/>
      <c r="H239" s="686"/>
      <c r="I239" s="686"/>
    </row>
    <row r="240" spans="1:9" s="671" customFormat="1" ht="27.6">
      <c r="A240" s="708"/>
      <c r="B240" s="704" t="s">
        <v>421</v>
      </c>
      <c r="C240" s="682"/>
      <c r="D240" s="682"/>
      <c r="E240" s="686"/>
      <c r="F240" s="687"/>
      <c r="G240" s="686"/>
      <c r="H240" s="686"/>
      <c r="I240" s="686"/>
    </row>
    <row r="241" spans="1:9" s="671" customFormat="1">
      <c r="A241" s="708">
        <f t="shared" ref="A241:A253" ca="1" si="26">IFERROR(IF(OFFSET(A241,-1,0,1,1)&gt;0,OFFSET(A241,-1,0,1,1)+0.001,ERROR.TYPE(0)),IFERROR(IF(OFFSET(A241,-2,0,1,1)&gt;0,OFFSET(A241,-2,0,1,1)+0.001,ERROR.TYPE(0)),IFERROR(IF(OFFSET(A241,-3,0,1,1)&gt;0,OFFSET(A241,-3,0,1,1)+0.001,ERROR.TYPE(0)),IFERROR(IF(OFFSET(A241,-4,0,1,1)&gt;0,OFFSET(A241,-4,0,1,1)+0.001,ERROR.TYPE(0)),IFERROR(IF(OFFSET(A241,-5,0,1,1)&gt;0,OFFSET(A241,-5,0,1,1)+0.001,ERROR.TYPE(0)),IFERROR(IF(OFFSET(A241,-6,0,1,1)&gt;0,OFFSET(A241,-6,0,1,1)+0.001,ERROR.TYPE(0)),IFERROR(IF(OFFSET(A241,-7,0,1,1)&gt;0,OFFSET(A241,-7,0,1,1)+0.001,ERROR.TYPE(0)),IFERROR(IF(OFFSET(A241,-8,0,1,1)&gt;0,OFFSET(A241,-8,0,1,1)+0.001,ERROR.TYPE(0)),IFERROR(IF(OFFSET(A241,-9,0,1,1)&gt;0,OFFSET(A241,-9,0,1,1)+0.001,ERROR.TYPE(0)),IFERROR(IF(OFFSET(A241,-10,0,1,1)&gt;0,OFFSET(A241,-10,0,1,1)+0.001,ERROR.TYPE(0)),ERROR.TYPE(0)))))))))))</f>
        <v>2.144999999999984</v>
      </c>
      <c r="B241" s="685" t="s">
        <v>440</v>
      </c>
      <c r="C241" s="682">
        <v>5</v>
      </c>
      <c r="D241" s="682" t="s">
        <v>311</v>
      </c>
      <c r="E241" s="686"/>
      <c r="F241" s="687">
        <f t="shared" ref="F241:F253" si="27">IFERROR($C241*E241,E241)</f>
        <v>0</v>
      </c>
      <c r="G241" s="686"/>
      <c r="H241" s="686"/>
      <c r="I241" s="686"/>
    </row>
    <row r="242" spans="1:9" s="671" customFormat="1">
      <c r="A242" s="708">
        <f t="shared" ca="1" si="26"/>
        <v>2.1459999999999839</v>
      </c>
      <c r="B242" s="685" t="s">
        <v>453</v>
      </c>
      <c r="C242" s="682">
        <v>10</v>
      </c>
      <c r="D242" s="682" t="s">
        <v>311</v>
      </c>
      <c r="E242" s="686"/>
      <c r="F242" s="687">
        <f t="shared" si="27"/>
        <v>0</v>
      </c>
      <c r="G242" s="686"/>
      <c r="H242" s="686"/>
      <c r="I242" s="686"/>
    </row>
    <row r="243" spans="1:9" s="671" customFormat="1">
      <c r="A243" s="708">
        <f t="shared" ca="1" si="26"/>
        <v>2.1469999999999838</v>
      </c>
      <c r="B243" s="685" t="s">
        <v>441</v>
      </c>
      <c r="C243" s="682">
        <v>5</v>
      </c>
      <c r="D243" s="682" t="s">
        <v>311</v>
      </c>
      <c r="E243" s="686"/>
      <c r="F243" s="687">
        <f t="shared" si="27"/>
        <v>0</v>
      </c>
      <c r="G243" s="686"/>
      <c r="H243" s="686"/>
      <c r="I243" s="686"/>
    </row>
    <row r="244" spans="1:9" s="671" customFormat="1">
      <c r="A244" s="708">
        <f t="shared" ca="1" si="26"/>
        <v>2.1479999999999837</v>
      </c>
      <c r="B244" s="685" t="s">
        <v>475</v>
      </c>
      <c r="C244" s="682">
        <v>5</v>
      </c>
      <c r="D244" s="682" t="s">
        <v>311</v>
      </c>
      <c r="E244" s="686"/>
      <c r="F244" s="687">
        <f t="shared" si="27"/>
        <v>0</v>
      </c>
      <c r="G244" s="686"/>
      <c r="H244" s="686"/>
      <c r="I244" s="686"/>
    </row>
    <row r="245" spans="1:9" s="671" customFormat="1">
      <c r="A245" s="708">
        <f t="shared" ca="1" si="26"/>
        <v>2.1489999999999836</v>
      </c>
      <c r="B245" s="685" t="s">
        <v>442</v>
      </c>
      <c r="C245" s="682">
        <v>5</v>
      </c>
      <c r="D245" s="682" t="s">
        <v>311</v>
      </c>
      <c r="E245" s="686"/>
      <c r="F245" s="687">
        <f t="shared" si="27"/>
        <v>0</v>
      </c>
      <c r="G245" s="686"/>
      <c r="H245" s="686"/>
      <c r="I245" s="686"/>
    </row>
    <row r="246" spans="1:9" s="671" customFormat="1">
      <c r="A246" s="708">
        <f t="shared" ca="1" si="26"/>
        <v>2.1499999999999835</v>
      </c>
      <c r="B246" s="685" t="s">
        <v>459</v>
      </c>
      <c r="C246" s="682">
        <v>5</v>
      </c>
      <c r="D246" s="682" t="s">
        <v>311</v>
      </c>
      <c r="E246" s="686"/>
      <c r="F246" s="687">
        <f t="shared" si="27"/>
        <v>0</v>
      </c>
      <c r="G246" s="686"/>
      <c r="H246" s="686"/>
      <c r="I246" s="686"/>
    </row>
    <row r="247" spans="1:9" s="671" customFormat="1">
      <c r="A247" s="708">
        <f t="shared" ca="1" si="26"/>
        <v>2.1509999999999834</v>
      </c>
      <c r="B247" s="685" t="s">
        <v>422</v>
      </c>
      <c r="C247" s="682">
        <v>15</v>
      </c>
      <c r="D247" s="682" t="s">
        <v>311</v>
      </c>
      <c r="E247" s="686"/>
      <c r="F247" s="687">
        <f t="shared" si="27"/>
        <v>0</v>
      </c>
      <c r="G247" s="686"/>
      <c r="H247" s="686"/>
      <c r="I247" s="686"/>
    </row>
    <row r="248" spans="1:9" s="671" customFormat="1">
      <c r="A248" s="708">
        <f t="shared" ca="1" si="26"/>
        <v>2.1519999999999833</v>
      </c>
      <c r="B248" s="685" t="s">
        <v>461</v>
      </c>
      <c r="C248" s="682">
        <v>5</v>
      </c>
      <c r="D248" s="682" t="s">
        <v>311</v>
      </c>
      <c r="E248" s="686"/>
      <c r="F248" s="687">
        <f t="shared" si="27"/>
        <v>0</v>
      </c>
      <c r="G248" s="686"/>
      <c r="H248" s="686"/>
      <c r="I248" s="686"/>
    </row>
    <row r="249" spans="1:9" s="671" customFormat="1" ht="14.7" customHeight="1">
      <c r="A249" s="708">
        <f t="shared" ca="1" si="26"/>
        <v>2.1529999999999831</v>
      </c>
      <c r="B249" s="685" t="s">
        <v>454</v>
      </c>
      <c r="C249" s="682">
        <v>10</v>
      </c>
      <c r="D249" s="682" t="s">
        <v>311</v>
      </c>
      <c r="E249" s="686"/>
      <c r="F249" s="687">
        <f t="shared" si="27"/>
        <v>0</v>
      </c>
      <c r="G249" s="686"/>
      <c r="H249" s="686"/>
      <c r="I249" s="686"/>
    </row>
    <row r="250" spans="1:9" s="671" customFormat="1" ht="14.7" customHeight="1">
      <c r="A250" s="708">
        <f t="shared" ca="1" si="26"/>
        <v>2.153999999999983</v>
      </c>
      <c r="B250" s="685" t="s">
        <v>444</v>
      </c>
      <c r="C250" s="682">
        <v>45</v>
      </c>
      <c r="D250" s="682" t="s">
        <v>311</v>
      </c>
      <c r="E250" s="686"/>
      <c r="F250" s="687">
        <f t="shared" si="27"/>
        <v>0</v>
      </c>
      <c r="G250" s="686"/>
      <c r="H250" s="686"/>
      <c r="I250" s="686"/>
    </row>
    <row r="251" spans="1:9" s="671" customFormat="1" ht="14.7" customHeight="1">
      <c r="A251" s="708">
        <f t="shared" ca="1" si="26"/>
        <v>2.1549999999999829</v>
      </c>
      <c r="B251" s="685" t="s">
        <v>464</v>
      </c>
      <c r="C251" s="682">
        <v>15</v>
      </c>
      <c r="D251" s="682" t="s">
        <v>311</v>
      </c>
      <c r="E251" s="686"/>
      <c r="F251" s="687">
        <f t="shared" si="27"/>
        <v>0</v>
      </c>
      <c r="G251" s="686"/>
      <c r="H251" s="686"/>
      <c r="I251" s="686"/>
    </row>
    <row r="252" spans="1:9" s="671" customFormat="1" ht="14.7" customHeight="1">
      <c r="A252" s="708">
        <f t="shared" ca="1" si="26"/>
        <v>2.1559999999999828</v>
      </c>
      <c r="B252" s="685" t="s">
        <v>477</v>
      </c>
      <c r="C252" s="682">
        <v>25</v>
      </c>
      <c r="D252" s="682" t="s">
        <v>311</v>
      </c>
      <c r="E252" s="686"/>
      <c r="F252" s="687">
        <f t="shared" si="27"/>
        <v>0</v>
      </c>
      <c r="G252" s="686"/>
      <c r="H252" s="686"/>
      <c r="I252" s="686"/>
    </row>
    <row r="253" spans="1:9" s="671" customFormat="1" ht="14.7" customHeight="1">
      <c r="A253" s="708">
        <f t="shared" ca="1" si="26"/>
        <v>2.1569999999999827</v>
      </c>
      <c r="B253" s="685" t="s">
        <v>424</v>
      </c>
      <c r="C253" s="682">
        <v>5</v>
      </c>
      <c r="D253" s="682" t="s">
        <v>311</v>
      </c>
      <c r="E253" s="686"/>
      <c r="F253" s="687">
        <f t="shared" si="27"/>
        <v>0</v>
      </c>
      <c r="G253" s="686"/>
      <c r="H253" s="686"/>
      <c r="I253" s="686"/>
    </row>
    <row r="254" spans="1:9" s="671" customFormat="1">
      <c r="A254" s="679" t="s">
        <v>340</v>
      </c>
      <c r="B254" s="618" t="s">
        <v>317</v>
      </c>
      <c r="C254" s="619"/>
      <c r="D254" s="682"/>
      <c r="E254" s="620"/>
      <c r="F254" s="687"/>
      <c r="G254" s="620"/>
      <c r="H254" s="620"/>
      <c r="I254" s="620"/>
    </row>
    <row r="255" spans="1:9" s="671" customFormat="1" ht="55.2">
      <c r="A255" s="703" t="s">
        <v>340</v>
      </c>
      <c r="B255" s="704" t="s">
        <v>489</v>
      </c>
      <c r="C255" s="705"/>
      <c r="D255" s="705"/>
      <c r="E255" s="706"/>
      <c r="F255" s="707"/>
      <c r="G255" s="706"/>
      <c r="H255" s="706"/>
      <c r="I255" s="706"/>
    </row>
    <row r="256" spans="1:9" s="671" customFormat="1">
      <c r="A256" s="708">
        <f t="shared" ref="A256:A273" ca="1" si="28">IFERROR(IF(OFFSET(A256,-1,0,1,1)&gt;0,OFFSET(A256,-1,0,1,1)+0.001,ERROR.TYPE(0)),IFERROR(IF(OFFSET(A256,-2,0,1,1)&gt;0,OFFSET(A256,-2,0,1,1)+0.001,ERROR.TYPE(0)),IFERROR(IF(OFFSET(A256,-3,0,1,1)&gt;0,OFFSET(A256,-3,0,1,1)+0.001,ERROR.TYPE(0)),IFERROR(IF(OFFSET(A256,-4,0,1,1)&gt;0,OFFSET(A256,-4,0,1,1)+0.001,ERROR.TYPE(0)),IFERROR(IF(OFFSET(A256,-5,0,1,1)&gt;0,OFFSET(A256,-5,0,1,1)+0.001,ERROR.TYPE(0)),IFERROR(IF(OFFSET(A256,-6,0,1,1)&gt;0,OFFSET(A256,-6,0,1,1)+0.001,ERROR.TYPE(0)),IFERROR(IF(OFFSET(A256,-7,0,1,1)&gt;0,OFFSET(A256,-7,0,1,1)+0.001,ERROR.TYPE(0)),IFERROR(IF(OFFSET(A256,-8,0,1,1)&gt;0,OFFSET(A256,-8,0,1,1)+0.001,ERROR.TYPE(0)),IFERROR(IF(OFFSET(A256,-9,0,1,1)&gt;0,OFFSET(A256,-9,0,1,1)+0.001,ERROR.TYPE(0)),IFERROR(IF(OFFSET(A256,-10,0,1,1)&gt;0,OFFSET(A256,-10,0,1,1)+0.001,ERROR.TYPE(0)),ERROR.TYPE(0)))))))))))</f>
        <v>2.1579999999999826</v>
      </c>
      <c r="B256" s="709" t="s">
        <v>490</v>
      </c>
      <c r="C256" s="682">
        <v>1</v>
      </c>
      <c r="D256" s="682" t="s">
        <v>339</v>
      </c>
      <c r="E256" s="686">
        <f ca="1">Elec_Est!E760</f>
        <v>7319</v>
      </c>
      <c r="F256" s="687">
        <f t="shared" ref="F256:F273" ca="1" si="29">IFERROR($C256*E256,E256)</f>
        <v>7319</v>
      </c>
      <c r="G256" s="686">
        <f ca="1">Elec_Est!AM760</f>
        <v>6294.47</v>
      </c>
      <c r="H256" s="686">
        <f ca="1">Elec_Est!T797</f>
        <v>21.31</v>
      </c>
      <c r="I256" s="686">
        <f>Elec_Est!T802</f>
        <v>16</v>
      </c>
    </row>
    <row r="257" spans="1:9" s="671" customFormat="1">
      <c r="A257" s="708">
        <f t="shared" ca="1" si="28"/>
        <v>2.1589999999999825</v>
      </c>
      <c r="B257" s="709" t="s">
        <v>491</v>
      </c>
      <c r="C257" s="682">
        <v>1</v>
      </c>
      <c r="D257" s="682" t="s">
        <v>339</v>
      </c>
      <c r="E257" s="686">
        <f ca="1">Elec_Est!E806</f>
        <v>8060.53</v>
      </c>
      <c r="F257" s="687">
        <f t="shared" ca="1" si="29"/>
        <v>8060.53</v>
      </c>
      <c r="G257" s="686">
        <f ca="1">Elec_Est!AM806</f>
        <v>7036</v>
      </c>
      <c r="H257" s="686">
        <f ca="1">Elec_Est!T836</f>
        <v>21.31</v>
      </c>
      <c r="I257" s="686">
        <f>Elec_Est!T841</f>
        <v>16</v>
      </c>
    </row>
    <row r="258" spans="1:9" s="1066" customFormat="1">
      <c r="A258" s="1061" t="s">
        <v>976</v>
      </c>
      <c r="B258" s="1062" t="s">
        <v>977</v>
      </c>
      <c r="C258" s="1063">
        <v>1</v>
      </c>
      <c r="D258" s="1063" t="s">
        <v>339</v>
      </c>
      <c r="E258" s="1064"/>
      <c r="F258" s="1065">
        <f t="shared" si="29"/>
        <v>0</v>
      </c>
      <c r="G258" s="1067">
        <f>Elec_Est!AM845</f>
        <v>2279.48</v>
      </c>
      <c r="H258" s="1067">
        <f>Elec_Est!T859</f>
        <v>8.6300000000000008</v>
      </c>
      <c r="I258" s="1067">
        <f>Elec_Est!T864</f>
        <v>5</v>
      </c>
    </row>
    <row r="259" spans="1:9" s="671" customFormat="1">
      <c r="A259" s="708">
        <f t="shared" ca="1" si="28"/>
        <v>2.1599999999999824</v>
      </c>
      <c r="B259" s="709" t="s">
        <v>492</v>
      </c>
      <c r="C259" s="682">
        <v>1</v>
      </c>
      <c r="D259" s="682" t="s">
        <v>339</v>
      </c>
      <c r="E259" s="686">
        <f>Elec_Est!E845</f>
        <v>2653.76</v>
      </c>
      <c r="F259" s="687">
        <f t="shared" si="29"/>
        <v>2653.76</v>
      </c>
      <c r="G259" s="686">
        <f>Elec_Est!AM868</f>
        <v>1179.4000000000001</v>
      </c>
      <c r="H259" s="686">
        <f>Elec_Est!T882</f>
        <v>8.6300000000000008</v>
      </c>
      <c r="I259" s="686">
        <f>Elec_Est!T887</f>
        <v>5</v>
      </c>
    </row>
    <row r="260" spans="1:9" s="671" customFormat="1" ht="27.6">
      <c r="A260" s="708">
        <f t="shared" ca="1" si="28"/>
        <v>2.1609999999999823</v>
      </c>
      <c r="B260" s="709" t="s">
        <v>493</v>
      </c>
      <c r="C260" s="682">
        <v>1</v>
      </c>
      <c r="D260" s="682" t="s">
        <v>339</v>
      </c>
      <c r="E260" s="686">
        <f ca="1">Elec_Est!E891</f>
        <v>8822.2000000000007</v>
      </c>
      <c r="F260" s="687">
        <f t="shared" ca="1" si="29"/>
        <v>8822.2000000000007</v>
      </c>
      <c r="G260" s="686">
        <f ca="1">Elec_Est!AM891</f>
        <v>7284.71</v>
      </c>
      <c r="H260" s="686">
        <f ca="1">Elec_Est!T928</f>
        <v>39.99</v>
      </c>
      <c r="I260" s="686">
        <f>Elec_Est!T934</f>
        <v>16</v>
      </c>
    </row>
    <row r="261" spans="1:9" s="671" customFormat="1">
      <c r="A261" s="708">
        <f t="shared" ca="1" si="28"/>
        <v>2.1619999999999822</v>
      </c>
      <c r="B261" s="709" t="s">
        <v>494</v>
      </c>
      <c r="C261" s="682">
        <v>1</v>
      </c>
      <c r="D261" s="682" t="s">
        <v>339</v>
      </c>
      <c r="E261" s="686">
        <f>Elec_Est!E938</f>
        <v>1374.75</v>
      </c>
      <c r="F261" s="687">
        <f t="shared" si="29"/>
        <v>1374.75</v>
      </c>
      <c r="G261" s="686">
        <f>Elec_Est!AM938</f>
        <v>1000.47</v>
      </c>
      <c r="H261" s="686">
        <f>Elec_Est!T952</f>
        <v>8.6300000000000008</v>
      </c>
      <c r="I261" s="686">
        <f>Elec_Est!T957</f>
        <v>5</v>
      </c>
    </row>
    <row r="262" spans="1:9" s="671" customFormat="1">
      <c r="A262" s="708">
        <f t="shared" ca="1" si="28"/>
        <v>2.162999999999982</v>
      </c>
      <c r="B262" s="709" t="s">
        <v>495</v>
      </c>
      <c r="C262" s="682">
        <v>1</v>
      </c>
      <c r="D262" s="682" t="s">
        <v>339</v>
      </c>
      <c r="E262" s="686">
        <f>Elec_Est!E961</f>
        <v>1521.35</v>
      </c>
      <c r="F262" s="687">
        <f t="shared" si="29"/>
        <v>1521.35</v>
      </c>
      <c r="G262" s="686">
        <f>Elec_Est!AM961</f>
        <v>1147.07</v>
      </c>
      <c r="H262" s="686">
        <f>Elec_Est!T975</f>
        <v>8.6300000000000008</v>
      </c>
      <c r="I262" s="686">
        <f>Elec_Est!T980</f>
        <v>5</v>
      </c>
    </row>
    <row r="263" spans="1:9" s="671" customFormat="1">
      <c r="A263" s="708">
        <f t="shared" ca="1" si="28"/>
        <v>2.1639999999999819</v>
      </c>
      <c r="B263" s="709" t="s">
        <v>496</v>
      </c>
      <c r="C263" s="682">
        <v>1</v>
      </c>
      <c r="D263" s="682" t="s">
        <v>339</v>
      </c>
      <c r="E263" s="686">
        <f>Elec_Est!E984</f>
        <v>1381.04</v>
      </c>
      <c r="F263" s="687">
        <f t="shared" si="29"/>
        <v>1381.04</v>
      </c>
      <c r="G263" s="686">
        <f>Elec_Est!AM984</f>
        <v>1034.22</v>
      </c>
      <c r="H263" s="686">
        <f>Elec_Est!T998</f>
        <v>7.629999999999999</v>
      </c>
      <c r="I263" s="686">
        <f>Elec_Est!T1003</f>
        <v>5</v>
      </c>
    </row>
    <row r="264" spans="1:9" s="671" customFormat="1">
      <c r="A264" s="708">
        <f t="shared" ca="1" si="28"/>
        <v>2.1649999999999818</v>
      </c>
      <c r="B264" s="709" t="s">
        <v>497</v>
      </c>
      <c r="C264" s="682">
        <v>1</v>
      </c>
      <c r="D264" s="682" t="s">
        <v>339</v>
      </c>
      <c r="E264" s="686">
        <f>Elec_Est!E1007</f>
        <v>1442.25</v>
      </c>
      <c r="F264" s="687">
        <f t="shared" si="29"/>
        <v>1442.25</v>
      </c>
      <c r="G264" s="686">
        <f>Elec_Est!AM1007</f>
        <v>1067.97</v>
      </c>
      <c r="H264" s="686">
        <f>Elec_Est!T1021</f>
        <v>8.6300000000000008</v>
      </c>
      <c r="I264" s="686">
        <f>Elec_Est!T1026</f>
        <v>5</v>
      </c>
    </row>
    <row r="265" spans="1:9" s="671" customFormat="1">
      <c r="A265" s="708"/>
      <c r="B265" s="685"/>
      <c r="C265" s="682"/>
      <c r="D265" s="682"/>
      <c r="E265" s="686"/>
      <c r="F265" s="687"/>
      <c r="G265" s="686"/>
      <c r="H265" s="686"/>
      <c r="I265" s="686"/>
    </row>
    <row r="266" spans="1:9" s="671" customFormat="1">
      <c r="A266" s="708" t="s">
        <v>340</v>
      </c>
      <c r="B266" s="710" t="s">
        <v>498</v>
      </c>
      <c r="C266" s="682"/>
      <c r="D266" s="682"/>
      <c r="E266" s="686"/>
      <c r="F266" s="687"/>
      <c r="G266" s="686"/>
      <c r="H266" s="686"/>
      <c r="I266" s="686"/>
    </row>
    <row r="267" spans="1:9" s="671" customFormat="1" ht="55.2">
      <c r="A267" s="708">
        <f t="shared" ca="1" si="28"/>
        <v>2.1659999999999817</v>
      </c>
      <c r="B267" s="709" t="s">
        <v>499</v>
      </c>
      <c r="C267" s="682">
        <v>1</v>
      </c>
      <c r="D267" s="682" t="s">
        <v>339</v>
      </c>
      <c r="E267" s="686">
        <f>Elec_Est!E1034</f>
        <v>638.92999999999995</v>
      </c>
      <c r="F267" s="687">
        <f>IFERROR($C267*E267,E267)</f>
        <v>638.92999999999995</v>
      </c>
      <c r="G267" s="686">
        <f>Elec_Est!AM1034</f>
        <v>197.1</v>
      </c>
      <c r="H267" s="686">
        <f>Elec_Est!AN1034</f>
        <v>16.09</v>
      </c>
      <c r="I267" s="686">
        <v>0</v>
      </c>
    </row>
    <row r="268" spans="1:9" s="671" customFormat="1" ht="55.2">
      <c r="A268" s="708">
        <f ca="1">IFERROR(IF(OFFSET(A268,-1,0,1,1)&gt;0,OFFSET(A268,-1,0,1,1)+0.001,ERROR.TYPE(0)),IFERROR(IF(OFFSET(A268,-2,0,1,1)&gt;0,OFFSET(A268,-2,0,1,1)+0.001,ERROR.TYPE(0)),IFERROR(IF(OFFSET(A268,-3,0,1,1)&gt;0,OFFSET(A268,-3,0,1,1)+0.001,ERROR.TYPE(0)),IFERROR(IF(OFFSET(A268,-4,0,1,1)&gt;0,OFFSET(A268,-4,0,1,1)+0.001,ERROR.TYPE(0)),IFERROR(IF(OFFSET(A268,-5,0,1,1)&gt;0,OFFSET(A268,-5,0,1,1)+0.001,ERROR.TYPE(0)),IFERROR(IF(OFFSET(A268,-6,0,1,1)&gt;0,OFFSET(A268,-6,0,1,1)+0.001,ERROR.TYPE(0)),IFERROR(IF(OFFSET(A268,-7,0,1,1)&gt;0,OFFSET(A268,-7,0,1,1)+0.001,ERROR.TYPE(0)),IFERROR(IF(OFFSET(A268,-8,0,1,1)&gt;0,OFFSET(A268,-8,0,1,1)+0.001,ERROR.TYPE(0)),IFERROR(IF(OFFSET(A268,-9,0,1,1)&gt;0,OFFSET(A268,-9,0,1,1)+0.001,ERROR.TYPE(0)),IFERROR(IF(OFFSET(A268,-10,0,1,1)&gt;0,OFFSET(A268,-10,0,1,1)+0.001,ERROR.TYPE(0)),ERROR.TYPE(0)))))))))))</f>
        <v>2.1669999999999816</v>
      </c>
      <c r="B268" s="709" t="s">
        <v>500</v>
      </c>
      <c r="C268" s="682">
        <v>24</v>
      </c>
      <c r="D268" s="682" t="s">
        <v>141</v>
      </c>
      <c r="E268" s="686">
        <f>Elec_Est!E1050</f>
        <v>694.83</v>
      </c>
      <c r="F268" s="687">
        <f>IFERROR($C268*E268,E268)</f>
        <v>16675.920000000002</v>
      </c>
      <c r="G268" s="686">
        <f>Elec_Est!AM1050</f>
        <v>14195.24</v>
      </c>
      <c r="H268" s="686">
        <f>Elec_Est!T1062</f>
        <v>78.34</v>
      </c>
      <c r="I268" s="686">
        <f>Elec_Est!T1066</f>
        <v>12</v>
      </c>
    </row>
    <row r="269" spans="1:9" s="671" customFormat="1">
      <c r="A269" s="708">
        <f ca="1">IFERROR(IF(OFFSET(A269,-1,0,1,1)&gt;0,OFFSET(A269,-1,0,1,1)+0.001,ERROR.TYPE(0)),IFERROR(IF(OFFSET(A269,-2,0,1,1)&gt;0,OFFSET(A269,-2,0,1,1)+0.001,ERROR.TYPE(0)),IFERROR(IF(OFFSET(A269,-3,0,1,1)&gt;0,OFFSET(A269,-3,0,1,1)+0.001,ERROR.TYPE(0)),IFERROR(IF(OFFSET(A269,-4,0,1,1)&gt;0,OFFSET(A269,-4,0,1,1)+0.001,ERROR.TYPE(0)),IFERROR(IF(OFFSET(A269,-5,0,1,1)&gt;0,OFFSET(A269,-5,0,1,1)+0.001,ERROR.TYPE(0)),IFERROR(IF(OFFSET(A269,-6,0,1,1)&gt;0,OFFSET(A269,-6,0,1,1)+0.001,ERROR.TYPE(0)),IFERROR(IF(OFFSET(A269,-7,0,1,1)&gt;0,OFFSET(A269,-7,0,1,1)+0.001,ERROR.TYPE(0)),IFERROR(IF(OFFSET(A269,-8,0,1,1)&gt;0,OFFSET(A269,-8,0,1,1)+0.001,ERROR.TYPE(0)),IFERROR(IF(OFFSET(A269,-9,0,1,1)&gt;0,OFFSET(A269,-9,0,1,1)+0.001,ERROR.TYPE(0)),IFERROR(IF(OFFSET(A269,-10,0,1,1)&gt;0,OFFSET(A269,-10,0,1,1)+0.001,ERROR.TYPE(0)),ERROR.TYPE(0)))))))))))</f>
        <v>2.1679999999999815</v>
      </c>
      <c r="B269" s="685" t="s">
        <v>501</v>
      </c>
      <c r="C269" s="682">
        <v>24</v>
      </c>
      <c r="D269" s="682" t="s">
        <v>141</v>
      </c>
      <c r="E269" s="686" t="str">
        <f>Elec_Est!$Q1070</f>
        <v>Mechanical</v>
      </c>
      <c r="F269" s="687" t="str">
        <f>IFERROR($C269*E269,E269)</f>
        <v>Mechanical</v>
      </c>
      <c r="G269" s="686" t="str">
        <f>Elec_Est!$Q1070</f>
        <v>Mechanical</v>
      </c>
      <c r="H269" s="686" t="str">
        <f>Elec_Est!$Q1070</f>
        <v>Mechanical</v>
      </c>
      <c r="I269" s="686" t="str">
        <f>Elec_Est!$Q1070</f>
        <v>Mechanical</v>
      </c>
    </row>
    <row r="270" spans="1:9" s="671" customFormat="1">
      <c r="A270" s="708"/>
      <c r="B270" s="685"/>
      <c r="C270" s="682"/>
      <c r="D270" s="682"/>
      <c r="E270" s="686"/>
      <c r="F270" s="687"/>
      <c r="G270" s="686"/>
      <c r="H270" s="686"/>
      <c r="I270" s="686"/>
    </row>
    <row r="271" spans="1:9" s="671" customFormat="1">
      <c r="A271" s="708" t="s">
        <v>340</v>
      </c>
      <c r="B271" s="710" t="s">
        <v>502</v>
      </c>
      <c r="C271" s="682"/>
      <c r="D271" s="682"/>
      <c r="E271" s="686"/>
      <c r="F271" s="687"/>
      <c r="G271" s="686"/>
      <c r="H271" s="686"/>
      <c r="I271" s="686"/>
    </row>
    <row r="272" spans="1:9" s="671" customFormat="1" ht="41.4">
      <c r="A272" s="708">
        <f t="shared" ca="1" si="28"/>
        <v>2.1689999999999814</v>
      </c>
      <c r="B272" s="709" t="s">
        <v>503</v>
      </c>
      <c r="C272" s="682">
        <v>1</v>
      </c>
      <c r="D272" s="682" t="s">
        <v>339</v>
      </c>
      <c r="E272" s="686">
        <f>Elec_Est!E1079</f>
        <v>3031.9</v>
      </c>
      <c r="F272" s="687">
        <f t="shared" si="29"/>
        <v>3031.9</v>
      </c>
      <c r="G272" s="686">
        <f>Elec_Est!AM1079</f>
        <v>2620</v>
      </c>
      <c r="H272" s="686">
        <f>Elec_Est!T1086</f>
        <v>12</v>
      </c>
      <c r="I272" s="686">
        <f>Elec_Est!T1090</f>
        <v>3</v>
      </c>
    </row>
    <row r="273" spans="1:9" s="671" customFormat="1" ht="55.2">
      <c r="A273" s="708">
        <f t="shared" ca="1" si="28"/>
        <v>2.1699999999999813</v>
      </c>
      <c r="B273" s="709" t="s">
        <v>504</v>
      </c>
      <c r="C273" s="682">
        <v>26</v>
      </c>
      <c r="D273" s="682" t="s">
        <v>141</v>
      </c>
      <c r="E273" s="686">
        <f ca="1">Elec_Est!E1099</f>
        <v>437</v>
      </c>
      <c r="F273" s="687">
        <f t="shared" ca="1" si="29"/>
        <v>11362</v>
      </c>
      <c r="G273" s="686">
        <f ca="1">Elec_Est!AM1099</f>
        <v>8598.98</v>
      </c>
      <c r="H273" s="686">
        <f ca="1">Elec_Est!T1106</f>
        <v>87.62</v>
      </c>
      <c r="I273" s="686">
        <f>Elec_Est!T1111</f>
        <v>13</v>
      </c>
    </row>
    <row r="274" spans="1:9" s="671" customFormat="1">
      <c r="A274" s="708"/>
      <c r="B274" s="685"/>
      <c r="C274" s="682"/>
      <c r="D274" s="682"/>
      <c r="E274" s="686"/>
      <c r="F274" s="687"/>
      <c r="G274" s="686"/>
      <c r="H274" s="686"/>
      <c r="I274" s="686"/>
    </row>
    <row r="275" spans="1:9" s="671" customFormat="1" ht="27.6">
      <c r="A275" s="711">
        <f ca="1">IFERROR(IF(OFFSET(A275,-1,0,1,1)&gt;0,OFFSET(A275,-1,0,1,1)+0.001,ERROR.TYPE(0)),IFERROR(IF(OFFSET(A275,-2,0,1,1)&gt;0,OFFSET(A275,-2,0,1,1)+0.001,ERROR.TYPE(0)),IFERROR(IF(OFFSET(A275,-3,0,1,1)&gt;0,OFFSET(A275,-3,0,1,1)+0.001,ERROR.TYPE(0)),IFERROR(IF(OFFSET(A275,-4,0,1,1)&gt;0,OFFSET(A275,-4,0,1,1)+0.001,ERROR.TYPE(0)),IFERROR(IF(OFFSET(A275,-5,0,1,1)&gt;0,OFFSET(A275,-5,0,1,1)+0.001,ERROR.TYPE(0)),IFERROR(IF(OFFSET(A275,-6,0,1,1)&gt;0,OFFSET(A275,-6,0,1,1)+0.001,ERROR.TYPE(0)),IFERROR(IF(OFFSET(A275,-7,0,1,1)&gt;0,OFFSET(A275,-7,0,1,1)+0.001,ERROR.TYPE(0)),IFERROR(IF(OFFSET(A275,-8,0,1,1)&gt;0,OFFSET(A275,-8,0,1,1)+0.001,ERROR.TYPE(0)),IFERROR(IF(OFFSET(A275,-9,0,1,1)&gt;0,OFFSET(A275,-9,0,1,1)+0.001,ERROR.TYPE(0)),IFERROR(IF(OFFSET(A275,-10,0,1,1)&gt;0,OFFSET(A275,-10,0,1,1)+0.001,ERROR.TYPE(0)),ERROR.TYPE(0)))))))))))</f>
        <v>2.1709999999999812</v>
      </c>
      <c r="B275" s="688" t="s">
        <v>505</v>
      </c>
      <c r="C275" s="712">
        <v>1</v>
      </c>
      <c r="D275" s="713" t="s">
        <v>313</v>
      </c>
      <c r="E275" s="686"/>
      <c r="F275" s="687">
        <f>IFERROR(C275*E275,E275)</f>
        <v>0</v>
      </c>
      <c r="G275" s="686"/>
      <c r="H275" s="686"/>
      <c r="I275" s="686"/>
    </row>
    <row r="276" spans="1:9" s="671" customFormat="1" ht="27.6">
      <c r="A276" s="711">
        <f ca="1">IFERROR(IF(OFFSET(A276,-1,0,1,1)&gt;0,OFFSET(A276,-1,0,1,1)+0.001,ERROR.TYPE(0)),IFERROR(IF(OFFSET(A276,-2,0,1,1)&gt;0,OFFSET(A276,-2,0,1,1)+0.001,ERROR.TYPE(0)),IFERROR(IF(OFFSET(A276,-3,0,1,1)&gt;0,OFFSET(A276,-3,0,1,1)+0.001,ERROR.TYPE(0)),IFERROR(IF(OFFSET(A276,-4,0,1,1)&gt;0,OFFSET(A276,-4,0,1,1)+0.001,ERROR.TYPE(0)),IFERROR(IF(OFFSET(A276,-5,0,1,1)&gt;0,OFFSET(A276,-5,0,1,1)+0.001,ERROR.TYPE(0)),IFERROR(IF(OFFSET(A276,-6,0,1,1)&gt;0,OFFSET(A276,-6,0,1,1)+0.001,ERROR.TYPE(0)),IFERROR(IF(OFFSET(A276,-7,0,1,1)&gt;0,OFFSET(A276,-7,0,1,1)+0.001,ERROR.TYPE(0)),IFERROR(IF(OFFSET(A276,-8,0,1,1)&gt;0,OFFSET(A276,-8,0,1,1)+0.001,ERROR.TYPE(0)),IFERROR(IF(OFFSET(A276,-9,0,1,1)&gt;0,OFFSET(A276,-9,0,1,1)+0.001,ERROR.TYPE(0)),IFERROR(IF(OFFSET(A276,-10,0,1,1)&gt;0,OFFSET(A276,-10,0,1,1)+0.001,ERROR.TYPE(0)),ERROR.TYPE(0)))))))))))</f>
        <v>2.1719999999999811</v>
      </c>
      <c r="B276" s="623" t="s">
        <v>319</v>
      </c>
      <c r="C276" s="682">
        <v>2</v>
      </c>
      <c r="D276" s="682" t="s">
        <v>506</v>
      </c>
      <c r="E276" s="714"/>
      <c r="F276" s="687">
        <f>IFERROR(C276*E276,E276)</f>
        <v>0</v>
      </c>
      <c r="G276" s="714"/>
      <c r="H276" s="714"/>
      <c r="I276" s="714"/>
    </row>
    <row r="277" spans="1:9" s="671" customFormat="1" ht="15" customHeight="1">
      <c r="A277" s="715" t="s">
        <v>941</v>
      </c>
      <c r="B277" s="702" t="s">
        <v>323</v>
      </c>
      <c r="C277" s="1082" t="s">
        <v>315</v>
      </c>
      <c r="D277" s="1083"/>
      <c r="E277" s="677"/>
      <c r="F277" s="716">
        <f ca="1">SUM(F238:F276)</f>
        <v>64283.63</v>
      </c>
      <c r="G277" s="1075">
        <f t="shared" ref="G277:I277" ca="1" si="30">SUM(G238:G276)</f>
        <v>53935.11</v>
      </c>
      <c r="H277" s="1075">
        <f t="shared" ca="1" si="30"/>
        <v>327.44</v>
      </c>
      <c r="I277" s="1075">
        <f t="shared" si="30"/>
        <v>106</v>
      </c>
    </row>
    <row r="278" spans="1:9" s="671" customFormat="1">
      <c r="A278" s="717"/>
      <c r="C278" s="667"/>
      <c r="D278" s="667"/>
      <c r="E278" s="673"/>
      <c r="F278" s="670"/>
      <c r="G278" s="673"/>
      <c r="H278" s="673"/>
      <c r="I278" s="673"/>
    </row>
    <row r="279" spans="1:9" s="671" customFormat="1" ht="15" customHeight="1">
      <c r="A279" s="715"/>
      <c r="B279" s="702" t="s">
        <v>507</v>
      </c>
      <c r="C279" s="1082" t="s">
        <v>315</v>
      </c>
      <c r="D279" s="1083"/>
      <c r="E279" s="677"/>
      <c r="F279" s="716">
        <f ca="1">F277+F233+F181+F124+F68</f>
        <v>76180.959999999992</v>
      </c>
      <c r="G279" s="1075">
        <f t="shared" ref="G279:I279" ca="1" si="31">G277+G233+G181+G124+G68</f>
        <v>59282.740000000005</v>
      </c>
      <c r="H279" s="1075">
        <f t="shared" ca="1" si="31"/>
        <v>571.28</v>
      </c>
      <c r="I279" s="1075">
        <f t="shared" si="31"/>
        <v>106</v>
      </c>
    </row>
    <row r="280" spans="1:9">
      <c r="A280" s="718"/>
      <c r="B280" s="719"/>
      <c r="C280" s="720"/>
      <c r="D280" s="721"/>
      <c r="E280" s="722"/>
      <c r="F280" s="723"/>
      <c r="G280" s="722"/>
      <c r="H280" s="722"/>
      <c r="I280" s="722"/>
    </row>
    <row r="281" spans="1:9">
      <c r="A281" s="718"/>
      <c r="B281" s="719"/>
      <c r="C281" s="720"/>
      <c r="D281" s="721"/>
      <c r="E281" s="722"/>
      <c r="F281" s="723"/>
      <c r="G281" s="722"/>
      <c r="H281" s="722"/>
      <c r="I281" s="722"/>
    </row>
    <row r="282" spans="1:9" s="671" customFormat="1" ht="27.6">
      <c r="A282" s="613" t="s">
        <v>143</v>
      </c>
      <c r="B282" s="614" t="s">
        <v>209</v>
      </c>
      <c r="C282" s="615" t="s">
        <v>210</v>
      </c>
      <c r="D282" s="615" t="s">
        <v>211</v>
      </c>
      <c r="E282" s="616" t="s">
        <v>309</v>
      </c>
      <c r="F282" s="617" t="s">
        <v>310</v>
      </c>
      <c r="G282" s="616" t="s">
        <v>912</v>
      </c>
      <c r="H282" s="616" t="s">
        <v>913</v>
      </c>
      <c r="I282" s="616" t="s">
        <v>914</v>
      </c>
    </row>
    <row r="283" spans="1:9" s="671" customFormat="1">
      <c r="A283" s="674" t="s">
        <v>341</v>
      </c>
      <c r="B283" s="702" t="s">
        <v>508</v>
      </c>
      <c r="C283" s="676"/>
      <c r="D283" s="676"/>
      <c r="E283" s="677"/>
      <c r="F283" s="678"/>
      <c r="G283" s="677"/>
      <c r="H283" s="677"/>
      <c r="I283" s="677"/>
    </row>
    <row r="284" spans="1:9" s="671" customFormat="1">
      <c r="A284" s="674" t="s">
        <v>340</v>
      </c>
      <c r="B284" s="702" t="s">
        <v>509</v>
      </c>
      <c r="C284" s="676"/>
      <c r="D284" s="676"/>
      <c r="E284" s="677"/>
      <c r="F284" s="678"/>
      <c r="G284" s="677"/>
      <c r="H284" s="677"/>
      <c r="I284" s="677"/>
    </row>
    <row r="285" spans="1:9" s="671" customFormat="1">
      <c r="A285" s="679" t="s">
        <v>340</v>
      </c>
      <c r="B285" s="702" t="s">
        <v>510</v>
      </c>
      <c r="C285" s="681"/>
      <c r="D285" s="682"/>
      <c r="E285" s="683"/>
      <c r="F285" s="687"/>
      <c r="G285" s="683"/>
      <c r="H285" s="683"/>
      <c r="I285" s="683"/>
    </row>
    <row r="286" spans="1:9" s="671" customFormat="1" ht="49.95" customHeight="1">
      <c r="A286" s="679">
        <v>3.0009999999999999</v>
      </c>
      <c r="B286" s="724" t="s">
        <v>511</v>
      </c>
      <c r="C286" s="682">
        <v>1</v>
      </c>
      <c r="D286" s="622" t="s">
        <v>141</v>
      </c>
      <c r="E286" s="686" t="str">
        <f>Elec_Est!$Q1139</f>
        <v>By Mechancial Sub Contractor</v>
      </c>
      <c r="F286" s="687" t="str">
        <f t="shared" ref="F286:F292" si="32">IFERROR($C286*E286,E286)</f>
        <v>By Mechancial Sub Contractor</v>
      </c>
      <c r="G286" s="686" t="str">
        <f>Elec_Est!$Q1139</f>
        <v>By Mechancial Sub Contractor</v>
      </c>
      <c r="H286" s="686" t="str">
        <f>Elec_Est!$Q1139</f>
        <v>By Mechancial Sub Contractor</v>
      </c>
      <c r="I286" s="686" t="str">
        <f>Elec_Est!$Q1139</f>
        <v>By Mechancial Sub Contractor</v>
      </c>
    </row>
    <row r="287" spans="1:9" s="671" customFormat="1" ht="49.95" customHeight="1">
      <c r="A287" s="679">
        <f t="shared" ref="A287:A292" ca="1" si="33">IFERROR(IF(OFFSET(A287,-1,0)&gt;0,OFFSET(A287,-1,0)+0.001,ERROR.TYPE(0)),IFERROR(IF(OFFSET(A287,-2,0)&gt;0,OFFSET(A287,-2,0)+0.001,ERROR.TYPE(0)),IFERROR(IF(OFFSET(A287,-3,0)&gt;0,OFFSET(A287,-3,0)+0.001,ERROR.TYPE(0)),IFERROR(IF(OFFSET(A287,-4,0)&gt;0,OFFSET(A287,-4,0)+0.001,ERROR.TYPE(0)),IFERROR(IF(OFFSET(A287,-5,0)&gt;0,OFFSET(A287,-5,0)+0.001,ERROR.TYPE(0)),IFERROR(IF(OFFSET(A287,-6,0)&gt;0,OFFSET(A287,-6,0)+0.001,ERROR.TYPE(0)),IFERROR(IF(OFFSET(A287,-7,0)&gt;0,OFFSET(A287,-7,0)+0.001,ERROR.TYPE(0)),IFERROR(IF(OFFSET(A287,-8,0)&gt;0,OFFSET(A287,-8,0)+0.001,ERROR.TYPE(0)),IFERROR(IF(OFFSET(A287,-9,0)&gt;0,OFFSET(A287,-9,0)+0.001,ERROR.TYPE(0)),IFERROR(IF(OFFSET(A287,-10,0)&gt;0,OFFSET(A287,-10,0)+0.001,ERROR.TYPE(0)),ERROR.TYPE(0)))))))))))</f>
        <v>3.0019999999999998</v>
      </c>
      <c r="B287" s="724" t="s">
        <v>512</v>
      </c>
      <c r="C287" s="682">
        <v>1</v>
      </c>
      <c r="D287" s="622" t="s">
        <v>141</v>
      </c>
      <c r="E287" s="686" t="str">
        <f>Elec_Est!$Q1160</f>
        <v>By Mechancial Sub Contractor</v>
      </c>
      <c r="F287" s="687" t="str">
        <f t="shared" si="32"/>
        <v>By Mechancial Sub Contractor</v>
      </c>
      <c r="G287" s="686" t="str">
        <f>Elec_Est!$Q1160</f>
        <v>By Mechancial Sub Contractor</v>
      </c>
      <c r="H287" s="686" t="str">
        <f>Elec_Est!$Q1160</f>
        <v>By Mechancial Sub Contractor</v>
      </c>
      <c r="I287" s="686" t="str">
        <f>Elec_Est!$Q1160</f>
        <v>By Mechancial Sub Contractor</v>
      </c>
    </row>
    <row r="288" spans="1:9" s="671" customFormat="1" ht="49.95" customHeight="1">
      <c r="A288" s="679">
        <f t="shared" ca="1" si="33"/>
        <v>3.0029999999999997</v>
      </c>
      <c r="B288" s="724" t="s">
        <v>513</v>
      </c>
      <c r="C288" s="682">
        <v>1</v>
      </c>
      <c r="D288" s="622" t="s">
        <v>141</v>
      </c>
      <c r="E288" s="686" t="str">
        <f>Elec_Est!$Q1181</f>
        <v>By Mechancial Sub Contractor</v>
      </c>
      <c r="F288" s="687" t="str">
        <f t="shared" si="32"/>
        <v>By Mechancial Sub Contractor</v>
      </c>
      <c r="G288" s="686" t="str">
        <f>Elec_Est!$Q1181</f>
        <v>By Mechancial Sub Contractor</v>
      </c>
      <c r="H288" s="686" t="str">
        <f>Elec_Est!$Q1181</f>
        <v>By Mechancial Sub Contractor</v>
      </c>
      <c r="I288" s="686" t="str">
        <f>Elec_Est!$Q1181</f>
        <v>By Mechancial Sub Contractor</v>
      </c>
    </row>
    <row r="289" spans="1:9" s="671" customFormat="1" ht="49.95" customHeight="1">
      <c r="A289" s="679">
        <f t="shared" ca="1" si="33"/>
        <v>3.0039999999999996</v>
      </c>
      <c r="B289" s="724" t="s">
        <v>514</v>
      </c>
      <c r="C289" s="682">
        <v>1</v>
      </c>
      <c r="D289" s="622" t="s">
        <v>141</v>
      </c>
      <c r="E289" s="686" t="str">
        <f>Elec_Est!$Q1202</f>
        <v>By Mechancial Sub Contractor</v>
      </c>
      <c r="F289" s="687" t="str">
        <f t="shared" si="32"/>
        <v>By Mechancial Sub Contractor</v>
      </c>
      <c r="G289" s="686" t="str">
        <f>Elec_Est!$Q1202</f>
        <v>By Mechancial Sub Contractor</v>
      </c>
      <c r="H289" s="686" t="str">
        <f>Elec_Est!$Q1202</f>
        <v>By Mechancial Sub Contractor</v>
      </c>
      <c r="I289" s="686" t="str">
        <f>Elec_Est!$Q1202</f>
        <v>By Mechancial Sub Contractor</v>
      </c>
    </row>
    <row r="290" spans="1:9" s="671" customFormat="1" ht="49.95" customHeight="1">
      <c r="A290" s="679">
        <f t="shared" ca="1" si="33"/>
        <v>3.0049999999999994</v>
      </c>
      <c r="B290" s="724" t="s">
        <v>515</v>
      </c>
      <c r="C290" s="682">
        <v>1</v>
      </c>
      <c r="D290" s="622" t="s">
        <v>141</v>
      </c>
      <c r="E290" s="686" t="str">
        <f>Elec_Est!$Q1223</f>
        <v>By Mechancial Sub Contractor</v>
      </c>
      <c r="F290" s="687" t="str">
        <f t="shared" si="32"/>
        <v>By Mechancial Sub Contractor</v>
      </c>
      <c r="G290" s="686" t="str">
        <f>Elec_Est!$Q1223</f>
        <v>By Mechancial Sub Contractor</v>
      </c>
      <c r="H290" s="686" t="str">
        <f>Elec_Est!$Q1223</f>
        <v>By Mechancial Sub Contractor</v>
      </c>
      <c r="I290" s="686" t="str">
        <f>Elec_Est!$Q1223</f>
        <v>By Mechancial Sub Contractor</v>
      </c>
    </row>
    <row r="291" spans="1:9" s="671" customFormat="1" ht="49.95" customHeight="1">
      <c r="A291" s="679">
        <f t="shared" ca="1" si="33"/>
        <v>3.0059999999999993</v>
      </c>
      <c r="B291" s="724" t="s">
        <v>516</v>
      </c>
      <c r="C291" s="682">
        <v>1</v>
      </c>
      <c r="D291" s="622" t="s">
        <v>141</v>
      </c>
      <c r="E291" s="686" t="str">
        <f>Elec_Est!$Q1244</f>
        <v>By Mechancial Sub Contractor</v>
      </c>
      <c r="F291" s="687" t="str">
        <f t="shared" si="32"/>
        <v>By Mechancial Sub Contractor</v>
      </c>
      <c r="G291" s="686" t="str">
        <f>Elec_Est!$Q1244</f>
        <v>By Mechancial Sub Contractor</v>
      </c>
      <c r="H291" s="686" t="str">
        <f>Elec_Est!$Q1244</f>
        <v>By Mechancial Sub Contractor</v>
      </c>
      <c r="I291" s="686" t="str">
        <f>Elec_Est!$Q1244</f>
        <v>By Mechancial Sub Contractor</v>
      </c>
    </row>
    <row r="292" spans="1:9" s="671" customFormat="1" ht="49.95" customHeight="1">
      <c r="A292" s="679">
        <f t="shared" ca="1" si="33"/>
        <v>3.0069999999999992</v>
      </c>
      <c r="B292" s="724" t="s">
        <v>517</v>
      </c>
      <c r="C292" s="682">
        <v>1</v>
      </c>
      <c r="D292" s="622" t="s">
        <v>141</v>
      </c>
      <c r="E292" s="686" t="str">
        <f>Elec_Est!$Q1265</f>
        <v>By Mechancial Sub Contractor</v>
      </c>
      <c r="F292" s="687" t="str">
        <f t="shared" si="32"/>
        <v>By Mechancial Sub Contractor</v>
      </c>
      <c r="G292" s="686" t="str">
        <f>Elec_Est!$Q1265</f>
        <v>By Mechancial Sub Contractor</v>
      </c>
      <c r="H292" s="686" t="str">
        <f>Elec_Est!$Q1265</f>
        <v>By Mechancial Sub Contractor</v>
      </c>
      <c r="I292" s="686" t="str">
        <f>Elec_Est!$Q1265</f>
        <v>By Mechancial Sub Contractor</v>
      </c>
    </row>
    <row r="293" spans="1:9" s="671" customFormat="1">
      <c r="A293" s="679"/>
      <c r="B293" s="702" t="s">
        <v>518</v>
      </c>
      <c r="C293" s="681"/>
      <c r="D293" s="682"/>
      <c r="E293" s="683"/>
      <c r="F293" s="687"/>
      <c r="G293" s="683"/>
      <c r="H293" s="683"/>
      <c r="I293" s="683"/>
    </row>
    <row r="294" spans="1:9" s="671" customFormat="1" ht="69.599999999999994" customHeight="1">
      <c r="A294" s="679"/>
      <c r="B294" s="704" t="s">
        <v>519</v>
      </c>
      <c r="C294" s="681"/>
      <c r="D294" s="682"/>
      <c r="E294" s="683"/>
      <c r="F294" s="684"/>
      <c r="G294" s="683"/>
      <c r="H294" s="683"/>
      <c r="I294" s="683"/>
    </row>
    <row r="295" spans="1:9" s="671" customFormat="1">
      <c r="A295" s="679">
        <f t="shared" ref="A295:A302" ca="1" si="34">IFERROR(IF(OFFSET(A295,-1,0)&gt;0,OFFSET(A295,-1,0)+0.001,ERROR.TYPE(0)),IFERROR(IF(OFFSET(A295,-2,0)&gt;0,OFFSET(A295,-2,0)+0.001,ERROR.TYPE(0)),IFERROR(IF(OFFSET(A295,-3,0)&gt;0,OFFSET(A295,-3,0)+0.001,ERROR.TYPE(0)),IFERROR(IF(OFFSET(A295,-4,0)&gt;0,OFFSET(A295,-4,0)+0.001,ERROR.TYPE(0)),IFERROR(IF(OFFSET(A295,-5,0)&gt;0,OFFSET(A295,-5,0)+0.001,ERROR.TYPE(0)),IFERROR(IF(OFFSET(A295,-6,0)&gt;0,OFFSET(A295,-6,0)+0.001,ERROR.TYPE(0)),IFERROR(IF(OFFSET(A295,-7,0)&gt;0,OFFSET(A295,-7,0)+0.001,ERROR.TYPE(0)),IFERROR(IF(OFFSET(A295,-8,0)&gt;0,OFFSET(A295,-8,0)+0.001,ERROR.TYPE(0)),IFERROR(IF(OFFSET(A295,-9,0)&gt;0,OFFSET(A295,-9,0)+0.001,ERROR.TYPE(0)),IFERROR(IF(OFFSET(A295,-10,0)&gt;0,OFFSET(A295,-10,0)+0.001,ERROR.TYPE(0)),ERROR.TYPE(0)))))))))))</f>
        <v>3.0079999999999991</v>
      </c>
      <c r="B295" s="685" t="s">
        <v>520</v>
      </c>
      <c r="C295" s="682">
        <v>1</v>
      </c>
      <c r="D295" s="682" t="s">
        <v>339</v>
      </c>
      <c r="E295" s="686"/>
      <c r="F295" s="687">
        <f t="shared" ref="F295:F302" si="35">IFERROR($C295*E295,E295)</f>
        <v>0</v>
      </c>
      <c r="G295" s="686"/>
      <c r="H295" s="686"/>
      <c r="I295" s="686"/>
    </row>
    <row r="296" spans="1:9" s="671" customFormat="1">
      <c r="A296" s="679">
        <f t="shared" ca="1" si="34"/>
        <v>3.008999999999999</v>
      </c>
      <c r="B296" s="685" t="s">
        <v>521</v>
      </c>
      <c r="C296" s="682">
        <v>1</v>
      </c>
      <c r="D296" s="682" t="s">
        <v>339</v>
      </c>
      <c r="E296" s="686"/>
      <c r="F296" s="687">
        <f t="shared" si="35"/>
        <v>0</v>
      </c>
      <c r="G296" s="686"/>
      <c r="H296" s="686"/>
      <c r="I296" s="686"/>
    </row>
    <row r="297" spans="1:9" s="671" customFormat="1">
      <c r="A297" s="679">
        <f t="shared" ca="1" si="34"/>
        <v>3.0099999999999989</v>
      </c>
      <c r="B297" s="685" t="s">
        <v>522</v>
      </c>
      <c r="C297" s="682">
        <v>1</v>
      </c>
      <c r="D297" s="682" t="s">
        <v>339</v>
      </c>
      <c r="E297" s="686"/>
      <c r="F297" s="687">
        <f t="shared" si="35"/>
        <v>0</v>
      </c>
      <c r="G297" s="686"/>
      <c r="H297" s="686"/>
      <c r="I297" s="686"/>
    </row>
    <row r="298" spans="1:9" s="671" customFormat="1">
      <c r="A298" s="679">
        <f t="shared" ca="1" si="34"/>
        <v>3.0109999999999988</v>
      </c>
      <c r="B298" s="685" t="s">
        <v>523</v>
      </c>
      <c r="C298" s="682">
        <v>1</v>
      </c>
      <c r="D298" s="682" t="s">
        <v>339</v>
      </c>
      <c r="E298" s="686"/>
      <c r="F298" s="687">
        <f t="shared" si="35"/>
        <v>0</v>
      </c>
      <c r="G298" s="686"/>
      <c r="H298" s="686"/>
      <c r="I298" s="686"/>
    </row>
    <row r="299" spans="1:9" s="671" customFormat="1">
      <c r="A299" s="679">
        <f t="shared" ca="1" si="34"/>
        <v>3.0119999999999987</v>
      </c>
      <c r="B299" s="685" t="s">
        <v>524</v>
      </c>
      <c r="C299" s="682">
        <v>1</v>
      </c>
      <c r="D299" s="682" t="s">
        <v>339</v>
      </c>
      <c r="E299" s="686"/>
      <c r="F299" s="687">
        <f t="shared" si="35"/>
        <v>0</v>
      </c>
      <c r="G299" s="686"/>
      <c r="H299" s="686"/>
      <c r="I299" s="686"/>
    </row>
    <row r="300" spans="1:9" s="671" customFormat="1">
      <c r="A300" s="679">
        <f t="shared" ca="1" si="34"/>
        <v>3.0129999999999986</v>
      </c>
      <c r="B300" s="685" t="s">
        <v>525</v>
      </c>
      <c r="C300" s="682">
        <v>1</v>
      </c>
      <c r="D300" s="682" t="s">
        <v>339</v>
      </c>
      <c r="E300" s="686"/>
      <c r="F300" s="687">
        <f t="shared" si="35"/>
        <v>0</v>
      </c>
      <c r="G300" s="686"/>
      <c r="H300" s="686"/>
      <c r="I300" s="686"/>
    </row>
    <row r="301" spans="1:9" s="671" customFormat="1">
      <c r="A301" s="679">
        <f t="shared" ca="1" si="34"/>
        <v>3.0139999999999985</v>
      </c>
      <c r="B301" s="685" t="s">
        <v>526</v>
      </c>
      <c r="C301" s="682">
        <v>1</v>
      </c>
      <c r="D301" s="682" t="s">
        <v>339</v>
      </c>
      <c r="E301" s="686"/>
      <c r="F301" s="687">
        <f t="shared" si="35"/>
        <v>0</v>
      </c>
      <c r="G301" s="686"/>
      <c r="H301" s="686"/>
      <c r="I301" s="686"/>
    </row>
    <row r="302" spans="1:9" s="671" customFormat="1" ht="27.6">
      <c r="A302" s="679">
        <f t="shared" ca="1" si="34"/>
        <v>3.0149999999999983</v>
      </c>
      <c r="B302" s="621" t="s">
        <v>527</v>
      </c>
      <c r="C302" s="682">
        <v>1</v>
      </c>
      <c r="D302" s="622" t="s">
        <v>313</v>
      </c>
      <c r="E302" s="686"/>
      <c r="F302" s="687">
        <f t="shared" si="35"/>
        <v>0</v>
      </c>
      <c r="G302" s="686"/>
      <c r="H302" s="686"/>
      <c r="I302" s="686"/>
    </row>
    <row r="303" spans="1:9" s="671" customFormat="1" ht="13.95" customHeight="1">
      <c r="A303" s="674" t="s">
        <v>941</v>
      </c>
      <c r="B303" s="675" t="s">
        <v>324</v>
      </c>
      <c r="C303" s="1082" t="s">
        <v>315</v>
      </c>
      <c r="D303" s="1083"/>
      <c r="E303" s="689"/>
      <c r="F303" s="678">
        <f>SUM(F285:F302)</f>
        <v>0</v>
      </c>
      <c r="G303" s="735">
        <f t="shared" ref="G303:I303" si="36">SUM(G285:G302)</f>
        <v>0</v>
      </c>
      <c r="H303" s="735">
        <f t="shared" si="36"/>
        <v>0</v>
      </c>
      <c r="I303" s="735">
        <f t="shared" si="36"/>
        <v>0</v>
      </c>
    </row>
    <row r="304" spans="1:9">
      <c r="A304" s="718"/>
      <c r="B304" s="719"/>
      <c r="C304" s="720"/>
      <c r="D304" s="720"/>
      <c r="E304" s="722"/>
      <c r="F304" s="723"/>
      <c r="G304" s="722"/>
      <c r="H304" s="722"/>
      <c r="I304" s="722"/>
    </row>
    <row r="305" spans="1:9">
      <c r="A305" s="718"/>
      <c r="B305" s="719"/>
      <c r="C305" s="720"/>
      <c r="D305" s="721"/>
      <c r="E305" s="722"/>
      <c r="F305" s="723"/>
      <c r="G305" s="722"/>
      <c r="H305" s="722"/>
      <c r="I305" s="722"/>
    </row>
    <row r="306" spans="1:9" s="671" customFormat="1" ht="27.6">
      <c r="A306" s="613" t="s">
        <v>143</v>
      </c>
      <c r="B306" s="614" t="s">
        <v>209</v>
      </c>
      <c r="C306" s="615" t="s">
        <v>210</v>
      </c>
      <c r="D306" s="615" t="s">
        <v>211</v>
      </c>
      <c r="E306" s="616" t="s">
        <v>309</v>
      </c>
      <c r="F306" s="617" t="s">
        <v>310</v>
      </c>
      <c r="G306" s="616" t="s">
        <v>912</v>
      </c>
      <c r="H306" s="616" t="s">
        <v>913</v>
      </c>
      <c r="I306" s="616" t="s">
        <v>914</v>
      </c>
    </row>
    <row r="307" spans="1:9" s="671" customFormat="1">
      <c r="A307" s="679" t="s">
        <v>340</v>
      </c>
      <c r="B307" s="702" t="s">
        <v>528</v>
      </c>
      <c r="C307" s="681"/>
      <c r="D307" s="682"/>
      <c r="E307" s="683"/>
      <c r="F307" s="687"/>
      <c r="G307" s="683"/>
      <c r="H307" s="683"/>
      <c r="I307" s="683"/>
    </row>
    <row r="308" spans="1:9" s="671" customFormat="1">
      <c r="A308" s="674" t="s">
        <v>340</v>
      </c>
      <c r="B308" s="702" t="s">
        <v>529</v>
      </c>
      <c r="C308" s="676"/>
      <c r="D308" s="676"/>
      <c r="E308" s="677"/>
      <c r="F308" s="678"/>
      <c r="G308" s="677"/>
      <c r="H308" s="677"/>
      <c r="I308" s="677"/>
    </row>
    <row r="309" spans="1:9" s="671" customFormat="1" ht="69">
      <c r="A309" s="679" t="s">
        <v>340</v>
      </c>
      <c r="B309" s="725" t="s">
        <v>530</v>
      </c>
      <c r="C309" s="682"/>
      <c r="D309" s="682"/>
      <c r="E309" s="686"/>
      <c r="F309" s="687"/>
      <c r="G309" s="686"/>
      <c r="H309" s="686"/>
      <c r="I309" s="686"/>
    </row>
    <row r="310" spans="1:9" s="671" customFormat="1" ht="55.2">
      <c r="A310" s="679">
        <f ca="1">IFERROR(IF(OFFSET(A310,-1,0)&gt;0,OFFSET(A310,-1,0)+0.001,ERROR.TYPE(0)),IFERROR(IF(OFFSET(A310,-2,0)&gt;0,OFFSET(A310,-2,0)+0.001,ERROR.TYPE(0)),IFERROR(IF(OFFSET(A310,-3,0)&gt;0,OFFSET(A310,-3,0)+0.001,ERROR.TYPE(0)),IFERROR(IF(OFFSET(A310,-4,0)&gt;0,OFFSET(A310,-4,0)+0.001,ERROR.TYPE(0)),IFERROR(IF(OFFSET(A310,-5,0)&gt;0,OFFSET(A310,-5,0)+0.001,ERROR.TYPE(0)),IFERROR(IF(OFFSET(A310,-6,0)&gt;0,OFFSET(A310,-6,0)+0.001,ERROR.TYPE(0)),IFERROR(IF(OFFSET(A310,-7,0)&gt;0,OFFSET(A310,-7,0)+0.001,ERROR.TYPE(0)),IFERROR(IF(OFFSET(A310,-8,0)&gt;0,OFFSET(A310,-8,0)+0.001,ERROR.TYPE(0)),IFERROR(IF(OFFSET(A310,-9,0)&gt;0,OFFSET(A310,-9,0)+0.001,ERROR.TYPE(0)),IFERROR(IF(OFFSET(A310,-10,0)&gt;0,OFFSET(A310,-10,0)+0.001,ERROR.TYPE(0)),ERROR.TYPE(0)))))))))))</f>
        <v>3.0159999999999982</v>
      </c>
      <c r="B310" s="709" t="s">
        <v>531</v>
      </c>
      <c r="C310" s="682">
        <v>2</v>
      </c>
      <c r="D310" s="682" t="s">
        <v>312</v>
      </c>
      <c r="E310" s="686" t="str">
        <f>Elec_Est!$Q1298</f>
        <v>By Mechancial Sub Contractor</v>
      </c>
      <c r="F310" s="687" t="str">
        <f>IFERROR($C310*E310,E310)</f>
        <v>By Mechancial Sub Contractor</v>
      </c>
      <c r="G310" s="686" t="str">
        <f>Elec_Est!$Q1298</f>
        <v>By Mechancial Sub Contractor</v>
      </c>
      <c r="H310" s="686" t="str">
        <f>Elec_Est!$Q1298</f>
        <v>By Mechancial Sub Contractor</v>
      </c>
      <c r="I310" s="686" t="str">
        <f>Elec_Est!$Q1298</f>
        <v>By Mechancial Sub Contractor</v>
      </c>
    </row>
    <row r="311" spans="1:9" s="671" customFormat="1" ht="55.2">
      <c r="A311" s="679">
        <f ca="1">IFERROR(IF(OFFSET(A311,-1,0)&gt;0,OFFSET(A311,-1,0)+0.001,ERROR.TYPE(0)),IFERROR(IF(OFFSET(A311,-2,0)&gt;0,OFFSET(A311,-2,0)+0.001,ERROR.TYPE(0)),IFERROR(IF(OFFSET(A311,-3,0)&gt;0,OFFSET(A311,-3,0)+0.001,ERROR.TYPE(0)),IFERROR(IF(OFFSET(A311,-4,0)&gt;0,OFFSET(A311,-4,0)+0.001,ERROR.TYPE(0)),IFERROR(IF(OFFSET(A311,-5,0)&gt;0,OFFSET(A311,-5,0)+0.001,ERROR.TYPE(0)),IFERROR(IF(OFFSET(A311,-6,0)&gt;0,OFFSET(A311,-6,0)+0.001,ERROR.TYPE(0)),IFERROR(IF(OFFSET(A311,-7,0)&gt;0,OFFSET(A311,-7,0)+0.001,ERROR.TYPE(0)),IFERROR(IF(OFFSET(A311,-8,0)&gt;0,OFFSET(A311,-8,0)+0.001,ERROR.TYPE(0)),IFERROR(IF(OFFSET(A311,-9,0)&gt;0,OFFSET(A311,-9,0)+0.001,ERROR.TYPE(0)),IFERROR(IF(OFFSET(A311,-10,0)&gt;0,OFFSET(A311,-10,0)+0.001,ERROR.TYPE(0)),ERROR.TYPE(0)))))))))))</f>
        <v>3.0169999999999981</v>
      </c>
      <c r="B311" s="709" t="s">
        <v>532</v>
      </c>
      <c r="C311" s="682">
        <v>1</v>
      </c>
      <c r="D311" s="682" t="s">
        <v>312</v>
      </c>
      <c r="E311" s="686" t="str">
        <f>Elec_Est!$Q1319</f>
        <v>By Mechancial Sub Contractor</v>
      </c>
      <c r="F311" s="687" t="str">
        <f>IFERROR($C311*E311,E311)</f>
        <v>By Mechancial Sub Contractor</v>
      </c>
      <c r="G311" s="686" t="str">
        <f>Elec_Est!$Q1319</f>
        <v>By Mechancial Sub Contractor</v>
      </c>
      <c r="H311" s="686" t="str">
        <f>Elec_Est!$Q1319</f>
        <v>By Mechancial Sub Contractor</v>
      </c>
      <c r="I311" s="686" t="str">
        <f>Elec_Est!$Q1319</f>
        <v>By Mechancial Sub Contractor</v>
      </c>
    </row>
    <row r="312" spans="1:9" s="671" customFormat="1" ht="55.2">
      <c r="A312" s="679">
        <f ca="1">IFERROR(IF(OFFSET(A312,-1,0)&gt;0,OFFSET(A312,-1,0)+0.001,ERROR.TYPE(0)),IFERROR(IF(OFFSET(A312,-2,0)&gt;0,OFFSET(A312,-2,0)+0.001,ERROR.TYPE(0)),IFERROR(IF(OFFSET(A312,-3,0)&gt;0,OFFSET(A312,-3,0)+0.001,ERROR.TYPE(0)),IFERROR(IF(OFFSET(A312,-4,0)&gt;0,OFFSET(A312,-4,0)+0.001,ERROR.TYPE(0)),IFERROR(IF(OFFSET(A312,-5,0)&gt;0,OFFSET(A312,-5,0)+0.001,ERROR.TYPE(0)),IFERROR(IF(OFFSET(A312,-6,0)&gt;0,OFFSET(A312,-6,0)+0.001,ERROR.TYPE(0)),IFERROR(IF(OFFSET(A312,-7,0)&gt;0,OFFSET(A312,-7,0)+0.001,ERROR.TYPE(0)),IFERROR(IF(OFFSET(A312,-8,0)&gt;0,OFFSET(A312,-8,0)+0.001,ERROR.TYPE(0)),IFERROR(IF(OFFSET(A312,-9,0)&gt;0,OFFSET(A312,-9,0)+0.001,ERROR.TYPE(0)),IFERROR(IF(OFFSET(A312,-10,0)&gt;0,OFFSET(A312,-10,0)+0.001,ERROR.TYPE(0)),ERROR.TYPE(0)))))))))))</f>
        <v>3.017999999999998</v>
      </c>
      <c r="B312" s="709" t="s">
        <v>533</v>
      </c>
      <c r="C312" s="682">
        <v>2</v>
      </c>
      <c r="D312" s="682" t="s">
        <v>312</v>
      </c>
      <c r="E312" s="686" t="str">
        <f>Elec_Est!$Q1340</f>
        <v>By Mechancial Sub Contractor</v>
      </c>
      <c r="F312" s="687" t="str">
        <f>IFERROR($C312*E312,E312)</f>
        <v>By Mechancial Sub Contractor</v>
      </c>
      <c r="G312" s="686" t="str">
        <f>Elec_Est!$Q1340</f>
        <v>By Mechancial Sub Contractor</v>
      </c>
      <c r="H312" s="686" t="str">
        <f>Elec_Est!$Q1340</f>
        <v>By Mechancial Sub Contractor</v>
      </c>
      <c r="I312" s="686" t="str">
        <f>Elec_Est!$Q1340</f>
        <v>By Mechancial Sub Contractor</v>
      </c>
    </row>
    <row r="313" spans="1:9" s="671" customFormat="1">
      <c r="A313" s="679">
        <f ca="1">IFERROR(IF(OFFSET(A313,-1,0)&gt;0,OFFSET(A313,-1,0)+0.001,ERROR.TYPE(0)),IFERROR(IF(OFFSET(A313,-2,0)&gt;0,OFFSET(A313,-2,0)+0.001,ERROR.TYPE(0)),IFERROR(IF(OFFSET(A313,-3,0)&gt;0,OFFSET(A313,-3,0)+0.001,ERROR.TYPE(0)),IFERROR(IF(OFFSET(A313,-4,0)&gt;0,OFFSET(A313,-4,0)+0.001,ERROR.TYPE(0)),IFERROR(IF(OFFSET(A313,-5,0)&gt;0,OFFSET(A313,-5,0)+0.001,ERROR.TYPE(0)),IFERROR(IF(OFFSET(A313,-6,0)&gt;0,OFFSET(A313,-6,0)+0.001,ERROR.TYPE(0)),IFERROR(IF(OFFSET(A313,-7,0)&gt;0,OFFSET(A313,-7,0)+0.001,ERROR.TYPE(0)),IFERROR(IF(OFFSET(A313,-8,0)&gt;0,OFFSET(A313,-8,0)+0.001,ERROR.TYPE(0)),IFERROR(IF(OFFSET(A313,-9,0)&gt;0,OFFSET(A313,-9,0)+0.001,ERROR.TYPE(0)),IFERROR(IF(OFFSET(A313,-10,0)&gt;0,OFFSET(A313,-10,0)+0.001,ERROR.TYPE(0)),ERROR.TYPE(0)))))))))))</f>
        <v>3.0189999999999979</v>
      </c>
      <c r="B313" s="685" t="s">
        <v>534</v>
      </c>
      <c r="C313" s="682">
        <v>5</v>
      </c>
      <c r="D313" s="682" t="s">
        <v>312</v>
      </c>
      <c r="E313" s="686">
        <f ca="1">Elec_Est!E1361</f>
        <v>41.96</v>
      </c>
      <c r="F313" s="687">
        <f ca="1">IFERROR($C313*E313,E313)</f>
        <v>209.8</v>
      </c>
      <c r="G313" s="686">
        <f ca="1">Elec_Est!AM1361</f>
        <v>61.5</v>
      </c>
      <c r="H313" s="686">
        <f ca="1">Elec_Est!AN1361</f>
        <v>5.4</v>
      </c>
      <c r="I313" s="686"/>
    </row>
    <row r="314" spans="1:9" s="671" customFormat="1" ht="27.6">
      <c r="A314" s="726"/>
      <c r="B314" s="704" t="s">
        <v>535</v>
      </c>
      <c r="C314" s="727"/>
      <c r="D314" s="727"/>
      <c r="E314" s="728"/>
      <c r="F314" s="729"/>
      <c r="G314" s="728"/>
      <c r="H314" s="728"/>
      <c r="I314" s="728"/>
    </row>
    <row r="315" spans="1:9" s="731" customFormat="1">
      <c r="A315" s="679">
        <f ca="1">IFERROR(IF(OFFSET(A315,-1,0)&gt;0,OFFSET(A315,-1,0)+0.001,ERROR.TYPE(0)),IFERROR(IF(OFFSET(A315,-2,0)&gt;0,OFFSET(A315,-2,0)+0.001,ERROR.TYPE(0)),IFERROR(IF(OFFSET(A315,-3,0)&gt;0,OFFSET(A315,-3,0)+0.001,ERROR.TYPE(0)),IFERROR(IF(OFFSET(A315,-4,0)&gt;0,OFFSET(A315,-4,0)+0.001,ERROR.TYPE(0)),IFERROR(IF(OFFSET(A315,-5,0)&gt;0,OFFSET(A315,-5,0)+0.001,ERROR.TYPE(0)),IFERROR(IF(OFFSET(A315,-6,0)&gt;0,OFFSET(A315,-6,0)+0.001,ERROR.TYPE(0)),IFERROR(IF(OFFSET(A315,-7,0)&gt;0,OFFSET(A315,-7,0)+0.001,ERROR.TYPE(0)),IFERROR(IF(OFFSET(A315,-8,0)&gt;0,OFFSET(A315,-8,0)+0.001,ERROR.TYPE(0)),IFERROR(IF(OFFSET(A315,-9,0)&gt;0,OFFSET(A315,-9,0)+0.001,ERROR.TYPE(0)),IFERROR(IF(OFFSET(A315,-10,0)&gt;0,OFFSET(A315,-10,0)+0.001,ERROR.TYPE(0)),ERROR.TYPE(0)))))))))))</f>
        <v>3.0199999999999978</v>
      </c>
      <c r="B315" s="730" t="s">
        <v>536</v>
      </c>
      <c r="C315" s="682">
        <v>3</v>
      </c>
      <c r="D315" s="682" t="s">
        <v>141</v>
      </c>
      <c r="E315" s="686"/>
      <c r="F315" s="687">
        <f>IFERROR($C315*E315,E315)</f>
        <v>0</v>
      </c>
      <c r="G315" s="686"/>
      <c r="H315" s="686"/>
      <c r="I315" s="686"/>
    </row>
    <row r="316" spans="1:9" s="731" customFormat="1">
      <c r="A316" s="679">
        <f ca="1">IFERROR(IF(OFFSET(A316,-1,0)&gt;0,OFFSET(A316,-1,0)+0.001,ERROR.TYPE(0)),IFERROR(IF(OFFSET(A316,-2,0)&gt;0,OFFSET(A316,-2,0)+0.001,ERROR.TYPE(0)),IFERROR(IF(OFFSET(A316,-3,0)&gt;0,OFFSET(A316,-3,0)+0.001,ERROR.TYPE(0)),IFERROR(IF(OFFSET(A316,-4,0)&gt;0,OFFSET(A316,-4,0)+0.001,ERROR.TYPE(0)),IFERROR(IF(OFFSET(A316,-5,0)&gt;0,OFFSET(A316,-5,0)+0.001,ERROR.TYPE(0)),IFERROR(IF(OFFSET(A316,-6,0)&gt;0,OFFSET(A316,-6,0)+0.001,ERROR.TYPE(0)),IFERROR(IF(OFFSET(A316,-7,0)&gt;0,OFFSET(A316,-7,0)+0.001,ERROR.TYPE(0)),IFERROR(IF(OFFSET(A316,-8,0)&gt;0,OFFSET(A316,-8,0)+0.001,ERROR.TYPE(0)),IFERROR(IF(OFFSET(A316,-9,0)&gt;0,OFFSET(A316,-9,0)+0.001,ERROR.TYPE(0)),IFERROR(IF(OFFSET(A316,-10,0)&gt;0,OFFSET(A316,-10,0)+0.001,ERROR.TYPE(0)),ERROR.TYPE(0)))))))))))</f>
        <v>3.0209999999999977</v>
      </c>
      <c r="B316" s="730" t="s">
        <v>537</v>
      </c>
      <c r="C316" s="682">
        <v>3</v>
      </c>
      <c r="D316" s="682" t="s">
        <v>141</v>
      </c>
      <c r="E316" s="686"/>
      <c r="F316" s="687">
        <f>IFERROR($C316*E316,E316)</f>
        <v>0</v>
      </c>
      <c r="G316" s="686"/>
      <c r="H316" s="686"/>
      <c r="I316" s="686"/>
    </row>
    <row r="317" spans="1:9" s="671" customFormat="1" ht="27.6">
      <c r="A317" s="726"/>
      <c r="B317" s="704" t="s">
        <v>538</v>
      </c>
      <c r="C317" s="727"/>
      <c r="D317" s="727"/>
      <c r="E317" s="728"/>
      <c r="F317" s="729"/>
      <c r="G317" s="728"/>
      <c r="H317" s="728"/>
      <c r="I317" s="728"/>
    </row>
    <row r="318" spans="1:9" s="731" customFormat="1">
      <c r="A318" s="679">
        <f ca="1">IFERROR(IF(OFFSET(A318,-1,0)&gt;0,OFFSET(A318,-1,0)+0.001,ERROR.TYPE(0)),IFERROR(IF(OFFSET(A318,-2,0)&gt;0,OFFSET(A318,-2,0)+0.001,ERROR.TYPE(0)),IFERROR(IF(OFFSET(A318,-3,0)&gt;0,OFFSET(A318,-3,0)+0.001,ERROR.TYPE(0)),IFERROR(IF(OFFSET(A318,-4,0)&gt;0,OFFSET(A318,-4,0)+0.001,ERROR.TYPE(0)),IFERROR(IF(OFFSET(A318,-5,0)&gt;0,OFFSET(A318,-5,0)+0.001,ERROR.TYPE(0)),IFERROR(IF(OFFSET(A318,-6,0)&gt;0,OFFSET(A318,-6,0)+0.001,ERROR.TYPE(0)),IFERROR(IF(OFFSET(A318,-7,0)&gt;0,OFFSET(A318,-7,0)+0.001,ERROR.TYPE(0)),IFERROR(IF(OFFSET(A318,-8,0)&gt;0,OFFSET(A318,-8,0)+0.001,ERROR.TYPE(0)),IFERROR(IF(OFFSET(A318,-9,0)&gt;0,OFFSET(A318,-9,0)+0.001,ERROR.TYPE(0)),IFERROR(IF(OFFSET(A318,-10,0)&gt;0,OFFSET(A318,-10,0)+0.001,ERROR.TYPE(0)),ERROR.TYPE(0)))))))))))</f>
        <v>3.0219999999999976</v>
      </c>
      <c r="B318" s="730" t="s">
        <v>536</v>
      </c>
      <c r="C318" s="682">
        <v>3</v>
      </c>
      <c r="D318" s="682" t="s">
        <v>141</v>
      </c>
      <c r="E318" s="686"/>
      <c r="F318" s="687">
        <f>IFERROR($C318*E318,E318)</f>
        <v>0</v>
      </c>
      <c r="G318" s="686"/>
      <c r="H318" s="686"/>
      <c r="I318" s="686"/>
    </row>
    <row r="319" spans="1:9" s="731" customFormat="1">
      <c r="A319" s="679">
        <f ca="1">IFERROR(IF(OFFSET(A319,-1,0)&gt;0,OFFSET(A319,-1,0)+0.001,ERROR.TYPE(0)),IFERROR(IF(OFFSET(A319,-2,0)&gt;0,OFFSET(A319,-2,0)+0.001,ERROR.TYPE(0)),IFERROR(IF(OFFSET(A319,-3,0)&gt;0,OFFSET(A319,-3,0)+0.001,ERROR.TYPE(0)),IFERROR(IF(OFFSET(A319,-4,0)&gt;0,OFFSET(A319,-4,0)+0.001,ERROR.TYPE(0)),IFERROR(IF(OFFSET(A319,-5,0)&gt;0,OFFSET(A319,-5,0)+0.001,ERROR.TYPE(0)),IFERROR(IF(OFFSET(A319,-6,0)&gt;0,OFFSET(A319,-6,0)+0.001,ERROR.TYPE(0)),IFERROR(IF(OFFSET(A319,-7,0)&gt;0,OFFSET(A319,-7,0)+0.001,ERROR.TYPE(0)),IFERROR(IF(OFFSET(A319,-8,0)&gt;0,OFFSET(A319,-8,0)+0.001,ERROR.TYPE(0)),IFERROR(IF(OFFSET(A319,-9,0)&gt;0,OFFSET(A319,-9,0)+0.001,ERROR.TYPE(0)),IFERROR(IF(OFFSET(A319,-10,0)&gt;0,OFFSET(A319,-10,0)+0.001,ERROR.TYPE(0)),ERROR.TYPE(0)))))))))))</f>
        <v>3.0229999999999975</v>
      </c>
      <c r="B319" s="730" t="s">
        <v>539</v>
      </c>
      <c r="C319" s="682">
        <v>3</v>
      </c>
      <c r="D319" s="682" t="s">
        <v>141</v>
      </c>
      <c r="E319" s="686"/>
      <c r="F319" s="687">
        <f>IFERROR($C319*E319,E319)</f>
        <v>0</v>
      </c>
      <c r="G319" s="686"/>
      <c r="H319" s="686"/>
      <c r="I319" s="686"/>
    </row>
    <row r="320" spans="1:9" s="671" customFormat="1" ht="27.6">
      <c r="A320" s="679">
        <f ca="1">IFERROR(IF(OFFSET(A320,-1,0)&gt;0,OFFSET(A320,-1,0)+0.001,ERROR.TYPE(0)),IFERROR(IF(OFFSET(A320,-2,0)&gt;0,OFFSET(A320,-2,0)+0.001,ERROR.TYPE(0)),IFERROR(IF(OFFSET(A320,-3,0)&gt;0,OFFSET(A320,-3,0)+0.001,ERROR.TYPE(0)),IFERROR(IF(OFFSET(A320,-4,0)&gt;0,OFFSET(A320,-4,0)+0.001,ERROR.TYPE(0)),IFERROR(IF(OFFSET(A320,-5,0)&gt;0,OFFSET(A320,-5,0)+0.001,ERROR.TYPE(0)),IFERROR(IF(OFFSET(A320,-6,0)&gt;0,OFFSET(A320,-6,0)+0.001,ERROR.TYPE(0)),IFERROR(IF(OFFSET(A320,-7,0)&gt;0,OFFSET(A320,-7,0)+0.001,ERROR.TYPE(0)),IFERROR(IF(OFFSET(A320,-8,0)&gt;0,OFFSET(A320,-8,0)+0.001,ERROR.TYPE(0)),IFERROR(IF(OFFSET(A320,-9,0)&gt;0,OFFSET(A320,-9,0)+0.001,ERROR.TYPE(0)),IFERROR(IF(OFFSET(A320,-10,0)&gt;0,OFFSET(A320,-10,0)+0.001,ERROR.TYPE(0)),ERROR.TYPE(0)))))))))))</f>
        <v>3.0239999999999974</v>
      </c>
      <c r="B320" s="685" t="s">
        <v>540</v>
      </c>
      <c r="C320" s="682">
        <v>1</v>
      </c>
      <c r="D320" s="622" t="s">
        <v>313</v>
      </c>
      <c r="E320" s="686"/>
      <c r="F320" s="687">
        <f>IFERROR($C320*E320,E320)</f>
        <v>0</v>
      </c>
      <c r="G320" s="686"/>
      <c r="H320" s="686"/>
      <c r="I320" s="686"/>
    </row>
    <row r="321" spans="1:9" s="671" customFormat="1">
      <c r="A321" s="679" t="s">
        <v>340</v>
      </c>
      <c r="B321" s="702" t="s">
        <v>541</v>
      </c>
      <c r="C321" s="681"/>
      <c r="D321" s="682"/>
      <c r="E321" s="683"/>
      <c r="F321" s="687"/>
      <c r="G321" s="683"/>
      <c r="H321" s="683"/>
      <c r="I321" s="683"/>
    </row>
    <row r="322" spans="1:9" s="671" customFormat="1">
      <c r="A322" s="674" t="s">
        <v>340</v>
      </c>
      <c r="B322" s="702" t="s">
        <v>542</v>
      </c>
      <c r="C322" s="676"/>
      <c r="D322" s="676"/>
      <c r="E322" s="677"/>
      <c r="F322" s="678"/>
      <c r="G322" s="677"/>
      <c r="H322" s="677"/>
      <c r="I322" s="677"/>
    </row>
    <row r="323" spans="1:9" s="671" customFormat="1" ht="69">
      <c r="A323" s="679" t="s">
        <v>340</v>
      </c>
      <c r="B323" s="725" t="s">
        <v>530</v>
      </c>
      <c r="C323" s="682"/>
      <c r="D323" s="682"/>
      <c r="E323" s="686"/>
      <c r="F323" s="687"/>
      <c r="G323" s="686"/>
      <c r="H323" s="686"/>
      <c r="I323" s="686"/>
    </row>
    <row r="324" spans="1:9" s="671" customFormat="1" ht="55.2">
      <c r="A324" s="679">
        <f ca="1">IFERROR(IF(OFFSET(A324,-1,0)&gt;0,OFFSET(A324,-1,0)+0.001,ERROR.TYPE(0)),IFERROR(IF(OFFSET(A324,-2,0)&gt;0,OFFSET(A324,-2,0)+0.001,ERROR.TYPE(0)),IFERROR(IF(OFFSET(A324,-3,0)&gt;0,OFFSET(A324,-3,0)+0.001,ERROR.TYPE(0)),IFERROR(IF(OFFSET(A324,-4,0)&gt;0,OFFSET(A324,-4,0)+0.001,ERROR.TYPE(0)),IFERROR(IF(OFFSET(A324,-5,0)&gt;0,OFFSET(A324,-5,0)+0.001,ERROR.TYPE(0)),IFERROR(IF(OFFSET(A324,-6,0)&gt;0,OFFSET(A324,-6,0)+0.001,ERROR.TYPE(0)),IFERROR(IF(OFFSET(A324,-7,0)&gt;0,OFFSET(A324,-7,0)+0.001,ERROR.TYPE(0)),IFERROR(IF(OFFSET(A324,-8,0)&gt;0,OFFSET(A324,-8,0)+0.001,ERROR.TYPE(0)),IFERROR(IF(OFFSET(A324,-9,0)&gt;0,OFFSET(A324,-9,0)+0.001,ERROR.TYPE(0)),IFERROR(IF(OFFSET(A324,-10,0)&gt;0,OFFSET(A324,-10,0)+0.001,ERROR.TYPE(0)),ERROR.TYPE(0)))))))))))</f>
        <v>3.0249999999999972</v>
      </c>
      <c r="B324" s="709" t="s">
        <v>543</v>
      </c>
      <c r="C324" s="682">
        <v>3</v>
      </c>
      <c r="D324" s="682" t="s">
        <v>312</v>
      </c>
      <c r="E324" s="686" t="str">
        <f>Elec_Est!$Q1394</f>
        <v>By Mechancial Sub Contractor</v>
      </c>
      <c r="F324" s="687" t="str">
        <f>IFERROR($C324*E324,E324)</f>
        <v>By Mechancial Sub Contractor</v>
      </c>
      <c r="G324" s="686" t="str">
        <f>Elec_Est!$Q1394</f>
        <v>By Mechancial Sub Contractor</v>
      </c>
      <c r="H324" s="686" t="str">
        <f>Elec_Est!$Q1394</f>
        <v>By Mechancial Sub Contractor</v>
      </c>
      <c r="I324" s="686" t="str">
        <f>Elec_Est!$Q1394</f>
        <v>By Mechancial Sub Contractor</v>
      </c>
    </row>
    <row r="325" spans="1:9" s="671" customFormat="1" ht="55.2">
      <c r="A325" s="679">
        <f ca="1">IFERROR(IF(OFFSET(A325,-1,0)&gt;0,OFFSET(A325,-1,0)+0.001,ERROR.TYPE(0)),IFERROR(IF(OFFSET(A325,-2,0)&gt;0,OFFSET(A325,-2,0)+0.001,ERROR.TYPE(0)),IFERROR(IF(OFFSET(A325,-3,0)&gt;0,OFFSET(A325,-3,0)+0.001,ERROR.TYPE(0)),IFERROR(IF(OFFSET(A325,-4,0)&gt;0,OFFSET(A325,-4,0)+0.001,ERROR.TYPE(0)),IFERROR(IF(OFFSET(A325,-5,0)&gt;0,OFFSET(A325,-5,0)+0.001,ERROR.TYPE(0)),IFERROR(IF(OFFSET(A325,-6,0)&gt;0,OFFSET(A325,-6,0)+0.001,ERROR.TYPE(0)),IFERROR(IF(OFFSET(A325,-7,0)&gt;0,OFFSET(A325,-7,0)+0.001,ERROR.TYPE(0)),IFERROR(IF(OFFSET(A325,-8,0)&gt;0,OFFSET(A325,-8,0)+0.001,ERROR.TYPE(0)),IFERROR(IF(OFFSET(A325,-9,0)&gt;0,OFFSET(A325,-9,0)+0.001,ERROR.TYPE(0)),IFERROR(IF(OFFSET(A325,-10,0)&gt;0,OFFSET(A325,-10,0)+0.001,ERROR.TYPE(0)),ERROR.TYPE(0)))))))))))</f>
        <v>3.0259999999999971</v>
      </c>
      <c r="B325" s="709" t="s">
        <v>531</v>
      </c>
      <c r="C325" s="682">
        <v>2</v>
      </c>
      <c r="D325" s="682" t="s">
        <v>312</v>
      </c>
      <c r="E325" s="686" t="str">
        <f>Elec_Est!$Q1415</f>
        <v>By Mechancial Sub Contractor</v>
      </c>
      <c r="F325" s="687" t="str">
        <f>IFERROR($C325*E325,E325)</f>
        <v>By Mechancial Sub Contractor</v>
      </c>
      <c r="G325" s="686" t="str">
        <f>Elec_Est!$Q1415</f>
        <v>By Mechancial Sub Contractor</v>
      </c>
      <c r="H325" s="686" t="str">
        <f>Elec_Est!$Q1415</f>
        <v>By Mechancial Sub Contractor</v>
      </c>
      <c r="I325" s="686" t="str">
        <f>Elec_Est!$Q1415</f>
        <v>By Mechancial Sub Contractor</v>
      </c>
    </row>
    <row r="326" spans="1:9" s="671" customFormat="1" ht="55.2">
      <c r="A326" s="679">
        <f ca="1">IFERROR(IF(OFFSET(A326,-1,0)&gt;0,OFFSET(A326,-1,0)+0.001,ERROR.TYPE(0)),IFERROR(IF(OFFSET(A326,-2,0)&gt;0,OFFSET(A326,-2,0)+0.001,ERROR.TYPE(0)),IFERROR(IF(OFFSET(A326,-3,0)&gt;0,OFFSET(A326,-3,0)+0.001,ERROR.TYPE(0)),IFERROR(IF(OFFSET(A326,-4,0)&gt;0,OFFSET(A326,-4,0)+0.001,ERROR.TYPE(0)),IFERROR(IF(OFFSET(A326,-5,0)&gt;0,OFFSET(A326,-5,0)+0.001,ERROR.TYPE(0)),IFERROR(IF(OFFSET(A326,-6,0)&gt;0,OFFSET(A326,-6,0)+0.001,ERROR.TYPE(0)),IFERROR(IF(OFFSET(A326,-7,0)&gt;0,OFFSET(A326,-7,0)+0.001,ERROR.TYPE(0)),IFERROR(IF(OFFSET(A326,-8,0)&gt;0,OFFSET(A326,-8,0)+0.001,ERROR.TYPE(0)),IFERROR(IF(OFFSET(A326,-9,0)&gt;0,OFFSET(A326,-9,0)+0.001,ERROR.TYPE(0)),IFERROR(IF(OFFSET(A326,-10,0)&gt;0,OFFSET(A326,-10,0)+0.001,ERROR.TYPE(0)),ERROR.TYPE(0)))))))))))</f>
        <v>3.026999999999997</v>
      </c>
      <c r="B326" s="709" t="s">
        <v>533</v>
      </c>
      <c r="C326" s="682">
        <v>1</v>
      </c>
      <c r="D326" s="682" t="s">
        <v>312</v>
      </c>
      <c r="E326" s="686" t="str">
        <f>Elec_Est!$Q1436</f>
        <v>By Mechancial Sub Contractor</v>
      </c>
      <c r="F326" s="687" t="str">
        <f>IFERROR($C326*E326,E326)</f>
        <v>By Mechancial Sub Contractor</v>
      </c>
      <c r="G326" s="686" t="str">
        <f>Elec_Est!$Q1436</f>
        <v>By Mechancial Sub Contractor</v>
      </c>
      <c r="H326" s="686" t="str">
        <f>Elec_Est!$Q1436</f>
        <v>By Mechancial Sub Contractor</v>
      </c>
      <c r="I326" s="686" t="str">
        <f>Elec_Est!$Q1436</f>
        <v>By Mechancial Sub Contractor</v>
      </c>
    </row>
    <row r="327" spans="1:9" s="671" customFormat="1">
      <c r="A327" s="679">
        <f ca="1">IFERROR(IF(OFFSET(A327,-1,0)&gt;0,OFFSET(A327,-1,0)+0.001,ERROR.TYPE(0)),IFERROR(IF(OFFSET(A327,-2,0)&gt;0,OFFSET(A327,-2,0)+0.001,ERROR.TYPE(0)),IFERROR(IF(OFFSET(A327,-3,0)&gt;0,OFFSET(A327,-3,0)+0.001,ERROR.TYPE(0)),IFERROR(IF(OFFSET(A327,-4,0)&gt;0,OFFSET(A327,-4,0)+0.001,ERROR.TYPE(0)),IFERROR(IF(OFFSET(A327,-5,0)&gt;0,OFFSET(A327,-5,0)+0.001,ERROR.TYPE(0)),IFERROR(IF(OFFSET(A327,-6,0)&gt;0,OFFSET(A327,-6,0)+0.001,ERROR.TYPE(0)),IFERROR(IF(OFFSET(A327,-7,0)&gt;0,OFFSET(A327,-7,0)+0.001,ERROR.TYPE(0)),IFERROR(IF(OFFSET(A327,-8,0)&gt;0,OFFSET(A327,-8,0)+0.001,ERROR.TYPE(0)),IFERROR(IF(OFFSET(A327,-9,0)&gt;0,OFFSET(A327,-9,0)+0.001,ERROR.TYPE(0)),IFERROR(IF(OFFSET(A327,-10,0)&gt;0,OFFSET(A327,-10,0)+0.001,ERROR.TYPE(0)),ERROR.TYPE(0)))))))))))</f>
        <v>3.0279999999999969</v>
      </c>
      <c r="B327" s="685" t="s">
        <v>534</v>
      </c>
      <c r="C327" s="682">
        <v>6</v>
      </c>
      <c r="D327" s="682" t="s">
        <v>312</v>
      </c>
      <c r="E327" s="686">
        <f ca="1">Elec_Est!$E1457</f>
        <v>41.96</v>
      </c>
      <c r="F327" s="687">
        <f ca="1">IFERROR($C327*E327,E327)</f>
        <v>251.76</v>
      </c>
      <c r="G327" s="686">
        <f ca="1">Elec_Est!$AM1457</f>
        <v>73.8</v>
      </c>
      <c r="H327" s="686">
        <f ca="1">Elec_Est!$AN1457</f>
        <v>6.48</v>
      </c>
      <c r="I327" s="686"/>
    </row>
    <row r="328" spans="1:9" s="671" customFormat="1" ht="27.6">
      <c r="A328" s="726"/>
      <c r="B328" s="704" t="s">
        <v>535</v>
      </c>
      <c r="C328" s="727"/>
      <c r="D328" s="727"/>
      <c r="E328" s="728"/>
      <c r="F328" s="729"/>
      <c r="G328" s="728"/>
      <c r="H328" s="728"/>
      <c r="I328" s="728"/>
    </row>
    <row r="329" spans="1:9" s="731" customFormat="1">
      <c r="A329" s="679">
        <f ca="1">IFERROR(IF(OFFSET(A329,-1,0)&gt;0,OFFSET(A329,-1,0)+0.001,ERROR.TYPE(0)),IFERROR(IF(OFFSET(A329,-2,0)&gt;0,OFFSET(A329,-2,0)+0.001,ERROR.TYPE(0)),IFERROR(IF(OFFSET(A329,-3,0)&gt;0,OFFSET(A329,-3,0)+0.001,ERROR.TYPE(0)),IFERROR(IF(OFFSET(A329,-4,0)&gt;0,OFFSET(A329,-4,0)+0.001,ERROR.TYPE(0)),IFERROR(IF(OFFSET(A329,-5,0)&gt;0,OFFSET(A329,-5,0)+0.001,ERROR.TYPE(0)),IFERROR(IF(OFFSET(A329,-6,0)&gt;0,OFFSET(A329,-6,0)+0.001,ERROR.TYPE(0)),IFERROR(IF(OFFSET(A329,-7,0)&gt;0,OFFSET(A329,-7,0)+0.001,ERROR.TYPE(0)),IFERROR(IF(OFFSET(A329,-8,0)&gt;0,OFFSET(A329,-8,0)+0.001,ERROR.TYPE(0)),IFERROR(IF(OFFSET(A329,-9,0)&gt;0,OFFSET(A329,-9,0)+0.001,ERROR.TYPE(0)),IFERROR(IF(OFFSET(A329,-10,0)&gt;0,OFFSET(A329,-10,0)+0.001,ERROR.TYPE(0)),ERROR.TYPE(0)))))))))))</f>
        <v>3.0289999999999968</v>
      </c>
      <c r="B329" s="730" t="s">
        <v>536</v>
      </c>
      <c r="C329" s="682">
        <v>1</v>
      </c>
      <c r="D329" s="682" t="s">
        <v>141</v>
      </c>
      <c r="E329" s="686"/>
      <c r="F329" s="687">
        <f>IFERROR($C329*E329,E329)</f>
        <v>0</v>
      </c>
      <c r="G329" s="686"/>
      <c r="H329" s="686"/>
      <c r="I329" s="686"/>
    </row>
    <row r="330" spans="1:9" s="731" customFormat="1">
      <c r="A330" s="679">
        <f ca="1">IFERROR(IF(OFFSET(A330,-1,0)&gt;0,OFFSET(A330,-1,0)+0.001,ERROR.TYPE(0)),IFERROR(IF(OFFSET(A330,-2,0)&gt;0,OFFSET(A330,-2,0)+0.001,ERROR.TYPE(0)),IFERROR(IF(OFFSET(A330,-3,0)&gt;0,OFFSET(A330,-3,0)+0.001,ERROR.TYPE(0)),IFERROR(IF(OFFSET(A330,-4,0)&gt;0,OFFSET(A330,-4,0)+0.001,ERROR.TYPE(0)),IFERROR(IF(OFFSET(A330,-5,0)&gt;0,OFFSET(A330,-5,0)+0.001,ERROR.TYPE(0)),IFERROR(IF(OFFSET(A330,-6,0)&gt;0,OFFSET(A330,-6,0)+0.001,ERROR.TYPE(0)),IFERROR(IF(OFFSET(A330,-7,0)&gt;0,OFFSET(A330,-7,0)+0.001,ERROR.TYPE(0)),IFERROR(IF(OFFSET(A330,-8,0)&gt;0,OFFSET(A330,-8,0)+0.001,ERROR.TYPE(0)),IFERROR(IF(OFFSET(A330,-9,0)&gt;0,OFFSET(A330,-9,0)+0.001,ERROR.TYPE(0)),IFERROR(IF(OFFSET(A330,-10,0)&gt;0,OFFSET(A330,-10,0)+0.001,ERROR.TYPE(0)),ERROR.TYPE(0)))))))))))</f>
        <v>3.0299999999999967</v>
      </c>
      <c r="B330" s="730" t="s">
        <v>537</v>
      </c>
      <c r="C330" s="682">
        <v>1</v>
      </c>
      <c r="D330" s="682" t="s">
        <v>141</v>
      </c>
      <c r="E330" s="686"/>
      <c r="F330" s="687">
        <f>IFERROR($C330*E330,E330)</f>
        <v>0</v>
      </c>
      <c r="G330" s="686"/>
      <c r="H330" s="686"/>
      <c r="I330" s="686"/>
    </row>
    <row r="331" spans="1:9" s="671" customFormat="1" ht="27.6">
      <c r="A331" s="726"/>
      <c r="B331" s="704" t="s">
        <v>538</v>
      </c>
      <c r="C331" s="727"/>
      <c r="D331" s="727"/>
      <c r="E331" s="728"/>
      <c r="F331" s="729"/>
      <c r="G331" s="728"/>
      <c r="H331" s="728"/>
      <c r="I331" s="728"/>
    </row>
    <row r="332" spans="1:9" s="731" customFormat="1">
      <c r="A332" s="679">
        <f ca="1">IFERROR(IF(OFFSET(A332,-1,0)&gt;0,OFFSET(A332,-1,0)+0.001,ERROR.TYPE(0)),IFERROR(IF(OFFSET(A332,-2,0)&gt;0,OFFSET(A332,-2,0)+0.001,ERROR.TYPE(0)),IFERROR(IF(OFFSET(A332,-3,0)&gt;0,OFFSET(A332,-3,0)+0.001,ERROR.TYPE(0)),IFERROR(IF(OFFSET(A332,-4,0)&gt;0,OFFSET(A332,-4,0)+0.001,ERROR.TYPE(0)),IFERROR(IF(OFFSET(A332,-5,0)&gt;0,OFFSET(A332,-5,0)+0.001,ERROR.TYPE(0)),IFERROR(IF(OFFSET(A332,-6,0)&gt;0,OFFSET(A332,-6,0)+0.001,ERROR.TYPE(0)),IFERROR(IF(OFFSET(A332,-7,0)&gt;0,OFFSET(A332,-7,0)+0.001,ERROR.TYPE(0)),IFERROR(IF(OFFSET(A332,-8,0)&gt;0,OFFSET(A332,-8,0)+0.001,ERROR.TYPE(0)),IFERROR(IF(OFFSET(A332,-9,0)&gt;0,OFFSET(A332,-9,0)+0.001,ERROR.TYPE(0)),IFERROR(IF(OFFSET(A332,-10,0)&gt;0,OFFSET(A332,-10,0)+0.001,ERROR.TYPE(0)),ERROR.TYPE(0)))))))))))</f>
        <v>3.0309999999999966</v>
      </c>
      <c r="B332" s="730" t="s">
        <v>536</v>
      </c>
      <c r="C332" s="682">
        <v>1</v>
      </c>
      <c r="D332" s="682" t="s">
        <v>141</v>
      </c>
      <c r="E332" s="686"/>
      <c r="F332" s="687">
        <f>IFERROR($C332*E332,E332)</f>
        <v>0</v>
      </c>
      <c r="G332" s="686"/>
      <c r="H332" s="686"/>
      <c r="I332" s="686"/>
    </row>
    <row r="333" spans="1:9" s="731" customFormat="1">
      <c r="A333" s="679">
        <f ca="1">IFERROR(IF(OFFSET(A333,-1,0)&gt;0,OFFSET(A333,-1,0)+0.001,ERROR.TYPE(0)),IFERROR(IF(OFFSET(A333,-2,0)&gt;0,OFFSET(A333,-2,0)+0.001,ERROR.TYPE(0)),IFERROR(IF(OFFSET(A333,-3,0)&gt;0,OFFSET(A333,-3,0)+0.001,ERROR.TYPE(0)),IFERROR(IF(OFFSET(A333,-4,0)&gt;0,OFFSET(A333,-4,0)+0.001,ERROR.TYPE(0)),IFERROR(IF(OFFSET(A333,-5,0)&gt;0,OFFSET(A333,-5,0)+0.001,ERROR.TYPE(0)),IFERROR(IF(OFFSET(A333,-6,0)&gt;0,OFFSET(A333,-6,0)+0.001,ERROR.TYPE(0)),IFERROR(IF(OFFSET(A333,-7,0)&gt;0,OFFSET(A333,-7,0)+0.001,ERROR.TYPE(0)),IFERROR(IF(OFFSET(A333,-8,0)&gt;0,OFFSET(A333,-8,0)+0.001,ERROR.TYPE(0)),IFERROR(IF(OFFSET(A333,-9,0)&gt;0,OFFSET(A333,-9,0)+0.001,ERROR.TYPE(0)),IFERROR(IF(OFFSET(A333,-10,0)&gt;0,OFFSET(A333,-10,0)+0.001,ERROR.TYPE(0)),ERROR.TYPE(0)))))))))))</f>
        <v>3.0319999999999965</v>
      </c>
      <c r="B333" s="730" t="s">
        <v>539</v>
      </c>
      <c r="C333" s="682">
        <v>1</v>
      </c>
      <c r="D333" s="682" t="s">
        <v>141</v>
      </c>
      <c r="E333" s="686"/>
      <c r="F333" s="687">
        <f>IFERROR($C333*E333,E333)</f>
        <v>0</v>
      </c>
      <c r="G333" s="686"/>
      <c r="H333" s="686"/>
      <c r="I333" s="686"/>
    </row>
    <row r="334" spans="1:9" s="671" customFormat="1">
      <c r="A334" s="674" t="s">
        <v>340</v>
      </c>
      <c r="B334" s="702" t="s">
        <v>544</v>
      </c>
      <c r="C334" s="676"/>
      <c r="D334" s="676"/>
      <c r="E334" s="677"/>
      <c r="F334" s="678"/>
      <c r="G334" s="677"/>
      <c r="H334" s="677"/>
      <c r="I334" s="677"/>
    </row>
    <row r="335" spans="1:9" s="671" customFormat="1" ht="69">
      <c r="A335" s="679" t="s">
        <v>340</v>
      </c>
      <c r="B335" s="725" t="s">
        <v>530</v>
      </c>
      <c r="C335" s="682"/>
      <c r="D335" s="682"/>
      <c r="E335" s="686"/>
      <c r="F335" s="687"/>
      <c r="G335" s="686"/>
      <c r="H335" s="686"/>
      <c r="I335" s="686"/>
    </row>
    <row r="336" spans="1:9" s="671" customFormat="1" ht="55.2">
      <c r="A336" s="679">
        <f ca="1">IFERROR(IF(OFFSET(A336,-1,0)&gt;0,OFFSET(A336,-1,0)+0.001,ERROR.TYPE(0)),IFERROR(IF(OFFSET(A336,-2,0)&gt;0,OFFSET(A336,-2,0)+0.001,ERROR.TYPE(0)),IFERROR(IF(OFFSET(A336,-3,0)&gt;0,OFFSET(A336,-3,0)+0.001,ERROR.TYPE(0)),IFERROR(IF(OFFSET(A336,-4,0)&gt;0,OFFSET(A336,-4,0)+0.001,ERROR.TYPE(0)),IFERROR(IF(OFFSET(A336,-5,0)&gt;0,OFFSET(A336,-5,0)+0.001,ERROR.TYPE(0)),IFERROR(IF(OFFSET(A336,-6,0)&gt;0,OFFSET(A336,-6,0)+0.001,ERROR.TYPE(0)),IFERROR(IF(OFFSET(A336,-7,0)&gt;0,OFFSET(A336,-7,0)+0.001,ERROR.TYPE(0)),IFERROR(IF(OFFSET(A336,-8,0)&gt;0,OFFSET(A336,-8,0)+0.001,ERROR.TYPE(0)),IFERROR(IF(OFFSET(A336,-9,0)&gt;0,OFFSET(A336,-9,0)+0.001,ERROR.TYPE(0)),IFERROR(IF(OFFSET(A336,-10,0)&gt;0,OFFSET(A336,-10,0)+0.001,ERROR.TYPE(0)),ERROR.TYPE(0)))))))))))</f>
        <v>3.0329999999999964</v>
      </c>
      <c r="B336" s="709" t="s">
        <v>545</v>
      </c>
      <c r="C336" s="682">
        <v>2</v>
      </c>
      <c r="D336" s="682" t="s">
        <v>312</v>
      </c>
      <c r="E336" s="686" t="str">
        <f>Elec_Est!$Q1486</f>
        <v>By Mechancial Sub Contractor</v>
      </c>
      <c r="F336" s="687" t="str">
        <f>IFERROR($C336*E336,E336)</f>
        <v>By Mechancial Sub Contractor</v>
      </c>
      <c r="G336" s="686" t="str">
        <f>Elec_Est!$Q1486</f>
        <v>By Mechancial Sub Contractor</v>
      </c>
      <c r="H336" s="686" t="str">
        <f>Elec_Est!$Q1486</f>
        <v>By Mechancial Sub Contractor</v>
      </c>
      <c r="I336" s="686" t="str">
        <f>Elec_Est!$Q1486</f>
        <v>By Mechancial Sub Contractor</v>
      </c>
    </row>
    <row r="337" spans="1:9" s="671" customFormat="1" ht="55.2">
      <c r="A337" s="679">
        <f ca="1">IFERROR(IF(OFFSET(A337,-1,0)&gt;0,OFFSET(A337,-1,0)+0.001,ERROR.TYPE(0)),IFERROR(IF(OFFSET(A337,-2,0)&gt;0,OFFSET(A337,-2,0)+0.001,ERROR.TYPE(0)),IFERROR(IF(OFFSET(A337,-3,0)&gt;0,OFFSET(A337,-3,0)+0.001,ERROR.TYPE(0)),IFERROR(IF(OFFSET(A337,-4,0)&gt;0,OFFSET(A337,-4,0)+0.001,ERROR.TYPE(0)),IFERROR(IF(OFFSET(A337,-5,0)&gt;0,OFFSET(A337,-5,0)+0.001,ERROR.TYPE(0)),IFERROR(IF(OFFSET(A337,-6,0)&gt;0,OFFSET(A337,-6,0)+0.001,ERROR.TYPE(0)),IFERROR(IF(OFFSET(A337,-7,0)&gt;0,OFFSET(A337,-7,0)+0.001,ERROR.TYPE(0)),IFERROR(IF(OFFSET(A337,-8,0)&gt;0,OFFSET(A337,-8,0)+0.001,ERROR.TYPE(0)),IFERROR(IF(OFFSET(A337,-9,0)&gt;0,OFFSET(A337,-9,0)+0.001,ERROR.TYPE(0)),IFERROR(IF(OFFSET(A337,-10,0)&gt;0,OFFSET(A337,-10,0)+0.001,ERROR.TYPE(0)),ERROR.TYPE(0)))))))))))</f>
        <v>3.0339999999999963</v>
      </c>
      <c r="B337" s="709" t="s">
        <v>546</v>
      </c>
      <c r="C337" s="682">
        <v>1</v>
      </c>
      <c r="D337" s="682" t="s">
        <v>312</v>
      </c>
      <c r="E337" s="686" t="str">
        <f>Elec_Est!$Q1507</f>
        <v>By Mechancial Sub Contractor</v>
      </c>
      <c r="F337" s="687" t="str">
        <f>IFERROR($C337*E337,E337)</f>
        <v>By Mechancial Sub Contractor</v>
      </c>
      <c r="G337" s="686" t="str">
        <f>Elec_Est!$Q1507</f>
        <v>By Mechancial Sub Contractor</v>
      </c>
      <c r="H337" s="686" t="str">
        <f>Elec_Est!$Q1507</f>
        <v>By Mechancial Sub Contractor</v>
      </c>
      <c r="I337" s="686" t="str">
        <f>Elec_Est!$Q1507</f>
        <v>By Mechancial Sub Contractor</v>
      </c>
    </row>
    <row r="338" spans="1:9" s="671" customFormat="1">
      <c r="A338" s="679">
        <f ca="1">IFERROR(IF(OFFSET(A338,-1,0)&gt;0,OFFSET(A338,-1,0)+0.001,ERROR.TYPE(0)),IFERROR(IF(OFFSET(A338,-2,0)&gt;0,OFFSET(A338,-2,0)+0.001,ERROR.TYPE(0)),IFERROR(IF(OFFSET(A338,-3,0)&gt;0,OFFSET(A338,-3,0)+0.001,ERROR.TYPE(0)),IFERROR(IF(OFFSET(A338,-4,0)&gt;0,OFFSET(A338,-4,0)+0.001,ERROR.TYPE(0)),IFERROR(IF(OFFSET(A338,-5,0)&gt;0,OFFSET(A338,-5,0)+0.001,ERROR.TYPE(0)),IFERROR(IF(OFFSET(A338,-6,0)&gt;0,OFFSET(A338,-6,0)+0.001,ERROR.TYPE(0)),IFERROR(IF(OFFSET(A338,-7,0)&gt;0,OFFSET(A338,-7,0)+0.001,ERROR.TYPE(0)),IFERROR(IF(OFFSET(A338,-8,0)&gt;0,OFFSET(A338,-8,0)+0.001,ERROR.TYPE(0)),IFERROR(IF(OFFSET(A338,-9,0)&gt;0,OFFSET(A338,-9,0)+0.001,ERROR.TYPE(0)),IFERROR(IF(OFFSET(A338,-10,0)&gt;0,OFFSET(A338,-10,0)+0.001,ERROR.TYPE(0)),ERROR.TYPE(0)))))))))))</f>
        <v>3.0349999999999961</v>
      </c>
      <c r="B338" s="685" t="s">
        <v>534</v>
      </c>
      <c r="C338" s="682">
        <v>3</v>
      </c>
      <c r="D338" s="682" t="s">
        <v>312</v>
      </c>
      <c r="E338" s="686">
        <f ca="1">Elec_Est!$E1528</f>
        <v>41.96</v>
      </c>
      <c r="F338" s="687">
        <f ca="1">IFERROR($C338*E338,E338)</f>
        <v>125.88</v>
      </c>
      <c r="G338" s="686">
        <f ca="1">Elec_Est!AM1528</f>
        <v>36.9</v>
      </c>
      <c r="H338" s="686">
        <f ca="1">Elec_Est!AN1528</f>
        <v>3.24</v>
      </c>
      <c r="I338" s="686"/>
    </row>
    <row r="339" spans="1:9" s="671" customFormat="1" ht="27.6">
      <c r="A339" s="679">
        <f ca="1">IFERROR(IF(OFFSET(A339,-1,0)&gt;0,OFFSET(A339,-1,0)+0.001,ERROR.TYPE(0)),IFERROR(IF(OFFSET(A339,-2,0)&gt;0,OFFSET(A339,-2,0)+0.001,ERROR.TYPE(0)),IFERROR(IF(OFFSET(A339,-3,0)&gt;0,OFFSET(A339,-3,0)+0.001,ERROR.TYPE(0)),IFERROR(IF(OFFSET(A339,-4,0)&gt;0,OFFSET(A339,-4,0)+0.001,ERROR.TYPE(0)),IFERROR(IF(OFFSET(A339,-5,0)&gt;0,OFFSET(A339,-5,0)+0.001,ERROR.TYPE(0)),IFERROR(IF(OFFSET(A339,-6,0)&gt;0,OFFSET(A339,-6,0)+0.001,ERROR.TYPE(0)),IFERROR(IF(OFFSET(A339,-7,0)&gt;0,OFFSET(A339,-7,0)+0.001,ERROR.TYPE(0)),IFERROR(IF(OFFSET(A339,-8,0)&gt;0,OFFSET(A339,-8,0)+0.001,ERROR.TYPE(0)),IFERROR(IF(OFFSET(A339,-9,0)&gt;0,OFFSET(A339,-9,0)+0.001,ERROR.TYPE(0)),IFERROR(IF(OFFSET(A339,-10,0)&gt;0,OFFSET(A339,-10,0)+0.001,ERROR.TYPE(0)),ERROR.TYPE(0)))))))))))</f>
        <v>3.035999999999996</v>
      </c>
      <c r="B339" s="685" t="s">
        <v>547</v>
      </c>
      <c r="C339" s="682">
        <v>1</v>
      </c>
      <c r="D339" s="622" t="s">
        <v>313</v>
      </c>
      <c r="E339" s="686"/>
      <c r="F339" s="687">
        <f>IFERROR($C339*E339,E339)</f>
        <v>0</v>
      </c>
      <c r="G339" s="686"/>
      <c r="H339" s="686"/>
      <c r="I339" s="686"/>
    </row>
    <row r="340" spans="1:9" s="671" customFormat="1" ht="13.95" customHeight="1">
      <c r="A340" s="674" t="s">
        <v>941</v>
      </c>
      <c r="B340" s="675" t="s">
        <v>331</v>
      </c>
      <c r="C340" s="1082" t="s">
        <v>315</v>
      </c>
      <c r="D340" s="1083"/>
      <c r="E340" s="689"/>
      <c r="F340" s="678">
        <f ca="1">SUM(F309:F339)</f>
        <v>587.44000000000005</v>
      </c>
      <c r="G340" s="735">
        <f t="shared" ref="G340:I340" ca="1" si="37">SUM(G309:G339)</f>
        <v>172.20000000000002</v>
      </c>
      <c r="H340" s="735">
        <f t="shared" ca="1" si="37"/>
        <v>15.120000000000001</v>
      </c>
      <c r="I340" s="735">
        <f t="shared" si="37"/>
        <v>0</v>
      </c>
    </row>
    <row r="341" spans="1:9" s="671" customFormat="1">
      <c r="A341" s="697"/>
      <c r="B341" s="698"/>
      <c r="C341" s="699"/>
      <c r="D341" s="699"/>
      <c r="E341" s="700"/>
      <c r="F341" s="701"/>
      <c r="G341" s="700"/>
      <c r="H341" s="700"/>
      <c r="I341" s="700"/>
    </row>
    <row r="342" spans="1:9" s="671" customFormat="1">
      <c r="A342" s="697"/>
      <c r="B342" s="698"/>
      <c r="C342" s="699"/>
      <c r="D342" s="691"/>
      <c r="E342" s="700"/>
      <c r="F342" s="701"/>
      <c r="G342" s="700"/>
      <c r="H342" s="700"/>
      <c r="I342" s="700"/>
    </row>
    <row r="343" spans="1:9" s="671" customFormat="1" ht="27.6">
      <c r="A343" s="613" t="s">
        <v>143</v>
      </c>
      <c r="B343" s="614" t="s">
        <v>209</v>
      </c>
      <c r="C343" s="615" t="s">
        <v>210</v>
      </c>
      <c r="D343" s="615" t="s">
        <v>211</v>
      </c>
      <c r="E343" s="616" t="s">
        <v>309</v>
      </c>
      <c r="F343" s="617" t="s">
        <v>310</v>
      </c>
      <c r="G343" s="616" t="s">
        <v>912</v>
      </c>
      <c r="H343" s="616" t="s">
        <v>913</v>
      </c>
      <c r="I343" s="616" t="s">
        <v>914</v>
      </c>
    </row>
    <row r="344" spans="1:9" s="671" customFormat="1">
      <c r="A344" s="679" t="s">
        <v>340</v>
      </c>
      <c r="B344" s="702" t="s">
        <v>548</v>
      </c>
      <c r="C344" s="681"/>
      <c r="D344" s="682"/>
      <c r="E344" s="683"/>
      <c r="F344" s="687"/>
      <c r="G344" s="683"/>
      <c r="H344" s="683"/>
      <c r="I344" s="683"/>
    </row>
    <row r="345" spans="1:9" s="671" customFormat="1">
      <c r="A345" s="674" t="s">
        <v>340</v>
      </c>
      <c r="B345" s="702" t="s">
        <v>549</v>
      </c>
      <c r="C345" s="676"/>
      <c r="D345" s="676"/>
      <c r="E345" s="677"/>
      <c r="F345" s="678"/>
      <c r="G345" s="677"/>
      <c r="H345" s="677"/>
      <c r="I345" s="677"/>
    </row>
    <row r="346" spans="1:9" s="671" customFormat="1" ht="69">
      <c r="A346" s="679" t="s">
        <v>340</v>
      </c>
      <c r="B346" s="725" t="s">
        <v>530</v>
      </c>
      <c r="C346" s="682"/>
      <c r="D346" s="682"/>
      <c r="E346" s="686"/>
      <c r="F346" s="687"/>
      <c r="G346" s="686"/>
      <c r="H346" s="686"/>
      <c r="I346" s="686"/>
    </row>
    <row r="347" spans="1:9" s="671" customFormat="1" ht="55.2">
      <c r="A347" s="679">
        <f t="shared" ref="A347:A352" ca="1" si="38">IFERROR(IF(OFFSET(A347,-1,0)&gt;0,OFFSET(A347,-1,0)+0.001,ERROR.TYPE(0)),IFERROR(IF(OFFSET(A347,-2,0)&gt;0,OFFSET(A347,-2,0)+0.001,ERROR.TYPE(0)),IFERROR(IF(OFFSET(A347,-3,0)&gt;0,OFFSET(A347,-3,0)+0.001,ERROR.TYPE(0)),IFERROR(IF(OFFSET(A347,-4,0)&gt;0,OFFSET(A347,-4,0)+0.001,ERROR.TYPE(0)),IFERROR(IF(OFFSET(A347,-5,0)&gt;0,OFFSET(A347,-5,0)+0.001,ERROR.TYPE(0)),IFERROR(IF(OFFSET(A347,-6,0)&gt;0,OFFSET(A347,-6,0)+0.001,ERROR.TYPE(0)),IFERROR(IF(OFFSET(A347,-7,0)&gt;0,OFFSET(A347,-7,0)+0.001,ERROR.TYPE(0)),IFERROR(IF(OFFSET(A347,-8,0)&gt;0,OFFSET(A347,-8,0)+0.001,ERROR.TYPE(0)),IFERROR(IF(OFFSET(A347,-9,0)&gt;0,OFFSET(A347,-9,0)+0.001,ERROR.TYPE(0)),IFERROR(IF(OFFSET(A347,-10,0)&gt;0,OFFSET(A347,-10,0)+0.001,ERROR.TYPE(0)),ERROR.TYPE(0)))))))))))</f>
        <v>3.0369999999999959</v>
      </c>
      <c r="B347" s="709" t="s">
        <v>543</v>
      </c>
      <c r="C347" s="682">
        <v>3</v>
      </c>
      <c r="D347" s="682" t="s">
        <v>312</v>
      </c>
      <c r="E347" s="686" t="str">
        <f>Elec_Est!$Q1561</f>
        <v>By Mechancial Sub Contractor</v>
      </c>
      <c r="F347" s="687" t="str">
        <f t="shared" ref="F347:F352" si="39">IFERROR($C347*E347,E347)</f>
        <v>By Mechancial Sub Contractor</v>
      </c>
      <c r="G347" s="686" t="str">
        <f>Elec_Est!$Q1561</f>
        <v>By Mechancial Sub Contractor</v>
      </c>
      <c r="H347" s="686" t="str">
        <f>Elec_Est!$Q1561</f>
        <v>By Mechancial Sub Contractor</v>
      </c>
      <c r="I347" s="686" t="str">
        <f>Elec_Est!$Q1561</f>
        <v>By Mechancial Sub Contractor</v>
      </c>
    </row>
    <row r="348" spans="1:9" s="671" customFormat="1" ht="55.2">
      <c r="A348" s="679">
        <f t="shared" ca="1" si="38"/>
        <v>3.0379999999999958</v>
      </c>
      <c r="B348" s="709" t="s">
        <v>550</v>
      </c>
      <c r="C348" s="682">
        <v>1</v>
      </c>
      <c r="D348" s="682" t="s">
        <v>312</v>
      </c>
      <c r="E348" s="686" t="str">
        <f>Elec_Est!$Q1582</f>
        <v>By Mechancial Sub Contractor</v>
      </c>
      <c r="F348" s="687" t="str">
        <f t="shared" si="39"/>
        <v>By Mechancial Sub Contractor</v>
      </c>
      <c r="G348" s="686" t="str">
        <f>Elec_Est!$Q1582</f>
        <v>By Mechancial Sub Contractor</v>
      </c>
      <c r="H348" s="686" t="str">
        <f>Elec_Est!$Q1582</f>
        <v>By Mechancial Sub Contractor</v>
      </c>
      <c r="I348" s="686" t="str">
        <f>Elec_Est!$Q1582</f>
        <v>By Mechancial Sub Contractor</v>
      </c>
    </row>
    <row r="349" spans="1:9" s="671" customFormat="1" ht="55.2">
      <c r="A349" s="679">
        <f t="shared" ca="1" si="38"/>
        <v>3.0389999999999957</v>
      </c>
      <c r="B349" s="709" t="s">
        <v>551</v>
      </c>
      <c r="C349" s="682">
        <v>1</v>
      </c>
      <c r="D349" s="682" t="s">
        <v>312</v>
      </c>
      <c r="E349" s="686" t="str">
        <f>Elec_Est!$Q1603</f>
        <v>By Mechancial Sub Contractor</v>
      </c>
      <c r="F349" s="687" t="str">
        <f t="shared" si="39"/>
        <v>By Mechancial Sub Contractor</v>
      </c>
      <c r="G349" s="686" t="str">
        <f>Elec_Est!$Q1603</f>
        <v>By Mechancial Sub Contractor</v>
      </c>
      <c r="H349" s="686" t="str">
        <f>Elec_Est!$Q1603</f>
        <v>By Mechancial Sub Contractor</v>
      </c>
      <c r="I349" s="686" t="str">
        <f>Elec_Est!$Q1603</f>
        <v>By Mechancial Sub Contractor</v>
      </c>
    </row>
    <row r="350" spans="1:9" s="671" customFormat="1" ht="55.2">
      <c r="A350" s="679">
        <f t="shared" ca="1" si="38"/>
        <v>3.0399999999999956</v>
      </c>
      <c r="B350" s="709" t="s">
        <v>552</v>
      </c>
      <c r="C350" s="682">
        <v>1</v>
      </c>
      <c r="D350" s="682" t="s">
        <v>312</v>
      </c>
      <c r="E350" s="686" t="str">
        <f>Elec_Est!$Q1624</f>
        <v>By Mechancial Sub Contractor</v>
      </c>
      <c r="F350" s="687" t="str">
        <f t="shared" si="39"/>
        <v>By Mechancial Sub Contractor</v>
      </c>
      <c r="G350" s="686" t="str">
        <f>Elec_Est!$Q1624</f>
        <v>By Mechancial Sub Contractor</v>
      </c>
      <c r="H350" s="686" t="str">
        <f>Elec_Est!$Q1624</f>
        <v>By Mechancial Sub Contractor</v>
      </c>
      <c r="I350" s="686" t="str">
        <f>Elec_Est!$Q1624</f>
        <v>By Mechancial Sub Contractor</v>
      </c>
    </row>
    <row r="351" spans="1:9" s="671" customFormat="1" ht="55.2">
      <c r="A351" s="679">
        <f t="shared" ca="1" si="38"/>
        <v>3.0409999999999955</v>
      </c>
      <c r="B351" s="709" t="s">
        <v>533</v>
      </c>
      <c r="C351" s="682">
        <v>1</v>
      </c>
      <c r="D351" s="682" t="s">
        <v>312</v>
      </c>
      <c r="E351" s="686" t="str">
        <f>Elec_Est!$Q1645</f>
        <v>By Mechancial Sub Contractor</v>
      </c>
      <c r="F351" s="687" t="str">
        <f t="shared" si="39"/>
        <v>By Mechancial Sub Contractor</v>
      </c>
      <c r="G351" s="686" t="str">
        <f>Elec_Est!$Q1645</f>
        <v>By Mechancial Sub Contractor</v>
      </c>
      <c r="H351" s="686" t="str">
        <f>Elec_Est!$Q1645</f>
        <v>By Mechancial Sub Contractor</v>
      </c>
      <c r="I351" s="686" t="str">
        <f>Elec_Est!$Q1645</f>
        <v>By Mechancial Sub Contractor</v>
      </c>
    </row>
    <row r="352" spans="1:9" s="671" customFormat="1">
      <c r="A352" s="679">
        <f t="shared" ca="1" si="38"/>
        <v>3.0419999999999954</v>
      </c>
      <c r="B352" s="685" t="s">
        <v>534</v>
      </c>
      <c r="C352" s="682">
        <v>7</v>
      </c>
      <c r="D352" s="682" t="s">
        <v>312</v>
      </c>
      <c r="E352" s="686">
        <f ca="1">Elec_Est!E1666</f>
        <v>41.96</v>
      </c>
      <c r="F352" s="687">
        <f t="shared" ca="1" si="39"/>
        <v>293.72000000000003</v>
      </c>
      <c r="G352" s="686">
        <f ca="1">Elec_Est!AM1666</f>
        <v>86.1</v>
      </c>
      <c r="H352" s="686">
        <f ca="1">Elec_Est!AN1666</f>
        <v>7.56</v>
      </c>
      <c r="I352" s="686"/>
    </row>
    <row r="353" spans="1:9" s="671" customFormat="1" ht="27.6">
      <c r="A353" s="726"/>
      <c r="B353" s="704" t="s">
        <v>535</v>
      </c>
      <c r="C353" s="727"/>
      <c r="D353" s="727"/>
      <c r="E353" s="728"/>
      <c r="F353" s="729"/>
      <c r="G353" s="728"/>
      <c r="H353" s="728"/>
      <c r="I353" s="728"/>
    </row>
    <row r="354" spans="1:9" s="731" customFormat="1">
      <c r="A354" s="679">
        <f t="shared" ref="A354:A360" ca="1" si="40">IFERROR(IF(OFFSET(A354,-1,0)&gt;0,OFFSET(A354,-1,0)+0.001,ERROR.TYPE(0)),IFERROR(IF(OFFSET(A354,-2,0)&gt;0,OFFSET(A354,-2,0)+0.001,ERROR.TYPE(0)),IFERROR(IF(OFFSET(A354,-3,0)&gt;0,OFFSET(A354,-3,0)+0.001,ERROR.TYPE(0)),IFERROR(IF(OFFSET(A354,-4,0)&gt;0,OFFSET(A354,-4,0)+0.001,ERROR.TYPE(0)),IFERROR(IF(OFFSET(A354,-5,0)&gt;0,OFFSET(A354,-5,0)+0.001,ERROR.TYPE(0)),IFERROR(IF(OFFSET(A354,-6,0)&gt;0,OFFSET(A354,-6,0)+0.001,ERROR.TYPE(0)),IFERROR(IF(OFFSET(A354,-7,0)&gt;0,OFFSET(A354,-7,0)+0.001,ERROR.TYPE(0)),IFERROR(IF(OFFSET(A354,-8,0)&gt;0,OFFSET(A354,-8,0)+0.001,ERROR.TYPE(0)),IFERROR(IF(OFFSET(A354,-9,0)&gt;0,OFFSET(A354,-9,0)+0.001,ERROR.TYPE(0)),IFERROR(IF(OFFSET(A354,-10,0)&gt;0,OFFSET(A354,-10,0)+0.001,ERROR.TYPE(0)),ERROR.TYPE(0)))))))))))</f>
        <v>3.0429999999999953</v>
      </c>
      <c r="B354" s="730" t="s">
        <v>553</v>
      </c>
      <c r="C354" s="682">
        <v>1</v>
      </c>
      <c r="D354" s="682" t="s">
        <v>141</v>
      </c>
      <c r="E354" s="686"/>
      <c r="F354" s="687">
        <f>IFERROR($C354*E354,E354)</f>
        <v>0</v>
      </c>
      <c r="G354" s="686"/>
      <c r="H354" s="686"/>
      <c r="I354" s="686"/>
    </row>
    <row r="355" spans="1:9" s="731" customFormat="1">
      <c r="A355" s="679">
        <f t="shared" ca="1" si="40"/>
        <v>3.0439999999999952</v>
      </c>
      <c r="B355" s="730" t="s">
        <v>536</v>
      </c>
      <c r="C355" s="682">
        <v>1</v>
      </c>
      <c r="D355" s="682" t="s">
        <v>141</v>
      </c>
      <c r="E355" s="686"/>
      <c r="F355" s="687">
        <f>IFERROR($C355*E355,E355)</f>
        <v>0</v>
      </c>
      <c r="G355" s="686"/>
      <c r="H355" s="686"/>
      <c r="I355" s="686"/>
    </row>
    <row r="356" spans="1:9" s="731" customFormat="1">
      <c r="A356" s="679">
        <f ca="1">IFERROR(IF(OFFSET(A356,-1,0)&gt;0,OFFSET(A356,-1,0)+0.001,ERROR.TYPE(0)),IFERROR(IF(OFFSET(A356,-2,0)&gt;0,OFFSET(A356,-2,0)+0.001,ERROR.TYPE(0)),IFERROR(IF(OFFSET(A356,-3,0)&gt;0,OFFSET(A356,-3,0)+0.001,ERROR.TYPE(0)),IFERROR(IF(OFFSET(A356,-4,0)&gt;0,OFFSET(A356,-4,0)+0.001,ERROR.TYPE(0)),IFERROR(IF(OFFSET(A356,-5,0)&gt;0,OFFSET(A356,-5,0)+0.001,ERROR.TYPE(0)),IFERROR(IF(OFFSET(A356,-6,0)&gt;0,OFFSET(A356,-6,0)+0.001,ERROR.TYPE(0)),IFERROR(IF(OFFSET(A356,-7,0)&gt;0,OFFSET(A356,-7,0)+0.001,ERROR.TYPE(0)),IFERROR(IF(OFFSET(A356,-8,0)&gt;0,OFFSET(A356,-8,0)+0.001,ERROR.TYPE(0)),IFERROR(IF(OFFSET(A356,-9,0)&gt;0,OFFSET(A356,-9,0)+0.001,ERROR.TYPE(0)),IFERROR(IF(OFFSET(A356,-10,0)&gt;0,OFFSET(A356,-10,0)+0.001,ERROR.TYPE(0)),ERROR.TYPE(0)))))))))))</f>
        <v>3.044999999999995</v>
      </c>
      <c r="B356" s="730" t="s">
        <v>554</v>
      </c>
      <c r="C356" s="682">
        <v>1</v>
      </c>
      <c r="D356" s="682" t="s">
        <v>141</v>
      </c>
      <c r="E356" s="686"/>
      <c r="F356" s="687">
        <f>IFERROR($C356*E356,E356)</f>
        <v>0</v>
      </c>
      <c r="G356" s="686"/>
      <c r="H356" s="686"/>
      <c r="I356" s="686"/>
    </row>
    <row r="357" spans="1:9" s="731" customFormat="1">
      <c r="A357" s="679">
        <f ca="1">IFERROR(IF(OFFSET(A357,-1,0)&gt;0,OFFSET(A357,-1,0)+0.001,ERROR.TYPE(0)),IFERROR(IF(OFFSET(A357,-2,0)&gt;0,OFFSET(A357,-2,0)+0.001,ERROR.TYPE(0)),IFERROR(IF(OFFSET(A357,-3,0)&gt;0,OFFSET(A357,-3,0)+0.001,ERROR.TYPE(0)),IFERROR(IF(OFFSET(A357,-4,0)&gt;0,OFFSET(A357,-4,0)+0.001,ERROR.TYPE(0)),IFERROR(IF(OFFSET(A357,-5,0)&gt;0,OFFSET(A357,-5,0)+0.001,ERROR.TYPE(0)),IFERROR(IF(OFFSET(A357,-6,0)&gt;0,OFFSET(A357,-6,0)+0.001,ERROR.TYPE(0)),IFERROR(IF(OFFSET(A357,-7,0)&gt;0,OFFSET(A357,-7,0)+0.001,ERROR.TYPE(0)),IFERROR(IF(OFFSET(A357,-8,0)&gt;0,OFFSET(A357,-8,0)+0.001,ERROR.TYPE(0)),IFERROR(IF(OFFSET(A357,-9,0)&gt;0,OFFSET(A357,-9,0)+0.001,ERROR.TYPE(0)),IFERROR(IF(OFFSET(A357,-10,0)&gt;0,OFFSET(A357,-10,0)+0.001,ERROR.TYPE(0)),ERROR.TYPE(0)))))))))))</f>
        <v>3.0459999999999949</v>
      </c>
      <c r="B357" s="730" t="s">
        <v>537</v>
      </c>
      <c r="C357" s="682">
        <v>1</v>
      </c>
      <c r="D357" s="682" t="s">
        <v>141</v>
      </c>
      <c r="E357" s="686"/>
      <c r="F357" s="687">
        <f>IFERROR($C357*E357,E357)</f>
        <v>0</v>
      </c>
      <c r="G357" s="686"/>
      <c r="H357" s="686"/>
      <c r="I357" s="686"/>
    </row>
    <row r="358" spans="1:9" s="671" customFormat="1" ht="27.6">
      <c r="A358" s="726"/>
      <c r="B358" s="704" t="s">
        <v>538</v>
      </c>
      <c r="C358" s="727"/>
      <c r="D358" s="727"/>
      <c r="E358" s="728"/>
      <c r="F358" s="729"/>
      <c r="G358" s="728"/>
      <c r="H358" s="728"/>
      <c r="I358" s="728"/>
    </row>
    <row r="359" spans="1:9" s="731" customFormat="1">
      <c r="A359" s="679">
        <f t="shared" ca="1" si="40"/>
        <v>3.0469999999999948</v>
      </c>
      <c r="B359" s="730" t="s">
        <v>553</v>
      </c>
      <c r="C359" s="682">
        <v>1</v>
      </c>
      <c r="D359" s="682" t="s">
        <v>141</v>
      </c>
      <c r="E359" s="686"/>
      <c r="F359" s="687">
        <f>IFERROR($C359*E359,E359)</f>
        <v>0</v>
      </c>
      <c r="G359" s="686"/>
      <c r="H359" s="686"/>
      <c r="I359" s="686"/>
    </row>
    <row r="360" spans="1:9" s="731" customFormat="1">
      <c r="A360" s="679">
        <f t="shared" ca="1" si="40"/>
        <v>3.0479999999999947</v>
      </c>
      <c r="B360" s="730" t="s">
        <v>536</v>
      </c>
      <c r="C360" s="682">
        <v>1</v>
      </c>
      <c r="D360" s="682" t="s">
        <v>141</v>
      </c>
      <c r="E360" s="686"/>
      <c r="F360" s="687">
        <f>IFERROR($C360*E360,E360)</f>
        <v>0</v>
      </c>
      <c r="G360" s="686"/>
      <c r="H360" s="686"/>
      <c r="I360" s="686"/>
    </row>
    <row r="361" spans="1:9" s="731" customFormat="1">
      <c r="A361" s="679">
        <f ca="1">IFERROR(IF(OFFSET(A361,-1,0)&gt;0,OFFSET(A361,-1,0)+0.001,ERROR.TYPE(0)),IFERROR(IF(OFFSET(A361,-2,0)&gt;0,OFFSET(A361,-2,0)+0.001,ERROR.TYPE(0)),IFERROR(IF(OFFSET(A361,-3,0)&gt;0,OFFSET(A361,-3,0)+0.001,ERROR.TYPE(0)),IFERROR(IF(OFFSET(A361,-4,0)&gt;0,OFFSET(A361,-4,0)+0.001,ERROR.TYPE(0)),IFERROR(IF(OFFSET(A361,-5,0)&gt;0,OFFSET(A361,-5,0)+0.001,ERROR.TYPE(0)),IFERROR(IF(OFFSET(A361,-6,0)&gt;0,OFFSET(A361,-6,0)+0.001,ERROR.TYPE(0)),IFERROR(IF(OFFSET(A361,-7,0)&gt;0,OFFSET(A361,-7,0)+0.001,ERROR.TYPE(0)),IFERROR(IF(OFFSET(A361,-8,0)&gt;0,OFFSET(A361,-8,0)+0.001,ERROR.TYPE(0)),IFERROR(IF(OFFSET(A361,-9,0)&gt;0,OFFSET(A361,-9,0)+0.001,ERROR.TYPE(0)),IFERROR(IF(OFFSET(A361,-10,0)&gt;0,OFFSET(A361,-10,0)+0.001,ERROR.TYPE(0)),ERROR.TYPE(0)))))))))))</f>
        <v>3.0489999999999946</v>
      </c>
      <c r="B361" s="730" t="s">
        <v>555</v>
      </c>
      <c r="C361" s="682">
        <v>1</v>
      </c>
      <c r="D361" s="682" t="s">
        <v>141</v>
      </c>
      <c r="E361" s="686"/>
      <c r="F361" s="687">
        <f>IFERROR($C361*E361,E361)</f>
        <v>0</v>
      </c>
      <c r="G361" s="686"/>
      <c r="H361" s="686"/>
      <c r="I361" s="686"/>
    </row>
    <row r="362" spans="1:9" s="731" customFormat="1">
      <c r="A362" s="679">
        <f ca="1">IFERROR(IF(OFFSET(A362,-1,0)&gt;0,OFFSET(A362,-1,0)+0.001,ERROR.TYPE(0)),IFERROR(IF(OFFSET(A362,-2,0)&gt;0,OFFSET(A362,-2,0)+0.001,ERROR.TYPE(0)),IFERROR(IF(OFFSET(A362,-3,0)&gt;0,OFFSET(A362,-3,0)+0.001,ERROR.TYPE(0)),IFERROR(IF(OFFSET(A362,-4,0)&gt;0,OFFSET(A362,-4,0)+0.001,ERROR.TYPE(0)),IFERROR(IF(OFFSET(A362,-5,0)&gt;0,OFFSET(A362,-5,0)+0.001,ERROR.TYPE(0)),IFERROR(IF(OFFSET(A362,-6,0)&gt;0,OFFSET(A362,-6,0)+0.001,ERROR.TYPE(0)),IFERROR(IF(OFFSET(A362,-7,0)&gt;0,OFFSET(A362,-7,0)+0.001,ERROR.TYPE(0)),IFERROR(IF(OFFSET(A362,-8,0)&gt;0,OFFSET(A362,-8,0)+0.001,ERROR.TYPE(0)),IFERROR(IF(OFFSET(A362,-9,0)&gt;0,OFFSET(A362,-9,0)+0.001,ERROR.TYPE(0)),IFERROR(IF(OFFSET(A362,-10,0)&gt;0,OFFSET(A362,-10,0)+0.001,ERROR.TYPE(0)),ERROR.TYPE(0)))))))))))</f>
        <v>3.0499999999999945</v>
      </c>
      <c r="B362" s="730" t="s">
        <v>539</v>
      </c>
      <c r="C362" s="682">
        <v>1</v>
      </c>
      <c r="D362" s="682" t="s">
        <v>141</v>
      </c>
      <c r="E362" s="686"/>
      <c r="F362" s="687">
        <f>IFERROR($C362*E362,E362)</f>
        <v>0</v>
      </c>
      <c r="G362" s="686"/>
      <c r="H362" s="686"/>
      <c r="I362" s="686"/>
    </row>
    <row r="363" spans="1:9" s="671" customFormat="1">
      <c r="A363" s="674" t="s">
        <v>340</v>
      </c>
      <c r="B363" s="702" t="s">
        <v>556</v>
      </c>
      <c r="C363" s="676"/>
      <c r="D363" s="676"/>
      <c r="E363" s="677"/>
      <c r="F363" s="678"/>
      <c r="G363" s="677"/>
      <c r="H363" s="677"/>
      <c r="I363" s="677"/>
    </row>
    <row r="364" spans="1:9" s="671" customFormat="1" ht="69">
      <c r="A364" s="679" t="s">
        <v>340</v>
      </c>
      <c r="B364" s="725" t="s">
        <v>530</v>
      </c>
      <c r="C364" s="682"/>
      <c r="D364" s="682"/>
      <c r="E364" s="686"/>
      <c r="F364" s="687"/>
      <c r="G364" s="686"/>
      <c r="H364" s="686"/>
      <c r="I364" s="686"/>
    </row>
    <row r="365" spans="1:9" s="671" customFormat="1" ht="55.2">
      <c r="A365" s="679">
        <f ca="1">IFERROR(IF(OFFSET(A365,-1,0)&gt;0,OFFSET(A365,-1,0)+0.001,ERROR.TYPE(0)),IFERROR(IF(OFFSET(A365,-2,0)&gt;0,OFFSET(A365,-2,0)+0.001,ERROR.TYPE(0)),IFERROR(IF(OFFSET(A365,-3,0)&gt;0,OFFSET(A365,-3,0)+0.001,ERROR.TYPE(0)),IFERROR(IF(OFFSET(A365,-4,0)&gt;0,OFFSET(A365,-4,0)+0.001,ERROR.TYPE(0)),IFERROR(IF(OFFSET(A365,-5,0)&gt;0,OFFSET(A365,-5,0)+0.001,ERROR.TYPE(0)),IFERROR(IF(OFFSET(A365,-6,0)&gt;0,OFFSET(A365,-6,0)+0.001,ERROR.TYPE(0)),IFERROR(IF(OFFSET(A365,-7,0)&gt;0,OFFSET(A365,-7,0)+0.001,ERROR.TYPE(0)),IFERROR(IF(OFFSET(A365,-8,0)&gt;0,OFFSET(A365,-8,0)+0.001,ERROR.TYPE(0)),IFERROR(IF(OFFSET(A365,-9,0)&gt;0,OFFSET(A365,-9,0)+0.001,ERROR.TYPE(0)),IFERROR(IF(OFFSET(A365,-10,0)&gt;0,OFFSET(A365,-10,0)+0.001,ERROR.TYPE(0)),ERROR.TYPE(0)))))))))))</f>
        <v>3.0509999999999944</v>
      </c>
      <c r="B365" s="709" t="s">
        <v>557</v>
      </c>
      <c r="C365" s="682">
        <v>7</v>
      </c>
      <c r="D365" s="682" t="s">
        <v>312</v>
      </c>
      <c r="E365" s="686" t="str">
        <f>Elec_Est!$Q1695</f>
        <v>By Mechancial Sub Contractor</v>
      </c>
      <c r="F365" s="687" t="str">
        <f>IFERROR($C365*E365,E365)</f>
        <v>By Mechancial Sub Contractor</v>
      </c>
      <c r="G365" s="686" t="str">
        <f>Elec_Est!$Q1695</f>
        <v>By Mechancial Sub Contractor</v>
      </c>
      <c r="H365" s="686" t="str">
        <f>Elec_Est!$Q1695</f>
        <v>By Mechancial Sub Contractor</v>
      </c>
      <c r="I365" s="686" t="str">
        <f>Elec_Est!$Q1695</f>
        <v>By Mechancial Sub Contractor</v>
      </c>
    </row>
    <row r="366" spans="1:9" s="671" customFormat="1" ht="55.2">
      <c r="A366" s="679">
        <f ca="1">IFERROR(IF(OFFSET(A366,-1,0)&gt;0,OFFSET(A366,-1,0)+0.001,ERROR.TYPE(0)),IFERROR(IF(OFFSET(A366,-2,0)&gt;0,OFFSET(A366,-2,0)+0.001,ERROR.TYPE(0)),IFERROR(IF(OFFSET(A366,-3,0)&gt;0,OFFSET(A366,-3,0)+0.001,ERROR.TYPE(0)),IFERROR(IF(OFFSET(A366,-4,0)&gt;0,OFFSET(A366,-4,0)+0.001,ERROR.TYPE(0)),IFERROR(IF(OFFSET(A366,-5,0)&gt;0,OFFSET(A366,-5,0)+0.001,ERROR.TYPE(0)),IFERROR(IF(OFFSET(A366,-6,0)&gt;0,OFFSET(A366,-6,0)+0.001,ERROR.TYPE(0)),IFERROR(IF(OFFSET(A366,-7,0)&gt;0,OFFSET(A366,-7,0)+0.001,ERROR.TYPE(0)),IFERROR(IF(OFFSET(A366,-8,0)&gt;0,OFFSET(A366,-8,0)+0.001,ERROR.TYPE(0)),IFERROR(IF(OFFSET(A366,-9,0)&gt;0,OFFSET(A366,-9,0)+0.001,ERROR.TYPE(0)),IFERROR(IF(OFFSET(A366,-10,0)&gt;0,OFFSET(A366,-10,0)+0.001,ERROR.TYPE(0)),ERROR.TYPE(0)))))))))))</f>
        <v>3.0519999999999943</v>
      </c>
      <c r="B366" s="709" t="s">
        <v>543</v>
      </c>
      <c r="C366" s="682">
        <v>1</v>
      </c>
      <c r="D366" s="682" t="s">
        <v>312</v>
      </c>
      <c r="E366" s="686" t="str">
        <f>Elec_Est!$Q1716</f>
        <v>By Mechancial Sub Contractor</v>
      </c>
      <c r="F366" s="687" t="str">
        <f>IFERROR($C366*E366,E366)</f>
        <v>By Mechancial Sub Contractor</v>
      </c>
      <c r="G366" s="686" t="str">
        <f>Elec_Est!$Q1716</f>
        <v>By Mechancial Sub Contractor</v>
      </c>
      <c r="H366" s="686" t="str">
        <f>Elec_Est!$Q1716</f>
        <v>By Mechancial Sub Contractor</v>
      </c>
      <c r="I366" s="686" t="str">
        <f>Elec_Est!$Q1716</f>
        <v>By Mechancial Sub Contractor</v>
      </c>
    </row>
    <row r="367" spans="1:9" s="671" customFormat="1" ht="55.2">
      <c r="A367" s="679">
        <f ca="1">IFERROR(IF(OFFSET(A367,-1,0)&gt;0,OFFSET(A367,-1,0)+0.001,ERROR.TYPE(0)),IFERROR(IF(OFFSET(A367,-2,0)&gt;0,OFFSET(A367,-2,0)+0.001,ERROR.TYPE(0)),IFERROR(IF(OFFSET(A367,-3,0)&gt;0,OFFSET(A367,-3,0)+0.001,ERROR.TYPE(0)),IFERROR(IF(OFFSET(A367,-4,0)&gt;0,OFFSET(A367,-4,0)+0.001,ERROR.TYPE(0)),IFERROR(IF(OFFSET(A367,-5,0)&gt;0,OFFSET(A367,-5,0)+0.001,ERROR.TYPE(0)),IFERROR(IF(OFFSET(A367,-6,0)&gt;0,OFFSET(A367,-6,0)+0.001,ERROR.TYPE(0)),IFERROR(IF(OFFSET(A367,-7,0)&gt;0,OFFSET(A367,-7,0)+0.001,ERROR.TYPE(0)),IFERROR(IF(OFFSET(A367,-8,0)&gt;0,OFFSET(A367,-8,0)+0.001,ERROR.TYPE(0)),IFERROR(IF(OFFSET(A367,-9,0)&gt;0,OFFSET(A367,-9,0)+0.001,ERROR.TYPE(0)),IFERROR(IF(OFFSET(A367,-10,0)&gt;0,OFFSET(A367,-10,0)+0.001,ERROR.TYPE(0)),ERROR.TYPE(0)))))))))))</f>
        <v>3.0529999999999942</v>
      </c>
      <c r="B367" s="709" t="s">
        <v>531</v>
      </c>
      <c r="C367" s="682">
        <v>1</v>
      </c>
      <c r="D367" s="682" t="s">
        <v>312</v>
      </c>
      <c r="E367" s="686" t="str">
        <f>Elec_Est!$Q1737</f>
        <v>By Mechancial Sub Contractor</v>
      </c>
      <c r="F367" s="687" t="str">
        <f>IFERROR($C367*E367,E367)</f>
        <v>By Mechancial Sub Contractor</v>
      </c>
      <c r="G367" s="686" t="str">
        <f>Elec_Est!$Q1737</f>
        <v>By Mechancial Sub Contractor</v>
      </c>
      <c r="H367" s="686" t="str">
        <f>Elec_Est!$Q1737</f>
        <v>By Mechancial Sub Contractor</v>
      </c>
      <c r="I367" s="686" t="str">
        <f>Elec_Est!$Q1737</f>
        <v>By Mechancial Sub Contractor</v>
      </c>
    </row>
    <row r="368" spans="1:9" s="671" customFormat="1" ht="55.2">
      <c r="A368" s="679">
        <f ca="1">IFERROR(IF(OFFSET(A368,-1,0)&gt;0,OFFSET(A368,-1,0)+0.001,ERROR.TYPE(0)),IFERROR(IF(OFFSET(A368,-2,0)&gt;0,OFFSET(A368,-2,0)+0.001,ERROR.TYPE(0)),IFERROR(IF(OFFSET(A368,-3,0)&gt;0,OFFSET(A368,-3,0)+0.001,ERROR.TYPE(0)),IFERROR(IF(OFFSET(A368,-4,0)&gt;0,OFFSET(A368,-4,0)+0.001,ERROR.TYPE(0)),IFERROR(IF(OFFSET(A368,-5,0)&gt;0,OFFSET(A368,-5,0)+0.001,ERROR.TYPE(0)),IFERROR(IF(OFFSET(A368,-6,0)&gt;0,OFFSET(A368,-6,0)+0.001,ERROR.TYPE(0)),IFERROR(IF(OFFSET(A368,-7,0)&gt;0,OFFSET(A368,-7,0)+0.001,ERROR.TYPE(0)),IFERROR(IF(OFFSET(A368,-8,0)&gt;0,OFFSET(A368,-8,0)+0.001,ERROR.TYPE(0)),IFERROR(IF(OFFSET(A368,-9,0)&gt;0,OFFSET(A368,-9,0)+0.001,ERROR.TYPE(0)),IFERROR(IF(OFFSET(A368,-10,0)&gt;0,OFFSET(A368,-10,0)+0.001,ERROR.TYPE(0)),ERROR.TYPE(0)))))))))))</f>
        <v>3.0539999999999941</v>
      </c>
      <c r="B368" s="709" t="s">
        <v>550</v>
      </c>
      <c r="C368" s="682">
        <v>2</v>
      </c>
      <c r="D368" s="682" t="s">
        <v>312</v>
      </c>
      <c r="E368" s="686" t="str">
        <f>Elec_Est!$Q1758</f>
        <v>By Mechancial Sub Contractor</v>
      </c>
      <c r="F368" s="687" t="str">
        <f>IFERROR($C368*E368,E368)</f>
        <v>By Mechancial Sub Contractor</v>
      </c>
      <c r="G368" s="686" t="str">
        <f>Elec_Est!$Q1758</f>
        <v>By Mechancial Sub Contractor</v>
      </c>
      <c r="H368" s="686" t="str">
        <f>Elec_Est!$Q1758</f>
        <v>By Mechancial Sub Contractor</v>
      </c>
      <c r="I368" s="686" t="str">
        <f>Elec_Est!$Q1758</f>
        <v>By Mechancial Sub Contractor</v>
      </c>
    </row>
    <row r="369" spans="1:9" s="671" customFormat="1">
      <c r="A369" s="679">
        <f ca="1">IFERROR(IF(OFFSET(A369,-1,0)&gt;0,OFFSET(A369,-1,0)+0.001,ERROR.TYPE(0)),IFERROR(IF(OFFSET(A369,-2,0)&gt;0,OFFSET(A369,-2,0)+0.001,ERROR.TYPE(0)),IFERROR(IF(OFFSET(A369,-3,0)&gt;0,OFFSET(A369,-3,0)+0.001,ERROR.TYPE(0)),IFERROR(IF(OFFSET(A369,-4,0)&gt;0,OFFSET(A369,-4,0)+0.001,ERROR.TYPE(0)),IFERROR(IF(OFFSET(A369,-5,0)&gt;0,OFFSET(A369,-5,0)+0.001,ERROR.TYPE(0)),IFERROR(IF(OFFSET(A369,-6,0)&gt;0,OFFSET(A369,-6,0)+0.001,ERROR.TYPE(0)),IFERROR(IF(OFFSET(A369,-7,0)&gt;0,OFFSET(A369,-7,0)+0.001,ERROR.TYPE(0)),IFERROR(IF(OFFSET(A369,-8,0)&gt;0,OFFSET(A369,-8,0)+0.001,ERROR.TYPE(0)),IFERROR(IF(OFFSET(A369,-9,0)&gt;0,OFFSET(A369,-9,0)+0.001,ERROR.TYPE(0)),IFERROR(IF(OFFSET(A369,-10,0)&gt;0,OFFSET(A369,-10,0)+0.001,ERROR.TYPE(0)),ERROR.TYPE(0)))))))))))</f>
        <v>3.0549999999999939</v>
      </c>
      <c r="B369" s="709" t="s">
        <v>534</v>
      </c>
      <c r="C369" s="682">
        <v>11</v>
      </c>
      <c r="D369" s="682" t="s">
        <v>312</v>
      </c>
      <c r="E369" s="686">
        <f ca="1">Elec_Est!E1779</f>
        <v>41.96</v>
      </c>
      <c r="F369" s="687">
        <f ca="1">IFERROR($C369*E369,E369)</f>
        <v>461.56</v>
      </c>
      <c r="G369" s="686">
        <f ca="1">Elec_Est!AM1779</f>
        <v>135.30000000000001</v>
      </c>
      <c r="H369" s="686">
        <f ca="1">Elec_Est!AN1779</f>
        <v>11.88</v>
      </c>
      <c r="I369" s="686"/>
    </row>
    <row r="370" spans="1:9" s="671" customFormat="1">
      <c r="A370" s="674" t="s">
        <v>340</v>
      </c>
      <c r="B370" s="702" t="s">
        <v>544</v>
      </c>
      <c r="C370" s="676"/>
      <c r="D370" s="676"/>
      <c r="E370" s="677"/>
      <c r="F370" s="678"/>
      <c r="G370" s="677"/>
      <c r="H370" s="677"/>
      <c r="I370" s="677"/>
    </row>
    <row r="371" spans="1:9" s="671" customFormat="1" ht="69">
      <c r="A371" s="679" t="s">
        <v>340</v>
      </c>
      <c r="B371" s="725" t="s">
        <v>530</v>
      </c>
      <c r="C371" s="682"/>
      <c r="D371" s="682"/>
      <c r="E371" s="686"/>
      <c r="F371" s="687"/>
      <c r="G371" s="686"/>
      <c r="H371" s="686"/>
      <c r="I371" s="686"/>
    </row>
    <row r="372" spans="1:9" s="671" customFormat="1" ht="55.2">
      <c r="A372" s="679">
        <f ca="1">IFERROR(IF(OFFSET(A372,-1,0)&gt;0,OFFSET(A372,-1,0)+0.001,ERROR.TYPE(0)),IFERROR(IF(OFFSET(A372,-2,0)&gt;0,OFFSET(A372,-2,0)+0.001,ERROR.TYPE(0)),IFERROR(IF(OFFSET(A372,-3,0)&gt;0,OFFSET(A372,-3,0)+0.001,ERROR.TYPE(0)),IFERROR(IF(OFFSET(A372,-4,0)&gt;0,OFFSET(A372,-4,0)+0.001,ERROR.TYPE(0)),IFERROR(IF(OFFSET(A372,-5,0)&gt;0,OFFSET(A372,-5,0)+0.001,ERROR.TYPE(0)),IFERROR(IF(OFFSET(A372,-6,0)&gt;0,OFFSET(A372,-6,0)+0.001,ERROR.TYPE(0)),IFERROR(IF(OFFSET(A372,-7,0)&gt;0,OFFSET(A372,-7,0)+0.001,ERROR.TYPE(0)),IFERROR(IF(OFFSET(A372,-8,0)&gt;0,OFFSET(A372,-8,0)+0.001,ERROR.TYPE(0)),IFERROR(IF(OFFSET(A372,-9,0)&gt;0,OFFSET(A372,-9,0)+0.001,ERROR.TYPE(0)),IFERROR(IF(OFFSET(A372,-10,0)&gt;0,OFFSET(A372,-10,0)+0.001,ERROR.TYPE(0)),ERROR.TYPE(0)))))))))))</f>
        <v>3.0559999999999938</v>
      </c>
      <c r="B372" s="709" t="s">
        <v>558</v>
      </c>
      <c r="C372" s="682">
        <v>2</v>
      </c>
      <c r="D372" s="682" t="s">
        <v>312</v>
      </c>
      <c r="E372" s="686" t="str">
        <f>Elec_Est!$Q1808</f>
        <v>By Mechancial Sub Contractor</v>
      </c>
      <c r="F372" s="687" t="str">
        <f>IFERROR($C372*E372,E372)</f>
        <v>By Mechancial Sub Contractor</v>
      </c>
      <c r="G372" s="686" t="str">
        <f>Elec_Est!$Q1808</f>
        <v>By Mechancial Sub Contractor</v>
      </c>
      <c r="H372" s="686" t="str">
        <f>Elec_Est!$Q1808</f>
        <v>By Mechancial Sub Contractor</v>
      </c>
      <c r="I372" s="686" t="str">
        <f>Elec_Est!$Q1808</f>
        <v>By Mechancial Sub Contractor</v>
      </c>
    </row>
    <row r="373" spans="1:9" s="671" customFormat="1">
      <c r="A373" s="679">
        <f ca="1">IFERROR(IF(OFFSET(A373,-1,0)&gt;0,OFFSET(A373,-1,0)+0.001,ERROR.TYPE(0)),IFERROR(IF(OFFSET(A373,-2,0)&gt;0,OFFSET(A373,-2,0)+0.001,ERROR.TYPE(0)),IFERROR(IF(OFFSET(A373,-3,0)&gt;0,OFFSET(A373,-3,0)+0.001,ERROR.TYPE(0)),IFERROR(IF(OFFSET(A373,-4,0)&gt;0,OFFSET(A373,-4,0)+0.001,ERROR.TYPE(0)),IFERROR(IF(OFFSET(A373,-5,0)&gt;0,OFFSET(A373,-5,0)+0.001,ERROR.TYPE(0)),IFERROR(IF(OFFSET(A373,-6,0)&gt;0,OFFSET(A373,-6,0)+0.001,ERROR.TYPE(0)),IFERROR(IF(OFFSET(A373,-7,0)&gt;0,OFFSET(A373,-7,0)+0.001,ERROR.TYPE(0)),IFERROR(IF(OFFSET(A373,-8,0)&gt;0,OFFSET(A373,-8,0)+0.001,ERROR.TYPE(0)),IFERROR(IF(OFFSET(A373,-9,0)&gt;0,OFFSET(A373,-9,0)+0.001,ERROR.TYPE(0)),IFERROR(IF(OFFSET(A373,-10,0)&gt;0,OFFSET(A373,-10,0)+0.001,ERROR.TYPE(0)),ERROR.TYPE(0)))))))))))</f>
        <v>3.0569999999999937</v>
      </c>
      <c r="B373" s="709" t="s">
        <v>534</v>
      </c>
      <c r="C373" s="682">
        <v>2</v>
      </c>
      <c r="D373" s="682" t="s">
        <v>312</v>
      </c>
      <c r="E373" s="686">
        <f ca="1">Elec_Est!E1829</f>
        <v>41.96</v>
      </c>
      <c r="F373" s="687">
        <f ca="1">IFERROR($C373*E373,E373)</f>
        <v>83.92</v>
      </c>
      <c r="G373" s="686">
        <f ca="1">Elec_Est!AM1829</f>
        <v>24.6</v>
      </c>
      <c r="H373" s="686">
        <f ca="1">Elec_Est!AN1829</f>
        <v>2.16</v>
      </c>
      <c r="I373" s="686"/>
    </row>
    <row r="374" spans="1:9" s="671" customFormat="1" ht="27.6">
      <c r="A374" s="679">
        <f ca="1">IFERROR(IF(OFFSET(A374,-1,0)&gt;0,OFFSET(A374,-1,0)+0.001,ERROR.TYPE(0)),IFERROR(IF(OFFSET(A374,-2,0)&gt;0,OFFSET(A374,-2,0)+0.001,ERROR.TYPE(0)),IFERROR(IF(OFFSET(A374,-3,0)&gt;0,OFFSET(A374,-3,0)+0.001,ERROR.TYPE(0)),IFERROR(IF(OFFSET(A374,-4,0)&gt;0,OFFSET(A374,-4,0)+0.001,ERROR.TYPE(0)),IFERROR(IF(OFFSET(A374,-5,0)&gt;0,OFFSET(A374,-5,0)+0.001,ERROR.TYPE(0)),IFERROR(IF(OFFSET(A374,-6,0)&gt;0,OFFSET(A374,-6,0)+0.001,ERROR.TYPE(0)),IFERROR(IF(OFFSET(A374,-7,0)&gt;0,OFFSET(A374,-7,0)+0.001,ERROR.TYPE(0)),IFERROR(IF(OFFSET(A374,-8,0)&gt;0,OFFSET(A374,-8,0)+0.001,ERROR.TYPE(0)),IFERROR(IF(OFFSET(A374,-9,0)&gt;0,OFFSET(A374,-9,0)+0.001,ERROR.TYPE(0)),IFERROR(IF(OFFSET(A374,-10,0)&gt;0,OFFSET(A374,-10,0)+0.001,ERROR.TYPE(0)),ERROR.TYPE(0)))))))))))</f>
        <v>3.0579999999999936</v>
      </c>
      <c r="B374" s="685" t="s">
        <v>559</v>
      </c>
      <c r="C374" s="682">
        <v>1</v>
      </c>
      <c r="D374" s="622" t="s">
        <v>313</v>
      </c>
      <c r="E374" s="686"/>
      <c r="F374" s="687">
        <f>IFERROR($C374*E374,E374)</f>
        <v>0</v>
      </c>
      <c r="G374" s="686"/>
      <c r="H374" s="686"/>
      <c r="I374" s="686"/>
    </row>
    <row r="375" spans="1:9" s="671" customFormat="1" ht="13.95" customHeight="1">
      <c r="A375" s="674" t="s">
        <v>941</v>
      </c>
      <c r="B375" s="675" t="s">
        <v>332</v>
      </c>
      <c r="C375" s="1082" t="s">
        <v>315</v>
      </c>
      <c r="D375" s="1083"/>
      <c r="E375" s="689"/>
      <c r="F375" s="678">
        <f ca="1">SUM(F346:F374)</f>
        <v>839.19999999999993</v>
      </c>
      <c r="G375" s="735">
        <f t="shared" ref="G375:I375" ca="1" si="41">SUM(G346:G374)</f>
        <v>246</v>
      </c>
      <c r="H375" s="735">
        <f t="shared" ca="1" si="41"/>
        <v>21.6</v>
      </c>
      <c r="I375" s="735">
        <f t="shared" si="41"/>
        <v>0</v>
      </c>
    </row>
    <row r="376" spans="1:9" s="671" customFormat="1">
      <c r="A376" s="697"/>
      <c r="B376" s="698"/>
      <c r="C376" s="699"/>
      <c r="D376" s="699"/>
      <c r="E376" s="700"/>
      <c r="F376" s="701"/>
      <c r="G376" s="700"/>
      <c r="H376" s="700"/>
      <c r="I376" s="700"/>
    </row>
    <row r="377" spans="1:9" s="671" customFormat="1">
      <c r="A377" s="697"/>
      <c r="B377" s="698"/>
      <c r="C377" s="699"/>
      <c r="D377" s="691"/>
      <c r="E377" s="700"/>
      <c r="F377" s="701"/>
      <c r="G377" s="700"/>
      <c r="H377" s="700"/>
      <c r="I377" s="700"/>
    </row>
    <row r="378" spans="1:9" s="671" customFormat="1" ht="27.6">
      <c r="A378" s="613" t="s">
        <v>143</v>
      </c>
      <c r="B378" s="614" t="s">
        <v>209</v>
      </c>
      <c r="C378" s="615" t="s">
        <v>210</v>
      </c>
      <c r="D378" s="615" t="s">
        <v>211</v>
      </c>
      <c r="E378" s="616" t="s">
        <v>309</v>
      </c>
      <c r="F378" s="617" t="s">
        <v>310</v>
      </c>
      <c r="G378" s="616" t="s">
        <v>912</v>
      </c>
      <c r="H378" s="616" t="s">
        <v>913</v>
      </c>
      <c r="I378" s="616" t="s">
        <v>914</v>
      </c>
    </row>
    <row r="379" spans="1:9" s="671" customFormat="1">
      <c r="A379" s="679" t="s">
        <v>340</v>
      </c>
      <c r="B379" s="702" t="s">
        <v>560</v>
      </c>
      <c r="C379" s="681"/>
      <c r="D379" s="682"/>
      <c r="E379" s="683"/>
      <c r="F379" s="687"/>
      <c r="G379" s="683"/>
      <c r="H379" s="683"/>
      <c r="I379" s="683"/>
    </row>
    <row r="380" spans="1:9" s="671" customFormat="1">
      <c r="A380" s="674" t="s">
        <v>340</v>
      </c>
      <c r="B380" s="702" t="s">
        <v>561</v>
      </c>
      <c r="C380" s="676"/>
      <c r="D380" s="676"/>
      <c r="E380" s="677"/>
      <c r="F380" s="678"/>
      <c r="G380" s="677"/>
      <c r="H380" s="677"/>
      <c r="I380" s="677"/>
    </row>
    <row r="381" spans="1:9" s="671" customFormat="1" ht="76.2" customHeight="1">
      <c r="A381" s="679" t="s">
        <v>340</v>
      </c>
      <c r="B381" s="725" t="s">
        <v>530</v>
      </c>
      <c r="C381" s="682"/>
      <c r="D381" s="682"/>
      <c r="E381" s="686"/>
      <c r="F381" s="687"/>
      <c r="G381" s="686"/>
      <c r="H381" s="686"/>
      <c r="I381" s="686"/>
    </row>
    <row r="382" spans="1:9" s="671" customFormat="1" ht="55.2">
      <c r="A382" s="679">
        <f ca="1">IFERROR(IF(OFFSET(A382,-1,0)&gt;0,OFFSET(A382,-1,0)+0.001,ERROR.TYPE(0)),IFERROR(IF(OFFSET(A382,-2,0)&gt;0,OFFSET(A382,-2,0)+0.001,ERROR.TYPE(0)),IFERROR(IF(OFFSET(A382,-3,0)&gt;0,OFFSET(A382,-3,0)+0.001,ERROR.TYPE(0)),IFERROR(IF(OFFSET(A382,-4,0)&gt;0,OFFSET(A382,-4,0)+0.001,ERROR.TYPE(0)),IFERROR(IF(OFFSET(A382,-5,0)&gt;0,OFFSET(A382,-5,0)+0.001,ERROR.TYPE(0)),IFERROR(IF(OFFSET(A382,-6,0)&gt;0,OFFSET(A382,-6,0)+0.001,ERROR.TYPE(0)),IFERROR(IF(OFFSET(A382,-7,0)&gt;0,OFFSET(A382,-7,0)+0.001,ERROR.TYPE(0)),IFERROR(IF(OFFSET(A382,-8,0)&gt;0,OFFSET(A382,-8,0)+0.001,ERROR.TYPE(0)),IFERROR(IF(OFFSET(A382,-9,0)&gt;0,OFFSET(A382,-9,0)+0.001,ERROR.TYPE(0)),IFERROR(IF(OFFSET(A382,-10,0)&gt;0,OFFSET(A382,-10,0)+0.001,ERROR.TYPE(0)),ERROR.TYPE(0)))))))))))</f>
        <v>3.0589999999999935</v>
      </c>
      <c r="B382" s="709" t="s">
        <v>543</v>
      </c>
      <c r="C382" s="682">
        <v>4</v>
      </c>
      <c r="D382" s="682" t="s">
        <v>312</v>
      </c>
      <c r="E382" s="686" t="str">
        <f>Elec_Est!$Q1862</f>
        <v>By Mechancial Sub Contractor</v>
      </c>
      <c r="F382" s="687" t="str">
        <f>IFERROR($C382*E382,E382)</f>
        <v>By Mechancial Sub Contractor</v>
      </c>
      <c r="G382" s="686" t="str">
        <f>Elec_Est!$Q1862</f>
        <v>By Mechancial Sub Contractor</v>
      </c>
      <c r="H382" s="686" t="str">
        <f>Elec_Est!$Q1862</f>
        <v>By Mechancial Sub Contractor</v>
      </c>
      <c r="I382" s="686" t="str">
        <f>Elec_Est!$Q1862</f>
        <v>By Mechancial Sub Contractor</v>
      </c>
    </row>
    <row r="383" spans="1:9" s="671" customFormat="1" ht="55.2">
      <c r="A383" s="679">
        <f ca="1">IFERROR(IF(OFFSET(A383,-1,0)&gt;0,OFFSET(A383,-1,0)+0.001,ERROR.TYPE(0)),IFERROR(IF(OFFSET(A383,-2,0)&gt;0,OFFSET(A383,-2,0)+0.001,ERROR.TYPE(0)),IFERROR(IF(OFFSET(A383,-3,0)&gt;0,OFFSET(A383,-3,0)+0.001,ERROR.TYPE(0)),IFERROR(IF(OFFSET(A383,-4,0)&gt;0,OFFSET(A383,-4,0)+0.001,ERROR.TYPE(0)),IFERROR(IF(OFFSET(A383,-5,0)&gt;0,OFFSET(A383,-5,0)+0.001,ERROR.TYPE(0)),IFERROR(IF(OFFSET(A383,-6,0)&gt;0,OFFSET(A383,-6,0)+0.001,ERROR.TYPE(0)),IFERROR(IF(OFFSET(A383,-7,0)&gt;0,OFFSET(A383,-7,0)+0.001,ERROR.TYPE(0)),IFERROR(IF(OFFSET(A383,-8,0)&gt;0,OFFSET(A383,-8,0)+0.001,ERROR.TYPE(0)),IFERROR(IF(OFFSET(A383,-9,0)&gt;0,OFFSET(A383,-9,0)+0.001,ERROR.TYPE(0)),IFERROR(IF(OFFSET(A383,-10,0)&gt;0,OFFSET(A383,-10,0)+0.001,ERROR.TYPE(0)),ERROR.TYPE(0)))))))))))</f>
        <v>3.0599999999999934</v>
      </c>
      <c r="B383" s="709" t="s">
        <v>531</v>
      </c>
      <c r="C383" s="682">
        <v>2</v>
      </c>
      <c r="D383" s="682" t="s">
        <v>312</v>
      </c>
      <c r="E383" s="686" t="str">
        <f>Elec_Est!$Q1883</f>
        <v>By Mechancial Sub Contractor</v>
      </c>
      <c r="F383" s="687" t="str">
        <f>IFERROR($C383*E383,E383)</f>
        <v>By Mechancial Sub Contractor</v>
      </c>
      <c r="G383" s="686" t="str">
        <f>Elec_Est!$Q1883</f>
        <v>By Mechancial Sub Contractor</v>
      </c>
      <c r="H383" s="686" t="str">
        <f>Elec_Est!$Q1883</f>
        <v>By Mechancial Sub Contractor</v>
      </c>
      <c r="I383" s="686" t="str">
        <f>Elec_Est!$Q1883</f>
        <v>By Mechancial Sub Contractor</v>
      </c>
    </row>
    <row r="384" spans="1:9" s="671" customFormat="1" ht="55.2">
      <c r="A384" s="679">
        <f ca="1">IFERROR(IF(OFFSET(A384,-1,0)&gt;0,OFFSET(A384,-1,0)+0.001,ERROR.TYPE(0)),IFERROR(IF(OFFSET(A384,-2,0)&gt;0,OFFSET(A384,-2,0)+0.001,ERROR.TYPE(0)),IFERROR(IF(OFFSET(A384,-3,0)&gt;0,OFFSET(A384,-3,0)+0.001,ERROR.TYPE(0)),IFERROR(IF(OFFSET(A384,-4,0)&gt;0,OFFSET(A384,-4,0)+0.001,ERROR.TYPE(0)),IFERROR(IF(OFFSET(A384,-5,0)&gt;0,OFFSET(A384,-5,0)+0.001,ERROR.TYPE(0)),IFERROR(IF(OFFSET(A384,-6,0)&gt;0,OFFSET(A384,-6,0)+0.001,ERROR.TYPE(0)),IFERROR(IF(OFFSET(A384,-7,0)&gt;0,OFFSET(A384,-7,0)+0.001,ERROR.TYPE(0)),IFERROR(IF(OFFSET(A384,-8,0)&gt;0,OFFSET(A384,-8,0)+0.001,ERROR.TYPE(0)),IFERROR(IF(OFFSET(A384,-9,0)&gt;0,OFFSET(A384,-9,0)+0.001,ERROR.TYPE(0)),IFERROR(IF(OFFSET(A384,-10,0)&gt;0,OFFSET(A384,-10,0)+0.001,ERROR.TYPE(0)),ERROR.TYPE(0)))))))))))</f>
        <v>3.0609999999999933</v>
      </c>
      <c r="B384" s="709" t="s">
        <v>550</v>
      </c>
      <c r="C384" s="682">
        <v>2</v>
      </c>
      <c r="D384" s="682" t="s">
        <v>312</v>
      </c>
      <c r="E384" s="686" t="str">
        <f>Elec_Est!$Q1904</f>
        <v>By Mechancial Sub Contractor</v>
      </c>
      <c r="F384" s="687" t="str">
        <f>IFERROR($C384*E384,E384)</f>
        <v>By Mechancial Sub Contractor</v>
      </c>
      <c r="G384" s="686" t="str">
        <f>Elec_Est!$Q1904</f>
        <v>By Mechancial Sub Contractor</v>
      </c>
      <c r="H384" s="686" t="str">
        <f>Elec_Est!$Q1904</f>
        <v>By Mechancial Sub Contractor</v>
      </c>
      <c r="I384" s="686" t="str">
        <f>Elec_Est!$Q1904</f>
        <v>By Mechancial Sub Contractor</v>
      </c>
    </row>
    <row r="385" spans="1:9" s="671" customFormat="1" ht="55.2">
      <c r="A385" s="679">
        <f ca="1">IFERROR(IF(OFFSET(A385,-1,0)&gt;0,OFFSET(A385,-1,0)+0.001,ERROR.TYPE(0)),IFERROR(IF(OFFSET(A385,-2,0)&gt;0,OFFSET(A385,-2,0)+0.001,ERROR.TYPE(0)),IFERROR(IF(OFFSET(A385,-3,0)&gt;0,OFFSET(A385,-3,0)+0.001,ERROR.TYPE(0)),IFERROR(IF(OFFSET(A385,-4,0)&gt;0,OFFSET(A385,-4,0)+0.001,ERROR.TYPE(0)),IFERROR(IF(OFFSET(A385,-5,0)&gt;0,OFFSET(A385,-5,0)+0.001,ERROR.TYPE(0)),IFERROR(IF(OFFSET(A385,-6,0)&gt;0,OFFSET(A385,-6,0)+0.001,ERROR.TYPE(0)),IFERROR(IF(OFFSET(A385,-7,0)&gt;0,OFFSET(A385,-7,0)+0.001,ERROR.TYPE(0)),IFERROR(IF(OFFSET(A385,-8,0)&gt;0,OFFSET(A385,-8,0)+0.001,ERROR.TYPE(0)),IFERROR(IF(OFFSET(A385,-9,0)&gt;0,OFFSET(A385,-9,0)+0.001,ERROR.TYPE(0)),IFERROR(IF(OFFSET(A385,-10,0)&gt;0,OFFSET(A385,-10,0)+0.001,ERROR.TYPE(0)),ERROR.TYPE(0)))))))))))</f>
        <v>3.0619999999999932</v>
      </c>
      <c r="B385" s="709" t="s">
        <v>532</v>
      </c>
      <c r="C385" s="682">
        <v>2</v>
      </c>
      <c r="D385" s="682" t="s">
        <v>312</v>
      </c>
      <c r="E385" s="686" t="str">
        <f>Elec_Est!$Q1925</f>
        <v>By Mechancial Sub Contractor</v>
      </c>
      <c r="F385" s="687" t="str">
        <f>IFERROR($C385*E385,E385)</f>
        <v>By Mechancial Sub Contractor</v>
      </c>
      <c r="G385" s="686" t="str">
        <f>Elec_Est!$Q1925</f>
        <v>By Mechancial Sub Contractor</v>
      </c>
      <c r="H385" s="686" t="str">
        <f>Elec_Est!$Q1925</f>
        <v>By Mechancial Sub Contractor</v>
      </c>
      <c r="I385" s="686" t="str">
        <f>Elec_Est!$Q1925</f>
        <v>By Mechancial Sub Contractor</v>
      </c>
    </row>
    <row r="386" spans="1:9" s="671" customFormat="1">
      <c r="A386" s="679">
        <f ca="1">IFERROR(IF(OFFSET(A386,-1,0)&gt;0,OFFSET(A386,-1,0)+0.001,ERROR.TYPE(0)),IFERROR(IF(OFFSET(A386,-2,0)&gt;0,OFFSET(A386,-2,0)+0.001,ERROR.TYPE(0)),IFERROR(IF(OFFSET(A386,-3,0)&gt;0,OFFSET(A386,-3,0)+0.001,ERROR.TYPE(0)),IFERROR(IF(OFFSET(A386,-4,0)&gt;0,OFFSET(A386,-4,0)+0.001,ERROR.TYPE(0)),IFERROR(IF(OFFSET(A386,-5,0)&gt;0,OFFSET(A386,-5,0)+0.001,ERROR.TYPE(0)),IFERROR(IF(OFFSET(A386,-6,0)&gt;0,OFFSET(A386,-6,0)+0.001,ERROR.TYPE(0)),IFERROR(IF(OFFSET(A386,-7,0)&gt;0,OFFSET(A386,-7,0)+0.001,ERROR.TYPE(0)),IFERROR(IF(OFFSET(A386,-8,0)&gt;0,OFFSET(A386,-8,0)+0.001,ERROR.TYPE(0)),IFERROR(IF(OFFSET(A386,-9,0)&gt;0,OFFSET(A386,-9,0)+0.001,ERROR.TYPE(0)),IFERROR(IF(OFFSET(A386,-10,0)&gt;0,OFFSET(A386,-10,0)+0.001,ERROR.TYPE(0)),ERROR.TYPE(0)))))))))))</f>
        <v>3.0629999999999931</v>
      </c>
      <c r="B386" s="709" t="s">
        <v>534</v>
      </c>
      <c r="C386" s="682">
        <v>10</v>
      </c>
      <c r="D386" s="682" t="s">
        <v>312</v>
      </c>
      <c r="E386" s="686">
        <f ca="1">Elec_Est!E1946</f>
        <v>41.96</v>
      </c>
      <c r="F386" s="687"/>
      <c r="G386" s="686">
        <f ca="1">Elec_Est!AM1946</f>
        <v>123</v>
      </c>
      <c r="H386" s="686">
        <f ca="1">Elec_Est!AN1946</f>
        <v>10.8</v>
      </c>
      <c r="I386" s="686"/>
    </row>
    <row r="387" spans="1:9" s="671" customFormat="1" ht="27.6">
      <c r="A387" s="726"/>
      <c r="B387" s="704" t="s">
        <v>535</v>
      </c>
      <c r="C387" s="727"/>
      <c r="D387" s="727"/>
      <c r="E387" s="728"/>
      <c r="F387" s="729"/>
      <c r="G387" s="728"/>
      <c r="H387" s="728"/>
      <c r="I387" s="728"/>
    </row>
    <row r="388" spans="1:9" s="731" customFormat="1">
      <c r="A388" s="679">
        <f ca="1">IFERROR(IF(OFFSET(A388,-1,0)&gt;0,OFFSET(A388,-1,0)+0.001,ERROR.TYPE(0)),IFERROR(IF(OFFSET(A388,-2,0)&gt;0,OFFSET(A388,-2,0)+0.001,ERROR.TYPE(0)),IFERROR(IF(OFFSET(A388,-3,0)&gt;0,OFFSET(A388,-3,0)+0.001,ERROR.TYPE(0)),IFERROR(IF(OFFSET(A388,-4,0)&gt;0,OFFSET(A388,-4,0)+0.001,ERROR.TYPE(0)),IFERROR(IF(OFFSET(A388,-5,0)&gt;0,OFFSET(A388,-5,0)+0.001,ERROR.TYPE(0)),IFERROR(IF(OFFSET(A388,-6,0)&gt;0,OFFSET(A388,-6,0)+0.001,ERROR.TYPE(0)),IFERROR(IF(OFFSET(A388,-7,0)&gt;0,OFFSET(A388,-7,0)+0.001,ERROR.TYPE(0)),IFERROR(IF(OFFSET(A388,-8,0)&gt;0,OFFSET(A388,-8,0)+0.001,ERROR.TYPE(0)),IFERROR(IF(OFFSET(A388,-9,0)&gt;0,OFFSET(A388,-9,0)+0.001,ERROR.TYPE(0)),IFERROR(IF(OFFSET(A388,-10,0)&gt;0,OFFSET(A388,-10,0)+0.001,ERROR.TYPE(0)),ERROR.TYPE(0)))))))))))</f>
        <v>3.063999999999993</v>
      </c>
      <c r="B388" s="730" t="s">
        <v>553</v>
      </c>
      <c r="C388" s="682">
        <v>2</v>
      </c>
      <c r="D388" s="682" t="s">
        <v>141</v>
      </c>
      <c r="E388" s="686"/>
      <c r="F388" s="687"/>
      <c r="G388" s="686"/>
      <c r="H388" s="686"/>
      <c r="I388" s="686"/>
    </row>
    <row r="389" spans="1:9" s="731" customFormat="1">
      <c r="A389" s="679">
        <f ca="1">IFERROR(IF(OFFSET(A389,-1,0)&gt;0,OFFSET(A389,-1,0)+0.001,ERROR.TYPE(0)),IFERROR(IF(OFFSET(A389,-2,0)&gt;0,OFFSET(A389,-2,0)+0.001,ERROR.TYPE(0)),IFERROR(IF(OFFSET(A389,-3,0)&gt;0,OFFSET(A389,-3,0)+0.001,ERROR.TYPE(0)),IFERROR(IF(OFFSET(A389,-4,0)&gt;0,OFFSET(A389,-4,0)+0.001,ERROR.TYPE(0)),IFERROR(IF(OFFSET(A389,-5,0)&gt;0,OFFSET(A389,-5,0)+0.001,ERROR.TYPE(0)),IFERROR(IF(OFFSET(A389,-6,0)&gt;0,OFFSET(A389,-6,0)+0.001,ERROR.TYPE(0)),IFERROR(IF(OFFSET(A389,-7,0)&gt;0,OFFSET(A389,-7,0)+0.001,ERROR.TYPE(0)),IFERROR(IF(OFFSET(A389,-8,0)&gt;0,OFFSET(A389,-8,0)+0.001,ERROR.TYPE(0)),IFERROR(IF(OFFSET(A389,-9,0)&gt;0,OFFSET(A389,-9,0)+0.001,ERROR.TYPE(0)),IFERROR(IF(OFFSET(A389,-10,0)&gt;0,OFFSET(A389,-10,0)+0.001,ERROR.TYPE(0)),ERROR.TYPE(0)))))))))))</f>
        <v>3.0649999999999928</v>
      </c>
      <c r="B389" s="730" t="s">
        <v>554</v>
      </c>
      <c r="C389" s="682">
        <v>2</v>
      </c>
      <c r="D389" s="682" t="s">
        <v>141</v>
      </c>
      <c r="E389" s="686"/>
      <c r="F389" s="687"/>
      <c r="G389" s="686"/>
      <c r="H389" s="686"/>
      <c r="I389" s="686"/>
    </row>
    <row r="390" spans="1:9" s="671" customFormat="1" ht="27.6">
      <c r="A390" s="726"/>
      <c r="B390" s="704" t="s">
        <v>538</v>
      </c>
      <c r="C390" s="727"/>
      <c r="D390" s="727"/>
      <c r="E390" s="728"/>
      <c r="F390" s="729"/>
      <c r="G390" s="728"/>
      <c r="H390" s="728"/>
      <c r="I390" s="728"/>
    </row>
    <row r="391" spans="1:9" s="731" customFormat="1">
      <c r="A391" s="679">
        <f ca="1">IFERROR(IF(OFFSET(A391,-1,0)&gt;0,OFFSET(A391,-1,0)+0.001,ERROR.TYPE(0)),IFERROR(IF(OFFSET(A391,-2,0)&gt;0,OFFSET(A391,-2,0)+0.001,ERROR.TYPE(0)),IFERROR(IF(OFFSET(A391,-3,0)&gt;0,OFFSET(A391,-3,0)+0.001,ERROR.TYPE(0)),IFERROR(IF(OFFSET(A391,-4,0)&gt;0,OFFSET(A391,-4,0)+0.001,ERROR.TYPE(0)),IFERROR(IF(OFFSET(A391,-5,0)&gt;0,OFFSET(A391,-5,0)+0.001,ERROR.TYPE(0)),IFERROR(IF(OFFSET(A391,-6,0)&gt;0,OFFSET(A391,-6,0)+0.001,ERROR.TYPE(0)),IFERROR(IF(OFFSET(A391,-7,0)&gt;0,OFFSET(A391,-7,0)+0.001,ERROR.TYPE(0)),IFERROR(IF(OFFSET(A391,-8,0)&gt;0,OFFSET(A391,-8,0)+0.001,ERROR.TYPE(0)),IFERROR(IF(OFFSET(A391,-9,0)&gt;0,OFFSET(A391,-9,0)+0.001,ERROR.TYPE(0)),IFERROR(IF(OFFSET(A391,-10,0)&gt;0,OFFSET(A391,-10,0)+0.001,ERROR.TYPE(0)),ERROR.TYPE(0)))))))))))</f>
        <v>3.0659999999999927</v>
      </c>
      <c r="B391" s="730" t="s">
        <v>553</v>
      </c>
      <c r="C391" s="682">
        <v>2</v>
      </c>
      <c r="D391" s="682" t="s">
        <v>141</v>
      </c>
      <c r="E391" s="686"/>
      <c r="F391" s="687"/>
      <c r="G391" s="686"/>
      <c r="H391" s="686"/>
      <c r="I391" s="686"/>
    </row>
    <row r="392" spans="1:9" s="731" customFormat="1">
      <c r="A392" s="679">
        <f ca="1">IFERROR(IF(OFFSET(A392,-1,0)&gt;0,OFFSET(A392,-1,0)+0.001,ERROR.TYPE(0)),IFERROR(IF(OFFSET(A392,-2,0)&gt;0,OFFSET(A392,-2,0)+0.001,ERROR.TYPE(0)),IFERROR(IF(OFFSET(A392,-3,0)&gt;0,OFFSET(A392,-3,0)+0.001,ERROR.TYPE(0)),IFERROR(IF(OFFSET(A392,-4,0)&gt;0,OFFSET(A392,-4,0)+0.001,ERROR.TYPE(0)),IFERROR(IF(OFFSET(A392,-5,0)&gt;0,OFFSET(A392,-5,0)+0.001,ERROR.TYPE(0)),IFERROR(IF(OFFSET(A392,-6,0)&gt;0,OFFSET(A392,-6,0)+0.001,ERROR.TYPE(0)),IFERROR(IF(OFFSET(A392,-7,0)&gt;0,OFFSET(A392,-7,0)+0.001,ERROR.TYPE(0)),IFERROR(IF(OFFSET(A392,-8,0)&gt;0,OFFSET(A392,-8,0)+0.001,ERROR.TYPE(0)),IFERROR(IF(OFFSET(A392,-9,0)&gt;0,OFFSET(A392,-9,0)+0.001,ERROR.TYPE(0)),IFERROR(IF(OFFSET(A392,-10,0)&gt;0,OFFSET(A392,-10,0)+0.001,ERROR.TYPE(0)),ERROR.TYPE(0)))))))))))</f>
        <v>3.0669999999999926</v>
      </c>
      <c r="B392" s="730" t="s">
        <v>555</v>
      </c>
      <c r="C392" s="682">
        <v>2</v>
      </c>
      <c r="D392" s="682" t="s">
        <v>141</v>
      </c>
      <c r="E392" s="686"/>
      <c r="F392" s="687"/>
      <c r="G392" s="686"/>
      <c r="H392" s="686"/>
      <c r="I392" s="686"/>
    </row>
    <row r="393" spans="1:9" s="671" customFormat="1">
      <c r="A393" s="674" t="s">
        <v>340</v>
      </c>
      <c r="B393" s="702" t="s">
        <v>562</v>
      </c>
      <c r="C393" s="676"/>
      <c r="D393" s="676"/>
      <c r="E393" s="677"/>
      <c r="F393" s="678"/>
      <c r="G393" s="677"/>
      <c r="H393" s="677"/>
      <c r="I393" s="677"/>
    </row>
    <row r="394" spans="1:9" s="671" customFormat="1" ht="77.400000000000006" customHeight="1">
      <c r="A394" s="679" t="s">
        <v>340</v>
      </c>
      <c r="B394" s="725" t="s">
        <v>530</v>
      </c>
      <c r="C394" s="682"/>
      <c r="D394" s="682"/>
      <c r="E394" s="686"/>
      <c r="F394" s="687"/>
      <c r="G394" s="686"/>
      <c r="H394" s="686"/>
      <c r="I394" s="686"/>
    </row>
    <row r="395" spans="1:9" s="671" customFormat="1" ht="55.2">
      <c r="A395" s="679">
        <f ca="1">IFERROR(IF(OFFSET(A395,-1,0)&gt;0,OFFSET(A395,-1,0)+0.001,ERROR.TYPE(0)),IFERROR(IF(OFFSET(A395,-2,0)&gt;0,OFFSET(A395,-2,0)+0.001,ERROR.TYPE(0)),IFERROR(IF(OFFSET(A395,-3,0)&gt;0,OFFSET(A395,-3,0)+0.001,ERROR.TYPE(0)),IFERROR(IF(OFFSET(A395,-4,0)&gt;0,OFFSET(A395,-4,0)+0.001,ERROR.TYPE(0)),IFERROR(IF(OFFSET(A395,-5,0)&gt;0,OFFSET(A395,-5,0)+0.001,ERROR.TYPE(0)),IFERROR(IF(OFFSET(A395,-6,0)&gt;0,OFFSET(A395,-6,0)+0.001,ERROR.TYPE(0)),IFERROR(IF(OFFSET(A395,-7,0)&gt;0,OFFSET(A395,-7,0)+0.001,ERROR.TYPE(0)),IFERROR(IF(OFFSET(A395,-8,0)&gt;0,OFFSET(A395,-8,0)+0.001,ERROR.TYPE(0)),IFERROR(IF(OFFSET(A395,-9,0)&gt;0,OFFSET(A395,-9,0)+0.001,ERROR.TYPE(0)),IFERROR(IF(OFFSET(A395,-10,0)&gt;0,OFFSET(A395,-10,0)+0.001,ERROR.TYPE(0)),ERROR.TYPE(0)))))))))))</f>
        <v>3.0679999999999925</v>
      </c>
      <c r="B395" s="709" t="s">
        <v>563</v>
      </c>
      <c r="C395" s="682">
        <v>1</v>
      </c>
      <c r="D395" s="682" t="s">
        <v>312</v>
      </c>
      <c r="E395" s="686" t="str">
        <f>Elec_Est!Q1961</f>
        <v>By Mechancial Sub Contractor</v>
      </c>
      <c r="F395" s="687"/>
      <c r="G395" s="686" t="str">
        <f>Elec_Est!Q1961</f>
        <v>By Mechancial Sub Contractor</v>
      </c>
      <c r="H395" s="686" t="str">
        <f>Elec_Est!Q1961</f>
        <v>By Mechancial Sub Contractor</v>
      </c>
      <c r="I395" s="686"/>
    </row>
    <row r="396" spans="1:9" s="671" customFormat="1" ht="55.2">
      <c r="A396" s="679">
        <f ca="1">IFERROR(IF(OFFSET(A396,-1,0)&gt;0,OFFSET(A396,-1,0)+0.001,ERROR.TYPE(0)),IFERROR(IF(OFFSET(A396,-2,0)&gt;0,OFFSET(A396,-2,0)+0.001,ERROR.TYPE(0)),IFERROR(IF(OFFSET(A396,-3,0)&gt;0,OFFSET(A396,-3,0)+0.001,ERROR.TYPE(0)),IFERROR(IF(OFFSET(A396,-4,0)&gt;0,OFFSET(A396,-4,0)+0.001,ERROR.TYPE(0)),IFERROR(IF(OFFSET(A396,-5,0)&gt;0,OFFSET(A396,-5,0)+0.001,ERROR.TYPE(0)),IFERROR(IF(OFFSET(A396,-6,0)&gt;0,OFFSET(A396,-6,0)+0.001,ERROR.TYPE(0)),IFERROR(IF(OFFSET(A396,-7,0)&gt;0,OFFSET(A396,-7,0)+0.001,ERROR.TYPE(0)),IFERROR(IF(OFFSET(A396,-8,0)&gt;0,OFFSET(A396,-8,0)+0.001,ERROR.TYPE(0)),IFERROR(IF(OFFSET(A396,-9,0)&gt;0,OFFSET(A396,-9,0)+0.001,ERROR.TYPE(0)),IFERROR(IF(OFFSET(A396,-10,0)&gt;0,OFFSET(A396,-10,0)+0.001,ERROR.TYPE(0)),ERROR.TYPE(0)))))))))))</f>
        <v>3.0689999999999924</v>
      </c>
      <c r="B396" s="709" t="s">
        <v>552</v>
      </c>
      <c r="C396" s="682">
        <v>1</v>
      </c>
      <c r="D396" s="682" t="s">
        <v>312</v>
      </c>
      <c r="E396" s="686" t="str">
        <f>Elec_Est!Q1971</f>
        <v>By Mechancial Sub Contractor</v>
      </c>
      <c r="F396" s="687"/>
      <c r="G396" s="686" t="str">
        <f>Elec_Est!Q1971</f>
        <v>By Mechancial Sub Contractor</v>
      </c>
      <c r="H396" s="686" t="str">
        <f>Elec_Est!Q1971</f>
        <v>By Mechancial Sub Contractor</v>
      </c>
      <c r="I396" s="686"/>
    </row>
    <row r="397" spans="1:9" s="671" customFormat="1" ht="55.2">
      <c r="A397" s="679">
        <f ca="1">IFERROR(IF(OFFSET(A397,-1,0)&gt;0,OFFSET(A397,-1,0)+0.001,ERROR.TYPE(0)),IFERROR(IF(OFFSET(A397,-2,0)&gt;0,OFFSET(A397,-2,0)+0.001,ERROR.TYPE(0)),IFERROR(IF(OFFSET(A397,-3,0)&gt;0,OFFSET(A397,-3,0)+0.001,ERROR.TYPE(0)),IFERROR(IF(OFFSET(A397,-4,0)&gt;0,OFFSET(A397,-4,0)+0.001,ERROR.TYPE(0)),IFERROR(IF(OFFSET(A397,-5,0)&gt;0,OFFSET(A397,-5,0)+0.001,ERROR.TYPE(0)),IFERROR(IF(OFFSET(A397,-6,0)&gt;0,OFFSET(A397,-6,0)+0.001,ERROR.TYPE(0)),IFERROR(IF(OFFSET(A397,-7,0)&gt;0,OFFSET(A397,-7,0)+0.001,ERROR.TYPE(0)),IFERROR(IF(OFFSET(A397,-8,0)&gt;0,OFFSET(A397,-8,0)+0.001,ERROR.TYPE(0)),IFERROR(IF(OFFSET(A397,-9,0)&gt;0,OFFSET(A397,-9,0)+0.001,ERROR.TYPE(0)),IFERROR(IF(OFFSET(A397,-10,0)&gt;0,OFFSET(A397,-10,0)+0.001,ERROR.TYPE(0)),ERROR.TYPE(0)))))))))))</f>
        <v>3.0699999999999923</v>
      </c>
      <c r="B397" s="709" t="s">
        <v>532</v>
      </c>
      <c r="C397" s="682">
        <v>2</v>
      </c>
      <c r="D397" s="682" t="s">
        <v>312</v>
      </c>
      <c r="E397" s="686" t="str">
        <f>Elec_Est!Q1981</f>
        <v>By Mechancial Sub Contractor</v>
      </c>
      <c r="F397" s="687"/>
      <c r="G397" s="686" t="str">
        <f>Elec_Est!Q1981</f>
        <v>By Mechancial Sub Contractor</v>
      </c>
      <c r="H397" s="686" t="str">
        <f>Elec_Est!Q1981</f>
        <v>By Mechancial Sub Contractor</v>
      </c>
      <c r="I397" s="686"/>
    </row>
    <row r="398" spans="1:9" s="671" customFormat="1" ht="55.2">
      <c r="A398" s="679">
        <f ca="1">IFERROR(IF(OFFSET(A398,-1,0)&gt;0,OFFSET(A398,-1,0)+0.001,ERROR.TYPE(0)),IFERROR(IF(OFFSET(A398,-2,0)&gt;0,OFFSET(A398,-2,0)+0.001,ERROR.TYPE(0)),IFERROR(IF(OFFSET(A398,-3,0)&gt;0,OFFSET(A398,-3,0)+0.001,ERROR.TYPE(0)),IFERROR(IF(OFFSET(A398,-4,0)&gt;0,OFFSET(A398,-4,0)+0.001,ERROR.TYPE(0)),IFERROR(IF(OFFSET(A398,-5,0)&gt;0,OFFSET(A398,-5,0)+0.001,ERROR.TYPE(0)),IFERROR(IF(OFFSET(A398,-6,0)&gt;0,OFFSET(A398,-6,0)+0.001,ERROR.TYPE(0)),IFERROR(IF(OFFSET(A398,-7,0)&gt;0,OFFSET(A398,-7,0)+0.001,ERROR.TYPE(0)),IFERROR(IF(OFFSET(A398,-8,0)&gt;0,OFFSET(A398,-8,0)+0.001,ERROR.TYPE(0)),IFERROR(IF(OFFSET(A398,-9,0)&gt;0,OFFSET(A398,-9,0)+0.001,ERROR.TYPE(0)),IFERROR(IF(OFFSET(A398,-10,0)&gt;0,OFFSET(A398,-10,0)+0.001,ERROR.TYPE(0)),ERROR.TYPE(0)))))))))))</f>
        <v>3.0709999999999922</v>
      </c>
      <c r="B398" s="709" t="s">
        <v>533</v>
      </c>
      <c r="C398" s="682">
        <v>1</v>
      </c>
      <c r="D398" s="682" t="s">
        <v>312</v>
      </c>
      <c r="E398" s="686" t="str">
        <f>Elec_Est!Q1991</f>
        <v>By Mechancial Sub Contractor</v>
      </c>
      <c r="F398" s="687"/>
      <c r="G398" s="686" t="str">
        <f>Elec_Est!Q1991</f>
        <v>By Mechancial Sub Contractor</v>
      </c>
      <c r="H398" s="686" t="str">
        <f>Elec_Est!Q1991</f>
        <v>By Mechancial Sub Contractor</v>
      </c>
      <c r="I398" s="686"/>
    </row>
    <row r="399" spans="1:9" s="671" customFormat="1">
      <c r="A399" s="679">
        <f ca="1">IFERROR(IF(OFFSET(A399,-1,0)&gt;0,OFFSET(A399,-1,0)+0.001,ERROR.TYPE(0)),IFERROR(IF(OFFSET(A399,-2,0)&gt;0,OFFSET(A399,-2,0)+0.001,ERROR.TYPE(0)),IFERROR(IF(OFFSET(A399,-3,0)&gt;0,OFFSET(A399,-3,0)+0.001,ERROR.TYPE(0)),IFERROR(IF(OFFSET(A399,-4,0)&gt;0,OFFSET(A399,-4,0)+0.001,ERROR.TYPE(0)),IFERROR(IF(OFFSET(A399,-5,0)&gt;0,OFFSET(A399,-5,0)+0.001,ERROR.TYPE(0)),IFERROR(IF(OFFSET(A399,-6,0)&gt;0,OFFSET(A399,-6,0)+0.001,ERROR.TYPE(0)),IFERROR(IF(OFFSET(A399,-7,0)&gt;0,OFFSET(A399,-7,0)+0.001,ERROR.TYPE(0)),IFERROR(IF(OFFSET(A399,-8,0)&gt;0,OFFSET(A399,-8,0)+0.001,ERROR.TYPE(0)),IFERROR(IF(OFFSET(A399,-9,0)&gt;0,OFFSET(A399,-9,0)+0.001,ERROR.TYPE(0)),IFERROR(IF(OFFSET(A399,-10,0)&gt;0,OFFSET(A399,-10,0)+0.001,ERROR.TYPE(0)),ERROR.TYPE(0)))))))))))</f>
        <v>3.0719999999999921</v>
      </c>
      <c r="B399" s="709" t="s">
        <v>534</v>
      </c>
      <c r="C399" s="682">
        <v>5</v>
      </c>
      <c r="D399" s="682" t="s">
        <v>312</v>
      </c>
      <c r="E399" s="686">
        <f ca="1">Elec_Est!E2001</f>
        <v>41.96</v>
      </c>
      <c r="F399" s="687"/>
      <c r="G399" s="686">
        <f ca="1">Elec_Est!AM2001</f>
        <v>61.5</v>
      </c>
      <c r="H399" s="686">
        <f ca="1">Elec_Est!AN2001</f>
        <v>5.4</v>
      </c>
      <c r="I399" s="686"/>
    </row>
    <row r="400" spans="1:9" s="671" customFormat="1" ht="27.6">
      <c r="A400" s="726"/>
      <c r="B400" s="704" t="s">
        <v>535</v>
      </c>
      <c r="C400" s="727"/>
      <c r="D400" s="727"/>
      <c r="E400" s="728"/>
      <c r="F400" s="729"/>
      <c r="G400" s="728"/>
      <c r="H400" s="728"/>
      <c r="I400" s="728"/>
    </row>
    <row r="401" spans="1:9" s="731" customFormat="1">
      <c r="A401" s="679">
        <f t="shared" ref="A401:A410" ca="1" si="42">IFERROR(IF(OFFSET(A401,-1,0)&gt;0,OFFSET(A401,-1,0)+0.001,ERROR.TYPE(0)),IFERROR(IF(OFFSET(A401,-2,0)&gt;0,OFFSET(A401,-2,0)+0.001,ERROR.TYPE(0)),IFERROR(IF(OFFSET(A401,-3,0)&gt;0,OFFSET(A401,-3,0)+0.001,ERROR.TYPE(0)),IFERROR(IF(OFFSET(A401,-4,0)&gt;0,OFFSET(A401,-4,0)+0.001,ERROR.TYPE(0)),IFERROR(IF(OFFSET(A401,-5,0)&gt;0,OFFSET(A401,-5,0)+0.001,ERROR.TYPE(0)),IFERROR(IF(OFFSET(A401,-6,0)&gt;0,OFFSET(A401,-6,0)+0.001,ERROR.TYPE(0)),IFERROR(IF(OFFSET(A401,-7,0)&gt;0,OFFSET(A401,-7,0)+0.001,ERROR.TYPE(0)),IFERROR(IF(OFFSET(A401,-8,0)&gt;0,OFFSET(A401,-8,0)+0.001,ERROR.TYPE(0)),IFERROR(IF(OFFSET(A401,-9,0)&gt;0,OFFSET(A401,-9,0)+0.001,ERROR.TYPE(0)),IFERROR(IF(OFFSET(A401,-10,0)&gt;0,OFFSET(A401,-10,0)+0.001,ERROR.TYPE(0)),ERROR.TYPE(0)))))))))))</f>
        <v>3.072999999999992</v>
      </c>
      <c r="B401" s="730" t="s">
        <v>553</v>
      </c>
      <c r="C401" s="682">
        <v>3</v>
      </c>
      <c r="D401" s="682" t="s">
        <v>141</v>
      </c>
      <c r="E401" s="686"/>
      <c r="F401" s="687">
        <f t="shared" ref="F401:F406" si="43">IFERROR($C401*E401,E401)</f>
        <v>0</v>
      </c>
      <c r="G401" s="686"/>
      <c r="H401" s="686"/>
      <c r="I401" s="686"/>
    </row>
    <row r="402" spans="1:9" s="731" customFormat="1">
      <c r="A402" s="679">
        <f t="shared" ca="1" si="42"/>
        <v>3.0739999999999919</v>
      </c>
      <c r="B402" s="730" t="s">
        <v>536</v>
      </c>
      <c r="C402" s="682">
        <v>1</v>
      </c>
      <c r="D402" s="682" t="s">
        <v>141</v>
      </c>
      <c r="E402" s="686"/>
      <c r="F402" s="687">
        <f t="shared" si="43"/>
        <v>0</v>
      </c>
      <c r="G402" s="686"/>
      <c r="H402" s="686"/>
      <c r="I402" s="686"/>
    </row>
    <row r="403" spans="1:9" s="731" customFormat="1">
      <c r="A403" s="679">
        <f t="shared" ca="1" si="42"/>
        <v>3.0749999999999917</v>
      </c>
      <c r="B403" s="730" t="s">
        <v>564</v>
      </c>
      <c r="C403" s="682">
        <v>1</v>
      </c>
      <c r="D403" s="682" t="s">
        <v>141</v>
      </c>
      <c r="E403" s="686"/>
      <c r="F403" s="687">
        <f t="shared" si="43"/>
        <v>0</v>
      </c>
      <c r="G403" s="686"/>
      <c r="H403" s="686"/>
      <c r="I403" s="686"/>
    </row>
    <row r="404" spans="1:9" s="731" customFormat="1">
      <c r="A404" s="679">
        <f ca="1">IFERROR(IF(OFFSET(A404,-1,0)&gt;0,OFFSET(A404,-1,0)+0.001,ERROR.TYPE(0)),IFERROR(IF(OFFSET(A404,-2,0)&gt;0,OFFSET(A404,-2,0)+0.001,ERROR.TYPE(0)),IFERROR(IF(OFFSET(A404,-3,0)&gt;0,OFFSET(A404,-3,0)+0.001,ERROR.TYPE(0)),IFERROR(IF(OFFSET(A404,-4,0)&gt;0,OFFSET(A404,-4,0)+0.001,ERROR.TYPE(0)),IFERROR(IF(OFFSET(A404,-5,0)&gt;0,OFFSET(A404,-5,0)+0.001,ERROR.TYPE(0)),IFERROR(IF(OFFSET(A404,-6,0)&gt;0,OFFSET(A404,-6,0)+0.001,ERROR.TYPE(0)),IFERROR(IF(OFFSET(A404,-7,0)&gt;0,OFFSET(A404,-7,0)+0.001,ERROR.TYPE(0)),IFERROR(IF(OFFSET(A404,-8,0)&gt;0,OFFSET(A404,-8,0)+0.001,ERROR.TYPE(0)),IFERROR(IF(OFFSET(A404,-9,0)&gt;0,OFFSET(A404,-9,0)+0.001,ERROR.TYPE(0)),IFERROR(IF(OFFSET(A404,-10,0)&gt;0,OFFSET(A404,-10,0)+0.001,ERROR.TYPE(0)),ERROR.TYPE(0)))))))))))</f>
        <v>3.0759999999999916</v>
      </c>
      <c r="B404" s="730" t="s">
        <v>554</v>
      </c>
      <c r="C404" s="682">
        <v>3</v>
      </c>
      <c r="D404" s="682" t="s">
        <v>141</v>
      </c>
      <c r="E404" s="686"/>
      <c r="F404" s="687">
        <f t="shared" si="43"/>
        <v>0</v>
      </c>
      <c r="G404" s="686"/>
      <c r="H404" s="686"/>
      <c r="I404" s="686"/>
    </row>
    <row r="405" spans="1:9" s="731" customFormat="1">
      <c r="A405" s="679">
        <f ca="1">IFERROR(IF(OFFSET(A405,-1,0)&gt;0,OFFSET(A405,-1,0)+0.001,ERROR.TYPE(0)),IFERROR(IF(OFFSET(A405,-2,0)&gt;0,OFFSET(A405,-2,0)+0.001,ERROR.TYPE(0)),IFERROR(IF(OFFSET(A405,-3,0)&gt;0,OFFSET(A405,-3,0)+0.001,ERROR.TYPE(0)),IFERROR(IF(OFFSET(A405,-4,0)&gt;0,OFFSET(A405,-4,0)+0.001,ERROR.TYPE(0)),IFERROR(IF(OFFSET(A405,-5,0)&gt;0,OFFSET(A405,-5,0)+0.001,ERROR.TYPE(0)),IFERROR(IF(OFFSET(A405,-6,0)&gt;0,OFFSET(A405,-6,0)+0.001,ERROR.TYPE(0)),IFERROR(IF(OFFSET(A405,-7,0)&gt;0,OFFSET(A405,-7,0)+0.001,ERROR.TYPE(0)),IFERROR(IF(OFFSET(A405,-8,0)&gt;0,OFFSET(A405,-8,0)+0.001,ERROR.TYPE(0)),IFERROR(IF(OFFSET(A405,-9,0)&gt;0,OFFSET(A405,-9,0)+0.001,ERROR.TYPE(0)),IFERROR(IF(OFFSET(A405,-10,0)&gt;0,OFFSET(A405,-10,0)+0.001,ERROR.TYPE(0)),ERROR.TYPE(0)))))))))))</f>
        <v>3.0769999999999915</v>
      </c>
      <c r="B405" s="730" t="s">
        <v>537</v>
      </c>
      <c r="C405" s="682">
        <v>1</v>
      </c>
      <c r="D405" s="682" t="s">
        <v>141</v>
      </c>
      <c r="E405" s="686"/>
      <c r="F405" s="687">
        <f t="shared" si="43"/>
        <v>0</v>
      </c>
      <c r="G405" s="686"/>
      <c r="H405" s="686"/>
      <c r="I405" s="686"/>
    </row>
    <row r="406" spans="1:9" s="731" customFormat="1">
      <c r="A406" s="679">
        <f ca="1">IFERROR(IF(OFFSET(A406,-1,0)&gt;0,OFFSET(A406,-1,0)+0.001,ERROR.TYPE(0)),IFERROR(IF(OFFSET(A406,-2,0)&gt;0,OFFSET(A406,-2,0)+0.001,ERROR.TYPE(0)),IFERROR(IF(OFFSET(A406,-3,0)&gt;0,OFFSET(A406,-3,0)+0.001,ERROR.TYPE(0)),IFERROR(IF(OFFSET(A406,-4,0)&gt;0,OFFSET(A406,-4,0)+0.001,ERROR.TYPE(0)),IFERROR(IF(OFFSET(A406,-5,0)&gt;0,OFFSET(A406,-5,0)+0.001,ERROR.TYPE(0)),IFERROR(IF(OFFSET(A406,-6,0)&gt;0,OFFSET(A406,-6,0)+0.001,ERROR.TYPE(0)),IFERROR(IF(OFFSET(A406,-7,0)&gt;0,OFFSET(A406,-7,0)+0.001,ERROR.TYPE(0)),IFERROR(IF(OFFSET(A406,-8,0)&gt;0,OFFSET(A406,-8,0)+0.001,ERROR.TYPE(0)),IFERROR(IF(OFFSET(A406,-9,0)&gt;0,OFFSET(A406,-9,0)+0.001,ERROR.TYPE(0)),IFERROR(IF(OFFSET(A406,-10,0)&gt;0,OFFSET(A406,-10,0)+0.001,ERROR.TYPE(0)),ERROR.TYPE(0)))))))))))</f>
        <v>3.0779999999999914</v>
      </c>
      <c r="B406" s="730" t="s">
        <v>565</v>
      </c>
      <c r="C406" s="682">
        <v>1</v>
      </c>
      <c r="D406" s="682" t="s">
        <v>141</v>
      </c>
      <c r="E406" s="686"/>
      <c r="F406" s="687">
        <f t="shared" si="43"/>
        <v>0</v>
      </c>
      <c r="G406" s="686"/>
      <c r="H406" s="686"/>
      <c r="I406" s="686"/>
    </row>
    <row r="407" spans="1:9" s="671" customFormat="1" ht="27.6">
      <c r="A407" s="726"/>
      <c r="B407" s="704" t="s">
        <v>538</v>
      </c>
      <c r="C407" s="727"/>
      <c r="D407" s="727"/>
      <c r="E407" s="728"/>
      <c r="F407" s="729"/>
      <c r="G407" s="728"/>
      <c r="H407" s="728"/>
      <c r="I407" s="728"/>
    </row>
    <row r="408" spans="1:9" s="731" customFormat="1">
      <c r="A408" s="679">
        <f t="shared" ca="1" si="42"/>
        <v>3.0789999999999913</v>
      </c>
      <c r="B408" s="730" t="s">
        <v>553</v>
      </c>
      <c r="C408" s="682">
        <v>3</v>
      </c>
      <c r="D408" s="682" t="s">
        <v>141</v>
      </c>
      <c r="E408" s="686"/>
      <c r="F408" s="687">
        <f t="shared" ref="F408:F414" si="44">IFERROR($C408*E408,E408)</f>
        <v>0</v>
      </c>
      <c r="G408" s="686"/>
      <c r="H408" s="686"/>
      <c r="I408" s="686"/>
    </row>
    <row r="409" spans="1:9" s="731" customFormat="1">
      <c r="A409" s="679">
        <f t="shared" ca="1" si="42"/>
        <v>3.0799999999999912</v>
      </c>
      <c r="B409" s="730" t="s">
        <v>536</v>
      </c>
      <c r="C409" s="682">
        <v>1</v>
      </c>
      <c r="D409" s="682" t="s">
        <v>141</v>
      </c>
      <c r="E409" s="686"/>
      <c r="F409" s="687">
        <f t="shared" si="44"/>
        <v>0</v>
      </c>
      <c r="G409" s="686"/>
      <c r="H409" s="686"/>
      <c r="I409" s="686"/>
    </row>
    <row r="410" spans="1:9" s="731" customFormat="1">
      <c r="A410" s="679">
        <f t="shared" ca="1" si="42"/>
        <v>3.0809999999999911</v>
      </c>
      <c r="B410" s="730" t="s">
        <v>564</v>
      </c>
      <c r="C410" s="682">
        <v>1</v>
      </c>
      <c r="D410" s="682" t="s">
        <v>141</v>
      </c>
      <c r="E410" s="686"/>
      <c r="F410" s="687">
        <f t="shared" si="44"/>
        <v>0</v>
      </c>
      <c r="G410" s="686"/>
      <c r="H410" s="686"/>
      <c r="I410" s="686"/>
    </row>
    <row r="411" spans="1:9" s="731" customFormat="1">
      <c r="A411" s="679">
        <f ca="1">IFERROR(IF(OFFSET(A411,-1,0)&gt;0,OFFSET(A411,-1,0)+0.001,ERROR.TYPE(0)),IFERROR(IF(OFFSET(A411,-2,0)&gt;0,OFFSET(A411,-2,0)+0.001,ERROR.TYPE(0)),IFERROR(IF(OFFSET(A411,-3,0)&gt;0,OFFSET(A411,-3,0)+0.001,ERROR.TYPE(0)),IFERROR(IF(OFFSET(A411,-4,0)&gt;0,OFFSET(A411,-4,0)+0.001,ERROR.TYPE(0)),IFERROR(IF(OFFSET(A411,-5,0)&gt;0,OFFSET(A411,-5,0)+0.001,ERROR.TYPE(0)),IFERROR(IF(OFFSET(A411,-6,0)&gt;0,OFFSET(A411,-6,0)+0.001,ERROR.TYPE(0)),IFERROR(IF(OFFSET(A411,-7,0)&gt;0,OFFSET(A411,-7,0)+0.001,ERROR.TYPE(0)),IFERROR(IF(OFFSET(A411,-8,0)&gt;0,OFFSET(A411,-8,0)+0.001,ERROR.TYPE(0)),IFERROR(IF(OFFSET(A411,-9,0)&gt;0,OFFSET(A411,-9,0)+0.001,ERROR.TYPE(0)),IFERROR(IF(OFFSET(A411,-10,0)&gt;0,OFFSET(A411,-10,0)+0.001,ERROR.TYPE(0)),ERROR.TYPE(0)))))))))))</f>
        <v>3.081999999999991</v>
      </c>
      <c r="B411" s="730" t="s">
        <v>555</v>
      </c>
      <c r="C411" s="682">
        <v>3</v>
      </c>
      <c r="D411" s="682" t="s">
        <v>141</v>
      </c>
      <c r="E411" s="686"/>
      <c r="F411" s="687">
        <f t="shared" si="44"/>
        <v>0</v>
      </c>
      <c r="G411" s="686"/>
      <c r="H411" s="686"/>
      <c r="I411" s="686"/>
    </row>
    <row r="412" spans="1:9" s="731" customFormat="1">
      <c r="A412" s="679">
        <f ca="1">IFERROR(IF(OFFSET(A412,-1,0)&gt;0,OFFSET(A412,-1,0)+0.001,ERROR.TYPE(0)),IFERROR(IF(OFFSET(A412,-2,0)&gt;0,OFFSET(A412,-2,0)+0.001,ERROR.TYPE(0)),IFERROR(IF(OFFSET(A412,-3,0)&gt;0,OFFSET(A412,-3,0)+0.001,ERROR.TYPE(0)),IFERROR(IF(OFFSET(A412,-4,0)&gt;0,OFFSET(A412,-4,0)+0.001,ERROR.TYPE(0)),IFERROR(IF(OFFSET(A412,-5,0)&gt;0,OFFSET(A412,-5,0)+0.001,ERROR.TYPE(0)),IFERROR(IF(OFFSET(A412,-6,0)&gt;0,OFFSET(A412,-6,0)+0.001,ERROR.TYPE(0)),IFERROR(IF(OFFSET(A412,-7,0)&gt;0,OFFSET(A412,-7,0)+0.001,ERROR.TYPE(0)),IFERROR(IF(OFFSET(A412,-8,0)&gt;0,OFFSET(A412,-8,0)+0.001,ERROR.TYPE(0)),IFERROR(IF(OFFSET(A412,-9,0)&gt;0,OFFSET(A412,-9,0)+0.001,ERROR.TYPE(0)),IFERROR(IF(OFFSET(A412,-10,0)&gt;0,OFFSET(A412,-10,0)+0.001,ERROR.TYPE(0)),ERROR.TYPE(0)))))))))))</f>
        <v>3.0829999999999909</v>
      </c>
      <c r="B412" s="730" t="s">
        <v>539</v>
      </c>
      <c r="C412" s="682">
        <v>1</v>
      </c>
      <c r="D412" s="682" t="s">
        <v>141</v>
      </c>
      <c r="E412" s="686"/>
      <c r="F412" s="687">
        <f t="shared" si="44"/>
        <v>0</v>
      </c>
      <c r="G412" s="686"/>
      <c r="H412" s="686"/>
      <c r="I412" s="686"/>
    </row>
    <row r="413" spans="1:9" s="731" customFormat="1">
      <c r="A413" s="679">
        <f ca="1">IFERROR(IF(OFFSET(A413,-1,0)&gt;0,OFFSET(A413,-1,0)+0.001,ERROR.TYPE(0)),IFERROR(IF(OFFSET(A413,-2,0)&gt;0,OFFSET(A413,-2,0)+0.001,ERROR.TYPE(0)),IFERROR(IF(OFFSET(A413,-3,0)&gt;0,OFFSET(A413,-3,0)+0.001,ERROR.TYPE(0)),IFERROR(IF(OFFSET(A413,-4,0)&gt;0,OFFSET(A413,-4,0)+0.001,ERROR.TYPE(0)),IFERROR(IF(OFFSET(A413,-5,0)&gt;0,OFFSET(A413,-5,0)+0.001,ERROR.TYPE(0)),IFERROR(IF(OFFSET(A413,-6,0)&gt;0,OFFSET(A413,-6,0)+0.001,ERROR.TYPE(0)),IFERROR(IF(OFFSET(A413,-7,0)&gt;0,OFFSET(A413,-7,0)+0.001,ERROR.TYPE(0)),IFERROR(IF(OFFSET(A413,-8,0)&gt;0,OFFSET(A413,-8,0)+0.001,ERROR.TYPE(0)),IFERROR(IF(OFFSET(A413,-9,0)&gt;0,OFFSET(A413,-9,0)+0.001,ERROR.TYPE(0)),IFERROR(IF(OFFSET(A413,-10,0)&gt;0,OFFSET(A413,-10,0)+0.001,ERROR.TYPE(0)),ERROR.TYPE(0)))))))))))</f>
        <v>3.0839999999999907</v>
      </c>
      <c r="B413" s="730" t="s">
        <v>566</v>
      </c>
      <c r="C413" s="682">
        <v>1</v>
      </c>
      <c r="D413" s="682" t="s">
        <v>141</v>
      </c>
      <c r="E413" s="686"/>
      <c r="F413" s="687">
        <f t="shared" si="44"/>
        <v>0</v>
      </c>
      <c r="G413" s="686"/>
      <c r="H413" s="686"/>
      <c r="I413" s="686"/>
    </row>
    <row r="414" spans="1:9" s="671" customFormat="1" ht="27.6">
      <c r="A414" s="679">
        <f ca="1">IFERROR(IF(OFFSET(A414,-1,0)&gt;0,OFFSET(A414,-1,0)+0.001,ERROR.TYPE(0)),IFERROR(IF(OFFSET(A414,-2,0)&gt;0,OFFSET(A414,-2,0)+0.001,ERROR.TYPE(0)),IFERROR(IF(OFFSET(A414,-3,0)&gt;0,OFFSET(A414,-3,0)+0.001,ERROR.TYPE(0)),IFERROR(IF(OFFSET(A414,-4,0)&gt;0,OFFSET(A414,-4,0)+0.001,ERROR.TYPE(0)),IFERROR(IF(OFFSET(A414,-5,0)&gt;0,OFFSET(A414,-5,0)+0.001,ERROR.TYPE(0)),IFERROR(IF(OFFSET(A414,-6,0)&gt;0,OFFSET(A414,-6,0)+0.001,ERROR.TYPE(0)),IFERROR(IF(OFFSET(A414,-7,0)&gt;0,OFFSET(A414,-7,0)+0.001,ERROR.TYPE(0)),IFERROR(IF(OFFSET(A414,-8,0)&gt;0,OFFSET(A414,-8,0)+0.001,ERROR.TYPE(0)),IFERROR(IF(OFFSET(A414,-9,0)&gt;0,OFFSET(A414,-9,0)+0.001,ERROR.TYPE(0)),IFERROR(IF(OFFSET(A414,-10,0)&gt;0,OFFSET(A414,-10,0)+0.001,ERROR.TYPE(0)),ERROR.TYPE(0)))))))))))</f>
        <v>3.0849999999999906</v>
      </c>
      <c r="B414" s="685" t="s">
        <v>567</v>
      </c>
      <c r="C414" s="682">
        <v>1</v>
      </c>
      <c r="D414" s="622" t="s">
        <v>313</v>
      </c>
      <c r="E414" s="686"/>
      <c r="F414" s="687">
        <f t="shared" si="44"/>
        <v>0</v>
      </c>
      <c r="G414" s="686"/>
      <c r="H414" s="686"/>
      <c r="I414" s="686"/>
    </row>
    <row r="415" spans="1:9" s="671" customFormat="1" ht="13.95" customHeight="1">
      <c r="A415" s="674" t="s">
        <v>941</v>
      </c>
      <c r="B415" s="675" t="s">
        <v>333</v>
      </c>
      <c r="C415" s="1082" t="s">
        <v>315</v>
      </c>
      <c r="D415" s="1083"/>
      <c r="E415" s="689"/>
      <c r="F415" s="678">
        <f>SUM(F381:F414)</f>
        <v>0</v>
      </c>
      <c r="G415" s="735">
        <f t="shared" ref="G415:I415" ca="1" si="45">SUM(G381:G414)</f>
        <v>184.5</v>
      </c>
      <c r="H415" s="735">
        <f t="shared" ca="1" si="45"/>
        <v>16.200000000000003</v>
      </c>
      <c r="I415" s="735">
        <f t="shared" si="45"/>
        <v>0</v>
      </c>
    </row>
    <row r="416" spans="1:9" s="671" customFormat="1">
      <c r="A416" s="697"/>
      <c r="B416" s="698"/>
      <c r="C416" s="699"/>
      <c r="D416" s="699"/>
      <c r="E416" s="700"/>
      <c r="F416" s="701"/>
      <c r="G416" s="700"/>
      <c r="H416" s="700"/>
      <c r="I416" s="700"/>
    </row>
    <row r="417" spans="1:9" s="671" customFormat="1">
      <c r="A417" s="697"/>
      <c r="B417" s="698"/>
      <c r="C417" s="699"/>
      <c r="D417" s="691"/>
      <c r="E417" s="700"/>
      <c r="F417" s="701"/>
      <c r="G417" s="700"/>
      <c r="H417" s="700"/>
      <c r="I417" s="700"/>
    </row>
    <row r="418" spans="1:9" s="671" customFormat="1" ht="27.6">
      <c r="A418" s="613" t="s">
        <v>143</v>
      </c>
      <c r="B418" s="614" t="s">
        <v>209</v>
      </c>
      <c r="C418" s="615" t="s">
        <v>210</v>
      </c>
      <c r="D418" s="615" t="s">
        <v>211</v>
      </c>
      <c r="E418" s="616" t="s">
        <v>309</v>
      </c>
      <c r="F418" s="617" t="s">
        <v>310</v>
      </c>
      <c r="G418" s="616" t="s">
        <v>912</v>
      </c>
      <c r="H418" s="616" t="s">
        <v>913</v>
      </c>
      <c r="I418" s="616" t="s">
        <v>914</v>
      </c>
    </row>
    <row r="419" spans="1:9" s="671" customFormat="1">
      <c r="A419" s="674" t="s">
        <v>340</v>
      </c>
      <c r="B419" s="702" t="s">
        <v>568</v>
      </c>
      <c r="C419" s="676"/>
      <c r="D419" s="676"/>
      <c r="E419" s="677"/>
      <c r="F419" s="678"/>
      <c r="G419" s="677"/>
      <c r="H419" s="677"/>
      <c r="I419" s="677"/>
    </row>
    <row r="420" spans="1:9" s="671" customFormat="1" ht="88.95" customHeight="1">
      <c r="A420" s="679" t="s">
        <v>340</v>
      </c>
      <c r="B420" s="732" t="s">
        <v>569</v>
      </c>
      <c r="C420" s="682"/>
      <c r="D420" s="682"/>
      <c r="E420" s="686"/>
      <c r="F420" s="687"/>
      <c r="G420" s="686"/>
      <c r="H420" s="686"/>
      <c r="I420" s="686"/>
    </row>
    <row r="421" spans="1:9" s="671" customFormat="1" ht="55.2">
      <c r="A421" s="679">
        <f ca="1">IFERROR(IF(OFFSET(A421,-1,0)&gt;0,OFFSET(A421,-1,0)+0.001,ERROR.TYPE(0)),IFERROR(IF(OFFSET(A421,-2,0)&gt;0,OFFSET(A421,-2,0)+0.001,ERROR.TYPE(0)),IFERROR(IF(OFFSET(A421,-3,0)&gt;0,OFFSET(A421,-3,0)+0.001,ERROR.TYPE(0)),IFERROR(IF(OFFSET(A421,-4,0)&gt;0,OFFSET(A421,-4,0)+0.001,ERROR.TYPE(0)),IFERROR(IF(OFFSET(A421,-5,0)&gt;0,OFFSET(A421,-5,0)+0.001,ERROR.TYPE(0)),IFERROR(IF(OFFSET(A421,-6,0)&gt;0,OFFSET(A421,-6,0)+0.001,ERROR.TYPE(0)),IFERROR(IF(OFFSET(A421,-7,0)&gt;0,OFFSET(A421,-7,0)+0.001,ERROR.TYPE(0)),IFERROR(IF(OFFSET(A421,-8,0)&gt;0,OFFSET(A421,-8,0)+0.001,ERROR.TYPE(0)),IFERROR(IF(OFFSET(A421,-9,0)&gt;0,OFFSET(A421,-9,0)+0.001,ERROR.TYPE(0)),IFERROR(IF(OFFSET(A421,-10,0)&gt;0,OFFSET(A421,-10,0)+0.001,ERROR.TYPE(0)),ERROR.TYPE(0)))))))))))</f>
        <v>3.0859999999999905</v>
      </c>
      <c r="B421" s="733" t="s">
        <v>570</v>
      </c>
      <c r="C421" s="682">
        <v>1</v>
      </c>
      <c r="D421" s="682" t="s">
        <v>312</v>
      </c>
      <c r="E421" s="686" t="str">
        <f>Elec_Est!Q2016</f>
        <v>By Mechancial Sub Contractor</v>
      </c>
      <c r="F421" s="687"/>
      <c r="G421" s="686" t="str">
        <f>Elec_Est!Q2016</f>
        <v>By Mechancial Sub Contractor</v>
      </c>
      <c r="H421" s="686" t="str">
        <f>Elec_Est!Q2016</f>
        <v>By Mechancial Sub Contractor</v>
      </c>
      <c r="I421" s="686"/>
    </row>
    <row r="422" spans="1:9" s="671" customFormat="1" ht="55.2">
      <c r="A422" s="679">
        <f ca="1">IFERROR(IF(OFFSET(A422,-1,0)&gt;0,OFFSET(A422,-1,0)+0.001,ERROR.TYPE(0)),IFERROR(IF(OFFSET(A422,-2,0)&gt;0,OFFSET(A422,-2,0)+0.001,ERROR.TYPE(0)),IFERROR(IF(OFFSET(A422,-3,0)&gt;0,OFFSET(A422,-3,0)+0.001,ERROR.TYPE(0)),IFERROR(IF(OFFSET(A422,-4,0)&gt;0,OFFSET(A422,-4,0)+0.001,ERROR.TYPE(0)),IFERROR(IF(OFFSET(A422,-5,0)&gt;0,OFFSET(A422,-5,0)+0.001,ERROR.TYPE(0)),IFERROR(IF(OFFSET(A422,-6,0)&gt;0,OFFSET(A422,-6,0)+0.001,ERROR.TYPE(0)),IFERROR(IF(OFFSET(A422,-7,0)&gt;0,OFFSET(A422,-7,0)+0.001,ERROR.TYPE(0)),IFERROR(IF(OFFSET(A422,-8,0)&gt;0,OFFSET(A422,-8,0)+0.001,ERROR.TYPE(0)),IFERROR(IF(OFFSET(A422,-9,0)&gt;0,OFFSET(A422,-9,0)+0.001,ERROR.TYPE(0)),IFERROR(IF(OFFSET(A422,-10,0)&gt;0,OFFSET(A422,-10,0)+0.001,ERROR.TYPE(0)),ERROR.TYPE(0)))))))))))</f>
        <v>3.0869999999999904</v>
      </c>
      <c r="B422" s="733" t="s">
        <v>571</v>
      </c>
      <c r="C422" s="682">
        <v>1</v>
      </c>
      <c r="D422" s="682" t="s">
        <v>312</v>
      </c>
      <c r="E422" s="686" t="str">
        <f>Elec_Est!Q2026</f>
        <v>By Mechancial Sub Contractor</v>
      </c>
      <c r="F422" s="687"/>
      <c r="G422" s="686" t="str">
        <f>Elec_Est!Q2026</f>
        <v>By Mechancial Sub Contractor</v>
      </c>
      <c r="H422" s="686" t="str">
        <f>Elec_Est!Q2026</f>
        <v>By Mechancial Sub Contractor</v>
      </c>
      <c r="I422" s="686"/>
    </row>
    <row r="423" spans="1:9" s="671" customFormat="1">
      <c r="A423" s="679">
        <f ca="1">IFERROR(IF(OFFSET(A423,-1,0)&gt;0,OFFSET(A423,-1,0)+0.001,ERROR.TYPE(0)),IFERROR(IF(OFFSET(A423,-2,0)&gt;0,OFFSET(A423,-2,0)+0.001,ERROR.TYPE(0)),IFERROR(IF(OFFSET(A423,-3,0)&gt;0,OFFSET(A423,-3,0)+0.001,ERROR.TYPE(0)),IFERROR(IF(OFFSET(A423,-4,0)&gt;0,OFFSET(A423,-4,0)+0.001,ERROR.TYPE(0)),IFERROR(IF(OFFSET(A423,-5,0)&gt;0,OFFSET(A423,-5,0)+0.001,ERROR.TYPE(0)),IFERROR(IF(OFFSET(A423,-6,0)&gt;0,OFFSET(A423,-6,0)+0.001,ERROR.TYPE(0)),IFERROR(IF(OFFSET(A423,-7,0)&gt;0,OFFSET(A423,-7,0)+0.001,ERROR.TYPE(0)),IFERROR(IF(OFFSET(A423,-8,0)&gt;0,OFFSET(A423,-8,0)+0.001,ERROR.TYPE(0)),IFERROR(IF(OFFSET(A423,-9,0)&gt;0,OFFSET(A423,-9,0)+0.001,ERROR.TYPE(0)),IFERROR(IF(OFFSET(A423,-10,0)&gt;0,OFFSET(A423,-10,0)+0.001,ERROR.TYPE(0)),ERROR.TYPE(0)))))))))))</f>
        <v>3.0879999999999903</v>
      </c>
      <c r="B423" s="709" t="s">
        <v>534</v>
      </c>
      <c r="C423" s="682">
        <v>2</v>
      </c>
      <c r="D423" s="682" t="s">
        <v>312</v>
      </c>
      <c r="E423" s="686">
        <f ca="1">Elec_Est!E2036</f>
        <v>41.96</v>
      </c>
      <c r="F423" s="687"/>
      <c r="G423" s="686">
        <f ca="1">Elec_Est!AM2036</f>
        <v>24.6</v>
      </c>
      <c r="H423" s="686">
        <f ca="1">Elec_Est!AN2036</f>
        <v>2.16</v>
      </c>
      <c r="I423" s="686"/>
    </row>
    <row r="424" spans="1:9" s="671" customFormat="1" ht="27.6">
      <c r="A424" s="679">
        <f ca="1">IFERROR(IF(OFFSET(A424,-1,0)&gt;0,OFFSET(A424,-1,0)+0.001,ERROR.TYPE(0)),IFERROR(IF(OFFSET(A424,-2,0)&gt;0,OFFSET(A424,-2,0)+0.001,ERROR.TYPE(0)),IFERROR(IF(OFFSET(A424,-3,0)&gt;0,OFFSET(A424,-3,0)+0.001,ERROR.TYPE(0)),IFERROR(IF(OFFSET(A424,-4,0)&gt;0,OFFSET(A424,-4,0)+0.001,ERROR.TYPE(0)),IFERROR(IF(OFFSET(A424,-5,0)&gt;0,OFFSET(A424,-5,0)+0.001,ERROR.TYPE(0)),IFERROR(IF(OFFSET(A424,-6,0)&gt;0,OFFSET(A424,-6,0)+0.001,ERROR.TYPE(0)),IFERROR(IF(OFFSET(A424,-7,0)&gt;0,OFFSET(A424,-7,0)+0.001,ERROR.TYPE(0)),IFERROR(IF(OFFSET(A424,-8,0)&gt;0,OFFSET(A424,-8,0)+0.001,ERROR.TYPE(0)),IFERROR(IF(OFFSET(A424,-9,0)&gt;0,OFFSET(A424,-9,0)+0.001,ERROR.TYPE(0)),IFERROR(IF(OFFSET(A424,-10,0)&gt;0,OFFSET(A424,-10,0)+0.001,ERROR.TYPE(0)),ERROR.TYPE(0)))))))))))</f>
        <v>3.0889999999999902</v>
      </c>
      <c r="B424" s="685" t="s">
        <v>572</v>
      </c>
      <c r="C424" s="682">
        <v>1</v>
      </c>
      <c r="D424" s="622" t="s">
        <v>313</v>
      </c>
      <c r="E424" s="686"/>
      <c r="F424" s="687"/>
      <c r="G424" s="686"/>
      <c r="H424" s="686"/>
      <c r="I424" s="686"/>
    </row>
    <row r="425" spans="1:9" s="671" customFormat="1">
      <c r="A425" s="679"/>
      <c r="B425" s="618" t="s">
        <v>317</v>
      </c>
      <c r="C425" s="619"/>
      <c r="D425" s="682"/>
      <c r="E425" s="620"/>
      <c r="F425" s="687"/>
      <c r="G425" s="620"/>
      <c r="H425" s="620"/>
      <c r="I425" s="620"/>
    </row>
    <row r="426" spans="1:9" s="671" customFormat="1" ht="27.6">
      <c r="A426" s="711">
        <f ca="1">IFERROR(IF(OFFSET(A426,-1,0,1,1)&gt;0,OFFSET(A426,-1,0,1,1)+0.001,ERROR.TYPE(0)),IFERROR(IF(OFFSET(A426,-2,0,1,1)&gt;0,OFFSET(A426,-2,0,1,1)+0.001,ERROR.TYPE(0)),IFERROR(IF(OFFSET(A426,-3,0,1,1)&gt;0,OFFSET(A426,-3,0,1,1)+0.001,ERROR.TYPE(0)),IFERROR(IF(OFFSET(A426,-4,0,1,1)&gt;0,OFFSET(A426,-4,0,1,1)+0.001,ERROR.TYPE(0)),IFERROR(IF(OFFSET(A426,-5,0,1,1)&gt;0,OFFSET(A426,-5,0,1,1)+0.001,ERROR.TYPE(0)),IFERROR(IF(OFFSET(A426,-6,0,1,1)&gt;0,OFFSET(A426,-6,0,1,1)+0.001,ERROR.TYPE(0)),IFERROR(IF(OFFSET(A426,-7,0,1,1)&gt;0,OFFSET(A426,-7,0,1,1)+0.001,ERROR.TYPE(0)),IFERROR(IF(OFFSET(A426,-8,0,1,1)&gt;0,OFFSET(A426,-8,0,1,1)+0.001,ERROR.TYPE(0)),IFERROR(IF(OFFSET(A426,-9,0,1,1)&gt;0,OFFSET(A426,-9,0,1,1)+0.001,ERROR.TYPE(0)),IFERROR(IF(OFFSET(A426,-10,0,1,1)&gt;0,OFFSET(A426,-10,0,1,1)+0.001,ERROR.TYPE(0)),ERROR.TYPE(0)))))))))))</f>
        <v>3.0899999999999901</v>
      </c>
      <c r="B426" s="688" t="s">
        <v>318</v>
      </c>
      <c r="C426" s="712">
        <v>1</v>
      </c>
      <c r="D426" s="713" t="s">
        <v>313</v>
      </c>
      <c r="E426" s="686"/>
      <c r="F426" s="687">
        <f>IFERROR(C426*E426,E426)</f>
        <v>0</v>
      </c>
      <c r="G426" s="686"/>
      <c r="H426" s="686"/>
      <c r="I426" s="686"/>
    </row>
    <row r="427" spans="1:9" s="671" customFormat="1" ht="27.6">
      <c r="A427" s="711">
        <f ca="1">IFERROR(IF(OFFSET(A427,-1,0,1,1)&gt;0,OFFSET(A427,-1,0,1,1)+0.001,ERROR.TYPE(0)),IFERROR(IF(OFFSET(A427,-2,0,1,1)&gt;0,OFFSET(A427,-2,0,1,1)+0.001,ERROR.TYPE(0)),IFERROR(IF(OFFSET(A427,-3,0,1,1)&gt;0,OFFSET(A427,-3,0,1,1)+0.001,ERROR.TYPE(0)),IFERROR(IF(OFFSET(A427,-4,0,1,1)&gt;0,OFFSET(A427,-4,0,1,1)+0.001,ERROR.TYPE(0)),IFERROR(IF(OFFSET(A427,-5,0,1,1)&gt;0,OFFSET(A427,-5,0,1,1)+0.001,ERROR.TYPE(0)),IFERROR(IF(OFFSET(A427,-6,0,1,1)&gt;0,OFFSET(A427,-6,0,1,1)+0.001,ERROR.TYPE(0)),IFERROR(IF(OFFSET(A427,-7,0,1,1)&gt;0,OFFSET(A427,-7,0,1,1)+0.001,ERROR.TYPE(0)),IFERROR(IF(OFFSET(A427,-8,0,1,1)&gt;0,OFFSET(A427,-8,0,1,1)+0.001,ERROR.TYPE(0)),IFERROR(IF(OFFSET(A427,-9,0,1,1)&gt;0,OFFSET(A427,-9,0,1,1)+0.001,ERROR.TYPE(0)),IFERROR(IF(OFFSET(A427,-10,0,1,1)&gt;0,OFFSET(A427,-10,0,1,1)+0.001,ERROR.TYPE(0)),ERROR.TYPE(0)))))))))))</f>
        <v>3.09099999999999</v>
      </c>
      <c r="B427" s="623" t="s">
        <v>319</v>
      </c>
      <c r="C427" s="682">
        <v>2</v>
      </c>
      <c r="D427" s="682" t="s">
        <v>506</v>
      </c>
      <c r="E427" s="714"/>
      <c r="F427" s="687">
        <f>IFERROR(C427*E427,E427)</f>
        <v>0</v>
      </c>
      <c r="G427" s="714"/>
      <c r="H427" s="714"/>
      <c r="I427" s="714"/>
    </row>
    <row r="428" spans="1:9" s="671" customFormat="1" ht="13.95" customHeight="1">
      <c r="A428" s="674" t="s">
        <v>941</v>
      </c>
      <c r="B428" s="675" t="s">
        <v>334</v>
      </c>
      <c r="C428" s="1082" t="s">
        <v>315</v>
      </c>
      <c r="D428" s="1083"/>
      <c r="E428" s="689"/>
      <c r="F428" s="716">
        <f>SUM(F419:F427)</f>
        <v>0</v>
      </c>
      <c r="G428" s="1075">
        <f t="shared" ref="G428:I428" ca="1" si="46">SUM(G419:G427)</f>
        <v>24.6</v>
      </c>
      <c r="H428" s="1075">
        <f t="shared" ca="1" si="46"/>
        <v>2.16</v>
      </c>
      <c r="I428" s="1075">
        <f t="shared" si="46"/>
        <v>0</v>
      </c>
    </row>
    <row r="429" spans="1:9" s="671" customFormat="1">
      <c r="A429" s="697"/>
      <c r="B429" s="698"/>
      <c r="C429" s="699"/>
      <c r="D429" s="691"/>
      <c r="E429" s="700"/>
      <c r="F429" s="701"/>
      <c r="G429" s="700"/>
      <c r="H429" s="700"/>
      <c r="I429" s="700"/>
    </row>
    <row r="430" spans="1:9" s="671" customFormat="1" ht="13.95" customHeight="1">
      <c r="A430" s="674"/>
      <c r="B430" s="675" t="s">
        <v>573</v>
      </c>
      <c r="C430" s="1082" t="s">
        <v>315</v>
      </c>
      <c r="D430" s="1083"/>
      <c r="E430" s="696"/>
      <c r="F430" s="678">
        <f ca="1">F428+F415+F375+F340+F303</f>
        <v>1426.6399999999999</v>
      </c>
      <c r="G430" s="735">
        <f t="shared" ref="G430:I430" ca="1" si="47">G428+G415+G375+G340+G303</f>
        <v>627.30000000000007</v>
      </c>
      <c r="H430" s="735">
        <f t="shared" ca="1" si="47"/>
        <v>55.080000000000013</v>
      </c>
      <c r="I430" s="735">
        <f t="shared" si="47"/>
        <v>0</v>
      </c>
    </row>
    <row r="431" spans="1:9">
      <c r="A431" s="718"/>
      <c r="B431" s="719"/>
      <c r="C431" s="720"/>
      <c r="D431" s="721"/>
      <c r="E431" s="722"/>
      <c r="F431" s="723"/>
      <c r="G431" s="722"/>
      <c r="H431" s="722"/>
      <c r="I431" s="722"/>
    </row>
    <row r="432" spans="1:9" s="734" customFormat="1" ht="14.7" customHeight="1">
      <c r="D432" s="671"/>
      <c r="G432" s="1076"/>
      <c r="H432" s="1076"/>
      <c r="I432" s="1076"/>
    </row>
    <row r="433" spans="1:9" s="734" customFormat="1" ht="27.6">
      <c r="A433" s="613" t="s">
        <v>143</v>
      </c>
      <c r="B433" s="614" t="s">
        <v>209</v>
      </c>
      <c r="C433" s="615" t="s">
        <v>210</v>
      </c>
      <c r="D433" s="615" t="s">
        <v>211</v>
      </c>
      <c r="E433" s="616" t="s">
        <v>309</v>
      </c>
      <c r="F433" s="617" t="s">
        <v>574</v>
      </c>
      <c r="G433" s="616" t="s">
        <v>912</v>
      </c>
      <c r="H433" s="616" t="s">
        <v>913</v>
      </c>
      <c r="I433" s="616" t="s">
        <v>914</v>
      </c>
    </row>
    <row r="434" spans="1:9" s="734" customFormat="1">
      <c r="A434" s="674">
        <v>4</v>
      </c>
      <c r="B434" s="702" t="s">
        <v>575</v>
      </c>
      <c r="C434" s="676"/>
      <c r="D434" s="676"/>
      <c r="E434" s="677"/>
      <c r="F434" s="735"/>
      <c r="G434" s="677"/>
      <c r="H434" s="677"/>
      <c r="I434" s="677"/>
    </row>
    <row r="435" spans="1:9" s="734" customFormat="1" ht="55.2">
      <c r="A435" s="711">
        <f ca="1">IFERROR(IF(OFFSET(A435,-1,0)&gt;0,OFFSET(A435,-1,0)+0.001,ERROR.TYPE(0)),IFERROR(IF(OFFSET(A435,-2,0)&gt;0,OFFSET(A435,-2,0)+0.001,ERROR.TYPE(0)),IFERROR(IF(OFFSET(A435,-3,0)&gt;0,OFFSET(A435,-3,0)+0.001,ERROR.TYPE(0)),IFERROR(IF(OFFSET(A435,-4,0)&gt;0,OFFSET(A435,-4,0)+0.001,ERROR.TYPE(0)),IFERROR(IF(OFFSET(A435,-5,0)&gt;0,OFFSET(A435,-5,0)+0.001,ERROR.TYPE(0)),IFERROR(IF(OFFSET(A435,-6,0)&gt;0,OFFSET(A435,-6,0)+0.001,ERROR.TYPE(0)),IFERROR(IF(OFFSET(A435,-7,0)&gt;0,OFFSET(A435,-7,0)+0.001,ERROR.TYPE(0)),IFERROR(IF(OFFSET(A435,-8,0)&gt;0,OFFSET(A435,-8,0)+0.001,ERROR.TYPE(0)),IFERROR(IF(OFFSET(A435,-9,0)&gt;0,OFFSET(A435,-9,0)+0.001,ERROR.TYPE(0)),IFERROR(IF(OFFSET(A435,-10,0)&gt;0,OFFSET(A435,-10,0)+0.001,ERROR.TYPE(0)),ERROR.TYPE(0)))))))))))</f>
        <v>4.0010000000000003</v>
      </c>
      <c r="B435" s="624" t="s">
        <v>576</v>
      </c>
      <c r="C435" s="622">
        <v>1</v>
      </c>
      <c r="D435" s="622" t="s">
        <v>313</v>
      </c>
      <c r="E435" s="714"/>
      <c r="F435" s="736">
        <f>IFERROR($C435*E435,E435)</f>
        <v>0</v>
      </c>
      <c r="G435" s="714"/>
      <c r="H435" s="714"/>
      <c r="I435" s="714"/>
    </row>
    <row r="436" spans="1:9" s="734" customFormat="1" ht="27.6">
      <c r="A436" s="711">
        <f ca="1">IFERROR(IF(OFFSET(A436,-1,0)&gt;0,OFFSET(A436,-1,0)+0.001,ERROR.TYPE(0)),IFERROR(IF(OFFSET(A436,-2,0)&gt;0,OFFSET(A436,-2,0)+0.001,ERROR.TYPE(0)),IFERROR(IF(OFFSET(A436,-3,0)&gt;0,OFFSET(A436,-3,0)+0.001,ERROR.TYPE(0)),IFERROR(IF(OFFSET(A436,-4,0)&gt;0,OFFSET(A436,-4,0)+0.001,ERROR.TYPE(0)),IFERROR(IF(OFFSET(A436,-5,0)&gt;0,OFFSET(A436,-5,0)+0.001,ERROR.TYPE(0)),IFERROR(IF(OFFSET(A436,-6,0)&gt;0,OFFSET(A436,-6,0)+0.001,ERROR.TYPE(0)),IFERROR(IF(OFFSET(A436,-7,0)&gt;0,OFFSET(A436,-7,0)+0.001,ERROR.TYPE(0)),IFERROR(IF(OFFSET(A436,-8,0)&gt;0,OFFSET(A436,-8,0)+0.001,ERROR.TYPE(0)),IFERROR(IF(OFFSET(A436,-9,0)&gt;0,OFFSET(A436,-9,0)+0.001,ERROR.TYPE(0)),IFERROR(IF(OFFSET(A436,-10,0)&gt;0,OFFSET(A436,-10,0)+0.001,ERROR.TYPE(0)),ERROR.TYPE(0)))))))))))</f>
        <v>4.0020000000000007</v>
      </c>
      <c r="B436" s="624" t="s">
        <v>577</v>
      </c>
      <c r="C436" s="622">
        <v>1</v>
      </c>
      <c r="D436" s="622" t="s">
        <v>313</v>
      </c>
      <c r="E436" s="714"/>
      <c r="F436" s="736">
        <f>IFERROR($C436*E436,E436)</f>
        <v>0</v>
      </c>
      <c r="G436" s="714"/>
      <c r="H436" s="714"/>
      <c r="I436" s="714"/>
    </row>
    <row r="437" spans="1:9" s="734" customFormat="1">
      <c r="A437" s="711"/>
      <c r="B437" s="737" t="s">
        <v>317</v>
      </c>
      <c r="C437" s="682"/>
      <c r="D437" s="682"/>
      <c r="E437" s="686"/>
      <c r="F437" s="738"/>
      <c r="G437" s="686"/>
      <c r="H437" s="686"/>
      <c r="I437" s="686"/>
    </row>
    <row r="438" spans="1:9" s="734" customFormat="1" ht="27.6">
      <c r="A438" s="711">
        <f ca="1">IFERROR(IF(OFFSET(A438,-1,0)&gt;0,OFFSET(A438,-1,0)+0.001,ERROR.TYPE(0)),IFERROR(IF(OFFSET(A438,-2,0)&gt;0,OFFSET(A438,-2,0)+0.001,ERROR.TYPE(0)),IFERROR(IF(OFFSET(A438,-3,0)&gt;0,OFFSET(A438,-3,0)+0.001,ERROR.TYPE(0)),IFERROR(IF(OFFSET(A438,-4,0)&gt;0,OFFSET(A438,-4,0)+0.001,ERROR.TYPE(0)),IFERROR(IF(OFFSET(A438,-5,0)&gt;0,OFFSET(A438,-5,0)+0.001,ERROR.TYPE(0)),IFERROR(IF(OFFSET(A438,-6,0)&gt;0,OFFSET(A438,-6,0)+0.001,ERROR.TYPE(0)),IFERROR(IF(OFFSET(A438,-7,0)&gt;0,OFFSET(A438,-7,0)+0.001,ERROR.TYPE(0)),IFERROR(IF(OFFSET(A438,-8,0)&gt;0,OFFSET(A438,-8,0)+0.001,ERROR.TYPE(0)),IFERROR(IF(OFFSET(A438,-9,0)&gt;0,OFFSET(A438,-9,0)+0.001,ERROR.TYPE(0)),IFERROR(IF(OFFSET(A438,-10,0)&gt;0,OFFSET(A438,-10,0)+0.001,ERROR.TYPE(0)),ERROR.TYPE(0)))))))))))</f>
        <v>4.003000000000001</v>
      </c>
      <c r="B438" s="685" t="s">
        <v>319</v>
      </c>
      <c r="C438" s="682">
        <v>1</v>
      </c>
      <c r="D438" s="682" t="s">
        <v>320</v>
      </c>
      <c r="E438" s="714"/>
      <c r="F438" s="736">
        <f>IFERROR($C438*E438,E438)</f>
        <v>0</v>
      </c>
      <c r="G438" s="714"/>
      <c r="H438" s="714"/>
      <c r="I438" s="714"/>
    </row>
    <row r="439" spans="1:9" s="734" customFormat="1">
      <c r="A439" s="674" t="s">
        <v>941</v>
      </c>
      <c r="B439" s="675" t="s">
        <v>335</v>
      </c>
      <c r="C439" s="1086" t="s">
        <v>315</v>
      </c>
      <c r="D439" s="1087"/>
      <c r="E439" s="740"/>
      <c r="F439" s="741">
        <f>SUM(F435:F438)</f>
        <v>0</v>
      </c>
      <c r="G439" s="1077">
        <f t="shared" ref="G439:I439" si="48">SUM(G435:G438)</f>
        <v>0</v>
      </c>
      <c r="H439" s="1077">
        <f t="shared" si="48"/>
        <v>0</v>
      </c>
      <c r="I439" s="1077">
        <f t="shared" si="48"/>
        <v>0</v>
      </c>
    </row>
    <row r="440" spans="1:9" s="734" customFormat="1">
      <c r="A440" s="697"/>
      <c r="B440" s="698"/>
      <c r="C440" s="699"/>
      <c r="D440" s="691"/>
      <c r="E440" s="700"/>
      <c r="F440" s="742"/>
      <c r="G440" s="700"/>
      <c r="H440" s="700"/>
      <c r="I440" s="700"/>
    </row>
    <row r="441" spans="1:9" s="734" customFormat="1">
      <c r="A441" s="674"/>
      <c r="B441" s="743" t="s">
        <v>337</v>
      </c>
      <c r="C441" s="1086" t="s">
        <v>315</v>
      </c>
      <c r="D441" s="1087"/>
      <c r="E441" s="740"/>
      <c r="F441" s="741">
        <f>F439</f>
        <v>0</v>
      </c>
      <c r="G441" s="1077">
        <f t="shared" ref="G441:I441" si="49">G439</f>
        <v>0</v>
      </c>
      <c r="H441" s="1077">
        <f t="shared" si="49"/>
        <v>0</v>
      </c>
      <c r="I441" s="1077">
        <f t="shared" si="49"/>
        <v>0</v>
      </c>
    </row>
    <row r="442" spans="1:9" s="734" customFormat="1">
      <c r="A442" s="744"/>
      <c r="B442" s="745"/>
      <c r="C442" s="699"/>
      <c r="D442" s="691"/>
      <c r="E442" s="746"/>
      <c r="F442" s="747"/>
      <c r="G442" s="746"/>
      <c r="H442" s="746"/>
      <c r="I442" s="746"/>
    </row>
    <row r="443" spans="1:9">
      <c r="A443" s="718"/>
      <c r="B443" s="719"/>
      <c r="C443" s="720"/>
      <c r="D443" s="721"/>
      <c r="E443" s="722"/>
      <c r="F443" s="723"/>
      <c r="G443" s="722"/>
      <c r="H443" s="722"/>
      <c r="I443" s="722"/>
    </row>
    <row r="444" spans="1:9" s="671" customFormat="1" ht="27.6">
      <c r="A444" s="613" t="s">
        <v>143</v>
      </c>
      <c r="B444" s="614" t="s">
        <v>209</v>
      </c>
      <c r="C444" s="615" t="s">
        <v>210</v>
      </c>
      <c r="D444" s="615" t="s">
        <v>211</v>
      </c>
      <c r="E444" s="616" t="s">
        <v>309</v>
      </c>
      <c r="F444" s="617" t="s">
        <v>310</v>
      </c>
      <c r="G444" s="616" t="s">
        <v>912</v>
      </c>
      <c r="H444" s="616" t="s">
        <v>913</v>
      </c>
      <c r="I444" s="616" t="s">
        <v>914</v>
      </c>
    </row>
    <row r="445" spans="1:9" s="671" customFormat="1">
      <c r="A445" s="674">
        <v>5</v>
      </c>
      <c r="B445" s="748" t="s">
        <v>578</v>
      </c>
      <c r="C445" s="682"/>
      <c r="D445" s="682"/>
      <c r="E445" s="686"/>
      <c r="F445" s="687"/>
      <c r="G445" s="686"/>
      <c r="H445" s="686"/>
      <c r="I445" s="686"/>
    </row>
    <row r="446" spans="1:9" s="671" customFormat="1">
      <c r="A446" s="679"/>
      <c r="B446" s="749" t="s">
        <v>579</v>
      </c>
      <c r="C446" s="750"/>
      <c r="D446" s="750"/>
      <c r="E446" s="751"/>
      <c r="F446" s="687"/>
      <c r="G446" s="751"/>
      <c r="H446" s="751"/>
      <c r="I446" s="751"/>
    </row>
    <row r="447" spans="1:9" s="671" customFormat="1">
      <c r="A447" s="679">
        <f t="shared" ref="A447:A481" ca="1" si="50">IFERROR(IF(OFFSET(A447,-1,0)&gt;0,OFFSET(A447,-1,0)+0.001,ERROR.TYPE(0)),IFERROR(IF(OFFSET(A447,-2,0)&gt;0,OFFSET(A447,-2,0)+0.001,ERROR.TYPE(0)),IFERROR(IF(OFFSET(A447,-3,0)&gt;0,OFFSET(A447,-3,0)+0.001,ERROR.TYPE(0)),IFERROR(IF(OFFSET(A447,-4,0)&gt;0,OFFSET(A447,-4,0)+0.001,ERROR.TYPE(0)),IFERROR(IF(OFFSET(A447,-5,0)&gt;0,OFFSET(A447,-5,0)+0.001,ERROR.TYPE(0)),IFERROR(IF(OFFSET(A447,-6,0)&gt;0,OFFSET(A447,-6,0)+0.001,ERROR.TYPE(0)),IFERROR(IF(OFFSET(A447,-7,0)&gt;0,OFFSET(A447,-7,0)+0.001,ERROR.TYPE(0)),IFERROR(IF(OFFSET(A447,-8,0)&gt;0,OFFSET(A447,-8,0)+0.001,ERROR.TYPE(0)),IFERROR(IF(OFFSET(A447,-9,0)&gt;0,OFFSET(A447,-9,0)+0.001,ERROR.TYPE(0)),IFERROR(IF(OFFSET(A447,-10,0)&gt;0,OFFSET(A447,-10,0)+0.001,ERROR.TYPE(0)),ERROR.TYPE(0)))))))))))</f>
        <v>5.0010000000000003</v>
      </c>
      <c r="B447" s="688" t="s">
        <v>580</v>
      </c>
      <c r="C447" s="682">
        <v>1</v>
      </c>
      <c r="D447" s="622" t="s">
        <v>581</v>
      </c>
      <c r="E447" s="686"/>
      <c r="F447" s="687" t="s">
        <v>582</v>
      </c>
      <c r="G447" s="686"/>
      <c r="H447" s="686"/>
      <c r="I447" s="686"/>
    </row>
    <row r="448" spans="1:9" s="671" customFormat="1">
      <c r="A448" s="679">
        <f t="shared" ca="1" si="50"/>
        <v>5.0020000000000007</v>
      </c>
      <c r="B448" s="688" t="s">
        <v>583</v>
      </c>
      <c r="C448" s="682">
        <v>1</v>
      </c>
      <c r="D448" s="622" t="s">
        <v>581</v>
      </c>
      <c r="E448" s="686"/>
      <c r="F448" s="687" t="s">
        <v>582</v>
      </c>
      <c r="G448" s="686"/>
      <c r="H448" s="686"/>
      <c r="I448" s="686"/>
    </row>
    <row r="449" spans="1:9" s="671" customFormat="1">
      <c r="A449" s="679">
        <f t="shared" ca="1" si="50"/>
        <v>5.003000000000001</v>
      </c>
      <c r="B449" s="688" t="s">
        <v>584</v>
      </c>
      <c r="C449" s="682">
        <v>1</v>
      </c>
      <c r="D449" s="622" t="s">
        <v>581</v>
      </c>
      <c r="E449" s="686"/>
      <c r="F449" s="687" t="s">
        <v>582</v>
      </c>
      <c r="G449" s="686"/>
      <c r="H449" s="686"/>
      <c r="I449" s="686"/>
    </row>
    <row r="450" spans="1:9" s="671" customFormat="1">
      <c r="A450" s="679">
        <f t="shared" ca="1" si="50"/>
        <v>5.0040000000000013</v>
      </c>
      <c r="B450" s="688" t="s">
        <v>585</v>
      </c>
      <c r="C450" s="682">
        <v>1</v>
      </c>
      <c r="D450" s="622" t="s">
        <v>581</v>
      </c>
      <c r="E450" s="686"/>
      <c r="F450" s="687" t="s">
        <v>582</v>
      </c>
      <c r="G450" s="686"/>
      <c r="H450" s="686"/>
      <c r="I450" s="686"/>
    </row>
    <row r="451" spans="1:9" s="671" customFormat="1">
      <c r="A451" s="679">
        <f t="shared" ca="1" si="50"/>
        <v>5.0050000000000017</v>
      </c>
      <c r="B451" s="688" t="s">
        <v>586</v>
      </c>
      <c r="C451" s="683">
        <v>1</v>
      </c>
      <c r="D451" s="622" t="s">
        <v>581</v>
      </c>
      <c r="E451" s="686"/>
      <c r="F451" s="687" t="s">
        <v>582</v>
      </c>
      <c r="G451" s="686"/>
      <c r="H451" s="686"/>
      <c r="I451" s="686"/>
    </row>
    <row r="452" spans="1:9" s="671" customFormat="1">
      <c r="A452" s="679"/>
      <c r="B452" s="752" t="s">
        <v>587</v>
      </c>
      <c r="C452" s="753"/>
      <c r="D452" s="753"/>
      <c r="E452" s="686"/>
      <c r="F452" s="687"/>
      <c r="G452" s="686"/>
      <c r="H452" s="686"/>
      <c r="I452" s="686"/>
    </row>
    <row r="453" spans="1:9" s="671" customFormat="1">
      <c r="A453" s="679">
        <f t="shared" ca="1" si="50"/>
        <v>5.006000000000002</v>
      </c>
      <c r="B453" s="688" t="s">
        <v>580</v>
      </c>
      <c r="C453" s="682">
        <v>1</v>
      </c>
      <c r="D453" s="622" t="s">
        <v>581</v>
      </c>
      <c r="E453" s="686"/>
      <c r="F453" s="687" t="s">
        <v>582</v>
      </c>
      <c r="G453" s="686"/>
      <c r="H453" s="686"/>
      <c r="I453" s="686"/>
    </row>
    <row r="454" spans="1:9" s="671" customFormat="1">
      <c r="A454" s="679">
        <f t="shared" ca="1" si="50"/>
        <v>5.0070000000000023</v>
      </c>
      <c r="B454" s="688" t="s">
        <v>583</v>
      </c>
      <c r="C454" s="682">
        <v>1</v>
      </c>
      <c r="D454" s="622" t="s">
        <v>581</v>
      </c>
      <c r="E454" s="686"/>
      <c r="F454" s="687" t="s">
        <v>582</v>
      </c>
      <c r="G454" s="686"/>
      <c r="H454" s="686"/>
      <c r="I454" s="686"/>
    </row>
    <row r="455" spans="1:9" s="671" customFormat="1">
      <c r="A455" s="679">
        <f t="shared" ca="1" si="50"/>
        <v>5.0080000000000027</v>
      </c>
      <c r="B455" s="688" t="s">
        <v>584</v>
      </c>
      <c r="C455" s="682">
        <v>1</v>
      </c>
      <c r="D455" s="622" t="s">
        <v>581</v>
      </c>
      <c r="E455" s="686"/>
      <c r="F455" s="687" t="s">
        <v>582</v>
      </c>
      <c r="G455" s="686"/>
      <c r="H455" s="686"/>
      <c r="I455" s="686"/>
    </row>
    <row r="456" spans="1:9" s="671" customFormat="1">
      <c r="A456" s="679">
        <f t="shared" ca="1" si="50"/>
        <v>5.009000000000003</v>
      </c>
      <c r="B456" s="688" t="s">
        <v>585</v>
      </c>
      <c r="C456" s="682">
        <v>1</v>
      </c>
      <c r="D456" s="622" t="s">
        <v>581</v>
      </c>
      <c r="E456" s="686"/>
      <c r="F456" s="687" t="s">
        <v>582</v>
      </c>
      <c r="G456" s="686"/>
      <c r="H456" s="686"/>
      <c r="I456" s="686"/>
    </row>
    <row r="457" spans="1:9" s="671" customFormat="1">
      <c r="A457" s="679">
        <f t="shared" ca="1" si="50"/>
        <v>5.0100000000000033</v>
      </c>
      <c r="B457" s="688" t="s">
        <v>586</v>
      </c>
      <c r="C457" s="683">
        <v>1</v>
      </c>
      <c r="D457" s="622" t="s">
        <v>581</v>
      </c>
      <c r="E457" s="686"/>
      <c r="F457" s="687" t="s">
        <v>582</v>
      </c>
      <c r="G457" s="686"/>
      <c r="H457" s="686"/>
      <c r="I457" s="686"/>
    </row>
    <row r="458" spans="1:9" s="671" customFormat="1">
      <c r="A458" s="679">
        <f t="shared" ca="1" si="50"/>
        <v>5.0110000000000037</v>
      </c>
      <c r="B458" s="754"/>
      <c r="C458" s="683"/>
      <c r="D458" s="626"/>
      <c r="E458" s="686"/>
      <c r="F458" s="687">
        <f t="shared" ref="F458:F481" si="51">IFERROR($C458*E458,E458)</f>
        <v>0</v>
      </c>
      <c r="G458" s="686"/>
      <c r="H458" s="686"/>
      <c r="I458" s="686"/>
    </row>
    <row r="459" spans="1:9" s="671" customFormat="1">
      <c r="A459" s="679">
        <f t="shared" ca="1" si="50"/>
        <v>5.012000000000004</v>
      </c>
      <c r="B459" s="754"/>
      <c r="C459" s="683"/>
      <c r="D459" s="626"/>
      <c r="E459" s="686"/>
      <c r="F459" s="687">
        <f t="shared" si="51"/>
        <v>0</v>
      </c>
      <c r="G459" s="686"/>
      <c r="H459" s="686"/>
      <c r="I459" s="686"/>
    </row>
    <row r="460" spans="1:9" s="671" customFormat="1">
      <c r="A460" s="679">
        <f t="shared" ca="1" si="50"/>
        <v>5.0130000000000043</v>
      </c>
      <c r="B460" s="754"/>
      <c r="C460" s="683"/>
      <c r="D460" s="626"/>
      <c r="E460" s="686"/>
      <c r="F460" s="687">
        <f t="shared" si="51"/>
        <v>0</v>
      </c>
      <c r="G460" s="686"/>
      <c r="H460" s="686"/>
      <c r="I460" s="686"/>
    </row>
    <row r="461" spans="1:9" s="671" customFormat="1">
      <c r="A461" s="679">
        <f t="shared" ca="1" si="50"/>
        <v>5.0140000000000047</v>
      </c>
      <c r="B461" s="625"/>
      <c r="C461" s="683"/>
      <c r="D461" s="626"/>
      <c r="E461" s="686"/>
      <c r="F461" s="687">
        <f t="shared" si="51"/>
        <v>0</v>
      </c>
      <c r="G461" s="686"/>
      <c r="H461" s="686"/>
      <c r="I461" s="686"/>
    </row>
    <row r="462" spans="1:9" s="671" customFormat="1">
      <c r="A462" s="679">
        <f t="shared" ca="1" si="50"/>
        <v>5.015000000000005</v>
      </c>
      <c r="B462" s="625"/>
      <c r="C462" s="683"/>
      <c r="D462" s="626"/>
      <c r="E462" s="686"/>
      <c r="F462" s="687">
        <f t="shared" si="51"/>
        <v>0</v>
      </c>
      <c r="G462" s="686"/>
      <c r="H462" s="686"/>
      <c r="I462" s="686"/>
    </row>
    <row r="463" spans="1:9" s="671" customFormat="1">
      <c r="A463" s="679">
        <f t="shared" ca="1" si="50"/>
        <v>5.0160000000000053</v>
      </c>
      <c r="B463" s="625"/>
      <c r="C463" s="683"/>
      <c r="D463" s="626"/>
      <c r="E463" s="686"/>
      <c r="F463" s="687">
        <f t="shared" si="51"/>
        <v>0</v>
      </c>
      <c r="G463" s="686"/>
      <c r="H463" s="686"/>
      <c r="I463" s="686"/>
    </row>
    <row r="464" spans="1:9" s="671" customFormat="1">
      <c r="A464" s="679">
        <f t="shared" ca="1" si="50"/>
        <v>5.0170000000000057</v>
      </c>
      <c r="B464" s="754"/>
      <c r="C464" s="683"/>
      <c r="D464" s="626"/>
      <c r="E464" s="686"/>
      <c r="F464" s="687">
        <f t="shared" si="51"/>
        <v>0</v>
      </c>
      <c r="G464" s="686"/>
      <c r="H464" s="686"/>
      <c r="I464" s="686"/>
    </row>
    <row r="465" spans="1:9" s="671" customFormat="1">
      <c r="A465" s="679">
        <f t="shared" ca="1" si="50"/>
        <v>5.018000000000006</v>
      </c>
      <c r="B465" s="754"/>
      <c r="C465" s="683"/>
      <c r="D465" s="626"/>
      <c r="E465" s="686"/>
      <c r="F465" s="687">
        <f t="shared" si="51"/>
        <v>0</v>
      </c>
      <c r="G465" s="686"/>
      <c r="H465" s="686"/>
      <c r="I465" s="686"/>
    </row>
    <row r="466" spans="1:9" s="671" customFormat="1">
      <c r="A466" s="679">
        <f t="shared" ca="1" si="50"/>
        <v>5.0190000000000063</v>
      </c>
      <c r="B466" s="754"/>
      <c r="C466" s="683"/>
      <c r="D466" s="626"/>
      <c r="E466" s="686"/>
      <c r="F466" s="687">
        <f t="shared" si="51"/>
        <v>0</v>
      </c>
      <c r="G466" s="686"/>
      <c r="H466" s="686"/>
      <c r="I466" s="686"/>
    </row>
    <row r="467" spans="1:9" s="671" customFormat="1">
      <c r="A467" s="679">
        <f t="shared" ca="1" si="50"/>
        <v>5.0200000000000067</v>
      </c>
      <c r="B467" s="625"/>
      <c r="C467" s="683"/>
      <c r="D467" s="626"/>
      <c r="E467" s="686"/>
      <c r="F467" s="687">
        <f t="shared" si="51"/>
        <v>0</v>
      </c>
      <c r="G467" s="686"/>
      <c r="H467" s="686"/>
      <c r="I467" s="686"/>
    </row>
    <row r="468" spans="1:9" s="671" customFormat="1">
      <c r="A468" s="679">
        <f t="shared" ca="1" si="50"/>
        <v>5.021000000000007</v>
      </c>
      <c r="B468" s="625"/>
      <c r="C468" s="683"/>
      <c r="D468" s="626"/>
      <c r="E468" s="686"/>
      <c r="F468" s="687">
        <f t="shared" si="51"/>
        <v>0</v>
      </c>
      <c r="G468" s="686"/>
      <c r="H468" s="686"/>
      <c r="I468" s="686"/>
    </row>
    <row r="469" spans="1:9" s="671" customFormat="1">
      <c r="A469" s="679">
        <f t="shared" ca="1" si="50"/>
        <v>5.0220000000000073</v>
      </c>
      <c r="B469" s="625"/>
      <c r="C469" s="683"/>
      <c r="D469" s="626"/>
      <c r="E469" s="686"/>
      <c r="F469" s="687">
        <f t="shared" si="51"/>
        <v>0</v>
      </c>
      <c r="G469" s="686"/>
      <c r="H469" s="686"/>
      <c r="I469" s="686"/>
    </row>
    <row r="470" spans="1:9" s="671" customFormat="1">
      <c r="A470" s="679">
        <f t="shared" ca="1" si="50"/>
        <v>5.0230000000000077</v>
      </c>
      <c r="B470" s="754"/>
      <c r="C470" s="683"/>
      <c r="D470" s="626"/>
      <c r="E470" s="686"/>
      <c r="F470" s="687">
        <f t="shared" si="51"/>
        <v>0</v>
      </c>
      <c r="G470" s="686"/>
      <c r="H470" s="686"/>
      <c r="I470" s="686"/>
    </row>
    <row r="471" spans="1:9" s="671" customFormat="1">
      <c r="A471" s="679">
        <f t="shared" ca="1" si="50"/>
        <v>5.024000000000008</v>
      </c>
      <c r="B471" s="754"/>
      <c r="C471" s="683"/>
      <c r="D471" s="626"/>
      <c r="E471" s="686"/>
      <c r="F471" s="687">
        <f t="shared" si="51"/>
        <v>0</v>
      </c>
      <c r="G471" s="686"/>
      <c r="H471" s="686"/>
      <c r="I471" s="686"/>
    </row>
    <row r="472" spans="1:9" s="671" customFormat="1">
      <c r="A472" s="679">
        <f t="shared" ca="1" si="50"/>
        <v>5.0250000000000083</v>
      </c>
      <c r="B472" s="754"/>
      <c r="C472" s="683"/>
      <c r="D472" s="626"/>
      <c r="E472" s="686"/>
      <c r="F472" s="687">
        <f t="shared" si="51"/>
        <v>0</v>
      </c>
      <c r="G472" s="686"/>
      <c r="H472" s="686"/>
      <c r="I472" s="686"/>
    </row>
    <row r="473" spans="1:9" s="671" customFormat="1">
      <c r="A473" s="679">
        <f t="shared" ca="1" si="50"/>
        <v>5.0260000000000087</v>
      </c>
      <c r="B473" s="625"/>
      <c r="C473" s="683"/>
      <c r="D473" s="626"/>
      <c r="E473" s="686"/>
      <c r="F473" s="687">
        <f t="shared" si="51"/>
        <v>0</v>
      </c>
      <c r="G473" s="686"/>
      <c r="H473" s="686"/>
      <c r="I473" s="686"/>
    </row>
    <row r="474" spans="1:9" s="671" customFormat="1">
      <c r="A474" s="679">
        <f t="shared" ca="1" si="50"/>
        <v>5.027000000000009</v>
      </c>
      <c r="B474" s="625"/>
      <c r="C474" s="683"/>
      <c r="D474" s="626"/>
      <c r="E474" s="686"/>
      <c r="F474" s="687">
        <f t="shared" si="51"/>
        <v>0</v>
      </c>
      <c r="G474" s="686"/>
      <c r="H474" s="686"/>
      <c r="I474" s="686"/>
    </row>
    <row r="475" spans="1:9" s="671" customFormat="1">
      <c r="A475" s="679">
        <f t="shared" ca="1" si="50"/>
        <v>5.0280000000000094</v>
      </c>
      <c r="B475" s="625"/>
      <c r="C475" s="683"/>
      <c r="D475" s="626"/>
      <c r="E475" s="686"/>
      <c r="F475" s="687">
        <f t="shared" si="51"/>
        <v>0</v>
      </c>
      <c r="G475" s="686"/>
      <c r="H475" s="686"/>
      <c r="I475" s="686"/>
    </row>
    <row r="476" spans="1:9" s="671" customFormat="1">
      <c r="A476" s="679">
        <f t="shared" ca="1" si="50"/>
        <v>5.0290000000000097</v>
      </c>
      <c r="B476" s="754"/>
      <c r="C476" s="683"/>
      <c r="D476" s="626"/>
      <c r="E476" s="686"/>
      <c r="F476" s="687">
        <f t="shared" si="51"/>
        <v>0</v>
      </c>
      <c r="G476" s="686"/>
      <c r="H476" s="686"/>
      <c r="I476" s="686"/>
    </row>
    <row r="477" spans="1:9" s="671" customFormat="1">
      <c r="A477" s="679">
        <f t="shared" ca="1" si="50"/>
        <v>5.03000000000001</v>
      </c>
      <c r="B477" s="754"/>
      <c r="C477" s="683"/>
      <c r="D477" s="626"/>
      <c r="E477" s="686"/>
      <c r="F477" s="687">
        <f t="shared" si="51"/>
        <v>0</v>
      </c>
      <c r="G477" s="686"/>
      <c r="H477" s="686"/>
      <c r="I477" s="686"/>
    </row>
    <row r="478" spans="1:9" s="671" customFormat="1">
      <c r="A478" s="679">
        <f t="shared" ca="1" si="50"/>
        <v>5.0310000000000104</v>
      </c>
      <c r="B478" s="754"/>
      <c r="C478" s="683"/>
      <c r="D478" s="626"/>
      <c r="E478" s="686"/>
      <c r="F478" s="687">
        <f t="shared" si="51"/>
        <v>0</v>
      </c>
      <c r="G478" s="686"/>
      <c r="H478" s="686"/>
      <c r="I478" s="686"/>
    </row>
    <row r="479" spans="1:9" s="671" customFormat="1">
      <c r="A479" s="679">
        <f t="shared" ca="1" si="50"/>
        <v>5.0320000000000107</v>
      </c>
      <c r="B479" s="625"/>
      <c r="C479" s="683"/>
      <c r="D479" s="626"/>
      <c r="E479" s="686"/>
      <c r="F479" s="687">
        <f t="shared" si="51"/>
        <v>0</v>
      </c>
      <c r="G479" s="686"/>
      <c r="H479" s="686"/>
      <c r="I479" s="686"/>
    </row>
    <row r="480" spans="1:9" s="671" customFormat="1">
      <c r="A480" s="679">
        <f t="shared" ca="1" si="50"/>
        <v>5.033000000000011</v>
      </c>
      <c r="B480" s="625"/>
      <c r="C480" s="683"/>
      <c r="D480" s="626"/>
      <c r="E480" s="686"/>
      <c r="F480" s="687">
        <f t="shared" si="51"/>
        <v>0</v>
      </c>
      <c r="G480" s="686"/>
      <c r="H480" s="686"/>
      <c r="I480" s="686"/>
    </row>
    <row r="481" spans="1:9" s="671" customFormat="1">
      <c r="A481" s="679">
        <f t="shared" ca="1" si="50"/>
        <v>5.0340000000000114</v>
      </c>
      <c r="B481" s="625"/>
      <c r="C481" s="683"/>
      <c r="D481" s="626"/>
      <c r="E481" s="686"/>
      <c r="F481" s="687">
        <f t="shared" si="51"/>
        <v>0</v>
      </c>
      <c r="G481" s="686"/>
      <c r="H481" s="686"/>
      <c r="I481" s="686"/>
    </row>
    <row r="482" spans="1:9" s="671" customFormat="1" ht="13.95" customHeight="1">
      <c r="A482" s="674" t="s">
        <v>941</v>
      </c>
      <c r="B482" s="675" t="s">
        <v>336</v>
      </c>
      <c r="C482" s="1082" t="s">
        <v>315</v>
      </c>
      <c r="D482" s="1083"/>
      <c r="E482" s="689"/>
      <c r="F482" s="678">
        <f>SUM(F446:F481)</f>
        <v>0</v>
      </c>
      <c r="G482" s="735">
        <f t="shared" ref="G482:I482" si="52">SUM(G446:G481)</f>
        <v>0</v>
      </c>
      <c r="H482" s="735">
        <f t="shared" si="52"/>
        <v>0</v>
      </c>
      <c r="I482" s="735">
        <f t="shared" si="52"/>
        <v>0</v>
      </c>
    </row>
    <row r="483" spans="1:9" s="671" customFormat="1">
      <c r="A483" s="717"/>
      <c r="C483" s="667"/>
      <c r="D483" s="667"/>
      <c r="E483" s="673"/>
      <c r="F483" s="670"/>
      <c r="G483" s="673"/>
      <c r="H483" s="673"/>
      <c r="I483" s="673"/>
    </row>
    <row r="484" spans="1:9" s="671" customFormat="1" ht="13.95" customHeight="1">
      <c r="A484" s="674"/>
      <c r="B484" s="675" t="s">
        <v>338</v>
      </c>
      <c r="C484" s="1082" t="s">
        <v>315</v>
      </c>
      <c r="D484" s="1083"/>
      <c r="E484" s="696"/>
      <c r="F484" s="678">
        <f>F482</f>
        <v>0</v>
      </c>
      <c r="G484" s="735">
        <f t="shared" ref="G484:I484" si="53">G482</f>
        <v>0</v>
      </c>
      <c r="H484" s="735">
        <f t="shared" si="53"/>
        <v>0</v>
      </c>
      <c r="I484" s="735">
        <f t="shared" si="53"/>
        <v>0</v>
      </c>
    </row>
    <row r="485" spans="1:9" s="671" customFormat="1">
      <c r="A485" s="717"/>
      <c r="C485" s="667"/>
      <c r="D485" s="667"/>
      <c r="E485" s="673"/>
      <c r="F485" s="670"/>
      <c r="G485" s="673"/>
      <c r="H485" s="673"/>
      <c r="I485" s="673"/>
    </row>
    <row r="486" spans="1:9" s="671" customFormat="1">
      <c r="A486" s="717"/>
      <c r="C486" s="667"/>
      <c r="D486" s="667"/>
      <c r="E486" s="673"/>
      <c r="F486" s="670"/>
      <c r="G486" s="673"/>
      <c r="H486" s="673"/>
      <c r="I486" s="673"/>
    </row>
    <row r="487" spans="1:9" s="671" customFormat="1">
      <c r="A487" s="755"/>
      <c r="B487" s="756" t="s">
        <v>325</v>
      </c>
      <c r="C487" s="757"/>
      <c r="D487" s="758"/>
      <c r="E487" s="759" t="s">
        <v>326</v>
      </c>
      <c r="F487" s="760" t="s">
        <v>190</v>
      </c>
      <c r="G487" s="759" t="s">
        <v>326</v>
      </c>
      <c r="H487" s="759" t="s">
        <v>326</v>
      </c>
      <c r="I487" s="759" t="s">
        <v>326</v>
      </c>
    </row>
    <row r="488" spans="1:9" s="671" customFormat="1">
      <c r="A488" s="717"/>
      <c r="B488" s="698"/>
      <c r="C488" s="699"/>
      <c r="D488" s="699"/>
      <c r="E488" s="700"/>
      <c r="F488" s="761"/>
      <c r="G488" s="700"/>
      <c r="H488" s="700"/>
      <c r="I488" s="700"/>
    </row>
    <row r="489" spans="1:9" s="671" customFormat="1" ht="27.6">
      <c r="A489" s="762"/>
      <c r="B489" s="675"/>
      <c r="C489" s="763"/>
      <c r="D489" s="764"/>
      <c r="E489" s="765" t="s">
        <v>327</v>
      </c>
      <c r="F489" s="765" t="s">
        <v>327</v>
      </c>
      <c r="G489" s="765" t="s">
        <v>327</v>
      </c>
      <c r="H489" s="765" t="s">
        <v>327</v>
      </c>
      <c r="I489" s="765" t="s">
        <v>327</v>
      </c>
    </row>
    <row r="490" spans="1:9" s="671" customFormat="1">
      <c r="A490" s="766" t="s">
        <v>941</v>
      </c>
      <c r="B490" s="688" t="s">
        <v>328</v>
      </c>
      <c r="C490" s="739"/>
      <c r="D490" s="764"/>
      <c r="E490" s="736">
        <f>F12</f>
        <v>0</v>
      </c>
      <c r="F490" s="678"/>
      <c r="G490" s="736">
        <f>H12</f>
        <v>0</v>
      </c>
      <c r="H490" s="736">
        <f>I12</f>
        <v>0</v>
      </c>
      <c r="I490" s="736">
        <f>J12</f>
        <v>0</v>
      </c>
    </row>
    <row r="491" spans="1:9" s="671" customFormat="1">
      <c r="A491" s="767" t="s">
        <v>941</v>
      </c>
      <c r="B491" s="688" t="s">
        <v>329</v>
      </c>
      <c r="C491" s="739"/>
      <c r="D491" s="764"/>
      <c r="E491" s="736">
        <f>F24</f>
        <v>0</v>
      </c>
      <c r="F491" s="678"/>
      <c r="G491" s="736">
        <f>H24</f>
        <v>0</v>
      </c>
      <c r="H491" s="736">
        <f>I24</f>
        <v>0</v>
      </c>
      <c r="I491" s="736">
        <f>J24</f>
        <v>0</v>
      </c>
    </row>
    <row r="492" spans="1:9" s="671" customFormat="1">
      <c r="A492" s="674">
        <v>1</v>
      </c>
      <c r="B492" s="675" t="s">
        <v>330</v>
      </c>
      <c r="C492" s="739"/>
      <c r="D492" s="764"/>
      <c r="E492" s="736"/>
      <c r="F492" s="678">
        <f>SUM(E490:E491)</f>
        <v>0</v>
      </c>
      <c r="G492" s="736"/>
      <c r="H492" s="736"/>
      <c r="I492" s="736"/>
    </row>
    <row r="493" spans="1:9" s="671" customFormat="1">
      <c r="A493" s="767" t="s">
        <v>941</v>
      </c>
      <c r="B493" s="685" t="s">
        <v>314</v>
      </c>
      <c r="C493" s="739"/>
      <c r="D493" s="764"/>
      <c r="E493" s="736">
        <f ca="1">F68</f>
        <v>11897.329999999998</v>
      </c>
      <c r="F493" s="678"/>
      <c r="G493" s="736">
        <f ca="1">H68</f>
        <v>243.83999999999995</v>
      </c>
      <c r="H493" s="736">
        <f t="shared" ref="H493:I493" si="54">I68</f>
        <v>0</v>
      </c>
      <c r="I493" s="736">
        <f t="shared" si="54"/>
        <v>0</v>
      </c>
    </row>
    <row r="494" spans="1:9" s="671" customFormat="1">
      <c r="A494" s="767" t="s">
        <v>941</v>
      </c>
      <c r="B494" s="685" t="s">
        <v>316</v>
      </c>
      <c r="C494" s="739"/>
      <c r="D494" s="764"/>
      <c r="E494" s="736">
        <f>F124</f>
        <v>0</v>
      </c>
      <c r="F494" s="678"/>
      <c r="G494" s="736">
        <f>H124</f>
        <v>0</v>
      </c>
      <c r="H494" s="736">
        <f t="shared" ref="H494:I494" si="55">I124</f>
        <v>0</v>
      </c>
      <c r="I494" s="736">
        <f t="shared" si="55"/>
        <v>0</v>
      </c>
    </row>
    <row r="495" spans="1:9" s="671" customFormat="1">
      <c r="A495" s="767" t="s">
        <v>941</v>
      </c>
      <c r="B495" s="685" t="s">
        <v>321</v>
      </c>
      <c r="C495" s="739"/>
      <c r="D495" s="764"/>
      <c r="E495" s="736">
        <f>F181</f>
        <v>0</v>
      </c>
      <c r="F495" s="678"/>
      <c r="G495" s="736">
        <f>H181</f>
        <v>0</v>
      </c>
      <c r="H495" s="736">
        <f t="shared" ref="H495:I495" si="56">I181</f>
        <v>0</v>
      </c>
      <c r="I495" s="736">
        <f t="shared" si="56"/>
        <v>0</v>
      </c>
    </row>
    <row r="496" spans="1:9" s="671" customFormat="1">
      <c r="A496" s="767" t="s">
        <v>941</v>
      </c>
      <c r="B496" s="685" t="s">
        <v>322</v>
      </c>
      <c r="C496" s="739"/>
      <c r="D496" s="764"/>
      <c r="E496" s="736">
        <f>F233</f>
        <v>0</v>
      </c>
      <c r="F496" s="678"/>
      <c r="G496" s="736">
        <f>H233</f>
        <v>0</v>
      </c>
      <c r="H496" s="736">
        <f t="shared" ref="H496:I496" si="57">I233</f>
        <v>0</v>
      </c>
      <c r="I496" s="736">
        <f t="shared" si="57"/>
        <v>0</v>
      </c>
    </row>
    <row r="497" spans="1:9" s="671" customFormat="1">
      <c r="A497" s="767" t="s">
        <v>941</v>
      </c>
      <c r="B497" s="685" t="s">
        <v>323</v>
      </c>
      <c r="C497" s="739"/>
      <c r="D497" s="764"/>
      <c r="E497" s="736">
        <f ca="1">F277</f>
        <v>64283.63</v>
      </c>
      <c r="F497" s="678"/>
      <c r="G497" s="736">
        <f ca="1">H277</f>
        <v>327.44</v>
      </c>
      <c r="H497" s="736">
        <f t="shared" ref="H497:I497" si="58">I277</f>
        <v>106</v>
      </c>
      <c r="I497" s="736">
        <f t="shared" si="58"/>
        <v>0</v>
      </c>
    </row>
    <row r="498" spans="1:9" s="671" customFormat="1">
      <c r="A498" s="674">
        <v>2</v>
      </c>
      <c r="B498" s="702" t="s">
        <v>507</v>
      </c>
      <c r="C498" s="739"/>
      <c r="D498" s="764"/>
      <c r="E498" s="736"/>
      <c r="F498" s="678">
        <f ca="1">SUM(E493:E497)</f>
        <v>76180.959999999992</v>
      </c>
      <c r="G498" s="736"/>
      <c r="H498" s="736"/>
      <c r="I498" s="736"/>
    </row>
    <row r="499" spans="1:9" s="671" customFormat="1">
      <c r="A499" s="767" t="s">
        <v>941</v>
      </c>
      <c r="B499" s="685" t="s">
        <v>324</v>
      </c>
      <c r="C499" s="739"/>
      <c r="D499" s="764"/>
      <c r="E499" s="736">
        <f>F303</f>
        <v>0</v>
      </c>
      <c r="F499" s="678"/>
      <c r="G499" s="736">
        <f>H303</f>
        <v>0</v>
      </c>
      <c r="H499" s="736">
        <f t="shared" ref="H499:I499" si="59">I303</f>
        <v>0</v>
      </c>
      <c r="I499" s="736">
        <f t="shared" si="59"/>
        <v>0</v>
      </c>
    </row>
    <row r="500" spans="1:9" s="671" customFormat="1">
      <c r="A500" s="767" t="s">
        <v>941</v>
      </c>
      <c r="B500" s="685" t="s">
        <v>331</v>
      </c>
      <c r="C500" s="739"/>
      <c r="D500" s="764"/>
      <c r="E500" s="736">
        <f ca="1">F340</f>
        <v>587.44000000000005</v>
      </c>
      <c r="F500" s="678"/>
      <c r="G500" s="736">
        <f ca="1">H340</f>
        <v>15.120000000000001</v>
      </c>
      <c r="H500" s="736">
        <f t="shared" ref="H500:I500" si="60">I340</f>
        <v>0</v>
      </c>
      <c r="I500" s="736">
        <f t="shared" si="60"/>
        <v>0</v>
      </c>
    </row>
    <row r="501" spans="1:9" s="671" customFormat="1">
      <c r="A501" s="767" t="s">
        <v>941</v>
      </c>
      <c r="B501" s="685" t="s">
        <v>332</v>
      </c>
      <c r="C501" s="739"/>
      <c r="D501" s="764"/>
      <c r="E501" s="736">
        <f ca="1">F375</f>
        <v>839.19999999999993</v>
      </c>
      <c r="F501" s="678"/>
      <c r="G501" s="736">
        <f ca="1">H375</f>
        <v>21.6</v>
      </c>
      <c r="H501" s="736">
        <f t="shared" ref="H501:I501" si="61">I375</f>
        <v>0</v>
      </c>
      <c r="I501" s="736">
        <f t="shared" si="61"/>
        <v>0</v>
      </c>
    </row>
    <row r="502" spans="1:9" s="671" customFormat="1">
      <c r="A502" s="767" t="s">
        <v>941</v>
      </c>
      <c r="B502" s="685" t="s">
        <v>333</v>
      </c>
      <c r="C502" s="739"/>
      <c r="D502" s="764"/>
      <c r="E502" s="736">
        <f>F415</f>
        <v>0</v>
      </c>
      <c r="F502" s="678"/>
      <c r="G502" s="736">
        <f ca="1">H415</f>
        <v>16.200000000000003</v>
      </c>
      <c r="H502" s="736">
        <f t="shared" ref="H502:I502" si="62">I415</f>
        <v>0</v>
      </c>
      <c r="I502" s="736">
        <f t="shared" si="62"/>
        <v>0</v>
      </c>
    </row>
    <row r="503" spans="1:9" s="671" customFormat="1">
      <c r="A503" s="767" t="s">
        <v>941</v>
      </c>
      <c r="B503" s="685" t="s">
        <v>334</v>
      </c>
      <c r="C503" s="739"/>
      <c r="D503" s="764"/>
      <c r="E503" s="736">
        <f>F428</f>
        <v>0</v>
      </c>
      <c r="F503" s="678"/>
      <c r="G503" s="736">
        <f ca="1">H428</f>
        <v>2.16</v>
      </c>
      <c r="H503" s="736">
        <f t="shared" ref="H503:I503" si="63">I428</f>
        <v>0</v>
      </c>
      <c r="I503" s="736">
        <f t="shared" si="63"/>
        <v>0</v>
      </c>
    </row>
    <row r="504" spans="1:9" s="671" customFormat="1">
      <c r="A504" s="674">
        <v>3</v>
      </c>
      <c r="B504" s="702" t="s">
        <v>573</v>
      </c>
      <c r="C504" s="739"/>
      <c r="D504" s="764"/>
      <c r="E504" s="736"/>
      <c r="F504" s="678">
        <f ca="1">SUM(E499:E503)</f>
        <v>1426.6399999999999</v>
      </c>
      <c r="G504" s="736"/>
      <c r="H504" s="736"/>
      <c r="I504" s="736"/>
    </row>
    <row r="505" spans="1:9" s="671" customFormat="1">
      <c r="A505" s="767" t="s">
        <v>941</v>
      </c>
      <c r="B505" s="685" t="s">
        <v>335</v>
      </c>
      <c r="C505" s="739"/>
      <c r="D505" s="764"/>
      <c r="E505" s="736">
        <f>F439</f>
        <v>0</v>
      </c>
      <c r="F505" s="678"/>
      <c r="G505" s="736">
        <f>H439</f>
        <v>0</v>
      </c>
      <c r="H505" s="736">
        <f t="shared" ref="H505:I505" si="64">I439</f>
        <v>0</v>
      </c>
      <c r="I505" s="736">
        <f t="shared" si="64"/>
        <v>0</v>
      </c>
    </row>
    <row r="506" spans="1:9" s="671" customFormat="1">
      <c r="A506" s="674">
        <v>4</v>
      </c>
      <c r="B506" s="675" t="s">
        <v>337</v>
      </c>
      <c r="C506" s="739"/>
      <c r="D506" s="764"/>
      <c r="E506" s="736"/>
      <c r="F506" s="678">
        <f>E505</f>
        <v>0</v>
      </c>
      <c r="G506" s="736"/>
      <c r="H506" s="736"/>
      <c r="I506" s="736"/>
    </row>
    <row r="507" spans="1:9" s="671" customFormat="1">
      <c r="A507" s="767" t="s">
        <v>941</v>
      </c>
      <c r="B507" s="685" t="s">
        <v>336</v>
      </c>
      <c r="C507" s="739"/>
      <c r="D507" s="764"/>
      <c r="E507" s="736">
        <f>F482</f>
        <v>0</v>
      </c>
      <c r="F507" s="678"/>
      <c r="G507" s="736">
        <f>H482</f>
        <v>0</v>
      </c>
      <c r="H507" s="736">
        <f t="shared" ref="H507:I507" si="65">I482</f>
        <v>0</v>
      </c>
      <c r="I507" s="736">
        <f t="shared" si="65"/>
        <v>0</v>
      </c>
    </row>
    <row r="508" spans="1:9" s="671" customFormat="1">
      <c r="A508" s="674">
        <v>5</v>
      </c>
      <c r="B508" s="702" t="s">
        <v>338</v>
      </c>
      <c r="C508" s="739"/>
      <c r="D508" s="764"/>
      <c r="E508" s="736"/>
      <c r="F508" s="678">
        <f>E507</f>
        <v>0</v>
      </c>
      <c r="G508" s="736"/>
      <c r="H508" s="736"/>
      <c r="I508" s="736"/>
    </row>
    <row r="509" spans="1:9" s="671" customFormat="1" ht="14.4" thickBot="1">
      <c r="A509" s="717"/>
      <c r="B509" s="744"/>
      <c r="C509" s="667"/>
      <c r="D509" s="667"/>
      <c r="E509" s="768"/>
      <c r="F509" s="701"/>
      <c r="G509" s="768"/>
      <c r="H509" s="768"/>
      <c r="I509" s="768"/>
    </row>
    <row r="510" spans="1:9" s="671" customFormat="1" ht="14.4" thickBot="1">
      <c r="A510" s="769"/>
      <c r="B510" s="770" t="s">
        <v>588</v>
      </c>
      <c r="C510" s="1084" t="s">
        <v>315</v>
      </c>
      <c r="D510" s="1085"/>
      <c r="E510" s="771"/>
      <c r="F510" s="772">
        <f ca="1">IF(SUM(F490:F507)=0,0,SUM(F490:F508))</f>
        <v>77607.599999999991</v>
      </c>
      <c r="G510" s="1078">
        <f t="shared" ref="G510:I510" ca="1" si="66">IF(SUM(G490:G507)=0,0,SUM(G490:G508))</f>
        <v>626.36</v>
      </c>
      <c r="H510" s="1078">
        <f t="shared" si="66"/>
        <v>106</v>
      </c>
      <c r="I510" s="1078">
        <f t="shared" si="66"/>
        <v>0</v>
      </c>
    </row>
    <row r="511" spans="1:9" s="671" customFormat="1">
      <c r="A511" s="717"/>
      <c r="B511" s="744"/>
      <c r="C511" s="667"/>
      <c r="D511" s="667"/>
      <c r="E511" s="768"/>
      <c r="F511" s="701"/>
      <c r="G511" s="768"/>
      <c r="H511" s="768"/>
      <c r="I511" s="768"/>
    </row>
    <row r="514" spans="3:9">
      <c r="C514" s="662" t="s">
        <v>164</v>
      </c>
      <c r="G514" s="1017">
        <f ca="1">SUMIF($A1:$A485,$A482,G1:G485)</f>
        <v>59910.04</v>
      </c>
      <c r="H514" s="1017">
        <f ca="1">SUMIF($A1:$A485,$A482,H1:H485)</f>
        <v>626.36</v>
      </c>
      <c r="I514" s="1017">
        <f ca="1">SUMIF($A1:$A485,$A482,I1:I485)</f>
        <v>106</v>
      </c>
    </row>
  </sheetData>
  <sheetProtection formatCells="0"/>
  <mergeCells count="20">
    <mergeCell ref="C484:D484"/>
    <mergeCell ref="C510:D510"/>
    <mergeCell ref="C415:D415"/>
    <mergeCell ref="C428:D428"/>
    <mergeCell ref="C430:D430"/>
    <mergeCell ref="C439:D439"/>
    <mergeCell ref="C441:D441"/>
    <mergeCell ref="C482:D482"/>
    <mergeCell ref="C375:D375"/>
    <mergeCell ref="C12:D12"/>
    <mergeCell ref="C24:D24"/>
    <mergeCell ref="C26:D26"/>
    <mergeCell ref="C68:D68"/>
    <mergeCell ref="C124:D124"/>
    <mergeCell ref="C181:D181"/>
    <mergeCell ref="C233:D233"/>
    <mergeCell ref="C277:D277"/>
    <mergeCell ref="C279:D279"/>
    <mergeCell ref="C303:D303"/>
    <mergeCell ref="C340:D340"/>
  </mergeCells>
  <printOptions horizontalCentered="1"/>
  <pageMargins left="0.70866141732283472" right="0.70866141732283472" top="0.74803149606299213" bottom="0.55118110236220474" header="0.31496062992125984" footer="0.31496062992125984"/>
  <pageSetup paperSize="9" scale="70" orientation="portrait" horizontalDpi="300" verticalDpi="300" r:id="rId1"/>
  <headerFooter>
    <oddHeader>&amp;LQuintano Foods Ltd&amp;RHVAC BoQ</oddHeader>
    <oddFooter>&amp;LCAMILLERI &amp;&amp; CUSCHIERI Consulting Engineers&amp;R&amp;P</oddFooter>
  </headerFooter>
  <rowBreaks count="14" manualBreakCount="14">
    <brk id="13" max="16383" man="1"/>
    <brk id="27" max="16383" man="1"/>
    <brk id="69" max="16383" man="1"/>
    <brk id="125" max="16383" man="1"/>
    <brk id="182" max="16383" man="1"/>
    <brk id="234" max="16383" man="1"/>
    <brk id="280" max="5" man="1"/>
    <brk id="304" max="16383" man="1"/>
    <brk id="341" max="16383" man="1"/>
    <brk id="376" max="16383" man="1"/>
    <brk id="416" max="16383" man="1"/>
    <brk id="431" max="16383" man="1"/>
    <brk id="442" max="5" man="1"/>
    <brk id="48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tabColor indexed="52"/>
  </sheetPr>
  <dimension ref="A1:D23"/>
  <sheetViews>
    <sheetView workbookViewId="0"/>
  </sheetViews>
  <sheetFormatPr defaultRowHeight="13.2"/>
  <cols>
    <col min="1" max="1" width="7.109375" style="439" customWidth="1"/>
    <col min="2" max="2" width="89.6640625" customWidth="1"/>
    <col min="3" max="3" width="10.5546875" customWidth="1"/>
    <col min="5" max="5" width="9.5546875" customWidth="1"/>
    <col min="7" max="7" width="10.109375" customWidth="1"/>
    <col min="10" max="10" width="7.6640625" customWidth="1"/>
  </cols>
  <sheetData>
    <row r="1" spans="1:4" ht="17.399999999999999">
      <c r="A1" s="444" t="s">
        <v>265</v>
      </c>
      <c r="C1" s="452" t="s">
        <v>276</v>
      </c>
      <c r="D1" s="266"/>
    </row>
    <row r="2" spans="1:4">
      <c r="C2" s="97" t="s">
        <v>217</v>
      </c>
    </row>
    <row r="3" spans="1:4">
      <c r="A3" s="112" t="s">
        <v>266</v>
      </c>
      <c r="C3" s="92" t="s">
        <v>170</v>
      </c>
    </row>
    <row r="4" spans="1:4">
      <c r="C4" s="95" t="s">
        <v>171</v>
      </c>
    </row>
    <row r="5" spans="1:4">
      <c r="A5" s="439" t="s">
        <v>268</v>
      </c>
      <c r="C5" s="93" t="s">
        <v>172</v>
      </c>
    </row>
    <row r="6" spans="1:4">
      <c r="A6" s="439">
        <v>1</v>
      </c>
      <c r="C6" s="94" t="s">
        <v>173</v>
      </c>
    </row>
    <row r="7" spans="1:4">
      <c r="A7" s="439">
        <v>2</v>
      </c>
      <c r="C7" s="96" t="s">
        <v>174</v>
      </c>
    </row>
    <row r="8" spans="1:4">
      <c r="C8" s="96" t="s">
        <v>175</v>
      </c>
    </row>
    <row r="9" spans="1:4">
      <c r="A9" s="439" t="s">
        <v>99</v>
      </c>
      <c r="C9" s="97" t="s">
        <v>176</v>
      </c>
    </row>
    <row r="10" spans="1:4">
      <c r="A10" s="439">
        <v>1</v>
      </c>
      <c r="C10" s="443"/>
    </row>
    <row r="11" spans="1:4">
      <c r="A11" s="439">
        <v>2</v>
      </c>
      <c r="C11" t="s">
        <v>213</v>
      </c>
    </row>
    <row r="12" spans="1:4">
      <c r="C12" s="440" t="s">
        <v>214</v>
      </c>
    </row>
    <row r="13" spans="1:4">
      <c r="A13" s="112" t="s">
        <v>267</v>
      </c>
      <c r="C13" s="441" t="s">
        <v>215</v>
      </c>
    </row>
    <row r="14" spans="1:4">
      <c r="C14" s="442" t="s">
        <v>216</v>
      </c>
    </row>
    <row r="15" spans="1:4">
      <c r="A15" s="439" t="s">
        <v>269</v>
      </c>
    </row>
    <row r="16" spans="1:4">
      <c r="A16" s="439">
        <v>1</v>
      </c>
    </row>
    <row r="17" spans="1:1">
      <c r="A17" s="439">
        <v>2</v>
      </c>
    </row>
    <row r="18" spans="1:1">
      <c r="A18" s="439">
        <v>3</v>
      </c>
    </row>
    <row r="20" spans="1:1">
      <c r="A20" s="439" t="s">
        <v>270</v>
      </c>
    </row>
    <row r="21" spans="1:1">
      <c r="A21" s="439">
        <v>1</v>
      </c>
    </row>
    <row r="22" spans="1:1">
      <c r="A22" s="439">
        <v>2</v>
      </c>
    </row>
    <row r="23" spans="1:1">
      <c r="A23" s="439">
        <v>3</v>
      </c>
    </row>
  </sheetData>
  <phoneticPr fontId="33" type="noConversion"/>
  <pageMargins left="0.75" right="0.75" top="1" bottom="1" header="0.5" footer="0.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indexed="43"/>
  </sheetPr>
  <dimension ref="A1:U58"/>
  <sheetViews>
    <sheetView tabSelected="1" workbookViewId="0">
      <selection activeCell="Z22" sqref="Z22"/>
    </sheetView>
  </sheetViews>
  <sheetFormatPr defaultColWidth="9.109375" defaultRowHeight="13.2"/>
  <cols>
    <col min="1" max="1" width="4.6640625" style="1028" customWidth="1"/>
    <col min="2" max="2" width="6.109375" style="1028" customWidth="1"/>
    <col min="3" max="3" width="3.88671875" style="1028" hidden="1" customWidth="1"/>
    <col min="4" max="4" width="15.6640625" style="1028" customWidth="1"/>
    <col min="5" max="6" width="12.6640625" style="1028" customWidth="1"/>
    <col min="7" max="7" width="9.6640625" style="1028" hidden="1" customWidth="1"/>
    <col min="8" max="8" width="7.6640625" style="1028" hidden="1" customWidth="1"/>
    <col min="9" max="11" width="8.6640625" style="1028" hidden="1" customWidth="1"/>
    <col min="12" max="12" width="6.6640625" style="1028" hidden="1" customWidth="1"/>
    <col min="13" max="16" width="8.6640625" style="1028" hidden="1" customWidth="1"/>
    <col min="17" max="17" width="15.109375" style="1028" customWidth="1"/>
    <col min="18" max="18" width="8.6640625" style="1028" customWidth="1"/>
    <col min="19" max="19" width="10.109375" style="1028" customWidth="1"/>
    <col min="20" max="20" width="8.33203125" style="1028" customWidth="1"/>
    <col min="21" max="16384" width="9.109375" style="1028"/>
  </cols>
  <sheetData>
    <row r="1" spans="1:21" s="1025" customFormat="1" ht="30.6">
      <c r="A1" s="1088" t="str">
        <f>IF(AND(UPPER(LEFT(TRIM($D$8),11))="01",UPPER(LEFT(TRIM($D$9),3))&lt;&gt;"ELM"),"PANTA RETAIL LTD.","PANTA CONTRACTING LIMITED")</f>
        <v>PANTA CONTRACTING LIMITED</v>
      </c>
      <c r="B1" s="1088"/>
      <c r="C1" s="1088"/>
      <c r="D1" s="1088"/>
      <c r="E1" s="1088"/>
      <c r="F1" s="1088"/>
      <c r="G1" s="1088"/>
      <c r="H1" s="1088"/>
      <c r="I1" s="1088"/>
      <c r="J1" s="1088"/>
      <c r="K1" s="1088"/>
      <c r="L1" s="1088"/>
      <c r="M1" s="1088"/>
      <c r="N1" s="1088"/>
      <c r="O1" s="1088"/>
      <c r="P1" s="1088"/>
      <c r="Q1" s="1088"/>
      <c r="R1" s="1088"/>
      <c r="S1" s="1088"/>
      <c r="T1" s="1088"/>
      <c r="U1" s="1024"/>
    </row>
    <row r="2" spans="1:21" s="1025" customFormat="1" ht="18">
      <c r="A2" s="1089" t="str">
        <f>IF(UPPER(LEFT(TRIM($D$9),3))="ELM","ELEC-FOR-MECH INTERNAL QUOTATION","ELECTRICAL INTERNAL QUOTATION")</f>
        <v>ELEC-FOR-MECH INTERNAL QUOTATION</v>
      </c>
      <c r="B2" s="1089"/>
      <c r="C2" s="1089"/>
      <c r="D2" s="1089"/>
      <c r="E2" s="1089"/>
      <c r="F2" s="1089"/>
      <c r="G2" s="1089"/>
      <c r="H2" s="1089"/>
      <c r="I2" s="1089"/>
      <c r="J2" s="1089"/>
      <c r="K2" s="1089"/>
      <c r="L2" s="1089"/>
      <c r="M2" s="1089"/>
      <c r="N2" s="1089"/>
      <c r="O2" s="1089"/>
      <c r="P2" s="1089"/>
      <c r="Q2" s="1089"/>
      <c r="R2" s="1089"/>
      <c r="S2" s="1089"/>
      <c r="T2" s="1089"/>
    </row>
    <row r="3" spans="1:21" s="1025" customFormat="1">
      <c r="A3" s="1026"/>
      <c r="B3" s="1027"/>
      <c r="C3" s="1026"/>
      <c r="D3" s="1026"/>
      <c r="E3" s="1026"/>
      <c r="F3" s="1026"/>
      <c r="G3" s="1028"/>
      <c r="H3" s="1028"/>
      <c r="I3" s="1028"/>
      <c r="J3" s="1028"/>
      <c r="K3" s="1026"/>
      <c r="Q3" s="1026"/>
      <c r="R3" s="1026"/>
      <c r="S3" s="1026"/>
      <c r="T3" s="1026"/>
    </row>
    <row r="4" spans="1:21" s="1025" customFormat="1">
      <c r="A4" s="1028"/>
      <c r="B4" s="1028"/>
      <c r="C4" s="1028"/>
      <c r="D4" s="1028"/>
      <c r="E4" s="1028"/>
      <c r="F4" s="1028"/>
      <c r="G4" s="1028"/>
      <c r="H4" s="1028"/>
      <c r="I4" s="1028"/>
      <c r="J4" s="1028"/>
      <c r="K4" s="1028"/>
      <c r="L4" s="1028"/>
      <c r="M4" s="1028"/>
      <c r="N4" s="1028"/>
      <c r="O4" s="1028"/>
      <c r="P4" s="1028"/>
      <c r="Q4" s="1028"/>
      <c r="R4" s="1028"/>
      <c r="S4" s="1028"/>
      <c r="T4" s="1028"/>
    </row>
    <row r="5" spans="1:21" s="1025" customFormat="1">
      <c r="A5" s="1026"/>
      <c r="B5" s="1029" t="s">
        <v>245</v>
      </c>
      <c r="C5" s="1028"/>
      <c r="D5" s="1030" t="str">
        <f>IF(A2="Internal Quotation", "Mechanical Division","")</f>
        <v/>
      </c>
      <c r="E5" s="1028"/>
      <c r="F5" s="1028"/>
      <c r="G5" s="1031"/>
      <c r="H5" s="1031"/>
      <c r="I5" s="1032"/>
      <c r="J5" s="1032"/>
      <c r="K5" s="1031"/>
      <c r="L5" s="1033"/>
      <c r="M5" s="1033"/>
      <c r="N5" s="1033"/>
      <c r="O5" s="1033"/>
      <c r="P5" s="1033"/>
      <c r="Q5" s="1028"/>
      <c r="R5" s="1034" t="s">
        <v>199</v>
      </c>
      <c r="S5" s="1035">
        <f ca="1">NOW()</f>
        <v>45821.462045486114</v>
      </c>
      <c r="T5" s="1028"/>
    </row>
    <row r="6" spans="1:21" s="1025" customFormat="1">
      <c r="A6" s="1036"/>
      <c r="B6" s="1036" t="s">
        <v>0</v>
      </c>
      <c r="C6" s="1037" t="s">
        <v>246</v>
      </c>
      <c r="D6" s="1026" t="str">
        <f>ML_Sum!D1</f>
        <v>Quintano Foods Ltd.</v>
      </c>
      <c r="E6" s="1026"/>
      <c r="F6" s="1026"/>
      <c r="G6" s="1028"/>
      <c r="H6" s="1028"/>
      <c r="I6" s="1028"/>
      <c r="J6" s="1028"/>
      <c r="K6" s="1026"/>
      <c r="Q6" s="1026"/>
      <c r="R6" s="1028"/>
      <c r="S6" s="1028"/>
      <c r="T6" s="1028"/>
    </row>
    <row r="7" spans="1:21" s="1025" customFormat="1">
      <c r="A7" s="1036"/>
      <c r="B7" s="1036" t="s">
        <v>2</v>
      </c>
      <c r="C7" s="1037" t="s">
        <v>247</v>
      </c>
      <c r="D7" s="1026" t="str">
        <f>ML_Sum!D2</f>
        <v>Warehouse at tal-Handaq, Qormi</v>
      </c>
      <c r="E7" s="1026"/>
      <c r="F7" s="1026"/>
      <c r="G7" s="1028"/>
      <c r="H7" s="1028"/>
      <c r="I7" s="1028"/>
      <c r="J7" s="1028"/>
      <c r="K7" s="1026"/>
      <c r="Q7" s="1026"/>
      <c r="R7" s="1028"/>
      <c r="S7" s="1028"/>
      <c r="T7" s="1028"/>
    </row>
    <row r="8" spans="1:21" s="1025" customFormat="1">
      <c r="A8" s="1036"/>
      <c r="B8" s="1036" t="s">
        <v>4</v>
      </c>
      <c r="C8" s="1037" t="s">
        <v>248</v>
      </c>
      <c r="D8" s="1026" t="str">
        <f>ML_Sum!D3</f>
        <v>Electrical installation for Mechanical (HVAC) - Revision B</v>
      </c>
      <c r="E8" s="1026"/>
      <c r="F8" s="1026"/>
      <c r="G8" s="1028"/>
      <c r="H8" s="1028"/>
      <c r="I8" s="1028"/>
      <c r="J8" s="1028"/>
      <c r="K8" s="1026"/>
      <c r="Q8" s="1026"/>
      <c r="R8" s="1028"/>
      <c r="S8" s="1028"/>
      <c r="T8" s="1028"/>
    </row>
    <row r="9" spans="1:21" s="1025" customFormat="1">
      <c r="A9" s="1028"/>
      <c r="B9" s="1029" t="s">
        <v>6</v>
      </c>
      <c r="C9" s="1037" t="s">
        <v>249</v>
      </c>
      <c r="D9" s="1026" t="str">
        <f>ML_Sum!D4</f>
        <v>ELM-25-0085B</v>
      </c>
      <c r="E9" s="1026"/>
      <c r="F9" s="1026"/>
      <c r="G9" s="1028"/>
      <c r="H9" s="1028"/>
      <c r="I9" s="1028"/>
      <c r="J9" s="1028"/>
      <c r="K9" s="1026"/>
      <c r="Q9" s="1026"/>
      <c r="R9" s="1026"/>
      <c r="S9" s="1026"/>
      <c r="T9" s="1026"/>
    </row>
    <row r="10" spans="1:21" s="1025" customFormat="1">
      <c r="A10" s="1028"/>
      <c r="B10" s="1038" t="s">
        <v>191</v>
      </c>
      <c r="C10" s="1037" t="s">
        <v>250</v>
      </c>
      <c r="D10" s="1026" t="str">
        <f>ML_Sum!D5</f>
        <v>Tender</v>
      </c>
      <c r="E10" s="1028"/>
      <c r="F10" s="1028"/>
      <c r="G10" s="1028"/>
      <c r="H10" s="1028"/>
      <c r="I10" s="1028"/>
      <c r="J10" s="1028"/>
      <c r="K10" s="1028"/>
      <c r="L10" s="1028"/>
      <c r="M10" s="1028"/>
      <c r="N10" s="1028"/>
      <c r="O10" s="1028"/>
      <c r="P10" s="1028"/>
      <c r="Q10" s="1028"/>
      <c r="R10" s="1028"/>
      <c r="S10" s="1028"/>
      <c r="T10" s="1028"/>
    </row>
    <row r="11" spans="1:21" s="1025" customFormat="1">
      <c r="A11" s="1028"/>
      <c r="B11" s="1028"/>
      <c r="C11" s="1031"/>
      <c r="D11" s="1028"/>
      <c r="E11" s="1028"/>
      <c r="F11" s="1028"/>
      <c r="G11" s="1028"/>
      <c r="H11" s="1028"/>
      <c r="I11" s="1028"/>
      <c r="J11" s="1028"/>
      <c r="K11" s="1028"/>
      <c r="L11" s="1028"/>
      <c r="M11" s="1028"/>
      <c r="N11" s="1028"/>
      <c r="O11" s="1028"/>
      <c r="P11" s="1028"/>
      <c r="Q11" s="1028"/>
      <c r="R11" s="1028"/>
      <c r="S11" s="1028"/>
      <c r="T11" s="1028"/>
    </row>
    <row r="12" spans="1:21" s="1025" customFormat="1">
      <c r="A12" s="1026"/>
      <c r="B12" s="1026"/>
      <c r="C12" s="1026"/>
      <c r="D12" s="1028"/>
      <c r="E12" s="1028"/>
      <c r="F12" s="1028"/>
      <c r="G12" s="1028"/>
      <c r="H12" s="1028"/>
      <c r="I12" s="1028"/>
      <c r="J12" s="1028"/>
      <c r="K12" s="1028"/>
      <c r="L12" s="1028"/>
      <c r="M12" s="1028"/>
      <c r="N12" s="1028"/>
      <c r="O12" s="1028"/>
      <c r="P12" s="1028"/>
      <c r="Q12" s="1028"/>
      <c r="R12" s="1028"/>
      <c r="S12" s="1028"/>
      <c r="T12" s="1028"/>
    </row>
    <row r="13" spans="1:21" s="1025" customFormat="1">
      <c r="A13" s="1039"/>
      <c r="B13" s="1026"/>
      <c r="C13" s="1026"/>
      <c r="D13" s="1028"/>
      <c r="E13" s="1028"/>
      <c r="F13" s="1028"/>
      <c r="G13" s="1028"/>
      <c r="H13" s="1028"/>
      <c r="I13" s="1028"/>
      <c r="J13" s="1028"/>
      <c r="K13" s="1028"/>
      <c r="L13" s="1028"/>
      <c r="M13" s="1028"/>
      <c r="N13" s="1028"/>
      <c r="O13" s="1028"/>
      <c r="P13" s="1028"/>
      <c r="Q13" s="1028"/>
      <c r="R13" s="1028"/>
      <c r="S13" s="1028"/>
      <c r="T13" s="1028"/>
    </row>
    <row r="14" spans="1:21" s="1025" customFormat="1">
      <c r="A14" s="1026"/>
      <c r="B14" s="1026"/>
      <c r="C14" s="1026"/>
      <c r="D14" s="1026"/>
      <c r="E14" s="1026"/>
      <c r="F14" s="1026"/>
      <c r="G14" s="1028"/>
      <c r="H14" s="1028"/>
      <c r="I14" s="1028"/>
      <c r="J14" s="1028"/>
      <c r="K14" s="1026"/>
      <c r="Q14" s="1026"/>
      <c r="R14" s="1026"/>
      <c r="S14" s="1026"/>
      <c r="T14" s="1026"/>
    </row>
    <row r="15" spans="1:21" s="1025" customFormat="1">
      <c r="A15" s="1026"/>
      <c r="B15" s="1026"/>
      <c r="C15" s="1026"/>
      <c r="D15" s="1026"/>
      <c r="E15" s="1026"/>
      <c r="F15" s="1026"/>
      <c r="G15" s="1028"/>
      <c r="H15" s="1028"/>
      <c r="I15" s="1028"/>
      <c r="J15" s="1028"/>
      <c r="K15" s="1026"/>
      <c r="Q15" s="1026"/>
      <c r="R15" s="1026"/>
      <c r="S15" s="1026"/>
      <c r="T15" s="1026"/>
    </row>
    <row r="16" spans="1:21" s="1025" customFormat="1">
      <c r="A16" s="1026"/>
      <c r="B16" s="1026"/>
      <c r="C16" s="1026"/>
      <c r="D16" s="1026"/>
      <c r="E16" s="1026"/>
      <c r="F16" s="1026"/>
      <c r="G16" s="1028"/>
      <c r="H16" s="1028"/>
      <c r="I16" s="1028"/>
      <c r="J16" s="1028"/>
      <c r="K16" s="1026"/>
      <c r="Q16" s="1026"/>
      <c r="R16" s="1026"/>
      <c r="S16" s="1026"/>
      <c r="T16" s="1026"/>
    </row>
    <row r="17" spans="1:20" s="1025" customFormat="1">
      <c r="A17" s="1026"/>
      <c r="B17" s="1026"/>
      <c r="C17" s="1026"/>
      <c r="D17" s="1026"/>
      <c r="E17" s="1026"/>
      <c r="F17" s="1026"/>
      <c r="G17" s="1028"/>
      <c r="H17" s="1028"/>
      <c r="I17" s="1028"/>
      <c r="J17" s="1028"/>
      <c r="K17" s="1026"/>
      <c r="Q17" s="1026"/>
      <c r="R17" s="1026"/>
      <c r="S17" s="1026"/>
      <c r="T17" s="1026"/>
    </row>
    <row r="18" spans="1:20" s="1025" customFormat="1">
      <c r="A18" s="1026"/>
      <c r="B18" s="1026"/>
      <c r="C18" s="1026"/>
      <c r="D18" s="1026"/>
      <c r="E18" s="1026"/>
      <c r="F18" s="1026"/>
      <c r="G18" s="1028"/>
      <c r="H18" s="1028"/>
      <c r="I18" s="1028"/>
      <c r="J18" s="1028"/>
      <c r="K18" s="1026"/>
      <c r="Q18" s="1026"/>
      <c r="R18" s="1026"/>
      <c r="S18" s="1026"/>
      <c r="T18" s="1026"/>
    </row>
    <row r="19" spans="1:20" s="1025" customFormat="1">
      <c r="A19" s="1026"/>
      <c r="B19" s="1026"/>
      <c r="C19" s="1026"/>
      <c r="D19" s="1026"/>
      <c r="E19" s="1026"/>
      <c r="F19" s="1026"/>
      <c r="G19" s="1028"/>
      <c r="H19" s="1028"/>
      <c r="I19" s="1028"/>
      <c r="J19" s="1028"/>
      <c r="K19" s="1026"/>
      <c r="Q19" s="1026"/>
      <c r="R19" s="1026"/>
      <c r="S19" s="1026"/>
      <c r="T19" s="1026"/>
    </row>
    <row r="20" spans="1:20" s="1025" customFormat="1">
      <c r="A20" s="1026"/>
      <c r="B20" s="1026"/>
      <c r="C20" s="1026"/>
      <c r="D20" s="1026"/>
      <c r="E20" s="1026"/>
      <c r="F20" s="1026"/>
      <c r="G20" s="1028"/>
      <c r="H20" s="1028"/>
      <c r="I20" s="1028"/>
      <c r="J20" s="1028"/>
      <c r="K20" s="1026"/>
      <c r="Q20" s="1026"/>
      <c r="R20" s="1026"/>
      <c r="S20" s="1026"/>
      <c r="T20" s="1026"/>
    </row>
    <row r="21" spans="1:20" s="1025" customFormat="1">
      <c r="A21" s="1028"/>
      <c r="B21" s="1028"/>
      <c r="C21" s="1028"/>
      <c r="D21" s="1040" t="s">
        <v>303</v>
      </c>
      <c r="E21" s="1041">
        <f ca="1">ML_Sum!R35</f>
        <v>59910.034999999989</v>
      </c>
      <c r="F21" s="1037" t="str">
        <f>ML_Sum!D6</f>
        <v>VAT EXCL.</v>
      </c>
      <c r="G21" s="1042" t="s">
        <v>200</v>
      </c>
      <c r="H21" s="1042" t="s">
        <v>200</v>
      </c>
      <c r="I21" s="1042" t="s">
        <v>200</v>
      </c>
      <c r="J21" s="1042" t="s">
        <v>200</v>
      </c>
      <c r="K21" s="1042" t="s">
        <v>200</v>
      </c>
      <c r="L21" s="1042" t="s">
        <v>200</v>
      </c>
      <c r="M21" s="1042" t="s">
        <v>200</v>
      </c>
      <c r="N21" s="1042" t="s">
        <v>200</v>
      </c>
      <c r="O21" s="1042" t="s">
        <v>200</v>
      </c>
      <c r="P21" s="1042" t="s">
        <v>200</v>
      </c>
      <c r="Q21" s="1043"/>
      <c r="R21" s="1028"/>
      <c r="S21" s="1028"/>
      <c r="T21" s="1028"/>
    </row>
    <row r="22" spans="1:20" s="1025" customFormat="1">
      <c r="A22" s="1028"/>
      <c r="B22" s="1028"/>
      <c r="C22" s="1028"/>
      <c r="D22" s="1040" t="s">
        <v>304</v>
      </c>
      <c r="E22" s="1041">
        <f ca="1">ML_Sum!T23</f>
        <v>626.35999999999979</v>
      </c>
      <c r="F22" s="1023" t="s">
        <v>954</v>
      </c>
      <c r="G22" s="1043"/>
      <c r="H22" s="1043"/>
      <c r="I22" s="1043"/>
      <c r="J22" s="1043"/>
      <c r="K22" s="1043"/>
      <c r="L22" s="1043"/>
      <c r="M22" s="1043"/>
      <c r="N22" s="1043"/>
      <c r="O22" s="1043"/>
      <c r="P22" s="1043"/>
      <c r="Q22" s="1043"/>
      <c r="R22" s="1026"/>
      <c r="S22" s="1028"/>
      <c r="T22" s="1026"/>
    </row>
    <row r="23" spans="1:20" s="1025" customFormat="1">
      <c r="A23" s="1028"/>
      <c r="B23" s="1028"/>
      <c r="C23" s="1028"/>
      <c r="D23" s="1040" t="s">
        <v>304</v>
      </c>
      <c r="E23" s="1041">
        <f>ML_Sum!T24</f>
        <v>106</v>
      </c>
      <c r="F23" s="1023" t="s">
        <v>955</v>
      </c>
      <c r="G23" s="1043"/>
      <c r="H23" s="1043"/>
      <c r="I23" s="1043"/>
      <c r="J23" s="1043"/>
      <c r="K23" s="1043"/>
      <c r="L23" s="1043"/>
      <c r="M23" s="1043"/>
      <c r="N23" s="1043"/>
      <c r="O23" s="1043"/>
      <c r="P23" s="1043"/>
      <c r="Q23" s="1043"/>
      <c r="R23" s="1026"/>
      <c r="S23" s="1028"/>
      <c r="T23" s="1026"/>
    </row>
    <row r="24" spans="1:20" s="1025" customFormat="1">
      <c r="A24" s="1028"/>
      <c r="B24" s="1028"/>
      <c r="C24" s="1028"/>
      <c r="D24" s="1044"/>
      <c r="E24" s="1043"/>
      <c r="F24" s="1043"/>
      <c r="G24" s="1043"/>
      <c r="H24" s="1043"/>
      <c r="I24" s="1043"/>
      <c r="J24" s="1043"/>
      <c r="K24" s="1043"/>
      <c r="L24" s="1043"/>
      <c r="M24" s="1043"/>
      <c r="N24" s="1043"/>
      <c r="O24" s="1043"/>
      <c r="P24" s="1043"/>
      <c r="Q24" s="1043"/>
      <c r="R24" s="1026"/>
      <c r="S24" s="1028"/>
      <c r="T24" s="1026"/>
    </row>
    <row r="25" spans="1:20" s="1025" customFormat="1">
      <c r="A25" s="1045"/>
      <c r="B25" s="1046"/>
      <c r="C25" s="1046"/>
      <c r="D25" s="1028"/>
      <c r="E25" s="1028"/>
      <c r="F25" s="1028"/>
      <c r="G25" s="1028"/>
      <c r="H25" s="1028"/>
      <c r="I25" s="1028"/>
      <c r="J25" s="1028"/>
      <c r="K25" s="1028"/>
      <c r="L25" s="1028"/>
      <c r="M25" s="1028"/>
      <c r="N25" s="1028"/>
      <c r="O25" s="1028"/>
      <c r="P25" s="1028"/>
      <c r="Q25" s="1028"/>
      <c r="R25" s="1026"/>
      <c r="S25" s="1026"/>
      <c r="T25" s="1026"/>
    </row>
    <row r="26" spans="1:20" s="1025" customFormat="1">
      <c r="A26" s="1030"/>
      <c r="B26" s="1026"/>
      <c r="C26" s="1026"/>
      <c r="D26" s="1026"/>
      <c r="E26" s="1026"/>
      <c r="F26" s="1026"/>
      <c r="G26" s="1028"/>
      <c r="H26" s="1028"/>
      <c r="I26" s="1028"/>
      <c r="J26" s="1028"/>
      <c r="K26" s="1026"/>
      <c r="Q26" s="1026"/>
      <c r="R26" s="1026"/>
      <c r="S26" s="1026"/>
      <c r="T26" s="1026"/>
    </row>
    <row r="27" spans="1:20" s="1025" customFormat="1">
      <c r="A27" s="1030"/>
      <c r="B27" s="1026"/>
      <c r="C27" s="1026"/>
      <c r="D27" s="1026"/>
      <c r="E27" s="1026"/>
      <c r="F27" s="1026"/>
      <c r="G27" s="1028"/>
      <c r="H27" s="1028"/>
      <c r="I27" s="1028"/>
      <c r="J27" s="1028"/>
      <c r="K27" s="1026"/>
      <c r="Q27" s="1026"/>
      <c r="R27" s="1026"/>
      <c r="S27" s="1026"/>
      <c r="T27" s="1026"/>
    </row>
    <row r="28" spans="1:20" s="1025" customFormat="1">
      <c r="A28" s="1030"/>
      <c r="B28" s="1026"/>
      <c r="C28" s="1026"/>
      <c r="D28" s="1026"/>
      <c r="E28" s="1026"/>
      <c r="F28" s="1026"/>
      <c r="G28" s="1028"/>
      <c r="H28" s="1028"/>
      <c r="I28" s="1028"/>
      <c r="J28" s="1028"/>
      <c r="K28" s="1026"/>
      <c r="Q28" s="1026"/>
      <c r="R28" s="1026"/>
      <c r="S28" s="1026"/>
      <c r="T28" s="1026"/>
    </row>
    <row r="29" spans="1:20" s="1025" customFormat="1">
      <c r="A29" s="1030"/>
      <c r="B29" s="1026"/>
      <c r="C29" s="1026"/>
      <c r="D29" s="1026"/>
      <c r="E29" s="1026"/>
      <c r="F29" s="1026"/>
      <c r="G29" s="1028"/>
      <c r="H29" s="1028"/>
      <c r="I29" s="1028"/>
      <c r="J29" s="1028"/>
      <c r="K29" s="1026"/>
      <c r="Q29" s="1026"/>
      <c r="R29" s="1026"/>
      <c r="S29" s="1026"/>
      <c r="T29" s="1026"/>
    </row>
    <row r="30" spans="1:20" s="1025" customFormat="1">
      <c r="A30" s="1030"/>
      <c r="B30" s="1026"/>
      <c r="C30" s="1026"/>
      <c r="D30" s="1026"/>
      <c r="E30" s="1026"/>
      <c r="F30" s="1026"/>
      <c r="G30" s="1028"/>
      <c r="H30" s="1028"/>
      <c r="I30" s="1028"/>
      <c r="J30" s="1028"/>
      <c r="K30" s="1026"/>
      <c r="Q30" s="1026"/>
      <c r="R30" s="1026"/>
      <c r="S30" s="1026"/>
      <c r="T30" s="1026"/>
    </row>
    <row r="31" spans="1:20" s="1025" customFormat="1">
      <c r="A31" s="1030"/>
      <c r="B31" s="1026"/>
      <c r="C31" s="1026"/>
      <c r="D31" s="1026"/>
      <c r="E31" s="1026"/>
      <c r="F31" s="1026"/>
      <c r="G31" s="1028"/>
      <c r="H31" s="1028"/>
      <c r="I31" s="1028"/>
      <c r="J31" s="1028"/>
      <c r="K31" s="1026"/>
      <c r="Q31" s="1026"/>
      <c r="R31" s="1026"/>
      <c r="S31" s="1026"/>
      <c r="T31" s="1026"/>
    </row>
    <row r="32" spans="1:20" s="1025" customFormat="1">
      <c r="A32" s="1030"/>
      <c r="B32" s="1026"/>
      <c r="C32" s="1026"/>
      <c r="D32" s="1026"/>
      <c r="E32" s="1026"/>
      <c r="F32" s="1026"/>
      <c r="G32" s="1028"/>
      <c r="H32" s="1028"/>
      <c r="I32" s="1028"/>
      <c r="J32" s="1028"/>
      <c r="K32" s="1026"/>
      <c r="Q32" s="1026"/>
      <c r="R32" s="1026"/>
      <c r="S32" s="1026"/>
      <c r="T32" s="1026"/>
    </row>
    <row r="33" spans="1:20" s="1025" customFormat="1">
      <c r="A33" s="1026"/>
      <c r="B33" s="1026"/>
      <c r="C33" s="1026"/>
      <c r="D33" s="1026"/>
      <c r="E33" s="1026"/>
      <c r="F33" s="1026"/>
      <c r="G33" s="1028"/>
      <c r="H33" s="1028"/>
      <c r="I33" s="1028"/>
      <c r="J33" s="1028"/>
      <c r="K33" s="1026"/>
      <c r="Q33" s="1026"/>
      <c r="R33" s="1026"/>
      <c r="S33" s="1026"/>
      <c r="T33" s="1026"/>
    </row>
    <row r="34" spans="1:20" s="1025" customFormat="1">
      <c r="A34" s="1028"/>
      <c r="B34" s="1028"/>
      <c r="C34" s="1028"/>
      <c r="D34" s="1028"/>
      <c r="E34" s="1028"/>
      <c r="F34" s="1028"/>
      <c r="G34" s="1028"/>
      <c r="H34" s="1028"/>
      <c r="I34" s="1028"/>
      <c r="J34" s="1028"/>
      <c r="K34" s="1028"/>
      <c r="L34" s="1028"/>
      <c r="M34" s="1028"/>
      <c r="N34" s="1028"/>
      <c r="O34" s="1028"/>
      <c r="P34" s="1028"/>
      <c r="Q34" s="1028"/>
      <c r="R34" s="1028"/>
      <c r="S34" s="1028"/>
      <c r="T34" s="1028"/>
    </row>
    <row r="35" spans="1:20" s="1025" customFormat="1">
      <c r="A35" s="1028"/>
      <c r="B35" s="1028"/>
      <c r="C35" s="1028"/>
      <c r="D35" s="1028"/>
      <c r="E35" s="1028"/>
      <c r="F35" s="1028"/>
      <c r="G35" s="1028"/>
      <c r="H35" s="1028"/>
      <c r="I35" s="1028"/>
      <c r="J35" s="1028"/>
      <c r="K35" s="1028"/>
      <c r="L35" s="1028"/>
      <c r="M35" s="1028"/>
      <c r="N35" s="1028"/>
      <c r="O35" s="1028"/>
      <c r="P35" s="1028"/>
      <c r="Q35" s="1028"/>
      <c r="R35" s="1028"/>
      <c r="S35" s="1028"/>
      <c r="T35" s="1028"/>
    </row>
    <row r="36" spans="1:20" s="1025" customFormat="1">
      <c r="A36" s="1028"/>
      <c r="B36" s="1028"/>
      <c r="C36" s="1028"/>
      <c r="D36" s="1028"/>
      <c r="E36" s="1028"/>
      <c r="F36" s="1028"/>
      <c r="G36" s="1028"/>
      <c r="H36" s="1028"/>
      <c r="I36" s="1028"/>
      <c r="J36" s="1028"/>
      <c r="K36" s="1028"/>
      <c r="L36" s="1028"/>
      <c r="M36" s="1028"/>
      <c r="N36" s="1028"/>
      <c r="O36" s="1028"/>
      <c r="P36" s="1028"/>
      <c r="Q36" s="1028"/>
      <c r="R36" s="1028"/>
      <c r="S36" s="1028"/>
      <c r="T36" s="1028"/>
    </row>
    <row r="37" spans="1:20" s="1025" customFormat="1">
      <c r="A37" s="1026"/>
      <c r="B37" s="1026"/>
      <c r="C37" s="1026"/>
      <c r="D37" s="1026"/>
      <c r="E37" s="1026"/>
      <c r="F37" s="1026"/>
      <c r="G37" s="1028"/>
      <c r="H37" s="1028"/>
      <c r="I37" s="1028"/>
      <c r="J37" s="1028"/>
      <c r="K37" s="1026"/>
      <c r="Q37" s="1026"/>
      <c r="R37" s="1026"/>
      <c r="S37" s="1026"/>
      <c r="T37" s="1026"/>
    </row>
    <row r="38" spans="1:20" s="1025" customFormat="1">
      <c r="A38" s="1039"/>
      <c r="B38" s="1047"/>
      <c r="C38" s="1026"/>
      <c r="D38" s="1026"/>
      <c r="E38" s="1026"/>
      <c r="F38" s="1026"/>
      <c r="G38" s="1028"/>
      <c r="H38" s="1028"/>
      <c r="I38" s="1028"/>
      <c r="J38" s="1028"/>
      <c r="K38" s="1026"/>
      <c r="Q38" s="1026"/>
      <c r="R38" s="1026"/>
      <c r="S38" s="1026"/>
      <c r="T38" s="1026"/>
    </row>
    <row r="39" spans="1:20" s="1025" customFormat="1">
      <c r="A39" s="1030"/>
      <c r="B39" s="1026"/>
      <c r="C39" s="1026"/>
      <c r="D39" s="1026"/>
      <c r="E39" s="1026"/>
      <c r="F39" s="1026"/>
      <c r="G39" s="1028"/>
      <c r="H39" s="1028"/>
      <c r="I39" s="1028"/>
      <c r="J39" s="1028"/>
      <c r="K39" s="1026"/>
      <c r="Q39" s="1026"/>
      <c r="R39" s="1026"/>
      <c r="S39" s="1026"/>
      <c r="T39" s="1026"/>
    </row>
    <row r="40" spans="1:20" s="1025" customFormat="1">
      <c r="A40" s="1030"/>
      <c r="B40" s="1026"/>
      <c r="C40" s="1026"/>
      <c r="D40" s="1026"/>
      <c r="E40" s="1026"/>
      <c r="F40" s="1026"/>
      <c r="G40" s="1028"/>
      <c r="H40" s="1028"/>
      <c r="I40" s="1028"/>
      <c r="J40" s="1028"/>
      <c r="K40" s="1026"/>
      <c r="Q40" s="1026"/>
      <c r="R40" s="1026"/>
      <c r="S40" s="1026"/>
      <c r="T40" s="1026"/>
    </row>
    <row r="41" spans="1:20" s="1025" customFormat="1">
      <c r="A41" s="1030"/>
      <c r="B41" s="1026"/>
      <c r="C41" s="1026"/>
      <c r="D41" s="1026"/>
      <c r="E41" s="1026"/>
      <c r="F41" s="1026"/>
      <c r="G41" s="1028"/>
      <c r="H41" s="1028"/>
      <c r="I41" s="1028"/>
      <c r="J41" s="1028"/>
      <c r="K41" s="1026"/>
      <c r="Q41" s="1026"/>
      <c r="R41" s="1026"/>
      <c r="S41" s="1026"/>
      <c r="T41" s="1026"/>
    </row>
    <row r="42" spans="1:20" s="1025" customFormat="1">
      <c r="A42" s="1030"/>
      <c r="B42" s="1026"/>
      <c r="C42" s="1026"/>
      <c r="D42" s="1026"/>
      <c r="E42" s="1026"/>
      <c r="F42" s="1026"/>
      <c r="G42" s="1028"/>
      <c r="H42" s="1028"/>
      <c r="I42" s="1028"/>
      <c r="J42" s="1028"/>
      <c r="K42" s="1026"/>
      <c r="Q42" s="1026"/>
      <c r="R42" s="1026"/>
      <c r="S42" s="1026"/>
      <c r="T42" s="1026"/>
    </row>
    <row r="43" spans="1:20" s="1025" customFormat="1">
      <c r="A43" s="1030"/>
      <c r="B43" s="1026"/>
      <c r="C43" s="1026"/>
      <c r="D43" s="1026"/>
      <c r="E43" s="1026"/>
      <c r="F43" s="1026"/>
      <c r="G43" s="1028"/>
      <c r="H43" s="1028"/>
      <c r="I43" s="1028"/>
      <c r="J43" s="1028"/>
      <c r="K43" s="1026"/>
      <c r="Q43" s="1026"/>
      <c r="R43" s="1026"/>
      <c r="S43" s="1026"/>
      <c r="T43" s="1026"/>
    </row>
    <row r="44" spans="1:20" s="1025" customFormat="1">
      <c r="A44" s="1030"/>
      <c r="B44" s="1026"/>
      <c r="C44" s="1026"/>
      <c r="D44" s="1026"/>
      <c r="E44" s="1026"/>
      <c r="F44" s="1026"/>
      <c r="G44" s="1028"/>
      <c r="H44" s="1028"/>
      <c r="I44" s="1028"/>
      <c r="J44" s="1028"/>
      <c r="K44" s="1026"/>
      <c r="Q44" s="1026"/>
      <c r="R44" s="1026"/>
      <c r="S44" s="1026"/>
      <c r="T44" s="1026"/>
    </row>
    <row r="45" spans="1:20" s="1025" customFormat="1">
      <c r="A45" s="1030"/>
      <c r="B45" s="1026"/>
      <c r="C45" s="1026"/>
      <c r="D45" s="1026"/>
      <c r="E45" s="1026"/>
      <c r="F45" s="1026"/>
      <c r="G45" s="1028"/>
      <c r="H45" s="1028"/>
      <c r="I45" s="1028"/>
      <c r="J45" s="1028"/>
      <c r="K45" s="1026"/>
      <c r="Q45" s="1026"/>
      <c r="R45" s="1026"/>
      <c r="S45" s="1026"/>
      <c r="T45" s="1026"/>
    </row>
    <row r="46" spans="1:20" s="1025" customFormat="1">
      <c r="A46" s="1030"/>
      <c r="B46" s="1026"/>
      <c r="C46" s="1026"/>
      <c r="D46" s="1026"/>
      <c r="E46" s="1026"/>
      <c r="F46" s="1026"/>
      <c r="G46" s="1028"/>
      <c r="H46" s="1028"/>
      <c r="I46" s="1028"/>
      <c r="J46" s="1028"/>
      <c r="K46" s="1026"/>
      <c r="Q46" s="1026"/>
      <c r="R46" s="1026"/>
      <c r="S46" s="1026"/>
      <c r="T46" s="1026"/>
    </row>
    <row r="47" spans="1:20" s="1025" customFormat="1">
      <c r="A47" s="1030"/>
      <c r="B47" s="1026"/>
      <c r="C47" s="1026"/>
      <c r="D47" s="1026"/>
      <c r="E47" s="1026"/>
      <c r="F47" s="1026"/>
      <c r="G47" s="1028"/>
      <c r="H47" s="1028"/>
      <c r="I47" s="1028"/>
      <c r="J47" s="1028"/>
      <c r="K47" s="1026"/>
      <c r="Q47" s="1026"/>
      <c r="R47" s="1026"/>
      <c r="S47" s="1026"/>
      <c r="T47" s="1026"/>
    </row>
    <row r="48" spans="1:20" s="1025" customFormat="1">
      <c r="A48" s="1026"/>
      <c r="B48" s="1026"/>
      <c r="C48" s="1026"/>
      <c r="D48" s="1026"/>
      <c r="E48" s="1026"/>
      <c r="F48" s="1026"/>
      <c r="G48" s="1028"/>
      <c r="H48" s="1028"/>
      <c r="I48" s="1028"/>
      <c r="J48" s="1028"/>
      <c r="K48" s="1026"/>
      <c r="Q48" s="1026"/>
      <c r="R48" s="1026"/>
      <c r="S48" s="1026"/>
      <c r="T48" s="1026"/>
    </row>
    <row r="49" spans="1:20" s="1025" customFormat="1">
      <c r="A49" s="1026"/>
      <c r="B49" s="1026"/>
      <c r="C49" s="1026"/>
      <c r="D49" s="1026"/>
      <c r="E49" s="1026"/>
      <c r="F49" s="1026"/>
      <c r="G49" s="1028"/>
      <c r="H49" s="1028"/>
      <c r="I49" s="1028"/>
      <c r="J49" s="1028"/>
      <c r="K49" s="1026"/>
      <c r="Q49" s="1026"/>
      <c r="R49" s="1026"/>
      <c r="S49" s="1026"/>
      <c r="T49" s="1026"/>
    </row>
    <row r="50" spans="1:20" s="1025" customFormat="1">
      <c r="A50" s="1031"/>
      <c r="B50" s="1031"/>
      <c r="C50" s="1031"/>
      <c r="D50" s="1026"/>
      <c r="E50" s="1026"/>
      <c r="F50" s="1026"/>
      <c r="G50" s="1028"/>
      <c r="H50" s="1028"/>
      <c r="I50" s="1028"/>
      <c r="J50" s="1028"/>
      <c r="K50" s="1026"/>
      <c r="Q50" s="1031"/>
      <c r="R50" s="1031"/>
      <c r="S50" s="1031"/>
      <c r="T50" s="1026"/>
    </row>
    <row r="51" spans="1:20" s="1025" customFormat="1">
      <c r="A51" s="1026" t="s">
        <v>132</v>
      </c>
      <c r="B51" s="1026"/>
      <c r="C51" s="1026"/>
      <c r="D51" s="1048"/>
      <c r="E51" s="1026"/>
      <c r="F51" s="1026"/>
      <c r="G51" s="1028"/>
      <c r="H51" s="1028"/>
      <c r="I51" s="1028"/>
      <c r="J51" s="1028"/>
      <c r="K51" s="1026"/>
      <c r="Q51" s="1026" t="s">
        <v>132</v>
      </c>
      <c r="R51" s="1026"/>
      <c r="S51" s="1026"/>
      <c r="T51" s="1026"/>
    </row>
    <row r="52" spans="1:20" s="1025" customFormat="1">
      <c r="A52" s="1026" t="s">
        <v>133</v>
      </c>
      <c r="B52" s="1026"/>
      <c r="C52" s="1026"/>
      <c r="D52" s="1026"/>
      <c r="E52" s="1026"/>
      <c r="F52" s="1026"/>
      <c r="G52" s="1028"/>
      <c r="H52" s="1028"/>
      <c r="I52" s="1028"/>
      <c r="J52" s="1028"/>
      <c r="K52" s="1026"/>
      <c r="Q52" s="1026" t="s">
        <v>201</v>
      </c>
      <c r="R52" s="1026"/>
      <c r="S52" s="1026"/>
      <c r="T52" s="1026"/>
    </row>
    <row r="53" spans="1:20" s="1025" customFormat="1" ht="13.8" thickBot="1">
      <c r="B53" s="1026"/>
      <c r="C53" s="1026"/>
      <c r="D53" s="1026"/>
      <c r="E53" s="1026"/>
      <c r="F53" s="1026"/>
      <c r="G53" s="1028"/>
      <c r="H53" s="1028"/>
      <c r="I53" s="1028"/>
      <c r="J53" s="1028"/>
      <c r="K53" s="1026"/>
      <c r="S53" s="1026"/>
      <c r="T53" s="1026"/>
    </row>
    <row r="54" spans="1:20" s="1025" customFormat="1">
      <c r="B54" s="1026"/>
      <c r="C54" s="1026"/>
      <c r="D54" s="1026"/>
      <c r="E54" s="1026"/>
      <c r="F54" s="1026"/>
      <c r="G54" s="1028"/>
      <c r="H54" s="1028"/>
      <c r="I54" s="1028"/>
      <c r="J54" s="1028"/>
      <c r="K54" s="1026"/>
      <c r="Q54" s="1049" t="s">
        <v>202</v>
      </c>
      <c r="R54" s="1050"/>
      <c r="S54" s="1026"/>
      <c r="T54" s="1026"/>
    </row>
    <row r="55" spans="1:20" s="1025" customFormat="1">
      <c r="A55" s="1026"/>
      <c r="B55" s="1026"/>
      <c r="C55" s="1026"/>
      <c r="D55" s="1026"/>
      <c r="E55" s="1026"/>
      <c r="F55" s="1026"/>
      <c r="G55" s="1028"/>
      <c r="H55" s="1028"/>
      <c r="I55" s="1028"/>
      <c r="J55" s="1028"/>
      <c r="K55" s="1026"/>
      <c r="Q55" s="1051" t="s">
        <v>308</v>
      </c>
      <c r="R55" s="1052"/>
      <c r="S55" s="1026"/>
      <c r="T55" s="1026"/>
    </row>
    <row r="56" spans="1:20" s="1025" customFormat="1">
      <c r="A56" s="1026"/>
      <c r="B56" s="1026"/>
      <c r="C56" s="1026"/>
      <c r="D56" s="1026"/>
      <c r="E56" s="1026"/>
      <c r="F56" s="1026"/>
      <c r="G56" s="1028"/>
      <c r="H56" s="1028"/>
      <c r="I56" s="1028"/>
      <c r="J56" s="1028"/>
      <c r="K56" s="1026"/>
      <c r="Q56" s="1051"/>
      <c r="R56" s="1052"/>
      <c r="S56" s="1026"/>
      <c r="T56" s="1026"/>
    </row>
    <row r="57" spans="1:20" s="1025" customFormat="1" ht="13.8" thickBot="1">
      <c r="A57" s="1053"/>
      <c r="B57" s="1026"/>
      <c r="C57" s="1026"/>
      <c r="D57" s="1026"/>
      <c r="E57" s="1026"/>
      <c r="F57" s="1026"/>
      <c r="G57" s="1026"/>
      <c r="H57" s="1026"/>
      <c r="I57" s="1026"/>
      <c r="J57" s="1026"/>
      <c r="K57" s="1026"/>
      <c r="Q57" s="1054" t="s">
        <v>203</v>
      </c>
      <c r="R57" s="1055"/>
      <c r="S57" s="1026"/>
      <c r="T57" s="1026"/>
    </row>
    <row r="58" spans="1:20" s="1025" customFormat="1">
      <c r="A58" s="1056"/>
      <c r="B58" s="1057"/>
      <c r="C58" s="1057"/>
      <c r="D58" s="1057"/>
      <c r="E58" s="1057"/>
      <c r="F58" s="1057"/>
      <c r="G58" s="1026"/>
      <c r="H58" s="1026"/>
      <c r="I58" s="1026"/>
      <c r="J58" s="1026"/>
      <c r="K58" s="1026"/>
    </row>
  </sheetData>
  <sheetProtection formatCells="0" formatColumns="0" formatRows="0" insertColumns="0" insertRows="0"/>
  <mergeCells count="2">
    <mergeCell ref="A1:T1"/>
    <mergeCell ref="A2:T2"/>
  </mergeCells>
  <conditionalFormatting sqref="A1:T1">
    <cfRule type="cellIs" dxfId="20" priority="5" stopIfTrue="1" operator="equal">
      <formula>"PANTA RETAIL LTD."</formula>
    </cfRule>
  </conditionalFormatting>
  <conditionalFormatting sqref="C6:C10">
    <cfRule type="cellIs" dxfId="19" priority="3" stopIfTrue="1" operator="equal">
      <formula>"VAT INCLUDED"</formula>
    </cfRule>
    <cfRule type="cellIs" dxfId="18" priority="4" stopIfTrue="1" operator="equal">
      <formula>"VAT EXCLUDED"</formula>
    </cfRule>
  </conditionalFormatting>
  <conditionalFormatting sqref="F21">
    <cfRule type="cellIs" dxfId="17" priority="1" stopIfTrue="1" operator="equal">
      <formula>"VAT INCLUDED"</formula>
    </cfRule>
    <cfRule type="cellIs" dxfId="16" priority="2" stopIfTrue="1" operator="equal">
      <formula>"VAT EXCLUDED"</formula>
    </cfRule>
  </conditionalFormatting>
  <pageMargins left="0.75" right="0.32" top="0.37" bottom="0.6" header="0.26" footer="0.31"/>
  <pageSetup paperSize="9" orientation="portrait" horizontalDpi="300" verticalDpi="300" r:id="rId1"/>
  <headerFooter alignWithMargins="0"/>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tabColor indexed="10"/>
  </sheetPr>
  <dimension ref="A1:AD176"/>
  <sheetViews>
    <sheetView workbookViewId="0">
      <selection activeCell="F18" sqref="F18"/>
    </sheetView>
  </sheetViews>
  <sheetFormatPr defaultColWidth="9.109375" defaultRowHeight="13.2"/>
  <cols>
    <col min="1" max="1" width="8.44140625" style="35" customWidth="1"/>
    <col min="2" max="2" width="8.44140625" style="125" customWidth="1"/>
    <col min="3" max="3" width="6.6640625" style="35" hidden="1" customWidth="1"/>
    <col min="4" max="6" width="17.109375" style="35" customWidth="1"/>
    <col min="7" max="7" width="9.77734375" style="35" hidden="1" customWidth="1"/>
    <col min="8" max="8" width="7.77734375" style="35" hidden="1" customWidth="1"/>
    <col min="9" max="11" width="8.77734375" style="35" hidden="1" customWidth="1"/>
    <col min="12" max="12" width="6.77734375" style="35" hidden="1" customWidth="1"/>
    <col min="13" max="16" width="8.77734375" style="35" hidden="1" customWidth="1"/>
    <col min="17" max="20" width="11.88671875" style="35" customWidth="1"/>
    <col min="21" max="21" width="8.6640625" style="35" customWidth="1"/>
    <col min="22" max="22" width="9.6640625" style="35" customWidth="1"/>
    <col min="23" max="23" width="10.5546875" style="35" customWidth="1"/>
    <col min="24" max="24" width="17.88671875" style="35" bestFit="1" customWidth="1"/>
    <col min="25" max="25" width="10.5546875" style="35" customWidth="1"/>
    <col min="26" max="26" width="15.6640625" style="35" bestFit="1" customWidth="1"/>
    <col min="27" max="16384" width="9.109375" style="35"/>
  </cols>
  <sheetData>
    <row r="1" spans="1:30" ht="19.5" customHeight="1">
      <c r="B1" s="458" t="s">
        <v>0</v>
      </c>
      <c r="C1" s="455">
        <v>1</v>
      </c>
      <c r="D1" s="1104" t="s">
        <v>950</v>
      </c>
      <c r="E1" s="1104"/>
      <c r="G1" s="456" t="b">
        <v>1</v>
      </c>
      <c r="H1" s="456" t="b">
        <v>1</v>
      </c>
      <c r="I1" s="257">
        <v>1</v>
      </c>
      <c r="J1" s="258">
        <f t="shared" ref="J1:J10" si="0">$Q109</f>
        <v>1</v>
      </c>
      <c r="K1" s="258">
        <f t="shared" ref="K1:K10" si="1">$Q119</f>
        <v>1</v>
      </c>
      <c r="L1" s="258">
        <f t="shared" ref="L1:L10" si="2">$Q129</f>
        <v>1</v>
      </c>
      <c r="M1" s="258">
        <f t="shared" ref="M1:M10" si="3">$Q139</f>
        <v>1</v>
      </c>
      <c r="N1" s="258">
        <f t="shared" ref="N1:N9" si="4">$Q149</f>
        <v>1</v>
      </c>
      <c r="O1" s="258">
        <f t="shared" ref="O1:O6" si="5">$Q159</f>
        <v>1</v>
      </c>
      <c r="P1" s="10"/>
      <c r="Q1" s="423" t="str">
        <f>IF(C1=1,"€","Curr?")</f>
        <v>€</v>
      </c>
      <c r="R1" s="362" t="s">
        <v>235</v>
      </c>
      <c r="S1" s="445" t="str">
        <f>IF($S$39="PRINT","R","Do Not Print")</f>
        <v>R</v>
      </c>
      <c r="T1" s="471">
        <v>1</v>
      </c>
      <c r="V1" s="113">
        <f t="array" ref="V1">IF(OR(X1=AREAS),1,0)</f>
        <v>1</v>
      </c>
      <c r="W1" s="438" t="s">
        <v>196</v>
      </c>
      <c r="X1" s="114" t="s">
        <v>193</v>
      </c>
      <c r="Y1" s="114" t="s">
        <v>193</v>
      </c>
      <c r="Z1" s="114" t="s">
        <v>193</v>
      </c>
      <c r="AA1" s="114" t="s">
        <v>193</v>
      </c>
      <c r="AB1" s="114" t="s">
        <v>193</v>
      </c>
      <c r="AC1" s="114" t="s">
        <v>193</v>
      </c>
      <c r="AD1" s="114" t="s">
        <v>193</v>
      </c>
    </row>
    <row r="2" spans="1:30" ht="21.75" customHeight="1">
      <c r="A2" s="447"/>
      <c r="B2" s="458" t="s">
        <v>2</v>
      </c>
      <c r="C2" s="454">
        <f>IF($D$6="VAT INCLUDED",1.18,1)*(1-$Q2)*$C$1</f>
        <v>1</v>
      </c>
      <c r="D2" s="1104" t="s">
        <v>951</v>
      </c>
      <c r="E2" s="1104"/>
      <c r="F2" s="355" t="s">
        <v>218</v>
      </c>
      <c r="G2" s="456" t="b">
        <v>1</v>
      </c>
      <c r="I2" s="257">
        <v>2</v>
      </c>
      <c r="J2" s="258">
        <f t="shared" si="0"/>
        <v>1</v>
      </c>
      <c r="K2" s="258">
        <f t="shared" si="1"/>
        <v>1</v>
      </c>
      <c r="L2" s="258">
        <f t="shared" si="2"/>
        <v>1</v>
      </c>
      <c r="M2" s="258">
        <f t="shared" si="3"/>
        <v>1</v>
      </c>
      <c r="N2" s="258">
        <f t="shared" si="4"/>
        <v>1</v>
      </c>
      <c r="O2" s="258">
        <f t="shared" si="5"/>
        <v>1</v>
      </c>
      <c r="P2" s="10"/>
      <c r="Q2" s="301"/>
      <c r="R2" s="319" t="str">
        <f>"A) " &amp; IF($S2=0,"",ROUND($S2,2) &amp; "-" &amp; ROUND($T2/$D$9,2))</f>
        <v>A) 1-1</v>
      </c>
      <c r="S2" s="292">
        <v>1</v>
      </c>
      <c r="T2" s="292">
        <f>$S2*$D$9</f>
        <v>27.46</v>
      </c>
      <c r="V2" s="122"/>
      <c r="W2" s="122"/>
      <c r="X2" s="114" t="s">
        <v>193</v>
      </c>
      <c r="Y2" s="114" t="s">
        <v>193</v>
      </c>
      <c r="Z2" s="114" t="s">
        <v>193</v>
      </c>
      <c r="AA2" s="114" t="s">
        <v>193</v>
      </c>
      <c r="AB2" s="114" t="s">
        <v>193</v>
      </c>
      <c r="AC2" s="114" t="s">
        <v>193</v>
      </c>
      <c r="AD2" s="114" t="s">
        <v>193</v>
      </c>
    </row>
    <row r="3" spans="1:30" ht="21" customHeight="1">
      <c r="A3" s="448"/>
      <c r="B3" s="458" t="s">
        <v>4</v>
      </c>
      <c r="C3" s="454">
        <f t="shared" ref="C3:C12" si="6">IF($D$6="VAT INCLUDED",1.18,1)*(1-$Q3)*$C$1</f>
        <v>1</v>
      </c>
      <c r="D3" s="1104" t="s">
        <v>991</v>
      </c>
      <c r="E3" s="1104"/>
      <c r="F3" s="355" t="s">
        <v>942</v>
      </c>
      <c r="G3" s="456" t="b">
        <v>1</v>
      </c>
      <c r="I3" s="257">
        <v>3</v>
      </c>
      <c r="J3" s="258">
        <f t="shared" si="0"/>
        <v>1</v>
      </c>
      <c r="K3" s="258">
        <f t="shared" si="1"/>
        <v>1</v>
      </c>
      <c r="L3" s="258">
        <f t="shared" si="2"/>
        <v>1</v>
      </c>
      <c r="M3" s="258">
        <f t="shared" si="3"/>
        <v>1</v>
      </c>
      <c r="N3" s="258">
        <f t="shared" si="4"/>
        <v>1</v>
      </c>
      <c r="O3" s="258">
        <f t="shared" si="5"/>
        <v>1</v>
      </c>
      <c r="P3" s="10"/>
      <c r="Q3" s="301"/>
      <c r="R3" s="320" t="str">
        <f>"B) " &amp; IF($S3=0,"",ROUND($S3,2) &amp; "-" &amp; ROUND($T3/$D$9,2))</f>
        <v>B) 1-1</v>
      </c>
      <c r="S3" s="292">
        <v>1</v>
      </c>
      <c r="T3" s="292">
        <f t="shared" ref="T3:T11" si="7">$S3*$D$9</f>
        <v>27.46</v>
      </c>
      <c r="V3" s="122"/>
      <c r="W3" s="122"/>
      <c r="X3" s="114" t="s">
        <v>193</v>
      </c>
      <c r="Y3" s="114" t="s">
        <v>193</v>
      </c>
      <c r="Z3" s="114" t="s">
        <v>193</v>
      </c>
      <c r="AA3" s="114" t="s">
        <v>193</v>
      </c>
      <c r="AB3" s="114" t="s">
        <v>193</v>
      </c>
      <c r="AC3" s="114" t="s">
        <v>193</v>
      </c>
      <c r="AD3" s="114" t="s">
        <v>193</v>
      </c>
    </row>
    <row r="4" spans="1:30" ht="15.75" customHeight="1">
      <c r="A4" s="449"/>
      <c r="B4" s="459" t="s">
        <v>275</v>
      </c>
      <c r="C4" s="376">
        <f t="shared" si="6"/>
        <v>1</v>
      </c>
      <c r="D4" s="12" t="s">
        <v>987</v>
      </c>
      <c r="E4" s="278"/>
      <c r="F4" s="355"/>
      <c r="G4" s="456" t="b">
        <v>1</v>
      </c>
      <c r="I4" s="257">
        <v>4</v>
      </c>
      <c r="J4" s="258">
        <f t="shared" si="0"/>
        <v>1</v>
      </c>
      <c r="K4" s="258">
        <f t="shared" si="1"/>
        <v>1</v>
      </c>
      <c r="L4" s="258">
        <f t="shared" si="2"/>
        <v>1</v>
      </c>
      <c r="M4" s="258">
        <f t="shared" si="3"/>
        <v>1</v>
      </c>
      <c r="N4" s="258">
        <f t="shared" si="4"/>
        <v>1</v>
      </c>
      <c r="O4" s="258">
        <f t="shared" si="5"/>
        <v>1</v>
      </c>
      <c r="P4" s="10"/>
      <c r="Q4" s="301"/>
      <c r="R4" s="321" t="str">
        <f>"C) " &amp; IF($S4=0,"",ROUND($S4,2) &amp; "-" &amp; ROUND($T4/$D$9,2))</f>
        <v>C) 1-1</v>
      </c>
      <c r="S4" s="292">
        <v>1</v>
      </c>
      <c r="T4" s="292">
        <f t="shared" si="7"/>
        <v>27.46</v>
      </c>
      <c r="V4" s="122"/>
      <c r="W4" s="122"/>
      <c r="X4" s="114" t="s">
        <v>193</v>
      </c>
      <c r="Y4" s="114" t="s">
        <v>193</v>
      </c>
      <c r="Z4" s="114" t="s">
        <v>193</v>
      </c>
      <c r="AA4" s="114" t="s">
        <v>193</v>
      </c>
      <c r="AB4" s="114" t="s">
        <v>193</v>
      </c>
      <c r="AC4" s="114" t="s">
        <v>193</v>
      </c>
      <c r="AD4" s="114" t="s">
        <v>193</v>
      </c>
    </row>
    <row r="5" spans="1:30" ht="13.8">
      <c r="A5" s="447"/>
      <c r="B5" s="460" t="s">
        <v>206</v>
      </c>
      <c r="C5" s="376">
        <f t="shared" si="6"/>
        <v>1</v>
      </c>
      <c r="D5" s="12" t="s">
        <v>306</v>
      </c>
      <c r="E5" s="302"/>
      <c r="F5" s="355"/>
      <c r="G5" s="456" t="b">
        <v>1</v>
      </c>
      <c r="I5" s="257">
        <v>5</v>
      </c>
      <c r="J5" s="258">
        <f t="shared" si="0"/>
        <v>1</v>
      </c>
      <c r="K5" s="258">
        <f t="shared" si="1"/>
        <v>1</v>
      </c>
      <c r="L5" s="258">
        <f t="shared" si="2"/>
        <v>1</v>
      </c>
      <c r="M5" s="258">
        <f t="shared" si="3"/>
        <v>1</v>
      </c>
      <c r="N5" s="258">
        <f t="shared" si="4"/>
        <v>1</v>
      </c>
      <c r="O5" s="258">
        <f t="shared" si="5"/>
        <v>1</v>
      </c>
      <c r="P5" s="11"/>
      <c r="Q5" s="301"/>
      <c r="R5" s="322" t="str">
        <f>"D) " &amp; IF($S5=0,"",ROUND($S5,2) &amp; "-" &amp; ROUND($T5/$D$9,2))</f>
        <v>D) 1-1</v>
      </c>
      <c r="S5" s="292">
        <v>1</v>
      </c>
      <c r="T5" s="292">
        <f t="shared" si="7"/>
        <v>27.46</v>
      </c>
      <c r="V5" s="122"/>
      <c r="W5" s="122"/>
      <c r="X5" s="114" t="s">
        <v>193</v>
      </c>
      <c r="Y5" s="114" t="s">
        <v>193</v>
      </c>
      <c r="Z5" s="114" t="s">
        <v>193</v>
      </c>
      <c r="AA5" s="114" t="s">
        <v>193</v>
      </c>
      <c r="AB5" s="114" t="s">
        <v>193</v>
      </c>
      <c r="AC5" s="114" t="s">
        <v>193</v>
      </c>
      <c r="AD5" s="114" t="s">
        <v>193</v>
      </c>
    </row>
    <row r="6" spans="1:30" ht="13.8">
      <c r="A6" s="449"/>
      <c r="B6" s="460" t="s">
        <v>271</v>
      </c>
      <c r="C6" s="376">
        <f t="shared" si="6"/>
        <v>1</v>
      </c>
      <c r="D6" s="377" t="s">
        <v>230</v>
      </c>
      <c r="E6"/>
      <c r="F6" s="355"/>
      <c r="G6" s="456" t="b">
        <v>1</v>
      </c>
      <c r="I6" s="257">
        <v>6</v>
      </c>
      <c r="J6" s="258">
        <f t="shared" si="0"/>
        <v>1</v>
      </c>
      <c r="K6" s="258">
        <f t="shared" si="1"/>
        <v>1</v>
      </c>
      <c r="L6" s="258">
        <f t="shared" si="2"/>
        <v>1</v>
      </c>
      <c r="M6" s="258">
        <f t="shared" si="3"/>
        <v>1</v>
      </c>
      <c r="N6" s="258">
        <f t="shared" si="4"/>
        <v>1</v>
      </c>
      <c r="O6" s="258">
        <f t="shared" si="5"/>
        <v>1</v>
      </c>
      <c r="P6" s="11"/>
      <c r="Q6" s="301"/>
      <c r="R6" s="323" t="str">
        <f>"E) " &amp; IF($S6=0,"",ROUND($S6,2) &amp; "-" &amp; ROUND($T6/$D$9,2))</f>
        <v>E) 1-1</v>
      </c>
      <c r="S6" s="292">
        <v>1</v>
      </c>
      <c r="T6" s="292">
        <f t="shared" si="7"/>
        <v>27.46</v>
      </c>
      <c r="V6" s="122"/>
      <c r="W6" s="122"/>
      <c r="X6" s="114" t="s">
        <v>193</v>
      </c>
      <c r="Y6" s="114" t="s">
        <v>193</v>
      </c>
      <c r="Z6" s="114" t="s">
        <v>193</v>
      </c>
      <c r="AA6" s="114" t="s">
        <v>193</v>
      </c>
      <c r="AB6" s="114" t="s">
        <v>193</v>
      </c>
      <c r="AC6" s="114" t="s">
        <v>193</v>
      </c>
      <c r="AD6" s="114" t="s">
        <v>193</v>
      </c>
    </row>
    <row r="7" spans="1:30" ht="13.8">
      <c r="A7" s="449"/>
      <c r="B7" s="460" t="s">
        <v>12</v>
      </c>
      <c r="C7" s="376">
        <f t="shared" si="6"/>
        <v>1</v>
      </c>
      <c r="D7" s="13" t="s">
        <v>948</v>
      </c>
      <c r="E7"/>
      <c r="F7" s="355"/>
      <c r="G7" s="456" t="b">
        <v>1</v>
      </c>
      <c r="I7" s="257">
        <v>7</v>
      </c>
      <c r="J7" s="258">
        <f t="shared" si="0"/>
        <v>1</v>
      </c>
      <c r="K7" s="258">
        <f t="shared" si="1"/>
        <v>1</v>
      </c>
      <c r="L7" s="258">
        <f t="shared" si="2"/>
        <v>1</v>
      </c>
      <c r="M7" s="258">
        <f t="shared" si="3"/>
        <v>1</v>
      </c>
      <c r="N7" s="258">
        <f t="shared" si="4"/>
        <v>1</v>
      </c>
      <c r="O7" s="258"/>
      <c r="P7" s="124"/>
      <c r="Q7" s="301"/>
      <c r="R7" s="324" t="str">
        <f>"F) " &amp; IF($S7=0,"",ROUND($S7,2) &amp; "-" &amp; ROUND($T7/$D$9,2))</f>
        <v>F) 1-1</v>
      </c>
      <c r="S7" s="292">
        <v>1</v>
      </c>
      <c r="T7" s="292">
        <f t="shared" si="7"/>
        <v>27.46</v>
      </c>
      <c r="V7" s="122"/>
      <c r="W7" s="122"/>
      <c r="X7" s="114" t="s">
        <v>193</v>
      </c>
      <c r="Y7" s="114" t="s">
        <v>193</v>
      </c>
      <c r="Z7" s="114" t="s">
        <v>193</v>
      </c>
      <c r="AA7" s="114" t="s">
        <v>193</v>
      </c>
      <c r="AB7" s="114" t="s">
        <v>193</v>
      </c>
      <c r="AC7" s="114" t="s">
        <v>193</v>
      </c>
      <c r="AD7" s="114" t="s">
        <v>193</v>
      </c>
    </row>
    <row r="8" spans="1:30" ht="13.8">
      <c r="A8" s="447"/>
      <c r="B8" s="460" t="s">
        <v>14</v>
      </c>
      <c r="C8" s="376">
        <f t="shared" si="6"/>
        <v>1</v>
      </c>
      <c r="D8" s="14" t="s">
        <v>949</v>
      </c>
      <c r="E8"/>
      <c r="F8" s="355"/>
      <c r="G8" s="456" t="b">
        <v>1</v>
      </c>
      <c r="I8" s="257">
        <v>8</v>
      </c>
      <c r="J8" s="258">
        <f t="shared" si="0"/>
        <v>1</v>
      </c>
      <c r="K8" s="258">
        <f t="shared" si="1"/>
        <v>1</v>
      </c>
      <c r="L8" s="258">
        <f t="shared" si="2"/>
        <v>1</v>
      </c>
      <c r="M8" s="258">
        <f t="shared" si="3"/>
        <v>1</v>
      </c>
      <c r="N8" s="258">
        <f t="shared" si="4"/>
        <v>1</v>
      </c>
      <c r="O8" s="258"/>
      <c r="P8" s="15"/>
      <c r="Q8" s="301"/>
      <c r="R8" s="325" t="str">
        <f>"G) " &amp; IF($S8=0,"",ROUND($S8,2) &amp; "-" &amp; ROUND($T8/$D$9,2))</f>
        <v>G) 1-1</v>
      </c>
      <c r="S8" s="292">
        <v>1</v>
      </c>
      <c r="T8" s="292">
        <f>$S8*$D$9</f>
        <v>27.46</v>
      </c>
      <c r="V8" s="122"/>
      <c r="W8" s="122"/>
      <c r="X8" s="114" t="s">
        <v>193</v>
      </c>
      <c r="Y8" s="114" t="s">
        <v>193</v>
      </c>
      <c r="Z8" s="114" t="s">
        <v>193</v>
      </c>
      <c r="AA8" s="114" t="s">
        <v>193</v>
      </c>
      <c r="AB8" s="114" t="s">
        <v>193</v>
      </c>
      <c r="AC8" s="114" t="s">
        <v>193</v>
      </c>
      <c r="AD8" s="114" t="s">
        <v>193</v>
      </c>
    </row>
    <row r="9" spans="1:30" ht="13.8">
      <c r="A9" s="449"/>
      <c r="B9" s="460" t="s">
        <v>272</v>
      </c>
      <c r="C9" s="376">
        <f t="shared" si="6"/>
        <v>1</v>
      </c>
      <c r="D9" s="602">
        <v>27.46</v>
      </c>
      <c r="E9" s="121"/>
      <c r="F9" s="355"/>
      <c r="G9" s="456" t="b">
        <v>1</v>
      </c>
      <c r="I9" s="257">
        <v>9</v>
      </c>
      <c r="J9" s="258">
        <f t="shared" si="0"/>
        <v>1</v>
      </c>
      <c r="K9" s="258">
        <f t="shared" si="1"/>
        <v>1</v>
      </c>
      <c r="L9" s="258">
        <f t="shared" si="2"/>
        <v>1</v>
      </c>
      <c r="M9" s="258">
        <f t="shared" si="3"/>
        <v>1</v>
      </c>
      <c r="N9" s="258">
        <f t="shared" si="4"/>
        <v>1</v>
      </c>
      <c r="O9" s="258"/>
      <c r="P9" s="15"/>
      <c r="Q9" s="301"/>
      <c r="R9" s="326" t="str">
        <f>"H) " &amp; IF($S9=0,"",ROUND($S9,2) &amp; "-" &amp; ROUND($T9/$D$9,2))</f>
        <v>H) 1-1</v>
      </c>
      <c r="S9" s="292">
        <v>1</v>
      </c>
      <c r="T9" s="292">
        <f t="shared" si="7"/>
        <v>27.46</v>
      </c>
      <c r="V9" s="612"/>
      <c r="W9" s="122"/>
      <c r="X9" s="114" t="s">
        <v>193</v>
      </c>
      <c r="Y9" s="114" t="s">
        <v>193</v>
      </c>
      <c r="Z9" s="114" t="s">
        <v>193</v>
      </c>
      <c r="AA9" s="114" t="s">
        <v>193</v>
      </c>
      <c r="AB9" s="114" t="s">
        <v>193</v>
      </c>
      <c r="AC9" s="114" t="s">
        <v>193</v>
      </c>
      <c r="AD9" s="114" t="s">
        <v>193</v>
      </c>
    </row>
    <row r="10" spans="1:30" ht="13.8">
      <c r="A10" s="449"/>
      <c r="B10" s="461"/>
      <c r="C10" s="376">
        <f t="shared" si="6"/>
        <v>1</v>
      </c>
      <c r="E10" s="121"/>
      <c r="F10" s="355"/>
      <c r="G10" s="456" t="b">
        <v>1</v>
      </c>
      <c r="I10" s="257">
        <v>10</v>
      </c>
      <c r="J10" s="258">
        <f t="shared" si="0"/>
        <v>1</v>
      </c>
      <c r="K10" s="258">
        <f t="shared" si="1"/>
        <v>1</v>
      </c>
      <c r="L10" s="258">
        <f t="shared" si="2"/>
        <v>1</v>
      </c>
      <c r="M10" s="258">
        <f t="shared" si="3"/>
        <v>1</v>
      </c>
      <c r="N10" s="258">
        <f>$Q158</f>
        <v>1</v>
      </c>
      <c r="O10" s="258">
        <f>Q108</f>
        <v>1</v>
      </c>
      <c r="P10" s="15"/>
      <c r="Q10" s="301"/>
      <c r="R10" s="327" t="str">
        <f>" I) " &amp; IF($S10=0,"",ROUND($S10,2) &amp; "-" &amp; ROUND($T10/$D$9,2))</f>
        <v xml:space="preserve"> I) 1-1</v>
      </c>
      <c r="S10" s="292">
        <v>1</v>
      </c>
      <c r="T10" s="292">
        <f t="shared" si="7"/>
        <v>27.46</v>
      </c>
      <c r="V10" s="122"/>
      <c r="W10" s="122"/>
      <c r="X10" s="114" t="s">
        <v>193</v>
      </c>
      <c r="Y10" s="114" t="s">
        <v>193</v>
      </c>
      <c r="Z10" s="114" t="s">
        <v>193</v>
      </c>
      <c r="AA10" s="114" t="s">
        <v>193</v>
      </c>
      <c r="AB10" s="114" t="s">
        <v>193</v>
      </c>
      <c r="AC10" s="114" t="s">
        <v>193</v>
      </c>
      <c r="AD10" s="114" t="s">
        <v>193</v>
      </c>
    </row>
    <row r="11" spans="1:30" ht="13.8">
      <c r="A11" s="450"/>
      <c r="B11" s="462"/>
      <c r="C11" s="376">
        <f t="shared" si="6"/>
        <v>1</v>
      </c>
      <c r="D11"/>
      <c r="E11"/>
      <c r="F11" s="451"/>
      <c r="H11"/>
      <c r="I11" s="259"/>
      <c r="J11" s="259"/>
      <c r="K11" s="259"/>
      <c r="L11" s="259"/>
      <c r="M11" s="259"/>
      <c r="N11" s="259"/>
      <c r="O11" s="259"/>
      <c r="P11" s="120"/>
      <c r="Q11" s="301"/>
      <c r="R11" s="328" t="str">
        <f>"J) " &amp; IF($S11=0,"",ROUND($S11,2) &amp; "-" &amp; ROUND($T11/$D$9,2))</f>
        <v>J) 1-1</v>
      </c>
      <c r="S11" s="292">
        <v>1</v>
      </c>
      <c r="T11" s="292">
        <f t="shared" si="7"/>
        <v>27.46</v>
      </c>
      <c r="X11" s="114" t="s">
        <v>193</v>
      </c>
      <c r="Y11" s="114" t="s">
        <v>193</v>
      </c>
      <c r="Z11" s="114" t="s">
        <v>193</v>
      </c>
      <c r="AA11" s="114" t="s">
        <v>193</v>
      </c>
      <c r="AB11" s="114" t="s">
        <v>193</v>
      </c>
      <c r="AC11" s="114" t="s">
        <v>193</v>
      </c>
      <c r="AD11" s="114" t="s">
        <v>193</v>
      </c>
    </row>
    <row r="12" spans="1:30" ht="12.75" customHeight="1" thickBot="1">
      <c r="A12" s="447"/>
      <c r="B12"/>
      <c r="C12" s="376">
        <f t="shared" si="6"/>
        <v>1</v>
      </c>
      <c r="D12" s="311"/>
      <c r="E12" s="312"/>
      <c r="F12" s="356"/>
      <c r="G12" s="277" t="s">
        <v>29</v>
      </c>
      <c r="H12" s="277" t="s">
        <v>29</v>
      </c>
      <c r="I12" s="277" t="s">
        <v>29</v>
      </c>
      <c r="J12" s="277" t="s">
        <v>29</v>
      </c>
      <c r="K12" s="277" t="s">
        <v>29</v>
      </c>
      <c r="L12" s="277" t="s">
        <v>29</v>
      </c>
      <c r="M12" s="277" t="s">
        <v>29</v>
      </c>
      <c r="N12" s="277" t="s">
        <v>29</v>
      </c>
      <c r="O12" s="277" t="s">
        <v>29</v>
      </c>
      <c r="P12" s="277" t="s">
        <v>29</v>
      </c>
      <c r="Q12" s="393"/>
      <c r="R12" s="360" t="s">
        <v>236</v>
      </c>
      <c r="S12" s="424" t="s">
        <v>31</v>
      </c>
      <c r="T12" s="425" t="s">
        <v>32</v>
      </c>
      <c r="X12" s="114" t="s">
        <v>193</v>
      </c>
      <c r="Y12" s="114" t="s">
        <v>193</v>
      </c>
      <c r="Z12" s="114" t="s">
        <v>193</v>
      </c>
      <c r="AA12" s="114" t="s">
        <v>193</v>
      </c>
      <c r="AB12" s="114" t="s">
        <v>193</v>
      </c>
      <c r="AC12" s="114" t="s">
        <v>193</v>
      </c>
      <c r="AD12" s="114" t="s">
        <v>193</v>
      </c>
    </row>
    <row r="13" spans="1:30" ht="17.25" customHeight="1" thickBot="1">
      <c r="A13" s="387"/>
      <c r="B13" s="388" t="s">
        <v>244</v>
      </c>
      <c r="C13" s="389"/>
      <c r="D13" s="390"/>
      <c r="E13" s="391"/>
      <c r="F13" s="392"/>
      <c r="G13" s="313" t="s">
        <v>226</v>
      </c>
      <c r="H13" s="314" t="s">
        <v>227</v>
      </c>
      <c r="I13" s="315" t="s">
        <v>21</v>
      </c>
      <c r="J13" s="315" t="s">
        <v>22</v>
      </c>
      <c r="K13" s="316" t="s">
        <v>23</v>
      </c>
      <c r="L13" s="313" t="s">
        <v>24</v>
      </c>
      <c r="M13" s="313" t="s">
        <v>25</v>
      </c>
      <c r="N13" s="314" t="s">
        <v>228</v>
      </c>
      <c r="O13" s="313" t="s">
        <v>27</v>
      </c>
      <c r="P13" s="317" t="s">
        <v>28</v>
      </c>
      <c r="Q13" s="385" t="s">
        <v>224</v>
      </c>
      <c r="R13" s="361" t="s">
        <v>237</v>
      </c>
      <c r="S13" s="426" t="s">
        <v>263</v>
      </c>
      <c r="T13" s="463">
        <f>SUM(Q108:Q164)/57</f>
        <v>1</v>
      </c>
      <c r="X13" s="114"/>
      <c r="Y13" s="114"/>
      <c r="Z13" s="114"/>
      <c r="AA13" s="114"/>
      <c r="AB13" s="114"/>
      <c r="AC13" s="114"/>
      <c r="AD13" s="114"/>
    </row>
    <row r="14" spans="1:30" ht="27.75" customHeight="1">
      <c r="A14" s="123"/>
      <c r="B14" s="1106" t="str">
        <f>IF($D$6&lt;&gt;"VAT EXCL.", "QUOTE ISSUED WITH                    VAT INCLUDED", "")</f>
        <v/>
      </c>
      <c r="C14" s="1106"/>
      <c r="D14" s="1106"/>
      <c r="E14" s="1106"/>
      <c r="F14" s="6"/>
      <c r="G14" s="6"/>
      <c r="H14" s="6"/>
      <c r="I14" s="6"/>
      <c r="J14" s="6"/>
      <c r="K14" s="6"/>
      <c r="L14" s="6"/>
      <c r="M14" s="6"/>
      <c r="N14" s="6"/>
      <c r="O14" s="6"/>
      <c r="P14" s="6"/>
      <c r="Q14" s="6"/>
      <c r="R14" s="126"/>
      <c r="S14"/>
      <c r="T14" s="127"/>
      <c r="X14" s="114" t="s">
        <v>193</v>
      </c>
      <c r="Y14" s="114" t="s">
        <v>193</v>
      </c>
      <c r="Z14" s="114" t="s">
        <v>193</v>
      </c>
      <c r="AA14" s="114" t="s">
        <v>193</v>
      </c>
      <c r="AB14" s="114" t="s">
        <v>193</v>
      </c>
      <c r="AC14" s="114" t="s">
        <v>193</v>
      </c>
      <c r="AD14" s="114" t="s">
        <v>193</v>
      </c>
    </row>
    <row r="15" spans="1:30" ht="14.25" customHeight="1">
      <c r="A15" s="300"/>
      <c r="B15" s="1106"/>
      <c r="C15" s="1106"/>
      <c r="D15" s="1106"/>
      <c r="E15" s="1106"/>
      <c r="F15" s="300"/>
      <c r="G15" s="300"/>
      <c r="H15" s="300"/>
      <c r="I15" s="300"/>
      <c r="J15" s="300"/>
      <c r="K15" s="300"/>
      <c r="L15" s="300"/>
      <c r="M15" s="300"/>
      <c r="N15" s="300"/>
      <c r="O15" s="300"/>
      <c r="P15" s="300"/>
      <c r="Q15" s="404">
        <f ca="1">(C72-F35)/C72</f>
        <v>0</v>
      </c>
      <c r="R15" s="287" t="s">
        <v>242</v>
      </c>
      <c r="S15" s="285"/>
      <c r="T15" s="286"/>
      <c r="X15" s="114" t="s">
        <v>193</v>
      </c>
      <c r="Y15" s="114" t="s">
        <v>193</v>
      </c>
      <c r="Z15" s="114" t="s">
        <v>193</v>
      </c>
      <c r="AA15" s="114" t="s">
        <v>193</v>
      </c>
      <c r="AB15" s="114" t="s">
        <v>193</v>
      </c>
      <c r="AC15" s="114" t="s">
        <v>193</v>
      </c>
      <c r="AD15" s="114" t="s">
        <v>193</v>
      </c>
    </row>
    <row r="16" spans="1:30" ht="13.5" customHeight="1">
      <c r="A16" s="123"/>
      <c r="B16" s="1105" t="str">
        <f>IF($W$1&lt;&gt;"BOQ", "DIFF SET TO " &amp; W1,"")</f>
        <v/>
      </c>
      <c r="C16" s="1105"/>
      <c r="D16" s="1105"/>
      <c r="E16" s="1105"/>
      <c r="F16" s="121"/>
      <c r="G16" s="121"/>
      <c r="H16" s="121"/>
      <c r="I16" s="121"/>
      <c r="J16" s="121"/>
      <c r="K16" s="121"/>
      <c r="L16" s="121"/>
      <c r="M16" s="121"/>
      <c r="N16" s="121"/>
      <c r="O16" s="121"/>
      <c r="P16" s="121"/>
      <c r="Q16" s="405">
        <f ca="1">(F35-E35)/F35</f>
        <v>0.59118042985888131</v>
      </c>
      <c r="R16" s="293" t="s">
        <v>243</v>
      </c>
      <c r="S16" s="294"/>
      <c r="T16" s="295"/>
      <c r="X16" s="114" t="s">
        <v>193</v>
      </c>
      <c r="Y16" s="114" t="s">
        <v>193</v>
      </c>
      <c r="Z16" s="114" t="s">
        <v>193</v>
      </c>
      <c r="AA16" s="114" t="s">
        <v>193</v>
      </c>
      <c r="AB16" s="114" t="s">
        <v>193</v>
      </c>
      <c r="AC16" s="114" t="s">
        <v>193</v>
      </c>
      <c r="AD16" s="114" t="s">
        <v>193</v>
      </c>
    </row>
    <row r="17" spans="1:24" ht="13.5" customHeight="1">
      <c r="B17" s="1105"/>
      <c r="C17" s="1105"/>
      <c r="D17" s="1105"/>
      <c r="E17" s="1105"/>
      <c r="G17" s="7"/>
      <c r="H17" s="7"/>
      <c r="I17" s="7"/>
      <c r="J17" s="7"/>
      <c r="K17" s="7"/>
      <c r="L17" s="7"/>
      <c r="M17" s="7"/>
      <c r="N17" s="7"/>
      <c r="O17" s="7"/>
      <c r="P17" s="7"/>
      <c r="Q17" s="406">
        <f ca="1">F74</f>
        <v>0.59118042985888131</v>
      </c>
      <c r="R17" s="296" t="s">
        <v>240</v>
      </c>
      <c r="S17" s="297"/>
      <c r="T17" s="344"/>
    </row>
    <row r="18" spans="1:24" ht="18.75" customHeight="1">
      <c r="A18" s="364"/>
      <c r="B18" s="1090" t="str">
        <f>IF(AND(G1,G2,G3,G4,G5,G6,G7,G8,G9,G10,H1)=TRUE, "", "CHECKLIST INCOMPLETE !" )</f>
        <v/>
      </c>
      <c r="C18" s="1090"/>
      <c r="D18" s="1090"/>
      <c r="E18" s="1090"/>
      <c r="F18" s="364"/>
      <c r="G18"/>
      <c r="H18"/>
      <c r="I18"/>
      <c r="J18"/>
      <c r="K18"/>
      <c r="L18"/>
      <c r="M18"/>
      <c r="N18"/>
      <c r="O18"/>
      <c r="P18"/>
      <c r="Q18" s="1102"/>
      <c r="R18" s="1102"/>
      <c r="S18" s="1102"/>
      <c r="T18" s="1102"/>
      <c r="V18" s="601"/>
    </row>
    <row r="19" spans="1:24" ht="18" customHeight="1">
      <c r="B19" s="1103" t="str">
        <f ca="1">IF(ABS(SUM(A23:A32))&gt;100,"[Discy A-J] are high, Check it out."," ")</f>
        <v xml:space="preserve"> </v>
      </c>
      <c r="C19" s="1103"/>
      <c r="D19" s="1103"/>
      <c r="E19" s="1103"/>
      <c r="G19"/>
      <c r="H19"/>
      <c r="I19"/>
      <c r="J19"/>
      <c r="K19"/>
      <c r="L19"/>
      <c r="M19"/>
      <c r="N19"/>
      <c r="O19"/>
      <c r="P19"/>
      <c r="Q19" s="407">
        <f ca="1">R83</f>
        <v>0.40883224849941774</v>
      </c>
      <c r="R19" s="296" t="s">
        <v>241</v>
      </c>
      <c r="S19" s="371"/>
      <c r="T19" s="372"/>
    </row>
    <row r="20" spans="1:24" ht="12.75" customHeight="1">
      <c r="A20" s="453"/>
      <c r="B20" s="453"/>
      <c r="C20" s="453"/>
      <c r="D20" s="453"/>
      <c r="E20" s="453"/>
      <c r="F20"/>
      <c r="G20"/>
      <c r="H20"/>
      <c r="I20"/>
      <c r="J20"/>
      <c r="K20"/>
      <c r="L20"/>
      <c r="M20"/>
      <c r="N20"/>
      <c r="O20"/>
      <c r="P20"/>
      <c r="Q20"/>
      <c r="R20"/>
      <c r="S20"/>
      <c r="T20"/>
    </row>
    <row r="21" spans="1:24" ht="13.8">
      <c r="A21"/>
      <c r="B21" s="129"/>
      <c r="C21" s="130"/>
      <c r="D21" s="288"/>
      <c r="E21" s="298" t="s">
        <v>220</v>
      </c>
      <c r="F21" s="279" t="s">
        <v>33</v>
      </c>
      <c r="G21" s="80"/>
      <c r="H21" s="80"/>
      <c r="I21" s="80"/>
      <c r="J21" s="80"/>
      <c r="K21" s="80"/>
      <c r="L21" s="80"/>
      <c r="M21" s="80"/>
      <c r="N21" s="80"/>
      <c r="O21" s="80"/>
      <c r="P21" s="80"/>
      <c r="Q21" s="289" t="s">
        <v>222</v>
      </c>
      <c r="R21" s="279" t="s">
        <v>34</v>
      </c>
      <c r="S21" s="80"/>
      <c r="T21" s="279" t="s">
        <v>35</v>
      </c>
      <c r="V21"/>
      <c r="W21"/>
      <c r="X21"/>
    </row>
    <row r="22" spans="1:24">
      <c r="A22" s="358" t="s">
        <v>231</v>
      </c>
      <c r="B22" s="318" t="s">
        <v>223</v>
      </c>
      <c r="C22"/>
      <c r="D22" s="288"/>
      <c r="E22" s="299" t="str">
        <f>"SELLING  " &amp; $Q$1</f>
        <v>SELLING  €</v>
      </c>
      <c r="F22" s="411" t="str">
        <f>$Q$1</f>
        <v>€</v>
      </c>
      <c r="G22" s="281" t="s">
        <v>285</v>
      </c>
      <c r="H22" s="509" t="s">
        <v>282</v>
      </c>
      <c r="I22" s="509" t="s">
        <v>283</v>
      </c>
      <c r="J22" s="510" t="s">
        <v>284</v>
      </c>
      <c r="K22" s="281"/>
      <c r="L22" s="281"/>
      <c r="M22" s="281"/>
      <c r="N22" s="281"/>
      <c r="O22" s="281"/>
      <c r="P22" s="281"/>
      <c r="Q22" s="290" t="s">
        <v>221</v>
      </c>
      <c r="R22" s="282" t="s">
        <v>257</v>
      </c>
      <c r="S22" s="281"/>
      <c r="T22" s="280" t="s">
        <v>258</v>
      </c>
      <c r="V22"/>
      <c r="W22"/>
      <c r="X22"/>
    </row>
    <row r="23" spans="1:24">
      <c r="A23" s="373">
        <f ca="1">IF($F23=0,"",($F23/$C2)-($R23*$S2+$T23*$T2))</f>
        <v>9.4000000026426278E-3</v>
      </c>
      <c r="B23" s="319" t="str">
        <f ca="1">IF(F23=0,"",IF(R23=0,"A) "&amp;"---,    "&amp;ROUND(($F23/$C2-($R23*$S2))/$T23,2),IF(T23=0,"A) "&amp;ROUND(($F23/$C2)/$R23,2),"A) "&amp;ROUND(($F23/$C2-($T23*$T2))/$R23,2)&amp;", "
&amp;ROUND(($F23/$C2-($R23*$S2))/$T23,2))))</f>
        <v>A) 1, 27.46</v>
      </c>
      <c r="C23"/>
      <c r="D23" s="357" t="str">
        <f>IF($F2="","",$F2)</f>
        <v>Electrical</v>
      </c>
      <c r="E23" s="605"/>
      <c r="F23" s="605">
        <f ca="1">Elec_Est!F2055</f>
        <v>47306.659999999982</v>
      </c>
      <c r="G23" s="267">
        <f>C2</f>
        <v>1</v>
      </c>
      <c r="H23" s="359">
        <f>$S2</f>
        <v>1</v>
      </c>
      <c r="I23" s="359">
        <f>$T2</f>
        <v>27.46</v>
      </c>
      <c r="J23" s="267">
        <f>$D$9</f>
        <v>27.46</v>
      </c>
      <c r="K23" s="267"/>
      <c r="L23" s="267"/>
      <c r="M23" s="267"/>
      <c r="N23" s="267"/>
      <c r="O23" s="267"/>
      <c r="P23" s="267"/>
      <c r="Q23" s="291"/>
      <c r="R23" s="1009">
        <f ca="1">Elec_Est!R2055</f>
        <v>30106.804999999989</v>
      </c>
      <c r="S23" s="1010"/>
      <c r="T23" s="1009">
        <f ca="1">Elec_Est!T2055</f>
        <v>626.35999999999979</v>
      </c>
      <c r="V23"/>
      <c r="W23"/>
      <c r="X23"/>
    </row>
    <row r="24" spans="1:24">
      <c r="A24" s="374">
        <f t="shared" ref="A24:A32" ca="1" si="8">IF($F24=0,"",($F24/$C3)-($R24*$S3+$T24*$T3))</f>
        <v>-9.0000000003783498E-2</v>
      </c>
      <c r="B24" s="320" t="str">
        <f t="shared" ref="B24:B32" ca="1" si="9">IF(F24=0,"",IF(R24=0,"A) "&amp;"---,    "&amp;ROUND(($F24/$C3-($R24*$S3))/$T24,2),IF(T24=0,"A) "&amp;ROUND(($F24/$C3)/$R24,2),"A) "&amp;ROUND(($F24/$C3-($T24*$T3))/$R24,2)&amp;", "
&amp;ROUND(($F24/$C3-($R24*$S3))/$T24,2))))</f>
        <v>A) 1, 27.46</v>
      </c>
      <c r="C24"/>
      <c r="D24" s="357" t="str">
        <f t="shared" ref="D24:D32" si="10">IF($F3="","",$F3)</f>
        <v>ECA</v>
      </c>
      <c r="E24" s="605">
        <f t="shared" ref="E24:E32" ca="1" si="11">F24*(1-Q24)</f>
        <v>32713.9</v>
      </c>
      <c r="F24" s="605">
        <f ca="1">Elec_Est!F2056</f>
        <v>32713.9</v>
      </c>
      <c r="G24" s="267">
        <f t="shared" ref="G24:G32" si="12">C3</f>
        <v>1</v>
      </c>
      <c r="H24" s="359">
        <f t="shared" ref="H24:H32" si="13">$S3</f>
        <v>1</v>
      </c>
      <c r="I24" s="359">
        <f t="shared" ref="I24:I32" si="14">$T3</f>
        <v>27.46</v>
      </c>
      <c r="J24" s="267">
        <f t="shared" ref="J24:J32" si="15">$D$9</f>
        <v>27.46</v>
      </c>
      <c r="K24" s="267"/>
      <c r="L24" s="267"/>
      <c r="M24" s="267"/>
      <c r="N24" s="267"/>
      <c r="O24" s="267"/>
      <c r="P24" s="267"/>
      <c r="Q24" s="291"/>
      <c r="R24" s="1009">
        <f>Elec_Est!R2056</f>
        <v>29803.230000000003</v>
      </c>
      <c r="S24" s="1010"/>
      <c r="T24" s="1009">
        <f>Elec_Est!T2056</f>
        <v>106</v>
      </c>
      <c r="V24"/>
      <c r="W24"/>
      <c r="X24"/>
    </row>
    <row r="25" spans="1:24">
      <c r="A25" s="374">
        <f t="shared" ca="1" si="8"/>
        <v>0.12000000000004718</v>
      </c>
      <c r="B25" s="321" t="e">
        <f t="shared" ca="1" si="9"/>
        <v>#DIV/0!</v>
      </c>
      <c r="C25"/>
      <c r="D25" s="357" t="str">
        <f t="shared" si="10"/>
        <v/>
      </c>
      <c r="E25" s="605">
        <f t="shared" ca="1" si="11"/>
        <v>0.12000000000004718</v>
      </c>
      <c r="F25" s="605">
        <f ca="1">Elec_Est!F2057</f>
        <v>0.12000000000004718</v>
      </c>
      <c r="G25" s="267">
        <f t="shared" si="12"/>
        <v>1</v>
      </c>
      <c r="H25" s="359">
        <f t="shared" si="13"/>
        <v>1</v>
      </c>
      <c r="I25" s="359">
        <f t="shared" si="14"/>
        <v>27.46</v>
      </c>
      <c r="J25" s="267">
        <f t="shared" si="15"/>
        <v>27.46</v>
      </c>
      <c r="K25" s="267"/>
      <c r="L25" s="267"/>
      <c r="M25" s="267"/>
      <c r="N25" s="267"/>
      <c r="O25" s="267"/>
      <c r="P25" s="267"/>
      <c r="Q25" s="291"/>
      <c r="R25" s="1009">
        <f>Elec_Est!R2057</f>
        <v>0</v>
      </c>
      <c r="S25" s="1010"/>
      <c r="T25" s="1009">
        <f>Elec_Est!T2057</f>
        <v>0</v>
      </c>
      <c r="V25"/>
      <c r="W25"/>
      <c r="X25"/>
    </row>
    <row r="26" spans="1:24">
      <c r="A26" s="374" t="str">
        <f t="shared" si="8"/>
        <v/>
      </c>
      <c r="B26" s="322" t="str">
        <f t="shared" si="9"/>
        <v/>
      </c>
      <c r="C26"/>
      <c r="D26" s="357" t="str">
        <f t="shared" si="10"/>
        <v/>
      </c>
      <c r="E26" s="605">
        <f t="shared" si="11"/>
        <v>0</v>
      </c>
      <c r="F26" s="605">
        <f>Elec_Est!F2058</f>
        <v>0</v>
      </c>
      <c r="G26" s="267">
        <f t="shared" si="12"/>
        <v>1</v>
      </c>
      <c r="H26" s="359">
        <f t="shared" si="13"/>
        <v>1</v>
      </c>
      <c r="I26" s="359">
        <f t="shared" si="14"/>
        <v>27.46</v>
      </c>
      <c r="J26" s="267">
        <f t="shared" si="15"/>
        <v>27.46</v>
      </c>
      <c r="K26" s="267"/>
      <c r="L26" s="267"/>
      <c r="M26" s="267"/>
      <c r="N26" s="267"/>
      <c r="O26" s="267"/>
      <c r="P26" s="267"/>
      <c r="Q26" s="291"/>
      <c r="R26" s="1009">
        <f>Elec_Est!R2058</f>
        <v>0</v>
      </c>
      <c r="S26" s="1010"/>
      <c r="T26" s="1009">
        <f>Elec_Est!T2058</f>
        <v>0</v>
      </c>
      <c r="V26"/>
      <c r="W26"/>
      <c r="X26"/>
    </row>
    <row r="27" spans="1:24">
      <c r="A27" s="374" t="str">
        <f t="shared" si="8"/>
        <v/>
      </c>
      <c r="B27" s="323" t="str">
        <f t="shared" si="9"/>
        <v/>
      </c>
      <c r="C27"/>
      <c r="D27" s="357" t="str">
        <f t="shared" si="10"/>
        <v/>
      </c>
      <c r="E27" s="605">
        <f t="shared" si="11"/>
        <v>0</v>
      </c>
      <c r="F27" s="605">
        <f>Elec_Est!F2059</f>
        <v>0</v>
      </c>
      <c r="G27" s="267">
        <f t="shared" si="12"/>
        <v>1</v>
      </c>
      <c r="H27" s="359">
        <f t="shared" si="13"/>
        <v>1</v>
      </c>
      <c r="I27" s="359">
        <f t="shared" si="14"/>
        <v>27.46</v>
      </c>
      <c r="J27" s="267">
        <f t="shared" si="15"/>
        <v>27.46</v>
      </c>
      <c r="K27" s="267"/>
      <c r="L27" s="267"/>
      <c r="M27" s="267"/>
      <c r="N27" s="267"/>
      <c r="O27" s="267"/>
      <c r="P27" s="267"/>
      <c r="Q27" s="291"/>
      <c r="R27" s="1009">
        <f>Elec_Est!R2059</f>
        <v>0</v>
      </c>
      <c r="S27" s="1010"/>
      <c r="T27" s="1009">
        <f>Elec_Est!T2059</f>
        <v>0</v>
      </c>
      <c r="V27"/>
      <c r="W27"/>
      <c r="X27"/>
    </row>
    <row r="28" spans="1:24">
      <c r="A28" s="374" t="str">
        <f t="shared" si="8"/>
        <v/>
      </c>
      <c r="B28" s="324" t="str">
        <f t="shared" si="9"/>
        <v/>
      </c>
      <c r="C28"/>
      <c r="D28" s="357" t="str">
        <f t="shared" si="10"/>
        <v/>
      </c>
      <c r="E28" s="605">
        <f t="shared" si="11"/>
        <v>0</v>
      </c>
      <c r="F28" s="605">
        <f>Elec_Est!F2060</f>
        <v>0</v>
      </c>
      <c r="G28" s="267">
        <f t="shared" si="12"/>
        <v>1</v>
      </c>
      <c r="H28" s="359">
        <f t="shared" si="13"/>
        <v>1</v>
      </c>
      <c r="I28" s="359">
        <f t="shared" si="14"/>
        <v>27.46</v>
      </c>
      <c r="J28" s="267">
        <f t="shared" si="15"/>
        <v>27.46</v>
      </c>
      <c r="K28" s="267"/>
      <c r="L28" s="267"/>
      <c r="M28" s="267"/>
      <c r="N28" s="267"/>
      <c r="O28" s="267"/>
      <c r="P28" s="267"/>
      <c r="Q28" s="291"/>
      <c r="R28" s="1009">
        <f>Elec_Est!R2060</f>
        <v>0</v>
      </c>
      <c r="S28" s="1010"/>
      <c r="T28" s="1009">
        <f>Elec_Est!T2060</f>
        <v>0</v>
      </c>
      <c r="V28"/>
      <c r="W28"/>
      <c r="X28"/>
    </row>
    <row r="29" spans="1:24">
      <c r="A29" s="374" t="str">
        <f t="shared" si="8"/>
        <v/>
      </c>
      <c r="B29" s="325" t="str">
        <f t="shared" si="9"/>
        <v/>
      </c>
      <c r="C29"/>
      <c r="D29" s="357" t="str">
        <f t="shared" si="10"/>
        <v/>
      </c>
      <c r="E29" s="605">
        <f t="shared" si="11"/>
        <v>0</v>
      </c>
      <c r="F29" s="605">
        <f>Elec_Est!F2061</f>
        <v>0</v>
      </c>
      <c r="G29" s="267">
        <f t="shared" si="12"/>
        <v>1</v>
      </c>
      <c r="H29" s="359">
        <f t="shared" si="13"/>
        <v>1</v>
      </c>
      <c r="I29" s="359">
        <f t="shared" si="14"/>
        <v>27.46</v>
      </c>
      <c r="J29" s="267">
        <f t="shared" si="15"/>
        <v>27.46</v>
      </c>
      <c r="K29" s="267"/>
      <c r="L29" s="267"/>
      <c r="M29" s="267"/>
      <c r="N29" s="267"/>
      <c r="O29" s="267"/>
      <c r="P29" s="267"/>
      <c r="Q29" s="291"/>
      <c r="R29" s="1009">
        <f>Elec_Est!R2061</f>
        <v>0</v>
      </c>
      <c r="S29" s="1010"/>
      <c r="T29" s="1009">
        <f>Elec_Est!T2061</f>
        <v>0</v>
      </c>
      <c r="V29"/>
      <c r="W29"/>
      <c r="X29"/>
    </row>
    <row r="30" spans="1:24">
      <c r="A30" s="374" t="str">
        <f t="shared" si="8"/>
        <v/>
      </c>
      <c r="B30" s="326" t="str">
        <f t="shared" si="9"/>
        <v/>
      </c>
      <c r="C30"/>
      <c r="D30" s="357" t="str">
        <f t="shared" si="10"/>
        <v/>
      </c>
      <c r="E30" s="605">
        <f t="shared" si="11"/>
        <v>0</v>
      </c>
      <c r="F30" s="605">
        <f>Elec_Est!F2062</f>
        <v>0</v>
      </c>
      <c r="G30" s="267">
        <f t="shared" si="12"/>
        <v>1</v>
      </c>
      <c r="H30" s="359">
        <f t="shared" si="13"/>
        <v>1</v>
      </c>
      <c r="I30" s="359">
        <f t="shared" si="14"/>
        <v>27.46</v>
      </c>
      <c r="J30" s="267">
        <f t="shared" si="15"/>
        <v>27.46</v>
      </c>
      <c r="K30" s="267"/>
      <c r="L30" s="267"/>
      <c r="M30" s="267"/>
      <c r="N30" s="267"/>
      <c r="O30" s="267"/>
      <c r="P30" s="267"/>
      <c r="Q30" s="291"/>
      <c r="R30" s="1009">
        <f>Elec_Est!R2062</f>
        <v>0</v>
      </c>
      <c r="S30" s="1010"/>
      <c r="T30" s="1009">
        <f>Elec_Est!T2062</f>
        <v>0</v>
      </c>
      <c r="V30"/>
      <c r="W30"/>
      <c r="X30"/>
    </row>
    <row r="31" spans="1:24">
      <c r="A31" s="374" t="str">
        <f t="shared" si="8"/>
        <v/>
      </c>
      <c r="B31" s="327" t="str">
        <f t="shared" si="9"/>
        <v/>
      </c>
      <c r="C31"/>
      <c r="D31" s="357" t="str">
        <f t="shared" si="10"/>
        <v/>
      </c>
      <c r="E31" s="605">
        <f t="shared" si="11"/>
        <v>0</v>
      </c>
      <c r="F31" s="605">
        <f>Elec_Est!F2063</f>
        <v>0</v>
      </c>
      <c r="G31" s="267">
        <f t="shared" si="12"/>
        <v>1</v>
      </c>
      <c r="H31" s="359">
        <f t="shared" si="13"/>
        <v>1</v>
      </c>
      <c r="I31" s="359">
        <f t="shared" si="14"/>
        <v>27.46</v>
      </c>
      <c r="J31" s="267">
        <f t="shared" si="15"/>
        <v>27.46</v>
      </c>
      <c r="K31" s="267"/>
      <c r="L31" s="267"/>
      <c r="M31" s="267"/>
      <c r="N31" s="267"/>
      <c r="O31" s="267"/>
      <c r="P31" s="267"/>
      <c r="Q31" s="291"/>
      <c r="R31" s="1009">
        <f>Elec_Est!R2063</f>
        <v>0</v>
      </c>
      <c r="S31" s="1010"/>
      <c r="T31" s="1009">
        <f>Elec_Est!T2063</f>
        <v>0</v>
      </c>
      <c r="V31"/>
      <c r="W31"/>
      <c r="X31"/>
    </row>
    <row r="32" spans="1:24">
      <c r="A32" s="375" t="str">
        <f t="shared" si="8"/>
        <v/>
      </c>
      <c r="B32" s="427" t="str">
        <f t="shared" si="9"/>
        <v/>
      </c>
      <c r="C32"/>
      <c r="D32" s="357" t="str">
        <f t="shared" si="10"/>
        <v/>
      </c>
      <c r="E32" s="605">
        <f t="shared" si="11"/>
        <v>0</v>
      </c>
      <c r="F32" s="605">
        <f>Elec_Est!F2064</f>
        <v>0</v>
      </c>
      <c r="G32" s="267">
        <f t="shared" si="12"/>
        <v>1</v>
      </c>
      <c r="H32" s="359">
        <f t="shared" si="13"/>
        <v>1</v>
      </c>
      <c r="I32" s="359">
        <f t="shared" si="14"/>
        <v>27.46</v>
      </c>
      <c r="J32" s="267">
        <f t="shared" si="15"/>
        <v>27.46</v>
      </c>
      <c r="K32" s="267"/>
      <c r="L32" s="267"/>
      <c r="M32" s="267"/>
      <c r="N32" s="267"/>
      <c r="O32" s="267"/>
      <c r="P32" s="267"/>
      <c r="Q32" s="291"/>
      <c r="R32" s="1009">
        <f>Elec_Est!R2064</f>
        <v>0</v>
      </c>
      <c r="S32" s="1010"/>
      <c r="T32" s="1009">
        <f>Elec_Est!T2064</f>
        <v>0</v>
      </c>
      <c r="V32"/>
      <c r="W32"/>
      <c r="X32"/>
    </row>
    <row r="33" spans="1:26">
      <c r="B33"/>
      <c r="C33" s="334" t="s">
        <v>229</v>
      </c>
      <c r="D33"/>
      <c r="E33"/>
      <c r="F33" s="333"/>
      <c r="G33" s="267"/>
      <c r="H33" s="267"/>
      <c r="I33" s="267"/>
      <c r="J33" s="267"/>
      <c r="K33" s="267"/>
      <c r="L33" s="267"/>
      <c r="M33" s="267"/>
      <c r="N33" s="267"/>
      <c r="O33" s="267"/>
      <c r="P33" s="267"/>
      <c r="R33" s="334"/>
      <c r="S33" s="267"/>
      <c r="T33" s="333"/>
      <c r="V33"/>
      <c r="W33" s="536" t="s">
        <v>939</v>
      </c>
      <c r="X33" s="536" t="s">
        <v>940</v>
      </c>
      <c r="Y33" s="536" t="s">
        <v>940</v>
      </c>
    </row>
    <row r="34" spans="1:26" ht="13.8" thickBot="1">
      <c r="B34" s="35"/>
      <c r="C34"/>
      <c r="R34" s="276"/>
      <c r="S34" s="276"/>
      <c r="T34" s="276"/>
      <c r="V34" s="536" t="s">
        <v>936</v>
      </c>
      <c r="W34" s="1018">
        <f ca="1">HVAC_BOQ!G514</f>
        <v>59910.04</v>
      </c>
      <c r="X34" s="1018">
        <f ca="1">HVAC_BOQ!H514</f>
        <v>626.36</v>
      </c>
      <c r="Y34" s="1018">
        <f ca="1">HVAC_BOQ!I514</f>
        <v>106</v>
      </c>
    </row>
    <row r="35" spans="1:26">
      <c r="A35" s="428" t="s">
        <v>232</v>
      </c>
      <c r="B35" s="432">
        <f>E_BOQ!F56</f>
        <v>0</v>
      </c>
      <c r="E35" s="605">
        <f ca="1">SUM(E23:E32)</f>
        <v>32714.02</v>
      </c>
      <c r="F35" s="605">
        <f ca="1">SUM(F23:F32)</f>
        <v>80020.679999999978</v>
      </c>
      <c r="G35" s="268"/>
      <c r="H35" s="268"/>
      <c r="I35" s="268"/>
      <c r="J35" s="268"/>
      <c r="K35" s="268"/>
      <c r="L35" s="268"/>
      <c r="M35" s="268"/>
      <c r="N35" s="268"/>
      <c r="O35" s="268"/>
      <c r="P35" s="268"/>
      <c r="Q35" s="269"/>
      <c r="R35" s="273">
        <f ca="1">SUM(R23:R32)</f>
        <v>59910.034999999989</v>
      </c>
      <c r="S35" s="270"/>
      <c r="T35" s="273">
        <f ca="1">SUM(T23:T32)</f>
        <v>732.35999999999979</v>
      </c>
      <c r="V35" s="536" t="s">
        <v>937</v>
      </c>
      <c r="W35" s="1018"/>
      <c r="X35" s="1018"/>
      <c r="Y35" s="1018"/>
    </row>
    <row r="36" spans="1:26" ht="14.4" thickBot="1">
      <c r="A36" s="429" t="str">
        <f xml:space="preserve"> IF(A39=0,"0.00",A39-(A38*A37))</f>
        <v>0.00</v>
      </c>
      <c r="B36" s="431" t="s">
        <v>264</v>
      </c>
      <c r="E36" s="508" t="str">
        <f>"ESTIM TOTAL (" &amp; $Q$1 &amp; ")"</f>
        <v>ESTIM TOTAL (€)</v>
      </c>
      <c r="G36" s="268"/>
      <c r="H36" s="268"/>
      <c r="I36" s="268"/>
      <c r="J36" s="268"/>
      <c r="K36" s="268"/>
      <c r="L36" s="268"/>
      <c r="M36" s="268"/>
      <c r="N36" s="268"/>
      <c r="O36" s="268"/>
      <c r="P36" s="268"/>
      <c r="Q36" s="269"/>
      <c r="V36" s="536" t="s">
        <v>938</v>
      </c>
      <c r="W36" s="1018"/>
      <c r="X36" s="1018"/>
      <c r="Y36" s="1018"/>
    </row>
    <row r="37" spans="1:26" ht="13.8">
      <c r="A37" s="366">
        <v>1.125</v>
      </c>
      <c r="B37" s="430" t="s">
        <v>254</v>
      </c>
      <c r="C37" s="247"/>
      <c r="D37"/>
      <c r="E37" s="370"/>
      <c r="G37"/>
      <c r="H37"/>
      <c r="I37"/>
      <c r="J37"/>
      <c r="K37"/>
      <c r="L37"/>
      <c r="M37"/>
      <c r="N37"/>
      <c r="O37"/>
      <c r="P37"/>
      <c r="Q37"/>
      <c r="R37" s="413">
        <f ca="1">R165</f>
        <v>59910.018500000013</v>
      </c>
      <c r="S37" s="414" t="s">
        <v>225</v>
      </c>
      <c r="T37" s="412">
        <f ca="1">T165</f>
        <v>732.27166666666676</v>
      </c>
      <c r="V37"/>
      <c r="W37" s="1018">
        <f ca="1">SUM(W34:W36)</f>
        <v>59910.04</v>
      </c>
      <c r="X37" s="1018">
        <f t="shared" ref="X37:Y37" ca="1" si="16">SUM(X34:X36)</f>
        <v>626.36</v>
      </c>
      <c r="Y37" s="1018">
        <f t="shared" ca="1" si="16"/>
        <v>106</v>
      </c>
    </row>
    <row r="38" spans="1:26">
      <c r="A38" s="368"/>
      <c r="B38" s="367" t="s">
        <v>252</v>
      </c>
      <c r="C38"/>
      <c r="D38"/>
      <c r="G38"/>
      <c r="H38"/>
      <c r="I38"/>
      <c r="J38"/>
      <c r="K38"/>
      <c r="L38"/>
      <c r="M38"/>
      <c r="N38"/>
      <c r="O38"/>
      <c r="P38"/>
      <c r="Q38"/>
      <c r="R38"/>
      <c r="S38"/>
      <c r="T38"/>
    </row>
    <row r="39" spans="1:26">
      <c r="A39" s="369"/>
      <c r="B39" s="367" t="s">
        <v>253</v>
      </c>
      <c r="C39"/>
      <c r="D39"/>
      <c r="E39"/>
      <c r="F39"/>
      <c r="G39" s="246"/>
      <c r="H39" s="246"/>
      <c r="I39" s="246"/>
      <c r="J39" s="246"/>
      <c r="K39" s="246"/>
      <c r="L39" s="246"/>
      <c r="M39" s="246"/>
      <c r="N39" s="246"/>
      <c r="O39" s="246"/>
      <c r="P39" s="246"/>
      <c r="Q39" s="365" t="s">
        <v>233</v>
      </c>
      <c r="R39" s="415">
        <f ca="1">R37-R35</f>
        <v>-1.6499999976076651E-2</v>
      </c>
      <c r="S39" s="446" t="s">
        <v>971</v>
      </c>
      <c r="T39" s="416">
        <f ca="1">T37-T35</f>
        <v>-8.8333333333025621E-2</v>
      </c>
    </row>
    <row r="40" spans="1:26" ht="14.25" customHeight="1">
      <c r="S40" s="457"/>
    </row>
    <row r="41" spans="1:26">
      <c r="B41" s="417" t="s">
        <v>255</v>
      </c>
      <c r="C41" s="418"/>
      <c r="D41" s="409">
        <v>45701</v>
      </c>
      <c r="E41" s="419"/>
      <c r="F41" s="419"/>
      <c r="G41" s="420"/>
      <c r="H41" s="420"/>
      <c r="I41" s="420"/>
      <c r="J41" s="420"/>
      <c r="K41" s="420"/>
      <c r="L41" s="420"/>
      <c r="M41" s="420"/>
      <c r="N41" s="420"/>
      <c r="O41" s="420"/>
      <c r="P41" s="420"/>
      <c r="Q41" s="421"/>
      <c r="R41" s="419">
        <v>65637.554999999993</v>
      </c>
      <c r="S41" s="421"/>
      <c r="T41" s="419">
        <v>858.11999999999978</v>
      </c>
    </row>
    <row r="42" spans="1:26">
      <c r="B42" s="417" t="s">
        <v>255</v>
      </c>
      <c r="C42"/>
      <c r="D42" s="409">
        <v>45757</v>
      </c>
      <c r="E42" s="335"/>
      <c r="F42" s="335"/>
      <c r="G42" s="335"/>
      <c r="H42" s="335"/>
      <c r="I42" s="335"/>
      <c r="J42" s="335"/>
      <c r="K42" s="335"/>
      <c r="L42" s="335"/>
      <c r="M42" s="335"/>
      <c r="N42" s="335"/>
      <c r="O42" s="335"/>
      <c r="P42" s="335"/>
      <c r="Q42" s="335"/>
      <c r="R42" s="419">
        <v>57581.674999999996</v>
      </c>
      <c r="S42" s="421"/>
      <c r="T42" s="419">
        <v>715.18999999999983</v>
      </c>
      <c r="U42" s="601" t="s">
        <v>988</v>
      </c>
    </row>
    <row r="43" spans="1:26">
      <c r="B43" s="417" t="s">
        <v>255</v>
      </c>
      <c r="C43"/>
      <c r="D43" s="409">
        <v>45820</v>
      </c>
      <c r="E43" s="335"/>
      <c r="F43" s="335"/>
      <c r="G43" s="335"/>
      <c r="H43" s="335"/>
      <c r="I43" s="335"/>
      <c r="J43" s="335"/>
      <c r="K43" s="335"/>
      <c r="L43" s="335"/>
      <c r="M43" s="335"/>
      <c r="N43" s="335"/>
      <c r="O43" s="335"/>
      <c r="P43" s="335"/>
      <c r="Q43" s="335"/>
      <c r="R43" s="419">
        <v>58809.954999999994</v>
      </c>
      <c r="S43" s="421"/>
      <c r="T43" s="419">
        <v>732.35999999999979</v>
      </c>
      <c r="U43" s="601" t="s">
        <v>989</v>
      </c>
      <c r="X43" s="1022"/>
      <c r="Z43" s="1022"/>
    </row>
    <row r="44" spans="1:26">
      <c r="B44" s="248"/>
      <c r="C44" s="249"/>
      <c r="D44" s="249"/>
    </row>
    <row r="45" spans="1:26" s="138" customFormat="1" ht="14.25" customHeight="1">
      <c r="A45" s="134"/>
      <c r="B45" s="135"/>
      <c r="C45" s="132"/>
      <c r="D45" s="132"/>
    </row>
    <row r="46" spans="1:26" s="138" customFormat="1" ht="13.8">
      <c r="A46" s="363" t="s">
        <v>36</v>
      </c>
      <c r="C46" s="35"/>
      <c r="D46" s="35"/>
    </row>
    <row r="47" spans="1:26" s="138" customFormat="1" ht="14.25" customHeight="1">
      <c r="A47" s="1101" t="s">
        <v>238</v>
      </c>
      <c r="B47" s="1101"/>
      <c r="C47" s="1101"/>
      <c r="D47" s="1101"/>
      <c r="E47" s="1101"/>
      <c r="F47" s="1101"/>
      <c r="G47" s="1101"/>
      <c r="H47" s="1101"/>
      <c r="I47" s="1101"/>
      <c r="J47" s="1101"/>
      <c r="K47" s="1101"/>
      <c r="L47" s="1101"/>
      <c r="M47" s="1101"/>
      <c r="N47" s="1101"/>
      <c r="O47" s="1101"/>
      <c r="P47" s="1101"/>
      <c r="Q47" s="1101"/>
      <c r="R47" s="1101"/>
      <c r="S47" s="1101"/>
    </row>
    <row r="48" spans="1:26" s="138" customFormat="1" ht="14.25" customHeight="1">
      <c r="A48" s="1101" t="s">
        <v>239</v>
      </c>
      <c r="B48" s="1101"/>
      <c r="C48" s="1101"/>
      <c r="D48" s="1101"/>
      <c r="E48" s="1101"/>
      <c r="F48" s="1101"/>
      <c r="G48" s="1101"/>
      <c r="H48" s="1101"/>
      <c r="I48" s="1101"/>
      <c r="J48" s="1101"/>
      <c r="K48" s="1101"/>
      <c r="L48" s="1101"/>
      <c r="M48" s="1101"/>
      <c r="N48" s="1101"/>
      <c r="O48" s="1101"/>
      <c r="P48" s="1101"/>
      <c r="Q48" s="1101"/>
      <c r="R48" s="1101"/>
      <c r="S48" s="1101"/>
      <c r="T48" s="35"/>
    </row>
    <row r="49" spans="1:20" s="138" customFormat="1" ht="13.8">
      <c r="A49" s="35"/>
      <c r="B49" s="125"/>
      <c r="C49" s="35"/>
      <c r="D49" s="35"/>
      <c r="E49" s="35"/>
      <c r="F49" s="35"/>
      <c r="G49" s="35"/>
      <c r="H49" s="35"/>
      <c r="I49" s="35"/>
      <c r="J49" s="35"/>
      <c r="K49" s="35"/>
      <c r="L49" s="35"/>
      <c r="M49" s="35"/>
      <c r="N49" s="35"/>
      <c r="O49" s="35"/>
      <c r="P49" s="35"/>
      <c r="Q49" s="35"/>
      <c r="R49" s="35"/>
      <c r="S49" s="35"/>
      <c r="T49" s="35"/>
    </row>
    <row r="50" spans="1:20" s="138" customFormat="1" ht="13.5" customHeight="1">
      <c r="A50" s="121"/>
      <c r="B50" s="132"/>
      <c r="C50" s="121"/>
      <c r="D50" s="121"/>
      <c r="E50" s="121"/>
      <c r="F50" s="121"/>
      <c r="G50" s="121"/>
      <c r="H50" s="121"/>
      <c r="I50" s="121"/>
      <c r="J50" s="121"/>
      <c r="K50" s="121"/>
      <c r="L50" s="121"/>
      <c r="M50" s="121"/>
      <c r="N50" s="121"/>
      <c r="O50" s="121"/>
      <c r="P50" s="121"/>
      <c r="Q50" s="121"/>
      <c r="R50" s="121"/>
      <c r="S50" s="121"/>
      <c r="T50" s="121"/>
    </row>
    <row r="51" spans="1:20" s="138" customFormat="1" ht="13.5" customHeight="1" thickBot="1">
      <c r="A51" s="139" t="s">
        <v>37</v>
      </c>
      <c r="B51" s="140"/>
      <c r="C51" s="141"/>
      <c r="D51" s="141" t="str">
        <f>D8</f>
        <v>T.Sammut</v>
      </c>
      <c r="E51" s="121"/>
      <c r="F51" s="142"/>
      <c r="G51" s="143"/>
      <c r="H51" s="143"/>
      <c r="I51" s="143"/>
      <c r="J51" s="143"/>
      <c r="K51" s="143"/>
      <c r="L51" s="143"/>
      <c r="M51" s="121"/>
      <c r="N51" s="121"/>
      <c r="O51" s="121"/>
      <c r="P51" s="121"/>
      <c r="Q51" s="139" t="s">
        <v>38</v>
      </c>
      <c r="R51" s="141"/>
      <c r="S51" s="141"/>
      <c r="T51" s="141"/>
    </row>
    <row r="52" spans="1:20" s="138" customFormat="1" ht="13.5" customHeight="1" thickTop="1">
      <c r="A52" s="144"/>
      <c r="B52" s="132"/>
      <c r="C52" s="121"/>
      <c r="D52" s="121"/>
      <c r="E52" s="121"/>
      <c r="F52" s="121"/>
      <c r="G52" s="121"/>
      <c r="H52" s="121"/>
      <c r="I52" s="121"/>
      <c r="J52" s="121"/>
      <c r="K52" s="121"/>
      <c r="L52" s="121"/>
      <c r="M52" s="121"/>
      <c r="N52" s="121"/>
      <c r="O52" s="121"/>
      <c r="P52" s="121"/>
      <c r="Q52" s="144"/>
      <c r="R52" s="121"/>
      <c r="S52" s="121"/>
      <c r="T52" s="121"/>
    </row>
    <row r="53" spans="1:20" s="138" customFormat="1" ht="13.5" customHeight="1" thickBot="1">
      <c r="A53" s="145" t="s">
        <v>39</v>
      </c>
      <c r="B53" s="141"/>
      <c r="C53" s="141"/>
      <c r="D53" s="141"/>
      <c r="E53" s="121"/>
      <c r="F53" s="142"/>
      <c r="G53" s="143"/>
      <c r="H53" s="143"/>
      <c r="I53" s="143"/>
      <c r="J53" s="143"/>
      <c r="K53" s="143"/>
      <c r="L53" s="143"/>
      <c r="M53" s="121"/>
      <c r="N53" s="121"/>
      <c r="O53" s="121"/>
      <c r="P53" s="121"/>
      <c r="Q53" s="144" t="s">
        <v>40</v>
      </c>
      <c r="R53" s="121"/>
      <c r="S53" s="141"/>
      <c r="T53" s="141"/>
    </row>
    <row r="54" spans="1:20" s="138" customFormat="1" ht="13.5" customHeight="1" thickTop="1">
      <c r="A54" s="145"/>
      <c r="B54" s="132"/>
      <c r="C54" s="121"/>
      <c r="D54" s="121"/>
      <c r="E54" s="121"/>
      <c r="F54" s="142"/>
      <c r="G54" s="121"/>
      <c r="H54" s="121"/>
      <c r="I54" s="121"/>
      <c r="J54" s="121"/>
      <c r="K54" s="121"/>
      <c r="L54" s="121"/>
      <c r="M54" s="121"/>
      <c r="N54" s="121"/>
      <c r="O54" s="121"/>
      <c r="P54" s="121"/>
      <c r="Q54" s="144"/>
      <c r="R54" s="121"/>
      <c r="S54" s="121"/>
      <c r="T54" s="121"/>
    </row>
    <row r="55" spans="1:20" s="138" customFormat="1" ht="13.5" customHeight="1">
      <c r="A55" s="1100" t="s">
        <v>205</v>
      </c>
      <c r="B55" s="1100"/>
      <c r="C55" s="11"/>
      <c r="D55" s="352" t="str">
        <f ca="1" xml:space="preserve"> CELL("filename")</f>
        <v>K:\est\Quintano Foods\Estimates\Redesign June 2025\[ELM25_0085_Quintano_Elec_Mech_HVAC_BOQ_Rev_B.xlsx]Quote</v>
      </c>
      <c r="E55" s="249"/>
      <c r="F55" s="353"/>
      <c r="G55" s="249"/>
      <c r="H55" s="249"/>
      <c r="I55" s="249"/>
      <c r="J55" s="249"/>
      <c r="K55" s="249"/>
      <c r="L55" s="249"/>
      <c r="M55" s="249"/>
      <c r="N55" s="249"/>
      <c r="O55" s="249"/>
      <c r="P55" s="249"/>
      <c r="Q55" s="354"/>
      <c r="R55" s="121"/>
      <c r="S55" s="121"/>
      <c r="T55" s="121"/>
    </row>
    <row r="56" spans="1:20" s="138" customFormat="1" ht="12.75" customHeight="1">
      <c r="A56" s="260"/>
      <c r="B56" s="260"/>
      <c r="C56" s="11"/>
      <c r="D56" s="12"/>
      <c r="E56" s="121"/>
      <c r="F56" s="142"/>
      <c r="G56" s="121"/>
      <c r="H56" s="121"/>
      <c r="I56" s="121"/>
      <c r="J56" s="121"/>
      <c r="K56" s="121"/>
      <c r="L56" s="121"/>
      <c r="M56" s="121"/>
      <c r="N56" s="121"/>
      <c r="O56" s="121"/>
      <c r="P56" s="121"/>
      <c r="Q56" s="144"/>
      <c r="R56" s="121"/>
      <c r="S56" s="121"/>
      <c r="T56" s="121"/>
    </row>
    <row r="57" spans="1:20" ht="21" customHeight="1">
      <c r="B57" s="1093" t="s">
        <v>41</v>
      </c>
      <c r="C57" s="1094"/>
      <c r="D57" s="1094"/>
      <c r="E57" s="1094"/>
      <c r="F57" s="1094"/>
      <c r="G57" s="1094"/>
      <c r="H57" s="1094"/>
      <c r="I57" s="1094"/>
      <c r="J57" s="1094"/>
      <c r="K57" s="1094"/>
      <c r="L57" s="1094"/>
      <c r="M57" s="1094"/>
      <c r="N57" s="1094"/>
      <c r="O57" s="1094"/>
      <c r="P57" s="1094"/>
      <c r="Q57" s="1094"/>
      <c r="R57" s="1094"/>
      <c r="S57" s="1094"/>
      <c r="T57" s="1095"/>
    </row>
    <row r="58" spans="1:20" ht="18" customHeight="1">
      <c r="B58" s="1096" t="s">
        <v>42</v>
      </c>
      <c r="C58" s="1097"/>
      <c r="D58" s="1097"/>
      <c r="E58" s="1097"/>
      <c r="F58" s="1097"/>
      <c r="G58" s="1097"/>
      <c r="H58" s="1097"/>
      <c r="I58" s="1097"/>
      <c r="J58" s="1097"/>
      <c r="K58" s="1097"/>
      <c r="L58" s="1097"/>
      <c r="M58" s="1097"/>
      <c r="N58" s="1097"/>
      <c r="O58" s="1097"/>
      <c r="P58" s="1097"/>
      <c r="Q58" s="1097"/>
      <c r="R58" s="1097"/>
      <c r="S58" s="1098"/>
      <c r="T58" s="1099"/>
    </row>
    <row r="59" spans="1:20">
      <c r="B59" s="146"/>
      <c r="S59" s="147" t="s">
        <v>43</v>
      </c>
      <c r="T59" s="133"/>
    </row>
    <row r="60" spans="1:20">
      <c r="B60" s="146"/>
      <c r="D60" s="148" t="s">
        <v>44</v>
      </c>
      <c r="E60" s="250" t="str">
        <f>D1</f>
        <v>Quintano Foods Ltd.</v>
      </c>
      <c r="F60" s="251"/>
      <c r="G60" s="97"/>
      <c r="H60" s="97"/>
      <c r="I60" s="97"/>
      <c r="J60" s="97"/>
      <c r="K60" s="97"/>
      <c r="L60" s="97"/>
      <c r="M60" s="97"/>
      <c r="N60" s="97"/>
      <c r="O60" s="97"/>
      <c r="P60" s="97"/>
      <c r="Q60" s="252"/>
      <c r="R60" s="97"/>
      <c r="S60" s="147" t="s">
        <v>307</v>
      </c>
      <c r="T60" s="133"/>
    </row>
    <row r="61" spans="1:20">
      <c r="B61" s="146"/>
      <c r="D61" s="149" t="s">
        <v>45</v>
      </c>
      <c r="E61" s="250" t="str">
        <f>D2</f>
        <v>Warehouse at tal-Handaq, Qormi</v>
      </c>
      <c r="F61" s="251"/>
      <c r="G61" s="97"/>
      <c r="H61" s="97"/>
      <c r="I61" s="97"/>
      <c r="J61" s="97"/>
      <c r="K61" s="97"/>
      <c r="L61" s="97"/>
      <c r="M61" s="97"/>
      <c r="N61" s="97"/>
      <c r="O61" s="97"/>
      <c r="P61" s="97"/>
      <c r="Q61" s="252"/>
      <c r="R61" s="97"/>
      <c r="S61" s="147" t="s">
        <v>298</v>
      </c>
      <c r="T61" s="133"/>
    </row>
    <row r="62" spans="1:20">
      <c r="B62" s="146"/>
      <c r="D62" s="148" t="s">
        <v>46</v>
      </c>
      <c r="E62" s="250" t="str">
        <f>D3</f>
        <v>Electrical installation for Mechanical (HVAC) - Revision B</v>
      </c>
      <c r="F62" s="251"/>
      <c r="G62" s="97"/>
      <c r="H62" s="97"/>
      <c r="I62" s="97"/>
      <c r="J62" s="97"/>
      <c r="K62" s="97"/>
      <c r="L62" s="97"/>
      <c r="M62" s="97"/>
      <c r="N62" s="97"/>
      <c r="O62" s="97"/>
      <c r="P62" s="97"/>
      <c r="Q62" s="252"/>
      <c r="R62" s="97"/>
      <c r="S62" s="147" t="s">
        <v>308</v>
      </c>
      <c r="T62" s="133"/>
    </row>
    <row r="63" spans="1:20">
      <c r="B63" s="146"/>
      <c r="D63" s="150" t="s">
        <v>49</v>
      </c>
      <c r="E63" s="250" t="str">
        <f>D4</f>
        <v>ELM-25-0085B</v>
      </c>
      <c r="F63" s="251"/>
      <c r="G63" s="97"/>
      <c r="H63" s="97"/>
      <c r="I63" s="97"/>
      <c r="J63" s="97"/>
      <c r="K63" s="97"/>
      <c r="L63" s="97"/>
      <c r="M63" s="97"/>
      <c r="N63" s="97"/>
      <c r="O63" s="97"/>
      <c r="P63" s="97"/>
      <c r="Q63" s="252"/>
      <c r="R63" s="97"/>
      <c r="S63" s="147"/>
      <c r="T63" s="133"/>
    </row>
    <row r="64" spans="1:20">
      <c r="B64" s="146"/>
      <c r="D64" s="150" t="s">
        <v>50</v>
      </c>
      <c r="E64" s="250" t="str">
        <f>D5</f>
        <v>Tender</v>
      </c>
      <c r="F64" s="251"/>
      <c r="G64" s="97"/>
      <c r="H64" s="97"/>
      <c r="I64" s="97"/>
      <c r="J64" s="97"/>
      <c r="K64" s="97"/>
      <c r="L64" s="97"/>
      <c r="M64" s="97"/>
      <c r="N64" s="97"/>
      <c r="O64" s="97"/>
      <c r="P64" s="97"/>
      <c r="Q64" s="252"/>
      <c r="R64" s="97"/>
      <c r="S64" s="147"/>
      <c r="T64" s="133"/>
    </row>
    <row r="65" spans="2:20">
      <c r="B65" s="146"/>
      <c r="S65" s="147" t="s">
        <v>48</v>
      </c>
      <c r="T65" s="133"/>
    </row>
    <row r="66" spans="2:20">
      <c r="B66" s="146"/>
      <c r="D66" s="150" t="s">
        <v>47</v>
      </c>
      <c r="E66" s="151"/>
      <c r="F66" s="151"/>
      <c r="G66" s="152"/>
      <c r="H66" s="152"/>
      <c r="I66" s="152"/>
      <c r="J66" s="152"/>
      <c r="K66" s="152"/>
      <c r="L66" s="152"/>
      <c r="M66" s="152"/>
      <c r="N66" s="152"/>
      <c r="O66" s="152"/>
      <c r="P66" s="152"/>
      <c r="S66" s="153"/>
      <c r="T66" s="154"/>
    </row>
    <row r="67" spans="2:20">
      <c r="B67" s="146"/>
      <c r="D67" s="150" t="s">
        <v>274</v>
      </c>
      <c r="E67" s="151"/>
      <c r="F67" s="151"/>
      <c r="G67" s="152"/>
      <c r="H67" s="152"/>
      <c r="I67" s="152"/>
      <c r="J67" s="152"/>
      <c r="K67" s="152"/>
      <c r="L67" s="152"/>
      <c r="M67" s="152"/>
      <c r="N67" s="152"/>
      <c r="O67" s="152"/>
      <c r="P67" s="152"/>
      <c r="S67" s="153"/>
      <c r="T67" s="154"/>
    </row>
    <row r="68" spans="2:20">
      <c r="B68" s="155"/>
      <c r="C68" s="60"/>
      <c r="D68" s="60"/>
      <c r="E68" s="60"/>
      <c r="F68" s="60"/>
      <c r="G68" s="60"/>
      <c r="H68" s="60"/>
      <c r="I68" s="60"/>
      <c r="J68" s="60"/>
      <c r="K68" s="60"/>
      <c r="L68" s="60"/>
      <c r="M68" s="60"/>
      <c r="N68" s="60"/>
      <c r="O68" s="60"/>
      <c r="P68" s="60"/>
      <c r="Q68" s="60"/>
      <c r="R68" s="60"/>
      <c r="S68" s="60"/>
      <c r="T68" s="156"/>
    </row>
    <row r="69" spans="2:20" ht="14.25" customHeight="1">
      <c r="B69" s="146"/>
      <c r="T69" s="154"/>
    </row>
    <row r="70" spans="2:20" ht="15.6">
      <c r="B70" s="146"/>
      <c r="E70" s="157" t="s">
        <v>219</v>
      </c>
      <c r="F70" s="131"/>
      <c r="G70" s="131"/>
      <c r="H70" s="131"/>
      <c r="I70" s="131"/>
      <c r="J70" s="131"/>
      <c r="K70" s="131"/>
      <c r="L70" s="131"/>
      <c r="M70" s="131"/>
      <c r="N70" s="131"/>
      <c r="O70" s="131"/>
      <c r="P70" s="131"/>
      <c r="Q70" s="131"/>
      <c r="R70" s="131"/>
      <c r="S70" s="70"/>
      <c r="T70" s="154"/>
    </row>
    <row r="71" spans="2:20">
      <c r="B71" s="146"/>
      <c r="E71" s="159"/>
      <c r="F71" s="131"/>
      <c r="G71" s="131"/>
      <c r="H71" s="131"/>
      <c r="I71" s="131"/>
      <c r="J71" s="131"/>
      <c r="K71" s="131"/>
      <c r="L71" s="131"/>
      <c r="M71" s="131"/>
      <c r="N71" s="131"/>
      <c r="O71" s="131"/>
      <c r="P71" s="131"/>
      <c r="Q71" s="131"/>
      <c r="R71" s="131"/>
      <c r="S71" s="70"/>
      <c r="T71" s="154"/>
    </row>
    <row r="72" spans="2:20">
      <c r="B72" s="283"/>
      <c r="C72" s="332">
        <f ca="1">IF($A$33="MIXED",F23/(1-Q2)+F24/(1-Q3)+F25/(1-Q4)+F26/(1-Q5)+F27/(1-Q6)+F28/(1-Q7)+F29/(1-Q8)+F30/(1-Q9)+F31/(1-Q10)+F32/(1-Q11)-SUM(A23:A32),   F23/(1-Q2)+F24/(1-Q3)+F25/(1-Q4)+F26/(1-Q5)+F27/(1-Q6)+F28/(1-Q7)+F29/(1-Q8)+F30/(1-Q9)+F31/(1-Q10)+F32/(1-Q11))</f>
        <v>80020.679999999978</v>
      </c>
      <c r="E72" s="128" t="s">
        <v>261</v>
      </c>
      <c r="F72" s="394">
        <f ca="1">IF(D6="VAT INCLUDED",C72/($C$1*1.18),C72/$C$1)</f>
        <v>80020.679999999978</v>
      </c>
      <c r="G72" s="131"/>
      <c r="H72" s="131"/>
      <c r="I72" s="131"/>
      <c r="J72" s="131"/>
      <c r="K72" s="131"/>
      <c r="L72" s="131"/>
      <c r="M72" s="131"/>
      <c r="N72" s="131"/>
      <c r="O72" s="131"/>
      <c r="P72" s="131"/>
      <c r="Q72" s="131"/>
      <c r="R72" s="131"/>
      <c r="S72" s="70"/>
      <c r="T72" s="154"/>
    </row>
    <row r="73" spans="2:20">
      <c r="B73" s="146"/>
      <c r="F73" s="400"/>
      <c r="G73" s="131"/>
      <c r="H73" s="131"/>
      <c r="I73" s="131"/>
      <c r="J73" s="131"/>
      <c r="K73" s="131"/>
      <c r="L73" s="131"/>
      <c r="M73" s="131"/>
      <c r="N73" s="131"/>
      <c r="O73" s="131"/>
      <c r="P73" s="131"/>
      <c r="Q73" s="131"/>
      <c r="R73" s="131"/>
      <c r="S73" s="70"/>
      <c r="T73" s="154"/>
    </row>
    <row r="74" spans="2:20" ht="15" customHeight="1">
      <c r="B74" s="283"/>
      <c r="E74" s="403" t="s">
        <v>262</v>
      </c>
      <c r="F74" s="401">
        <f ca="1">(F72-F75)/F72</f>
        <v>0.59118042985888131</v>
      </c>
      <c r="G74" s="160"/>
      <c r="H74" s="160"/>
      <c r="I74" s="160"/>
      <c r="J74" s="160"/>
      <c r="K74" s="160"/>
      <c r="L74" s="160"/>
      <c r="M74" s="160"/>
      <c r="N74" s="160"/>
      <c r="O74" s="160"/>
      <c r="P74" s="160"/>
      <c r="Q74" s="161"/>
      <c r="T74" s="154"/>
    </row>
    <row r="75" spans="2:20">
      <c r="B75" s="284"/>
      <c r="E75" s="149" t="s">
        <v>260</v>
      </c>
      <c r="F75" s="402">
        <f ca="1">IF(D6="VAT INCLUDED",E35/($C$1*1.18),E35/$C$1)</f>
        <v>32714.02</v>
      </c>
      <c r="T75" s="154"/>
    </row>
    <row r="76" spans="2:20" ht="14.25" customHeight="1">
      <c r="B76" s="146"/>
      <c r="E76" s="128"/>
      <c r="F76" s="253"/>
      <c r="R76" s="128"/>
      <c r="T76" s="154"/>
    </row>
    <row r="77" spans="2:20" ht="15.6">
      <c r="B77" s="162"/>
      <c r="C77" s="163"/>
      <c r="E77" s="164" t="s">
        <v>207</v>
      </c>
      <c r="F77" s="422">
        <f>$D$9</f>
        <v>27.46</v>
      </c>
      <c r="G77" s="165"/>
      <c r="H77" s="166"/>
      <c r="I77" s="167"/>
      <c r="J77" s="168"/>
      <c r="K77" s="168"/>
      <c r="L77" s="168"/>
      <c r="M77" s="168"/>
      <c r="N77" s="168"/>
      <c r="O77" s="168"/>
      <c r="P77" s="168"/>
      <c r="Q77" s="169"/>
      <c r="R77" s="128" t="s">
        <v>188</v>
      </c>
      <c r="S77" s="158"/>
      <c r="T77" s="154"/>
    </row>
    <row r="78" spans="2:20" ht="15.6">
      <c r="B78" s="162"/>
      <c r="C78" s="163"/>
      <c r="E78" s="170"/>
      <c r="F78" s="171"/>
      <c r="G78" s="172"/>
      <c r="H78" s="173"/>
      <c r="I78" s="174"/>
      <c r="J78" s="169"/>
      <c r="K78" s="169"/>
      <c r="L78" s="169"/>
      <c r="M78" s="169"/>
      <c r="N78" s="169"/>
      <c r="O78" s="169"/>
      <c r="P78" s="169"/>
      <c r="Q78" s="169"/>
      <c r="T78" s="154"/>
    </row>
    <row r="79" spans="2:20" ht="15.6">
      <c r="B79" s="162"/>
      <c r="C79" s="163"/>
      <c r="E79" s="170"/>
      <c r="F79" s="171"/>
      <c r="G79" s="172"/>
      <c r="H79" s="173"/>
      <c r="I79" s="174"/>
      <c r="J79" s="169"/>
      <c r="K79" s="169"/>
      <c r="L79" s="169"/>
      <c r="M79" s="169"/>
      <c r="N79" s="169"/>
      <c r="O79" s="169"/>
      <c r="P79" s="169"/>
      <c r="Q79" s="169"/>
      <c r="T79" s="154"/>
    </row>
    <row r="80" spans="2:20" ht="15">
      <c r="B80" s="162"/>
      <c r="C80" s="163"/>
      <c r="D80" s="175" t="s">
        <v>51</v>
      </c>
      <c r="E80" s="176" t="s">
        <v>68</v>
      </c>
      <c r="F80" s="177" t="s">
        <v>52</v>
      </c>
      <c r="G80" s="178"/>
      <c r="H80" s="178"/>
      <c r="I80" s="178"/>
      <c r="J80" s="178"/>
      <c r="K80" s="178"/>
      <c r="L80" s="178"/>
      <c r="M80" s="178"/>
      <c r="N80" s="178"/>
      <c r="O80" s="178"/>
      <c r="P80" s="178"/>
      <c r="Q80" s="178"/>
      <c r="R80" s="176" t="s">
        <v>251</v>
      </c>
      <c r="S80" s="179"/>
      <c r="T80" s="154"/>
    </row>
    <row r="81" spans="2:20" ht="13.8">
      <c r="B81" s="146"/>
      <c r="D81" s="180" t="s">
        <v>257</v>
      </c>
      <c r="E81" s="80" t="s">
        <v>259</v>
      </c>
      <c r="F81" s="181" t="s">
        <v>257</v>
      </c>
      <c r="R81" s="265"/>
      <c r="S81" s="154"/>
      <c r="T81" s="182"/>
    </row>
    <row r="82" spans="2:20">
      <c r="B82" s="146"/>
      <c r="D82" s="183"/>
      <c r="S82" s="184"/>
      <c r="T82" s="154"/>
    </row>
    <row r="83" spans="2:20">
      <c r="B83" s="146"/>
      <c r="D83" s="395">
        <f ca="1">R165</f>
        <v>59910.018500000013</v>
      </c>
      <c r="E83" s="396">
        <f ca="1">T165</f>
        <v>732.27166666666676</v>
      </c>
      <c r="F83" s="397">
        <f ca="1">R165+S165</f>
        <v>80018.198466666683</v>
      </c>
      <c r="G83" s="398"/>
      <c r="H83" s="398"/>
      <c r="I83" s="398"/>
      <c r="J83" s="398"/>
      <c r="K83" s="398"/>
      <c r="L83" s="398"/>
      <c r="M83" s="398"/>
      <c r="N83" s="398"/>
      <c r="O83" s="398"/>
      <c r="P83" s="398"/>
      <c r="Q83" s="398"/>
      <c r="R83" s="399">
        <f ca="1">IF(F83=0,0,F75/F83)</f>
        <v>0.40883224849941774</v>
      </c>
      <c r="S83" s="184"/>
      <c r="T83" s="154"/>
    </row>
    <row r="84" spans="2:20">
      <c r="B84" s="146"/>
      <c r="D84" s="1091" t="s">
        <v>189</v>
      </c>
      <c r="E84" s="1092"/>
      <c r="S84" s="154"/>
      <c r="T84" s="184"/>
    </row>
    <row r="85" spans="2:20" ht="15">
      <c r="B85" s="146"/>
      <c r="D85" s="185"/>
      <c r="E85" s="60"/>
      <c r="F85" s="60"/>
      <c r="G85" s="60"/>
      <c r="H85" s="186"/>
      <c r="I85" s="187"/>
      <c r="J85" s="60"/>
      <c r="K85" s="60"/>
      <c r="L85" s="60"/>
      <c r="M85" s="60"/>
      <c r="N85" s="60"/>
      <c r="O85" s="60"/>
      <c r="P85" s="60"/>
      <c r="Q85" s="60"/>
      <c r="R85" s="60"/>
      <c r="S85" s="156"/>
      <c r="T85" s="154"/>
    </row>
    <row r="86" spans="2:20" ht="15">
      <c r="B86" s="146"/>
      <c r="H86" s="188"/>
      <c r="I86" s="163"/>
      <c r="T86" s="154"/>
    </row>
    <row r="87" spans="2:20" ht="15">
      <c r="B87" s="146"/>
      <c r="H87" s="188"/>
      <c r="I87" s="163"/>
      <c r="R87" s="128" t="s">
        <v>53</v>
      </c>
      <c r="S87" s="189"/>
      <c r="T87" s="154"/>
    </row>
    <row r="88" spans="2:20" ht="15">
      <c r="B88" s="146"/>
      <c r="H88" s="188"/>
      <c r="I88" s="163"/>
      <c r="R88" s="128" t="s">
        <v>54</v>
      </c>
      <c r="S88" s="189"/>
      <c r="T88" s="154"/>
    </row>
    <row r="89" spans="2:20" ht="15">
      <c r="B89" s="146"/>
      <c r="H89" s="188"/>
      <c r="I89" s="163"/>
      <c r="R89" s="128"/>
      <c r="S89" s="190"/>
      <c r="T89" s="154"/>
    </row>
    <row r="90" spans="2:20" ht="15">
      <c r="B90" s="146"/>
      <c r="H90" s="188"/>
      <c r="I90" s="163"/>
      <c r="R90" s="128" t="s">
        <v>55</v>
      </c>
      <c r="S90" s="191"/>
      <c r="T90" s="154"/>
    </row>
    <row r="91" spans="2:20" ht="15">
      <c r="B91" s="146"/>
      <c r="I91" s="163"/>
      <c r="R91" s="128" t="s">
        <v>56</v>
      </c>
      <c r="S91" s="192"/>
      <c r="T91" s="154"/>
    </row>
    <row r="92" spans="2:20" ht="15">
      <c r="B92" s="146"/>
      <c r="I92" s="163"/>
      <c r="J92" s="193"/>
      <c r="K92" s="194"/>
      <c r="L92" s="194"/>
      <c r="M92" s="194"/>
      <c r="N92" s="194"/>
      <c r="O92" s="194"/>
      <c r="P92" s="194"/>
      <c r="Q92" s="194"/>
      <c r="R92" s="128" t="s">
        <v>57</v>
      </c>
      <c r="S92" s="192"/>
      <c r="T92" s="154"/>
    </row>
    <row r="93" spans="2:20" ht="15">
      <c r="B93" s="146"/>
      <c r="D93" s="195" t="s">
        <v>58</v>
      </c>
      <c r="G93" s="196"/>
      <c r="I93" s="163"/>
      <c r="J93" s="193"/>
      <c r="K93" s="194"/>
      <c r="L93" s="194"/>
      <c r="M93" s="194"/>
      <c r="N93" s="194"/>
      <c r="O93" s="194"/>
      <c r="P93" s="194"/>
      <c r="Q93" s="194"/>
      <c r="R93" s="128"/>
      <c r="T93" s="154"/>
    </row>
    <row r="94" spans="2:20" ht="15.6">
      <c r="B94" s="146"/>
      <c r="D94" s="197" t="s">
        <v>297</v>
      </c>
      <c r="G94" s="196"/>
      <c r="I94" s="163"/>
      <c r="J94" s="193"/>
      <c r="K94" s="194"/>
      <c r="L94" s="194"/>
      <c r="M94" s="194"/>
      <c r="N94" s="194"/>
      <c r="O94" s="194"/>
      <c r="P94" s="194"/>
      <c r="Q94" s="194"/>
      <c r="R94" s="128" t="s">
        <v>59</v>
      </c>
      <c r="S94" s="192"/>
      <c r="T94" s="154"/>
    </row>
    <row r="95" spans="2:20" ht="15">
      <c r="B95" s="146"/>
      <c r="D95" s="198">
        <f ca="1">NOW()</f>
        <v>45821.462045486114</v>
      </c>
      <c r="G95" s="196"/>
      <c r="I95" s="163"/>
      <c r="J95" s="193"/>
      <c r="K95" s="194"/>
      <c r="L95" s="194"/>
      <c r="M95" s="194"/>
      <c r="N95" s="194"/>
      <c r="O95" s="194"/>
      <c r="P95" s="194"/>
      <c r="Q95" s="194"/>
      <c r="R95" s="194"/>
      <c r="T95" s="154"/>
    </row>
    <row r="96" spans="2:20" s="203" customFormat="1" ht="15">
      <c r="B96" s="155"/>
      <c r="C96" s="60"/>
      <c r="D96" s="60"/>
      <c r="E96" s="60"/>
      <c r="F96" s="60"/>
      <c r="G96" s="60"/>
      <c r="H96" s="60"/>
      <c r="I96" s="187"/>
      <c r="J96" s="199"/>
      <c r="K96" s="200"/>
      <c r="L96" s="200"/>
      <c r="M96" s="200"/>
      <c r="N96" s="200"/>
      <c r="O96" s="200"/>
      <c r="P96" s="200"/>
      <c r="Q96" s="200"/>
      <c r="R96" s="200"/>
      <c r="S96" s="201"/>
      <c r="T96" s="202"/>
    </row>
    <row r="97" spans="1:20" s="203" customFormat="1" ht="12" customHeight="1">
      <c r="B97" s="125"/>
      <c r="C97" s="35"/>
      <c r="D97" s="35"/>
      <c r="E97" s="35"/>
      <c r="F97" s="35"/>
      <c r="G97" s="35"/>
      <c r="H97" s="163"/>
      <c r="I97" s="163"/>
      <c r="J97" s="193"/>
      <c r="K97" s="194"/>
      <c r="L97" s="194"/>
      <c r="M97" s="194"/>
      <c r="N97" s="194"/>
      <c r="O97" s="194"/>
      <c r="P97" s="194"/>
      <c r="Q97" s="194"/>
      <c r="R97" s="194"/>
      <c r="S97" s="138"/>
      <c r="T97" s="138"/>
    </row>
    <row r="98" spans="1:20" ht="21" customHeight="1">
      <c r="B98" s="204"/>
      <c r="C98" s="205"/>
      <c r="D98" s="205" t="s">
        <v>41</v>
      </c>
      <c r="E98" s="206"/>
      <c r="F98" s="206"/>
      <c r="G98" s="206"/>
      <c r="H98" s="207"/>
      <c r="I98" s="208"/>
      <c r="J98" s="209"/>
      <c r="K98" s="209"/>
      <c r="L98" s="209"/>
      <c r="M98" s="209"/>
      <c r="N98" s="209"/>
      <c r="O98" s="209"/>
      <c r="P98" s="209"/>
      <c r="Q98" s="209"/>
      <c r="R98" s="209"/>
      <c r="S98" s="210"/>
      <c r="T98" s="211"/>
    </row>
    <row r="99" spans="1:20" ht="15">
      <c r="B99" s="212"/>
      <c r="C99" s="213"/>
      <c r="D99" s="213" t="s">
        <v>60</v>
      </c>
      <c r="E99" s="214"/>
      <c r="F99" s="214"/>
      <c r="G99" s="214"/>
      <c r="H99" s="215"/>
      <c r="I99" s="186"/>
      <c r="J99" s="216"/>
      <c r="K99" s="216"/>
      <c r="L99" s="216"/>
      <c r="M99" s="216"/>
      <c r="N99" s="216"/>
      <c r="O99" s="216"/>
      <c r="P99" s="216"/>
      <c r="Q99" s="216"/>
      <c r="R99" s="216"/>
      <c r="S99" s="216"/>
      <c r="T99" s="217"/>
    </row>
    <row r="100" spans="1:20" ht="15">
      <c r="B100" s="218"/>
      <c r="C100" s="219"/>
      <c r="D100" s="220"/>
      <c r="E100" s="131"/>
      <c r="F100" s="131"/>
      <c r="G100" s="131"/>
      <c r="H100" s="196"/>
      <c r="I100" s="188"/>
      <c r="J100" s="221"/>
      <c r="K100" s="221"/>
      <c r="L100" s="221"/>
      <c r="M100" s="221"/>
      <c r="N100" s="221"/>
      <c r="O100" s="221"/>
      <c r="P100" s="221"/>
      <c r="Q100" s="221"/>
      <c r="R100" s="221"/>
      <c r="S100" s="221"/>
      <c r="T100" s="222"/>
    </row>
    <row r="101" spans="1:20" ht="15">
      <c r="B101" s="146"/>
      <c r="D101" s="223" t="s">
        <v>61</v>
      </c>
      <c r="E101" s="254" t="str">
        <f>E61</f>
        <v>Warehouse at tal-Handaq, Qormi</v>
      </c>
      <c r="F101" s="252"/>
      <c r="G101" s="255"/>
      <c r="H101" s="256"/>
      <c r="I101" s="256"/>
      <c r="J101" s="252"/>
      <c r="K101" s="252"/>
      <c r="L101" s="252"/>
      <c r="M101" s="252"/>
      <c r="N101" s="252"/>
      <c r="O101" s="252"/>
      <c r="P101" s="252"/>
      <c r="Q101" s="252"/>
      <c r="R101" s="252"/>
      <c r="S101" s="97"/>
      <c r="T101" s="154"/>
    </row>
    <row r="102" spans="1:20" ht="15">
      <c r="B102" s="146"/>
      <c r="D102" s="223" t="s">
        <v>62</v>
      </c>
      <c r="E102" s="254" t="str">
        <f>E62</f>
        <v>Electrical installation for Mechanical (HVAC) - Revision B</v>
      </c>
      <c r="F102" s="252"/>
      <c r="G102" s="255"/>
      <c r="H102" s="256"/>
      <c r="I102" s="256"/>
      <c r="J102" s="252"/>
      <c r="K102" s="252"/>
      <c r="L102" s="252"/>
      <c r="M102" s="252"/>
      <c r="N102" s="252"/>
      <c r="O102" s="252"/>
      <c r="P102" s="252"/>
      <c r="Q102" s="252"/>
      <c r="R102" s="252"/>
      <c r="S102" s="97"/>
      <c r="T102" s="154"/>
    </row>
    <row r="103" spans="1:20" ht="15">
      <c r="B103" s="224"/>
      <c r="C103" s="225"/>
      <c r="D103" s="150" t="s">
        <v>50</v>
      </c>
      <c r="E103" s="254" t="str">
        <f>E64</f>
        <v>Tender</v>
      </c>
      <c r="F103" s="97"/>
      <c r="G103" s="97"/>
      <c r="H103" s="256"/>
      <c r="I103" s="256"/>
      <c r="J103" s="97"/>
      <c r="K103" s="97"/>
      <c r="L103" s="97"/>
      <c r="M103" s="97"/>
      <c r="N103" s="97"/>
      <c r="O103" s="97"/>
      <c r="P103" s="97"/>
      <c r="Q103" s="97"/>
      <c r="R103" s="97"/>
      <c r="S103" s="97"/>
      <c r="T103" s="154"/>
    </row>
    <row r="104" spans="1:20" ht="15">
      <c r="B104" s="224"/>
      <c r="C104" s="225"/>
      <c r="D104" s="226"/>
      <c r="F104" s="227"/>
      <c r="G104" s="123"/>
      <c r="H104" s="163"/>
      <c r="I104" s="163"/>
      <c r="T104" s="228"/>
    </row>
    <row r="105" spans="1:20">
      <c r="B105" s="229"/>
      <c r="C105" s="178"/>
      <c r="D105" s="178"/>
      <c r="E105" s="178"/>
      <c r="F105" s="230"/>
      <c r="G105" s="178"/>
      <c r="H105" s="178"/>
      <c r="I105" s="178"/>
      <c r="J105" s="178"/>
      <c r="K105" s="178"/>
      <c r="L105" s="178"/>
      <c r="M105" s="178"/>
      <c r="N105" s="178"/>
      <c r="O105" s="178"/>
      <c r="P105" s="178"/>
      <c r="Q105" s="230"/>
      <c r="R105" s="179"/>
      <c r="S105" s="179"/>
      <c r="T105" s="179"/>
    </row>
    <row r="106" spans="1:20">
      <c r="B106" s="146"/>
      <c r="D106" s="81" t="s">
        <v>63</v>
      </c>
      <c r="F106" s="380" t="s">
        <v>64</v>
      </c>
      <c r="G106" s="381"/>
      <c r="H106" s="382"/>
      <c r="I106" s="382"/>
      <c r="J106" s="382"/>
      <c r="K106" s="382"/>
      <c r="L106" s="382"/>
      <c r="M106" s="382"/>
      <c r="N106" s="382"/>
      <c r="O106" s="382"/>
      <c r="P106" s="383"/>
      <c r="Q106" s="380" t="s">
        <v>65</v>
      </c>
      <c r="R106" s="379" t="s">
        <v>66</v>
      </c>
      <c r="S106" s="379" t="s">
        <v>67</v>
      </c>
      <c r="T106" s="379" t="s">
        <v>68</v>
      </c>
    </row>
    <row r="107" spans="1:20" ht="13.8">
      <c r="B107" s="231"/>
      <c r="C107" s="232"/>
      <c r="D107" s="5"/>
      <c r="F107" s="380" t="s">
        <v>69</v>
      </c>
      <c r="G107" s="381"/>
      <c r="H107" s="382"/>
      <c r="I107" s="382"/>
      <c r="J107" s="382"/>
      <c r="K107" s="382"/>
      <c r="L107" s="382"/>
      <c r="M107" s="382"/>
      <c r="N107" s="382"/>
      <c r="O107" s="382"/>
      <c r="P107" s="384"/>
      <c r="Q107" s="380" t="s">
        <v>70</v>
      </c>
      <c r="R107" s="233" t="s">
        <v>257</v>
      </c>
      <c r="S107" s="410">
        <f>$D$9</f>
        <v>27.46</v>
      </c>
      <c r="T107" s="233" t="s">
        <v>259</v>
      </c>
    </row>
    <row r="108" spans="1:20">
      <c r="B108" s="464" t="s">
        <v>71</v>
      </c>
      <c r="C108" s="60"/>
      <c r="D108" s="331" t="s">
        <v>234</v>
      </c>
      <c r="E108" s="60"/>
      <c r="F108" s="234"/>
      <c r="P108" s="343" t="s">
        <v>27</v>
      </c>
      <c r="Q108" s="274">
        <v>1</v>
      </c>
      <c r="R108" s="156"/>
      <c r="S108" s="156"/>
      <c r="T108" s="156"/>
    </row>
    <row r="109" spans="1:20">
      <c r="A109" s="154"/>
      <c r="B109" s="468" t="s">
        <v>72</v>
      </c>
      <c r="C109" s="5" t="s">
        <v>73</v>
      </c>
      <c r="D109" s="35" t="s">
        <v>74</v>
      </c>
      <c r="E109" s="154"/>
      <c r="F109" s="351">
        <v>501</v>
      </c>
      <c r="G109" s="66"/>
      <c r="P109" s="341">
        <v>1</v>
      </c>
      <c r="Q109" s="235">
        <v>1</v>
      </c>
      <c r="R109" s="272">
        <f ca="1">Elec_Est!R2076</f>
        <v>1000.866</v>
      </c>
      <c r="S109" s="378">
        <f ca="1">T109*$D$9</f>
        <v>165.90416666666667</v>
      </c>
      <c r="T109" s="272">
        <f ca="1">Elec_Est!T2076</f>
        <v>6.0416666666666661</v>
      </c>
    </row>
    <row r="110" spans="1:20">
      <c r="A110" s="154"/>
      <c r="B110" s="468">
        <v>2</v>
      </c>
      <c r="C110" s="5" t="s">
        <v>73</v>
      </c>
      <c r="D110" s="35" t="s">
        <v>75</v>
      </c>
      <c r="E110" s="154"/>
      <c r="F110" s="351">
        <v>505</v>
      </c>
      <c r="G110" s="66"/>
      <c r="P110" s="341">
        <v>1</v>
      </c>
      <c r="Q110" s="235">
        <v>1</v>
      </c>
      <c r="R110" s="272">
        <f>Elec_Est!R2077</f>
        <v>0</v>
      </c>
      <c r="S110" s="378">
        <f t="shared" ref="S110:S164" si="17">T110*$D$9</f>
        <v>0</v>
      </c>
      <c r="T110" s="272">
        <f>Elec_Est!T2077</f>
        <v>0</v>
      </c>
    </row>
    <row r="111" spans="1:20">
      <c r="A111" s="154"/>
      <c r="B111" s="468">
        <v>3</v>
      </c>
      <c r="C111" s="5" t="s">
        <v>73</v>
      </c>
      <c r="D111" s="35" t="s">
        <v>76</v>
      </c>
      <c r="E111" s="154"/>
      <c r="F111" s="351">
        <v>510</v>
      </c>
      <c r="G111" s="66"/>
      <c r="P111" s="341">
        <v>2</v>
      </c>
      <c r="Q111" s="235">
        <v>1</v>
      </c>
      <c r="R111" s="272">
        <f>Elec_Est!R2078</f>
        <v>0</v>
      </c>
      <c r="S111" s="378">
        <f t="shared" si="17"/>
        <v>0</v>
      </c>
      <c r="T111" s="272">
        <f>Elec_Est!T2078</f>
        <v>0</v>
      </c>
    </row>
    <row r="112" spans="1:20">
      <c r="A112" s="154"/>
      <c r="B112" s="468">
        <v>4</v>
      </c>
      <c r="C112" s="5" t="s">
        <v>73</v>
      </c>
      <c r="D112" s="35" t="s">
        <v>77</v>
      </c>
      <c r="E112" s="154"/>
      <c r="F112" s="351">
        <v>511</v>
      </c>
      <c r="G112" s="66"/>
      <c r="P112" s="341">
        <v>2</v>
      </c>
      <c r="Q112" s="235">
        <v>1</v>
      </c>
      <c r="R112" s="272">
        <f>Elec_Est!R2079</f>
        <v>0</v>
      </c>
      <c r="S112" s="378">
        <f t="shared" si="17"/>
        <v>0</v>
      </c>
      <c r="T112" s="272">
        <f>Elec_Est!T2079</f>
        <v>0</v>
      </c>
    </row>
    <row r="113" spans="1:20">
      <c r="A113" s="154"/>
      <c r="B113" s="468">
        <v>5</v>
      </c>
      <c r="C113" s="5" t="s">
        <v>73</v>
      </c>
      <c r="D113" s="35" t="s">
        <v>78</v>
      </c>
      <c r="E113" s="154"/>
      <c r="F113" s="351">
        <v>512</v>
      </c>
      <c r="G113" s="66"/>
      <c r="P113" s="341">
        <v>2</v>
      </c>
      <c r="Q113" s="235">
        <v>1</v>
      </c>
      <c r="R113" s="272">
        <f>Elec_Est!R2080</f>
        <v>100</v>
      </c>
      <c r="S113" s="378">
        <f t="shared" si="17"/>
        <v>219.68</v>
      </c>
      <c r="T113" s="272">
        <f>Elec_Est!T2080</f>
        <v>8</v>
      </c>
    </row>
    <row r="114" spans="1:20">
      <c r="A114" s="154"/>
      <c r="B114" s="468">
        <v>6</v>
      </c>
      <c r="C114" s="5" t="s">
        <v>73</v>
      </c>
      <c r="D114" s="35" t="s">
        <v>79</v>
      </c>
      <c r="E114" s="154"/>
      <c r="F114" s="351">
        <v>520</v>
      </c>
      <c r="G114" s="66"/>
      <c r="P114" s="341">
        <v>1</v>
      </c>
      <c r="Q114" s="235">
        <v>1</v>
      </c>
      <c r="R114" s="272">
        <f>Elec_Est!R2081</f>
        <v>0</v>
      </c>
      <c r="S114" s="378">
        <f t="shared" si="17"/>
        <v>0</v>
      </c>
      <c r="T114" s="272">
        <f>Elec_Est!T2081</f>
        <v>0</v>
      </c>
    </row>
    <row r="115" spans="1:20">
      <c r="A115" s="154"/>
      <c r="B115" s="468">
        <v>7</v>
      </c>
      <c r="C115" s="5" t="s">
        <v>73</v>
      </c>
      <c r="D115" s="35" t="s">
        <v>80</v>
      </c>
      <c r="E115" s="154"/>
      <c r="F115" s="351">
        <v>530</v>
      </c>
      <c r="G115" s="66"/>
      <c r="P115" s="341">
        <v>2</v>
      </c>
      <c r="Q115" s="235">
        <v>1</v>
      </c>
      <c r="R115" s="272">
        <f>Elec_Est!R2082</f>
        <v>0</v>
      </c>
      <c r="S115" s="378">
        <f t="shared" si="17"/>
        <v>0</v>
      </c>
      <c r="T115" s="272">
        <f>Elec_Est!T2082</f>
        <v>0</v>
      </c>
    </row>
    <row r="116" spans="1:20">
      <c r="A116" s="154"/>
      <c r="B116" s="468">
        <v>8</v>
      </c>
      <c r="C116" s="5" t="s">
        <v>73</v>
      </c>
      <c r="D116" s="35" t="s">
        <v>81</v>
      </c>
      <c r="E116" s="154"/>
      <c r="F116" s="351">
        <v>550</v>
      </c>
      <c r="G116" s="66"/>
      <c r="P116" s="341">
        <v>2</v>
      </c>
      <c r="Q116" s="235">
        <v>1</v>
      </c>
      <c r="R116" s="272">
        <f>Elec_Est!R2083</f>
        <v>0</v>
      </c>
      <c r="S116" s="378">
        <f t="shared" si="17"/>
        <v>0</v>
      </c>
      <c r="T116" s="272">
        <f>Elec_Est!T2083</f>
        <v>0</v>
      </c>
    </row>
    <row r="117" spans="1:20">
      <c r="A117" s="154"/>
      <c r="B117" s="468">
        <v>9</v>
      </c>
      <c r="C117" s="5" t="s">
        <v>73</v>
      </c>
      <c r="D117" s="35" t="s">
        <v>82</v>
      </c>
      <c r="E117" s="154"/>
      <c r="F117" s="351">
        <v>570</v>
      </c>
      <c r="G117" s="66"/>
      <c r="P117" s="341">
        <v>2</v>
      </c>
      <c r="Q117" s="235">
        <v>1</v>
      </c>
      <c r="R117" s="272">
        <f ca="1">Elec_Est!R2084</f>
        <v>35503.230000000003</v>
      </c>
      <c r="S117" s="378">
        <f t="shared" ca="1" si="17"/>
        <v>6247.1500000000005</v>
      </c>
      <c r="T117" s="272">
        <f ca="1">Elec_Est!T2084</f>
        <v>227.5</v>
      </c>
    </row>
    <row r="118" spans="1:20">
      <c r="A118" s="154"/>
      <c r="B118" s="468">
        <v>10</v>
      </c>
      <c r="C118" s="5" t="s">
        <v>73</v>
      </c>
      <c r="D118" s="35" t="s">
        <v>83</v>
      </c>
      <c r="E118" s="154"/>
      <c r="F118" s="351">
        <v>615</v>
      </c>
      <c r="G118" s="66"/>
      <c r="P118" s="341">
        <v>2</v>
      </c>
      <c r="Q118" s="235">
        <v>1</v>
      </c>
      <c r="R118" s="272">
        <f ca="1">Elec_Est!R2085</f>
        <v>66.3</v>
      </c>
      <c r="S118" s="378">
        <f t="shared" ca="1" si="17"/>
        <v>71.396000000000001</v>
      </c>
      <c r="T118" s="272">
        <f ca="1">Elec_Est!T2085</f>
        <v>2.6</v>
      </c>
    </row>
    <row r="119" spans="1:20">
      <c r="A119" s="154"/>
      <c r="B119" s="468" t="s">
        <v>84</v>
      </c>
      <c r="C119" s="5" t="s">
        <v>73</v>
      </c>
      <c r="D119" s="35" t="s">
        <v>85</v>
      </c>
      <c r="E119" s="154"/>
      <c r="F119" s="351">
        <v>616</v>
      </c>
      <c r="G119" s="66"/>
      <c r="P119" s="341">
        <v>2</v>
      </c>
      <c r="Q119" s="235">
        <v>1</v>
      </c>
      <c r="R119" s="272">
        <f ca="1">Elec_Est!R2086</f>
        <v>14618.919999999998</v>
      </c>
      <c r="S119" s="378">
        <f t="shared" ca="1" si="17"/>
        <v>1487.7828</v>
      </c>
      <c r="T119" s="272">
        <f ca="1">Elec_Est!T2086</f>
        <v>54.18</v>
      </c>
    </row>
    <row r="120" spans="1:20">
      <c r="A120" s="154"/>
      <c r="B120" s="468">
        <v>12</v>
      </c>
      <c r="C120" s="5" t="s">
        <v>73</v>
      </c>
      <c r="D120" s="35" t="s">
        <v>86</v>
      </c>
      <c r="E120" s="154"/>
      <c r="F120" s="351">
        <v>617</v>
      </c>
      <c r="G120" s="66"/>
      <c r="P120" s="341">
        <v>2</v>
      </c>
      <c r="Q120" s="235">
        <v>1</v>
      </c>
      <c r="R120" s="272">
        <f ca="1">Elec_Est!R2087</f>
        <v>3971.625</v>
      </c>
      <c r="S120" s="378">
        <f t="shared" ca="1" si="17"/>
        <v>2891.2633999999998</v>
      </c>
      <c r="T120" s="272">
        <f ca="1">Elec_Est!T2087</f>
        <v>105.28999999999999</v>
      </c>
    </row>
    <row r="121" spans="1:20">
      <c r="A121" s="154"/>
      <c r="B121" s="468">
        <v>13</v>
      </c>
      <c r="C121" s="5" t="s">
        <v>73</v>
      </c>
      <c r="D121" s="35" t="s">
        <v>87</v>
      </c>
      <c r="E121" s="154"/>
      <c r="F121" s="351">
        <v>620</v>
      </c>
      <c r="G121" s="66"/>
      <c r="P121" s="341">
        <v>2</v>
      </c>
      <c r="Q121" s="235">
        <v>1</v>
      </c>
      <c r="R121" s="272">
        <f ca="1">Elec_Est!R2088</f>
        <v>1188.02</v>
      </c>
      <c r="S121" s="378">
        <f t="shared" ca="1" si="17"/>
        <v>2954.1467999999995</v>
      </c>
      <c r="T121" s="272">
        <f ca="1">Elec_Est!T2088</f>
        <v>107.57999999999998</v>
      </c>
    </row>
    <row r="122" spans="1:20">
      <c r="A122" s="154"/>
      <c r="B122" s="468">
        <v>14</v>
      </c>
      <c r="C122" s="5" t="s">
        <v>73</v>
      </c>
      <c r="D122" s="35" t="s">
        <v>88</v>
      </c>
      <c r="E122" s="154"/>
      <c r="F122" s="351">
        <v>650</v>
      </c>
      <c r="G122" s="66"/>
      <c r="P122" s="341">
        <v>1</v>
      </c>
      <c r="Q122" s="235">
        <v>1</v>
      </c>
      <c r="R122" s="272">
        <f ca="1">Elec_Est!R2089</f>
        <v>184.44</v>
      </c>
      <c r="S122" s="378">
        <f t="shared" ca="1" si="17"/>
        <v>278.71899999999999</v>
      </c>
      <c r="T122" s="272">
        <f ca="1">Elec_Est!T2089</f>
        <v>10.15</v>
      </c>
    </row>
    <row r="123" spans="1:20">
      <c r="A123" s="154"/>
      <c r="B123" s="468">
        <v>15</v>
      </c>
      <c r="C123" s="5" t="s">
        <v>73</v>
      </c>
      <c r="D123" s="35" t="s">
        <v>89</v>
      </c>
      <c r="E123" s="154"/>
      <c r="F123" s="351">
        <v>651</v>
      </c>
      <c r="G123" s="66"/>
      <c r="P123" s="341">
        <v>1</v>
      </c>
      <c r="Q123" s="235">
        <v>1</v>
      </c>
      <c r="R123" s="272">
        <f>Elec_Est!R2090</f>
        <v>0</v>
      </c>
      <c r="S123" s="378">
        <f t="shared" si="17"/>
        <v>0</v>
      </c>
      <c r="T123" s="272">
        <f>Elec_Est!T2090</f>
        <v>0</v>
      </c>
    </row>
    <row r="124" spans="1:20">
      <c r="A124" s="154"/>
      <c r="B124" s="468">
        <v>16</v>
      </c>
      <c r="C124" s="5" t="s">
        <v>73</v>
      </c>
      <c r="D124" s="35" t="s">
        <v>90</v>
      </c>
      <c r="E124" s="154"/>
      <c r="F124" s="351">
        <v>652</v>
      </c>
      <c r="G124" s="66"/>
      <c r="P124" s="341">
        <v>1</v>
      </c>
      <c r="Q124" s="235">
        <v>1</v>
      </c>
      <c r="R124" s="272">
        <f>Elec_Est!R2091</f>
        <v>0</v>
      </c>
      <c r="S124" s="378">
        <f t="shared" si="17"/>
        <v>0</v>
      </c>
      <c r="T124" s="272">
        <f>Elec_Est!T2091</f>
        <v>0</v>
      </c>
    </row>
    <row r="125" spans="1:20">
      <c r="A125" s="154"/>
      <c r="B125" s="468">
        <v>17</v>
      </c>
      <c r="C125" s="5" t="s">
        <v>73</v>
      </c>
      <c r="D125" s="35" t="s">
        <v>91</v>
      </c>
      <c r="E125" s="154"/>
      <c r="F125" s="351">
        <v>654</v>
      </c>
      <c r="G125" s="66"/>
      <c r="P125" s="341">
        <v>1</v>
      </c>
      <c r="Q125" s="235">
        <v>1</v>
      </c>
      <c r="R125" s="272">
        <f>Elec_Est!R2092</f>
        <v>0</v>
      </c>
      <c r="S125" s="378">
        <f t="shared" si="17"/>
        <v>0</v>
      </c>
      <c r="T125" s="272">
        <f>Elec_Est!T2092</f>
        <v>0</v>
      </c>
    </row>
    <row r="126" spans="1:20">
      <c r="A126" s="154"/>
      <c r="B126" s="468">
        <v>18</v>
      </c>
      <c r="C126" s="5" t="s">
        <v>73</v>
      </c>
      <c r="D126" s="35" t="s">
        <v>92</v>
      </c>
      <c r="E126" s="154"/>
      <c r="F126" s="351">
        <v>675</v>
      </c>
      <c r="G126" s="66"/>
      <c r="P126" s="341">
        <v>1</v>
      </c>
      <c r="Q126" s="235">
        <v>1</v>
      </c>
      <c r="R126" s="272">
        <f>Elec_Est!R2093</f>
        <v>0</v>
      </c>
      <c r="S126" s="378">
        <f t="shared" si="17"/>
        <v>0</v>
      </c>
      <c r="T126" s="272">
        <f>Elec_Est!T2093</f>
        <v>0</v>
      </c>
    </row>
    <row r="127" spans="1:20">
      <c r="A127" s="154"/>
      <c r="B127" s="468">
        <v>19</v>
      </c>
      <c r="C127" s="5" t="s">
        <v>73</v>
      </c>
      <c r="D127" s="35" t="s">
        <v>93</v>
      </c>
      <c r="E127" s="154"/>
      <c r="F127" s="351">
        <v>676</v>
      </c>
      <c r="G127" s="66"/>
      <c r="P127" s="341">
        <v>1</v>
      </c>
      <c r="Q127" s="235">
        <v>1</v>
      </c>
      <c r="R127" s="272">
        <f>Elec_Est!R2094</f>
        <v>0</v>
      </c>
      <c r="S127" s="378">
        <f t="shared" si="17"/>
        <v>0</v>
      </c>
      <c r="T127" s="272">
        <f>Elec_Est!T2094</f>
        <v>0</v>
      </c>
    </row>
    <row r="128" spans="1:20">
      <c r="A128" s="154"/>
      <c r="B128" s="468">
        <v>20</v>
      </c>
      <c r="C128" s="5" t="s">
        <v>73</v>
      </c>
      <c r="D128" s="35" t="s">
        <v>94</v>
      </c>
      <c r="E128" s="154"/>
      <c r="F128" s="351">
        <v>680</v>
      </c>
      <c r="G128" s="66"/>
      <c r="P128" s="341">
        <v>1</v>
      </c>
      <c r="Q128" s="235">
        <v>1</v>
      </c>
      <c r="R128" s="272">
        <f>Elec_Est!R2095</f>
        <v>0</v>
      </c>
      <c r="S128" s="378">
        <f t="shared" si="17"/>
        <v>0</v>
      </c>
      <c r="T128" s="272">
        <f>Elec_Est!T2095</f>
        <v>0</v>
      </c>
    </row>
    <row r="129" spans="1:20">
      <c r="A129" s="154"/>
      <c r="B129" s="468" t="s">
        <v>95</v>
      </c>
      <c r="C129" s="5" t="s">
        <v>73</v>
      </c>
      <c r="D129" s="35" t="s">
        <v>96</v>
      </c>
      <c r="E129" s="154"/>
      <c r="F129" s="351">
        <v>681</v>
      </c>
      <c r="G129" s="66"/>
      <c r="P129" s="341">
        <v>1</v>
      </c>
      <c r="Q129" s="235">
        <v>1</v>
      </c>
      <c r="R129" s="272">
        <f>Elec_Est!R2096</f>
        <v>0</v>
      </c>
      <c r="S129" s="378">
        <f t="shared" si="17"/>
        <v>0</v>
      </c>
      <c r="T129" s="272">
        <f>Elec_Est!T2096</f>
        <v>0</v>
      </c>
    </row>
    <row r="130" spans="1:20">
      <c r="A130" s="154"/>
      <c r="B130" s="468">
        <v>22</v>
      </c>
      <c r="C130" s="5" t="s">
        <v>73</v>
      </c>
      <c r="D130" s="35" t="s">
        <v>97</v>
      </c>
      <c r="E130" s="154"/>
      <c r="F130" s="351">
        <v>690</v>
      </c>
      <c r="G130" s="66"/>
      <c r="P130" s="341">
        <v>1</v>
      </c>
      <c r="Q130" s="235">
        <v>1</v>
      </c>
      <c r="R130" s="272">
        <f ca="1">Elec_Est!R2097</f>
        <v>1460.8400000000001</v>
      </c>
      <c r="S130" s="378">
        <f t="shared" ca="1" si="17"/>
        <v>2185.8159999999993</v>
      </c>
      <c r="T130" s="272">
        <f ca="1">Elec_Est!T2097</f>
        <v>79.59999999999998</v>
      </c>
    </row>
    <row r="131" spans="1:20">
      <c r="A131" s="154"/>
      <c r="B131" s="468">
        <v>23</v>
      </c>
      <c r="C131" s="5" t="s">
        <v>73</v>
      </c>
      <c r="D131" s="35" t="s">
        <v>98</v>
      </c>
      <c r="E131" s="154"/>
      <c r="F131" s="351">
        <v>700</v>
      </c>
      <c r="G131" s="66"/>
      <c r="P131" s="341">
        <v>1</v>
      </c>
      <c r="Q131" s="235">
        <v>1</v>
      </c>
      <c r="R131" s="272">
        <f ca="1">Elec_Est!R2098</f>
        <v>627.29999999999995</v>
      </c>
      <c r="S131" s="378">
        <f t="shared" ca="1" si="17"/>
        <v>1512.4967999999999</v>
      </c>
      <c r="T131" s="272">
        <f ca="1">Elec_Est!T2098</f>
        <v>55.08</v>
      </c>
    </row>
    <row r="132" spans="1:20">
      <c r="A132" s="154"/>
      <c r="B132" s="468">
        <v>24</v>
      </c>
      <c r="C132" s="5" t="s">
        <v>73</v>
      </c>
      <c r="D132" s="35" t="s">
        <v>99</v>
      </c>
      <c r="E132" s="154"/>
      <c r="F132" s="351">
        <v>705</v>
      </c>
      <c r="G132" s="66"/>
      <c r="P132" s="341">
        <v>3</v>
      </c>
      <c r="Q132" s="235">
        <v>1</v>
      </c>
      <c r="R132" s="272">
        <f>Elec_Est!R2099</f>
        <v>0</v>
      </c>
      <c r="S132" s="378">
        <f t="shared" si="17"/>
        <v>0</v>
      </c>
      <c r="T132" s="272">
        <f>Elec_Est!T2099</f>
        <v>0</v>
      </c>
    </row>
    <row r="133" spans="1:20">
      <c r="A133" s="154"/>
      <c r="B133" s="468">
        <v>25</v>
      </c>
      <c r="C133" s="5" t="s">
        <v>73</v>
      </c>
      <c r="D133" s="35" t="s">
        <v>100</v>
      </c>
      <c r="E133" s="154"/>
      <c r="F133" s="351">
        <v>706</v>
      </c>
      <c r="G133" s="66"/>
      <c r="P133" s="341">
        <v>3</v>
      </c>
      <c r="Q133" s="235">
        <v>1</v>
      </c>
      <c r="R133" s="272">
        <f>Elec_Est!R2100</f>
        <v>0</v>
      </c>
      <c r="S133" s="378">
        <f t="shared" si="17"/>
        <v>0</v>
      </c>
      <c r="T133" s="272">
        <f>Elec_Est!T2100</f>
        <v>0</v>
      </c>
    </row>
    <row r="134" spans="1:20">
      <c r="A134" s="154"/>
      <c r="B134" s="468">
        <v>26</v>
      </c>
      <c r="C134" s="5" t="s">
        <v>73</v>
      </c>
      <c r="D134" s="35" t="s">
        <v>101</v>
      </c>
      <c r="E134" s="154"/>
      <c r="F134" s="351">
        <v>725</v>
      </c>
      <c r="G134" s="66"/>
      <c r="P134" s="341">
        <v>3</v>
      </c>
      <c r="Q134" s="235">
        <v>1</v>
      </c>
      <c r="R134" s="272">
        <f>Elec_Est!R2101</f>
        <v>0</v>
      </c>
      <c r="S134" s="378">
        <f t="shared" si="17"/>
        <v>0</v>
      </c>
      <c r="T134" s="272">
        <f>Elec_Est!T2101</f>
        <v>0</v>
      </c>
    </row>
    <row r="135" spans="1:20">
      <c r="A135" s="154"/>
      <c r="B135" s="468">
        <v>27</v>
      </c>
      <c r="C135" s="5" t="s">
        <v>73</v>
      </c>
      <c r="D135" s="35" t="s">
        <v>102</v>
      </c>
      <c r="E135" s="154"/>
      <c r="F135" s="351">
        <v>726</v>
      </c>
      <c r="G135" s="66"/>
      <c r="P135" s="341">
        <v>3</v>
      </c>
      <c r="Q135" s="235">
        <v>1</v>
      </c>
      <c r="R135" s="272">
        <f>Elec_Est!R2102</f>
        <v>0</v>
      </c>
      <c r="S135" s="378">
        <f t="shared" si="17"/>
        <v>0</v>
      </c>
      <c r="T135" s="272">
        <f>Elec_Est!T2102</f>
        <v>0</v>
      </c>
    </row>
    <row r="136" spans="1:20">
      <c r="A136" s="154"/>
      <c r="B136" s="468">
        <v>28</v>
      </c>
      <c r="C136" s="5" t="s">
        <v>73</v>
      </c>
      <c r="D136" s="35" t="s">
        <v>103</v>
      </c>
      <c r="E136" s="154"/>
      <c r="F136" s="351">
        <v>750</v>
      </c>
      <c r="G136" s="66"/>
      <c r="P136" s="341">
        <v>3</v>
      </c>
      <c r="Q136" s="235">
        <v>1</v>
      </c>
      <c r="R136" s="272">
        <f>Elec_Est!R2103</f>
        <v>0</v>
      </c>
      <c r="S136" s="378">
        <f t="shared" si="17"/>
        <v>0</v>
      </c>
      <c r="T136" s="272">
        <f>Elec_Est!T2103</f>
        <v>0</v>
      </c>
    </row>
    <row r="137" spans="1:20">
      <c r="A137" s="154"/>
      <c r="B137" s="468">
        <v>29</v>
      </c>
      <c r="C137" s="5" t="s">
        <v>73</v>
      </c>
      <c r="D137" s="35" t="s">
        <v>104</v>
      </c>
      <c r="E137" s="154"/>
      <c r="F137" s="351">
        <v>751</v>
      </c>
      <c r="G137" s="66"/>
      <c r="P137" s="341">
        <v>3</v>
      </c>
      <c r="Q137" s="235">
        <v>1</v>
      </c>
      <c r="R137" s="272">
        <f>Elec_Est!R2104</f>
        <v>0</v>
      </c>
      <c r="S137" s="378">
        <f t="shared" si="17"/>
        <v>0</v>
      </c>
      <c r="T137" s="272">
        <f>Elec_Est!T2104</f>
        <v>0</v>
      </c>
    </row>
    <row r="138" spans="1:20">
      <c r="A138" s="154"/>
      <c r="B138" s="468">
        <v>30</v>
      </c>
      <c r="C138" s="5" t="s">
        <v>73</v>
      </c>
      <c r="D138" s="35" t="s">
        <v>105</v>
      </c>
      <c r="E138" s="154"/>
      <c r="F138" s="351">
        <v>752</v>
      </c>
      <c r="G138" s="66"/>
      <c r="P138" s="341">
        <v>3</v>
      </c>
      <c r="Q138" s="235">
        <v>1</v>
      </c>
      <c r="R138" s="272">
        <f>Elec_Est!R2105</f>
        <v>0</v>
      </c>
      <c r="S138" s="378">
        <f t="shared" si="17"/>
        <v>0</v>
      </c>
      <c r="T138" s="272">
        <f>Elec_Est!T2105</f>
        <v>0</v>
      </c>
    </row>
    <row r="139" spans="1:20">
      <c r="A139" s="154"/>
      <c r="B139" s="468" t="s">
        <v>106</v>
      </c>
      <c r="C139" s="5" t="s">
        <v>73</v>
      </c>
      <c r="D139" s="601" t="s">
        <v>296</v>
      </c>
      <c r="E139" s="154"/>
      <c r="F139" s="351">
        <v>753</v>
      </c>
      <c r="G139" s="66"/>
      <c r="P139" s="341">
        <v>3</v>
      </c>
      <c r="Q139" s="235">
        <v>1</v>
      </c>
      <c r="R139" s="272">
        <f>Elec_Est!R2106</f>
        <v>0</v>
      </c>
      <c r="S139" s="378">
        <f t="shared" si="17"/>
        <v>0</v>
      </c>
      <c r="T139" s="272">
        <f>Elec_Est!T2106</f>
        <v>0</v>
      </c>
    </row>
    <row r="140" spans="1:20">
      <c r="A140" s="154"/>
      <c r="B140" s="468">
        <v>32</v>
      </c>
      <c r="C140" s="5" t="s">
        <v>73</v>
      </c>
      <c r="D140" s="35" t="s">
        <v>107</v>
      </c>
      <c r="E140" s="154"/>
      <c r="F140" s="351">
        <v>770</v>
      </c>
      <c r="G140" s="66"/>
      <c r="P140" s="341">
        <v>3</v>
      </c>
      <c r="Q140" s="235">
        <v>1</v>
      </c>
      <c r="R140" s="272">
        <f>Elec_Est!R2107</f>
        <v>0</v>
      </c>
      <c r="S140" s="378">
        <f t="shared" si="17"/>
        <v>0</v>
      </c>
      <c r="T140" s="272">
        <f>Elec_Est!T2107</f>
        <v>0</v>
      </c>
    </row>
    <row r="141" spans="1:20">
      <c r="A141" s="154"/>
      <c r="B141" s="468">
        <v>33</v>
      </c>
      <c r="C141" s="5" t="s">
        <v>73</v>
      </c>
      <c r="D141" s="35" t="s">
        <v>108</v>
      </c>
      <c r="E141" s="154"/>
      <c r="F141" s="351">
        <v>790</v>
      </c>
      <c r="G141" s="66"/>
      <c r="P141" s="341">
        <v>3</v>
      </c>
      <c r="Q141" s="235">
        <v>1</v>
      </c>
      <c r="R141" s="272">
        <f>Elec_Est!R2108</f>
        <v>0</v>
      </c>
      <c r="S141" s="378">
        <f t="shared" si="17"/>
        <v>0</v>
      </c>
      <c r="T141" s="272">
        <f>Elec_Est!T2108</f>
        <v>0</v>
      </c>
    </row>
    <row r="142" spans="1:20">
      <c r="A142" s="154"/>
      <c r="B142" s="468">
        <v>34</v>
      </c>
      <c r="C142" s="5" t="s">
        <v>73</v>
      </c>
      <c r="D142" s="35" t="s">
        <v>109</v>
      </c>
      <c r="E142" s="154"/>
      <c r="F142" s="351">
        <v>791</v>
      </c>
      <c r="G142" s="66"/>
      <c r="P142" s="341">
        <v>3</v>
      </c>
      <c r="Q142" s="235">
        <v>1</v>
      </c>
      <c r="R142" s="272">
        <f>Elec_Est!R2109</f>
        <v>0</v>
      </c>
      <c r="S142" s="378">
        <f t="shared" si="17"/>
        <v>0</v>
      </c>
      <c r="T142" s="272">
        <f>Elec_Est!T2109</f>
        <v>0</v>
      </c>
    </row>
    <row r="143" spans="1:20">
      <c r="A143" s="154"/>
      <c r="B143" s="468">
        <v>35</v>
      </c>
      <c r="C143" s="5" t="s">
        <v>73</v>
      </c>
      <c r="D143" s="35" t="s">
        <v>110</v>
      </c>
      <c r="E143" s="154"/>
      <c r="F143" s="351">
        <v>810</v>
      </c>
      <c r="G143" s="66"/>
      <c r="P143" s="341">
        <v>3</v>
      </c>
      <c r="Q143" s="235">
        <v>1</v>
      </c>
      <c r="R143" s="272">
        <f>Elec_Est!R2110</f>
        <v>0</v>
      </c>
      <c r="S143" s="378">
        <f t="shared" si="17"/>
        <v>0</v>
      </c>
      <c r="T143" s="272">
        <f>Elec_Est!T2110</f>
        <v>0</v>
      </c>
    </row>
    <row r="144" spans="1:20">
      <c r="A144" s="154"/>
      <c r="B144" s="468">
        <v>36</v>
      </c>
      <c r="C144" s="5" t="s">
        <v>73</v>
      </c>
      <c r="D144" s="35" t="s">
        <v>111</v>
      </c>
      <c r="E144" s="154"/>
      <c r="F144" s="351">
        <v>815</v>
      </c>
      <c r="G144" s="66"/>
      <c r="P144" s="341">
        <v>3</v>
      </c>
      <c r="Q144" s="235">
        <v>1</v>
      </c>
      <c r="R144" s="272">
        <f>Elec_Est!R2111</f>
        <v>0</v>
      </c>
      <c r="S144" s="378">
        <f t="shared" si="17"/>
        <v>0</v>
      </c>
      <c r="T144" s="272">
        <f>Elec_Est!T2111</f>
        <v>0</v>
      </c>
    </row>
    <row r="145" spans="1:20">
      <c r="A145" s="154"/>
      <c r="B145" s="468">
        <v>37</v>
      </c>
      <c r="C145" s="5" t="s">
        <v>73</v>
      </c>
      <c r="D145" s="35" t="s">
        <v>112</v>
      </c>
      <c r="E145" s="154"/>
      <c r="F145" s="351">
        <v>820</v>
      </c>
      <c r="G145" s="66"/>
      <c r="P145" s="341">
        <v>2</v>
      </c>
      <c r="Q145" s="235">
        <v>1</v>
      </c>
      <c r="R145" s="272">
        <f>Elec_Est!R2112</f>
        <v>0</v>
      </c>
      <c r="S145" s="378">
        <f t="shared" si="17"/>
        <v>0</v>
      </c>
      <c r="T145" s="272">
        <f>Elec_Est!T2112</f>
        <v>0</v>
      </c>
    </row>
    <row r="146" spans="1:20">
      <c r="A146" s="154"/>
      <c r="B146" s="468">
        <v>38</v>
      </c>
      <c r="C146" s="5" t="s">
        <v>73</v>
      </c>
      <c r="D146" s="35" t="s">
        <v>113</v>
      </c>
      <c r="E146" s="154"/>
      <c r="F146" s="351">
        <v>821</v>
      </c>
      <c r="G146" s="66"/>
      <c r="P146" s="341">
        <v>3</v>
      </c>
      <c r="Q146" s="235">
        <v>1</v>
      </c>
      <c r="R146" s="272">
        <f>Elec_Est!R2113</f>
        <v>0</v>
      </c>
      <c r="S146" s="378">
        <f t="shared" si="17"/>
        <v>0</v>
      </c>
      <c r="T146" s="272">
        <f>Elec_Est!T2113</f>
        <v>0</v>
      </c>
    </row>
    <row r="147" spans="1:20">
      <c r="A147" s="154"/>
      <c r="B147" s="468">
        <v>39</v>
      </c>
      <c r="C147" s="5" t="s">
        <v>73</v>
      </c>
      <c r="D147" s="35" t="s">
        <v>114</v>
      </c>
      <c r="E147" s="154"/>
      <c r="F147" s="351">
        <v>835</v>
      </c>
      <c r="G147" s="66"/>
      <c r="P147" s="341">
        <v>3</v>
      </c>
      <c r="Q147" s="235">
        <v>1</v>
      </c>
      <c r="R147" s="272">
        <f>Elec_Est!R2114</f>
        <v>0</v>
      </c>
      <c r="S147" s="378">
        <f t="shared" si="17"/>
        <v>0</v>
      </c>
      <c r="T147" s="272">
        <f>Elec_Est!T2114</f>
        <v>0</v>
      </c>
    </row>
    <row r="148" spans="1:20">
      <c r="A148" s="154"/>
      <c r="B148" s="468">
        <v>40</v>
      </c>
      <c r="C148" s="5" t="s">
        <v>73</v>
      </c>
      <c r="D148" s="35" t="s">
        <v>115</v>
      </c>
      <c r="E148" s="154"/>
      <c r="F148" s="351">
        <v>845</v>
      </c>
      <c r="G148" s="66"/>
      <c r="P148" s="341">
        <v>2</v>
      </c>
      <c r="Q148" s="235">
        <v>1</v>
      </c>
      <c r="R148" s="272">
        <f ca="1">Elec_Est!R2115</f>
        <v>100</v>
      </c>
      <c r="S148" s="378">
        <f t="shared" ca="1" si="17"/>
        <v>0</v>
      </c>
      <c r="T148" s="272">
        <f ca="1">Elec_Est!T2115</f>
        <v>0</v>
      </c>
    </row>
    <row r="149" spans="1:20">
      <c r="A149" s="154"/>
      <c r="B149" s="468" t="s">
        <v>116</v>
      </c>
      <c r="C149" s="5" t="s">
        <v>73</v>
      </c>
      <c r="D149" s="35" t="s">
        <v>117</v>
      </c>
      <c r="E149" s="154"/>
      <c r="F149" s="351">
        <v>855</v>
      </c>
      <c r="G149" s="66"/>
      <c r="P149" s="341">
        <v>3</v>
      </c>
      <c r="Q149" s="235">
        <v>1</v>
      </c>
      <c r="R149" s="272">
        <f>Elec_Est!R2116</f>
        <v>0</v>
      </c>
      <c r="S149" s="378">
        <f t="shared" si="17"/>
        <v>0</v>
      </c>
      <c r="T149" s="272">
        <f>Elec_Est!T2116</f>
        <v>0</v>
      </c>
    </row>
    <row r="150" spans="1:20">
      <c r="A150" s="154"/>
      <c r="B150" s="468">
        <v>42</v>
      </c>
      <c r="C150" s="5" t="s">
        <v>73</v>
      </c>
      <c r="D150" s="35" t="s">
        <v>118</v>
      </c>
      <c r="E150" s="154"/>
      <c r="F150" s="351">
        <v>856</v>
      </c>
      <c r="G150" s="66"/>
      <c r="P150" s="341">
        <v>3</v>
      </c>
      <c r="Q150" s="235">
        <v>1</v>
      </c>
      <c r="R150" s="272">
        <f>Elec_Est!R2117</f>
        <v>0</v>
      </c>
      <c r="S150" s="378">
        <f t="shared" si="17"/>
        <v>0</v>
      </c>
      <c r="T150" s="272">
        <f>Elec_Est!T2117</f>
        <v>0</v>
      </c>
    </row>
    <row r="151" spans="1:20">
      <c r="A151" s="154"/>
      <c r="B151" s="468">
        <v>43</v>
      </c>
      <c r="C151" s="5" t="s">
        <v>73</v>
      </c>
      <c r="D151" s="35" t="s">
        <v>273</v>
      </c>
      <c r="E151" s="154"/>
      <c r="F151" s="351">
        <v>857</v>
      </c>
      <c r="G151" s="66"/>
      <c r="P151" s="341">
        <v>4</v>
      </c>
      <c r="Q151" s="235">
        <v>1</v>
      </c>
      <c r="R151" s="272">
        <f>Elec_Est!R2118</f>
        <v>0</v>
      </c>
      <c r="S151" s="378">
        <f t="shared" si="17"/>
        <v>0</v>
      </c>
      <c r="T151" s="272">
        <f>Elec_Est!T2118</f>
        <v>0</v>
      </c>
    </row>
    <row r="152" spans="1:20">
      <c r="A152" s="154"/>
      <c r="B152" s="468">
        <v>44</v>
      </c>
      <c r="C152" s="5" t="s">
        <v>73</v>
      </c>
      <c r="D152" s="35" t="s">
        <v>119</v>
      </c>
      <c r="E152" s="154"/>
      <c r="F152" s="351">
        <v>858</v>
      </c>
      <c r="G152" s="66"/>
      <c r="P152" s="341">
        <v>3</v>
      </c>
      <c r="Q152" s="235">
        <v>1</v>
      </c>
      <c r="R152" s="272">
        <f>Elec_Est!R2119</f>
        <v>0</v>
      </c>
      <c r="S152" s="378">
        <f t="shared" si="17"/>
        <v>0</v>
      </c>
      <c r="T152" s="272">
        <f>Elec_Est!T2119</f>
        <v>0</v>
      </c>
    </row>
    <row r="153" spans="1:20">
      <c r="A153" s="154"/>
      <c r="B153" s="468">
        <v>45</v>
      </c>
      <c r="C153" s="5" t="s">
        <v>73</v>
      </c>
      <c r="D153" s="35" t="s">
        <v>120</v>
      </c>
      <c r="E153" s="154"/>
      <c r="F153" s="351">
        <v>865</v>
      </c>
      <c r="G153" s="66"/>
      <c r="P153" s="341">
        <v>3</v>
      </c>
      <c r="Q153" s="235">
        <v>1</v>
      </c>
      <c r="R153" s="272">
        <f>Elec_Est!R2120</f>
        <v>0</v>
      </c>
      <c r="S153" s="378">
        <f t="shared" si="17"/>
        <v>0</v>
      </c>
      <c r="T153" s="272">
        <f>Elec_Est!T2120</f>
        <v>0</v>
      </c>
    </row>
    <row r="154" spans="1:20">
      <c r="A154" s="154"/>
      <c r="B154" s="468">
        <v>46</v>
      </c>
      <c r="C154" s="5" t="s">
        <v>73</v>
      </c>
      <c r="D154" s="35" t="s">
        <v>121</v>
      </c>
      <c r="E154" s="154"/>
      <c r="F154" s="351">
        <v>870</v>
      </c>
      <c r="G154" s="66"/>
      <c r="P154" s="341">
        <v>4</v>
      </c>
      <c r="Q154" s="235">
        <v>1</v>
      </c>
      <c r="R154" s="272">
        <f>Elec_Est!R2121</f>
        <v>0</v>
      </c>
      <c r="S154" s="378">
        <f t="shared" si="17"/>
        <v>0</v>
      </c>
      <c r="T154" s="272">
        <f>Elec_Est!T2121</f>
        <v>0</v>
      </c>
    </row>
    <row r="155" spans="1:20">
      <c r="A155" s="154"/>
      <c r="B155" s="468">
        <v>47</v>
      </c>
      <c r="C155" s="5" t="s">
        <v>73</v>
      </c>
      <c r="D155" s="35" t="s">
        <v>122</v>
      </c>
      <c r="E155" s="154"/>
      <c r="F155" s="351">
        <v>875</v>
      </c>
      <c r="G155" s="66"/>
      <c r="P155" s="341">
        <v>1</v>
      </c>
      <c r="Q155" s="235">
        <v>1</v>
      </c>
      <c r="R155" s="272">
        <f ca="1">Elec_Est!R2122</f>
        <v>463.47749999999996</v>
      </c>
      <c r="S155" s="378">
        <f t="shared" ca="1" si="17"/>
        <v>0</v>
      </c>
      <c r="T155" s="272">
        <f ca="1">Elec_Est!T2122</f>
        <v>0</v>
      </c>
    </row>
    <row r="156" spans="1:20">
      <c r="A156" s="154"/>
      <c r="B156" s="468">
        <v>48</v>
      </c>
      <c r="C156" s="5" t="s">
        <v>73</v>
      </c>
      <c r="D156" s="35" t="s">
        <v>123</v>
      </c>
      <c r="E156" s="154"/>
      <c r="F156" s="351">
        <v>880</v>
      </c>
      <c r="G156" s="66"/>
      <c r="P156" s="341">
        <v>3</v>
      </c>
      <c r="Q156" s="235">
        <v>1</v>
      </c>
      <c r="R156" s="272">
        <f>Elec_Est!R2123</f>
        <v>0</v>
      </c>
      <c r="S156" s="378">
        <f t="shared" si="17"/>
        <v>0</v>
      </c>
      <c r="T156" s="272">
        <f>Elec_Est!T2123</f>
        <v>0</v>
      </c>
    </row>
    <row r="157" spans="1:20">
      <c r="A157" s="154"/>
      <c r="B157" s="468">
        <v>49</v>
      </c>
      <c r="C157" s="5" t="s">
        <v>73</v>
      </c>
      <c r="D157" s="35" t="s">
        <v>124</v>
      </c>
      <c r="E157" s="154"/>
      <c r="F157" s="351">
        <v>885</v>
      </c>
      <c r="G157" s="66"/>
      <c r="P157" s="341">
        <v>4</v>
      </c>
      <c r="Q157" s="235">
        <v>1</v>
      </c>
      <c r="R157" s="272">
        <f>Elec_Est!R2124</f>
        <v>0</v>
      </c>
      <c r="S157" s="378">
        <f t="shared" si="17"/>
        <v>0</v>
      </c>
      <c r="T157" s="272">
        <f>Elec_Est!T2124</f>
        <v>0</v>
      </c>
    </row>
    <row r="158" spans="1:20">
      <c r="A158" s="154"/>
      <c r="B158" s="468">
        <v>50</v>
      </c>
      <c r="C158" s="5" t="s">
        <v>73</v>
      </c>
      <c r="D158" s="35" t="s">
        <v>68</v>
      </c>
      <c r="E158" s="154"/>
      <c r="F158" s="351">
        <v>900</v>
      </c>
      <c r="G158" s="66"/>
      <c r="P158" s="341">
        <v>3</v>
      </c>
      <c r="Q158" s="235">
        <v>1</v>
      </c>
      <c r="R158" s="272">
        <f ca="1">Elec_Est!R2125</f>
        <v>0</v>
      </c>
      <c r="S158" s="378">
        <f t="shared" ca="1" si="17"/>
        <v>1407.325</v>
      </c>
      <c r="T158" s="272">
        <f ca="1">Elec_Est!T2125</f>
        <v>51.25</v>
      </c>
    </row>
    <row r="159" spans="1:20">
      <c r="A159" s="154"/>
      <c r="B159" s="468" t="s">
        <v>125</v>
      </c>
      <c r="C159" s="5" t="s">
        <v>73</v>
      </c>
      <c r="D159" s="35" t="s">
        <v>126</v>
      </c>
      <c r="E159" s="154"/>
      <c r="F159" s="351">
        <v>901</v>
      </c>
      <c r="G159" s="66"/>
      <c r="P159" s="341">
        <v>1</v>
      </c>
      <c r="Q159" s="235">
        <v>1</v>
      </c>
      <c r="R159" s="272">
        <f>Elec_Est!R2126</f>
        <v>0</v>
      </c>
      <c r="S159" s="378">
        <f t="shared" si="17"/>
        <v>0</v>
      </c>
      <c r="T159" s="272">
        <f>Elec_Est!T2126</f>
        <v>0</v>
      </c>
    </row>
    <row r="160" spans="1:20">
      <c r="A160" s="154"/>
      <c r="B160" s="468">
        <v>52</v>
      </c>
      <c r="C160" s="5" t="s">
        <v>73</v>
      </c>
      <c r="D160" s="35" t="s">
        <v>127</v>
      </c>
      <c r="E160" s="154"/>
      <c r="F160" s="351">
        <v>902</v>
      </c>
      <c r="G160" s="66"/>
      <c r="P160" s="341">
        <v>3</v>
      </c>
      <c r="Q160" s="235">
        <v>1</v>
      </c>
      <c r="R160" s="272">
        <f>Elec_Est!R2127</f>
        <v>0</v>
      </c>
      <c r="S160" s="378">
        <f t="shared" si="17"/>
        <v>686.5</v>
      </c>
      <c r="T160" s="272">
        <f>Elec_Est!T2127</f>
        <v>25</v>
      </c>
    </row>
    <row r="161" spans="1:28">
      <c r="A161" s="154"/>
      <c r="B161" s="468">
        <v>53</v>
      </c>
      <c r="C161" s="5" t="s">
        <v>73</v>
      </c>
      <c r="D161" s="70" t="s">
        <v>128</v>
      </c>
      <c r="E161" s="154"/>
      <c r="F161" s="351">
        <v>960</v>
      </c>
      <c r="G161" s="66"/>
      <c r="P161" s="341">
        <v>4</v>
      </c>
      <c r="Q161" s="235">
        <v>1</v>
      </c>
      <c r="R161" s="272">
        <f>Elec_Est!R2128</f>
        <v>0</v>
      </c>
      <c r="S161" s="378">
        <f t="shared" si="17"/>
        <v>0</v>
      </c>
      <c r="T161" s="272">
        <f>Elec_Est!T2128</f>
        <v>0</v>
      </c>
    </row>
    <row r="162" spans="1:28">
      <c r="A162" s="154"/>
      <c r="B162" s="468">
        <v>54</v>
      </c>
      <c r="C162" s="5" t="s">
        <v>73</v>
      </c>
      <c r="D162" s="70" t="s">
        <v>129</v>
      </c>
      <c r="E162" s="154"/>
      <c r="F162" s="351">
        <v>961</v>
      </c>
      <c r="G162" s="66"/>
      <c r="P162" s="341">
        <v>3</v>
      </c>
      <c r="Q162" s="235">
        <v>1</v>
      </c>
      <c r="R162" s="272">
        <f>Elec_Est!R2129</f>
        <v>0</v>
      </c>
      <c r="S162" s="378">
        <f t="shared" si="17"/>
        <v>0</v>
      </c>
      <c r="T162" s="272">
        <f>Elec_Est!T2129</f>
        <v>0</v>
      </c>
    </row>
    <row r="163" spans="1:28">
      <c r="A163" s="154"/>
      <c r="B163" s="468">
        <v>55</v>
      </c>
      <c r="C163" s="5" t="s">
        <v>73</v>
      </c>
      <c r="D163" s="70" t="s">
        <v>130</v>
      </c>
      <c r="E163" s="154"/>
      <c r="F163" s="351">
        <v>962</v>
      </c>
      <c r="G163" s="66"/>
      <c r="P163" s="341">
        <v>1</v>
      </c>
      <c r="Q163" s="235">
        <v>1</v>
      </c>
      <c r="R163" s="272">
        <f ca="1">Elec_Est!R2130</f>
        <v>625</v>
      </c>
      <c r="S163" s="378">
        <f t="shared" ca="1" si="17"/>
        <v>0</v>
      </c>
      <c r="T163" s="272">
        <f ca="1">Elec_Est!T2130</f>
        <v>0</v>
      </c>
    </row>
    <row r="164" spans="1:28">
      <c r="A164" s="154"/>
      <c r="B164" s="468">
        <v>56</v>
      </c>
      <c r="C164" s="5" t="s">
        <v>73</v>
      </c>
      <c r="D164" s="236" t="s">
        <v>131</v>
      </c>
      <c r="E164" s="154"/>
      <c r="F164" s="351">
        <v>970</v>
      </c>
      <c r="G164" s="237"/>
      <c r="H164" s="60"/>
      <c r="I164" s="60"/>
      <c r="J164" s="238"/>
      <c r="K164" s="238"/>
      <c r="L164" s="238"/>
      <c r="M164" s="238"/>
      <c r="N164" s="238"/>
      <c r="O164" s="238"/>
      <c r="P164" s="342">
        <v>4</v>
      </c>
      <c r="Q164" s="239">
        <v>1</v>
      </c>
      <c r="R164" s="272">
        <f>Elec_Est!R2131</f>
        <v>0</v>
      </c>
      <c r="S164" s="378">
        <f t="shared" si="17"/>
        <v>0</v>
      </c>
      <c r="T164" s="272">
        <f>Elec_Est!T2131</f>
        <v>0</v>
      </c>
    </row>
    <row r="165" spans="1:28" ht="13.8" thickBot="1">
      <c r="A165" s="154"/>
      <c r="B165" s="350"/>
      <c r="C165" s="240"/>
      <c r="D165" s="241" t="s">
        <v>190</v>
      </c>
      <c r="E165" s="242"/>
      <c r="F165" s="88"/>
      <c r="G165" s="75"/>
      <c r="H165" s="75"/>
      <c r="I165" s="75"/>
      <c r="J165" s="243"/>
      <c r="K165" s="243"/>
      <c r="L165" s="243"/>
      <c r="M165" s="243"/>
      <c r="N165" s="243"/>
      <c r="O165" s="243"/>
      <c r="P165" s="243"/>
      <c r="Q165" s="244"/>
      <c r="R165" s="271">
        <f ca="1">SUM(R109:R164)</f>
        <v>59910.018500000013</v>
      </c>
      <c r="S165" s="271">
        <f ca="1">SUM(S109:S164)</f>
        <v>20108.179966666667</v>
      </c>
      <c r="T165" s="271">
        <f ca="1">SUM(T109:T164)</f>
        <v>732.27166666666676</v>
      </c>
    </row>
    <row r="166" spans="1:28" ht="14.4" hidden="1" thickTop="1">
      <c r="A166" s="65"/>
      <c r="B166" s="339"/>
      <c r="C166" s="5" t="s">
        <v>73</v>
      </c>
      <c r="D166" s="81"/>
      <c r="F166" s="82" t="s">
        <v>160</v>
      </c>
      <c r="G166" s="83"/>
      <c r="H166" s="35">
        <v>1</v>
      </c>
      <c r="O166" s="67"/>
      <c r="R166" s="347">
        <f ca="1">SUMIF($P109:$P164,1,R109:R164)</f>
        <v>4361.9234999999999</v>
      </c>
      <c r="T166" s="345">
        <f ca="1">SUMIF($P109:$P164,1,T109:T164)</f>
        <v>150.87166666666664</v>
      </c>
      <c r="V166" s="310"/>
      <c r="W166" s="310"/>
      <c r="X166" s="310"/>
      <c r="Y166" s="310"/>
      <c r="Z166" s="310"/>
      <c r="AA166" s="310"/>
      <c r="AB166" s="310"/>
    </row>
    <row r="167" spans="1:28" ht="13.8" hidden="1">
      <c r="A167" s="65"/>
      <c r="B167" s="180"/>
      <c r="C167" s="5" t="s">
        <v>73</v>
      </c>
      <c r="D167" s="81"/>
      <c r="F167" s="82" t="s">
        <v>161</v>
      </c>
      <c r="G167" s="83"/>
      <c r="H167" s="35">
        <v>2</v>
      </c>
      <c r="O167" s="67"/>
      <c r="R167" s="347">
        <f ca="1">SUMIF($P109:$P164,2,R109:R164)</f>
        <v>55548.095000000001</v>
      </c>
      <c r="T167" s="346">
        <f ca="1">SUMIF($P109:$P164,2,T109:T164)</f>
        <v>505.14999999999992</v>
      </c>
      <c r="V167" s="310"/>
      <c r="W167" s="310"/>
      <c r="X167" s="310"/>
      <c r="Y167" s="310"/>
      <c r="Z167" s="310"/>
      <c r="AA167" s="310"/>
      <c r="AB167" s="310"/>
    </row>
    <row r="168" spans="1:28" ht="13.8" hidden="1">
      <c r="A168" s="65"/>
      <c r="B168" s="180"/>
      <c r="C168" s="5" t="s">
        <v>73</v>
      </c>
      <c r="D168" s="81"/>
      <c r="F168" s="82" t="s">
        <v>162</v>
      </c>
      <c r="G168" s="83"/>
      <c r="H168" s="35">
        <v>2</v>
      </c>
      <c r="O168" s="67"/>
      <c r="R168" s="347">
        <f ca="1">SUMIF($P109:$P164,3,R109:R164)</f>
        <v>0</v>
      </c>
      <c r="T168" s="346">
        <f ca="1">SUMIF($P109:$P164,3,T109:T164)</f>
        <v>76.25</v>
      </c>
      <c r="V168" s="310"/>
      <c r="W168" s="310"/>
      <c r="X168" s="310"/>
      <c r="Y168" s="310"/>
      <c r="Z168" s="310"/>
      <c r="AA168" s="310"/>
      <c r="AB168" s="310"/>
    </row>
    <row r="169" spans="1:28" ht="13.8" hidden="1">
      <c r="A169" s="65"/>
      <c r="B169" s="180"/>
      <c r="C169" s="5" t="s">
        <v>73</v>
      </c>
      <c r="D169" s="81"/>
      <c r="F169" s="82" t="s">
        <v>163</v>
      </c>
      <c r="G169" s="83"/>
      <c r="H169" s="35">
        <v>3</v>
      </c>
      <c r="O169" s="67"/>
      <c r="R169" s="347">
        <f>SUMIF($P109:$P164,4,R109:R164)</f>
        <v>0</v>
      </c>
      <c r="T169" s="346">
        <f>SUMIF($P109:$P164,4,T109:T164)</f>
        <v>0</v>
      </c>
      <c r="V169" s="310"/>
      <c r="W169" s="310"/>
      <c r="X169" s="310"/>
      <c r="Y169" s="310"/>
      <c r="Z169" s="310"/>
      <c r="AA169" s="310"/>
      <c r="AB169" s="310"/>
    </row>
    <row r="170" spans="1:28" ht="14.4" hidden="1" thickBot="1">
      <c r="A170" s="65"/>
      <c r="B170" s="340"/>
      <c r="C170" s="73" t="s">
        <v>73</v>
      </c>
      <c r="D170" s="85"/>
      <c r="E170" s="75"/>
      <c r="F170" s="86" t="s">
        <v>164</v>
      </c>
      <c r="G170" s="87"/>
      <c r="H170" s="88"/>
      <c r="I170" s="88"/>
      <c r="J170" s="88"/>
      <c r="K170" s="88"/>
      <c r="L170" s="88"/>
      <c r="M170" s="88"/>
      <c r="N170" s="88"/>
      <c r="O170" s="89"/>
      <c r="P170" s="88"/>
      <c r="Q170" s="88"/>
      <c r="R170" s="348">
        <f ca="1">SUM(R166:R169)</f>
        <v>59910.018499999998</v>
      </c>
      <c r="S170" s="91"/>
      <c r="T170" s="349">
        <f ca="1">SUM(T166:T169)</f>
        <v>732.27166666666653</v>
      </c>
      <c r="V170" s="310"/>
      <c r="W170" s="310"/>
      <c r="X170" s="310"/>
      <c r="Y170" s="310"/>
      <c r="Z170" s="310"/>
      <c r="AA170" s="310"/>
      <c r="AB170" s="310"/>
    </row>
    <row r="171" spans="1:28" ht="14.4" thickTop="1">
      <c r="B171" s="35"/>
      <c r="E171" s="136"/>
      <c r="F171" s="137"/>
      <c r="G171" s="121"/>
      <c r="H171" s="121"/>
      <c r="I171" s="121"/>
      <c r="J171" s="121"/>
      <c r="K171" s="121"/>
      <c r="L171" s="121"/>
      <c r="M171" s="121"/>
      <c r="N171" s="121"/>
      <c r="O171" s="121"/>
      <c r="P171" s="121"/>
      <c r="Q171" s="137"/>
      <c r="R171" s="137"/>
      <c r="S171" s="137"/>
      <c r="T171" s="137"/>
    </row>
    <row r="172" spans="1:28">
      <c r="C172" s="33"/>
      <c r="D172" s="33"/>
      <c r="E172" s="33"/>
      <c r="F172" s="33"/>
      <c r="G172" s="33"/>
      <c r="J172" s="33"/>
      <c r="K172" s="33"/>
      <c r="L172" s="33"/>
      <c r="M172" s="33"/>
      <c r="N172" s="33"/>
      <c r="O172" s="33"/>
      <c r="P172" s="33"/>
      <c r="Q172" s="33"/>
      <c r="R172" s="33"/>
      <c r="S172" s="33"/>
      <c r="T172" s="33"/>
    </row>
    <row r="173" spans="1:28">
      <c r="D173" s="35" t="s">
        <v>58</v>
      </c>
      <c r="E173" s="9"/>
      <c r="F173" s="131"/>
      <c r="G173" s="2"/>
      <c r="S173" s="32"/>
      <c r="T173" s="32"/>
    </row>
    <row r="174" spans="1:28" ht="15.6">
      <c r="D174" s="197" t="s">
        <v>297</v>
      </c>
    </row>
    <row r="175" spans="1:28">
      <c r="D175" s="245">
        <f ca="1">D95</f>
        <v>45821.462045486114</v>
      </c>
    </row>
    <row r="176" spans="1:28">
      <c r="A176" s="33"/>
    </row>
  </sheetData>
  <sheetProtection formatCells="0" formatColumns="0" formatRows="0" insertHyperlinks="0"/>
  <mergeCells count="14">
    <mergeCell ref="D1:E1"/>
    <mergeCell ref="D2:E2"/>
    <mergeCell ref="D3:E3"/>
    <mergeCell ref="B16:E17"/>
    <mergeCell ref="B14:E15"/>
    <mergeCell ref="B18:E18"/>
    <mergeCell ref="D84:E84"/>
    <mergeCell ref="B57:T57"/>
    <mergeCell ref="B58:T58"/>
    <mergeCell ref="A55:B55"/>
    <mergeCell ref="A48:S48"/>
    <mergeCell ref="Q18:T18"/>
    <mergeCell ref="A47:S47"/>
    <mergeCell ref="B19:E19"/>
  </mergeCells>
  <phoneticPr fontId="33" type="noConversion"/>
  <conditionalFormatting sqref="B11">
    <cfRule type="cellIs" dxfId="15" priority="15" stopIfTrue="1" operator="equal">
      <formula>"CHECKLIST IS INCOMPLETE !"</formula>
    </cfRule>
    <cfRule type="cellIs" dxfId="14" priority="16" stopIfTrue="1" operator="equal">
      <formula>"CHECKLIST OK"</formula>
    </cfRule>
  </conditionalFormatting>
  <conditionalFormatting sqref="B18:E18">
    <cfRule type="cellIs" dxfId="13" priority="17" stopIfTrue="1" operator="equal">
      <formula>"CHECKLIST INCOMPLETE !"</formula>
    </cfRule>
  </conditionalFormatting>
  <conditionalFormatting sqref="D6 E37">
    <cfRule type="cellIs" dxfId="12" priority="1" stopIfTrue="1" operator="equal">
      <formula>"VAT INCLUDED"</formula>
    </cfRule>
    <cfRule type="cellIs" dxfId="11" priority="2" stopIfTrue="1" operator="equal">
      <formula>"VAT EXCL."</formula>
    </cfRule>
  </conditionalFormatting>
  <conditionalFormatting sqref="E24:E32">
    <cfRule type="cellIs" dxfId="10" priority="18" stopIfTrue="1" operator="equal">
      <formula>0</formula>
    </cfRule>
  </conditionalFormatting>
  <conditionalFormatting sqref="E36">
    <cfRule type="cellIs" dxfId="9" priority="10" stopIfTrue="1" operator="equal">
      <formula>"Final Sell Curr?"</formula>
    </cfRule>
  </conditionalFormatting>
  <conditionalFormatting sqref="F11">
    <cfRule type="cellIs" dxfId="8" priority="14" stopIfTrue="1" operator="equal">
      <formula>"CHECKLIST IS STILL INCOMPLETE"</formula>
    </cfRule>
  </conditionalFormatting>
  <conditionalFormatting sqref="Q1">
    <cfRule type="cellIs" dxfId="7" priority="9" stopIfTrue="1" operator="notEqual">
      <formula>"€"</formula>
    </cfRule>
  </conditionalFormatting>
  <conditionalFormatting sqref="Q2:Q12 Q23:Q32">
    <cfRule type="cellIs" dxfId="6" priority="3" stopIfTrue="1" operator="greaterThan">
      <formula>0</formula>
    </cfRule>
    <cfRule type="cellIs" dxfId="5" priority="4" stopIfTrue="1" operator="equal">
      <formula>0</formula>
    </cfRule>
  </conditionalFormatting>
  <conditionalFormatting sqref="S1">
    <cfRule type="cellIs" dxfId="4" priority="12" stopIfTrue="1" operator="notEqual">
      <formula>"R"</formula>
    </cfRule>
    <cfRule type="cellIs" dxfId="3" priority="13" stopIfTrue="1" operator="equal">
      <formula>"R"</formula>
    </cfRule>
  </conditionalFormatting>
  <conditionalFormatting sqref="S39">
    <cfRule type="cellIs" dxfId="2" priority="11" stopIfTrue="1" operator="notEqual">
      <formula>"PRINT"</formula>
    </cfRule>
  </conditionalFormatting>
  <conditionalFormatting sqref="S2:T11">
    <cfRule type="cellIs" dxfId="1" priority="5" stopIfTrue="1" operator="greaterThan">
      <formula>0</formula>
    </cfRule>
    <cfRule type="cellIs" dxfId="0" priority="6" stopIfTrue="1" operator="equal">
      <formula>0</formula>
    </cfRule>
  </conditionalFormatting>
  <dataValidations xWindow="555" yWindow="397" count="8">
    <dataValidation type="list" allowBlank="1" showInputMessage="1" showErrorMessage="1" sqref="D8" xr:uid="{00000000-0002-0000-0500-000000000000}">
      <formula1>"M.Scicluna,T.Sammut,R.Farrugia,G.Mifsud,U.Kaymak,C.Gidulski,R.Raphal"</formula1>
    </dataValidation>
    <dataValidation type="list" allowBlank="1" showInputMessage="1" showErrorMessage="1" sqref="D6" xr:uid="{00000000-0002-0000-0500-000001000000}">
      <formula1>"VAT EXCL., VAT INCLUDED, VAT IN MARKUPS"</formula1>
    </dataValidation>
    <dataValidation type="list" allowBlank="1" showInputMessage="1" showErrorMessage="1" sqref="W1" xr:uid="{00000000-0002-0000-0500-000002000000}">
      <formula1>"BOQ,TDWG,ACT,DIF_TD,DIF_A"</formula1>
    </dataValidation>
    <dataValidation type="textLength" showInputMessage="1" showErrorMessage="1" sqref="S1" xr:uid="{00000000-0002-0000-0500-000003000000}">
      <formula1>1</formula1>
      <formula2>20</formula2>
    </dataValidation>
    <dataValidation type="list" allowBlank="1" showErrorMessage="1" promptTitle="Recon Button" prompt="Select &lt;Test for 0.00&gt; and confirm that DiscyT are both 0.00, then make sure that you select PRINT again before printing." sqref="S39" xr:uid="{00000000-0002-0000-0500-000004000000}">
      <formula1>"PRINT,Test for 0.00,"</formula1>
    </dataValidation>
    <dataValidation type="list" allowBlank="1" showInputMessage="1" showErrorMessage="1" sqref="A33" xr:uid="{00000000-0002-0000-0500-000005000000}">
      <formula1>"MIXED, ,"</formula1>
    </dataValidation>
    <dataValidation type="list" allowBlank="1" showInputMessage="1" showErrorMessage="1" sqref="Q1" xr:uid="{00000000-0002-0000-0500-000006000000}">
      <formula1>"Lm,€,$US,CIF,LibDin,"</formula1>
    </dataValidation>
    <dataValidation type="list" allowBlank="1" showInputMessage="1" showErrorMessage="1" promptTitle="ATTENTION" prompt="-------------------_x000a_€22.96 for 2013_x000a_€23.02 for 2014_x000a_€23.52 for 2015_x000a_€22.42 for 2016_x000a_€21.57 for 2016/05_x000a_€24.39 for 2018_x000a_€23.36 for 2018/09_x000a_€23.23 for 2019_x000a_€23.95 for 2022_x000a_€24.50 for 2023_x000a_€26.50 for 2024_x000a_€27.46 for 2025" sqref="D9" xr:uid="{00000000-0002-0000-0500-000007000000}">
      <formula1>"27.46,26.50,24.50,23.95,23.75,23.02,23.52,22.42,21.57,24.39,23.36,23.23,not used"</formula1>
    </dataValidation>
  </dataValidations>
  <pageMargins left="0.26" right="0.19685039370078741" top="0.48" bottom="0.34" header="0.3" footer="0.19685039370078741"/>
  <pageSetup paperSize="9" orientation="portrait" horizontalDpi="300" verticalDpi="300" r:id="rId1"/>
  <headerFooter alignWithMargins="0">
    <oddFooter>Page &amp;P</oddFooter>
  </headerFooter>
  <rowBreaks count="2" manualBreakCount="2">
    <brk id="56" max="16383" man="1"/>
    <brk id="96"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272" r:id="rId4" name="Check Box 248">
              <controlPr defaultSize="0" autoFill="0" autoLine="0" autoPict="0">
                <anchor moveWithCells="1">
                  <from>
                    <xdr:col>0</xdr:col>
                    <xdr:colOff>0</xdr:colOff>
                    <xdr:row>1</xdr:row>
                    <xdr:rowOff>106680</xdr:rowOff>
                  </from>
                  <to>
                    <xdr:col>1</xdr:col>
                    <xdr:colOff>259080</xdr:colOff>
                    <xdr:row>2</xdr:row>
                    <xdr:rowOff>45720</xdr:rowOff>
                  </to>
                </anchor>
              </controlPr>
            </control>
          </mc:Choice>
        </mc:AlternateContent>
        <mc:AlternateContent xmlns:mc="http://schemas.openxmlformats.org/markup-compatibility/2006">
          <mc:Choice Requires="x14">
            <control shapeId="1273" r:id="rId5" name="Check Box 249">
              <controlPr defaultSize="0" autoFill="0" autoLine="0" autoPict="0">
                <anchor moveWithCells="1">
                  <from>
                    <xdr:col>0</xdr:col>
                    <xdr:colOff>0</xdr:colOff>
                    <xdr:row>2</xdr:row>
                    <xdr:rowOff>0</xdr:rowOff>
                  </from>
                  <to>
                    <xdr:col>0</xdr:col>
                    <xdr:colOff>525780</xdr:colOff>
                    <xdr:row>2</xdr:row>
                    <xdr:rowOff>220980</xdr:rowOff>
                  </to>
                </anchor>
              </controlPr>
            </control>
          </mc:Choice>
        </mc:AlternateContent>
        <mc:AlternateContent xmlns:mc="http://schemas.openxmlformats.org/markup-compatibility/2006">
          <mc:Choice Requires="x14">
            <control shapeId="1274" r:id="rId6" name="Check Box 250">
              <controlPr defaultSize="0" autoFill="0" autoLine="0" autoPict="0">
                <anchor moveWithCells="1">
                  <from>
                    <xdr:col>0</xdr:col>
                    <xdr:colOff>0</xdr:colOff>
                    <xdr:row>2</xdr:row>
                    <xdr:rowOff>182880</xdr:rowOff>
                  </from>
                  <to>
                    <xdr:col>1</xdr:col>
                    <xdr:colOff>129540</xdr:colOff>
                    <xdr:row>3</xdr:row>
                    <xdr:rowOff>137160</xdr:rowOff>
                  </to>
                </anchor>
              </controlPr>
            </control>
          </mc:Choice>
        </mc:AlternateContent>
        <mc:AlternateContent xmlns:mc="http://schemas.openxmlformats.org/markup-compatibility/2006">
          <mc:Choice Requires="x14">
            <control shapeId="1275" r:id="rId7" name="Check Box 251">
              <controlPr defaultSize="0" autoFill="0" autoLine="0" autoPict="0">
                <anchor moveWithCells="1">
                  <from>
                    <xdr:col>0</xdr:col>
                    <xdr:colOff>0</xdr:colOff>
                    <xdr:row>3</xdr:row>
                    <xdr:rowOff>68580</xdr:rowOff>
                  </from>
                  <to>
                    <xdr:col>1</xdr:col>
                    <xdr:colOff>335280</xdr:colOff>
                    <xdr:row>4</xdr:row>
                    <xdr:rowOff>83820</xdr:rowOff>
                  </to>
                </anchor>
              </controlPr>
            </control>
          </mc:Choice>
        </mc:AlternateContent>
        <mc:AlternateContent xmlns:mc="http://schemas.openxmlformats.org/markup-compatibility/2006">
          <mc:Choice Requires="x14">
            <control shapeId="1276" r:id="rId8" name="Check Box 252">
              <controlPr defaultSize="0" autoFill="0" autoLine="0" autoPict="0">
                <anchor moveWithCells="1">
                  <from>
                    <xdr:col>0</xdr:col>
                    <xdr:colOff>0</xdr:colOff>
                    <xdr:row>4</xdr:row>
                    <xdr:rowOff>7620</xdr:rowOff>
                  </from>
                  <to>
                    <xdr:col>1</xdr:col>
                    <xdr:colOff>327660</xdr:colOff>
                    <xdr:row>5</xdr:row>
                    <xdr:rowOff>60960</xdr:rowOff>
                  </to>
                </anchor>
              </controlPr>
            </control>
          </mc:Choice>
        </mc:AlternateContent>
        <mc:AlternateContent xmlns:mc="http://schemas.openxmlformats.org/markup-compatibility/2006">
          <mc:Choice Requires="x14">
            <control shapeId="1277" r:id="rId9" name="Check Box 253">
              <controlPr defaultSize="0" autoFill="0" autoLine="0" autoPict="0">
                <anchor moveWithCells="1">
                  <from>
                    <xdr:col>0</xdr:col>
                    <xdr:colOff>0</xdr:colOff>
                    <xdr:row>4</xdr:row>
                    <xdr:rowOff>152400</xdr:rowOff>
                  </from>
                  <to>
                    <xdr:col>1</xdr:col>
                    <xdr:colOff>266700</xdr:colOff>
                    <xdr:row>6</xdr:row>
                    <xdr:rowOff>30480</xdr:rowOff>
                  </to>
                </anchor>
              </controlPr>
            </control>
          </mc:Choice>
        </mc:AlternateContent>
        <mc:AlternateContent xmlns:mc="http://schemas.openxmlformats.org/markup-compatibility/2006">
          <mc:Choice Requires="x14">
            <control shapeId="1278" r:id="rId10" name="Check Box 254">
              <controlPr defaultSize="0" autoFill="0" autoLine="0" autoPict="0">
                <anchor moveWithCells="1">
                  <from>
                    <xdr:col>0</xdr:col>
                    <xdr:colOff>0</xdr:colOff>
                    <xdr:row>5</xdr:row>
                    <xdr:rowOff>137160</xdr:rowOff>
                  </from>
                  <to>
                    <xdr:col>1</xdr:col>
                    <xdr:colOff>243840</xdr:colOff>
                    <xdr:row>7</xdr:row>
                    <xdr:rowOff>7620</xdr:rowOff>
                  </to>
                </anchor>
              </controlPr>
            </control>
          </mc:Choice>
        </mc:AlternateContent>
        <mc:AlternateContent xmlns:mc="http://schemas.openxmlformats.org/markup-compatibility/2006">
          <mc:Choice Requires="x14">
            <control shapeId="1279" r:id="rId11" name="Check Box 255">
              <controlPr defaultSize="0" autoFill="0" autoLine="0" autoPict="0">
                <anchor moveWithCells="1">
                  <from>
                    <xdr:col>0</xdr:col>
                    <xdr:colOff>0</xdr:colOff>
                    <xdr:row>6</xdr:row>
                    <xdr:rowOff>114300</xdr:rowOff>
                  </from>
                  <to>
                    <xdr:col>0</xdr:col>
                    <xdr:colOff>502920</xdr:colOff>
                    <xdr:row>7</xdr:row>
                    <xdr:rowOff>160020</xdr:rowOff>
                  </to>
                </anchor>
              </controlPr>
            </control>
          </mc:Choice>
        </mc:AlternateContent>
        <mc:AlternateContent xmlns:mc="http://schemas.openxmlformats.org/markup-compatibility/2006">
          <mc:Choice Requires="x14">
            <control shapeId="1280" r:id="rId12" name="Check Box 256">
              <controlPr defaultSize="0" autoFill="0" autoLine="0" autoPict="0">
                <anchor moveWithCells="1">
                  <from>
                    <xdr:col>0</xdr:col>
                    <xdr:colOff>0</xdr:colOff>
                    <xdr:row>7</xdr:row>
                    <xdr:rowOff>99060</xdr:rowOff>
                  </from>
                  <to>
                    <xdr:col>1</xdr:col>
                    <xdr:colOff>60960</xdr:colOff>
                    <xdr:row>8</xdr:row>
                    <xdr:rowOff>144780</xdr:rowOff>
                  </to>
                </anchor>
              </controlPr>
            </control>
          </mc:Choice>
        </mc:AlternateContent>
        <mc:AlternateContent xmlns:mc="http://schemas.openxmlformats.org/markup-compatibility/2006">
          <mc:Choice Requires="x14">
            <control shapeId="1286" r:id="rId13" name="Check Box 262">
              <controlPr defaultSize="0" autoFill="0" autoLine="0" autoPict="0">
                <anchor moveWithCells="1">
                  <from>
                    <xdr:col>0</xdr:col>
                    <xdr:colOff>0</xdr:colOff>
                    <xdr:row>9</xdr:row>
                    <xdr:rowOff>76200</xdr:rowOff>
                  </from>
                  <to>
                    <xdr:col>1</xdr:col>
                    <xdr:colOff>182880</xdr:colOff>
                    <xdr:row>10</xdr:row>
                    <xdr:rowOff>121920</xdr:rowOff>
                  </to>
                </anchor>
              </controlPr>
            </control>
          </mc:Choice>
        </mc:AlternateContent>
        <mc:AlternateContent xmlns:mc="http://schemas.openxmlformats.org/markup-compatibility/2006">
          <mc:Choice Requires="x14">
            <control shapeId="1299" r:id="rId14" name="Check Box 275">
              <controlPr defaultSize="0" autoFill="0" autoLine="0" autoPict="0">
                <anchor moveWithCells="1">
                  <from>
                    <xdr:col>0</xdr:col>
                    <xdr:colOff>0</xdr:colOff>
                    <xdr:row>8</xdr:row>
                    <xdr:rowOff>76200</xdr:rowOff>
                  </from>
                  <to>
                    <xdr:col>1</xdr:col>
                    <xdr:colOff>556260</xdr:colOff>
                    <xdr:row>9</xdr:row>
                    <xdr:rowOff>121920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indexed="41"/>
  </sheetPr>
  <dimension ref="A1:V565"/>
  <sheetViews>
    <sheetView workbookViewId="0">
      <selection activeCell="B36" sqref="B36"/>
    </sheetView>
  </sheetViews>
  <sheetFormatPr defaultRowHeight="13.2"/>
  <cols>
    <col min="1" max="1" width="11" style="563" customWidth="1"/>
    <col min="2" max="2" width="47.44140625" style="564" customWidth="1"/>
    <col min="3" max="3" width="9.44140625" style="561" customWidth="1"/>
    <col min="4" max="4" width="6.44140625" style="561" customWidth="1"/>
    <col min="5" max="5" width="9.6640625" style="565" customWidth="1"/>
    <col min="6" max="6" width="9.88671875" style="566" customWidth="1"/>
    <col min="7" max="7" width="10.109375" style="532" bestFit="1" customWidth="1"/>
    <col min="8" max="8" width="9.109375" style="532" customWidth="1"/>
    <col min="9" max="18" width="8.88671875" style="536" hidden="1" customWidth="1"/>
    <col min="19" max="258" width="9.109375" style="536"/>
    <col min="259" max="259" width="11" style="536" customWidth="1"/>
    <col min="260" max="260" width="47.44140625" style="536" customWidth="1"/>
    <col min="261" max="261" width="9.44140625" style="536" customWidth="1"/>
    <col min="262" max="262" width="6.44140625" style="536" customWidth="1"/>
    <col min="263" max="263" width="9.6640625" style="536" customWidth="1"/>
    <col min="264" max="264" width="9.88671875" style="536" customWidth="1"/>
    <col min="265" max="274" width="0" style="536" hidden="1" customWidth="1"/>
    <col min="275" max="514" width="9.109375" style="536"/>
    <col min="515" max="515" width="11" style="536" customWidth="1"/>
    <col min="516" max="516" width="47.44140625" style="536" customWidth="1"/>
    <col min="517" max="517" width="9.44140625" style="536" customWidth="1"/>
    <col min="518" max="518" width="6.44140625" style="536" customWidth="1"/>
    <col min="519" max="519" width="9.6640625" style="536" customWidth="1"/>
    <col min="520" max="520" width="9.88671875" style="536" customWidth="1"/>
    <col min="521" max="530" width="0" style="536" hidden="1" customWidth="1"/>
    <col min="531" max="770" width="9.109375" style="536"/>
    <col min="771" max="771" width="11" style="536" customWidth="1"/>
    <col min="772" max="772" width="47.44140625" style="536" customWidth="1"/>
    <col min="773" max="773" width="9.44140625" style="536" customWidth="1"/>
    <col min="774" max="774" width="6.44140625" style="536" customWidth="1"/>
    <col min="775" max="775" width="9.6640625" style="536" customWidth="1"/>
    <col min="776" max="776" width="9.88671875" style="536" customWidth="1"/>
    <col min="777" max="786" width="0" style="536" hidden="1" customWidth="1"/>
    <col min="787" max="1026" width="9.109375" style="536"/>
    <col min="1027" max="1027" width="11" style="536" customWidth="1"/>
    <col min="1028" max="1028" width="47.44140625" style="536" customWidth="1"/>
    <col min="1029" max="1029" width="9.44140625" style="536" customWidth="1"/>
    <col min="1030" max="1030" width="6.44140625" style="536" customWidth="1"/>
    <col min="1031" max="1031" width="9.6640625" style="536" customWidth="1"/>
    <col min="1032" max="1032" width="9.88671875" style="536" customWidth="1"/>
    <col min="1033" max="1042" width="0" style="536" hidden="1" customWidth="1"/>
    <col min="1043" max="1282" width="9.109375" style="536"/>
    <col min="1283" max="1283" width="11" style="536" customWidth="1"/>
    <col min="1284" max="1284" width="47.44140625" style="536" customWidth="1"/>
    <col min="1285" max="1285" width="9.44140625" style="536" customWidth="1"/>
    <col min="1286" max="1286" width="6.44140625" style="536" customWidth="1"/>
    <col min="1287" max="1287" width="9.6640625" style="536" customWidth="1"/>
    <col min="1288" max="1288" width="9.88671875" style="536" customWidth="1"/>
    <col min="1289" max="1298" width="0" style="536" hidden="1" customWidth="1"/>
    <col min="1299" max="1538" width="9.109375" style="536"/>
    <col min="1539" max="1539" width="11" style="536" customWidth="1"/>
    <col min="1540" max="1540" width="47.44140625" style="536" customWidth="1"/>
    <col min="1541" max="1541" width="9.44140625" style="536" customWidth="1"/>
    <col min="1542" max="1542" width="6.44140625" style="536" customWidth="1"/>
    <col min="1543" max="1543" width="9.6640625" style="536" customWidth="1"/>
    <col min="1544" max="1544" width="9.88671875" style="536" customWidth="1"/>
    <col min="1545" max="1554" width="0" style="536" hidden="1" customWidth="1"/>
    <col min="1555" max="1794" width="9.109375" style="536"/>
    <col min="1795" max="1795" width="11" style="536" customWidth="1"/>
    <col min="1796" max="1796" width="47.44140625" style="536" customWidth="1"/>
    <col min="1797" max="1797" width="9.44140625" style="536" customWidth="1"/>
    <col min="1798" max="1798" width="6.44140625" style="536" customWidth="1"/>
    <col min="1799" max="1799" width="9.6640625" style="536" customWidth="1"/>
    <col min="1800" max="1800" width="9.88671875" style="536" customWidth="1"/>
    <col min="1801" max="1810" width="0" style="536" hidden="1" customWidth="1"/>
    <col min="1811" max="2050" width="9.109375" style="536"/>
    <col min="2051" max="2051" width="11" style="536" customWidth="1"/>
    <col min="2052" max="2052" width="47.44140625" style="536" customWidth="1"/>
    <col min="2053" max="2053" width="9.44140625" style="536" customWidth="1"/>
    <col min="2054" max="2054" width="6.44140625" style="536" customWidth="1"/>
    <col min="2055" max="2055" width="9.6640625" style="536" customWidth="1"/>
    <col min="2056" max="2056" width="9.88671875" style="536" customWidth="1"/>
    <col min="2057" max="2066" width="0" style="536" hidden="1" customWidth="1"/>
    <col min="2067" max="2306" width="9.109375" style="536"/>
    <col min="2307" max="2307" width="11" style="536" customWidth="1"/>
    <col min="2308" max="2308" width="47.44140625" style="536" customWidth="1"/>
    <col min="2309" max="2309" width="9.44140625" style="536" customWidth="1"/>
    <col min="2310" max="2310" width="6.44140625" style="536" customWidth="1"/>
    <col min="2311" max="2311" width="9.6640625" style="536" customWidth="1"/>
    <col min="2312" max="2312" width="9.88671875" style="536" customWidth="1"/>
    <col min="2313" max="2322" width="0" style="536" hidden="1" customWidth="1"/>
    <col min="2323" max="2562" width="9.109375" style="536"/>
    <col min="2563" max="2563" width="11" style="536" customWidth="1"/>
    <col min="2564" max="2564" width="47.44140625" style="536" customWidth="1"/>
    <col min="2565" max="2565" width="9.44140625" style="536" customWidth="1"/>
    <col min="2566" max="2566" width="6.44140625" style="536" customWidth="1"/>
    <col min="2567" max="2567" width="9.6640625" style="536" customWidth="1"/>
    <col min="2568" max="2568" width="9.88671875" style="536" customWidth="1"/>
    <col min="2569" max="2578" width="0" style="536" hidden="1" customWidth="1"/>
    <col min="2579" max="2818" width="9.109375" style="536"/>
    <col min="2819" max="2819" width="11" style="536" customWidth="1"/>
    <col min="2820" max="2820" width="47.44140625" style="536" customWidth="1"/>
    <col min="2821" max="2821" width="9.44140625" style="536" customWidth="1"/>
    <col min="2822" max="2822" width="6.44140625" style="536" customWidth="1"/>
    <col min="2823" max="2823" width="9.6640625" style="536" customWidth="1"/>
    <col min="2824" max="2824" width="9.88671875" style="536" customWidth="1"/>
    <col min="2825" max="2834" width="0" style="536" hidden="1" customWidth="1"/>
    <col min="2835" max="3074" width="9.109375" style="536"/>
    <col min="3075" max="3075" width="11" style="536" customWidth="1"/>
    <col min="3076" max="3076" width="47.44140625" style="536" customWidth="1"/>
    <col min="3077" max="3077" width="9.44140625" style="536" customWidth="1"/>
    <col min="3078" max="3078" width="6.44140625" style="536" customWidth="1"/>
    <col min="3079" max="3079" width="9.6640625" style="536" customWidth="1"/>
    <col min="3080" max="3080" width="9.88671875" style="536" customWidth="1"/>
    <col min="3081" max="3090" width="0" style="536" hidden="1" customWidth="1"/>
    <col min="3091" max="3330" width="9.109375" style="536"/>
    <col min="3331" max="3331" width="11" style="536" customWidth="1"/>
    <col min="3332" max="3332" width="47.44140625" style="536" customWidth="1"/>
    <col min="3333" max="3333" width="9.44140625" style="536" customWidth="1"/>
    <col min="3334" max="3334" width="6.44140625" style="536" customWidth="1"/>
    <col min="3335" max="3335" width="9.6640625" style="536" customWidth="1"/>
    <col min="3336" max="3336" width="9.88671875" style="536" customWidth="1"/>
    <col min="3337" max="3346" width="0" style="536" hidden="1" customWidth="1"/>
    <col min="3347" max="3586" width="9.109375" style="536"/>
    <col min="3587" max="3587" width="11" style="536" customWidth="1"/>
    <col min="3588" max="3588" width="47.44140625" style="536" customWidth="1"/>
    <col min="3589" max="3589" width="9.44140625" style="536" customWidth="1"/>
    <col min="3590" max="3590" width="6.44140625" style="536" customWidth="1"/>
    <col min="3591" max="3591" width="9.6640625" style="536" customWidth="1"/>
    <col min="3592" max="3592" width="9.88671875" style="536" customWidth="1"/>
    <col min="3593" max="3602" width="0" style="536" hidden="1" customWidth="1"/>
    <col min="3603" max="3842" width="9.109375" style="536"/>
    <col min="3843" max="3843" width="11" style="536" customWidth="1"/>
    <col min="3844" max="3844" width="47.44140625" style="536" customWidth="1"/>
    <col min="3845" max="3845" width="9.44140625" style="536" customWidth="1"/>
    <col min="3846" max="3846" width="6.44140625" style="536" customWidth="1"/>
    <col min="3847" max="3847" width="9.6640625" style="536" customWidth="1"/>
    <col min="3848" max="3848" width="9.88671875" style="536" customWidth="1"/>
    <col min="3849" max="3858" width="0" style="536" hidden="1" customWidth="1"/>
    <col min="3859" max="4098" width="9.109375" style="536"/>
    <col min="4099" max="4099" width="11" style="536" customWidth="1"/>
    <col min="4100" max="4100" width="47.44140625" style="536" customWidth="1"/>
    <col min="4101" max="4101" width="9.44140625" style="536" customWidth="1"/>
    <col min="4102" max="4102" width="6.44140625" style="536" customWidth="1"/>
    <col min="4103" max="4103" width="9.6640625" style="536" customWidth="1"/>
    <col min="4104" max="4104" width="9.88671875" style="536" customWidth="1"/>
    <col min="4105" max="4114" width="0" style="536" hidden="1" customWidth="1"/>
    <col min="4115" max="4354" width="9.109375" style="536"/>
    <col min="4355" max="4355" width="11" style="536" customWidth="1"/>
    <col min="4356" max="4356" width="47.44140625" style="536" customWidth="1"/>
    <col min="4357" max="4357" width="9.44140625" style="536" customWidth="1"/>
    <col min="4358" max="4358" width="6.44140625" style="536" customWidth="1"/>
    <col min="4359" max="4359" width="9.6640625" style="536" customWidth="1"/>
    <col min="4360" max="4360" width="9.88671875" style="536" customWidth="1"/>
    <col min="4361" max="4370" width="0" style="536" hidden="1" customWidth="1"/>
    <col min="4371" max="4610" width="9.109375" style="536"/>
    <col min="4611" max="4611" width="11" style="536" customWidth="1"/>
    <col min="4612" max="4612" width="47.44140625" style="536" customWidth="1"/>
    <col min="4613" max="4613" width="9.44140625" style="536" customWidth="1"/>
    <col min="4614" max="4614" width="6.44140625" style="536" customWidth="1"/>
    <col min="4615" max="4615" width="9.6640625" style="536" customWidth="1"/>
    <col min="4616" max="4616" width="9.88671875" style="536" customWidth="1"/>
    <col min="4617" max="4626" width="0" style="536" hidden="1" customWidth="1"/>
    <col min="4627" max="4866" width="9.109375" style="536"/>
    <col min="4867" max="4867" width="11" style="536" customWidth="1"/>
    <col min="4868" max="4868" width="47.44140625" style="536" customWidth="1"/>
    <col min="4869" max="4869" width="9.44140625" style="536" customWidth="1"/>
    <col min="4870" max="4870" width="6.44140625" style="536" customWidth="1"/>
    <col min="4871" max="4871" width="9.6640625" style="536" customWidth="1"/>
    <col min="4872" max="4872" width="9.88671875" style="536" customWidth="1"/>
    <col min="4873" max="4882" width="0" style="536" hidden="1" customWidth="1"/>
    <col min="4883" max="5122" width="9.109375" style="536"/>
    <col min="5123" max="5123" width="11" style="536" customWidth="1"/>
    <col min="5124" max="5124" width="47.44140625" style="536" customWidth="1"/>
    <col min="5125" max="5125" width="9.44140625" style="536" customWidth="1"/>
    <col min="5126" max="5126" width="6.44140625" style="536" customWidth="1"/>
    <col min="5127" max="5127" width="9.6640625" style="536" customWidth="1"/>
    <col min="5128" max="5128" width="9.88671875" style="536" customWidth="1"/>
    <col min="5129" max="5138" width="0" style="536" hidden="1" customWidth="1"/>
    <col min="5139" max="5378" width="9.109375" style="536"/>
    <col min="5379" max="5379" width="11" style="536" customWidth="1"/>
    <col min="5380" max="5380" width="47.44140625" style="536" customWidth="1"/>
    <col min="5381" max="5381" width="9.44140625" style="536" customWidth="1"/>
    <col min="5382" max="5382" width="6.44140625" style="536" customWidth="1"/>
    <col min="5383" max="5383" width="9.6640625" style="536" customWidth="1"/>
    <col min="5384" max="5384" width="9.88671875" style="536" customWidth="1"/>
    <col min="5385" max="5394" width="0" style="536" hidden="1" customWidth="1"/>
    <col min="5395" max="5634" width="9.109375" style="536"/>
    <col min="5635" max="5635" width="11" style="536" customWidth="1"/>
    <col min="5636" max="5636" width="47.44140625" style="536" customWidth="1"/>
    <col min="5637" max="5637" width="9.44140625" style="536" customWidth="1"/>
    <col min="5638" max="5638" width="6.44140625" style="536" customWidth="1"/>
    <col min="5639" max="5639" width="9.6640625" style="536" customWidth="1"/>
    <col min="5640" max="5640" width="9.88671875" style="536" customWidth="1"/>
    <col min="5641" max="5650" width="0" style="536" hidden="1" customWidth="1"/>
    <col min="5651" max="5890" width="9.109375" style="536"/>
    <col min="5891" max="5891" width="11" style="536" customWidth="1"/>
    <col min="5892" max="5892" width="47.44140625" style="536" customWidth="1"/>
    <col min="5893" max="5893" width="9.44140625" style="536" customWidth="1"/>
    <col min="5894" max="5894" width="6.44140625" style="536" customWidth="1"/>
    <col min="5895" max="5895" width="9.6640625" style="536" customWidth="1"/>
    <col min="5896" max="5896" width="9.88671875" style="536" customWidth="1"/>
    <col min="5897" max="5906" width="0" style="536" hidden="1" customWidth="1"/>
    <col min="5907" max="6146" width="9.109375" style="536"/>
    <col min="6147" max="6147" width="11" style="536" customWidth="1"/>
    <col min="6148" max="6148" width="47.44140625" style="536" customWidth="1"/>
    <col min="6149" max="6149" width="9.44140625" style="536" customWidth="1"/>
    <col min="6150" max="6150" width="6.44140625" style="536" customWidth="1"/>
    <col min="6151" max="6151" width="9.6640625" style="536" customWidth="1"/>
    <col min="6152" max="6152" width="9.88671875" style="536" customWidth="1"/>
    <col min="6153" max="6162" width="0" style="536" hidden="1" customWidth="1"/>
    <col min="6163" max="6402" width="9.109375" style="536"/>
    <col min="6403" max="6403" width="11" style="536" customWidth="1"/>
    <col min="6404" max="6404" width="47.44140625" style="536" customWidth="1"/>
    <col min="6405" max="6405" width="9.44140625" style="536" customWidth="1"/>
    <col min="6406" max="6406" width="6.44140625" style="536" customWidth="1"/>
    <col min="6407" max="6407" width="9.6640625" style="536" customWidth="1"/>
    <col min="6408" max="6408" width="9.88671875" style="536" customWidth="1"/>
    <col min="6409" max="6418" width="0" style="536" hidden="1" customWidth="1"/>
    <col min="6419" max="6658" width="9.109375" style="536"/>
    <col min="6659" max="6659" width="11" style="536" customWidth="1"/>
    <col min="6660" max="6660" width="47.44140625" style="536" customWidth="1"/>
    <col min="6661" max="6661" width="9.44140625" style="536" customWidth="1"/>
    <col min="6662" max="6662" width="6.44140625" style="536" customWidth="1"/>
    <col min="6663" max="6663" width="9.6640625" style="536" customWidth="1"/>
    <col min="6664" max="6664" width="9.88671875" style="536" customWidth="1"/>
    <col min="6665" max="6674" width="0" style="536" hidden="1" customWidth="1"/>
    <col min="6675" max="6914" width="9.109375" style="536"/>
    <col min="6915" max="6915" width="11" style="536" customWidth="1"/>
    <col min="6916" max="6916" width="47.44140625" style="536" customWidth="1"/>
    <col min="6917" max="6917" width="9.44140625" style="536" customWidth="1"/>
    <col min="6918" max="6918" width="6.44140625" style="536" customWidth="1"/>
    <col min="6919" max="6919" width="9.6640625" style="536" customWidth="1"/>
    <col min="6920" max="6920" width="9.88671875" style="536" customWidth="1"/>
    <col min="6921" max="6930" width="0" style="536" hidden="1" customWidth="1"/>
    <col min="6931" max="7170" width="9.109375" style="536"/>
    <col min="7171" max="7171" width="11" style="536" customWidth="1"/>
    <col min="7172" max="7172" width="47.44140625" style="536" customWidth="1"/>
    <col min="7173" max="7173" width="9.44140625" style="536" customWidth="1"/>
    <col min="7174" max="7174" width="6.44140625" style="536" customWidth="1"/>
    <col min="7175" max="7175" width="9.6640625" style="536" customWidth="1"/>
    <col min="7176" max="7176" width="9.88671875" style="536" customWidth="1"/>
    <col min="7177" max="7186" width="0" style="536" hidden="1" customWidth="1"/>
    <col min="7187" max="7426" width="9.109375" style="536"/>
    <col min="7427" max="7427" width="11" style="536" customWidth="1"/>
    <col min="7428" max="7428" width="47.44140625" style="536" customWidth="1"/>
    <col min="7429" max="7429" width="9.44140625" style="536" customWidth="1"/>
    <col min="7430" max="7430" width="6.44140625" style="536" customWidth="1"/>
    <col min="7431" max="7431" width="9.6640625" style="536" customWidth="1"/>
    <col min="7432" max="7432" width="9.88671875" style="536" customWidth="1"/>
    <col min="7433" max="7442" width="0" style="536" hidden="1" customWidth="1"/>
    <col min="7443" max="7682" width="9.109375" style="536"/>
    <col min="7683" max="7683" width="11" style="536" customWidth="1"/>
    <col min="7684" max="7684" width="47.44140625" style="536" customWidth="1"/>
    <col min="7685" max="7685" width="9.44140625" style="536" customWidth="1"/>
    <col min="7686" max="7686" width="6.44140625" style="536" customWidth="1"/>
    <col min="7687" max="7687" width="9.6640625" style="536" customWidth="1"/>
    <col min="7688" max="7688" width="9.88671875" style="536" customWidth="1"/>
    <col min="7689" max="7698" width="0" style="536" hidden="1" customWidth="1"/>
    <col min="7699" max="7938" width="9.109375" style="536"/>
    <col min="7939" max="7939" width="11" style="536" customWidth="1"/>
    <col min="7940" max="7940" width="47.44140625" style="536" customWidth="1"/>
    <col min="7941" max="7941" width="9.44140625" style="536" customWidth="1"/>
    <col min="7942" max="7942" width="6.44140625" style="536" customWidth="1"/>
    <col min="7943" max="7943" width="9.6640625" style="536" customWidth="1"/>
    <col min="7944" max="7944" width="9.88671875" style="536" customWidth="1"/>
    <col min="7945" max="7954" width="0" style="536" hidden="1" customWidth="1"/>
    <col min="7955" max="8194" width="9.109375" style="536"/>
    <col min="8195" max="8195" width="11" style="536" customWidth="1"/>
    <col min="8196" max="8196" width="47.44140625" style="536" customWidth="1"/>
    <col min="8197" max="8197" width="9.44140625" style="536" customWidth="1"/>
    <col min="8198" max="8198" width="6.44140625" style="536" customWidth="1"/>
    <col min="8199" max="8199" width="9.6640625" style="536" customWidth="1"/>
    <col min="8200" max="8200" width="9.88671875" style="536" customWidth="1"/>
    <col min="8201" max="8210" width="0" style="536" hidden="1" customWidth="1"/>
    <col min="8211" max="8450" width="9.109375" style="536"/>
    <col min="8451" max="8451" width="11" style="536" customWidth="1"/>
    <col min="8452" max="8452" width="47.44140625" style="536" customWidth="1"/>
    <col min="8453" max="8453" width="9.44140625" style="536" customWidth="1"/>
    <col min="8454" max="8454" width="6.44140625" style="536" customWidth="1"/>
    <col min="8455" max="8455" width="9.6640625" style="536" customWidth="1"/>
    <col min="8456" max="8456" width="9.88671875" style="536" customWidth="1"/>
    <col min="8457" max="8466" width="0" style="536" hidden="1" customWidth="1"/>
    <col min="8467" max="8706" width="9.109375" style="536"/>
    <col min="8707" max="8707" width="11" style="536" customWidth="1"/>
    <col min="8708" max="8708" width="47.44140625" style="536" customWidth="1"/>
    <col min="8709" max="8709" width="9.44140625" style="536" customWidth="1"/>
    <col min="8710" max="8710" width="6.44140625" style="536" customWidth="1"/>
    <col min="8711" max="8711" width="9.6640625" style="536" customWidth="1"/>
    <col min="8712" max="8712" width="9.88671875" style="536" customWidth="1"/>
    <col min="8713" max="8722" width="0" style="536" hidden="1" customWidth="1"/>
    <col min="8723" max="8962" width="9.109375" style="536"/>
    <col min="8963" max="8963" width="11" style="536" customWidth="1"/>
    <col min="8964" max="8964" width="47.44140625" style="536" customWidth="1"/>
    <col min="8965" max="8965" width="9.44140625" style="536" customWidth="1"/>
    <col min="8966" max="8966" width="6.44140625" style="536" customWidth="1"/>
    <col min="8967" max="8967" width="9.6640625" style="536" customWidth="1"/>
    <col min="8968" max="8968" width="9.88671875" style="536" customWidth="1"/>
    <col min="8969" max="8978" width="0" style="536" hidden="1" customWidth="1"/>
    <col min="8979" max="9218" width="9.109375" style="536"/>
    <col min="9219" max="9219" width="11" style="536" customWidth="1"/>
    <col min="9220" max="9220" width="47.44140625" style="536" customWidth="1"/>
    <col min="9221" max="9221" width="9.44140625" style="536" customWidth="1"/>
    <col min="9222" max="9222" width="6.44140625" style="536" customWidth="1"/>
    <col min="9223" max="9223" width="9.6640625" style="536" customWidth="1"/>
    <col min="9224" max="9224" width="9.88671875" style="536" customWidth="1"/>
    <col min="9225" max="9234" width="0" style="536" hidden="1" customWidth="1"/>
    <col min="9235" max="9474" width="9.109375" style="536"/>
    <col min="9475" max="9475" width="11" style="536" customWidth="1"/>
    <col min="9476" max="9476" width="47.44140625" style="536" customWidth="1"/>
    <col min="9477" max="9477" width="9.44140625" style="536" customWidth="1"/>
    <col min="9478" max="9478" width="6.44140625" style="536" customWidth="1"/>
    <col min="9479" max="9479" width="9.6640625" style="536" customWidth="1"/>
    <col min="9480" max="9480" width="9.88671875" style="536" customWidth="1"/>
    <col min="9481" max="9490" width="0" style="536" hidden="1" customWidth="1"/>
    <col min="9491" max="9730" width="9.109375" style="536"/>
    <col min="9731" max="9731" width="11" style="536" customWidth="1"/>
    <col min="9732" max="9732" width="47.44140625" style="536" customWidth="1"/>
    <col min="9733" max="9733" width="9.44140625" style="536" customWidth="1"/>
    <col min="9734" max="9734" width="6.44140625" style="536" customWidth="1"/>
    <col min="9735" max="9735" width="9.6640625" style="536" customWidth="1"/>
    <col min="9736" max="9736" width="9.88671875" style="536" customWidth="1"/>
    <col min="9737" max="9746" width="0" style="536" hidden="1" customWidth="1"/>
    <col min="9747" max="9986" width="9.109375" style="536"/>
    <col min="9987" max="9987" width="11" style="536" customWidth="1"/>
    <col min="9988" max="9988" width="47.44140625" style="536" customWidth="1"/>
    <col min="9989" max="9989" width="9.44140625" style="536" customWidth="1"/>
    <col min="9990" max="9990" width="6.44140625" style="536" customWidth="1"/>
    <col min="9991" max="9991" width="9.6640625" style="536" customWidth="1"/>
    <col min="9992" max="9992" width="9.88671875" style="536" customWidth="1"/>
    <col min="9993" max="10002" width="0" style="536" hidden="1" customWidth="1"/>
    <col min="10003" max="10242" width="9.109375" style="536"/>
    <col min="10243" max="10243" width="11" style="536" customWidth="1"/>
    <col min="10244" max="10244" width="47.44140625" style="536" customWidth="1"/>
    <col min="10245" max="10245" width="9.44140625" style="536" customWidth="1"/>
    <col min="10246" max="10246" width="6.44140625" style="536" customWidth="1"/>
    <col min="10247" max="10247" width="9.6640625" style="536" customWidth="1"/>
    <col min="10248" max="10248" width="9.88671875" style="536" customWidth="1"/>
    <col min="10249" max="10258" width="0" style="536" hidden="1" customWidth="1"/>
    <col min="10259" max="10498" width="9.109375" style="536"/>
    <col min="10499" max="10499" width="11" style="536" customWidth="1"/>
    <col min="10500" max="10500" width="47.44140625" style="536" customWidth="1"/>
    <col min="10501" max="10501" width="9.44140625" style="536" customWidth="1"/>
    <col min="10502" max="10502" width="6.44140625" style="536" customWidth="1"/>
    <col min="10503" max="10503" width="9.6640625" style="536" customWidth="1"/>
    <col min="10504" max="10504" width="9.88671875" style="536" customWidth="1"/>
    <col min="10505" max="10514" width="0" style="536" hidden="1" customWidth="1"/>
    <col min="10515" max="10754" width="9.109375" style="536"/>
    <col min="10755" max="10755" width="11" style="536" customWidth="1"/>
    <col min="10756" max="10756" width="47.44140625" style="536" customWidth="1"/>
    <col min="10757" max="10757" width="9.44140625" style="536" customWidth="1"/>
    <col min="10758" max="10758" width="6.44140625" style="536" customWidth="1"/>
    <col min="10759" max="10759" width="9.6640625" style="536" customWidth="1"/>
    <col min="10760" max="10760" width="9.88671875" style="536" customWidth="1"/>
    <col min="10761" max="10770" width="0" style="536" hidden="1" customWidth="1"/>
    <col min="10771" max="11010" width="9.109375" style="536"/>
    <col min="11011" max="11011" width="11" style="536" customWidth="1"/>
    <col min="11012" max="11012" width="47.44140625" style="536" customWidth="1"/>
    <col min="11013" max="11013" width="9.44140625" style="536" customWidth="1"/>
    <col min="11014" max="11014" width="6.44140625" style="536" customWidth="1"/>
    <col min="11015" max="11015" width="9.6640625" style="536" customWidth="1"/>
    <col min="11016" max="11016" width="9.88671875" style="536" customWidth="1"/>
    <col min="11017" max="11026" width="0" style="536" hidden="1" customWidth="1"/>
    <col min="11027" max="11266" width="9.109375" style="536"/>
    <col min="11267" max="11267" width="11" style="536" customWidth="1"/>
    <col min="11268" max="11268" width="47.44140625" style="536" customWidth="1"/>
    <col min="11269" max="11269" width="9.44140625" style="536" customWidth="1"/>
    <col min="11270" max="11270" width="6.44140625" style="536" customWidth="1"/>
    <col min="11271" max="11271" width="9.6640625" style="536" customWidth="1"/>
    <col min="11272" max="11272" width="9.88671875" style="536" customWidth="1"/>
    <col min="11273" max="11282" width="0" style="536" hidden="1" customWidth="1"/>
    <col min="11283" max="11522" width="9.109375" style="536"/>
    <col min="11523" max="11523" width="11" style="536" customWidth="1"/>
    <col min="11524" max="11524" width="47.44140625" style="536" customWidth="1"/>
    <col min="11525" max="11525" width="9.44140625" style="536" customWidth="1"/>
    <col min="11526" max="11526" width="6.44140625" style="536" customWidth="1"/>
    <col min="11527" max="11527" width="9.6640625" style="536" customWidth="1"/>
    <col min="11528" max="11528" width="9.88671875" style="536" customWidth="1"/>
    <col min="11529" max="11538" width="0" style="536" hidden="1" customWidth="1"/>
    <col min="11539" max="11778" width="9.109375" style="536"/>
    <col min="11779" max="11779" width="11" style="536" customWidth="1"/>
    <col min="11780" max="11780" width="47.44140625" style="536" customWidth="1"/>
    <col min="11781" max="11781" width="9.44140625" style="536" customWidth="1"/>
    <col min="11782" max="11782" width="6.44140625" style="536" customWidth="1"/>
    <col min="11783" max="11783" width="9.6640625" style="536" customWidth="1"/>
    <col min="11784" max="11784" width="9.88671875" style="536" customWidth="1"/>
    <col min="11785" max="11794" width="0" style="536" hidden="1" customWidth="1"/>
    <col min="11795" max="12034" width="9.109375" style="536"/>
    <col min="12035" max="12035" width="11" style="536" customWidth="1"/>
    <col min="12036" max="12036" width="47.44140625" style="536" customWidth="1"/>
    <col min="12037" max="12037" width="9.44140625" style="536" customWidth="1"/>
    <col min="12038" max="12038" width="6.44140625" style="536" customWidth="1"/>
    <col min="12039" max="12039" width="9.6640625" style="536" customWidth="1"/>
    <col min="12040" max="12040" width="9.88671875" style="536" customWidth="1"/>
    <col min="12041" max="12050" width="0" style="536" hidden="1" customWidth="1"/>
    <col min="12051" max="12290" width="9.109375" style="536"/>
    <col min="12291" max="12291" width="11" style="536" customWidth="1"/>
    <col min="12292" max="12292" width="47.44140625" style="536" customWidth="1"/>
    <col min="12293" max="12293" width="9.44140625" style="536" customWidth="1"/>
    <col min="12294" max="12294" width="6.44140625" style="536" customWidth="1"/>
    <col min="12295" max="12295" width="9.6640625" style="536" customWidth="1"/>
    <col min="12296" max="12296" width="9.88671875" style="536" customWidth="1"/>
    <col min="12297" max="12306" width="0" style="536" hidden="1" customWidth="1"/>
    <col min="12307" max="12546" width="9.109375" style="536"/>
    <col min="12547" max="12547" width="11" style="536" customWidth="1"/>
    <col min="12548" max="12548" width="47.44140625" style="536" customWidth="1"/>
    <col min="12549" max="12549" width="9.44140625" style="536" customWidth="1"/>
    <col min="12550" max="12550" width="6.44140625" style="536" customWidth="1"/>
    <col min="12551" max="12551" width="9.6640625" style="536" customWidth="1"/>
    <col min="12552" max="12552" width="9.88671875" style="536" customWidth="1"/>
    <col min="12553" max="12562" width="0" style="536" hidden="1" customWidth="1"/>
    <col min="12563" max="12802" width="9.109375" style="536"/>
    <col min="12803" max="12803" width="11" style="536" customWidth="1"/>
    <col min="12804" max="12804" width="47.44140625" style="536" customWidth="1"/>
    <col min="12805" max="12805" width="9.44140625" style="536" customWidth="1"/>
    <col min="12806" max="12806" width="6.44140625" style="536" customWidth="1"/>
    <col min="12807" max="12807" width="9.6640625" style="536" customWidth="1"/>
    <col min="12808" max="12808" width="9.88671875" style="536" customWidth="1"/>
    <col min="12809" max="12818" width="0" style="536" hidden="1" customWidth="1"/>
    <col min="12819" max="13058" width="9.109375" style="536"/>
    <col min="13059" max="13059" width="11" style="536" customWidth="1"/>
    <col min="13060" max="13060" width="47.44140625" style="536" customWidth="1"/>
    <col min="13061" max="13061" width="9.44140625" style="536" customWidth="1"/>
    <col min="13062" max="13062" width="6.44140625" style="536" customWidth="1"/>
    <col min="13063" max="13063" width="9.6640625" style="536" customWidth="1"/>
    <col min="13064" max="13064" width="9.88671875" style="536" customWidth="1"/>
    <col min="13065" max="13074" width="0" style="536" hidden="1" customWidth="1"/>
    <col min="13075" max="13314" width="9.109375" style="536"/>
    <col min="13315" max="13315" width="11" style="536" customWidth="1"/>
    <col min="13316" max="13316" width="47.44140625" style="536" customWidth="1"/>
    <col min="13317" max="13317" width="9.44140625" style="536" customWidth="1"/>
    <col min="13318" max="13318" width="6.44140625" style="536" customWidth="1"/>
    <col min="13319" max="13319" width="9.6640625" style="536" customWidth="1"/>
    <col min="13320" max="13320" width="9.88671875" style="536" customWidth="1"/>
    <col min="13321" max="13330" width="0" style="536" hidden="1" customWidth="1"/>
    <col min="13331" max="13570" width="9.109375" style="536"/>
    <col min="13571" max="13571" width="11" style="536" customWidth="1"/>
    <col min="13572" max="13572" width="47.44140625" style="536" customWidth="1"/>
    <col min="13573" max="13573" width="9.44140625" style="536" customWidth="1"/>
    <col min="13574" max="13574" width="6.44140625" style="536" customWidth="1"/>
    <col min="13575" max="13575" width="9.6640625" style="536" customWidth="1"/>
    <col min="13576" max="13576" width="9.88671875" style="536" customWidth="1"/>
    <col min="13577" max="13586" width="0" style="536" hidden="1" customWidth="1"/>
    <col min="13587" max="13826" width="9.109375" style="536"/>
    <col min="13827" max="13827" width="11" style="536" customWidth="1"/>
    <col min="13828" max="13828" width="47.44140625" style="536" customWidth="1"/>
    <col min="13829" max="13829" width="9.44140625" style="536" customWidth="1"/>
    <col min="13830" max="13830" width="6.44140625" style="536" customWidth="1"/>
    <col min="13831" max="13831" width="9.6640625" style="536" customWidth="1"/>
    <col min="13832" max="13832" width="9.88671875" style="536" customWidth="1"/>
    <col min="13833" max="13842" width="0" style="536" hidden="1" customWidth="1"/>
    <col min="13843" max="14082" width="9.109375" style="536"/>
    <col min="14083" max="14083" width="11" style="536" customWidth="1"/>
    <col min="14084" max="14084" width="47.44140625" style="536" customWidth="1"/>
    <col min="14085" max="14085" width="9.44140625" style="536" customWidth="1"/>
    <col min="14086" max="14086" width="6.44140625" style="536" customWidth="1"/>
    <col min="14087" max="14087" width="9.6640625" style="536" customWidth="1"/>
    <col min="14088" max="14088" width="9.88671875" style="536" customWidth="1"/>
    <col min="14089" max="14098" width="0" style="536" hidden="1" customWidth="1"/>
    <col min="14099" max="14338" width="9.109375" style="536"/>
    <col min="14339" max="14339" width="11" style="536" customWidth="1"/>
    <col min="14340" max="14340" width="47.44140625" style="536" customWidth="1"/>
    <col min="14341" max="14341" width="9.44140625" style="536" customWidth="1"/>
    <col min="14342" max="14342" width="6.44140625" style="536" customWidth="1"/>
    <col min="14343" max="14343" width="9.6640625" style="536" customWidth="1"/>
    <col min="14344" max="14344" width="9.88671875" style="536" customWidth="1"/>
    <col min="14345" max="14354" width="0" style="536" hidden="1" customWidth="1"/>
    <col min="14355" max="14594" width="9.109375" style="536"/>
    <col min="14595" max="14595" width="11" style="536" customWidth="1"/>
    <col min="14596" max="14596" width="47.44140625" style="536" customWidth="1"/>
    <col min="14597" max="14597" width="9.44140625" style="536" customWidth="1"/>
    <col min="14598" max="14598" width="6.44140625" style="536" customWidth="1"/>
    <col min="14599" max="14599" width="9.6640625" style="536" customWidth="1"/>
    <col min="14600" max="14600" width="9.88671875" style="536" customWidth="1"/>
    <col min="14601" max="14610" width="0" style="536" hidden="1" customWidth="1"/>
    <col min="14611" max="14850" width="9.109375" style="536"/>
    <col min="14851" max="14851" width="11" style="536" customWidth="1"/>
    <col min="14852" max="14852" width="47.44140625" style="536" customWidth="1"/>
    <col min="14853" max="14853" width="9.44140625" style="536" customWidth="1"/>
    <col min="14854" max="14854" width="6.44140625" style="536" customWidth="1"/>
    <col min="14855" max="14855" width="9.6640625" style="536" customWidth="1"/>
    <col min="14856" max="14856" width="9.88671875" style="536" customWidth="1"/>
    <col min="14857" max="14866" width="0" style="536" hidden="1" customWidth="1"/>
    <col min="14867" max="15106" width="9.109375" style="536"/>
    <col min="15107" max="15107" width="11" style="536" customWidth="1"/>
    <col min="15108" max="15108" width="47.44140625" style="536" customWidth="1"/>
    <col min="15109" max="15109" width="9.44140625" style="536" customWidth="1"/>
    <col min="15110" max="15110" width="6.44140625" style="536" customWidth="1"/>
    <col min="15111" max="15111" width="9.6640625" style="536" customWidth="1"/>
    <col min="15112" max="15112" width="9.88671875" style="536" customWidth="1"/>
    <col min="15113" max="15122" width="0" style="536" hidden="1" customWidth="1"/>
    <col min="15123" max="15362" width="9.109375" style="536"/>
    <col min="15363" max="15363" width="11" style="536" customWidth="1"/>
    <col min="15364" max="15364" width="47.44140625" style="536" customWidth="1"/>
    <col min="15365" max="15365" width="9.44140625" style="536" customWidth="1"/>
    <col min="15366" max="15366" width="6.44140625" style="536" customWidth="1"/>
    <col min="15367" max="15367" width="9.6640625" style="536" customWidth="1"/>
    <col min="15368" max="15368" width="9.88671875" style="536" customWidth="1"/>
    <col min="15369" max="15378" width="0" style="536" hidden="1" customWidth="1"/>
    <col min="15379" max="15618" width="9.109375" style="536"/>
    <col min="15619" max="15619" width="11" style="536" customWidth="1"/>
    <col min="15620" max="15620" width="47.44140625" style="536" customWidth="1"/>
    <col min="15621" max="15621" width="9.44140625" style="536" customWidth="1"/>
    <col min="15622" max="15622" width="6.44140625" style="536" customWidth="1"/>
    <col min="15623" max="15623" width="9.6640625" style="536" customWidth="1"/>
    <col min="15624" max="15624" width="9.88671875" style="536" customWidth="1"/>
    <col min="15625" max="15634" width="0" style="536" hidden="1" customWidth="1"/>
    <col min="15635" max="15874" width="9.109375" style="536"/>
    <col min="15875" max="15875" width="11" style="536" customWidth="1"/>
    <col min="15876" max="15876" width="47.44140625" style="536" customWidth="1"/>
    <col min="15877" max="15877" width="9.44140625" style="536" customWidth="1"/>
    <col min="15878" max="15878" width="6.44140625" style="536" customWidth="1"/>
    <col min="15879" max="15879" width="9.6640625" style="536" customWidth="1"/>
    <col min="15880" max="15880" width="9.88671875" style="536" customWidth="1"/>
    <col min="15881" max="15890" width="0" style="536" hidden="1" customWidth="1"/>
    <col min="15891" max="16130" width="9.109375" style="536"/>
    <col min="16131" max="16131" width="11" style="536" customWidth="1"/>
    <col min="16132" max="16132" width="47.44140625" style="536" customWidth="1"/>
    <col min="16133" max="16133" width="9.44140625" style="536" customWidth="1"/>
    <col min="16134" max="16134" width="6.44140625" style="536" customWidth="1"/>
    <col min="16135" max="16135" width="9.6640625" style="536" customWidth="1"/>
    <col min="16136" max="16136" width="9.88671875" style="536" customWidth="1"/>
    <col min="16137" max="16146" width="0" style="536" hidden="1" customWidth="1"/>
    <col min="16147" max="16384" width="9.109375" style="536"/>
  </cols>
  <sheetData>
    <row r="1" spans="1:22" ht="16.5" customHeight="1">
      <c r="A1" s="533" t="s">
        <v>208</v>
      </c>
      <c r="B1" s="534" t="s">
        <v>209</v>
      </c>
      <c r="C1" s="534" t="s">
        <v>210</v>
      </c>
      <c r="D1" s="534" t="s">
        <v>211</v>
      </c>
      <c r="E1" s="535" t="s">
        <v>212</v>
      </c>
      <c r="F1" s="535" t="s">
        <v>164</v>
      </c>
      <c r="G1" s="607" t="s">
        <v>66</v>
      </c>
      <c r="H1" s="607" t="s">
        <v>305</v>
      </c>
    </row>
    <row r="2" spans="1:22" s="538" customFormat="1">
      <c r="A2" s="606" t="s">
        <v>217</v>
      </c>
      <c r="B2" s="517"/>
      <c r="C2" s="263"/>
      <c r="D2" s="263"/>
      <c r="E2" s="537" t="s">
        <v>257</v>
      </c>
      <c r="F2" s="537" t="s">
        <v>257</v>
      </c>
      <c r="G2" s="608" t="s">
        <v>257</v>
      </c>
      <c r="H2" s="608" t="s">
        <v>300</v>
      </c>
    </row>
    <row r="3" spans="1:22" s="538" customFormat="1">
      <c r="A3" s="539"/>
      <c r="B3" s="540"/>
      <c r="C3" s="541"/>
      <c r="D3" s="541"/>
      <c r="E3" s="542"/>
      <c r="F3" s="542"/>
      <c r="G3" s="609"/>
      <c r="H3" s="609"/>
      <c r="T3" s="543"/>
      <c r="V3" s="543"/>
    </row>
    <row r="4" spans="1:22" s="543" customFormat="1">
      <c r="A4" s="539"/>
      <c r="B4" s="540"/>
      <c r="C4" s="541"/>
      <c r="D4" s="541"/>
      <c r="E4" s="542"/>
      <c r="F4" s="542"/>
      <c r="G4" s="609"/>
      <c r="H4" s="609"/>
    </row>
    <row r="5" spans="1:22" s="543" customFormat="1">
      <c r="A5" s="539"/>
      <c r="B5" s="544"/>
      <c r="C5" s="541"/>
      <c r="D5" s="541"/>
      <c r="E5" s="542"/>
      <c r="F5" s="542"/>
      <c r="G5" s="609"/>
      <c r="H5" s="609"/>
    </row>
    <row r="6" spans="1:22" s="543" customFormat="1">
      <c r="A6" s="539"/>
      <c r="B6" s="540"/>
      <c r="C6" s="541"/>
      <c r="D6" s="541"/>
      <c r="E6" s="542"/>
      <c r="F6" s="542"/>
      <c r="G6" s="609"/>
      <c r="H6" s="609"/>
    </row>
    <row r="7" spans="1:22" s="543" customFormat="1">
      <c r="A7" s="539"/>
      <c r="B7" s="545"/>
      <c r="C7" s="546"/>
      <c r="D7" s="546"/>
      <c r="E7" s="542"/>
      <c r="F7" s="542"/>
      <c r="G7" s="609"/>
      <c r="H7" s="609"/>
    </row>
    <row r="8" spans="1:22" s="543" customFormat="1">
      <c r="A8" s="539"/>
      <c r="B8" s="540"/>
      <c r="C8" s="541"/>
      <c r="D8" s="541"/>
      <c r="E8" s="542"/>
      <c r="F8" s="542"/>
      <c r="G8" s="609"/>
      <c r="H8" s="609"/>
    </row>
    <row r="9" spans="1:22" s="543" customFormat="1">
      <c r="A9" s="539"/>
      <c r="B9" s="545"/>
      <c r="C9" s="546"/>
      <c r="D9" s="546"/>
      <c r="E9" s="542"/>
      <c r="F9" s="542"/>
      <c r="G9" s="609"/>
      <c r="H9" s="609"/>
    </row>
    <row r="10" spans="1:22" s="543" customFormat="1">
      <c r="A10" s="539"/>
      <c r="B10" s="540"/>
      <c r="C10" s="541"/>
      <c r="D10" s="541"/>
      <c r="E10" s="542"/>
      <c r="F10" s="542"/>
      <c r="G10" s="609"/>
      <c r="H10" s="609"/>
    </row>
    <row r="11" spans="1:22" s="547" customFormat="1">
      <c r="A11" s="539"/>
      <c r="B11" s="545"/>
      <c r="C11" s="546"/>
      <c r="D11" s="546"/>
      <c r="E11" s="542"/>
      <c r="F11" s="542"/>
      <c r="G11" s="609"/>
      <c r="H11" s="609"/>
    </row>
    <row r="12" spans="1:22" s="543" customFormat="1">
      <c r="A12" s="539"/>
      <c r="B12" s="540"/>
      <c r="C12" s="541"/>
      <c r="D12" s="541"/>
      <c r="E12" s="542"/>
      <c r="F12" s="542"/>
      <c r="G12" s="609"/>
      <c r="H12" s="609"/>
    </row>
    <row r="13" spans="1:22" s="543" customFormat="1">
      <c r="A13" s="539"/>
      <c r="B13" s="545"/>
      <c r="C13" s="546"/>
      <c r="D13" s="546"/>
      <c r="E13" s="542"/>
      <c r="F13" s="542"/>
      <c r="G13" s="609"/>
      <c r="H13" s="609"/>
    </row>
    <row r="14" spans="1:22" s="543" customFormat="1">
      <c r="A14" s="539"/>
      <c r="B14" s="540"/>
      <c r="C14" s="541"/>
      <c r="D14" s="541"/>
      <c r="E14" s="542"/>
      <c r="F14" s="542"/>
      <c r="G14" s="609"/>
      <c r="H14" s="609"/>
    </row>
    <row r="15" spans="1:22" s="547" customFormat="1">
      <c r="A15" s="539"/>
      <c r="B15" s="545"/>
      <c r="C15" s="546"/>
      <c r="D15" s="546"/>
      <c r="E15" s="542"/>
      <c r="F15" s="542"/>
      <c r="G15" s="609"/>
      <c r="H15" s="609"/>
    </row>
    <row r="16" spans="1:22" s="547" customFormat="1">
      <c r="A16" s="539"/>
      <c r="B16" s="540"/>
      <c r="C16" s="541"/>
      <c r="D16" s="541"/>
      <c r="E16" s="542"/>
      <c r="F16" s="542"/>
      <c r="G16" s="609"/>
      <c r="H16" s="609"/>
    </row>
    <row r="17" spans="1:8" s="547" customFormat="1">
      <c r="A17" s="539"/>
      <c r="B17" s="545"/>
      <c r="C17" s="546"/>
      <c r="D17" s="546"/>
      <c r="E17" s="542"/>
      <c r="F17" s="542"/>
      <c r="G17" s="609"/>
      <c r="H17" s="609"/>
    </row>
    <row r="18" spans="1:8" s="547" customFormat="1">
      <c r="A18" s="539"/>
      <c r="B18" s="540"/>
      <c r="C18" s="541"/>
      <c r="D18" s="541"/>
      <c r="E18" s="542"/>
      <c r="F18" s="542"/>
      <c r="G18" s="609"/>
      <c r="H18" s="609"/>
    </row>
    <row r="19" spans="1:8" s="547" customFormat="1">
      <c r="A19" s="539"/>
      <c r="B19" s="545"/>
      <c r="C19" s="546"/>
      <c r="D19" s="546"/>
      <c r="E19" s="542"/>
      <c r="F19" s="542"/>
      <c r="G19" s="609"/>
      <c r="H19" s="609"/>
    </row>
    <row r="20" spans="1:8" s="547" customFormat="1">
      <c r="A20" s="539"/>
      <c r="B20" s="540"/>
      <c r="C20" s="541"/>
      <c r="D20" s="541"/>
      <c r="E20" s="542"/>
      <c r="F20" s="542"/>
      <c r="G20" s="609"/>
      <c r="H20" s="609"/>
    </row>
    <row r="21" spans="1:8" s="547" customFormat="1">
      <c r="A21" s="539"/>
      <c r="B21" s="545"/>
      <c r="C21" s="546"/>
      <c r="D21" s="546"/>
      <c r="E21" s="542"/>
      <c r="F21" s="542"/>
      <c r="G21" s="609"/>
      <c r="H21" s="609"/>
    </row>
    <row r="22" spans="1:8" s="547" customFormat="1">
      <c r="A22" s="539"/>
      <c r="B22" s="540"/>
      <c r="C22" s="541"/>
      <c r="D22" s="541"/>
      <c r="E22" s="542"/>
      <c r="F22" s="542"/>
      <c r="G22" s="609"/>
      <c r="H22" s="609"/>
    </row>
    <row r="23" spans="1:8" s="547" customFormat="1">
      <c r="A23" s="539"/>
      <c r="B23" s="545"/>
      <c r="C23" s="546"/>
      <c r="D23" s="546"/>
      <c r="E23" s="542"/>
      <c r="F23" s="542"/>
      <c r="G23" s="609"/>
      <c r="H23" s="609"/>
    </row>
    <row r="24" spans="1:8" s="547" customFormat="1">
      <c r="A24" s="539"/>
      <c r="B24" s="540"/>
      <c r="C24" s="541"/>
      <c r="D24" s="541"/>
      <c r="E24" s="542"/>
      <c r="F24" s="542"/>
      <c r="G24" s="609"/>
      <c r="H24" s="609"/>
    </row>
    <row r="25" spans="1:8" s="547" customFormat="1">
      <c r="A25" s="539"/>
      <c r="B25" s="545"/>
      <c r="C25" s="546"/>
      <c r="D25" s="546"/>
      <c r="E25" s="542"/>
      <c r="F25" s="542"/>
      <c r="G25" s="609"/>
      <c r="H25" s="609"/>
    </row>
    <row r="26" spans="1:8" s="547" customFormat="1">
      <c r="A26" s="539"/>
      <c r="B26" s="540"/>
      <c r="C26" s="541"/>
      <c r="D26" s="541"/>
      <c r="E26" s="542"/>
      <c r="F26" s="542"/>
      <c r="G26" s="609"/>
      <c r="H26" s="609"/>
    </row>
    <row r="27" spans="1:8" s="547" customFormat="1">
      <c r="A27" s="539"/>
      <c r="B27" s="545"/>
      <c r="C27" s="546"/>
      <c r="D27" s="546"/>
      <c r="E27" s="542"/>
      <c r="F27" s="542"/>
      <c r="G27" s="609"/>
      <c r="H27" s="609"/>
    </row>
    <row r="28" spans="1:8" s="547" customFormat="1">
      <c r="A28" s="539"/>
      <c r="B28" s="540"/>
      <c r="C28" s="541"/>
      <c r="D28" s="541"/>
      <c r="E28" s="542"/>
      <c r="F28" s="542"/>
      <c r="G28" s="609"/>
      <c r="H28" s="609"/>
    </row>
    <row r="29" spans="1:8" s="547" customFormat="1">
      <c r="A29" s="539"/>
      <c r="B29" s="545"/>
      <c r="C29" s="546"/>
      <c r="D29" s="546"/>
      <c r="E29" s="542"/>
      <c r="F29" s="542"/>
      <c r="G29" s="609"/>
      <c r="H29" s="609"/>
    </row>
    <row r="30" spans="1:8" s="547" customFormat="1">
      <c r="A30" s="539"/>
      <c r="B30" s="540"/>
      <c r="C30" s="541"/>
      <c r="D30" s="541"/>
      <c r="E30" s="542"/>
      <c r="F30" s="542"/>
      <c r="G30" s="609"/>
      <c r="H30" s="609"/>
    </row>
    <row r="31" spans="1:8" s="547" customFormat="1">
      <c r="A31" s="539"/>
      <c r="B31" s="545"/>
      <c r="C31" s="546"/>
      <c r="D31" s="546"/>
      <c r="E31" s="542"/>
      <c r="F31" s="542"/>
      <c r="G31" s="609"/>
      <c r="H31" s="609"/>
    </row>
    <row r="32" spans="1:8" s="547" customFormat="1">
      <c r="A32" s="539"/>
      <c r="B32" s="540"/>
      <c r="C32" s="541"/>
      <c r="D32" s="541"/>
      <c r="E32" s="542"/>
      <c r="F32" s="542"/>
      <c r="G32" s="609"/>
      <c r="H32" s="609"/>
    </row>
    <row r="33" spans="1:8" s="547" customFormat="1">
      <c r="A33" s="539"/>
      <c r="B33" s="545"/>
      <c r="C33" s="546"/>
      <c r="D33" s="546"/>
      <c r="E33" s="542"/>
      <c r="F33" s="542"/>
      <c r="G33" s="609"/>
      <c r="H33" s="609"/>
    </row>
    <row r="34" spans="1:8" s="547" customFormat="1">
      <c r="A34" s="539"/>
      <c r="B34" s="545"/>
      <c r="C34" s="546"/>
      <c r="D34" s="546"/>
      <c r="E34" s="542"/>
      <c r="F34" s="542"/>
      <c r="G34" s="609"/>
      <c r="H34" s="609"/>
    </row>
    <row r="35" spans="1:8" s="547" customFormat="1">
      <c r="A35" s="539"/>
      <c r="B35" s="545"/>
      <c r="C35" s="546"/>
      <c r="D35" s="546"/>
      <c r="E35" s="542"/>
      <c r="F35" s="542"/>
      <c r="G35" s="609"/>
      <c r="H35" s="609"/>
    </row>
    <row r="36" spans="1:8" s="547" customFormat="1">
      <c r="A36" s="539"/>
      <c r="B36" s="545"/>
      <c r="C36" s="546"/>
      <c r="D36" s="546"/>
      <c r="E36" s="542"/>
      <c r="F36" s="542"/>
      <c r="G36" s="609"/>
      <c r="H36" s="609"/>
    </row>
    <row r="37" spans="1:8" s="547" customFormat="1">
      <c r="A37" s="539"/>
      <c r="B37" s="545"/>
      <c r="C37" s="546"/>
      <c r="D37" s="546"/>
      <c r="E37" s="542"/>
      <c r="F37" s="542"/>
      <c r="G37" s="609"/>
      <c r="H37" s="609"/>
    </row>
    <row r="38" spans="1:8" s="547" customFormat="1">
      <c r="A38" s="539"/>
      <c r="B38" s="545"/>
      <c r="C38" s="546"/>
      <c r="D38" s="546"/>
      <c r="E38" s="542"/>
      <c r="F38" s="542"/>
      <c r="G38" s="609"/>
      <c r="H38" s="609"/>
    </row>
    <row r="39" spans="1:8" s="547" customFormat="1">
      <c r="A39" s="539"/>
      <c r="B39" s="545"/>
      <c r="C39" s="546"/>
      <c r="D39" s="546"/>
      <c r="E39" s="542"/>
      <c r="F39" s="542"/>
      <c r="G39" s="609"/>
      <c r="H39" s="609"/>
    </row>
    <row r="40" spans="1:8" s="547" customFormat="1">
      <c r="A40" s="539"/>
      <c r="B40" s="545"/>
      <c r="C40" s="546"/>
      <c r="D40" s="546"/>
      <c r="E40" s="542"/>
      <c r="F40" s="542"/>
      <c r="G40" s="609"/>
      <c r="H40" s="609"/>
    </row>
    <row r="41" spans="1:8" s="547" customFormat="1">
      <c r="A41" s="539"/>
      <c r="B41" s="545"/>
      <c r="C41" s="546"/>
      <c r="D41" s="546"/>
      <c r="E41" s="542"/>
      <c r="F41" s="542"/>
      <c r="G41" s="609"/>
      <c r="H41" s="609"/>
    </row>
    <row r="42" spans="1:8" s="547" customFormat="1">
      <c r="A42" s="539"/>
      <c r="B42" s="545"/>
      <c r="C42" s="546"/>
      <c r="D42" s="546"/>
      <c r="E42" s="542"/>
      <c r="F42" s="542"/>
      <c r="G42" s="609"/>
      <c r="H42" s="609"/>
    </row>
    <row r="43" spans="1:8" s="547" customFormat="1">
      <c r="A43" s="539"/>
      <c r="B43" s="545"/>
      <c r="C43" s="546"/>
      <c r="D43" s="546"/>
      <c r="E43" s="542"/>
      <c r="F43" s="542"/>
      <c r="G43" s="609"/>
      <c r="H43" s="609"/>
    </row>
    <row r="44" spans="1:8" s="547" customFormat="1">
      <c r="A44" s="539"/>
      <c r="B44" s="545"/>
      <c r="C44" s="546"/>
      <c r="D44" s="546"/>
      <c r="E44" s="542"/>
      <c r="F44" s="542"/>
      <c r="G44" s="609"/>
      <c r="H44" s="609"/>
    </row>
    <row r="45" spans="1:8" s="547" customFormat="1">
      <c r="A45" s="539"/>
      <c r="B45" s="540"/>
      <c r="C45" s="541"/>
      <c r="D45" s="541"/>
      <c r="E45" s="542"/>
      <c r="F45" s="542"/>
      <c r="G45" s="609"/>
      <c r="H45" s="609"/>
    </row>
    <row r="46" spans="1:8" s="547" customFormat="1">
      <c r="A46" s="539"/>
      <c r="B46" s="540"/>
      <c r="C46" s="541"/>
      <c r="D46" s="541"/>
      <c r="E46" s="542"/>
      <c r="F46" s="542"/>
      <c r="G46" s="609"/>
      <c r="H46" s="609"/>
    </row>
    <row r="47" spans="1:8" s="547" customFormat="1">
      <c r="A47" s="539"/>
      <c r="B47" s="545"/>
      <c r="C47" s="546"/>
      <c r="D47" s="546"/>
      <c r="E47" s="542"/>
      <c r="F47" s="542"/>
      <c r="G47" s="609"/>
      <c r="H47" s="609"/>
    </row>
    <row r="48" spans="1:8" s="547" customFormat="1">
      <c r="A48" s="539"/>
      <c r="B48" s="540"/>
      <c r="C48" s="541"/>
      <c r="D48" s="541"/>
      <c r="E48" s="542"/>
      <c r="F48" s="542"/>
      <c r="G48" s="609"/>
      <c r="H48" s="609"/>
    </row>
    <row r="49" spans="1:22" s="547" customFormat="1">
      <c r="A49" s="539"/>
      <c r="B49" s="545"/>
      <c r="C49" s="546"/>
      <c r="D49" s="546"/>
      <c r="E49" s="542"/>
      <c r="F49" s="542"/>
      <c r="G49" s="609"/>
      <c r="H49" s="609"/>
    </row>
    <row r="50" spans="1:22" s="547" customFormat="1">
      <c r="A50" s="539"/>
      <c r="B50" s="540"/>
      <c r="C50" s="541"/>
      <c r="D50" s="541"/>
      <c r="E50" s="542"/>
      <c r="F50" s="542"/>
      <c r="G50" s="609"/>
      <c r="H50" s="609"/>
    </row>
    <row r="51" spans="1:22" s="547" customFormat="1">
      <c r="A51" s="539"/>
      <c r="B51" s="540"/>
      <c r="C51" s="541"/>
      <c r="D51" s="541"/>
      <c r="E51" s="542"/>
      <c r="F51" s="542"/>
      <c r="G51" s="609"/>
      <c r="H51" s="609"/>
      <c r="T51" s="536"/>
      <c r="V51" s="536"/>
    </row>
    <row r="52" spans="1:22" s="547" customFormat="1">
      <c r="A52" s="539"/>
      <c r="B52" s="548" t="s">
        <v>293</v>
      </c>
      <c r="C52" s="541"/>
      <c r="D52" s="541"/>
      <c r="E52" s="542"/>
      <c r="F52" s="542"/>
      <c r="G52" s="609"/>
      <c r="H52" s="609"/>
      <c r="T52" s="536"/>
      <c r="V52" s="536"/>
    </row>
    <row r="53" spans="1:22" s="547" customFormat="1">
      <c r="A53" s="539"/>
      <c r="B53" s="549"/>
      <c r="C53" s="541"/>
      <c r="D53" s="541"/>
      <c r="E53" s="542"/>
      <c r="F53" s="542"/>
      <c r="G53" s="609"/>
      <c r="H53" s="609"/>
      <c r="T53" s="536"/>
      <c r="V53" s="536"/>
    </row>
    <row r="54" spans="1:22" s="547" customFormat="1">
      <c r="A54" s="539"/>
      <c r="B54" s="548" t="s">
        <v>294</v>
      </c>
      <c r="C54" s="541"/>
      <c r="D54" s="541"/>
      <c r="E54" s="542"/>
      <c r="F54" s="542"/>
      <c r="G54" s="609"/>
      <c r="H54" s="609"/>
      <c r="T54" s="536"/>
      <c r="V54" s="536"/>
    </row>
    <row r="55" spans="1:22">
      <c r="A55" s="550"/>
      <c r="B55" s="264"/>
      <c r="C55" s="551"/>
      <c r="D55" s="551"/>
      <c r="E55" s="552"/>
      <c r="F55" s="552"/>
      <c r="G55" s="551"/>
      <c r="H55" s="551"/>
    </row>
    <row r="56" spans="1:22">
      <c r="A56" s="553" t="s">
        <v>154</v>
      </c>
      <c r="B56" s="530" t="s">
        <v>295</v>
      </c>
      <c r="C56" s="554"/>
      <c r="D56" s="555" t="str">
        <f>ML_Sum!D6</f>
        <v>VAT EXCL.</v>
      </c>
      <c r="E56" s="275" t="s">
        <v>257</v>
      </c>
      <c r="F56" s="556">
        <f>SUM(F3:F55)</f>
        <v>0</v>
      </c>
      <c r="G56" s="610">
        <f>SUM(G3:G55)</f>
        <v>0</v>
      </c>
      <c r="H56" s="556">
        <f>SUM(H3:H55)</f>
        <v>0</v>
      </c>
      <c r="I56" s="557">
        <f t="shared" ref="I56:R56" si="0">SUM(I3:I55)</f>
        <v>0</v>
      </c>
      <c r="J56" s="557">
        <f t="shared" si="0"/>
        <v>0</v>
      </c>
      <c r="K56" s="557">
        <f t="shared" si="0"/>
        <v>0</v>
      </c>
      <c r="L56" s="557">
        <f t="shared" si="0"/>
        <v>0</v>
      </c>
      <c r="M56" s="557">
        <f t="shared" si="0"/>
        <v>0</v>
      </c>
      <c r="N56" s="557">
        <f t="shared" si="0"/>
        <v>0</v>
      </c>
      <c r="O56" s="557">
        <f t="shared" si="0"/>
        <v>0</v>
      </c>
      <c r="P56" s="557">
        <f t="shared" si="0"/>
        <v>0</v>
      </c>
      <c r="Q56" s="557">
        <f t="shared" si="0"/>
        <v>0</v>
      </c>
      <c r="R56" s="557">
        <f t="shared" si="0"/>
        <v>0</v>
      </c>
    </row>
    <row r="57" spans="1:22" ht="16.5" customHeight="1">
      <c r="A57" s="533" t="s">
        <v>208</v>
      </c>
      <c r="B57" s="534" t="s">
        <v>209</v>
      </c>
      <c r="C57" s="534" t="s">
        <v>210</v>
      </c>
      <c r="D57" s="534" t="s">
        <v>211</v>
      </c>
      <c r="E57" s="535" t="s">
        <v>212</v>
      </c>
      <c r="F57" s="535" t="s">
        <v>164</v>
      </c>
      <c r="G57" s="607" t="s">
        <v>66</v>
      </c>
      <c r="H57" s="607" t="s">
        <v>305</v>
      </c>
    </row>
    <row r="58" spans="1:22" s="538" customFormat="1">
      <c r="A58" s="262"/>
      <c r="B58" s="517"/>
      <c r="C58" s="263"/>
      <c r="D58" s="263"/>
      <c r="E58" s="537" t="s">
        <v>257</v>
      </c>
      <c r="F58" s="537" t="s">
        <v>257</v>
      </c>
      <c r="G58" s="608" t="s">
        <v>257</v>
      </c>
      <c r="H58" s="608" t="s">
        <v>300</v>
      </c>
    </row>
    <row r="59" spans="1:22" s="538" customFormat="1">
      <c r="A59" s="539"/>
      <c r="B59" s="540"/>
      <c r="C59" s="541"/>
      <c r="D59" s="541"/>
      <c r="E59" s="542"/>
      <c r="F59" s="542"/>
      <c r="G59" s="609"/>
      <c r="H59" s="609"/>
      <c r="T59" s="543"/>
      <c r="V59" s="543"/>
    </row>
    <row r="60" spans="1:22" s="543" customFormat="1">
      <c r="A60" s="539"/>
      <c r="B60" s="540"/>
      <c r="C60" s="541"/>
      <c r="D60" s="541"/>
      <c r="E60" s="542"/>
      <c r="F60" s="542"/>
      <c r="G60" s="609"/>
      <c r="H60" s="609"/>
    </row>
    <row r="61" spans="1:22" s="543" customFormat="1">
      <c r="A61" s="539"/>
      <c r="B61" s="544"/>
      <c r="C61" s="541"/>
      <c r="D61" s="541"/>
      <c r="E61" s="542"/>
      <c r="F61" s="542"/>
      <c r="G61" s="609"/>
      <c r="H61" s="609"/>
    </row>
    <row r="62" spans="1:22" s="543" customFormat="1">
      <c r="A62" s="539"/>
      <c r="B62" s="540"/>
      <c r="C62" s="541"/>
      <c r="D62" s="541"/>
      <c r="E62" s="542"/>
      <c r="F62" s="542"/>
      <c r="G62" s="609"/>
      <c r="H62" s="609"/>
    </row>
    <row r="63" spans="1:22" s="543" customFormat="1">
      <c r="A63" s="539"/>
      <c r="B63" s="545"/>
      <c r="C63" s="546"/>
      <c r="D63" s="546"/>
      <c r="E63" s="542"/>
      <c r="F63" s="542"/>
      <c r="G63" s="609"/>
      <c r="H63" s="609"/>
    </row>
    <row r="64" spans="1:22" s="543" customFormat="1">
      <c r="A64" s="539"/>
      <c r="B64" s="540"/>
      <c r="C64" s="541"/>
      <c r="D64" s="541"/>
      <c r="E64" s="542"/>
      <c r="F64" s="542"/>
      <c r="G64" s="609"/>
      <c r="H64" s="609"/>
    </row>
    <row r="65" spans="1:8" s="543" customFormat="1">
      <c r="A65" s="539"/>
      <c r="B65" s="545"/>
      <c r="C65" s="546"/>
      <c r="D65" s="546"/>
      <c r="E65" s="542"/>
      <c r="F65" s="542"/>
      <c r="G65" s="609"/>
      <c r="H65" s="609"/>
    </row>
    <row r="66" spans="1:8" s="543" customFormat="1">
      <c r="A66" s="539"/>
      <c r="B66" s="540"/>
      <c r="C66" s="541"/>
      <c r="D66" s="541"/>
      <c r="E66" s="542"/>
      <c r="F66" s="542"/>
      <c r="G66" s="609"/>
      <c r="H66" s="609"/>
    </row>
    <row r="67" spans="1:8" s="547" customFormat="1">
      <c r="A67" s="539"/>
      <c r="B67" s="545"/>
      <c r="C67" s="546"/>
      <c r="D67" s="546"/>
      <c r="E67" s="542"/>
      <c r="F67" s="542"/>
      <c r="G67" s="609"/>
      <c r="H67" s="609"/>
    </row>
    <row r="68" spans="1:8" s="543" customFormat="1">
      <c r="A68" s="539"/>
      <c r="B68" s="540"/>
      <c r="C68" s="541"/>
      <c r="D68" s="541"/>
      <c r="E68" s="542"/>
      <c r="F68" s="542"/>
      <c r="G68" s="609"/>
      <c r="H68" s="609"/>
    </row>
    <row r="69" spans="1:8" s="543" customFormat="1">
      <c r="A69" s="539"/>
      <c r="B69" s="545"/>
      <c r="C69" s="546"/>
      <c r="D69" s="546"/>
      <c r="E69" s="542"/>
      <c r="F69" s="542"/>
      <c r="G69" s="609"/>
      <c r="H69" s="609"/>
    </row>
    <row r="70" spans="1:8" s="543" customFormat="1">
      <c r="A70" s="539"/>
      <c r="B70" s="540"/>
      <c r="C70" s="541"/>
      <c r="D70" s="541"/>
      <c r="E70" s="542"/>
      <c r="F70" s="542"/>
      <c r="G70" s="609"/>
      <c r="H70" s="609"/>
    </row>
    <row r="71" spans="1:8" s="547" customFormat="1">
      <c r="A71" s="539"/>
      <c r="B71" s="545"/>
      <c r="C71" s="546"/>
      <c r="D71" s="546"/>
      <c r="E71" s="542"/>
      <c r="F71" s="542"/>
      <c r="G71" s="609"/>
      <c r="H71" s="609"/>
    </row>
    <row r="72" spans="1:8" s="547" customFormat="1">
      <c r="A72" s="539"/>
      <c r="B72" s="540"/>
      <c r="C72" s="541"/>
      <c r="D72" s="541"/>
      <c r="E72" s="542"/>
      <c r="F72" s="542"/>
      <c r="G72" s="609"/>
      <c r="H72" s="609"/>
    </row>
    <row r="73" spans="1:8" s="547" customFormat="1">
      <c r="A73" s="539"/>
      <c r="B73" s="545"/>
      <c r="C73" s="546"/>
      <c r="D73" s="546"/>
      <c r="E73" s="542"/>
      <c r="F73" s="542"/>
      <c r="G73" s="609"/>
      <c r="H73" s="609"/>
    </row>
    <row r="74" spans="1:8" s="547" customFormat="1">
      <c r="A74" s="539"/>
      <c r="B74" s="540"/>
      <c r="C74" s="541"/>
      <c r="D74" s="541"/>
      <c r="E74" s="542"/>
      <c r="F74" s="542"/>
      <c r="G74" s="609"/>
      <c r="H74" s="609"/>
    </row>
    <row r="75" spans="1:8" s="547" customFormat="1">
      <c r="A75" s="539"/>
      <c r="B75" s="545"/>
      <c r="C75" s="546"/>
      <c r="D75" s="546"/>
      <c r="E75" s="542"/>
      <c r="F75" s="542"/>
      <c r="G75" s="609"/>
      <c r="H75" s="609"/>
    </row>
    <row r="76" spans="1:8" s="547" customFormat="1">
      <c r="A76" s="539"/>
      <c r="B76" s="540"/>
      <c r="C76" s="541"/>
      <c r="D76" s="541"/>
      <c r="E76" s="542"/>
      <c r="F76" s="542"/>
      <c r="G76" s="609"/>
      <c r="H76" s="609"/>
    </row>
    <row r="77" spans="1:8" s="547" customFormat="1">
      <c r="A77" s="539"/>
      <c r="B77" s="545"/>
      <c r="C77" s="546"/>
      <c r="D77" s="546"/>
      <c r="E77" s="542"/>
      <c r="F77" s="542"/>
      <c r="G77" s="609"/>
      <c r="H77" s="609"/>
    </row>
    <row r="78" spans="1:8" s="547" customFormat="1">
      <c r="A78" s="539"/>
      <c r="B78" s="540"/>
      <c r="C78" s="541"/>
      <c r="D78" s="541"/>
      <c r="E78" s="542"/>
      <c r="F78" s="542"/>
      <c r="G78" s="609"/>
      <c r="H78" s="609"/>
    </row>
    <row r="79" spans="1:8" s="547" customFormat="1">
      <c r="A79" s="539"/>
      <c r="B79" s="545"/>
      <c r="C79" s="546"/>
      <c r="D79" s="546"/>
      <c r="E79" s="542"/>
      <c r="F79" s="542"/>
      <c r="G79" s="609"/>
      <c r="H79" s="609"/>
    </row>
    <row r="80" spans="1:8" s="547" customFormat="1">
      <c r="A80" s="539"/>
      <c r="B80" s="540"/>
      <c r="C80" s="541"/>
      <c r="D80" s="541"/>
      <c r="E80" s="542"/>
      <c r="F80" s="542"/>
      <c r="G80" s="609"/>
      <c r="H80" s="609"/>
    </row>
    <row r="81" spans="1:8" s="547" customFormat="1">
      <c r="A81" s="539"/>
      <c r="B81" s="545"/>
      <c r="C81" s="546"/>
      <c r="D81" s="546"/>
      <c r="E81" s="542"/>
      <c r="F81" s="542"/>
      <c r="G81" s="609"/>
      <c r="H81" s="609"/>
    </row>
    <row r="82" spans="1:8" s="547" customFormat="1">
      <c r="A82" s="539"/>
      <c r="B82" s="540"/>
      <c r="C82" s="541"/>
      <c r="D82" s="541"/>
      <c r="E82" s="542"/>
      <c r="F82" s="542"/>
      <c r="G82" s="609"/>
      <c r="H82" s="609"/>
    </row>
    <row r="83" spans="1:8" s="547" customFormat="1">
      <c r="A83" s="539"/>
      <c r="B83" s="545"/>
      <c r="C83" s="546"/>
      <c r="D83" s="546"/>
      <c r="E83" s="542"/>
      <c r="F83" s="542"/>
      <c r="G83" s="609"/>
      <c r="H83" s="609"/>
    </row>
    <row r="84" spans="1:8" s="547" customFormat="1">
      <c r="A84" s="539"/>
      <c r="B84" s="540"/>
      <c r="C84" s="541"/>
      <c r="D84" s="541"/>
      <c r="E84" s="542"/>
      <c r="F84" s="542"/>
      <c r="G84" s="609"/>
      <c r="H84" s="609"/>
    </row>
    <row r="85" spans="1:8" s="547" customFormat="1">
      <c r="A85" s="539"/>
      <c r="B85" s="545"/>
      <c r="C85" s="546"/>
      <c r="D85" s="546"/>
      <c r="E85" s="542"/>
      <c r="F85" s="542"/>
      <c r="G85" s="609"/>
      <c r="H85" s="609"/>
    </row>
    <row r="86" spans="1:8" s="547" customFormat="1">
      <c r="A86" s="539"/>
      <c r="B86" s="545"/>
      <c r="C86" s="546"/>
      <c r="D86" s="546"/>
      <c r="E86" s="542"/>
      <c r="F86" s="542"/>
      <c r="G86" s="609"/>
      <c r="H86" s="609"/>
    </row>
    <row r="87" spans="1:8" s="547" customFormat="1">
      <c r="A87" s="539"/>
      <c r="B87" s="545"/>
      <c r="C87" s="546"/>
      <c r="D87" s="546"/>
      <c r="E87" s="542"/>
      <c r="F87" s="542"/>
      <c r="G87" s="609"/>
      <c r="H87" s="609"/>
    </row>
    <row r="88" spans="1:8" s="547" customFormat="1">
      <c r="A88" s="539"/>
      <c r="B88" s="545"/>
      <c r="C88" s="546"/>
      <c r="D88" s="546"/>
      <c r="E88" s="542"/>
      <c r="F88" s="542"/>
      <c r="G88" s="609"/>
      <c r="H88" s="609"/>
    </row>
    <row r="89" spans="1:8" s="547" customFormat="1">
      <c r="A89" s="539"/>
      <c r="B89" s="545"/>
      <c r="C89" s="546"/>
      <c r="D89" s="546"/>
      <c r="E89" s="542"/>
      <c r="F89" s="542"/>
      <c r="G89" s="609"/>
      <c r="H89" s="609"/>
    </row>
    <row r="90" spans="1:8" s="547" customFormat="1">
      <c r="A90" s="539"/>
      <c r="B90" s="545"/>
      <c r="C90" s="546"/>
      <c r="D90" s="546"/>
      <c r="E90" s="542"/>
      <c r="F90" s="542"/>
      <c r="G90" s="609"/>
      <c r="H90" s="609"/>
    </row>
    <row r="91" spans="1:8" s="547" customFormat="1">
      <c r="A91" s="539"/>
      <c r="B91" s="545"/>
      <c r="C91" s="546"/>
      <c r="D91" s="546"/>
      <c r="E91" s="542"/>
      <c r="F91" s="542"/>
      <c r="G91" s="609"/>
      <c r="H91" s="609"/>
    </row>
    <row r="92" spans="1:8" s="547" customFormat="1">
      <c r="A92" s="539"/>
      <c r="B92" s="545"/>
      <c r="C92" s="546"/>
      <c r="D92" s="546"/>
      <c r="E92" s="542"/>
      <c r="F92" s="542"/>
      <c r="G92" s="609"/>
      <c r="H92" s="609"/>
    </row>
    <row r="93" spans="1:8" s="547" customFormat="1">
      <c r="A93" s="539"/>
      <c r="B93" s="545"/>
      <c r="C93" s="546"/>
      <c r="D93" s="546"/>
      <c r="E93" s="542"/>
      <c r="F93" s="542"/>
      <c r="G93" s="609"/>
      <c r="H93" s="609"/>
    </row>
    <row r="94" spans="1:8" s="547" customFormat="1">
      <c r="A94" s="539"/>
      <c r="B94" s="545"/>
      <c r="C94" s="546"/>
      <c r="D94" s="546"/>
      <c r="E94" s="542"/>
      <c r="F94" s="542"/>
      <c r="G94" s="609"/>
      <c r="H94" s="609"/>
    </row>
    <row r="95" spans="1:8" s="547" customFormat="1">
      <c r="A95" s="539"/>
      <c r="B95" s="545"/>
      <c r="C95" s="546"/>
      <c r="D95" s="546"/>
      <c r="E95" s="542"/>
      <c r="F95" s="542"/>
      <c r="G95" s="609"/>
      <c r="H95" s="609"/>
    </row>
    <row r="96" spans="1:8" s="547" customFormat="1">
      <c r="A96" s="539"/>
      <c r="B96" s="540"/>
      <c r="C96" s="541"/>
      <c r="D96" s="541"/>
      <c r="E96" s="542"/>
      <c r="F96" s="542"/>
      <c r="G96" s="609"/>
      <c r="H96" s="609"/>
    </row>
    <row r="97" spans="1:8" s="547" customFormat="1">
      <c r="A97" s="539"/>
      <c r="B97" s="545"/>
      <c r="C97" s="546"/>
      <c r="D97" s="546"/>
      <c r="E97" s="542"/>
      <c r="F97" s="542"/>
      <c r="G97" s="609"/>
      <c r="H97" s="609"/>
    </row>
    <row r="98" spans="1:8" s="547" customFormat="1">
      <c r="A98" s="539"/>
      <c r="B98" s="545"/>
      <c r="C98" s="546"/>
      <c r="D98" s="546"/>
      <c r="E98" s="542"/>
      <c r="F98" s="542"/>
      <c r="G98" s="609"/>
      <c r="H98" s="609"/>
    </row>
    <row r="99" spans="1:8" s="547" customFormat="1">
      <c r="A99" s="539"/>
      <c r="B99" s="545"/>
      <c r="C99" s="546"/>
      <c r="D99" s="546"/>
      <c r="E99" s="542"/>
      <c r="F99" s="542"/>
      <c r="G99" s="609"/>
      <c r="H99" s="609"/>
    </row>
    <row r="100" spans="1:8" s="547" customFormat="1">
      <c r="A100" s="539"/>
      <c r="B100" s="540"/>
      <c r="C100" s="541"/>
      <c r="D100" s="541"/>
      <c r="E100" s="542"/>
      <c r="F100" s="542"/>
      <c r="G100" s="609"/>
      <c r="H100" s="609"/>
    </row>
    <row r="101" spans="1:8" s="547" customFormat="1">
      <c r="A101" s="539"/>
      <c r="B101" s="545"/>
      <c r="C101" s="546"/>
      <c r="D101" s="546"/>
      <c r="E101" s="542"/>
      <c r="F101" s="542"/>
      <c r="G101" s="609"/>
      <c r="H101" s="609"/>
    </row>
    <row r="102" spans="1:8" s="547" customFormat="1">
      <c r="A102" s="539"/>
      <c r="B102" s="540"/>
      <c r="C102" s="541"/>
      <c r="D102" s="541"/>
      <c r="E102" s="542"/>
      <c r="F102" s="542"/>
      <c r="G102" s="609"/>
      <c r="H102" s="609"/>
    </row>
    <row r="103" spans="1:8" s="547" customFormat="1">
      <c r="A103" s="539"/>
      <c r="B103" s="545"/>
      <c r="C103" s="546"/>
      <c r="D103" s="546"/>
      <c r="E103" s="542"/>
      <c r="F103" s="542"/>
      <c r="G103" s="609"/>
      <c r="H103" s="609"/>
    </row>
    <row r="104" spans="1:8" s="547" customFormat="1">
      <c r="A104" s="539"/>
      <c r="B104" s="540"/>
      <c r="C104" s="541"/>
      <c r="D104" s="541"/>
      <c r="E104" s="542"/>
      <c r="F104" s="542"/>
      <c r="G104" s="609"/>
      <c r="H104" s="609"/>
    </row>
    <row r="105" spans="1:8" s="547" customFormat="1">
      <c r="A105" s="539"/>
      <c r="B105" s="545"/>
      <c r="C105" s="546"/>
      <c r="D105" s="546"/>
      <c r="E105" s="542"/>
      <c r="F105" s="542"/>
      <c r="G105" s="609"/>
      <c r="H105" s="609"/>
    </row>
    <row r="106" spans="1:8" s="547" customFormat="1">
      <c r="A106" s="539"/>
      <c r="B106" s="540"/>
      <c r="C106" s="541"/>
      <c r="D106" s="541"/>
      <c r="E106" s="542"/>
      <c r="F106" s="542"/>
      <c r="G106" s="609"/>
      <c r="H106" s="609"/>
    </row>
    <row r="107" spans="1:8" s="547" customFormat="1">
      <c r="A107" s="539"/>
      <c r="B107" s="540"/>
      <c r="C107" s="541"/>
      <c r="D107" s="541"/>
      <c r="E107" s="542"/>
      <c r="F107" s="542"/>
      <c r="G107" s="609"/>
      <c r="H107" s="609"/>
    </row>
    <row r="108" spans="1:8" s="547" customFormat="1">
      <c r="A108" s="539"/>
      <c r="B108" s="540"/>
      <c r="C108" s="541"/>
      <c r="D108" s="541"/>
      <c r="E108" s="542"/>
      <c r="F108" s="542"/>
      <c r="G108" s="609"/>
      <c r="H108" s="609"/>
    </row>
    <row r="109" spans="1:8" s="547" customFormat="1">
      <c r="A109" s="539"/>
      <c r="B109" s="540"/>
      <c r="C109" s="541"/>
      <c r="D109" s="541"/>
      <c r="E109" s="542"/>
      <c r="F109" s="542"/>
      <c r="G109" s="609"/>
      <c r="H109" s="609"/>
    </row>
    <row r="110" spans="1:8" s="547" customFormat="1">
      <c r="A110" s="539"/>
      <c r="B110" s="540"/>
      <c r="C110" s="541"/>
      <c r="D110" s="541"/>
      <c r="E110" s="542"/>
      <c r="F110" s="542"/>
      <c r="G110" s="609"/>
      <c r="H110" s="609"/>
    </row>
    <row r="111" spans="1:8">
      <c r="A111" s="550"/>
      <c r="B111" s="558"/>
      <c r="C111" s="551"/>
      <c r="D111" s="551"/>
      <c r="E111" s="552"/>
      <c r="F111" s="552"/>
      <c r="G111" s="609"/>
      <c r="H111" s="609"/>
    </row>
    <row r="112" spans="1:8">
      <c r="A112" s="559" t="s">
        <v>154</v>
      </c>
      <c r="B112" s="560"/>
      <c r="E112" s="562" t="s">
        <v>256</v>
      </c>
      <c r="F112" s="556">
        <f>SUM(F59:F111)</f>
        <v>0</v>
      </c>
      <c r="G112" s="610">
        <f>SUM(G51:G107)</f>
        <v>0</v>
      </c>
      <c r="H112" s="611">
        <f>SUM(H51:H107)</f>
        <v>0</v>
      </c>
    </row>
    <row r="113" spans="1:22" ht="16.5" customHeight="1">
      <c r="A113" s="533" t="s">
        <v>208</v>
      </c>
      <c r="B113" s="534" t="s">
        <v>209</v>
      </c>
      <c r="C113" s="534" t="s">
        <v>210</v>
      </c>
      <c r="D113" s="534" t="s">
        <v>211</v>
      </c>
      <c r="E113" s="535" t="s">
        <v>212</v>
      </c>
      <c r="F113" s="535" t="s">
        <v>164</v>
      </c>
    </row>
    <row r="114" spans="1:22" s="538" customFormat="1">
      <c r="A114" s="262"/>
      <c r="B114" s="517"/>
      <c r="C114" s="263"/>
      <c r="D114" s="263"/>
      <c r="E114" s="537" t="s">
        <v>257</v>
      </c>
      <c r="F114" s="537" t="s">
        <v>257</v>
      </c>
      <c r="G114" s="532"/>
      <c r="H114" s="532"/>
    </row>
    <row r="115" spans="1:22" s="538" customFormat="1">
      <c r="A115" s="539"/>
      <c r="B115" s="540"/>
      <c r="C115" s="541"/>
      <c r="D115" s="541"/>
      <c r="E115" s="542"/>
      <c r="F115" s="542"/>
      <c r="G115" s="532"/>
      <c r="H115" s="532"/>
      <c r="T115" s="543"/>
      <c r="V115" s="543"/>
    </row>
    <row r="116" spans="1:22" s="543" customFormat="1">
      <c r="A116" s="539"/>
      <c r="B116" s="540"/>
      <c r="C116" s="541"/>
      <c r="D116" s="541"/>
      <c r="E116" s="542"/>
      <c r="F116" s="542"/>
      <c r="G116" s="532"/>
      <c r="H116" s="532"/>
    </row>
    <row r="117" spans="1:22" s="543" customFormat="1">
      <c r="A117" s="539"/>
      <c r="B117" s="544"/>
      <c r="C117" s="541"/>
      <c r="D117" s="541"/>
      <c r="E117" s="542"/>
      <c r="F117" s="542"/>
      <c r="G117" s="532"/>
      <c r="H117" s="532"/>
    </row>
    <row r="118" spans="1:22" s="543" customFormat="1">
      <c r="A118" s="539"/>
      <c r="B118" s="540"/>
      <c r="C118" s="541"/>
      <c r="D118" s="541"/>
      <c r="E118" s="542"/>
      <c r="F118" s="542"/>
      <c r="G118" s="532"/>
      <c r="H118" s="532"/>
    </row>
    <row r="119" spans="1:22" s="543" customFormat="1">
      <c r="A119" s="539"/>
      <c r="B119" s="545"/>
      <c r="C119" s="546"/>
      <c r="D119" s="546"/>
      <c r="E119" s="542"/>
      <c r="F119" s="542"/>
      <c r="G119" s="532"/>
      <c r="H119" s="532"/>
    </row>
    <row r="120" spans="1:22" s="543" customFormat="1">
      <c r="A120" s="539"/>
      <c r="B120" s="540"/>
      <c r="C120" s="541"/>
      <c r="D120" s="541"/>
      <c r="E120" s="542"/>
      <c r="F120" s="542"/>
      <c r="G120" s="532"/>
      <c r="H120" s="532"/>
    </row>
    <row r="121" spans="1:22" s="543" customFormat="1">
      <c r="A121" s="539"/>
      <c r="B121" s="545"/>
      <c r="C121" s="546"/>
      <c r="D121" s="546"/>
      <c r="E121" s="542"/>
      <c r="F121" s="542"/>
      <c r="G121" s="532"/>
      <c r="H121" s="532"/>
    </row>
    <row r="122" spans="1:22" s="543" customFormat="1">
      <c r="A122" s="539"/>
      <c r="B122" s="540"/>
      <c r="C122" s="541"/>
      <c r="D122" s="541"/>
      <c r="E122" s="542"/>
      <c r="F122" s="542"/>
      <c r="G122" s="532"/>
      <c r="H122" s="532"/>
    </row>
    <row r="123" spans="1:22" s="547" customFormat="1">
      <c r="A123" s="539"/>
      <c r="B123" s="545"/>
      <c r="C123" s="546"/>
      <c r="D123" s="546"/>
      <c r="E123" s="542"/>
      <c r="F123" s="542"/>
      <c r="G123" s="532"/>
      <c r="H123" s="532"/>
    </row>
    <row r="124" spans="1:22" s="543" customFormat="1">
      <c r="A124" s="539"/>
      <c r="B124" s="540"/>
      <c r="C124" s="541"/>
      <c r="D124" s="541"/>
      <c r="E124" s="542"/>
      <c r="F124" s="542"/>
      <c r="G124" s="532"/>
      <c r="H124" s="532"/>
    </row>
    <row r="125" spans="1:22" s="543" customFormat="1">
      <c r="A125" s="539"/>
      <c r="B125" s="545"/>
      <c r="C125" s="546"/>
      <c r="D125" s="546"/>
      <c r="E125" s="542"/>
      <c r="F125" s="542"/>
      <c r="G125" s="532"/>
      <c r="H125" s="532"/>
    </row>
    <row r="126" spans="1:22" s="543" customFormat="1">
      <c r="A126" s="539"/>
      <c r="B126" s="540"/>
      <c r="C126" s="541"/>
      <c r="D126" s="541"/>
      <c r="E126" s="542"/>
      <c r="F126" s="542"/>
      <c r="G126" s="532"/>
      <c r="H126" s="532"/>
    </row>
    <row r="127" spans="1:22" s="547" customFormat="1">
      <c r="A127" s="539"/>
      <c r="B127" s="545"/>
      <c r="C127" s="546"/>
      <c r="D127" s="546"/>
      <c r="E127" s="542"/>
      <c r="F127" s="542"/>
      <c r="G127" s="532"/>
      <c r="H127" s="532"/>
    </row>
    <row r="128" spans="1:22" s="547" customFormat="1">
      <c r="A128" s="539"/>
      <c r="B128" s="540"/>
      <c r="C128" s="541"/>
      <c r="D128" s="541"/>
      <c r="E128" s="542"/>
      <c r="F128" s="542"/>
      <c r="G128" s="532"/>
      <c r="H128" s="532"/>
    </row>
    <row r="129" spans="1:8" s="547" customFormat="1">
      <c r="A129" s="539"/>
      <c r="B129" s="545"/>
      <c r="C129" s="546"/>
      <c r="D129" s="546"/>
      <c r="E129" s="542"/>
      <c r="F129" s="542"/>
      <c r="G129" s="532"/>
      <c r="H129" s="532"/>
    </row>
    <row r="130" spans="1:8" s="547" customFormat="1">
      <c r="A130" s="539"/>
      <c r="B130" s="540"/>
      <c r="C130" s="541"/>
      <c r="D130" s="541"/>
      <c r="E130" s="542"/>
      <c r="F130" s="542"/>
      <c r="G130" s="532"/>
      <c r="H130" s="532"/>
    </row>
    <row r="131" spans="1:8" s="547" customFormat="1">
      <c r="A131" s="539"/>
      <c r="B131" s="545"/>
      <c r="C131" s="546"/>
      <c r="D131" s="546"/>
      <c r="E131" s="542"/>
      <c r="F131" s="542"/>
      <c r="G131" s="532"/>
      <c r="H131" s="532"/>
    </row>
    <row r="132" spans="1:8" s="547" customFormat="1">
      <c r="A132" s="539"/>
      <c r="B132" s="540"/>
      <c r="C132" s="541"/>
      <c r="D132" s="541"/>
      <c r="E132" s="542"/>
      <c r="F132" s="542"/>
      <c r="G132" s="532"/>
      <c r="H132" s="532"/>
    </row>
    <row r="133" spans="1:8" s="547" customFormat="1">
      <c r="A133" s="539"/>
      <c r="B133" s="545"/>
      <c r="C133" s="546"/>
      <c r="D133" s="546"/>
      <c r="E133" s="542"/>
      <c r="F133" s="542"/>
      <c r="G133" s="532"/>
      <c r="H133" s="532"/>
    </row>
    <row r="134" spans="1:8" s="547" customFormat="1">
      <c r="A134" s="539"/>
      <c r="B134" s="540"/>
      <c r="C134" s="541"/>
      <c r="D134" s="541"/>
      <c r="E134" s="542"/>
      <c r="F134" s="542"/>
      <c r="G134" s="532"/>
      <c r="H134" s="532"/>
    </row>
    <row r="135" spans="1:8" s="547" customFormat="1">
      <c r="A135" s="539"/>
      <c r="B135" s="545"/>
      <c r="C135" s="546"/>
      <c r="D135" s="546"/>
      <c r="E135" s="542"/>
      <c r="F135" s="542"/>
      <c r="G135" s="532"/>
      <c r="H135" s="532"/>
    </row>
    <row r="136" spans="1:8" s="547" customFormat="1">
      <c r="A136" s="539"/>
      <c r="B136" s="540"/>
      <c r="C136" s="541"/>
      <c r="D136" s="541"/>
      <c r="E136" s="542"/>
      <c r="F136" s="542"/>
      <c r="G136" s="532"/>
      <c r="H136" s="532"/>
    </row>
    <row r="137" spans="1:8" s="547" customFormat="1">
      <c r="A137" s="539"/>
      <c r="B137" s="545"/>
      <c r="C137" s="546"/>
      <c r="D137" s="546"/>
      <c r="E137" s="542"/>
      <c r="F137" s="542"/>
      <c r="G137" s="532"/>
      <c r="H137" s="532"/>
    </row>
    <row r="138" spans="1:8" s="547" customFormat="1">
      <c r="A138" s="539"/>
      <c r="B138" s="540"/>
      <c r="C138" s="541"/>
      <c r="D138" s="541"/>
      <c r="E138" s="542"/>
      <c r="F138" s="542"/>
      <c r="G138" s="532"/>
      <c r="H138" s="532"/>
    </row>
    <row r="139" spans="1:8" s="547" customFormat="1">
      <c r="A139" s="539"/>
      <c r="B139" s="545"/>
      <c r="C139" s="546"/>
      <c r="D139" s="546"/>
      <c r="E139" s="542"/>
      <c r="F139" s="542"/>
      <c r="G139" s="532"/>
      <c r="H139" s="532"/>
    </row>
    <row r="140" spans="1:8" s="547" customFormat="1">
      <c r="A140" s="539"/>
      <c r="B140" s="540"/>
      <c r="C140" s="541"/>
      <c r="D140" s="541"/>
      <c r="E140" s="542"/>
      <c r="F140" s="542"/>
      <c r="G140" s="532"/>
      <c r="H140" s="532"/>
    </row>
    <row r="141" spans="1:8" s="547" customFormat="1">
      <c r="A141" s="539"/>
      <c r="B141" s="545"/>
      <c r="C141" s="546"/>
      <c r="D141" s="546"/>
      <c r="E141" s="542"/>
      <c r="F141" s="542"/>
      <c r="G141" s="532"/>
      <c r="H141" s="532"/>
    </row>
    <row r="142" spans="1:8" s="547" customFormat="1">
      <c r="A142" s="539"/>
      <c r="B142" s="540"/>
      <c r="C142" s="541"/>
      <c r="D142" s="541"/>
      <c r="E142" s="542"/>
      <c r="F142" s="542"/>
      <c r="G142" s="532"/>
      <c r="H142" s="532"/>
    </row>
    <row r="143" spans="1:8" s="547" customFormat="1">
      <c r="A143" s="539"/>
      <c r="B143" s="540"/>
      <c r="C143" s="541"/>
      <c r="D143" s="541"/>
      <c r="E143" s="542"/>
      <c r="F143" s="542"/>
      <c r="G143" s="532"/>
      <c r="H143" s="532"/>
    </row>
    <row r="144" spans="1:8" s="547" customFormat="1">
      <c r="A144" s="539"/>
      <c r="B144" s="540"/>
      <c r="C144" s="541"/>
      <c r="D144" s="541"/>
      <c r="E144" s="542"/>
      <c r="F144" s="542"/>
      <c r="G144" s="532"/>
      <c r="H144" s="532"/>
    </row>
    <row r="145" spans="1:8" s="547" customFormat="1">
      <c r="A145" s="539"/>
      <c r="B145" s="540"/>
      <c r="C145" s="541"/>
      <c r="D145" s="541"/>
      <c r="E145" s="542"/>
      <c r="F145" s="542"/>
      <c r="G145" s="532"/>
      <c r="H145" s="532"/>
    </row>
    <row r="146" spans="1:8" s="547" customFormat="1">
      <c r="A146" s="539"/>
      <c r="B146" s="540"/>
      <c r="C146" s="541"/>
      <c r="D146" s="541"/>
      <c r="E146" s="542"/>
      <c r="F146" s="542"/>
      <c r="G146" s="532"/>
      <c r="H146" s="532"/>
    </row>
    <row r="147" spans="1:8" s="547" customFormat="1">
      <c r="A147" s="539"/>
      <c r="B147" s="540"/>
      <c r="C147" s="541"/>
      <c r="D147" s="541"/>
      <c r="E147" s="542"/>
      <c r="F147" s="542"/>
      <c r="G147" s="532"/>
      <c r="H147" s="532"/>
    </row>
    <row r="148" spans="1:8" s="547" customFormat="1">
      <c r="A148" s="539"/>
      <c r="B148" s="540"/>
      <c r="C148" s="541"/>
      <c r="D148" s="541"/>
      <c r="E148" s="542"/>
      <c r="F148" s="542"/>
      <c r="G148" s="532"/>
      <c r="H148" s="532"/>
    </row>
    <row r="149" spans="1:8" s="547" customFormat="1">
      <c r="A149" s="539"/>
      <c r="B149" s="540"/>
      <c r="C149" s="541"/>
      <c r="D149" s="541"/>
      <c r="E149" s="542"/>
      <c r="F149" s="542"/>
      <c r="G149" s="532"/>
      <c r="H149" s="532"/>
    </row>
    <row r="150" spans="1:8" s="547" customFormat="1">
      <c r="A150" s="539"/>
      <c r="B150" s="540"/>
      <c r="C150" s="541"/>
      <c r="D150" s="541"/>
      <c r="E150" s="542"/>
      <c r="F150" s="542"/>
      <c r="G150" s="532"/>
      <c r="H150" s="532"/>
    </row>
    <row r="151" spans="1:8" s="547" customFormat="1">
      <c r="A151" s="539"/>
      <c r="B151" s="540"/>
      <c r="C151" s="541"/>
      <c r="D151" s="541"/>
      <c r="E151" s="542"/>
      <c r="F151" s="542"/>
      <c r="G151" s="532"/>
      <c r="H151" s="532"/>
    </row>
    <row r="152" spans="1:8" s="547" customFormat="1">
      <c r="A152" s="539"/>
      <c r="B152" s="540"/>
      <c r="C152" s="541"/>
      <c r="D152" s="541"/>
      <c r="E152" s="542"/>
      <c r="F152" s="542"/>
      <c r="G152" s="532"/>
      <c r="H152" s="532"/>
    </row>
    <row r="153" spans="1:8" s="547" customFormat="1">
      <c r="A153" s="539"/>
      <c r="B153" s="540"/>
      <c r="C153" s="541"/>
      <c r="D153" s="541"/>
      <c r="E153" s="542"/>
      <c r="F153" s="542"/>
      <c r="G153" s="532"/>
      <c r="H153" s="532"/>
    </row>
    <row r="154" spans="1:8" s="547" customFormat="1">
      <c r="A154" s="539"/>
      <c r="B154" s="545"/>
      <c r="C154" s="546"/>
      <c r="D154" s="546"/>
      <c r="E154" s="542"/>
      <c r="F154" s="542"/>
      <c r="G154" s="532"/>
      <c r="H154" s="532"/>
    </row>
    <row r="155" spans="1:8" s="547" customFormat="1">
      <c r="A155" s="539"/>
      <c r="B155" s="540"/>
      <c r="C155" s="541"/>
      <c r="D155" s="541"/>
      <c r="E155" s="542"/>
      <c r="F155" s="542"/>
      <c r="G155" s="532"/>
      <c r="H155" s="532"/>
    </row>
    <row r="156" spans="1:8" s="547" customFormat="1">
      <c r="A156" s="539"/>
      <c r="B156" s="545"/>
      <c r="C156" s="546"/>
      <c r="D156" s="546"/>
      <c r="E156" s="542"/>
      <c r="F156" s="542"/>
      <c r="G156" s="532"/>
      <c r="H156" s="532"/>
    </row>
    <row r="157" spans="1:8" s="547" customFormat="1">
      <c r="A157" s="539"/>
      <c r="B157" s="545"/>
      <c r="C157" s="546"/>
      <c r="D157" s="546"/>
      <c r="E157" s="542"/>
      <c r="F157" s="542"/>
      <c r="G157" s="532"/>
      <c r="H157" s="532"/>
    </row>
    <row r="158" spans="1:8" s="547" customFormat="1">
      <c r="A158" s="539"/>
      <c r="B158" s="540"/>
      <c r="C158" s="541"/>
      <c r="D158" s="541"/>
      <c r="E158" s="542"/>
      <c r="F158" s="542"/>
      <c r="G158" s="532"/>
      <c r="H158" s="532"/>
    </row>
    <row r="159" spans="1:8" s="547" customFormat="1">
      <c r="A159" s="539"/>
      <c r="B159" s="545"/>
      <c r="C159" s="546"/>
      <c r="D159" s="546"/>
      <c r="E159" s="542"/>
      <c r="F159" s="542"/>
      <c r="G159" s="532"/>
      <c r="H159" s="532"/>
    </row>
    <row r="160" spans="1:8" s="547" customFormat="1">
      <c r="A160" s="539"/>
      <c r="B160" s="540"/>
      <c r="C160" s="541"/>
      <c r="D160" s="541"/>
      <c r="E160" s="542"/>
      <c r="F160" s="542"/>
      <c r="G160" s="532"/>
      <c r="H160" s="532"/>
    </row>
    <row r="161" spans="1:22" s="547" customFormat="1">
      <c r="A161" s="539"/>
      <c r="B161" s="545"/>
      <c r="C161" s="546"/>
      <c r="D161" s="546"/>
      <c r="E161" s="542"/>
      <c r="F161" s="542"/>
      <c r="G161" s="532"/>
      <c r="H161" s="532"/>
    </row>
    <row r="162" spans="1:22" s="547" customFormat="1">
      <c r="A162" s="539"/>
      <c r="B162" s="540"/>
      <c r="C162" s="541"/>
      <c r="D162" s="541"/>
      <c r="E162" s="542"/>
      <c r="F162" s="542"/>
      <c r="G162" s="532"/>
      <c r="H162" s="532"/>
    </row>
    <row r="163" spans="1:22" s="547" customFormat="1">
      <c r="A163" s="539"/>
      <c r="B163" s="540"/>
      <c r="C163" s="541"/>
      <c r="D163" s="541"/>
      <c r="E163" s="542"/>
      <c r="F163" s="542"/>
      <c r="G163" s="532"/>
      <c r="H163" s="532"/>
    </row>
    <row r="164" spans="1:22" s="547" customFormat="1">
      <c r="A164" s="539"/>
      <c r="B164" s="540"/>
      <c r="C164" s="541"/>
      <c r="D164" s="541"/>
      <c r="E164" s="542"/>
      <c r="F164" s="542"/>
      <c r="G164" s="532"/>
      <c r="H164" s="532"/>
    </row>
    <row r="165" spans="1:22" s="547" customFormat="1">
      <c r="A165" s="539"/>
      <c r="B165" s="540"/>
      <c r="C165" s="541"/>
      <c r="D165" s="541"/>
      <c r="E165" s="542"/>
      <c r="F165" s="542"/>
      <c r="G165" s="532"/>
      <c r="H165" s="532"/>
    </row>
    <row r="166" spans="1:22" s="547" customFormat="1">
      <c r="A166" s="539"/>
      <c r="B166" s="540"/>
      <c r="C166" s="541"/>
      <c r="D166" s="541"/>
      <c r="E166" s="542"/>
      <c r="F166" s="542"/>
      <c r="G166" s="532"/>
      <c r="H166" s="532"/>
      <c r="T166" s="536"/>
      <c r="V166" s="536"/>
    </row>
    <row r="167" spans="1:22">
      <c r="A167" s="550"/>
      <c r="B167" s="558"/>
      <c r="C167" s="551"/>
      <c r="D167" s="551"/>
      <c r="E167" s="552"/>
      <c r="F167" s="552"/>
    </row>
    <row r="168" spans="1:22">
      <c r="A168" s="559" t="s">
        <v>154</v>
      </c>
      <c r="B168" s="560"/>
      <c r="E168" s="562" t="s">
        <v>256</v>
      </c>
      <c r="F168" s="556">
        <f>SUM(F115:F167)</f>
        <v>0</v>
      </c>
    </row>
    <row r="169" spans="1:22" ht="16.5" customHeight="1">
      <c r="A169" s="533" t="s">
        <v>208</v>
      </c>
      <c r="B169" s="534" t="s">
        <v>209</v>
      </c>
      <c r="C169" s="534" t="s">
        <v>210</v>
      </c>
      <c r="D169" s="534" t="s">
        <v>211</v>
      </c>
      <c r="E169" s="535" t="s">
        <v>212</v>
      </c>
      <c r="F169" s="535" t="s">
        <v>164</v>
      </c>
    </row>
    <row r="170" spans="1:22" s="538" customFormat="1">
      <c r="A170" s="262"/>
      <c r="B170" s="517"/>
      <c r="C170" s="263"/>
      <c r="D170" s="263"/>
      <c r="E170" s="537" t="s">
        <v>257</v>
      </c>
      <c r="F170" s="537" t="s">
        <v>257</v>
      </c>
      <c r="G170" s="532"/>
      <c r="H170" s="532"/>
    </row>
    <row r="171" spans="1:22" s="538" customFormat="1">
      <c r="A171" s="539"/>
      <c r="B171" s="540"/>
      <c r="C171" s="541"/>
      <c r="D171" s="541"/>
      <c r="E171" s="542"/>
      <c r="F171" s="542"/>
      <c r="G171" s="532"/>
      <c r="H171" s="532"/>
      <c r="T171" s="543"/>
      <c r="V171" s="543"/>
    </row>
    <row r="172" spans="1:22" s="543" customFormat="1">
      <c r="A172" s="539"/>
      <c r="B172" s="540"/>
      <c r="C172" s="541"/>
      <c r="D172" s="541"/>
      <c r="E172" s="542"/>
      <c r="F172" s="542"/>
      <c r="G172" s="532"/>
      <c r="H172" s="532"/>
    </row>
    <row r="173" spans="1:22" s="543" customFormat="1">
      <c r="A173" s="539"/>
      <c r="B173" s="544"/>
      <c r="C173" s="541"/>
      <c r="D173" s="541"/>
      <c r="E173" s="542"/>
      <c r="F173" s="542"/>
      <c r="G173" s="532"/>
      <c r="H173" s="532"/>
    </row>
    <row r="174" spans="1:22" s="543" customFormat="1">
      <c r="A174" s="539"/>
      <c r="B174" s="540"/>
      <c r="C174" s="541"/>
      <c r="D174" s="541"/>
      <c r="E174" s="542"/>
      <c r="F174" s="542"/>
      <c r="G174" s="532"/>
      <c r="H174" s="532"/>
    </row>
    <row r="175" spans="1:22" s="543" customFormat="1">
      <c r="A175" s="539"/>
      <c r="B175" s="545"/>
      <c r="C175" s="546"/>
      <c r="D175" s="546"/>
      <c r="E175" s="542"/>
      <c r="F175" s="542"/>
      <c r="G175" s="532"/>
      <c r="H175" s="532"/>
    </row>
    <row r="176" spans="1:22" s="543" customFormat="1">
      <c r="A176" s="539"/>
      <c r="B176" s="540"/>
      <c r="C176" s="541"/>
      <c r="D176" s="541"/>
      <c r="E176" s="542"/>
      <c r="F176" s="542"/>
      <c r="G176" s="532"/>
      <c r="H176" s="532"/>
    </row>
    <row r="177" spans="1:8" s="543" customFormat="1">
      <c r="A177" s="539"/>
      <c r="B177" s="545"/>
      <c r="C177" s="546"/>
      <c r="D177" s="546"/>
      <c r="E177" s="542"/>
      <c r="F177" s="542"/>
      <c r="G177" s="532"/>
      <c r="H177" s="532"/>
    </row>
    <row r="178" spans="1:8" s="543" customFormat="1">
      <c r="A178" s="539"/>
      <c r="B178" s="540"/>
      <c r="C178" s="541"/>
      <c r="D178" s="541"/>
      <c r="E178" s="542"/>
      <c r="F178" s="542"/>
      <c r="G178" s="532"/>
      <c r="H178" s="532"/>
    </row>
    <row r="179" spans="1:8" s="547" customFormat="1">
      <c r="A179" s="539"/>
      <c r="B179" s="545"/>
      <c r="C179" s="546"/>
      <c r="D179" s="546"/>
      <c r="E179" s="542"/>
      <c r="F179" s="542"/>
      <c r="G179" s="532"/>
      <c r="H179" s="532"/>
    </row>
    <row r="180" spans="1:8" s="543" customFormat="1">
      <c r="A180" s="539"/>
      <c r="B180" s="540"/>
      <c r="C180" s="541"/>
      <c r="D180" s="541"/>
      <c r="E180" s="542"/>
      <c r="F180" s="542"/>
      <c r="G180" s="532"/>
      <c r="H180" s="532"/>
    </row>
    <row r="181" spans="1:8" s="543" customFormat="1">
      <c r="A181" s="539"/>
      <c r="B181" s="545"/>
      <c r="C181" s="546"/>
      <c r="D181" s="546"/>
      <c r="E181" s="542"/>
      <c r="F181" s="542"/>
      <c r="G181" s="532"/>
      <c r="H181" s="532"/>
    </row>
    <row r="182" spans="1:8" s="543" customFormat="1">
      <c r="A182" s="539"/>
      <c r="B182" s="540"/>
      <c r="C182" s="541"/>
      <c r="D182" s="541"/>
      <c r="E182" s="542"/>
      <c r="F182" s="542"/>
      <c r="G182" s="532"/>
      <c r="H182" s="532"/>
    </row>
    <row r="183" spans="1:8" s="547" customFormat="1">
      <c r="A183" s="539"/>
      <c r="B183" s="545"/>
      <c r="C183" s="546"/>
      <c r="D183" s="546"/>
      <c r="E183" s="542"/>
      <c r="F183" s="542"/>
      <c r="G183" s="532"/>
      <c r="H183" s="532"/>
    </row>
    <row r="184" spans="1:8" s="547" customFormat="1">
      <c r="A184" s="539"/>
      <c r="B184" s="540"/>
      <c r="C184" s="541"/>
      <c r="D184" s="541"/>
      <c r="E184" s="542"/>
      <c r="F184" s="542"/>
      <c r="G184" s="532"/>
      <c r="H184" s="532"/>
    </row>
    <row r="185" spans="1:8" s="547" customFormat="1">
      <c r="A185" s="539"/>
      <c r="B185" s="545"/>
      <c r="C185" s="546"/>
      <c r="D185" s="546"/>
      <c r="E185" s="542"/>
      <c r="F185" s="542"/>
      <c r="G185" s="532"/>
      <c r="H185" s="532"/>
    </row>
    <row r="186" spans="1:8" s="547" customFormat="1">
      <c r="A186" s="539"/>
      <c r="B186" s="540"/>
      <c r="C186" s="541"/>
      <c r="D186" s="541"/>
      <c r="E186" s="542"/>
      <c r="F186" s="542"/>
      <c r="G186" s="532"/>
      <c r="H186" s="532"/>
    </row>
    <row r="187" spans="1:8" s="547" customFormat="1">
      <c r="A187" s="539"/>
      <c r="B187" s="545"/>
      <c r="C187" s="546"/>
      <c r="D187" s="546"/>
      <c r="E187" s="542"/>
      <c r="F187" s="542"/>
      <c r="G187" s="532"/>
      <c r="H187" s="532"/>
    </row>
    <row r="188" spans="1:8" s="547" customFormat="1">
      <c r="A188" s="539"/>
      <c r="B188" s="540"/>
      <c r="C188" s="541"/>
      <c r="D188" s="541"/>
      <c r="E188" s="542"/>
      <c r="F188" s="542"/>
      <c r="G188" s="532"/>
      <c r="H188" s="532"/>
    </row>
    <row r="189" spans="1:8" s="547" customFormat="1">
      <c r="A189" s="539"/>
      <c r="B189" s="545"/>
      <c r="C189" s="546"/>
      <c r="D189" s="546"/>
      <c r="E189" s="542"/>
      <c r="F189" s="542"/>
      <c r="G189" s="532"/>
      <c r="H189" s="532"/>
    </row>
    <row r="190" spans="1:8" s="547" customFormat="1">
      <c r="A190" s="539"/>
      <c r="B190" s="540"/>
      <c r="C190" s="541"/>
      <c r="D190" s="541"/>
      <c r="E190" s="542"/>
      <c r="F190" s="542"/>
      <c r="G190" s="532"/>
      <c r="H190" s="532"/>
    </row>
    <row r="191" spans="1:8" s="547" customFormat="1">
      <c r="A191" s="539"/>
      <c r="B191" s="545"/>
      <c r="C191" s="546"/>
      <c r="D191" s="546"/>
      <c r="E191" s="542"/>
      <c r="F191" s="542"/>
      <c r="G191" s="532"/>
      <c r="H191" s="532"/>
    </row>
    <row r="192" spans="1:8" s="547" customFormat="1">
      <c r="A192" s="539"/>
      <c r="B192" s="540"/>
      <c r="C192" s="541"/>
      <c r="D192" s="541"/>
      <c r="E192" s="542"/>
      <c r="F192" s="542"/>
      <c r="G192" s="532"/>
      <c r="H192" s="532"/>
    </row>
    <row r="193" spans="1:8" s="547" customFormat="1">
      <c r="A193" s="539"/>
      <c r="B193" s="545"/>
      <c r="C193" s="546"/>
      <c r="D193" s="546"/>
      <c r="E193" s="542"/>
      <c r="F193" s="542"/>
      <c r="G193" s="532"/>
      <c r="H193" s="532"/>
    </row>
    <row r="194" spans="1:8" s="547" customFormat="1">
      <c r="A194" s="539"/>
      <c r="B194" s="540"/>
      <c r="C194" s="541"/>
      <c r="D194" s="541"/>
      <c r="E194" s="542"/>
      <c r="F194" s="542"/>
      <c r="G194" s="532"/>
      <c r="H194" s="532"/>
    </row>
    <row r="195" spans="1:8" s="547" customFormat="1">
      <c r="A195" s="539"/>
      <c r="B195" s="545"/>
      <c r="C195" s="546"/>
      <c r="D195" s="546"/>
      <c r="E195" s="542"/>
      <c r="F195" s="542"/>
      <c r="G195" s="532"/>
      <c r="H195" s="532"/>
    </row>
    <row r="196" spans="1:8" s="547" customFormat="1">
      <c r="A196" s="539"/>
      <c r="B196" s="540"/>
      <c r="C196" s="541"/>
      <c r="D196" s="541"/>
      <c r="E196" s="542"/>
      <c r="F196" s="542"/>
      <c r="G196" s="532"/>
      <c r="H196" s="532"/>
    </row>
    <row r="197" spans="1:8" s="547" customFormat="1">
      <c r="A197" s="539"/>
      <c r="B197" s="540"/>
      <c r="C197" s="541"/>
      <c r="D197" s="541"/>
      <c r="E197" s="542"/>
      <c r="F197" s="542"/>
      <c r="G197" s="532"/>
      <c r="H197" s="532"/>
    </row>
    <row r="198" spans="1:8" s="547" customFormat="1">
      <c r="A198" s="539"/>
      <c r="B198" s="540"/>
      <c r="C198" s="541"/>
      <c r="D198" s="541"/>
      <c r="E198" s="542"/>
      <c r="F198" s="542"/>
      <c r="G198" s="532"/>
      <c r="H198" s="532"/>
    </row>
    <row r="199" spans="1:8" s="547" customFormat="1">
      <c r="A199" s="539"/>
      <c r="B199" s="540"/>
      <c r="C199" s="541"/>
      <c r="D199" s="541"/>
      <c r="E199" s="542"/>
      <c r="F199" s="542"/>
      <c r="G199" s="532"/>
      <c r="H199" s="532"/>
    </row>
    <row r="200" spans="1:8" s="547" customFormat="1">
      <c r="A200" s="539"/>
      <c r="B200" s="540"/>
      <c r="C200" s="541"/>
      <c r="D200" s="541"/>
      <c r="E200" s="542"/>
      <c r="F200" s="542"/>
      <c r="G200" s="532"/>
      <c r="H200" s="532"/>
    </row>
    <row r="201" spans="1:8" s="547" customFormat="1">
      <c r="A201" s="539"/>
      <c r="B201" s="540"/>
      <c r="C201" s="541"/>
      <c r="D201" s="541"/>
      <c r="E201" s="542"/>
      <c r="F201" s="542"/>
      <c r="G201" s="532"/>
      <c r="H201" s="532"/>
    </row>
    <row r="202" spans="1:8" s="547" customFormat="1">
      <c r="A202" s="539"/>
      <c r="B202" s="540"/>
      <c r="C202" s="541"/>
      <c r="D202" s="541"/>
      <c r="E202" s="542"/>
      <c r="F202" s="542"/>
      <c r="G202" s="532"/>
      <c r="H202" s="532"/>
    </row>
    <row r="203" spans="1:8" s="547" customFormat="1">
      <c r="A203" s="539"/>
      <c r="B203" s="540"/>
      <c r="C203" s="541"/>
      <c r="D203" s="541"/>
      <c r="E203" s="542"/>
      <c r="F203" s="542"/>
      <c r="G203" s="532"/>
      <c r="H203" s="532"/>
    </row>
    <row r="204" spans="1:8" s="547" customFormat="1">
      <c r="A204" s="539"/>
      <c r="B204" s="540"/>
      <c r="C204" s="541"/>
      <c r="D204" s="541"/>
      <c r="E204" s="542"/>
      <c r="F204" s="542"/>
      <c r="G204" s="532"/>
      <c r="H204" s="532"/>
    </row>
    <row r="205" spans="1:8" s="547" customFormat="1">
      <c r="A205" s="539"/>
      <c r="B205" s="540"/>
      <c r="C205" s="541"/>
      <c r="D205" s="541"/>
      <c r="E205" s="542"/>
      <c r="F205" s="542"/>
      <c r="G205" s="532"/>
      <c r="H205" s="532"/>
    </row>
    <row r="206" spans="1:8" s="547" customFormat="1">
      <c r="A206" s="539"/>
      <c r="B206" s="540"/>
      <c r="C206" s="541"/>
      <c r="D206" s="541"/>
      <c r="E206" s="542"/>
      <c r="F206" s="542"/>
      <c r="G206" s="532"/>
      <c r="H206" s="532"/>
    </row>
    <row r="207" spans="1:8" s="547" customFormat="1">
      <c r="A207" s="539"/>
      <c r="B207" s="540"/>
      <c r="C207" s="541"/>
      <c r="D207" s="541"/>
      <c r="E207" s="542"/>
      <c r="F207" s="542"/>
      <c r="G207" s="532"/>
      <c r="H207" s="532"/>
    </row>
    <row r="208" spans="1:8" s="547" customFormat="1">
      <c r="A208" s="539"/>
      <c r="B208" s="540"/>
      <c r="C208" s="541"/>
      <c r="D208" s="541"/>
      <c r="E208" s="542"/>
      <c r="F208" s="542"/>
      <c r="G208" s="532"/>
      <c r="H208" s="532"/>
    </row>
    <row r="209" spans="1:22" s="547" customFormat="1">
      <c r="A209" s="539"/>
      <c r="B209" s="545"/>
      <c r="C209" s="546"/>
      <c r="D209" s="546"/>
      <c r="E209" s="542"/>
      <c r="F209" s="542"/>
      <c r="G209" s="532"/>
      <c r="H209" s="532"/>
    </row>
    <row r="210" spans="1:22" s="547" customFormat="1">
      <c r="A210" s="539"/>
      <c r="B210" s="540"/>
      <c r="C210" s="541"/>
      <c r="D210" s="541"/>
      <c r="E210" s="542"/>
      <c r="F210" s="542"/>
      <c r="G210" s="532"/>
      <c r="H210" s="532"/>
    </row>
    <row r="211" spans="1:22" s="547" customFormat="1">
      <c r="A211" s="539"/>
      <c r="B211" s="545"/>
      <c r="C211" s="546"/>
      <c r="D211" s="546"/>
      <c r="E211" s="542"/>
      <c r="F211" s="542"/>
      <c r="G211" s="532"/>
      <c r="H211" s="532"/>
    </row>
    <row r="212" spans="1:22" s="547" customFormat="1">
      <c r="A212" s="539"/>
      <c r="B212" s="540"/>
      <c r="C212" s="541"/>
      <c r="D212" s="541"/>
      <c r="E212" s="542"/>
      <c r="F212" s="542"/>
      <c r="G212" s="532"/>
      <c r="H212" s="532"/>
    </row>
    <row r="213" spans="1:22" s="547" customFormat="1">
      <c r="A213" s="539"/>
      <c r="B213" s="545"/>
      <c r="C213" s="546"/>
      <c r="D213" s="546"/>
      <c r="E213" s="542"/>
      <c r="F213" s="542"/>
      <c r="G213" s="532"/>
      <c r="H213" s="532"/>
    </row>
    <row r="214" spans="1:22" s="547" customFormat="1">
      <c r="A214" s="539"/>
      <c r="B214" s="540"/>
      <c r="C214" s="541"/>
      <c r="D214" s="541"/>
      <c r="E214" s="542"/>
      <c r="F214" s="542"/>
      <c r="G214" s="532"/>
      <c r="H214" s="532"/>
    </row>
    <row r="215" spans="1:22" s="547" customFormat="1">
      <c r="A215" s="539"/>
      <c r="B215" s="545"/>
      <c r="C215" s="546"/>
      <c r="D215" s="546"/>
      <c r="E215" s="542"/>
      <c r="F215" s="542"/>
      <c r="G215" s="532"/>
      <c r="H215" s="532"/>
    </row>
    <row r="216" spans="1:22" s="547" customFormat="1">
      <c r="A216" s="539"/>
      <c r="B216" s="540"/>
      <c r="C216" s="541"/>
      <c r="D216" s="541"/>
      <c r="E216" s="542"/>
      <c r="F216" s="542"/>
      <c r="G216" s="532"/>
      <c r="H216" s="532"/>
    </row>
    <row r="217" spans="1:22" s="547" customFormat="1">
      <c r="A217" s="539"/>
      <c r="B217" s="545"/>
      <c r="C217" s="546"/>
      <c r="D217" s="546"/>
      <c r="E217" s="542"/>
      <c r="F217" s="542"/>
      <c r="G217" s="532"/>
      <c r="H217" s="532"/>
    </row>
    <row r="218" spans="1:22" s="547" customFormat="1">
      <c r="A218" s="539"/>
      <c r="B218" s="540"/>
      <c r="C218" s="541"/>
      <c r="D218" s="541"/>
      <c r="E218" s="542"/>
      <c r="F218" s="542"/>
      <c r="G218" s="532"/>
      <c r="H218" s="532"/>
    </row>
    <row r="219" spans="1:22" s="547" customFormat="1">
      <c r="A219" s="539"/>
      <c r="B219" s="540"/>
      <c r="C219" s="541"/>
      <c r="D219" s="541"/>
      <c r="E219" s="542"/>
      <c r="F219" s="542"/>
      <c r="G219" s="532"/>
      <c r="H219" s="532"/>
      <c r="T219" s="536"/>
      <c r="V219" s="536"/>
    </row>
    <row r="220" spans="1:22" s="547" customFormat="1">
      <c r="A220" s="539"/>
      <c r="B220" s="540"/>
      <c r="C220" s="541"/>
      <c r="D220" s="541"/>
      <c r="E220" s="542"/>
      <c r="F220" s="542"/>
      <c r="G220" s="532"/>
      <c r="H220" s="532"/>
      <c r="T220" s="536"/>
      <c r="V220" s="536"/>
    </row>
    <row r="221" spans="1:22" s="547" customFormat="1">
      <c r="A221" s="539"/>
      <c r="B221" s="540"/>
      <c r="C221" s="541"/>
      <c r="D221" s="541"/>
      <c r="E221" s="542"/>
      <c r="F221" s="542"/>
      <c r="G221" s="532"/>
      <c r="H221" s="532"/>
      <c r="T221" s="536"/>
      <c r="V221" s="536"/>
    </row>
    <row r="222" spans="1:22" s="547" customFormat="1">
      <c r="A222" s="539"/>
      <c r="B222" s="540"/>
      <c r="C222" s="541"/>
      <c r="D222" s="541"/>
      <c r="E222" s="542"/>
      <c r="F222" s="542"/>
      <c r="G222" s="532"/>
      <c r="H222" s="532"/>
      <c r="T222" s="536"/>
      <c r="V222" s="536"/>
    </row>
    <row r="223" spans="1:22">
      <c r="A223" s="550"/>
      <c r="B223" s="558"/>
      <c r="C223" s="551"/>
      <c r="D223" s="551"/>
      <c r="E223" s="552"/>
      <c r="F223" s="552"/>
    </row>
    <row r="224" spans="1:22">
      <c r="A224" s="559" t="s">
        <v>154</v>
      </c>
      <c r="B224" s="560"/>
      <c r="E224" s="562" t="s">
        <v>256</v>
      </c>
      <c r="F224" s="556">
        <f>SUM(F171:F223)</f>
        <v>0</v>
      </c>
    </row>
    <row r="225" spans="1:22">
      <c r="A225" s="533" t="s">
        <v>208</v>
      </c>
      <c r="B225" s="534" t="s">
        <v>209</v>
      </c>
      <c r="C225" s="534" t="s">
        <v>210</v>
      </c>
      <c r="D225" s="534" t="s">
        <v>211</v>
      </c>
      <c r="E225" s="535" t="s">
        <v>212</v>
      </c>
      <c r="F225" s="535" t="s">
        <v>164</v>
      </c>
    </row>
    <row r="226" spans="1:22">
      <c r="A226" s="262"/>
      <c r="B226" s="517"/>
      <c r="C226" s="263"/>
      <c r="D226" s="263"/>
      <c r="E226" s="537" t="s">
        <v>257</v>
      </c>
      <c r="F226" s="537" t="s">
        <v>257</v>
      </c>
    </row>
    <row r="227" spans="1:22">
      <c r="A227" s="539"/>
      <c r="B227" s="540"/>
      <c r="C227" s="541"/>
      <c r="D227" s="541"/>
      <c r="E227" s="542"/>
      <c r="F227" s="542"/>
    </row>
    <row r="228" spans="1:22">
      <c r="A228" s="539"/>
      <c r="B228" s="540"/>
      <c r="C228" s="541"/>
      <c r="D228" s="541"/>
      <c r="E228" s="542"/>
      <c r="F228" s="542"/>
    </row>
    <row r="229" spans="1:22">
      <c r="A229" s="539"/>
      <c r="B229" s="544"/>
      <c r="C229" s="541"/>
      <c r="D229" s="541"/>
      <c r="E229" s="542"/>
      <c r="F229" s="542"/>
    </row>
    <row r="230" spans="1:22" s="547" customFormat="1">
      <c r="A230" s="539"/>
      <c r="B230" s="540"/>
      <c r="C230" s="541"/>
      <c r="D230" s="541"/>
      <c r="E230" s="542"/>
      <c r="F230" s="542"/>
      <c r="G230" s="532"/>
      <c r="H230" s="532"/>
    </row>
    <row r="231" spans="1:22" s="547" customFormat="1">
      <c r="A231" s="539"/>
      <c r="B231" s="545"/>
      <c r="C231" s="546"/>
      <c r="D231" s="546"/>
      <c r="E231" s="542"/>
      <c r="F231" s="542"/>
      <c r="G231" s="532"/>
      <c r="H231" s="532"/>
    </row>
    <row r="232" spans="1:22" s="547" customFormat="1">
      <c r="A232" s="539"/>
      <c r="B232" s="540"/>
      <c r="C232" s="541"/>
      <c r="D232" s="541"/>
      <c r="E232" s="542"/>
      <c r="F232" s="542"/>
      <c r="G232" s="532"/>
      <c r="H232" s="532"/>
    </row>
    <row r="233" spans="1:22" s="547" customFormat="1">
      <c r="A233" s="539"/>
      <c r="B233" s="545"/>
      <c r="C233" s="546"/>
      <c r="D233" s="546"/>
      <c r="E233" s="542"/>
      <c r="F233" s="542"/>
      <c r="G233" s="532"/>
      <c r="H233" s="532"/>
    </row>
    <row r="234" spans="1:22" s="547" customFormat="1">
      <c r="A234" s="539"/>
      <c r="B234" s="540"/>
      <c r="C234" s="541"/>
      <c r="D234" s="541"/>
      <c r="E234" s="542"/>
      <c r="F234" s="542"/>
      <c r="G234" s="532"/>
      <c r="H234" s="532"/>
    </row>
    <row r="235" spans="1:22" s="547" customFormat="1">
      <c r="A235" s="539"/>
      <c r="B235" s="545"/>
      <c r="C235" s="546"/>
      <c r="D235" s="546"/>
      <c r="E235" s="542"/>
      <c r="F235" s="542"/>
      <c r="G235" s="532"/>
      <c r="H235" s="532"/>
      <c r="T235" s="536"/>
      <c r="V235" s="536"/>
    </row>
    <row r="236" spans="1:22" s="547" customFormat="1">
      <c r="A236" s="539"/>
      <c r="B236" s="540"/>
      <c r="C236" s="541"/>
      <c r="D236" s="541"/>
      <c r="E236" s="542"/>
      <c r="F236" s="542"/>
      <c r="G236" s="532"/>
      <c r="H236" s="532"/>
      <c r="T236" s="536"/>
      <c r="V236" s="536"/>
    </row>
    <row r="237" spans="1:22" s="547" customFormat="1">
      <c r="A237" s="539"/>
      <c r="B237" s="545"/>
      <c r="C237" s="546"/>
      <c r="D237" s="546"/>
      <c r="E237" s="542"/>
      <c r="F237" s="542"/>
      <c r="G237" s="532"/>
      <c r="H237" s="532"/>
      <c r="T237" s="536"/>
      <c r="V237" s="536"/>
    </row>
    <row r="238" spans="1:22" s="547" customFormat="1">
      <c r="A238" s="539"/>
      <c r="B238" s="540"/>
      <c r="C238" s="541"/>
      <c r="D238" s="541"/>
      <c r="E238" s="542"/>
      <c r="F238" s="542"/>
      <c r="G238" s="532"/>
      <c r="H238" s="532"/>
      <c r="T238" s="536"/>
      <c r="V238" s="536"/>
    </row>
    <row r="239" spans="1:22">
      <c r="A239" s="539"/>
      <c r="B239" s="545"/>
      <c r="C239" s="546"/>
      <c r="D239" s="546"/>
      <c r="E239" s="542"/>
      <c r="F239" s="542"/>
    </row>
    <row r="240" spans="1:22">
      <c r="A240" s="539"/>
      <c r="B240" s="540"/>
      <c r="C240" s="541"/>
      <c r="D240" s="541"/>
      <c r="E240" s="542"/>
      <c r="F240" s="542"/>
    </row>
    <row r="241" spans="1:6">
      <c r="A241" s="539"/>
      <c r="B241" s="545"/>
      <c r="C241" s="546"/>
      <c r="D241" s="546"/>
      <c r="E241" s="542"/>
      <c r="F241" s="542"/>
    </row>
    <row r="242" spans="1:6">
      <c r="A242" s="539"/>
      <c r="B242" s="540"/>
      <c r="C242" s="541"/>
      <c r="D242" s="541"/>
      <c r="E242" s="542"/>
      <c r="F242" s="542"/>
    </row>
    <row r="243" spans="1:6">
      <c r="A243" s="539"/>
      <c r="B243" s="545"/>
      <c r="C243" s="546"/>
      <c r="D243" s="546"/>
      <c r="E243" s="542"/>
      <c r="F243" s="542"/>
    </row>
    <row r="244" spans="1:6">
      <c r="A244" s="539"/>
      <c r="B244" s="540"/>
      <c r="C244" s="541"/>
      <c r="D244" s="541"/>
      <c r="E244" s="542"/>
      <c r="F244" s="542"/>
    </row>
    <row r="245" spans="1:6">
      <c r="A245" s="539"/>
      <c r="B245" s="545"/>
      <c r="C245" s="546"/>
      <c r="D245" s="546"/>
      <c r="E245" s="542"/>
      <c r="F245" s="542"/>
    </row>
    <row r="246" spans="1:6">
      <c r="A246" s="539"/>
      <c r="B246" s="540"/>
      <c r="C246" s="541"/>
      <c r="D246" s="541"/>
      <c r="E246" s="542"/>
      <c r="F246" s="542"/>
    </row>
    <row r="247" spans="1:6">
      <c r="A247" s="539"/>
      <c r="B247" s="545"/>
      <c r="C247" s="546"/>
      <c r="D247" s="546"/>
      <c r="E247" s="542"/>
      <c r="F247" s="542"/>
    </row>
    <row r="248" spans="1:6">
      <c r="A248" s="539"/>
      <c r="B248" s="540"/>
      <c r="C248" s="541"/>
      <c r="D248" s="541"/>
      <c r="E248" s="542"/>
      <c r="F248" s="542"/>
    </row>
    <row r="249" spans="1:6">
      <c r="A249" s="539"/>
      <c r="B249" s="545"/>
      <c r="C249" s="546"/>
      <c r="D249" s="546"/>
      <c r="E249" s="542"/>
      <c r="F249" s="542"/>
    </row>
    <row r="250" spans="1:6">
      <c r="A250" s="539"/>
      <c r="B250" s="540"/>
      <c r="C250" s="541"/>
      <c r="D250" s="541"/>
      <c r="E250" s="542"/>
      <c r="F250" s="542"/>
    </row>
    <row r="251" spans="1:6">
      <c r="A251" s="539"/>
      <c r="B251" s="545"/>
      <c r="C251" s="546"/>
      <c r="D251" s="546"/>
      <c r="E251" s="542"/>
      <c r="F251" s="542"/>
    </row>
    <row r="252" spans="1:6">
      <c r="A252" s="539"/>
      <c r="B252" s="540"/>
      <c r="C252" s="541"/>
      <c r="D252" s="541"/>
      <c r="E252" s="542"/>
      <c r="F252" s="542"/>
    </row>
    <row r="253" spans="1:6">
      <c r="A253" s="539"/>
      <c r="B253" s="545"/>
      <c r="C253" s="546"/>
      <c r="D253" s="546"/>
      <c r="E253" s="542"/>
      <c r="F253" s="542"/>
    </row>
    <row r="254" spans="1:6">
      <c r="A254" s="539"/>
      <c r="B254" s="545"/>
      <c r="C254" s="546"/>
      <c r="D254" s="546"/>
      <c r="E254" s="542"/>
      <c r="F254" s="542"/>
    </row>
    <row r="255" spans="1:6">
      <c r="A255" s="539"/>
      <c r="B255" s="545"/>
      <c r="C255" s="546"/>
      <c r="D255" s="546"/>
      <c r="E255" s="542"/>
      <c r="F255" s="542"/>
    </row>
    <row r="256" spans="1:6">
      <c r="A256" s="539"/>
      <c r="B256" s="545"/>
      <c r="C256" s="546"/>
      <c r="D256" s="546"/>
      <c r="E256" s="542"/>
      <c r="F256" s="542"/>
    </row>
    <row r="257" spans="1:6">
      <c r="A257" s="539"/>
      <c r="B257" s="545"/>
      <c r="C257" s="546"/>
      <c r="D257" s="546"/>
      <c r="E257" s="542"/>
      <c r="F257" s="542"/>
    </row>
    <row r="258" spans="1:6">
      <c r="A258" s="539"/>
      <c r="B258" s="545"/>
      <c r="C258" s="546"/>
      <c r="D258" s="546"/>
      <c r="E258" s="542"/>
      <c r="F258" s="542"/>
    </row>
    <row r="259" spans="1:6">
      <c r="A259" s="539"/>
      <c r="B259" s="545"/>
      <c r="C259" s="546"/>
      <c r="D259" s="546"/>
      <c r="E259" s="542"/>
      <c r="F259" s="542"/>
    </row>
    <row r="260" spans="1:6">
      <c r="A260" s="539"/>
      <c r="B260" s="545"/>
      <c r="C260" s="546"/>
      <c r="D260" s="546"/>
      <c r="E260" s="542"/>
      <c r="F260" s="542"/>
    </row>
    <row r="261" spans="1:6">
      <c r="A261" s="539"/>
      <c r="B261" s="545"/>
      <c r="C261" s="546"/>
      <c r="D261" s="546"/>
      <c r="E261" s="542"/>
      <c r="F261" s="542"/>
    </row>
    <row r="262" spans="1:6">
      <c r="A262" s="539"/>
      <c r="B262" s="545"/>
      <c r="C262" s="546"/>
      <c r="D262" s="546"/>
      <c r="E262" s="542"/>
      <c r="F262" s="542"/>
    </row>
    <row r="263" spans="1:6">
      <c r="A263" s="539"/>
      <c r="B263" s="545"/>
      <c r="C263" s="546"/>
      <c r="D263" s="546"/>
      <c r="E263" s="542"/>
      <c r="F263" s="542"/>
    </row>
    <row r="264" spans="1:6">
      <c r="A264" s="539"/>
      <c r="B264" s="545"/>
      <c r="C264" s="546"/>
      <c r="D264" s="546"/>
      <c r="E264" s="542"/>
      <c r="F264" s="542"/>
    </row>
    <row r="265" spans="1:6">
      <c r="A265" s="539"/>
      <c r="B265" s="540"/>
      <c r="C265" s="541"/>
      <c r="D265" s="541"/>
      <c r="E265" s="542"/>
      <c r="F265" s="542"/>
    </row>
    <row r="266" spans="1:6">
      <c r="A266" s="539"/>
      <c r="B266" s="540"/>
      <c r="C266" s="541"/>
      <c r="D266" s="541"/>
      <c r="E266" s="542"/>
      <c r="F266" s="542"/>
    </row>
    <row r="267" spans="1:6">
      <c r="A267" s="539"/>
      <c r="B267" s="540"/>
      <c r="C267" s="541"/>
      <c r="D267" s="541"/>
      <c r="E267" s="542"/>
      <c r="F267" s="542"/>
    </row>
    <row r="268" spans="1:6">
      <c r="A268" s="539"/>
      <c r="B268" s="545"/>
      <c r="C268" s="546"/>
      <c r="D268" s="546"/>
      <c r="E268" s="542"/>
      <c r="F268" s="542"/>
    </row>
    <row r="269" spans="1:6">
      <c r="A269" s="539"/>
      <c r="B269" s="545"/>
      <c r="C269" s="546"/>
      <c r="D269" s="546"/>
      <c r="E269" s="542"/>
      <c r="F269" s="542"/>
    </row>
    <row r="270" spans="1:6">
      <c r="A270" s="539"/>
      <c r="B270" s="540"/>
      <c r="C270" s="541"/>
      <c r="D270" s="541"/>
      <c r="E270" s="542"/>
      <c r="F270" s="542"/>
    </row>
    <row r="271" spans="1:6">
      <c r="A271" s="539"/>
      <c r="B271" s="545"/>
      <c r="C271" s="546"/>
      <c r="D271" s="546"/>
      <c r="E271" s="542"/>
      <c r="F271" s="542"/>
    </row>
    <row r="272" spans="1:6">
      <c r="A272" s="539"/>
      <c r="B272" s="540"/>
      <c r="C272" s="541"/>
      <c r="D272" s="541"/>
      <c r="E272" s="542"/>
      <c r="F272" s="542"/>
    </row>
    <row r="273" spans="1:6">
      <c r="A273" s="539"/>
      <c r="B273" s="545"/>
      <c r="C273" s="546"/>
      <c r="D273" s="546"/>
      <c r="E273" s="542"/>
      <c r="F273" s="542"/>
    </row>
    <row r="274" spans="1:6">
      <c r="A274" s="539"/>
      <c r="B274" s="540"/>
      <c r="C274" s="541"/>
      <c r="D274" s="541"/>
      <c r="E274" s="542"/>
      <c r="F274" s="542"/>
    </row>
    <row r="275" spans="1:6">
      <c r="A275" s="539"/>
      <c r="B275" s="540"/>
      <c r="C275" s="541"/>
      <c r="D275" s="541"/>
      <c r="E275" s="542"/>
      <c r="F275" s="542"/>
    </row>
    <row r="276" spans="1:6">
      <c r="A276" s="539"/>
      <c r="B276" s="540"/>
      <c r="C276" s="541"/>
      <c r="D276" s="541"/>
      <c r="E276" s="542"/>
      <c r="F276" s="542"/>
    </row>
    <row r="277" spans="1:6">
      <c r="A277" s="539"/>
      <c r="B277" s="540"/>
      <c r="C277" s="541"/>
      <c r="D277" s="541"/>
      <c r="E277" s="542"/>
      <c r="F277" s="542"/>
    </row>
    <row r="278" spans="1:6">
      <c r="A278" s="539"/>
      <c r="B278" s="540"/>
      <c r="C278" s="541"/>
      <c r="D278" s="541"/>
      <c r="E278" s="542"/>
      <c r="F278" s="542"/>
    </row>
    <row r="279" spans="1:6">
      <c r="A279" s="550"/>
      <c r="B279" s="558"/>
      <c r="C279" s="551"/>
      <c r="D279" s="551"/>
      <c r="E279" s="552"/>
      <c r="F279" s="552"/>
    </row>
    <row r="280" spans="1:6">
      <c r="A280" s="559" t="s">
        <v>154</v>
      </c>
      <c r="B280" s="560"/>
      <c r="E280" s="562" t="s">
        <v>256</v>
      </c>
      <c r="F280" s="556">
        <f>SUM(F227:F279)</f>
        <v>0</v>
      </c>
    </row>
    <row r="281" spans="1:6">
      <c r="A281" s="533" t="s">
        <v>208</v>
      </c>
      <c r="B281" s="534" t="s">
        <v>209</v>
      </c>
      <c r="C281" s="534" t="s">
        <v>210</v>
      </c>
      <c r="D281" s="534" t="s">
        <v>211</v>
      </c>
      <c r="E281" s="535" t="s">
        <v>212</v>
      </c>
      <c r="F281" s="535" t="s">
        <v>164</v>
      </c>
    </row>
    <row r="282" spans="1:6">
      <c r="A282" s="262"/>
      <c r="B282" s="517"/>
      <c r="C282" s="263"/>
      <c r="D282" s="263"/>
      <c r="E282" s="537" t="s">
        <v>257</v>
      </c>
      <c r="F282" s="537" t="s">
        <v>257</v>
      </c>
    </row>
    <row r="283" spans="1:6">
      <c r="A283" s="539"/>
      <c r="B283" s="540"/>
      <c r="C283" s="541"/>
      <c r="D283" s="541"/>
      <c r="E283" s="542"/>
      <c r="F283" s="542"/>
    </row>
    <row r="284" spans="1:6">
      <c r="A284" s="539"/>
      <c r="B284" s="540"/>
      <c r="C284" s="541"/>
      <c r="D284" s="541"/>
      <c r="E284" s="542"/>
      <c r="F284" s="542"/>
    </row>
    <row r="285" spans="1:6">
      <c r="A285" s="539"/>
      <c r="B285" s="544"/>
      <c r="C285" s="541"/>
      <c r="D285" s="541"/>
      <c r="E285" s="542"/>
      <c r="F285" s="542"/>
    </row>
    <row r="286" spans="1:6">
      <c r="A286" s="539"/>
      <c r="B286" s="540"/>
      <c r="C286" s="541"/>
      <c r="D286" s="541"/>
      <c r="E286" s="542"/>
      <c r="F286" s="542"/>
    </row>
    <row r="287" spans="1:6">
      <c r="A287" s="539"/>
      <c r="B287" s="545"/>
      <c r="C287" s="546"/>
      <c r="D287" s="546"/>
      <c r="E287" s="542"/>
      <c r="F287" s="542"/>
    </row>
    <row r="288" spans="1:6">
      <c r="A288" s="539"/>
      <c r="B288" s="540"/>
      <c r="C288" s="541"/>
      <c r="D288" s="541"/>
      <c r="E288" s="542"/>
      <c r="F288" s="542"/>
    </row>
    <row r="289" spans="1:6">
      <c r="A289" s="539"/>
      <c r="B289" s="545"/>
      <c r="C289" s="546"/>
      <c r="D289" s="546"/>
      <c r="E289" s="542"/>
      <c r="F289" s="542"/>
    </row>
    <row r="290" spans="1:6">
      <c r="A290" s="539"/>
      <c r="B290" s="540"/>
      <c r="C290" s="541"/>
      <c r="D290" s="541"/>
      <c r="E290" s="542"/>
      <c r="F290" s="542"/>
    </row>
    <row r="291" spans="1:6">
      <c r="A291" s="539"/>
      <c r="B291" s="545"/>
      <c r="C291" s="546"/>
      <c r="D291" s="546"/>
      <c r="E291" s="542"/>
      <c r="F291" s="542"/>
    </row>
    <row r="292" spans="1:6">
      <c r="A292" s="539"/>
      <c r="B292" s="540"/>
      <c r="C292" s="541"/>
      <c r="D292" s="541"/>
      <c r="E292" s="542"/>
      <c r="F292" s="542"/>
    </row>
    <row r="293" spans="1:6">
      <c r="A293" s="539"/>
      <c r="B293" s="545"/>
      <c r="C293" s="546"/>
      <c r="D293" s="546"/>
      <c r="E293" s="542"/>
      <c r="F293" s="542"/>
    </row>
    <row r="294" spans="1:6">
      <c r="A294" s="539"/>
      <c r="B294" s="540"/>
      <c r="C294" s="541"/>
      <c r="D294" s="541"/>
      <c r="E294" s="542"/>
      <c r="F294" s="542"/>
    </row>
    <row r="295" spans="1:6">
      <c r="A295" s="539"/>
      <c r="B295" s="545"/>
      <c r="C295" s="546"/>
      <c r="D295" s="546"/>
      <c r="E295" s="542"/>
      <c r="F295" s="542"/>
    </row>
    <row r="296" spans="1:6">
      <c r="A296" s="539"/>
      <c r="B296" s="540"/>
      <c r="C296" s="541"/>
      <c r="D296" s="541"/>
      <c r="E296" s="542"/>
      <c r="F296" s="542"/>
    </row>
    <row r="297" spans="1:6">
      <c r="A297" s="539"/>
      <c r="B297" s="545"/>
      <c r="C297" s="546"/>
      <c r="D297" s="546"/>
      <c r="E297" s="542"/>
      <c r="F297" s="542"/>
    </row>
    <row r="298" spans="1:6">
      <c r="A298" s="539"/>
      <c r="B298" s="540"/>
      <c r="C298" s="541"/>
      <c r="D298" s="541"/>
      <c r="E298" s="542"/>
      <c r="F298" s="542"/>
    </row>
    <row r="299" spans="1:6">
      <c r="A299" s="539"/>
      <c r="B299" s="545"/>
      <c r="C299" s="546"/>
      <c r="D299" s="546"/>
      <c r="E299" s="542"/>
      <c r="F299" s="542"/>
    </row>
    <row r="300" spans="1:6">
      <c r="A300" s="539"/>
      <c r="B300" s="540"/>
      <c r="C300" s="541"/>
      <c r="D300" s="541"/>
      <c r="E300" s="542"/>
      <c r="F300" s="542"/>
    </row>
    <row r="301" spans="1:6">
      <c r="A301" s="539"/>
      <c r="B301" s="545"/>
      <c r="C301" s="546"/>
      <c r="D301" s="546"/>
      <c r="E301" s="542"/>
      <c r="F301" s="542"/>
    </row>
    <row r="302" spans="1:6">
      <c r="A302" s="539"/>
      <c r="B302" s="540"/>
      <c r="C302" s="541"/>
      <c r="D302" s="541"/>
      <c r="E302" s="542"/>
      <c r="F302" s="542"/>
    </row>
    <row r="303" spans="1:6">
      <c r="A303" s="539"/>
      <c r="B303" s="545"/>
      <c r="C303" s="546"/>
      <c r="D303" s="546"/>
      <c r="E303" s="542"/>
      <c r="F303" s="542"/>
    </row>
    <row r="304" spans="1:6">
      <c r="A304" s="539"/>
      <c r="B304" s="540"/>
      <c r="C304" s="541"/>
      <c r="D304" s="541"/>
      <c r="E304" s="542"/>
      <c r="F304" s="542"/>
    </row>
    <row r="305" spans="1:6">
      <c r="A305" s="539"/>
      <c r="B305" s="545"/>
      <c r="C305" s="546"/>
      <c r="D305" s="546"/>
      <c r="E305" s="542"/>
      <c r="F305" s="542"/>
    </row>
    <row r="306" spans="1:6">
      <c r="A306" s="539"/>
      <c r="B306" s="540"/>
      <c r="C306" s="541"/>
      <c r="D306" s="541"/>
      <c r="E306" s="542"/>
      <c r="F306" s="542"/>
    </row>
    <row r="307" spans="1:6">
      <c r="A307" s="539"/>
      <c r="B307" s="540"/>
      <c r="C307" s="541"/>
      <c r="D307" s="541"/>
      <c r="E307" s="542"/>
      <c r="F307" s="542"/>
    </row>
    <row r="308" spans="1:6">
      <c r="A308" s="539"/>
      <c r="B308" s="540"/>
      <c r="C308" s="541"/>
      <c r="D308" s="541"/>
      <c r="E308" s="542"/>
      <c r="F308" s="542"/>
    </row>
    <row r="309" spans="1:6">
      <c r="A309" s="539"/>
      <c r="B309" s="540"/>
      <c r="C309" s="541"/>
      <c r="D309" s="541"/>
      <c r="E309" s="542"/>
      <c r="F309" s="542"/>
    </row>
    <row r="310" spans="1:6">
      <c r="A310" s="539"/>
      <c r="B310" s="540"/>
      <c r="C310" s="541"/>
      <c r="D310" s="541"/>
      <c r="E310" s="542"/>
      <c r="F310" s="542"/>
    </row>
    <row r="311" spans="1:6">
      <c r="A311" s="539"/>
      <c r="B311" s="540"/>
      <c r="C311" s="541"/>
      <c r="D311" s="541"/>
      <c r="E311" s="542"/>
      <c r="F311" s="542"/>
    </row>
    <row r="312" spans="1:6">
      <c r="A312" s="539"/>
      <c r="B312" s="540"/>
      <c r="C312" s="541"/>
      <c r="D312" s="541"/>
      <c r="E312" s="542"/>
      <c r="F312" s="542"/>
    </row>
    <row r="313" spans="1:6">
      <c r="A313" s="539"/>
      <c r="B313" s="540"/>
      <c r="C313" s="541"/>
      <c r="D313" s="541"/>
      <c r="E313" s="542"/>
      <c r="F313" s="542"/>
    </row>
    <row r="314" spans="1:6">
      <c r="A314" s="539"/>
      <c r="B314" s="540"/>
      <c r="C314" s="541"/>
      <c r="D314" s="541"/>
      <c r="E314" s="542"/>
      <c r="F314" s="542"/>
    </row>
    <row r="315" spans="1:6">
      <c r="A315" s="539"/>
      <c r="B315" s="540"/>
      <c r="C315" s="541"/>
      <c r="D315" s="541"/>
      <c r="E315" s="542"/>
      <c r="F315" s="542"/>
    </row>
    <row r="316" spans="1:6">
      <c r="A316" s="539"/>
      <c r="B316" s="540"/>
      <c r="C316" s="541"/>
      <c r="D316" s="541"/>
      <c r="E316" s="542"/>
      <c r="F316" s="542"/>
    </row>
    <row r="317" spans="1:6">
      <c r="A317" s="539"/>
      <c r="B317" s="540"/>
      <c r="C317" s="541"/>
      <c r="D317" s="541"/>
      <c r="E317" s="542"/>
      <c r="F317" s="542"/>
    </row>
    <row r="318" spans="1:6">
      <c r="A318" s="539"/>
      <c r="B318" s="540"/>
      <c r="C318" s="541"/>
      <c r="D318" s="541"/>
      <c r="E318" s="542"/>
      <c r="F318" s="542"/>
    </row>
    <row r="319" spans="1:6">
      <c r="A319" s="539"/>
      <c r="B319" s="545"/>
      <c r="C319" s="546"/>
      <c r="D319" s="546"/>
      <c r="E319" s="542"/>
      <c r="F319" s="542"/>
    </row>
    <row r="320" spans="1:6">
      <c r="A320" s="539"/>
      <c r="B320" s="540"/>
      <c r="C320" s="541"/>
      <c r="D320" s="541"/>
      <c r="E320" s="542"/>
      <c r="F320" s="542"/>
    </row>
    <row r="321" spans="1:6">
      <c r="A321" s="539"/>
      <c r="B321" s="545"/>
      <c r="C321" s="546"/>
      <c r="D321" s="546"/>
      <c r="E321" s="542"/>
      <c r="F321" s="542"/>
    </row>
    <row r="322" spans="1:6">
      <c r="A322" s="539"/>
      <c r="B322" s="540"/>
      <c r="C322" s="541"/>
      <c r="D322" s="541"/>
      <c r="E322" s="542"/>
      <c r="F322" s="542"/>
    </row>
    <row r="323" spans="1:6">
      <c r="A323" s="539"/>
      <c r="B323" s="540"/>
      <c r="C323" s="541"/>
      <c r="D323" s="541"/>
      <c r="E323" s="542"/>
      <c r="F323" s="542"/>
    </row>
    <row r="324" spans="1:6">
      <c r="A324" s="539"/>
      <c r="B324" s="545"/>
      <c r="C324" s="546"/>
      <c r="D324" s="546"/>
      <c r="E324" s="542"/>
      <c r="F324" s="542"/>
    </row>
    <row r="325" spans="1:6">
      <c r="A325" s="539"/>
      <c r="B325" s="540"/>
      <c r="C325" s="541"/>
      <c r="D325" s="541"/>
      <c r="E325" s="542"/>
      <c r="F325" s="542"/>
    </row>
    <row r="326" spans="1:6">
      <c r="A326" s="539"/>
      <c r="B326" s="545"/>
      <c r="C326" s="546"/>
      <c r="D326" s="546"/>
      <c r="E326" s="542"/>
      <c r="F326" s="542"/>
    </row>
    <row r="327" spans="1:6">
      <c r="A327" s="539"/>
      <c r="B327" s="540"/>
      <c r="C327" s="541"/>
      <c r="D327" s="541"/>
      <c r="E327" s="542"/>
      <c r="F327" s="542"/>
    </row>
    <row r="328" spans="1:6">
      <c r="A328" s="539"/>
      <c r="B328" s="545"/>
      <c r="C328" s="546"/>
      <c r="D328" s="546"/>
      <c r="E328" s="542"/>
      <c r="F328" s="542"/>
    </row>
    <row r="329" spans="1:6">
      <c r="A329" s="539"/>
      <c r="B329" s="540"/>
      <c r="C329" s="541"/>
      <c r="D329" s="541"/>
      <c r="E329" s="542"/>
      <c r="F329" s="542"/>
    </row>
    <row r="330" spans="1:6">
      <c r="A330" s="539"/>
      <c r="B330" s="545"/>
      <c r="C330" s="546"/>
      <c r="D330" s="546"/>
      <c r="E330" s="542"/>
      <c r="F330" s="542"/>
    </row>
    <row r="331" spans="1:6">
      <c r="A331" s="539"/>
      <c r="B331" s="540"/>
      <c r="C331" s="541"/>
      <c r="D331" s="541"/>
      <c r="E331" s="542"/>
      <c r="F331" s="542"/>
    </row>
    <row r="332" spans="1:6">
      <c r="A332" s="539"/>
      <c r="B332" s="540"/>
      <c r="C332" s="541"/>
      <c r="D332" s="541"/>
      <c r="E332" s="542"/>
      <c r="F332" s="542"/>
    </row>
    <row r="333" spans="1:6">
      <c r="A333" s="539"/>
      <c r="B333" s="540"/>
      <c r="C333" s="541"/>
      <c r="D333" s="541"/>
      <c r="E333" s="542"/>
      <c r="F333" s="542"/>
    </row>
    <row r="334" spans="1:6">
      <c r="A334" s="539"/>
      <c r="B334" s="540"/>
      <c r="C334" s="541"/>
      <c r="D334" s="541"/>
      <c r="E334" s="542"/>
      <c r="F334" s="542"/>
    </row>
    <row r="335" spans="1:6">
      <c r="A335" s="539"/>
      <c r="B335" s="540"/>
      <c r="C335" s="541"/>
      <c r="D335" s="541"/>
      <c r="E335" s="542"/>
      <c r="F335" s="542"/>
    </row>
    <row r="336" spans="1:6">
      <c r="A336" s="550"/>
      <c r="B336" s="558"/>
      <c r="C336" s="551"/>
      <c r="D336" s="551"/>
      <c r="E336" s="552"/>
      <c r="F336" s="552"/>
    </row>
    <row r="337" spans="1:6">
      <c r="A337" s="559" t="s">
        <v>154</v>
      </c>
      <c r="B337" s="560"/>
      <c r="E337" s="562" t="s">
        <v>256</v>
      </c>
      <c r="F337" s="556">
        <f>SUM(F283:F336)</f>
        <v>0</v>
      </c>
    </row>
    <row r="338" spans="1:6">
      <c r="A338" s="533" t="s">
        <v>208</v>
      </c>
      <c r="B338" s="534" t="s">
        <v>209</v>
      </c>
      <c r="C338" s="534" t="s">
        <v>210</v>
      </c>
      <c r="D338" s="534" t="s">
        <v>211</v>
      </c>
      <c r="E338" s="535" t="s">
        <v>212</v>
      </c>
      <c r="F338" s="535" t="s">
        <v>164</v>
      </c>
    </row>
    <row r="339" spans="1:6">
      <c r="A339" s="262"/>
      <c r="B339" s="517"/>
      <c r="C339" s="263"/>
      <c r="D339" s="263"/>
      <c r="E339" s="537" t="s">
        <v>257</v>
      </c>
      <c r="F339" s="537" t="s">
        <v>257</v>
      </c>
    </row>
    <row r="340" spans="1:6">
      <c r="A340" s="539"/>
      <c r="B340" s="540"/>
      <c r="C340" s="541"/>
      <c r="D340" s="541"/>
      <c r="E340" s="542"/>
      <c r="F340" s="542"/>
    </row>
    <row r="341" spans="1:6">
      <c r="A341" s="539"/>
      <c r="B341" s="540"/>
      <c r="C341" s="541"/>
      <c r="D341" s="541"/>
      <c r="E341" s="542"/>
      <c r="F341" s="542"/>
    </row>
    <row r="342" spans="1:6">
      <c r="A342" s="539"/>
      <c r="B342" s="544"/>
      <c r="C342" s="541"/>
      <c r="D342" s="541"/>
      <c r="E342" s="542"/>
      <c r="F342" s="542"/>
    </row>
    <row r="343" spans="1:6">
      <c r="A343" s="539"/>
      <c r="B343" s="540"/>
      <c r="C343" s="541"/>
      <c r="D343" s="541"/>
      <c r="E343" s="542"/>
      <c r="F343" s="542"/>
    </row>
    <row r="344" spans="1:6">
      <c r="A344" s="539"/>
      <c r="B344" s="545"/>
      <c r="C344" s="546"/>
      <c r="D344" s="546"/>
      <c r="E344" s="542"/>
      <c r="F344" s="542"/>
    </row>
    <row r="345" spans="1:6">
      <c r="A345" s="539"/>
      <c r="B345" s="540"/>
      <c r="C345" s="541"/>
      <c r="D345" s="541"/>
      <c r="E345" s="542"/>
      <c r="F345" s="542"/>
    </row>
    <row r="346" spans="1:6">
      <c r="A346" s="539"/>
      <c r="B346" s="545"/>
      <c r="C346" s="546"/>
      <c r="D346" s="546"/>
      <c r="E346" s="542"/>
      <c r="F346" s="542"/>
    </row>
    <row r="347" spans="1:6">
      <c r="A347" s="539"/>
      <c r="B347" s="540"/>
      <c r="C347" s="541"/>
      <c r="D347" s="541"/>
      <c r="E347" s="542"/>
      <c r="F347" s="542"/>
    </row>
    <row r="348" spans="1:6">
      <c r="A348" s="539"/>
      <c r="B348" s="545"/>
      <c r="C348" s="546"/>
      <c r="D348" s="546"/>
      <c r="E348" s="542"/>
      <c r="F348" s="542"/>
    </row>
    <row r="349" spans="1:6">
      <c r="A349" s="539"/>
      <c r="B349" s="540"/>
      <c r="C349" s="541"/>
      <c r="D349" s="541"/>
      <c r="E349" s="542"/>
      <c r="F349" s="542"/>
    </row>
    <row r="350" spans="1:6">
      <c r="A350" s="539"/>
      <c r="B350" s="545"/>
      <c r="C350" s="546"/>
      <c r="D350" s="546"/>
      <c r="E350" s="542"/>
      <c r="F350" s="542"/>
    </row>
    <row r="351" spans="1:6">
      <c r="A351" s="539"/>
      <c r="B351" s="540"/>
      <c r="C351" s="541"/>
      <c r="D351" s="541"/>
      <c r="E351" s="542"/>
      <c r="F351" s="542"/>
    </row>
    <row r="352" spans="1:6">
      <c r="A352" s="539"/>
      <c r="B352" s="545"/>
      <c r="C352" s="546"/>
      <c r="D352" s="546"/>
      <c r="E352" s="542"/>
      <c r="F352" s="542"/>
    </row>
    <row r="353" spans="1:6">
      <c r="A353" s="539"/>
      <c r="B353" s="540"/>
      <c r="C353" s="541"/>
      <c r="D353" s="541"/>
      <c r="E353" s="542"/>
      <c r="F353" s="542"/>
    </row>
    <row r="354" spans="1:6">
      <c r="A354" s="539"/>
      <c r="B354" s="545"/>
      <c r="C354" s="546"/>
      <c r="D354" s="546"/>
      <c r="E354" s="542"/>
      <c r="F354" s="542"/>
    </row>
    <row r="355" spans="1:6">
      <c r="A355" s="539"/>
      <c r="B355" s="540"/>
      <c r="C355" s="541"/>
      <c r="D355" s="541"/>
      <c r="E355" s="542"/>
      <c r="F355" s="542"/>
    </row>
    <row r="356" spans="1:6">
      <c r="A356" s="539"/>
      <c r="B356" s="545"/>
      <c r="C356" s="546"/>
      <c r="D356" s="546"/>
      <c r="E356" s="542"/>
      <c r="F356" s="542"/>
    </row>
    <row r="357" spans="1:6">
      <c r="A357" s="539"/>
      <c r="B357" s="540"/>
      <c r="C357" s="541"/>
      <c r="D357" s="541"/>
      <c r="E357" s="542"/>
      <c r="F357" s="542"/>
    </row>
    <row r="358" spans="1:6">
      <c r="A358" s="539"/>
      <c r="B358" s="545"/>
      <c r="C358" s="546"/>
      <c r="D358" s="546"/>
      <c r="E358" s="542"/>
      <c r="F358" s="542"/>
    </row>
    <row r="359" spans="1:6">
      <c r="A359" s="539"/>
      <c r="B359" s="540"/>
      <c r="C359" s="541"/>
      <c r="D359" s="541"/>
      <c r="E359" s="542"/>
      <c r="F359" s="542"/>
    </row>
    <row r="360" spans="1:6">
      <c r="A360" s="539"/>
      <c r="B360" s="545"/>
      <c r="C360" s="546"/>
      <c r="D360" s="546"/>
      <c r="E360" s="542"/>
      <c r="F360" s="542"/>
    </row>
    <row r="361" spans="1:6">
      <c r="A361" s="539"/>
      <c r="B361" s="540"/>
      <c r="C361" s="541"/>
      <c r="D361" s="541"/>
      <c r="E361" s="542"/>
      <c r="F361" s="542"/>
    </row>
    <row r="362" spans="1:6">
      <c r="A362" s="539"/>
      <c r="B362" s="545"/>
      <c r="C362" s="546"/>
      <c r="D362" s="546"/>
      <c r="E362" s="542"/>
      <c r="F362" s="542"/>
    </row>
    <row r="363" spans="1:6">
      <c r="A363" s="539"/>
      <c r="B363" s="540"/>
      <c r="C363" s="541"/>
      <c r="D363" s="541"/>
      <c r="E363" s="542"/>
      <c r="F363" s="542"/>
    </row>
    <row r="364" spans="1:6">
      <c r="A364" s="539"/>
      <c r="B364" s="545"/>
      <c r="C364" s="546"/>
      <c r="D364" s="546"/>
      <c r="E364" s="542"/>
      <c r="F364" s="542"/>
    </row>
    <row r="365" spans="1:6">
      <c r="A365" s="539"/>
      <c r="B365" s="540"/>
      <c r="C365" s="541"/>
      <c r="D365" s="541"/>
      <c r="E365" s="542"/>
      <c r="F365" s="542"/>
    </row>
    <row r="366" spans="1:6">
      <c r="A366" s="539"/>
      <c r="B366" s="545"/>
      <c r="C366" s="546"/>
      <c r="D366" s="546"/>
      <c r="E366" s="542"/>
      <c r="F366" s="542"/>
    </row>
    <row r="367" spans="1:6">
      <c r="A367" s="539"/>
      <c r="B367" s="545"/>
      <c r="C367" s="546"/>
      <c r="D367" s="546"/>
      <c r="E367" s="542"/>
      <c r="F367" s="542"/>
    </row>
    <row r="368" spans="1:6">
      <c r="A368" s="539"/>
      <c r="B368" s="545"/>
      <c r="C368" s="546"/>
      <c r="D368" s="546"/>
      <c r="E368" s="542"/>
      <c r="F368" s="542"/>
    </row>
    <row r="369" spans="1:6">
      <c r="A369" s="539"/>
      <c r="B369" s="545"/>
      <c r="C369" s="546"/>
      <c r="D369" s="546"/>
      <c r="E369" s="542"/>
      <c r="F369" s="542"/>
    </row>
    <row r="370" spans="1:6">
      <c r="A370" s="539"/>
      <c r="B370" s="545"/>
      <c r="C370" s="546"/>
      <c r="D370" s="546"/>
      <c r="E370" s="542"/>
      <c r="F370" s="542"/>
    </row>
    <row r="371" spans="1:6">
      <c r="A371" s="539"/>
      <c r="B371" s="545"/>
      <c r="C371" s="546"/>
      <c r="D371" s="546"/>
      <c r="E371" s="542"/>
      <c r="F371" s="542"/>
    </row>
    <row r="372" spans="1:6">
      <c r="A372" s="539"/>
      <c r="B372" s="545"/>
      <c r="C372" s="546"/>
      <c r="D372" s="546"/>
      <c r="E372" s="542"/>
      <c r="F372" s="542"/>
    </row>
    <row r="373" spans="1:6">
      <c r="A373" s="539"/>
      <c r="B373" s="545"/>
      <c r="C373" s="546"/>
      <c r="D373" s="546"/>
      <c r="E373" s="542"/>
      <c r="F373" s="542"/>
    </row>
    <row r="374" spans="1:6">
      <c r="A374" s="539"/>
      <c r="B374" s="545"/>
      <c r="C374" s="546"/>
      <c r="D374" s="546"/>
      <c r="E374" s="542"/>
      <c r="F374" s="542"/>
    </row>
    <row r="375" spans="1:6">
      <c r="A375" s="539"/>
      <c r="B375" s="545"/>
      <c r="C375" s="546"/>
      <c r="D375" s="546"/>
      <c r="E375" s="542"/>
      <c r="F375" s="542"/>
    </row>
    <row r="376" spans="1:6">
      <c r="A376" s="539"/>
      <c r="B376" s="545"/>
      <c r="C376" s="546"/>
      <c r="D376" s="546"/>
      <c r="E376" s="542"/>
      <c r="F376" s="542"/>
    </row>
    <row r="377" spans="1:6">
      <c r="A377" s="539"/>
      <c r="B377" s="545"/>
      <c r="C377" s="546"/>
      <c r="D377" s="546"/>
      <c r="E377" s="542"/>
      <c r="F377" s="542"/>
    </row>
    <row r="378" spans="1:6">
      <c r="A378" s="539"/>
      <c r="B378" s="545"/>
      <c r="C378" s="546"/>
      <c r="D378" s="546"/>
      <c r="E378" s="542"/>
      <c r="F378" s="542"/>
    </row>
    <row r="379" spans="1:6">
      <c r="A379" s="539"/>
      <c r="B379" s="545"/>
      <c r="C379" s="546"/>
      <c r="D379" s="546"/>
      <c r="E379" s="542"/>
      <c r="F379" s="542"/>
    </row>
    <row r="380" spans="1:6">
      <c r="A380" s="539"/>
      <c r="B380" s="540"/>
      <c r="C380" s="541"/>
      <c r="D380" s="541"/>
      <c r="E380" s="542"/>
      <c r="F380" s="542"/>
    </row>
    <row r="381" spans="1:6">
      <c r="A381" s="539"/>
      <c r="B381" s="545"/>
      <c r="C381" s="546"/>
      <c r="D381" s="546"/>
      <c r="E381" s="542"/>
      <c r="F381" s="542"/>
    </row>
    <row r="382" spans="1:6">
      <c r="A382" s="539"/>
      <c r="B382" s="540"/>
      <c r="C382" s="541"/>
      <c r="D382" s="541"/>
      <c r="E382" s="542"/>
      <c r="F382" s="542"/>
    </row>
    <row r="383" spans="1:6">
      <c r="A383" s="539"/>
      <c r="B383" s="545"/>
      <c r="C383" s="546"/>
      <c r="D383" s="546"/>
      <c r="E383" s="542"/>
      <c r="F383" s="542"/>
    </row>
    <row r="384" spans="1:6">
      <c r="A384" s="539"/>
      <c r="B384" s="540"/>
      <c r="C384" s="541"/>
      <c r="D384" s="541"/>
      <c r="E384" s="542"/>
      <c r="F384" s="542"/>
    </row>
    <row r="385" spans="1:6">
      <c r="A385" s="539"/>
      <c r="B385" s="545"/>
      <c r="C385" s="546"/>
      <c r="D385" s="546"/>
      <c r="E385" s="542"/>
      <c r="F385" s="542"/>
    </row>
    <row r="386" spans="1:6">
      <c r="A386" s="539"/>
      <c r="B386" s="540"/>
      <c r="C386" s="541"/>
      <c r="D386" s="541"/>
      <c r="E386" s="542"/>
      <c r="F386" s="542"/>
    </row>
    <row r="387" spans="1:6">
      <c r="A387" s="539"/>
      <c r="B387" s="545"/>
      <c r="C387" s="546"/>
      <c r="D387" s="546"/>
      <c r="E387" s="542"/>
      <c r="F387" s="542"/>
    </row>
    <row r="388" spans="1:6">
      <c r="A388" s="539"/>
      <c r="B388" s="540"/>
      <c r="C388" s="541"/>
      <c r="D388" s="541"/>
      <c r="E388" s="542"/>
      <c r="F388" s="542"/>
    </row>
    <row r="389" spans="1:6">
      <c r="A389" s="539"/>
      <c r="B389" s="540"/>
      <c r="C389" s="541"/>
      <c r="D389" s="541"/>
      <c r="E389" s="542"/>
      <c r="F389" s="542"/>
    </row>
    <row r="390" spans="1:6">
      <c r="A390" s="539"/>
      <c r="B390" s="540"/>
      <c r="C390" s="541"/>
      <c r="D390" s="541"/>
      <c r="E390" s="542"/>
      <c r="F390" s="542"/>
    </row>
    <row r="391" spans="1:6">
      <c r="A391" s="539"/>
      <c r="B391" s="540"/>
      <c r="C391" s="541"/>
      <c r="D391" s="541"/>
      <c r="E391" s="542"/>
      <c r="F391" s="542"/>
    </row>
    <row r="392" spans="1:6">
      <c r="A392" s="539"/>
      <c r="B392" s="540"/>
      <c r="C392" s="541"/>
      <c r="D392" s="541"/>
      <c r="E392" s="542"/>
      <c r="F392" s="542"/>
    </row>
    <row r="393" spans="1:6">
      <c r="A393" s="550"/>
      <c r="B393" s="558"/>
      <c r="C393" s="551"/>
      <c r="D393" s="551"/>
      <c r="E393" s="552"/>
      <c r="F393" s="552"/>
    </row>
    <row r="394" spans="1:6">
      <c r="A394" s="559" t="s">
        <v>154</v>
      </c>
      <c r="B394" s="560"/>
      <c r="E394" s="562" t="s">
        <v>256</v>
      </c>
      <c r="F394" s="556">
        <f>SUM(F340:F393)</f>
        <v>0</v>
      </c>
    </row>
    <row r="395" spans="1:6">
      <c r="A395" s="533" t="s">
        <v>208</v>
      </c>
      <c r="B395" s="534" t="s">
        <v>209</v>
      </c>
      <c r="C395" s="534" t="s">
        <v>210</v>
      </c>
      <c r="D395" s="534" t="s">
        <v>211</v>
      </c>
      <c r="E395" s="535" t="s">
        <v>212</v>
      </c>
      <c r="F395" s="535" t="s">
        <v>164</v>
      </c>
    </row>
    <row r="396" spans="1:6">
      <c r="A396" s="262"/>
      <c r="B396" s="517"/>
      <c r="C396" s="263"/>
      <c r="D396" s="263"/>
      <c r="E396" s="537" t="s">
        <v>257</v>
      </c>
      <c r="F396" s="537" t="s">
        <v>257</v>
      </c>
    </row>
    <row r="397" spans="1:6">
      <c r="A397" s="539"/>
      <c r="B397" s="540"/>
      <c r="C397" s="541"/>
      <c r="D397" s="541"/>
      <c r="E397" s="542"/>
      <c r="F397" s="542"/>
    </row>
    <row r="398" spans="1:6">
      <c r="A398" s="539"/>
      <c r="B398" s="540"/>
      <c r="C398" s="541"/>
      <c r="D398" s="541"/>
      <c r="E398" s="542"/>
      <c r="F398" s="542"/>
    </row>
    <row r="399" spans="1:6">
      <c r="A399" s="539"/>
      <c r="B399" s="544"/>
      <c r="C399" s="541"/>
      <c r="D399" s="541"/>
      <c r="E399" s="542"/>
      <c r="F399" s="542"/>
    </row>
    <row r="400" spans="1:6">
      <c r="A400" s="539"/>
      <c r="B400" s="540"/>
      <c r="C400" s="541"/>
      <c r="D400" s="541"/>
      <c r="E400" s="542"/>
      <c r="F400" s="542"/>
    </row>
    <row r="401" spans="1:6">
      <c r="A401" s="539"/>
      <c r="B401" s="545"/>
      <c r="C401" s="546"/>
      <c r="D401" s="546"/>
      <c r="E401" s="542"/>
      <c r="F401" s="542"/>
    </row>
    <row r="402" spans="1:6">
      <c r="A402" s="539"/>
      <c r="B402" s="540"/>
      <c r="C402" s="541"/>
      <c r="D402" s="541"/>
      <c r="E402" s="542"/>
      <c r="F402" s="542"/>
    </row>
    <row r="403" spans="1:6">
      <c r="A403" s="539"/>
      <c r="B403" s="545"/>
      <c r="C403" s="546"/>
      <c r="D403" s="546"/>
      <c r="E403" s="542"/>
      <c r="F403" s="542"/>
    </row>
    <row r="404" spans="1:6">
      <c r="A404" s="539"/>
      <c r="B404" s="540"/>
      <c r="C404" s="541"/>
      <c r="D404" s="541"/>
      <c r="E404" s="542"/>
      <c r="F404" s="542"/>
    </row>
    <row r="405" spans="1:6">
      <c r="A405" s="539"/>
      <c r="B405" s="545"/>
      <c r="C405" s="546"/>
      <c r="D405" s="546"/>
      <c r="E405" s="542"/>
      <c r="F405" s="542"/>
    </row>
    <row r="406" spans="1:6">
      <c r="A406" s="539"/>
      <c r="B406" s="540"/>
      <c r="C406" s="541"/>
      <c r="D406" s="541"/>
      <c r="E406" s="542"/>
      <c r="F406" s="542"/>
    </row>
    <row r="407" spans="1:6">
      <c r="A407" s="539"/>
      <c r="B407" s="545"/>
      <c r="C407" s="546"/>
      <c r="D407" s="546"/>
      <c r="E407" s="542"/>
      <c r="F407" s="542"/>
    </row>
    <row r="408" spans="1:6">
      <c r="A408" s="539"/>
      <c r="B408" s="540"/>
      <c r="C408" s="541"/>
      <c r="D408" s="541"/>
      <c r="E408" s="542"/>
      <c r="F408" s="542"/>
    </row>
    <row r="409" spans="1:6">
      <c r="A409" s="539"/>
      <c r="B409" s="545"/>
      <c r="C409" s="546"/>
      <c r="D409" s="546"/>
      <c r="E409" s="542"/>
      <c r="F409" s="542"/>
    </row>
    <row r="410" spans="1:6">
      <c r="A410" s="539"/>
      <c r="B410" s="540"/>
      <c r="C410" s="541"/>
      <c r="D410" s="541"/>
      <c r="E410" s="542"/>
      <c r="F410" s="542"/>
    </row>
    <row r="411" spans="1:6">
      <c r="A411" s="539"/>
      <c r="B411" s="545"/>
      <c r="C411" s="546"/>
      <c r="D411" s="546"/>
      <c r="E411" s="542"/>
      <c r="F411" s="542"/>
    </row>
    <row r="412" spans="1:6">
      <c r="A412" s="539"/>
      <c r="B412" s="540"/>
      <c r="C412" s="541"/>
      <c r="D412" s="541"/>
      <c r="E412" s="542"/>
      <c r="F412" s="542"/>
    </row>
    <row r="413" spans="1:6">
      <c r="A413" s="539"/>
      <c r="B413" s="545"/>
      <c r="C413" s="546"/>
      <c r="D413" s="546"/>
      <c r="E413" s="542"/>
      <c r="F413" s="542"/>
    </row>
    <row r="414" spans="1:6">
      <c r="A414" s="539"/>
      <c r="B414" s="540"/>
      <c r="C414" s="541"/>
      <c r="D414" s="541"/>
      <c r="E414" s="542"/>
      <c r="F414" s="542"/>
    </row>
    <row r="415" spans="1:6">
      <c r="A415" s="539"/>
      <c r="B415" s="545"/>
      <c r="C415" s="546"/>
      <c r="D415" s="546"/>
      <c r="E415" s="542"/>
      <c r="F415" s="542"/>
    </row>
    <row r="416" spans="1:6">
      <c r="A416" s="539"/>
      <c r="B416" s="540"/>
      <c r="C416" s="541"/>
      <c r="D416" s="541"/>
      <c r="E416" s="542"/>
      <c r="F416" s="542"/>
    </row>
    <row r="417" spans="1:6">
      <c r="A417" s="539"/>
      <c r="B417" s="545"/>
      <c r="C417" s="546"/>
      <c r="D417" s="546"/>
      <c r="E417" s="542"/>
      <c r="F417" s="542"/>
    </row>
    <row r="418" spans="1:6">
      <c r="A418" s="539"/>
      <c r="B418" s="540"/>
      <c r="C418" s="541"/>
      <c r="D418" s="541"/>
      <c r="E418" s="542"/>
      <c r="F418" s="542"/>
    </row>
    <row r="419" spans="1:6">
      <c r="A419" s="539"/>
      <c r="B419" s="540"/>
      <c r="C419" s="541"/>
      <c r="D419" s="541"/>
      <c r="E419" s="542"/>
      <c r="F419" s="542"/>
    </row>
    <row r="420" spans="1:6">
      <c r="A420" s="539"/>
      <c r="B420" s="540"/>
      <c r="C420" s="541"/>
      <c r="D420" s="541"/>
      <c r="E420" s="542"/>
      <c r="F420" s="542"/>
    </row>
    <row r="421" spans="1:6">
      <c r="A421" s="539"/>
      <c r="B421" s="540"/>
      <c r="C421" s="541"/>
      <c r="D421" s="541"/>
      <c r="E421" s="542"/>
      <c r="F421" s="542"/>
    </row>
    <row r="422" spans="1:6">
      <c r="A422" s="539"/>
      <c r="B422" s="540"/>
      <c r="C422" s="541"/>
      <c r="D422" s="541"/>
      <c r="E422" s="542"/>
      <c r="F422" s="542"/>
    </row>
    <row r="423" spans="1:6">
      <c r="A423" s="539"/>
      <c r="B423" s="540"/>
      <c r="C423" s="541"/>
      <c r="D423" s="541"/>
      <c r="E423" s="542"/>
      <c r="F423" s="542"/>
    </row>
    <row r="424" spans="1:6">
      <c r="A424" s="539"/>
      <c r="B424" s="540"/>
      <c r="C424" s="541"/>
      <c r="D424" s="541"/>
      <c r="E424" s="542"/>
      <c r="F424" s="542"/>
    </row>
    <row r="425" spans="1:6">
      <c r="A425" s="539"/>
      <c r="B425" s="540"/>
      <c r="C425" s="541"/>
      <c r="D425" s="541"/>
      <c r="E425" s="542"/>
      <c r="F425" s="542"/>
    </row>
    <row r="426" spans="1:6">
      <c r="A426" s="539"/>
      <c r="B426" s="540"/>
      <c r="C426" s="541"/>
      <c r="D426" s="541"/>
      <c r="E426" s="542"/>
      <c r="F426" s="542"/>
    </row>
    <row r="427" spans="1:6">
      <c r="A427" s="539"/>
      <c r="B427" s="540"/>
      <c r="C427" s="541"/>
      <c r="D427" s="541"/>
      <c r="E427" s="542"/>
      <c r="F427" s="542"/>
    </row>
    <row r="428" spans="1:6">
      <c r="A428" s="539"/>
      <c r="B428" s="540"/>
      <c r="C428" s="541"/>
      <c r="D428" s="541"/>
      <c r="E428" s="542"/>
      <c r="F428" s="542"/>
    </row>
    <row r="429" spans="1:6">
      <c r="A429" s="539"/>
      <c r="B429" s="540"/>
      <c r="C429" s="541"/>
      <c r="D429" s="541"/>
      <c r="E429" s="542"/>
      <c r="F429" s="542"/>
    </row>
    <row r="430" spans="1:6">
      <c r="A430" s="539"/>
      <c r="B430" s="540"/>
      <c r="C430" s="541"/>
      <c r="D430" s="541"/>
      <c r="E430" s="542"/>
      <c r="F430" s="542"/>
    </row>
    <row r="431" spans="1:6">
      <c r="A431" s="539"/>
      <c r="B431" s="540"/>
      <c r="C431" s="541"/>
      <c r="D431" s="541"/>
      <c r="E431" s="542"/>
      <c r="F431" s="542"/>
    </row>
    <row r="432" spans="1:6">
      <c r="A432" s="539"/>
      <c r="B432" s="540"/>
      <c r="C432" s="541"/>
      <c r="D432" s="541"/>
      <c r="E432" s="542"/>
      <c r="F432" s="542"/>
    </row>
    <row r="433" spans="1:6">
      <c r="A433" s="539"/>
      <c r="B433" s="545"/>
      <c r="C433" s="546"/>
      <c r="D433" s="546"/>
      <c r="E433" s="542"/>
      <c r="F433" s="542"/>
    </row>
    <row r="434" spans="1:6">
      <c r="A434" s="539"/>
      <c r="B434" s="540"/>
      <c r="C434" s="541"/>
      <c r="D434" s="541"/>
      <c r="E434" s="542"/>
      <c r="F434" s="542"/>
    </row>
    <row r="435" spans="1:6">
      <c r="A435" s="539"/>
      <c r="B435" s="545"/>
      <c r="C435" s="546"/>
      <c r="D435" s="546"/>
      <c r="E435" s="542"/>
      <c r="F435" s="542"/>
    </row>
    <row r="436" spans="1:6">
      <c r="A436" s="539"/>
      <c r="B436" s="545"/>
      <c r="C436" s="546"/>
      <c r="D436" s="546"/>
      <c r="E436" s="542"/>
      <c r="F436" s="542"/>
    </row>
    <row r="437" spans="1:6">
      <c r="A437" s="539"/>
      <c r="B437" s="540"/>
      <c r="C437" s="541"/>
      <c r="D437" s="541"/>
      <c r="E437" s="542"/>
      <c r="F437" s="542"/>
    </row>
    <row r="438" spans="1:6">
      <c r="A438" s="539"/>
      <c r="B438" s="545"/>
      <c r="C438" s="546"/>
      <c r="D438" s="546"/>
      <c r="E438" s="542"/>
      <c r="F438" s="542"/>
    </row>
    <row r="439" spans="1:6">
      <c r="A439" s="539"/>
      <c r="B439" s="540"/>
      <c r="C439" s="541"/>
      <c r="D439" s="541"/>
      <c r="E439" s="542"/>
      <c r="F439" s="542"/>
    </row>
    <row r="440" spans="1:6">
      <c r="A440" s="539"/>
      <c r="B440" s="545"/>
      <c r="C440" s="546"/>
      <c r="D440" s="546"/>
      <c r="E440" s="542"/>
      <c r="F440" s="542"/>
    </row>
    <row r="441" spans="1:6">
      <c r="A441" s="539"/>
      <c r="B441" s="540"/>
      <c r="C441" s="541"/>
      <c r="D441" s="541"/>
      <c r="E441" s="542"/>
      <c r="F441" s="542"/>
    </row>
    <row r="442" spans="1:6">
      <c r="A442" s="539"/>
      <c r="B442" s="545"/>
      <c r="C442" s="546"/>
      <c r="D442" s="546"/>
      <c r="E442" s="542"/>
      <c r="F442" s="542"/>
    </row>
    <row r="443" spans="1:6">
      <c r="A443" s="539"/>
      <c r="B443" s="540"/>
      <c r="C443" s="541"/>
      <c r="D443" s="541"/>
      <c r="E443" s="542"/>
      <c r="F443" s="542"/>
    </row>
    <row r="444" spans="1:6">
      <c r="A444" s="539"/>
      <c r="B444" s="545"/>
      <c r="C444" s="546"/>
      <c r="D444" s="546"/>
      <c r="E444" s="542"/>
      <c r="F444" s="542"/>
    </row>
    <row r="445" spans="1:6">
      <c r="A445" s="539"/>
      <c r="B445" s="540"/>
      <c r="C445" s="541"/>
      <c r="D445" s="541"/>
      <c r="E445" s="542"/>
      <c r="F445" s="542"/>
    </row>
    <row r="446" spans="1:6">
      <c r="A446" s="539"/>
      <c r="B446" s="540"/>
      <c r="C446" s="541"/>
      <c r="D446" s="541"/>
      <c r="E446" s="542"/>
      <c r="F446" s="542"/>
    </row>
    <row r="447" spans="1:6">
      <c r="A447" s="539"/>
      <c r="B447" s="540"/>
      <c r="C447" s="541"/>
      <c r="D447" s="541"/>
      <c r="E447" s="542"/>
      <c r="F447" s="542"/>
    </row>
    <row r="448" spans="1:6">
      <c r="A448" s="539"/>
      <c r="B448" s="540"/>
      <c r="C448" s="541"/>
      <c r="D448" s="541"/>
      <c r="E448" s="542"/>
      <c r="F448" s="542"/>
    </row>
    <row r="449" spans="1:6">
      <c r="A449" s="539"/>
      <c r="B449" s="540"/>
      <c r="C449" s="541"/>
      <c r="D449" s="541"/>
      <c r="E449" s="542"/>
      <c r="F449" s="542"/>
    </row>
    <row r="450" spans="1:6">
      <c r="A450" s="550"/>
      <c r="B450" s="558"/>
      <c r="C450" s="551"/>
      <c r="D450" s="551"/>
      <c r="E450" s="552"/>
      <c r="F450" s="552"/>
    </row>
    <row r="451" spans="1:6">
      <c r="A451" s="559" t="s">
        <v>154</v>
      </c>
      <c r="B451" s="560"/>
      <c r="E451" s="562" t="s">
        <v>256</v>
      </c>
      <c r="F451" s="556">
        <f>SUM(F397:F450)</f>
        <v>0</v>
      </c>
    </row>
    <row r="452" spans="1:6">
      <c r="A452" s="533" t="s">
        <v>208</v>
      </c>
      <c r="B452" s="534" t="s">
        <v>209</v>
      </c>
      <c r="C452" s="534" t="s">
        <v>210</v>
      </c>
      <c r="D452" s="534" t="s">
        <v>211</v>
      </c>
      <c r="E452" s="535" t="s">
        <v>212</v>
      </c>
      <c r="F452" s="535" t="s">
        <v>164</v>
      </c>
    </row>
    <row r="453" spans="1:6">
      <c r="A453" s="262"/>
      <c r="B453" s="517"/>
      <c r="C453" s="263"/>
      <c r="D453" s="263"/>
      <c r="E453" s="537" t="s">
        <v>257</v>
      </c>
      <c r="F453" s="537" t="s">
        <v>257</v>
      </c>
    </row>
    <row r="454" spans="1:6">
      <c r="A454" s="539"/>
      <c r="B454" s="540"/>
      <c r="C454" s="541"/>
      <c r="D454" s="541"/>
      <c r="E454" s="542"/>
      <c r="F454" s="542"/>
    </row>
    <row r="455" spans="1:6">
      <c r="A455" s="539"/>
      <c r="B455" s="540"/>
      <c r="C455" s="541"/>
      <c r="D455" s="541"/>
      <c r="E455" s="542"/>
      <c r="F455" s="542"/>
    </row>
    <row r="456" spans="1:6">
      <c r="A456" s="539"/>
      <c r="B456" s="544"/>
      <c r="C456" s="541"/>
      <c r="D456" s="541"/>
      <c r="E456" s="542"/>
      <c r="F456" s="542"/>
    </row>
    <row r="457" spans="1:6">
      <c r="A457" s="539"/>
      <c r="B457" s="540"/>
      <c r="C457" s="541"/>
      <c r="D457" s="541"/>
      <c r="E457" s="542"/>
      <c r="F457" s="542"/>
    </row>
    <row r="458" spans="1:6">
      <c r="A458" s="539"/>
      <c r="B458" s="545"/>
      <c r="C458" s="546"/>
      <c r="D458" s="546"/>
      <c r="E458" s="542"/>
      <c r="F458" s="542"/>
    </row>
    <row r="459" spans="1:6">
      <c r="A459" s="539"/>
      <c r="B459" s="540"/>
      <c r="C459" s="541"/>
      <c r="D459" s="541"/>
      <c r="E459" s="542"/>
      <c r="F459" s="542"/>
    </row>
    <row r="460" spans="1:6">
      <c r="A460" s="539"/>
      <c r="B460" s="545"/>
      <c r="C460" s="546"/>
      <c r="D460" s="546"/>
      <c r="E460" s="542"/>
      <c r="F460" s="542"/>
    </row>
    <row r="461" spans="1:6">
      <c r="A461" s="539"/>
      <c r="B461" s="540"/>
      <c r="C461" s="541"/>
      <c r="D461" s="541"/>
      <c r="E461" s="542"/>
      <c r="F461" s="542"/>
    </row>
    <row r="462" spans="1:6">
      <c r="A462" s="539"/>
      <c r="B462" s="545"/>
      <c r="C462" s="546"/>
      <c r="D462" s="546"/>
      <c r="E462" s="542"/>
      <c r="F462" s="542"/>
    </row>
    <row r="463" spans="1:6">
      <c r="A463" s="539"/>
      <c r="B463" s="540"/>
      <c r="C463" s="541"/>
      <c r="D463" s="541"/>
      <c r="E463" s="542"/>
      <c r="F463" s="542"/>
    </row>
    <row r="464" spans="1:6">
      <c r="A464" s="539"/>
      <c r="B464" s="545"/>
      <c r="C464" s="546"/>
      <c r="D464" s="546"/>
      <c r="E464" s="542"/>
      <c r="F464" s="542"/>
    </row>
    <row r="465" spans="1:6">
      <c r="A465" s="539"/>
      <c r="B465" s="540"/>
      <c r="C465" s="541"/>
      <c r="D465" s="541"/>
      <c r="E465" s="542"/>
      <c r="F465" s="542"/>
    </row>
    <row r="466" spans="1:6">
      <c r="A466" s="539"/>
      <c r="B466" s="545"/>
      <c r="C466" s="546"/>
      <c r="D466" s="546"/>
      <c r="E466" s="542"/>
      <c r="F466" s="542"/>
    </row>
    <row r="467" spans="1:6">
      <c r="A467" s="539"/>
      <c r="B467" s="540"/>
      <c r="C467" s="541"/>
      <c r="D467" s="541"/>
      <c r="E467" s="542"/>
      <c r="F467" s="542"/>
    </row>
    <row r="468" spans="1:6">
      <c r="A468" s="539"/>
      <c r="B468" s="545"/>
      <c r="C468" s="546"/>
      <c r="D468" s="546"/>
      <c r="E468" s="542"/>
      <c r="F468" s="542"/>
    </row>
    <row r="469" spans="1:6">
      <c r="A469" s="539"/>
      <c r="B469" s="540"/>
      <c r="C469" s="541"/>
      <c r="D469" s="541"/>
      <c r="E469" s="542"/>
      <c r="F469" s="542"/>
    </row>
    <row r="470" spans="1:6">
      <c r="A470" s="539"/>
      <c r="B470" s="545"/>
      <c r="C470" s="546"/>
      <c r="D470" s="546"/>
      <c r="E470" s="542"/>
      <c r="F470" s="542"/>
    </row>
    <row r="471" spans="1:6">
      <c r="A471" s="539"/>
      <c r="B471" s="540"/>
      <c r="C471" s="541"/>
      <c r="D471" s="541"/>
      <c r="E471" s="542"/>
      <c r="F471" s="542"/>
    </row>
    <row r="472" spans="1:6">
      <c r="A472" s="539"/>
      <c r="B472" s="545"/>
      <c r="C472" s="546"/>
      <c r="D472" s="546"/>
      <c r="E472" s="542"/>
      <c r="F472" s="542"/>
    </row>
    <row r="473" spans="1:6">
      <c r="A473" s="539"/>
      <c r="B473" s="540"/>
      <c r="C473" s="541"/>
      <c r="D473" s="541"/>
      <c r="E473" s="542"/>
      <c r="F473" s="542"/>
    </row>
    <row r="474" spans="1:6">
      <c r="A474" s="539"/>
      <c r="B474" s="545"/>
      <c r="C474" s="546"/>
      <c r="D474" s="546"/>
      <c r="E474" s="542"/>
      <c r="F474" s="542"/>
    </row>
    <row r="475" spans="1:6">
      <c r="A475" s="539"/>
      <c r="B475" s="540"/>
      <c r="C475" s="541"/>
      <c r="D475" s="541"/>
      <c r="E475" s="542"/>
      <c r="F475" s="542"/>
    </row>
    <row r="476" spans="1:6">
      <c r="A476" s="539"/>
      <c r="B476" s="545"/>
      <c r="C476" s="546"/>
      <c r="D476" s="546"/>
      <c r="E476" s="542"/>
      <c r="F476" s="542"/>
    </row>
    <row r="477" spans="1:6">
      <c r="A477" s="539"/>
      <c r="B477" s="540"/>
      <c r="C477" s="541"/>
      <c r="D477" s="541"/>
      <c r="E477" s="542"/>
      <c r="F477" s="542"/>
    </row>
    <row r="478" spans="1:6">
      <c r="A478" s="539"/>
      <c r="B478" s="545"/>
      <c r="C478" s="546"/>
      <c r="D478" s="546"/>
      <c r="E478" s="542"/>
      <c r="F478" s="542"/>
    </row>
    <row r="479" spans="1:6">
      <c r="A479" s="539"/>
      <c r="B479" s="540"/>
      <c r="C479" s="541"/>
      <c r="D479" s="541"/>
      <c r="E479" s="542"/>
      <c r="F479" s="542"/>
    </row>
    <row r="480" spans="1:6">
      <c r="A480" s="539"/>
      <c r="B480" s="540"/>
      <c r="C480" s="541"/>
      <c r="D480" s="541"/>
      <c r="E480" s="542"/>
      <c r="F480" s="542"/>
    </row>
    <row r="481" spans="1:6">
      <c r="A481" s="539"/>
      <c r="B481" s="540"/>
      <c r="C481" s="541"/>
      <c r="D481" s="541"/>
      <c r="E481" s="542"/>
      <c r="F481" s="542"/>
    </row>
    <row r="482" spans="1:6">
      <c r="A482" s="539"/>
      <c r="B482" s="540"/>
      <c r="C482" s="541"/>
      <c r="D482" s="541"/>
      <c r="E482" s="542"/>
      <c r="F482" s="542"/>
    </row>
    <row r="483" spans="1:6">
      <c r="A483" s="539"/>
      <c r="B483" s="540"/>
      <c r="C483" s="541"/>
      <c r="D483" s="541"/>
      <c r="E483" s="542"/>
      <c r="F483" s="542"/>
    </row>
    <row r="484" spans="1:6">
      <c r="A484" s="539"/>
      <c r="B484" s="540"/>
      <c r="C484" s="541"/>
      <c r="D484" s="541"/>
      <c r="E484" s="542"/>
      <c r="F484" s="542"/>
    </row>
    <row r="485" spans="1:6">
      <c r="A485" s="539"/>
      <c r="B485" s="540"/>
      <c r="C485" s="541"/>
      <c r="D485" s="541"/>
      <c r="E485" s="542"/>
      <c r="F485" s="542"/>
    </row>
    <row r="486" spans="1:6">
      <c r="A486" s="539"/>
      <c r="B486" s="540"/>
      <c r="C486" s="541"/>
      <c r="D486" s="541"/>
      <c r="E486" s="542"/>
      <c r="F486" s="542"/>
    </row>
    <row r="487" spans="1:6">
      <c r="A487" s="539"/>
      <c r="B487" s="540"/>
      <c r="C487" s="541"/>
      <c r="D487" s="541"/>
      <c r="E487" s="542"/>
      <c r="F487" s="542"/>
    </row>
    <row r="488" spans="1:6">
      <c r="A488" s="539"/>
      <c r="B488" s="540"/>
      <c r="C488" s="541"/>
      <c r="D488" s="541"/>
      <c r="E488" s="542"/>
      <c r="F488" s="542"/>
    </row>
    <row r="489" spans="1:6">
      <c r="A489" s="539"/>
      <c r="B489" s="540"/>
      <c r="C489" s="541"/>
      <c r="D489" s="541"/>
      <c r="E489" s="542"/>
      <c r="F489" s="542"/>
    </row>
    <row r="490" spans="1:6">
      <c r="A490" s="539"/>
      <c r="B490" s="540"/>
      <c r="C490" s="541"/>
      <c r="D490" s="541"/>
      <c r="E490" s="542"/>
      <c r="F490" s="542"/>
    </row>
    <row r="491" spans="1:6">
      <c r="A491" s="539"/>
      <c r="B491" s="540"/>
      <c r="C491" s="541"/>
      <c r="D491" s="541"/>
      <c r="E491" s="542"/>
      <c r="F491" s="542"/>
    </row>
    <row r="492" spans="1:6">
      <c r="A492" s="539"/>
      <c r="B492" s="540"/>
      <c r="C492" s="541"/>
      <c r="D492" s="541"/>
      <c r="E492" s="542"/>
      <c r="F492" s="542"/>
    </row>
    <row r="493" spans="1:6">
      <c r="A493" s="539"/>
      <c r="B493" s="545"/>
      <c r="C493" s="546"/>
      <c r="D493" s="546"/>
      <c r="E493" s="542"/>
      <c r="F493" s="542"/>
    </row>
    <row r="494" spans="1:6">
      <c r="A494" s="539"/>
      <c r="B494" s="540"/>
      <c r="C494" s="541"/>
      <c r="D494" s="541"/>
      <c r="E494" s="542"/>
      <c r="F494" s="542"/>
    </row>
    <row r="495" spans="1:6">
      <c r="A495" s="539"/>
      <c r="B495" s="545"/>
      <c r="C495" s="546"/>
      <c r="D495" s="546"/>
      <c r="E495" s="542"/>
      <c r="F495" s="542"/>
    </row>
    <row r="496" spans="1:6">
      <c r="A496" s="539"/>
      <c r="B496" s="540"/>
      <c r="C496" s="541"/>
      <c r="D496" s="541"/>
      <c r="E496" s="542"/>
      <c r="F496" s="542"/>
    </row>
    <row r="497" spans="1:6">
      <c r="A497" s="539"/>
      <c r="B497" s="545"/>
      <c r="C497" s="546"/>
      <c r="D497" s="546"/>
      <c r="E497" s="542"/>
      <c r="F497" s="542"/>
    </row>
    <row r="498" spans="1:6">
      <c r="A498" s="539"/>
      <c r="B498" s="540"/>
      <c r="C498" s="541"/>
      <c r="D498" s="541"/>
      <c r="E498" s="542"/>
      <c r="F498" s="542"/>
    </row>
    <row r="499" spans="1:6">
      <c r="A499" s="539"/>
      <c r="B499" s="545"/>
      <c r="C499" s="546"/>
      <c r="D499" s="546"/>
      <c r="E499" s="542"/>
      <c r="F499" s="542"/>
    </row>
    <row r="500" spans="1:6">
      <c r="A500" s="539"/>
      <c r="B500" s="540"/>
      <c r="C500" s="541"/>
      <c r="D500" s="541"/>
      <c r="E500" s="542"/>
      <c r="F500" s="542"/>
    </row>
    <row r="501" spans="1:6">
      <c r="A501" s="539"/>
      <c r="B501" s="545"/>
      <c r="C501" s="546"/>
      <c r="D501" s="546"/>
      <c r="E501" s="542"/>
      <c r="F501" s="542"/>
    </row>
    <row r="502" spans="1:6">
      <c r="A502" s="539"/>
      <c r="B502" s="540"/>
      <c r="C502" s="541"/>
      <c r="D502" s="541"/>
      <c r="E502" s="542"/>
      <c r="F502" s="542"/>
    </row>
    <row r="503" spans="1:6">
      <c r="A503" s="539"/>
      <c r="B503" s="540"/>
      <c r="C503" s="541"/>
      <c r="D503" s="541"/>
      <c r="E503" s="542"/>
      <c r="F503" s="542"/>
    </row>
    <row r="504" spans="1:6">
      <c r="A504" s="539"/>
      <c r="B504" s="540"/>
      <c r="C504" s="541"/>
      <c r="D504" s="541"/>
      <c r="E504" s="542"/>
      <c r="F504" s="542"/>
    </row>
    <row r="505" spans="1:6">
      <c r="A505" s="539"/>
      <c r="B505" s="540"/>
      <c r="C505" s="541"/>
      <c r="D505" s="541"/>
      <c r="E505" s="542"/>
      <c r="F505" s="542"/>
    </row>
    <row r="506" spans="1:6">
      <c r="A506" s="539"/>
      <c r="B506" s="540"/>
      <c r="C506" s="541"/>
      <c r="D506" s="541"/>
      <c r="E506" s="542"/>
      <c r="F506" s="542"/>
    </row>
    <row r="507" spans="1:6">
      <c r="A507" s="550"/>
      <c r="B507" s="558"/>
      <c r="C507" s="551"/>
      <c r="D507" s="551"/>
      <c r="E507" s="552"/>
      <c r="F507" s="552"/>
    </row>
    <row r="508" spans="1:6">
      <c r="A508" s="559" t="s">
        <v>154</v>
      </c>
      <c r="B508" s="560"/>
      <c r="E508" s="562" t="s">
        <v>256</v>
      </c>
      <c r="F508" s="556">
        <f>SUM(F454:F507)</f>
        <v>0</v>
      </c>
    </row>
    <row r="509" spans="1:6">
      <c r="A509" s="533" t="s">
        <v>208</v>
      </c>
      <c r="B509" s="534" t="s">
        <v>209</v>
      </c>
      <c r="C509" s="534" t="s">
        <v>210</v>
      </c>
      <c r="D509" s="534" t="s">
        <v>211</v>
      </c>
      <c r="E509" s="535" t="s">
        <v>212</v>
      </c>
      <c r="F509" s="535" t="s">
        <v>164</v>
      </c>
    </row>
    <row r="510" spans="1:6">
      <c r="A510" s="262"/>
      <c r="B510" s="517"/>
      <c r="C510" s="263"/>
      <c r="D510" s="263"/>
      <c r="E510" s="537" t="s">
        <v>257</v>
      </c>
      <c r="F510" s="537" t="s">
        <v>257</v>
      </c>
    </row>
    <row r="511" spans="1:6">
      <c r="A511" s="539"/>
      <c r="B511" s="540"/>
      <c r="C511" s="541"/>
      <c r="D511" s="541"/>
      <c r="E511" s="542"/>
      <c r="F511" s="542"/>
    </row>
    <row r="512" spans="1:6">
      <c r="A512" s="539"/>
      <c r="B512" s="540"/>
      <c r="C512" s="541"/>
      <c r="D512" s="541"/>
      <c r="E512" s="542"/>
      <c r="F512" s="542"/>
    </row>
    <row r="513" spans="1:6">
      <c r="A513" s="539"/>
      <c r="B513" s="544"/>
      <c r="C513" s="541"/>
      <c r="D513" s="541"/>
      <c r="E513" s="542"/>
      <c r="F513" s="542"/>
    </row>
    <row r="514" spans="1:6">
      <c r="A514" s="539"/>
      <c r="B514" s="540"/>
      <c r="C514" s="541"/>
      <c r="D514" s="541"/>
      <c r="E514" s="542"/>
      <c r="F514" s="542"/>
    </row>
    <row r="515" spans="1:6">
      <c r="A515" s="539"/>
      <c r="B515" s="545"/>
      <c r="C515" s="546"/>
      <c r="D515" s="546"/>
      <c r="E515" s="542"/>
      <c r="F515" s="542"/>
    </row>
    <row r="516" spans="1:6">
      <c r="A516" s="539"/>
      <c r="B516" s="540"/>
      <c r="C516" s="541"/>
      <c r="D516" s="541"/>
      <c r="E516" s="542"/>
      <c r="F516" s="542"/>
    </row>
    <row r="517" spans="1:6">
      <c r="A517" s="539"/>
      <c r="B517" s="545"/>
      <c r="C517" s="546"/>
      <c r="D517" s="546"/>
      <c r="E517" s="542"/>
      <c r="F517" s="542"/>
    </row>
    <row r="518" spans="1:6">
      <c r="A518" s="539"/>
      <c r="B518" s="540"/>
      <c r="C518" s="541"/>
      <c r="D518" s="541"/>
      <c r="E518" s="542"/>
      <c r="F518" s="542"/>
    </row>
    <row r="519" spans="1:6">
      <c r="A519" s="539"/>
      <c r="B519" s="545"/>
      <c r="C519" s="546"/>
      <c r="D519" s="546"/>
      <c r="E519" s="542"/>
      <c r="F519" s="542"/>
    </row>
    <row r="520" spans="1:6">
      <c r="A520" s="539"/>
      <c r="B520" s="540"/>
      <c r="C520" s="541"/>
      <c r="D520" s="541"/>
      <c r="E520" s="542"/>
      <c r="F520" s="542"/>
    </row>
    <row r="521" spans="1:6">
      <c r="A521" s="539"/>
      <c r="B521" s="545"/>
      <c r="C521" s="546"/>
      <c r="D521" s="546"/>
      <c r="E521" s="542"/>
      <c r="F521" s="542"/>
    </row>
    <row r="522" spans="1:6">
      <c r="A522" s="539"/>
      <c r="B522" s="540"/>
      <c r="C522" s="541"/>
      <c r="D522" s="541"/>
      <c r="E522" s="542"/>
      <c r="F522" s="542"/>
    </row>
    <row r="523" spans="1:6">
      <c r="A523" s="539"/>
      <c r="B523" s="545"/>
      <c r="C523" s="546"/>
      <c r="D523" s="546"/>
      <c r="E523" s="542"/>
      <c r="F523" s="542"/>
    </row>
    <row r="524" spans="1:6">
      <c r="A524" s="539"/>
      <c r="B524" s="540"/>
      <c r="C524" s="541"/>
      <c r="D524" s="541"/>
      <c r="E524" s="542"/>
      <c r="F524" s="542"/>
    </row>
    <row r="525" spans="1:6">
      <c r="A525" s="539"/>
      <c r="B525" s="545"/>
      <c r="C525" s="546"/>
      <c r="D525" s="546"/>
      <c r="E525" s="542"/>
      <c r="F525" s="542"/>
    </row>
    <row r="526" spans="1:6">
      <c r="A526" s="539"/>
      <c r="B526" s="540"/>
      <c r="C526" s="541"/>
      <c r="D526" s="541"/>
      <c r="E526" s="542"/>
      <c r="F526" s="542"/>
    </row>
    <row r="527" spans="1:6">
      <c r="A527" s="539"/>
      <c r="B527" s="545"/>
      <c r="C527" s="546"/>
      <c r="D527" s="546"/>
      <c r="E527" s="542"/>
      <c r="F527" s="542"/>
    </row>
    <row r="528" spans="1:6">
      <c r="A528" s="539"/>
      <c r="B528" s="540"/>
      <c r="C528" s="541"/>
      <c r="D528" s="541"/>
      <c r="E528" s="542"/>
      <c r="F528" s="542"/>
    </row>
    <row r="529" spans="1:6">
      <c r="A529" s="539"/>
      <c r="B529" s="545"/>
      <c r="C529" s="546"/>
      <c r="D529" s="546"/>
      <c r="E529" s="542"/>
      <c r="F529" s="542"/>
    </row>
    <row r="530" spans="1:6">
      <c r="A530" s="539"/>
      <c r="B530" s="540"/>
      <c r="C530" s="541"/>
      <c r="D530" s="541"/>
      <c r="E530" s="542"/>
      <c r="F530" s="542"/>
    </row>
    <row r="531" spans="1:6">
      <c r="A531" s="539"/>
      <c r="B531" s="545"/>
      <c r="C531" s="546"/>
      <c r="D531" s="546"/>
      <c r="E531" s="542"/>
      <c r="F531" s="542"/>
    </row>
    <row r="532" spans="1:6">
      <c r="A532" s="539"/>
      <c r="B532" s="540"/>
      <c r="C532" s="541"/>
      <c r="D532" s="541"/>
      <c r="E532" s="542"/>
      <c r="F532" s="542"/>
    </row>
    <row r="533" spans="1:6">
      <c r="A533" s="539"/>
      <c r="B533" s="545"/>
      <c r="C533" s="546"/>
      <c r="D533" s="546"/>
      <c r="E533" s="542"/>
      <c r="F533" s="542"/>
    </row>
    <row r="534" spans="1:6">
      <c r="A534" s="539"/>
      <c r="B534" s="545"/>
      <c r="C534" s="546"/>
      <c r="D534" s="546"/>
      <c r="E534" s="542"/>
      <c r="F534" s="542"/>
    </row>
    <row r="535" spans="1:6">
      <c r="A535" s="539"/>
      <c r="B535" s="545"/>
      <c r="C535" s="546"/>
      <c r="D535" s="546"/>
      <c r="E535" s="542"/>
      <c r="F535" s="542"/>
    </row>
    <row r="536" spans="1:6">
      <c r="A536" s="539"/>
      <c r="B536" s="545"/>
      <c r="C536" s="546"/>
      <c r="D536" s="546"/>
      <c r="E536" s="542"/>
      <c r="F536" s="542"/>
    </row>
    <row r="537" spans="1:6">
      <c r="A537" s="539"/>
      <c r="B537" s="545"/>
      <c r="C537" s="546"/>
      <c r="D537" s="546"/>
      <c r="E537" s="542"/>
      <c r="F537" s="542"/>
    </row>
    <row r="538" spans="1:6">
      <c r="A538" s="539"/>
      <c r="B538" s="545"/>
      <c r="C538" s="546"/>
      <c r="D538" s="546"/>
      <c r="E538" s="542"/>
      <c r="F538" s="542"/>
    </row>
    <row r="539" spans="1:6">
      <c r="A539" s="539"/>
      <c r="B539" s="545"/>
      <c r="C539" s="546"/>
      <c r="D539" s="546"/>
      <c r="E539" s="542"/>
      <c r="F539" s="542"/>
    </row>
    <row r="540" spans="1:6">
      <c r="A540" s="539"/>
      <c r="B540" s="545"/>
      <c r="C540" s="546"/>
      <c r="D540" s="546"/>
      <c r="E540" s="542"/>
      <c r="F540" s="542"/>
    </row>
    <row r="541" spans="1:6">
      <c r="A541" s="539"/>
      <c r="B541" s="545"/>
      <c r="C541" s="546"/>
      <c r="D541" s="546"/>
      <c r="E541" s="542"/>
      <c r="F541" s="542"/>
    </row>
    <row r="542" spans="1:6">
      <c r="A542" s="539"/>
      <c r="B542" s="545"/>
      <c r="C542" s="546"/>
      <c r="D542" s="546"/>
      <c r="E542" s="542"/>
      <c r="F542" s="542"/>
    </row>
    <row r="543" spans="1:6">
      <c r="A543" s="539"/>
      <c r="B543" s="545"/>
      <c r="C543" s="546"/>
      <c r="D543" s="546"/>
      <c r="E543" s="542"/>
      <c r="F543" s="542"/>
    </row>
    <row r="544" spans="1:6">
      <c r="A544" s="539"/>
      <c r="B544" s="545"/>
      <c r="C544" s="546"/>
      <c r="D544" s="546"/>
      <c r="E544" s="542"/>
      <c r="F544" s="542"/>
    </row>
    <row r="545" spans="1:6">
      <c r="A545" s="539"/>
      <c r="B545" s="545"/>
      <c r="C545" s="546"/>
      <c r="D545" s="546"/>
      <c r="E545" s="542"/>
      <c r="F545" s="542"/>
    </row>
    <row r="546" spans="1:6">
      <c r="A546" s="539"/>
      <c r="B546" s="545"/>
      <c r="C546" s="546"/>
      <c r="D546" s="546"/>
      <c r="E546" s="542"/>
      <c r="F546" s="542"/>
    </row>
    <row r="547" spans="1:6">
      <c r="A547" s="539"/>
      <c r="B547" s="545"/>
      <c r="C547" s="546"/>
      <c r="D547" s="546"/>
      <c r="E547" s="542"/>
      <c r="F547" s="542"/>
    </row>
    <row r="548" spans="1:6">
      <c r="A548" s="539"/>
      <c r="B548" s="545"/>
      <c r="C548" s="546"/>
      <c r="D548" s="546"/>
      <c r="E548" s="542"/>
      <c r="F548" s="542"/>
    </row>
    <row r="549" spans="1:6">
      <c r="A549" s="539"/>
      <c r="B549" s="545"/>
      <c r="C549" s="546"/>
      <c r="D549" s="546"/>
      <c r="E549" s="542"/>
      <c r="F549" s="542"/>
    </row>
    <row r="550" spans="1:6">
      <c r="A550" s="539"/>
      <c r="B550" s="545"/>
      <c r="C550" s="546"/>
      <c r="D550" s="546"/>
      <c r="E550" s="542"/>
      <c r="F550" s="542"/>
    </row>
    <row r="551" spans="1:6">
      <c r="A551" s="539"/>
      <c r="B551" s="545"/>
      <c r="C551" s="546"/>
      <c r="D551" s="546"/>
      <c r="E551" s="542"/>
      <c r="F551" s="542"/>
    </row>
    <row r="552" spans="1:6">
      <c r="A552" s="539"/>
      <c r="B552" s="545"/>
      <c r="C552" s="546"/>
      <c r="D552" s="546"/>
      <c r="E552" s="542"/>
      <c r="F552" s="542"/>
    </row>
    <row r="553" spans="1:6">
      <c r="A553" s="539"/>
      <c r="B553" s="545"/>
      <c r="C553" s="546"/>
      <c r="D553" s="546"/>
      <c r="E553" s="542"/>
      <c r="F553" s="542"/>
    </row>
    <row r="554" spans="1:6">
      <c r="A554" s="539"/>
      <c r="B554" s="545"/>
      <c r="C554" s="546"/>
      <c r="D554" s="546"/>
      <c r="E554" s="542"/>
      <c r="F554" s="542"/>
    </row>
    <row r="555" spans="1:6">
      <c r="A555" s="539"/>
      <c r="B555" s="540"/>
      <c r="C555" s="541"/>
      <c r="D555" s="541"/>
      <c r="E555" s="542"/>
      <c r="F555" s="542"/>
    </row>
    <row r="556" spans="1:6">
      <c r="A556" s="539"/>
      <c r="B556" s="545"/>
      <c r="C556" s="546"/>
      <c r="D556" s="546"/>
      <c r="E556" s="542"/>
      <c r="F556" s="542"/>
    </row>
    <row r="557" spans="1:6">
      <c r="A557" s="539"/>
      <c r="B557" s="540"/>
      <c r="C557" s="541"/>
      <c r="D557" s="541"/>
      <c r="E557" s="542"/>
      <c r="F557" s="542"/>
    </row>
    <row r="558" spans="1:6">
      <c r="A558" s="539"/>
      <c r="B558" s="545"/>
      <c r="C558" s="546"/>
      <c r="D558" s="546"/>
      <c r="E558" s="542"/>
      <c r="F558" s="542"/>
    </row>
    <row r="559" spans="1:6">
      <c r="A559" s="539"/>
      <c r="B559" s="540"/>
      <c r="C559" s="541"/>
      <c r="D559" s="541"/>
      <c r="E559" s="542"/>
      <c r="F559" s="542"/>
    </row>
    <row r="560" spans="1:6">
      <c r="A560" s="539"/>
      <c r="B560" s="540"/>
      <c r="C560" s="541"/>
      <c r="D560" s="541"/>
      <c r="E560" s="542"/>
      <c r="F560" s="542"/>
    </row>
    <row r="561" spans="1:6">
      <c r="A561" s="539"/>
      <c r="B561" s="540"/>
      <c r="C561" s="541"/>
      <c r="D561" s="541"/>
      <c r="E561" s="542"/>
      <c r="F561" s="542"/>
    </row>
    <row r="562" spans="1:6">
      <c r="A562" s="539"/>
      <c r="B562" s="540"/>
      <c r="C562" s="541"/>
      <c r="D562" s="541"/>
      <c r="E562" s="542"/>
      <c r="F562" s="542"/>
    </row>
    <row r="563" spans="1:6">
      <c r="A563" s="539"/>
      <c r="B563" s="540"/>
      <c r="C563" s="541"/>
      <c r="D563" s="541"/>
      <c r="E563" s="542"/>
      <c r="F563" s="542"/>
    </row>
    <row r="564" spans="1:6">
      <c r="A564" s="550"/>
      <c r="B564" s="558"/>
      <c r="C564" s="551"/>
      <c r="D564" s="551"/>
      <c r="E564" s="552"/>
      <c r="F564" s="552"/>
    </row>
    <row r="565" spans="1:6">
      <c r="A565" s="559" t="s">
        <v>154</v>
      </c>
      <c r="B565" s="560"/>
      <c r="E565" s="562" t="s">
        <v>256</v>
      </c>
      <c r="F565" s="556">
        <f>SUM(F511:F564)</f>
        <v>0</v>
      </c>
    </row>
  </sheetData>
  <phoneticPr fontId="33" type="noConversion"/>
  <pageMargins left="0.59055118110236227" right="0.23622047244094491" top="1.1023622047244095" bottom="0.78740157480314965" header="0.35433070866141736" footer="0.51181102362204722"/>
  <pageSetup paperSize="9" scale="99" orientation="portrait" horizontalDpi="300" verticalDpi="300" r:id="rId1"/>
  <headerFooter alignWithMargins="0">
    <oddHeader>&amp;LPanta Contracting Ltd.&amp;C&amp;"Arial,Bold"Project Name.
Quotation Title.
Bill of Quantities&amp;R&amp;8&amp;D</oddHeader>
    <oddFooter>&amp;C&amp;9Page &amp;P</oddFooter>
  </headerFooter>
  <rowBreaks count="9" manualBreakCount="9">
    <brk id="56" max="5" man="1"/>
    <brk id="112" max="5" man="1"/>
    <brk id="168" max="5" man="1"/>
    <brk id="224" max="5" man="1"/>
    <brk id="280" max="16383" man="1"/>
    <brk id="337" max="5" man="1"/>
    <brk id="394" max="5" man="1"/>
    <brk id="451" max="5" man="1"/>
    <brk id="508" max="5"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67"/>
  <sheetViews>
    <sheetView workbookViewId="0"/>
  </sheetViews>
  <sheetFormatPr defaultRowHeight="13.2"/>
  <cols>
    <col min="1" max="1" width="8.33203125" style="563" customWidth="1"/>
    <col min="2" max="2" width="35.5546875" style="564" customWidth="1"/>
    <col min="3" max="3" width="6.33203125" style="600" customWidth="1"/>
    <col min="4" max="6" width="6.33203125" style="561" customWidth="1"/>
    <col min="7" max="7" width="6.44140625" style="561" customWidth="1"/>
    <col min="8" max="8" width="9" style="565" customWidth="1"/>
    <col min="9" max="9" width="8.6640625" style="566" customWidth="1"/>
    <col min="10" max="10" width="9" style="565" customWidth="1"/>
    <col min="11" max="11" width="8.6640625" style="566" customWidth="1"/>
    <col min="12" max="19" width="9.109375" style="536" customWidth="1"/>
    <col min="20" max="256" width="9.109375" style="536"/>
    <col min="257" max="257" width="8.33203125" style="536" customWidth="1"/>
    <col min="258" max="258" width="35.5546875" style="536" customWidth="1"/>
    <col min="259" max="262" width="6.33203125" style="536" customWidth="1"/>
    <col min="263" max="263" width="6.44140625" style="536" customWidth="1"/>
    <col min="264" max="264" width="9" style="536" customWidth="1"/>
    <col min="265" max="265" width="8.6640625" style="536" customWidth="1"/>
    <col min="266" max="275" width="0" style="536" hidden="1" customWidth="1"/>
    <col min="276" max="512" width="9.109375" style="536"/>
    <col min="513" max="513" width="8.33203125" style="536" customWidth="1"/>
    <col min="514" max="514" width="35.5546875" style="536" customWidth="1"/>
    <col min="515" max="518" width="6.33203125" style="536" customWidth="1"/>
    <col min="519" max="519" width="6.44140625" style="536" customWidth="1"/>
    <col min="520" max="520" width="9" style="536" customWidth="1"/>
    <col min="521" max="521" width="8.6640625" style="536" customWidth="1"/>
    <col min="522" max="531" width="0" style="536" hidden="1" customWidth="1"/>
    <col min="532" max="768" width="9.109375" style="536"/>
    <col min="769" max="769" width="8.33203125" style="536" customWidth="1"/>
    <col min="770" max="770" width="35.5546875" style="536" customWidth="1"/>
    <col min="771" max="774" width="6.33203125" style="536" customWidth="1"/>
    <col min="775" max="775" width="6.44140625" style="536" customWidth="1"/>
    <col min="776" max="776" width="9" style="536" customWidth="1"/>
    <col min="777" max="777" width="8.6640625" style="536" customWidth="1"/>
    <col min="778" max="787" width="0" style="536" hidden="1" customWidth="1"/>
    <col min="788" max="1024" width="9.109375" style="536"/>
    <col min="1025" max="1025" width="8.33203125" style="536" customWidth="1"/>
    <col min="1026" max="1026" width="35.5546875" style="536" customWidth="1"/>
    <col min="1027" max="1030" width="6.33203125" style="536" customWidth="1"/>
    <col min="1031" max="1031" width="6.44140625" style="536" customWidth="1"/>
    <col min="1032" max="1032" width="9" style="536" customWidth="1"/>
    <col min="1033" max="1033" width="8.6640625" style="536" customWidth="1"/>
    <col min="1034" max="1043" width="0" style="536" hidden="1" customWidth="1"/>
    <col min="1044" max="1280" width="9.109375" style="536"/>
    <col min="1281" max="1281" width="8.33203125" style="536" customWidth="1"/>
    <col min="1282" max="1282" width="35.5546875" style="536" customWidth="1"/>
    <col min="1283" max="1286" width="6.33203125" style="536" customWidth="1"/>
    <col min="1287" max="1287" width="6.44140625" style="536" customWidth="1"/>
    <col min="1288" max="1288" width="9" style="536" customWidth="1"/>
    <col min="1289" max="1289" width="8.6640625" style="536" customWidth="1"/>
    <col min="1290" max="1299" width="0" style="536" hidden="1" customWidth="1"/>
    <col min="1300" max="1536" width="9.109375" style="536"/>
    <col min="1537" max="1537" width="8.33203125" style="536" customWidth="1"/>
    <col min="1538" max="1538" width="35.5546875" style="536" customWidth="1"/>
    <col min="1539" max="1542" width="6.33203125" style="536" customWidth="1"/>
    <col min="1543" max="1543" width="6.44140625" style="536" customWidth="1"/>
    <col min="1544" max="1544" width="9" style="536" customWidth="1"/>
    <col min="1545" max="1545" width="8.6640625" style="536" customWidth="1"/>
    <col min="1546" max="1555" width="0" style="536" hidden="1" customWidth="1"/>
    <col min="1556" max="1792" width="9.109375" style="536"/>
    <col min="1793" max="1793" width="8.33203125" style="536" customWidth="1"/>
    <col min="1794" max="1794" width="35.5546875" style="536" customWidth="1"/>
    <col min="1795" max="1798" width="6.33203125" style="536" customWidth="1"/>
    <col min="1799" max="1799" width="6.44140625" style="536" customWidth="1"/>
    <col min="1800" max="1800" width="9" style="536" customWidth="1"/>
    <col min="1801" max="1801" width="8.6640625" style="536" customWidth="1"/>
    <col min="1802" max="1811" width="0" style="536" hidden="1" customWidth="1"/>
    <col min="1812" max="2048" width="9.109375" style="536"/>
    <col min="2049" max="2049" width="8.33203125" style="536" customWidth="1"/>
    <col min="2050" max="2050" width="35.5546875" style="536" customWidth="1"/>
    <col min="2051" max="2054" width="6.33203125" style="536" customWidth="1"/>
    <col min="2055" max="2055" width="6.44140625" style="536" customWidth="1"/>
    <col min="2056" max="2056" width="9" style="536" customWidth="1"/>
    <col min="2057" max="2057" width="8.6640625" style="536" customWidth="1"/>
    <col min="2058" max="2067" width="0" style="536" hidden="1" customWidth="1"/>
    <col min="2068" max="2304" width="9.109375" style="536"/>
    <col min="2305" max="2305" width="8.33203125" style="536" customWidth="1"/>
    <col min="2306" max="2306" width="35.5546875" style="536" customWidth="1"/>
    <col min="2307" max="2310" width="6.33203125" style="536" customWidth="1"/>
    <col min="2311" max="2311" width="6.44140625" style="536" customWidth="1"/>
    <col min="2312" max="2312" width="9" style="536" customWidth="1"/>
    <col min="2313" max="2313" width="8.6640625" style="536" customWidth="1"/>
    <col min="2314" max="2323" width="0" style="536" hidden="1" customWidth="1"/>
    <col min="2324" max="2560" width="9.109375" style="536"/>
    <col min="2561" max="2561" width="8.33203125" style="536" customWidth="1"/>
    <col min="2562" max="2562" width="35.5546875" style="536" customWidth="1"/>
    <col min="2563" max="2566" width="6.33203125" style="536" customWidth="1"/>
    <col min="2567" max="2567" width="6.44140625" style="536" customWidth="1"/>
    <col min="2568" max="2568" width="9" style="536" customWidth="1"/>
    <col min="2569" max="2569" width="8.6640625" style="536" customWidth="1"/>
    <col min="2570" max="2579" width="0" style="536" hidden="1" customWidth="1"/>
    <col min="2580" max="2816" width="9.109375" style="536"/>
    <col min="2817" max="2817" width="8.33203125" style="536" customWidth="1"/>
    <col min="2818" max="2818" width="35.5546875" style="536" customWidth="1"/>
    <col min="2819" max="2822" width="6.33203125" style="536" customWidth="1"/>
    <col min="2823" max="2823" width="6.44140625" style="536" customWidth="1"/>
    <col min="2824" max="2824" width="9" style="536" customWidth="1"/>
    <col min="2825" max="2825" width="8.6640625" style="536" customWidth="1"/>
    <col min="2826" max="2835" width="0" style="536" hidden="1" customWidth="1"/>
    <col min="2836" max="3072" width="9.109375" style="536"/>
    <col min="3073" max="3073" width="8.33203125" style="536" customWidth="1"/>
    <col min="3074" max="3074" width="35.5546875" style="536" customWidth="1"/>
    <col min="3075" max="3078" width="6.33203125" style="536" customWidth="1"/>
    <col min="3079" max="3079" width="6.44140625" style="536" customWidth="1"/>
    <col min="3080" max="3080" width="9" style="536" customWidth="1"/>
    <col min="3081" max="3081" width="8.6640625" style="536" customWidth="1"/>
    <col min="3082" max="3091" width="0" style="536" hidden="1" customWidth="1"/>
    <col min="3092" max="3328" width="9.109375" style="536"/>
    <col min="3329" max="3329" width="8.33203125" style="536" customWidth="1"/>
    <col min="3330" max="3330" width="35.5546875" style="536" customWidth="1"/>
    <col min="3331" max="3334" width="6.33203125" style="536" customWidth="1"/>
    <col min="3335" max="3335" width="6.44140625" style="536" customWidth="1"/>
    <col min="3336" max="3336" width="9" style="536" customWidth="1"/>
    <col min="3337" max="3337" width="8.6640625" style="536" customWidth="1"/>
    <col min="3338" max="3347" width="0" style="536" hidden="1" customWidth="1"/>
    <col min="3348" max="3584" width="9.109375" style="536"/>
    <col min="3585" max="3585" width="8.33203125" style="536" customWidth="1"/>
    <col min="3586" max="3586" width="35.5546875" style="536" customWidth="1"/>
    <col min="3587" max="3590" width="6.33203125" style="536" customWidth="1"/>
    <col min="3591" max="3591" width="6.44140625" style="536" customWidth="1"/>
    <col min="3592" max="3592" width="9" style="536" customWidth="1"/>
    <col min="3593" max="3593" width="8.6640625" style="536" customWidth="1"/>
    <col min="3594" max="3603" width="0" style="536" hidden="1" customWidth="1"/>
    <col min="3604" max="3840" width="9.109375" style="536"/>
    <col min="3841" max="3841" width="8.33203125" style="536" customWidth="1"/>
    <col min="3842" max="3842" width="35.5546875" style="536" customWidth="1"/>
    <col min="3843" max="3846" width="6.33203125" style="536" customWidth="1"/>
    <col min="3847" max="3847" width="6.44140625" style="536" customWidth="1"/>
    <col min="3848" max="3848" width="9" style="536" customWidth="1"/>
    <col min="3849" max="3849" width="8.6640625" style="536" customWidth="1"/>
    <col min="3850" max="3859" width="0" style="536" hidden="1" customWidth="1"/>
    <col min="3860" max="4096" width="9.109375" style="536"/>
    <col min="4097" max="4097" width="8.33203125" style="536" customWidth="1"/>
    <col min="4098" max="4098" width="35.5546875" style="536" customWidth="1"/>
    <col min="4099" max="4102" width="6.33203125" style="536" customWidth="1"/>
    <col min="4103" max="4103" width="6.44140625" style="536" customWidth="1"/>
    <col min="4104" max="4104" width="9" style="536" customWidth="1"/>
    <col min="4105" max="4105" width="8.6640625" style="536" customWidth="1"/>
    <col min="4106" max="4115" width="0" style="536" hidden="1" customWidth="1"/>
    <col min="4116" max="4352" width="9.109375" style="536"/>
    <col min="4353" max="4353" width="8.33203125" style="536" customWidth="1"/>
    <col min="4354" max="4354" width="35.5546875" style="536" customWidth="1"/>
    <col min="4355" max="4358" width="6.33203125" style="536" customWidth="1"/>
    <col min="4359" max="4359" width="6.44140625" style="536" customWidth="1"/>
    <col min="4360" max="4360" width="9" style="536" customWidth="1"/>
    <col min="4361" max="4361" width="8.6640625" style="536" customWidth="1"/>
    <col min="4362" max="4371" width="0" style="536" hidden="1" customWidth="1"/>
    <col min="4372" max="4608" width="9.109375" style="536"/>
    <col min="4609" max="4609" width="8.33203125" style="536" customWidth="1"/>
    <col min="4610" max="4610" width="35.5546875" style="536" customWidth="1"/>
    <col min="4611" max="4614" width="6.33203125" style="536" customWidth="1"/>
    <col min="4615" max="4615" width="6.44140625" style="536" customWidth="1"/>
    <col min="4616" max="4616" width="9" style="536" customWidth="1"/>
    <col min="4617" max="4617" width="8.6640625" style="536" customWidth="1"/>
    <col min="4618" max="4627" width="0" style="536" hidden="1" customWidth="1"/>
    <col min="4628" max="4864" width="9.109375" style="536"/>
    <col min="4865" max="4865" width="8.33203125" style="536" customWidth="1"/>
    <col min="4866" max="4866" width="35.5546875" style="536" customWidth="1"/>
    <col min="4867" max="4870" width="6.33203125" style="536" customWidth="1"/>
    <col min="4871" max="4871" width="6.44140625" style="536" customWidth="1"/>
    <col min="4872" max="4872" width="9" style="536" customWidth="1"/>
    <col min="4873" max="4873" width="8.6640625" style="536" customWidth="1"/>
    <col min="4874" max="4883" width="0" style="536" hidden="1" customWidth="1"/>
    <col min="4884" max="5120" width="9.109375" style="536"/>
    <col min="5121" max="5121" width="8.33203125" style="536" customWidth="1"/>
    <col min="5122" max="5122" width="35.5546875" style="536" customWidth="1"/>
    <col min="5123" max="5126" width="6.33203125" style="536" customWidth="1"/>
    <col min="5127" max="5127" width="6.44140625" style="536" customWidth="1"/>
    <col min="5128" max="5128" width="9" style="536" customWidth="1"/>
    <col min="5129" max="5129" width="8.6640625" style="536" customWidth="1"/>
    <col min="5130" max="5139" width="0" style="536" hidden="1" customWidth="1"/>
    <col min="5140" max="5376" width="9.109375" style="536"/>
    <col min="5377" max="5377" width="8.33203125" style="536" customWidth="1"/>
    <col min="5378" max="5378" width="35.5546875" style="536" customWidth="1"/>
    <col min="5379" max="5382" width="6.33203125" style="536" customWidth="1"/>
    <col min="5383" max="5383" width="6.44140625" style="536" customWidth="1"/>
    <col min="5384" max="5384" width="9" style="536" customWidth="1"/>
    <col min="5385" max="5385" width="8.6640625" style="536" customWidth="1"/>
    <col min="5386" max="5395" width="0" style="536" hidden="1" customWidth="1"/>
    <col min="5396" max="5632" width="9.109375" style="536"/>
    <col min="5633" max="5633" width="8.33203125" style="536" customWidth="1"/>
    <col min="5634" max="5634" width="35.5546875" style="536" customWidth="1"/>
    <col min="5635" max="5638" width="6.33203125" style="536" customWidth="1"/>
    <col min="5639" max="5639" width="6.44140625" style="536" customWidth="1"/>
    <col min="5640" max="5640" width="9" style="536" customWidth="1"/>
    <col min="5641" max="5641" width="8.6640625" style="536" customWidth="1"/>
    <col min="5642" max="5651" width="0" style="536" hidden="1" customWidth="1"/>
    <col min="5652" max="5888" width="9.109375" style="536"/>
    <col min="5889" max="5889" width="8.33203125" style="536" customWidth="1"/>
    <col min="5890" max="5890" width="35.5546875" style="536" customWidth="1"/>
    <col min="5891" max="5894" width="6.33203125" style="536" customWidth="1"/>
    <col min="5895" max="5895" width="6.44140625" style="536" customWidth="1"/>
    <col min="5896" max="5896" width="9" style="536" customWidth="1"/>
    <col min="5897" max="5897" width="8.6640625" style="536" customWidth="1"/>
    <col min="5898" max="5907" width="0" style="536" hidden="1" customWidth="1"/>
    <col min="5908" max="6144" width="9.109375" style="536"/>
    <col min="6145" max="6145" width="8.33203125" style="536" customWidth="1"/>
    <col min="6146" max="6146" width="35.5546875" style="536" customWidth="1"/>
    <col min="6147" max="6150" width="6.33203125" style="536" customWidth="1"/>
    <col min="6151" max="6151" width="6.44140625" style="536" customWidth="1"/>
    <col min="6152" max="6152" width="9" style="536" customWidth="1"/>
    <col min="6153" max="6153" width="8.6640625" style="536" customWidth="1"/>
    <col min="6154" max="6163" width="0" style="536" hidden="1" customWidth="1"/>
    <col min="6164" max="6400" width="9.109375" style="536"/>
    <col min="6401" max="6401" width="8.33203125" style="536" customWidth="1"/>
    <col min="6402" max="6402" width="35.5546875" style="536" customWidth="1"/>
    <col min="6403" max="6406" width="6.33203125" style="536" customWidth="1"/>
    <col min="6407" max="6407" width="6.44140625" style="536" customWidth="1"/>
    <col min="6408" max="6408" width="9" style="536" customWidth="1"/>
    <col min="6409" max="6409" width="8.6640625" style="536" customWidth="1"/>
    <col min="6410" max="6419" width="0" style="536" hidden="1" customWidth="1"/>
    <col min="6420" max="6656" width="9.109375" style="536"/>
    <col min="6657" max="6657" width="8.33203125" style="536" customWidth="1"/>
    <col min="6658" max="6658" width="35.5546875" style="536" customWidth="1"/>
    <col min="6659" max="6662" width="6.33203125" style="536" customWidth="1"/>
    <col min="6663" max="6663" width="6.44140625" style="536" customWidth="1"/>
    <col min="6664" max="6664" width="9" style="536" customWidth="1"/>
    <col min="6665" max="6665" width="8.6640625" style="536" customWidth="1"/>
    <col min="6666" max="6675" width="0" style="536" hidden="1" customWidth="1"/>
    <col min="6676" max="6912" width="9.109375" style="536"/>
    <col min="6913" max="6913" width="8.33203125" style="536" customWidth="1"/>
    <col min="6914" max="6914" width="35.5546875" style="536" customWidth="1"/>
    <col min="6915" max="6918" width="6.33203125" style="536" customWidth="1"/>
    <col min="6919" max="6919" width="6.44140625" style="536" customWidth="1"/>
    <col min="6920" max="6920" width="9" style="536" customWidth="1"/>
    <col min="6921" max="6921" width="8.6640625" style="536" customWidth="1"/>
    <col min="6922" max="6931" width="0" style="536" hidden="1" customWidth="1"/>
    <col min="6932" max="7168" width="9.109375" style="536"/>
    <col min="7169" max="7169" width="8.33203125" style="536" customWidth="1"/>
    <col min="7170" max="7170" width="35.5546875" style="536" customWidth="1"/>
    <col min="7171" max="7174" width="6.33203125" style="536" customWidth="1"/>
    <col min="7175" max="7175" width="6.44140625" style="536" customWidth="1"/>
    <col min="7176" max="7176" width="9" style="536" customWidth="1"/>
    <col min="7177" max="7177" width="8.6640625" style="536" customWidth="1"/>
    <col min="7178" max="7187" width="0" style="536" hidden="1" customWidth="1"/>
    <col min="7188" max="7424" width="9.109375" style="536"/>
    <col min="7425" max="7425" width="8.33203125" style="536" customWidth="1"/>
    <col min="7426" max="7426" width="35.5546875" style="536" customWidth="1"/>
    <col min="7427" max="7430" width="6.33203125" style="536" customWidth="1"/>
    <col min="7431" max="7431" width="6.44140625" style="536" customWidth="1"/>
    <col min="7432" max="7432" width="9" style="536" customWidth="1"/>
    <col min="7433" max="7433" width="8.6640625" style="536" customWidth="1"/>
    <col min="7434" max="7443" width="0" style="536" hidden="1" customWidth="1"/>
    <col min="7444" max="7680" width="9.109375" style="536"/>
    <col min="7681" max="7681" width="8.33203125" style="536" customWidth="1"/>
    <col min="7682" max="7682" width="35.5546875" style="536" customWidth="1"/>
    <col min="7683" max="7686" width="6.33203125" style="536" customWidth="1"/>
    <col min="7687" max="7687" width="6.44140625" style="536" customWidth="1"/>
    <col min="7688" max="7688" width="9" style="536" customWidth="1"/>
    <col min="7689" max="7689" width="8.6640625" style="536" customWidth="1"/>
    <col min="7690" max="7699" width="0" style="536" hidden="1" customWidth="1"/>
    <col min="7700" max="7936" width="9.109375" style="536"/>
    <col min="7937" max="7937" width="8.33203125" style="536" customWidth="1"/>
    <col min="7938" max="7938" width="35.5546875" style="536" customWidth="1"/>
    <col min="7939" max="7942" width="6.33203125" style="536" customWidth="1"/>
    <col min="7943" max="7943" width="6.44140625" style="536" customWidth="1"/>
    <col min="7944" max="7944" width="9" style="536" customWidth="1"/>
    <col min="7945" max="7945" width="8.6640625" style="536" customWidth="1"/>
    <col min="7946" max="7955" width="0" style="536" hidden="1" customWidth="1"/>
    <col min="7956" max="8192" width="9.109375" style="536"/>
    <col min="8193" max="8193" width="8.33203125" style="536" customWidth="1"/>
    <col min="8194" max="8194" width="35.5546875" style="536" customWidth="1"/>
    <col min="8195" max="8198" width="6.33203125" style="536" customWidth="1"/>
    <col min="8199" max="8199" width="6.44140625" style="536" customWidth="1"/>
    <col min="8200" max="8200" width="9" style="536" customWidth="1"/>
    <col min="8201" max="8201" width="8.6640625" style="536" customWidth="1"/>
    <col min="8202" max="8211" width="0" style="536" hidden="1" customWidth="1"/>
    <col min="8212" max="8448" width="9.109375" style="536"/>
    <col min="8449" max="8449" width="8.33203125" style="536" customWidth="1"/>
    <col min="8450" max="8450" width="35.5546875" style="536" customWidth="1"/>
    <col min="8451" max="8454" width="6.33203125" style="536" customWidth="1"/>
    <col min="8455" max="8455" width="6.44140625" style="536" customWidth="1"/>
    <col min="8456" max="8456" width="9" style="536" customWidth="1"/>
    <col min="8457" max="8457" width="8.6640625" style="536" customWidth="1"/>
    <col min="8458" max="8467" width="0" style="536" hidden="1" customWidth="1"/>
    <col min="8468" max="8704" width="9.109375" style="536"/>
    <col min="8705" max="8705" width="8.33203125" style="536" customWidth="1"/>
    <col min="8706" max="8706" width="35.5546875" style="536" customWidth="1"/>
    <col min="8707" max="8710" width="6.33203125" style="536" customWidth="1"/>
    <col min="8711" max="8711" width="6.44140625" style="536" customWidth="1"/>
    <col min="8712" max="8712" width="9" style="536" customWidth="1"/>
    <col min="8713" max="8713" width="8.6640625" style="536" customWidth="1"/>
    <col min="8714" max="8723" width="0" style="536" hidden="1" customWidth="1"/>
    <col min="8724" max="8960" width="9.109375" style="536"/>
    <col min="8961" max="8961" width="8.33203125" style="536" customWidth="1"/>
    <col min="8962" max="8962" width="35.5546875" style="536" customWidth="1"/>
    <col min="8963" max="8966" width="6.33203125" style="536" customWidth="1"/>
    <col min="8967" max="8967" width="6.44140625" style="536" customWidth="1"/>
    <col min="8968" max="8968" width="9" style="536" customWidth="1"/>
    <col min="8969" max="8969" width="8.6640625" style="536" customWidth="1"/>
    <col min="8970" max="8979" width="0" style="536" hidden="1" customWidth="1"/>
    <col min="8980" max="9216" width="9.109375" style="536"/>
    <col min="9217" max="9217" width="8.33203125" style="536" customWidth="1"/>
    <col min="9218" max="9218" width="35.5546875" style="536" customWidth="1"/>
    <col min="9219" max="9222" width="6.33203125" style="536" customWidth="1"/>
    <col min="9223" max="9223" width="6.44140625" style="536" customWidth="1"/>
    <col min="9224" max="9224" width="9" style="536" customWidth="1"/>
    <col min="9225" max="9225" width="8.6640625" style="536" customWidth="1"/>
    <col min="9226" max="9235" width="0" style="536" hidden="1" customWidth="1"/>
    <col min="9236" max="9472" width="9.109375" style="536"/>
    <col min="9473" max="9473" width="8.33203125" style="536" customWidth="1"/>
    <col min="9474" max="9474" width="35.5546875" style="536" customWidth="1"/>
    <col min="9475" max="9478" width="6.33203125" style="536" customWidth="1"/>
    <col min="9479" max="9479" width="6.44140625" style="536" customWidth="1"/>
    <col min="9480" max="9480" width="9" style="536" customWidth="1"/>
    <col min="9481" max="9481" width="8.6640625" style="536" customWidth="1"/>
    <col min="9482" max="9491" width="0" style="536" hidden="1" customWidth="1"/>
    <col min="9492" max="9728" width="9.109375" style="536"/>
    <col min="9729" max="9729" width="8.33203125" style="536" customWidth="1"/>
    <col min="9730" max="9730" width="35.5546875" style="536" customWidth="1"/>
    <col min="9731" max="9734" width="6.33203125" style="536" customWidth="1"/>
    <col min="9735" max="9735" width="6.44140625" style="536" customWidth="1"/>
    <col min="9736" max="9736" width="9" style="536" customWidth="1"/>
    <col min="9737" max="9737" width="8.6640625" style="536" customWidth="1"/>
    <col min="9738" max="9747" width="0" style="536" hidden="1" customWidth="1"/>
    <col min="9748" max="9984" width="9.109375" style="536"/>
    <col min="9985" max="9985" width="8.33203125" style="536" customWidth="1"/>
    <col min="9986" max="9986" width="35.5546875" style="536" customWidth="1"/>
    <col min="9987" max="9990" width="6.33203125" style="536" customWidth="1"/>
    <col min="9991" max="9991" width="6.44140625" style="536" customWidth="1"/>
    <col min="9992" max="9992" width="9" style="536" customWidth="1"/>
    <col min="9993" max="9993" width="8.6640625" style="536" customWidth="1"/>
    <col min="9994" max="10003" width="0" style="536" hidden="1" customWidth="1"/>
    <col min="10004" max="10240" width="9.109375" style="536"/>
    <col min="10241" max="10241" width="8.33203125" style="536" customWidth="1"/>
    <col min="10242" max="10242" width="35.5546875" style="536" customWidth="1"/>
    <col min="10243" max="10246" width="6.33203125" style="536" customWidth="1"/>
    <col min="10247" max="10247" width="6.44140625" style="536" customWidth="1"/>
    <col min="10248" max="10248" width="9" style="536" customWidth="1"/>
    <col min="10249" max="10249" width="8.6640625" style="536" customWidth="1"/>
    <col min="10250" max="10259" width="0" style="536" hidden="1" customWidth="1"/>
    <col min="10260" max="10496" width="9.109375" style="536"/>
    <col min="10497" max="10497" width="8.33203125" style="536" customWidth="1"/>
    <col min="10498" max="10498" width="35.5546875" style="536" customWidth="1"/>
    <col min="10499" max="10502" width="6.33203125" style="536" customWidth="1"/>
    <col min="10503" max="10503" width="6.44140625" style="536" customWidth="1"/>
    <col min="10504" max="10504" width="9" style="536" customWidth="1"/>
    <col min="10505" max="10505" width="8.6640625" style="536" customWidth="1"/>
    <col min="10506" max="10515" width="0" style="536" hidden="1" customWidth="1"/>
    <col min="10516" max="10752" width="9.109375" style="536"/>
    <col min="10753" max="10753" width="8.33203125" style="536" customWidth="1"/>
    <col min="10754" max="10754" width="35.5546875" style="536" customWidth="1"/>
    <col min="10755" max="10758" width="6.33203125" style="536" customWidth="1"/>
    <col min="10759" max="10759" width="6.44140625" style="536" customWidth="1"/>
    <col min="10760" max="10760" width="9" style="536" customWidth="1"/>
    <col min="10761" max="10761" width="8.6640625" style="536" customWidth="1"/>
    <col min="10762" max="10771" width="0" style="536" hidden="1" customWidth="1"/>
    <col min="10772" max="11008" width="9.109375" style="536"/>
    <col min="11009" max="11009" width="8.33203125" style="536" customWidth="1"/>
    <col min="11010" max="11010" width="35.5546875" style="536" customWidth="1"/>
    <col min="11011" max="11014" width="6.33203125" style="536" customWidth="1"/>
    <col min="11015" max="11015" width="6.44140625" style="536" customWidth="1"/>
    <col min="11016" max="11016" width="9" style="536" customWidth="1"/>
    <col min="11017" max="11017" width="8.6640625" style="536" customWidth="1"/>
    <col min="11018" max="11027" width="0" style="536" hidden="1" customWidth="1"/>
    <col min="11028" max="11264" width="9.109375" style="536"/>
    <col min="11265" max="11265" width="8.33203125" style="536" customWidth="1"/>
    <col min="11266" max="11266" width="35.5546875" style="536" customWidth="1"/>
    <col min="11267" max="11270" width="6.33203125" style="536" customWidth="1"/>
    <col min="11271" max="11271" width="6.44140625" style="536" customWidth="1"/>
    <col min="11272" max="11272" width="9" style="536" customWidth="1"/>
    <col min="11273" max="11273" width="8.6640625" style="536" customWidth="1"/>
    <col min="11274" max="11283" width="0" style="536" hidden="1" customWidth="1"/>
    <col min="11284" max="11520" width="9.109375" style="536"/>
    <col min="11521" max="11521" width="8.33203125" style="536" customWidth="1"/>
    <col min="11522" max="11522" width="35.5546875" style="536" customWidth="1"/>
    <col min="11523" max="11526" width="6.33203125" style="536" customWidth="1"/>
    <col min="11527" max="11527" width="6.44140625" style="536" customWidth="1"/>
    <col min="11528" max="11528" width="9" style="536" customWidth="1"/>
    <col min="11529" max="11529" width="8.6640625" style="536" customWidth="1"/>
    <col min="11530" max="11539" width="0" style="536" hidden="1" customWidth="1"/>
    <col min="11540" max="11776" width="9.109375" style="536"/>
    <col min="11777" max="11777" width="8.33203125" style="536" customWidth="1"/>
    <col min="11778" max="11778" width="35.5546875" style="536" customWidth="1"/>
    <col min="11779" max="11782" width="6.33203125" style="536" customWidth="1"/>
    <col min="11783" max="11783" width="6.44140625" style="536" customWidth="1"/>
    <col min="11784" max="11784" width="9" style="536" customWidth="1"/>
    <col min="11785" max="11785" width="8.6640625" style="536" customWidth="1"/>
    <col min="11786" max="11795" width="0" style="536" hidden="1" customWidth="1"/>
    <col min="11796" max="12032" width="9.109375" style="536"/>
    <col min="12033" max="12033" width="8.33203125" style="536" customWidth="1"/>
    <col min="12034" max="12034" width="35.5546875" style="536" customWidth="1"/>
    <col min="12035" max="12038" width="6.33203125" style="536" customWidth="1"/>
    <col min="12039" max="12039" width="6.44140625" style="536" customWidth="1"/>
    <col min="12040" max="12040" width="9" style="536" customWidth="1"/>
    <col min="12041" max="12041" width="8.6640625" style="536" customWidth="1"/>
    <col min="12042" max="12051" width="0" style="536" hidden="1" customWidth="1"/>
    <col min="12052" max="12288" width="9.109375" style="536"/>
    <col min="12289" max="12289" width="8.33203125" style="536" customWidth="1"/>
    <col min="12290" max="12290" width="35.5546875" style="536" customWidth="1"/>
    <col min="12291" max="12294" width="6.33203125" style="536" customWidth="1"/>
    <col min="12295" max="12295" width="6.44140625" style="536" customWidth="1"/>
    <col min="12296" max="12296" width="9" style="536" customWidth="1"/>
    <col min="12297" max="12297" width="8.6640625" style="536" customWidth="1"/>
    <col min="12298" max="12307" width="0" style="536" hidden="1" customWidth="1"/>
    <col min="12308" max="12544" width="9.109375" style="536"/>
    <col min="12545" max="12545" width="8.33203125" style="536" customWidth="1"/>
    <col min="12546" max="12546" width="35.5546875" style="536" customWidth="1"/>
    <col min="12547" max="12550" width="6.33203125" style="536" customWidth="1"/>
    <col min="12551" max="12551" width="6.44140625" style="536" customWidth="1"/>
    <col min="12552" max="12552" width="9" style="536" customWidth="1"/>
    <col min="12553" max="12553" width="8.6640625" style="536" customWidth="1"/>
    <col min="12554" max="12563" width="0" style="536" hidden="1" customWidth="1"/>
    <col min="12564" max="12800" width="9.109375" style="536"/>
    <col min="12801" max="12801" width="8.33203125" style="536" customWidth="1"/>
    <col min="12802" max="12802" width="35.5546875" style="536" customWidth="1"/>
    <col min="12803" max="12806" width="6.33203125" style="536" customWidth="1"/>
    <col min="12807" max="12807" width="6.44140625" style="536" customWidth="1"/>
    <col min="12808" max="12808" width="9" style="536" customWidth="1"/>
    <col min="12809" max="12809" width="8.6640625" style="536" customWidth="1"/>
    <col min="12810" max="12819" width="0" style="536" hidden="1" customWidth="1"/>
    <col min="12820" max="13056" width="9.109375" style="536"/>
    <col min="13057" max="13057" width="8.33203125" style="536" customWidth="1"/>
    <col min="13058" max="13058" width="35.5546875" style="536" customWidth="1"/>
    <col min="13059" max="13062" width="6.33203125" style="536" customWidth="1"/>
    <col min="13063" max="13063" width="6.44140625" style="536" customWidth="1"/>
    <col min="13064" max="13064" width="9" style="536" customWidth="1"/>
    <col min="13065" max="13065" width="8.6640625" style="536" customWidth="1"/>
    <col min="13066" max="13075" width="0" style="536" hidden="1" customWidth="1"/>
    <col min="13076" max="13312" width="9.109375" style="536"/>
    <col min="13313" max="13313" width="8.33203125" style="536" customWidth="1"/>
    <col min="13314" max="13314" width="35.5546875" style="536" customWidth="1"/>
    <col min="13315" max="13318" width="6.33203125" style="536" customWidth="1"/>
    <col min="13319" max="13319" width="6.44140625" style="536" customWidth="1"/>
    <col min="13320" max="13320" width="9" style="536" customWidth="1"/>
    <col min="13321" max="13321" width="8.6640625" style="536" customWidth="1"/>
    <col min="13322" max="13331" width="0" style="536" hidden="1" customWidth="1"/>
    <col min="13332" max="13568" width="9.109375" style="536"/>
    <col min="13569" max="13569" width="8.33203125" style="536" customWidth="1"/>
    <col min="13570" max="13570" width="35.5546875" style="536" customWidth="1"/>
    <col min="13571" max="13574" width="6.33203125" style="536" customWidth="1"/>
    <col min="13575" max="13575" width="6.44140625" style="536" customWidth="1"/>
    <col min="13576" max="13576" width="9" style="536" customWidth="1"/>
    <col min="13577" max="13577" width="8.6640625" style="536" customWidth="1"/>
    <col min="13578" max="13587" width="0" style="536" hidden="1" customWidth="1"/>
    <col min="13588" max="13824" width="9.109375" style="536"/>
    <col min="13825" max="13825" width="8.33203125" style="536" customWidth="1"/>
    <col min="13826" max="13826" width="35.5546875" style="536" customWidth="1"/>
    <col min="13827" max="13830" width="6.33203125" style="536" customWidth="1"/>
    <col min="13831" max="13831" width="6.44140625" style="536" customWidth="1"/>
    <col min="13832" max="13832" width="9" style="536" customWidth="1"/>
    <col min="13833" max="13833" width="8.6640625" style="536" customWidth="1"/>
    <col min="13834" max="13843" width="0" style="536" hidden="1" customWidth="1"/>
    <col min="13844" max="14080" width="9.109375" style="536"/>
    <col min="14081" max="14081" width="8.33203125" style="536" customWidth="1"/>
    <col min="14082" max="14082" width="35.5546875" style="536" customWidth="1"/>
    <col min="14083" max="14086" width="6.33203125" style="536" customWidth="1"/>
    <col min="14087" max="14087" width="6.44140625" style="536" customWidth="1"/>
    <col min="14088" max="14088" width="9" style="536" customWidth="1"/>
    <col min="14089" max="14089" width="8.6640625" style="536" customWidth="1"/>
    <col min="14090" max="14099" width="0" style="536" hidden="1" customWidth="1"/>
    <col min="14100" max="14336" width="9.109375" style="536"/>
    <col min="14337" max="14337" width="8.33203125" style="536" customWidth="1"/>
    <col min="14338" max="14338" width="35.5546875" style="536" customWidth="1"/>
    <col min="14339" max="14342" width="6.33203125" style="536" customWidth="1"/>
    <col min="14343" max="14343" width="6.44140625" style="536" customWidth="1"/>
    <col min="14344" max="14344" width="9" style="536" customWidth="1"/>
    <col min="14345" max="14345" width="8.6640625" style="536" customWidth="1"/>
    <col min="14346" max="14355" width="0" style="536" hidden="1" customWidth="1"/>
    <col min="14356" max="14592" width="9.109375" style="536"/>
    <col min="14593" max="14593" width="8.33203125" style="536" customWidth="1"/>
    <col min="14594" max="14594" width="35.5546875" style="536" customWidth="1"/>
    <col min="14595" max="14598" width="6.33203125" style="536" customWidth="1"/>
    <col min="14599" max="14599" width="6.44140625" style="536" customWidth="1"/>
    <col min="14600" max="14600" width="9" style="536" customWidth="1"/>
    <col min="14601" max="14601" width="8.6640625" style="536" customWidth="1"/>
    <col min="14602" max="14611" width="0" style="536" hidden="1" customWidth="1"/>
    <col min="14612" max="14848" width="9.109375" style="536"/>
    <col min="14849" max="14849" width="8.33203125" style="536" customWidth="1"/>
    <col min="14850" max="14850" width="35.5546875" style="536" customWidth="1"/>
    <col min="14851" max="14854" width="6.33203125" style="536" customWidth="1"/>
    <col min="14855" max="14855" width="6.44140625" style="536" customWidth="1"/>
    <col min="14856" max="14856" width="9" style="536" customWidth="1"/>
    <col min="14857" max="14857" width="8.6640625" style="536" customWidth="1"/>
    <col min="14858" max="14867" width="0" style="536" hidden="1" customWidth="1"/>
    <col min="14868" max="15104" width="9.109375" style="536"/>
    <col min="15105" max="15105" width="8.33203125" style="536" customWidth="1"/>
    <col min="15106" max="15106" width="35.5546875" style="536" customWidth="1"/>
    <col min="15107" max="15110" width="6.33203125" style="536" customWidth="1"/>
    <col min="15111" max="15111" width="6.44140625" style="536" customWidth="1"/>
    <col min="15112" max="15112" width="9" style="536" customWidth="1"/>
    <col min="15113" max="15113" width="8.6640625" style="536" customWidth="1"/>
    <col min="15114" max="15123" width="0" style="536" hidden="1" customWidth="1"/>
    <col min="15124" max="15360" width="9.109375" style="536"/>
    <col min="15361" max="15361" width="8.33203125" style="536" customWidth="1"/>
    <col min="15362" max="15362" width="35.5546875" style="536" customWidth="1"/>
    <col min="15363" max="15366" width="6.33203125" style="536" customWidth="1"/>
    <col min="15367" max="15367" width="6.44140625" style="536" customWidth="1"/>
    <col min="15368" max="15368" width="9" style="536" customWidth="1"/>
    <col min="15369" max="15369" width="8.6640625" style="536" customWidth="1"/>
    <col min="15370" max="15379" width="0" style="536" hidden="1" customWidth="1"/>
    <col min="15380" max="15616" width="9.109375" style="536"/>
    <col min="15617" max="15617" width="8.33203125" style="536" customWidth="1"/>
    <col min="15618" max="15618" width="35.5546875" style="536" customWidth="1"/>
    <col min="15619" max="15622" width="6.33203125" style="536" customWidth="1"/>
    <col min="15623" max="15623" width="6.44140625" style="536" customWidth="1"/>
    <col min="15624" max="15624" width="9" style="536" customWidth="1"/>
    <col min="15625" max="15625" width="8.6640625" style="536" customWidth="1"/>
    <col min="15626" max="15635" width="0" style="536" hidden="1" customWidth="1"/>
    <col min="15636" max="15872" width="9.109375" style="536"/>
    <col min="15873" max="15873" width="8.33203125" style="536" customWidth="1"/>
    <col min="15874" max="15874" width="35.5546875" style="536" customWidth="1"/>
    <col min="15875" max="15878" width="6.33203125" style="536" customWidth="1"/>
    <col min="15879" max="15879" width="6.44140625" style="536" customWidth="1"/>
    <col min="15880" max="15880" width="9" style="536" customWidth="1"/>
    <col min="15881" max="15881" width="8.6640625" style="536" customWidth="1"/>
    <col min="15882" max="15891" width="0" style="536" hidden="1" customWidth="1"/>
    <col min="15892" max="16128" width="9.109375" style="536"/>
    <col min="16129" max="16129" width="8.33203125" style="536" customWidth="1"/>
    <col min="16130" max="16130" width="35.5546875" style="536" customWidth="1"/>
    <col min="16131" max="16134" width="6.33203125" style="536" customWidth="1"/>
    <col min="16135" max="16135" width="6.44140625" style="536" customWidth="1"/>
    <col min="16136" max="16136" width="9" style="536" customWidth="1"/>
    <col min="16137" max="16137" width="8.6640625" style="536" customWidth="1"/>
    <col min="16138" max="16147" width="0" style="536" hidden="1" customWidth="1"/>
    <col min="16148" max="16384" width="9.109375" style="536"/>
  </cols>
  <sheetData>
    <row r="1" spans="1:23" ht="16.5" customHeight="1">
      <c r="A1" s="533" t="s">
        <v>143</v>
      </c>
      <c r="B1" s="567" t="s">
        <v>209</v>
      </c>
      <c r="C1" s="1107" t="s">
        <v>210</v>
      </c>
      <c r="D1" s="1108"/>
      <c r="E1" s="1108"/>
      <c r="F1" s="1109"/>
      <c r="G1" s="568" t="s">
        <v>211</v>
      </c>
      <c r="H1" s="535" t="s">
        <v>212</v>
      </c>
      <c r="I1" s="535" t="s">
        <v>164</v>
      </c>
      <c r="J1" s="603" t="s">
        <v>299</v>
      </c>
      <c r="K1" s="603" t="s">
        <v>301</v>
      </c>
    </row>
    <row r="2" spans="1:23" s="538" customFormat="1">
      <c r="A2" s="569"/>
      <c r="B2" s="570"/>
      <c r="C2" s="571" t="s">
        <v>196</v>
      </c>
      <c r="D2" s="572" t="s">
        <v>192</v>
      </c>
      <c r="E2" s="572" t="s">
        <v>197</v>
      </c>
      <c r="F2" s="573" t="s">
        <v>198</v>
      </c>
      <c r="G2" s="574"/>
      <c r="H2" s="537" t="s">
        <v>257</v>
      </c>
      <c r="I2" s="537" t="s">
        <v>257</v>
      </c>
      <c r="J2" s="604" t="s">
        <v>300</v>
      </c>
      <c r="K2" s="604" t="s">
        <v>300</v>
      </c>
    </row>
    <row r="3" spans="1:23" s="538" customFormat="1">
      <c r="A3" s="539"/>
      <c r="B3" s="575"/>
      <c r="C3" s="576"/>
      <c r="D3" s="541"/>
      <c r="E3" s="541"/>
      <c r="F3" s="577"/>
      <c r="G3" s="578"/>
      <c r="H3" s="542"/>
      <c r="I3" s="542"/>
      <c r="J3" s="542"/>
      <c r="K3" s="542"/>
      <c r="U3" s="543"/>
      <c r="W3" s="543"/>
    </row>
    <row r="4" spans="1:23" s="543" customFormat="1">
      <c r="A4" s="539"/>
      <c r="B4" s="579"/>
      <c r="C4" s="576"/>
      <c r="D4" s="541"/>
      <c r="E4" s="541"/>
      <c r="F4" s="577"/>
      <c r="G4" s="578"/>
      <c r="H4" s="542"/>
      <c r="I4" s="542"/>
      <c r="J4" s="542"/>
      <c r="K4" s="542"/>
    </row>
    <row r="5" spans="1:23" s="543" customFormat="1">
      <c r="A5" s="539"/>
      <c r="B5" s="580"/>
      <c r="C5" s="581"/>
      <c r="D5" s="582"/>
      <c r="E5" s="582"/>
      <c r="F5" s="583"/>
      <c r="G5" s="578"/>
      <c r="H5" s="542"/>
      <c r="I5" s="542"/>
      <c r="J5" s="542"/>
      <c r="K5" s="542"/>
    </row>
    <row r="6" spans="1:23" s="543" customFormat="1">
      <c r="A6" s="539"/>
      <c r="B6" s="579"/>
      <c r="C6" s="576"/>
      <c r="D6" s="541"/>
      <c r="E6" s="541"/>
      <c r="F6" s="577"/>
      <c r="G6" s="578"/>
      <c r="H6" s="542"/>
      <c r="I6" s="542"/>
      <c r="J6" s="542"/>
      <c r="K6" s="542"/>
    </row>
    <row r="7" spans="1:23" s="543" customFormat="1">
      <c r="A7" s="539"/>
      <c r="B7" s="584"/>
      <c r="C7" s="585"/>
      <c r="D7" s="546"/>
      <c r="E7" s="546"/>
      <c r="F7" s="586"/>
      <c r="G7" s="587"/>
      <c r="H7" s="542"/>
      <c r="I7" s="542"/>
      <c r="J7" s="542"/>
      <c r="K7" s="542"/>
    </row>
    <row r="8" spans="1:23" s="543" customFormat="1">
      <c r="A8" s="539"/>
      <c r="B8" s="579"/>
      <c r="C8" s="576"/>
      <c r="D8" s="541"/>
      <c r="E8" s="541"/>
      <c r="F8" s="577"/>
      <c r="G8" s="578"/>
      <c r="H8" s="542"/>
      <c r="I8" s="542"/>
      <c r="J8" s="542"/>
      <c r="K8" s="542"/>
    </row>
    <row r="9" spans="1:23" s="543" customFormat="1">
      <c r="A9" s="539"/>
      <c r="B9" s="584"/>
      <c r="C9" s="585"/>
      <c r="D9" s="546"/>
      <c r="E9" s="546"/>
      <c r="F9" s="586"/>
      <c r="G9" s="587"/>
      <c r="H9" s="542"/>
      <c r="I9" s="542"/>
      <c r="J9" s="542"/>
      <c r="K9" s="542"/>
    </row>
    <row r="10" spans="1:23" s="543" customFormat="1">
      <c r="A10" s="539"/>
      <c r="B10" s="584"/>
      <c r="C10" s="576"/>
      <c r="D10" s="541"/>
      <c r="E10" s="541"/>
      <c r="F10" s="577"/>
      <c r="G10" s="578"/>
      <c r="H10" s="542"/>
      <c r="I10" s="542"/>
      <c r="J10" s="542"/>
      <c r="K10" s="542"/>
    </row>
    <row r="11" spans="1:23" s="547" customFormat="1" ht="22.65" customHeight="1">
      <c r="A11" s="531"/>
      <c r="B11" s="588"/>
      <c r="C11" s="585"/>
      <c r="D11" s="546"/>
      <c r="E11" s="546"/>
      <c r="F11" s="586"/>
      <c r="G11" s="587"/>
      <c r="H11" s="542"/>
      <c r="I11" s="542"/>
      <c r="J11" s="542"/>
      <c r="K11" s="542"/>
    </row>
    <row r="12" spans="1:23" s="543" customFormat="1">
      <c r="A12" s="539"/>
      <c r="B12" s="579"/>
      <c r="C12" s="576"/>
      <c r="D12" s="541"/>
      <c r="E12" s="541"/>
      <c r="F12" s="577"/>
      <c r="G12" s="578"/>
      <c r="H12" s="542"/>
      <c r="I12" s="542"/>
      <c r="J12" s="542"/>
      <c r="K12" s="542"/>
    </row>
    <row r="13" spans="1:23" s="543" customFormat="1">
      <c r="A13" s="539"/>
      <c r="B13" s="579"/>
      <c r="C13" s="585"/>
      <c r="D13" s="546"/>
      <c r="E13" s="546"/>
      <c r="F13" s="586"/>
      <c r="G13" s="587"/>
      <c r="H13" s="542"/>
      <c r="I13" s="542"/>
      <c r="J13" s="542"/>
      <c r="K13" s="542"/>
    </row>
    <row r="14" spans="1:23" s="543" customFormat="1">
      <c r="A14" s="539"/>
      <c r="B14" s="575"/>
      <c r="C14" s="576"/>
      <c r="D14" s="541"/>
      <c r="E14" s="541"/>
      <c r="F14" s="577"/>
      <c r="G14" s="578"/>
      <c r="H14" s="542"/>
      <c r="I14" s="542"/>
      <c r="J14" s="542"/>
      <c r="K14" s="542"/>
    </row>
    <row r="15" spans="1:23" s="547" customFormat="1">
      <c r="A15" s="539"/>
      <c r="B15" s="579"/>
      <c r="C15" s="585"/>
      <c r="D15" s="546"/>
      <c r="E15" s="546"/>
      <c r="F15" s="586"/>
      <c r="G15" s="587"/>
      <c r="H15" s="542"/>
      <c r="I15" s="542"/>
      <c r="J15" s="542"/>
      <c r="K15" s="542"/>
    </row>
    <row r="16" spans="1:23" s="547" customFormat="1">
      <c r="A16" s="539"/>
      <c r="B16" s="575"/>
      <c r="C16" s="576"/>
      <c r="D16" s="541"/>
      <c r="E16" s="541"/>
      <c r="F16" s="577"/>
      <c r="G16" s="578"/>
      <c r="H16" s="542"/>
      <c r="I16" s="542"/>
      <c r="J16" s="542"/>
      <c r="K16" s="542"/>
    </row>
    <row r="17" spans="1:11" s="547" customFormat="1">
      <c r="A17" s="539"/>
      <c r="B17" s="579"/>
      <c r="C17" s="585"/>
      <c r="D17" s="546"/>
      <c r="E17" s="546"/>
      <c r="F17" s="586"/>
      <c r="G17" s="587"/>
      <c r="H17" s="542"/>
      <c r="I17" s="542"/>
      <c r="J17" s="542"/>
      <c r="K17" s="542"/>
    </row>
    <row r="18" spans="1:11" s="547" customFormat="1">
      <c r="A18" s="539"/>
      <c r="B18" s="575"/>
      <c r="C18" s="576"/>
      <c r="D18" s="541"/>
      <c r="E18" s="541"/>
      <c r="F18" s="577"/>
      <c r="G18" s="578"/>
      <c r="H18" s="542"/>
      <c r="I18" s="542"/>
      <c r="J18" s="542"/>
      <c r="K18" s="542"/>
    </row>
    <row r="19" spans="1:11" s="547" customFormat="1">
      <c r="A19" s="539"/>
      <c r="B19" s="579"/>
      <c r="C19" s="585"/>
      <c r="D19" s="546"/>
      <c r="E19" s="546"/>
      <c r="F19" s="586"/>
      <c r="G19" s="587"/>
      <c r="H19" s="542"/>
      <c r="I19" s="542"/>
      <c r="J19" s="542"/>
      <c r="K19" s="542"/>
    </row>
    <row r="20" spans="1:11" s="547" customFormat="1">
      <c r="A20" s="539"/>
      <c r="B20" s="575"/>
      <c r="C20" s="576"/>
      <c r="D20" s="541"/>
      <c r="E20" s="541"/>
      <c r="F20" s="577"/>
      <c r="G20" s="578"/>
      <c r="H20" s="542"/>
      <c r="I20" s="542"/>
      <c r="J20" s="542"/>
      <c r="K20" s="542"/>
    </row>
    <row r="21" spans="1:11" s="547" customFormat="1">
      <c r="A21" s="539"/>
      <c r="B21" s="579"/>
      <c r="C21" s="585"/>
      <c r="D21" s="546"/>
      <c r="E21" s="546"/>
      <c r="F21" s="586"/>
      <c r="G21" s="587"/>
      <c r="H21" s="542"/>
      <c r="I21" s="542"/>
      <c r="J21" s="542"/>
      <c r="K21" s="542"/>
    </row>
    <row r="22" spans="1:11" s="547" customFormat="1">
      <c r="A22" s="539"/>
      <c r="B22" s="575"/>
      <c r="C22" s="576"/>
      <c r="D22" s="541"/>
      <c r="E22" s="541"/>
      <c r="F22" s="577"/>
      <c r="G22" s="578"/>
      <c r="H22" s="542"/>
      <c r="I22" s="542"/>
      <c r="J22" s="542"/>
      <c r="K22" s="542"/>
    </row>
    <row r="23" spans="1:11" s="547" customFormat="1">
      <c r="A23" s="539"/>
      <c r="B23" s="579"/>
      <c r="C23" s="585"/>
      <c r="D23" s="546"/>
      <c r="E23" s="546"/>
      <c r="F23" s="586"/>
      <c r="G23" s="587"/>
      <c r="H23" s="542"/>
      <c r="I23" s="542"/>
      <c r="J23" s="542"/>
      <c r="K23" s="542"/>
    </row>
    <row r="24" spans="1:11" s="547" customFormat="1">
      <c r="A24" s="539"/>
      <c r="B24" s="575"/>
      <c r="C24" s="576"/>
      <c r="D24" s="541"/>
      <c r="E24" s="541"/>
      <c r="F24" s="577"/>
      <c r="G24" s="578"/>
      <c r="H24" s="542"/>
      <c r="I24" s="542"/>
      <c r="J24" s="542"/>
      <c r="K24" s="542"/>
    </row>
    <row r="25" spans="1:11" s="547" customFormat="1">
      <c r="A25" s="539"/>
      <c r="B25" s="584"/>
      <c r="C25" s="585"/>
      <c r="D25" s="546"/>
      <c r="E25" s="546"/>
      <c r="F25" s="586"/>
      <c r="G25" s="587"/>
      <c r="H25" s="542"/>
      <c r="I25" s="542"/>
      <c r="J25" s="542"/>
      <c r="K25" s="542"/>
    </row>
    <row r="26" spans="1:11" s="547" customFormat="1" ht="22.65" customHeight="1">
      <c r="A26" s="531"/>
      <c r="B26" s="589"/>
      <c r="C26" s="576"/>
      <c r="D26" s="541"/>
      <c r="E26" s="541"/>
      <c r="F26" s="577"/>
      <c r="G26" s="578"/>
      <c r="H26" s="542"/>
      <c r="I26" s="542"/>
      <c r="J26" s="542"/>
      <c r="K26" s="542"/>
    </row>
    <row r="27" spans="1:11" s="547" customFormat="1">
      <c r="A27" s="539"/>
      <c r="B27" s="584"/>
      <c r="C27" s="585"/>
      <c r="D27" s="546"/>
      <c r="E27" s="546"/>
      <c r="F27" s="586"/>
      <c r="G27" s="587"/>
      <c r="H27" s="542"/>
      <c r="I27" s="542"/>
      <c r="J27" s="542"/>
      <c r="K27" s="542"/>
    </row>
    <row r="28" spans="1:11" s="547" customFormat="1">
      <c r="A28" s="539"/>
      <c r="B28" s="575"/>
      <c r="C28" s="576"/>
      <c r="D28" s="541"/>
      <c r="E28" s="541"/>
      <c r="F28" s="577"/>
      <c r="G28" s="578"/>
      <c r="H28" s="542"/>
      <c r="I28" s="542"/>
      <c r="J28" s="542"/>
      <c r="K28" s="542"/>
    </row>
    <row r="29" spans="1:11" s="547" customFormat="1" ht="22.65" customHeight="1">
      <c r="A29" s="531"/>
      <c r="B29" s="588"/>
      <c r="C29" s="585"/>
      <c r="D29" s="546"/>
      <c r="E29" s="546"/>
      <c r="F29" s="586"/>
      <c r="G29" s="587"/>
      <c r="H29" s="542"/>
      <c r="I29" s="542"/>
      <c r="J29" s="542"/>
      <c r="K29" s="542"/>
    </row>
    <row r="30" spans="1:11" s="547" customFormat="1">
      <c r="A30" s="539"/>
      <c r="B30" s="575"/>
      <c r="C30" s="576"/>
      <c r="D30" s="541"/>
      <c r="E30" s="541"/>
      <c r="F30" s="577"/>
      <c r="G30" s="578"/>
      <c r="H30" s="542"/>
      <c r="I30" s="542"/>
      <c r="J30" s="542"/>
      <c r="K30" s="542"/>
    </row>
    <row r="31" spans="1:11" s="547" customFormat="1">
      <c r="A31" s="539"/>
      <c r="B31" s="579"/>
      <c r="C31" s="585"/>
      <c r="D31" s="546"/>
      <c r="E31" s="546"/>
      <c r="F31" s="586"/>
      <c r="G31" s="587"/>
      <c r="H31" s="542"/>
      <c r="I31" s="542"/>
      <c r="J31" s="542"/>
      <c r="K31" s="542"/>
    </row>
    <row r="32" spans="1:11" s="547" customFormat="1">
      <c r="A32" s="539"/>
      <c r="B32" s="579"/>
      <c r="C32" s="585"/>
      <c r="D32" s="546"/>
      <c r="E32" s="546"/>
      <c r="F32" s="586"/>
      <c r="G32" s="587"/>
      <c r="H32" s="542"/>
      <c r="I32" s="542"/>
      <c r="J32" s="542"/>
      <c r="K32" s="542"/>
    </row>
    <row r="33" spans="1:11" s="547" customFormat="1">
      <c r="A33" s="539"/>
      <c r="B33" s="579"/>
      <c r="C33" s="585"/>
      <c r="D33" s="546"/>
      <c r="E33" s="546"/>
      <c r="F33" s="586"/>
      <c r="G33" s="587"/>
      <c r="H33" s="542"/>
      <c r="I33" s="542"/>
      <c r="J33" s="542"/>
      <c r="K33" s="542"/>
    </row>
    <row r="34" spans="1:11" s="547" customFormat="1">
      <c r="A34" s="539"/>
      <c r="B34" s="579"/>
      <c r="C34" s="585"/>
      <c r="D34" s="546"/>
      <c r="E34" s="546"/>
      <c r="F34" s="586"/>
      <c r="G34" s="587"/>
      <c r="H34" s="542"/>
      <c r="I34" s="542"/>
      <c r="J34" s="542"/>
      <c r="K34" s="542"/>
    </row>
    <row r="35" spans="1:11" s="547" customFormat="1">
      <c r="A35" s="539"/>
      <c r="B35" s="579"/>
      <c r="C35" s="585"/>
      <c r="D35" s="546"/>
      <c r="E35" s="546"/>
      <c r="F35" s="586"/>
      <c r="G35" s="587"/>
      <c r="H35" s="542"/>
      <c r="I35" s="542"/>
      <c r="J35" s="542"/>
      <c r="K35" s="542"/>
    </row>
    <row r="36" spans="1:11" s="547" customFormat="1">
      <c r="A36" s="539"/>
      <c r="B36" s="579"/>
      <c r="C36" s="585"/>
      <c r="D36" s="546"/>
      <c r="E36" s="546"/>
      <c r="F36" s="586"/>
      <c r="G36" s="587"/>
      <c r="H36" s="542"/>
      <c r="I36" s="542"/>
      <c r="J36" s="542"/>
      <c r="K36" s="542"/>
    </row>
    <row r="37" spans="1:11" s="547" customFormat="1">
      <c r="A37" s="539"/>
      <c r="B37" s="579"/>
      <c r="C37" s="585"/>
      <c r="D37" s="546"/>
      <c r="E37" s="546"/>
      <c r="F37" s="586"/>
      <c r="G37" s="587"/>
      <c r="H37" s="542"/>
      <c r="I37" s="542"/>
      <c r="J37" s="542"/>
      <c r="K37" s="542"/>
    </row>
    <row r="38" spans="1:11" s="547" customFormat="1">
      <c r="A38" s="539"/>
      <c r="B38" s="579"/>
      <c r="C38" s="585"/>
      <c r="D38" s="546"/>
      <c r="E38" s="546"/>
      <c r="F38" s="586"/>
      <c r="G38" s="587"/>
      <c r="H38" s="542"/>
      <c r="I38" s="542"/>
      <c r="J38" s="542"/>
      <c r="K38" s="542"/>
    </row>
    <row r="39" spans="1:11" s="547" customFormat="1">
      <c r="A39" s="539"/>
      <c r="B39" s="579"/>
      <c r="C39" s="585"/>
      <c r="D39" s="546"/>
      <c r="E39" s="546"/>
      <c r="F39" s="586"/>
      <c r="G39" s="587"/>
      <c r="H39" s="542"/>
      <c r="I39" s="542"/>
      <c r="J39" s="542"/>
      <c r="K39" s="542"/>
    </row>
    <row r="40" spans="1:11" s="547" customFormat="1">
      <c r="A40" s="539"/>
      <c r="B40" s="579"/>
      <c r="C40" s="585"/>
      <c r="D40" s="546"/>
      <c r="E40" s="546"/>
      <c r="F40" s="586"/>
      <c r="G40" s="587"/>
      <c r="H40" s="542"/>
      <c r="I40" s="542"/>
      <c r="J40" s="542"/>
      <c r="K40" s="542"/>
    </row>
    <row r="41" spans="1:11" s="547" customFormat="1">
      <c r="A41" s="539"/>
      <c r="B41" s="579"/>
      <c r="C41" s="585"/>
      <c r="D41" s="546"/>
      <c r="E41" s="546"/>
      <c r="F41" s="586"/>
      <c r="G41" s="587"/>
      <c r="H41" s="542"/>
      <c r="I41" s="542"/>
      <c r="J41" s="542"/>
      <c r="K41" s="542"/>
    </row>
    <row r="42" spans="1:11" s="547" customFormat="1">
      <c r="A42" s="539"/>
      <c r="B42" s="579"/>
      <c r="C42" s="585"/>
      <c r="D42" s="546"/>
      <c r="E42" s="546"/>
      <c r="F42" s="586"/>
      <c r="G42" s="587"/>
      <c r="H42" s="542"/>
      <c r="I42" s="542"/>
      <c r="J42" s="542"/>
      <c r="K42" s="542"/>
    </row>
    <row r="43" spans="1:11" s="547" customFormat="1">
      <c r="A43" s="539"/>
      <c r="B43" s="579"/>
      <c r="C43" s="585"/>
      <c r="D43" s="546"/>
      <c r="E43" s="546"/>
      <c r="F43" s="586"/>
      <c r="G43" s="587"/>
      <c r="H43" s="542"/>
      <c r="I43" s="542"/>
      <c r="J43" s="542"/>
      <c r="K43" s="542"/>
    </row>
    <row r="44" spans="1:11" s="547" customFormat="1">
      <c r="A44" s="539"/>
      <c r="B44" s="579"/>
      <c r="C44" s="585"/>
      <c r="D44" s="546"/>
      <c r="E44" s="546"/>
      <c r="F44" s="586"/>
      <c r="G44" s="587"/>
      <c r="H44" s="542"/>
      <c r="I44" s="542"/>
      <c r="J44" s="542"/>
      <c r="K44" s="542"/>
    </row>
    <row r="45" spans="1:11" s="547" customFormat="1">
      <c r="A45" s="539"/>
      <c r="B45" s="579"/>
      <c r="C45" s="585"/>
      <c r="D45" s="546"/>
      <c r="E45" s="546"/>
      <c r="F45" s="586"/>
      <c r="G45" s="587"/>
      <c r="H45" s="542"/>
      <c r="I45" s="542"/>
      <c r="J45" s="542"/>
      <c r="K45" s="542"/>
    </row>
    <row r="46" spans="1:11" s="547" customFormat="1">
      <c r="A46" s="539"/>
      <c r="B46" s="575"/>
      <c r="C46" s="576"/>
      <c r="D46" s="541"/>
      <c r="E46" s="541"/>
      <c r="F46" s="577"/>
      <c r="G46" s="578"/>
      <c r="H46" s="542"/>
      <c r="I46" s="542"/>
      <c r="J46" s="542"/>
      <c r="K46" s="542"/>
    </row>
    <row r="47" spans="1:11" s="547" customFormat="1">
      <c r="A47" s="539"/>
      <c r="B47" s="579"/>
      <c r="C47" s="585"/>
      <c r="D47" s="546"/>
      <c r="E47" s="546"/>
      <c r="F47" s="586"/>
      <c r="G47" s="587"/>
      <c r="H47" s="542"/>
      <c r="I47" s="542"/>
      <c r="J47" s="542"/>
      <c r="K47" s="542"/>
    </row>
    <row r="48" spans="1:11" s="547" customFormat="1">
      <c r="A48" s="539"/>
      <c r="B48" s="575"/>
      <c r="C48" s="576"/>
      <c r="D48" s="541"/>
      <c r="E48" s="541"/>
      <c r="F48" s="577"/>
      <c r="G48" s="578"/>
      <c r="H48" s="542"/>
      <c r="I48" s="542"/>
      <c r="J48" s="542"/>
      <c r="K48" s="542"/>
    </row>
    <row r="49" spans="1:23" s="547" customFormat="1">
      <c r="A49" s="539"/>
      <c r="B49" s="579"/>
      <c r="C49" s="585"/>
      <c r="D49" s="546"/>
      <c r="E49" s="546"/>
      <c r="F49" s="586"/>
      <c r="G49" s="587"/>
      <c r="H49" s="542"/>
      <c r="I49" s="542"/>
      <c r="J49" s="542"/>
      <c r="K49" s="542"/>
    </row>
    <row r="50" spans="1:23" s="547" customFormat="1">
      <c r="A50" s="539"/>
      <c r="B50" s="579"/>
      <c r="C50" s="585"/>
      <c r="D50" s="546"/>
      <c r="E50" s="546"/>
      <c r="F50" s="586"/>
      <c r="G50" s="587"/>
      <c r="H50" s="542"/>
      <c r="I50" s="542"/>
      <c r="J50" s="542"/>
      <c r="K50" s="542"/>
    </row>
    <row r="51" spans="1:23" s="547" customFormat="1">
      <c r="A51" s="539"/>
      <c r="B51" s="575"/>
      <c r="C51" s="576"/>
      <c r="D51" s="541"/>
      <c r="E51" s="541"/>
      <c r="F51" s="577"/>
      <c r="G51" s="578"/>
      <c r="H51" s="542"/>
      <c r="I51" s="542"/>
      <c r="J51" s="542"/>
      <c r="K51" s="542"/>
      <c r="U51" s="536"/>
      <c r="W51" s="536"/>
    </row>
    <row r="52" spans="1:23" s="547" customFormat="1">
      <c r="A52" s="539"/>
      <c r="B52" s="575"/>
      <c r="C52" s="576"/>
      <c r="D52" s="541"/>
      <c r="E52" s="541"/>
      <c r="F52" s="577"/>
      <c r="G52" s="578"/>
      <c r="H52" s="542"/>
      <c r="I52" s="542"/>
      <c r="J52" s="542"/>
      <c r="K52" s="542"/>
      <c r="U52" s="536"/>
      <c r="W52" s="536"/>
    </row>
    <row r="53" spans="1:23">
      <c r="A53" s="550"/>
      <c r="B53" s="590"/>
      <c r="C53" s="591"/>
      <c r="D53" s="551"/>
      <c r="E53" s="551"/>
      <c r="F53" s="592"/>
      <c r="G53" s="593"/>
      <c r="H53" s="552"/>
      <c r="I53" s="552"/>
      <c r="J53" s="552"/>
      <c r="K53" s="552"/>
    </row>
    <row r="54" spans="1:23">
      <c r="A54" s="553" t="s">
        <v>154</v>
      </c>
      <c r="B54" s="594"/>
      <c r="C54" s="595"/>
      <c r="D54" s="596"/>
      <c r="E54" s="596"/>
      <c r="F54" s="597" t="s">
        <v>256</v>
      </c>
      <c r="G54" s="598"/>
      <c r="H54" s="599" t="s">
        <v>230</v>
      </c>
      <c r="I54" s="556">
        <f>SUM(I3:I53)</f>
        <v>0</v>
      </c>
      <c r="J54" s="599"/>
      <c r="K54" s="556">
        <f>SUM(K3:K53)</f>
        <v>0</v>
      </c>
    </row>
    <row r="55" spans="1:23" ht="16.5" customHeight="1">
      <c r="A55" s="533" t="s">
        <v>143</v>
      </c>
      <c r="B55" s="567" t="s">
        <v>209</v>
      </c>
      <c r="C55" s="1107" t="s">
        <v>210</v>
      </c>
      <c r="D55" s="1108"/>
      <c r="E55" s="1108"/>
      <c r="F55" s="1109"/>
      <c r="G55" s="568" t="s">
        <v>211</v>
      </c>
      <c r="H55" s="535" t="s">
        <v>212</v>
      </c>
      <c r="I55" s="535" t="s">
        <v>164</v>
      </c>
      <c r="J55" s="603" t="s">
        <v>299</v>
      </c>
      <c r="K55" s="603" t="s">
        <v>301</v>
      </c>
    </row>
    <row r="56" spans="1:23" s="538" customFormat="1">
      <c r="A56" s="262"/>
      <c r="B56" s="570"/>
      <c r="C56" s="571" t="s">
        <v>196</v>
      </c>
      <c r="D56" s="572" t="s">
        <v>192</v>
      </c>
      <c r="E56" s="572" t="s">
        <v>197</v>
      </c>
      <c r="F56" s="573" t="s">
        <v>198</v>
      </c>
      <c r="G56" s="574"/>
      <c r="H56" s="537" t="s">
        <v>257</v>
      </c>
      <c r="I56" s="537" t="s">
        <v>257</v>
      </c>
      <c r="J56" s="604" t="s">
        <v>300</v>
      </c>
      <c r="K56" s="604" t="s">
        <v>300</v>
      </c>
    </row>
    <row r="57" spans="1:23" s="538" customFormat="1">
      <c r="A57" s="539"/>
      <c r="B57" s="575"/>
      <c r="C57" s="576"/>
      <c r="D57" s="541"/>
      <c r="E57" s="541"/>
      <c r="F57" s="577"/>
      <c r="G57" s="578"/>
      <c r="H57" s="542"/>
      <c r="I57" s="542"/>
      <c r="J57" s="542"/>
      <c r="K57" s="542"/>
      <c r="U57" s="543"/>
      <c r="W57" s="543"/>
    </row>
    <row r="58" spans="1:23" s="543" customFormat="1">
      <c r="A58" s="539"/>
      <c r="B58" s="575"/>
      <c r="C58" s="576"/>
      <c r="D58" s="541"/>
      <c r="E58" s="541"/>
      <c r="F58" s="577"/>
      <c r="G58" s="578"/>
      <c r="H58" s="542"/>
      <c r="I58" s="542"/>
      <c r="J58" s="542"/>
      <c r="K58" s="542"/>
    </row>
    <row r="59" spans="1:23" s="543" customFormat="1">
      <c r="A59" s="539"/>
      <c r="B59" s="580"/>
      <c r="C59" s="581"/>
      <c r="D59" s="582"/>
      <c r="E59" s="582"/>
      <c r="F59" s="583"/>
      <c r="G59" s="578"/>
      <c r="H59" s="542"/>
      <c r="I59" s="542"/>
      <c r="J59" s="542"/>
      <c r="K59" s="542"/>
    </row>
    <row r="60" spans="1:23" s="543" customFormat="1">
      <c r="A60" s="539"/>
      <c r="B60" s="575"/>
      <c r="C60" s="576"/>
      <c r="D60" s="541"/>
      <c r="E60" s="541"/>
      <c r="F60" s="577"/>
      <c r="G60" s="578"/>
      <c r="H60" s="542"/>
      <c r="I60" s="542"/>
      <c r="J60" s="542"/>
      <c r="K60" s="542"/>
    </row>
    <row r="61" spans="1:23" s="543" customFormat="1">
      <c r="A61" s="539"/>
      <c r="B61" s="584"/>
      <c r="C61" s="585"/>
      <c r="D61" s="546"/>
      <c r="E61" s="546"/>
      <c r="F61" s="586"/>
      <c r="G61" s="587"/>
      <c r="H61" s="542"/>
      <c r="I61" s="542"/>
      <c r="J61" s="542"/>
      <c r="K61" s="542"/>
    </row>
    <row r="62" spans="1:23" s="543" customFormat="1">
      <c r="A62" s="539"/>
      <c r="B62" s="575"/>
      <c r="C62" s="576"/>
      <c r="D62" s="541"/>
      <c r="E62" s="541"/>
      <c r="F62" s="577"/>
      <c r="G62" s="578"/>
      <c r="H62" s="542"/>
      <c r="I62" s="542"/>
      <c r="J62" s="542"/>
      <c r="K62" s="542"/>
    </row>
    <row r="63" spans="1:23" s="543" customFormat="1">
      <c r="A63" s="539"/>
      <c r="B63" s="584"/>
      <c r="C63" s="585"/>
      <c r="D63" s="546"/>
      <c r="E63" s="546"/>
      <c r="F63" s="586"/>
      <c r="G63" s="587"/>
      <c r="H63" s="542"/>
      <c r="I63" s="542"/>
      <c r="J63" s="542"/>
      <c r="K63" s="542"/>
    </row>
    <row r="64" spans="1:23" s="543" customFormat="1">
      <c r="A64" s="539"/>
      <c r="B64" s="575"/>
      <c r="C64" s="576"/>
      <c r="D64" s="541"/>
      <c r="E64" s="541"/>
      <c r="F64" s="577"/>
      <c r="G64" s="578"/>
      <c r="H64" s="542"/>
      <c r="I64" s="542"/>
      <c r="J64" s="542"/>
      <c r="K64" s="542"/>
    </row>
    <row r="65" spans="1:11" s="547" customFormat="1">
      <c r="A65" s="539"/>
      <c r="B65" s="584"/>
      <c r="C65" s="585"/>
      <c r="D65" s="546"/>
      <c r="E65" s="546"/>
      <c r="F65" s="586"/>
      <c r="G65" s="587"/>
      <c r="H65" s="542"/>
      <c r="I65" s="542"/>
      <c r="J65" s="542"/>
      <c r="K65" s="542"/>
    </row>
    <row r="66" spans="1:11" s="543" customFormat="1">
      <c r="A66" s="539"/>
      <c r="B66" s="575"/>
      <c r="C66" s="576"/>
      <c r="D66" s="541"/>
      <c r="E66" s="541"/>
      <c r="F66" s="577"/>
      <c r="G66" s="578"/>
      <c r="H66" s="542"/>
      <c r="I66" s="542"/>
      <c r="J66" s="542"/>
      <c r="K66" s="542"/>
    </row>
    <row r="67" spans="1:11" s="543" customFormat="1">
      <c r="A67" s="539"/>
      <c r="B67" s="584"/>
      <c r="C67" s="585"/>
      <c r="D67" s="546"/>
      <c r="E67" s="546"/>
      <c r="F67" s="586"/>
      <c r="G67" s="587"/>
      <c r="H67" s="542"/>
      <c r="I67" s="542"/>
      <c r="J67" s="542"/>
      <c r="K67" s="542"/>
    </row>
    <row r="68" spans="1:11" s="543" customFormat="1">
      <c r="A68" s="539"/>
      <c r="B68" s="575"/>
      <c r="C68" s="576"/>
      <c r="D68" s="541"/>
      <c r="E68" s="541"/>
      <c r="F68" s="577"/>
      <c r="G68" s="578"/>
      <c r="H68" s="542"/>
      <c r="I68" s="542"/>
      <c r="J68" s="542"/>
      <c r="K68" s="542"/>
    </row>
    <row r="69" spans="1:11" s="547" customFormat="1">
      <c r="A69" s="539"/>
      <c r="B69" s="584"/>
      <c r="C69" s="585"/>
      <c r="D69" s="546"/>
      <c r="E69" s="546"/>
      <c r="F69" s="586"/>
      <c r="G69" s="587"/>
      <c r="H69" s="542"/>
      <c r="I69" s="542"/>
      <c r="J69" s="542"/>
      <c r="K69" s="542"/>
    </row>
    <row r="70" spans="1:11" s="547" customFormat="1">
      <c r="A70" s="539"/>
      <c r="B70" s="575"/>
      <c r="C70" s="576"/>
      <c r="D70" s="541"/>
      <c r="E70" s="541"/>
      <c r="F70" s="577"/>
      <c r="G70" s="578"/>
      <c r="H70" s="542"/>
      <c r="I70" s="542"/>
      <c r="J70" s="542"/>
      <c r="K70" s="542"/>
    </row>
    <row r="71" spans="1:11" s="547" customFormat="1">
      <c r="A71" s="539"/>
      <c r="B71" s="584"/>
      <c r="C71" s="585"/>
      <c r="D71" s="546"/>
      <c r="E71" s="546"/>
      <c r="F71" s="586"/>
      <c r="G71" s="587"/>
      <c r="H71" s="542"/>
      <c r="I71" s="542"/>
      <c r="J71" s="542"/>
      <c r="K71" s="542"/>
    </row>
    <row r="72" spans="1:11" s="547" customFormat="1">
      <c r="A72" s="539"/>
      <c r="B72" s="575"/>
      <c r="C72" s="576"/>
      <c r="D72" s="541"/>
      <c r="E72" s="541"/>
      <c r="F72" s="577"/>
      <c r="G72" s="578"/>
      <c r="H72" s="542"/>
      <c r="I72" s="542"/>
      <c r="J72" s="542"/>
      <c r="K72" s="542"/>
    </row>
    <row r="73" spans="1:11" s="547" customFormat="1">
      <c r="A73" s="539"/>
      <c r="B73" s="584"/>
      <c r="C73" s="585"/>
      <c r="D73" s="546"/>
      <c r="E73" s="546"/>
      <c r="F73" s="586"/>
      <c r="G73" s="587"/>
      <c r="H73" s="542"/>
      <c r="I73" s="542"/>
      <c r="J73" s="542"/>
      <c r="K73" s="542"/>
    </row>
    <row r="74" spans="1:11" s="547" customFormat="1">
      <c r="A74" s="539"/>
      <c r="B74" s="575"/>
      <c r="C74" s="576"/>
      <c r="D74" s="541"/>
      <c r="E74" s="541"/>
      <c r="F74" s="577"/>
      <c r="G74" s="578"/>
      <c r="H74" s="542"/>
      <c r="I74" s="542"/>
      <c r="J74" s="542"/>
      <c r="K74" s="542"/>
    </row>
    <row r="75" spans="1:11" s="547" customFormat="1">
      <c r="A75" s="539"/>
      <c r="B75" s="584"/>
      <c r="C75" s="585"/>
      <c r="D75" s="546"/>
      <c r="E75" s="546"/>
      <c r="F75" s="586"/>
      <c r="G75" s="587"/>
      <c r="H75" s="542"/>
      <c r="I75" s="542"/>
      <c r="J75" s="542"/>
      <c r="K75" s="542"/>
    </row>
    <row r="76" spans="1:11" s="547" customFormat="1">
      <c r="A76" s="539"/>
      <c r="B76" s="575"/>
      <c r="C76" s="576"/>
      <c r="D76" s="541"/>
      <c r="E76" s="541"/>
      <c r="F76" s="577"/>
      <c r="G76" s="578"/>
      <c r="H76" s="542"/>
      <c r="I76" s="542"/>
      <c r="J76" s="542"/>
      <c r="K76" s="542"/>
    </row>
    <row r="77" spans="1:11" s="547" customFormat="1">
      <c r="A77" s="539"/>
      <c r="B77" s="584"/>
      <c r="C77" s="585"/>
      <c r="D77" s="546"/>
      <c r="E77" s="546"/>
      <c r="F77" s="586"/>
      <c r="G77" s="587"/>
      <c r="H77" s="542"/>
      <c r="I77" s="542"/>
      <c r="J77" s="542"/>
      <c r="K77" s="542"/>
    </row>
    <row r="78" spans="1:11" s="547" customFormat="1">
      <c r="A78" s="539"/>
      <c r="B78" s="575"/>
      <c r="C78" s="576"/>
      <c r="D78" s="541"/>
      <c r="E78" s="541"/>
      <c r="F78" s="577"/>
      <c r="G78" s="578"/>
      <c r="H78" s="542"/>
      <c r="I78" s="542"/>
      <c r="J78" s="542"/>
      <c r="K78" s="542"/>
    </row>
    <row r="79" spans="1:11" s="547" customFormat="1">
      <c r="A79" s="539"/>
      <c r="B79" s="584"/>
      <c r="C79" s="585"/>
      <c r="D79" s="546"/>
      <c r="E79" s="546"/>
      <c r="F79" s="586"/>
      <c r="G79" s="587"/>
      <c r="H79" s="542"/>
      <c r="I79" s="542"/>
      <c r="J79" s="542"/>
      <c r="K79" s="542"/>
    </row>
    <row r="80" spans="1:11" s="547" customFormat="1">
      <c r="A80" s="539"/>
      <c r="B80" s="575"/>
      <c r="C80" s="576"/>
      <c r="D80" s="541"/>
      <c r="E80" s="541"/>
      <c r="F80" s="577"/>
      <c r="G80" s="578"/>
      <c r="H80" s="542"/>
      <c r="I80" s="542"/>
      <c r="J80" s="542"/>
      <c r="K80" s="542"/>
    </row>
    <row r="81" spans="1:11" s="547" customFormat="1">
      <c r="A81" s="539"/>
      <c r="B81" s="584"/>
      <c r="C81" s="585"/>
      <c r="D81" s="546"/>
      <c r="E81" s="546"/>
      <c r="F81" s="586"/>
      <c r="G81" s="587"/>
      <c r="H81" s="542"/>
      <c r="I81" s="542"/>
      <c r="J81" s="542"/>
      <c r="K81" s="542"/>
    </row>
    <row r="82" spans="1:11" s="547" customFormat="1">
      <c r="A82" s="539"/>
      <c r="B82" s="575"/>
      <c r="C82" s="576"/>
      <c r="D82" s="541"/>
      <c r="E82" s="541"/>
      <c r="F82" s="577"/>
      <c r="G82" s="578"/>
      <c r="H82" s="542"/>
      <c r="I82" s="542"/>
      <c r="J82" s="542"/>
      <c r="K82" s="542"/>
    </row>
    <row r="83" spans="1:11" s="547" customFormat="1">
      <c r="A83" s="539"/>
      <c r="B83" s="575"/>
      <c r="C83" s="576"/>
      <c r="D83" s="541"/>
      <c r="E83" s="541"/>
      <c r="F83" s="577"/>
      <c r="G83" s="578"/>
      <c r="H83" s="542"/>
      <c r="I83" s="542"/>
      <c r="J83" s="542"/>
      <c r="K83" s="542"/>
    </row>
    <row r="84" spans="1:11" s="547" customFormat="1">
      <c r="A84" s="539"/>
      <c r="B84" s="575"/>
      <c r="C84" s="576"/>
      <c r="D84" s="541"/>
      <c r="E84" s="541"/>
      <c r="F84" s="577"/>
      <c r="G84" s="578"/>
      <c r="H84" s="542"/>
      <c r="I84" s="542"/>
      <c r="J84" s="542"/>
      <c r="K84" s="542"/>
    </row>
    <row r="85" spans="1:11" s="547" customFormat="1">
      <c r="A85" s="539"/>
      <c r="B85" s="575"/>
      <c r="C85" s="576"/>
      <c r="D85" s="541"/>
      <c r="E85" s="541"/>
      <c r="F85" s="577"/>
      <c r="G85" s="578"/>
      <c r="H85" s="542"/>
      <c r="I85" s="542"/>
      <c r="J85" s="542"/>
      <c r="K85" s="542"/>
    </row>
    <row r="86" spans="1:11" s="547" customFormat="1">
      <c r="A86" s="539"/>
      <c r="B86" s="575"/>
      <c r="C86" s="576"/>
      <c r="D86" s="541"/>
      <c r="E86" s="541"/>
      <c r="F86" s="577"/>
      <c r="G86" s="578"/>
      <c r="H86" s="542"/>
      <c r="I86" s="542"/>
      <c r="J86" s="542"/>
      <c r="K86" s="542"/>
    </row>
    <row r="87" spans="1:11" s="547" customFormat="1">
      <c r="A87" s="539"/>
      <c r="B87" s="575"/>
      <c r="C87" s="576"/>
      <c r="D87" s="541"/>
      <c r="E87" s="541"/>
      <c r="F87" s="577"/>
      <c r="G87" s="578"/>
      <c r="H87" s="542"/>
      <c r="I87" s="542"/>
      <c r="J87" s="542"/>
      <c r="K87" s="542"/>
    </row>
    <row r="88" spans="1:11" s="547" customFormat="1">
      <c r="A88" s="539"/>
      <c r="B88" s="575"/>
      <c r="C88" s="576"/>
      <c r="D88" s="541"/>
      <c r="E88" s="541"/>
      <c r="F88" s="577"/>
      <c r="G88" s="578"/>
      <c r="H88" s="542"/>
      <c r="I88" s="542"/>
      <c r="J88" s="542"/>
      <c r="K88" s="542"/>
    </row>
    <row r="89" spans="1:11" s="547" customFormat="1">
      <c r="A89" s="539"/>
      <c r="B89" s="575"/>
      <c r="C89" s="576"/>
      <c r="D89" s="541"/>
      <c r="E89" s="541"/>
      <c r="F89" s="577"/>
      <c r="G89" s="578"/>
      <c r="H89" s="542"/>
      <c r="I89" s="542"/>
      <c r="J89" s="542"/>
      <c r="K89" s="542"/>
    </row>
    <row r="90" spans="1:11" s="547" customFormat="1">
      <c r="A90" s="539"/>
      <c r="B90" s="575"/>
      <c r="C90" s="576"/>
      <c r="D90" s="541"/>
      <c r="E90" s="541"/>
      <c r="F90" s="577"/>
      <c r="G90" s="578"/>
      <c r="H90" s="542"/>
      <c r="I90" s="542"/>
      <c r="J90" s="542"/>
      <c r="K90" s="542"/>
    </row>
    <row r="91" spans="1:11" s="547" customFormat="1">
      <c r="A91" s="539"/>
      <c r="B91" s="575"/>
      <c r="C91" s="576"/>
      <c r="D91" s="541"/>
      <c r="E91" s="541"/>
      <c r="F91" s="577"/>
      <c r="G91" s="578"/>
      <c r="H91" s="542"/>
      <c r="I91" s="542"/>
      <c r="J91" s="542"/>
      <c r="K91" s="542"/>
    </row>
    <row r="92" spans="1:11" s="547" customFormat="1">
      <c r="A92" s="539"/>
      <c r="B92" s="575"/>
      <c r="C92" s="576"/>
      <c r="D92" s="541"/>
      <c r="E92" s="541"/>
      <c r="F92" s="577"/>
      <c r="G92" s="578"/>
      <c r="H92" s="542"/>
      <c r="I92" s="542"/>
      <c r="J92" s="542"/>
      <c r="K92" s="542"/>
    </row>
    <row r="93" spans="1:11" s="547" customFormat="1">
      <c r="A93" s="539"/>
      <c r="B93" s="575"/>
      <c r="C93" s="576"/>
      <c r="D93" s="541"/>
      <c r="E93" s="541"/>
      <c r="F93" s="577"/>
      <c r="G93" s="578"/>
      <c r="H93" s="542"/>
      <c r="I93" s="542"/>
      <c r="J93" s="542"/>
      <c r="K93" s="542"/>
    </row>
    <row r="94" spans="1:11" s="547" customFormat="1">
      <c r="A94" s="539"/>
      <c r="B94" s="575"/>
      <c r="C94" s="576"/>
      <c r="D94" s="541"/>
      <c r="E94" s="541"/>
      <c r="F94" s="577"/>
      <c r="G94" s="578"/>
      <c r="H94" s="542"/>
      <c r="I94" s="542"/>
      <c r="J94" s="542"/>
      <c r="K94" s="542"/>
    </row>
    <row r="95" spans="1:11" s="547" customFormat="1">
      <c r="A95" s="539"/>
      <c r="B95" s="584"/>
      <c r="C95" s="585"/>
      <c r="D95" s="546"/>
      <c r="E95" s="546"/>
      <c r="F95" s="586"/>
      <c r="G95" s="587"/>
      <c r="H95" s="542"/>
      <c r="I95" s="542"/>
      <c r="J95" s="542"/>
      <c r="K95" s="542"/>
    </row>
    <row r="96" spans="1:11" s="547" customFormat="1">
      <c r="A96" s="539"/>
      <c r="B96" s="575"/>
      <c r="C96" s="576"/>
      <c r="D96" s="541"/>
      <c r="E96" s="541"/>
      <c r="F96" s="577"/>
      <c r="G96" s="578"/>
      <c r="H96" s="542"/>
      <c r="I96" s="542"/>
      <c r="J96" s="542"/>
      <c r="K96" s="542"/>
    </row>
    <row r="97" spans="1:11" s="547" customFormat="1">
      <c r="A97" s="539"/>
      <c r="B97" s="584"/>
      <c r="C97" s="585"/>
      <c r="D97" s="546"/>
      <c r="E97" s="546"/>
      <c r="F97" s="586"/>
      <c r="G97" s="587"/>
      <c r="H97" s="542"/>
      <c r="I97" s="542"/>
      <c r="J97" s="542"/>
      <c r="K97" s="542"/>
    </row>
    <row r="98" spans="1:11" s="547" customFormat="1">
      <c r="A98" s="539"/>
      <c r="B98" s="575"/>
      <c r="C98" s="576"/>
      <c r="D98" s="541"/>
      <c r="E98" s="541"/>
      <c r="F98" s="577"/>
      <c r="G98" s="578"/>
      <c r="H98" s="542"/>
      <c r="I98" s="542"/>
      <c r="J98" s="542"/>
      <c r="K98" s="542"/>
    </row>
    <row r="99" spans="1:11" s="547" customFormat="1">
      <c r="A99" s="539"/>
      <c r="B99" s="584"/>
      <c r="C99" s="585"/>
      <c r="D99" s="546"/>
      <c r="E99" s="546"/>
      <c r="F99" s="586"/>
      <c r="G99" s="587"/>
      <c r="H99" s="542"/>
      <c r="I99" s="542"/>
      <c r="J99" s="542"/>
      <c r="K99" s="542"/>
    </row>
    <row r="100" spans="1:11" s="547" customFormat="1">
      <c r="A100" s="539"/>
      <c r="B100" s="575"/>
      <c r="C100" s="576"/>
      <c r="D100" s="541"/>
      <c r="E100" s="541"/>
      <c r="F100" s="577"/>
      <c r="G100" s="578"/>
      <c r="H100" s="542"/>
      <c r="I100" s="542"/>
      <c r="J100" s="542"/>
      <c r="K100" s="542"/>
    </row>
    <row r="101" spans="1:11" s="547" customFormat="1">
      <c r="A101" s="539"/>
      <c r="B101" s="584"/>
      <c r="C101" s="585"/>
      <c r="D101" s="546"/>
      <c r="E101" s="546"/>
      <c r="F101" s="586"/>
      <c r="G101" s="587"/>
      <c r="H101" s="542"/>
      <c r="I101" s="542"/>
      <c r="J101" s="542"/>
      <c r="K101" s="542"/>
    </row>
    <row r="102" spans="1:11" s="547" customFormat="1">
      <c r="A102" s="539"/>
      <c r="B102" s="575"/>
      <c r="C102" s="576"/>
      <c r="D102" s="541"/>
      <c r="E102" s="541"/>
      <c r="F102" s="577"/>
      <c r="G102" s="578"/>
      <c r="H102" s="542"/>
      <c r="I102" s="542"/>
      <c r="J102" s="542"/>
      <c r="K102" s="542"/>
    </row>
    <row r="103" spans="1:11" s="547" customFormat="1">
      <c r="A103" s="539"/>
      <c r="B103" s="575"/>
      <c r="C103" s="576"/>
      <c r="D103" s="541"/>
      <c r="E103" s="541"/>
      <c r="F103" s="577"/>
      <c r="G103" s="578"/>
      <c r="H103" s="542"/>
      <c r="I103" s="542"/>
      <c r="J103" s="542"/>
      <c r="K103" s="542"/>
    </row>
    <row r="104" spans="1:11" s="547" customFormat="1">
      <c r="A104" s="539"/>
      <c r="B104" s="584"/>
      <c r="C104" s="585"/>
      <c r="D104" s="546"/>
      <c r="E104" s="546"/>
      <c r="F104" s="586"/>
      <c r="G104" s="587"/>
      <c r="H104" s="542"/>
      <c r="I104" s="542"/>
      <c r="J104" s="542"/>
      <c r="K104" s="542"/>
    </row>
    <row r="105" spans="1:11" s="547" customFormat="1">
      <c r="A105" s="539"/>
      <c r="B105" s="575"/>
      <c r="C105" s="576"/>
      <c r="D105" s="541"/>
      <c r="E105" s="541"/>
      <c r="F105" s="577"/>
      <c r="G105" s="578"/>
      <c r="H105" s="542"/>
      <c r="I105" s="542"/>
      <c r="J105" s="542"/>
      <c r="K105" s="542"/>
    </row>
    <row r="106" spans="1:11" s="547" customFormat="1">
      <c r="A106" s="539"/>
      <c r="B106" s="575"/>
      <c r="C106" s="576"/>
      <c r="D106" s="541"/>
      <c r="E106" s="541"/>
      <c r="F106" s="577"/>
      <c r="G106" s="578"/>
      <c r="H106" s="542"/>
      <c r="I106" s="542"/>
      <c r="J106" s="542"/>
      <c r="K106" s="542"/>
    </row>
    <row r="107" spans="1:11" s="547" customFormat="1">
      <c r="A107" s="539"/>
      <c r="B107" s="575"/>
      <c r="C107" s="576"/>
      <c r="D107" s="541"/>
      <c r="E107" s="541"/>
      <c r="F107" s="577"/>
      <c r="G107" s="578"/>
      <c r="H107" s="542"/>
      <c r="I107" s="542"/>
      <c r="J107" s="542"/>
      <c r="K107" s="542"/>
    </row>
    <row r="108" spans="1:11" s="547" customFormat="1">
      <c r="A108" s="539"/>
      <c r="B108" s="575"/>
      <c r="C108" s="576"/>
      <c r="D108" s="541"/>
      <c r="E108" s="541"/>
      <c r="F108" s="577"/>
      <c r="G108" s="578"/>
      <c r="H108" s="542"/>
      <c r="I108" s="542"/>
      <c r="J108" s="542"/>
      <c r="K108" s="542"/>
    </row>
    <row r="109" spans="1:11" s="547" customFormat="1">
      <c r="A109" s="539"/>
      <c r="B109" s="575"/>
      <c r="C109" s="576"/>
      <c r="D109" s="541"/>
      <c r="E109" s="541"/>
      <c r="F109" s="577"/>
      <c r="G109" s="578"/>
      <c r="H109" s="542"/>
      <c r="I109" s="542"/>
      <c r="J109" s="542"/>
      <c r="K109" s="542"/>
    </row>
    <row r="110" spans="1:11">
      <c r="A110" s="550"/>
      <c r="B110" s="590"/>
      <c r="C110" s="591"/>
      <c r="D110" s="551"/>
      <c r="E110" s="551"/>
      <c r="F110" s="592"/>
      <c r="G110" s="593"/>
      <c r="H110" s="552"/>
      <c r="I110" s="552"/>
      <c r="J110" s="552"/>
      <c r="K110" s="552"/>
    </row>
    <row r="111" spans="1:11">
      <c r="A111" s="553" t="s">
        <v>154</v>
      </c>
      <c r="B111" s="594"/>
      <c r="C111" s="595"/>
      <c r="D111" s="596"/>
      <c r="E111" s="596"/>
      <c r="F111" s="597" t="s">
        <v>256</v>
      </c>
      <c r="G111" s="598"/>
      <c r="H111" s="599" t="s">
        <v>230</v>
      </c>
      <c r="I111" s="556">
        <f>SUM(I57:I110)</f>
        <v>0</v>
      </c>
      <c r="J111" s="599"/>
      <c r="K111" s="556">
        <f>SUM(K57:K110)</f>
        <v>0</v>
      </c>
    </row>
    <row r="112" spans="1:11" ht="16.5" customHeight="1">
      <c r="A112" s="533" t="s">
        <v>143</v>
      </c>
      <c r="B112" s="567" t="s">
        <v>209</v>
      </c>
      <c r="C112" s="1107" t="s">
        <v>210</v>
      </c>
      <c r="D112" s="1108"/>
      <c r="E112" s="1108"/>
      <c r="F112" s="1109"/>
      <c r="G112" s="568" t="s">
        <v>211</v>
      </c>
      <c r="H112" s="535" t="s">
        <v>212</v>
      </c>
      <c r="I112" s="535" t="s">
        <v>164</v>
      </c>
      <c r="J112" s="603" t="s">
        <v>299</v>
      </c>
      <c r="K112" s="603" t="s">
        <v>301</v>
      </c>
    </row>
    <row r="113" spans="1:23" s="538" customFormat="1">
      <c r="A113" s="262"/>
      <c r="B113" s="570"/>
      <c r="C113" s="571" t="s">
        <v>196</v>
      </c>
      <c r="D113" s="572" t="s">
        <v>192</v>
      </c>
      <c r="E113" s="572" t="s">
        <v>197</v>
      </c>
      <c r="F113" s="573" t="s">
        <v>198</v>
      </c>
      <c r="G113" s="574"/>
      <c r="H113" s="537" t="s">
        <v>257</v>
      </c>
      <c r="I113" s="537" t="s">
        <v>257</v>
      </c>
      <c r="J113" s="604" t="s">
        <v>300</v>
      </c>
      <c r="K113" s="604" t="s">
        <v>300</v>
      </c>
    </row>
    <row r="114" spans="1:23" s="538" customFormat="1">
      <c r="A114" s="539"/>
      <c r="B114" s="575"/>
      <c r="C114" s="576"/>
      <c r="D114" s="541"/>
      <c r="E114" s="541"/>
      <c r="F114" s="577"/>
      <c r="G114" s="578"/>
      <c r="H114" s="542"/>
      <c r="I114" s="542"/>
      <c r="J114" s="542"/>
      <c r="K114" s="542"/>
      <c r="U114" s="543"/>
      <c r="W114" s="543"/>
    </row>
    <row r="115" spans="1:23" s="543" customFormat="1">
      <c r="A115" s="539"/>
      <c r="B115" s="575"/>
      <c r="C115" s="576"/>
      <c r="D115" s="541"/>
      <c r="E115" s="541"/>
      <c r="F115" s="577"/>
      <c r="G115" s="578"/>
      <c r="H115" s="542"/>
      <c r="I115" s="542"/>
      <c r="J115" s="542"/>
      <c r="K115" s="542"/>
    </row>
    <row r="116" spans="1:23" s="543" customFormat="1">
      <c r="A116" s="539"/>
      <c r="B116" s="580"/>
      <c r="C116" s="581"/>
      <c r="D116" s="582"/>
      <c r="E116" s="582"/>
      <c r="F116" s="583"/>
      <c r="G116" s="578"/>
      <c r="H116" s="542"/>
      <c r="I116" s="542"/>
      <c r="J116" s="542"/>
      <c r="K116" s="542"/>
    </row>
    <row r="117" spans="1:23" s="543" customFormat="1">
      <c r="A117" s="539"/>
      <c r="B117" s="575"/>
      <c r="C117" s="576"/>
      <c r="D117" s="541"/>
      <c r="E117" s="541"/>
      <c r="F117" s="577"/>
      <c r="G117" s="578"/>
      <c r="H117" s="542"/>
      <c r="I117" s="542"/>
      <c r="J117" s="542"/>
      <c r="K117" s="542"/>
    </row>
    <row r="118" spans="1:23" s="543" customFormat="1">
      <c r="A118" s="539"/>
      <c r="B118" s="584"/>
      <c r="C118" s="585"/>
      <c r="D118" s="546"/>
      <c r="E118" s="546"/>
      <c r="F118" s="586"/>
      <c r="G118" s="587"/>
      <c r="H118" s="542"/>
      <c r="I118" s="542"/>
      <c r="J118" s="542"/>
      <c r="K118" s="542"/>
    </row>
    <row r="119" spans="1:23" s="543" customFormat="1">
      <c r="A119" s="539"/>
      <c r="B119" s="575"/>
      <c r="C119" s="576"/>
      <c r="D119" s="541"/>
      <c r="E119" s="541"/>
      <c r="F119" s="577"/>
      <c r="G119" s="578"/>
      <c r="H119" s="542"/>
      <c r="I119" s="542"/>
      <c r="J119" s="542"/>
      <c r="K119" s="542"/>
    </row>
    <row r="120" spans="1:23" s="543" customFormat="1">
      <c r="A120" s="539"/>
      <c r="B120" s="584"/>
      <c r="C120" s="585"/>
      <c r="D120" s="546"/>
      <c r="E120" s="546"/>
      <c r="F120" s="586"/>
      <c r="G120" s="587"/>
      <c r="H120" s="542"/>
      <c r="I120" s="542"/>
      <c r="J120" s="542"/>
      <c r="K120" s="542"/>
    </row>
    <row r="121" spans="1:23" s="543" customFormat="1">
      <c r="A121" s="539"/>
      <c r="B121" s="575"/>
      <c r="C121" s="576"/>
      <c r="D121" s="541"/>
      <c r="E121" s="541"/>
      <c r="F121" s="577"/>
      <c r="G121" s="578"/>
      <c r="H121" s="542"/>
      <c r="I121" s="542"/>
      <c r="J121" s="542"/>
      <c r="K121" s="542"/>
    </row>
    <row r="122" spans="1:23" s="547" customFormat="1">
      <c r="A122" s="539"/>
      <c r="B122" s="584"/>
      <c r="C122" s="585"/>
      <c r="D122" s="546"/>
      <c r="E122" s="546"/>
      <c r="F122" s="586"/>
      <c r="G122" s="587"/>
      <c r="H122" s="542"/>
      <c r="I122" s="542"/>
      <c r="J122" s="542"/>
      <c r="K122" s="542"/>
    </row>
    <row r="123" spans="1:23" s="543" customFormat="1">
      <c r="A123" s="539"/>
      <c r="B123" s="575"/>
      <c r="C123" s="576"/>
      <c r="D123" s="541"/>
      <c r="E123" s="541"/>
      <c r="F123" s="577"/>
      <c r="G123" s="578"/>
      <c r="H123" s="542"/>
      <c r="I123" s="542"/>
      <c r="J123" s="542"/>
      <c r="K123" s="542"/>
    </row>
    <row r="124" spans="1:23" s="543" customFormat="1">
      <c r="A124" s="539"/>
      <c r="B124" s="584"/>
      <c r="C124" s="585"/>
      <c r="D124" s="546"/>
      <c r="E124" s="546"/>
      <c r="F124" s="586"/>
      <c r="G124" s="587"/>
      <c r="H124" s="542"/>
      <c r="I124" s="542"/>
      <c r="J124" s="542"/>
      <c r="K124" s="542"/>
    </row>
    <row r="125" spans="1:23" s="543" customFormat="1">
      <c r="A125" s="539"/>
      <c r="B125" s="575"/>
      <c r="C125" s="576"/>
      <c r="D125" s="541"/>
      <c r="E125" s="541"/>
      <c r="F125" s="577"/>
      <c r="G125" s="578"/>
      <c r="H125" s="542"/>
      <c r="I125" s="542"/>
      <c r="J125" s="542"/>
      <c r="K125" s="542"/>
    </row>
    <row r="126" spans="1:23" s="547" customFormat="1">
      <c r="A126" s="539"/>
      <c r="B126" s="584"/>
      <c r="C126" s="585"/>
      <c r="D126" s="546"/>
      <c r="E126" s="546"/>
      <c r="F126" s="586"/>
      <c r="G126" s="587"/>
      <c r="H126" s="542"/>
      <c r="I126" s="542"/>
      <c r="J126" s="542"/>
      <c r="K126" s="542"/>
    </row>
    <row r="127" spans="1:23" s="547" customFormat="1">
      <c r="A127" s="539"/>
      <c r="B127" s="575"/>
      <c r="C127" s="576"/>
      <c r="D127" s="541"/>
      <c r="E127" s="541"/>
      <c r="F127" s="577"/>
      <c r="G127" s="578"/>
      <c r="H127" s="542"/>
      <c r="I127" s="542"/>
      <c r="J127" s="542"/>
      <c r="K127" s="542"/>
    </row>
    <row r="128" spans="1:23" s="547" customFormat="1">
      <c r="A128" s="539"/>
      <c r="B128" s="584"/>
      <c r="C128" s="585"/>
      <c r="D128" s="546"/>
      <c r="E128" s="546"/>
      <c r="F128" s="586"/>
      <c r="G128" s="587"/>
      <c r="H128" s="542"/>
      <c r="I128" s="542"/>
      <c r="J128" s="542"/>
      <c r="K128" s="542"/>
    </row>
    <row r="129" spans="1:11" s="547" customFormat="1">
      <c r="A129" s="539"/>
      <c r="B129" s="575"/>
      <c r="C129" s="576"/>
      <c r="D129" s="541"/>
      <c r="E129" s="541"/>
      <c r="F129" s="577"/>
      <c r="G129" s="578"/>
      <c r="H129" s="542"/>
      <c r="I129" s="542"/>
      <c r="J129" s="542"/>
      <c r="K129" s="542"/>
    </row>
    <row r="130" spans="1:11" s="547" customFormat="1">
      <c r="A130" s="539"/>
      <c r="B130" s="584"/>
      <c r="C130" s="585"/>
      <c r="D130" s="546"/>
      <c r="E130" s="546"/>
      <c r="F130" s="586"/>
      <c r="G130" s="587"/>
      <c r="H130" s="542"/>
      <c r="I130" s="542"/>
      <c r="J130" s="542"/>
      <c r="K130" s="542"/>
    </row>
    <row r="131" spans="1:11" s="547" customFormat="1">
      <c r="A131" s="539"/>
      <c r="B131" s="575"/>
      <c r="C131" s="576"/>
      <c r="D131" s="541"/>
      <c r="E131" s="541"/>
      <c r="F131" s="577"/>
      <c r="G131" s="578"/>
      <c r="H131" s="542"/>
      <c r="I131" s="542"/>
      <c r="J131" s="542"/>
      <c r="K131" s="542"/>
    </row>
    <row r="132" spans="1:11" s="547" customFormat="1">
      <c r="A132" s="539"/>
      <c r="B132" s="584"/>
      <c r="C132" s="585"/>
      <c r="D132" s="546"/>
      <c r="E132" s="546"/>
      <c r="F132" s="586"/>
      <c r="G132" s="587"/>
      <c r="H132" s="542"/>
      <c r="I132" s="542"/>
      <c r="J132" s="542"/>
      <c r="K132" s="542"/>
    </row>
    <row r="133" spans="1:11" s="547" customFormat="1">
      <c r="A133" s="539"/>
      <c r="B133" s="575"/>
      <c r="C133" s="576"/>
      <c r="D133" s="541"/>
      <c r="E133" s="541"/>
      <c r="F133" s="577"/>
      <c r="G133" s="578"/>
      <c r="H133" s="542"/>
      <c r="I133" s="542"/>
      <c r="J133" s="542"/>
      <c r="K133" s="542"/>
    </row>
    <row r="134" spans="1:11" s="547" customFormat="1">
      <c r="A134" s="539"/>
      <c r="B134" s="584"/>
      <c r="C134" s="585"/>
      <c r="D134" s="546"/>
      <c r="E134" s="546"/>
      <c r="F134" s="586"/>
      <c r="G134" s="587"/>
      <c r="H134" s="542"/>
      <c r="I134" s="542"/>
      <c r="J134" s="542"/>
      <c r="K134" s="542"/>
    </row>
    <row r="135" spans="1:11" s="547" customFormat="1">
      <c r="A135" s="539"/>
      <c r="B135" s="575"/>
      <c r="C135" s="576"/>
      <c r="D135" s="541"/>
      <c r="E135" s="541"/>
      <c r="F135" s="577"/>
      <c r="G135" s="578"/>
      <c r="H135" s="542"/>
      <c r="I135" s="542"/>
      <c r="J135" s="542"/>
      <c r="K135" s="542"/>
    </row>
    <row r="136" spans="1:11" s="547" customFormat="1">
      <c r="A136" s="539"/>
      <c r="B136" s="584"/>
      <c r="C136" s="585"/>
      <c r="D136" s="546"/>
      <c r="E136" s="546"/>
      <c r="F136" s="586"/>
      <c r="G136" s="587"/>
      <c r="H136" s="542"/>
      <c r="I136" s="542"/>
      <c r="J136" s="542"/>
      <c r="K136" s="542"/>
    </row>
    <row r="137" spans="1:11" s="547" customFormat="1">
      <c r="A137" s="539"/>
      <c r="B137" s="575"/>
      <c r="C137" s="576"/>
      <c r="D137" s="541"/>
      <c r="E137" s="541"/>
      <c r="F137" s="577"/>
      <c r="G137" s="578"/>
      <c r="H137" s="542"/>
      <c r="I137" s="542"/>
      <c r="J137" s="542"/>
      <c r="K137" s="542"/>
    </row>
    <row r="138" spans="1:11" s="547" customFormat="1">
      <c r="A138" s="539"/>
      <c r="B138" s="584"/>
      <c r="C138" s="585"/>
      <c r="D138" s="546"/>
      <c r="E138" s="546"/>
      <c r="F138" s="586"/>
      <c r="G138" s="587"/>
      <c r="H138" s="542"/>
      <c r="I138" s="542"/>
      <c r="J138" s="542"/>
      <c r="K138" s="542"/>
    </row>
    <row r="139" spans="1:11" s="547" customFormat="1">
      <c r="A139" s="539"/>
      <c r="B139" s="575"/>
      <c r="C139" s="576"/>
      <c r="D139" s="541"/>
      <c r="E139" s="541"/>
      <c r="F139" s="577"/>
      <c r="G139" s="578"/>
      <c r="H139" s="542"/>
      <c r="I139" s="542"/>
      <c r="J139" s="542"/>
      <c r="K139" s="542"/>
    </row>
    <row r="140" spans="1:11" s="547" customFormat="1">
      <c r="A140" s="539"/>
      <c r="B140" s="575"/>
      <c r="C140" s="576"/>
      <c r="D140" s="541"/>
      <c r="E140" s="541"/>
      <c r="F140" s="577"/>
      <c r="G140" s="578"/>
      <c r="H140" s="542"/>
      <c r="I140" s="542"/>
      <c r="J140" s="542"/>
      <c r="K140" s="542"/>
    </row>
    <row r="141" spans="1:11" s="547" customFormat="1">
      <c r="A141" s="539"/>
      <c r="B141" s="575"/>
      <c r="C141" s="576"/>
      <c r="D141" s="541"/>
      <c r="E141" s="541"/>
      <c r="F141" s="577"/>
      <c r="G141" s="578"/>
      <c r="H141" s="542"/>
      <c r="I141" s="542"/>
      <c r="J141" s="542"/>
      <c r="K141" s="542"/>
    </row>
    <row r="142" spans="1:11" s="547" customFormat="1">
      <c r="A142" s="539"/>
      <c r="B142" s="575"/>
      <c r="C142" s="576"/>
      <c r="D142" s="541"/>
      <c r="E142" s="541"/>
      <c r="F142" s="577"/>
      <c r="G142" s="578"/>
      <c r="H142" s="542"/>
      <c r="I142" s="542"/>
      <c r="J142" s="542"/>
      <c r="K142" s="542"/>
    </row>
    <row r="143" spans="1:11" s="547" customFormat="1">
      <c r="A143" s="539"/>
      <c r="B143" s="575"/>
      <c r="C143" s="576"/>
      <c r="D143" s="541"/>
      <c r="E143" s="541"/>
      <c r="F143" s="577"/>
      <c r="G143" s="578"/>
      <c r="H143" s="542"/>
      <c r="I143" s="542"/>
      <c r="J143" s="542"/>
      <c r="K143" s="542"/>
    </row>
    <row r="144" spans="1:11" s="547" customFormat="1">
      <c r="A144" s="539"/>
      <c r="B144" s="575"/>
      <c r="C144" s="576"/>
      <c r="D144" s="541"/>
      <c r="E144" s="541"/>
      <c r="F144" s="577"/>
      <c r="G144" s="578"/>
      <c r="H144" s="542"/>
      <c r="I144" s="542"/>
      <c r="J144" s="542"/>
      <c r="K144" s="542"/>
    </row>
    <row r="145" spans="1:11" s="547" customFormat="1">
      <c r="A145" s="539"/>
      <c r="B145" s="575"/>
      <c r="C145" s="576"/>
      <c r="D145" s="541"/>
      <c r="E145" s="541"/>
      <c r="F145" s="577"/>
      <c r="G145" s="578"/>
      <c r="H145" s="542"/>
      <c r="I145" s="542"/>
      <c r="J145" s="542"/>
      <c r="K145" s="542"/>
    </row>
    <row r="146" spans="1:11" s="547" customFormat="1">
      <c r="A146" s="539"/>
      <c r="B146" s="575"/>
      <c r="C146" s="576"/>
      <c r="D146" s="541"/>
      <c r="E146" s="541"/>
      <c r="F146" s="577"/>
      <c r="G146" s="578"/>
      <c r="H146" s="542"/>
      <c r="I146" s="542"/>
      <c r="J146" s="542"/>
      <c r="K146" s="542"/>
    </row>
    <row r="147" spans="1:11" s="547" customFormat="1">
      <c r="A147" s="539"/>
      <c r="B147" s="575"/>
      <c r="C147" s="576"/>
      <c r="D147" s="541"/>
      <c r="E147" s="541"/>
      <c r="F147" s="577"/>
      <c r="G147" s="578"/>
      <c r="H147" s="542"/>
      <c r="I147" s="542"/>
      <c r="J147" s="542"/>
      <c r="K147" s="542"/>
    </row>
    <row r="148" spans="1:11" s="547" customFormat="1">
      <c r="A148" s="539"/>
      <c r="B148" s="575"/>
      <c r="C148" s="576"/>
      <c r="D148" s="541"/>
      <c r="E148" s="541"/>
      <c r="F148" s="577"/>
      <c r="G148" s="578"/>
      <c r="H148" s="542"/>
      <c r="I148" s="542"/>
      <c r="J148" s="542"/>
      <c r="K148" s="542"/>
    </row>
    <row r="149" spans="1:11" s="547" customFormat="1">
      <c r="A149" s="539"/>
      <c r="B149" s="575"/>
      <c r="C149" s="576"/>
      <c r="D149" s="541"/>
      <c r="E149" s="541"/>
      <c r="F149" s="577"/>
      <c r="G149" s="578"/>
      <c r="H149" s="542"/>
      <c r="I149" s="542"/>
      <c r="J149" s="542"/>
      <c r="K149" s="542"/>
    </row>
    <row r="150" spans="1:11" s="547" customFormat="1">
      <c r="A150" s="539"/>
      <c r="B150" s="575"/>
      <c r="C150" s="576"/>
      <c r="D150" s="541"/>
      <c r="E150" s="541"/>
      <c r="F150" s="577"/>
      <c r="G150" s="578"/>
      <c r="H150" s="542"/>
      <c r="I150" s="542"/>
      <c r="J150" s="542"/>
      <c r="K150" s="542"/>
    </row>
    <row r="151" spans="1:11" s="547" customFormat="1">
      <c r="A151" s="539"/>
      <c r="B151" s="575"/>
      <c r="C151" s="576"/>
      <c r="D151" s="541"/>
      <c r="E151" s="541"/>
      <c r="F151" s="577"/>
      <c r="G151" s="578"/>
      <c r="H151" s="542"/>
      <c r="I151" s="542"/>
      <c r="J151" s="542"/>
      <c r="K151" s="542"/>
    </row>
    <row r="152" spans="1:11" s="547" customFormat="1">
      <c r="A152" s="539"/>
      <c r="B152" s="584"/>
      <c r="C152" s="585"/>
      <c r="D152" s="546"/>
      <c r="E152" s="546"/>
      <c r="F152" s="586"/>
      <c r="G152" s="587"/>
      <c r="H152" s="542"/>
      <c r="I152" s="542"/>
      <c r="J152" s="542"/>
      <c r="K152" s="542"/>
    </row>
    <row r="153" spans="1:11" s="547" customFormat="1">
      <c r="A153" s="539"/>
      <c r="B153" s="575"/>
      <c r="C153" s="576"/>
      <c r="D153" s="541"/>
      <c r="E153" s="541"/>
      <c r="F153" s="577"/>
      <c r="G153" s="578"/>
      <c r="H153" s="542"/>
      <c r="I153" s="542"/>
      <c r="J153" s="542"/>
      <c r="K153" s="542"/>
    </row>
    <row r="154" spans="1:11" s="547" customFormat="1">
      <c r="A154" s="539"/>
      <c r="B154" s="584"/>
      <c r="C154" s="585"/>
      <c r="D154" s="546"/>
      <c r="E154" s="546"/>
      <c r="F154" s="586"/>
      <c r="G154" s="587"/>
      <c r="H154" s="542"/>
      <c r="I154" s="542"/>
      <c r="J154" s="542"/>
      <c r="K154" s="542"/>
    </row>
    <row r="155" spans="1:11" s="547" customFormat="1">
      <c r="A155" s="539"/>
      <c r="B155" s="575"/>
      <c r="C155" s="576"/>
      <c r="D155" s="541"/>
      <c r="E155" s="541"/>
      <c r="F155" s="577"/>
      <c r="G155" s="578"/>
      <c r="H155" s="542"/>
      <c r="I155" s="542"/>
      <c r="J155" s="542"/>
      <c r="K155" s="542"/>
    </row>
    <row r="156" spans="1:11" s="547" customFormat="1">
      <c r="A156" s="539"/>
      <c r="B156" s="575"/>
      <c r="C156" s="576"/>
      <c r="D156" s="541"/>
      <c r="E156" s="541"/>
      <c r="F156" s="577"/>
      <c r="G156" s="578"/>
      <c r="H156" s="542"/>
      <c r="I156" s="542"/>
      <c r="J156" s="542"/>
      <c r="K156" s="542"/>
    </row>
    <row r="157" spans="1:11" s="547" customFormat="1">
      <c r="A157" s="539"/>
      <c r="B157" s="584"/>
      <c r="C157" s="585"/>
      <c r="D157" s="546"/>
      <c r="E157" s="546"/>
      <c r="F157" s="586"/>
      <c r="G157" s="587"/>
      <c r="H157" s="542"/>
      <c r="I157" s="542"/>
      <c r="J157" s="542"/>
      <c r="K157" s="542"/>
    </row>
    <row r="158" spans="1:11" s="547" customFormat="1">
      <c r="A158" s="539"/>
      <c r="B158" s="575"/>
      <c r="C158" s="576"/>
      <c r="D158" s="541"/>
      <c r="E158" s="541"/>
      <c r="F158" s="577"/>
      <c r="G158" s="578"/>
      <c r="H158" s="542"/>
      <c r="I158" s="542"/>
      <c r="J158" s="542"/>
      <c r="K158" s="542"/>
    </row>
    <row r="159" spans="1:11" s="547" customFormat="1">
      <c r="A159" s="539"/>
      <c r="B159" s="584"/>
      <c r="C159" s="585"/>
      <c r="D159" s="546"/>
      <c r="E159" s="546"/>
      <c r="F159" s="586"/>
      <c r="G159" s="587"/>
      <c r="H159" s="542"/>
      <c r="I159" s="542"/>
      <c r="J159" s="542"/>
      <c r="K159" s="542"/>
    </row>
    <row r="160" spans="1:11" s="547" customFormat="1">
      <c r="A160" s="539"/>
      <c r="B160" s="575"/>
      <c r="C160" s="576"/>
      <c r="D160" s="541"/>
      <c r="E160" s="541"/>
      <c r="F160" s="577"/>
      <c r="G160" s="578"/>
      <c r="H160" s="542"/>
      <c r="I160" s="542"/>
      <c r="J160" s="542"/>
      <c r="K160" s="542"/>
    </row>
    <row r="161" spans="1:23" s="547" customFormat="1">
      <c r="A161" s="539"/>
      <c r="B161" s="584"/>
      <c r="C161" s="585"/>
      <c r="D161" s="546"/>
      <c r="E161" s="546"/>
      <c r="F161" s="586"/>
      <c r="G161" s="587"/>
      <c r="H161" s="542"/>
      <c r="I161" s="542"/>
      <c r="J161" s="542"/>
      <c r="K161" s="542"/>
    </row>
    <row r="162" spans="1:23" s="547" customFormat="1">
      <c r="A162" s="539"/>
      <c r="B162" s="575"/>
      <c r="C162" s="576"/>
      <c r="D162" s="541"/>
      <c r="E162" s="541"/>
      <c r="F162" s="577"/>
      <c r="G162" s="578"/>
      <c r="H162" s="542"/>
      <c r="I162" s="542"/>
      <c r="J162" s="542"/>
      <c r="K162" s="542"/>
    </row>
    <row r="163" spans="1:23" s="547" customFormat="1">
      <c r="A163" s="539"/>
      <c r="B163" s="575"/>
      <c r="C163" s="576"/>
      <c r="D163" s="541"/>
      <c r="E163" s="541"/>
      <c r="F163" s="577"/>
      <c r="G163" s="578"/>
      <c r="H163" s="542"/>
      <c r="I163" s="542"/>
      <c r="J163" s="542"/>
      <c r="K163" s="542"/>
    </row>
    <row r="164" spans="1:23" s="547" customFormat="1">
      <c r="A164" s="539"/>
      <c r="B164" s="575"/>
      <c r="C164" s="576"/>
      <c r="D164" s="541"/>
      <c r="E164" s="541"/>
      <c r="F164" s="577"/>
      <c r="G164" s="578"/>
      <c r="H164" s="542"/>
      <c r="I164" s="542"/>
      <c r="J164" s="542"/>
      <c r="K164" s="542"/>
    </row>
    <row r="165" spans="1:23" s="547" customFormat="1">
      <c r="A165" s="539"/>
      <c r="B165" s="575"/>
      <c r="C165" s="576"/>
      <c r="D165" s="541"/>
      <c r="E165" s="541"/>
      <c r="F165" s="577"/>
      <c r="G165" s="578"/>
      <c r="H165" s="542"/>
      <c r="I165" s="542"/>
      <c r="J165" s="542"/>
      <c r="K165" s="542"/>
    </row>
    <row r="166" spans="1:23" s="547" customFormat="1">
      <c r="A166" s="539"/>
      <c r="B166" s="575"/>
      <c r="C166" s="576"/>
      <c r="D166" s="541"/>
      <c r="E166" s="541"/>
      <c r="F166" s="577"/>
      <c r="G166" s="578"/>
      <c r="H166" s="542"/>
      <c r="I166" s="542"/>
      <c r="J166" s="542"/>
      <c r="K166" s="542"/>
      <c r="U166" s="536"/>
      <c r="W166" s="536"/>
    </row>
    <row r="167" spans="1:23">
      <c r="A167" s="550"/>
      <c r="B167" s="590"/>
      <c r="C167" s="591"/>
      <c r="D167" s="551"/>
      <c r="E167" s="551"/>
      <c r="F167" s="592"/>
      <c r="G167" s="593"/>
      <c r="H167" s="552"/>
      <c r="I167" s="552"/>
      <c r="J167" s="552"/>
      <c r="K167" s="552"/>
    </row>
    <row r="168" spans="1:23">
      <c r="A168" s="553" t="s">
        <v>154</v>
      </c>
      <c r="B168" s="594"/>
      <c r="C168" s="595"/>
      <c r="D168" s="596"/>
      <c r="E168" s="596"/>
      <c r="F168" s="597" t="s">
        <v>256</v>
      </c>
      <c r="G168" s="598"/>
      <c r="H168" s="599" t="s">
        <v>230</v>
      </c>
      <c r="I168" s="556">
        <f>SUM(I114:I167)</f>
        <v>0</v>
      </c>
      <c r="J168" s="599"/>
      <c r="K168" s="556">
        <f>SUM(K114:K167)</f>
        <v>0</v>
      </c>
    </row>
    <row r="169" spans="1:23" ht="16.5" customHeight="1">
      <c r="A169" s="533" t="s">
        <v>143</v>
      </c>
      <c r="B169" s="567" t="s">
        <v>209</v>
      </c>
      <c r="C169" s="1107" t="s">
        <v>210</v>
      </c>
      <c r="D169" s="1108"/>
      <c r="E169" s="1108"/>
      <c r="F169" s="1109"/>
      <c r="G169" s="568" t="s">
        <v>211</v>
      </c>
      <c r="H169" s="535" t="s">
        <v>212</v>
      </c>
      <c r="I169" s="535" t="s">
        <v>164</v>
      </c>
      <c r="J169" s="603" t="s">
        <v>299</v>
      </c>
      <c r="K169" s="603" t="s">
        <v>301</v>
      </c>
    </row>
    <row r="170" spans="1:23" s="538" customFormat="1">
      <c r="A170" s="262"/>
      <c r="B170" s="570"/>
      <c r="C170" s="571" t="s">
        <v>196</v>
      </c>
      <c r="D170" s="572" t="s">
        <v>192</v>
      </c>
      <c r="E170" s="572" t="s">
        <v>197</v>
      </c>
      <c r="F170" s="573" t="s">
        <v>198</v>
      </c>
      <c r="G170" s="574"/>
      <c r="H170" s="537" t="s">
        <v>257</v>
      </c>
      <c r="I170" s="537" t="s">
        <v>257</v>
      </c>
      <c r="J170" s="604" t="s">
        <v>300</v>
      </c>
      <c r="K170" s="604" t="s">
        <v>300</v>
      </c>
    </row>
    <row r="171" spans="1:23" s="538" customFormat="1">
      <c r="A171" s="539"/>
      <c r="B171" s="575"/>
      <c r="C171" s="576"/>
      <c r="D171" s="541"/>
      <c r="E171" s="541"/>
      <c r="F171" s="577"/>
      <c r="G171" s="578"/>
      <c r="H171" s="542"/>
      <c r="I171" s="542"/>
      <c r="J171" s="542"/>
      <c r="K171" s="542"/>
      <c r="U171" s="543"/>
      <c r="W171" s="543"/>
    </row>
    <row r="172" spans="1:23" s="543" customFormat="1">
      <c r="A172" s="539"/>
      <c r="B172" s="575"/>
      <c r="C172" s="576"/>
      <c r="D172" s="541"/>
      <c r="E172" s="541"/>
      <c r="F172" s="577"/>
      <c r="G172" s="578"/>
      <c r="H172" s="542"/>
      <c r="I172" s="542"/>
      <c r="J172" s="542"/>
      <c r="K172" s="542"/>
    </row>
    <row r="173" spans="1:23" s="543" customFormat="1">
      <c r="A173" s="539"/>
      <c r="B173" s="580"/>
      <c r="C173" s="581"/>
      <c r="D173" s="582"/>
      <c r="E173" s="582"/>
      <c r="F173" s="583"/>
      <c r="G173" s="578"/>
      <c r="H173" s="542"/>
      <c r="I173" s="542"/>
      <c r="J173" s="542"/>
      <c r="K173" s="542"/>
    </row>
    <row r="174" spans="1:23" s="543" customFormat="1">
      <c r="A174" s="539"/>
      <c r="B174" s="575"/>
      <c r="C174" s="576"/>
      <c r="D174" s="541"/>
      <c r="E174" s="541"/>
      <c r="F174" s="577"/>
      <c r="G174" s="578"/>
      <c r="H174" s="542"/>
      <c r="I174" s="542"/>
      <c r="J174" s="542"/>
      <c r="K174" s="542"/>
    </row>
    <row r="175" spans="1:23" s="543" customFormat="1">
      <c r="A175" s="539"/>
      <c r="B175" s="584"/>
      <c r="C175" s="585"/>
      <c r="D175" s="546"/>
      <c r="E175" s="546"/>
      <c r="F175" s="586"/>
      <c r="G175" s="587"/>
      <c r="H175" s="542"/>
      <c r="I175" s="542"/>
      <c r="J175" s="542"/>
      <c r="K175" s="542"/>
    </row>
    <row r="176" spans="1:23" s="543" customFormat="1">
      <c r="A176" s="539"/>
      <c r="B176" s="575"/>
      <c r="C176" s="576"/>
      <c r="D176" s="541"/>
      <c r="E176" s="541"/>
      <c r="F176" s="577"/>
      <c r="G176" s="578"/>
      <c r="H176" s="542"/>
      <c r="I176" s="542"/>
      <c r="J176" s="542"/>
      <c r="K176" s="542"/>
    </row>
    <row r="177" spans="1:11" s="543" customFormat="1">
      <c r="A177" s="539"/>
      <c r="B177" s="584"/>
      <c r="C177" s="585"/>
      <c r="D177" s="546"/>
      <c r="E177" s="546"/>
      <c r="F177" s="586"/>
      <c r="G177" s="587"/>
      <c r="H177" s="542"/>
      <c r="I177" s="542"/>
      <c r="J177" s="542"/>
      <c r="K177" s="542"/>
    </row>
    <row r="178" spans="1:11" s="543" customFormat="1">
      <c r="A178" s="539"/>
      <c r="B178" s="575"/>
      <c r="C178" s="576"/>
      <c r="D178" s="541"/>
      <c r="E178" s="541"/>
      <c r="F178" s="577"/>
      <c r="G178" s="578"/>
      <c r="H178" s="542"/>
      <c r="I178" s="542"/>
      <c r="J178" s="542"/>
      <c r="K178" s="542"/>
    </row>
    <row r="179" spans="1:11" s="547" customFormat="1">
      <c r="A179" s="539"/>
      <c r="B179" s="584"/>
      <c r="C179" s="585"/>
      <c r="D179" s="546"/>
      <c r="E179" s="546"/>
      <c r="F179" s="586"/>
      <c r="G179" s="587"/>
      <c r="H179" s="542"/>
      <c r="I179" s="542"/>
      <c r="J179" s="542"/>
      <c r="K179" s="542"/>
    </row>
    <row r="180" spans="1:11" s="543" customFormat="1">
      <c r="A180" s="539"/>
      <c r="B180" s="575"/>
      <c r="C180" s="576"/>
      <c r="D180" s="541"/>
      <c r="E180" s="541"/>
      <c r="F180" s="577"/>
      <c r="G180" s="578"/>
      <c r="H180" s="542"/>
      <c r="I180" s="542"/>
      <c r="J180" s="542"/>
      <c r="K180" s="542"/>
    </row>
    <row r="181" spans="1:11" s="543" customFormat="1">
      <c r="A181" s="539"/>
      <c r="B181" s="584"/>
      <c r="C181" s="585"/>
      <c r="D181" s="546"/>
      <c r="E181" s="546"/>
      <c r="F181" s="586"/>
      <c r="G181" s="587"/>
      <c r="H181" s="542"/>
      <c r="I181" s="542"/>
      <c r="J181" s="542"/>
      <c r="K181" s="542"/>
    </row>
    <row r="182" spans="1:11" s="543" customFormat="1">
      <c r="A182" s="539"/>
      <c r="B182" s="575"/>
      <c r="C182" s="576"/>
      <c r="D182" s="541"/>
      <c r="E182" s="541"/>
      <c r="F182" s="577"/>
      <c r="G182" s="578"/>
      <c r="H182" s="542"/>
      <c r="I182" s="542"/>
      <c r="J182" s="542"/>
      <c r="K182" s="542"/>
    </row>
    <row r="183" spans="1:11" s="547" customFormat="1">
      <c r="A183" s="539"/>
      <c r="B183" s="584"/>
      <c r="C183" s="585"/>
      <c r="D183" s="546"/>
      <c r="E183" s="546"/>
      <c r="F183" s="586"/>
      <c r="G183" s="587"/>
      <c r="H183" s="542"/>
      <c r="I183" s="542"/>
      <c r="J183" s="542"/>
      <c r="K183" s="542"/>
    </row>
    <row r="184" spans="1:11" s="547" customFormat="1">
      <c r="A184" s="539"/>
      <c r="B184" s="575"/>
      <c r="C184" s="576"/>
      <c r="D184" s="541"/>
      <c r="E184" s="541"/>
      <c r="F184" s="577"/>
      <c r="G184" s="578"/>
      <c r="H184" s="542"/>
      <c r="I184" s="542"/>
      <c r="J184" s="542"/>
      <c r="K184" s="542"/>
    </row>
    <row r="185" spans="1:11" s="547" customFormat="1">
      <c r="A185" s="539"/>
      <c r="B185" s="584"/>
      <c r="C185" s="585"/>
      <c r="D185" s="546"/>
      <c r="E185" s="546"/>
      <c r="F185" s="586"/>
      <c r="G185" s="587"/>
      <c r="H185" s="542"/>
      <c r="I185" s="542"/>
      <c r="J185" s="542"/>
      <c r="K185" s="542"/>
    </row>
    <row r="186" spans="1:11" s="547" customFormat="1">
      <c r="A186" s="539"/>
      <c r="B186" s="575"/>
      <c r="C186" s="576"/>
      <c r="D186" s="541"/>
      <c r="E186" s="541"/>
      <c r="F186" s="577"/>
      <c r="G186" s="578"/>
      <c r="H186" s="542"/>
      <c r="I186" s="542"/>
      <c r="J186" s="542"/>
      <c r="K186" s="542"/>
    </row>
    <row r="187" spans="1:11" s="547" customFormat="1">
      <c r="A187" s="539"/>
      <c r="B187" s="584"/>
      <c r="C187" s="585"/>
      <c r="D187" s="546"/>
      <c r="E187" s="546"/>
      <c r="F187" s="586"/>
      <c r="G187" s="587"/>
      <c r="H187" s="542"/>
      <c r="I187" s="542"/>
      <c r="J187" s="542"/>
      <c r="K187" s="542"/>
    </row>
    <row r="188" spans="1:11" s="547" customFormat="1">
      <c r="A188" s="539"/>
      <c r="B188" s="575"/>
      <c r="C188" s="576"/>
      <c r="D188" s="541"/>
      <c r="E188" s="541"/>
      <c r="F188" s="577"/>
      <c r="G188" s="578"/>
      <c r="H188" s="542"/>
      <c r="I188" s="542"/>
      <c r="J188" s="542"/>
      <c r="K188" s="542"/>
    </row>
    <row r="189" spans="1:11" s="547" customFormat="1">
      <c r="A189" s="539"/>
      <c r="B189" s="584"/>
      <c r="C189" s="585"/>
      <c r="D189" s="546"/>
      <c r="E189" s="546"/>
      <c r="F189" s="586"/>
      <c r="G189" s="587"/>
      <c r="H189" s="542"/>
      <c r="I189" s="542"/>
      <c r="J189" s="542"/>
      <c r="K189" s="542"/>
    </row>
    <row r="190" spans="1:11" s="547" customFormat="1">
      <c r="A190" s="539"/>
      <c r="B190" s="575"/>
      <c r="C190" s="576"/>
      <c r="D190" s="541"/>
      <c r="E190" s="541"/>
      <c r="F190" s="577"/>
      <c r="G190" s="578"/>
      <c r="H190" s="542"/>
      <c r="I190" s="542"/>
      <c r="J190" s="542"/>
      <c r="K190" s="542"/>
    </row>
    <row r="191" spans="1:11" s="547" customFormat="1">
      <c r="A191" s="539"/>
      <c r="B191" s="584"/>
      <c r="C191" s="585"/>
      <c r="D191" s="546"/>
      <c r="E191" s="546"/>
      <c r="F191" s="586"/>
      <c r="G191" s="587"/>
      <c r="H191" s="542"/>
      <c r="I191" s="542"/>
      <c r="J191" s="542"/>
      <c r="K191" s="542"/>
    </row>
    <row r="192" spans="1:11" s="547" customFormat="1">
      <c r="A192" s="539"/>
      <c r="B192" s="575"/>
      <c r="C192" s="576"/>
      <c r="D192" s="541"/>
      <c r="E192" s="541"/>
      <c r="F192" s="577"/>
      <c r="G192" s="578"/>
      <c r="H192" s="542"/>
      <c r="I192" s="542"/>
      <c r="J192" s="542"/>
      <c r="K192" s="542"/>
    </row>
    <row r="193" spans="1:11" s="547" customFormat="1">
      <c r="A193" s="539"/>
      <c r="B193" s="584"/>
      <c r="C193" s="585"/>
      <c r="D193" s="546"/>
      <c r="E193" s="546"/>
      <c r="F193" s="586"/>
      <c r="G193" s="587"/>
      <c r="H193" s="542"/>
      <c r="I193" s="542"/>
      <c r="J193" s="542"/>
      <c r="K193" s="542"/>
    </row>
    <row r="194" spans="1:11" s="547" customFormat="1">
      <c r="A194" s="539"/>
      <c r="B194" s="575"/>
      <c r="C194" s="576"/>
      <c r="D194" s="541"/>
      <c r="E194" s="541"/>
      <c r="F194" s="577"/>
      <c r="G194" s="578"/>
      <c r="H194" s="542"/>
      <c r="I194" s="542"/>
      <c r="J194" s="542"/>
      <c r="K194" s="542"/>
    </row>
    <row r="195" spans="1:11" s="547" customFormat="1">
      <c r="A195" s="539"/>
      <c r="B195" s="584"/>
      <c r="C195" s="585"/>
      <c r="D195" s="546"/>
      <c r="E195" s="546"/>
      <c r="F195" s="586"/>
      <c r="G195" s="587"/>
      <c r="H195" s="542"/>
      <c r="I195" s="542"/>
      <c r="J195" s="542"/>
      <c r="K195" s="542"/>
    </row>
    <row r="196" spans="1:11" s="547" customFormat="1">
      <c r="A196" s="539"/>
      <c r="B196" s="575"/>
      <c r="C196" s="576"/>
      <c r="D196" s="541"/>
      <c r="E196" s="541"/>
      <c r="F196" s="577"/>
      <c r="G196" s="578"/>
      <c r="H196" s="542"/>
      <c r="I196" s="542"/>
      <c r="J196" s="542"/>
      <c r="K196" s="542"/>
    </row>
    <row r="197" spans="1:11" s="547" customFormat="1">
      <c r="A197" s="539"/>
      <c r="B197" s="575"/>
      <c r="C197" s="576"/>
      <c r="D197" s="541"/>
      <c r="E197" s="541"/>
      <c r="F197" s="577"/>
      <c r="G197" s="578"/>
      <c r="H197" s="542"/>
      <c r="I197" s="542"/>
      <c r="J197" s="542"/>
      <c r="K197" s="542"/>
    </row>
    <row r="198" spans="1:11" s="547" customFormat="1">
      <c r="A198" s="539"/>
      <c r="B198" s="575"/>
      <c r="C198" s="576"/>
      <c r="D198" s="541"/>
      <c r="E198" s="541"/>
      <c r="F198" s="577"/>
      <c r="G198" s="578"/>
      <c r="H198" s="542"/>
      <c r="I198" s="542"/>
      <c r="J198" s="542"/>
      <c r="K198" s="542"/>
    </row>
    <row r="199" spans="1:11" s="547" customFormat="1">
      <c r="A199" s="539"/>
      <c r="B199" s="575"/>
      <c r="C199" s="576"/>
      <c r="D199" s="541"/>
      <c r="E199" s="541"/>
      <c r="F199" s="577"/>
      <c r="G199" s="578"/>
      <c r="H199" s="542"/>
      <c r="I199" s="542"/>
      <c r="J199" s="542"/>
      <c r="K199" s="542"/>
    </row>
    <row r="200" spans="1:11" s="547" customFormat="1">
      <c r="A200" s="539"/>
      <c r="B200" s="575"/>
      <c r="C200" s="576"/>
      <c r="D200" s="541"/>
      <c r="E200" s="541"/>
      <c r="F200" s="577"/>
      <c r="G200" s="578"/>
      <c r="H200" s="542"/>
      <c r="I200" s="542"/>
      <c r="J200" s="542"/>
      <c r="K200" s="542"/>
    </row>
    <row r="201" spans="1:11" s="547" customFormat="1">
      <c r="A201" s="539"/>
      <c r="B201" s="575"/>
      <c r="C201" s="576"/>
      <c r="D201" s="541"/>
      <c r="E201" s="541"/>
      <c r="F201" s="577"/>
      <c r="G201" s="578"/>
      <c r="H201" s="542"/>
      <c r="I201" s="542"/>
      <c r="J201" s="542"/>
      <c r="K201" s="542"/>
    </row>
    <row r="202" spans="1:11" s="547" customFormat="1">
      <c r="A202" s="539"/>
      <c r="B202" s="575"/>
      <c r="C202" s="576"/>
      <c r="D202" s="541"/>
      <c r="E202" s="541"/>
      <c r="F202" s="577"/>
      <c r="G202" s="578"/>
      <c r="H202" s="542"/>
      <c r="I202" s="542"/>
      <c r="J202" s="542"/>
      <c r="K202" s="542"/>
    </row>
    <row r="203" spans="1:11" s="547" customFormat="1">
      <c r="A203" s="539"/>
      <c r="B203" s="575"/>
      <c r="C203" s="576"/>
      <c r="D203" s="541"/>
      <c r="E203" s="541"/>
      <c r="F203" s="577"/>
      <c r="G203" s="578"/>
      <c r="H203" s="542"/>
      <c r="I203" s="542"/>
      <c r="J203" s="542"/>
      <c r="K203" s="542"/>
    </row>
    <row r="204" spans="1:11" s="547" customFormat="1">
      <c r="A204" s="539"/>
      <c r="B204" s="575"/>
      <c r="C204" s="576"/>
      <c r="D204" s="541"/>
      <c r="E204" s="541"/>
      <c r="F204" s="577"/>
      <c r="G204" s="578"/>
      <c r="H204" s="542"/>
      <c r="I204" s="542"/>
      <c r="J204" s="542"/>
      <c r="K204" s="542"/>
    </row>
    <row r="205" spans="1:11" s="547" customFormat="1">
      <c r="A205" s="539"/>
      <c r="B205" s="575"/>
      <c r="C205" s="576"/>
      <c r="D205" s="541"/>
      <c r="E205" s="541"/>
      <c r="F205" s="577"/>
      <c r="G205" s="578"/>
      <c r="H205" s="542"/>
      <c r="I205" s="542"/>
      <c r="J205" s="542"/>
      <c r="K205" s="542"/>
    </row>
    <row r="206" spans="1:11" s="547" customFormat="1">
      <c r="A206" s="539"/>
      <c r="B206" s="575"/>
      <c r="C206" s="576"/>
      <c r="D206" s="541"/>
      <c r="E206" s="541"/>
      <c r="F206" s="577"/>
      <c r="G206" s="578"/>
      <c r="H206" s="542"/>
      <c r="I206" s="542"/>
      <c r="J206" s="542"/>
      <c r="K206" s="542"/>
    </row>
    <row r="207" spans="1:11" s="547" customFormat="1">
      <c r="A207" s="539"/>
      <c r="B207" s="575"/>
      <c r="C207" s="576"/>
      <c r="D207" s="541"/>
      <c r="E207" s="541"/>
      <c r="F207" s="577"/>
      <c r="G207" s="578"/>
      <c r="H207" s="542"/>
      <c r="I207" s="542"/>
      <c r="J207" s="542"/>
      <c r="K207" s="542"/>
    </row>
    <row r="208" spans="1:11" s="547" customFormat="1">
      <c r="A208" s="539"/>
      <c r="B208" s="575"/>
      <c r="C208" s="576"/>
      <c r="D208" s="541"/>
      <c r="E208" s="541"/>
      <c r="F208" s="577"/>
      <c r="G208" s="578"/>
      <c r="H208" s="542"/>
      <c r="I208" s="542"/>
      <c r="J208" s="542"/>
      <c r="K208" s="542"/>
    </row>
    <row r="209" spans="1:23" s="547" customFormat="1">
      <c r="A209" s="539"/>
      <c r="B209" s="575"/>
      <c r="C209" s="576"/>
      <c r="D209" s="541"/>
      <c r="E209" s="541"/>
      <c r="F209" s="577"/>
      <c r="G209" s="578"/>
      <c r="H209" s="542"/>
      <c r="I209" s="542"/>
      <c r="J209" s="542"/>
      <c r="K209" s="542"/>
    </row>
    <row r="210" spans="1:23" s="547" customFormat="1">
      <c r="A210" s="539"/>
      <c r="B210" s="584"/>
      <c r="C210" s="585"/>
      <c r="D210" s="546"/>
      <c r="E210" s="546"/>
      <c r="F210" s="586"/>
      <c r="G210" s="587"/>
      <c r="H210" s="542"/>
      <c r="I210" s="542"/>
      <c r="J210" s="542"/>
      <c r="K210" s="542"/>
    </row>
    <row r="211" spans="1:23" s="547" customFormat="1">
      <c r="A211" s="539"/>
      <c r="B211" s="575"/>
      <c r="C211" s="576"/>
      <c r="D211" s="541"/>
      <c r="E211" s="541"/>
      <c r="F211" s="577"/>
      <c r="G211" s="578"/>
      <c r="H211" s="542"/>
      <c r="I211" s="542"/>
      <c r="J211" s="542"/>
      <c r="K211" s="542"/>
    </row>
    <row r="212" spans="1:23" s="547" customFormat="1">
      <c r="A212" s="539"/>
      <c r="B212" s="584"/>
      <c r="C212" s="585"/>
      <c r="D212" s="546"/>
      <c r="E212" s="546"/>
      <c r="F212" s="586"/>
      <c r="G212" s="587"/>
      <c r="H212" s="542"/>
      <c r="I212" s="542"/>
      <c r="J212" s="542"/>
      <c r="K212" s="542"/>
    </row>
    <row r="213" spans="1:23" s="547" customFormat="1">
      <c r="A213" s="539"/>
      <c r="B213" s="575"/>
      <c r="C213" s="576"/>
      <c r="D213" s="541"/>
      <c r="E213" s="541"/>
      <c r="F213" s="577"/>
      <c r="G213" s="578"/>
      <c r="H213" s="542"/>
      <c r="I213" s="542"/>
      <c r="J213" s="542"/>
      <c r="K213" s="542"/>
    </row>
    <row r="214" spans="1:23" s="547" customFormat="1">
      <c r="A214" s="539"/>
      <c r="B214" s="584"/>
      <c r="C214" s="585"/>
      <c r="D214" s="546"/>
      <c r="E214" s="546"/>
      <c r="F214" s="586"/>
      <c r="G214" s="587"/>
      <c r="H214" s="542"/>
      <c r="I214" s="542"/>
      <c r="J214" s="542"/>
      <c r="K214" s="542"/>
    </row>
    <row r="215" spans="1:23" s="547" customFormat="1">
      <c r="A215" s="539"/>
      <c r="B215" s="575"/>
      <c r="C215" s="576"/>
      <c r="D215" s="541"/>
      <c r="E215" s="541"/>
      <c r="F215" s="577"/>
      <c r="G215" s="578"/>
      <c r="H215" s="542"/>
      <c r="I215" s="542"/>
      <c r="J215" s="542"/>
      <c r="K215" s="542"/>
    </row>
    <row r="216" spans="1:23" s="547" customFormat="1">
      <c r="A216" s="539"/>
      <c r="B216" s="584"/>
      <c r="C216" s="585"/>
      <c r="D216" s="546"/>
      <c r="E216" s="546"/>
      <c r="F216" s="586"/>
      <c r="G216" s="587"/>
      <c r="H216" s="542"/>
      <c r="I216" s="542"/>
      <c r="J216" s="542"/>
      <c r="K216" s="542"/>
    </row>
    <row r="217" spans="1:23" s="547" customFormat="1">
      <c r="A217" s="539"/>
      <c r="B217" s="575"/>
      <c r="C217" s="576"/>
      <c r="D217" s="541"/>
      <c r="E217" s="541"/>
      <c r="F217" s="577"/>
      <c r="G217" s="578"/>
      <c r="H217" s="542"/>
      <c r="I217" s="542"/>
      <c r="J217" s="542"/>
      <c r="K217" s="542"/>
    </row>
    <row r="218" spans="1:23" s="547" customFormat="1">
      <c r="A218" s="539"/>
      <c r="B218" s="584"/>
      <c r="C218" s="585"/>
      <c r="D218" s="546"/>
      <c r="E218" s="546"/>
      <c r="F218" s="586"/>
      <c r="G218" s="587"/>
      <c r="H218" s="542"/>
      <c r="I218" s="542"/>
      <c r="J218" s="542"/>
      <c r="K218" s="542"/>
    </row>
    <row r="219" spans="1:23" s="547" customFormat="1">
      <c r="A219" s="539"/>
      <c r="B219" s="575"/>
      <c r="C219" s="576"/>
      <c r="D219" s="541"/>
      <c r="E219" s="541"/>
      <c r="F219" s="577"/>
      <c r="G219" s="578"/>
      <c r="H219" s="542"/>
      <c r="I219" s="542"/>
      <c r="J219" s="542"/>
      <c r="K219" s="542"/>
    </row>
    <row r="220" spans="1:23" s="547" customFormat="1">
      <c r="A220" s="539"/>
      <c r="B220" s="575"/>
      <c r="C220" s="576"/>
      <c r="D220" s="541"/>
      <c r="E220" s="541"/>
      <c r="F220" s="577"/>
      <c r="G220" s="578"/>
      <c r="H220" s="542"/>
      <c r="I220" s="542"/>
      <c r="J220" s="542"/>
      <c r="K220" s="542"/>
      <c r="U220" s="536"/>
      <c r="W220" s="536"/>
    </row>
    <row r="221" spans="1:23" s="547" customFormat="1">
      <c r="A221" s="539"/>
      <c r="B221" s="575"/>
      <c r="C221" s="576"/>
      <c r="D221" s="541"/>
      <c r="E221" s="541"/>
      <c r="F221" s="577"/>
      <c r="G221" s="578"/>
      <c r="H221" s="542"/>
      <c r="I221" s="542"/>
      <c r="J221" s="542"/>
      <c r="K221" s="542"/>
      <c r="U221" s="536"/>
      <c r="W221" s="536"/>
    </row>
    <row r="222" spans="1:23" s="547" customFormat="1">
      <c r="A222" s="539"/>
      <c r="B222" s="575"/>
      <c r="C222" s="576"/>
      <c r="D222" s="541"/>
      <c r="E222" s="541"/>
      <c r="F222" s="577"/>
      <c r="G222" s="578"/>
      <c r="H222" s="542"/>
      <c r="I222" s="542"/>
      <c r="J222" s="542"/>
      <c r="K222" s="542"/>
      <c r="U222" s="536"/>
      <c r="W222" s="536"/>
    </row>
    <row r="223" spans="1:23" s="547" customFormat="1">
      <c r="A223" s="539"/>
      <c r="B223" s="575"/>
      <c r="C223" s="576"/>
      <c r="D223" s="541"/>
      <c r="E223" s="541"/>
      <c r="F223" s="577"/>
      <c r="G223" s="578"/>
      <c r="H223" s="542"/>
      <c r="I223" s="542"/>
      <c r="J223" s="542"/>
      <c r="K223" s="542"/>
      <c r="U223" s="536"/>
      <c r="W223" s="536"/>
    </row>
    <row r="224" spans="1:23">
      <c r="A224" s="550"/>
      <c r="B224" s="590"/>
      <c r="C224" s="591"/>
      <c r="D224" s="551"/>
      <c r="E224" s="551"/>
      <c r="F224" s="592"/>
      <c r="G224" s="593"/>
      <c r="H224" s="552"/>
      <c r="I224" s="552"/>
      <c r="J224" s="552"/>
      <c r="K224" s="552"/>
    </row>
    <row r="225" spans="1:23">
      <c r="A225" s="553" t="s">
        <v>154</v>
      </c>
      <c r="B225" s="594"/>
      <c r="C225" s="595"/>
      <c r="D225" s="596"/>
      <c r="E225" s="596"/>
      <c r="F225" s="597" t="s">
        <v>256</v>
      </c>
      <c r="G225" s="598"/>
      <c r="H225" s="599" t="s">
        <v>230</v>
      </c>
      <c r="I225" s="556">
        <f>SUM(I171:I224)</f>
        <v>0</v>
      </c>
      <c r="J225" s="599"/>
      <c r="K225" s="556">
        <f>SUM(K171:K224)</f>
        <v>0</v>
      </c>
    </row>
    <row r="226" spans="1:23">
      <c r="A226" s="533" t="s">
        <v>143</v>
      </c>
      <c r="B226" s="567" t="s">
        <v>209</v>
      </c>
      <c r="C226" s="1107" t="s">
        <v>210</v>
      </c>
      <c r="D226" s="1108"/>
      <c r="E226" s="1108"/>
      <c r="F226" s="1109"/>
      <c r="G226" s="568" t="s">
        <v>211</v>
      </c>
      <c r="H226" s="535" t="s">
        <v>212</v>
      </c>
      <c r="I226" s="535" t="s">
        <v>164</v>
      </c>
      <c r="J226" s="603" t="s">
        <v>299</v>
      </c>
      <c r="K226" s="603" t="s">
        <v>301</v>
      </c>
    </row>
    <row r="227" spans="1:23">
      <c r="A227" s="262"/>
      <c r="B227" s="570"/>
      <c r="C227" s="571" t="s">
        <v>196</v>
      </c>
      <c r="D227" s="572" t="s">
        <v>192</v>
      </c>
      <c r="E227" s="572" t="s">
        <v>197</v>
      </c>
      <c r="F227" s="573" t="s">
        <v>198</v>
      </c>
      <c r="G227" s="574"/>
      <c r="H227" s="537" t="s">
        <v>257</v>
      </c>
      <c r="I227" s="537" t="s">
        <v>257</v>
      </c>
      <c r="J227" s="604" t="s">
        <v>300</v>
      </c>
      <c r="K227" s="604" t="s">
        <v>300</v>
      </c>
    </row>
    <row r="228" spans="1:23">
      <c r="A228" s="539"/>
      <c r="B228" s="575"/>
      <c r="C228" s="576"/>
      <c r="D228" s="541"/>
      <c r="E228" s="541"/>
      <c r="F228" s="577"/>
      <c r="G228" s="578"/>
      <c r="H228" s="542"/>
      <c r="I228" s="542"/>
      <c r="J228" s="542"/>
      <c r="K228" s="542"/>
    </row>
    <row r="229" spans="1:23">
      <c r="A229" s="539"/>
      <c r="B229" s="575"/>
      <c r="C229" s="576"/>
      <c r="D229" s="541"/>
      <c r="E229" s="541"/>
      <c r="F229" s="577"/>
      <c r="G229" s="578"/>
      <c r="H229" s="542"/>
      <c r="I229" s="542"/>
      <c r="J229" s="542"/>
      <c r="K229" s="542"/>
    </row>
    <row r="230" spans="1:23">
      <c r="A230" s="539"/>
      <c r="B230" s="580"/>
      <c r="C230" s="581"/>
      <c r="D230" s="582"/>
      <c r="E230" s="582"/>
      <c r="F230" s="583"/>
      <c r="G230" s="578"/>
      <c r="H230" s="542"/>
      <c r="I230" s="542"/>
      <c r="J230" s="542"/>
      <c r="K230" s="542"/>
    </row>
    <row r="231" spans="1:23" s="547" customFormat="1">
      <c r="A231" s="539"/>
      <c r="B231" s="575"/>
      <c r="C231" s="576"/>
      <c r="D231" s="541"/>
      <c r="E231" s="541"/>
      <c r="F231" s="577"/>
      <c r="G231" s="578"/>
      <c r="H231" s="542"/>
      <c r="I231" s="542"/>
      <c r="J231" s="542"/>
      <c r="K231" s="542"/>
    </row>
    <row r="232" spans="1:23" s="547" customFormat="1">
      <c r="A232" s="539"/>
      <c r="B232" s="584"/>
      <c r="C232" s="585"/>
      <c r="D232" s="546"/>
      <c r="E232" s="546"/>
      <c r="F232" s="586"/>
      <c r="G232" s="587"/>
      <c r="H232" s="542"/>
      <c r="I232" s="542"/>
      <c r="J232" s="542"/>
      <c r="K232" s="542"/>
    </row>
    <row r="233" spans="1:23" s="547" customFormat="1">
      <c r="A233" s="539"/>
      <c r="B233" s="575"/>
      <c r="C233" s="576"/>
      <c r="D233" s="541"/>
      <c r="E233" s="541"/>
      <c r="F233" s="577"/>
      <c r="G233" s="578"/>
      <c r="H233" s="542"/>
      <c r="I233" s="542"/>
      <c r="J233" s="542"/>
      <c r="K233" s="542"/>
    </row>
    <row r="234" spans="1:23" s="547" customFormat="1">
      <c r="A234" s="539"/>
      <c r="B234" s="584"/>
      <c r="C234" s="585"/>
      <c r="D234" s="546"/>
      <c r="E234" s="546"/>
      <c r="F234" s="586"/>
      <c r="G234" s="587"/>
      <c r="H234" s="542"/>
      <c r="I234" s="542"/>
      <c r="J234" s="542"/>
      <c r="K234" s="542"/>
    </row>
    <row r="235" spans="1:23" s="547" customFormat="1">
      <c r="A235" s="539"/>
      <c r="B235" s="575"/>
      <c r="C235" s="576"/>
      <c r="D235" s="541"/>
      <c r="E235" s="541"/>
      <c r="F235" s="577"/>
      <c r="G235" s="578"/>
      <c r="H235" s="542"/>
      <c r="I235" s="542"/>
      <c r="J235" s="542"/>
      <c r="K235" s="542"/>
    </row>
    <row r="236" spans="1:23" s="547" customFormat="1">
      <c r="A236" s="539"/>
      <c r="B236" s="584"/>
      <c r="C236" s="585"/>
      <c r="D236" s="546"/>
      <c r="E236" s="546"/>
      <c r="F236" s="586"/>
      <c r="G236" s="587"/>
      <c r="H236" s="542"/>
      <c r="I236" s="542"/>
      <c r="J236" s="542"/>
      <c r="K236" s="542"/>
      <c r="U236" s="536"/>
      <c r="W236" s="536"/>
    </row>
    <row r="237" spans="1:23" s="547" customFormat="1">
      <c r="A237" s="539"/>
      <c r="B237" s="575"/>
      <c r="C237" s="576"/>
      <c r="D237" s="541"/>
      <c r="E237" s="541"/>
      <c r="F237" s="577"/>
      <c r="G237" s="578"/>
      <c r="H237" s="542"/>
      <c r="I237" s="542"/>
      <c r="J237" s="542"/>
      <c r="K237" s="542"/>
      <c r="U237" s="536"/>
      <c r="W237" s="536"/>
    </row>
    <row r="238" spans="1:23" s="547" customFormat="1">
      <c r="A238" s="539"/>
      <c r="B238" s="584"/>
      <c r="C238" s="585"/>
      <c r="D238" s="546"/>
      <c r="E238" s="546"/>
      <c r="F238" s="586"/>
      <c r="G238" s="587"/>
      <c r="H238" s="542"/>
      <c r="I238" s="542"/>
      <c r="J238" s="542"/>
      <c r="K238" s="542"/>
      <c r="U238" s="536"/>
      <c r="W238" s="536"/>
    </row>
    <row r="239" spans="1:23" s="547" customFormat="1">
      <c r="A239" s="539"/>
      <c r="B239" s="575"/>
      <c r="C239" s="576"/>
      <c r="D239" s="541"/>
      <c r="E239" s="541"/>
      <c r="F239" s="577"/>
      <c r="G239" s="578"/>
      <c r="H239" s="542"/>
      <c r="I239" s="542"/>
      <c r="J239" s="542"/>
      <c r="K239" s="542"/>
      <c r="U239" s="536"/>
      <c r="W239" s="536"/>
    </row>
    <row r="240" spans="1:23">
      <c r="A240" s="539"/>
      <c r="B240" s="584"/>
      <c r="C240" s="585"/>
      <c r="D240" s="546"/>
      <c r="E240" s="546"/>
      <c r="F240" s="586"/>
      <c r="G240" s="587"/>
      <c r="H240" s="542"/>
      <c r="I240" s="542"/>
      <c r="J240" s="542"/>
      <c r="K240" s="542"/>
    </row>
    <row r="241" spans="1:11">
      <c r="A241" s="539"/>
      <c r="B241" s="575"/>
      <c r="C241" s="576"/>
      <c r="D241" s="541"/>
      <c r="E241" s="541"/>
      <c r="F241" s="577"/>
      <c r="G241" s="578"/>
      <c r="H241" s="542"/>
      <c r="I241" s="542"/>
      <c r="J241" s="542"/>
      <c r="K241" s="542"/>
    </row>
    <row r="242" spans="1:11">
      <c r="A242" s="539"/>
      <c r="B242" s="584"/>
      <c r="C242" s="585"/>
      <c r="D242" s="546"/>
      <c r="E242" s="546"/>
      <c r="F242" s="586"/>
      <c r="G242" s="587"/>
      <c r="H242" s="542"/>
      <c r="I242" s="542"/>
      <c r="J242" s="542"/>
      <c r="K242" s="542"/>
    </row>
    <row r="243" spans="1:11">
      <c r="A243" s="539"/>
      <c r="B243" s="575"/>
      <c r="C243" s="576"/>
      <c r="D243" s="541"/>
      <c r="E243" s="541"/>
      <c r="F243" s="577"/>
      <c r="G243" s="578"/>
      <c r="H243" s="542"/>
      <c r="I243" s="542"/>
      <c r="J243" s="542"/>
      <c r="K243" s="542"/>
    </row>
    <row r="244" spans="1:11">
      <c r="A244" s="539"/>
      <c r="B244" s="584"/>
      <c r="C244" s="585"/>
      <c r="D244" s="546"/>
      <c r="E244" s="546"/>
      <c r="F244" s="586"/>
      <c r="G244" s="587"/>
      <c r="H244" s="542"/>
      <c r="I244" s="542"/>
      <c r="J244" s="542"/>
      <c r="K244" s="542"/>
    </row>
    <row r="245" spans="1:11">
      <c r="A245" s="539"/>
      <c r="B245" s="575"/>
      <c r="C245" s="576"/>
      <c r="D245" s="541"/>
      <c r="E245" s="541"/>
      <c r="F245" s="577"/>
      <c r="G245" s="578"/>
      <c r="H245" s="542"/>
      <c r="I245" s="542"/>
      <c r="J245" s="542"/>
      <c r="K245" s="542"/>
    </row>
    <row r="246" spans="1:11">
      <c r="A246" s="539"/>
      <c r="B246" s="584"/>
      <c r="C246" s="585"/>
      <c r="D246" s="546"/>
      <c r="E246" s="546"/>
      <c r="F246" s="586"/>
      <c r="G246" s="587"/>
      <c r="H246" s="542"/>
      <c r="I246" s="542"/>
      <c r="J246" s="542"/>
      <c r="K246" s="542"/>
    </row>
    <row r="247" spans="1:11">
      <c r="A247" s="539"/>
      <c r="B247" s="575"/>
      <c r="C247" s="576"/>
      <c r="D247" s="541"/>
      <c r="E247" s="541"/>
      <c r="F247" s="577"/>
      <c r="G247" s="578"/>
      <c r="H247" s="542"/>
      <c r="I247" s="542"/>
      <c r="J247" s="542"/>
      <c r="K247" s="542"/>
    </row>
    <row r="248" spans="1:11">
      <c r="A248" s="539"/>
      <c r="B248" s="584"/>
      <c r="C248" s="585"/>
      <c r="D248" s="546"/>
      <c r="E248" s="546"/>
      <c r="F248" s="586"/>
      <c r="G248" s="587"/>
      <c r="H248" s="542"/>
      <c r="I248" s="542"/>
      <c r="J248" s="542"/>
      <c r="K248" s="542"/>
    </row>
    <row r="249" spans="1:11">
      <c r="A249" s="539"/>
      <c r="B249" s="575"/>
      <c r="C249" s="576"/>
      <c r="D249" s="541"/>
      <c r="E249" s="541"/>
      <c r="F249" s="577"/>
      <c r="G249" s="578"/>
      <c r="H249" s="542"/>
      <c r="I249" s="542"/>
      <c r="J249" s="542"/>
      <c r="K249" s="542"/>
    </row>
    <row r="250" spans="1:11">
      <c r="A250" s="539"/>
      <c r="B250" s="584"/>
      <c r="C250" s="585"/>
      <c r="D250" s="546"/>
      <c r="E250" s="546"/>
      <c r="F250" s="586"/>
      <c r="G250" s="587"/>
      <c r="H250" s="542"/>
      <c r="I250" s="542"/>
      <c r="J250" s="542"/>
      <c r="K250" s="542"/>
    </row>
    <row r="251" spans="1:11">
      <c r="A251" s="539"/>
      <c r="B251" s="575"/>
      <c r="C251" s="576"/>
      <c r="D251" s="541"/>
      <c r="E251" s="541"/>
      <c r="F251" s="577"/>
      <c r="G251" s="578"/>
      <c r="H251" s="542"/>
      <c r="I251" s="542"/>
      <c r="J251" s="542"/>
      <c r="K251" s="542"/>
    </row>
    <row r="252" spans="1:11">
      <c r="A252" s="539"/>
      <c r="B252" s="584"/>
      <c r="C252" s="585"/>
      <c r="D252" s="546"/>
      <c r="E252" s="546"/>
      <c r="F252" s="586"/>
      <c r="G252" s="587"/>
      <c r="H252" s="542"/>
      <c r="I252" s="542"/>
      <c r="J252" s="542"/>
      <c r="K252" s="542"/>
    </row>
    <row r="253" spans="1:11">
      <c r="A253" s="539"/>
      <c r="B253" s="575"/>
      <c r="C253" s="576"/>
      <c r="D253" s="541"/>
      <c r="E253" s="541"/>
      <c r="F253" s="577"/>
      <c r="G253" s="578"/>
      <c r="H253" s="542"/>
      <c r="I253" s="542"/>
      <c r="J253" s="542"/>
      <c r="K253" s="542"/>
    </row>
    <row r="254" spans="1:11">
      <c r="A254" s="539"/>
      <c r="B254" s="575"/>
      <c r="C254" s="576"/>
      <c r="D254" s="541"/>
      <c r="E254" s="541"/>
      <c r="F254" s="577"/>
      <c r="G254" s="578"/>
      <c r="H254" s="542"/>
      <c r="I254" s="542"/>
      <c r="J254" s="542"/>
      <c r="K254" s="542"/>
    </row>
    <row r="255" spans="1:11">
      <c r="A255" s="539"/>
      <c r="B255" s="575"/>
      <c r="C255" s="576"/>
      <c r="D255" s="541"/>
      <c r="E255" s="541"/>
      <c r="F255" s="577"/>
      <c r="G255" s="578"/>
      <c r="H255" s="542"/>
      <c r="I255" s="542"/>
      <c r="J255" s="542"/>
      <c r="K255" s="542"/>
    </row>
    <row r="256" spans="1:11">
      <c r="A256" s="539"/>
      <c r="B256" s="575"/>
      <c r="C256" s="576"/>
      <c r="D256" s="541"/>
      <c r="E256" s="541"/>
      <c r="F256" s="577"/>
      <c r="G256" s="578"/>
      <c r="H256" s="542"/>
      <c r="I256" s="542"/>
      <c r="J256" s="542"/>
      <c r="K256" s="542"/>
    </row>
    <row r="257" spans="1:11">
      <c r="A257" s="539"/>
      <c r="B257" s="575"/>
      <c r="C257" s="576"/>
      <c r="D257" s="541"/>
      <c r="E257" s="541"/>
      <c r="F257" s="577"/>
      <c r="G257" s="578"/>
      <c r="H257" s="542"/>
      <c r="I257" s="542"/>
      <c r="J257" s="542"/>
      <c r="K257" s="542"/>
    </row>
    <row r="258" spans="1:11">
      <c r="A258" s="539"/>
      <c r="B258" s="575"/>
      <c r="C258" s="576"/>
      <c r="D258" s="541"/>
      <c r="E258" s="541"/>
      <c r="F258" s="577"/>
      <c r="G258" s="578"/>
      <c r="H258" s="542"/>
      <c r="I258" s="542"/>
      <c r="J258" s="542"/>
      <c r="K258" s="542"/>
    </row>
    <row r="259" spans="1:11">
      <c r="A259" s="539"/>
      <c r="B259" s="575"/>
      <c r="C259" s="576"/>
      <c r="D259" s="541"/>
      <c r="E259" s="541"/>
      <c r="F259" s="577"/>
      <c r="G259" s="578"/>
      <c r="H259" s="542"/>
      <c r="I259" s="542"/>
      <c r="J259" s="542"/>
      <c r="K259" s="542"/>
    </row>
    <row r="260" spans="1:11">
      <c r="A260" s="539"/>
      <c r="B260" s="575"/>
      <c r="C260" s="576"/>
      <c r="D260" s="541"/>
      <c r="E260" s="541"/>
      <c r="F260" s="577"/>
      <c r="G260" s="578"/>
      <c r="H260" s="542"/>
      <c r="I260" s="542"/>
      <c r="J260" s="542"/>
      <c r="K260" s="542"/>
    </row>
    <row r="261" spans="1:11">
      <c r="A261" s="539"/>
      <c r="B261" s="575"/>
      <c r="C261" s="576"/>
      <c r="D261" s="541"/>
      <c r="E261" s="541"/>
      <c r="F261" s="577"/>
      <c r="G261" s="578"/>
      <c r="H261" s="542"/>
      <c r="I261" s="542"/>
      <c r="J261" s="542"/>
      <c r="K261" s="542"/>
    </row>
    <row r="262" spans="1:11">
      <c r="A262" s="539"/>
      <c r="B262" s="575"/>
      <c r="C262" s="576"/>
      <c r="D262" s="541"/>
      <c r="E262" s="541"/>
      <c r="F262" s="577"/>
      <c r="G262" s="578"/>
      <c r="H262" s="542"/>
      <c r="I262" s="542"/>
      <c r="J262" s="542"/>
      <c r="K262" s="542"/>
    </row>
    <row r="263" spans="1:11">
      <c r="A263" s="539"/>
      <c r="B263" s="575"/>
      <c r="C263" s="576"/>
      <c r="D263" s="541"/>
      <c r="E263" s="541"/>
      <c r="F263" s="577"/>
      <c r="G263" s="578"/>
      <c r="H263" s="542"/>
      <c r="I263" s="542"/>
      <c r="J263" s="542"/>
      <c r="K263" s="542"/>
    </row>
    <row r="264" spans="1:11">
      <c r="A264" s="539"/>
      <c r="B264" s="575"/>
      <c r="C264" s="576"/>
      <c r="D264" s="541"/>
      <c r="E264" s="541"/>
      <c r="F264" s="577"/>
      <c r="G264" s="578"/>
      <c r="H264" s="542"/>
      <c r="I264" s="542"/>
      <c r="J264" s="542"/>
      <c r="K264" s="542"/>
    </row>
    <row r="265" spans="1:11">
      <c r="A265" s="539"/>
      <c r="B265" s="575"/>
      <c r="C265" s="576"/>
      <c r="D265" s="541"/>
      <c r="E265" s="541"/>
      <c r="F265" s="577"/>
      <c r="G265" s="578"/>
      <c r="H265" s="542"/>
      <c r="I265" s="542"/>
      <c r="J265" s="542"/>
      <c r="K265" s="542"/>
    </row>
    <row r="266" spans="1:11">
      <c r="A266" s="539"/>
      <c r="B266" s="575"/>
      <c r="C266" s="576"/>
      <c r="D266" s="541"/>
      <c r="E266" s="541"/>
      <c r="F266" s="577"/>
      <c r="G266" s="578"/>
      <c r="H266" s="542"/>
      <c r="I266" s="542"/>
      <c r="J266" s="542"/>
      <c r="K266" s="542"/>
    </row>
    <row r="267" spans="1:11">
      <c r="A267" s="539"/>
      <c r="B267" s="584"/>
      <c r="C267" s="585"/>
      <c r="D267" s="546"/>
      <c r="E267" s="546"/>
      <c r="F267" s="586"/>
      <c r="G267" s="587"/>
      <c r="H267" s="542"/>
      <c r="I267" s="542"/>
      <c r="J267" s="542"/>
      <c r="K267" s="542"/>
    </row>
    <row r="268" spans="1:11">
      <c r="A268" s="539"/>
      <c r="B268" s="575"/>
      <c r="C268" s="576"/>
      <c r="D268" s="541"/>
      <c r="E268" s="541"/>
      <c r="F268" s="577"/>
      <c r="G268" s="578"/>
      <c r="H268" s="542"/>
      <c r="I268" s="542"/>
      <c r="J268" s="542"/>
      <c r="K268" s="542"/>
    </row>
    <row r="269" spans="1:11">
      <c r="A269" s="539"/>
      <c r="B269" s="584"/>
      <c r="C269" s="585"/>
      <c r="D269" s="546"/>
      <c r="E269" s="546"/>
      <c r="F269" s="586"/>
      <c r="G269" s="587"/>
      <c r="H269" s="542"/>
      <c r="I269" s="542"/>
      <c r="J269" s="542"/>
      <c r="K269" s="542"/>
    </row>
    <row r="270" spans="1:11">
      <c r="A270" s="539"/>
      <c r="B270" s="575"/>
      <c r="C270" s="576"/>
      <c r="D270" s="541"/>
      <c r="E270" s="541"/>
      <c r="F270" s="577"/>
      <c r="G270" s="578"/>
      <c r="H270" s="542"/>
      <c r="I270" s="542"/>
      <c r="J270" s="542"/>
      <c r="K270" s="542"/>
    </row>
    <row r="271" spans="1:11">
      <c r="A271" s="539"/>
      <c r="B271" s="584"/>
      <c r="C271" s="585"/>
      <c r="D271" s="546"/>
      <c r="E271" s="546"/>
      <c r="F271" s="586"/>
      <c r="G271" s="587"/>
      <c r="H271" s="542"/>
      <c r="I271" s="542"/>
      <c r="J271" s="542"/>
      <c r="K271" s="542"/>
    </row>
    <row r="272" spans="1:11">
      <c r="A272" s="539"/>
      <c r="B272" s="575"/>
      <c r="C272" s="576"/>
      <c r="D272" s="541"/>
      <c r="E272" s="541"/>
      <c r="F272" s="577"/>
      <c r="G272" s="578"/>
      <c r="H272" s="542"/>
      <c r="I272" s="542"/>
      <c r="J272" s="542"/>
      <c r="K272" s="542"/>
    </row>
    <row r="273" spans="1:11">
      <c r="A273" s="539"/>
      <c r="B273" s="584"/>
      <c r="C273" s="585"/>
      <c r="D273" s="546"/>
      <c r="E273" s="546"/>
      <c r="F273" s="586"/>
      <c r="G273" s="587"/>
      <c r="H273" s="542"/>
      <c r="I273" s="542"/>
      <c r="J273" s="542"/>
      <c r="K273" s="542"/>
    </row>
    <row r="274" spans="1:11">
      <c r="A274" s="539"/>
      <c r="B274" s="575"/>
      <c r="C274" s="576"/>
      <c r="D274" s="541"/>
      <c r="E274" s="541"/>
      <c r="F274" s="577"/>
      <c r="G274" s="578"/>
      <c r="H274" s="542"/>
      <c r="I274" s="542"/>
      <c r="J274" s="542"/>
      <c r="K274" s="542"/>
    </row>
    <row r="275" spans="1:11">
      <c r="A275" s="539"/>
      <c r="B275" s="584"/>
      <c r="C275" s="585"/>
      <c r="D275" s="546"/>
      <c r="E275" s="546"/>
      <c r="F275" s="586"/>
      <c r="G275" s="587"/>
      <c r="H275" s="542"/>
      <c r="I275" s="542"/>
      <c r="J275" s="542"/>
      <c r="K275" s="542"/>
    </row>
    <row r="276" spans="1:11">
      <c r="A276" s="539"/>
      <c r="B276" s="575"/>
      <c r="C276" s="576"/>
      <c r="D276" s="541"/>
      <c r="E276" s="541"/>
      <c r="F276" s="577"/>
      <c r="G276" s="578"/>
      <c r="H276" s="542"/>
      <c r="I276" s="542"/>
      <c r="J276" s="542"/>
      <c r="K276" s="542"/>
    </row>
    <row r="277" spans="1:11">
      <c r="A277" s="539"/>
      <c r="B277" s="575"/>
      <c r="C277" s="576"/>
      <c r="D277" s="541"/>
      <c r="E277" s="541"/>
      <c r="F277" s="577"/>
      <c r="G277" s="578"/>
      <c r="H277" s="542"/>
      <c r="I277" s="542"/>
      <c r="J277" s="542"/>
      <c r="K277" s="542"/>
    </row>
    <row r="278" spans="1:11">
      <c r="A278" s="539"/>
      <c r="B278" s="575"/>
      <c r="C278" s="576"/>
      <c r="D278" s="541"/>
      <c r="E278" s="541"/>
      <c r="F278" s="577"/>
      <c r="G278" s="578"/>
      <c r="H278" s="542"/>
      <c r="I278" s="542"/>
      <c r="J278" s="542"/>
      <c r="K278" s="542"/>
    </row>
    <row r="279" spans="1:11">
      <c r="A279" s="539"/>
      <c r="B279" s="575"/>
      <c r="C279" s="576"/>
      <c r="D279" s="541"/>
      <c r="E279" s="541"/>
      <c r="F279" s="577"/>
      <c r="G279" s="578"/>
      <c r="H279" s="542"/>
      <c r="I279" s="542"/>
      <c r="J279" s="542"/>
      <c r="K279" s="542"/>
    </row>
    <row r="280" spans="1:11">
      <c r="A280" s="539"/>
      <c r="B280" s="575"/>
      <c r="C280" s="576"/>
      <c r="D280" s="541"/>
      <c r="E280" s="541"/>
      <c r="F280" s="577"/>
      <c r="G280" s="578"/>
      <c r="H280" s="542"/>
      <c r="I280" s="542"/>
      <c r="J280" s="542"/>
      <c r="K280" s="542"/>
    </row>
    <row r="281" spans="1:11">
      <c r="A281" s="550"/>
      <c r="B281" s="590"/>
      <c r="C281" s="591"/>
      <c r="D281" s="551"/>
      <c r="E281" s="551"/>
      <c r="F281" s="592"/>
      <c r="G281" s="593"/>
      <c r="H281" s="552"/>
      <c r="I281" s="552"/>
      <c r="J281" s="552"/>
      <c r="K281" s="552"/>
    </row>
    <row r="282" spans="1:11">
      <c r="A282" s="553" t="s">
        <v>154</v>
      </c>
      <c r="B282" s="594"/>
      <c r="C282" s="595"/>
      <c r="D282" s="596"/>
      <c r="E282" s="596"/>
      <c r="F282" s="597" t="s">
        <v>256</v>
      </c>
      <c r="G282" s="598"/>
      <c r="H282" s="599" t="s">
        <v>230</v>
      </c>
      <c r="I282" s="556">
        <f>SUM(I228:I281)</f>
        <v>0</v>
      </c>
      <c r="J282" s="599"/>
      <c r="K282" s="556">
        <f>SUM(K228:K281)</f>
        <v>0</v>
      </c>
    </row>
    <row r="283" spans="1:11">
      <c r="A283" s="533" t="s">
        <v>143</v>
      </c>
      <c r="B283" s="567" t="s">
        <v>209</v>
      </c>
      <c r="C283" s="1107" t="s">
        <v>210</v>
      </c>
      <c r="D283" s="1108"/>
      <c r="E283" s="1108"/>
      <c r="F283" s="1109"/>
      <c r="G283" s="568" t="s">
        <v>211</v>
      </c>
      <c r="H283" s="535" t="s">
        <v>212</v>
      </c>
      <c r="I283" s="535" t="s">
        <v>164</v>
      </c>
      <c r="J283" s="603" t="s">
        <v>299</v>
      </c>
      <c r="K283" s="603" t="s">
        <v>301</v>
      </c>
    </row>
    <row r="284" spans="1:11">
      <c r="A284" s="262"/>
      <c r="B284" s="570"/>
      <c r="C284" s="571" t="s">
        <v>196</v>
      </c>
      <c r="D284" s="572" t="s">
        <v>192</v>
      </c>
      <c r="E284" s="572" t="s">
        <v>197</v>
      </c>
      <c r="F284" s="573" t="s">
        <v>198</v>
      </c>
      <c r="G284" s="574"/>
      <c r="H284" s="537" t="s">
        <v>257</v>
      </c>
      <c r="I284" s="537" t="s">
        <v>257</v>
      </c>
      <c r="J284" s="604" t="s">
        <v>300</v>
      </c>
      <c r="K284" s="604" t="s">
        <v>300</v>
      </c>
    </row>
    <row r="285" spans="1:11">
      <c r="A285" s="539"/>
      <c r="B285" s="575"/>
      <c r="C285" s="576"/>
      <c r="D285" s="541"/>
      <c r="E285" s="541"/>
      <c r="F285" s="577"/>
      <c r="G285" s="578"/>
      <c r="H285" s="542"/>
      <c r="I285" s="542"/>
      <c r="J285" s="542"/>
      <c r="K285" s="542"/>
    </row>
    <row r="286" spans="1:11">
      <c r="A286" s="539"/>
      <c r="B286" s="575"/>
      <c r="C286" s="576"/>
      <c r="D286" s="541"/>
      <c r="E286" s="541"/>
      <c r="F286" s="577"/>
      <c r="G286" s="578"/>
      <c r="H286" s="542"/>
      <c r="I286" s="542"/>
      <c r="J286" s="542"/>
      <c r="K286" s="542"/>
    </row>
    <row r="287" spans="1:11">
      <c r="A287" s="539"/>
      <c r="B287" s="580"/>
      <c r="C287" s="581"/>
      <c r="D287" s="582"/>
      <c r="E287" s="582"/>
      <c r="F287" s="583"/>
      <c r="G287" s="578"/>
      <c r="H287" s="542"/>
      <c r="I287" s="542"/>
      <c r="J287" s="542"/>
      <c r="K287" s="542"/>
    </row>
    <row r="288" spans="1:11">
      <c r="A288" s="539"/>
      <c r="B288" s="575"/>
      <c r="C288" s="576"/>
      <c r="D288" s="541"/>
      <c r="E288" s="541"/>
      <c r="F288" s="577"/>
      <c r="G288" s="578"/>
      <c r="H288" s="542"/>
      <c r="I288" s="542"/>
      <c r="J288" s="542"/>
      <c r="K288" s="542"/>
    </row>
    <row r="289" spans="1:11">
      <c r="A289" s="539"/>
      <c r="B289" s="584"/>
      <c r="C289" s="585"/>
      <c r="D289" s="546"/>
      <c r="E289" s="546"/>
      <c r="F289" s="586"/>
      <c r="G289" s="587"/>
      <c r="H289" s="542"/>
      <c r="I289" s="542"/>
      <c r="J289" s="542"/>
      <c r="K289" s="542"/>
    </row>
    <row r="290" spans="1:11">
      <c r="A290" s="539"/>
      <c r="B290" s="575"/>
      <c r="C290" s="576"/>
      <c r="D290" s="541"/>
      <c r="E290" s="541"/>
      <c r="F290" s="577"/>
      <c r="G290" s="578"/>
      <c r="H290" s="542"/>
      <c r="I290" s="542"/>
      <c r="J290" s="542"/>
      <c r="K290" s="542"/>
    </row>
    <row r="291" spans="1:11">
      <c r="A291" s="539"/>
      <c r="B291" s="584"/>
      <c r="C291" s="585"/>
      <c r="D291" s="546"/>
      <c r="E291" s="546"/>
      <c r="F291" s="586"/>
      <c r="G291" s="587"/>
      <c r="H291" s="542"/>
      <c r="I291" s="542"/>
      <c r="J291" s="542"/>
      <c r="K291" s="542"/>
    </row>
    <row r="292" spans="1:11">
      <c r="A292" s="539"/>
      <c r="B292" s="575"/>
      <c r="C292" s="576"/>
      <c r="D292" s="541"/>
      <c r="E292" s="541"/>
      <c r="F292" s="577"/>
      <c r="G292" s="578"/>
      <c r="H292" s="542"/>
      <c r="I292" s="542"/>
      <c r="J292" s="542"/>
      <c r="K292" s="542"/>
    </row>
    <row r="293" spans="1:11">
      <c r="A293" s="539"/>
      <c r="B293" s="584"/>
      <c r="C293" s="585"/>
      <c r="D293" s="546"/>
      <c r="E293" s="546"/>
      <c r="F293" s="586"/>
      <c r="G293" s="587"/>
      <c r="H293" s="542"/>
      <c r="I293" s="542"/>
      <c r="J293" s="542"/>
      <c r="K293" s="542"/>
    </row>
    <row r="294" spans="1:11">
      <c r="A294" s="539"/>
      <c r="B294" s="575"/>
      <c r="C294" s="576"/>
      <c r="D294" s="541"/>
      <c r="E294" s="541"/>
      <c r="F294" s="577"/>
      <c r="G294" s="578"/>
      <c r="H294" s="542"/>
      <c r="I294" s="542"/>
      <c r="J294" s="542"/>
      <c r="K294" s="542"/>
    </row>
    <row r="295" spans="1:11">
      <c r="A295" s="539"/>
      <c r="B295" s="584"/>
      <c r="C295" s="585"/>
      <c r="D295" s="546"/>
      <c r="E295" s="546"/>
      <c r="F295" s="586"/>
      <c r="G295" s="587"/>
      <c r="H295" s="542"/>
      <c r="I295" s="542"/>
      <c r="J295" s="542"/>
      <c r="K295" s="542"/>
    </row>
    <row r="296" spans="1:11">
      <c r="A296" s="539"/>
      <c r="B296" s="575"/>
      <c r="C296" s="576"/>
      <c r="D296" s="541"/>
      <c r="E296" s="541"/>
      <c r="F296" s="577"/>
      <c r="G296" s="578"/>
      <c r="H296" s="542"/>
      <c r="I296" s="542"/>
      <c r="J296" s="542"/>
      <c r="K296" s="542"/>
    </row>
    <row r="297" spans="1:11">
      <c r="A297" s="539"/>
      <c r="B297" s="584"/>
      <c r="C297" s="585"/>
      <c r="D297" s="546"/>
      <c r="E297" s="546"/>
      <c r="F297" s="586"/>
      <c r="G297" s="587"/>
      <c r="H297" s="542"/>
      <c r="I297" s="542"/>
      <c r="J297" s="542"/>
      <c r="K297" s="542"/>
    </row>
    <row r="298" spans="1:11">
      <c r="A298" s="539"/>
      <c r="B298" s="575"/>
      <c r="C298" s="576"/>
      <c r="D298" s="541"/>
      <c r="E298" s="541"/>
      <c r="F298" s="577"/>
      <c r="G298" s="578"/>
      <c r="H298" s="542"/>
      <c r="I298" s="542"/>
      <c r="J298" s="542"/>
      <c r="K298" s="542"/>
    </row>
    <row r="299" spans="1:11">
      <c r="A299" s="539"/>
      <c r="B299" s="584"/>
      <c r="C299" s="585"/>
      <c r="D299" s="546"/>
      <c r="E299" s="546"/>
      <c r="F299" s="586"/>
      <c r="G299" s="587"/>
      <c r="H299" s="542"/>
      <c r="I299" s="542"/>
      <c r="J299" s="542"/>
      <c r="K299" s="542"/>
    </row>
    <row r="300" spans="1:11">
      <c r="A300" s="539"/>
      <c r="B300" s="575"/>
      <c r="C300" s="576"/>
      <c r="D300" s="541"/>
      <c r="E300" s="541"/>
      <c r="F300" s="577"/>
      <c r="G300" s="578"/>
      <c r="H300" s="542"/>
      <c r="I300" s="542"/>
      <c r="J300" s="542"/>
      <c r="K300" s="542"/>
    </row>
    <row r="301" spans="1:11">
      <c r="A301" s="539"/>
      <c r="B301" s="584"/>
      <c r="C301" s="585"/>
      <c r="D301" s="546"/>
      <c r="E301" s="546"/>
      <c r="F301" s="586"/>
      <c r="G301" s="587"/>
      <c r="H301" s="542"/>
      <c r="I301" s="542"/>
      <c r="J301" s="542"/>
      <c r="K301" s="542"/>
    </row>
    <row r="302" spans="1:11">
      <c r="A302" s="539"/>
      <c r="B302" s="575"/>
      <c r="C302" s="576"/>
      <c r="D302" s="541"/>
      <c r="E302" s="541"/>
      <c r="F302" s="577"/>
      <c r="G302" s="578"/>
      <c r="H302" s="542"/>
      <c r="I302" s="542"/>
      <c r="J302" s="542"/>
      <c r="K302" s="542"/>
    </row>
    <row r="303" spans="1:11">
      <c r="A303" s="539"/>
      <c r="B303" s="584"/>
      <c r="C303" s="585"/>
      <c r="D303" s="546"/>
      <c r="E303" s="546"/>
      <c r="F303" s="586"/>
      <c r="G303" s="587"/>
      <c r="H303" s="542"/>
      <c r="I303" s="542"/>
      <c r="J303" s="542"/>
      <c r="K303" s="542"/>
    </row>
    <row r="304" spans="1:11">
      <c r="A304" s="539"/>
      <c r="B304" s="575"/>
      <c r="C304" s="576"/>
      <c r="D304" s="541"/>
      <c r="E304" s="541"/>
      <c r="F304" s="577"/>
      <c r="G304" s="578"/>
      <c r="H304" s="542"/>
      <c r="I304" s="542"/>
      <c r="J304" s="542"/>
      <c r="K304" s="542"/>
    </row>
    <row r="305" spans="1:11">
      <c r="A305" s="539"/>
      <c r="B305" s="584"/>
      <c r="C305" s="585"/>
      <c r="D305" s="546"/>
      <c r="E305" s="546"/>
      <c r="F305" s="586"/>
      <c r="G305" s="587"/>
      <c r="H305" s="542"/>
      <c r="I305" s="542"/>
      <c r="J305" s="542"/>
      <c r="K305" s="542"/>
    </row>
    <row r="306" spans="1:11">
      <c r="A306" s="539"/>
      <c r="B306" s="575"/>
      <c r="C306" s="576"/>
      <c r="D306" s="541"/>
      <c r="E306" s="541"/>
      <c r="F306" s="577"/>
      <c r="G306" s="578"/>
      <c r="H306" s="542"/>
      <c r="I306" s="542"/>
      <c r="J306" s="542"/>
      <c r="K306" s="542"/>
    </row>
    <row r="307" spans="1:11">
      <c r="A307" s="539"/>
      <c r="B307" s="575"/>
      <c r="C307" s="576"/>
      <c r="D307" s="541"/>
      <c r="E307" s="541"/>
      <c r="F307" s="577"/>
      <c r="G307" s="578"/>
      <c r="H307" s="542"/>
      <c r="I307" s="542"/>
      <c r="J307" s="542"/>
      <c r="K307" s="542"/>
    </row>
    <row r="308" spans="1:11">
      <c r="A308" s="539"/>
      <c r="B308" s="575"/>
      <c r="C308" s="576"/>
      <c r="D308" s="541"/>
      <c r="E308" s="541"/>
      <c r="F308" s="577"/>
      <c r="G308" s="578"/>
      <c r="H308" s="542"/>
      <c r="I308" s="542"/>
      <c r="J308" s="542"/>
      <c r="K308" s="542"/>
    </row>
    <row r="309" spans="1:11">
      <c r="A309" s="539"/>
      <c r="B309" s="575"/>
      <c r="C309" s="576"/>
      <c r="D309" s="541"/>
      <c r="E309" s="541"/>
      <c r="F309" s="577"/>
      <c r="G309" s="578"/>
      <c r="H309" s="542"/>
      <c r="I309" s="542"/>
      <c r="J309" s="542"/>
      <c r="K309" s="542"/>
    </row>
    <row r="310" spans="1:11">
      <c r="A310" s="539"/>
      <c r="B310" s="575"/>
      <c r="C310" s="576"/>
      <c r="D310" s="541"/>
      <c r="E310" s="541"/>
      <c r="F310" s="577"/>
      <c r="G310" s="578"/>
      <c r="H310" s="542"/>
      <c r="I310" s="542"/>
      <c r="J310" s="542"/>
      <c r="K310" s="542"/>
    </row>
    <row r="311" spans="1:11">
      <c r="A311" s="539"/>
      <c r="B311" s="575"/>
      <c r="C311" s="576"/>
      <c r="D311" s="541"/>
      <c r="E311" s="541"/>
      <c r="F311" s="577"/>
      <c r="G311" s="578"/>
      <c r="H311" s="542"/>
      <c r="I311" s="542"/>
      <c r="J311" s="542"/>
      <c r="K311" s="542"/>
    </row>
    <row r="312" spans="1:11">
      <c r="A312" s="539"/>
      <c r="B312" s="575"/>
      <c r="C312" s="576"/>
      <c r="D312" s="541"/>
      <c r="E312" s="541"/>
      <c r="F312" s="577"/>
      <c r="G312" s="578"/>
      <c r="H312" s="542"/>
      <c r="I312" s="542"/>
      <c r="J312" s="542"/>
      <c r="K312" s="542"/>
    </row>
    <row r="313" spans="1:11">
      <c r="A313" s="539"/>
      <c r="B313" s="575"/>
      <c r="C313" s="576"/>
      <c r="D313" s="541"/>
      <c r="E313" s="541"/>
      <c r="F313" s="577"/>
      <c r="G313" s="578"/>
      <c r="H313" s="542"/>
      <c r="I313" s="542"/>
      <c r="J313" s="542"/>
      <c r="K313" s="542"/>
    </row>
    <row r="314" spans="1:11">
      <c r="A314" s="539"/>
      <c r="B314" s="575"/>
      <c r="C314" s="576"/>
      <c r="D314" s="541"/>
      <c r="E314" s="541"/>
      <c r="F314" s="577"/>
      <c r="G314" s="578"/>
      <c r="H314" s="542"/>
      <c r="I314" s="542"/>
      <c r="J314" s="542"/>
      <c r="K314" s="542"/>
    </row>
    <row r="315" spans="1:11">
      <c r="A315" s="539"/>
      <c r="B315" s="575"/>
      <c r="C315" s="576"/>
      <c r="D315" s="541"/>
      <c r="E315" s="541"/>
      <c r="F315" s="577"/>
      <c r="G315" s="578"/>
      <c r="H315" s="542"/>
      <c r="I315" s="542"/>
      <c r="J315" s="542"/>
      <c r="K315" s="542"/>
    </row>
    <row r="316" spans="1:11">
      <c r="A316" s="539"/>
      <c r="B316" s="575"/>
      <c r="C316" s="576"/>
      <c r="D316" s="541"/>
      <c r="E316" s="541"/>
      <c r="F316" s="577"/>
      <c r="G316" s="578"/>
      <c r="H316" s="542"/>
      <c r="I316" s="542"/>
      <c r="J316" s="542"/>
      <c r="K316" s="542"/>
    </row>
    <row r="317" spans="1:11">
      <c r="A317" s="539"/>
      <c r="B317" s="575"/>
      <c r="C317" s="576"/>
      <c r="D317" s="541"/>
      <c r="E317" s="541"/>
      <c r="F317" s="577"/>
      <c r="G317" s="578"/>
      <c r="H317" s="542"/>
      <c r="I317" s="542"/>
      <c r="J317" s="542"/>
      <c r="K317" s="542"/>
    </row>
    <row r="318" spans="1:11">
      <c r="A318" s="539"/>
      <c r="B318" s="575"/>
      <c r="C318" s="576"/>
      <c r="D318" s="541"/>
      <c r="E318" s="541"/>
      <c r="F318" s="577"/>
      <c r="G318" s="578"/>
      <c r="H318" s="542"/>
      <c r="I318" s="542"/>
      <c r="J318" s="542"/>
      <c r="K318" s="542"/>
    </row>
    <row r="319" spans="1:11">
      <c r="A319" s="539"/>
      <c r="B319" s="575"/>
      <c r="C319" s="576"/>
      <c r="D319" s="541"/>
      <c r="E319" s="541"/>
      <c r="F319" s="577"/>
      <c r="G319" s="578"/>
      <c r="H319" s="542"/>
      <c r="I319" s="542"/>
      <c r="J319" s="542"/>
      <c r="K319" s="542"/>
    </row>
    <row r="320" spans="1:11">
      <c r="A320" s="539"/>
      <c r="B320" s="584"/>
      <c r="C320" s="585"/>
      <c r="D320" s="546"/>
      <c r="E320" s="546"/>
      <c r="F320" s="586"/>
      <c r="G320" s="587"/>
      <c r="H320" s="542"/>
      <c r="I320" s="542"/>
      <c r="J320" s="542"/>
      <c r="K320" s="542"/>
    </row>
    <row r="321" spans="1:11">
      <c r="A321" s="539"/>
      <c r="B321" s="575"/>
      <c r="C321" s="576"/>
      <c r="D321" s="541"/>
      <c r="E321" s="541"/>
      <c r="F321" s="577"/>
      <c r="G321" s="578"/>
      <c r="H321" s="542"/>
      <c r="I321" s="542"/>
      <c r="J321" s="542"/>
      <c r="K321" s="542"/>
    </row>
    <row r="322" spans="1:11">
      <c r="A322" s="539"/>
      <c r="B322" s="584"/>
      <c r="C322" s="585"/>
      <c r="D322" s="546"/>
      <c r="E322" s="546"/>
      <c r="F322" s="586"/>
      <c r="G322" s="587"/>
      <c r="H322" s="542"/>
      <c r="I322" s="542"/>
      <c r="J322" s="542"/>
      <c r="K322" s="542"/>
    </row>
    <row r="323" spans="1:11">
      <c r="A323" s="539"/>
      <c r="B323" s="575"/>
      <c r="C323" s="576"/>
      <c r="D323" s="541"/>
      <c r="E323" s="541"/>
      <c r="F323" s="577"/>
      <c r="G323" s="578"/>
      <c r="H323" s="542"/>
      <c r="I323" s="542"/>
      <c r="J323" s="542"/>
      <c r="K323" s="542"/>
    </row>
    <row r="324" spans="1:11">
      <c r="A324" s="539"/>
      <c r="B324" s="584"/>
      <c r="C324" s="585"/>
      <c r="D324" s="546"/>
      <c r="E324" s="546"/>
      <c r="F324" s="586"/>
      <c r="G324" s="587"/>
      <c r="H324" s="542"/>
      <c r="I324" s="542"/>
      <c r="J324" s="542"/>
      <c r="K324" s="542"/>
    </row>
    <row r="325" spans="1:11">
      <c r="A325" s="539"/>
      <c r="B325" s="575"/>
      <c r="C325" s="576"/>
      <c r="D325" s="541"/>
      <c r="E325" s="541"/>
      <c r="F325" s="577"/>
      <c r="G325" s="578"/>
      <c r="H325" s="542"/>
      <c r="I325" s="542"/>
      <c r="J325" s="542"/>
      <c r="K325" s="542"/>
    </row>
    <row r="326" spans="1:11">
      <c r="A326" s="539"/>
      <c r="B326" s="584"/>
      <c r="C326" s="585"/>
      <c r="D326" s="546"/>
      <c r="E326" s="546"/>
      <c r="F326" s="586"/>
      <c r="G326" s="587"/>
      <c r="H326" s="542"/>
      <c r="I326" s="542"/>
      <c r="J326" s="542"/>
      <c r="K326" s="542"/>
    </row>
    <row r="327" spans="1:11">
      <c r="A327" s="539"/>
      <c r="B327" s="575"/>
      <c r="C327" s="576"/>
      <c r="D327" s="541"/>
      <c r="E327" s="541"/>
      <c r="F327" s="577"/>
      <c r="G327" s="578"/>
      <c r="H327" s="542"/>
      <c r="I327" s="542"/>
      <c r="J327" s="542"/>
      <c r="K327" s="542"/>
    </row>
    <row r="328" spans="1:11">
      <c r="A328" s="539"/>
      <c r="B328" s="584"/>
      <c r="C328" s="585"/>
      <c r="D328" s="546"/>
      <c r="E328" s="546"/>
      <c r="F328" s="586"/>
      <c r="G328" s="587"/>
      <c r="H328" s="542"/>
      <c r="I328" s="542"/>
      <c r="J328" s="542"/>
      <c r="K328" s="542"/>
    </row>
    <row r="329" spans="1:11">
      <c r="A329" s="539"/>
      <c r="B329" s="575"/>
      <c r="C329" s="576"/>
      <c r="D329" s="541"/>
      <c r="E329" s="541"/>
      <c r="F329" s="577"/>
      <c r="G329" s="578"/>
      <c r="H329" s="542"/>
      <c r="I329" s="542"/>
      <c r="J329" s="542"/>
      <c r="K329" s="542"/>
    </row>
    <row r="330" spans="1:11">
      <c r="A330" s="539"/>
      <c r="B330" s="584"/>
      <c r="C330" s="585"/>
      <c r="D330" s="546"/>
      <c r="E330" s="546"/>
      <c r="F330" s="586"/>
      <c r="G330" s="587"/>
      <c r="H330" s="542"/>
      <c r="I330" s="542"/>
      <c r="J330" s="542"/>
      <c r="K330" s="542"/>
    </row>
    <row r="331" spans="1:11">
      <c r="A331" s="539"/>
      <c r="B331" s="575"/>
      <c r="C331" s="576"/>
      <c r="D331" s="541"/>
      <c r="E331" s="541"/>
      <c r="F331" s="577"/>
      <c r="G331" s="578"/>
      <c r="H331" s="542"/>
      <c r="I331" s="542"/>
      <c r="J331" s="542"/>
      <c r="K331" s="542"/>
    </row>
    <row r="332" spans="1:11">
      <c r="A332" s="539"/>
      <c r="B332" s="584"/>
      <c r="C332" s="585"/>
      <c r="D332" s="546"/>
      <c r="E332" s="546"/>
      <c r="F332" s="586"/>
      <c r="G332" s="587"/>
      <c r="H332" s="542"/>
      <c r="I332" s="542"/>
      <c r="J332" s="542"/>
      <c r="K332" s="542"/>
    </row>
    <row r="333" spans="1:11">
      <c r="A333" s="539"/>
      <c r="B333" s="575"/>
      <c r="C333" s="576"/>
      <c r="D333" s="541"/>
      <c r="E333" s="541"/>
      <c r="F333" s="577"/>
      <c r="G333" s="578"/>
      <c r="H333" s="542"/>
      <c r="I333" s="542"/>
      <c r="J333" s="542"/>
      <c r="K333" s="542"/>
    </row>
    <row r="334" spans="1:11">
      <c r="A334" s="539"/>
      <c r="B334" s="575"/>
      <c r="C334" s="576"/>
      <c r="D334" s="541"/>
      <c r="E334" s="541"/>
      <c r="F334" s="577"/>
      <c r="G334" s="578"/>
      <c r="H334" s="542"/>
      <c r="I334" s="542"/>
      <c r="J334" s="542"/>
      <c r="K334" s="542"/>
    </row>
    <row r="335" spans="1:11">
      <c r="A335" s="539"/>
      <c r="B335" s="575"/>
      <c r="C335" s="576"/>
      <c r="D335" s="541"/>
      <c r="E335" s="541"/>
      <c r="F335" s="577"/>
      <c r="G335" s="578"/>
      <c r="H335" s="542"/>
      <c r="I335" s="542"/>
      <c r="J335" s="542"/>
      <c r="K335" s="542"/>
    </row>
    <row r="336" spans="1:11">
      <c r="A336" s="539"/>
      <c r="B336" s="575"/>
      <c r="C336" s="576"/>
      <c r="D336" s="541"/>
      <c r="E336" s="541"/>
      <c r="F336" s="577"/>
      <c r="G336" s="578"/>
      <c r="H336" s="542"/>
      <c r="I336" s="542"/>
      <c r="J336" s="542"/>
      <c r="K336" s="542"/>
    </row>
    <row r="337" spans="1:11">
      <c r="A337" s="539"/>
      <c r="B337" s="575"/>
      <c r="C337" s="576"/>
      <c r="D337" s="541"/>
      <c r="E337" s="541"/>
      <c r="F337" s="577"/>
      <c r="G337" s="578"/>
      <c r="H337" s="542"/>
      <c r="I337" s="542"/>
      <c r="J337" s="542"/>
      <c r="K337" s="542"/>
    </row>
    <row r="338" spans="1:11">
      <c r="A338" s="550"/>
      <c r="B338" s="590"/>
      <c r="C338" s="591"/>
      <c r="D338" s="551"/>
      <c r="E338" s="551"/>
      <c r="F338" s="592"/>
      <c r="G338" s="593"/>
      <c r="H338" s="552"/>
      <c r="I338" s="552"/>
      <c r="J338" s="552"/>
      <c r="K338" s="552"/>
    </row>
    <row r="339" spans="1:11">
      <c r="A339" s="553" t="s">
        <v>154</v>
      </c>
      <c r="B339" s="594"/>
      <c r="C339" s="595"/>
      <c r="D339" s="596"/>
      <c r="E339" s="596"/>
      <c r="F339" s="597" t="s">
        <v>256</v>
      </c>
      <c r="G339" s="598"/>
      <c r="H339" s="599" t="s">
        <v>230</v>
      </c>
      <c r="I339" s="556">
        <f>SUM(I285:I338)</f>
        <v>0</v>
      </c>
      <c r="J339" s="599"/>
      <c r="K339" s="556">
        <f>SUM(K285:K338)</f>
        <v>0</v>
      </c>
    </row>
    <row r="340" spans="1:11">
      <c r="A340" s="533" t="s">
        <v>143</v>
      </c>
      <c r="B340" s="567" t="s">
        <v>209</v>
      </c>
      <c r="C340" s="1107" t="s">
        <v>210</v>
      </c>
      <c r="D340" s="1108"/>
      <c r="E340" s="1108"/>
      <c r="F340" s="1109"/>
      <c r="G340" s="568" t="s">
        <v>211</v>
      </c>
      <c r="H340" s="535" t="s">
        <v>212</v>
      </c>
      <c r="I340" s="535" t="s">
        <v>164</v>
      </c>
      <c r="J340" s="603" t="s">
        <v>299</v>
      </c>
      <c r="K340" s="603" t="s">
        <v>301</v>
      </c>
    </row>
    <row r="341" spans="1:11">
      <c r="A341" s="262"/>
      <c r="B341" s="570"/>
      <c r="C341" s="571" t="s">
        <v>196</v>
      </c>
      <c r="D341" s="572" t="s">
        <v>192</v>
      </c>
      <c r="E341" s="572" t="s">
        <v>197</v>
      </c>
      <c r="F341" s="573" t="s">
        <v>198</v>
      </c>
      <c r="G341" s="574"/>
      <c r="H341" s="537" t="s">
        <v>257</v>
      </c>
      <c r="I341" s="537" t="s">
        <v>257</v>
      </c>
      <c r="J341" s="604" t="s">
        <v>300</v>
      </c>
      <c r="K341" s="604" t="s">
        <v>300</v>
      </c>
    </row>
    <row r="342" spans="1:11">
      <c r="A342" s="539"/>
      <c r="B342" s="575"/>
      <c r="C342" s="576"/>
      <c r="D342" s="541"/>
      <c r="E342" s="541"/>
      <c r="F342" s="577"/>
      <c r="G342" s="578"/>
      <c r="H342" s="542"/>
      <c r="I342" s="542"/>
      <c r="J342" s="542"/>
      <c r="K342" s="542"/>
    </row>
    <row r="343" spans="1:11">
      <c r="A343" s="539"/>
      <c r="B343" s="575"/>
      <c r="C343" s="576"/>
      <c r="D343" s="541"/>
      <c r="E343" s="541"/>
      <c r="F343" s="577"/>
      <c r="G343" s="578"/>
      <c r="H343" s="542"/>
      <c r="I343" s="542"/>
      <c r="J343" s="542"/>
      <c r="K343" s="542"/>
    </row>
    <row r="344" spans="1:11">
      <c r="A344" s="539"/>
      <c r="B344" s="580"/>
      <c r="C344" s="581"/>
      <c r="D344" s="582"/>
      <c r="E344" s="582"/>
      <c r="F344" s="583"/>
      <c r="G344" s="578"/>
      <c r="H344" s="542"/>
      <c r="I344" s="542"/>
      <c r="J344" s="542"/>
      <c r="K344" s="542"/>
    </row>
    <row r="345" spans="1:11">
      <c r="A345" s="539"/>
      <c r="B345" s="575"/>
      <c r="C345" s="576"/>
      <c r="D345" s="541"/>
      <c r="E345" s="541"/>
      <c r="F345" s="577"/>
      <c r="G345" s="578"/>
      <c r="H345" s="542"/>
      <c r="I345" s="542"/>
      <c r="J345" s="542"/>
      <c r="K345" s="542"/>
    </row>
    <row r="346" spans="1:11">
      <c r="A346" s="539"/>
      <c r="B346" s="584"/>
      <c r="C346" s="585"/>
      <c r="D346" s="546"/>
      <c r="E346" s="546"/>
      <c r="F346" s="586"/>
      <c r="G346" s="587"/>
      <c r="H346" s="542"/>
      <c r="I346" s="542"/>
      <c r="J346" s="542"/>
      <c r="K346" s="542"/>
    </row>
    <row r="347" spans="1:11">
      <c r="A347" s="539"/>
      <c r="B347" s="575"/>
      <c r="C347" s="576"/>
      <c r="D347" s="541"/>
      <c r="E347" s="541"/>
      <c r="F347" s="577"/>
      <c r="G347" s="578"/>
      <c r="H347" s="542"/>
      <c r="I347" s="542"/>
      <c r="J347" s="542"/>
      <c r="K347" s="542"/>
    </row>
    <row r="348" spans="1:11">
      <c r="A348" s="539"/>
      <c r="B348" s="584"/>
      <c r="C348" s="585"/>
      <c r="D348" s="546"/>
      <c r="E348" s="546"/>
      <c r="F348" s="586"/>
      <c r="G348" s="587"/>
      <c r="H348" s="542"/>
      <c r="I348" s="542"/>
      <c r="J348" s="542"/>
      <c r="K348" s="542"/>
    </row>
    <row r="349" spans="1:11">
      <c r="A349" s="539"/>
      <c r="B349" s="575"/>
      <c r="C349" s="576"/>
      <c r="D349" s="541"/>
      <c r="E349" s="541"/>
      <c r="F349" s="577"/>
      <c r="G349" s="578"/>
      <c r="H349" s="542"/>
      <c r="I349" s="542"/>
      <c r="J349" s="542"/>
      <c r="K349" s="542"/>
    </row>
    <row r="350" spans="1:11">
      <c r="A350" s="539"/>
      <c r="B350" s="584"/>
      <c r="C350" s="585"/>
      <c r="D350" s="546"/>
      <c r="E350" s="546"/>
      <c r="F350" s="586"/>
      <c r="G350" s="587"/>
      <c r="H350" s="542"/>
      <c r="I350" s="542"/>
      <c r="J350" s="542"/>
      <c r="K350" s="542"/>
    </row>
    <row r="351" spans="1:11">
      <c r="A351" s="539"/>
      <c r="B351" s="575"/>
      <c r="C351" s="576"/>
      <c r="D351" s="541"/>
      <c r="E351" s="541"/>
      <c r="F351" s="577"/>
      <c r="G351" s="578"/>
      <c r="H351" s="542"/>
      <c r="I351" s="542"/>
      <c r="J351" s="542"/>
      <c r="K351" s="542"/>
    </row>
    <row r="352" spans="1:11">
      <c r="A352" s="539"/>
      <c r="B352" s="584"/>
      <c r="C352" s="585"/>
      <c r="D352" s="546"/>
      <c r="E352" s="546"/>
      <c r="F352" s="586"/>
      <c r="G352" s="587"/>
      <c r="H352" s="542"/>
      <c r="I352" s="542"/>
      <c r="J352" s="542"/>
      <c r="K352" s="542"/>
    </row>
    <row r="353" spans="1:11">
      <c r="A353" s="539"/>
      <c r="B353" s="575"/>
      <c r="C353" s="576"/>
      <c r="D353" s="541"/>
      <c r="E353" s="541"/>
      <c r="F353" s="577"/>
      <c r="G353" s="578"/>
      <c r="H353" s="542"/>
      <c r="I353" s="542"/>
      <c r="J353" s="542"/>
      <c r="K353" s="542"/>
    </row>
    <row r="354" spans="1:11">
      <c r="A354" s="539"/>
      <c r="B354" s="584"/>
      <c r="C354" s="585"/>
      <c r="D354" s="546"/>
      <c r="E354" s="546"/>
      <c r="F354" s="586"/>
      <c r="G354" s="587"/>
      <c r="H354" s="542"/>
      <c r="I354" s="542"/>
      <c r="J354" s="542"/>
      <c r="K354" s="542"/>
    </row>
    <row r="355" spans="1:11">
      <c r="A355" s="539"/>
      <c r="B355" s="575"/>
      <c r="C355" s="576"/>
      <c r="D355" s="541"/>
      <c r="E355" s="541"/>
      <c r="F355" s="577"/>
      <c r="G355" s="578"/>
      <c r="H355" s="542"/>
      <c r="I355" s="542"/>
      <c r="J355" s="542"/>
      <c r="K355" s="542"/>
    </row>
    <row r="356" spans="1:11">
      <c r="A356" s="539"/>
      <c r="B356" s="584"/>
      <c r="C356" s="585"/>
      <c r="D356" s="546"/>
      <c r="E356" s="546"/>
      <c r="F356" s="586"/>
      <c r="G356" s="587"/>
      <c r="H356" s="542"/>
      <c r="I356" s="542"/>
      <c r="J356" s="542"/>
      <c r="K356" s="542"/>
    </row>
    <row r="357" spans="1:11">
      <c r="A357" s="539"/>
      <c r="B357" s="575"/>
      <c r="C357" s="576"/>
      <c r="D357" s="541"/>
      <c r="E357" s="541"/>
      <c r="F357" s="577"/>
      <c r="G357" s="578"/>
      <c r="H357" s="542"/>
      <c r="I357" s="542"/>
      <c r="J357" s="542"/>
      <c r="K357" s="542"/>
    </row>
    <row r="358" spans="1:11">
      <c r="A358" s="539"/>
      <c r="B358" s="584"/>
      <c r="C358" s="585"/>
      <c r="D358" s="546"/>
      <c r="E358" s="546"/>
      <c r="F358" s="586"/>
      <c r="G358" s="587"/>
      <c r="H358" s="542"/>
      <c r="I358" s="542"/>
      <c r="J358" s="542"/>
      <c r="K358" s="542"/>
    </row>
    <row r="359" spans="1:11">
      <c r="A359" s="539"/>
      <c r="B359" s="575"/>
      <c r="C359" s="576"/>
      <c r="D359" s="541"/>
      <c r="E359" s="541"/>
      <c r="F359" s="577"/>
      <c r="G359" s="578"/>
      <c r="H359" s="542"/>
      <c r="I359" s="542"/>
      <c r="J359" s="542"/>
      <c r="K359" s="542"/>
    </row>
    <row r="360" spans="1:11">
      <c r="A360" s="539"/>
      <c r="B360" s="584"/>
      <c r="C360" s="585"/>
      <c r="D360" s="546"/>
      <c r="E360" s="546"/>
      <c r="F360" s="586"/>
      <c r="G360" s="587"/>
      <c r="H360" s="542"/>
      <c r="I360" s="542"/>
      <c r="J360" s="542"/>
      <c r="K360" s="542"/>
    </row>
    <row r="361" spans="1:11">
      <c r="A361" s="539"/>
      <c r="B361" s="575"/>
      <c r="C361" s="576"/>
      <c r="D361" s="541"/>
      <c r="E361" s="541"/>
      <c r="F361" s="577"/>
      <c r="G361" s="578"/>
      <c r="H361" s="542"/>
      <c r="I361" s="542"/>
      <c r="J361" s="542"/>
      <c r="K361" s="542"/>
    </row>
    <row r="362" spans="1:11">
      <c r="A362" s="539"/>
      <c r="B362" s="584"/>
      <c r="C362" s="585"/>
      <c r="D362" s="546"/>
      <c r="E362" s="546"/>
      <c r="F362" s="586"/>
      <c r="G362" s="587"/>
      <c r="H362" s="542"/>
      <c r="I362" s="542"/>
      <c r="J362" s="542"/>
      <c r="K362" s="542"/>
    </row>
    <row r="363" spans="1:11">
      <c r="A363" s="539"/>
      <c r="B363" s="575"/>
      <c r="C363" s="576"/>
      <c r="D363" s="541"/>
      <c r="E363" s="541"/>
      <c r="F363" s="577"/>
      <c r="G363" s="578"/>
      <c r="H363" s="542"/>
      <c r="I363" s="542"/>
      <c r="J363" s="542"/>
      <c r="K363" s="542"/>
    </row>
    <row r="364" spans="1:11">
      <c r="A364" s="539"/>
      <c r="B364" s="584"/>
      <c r="C364" s="585"/>
      <c r="D364" s="546"/>
      <c r="E364" s="546"/>
      <c r="F364" s="586"/>
      <c r="G364" s="587"/>
      <c r="H364" s="542"/>
      <c r="I364" s="542"/>
      <c r="J364" s="542"/>
      <c r="K364" s="542"/>
    </row>
    <row r="365" spans="1:11">
      <c r="A365" s="539"/>
      <c r="B365" s="575"/>
      <c r="C365" s="576"/>
      <c r="D365" s="541"/>
      <c r="E365" s="541"/>
      <c r="F365" s="577"/>
      <c r="G365" s="578"/>
      <c r="H365" s="542"/>
      <c r="I365" s="542"/>
      <c r="J365" s="542"/>
      <c r="K365" s="542"/>
    </row>
    <row r="366" spans="1:11">
      <c r="A366" s="539"/>
      <c r="B366" s="584"/>
      <c r="C366" s="585"/>
      <c r="D366" s="546"/>
      <c r="E366" s="546"/>
      <c r="F366" s="586"/>
      <c r="G366" s="587"/>
      <c r="H366" s="542"/>
      <c r="I366" s="542"/>
      <c r="J366" s="542"/>
      <c r="K366" s="542"/>
    </row>
    <row r="367" spans="1:11">
      <c r="A367" s="539"/>
      <c r="B367" s="584"/>
      <c r="C367" s="585"/>
      <c r="D367" s="546"/>
      <c r="E367" s="546"/>
      <c r="F367" s="586"/>
      <c r="G367" s="587"/>
      <c r="H367" s="542"/>
      <c r="I367" s="542"/>
      <c r="J367" s="542"/>
      <c r="K367" s="542"/>
    </row>
    <row r="368" spans="1:11">
      <c r="A368" s="539"/>
      <c r="B368" s="584"/>
      <c r="C368" s="585"/>
      <c r="D368" s="546"/>
      <c r="E368" s="546"/>
      <c r="F368" s="586"/>
      <c r="G368" s="587"/>
      <c r="H368" s="542"/>
      <c r="I368" s="542"/>
      <c r="J368" s="542"/>
      <c r="K368" s="542"/>
    </row>
    <row r="369" spans="1:11">
      <c r="A369" s="539"/>
      <c r="B369" s="584"/>
      <c r="C369" s="585"/>
      <c r="D369" s="546"/>
      <c r="E369" s="546"/>
      <c r="F369" s="586"/>
      <c r="G369" s="587"/>
      <c r="H369" s="542"/>
      <c r="I369" s="542"/>
      <c r="J369" s="542"/>
      <c r="K369" s="542"/>
    </row>
    <row r="370" spans="1:11">
      <c r="A370" s="539"/>
      <c r="B370" s="584"/>
      <c r="C370" s="585"/>
      <c r="D370" s="546"/>
      <c r="E370" s="546"/>
      <c r="F370" s="586"/>
      <c r="G370" s="587"/>
      <c r="H370" s="542"/>
      <c r="I370" s="542"/>
      <c r="J370" s="542"/>
      <c r="K370" s="542"/>
    </row>
    <row r="371" spans="1:11">
      <c r="A371" s="539"/>
      <c r="B371" s="584"/>
      <c r="C371" s="585"/>
      <c r="D371" s="546"/>
      <c r="E371" s="546"/>
      <c r="F371" s="586"/>
      <c r="G371" s="587"/>
      <c r="H371" s="542"/>
      <c r="I371" s="542"/>
      <c r="J371" s="542"/>
      <c r="K371" s="542"/>
    </row>
    <row r="372" spans="1:11">
      <c r="A372" s="539"/>
      <c r="B372" s="584"/>
      <c r="C372" s="585"/>
      <c r="D372" s="546"/>
      <c r="E372" s="546"/>
      <c r="F372" s="586"/>
      <c r="G372" s="587"/>
      <c r="H372" s="542"/>
      <c r="I372" s="542"/>
      <c r="J372" s="542"/>
      <c r="K372" s="542"/>
    </row>
    <row r="373" spans="1:11">
      <c r="A373" s="539"/>
      <c r="B373" s="584"/>
      <c r="C373" s="585"/>
      <c r="D373" s="546"/>
      <c r="E373" s="546"/>
      <c r="F373" s="586"/>
      <c r="G373" s="587"/>
      <c r="H373" s="542"/>
      <c r="I373" s="542"/>
      <c r="J373" s="542"/>
      <c r="K373" s="542"/>
    </row>
    <row r="374" spans="1:11">
      <c r="A374" s="539"/>
      <c r="B374" s="584"/>
      <c r="C374" s="585"/>
      <c r="D374" s="546"/>
      <c r="E374" s="546"/>
      <c r="F374" s="586"/>
      <c r="G374" s="587"/>
      <c r="H374" s="542"/>
      <c r="I374" s="542"/>
      <c r="J374" s="542"/>
      <c r="K374" s="542"/>
    </row>
    <row r="375" spans="1:11">
      <c r="A375" s="539"/>
      <c r="B375" s="584"/>
      <c r="C375" s="585"/>
      <c r="D375" s="546"/>
      <c r="E375" s="546"/>
      <c r="F375" s="586"/>
      <c r="G375" s="587"/>
      <c r="H375" s="542"/>
      <c r="I375" s="542"/>
      <c r="J375" s="542"/>
      <c r="K375" s="542"/>
    </row>
    <row r="376" spans="1:11">
      <c r="A376" s="539"/>
      <c r="B376" s="584"/>
      <c r="C376" s="585"/>
      <c r="D376" s="546"/>
      <c r="E376" s="546"/>
      <c r="F376" s="586"/>
      <c r="G376" s="587"/>
      <c r="H376" s="542"/>
      <c r="I376" s="542"/>
      <c r="J376" s="542"/>
      <c r="K376" s="542"/>
    </row>
    <row r="377" spans="1:11">
      <c r="A377" s="539"/>
      <c r="B377" s="584"/>
      <c r="C377" s="585"/>
      <c r="D377" s="546"/>
      <c r="E377" s="546"/>
      <c r="F377" s="586"/>
      <c r="G377" s="587"/>
      <c r="H377" s="542"/>
      <c r="I377" s="542"/>
      <c r="J377" s="542"/>
      <c r="K377" s="542"/>
    </row>
    <row r="378" spans="1:11">
      <c r="A378" s="539"/>
      <c r="B378" s="584"/>
      <c r="C378" s="585"/>
      <c r="D378" s="546"/>
      <c r="E378" s="546"/>
      <c r="F378" s="586"/>
      <c r="G378" s="587"/>
      <c r="H378" s="542"/>
      <c r="I378" s="542"/>
      <c r="J378" s="542"/>
      <c r="K378" s="542"/>
    </row>
    <row r="379" spans="1:11">
      <c r="A379" s="539"/>
      <c r="B379" s="584"/>
      <c r="C379" s="585"/>
      <c r="D379" s="546"/>
      <c r="E379" s="546"/>
      <c r="F379" s="586"/>
      <c r="G379" s="587"/>
      <c r="H379" s="542"/>
      <c r="I379" s="542"/>
      <c r="J379" s="542"/>
      <c r="K379" s="542"/>
    </row>
    <row r="380" spans="1:11">
      <c r="A380" s="539"/>
      <c r="B380" s="584"/>
      <c r="C380" s="585"/>
      <c r="D380" s="546"/>
      <c r="E380" s="546"/>
      <c r="F380" s="586"/>
      <c r="G380" s="587"/>
      <c r="H380" s="542"/>
      <c r="I380" s="542"/>
      <c r="J380" s="542"/>
      <c r="K380" s="542"/>
    </row>
    <row r="381" spans="1:11">
      <c r="A381" s="539"/>
      <c r="B381" s="575"/>
      <c r="C381" s="576"/>
      <c r="D381" s="541"/>
      <c r="E381" s="541"/>
      <c r="F381" s="577"/>
      <c r="G381" s="578"/>
      <c r="H381" s="542"/>
      <c r="I381" s="542"/>
      <c r="J381" s="542"/>
      <c r="K381" s="542"/>
    </row>
    <row r="382" spans="1:11">
      <c r="A382" s="539"/>
      <c r="B382" s="584"/>
      <c r="C382" s="585"/>
      <c r="D382" s="546"/>
      <c r="E382" s="546"/>
      <c r="F382" s="586"/>
      <c r="G382" s="587"/>
      <c r="H382" s="542"/>
      <c r="I382" s="542"/>
      <c r="J382" s="542"/>
      <c r="K382" s="542"/>
    </row>
    <row r="383" spans="1:11">
      <c r="A383" s="539"/>
      <c r="B383" s="575"/>
      <c r="C383" s="576"/>
      <c r="D383" s="541"/>
      <c r="E383" s="541"/>
      <c r="F383" s="577"/>
      <c r="G383" s="578"/>
      <c r="H383" s="542"/>
      <c r="I383" s="542"/>
      <c r="J383" s="542"/>
      <c r="K383" s="542"/>
    </row>
    <row r="384" spans="1:11">
      <c r="A384" s="539"/>
      <c r="B384" s="584"/>
      <c r="C384" s="585"/>
      <c r="D384" s="546"/>
      <c r="E384" s="546"/>
      <c r="F384" s="586"/>
      <c r="G384" s="587"/>
      <c r="H384" s="542"/>
      <c r="I384" s="542"/>
      <c r="J384" s="542"/>
      <c r="K384" s="542"/>
    </row>
    <row r="385" spans="1:11">
      <c r="A385" s="539"/>
      <c r="B385" s="575"/>
      <c r="C385" s="576"/>
      <c r="D385" s="541"/>
      <c r="E385" s="541"/>
      <c r="F385" s="577"/>
      <c r="G385" s="578"/>
      <c r="H385" s="542"/>
      <c r="I385" s="542"/>
      <c r="J385" s="542"/>
      <c r="K385" s="542"/>
    </row>
    <row r="386" spans="1:11">
      <c r="A386" s="539"/>
      <c r="B386" s="584"/>
      <c r="C386" s="585"/>
      <c r="D386" s="546"/>
      <c r="E386" s="546"/>
      <c r="F386" s="586"/>
      <c r="G386" s="587"/>
      <c r="H386" s="542"/>
      <c r="I386" s="542"/>
      <c r="J386" s="542"/>
      <c r="K386" s="542"/>
    </row>
    <row r="387" spans="1:11">
      <c r="A387" s="539"/>
      <c r="B387" s="575"/>
      <c r="C387" s="576"/>
      <c r="D387" s="541"/>
      <c r="E387" s="541"/>
      <c r="F387" s="577"/>
      <c r="G387" s="578"/>
      <c r="H387" s="542"/>
      <c r="I387" s="542"/>
      <c r="J387" s="542"/>
      <c r="K387" s="542"/>
    </row>
    <row r="388" spans="1:11">
      <c r="A388" s="539"/>
      <c r="B388" s="584"/>
      <c r="C388" s="585"/>
      <c r="D388" s="546"/>
      <c r="E388" s="546"/>
      <c r="F388" s="586"/>
      <c r="G388" s="587"/>
      <c r="H388" s="542"/>
      <c r="I388" s="542"/>
      <c r="J388" s="542"/>
      <c r="K388" s="542"/>
    </row>
    <row r="389" spans="1:11">
      <c r="A389" s="539"/>
      <c r="B389" s="575"/>
      <c r="C389" s="576"/>
      <c r="D389" s="541"/>
      <c r="E389" s="541"/>
      <c r="F389" s="577"/>
      <c r="G389" s="578"/>
      <c r="H389" s="542"/>
      <c r="I389" s="542"/>
      <c r="J389" s="542"/>
      <c r="K389" s="542"/>
    </row>
    <row r="390" spans="1:11">
      <c r="A390" s="539"/>
      <c r="B390" s="584"/>
      <c r="C390" s="585"/>
      <c r="D390" s="546"/>
      <c r="E390" s="546"/>
      <c r="F390" s="586"/>
      <c r="G390" s="587"/>
      <c r="H390" s="542"/>
      <c r="I390" s="542"/>
      <c r="J390" s="542"/>
      <c r="K390" s="542"/>
    </row>
    <row r="391" spans="1:11">
      <c r="A391" s="539"/>
      <c r="B391" s="575"/>
      <c r="C391" s="576"/>
      <c r="D391" s="541"/>
      <c r="E391" s="541"/>
      <c r="F391" s="577"/>
      <c r="G391" s="578"/>
      <c r="H391" s="542"/>
      <c r="I391" s="542"/>
      <c r="J391" s="542"/>
      <c r="K391" s="542"/>
    </row>
    <row r="392" spans="1:11">
      <c r="A392" s="539"/>
      <c r="B392" s="575"/>
      <c r="C392" s="576"/>
      <c r="D392" s="541"/>
      <c r="E392" s="541"/>
      <c r="F392" s="577"/>
      <c r="G392" s="578"/>
      <c r="H392" s="542"/>
      <c r="I392" s="542"/>
      <c r="J392" s="542"/>
      <c r="K392" s="542"/>
    </row>
    <row r="393" spans="1:11">
      <c r="A393" s="539"/>
      <c r="B393" s="575"/>
      <c r="C393" s="576"/>
      <c r="D393" s="541"/>
      <c r="E393" s="541"/>
      <c r="F393" s="577"/>
      <c r="G393" s="578"/>
      <c r="H393" s="542"/>
      <c r="I393" s="542"/>
      <c r="J393" s="542"/>
      <c r="K393" s="542"/>
    </row>
    <row r="394" spans="1:11">
      <c r="A394" s="539"/>
      <c r="B394" s="575"/>
      <c r="C394" s="576"/>
      <c r="D394" s="541"/>
      <c r="E394" s="541"/>
      <c r="F394" s="577"/>
      <c r="G394" s="578"/>
      <c r="H394" s="542"/>
      <c r="I394" s="542"/>
      <c r="J394" s="542"/>
      <c r="K394" s="542"/>
    </row>
    <row r="395" spans="1:11">
      <c r="A395" s="550"/>
      <c r="B395" s="590"/>
      <c r="C395" s="591"/>
      <c r="D395" s="551"/>
      <c r="E395" s="551"/>
      <c r="F395" s="592"/>
      <c r="G395" s="593"/>
      <c r="H395" s="552"/>
      <c r="I395" s="552"/>
      <c r="J395" s="552"/>
      <c r="K395" s="552"/>
    </row>
    <row r="396" spans="1:11">
      <c r="A396" s="553" t="s">
        <v>154</v>
      </c>
      <c r="B396" s="594"/>
      <c r="C396" s="595"/>
      <c r="D396" s="596"/>
      <c r="E396" s="596"/>
      <c r="F396" s="597" t="s">
        <v>256</v>
      </c>
      <c r="G396" s="598"/>
      <c r="H396" s="599" t="s">
        <v>230</v>
      </c>
      <c r="I396" s="556">
        <f>SUM(I342:I395)</f>
        <v>0</v>
      </c>
      <c r="J396" s="599"/>
      <c r="K396" s="556">
        <f>SUM(K342:K395)</f>
        <v>0</v>
      </c>
    </row>
    <row r="397" spans="1:11">
      <c r="A397" s="533" t="s">
        <v>143</v>
      </c>
      <c r="B397" s="567" t="s">
        <v>209</v>
      </c>
      <c r="C397" s="1107" t="s">
        <v>210</v>
      </c>
      <c r="D397" s="1108"/>
      <c r="E397" s="1108"/>
      <c r="F397" s="1109"/>
      <c r="G397" s="568" t="s">
        <v>211</v>
      </c>
      <c r="H397" s="535" t="s">
        <v>212</v>
      </c>
      <c r="I397" s="535" t="s">
        <v>164</v>
      </c>
      <c r="J397" s="603" t="s">
        <v>299</v>
      </c>
      <c r="K397" s="603" t="s">
        <v>301</v>
      </c>
    </row>
    <row r="398" spans="1:11">
      <c r="A398" s="262"/>
      <c r="B398" s="570"/>
      <c r="C398" s="571" t="s">
        <v>196</v>
      </c>
      <c r="D398" s="572" t="s">
        <v>192</v>
      </c>
      <c r="E398" s="572" t="s">
        <v>197</v>
      </c>
      <c r="F398" s="573" t="s">
        <v>198</v>
      </c>
      <c r="G398" s="574"/>
      <c r="H398" s="537" t="s">
        <v>257</v>
      </c>
      <c r="I398" s="537" t="s">
        <v>257</v>
      </c>
      <c r="J398" s="604" t="s">
        <v>300</v>
      </c>
      <c r="K398" s="604" t="s">
        <v>300</v>
      </c>
    </row>
    <row r="399" spans="1:11">
      <c r="A399" s="539"/>
      <c r="B399" s="575"/>
      <c r="C399" s="576"/>
      <c r="D399" s="541"/>
      <c r="E399" s="541"/>
      <c r="F399" s="577"/>
      <c r="G399" s="578"/>
      <c r="H399" s="542"/>
      <c r="I399" s="542"/>
      <c r="J399" s="542"/>
      <c r="K399" s="542"/>
    </row>
    <row r="400" spans="1:11">
      <c r="A400" s="539"/>
      <c r="B400" s="575"/>
      <c r="C400" s="576"/>
      <c r="D400" s="541"/>
      <c r="E400" s="541"/>
      <c r="F400" s="577"/>
      <c r="G400" s="578"/>
      <c r="H400" s="542"/>
      <c r="I400" s="542"/>
      <c r="J400" s="542"/>
      <c r="K400" s="542"/>
    </row>
    <row r="401" spans="1:11">
      <c r="A401" s="539"/>
      <c r="B401" s="580"/>
      <c r="C401" s="581"/>
      <c r="D401" s="582"/>
      <c r="E401" s="582"/>
      <c r="F401" s="583"/>
      <c r="G401" s="578"/>
      <c r="H401" s="542"/>
      <c r="I401" s="542"/>
      <c r="J401" s="542"/>
      <c r="K401" s="542"/>
    </row>
    <row r="402" spans="1:11">
      <c r="A402" s="539"/>
      <c r="B402" s="575"/>
      <c r="C402" s="576"/>
      <c r="D402" s="541"/>
      <c r="E402" s="541"/>
      <c r="F402" s="577"/>
      <c r="G402" s="578"/>
      <c r="H402" s="542"/>
      <c r="I402" s="542"/>
      <c r="J402" s="542"/>
      <c r="K402" s="542"/>
    </row>
    <row r="403" spans="1:11">
      <c r="A403" s="539"/>
      <c r="B403" s="584"/>
      <c r="C403" s="585"/>
      <c r="D403" s="546"/>
      <c r="E403" s="546"/>
      <c r="F403" s="586"/>
      <c r="G403" s="587"/>
      <c r="H403" s="542"/>
      <c r="I403" s="542"/>
      <c r="J403" s="542"/>
      <c r="K403" s="542"/>
    </row>
    <row r="404" spans="1:11">
      <c r="A404" s="539"/>
      <c r="B404" s="575"/>
      <c r="C404" s="576"/>
      <c r="D404" s="541"/>
      <c r="E404" s="541"/>
      <c r="F404" s="577"/>
      <c r="G404" s="578"/>
      <c r="H404" s="542"/>
      <c r="I404" s="542"/>
      <c r="J404" s="542"/>
      <c r="K404" s="542"/>
    </row>
    <row r="405" spans="1:11">
      <c r="A405" s="539"/>
      <c r="B405" s="584"/>
      <c r="C405" s="585"/>
      <c r="D405" s="546"/>
      <c r="E405" s="546"/>
      <c r="F405" s="586"/>
      <c r="G405" s="587"/>
      <c r="H405" s="542"/>
      <c r="I405" s="542"/>
      <c r="J405" s="542"/>
      <c r="K405" s="542"/>
    </row>
    <row r="406" spans="1:11">
      <c r="A406" s="539"/>
      <c r="B406" s="575"/>
      <c r="C406" s="576"/>
      <c r="D406" s="541"/>
      <c r="E406" s="541"/>
      <c r="F406" s="577"/>
      <c r="G406" s="578"/>
      <c r="H406" s="542"/>
      <c r="I406" s="542"/>
      <c r="J406" s="542"/>
      <c r="K406" s="542"/>
    </row>
    <row r="407" spans="1:11">
      <c r="A407" s="539"/>
      <c r="B407" s="584"/>
      <c r="C407" s="585"/>
      <c r="D407" s="546"/>
      <c r="E407" s="546"/>
      <c r="F407" s="586"/>
      <c r="G407" s="587"/>
      <c r="H407" s="542"/>
      <c r="I407" s="542"/>
      <c r="J407" s="542"/>
      <c r="K407" s="542"/>
    </row>
    <row r="408" spans="1:11">
      <c r="A408" s="539"/>
      <c r="B408" s="575"/>
      <c r="C408" s="576"/>
      <c r="D408" s="541"/>
      <c r="E408" s="541"/>
      <c r="F408" s="577"/>
      <c r="G408" s="578"/>
      <c r="H408" s="542"/>
      <c r="I408" s="542"/>
      <c r="J408" s="542"/>
      <c r="K408" s="542"/>
    </row>
    <row r="409" spans="1:11">
      <c r="A409" s="539"/>
      <c r="B409" s="584"/>
      <c r="C409" s="585"/>
      <c r="D409" s="546"/>
      <c r="E409" s="546"/>
      <c r="F409" s="586"/>
      <c r="G409" s="587"/>
      <c r="H409" s="542"/>
      <c r="I409" s="542"/>
      <c r="J409" s="542"/>
      <c r="K409" s="542"/>
    </row>
    <row r="410" spans="1:11">
      <c r="A410" s="539"/>
      <c r="B410" s="575"/>
      <c r="C410" s="576"/>
      <c r="D410" s="541"/>
      <c r="E410" s="541"/>
      <c r="F410" s="577"/>
      <c r="G410" s="578"/>
      <c r="H410" s="542"/>
      <c r="I410" s="542"/>
      <c r="J410" s="542"/>
      <c r="K410" s="542"/>
    </row>
    <row r="411" spans="1:11">
      <c r="A411" s="539"/>
      <c r="B411" s="584"/>
      <c r="C411" s="585"/>
      <c r="D411" s="546"/>
      <c r="E411" s="546"/>
      <c r="F411" s="586"/>
      <c r="G411" s="587"/>
      <c r="H411" s="542"/>
      <c r="I411" s="542"/>
      <c r="J411" s="542"/>
      <c r="K411" s="542"/>
    </row>
    <row r="412" spans="1:11">
      <c r="A412" s="539"/>
      <c r="B412" s="575"/>
      <c r="C412" s="576"/>
      <c r="D412" s="541"/>
      <c r="E412" s="541"/>
      <c r="F412" s="577"/>
      <c r="G412" s="578"/>
      <c r="H412" s="542"/>
      <c r="I412" s="542"/>
      <c r="J412" s="542"/>
      <c r="K412" s="542"/>
    </row>
    <row r="413" spans="1:11">
      <c r="A413" s="539"/>
      <c r="B413" s="584"/>
      <c r="C413" s="585"/>
      <c r="D413" s="546"/>
      <c r="E413" s="546"/>
      <c r="F413" s="586"/>
      <c r="G413" s="587"/>
      <c r="H413" s="542"/>
      <c r="I413" s="542"/>
      <c r="J413" s="542"/>
      <c r="K413" s="542"/>
    </row>
    <row r="414" spans="1:11">
      <c r="A414" s="539"/>
      <c r="B414" s="575"/>
      <c r="C414" s="576"/>
      <c r="D414" s="541"/>
      <c r="E414" s="541"/>
      <c r="F414" s="577"/>
      <c r="G414" s="578"/>
      <c r="H414" s="542"/>
      <c r="I414" s="542"/>
      <c r="J414" s="542"/>
      <c r="K414" s="542"/>
    </row>
    <row r="415" spans="1:11">
      <c r="A415" s="539"/>
      <c r="B415" s="584"/>
      <c r="C415" s="585"/>
      <c r="D415" s="546"/>
      <c r="E415" s="546"/>
      <c r="F415" s="586"/>
      <c r="G415" s="587"/>
      <c r="H415" s="542"/>
      <c r="I415" s="542"/>
      <c r="J415" s="542"/>
      <c r="K415" s="542"/>
    </row>
    <row r="416" spans="1:11">
      <c r="A416" s="539"/>
      <c r="B416" s="575"/>
      <c r="C416" s="576"/>
      <c r="D416" s="541"/>
      <c r="E416" s="541"/>
      <c r="F416" s="577"/>
      <c r="G416" s="578"/>
      <c r="H416" s="542"/>
      <c r="I416" s="542"/>
      <c r="J416" s="542"/>
      <c r="K416" s="542"/>
    </row>
    <row r="417" spans="1:11">
      <c r="A417" s="539"/>
      <c r="B417" s="584"/>
      <c r="C417" s="585"/>
      <c r="D417" s="546"/>
      <c r="E417" s="546"/>
      <c r="F417" s="586"/>
      <c r="G417" s="587"/>
      <c r="H417" s="542"/>
      <c r="I417" s="542"/>
      <c r="J417" s="542"/>
      <c r="K417" s="542"/>
    </row>
    <row r="418" spans="1:11">
      <c r="A418" s="539"/>
      <c r="B418" s="575"/>
      <c r="C418" s="576"/>
      <c r="D418" s="541"/>
      <c r="E418" s="541"/>
      <c r="F418" s="577"/>
      <c r="G418" s="578"/>
      <c r="H418" s="542"/>
      <c r="I418" s="542"/>
      <c r="J418" s="542"/>
      <c r="K418" s="542"/>
    </row>
    <row r="419" spans="1:11">
      <c r="A419" s="539"/>
      <c r="B419" s="584"/>
      <c r="C419" s="585"/>
      <c r="D419" s="546"/>
      <c r="E419" s="546"/>
      <c r="F419" s="586"/>
      <c r="G419" s="587"/>
      <c r="H419" s="542"/>
      <c r="I419" s="542"/>
      <c r="J419" s="542"/>
      <c r="K419" s="542"/>
    </row>
    <row r="420" spans="1:11">
      <c r="A420" s="539"/>
      <c r="B420" s="575"/>
      <c r="C420" s="576"/>
      <c r="D420" s="541"/>
      <c r="E420" s="541"/>
      <c r="F420" s="577"/>
      <c r="G420" s="578"/>
      <c r="H420" s="542"/>
      <c r="I420" s="542"/>
      <c r="J420" s="542"/>
      <c r="K420" s="542"/>
    </row>
    <row r="421" spans="1:11">
      <c r="A421" s="539"/>
      <c r="B421" s="584"/>
      <c r="C421" s="585"/>
      <c r="D421" s="546"/>
      <c r="E421" s="546"/>
      <c r="F421" s="586"/>
      <c r="G421" s="587"/>
      <c r="H421" s="542"/>
      <c r="I421" s="542"/>
      <c r="J421" s="542"/>
      <c r="K421" s="542"/>
    </row>
    <row r="422" spans="1:11">
      <c r="A422" s="539"/>
      <c r="B422" s="575"/>
      <c r="C422" s="576"/>
      <c r="D422" s="541"/>
      <c r="E422" s="541"/>
      <c r="F422" s="577"/>
      <c r="G422" s="578"/>
      <c r="H422" s="542"/>
      <c r="I422" s="542"/>
      <c r="J422" s="542"/>
      <c r="K422" s="542"/>
    </row>
    <row r="423" spans="1:11">
      <c r="A423" s="539"/>
      <c r="B423" s="584"/>
      <c r="C423" s="585"/>
      <c r="D423" s="546"/>
      <c r="E423" s="546"/>
      <c r="F423" s="586"/>
      <c r="G423" s="587"/>
      <c r="H423" s="542"/>
      <c r="I423" s="542"/>
      <c r="J423" s="542"/>
      <c r="K423" s="542"/>
    </row>
    <row r="424" spans="1:11">
      <c r="A424" s="539"/>
      <c r="B424" s="584"/>
      <c r="C424" s="585"/>
      <c r="D424" s="546"/>
      <c r="E424" s="546"/>
      <c r="F424" s="586"/>
      <c r="G424" s="587"/>
      <c r="H424" s="542"/>
      <c r="I424" s="542"/>
      <c r="J424" s="542"/>
      <c r="K424" s="542"/>
    </row>
    <row r="425" spans="1:11">
      <c r="A425" s="539"/>
      <c r="B425" s="584"/>
      <c r="C425" s="585"/>
      <c r="D425" s="546"/>
      <c r="E425" s="546"/>
      <c r="F425" s="586"/>
      <c r="G425" s="587"/>
      <c r="H425" s="542"/>
      <c r="I425" s="542"/>
      <c r="J425" s="542"/>
      <c r="K425" s="542"/>
    </row>
    <row r="426" spans="1:11">
      <c r="A426" s="539"/>
      <c r="B426" s="584"/>
      <c r="C426" s="585"/>
      <c r="D426" s="546"/>
      <c r="E426" s="546"/>
      <c r="F426" s="586"/>
      <c r="G426" s="587"/>
      <c r="H426" s="542"/>
      <c r="I426" s="542"/>
      <c r="J426" s="542"/>
      <c r="K426" s="542"/>
    </row>
    <row r="427" spans="1:11">
      <c r="A427" s="539"/>
      <c r="B427" s="584"/>
      <c r="C427" s="585"/>
      <c r="D427" s="546"/>
      <c r="E427" s="546"/>
      <c r="F427" s="586"/>
      <c r="G427" s="587"/>
      <c r="H427" s="542"/>
      <c r="I427" s="542"/>
      <c r="J427" s="542"/>
      <c r="K427" s="542"/>
    </row>
    <row r="428" spans="1:11">
      <c r="A428" s="539"/>
      <c r="B428" s="584"/>
      <c r="C428" s="585"/>
      <c r="D428" s="546"/>
      <c r="E428" s="546"/>
      <c r="F428" s="586"/>
      <c r="G428" s="587"/>
      <c r="H428" s="542"/>
      <c r="I428" s="542"/>
      <c r="J428" s="542"/>
      <c r="K428" s="542"/>
    </row>
    <row r="429" spans="1:11">
      <c r="A429" s="539"/>
      <c r="B429" s="584"/>
      <c r="C429" s="585"/>
      <c r="D429" s="546"/>
      <c r="E429" s="546"/>
      <c r="F429" s="586"/>
      <c r="G429" s="587"/>
      <c r="H429" s="542"/>
      <c r="I429" s="542"/>
      <c r="J429" s="542"/>
      <c r="K429" s="542"/>
    </row>
    <row r="430" spans="1:11">
      <c r="A430" s="539"/>
      <c r="B430" s="584"/>
      <c r="C430" s="585"/>
      <c r="D430" s="546"/>
      <c r="E430" s="546"/>
      <c r="F430" s="586"/>
      <c r="G430" s="587"/>
      <c r="H430" s="542"/>
      <c r="I430" s="542"/>
      <c r="J430" s="542"/>
      <c r="K430" s="542"/>
    </row>
    <row r="431" spans="1:11">
      <c r="A431" s="539"/>
      <c r="B431" s="584"/>
      <c r="C431" s="585"/>
      <c r="D431" s="546"/>
      <c r="E431" s="546"/>
      <c r="F431" s="586"/>
      <c r="G431" s="587"/>
      <c r="H431" s="542"/>
      <c r="I431" s="542"/>
      <c r="J431" s="542"/>
      <c r="K431" s="542"/>
    </row>
    <row r="432" spans="1:11">
      <c r="A432" s="539"/>
      <c r="B432" s="584"/>
      <c r="C432" s="585"/>
      <c r="D432" s="546"/>
      <c r="E432" s="546"/>
      <c r="F432" s="586"/>
      <c r="G432" s="587"/>
      <c r="H432" s="542"/>
      <c r="I432" s="542"/>
      <c r="J432" s="542"/>
      <c r="K432" s="542"/>
    </row>
    <row r="433" spans="1:11">
      <c r="A433" s="539"/>
      <c r="B433" s="584"/>
      <c r="C433" s="585"/>
      <c r="D433" s="546"/>
      <c r="E433" s="546"/>
      <c r="F433" s="586"/>
      <c r="G433" s="587"/>
      <c r="H433" s="542"/>
      <c r="I433" s="542"/>
      <c r="J433" s="542"/>
      <c r="K433" s="542"/>
    </row>
    <row r="434" spans="1:11">
      <c r="A434" s="539"/>
      <c r="B434" s="584"/>
      <c r="C434" s="585"/>
      <c r="D434" s="546"/>
      <c r="E434" s="546"/>
      <c r="F434" s="586"/>
      <c r="G434" s="587"/>
      <c r="H434" s="542"/>
      <c r="I434" s="542"/>
      <c r="J434" s="542"/>
      <c r="K434" s="542"/>
    </row>
    <row r="435" spans="1:11">
      <c r="A435" s="539"/>
      <c r="B435" s="584"/>
      <c r="C435" s="585"/>
      <c r="D435" s="546"/>
      <c r="E435" s="546"/>
      <c r="F435" s="586"/>
      <c r="G435" s="587"/>
      <c r="H435" s="542"/>
      <c r="I435" s="542"/>
      <c r="J435" s="542"/>
      <c r="K435" s="542"/>
    </row>
    <row r="436" spans="1:11">
      <c r="A436" s="539"/>
      <c r="B436" s="584"/>
      <c r="C436" s="585"/>
      <c r="D436" s="546"/>
      <c r="E436" s="546"/>
      <c r="F436" s="586"/>
      <c r="G436" s="587"/>
      <c r="H436" s="542"/>
      <c r="I436" s="542"/>
      <c r="J436" s="542"/>
      <c r="K436" s="542"/>
    </row>
    <row r="437" spans="1:11">
      <c r="A437" s="539"/>
      <c r="B437" s="575"/>
      <c r="C437" s="576"/>
      <c r="D437" s="541"/>
      <c r="E437" s="541"/>
      <c r="F437" s="577"/>
      <c r="G437" s="578"/>
      <c r="H437" s="542"/>
      <c r="I437" s="542"/>
      <c r="J437" s="542"/>
      <c r="K437" s="542"/>
    </row>
    <row r="438" spans="1:11">
      <c r="A438" s="539"/>
      <c r="B438" s="584"/>
      <c r="C438" s="585"/>
      <c r="D438" s="546"/>
      <c r="E438" s="546"/>
      <c r="F438" s="586"/>
      <c r="G438" s="587"/>
      <c r="H438" s="542"/>
      <c r="I438" s="542"/>
      <c r="J438" s="542"/>
      <c r="K438" s="542"/>
    </row>
    <row r="439" spans="1:11">
      <c r="A439" s="539"/>
      <c r="B439" s="575"/>
      <c r="C439" s="576"/>
      <c r="D439" s="541"/>
      <c r="E439" s="541"/>
      <c r="F439" s="577"/>
      <c r="G439" s="578"/>
      <c r="H439" s="542"/>
      <c r="I439" s="542"/>
      <c r="J439" s="542"/>
      <c r="K439" s="542"/>
    </row>
    <row r="440" spans="1:11">
      <c r="A440" s="539"/>
      <c r="B440" s="584"/>
      <c r="C440" s="585"/>
      <c r="D440" s="546"/>
      <c r="E440" s="546"/>
      <c r="F440" s="586"/>
      <c r="G440" s="587"/>
      <c r="H440" s="542"/>
      <c r="I440" s="542"/>
      <c r="J440" s="542"/>
      <c r="K440" s="542"/>
    </row>
    <row r="441" spans="1:11">
      <c r="A441" s="539"/>
      <c r="B441" s="575"/>
      <c r="C441" s="576"/>
      <c r="D441" s="541"/>
      <c r="E441" s="541"/>
      <c r="F441" s="577"/>
      <c r="G441" s="578"/>
      <c r="H441" s="542"/>
      <c r="I441" s="542"/>
      <c r="J441" s="542"/>
      <c r="K441" s="542"/>
    </row>
    <row r="442" spans="1:11">
      <c r="A442" s="539"/>
      <c r="B442" s="584"/>
      <c r="C442" s="585"/>
      <c r="D442" s="546"/>
      <c r="E442" s="546"/>
      <c r="F442" s="586"/>
      <c r="G442" s="587"/>
      <c r="H442" s="542"/>
      <c r="I442" s="542"/>
      <c r="J442" s="542"/>
      <c r="K442" s="542"/>
    </row>
    <row r="443" spans="1:11">
      <c r="A443" s="539"/>
      <c r="B443" s="575"/>
      <c r="C443" s="576"/>
      <c r="D443" s="541"/>
      <c r="E443" s="541"/>
      <c r="F443" s="577"/>
      <c r="G443" s="578"/>
      <c r="H443" s="542"/>
      <c r="I443" s="542"/>
      <c r="J443" s="542"/>
      <c r="K443" s="542"/>
    </row>
    <row r="444" spans="1:11">
      <c r="A444" s="539"/>
      <c r="B444" s="584"/>
      <c r="C444" s="585"/>
      <c r="D444" s="546"/>
      <c r="E444" s="546"/>
      <c r="F444" s="586"/>
      <c r="G444" s="587"/>
      <c r="H444" s="542"/>
      <c r="I444" s="542"/>
      <c r="J444" s="542"/>
      <c r="K444" s="542"/>
    </row>
    <row r="445" spans="1:11">
      <c r="A445" s="539"/>
      <c r="B445" s="575"/>
      <c r="C445" s="576"/>
      <c r="D445" s="541"/>
      <c r="E445" s="541"/>
      <c r="F445" s="577"/>
      <c r="G445" s="578"/>
      <c r="H445" s="542"/>
      <c r="I445" s="542"/>
      <c r="J445" s="542"/>
      <c r="K445" s="542"/>
    </row>
    <row r="446" spans="1:11">
      <c r="A446" s="539"/>
      <c r="B446" s="584"/>
      <c r="C446" s="585"/>
      <c r="D446" s="546"/>
      <c r="E446" s="546"/>
      <c r="F446" s="586"/>
      <c r="G446" s="587"/>
      <c r="H446" s="542"/>
      <c r="I446" s="542"/>
      <c r="J446" s="542"/>
      <c r="K446" s="542"/>
    </row>
    <row r="447" spans="1:11">
      <c r="A447" s="539"/>
      <c r="B447" s="575"/>
      <c r="C447" s="576"/>
      <c r="D447" s="541"/>
      <c r="E447" s="541"/>
      <c r="F447" s="577"/>
      <c r="G447" s="578"/>
      <c r="H447" s="542"/>
      <c r="I447" s="542"/>
      <c r="J447" s="542"/>
      <c r="K447" s="542"/>
    </row>
    <row r="448" spans="1:11">
      <c r="A448" s="539"/>
      <c r="B448" s="575"/>
      <c r="C448" s="576"/>
      <c r="D448" s="541"/>
      <c r="E448" s="541"/>
      <c r="F448" s="577"/>
      <c r="G448" s="578"/>
      <c r="H448" s="542"/>
      <c r="I448" s="542"/>
      <c r="J448" s="542"/>
      <c r="K448" s="542"/>
    </row>
    <row r="449" spans="1:11">
      <c r="A449" s="539"/>
      <c r="B449" s="575"/>
      <c r="C449" s="576"/>
      <c r="D449" s="541"/>
      <c r="E449" s="541"/>
      <c r="F449" s="577"/>
      <c r="G449" s="578"/>
      <c r="H449" s="542"/>
      <c r="I449" s="542"/>
      <c r="J449" s="542"/>
      <c r="K449" s="542"/>
    </row>
    <row r="450" spans="1:11">
      <c r="A450" s="539"/>
      <c r="B450" s="575"/>
      <c r="C450" s="576"/>
      <c r="D450" s="541"/>
      <c r="E450" s="541"/>
      <c r="F450" s="577"/>
      <c r="G450" s="578"/>
      <c r="H450" s="542"/>
      <c r="I450" s="542"/>
      <c r="J450" s="542"/>
      <c r="K450" s="542"/>
    </row>
    <row r="451" spans="1:11">
      <c r="A451" s="539"/>
      <c r="B451" s="575"/>
      <c r="C451" s="576"/>
      <c r="D451" s="541"/>
      <c r="E451" s="541"/>
      <c r="F451" s="577"/>
      <c r="G451" s="578"/>
      <c r="H451" s="542"/>
      <c r="I451" s="542"/>
      <c r="J451" s="542"/>
      <c r="K451" s="542"/>
    </row>
    <row r="452" spans="1:11">
      <c r="A452" s="550"/>
      <c r="B452" s="590"/>
      <c r="C452" s="591"/>
      <c r="D452" s="551"/>
      <c r="E452" s="551"/>
      <c r="F452" s="592"/>
      <c r="G452" s="593"/>
      <c r="H452" s="552"/>
      <c r="I452" s="552"/>
      <c r="J452" s="552"/>
      <c r="K452" s="552"/>
    </row>
    <row r="453" spans="1:11">
      <c r="A453" s="553" t="s">
        <v>154</v>
      </c>
      <c r="B453" s="594"/>
      <c r="C453" s="595"/>
      <c r="D453" s="596"/>
      <c r="E453" s="596"/>
      <c r="F453" s="597" t="s">
        <v>256</v>
      </c>
      <c r="G453" s="598"/>
      <c r="H453" s="599" t="s">
        <v>230</v>
      </c>
      <c r="I453" s="556">
        <f>SUM(I399:I452)</f>
        <v>0</v>
      </c>
      <c r="J453" s="599"/>
      <c r="K453" s="556">
        <f>SUM(K399:K452)</f>
        <v>0</v>
      </c>
    </row>
    <row r="454" spans="1:11">
      <c r="A454" s="533" t="s">
        <v>143</v>
      </c>
      <c r="B454" s="567" t="s">
        <v>209</v>
      </c>
      <c r="C454" s="1107" t="s">
        <v>210</v>
      </c>
      <c r="D454" s="1108"/>
      <c r="E454" s="1108"/>
      <c r="F454" s="1109"/>
      <c r="G454" s="568" t="s">
        <v>211</v>
      </c>
      <c r="H454" s="535" t="s">
        <v>212</v>
      </c>
      <c r="I454" s="535" t="s">
        <v>164</v>
      </c>
      <c r="J454" s="603" t="s">
        <v>299</v>
      </c>
      <c r="K454" s="603" t="s">
        <v>301</v>
      </c>
    </row>
    <row r="455" spans="1:11">
      <c r="A455" s="262"/>
      <c r="B455" s="570"/>
      <c r="C455" s="571" t="s">
        <v>196</v>
      </c>
      <c r="D455" s="572" t="s">
        <v>192</v>
      </c>
      <c r="E455" s="572" t="s">
        <v>197</v>
      </c>
      <c r="F455" s="573" t="s">
        <v>198</v>
      </c>
      <c r="G455" s="574"/>
      <c r="H455" s="537" t="s">
        <v>257</v>
      </c>
      <c r="I455" s="537" t="s">
        <v>257</v>
      </c>
      <c r="J455" s="604" t="s">
        <v>300</v>
      </c>
      <c r="K455" s="604" t="s">
        <v>300</v>
      </c>
    </row>
    <row r="456" spans="1:11">
      <c r="A456" s="539"/>
      <c r="B456" s="575"/>
      <c r="C456" s="576"/>
      <c r="D456" s="541"/>
      <c r="E456" s="541"/>
      <c r="F456" s="577"/>
      <c r="G456" s="578"/>
      <c r="H456" s="542"/>
      <c r="I456" s="542"/>
      <c r="J456" s="542"/>
      <c r="K456" s="542"/>
    </row>
    <row r="457" spans="1:11">
      <c r="A457" s="539"/>
      <c r="B457" s="575"/>
      <c r="C457" s="576"/>
      <c r="D457" s="541"/>
      <c r="E457" s="541"/>
      <c r="F457" s="577"/>
      <c r="G457" s="578"/>
      <c r="H457" s="542"/>
      <c r="I457" s="542"/>
      <c r="J457" s="542"/>
      <c r="K457" s="542"/>
    </row>
    <row r="458" spans="1:11">
      <c r="A458" s="539"/>
      <c r="B458" s="580"/>
      <c r="C458" s="581"/>
      <c r="D458" s="582"/>
      <c r="E458" s="582"/>
      <c r="F458" s="583"/>
      <c r="G458" s="578"/>
      <c r="H458" s="542"/>
      <c r="I458" s="542"/>
      <c r="J458" s="542"/>
      <c r="K458" s="542"/>
    </row>
    <row r="459" spans="1:11">
      <c r="A459" s="539"/>
      <c r="B459" s="575"/>
      <c r="C459" s="576"/>
      <c r="D459" s="541"/>
      <c r="E459" s="541"/>
      <c r="F459" s="577"/>
      <c r="G459" s="578"/>
      <c r="H459" s="542"/>
      <c r="I459" s="542"/>
      <c r="J459" s="542"/>
      <c r="K459" s="542"/>
    </row>
    <row r="460" spans="1:11">
      <c r="A460" s="539"/>
      <c r="B460" s="584"/>
      <c r="C460" s="585"/>
      <c r="D460" s="546"/>
      <c r="E460" s="546"/>
      <c r="F460" s="586"/>
      <c r="G460" s="587"/>
      <c r="H460" s="542"/>
      <c r="I460" s="542"/>
      <c r="J460" s="542"/>
      <c r="K460" s="542"/>
    </row>
    <row r="461" spans="1:11">
      <c r="A461" s="539"/>
      <c r="B461" s="575"/>
      <c r="C461" s="576"/>
      <c r="D461" s="541"/>
      <c r="E461" s="541"/>
      <c r="F461" s="577"/>
      <c r="G461" s="578"/>
      <c r="H461" s="542"/>
      <c r="I461" s="542"/>
      <c r="J461" s="542"/>
      <c r="K461" s="542"/>
    </row>
    <row r="462" spans="1:11">
      <c r="A462" s="539"/>
      <c r="B462" s="584"/>
      <c r="C462" s="585"/>
      <c r="D462" s="546"/>
      <c r="E462" s="546"/>
      <c r="F462" s="586"/>
      <c r="G462" s="587"/>
      <c r="H462" s="542"/>
      <c r="I462" s="542"/>
      <c r="J462" s="542"/>
      <c r="K462" s="542"/>
    </row>
    <row r="463" spans="1:11">
      <c r="A463" s="539"/>
      <c r="B463" s="575"/>
      <c r="C463" s="576"/>
      <c r="D463" s="541"/>
      <c r="E463" s="541"/>
      <c r="F463" s="577"/>
      <c r="G463" s="578"/>
      <c r="H463" s="542"/>
      <c r="I463" s="542"/>
      <c r="J463" s="542"/>
      <c r="K463" s="542"/>
    </row>
    <row r="464" spans="1:11">
      <c r="A464" s="539"/>
      <c r="B464" s="584"/>
      <c r="C464" s="585"/>
      <c r="D464" s="546"/>
      <c r="E464" s="546"/>
      <c r="F464" s="586"/>
      <c r="G464" s="587"/>
      <c r="H464" s="542"/>
      <c r="I464" s="542"/>
      <c r="J464" s="542"/>
      <c r="K464" s="542"/>
    </row>
    <row r="465" spans="1:11">
      <c r="A465" s="539"/>
      <c r="B465" s="575"/>
      <c r="C465" s="576"/>
      <c r="D465" s="541"/>
      <c r="E465" s="541"/>
      <c r="F465" s="577"/>
      <c r="G465" s="578"/>
      <c r="H465" s="542"/>
      <c r="I465" s="542"/>
      <c r="J465" s="542"/>
      <c r="K465" s="542"/>
    </row>
    <row r="466" spans="1:11">
      <c r="A466" s="539"/>
      <c r="B466" s="584"/>
      <c r="C466" s="585"/>
      <c r="D466" s="546"/>
      <c r="E466" s="546"/>
      <c r="F466" s="586"/>
      <c r="G466" s="587"/>
      <c r="H466" s="542"/>
      <c r="I466" s="542"/>
      <c r="J466" s="542"/>
      <c r="K466" s="542"/>
    </row>
    <row r="467" spans="1:11">
      <c r="A467" s="539"/>
      <c r="B467" s="575"/>
      <c r="C467" s="576"/>
      <c r="D467" s="541"/>
      <c r="E467" s="541"/>
      <c r="F467" s="577"/>
      <c r="G467" s="578"/>
      <c r="H467" s="542"/>
      <c r="I467" s="542"/>
      <c r="J467" s="542"/>
      <c r="K467" s="542"/>
    </row>
    <row r="468" spans="1:11">
      <c r="A468" s="539"/>
      <c r="B468" s="584"/>
      <c r="C468" s="585"/>
      <c r="D468" s="546"/>
      <c r="E468" s="546"/>
      <c r="F468" s="586"/>
      <c r="G468" s="587"/>
      <c r="H468" s="542"/>
      <c r="I468" s="542"/>
      <c r="J468" s="542"/>
      <c r="K468" s="542"/>
    </row>
    <row r="469" spans="1:11">
      <c r="A469" s="539"/>
      <c r="B469" s="575"/>
      <c r="C469" s="576"/>
      <c r="D469" s="541"/>
      <c r="E469" s="541"/>
      <c r="F469" s="577"/>
      <c r="G469" s="578"/>
      <c r="H469" s="542"/>
      <c r="I469" s="542"/>
      <c r="J469" s="542"/>
      <c r="K469" s="542"/>
    </row>
    <row r="470" spans="1:11">
      <c r="A470" s="539"/>
      <c r="B470" s="584"/>
      <c r="C470" s="585"/>
      <c r="D470" s="546"/>
      <c r="E470" s="546"/>
      <c r="F470" s="586"/>
      <c r="G470" s="587"/>
      <c r="H470" s="542"/>
      <c r="I470" s="542"/>
      <c r="J470" s="542"/>
      <c r="K470" s="542"/>
    </row>
    <row r="471" spans="1:11">
      <c r="A471" s="539"/>
      <c r="B471" s="575"/>
      <c r="C471" s="576"/>
      <c r="D471" s="541"/>
      <c r="E471" s="541"/>
      <c r="F471" s="577"/>
      <c r="G471" s="578"/>
      <c r="H471" s="542"/>
      <c r="I471" s="542"/>
      <c r="J471" s="542"/>
      <c r="K471" s="542"/>
    </row>
    <row r="472" spans="1:11">
      <c r="A472" s="539"/>
      <c r="B472" s="584"/>
      <c r="C472" s="585"/>
      <c r="D472" s="546"/>
      <c r="E472" s="546"/>
      <c r="F472" s="586"/>
      <c r="G472" s="587"/>
      <c r="H472" s="542"/>
      <c r="I472" s="542"/>
      <c r="J472" s="542"/>
      <c r="K472" s="542"/>
    </row>
    <row r="473" spans="1:11">
      <c r="A473" s="539"/>
      <c r="B473" s="575"/>
      <c r="C473" s="576"/>
      <c r="D473" s="541"/>
      <c r="E473" s="541"/>
      <c r="F473" s="577"/>
      <c r="G473" s="578"/>
      <c r="H473" s="542"/>
      <c r="I473" s="542"/>
      <c r="J473" s="542"/>
      <c r="K473" s="542"/>
    </row>
    <row r="474" spans="1:11">
      <c r="A474" s="539"/>
      <c r="B474" s="584"/>
      <c r="C474" s="585"/>
      <c r="D474" s="546"/>
      <c r="E474" s="546"/>
      <c r="F474" s="586"/>
      <c r="G474" s="587"/>
      <c r="H474" s="542"/>
      <c r="I474" s="542"/>
      <c r="J474" s="542"/>
      <c r="K474" s="542"/>
    </row>
    <row r="475" spans="1:11">
      <c r="A475" s="539"/>
      <c r="B475" s="575"/>
      <c r="C475" s="576"/>
      <c r="D475" s="541"/>
      <c r="E475" s="541"/>
      <c r="F475" s="577"/>
      <c r="G475" s="578"/>
      <c r="H475" s="542"/>
      <c r="I475" s="542"/>
      <c r="J475" s="542"/>
      <c r="K475" s="542"/>
    </row>
    <row r="476" spans="1:11">
      <c r="A476" s="539"/>
      <c r="B476" s="584"/>
      <c r="C476" s="585"/>
      <c r="D476" s="546"/>
      <c r="E476" s="546"/>
      <c r="F476" s="586"/>
      <c r="G476" s="587"/>
      <c r="H476" s="542"/>
      <c r="I476" s="542"/>
      <c r="J476" s="542"/>
      <c r="K476" s="542"/>
    </row>
    <row r="477" spans="1:11">
      <c r="A477" s="539"/>
      <c r="B477" s="575"/>
      <c r="C477" s="576"/>
      <c r="D477" s="541"/>
      <c r="E477" s="541"/>
      <c r="F477" s="577"/>
      <c r="G477" s="578"/>
      <c r="H477" s="542"/>
      <c r="I477" s="542"/>
      <c r="J477" s="542"/>
      <c r="K477" s="542"/>
    </row>
    <row r="478" spans="1:11">
      <c r="A478" s="539"/>
      <c r="B478" s="584"/>
      <c r="C478" s="585"/>
      <c r="D478" s="546"/>
      <c r="E478" s="546"/>
      <c r="F478" s="586"/>
      <c r="G478" s="587"/>
      <c r="H478" s="542"/>
      <c r="I478" s="542"/>
      <c r="J478" s="542"/>
      <c r="K478" s="542"/>
    </row>
    <row r="479" spans="1:11">
      <c r="A479" s="539"/>
      <c r="B479" s="575"/>
      <c r="C479" s="576"/>
      <c r="D479" s="541"/>
      <c r="E479" s="541"/>
      <c r="F479" s="577"/>
      <c r="G479" s="578"/>
      <c r="H479" s="542"/>
      <c r="I479" s="542"/>
      <c r="J479" s="542"/>
      <c r="K479" s="542"/>
    </row>
    <row r="480" spans="1:11">
      <c r="A480" s="539"/>
      <c r="B480" s="584"/>
      <c r="C480" s="585"/>
      <c r="D480" s="546"/>
      <c r="E480" s="546"/>
      <c r="F480" s="586"/>
      <c r="G480" s="587"/>
      <c r="H480" s="542"/>
      <c r="I480" s="542"/>
      <c r="J480" s="542"/>
      <c r="K480" s="542"/>
    </row>
    <row r="481" spans="1:11">
      <c r="A481" s="539"/>
      <c r="B481" s="575"/>
      <c r="C481" s="576"/>
      <c r="D481" s="541"/>
      <c r="E481" s="541"/>
      <c r="F481" s="577"/>
      <c r="G481" s="578"/>
      <c r="H481" s="542"/>
      <c r="I481" s="542"/>
      <c r="J481" s="542"/>
      <c r="K481" s="542"/>
    </row>
    <row r="482" spans="1:11">
      <c r="A482" s="539"/>
      <c r="B482" s="575"/>
      <c r="C482" s="576"/>
      <c r="D482" s="541"/>
      <c r="E482" s="541"/>
      <c r="F482" s="577"/>
      <c r="G482" s="578"/>
      <c r="H482" s="542"/>
      <c r="I482" s="542"/>
      <c r="J482" s="542"/>
      <c r="K482" s="542"/>
    </row>
    <row r="483" spans="1:11">
      <c r="A483" s="539"/>
      <c r="B483" s="575"/>
      <c r="C483" s="576"/>
      <c r="D483" s="541"/>
      <c r="E483" s="541"/>
      <c r="F483" s="577"/>
      <c r="G483" s="578"/>
      <c r="H483" s="542"/>
      <c r="I483" s="542"/>
      <c r="J483" s="542"/>
      <c r="K483" s="542"/>
    </row>
    <row r="484" spans="1:11">
      <c r="A484" s="539"/>
      <c r="B484" s="575"/>
      <c r="C484" s="576"/>
      <c r="D484" s="541"/>
      <c r="E484" s="541"/>
      <c r="F484" s="577"/>
      <c r="G484" s="578"/>
      <c r="H484" s="542"/>
      <c r="I484" s="542"/>
      <c r="J484" s="542"/>
      <c r="K484" s="542"/>
    </row>
    <row r="485" spans="1:11">
      <c r="A485" s="539"/>
      <c r="B485" s="575"/>
      <c r="C485" s="576"/>
      <c r="D485" s="541"/>
      <c r="E485" s="541"/>
      <c r="F485" s="577"/>
      <c r="G485" s="578"/>
      <c r="H485" s="542"/>
      <c r="I485" s="542"/>
      <c r="J485" s="542"/>
      <c r="K485" s="542"/>
    </row>
    <row r="486" spans="1:11">
      <c r="A486" s="539"/>
      <c r="B486" s="575"/>
      <c r="C486" s="576"/>
      <c r="D486" s="541"/>
      <c r="E486" s="541"/>
      <c r="F486" s="577"/>
      <c r="G486" s="578"/>
      <c r="H486" s="542"/>
      <c r="I486" s="542"/>
      <c r="J486" s="542"/>
      <c r="K486" s="542"/>
    </row>
    <row r="487" spans="1:11">
      <c r="A487" s="539"/>
      <c r="B487" s="575"/>
      <c r="C487" s="576"/>
      <c r="D487" s="541"/>
      <c r="E487" s="541"/>
      <c r="F487" s="577"/>
      <c r="G487" s="578"/>
      <c r="H487" s="542"/>
      <c r="I487" s="542"/>
      <c r="J487" s="542"/>
      <c r="K487" s="542"/>
    </row>
    <row r="488" spans="1:11">
      <c r="A488" s="539"/>
      <c r="B488" s="575"/>
      <c r="C488" s="576"/>
      <c r="D488" s="541"/>
      <c r="E488" s="541"/>
      <c r="F488" s="577"/>
      <c r="G488" s="578"/>
      <c r="H488" s="542"/>
      <c r="I488" s="542"/>
      <c r="J488" s="542"/>
      <c r="K488" s="542"/>
    </row>
    <row r="489" spans="1:11">
      <c r="A489" s="539"/>
      <c r="B489" s="575"/>
      <c r="C489" s="576"/>
      <c r="D489" s="541"/>
      <c r="E489" s="541"/>
      <c r="F489" s="577"/>
      <c r="G489" s="578"/>
      <c r="H489" s="542"/>
      <c r="I489" s="542"/>
      <c r="J489" s="542"/>
      <c r="K489" s="542"/>
    </row>
    <row r="490" spans="1:11">
      <c r="A490" s="539"/>
      <c r="B490" s="575"/>
      <c r="C490" s="576"/>
      <c r="D490" s="541"/>
      <c r="E490" s="541"/>
      <c r="F490" s="577"/>
      <c r="G490" s="578"/>
      <c r="H490" s="542"/>
      <c r="I490" s="542"/>
      <c r="J490" s="542"/>
      <c r="K490" s="542"/>
    </row>
    <row r="491" spans="1:11">
      <c r="A491" s="539"/>
      <c r="B491" s="575"/>
      <c r="C491" s="576"/>
      <c r="D491" s="541"/>
      <c r="E491" s="541"/>
      <c r="F491" s="577"/>
      <c r="G491" s="578"/>
      <c r="H491" s="542"/>
      <c r="I491" s="542"/>
      <c r="J491" s="542"/>
      <c r="K491" s="542"/>
    </row>
    <row r="492" spans="1:11">
      <c r="A492" s="539"/>
      <c r="B492" s="575"/>
      <c r="C492" s="576"/>
      <c r="D492" s="541"/>
      <c r="E492" s="541"/>
      <c r="F492" s="577"/>
      <c r="G492" s="578"/>
      <c r="H492" s="542"/>
      <c r="I492" s="542"/>
      <c r="J492" s="542"/>
      <c r="K492" s="542"/>
    </row>
    <row r="493" spans="1:11">
      <c r="A493" s="539"/>
      <c r="B493" s="575"/>
      <c r="C493" s="576"/>
      <c r="D493" s="541"/>
      <c r="E493" s="541"/>
      <c r="F493" s="577"/>
      <c r="G493" s="578"/>
      <c r="H493" s="542"/>
      <c r="I493" s="542"/>
      <c r="J493" s="542"/>
      <c r="K493" s="542"/>
    </row>
    <row r="494" spans="1:11">
      <c r="A494" s="539"/>
      <c r="B494" s="575"/>
      <c r="C494" s="576"/>
      <c r="D494" s="541"/>
      <c r="E494" s="541"/>
      <c r="F494" s="577"/>
      <c r="G494" s="578"/>
      <c r="H494" s="542"/>
      <c r="I494" s="542"/>
      <c r="J494" s="542"/>
      <c r="K494" s="542"/>
    </row>
    <row r="495" spans="1:11">
      <c r="A495" s="539"/>
      <c r="B495" s="584"/>
      <c r="C495" s="585"/>
      <c r="D495" s="546"/>
      <c r="E495" s="546"/>
      <c r="F495" s="586"/>
      <c r="G495" s="587"/>
      <c r="H495" s="542"/>
      <c r="I495" s="542"/>
      <c r="J495" s="542"/>
      <c r="K495" s="542"/>
    </row>
    <row r="496" spans="1:11">
      <c r="A496" s="539"/>
      <c r="B496" s="575"/>
      <c r="C496" s="576"/>
      <c r="D496" s="541"/>
      <c r="E496" s="541"/>
      <c r="F496" s="577"/>
      <c r="G496" s="578"/>
      <c r="H496" s="542"/>
      <c r="I496" s="542"/>
      <c r="J496" s="542"/>
      <c r="K496" s="542"/>
    </row>
    <row r="497" spans="1:11">
      <c r="A497" s="539"/>
      <c r="B497" s="584"/>
      <c r="C497" s="585"/>
      <c r="D497" s="546"/>
      <c r="E497" s="546"/>
      <c r="F497" s="586"/>
      <c r="G497" s="587"/>
      <c r="H497" s="542"/>
      <c r="I497" s="542"/>
      <c r="J497" s="542"/>
      <c r="K497" s="542"/>
    </row>
    <row r="498" spans="1:11">
      <c r="A498" s="539"/>
      <c r="B498" s="575"/>
      <c r="C498" s="576"/>
      <c r="D498" s="541"/>
      <c r="E498" s="541"/>
      <c r="F498" s="577"/>
      <c r="G498" s="578"/>
      <c r="H498" s="542"/>
      <c r="I498" s="542"/>
      <c r="J498" s="542"/>
      <c r="K498" s="542"/>
    </row>
    <row r="499" spans="1:11">
      <c r="A499" s="539"/>
      <c r="B499" s="584"/>
      <c r="C499" s="585"/>
      <c r="D499" s="546"/>
      <c r="E499" s="546"/>
      <c r="F499" s="586"/>
      <c r="G499" s="587"/>
      <c r="H499" s="542"/>
      <c r="I499" s="542"/>
      <c r="J499" s="542"/>
      <c r="K499" s="542"/>
    </row>
    <row r="500" spans="1:11">
      <c r="A500" s="539"/>
      <c r="B500" s="575"/>
      <c r="C500" s="576"/>
      <c r="D500" s="541"/>
      <c r="E500" s="541"/>
      <c r="F500" s="577"/>
      <c r="G500" s="578"/>
      <c r="H500" s="542"/>
      <c r="I500" s="542"/>
      <c r="J500" s="542"/>
      <c r="K500" s="542"/>
    </row>
    <row r="501" spans="1:11">
      <c r="A501" s="539"/>
      <c r="B501" s="584"/>
      <c r="C501" s="585"/>
      <c r="D501" s="546"/>
      <c r="E501" s="546"/>
      <c r="F501" s="586"/>
      <c r="G501" s="587"/>
      <c r="H501" s="542"/>
      <c r="I501" s="542"/>
      <c r="J501" s="542"/>
      <c r="K501" s="542"/>
    </row>
    <row r="502" spans="1:11">
      <c r="A502" s="539"/>
      <c r="B502" s="575"/>
      <c r="C502" s="576"/>
      <c r="D502" s="541"/>
      <c r="E502" s="541"/>
      <c r="F502" s="577"/>
      <c r="G502" s="578"/>
      <c r="H502" s="542"/>
      <c r="I502" s="542"/>
      <c r="J502" s="542"/>
      <c r="K502" s="542"/>
    </row>
    <row r="503" spans="1:11">
      <c r="A503" s="539"/>
      <c r="B503" s="584"/>
      <c r="C503" s="585"/>
      <c r="D503" s="546"/>
      <c r="E503" s="546"/>
      <c r="F503" s="586"/>
      <c r="G503" s="587"/>
      <c r="H503" s="542"/>
      <c r="I503" s="542"/>
      <c r="J503" s="542"/>
      <c r="K503" s="542"/>
    </row>
    <row r="504" spans="1:11">
      <c r="A504" s="539"/>
      <c r="B504" s="575"/>
      <c r="C504" s="576"/>
      <c r="D504" s="541"/>
      <c r="E504" s="541"/>
      <c r="F504" s="577"/>
      <c r="G504" s="578"/>
      <c r="H504" s="542"/>
      <c r="I504" s="542"/>
      <c r="J504" s="542"/>
      <c r="K504" s="542"/>
    </row>
    <row r="505" spans="1:11">
      <c r="A505" s="539"/>
      <c r="B505" s="575"/>
      <c r="C505" s="576"/>
      <c r="D505" s="541"/>
      <c r="E505" s="541"/>
      <c r="F505" s="577"/>
      <c r="G505" s="578"/>
      <c r="H505" s="542"/>
      <c r="I505" s="542"/>
      <c r="J505" s="542"/>
      <c r="K505" s="542"/>
    </row>
    <row r="506" spans="1:11">
      <c r="A506" s="539"/>
      <c r="B506" s="575"/>
      <c r="C506" s="576"/>
      <c r="D506" s="541"/>
      <c r="E506" s="541"/>
      <c r="F506" s="577"/>
      <c r="G506" s="578"/>
      <c r="H506" s="542"/>
      <c r="I506" s="542"/>
      <c r="J506" s="542"/>
      <c r="K506" s="542"/>
    </row>
    <row r="507" spans="1:11">
      <c r="A507" s="539"/>
      <c r="B507" s="575"/>
      <c r="C507" s="576"/>
      <c r="D507" s="541"/>
      <c r="E507" s="541"/>
      <c r="F507" s="577"/>
      <c r="G507" s="578"/>
      <c r="H507" s="542"/>
      <c r="I507" s="542"/>
      <c r="J507" s="542"/>
      <c r="K507" s="542"/>
    </row>
    <row r="508" spans="1:11">
      <c r="A508" s="539"/>
      <c r="B508" s="575"/>
      <c r="C508" s="576"/>
      <c r="D508" s="541"/>
      <c r="E508" s="541"/>
      <c r="F508" s="577"/>
      <c r="G508" s="578"/>
      <c r="H508" s="542"/>
      <c r="I508" s="542"/>
      <c r="J508" s="542"/>
      <c r="K508" s="542"/>
    </row>
    <row r="509" spans="1:11">
      <c r="A509" s="550"/>
      <c r="B509" s="590"/>
      <c r="C509" s="591"/>
      <c r="D509" s="551"/>
      <c r="E509" s="551"/>
      <c r="F509" s="592"/>
      <c r="G509" s="593"/>
      <c r="H509" s="552"/>
      <c r="I509" s="552"/>
      <c r="J509" s="552"/>
      <c r="K509" s="552"/>
    </row>
    <row r="510" spans="1:11">
      <c r="A510" s="553" t="s">
        <v>154</v>
      </c>
      <c r="B510" s="594"/>
      <c r="C510" s="595"/>
      <c r="D510" s="596"/>
      <c r="E510" s="596"/>
      <c r="F510" s="597" t="s">
        <v>256</v>
      </c>
      <c r="G510" s="598"/>
      <c r="H510" s="599" t="s">
        <v>230</v>
      </c>
      <c r="I510" s="556">
        <f>SUM(I456:I509)</f>
        <v>0</v>
      </c>
      <c r="J510" s="599"/>
      <c r="K510" s="556">
        <f>SUM(K456:K509)</f>
        <v>0</v>
      </c>
    </row>
    <row r="511" spans="1:11">
      <c r="A511" s="533" t="s">
        <v>143</v>
      </c>
      <c r="B511" s="567" t="s">
        <v>209</v>
      </c>
      <c r="C511" s="1107" t="s">
        <v>210</v>
      </c>
      <c r="D511" s="1108"/>
      <c r="E511" s="1108"/>
      <c r="F511" s="1109"/>
      <c r="G511" s="568" t="s">
        <v>211</v>
      </c>
      <c r="H511" s="535" t="s">
        <v>212</v>
      </c>
      <c r="I511" s="535" t="s">
        <v>164</v>
      </c>
      <c r="J511" s="603" t="s">
        <v>299</v>
      </c>
      <c r="K511" s="603" t="s">
        <v>301</v>
      </c>
    </row>
    <row r="512" spans="1:11">
      <c r="A512" s="262"/>
      <c r="B512" s="570"/>
      <c r="C512" s="571" t="s">
        <v>196</v>
      </c>
      <c r="D512" s="572" t="s">
        <v>192</v>
      </c>
      <c r="E512" s="572" t="s">
        <v>197</v>
      </c>
      <c r="F512" s="573" t="s">
        <v>198</v>
      </c>
      <c r="G512" s="574"/>
      <c r="H512" s="537" t="s">
        <v>257</v>
      </c>
      <c r="I512" s="537" t="s">
        <v>257</v>
      </c>
      <c r="J512" s="604" t="s">
        <v>300</v>
      </c>
      <c r="K512" s="604" t="s">
        <v>300</v>
      </c>
    </row>
    <row r="513" spans="1:11">
      <c r="A513" s="539"/>
      <c r="B513" s="575"/>
      <c r="C513" s="576"/>
      <c r="D513" s="541"/>
      <c r="E513" s="541"/>
      <c r="F513" s="577"/>
      <c r="G513" s="578"/>
      <c r="H513" s="542"/>
      <c r="I513" s="542"/>
      <c r="J513" s="542"/>
      <c r="K513" s="542"/>
    </row>
    <row r="514" spans="1:11">
      <c r="A514" s="539"/>
      <c r="B514" s="575"/>
      <c r="C514" s="576"/>
      <c r="D514" s="541"/>
      <c r="E514" s="541"/>
      <c r="F514" s="577"/>
      <c r="G514" s="578"/>
      <c r="H514" s="542"/>
      <c r="I514" s="542"/>
      <c r="J514" s="542"/>
      <c r="K514" s="542"/>
    </row>
    <row r="515" spans="1:11">
      <c r="A515" s="539"/>
      <c r="B515" s="580"/>
      <c r="C515" s="581"/>
      <c r="D515" s="582"/>
      <c r="E515" s="582"/>
      <c r="F515" s="583"/>
      <c r="G515" s="578"/>
      <c r="H515" s="542"/>
      <c r="I515" s="542"/>
      <c r="J515" s="542"/>
      <c r="K515" s="542"/>
    </row>
    <row r="516" spans="1:11">
      <c r="A516" s="539"/>
      <c r="B516" s="575"/>
      <c r="C516" s="576"/>
      <c r="D516" s="541"/>
      <c r="E516" s="541"/>
      <c r="F516" s="577"/>
      <c r="G516" s="578"/>
      <c r="H516" s="542"/>
      <c r="I516" s="542"/>
      <c r="J516" s="542"/>
      <c r="K516" s="542"/>
    </row>
    <row r="517" spans="1:11">
      <c r="A517" s="539"/>
      <c r="B517" s="584"/>
      <c r="C517" s="585"/>
      <c r="D517" s="546"/>
      <c r="E517" s="546"/>
      <c r="F517" s="586"/>
      <c r="G517" s="587"/>
      <c r="H517" s="542"/>
      <c r="I517" s="542"/>
      <c r="J517" s="542"/>
      <c r="K517" s="542"/>
    </row>
    <row r="518" spans="1:11">
      <c r="A518" s="539"/>
      <c r="B518" s="575"/>
      <c r="C518" s="576"/>
      <c r="D518" s="541"/>
      <c r="E518" s="541"/>
      <c r="F518" s="577"/>
      <c r="G518" s="578"/>
      <c r="H518" s="542"/>
      <c r="I518" s="542"/>
      <c r="J518" s="542"/>
      <c r="K518" s="542"/>
    </row>
    <row r="519" spans="1:11">
      <c r="A519" s="539"/>
      <c r="B519" s="584"/>
      <c r="C519" s="585"/>
      <c r="D519" s="546"/>
      <c r="E519" s="546"/>
      <c r="F519" s="586"/>
      <c r="G519" s="587"/>
      <c r="H519" s="542"/>
      <c r="I519" s="542"/>
      <c r="J519" s="542"/>
      <c r="K519" s="542"/>
    </row>
    <row r="520" spans="1:11">
      <c r="A520" s="539"/>
      <c r="B520" s="575"/>
      <c r="C520" s="576"/>
      <c r="D520" s="541"/>
      <c r="E520" s="541"/>
      <c r="F520" s="577"/>
      <c r="G520" s="578"/>
      <c r="H520" s="542"/>
      <c r="I520" s="542"/>
      <c r="J520" s="542"/>
      <c r="K520" s="542"/>
    </row>
    <row r="521" spans="1:11">
      <c r="A521" s="539"/>
      <c r="B521" s="584"/>
      <c r="C521" s="585"/>
      <c r="D521" s="546"/>
      <c r="E521" s="546"/>
      <c r="F521" s="586"/>
      <c r="G521" s="587"/>
      <c r="H521" s="542"/>
      <c r="I521" s="542"/>
      <c r="J521" s="542"/>
      <c r="K521" s="542"/>
    </row>
    <row r="522" spans="1:11">
      <c r="A522" s="539"/>
      <c r="B522" s="575"/>
      <c r="C522" s="576"/>
      <c r="D522" s="541"/>
      <c r="E522" s="541"/>
      <c r="F522" s="577"/>
      <c r="G522" s="578"/>
      <c r="H522" s="542"/>
      <c r="I522" s="542"/>
      <c r="J522" s="542"/>
      <c r="K522" s="542"/>
    </row>
    <row r="523" spans="1:11">
      <c r="A523" s="539"/>
      <c r="B523" s="584"/>
      <c r="C523" s="585"/>
      <c r="D523" s="546"/>
      <c r="E523" s="546"/>
      <c r="F523" s="586"/>
      <c r="G523" s="587"/>
      <c r="H523" s="542"/>
      <c r="I523" s="542"/>
      <c r="J523" s="542"/>
      <c r="K523" s="542"/>
    </row>
    <row r="524" spans="1:11">
      <c r="A524" s="539"/>
      <c r="B524" s="575"/>
      <c r="C524" s="576"/>
      <c r="D524" s="541"/>
      <c r="E524" s="541"/>
      <c r="F524" s="577"/>
      <c r="G524" s="578"/>
      <c r="H524" s="542"/>
      <c r="I524" s="542"/>
      <c r="J524" s="542"/>
      <c r="K524" s="542"/>
    </row>
    <row r="525" spans="1:11">
      <c r="A525" s="539"/>
      <c r="B525" s="584"/>
      <c r="C525" s="585"/>
      <c r="D525" s="546"/>
      <c r="E525" s="546"/>
      <c r="F525" s="586"/>
      <c r="G525" s="587"/>
      <c r="H525" s="542"/>
      <c r="I525" s="542"/>
      <c r="J525" s="542"/>
      <c r="K525" s="542"/>
    </row>
    <row r="526" spans="1:11">
      <c r="A526" s="539"/>
      <c r="B526" s="575"/>
      <c r="C526" s="576"/>
      <c r="D526" s="541"/>
      <c r="E526" s="541"/>
      <c r="F526" s="577"/>
      <c r="G526" s="578"/>
      <c r="H526" s="542"/>
      <c r="I526" s="542"/>
      <c r="J526" s="542"/>
      <c r="K526" s="542"/>
    </row>
    <row r="527" spans="1:11">
      <c r="A527" s="539"/>
      <c r="B527" s="584"/>
      <c r="C527" s="585"/>
      <c r="D527" s="546"/>
      <c r="E527" s="546"/>
      <c r="F527" s="586"/>
      <c r="G527" s="587"/>
      <c r="H527" s="542"/>
      <c r="I527" s="542"/>
      <c r="J527" s="542"/>
      <c r="K527" s="542"/>
    </row>
    <row r="528" spans="1:11">
      <c r="A528" s="539"/>
      <c r="B528" s="575"/>
      <c r="C528" s="576"/>
      <c r="D528" s="541"/>
      <c r="E528" s="541"/>
      <c r="F528" s="577"/>
      <c r="G528" s="578"/>
      <c r="H528" s="542"/>
      <c r="I528" s="542"/>
      <c r="J528" s="542"/>
      <c r="K528" s="542"/>
    </row>
    <row r="529" spans="1:11">
      <c r="A529" s="539"/>
      <c r="B529" s="584"/>
      <c r="C529" s="585"/>
      <c r="D529" s="546"/>
      <c r="E529" s="546"/>
      <c r="F529" s="586"/>
      <c r="G529" s="587"/>
      <c r="H529" s="542"/>
      <c r="I529" s="542"/>
      <c r="J529" s="542"/>
      <c r="K529" s="542"/>
    </row>
    <row r="530" spans="1:11">
      <c r="A530" s="539"/>
      <c r="B530" s="575"/>
      <c r="C530" s="576"/>
      <c r="D530" s="541"/>
      <c r="E530" s="541"/>
      <c r="F530" s="577"/>
      <c r="G530" s="578"/>
      <c r="H530" s="542"/>
      <c r="I530" s="542"/>
      <c r="J530" s="542"/>
      <c r="K530" s="542"/>
    </row>
    <row r="531" spans="1:11">
      <c r="A531" s="539"/>
      <c r="B531" s="575"/>
      <c r="C531" s="576"/>
      <c r="D531" s="541"/>
      <c r="E531" s="541"/>
      <c r="F531" s="577"/>
      <c r="G531" s="578"/>
      <c r="H531" s="542"/>
      <c r="I531" s="542"/>
      <c r="J531" s="542"/>
      <c r="K531" s="542"/>
    </row>
    <row r="532" spans="1:11">
      <c r="A532" s="539"/>
      <c r="B532" s="575"/>
      <c r="C532" s="576"/>
      <c r="D532" s="541"/>
      <c r="E532" s="541"/>
      <c r="F532" s="577"/>
      <c r="G532" s="578"/>
      <c r="H532" s="542"/>
      <c r="I532" s="542"/>
      <c r="J532" s="542"/>
      <c r="K532" s="542"/>
    </row>
    <row r="533" spans="1:11">
      <c r="A533" s="539"/>
      <c r="B533" s="575"/>
      <c r="C533" s="576"/>
      <c r="D533" s="541"/>
      <c r="E533" s="541"/>
      <c r="F533" s="577"/>
      <c r="G533" s="578"/>
      <c r="H533" s="542"/>
      <c r="I533" s="542"/>
      <c r="J533" s="542"/>
      <c r="K533" s="542"/>
    </row>
    <row r="534" spans="1:11">
      <c r="A534" s="539"/>
      <c r="B534" s="575"/>
      <c r="C534" s="576"/>
      <c r="D534" s="541"/>
      <c r="E534" s="541"/>
      <c r="F534" s="577"/>
      <c r="G534" s="578"/>
      <c r="H534" s="542"/>
      <c r="I534" s="542"/>
      <c r="J534" s="542"/>
      <c r="K534" s="542"/>
    </row>
    <row r="535" spans="1:11">
      <c r="A535" s="539"/>
      <c r="B535" s="575"/>
      <c r="C535" s="576"/>
      <c r="D535" s="541"/>
      <c r="E535" s="541"/>
      <c r="F535" s="577"/>
      <c r="G535" s="578"/>
      <c r="H535" s="542"/>
      <c r="I535" s="542"/>
      <c r="J535" s="542"/>
      <c r="K535" s="542"/>
    </row>
    <row r="536" spans="1:11">
      <c r="A536" s="539"/>
      <c r="B536" s="575"/>
      <c r="C536" s="576"/>
      <c r="D536" s="541"/>
      <c r="E536" s="541"/>
      <c r="F536" s="577"/>
      <c r="G536" s="578"/>
      <c r="H536" s="542"/>
      <c r="I536" s="542"/>
      <c r="J536" s="542"/>
      <c r="K536" s="542"/>
    </row>
    <row r="537" spans="1:11">
      <c r="A537" s="539"/>
      <c r="B537" s="575"/>
      <c r="C537" s="576"/>
      <c r="D537" s="541"/>
      <c r="E537" s="541"/>
      <c r="F537" s="577"/>
      <c r="G537" s="578"/>
      <c r="H537" s="542"/>
      <c r="I537" s="542"/>
      <c r="J537" s="542"/>
      <c r="K537" s="542"/>
    </row>
    <row r="538" spans="1:11">
      <c r="A538" s="539"/>
      <c r="B538" s="575"/>
      <c r="C538" s="576"/>
      <c r="D538" s="541"/>
      <c r="E538" s="541"/>
      <c r="F538" s="577"/>
      <c r="G538" s="578"/>
      <c r="H538" s="542"/>
      <c r="I538" s="542"/>
      <c r="J538" s="542"/>
      <c r="K538" s="542"/>
    </row>
    <row r="539" spans="1:11">
      <c r="A539" s="539"/>
      <c r="B539" s="575"/>
      <c r="C539" s="576"/>
      <c r="D539" s="541"/>
      <c r="E539" s="541"/>
      <c r="F539" s="577"/>
      <c r="G539" s="578"/>
      <c r="H539" s="542"/>
      <c r="I539" s="542"/>
      <c r="J539" s="542"/>
      <c r="K539" s="542"/>
    </row>
    <row r="540" spans="1:11">
      <c r="A540" s="539"/>
      <c r="B540" s="575"/>
      <c r="C540" s="576"/>
      <c r="D540" s="541"/>
      <c r="E540" s="541"/>
      <c r="F540" s="577"/>
      <c r="G540" s="578"/>
      <c r="H540" s="542"/>
      <c r="I540" s="542"/>
      <c r="J540" s="542"/>
      <c r="K540" s="542"/>
    </row>
    <row r="541" spans="1:11">
      <c r="A541" s="539"/>
      <c r="B541" s="575"/>
      <c r="C541" s="576"/>
      <c r="D541" s="541"/>
      <c r="E541" s="541"/>
      <c r="F541" s="577"/>
      <c r="G541" s="578"/>
      <c r="H541" s="542"/>
      <c r="I541" s="542"/>
      <c r="J541" s="542"/>
      <c r="K541" s="542"/>
    </row>
    <row r="542" spans="1:11">
      <c r="A542" s="539"/>
      <c r="B542" s="575"/>
      <c r="C542" s="576"/>
      <c r="D542" s="541"/>
      <c r="E542" s="541"/>
      <c r="F542" s="577"/>
      <c r="G542" s="578"/>
      <c r="H542" s="542"/>
      <c r="I542" s="542"/>
      <c r="J542" s="542"/>
      <c r="K542" s="542"/>
    </row>
    <row r="543" spans="1:11">
      <c r="A543" s="539"/>
      <c r="B543" s="575"/>
      <c r="C543" s="576"/>
      <c r="D543" s="541"/>
      <c r="E543" s="541"/>
      <c r="F543" s="577"/>
      <c r="G543" s="578"/>
      <c r="H543" s="542"/>
      <c r="I543" s="542"/>
      <c r="J543" s="542"/>
      <c r="K543" s="542"/>
    </row>
    <row r="544" spans="1:11">
      <c r="A544" s="539"/>
      <c r="B544" s="584"/>
      <c r="C544" s="585"/>
      <c r="D544" s="546"/>
      <c r="E544" s="546"/>
      <c r="F544" s="586"/>
      <c r="G544" s="587"/>
      <c r="H544" s="542"/>
      <c r="I544" s="542"/>
      <c r="J544" s="542"/>
      <c r="K544" s="542"/>
    </row>
    <row r="545" spans="1:11">
      <c r="A545" s="539"/>
      <c r="B545" s="575"/>
      <c r="C545" s="576"/>
      <c r="D545" s="541"/>
      <c r="E545" s="541"/>
      <c r="F545" s="577"/>
      <c r="G545" s="578"/>
      <c r="H545" s="542"/>
      <c r="I545" s="542"/>
      <c r="J545" s="542"/>
      <c r="K545" s="542"/>
    </row>
    <row r="546" spans="1:11">
      <c r="A546" s="539"/>
      <c r="B546" s="584"/>
      <c r="C546" s="585"/>
      <c r="D546" s="546"/>
      <c r="E546" s="546"/>
      <c r="F546" s="586"/>
      <c r="G546" s="587"/>
      <c r="H546" s="542"/>
      <c r="I546" s="542"/>
      <c r="J546" s="542"/>
      <c r="K546" s="542"/>
    </row>
    <row r="547" spans="1:11">
      <c r="A547" s="539"/>
      <c r="B547" s="575"/>
      <c r="C547" s="576"/>
      <c r="D547" s="541"/>
      <c r="E547" s="541"/>
      <c r="F547" s="577"/>
      <c r="G547" s="578"/>
      <c r="H547" s="542"/>
      <c r="I547" s="542"/>
      <c r="J547" s="542"/>
      <c r="K547" s="542"/>
    </row>
    <row r="548" spans="1:11">
      <c r="A548" s="539"/>
      <c r="B548" s="584"/>
      <c r="C548" s="585"/>
      <c r="D548" s="546"/>
      <c r="E548" s="546"/>
      <c r="F548" s="586"/>
      <c r="G548" s="587"/>
      <c r="H548" s="542"/>
      <c r="I548" s="542"/>
      <c r="J548" s="542"/>
      <c r="K548" s="542"/>
    </row>
    <row r="549" spans="1:11">
      <c r="A549" s="539"/>
      <c r="B549" s="575"/>
      <c r="C549" s="576"/>
      <c r="D549" s="541"/>
      <c r="E549" s="541"/>
      <c r="F549" s="577"/>
      <c r="G549" s="578"/>
      <c r="H549" s="542"/>
      <c r="I549" s="542"/>
      <c r="J549" s="542"/>
      <c r="K549" s="542"/>
    </row>
    <row r="550" spans="1:11">
      <c r="A550" s="539"/>
      <c r="B550" s="584"/>
      <c r="C550" s="585"/>
      <c r="D550" s="546"/>
      <c r="E550" s="546"/>
      <c r="F550" s="586"/>
      <c r="G550" s="587"/>
      <c r="H550" s="542"/>
      <c r="I550" s="542"/>
      <c r="J550" s="542"/>
      <c r="K550" s="542"/>
    </row>
    <row r="551" spans="1:11">
      <c r="A551" s="539"/>
      <c r="B551" s="575"/>
      <c r="C551" s="576"/>
      <c r="D551" s="541"/>
      <c r="E551" s="541"/>
      <c r="F551" s="577"/>
      <c r="G551" s="578"/>
      <c r="H551" s="542"/>
      <c r="I551" s="542"/>
      <c r="J551" s="542"/>
      <c r="K551" s="542"/>
    </row>
    <row r="552" spans="1:11">
      <c r="A552" s="539"/>
      <c r="B552" s="584"/>
      <c r="C552" s="585"/>
      <c r="D552" s="546"/>
      <c r="E552" s="546"/>
      <c r="F552" s="586"/>
      <c r="G552" s="587"/>
      <c r="H552" s="542"/>
      <c r="I552" s="542"/>
      <c r="J552" s="542"/>
      <c r="K552" s="542"/>
    </row>
    <row r="553" spans="1:11">
      <c r="A553" s="539"/>
      <c r="B553" s="575"/>
      <c r="C553" s="576"/>
      <c r="D553" s="541"/>
      <c r="E553" s="541"/>
      <c r="F553" s="577"/>
      <c r="G553" s="578"/>
      <c r="H553" s="542"/>
      <c r="I553" s="542"/>
      <c r="J553" s="542"/>
      <c r="K553" s="542"/>
    </row>
    <row r="554" spans="1:11">
      <c r="A554" s="539"/>
      <c r="B554" s="584"/>
      <c r="C554" s="585"/>
      <c r="D554" s="546"/>
      <c r="E554" s="546"/>
      <c r="F554" s="586"/>
      <c r="G554" s="587"/>
      <c r="H554" s="542"/>
      <c r="I554" s="542"/>
      <c r="J554" s="542"/>
      <c r="K554" s="542"/>
    </row>
    <row r="555" spans="1:11">
      <c r="A555" s="539"/>
      <c r="B555" s="575"/>
      <c r="C555" s="576"/>
      <c r="D555" s="541"/>
      <c r="E555" s="541"/>
      <c r="F555" s="577"/>
      <c r="G555" s="578"/>
      <c r="H555" s="542"/>
      <c r="I555" s="542"/>
      <c r="J555" s="542"/>
      <c r="K555" s="542"/>
    </row>
    <row r="556" spans="1:11">
      <c r="A556" s="539"/>
      <c r="B556" s="584"/>
      <c r="C556" s="585"/>
      <c r="D556" s="546"/>
      <c r="E556" s="546"/>
      <c r="F556" s="586"/>
      <c r="G556" s="587"/>
      <c r="H556" s="542"/>
      <c r="I556" s="542"/>
      <c r="J556" s="542"/>
      <c r="K556" s="542"/>
    </row>
    <row r="557" spans="1:11">
      <c r="A557" s="539"/>
      <c r="B557" s="575"/>
      <c r="C557" s="576"/>
      <c r="D557" s="541"/>
      <c r="E557" s="541"/>
      <c r="F557" s="577"/>
      <c r="G557" s="578"/>
      <c r="H557" s="542"/>
      <c r="I557" s="542"/>
      <c r="J557" s="542"/>
      <c r="K557" s="542"/>
    </row>
    <row r="558" spans="1:11">
      <c r="A558" s="539"/>
      <c r="B558" s="584"/>
      <c r="C558" s="585"/>
      <c r="D558" s="546"/>
      <c r="E558" s="546"/>
      <c r="F558" s="586"/>
      <c r="G558" s="587"/>
      <c r="H558" s="542"/>
      <c r="I558" s="542"/>
      <c r="J558" s="542"/>
      <c r="K558" s="542"/>
    </row>
    <row r="559" spans="1:11">
      <c r="A559" s="539"/>
      <c r="B559" s="575"/>
      <c r="C559" s="576"/>
      <c r="D559" s="541"/>
      <c r="E559" s="541"/>
      <c r="F559" s="577"/>
      <c r="G559" s="578"/>
      <c r="H559" s="542"/>
      <c r="I559" s="542"/>
      <c r="J559" s="542"/>
      <c r="K559" s="542"/>
    </row>
    <row r="560" spans="1:11">
      <c r="A560" s="539"/>
      <c r="B560" s="584"/>
      <c r="C560" s="585"/>
      <c r="D560" s="546"/>
      <c r="E560" s="546"/>
      <c r="F560" s="586"/>
      <c r="G560" s="587"/>
      <c r="H560" s="542"/>
      <c r="I560" s="542"/>
      <c r="J560" s="542"/>
      <c r="K560" s="542"/>
    </row>
    <row r="561" spans="1:11">
      <c r="A561" s="539"/>
      <c r="B561" s="575"/>
      <c r="C561" s="576"/>
      <c r="D561" s="541"/>
      <c r="E561" s="541"/>
      <c r="F561" s="577"/>
      <c r="G561" s="578"/>
      <c r="H561" s="542"/>
      <c r="I561" s="542"/>
      <c r="J561" s="542"/>
      <c r="K561" s="542"/>
    </row>
    <row r="562" spans="1:11">
      <c r="A562" s="539"/>
      <c r="B562" s="575"/>
      <c r="C562" s="576"/>
      <c r="D562" s="541"/>
      <c r="E562" s="541"/>
      <c r="F562" s="577"/>
      <c r="G562" s="578"/>
      <c r="H562" s="542"/>
      <c r="I562" s="542"/>
      <c r="J562" s="542"/>
      <c r="K562" s="542"/>
    </row>
    <row r="563" spans="1:11">
      <c r="A563" s="539"/>
      <c r="B563" s="575"/>
      <c r="C563" s="576"/>
      <c r="D563" s="541"/>
      <c r="E563" s="541"/>
      <c r="F563" s="577"/>
      <c r="G563" s="578"/>
      <c r="H563" s="542"/>
      <c r="I563" s="542"/>
      <c r="J563" s="542"/>
      <c r="K563" s="542"/>
    </row>
    <row r="564" spans="1:11">
      <c r="A564" s="539"/>
      <c r="B564" s="575"/>
      <c r="C564" s="576"/>
      <c r="D564" s="541"/>
      <c r="E564" s="541"/>
      <c r="F564" s="577"/>
      <c r="G564" s="578"/>
      <c r="H564" s="542"/>
      <c r="I564" s="542"/>
      <c r="J564" s="542"/>
      <c r="K564" s="542"/>
    </row>
    <row r="565" spans="1:11">
      <c r="A565" s="539"/>
      <c r="B565" s="575"/>
      <c r="C565" s="576"/>
      <c r="D565" s="541"/>
      <c r="E565" s="541"/>
      <c r="F565" s="577"/>
      <c r="G565" s="578"/>
      <c r="H565" s="542"/>
      <c r="I565" s="542"/>
      <c r="J565" s="542"/>
      <c r="K565" s="542"/>
    </row>
    <row r="566" spans="1:11">
      <c r="A566" s="550"/>
      <c r="B566" s="590"/>
      <c r="C566" s="591"/>
      <c r="D566" s="551"/>
      <c r="E566" s="551"/>
      <c r="F566" s="592"/>
      <c r="G566" s="593"/>
      <c r="H566" s="552"/>
      <c r="I566" s="552"/>
      <c r="J566" s="552"/>
      <c r="K566" s="552"/>
    </row>
    <row r="567" spans="1:11">
      <c r="A567" s="553" t="s">
        <v>154</v>
      </c>
      <c r="B567" s="594"/>
      <c r="C567" s="595"/>
      <c r="D567" s="596"/>
      <c r="E567" s="596"/>
      <c r="F567" s="597" t="s">
        <v>256</v>
      </c>
      <c r="G567" s="598"/>
      <c r="H567" s="599" t="s">
        <v>230</v>
      </c>
      <c r="I567" s="556">
        <f>SUM(I513:I566)</f>
        <v>0</v>
      </c>
      <c r="J567" s="599"/>
      <c r="K567" s="556">
        <f>SUM(K513:K566)</f>
        <v>0</v>
      </c>
    </row>
  </sheetData>
  <mergeCells count="10">
    <mergeCell ref="C340:F340"/>
    <mergeCell ref="C397:F397"/>
    <mergeCell ref="C454:F454"/>
    <mergeCell ref="C511:F511"/>
    <mergeCell ref="C1:F1"/>
    <mergeCell ref="C55:F55"/>
    <mergeCell ref="C112:F112"/>
    <mergeCell ref="C169:F169"/>
    <mergeCell ref="C226:F226"/>
    <mergeCell ref="C283:F28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Elec_Rates</vt:lpstr>
      <vt:lpstr>Elec_Est</vt:lpstr>
      <vt:lpstr>HVAC_BOQ</vt:lpstr>
      <vt:lpstr>Notes</vt:lpstr>
      <vt:lpstr>Quote</vt:lpstr>
      <vt:lpstr>ML_Sum</vt:lpstr>
      <vt:lpstr>E_BOQ</vt:lpstr>
      <vt:lpstr>E_DBOQ</vt:lpstr>
      <vt:lpstr>AREAS</vt:lpstr>
      <vt:lpstr>E_BOQ!Print_Area</vt:lpstr>
      <vt:lpstr>Elec_Est!Print_Area</vt:lpstr>
      <vt:lpstr>HVAC_BOQ!Print_Area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Empty Estimate Linked to Quote &amp; CCodes</dc:title>
  <dc:creator>Michael Vella</dc:creator>
  <cp:lastModifiedBy>Thomas Sammut</cp:lastModifiedBy>
  <cp:lastPrinted>2025-02-13T16:17:24Z</cp:lastPrinted>
  <dcterms:created xsi:type="dcterms:W3CDTF">2004-05-27T15:45:27Z</dcterms:created>
  <dcterms:modified xsi:type="dcterms:W3CDTF">2025-06-13T09:06:19Z</dcterms:modified>
  <cp:contentStatus/>
</cp:coreProperties>
</file>