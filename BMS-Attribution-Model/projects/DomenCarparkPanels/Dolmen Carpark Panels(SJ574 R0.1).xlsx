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1. Estimates\3. Small Jobs\SJ574 - Dolmen Carpark Panels\1. Estimate\"/>
    </mc:Choice>
  </mc:AlternateContent>
  <xr:revisionPtr revIDLastSave="0" documentId="13_ncr:1_{58C9FBDE-685E-4C2D-AA56-66100A33E651}" xr6:coauthVersionLast="47" xr6:coauthVersionMax="47" xr10:uidLastSave="{00000000-0000-0000-0000-000000000000}"/>
  <bookViews>
    <workbookView xWindow="28680" yWindow="-120" windowWidth="29040" windowHeight="15720" tabRatio="499" xr2:uid="{00000000-000D-0000-FFFF-FFFF00000000}"/>
  </bookViews>
  <sheets>
    <sheet name="TotalCosts (Hrs)" sheetId="6" r:id="rId1"/>
    <sheet name="MaterialCosts Summary" sheetId="5" r:id="rId2"/>
    <sheet name="Bill of Materials" sheetId="4" r:id="rId3"/>
    <sheet name="Components" sheetId="7" r:id="rId4"/>
    <sheet name="Monitoring" sheetId="8" r:id="rId5"/>
    <sheet name="Shipping Costs" sheetId="9" r:id="rId6"/>
  </sheets>
  <definedNames>
    <definedName name="_xlnm._FilterDatabase" localSheetId="2" hidden="1">'Bill of Materials'!$A$3:$AJ$140</definedName>
    <definedName name="_xlnm._FilterDatabase" localSheetId="1" hidden="1">'MaterialCosts Summary'!$D$8:$D$142</definedName>
    <definedName name="_xlnm._FilterDatabase" localSheetId="0" hidden="1">'TotalCosts (Hrs)'!$D$8:$D$142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 a="1"/>
  <c r="D9" i="5" s="1"/>
  <c r="AP141" i="6"/>
  <c r="AP140" i="6"/>
  <c r="AP139" i="6"/>
  <c r="AP138" i="6"/>
  <c r="AP137" i="6"/>
  <c r="AP136" i="6"/>
  <c r="AP135" i="6"/>
  <c r="AP134" i="6"/>
  <c r="AP133" i="6"/>
  <c r="AP132" i="6"/>
  <c r="AP131" i="6"/>
  <c r="AP130" i="6"/>
  <c r="AP129" i="6"/>
  <c r="AP128" i="6"/>
  <c r="AP127" i="6"/>
  <c r="AP126" i="6"/>
  <c r="AP125" i="6"/>
  <c r="AP124" i="6"/>
  <c r="AP123" i="6"/>
  <c r="AP122" i="6"/>
  <c r="AP121" i="6"/>
  <c r="AP120" i="6"/>
  <c r="AP119" i="6"/>
  <c r="AP118" i="6"/>
  <c r="AP117" i="6"/>
  <c r="AP116" i="6"/>
  <c r="AP115" i="6"/>
  <c r="AP114" i="6"/>
  <c r="AP113" i="6"/>
  <c r="AP112" i="6"/>
  <c r="AP111" i="6"/>
  <c r="AP110" i="6"/>
  <c r="AP109" i="6"/>
  <c r="AP108" i="6"/>
  <c r="AP107" i="6"/>
  <c r="AP106" i="6"/>
  <c r="AP105" i="6"/>
  <c r="AP104" i="6"/>
  <c r="AP103" i="6"/>
  <c r="AP102" i="6"/>
  <c r="AP101" i="6"/>
  <c r="AP100" i="6"/>
  <c r="AP99" i="6"/>
  <c r="AP98" i="6"/>
  <c r="AP97" i="6"/>
  <c r="AP96" i="6"/>
  <c r="AP95" i="6"/>
  <c r="AP94" i="6"/>
  <c r="AP93" i="6"/>
  <c r="AP92" i="6"/>
  <c r="AP91" i="6"/>
  <c r="AP90" i="6"/>
  <c r="AP89" i="6"/>
  <c r="AP88" i="6"/>
  <c r="AP87" i="6"/>
  <c r="AP86" i="6"/>
  <c r="AP85" i="6"/>
  <c r="AP84" i="6"/>
  <c r="AP83" i="6"/>
  <c r="AP82" i="6"/>
  <c r="AP81" i="6"/>
  <c r="AP80" i="6"/>
  <c r="AP79" i="6"/>
  <c r="AP78" i="6"/>
  <c r="AP77" i="6"/>
  <c r="AP76" i="6"/>
  <c r="AP75" i="6"/>
  <c r="AP74" i="6"/>
  <c r="AP73" i="6"/>
  <c r="AP72" i="6"/>
  <c r="AP71" i="6"/>
  <c r="AP70" i="6"/>
  <c r="AP69" i="6"/>
  <c r="AP68" i="6"/>
  <c r="AP67" i="6"/>
  <c r="AP66" i="6"/>
  <c r="AP65" i="6"/>
  <c r="AP64" i="6"/>
  <c r="AP63" i="6"/>
  <c r="AP62" i="6"/>
  <c r="AP61" i="6"/>
  <c r="AP60" i="6"/>
  <c r="AP59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2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AP9" i="6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D10" i="5" l="1"/>
  <c r="B38" i="8"/>
  <c r="C3" i="8" s="1"/>
  <c r="B27" i="8"/>
  <c r="B16" i="8"/>
  <c r="AA144" i="6"/>
  <c r="C2" i="8" l="1"/>
  <c r="C4" i="8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9" i="6"/>
  <c r="Y144" i="6" l="1"/>
  <c r="N144" i="6"/>
  <c r="L144" i="6"/>
  <c r="D142" i="6"/>
  <c r="AI141" i="6"/>
  <c r="Z141" i="6"/>
  <c r="V141" i="6"/>
  <c r="X141" i="6" s="1"/>
  <c r="S141" i="6"/>
  <c r="U141" i="6" s="1"/>
  <c r="P141" i="6"/>
  <c r="O141" i="6"/>
  <c r="M141" i="6"/>
  <c r="K141" i="6"/>
  <c r="E141" i="6"/>
  <c r="D141" i="6"/>
  <c r="B141" i="6"/>
  <c r="AI140" i="6"/>
  <c r="Z140" i="6"/>
  <c r="V140" i="6"/>
  <c r="X140" i="6" s="1"/>
  <c r="S140" i="6"/>
  <c r="U140" i="6" s="1"/>
  <c r="P140" i="6"/>
  <c r="O140" i="6"/>
  <c r="M140" i="6"/>
  <c r="E140" i="6"/>
  <c r="D140" i="6"/>
  <c r="B140" i="6"/>
  <c r="AI139" i="6"/>
  <c r="Z139" i="6"/>
  <c r="V139" i="6"/>
  <c r="X139" i="6" s="1"/>
  <c r="S139" i="6"/>
  <c r="U139" i="6" s="1"/>
  <c r="P139" i="6"/>
  <c r="O139" i="6"/>
  <c r="M139" i="6"/>
  <c r="K139" i="6"/>
  <c r="E139" i="6"/>
  <c r="D139" i="6"/>
  <c r="B139" i="6"/>
  <c r="AI138" i="6"/>
  <c r="Z138" i="6"/>
  <c r="V138" i="6"/>
  <c r="X138" i="6" s="1"/>
  <c r="S138" i="6"/>
  <c r="AJ138" i="6" s="1"/>
  <c r="P138" i="6"/>
  <c r="O138" i="6"/>
  <c r="M138" i="6"/>
  <c r="E138" i="6"/>
  <c r="D138" i="6"/>
  <c r="B138" i="6"/>
  <c r="AI137" i="6"/>
  <c r="Z137" i="6"/>
  <c r="V137" i="6"/>
  <c r="X137" i="6" s="1"/>
  <c r="S137" i="6"/>
  <c r="U137" i="6" s="1"/>
  <c r="P137" i="6"/>
  <c r="O137" i="6"/>
  <c r="M137" i="6"/>
  <c r="K137" i="6"/>
  <c r="E137" i="6"/>
  <c r="D137" i="6"/>
  <c r="B137" i="6"/>
  <c r="AI136" i="6"/>
  <c r="Z136" i="6"/>
  <c r="V136" i="6"/>
  <c r="X136" i="6" s="1"/>
  <c r="S136" i="6"/>
  <c r="AJ136" i="6" s="1"/>
  <c r="P136" i="6"/>
  <c r="O136" i="6"/>
  <c r="M136" i="6"/>
  <c r="E136" i="6"/>
  <c r="D136" i="6"/>
  <c r="B136" i="6"/>
  <c r="AI135" i="6"/>
  <c r="Z135" i="6"/>
  <c r="V135" i="6"/>
  <c r="X135" i="6" s="1"/>
  <c r="S135" i="6"/>
  <c r="U135" i="6" s="1"/>
  <c r="P135" i="6"/>
  <c r="O135" i="6"/>
  <c r="M135" i="6"/>
  <c r="K135" i="6"/>
  <c r="E135" i="6"/>
  <c r="D135" i="6"/>
  <c r="B135" i="6"/>
  <c r="AI134" i="6"/>
  <c r="Z134" i="6"/>
  <c r="V134" i="6"/>
  <c r="X134" i="6" s="1"/>
  <c r="S134" i="6"/>
  <c r="AJ134" i="6" s="1"/>
  <c r="P134" i="6"/>
  <c r="O134" i="6"/>
  <c r="M134" i="6"/>
  <c r="E134" i="6"/>
  <c r="D134" i="6"/>
  <c r="B134" i="6"/>
  <c r="AI133" i="6"/>
  <c r="Z133" i="6"/>
  <c r="V133" i="6"/>
  <c r="X133" i="6" s="1"/>
  <c r="S133" i="6"/>
  <c r="U133" i="6" s="1"/>
  <c r="P133" i="6"/>
  <c r="O133" i="6"/>
  <c r="M133" i="6"/>
  <c r="K133" i="6"/>
  <c r="E133" i="6"/>
  <c r="D133" i="6"/>
  <c r="B133" i="6"/>
  <c r="AI132" i="6"/>
  <c r="Z132" i="6"/>
  <c r="V132" i="6"/>
  <c r="X132" i="6" s="1"/>
  <c r="S132" i="6"/>
  <c r="U132" i="6" s="1"/>
  <c r="P132" i="6"/>
  <c r="O132" i="6"/>
  <c r="M132" i="6"/>
  <c r="E132" i="6"/>
  <c r="D132" i="6"/>
  <c r="B132" i="6"/>
  <c r="AI131" i="6"/>
  <c r="Z131" i="6"/>
  <c r="V131" i="6"/>
  <c r="X131" i="6" s="1"/>
  <c r="S131" i="6"/>
  <c r="U131" i="6" s="1"/>
  <c r="P131" i="6"/>
  <c r="O131" i="6"/>
  <c r="M131" i="6"/>
  <c r="K131" i="6"/>
  <c r="E131" i="6"/>
  <c r="D131" i="6"/>
  <c r="B131" i="6"/>
  <c r="AI130" i="6"/>
  <c r="Z130" i="6"/>
  <c r="V130" i="6"/>
  <c r="X130" i="6" s="1"/>
  <c r="S130" i="6"/>
  <c r="U130" i="6" s="1"/>
  <c r="P130" i="6"/>
  <c r="O130" i="6"/>
  <c r="M130" i="6"/>
  <c r="E130" i="6"/>
  <c r="D130" i="6"/>
  <c r="B130" i="6"/>
  <c r="AI129" i="6"/>
  <c r="Z129" i="6"/>
  <c r="V129" i="6"/>
  <c r="X129" i="6" s="1"/>
  <c r="S129" i="6"/>
  <c r="U129" i="6" s="1"/>
  <c r="P129" i="6"/>
  <c r="O129" i="6"/>
  <c r="M129" i="6"/>
  <c r="K129" i="6"/>
  <c r="E129" i="6"/>
  <c r="D129" i="6"/>
  <c r="B129" i="6"/>
  <c r="AI128" i="6"/>
  <c r="Z128" i="6"/>
  <c r="V128" i="6"/>
  <c r="X128" i="6" s="1"/>
  <c r="S128" i="6"/>
  <c r="AJ128" i="6" s="1"/>
  <c r="P128" i="6"/>
  <c r="O128" i="6"/>
  <c r="M128" i="6"/>
  <c r="E128" i="6"/>
  <c r="D128" i="6"/>
  <c r="B128" i="6"/>
  <c r="AI127" i="6"/>
  <c r="Z127" i="6"/>
  <c r="V127" i="6"/>
  <c r="X127" i="6" s="1"/>
  <c r="S127" i="6"/>
  <c r="U127" i="6" s="1"/>
  <c r="P127" i="6"/>
  <c r="O127" i="6"/>
  <c r="M127" i="6"/>
  <c r="K127" i="6"/>
  <c r="E127" i="6"/>
  <c r="D127" i="6"/>
  <c r="B127" i="6"/>
  <c r="AI126" i="6"/>
  <c r="Z126" i="6"/>
  <c r="V126" i="6"/>
  <c r="X126" i="6" s="1"/>
  <c r="S126" i="6"/>
  <c r="U126" i="6" s="1"/>
  <c r="P126" i="6"/>
  <c r="O126" i="6"/>
  <c r="M126" i="6"/>
  <c r="E126" i="6"/>
  <c r="D126" i="6"/>
  <c r="B126" i="6"/>
  <c r="AI125" i="6"/>
  <c r="Z125" i="6"/>
  <c r="V125" i="6"/>
  <c r="X125" i="6" s="1"/>
  <c r="S125" i="6"/>
  <c r="U125" i="6" s="1"/>
  <c r="P125" i="6"/>
  <c r="O125" i="6"/>
  <c r="M125" i="6"/>
  <c r="K125" i="6"/>
  <c r="E125" i="6"/>
  <c r="D125" i="6"/>
  <c r="B125" i="6"/>
  <c r="AI124" i="6"/>
  <c r="Z124" i="6"/>
  <c r="V124" i="6"/>
  <c r="X124" i="6" s="1"/>
  <c r="S124" i="6"/>
  <c r="U124" i="6" s="1"/>
  <c r="P124" i="6"/>
  <c r="O124" i="6"/>
  <c r="M124" i="6"/>
  <c r="E124" i="6"/>
  <c r="D124" i="6"/>
  <c r="B124" i="6"/>
  <c r="AI123" i="6"/>
  <c r="Z123" i="6"/>
  <c r="V123" i="6"/>
  <c r="X123" i="6" s="1"/>
  <c r="S123" i="6"/>
  <c r="U123" i="6" s="1"/>
  <c r="P123" i="6"/>
  <c r="O123" i="6"/>
  <c r="M123" i="6"/>
  <c r="K123" i="6"/>
  <c r="E123" i="6"/>
  <c r="D123" i="6"/>
  <c r="B123" i="6"/>
  <c r="AI122" i="6"/>
  <c r="Z122" i="6"/>
  <c r="V122" i="6"/>
  <c r="X122" i="6" s="1"/>
  <c r="S122" i="6"/>
  <c r="U122" i="6" s="1"/>
  <c r="P122" i="6"/>
  <c r="O122" i="6"/>
  <c r="M122" i="6"/>
  <c r="E122" i="6"/>
  <c r="D122" i="6"/>
  <c r="B122" i="6"/>
  <c r="AI121" i="6"/>
  <c r="Z121" i="6"/>
  <c r="V121" i="6"/>
  <c r="X121" i="6" s="1"/>
  <c r="S121" i="6"/>
  <c r="U121" i="6" s="1"/>
  <c r="P121" i="6"/>
  <c r="O121" i="6"/>
  <c r="M121" i="6"/>
  <c r="K121" i="6"/>
  <c r="E121" i="6"/>
  <c r="D121" i="6"/>
  <c r="B121" i="6"/>
  <c r="AI120" i="6"/>
  <c r="Z120" i="6"/>
  <c r="V120" i="6"/>
  <c r="X120" i="6" s="1"/>
  <c r="S120" i="6"/>
  <c r="U120" i="6" s="1"/>
  <c r="P120" i="6"/>
  <c r="O120" i="6"/>
  <c r="M120" i="6"/>
  <c r="E120" i="6"/>
  <c r="D120" i="6"/>
  <c r="B120" i="6"/>
  <c r="AI119" i="6"/>
  <c r="Z119" i="6"/>
  <c r="V119" i="6"/>
  <c r="X119" i="6" s="1"/>
  <c r="S119" i="6"/>
  <c r="U119" i="6" s="1"/>
  <c r="P119" i="6"/>
  <c r="O119" i="6"/>
  <c r="M119" i="6"/>
  <c r="K119" i="6"/>
  <c r="E119" i="6"/>
  <c r="D119" i="6"/>
  <c r="B119" i="6"/>
  <c r="AI118" i="6"/>
  <c r="Z118" i="6"/>
  <c r="V118" i="6"/>
  <c r="X118" i="6" s="1"/>
  <c r="S118" i="6"/>
  <c r="P118" i="6"/>
  <c r="O118" i="6"/>
  <c r="M118" i="6"/>
  <c r="E118" i="6"/>
  <c r="D118" i="6"/>
  <c r="B118" i="6"/>
  <c r="AI117" i="6"/>
  <c r="Z117" i="6"/>
  <c r="V117" i="6"/>
  <c r="X117" i="6" s="1"/>
  <c r="S117" i="6"/>
  <c r="U117" i="6" s="1"/>
  <c r="P117" i="6"/>
  <c r="O117" i="6"/>
  <c r="M117" i="6"/>
  <c r="K117" i="6"/>
  <c r="E117" i="6"/>
  <c r="D117" i="6"/>
  <c r="B117" i="6"/>
  <c r="AI116" i="6"/>
  <c r="Z116" i="6"/>
  <c r="V116" i="6"/>
  <c r="X116" i="6" s="1"/>
  <c r="S116" i="6"/>
  <c r="U116" i="6" s="1"/>
  <c r="P116" i="6"/>
  <c r="O116" i="6"/>
  <c r="M116" i="6"/>
  <c r="E116" i="6"/>
  <c r="D116" i="6"/>
  <c r="B116" i="6"/>
  <c r="AI115" i="6"/>
  <c r="Z115" i="6"/>
  <c r="V115" i="6"/>
  <c r="X115" i="6" s="1"/>
  <c r="S115" i="6"/>
  <c r="U115" i="6" s="1"/>
  <c r="P115" i="6"/>
  <c r="O115" i="6"/>
  <c r="M115" i="6"/>
  <c r="K115" i="6"/>
  <c r="E115" i="6"/>
  <c r="D115" i="6"/>
  <c r="B115" i="6"/>
  <c r="AI114" i="6"/>
  <c r="Z114" i="6"/>
  <c r="V114" i="6"/>
  <c r="X114" i="6" s="1"/>
  <c r="S114" i="6"/>
  <c r="U114" i="6" s="1"/>
  <c r="P114" i="6"/>
  <c r="O114" i="6"/>
  <c r="M114" i="6"/>
  <c r="E114" i="6"/>
  <c r="D114" i="6"/>
  <c r="B114" i="6"/>
  <c r="AI113" i="6"/>
  <c r="Z113" i="6"/>
  <c r="V113" i="6"/>
  <c r="X113" i="6" s="1"/>
  <c r="S113" i="6"/>
  <c r="U113" i="6" s="1"/>
  <c r="P113" i="6"/>
  <c r="O113" i="6"/>
  <c r="M113" i="6"/>
  <c r="K113" i="6"/>
  <c r="E113" i="6"/>
  <c r="D113" i="6"/>
  <c r="B113" i="6"/>
  <c r="AI112" i="6"/>
  <c r="Z112" i="6"/>
  <c r="V112" i="6"/>
  <c r="X112" i="6" s="1"/>
  <c r="S112" i="6"/>
  <c r="P112" i="6"/>
  <c r="O112" i="6"/>
  <c r="M112" i="6"/>
  <c r="E112" i="6"/>
  <c r="D112" i="6"/>
  <c r="B112" i="6"/>
  <c r="AI111" i="6"/>
  <c r="Z111" i="6"/>
  <c r="V111" i="6"/>
  <c r="X111" i="6" s="1"/>
  <c r="S111" i="6"/>
  <c r="U111" i="6" s="1"/>
  <c r="P111" i="6"/>
  <c r="O111" i="6"/>
  <c r="M111" i="6"/>
  <c r="K111" i="6"/>
  <c r="E111" i="6"/>
  <c r="D111" i="6"/>
  <c r="B111" i="6"/>
  <c r="AI110" i="6"/>
  <c r="Z110" i="6"/>
  <c r="V110" i="6"/>
  <c r="X110" i="6" s="1"/>
  <c r="S110" i="6"/>
  <c r="U110" i="6" s="1"/>
  <c r="P110" i="6"/>
  <c r="O110" i="6"/>
  <c r="M110" i="6"/>
  <c r="K110" i="6"/>
  <c r="E110" i="6"/>
  <c r="D110" i="6"/>
  <c r="B110" i="6"/>
  <c r="AI109" i="6"/>
  <c r="Z109" i="6"/>
  <c r="V109" i="6"/>
  <c r="X109" i="6" s="1"/>
  <c r="S109" i="6"/>
  <c r="U109" i="6" s="1"/>
  <c r="P109" i="6"/>
  <c r="R109" i="6" s="1"/>
  <c r="O109" i="6"/>
  <c r="M109" i="6"/>
  <c r="K109" i="6"/>
  <c r="E109" i="6"/>
  <c r="D109" i="6"/>
  <c r="B109" i="6"/>
  <c r="AI108" i="6"/>
  <c r="Z108" i="6"/>
  <c r="V108" i="6"/>
  <c r="X108" i="6" s="1"/>
  <c r="S108" i="6"/>
  <c r="U108" i="6" s="1"/>
  <c r="P108" i="6"/>
  <c r="O108" i="6"/>
  <c r="M108" i="6"/>
  <c r="E108" i="6"/>
  <c r="D108" i="6"/>
  <c r="B108" i="6"/>
  <c r="AI107" i="6"/>
  <c r="Z107" i="6"/>
  <c r="V107" i="6"/>
  <c r="X107" i="6" s="1"/>
  <c r="S107" i="6"/>
  <c r="U107" i="6" s="1"/>
  <c r="P107" i="6"/>
  <c r="O107" i="6"/>
  <c r="M107" i="6"/>
  <c r="E107" i="6"/>
  <c r="D107" i="6"/>
  <c r="B107" i="6"/>
  <c r="AI106" i="6"/>
  <c r="Z106" i="6"/>
  <c r="V106" i="6"/>
  <c r="X106" i="6" s="1"/>
  <c r="S106" i="6"/>
  <c r="P106" i="6"/>
  <c r="O106" i="6"/>
  <c r="M106" i="6"/>
  <c r="K106" i="6"/>
  <c r="E106" i="6"/>
  <c r="D106" i="6"/>
  <c r="B106" i="6"/>
  <c r="AI105" i="6"/>
  <c r="Z105" i="6"/>
  <c r="V105" i="6"/>
  <c r="X105" i="6" s="1"/>
  <c r="S105" i="6"/>
  <c r="U105" i="6" s="1"/>
  <c r="P105" i="6"/>
  <c r="O105" i="6"/>
  <c r="M105" i="6"/>
  <c r="E105" i="6"/>
  <c r="D105" i="6"/>
  <c r="B105" i="6"/>
  <c r="AI104" i="6"/>
  <c r="Z104" i="6"/>
  <c r="V104" i="6"/>
  <c r="X104" i="6" s="1"/>
  <c r="S104" i="6"/>
  <c r="U104" i="6" s="1"/>
  <c r="P104" i="6"/>
  <c r="O104" i="6"/>
  <c r="M104" i="6"/>
  <c r="K104" i="6"/>
  <c r="E104" i="6"/>
  <c r="D104" i="6"/>
  <c r="B104" i="6"/>
  <c r="AI103" i="6"/>
  <c r="Z103" i="6"/>
  <c r="V103" i="6"/>
  <c r="X103" i="6" s="1"/>
  <c r="S103" i="6"/>
  <c r="U103" i="6" s="1"/>
  <c r="P103" i="6"/>
  <c r="O103" i="6"/>
  <c r="M103" i="6"/>
  <c r="K103" i="6"/>
  <c r="E103" i="6"/>
  <c r="D103" i="6"/>
  <c r="B103" i="6"/>
  <c r="AI102" i="6"/>
  <c r="Z102" i="6"/>
  <c r="V102" i="6"/>
  <c r="X102" i="6" s="1"/>
  <c r="S102" i="6"/>
  <c r="P102" i="6"/>
  <c r="O102" i="6"/>
  <c r="M102" i="6"/>
  <c r="E102" i="6"/>
  <c r="D102" i="6"/>
  <c r="B102" i="6"/>
  <c r="AI101" i="6"/>
  <c r="Z101" i="6"/>
  <c r="V101" i="6"/>
  <c r="X101" i="6" s="1"/>
  <c r="S101" i="6"/>
  <c r="U101" i="6" s="1"/>
  <c r="P101" i="6"/>
  <c r="O101" i="6"/>
  <c r="M101" i="6"/>
  <c r="E101" i="6"/>
  <c r="D101" i="6"/>
  <c r="B101" i="6"/>
  <c r="AI100" i="6"/>
  <c r="Z100" i="6"/>
  <c r="V100" i="6"/>
  <c r="X100" i="6" s="1"/>
  <c r="S100" i="6"/>
  <c r="P100" i="6"/>
  <c r="O100" i="6"/>
  <c r="M100" i="6"/>
  <c r="K100" i="6"/>
  <c r="E100" i="6"/>
  <c r="D100" i="6"/>
  <c r="B100" i="6"/>
  <c r="AI99" i="6"/>
  <c r="Z99" i="6"/>
  <c r="V99" i="6"/>
  <c r="X99" i="6" s="1"/>
  <c r="S99" i="6"/>
  <c r="U99" i="6" s="1"/>
  <c r="P99" i="6"/>
  <c r="O99" i="6"/>
  <c r="M99" i="6"/>
  <c r="K99" i="6"/>
  <c r="E99" i="6"/>
  <c r="D99" i="6"/>
  <c r="B99" i="6"/>
  <c r="AI98" i="6"/>
  <c r="Z98" i="6"/>
  <c r="V98" i="6"/>
  <c r="X98" i="6" s="1"/>
  <c r="S98" i="6"/>
  <c r="AJ98" i="6" s="1"/>
  <c r="P98" i="6"/>
  <c r="O98" i="6"/>
  <c r="M98" i="6"/>
  <c r="K98" i="6"/>
  <c r="E98" i="6"/>
  <c r="D98" i="6"/>
  <c r="B98" i="6"/>
  <c r="AI97" i="6"/>
  <c r="Z97" i="6"/>
  <c r="V97" i="6"/>
  <c r="X97" i="6" s="1"/>
  <c r="S97" i="6"/>
  <c r="P97" i="6"/>
  <c r="O97" i="6"/>
  <c r="M97" i="6"/>
  <c r="K97" i="6"/>
  <c r="E97" i="6"/>
  <c r="D97" i="6"/>
  <c r="B97" i="6"/>
  <c r="AI96" i="6"/>
  <c r="Z96" i="6"/>
  <c r="V96" i="6"/>
  <c r="S96" i="6"/>
  <c r="U96" i="6" s="1"/>
  <c r="P96" i="6"/>
  <c r="O96" i="6"/>
  <c r="M96" i="6"/>
  <c r="K96" i="6"/>
  <c r="E96" i="6"/>
  <c r="D96" i="6"/>
  <c r="B96" i="6"/>
  <c r="AI95" i="6"/>
  <c r="Z95" i="6"/>
  <c r="V95" i="6"/>
  <c r="X95" i="6" s="1"/>
  <c r="S95" i="6"/>
  <c r="U95" i="6" s="1"/>
  <c r="P95" i="6"/>
  <c r="O95" i="6"/>
  <c r="M95" i="6"/>
  <c r="K95" i="6"/>
  <c r="E95" i="6"/>
  <c r="D95" i="6"/>
  <c r="B95" i="6"/>
  <c r="AI94" i="6"/>
  <c r="Z94" i="6"/>
  <c r="V94" i="6"/>
  <c r="X94" i="6" s="1"/>
  <c r="S94" i="6"/>
  <c r="U94" i="6" s="1"/>
  <c r="P94" i="6"/>
  <c r="O94" i="6"/>
  <c r="M94" i="6"/>
  <c r="E94" i="6"/>
  <c r="D94" i="6"/>
  <c r="B94" i="6"/>
  <c r="AI93" i="6"/>
  <c r="Z93" i="6"/>
  <c r="V93" i="6"/>
  <c r="X93" i="6" s="1"/>
  <c r="S93" i="6"/>
  <c r="U93" i="6" s="1"/>
  <c r="P93" i="6"/>
  <c r="O93" i="6"/>
  <c r="M93" i="6"/>
  <c r="E93" i="6"/>
  <c r="D93" i="6"/>
  <c r="B93" i="6"/>
  <c r="AI92" i="6"/>
  <c r="Z92" i="6"/>
  <c r="V92" i="6"/>
  <c r="X92" i="6" s="1"/>
  <c r="S92" i="6"/>
  <c r="U92" i="6" s="1"/>
  <c r="P92" i="6"/>
  <c r="O92" i="6"/>
  <c r="M92" i="6"/>
  <c r="K92" i="6"/>
  <c r="E92" i="6"/>
  <c r="D92" i="6"/>
  <c r="B92" i="6"/>
  <c r="AI91" i="6"/>
  <c r="Z91" i="6"/>
  <c r="V91" i="6"/>
  <c r="X91" i="6" s="1"/>
  <c r="S91" i="6"/>
  <c r="U91" i="6" s="1"/>
  <c r="P91" i="6"/>
  <c r="O91" i="6"/>
  <c r="M91" i="6"/>
  <c r="K91" i="6"/>
  <c r="E91" i="6"/>
  <c r="D91" i="6"/>
  <c r="B91" i="6"/>
  <c r="AI90" i="6"/>
  <c r="Z90" i="6"/>
  <c r="V90" i="6"/>
  <c r="X90" i="6" s="1"/>
  <c r="S90" i="6"/>
  <c r="U90" i="6" s="1"/>
  <c r="P90" i="6"/>
  <c r="O90" i="6"/>
  <c r="M90" i="6"/>
  <c r="K90" i="6"/>
  <c r="E90" i="6"/>
  <c r="D90" i="6"/>
  <c r="B90" i="6"/>
  <c r="AI89" i="6"/>
  <c r="Z89" i="6"/>
  <c r="V89" i="6"/>
  <c r="X89" i="6" s="1"/>
  <c r="S89" i="6"/>
  <c r="U89" i="6" s="1"/>
  <c r="P89" i="6"/>
  <c r="O89" i="6"/>
  <c r="M89" i="6"/>
  <c r="K89" i="6"/>
  <c r="E89" i="6"/>
  <c r="D89" i="6"/>
  <c r="B89" i="6"/>
  <c r="AI88" i="6"/>
  <c r="Z88" i="6"/>
  <c r="V88" i="6"/>
  <c r="X88" i="6" s="1"/>
  <c r="S88" i="6"/>
  <c r="U88" i="6" s="1"/>
  <c r="P88" i="6"/>
  <c r="O88" i="6"/>
  <c r="M88" i="6"/>
  <c r="K88" i="6"/>
  <c r="E88" i="6"/>
  <c r="D88" i="6"/>
  <c r="B88" i="6"/>
  <c r="AI87" i="6"/>
  <c r="Z87" i="6"/>
  <c r="V87" i="6"/>
  <c r="X87" i="6" s="1"/>
  <c r="S87" i="6"/>
  <c r="U87" i="6" s="1"/>
  <c r="P87" i="6"/>
  <c r="O87" i="6"/>
  <c r="M87" i="6"/>
  <c r="K87" i="6"/>
  <c r="E87" i="6"/>
  <c r="D87" i="6"/>
  <c r="B87" i="6"/>
  <c r="AI86" i="6"/>
  <c r="Z86" i="6"/>
  <c r="V86" i="6"/>
  <c r="X86" i="6" s="1"/>
  <c r="S86" i="6"/>
  <c r="U86" i="6" s="1"/>
  <c r="P86" i="6"/>
  <c r="O86" i="6"/>
  <c r="M86" i="6"/>
  <c r="K86" i="6"/>
  <c r="E86" i="6"/>
  <c r="D86" i="6"/>
  <c r="B86" i="6"/>
  <c r="AI85" i="6"/>
  <c r="Z85" i="6"/>
  <c r="V85" i="6"/>
  <c r="X85" i="6" s="1"/>
  <c r="S85" i="6"/>
  <c r="U85" i="6" s="1"/>
  <c r="P85" i="6"/>
  <c r="R85" i="6" s="1"/>
  <c r="O85" i="6"/>
  <c r="M85" i="6"/>
  <c r="K85" i="6"/>
  <c r="E85" i="6"/>
  <c r="D85" i="6"/>
  <c r="B85" i="6"/>
  <c r="AI84" i="6"/>
  <c r="Z84" i="6"/>
  <c r="V84" i="6"/>
  <c r="X84" i="6" s="1"/>
  <c r="S84" i="6"/>
  <c r="U84" i="6" s="1"/>
  <c r="P84" i="6"/>
  <c r="O84" i="6"/>
  <c r="M84" i="6"/>
  <c r="E84" i="6"/>
  <c r="D84" i="6"/>
  <c r="B84" i="6"/>
  <c r="AI83" i="6"/>
  <c r="Z83" i="6"/>
  <c r="V83" i="6"/>
  <c r="X83" i="6" s="1"/>
  <c r="S83" i="6"/>
  <c r="U83" i="6" s="1"/>
  <c r="P83" i="6"/>
  <c r="O83" i="6"/>
  <c r="M83" i="6"/>
  <c r="K83" i="6"/>
  <c r="E83" i="6"/>
  <c r="D83" i="6"/>
  <c r="B83" i="6"/>
  <c r="AI82" i="6"/>
  <c r="Z82" i="6"/>
  <c r="V82" i="6"/>
  <c r="X82" i="6" s="1"/>
  <c r="S82" i="6"/>
  <c r="U82" i="6" s="1"/>
  <c r="P82" i="6"/>
  <c r="O82" i="6"/>
  <c r="M82" i="6"/>
  <c r="E82" i="6"/>
  <c r="D82" i="6"/>
  <c r="B82" i="6"/>
  <c r="AI81" i="6"/>
  <c r="Z81" i="6"/>
  <c r="V81" i="6"/>
  <c r="S81" i="6"/>
  <c r="U81" i="6" s="1"/>
  <c r="P81" i="6"/>
  <c r="O81" i="6"/>
  <c r="M81" i="6"/>
  <c r="K81" i="6"/>
  <c r="E81" i="6"/>
  <c r="D81" i="6"/>
  <c r="B81" i="6"/>
  <c r="AI80" i="6"/>
  <c r="Z80" i="6"/>
  <c r="V80" i="6"/>
  <c r="X80" i="6" s="1"/>
  <c r="S80" i="6"/>
  <c r="U80" i="6" s="1"/>
  <c r="P80" i="6"/>
  <c r="O80" i="6"/>
  <c r="M80" i="6"/>
  <c r="E80" i="6"/>
  <c r="D80" i="6"/>
  <c r="B80" i="6"/>
  <c r="AI79" i="6"/>
  <c r="Z79" i="6"/>
  <c r="V79" i="6"/>
  <c r="X79" i="6" s="1"/>
  <c r="S79" i="6"/>
  <c r="P79" i="6"/>
  <c r="O79" i="6"/>
  <c r="M79" i="6"/>
  <c r="K79" i="6"/>
  <c r="E79" i="6"/>
  <c r="D79" i="6"/>
  <c r="B79" i="6"/>
  <c r="AI78" i="6"/>
  <c r="Z78" i="6"/>
  <c r="V78" i="6"/>
  <c r="X78" i="6" s="1"/>
  <c r="S78" i="6"/>
  <c r="P78" i="6"/>
  <c r="O78" i="6"/>
  <c r="M78" i="6"/>
  <c r="E78" i="6"/>
  <c r="D78" i="6"/>
  <c r="B78" i="6"/>
  <c r="AI77" i="6"/>
  <c r="Z77" i="6"/>
  <c r="V77" i="6"/>
  <c r="X77" i="6" s="1"/>
  <c r="S77" i="6"/>
  <c r="U77" i="6" s="1"/>
  <c r="P77" i="6"/>
  <c r="O77" i="6"/>
  <c r="M77" i="6"/>
  <c r="E77" i="6"/>
  <c r="D77" i="6"/>
  <c r="B77" i="6"/>
  <c r="AI76" i="6"/>
  <c r="Z76" i="6"/>
  <c r="V76" i="6"/>
  <c r="S76" i="6"/>
  <c r="U76" i="6" s="1"/>
  <c r="P76" i="6"/>
  <c r="R76" i="6" s="1"/>
  <c r="O76" i="6"/>
  <c r="M76" i="6"/>
  <c r="K76" i="6"/>
  <c r="E76" i="6"/>
  <c r="D76" i="6"/>
  <c r="B76" i="6"/>
  <c r="AI75" i="6"/>
  <c r="Z75" i="6"/>
  <c r="V75" i="6"/>
  <c r="X75" i="6" s="1"/>
  <c r="S75" i="6"/>
  <c r="U75" i="6" s="1"/>
  <c r="P75" i="6"/>
  <c r="O75" i="6"/>
  <c r="M75" i="6"/>
  <c r="K75" i="6"/>
  <c r="E75" i="6"/>
  <c r="D75" i="6"/>
  <c r="B75" i="6"/>
  <c r="AI74" i="6"/>
  <c r="Z74" i="6"/>
  <c r="V74" i="6"/>
  <c r="X74" i="6" s="1"/>
  <c r="S74" i="6"/>
  <c r="U74" i="6" s="1"/>
  <c r="P74" i="6"/>
  <c r="O74" i="6"/>
  <c r="M74" i="6"/>
  <c r="K74" i="6"/>
  <c r="E74" i="6"/>
  <c r="D74" i="6"/>
  <c r="B74" i="6"/>
  <c r="AI73" i="6"/>
  <c r="Z73" i="6"/>
  <c r="V73" i="6"/>
  <c r="X73" i="6" s="1"/>
  <c r="S73" i="6"/>
  <c r="U73" i="6" s="1"/>
  <c r="P73" i="6"/>
  <c r="R73" i="6" s="1"/>
  <c r="O73" i="6"/>
  <c r="M73" i="6"/>
  <c r="K73" i="6"/>
  <c r="E73" i="6"/>
  <c r="D73" i="6"/>
  <c r="B73" i="6"/>
  <c r="AI72" i="6"/>
  <c r="Z72" i="6"/>
  <c r="V72" i="6"/>
  <c r="X72" i="6" s="1"/>
  <c r="S72" i="6"/>
  <c r="U72" i="6" s="1"/>
  <c r="P72" i="6"/>
  <c r="O72" i="6"/>
  <c r="M72" i="6"/>
  <c r="K72" i="6"/>
  <c r="E72" i="6"/>
  <c r="D72" i="6"/>
  <c r="B72" i="6"/>
  <c r="AI71" i="6"/>
  <c r="Z71" i="6"/>
  <c r="V71" i="6"/>
  <c r="X71" i="6" s="1"/>
  <c r="S71" i="6"/>
  <c r="P71" i="6"/>
  <c r="O71" i="6"/>
  <c r="M71" i="6"/>
  <c r="K71" i="6"/>
  <c r="E71" i="6"/>
  <c r="D71" i="6"/>
  <c r="B71" i="6"/>
  <c r="AI70" i="6"/>
  <c r="Z70" i="6"/>
  <c r="V70" i="6"/>
  <c r="X70" i="6" s="1"/>
  <c r="S70" i="6"/>
  <c r="U70" i="6" s="1"/>
  <c r="P70" i="6"/>
  <c r="AK70" i="6" s="1"/>
  <c r="AN70" i="6" s="1"/>
  <c r="O70" i="6"/>
  <c r="M70" i="6"/>
  <c r="E70" i="6"/>
  <c r="D70" i="6"/>
  <c r="B70" i="6"/>
  <c r="AI69" i="6"/>
  <c r="Z69" i="6"/>
  <c r="V69" i="6"/>
  <c r="X69" i="6" s="1"/>
  <c r="S69" i="6"/>
  <c r="U69" i="6" s="1"/>
  <c r="P69" i="6"/>
  <c r="O69" i="6"/>
  <c r="M69" i="6"/>
  <c r="K69" i="6"/>
  <c r="E69" i="6"/>
  <c r="D69" i="6"/>
  <c r="B69" i="6"/>
  <c r="AI68" i="6"/>
  <c r="Z68" i="6"/>
  <c r="V68" i="6"/>
  <c r="X68" i="6" s="1"/>
  <c r="S68" i="6"/>
  <c r="U68" i="6" s="1"/>
  <c r="P68" i="6"/>
  <c r="O68" i="6"/>
  <c r="M68" i="6"/>
  <c r="K68" i="6"/>
  <c r="E68" i="6"/>
  <c r="D68" i="6"/>
  <c r="B68" i="6"/>
  <c r="AI67" i="6"/>
  <c r="Z67" i="6"/>
  <c r="V67" i="6"/>
  <c r="X67" i="6" s="1"/>
  <c r="S67" i="6"/>
  <c r="U67" i="6" s="1"/>
  <c r="P67" i="6"/>
  <c r="O67" i="6"/>
  <c r="M67" i="6"/>
  <c r="E67" i="6"/>
  <c r="D67" i="6"/>
  <c r="B67" i="6"/>
  <c r="AI66" i="6"/>
  <c r="Z66" i="6"/>
  <c r="V66" i="6"/>
  <c r="X66" i="6" s="1"/>
  <c r="S66" i="6"/>
  <c r="U66" i="6" s="1"/>
  <c r="P66" i="6"/>
  <c r="O66" i="6"/>
  <c r="M66" i="6"/>
  <c r="K66" i="6"/>
  <c r="E66" i="6"/>
  <c r="D66" i="6"/>
  <c r="B66" i="6"/>
  <c r="AI65" i="6"/>
  <c r="Z65" i="6"/>
  <c r="V65" i="6"/>
  <c r="X65" i="6" s="1"/>
  <c r="S65" i="6"/>
  <c r="U65" i="6" s="1"/>
  <c r="P65" i="6"/>
  <c r="O65" i="6"/>
  <c r="M65" i="6"/>
  <c r="K65" i="6"/>
  <c r="E65" i="6"/>
  <c r="D65" i="6"/>
  <c r="B65" i="6"/>
  <c r="AI64" i="6"/>
  <c r="Z64" i="6"/>
  <c r="V64" i="6"/>
  <c r="S64" i="6"/>
  <c r="U64" i="6" s="1"/>
  <c r="P64" i="6"/>
  <c r="R64" i="6" s="1"/>
  <c r="O64" i="6"/>
  <c r="M64" i="6"/>
  <c r="K64" i="6"/>
  <c r="E64" i="6"/>
  <c r="D64" i="6"/>
  <c r="B64" i="6"/>
  <c r="AI63" i="6"/>
  <c r="Z63" i="6"/>
  <c r="V63" i="6"/>
  <c r="X63" i="6" s="1"/>
  <c r="S63" i="6"/>
  <c r="U63" i="6" s="1"/>
  <c r="P63" i="6"/>
  <c r="O63" i="6"/>
  <c r="M63" i="6"/>
  <c r="E63" i="6"/>
  <c r="D63" i="6"/>
  <c r="B63" i="6"/>
  <c r="AI62" i="6"/>
  <c r="Z62" i="6"/>
  <c r="V62" i="6"/>
  <c r="X62" i="6" s="1"/>
  <c r="S62" i="6"/>
  <c r="U62" i="6" s="1"/>
  <c r="P62" i="6"/>
  <c r="O62" i="6"/>
  <c r="M62" i="6"/>
  <c r="K62" i="6"/>
  <c r="E62" i="6"/>
  <c r="D62" i="6"/>
  <c r="B62" i="6"/>
  <c r="AI61" i="6"/>
  <c r="Z61" i="6"/>
  <c r="V61" i="6"/>
  <c r="X61" i="6" s="1"/>
  <c r="S61" i="6"/>
  <c r="U61" i="6" s="1"/>
  <c r="P61" i="6"/>
  <c r="O61" i="6"/>
  <c r="M61" i="6"/>
  <c r="K61" i="6"/>
  <c r="E61" i="6"/>
  <c r="D61" i="6"/>
  <c r="B61" i="6"/>
  <c r="AI60" i="6"/>
  <c r="Z60" i="6"/>
  <c r="V60" i="6"/>
  <c r="S60" i="6"/>
  <c r="U60" i="6" s="1"/>
  <c r="P60" i="6"/>
  <c r="O60" i="6"/>
  <c r="M60" i="6"/>
  <c r="K60" i="6"/>
  <c r="E60" i="6"/>
  <c r="D60" i="6"/>
  <c r="B60" i="6"/>
  <c r="AI59" i="6"/>
  <c r="Z59" i="6"/>
  <c r="V59" i="6"/>
  <c r="X59" i="6" s="1"/>
  <c r="S59" i="6"/>
  <c r="U59" i="6" s="1"/>
  <c r="P59" i="6"/>
  <c r="O59" i="6"/>
  <c r="M59" i="6"/>
  <c r="E59" i="6"/>
  <c r="D59" i="6"/>
  <c r="B59" i="6"/>
  <c r="AI58" i="6"/>
  <c r="Z58" i="6"/>
  <c r="V58" i="6"/>
  <c r="X58" i="6" s="1"/>
  <c r="S58" i="6"/>
  <c r="U58" i="6" s="1"/>
  <c r="P58" i="6"/>
  <c r="AK58" i="6" s="1"/>
  <c r="AN58" i="6" s="1"/>
  <c r="O58" i="6"/>
  <c r="M58" i="6"/>
  <c r="K58" i="6"/>
  <c r="E58" i="6"/>
  <c r="D58" i="6"/>
  <c r="B58" i="6"/>
  <c r="AI57" i="6"/>
  <c r="Z57" i="6"/>
  <c r="V57" i="6"/>
  <c r="X57" i="6" s="1"/>
  <c r="S57" i="6"/>
  <c r="P57" i="6"/>
  <c r="O57" i="6"/>
  <c r="M57" i="6"/>
  <c r="K57" i="6"/>
  <c r="E57" i="6"/>
  <c r="D57" i="6"/>
  <c r="B57" i="6"/>
  <c r="AI56" i="6"/>
  <c r="Z56" i="6"/>
  <c r="V56" i="6"/>
  <c r="X56" i="6" s="1"/>
  <c r="S56" i="6"/>
  <c r="U56" i="6" s="1"/>
  <c r="P56" i="6"/>
  <c r="O56" i="6"/>
  <c r="M56" i="6"/>
  <c r="E56" i="6"/>
  <c r="D56" i="6"/>
  <c r="B56" i="6"/>
  <c r="AI55" i="6"/>
  <c r="Z55" i="6"/>
  <c r="V55" i="6"/>
  <c r="X55" i="6" s="1"/>
  <c r="S55" i="6"/>
  <c r="U55" i="6" s="1"/>
  <c r="P55" i="6"/>
  <c r="R55" i="6" s="1"/>
  <c r="O55" i="6"/>
  <c r="M55" i="6"/>
  <c r="K55" i="6"/>
  <c r="E55" i="6"/>
  <c r="D55" i="6"/>
  <c r="B55" i="6"/>
  <c r="AI54" i="6"/>
  <c r="Z54" i="6"/>
  <c r="V54" i="6"/>
  <c r="X54" i="6" s="1"/>
  <c r="S54" i="6"/>
  <c r="U54" i="6" s="1"/>
  <c r="P54" i="6"/>
  <c r="O54" i="6"/>
  <c r="M54" i="6"/>
  <c r="K54" i="6"/>
  <c r="E54" i="6"/>
  <c r="D54" i="6"/>
  <c r="B54" i="6"/>
  <c r="AI53" i="6"/>
  <c r="Z53" i="6"/>
  <c r="V53" i="6"/>
  <c r="X53" i="6" s="1"/>
  <c r="S53" i="6"/>
  <c r="P53" i="6"/>
  <c r="O53" i="6"/>
  <c r="M53" i="6"/>
  <c r="K53" i="6"/>
  <c r="E53" i="6"/>
  <c r="D53" i="6"/>
  <c r="B53" i="6"/>
  <c r="AI52" i="6"/>
  <c r="Z52" i="6"/>
  <c r="V52" i="6"/>
  <c r="X52" i="6" s="1"/>
  <c r="S52" i="6"/>
  <c r="U52" i="6" s="1"/>
  <c r="P52" i="6"/>
  <c r="O52" i="6"/>
  <c r="M52" i="6"/>
  <c r="K52" i="6"/>
  <c r="E52" i="6"/>
  <c r="D52" i="6"/>
  <c r="B52" i="6"/>
  <c r="AI51" i="6"/>
  <c r="Z51" i="6"/>
  <c r="V51" i="6"/>
  <c r="X51" i="6" s="1"/>
  <c r="S51" i="6"/>
  <c r="U51" i="6" s="1"/>
  <c r="P51" i="6"/>
  <c r="O51" i="6"/>
  <c r="M51" i="6"/>
  <c r="E51" i="6"/>
  <c r="D51" i="6"/>
  <c r="B51" i="6"/>
  <c r="AI50" i="6"/>
  <c r="Z50" i="6"/>
  <c r="V50" i="6"/>
  <c r="X50" i="6" s="1"/>
  <c r="S50" i="6"/>
  <c r="U50" i="6" s="1"/>
  <c r="P50" i="6"/>
  <c r="O50" i="6"/>
  <c r="M50" i="6"/>
  <c r="E50" i="6"/>
  <c r="D50" i="6"/>
  <c r="B50" i="6"/>
  <c r="AI49" i="6"/>
  <c r="Z49" i="6"/>
  <c r="V49" i="6"/>
  <c r="X49" i="6" s="1"/>
  <c r="S49" i="6"/>
  <c r="U49" i="6" s="1"/>
  <c r="P49" i="6"/>
  <c r="O49" i="6"/>
  <c r="M49" i="6"/>
  <c r="K49" i="6"/>
  <c r="E49" i="6"/>
  <c r="D49" i="6"/>
  <c r="B49" i="6"/>
  <c r="AI48" i="6"/>
  <c r="Z48" i="6"/>
  <c r="V48" i="6"/>
  <c r="X48" i="6" s="1"/>
  <c r="S48" i="6"/>
  <c r="U48" i="6" s="1"/>
  <c r="P48" i="6"/>
  <c r="O48" i="6"/>
  <c r="M48" i="6"/>
  <c r="E48" i="6"/>
  <c r="D48" i="6"/>
  <c r="B48" i="6"/>
  <c r="AI47" i="6"/>
  <c r="Z47" i="6"/>
  <c r="V47" i="6"/>
  <c r="S47" i="6"/>
  <c r="U47" i="6" s="1"/>
  <c r="P47" i="6"/>
  <c r="O47" i="6"/>
  <c r="M47" i="6"/>
  <c r="K47" i="6"/>
  <c r="E47" i="6"/>
  <c r="D47" i="6"/>
  <c r="B47" i="6"/>
  <c r="AI46" i="6"/>
  <c r="Z46" i="6"/>
  <c r="V46" i="6"/>
  <c r="X46" i="6" s="1"/>
  <c r="S46" i="6"/>
  <c r="P46" i="6"/>
  <c r="O46" i="6"/>
  <c r="M46" i="6"/>
  <c r="K46" i="6"/>
  <c r="E46" i="6"/>
  <c r="D46" i="6"/>
  <c r="B46" i="6"/>
  <c r="AI45" i="6"/>
  <c r="Z45" i="6"/>
  <c r="V45" i="6"/>
  <c r="X45" i="6" s="1"/>
  <c r="S45" i="6"/>
  <c r="AJ45" i="6" s="1"/>
  <c r="P45" i="6"/>
  <c r="O45" i="6"/>
  <c r="M45" i="6"/>
  <c r="K45" i="6"/>
  <c r="E45" i="6"/>
  <c r="D45" i="6"/>
  <c r="B45" i="6"/>
  <c r="AI44" i="6"/>
  <c r="Z44" i="6"/>
  <c r="V44" i="6"/>
  <c r="X44" i="6" s="1"/>
  <c r="S44" i="6"/>
  <c r="U44" i="6" s="1"/>
  <c r="P44" i="6"/>
  <c r="O44" i="6"/>
  <c r="M44" i="6"/>
  <c r="K44" i="6"/>
  <c r="E44" i="6"/>
  <c r="D44" i="6"/>
  <c r="B44" i="6"/>
  <c r="AI43" i="6"/>
  <c r="Z43" i="6"/>
  <c r="V43" i="6"/>
  <c r="X43" i="6" s="1"/>
  <c r="S43" i="6"/>
  <c r="U43" i="6" s="1"/>
  <c r="P43" i="6"/>
  <c r="O43" i="6"/>
  <c r="M43" i="6"/>
  <c r="E43" i="6"/>
  <c r="D43" i="6"/>
  <c r="B43" i="6"/>
  <c r="AI42" i="6"/>
  <c r="Z42" i="6"/>
  <c r="V42" i="6"/>
  <c r="X42" i="6" s="1"/>
  <c r="S42" i="6"/>
  <c r="U42" i="6" s="1"/>
  <c r="P42" i="6"/>
  <c r="O42" i="6"/>
  <c r="M42" i="6"/>
  <c r="E42" i="6"/>
  <c r="D42" i="6"/>
  <c r="B42" i="6"/>
  <c r="AI41" i="6"/>
  <c r="Z41" i="6"/>
  <c r="V41" i="6"/>
  <c r="X41" i="6" s="1"/>
  <c r="S41" i="6"/>
  <c r="U41" i="6" s="1"/>
  <c r="P41" i="6"/>
  <c r="O41" i="6"/>
  <c r="M41" i="6"/>
  <c r="K41" i="6"/>
  <c r="E41" i="6"/>
  <c r="D41" i="6"/>
  <c r="B41" i="6"/>
  <c r="AI40" i="6"/>
  <c r="Z40" i="6"/>
  <c r="V40" i="6"/>
  <c r="X40" i="6" s="1"/>
  <c r="S40" i="6"/>
  <c r="U40" i="6" s="1"/>
  <c r="P40" i="6"/>
  <c r="O40" i="6"/>
  <c r="M40" i="6"/>
  <c r="E40" i="6"/>
  <c r="D40" i="6"/>
  <c r="B40" i="6"/>
  <c r="AI39" i="6"/>
  <c r="Z39" i="6"/>
  <c r="V39" i="6"/>
  <c r="S39" i="6"/>
  <c r="U39" i="6" s="1"/>
  <c r="P39" i="6"/>
  <c r="O39" i="6"/>
  <c r="M39" i="6"/>
  <c r="K39" i="6"/>
  <c r="E39" i="6"/>
  <c r="D39" i="6"/>
  <c r="B39" i="6"/>
  <c r="AI38" i="6"/>
  <c r="Z38" i="6"/>
  <c r="V38" i="6"/>
  <c r="X38" i="6" s="1"/>
  <c r="S38" i="6"/>
  <c r="P38" i="6"/>
  <c r="O38" i="6"/>
  <c r="M38" i="6"/>
  <c r="K38" i="6"/>
  <c r="E38" i="6"/>
  <c r="D38" i="6"/>
  <c r="B38" i="6"/>
  <c r="AI37" i="6"/>
  <c r="Z37" i="6"/>
  <c r="V37" i="6"/>
  <c r="X37" i="6" s="1"/>
  <c r="S37" i="6"/>
  <c r="U37" i="6" s="1"/>
  <c r="P37" i="6"/>
  <c r="O37" i="6"/>
  <c r="M37" i="6"/>
  <c r="K37" i="6"/>
  <c r="E37" i="6"/>
  <c r="D37" i="6"/>
  <c r="B37" i="6"/>
  <c r="AI36" i="6"/>
  <c r="Z36" i="6"/>
  <c r="V36" i="6"/>
  <c r="X36" i="6" s="1"/>
  <c r="S36" i="6"/>
  <c r="AJ36" i="6" s="1"/>
  <c r="P36" i="6"/>
  <c r="O36" i="6"/>
  <c r="M36" i="6"/>
  <c r="K36" i="6"/>
  <c r="E36" i="6"/>
  <c r="D36" i="6"/>
  <c r="B36" i="6"/>
  <c r="AI35" i="6"/>
  <c r="Z35" i="6"/>
  <c r="V35" i="6"/>
  <c r="X35" i="6" s="1"/>
  <c r="S35" i="6"/>
  <c r="U35" i="6" s="1"/>
  <c r="P35" i="6"/>
  <c r="O35" i="6"/>
  <c r="M35" i="6"/>
  <c r="E35" i="6"/>
  <c r="D35" i="6"/>
  <c r="B35" i="6"/>
  <c r="AI34" i="6"/>
  <c r="Z34" i="6"/>
  <c r="V34" i="6"/>
  <c r="X34" i="6" s="1"/>
  <c r="S34" i="6"/>
  <c r="U34" i="6" s="1"/>
  <c r="P34" i="6"/>
  <c r="O34" i="6"/>
  <c r="M34" i="6"/>
  <c r="E34" i="6"/>
  <c r="D34" i="6"/>
  <c r="B34" i="6"/>
  <c r="AI33" i="6"/>
  <c r="Z33" i="6"/>
  <c r="V33" i="6"/>
  <c r="X33" i="6" s="1"/>
  <c r="S33" i="6"/>
  <c r="U33" i="6" s="1"/>
  <c r="P33" i="6"/>
  <c r="O33" i="6"/>
  <c r="M33" i="6"/>
  <c r="K33" i="6"/>
  <c r="E33" i="6"/>
  <c r="D33" i="6"/>
  <c r="B33" i="6"/>
  <c r="AI32" i="6"/>
  <c r="Z32" i="6"/>
  <c r="V32" i="6"/>
  <c r="X32" i="6" s="1"/>
  <c r="S32" i="6"/>
  <c r="U32" i="6" s="1"/>
  <c r="P32" i="6"/>
  <c r="O32" i="6"/>
  <c r="M32" i="6"/>
  <c r="E32" i="6"/>
  <c r="D32" i="6"/>
  <c r="B32" i="6"/>
  <c r="AI31" i="6"/>
  <c r="Z31" i="6"/>
  <c r="V31" i="6"/>
  <c r="X31" i="6" s="1"/>
  <c r="S31" i="6"/>
  <c r="U31" i="6" s="1"/>
  <c r="P31" i="6"/>
  <c r="O31" i="6"/>
  <c r="M31" i="6"/>
  <c r="K31" i="6"/>
  <c r="E31" i="6"/>
  <c r="D31" i="6"/>
  <c r="B31" i="6"/>
  <c r="AI30" i="6"/>
  <c r="Z30" i="6"/>
  <c r="V30" i="6"/>
  <c r="X30" i="6" s="1"/>
  <c r="S30" i="6"/>
  <c r="P30" i="6"/>
  <c r="O30" i="6"/>
  <c r="M30" i="6"/>
  <c r="K30" i="6"/>
  <c r="B30" i="6"/>
  <c r="AI29" i="6"/>
  <c r="Z29" i="6"/>
  <c r="V29" i="6"/>
  <c r="X29" i="6" s="1"/>
  <c r="S29" i="6"/>
  <c r="U29" i="6" s="1"/>
  <c r="P29" i="6"/>
  <c r="O29" i="6"/>
  <c r="M29" i="6"/>
  <c r="K29" i="6"/>
  <c r="B29" i="6"/>
  <c r="AI28" i="6"/>
  <c r="Z28" i="6"/>
  <c r="V28" i="6"/>
  <c r="X28" i="6" s="1"/>
  <c r="S28" i="6"/>
  <c r="U28" i="6" s="1"/>
  <c r="P28" i="6"/>
  <c r="O28" i="6"/>
  <c r="M28" i="6"/>
  <c r="K28" i="6"/>
  <c r="B28" i="6"/>
  <c r="AI27" i="6"/>
  <c r="Z27" i="6"/>
  <c r="V27" i="6"/>
  <c r="S27" i="6"/>
  <c r="U27" i="6" s="1"/>
  <c r="P27" i="6"/>
  <c r="R27" i="6" s="1"/>
  <c r="O27" i="6"/>
  <c r="M27" i="6"/>
  <c r="K27" i="6"/>
  <c r="B27" i="6"/>
  <c r="AI26" i="6"/>
  <c r="Z26" i="6"/>
  <c r="V26" i="6"/>
  <c r="X26" i="6" s="1"/>
  <c r="S26" i="6"/>
  <c r="U26" i="6" s="1"/>
  <c r="P26" i="6"/>
  <c r="O26" i="6"/>
  <c r="M26" i="6"/>
  <c r="K26" i="6"/>
  <c r="B26" i="6"/>
  <c r="AI25" i="6"/>
  <c r="Z25" i="6"/>
  <c r="V25" i="6"/>
  <c r="X25" i="6" s="1"/>
  <c r="S25" i="6"/>
  <c r="P25" i="6"/>
  <c r="O25" i="6"/>
  <c r="M25" i="6"/>
  <c r="K25" i="6"/>
  <c r="B25" i="6"/>
  <c r="AI24" i="6"/>
  <c r="Z24" i="6"/>
  <c r="V24" i="6"/>
  <c r="X24" i="6" s="1"/>
  <c r="S24" i="6"/>
  <c r="U24" i="6" s="1"/>
  <c r="P24" i="6"/>
  <c r="O24" i="6"/>
  <c r="M24" i="6"/>
  <c r="B24" i="6"/>
  <c r="AI23" i="6"/>
  <c r="Z23" i="6"/>
  <c r="V23" i="6"/>
  <c r="X23" i="6" s="1"/>
  <c r="S23" i="6"/>
  <c r="U23" i="6" s="1"/>
  <c r="P23" i="6"/>
  <c r="O23" i="6"/>
  <c r="M23" i="6"/>
  <c r="K23" i="6"/>
  <c r="B23" i="6"/>
  <c r="AI22" i="6"/>
  <c r="Z22" i="6"/>
  <c r="V22" i="6"/>
  <c r="X22" i="6" s="1"/>
  <c r="S22" i="6"/>
  <c r="U22" i="6" s="1"/>
  <c r="P22" i="6"/>
  <c r="O22" i="6"/>
  <c r="M22" i="6"/>
  <c r="B22" i="6"/>
  <c r="AI21" i="6"/>
  <c r="Z21" i="6"/>
  <c r="V21" i="6"/>
  <c r="X21" i="6" s="1"/>
  <c r="S21" i="6"/>
  <c r="AJ21" i="6" s="1"/>
  <c r="P21" i="6"/>
  <c r="O21" i="6"/>
  <c r="M21" i="6"/>
  <c r="K21" i="6"/>
  <c r="B21" i="6"/>
  <c r="AI20" i="6"/>
  <c r="Z20" i="6"/>
  <c r="V20" i="6"/>
  <c r="X20" i="6" s="1"/>
  <c r="S20" i="6"/>
  <c r="U20" i="6" s="1"/>
  <c r="P20" i="6"/>
  <c r="O20" i="6"/>
  <c r="M20" i="6"/>
  <c r="K20" i="6"/>
  <c r="B20" i="6"/>
  <c r="AI19" i="6"/>
  <c r="Z19" i="6"/>
  <c r="V19" i="6"/>
  <c r="X19" i="6" s="1"/>
  <c r="S19" i="6"/>
  <c r="U19" i="6" s="1"/>
  <c r="P19" i="6"/>
  <c r="O19" i="6"/>
  <c r="M19" i="6"/>
  <c r="K19" i="6"/>
  <c r="B19" i="6"/>
  <c r="AI18" i="6"/>
  <c r="Z18" i="6"/>
  <c r="V18" i="6"/>
  <c r="X18" i="6" s="1"/>
  <c r="S18" i="6"/>
  <c r="U18" i="6" s="1"/>
  <c r="P18" i="6"/>
  <c r="O18" i="6"/>
  <c r="M18" i="6"/>
  <c r="K18" i="6"/>
  <c r="B18" i="6"/>
  <c r="AI17" i="6"/>
  <c r="Z17" i="6"/>
  <c r="V17" i="6"/>
  <c r="X17" i="6" s="1"/>
  <c r="S17" i="6"/>
  <c r="U17" i="6" s="1"/>
  <c r="P17" i="6"/>
  <c r="O17" i="6"/>
  <c r="M17" i="6"/>
  <c r="K17" i="6"/>
  <c r="B17" i="6"/>
  <c r="AI16" i="6"/>
  <c r="Z16" i="6"/>
  <c r="V16" i="6"/>
  <c r="X16" i="6" s="1"/>
  <c r="S16" i="6"/>
  <c r="U16" i="6" s="1"/>
  <c r="P16" i="6"/>
  <c r="O16" i="6"/>
  <c r="M16" i="6"/>
  <c r="K16" i="6"/>
  <c r="B16" i="6"/>
  <c r="AI15" i="6"/>
  <c r="Z15" i="6"/>
  <c r="V15" i="6"/>
  <c r="S15" i="6"/>
  <c r="U15" i="6" s="1"/>
  <c r="P15" i="6"/>
  <c r="O15" i="6"/>
  <c r="M15" i="6"/>
  <c r="K15" i="6"/>
  <c r="B15" i="6"/>
  <c r="AI14" i="6"/>
  <c r="Z14" i="6"/>
  <c r="V14" i="6"/>
  <c r="S14" i="6"/>
  <c r="U14" i="6" s="1"/>
  <c r="P14" i="6"/>
  <c r="AK14" i="6" s="1"/>
  <c r="AN14" i="6" s="1"/>
  <c r="O14" i="6"/>
  <c r="M14" i="6"/>
  <c r="K14" i="6"/>
  <c r="B14" i="6"/>
  <c r="AI13" i="6"/>
  <c r="Z13" i="6"/>
  <c r="V13" i="6"/>
  <c r="X13" i="6" s="1"/>
  <c r="S13" i="6"/>
  <c r="U13" i="6" s="1"/>
  <c r="P13" i="6"/>
  <c r="O13" i="6"/>
  <c r="M13" i="6"/>
  <c r="K13" i="6"/>
  <c r="B13" i="6"/>
  <c r="AI12" i="6"/>
  <c r="Z12" i="6"/>
  <c r="V12" i="6"/>
  <c r="X12" i="6" s="1"/>
  <c r="S12" i="6"/>
  <c r="U12" i="6" s="1"/>
  <c r="P12" i="6"/>
  <c r="R12" i="6" s="1"/>
  <c r="O12" i="6"/>
  <c r="M12" i="6"/>
  <c r="K12" i="6"/>
  <c r="B12" i="6"/>
  <c r="AI11" i="6"/>
  <c r="Z11" i="6"/>
  <c r="V11" i="6"/>
  <c r="X11" i="6" s="1"/>
  <c r="S11" i="6"/>
  <c r="U11" i="6" s="1"/>
  <c r="P11" i="6"/>
  <c r="O11" i="6"/>
  <c r="M11" i="6"/>
  <c r="B11" i="6"/>
  <c r="AI10" i="6"/>
  <c r="Z10" i="6"/>
  <c r="V10" i="6"/>
  <c r="X10" i="6" s="1"/>
  <c r="S10" i="6"/>
  <c r="U10" i="6" s="1"/>
  <c r="P10" i="6"/>
  <c r="O10" i="6"/>
  <c r="M10" i="6"/>
  <c r="K10" i="6"/>
  <c r="B10" i="6"/>
  <c r="AI9" i="6"/>
  <c r="Z9" i="6"/>
  <c r="V9" i="6"/>
  <c r="X9" i="6" s="1"/>
  <c r="S9" i="6"/>
  <c r="P9" i="6"/>
  <c r="O9" i="6"/>
  <c r="M9" i="6"/>
  <c r="K9" i="6"/>
  <c r="B9" i="6"/>
  <c r="D2" i="6"/>
  <c r="AK123" i="6" l="1"/>
  <c r="AN123" i="6" s="1"/>
  <c r="AJ132" i="6"/>
  <c r="AJ56" i="6"/>
  <c r="AJ120" i="6"/>
  <c r="AJ65" i="6"/>
  <c r="AM65" i="6" s="1"/>
  <c r="AJ129" i="6"/>
  <c r="AM129" i="6" s="1"/>
  <c r="AJ17" i="6"/>
  <c r="AM17" i="6" s="1"/>
  <c r="AJ66" i="6"/>
  <c r="AM66" i="6" s="1"/>
  <c r="AJ130" i="6"/>
  <c r="AJ69" i="6"/>
  <c r="AJ35" i="6"/>
  <c r="AM35" i="6" s="1"/>
  <c r="AJ99" i="6"/>
  <c r="AM99" i="6" s="1"/>
  <c r="AJ22" i="6"/>
  <c r="AJ111" i="6"/>
  <c r="AM111" i="6" s="1"/>
  <c r="AJ68" i="6"/>
  <c r="AM68" i="6" s="1"/>
  <c r="AJ78" i="6"/>
  <c r="AM78" i="6" s="1"/>
  <c r="AM134" i="6"/>
  <c r="AJ64" i="6"/>
  <c r="AM64" i="6" s="1"/>
  <c r="AJ73" i="6"/>
  <c r="AM73" i="6" s="1"/>
  <c r="AJ137" i="6"/>
  <c r="AM137" i="6" s="1"/>
  <c r="AJ10" i="6"/>
  <c r="AM10" i="6" s="1"/>
  <c r="AJ74" i="6"/>
  <c r="AM74" i="6" s="1"/>
  <c r="AJ85" i="6"/>
  <c r="AM85" i="6" s="1"/>
  <c r="AJ39" i="6"/>
  <c r="AM39" i="6" s="1"/>
  <c r="AJ43" i="6"/>
  <c r="AJ107" i="6"/>
  <c r="AJ46" i="6"/>
  <c r="AM46" i="6" s="1"/>
  <c r="AJ12" i="6"/>
  <c r="AM12" i="6" s="1"/>
  <c r="AJ76" i="6"/>
  <c r="AM76" i="6" s="1"/>
  <c r="AJ110" i="6"/>
  <c r="AM110" i="6" s="1"/>
  <c r="AM21" i="6"/>
  <c r="AM25" i="6"/>
  <c r="AM128" i="6"/>
  <c r="AJ72" i="6"/>
  <c r="AJ81" i="6"/>
  <c r="AM81" i="6" s="1"/>
  <c r="AJ86" i="6"/>
  <c r="AJ18" i="6"/>
  <c r="AJ82" i="6"/>
  <c r="AM82" i="6" s="1"/>
  <c r="AJ124" i="6"/>
  <c r="AM124" i="6" s="1"/>
  <c r="AJ117" i="6"/>
  <c r="AM117" i="6" s="1"/>
  <c r="AJ63" i="6"/>
  <c r="AJ51" i="6"/>
  <c r="AM51" i="6" s="1"/>
  <c r="AJ115" i="6"/>
  <c r="AM115" i="6" s="1"/>
  <c r="AJ62" i="6"/>
  <c r="AM62" i="6" s="1"/>
  <c r="AJ20" i="6"/>
  <c r="AM20" i="6" s="1"/>
  <c r="AJ84" i="6"/>
  <c r="AM84" i="6" s="1"/>
  <c r="AM138" i="6"/>
  <c r="AJ16" i="6"/>
  <c r="AM16" i="6" s="1"/>
  <c r="AJ80" i="6"/>
  <c r="AM80" i="6" s="1"/>
  <c r="AJ25" i="6"/>
  <c r="AJ89" i="6"/>
  <c r="AJ118" i="6"/>
  <c r="AM118" i="6" s="1"/>
  <c r="AJ26" i="6"/>
  <c r="AM26" i="6" s="1"/>
  <c r="AJ90" i="6"/>
  <c r="AM90" i="6" s="1"/>
  <c r="AJ140" i="6"/>
  <c r="AM140" i="6" s="1"/>
  <c r="AJ133" i="6"/>
  <c r="AM133" i="6" s="1"/>
  <c r="AJ95" i="6"/>
  <c r="AJ59" i="6"/>
  <c r="AJ123" i="6"/>
  <c r="AM123" i="6" s="1"/>
  <c r="AJ61" i="6"/>
  <c r="AJ102" i="6"/>
  <c r="AM102" i="6" s="1"/>
  <c r="AJ28" i="6"/>
  <c r="AM28" i="6" s="1"/>
  <c r="AJ92" i="6"/>
  <c r="AM92" i="6" s="1"/>
  <c r="AJ47" i="6"/>
  <c r="AM47" i="6" s="1"/>
  <c r="AJ24" i="6"/>
  <c r="AM24" i="6" s="1"/>
  <c r="AJ88" i="6"/>
  <c r="AM88" i="6" s="1"/>
  <c r="AJ33" i="6"/>
  <c r="AM33" i="6" s="1"/>
  <c r="AJ97" i="6"/>
  <c r="AM97" i="6" s="1"/>
  <c r="AJ23" i="6"/>
  <c r="AM23" i="6" s="1"/>
  <c r="AJ34" i="6"/>
  <c r="AM34" i="6" s="1"/>
  <c r="AJ13" i="6"/>
  <c r="AM13" i="6" s="1"/>
  <c r="AJ30" i="6"/>
  <c r="AM30" i="6" s="1"/>
  <c r="AJ127" i="6"/>
  <c r="AM127" i="6" s="1"/>
  <c r="AJ67" i="6"/>
  <c r="AJ131" i="6"/>
  <c r="AM131" i="6" s="1"/>
  <c r="AJ77" i="6"/>
  <c r="AM77" i="6" s="1"/>
  <c r="AJ126" i="6"/>
  <c r="AM126" i="6" s="1"/>
  <c r="AJ100" i="6"/>
  <c r="AM100" i="6" s="1"/>
  <c r="AJ79" i="6"/>
  <c r="AM79" i="6" s="1"/>
  <c r="AM9" i="6"/>
  <c r="AJ32" i="6"/>
  <c r="AM32" i="6" s="1"/>
  <c r="AJ96" i="6"/>
  <c r="AM96" i="6" s="1"/>
  <c r="AJ41" i="6"/>
  <c r="AM41" i="6" s="1"/>
  <c r="AJ105" i="6"/>
  <c r="AM105" i="6" s="1"/>
  <c r="AJ71" i="6"/>
  <c r="AM71" i="6" s="1"/>
  <c r="AJ42" i="6"/>
  <c r="AJ106" i="6"/>
  <c r="AM106" i="6" s="1"/>
  <c r="AJ29" i="6"/>
  <c r="AM29" i="6" s="1"/>
  <c r="AJ54" i="6"/>
  <c r="AM54" i="6" s="1"/>
  <c r="AJ11" i="6"/>
  <c r="AJ75" i="6"/>
  <c r="AM75" i="6" s="1"/>
  <c r="AJ139" i="6"/>
  <c r="AM139" i="6" s="1"/>
  <c r="AJ93" i="6"/>
  <c r="AM93" i="6" s="1"/>
  <c r="AJ31" i="6"/>
  <c r="AM31" i="6" s="1"/>
  <c r="AJ44" i="6"/>
  <c r="AM44" i="6" s="1"/>
  <c r="AJ101" i="6"/>
  <c r="AM101" i="6" s="1"/>
  <c r="AJ119" i="6"/>
  <c r="AM36" i="6"/>
  <c r="AM45" i="6"/>
  <c r="AK72" i="6"/>
  <c r="AN72" i="6" s="1"/>
  <c r="AM98" i="6"/>
  <c r="AM136" i="6"/>
  <c r="AJ40" i="6"/>
  <c r="AM40" i="6" s="1"/>
  <c r="AJ104" i="6"/>
  <c r="AM104" i="6" s="1"/>
  <c r="AJ49" i="6"/>
  <c r="AM49" i="6" s="1"/>
  <c r="AJ113" i="6"/>
  <c r="AJ103" i="6"/>
  <c r="AM103" i="6" s="1"/>
  <c r="AJ50" i="6"/>
  <c r="AM50" i="6" s="1"/>
  <c r="AJ114" i="6"/>
  <c r="AM114" i="6" s="1"/>
  <c r="AJ37" i="6"/>
  <c r="AM37" i="6" s="1"/>
  <c r="AJ70" i="6"/>
  <c r="AM70" i="6" s="1"/>
  <c r="AJ19" i="6"/>
  <c r="AM19" i="6" s="1"/>
  <c r="AJ83" i="6"/>
  <c r="AJ108" i="6"/>
  <c r="AM108" i="6" s="1"/>
  <c r="AJ109" i="6"/>
  <c r="AM109" i="6" s="1"/>
  <c r="AJ55" i="6"/>
  <c r="AM55" i="6" s="1"/>
  <c r="AJ52" i="6"/>
  <c r="AM52" i="6" s="1"/>
  <c r="AJ141" i="6"/>
  <c r="AM141" i="6" s="1"/>
  <c r="AJ14" i="6"/>
  <c r="AM14" i="6" s="1"/>
  <c r="AJ48" i="6"/>
  <c r="AM48" i="6" s="1"/>
  <c r="AJ112" i="6"/>
  <c r="AM112" i="6" s="1"/>
  <c r="AJ57" i="6"/>
  <c r="AM57" i="6" s="1"/>
  <c r="AJ121" i="6"/>
  <c r="AM121" i="6" s="1"/>
  <c r="AJ135" i="6"/>
  <c r="AM135" i="6" s="1"/>
  <c r="AJ58" i="6"/>
  <c r="AM58" i="6" s="1"/>
  <c r="AJ122" i="6"/>
  <c r="AM122" i="6" s="1"/>
  <c r="AJ53" i="6"/>
  <c r="AM53" i="6" s="1"/>
  <c r="AJ94" i="6"/>
  <c r="AM94" i="6" s="1"/>
  <c r="AJ27" i="6"/>
  <c r="AM27" i="6" s="1"/>
  <c r="AJ91" i="6"/>
  <c r="AJ116" i="6"/>
  <c r="AM116" i="6" s="1"/>
  <c r="AJ125" i="6"/>
  <c r="AM125" i="6" s="1"/>
  <c r="AJ87" i="6"/>
  <c r="AM87" i="6" s="1"/>
  <c r="AJ60" i="6"/>
  <c r="AM60" i="6" s="1"/>
  <c r="AJ38" i="6"/>
  <c r="AM38" i="6" s="1"/>
  <c r="AJ15" i="6"/>
  <c r="AM15" i="6" s="1"/>
  <c r="AK56" i="6"/>
  <c r="AN56" i="6" s="1"/>
  <c r="AK65" i="6"/>
  <c r="AN65" i="6" s="1"/>
  <c r="AK38" i="6"/>
  <c r="AN38" i="6" s="1"/>
  <c r="AK68" i="6"/>
  <c r="AN68" i="6" s="1"/>
  <c r="AK91" i="6"/>
  <c r="AN91" i="6" s="1"/>
  <c r="U134" i="6"/>
  <c r="AK29" i="6"/>
  <c r="AN29" i="6" s="1"/>
  <c r="AK36" i="6"/>
  <c r="AN36" i="6" s="1"/>
  <c r="AK60" i="6"/>
  <c r="AN60" i="6" s="1"/>
  <c r="AK74" i="6"/>
  <c r="AN74" i="6" s="1"/>
  <c r="AK86" i="6"/>
  <c r="AN86" i="6" s="1"/>
  <c r="AK94" i="6"/>
  <c r="AN94" i="6" s="1"/>
  <c r="AK9" i="6"/>
  <c r="AN9" i="6" s="1"/>
  <c r="AK31" i="6"/>
  <c r="AN31" i="6" s="1"/>
  <c r="AK103" i="6"/>
  <c r="AN103" i="6" s="1"/>
  <c r="AK53" i="6"/>
  <c r="AN53" i="6" s="1"/>
  <c r="AK113" i="6"/>
  <c r="AN113" i="6" s="1"/>
  <c r="AK129" i="6"/>
  <c r="AN129" i="6" s="1"/>
  <c r="AM91" i="6"/>
  <c r="U79" i="6"/>
  <c r="AK102" i="6"/>
  <c r="AN102" i="6" s="1"/>
  <c r="AK20" i="6"/>
  <c r="AN20" i="6" s="1"/>
  <c r="AK96" i="6"/>
  <c r="AN96" i="6" s="1"/>
  <c r="U106" i="6"/>
  <c r="U118" i="6"/>
  <c r="AK131" i="6"/>
  <c r="AN131" i="6" s="1"/>
  <c r="AK137" i="6"/>
  <c r="AN137" i="6" s="1"/>
  <c r="U21" i="6"/>
  <c r="AK45" i="6"/>
  <c r="AN45" i="6" s="1"/>
  <c r="R102" i="6"/>
  <c r="AK25" i="6"/>
  <c r="AN25" i="6" s="1"/>
  <c r="U45" i="6"/>
  <c r="AK139" i="6"/>
  <c r="AN139" i="6" s="1"/>
  <c r="AM61" i="6"/>
  <c r="AK81" i="6"/>
  <c r="AN81" i="6" s="1"/>
  <c r="AM86" i="6"/>
  <c r="AK19" i="6"/>
  <c r="AN19" i="6" s="1"/>
  <c r="AK46" i="6"/>
  <c r="AN46" i="6" s="1"/>
  <c r="AK49" i="6"/>
  <c r="AN49" i="6" s="1"/>
  <c r="AK55" i="6"/>
  <c r="AN55" i="6" s="1"/>
  <c r="U57" i="6"/>
  <c r="U71" i="6"/>
  <c r="AK76" i="6"/>
  <c r="AN76" i="6" s="1"/>
  <c r="AK79" i="6"/>
  <c r="AN79" i="6" s="1"/>
  <c r="AK101" i="6"/>
  <c r="AN101" i="6" s="1"/>
  <c r="AK115" i="6"/>
  <c r="AN115" i="6" s="1"/>
  <c r="AK121" i="6"/>
  <c r="AN121" i="6" s="1"/>
  <c r="U100" i="6"/>
  <c r="U102" i="6"/>
  <c r="R118" i="6"/>
  <c r="AK118" i="6"/>
  <c r="AN118" i="6" s="1"/>
  <c r="U128" i="6"/>
  <c r="R15" i="6"/>
  <c r="AK15" i="6"/>
  <c r="AN15" i="6" s="1"/>
  <c r="R19" i="6"/>
  <c r="AK30" i="6"/>
  <c r="AN30" i="6" s="1"/>
  <c r="R35" i="6"/>
  <c r="AK35" i="6"/>
  <c r="AN35" i="6" s="1"/>
  <c r="AK52" i="6"/>
  <c r="AN52" i="6" s="1"/>
  <c r="U53" i="6"/>
  <c r="R77" i="6"/>
  <c r="AK77" i="6"/>
  <c r="AN77" i="6" s="1"/>
  <c r="R81" i="6"/>
  <c r="R96" i="6"/>
  <c r="U98" i="6"/>
  <c r="R110" i="6"/>
  <c r="AK110" i="6"/>
  <c r="AN110" i="6" s="1"/>
  <c r="AM120" i="6"/>
  <c r="AM69" i="6"/>
  <c r="AM43" i="6"/>
  <c r="AM107" i="6"/>
  <c r="R43" i="6"/>
  <c r="AK43" i="6"/>
  <c r="AN43" i="6" s="1"/>
  <c r="AM18" i="6"/>
  <c r="R31" i="6"/>
  <c r="AD31" i="6" s="1"/>
  <c r="AC31" i="6" s="1"/>
  <c r="AE31" i="6" s="1"/>
  <c r="R63" i="6"/>
  <c r="AK63" i="6"/>
  <c r="AN63" i="6" s="1"/>
  <c r="R105" i="6"/>
  <c r="AK105" i="6"/>
  <c r="AN105" i="6" s="1"/>
  <c r="R9" i="6"/>
  <c r="R16" i="6"/>
  <c r="AK16" i="6"/>
  <c r="AN16" i="6" s="1"/>
  <c r="U25" i="6"/>
  <c r="R26" i="6"/>
  <c r="AK26" i="6"/>
  <c r="AN26" i="6" s="1"/>
  <c r="R30" i="6"/>
  <c r="R32" i="6"/>
  <c r="AK32" i="6"/>
  <c r="AN32" i="6" s="1"/>
  <c r="U38" i="6"/>
  <c r="R52" i="6"/>
  <c r="AD52" i="6" s="1"/>
  <c r="AC52" i="6" s="1"/>
  <c r="AE52" i="6" s="1"/>
  <c r="R68" i="6"/>
  <c r="AD68" i="6" s="1"/>
  <c r="AC68" i="6" s="1"/>
  <c r="AE68" i="6" s="1"/>
  <c r="AK71" i="6"/>
  <c r="AN71" i="6" s="1"/>
  <c r="AK89" i="6"/>
  <c r="AN89" i="6" s="1"/>
  <c r="R116" i="6"/>
  <c r="AK116" i="6"/>
  <c r="AN116" i="6" s="1"/>
  <c r="R124" i="6"/>
  <c r="AK124" i="6"/>
  <c r="AN124" i="6" s="1"/>
  <c r="R132" i="6"/>
  <c r="AK132" i="6"/>
  <c r="AN132" i="6" s="1"/>
  <c r="R140" i="6"/>
  <c r="AK140" i="6"/>
  <c r="AN140" i="6" s="1"/>
  <c r="AM42" i="6"/>
  <c r="AM113" i="6"/>
  <c r="AM132" i="6"/>
  <c r="R60" i="6"/>
  <c r="R84" i="6"/>
  <c r="AK84" i="6"/>
  <c r="AN84" i="6" s="1"/>
  <c r="R108" i="6"/>
  <c r="AK108" i="6"/>
  <c r="AN108" i="6" s="1"/>
  <c r="U112" i="6"/>
  <c r="R126" i="6"/>
  <c r="AK126" i="6"/>
  <c r="AN126" i="6" s="1"/>
  <c r="R134" i="6"/>
  <c r="AK134" i="6"/>
  <c r="AN134" i="6" s="1"/>
  <c r="U136" i="6"/>
  <c r="AK10" i="6"/>
  <c r="AN10" i="6" s="1"/>
  <c r="AK11" i="6"/>
  <c r="AN11" i="6" s="1"/>
  <c r="AK21" i="6"/>
  <c r="AN21" i="6" s="1"/>
  <c r="AK37" i="6"/>
  <c r="AN37" i="6" s="1"/>
  <c r="AK41" i="6"/>
  <c r="AN41" i="6" s="1"/>
  <c r="AK44" i="6"/>
  <c r="AN44" i="6" s="1"/>
  <c r="AK47" i="6"/>
  <c r="AN47" i="6" s="1"/>
  <c r="AK50" i="6"/>
  <c r="AN50" i="6" s="1"/>
  <c r="AK54" i="6"/>
  <c r="AN54" i="6" s="1"/>
  <c r="AK59" i="6"/>
  <c r="AN59" i="6" s="1"/>
  <c r="AK61" i="6"/>
  <c r="AN61" i="6" s="1"/>
  <c r="AK66" i="6"/>
  <c r="AN66" i="6" s="1"/>
  <c r="R71" i="6"/>
  <c r="AK75" i="6"/>
  <c r="AN75" i="6" s="1"/>
  <c r="AK82" i="6"/>
  <c r="AN82" i="6" s="1"/>
  <c r="AK87" i="6"/>
  <c r="AN87" i="6" s="1"/>
  <c r="R89" i="6"/>
  <c r="AD89" i="6" s="1"/>
  <c r="AK99" i="6"/>
  <c r="AN99" i="6" s="1"/>
  <c r="AK106" i="6"/>
  <c r="AN106" i="6" s="1"/>
  <c r="AM89" i="6"/>
  <c r="AM59" i="6"/>
  <c r="AM72" i="6"/>
  <c r="AK12" i="6"/>
  <c r="AN12" i="6" s="1"/>
  <c r="AK17" i="6"/>
  <c r="AN17" i="6" s="1"/>
  <c r="AK22" i="6"/>
  <c r="AN22" i="6" s="1"/>
  <c r="AK27" i="6"/>
  <c r="AN27" i="6" s="1"/>
  <c r="U30" i="6"/>
  <c r="R44" i="6"/>
  <c r="AD44" i="6" s="1"/>
  <c r="R47" i="6"/>
  <c r="AK64" i="6"/>
  <c r="AN64" i="6" s="1"/>
  <c r="AK73" i="6"/>
  <c r="AN73" i="6" s="1"/>
  <c r="AK78" i="6"/>
  <c r="AN78" i="6" s="1"/>
  <c r="R80" i="6"/>
  <c r="AK80" i="6"/>
  <c r="AN80" i="6" s="1"/>
  <c r="AK85" i="6"/>
  <c r="AN85" i="6" s="1"/>
  <c r="R92" i="6"/>
  <c r="AD92" i="6" s="1"/>
  <c r="AF92" i="6" s="1"/>
  <c r="AK92" i="6"/>
  <c r="AN92" i="6" s="1"/>
  <c r="AK95" i="6"/>
  <c r="AN95" i="6" s="1"/>
  <c r="R97" i="6"/>
  <c r="AK97" i="6"/>
  <c r="AN97" i="6" s="1"/>
  <c r="AK109" i="6"/>
  <c r="AN109" i="6" s="1"/>
  <c r="AK111" i="6"/>
  <c r="AN111" i="6" s="1"/>
  <c r="R114" i="6"/>
  <c r="AK114" i="6"/>
  <c r="AN114" i="6" s="1"/>
  <c r="AK119" i="6"/>
  <c r="AN119" i="6" s="1"/>
  <c r="R122" i="6"/>
  <c r="AK122" i="6"/>
  <c r="AN122" i="6" s="1"/>
  <c r="AK127" i="6"/>
  <c r="AN127" i="6" s="1"/>
  <c r="R130" i="6"/>
  <c r="AK130" i="6"/>
  <c r="AN130" i="6" s="1"/>
  <c r="AK135" i="6"/>
  <c r="AN135" i="6" s="1"/>
  <c r="R138" i="6"/>
  <c r="AK138" i="6"/>
  <c r="AN138" i="6" s="1"/>
  <c r="AM63" i="6"/>
  <c r="AM67" i="6"/>
  <c r="AM95" i="6"/>
  <c r="R34" i="6"/>
  <c r="AK34" i="6"/>
  <c r="AN34" i="6" s="1"/>
  <c r="R14" i="6"/>
  <c r="U36" i="6"/>
  <c r="R40" i="6"/>
  <c r="AK40" i="6"/>
  <c r="AN40" i="6" s="1"/>
  <c r="U46" i="6"/>
  <c r="AK23" i="6"/>
  <c r="AN23" i="6" s="1"/>
  <c r="AK33" i="6"/>
  <c r="AN33" i="6" s="1"/>
  <c r="AK39" i="6"/>
  <c r="AN39" i="6" s="1"/>
  <c r="R42" i="6"/>
  <c r="AK42" i="6"/>
  <c r="AN42" i="6" s="1"/>
  <c r="AK51" i="6"/>
  <c r="AN51" i="6" s="1"/>
  <c r="AK57" i="6"/>
  <c r="AN57" i="6" s="1"/>
  <c r="R67" i="6"/>
  <c r="AK67" i="6"/>
  <c r="AN67" i="6" s="1"/>
  <c r="AK69" i="6"/>
  <c r="AN69" i="6" s="1"/>
  <c r="R104" i="6"/>
  <c r="AD104" i="6" s="1"/>
  <c r="AK104" i="6"/>
  <c r="AN104" i="6" s="1"/>
  <c r="AM130" i="6"/>
  <c r="AM22" i="6"/>
  <c r="AM11" i="6"/>
  <c r="AM119" i="6"/>
  <c r="R98" i="6"/>
  <c r="AK98" i="6"/>
  <c r="AN98" i="6" s="1"/>
  <c r="R38" i="6"/>
  <c r="AK13" i="6"/>
  <c r="AN13" i="6" s="1"/>
  <c r="R18" i="6"/>
  <c r="AK18" i="6"/>
  <c r="AN18" i="6" s="1"/>
  <c r="R24" i="6"/>
  <c r="AK24" i="6"/>
  <c r="AN24" i="6" s="1"/>
  <c r="R28" i="6"/>
  <c r="AK28" i="6"/>
  <c r="AN28" i="6" s="1"/>
  <c r="R36" i="6"/>
  <c r="R39" i="6"/>
  <c r="R46" i="6"/>
  <c r="R48" i="6"/>
  <c r="AK48" i="6"/>
  <c r="AN48" i="6" s="1"/>
  <c r="AK62" i="6"/>
  <c r="AN62" i="6" s="1"/>
  <c r="U78" i="6"/>
  <c r="AK83" i="6"/>
  <c r="AN83" i="6" s="1"/>
  <c r="R88" i="6"/>
  <c r="AD88" i="6" s="1"/>
  <c r="AK88" i="6"/>
  <c r="AN88" i="6" s="1"/>
  <c r="AK90" i="6"/>
  <c r="AN90" i="6" s="1"/>
  <c r="AK93" i="6"/>
  <c r="AN93" i="6" s="1"/>
  <c r="R100" i="6"/>
  <c r="AK100" i="6"/>
  <c r="AN100" i="6" s="1"/>
  <c r="AK107" i="6"/>
  <c r="AN107" i="6" s="1"/>
  <c r="R112" i="6"/>
  <c r="AK112" i="6"/>
  <c r="AN112" i="6" s="1"/>
  <c r="AK117" i="6"/>
  <c r="AN117" i="6" s="1"/>
  <c r="R120" i="6"/>
  <c r="AK120" i="6"/>
  <c r="AN120" i="6" s="1"/>
  <c r="AK125" i="6"/>
  <c r="AN125" i="6" s="1"/>
  <c r="R128" i="6"/>
  <c r="AK128" i="6"/>
  <c r="AN128" i="6" s="1"/>
  <c r="AK133" i="6"/>
  <c r="AN133" i="6" s="1"/>
  <c r="R136" i="6"/>
  <c r="AK136" i="6"/>
  <c r="AN136" i="6" s="1"/>
  <c r="U138" i="6"/>
  <c r="AK141" i="6"/>
  <c r="AN141" i="6" s="1"/>
  <c r="AM83" i="6"/>
  <c r="AM56" i="6"/>
  <c r="AD85" i="6"/>
  <c r="AC85" i="6" s="1"/>
  <c r="AE85" i="6" s="1"/>
  <c r="R20" i="6"/>
  <c r="R23" i="6"/>
  <c r="K34" i="6"/>
  <c r="K35" i="6"/>
  <c r="X47" i="6"/>
  <c r="K48" i="6"/>
  <c r="R50" i="6"/>
  <c r="R51" i="6"/>
  <c r="R56" i="6"/>
  <c r="R59" i="6"/>
  <c r="X64" i="6"/>
  <c r="AD64" i="6" s="1"/>
  <c r="K67" i="6"/>
  <c r="R72" i="6"/>
  <c r="AD72" i="6" s="1"/>
  <c r="X81" i="6"/>
  <c r="K84" i="6"/>
  <c r="K94" i="6"/>
  <c r="X14" i="6"/>
  <c r="R22" i="6"/>
  <c r="X27" i="6"/>
  <c r="X39" i="6"/>
  <c r="K40" i="6"/>
  <c r="R54" i="6"/>
  <c r="AD54" i="6" s="1"/>
  <c r="X60" i="6"/>
  <c r="K63" i="6"/>
  <c r="X76" i="6"/>
  <c r="AD76" i="6" s="1"/>
  <c r="K77" i="6"/>
  <c r="K80" i="6"/>
  <c r="X96" i="6"/>
  <c r="K108" i="6"/>
  <c r="K112" i="6"/>
  <c r="K116" i="6"/>
  <c r="K120" i="6"/>
  <c r="K124" i="6"/>
  <c r="K128" i="6"/>
  <c r="K132" i="6"/>
  <c r="K136" i="6"/>
  <c r="K140" i="6"/>
  <c r="AD140" i="6" s="1"/>
  <c r="AD73" i="6"/>
  <c r="AC73" i="6" s="1"/>
  <c r="AE73" i="6" s="1"/>
  <c r="K102" i="6"/>
  <c r="K32" i="6"/>
  <c r="K50" i="6"/>
  <c r="K51" i="6"/>
  <c r="K56" i="6"/>
  <c r="K59" i="6"/>
  <c r="R94" i="6"/>
  <c r="K22" i="6"/>
  <c r="K42" i="6"/>
  <c r="K43" i="6"/>
  <c r="AD43" i="6" s="1"/>
  <c r="AC43" i="6" s="1"/>
  <c r="AE43" i="6" s="1"/>
  <c r="K114" i="6"/>
  <c r="K118" i="6"/>
  <c r="K122" i="6"/>
  <c r="K126" i="6"/>
  <c r="K130" i="6"/>
  <c r="K134" i="6"/>
  <c r="K138" i="6"/>
  <c r="R33" i="6"/>
  <c r="AD33" i="6" s="1"/>
  <c r="I144" i="6"/>
  <c r="P144" i="6"/>
  <c r="E151" i="6" s="1"/>
  <c r="V144" i="6"/>
  <c r="K11" i="6"/>
  <c r="R11" i="6"/>
  <c r="R13" i="6"/>
  <c r="X15" i="6"/>
  <c r="R29" i="6"/>
  <c r="R65" i="6"/>
  <c r="AD65" i="6" s="1"/>
  <c r="R74" i="6"/>
  <c r="AD74" i="6" s="1"/>
  <c r="K78" i="6"/>
  <c r="K82" i="6"/>
  <c r="R117" i="6"/>
  <c r="AD117" i="6" s="1"/>
  <c r="R37" i="6"/>
  <c r="AD37" i="6" s="1"/>
  <c r="R41" i="6"/>
  <c r="AD41" i="6" s="1"/>
  <c r="R53" i="6"/>
  <c r="R61" i="6"/>
  <c r="AD61" i="6" s="1"/>
  <c r="S144" i="6"/>
  <c r="E150" i="6" s="1"/>
  <c r="R21" i="6"/>
  <c r="K24" i="6"/>
  <c r="AD55" i="6"/>
  <c r="R57" i="6"/>
  <c r="U97" i="6"/>
  <c r="R17" i="6"/>
  <c r="R45" i="6"/>
  <c r="AD45" i="6" s="1"/>
  <c r="R49" i="6"/>
  <c r="AD49" i="6" s="1"/>
  <c r="M144" i="6"/>
  <c r="Z144" i="6"/>
  <c r="O144" i="6"/>
  <c r="U9" i="6"/>
  <c r="AI144" i="6"/>
  <c r="R10" i="6"/>
  <c r="R25" i="6"/>
  <c r="R69" i="6"/>
  <c r="AD69" i="6" s="1"/>
  <c r="K93" i="6"/>
  <c r="R78" i="6"/>
  <c r="R82" i="6"/>
  <c r="R91" i="6"/>
  <c r="AD91" i="6" s="1"/>
  <c r="R93" i="6"/>
  <c r="K101" i="6"/>
  <c r="R106" i="6"/>
  <c r="AD106" i="6" s="1"/>
  <c r="R141" i="6"/>
  <c r="AD141" i="6" s="1"/>
  <c r="R90" i="6"/>
  <c r="AD90" i="6" s="1"/>
  <c r="R125" i="6"/>
  <c r="AD125" i="6" s="1"/>
  <c r="R58" i="6"/>
  <c r="AD58" i="6" s="1"/>
  <c r="R62" i="6"/>
  <c r="AD62" i="6" s="1"/>
  <c r="R66" i="6"/>
  <c r="AD66" i="6" s="1"/>
  <c r="K70" i="6"/>
  <c r="R70" i="6"/>
  <c r="R86" i="6"/>
  <c r="AD86" i="6" s="1"/>
  <c r="R99" i="6"/>
  <c r="AD99" i="6" s="1"/>
  <c r="R101" i="6"/>
  <c r="R133" i="6"/>
  <c r="AD133" i="6" s="1"/>
  <c r="R115" i="6"/>
  <c r="AD115" i="6" s="1"/>
  <c r="R123" i="6"/>
  <c r="AD123" i="6" s="1"/>
  <c r="R131" i="6"/>
  <c r="AD131" i="6" s="1"/>
  <c r="R139" i="6"/>
  <c r="AD139" i="6" s="1"/>
  <c r="AD109" i="6"/>
  <c r="R111" i="6"/>
  <c r="AD111" i="6" s="1"/>
  <c r="R119" i="6"/>
  <c r="AD119" i="6" s="1"/>
  <c r="R127" i="6"/>
  <c r="AD127" i="6" s="1"/>
  <c r="R135" i="6"/>
  <c r="AD135" i="6" s="1"/>
  <c r="R75" i="6"/>
  <c r="AD75" i="6" s="1"/>
  <c r="R79" i="6"/>
  <c r="R83" i="6"/>
  <c r="AD83" i="6" s="1"/>
  <c r="R87" i="6"/>
  <c r="AD87" i="6" s="1"/>
  <c r="R95" i="6"/>
  <c r="AD95" i="6" s="1"/>
  <c r="R103" i="6"/>
  <c r="AD103" i="6" s="1"/>
  <c r="K105" i="6"/>
  <c r="R113" i="6"/>
  <c r="AD113" i="6" s="1"/>
  <c r="R121" i="6"/>
  <c r="AD121" i="6" s="1"/>
  <c r="R129" i="6"/>
  <c r="AD129" i="6" s="1"/>
  <c r="R137" i="6"/>
  <c r="AD137" i="6" s="1"/>
  <c r="K107" i="6"/>
  <c r="R107" i="6"/>
  <c r="AD110" i="6"/>
  <c r="D9" i="6"/>
  <c r="AN3" i="4"/>
  <c r="AO3" i="4"/>
  <c r="AP3" i="4"/>
  <c r="AQ3" i="4"/>
  <c r="AR3" i="4"/>
  <c r="AS3" i="4"/>
  <c r="AD77" i="6" l="1"/>
  <c r="AD67" i="6"/>
  <c r="AF67" i="6" s="1"/>
  <c r="AR67" i="6" s="1"/>
  <c r="AQ67" i="6" s="1"/>
  <c r="AD138" i="6"/>
  <c r="AC138" i="6" s="1"/>
  <c r="AE138" i="6" s="1"/>
  <c r="AD105" i="6"/>
  <c r="AC105" i="6" s="1"/>
  <c r="AE105" i="6" s="1"/>
  <c r="AD97" i="6"/>
  <c r="AC97" i="6" s="1"/>
  <c r="AE97" i="6" s="1"/>
  <c r="AR92" i="6"/>
  <c r="AQ92" i="6" s="1"/>
  <c r="AC44" i="6"/>
  <c r="AE44" i="6" s="1"/>
  <c r="AF44" i="6"/>
  <c r="AR44" i="6" s="1"/>
  <c r="AQ44" i="6" s="1"/>
  <c r="AD124" i="6"/>
  <c r="AC124" i="6" s="1"/>
  <c r="AE124" i="6" s="1"/>
  <c r="AD42" i="6"/>
  <c r="AC42" i="6" s="1"/>
  <c r="AE42" i="6" s="1"/>
  <c r="AD120" i="6"/>
  <c r="AC120" i="6" s="1"/>
  <c r="AE120" i="6" s="1"/>
  <c r="AD136" i="6"/>
  <c r="AF136" i="6" s="1"/>
  <c r="AR136" i="6" s="1"/>
  <c r="AQ136" i="6" s="1"/>
  <c r="AD79" i="6"/>
  <c r="AF79" i="6" s="1"/>
  <c r="AR79" i="6" s="1"/>
  <c r="AQ79" i="6" s="1"/>
  <c r="AD108" i="6"/>
  <c r="AC108" i="6" s="1"/>
  <c r="AE108" i="6" s="1"/>
  <c r="AD81" i="6"/>
  <c r="AC81" i="6" s="1"/>
  <c r="AE81" i="6" s="1"/>
  <c r="AD122" i="6"/>
  <c r="AC122" i="6" s="1"/>
  <c r="AE122" i="6" s="1"/>
  <c r="AD35" i="6"/>
  <c r="AC35" i="6" s="1"/>
  <c r="AE35" i="6" s="1"/>
  <c r="AD100" i="6"/>
  <c r="AF100" i="6" s="1"/>
  <c r="AR100" i="6" s="1"/>
  <c r="AQ100" i="6" s="1"/>
  <c r="AD71" i="6"/>
  <c r="AC71" i="6" s="1"/>
  <c r="AE71" i="6" s="1"/>
  <c r="AM144" i="6"/>
  <c r="AD57" i="6"/>
  <c r="AC57" i="6" s="1"/>
  <c r="AE57" i="6" s="1"/>
  <c r="AD53" i="6"/>
  <c r="AF53" i="6" s="1"/>
  <c r="AR53" i="6" s="1"/>
  <c r="AQ53" i="6" s="1"/>
  <c r="AD63" i="6"/>
  <c r="AC63" i="6" s="1"/>
  <c r="AE63" i="6" s="1"/>
  <c r="AD39" i="6"/>
  <c r="AC39" i="6" s="1"/>
  <c r="AE39" i="6" s="1"/>
  <c r="AD126" i="6"/>
  <c r="AC126" i="6" s="1"/>
  <c r="AE126" i="6" s="1"/>
  <c r="AD60" i="6"/>
  <c r="AC60" i="6" s="1"/>
  <c r="AE60" i="6" s="1"/>
  <c r="AD84" i="6"/>
  <c r="AC84" i="6" s="1"/>
  <c r="AE84" i="6" s="1"/>
  <c r="AD114" i="6"/>
  <c r="AF114" i="6" s="1"/>
  <c r="AR114" i="6" s="1"/>
  <c r="AQ114" i="6" s="1"/>
  <c r="AN144" i="6"/>
  <c r="AD46" i="6"/>
  <c r="AC46" i="6" s="1"/>
  <c r="AE46" i="6" s="1"/>
  <c r="AD47" i="6"/>
  <c r="AC47" i="6" s="1"/>
  <c r="AE47" i="6" s="1"/>
  <c r="AD96" i="6"/>
  <c r="AC96" i="6" s="1"/>
  <c r="AE96" i="6" s="1"/>
  <c r="AD116" i="6"/>
  <c r="AF116" i="6" s="1"/>
  <c r="AR116" i="6" s="1"/>
  <c r="AQ116" i="6" s="1"/>
  <c r="AD102" i="6"/>
  <c r="AF102" i="6" s="1"/>
  <c r="AR102" i="6" s="1"/>
  <c r="AQ102" i="6" s="1"/>
  <c r="AD34" i="6"/>
  <c r="AF34" i="6" s="1"/>
  <c r="AR34" i="6" s="1"/>
  <c r="AQ34" i="6" s="1"/>
  <c r="AD36" i="6"/>
  <c r="AC36" i="6" s="1"/>
  <c r="AE36" i="6" s="1"/>
  <c r="AD38" i="6"/>
  <c r="AF38" i="6" s="1"/>
  <c r="AR38" i="6" s="1"/>
  <c r="AQ38" i="6" s="1"/>
  <c r="AD128" i="6"/>
  <c r="AF128" i="6" s="1"/>
  <c r="AR128" i="6" s="1"/>
  <c r="AQ128" i="6" s="1"/>
  <c r="AD134" i="6"/>
  <c r="AC134" i="6" s="1"/>
  <c r="AE134" i="6" s="1"/>
  <c r="AD98" i="6"/>
  <c r="AF98" i="6" s="1"/>
  <c r="AR98" i="6" s="1"/>
  <c r="AQ98" i="6" s="1"/>
  <c r="E149" i="6"/>
  <c r="AD48" i="6"/>
  <c r="AD112" i="6"/>
  <c r="AF112" i="6" s="1"/>
  <c r="AR112" i="6" s="1"/>
  <c r="AQ112" i="6" s="1"/>
  <c r="AD101" i="6"/>
  <c r="AC101" i="6" s="1"/>
  <c r="AE101" i="6" s="1"/>
  <c r="AD118" i="6"/>
  <c r="AF118" i="6" s="1"/>
  <c r="AR118" i="6" s="1"/>
  <c r="AQ118" i="6" s="1"/>
  <c r="AD130" i="6"/>
  <c r="AC130" i="6" s="1"/>
  <c r="AE130" i="6" s="1"/>
  <c r="AD50" i="6"/>
  <c r="AC50" i="6" s="1"/>
  <c r="AE50" i="6" s="1"/>
  <c r="AD40" i="6"/>
  <c r="AD107" i="6"/>
  <c r="AF107" i="6" s="1"/>
  <c r="AR107" i="6" s="1"/>
  <c r="AQ107" i="6" s="1"/>
  <c r="AD59" i="6"/>
  <c r="AC59" i="6" s="1"/>
  <c r="AE59" i="6" s="1"/>
  <c r="AD70" i="6"/>
  <c r="AC70" i="6" s="1"/>
  <c r="AE70" i="6" s="1"/>
  <c r="AF68" i="6"/>
  <c r="AR68" i="6" s="1"/>
  <c r="AQ68" i="6" s="1"/>
  <c r="AD32" i="6"/>
  <c r="AD132" i="6"/>
  <c r="AF132" i="6" s="1"/>
  <c r="AR132" i="6" s="1"/>
  <c r="AQ132" i="6" s="1"/>
  <c r="AD80" i="6"/>
  <c r="AF80" i="6" s="1"/>
  <c r="AR80" i="6" s="1"/>
  <c r="AQ80" i="6" s="1"/>
  <c r="AF73" i="6"/>
  <c r="AR73" i="6" s="1"/>
  <c r="AQ73" i="6" s="1"/>
  <c r="AD56" i="6"/>
  <c r="AC56" i="6" s="1"/>
  <c r="AE56" i="6" s="1"/>
  <c r="AD51" i="6"/>
  <c r="AF51" i="6" s="1"/>
  <c r="AR51" i="6" s="1"/>
  <c r="AQ51" i="6" s="1"/>
  <c r="AF85" i="6"/>
  <c r="AR85" i="6" s="1"/>
  <c r="AQ85" i="6" s="1"/>
  <c r="AC92" i="6"/>
  <c r="AE92" i="6" s="1"/>
  <c r="AD93" i="6"/>
  <c r="AF93" i="6" s="1"/>
  <c r="AR93" i="6" s="1"/>
  <c r="AQ93" i="6" s="1"/>
  <c r="AF43" i="6"/>
  <c r="AR43" i="6" s="1"/>
  <c r="AQ43" i="6" s="1"/>
  <c r="AF52" i="6"/>
  <c r="AR52" i="6" s="1"/>
  <c r="AQ52" i="6" s="1"/>
  <c r="AF31" i="6"/>
  <c r="AR31" i="6" s="1"/>
  <c r="AQ31" i="6" s="1"/>
  <c r="R144" i="6"/>
  <c r="AK144" i="6"/>
  <c r="AD94" i="6"/>
  <c r="D27" i="6"/>
  <c r="D22" i="6"/>
  <c r="D16" i="6"/>
  <c r="D11" i="6"/>
  <c r="D26" i="6"/>
  <c r="D20" i="6"/>
  <c r="D15" i="6"/>
  <c r="D10" i="6"/>
  <c r="D30" i="6"/>
  <c r="D24" i="6"/>
  <c r="D19" i="6"/>
  <c r="D14" i="6"/>
  <c r="D28" i="6"/>
  <c r="D23" i="6"/>
  <c r="D18" i="6"/>
  <c r="D12" i="6"/>
  <c r="AF87" i="6"/>
  <c r="AR87" i="6" s="1"/>
  <c r="AQ87" i="6" s="1"/>
  <c r="AC87" i="6"/>
  <c r="AE87" i="6" s="1"/>
  <c r="AF62" i="6"/>
  <c r="AR62" i="6" s="1"/>
  <c r="AQ62" i="6" s="1"/>
  <c r="AC62" i="6"/>
  <c r="AE62" i="6" s="1"/>
  <c r="AC91" i="6"/>
  <c r="AE91" i="6" s="1"/>
  <c r="AF91" i="6"/>
  <c r="AR91" i="6" s="1"/>
  <c r="AQ91" i="6" s="1"/>
  <c r="AF45" i="6"/>
  <c r="AR45" i="6" s="1"/>
  <c r="AQ45" i="6" s="1"/>
  <c r="AC45" i="6"/>
  <c r="AE45" i="6" s="1"/>
  <c r="AF65" i="6"/>
  <c r="AR65" i="6" s="1"/>
  <c r="AQ65" i="6" s="1"/>
  <c r="AC65" i="6"/>
  <c r="AE65" i="6" s="1"/>
  <c r="AF83" i="6"/>
  <c r="AR83" i="6" s="1"/>
  <c r="AQ83" i="6" s="1"/>
  <c r="AC83" i="6"/>
  <c r="AE83" i="6" s="1"/>
  <c r="AF61" i="6"/>
  <c r="AR61" i="6" s="1"/>
  <c r="AQ61" i="6" s="1"/>
  <c r="AC61" i="6"/>
  <c r="AE61" i="6" s="1"/>
  <c r="AF41" i="6"/>
  <c r="AR41" i="6" s="1"/>
  <c r="AQ41" i="6" s="1"/>
  <c r="AC41" i="6"/>
  <c r="AE41" i="6" s="1"/>
  <c r="AF58" i="6"/>
  <c r="AR58" i="6" s="1"/>
  <c r="AQ58" i="6" s="1"/>
  <c r="AC58" i="6"/>
  <c r="AE58" i="6" s="1"/>
  <c r="AF69" i="6"/>
  <c r="AR69" i="6" s="1"/>
  <c r="AQ69" i="6" s="1"/>
  <c r="AC69" i="6"/>
  <c r="AE69" i="6" s="1"/>
  <c r="AF49" i="6"/>
  <c r="AR49" i="6" s="1"/>
  <c r="AQ49" i="6" s="1"/>
  <c r="AC49" i="6"/>
  <c r="AE49" i="6" s="1"/>
  <c r="AF105" i="6"/>
  <c r="AR105" i="6" s="1"/>
  <c r="AQ105" i="6" s="1"/>
  <c r="AC139" i="6"/>
  <c r="AE139" i="6" s="1"/>
  <c r="AF139" i="6"/>
  <c r="AR139" i="6" s="1"/>
  <c r="AQ139" i="6" s="1"/>
  <c r="AC88" i="6"/>
  <c r="AE88" i="6" s="1"/>
  <c r="AF88" i="6"/>
  <c r="AR88" i="6" s="1"/>
  <c r="AQ88" i="6" s="1"/>
  <c r="AF75" i="6"/>
  <c r="AR75" i="6" s="1"/>
  <c r="AQ75" i="6" s="1"/>
  <c r="AC75" i="6"/>
  <c r="AE75" i="6" s="1"/>
  <c r="AC106" i="6"/>
  <c r="AE106" i="6" s="1"/>
  <c r="AF106" i="6"/>
  <c r="AR106" i="6" s="1"/>
  <c r="AQ106" i="6" s="1"/>
  <c r="AF110" i="6"/>
  <c r="AR110" i="6" s="1"/>
  <c r="AQ110" i="6" s="1"/>
  <c r="AC110" i="6"/>
  <c r="AE110" i="6" s="1"/>
  <c r="AC135" i="6"/>
  <c r="AE135" i="6" s="1"/>
  <c r="AF135" i="6"/>
  <c r="AR135" i="6" s="1"/>
  <c r="AQ135" i="6" s="1"/>
  <c r="AC119" i="6"/>
  <c r="AE119" i="6" s="1"/>
  <c r="AF119" i="6"/>
  <c r="AR119" i="6" s="1"/>
  <c r="AQ119" i="6" s="1"/>
  <c r="AF109" i="6"/>
  <c r="AR109" i="6" s="1"/>
  <c r="AQ109" i="6" s="1"/>
  <c r="AC109" i="6"/>
  <c r="AE109" i="6" s="1"/>
  <c r="AC133" i="6"/>
  <c r="AE133" i="6" s="1"/>
  <c r="AF133" i="6"/>
  <c r="AR133" i="6" s="1"/>
  <c r="AQ133" i="6" s="1"/>
  <c r="AC89" i="6"/>
  <c r="AE89" i="6" s="1"/>
  <c r="AF89" i="6"/>
  <c r="AR89" i="6" s="1"/>
  <c r="AQ89" i="6" s="1"/>
  <c r="AF90" i="6"/>
  <c r="AR90" i="6" s="1"/>
  <c r="AQ90" i="6" s="1"/>
  <c r="AC90" i="6"/>
  <c r="AE90" i="6" s="1"/>
  <c r="AF140" i="6"/>
  <c r="AR140" i="6" s="1"/>
  <c r="AQ140" i="6" s="1"/>
  <c r="AC140" i="6"/>
  <c r="AE140" i="6" s="1"/>
  <c r="AC129" i="6"/>
  <c r="AE129" i="6" s="1"/>
  <c r="AF129" i="6"/>
  <c r="AR129" i="6" s="1"/>
  <c r="AQ129" i="6" s="1"/>
  <c r="AC113" i="6"/>
  <c r="AE113" i="6" s="1"/>
  <c r="AF113" i="6"/>
  <c r="AR113" i="6" s="1"/>
  <c r="AQ113" i="6" s="1"/>
  <c r="AC123" i="6"/>
  <c r="AE123" i="6" s="1"/>
  <c r="AF123" i="6"/>
  <c r="AR123" i="6" s="1"/>
  <c r="AQ123" i="6" s="1"/>
  <c r="AC141" i="6"/>
  <c r="AE141" i="6" s="1"/>
  <c r="AF141" i="6"/>
  <c r="AR141" i="6" s="1"/>
  <c r="AQ141" i="6" s="1"/>
  <c r="AF86" i="6"/>
  <c r="AR86" i="6" s="1"/>
  <c r="AQ86" i="6" s="1"/>
  <c r="AC86" i="6"/>
  <c r="AE86" i="6" s="1"/>
  <c r="AF66" i="6"/>
  <c r="AR66" i="6" s="1"/>
  <c r="AQ66" i="6" s="1"/>
  <c r="AC66" i="6"/>
  <c r="AE66" i="6" s="1"/>
  <c r="AC55" i="6"/>
  <c r="AE55" i="6" s="1"/>
  <c r="AF55" i="6"/>
  <c r="AR55" i="6" s="1"/>
  <c r="AQ55" i="6" s="1"/>
  <c r="AD82" i="6"/>
  <c r="AF37" i="6"/>
  <c r="AR37" i="6" s="1"/>
  <c r="AQ37" i="6" s="1"/>
  <c r="AC37" i="6"/>
  <c r="AE37" i="6" s="1"/>
  <c r="AF33" i="6"/>
  <c r="AR33" i="6" s="1"/>
  <c r="AQ33" i="6" s="1"/>
  <c r="AC33" i="6"/>
  <c r="AE33" i="6" s="1"/>
  <c r="AF138" i="6"/>
  <c r="AR138" i="6" s="1"/>
  <c r="AQ138" i="6" s="1"/>
  <c r="AC104" i="6"/>
  <c r="AE104" i="6" s="1"/>
  <c r="AF104" i="6"/>
  <c r="AR104" i="6" s="1"/>
  <c r="AQ104" i="6" s="1"/>
  <c r="AC127" i="6"/>
  <c r="AE127" i="6" s="1"/>
  <c r="AF127" i="6"/>
  <c r="AR127" i="6" s="1"/>
  <c r="AQ127" i="6" s="1"/>
  <c r="AC99" i="6"/>
  <c r="AE99" i="6" s="1"/>
  <c r="AF99" i="6"/>
  <c r="AR99" i="6" s="1"/>
  <c r="AQ99" i="6" s="1"/>
  <c r="AC77" i="6"/>
  <c r="AE77" i="6" s="1"/>
  <c r="AF77" i="6"/>
  <c r="AR77" i="6" s="1"/>
  <c r="AQ77" i="6" s="1"/>
  <c r="U144" i="6"/>
  <c r="AC64" i="6"/>
  <c r="AE64" i="6" s="1"/>
  <c r="AF64" i="6"/>
  <c r="AR64" i="6" s="1"/>
  <c r="AQ64" i="6" s="1"/>
  <c r="X144" i="6"/>
  <c r="AF74" i="6"/>
  <c r="AR74" i="6" s="1"/>
  <c r="AQ74" i="6" s="1"/>
  <c r="AC74" i="6"/>
  <c r="AE74" i="6" s="1"/>
  <c r="K144" i="6"/>
  <c r="AC114" i="6"/>
  <c r="AE114" i="6" s="1"/>
  <c r="AF95" i="6"/>
  <c r="AR95" i="6" s="1"/>
  <c r="AQ95" i="6" s="1"/>
  <c r="AC95" i="6"/>
  <c r="AE95" i="6" s="1"/>
  <c r="AC111" i="6"/>
  <c r="AE111" i="6" s="1"/>
  <c r="AF111" i="6"/>
  <c r="AR111" i="6" s="1"/>
  <c r="AQ111" i="6" s="1"/>
  <c r="AC125" i="6"/>
  <c r="AE125" i="6" s="1"/>
  <c r="AF125" i="6"/>
  <c r="AR125" i="6" s="1"/>
  <c r="AQ125" i="6" s="1"/>
  <c r="AC128" i="6"/>
  <c r="AE128" i="6" s="1"/>
  <c r="AF120" i="6"/>
  <c r="AR120" i="6" s="1"/>
  <c r="AQ120" i="6" s="1"/>
  <c r="AC137" i="6"/>
  <c r="AE137" i="6" s="1"/>
  <c r="AF137" i="6"/>
  <c r="AR137" i="6" s="1"/>
  <c r="AQ137" i="6" s="1"/>
  <c r="AC121" i="6"/>
  <c r="AE121" i="6" s="1"/>
  <c r="AF121" i="6"/>
  <c r="AR121" i="6" s="1"/>
  <c r="AQ121" i="6" s="1"/>
  <c r="AF103" i="6"/>
  <c r="AR103" i="6" s="1"/>
  <c r="AQ103" i="6" s="1"/>
  <c r="AC103" i="6"/>
  <c r="AE103" i="6" s="1"/>
  <c r="AC131" i="6"/>
  <c r="AE131" i="6" s="1"/>
  <c r="AF131" i="6"/>
  <c r="AR131" i="6" s="1"/>
  <c r="AQ131" i="6" s="1"/>
  <c r="AC115" i="6"/>
  <c r="AE115" i="6" s="1"/>
  <c r="AF115" i="6"/>
  <c r="AR115" i="6" s="1"/>
  <c r="AQ115" i="6" s="1"/>
  <c r="AC76" i="6"/>
  <c r="AE76" i="6" s="1"/>
  <c r="AF76" i="6"/>
  <c r="AR76" i="6" s="1"/>
  <c r="AQ76" i="6" s="1"/>
  <c r="AC72" i="6"/>
  <c r="AE72" i="6" s="1"/>
  <c r="AF72" i="6"/>
  <c r="AR72" i="6" s="1"/>
  <c r="AQ72" i="6" s="1"/>
  <c r="AF54" i="6"/>
  <c r="AR54" i="6" s="1"/>
  <c r="AQ54" i="6" s="1"/>
  <c r="AC54" i="6"/>
  <c r="AE54" i="6" s="1"/>
  <c r="AC117" i="6"/>
  <c r="AE117" i="6" s="1"/>
  <c r="AF117" i="6"/>
  <c r="AR117" i="6" s="1"/>
  <c r="AQ117" i="6" s="1"/>
  <c r="AD78" i="6"/>
  <c r="AJ144" i="6"/>
  <c r="B3" i="8" s="1"/>
  <c r="D3" i="8" s="1"/>
  <c r="E3" i="8" s="1"/>
  <c r="D29" i="6"/>
  <c r="D25" i="6"/>
  <c r="D21" i="6"/>
  <c r="D17" i="6"/>
  <c r="D13" i="6"/>
  <c r="E151" i="5"/>
  <c r="E150" i="5"/>
  <c r="E149" i="5"/>
  <c r="H142" i="5"/>
  <c r="H9" i="5"/>
  <c r="H144" i="5" s="1"/>
  <c r="D2" i="5"/>
  <c r="AF96" i="6" l="1"/>
  <c r="AR96" i="6" s="1"/>
  <c r="AQ96" i="6" s="1"/>
  <c r="AF126" i="6"/>
  <c r="AR126" i="6" s="1"/>
  <c r="AQ126" i="6" s="1"/>
  <c r="AF124" i="6"/>
  <c r="AR124" i="6" s="1"/>
  <c r="AQ124" i="6" s="1"/>
  <c r="AF97" i="6"/>
  <c r="AR97" i="6" s="1"/>
  <c r="AQ97" i="6" s="1"/>
  <c r="AF42" i="6"/>
  <c r="AR42" i="6" s="1"/>
  <c r="AQ42" i="6" s="1"/>
  <c r="AF35" i="6"/>
  <c r="AR35" i="6" s="1"/>
  <c r="AQ35" i="6" s="1"/>
  <c r="AF122" i="6"/>
  <c r="AR122" i="6" s="1"/>
  <c r="AQ122" i="6" s="1"/>
  <c r="AF81" i="6"/>
  <c r="AR81" i="6" s="1"/>
  <c r="AQ81" i="6" s="1"/>
  <c r="AC34" i="6"/>
  <c r="AE34" i="6" s="1"/>
  <c r="AC67" i="6"/>
  <c r="AE67" i="6" s="1"/>
  <c r="AF134" i="6"/>
  <c r="AR134" i="6" s="1"/>
  <c r="AQ134" i="6" s="1"/>
  <c r="AF71" i="6"/>
  <c r="AR71" i="6" s="1"/>
  <c r="AQ71" i="6" s="1"/>
  <c r="AF46" i="6"/>
  <c r="AR46" i="6" s="1"/>
  <c r="AQ46" i="6" s="1"/>
  <c r="AF63" i="6"/>
  <c r="AR63" i="6" s="1"/>
  <c r="AQ63" i="6" s="1"/>
  <c r="AC79" i="6"/>
  <c r="AE79" i="6" s="1"/>
  <c r="AF60" i="6"/>
  <c r="AR60" i="6" s="1"/>
  <c r="AQ60" i="6" s="1"/>
  <c r="AC38" i="6"/>
  <c r="AE38" i="6" s="1"/>
  <c r="AC136" i="6"/>
  <c r="AE136" i="6" s="1"/>
  <c r="AC53" i="6"/>
  <c r="AE53" i="6" s="1"/>
  <c r="AC100" i="6"/>
  <c r="AE100" i="6" s="1"/>
  <c r="AF56" i="6"/>
  <c r="AR56" i="6" s="1"/>
  <c r="AQ56" i="6" s="1"/>
  <c r="AF36" i="6"/>
  <c r="AR36" i="6" s="1"/>
  <c r="AQ36" i="6" s="1"/>
  <c r="AC107" i="6"/>
  <c r="AE107" i="6" s="1"/>
  <c r="AF57" i="6"/>
  <c r="AR57" i="6" s="1"/>
  <c r="AQ57" i="6" s="1"/>
  <c r="AF50" i="6"/>
  <c r="AR50" i="6" s="1"/>
  <c r="AQ50" i="6" s="1"/>
  <c r="AC132" i="6"/>
  <c r="AE132" i="6" s="1"/>
  <c r="AF130" i="6"/>
  <c r="AR130" i="6" s="1"/>
  <c r="AQ130" i="6" s="1"/>
  <c r="AF108" i="6"/>
  <c r="AR108" i="6" s="1"/>
  <c r="AQ108" i="6" s="1"/>
  <c r="AC112" i="6"/>
  <c r="AE112" i="6" s="1"/>
  <c r="AC93" i="6"/>
  <c r="AE93" i="6" s="1"/>
  <c r="AF84" i="6"/>
  <c r="AR84" i="6" s="1"/>
  <c r="AQ84" i="6" s="1"/>
  <c r="AC116" i="6"/>
  <c r="AE116" i="6" s="1"/>
  <c r="AC118" i="6"/>
  <c r="AE118" i="6" s="1"/>
  <c r="AF59" i="6"/>
  <c r="AR59" i="6" s="1"/>
  <c r="AQ59" i="6" s="1"/>
  <c r="AF39" i="6"/>
  <c r="AR39" i="6" s="1"/>
  <c r="AQ39" i="6" s="1"/>
  <c r="AF47" i="6"/>
  <c r="AR47" i="6" s="1"/>
  <c r="AQ47" i="6" s="1"/>
  <c r="AC102" i="6"/>
  <c r="AE102" i="6" s="1"/>
  <c r="AC80" i="6"/>
  <c r="AE80" i="6" s="1"/>
  <c r="AC98" i="6"/>
  <c r="AE98" i="6" s="1"/>
  <c r="AF48" i="6"/>
  <c r="AR48" i="6" s="1"/>
  <c r="AQ48" i="6" s="1"/>
  <c r="AC48" i="6"/>
  <c r="AE48" i="6" s="1"/>
  <c r="AF70" i="6"/>
  <c r="AR70" i="6" s="1"/>
  <c r="AQ70" i="6" s="1"/>
  <c r="AF32" i="6"/>
  <c r="AR32" i="6" s="1"/>
  <c r="AQ32" i="6" s="1"/>
  <c r="AC32" i="6"/>
  <c r="AE32" i="6" s="1"/>
  <c r="AC51" i="6"/>
  <c r="AE51" i="6" s="1"/>
  <c r="AF101" i="6"/>
  <c r="AR101" i="6" s="1"/>
  <c r="AQ101" i="6" s="1"/>
  <c r="AF40" i="6"/>
  <c r="AR40" i="6" s="1"/>
  <c r="AQ40" i="6" s="1"/>
  <c r="AC40" i="6"/>
  <c r="AE40" i="6" s="1"/>
  <c r="AF94" i="6"/>
  <c r="AR94" i="6" s="1"/>
  <c r="AQ94" i="6" s="1"/>
  <c r="AC94" i="6"/>
  <c r="AE94" i="6" s="1"/>
  <c r="AF78" i="6"/>
  <c r="AR78" i="6" s="1"/>
  <c r="AQ78" i="6" s="1"/>
  <c r="AC78" i="6"/>
  <c r="AE78" i="6" s="1"/>
  <c r="AF82" i="6"/>
  <c r="AR82" i="6" s="1"/>
  <c r="AQ82" i="6" s="1"/>
  <c r="AC82" i="6"/>
  <c r="AE82" i="6" s="1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C5" i="4"/>
  <c r="AE5" i="4" s="1"/>
  <c r="AC6" i="4"/>
  <c r="AE6" i="4" s="1"/>
  <c r="AC7" i="4"/>
  <c r="AE7" i="4" s="1"/>
  <c r="AC8" i="4"/>
  <c r="AE8" i="4" s="1"/>
  <c r="AC9" i="4"/>
  <c r="AE9" i="4" s="1"/>
  <c r="AC10" i="4"/>
  <c r="AE10" i="4" s="1"/>
  <c r="AC11" i="4"/>
  <c r="AE11" i="4" s="1"/>
  <c r="AC12" i="4"/>
  <c r="AE12" i="4" s="1"/>
  <c r="AC13" i="4"/>
  <c r="AE13" i="4" s="1"/>
  <c r="AC14" i="4"/>
  <c r="AE14" i="4" s="1"/>
  <c r="AC15" i="4"/>
  <c r="AE15" i="4" s="1"/>
  <c r="AC16" i="4"/>
  <c r="AE16" i="4" s="1"/>
  <c r="AC17" i="4"/>
  <c r="AE17" i="4" s="1"/>
  <c r="AC18" i="4"/>
  <c r="AE18" i="4" s="1"/>
  <c r="AC19" i="4"/>
  <c r="AE19" i="4" s="1"/>
  <c r="AC20" i="4"/>
  <c r="AE20" i="4" s="1"/>
  <c r="AC21" i="4"/>
  <c r="AE21" i="4" s="1"/>
  <c r="AC22" i="4"/>
  <c r="AE22" i="4" s="1"/>
  <c r="AC23" i="4"/>
  <c r="AE23" i="4" s="1"/>
  <c r="AC24" i="4"/>
  <c r="AE24" i="4" s="1"/>
  <c r="AC25" i="4"/>
  <c r="AE25" i="4" s="1"/>
  <c r="AC26" i="4"/>
  <c r="AE26" i="4" s="1"/>
  <c r="AC27" i="4"/>
  <c r="AE27" i="4" s="1"/>
  <c r="AC28" i="4"/>
  <c r="AE28" i="4" s="1"/>
  <c r="AC29" i="4"/>
  <c r="AE29" i="4" s="1"/>
  <c r="AC30" i="4"/>
  <c r="AE30" i="4" s="1"/>
  <c r="AC31" i="4"/>
  <c r="AE31" i="4" s="1"/>
  <c r="AC32" i="4"/>
  <c r="AE32" i="4" s="1"/>
  <c r="AC33" i="4"/>
  <c r="AE33" i="4" s="1"/>
  <c r="AC34" i="4"/>
  <c r="AE34" i="4" s="1"/>
  <c r="AC35" i="4"/>
  <c r="AE35" i="4" s="1"/>
  <c r="AC36" i="4"/>
  <c r="AE36" i="4" s="1"/>
  <c r="AC37" i="4"/>
  <c r="AE37" i="4" s="1"/>
  <c r="AC38" i="4"/>
  <c r="AE38" i="4" s="1"/>
  <c r="AC39" i="4"/>
  <c r="AE39" i="4" s="1"/>
  <c r="AC40" i="4"/>
  <c r="AE40" i="4" s="1"/>
  <c r="AC41" i="4"/>
  <c r="AE41" i="4" s="1"/>
  <c r="AC42" i="4"/>
  <c r="AE42" i="4" s="1"/>
  <c r="AC43" i="4"/>
  <c r="AE43" i="4" s="1"/>
  <c r="AC44" i="4"/>
  <c r="AE44" i="4" s="1"/>
  <c r="AC45" i="4"/>
  <c r="AE45" i="4" s="1"/>
  <c r="AC46" i="4"/>
  <c r="AE46" i="4" s="1"/>
  <c r="AC47" i="4"/>
  <c r="AE47" i="4" s="1"/>
  <c r="AC48" i="4"/>
  <c r="AE48" i="4" s="1"/>
  <c r="AC49" i="4"/>
  <c r="AE49" i="4" s="1"/>
  <c r="AC50" i="4"/>
  <c r="AE50" i="4" s="1"/>
  <c r="AC51" i="4"/>
  <c r="AE51" i="4" s="1"/>
  <c r="AC52" i="4"/>
  <c r="AE52" i="4" s="1"/>
  <c r="AC53" i="4"/>
  <c r="AE53" i="4" s="1"/>
  <c r="AC54" i="4"/>
  <c r="AE54" i="4" s="1"/>
  <c r="AC55" i="4"/>
  <c r="AE55" i="4" s="1"/>
  <c r="AC56" i="4"/>
  <c r="AE56" i="4" s="1"/>
  <c r="AC57" i="4"/>
  <c r="AE57" i="4" s="1"/>
  <c r="AC58" i="4"/>
  <c r="AE58" i="4" s="1"/>
  <c r="AC59" i="4"/>
  <c r="AE59" i="4" s="1"/>
  <c r="AC60" i="4"/>
  <c r="AE60" i="4" s="1"/>
  <c r="AC61" i="4"/>
  <c r="AE61" i="4" s="1"/>
  <c r="AC62" i="4"/>
  <c r="AE62" i="4" s="1"/>
  <c r="AC63" i="4"/>
  <c r="AE63" i="4" s="1"/>
  <c r="AC64" i="4"/>
  <c r="AE64" i="4" s="1"/>
  <c r="AC65" i="4"/>
  <c r="AE65" i="4" s="1"/>
  <c r="AC66" i="4"/>
  <c r="AE66" i="4" s="1"/>
  <c r="AC67" i="4"/>
  <c r="AE67" i="4" s="1"/>
  <c r="AC68" i="4"/>
  <c r="AE68" i="4" s="1"/>
  <c r="AC69" i="4"/>
  <c r="AE69" i="4" s="1"/>
  <c r="AC70" i="4"/>
  <c r="AE70" i="4" s="1"/>
  <c r="AC71" i="4"/>
  <c r="AE71" i="4" s="1"/>
  <c r="AC72" i="4"/>
  <c r="AE72" i="4" s="1"/>
  <c r="AC73" i="4"/>
  <c r="AE73" i="4" s="1"/>
  <c r="AC74" i="4"/>
  <c r="AE74" i="4" s="1"/>
  <c r="AC75" i="4"/>
  <c r="AE75" i="4" s="1"/>
  <c r="AC76" i="4"/>
  <c r="AE76" i="4" s="1"/>
  <c r="AC77" i="4"/>
  <c r="AE77" i="4" s="1"/>
  <c r="AC78" i="4"/>
  <c r="AE78" i="4" s="1"/>
  <c r="AC79" i="4"/>
  <c r="AE79" i="4" s="1"/>
  <c r="AC80" i="4"/>
  <c r="AE80" i="4" s="1"/>
  <c r="AC81" i="4"/>
  <c r="AE81" i="4" s="1"/>
  <c r="AC82" i="4"/>
  <c r="AE82" i="4" s="1"/>
  <c r="AC83" i="4"/>
  <c r="AE83" i="4" s="1"/>
  <c r="AC84" i="4"/>
  <c r="AE84" i="4" s="1"/>
  <c r="AC85" i="4"/>
  <c r="AE85" i="4" s="1"/>
  <c r="AC86" i="4"/>
  <c r="AE86" i="4" s="1"/>
  <c r="AC87" i="4"/>
  <c r="AE87" i="4" s="1"/>
  <c r="AC88" i="4"/>
  <c r="AE88" i="4" s="1"/>
  <c r="AC89" i="4"/>
  <c r="AE89" i="4" s="1"/>
  <c r="AC90" i="4"/>
  <c r="AE90" i="4" s="1"/>
  <c r="AC91" i="4"/>
  <c r="AE91" i="4" s="1"/>
  <c r="AC92" i="4"/>
  <c r="AE92" i="4" s="1"/>
  <c r="AC93" i="4"/>
  <c r="AE93" i="4" s="1"/>
  <c r="AC94" i="4"/>
  <c r="AE94" i="4" s="1"/>
  <c r="AC95" i="4"/>
  <c r="AE95" i="4" s="1"/>
  <c r="AC96" i="4"/>
  <c r="AE96" i="4" s="1"/>
  <c r="AC97" i="4"/>
  <c r="AE97" i="4" s="1"/>
  <c r="AC98" i="4"/>
  <c r="AE98" i="4" s="1"/>
  <c r="AC99" i="4"/>
  <c r="AE99" i="4" s="1"/>
  <c r="AC100" i="4"/>
  <c r="AE100" i="4" s="1"/>
  <c r="AC101" i="4"/>
  <c r="AE101" i="4" s="1"/>
  <c r="AC102" i="4"/>
  <c r="AE102" i="4" s="1"/>
  <c r="AC103" i="4"/>
  <c r="AE103" i="4" s="1"/>
  <c r="AC104" i="4"/>
  <c r="AE104" i="4" s="1"/>
  <c r="AC105" i="4"/>
  <c r="AE105" i="4" s="1"/>
  <c r="AC106" i="4"/>
  <c r="AE106" i="4" s="1"/>
  <c r="AC107" i="4"/>
  <c r="AE107" i="4" s="1"/>
  <c r="AC108" i="4"/>
  <c r="AE108" i="4" s="1"/>
  <c r="AC109" i="4"/>
  <c r="AE109" i="4" s="1"/>
  <c r="AC110" i="4"/>
  <c r="AE110" i="4" s="1"/>
  <c r="AC111" i="4"/>
  <c r="AE111" i="4" s="1"/>
  <c r="AC112" i="4"/>
  <c r="AE112" i="4" s="1"/>
  <c r="AC113" i="4"/>
  <c r="AE113" i="4" s="1"/>
  <c r="AC114" i="4"/>
  <c r="AE114" i="4" s="1"/>
  <c r="AC115" i="4"/>
  <c r="AE115" i="4" s="1"/>
  <c r="AC116" i="4"/>
  <c r="AE116" i="4" s="1"/>
  <c r="AC117" i="4"/>
  <c r="AE117" i="4" s="1"/>
  <c r="AC118" i="4"/>
  <c r="AE118" i="4" s="1"/>
  <c r="AC119" i="4"/>
  <c r="AE119" i="4" s="1"/>
  <c r="AC120" i="4"/>
  <c r="AE120" i="4" s="1"/>
  <c r="AC121" i="4"/>
  <c r="AE121" i="4" s="1"/>
  <c r="AC122" i="4"/>
  <c r="AE122" i="4" s="1"/>
  <c r="AC123" i="4"/>
  <c r="AE123" i="4" s="1"/>
  <c r="AC124" i="4"/>
  <c r="AE124" i="4" s="1"/>
  <c r="AC125" i="4"/>
  <c r="AE125" i="4" s="1"/>
  <c r="AC126" i="4"/>
  <c r="AE126" i="4" s="1"/>
  <c r="AC127" i="4"/>
  <c r="AE127" i="4" s="1"/>
  <c r="AC128" i="4"/>
  <c r="AE128" i="4" s="1"/>
  <c r="AC129" i="4"/>
  <c r="AE129" i="4" s="1"/>
  <c r="AC130" i="4"/>
  <c r="AE130" i="4" s="1"/>
  <c r="AC131" i="4"/>
  <c r="AE131" i="4" s="1"/>
  <c r="AC132" i="4"/>
  <c r="AE132" i="4" s="1"/>
  <c r="AC133" i="4"/>
  <c r="AE133" i="4" s="1"/>
  <c r="AC134" i="4"/>
  <c r="AE134" i="4" s="1"/>
  <c r="AC135" i="4"/>
  <c r="AE135" i="4" s="1"/>
  <c r="AC136" i="4"/>
  <c r="AE136" i="4" s="1"/>
  <c r="AC137" i="4"/>
  <c r="AE137" i="4" s="1"/>
  <c r="AC138" i="4"/>
  <c r="AE138" i="4" s="1"/>
  <c r="AC139" i="4"/>
  <c r="AE139" i="4" s="1"/>
  <c r="AY138" i="4" l="1"/>
  <c r="BG138" i="4"/>
  <c r="AZ138" i="4"/>
  <c r="AT138" i="4"/>
  <c r="AU138" i="4"/>
  <c r="BE138" i="4"/>
  <c r="AV138" i="4"/>
  <c r="BF138" i="4"/>
  <c r="AW138" i="4"/>
  <c r="AX138" i="4"/>
  <c r="BA138" i="4"/>
  <c r="BB138" i="4"/>
  <c r="BC138" i="4"/>
  <c r="BD138" i="4"/>
  <c r="AY130" i="4"/>
  <c r="BG130" i="4"/>
  <c r="AZ130" i="4"/>
  <c r="AX130" i="4"/>
  <c r="BA130" i="4"/>
  <c r="BB130" i="4"/>
  <c r="BC130" i="4"/>
  <c r="BD130" i="4"/>
  <c r="AT130" i="4"/>
  <c r="AU130" i="4"/>
  <c r="BE130" i="4"/>
  <c r="AV130" i="4"/>
  <c r="BF130" i="4"/>
  <c r="AW130" i="4"/>
  <c r="AY122" i="4"/>
  <c r="BG122" i="4"/>
  <c r="AZ122" i="4"/>
  <c r="BD122" i="4"/>
  <c r="AU122" i="4"/>
  <c r="BE122" i="4"/>
  <c r="AV122" i="4"/>
  <c r="BF122" i="4"/>
  <c r="AW122" i="4"/>
  <c r="AX122" i="4"/>
  <c r="BA122" i="4"/>
  <c r="BB122" i="4"/>
  <c r="BC122" i="4"/>
  <c r="AT122" i="4"/>
  <c r="BA114" i="4"/>
  <c r="AV114" i="4"/>
  <c r="BD114" i="4"/>
  <c r="AY114" i="4"/>
  <c r="BG114" i="4"/>
  <c r="AZ114" i="4"/>
  <c r="BC114" i="4"/>
  <c r="BE114" i="4"/>
  <c r="BF114" i="4"/>
  <c r="AT114" i="4"/>
  <c r="AU114" i="4"/>
  <c r="AW114" i="4"/>
  <c r="AX114" i="4"/>
  <c r="BB114" i="4"/>
  <c r="BA106" i="4"/>
  <c r="AV106" i="4"/>
  <c r="BD106" i="4"/>
  <c r="AY106" i="4"/>
  <c r="BG106" i="4"/>
  <c r="AZ106" i="4"/>
  <c r="BB106" i="4"/>
  <c r="BC106" i="4"/>
  <c r="BE106" i="4"/>
  <c r="BF106" i="4"/>
  <c r="AT106" i="4"/>
  <c r="AU106" i="4"/>
  <c r="AW106" i="4"/>
  <c r="AX106" i="4"/>
  <c r="BA98" i="4"/>
  <c r="AT98" i="4"/>
  <c r="BB98" i="4"/>
  <c r="AU98" i="4"/>
  <c r="BC98" i="4"/>
  <c r="AV98" i="4"/>
  <c r="BD98" i="4"/>
  <c r="AW98" i="4"/>
  <c r="BE98" i="4"/>
  <c r="AX98" i="4"/>
  <c r="BF98" i="4"/>
  <c r="AY98" i="4"/>
  <c r="BG98" i="4"/>
  <c r="AZ98" i="4"/>
  <c r="AU90" i="4"/>
  <c r="BC90" i="4"/>
  <c r="AV90" i="4"/>
  <c r="BD90" i="4"/>
  <c r="BB90" i="4"/>
  <c r="BE90" i="4"/>
  <c r="AT90" i="4"/>
  <c r="BF90" i="4"/>
  <c r="AW90" i="4"/>
  <c r="BG90" i="4"/>
  <c r="AX90" i="4"/>
  <c r="AY90" i="4"/>
  <c r="AZ90" i="4"/>
  <c r="BA90" i="4"/>
  <c r="AU82" i="4"/>
  <c r="BC82" i="4"/>
  <c r="AV82" i="4"/>
  <c r="BD82" i="4"/>
  <c r="AX82" i="4"/>
  <c r="AY82" i="4"/>
  <c r="AZ82" i="4"/>
  <c r="BA82" i="4"/>
  <c r="BB82" i="4"/>
  <c r="BE82" i="4"/>
  <c r="AT82" i="4"/>
  <c r="BF82" i="4"/>
  <c r="AW82" i="4"/>
  <c r="BG82" i="4"/>
  <c r="AU74" i="4"/>
  <c r="BC74" i="4"/>
  <c r="AV74" i="4"/>
  <c r="BD74" i="4"/>
  <c r="BB74" i="4"/>
  <c r="BE74" i="4"/>
  <c r="AT74" i="4"/>
  <c r="BF74" i="4"/>
  <c r="AW74" i="4"/>
  <c r="BG74" i="4"/>
  <c r="AX74" i="4"/>
  <c r="AY74" i="4"/>
  <c r="AZ74" i="4"/>
  <c r="BA74" i="4"/>
  <c r="AW66" i="4"/>
  <c r="AX66" i="4"/>
  <c r="BF66" i="4"/>
  <c r="AZ66" i="4"/>
  <c r="BA66" i="4"/>
  <c r="AU66" i="4"/>
  <c r="BC66" i="4"/>
  <c r="AV66" i="4"/>
  <c r="BD66" i="4"/>
  <c r="AT66" i="4"/>
  <c r="AY66" i="4"/>
  <c r="BB66" i="4"/>
  <c r="BE66" i="4"/>
  <c r="BG66" i="4"/>
  <c r="AW58" i="4"/>
  <c r="BE58" i="4"/>
  <c r="AX58" i="4"/>
  <c r="BF58" i="4"/>
  <c r="AZ58" i="4"/>
  <c r="BA58" i="4"/>
  <c r="AU58" i="4"/>
  <c r="BC58" i="4"/>
  <c r="AV58" i="4"/>
  <c r="BD58" i="4"/>
  <c r="AY58" i="4"/>
  <c r="BB58" i="4"/>
  <c r="BG58" i="4"/>
  <c r="AT58" i="4"/>
  <c r="AZ50" i="4"/>
  <c r="AU50" i="4"/>
  <c r="BC50" i="4"/>
  <c r="AV50" i="4"/>
  <c r="BD50" i="4"/>
  <c r="AW50" i="4"/>
  <c r="BE50" i="4"/>
  <c r="AX50" i="4"/>
  <c r="BF50" i="4"/>
  <c r="BG50" i="4"/>
  <c r="AT50" i="4"/>
  <c r="BA50" i="4"/>
  <c r="BB50" i="4"/>
  <c r="AY50" i="4"/>
  <c r="AZ42" i="4"/>
  <c r="AU42" i="4"/>
  <c r="BC42" i="4"/>
  <c r="AV42" i="4"/>
  <c r="BD42" i="4"/>
  <c r="AW42" i="4"/>
  <c r="BE42" i="4"/>
  <c r="AX42" i="4"/>
  <c r="BF42" i="4"/>
  <c r="AY42" i="4"/>
  <c r="BG42" i="4"/>
  <c r="AT42" i="4"/>
  <c r="BA42" i="4"/>
  <c r="BB42" i="4"/>
  <c r="AZ34" i="4"/>
  <c r="BA34" i="4"/>
  <c r="AT34" i="4"/>
  <c r="BB34" i="4"/>
  <c r="AU34" i="4"/>
  <c r="BC34" i="4"/>
  <c r="AV34" i="4"/>
  <c r="BD34" i="4"/>
  <c r="AW34" i="4"/>
  <c r="BE34" i="4"/>
  <c r="AX34" i="4"/>
  <c r="BF34" i="4"/>
  <c r="AY34" i="4"/>
  <c r="BG34" i="4"/>
  <c r="AZ26" i="4"/>
  <c r="BA26" i="4"/>
  <c r="AT26" i="4"/>
  <c r="BB26" i="4"/>
  <c r="AU26" i="4"/>
  <c r="BC26" i="4"/>
  <c r="AV26" i="4"/>
  <c r="BD26" i="4"/>
  <c r="AW26" i="4"/>
  <c r="BE26" i="4"/>
  <c r="AX26" i="4"/>
  <c r="BF26" i="4"/>
  <c r="AY26" i="4"/>
  <c r="BG26" i="4"/>
  <c r="AZ18" i="4"/>
  <c r="BA18" i="4"/>
  <c r="AT18" i="4"/>
  <c r="BB18" i="4"/>
  <c r="AU18" i="4"/>
  <c r="BC18" i="4"/>
  <c r="AV18" i="4"/>
  <c r="BD18" i="4"/>
  <c r="AW18" i="4"/>
  <c r="BE18" i="4"/>
  <c r="AX18" i="4"/>
  <c r="BF18" i="4"/>
  <c r="AY18" i="4"/>
  <c r="BG18" i="4"/>
  <c r="AZ10" i="4"/>
  <c r="BA10" i="4"/>
  <c r="AT10" i="4"/>
  <c r="BB10" i="4"/>
  <c r="AU10" i="4"/>
  <c r="BC10" i="4"/>
  <c r="AV10" i="4"/>
  <c r="BD10" i="4"/>
  <c r="AW10" i="4"/>
  <c r="BE10" i="4"/>
  <c r="AX10" i="4"/>
  <c r="BF10" i="4"/>
  <c r="AY10" i="4"/>
  <c r="BG10" i="4"/>
  <c r="AW137" i="4"/>
  <c r="BE137" i="4"/>
  <c r="AX137" i="4"/>
  <c r="BF137" i="4"/>
  <c r="AU137" i="4"/>
  <c r="AY137" i="4"/>
  <c r="AZ137" i="4"/>
  <c r="BA137" i="4"/>
  <c r="BB137" i="4"/>
  <c r="BC137" i="4"/>
  <c r="AT137" i="4"/>
  <c r="BD137" i="4"/>
  <c r="BG137" i="4"/>
  <c r="AV137" i="4"/>
  <c r="AW129" i="4"/>
  <c r="BE129" i="4"/>
  <c r="AX129" i="4"/>
  <c r="BF129" i="4"/>
  <c r="BC129" i="4"/>
  <c r="AT129" i="4"/>
  <c r="BD129" i="4"/>
  <c r="BG129" i="4"/>
  <c r="AU129" i="4"/>
  <c r="AV129" i="4"/>
  <c r="AY129" i="4"/>
  <c r="AZ129" i="4"/>
  <c r="BA129" i="4"/>
  <c r="BB129" i="4"/>
  <c r="AW121" i="4"/>
  <c r="BE121" i="4"/>
  <c r="AX121" i="4"/>
  <c r="BF121" i="4"/>
  <c r="BG121" i="4"/>
  <c r="AV121" i="4"/>
  <c r="AY121" i="4"/>
  <c r="AZ121" i="4"/>
  <c r="BA121" i="4"/>
  <c r="BB121" i="4"/>
  <c r="BC121" i="4"/>
  <c r="AT121" i="4"/>
  <c r="BD121" i="4"/>
  <c r="AU121" i="4"/>
  <c r="AY113" i="4"/>
  <c r="BG113" i="4"/>
  <c r="AT113" i="4"/>
  <c r="BB113" i="4"/>
  <c r="AW113" i="4"/>
  <c r="BE113" i="4"/>
  <c r="AX113" i="4"/>
  <c r="BF113" i="4"/>
  <c r="AV113" i="4"/>
  <c r="AZ113" i="4"/>
  <c r="BA113" i="4"/>
  <c r="BC113" i="4"/>
  <c r="BD113" i="4"/>
  <c r="AU113" i="4"/>
  <c r="AY105" i="4"/>
  <c r="BG105" i="4"/>
  <c r="AT105" i="4"/>
  <c r="BB105" i="4"/>
  <c r="AW105" i="4"/>
  <c r="BE105" i="4"/>
  <c r="AX105" i="4"/>
  <c r="BF105" i="4"/>
  <c r="AZ105" i="4"/>
  <c r="BA105" i="4"/>
  <c r="BC105" i="4"/>
  <c r="BD105" i="4"/>
  <c r="AU105" i="4"/>
  <c r="AV105" i="4"/>
  <c r="AY97" i="4"/>
  <c r="BG97" i="4"/>
  <c r="AZ97" i="4"/>
  <c r="BA97" i="4"/>
  <c r="AT97" i="4"/>
  <c r="BB97" i="4"/>
  <c r="AU97" i="4"/>
  <c r="BC97" i="4"/>
  <c r="AV97" i="4"/>
  <c r="BD97" i="4"/>
  <c r="AW97" i="4"/>
  <c r="BE97" i="4"/>
  <c r="AX97" i="4"/>
  <c r="BF97" i="4"/>
  <c r="BA89" i="4"/>
  <c r="AT89" i="4"/>
  <c r="BB89" i="4"/>
  <c r="AV89" i="4"/>
  <c r="BF89" i="4"/>
  <c r="AW89" i="4"/>
  <c r="BG89" i="4"/>
  <c r="AX89" i="4"/>
  <c r="AY89" i="4"/>
  <c r="AZ89" i="4"/>
  <c r="BC89" i="4"/>
  <c r="BD89" i="4"/>
  <c r="AU89" i="4"/>
  <c r="BE89" i="4"/>
  <c r="BA81" i="4"/>
  <c r="AT81" i="4"/>
  <c r="BB81" i="4"/>
  <c r="AZ81" i="4"/>
  <c r="BC81" i="4"/>
  <c r="BD81" i="4"/>
  <c r="AU81" i="4"/>
  <c r="BE81" i="4"/>
  <c r="AV81" i="4"/>
  <c r="BF81" i="4"/>
  <c r="AW81" i="4"/>
  <c r="BG81" i="4"/>
  <c r="AX81" i="4"/>
  <c r="AY81" i="4"/>
  <c r="BA73" i="4"/>
  <c r="AT73" i="4"/>
  <c r="BB73" i="4"/>
  <c r="AV73" i="4"/>
  <c r="BF73" i="4"/>
  <c r="AW73" i="4"/>
  <c r="BG73" i="4"/>
  <c r="AX73" i="4"/>
  <c r="AY73" i="4"/>
  <c r="AZ73" i="4"/>
  <c r="BC73" i="4"/>
  <c r="BD73" i="4"/>
  <c r="AU73" i="4"/>
  <c r="BE73" i="4"/>
  <c r="AU65" i="4"/>
  <c r="BC65" i="4"/>
  <c r="AV65" i="4"/>
  <c r="BD65" i="4"/>
  <c r="AX65" i="4"/>
  <c r="BF65" i="4"/>
  <c r="AY65" i="4"/>
  <c r="BG65" i="4"/>
  <c r="BA65" i="4"/>
  <c r="AT65" i="4"/>
  <c r="BB65" i="4"/>
  <c r="AW65" i="4"/>
  <c r="AZ65" i="4"/>
  <c r="BE65" i="4"/>
  <c r="AU57" i="4"/>
  <c r="BC57" i="4"/>
  <c r="AV57" i="4"/>
  <c r="BD57" i="4"/>
  <c r="AX57" i="4"/>
  <c r="BF57" i="4"/>
  <c r="AY57" i="4"/>
  <c r="BG57" i="4"/>
  <c r="BA57" i="4"/>
  <c r="AT57" i="4"/>
  <c r="BB57" i="4"/>
  <c r="AW57" i="4"/>
  <c r="AZ57" i="4"/>
  <c r="BE57" i="4"/>
  <c r="AX49" i="4"/>
  <c r="BF49" i="4"/>
  <c r="BA49" i="4"/>
  <c r="AT49" i="4"/>
  <c r="BB49" i="4"/>
  <c r="AU49" i="4"/>
  <c r="BC49" i="4"/>
  <c r="AV49" i="4"/>
  <c r="BD49" i="4"/>
  <c r="AW49" i="4"/>
  <c r="BE49" i="4"/>
  <c r="AY49" i="4"/>
  <c r="BG49" i="4"/>
  <c r="AZ49" i="4"/>
  <c r="AX41" i="4"/>
  <c r="BF41" i="4"/>
  <c r="BA41" i="4"/>
  <c r="AT41" i="4"/>
  <c r="BB41" i="4"/>
  <c r="AU41" i="4"/>
  <c r="BC41" i="4"/>
  <c r="AV41" i="4"/>
  <c r="BD41" i="4"/>
  <c r="AW41" i="4"/>
  <c r="BE41" i="4"/>
  <c r="AZ41" i="4"/>
  <c r="BG41" i="4"/>
  <c r="AY41" i="4"/>
  <c r="AX33" i="4"/>
  <c r="BF33" i="4"/>
  <c r="AY33" i="4"/>
  <c r="BG33" i="4"/>
  <c r="AZ33" i="4"/>
  <c r="BA33" i="4"/>
  <c r="AT33" i="4"/>
  <c r="BB33" i="4"/>
  <c r="AU33" i="4"/>
  <c r="BC33" i="4"/>
  <c r="AV33" i="4"/>
  <c r="BD33" i="4"/>
  <c r="AW33" i="4"/>
  <c r="BE33" i="4"/>
  <c r="AX25" i="4"/>
  <c r="BF25" i="4"/>
  <c r="AY25" i="4"/>
  <c r="BG25" i="4"/>
  <c r="AZ25" i="4"/>
  <c r="BA25" i="4"/>
  <c r="AT25" i="4"/>
  <c r="BB25" i="4"/>
  <c r="AU25" i="4"/>
  <c r="BC25" i="4"/>
  <c r="AV25" i="4"/>
  <c r="BD25" i="4"/>
  <c r="AW25" i="4"/>
  <c r="BE25" i="4"/>
  <c r="AX17" i="4"/>
  <c r="BF17" i="4"/>
  <c r="AY17" i="4"/>
  <c r="BG17" i="4"/>
  <c r="AZ17" i="4"/>
  <c r="BA17" i="4"/>
  <c r="AT17" i="4"/>
  <c r="BB17" i="4"/>
  <c r="AU17" i="4"/>
  <c r="BC17" i="4"/>
  <c r="AV17" i="4"/>
  <c r="BD17" i="4"/>
  <c r="AW17" i="4"/>
  <c r="BE17" i="4"/>
  <c r="AX9" i="4"/>
  <c r="BF9" i="4"/>
  <c r="AY9" i="4"/>
  <c r="BG9" i="4"/>
  <c r="AZ9" i="4"/>
  <c r="BA9" i="4"/>
  <c r="AT9" i="4"/>
  <c r="BB9" i="4"/>
  <c r="AU9" i="4"/>
  <c r="BC9" i="4"/>
  <c r="AV9" i="4"/>
  <c r="BD9" i="4"/>
  <c r="AW9" i="4"/>
  <c r="BE9" i="4"/>
  <c r="AU136" i="4"/>
  <c r="BC136" i="4"/>
  <c r="AV136" i="4"/>
  <c r="BD136" i="4"/>
  <c r="AX136" i="4"/>
  <c r="AZ136" i="4"/>
  <c r="BA136" i="4"/>
  <c r="BB136" i="4"/>
  <c r="BE136" i="4"/>
  <c r="BF136" i="4"/>
  <c r="AT136" i="4"/>
  <c r="AW136" i="4"/>
  <c r="BG136" i="4"/>
  <c r="AY136" i="4"/>
  <c r="AU128" i="4"/>
  <c r="BC128" i="4"/>
  <c r="AV128" i="4"/>
  <c r="BD128" i="4"/>
  <c r="BE128" i="4"/>
  <c r="BF128" i="4"/>
  <c r="AW128" i="4"/>
  <c r="BG128" i="4"/>
  <c r="AX128" i="4"/>
  <c r="AY128" i="4"/>
  <c r="AZ128" i="4"/>
  <c r="BA128" i="4"/>
  <c r="BB128" i="4"/>
  <c r="AT128" i="4"/>
  <c r="AU120" i="4"/>
  <c r="BC120" i="4"/>
  <c r="AV120" i="4"/>
  <c r="BD120" i="4"/>
  <c r="BA120" i="4"/>
  <c r="BB120" i="4"/>
  <c r="BE120" i="4"/>
  <c r="AT120" i="4"/>
  <c r="BF120" i="4"/>
  <c r="AW120" i="4"/>
  <c r="BG120" i="4"/>
  <c r="AX120" i="4"/>
  <c r="AY120" i="4"/>
  <c r="AZ120" i="4"/>
  <c r="AW112" i="4"/>
  <c r="BE112" i="4"/>
  <c r="AZ112" i="4"/>
  <c r="AU112" i="4"/>
  <c r="BC112" i="4"/>
  <c r="AV112" i="4"/>
  <c r="BD112" i="4"/>
  <c r="AX112" i="4"/>
  <c r="AY112" i="4"/>
  <c r="BA112" i="4"/>
  <c r="BB112" i="4"/>
  <c r="BF112" i="4"/>
  <c r="BG112" i="4"/>
  <c r="AT112" i="4"/>
  <c r="AW104" i="4"/>
  <c r="BE104" i="4"/>
  <c r="AZ104" i="4"/>
  <c r="AU104" i="4"/>
  <c r="BC104" i="4"/>
  <c r="AV104" i="4"/>
  <c r="BD104" i="4"/>
  <c r="AX104" i="4"/>
  <c r="AY104" i="4"/>
  <c r="BA104" i="4"/>
  <c r="BB104" i="4"/>
  <c r="BF104" i="4"/>
  <c r="BG104" i="4"/>
  <c r="AT104" i="4"/>
  <c r="AY96" i="4"/>
  <c r="BG96" i="4"/>
  <c r="AZ96" i="4"/>
  <c r="AT96" i="4"/>
  <c r="BD96" i="4"/>
  <c r="AU96" i="4"/>
  <c r="BE96" i="4"/>
  <c r="AV96" i="4"/>
  <c r="BF96" i="4"/>
  <c r="AW96" i="4"/>
  <c r="AX96" i="4"/>
  <c r="BA96" i="4"/>
  <c r="BB96" i="4"/>
  <c r="BC96" i="4"/>
  <c r="AY88" i="4"/>
  <c r="BG88" i="4"/>
  <c r="AZ88" i="4"/>
  <c r="AX88" i="4"/>
  <c r="BA88" i="4"/>
  <c r="BB88" i="4"/>
  <c r="BC88" i="4"/>
  <c r="AT88" i="4"/>
  <c r="BD88" i="4"/>
  <c r="AU88" i="4"/>
  <c r="BE88" i="4"/>
  <c r="AV88" i="4"/>
  <c r="BF88" i="4"/>
  <c r="AW88" i="4"/>
  <c r="AY80" i="4"/>
  <c r="BG80" i="4"/>
  <c r="AZ80" i="4"/>
  <c r="AT80" i="4"/>
  <c r="BD80" i="4"/>
  <c r="AU80" i="4"/>
  <c r="BE80" i="4"/>
  <c r="AV80" i="4"/>
  <c r="BF80" i="4"/>
  <c r="AW80" i="4"/>
  <c r="AX80" i="4"/>
  <c r="BA80" i="4"/>
  <c r="BB80" i="4"/>
  <c r="BC80" i="4"/>
  <c r="AY72" i="4"/>
  <c r="BG72" i="4"/>
  <c r="AZ72" i="4"/>
  <c r="AX72" i="4"/>
  <c r="BA72" i="4"/>
  <c r="BB72" i="4"/>
  <c r="BC72" i="4"/>
  <c r="AT72" i="4"/>
  <c r="BD72" i="4"/>
  <c r="AU72" i="4"/>
  <c r="BE72" i="4"/>
  <c r="AV72" i="4"/>
  <c r="BF72" i="4"/>
  <c r="AW72" i="4"/>
  <c r="BA64" i="4"/>
  <c r="AT64" i="4"/>
  <c r="BB64" i="4"/>
  <c r="AV64" i="4"/>
  <c r="BD64" i="4"/>
  <c r="AW64" i="4"/>
  <c r="BE64" i="4"/>
  <c r="AY64" i="4"/>
  <c r="BG64" i="4"/>
  <c r="AZ64" i="4"/>
  <c r="AU64" i="4"/>
  <c r="AX64" i="4"/>
  <c r="BC64" i="4"/>
  <c r="BF64" i="4"/>
  <c r="BA56" i="4"/>
  <c r="AT56" i="4"/>
  <c r="BB56" i="4"/>
  <c r="AV56" i="4"/>
  <c r="BD56" i="4"/>
  <c r="AW56" i="4"/>
  <c r="BE56" i="4"/>
  <c r="AY56" i="4"/>
  <c r="BG56" i="4"/>
  <c r="AZ56" i="4"/>
  <c r="AU56" i="4"/>
  <c r="AX56" i="4"/>
  <c r="BC56" i="4"/>
  <c r="BF56" i="4"/>
  <c r="AV48" i="4"/>
  <c r="BD48" i="4"/>
  <c r="AY48" i="4"/>
  <c r="BG48" i="4"/>
  <c r="AZ48" i="4"/>
  <c r="BA48" i="4"/>
  <c r="AT48" i="4"/>
  <c r="BB48" i="4"/>
  <c r="AU48" i="4"/>
  <c r="BC48" i="4"/>
  <c r="BF48" i="4"/>
  <c r="AX48" i="4"/>
  <c r="BE48" i="4"/>
  <c r="AW48" i="4"/>
  <c r="AV40" i="4"/>
  <c r="BD40" i="4"/>
  <c r="AY40" i="4"/>
  <c r="BG40" i="4"/>
  <c r="AZ40" i="4"/>
  <c r="BA40" i="4"/>
  <c r="AT40" i="4"/>
  <c r="BB40" i="4"/>
  <c r="AU40" i="4"/>
  <c r="BC40" i="4"/>
  <c r="AW40" i="4"/>
  <c r="BE40" i="4"/>
  <c r="BF40" i="4"/>
  <c r="AX40" i="4"/>
  <c r="AV32" i="4"/>
  <c r="BD32" i="4"/>
  <c r="AW32" i="4"/>
  <c r="BE32" i="4"/>
  <c r="AX32" i="4"/>
  <c r="BF32" i="4"/>
  <c r="AY32" i="4"/>
  <c r="BG32" i="4"/>
  <c r="AZ32" i="4"/>
  <c r="BA32" i="4"/>
  <c r="AT32" i="4"/>
  <c r="BB32" i="4"/>
  <c r="AU32" i="4"/>
  <c r="BC32" i="4"/>
  <c r="AV24" i="4"/>
  <c r="BD24" i="4"/>
  <c r="AW24" i="4"/>
  <c r="BE24" i="4"/>
  <c r="AX24" i="4"/>
  <c r="BF24" i="4"/>
  <c r="AY24" i="4"/>
  <c r="BG24" i="4"/>
  <c r="AZ24" i="4"/>
  <c r="BA24" i="4"/>
  <c r="AT24" i="4"/>
  <c r="BB24" i="4"/>
  <c r="AU24" i="4"/>
  <c r="BC24" i="4"/>
  <c r="AV16" i="4"/>
  <c r="BD16" i="4"/>
  <c r="AW16" i="4"/>
  <c r="BE16" i="4"/>
  <c r="AX16" i="4"/>
  <c r="BF16" i="4"/>
  <c r="AY16" i="4"/>
  <c r="BG16" i="4"/>
  <c r="AZ16" i="4"/>
  <c r="BA16" i="4"/>
  <c r="AT16" i="4"/>
  <c r="BB16" i="4"/>
  <c r="AU16" i="4"/>
  <c r="BC16" i="4"/>
  <c r="AV8" i="4"/>
  <c r="BD8" i="4"/>
  <c r="AW8" i="4"/>
  <c r="BE8" i="4"/>
  <c r="AX8" i="4"/>
  <c r="BF8" i="4"/>
  <c r="AY8" i="4"/>
  <c r="BG8" i="4"/>
  <c r="AZ8" i="4"/>
  <c r="BA8" i="4"/>
  <c r="AT8" i="4"/>
  <c r="BB8" i="4"/>
  <c r="AU8" i="4"/>
  <c r="BC8" i="4"/>
  <c r="BA135" i="4"/>
  <c r="AT135" i="4"/>
  <c r="BB135" i="4"/>
  <c r="BC135" i="4"/>
  <c r="BD135" i="4"/>
  <c r="AU135" i="4"/>
  <c r="BE135" i="4"/>
  <c r="BF135" i="4"/>
  <c r="AW135" i="4"/>
  <c r="AV135" i="4"/>
  <c r="BG135" i="4"/>
  <c r="AX135" i="4"/>
  <c r="AY135" i="4"/>
  <c r="AZ135" i="4"/>
  <c r="BA127" i="4"/>
  <c r="AT127" i="4"/>
  <c r="BB127" i="4"/>
  <c r="AX127" i="4"/>
  <c r="AY127" i="4"/>
  <c r="AZ127" i="4"/>
  <c r="BC127" i="4"/>
  <c r="BD127" i="4"/>
  <c r="AU127" i="4"/>
  <c r="BE127" i="4"/>
  <c r="AV127" i="4"/>
  <c r="BF127" i="4"/>
  <c r="AW127" i="4"/>
  <c r="BG127" i="4"/>
  <c r="BA119" i="4"/>
  <c r="AT119" i="4"/>
  <c r="BB119" i="4"/>
  <c r="BC119" i="4"/>
  <c r="BD119" i="4"/>
  <c r="AU119" i="4"/>
  <c r="BE119" i="4"/>
  <c r="AV119" i="4"/>
  <c r="BF119" i="4"/>
  <c r="BG119" i="4"/>
  <c r="AW119" i="4"/>
  <c r="AX119" i="4"/>
  <c r="AY119" i="4"/>
  <c r="AZ119" i="4"/>
  <c r="AU111" i="4"/>
  <c r="BC111" i="4"/>
  <c r="AX111" i="4"/>
  <c r="BF111" i="4"/>
  <c r="BA111" i="4"/>
  <c r="AT111" i="4"/>
  <c r="BB111" i="4"/>
  <c r="AV111" i="4"/>
  <c r="AW111" i="4"/>
  <c r="AY111" i="4"/>
  <c r="AZ111" i="4"/>
  <c r="BD111" i="4"/>
  <c r="BE111" i="4"/>
  <c r="BG111" i="4"/>
  <c r="AU103" i="4"/>
  <c r="BC103" i="4"/>
  <c r="AX103" i="4"/>
  <c r="BF103" i="4"/>
  <c r="BA103" i="4"/>
  <c r="AT103" i="4"/>
  <c r="BB103" i="4"/>
  <c r="AV103" i="4"/>
  <c r="AW103" i="4"/>
  <c r="AY103" i="4"/>
  <c r="AZ103" i="4"/>
  <c r="BD103" i="4"/>
  <c r="BE103" i="4"/>
  <c r="BG103" i="4"/>
  <c r="AW95" i="4"/>
  <c r="BE95" i="4"/>
  <c r="AX95" i="4"/>
  <c r="BF95" i="4"/>
  <c r="AV95" i="4"/>
  <c r="AY95" i="4"/>
  <c r="AZ95" i="4"/>
  <c r="BA95" i="4"/>
  <c r="BB95" i="4"/>
  <c r="BC95" i="4"/>
  <c r="AT95" i="4"/>
  <c r="BD95" i="4"/>
  <c r="AU95" i="4"/>
  <c r="BG95" i="4"/>
  <c r="AW87" i="4"/>
  <c r="BE87" i="4"/>
  <c r="AX87" i="4"/>
  <c r="BF87" i="4"/>
  <c r="BB87" i="4"/>
  <c r="BC87" i="4"/>
  <c r="AT87" i="4"/>
  <c r="BD87" i="4"/>
  <c r="AU87" i="4"/>
  <c r="BG87" i="4"/>
  <c r="AV87" i="4"/>
  <c r="AY87" i="4"/>
  <c r="AZ87" i="4"/>
  <c r="BA87" i="4"/>
  <c r="AW79" i="4"/>
  <c r="BE79" i="4"/>
  <c r="AX79" i="4"/>
  <c r="BF79" i="4"/>
  <c r="AV79" i="4"/>
  <c r="AY79" i="4"/>
  <c r="AZ79" i="4"/>
  <c r="BA79" i="4"/>
  <c r="BB79" i="4"/>
  <c r="BC79" i="4"/>
  <c r="AT79" i="4"/>
  <c r="BD79" i="4"/>
  <c r="AU79" i="4"/>
  <c r="BG79" i="4"/>
  <c r="AW71" i="4"/>
  <c r="BE71" i="4"/>
  <c r="AX71" i="4"/>
  <c r="BF71" i="4"/>
  <c r="BB71" i="4"/>
  <c r="BC71" i="4"/>
  <c r="AT71" i="4"/>
  <c r="BD71" i="4"/>
  <c r="AU71" i="4"/>
  <c r="BG71" i="4"/>
  <c r="AV71" i="4"/>
  <c r="AY71" i="4"/>
  <c r="AZ71" i="4"/>
  <c r="BA71" i="4"/>
  <c r="AY63" i="4"/>
  <c r="BG63" i="4"/>
  <c r="AZ63" i="4"/>
  <c r="AT63" i="4"/>
  <c r="BB63" i="4"/>
  <c r="AU63" i="4"/>
  <c r="BC63" i="4"/>
  <c r="AW63" i="4"/>
  <c r="BE63" i="4"/>
  <c r="AX63" i="4"/>
  <c r="BF63" i="4"/>
  <c r="AV63" i="4"/>
  <c r="BA63" i="4"/>
  <c r="BD63" i="4"/>
  <c r="AY55" i="4"/>
  <c r="BG55" i="4"/>
  <c r="AZ55" i="4"/>
  <c r="AT55" i="4"/>
  <c r="BB55" i="4"/>
  <c r="AU55" i="4"/>
  <c r="BC55" i="4"/>
  <c r="AW55" i="4"/>
  <c r="BE55" i="4"/>
  <c r="AX55" i="4"/>
  <c r="BF55" i="4"/>
  <c r="AV55" i="4"/>
  <c r="BA55" i="4"/>
  <c r="BD55" i="4"/>
  <c r="AT47" i="4"/>
  <c r="BB47" i="4"/>
  <c r="AW47" i="4"/>
  <c r="BE47" i="4"/>
  <c r="AX47" i="4"/>
  <c r="BF47" i="4"/>
  <c r="AY47" i="4"/>
  <c r="BG47" i="4"/>
  <c r="AZ47" i="4"/>
  <c r="BA47" i="4"/>
  <c r="AU47" i="4"/>
  <c r="BC47" i="4"/>
  <c r="BD47" i="4"/>
  <c r="AV47" i="4"/>
  <c r="AT39" i="4"/>
  <c r="BB39" i="4"/>
  <c r="AW39" i="4"/>
  <c r="BE39" i="4"/>
  <c r="AX39" i="4"/>
  <c r="BF39" i="4"/>
  <c r="AY39" i="4"/>
  <c r="BG39" i="4"/>
  <c r="AZ39" i="4"/>
  <c r="BA39" i="4"/>
  <c r="BD39" i="4"/>
  <c r="AV39" i="4"/>
  <c r="BC39" i="4"/>
  <c r="AU39" i="4"/>
  <c r="AT31" i="4"/>
  <c r="BB31" i="4"/>
  <c r="AU31" i="4"/>
  <c r="BC31" i="4"/>
  <c r="AV31" i="4"/>
  <c r="BD31" i="4"/>
  <c r="AW31" i="4"/>
  <c r="BE31" i="4"/>
  <c r="AX31" i="4"/>
  <c r="BF31" i="4"/>
  <c r="AY31" i="4"/>
  <c r="BG31" i="4"/>
  <c r="AZ31" i="4"/>
  <c r="BA31" i="4"/>
  <c r="AT23" i="4"/>
  <c r="BB23" i="4"/>
  <c r="AU23" i="4"/>
  <c r="BC23" i="4"/>
  <c r="AV23" i="4"/>
  <c r="BD23" i="4"/>
  <c r="AW23" i="4"/>
  <c r="BE23" i="4"/>
  <c r="AX23" i="4"/>
  <c r="BF23" i="4"/>
  <c r="AY23" i="4"/>
  <c r="BG23" i="4"/>
  <c r="AZ23" i="4"/>
  <c r="BA23" i="4"/>
  <c r="AT15" i="4"/>
  <c r="BB15" i="4"/>
  <c r="AU15" i="4"/>
  <c r="BC15" i="4"/>
  <c r="AV15" i="4"/>
  <c r="BD15" i="4"/>
  <c r="AW15" i="4"/>
  <c r="BE15" i="4"/>
  <c r="AX15" i="4"/>
  <c r="BF15" i="4"/>
  <c r="AY15" i="4"/>
  <c r="BG15" i="4"/>
  <c r="AZ15" i="4"/>
  <c r="BA15" i="4"/>
  <c r="AT7" i="4"/>
  <c r="BB7" i="4"/>
  <c r="AU7" i="4"/>
  <c r="BC7" i="4"/>
  <c r="AV7" i="4"/>
  <c r="BD7" i="4"/>
  <c r="AW7" i="4"/>
  <c r="BE7" i="4"/>
  <c r="AX7" i="4"/>
  <c r="BF7" i="4"/>
  <c r="AY7" i="4"/>
  <c r="BG7" i="4"/>
  <c r="AZ7" i="4"/>
  <c r="BA7" i="4"/>
  <c r="AY134" i="4"/>
  <c r="BG134" i="4"/>
  <c r="AZ134" i="4"/>
  <c r="BF134" i="4"/>
  <c r="AW134" i="4"/>
  <c r="AX134" i="4"/>
  <c r="BB134" i="4"/>
  <c r="BA134" i="4"/>
  <c r="BC134" i="4"/>
  <c r="AT134" i="4"/>
  <c r="BD134" i="4"/>
  <c r="AU134" i="4"/>
  <c r="BE134" i="4"/>
  <c r="AV134" i="4"/>
  <c r="AY126" i="4"/>
  <c r="BG126" i="4"/>
  <c r="AZ126" i="4"/>
  <c r="BA126" i="4"/>
  <c r="BB126" i="4"/>
  <c r="BC126" i="4"/>
  <c r="AT126" i="4"/>
  <c r="BD126" i="4"/>
  <c r="AU126" i="4"/>
  <c r="AV126" i="4"/>
  <c r="BE126" i="4"/>
  <c r="BF126" i="4"/>
  <c r="AW126" i="4"/>
  <c r="AX126" i="4"/>
  <c r="BA118" i="4"/>
  <c r="AV118" i="4"/>
  <c r="AY118" i="4"/>
  <c r="BG118" i="4"/>
  <c r="AZ118" i="4"/>
  <c r="BF118" i="4"/>
  <c r="AU118" i="4"/>
  <c r="AW118" i="4"/>
  <c r="AX118" i="4"/>
  <c r="BB118" i="4"/>
  <c r="BC118" i="4"/>
  <c r="BD118" i="4"/>
  <c r="BE118" i="4"/>
  <c r="AT118" i="4"/>
  <c r="BA110" i="4"/>
  <c r="AV110" i="4"/>
  <c r="BD110" i="4"/>
  <c r="AY110" i="4"/>
  <c r="BG110" i="4"/>
  <c r="AZ110" i="4"/>
  <c r="AT110" i="4"/>
  <c r="AU110" i="4"/>
  <c r="AW110" i="4"/>
  <c r="AX110" i="4"/>
  <c r="BB110" i="4"/>
  <c r="BC110" i="4"/>
  <c r="BE110" i="4"/>
  <c r="BF110" i="4"/>
  <c r="BA102" i="4"/>
  <c r="AV102" i="4"/>
  <c r="BD102" i="4"/>
  <c r="AY102" i="4"/>
  <c r="BG102" i="4"/>
  <c r="AZ102" i="4"/>
  <c r="AT102" i="4"/>
  <c r="AU102" i="4"/>
  <c r="AW102" i="4"/>
  <c r="AX102" i="4"/>
  <c r="BB102" i="4"/>
  <c r="BC102" i="4"/>
  <c r="BE102" i="4"/>
  <c r="BF102" i="4"/>
  <c r="AU94" i="4"/>
  <c r="BC94" i="4"/>
  <c r="AV94" i="4"/>
  <c r="BD94" i="4"/>
  <c r="AZ94" i="4"/>
  <c r="BA94" i="4"/>
  <c r="BB94" i="4"/>
  <c r="BE94" i="4"/>
  <c r="AT94" i="4"/>
  <c r="BF94" i="4"/>
  <c r="AW94" i="4"/>
  <c r="BG94" i="4"/>
  <c r="AX94" i="4"/>
  <c r="AY94" i="4"/>
  <c r="AU86" i="4"/>
  <c r="BC86" i="4"/>
  <c r="AV86" i="4"/>
  <c r="BD86" i="4"/>
  <c r="AT86" i="4"/>
  <c r="BF86" i="4"/>
  <c r="AW86" i="4"/>
  <c r="BG86" i="4"/>
  <c r="AX86" i="4"/>
  <c r="AY86" i="4"/>
  <c r="AZ86" i="4"/>
  <c r="BA86" i="4"/>
  <c r="BB86" i="4"/>
  <c r="BE86" i="4"/>
  <c r="AU78" i="4"/>
  <c r="BC78" i="4"/>
  <c r="AV78" i="4"/>
  <c r="BD78" i="4"/>
  <c r="AZ78" i="4"/>
  <c r="BA78" i="4"/>
  <c r="BB78" i="4"/>
  <c r="BE78" i="4"/>
  <c r="AT78" i="4"/>
  <c r="BF78" i="4"/>
  <c r="AW78" i="4"/>
  <c r="BG78" i="4"/>
  <c r="AX78" i="4"/>
  <c r="AY78" i="4"/>
  <c r="AU70" i="4"/>
  <c r="BC70" i="4"/>
  <c r="AV70" i="4"/>
  <c r="BD70" i="4"/>
  <c r="AT70" i="4"/>
  <c r="BF70" i="4"/>
  <c r="AW70" i="4"/>
  <c r="BG70" i="4"/>
  <c r="AX70" i="4"/>
  <c r="AY70" i="4"/>
  <c r="AZ70" i="4"/>
  <c r="BA70" i="4"/>
  <c r="BB70" i="4"/>
  <c r="BE70" i="4"/>
  <c r="AW62" i="4"/>
  <c r="BE62" i="4"/>
  <c r="AX62" i="4"/>
  <c r="BF62" i="4"/>
  <c r="AZ62" i="4"/>
  <c r="BA62" i="4"/>
  <c r="AU62" i="4"/>
  <c r="BC62" i="4"/>
  <c r="AV62" i="4"/>
  <c r="BD62" i="4"/>
  <c r="BG62" i="4"/>
  <c r="AT62" i="4"/>
  <c r="AY62" i="4"/>
  <c r="BB62" i="4"/>
  <c r="AW54" i="4"/>
  <c r="BE54" i="4"/>
  <c r="AX54" i="4"/>
  <c r="BF54" i="4"/>
  <c r="AZ54" i="4"/>
  <c r="BA54" i="4"/>
  <c r="AU54" i="4"/>
  <c r="BC54" i="4"/>
  <c r="AV54" i="4"/>
  <c r="BD54" i="4"/>
  <c r="AT54" i="4"/>
  <c r="AY54" i="4"/>
  <c r="BB54" i="4"/>
  <c r="BG54" i="4"/>
  <c r="AZ46" i="4"/>
  <c r="AU46" i="4"/>
  <c r="BC46" i="4"/>
  <c r="AV46" i="4"/>
  <c r="BD46" i="4"/>
  <c r="AW46" i="4"/>
  <c r="BE46" i="4"/>
  <c r="AX46" i="4"/>
  <c r="BF46" i="4"/>
  <c r="AY46" i="4"/>
  <c r="BG46" i="4"/>
  <c r="BB46" i="4"/>
  <c r="AT46" i="4"/>
  <c r="BA46" i="4"/>
  <c r="AZ38" i="4"/>
  <c r="AU38" i="4"/>
  <c r="BC38" i="4"/>
  <c r="AV38" i="4"/>
  <c r="BD38" i="4"/>
  <c r="AW38" i="4"/>
  <c r="BE38" i="4"/>
  <c r="AX38" i="4"/>
  <c r="BF38" i="4"/>
  <c r="AY38" i="4"/>
  <c r="BG38" i="4"/>
  <c r="BA38" i="4"/>
  <c r="BB38" i="4"/>
  <c r="AT38" i="4"/>
  <c r="AZ30" i="4"/>
  <c r="BA30" i="4"/>
  <c r="AT30" i="4"/>
  <c r="BB30" i="4"/>
  <c r="AU30" i="4"/>
  <c r="BC30" i="4"/>
  <c r="AV30" i="4"/>
  <c r="BD30" i="4"/>
  <c r="AW30" i="4"/>
  <c r="BE30" i="4"/>
  <c r="AX30" i="4"/>
  <c r="BF30" i="4"/>
  <c r="AY30" i="4"/>
  <c r="BG30" i="4"/>
  <c r="AZ22" i="4"/>
  <c r="BA22" i="4"/>
  <c r="AT22" i="4"/>
  <c r="BB22" i="4"/>
  <c r="AU22" i="4"/>
  <c r="BC22" i="4"/>
  <c r="AV22" i="4"/>
  <c r="BD22" i="4"/>
  <c r="AW22" i="4"/>
  <c r="BE22" i="4"/>
  <c r="AX22" i="4"/>
  <c r="BF22" i="4"/>
  <c r="AY22" i="4"/>
  <c r="BG22" i="4"/>
  <c r="AZ14" i="4"/>
  <c r="BA14" i="4"/>
  <c r="AT14" i="4"/>
  <c r="BB14" i="4"/>
  <c r="AU14" i="4"/>
  <c r="BC14" i="4"/>
  <c r="AV14" i="4"/>
  <c r="BD14" i="4"/>
  <c r="AW14" i="4"/>
  <c r="BE14" i="4"/>
  <c r="AX14" i="4"/>
  <c r="BF14" i="4"/>
  <c r="AY14" i="4"/>
  <c r="BG14" i="4"/>
  <c r="AZ6" i="4"/>
  <c r="BA6" i="4"/>
  <c r="AT6" i="4"/>
  <c r="BB6" i="4"/>
  <c r="AU6" i="4"/>
  <c r="BC6" i="4"/>
  <c r="AV6" i="4"/>
  <c r="BD6" i="4"/>
  <c r="AW6" i="4"/>
  <c r="BE6" i="4"/>
  <c r="AX6" i="4"/>
  <c r="BF6" i="4"/>
  <c r="AY6" i="4"/>
  <c r="BG6" i="4"/>
  <c r="AW133" i="4"/>
  <c r="BE133" i="4"/>
  <c r="AX133" i="4"/>
  <c r="BF133" i="4"/>
  <c r="AY133" i="4"/>
  <c r="AZ133" i="4"/>
  <c r="BA133" i="4"/>
  <c r="BB133" i="4"/>
  <c r="BC133" i="4"/>
  <c r="AT133" i="4"/>
  <c r="BD133" i="4"/>
  <c r="AU133" i="4"/>
  <c r="BG133" i="4"/>
  <c r="AV133" i="4"/>
  <c r="AW125" i="4"/>
  <c r="BE125" i="4"/>
  <c r="AX125" i="4"/>
  <c r="BF125" i="4"/>
  <c r="AT125" i="4"/>
  <c r="AU125" i="4"/>
  <c r="BG125" i="4"/>
  <c r="AV125" i="4"/>
  <c r="AY125" i="4"/>
  <c r="AZ125" i="4"/>
  <c r="BA125" i="4"/>
  <c r="BB125" i="4"/>
  <c r="BC125" i="4"/>
  <c r="BD125" i="4"/>
  <c r="AY117" i="4"/>
  <c r="BG117" i="4"/>
  <c r="AT117" i="4"/>
  <c r="BB117" i="4"/>
  <c r="AW117" i="4"/>
  <c r="BE117" i="4"/>
  <c r="AX117" i="4"/>
  <c r="BF117" i="4"/>
  <c r="AU117" i="4"/>
  <c r="AV117" i="4"/>
  <c r="AZ117" i="4"/>
  <c r="BA117" i="4"/>
  <c r="BC117" i="4"/>
  <c r="BD117" i="4"/>
  <c r="AY109" i="4"/>
  <c r="BG109" i="4"/>
  <c r="AT109" i="4"/>
  <c r="BB109" i="4"/>
  <c r="AW109" i="4"/>
  <c r="BE109" i="4"/>
  <c r="AX109" i="4"/>
  <c r="BF109" i="4"/>
  <c r="AU109" i="4"/>
  <c r="AV109" i="4"/>
  <c r="AZ109" i="4"/>
  <c r="BA109" i="4"/>
  <c r="BC109" i="4"/>
  <c r="BD109" i="4"/>
  <c r="AY101" i="4"/>
  <c r="BG101" i="4"/>
  <c r="AT101" i="4"/>
  <c r="BB101" i="4"/>
  <c r="AW101" i="4"/>
  <c r="BE101" i="4"/>
  <c r="AX101" i="4"/>
  <c r="BF101" i="4"/>
  <c r="AU101" i="4"/>
  <c r="AV101" i="4"/>
  <c r="AZ101" i="4"/>
  <c r="BA101" i="4"/>
  <c r="BC101" i="4"/>
  <c r="BD101" i="4"/>
  <c r="BA93" i="4"/>
  <c r="AT93" i="4"/>
  <c r="BB93" i="4"/>
  <c r="BD93" i="4"/>
  <c r="AU93" i="4"/>
  <c r="BE93" i="4"/>
  <c r="AV93" i="4"/>
  <c r="BF93" i="4"/>
  <c r="AW93" i="4"/>
  <c r="BG93" i="4"/>
  <c r="AX93" i="4"/>
  <c r="AY93" i="4"/>
  <c r="AZ93" i="4"/>
  <c r="BC93" i="4"/>
  <c r="BA85" i="4"/>
  <c r="AT85" i="4"/>
  <c r="BB85" i="4"/>
  <c r="AX85" i="4"/>
  <c r="AY85" i="4"/>
  <c r="AZ85" i="4"/>
  <c r="BC85" i="4"/>
  <c r="BD85" i="4"/>
  <c r="AU85" i="4"/>
  <c r="BE85" i="4"/>
  <c r="AV85" i="4"/>
  <c r="BF85" i="4"/>
  <c r="AW85" i="4"/>
  <c r="BG85" i="4"/>
  <c r="BA77" i="4"/>
  <c r="AT77" i="4"/>
  <c r="BB77" i="4"/>
  <c r="BD77" i="4"/>
  <c r="AU77" i="4"/>
  <c r="BE77" i="4"/>
  <c r="AV77" i="4"/>
  <c r="BF77" i="4"/>
  <c r="AW77" i="4"/>
  <c r="BG77" i="4"/>
  <c r="AX77" i="4"/>
  <c r="AY77" i="4"/>
  <c r="AZ77" i="4"/>
  <c r="BC77" i="4"/>
  <c r="BA69" i="4"/>
  <c r="AT69" i="4"/>
  <c r="BB69" i="4"/>
  <c r="AX69" i="4"/>
  <c r="AY69" i="4"/>
  <c r="AZ69" i="4"/>
  <c r="BC69" i="4"/>
  <c r="BD69" i="4"/>
  <c r="AU69" i="4"/>
  <c r="BE69" i="4"/>
  <c r="AV69" i="4"/>
  <c r="BF69" i="4"/>
  <c r="AW69" i="4"/>
  <c r="BG69" i="4"/>
  <c r="AU61" i="4"/>
  <c r="BC61" i="4"/>
  <c r="AV61" i="4"/>
  <c r="BD61" i="4"/>
  <c r="AX61" i="4"/>
  <c r="BF61" i="4"/>
  <c r="AY61" i="4"/>
  <c r="BG61" i="4"/>
  <c r="BA61" i="4"/>
  <c r="AT61" i="4"/>
  <c r="BB61" i="4"/>
  <c r="AW61" i="4"/>
  <c r="AZ61" i="4"/>
  <c r="BE61" i="4"/>
  <c r="AU53" i="4"/>
  <c r="BC53" i="4"/>
  <c r="AV53" i="4"/>
  <c r="BD53" i="4"/>
  <c r="AX53" i="4"/>
  <c r="BF53" i="4"/>
  <c r="AY53" i="4"/>
  <c r="BG53" i="4"/>
  <c r="BA53" i="4"/>
  <c r="AT53" i="4"/>
  <c r="BB53" i="4"/>
  <c r="BE53" i="4"/>
  <c r="AW53" i="4"/>
  <c r="AZ53" i="4"/>
  <c r="AX45" i="4"/>
  <c r="BF45" i="4"/>
  <c r="BA45" i="4"/>
  <c r="AT45" i="4"/>
  <c r="BB45" i="4"/>
  <c r="AU45" i="4"/>
  <c r="BC45" i="4"/>
  <c r="AV45" i="4"/>
  <c r="BD45" i="4"/>
  <c r="AW45" i="4"/>
  <c r="BE45" i="4"/>
  <c r="AY45" i="4"/>
  <c r="AZ45" i="4"/>
  <c r="BG45" i="4"/>
  <c r="AX37" i="4"/>
  <c r="BF37" i="4"/>
  <c r="BA37" i="4"/>
  <c r="AT37" i="4"/>
  <c r="BB37" i="4"/>
  <c r="AU37" i="4"/>
  <c r="BC37" i="4"/>
  <c r="AV37" i="4"/>
  <c r="BD37" i="4"/>
  <c r="AW37" i="4"/>
  <c r="BE37" i="4"/>
  <c r="AZ37" i="4"/>
  <c r="BG37" i="4"/>
  <c r="AY37" i="4"/>
  <c r="AX29" i="4"/>
  <c r="BF29" i="4"/>
  <c r="AY29" i="4"/>
  <c r="BG29" i="4"/>
  <c r="AZ29" i="4"/>
  <c r="BA29" i="4"/>
  <c r="AT29" i="4"/>
  <c r="BB29" i="4"/>
  <c r="AU29" i="4"/>
  <c r="BC29" i="4"/>
  <c r="AV29" i="4"/>
  <c r="BD29" i="4"/>
  <c r="AW29" i="4"/>
  <c r="BE29" i="4"/>
  <c r="AX21" i="4"/>
  <c r="BF21" i="4"/>
  <c r="AY21" i="4"/>
  <c r="BG21" i="4"/>
  <c r="AZ21" i="4"/>
  <c r="BA21" i="4"/>
  <c r="AT21" i="4"/>
  <c r="BB21" i="4"/>
  <c r="AU21" i="4"/>
  <c r="BC21" i="4"/>
  <c r="AV21" i="4"/>
  <c r="BD21" i="4"/>
  <c r="AW21" i="4"/>
  <c r="BE21" i="4"/>
  <c r="AX13" i="4"/>
  <c r="BF13" i="4"/>
  <c r="AY13" i="4"/>
  <c r="BG13" i="4"/>
  <c r="AZ13" i="4"/>
  <c r="BA13" i="4"/>
  <c r="AT13" i="4"/>
  <c r="BB13" i="4"/>
  <c r="AU13" i="4"/>
  <c r="BC13" i="4"/>
  <c r="AV13" i="4"/>
  <c r="BD13" i="4"/>
  <c r="AW13" i="4"/>
  <c r="BE13" i="4"/>
  <c r="AX5" i="4"/>
  <c r="BF5" i="4"/>
  <c r="AY5" i="4"/>
  <c r="BG5" i="4"/>
  <c r="AZ5" i="4"/>
  <c r="BA5" i="4"/>
  <c r="AT5" i="4"/>
  <c r="BB5" i="4"/>
  <c r="AU5" i="4"/>
  <c r="BC5" i="4"/>
  <c r="AV5" i="4"/>
  <c r="BD5" i="4"/>
  <c r="AW5" i="4"/>
  <c r="BE5" i="4"/>
  <c r="AU132" i="4"/>
  <c r="BC132" i="4"/>
  <c r="AV132" i="4"/>
  <c r="BD132" i="4"/>
  <c r="BB132" i="4"/>
  <c r="BE132" i="4"/>
  <c r="AT132" i="4"/>
  <c r="BF132" i="4"/>
  <c r="BG132" i="4"/>
  <c r="AW132" i="4"/>
  <c r="AX132" i="4"/>
  <c r="AY132" i="4"/>
  <c r="AZ132" i="4"/>
  <c r="BA132" i="4"/>
  <c r="AU124" i="4"/>
  <c r="BC124" i="4"/>
  <c r="AV124" i="4"/>
  <c r="BD124" i="4"/>
  <c r="BG124" i="4"/>
  <c r="AX124" i="4"/>
  <c r="AY124" i="4"/>
  <c r="AZ124" i="4"/>
  <c r="BB124" i="4"/>
  <c r="BA124" i="4"/>
  <c r="BE124" i="4"/>
  <c r="AT124" i="4"/>
  <c r="BF124" i="4"/>
  <c r="AW124" i="4"/>
  <c r="AW116" i="4"/>
  <c r="BE116" i="4"/>
  <c r="AZ116" i="4"/>
  <c r="AU116" i="4"/>
  <c r="BC116" i="4"/>
  <c r="AV116" i="4"/>
  <c r="BD116" i="4"/>
  <c r="BF116" i="4"/>
  <c r="BG116" i="4"/>
  <c r="AT116" i="4"/>
  <c r="AX116" i="4"/>
  <c r="AY116" i="4"/>
  <c r="BA116" i="4"/>
  <c r="BB116" i="4"/>
  <c r="AW108" i="4"/>
  <c r="BE108" i="4"/>
  <c r="AZ108" i="4"/>
  <c r="AU108" i="4"/>
  <c r="BC108" i="4"/>
  <c r="AV108" i="4"/>
  <c r="BD108" i="4"/>
  <c r="BG108" i="4"/>
  <c r="AT108" i="4"/>
  <c r="AX108" i="4"/>
  <c r="AY108" i="4"/>
  <c r="BA108" i="4"/>
  <c r="BB108" i="4"/>
  <c r="BF108" i="4"/>
  <c r="AW100" i="4"/>
  <c r="BE100" i="4"/>
  <c r="AZ100" i="4"/>
  <c r="AU100" i="4"/>
  <c r="BC100" i="4"/>
  <c r="AV100" i="4"/>
  <c r="BD100" i="4"/>
  <c r="BG100" i="4"/>
  <c r="AT100" i="4"/>
  <c r="AX100" i="4"/>
  <c r="AY100" i="4"/>
  <c r="BA100" i="4"/>
  <c r="BB100" i="4"/>
  <c r="BF100" i="4"/>
  <c r="AY92" i="4"/>
  <c r="BG92" i="4"/>
  <c r="AZ92" i="4"/>
  <c r="AV92" i="4"/>
  <c r="BF92" i="4"/>
  <c r="AW92" i="4"/>
  <c r="AX92" i="4"/>
  <c r="BA92" i="4"/>
  <c r="BB92" i="4"/>
  <c r="BC92" i="4"/>
  <c r="AT92" i="4"/>
  <c r="BD92" i="4"/>
  <c r="AU92" i="4"/>
  <c r="BE92" i="4"/>
  <c r="AY84" i="4"/>
  <c r="BG84" i="4"/>
  <c r="AZ84" i="4"/>
  <c r="BB84" i="4"/>
  <c r="BC84" i="4"/>
  <c r="AT84" i="4"/>
  <c r="BD84" i="4"/>
  <c r="AU84" i="4"/>
  <c r="BE84" i="4"/>
  <c r="AV84" i="4"/>
  <c r="BF84" i="4"/>
  <c r="AW84" i="4"/>
  <c r="AX84" i="4"/>
  <c r="BA84" i="4"/>
  <c r="AY76" i="4"/>
  <c r="BG76" i="4"/>
  <c r="AZ76" i="4"/>
  <c r="AV76" i="4"/>
  <c r="BF76" i="4"/>
  <c r="AW76" i="4"/>
  <c r="AX76" i="4"/>
  <c r="BA76" i="4"/>
  <c r="BB76" i="4"/>
  <c r="BC76" i="4"/>
  <c r="AT76" i="4"/>
  <c r="BD76" i="4"/>
  <c r="AU76" i="4"/>
  <c r="BE76" i="4"/>
  <c r="AY68" i="4"/>
  <c r="BG68" i="4"/>
  <c r="AZ68" i="4"/>
  <c r="BB68" i="4"/>
  <c r="BC68" i="4"/>
  <c r="AT68" i="4"/>
  <c r="BD68" i="4"/>
  <c r="AU68" i="4"/>
  <c r="BE68" i="4"/>
  <c r="AV68" i="4"/>
  <c r="BF68" i="4"/>
  <c r="AW68" i="4"/>
  <c r="AX68" i="4"/>
  <c r="BA68" i="4"/>
  <c r="BA60" i="4"/>
  <c r="AT60" i="4"/>
  <c r="BB60" i="4"/>
  <c r="AV60" i="4"/>
  <c r="BD60" i="4"/>
  <c r="AW60" i="4"/>
  <c r="BE60" i="4"/>
  <c r="AY60" i="4"/>
  <c r="BG60" i="4"/>
  <c r="AZ60" i="4"/>
  <c r="BC60" i="4"/>
  <c r="BF60" i="4"/>
  <c r="AU60" i="4"/>
  <c r="AX60" i="4"/>
  <c r="AV52" i="4"/>
  <c r="AY52" i="4"/>
  <c r="AZ52" i="4"/>
  <c r="BA52" i="4"/>
  <c r="AT52" i="4"/>
  <c r="AX52" i="4"/>
  <c r="BB52" i="4"/>
  <c r="BD52" i="4"/>
  <c r="BE52" i="4"/>
  <c r="AU52" i="4"/>
  <c r="BG52" i="4"/>
  <c r="AW52" i="4"/>
  <c r="BC52" i="4"/>
  <c r="BF52" i="4"/>
  <c r="AV44" i="4"/>
  <c r="BD44" i="4"/>
  <c r="AY44" i="4"/>
  <c r="BG44" i="4"/>
  <c r="AZ44" i="4"/>
  <c r="BA44" i="4"/>
  <c r="AT44" i="4"/>
  <c r="BB44" i="4"/>
  <c r="AU44" i="4"/>
  <c r="BC44" i="4"/>
  <c r="AX44" i="4"/>
  <c r="BE44" i="4"/>
  <c r="AW44" i="4"/>
  <c r="BF44" i="4"/>
  <c r="AV36" i="4"/>
  <c r="BD36" i="4"/>
  <c r="AW36" i="4"/>
  <c r="BE36" i="4"/>
  <c r="AX36" i="4"/>
  <c r="AY36" i="4"/>
  <c r="BG36" i="4"/>
  <c r="AZ36" i="4"/>
  <c r="BA36" i="4"/>
  <c r="AT36" i="4"/>
  <c r="BB36" i="4"/>
  <c r="AU36" i="4"/>
  <c r="BC36" i="4"/>
  <c r="BF36" i="4"/>
  <c r="AV28" i="4"/>
  <c r="BD28" i="4"/>
  <c r="AW28" i="4"/>
  <c r="BE28" i="4"/>
  <c r="AX28" i="4"/>
  <c r="BF28" i="4"/>
  <c r="AY28" i="4"/>
  <c r="BG28" i="4"/>
  <c r="AZ28" i="4"/>
  <c r="BA28" i="4"/>
  <c r="AT28" i="4"/>
  <c r="BB28" i="4"/>
  <c r="AU28" i="4"/>
  <c r="BC28" i="4"/>
  <c r="AV20" i="4"/>
  <c r="BD20" i="4"/>
  <c r="AW20" i="4"/>
  <c r="BE20" i="4"/>
  <c r="AX20" i="4"/>
  <c r="BF20" i="4"/>
  <c r="AY20" i="4"/>
  <c r="BG20" i="4"/>
  <c r="AZ20" i="4"/>
  <c r="BA20" i="4"/>
  <c r="AT20" i="4"/>
  <c r="BB20" i="4"/>
  <c r="AU20" i="4"/>
  <c r="BC20" i="4"/>
  <c r="AV12" i="4"/>
  <c r="BD12" i="4"/>
  <c r="AW12" i="4"/>
  <c r="BE12" i="4"/>
  <c r="AX12" i="4"/>
  <c r="BF12" i="4"/>
  <c r="AY12" i="4"/>
  <c r="BG12" i="4"/>
  <c r="AZ12" i="4"/>
  <c r="BA12" i="4"/>
  <c r="AT12" i="4"/>
  <c r="BB12" i="4"/>
  <c r="AU12" i="4"/>
  <c r="BC12" i="4"/>
  <c r="BA139" i="4"/>
  <c r="AT139" i="4"/>
  <c r="BB139" i="4"/>
  <c r="AY139" i="4"/>
  <c r="AZ139" i="4"/>
  <c r="BC139" i="4"/>
  <c r="BD139" i="4"/>
  <c r="AU139" i="4"/>
  <c r="AV139" i="4"/>
  <c r="BE139" i="4"/>
  <c r="BF139" i="4"/>
  <c r="AW139" i="4"/>
  <c r="BG139" i="4"/>
  <c r="AX139" i="4"/>
  <c r="BA131" i="4"/>
  <c r="AT131" i="4"/>
  <c r="BB131" i="4"/>
  <c r="AU131" i="4"/>
  <c r="AV131" i="4"/>
  <c r="AW131" i="4"/>
  <c r="BG131" i="4"/>
  <c r="AX131" i="4"/>
  <c r="AY131" i="4"/>
  <c r="AZ131" i="4"/>
  <c r="BC131" i="4"/>
  <c r="BD131" i="4"/>
  <c r="BE131" i="4"/>
  <c r="BF131" i="4"/>
  <c r="BA123" i="4"/>
  <c r="AT123" i="4"/>
  <c r="BB123" i="4"/>
  <c r="BC123" i="4"/>
  <c r="BD123" i="4"/>
  <c r="AU123" i="4"/>
  <c r="BE123" i="4"/>
  <c r="BF123" i="4"/>
  <c r="AV123" i="4"/>
  <c r="AW123" i="4"/>
  <c r="BG123" i="4"/>
  <c r="AX123" i="4"/>
  <c r="AY123" i="4"/>
  <c r="AZ123" i="4"/>
  <c r="AU115" i="4"/>
  <c r="BC115" i="4"/>
  <c r="AX115" i="4"/>
  <c r="BF115" i="4"/>
  <c r="BA115" i="4"/>
  <c r="AT115" i="4"/>
  <c r="BB115" i="4"/>
  <c r="BD115" i="4"/>
  <c r="BE115" i="4"/>
  <c r="BG115" i="4"/>
  <c r="AV115" i="4"/>
  <c r="AW115" i="4"/>
  <c r="AY115" i="4"/>
  <c r="AZ115" i="4"/>
  <c r="AU107" i="4"/>
  <c r="BC107" i="4"/>
  <c r="AX107" i="4"/>
  <c r="BF107" i="4"/>
  <c r="BA107" i="4"/>
  <c r="AT107" i="4"/>
  <c r="BB107" i="4"/>
  <c r="BD107" i="4"/>
  <c r="BE107" i="4"/>
  <c r="BG107" i="4"/>
  <c r="AV107" i="4"/>
  <c r="AW107" i="4"/>
  <c r="AY107" i="4"/>
  <c r="AZ107" i="4"/>
  <c r="AU99" i="4"/>
  <c r="BC99" i="4"/>
  <c r="AX99" i="4"/>
  <c r="BF99" i="4"/>
  <c r="BA99" i="4"/>
  <c r="AT99" i="4"/>
  <c r="BB99" i="4"/>
  <c r="BD99" i="4"/>
  <c r="BE99" i="4"/>
  <c r="BG99" i="4"/>
  <c r="AV99" i="4"/>
  <c r="AW99" i="4"/>
  <c r="AY99" i="4"/>
  <c r="AZ99" i="4"/>
  <c r="AW91" i="4"/>
  <c r="BE91" i="4"/>
  <c r="AX91" i="4"/>
  <c r="BF91" i="4"/>
  <c r="AZ91" i="4"/>
  <c r="BA91" i="4"/>
  <c r="BB91" i="4"/>
  <c r="BC91" i="4"/>
  <c r="AT91" i="4"/>
  <c r="BD91" i="4"/>
  <c r="AU91" i="4"/>
  <c r="BG91" i="4"/>
  <c r="AV91" i="4"/>
  <c r="AY91" i="4"/>
  <c r="AW83" i="4"/>
  <c r="BE83" i="4"/>
  <c r="AX83" i="4"/>
  <c r="BF83" i="4"/>
  <c r="AT83" i="4"/>
  <c r="BD83" i="4"/>
  <c r="AU83" i="4"/>
  <c r="BG83" i="4"/>
  <c r="AV83" i="4"/>
  <c r="AY83" i="4"/>
  <c r="AZ83" i="4"/>
  <c r="BA83" i="4"/>
  <c r="BB83" i="4"/>
  <c r="BC83" i="4"/>
  <c r="AW75" i="4"/>
  <c r="BE75" i="4"/>
  <c r="AX75" i="4"/>
  <c r="BF75" i="4"/>
  <c r="AZ75" i="4"/>
  <c r="BA75" i="4"/>
  <c r="BB75" i="4"/>
  <c r="BC75" i="4"/>
  <c r="AT75" i="4"/>
  <c r="BD75" i="4"/>
  <c r="AU75" i="4"/>
  <c r="BG75" i="4"/>
  <c r="AV75" i="4"/>
  <c r="AY75" i="4"/>
  <c r="AW67" i="4"/>
  <c r="BE67" i="4"/>
  <c r="AX67" i="4"/>
  <c r="BF67" i="4"/>
  <c r="AT67" i="4"/>
  <c r="BD67" i="4"/>
  <c r="AU67" i="4"/>
  <c r="BG67" i="4"/>
  <c r="AV67" i="4"/>
  <c r="AY67" i="4"/>
  <c r="AZ67" i="4"/>
  <c r="BA67" i="4"/>
  <c r="BB67" i="4"/>
  <c r="BC67" i="4"/>
  <c r="AY59" i="4"/>
  <c r="BG59" i="4"/>
  <c r="AZ59" i="4"/>
  <c r="AT59" i="4"/>
  <c r="BB59" i="4"/>
  <c r="AU59" i="4"/>
  <c r="BC59" i="4"/>
  <c r="AW59" i="4"/>
  <c r="BE59" i="4"/>
  <c r="AX59" i="4"/>
  <c r="BF59" i="4"/>
  <c r="AV59" i="4"/>
  <c r="BA59" i="4"/>
  <c r="BD59" i="4"/>
  <c r="AT51" i="4"/>
  <c r="BB51" i="4"/>
  <c r="AW51" i="4"/>
  <c r="BE51" i="4"/>
  <c r="AX51" i="4"/>
  <c r="BF51" i="4"/>
  <c r="AY51" i="4"/>
  <c r="BG51" i="4"/>
  <c r="AZ51" i="4"/>
  <c r="AU51" i="4"/>
  <c r="BA51" i="4"/>
  <c r="BC51" i="4"/>
  <c r="AV51" i="4"/>
  <c r="BD51" i="4"/>
  <c r="AT43" i="4"/>
  <c r="BB43" i="4"/>
  <c r="AW43" i="4"/>
  <c r="BE43" i="4"/>
  <c r="AX43" i="4"/>
  <c r="BF43" i="4"/>
  <c r="AY43" i="4"/>
  <c r="BG43" i="4"/>
  <c r="AZ43" i="4"/>
  <c r="BA43" i="4"/>
  <c r="AU43" i="4"/>
  <c r="AV43" i="4"/>
  <c r="BD43" i="4"/>
  <c r="BC43" i="4"/>
  <c r="AT35" i="4"/>
  <c r="BB35" i="4"/>
  <c r="AU35" i="4"/>
  <c r="BC35" i="4"/>
  <c r="AV35" i="4"/>
  <c r="BD35" i="4"/>
  <c r="AW35" i="4"/>
  <c r="BE35" i="4"/>
  <c r="AX35" i="4"/>
  <c r="BF35" i="4"/>
  <c r="AY35" i="4"/>
  <c r="BG35" i="4"/>
  <c r="AZ35" i="4"/>
  <c r="BA35" i="4"/>
  <c r="AT27" i="4"/>
  <c r="BB27" i="4"/>
  <c r="AU27" i="4"/>
  <c r="BC27" i="4"/>
  <c r="AV27" i="4"/>
  <c r="BD27" i="4"/>
  <c r="AW27" i="4"/>
  <c r="BE27" i="4"/>
  <c r="AX27" i="4"/>
  <c r="BF27" i="4"/>
  <c r="AY27" i="4"/>
  <c r="BG27" i="4"/>
  <c r="AZ27" i="4"/>
  <c r="BA27" i="4"/>
  <c r="AT19" i="4"/>
  <c r="BB19" i="4"/>
  <c r="AU19" i="4"/>
  <c r="BC19" i="4"/>
  <c r="AV19" i="4"/>
  <c r="BD19" i="4"/>
  <c r="AW19" i="4"/>
  <c r="BE19" i="4"/>
  <c r="AX19" i="4"/>
  <c r="BF19" i="4"/>
  <c r="AY19" i="4"/>
  <c r="BG19" i="4"/>
  <c r="AZ19" i="4"/>
  <c r="BA19" i="4"/>
  <c r="AT11" i="4"/>
  <c r="BB11" i="4"/>
  <c r="AU11" i="4"/>
  <c r="BC11" i="4"/>
  <c r="AV11" i="4"/>
  <c r="BD11" i="4"/>
  <c r="AW11" i="4"/>
  <c r="BE11" i="4"/>
  <c r="AX11" i="4"/>
  <c r="BF11" i="4"/>
  <c r="AY11" i="4"/>
  <c r="BG11" i="4"/>
  <c r="AZ11" i="4"/>
  <c r="BA11" i="4"/>
  <c r="AP137" i="4"/>
  <c r="AN137" i="4"/>
  <c r="AO137" i="4"/>
  <c r="AQ137" i="4"/>
  <c r="AR137" i="4"/>
  <c r="AS137" i="4"/>
  <c r="AP133" i="4"/>
  <c r="AN133" i="4"/>
  <c r="AS133" i="4"/>
  <c r="AQ133" i="4"/>
  <c r="AO133" i="4"/>
  <c r="AR133" i="4"/>
  <c r="AQ129" i="4"/>
  <c r="AO129" i="4"/>
  <c r="AS129" i="4"/>
  <c r="AR129" i="4"/>
  <c r="AN129" i="4"/>
  <c r="AP129" i="4"/>
  <c r="AQ125" i="4"/>
  <c r="AO125" i="4"/>
  <c r="AN125" i="4"/>
  <c r="AR125" i="4"/>
  <c r="AP125" i="4"/>
  <c r="AS125" i="4"/>
  <c r="AQ121" i="4"/>
  <c r="AO121" i="4"/>
  <c r="AP121" i="4"/>
  <c r="AR121" i="4"/>
  <c r="AS121" i="4"/>
  <c r="AN121" i="4"/>
  <c r="AQ117" i="4"/>
  <c r="AO117" i="4"/>
  <c r="AR117" i="4"/>
  <c r="AP117" i="4"/>
  <c r="AS117" i="4"/>
  <c r="AN117" i="4"/>
  <c r="AQ113" i="4"/>
  <c r="AO113" i="4"/>
  <c r="AS113" i="4"/>
  <c r="AP113" i="4"/>
  <c r="AN113" i="4"/>
  <c r="AR113" i="4"/>
  <c r="AQ109" i="4"/>
  <c r="AO109" i="4"/>
  <c r="AN109" i="4"/>
  <c r="AS109" i="4"/>
  <c r="AP109" i="4"/>
  <c r="AR109" i="4"/>
  <c r="AQ105" i="4"/>
  <c r="AO105" i="4"/>
  <c r="AP105" i="4"/>
  <c r="AS105" i="4"/>
  <c r="AN105" i="4"/>
  <c r="AR105" i="4"/>
  <c r="AQ101" i="4"/>
  <c r="AO101" i="4"/>
  <c r="AR101" i="4"/>
  <c r="AN101" i="4"/>
  <c r="AS101" i="4"/>
  <c r="AP101" i="4"/>
  <c r="AQ97" i="4"/>
  <c r="AO97" i="4"/>
  <c r="AS97" i="4"/>
  <c r="AR97" i="4"/>
  <c r="AN97" i="4"/>
  <c r="AP97" i="4"/>
  <c r="AQ93" i="4"/>
  <c r="AO93" i="4"/>
  <c r="AN93" i="4"/>
  <c r="AR93" i="4"/>
  <c r="AP93" i="4"/>
  <c r="AS93" i="4"/>
  <c r="AQ89" i="4"/>
  <c r="AO89" i="4"/>
  <c r="AP89" i="4"/>
  <c r="AR89" i="4"/>
  <c r="AS89" i="4"/>
  <c r="AN89" i="4"/>
  <c r="AP85" i="4"/>
  <c r="AQ85" i="4"/>
  <c r="AO85" i="4"/>
  <c r="AR85" i="4"/>
  <c r="AN85" i="4"/>
  <c r="AS85" i="4"/>
  <c r="AP81" i="4"/>
  <c r="AQ81" i="4"/>
  <c r="AR81" i="4"/>
  <c r="AO81" i="4"/>
  <c r="AN81" i="4"/>
  <c r="AS81" i="4"/>
  <c r="AP77" i="4"/>
  <c r="AQ77" i="4"/>
  <c r="AS77" i="4"/>
  <c r="AO77" i="4"/>
  <c r="AR77" i="4"/>
  <c r="AN77" i="4"/>
  <c r="AP73" i="4"/>
  <c r="AQ73" i="4"/>
  <c r="AN73" i="4"/>
  <c r="AO73" i="4"/>
  <c r="AS73" i="4"/>
  <c r="AR73" i="4"/>
  <c r="AP69" i="4"/>
  <c r="AQ69" i="4"/>
  <c r="AO69" i="4"/>
  <c r="AS69" i="4"/>
  <c r="AN69" i="4"/>
  <c r="AR69" i="4"/>
  <c r="AP65" i="4"/>
  <c r="AQ65" i="4"/>
  <c r="AR65" i="4"/>
  <c r="AN65" i="4"/>
  <c r="AS65" i="4"/>
  <c r="AO65" i="4"/>
  <c r="AP61" i="4"/>
  <c r="AQ61" i="4"/>
  <c r="AR61" i="4"/>
  <c r="AN61" i="4"/>
  <c r="AO61" i="4"/>
  <c r="AS61" i="4"/>
  <c r="AP57" i="4"/>
  <c r="AQ57" i="4"/>
  <c r="AR57" i="4"/>
  <c r="AS57" i="4"/>
  <c r="AO57" i="4"/>
  <c r="AN57" i="4"/>
  <c r="AP53" i="4"/>
  <c r="AQ53" i="4"/>
  <c r="AR53" i="4"/>
  <c r="AN53" i="4"/>
  <c r="AS53" i="4"/>
  <c r="AO53" i="4"/>
  <c r="AP49" i="4"/>
  <c r="AQ49" i="4"/>
  <c r="AR49" i="4"/>
  <c r="AS49" i="4"/>
  <c r="AN49" i="4"/>
  <c r="AO49" i="4"/>
  <c r="AP45" i="4"/>
  <c r="AQ45" i="4"/>
  <c r="AR45" i="4"/>
  <c r="AN45" i="4"/>
  <c r="AO45" i="4"/>
  <c r="AS45" i="4"/>
  <c r="AN41" i="4"/>
  <c r="AR41" i="4"/>
  <c r="AQ41" i="4"/>
  <c r="AP41" i="4"/>
  <c r="AS41" i="4"/>
  <c r="AO41" i="4"/>
  <c r="AN37" i="4"/>
  <c r="AR37" i="4"/>
  <c r="AQ37" i="4"/>
  <c r="AS37" i="4"/>
  <c r="AO37" i="4"/>
  <c r="AP37" i="4"/>
  <c r="AN33" i="4"/>
  <c r="AR33" i="4"/>
  <c r="AQ33" i="4"/>
  <c r="AO33" i="4"/>
  <c r="AS33" i="4"/>
  <c r="AP33" i="4"/>
  <c r="AN29" i="4"/>
  <c r="AR29" i="4"/>
  <c r="AQ29" i="4"/>
  <c r="AO29" i="4"/>
  <c r="AP29" i="4"/>
  <c r="AS29" i="4"/>
  <c r="AN25" i="4"/>
  <c r="AR25" i="4"/>
  <c r="AQ25" i="4"/>
  <c r="AP25" i="4"/>
  <c r="AS25" i="4"/>
  <c r="AO25" i="4"/>
  <c r="AQ21" i="4"/>
  <c r="AR21" i="4"/>
  <c r="AS21" i="4"/>
  <c r="AN21" i="4"/>
  <c r="AO21" i="4"/>
  <c r="AP21" i="4"/>
  <c r="AQ17" i="4"/>
  <c r="AR17" i="4"/>
  <c r="AN17" i="4"/>
  <c r="AP17" i="4"/>
  <c r="AS17" i="4"/>
  <c r="AO17" i="4"/>
  <c r="AQ13" i="4"/>
  <c r="AR13" i="4"/>
  <c r="AO13" i="4"/>
  <c r="AN13" i="4"/>
  <c r="AP13" i="4"/>
  <c r="AS13" i="4"/>
  <c r="AQ9" i="4"/>
  <c r="AR9" i="4"/>
  <c r="AP9" i="4"/>
  <c r="AO9" i="4"/>
  <c r="AS9" i="4"/>
  <c r="AN9" i="4"/>
  <c r="AQ5" i="4"/>
  <c r="AR5" i="4"/>
  <c r="AS5" i="4"/>
  <c r="AN5" i="4"/>
  <c r="AO5" i="4"/>
  <c r="AP5" i="4"/>
  <c r="AP136" i="4"/>
  <c r="AN136" i="4"/>
  <c r="AS136" i="4"/>
  <c r="AQ136" i="4"/>
  <c r="AR136" i="4"/>
  <c r="AO136" i="4"/>
  <c r="AP132" i="4"/>
  <c r="AR132" i="4"/>
  <c r="AO132" i="4"/>
  <c r="AN132" i="4"/>
  <c r="AS132" i="4"/>
  <c r="AQ132" i="4"/>
  <c r="AQ128" i="4"/>
  <c r="AN128" i="4"/>
  <c r="AS128" i="4"/>
  <c r="AR128" i="4"/>
  <c r="AO128" i="4"/>
  <c r="AP128" i="4"/>
  <c r="AQ124" i="4"/>
  <c r="AN124" i="4"/>
  <c r="AS124" i="4"/>
  <c r="AR124" i="4"/>
  <c r="AO124" i="4"/>
  <c r="AP124" i="4"/>
  <c r="AQ120" i="4"/>
  <c r="AN120" i="4"/>
  <c r="AS120" i="4"/>
  <c r="AO120" i="4"/>
  <c r="AR120" i="4"/>
  <c r="AP120" i="4"/>
  <c r="AQ116" i="4"/>
  <c r="AN116" i="4"/>
  <c r="AS116" i="4"/>
  <c r="AP116" i="4"/>
  <c r="AR116" i="4"/>
  <c r="AO116" i="4"/>
  <c r="AQ112" i="4"/>
  <c r="AN112" i="4"/>
  <c r="AS112" i="4"/>
  <c r="AR112" i="4"/>
  <c r="AP112" i="4"/>
  <c r="AO112" i="4"/>
  <c r="AQ108" i="4"/>
  <c r="AN108" i="4"/>
  <c r="AS108" i="4"/>
  <c r="AP108" i="4"/>
  <c r="AO108" i="4"/>
  <c r="AR108" i="4"/>
  <c r="AQ104" i="4"/>
  <c r="AN104" i="4"/>
  <c r="AS104" i="4"/>
  <c r="AO104" i="4"/>
  <c r="AP104" i="4"/>
  <c r="AR104" i="4"/>
  <c r="AQ100" i="4"/>
  <c r="AN100" i="4"/>
  <c r="AS100" i="4"/>
  <c r="AP100" i="4"/>
  <c r="AO100" i="4"/>
  <c r="AR100" i="4"/>
  <c r="AQ96" i="4"/>
  <c r="AN96" i="4"/>
  <c r="AS96" i="4"/>
  <c r="AR96" i="4"/>
  <c r="AO96" i="4"/>
  <c r="AP96" i="4"/>
  <c r="AQ92" i="4"/>
  <c r="AN92" i="4"/>
  <c r="AS92" i="4"/>
  <c r="AR92" i="4"/>
  <c r="AO92" i="4"/>
  <c r="AP92" i="4"/>
  <c r="AQ88" i="4"/>
  <c r="AN88" i="4"/>
  <c r="AS88" i="4"/>
  <c r="AO88" i="4"/>
  <c r="AR88" i="4"/>
  <c r="AP88" i="4"/>
  <c r="AP84" i="4"/>
  <c r="AO84" i="4"/>
  <c r="AN84" i="4"/>
  <c r="AR84" i="4"/>
  <c r="AQ84" i="4"/>
  <c r="AS84" i="4"/>
  <c r="AP80" i="4"/>
  <c r="AO80" i="4"/>
  <c r="AQ80" i="4"/>
  <c r="AR80" i="4"/>
  <c r="AN80" i="4"/>
  <c r="AS80" i="4"/>
  <c r="AP76" i="4"/>
  <c r="AO76" i="4"/>
  <c r="AR76" i="4"/>
  <c r="AQ76" i="4"/>
  <c r="AS76" i="4"/>
  <c r="AN76" i="4"/>
  <c r="AP72" i="4"/>
  <c r="AO72" i="4"/>
  <c r="AS72" i="4"/>
  <c r="AQ72" i="4"/>
  <c r="AR72" i="4"/>
  <c r="AN72" i="4"/>
  <c r="AP68" i="4"/>
  <c r="AO68" i="4"/>
  <c r="AN68" i="4"/>
  <c r="AS68" i="4"/>
  <c r="AQ68" i="4"/>
  <c r="AR68" i="4"/>
  <c r="AP64" i="4"/>
  <c r="AO64" i="4"/>
  <c r="AQ64" i="4"/>
  <c r="AN64" i="4"/>
  <c r="AS64" i="4"/>
  <c r="AR64" i="4"/>
  <c r="AP60" i="4"/>
  <c r="AO60" i="4"/>
  <c r="AQ60" i="4"/>
  <c r="AS60" i="4"/>
  <c r="AN60" i="4"/>
  <c r="AR60" i="4"/>
  <c r="AP56" i="4"/>
  <c r="AO56" i="4"/>
  <c r="AQ56" i="4"/>
  <c r="AR56" i="4"/>
  <c r="AN56" i="4"/>
  <c r="AS56" i="4"/>
  <c r="AP52" i="4"/>
  <c r="AO52" i="4"/>
  <c r="AQ52" i="4"/>
  <c r="AR52" i="4"/>
  <c r="AN52" i="4"/>
  <c r="AS52" i="4"/>
  <c r="AP48" i="4"/>
  <c r="AO48" i="4"/>
  <c r="AQ48" i="4"/>
  <c r="AR48" i="4"/>
  <c r="AS48" i="4"/>
  <c r="AN48" i="4"/>
  <c r="AP44" i="4"/>
  <c r="AO44" i="4"/>
  <c r="AQ44" i="4"/>
  <c r="AN44" i="4"/>
  <c r="AS44" i="4"/>
  <c r="AR44" i="4"/>
  <c r="AN40" i="4"/>
  <c r="AR40" i="4"/>
  <c r="AP40" i="4"/>
  <c r="AO40" i="4"/>
  <c r="AQ40" i="4"/>
  <c r="AS40" i="4"/>
  <c r="AN36" i="4"/>
  <c r="AR36" i="4"/>
  <c r="AP36" i="4"/>
  <c r="AQ36" i="4"/>
  <c r="AS36" i="4"/>
  <c r="AO36" i="4"/>
  <c r="AN32" i="4"/>
  <c r="AR32" i="4"/>
  <c r="AP32" i="4"/>
  <c r="AS32" i="4"/>
  <c r="AO32" i="4"/>
  <c r="AQ32" i="4"/>
  <c r="AN28" i="4"/>
  <c r="AR28" i="4"/>
  <c r="AP28" i="4"/>
  <c r="AO28" i="4"/>
  <c r="AQ28" i="4"/>
  <c r="AS28" i="4"/>
  <c r="AN24" i="4"/>
  <c r="AR24" i="4"/>
  <c r="AP24" i="4"/>
  <c r="AO24" i="4"/>
  <c r="AQ24" i="4"/>
  <c r="AS24" i="4"/>
  <c r="AQ20" i="4"/>
  <c r="AP20" i="4"/>
  <c r="AR20" i="4"/>
  <c r="AN20" i="4"/>
  <c r="AO20" i="4"/>
  <c r="AS20" i="4"/>
  <c r="AQ16" i="4"/>
  <c r="AP16" i="4"/>
  <c r="AS16" i="4"/>
  <c r="AR16" i="4"/>
  <c r="AO16" i="4"/>
  <c r="AN16" i="4"/>
  <c r="AQ12" i="4"/>
  <c r="AP12" i="4"/>
  <c r="AN12" i="4"/>
  <c r="AO12" i="4"/>
  <c r="AS12" i="4"/>
  <c r="AR12" i="4"/>
  <c r="AQ8" i="4"/>
  <c r="AP8" i="4"/>
  <c r="AO8" i="4"/>
  <c r="AR8" i="4"/>
  <c r="AS8" i="4"/>
  <c r="AN8" i="4"/>
  <c r="AP139" i="4"/>
  <c r="AQ139" i="4"/>
  <c r="AN139" i="4"/>
  <c r="AO139" i="4"/>
  <c r="AR139" i="4"/>
  <c r="AS139" i="4"/>
  <c r="AP135" i="4"/>
  <c r="AR135" i="4"/>
  <c r="AO135" i="4"/>
  <c r="AQ135" i="4"/>
  <c r="AN135" i="4"/>
  <c r="AS135" i="4"/>
  <c r="AP131" i="4"/>
  <c r="AQ131" i="4"/>
  <c r="AN131" i="4"/>
  <c r="AR131" i="4"/>
  <c r="AS131" i="4"/>
  <c r="AO131" i="4"/>
  <c r="AQ127" i="4"/>
  <c r="AR127" i="4"/>
  <c r="AP127" i="4"/>
  <c r="AO127" i="4"/>
  <c r="AS127" i="4"/>
  <c r="AN127" i="4"/>
  <c r="AQ123" i="4"/>
  <c r="AR123" i="4"/>
  <c r="AS123" i="4"/>
  <c r="AO123" i="4"/>
  <c r="AN123" i="4"/>
  <c r="AP123" i="4"/>
  <c r="AQ119" i="4"/>
  <c r="AR119" i="4"/>
  <c r="AN119" i="4"/>
  <c r="AS119" i="4"/>
  <c r="AO119" i="4"/>
  <c r="AP119" i="4"/>
  <c r="AQ115" i="4"/>
  <c r="AR115" i="4"/>
  <c r="AO115" i="4"/>
  <c r="AS115" i="4"/>
  <c r="AN115" i="4"/>
  <c r="AP115" i="4"/>
  <c r="AQ111" i="4"/>
  <c r="AR111" i="4"/>
  <c r="AP111" i="4"/>
  <c r="AN111" i="4"/>
  <c r="AS111" i="4"/>
  <c r="AO111" i="4"/>
  <c r="AQ107" i="4"/>
  <c r="AR107" i="4"/>
  <c r="AS107" i="4"/>
  <c r="AP107" i="4"/>
  <c r="AN107" i="4"/>
  <c r="AO107" i="4"/>
  <c r="AQ103" i="4"/>
  <c r="AR103" i="4"/>
  <c r="AN103" i="4"/>
  <c r="AP103" i="4"/>
  <c r="AO103" i="4"/>
  <c r="AS103" i="4"/>
  <c r="AQ99" i="4"/>
  <c r="AR99" i="4"/>
  <c r="AO99" i="4"/>
  <c r="AP99" i="4"/>
  <c r="AS99" i="4"/>
  <c r="AN99" i="4"/>
  <c r="AQ95" i="4"/>
  <c r="AR95" i="4"/>
  <c r="AP95" i="4"/>
  <c r="AO95" i="4"/>
  <c r="AS95" i="4"/>
  <c r="AN95" i="4"/>
  <c r="AQ91" i="4"/>
  <c r="AR91" i="4"/>
  <c r="AS91" i="4"/>
  <c r="AO91" i="4"/>
  <c r="AN91" i="4"/>
  <c r="AP91" i="4"/>
  <c r="AQ87" i="4"/>
  <c r="AR87" i="4"/>
  <c r="AN87" i="4"/>
  <c r="AS87" i="4"/>
  <c r="AO87" i="4"/>
  <c r="AP87" i="4"/>
  <c r="AP83" i="4"/>
  <c r="AN83" i="4"/>
  <c r="AS83" i="4"/>
  <c r="AO83" i="4"/>
  <c r="AR83" i="4"/>
  <c r="AQ83" i="4"/>
  <c r="AP79" i="4"/>
  <c r="AN79" i="4"/>
  <c r="AS79" i="4"/>
  <c r="AO79" i="4"/>
  <c r="AR79" i="4"/>
  <c r="AQ79" i="4"/>
  <c r="AP75" i="4"/>
  <c r="AN75" i="4"/>
  <c r="AS75" i="4"/>
  <c r="AQ75" i="4"/>
  <c r="AR75" i="4"/>
  <c r="AO75" i="4"/>
  <c r="AP71" i="4"/>
  <c r="AN71" i="4"/>
  <c r="AS71" i="4"/>
  <c r="AR71" i="4"/>
  <c r="AQ71" i="4"/>
  <c r="AO71" i="4"/>
  <c r="AP67" i="4"/>
  <c r="AN67" i="4"/>
  <c r="AS67" i="4"/>
  <c r="AQ67" i="4"/>
  <c r="AO67" i="4"/>
  <c r="AR67" i="4"/>
  <c r="AP63" i="4"/>
  <c r="AN63" i="4"/>
  <c r="AS63" i="4"/>
  <c r="AO63" i="4"/>
  <c r="AQ63" i="4"/>
  <c r="AR63" i="4"/>
  <c r="AP59" i="4"/>
  <c r="AN59" i="4"/>
  <c r="AS59" i="4"/>
  <c r="AO59" i="4"/>
  <c r="AR59" i="4"/>
  <c r="AQ59" i="4"/>
  <c r="AP55" i="4"/>
  <c r="AN55" i="4"/>
  <c r="AS55" i="4"/>
  <c r="AO55" i="4"/>
  <c r="AQ55" i="4"/>
  <c r="AR55" i="4"/>
  <c r="AP51" i="4"/>
  <c r="AN51" i="4"/>
  <c r="AS51" i="4"/>
  <c r="AO51" i="4"/>
  <c r="AQ51" i="4"/>
  <c r="AR51" i="4"/>
  <c r="AP47" i="4"/>
  <c r="AN47" i="4"/>
  <c r="AS47" i="4"/>
  <c r="AO47" i="4"/>
  <c r="AQ47" i="4"/>
  <c r="AR47" i="4"/>
  <c r="AN43" i="4"/>
  <c r="AR43" i="4"/>
  <c r="AO43" i="4"/>
  <c r="AS43" i="4"/>
  <c r="AQ43" i="4"/>
  <c r="AP43" i="4"/>
  <c r="AN39" i="4"/>
  <c r="AR39" i="4"/>
  <c r="AO39" i="4"/>
  <c r="AP39" i="4"/>
  <c r="AQ39" i="4"/>
  <c r="AS39" i="4"/>
  <c r="AN35" i="4"/>
  <c r="AR35" i="4"/>
  <c r="AO35" i="4"/>
  <c r="AP35" i="4"/>
  <c r="AQ35" i="4"/>
  <c r="AS35" i="4"/>
  <c r="AN31" i="4"/>
  <c r="AR31" i="4"/>
  <c r="AO31" i="4"/>
  <c r="AQ31" i="4"/>
  <c r="AS31" i="4"/>
  <c r="AP31" i="4"/>
  <c r="AN27" i="4"/>
  <c r="AR27" i="4"/>
  <c r="AO27" i="4"/>
  <c r="AS27" i="4"/>
  <c r="AP27" i="4"/>
  <c r="AQ27" i="4"/>
  <c r="AN23" i="4"/>
  <c r="AR23" i="4"/>
  <c r="AO23" i="4"/>
  <c r="AP23" i="4"/>
  <c r="AS23" i="4"/>
  <c r="AQ23" i="4"/>
  <c r="AQ19" i="4"/>
  <c r="AO19" i="4"/>
  <c r="AP19" i="4"/>
  <c r="AN19" i="4"/>
  <c r="AR19" i="4"/>
  <c r="AS19" i="4"/>
  <c r="AQ15" i="4"/>
  <c r="AO15" i="4"/>
  <c r="AR15" i="4"/>
  <c r="AS15" i="4"/>
  <c r="AN15" i="4"/>
  <c r="AP15" i="4"/>
  <c r="AQ11" i="4"/>
  <c r="AO11" i="4"/>
  <c r="AS11" i="4"/>
  <c r="AN11" i="4"/>
  <c r="AP11" i="4"/>
  <c r="AR11" i="4"/>
  <c r="AQ7" i="4"/>
  <c r="AO7" i="4"/>
  <c r="AN7" i="4"/>
  <c r="AR7" i="4"/>
  <c r="AS7" i="4"/>
  <c r="AP7" i="4"/>
  <c r="AP138" i="4"/>
  <c r="AR138" i="4"/>
  <c r="AS138" i="4"/>
  <c r="AQ138" i="4"/>
  <c r="AN138" i="4"/>
  <c r="AO138" i="4"/>
  <c r="AP134" i="4"/>
  <c r="AO134" i="4"/>
  <c r="AR134" i="4"/>
  <c r="AN134" i="4"/>
  <c r="AQ134" i="4"/>
  <c r="AS134" i="4"/>
  <c r="AP130" i="4"/>
  <c r="AO130" i="4"/>
  <c r="AS130" i="4"/>
  <c r="AQ130" i="4"/>
  <c r="AR130" i="4"/>
  <c r="AN130" i="4"/>
  <c r="AQ126" i="4"/>
  <c r="AP126" i="4"/>
  <c r="AO126" i="4"/>
  <c r="AR126" i="4"/>
  <c r="AS126" i="4"/>
  <c r="AN126" i="4"/>
  <c r="AQ122" i="4"/>
  <c r="AP122" i="4"/>
  <c r="AR122" i="4"/>
  <c r="AO122" i="4"/>
  <c r="AS122" i="4"/>
  <c r="AN122" i="4"/>
  <c r="AQ118" i="4"/>
  <c r="AP118" i="4"/>
  <c r="AS118" i="4"/>
  <c r="AO118" i="4"/>
  <c r="AN118" i="4"/>
  <c r="AR118" i="4"/>
  <c r="AQ114" i="4"/>
  <c r="AP114" i="4"/>
  <c r="AN114" i="4"/>
  <c r="AS114" i="4"/>
  <c r="AO114" i="4"/>
  <c r="AR114" i="4"/>
  <c r="AQ110" i="4"/>
  <c r="AP110" i="4"/>
  <c r="AO110" i="4"/>
  <c r="AS110" i="4"/>
  <c r="AN110" i="4"/>
  <c r="AR110" i="4"/>
  <c r="AQ106" i="4"/>
  <c r="AP106" i="4"/>
  <c r="AR106" i="4"/>
  <c r="AN106" i="4"/>
  <c r="AS106" i="4"/>
  <c r="AO106" i="4"/>
  <c r="AQ102" i="4"/>
  <c r="AP102" i="4"/>
  <c r="AS102" i="4"/>
  <c r="AR102" i="4"/>
  <c r="AN102" i="4"/>
  <c r="AO102" i="4"/>
  <c r="AQ98" i="4"/>
  <c r="AP98" i="4"/>
  <c r="AN98" i="4"/>
  <c r="AR98" i="4"/>
  <c r="AO98" i="4"/>
  <c r="AS98" i="4"/>
  <c r="AQ94" i="4"/>
  <c r="AP94" i="4"/>
  <c r="AO94" i="4"/>
  <c r="AR94" i="4"/>
  <c r="AS94" i="4"/>
  <c r="AN94" i="4"/>
  <c r="AQ90" i="4"/>
  <c r="AP90" i="4"/>
  <c r="AR90" i="4"/>
  <c r="AO90" i="4"/>
  <c r="AS90" i="4"/>
  <c r="AN90" i="4"/>
  <c r="AQ86" i="4"/>
  <c r="AP86" i="4"/>
  <c r="AS86" i="4"/>
  <c r="AO86" i="4"/>
  <c r="AN86" i="4"/>
  <c r="AR86" i="4"/>
  <c r="AP82" i="4"/>
  <c r="AR82" i="4"/>
  <c r="AS82" i="4"/>
  <c r="AO82" i="4"/>
  <c r="AN82" i="4"/>
  <c r="AQ82" i="4"/>
  <c r="AP78" i="4"/>
  <c r="AR78" i="4"/>
  <c r="AN78" i="4"/>
  <c r="AS78" i="4"/>
  <c r="AO78" i="4"/>
  <c r="AQ78" i="4"/>
  <c r="AP74" i="4"/>
  <c r="AR74" i="4"/>
  <c r="AO74" i="4"/>
  <c r="AN74" i="4"/>
  <c r="AS74" i="4"/>
  <c r="AQ74" i="4"/>
  <c r="AP70" i="4"/>
  <c r="AR70" i="4"/>
  <c r="AQ70" i="4"/>
  <c r="AS70" i="4"/>
  <c r="AN70" i="4"/>
  <c r="AO70" i="4"/>
  <c r="AP66" i="4"/>
  <c r="AR66" i="4"/>
  <c r="AS66" i="4"/>
  <c r="AN66" i="4"/>
  <c r="AQ66" i="4"/>
  <c r="AO66" i="4"/>
  <c r="AP62" i="4"/>
  <c r="AR62" i="4"/>
  <c r="AN62" i="4"/>
  <c r="AS62" i="4"/>
  <c r="AO62" i="4"/>
  <c r="AQ62" i="4"/>
  <c r="AP58" i="4"/>
  <c r="AR58" i="4"/>
  <c r="AN58" i="4"/>
  <c r="AS58" i="4"/>
  <c r="AQ58" i="4"/>
  <c r="AO58" i="4"/>
  <c r="AP54" i="4"/>
  <c r="AR54" i="4"/>
  <c r="AN54" i="4"/>
  <c r="AS54" i="4"/>
  <c r="AO54" i="4"/>
  <c r="AQ54" i="4"/>
  <c r="AP50" i="4"/>
  <c r="AR50" i="4"/>
  <c r="AN50" i="4"/>
  <c r="AS50" i="4"/>
  <c r="AO50" i="4"/>
  <c r="AQ50" i="4"/>
  <c r="AP46" i="4"/>
  <c r="AR46" i="4"/>
  <c r="AN46" i="4"/>
  <c r="AS46" i="4"/>
  <c r="AO46" i="4"/>
  <c r="AQ46" i="4"/>
  <c r="AN42" i="4"/>
  <c r="AR42" i="4"/>
  <c r="AS42" i="4"/>
  <c r="AQ42" i="4"/>
  <c r="AO42" i="4"/>
  <c r="AP42" i="4"/>
  <c r="AN38" i="4"/>
  <c r="AR38" i="4"/>
  <c r="AS38" i="4"/>
  <c r="AO38" i="4"/>
  <c r="AP38" i="4"/>
  <c r="AQ38" i="4"/>
  <c r="AN34" i="4"/>
  <c r="AR34" i="4"/>
  <c r="AS34" i="4"/>
  <c r="AO34" i="4"/>
  <c r="AP34" i="4"/>
  <c r="AQ34" i="4"/>
  <c r="AN30" i="4"/>
  <c r="AR30" i="4"/>
  <c r="AS30" i="4"/>
  <c r="AP30" i="4"/>
  <c r="AQ30" i="4"/>
  <c r="AO30" i="4"/>
  <c r="AN26" i="4"/>
  <c r="AR26" i="4"/>
  <c r="AS26" i="4"/>
  <c r="AQ26" i="4"/>
  <c r="AP26" i="4"/>
  <c r="AO26" i="4"/>
  <c r="AN22" i="4"/>
  <c r="AR22" i="4"/>
  <c r="AS22" i="4"/>
  <c r="AO22" i="4"/>
  <c r="AP22" i="4"/>
  <c r="AQ22" i="4"/>
  <c r="AQ18" i="4"/>
  <c r="AN18" i="4"/>
  <c r="AS18" i="4"/>
  <c r="AO18" i="4"/>
  <c r="AP18" i="4"/>
  <c r="AR18" i="4"/>
  <c r="AQ14" i="4"/>
  <c r="AN14" i="4"/>
  <c r="AS14" i="4"/>
  <c r="AP14" i="4"/>
  <c r="AR14" i="4"/>
  <c r="AO14" i="4"/>
  <c r="AQ10" i="4"/>
  <c r="AN10" i="4"/>
  <c r="AS10" i="4"/>
  <c r="AR10" i="4"/>
  <c r="AO10" i="4"/>
  <c r="AP10" i="4"/>
  <c r="AQ6" i="4"/>
  <c r="AN6" i="4"/>
  <c r="AS6" i="4"/>
  <c r="AR6" i="4"/>
  <c r="AO6" i="4"/>
  <c r="AP6" i="4"/>
  <c r="AI138" i="4"/>
  <c r="AI134" i="4"/>
  <c r="AI122" i="4"/>
  <c r="AI118" i="4"/>
  <c r="AI114" i="4"/>
  <c r="AI106" i="4"/>
  <c r="AI102" i="4"/>
  <c r="AI98" i="4"/>
  <c r="AI90" i="4"/>
  <c r="AI86" i="4"/>
  <c r="AI82" i="4"/>
  <c r="AI74" i="4"/>
  <c r="AI70" i="4"/>
  <c r="AI66" i="4"/>
  <c r="AI62" i="4"/>
  <c r="AI54" i="4"/>
  <c r="AI50" i="4"/>
  <c r="AI46" i="4"/>
  <c r="AI38" i="4"/>
  <c r="AI34" i="4"/>
  <c r="AI30" i="4"/>
  <c r="AI22" i="4"/>
  <c r="AI18" i="4"/>
  <c r="AI14" i="4"/>
  <c r="AI7" i="4"/>
  <c r="AI120" i="4"/>
  <c r="AI104" i="4"/>
  <c r="AI88" i="4"/>
  <c r="AI130" i="4"/>
  <c r="AI136" i="4"/>
  <c r="AI72" i="4"/>
  <c r="AI125" i="4"/>
  <c r="AI109" i="4"/>
  <c r="AI58" i="4"/>
  <c r="AI42" i="4"/>
  <c r="AI26" i="4"/>
  <c r="AI10" i="4"/>
  <c r="AI137" i="4"/>
  <c r="AI121" i="4"/>
  <c r="AI105" i="4"/>
  <c r="AI93" i="4"/>
  <c r="AI85" i="4"/>
  <c r="AI73" i="4"/>
  <c r="AI57" i="4"/>
  <c r="AI41" i="4"/>
  <c r="AI25" i="4"/>
  <c r="AI8" i="4"/>
  <c r="AI133" i="4"/>
  <c r="AI117" i="4"/>
  <c r="AI101" i="4"/>
  <c r="AI89" i="4"/>
  <c r="AI69" i="4"/>
  <c r="AI53" i="4"/>
  <c r="AI37" i="4"/>
  <c r="AI21" i="4"/>
  <c r="AI126" i="4"/>
  <c r="AI110" i="4"/>
  <c r="AI94" i="4"/>
  <c r="AI78" i="4"/>
  <c r="AI129" i="4"/>
  <c r="AI113" i="4"/>
  <c r="AI97" i="4"/>
  <c r="AI81" i="4"/>
  <c r="AI77" i="4"/>
  <c r="AI65" i="4"/>
  <c r="AI61" i="4"/>
  <c r="AI49" i="4"/>
  <c r="AI45" i="4"/>
  <c r="AI33" i="4"/>
  <c r="AI29" i="4"/>
  <c r="AI17" i="4"/>
  <c r="AI13" i="4"/>
  <c r="AI5" i="4"/>
  <c r="AI132" i="4"/>
  <c r="AI128" i="4"/>
  <c r="AI124" i="4"/>
  <c r="AI116" i="4"/>
  <c r="AI112" i="4"/>
  <c r="AI108" i="4"/>
  <c r="AI100" i="4"/>
  <c r="AI96" i="4"/>
  <c r="AI92" i="4"/>
  <c r="AI84" i="4"/>
  <c r="AI80" i="4"/>
  <c r="AI76" i="4"/>
  <c r="AI68" i="4"/>
  <c r="AI64" i="4"/>
  <c r="AI60" i="4"/>
  <c r="AI56" i="4"/>
  <c r="AI52" i="4"/>
  <c r="AI48" i="4"/>
  <c r="AI44" i="4"/>
  <c r="AI40" i="4"/>
  <c r="AI36" i="4"/>
  <c r="AI32" i="4"/>
  <c r="AI28" i="4"/>
  <c r="AI24" i="4"/>
  <c r="AI20" i="4"/>
  <c r="AI16" i="4"/>
  <c r="AI12" i="4"/>
  <c r="AI139" i="4"/>
  <c r="AI135" i="4"/>
  <c r="AI131" i="4"/>
  <c r="AI127" i="4"/>
  <c r="AI123" i="4"/>
  <c r="AI119" i="4"/>
  <c r="AI115" i="4"/>
  <c r="AI111" i="4"/>
  <c r="AI107" i="4"/>
  <c r="AI103" i="4"/>
  <c r="AI99" i="4"/>
  <c r="AI95" i="4"/>
  <c r="AI91" i="4"/>
  <c r="AI87" i="4"/>
  <c r="AI83" i="4"/>
  <c r="AI79" i="4"/>
  <c r="AI75" i="4"/>
  <c r="AI71" i="4"/>
  <c r="AI67" i="4"/>
  <c r="AI63" i="4"/>
  <c r="AI59" i="4"/>
  <c r="AI55" i="4"/>
  <c r="AI51" i="4"/>
  <c r="AI47" i="4"/>
  <c r="AI43" i="4"/>
  <c r="AI39" i="4"/>
  <c r="AI35" i="4"/>
  <c r="AI31" i="4"/>
  <c r="AI27" i="4"/>
  <c r="AI23" i="4"/>
  <c r="AI19" i="4"/>
  <c r="AI15" i="4"/>
  <c r="AI11" i="4"/>
  <c r="AI6" i="4"/>
  <c r="AI9" i="4"/>
  <c r="AM11" i="4" l="1"/>
  <c r="BH11" i="4"/>
  <c r="BH7" i="4" l="1"/>
  <c r="BH81" i="4"/>
  <c r="AM7" i="4"/>
  <c r="AM81" i="4"/>
  <c r="BJ11" i="4"/>
  <c r="BL11" i="4" s="1"/>
  <c r="BH76" i="4"/>
  <c r="AM76" i="4"/>
  <c r="AM79" i="4"/>
  <c r="BH80" i="4"/>
  <c r="BH79" i="4"/>
  <c r="AM80" i="4"/>
  <c r="BK11" i="4" l="1"/>
  <c r="BJ81" i="4"/>
  <c r="BL81" i="4" s="1"/>
  <c r="BJ7" i="4"/>
  <c r="BL7" i="4" s="1"/>
  <c r="BJ76" i="4"/>
  <c r="BJ80" i="4"/>
  <c r="BJ79" i="4"/>
  <c r="BK81" i="4" l="1"/>
  <c r="BK7" i="4"/>
  <c r="BK76" i="4"/>
  <c r="BL76" i="4"/>
  <c r="BL80" i="4"/>
  <c r="BK80" i="4"/>
  <c r="BK79" i="4"/>
  <c r="BL79" i="4"/>
  <c r="BH32" i="4" l="1"/>
  <c r="BH36" i="4"/>
  <c r="AM36" i="4" l="1"/>
  <c r="AM32" i="4"/>
  <c r="AM35" i="4"/>
  <c r="BH35" i="4"/>
  <c r="BH86" i="4"/>
  <c r="AM48" i="4"/>
  <c r="BH48" i="4"/>
  <c r="AM86" i="4"/>
  <c r="AM49" i="4"/>
  <c r="BH49" i="4"/>
  <c r="AM83" i="4"/>
  <c r="BH83" i="4"/>
  <c r="BH85" i="4"/>
  <c r="AM85" i="4"/>
  <c r="AM84" i="4"/>
  <c r="BH84" i="4"/>
  <c r="BJ32" i="4" l="1"/>
  <c r="BK32" i="4" s="1"/>
  <c r="BJ35" i="4"/>
  <c r="BL35" i="4" s="1"/>
  <c r="BJ86" i="4"/>
  <c r="BL86" i="4" s="1"/>
  <c r="BJ36" i="4"/>
  <c r="BJ49" i="4"/>
  <c r="BJ48" i="4"/>
  <c r="BJ84" i="4"/>
  <c r="BJ85" i="4"/>
  <c r="BJ83" i="4"/>
  <c r="BK86" i="4" l="1"/>
  <c r="BK35" i="4"/>
  <c r="BL32" i="4"/>
  <c r="BK49" i="4"/>
  <c r="BL49" i="4"/>
  <c r="BL36" i="4"/>
  <c r="BK36" i="4"/>
  <c r="BL48" i="4"/>
  <c r="BK48" i="4"/>
  <c r="BL83" i="4"/>
  <c r="BK83" i="4"/>
  <c r="BK85" i="4"/>
  <c r="BL85" i="4"/>
  <c r="BK84" i="4"/>
  <c r="BL84" i="4"/>
  <c r="AM37" i="4" l="1"/>
  <c r="BH37" i="4"/>
  <c r="BH33" i="4"/>
  <c r="AM33" i="4"/>
  <c r="AM34" i="4"/>
  <c r="BH34" i="4"/>
  <c r="BH31" i="4"/>
  <c r="AM31" i="4"/>
  <c r="AM56" i="4" l="1"/>
  <c r="BJ37" i="4"/>
  <c r="BK37" i="4" s="1"/>
  <c r="BJ31" i="4"/>
  <c r="BL31" i="4" s="1"/>
  <c r="BJ34" i="4"/>
  <c r="BL34" i="4" s="1"/>
  <c r="BJ33" i="4"/>
  <c r="BL33" i="4" s="1"/>
  <c r="AM13" i="4"/>
  <c r="BH13" i="4"/>
  <c r="BH57" i="4"/>
  <c r="BH56" i="4"/>
  <c r="AM57" i="4"/>
  <c r="BL37" i="4" l="1"/>
  <c r="BK31" i="4"/>
  <c r="BK34" i="4"/>
  <c r="BK33" i="4"/>
  <c r="BJ13" i="4"/>
  <c r="BK13" i="4" s="1"/>
  <c r="BJ56" i="4"/>
  <c r="BK56" i="4" s="1"/>
  <c r="BJ57" i="4"/>
  <c r="BL13" i="4" l="1"/>
  <c r="BL56" i="4"/>
  <c r="BL57" i="4"/>
  <c r="BK57" i="4"/>
  <c r="AM54" i="4" l="1"/>
  <c r="BH54" i="4"/>
  <c r="BH55" i="4"/>
  <c r="AM55" i="4"/>
  <c r="AM66" i="4"/>
  <c r="BH66" i="4"/>
  <c r="BH67" i="4"/>
  <c r="AM67" i="4"/>
  <c r="AM6" i="4"/>
  <c r="BH6" i="4"/>
  <c r="BJ54" i="4" l="1"/>
  <c r="BL54" i="4" s="1"/>
  <c r="BJ55" i="4"/>
  <c r="BJ66" i="4"/>
  <c r="BL66" i="4" s="1"/>
  <c r="BJ67" i="4"/>
  <c r="BJ6" i="4"/>
  <c r="BL6" i="4" s="1"/>
  <c r="BK6" i="4" l="1"/>
  <c r="BK54" i="4"/>
  <c r="BK55" i="4"/>
  <c r="BL55" i="4"/>
  <c r="BK66" i="4"/>
  <c r="BL67" i="4"/>
  <c r="BK67" i="4"/>
  <c r="BH3" i="4" l="1"/>
  <c r="AF4" i="4" l="1"/>
  <c r="AC4" i="4"/>
  <c r="AE4" i="4" s="1"/>
  <c r="AM3" i="4"/>
  <c r="G1" i="4"/>
  <c r="AV4" i="4" l="1"/>
  <c r="BD4" i="4"/>
  <c r="AW4" i="4"/>
  <c r="BE4" i="4"/>
  <c r="AX4" i="4"/>
  <c r="BF4" i="4"/>
  <c r="AY4" i="4"/>
  <c r="BG4" i="4"/>
  <c r="AZ4" i="4"/>
  <c r="BA4" i="4"/>
  <c r="AT4" i="4"/>
  <c r="BB4" i="4"/>
  <c r="AU4" i="4"/>
  <c r="BC4" i="4"/>
  <c r="AP4" i="4"/>
  <c r="AQ4" i="4"/>
  <c r="AR4" i="4"/>
  <c r="AS4" i="4"/>
  <c r="AN4" i="4"/>
  <c r="AO4" i="4"/>
  <c r="AM88" i="4"/>
  <c r="BH88" i="4"/>
  <c r="BH90" i="4"/>
  <c r="AM90" i="4"/>
  <c r="AM92" i="4"/>
  <c r="BH92" i="4"/>
  <c r="BH94" i="4"/>
  <c r="AM94" i="4"/>
  <c r="AM96" i="4"/>
  <c r="BH96" i="4"/>
  <c r="AM98" i="4"/>
  <c r="BH98" i="4"/>
  <c r="AM100" i="4"/>
  <c r="BH100" i="4"/>
  <c r="AM103" i="4"/>
  <c r="BH103" i="4"/>
  <c r="BH106" i="4"/>
  <c r="AM106" i="4"/>
  <c r="AM108" i="4"/>
  <c r="BH108" i="4"/>
  <c r="AM110" i="4"/>
  <c r="BH110" i="4"/>
  <c r="AM112" i="4"/>
  <c r="BH112" i="4"/>
  <c r="AM113" i="4"/>
  <c r="BH113" i="4"/>
  <c r="AM116" i="4"/>
  <c r="BH116" i="4"/>
  <c r="AM118" i="4"/>
  <c r="BH118" i="4"/>
  <c r="AM120" i="4"/>
  <c r="BH120" i="4"/>
  <c r="AM122" i="4"/>
  <c r="BH122" i="4"/>
  <c r="AM124" i="4"/>
  <c r="BH124" i="4"/>
  <c r="AM126" i="4"/>
  <c r="BH126" i="4"/>
  <c r="AM128" i="4"/>
  <c r="BH128" i="4"/>
  <c r="AM130" i="4"/>
  <c r="BH130" i="4"/>
  <c r="AM132" i="4"/>
  <c r="BH132" i="4"/>
  <c r="AM134" i="4"/>
  <c r="BH134" i="4"/>
  <c r="AM136" i="4"/>
  <c r="BH136" i="4"/>
  <c r="AM138" i="4"/>
  <c r="BH138" i="4"/>
  <c r="BH87" i="4"/>
  <c r="AM87" i="4"/>
  <c r="BH89" i="4"/>
  <c r="AM89" i="4"/>
  <c r="BH91" i="4"/>
  <c r="AM91" i="4"/>
  <c r="BH93" i="4"/>
  <c r="AM93" i="4"/>
  <c r="BH95" i="4"/>
  <c r="AM95" i="4"/>
  <c r="AM97" i="4"/>
  <c r="BH97" i="4"/>
  <c r="AM99" i="4"/>
  <c r="BH99" i="4"/>
  <c r="BH101" i="4"/>
  <c r="AM101" i="4"/>
  <c r="BH102" i="4"/>
  <c r="AM102" i="4"/>
  <c r="BH104" i="4"/>
  <c r="AM104" i="4"/>
  <c r="BH105" i="4"/>
  <c r="AM105" i="4"/>
  <c r="BH107" i="4"/>
  <c r="AM107" i="4"/>
  <c r="AM109" i="4"/>
  <c r="BH109" i="4"/>
  <c r="AM111" i="4"/>
  <c r="BH111" i="4"/>
  <c r="AM114" i="4"/>
  <c r="BH114" i="4"/>
  <c r="AM115" i="4"/>
  <c r="BH115" i="4"/>
  <c r="AM117" i="4"/>
  <c r="BH117" i="4"/>
  <c r="AM119" i="4"/>
  <c r="BH119" i="4"/>
  <c r="AM121" i="4"/>
  <c r="BH121" i="4"/>
  <c r="AM123" i="4"/>
  <c r="BH123" i="4"/>
  <c r="AM125" i="4"/>
  <c r="BH125" i="4"/>
  <c r="AM127" i="4"/>
  <c r="BH127" i="4"/>
  <c r="AM129" i="4"/>
  <c r="BH129" i="4"/>
  <c r="AM131" i="4"/>
  <c r="BH131" i="4"/>
  <c r="AM133" i="4"/>
  <c r="BH133" i="4"/>
  <c r="AM135" i="4"/>
  <c r="BH135" i="4"/>
  <c r="AM137" i="4"/>
  <c r="BH137" i="4"/>
  <c r="BH139" i="4"/>
  <c r="AM139" i="4"/>
  <c r="AM82" i="4"/>
  <c r="BH82" i="4"/>
  <c r="AM78" i="4"/>
  <c r="BH78" i="4"/>
  <c r="BH25" i="4"/>
  <c r="AM25" i="4"/>
  <c r="BH27" i="4"/>
  <c r="AM27" i="4"/>
  <c r="AM29" i="4"/>
  <c r="BH29" i="4"/>
  <c r="AM38" i="4"/>
  <c r="BH38" i="4"/>
  <c r="BH40" i="4"/>
  <c r="AM40" i="4"/>
  <c r="BH42" i="4"/>
  <c r="AM42" i="4"/>
  <c r="AM44" i="4"/>
  <c r="BH44" i="4"/>
  <c r="AM46" i="4"/>
  <c r="BH46" i="4"/>
  <c r="BH50" i="4"/>
  <c r="AM50" i="4"/>
  <c r="BH52" i="4"/>
  <c r="AM52" i="4"/>
  <c r="BH58" i="4"/>
  <c r="AM58" i="4"/>
  <c r="BH60" i="4"/>
  <c r="AM60" i="4"/>
  <c r="BH62" i="4"/>
  <c r="AM62" i="4"/>
  <c r="BH64" i="4"/>
  <c r="AM64" i="4"/>
  <c r="BH68" i="4"/>
  <c r="AM68" i="4"/>
  <c r="BH70" i="4"/>
  <c r="AM70" i="4"/>
  <c r="BH72" i="4"/>
  <c r="AM72" i="4"/>
  <c r="BH74" i="4"/>
  <c r="AM74" i="4"/>
  <c r="AM77" i="4"/>
  <c r="BH77" i="4"/>
  <c r="BH26" i="4"/>
  <c r="AM26" i="4"/>
  <c r="AM28" i="4"/>
  <c r="BH28" i="4"/>
  <c r="AM30" i="4"/>
  <c r="BH30" i="4"/>
  <c r="AM39" i="4"/>
  <c r="BH39" i="4"/>
  <c r="BH41" i="4"/>
  <c r="AM41" i="4"/>
  <c r="AM43" i="4"/>
  <c r="BH43" i="4"/>
  <c r="AM45" i="4"/>
  <c r="BH45" i="4"/>
  <c r="AM47" i="4"/>
  <c r="BH47" i="4"/>
  <c r="BH51" i="4"/>
  <c r="AM51" i="4"/>
  <c r="BH53" i="4"/>
  <c r="AM53" i="4"/>
  <c r="BH59" i="4"/>
  <c r="AM59" i="4"/>
  <c r="BH61" i="4"/>
  <c r="AM61" i="4"/>
  <c r="BH63" i="4"/>
  <c r="AM63" i="4"/>
  <c r="BH65" i="4"/>
  <c r="AM65" i="4"/>
  <c r="BH69" i="4"/>
  <c r="AM69" i="4"/>
  <c r="BH71" i="4"/>
  <c r="AM71" i="4"/>
  <c r="BH73" i="4"/>
  <c r="AM73" i="4"/>
  <c r="BH75" i="4"/>
  <c r="AM75" i="4"/>
  <c r="BH24" i="4"/>
  <c r="AM24" i="4"/>
  <c r="AM22" i="4"/>
  <c r="BH22" i="4"/>
  <c r="AM21" i="4"/>
  <c r="BH21" i="4"/>
  <c r="AM23" i="4"/>
  <c r="BH23" i="4"/>
  <c r="AM20" i="4"/>
  <c r="BH20" i="4"/>
  <c r="AM19" i="4"/>
  <c r="BH19" i="4"/>
  <c r="AM17" i="4"/>
  <c r="BH17" i="4"/>
  <c r="AM16" i="4"/>
  <c r="BH16" i="4"/>
  <c r="AM18" i="4"/>
  <c r="BH18" i="4"/>
  <c r="AM4" i="4"/>
  <c r="BH4" i="4"/>
  <c r="AM8" i="4"/>
  <c r="BH8" i="4"/>
  <c r="AM10" i="4"/>
  <c r="BH10" i="4"/>
  <c r="AM15" i="4"/>
  <c r="BH15" i="4"/>
  <c r="AM5" i="4"/>
  <c r="BH5" i="4"/>
  <c r="AM9" i="4"/>
  <c r="BH9" i="4"/>
  <c r="AM12" i="4"/>
  <c r="BH12" i="4"/>
  <c r="AM14" i="4"/>
  <c r="BH14" i="4"/>
  <c r="AI4" i="4"/>
  <c r="AM1" i="4"/>
  <c r="AI145" i="4" l="1"/>
  <c r="AI144" i="4"/>
  <c r="BJ14" i="4"/>
  <c r="BJ139" i="4"/>
  <c r="BK139" i="4" s="1"/>
  <c r="BJ120" i="4"/>
  <c r="BL120" i="4" s="1"/>
  <c r="BJ137" i="4"/>
  <c r="BL137" i="4" s="1"/>
  <c r="BJ128" i="4"/>
  <c r="BL128" i="4" s="1"/>
  <c r="BJ122" i="4"/>
  <c r="BK122" i="4" s="1"/>
  <c r="BJ117" i="4"/>
  <c r="BK117" i="4" s="1"/>
  <c r="BJ112" i="4"/>
  <c r="BL112" i="4" s="1"/>
  <c r="BJ98" i="4"/>
  <c r="BL98" i="4" s="1"/>
  <c r="BJ94" i="4"/>
  <c r="BL94" i="4" s="1"/>
  <c r="BJ72" i="4"/>
  <c r="BL72" i="4" s="1"/>
  <c r="BJ68" i="4"/>
  <c r="BK68" i="4" s="1"/>
  <c r="BJ69" i="4"/>
  <c r="BL69" i="4" s="1"/>
  <c r="BJ53" i="4"/>
  <c r="BL53" i="4" s="1"/>
  <c r="BJ22" i="4"/>
  <c r="BK22" i="4" s="1"/>
  <c r="BJ12" i="4"/>
  <c r="BK12" i="4" s="1"/>
  <c r="BJ138" i="4"/>
  <c r="BK138" i="4" s="1"/>
  <c r="BJ133" i="4"/>
  <c r="BL133" i="4" s="1"/>
  <c r="BJ129" i="4"/>
  <c r="BL129" i="4" s="1"/>
  <c r="BJ126" i="4"/>
  <c r="BL126" i="4" s="1"/>
  <c r="BJ110" i="4"/>
  <c r="BL110" i="4" s="1"/>
  <c r="BJ95" i="4"/>
  <c r="BL95" i="4" s="1"/>
  <c r="BJ87" i="4"/>
  <c r="BL87" i="4" s="1"/>
  <c r="BJ100" i="4"/>
  <c r="BK100" i="4" s="1"/>
  <c r="BJ107" i="4"/>
  <c r="BK107" i="4" s="1"/>
  <c r="BJ74" i="4"/>
  <c r="BK74" i="4" s="1"/>
  <c r="BJ51" i="4"/>
  <c r="BK51" i="4" s="1"/>
  <c r="BJ47" i="4"/>
  <c r="BK47" i="4" s="1"/>
  <c r="BJ29" i="4"/>
  <c r="BK29" i="4" s="1"/>
  <c r="BJ9" i="4"/>
  <c r="BL9" i="4" s="1"/>
  <c r="BJ123" i="4"/>
  <c r="BL123" i="4" s="1"/>
  <c r="BJ121" i="4"/>
  <c r="BL121" i="4" s="1"/>
  <c r="BJ106" i="4"/>
  <c r="BL106" i="4" s="1"/>
  <c r="BJ103" i="4"/>
  <c r="BL103" i="4" s="1"/>
  <c r="BJ96" i="4"/>
  <c r="BL96" i="4" s="1"/>
  <c r="BJ77" i="4"/>
  <c r="BL77" i="4" s="1"/>
  <c r="BJ58" i="4"/>
  <c r="BL58" i="4" s="1"/>
  <c r="BJ30" i="4"/>
  <c r="BL30" i="4" s="1"/>
  <c r="BJ73" i="4"/>
  <c r="BL73" i="4" s="1"/>
  <c r="BJ59" i="4"/>
  <c r="BL59" i="4" s="1"/>
  <c r="BJ27" i="4"/>
  <c r="BK27" i="4" s="1"/>
  <c r="BJ25" i="4"/>
  <c r="BL25" i="4" s="1"/>
  <c r="BJ17" i="4"/>
  <c r="BL17" i="4" s="1"/>
  <c r="BJ10" i="4"/>
  <c r="BK10" i="4" s="1"/>
  <c r="BJ4" i="4"/>
  <c r="BL4" i="4" s="1"/>
  <c r="BJ18" i="4"/>
  <c r="BK18" i="4" s="1"/>
  <c r="BJ45" i="4"/>
  <c r="BK45" i="4" s="1"/>
  <c r="BJ5" i="4"/>
  <c r="BL5" i="4" s="1"/>
  <c r="BJ130" i="4"/>
  <c r="BK130" i="4" s="1"/>
  <c r="BJ116" i="4"/>
  <c r="BL116" i="4" s="1"/>
  <c r="BJ125" i="4"/>
  <c r="BL125" i="4" s="1"/>
  <c r="BJ102" i="4"/>
  <c r="BL102" i="4" s="1"/>
  <c r="BJ99" i="4"/>
  <c r="BL99" i="4" s="1"/>
  <c r="BJ50" i="4"/>
  <c r="BL50" i="4" s="1"/>
  <c r="BJ26" i="4"/>
  <c r="BL26" i="4" s="1"/>
  <c r="BJ78" i="4"/>
  <c r="BK78" i="4" s="1"/>
  <c r="BJ88" i="4"/>
  <c r="BL88" i="4" s="1"/>
  <c r="BJ21" i="4"/>
  <c r="BL21" i="4" s="1"/>
  <c r="BJ105" i="4"/>
  <c r="BJ127" i="4"/>
  <c r="BJ109" i="4"/>
  <c r="BJ91" i="4"/>
  <c r="BJ136" i="4"/>
  <c r="BJ23" i="4"/>
  <c r="BJ71" i="4"/>
  <c r="BJ131" i="4"/>
  <c r="BJ124" i="4"/>
  <c r="BJ111" i="4"/>
  <c r="BJ104" i="4"/>
  <c r="BJ119" i="4"/>
  <c r="BJ90" i="4"/>
  <c r="BJ70" i="4"/>
  <c r="BJ52" i="4"/>
  <c r="BJ38" i="4"/>
  <c r="BJ39" i="4"/>
  <c r="BJ108" i="4"/>
  <c r="BJ24" i="4"/>
  <c r="BJ61" i="4"/>
  <c r="BJ63" i="4"/>
  <c r="BJ8" i="4"/>
  <c r="BJ15" i="4"/>
  <c r="BJ65" i="4"/>
  <c r="BJ46" i="4"/>
  <c r="BJ16" i="4"/>
  <c r="BJ43" i="4"/>
  <c r="BJ40" i="4"/>
  <c r="BJ132" i="4"/>
  <c r="BJ135" i="4"/>
  <c r="BJ115" i="4"/>
  <c r="BJ28" i="4"/>
  <c r="BJ118" i="4"/>
  <c r="BJ93" i="4"/>
  <c r="BJ97" i="4"/>
  <c r="BJ114" i="4"/>
  <c r="BJ44" i="4"/>
  <c r="BJ92" i="4"/>
  <c r="BJ42" i="4"/>
  <c r="BJ113" i="4"/>
  <c r="BJ134" i="4"/>
  <c r="BJ101" i="4"/>
  <c r="BJ62" i="4"/>
  <c r="BJ89" i="4"/>
  <c r="BJ75" i="4"/>
  <c r="BJ64" i="4"/>
  <c r="BJ82" i="4"/>
  <c r="BJ60" i="4"/>
  <c r="BJ41" i="4"/>
  <c r="BJ19" i="4"/>
  <c r="BJ20" i="4"/>
  <c r="D1" i="4" l="1"/>
  <c r="AI1" i="4"/>
  <c r="D2" i="4"/>
  <c r="AI2" i="4"/>
  <c r="BK14" i="4"/>
  <c r="BL14" i="4"/>
  <c r="BL138" i="4"/>
  <c r="BK95" i="4"/>
  <c r="BK77" i="4"/>
  <c r="BL74" i="4"/>
  <c r="BK69" i="4"/>
  <c r="BK129" i="4"/>
  <c r="BL51" i="4"/>
  <c r="BL107" i="4"/>
  <c r="BK98" i="4"/>
  <c r="BK73" i="4"/>
  <c r="BK5" i="4"/>
  <c r="BL139" i="4"/>
  <c r="BK123" i="4"/>
  <c r="BK88" i="4"/>
  <c r="BK120" i="4"/>
  <c r="BK59" i="4"/>
  <c r="BL122" i="4"/>
  <c r="BK110" i="4"/>
  <c r="BL68" i="4"/>
  <c r="BL78" i="4"/>
  <c r="BK106" i="4"/>
  <c r="BK126" i="4"/>
  <c r="BL10" i="4"/>
  <c r="BK26" i="4"/>
  <c r="BL12" i="4"/>
  <c r="BK21" i="4"/>
  <c r="BK17" i="4"/>
  <c r="BK103" i="4"/>
  <c r="BK99" i="4"/>
  <c r="BK53" i="4"/>
  <c r="BK72" i="4"/>
  <c r="BK125" i="4"/>
  <c r="BL27" i="4"/>
  <c r="BK9" i="4"/>
  <c r="BK25" i="4"/>
  <c r="BL47" i="4"/>
  <c r="BL130" i="4"/>
  <c r="BK112" i="4"/>
  <c r="BL22" i="4"/>
  <c r="BK94" i="4"/>
  <c r="BL117" i="4"/>
  <c r="BL18" i="4"/>
  <c r="BK30" i="4"/>
  <c r="BK102" i="4"/>
  <c r="BK4" i="4"/>
  <c r="BK58" i="4"/>
  <c r="BK133" i="4"/>
  <c r="BK137" i="4"/>
  <c r="BL45" i="4"/>
  <c r="BK128" i="4"/>
  <c r="BK96" i="4"/>
  <c r="BK121" i="4"/>
  <c r="BL100" i="4"/>
  <c r="BK50" i="4"/>
  <c r="BK116" i="4"/>
  <c r="BL29" i="4"/>
  <c r="BK87" i="4"/>
  <c r="BL41" i="4"/>
  <c r="BK41" i="4"/>
  <c r="BL101" i="4"/>
  <c r="BK101" i="4"/>
  <c r="BL118" i="4"/>
  <c r="BK118" i="4"/>
  <c r="BK40" i="4"/>
  <c r="BL40" i="4"/>
  <c r="BK65" i="4"/>
  <c r="BL65" i="4"/>
  <c r="BL39" i="4"/>
  <c r="BK39" i="4"/>
  <c r="BL104" i="4"/>
  <c r="BK104" i="4"/>
  <c r="BL60" i="4"/>
  <c r="BK60" i="4"/>
  <c r="BL134" i="4"/>
  <c r="BK134" i="4"/>
  <c r="BL114" i="4"/>
  <c r="BK114" i="4"/>
  <c r="BK28" i="4"/>
  <c r="BL28" i="4"/>
  <c r="BK43" i="4"/>
  <c r="BL43" i="4"/>
  <c r="BK61" i="4"/>
  <c r="BL61" i="4"/>
  <c r="BL136" i="4"/>
  <c r="BK136" i="4"/>
  <c r="BL82" i="4"/>
  <c r="BK82" i="4"/>
  <c r="BL113" i="4"/>
  <c r="BK113" i="4"/>
  <c r="BK92" i="4"/>
  <c r="BL92" i="4"/>
  <c r="BL46" i="4"/>
  <c r="BK46" i="4"/>
  <c r="BK15" i="4"/>
  <c r="BL15" i="4"/>
  <c r="BL24" i="4"/>
  <c r="BK24" i="4"/>
  <c r="BK52" i="4"/>
  <c r="BL52" i="4"/>
  <c r="BK124" i="4"/>
  <c r="BL124" i="4"/>
  <c r="BK71" i="4"/>
  <c r="BL71" i="4"/>
  <c r="BL91" i="4"/>
  <c r="BK91" i="4"/>
  <c r="BK75" i="4"/>
  <c r="BL75" i="4"/>
  <c r="BL135" i="4"/>
  <c r="BK135" i="4"/>
  <c r="BL63" i="4"/>
  <c r="BK63" i="4"/>
  <c r="BK90" i="4"/>
  <c r="BL90" i="4"/>
  <c r="BL127" i="4"/>
  <c r="BK127" i="4"/>
  <c r="BK19" i="4"/>
  <c r="BL19" i="4"/>
  <c r="BL89" i="4"/>
  <c r="BK89" i="4"/>
  <c r="BK16" i="4"/>
  <c r="BL16" i="4"/>
  <c r="BL38" i="4"/>
  <c r="BK38" i="4"/>
  <c r="BK111" i="4"/>
  <c r="BL111" i="4"/>
  <c r="BK105" i="4"/>
  <c r="BL105" i="4"/>
  <c r="BK20" i="4"/>
  <c r="BL20" i="4"/>
  <c r="BK64" i="4"/>
  <c r="BL64" i="4"/>
  <c r="BL62" i="4"/>
  <c r="BK62" i="4"/>
  <c r="BL42" i="4"/>
  <c r="BK42" i="4"/>
  <c r="BL44" i="4"/>
  <c r="BK44" i="4"/>
  <c r="BL97" i="4"/>
  <c r="BK97" i="4"/>
  <c r="BL93" i="4"/>
  <c r="BK93" i="4"/>
  <c r="BK115" i="4"/>
  <c r="BL115" i="4"/>
  <c r="BK132" i="4"/>
  <c r="BL132" i="4"/>
  <c r="BK8" i="4"/>
  <c r="BL8" i="4"/>
  <c r="BL108" i="4"/>
  <c r="BK108" i="4"/>
  <c r="BL70" i="4"/>
  <c r="BK70" i="4"/>
  <c r="BK119" i="4"/>
  <c r="BL119" i="4"/>
  <c r="BL131" i="4"/>
  <c r="BK131" i="4"/>
  <c r="BL23" i="4"/>
  <c r="BK23" i="4"/>
  <c r="BK109" i="4"/>
  <c r="BL109" i="4"/>
  <c r="BL144" i="4" l="1"/>
  <c r="BG144" i="4" l="1"/>
  <c r="AX145" i="4"/>
  <c r="AW145" i="4"/>
  <c r="AV144" i="4"/>
  <c r="BE145" i="4"/>
  <c r="BE144" i="4"/>
  <c r="AT144" i="4"/>
  <c r="AT145" i="4"/>
  <c r="BG145" i="4"/>
  <c r="AX144" i="4"/>
  <c r="AW144" i="4"/>
  <c r="AV145" i="4"/>
  <c r="BD144" i="4"/>
  <c r="AU144" i="4"/>
  <c r="AZ145" i="4"/>
  <c r="BC144" i="4"/>
  <c r="BB144" i="4"/>
  <c r="BA144" i="4"/>
  <c r="BF145" i="4"/>
  <c r="BD145" i="4"/>
  <c r="AZ144" i="4"/>
  <c r="AY145" i="4"/>
  <c r="BC145" i="4"/>
  <c r="BB145" i="4"/>
  <c r="BA145" i="4"/>
  <c r="BF144" i="4"/>
  <c r="AY144" i="4"/>
  <c r="AU145" i="4"/>
  <c r="AN144" i="4"/>
  <c r="AR144" i="4"/>
  <c r="BH144" i="4"/>
  <c r="AQ145" i="4"/>
  <c r="AP145" i="4"/>
  <c r="AO144" i="4"/>
  <c r="AS144" i="4"/>
  <c r="AN145" i="4"/>
  <c r="AR145" i="4"/>
  <c r="BH145" i="4"/>
  <c r="AP144" i="4"/>
  <c r="AO145" i="4"/>
  <c r="AS145" i="4"/>
  <c r="AQ144" i="4"/>
  <c r="AM144" i="4"/>
  <c r="E9" i="5" s="1" a="1"/>
  <c r="AM145" i="4"/>
  <c r="E9" i="5" l="1"/>
  <c r="E10" i="5"/>
  <c r="E9" i="6"/>
  <c r="E16" i="6"/>
  <c r="AD16" i="6" s="1"/>
  <c r="E23" i="6"/>
  <c r="AD23" i="6" s="1"/>
  <c r="E30" i="6"/>
  <c r="AD30" i="6" s="1"/>
  <c r="E19" i="6"/>
  <c r="AD19" i="6" s="1"/>
  <c r="E27" i="6"/>
  <c r="AD27" i="6" s="1"/>
  <c r="E22" i="6"/>
  <c r="AD22" i="6" s="1"/>
  <c r="E11" i="6"/>
  <c r="AD11" i="6" s="1"/>
  <c r="E18" i="6"/>
  <c r="AD18" i="6" s="1"/>
  <c r="E24" i="6"/>
  <c r="AD24" i="6" s="1"/>
  <c r="E12" i="6"/>
  <c r="AD12" i="6" s="1"/>
  <c r="E14" i="6"/>
  <c r="AD14" i="6" s="1"/>
  <c r="E28" i="6"/>
  <c r="AD28" i="6" s="1"/>
  <c r="E26" i="6"/>
  <c r="AD26" i="6" s="1"/>
  <c r="E29" i="6"/>
  <c r="AD29" i="6" s="1"/>
  <c r="E13" i="6"/>
  <c r="AD13" i="6" s="1"/>
  <c r="E20" i="6"/>
  <c r="AD20" i="6" s="1"/>
  <c r="E25" i="6"/>
  <c r="AD25" i="6" s="1"/>
  <c r="E15" i="6"/>
  <c r="AD15" i="6" s="1"/>
  <c r="E21" i="6"/>
  <c r="AD21" i="6" s="1"/>
  <c r="E10" i="6"/>
  <c r="AD10" i="6" s="1"/>
  <c r="E17" i="6"/>
  <c r="AD17" i="6" s="1"/>
  <c r="AC13" i="6" l="1"/>
  <c r="AE13" i="6" s="1"/>
  <c r="AF13" i="6"/>
  <c r="AR13" i="6" s="1"/>
  <c r="AQ13" i="6" s="1"/>
  <c r="AF11" i="6"/>
  <c r="AR11" i="6" s="1"/>
  <c r="AQ11" i="6" s="1"/>
  <c r="AC11" i="6"/>
  <c r="AE11" i="6" s="1"/>
  <c r="AC15" i="6"/>
  <c r="AE15" i="6" s="1"/>
  <c r="AF15" i="6"/>
  <c r="AR15" i="6" s="1"/>
  <c r="AQ15" i="6" s="1"/>
  <c r="AC12" i="6"/>
  <c r="AE12" i="6" s="1"/>
  <c r="AF12" i="6"/>
  <c r="AR12" i="6" s="1"/>
  <c r="AQ12" i="6" s="1"/>
  <c r="AC23" i="6"/>
  <c r="AE23" i="6" s="1"/>
  <c r="AF23" i="6"/>
  <c r="AR23" i="6" s="1"/>
  <c r="AQ23" i="6" s="1"/>
  <c r="AF25" i="6"/>
  <c r="AR25" i="6" s="1"/>
  <c r="AQ25" i="6" s="1"/>
  <c r="AC25" i="6"/>
  <c r="AE25" i="6" s="1"/>
  <c r="AC24" i="6"/>
  <c r="AE24" i="6" s="1"/>
  <c r="AF24" i="6"/>
  <c r="AR24" i="6" s="1"/>
  <c r="AQ24" i="6" s="1"/>
  <c r="AC27" i="6"/>
  <c r="AE27" i="6" s="1"/>
  <c r="AF27" i="6"/>
  <c r="AR27" i="6" s="1"/>
  <c r="AQ27" i="6" s="1"/>
  <c r="AC16" i="6"/>
  <c r="AE16" i="6" s="1"/>
  <c r="AF16" i="6"/>
  <c r="AR16" i="6" s="1"/>
  <c r="AQ16" i="6" s="1"/>
  <c r="AF21" i="6"/>
  <c r="AR21" i="6" s="1"/>
  <c r="AQ21" i="6" s="1"/>
  <c r="AC21" i="6"/>
  <c r="AE21" i="6" s="1"/>
  <c r="AC14" i="6"/>
  <c r="AE14" i="6" s="1"/>
  <c r="AF14" i="6"/>
  <c r="AR14" i="6" s="1"/>
  <c r="AQ14" i="6" s="1"/>
  <c r="AF30" i="6"/>
  <c r="AR30" i="6" s="1"/>
  <c r="AQ30" i="6" s="1"/>
  <c r="AC30" i="6"/>
  <c r="AE30" i="6" s="1"/>
  <c r="AC29" i="6"/>
  <c r="AE29" i="6" s="1"/>
  <c r="AF29" i="6"/>
  <c r="AR29" i="6" s="1"/>
  <c r="AQ29" i="6" s="1"/>
  <c r="AF22" i="6"/>
  <c r="AR22" i="6" s="1"/>
  <c r="AQ22" i="6" s="1"/>
  <c r="AC22" i="6"/>
  <c r="AE22" i="6" s="1"/>
  <c r="AF17" i="6"/>
  <c r="AR17" i="6" s="1"/>
  <c r="AQ17" i="6" s="1"/>
  <c r="AC17" i="6"/>
  <c r="AE17" i="6" s="1"/>
  <c r="AC26" i="6"/>
  <c r="AE26" i="6" s="1"/>
  <c r="AF26" i="6"/>
  <c r="AR26" i="6" s="1"/>
  <c r="AQ26" i="6" s="1"/>
  <c r="AF10" i="6"/>
  <c r="AR10" i="6" s="1"/>
  <c r="AQ10" i="6" s="1"/>
  <c r="AC10" i="6"/>
  <c r="AE10" i="6" s="1"/>
  <c r="AC20" i="6"/>
  <c r="AE20" i="6" s="1"/>
  <c r="AF20" i="6"/>
  <c r="AR20" i="6" s="1"/>
  <c r="AQ20" i="6" s="1"/>
  <c r="AF28" i="6"/>
  <c r="AR28" i="6" s="1"/>
  <c r="AQ28" i="6" s="1"/>
  <c r="AC28" i="6"/>
  <c r="AE28" i="6" s="1"/>
  <c r="AC18" i="6"/>
  <c r="AE18" i="6" s="1"/>
  <c r="AF18" i="6"/>
  <c r="AR18" i="6" s="1"/>
  <c r="AQ18" i="6" s="1"/>
  <c r="AC19" i="6"/>
  <c r="AE19" i="6" s="1"/>
  <c r="AF19" i="6"/>
  <c r="AR19" i="6" s="1"/>
  <c r="AQ19" i="6" s="1"/>
  <c r="E144" i="6"/>
  <c r="E148" i="6" s="1"/>
  <c r="AD9" i="6"/>
  <c r="E144" i="5"/>
  <c r="AD144" i="6" l="1"/>
  <c r="AF9" i="6"/>
  <c r="AR9" i="6" s="1"/>
  <c r="AQ9" i="6" s="1"/>
  <c r="AC9" i="6"/>
  <c r="AE9" i="6" s="1"/>
  <c r="E2" i="5"/>
  <c r="E148" i="5"/>
  <c r="AF144" i="6" l="1"/>
  <c r="B2" i="8" s="1"/>
  <c r="B4" i="8" s="1"/>
  <c r="D4" i="8" s="1"/>
  <c r="E4" i="8" s="1"/>
  <c r="AR144" i="6"/>
  <c r="D2" i="8" l="1"/>
  <c r="E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Camilleri</author>
  </authors>
  <commentList>
    <comment ref="L29" authorId="0" shapeId="0" xr:uid="{71837757-4CFC-476C-8A55-7A498644C36E}">
      <text>
        <r>
          <rPr>
            <b/>
            <sz val="9"/>
            <color indexed="81"/>
            <rFont val="Tahoma"/>
            <family val="2"/>
          </rPr>
          <t>Jason Camilleri:</t>
        </r>
        <r>
          <rPr>
            <sz val="9"/>
            <color indexed="81"/>
            <rFont val="Tahoma"/>
            <family val="2"/>
          </rPr>
          <t xml:space="preserve">
Considering the latest Shipping Rate rises, consider 5% instead of 3.5%
Commented on 19.11.2021</t>
        </r>
      </text>
    </comment>
  </commentList>
</comments>
</file>

<file path=xl/sharedStrings.xml><?xml version="1.0" encoding="utf-8"?>
<sst xmlns="http://schemas.openxmlformats.org/spreadsheetml/2006/main" count="731" uniqueCount="363">
  <si>
    <t>Part Number</t>
  </si>
  <si>
    <t>Description</t>
  </si>
  <si>
    <t>Unit Price (ex-VAT)</t>
  </si>
  <si>
    <t>Total price (EUR)</t>
  </si>
  <si>
    <t>Item</t>
  </si>
  <si>
    <t>TOTAL</t>
  </si>
  <si>
    <t>Comments</t>
  </si>
  <si>
    <t>Quantity</t>
  </si>
  <si>
    <t>Factor</t>
  </si>
  <si>
    <t>FINAL QTY</t>
  </si>
  <si>
    <t>DIFF:</t>
  </si>
  <si>
    <t>Added material %</t>
  </si>
  <si>
    <t>--</t>
  </si>
  <si>
    <t xml:space="preserve">Cubicle 2000x1000x400 (HxWxD) with cable compartment. 
</t>
  </si>
  <si>
    <t xml:space="preserve">Motor circuit breaker, 30A
</t>
  </si>
  <si>
    <t xml:space="preserve">Miniature Circuit breaker 1 x 10A
</t>
  </si>
  <si>
    <t xml:space="preserve">Miniature Circuit breaker 1 x 6A
</t>
  </si>
  <si>
    <t xml:space="preserve">Terminals, 4q
</t>
  </si>
  <si>
    <t xml:space="preserve">PE -Terminals, 4q
</t>
  </si>
  <si>
    <t xml:space="preserve">Cable ducts 40x80 mm
</t>
  </si>
  <si>
    <t xml:space="preserve">Bus bars for screen connection, 500 mm 
</t>
  </si>
  <si>
    <t xml:space="preserve">EMC screen connectors for bus bar,  
</t>
  </si>
  <si>
    <t xml:space="preserve">Installing of switch board
</t>
  </si>
  <si>
    <t xml:space="preserve">Labelling of equipments
</t>
  </si>
  <si>
    <t xml:space="preserve">Labelling of cubicles
</t>
  </si>
  <si>
    <t xml:space="preserve">Power supply 230/24V DC 5A (Man reset after shutdown)
</t>
  </si>
  <si>
    <t xml:space="preserve">UPS power supply 1000VA
</t>
  </si>
  <si>
    <t xml:space="preserve">Transformer 230/24V AC, 150VA
</t>
  </si>
  <si>
    <t xml:space="preserve">Push-buttons 
</t>
  </si>
  <si>
    <t xml:space="preserve">Cubicle light with door switch
</t>
  </si>
  <si>
    <t xml:space="preserve">Socket 230/10A
</t>
  </si>
  <si>
    <t xml:space="preserve">Cooling fan with filter and thermostat 
</t>
  </si>
  <si>
    <t xml:space="preserve">Filter unit
</t>
  </si>
  <si>
    <t xml:space="preserve">Labelling of cubicle
</t>
  </si>
  <si>
    <t xml:space="preserve">PLC-units and display installing 
</t>
  </si>
  <si>
    <t>Contingency / Shipping</t>
  </si>
  <si>
    <t>Rev. 0</t>
  </si>
  <si>
    <t>Part No.</t>
  </si>
  <si>
    <t>Material</t>
  </si>
  <si>
    <t>Mark-up</t>
  </si>
  <si>
    <t>TOTAL MATERIAL COST</t>
  </si>
  <si>
    <t>Tradesman rate PAIR HRS</t>
  </si>
  <si>
    <t>Technician rate PAIR HRS</t>
  </si>
  <si>
    <t>Engineer rate PAIR HRS</t>
  </si>
  <si>
    <t>---</t>
  </si>
  <si>
    <t>Sub-total</t>
  </si>
  <si>
    <t>Item No.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</si>
  <si>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</si>
  <si>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</si>
  <si>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</si>
  <si>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</si>
  <si>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</si>
  <si>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</si>
  <si>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</si>
  <si>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</si>
  <si>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</si>
  <si>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</si>
  <si>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</si>
  <si>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</si>
  <si>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</si>
  <si>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</si>
  <si>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</si>
  <si>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</si>
  <si>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</si>
  <si>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</si>
  <si>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</si>
  <si>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</si>
  <si>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Drives</t>
  </si>
  <si>
    <t>LL points</t>
  </si>
  <si>
    <t>HL nodes</t>
  </si>
  <si>
    <t xml:space="preserve">Panel Building </t>
  </si>
  <si>
    <t>Panel Testing</t>
  </si>
  <si>
    <t>Panel Design</t>
  </si>
  <si>
    <t>Programming</t>
  </si>
  <si>
    <t>Point Testing</t>
  </si>
  <si>
    <t>Functional Testing</t>
  </si>
  <si>
    <t>Qty</t>
  </si>
  <si>
    <t>Unit Price
(excl. VAT)</t>
  </si>
  <si>
    <t>TOTAL
(excl.VAT)</t>
  </si>
  <si>
    <t>TOTAL (Excl. VAT)</t>
  </si>
  <si>
    <t>M.U.</t>
  </si>
  <si>
    <t>Man hrs</t>
  </si>
  <si>
    <t>Rate:</t>
  </si>
  <si>
    <t>ON/OFF</t>
  </si>
  <si>
    <t>Notes:</t>
  </si>
  <si>
    <t>1.</t>
  </si>
  <si>
    <t>a.</t>
  </si>
  <si>
    <t>b.</t>
  </si>
  <si>
    <t>c.</t>
  </si>
  <si>
    <t>2.</t>
  </si>
  <si>
    <t>d.</t>
  </si>
  <si>
    <t>e.</t>
  </si>
  <si>
    <t>Min. Hrs</t>
  </si>
  <si>
    <t>Enclosures</t>
  </si>
  <si>
    <t>Components</t>
  </si>
  <si>
    <t>Fan + Filter</t>
  </si>
  <si>
    <t>Thermostat</t>
  </si>
  <si>
    <t>Busbar</t>
  </si>
  <si>
    <t>Isolator</t>
  </si>
  <si>
    <t>Terminal Board</t>
  </si>
  <si>
    <t>Power Supply</t>
  </si>
  <si>
    <t>MPCB</t>
  </si>
  <si>
    <t>MCB</t>
  </si>
  <si>
    <t>Contactor</t>
  </si>
  <si>
    <t>Timer</t>
  </si>
  <si>
    <t>Transformer</t>
  </si>
  <si>
    <t>UPS</t>
  </si>
  <si>
    <t>Diode module</t>
  </si>
  <si>
    <t>Sounder</t>
  </si>
  <si>
    <t>Light fitting</t>
  </si>
  <si>
    <t>Energy meter</t>
  </si>
  <si>
    <t>Door switch</t>
  </si>
  <si>
    <t>13A socket outlet</t>
  </si>
  <si>
    <t>CTs</t>
  </si>
  <si>
    <t>Hour counter</t>
  </si>
  <si>
    <t>Potentiometer</t>
  </si>
  <si>
    <t>DIN rail</t>
  </si>
  <si>
    <t>Trunking</t>
  </si>
  <si>
    <t>VSD</t>
  </si>
  <si>
    <t>Controller</t>
  </si>
  <si>
    <t>HMI</t>
  </si>
  <si>
    <t>Field Devices</t>
  </si>
  <si>
    <t>Wiring</t>
  </si>
  <si>
    <t>Consumables</t>
  </si>
  <si>
    <t>Components drop-down list</t>
  </si>
  <si>
    <t>PLC Modules</t>
  </si>
  <si>
    <t>Lamps</t>
  </si>
  <si>
    <t>Relays</t>
  </si>
  <si>
    <t>Switches</t>
  </si>
  <si>
    <t>Fuses</t>
  </si>
  <si>
    <t>Terminal blocks</t>
  </si>
  <si>
    <t>Software</t>
  </si>
  <si>
    <t>Supplier</t>
  </si>
  <si>
    <t>Pair hrs</t>
  </si>
  <si>
    <t>Others (Technician)</t>
  </si>
  <si>
    <t>Others (Engineer)</t>
  </si>
  <si>
    <t>Engineer rate MAN HRS</t>
  </si>
  <si>
    <t>Estimated</t>
  </si>
  <si>
    <t>Actual</t>
  </si>
  <si>
    <t>Profit</t>
  </si>
  <si>
    <t>% difference</t>
  </si>
  <si>
    <t>Labour</t>
  </si>
  <si>
    <t>POs</t>
  </si>
  <si>
    <t>Value</t>
  </si>
  <si>
    <t>Reqs</t>
  </si>
  <si>
    <t>Hours</t>
  </si>
  <si>
    <t>Sell Rate:</t>
  </si>
  <si>
    <t>TOTAL (with Mark-up)</t>
  </si>
  <si>
    <t>Labour (Selling)</t>
  </si>
  <si>
    <t>Engineer (Selling)</t>
  </si>
  <si>
    <t>TOTAL
(Excl. VAT)</t>
  </si>
  <si>
    <t>Unit Price (with Mark-up)</t>
  </si>
  <si>
    <t>SUPPLIER</t>
  </si>
  <si>
    <t>COUNTRY of ORIGIN</t>
  </si>
  <si>
    <r>
      <t xml:space="preserve">PO value Range / </t>
    </r>
    <r>
      <rPr>
        <b/>
        <sz val="10"/>
        <rFont val="Calibri"/>
        <family val="2"/>
      </rPr>
      <t>€</t>
    </r>
  </si>
  <si>
    <t>Shipping Cost / €</t>
  </si>
  <si>
    <t>PO value Range / €</t>
  </si>
  <si>
    <t>A.N.WALLIS &amp; CO.LTD</t>
  </si>
  <si>
    <t>UNITED KINGDOM.</t>
  </si>
  <si>
    <t>&lt;1,000</t>
  </si>
  <si>
    <t>min.100</t>
  </si>
  <si>
    <t>2,500-7,000</t>
  </si>
  <si>
    <t>&gt;7,000</t>
  </si>
  <si>
    <t>ARDIC ELEKTRIK SAN VE TIC LTD STI.</t>
  </si>
  <si>
    <t>TURKEY</t>
  </si>
  <si>
    <t>15,000-25,000</t>
  </si>
  <si>
    <t>&gt;25,000</t>
  </si>
  <si>
    <t>BATT CABLES</t>
  </si>
  <si>
    <t>1,000-2,000</t>
  </si>
  <si>
    <t>2,000-7,000</t>
  </si>
  <si>
    <t>7%</t>
  </si>
  <si>
    <t>7,000-10,000</t>
  </si>
  <si>
    <t>10,000-20,000</t>
  </si>
  <si>
    <t>&gt;40,000</t>
  </si>
  <si>
    <t>BEGHELLI - ELPLAST A.S.</t>
  </si>
  <si>
    <t>CZECH REPUBLIC</t>
  </si>
  <si>
    <t>2,000-4,000</t>
  </si>
  <si>
    <t>6%</t>
  </si>
  <si>
    <t>10,000-16,000</t>
  </si>
  <si>
    <t>CLEVELAND CABLE CO. LTD</t>
  </si>
  <si>
    <t>UNITED KINGDOM</t>
  </si>
  <si>
    <t>3,000-5,000</t>
  </si>
  <si>
    <t>COMAT</t>
  </si>
  <si>
    <t>IGUZZINI</t>
  </si>
  <si>
    <t>ITALY</t>
  </si>
  <si>
    <t>CIF</t>
  </si>
  <si>
    <t>IM.E.B SRL</t>
  </si>
  <si>
    <t>min.70</t>
  </si>
  <si>
    <t>1,000-5000</t>
  </si>
  <si>
    <t>&gt;28,000</t>
  </si>
  <si>
    <t>IMPLEX EXPORT LIMITED</t>
  </si>
  <si>
    <t>3,000-8,000</t>
  </si>
  <si>
    <t>&gt;8,000</t>
  </si>
  <si>
    <t>INTERSWITCH SRL</t>
  </si>
  <si>
    <t>min.85</t>
  </si>
  <si>
    <t>1,000-5,000</t>
  </si>
  <si>
    <t>&gt;10,000</t>
  </si>
  <si>
    <t>MARSHALL TUFFLEX INT.LTD</t>
  </si>
  <si>
    <t>1,000-4,000</t>
  </si>
  <si>
    <t>&gt;20,000</t>
  </si>
  <si>
    <t>N.C.M</t>
  </si>
  <si>
    <t>&lt;2,000</t>
  </si>
  <si>
    <t>min.200</t>
  </si>
  <si>
    <t>NUOVA CARPENTERIA MECCANICA SNC</t>
  </si>
  <si>
    <t>&lt;1,500</t>
  </si>
  <si>
    <t>min.110</t>
  </si>
  <si>
    <t>1,500-3,000</t>
  </si>
  <si>
    <t>SADA CAVI S.P.A.</t>
  </si>
  <si>
    <t>3,000-6,000</t>
  </si>
  <si>
    <t>&gt;90,000</t>
  </si>
  <si>
    <t>SEVAL KABLO A.S.</t>
  </si>
  <si>
    <t>SPECIAL CAVI</t>
  </si>
  <si>
    <t>min.130</t>
  </si>
  <si>
    <t>2,000-10,000</t>
  </si>
  <si>
    <t>TEKOM PUK</t>
  </si>
  <si>
    <t>5,000-15,0000</t>
  </si>
  <si>
    <t>VATAN KABLO</t>
  </si>
  <si>
    <t>&gt;50,000</t>
  </si>
  <si>
    <t>ZUCCHINI SpA</t>
  </si>
  <si>
    <t>1,000-6,000</t>
  </si>
  <si>
    <t>&gt;100,000</t>
  </si>
  <si>
    <t>3I INTERNATIONAL INNOVATIVE INDUSTRIES S.A.</t>
  </si>
  <si>
    <t>GREECE</t>
  </si>
  <si>
    <t>&lt;5,000</t>
  </si>
  <si>
    <t>5,000 - 15,000</t>
  </si>
  <si>
    <t>&gt;15,000</t>
  </si>
  <si>
    <t>ACTIONCLIMA SRL</t>
  </si>
  <si>
    <t>ADVANCED AIR (UK) LTD</t>
  </si>
  <si>
    <t>&lt;4,000</t>
  </si>
  <si>
    <t>9%</t>
  </si>
  <si>
    <t>4,000 - 8,000</t>
  </si>
  <si>
    <t>AIREDALE INTERNATIONAL,</t>
  </si>
  <si>
    <t xml:space="preserve">  &gt;15,000</t>
  </si>
  <si>
    <t>ALNOR SYSTEMY WENTYLACJI SP. Z O.O.</t>
  </si>
  <si>
    <t>POLAND</t>
  </si>
  <si>
    <t>&lt;7,000</t>
  </si>
  <si>
    <t>7,000 - 20,000</t>
  </si>
  <si>
    <t>(5%) 3.5%</t>
  </si>
  <si>
    <t>ATS ISOLANTI SRL</t>
  </si>
  <si>
    <t>10%</t>
  </si>
  <si>
    <t>2,000 - 10,000</t>
  </si>
  <si>
    <t>BRODBECK S.R.L</t>
  </si>
  <si>
    <t>SICILY</t>
  </si>
  <si>
    <t>1,000-2,300</t>
  </si>
  <si>
    <t>&gt;2,300</t>
  </si>
  <si>
    <t>CALEFFI</t>
  </si>
  <si>
    <t>&gt;5000 (P.O.10967)</t>
  </si>
  <si>
    <t>CENTRAL TUBI</t>
  </si>
  <si>
    <t>1,000-10,000</t>
  </si>
  <si>
    <t>CHEMINEES POUJOULAT</t>
  </si>
  <si>
    <t>FRANCE</t>
  </si>
  <si>
    <t>&gt;4,000</t>
  </si>
  <si>
    <t>DAB PUMPS SPA</t>
  </si>
  <si>
    <t>min.90</t>
  </si>
  <si>
    <t>DANTHERM AIR HANDLING A/S</t>
  </si>
  <si>
    <t>DENMARK</t>
  </si>
  <si>
    <t>&gt;30,000</t>
  </si>
  <si>
    <t>DINAK S.A.,</t>
  </si>
  <si>
    <t>SPAIN.</t>
  </si>
  <si>
    <t>1,500-10,000</t>
  </si>
  <si>
    <t>DM SRL</t>
  </si>
  <si>
    <t>DOGU IKLIMLENDIRME SAN.VE TIC.A.S.</t>
  </si>
  <si>
    <t>DUYAR VANA MAK. SAN. VE TIC. A.S.</t>
  </si>
  <si>
    <t>6,000-10,000</t>
  </si>
  <si>
    <t>ELTA FANS LIMITED</t>
  </si>
  <si>
    <t>1,000-2,500</t>
  </si>
  <si>
    <t>&gt;2,500</t>
  </si>
  <si>
    <t>EMIFLEX S.P.A</t>
  </si>
  <si>
    <t>FIRESPRAY INTERNATIONAL LTD</t>
  </si>
  <si>
    <t>FLOWCON INTERNATIONAL</t>
  </si>
  <si>
    <t>DENMARK.</t>
  </si>
  <si>
    <t>min.120</t>
  </si>
  <si>
    <t>G.M. TREBLE LTD</t>
  </si>
  <si>
    <t>1,000-3,000</t>
  </si>
  <si>
    <t>GEBERIT INTERNATIONAL AG</t>
  </si>
  <si>
    <t>SWITZERLAND</t>
  </si>
  <si>
    <t>GEORG FISCHER HAKAN PLASTIK</t>
  </si>
  <si>
    <t>H.V.C. SUPPLIES (STOURBRIDGE) LTD</t>
  </si>
  <si>
    <t>HALCOR METAL WORKS S.A.</t>
  </si>
  <si>
    <t>I.M.I. RYCROFT LTD.</t>
  </si>
  <si>
    <t>ENGLAND</t>
  </si>
  <si>
    <t>INDUSTRIAL ACOUSTICS</t>
  </si>
  <si>
    <t>KIRTON TUBE &amp; COMPONENTS</t>
  </si>
  <si>
    <t>2,000-6,000</t>
  </si>
  <si>
    <t>MANN+HUMMEL VOKES AIR LTD</t>
  </si>
  <si>
    <t>MEKAR S.R.L</t>
  </si>
  <si>
    <t>1,000-15,000</t>
  </si>
  <si>
    <t>MP3 SRL.,</t>
  </si>
  <si>
    <t>ITALY.</t>
  </si>
  <si>
    <t>NICCONS</t>
  </si>
  <si>
    <t>NIVELCO PROCESS CONTROL CO.,</t>
  </si>
  <si>
    <t>HUNGARY.</t>
  </si>
  <si>
    <t>NOXON STAINLESS B.V.</t>
  </si>
  <si>
    <t>THE NETHERLANDS.</t>
  </si>
  <si>
    <t>NUAIRE LIMITED</t>
  </si>
  <si>
    <t>WALES</t>
  </si>
  <si>
    <t>NUPIGECO SPA</t>
  </si>
  <si>
    <t>min. 85</t>
  </si>
  <si>
    <t>ORMANDY LIMITED</t>
  </si>
  <si>
    <t>P3 Srl</t>
  </si>
  <si>
    <t>&gt;23,000</t>
  </si>
  <si>
    <t>RAPIDROP GLOBAL LTD</t>
  </si>
  <si>
    <t>8%</t>
  </si>
  <si>
    <t>RHOSS S.P.A.,</t>
  </si>
  <si>
    <t>1,000-7,000</t>
  </si>
  <si>
    <t>ROTORK MIDLAND LTD</t>
  </si>
  <si>
    <t>&gt;2,000</t>
  </si>
  <si>
    <t>S. BRANNAN &amp; SONS LTD</t>
  </si>
  <si>
    <t>SICC</t>
  </si>
  <si>
    <t>SIEMENS ITALY SPA</t>
  </si>
  <si>
    <t>SODECA</t>
  </si>
  <si>
    <t>SPAIN</t>
  </si>
  <si>
    <t>min. 100</t>
  </si>
  <si>
    <t>SPIROTECH BV</t>
  </si>
  <si>
    <t>&gt;3,000</t>
  </si>
  <si>
    <t>SWEGON AIR MANAGEMENT LIMITED</t>
  </si>
  <si>
    <t>min.105</t>
  </si>
  <si>
    <t>TYCO FIRE &amp; SECURITY</t>
  </si>
  <si>
    <t>min. 220</t>
  </si>
  <si>
    <t>UK EXCHANGERS LTD.</t>
  </si>
  <si>
    <t>VIR VALVOINDUSTRIA ING. RIZZIO S.P.A.</t>
  </si>
  <si>
    <t>WATERTECH SPA</t>
  </si>
  <si>
    <t>&lt;200</t>
  </si>
  <si>
    <t>200-500</t>
  </si>
  <si>
    <t>Xylem Flow Controls Ltd.</t>
  </si>
  <si>
    <t>14%</t>
  </si>
  <si>
    <t>D'ELPIDIO ELETTROFORNITURE</t>
  </si>
  <si>
    <t>BMS</t>
  </si>
  <si>
    <t>&lt;500</t>
  </si>
  <si>
    <t>500-3,000</t>
  </si>
  <si>
    <t>DISTECH CONTROLS SAS</t>
  </si>
  <si>
    <t>FRACE</t>
  </si>
  <si>
    <t>&lt;300</t>
  </si>
  <si>
    <t>min. 55</t>
  </si>
  <si>
    <t>300-1,000</t>
  </si>
  <si>
    <t>min. 80</t>
  </si>
  <si>
    <t>&gt;5,000</t>
  </si>
  <si>
    <t>FUJI ELECTRIC EUROPE GMBH</t>
  </si>
  <si>
    <t>GERMANY</t>
  </si>
  <si>
    <t>2,000-3,000</t>
  </si>
  <si>
    <t>SYSTEME HELMHOLZ</t>
  </si>
  <si>
    <t>&lt;1,100</t>
  </si>
  <si>
    <t>min. 60</t>
  </si>
  <si>
    <t>4,000-5,000</t>
  </si>
  <si>
    <t xml:space="preserve">min.110 </t>
  </si>
  <si>
    <t>SIEMENS BUILDING TECHNOLOGIES INT.</t>
  </si>
  <si>
    <t>&gt;500</t>
  </si>
  <si>
    <t>DAP</t>
  </si>
  <si>
    <t>SIEMENS SPA</t>
  </si>
  <si>
    <t>VENTILATION CONTROL PRODUCTS AB</t>
  </si>
  <si>
    <t>SWEDEN</t>
  </si>
  <si>
    <t>min.50</t>
  </si>
  <si>
    <t>Cost excludes:</t>
  </si>
  <si>
    <t>Cost includes:</t>
  </si>
  <si>
    <t>XCSU5220W024V AA</t>
  </si>
  <si>
    <t>DC UPS, DC input, 26...27Vdc in, 10.0 A (24 Vdc) out, 4…40 Ah Lead-acid battery.</t>
  </si>
  <si>
    <t>XCSF240C</t>
  </si>
  <si>
    <t>CSF240C SMPS, 120 &amp; 230Vac, out 24Vdc 10A.</t>
  </si>
  <si>
    <t>Car Park Panels</t>
  </si>
  <si>
    <t>CB25-12</t>
  </si>
  <si>
    <t>Unibat Sealed Lead-Acid Battery, 12 Vm 25 Ahr, 16.7cm c 17.5cm x 12.5cm(ht),</t>
  </si>
  <si>
    <t>CO Sensor</t>
  </si>
  <si>
    <t xml:space="preserve"> Testing and any other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</si>
</sst>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€&quot;#,##0.00;[Red]\-&quot;€&quot;#,##0.00"/>
    <numFmt numFmtId="165" formatCode="&quot;€&quot;#,##0.00"/>
    <numFmt numFmtId="166" formatCode="#,##0.00\ [$€-40C]"/>
    <numFmt numFmtId="167" formatCode="0.000"/>
    <numFmt numFmtId="168" formatCode="0.0"/>
    <numFmt numFmtId="169" formatCode="0.0%"/>
  </numFmts>
  <fonts count="47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ark Pro Book"/>
      <family val="2"/>
    </font>
    <font>
      <b/>
      <sz val="10"/>
      <name val="Mark Pro Book"/>
      <family val="2"/>
    </font>
    <font>
      <b/>
      <sz val="11"/>
      <name val="Mark Pro Book"/>
      <family val="2"/>
    </font>
    <font>
      <i/>
      <sz val="10"/>
      <name val="Mark Pro Book"/>
      <family val="2"/>
    </font>
    <font>
      <b/>
      <i/>
      <sz val="10"/>
      <name val="Mark Pro Book"/>
      <family val="2"/>
    </font>
    <font>
      <b/>
      <sz val="9"/>
      <name val="Mark Pro Book"/>
      <family val="2"/>
    </font>
    <font>
      <sz val="11"/>
      <name val="Mark Pro Book"/>
      <family val="2"/>
    </font>
    <font>
      <u/>
      <sz val="10"/>
      <name val="Mark Pro Book"/>
      <family val="2"/>
    </font>
    <font>
      <b/>
      <sz val="12"/>
      <name val="Mark Pro Book"/>
      <family val="2"/>
    </font>
    <font>
      <b/>
      <sz val="14"/>
      <name val="Mark Pro Book"/>
      <family val="2"/>
    </font>
    <font>
      <b/>
      <sz val="10"/>
      <color theme="9" tint="-0.249977111117893"/>
      <name val="Mark Pro Book"/>
      <family val="2"/>
    </font>
    <font>
      <sz val="10"/>
      <color theme="1"/>
      <name val="Mark Pro Book"/>
      <family val="2"/>
    </font>
    <font>
      <sz val="10"/>
      <color indexed="8"/>
      <name val="Mark Pro Book"/>
      <family val="2"/>
    </font>
    <font>
      <b/>
      <sz val="16"/>
      <name val="Mark Pro Book"/>
      <family val="2"/>
    </font>
    <font>
      <sz val="16"/>
      <name val="Mark Pro Book"/>
      <family val="2"/>
    </font>
    <font>
      <sz val="10"/>
      <name val="Mark Pro Black"/>
      <family val="2"/>
    </font>
    <font>
      <sz val="10"/>
      <color theme="0"/>
      <name val="Marl Pro Book"/>
    </font>
    <font>
      <b/>
      <sz val="10"/>
      <color theme="0"/>
      <name val="Marl Pro Book"/>
    </font>
    <font>
      <sz val="10"/>
      <name val="Marl Pro Book"/>
    </font>
    <font>
      <b/>
      <sz val="10"/>
      <name val="Marl Pro Book"/>
    </font>
    <font>
      <b/>
      <sz val="12"/>
      <name val="Marl Pro Book"/>
    </font>
    <font>
      <b/>
      <sz val="10"/>
      <color theme="0"/>
      <name val="Mark Pro Book"/>
      <family val="2"/>
    </font>
    <font>
      <b/>
      <sz val="10"/>
      <name val="Arial"/>
      <family val="2"/>
    </font>
    <font>
      <b/>
      <sz val="10"/>
      <name val="Calibri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name val="Mark Pro Book"/>
    </font>
    <font>
      <b/>
      <sz val="10"/>
      <name val="Mark Pro Book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lightTrellis"/>
    </fill>
    <fill>
      <patternFill patternType="solid">
        <fgColor theme="9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lightTrellis">
        <bgColor theme="0" tint="-4.9989318521683403E-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42">
    <xf numFmtId="166" fontId="0" fillId="0" borderId="0"/>
    <xf numFmtId="166" fontId="1" fillId="2" borderId="0" applyNumberFormat="0" applyBorder="0" applyAlignment="0" applyProtection="0"/>
    <xf numFmtId="166" fontId="1" fillId="3" borderId="0" applyNumberFormat="0" applyBorder="0" applyAlignment="0" applyProtection="0"/>
    <xf numFmtId="166" fontId="1" fillId="4" borderId="0" applyNumberFormat="0" applyBorder="0" applyAlignment="0" applyProtection="0"/>
    <xf numFmtId="166" fontId="1" fillId="5" borderId="0" applyNumberFormat="0" applyBorder="0" applyAlignment="0" applyProtection="0"/>
    <xf numFmtId="166" fontId="1" fillId="6" borderId="0" applyNumberFormat="0" applyBorder="0" applyAlignment="0" applyProtection="0"/>
    <xf numFmtId="166" fontId="1" fillId="7" borderId="0" applyNumberFormat="0" applyBorder="0" applyAlignment="0" applyProtection="0"/>
    <xf numFmtId="166" fontId="1" fillId="8" borderId="0" applyNumberFormat="0" applyBorder="0" applyAlignment="0" applyProtection="0"/>
    <xf numFmtId="166" fontId="1" fillId="9" borderId="0" applyNumberFormat="0" applyBorder="0" applyAlignment="0" applyProtection="0"/>
    <xf numFmtId="166" fontId="1" fillId="10" borderId="0" applyNumberFormat="0" applyBorder="0" applyAlignment="0" applyProtection="0"/>
    <xf numFmtId="166" fontId="1" fillId="5" borderId="0" applyNumberFormat="0" applyBorder="0" applyAlignment="0" applyProtection="0"/>
    <xf numFmtId="166" fontId="1" fillId="8" borderId="0" applyNumberFormat="0" applyBorder="0" applyAlignment="0" applyProtection="0"/>
    <xf numFmtId="166" fontId="1" fillId="11" borderId="0" applyNumberFormat="0" applyBorder="0" applyAlignment="0" applyProtection="0"/>
    <xf numFmtId="166" fontId="2" fillId="12" borderId="0" applyNumberFormat="0" applyBorder="0" applyAlignment="0" applyProtection="0"/>
    <xf numFmtId="166" fontId="2" fillId="9" borderId="0" applyNumberFormat="0" applyBorder="0" applyAlignment="0" applyProtection="0"/>
    <xf numFmtId="166" fontId="2" fillId="10" borderId="0" applyNumberFormat="0" applyBorder="0" applyAlignment="0" applyProtection="0"/>
    <xf numFmtId="166" fontId="2" fillId="13" borderId="0" applyNumberFormat="0" applyBorder="0" applyAlignment="0" applyProtection="0"/>
    <xf numFmtId="166" fontId="2" fillId="14" borderId="0" applyNumberFormat="0" applyBorder="0" applyAlignment="0" applyProtection="0"/>
    <xf numFmtId="166" fontId="2" fillId="15" borderId="0" applyNumberFormat="0" applyBorder="0" applyAlignment="0" applyProtection="0"/>
    <xf numFmtId="166" fontId="2" fillId="16" borderId="0" applyNumberFormat="0" applyBorder="0" applyAlignment="0" applyProtection="0"/>
    <xf numFmtId="166" fontId="2" fillId="17" borderId="0" applyNumberFormat="0" applyBorder="0" applyAlignment="0" applyProtection="0"/>
    <xf numFmtId="166" fontId="2" fillId="18" borderId="0" applyNumberFormat="0" applyBorder="0" applyAlignment="0" applyProtection="0"/>
    <xf numFmtId="166" fontId="2" fillId="13" borderId="0" applyNumberFormat="0" applyBorder="0" applyAlignment="0" applyProtection="0"/>
    <xf numFmtId="166" fontId="2" fillId="14" borderId="0" applyNumberFormat="0" applyBorder="0" applyAlignment="0" applyProtection="0"/>
    <xf numFmtId="166" fontId="2" fillId="19" borderId="0" applyNumberFormat="0" applyBorder="0" applyAlignment="0" applyProtection="0"/>
    <xf numFmtId="166" fontId="3" fillId="3" borderId="0" applyNumberFormat="0" applyBorder="0" applyAlignment="0" applyProtection="0"/>
    <xf numFmtId="166" fontId="4" fillId="20" borderId="1" applyNumberFormat="0" applyAlignment="0" applyProtection="0"/>
    <xf numFmtId="166" fontId="5" fillId="21" borderId="2" applyNumberFormat="0" applyAlignment="0" applyProtection="0"/>
    <xf numFmtId="166" fontId="6" fillId="0" borderId="0" applyNumberFormat="0" applyFill="0" applyBorder="0" applyAlignment="0" applyProtection="0"/>
    <xf numFmtId="166" fontId="7" fillId="4" borderId="0" applyNumberFormat="0" applyBorder="0" applyAlignment="0" applyProtection="0"/>
    <xf numFmtId="166" fontId="8" fillId="0" borderId="3" applyNumberFormat="0" applyFill="0" applyAlignment="0" applyProtection="0"/>
    <xf numFmtId="166" fontId="9" fillId="0" borderId="4" applyNumberFormat="0" applyFill="0" applyAlignment="0" applyProtection="0"/>
    <xf numFmtId="166" fontId="10" fillId="0" borderId="5" applyNumberFormat="0" applyFill="0" applyAlignment="0" applyProtection="0"/>
    <xf numFmtId="166" fontId="10" fillId="0" borderId="0" applyNumberFormat="0" applyFill="0" applyBorder="0" applyAlignment="0" applyProtection="0"/>
    <xf numFmtId="166" fontId="11" fillId="7" borderId="1" applyNumberFormat="0" applyAlignment="0" applyProtection="0"/>
    <xf numFmtId="166" fontId="12" fillId="0" borderId="6" applyNumberFormat="0" applyFill="0" applyAlignment="0" applyProtection="0"/>
    <xf numFmtId="166" fontId="13" fillId="22" borderId="0" applyNumberFormat="0" applyBorder="0" applyAlignment="0" applyProtection="0"/>
    <xf numFmtId="166" fontId="1" fillId="23" borderId="7" applyNumberFormat="0" applyFont="0" applyAlignment="0" applyProtection="0"/>
    <xf numFmtId="166" fontId="14" fillId="20" borderId="8" applyNumberFormat="0" applyAlignment="0" applyProtection="0"/>
    <xf numFmtId="166" fontId="15" fillId="0" borderId="0" applyNumberFormat="0" applyFill="0" applyBorder="0" applyAlignment="0" applyProtection="0"/>
    <xf numFmtId="166" fontId="16" fillId="0" borderId="9" applyNumberFormat="0" applyFill="0" applyAlignment="0" applyProtection="0"/>
    <xf numFmtId="166" fontId="17" fillId="0" borderId="0" applyNumberFormat="0" applyFill="0" applyBorder="0" applyAlignment="0" applyProtection="0"/>
  </cellStyleXfs>
  <cellXfs count="306">
    <xf numFmtId="166" fontId="0" fillId="0" borderId="0" xfId="0"/>
    <xf numFmtId="167" fontId="18" fillId="0" borderId="0" xfId="0" applyNumberFormat="1" applyFont="1" applyAlignment="1">
      <alignment horizontal="right" vertical="center"/>
    </xf>
    <xf numFmtId="166" fontId="18" fillId="0" borderId="0" xfId="0" applyFont="1" applyAlignment="1">
      <alignment horizontal="right" vertical="center"/>
    </xf>
    <xf numFmtId="166" fontId="19" fillId="0" borderId="0" xfId="0" applyFont="1" applyAlignment="1">
      <alignment vertical="center" wrapText="1"/>
    </xf>
    <xf numFmtId="166" fontId="19" fillId="0" borderId="17" xfId="0" applyFont="1" applyBorder="1" applyAlignment="1">
      <alignment vertical="center" wrapText="1"/>
    </xf>
    <xf numFmtId="166" fontId="21" fillId="0" borderId="12" xfId="0" applyFont="1" applyBorder="1" applyAlignment="1">
      <alignment horizontal="left" vertical="center"/>
    </xf>
    <xf numFmtId="166" fontId="19" fillId="0" borderId="21" xfId="0" applyFont="1" applyBorder="1" applyAlignment="1">
      <alignment vertical="center" wrapText="1"/>
    </xf>
    <xf numFmtId="167" fontId="19" fillId="0" borderId="22" xfId="0" applyNumberFormat="1" applyFont="1" applyBorder="1" applyAlignment="1">
      <alignment horizontal="center" vertical="center" wrapText="1"/>
    </xf>
    <xf numFmtId="166" fontId="19" fillId="0" borderId="14" xfId="0" applyFont="1" applyBorder="1" applyAlignment="1">
      <alignment horizontal="center" vertical="center" wrapText="1"/>
    </xf>
    <xf numFmtId="166" fontId="19" fillId="0" borderId="10" xfId="0" applyFont="1" applyBorder="1" applyAlignment="1">
      <alignment horizontal="center" vertical="center" wrapText="1"/>
    </xf>
    <xf numFmtId="166" fontId="19" fillId="0" borderId="46" xfId="0" applyFont="1" applyBorder="1" applyAlignment="1">
      <alignment horizontal="center" vertical="center"/>
    </xf>
    <xf numFmtId="166" fontId="19" fillId="0" borderId="46" xfId="0" applyFont="1" applyBorder="1" applyAlignment="1">
      <alignment horizontal="center" vertical="center" wrapText="1"/>
    </xf>
    <xf numFmtId="166" fontId="19" fillId="0" borderId="29" xfId="0" applyFont="1" applyBorder="1" applyAlignment="1">
      <alignment horizontal="center" vertical="center" wrapText="1"/>
    </xf>
    <xf numFmtId="166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66" fontId="19" fillId="28" borderId="0" xfId="0" applyFont="1" applyFill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1" fontId="18" fillId="0" borderId="36" xfId="0" applyNumberFormat="1" applyFont="1" applyBorder="1" applyAlignment="1">
      <alignment horizontal="center" vertical="center"/>
    </xf>
    <xf numFmtId="2" fontId="18" fillId="0" borderId="37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vertical="center" wrapText="1"/>
    </xf>
    <xf numFmtId="1" fontId="18" fillId="0" borderId="50" xfId="0" applyNumberFormat="1" applyFont="1" applyBorder="1" applyAlignment="1">
      <alignment horizontal="center" vertical="center"/>
    </xf>
    <xf numFmtId="1" fontId="18" fillId="0" borderId="39" xfId="0" applyNumberFormat="1" applyFont="1" applyBorder="1" applyAlignment="1">
      <alignment horizontal="center" vertical="center"/>
    </xf>
    <xf numFmtId="2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vertical="center" wrapText="1"/>
    </xf>
    <xf numFmtId="1" fontId="18" fillId="0" borderId="53" xfId="0" applyNumberFormat="1" applyFont="1" applyBorder="1" applyAlignment="1">
      <alignment horizontal="center" vertical="center"/>
    </xf>
    <xf numFmtId="1" fontId="18" fillId="0" borderId="39" xfId="0" quotePrefix="1" applyNumberFormat="1" applyFont="1" applyBorder="1" applyAlignment="1">
      <alignment horizontal="center" vertical="center"/>
    </xf>
    <xf numFmtId="0" fontId="18" fillId="0" borderId="40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6" fontId="18" fillId="0" borderId="43" xfId="0" applyFont="1" applyBorder="1" applyAlignment="1">
      <alignment horizontal="center" vertical="center"/>
    </xf>
    <xf numFmtId="166" fontId="18" fillId="0" borderId="44" xfId="0" applyFont="1" applyBorder="1" applyAlignment="1">
      <alignment horizontal="center" vertical="center"/>
    </xf>
    <xf numFmtId="166" fontId="19" fillId="0" borderId="33" xfId="0" applyFont="1" applyBorder="1" applyAlignment="1">
      <alignment horizontal="center" vertical="center"/>
    </xf>
    <xf numFmtId="3" fontId="18" fillId="0" borderId="60" xfId="0" applyNumberFormat="1" applyFont="1" applyBorder="1" applyAlignment="1">
      <alignment horizontal="center" vertical="center"/>
    </xf>
    <xf numFmtId="3" fontId="18" fillId="0" borderId="59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right" vertical="center"/>
    </xf>
    <xf numFmtId="166" fontId="18" fillId="0" borderId="0" xfId="0" applyFont="1"/>
    <xf numFmtId="167" fontId="20" fillId="0" borderId="16" xfId="0" applyNumberFormat="1" applyFont="1" applyBorder="1" applyAlignment="1">
      <alignment vertical="top"/>
    </xf>
    <xf numFmtId="166" fontId="20" fillId="0" borderId="17" xfId="0" applyFont="1" applyBorder="1" applyAlignment="1">
      <alignment vertical="top"/>
    </xf>
    <xf numFmtId="166" fontId="20" fillId="0" borderId="18" xfId="0" applyFont="1" applyBorder="1" applyAlignment="1">
      <alignment vertical="top"/>
    </xf>
    <xf numFmtId="166" fontId="19" fillId="0" borderId="19" xfId="0" applyFont="1" applyBorder="1" applyAlignment="1">
      <alignment vertical="top"/>
    </xf>
    <xf numFmtId="167" fontId="20" fillId="0" borderId="20" xfId="0" applyNumberFormat="1" applyFont="1" applyBorder="1" applyAlignment="1">
      <alignment vertical="top"/>
    </xf>
    <xf numFmtId="166" fontId="20" fillId="0" borderId="21" xfId="0" applyFont="1" applyBorder="1" applyAlignment="1">
      <alignment vertical="top"/>
    </xf>
    <xf numFmtId="166" fontId="19" fillId="0" borderId="21" xfId="0" applyFont="1" applyBorder="1" applyAlignment="1">
      <alignment vertical="top"/>
    </xf>
    <xf numFmtId="166" fontId="19" fillId="0" borderId="16" xfId="0" applyFont="1" applyBorder="1" applyAlignment="1">
      <alignment horizontal="center" vertical="center"/>
    </xf>
    <xf numFmtId="166" fontId="19" fillId="0" borderId="19" xfId="0" applyFont="1" applyBorder="1" applyAlignment="1">
      <alignment horizontal="center" vertical="center"/>
    </xf>
    <xf numFmtId="167" fontId="19" fillId="28" borderId="23" xfId="0" applyNumberFormat="1" applyFont="1" applyFill="1" applyBorder="1" applyAlignment="1">
      <alignment horizontal="center"/>
    </xf>
    <xf numFmtId="166" fontId="19" fillId="28" borderId="24" xfId="0" applyFont="1" applyFill="1" applyBorder="1" applyAlignment="1">
      <alignment horizontal="center"/>
    </xf>
    <xf numFmtId="166" fontId="19" fillId="28" borderId="13" xfId="0" applyFont="1" applyFill="1" applyBorder="1" applyAlignment="1">
      <alignment horizontal="center"/>
    </xf>
    <xf numFmtId="166" fontId="18" fillId="28" borderId="22" xfId="0" applyFont="1" applyFill="1" applyBorder="1"/>
    <xf numFmtId="166" fontId="18" fillId="28" borderId="25" xfId="0" applyFont="1" applyFill="1" applyBorder="1"/>
    <xf numFmtId="167" fontId="19" fillId="28" borderId="20" xfId="0" applyNumberFormat="1" applyFont="1" applyFill="1" applyBorder="1"/>
    <xf numFmtId="166" fontId="19" fillId="28" borderId="26" xfId="0" applyFont="1" applyFill="1" applyBorder="1"/>
    <xf numFmtId="166" fontId="19" fillId="28" borderId="11" xfId="0" applyFont="1" applyFill="1" applyBorder="1"/>
    <xf numFmtId="166" fontId="19" fillId="28" borderId="27" xfId="0" applyFont="1" applyFill="1" applyBorder="1" applyAlignment="1">
      <alignment horizontal="center" vertical="center"/>
    </xf>
    <xf numFmtId="166" fontId="18" fillId="28" borderId="28" xfId="0" applyFont="1" applyFill="1" applyBorder="1"/>
    <xf numFmtId="166" fontId="19" fillId="28" borderId="11" xfId="0" applyFont="1" applyFill="1" applyBorder="1" applyAlignment="1">
      <alignment horizontal="center" vertical="center"/>
    </xf>
    <xf numFmtId="166" fontId="18" fillId="0" borderId="38" xfId="0" applyFont="1" applyBorder="1"/>
    <xf numFmtId="4" fontId="18" fillId="0" borderId="22" xfId="0" applyNumberFormat="1" applyFont="1" applyBorder="1"/>
    <xf numFmtId="165" fontId="18" fillId="0" borderId="29" xfId="0" applyNumberFormat="1" applyFont="1" applyBorder="1"/>
    <xf numFmtId="166" fontId="18" fillId="0" borderId="41" xfId="0" applyFont="1" applyBorder="1"/>
    <xf numFmtId="4" fontId="18" fillId="0" borderId="23" xfId="0" applyNumberFormat="1" applyFont="1" applyBorder="1"/>
    <xf numFmtId="165" fontId="18" fillId="0" borderId="30" xfId="0" applyNumberFormat="1" applyFont="1" applyBorder="1"/>
    <xf numFmtId="166" fontId="18" fillId="0" borderId="40" xfId="0" applyFont="1" applyBorder="1" applyAlignment="1">
      <alignment horizontal="center" vertical="center"/>
    </xf>
    <xf numFmtId="166" fontId="18" fillId="0" borderId="44" xfId="0" quotePrefix="1" applyFont="1" applyBorder="1" applyAlignment="1">
      <alignment horizontal="center" vertical="center"/>
    </xf>
    <xf numFmtId="166" fontId="18" fillId="0" borderId="44" xfId="0" applyFont="1" applyBorder="1"/>
    <xf numFmtId="4" fontId="18" fillId="0" borderId="31" xfId="0" applyNumberFormat="1" applyFont="1" applyBorder="1"/>
    <xf numFmtId="165" fontId="18" fillId="0" borderId="32" xfId="0" applyNumberFormat="1" applyFont="1" applyBorder="1"/>
    <xf numFmtId="166" fontId="26" fillId="0" borderId="34" xfId="0" applyFont="1" applyBorder="1"/>
    <xf numFmtId="166" fontId="20" fillId="0" borderId="33" xfId="0" applyFont="1" applyBorder="1"/>
    <xf numFmtId="165" fontId="19" fillId="0" borderId="35" xfId="0" applyNumberFormat="1" applyFont="1" applyBorder="1"/>
    <xf numFmtId="166" fontId="20" fillId="0" borderId="10" xfId="0" applyFont="1" applyBorder="1" applyAlignment="1">
      <alignment wrapText="1"/>
    </xf>
    <xf numFmtId="166" fontId="24" fillId="0" borderId="10" xfId="0" applyFont="1" applyBorder="1"/>
    <xf numFmtId="166" fontId="20" fillId="0" borderId="10" xfId="0" applyFont="1" applyBorder="1"/>
    <xf numFmtId="3" fontId="24" fillId="0" borderId="10" xfId="0" applyNumberFormat="1" applyFont="1" applyBorder="1"/>
    <xf numFmtId="166" fontId="25" fillId="0" borderId="0" xfId="0" applyFont="1"/>
    <xf numFmtId="49" fontId="18" fillId="0" borderId="0" xfId="0" applyNumberFormat="1" applyFont="1" applyAlignment="1">
      <alignment horizontal="right"/>
    </xf>
    <xf numFmtId="166" fontId="18" fillId="0" borderId="10" xfId="0" applyFont="1" applyBorder="1" applyAlignment="1">
      <alignment horizontal="center" vertical="center"/>
    </xf>
    <xf numFmtId="166" fontId="26" fillId="0" borderId="10" xfId="0" applyFont="1" applyBorder="1" applyAlignment="1">
      <alignment horizontal="center" vertical="center"/>
    </xf>
    <xf numFmtId="166" fontId="26" fillId="0" borderId="10" xfId="0" applyFont="1" applyBorder="1" applyAlignment="1">
      <alignment horizontal="left" vertical="center"/>
    </xf>
    <xf numFmtId="2" fontId="18" fillId="0" borderId="10" xfId="0" applyNumberFormat="1" applyFont="1" applyBorder="1" applyAlignment="1">
      <alignment horizontal="center" vertical="center"/>
    </xf>
    <xf numFmtId="166" fontId="27" fillId="0" borderId="10" xfId="0" applyFont="1" applyBorder="1" applyAlignment="1">
      <alignment horizontal="center" vertical="center"/>
    </xf>
    <xf numFmtId="166" fontId="18" fillId="0" borderId="0" xfId="0" applyFont="1" applyAlignment="1">
      <alignment horizontal="center" vertical="center"/>
    </xf>
    <xf numFmtId="166" fontId="19" fillId="0" borderId="10" xfId="0" applyFont="1" applyBorder="1" applyAlignment="1">
      <alignment horizontal="center" vertical="center"/>
    </xf>
    <xf numFmtId="166" fontId="19" fillId="0" borderId="10" xfId="0" applyFont="1" applyBorder="1" applyAlignment="1">
      <alignment horizontal="left" vertical="center"/>
    </xf>
    <xf numFmtId="2" fontId="19" fillId="0" borderId="10" xfId="0" applyNumberFormat="1" applyFont="1" applyBorder="1" applyAlignment="1">
      <alignment horizontal="center" vertical="center" wrapText="1"/>
    </xf>
    <xf numFmtId="2" fontId="19" fillId="25" borderId="10" xfId="0" quotePrefix="1" applyNumberFormat="1" applyFont="1" applyFill="1" applyBorder="1" applyAlignment="1">
      <alignment horizontal="center" vertical="center" textRotation="90" wrapText="1"/>
    </xf>
    <xf numFmtId="2" fontId="19" fillId="25" borderId="10" xfId="0" quotePrefix="1" applyNumberFormat="1" applyFont="1" applyFill="1" applyBorder="1" applyAlignment="1">
      <alignment horizontal="center" vertical="center" wrapText="1"/>
    </xf>
    <xf numFmtId="166" fontId="19" fillId="24" borderId="10" xfId="0" applyFont="1" applyFill="1" applyBorder="1" applyAlignment="1">
      <alignment horizontal="center" vertical="center" wrapText="1"/>
    </xf>
    <xf numFmtId="2" fontId="19" fillId="26" borderId="10" xfId="0" applyNumberFormat="1" applyFont="1" applyFill="1" applyBorder="1" applyAlignment="1">
      <alignment horizontal="center" vertical="center" wrapText="1"/>
    </xf>
    <xf numFmtId="1" fontId="29" fillId="27" borderId="10" xfId="0" applyNumberFormat="1" applyFont="1" applyFill="1" applyBorder="1" applyAlignment="1">
      <alignment horizontal="center" vertical="center"/>
    </xf>
    <xf numFmtId="166" fontId="29" fillId="0" borderId="10" xfId="0" applyFont="1" applyBorder="1" applyAlignment="1">
      <alignment horizontal="center" vertical="top"/>
    </xf>
    <xf numFmtId="166" fontId="29" fillId="0" borderId="10" xfId="0" applyFont="1" applyBorder="1" applyAlignment="1">
      <alignment vertical="top" wrapText="1"/>
    </xf>
    <xf numFmtId="166" fontId="18" fillId="0" borderId="10" xfId="0" applyFont="1" applyBorder="1" applyAlignment="1" applyProtection="1">
      <alignment horizontal="center" vertical="center" wrapText="1"/>
      <protection hidden="1"/>
    </xf>
    <xf numFmtId="1" fontId="18" fillId="0" borderId="10" xfId="0" applyNumberFormat="1" applyFont="1" applyBorder="1" applyAlignment="1">
      <alignment horizontal="center" vertical="center"/>
    </xf>
    <xf numFmtId="1" fontId="18" fillId="27" borderId="10" xfId="0" applyNumberFormat="1" applyFont="1" applyFill="1" applyBorder="1" applyAlignment="1">
      <alignment horizontal="center" vertical="center"/>
    </xf>
    <xf numFmtId="3" fontId="18" fillId="24" borderId="10" xfId="0" applyNumberFormat="1" applyFont="1" applyFill="1" applyBorder="1" applyAlignment="1">
      <alignment horizontal="center" vertical="center"/>
    </xf>
    <xf numFmtId="4" fontId="18" fillId="0" borderId="10" xfId="0" applyNumberFormat="1" applyFont="1" applyBorder="1" applyAlignment="1">
      <alignment horizontal="center" vertical="center"/>
    </xf>
    <xf numFmtId="166" fontId="18" fillId="26" borderId="10" xfId="0" applyFont="1" applyFill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166" fontId="18" fillId="24" borderId="10" xfId="0" applyFont="1" applyFill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66" fontId="30" fillId="0" borderId="10" xfId="0" applyFont="1" applyBorder="1" applyAlignment="1">
      <alignment horizontal="center" vertical="center" wrapText="1"/>
    </xf>
    <xf numFmtId="1" fontId="18" fillId="0" borderId="12" xfId="0" applyNumberFormat="1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3" fontId="18" fillId="27" borderId="10" xfId="0" applyNumberFormat="1" applyFont="1" applyFill="1" applyBorder="1" applyAlignment="1">
      <alignment horizontal="center" vertical="center"/>
    </xf>
    <xf numFmtId="1" fontId="29" fillId="27" borderId="13" xfId="0" applyNumberFormat="1" applyFont="1" applyFill="1" applyBorder="1" applyAlignment="1">
      <alignment horizontal="center" vertical="center"/>
    </xf>
    <xf numFmtId="166" fontId="18" fillId="0" borderId="13" xfId="0" applyFont="1" applyBorder="1" applyAlignment="1">
      <alignment horizontal="center" vertical="center"/>
    </xf>
    <xf numFmtId="166" fontId="18" fillId="0" borderId="10" xfId="0" quotePrefix="1" applyFont="1" applyBorder="1" applyAlignment="1">
      <alignment horizontal="center" vertical="center"/>
    </xf>
    <xf numFmtId="49" fontId="18" fillId="0" borderId="0" xfId="0" applyNumberFormat="1" applyFont="1" applyAlignment="1">
      <alignment horizontal="left" vertical="center" wrapText="1"/>
    </xf>
    <xf numFmtId="166" fontId="29" fillId="0" borderId="15" xfId="0" applyFont="1" applyBorder="1" applyAlignment="1">
      <alignment vertical="top" wrapText="1"/>
    </xf>
    <xf numFmtId="166" fontId="18" fillId="0" borderId="0" xfId="0" applyFont="1" applyAlignment="1">
      <alignment horizontal="center" vertical="center" wrapText="1"/>
    </xf>
    <xf numFmtId="166" fontId="18" fillId="0" borderId="0" xfId="0" applyFont="1" applyAlignment="1">
      <alignment vertical="center" wrapText="1"/>
    </xf>
    <xf numFmtId="166" fontId="18" fillId="0" borderId="0" xfId="0" applyFont="1" applyAlignment="1">
      <alignment horizontal="left" vertical="center" wrapText="1"/>
    </xf>
    <xf numFmtId="166" fontId="18" fillId="0" borderId="0" xfId="0" applyFont="1" applyAlignment="1">
      <alignment horizontal="left" vertical="center"/>
    </xf>
    <xf numFmtId="2" fontId="31" fillId="0" borderId="0" xfId="0" applyNumberFormat="1" applyFont="1" applyAlignment="1">
      <alignment horizontal="center" vertical="center"/>
    </xf>
    <xf numFmtId="166" fontId="31" fillId="0" borderId="0" xfId="0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19" fillId="25" borderId="0" xfId="0" quotePrefix="1" applyNumberFormat="1" applyFont="1" applyFill="1" applyAlignment="1">
      <alignment horizontal="center" vertical="center" wrapText="1"/>
    </xf>
    <xf numFmtId="166" fontId="23" fillId="0" borderId="21" xfId="0" applyFont="1" applyBorder="1" applyAlignment="1">
      <alignment vertical="center" wrapText="1"/>
    </xf>
    <xf numFmtId="166" fontId="33" fillId="0" borderId="0" xfId="0" applyFont="1"/>
    <xf numFmtId="165" fontId="18" fillId="32" borderId="0" xfId="0" applyNumberFormat="1" applyFont="1" applyFill="1" applyAlignment="1">
      <alignment horizontal="center" vertical="center"/>
    </xf>
    <xf numFmtId="166" fontId="18" fillId="32" borderId="0" xfId="0" applyFont="1" applyFill="1" applyAlignment="1">
      <alignment horizontal="center" vertical="center"/>
    </xf>
    <xf numFmtId="4" fontId="28" fillId="32" borderId="10" xfId="0" applyNumberFormat="1" applyFont="1" applyFill="1" applyBorder="1" applyAlignment="1">
      <alignment horizontal="center" vertical="center" wrapText="1"/>
    </xf>
    <xf numFmtId="165" fontId="18" fillId="32" borderId="10" xfId="0" applyNumberFormat="1" applyFont="1" applyFill="1" applyBorder="1" applyAlignment="1">
      <alignment horizontal="center" vertical="center"/>
    </xf>
    <xf numFmtId="166" fontId="19" fillId="29" borderId="46" xfId="0" applyFont="1" applyFill="1" applyBorder="1" applyAlignment="1">
      <alignment horizontal="center" vertical="center" wrapText="1"/>
    </xf>
    <xf numFmtId="166" fontId="34" fillId="33" borderId="10" xfId="0" applyFont="1" applyFill="1" applyBorder="1"/>
    <xf numFmtId="166" fontId="35" fillId="33" borderId="10" xfId="0" applyFont="1" applyFill="1" applyBorder="1" applyAlignment="1">
      <alignment horizontal="center" vertical="center"/>
    </xf>
    <xf numFmtId="166" fontId="35" fillId="33" borderId="46" xfId="0" applyFont="1" applyFill="1" applyBorder="1" applyAlignment="1">
      <alignment horizontal="center" vertical="center"/>
    </xf>
    <xf numFmtId="166" fontId="36" fillId="32" borderId="10" xfId="0" applyFont="1" applyFill="1" applyBorder="1"/>
    <xf numFmtId="166" fontId="36" fillId="32" borderId="46" xfId="0" applyFont="1" applyFill="1" applyBorder="1"/>
    <xf numFmtId="10" fontId="36" fillId="32" borderId="10" xfId="0" applyNumberFormat="1" applyFont="1" applyFill="1" applyBorder="1"/>
    <xf numFmtId="166" fontId="37" fillId="32" borderId="10" xfId="0" applyFont="1" applyFill="1" applyBorder="1"/>
    <xf numFmtId="166" fontId="38" fillId="32" borderId="10" xfId="0" applyFont="1" applyFill="1" applyBorder="1"/>
    <xf numFmtId="10" fontId="37" fillId="32" borderId="10" xfId="0" applyNumberFormat="1" applyFont="1" applyFill="1" applyBorder="1"/>
    <xf numFmtId="166" fontId="39" fillId="33" borderId="10" xfId="0" applyFont="1" applyFill="1" applyBorder="1"/>
    <xf numFmtId="166" fontId="39" fillId="0" borderId="0" xfId="0" applyFont="1"/>
    <xf numFmtId="0" fontId="18" fillId="0" borderId="10" xfId="0" applyNumberFormat="1" applyFont="1" applyBorder="1" applyAlignment="1">
      <alignment horizontal="left"/>
    </xf>
    <xf numFmtId="166" fontId="18" fillId="0" borderId="10" xfId="0" applyFont="1" applyBorder="1"/>
    <xf numFmtId="0" fontId="18" fillId="0" borderId="0" xfId="0" applyNumberFormat="1" applyFont="1" applyAlignment="1">
      <alignment horizontal="left"/>
    </xf>
    <xf numFmtId="166" fontId="18" fillId="0" borderId="10" xfId="0" quotePrefix="1" applyFont="1" applyBorder="1"/>
    <xf numFmtId="166" fontId="18" fillId="0" borderId="0" xfId="0" quotePrefix="1" applyFont="1"/>
    <xf numFmtId="166" fontId="19" fillId="0" borderId="10" xfId="0" applyFont="1" applyBorder="1"/>
    <xf numFmtId="166" fontId="19" fillId="32" borderId="10" xfId="0" applyFont="1" applyFill="1" applyBorder="1"/>
    <xf numFmtId="166" fontId="19" fillId="0" borderId="0" xfId="0" applyFont="1"/>
    <xf numFmtId="2" fontId="18" fillId="0" borderId="10" xfId="0" applyNumberFormat="1" applyFont="1" applyBorder="1"/>
    <xf numFmtId="2" fontId="19" fillId="32" borderId="10" xfId="0" applyNumberFormat="1" applyFont="1" applyFill="1" applyBorder="1"/>
    <xf numFmtId="3" fontId="18" fillId="0" borderId="51" xfId="0" applyNumberFormat="1" applyFont="1" applyBorder="1" applyAlignment="1">
      <alignment horizontal="center" vertical="center"/>
    </xf>
    <xf numFmtId="3" fontId="18" fillId="0" borderId="64" xfId="0" applyNumberFormat="1" applyFont="1" applyBorder="1" applyAlignment="1">
      <alignment horizontal="center" vertical="center"/>
    </xf>
    <xf numFmtId="3" fontId="18" fillId="0" borderId="56" xfId="0" applyNumberFormat="1" applyFont="1" applyBorder="1" applyAlignment="1">
      <alignment horizontal="center" vertical="center"/>
    </xf>
    <xf numFmtId="165" fontId="18" fillId="0" borderId="51" xfId="0" applyNumberFormat="1" applyFont="1" applyBorder="1" applyAlignment="1">
      <alignment horizontal="center" vertical="center"/>
    </xf>
    <xf numFmtId="165" fontId="18" fillId="0" borderId="64" xfId="0" applyNumberFormat="1" applyFont="1" applyBorder="1" applyAlignment="1">
      <alignment horizontal="center" vertical="center"/>
    </xf>
    <xf numFmtId="165" fontId="18" fillId="0" borderId="56" xfId="0" applyNumberFormat="1" applyFont="1" applyBorder="1" applyAlignment="1">
      <alignment horizontal="center" vertical="center"/>
    </xf>
    <xf numFmtId="3" fontId="18" fillId="0" borderId="35" xfId="0" applyNumberFormat="1" applyFont="1" applyBorder="1" applyAlignment="1">
      <alignment horizontal="center" vertical="center"/>
    </xf>
    <xf numFmtId="3" fontId="18" fillId="0" borderId="65" xfId="0" applyNumberFormat="1" applyFont="1" applyBorder="1" applyAlignment="1">
      <alignment horizontal="center" vertical="center"/>
    </xf>
    <xf numFmtId="3" fontId="18" fillId="0" borderId="66" xfId="0" applyNumberFormat="1" applyFont="1" applyBorder="1" applyAlignment="1">
      <alignment horizontal="center" vertical="center"/>
    </xf>
    <xf numFmtId="3" fontId="18" fillId="0" borderId="36" xfId="0" applyNumberFormat="1" applyFont="1" applyBorder="1" applyAlignment="1">
      <alignment horizontal="center" vertical="center"/>
    </xf>
    <xf numFmtId="3" fontId="18" fillId="0" borderId="39" xfId="0" applyNumberFormat="1" applyFont="1" applyBorder="1" applyAlignment="1">
      <alignment horizontal="center" vertical="center"/>
    </xf>
    <xf numFmtId="3" fontId="18" fillId="0" borderId="42" xfId="0" applyNumberFormat="1" applyFont="1" applyBorder="1" applyAlignment="1">
      <alignment horizontal="center" vertical="center"/>
    </xf>
    <xf numFmtId="3" fontId="18" fillId="0" borderId="33" xfId="0" applyNumberFormat="1" applyFont="1" applyBorder="1" applyAlignment="1">
      <alignment horizontal="center" vertical="center"/>
    </xf>
    <xf numFmtId="165" fontId="18" fillId="0" borderId="36" xfId="0" applyNumberFormat="1" applyFont="1" applyBorder="1" applyAlignment="1">
      <alignment horizontal="center" vertical="center"/>
    </xf>
    <xf numFmtId="165" fontId="18" fillId="0" borderId="39" xfId="0" applyNumberFormat="1" applyFont="1" applyBorder="1" applyAlignment="1">
      <alignment horizontal="center" vertical="center"/>
    </xf>
    <xf numFmtId="165" fontId="18" fillId="0" borderId="42" xfId="0" applyNumberFormat="1" applyFont="1" applyBorder="1" applyAlignment="1">
      <alignment horizontal="center" vertical="center"/>
    </xf>
    <xf numFmtId="166" fontId="20" fillId="0" borderId="16" xfId="0" applyFont="1" applyBorder="1" applyAlignment="1">
      <alignment horizontal="center" vertical="center" wrapText="1"/>
    </xf>
    <xf numFmtId="166" fontId="20" fillId="0" borderId="47" xfId="0" applyFont="1" applyBorder="1" applyAlignment="1">
      <alignment horizontal="center" vertical="center" wrapText="1"/>
    </xf>
    <xf numFmtId="166" fontId="19" fillId="0" borderId="22" xfId="0" applyFont="1" applyBorder="1" applyAlignment="1">
      <alignment horizontal="center" vertical="center" wrapText="1"/>
    </xf>
    <xf numFmtId="166" fontId="19" fillId="0" borderId="25" xfId="0" applyFont="1" applyBorder="1" applyAlignment="1">
      <alignment horizontal="center" vertical="center" wrapText="1"/>
    </xf>
    <xf numFmtId="166" fontId="19" fillId="0" borderId="47" xfId="0" applyFont="1" applyBorder="1" applyAlignment="1">
      <alignment horizontal="center" vertical="center" wrapText="1"/>
    </xf>
    <xf numFmtId="166" fontId="19" fillId="0" borderId="17" xfId="0" applyFont="1" applyBorder="1" applyAlignment="1">
      <alignment horizontal="center" vertical="center" wrapText="1"/>
    </xf>
    <xf numFmtId="165" fontId="18" fillId="0" borderId="69" xfId="0" applyNumberFormat="1" applyFont="1" applyBorder="1" applyAlignment="1">
      <alignment horizontal="center" vertical="center"/>
    </xf>
    <xf numFmtId="165" fontId="18" fillId="0" borderId="70" xfId="0" applyNumberFormat="1" applyFont="1" applyBorder="1" applyAlignment="1">
      <alignment horizontal="center" vertical="center"/>
    </xf>
    <xf numFmtId="166" fontId="40" fillId="34" borderId="0" xfId="0" applyFont="1" applyFill="1" applyAlignment="1">
      <alignment wrapText="1"/>
    </xf>
    <xf numFmtId="166" fontId="0" fillId="34" borderId="0" xfId="0" applyFill="1" applyAlignment="1">
      <alignment horizontal="center"/>
    </xf>
    <xf numFmtId="166" fontId="0" fillId="35" borderId="0" xfId="0" applyFill="1" applyAlignment="1">
      <alignment horizontal="center"/>
    </xf>
    <xf numFmtId="166" fontId="40" fillId="34" borderId="0" xfId="0" applyFont="1" applyFill="1" applyAlignment="1">
      <alignment horizontal="right" wrapText="1"/>
    </xf>
    <xf numFmtId="168" fontId="40" fillId="34" borderId="0" xfId="0" applyNumberFormat="1" applyFont="1" applyFill="1" applyAlignment="1">
      <alignment horizontal="right" wrapText="1"/>
    </xf>
    <xf numFmtId="168" fontId="40" fillId="35" borderId="0" xfId="0" applyNumberFormat="1" applyFont="1" applyFill="1" applyAlignment="1">
      <alignment horizontal="right" wrapText="1"/>
    </xf>
    <xf numFmtId="166" fontId="0" fillId="0" borderId="10" xfId="0" applyBorder="1"/>
    <xf numFmtId="166" fontId="0" fillId="0" borderId="10" xfId="0" applyBorder="1" applyAlignment="1">
      <alignment horizontal="center"/>
    </xf>
    <xf numFmtId="166" fontId="0" fillId="35" borderId="10" xfId="0" applyFill="1" applyBorder="1" applyAlignment="1">
      <alignment horizontal="center"/>
    </xf>
    <xf numFmtId="14" fontId="0" fillId="0" borderId="10" xfId="0" applyNumberFormat="1" applyBorder="1" applyAlignment="1">
      <alignment horizontal="right"/>
    </xf>
    <xf numFmtId="168" fontId="0" fillId="0" borderId="10" xfId="0" applyNumberFormat="1" applyBorder="1" applyAlignment="1">
      <alignment horizontal="right"/>
    </xf>
    <xf numFmtId="168" fontId="0" fillId="35" borderId="10" xfId="0" applyNumberFormat="1" applyFill="1" applyBorder="1" applyAlignment="1">
      <alignment horizontal="right"/>
    </xf>
    <xf numFmtId="166" fontId="0" fillId="0" borderId="10" xfId="0" applyBorder="1" applyAlignment="1">
      <alignment horizontal="right"/>
    </xf>
    <xf numFmtId="169" fontId="0" fillId="0" borderId="10" xfId="0" applyNumberFormat="1" applyBorder="1" applyAlignment="1">
      <alignment horizontal="right"/>
    </xf>
    <xf numFmtId="169" fontId="0" fillId="35" borderId="10" xfId="0" applyNumberFormat="1" applyFill="1" applyBorder="1" applyAlignment="1">
      <alignment horizontal="right"/>
    </xf>
    <xf numFmtId="166" fontId="0" fillId="34" borderId="10" xfId="0" applyFill="1" applyBorder="1"/>
    <xf numFmtId="49" fontId="0" fillId="0" borderId="10" xfId="0" applyNumberFormat="1" applyBorder="1" applyAlignment="1">
      <alignment horizontal="right"/>
    </xf>
    <xf numFmtId="166" fontId="0" fillId="35" borderId="10" xfId="0" applyFill="1" applyBorder="1"/>
    <xf numFmtId="49" fontId="0" fillId="35" borderId="0" xfId="0" applyNumberFormat="1" applyFill="1" applyAlignment="1">
      <alignment horizontal="right"/>
    </xf>
    <xf numFmtId="166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169" fontId="0" fillId="35" borderId="0" xfId="0" applyNumberFormat="1" applyFill="1" applyAlignment="1">
      <alignment horizontal="right"/>
    </xf>
    <xf numFmtId="1" fontId="0" fillId="0" borderId="10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49" fontId="0" fillId="35" borderId="10" xfId="0" applyNumberFormat="1" applyFill="1" applyBorder="1" applyAlignment="1">
      <alignment horizontal="right"/>
    </xf>
    <xf numFmtId="169" fontId="0" fillId="34" borderId="10" xfId="0" applyNumberFormat="1" applyFill="1" applyBorder="1" applyAlignment="1">
      <alignment horizontal="right"/>
    </xf>
    <xf numFmtId="166" fontId="42" fillId="0" borderId="10" xfId="0" applyFont="1" applyBorder="1" applyAlignment="1">
      <alignment horizontal="right"/>
    </xf>
    <xf numFmtId="166" fontId="0" fillId="0" borderId="0" xfId="0" applyAlignment="1">
      <alignment horizontal="center"/>
    </xf>
    <xf numFmtId="166" fontId="18" fillId="0" borderId="0" xfId="0" applyFont="1" applyAlignment="1">
      <alignment vertical="center"/>
    </xf>
    <xf numFmtId="167" fontId="20" fillId="0" borderId="16" xfId="0" applyNumberFormat="1" applyFont="1" applyBorder="1" applyAlignment="1">
      <alignment vertical="center"/>
    </xf>
    <xf numFmtId="166" fontId="20" fillId="0" borderId="17" xfId="0" applyFont="1" applyBorder="1" applyAlignment="1">
      <alignment vertical="center"/>
    </xf>
    <xf numFmtId="166" fontId="20" fillId="0" borderId="18" xfId="0" applyFont="1" applyBorder="1" applyAlignment="1">
      <alignment vertical="center"/>
    </xf>
    <xf numFmtId="166" fontId="19" fillId="0" borderId="19" xfId="0" applyFont="1" applyBorder="1" applyAlignment="1">
      <alignment vertical="center"/>
    </xf>
    <xf numFmtId="166" fontId="19" fillId="0" borderId="17" xfId="0" applyFont="1" applyBorder="1" applyAlignment="1">
      <alignment vertical="center"/>
    </xf>
    <xf numFmtId="166" fontId="18" fillId="0" borderId="17" xfId="0" applyFont="1" applyBorder="1" applyAlignment="1">
      <alignment vertical="center"/>
    </xf>
    <xf numFmtId="166" fontId="18" fillId="0" borderId="19" xfId="0" applyFont="1" applyBorder="1" applyAlignment="1">
      <alignment vertical="center"/>
    </xf>
    <xf numFmtId="166" fontId="18" fillId="0" borderId="16" xfId="0" applyFont="1" applyBorder="1" applyAlignment="1">
      <alignment vertical="center"/>
    </xf>
    <xf numFmtId="167" fontId="20" fillId="0" borderId="20" xfId="0" applyNumberFormat="1" applyFont="1" applyBorder="1" applyAlignment="1">
      <alignment vertical="center"/>
    </xf>
    <xf numFmtId="166" fontId="20" fillId="0" borderId="21" xfId="0" applyFont="1" applyBorder="1" applyAlignment="1">
      <alignment vertical="center"/>
    </xf>
    <xf numFmtId="166" fontId="19" fillId="0" borderId="21" xfId="0" applyFont="1" applyBorder="1" applyAlignment="1">
      <alignment vertical="center"/>
    </xf>
    <xf numFmtId="2" fontId="18" fillId="0" borderId="21" xfId="0" applyNumberFormat="1" applyFont="1" applyBorder="1" applyAlignment="1">
      <alignment vertical="center"/>
    </xf>
    <xf numFmtId="166" fontId="18" fillId="0" borderId="21" xfId="0" applyFont="1" applyBorder="1" applyAlignment="1">
      <alignment vertical="center"/>
    </xf>
    <xf numFmtId="166" fontId="18" fillId="0" borderId="45" xfId="0" applyFont="1" applyBorder="1" applyAlignment="1">
      <alignment vertical="center"/>
    </xf>
    <xf numFmtId="166" fontId="18" fillId="0" borderId="20" xfId="0" applyFont="1" applyBorder="1" applyAlignment="1">
      <alignment vertical="center"/>
    </xf>
    <xf numFmtId="166" fontId="20" fillId="0" borderId="17" xfId="0" applyFont="1" applyBorder="1" applyAlignment="1">
      <alignment horizontal="center" vertical="center" wrapText="1"/>
    </xf>
    <xf numFmtId="167" fontId="19" fillId="28" borderId="23" xfId="0" applyNumberFormat="1" applyFont="1" applyFill="1" applyBorder="1" applyAlignment="1">
      <alignment horizontal="center" vertical="center"/>
    </xf>
    <xf numFmtId="166" fontId="19" fillId="28" borderId="24" xfId="0" applyFont="1" applyFill="1" applyBorder="1" applyAlignment="1">
      <alignment horizontal="center" vertical="center"/>
    </xf>
    <xf numFmtId="166" fontId="19" fillId="28" borderId="13" xfId="0" applyFont="1" applyFill="1" applyBorder="1" applyAlignment="1">
      <alignment horizontal="center" vertical="center"/>
    </xf>
    <xf numFmtId="166" fontId="22" fillId="0" borderId="10" xfId="0" applyFont="1" applyBorder="1" applyAlignment="1">
      <alignment horizontal="right" vertical="center"/>
    </xf>
    <xf numFmtId="166" fontId="18" fillId="28" borderId="46" xfId="0" applyFont="1" applyFill="1" applyBorder="1" applyAlignment="1">
      <alignment vertical="center"/>
    </xf>
    <xf numFmtId="166" fontId="18" fillId="28" borderId="29" xfId="0" applyFont="1" applyFill="1" applyBorder="1" applyAlignment="1">
      <alignment vertical="center"/>
    </xf>
    <xf numFmtId="2" fontId="18" fillId="30" borderId="22" xfId="0" applyNumberFormat="1" applyFont="1" applyFill="1" applyBorder="1" applyAlignment="1">
      <alignment vertical="center"/>
    </xf>
    <xf numFmtId="2" fontId="18" fillId="30" borderId="25" xfId="0" applyNumberFormat="1" applyFont="1" applyFill="1" applyBorder="1" applyAlignment="1">
      <alignment vertical="center"/>
    </xf>
    <xf numFmtId="166" fontId="19" fillId="28" borderId="23" xfId="0" applyFont="1" applyFill="1" applyBorder="1" applyAlignment="1">
      <alignment horizontal="center" vertical="center"/>
    </xf>
    <xf numFmtId="166" fontId="19" fillId="28" borderId="63" xfId="0" applyFont="1" applyFill="1" applyBorder="1" applyAlignment="1">
      <alignment horizontal="center" vertical="center"/>
    </xf>
    <xf numFmtId="166" fontId="19" fillId="28" borderId="67" xfId="0" applyFont="1" applyFill="1" applyBorder="1" applyAlignment="1">
      <alignment horizontal="center" vertical="center"/>
    </xf>
    <xf numFmtId="166" fontId="18" fillId="28" borderId="22" xfId="0" applyFont="1" applyFill="1" applyBorder="1" applyAlignment="1">
      <alignment vertical="center"/>
    </xf>
    <xf numFmtId="166" fontId="18" fillId="28" borderId="15" xfId="0" applyFont="1" applyFill="1" applyBorder="1" applyAlignment="1">
      <alignment vertical="center"/>
    </xf>
    <xf numFmtId="166" fontId="18" fillId="28" borderId="30" xfId="0" applyFont="1" applyFill="1" applyBorder="1" applyAlignment="1">
      <alignment vertical="center"/>
    </xf>
    <xf numFmtId="167" fontId="19" fillId="28" borderId="67" xfId="0" applyNumberFormat="1" applyFont="1" applyFill="1" applyBorder="1" applyAlignment="1">
      <alignment vertical="center"/>
    </xf>
    <xf numFmtId="166" fontId="19" fillId="28" borderId="26" xfId="0" applyFont="1" applyFill="1" applyBorder="1" applyAlignment="1">
      <alignment vertical="center"/>
    </xf>
    <xf numFmtId="166" fontId="19" fillId="28" borderId="10" xfId="0" applyFont="1" applyFill="1" applyBorder="1" applyAlignment="1">
      <alignment horizontal="center" vertical="center"/>
    </xf>
    <xf numFmtId="164" fontId="19" fillId="0" borderId="13" xfId="0" applyNumberFormat="1" applyFont="1" applyBorder="1" applyAlignment="1">
      <alignment vertical="center"/>
    </xf>
    <xf numFmtId="166" fontId="18" fillId="28" borderId="48" xfId="0" applyFont="1" applyFill="1" applyBorder="1" applyAlignment="1">
      <alignment vertical="center"/>
    </xf>
    <xf numFmtId="166" fontId="18" fillId="30" borderId="23" xfId="0" applyFont="1" applyFill="1" applyBorder="1" applyAlignment="1">
      <alignment vertical="center"/>
    </xf>
    <xf numFmtId="166" fontId="18" fillId="30" borderId="28" xfId="0" applyFont="1" applyFill="1" applyBorder="1" applyAlignment="1">
      <alignment vertical="center"/>
    </xf>
    <xf numFmtId="166" fontId="18" fillId="28" borderId="23" xfId="0" applyFont="1" applyFill="1" applyBorder="1" applyAlignment="1">
      <alignment vertical="center"/>
    </xf>
    <xf numFmtId="166" fontId="18" fillId="28" borderId="0" xfId="0" applyFont="1" applyFill="1" applyAlignment="1">
      <alignment vertical="center"/>
    </xf>
    <xf numFmtId="166" fontId="18" fillId="28" borderId="63" xfId="0" applyFont="1" applyFill="1" applyBorder="1" applyAlignment="1">
      <alignment vertical="center"/>
    </xf>
    <xf numFmtId="167" fontId="19" fillId="28" borderId="20" xfId="0" applyNumberFormat="1" applyFont="1" applyFill="1" applyBorder="1" applyAlignment="1">
      <alignment vertical="center"/>
    </xf>
    <xf numFmtId="166" fontId="19" fillId="28" borderId="11" xfId="0" applyFont="1" applyFill="1" applyBorder="1" applyAlignment="1">
      <alignment vertical="center"/>
    </xf>
    <xf numFmtId="166" fontId="19" fillId="28" borderId="20" xfId="0" applyFont="1" applyFill="1" applyBorder="1" applyAlignment="1">
      <alignment horizontal="center" vertical="center"/>
    </xf>
    <xf numFmtId="166" fontId="18" fillId="28" borderId="68" xfId="0" applyFont="1" applyFill="1" applyBorder="1" applyAlignment="1">
      <alignment vertical="center"/>
    </xf>
    <xf numFmtId="166" fontId="18" fillId="0" borderId="38" xfId="0" applyFont="1" applyBorder="1" applyAlignment="1">
      <alignment vertical="center"/>
    </xf>
    <xf numFmtId="0" fontId="18" fillId="0" borderId="38" xfId="0" applyNumberFormat="1" applyFont="1" applyBorder="1" applyAlignment="1">
      <alignment vertical="center"/>
    </xf>
    <xf numFmtId="3" fontId="21" fillId="24" borderId="38" xfId="0" applyNumberFormat="1" applyFont="1" applyFill="1" applyBorder="1" applyAlignment="1">
      <alignment vertical="center"/>
    </xf>
    <xf numFmtId="164" fontId="18" fillId="0" borderId="38" xfId="0" applyNumberFormat="1" applyFont="1" applyBorder="1" applyAlignment="1">
      <alignment vertical="center"/>
    </xf>
    <xf numFmtId="166" fontId="18" fillId="0" borderId="50" xfId="0" applyFont="1" applyBorder="1" applyAlignment="1">
      <alignment vertical="center"/>
    </xf>
    <xf numFmtId="166" fontId="19" fillId="0" borderId="51" xfId="0" applyFont="1" applyBorder="1" applyAlignment="1">
      <alignment vertical="center"/>
    </xf>
    <xf numFmtId="166" fontId="19" fillId="0" borderId="36" xfId="0" applyFont="1" applyBorder="1" applyAlignment="1">
      <alignment vertical="center"/>
    </xf>
    <xf numFmtId="166" fontId="19" fillId="0" borderId="52" xfId="0" applyFont="1" applyBorder="1" applyAlignment="1">
      <alignment vertical="center"/>
    </xf>
    <xf numFmtId="166" fontId="19" fillId="0" borderId="0" xfId="0" applyFont="1" applyAlignment="1">
      <alignment vertical="center"/>
    </xf>
    <xf numFmtId="165" fontId="18" fillId="0" borderId="51" xfId="0" applyNumberFormat="1" applyFont="1" applyBorder="1" applyAlignment="1">
      <alignment vertical="center"/>
    </xf>
    <xf numFmtId="166" fontId="18" fillId="0" borderId="41" xfId="0" applyFont="1" applyBorder="1" applyAlignment="1">
      <alignment vertical="center"/>
    </xf>
    <xf numFmtId="0" fontId="18" fillId="0" borderId="41" xfId="0" applyNumberFormat="1" applyFont="1" applyBorder="1" applyAlignment="1">
      <alignment vertical="center"/>
    </xf>
    <xf numFmtId="3" fontId="21" fillId="24" borderId="41" xfId="0" applyNumberFormat="1" applyFont="1" applyFill="1" applyBorder="1" applyAlignment="1">
      <alignment vertical="center"/>
    </xf>
    <xf numFmtId="164" fontId="18" fillId="0" borderId="41" xfId="0" applyNumberFormat="1" applyFont="1" applyBorder="1" applyAlignment="1">
      <alignment vertical="center"/>
    </xf>
    <xf numFmtId="166" fontId="18" fillId="0" borderId="53" xfId="0" applyFont="1" applyBorder="1" applyAlignment="1">
      <alignment vertical="center"/>
    </xf>
    <xf numFmtId="166" fontId="19" fillId="0" borderId="39" xfId="0" applyFont="1" applyBorder="1" applyAlignment="1">
      <alignment vertical="center"/>
    </xf>
    <xf numFmtId="166" fontId="19" fillId="0" borderId="54" xfId="0" applyFont="1" applyBorder="1" applyAlignment="1">
      <alignment vertical="center"/>
    </xf>
    <xf numFmtId="165" fontId="18" fillId="0" borderId="64" xfId="0" applyNumberFormat="1" applyFont="1" applyBorder="1" applyAlignment="1">
      <alignment vertical="center"/>
    </xf>
    <xf numFmtId="3" fontId="21" fillId="24" borderId="61" xfId="0" applyNumberFormat="1" applyFont="1" applyFill="1" applyBorder="1" applyAlignment="1">
      <alignment vertical="center"/>
    </xf>
    <xf numFmtId="164" fontId="18" fillId="0" borderId="61" xfId="0" applyNumberFormat="1" applyFont="1" applyBorder="1" applyAlignment="1">
      <alignment vertical="center"/>
    </xf>
    <xf numFmtId="166" fontId="18" fillId="0" borderId="44" xfId="0" applyFont="1" applyBorder="1" applyAlignment="1">
      <alignment vertical="center"/>
    </xf>
    <xf numFmtId="0" fontId="18" fillId="0" borderId="44" xfId="0" applyNumberFormat="1" applyFont="1" applyBorder="1" applyAlignment="1">
      <alignment vertical="center"/>
    </xf>
    <xf numFmtId="3" fontId="21" fillId="24" borderId="44" xfId="0" applyNumberFormat="1" applyFont="1" applyFill="1" applyBorder="1" applyAlignment="1">
      <alignment vertical="center"/>
    </xf>
    <xf numFmtId="164" fontId="18" fillId="0" borderId="44" xfId="0" applyNumberFormat="1" applyFont="1" applyBorder="1" applyAlignment="1">
      <alignment vertical="center"/>
    </xf>
    <xf numFmtId="164" fontId="18" fillId="0" borderId="55" xfId="0" applyNumberFormat="1" applyFont="1" applyBorder="1" applyAlignment="1">
      <alignment vertical="center"/>
    </xf>
    <xf numFmtId="166" fontId="19" fillId="0" borderId="55" xfId="0" applyFont="1" applyBorder="1" applyAlignment="1">
      <alignment vertical="center"/>
    </xf>
    <xf numFmtId="166" fontId="19" fillId="0" borderId="56" xfId="0" applyFont="1" applyBorder="1" applyAlignment="1">
      <alignment vertical="center"/>
    </xf>
    <xf numFmtId="166" fontId="19" fillId="0" borderId="42" xfId="0" applyFont="1" applyBorder="1" applyAlignment="1">
      <alignment vertical="center"/>
    </xf>
    <xf numFmtId="166" fontId="19" fillId="0" borderId="57" xfId="0" applyFont="1" applyBorder="1" applyAlignment="1">
      <alignment vertical="center"/>
    </xf>
    <xf numFmtId="166" fontId="19" fillId="0" borderId="71" xfId="0" applyFont="1" applyBorder="1" applyAlignment="1">
      <alignment vertical="center"/>
    </xf>
    <xf numFmtId="165" fontId="18" fillId="0" borderId="56" xfId="0" applyNumberFormat="1" applyFont="1" applyBorder="1" applyAlignment="1">
      <alignment vertical="center"/>
    </xf>
    <xf numFmtId="166" fontId="18" fillId="0" borderId="34" xfId="0" applyFont="1" applyBorder="1" applyAlignment="1">
      <alignment vertical="center"/>
    </xf>
    <xf numFmtId="3" fontId="21" fillId="24" borderId="34" xfId="0" applyNumberFormat="1" applyFont="1" applyFill="1" applyBorder="1" applyAlignment="1">
      <alignment vertical="center"/>
    </xf>
    <xf numFmtId="3" fontId="21" fillId="31" borderId="34" xfId="0" applyNumberFormat="1" applyFont="1" applyFill="1" applyBorder="1" applyAlignment="1">
      <alignment vertical="center"/>
    </xf>
    <xf numFmtId="166" fontId="20" fillId="0" borderId="58" xfId="0" applyFont="1" applyBorder="1" applyAlignment="1">
      <alignment vertical="center"/>
    </xf>
    <xf numFmtId="166" fontId="20" fillId="0" borderId="35" xfId="0" applyFont="1" applyBorder="1" applyAlignment="1">
      <alignment vertical="center"/>
    </xf>
    <xf numFmtId="166" fontId="20" fillId="0" borderId="33" xfId="0" applyFont="1" applyBorder="1" applyAlignment="1">
      <alignment vertical="center"/>
    </xf>
    <xf numFmtId="166" fontId="20" fillId="0" borderId="59" xfId="0" applyFont="1" applyBorder="1" applyAlignment="1">
      <alignment vertical="center"/>
    </xf>
    <xf numFmtId="166" fontId="20" fillId="0" borderId="0" xfId="0" applyFont="1" applyAlignment="1">
      <alignment vertical="center"/>
    </xf>
    <xf numFmtId="166" fontId="20" fillId="0" borderId="60" xfId="0" applyFont="1" applyBorder="1" applyAlignment="1">
      <alignment vertical="center"/>
    </xf>
    <xf numFmtId="165" fontId="19" fillId="0" borderId="62" xfId="0" applyNumberFormat="1" applyFont="1" applyBorder="1" applyAlignment="1">
      <alignment vertical="center"/>
    </xf>
    <xf numFmtId="166" fontId="20" fillId="0" borderId="10" xfId="0" applyFont="1" applyBorder="1" applyAlignment="1">
      <alignment vertical="center" wrapText="1"/>
    </xf>
    <xf numFmtId="166" fontId="24" fillId="0" borderId="10" xfId="0" applyFont="1" applyBorder="1" applyAlignment="1">
      <alignment vertical="center"/>
    </xf>
    <xf numFmtId="166" fontId="24" fillId="0" borderId="0" xfId="0" applyFont="1" applyAlignment="1">
      <alignment vertical="center"/>
    </xf>
    <xf numFmtId="166" fontId="20" fillId="0" borderId="10" xfId="0" applyFont="1" applyBorder="1" applyAlignment="1">
      <alignment vertical="center"/>
    </xf>
    <xf numFmtId="3" fontId="24" fillId="0" borderId="10" xfId="0" applyNumberFormat="1" applyFont="1" applyBorder="1" applyAlignment="1">
      <alignment vertical="center"/>
    </xf>
    <xf numFmtId="3" fontId="24" fillId="0" borderId="0" xfId="0" applyNumberFormat="1" applyFont="1" applyAlignment="1">
      <alignment vertical="center"/>
    </xf>
    <xf numFmtId="166" fontId="46" fillId="0" borderId="0" xfId="0" applyFont="1" applyAlignment="1">
      <alignment vertical="center"/>
    </xf>
    <xf numFmtId="166" fontId="45" fillId="0" borderId="0" xfId="0" applyFont="1" applyAlignment="1">
      <alignment horizontal="right" vertical="center"/>
    </xf>
    <xf numFmtId="49" fontId="46" fillId="0" borderId="0" xfId="0" applyNumberFormat="1" applyFont="1" applyAlignment="1">
      <alignment horizontal="center" vertical="center"/>
    </xf>
    <xf numFmtId="167" fontId="46" fillId="0" borderId="0" xfId="0" applyNumberFormat="1" applyFont="1" applyAlignment="1">
      <alignment horizontal="right" vertical="center"/>
    </xf>
    <xf numFmtId="166" fontId="19" fillId="0" borderId="64" xfId="0" applyFont="1" applyBorder="1" applyAlignment="1">
      <alignment vertical="center"/>
    </xf>
    <xf numFmtId="166" fontId="19" fillId="0" borderId="63" xfId="0" applyFont="1" applyBorder="1" applyAlignment="1">
      <alignment vertical="center"/>
    </xf>
    <xf numFmtId="166" fontId="19" fillId="0" borderId="72" xfId="0" applyFont="1" applyBorder="1" applyAlignment="1">
      <alignment vertical="center"/>
    </xf>
    <xf numFmtId="166" fontId="19" fillId="29" borderId="10" xfId="0" applyFont="1" applyFill="1" applyBorder="1" applyAlignment="1">
      <alignment horizontal="center" vertical="center" wrapText="1"/>
    </xf>
    <xf numFmtId="166" fontId="23" fillId="28" borderId="24" xfId="0" applyFont="1" applyFill="1" applyBorder="1" applyAlignment="1">
      <alignment horizontal="center" vertical="center" wrapText="1"/>
    </xf>
    <xf numFmtId="166" fontId="23" fillId="28" borderId="49" xfId="0" applyFont="1" applyFill="1" applyBorder="1" applyAlignment="1">
      <alignment horizontal="center" vertical="center" wrapText="1"/>
    </xf>
    <xf numFmtId="166" fontId="23" fillId="28" borderId="26" xfId="0" applyFont="1" applyFill="1" applyBorder="1" applyAlignment="1">
      <alignment horizontal="center" vertical="center" wrapText="1"/>
    </xf>
    <xf numFmtId="166" fontId="19" fillId="0" borderId="27" xfId="0" applyFont="1" applyFill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2837-73E8-4D59-BBEE-080B055A4F1E}">
  <sheetPr codeName="Sheet1" filterMode="1">
    <pageSetUpPr fitToPage="1"/>
  </sheetPr>
  <dimension ref="A1:AS180"/>
  <sheetViews>
    <sheetView tabSelected="1" zoomScale="115" zoomScaleNormal="115" workbookViewId="0">
      <pane xSplit="4" ySplit="8" topLeftCell="AI9" activePane="bottomRight" state="frozen"/>
      <selection activeCell="D8" sqref="D8"/>
      <selection pane="topRight" activeCell="D8" sqref="D8"/>
      <selection pane="bottomLeft" activeCell="D8" sqref="D8"/>
      <selection pane="bottomRight" activeCell="B2" sqref="B2:AS144"/>
    </sheetView>
  </sheetViews>
  <sheetFormatPr defaultColWidth="9.109375" defaultRowHeight="13.2"/>
  <cols>
    <col min="1" max="1" width="9.109375" style="202"/>
    <col min="2" max="2" width="7.44140625" style="1" customWidth="1"/>
    <col min="3" max="3" width="15.44140625" style="2" hidden="1" customWidth="1"/>
    <col min="4" max="4" width="55.44140625" style="202" customWidth="1"/>
    <col min="5" max="5" width="15.6640625" style="202" hidden="1" customWidth="1"/>
    <col min="6" max="6" width="7.109375" style="202" hidden="1" customWidth="1"/>
    <col min="7" max="7" width="9.33203125" style="202" hidden="1" customWidth="1"/>
    <col min="8" max="8" width="9.44140625" style="202" hidden="1" customWidth="1"/>
    <col min="9" max="9" width="8.6640625" style="202" hidden="1" customWidth="1"/>
    <col min="10" max="10" width="8.44140625" style="202" hidden="1" customWidth="1"/>
    <col min="11" max="11" width="11.44140625" style="202" hidden="1" customWidth="1"/>
    <col min="12" max="12" width="9.5546875" style="202" hidden="1" customWidth="1"/>
    <col min="13" max="13" width="9.88671875" style="202" hidden="1" customWidth="1"/>
    <col min="14" max="14" width="9.109375" style="202" hidden="1" customWidth="1"/>
    <col min="15" max="15" width="10.33203125" style="202" hidden="1" customWidth="1"/>
    <col min="16" max="16" width="9.109375" style="202" hidden="1" customWidth="1"/>
    <col min="17" max="17" width="8.44140625" style="202" hidden="1" customWidth="1"/>
    <col min="18" max="18" width="12.33203125" style="202" hidden="1" customWidth="1"/>
    <col min="19" max="19" width="9" style="202" hidden="1" customWidth="1"/>
    <col min="20" max="20" width="8.44140625" style="202" hidden="1" customWidth="1"/>
    <col min="21" max="21" width="12" style="202" hidden="1" customWidth="1"/>
    <col min="22" max="22" width="8.6640625" style="202" hidden="1" customWidth="1"/>
    <col min="23" max="23" width="8.44140625" style="202" hidden="1" customWidth="1"/>
    <col min="24" max="24" width="11.6640625" style="202" hidden="1" customWidth="1"/>
    <col min="25" max="25" width="10.109375" style="202" hidden="1" customWidth="1"/>
    <col min="26" max="27" width="11.6640625" style="202" hidden="1" customWidth="1"/>
    <col min="28" max="28" width="11.44140625" style="202" hidden="1" customWidth="1"/>
    <col min="29" max="30" width="18" style="202" hidden="1" customWidth="1"/>
    <col min="31" max="32" width="18.88671875" style="202" hidden="1" customWidth="1"/>
    <col min="33" max="33" width="14.33203125" style="202" hidden="1" customWidth="1"/>
    <col min="34" max="34" width="9.109375" style="202" hidden="1" customWidth="1"/>
    <col min="35" max="35" width="17.5546875" style="202" hidden="1" customWidth="1"/>
    <col min="36" max="36" width="16.109375" style="202" hidden="1" customWidth="1"/>
    <col min="37" max="37" width="15.33203125" style="202" hidden="1" customWidth="1"/>
    <col min="38" max="38" width="9.109375" style="202" hidden="1" customWidth="1"/>
    <col min="39" max="39" width="16.109375" style="202" hidden="1" customWidth="1"/>
    <col min="40" max="40" width="15.33203125" style="202" hidden="1" customWidth="1"/>
    <col min="41" max="41" width="9.109375" style="202" hidden="1" customWidth="1"/>
    <col min="42" max="43" width="11.44140625" style="202" hidden="1" customWidth="1"/>
    <col min="44" max="44" width="11" style="202" bestFit="1" customWidth="1"/>
    <col min="45" max="16384" width="9.109375" style="202"/>
  </cols>
  <sheetData>
    <row r="1" spans="2:44" ht="12.75" customHeight="1" thickBot="1">
      <c r="I1" s="3"/>
      <c r="K1" s="3"/>
      <c r="V1" s="3"/>
      <c r="X1" s="3"/>
      <c r="Y1" s="3"/>
      <c r="Z1" s="3"/>
      <c r="AA1" s="3"/>
    </row>
    <row r="2" spans="2:44" ht="14.4">
      <c r="B2" s="203"/>
      <c r="C2" s="204"/>
      <c r="D2" s="205" t="str">
        <f ca="1">MID(CELL("filename"),SEARCH("[",CELL("filename"))+1, SEARCH("]",CELL("filename"))-SEARCH("[",CELL("filename"))-1)</f>
        <v>Dolmen Carpark Panels(SJ574 R0.1).xlsx</v>
      </c>
      <c r="E2" s="206"/>
      <c r="F2" s="207"/>
      <c r="G2" s="207"/>
      <c r="H2" s="207"/>
      <c r="I2" s="4"/>
      <c r="J2" s="208"/>
      <c r="K2" s="4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4"/>
      <c r="W2" s="208"/>
      <c r="X2" s="4"/>
      <c r="Y2" s="4"/>
      <c r="Z2" s="4"/>
      <c r="AA2" s="4"/>
      <c r="AB2" s="208"/>
      <c r="AC2" s="208"/>
      <c r="AD2" s="209"/>
      <c r="AE2" s="210"/>
      <c r="AF2" s="209"/>
      <c r="AP2" s="208"/>
    </row>
    <row r="3" spans="2:44" ht="15.75" customHeight="1" thickBot="1">
      <c r="B3" s="211"/>
      <c r="C3" s="212"/>
      <c r="D3" s="5"/>
      <c r="E3" s="213"/>
      <c r="F3" s="213"/>
      <c r="G3" s="213"/>
      <c r="H3" s="213"/>
      <c r="I3" s="119" t="s">
        <v>92</v>
      </c>
      <c r="J3" s="214">
        <v>8</v>
      </c>
      <c r="K3" s="6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6"/>
      <c r="W3" s="215"/>
      <c r="X3" s="6"/>
      <c r="Y3" s="6"/>
      <c r="Z3" s="6"/>
      <c r="AA3" s="6"/>
      <c r="AB3" s="215"/>
      <c r="AC3" s="215"/>
      <c r="AD3" s="216"/>
      <c r="AE3" s="217"/>
      <c r="AF3" s="216"/>
      <c r="AL3" s="202" t="s">
        <v>146</v>
      </c>
      <c r="AM3" s="202">
        <v>59.36</v>
      </c>
      <c r="AN3" s="202">
        <v>41.91</v>
      </c>
    </row>
    <row r="4" spans="2:44" ht="52.5" customHeight="1">
      <c r="B4" s="7"/>
      <c r="C4" s="8" t="s">
        <v>37</v>
      </c>
      <c r="D4" s="9" t="s">
        <v>1</v>
      </c>
      <c r="E4" s="9" t="s">
        <v>38</v>
      </c>
      <c r="F4" s="9" t="s">
        <v>67</v>
      </c>
      <c r="G4" s="9" t="s">
        <v>68</v>
      </c>
      <c r="H4" s="9" t="s">
        <v>69</v>
      </c>
      <c r="I4" s="301" t="s">
        <v>70</v>
      </c>
      <c r="J4" s="301"/>
      <c r="K4" s="301"/>
      <c r="L4" s="301" t="s">
        <v>71</v>
      </c>
      <c r="M4" s="301"/>
      <c r="N4" s="301" t="s">
        <v>72</v>
      </c>
      <c r="O4" s="301"/>
      <c r="P4" s="301" t="s">
        <v>73</v>
      </c>
      <c r="Q4" s="301"/>
      <c r="R4" s="301"/>
      <c r="S4" s="301" t="s">
        <v>74</v>
      </c>
      <c r="T4" s="301"/>
      <c r="U4" s="301"/>
      <c r="V4" s="301" t="s">
        <v>75</v>
      </c>
      <c r="W4" s="301"/>
      <c r="X4" s="301"/>
      <c r="Y4" s="301" t="s">
        <v>134</v>
      </c>
      <c r="Z4" s="301"/>
      <c r="AA4" s="125" t="s">
        <v>135</v>
      </c>
      <c r="AB4" s="10" t="s">
        <v>76</v>
      </c>
      <c r="AC4" s="11" t="s">
        <v>77</v>
      </c>
      <c r="AD4" s="12" t="s">
        <v>78</v>
      </c>
      <c r="AE4" s="165" t="s">
        <v>150</v>
      </c>
      <c r="AF4" s="166" t="s">
        <v>150</v>
      </c>
      <c r="AG4" s="13" t="s">
        <v>80</v>
      </c>
      <c r="AI4" s="218" t="s">
        <v>41</v>
      </c>
      <c r="AJ4" s="163" t="s">
        <v>42</v>
      </c>
      <c r="AK4" s="164" t="s">
        <v>136</v>
      </c>
      <c r="AM4" s="163" t="s">
        <v>148</v>
      </c>
      <c r="AN4" s="164" t="s">
        <v>149</v>
      </c>
      <c r="AP4" s="42" t="s">
        <v>76</v>
      </c>
      <c r="AQ4" s="168" t="s">
        <v>151</v>
      </c>
      <c r="AR4" s="167" t="s">
        <v>147</v>
      </c>
    </row>
    <row r="5" spans="2:44">
      <c r="B5" s="219"/>
      <c r="C5" s="220"/>
      <c r="D5" s="221"/>
      <c r="E5" s="15"/>
      <c r="F5" s="15"/>
      <c r="G5" s="15"/>
      <c r="H5" s="15"/>
      <c r="I5" s="222" t="s">
        <v>133</v>
      </c>
      <c r="J5" s="222"/>
      <c r="K5" s="222" t="s">
        <v>82</v>
      </c>
      <c r="L5" s="222" t="s">
        <v>81</v>
      </c>
      <c r="M5" s="222" t="s">
        <v>82</v>
      </c>
      <c r="N5" s="222" t="s">
        <v>81</v>
      </c>
      <c r="O5" s="222" t="s">
        <v>82</v>
      </c>
      <c r="P5" s="222" t="s">
        <v>81</v>
      </c>
      <c r="Q5" s="222"/>
      <c r="R5" s="222" t="s">
        <v>82</v>
      </c>
      <c r="S5" s="222" t="s">
        <v>133</v>
      </c>
      <c r="T5" s="222"/>
      <c r="U5" s="222" t="s">
        <v>82</v>
      </c>
      <c r="V5" s="222" t="s">
        <v>81</v>
      </c>
      <c r="W5" s="222"/>
      <c r="X5" s="222" t="s">
        <v>82</v>
      </c>
      <c r="Y5" s="222" t="s">
        <v>133</v>
      </c>
      <c r="Z5" s="222" t="s">
        <v>82</v>
      </c>
      <c r="AA5" s="222" t="s">
        <v>81</v>
      </c>
      <c r="AB5" s="223"/>
      <c r="AC5" s="223"/>
      <c r="AD5" s="224"/>
      <c r="AE5" s="225"/>
      <c r="AF5" s="226"/>
      <c r="AG5" s="14">
        <v>1.1000000000000001</v>
      </c>
      <c r="AI5" s="15"/>
      <c r="AJ5" s="227"/>
      <c r="AK5" s="228"/>
      <c r="AM5" s="229"/>
      <c r="AN5" s="228"/>
      <c r="AP5" s="230"/>
      <c r="AQ5" s="231"/>
      <c r="AR5" s="232"/>
    </row>
    <row r="6" spans="2:44">
      <c r="B6" s="233"/>
      <c r="C6" s="234"/>
      <c r="D6" s="15"/>
      <c r="E6" s="15"/>
      <c r="F6" s="16">
        <v>15</v>
      </c>
      <c r="G6" s="16">
        <v>0.5</v>
      </c>
      <c r="H6" s="16">
        <v>5</v>
      </c>
      <c r="I6" s="235"/>
      <c r="J6" s="302" t="s">
        <v>83</v>
      </c>
      <c r="K6" s="236">
        <v>0</v>
      </c>
      <c r="L6" s="15"/>
      <c r="M6" s="236">
        <v>0</v>
      </c>
      <c r="N6" s="15"/>
      <c r="O6" s="236">
        <v>0</v>
      </c>
      <c r="P6" s="15"/>
      <c r="Q6" s="302" t="s">
        <v>83</v>
      </c>
      <c r="R6" s="236">
        <v>0</v>
      </c>
      <c r="S6" s="15"/>
      <c r="T6" s="302" t="s">
        <v>83</v>
      </c>
      <c r="U6" s="236">
        <v>0</v>
      </c>
      <c r="V6" s="235"/>
      <c r="W6" s="302" t="s">
        <v>83</v>
      </c>
      <c r="X6" s="236">
        <v>0</v>
      </c>
      <c r="Y6" s="235"/>
      <c r="Z6" s="236">
        <v>0</v>
      </c>
      <c r="AA6" s="235"/>
      <c r="AB6" s="237"/>
      <c r="AC6" s="237"/>
      <c r="AD6" s="232"/>
      <c r="AE6" s="238"/>
      <c r="AF6" s="239"/>
      <c r="AG6" s="13"/>
      <c r="AI6" s="15"/>
      <c r="AJ6" s="229"/>
      <c r="AK6" s="228"/>
      <c r="AM6" s="229"/>
      <c r="AN6" s="228"/>
      <c r="AP6" s="240"/>
      <c r="AQ6" s="241"/>
      <c r="AR6" s="242"/>
    </row>
    <row r="7" spans="2:44">
      <c r="B7" s="233"/>
      <c r="C7" s="234"/>
      <c r="D7" s="15"/>
      <c r="E7" s="15"/>
      <c r="F7" s="16">
        <v>0.25</v>
      </c>
      <c r="G7" s="16">
        <v>0.25</v>
      </c>
      <c r="H7" s="16">
        <v>1</v>
      </c>
      <c r="I7" s="235"/>
      <c r="J7" s="303"/>
      <c r="K7" s="236"/>
      <c r="L7" s="15"/>
      <c r="M7" s="236"/>
      <c r="N7" s="15"/>
      <c r="O7" s="236"/>
      <c r="P7" s="15"/>
      <c r="Q7" s="303"/>
      <c r="R7" s="236"/>
      <c r="S7" s="15"/>
      <c r="T7" s="303"/>
      <c r="U7" s="236"/>
      <c r="V7" s="235"/>
      <c r="W7" s="303"/>
      <c r="X7" s="236"/>
      <c r="Y7" s="235"/>
      <c r="Z7" s="236"/>
      <c r="AA7" s="235"/>
      <c r="AB7" s="237"/>
      <c r="AC7" s="237"/>
      <c r="AD7" s="232"/>
      <c r="AE7" s="238"/>
      <c r="AF7" s="239"/>
      <c r="AG7" s="13"/>
      <c r="AI7" s="15"/>
      <c r="AJ7" s="229"/>
      <c r="AK7" s="228"/>
      <c r="AM7" s="229"/>
      <c r="AN7" s="228"/>
      <c r="AP7" s="240"/>
      <c r="AQ7" s="241"/>
      <c r="AR7" s="242"/>
    </row>
    <row r="8" spans="2:44">
      <c r="B8" s="243"/>
      <c r="C8" s="234"/>
      <c r="D8" s="244"/>
      <c r="E8" s="15"/>
      <c r="F8" s="15"/>
      <c r="G8" s="16">
        <v>1</v>
      </c>
      <c r="H8" s="235"/>
      <c r="I8" s="235"/>
      <c r="J8" s="304"/>
      <c r="K8" s="236"/>
      <c r="L8" s="15"/>
      <c r="M8" s="236"/>
      <c r="N8" s="15"/>
      <c r="O8" s="236"/>
      <c r="P8" s="15"/>
      <c r="Q8" s="304"/>
      <c r="R8" s="236"/>
      <c r="S8" s="15"/>
      <c r="T8" s="304"/>
      <c r="U8" s="236"/>
      <c r="V8" s="235"/>
      <c r="W8" s="304"/>
      <c r="X8" s="236"/>
      <c r="Y8" s="235"/>
      <c r="Z8" s="236"/>
      <c r="AA8" s="235"/>
      <c r="AB8" s="237"/>
      <c r="AC8" s="237"/>
      <c r="AD8" s="232"/>
      <c r="AE8" s="238"/>
      <c r="AF8" s="239"/>
      <c r="AG8" s="13"/>
      <c r="AI8" s="15"/>
      <c r="AJ8" s="245"/>
      <c r="AK8" s="228"/>
      <c r="AM8" s="229"/>
      <c r="AN8" s="228"/>
      <c r="AP8" s="240"/>
      <c r="AQ8" s="241"/>
      <c r="AR8" s="246"/>
    </row>
    <row r="9" spans="2:44" ht="12" customHeight="1">
      <c r="B9" s="17">
        <f>'MaterialCosts Summary'!B9</f>
        <v>1</v>
      </c>
      <c r="C9" s="18"/>
      <c r="D9" s="19" t="str">
        <f>'MaterialCosts Summary'!D9</f>
        <v>Car Park Panels</v>
      </c>
      <c r="E9" s="247">
        <f>'MaterialCosts Summary'!E9</f>
        <v>1710.0825</v>
      </c>
      <c r="F9" s="248">
        <v>0</v>
      </c>
      <c r="G9" s="248">
        <v>0</v>
      </c>
      <c r="H9" s="248">
        <v>0</v>
      </c>
      <c r="I9" s="249">
        <f>(MAX((F9*$F$6)+(G9*$G$6),$J$3)*J9)</f>
        <v>0</v>
      </c>
      <c r="J9" s="249"/>
      <c r="K9" s="250">
        <f>IF(AND(I9*$K$6&lt;150, I9&lt;&gt;0), (I9*$K$6)+0, I9*$K$6)</f>
        <v>0</v>
      </c>
      <c r="L9" s="249">
        <v>0</v>
      </c>
      <c r="M9" s="250">
        <f t="shared" ref="M9:M72" si="0">L9*$M$6</f>
        <v>0</v>
      </c>
      <c r="N9" s="249">
        <v>0</v>
      </c>
      <c r="O9" s="250">
        <f t="shared" ref="O9:O72" si="1">N9*$O$6</f>
        <v>0</v>
      </c>
      <c r="P9" s="249">
        <f t="shared" ref="P9:P72" si="2">(IF(H9&lt;&gt;0,MAX((G9*$G$8)+(H9*0.1*$H$6)+(H9*0.9*$H$7),24),(G9*$G$8)+(H9*0.1*$H$6)+(H9*0.9*$H$7)))*Q9</f>
        <v>0</v>
      </c>
      <c r="Q9" s="249"/>
      <c r="R9" s="250">
        <f t="shared" ref="R9:R72" si="3">P9*$R$6</f>
        <v>0</v>
      </c>
      <c r="S9" s="249">
        <f t="shared" ref="S9:S72" si="4">G9*$G$6*T9</f>
        <v>0</v>
      </c>
      <c r="T9" s="249"/>
      <c r="U9" s="250">
        <f t="shared" ref="U9:U72" si="5">S9*$U$6</f>
        <v>0</v>
      </c>
      <c r="V9" s="249">
        <f t="shared" ref="V9:V72" si="6">(((G9+H9)*$G$7)+(F9*$F$7))*W9</f>
        <v>0</v>
      </c>
      <c r="W9" s="249"/>
      <c r="X9" s="250">
        <f t="shared" ref="X9:X72" si="7">V9*$X$6</f>
        <v>0</v>
      </c>
      <c r="Y9" s="249">
        <v>0</v>
      </c>
      <c r="Z9" s="250">
        <f t="shared" ref="Z9:Z72" si="8">Y9*$X$6</f>
        <v>0</v>
      </c>
      <c r="AA9" s="249">
        <v>0</v>
      </c>
      <c r="AB9" s="20">
        <v>1</v>
      </c>
      <c r="AC9" s="251">
        <f>AD9/AB9</f>
        <v>1710.0825</v>
      </c>
      <c r="AD9" s="252">
        <f>E9+K9+M9+O9+R9+U9+X9+Z9</f>
        <v>1710.0825</v>
      </c>
      <c r="AE9" s="253">
        <f>AC9*$AG$5</f>
        <v>1881.0907500000001</v>
      </c>
      <c r="AF9" s="254">
        <f>AD9*$AG$5</f>
        <v>1881.0907500000001</v>
      </c>
      <c r="AG9" s="255"/>
      <c r="AI9" s="154">
        <f>CEILING(0/2, 4)</f>
        <v>0</v>
      </c>
      <c r="AJ9" s="156">
        <v>0</v>
      </c>
      <c r="AK9" s="147">
        <f>CEILING((L9+N9+P9+V9+AA9), 4)</f>
        <v>0</v>
      </c>
      <c r="AM9" s="160">
        <f>AJ9*$AM$3</f>
        <v>0</v>
      </c>
      <c r="AN9" s="150">
        <f>AK9*$AN$3</f>
        <v>0</v>
      </c>
      <c r="AP9" s="17">
        <f>AB9</f>
        <v>1</v>
      </c>
      <c r="AQ9" s="169">
        <f>AR9/AP9</f>
        <v>1881.0907500000001</v>
      </c>
      <c r="AR9" s="256">
        <f>AF9+AM9+AN9</f>
        <v>1881.0907500000001</v>
      </c>
    </row>
    <row r="10" spans="2:44" ht="12" hidden="1" customHeight="1">
      <c r="B10" s="21">
        <f>'MaterialCosts Summary'!B10</f>
        <v>2</v>
      </c>
      <c r="C10" s="22"/>
      <c r="D10" s="23" t="str">
        <f>'MaterialCosts Summary'!D10</f>
        <v>B</v>
      </c>
      <c r="E10" s="257">
        <f>'MaterialCosts Summary'!E10</f>
        <v>0</v>
      </c>
      <c r="F10" s="258">
        <v>0</v>
      </c>
      <c r="G10" s="258">
        <v>0</v>
      </c>
      <c r="H10" s="258">
        <v>0</v>
      </c>
      <c r="I10" s="259">
        <f t="shared" ref="I10:I73" si="9">(MAX((F10*$F$6)+(G10*$G$6),$J$3)*J10)</f>
        <v>0</v>
      </c>
      <c r="J10" s="259"/>
      <c r="K10" s="260">
        <f t="shared" ref="K10:K73" si="10">IF(AND(I10*$K$6&lt;150, I10&lt;&gt;0), (I10*$K$6)+0, I10*$K$6)</f>
        <v>0</v>
      </c>
      <c r="L10" s="259">
        <v>0</v>
      </c>
      <c r="M10" s="260">
        <f t="shared" si="0"/>
        <v>0</v>
      </c>
      <c r="N10" s="259">
        <v>0</v>
      </c>
      <c r="O10" s="260">
        <f t="shared" si="1"/>
        <v>0</v>
      </c>
      <c r="P10" s="259">
        <f t="shared" si="2"/>
        <v>0</v>
      </c>
      <c r="Q10" s="259"/>
      <c r="R10" s="260">
        <f t="shared" si="3"/>
        <v>0</v>
      </c>
      <c r="S10" s="259">
        <f t="shared" si="4"/>
        <v>0</v>
      </c>
      <c r="T10" s="259"/>
      <c r="U10" s="260">
        <f t="shared" si="5"/>
        <v>0</v>
      </c>
      <c r="V10" s="259">
        <f t="shared" si="6"/>
        <v>0</v>
      </c>
      <c r="W10" s="259"/>
      <c r="X10" s="260">
        <f t="shared" si="7"/>
        <v>0</v>
      </c>
      <c r="Y10" s="259">
        <v>0</v>
      </c>
      <c r="Z10" s="260">
        <f t="shared" si="8"/>
        <v>0</v>
      </c>
      <c r="AA10" s="259">
        <v>0</v>
      </c>
      <c r="AB10" s="24">
        <v>1</v>
      </c>
      <c r="AC10" s="261">
        <f t="shared" ref="AC10:AC73" si="11">AD10/AB10</f>
        <v>0</v>
      </c>
      <c r="AD10" s="298">
        <f t="shared" ref="AD10:AD73" si="12">E10+K10+M10+O10+R10+U10+X10+Z10</f>
        <v>0</v>
      </c>
      <c r="AE10" s="262">
        <f t="shared" ref="AE10:AF73" si="13">AC10*$AG$5</f>
        <v>0</v>
      </c>
      <c r="AF10" s="263">
        <f t="shared" si="13"/>
        <v>0</v>
      </c>
      <c r="AG10" s="255"/>
      <c r="AI10" s="154">
        <f t="shared" ref="AI10:AI73" si="14">CEILING(0/2, 4)</f>
        <v>0</v>
      </c>
      <c r="AJ10" s="157">
        <f t="shared" ref="AJ10:AJ73" si="15">CEILING((I10+S10+Y10), 1)</f>
        <v>0</v>
      </c>
      <c r="AK10" s="148">
        <f t="shared" ref="AK10:AK73" si="16">CEILING((L10+N10+P10+V10+AA10), 4)</f>
        <v>0</v>
      </c>
      <c r="AM10" s="161">
        <f t="shared" ref="AM10:AM73" si="17">AJ10*$AM$3</f>
        <v>0</v>
      </c>
      <c r="AN10" s="151">
        <f t="shared" ref="AN10:AN73" si="18">AK10*$AN$3</f>
        <v>0</v>
      </c>
      <c r="AP10" s="21">
        <f t="shared" ref="AP10:AP73" si="19">AB10</f>
        <v>1</v>
      </c>
      <c r="AQ10" s="170">
        <f t="shared" ref="AQ10:AQ73" si="20">AR10/AP10</f>
        <v>0</v>
      </c>
      <c r="AR10" s="264">
        <f t="shared" ref="AR10:AR73" si="21">AF10+AM10+AN10</f>
        <v>0</v>
      </c>
    </row>
    <row r="11" spans="2:44" ht="12" hidden="1" customHeight="1">
      <c r="B11" s="21">
        <f>'MaterialCosts Summary'!B11</f>
        <v>3</v>
      </c>
      <c r="C11" s="22"/>
      <c r="D11" s="23">
        <f>'MaterialCosts Summary'!D11</f>
        <v>0</v>
      </c>
      <c r="E11" s="257">
        <f>'MaterialCosts Summary'!E11</f>
        <v>0</v>
      </c>
      <c r="F11" s="258">
        <v>0</v>
      </c>
      <c r="G11" s="258">
        <v>0</v>
      </c>
      <c r="H11" s="258">
        <v>0</v>
      </c>
      <c r="I11" s="259">
        <f t="shared" si="9"/>
        <v>0</v>
      </c>
      <c r="J11" s="259"/>
      <c r="K11" s="260">
        <f t="shared" si="10"/>
        <v>0</v>
      </c>
      <c r="L11" s="259">
        <v>0</v>
      </c>
      <c r="M11" s="260">
        <f t="shared" si="0"/>
        <v>0</v>
      </c>
      <c r="N11" s="259">
        <v>0</v>
      </c>
      <c r="O11" s="260">
        <f t="shared" si="1"/>
        <v>0</v>
      </c>
      <c r="P11" s="259">
        <f t="shared" si="2"/>
        <v>0</v>
      </c>
      <c r="Q11" s="259"/>
      <c r="R11" s="260">
        <f t="shared" si="3"/>
        <v>0</v>
      </c>
      <c r="S11" s="259">
        <f t="shared" si="4"/>
        <v>0</v>
      </c>
      <c r="T11" s="259"/>
      <c r="U11" s="260">
        <f t="shared" si="5"/>
        <v>0</v>
      </c>
      <c r="V11" s="259">
        <f t="shared" si="6"/>
        <v>0</v>
      </c>
      <c r="W11" s="259"/>
      <c r="X11" s="260">
        <f t="shared" si="7"/>
        <v>0</v>
      </c>
      <c r="Y11" s="259">
        <v>0</v>
      </c>
      <c r="Z11" s="260">
        <f t="shared" si="8"/>
        <v>0</v>
      </c>
      <c r="AA11" s="259">
        <v>0</v>
      </c>
      <c r="AB11" s="24">
        <v>1</v>
      </c>
      <c r="AC11" s="261">
        <f t="shared" si="11"/>
        <v>0</v>
      </c>
      <c r="AD11" s="299">
        <f t="shared" si="12"/>
        <v>0</v>
      </c>
      <c r="AE11" s="262">
        <f t="shared" si="13"/>
        <v>0</v>
      </c>
      <c r="AF11" s="263">
        <f t="shared" si="13"/>
        <v>0</v>
      </c>
      <c r="AG11" s="255"/>
      <c r="AI11" s="154">
        <f t="shared" si="14"/>
        <v>0</v>
      </c>
      <c r="AJ11" s="157">
        <f t="shared" si="15"/>
        <v>0</v>
      </c>
      <c r="AK11" s="148">
        <f t="shared" si="16"/>
        <v>0</v>
      </c>
      <c r="AM11" s="161">
        <f t="shared" si="17"/>
        <v>0</v>
      </c>
      <c r="AN11" s="151">
        <f t="shared" si="18"/>
        <v>0</v>
      </c>
      <c r="AP11" s="21">
        <f t="shared" si="19"/>
        <v>1</v>
      </c>
      <c r="AQ11" s="170">
        <f t="shared" si="20"/>
        <v>0</v>
      </c>
      <c r="AR11" s="264">
        <f t="shared" si="21"/>
        <v>0</v>
      </c>
    </row>
    <row r="12" spans="2:44" ht="12" hidden="1" customHeight="1">
      <c r="B12" s="25">
        <f>'MaterialCosts Summary'!B12</f>
        <v>4</v>
      </c>
      <c r="C12" s="22"/>
      <c r="D12" s="23">
        <f>'MaterialCosts Summary'!D12</f>
        <v>0</v>
      </c>
      <c r="E12" s="257">
        <f>'MaterialCosts Summary'!E12</f>
        <v>0</v>
      </c>
      <c r="F12" s="258">
        <v>0</v>
      </c>
      <c r="G12" s="258">
        <v>0</v>
      </c>
      <c r="H12" s="258">
        <v>0</v>
      </c>
      <c r="I12" s="259">
        <f t="shared" si="9"/>
        <v>0</v>
      </c>
      <c r="J12" s="259"/>
      <c r="K12" s="260">
        <f t="shared" si="10"/>
        <v>0</v>
      </c>
      <c r="L12" s="259">
        <v>0</v>
      </c>
      <c r="M12" s="260">
        <f t="shared" si="0"/>
        <v>0</v>
      </c>
      <c r="N12" s="259">
        <v>0</v>
      </c>
      <c r="O12" s="260">
        <f t="shared" si="1"/>
        <v>0</v>
      </c>
      <c r="P12" s="259">
        <f t="shared" si="2"/>
        <v>0</v>
      </c>
      <c r="Q12" s="259"/>
      <c r="R12" s="260">
        <f t="shared" si="3"/>
        <v>0</v>
      </c>
      <c r="S12" s="259">
        <f t="shared" si="4"/>
        <v>0</v>
      </c>
      <c r="T12" s="259"/>
      <c r="U12" s="260">
        <f t="shared" si="5"/>
        <v>0</v>
      </c>
      <c r="V12" s="259">
        <f t="shared" si="6"/>
        <v>0</v>
      </c>
      <c r="W12" s="259"/>
      <c r="X12" s="260">
        <f t="shared" si="7"/>
        <v>0</v>
      </c>
      <c r="Y12" s="259">
        <v>0</v>
      </c>
      <c r="Z12" s="260">
        <f t="shared" si="8"/>
        <v>0</v>
      </c>
      <c r="AA12" s="259">
        <v>0</v>
      </c>
      <c r="AB12" s="24">
        <v>1</v>
      </c>
      <c r="AC12" s="261">
        <f t="shared" si="11"/>
        <v>0</v>
      </c>
      <c r="AD12" s="300">
        <f t="shared" si="12"/>
        <v>0</v>
      </c>
      <c r="AE12" s="262">
        <f t="shared" si="13"/>
        <v>0</v>
      </c>
      <c r="AF12" s="263">
        <f t="shared" si="13"/>
        <v>0</v>
      </c>
      <c r="AG12" s="255"/>
      <c r="AI12" s="154">
        <f t="shared" si="14"/>
        <v>0</v>
      </c>
      <c r="AJ12" s="157">
        <f t="shared" si="15"/>
        <v>0</v>
      </c>
      <c r="AK12" s="148">
        <f t="shared" si="16"/>
        <v>0</v>
      </c>
      <c r="AM12" s="161">
        <f t="shared" si="17"/>
        <v>0</v>
      </c>
      <c r="AN12" s="151">
        <f t="shared" si="18"/>
        <v>0</v>
      </c>
      <c r="AP12" s="21">
        <f t="shared" si="19"/>
        <v>1</v>
      </c>
      <c r="AQ12" s="170">
        <f t="shared" si="20"/>
        <v>0</v>
      </c>
      <c r="AR12" s="264">
        <f t="shared" si="21"/>
        <v>0</v>
      </c>
    </row>
    <row r="13" spans="2:44" hidden="1">
      <c r="B13" s="21">
        <f>'MaterialCosts Summary'!B13</f>
        <v>5</v>
      </c>
      <c r="C13" s="26"/>
      <c r="D13" s="23">
        <f>'MaterialCosts Summary'!D13</f>
        <v>0</v>
      </c>
      <c r="E13" s="257">
        <f>'MaterialCosts Summary'!E13</f>
        <v>0</v>
      </c>
      <c r="F13" s="258">
        <v>0</v>
      </c>
      <c r="G13" s="258">
        <v>0</v>
      </c>
      <c r="H13" s="258">
        <v>0</v>
      </c>
      <c r="I13" s="259">
        <f t="shared" si="9"/>
        <v>0</v>
      </c>
      <c r="J13" s="259"/>
      <c r="K13" s="260">
        <f t="shared" si="10"/>
        <v>0</v>
      </c>
      <c r="L13" s="259">
        <v>0</v>
      </c>
      <c r="M13" s="260">
        <f t="shared" si="0"/>
        <v>0</v>
      </c>
      <c r="N13" s="259">
        <v>0</v>
      </c>
      <c r="O13" s="260">
        <f t="shared" si="1"/>
        <v>0</v>
      </c>
      <c r="P13" s="259">
        <f t="shared" si="2"/>
        <v>0</v>
      </c>
      <c r="Q13" s="259"/>
      <c r="R13" s="260">
        <f t="shared" si="3"/>
        <v>0</v>
      </c>
      <c r="S13" s="259">
        <f t="shared" si="4"/>
        <v>0</v>
      </c>
      <c r="T13" s="259"/>
      <c r="U13" s="260">
        <f t="shared" si="5"/>
        <v>0</v>
      </c>
      <c r="V13" s="259">
        <f t="shared" si="6"/>
        <v>0</v>
      </c>
      <c r="W13" s="259"/>
      <c r="X13" s="260">
        <f t="shared" si="7"/>
        <v>0</v>
      </c>
      <c r="Y13" s="259">
        <v>0</v>
      </c>
      <c r="Z13" s="260">
        <f t="shared" si="8"/>
        <v>0</v>
      </c>
      <c r="AA13" s="259">
        <v>0</v>
      </c>
      <c r="AB13" s="24">
        <v>1</v>
      </c>
      <c r="AC13" s="261">
        <f t="shared" si="11"/>
        <v>0</v>
      </c>
      <c r="AD13" s="298">
        <f t="shared" si="12"/>
        <v>0</v>
      </c>
      <c r="AE13" s="262">
        <f t="shared" si="13"/>
        <v>0</v>
      </c>
      <c r="AF13" s="263">
        <f t="shared" si="13"/>
        <v>0</v>
      </c>
      <c r="AG13" s="255"/>
      <c r="AI13" s="154">
        <f t="shared" si="14"/>
        <v>0</v>
      </c>
      <c r="AJ13" s="157">
        <f t="shared" si="15"/>
        <v>0</v>
      </c>
      <c r="AK13" s="148">
        <f t="shared" si="16"/>
        <v>0</v>
      </c>
      <c r="AM13" s="161">
        <f t="shared" si="17"/>
        <v>0</v>
      </c>
      <c r="AN13" s="151">
        <f t="shared" si="18"/>
        <v>0</v>
      </c>
      <c r="AP13" s="21">
        <f t="shared" si="19"/>
        <v>1</v>
      </c>
      <c r="AQ13" s="170">
        <f t="shared" si="20"/>
        <v>0</v>
      </c>
      <c r="AR13" s="264">
        <f t="shared" si="21"/>
        <v>0</v>
      </c>
    </row>
    <row r="14" spans="2:44" hidden="1">
      <c r="B14" s="21">
        <f>'MaterialCosts Summary'!B14</f>
        <v>6</v>
      </c>
      <c r="C14" s="26"/>
      <c r="D14" s="23">
        <f>'MaterialCosts Summary'!D14</f>
        <v>0</v>
      </c>
      <c r="E14" s="257">
        <f>'MaterialCosts Summary'!E14</f>
        <v>0</v>
      </c>
      <c r="F14" s="258">
        <v>0</v>
      </c>
      <c r="G14" s="258">
        <v>0</v>
      </c>
      <c r="H14" s="258">
        <v>0</v>
      </c>
      <c r="I14" s="259">
        <f t="shared" si="9"/>
        <v>0</v>
      </c>
      <c r="J14" s="259"/>
      <c r="K14" s="260">
        <f t="shared" si="10"/>
        <v>0</v>
      </c>
      <c r="L14" s="259">
        <v>0</v>
      </c>
      <c r="M14" s="260">
        <f t="shared" si="0"/>
        <v>0</v>
      </c>
      <c r="N14" s="259">
        <v>0</v>
      </c>
      <c r="O14" s="260">
        <f t="shared" si="1"/>
        <v>0</v>
      </c>
      <c r="P14" s="259">
        <f t="shared" si="2"/>
        <v>0</v>
      </c>
      <c r="Q14" s="259"/>
      <c r="R14" s="260">
        <f t="shared" si="3"/>
        <v>0</v>
      </c>
      <c r="S14" s="259">
        <f t="shared" si="4"/>
        <v>0</v>
      </c>
      <c r="T14" s="259"/>
      <c r="U14" s="260">
        <f t="shared" si="5"/>
        <v>0</v>
      </c>
      <c r="V14" s="259">
        <f t="shared" si="6"/>
        <v>0</v>
      </c>
      <c r="W14" s="259"/>
      <c r="X14" s="260">
        <f t="shared" si="7"/>
        <v>0</v>
      </c>
      <c r="Y14" s="259">
        <v>0</v>
      </c>
      <c r="Z14" s="260">
        <f t="shared" si="8"/>
        <v>0</v>
      </c>
      <c r="AA14" s="259">
        <v>0</v>
      </c>
      <c r="AB14" s="24">
        <v>1</v>
      </c>
      <c r="AC14" s="261">
        <f t="shared" si="11"/>
        <v>0</v>
      </c>
      <c r="AD14" s="299">
        <f t="shared" si="12"/>
        <v>0</v>
      </c>
      <c r="AE14" s="262">
        <f t="shared" si="13"/>
        <v>0</v>
      </c>
      <c r="AF14" s="263">
        <f t="shared" si="13"/>
        <v>0</v>
      </c>
      <c r="AG14" s="255"/>
      <c r="AI14" s="154">
        <f t="shared" si="14"/>
        <v>0</v>
      </c>
      <c r="AJ14" s="157">
        <f t="shared" si="15"/>
        <v>0</v>
      </c>
      <c r="AK14" s="148">
        <f t="shared" si="16"/>
        <v>0</v>
      </c>
      <c r="AM14" s="161">
        <f t="shared" si="17"/>
        <v>0</v>
      </c>
      <c r="AN14" s="151">
        <f t="shared" si="18"/>
        <v>0</v>
      </c>
      <c r="AP14" s="21">
        <f t="shared" si="19"/>
        <v>1</v>
      </c>
      <c r="AQ14" s="170">
        <f t="shared" si="20"/>
        <v>0</v>
      </c>
      <c r="AR14" s="264">
        <f t="shared" si="21"/>
        <v>0</v>
      </c>
    </row>
    <row r="15" spans="2:44" hidden="1">
      <c r="B15" s="21">
        <f>'MaterialCosts Summary'!B15</f>
        <v>7</v>
      </c>
      <c r="C15" s="26"/>
      <c r="D15" s="23">
        <f>'MaterialCosts Summary'!D15</f>
        <v>0</v>
      </c>
      <c r="E15" s="257">
        <f>'MaterialCosts Summary'!E15</f>
        <v>0</v>
      </c>
      <c r="F15" s="258">
        <v>0</v>
      </c>
      <c r="G15" s="258">
        <v>0</v>
      </c>
      <c r="H15" s="258">
        <v>0</v>
      </c>
      <c r="I15" s="259">
        <f t="shared" si="9"/>
        <v>0</v>
      </c>
      <c r="J15" s="259"/>
      <c r="K15" s="260">
        <f t="shared" si="10"/>
        <v>0</v>
      </c>
      <c r="L15" s="259">
        <v>0</v>
      </c>
      <c r="M15" s="260">
        <f t="shared" si="0"/>
        <v>0</v>
      </c>
      <c r="N15" s="259">
        <v>0</v>
      </c>
      <c r="O15" s="260">
        <f t="shared" si="1"/>
        <v>0</v>
      </c>
      <c r="P15" s="259">
        <f t="shared" si="2"/>
        <v>0</v>
      </c>
      <c r="Q15" s="259"/>
      <c r="R15" s="260">
        <f t="shared" si="3"/>
        <v>0</v>
      </c>
      <c r="S15" s="259">
        <f t="shared" si="4"/>
        <v>0</v>
      </c>
      <c r="T15" s="259"/>
      <c r="U15" s="260">
        <f t="shared" si="5"/>
        <v>0</v>
      </c>
      <c r="V15" s="259">
        <f t="shared" si="6"/>
        <v>0</v>
      </c>
      <c r="W15" s="259"/>
      <c r="X15" s="260">
        <f t="shared" si="7"/>
        <v>0</v>
      </c>
      <c r="Y15" s="259">
        <v>0</v>
      </c>
      <c r="Z15" s="260">
        <f t="shared" si="8"/>
        <v>0</v>
      </c>
      <c r="AA15" s="259">
        <v>0</v>
      </c>
      <c r="AB15" s="24">
        <v>1</v>
      </c>
      <c r="AC15" s="261">
        <f t="shared" si="11"/>
        <v>0</v>
      </c>
      <c r="AD15" s="300">
        <f t="shared" si="12"/>
        <v>0</v>
      </c>
      <c r="AE15" s="262">
        <f t="shared" si="13"/>
        <v>0</v>
      </c>
      <c r="AF15" s="263">
        <f t="shared" si="13"/>
        <v>0</v>
      </c>
      <c r="AG15" s="255"/>
      <c r="AI15" s="154">
        <f t="shared" si="14"/>
        <v>0</v>
      </c>
      <c r="AJ15" s="157">
        <f t="shared" si="15"/>
        <v>0</v>
      </c>
      <c r="AK15" s="148">
        <f t="shared" si="16"/>
        <v>0</v>
      </c>
      <c r="AM15" s="161">
        <f t="shared" si="17"/>
        <v>0</v>
      </c>
      <c r="AN15" s="151">
        <f t="shared" si="18"/>
        <v>0</v>
      </c>
      <c r="AP15" s="21">
        <f t="shared" si="19"/>
        <v>1</v>
      </c>
      <c r="AQ15" s="170">
        <f t="shared" si="20"/>
        <v>0</v>
      </c>
      <c r="AR15" s="264">
        <f t="shared" si="21"/>
        <v>0</v>
      </c>
    </row>
    <row r="16" spans="2:44" hidden="1">
      <c r="B16" s="21">
        <f>'MaterialCosts Summary'!B16</f>
        <v>8</v>
      </c>
      <c r="C16" s="26"/>
      <c r="D16" s="23">
        <f>'MaterialCosts Summary'!D16</f>
        <v>0</v>
      </c>
      <c r="E16" s="257">
        <f>'MaterialCosts Summary'!E16</f>
        <v>0</v>
      </c>
      <c r="F16" s="258">
        <v>0</v>
      </c>
      <c r="G16" s="258">
        <v>0</v>
      </c>
      <c r="H16" s="258">
        <v>0</v>
      </c>
      <c r="I16" s="259">
        <f t="shared" si="9"/>
        <v>0</v>
      </c>
      <c r="J16" s="259"/>
      <c r="K16" s="260">
        <f t="shared" si="10"/>
        <v>0</v>
      </c>
      <c r="L16" s="259">
        <v>0</v>
      </c>
      <c r="M16" s="260">
        <f t="shared" si="0"/>
        <v>0</v>
      </c>
      <c r="N16" s="259">
        <v>0</v>
      </c>
      <c r="O16" s="260">
        <f t="shared" si="1"/>
        <v>0</v>
      </c>
      <c r="P16" s="259">
        <f t="shared" si="2"/>
        <v>0</v>
      </c>
      <c r="Q16" s="259"/>
      <c r="R16" s="260">
        <f t="shared" si="3"/>
        <v>0</v>
      </c>
      <c r="S16" s="259">
        <f t="shared" si="4"/>
        <v>0</v>
      </c>
      <c r="T16" s="259"/>
      <c r="U16" s="260">
        <f t="shared" si="5"/>
        <v>0</v>
      </c>
      <c r="V16" s="259">
        <f t="shared" si="6"/>
        <v>0</v>
      </c>
      <c r="W16" s="259"/>
      <c r="X16" s="260">
        <f t="shared" si="7"/>
        <v>0</v>
      </c>
      <c r="Y16" s="259">
        <v>0</v>
      </c>
      <c r="Z16" s="260">
        <f t="shared" si="8"/>
        <v>0</v>
      </c>
      <c r="AA16" s="259">
        <v>0</v>
      </c>
      <c r="AB16" s="24">
        <v>1</v>
      </c>
      <c r="AC16" s="261">
        <f t="shared" si="11"/>
        <v>0</v>
      </c>
      <c r="AD16" s="300">
        <f t="shared" si="12"/>
        <v>0</v>
      </c>
      <c r="AE16" s="262">
        <f t="shared" si="13"/>
        <v>0</v>
      </c>
      <c r="AF16" s="263">
        <f t="shared" si="13"/>
        <v>0</v>
      </c>
      <c r="AG16" s="255"/>
      <c r="AI16" s="154">
        <f t="shared" si="14"/>
        <v>0</v>
      </c>
      <c r="AJ16" s="157">
        <f t="shared" si="15"/>
        <v>0</v>
      </c>
      <c r="AK16" s="148">
        <f t="shared" si="16"/>
        <v>0</v>
      </c>
      <c r="AM16" s="161">
        <f t="shared" si="17"/>
        <v>0</v>
      </c>
      <c r="AN16" s="151">
        <f t="shared" si="18"/>
        <v>0</v>
      </c>
      <c r="AP16" s="21">
        <f t="shared" si="19"/>
        <v>1</v>
      </c>
      <c r="AQ16" s="170">
        <f t="shared" si="20"/>
        <v>0</v>
      </c>
      <c r="AR16" s="264">
        <f t="shared" si="21"/>
        <v>0</v>
      </c>
    </row>
    <row r="17" spans="2:44" hidden="1">
      <c r="B17" s="21">
        <f>'MaterialCosts Summary'!B17</f>
        <v>9</v>
      </c>
      <c r="C17" s="26"/>
      <c r="D17" s="23">
        <f>'MaterialCosts Summary'!D17</f>
        <v>0</v>
      </c>
      <c r="E17" s="257">
        <f>'MaterialCosts Summary'!E17</f>
        <v>0</v>
      </c>
      <c r="F17" s="258">
        <v>0</v>
      </c>
      <c r="G17" s="258">
        <v>0</v>
      </c>
      <c r="H17" s="258">
        <v>0</v>
      </c>
      <c r="I17" s="259">
        <f t="shared" si="9"/>
        <v>0</v>
      </c>
      <c r="J17" s="259"/>
      <c r="K17" s="260">
        <f t="shared" si="10"/>
        <v>0</v>
      </c>
      <c r="L17" s="259">
        <v>0</v>
      </c>
      <c r="M17" s="260">
        <f t="shared" si="0"/>
        <v>0</v>
      </c>
      <c r="N17" s="259">
        <v>0</v>
      </c>
      <c r="O17" s="260">
        <f t="shared" si="1"/>
        <v>0</v>
      </c>
      <c r="P17" s="259">
        <f t="shared" si="2"/>
        <v>0</v>
      </c>
      <c r="Q17" s="259"/>
      <c r="R17" s="260">
        <f t="shared" si="3"/>
        <v>0</v>
      </c>
      <c r="S17" s="259">
        <f t="shared" si="4"/>
        <v>0</v>
      </c>
      <c r="T17" s="259"/>
      <c r="U17" s="260">
        <f t="shared" si="5"/>
        <v>0</v>
      </c>
      <c r="V17" s="259">
        <f t="shared" si="6"/>
        <v>0</v>
      </c>
      <c r="W17" s="259"/>
      <c r="X17" s="260">
        <f t="shared" si="7"/>
        <v>0</v>
      </c>
      <c r="Y17" s="259">
        <v>0</v>
      </c>
      <c r="Z17" s="260">
        <f t="shared" si="8"/>
        <v>0</v>
      </c>
      <c r="AA17" s="259">
        <v>0</v>
      </c>
      <c r="AB17" s="24">
        <v>1</v>
      </c>
      <c r="AC17" s="261">
        <f t="shared" si="11"/>
        <v>0</v>
      </c>
      <c r="AD17" s="298">
        <f t="shared" si="12"/>
        <v>0</v>
      </c>
      <c r="AE17" s="262">
        <f t="shared" si="13"/>
        <v>0</v>
      </c>
      <c r="AF17" s="263">
        <f t="shared" si="13"/>
        <v>0</v>
      </c>
      <c r="AG17" s="255"/>
      <c r="AI17" s="154">
        <f t="shared" si="14"/>
        <v>0</v>
      </c>
      <c r="AJ17" s="157">
        <f t="shared" si="15"/>
        <v>0</v>
      </c>
      <c r="AK17" s="148">
        <f t="shared" si="16"/>
        <v>0</v>
      </c>
      <c r="AM17" s="161">
        <f t="shared" si="17"/>
        <v>0</v>
      </c>
      <c r="AN17" s="151">
        <f t="shared" si="18"/>
        <v>0</v>
      </c>
      <c r="AP17" s="21">
        <f t="shared" si="19"/>
        <v>1</v>
      </c>
      <c r="AQ17" s="170">
        <f t="shared" si="20"/>
        <v>0</v>
      </c>
      <c r="AR17" s="264">
        <f t="shared" si="21"/>
        <v>0</v>
      </c>
    </row>
    <row r="18" spans="2:44" hidden="1">
      <c r="B18" s="21">
        <f>'MaterialCosts Summary'!B18</f>
        <v>10</v>
      </c>
      <c r="C18" s="26"/>
      <c r="D18" s="23">
        <f>'MaterialCosts Summary'!D18</f>
        <v>0</v>
      </c>
      <c r="E18" s="257">
        <f>'MaterialCosts Summary'!E18</f>
        <v>0</v>
      </c>
      <c r="F18" s="258">
        <v>0</v>
      </c>
      <c r="G18" s="258">
        <v>0</v>
      </c>
      <c r="H18" s="258">
        <v>0</v>
      </c>
      <c r="I18" s="259">
        <f t="shared" si="9"/>
        <v>0</v>
      </c>
      <c r="J18" s="259"/>
      <c r="K18" s="260">
        <f t="shared" si="10"/>
        <v>0</v>
      </c>
      <c r="L18" s="259">
        <v>0</v>
      </c>
      <c r="M18" s="260">
        <f t="shared" si="0"/>
        <v>0</v>
      </c>
      <c r="N18" s="259">
        <v>0</v>
      </c>
      <c r="O18" s="260">
        <f t="shared" si="1"/>
        <v>0</v>
      </c>
      <c r="P18" s="259">
        <f t="shared" si="2"/>
        <v>0</v>
      </c>
      <c r="Q18" s="259"/>
      <c r="R18" s="260">
        <f t="shared" si="3"/>
        <v>0</v>
      </c>
      <c r="S18" s="259">
        <f t="shared" si="4"/>
        <v>0</v>
      </c>
      <c r="T18" s="259"/>
      <c r="U18" s="260">
        <f t="shared" si="5"/>
        <v>0</v>
      </c>
      <c r="V18" s="259">
        <f t="shared" si="6"/>
        <v>0</v>
      </c>
      <c r="W18" s="259"/>
      <c r="X18" s="260">
        <f t="shared" si="7"/>
        <v>0</v>
      </c>
      <c r="Y18" s="259">
        <v>0</v>
      </c>
      <c r="Z18" s="260">
        <f t="shared" si="8"/>
        <v>0</v>
      </c>
      <c r="AA18" s="259">
        <v>0</v>
      </c>
      <c r="AB18" s="24">
        <v>1</v>
      </c>
      <c r="AC18" s="261">
        <f t="shared" si="11"/>
        <v>0</v>
      </c>
      <c r="AD18" s="299">
        <f t="shared" si="12"/>
        <v>0</v>
      </c>
      <c r="AE18" s="262">
        <f t="shared" si="13"/>
        <v>0</v>
      </c>
      <c r="AF18" s="263">
        <f t="shared" si="13"/>
        <v>0</v>
      </c>
      <c r="AG18" s="255"/>
      <c r="AI18" s="154">
        <f t="shared" si="14"/>
        <v>0</v>
      </c>
      <c r="AJ18" s="157">
        <f t="shared" si="15"/>
        <v>0</v>
      </c>
      <c r="AK18" s="148">
        <f t="shared" si="16"/>
        <v>0</v>
      </c>
      <c r="AM18" s="161">
        <f t="shared" si="17"/>
        <v>0</v>
      </c>
      <c r="AN18" s="151">
        <f t="shared" si="18"/>
        <v>0</v>
      </c>
      <c r="AP18" s="21">
        <f t="shared" si="19"/>
        <v>1</v>
      </c>
      <c r="AQ18" s="170">
        <f t="shared" si="20"/>
        <v>0</v>
      </c>
      <c r="AR18" s="264">
        <f t="shared" si="21"/>
        <v>0</v>
      </c>
    </row>
    <row r="19" spans="2:44" hidden="1">
      <c r="B19" s="21">
        <f>'MaterialCosts Summary'!B19</f>
        <v>11</v>
      </c>
      <c r="C19" s="26"/>
      <c r="D19" s="23">
        <f>'MaterialCosts Summary'!D19</f>
        <v>0</v>
      </c>
      <c r="E19" s="257">
        <f>'MaterialCosts Summary'!E19</f>
        <v>0</v>
      </c>
      <c r="F19" s="258">
        <v>0</v>
      </c>
      <c r="G19" s="258">
        <v>0</v>
      </c>
      <c r="H19" s="258">
        <v>0</v>
      </c>
      <c r="I19" s="259">
        <f t="shared" si="9"/>
        <v>0</v>
      </c>
      <c r="J19" s="259"/>
      <c r="K19" s="260">
        <f t="shared" si="10"/>
        <v>0</v>
      </c>
      <c r="L19" s="259">
        <v>0</v>
      </c>
      <c r="M19" s="260">
        <f t="shared" si="0"/>
        <v>0</v>
      </c>
      <c r="N19" s="259">
        <v>0</v>
      </c>
      <c r="O19" s="260">
        <f t="shared" si="1"/>
        <v>0</v>
      </c>
      <c r="P19" s="259">
        <f t="shared" si="2"/>
        <v>0</v>
      </c>
      <c r="Q19" s="259"/>
      <c r="R19" s="260">
        <f t="shared" si="3"/>
        <v>0</v>
      </c>
      <c r="S19" s="259">
        <f t="shared" si="4"/>
        <v>0</v>
      </c>
      <c r="T19" s="259"/>
      <c r="U19" s="260">
        <f t="shared" si="5"/>
        <v>0</v>
      </c>
      <c r="V19" s="259">
        <f t="shared" si="6"/>
        <v>0</v>
      </c>
      <c r="W19" s="259"/>
      <c r="X19" s="260">
        <f t="shared" si="7"/>
        <v>0</v>
      </c>
      <c r="Y19" s="259">
        <v>0</v>
      </c>
      <c r="Z19" s="260">
        <f t="shared" si="8"/>
        <v>0</v>
      </c>
      <c r="AA19" s="259">
        <v>0</v>
      </c>
      <c r="AB19" s="24">
        <v>1</v>
      </c>
      <c r="AC19" s="261">
        <f t="shared" si="11"/>
        <v>0</v>
      </c>
      <c r="AD19" s="300">
        <f t="shared" si="12"/>
        <v>0</v>
      </c>
      <c r="AE19" s="262">
        <f t="shared" si="13"/>
        <v>0</v>
      </c>
      <c r="AF19" s="263">
        <f t="shared" si="13"/>
        <v>0</v>
      </c>
      <c r="AG19" s="255"/>
      <c r="AI19" s="154">
        <f t="shared" si="14"/>
        <v>0</v>
      </c>
      <c r="AJ19" s="157">
        <f t="shared" si="15"/>
        <v>0</v>
      </c>
      <c r="AK19" s="148">
        <f t="shared" si="16"/>
        <v>0</v>
      </c>
      <c r="AM19" s="161">
        <f t="shared" si="17"/>
        <v>0</v>
      </c>
      <c r="AN19" s="151">
        <f t="shared" si="18"/>
        <v>0</v>
      </c>
      <c r="AP19" s="21">
        <f t="shared" si="19"/>
        <v>1</v>
      </c>
      <c r="AQ19" s="170">
        <f t="shared" si="20"/>
        <v>0</v>
      </c>
      <c r="AR19" s="264">
        <f t="shared" si="21"/>
        <v>0</v>
      </c>
    </row>
    <row r="20" spans="2:44" hidden="1">
      <c r="B20" s="21">
        <f>'MaterialCosts Summary'!B20</f>
        <v>12</v>
      </c>
      <c r="C20" s="26"/>
      <c r="D20" s="23">
        <f>'MaterialCosts Summary'!D20</f>
        <v>0</v>
      </c>
      <c r="E20" s="257">
        <f>'MaterialCosts Summary'!E20</f>
        <v>0</v>
      </c>
      <c r="F20" s="258">
        <v>0</v>
      </c>
      <c r="G20" s="258">
        <v>0</v>
      </c>
      <c r="H20" s="258">
        <v>0</v>
      </c>
      <c r="I20" s="259">
        <f t="shared" si="9"/>
        <v>0</v>
      </c>
      <c r="J20" s="259"/>
      <c r="K20" s="260">
        <f t="shared" si="10"/>
        <v>0</v>
      </c>
      <c r="L20" s="259">
        <v>0</v>
      </c>
      <c r="M20" s="260">
        <f t="shared" si="0"/>
        <v>0</v>
      </c>
      <c r="N20" s="259">
        <v>0</v>
      </c>
      <c r="O20" s="260">
        <f t="shared" si="1"/>
        <v>0</v>
      </c>
      <c r="P20" s="259">
        <f t="shared" si="2"/>
        <v>0</v>
      </c>
      <c r="Q20" s="259"/>
      <c r="R20" s="260">
        <f t="shared" si="3"/>
        <v>0</v>
      </c>
      <c r="S20" s="259">
        <f t="shared" si="4"/>
        <v>0</v>
      </c>
      <c r="T20" s="259"/>
      <c r="U20" s="260">
        <f t="shared" si="5"/>
        <v>0</v>
      </c>
      <c r="V20" s="259">
        <f t="shared" si="6"/>
        <v>0</v>
      </c>
      <c r="W20" s="259"/>
      <c r="X20" s="260">
        <f t="shared" si="7"/>
        <v>0</v>
      </c>
      <c r="Y20" s="259">
        <v>0</v>
      </c>
      <c r="Z20" s="260">
        <f t="shared" si="8"/>
        <v>0</v>
      </c>
      <c r="AA20" s="259">
        <v>0</v>
      </c>
      <c r="AB20" s="24">
        <v>1</v>
      </c>
      <c r="AC20" s="261">
        <f t="shared" si="11"/>
        <v>0</v>
      </c>
      <c r="AD20" s="300">
        <f t="shared" si="12"/>
        <v>0</v>
      </c>
      <c r="AE20" s="262">
        <f t="shared" si="13"/>
        <v>0</v>
      </c>
      <c r="AF20" s="263">
        <f t="shared" si="13"/>
        <v>0</v>
      </c>
      <c r="AG20" s="255"/>
      <c r="AI20" s="154">
        <f t="shared" si="14"/>
        <v>0</v>
      </c>
      <c r="AJ20" s="157">
        <f t="shared" si="15"/>
        <v>0</v>
      </c>
      <c r="AK20" s="148">
        <f t="shared" si="16"/>
        <v>0</v>
      </c>
      <c r="AM20" s="161">
        <f t="shared" si="17"/>
        <v>0</v>
      </c>
      <c r="AN20" s="151">
        <f t="shared" si="18"/>
        <v>0</v>
      </c>
      <c r="AP20" s="21">
        <f t="shared" si="19"/>
        <v>1</v>
      </c>
      <c r="AQ20" s="170">
        <f t="shared" si="20"/>
        <v>0</v>
      </c>
      <c r="AR20" s="264">
        <f t="shared" si="21"/>
        <v>0</v>
      </c>
    </row>
    <row r="21" spans="2:44" ht="12" hidden="1" customHeight="1">
      <c r="B21" s="21">
        <f>'MaterialCosts Summary'!B21</f>
        <v>13</v>
      </c>
      <c r="C21" s="26"/>
      <c r="D21" s="23">
        <f>'MaterialCosts Summary'!D21</f>
        <v>0</v>
      </c>
      <c r="E21" s="257">
        <f>'MaterialCosts Summary'!E21</f>
        <v>0</v>
      </c>
      <c r="F21" s="258">
        <v>0</v>
      </c>
      <c r="G21" s="258">
        <v>0</v>
      </c>
      <c r="H21" s="258">
        <v>0</v>
      </c>
      <c r="I21" s="259">
        <f t="shared" si="9"/>
        <v>0</v>
      </c>
      <c r="J21" s="259"/>
      <c r="K21" s="260">
        <f t="shared" si="10"/>
        <v>0</v>
      </c>
      <c r="L21" s="259">
        <v>0</v>
      </c>
      <c r="M21" s="260">
        <f t="shared" si="0"/>
        <v>0</v>
      </c>
      <c r="N21" s="259">
        <v>0</v>
      </c>
      <c r="O21" s="260">
        <f t="shared" si="1"/>
        <v>0</v>
      </c>
      <c r="P21" s="259">
        <f t="shared" si="2"/>
        <v>0</v>
      </c>
      <c r="Q21" s="259"/>
      <c r="R21" s="260">
        <f t="shared" si="3"/>
        <v>0</v>
      </c>
      <c r="S21" s="259">
        <f t="shared" si="4"/>
        <v>0</v>
      </c>
      <c r="T21" s="259"/>
      <c r="U21" s="260">
        <f t="shared" si="5"/>
        <v>0</v>
      </c>
      <c r="V21" s="259">
        <f t="shared" si="6"/>
        <v>0</v>
      </c>
      <c r="W21" s="259"/>
      <c r="X21" s="260">
        <f t="shared" si="7"/>
        <v>0</v>
      </c>
      <c r="Y21" s="259">
        <v>0</v>
      </c>
      <c r="Z21" s="260">
        <f t="shared" si="8"/>
        <v>0</v>
      </c>
      <c r="AA21" s="259">
        <v>0</v>
      </c>
      <c r="AB21" s="24">
        <v>1</v>
      </c>
      <c r="AC21" s="261">
        <f t="shared" si="11"/>
        <v>0</v>
      </c>
      <c r="AD21" s="298">
        <f t="shared" si="12"/>
        <v>0</v>
      </c>
      <c r="AE21" s="262">
        <f t="shared" si="13"/>
        <v>0</v>
      </c>
      <c r="AF21" s="263">
        <f t="shared" si="13"/>
        <v>0</v>
      </c>
      <c r="AG21" s="255"/>
      <c r="AI21" s="154">
        <f t="shared" si="14"/>
        <v>0</v>
      </c>
      <c r="AJ21" s="157">
        <f t="shared" si="15"/>
        <v>0</v>
      </c>
      <c r="AK21" s="148">
        <f t="shared" si="16"/>
        <v>0</v>
      </c>
      <c r="AM21" s="161">
        <f t="shared" si="17"/>
        <v>0</v>
      </c>
      <c r="AN21" s="151">
        <f t="shared" si="18"/>
        <v>0</v>
      </c>
      <c r="AP21" s="21">
        <f t="shared" si="19"/>
        <v>1</v>
      </c>
      <c r="AQ21" s="170">
        <f t="shared" si="20"/>
        <v>0</v>
      </c>
      <c r="AR21" s="264">
        <f t="shared" si="21"/>
        <v>0</v>
      </c>
    </row>
    <row r="22" spans="2:44" hidden="1">
      <c r="B22" s="21">
        <f>'MaterialCosts Summary'!B22</f>
        <v>14</v>
      </c>
      <c r="C22" s="26"/>
      <c r="D22" s="23">
        <f>'MaterialCosts Summary'!D22</f>
        <v>0</v>
      </c>
      <c r="E22" s="257">
        <f>'MaterialCosts Summary'!E22</f>
        <v>0</v>
      </c>
      <c r="F22" s="258">
        <v>0</v>
      </c>
      <c r="G22" s="258">
        <v>0</v>
      </c>
      <c r="H22" s="258">
        <v>0</v>
      </c>
      <c r="I22" s="259">
        <f t="shared" si="9"/>
        <v>0</v>
      </c>
      <c r="J22" s="259"/>
      <c r="K22" s="260">
        <f t="shared" si="10"/>
        <v>0</v>
      </c>
      <c r="L22" s="259">
        <v>0</v>
      </c>
      <c r="M22" s="260">
        <f t="shared" si="0"/>
        <v>0</v>
      </c>
      <c r="N22" s="259">
        <v>0</v>
      </c>
      <c r="O22" s="260">
        <f t="shared" si="1"/>
        <v>0</v>
      </c>
      <c r="P22" s="259">
        <f t="shared" si="2"/>
        <v>0</v>
      </c>
      <c r="Q22" s="259"/>
      <c r="R22" s="260">
        <f t="shared" si="3"/>
        <v>0</v>
      </c>
      <c r="S22" s="259">
        <f t="shared" si="4"/>
        <v>0</v>
      </c>
      <c r="T22" s="259"/>
      <c r="U22" s="260">
        <f t="shared" si="5"/>
        <v>0</v>
      </c>
      <c r="V22" s="259">
        <f t="shared" si="6"/>
        <v>0</v>
      </c>
      <c r="W22" s="259"/>
      <c r="X22" s="260">
        <f t="shared" si="7"/>
        <v>0</v>
      </c>
      <c r="Y22" s="259">
        <v>0</v>
      </c>
      <c r="Z22" s="260">
        <f t="shared" si="8"/>
        <v>0</v>
      </c>
      <c r="AA22" s="259">
        <v>0</v>
      </c>
      <c r="AB22" s="24">
        <v>1</v>
      </c>
      <c r="AC22" s="261">
        <f t="shared" si="11"/>
        <v>0</v>
      </c>
      <c r="AD22" s="299">
        <f t="shared" si="12"/>
        <v>0</v>
      </c>
      <c r="AE22" s="262">
        <f t="shared" si="13"/>
        <v>0</v>
      </c>
      <c r="AF22" s="263">
        <f t="shared" si="13"/>
        <v>0</v>
      </c>
      <c r="AG22" s="255"/>
      <c r="AI22" s="154">
        <f t="shared" si="14"/>
        <v>0</v>
      </c>
      <c r="AJ22" s="157">
        <f t="shared" si="15"/>
        <v>0</v>
      </c>
      <c r="AK22" s="148">
        <f t="shared" si="16"/>
        <v>0</v>
      </c>
      <c r="AM22" s="161">
        <f t="shared" si="17"/>
        <v>0</v>
      </c>
      <c r="AN22" s="151">
        <f t="shared" si="18"/>
        <v>0</v>
      </c>
      <c r="AP22" s="21">
        <f t="shared" si="19"/>
        <v>1</v>
      </c>
      <c r="AQ22" s="170">
        <f t="shared" si="20"/>
        <v>0</v>
      </c>
      <c r="AR22" s="264">
        <f t="shared" si="21"/>
        <v>0</v>
      </c>
    </row>
    <row r="23" spans="2:44" hidden="1">
      <c r="B23" s="21">
        <f>'MaterialCosts Summary'!B23</f>
        <v>15</v>
      </c>
      <c r="C23" s="26"/>
      <c r="D23" s="23">
        <f>'MaterialCosts Summary'!D23</f>
        <v>0</v>
      </c>
      <c r="E23" s="257">
        <f>'MaterialCosts Summary'!E23</f>
        <v>0</v>
      </c>
      <c r="F23" s="258">
        <v>0</v>
      </c>
      <c r="G23" s="258">
        <v>0</v>
      </c>
      <c r="H23" s="258">
        <v>0</v>
      </c>
      <c r="I23" s="259">
        <f t="shared" si="9"/>
        <v>0</v>
      </c>
      <c r="J23" s="259"/>
      <c r="K23" s="260">
        <f t="shared" si="10"/>
        <v>0</v>
      </c>
      <c r="L23" s="259">
        <v>0</v>
      </c>
      <c r="M23" s="260">
        <f t="shared" si="0"/>
        <v>0</v>
      </c>
      <c r="N23" s="259">
        <v>0</v>
      </c>
      <c r="O23" s="260">
        <f t="shared" si="1"/>
        <v>0</v>
      </c>
      <c r="P23" s="259">
        <f t="shared" si="2"/>
        <v>0</v>
      </c>
      <c r="Q23" s="259"/>
      <c r="R23" s="260">
        <f t="shared" si="3"/>
        <v>0</v>
      </c>
      <c r="S23" s="259">
        <f t="shared" si="4"/>
        <v>0</v>
      </c>
      <c r="T23" s="259"/>
      <c r="U23" s="260">
        <f t="shared" si="5"/>
        <v>0</v>
      </c>
      <c r="V23" s="259">
        <f t="shared" si="6"/>
        <v>0</v>
      </c>
      <c r="W23" s="259"/>
      <c r="X23" s="260">
        <f t="shared" si="7"/>
        <v>0</v>
      </c>
      <c r="Y23" s="259">
        <v>0</v>
      </c>
      <c r="Z23" s="260">
        <f t="shared" si="8"/>
        <v>0</v>
      </c>
      <c r="AA23" s="259">
        <v>0</v>
      </c>
      <c r="AB23" s="24">
        <v>1</v>
      </c>
      <c r="AC23" s="261">
        <f t="shared" si="11"/>
        <v>0</v>
      </c>
      <c r="AD23" s="300">
        <f t="shared" si="12"/>
        <v>0</v>
      </c>
      <c r="AE23" s="262">
        <f t="shared" si="13"/>
        <v>0</v>
      </c>
      <c r="AF23" s="263">
        <f t="shared" si="13"/>
        <v>0</v>
      </c>
      <c r="AG23" s="255"/>
      <c r="AI23" s="154">
        <f t="shared" si="14"/>
        <v>0</v>
      </c>
      <c r="AJ23" s="157">
        <f t="shared" si="15"/>
        <v>0</v>
      </c>
      <c r="AK23" s="148">
        <f t="shared" si="16"/>
        <v>0</v>
      </c>
      <c r="AM23" s="161">
        <f t="shared" si="17"/>
        <v>0</v>
      </c>
      <c r="AN23" s="151">
        <f t="shared" si="18"/>
        <v>0</v>
      </c>
      <c r="AP23" s="21">
        <f t="shared" si="19"/>
        <v>1</v>
      </c>
      <c r="AQ23" s="170">
        <f t="shared" si="20"/>
        <v>0</v>
      </c>
      <c r="AR23" s="264">
        <f t="shared" si="21"/>
        <v>0</v>
      </c>
    </row>
    <row r="24" spans="2:44" hidden="1">
      <c r="B24" s="21">
        <f>'MaterialCosts Summary'!B24</f>
        <v>16</v>
      </c>
      <c r="C24" s="26"/>
      <c r="D24" s="23">
        <f>'MaterialCosts Summary'!D24</f>
        <v>0</v>
      </c>
      <c r="E24" s="257">
        <f>'MaterialCosts Summary'!E24</f>
        <v>0</v>
      </c>
      <c r="F24" s="258">
        <v>0</v>
      </c>
      <c r="G24" s="258">
        <v>0</v>
      </c>
      <c r="H24" s="258">
        <v>0</v>
      </c>
      <c r="I24" s="259">
        <f t="shared" si="9"/>
        <v>0</v>
      </c>
      <c r="J24" s="259"/>
      <c r="K24" s="260">
        <f t="shared" si="10"/>
        <v>0</v>
      </c>
      <c r="L24" s="259">
        <v>0</v>
      </c>
      <c r="M24" s="260">
        <f t="shared" si="0"/>
        <v>0</v>
      </c>
      <c r="N24" s="259">
        <v>0</v>
      </c>
      <c r="O24" s="260">
        <f t="shared" si="1"/>
        <v>0</v>
      </c>
      <c r="P24" s="259">
        <f t="shared" si="2"/>
        <v>0</v>
      </c>
      <c r="Q24" s="259"/>
      <c r="R24" s="260">
        <f t="shared" si="3"/>
        <v>0</v>
      </c>
      <c r="S24" s="259">
        <f t="shared" si="4"/>
        <v>0</v>
      </c>
      <c r="T24" s="259"/>
      <c r="U24" s="260">
        <f t="shared" si="5"/>
        <v>0</v>
      </c>
      <c r="V24" s="259">
        <f t="shared" si="6"/>
        <v>0</v>
      </c>
      <c r="W24" s="259"/>
      <c r="X24" s="260">
        <f t="shared" si="7"/>
        <v>0</v>
      </c>
      <c r="Y24" s="259">
        <v>0</v>
      </c>
      <c r="Z24" s="260">
        <f t="shared" si="8"/>
        <v>0</v>
      </c>
      <c r="AA24" s="259">
        <v>0</v>
      </c>
      <c r="AB24" s="24">
        <v>1</v>
      </c>
      <c r="AC24" s="261">
        <f t="shared" si="11"/>
        <v>0</v>
      </c>
      <c r="AD24" s="300">
        <f t="shared" si="12"/>
        <v>0</v>
      </c>
      <c r="AE24" s="262">
        <f t="shared" si="13"/>
        <v>0</v>
      </c>
      <c r="AF24" s="263">
        <f t="shared" si="13"/>
        <v>0</v>
      </c>
      <c r="AG24" s="255"/>
      <c r="AI24" s="154">
        <f t="shared" si="14"/>
        <v>0</v>
      </c>
      <c r="AJ24" s="157">
        <f t="shared" si="15"/>
        <v>0</v>
      </c>
      <c r="AK24" s="148">
        <f t="shared" si="16"/>
        <v>0</v>
      </c>
      <c r="AM24" s="161">
        <f t="shared" si="17"/>
        <v>0</v>
      </c>
      <c r="AN24" s="151">
        <f t="shared" si="18"/>
        <v>0</v>
      </c>
      <c r="AP24" s="21">
        <f t="shared" si="19"/>
        <v>1</v>
      </c>
      <c r="AQ24" s="170">
        <f t="shared" si="20"/>
        <v>0</v>
      </c>
      <c r="AR24" s="264">
        <f t="shared" si="21"/>
        <v>0</v>
      </c>
    </row>
    <row r="25" spans="2:44" hidden="1">
      <c r="B25" s="21">
        <f>'MaterialCosts Summary'!B25</f>
        <v>17</v>
      </c>
      <c r="C25" s="26"/>
      <c r="D25" s="23">
        <f>'MaterialCosts Summary'!D25</f>
        <v>0</v>
      </c>
      <c r="E25" s="257">
        <f>'MaterialCosts Summary'!E25</f>
        <v>0</v>
      </c>
      <c r="F25" s="258">
        <v>0</v>
      </c>
      <c r="G25" s="258">
        <v>0</v>
      </c>
      <c r="H25" s="258">
        <v>0</v>
      </c>
      <c r="I25" s="259">
        <f t="shared" si="9"/>
        <v>0</v>
      </c>
      <c r="J25" s="259"/>
      <c r="K25" s="260">
        <f t="shared" si="10"/>
        <v>0</v>
      </c>
      <c r="L25" s="259">
        <v>0</v>
      </c>
      <c r="M25" s="260">
        <f t="shared" si="0"/>
        <v>0</v>
      </c>
      <c r="N25" s="259">
        <v>0</v>
      </c>
      <c r="O25" s="260">
        <f t="shared" si="1"/>
        <v>0</v>
      </c>
      <c r="P25" s="259">
        <f t="shared" si="2"/>
        <v>0</v>
      </c>
      <c r="Q25" s="259"/>
      <c r="R25" s="260">
        <f t="shared" si="3"/>
        <v>0</v>
      </c>
      <c r="S25" s="259">
        <f t="shared" si="4"/>
        <v>0</v>
      </c>
      <c r="T25" s="259"/>
      <c r="U25" s="260">
        <f t="shared" si="5"/>
        <v>0</v>
      </c>
      <c r="V25" s="259">
        <f t="shared" si="6"/>
        <v>0</v>
      </c>
      <c r="W25" s="259"/>
      <c r="X25" s="260">
        <f t="shared" si="7"/>
        <v>0</v>
      </c>
      <c r="Y25" s="259">
        <v>0</v>
      </c>
      <c r="Z25" s="260">
        <f t="shared" si="8"/>
        <v>0</v>
      </c>
      <c r="AA25" s="259">
        <v>0</v>
      </c>
      <c r="AB25" s="24">
        <v>1</v>
      </c>
      <c r="AC25" s="261">
        <f t="shared" si="11"/>
        <v>0</v>
      </c>
      <c r="AD25" s="298">
        <f t="shared" si="12"/>
        <v>0</v>
      </c>
      <c r="AE25" s="262">
        <f t="shared" si="13"/>
        <v>0</v>
      </c>
      <c r="AF25" s="263">
        <f t="shared" si="13"/>
        <v>0</v>
      </c>
      <c r="AG25" s="255"/>
      <c r="AI25" s="154">
        <f t="shared" si="14"/>
        <v>0</v>
      </c>
      <c r="AJ25" s="157">
        <f t="shared" si="15"/>
        <v>0</v>
      </c>
      <c r="AK25" s="148">
        <f t="shared" si="16"/>
        <v>0</v>
      </c>
      <c r="AM25" s="161">
        <f t="shared" si="17"/>
        <v>0</v>
      </c>
      <c r="AN25" s="151">
        <f t="shared" si="18"/>
        <v>0</v>
      </c>
      <c r="AP25" s="21">
        <f t="shared" si="19"/>
        <v>1</v>
      </c>
      <c r="AQ25" s="170">
        <f t="shared" si="20"/>
        <v>0</v>
      </c>
      <c r="AR25" s="264">
        <f t="shared" si="21"/>
        <v>0</v>
      </c>
    </row>
    <row r="26" spans="2:44" hidden="1">
      <c r="B26" s="21">
        <f>'MaterialCosts Summary'!B26</f>
        <v>18</v>
      </c>
      <c r="C26" s="26"/>
      <c r="D26" s="23">
        <f>'MaterialCosts Summary'!D26</f>
        <v>0</v>
      </c>
      <c r="E26" s="257">
        <f>'MaterialCosts Summary'!E26</f>
        <v>0</v>
      </c>
      <c r="F26" s="258">
        <v>0</v>
      </c>
      <c r="G26" s="258">
        <v>0</v>
      </c>
      <c r="H26" s="258">
        <v>0</v>
      </c>
      <c r="I26" s="259">
        <f t="shared" si="9"/>
        <v>0</v>
      </c>
      <c r="J26" s="259"/>
      <c r="K26" s="260">
        <f t="shared" si="10"/>
        <v>0</v>
      </c>
      <c r="L26" s="259">
        <v>0</v>
      </c>
      <c r="M26" s="260">
        <f t="shared" si="0"/>
        <v>0</v>
      </c>
      <c r="N26" s="259">
        <v>0</v>
      </c>
      <c r="O26" s="260">
        <f t="shared" si="1"/>
        <v>0</v>
      </c>
      <c r="P26" s="259">
        <f t="shared" si="2"/>
        <v>0</v>
      </c>
      <c r="Q26" s="259"/>
      <c r="R26" s="260">
        <f t="shared" si="3"/>
        <v>0</v>
      </c>
      <c r="S26" s="259">
        <f t="shared" si="4"/>
        <v>0</v>
      </c>
      <c r="T26" s="259"/>
      <c r="U26" s="260">
        <f t="shared" si="5"/>
        <v>0</v>
      </c>
      <c r="V26" s="259">
        <f t="shared" si="6"/>
        <v>0</v>
      </c>
      <c r="W26" s="259"/>
      <c r="X26" s="260">
        <f t="shared" si="7"/>
        <v>0</v>
      </c>
      <c r="Y26" s="259">
        <v>0</v>
      </c>
      <c r="Z26" s="260">
        <f t="shared" si="8"/>
        <v>0</v>
      </c>
      <c r="AA26" s="259">
        <v>0</v>
      </c>
      <c r="AB26" s="24">
        <v>1</v>
      </c>
      <c r="AC26" s="261">
        <f t="shared" si="11"/>
        <v>0</v>
      </c>
      <c r="AD26" s="299">
        <f t="shared" si="12"/>
        <v>0</v>
      </c>
      <c r="AE26" s="262">
        <f t="shared" si="13"/>
        <v>0</v>
      </c>
      <c r="AF26" s="263">
        <f t="shared" si="13"/>
        <v>0</v>
      </c>
      <c r="AG26" s="255"/>
      <c r="AI26" s="154">
        <f t="shared" si="14"/>
        <v>0</v>
      </c>
      <c r="AJ26" s="157">
        <f t="shared" si="15"/>
        <v>0</v>
      </c>
      <c r="AK26" s="148">
        <f t="shared" si="16"/>
        <v>0</v>
      </c>
      <c r="AM26" s="161">
        <f t="shared" si="17"/>
        <v>0</v>
      </c>
      <c r="AN26" s="151">
        <f t="shared" si="18"/>
        <v>0</v>
      </c>
      <c r="AP26" s="21">
        <f t="shared" si="19"/>
        <v>1</v>
      </c>
      <c r="AQ26" s="170">
        <f t="shared" si="20"/>
        <v>0</v>
      </c>
      <c r="AR26" s="264">
        <f t="shared" si="21"/>
        <v>0</v>
      </c>
    </row>
    <row r="27" spans="2:44" hidden="1">
      <c r="B27" s="21">
        <f>'MaterialCosts Summary'!B27</f>
        <v>19</v>
      </c>
      <c r="C27" s="26"/>
      <c r="D27" s="23">
        <f>'MaterialCosts Summary'!D27</f>
        <v>0</v>
      </c>
      <c r="E27" s="257">
        <f>'MaterialCosts Summary'!E27</f>
        <v>0</v>
      </c>
      <c r="F27" s="258">
        <v>0</v>
      </c>
      <c r="G27" s="258">
        <v>0</v>
      </c>
      <c r="H27" s="258">
        <v>0</v>
      </c>
      <c r="I27" s="259">
        <f t="shared" si="9"/>
        <v>0</v>
      </c>
      <c r="J27" s="259"/>
      <c r="K27" s="260">
        <f t="shared" si="10"/>
        <v>0</v>
      </c>
      <c r="L27" s="259">
        <v>0</v>
      </c>
      <c r="M27" s="260">
        <f t="shared" si="0"/>
        <v>0</v>
      </c>
      <c r="N27" s="259">
        <v>0</v>
      </c>
      <c r="O27" s="260">
        <f t="shared" si="1"/>
        <v>0</v>
      </c>
      <c r="P27" s="259">
        <f t="shared" si="2"/>
        <v>0</v>
      </c>
      <c r="Q27" s="259"/>
      <c r="R27" s="260">
        <f t="shared" si="3"/>
        <v>0</v>
      </c>
      <c r="S27" s="259">
        <f t="shared" si="4"/>
        <v>0</v>
      </c>
      <c r="T27" s="259"/>
      <c r="U27" s="260">
        <f t="shared" si="5"/>
        <v>0</v>
      </c>
      <c r="V27" s="259">
        <f t="shared" si="6"/>
        <v>0</v>
      </c>
      <c r="W27" s="259"/>
      <c r="X27" s="260">
        <f t="shared" si="7"/>
        <v>0</v>
      </c>
      <c r="Y27" s="259">
        <v>0</v>
      </c>
      <c r="Z27" s="260">
        <f t="shared" si="8"/>
        <v>0</v>
      </c>
      <c r="AA27" s="259">
        <v>0</v>
      </c>
      <c r="AB27" s="24">
        <v>1</v>
      </c>
      <c r="AC27" s="261">
        <f t="shared" si="11"/>
        <v>0</v>
      </c>
      <c r="AD27" s="300">
        <f t="shared" si="12"/>
        <v>0</v>
      </c>
      <c r="AE27" s="262">
        <f t="shared" si="13"/>
        <v>0</v>
      </c>
      <c r="AF27" s="263">
        <f t="shared" si="13"/>
        <v>0</v>
      </c>
      <c r="AG27" s="255"/>
      <c r="AI27" s="154">
        <f t="shared" si="14"/>
        <v>0</v>
      </c>
      <c r="AJ27" s="157">
        <f t="shared" si="15"/>
        <v>0</v>
      </c>
      <c r="AK27" s="148">
        <f t="shared" si="16"/>
        <v>0</v>
      </c>
      <c r="AM27" s="161">
        <f t="shared" si="17"/>
        <v>0</v>
      </c>
      <c r="AN27" s="151">
        <f t="shared" si="18"/>
        <v>0</v>
      </c>
      <c r="AP27" s="21">
        <f t="shared" si="19"/>
        <v>1</v>
      </c>
      <c r="AQ27" s="170">
        <f t="shared" si="20"/>
        <v>0</v>
      </c>
      <c r="AR27" s="264">
        <f t="shared" si="21"/>
        <v>0</v>
      </c>
    </row>
    <row r="28" spans="2:44" hidden="1">
      <c r="B28" s="21">
        <f>'MaterialCosts Summary'!B28</f>
        <v>20</v>
      </c>
      <c r="C28" s="26"/>
      <c r="D28" s="23">
        <f>'MaterialCosts Summary'!D28</f>
        <v>0</v>
      </c>
      <c r="E28" s="257">
        <f>'MaterialCosts Summary'!E28</f>
        <v>0</v>
      </c>
      <c r="F28" s="258">
        <v>0</v>
      </c>
      <c r="G28" s="258">
        <v>0</v>
      </c>
      <c r="H28" s="258">
        <v>0</v>
      </c>
      <c r="I28" s="259">
        <f t="shared" si="9"/>
        <v>0</v>
      </c>
      <c r="J28" s="259"/>
      <c r="K28" s="260">
        <f t="shared" si="10"/>
        <v>0</v>
      </c>
      <c r="L28" s="259">
        <v>0</v>
      </c>
      <c r="M28" s="260">
        <f t="shared" si="0"/>
        <v>0</v>
      </c>
      <c r="N28" s="259">
        <v>0</v>
      </c>
      <c r="O28" s="260">
        <f t="shared" si="1"/>
        <v>0</v>
      </c>
      <c r="P28" s="259">
        <f t="shared" si="2"/>
        <v>0</v>
      </c>
      <c r="Q28" s="259"/>
      <c r="R28" s="260">
        <f t="shared" si="3"/>
        <v>0</v>
      </c>
      <c r="S28" s="259">
        <f t="shared" si="4"/>
        <v>0</v>
      </c>
      <c r="T28" s="259"/>
      <c r="U28" s="260">
        <f t="shared" si="5"/>
        <v>0</v>
      </c>
      <c r="V28" s="259">
        <f t="shared" si="6"/>
        <v>0</v>
      </c>
      <c r="W28" s="259"/>
      <c r="X28" s="260">
        <f t="shared" si="7"/>
        <v>0</v>
      </c>
      <c r="Y28" s="259">
        <v>0</v>
      </c>
      <c r="Z28" s="260">
        <f t="shared" si="8"/>
        <v>0</v>
      </c>
      <c r="AA28" s="259">
        <v>0</v>
      </c>
      <c r="AB28" s="24">
        <v>1</v>
      </c>
      <c r="AC28" s="261">
        <f t="shared" si="11"/>
        <v>0</v>
      </c>
      <c r="AD28" s="300">
        <f t="shared" si="12"/>
        <v>0</v>
      </c>
      <c r="AE28" s="262">
        <f t="shared" si="13"/>
        <v>0</v>
      </c>
      <c r="AF28" s="263">
        <f t="shared" si="13"/>
        <v>0</v>
      </c>
      <c r="AG28" s="255"/>
      <c r="AI28" s="154">
        <f t="shared" si="14"/>
        <v>0</v>
      </c>
      <c r="AJ28" s="157">
        <f t="shared" si="15"/>
        <v>0</v>
      </c>
      <c r="AK28" s="148">
        <f t="shared" si="16"/>
        <v>0</v>
      </c>
      <c r="AM28" s="161">
        <f t="shared" si="17"/>
        <v>0</v>
      </c>
      <c r="AN28" s="151">
        <f t="shared" si="18"/>
        <v>0</v>
      </c>
      <c r="AP28" s="21">
        <f t="shared" si="19"/>
        <v>1</v>
      </c>
      <c r="AQ28" s="170">
        <f t="shared" si="20"/>
        <v>0</v>
      </c>
      <c r="AR28" s="264">
        <f t="shared" si="21"/>
        <v>0</v>
      </c>
    </row>
    <row r="29" spans="2:44" hidden="1">
      <c r="B29" s="21">
        <f>'MaterialCosts Summary'!B29</f>
        <v>21</v>
      </c>
      <c r="C29" s="26"/>
      <c r="D29" s="23">
        <f>'MaterialCosts Summary'!D29</f>
        <v>0</v>
      </c>
      <c r="E29" s="257">
        <f>'MaterialCosts Summary'!E29</f>
        <v>0</v>
      </c>
      <c r="F29" s="258">
        <v>0</v>
      </c>
      <c r="G29" s="258">
        <v>0</v>
      </c>
      <c r="H29" s="258">
        <v>0</v>
      </c>
      <c r="I29" s="259">
        <f t="shared" si="9"/>
        <v>0</v>
      </c>
      <c r="J29" s="259"/>
      <c r="K29" s="260">
        <f t="shared" si="10"/>
        <v>0</v>
      </c>
      <c r="L29" s="259">
        <v>0</v>
      </c>
      <c r="M29" s="260">
        <f t="shared" si="0"/>
        <v>0</v>
      </c>
      <c r="N29" s="259">
        <v>0</v>
      </c>
      <c r="O29" s="260">
        <f t="shared" si="1"/>
        <v>0</v>
      </c>
      <c r="P29" s="259">
        <f t="shared" si="2"/>
        <v>0</v>
      </c>
      <c r="Q29" s="259"/>
      <c r="R29" s="260">
        <f t="shared" si="3"/>
        <v>0</v>
      </c>
      <c r="S29" s="259">
        <f t="shared" si="4"/>
        <v>0</v>
      </c>
      <c r="T29" s="259"/>
      <c r="U29" s="260">
        <f t="shared" si="5"/>
        <v>0</v>
      </c>
      <c r="V29" s="259">
        <f t="shared" si="6"/>
        <v>0</v>
      </c>
      <c r="W29" s="259"/>
      <c r="X29" s="260">
        <f t="shared" si="7"/>
        <v>0</v>
      </c>
      <c r="Y29" s="265">
        <v>0</v>
      </c>
      <c r="Z29" s="266">
        <f t="shared" si="8"/>
        <v>0</v>
      </c>
      <c r="AA29" s="265">
        <v>0</v>
      </c>
      <c r="AB29" s="24">
        <v>1</v>
      </c>
      <c r="AC29" s="261">
        <f t="shared" si="11"/>
        <v>0</v>
      </c>
      <c r="AD29" s="298">
        <f t="shared" si="12"/>
        <v>0</v>
      </c>
      <c r="AE29" s="262">
        <f t="shared" si="13"/>
        <v>0</v>
      </c>
      <c r="AF29" s="263">
        <f t="shared" si="13"/>
        <v>0</v>
      </c>
      <c r="AG29" s="255"/>
      <c r="AI29" s="154">
        <f t="shared" si="14"/>
        <v>0</v>
      </c>
      <c r="AJ29" s="157">
        <f t="shared" si="15"/>
        <v>0</v>
      </c>
      <c r="AK29" s="148">
        <f t="shared" si="16"/>
        <v>0</v>
      </c>
      <c r="AM29" s="161">
        <f t="shared" si="17"/>
        <v>0</v>
      </c>
      <c r="AN29" s="151">
        <f t="shared" si="18"/>
        <v>0</v>
      </c>
      <c r="AP29" s="21">
        <f t="shared" si="19"/>
        <v>1</v>
      </c>
      <c r="AQ29" s="170">
        <f t="shared" si="20"/>
        <v>0</v>
      </c>
      <c r="AR29" s="264">
        <f t="shared" si="21"/>
        <v>0</v>
      </c>
    </row>
    <row r="30" spans="2:44" hidden="1">
      <c r="B30" s="21">
        <f>'MaterialCosts Summary'!B30</f>
        <v>22</v>
      </c>
      <c r="C30" s="26"/>
      <c r="D30" s="23">
        <f>'MaterialCosts Summary'!D30</f>
        <v>0</v>
      </c>
      <c r="E30" s="257">
        <f>'MaterialCosts Summary'!E30</f>
        <v>0</v>
      </c>
      <c r="F30" s="258">
        <v>0</v>
      </c>
      <c r="G30" s="258">
        <v>0</v>
      </c>
      <c r="H30" s="258">
        <v>0</v>
      </c>
      <c r="I30" s="259">
        <f t="shared" si="9"/>
        <v>0</v>
      </c>
      <c r="J30" s="259"/>
      <c r="K30" s="260">
        <f t="shared" si="10"/>
        <v>0</v>
      </c>
      <c r="L30" s="259">
        <v>0</v>
      </c>
      <c r="M30" s="260">
        <f t="shared" si="0"/>
        <v>0</v>
      </c>
      <c r="N30" s="259">
        <v>0</v>
      </c>
      <c r="O30" s="260">
        <f t="shared" si="1"/>
        <v>0</v>
      </c>
      <c r="P30" s="259">
        <f t="shared" si="2"/>
        <v>0</v>
      </c>
      <c r="Q30" s="259"/>
      <c r="R30" s="260">
        <f t="shared" si="3"/>
        <v>0</v>
      </c>
      <c r="S30" s="259">
        <f t="shared" si="4"/>
        <v>0</v>
      </c>
      <c r="T30" s="259"/>
      <c r="U30" s="260">
        <f t="shared" si="5"/>
        <v>0</v>
      </c>
      <c r="V30" s="259">
        <f t="shared" si="6"/>
        <v>0</v>
      </c>
      <c r="W30" s="259"/>
      <c r="X30" s="260">
        <f t="shared" si="7"/>
        <v>0</v>
      </c>
      <c r="Y30" s="259">
        <v>0</v>
      </c>
      <c r="Z30" s="260">
        <f t="shared" si="8"/>
        <v>0</v>
      </c>
      <c r="AA30" s="259">
        <v>0</v>
      </c>
      <c r="AB30" s="24">
        <v>1</v>
      </c>
      <c r="AC30" s="261">
        <f t="shared" si="11"/>
        <v>0</v>
      </c>
      <c r="AD30" s="299">
        <f t="shared" si="12"/>
        <v>0</v>
      </c>
      <c r="AE30" s="262">
        <f t="shared" si="13"/>
        <v>0</v>
      </c>
      <c r="AF30" s="263">
        <f t="shared" si="13"/>
        <v>0</v>
      </c>
      <c r="AG30" s="255"/>
      <c r="AI30" s="154">
        <f t="shared" si="14"/>
        <v>0</v>
      </c>
      <c r="AJ30" s="157">
        <f t="shared" si="15"/>
        <v>0</v>
      </c>
      <c r="AK30" s="148">
        <f t="shared" si="16"/>
        <v>0</v>
      </c>
      <c r="AM30" s="161">
        <f t="shared" si="17"/>
        <v>0</v>
      </c>
      <c r="AN30" s="151">
        <f t="shared" si="18"/>
        <v>0</v>
      </c>
      <c r="AP30" s="21">
        <f t="shared" si="19"/>
        <v>1</v>
      </c>
      <c r="AQ30" s="170">
        <f t="shared" si="20"/>
        <v>0</v>
      </c>
      <c r="AR30" s="264">
        <f t="shared" si="21"/>
        <v>0</v>
      </c>
    </row>
    <row r="31" spans="2:44" hidden="1">
      <c r="B31" s="21">
        <f>'MaterialCosts Summary'!B31</f>
        <v>23</v>
      </c>
      <c r="C31" s="26"/>
      <c r="D31" s="23">
        <f>'MaterialCosts Summary'!D31</f>
        <v>0</v>
      </c>
      <c r="E31" s="257">
        <f>'MaterialCosts Summary'!E31</f>
        <v>0</v>
      </c>
      <c r="F31" s="258">
        <v>0</v>
      </c>
      <c r="G31" s="258">
        <v>0</v>
      </c>
      <c r="H31" s="258">
        <v>0</v>
      </c>
      <c r="I31" s="259">
        <f t="shared" si="9"/>
        <v>0</v>
      </c>
      <c r="J31" s="259"/>
      <c r="K31" s="260">
        <f t="shared" si="10"/>
        <v>0</v>
      </c>
      <c r="L31" s="259">
        <v>0</v>
      </c>
      <c r="M31" s="260">
        <f t="shared" si="0"/>
        <v>0</v>
      </c>
      <c r="N31" s="259">
        <v>0</v>
      </c>
      <c r="O31" s="260">
        <f t="shared" si="1"/>
        <v>0</v>
      </c>
      <c r="P31" s="259">
        <f t="shared" si="2"/>
        <v>0</v>
      </c>
      <c r="Q31" s="259"/>
      <c r="R31" s="260">
        <f t="shared" si="3"/>
        <v>0</v>
      </c>
      <c r="S31" s="259">
        <f t="shared" si="4"/>
        <v>0</v>
      </c>
      <c r="T31" s="259"/>
      <c r="U31" s="260">
        <f t="shared" si="5"/>
        <v>0</v>
      </c>
      <c r="V31" s="259">
        <f t="shared" si="6"/>
        <v>0</v>
      </c>
      <c r="W31" s="259"/>
      <c r="X31" s="260">
        <f t="shared" si="7"/>
        <v>0</v>
      </c>
      <c r="Y31" s="259">
        <v>0</v>
      </c>
      <c r="Z31" s="260">
        <f t="shared" si="8"/>
        <v>0</v>
      </c>
      <c r="AA31" s="259">
        <v>0</v>
      </c>
      <c r="AB31" s="24">
        <v>1</v>
      </c>
      <c r="AC31" s="261">
        <f t="shared" si="11"/>
        <v>0</v>
      </c>
      <c r="AD31" s="300">
        <f t="shared" si="12"/>
        <v>0</v>
      </c>
      <c r="AE31" s="262">
        <f t="shared" si="13"/>
        <v>0</v>
      </c>
      <c r="AF31" s="263">
        <f t="shared" si="13"/>
        <v>0</v>
      </c>
      <c r="AG31" s="255"/>
      <c r="AI31" s="154">
        <f t="shared" si="14"/>
        <v>0</v>
      </c>
      <c r="AJ31" s="157">
        <f t="shared" si="15"/>
        <v>0</v>
      </c>
      <c r="AK31" s="148">
        <f t="shared" si="16"/>
        <v>0</v>
      </c>
      <c r="AM31" s="161">
        <f t="shared" si="17"/>
        <v>0</v>
      </c>
      <c r="AN31" s="151">
        <f t="shared" si="18"/>
        <v>0</v>
      </c>
      <c r="AP31" s="21">
        <f t="shared" si="19"/>
        <v>1</v>
      </c>
      <c r="AQ31" s="170">
        <f t="shared" si="20"/>
        <v>0</v>
      </c>
      <c r="AR31" s="264">
        <f t="shared" si="21"/>
        <v>0</v>
      </c>
    </row>
    <row r="32" spans="2:44" hidden="1">
      <c r="B32" s="21">
        <f>'MaterialCosts Summary'!B32</f>
        <v>24</v>
      </c>
      <c r="C32" s="26"/>
      <c r="D32" s="23">
        <f>'MaterialCosts Summary'!D32</f>
        <v>0</v>
      </c>
      <c r="E32" s="257">
        <f>'MaterialCosts Summary'!E32</f>
        <v>0</v>
      </c>
      <c r="F32" s="258">
        <v>0</v>
      </c>
      <c r="G32" s="258">
        <v>0</v>
      </c>
      <c r="H32" s="258">
        <v>0</v>
      </c>
      <c r="I32" s="259">
        <f t="shared" si="9"/>
        <v>0</v>
      </c>
      <c r="J32" s="259"/>
      <c r="K32" s="260">
        <f t="shared" si="10"/>
        <v>0</v>
      </c>
      <c r="L32" s="259">
        <v>0</v>
      </c>
      <c r="M32" s="260">
        <f t="shared" si="0"/>
        <v>0</v>
      </c>
      <c r="N32" s="259">
        <v>0</v>
      </c>
      <c r="O32" s="260">
        <f t="shared" si="1"/>
        <v>0</v>
      </c>
      <c r="P32" s="259">
        <f t="shared" si="2"/>
        <v>0</v>
      </c>
      <c r="Q32" s="259"/>
      <c r="R32" s="260">
        <f t="shared" si="3"/>
        <v>0</v>
      </c>
      <c r="S32" s="259">
        <f t="shared" si="4"/>
        <v>0</v>
      </c>
      <c r="T32" s="259"/>
      <c r="U32" s="260">
        <f t="shared" si="5"/>
        <v>0</v>
      </c>
      <c r="V32" s="259">
        <f t="shared" si="6"/>
        <v>0</v>
      </c>
      <c r="W32" s="259"/>
      <c r="X32" s="260">
        <f t="shared" si="7"/>
        <v>0</v>
      </c>
      <c r="Y32" s="259">
        <v>0</v>
      </c>
      <c r="Z32" s="260">
        <f t="shared" si="8"/>
        <v>0</v>
      </c>
      <c r="AA32" s="259">
        <v>0</v>
      </c>
      <c r="AB32" s="24">
        <v>1</v>
      </c>
      <c r="AC32" s="261">
        <f t="shared" si="11"/>
        <v>0</v>
      </c>
      <c r="AD32" s="300">
        <f t="shared" si="12"/>
        <v>0</v>
      </c>
      <c r="AE32" s="262">
        <f t="shared" si="13"/>
        <v>0</v>
      </c>
      <c r="AF32" s="263">
        <f t="shared" si="13"/>
        <v>0</v>
      </c>
      <c r="AG32" s="255"/>
      <c r="AI32" s="154">
        <f t="shared" si="14"/>
        <v>0</v>
      </c>
      <c r="AJ32" s="157">
        <f t="shared" si="15"/>
        <v>0</v>
      </c>
      <c r="AK32" s="148">
        <f t="shared" si="16"/>
        <v>0</v>
      </c>
      <c r="AM32" s="161">
        <f t="shared" si="17"/>
        <v>0</v>
      </c>
      <c r="AN32" s="151">
        <f t="shared" si="18"/>
        <v>0</v>
      </c>
      <c r="AP32" s="21">
        <f t="shared" si="19"/>
        <v>1</v>
      </c>
      <c r="AQ32" s="170">
        <f t="shared" si="20"/>
        <v>0</v>
      </c>
      <c r="AR32" s="264">
        <f t="shared" si="21"/>
        <v>0</v>
      </c>
    </row>
    <row r="33" spans="2:44" hidden="1">
      <c r="B33" s="21">
        <f>'MaterialCosts Summary'!B33</f>
        <v>25</v>
      </c>
      <c r="C33" s="26"/>
      <c r="D33" s="23">
        <f>'MaterialCosts Summary'!D33</f>
        <v>0</v>
      </c>
      <c r="E33" s="257">
        <f>'MaterialCosts Summary'!E33</f>
        <v>0</v>
      </c>
      <c r="F33" s="258">
        <v>0</v>
      </c>
      <c r="G33" s="258">
        <v>0</v>
      </c>
      <c r="H33" s="258">
        <v>0</v>
      </c>
      <c r="I33" s="259">
        <f t="shared" si="9"/>
        <v>0</v>
      </c>
      <c r="J33" s="259"/>
      <c r="K33" s="260">
        <f t="shared" si="10"/>
        <v>0</v>
      </c>
      <c r="L33" s="259">
        <v>0</v>
      </c>
      <c r="M33" s="260">
        <f t="shared" si="0"/>
        <v>0</v>
      </c>
      <c r="N33" s="259">
        <v>0</v>
      </c>
      <c r="O33" s="260">
        <f t="shared" si="1"/>
        <v>0</v>
      </c>
      <c r="P33" s="259">
        <f t="shared" si="2"/>
        <v>0</v>
      </c>
      <c r="Q33" s="259"/>
      <c r="R33" s="260">
        <f t="shared" si="3"/>
        <v>0</v>
      </c>
      <c r="S33" s="259">
        <f t="shared" si="4"/>
        <v>0</v>
      </c>
      <c r="T33" s="259"/>
      <c r="U33" s="260">
        <f t="shared" si="5"/>
        <v>0</v>
      </c>
      <c r="V33" s="259">
        <f t="shared" si="6"/>
        <v>0</v>
      </c>
      <c r="W33" s="259"/>
      <c r="X33" s="260">
        <f t="shared" si="7"/>
        <v>0</v>
      </c>
      <c r="Y33" s="259">
        <v>0</v>
      </c>
      <c r="Z33" s="260">
        <f t="shared" si="8"/>
        <v>0</v>
      </c>
      <c r="AA33" s="259">
        <v>0</v>
      </c>
      <c r="AB33" s="24">
        <v>1</v>
      </c>
      <c r="AC33" s="261">
        <f t="shared" si="11"/>
        <v>0</v>
      </c>
      <c r="AD33" s="298">
        <f t="shared" si="12"/>
        <v>0</v>
      </c>
      <c r="AE33" s="262">
        <f t="shared" si="13"/>
        <v>0</v>
      </c>
      <c r="AF33" s="263">
        <f t="shared" si="13"/>
        <v>0</v>
      </c>
      <c r="AG33" s="255"/>
      <c r="AI33" s="154">
        <f t="shared" si="14"/>
        <v>0</v>
      </c>
      <c r="AJ33" s="157">
        <f t="shared" si="15"/>
        <v>0</v>
      </c>
      <c r="AK33" s="148">
        <f t="shared" si="16"/>
        <v>0</v>
      </c>
      <c r="AM33" s="161">
        <f t="shared" si="17"/>
        <v>0</v>
      </c>
      <c r="AN33" s="151">
        <f t="shared" si="18"/>
        <v>0</v>
      </c>
      <c r="AP33" s="21">
        <f t="shared" si="19"/>
        <v>1</v>
      </c>
      <c r="AQ33" s="170">
        <f t="shared" si="20"/>
        <v>0</v>
      </c>
      <c r="AR33" s="264">
        <f t="shared" si="21"/>
        <v>0</v>
      </c>
    </row>
    <row r="34" spans="2:44" hidden="1">
      <c r="B34" s="21">
        <f>'MaterialCosts Summary'!B34</f>
        <v>26</v>
      </c>
      <c r="C34" s="26"/>
      <c r="D34" s="23">
        <f>'MaterialCosts Summary'!D34</f>
        <v>0</v>
      </c>
      <c r="E34" s="257">
        <f>'MaterialCosts Summary'!E34</f>
        <v>0</v>
      </c>
      <c r="F34" s="258">
        <v>0</v>
      </c>
      <c r="G34" s="258">
        <v>0</v>
      </c>
      <c r="H34" s="258">
        <v>0</v>
      </c>
      <c r="I34" s="259">
        <f t="shared" si="9"/>
        <v>0</v>
      </c>
      <c r="J34" s="259"/>
      <c r="K34" s="260">
        <f t="shared" si="10"/>
        <v>0</v>
      </c>
      <c r="L34" s="259">
        <v>0</v>
      </c>
      <c r="M34" s="260">
        <f t="shared" si="0"/>
        <v>0</v>
      </c>
      <c r="N34" s="259">
        <v>0</v>
      </c>
      <c r="O34" s="260">
        <f t="shared" si="1"/>
        <v>0</v>
      </c>
      <c r="P34" s="259">
        <f t="shared" si="2"/>
        <v>0</v>
      </c>
      <c r="Q34" s="259"/>
      <c r="R34" s="260">
        <f t="shared" si="3"/>
        <v>0</v>
      </c>
      <c r="S34" s="259">
        <f t="shared" si="4"/>
        <v>0</v>
      </c>
      <c r="T34" s="259"/>
      <c r="U34" s="260">
        <f t="shared" si="5"/>
        <v>0</v>
      </c>
      <c r="V34" s="259">
        <f t="shared" si="6"/>
        <v>0</v>
      </c>
      <c r="W34" s="259"/>
      <c r="X34" s="260">
        <f t="shared" si="7"/>
        <v>0</v>
      </c>
      <c r="Y34" s="259">
        <v>0</v>
      </c>
      <c r="Z34" s="260">
        <f t="shared" si="8"/>
        <v>0</v>
      </c>
      <c r="AA34" s="259">
        <v>0</v>
      </c>
      <c r="AB34" s="24">
        <v>1</v>
      </c>
      <c r="AC34" s="261">
        <f t="shared" si="11"/>
        <v>0</v>
      </c>
      <c r="AD34" s="299">
        <f t="shared" si="12"/>
        <v>0</v>
      </c>
      <c r="AE34" s="262">
        <f t="shared" si="13"/>
        <v>0</v>
      </c>
      <c r="AF34" s="263">
        <f t="shared" si="13"/>
        <v>0</v>
      </c>
      <c r="AG34" s="255"/>
      <c r="AI34" s="154">
        <f t="shared" si="14"/>
        <v>0</v>
      </c>
      <c r="AJ34" s="157">
        <f t="shared" si="15"/>
        <v>0</v>
      </c>
      <c r="AK34" s="148">
        <f t="shared" si="16"/>
        <v>0</v>
      </c>
      <c r="AM34" s="161">
        <f t="shared" si="17"/>
        <v>0</v>
      </c>
      <c r="AN34" s="151">
        <f t="shared" si="18"/>
        <v>0</v>
      </c>
      <c r="AP34" s="21">
        <f t="shared" si="19"/>
        <v>1</v>
      </c>
      <c r="AQ34" s="170">
        <f t="shared" si="20"/>
        <v>0</v>
      </c>
      <c r="AR34" s="264">
        <f t="shared" si="21"/>
        <v>0</v>
      </c>
    </row>
    <row r="35" spans="2:44" hidden="1">
      <c r="B35" s="21">
        <f>'MaterialCosts Summary'!B35</f>
        <v>27</v>
      </c>
      <c r="C35" s="26"/>
      <c r="D35" s="23">
        <f>'MaterialCosts Summary'!D35</f>
        <v>0</v>
      </c>
      <c r="E35" s="257">
        <f>'MaterialCosts Summary'!E35</f>
        <v>0</v>
      </c>
      <c r="F35" s="258">
        <v>0</v>
      </c>
      <c r="G35" s="258">
        <v>0</v>
      </c>
      <c r="H35" s="258">
        <v>0</v>
      </c>
      <c r="I35" s="259">
        <f t="shared" si="9"/>
        <v>0</v>
      </c>
      <c r="J35" s="259"/>
      <c r="K35" s="260">
        <f t="shared" si="10"/>
        <v>0</v>
      </c>
      <c r="L35" s="259">
        <v>0</v>
      </c>
      <c r="M35" s="260">
        <f t="shared" si="0"/>
        <v>0</v>
      </c>
      <c r="N35" s="259">
        <v>0</v>
      </c>
      <c r="O35" s="260">
        <f t="shared" si="1"/>
        <v>0</v>
      </c>
      <c r="P35" s="259">
        <f t="shared" si="2"/>
        <v>0</v>
      </c>
      <c r="Q35" s="259"/>
      <c r="R35" s="260">
        <f t="shared" si="3"/>
        <v>0</v>
      </c>
      <c r="S35" s="259">
        <f t="shared" si="4"/>
        <v>0</v>
      </c>
      <c r="T35" s="259"/>
      <c r="U35" s="260">
        <f t="shared" si="5"/>
        <v>0</v>
      </c>
      <c r="V35" s="259">
        <f t="shared" si="6"/>
        <v>0</v>
      </c>
      <c r="W35" s="259"/>
      <c r="X35" s="260">
        <f t="shared" si="7"/>
        <v>0</v>
      </c>
      <c r="Y35" s="259">
        <v>0</v>
      </c>
      <c r="Z35" s="260">
        <f t="shared" si="8"/>
        <v>0</v>
      </c>
      <c r="AA35" s="259">
        <v>0</v>
      </c>
      <c r="AB35" s="24">
        <v>1</v>
      </c>
      <c r="AC35" s="261">
        <f t="shared" si="11"/>
        <v>0</v>
      </c>
      <c r="AD35" s="300">
        <f t="shared" si="12"/>
        <v>0</v>
      </c>
      <c r="AE35" s="262">
        <f t="shared" si="13"/>
        <v>0</v>
      </c>
      <c r="AF35" s="263">
        <f t="shared" si="13"/>
        <v>0</v>
      </c>
      <c r="AG35" s="255"/>
      <c r="AI35" s="154">
        <f t="shared" si="14"/>
        <v>0</v>
      </c>
      <c r="AJ35" s="157">
        <f t="shared" si="15"/>
        <v>0</v>
      </c>
      <c r="AK35" s="148">
        <f t="shared" si="16"/>
        <v>0</v>
      </c>
      <c r="AM35" s="161">
        <f t="shared" si="17"/>
        <v>0</v>
      </c>
      <c r="AN35" s="151">
        <f t="shared" si="18"/>
        <v>0</v>
      </c>
      <c r="AP35" s="21">
        <f t="shared" si="19"/>
        <v>1</v>
      </c>
      <c r="AQ35" s="170">
        <f t="shared" si="20"/>
        <v>0</v>
      </c>
      <c r="AR35" s="264">
        <f t="shared" si="21"/>
        <v>0</v>
      </c>
    </row>
    <row r="36" spans="2:44" hidden="1">
      <c r="B36" s="21">
        <f>'MaterialCosts Summary'!B36</f>
        <v>28</v>
      </c>
      <c r="C36" s="26"/>
      <c r="D36" s="23">
        <f>'MaterialCosts Summary'!D36</f>
        <v>0</v>
      </c>
      <c r="E36" s="257">
        <f>'MaterialCosts Summary'!E36</f>
        <v>0</v>
      </c>
      <c r="F36" s="258">
        <v>0</v>
      </c>
      <c r="G36" s="258">
        <v>0</v>
      </c>
      <c r="H36" s="258">
        <v>0</v>
      </c>
      <c r="I36" s="259">
        <f t="shared" si="9"/>
        <v>0</v>
      </c>
      <c r="J36" s="259"/>
      <c r="K36" s="260">
        <f t="shared" si="10"/>
        <v>0</v>
      </c>
      <c r="L36" s="259">
        <v>0</v>
      </c>
      <c r="M36" s="260">
        <f t="shared" si="0"/>
        <v>0</v>
      </c>
      <c r="N36" s="259">
        <v>0</v>
      </c>
      <c r="O36" s="260">
        <f t="shared" si="1"/>
        <v>0</v>
      </c>
      <c r="P36" s="259">
        <f t="shared" si="2"/>
        <v>0</v>
      </c>
      <c r="Q36" s="259"/>
      <c r="R36" s="260">
        <f t="shared" si="3"/>
        <v>0</v>
      </c>
      <c r="S36" s="259">
        <f t="shared" si="4"/>
        <v>0</v>
      </c>
      <c r="T36" s="259"/>
      <c r="U36" s="260">
        <f t="shared" si="5"/>
        <v>0</v>
      </c>
      <c r="V36" s="259">
        <f t="shared" si="6"/>
        <v>0</v>
      </c>
      <c r="W36" s="259"/>
      <c r="X36" s="260">
        <f t="shared" si="7"/>
        <v>0</v>
      </c>
      <c r="Y36" s="259">
        <v>0</v>
      </c>
      <c r="Z36" s="260">
        <f t="shared" si="8"/>
        <v>0</v>
      </c>
      <c r="AA36" s="259">
        <v>0</v>
      </c>
      <c r="AB36" s="24">
        <v>1</v>
      </c>
      <c r="AC36" s="261">
        <f t="shared" si="11"/>
        <v>0</v>
      </c>
      <c r="AD36" s="300">
        <f t="shared" si="12"/>
        <v>0</v>
      </c>
      <c r="AE36" s="262">
        <f t="shared" si="13"/>
        <v>0</v>
      </c>
      <c r="AF36" s="263">
        <f t="shared" si="13"/>
        <v>0</v>
      </c>
      <c r="AG36" s="255"/>
      <c r="AI36" s="154">
        <f t="shared" si="14"/>
        <v>0</v>
      </c>
      <c r="AJ36" s="157">
        <f t="shared" si="15"/>
        <v>0</v>
      </c>
      <c r="AK36" s="148">
        <f t="shared" si="16"/>
        <v>0</v>
      </c>
      <c r="AM36" s="161">
        <f t="shared" si="17"/>
        <v>0</v>
      </c>
      <c r="AN36" s="151">
        <f t="shared" si="18"/>
        <v>0</v>
      </c>
      <c r="AP36" s="21">
        <f t="shared" si="19"/>
        <v>1</v>
      </c>
      <c r="AQ36" s="170">
        <f t="shared" si="20"/>
        <v>0</v>
      </c>
      <c r="AR36" s="264">
        <f t="shared" si="21"/>
        <v>0</v>
      </c>
    </row>
    <row r="37" spans="2:44" hidden="1">
      <c r="B37" s="21">
        <f>'MaterialCosts Summary'!B37</f>
        <v>29</v>
      </c>
      <c r="C37" s="26"/>
      <c r="D37" s="23">
        <f>'MaterialCosts Summary'!D37</f>
        <v>0</v>
      </c>
      <c r="E37" s="257">
        <f>'MaterialCosts Summary'!E37</f>
        <v>0</v>
      </c>
      <c r="F37" s="258">
        <v>0</v>
      </c>
      <c r="G37" s="258">
        <v>0</v>
      </c>
      <c r="H37" s="258">
        <v>0</v>
      </c>
      <c r="I37" s="259">
        <f t="shared" si="9"/>
        <v>0</v>
      </c>
      <c r="J37" s="259"/>
      <c r="K37" s="260">
        <f t="shared" si="10"/>
        <v>0</v>
      </c>
      <c r="L37" s="259">
        <v>0</v>
      </c>
      <c r="M37" s="260">
        <f t="shared" si="0"/>
        <v>0</v>
      </c>
      <c r="N37" s="259">
        <v>0</v>
      </c>
      <c r="O37" s="260">
        <f t="shared" si="1"/>
        <v>0</v>
      </c>
      <c r="P37" s="259">
        <f t="shared" si="2"/>
        <v>0</v>
      </c>
      <c r="Q37" s="259"/>
      <c r="R37" s="260">
        <f t="shared" si="3"/>
        <v>0</v>
      </c>
      <c r="S37" s="259">
        <f t="shared" si="4"/>
        <v>0</v>
      </c>
      <c r="T37" s="259"/>
      <c r="U37" s="260">
        <f t="shared" si="5"/>
        <v>0</v>
      </c>
      <c r="V37" s="259">
        <f t="shared" si="6"/>
        <v>0</v>
      </c>
      <c r="W37" s="259"/>
      <c r="X37" s="260">
        <f t="shared" si="7"/>
        <v>0</v>
      </c>
      <c r="Y37" s="259">
        <v>0</v>
      </c>
      <c r="Z37" s="260">
        <f t="shared" si="8"/>
        <v>0</v>
      </c>
      <c r="AA37" s="259">
        <v>0</v>
      </c>
      <c r="AB37" s="24">
        <v>1</v>
      </c>
      <c r="AC37" s="261">
        <f t="shared" si="11"/>
        <v>0</v>
      </c>
      <c r="AD37" s="298">
        <f t="shared" si="12"/>
        <v>0</v>
      </c>
      <c r="AE37" s="262">
        <f t="shared" si="13"/>
        <v>0</v>
      </c>
      <c r="AF37" s="263">
        <f t="shared" si="13"/>
        <v>0</v>
      </c>
      <c r="AG37" s="255"/>
      <c r="AI37" s="154">
        <f t="shared" si="14"/>
        <v>0</v>
      </c>
      <c r="AJ37" s="157">
        <f t="shared" si="15"/>
        <v>0</v>
      </c>
      <c r="AK37" s="148">
        <f t="shared" si="16"/>
        <v>0</v>
      </c>
      <c r="AM37" s="161">
        <f t="shared" si="17"/>
        <v>0</v>
      </c>
      <c r="AN37" s="151">
        <f t="shared" si="18"/>
        <v>0</v>
      </c>
      <c r="AP37" s="21">
        <f t="shared" si="19"/>
        <v>1</v>
      </c>
      <c r="AQ37" s="170">
        <f t="shared" si="20"/>
        <v>0</v>
      </c>
      <c r="AR37" s="264">
        <f t="shared" si="21"/>
        <v>0</v>
      </c>
    </row>
    <row r="38" spans="2:44" hidden="1">
      <c r="B38" s="21">
        <f>'MaterialCosts Summary'!B38</f>
        <v>30</v>
      </c>
      <c r="C38" s="26"/>
      <c r="D38" s="23">
        <f>'MaterialCosts Summary'!D38</f>
        <v>0</v>
      </c>
      <c r="E38" s="257">
        <f>'MaterialCosts Summary'!E38</f>
        <v>0</v>
      </c>
      <c r="F38" s="258">
        <v>0</v>
      </c>
      <c r="G38" s="258">
        <v>0</v>
      </c>
      <c r="H38" s="258">
        <v>0</v>
      </c>
      <c r="I38" s="259">
        <f t="shared" si="9"/>
        <v>0</v>
      </c>
      <c r="J38" s="259"/>
      <c r="K38" s="260">
        <f t="shared" si="10"/>
        <v>0</v>
      </c>
      <c r="L38" s="259">
        <v>0</v>
      </c>
      <c r="M38" s="260">
        <f t="shared" si="0"/>
        <v>0</v>
      </c>
      <c r="N38" s="259">
        <v>0</v>
      </c>
      <c r="O38" s="260">
        <f t="shared" si="1"/>
        <v>0</v>
      </c>
      <c r="P38" s="259">
        <f t="shared" si="2"/>
        <v>0</v>
      </c>
      <c r="Q38" s="259"/>
      <c r="R38" s="260">
        <f t="shared" si="3"/>
        <v>0</v>
      </c>
      <c r="S38" s="259">
        <f t="shared" si="4"/>
        <v>0</v>
      </c>
      <c r="T38" s="259"/>
      <c r="U38" s="260">
        <f t="shared" si="5"/>
        <v>0</v>
      </c>
      <c r="V38" s="259">
        <f t="shared" si="6"/>
        <v>0</v>
      </c>
      <c r="W38" s="259"/>
      <c r="X38" s="260">
        <f t="shared" si="7"/>
        <v>0</v>
      </c>
      <c r="Y38" s="259">
        <v>0</v>
      </c>
      <c r="Z38" s="260">
        <f t="shared" si="8"/>
        <v>0</v>
      </c>
      <c r="AA38" s="259">
        <v>0</v>
      </c>
      <c r="AB38" s="24">
        <v>1</v>
      </c>
      <c r="AC38" s="261">
        <f t="shared" si="11"/>
        <v>0</v>
      </c>
      <c r="AD38" s="299">
        <f t="shared" si="12"/>
        <v>0</v>
      </c>
      <c r="AE38" s="262">
        <f t="shared" si="13"/>
        <v>0</v>
      </c>
      <c r="AF38" s="263">
        <f t="shared" si="13"/>
        <v>0</v>
      </c>
      <c r="AG38" s="255"/>
      <c r="AI38" s="154">
        <f t="shared" si="14"/>
        <v>0</v>
      </c>
      <c r="AJ38" s="157">
        <f t="shared" si="15"/>
        <v>0</v>
      </c>
      <c r="AK38" s="148">
        <f t="shared" si="16"/>
        <v>0</v>
      </c>
      <c r="AM38" s="161">
        <f t="shared" si="17"/>
        <v>0</v>
      </c>
      <c r="AN38" s="151">
        <f t="shared" si="18"/>
        <v>0</v>
      </c>
      <c r="AP38" s="21">
        <f t="shared" si="19"/>
        <v>1</v>
      </c>
      <c r="AQ38" s="170">
        <f t="shared" si="20"/>
        <v>0</v>
      </c>
      <c r="AR38" s="264">
        <f t="shared" si="21"/>
        <v>0</v>
      </c>
    </row>
    <row r="39" spans="2:44" hidden="1">
      <c r="B39" s="21">
        <f>'MaterialCosts Summary'!B39</f>
        <v>31</v>
      </c>
      <c r="C39" s="26"/>
      <c r="D39" s="23">
        <f>'MaterialCosts Summary'!D39</f>
        <v>0</v>
      </c>
      <c r="E39" s="257">
        <f>'MaterialCosts Summary'!E39</f>
        <v>0</v>
      </c>
      <c r="F39" s="258">
        <v>0</v>
      </c>
      <c r="G39" s="258">
        <v>0</v>
      </c>
      <c r="H39" s="258">
        <v>0</v>
      </c>
      <c r="I39" s="259">
        <f t="shared" si="9"/>
        <v>0</v>
      </c>
      <c r="J39" s="259"/>
      <c r="K39" s="260">
        <f t="shared" si="10"/>
        <v>0</v>
      </c>
      <c r="L39" s="259">
        <v>0</v>
      </c>
      <c r="M39" s="260">
        <f t="shared" si="0"/>
        <v>0</v>
      </c>
      <c r="N39" s="259">
        <v>0</v>
      </c>
      <c r="O39" s="260">
        <f t="shared" si="1"/>
        <v>0</v>
      </c>
      <c r="P39" s="259">
        <f t="shared" si="2"/>
        <v>0</v>
      </c>
      <c r="Q39" s="259"/>
      <c r="R39" s="260">
        <f t="shared" si="3"/>
        <v>0</v>
      </c>
      <c r="S39" s="259">
        <f t="shared" si="4"/>
        <v>0</v>
      </c>
      <c r="T39" s="259"/>
      <c r="U39" s="260">
        <f t="shared" si="5"/>
        <v>0</v>
      </c>
      <c r="V39" s="259">
        <f t="shared" si="6"/>
        <v>0</v>
      </c>
      <c r="W39" s="259"/>
      <c r="X39" s="260">
        <f t="shared" si="7"/>
        <v>0</v>
      </c>
      <c r="Y39" s="259">
        <v>0</v>
      </c>
      <c r="Z39" s="260">
        <f t="shared" si="8"/>
        <v>0</v>
      </c>
      <c r="AA39" s="259">
        <v>0</v>
      </c>
      <c r="AB39" s="24">
        <v>1</v>
      </c>
      <c r="AC39" s="261">
        <f t="shared" si="11"/>
        <v>0</v>
      </c>
      <c r="AD39" s="300">
        <f t="shared" si="12"/>
        <v>0</v>
      </c>
      <c r="AE39" s="262">
        <f t="shared" si="13"/>
        <v>0</v>
      </c>
      <c r="AF39" s="263">
        <f t="shared" si="13"/>
        <v>0</v>
      </c>
      <c r="AG39" s="255"/>
      <c r="AI39" s="154">
        <f t="shared" si="14"/>
        <v>0</v>
      </c>
      <c r="AJ39" s="157">
        <f t="shared" si="15"/>
        <v>0</v>
      </c>
      <c r="AK39" s="148">
        <f t="shared" si="16"/>
        <v>0</v>
      </c>
      <c r="AM39" s="161">
        <f t="shared" si="17"/>
        <v>0</v>
      </c>
      <c r="AN39" s="151">
        <f t="shared" si="18"/>
        <v>0</v>
      </c>
      <c r="AP39" s="21">
        <f t="shared" si="19"/>
        <v>1</v>
      </c>
      <c r="AQ39" s="170">
        <f t="shared" si="20"/>
        <v>0</v>
      </c>
      <c r="AR39" s="264">
        <f t="shared" si="21"/>
        <v>0</v>
      </c>
    </row>
    <row r="40" spans="2:44" hidden="1">
      <c r="B40" s="21">
        <f>'MaterialCosts Summary'!B40</f>
        <v>32</v>
      </c>
      <c r="C40" s="26"/>
      <c r="D40" s="23">
        <f>'MaterialCosts Summary'!D40</f>
        <v>0</v>
      </c>
      <c r="E40" s="257">
        <f>'MaterialCosts Summary'!E40</f>
        <v>0</v>
      </c>
      <c r="F40" s="258">
        <v>0</v>
      </c>
      <c r="G40" s="258">
        <v>0</v>
      </c>
      <c r="H40" s="258">
        <v>0</v>
      </c>
      <c r="I40" s="259">
        <f t="shared" si="9"/>
        <v>0</v>
      </c>
      <c r="J40" s="259"/>
      <c r="K40" s="260">
        <f t="shared" si="10"/>
        <v>0</v>
      </c>
      <c r="L40" s="259">
        <v>0</v>
      </c>
      <c r="M40" s="260">
        <f t="shared" si="0"/>
        <v>0</v>
      </c>
      <c r="N40" s="259">
        <v>0</v>
      </c>
      <c r="O40" s="260">
        <f t="shared" si="1"/>
        <v>0</v>
      </c>
      <c r="P40" s="259">
        <f t="shared" si="2"/>
        <v>0</v>
      </c>
      <c r="Q40" s="259"/>
      <c r="R40" s="260">
        <f t="shared" si="3"/>
        <v>0</v>
      </c>
      <c r="S40" s="259">
        <f t="shared" si="4"/>
        <v>0</v>
      </c>
      <c r="T40" s="259"/>
      <c r="U40" s="260">
        <f t="shared" si="5"/>
        <v>0</v>
      </c>
      <c r="V40" s="259">
        <f t="shared" si="6"/>
        <v>0</v>
      </c>
      <c r="W40" s="259"/>
      <c r="X40" s="260">
        <f t="shared" si="7"/>
        <v>0</v>
      </c>
      <c r="Y40" s="259">
        <v>0</v>
      </c>
      <c r="Z40" s="260">
        <f t="shared" si="8"/>
        <v>0</v>
      </c>
      <c r="AA40" s="259">
        <v>0</v>
      </c>
      <c r="AB40" s="24">
        <v>1</v>
      </c>
      <c r="AC40" s="261">
        <f t="shared" si="11"/>
        <v>0</v>
      </c>
      <c r="AD40" s="300">
        <f t="shared" si="12"/>
        <v>0</v>
      </c>
      <c r="AE40" s="262">
        <f t="shared" si="13"/>
        <v>0</v>
      </c>
      <c r="AF40" s="263">
        <f t="shared" si="13"/>
        <v>0</v>
      </c>
      <c r="AG40" s="255"/>
      <c r="AI40" s="154">
        <f t="shared" si="14"/>
        <v>0</v>
      </c>
      <c r="AJ40" s="157">
        <f t="shared" si="15"/>
        <v>0</v>
      </c>
      <c r="AK40" s="148">
        <f t="shared" si="16"/>
        <v>0</v>
      </c>
      <c r="AM40" s="161">
        <f t="shared" si="17"/>
        <v>0</v>
      </c>
      <c r="AN40" s="151">
        <f t="shared" si="18"/>
        <v>0</v>
      </c>
      <c r="AP40" s="21">
        <f t="shared" si="19"/>
        <v>1</v>
      </c>
      <c r="AQ40" s="170">
        <f t="shared" si="20"/>
        <v>0</v>
      </c>
      <c r="AR40" s="264">
        <f t="shared" si="21"/>
        <v>0</v>
      </c>
    </row>
    <row r="41" spans="2:44" hidden="1">
      <c r="B41" s="21">
        <f>'MaterialCosts Summary'!B41</f>
        <v>33</v>
      </c>
      <c r="C41" s="26"/>
      <c r="D41" s="23">
        <f>'MaterialCosts Summary'!D41</f>
        <v>0</v>
      </c>
      <c r="E41" s="257">
        <f>'MaterialCosts Summary'!E41</f>
        <v>0</v>
      </c>
      <c r="F41" s="258">
        <v>0</v>
      </c>
      <c r="G41" s="258">
        <v>0</v>
      </c>
      <c r="H41" s="258">
        <v>0</v>
      </c>
      <c r="I41" s="259">
        <f t="shared" si="9"/>
        <v>0</v>
      </c>
      <c r="J41" s="259"/>
      <c r="K41" s="260">
        <f t="shared" si="10"/>
        <v>0</v>
      </c>
      <c r="L41" s="259">
        <v>0</v>
      </c>
      <c r="M41" s="260">
        <f t="shared" si="0"/>
        <v>0</v>
      </c>
      <c r="N41" s="259">
        <v>0</v>
      </c>
      <c r="O41" s="260">
        <f t="shared" si="1"/>
        <v>0</v>
      </c>
      <c r="P41" s="259">
        <f t="shared" si="2"/>
        <v>0</v>
      </c>
      <c r="Q41" s="259"/>
      <c r="R41" s="260">
        <f t="shared" si="3"/>
        <v>0</v>
      </c>
      <c r="S41" s="259">
        <f t="shared" si="4"/>
        <v>0</v>
      </c>
      <c r="T41" s="259"/>
      <c r="U41" s="260">
        <f t="shared" si="5"/>
        <v>0</v>
      </c>
      <c r="V41" s="259">
        <f t="shared" si="6"/>
        <v>0</v>
      </c>
      <c r="W41" s="259"/>
      <c r="X41" s="260">
        <f t="shared" si="7"/>
        <v>0</v>
      </c>
      <c r="Y41" s="259">
        <v>0</v>
      </c>
      <c r="Z41" s="260">
        <f t="shared" si="8"/>
        <v>0</v>
      </c>
      <c r="AA41" s="259">
        <v>0</v>
      </c>
      <c r="AB41" s="24">
        <v>1</v>
      </c>
      <c r="AC41" s="261">
        <f t="shared" si="11"/>
        <v>0</v>
      </c>
      <c r="AD41" s="298">
        <f t="shared" si="12"/>
        <v>0</v>
      </c>
      <c r="AE41" s="262">
        <f t="shared" si="13"/>
        <v>0</v>
      </c>
      <c r="AF41" s="263">
        <f t="shared" si="13"/>
        <v>0</v>
      </c>
      <c r="AG41" s="255"/>
      <c r="AI41" s="154">
        <f t="shared" si="14"/>
        <v>0</v>
      </c>
      <c r="AJ41" s="157">
        <f t="shared" si="15"/>
        <v>0</v>
      </c>
      <c r="AK41" s="148">
        <f t="shared" si="16"/>
        <v>0</v>
      </c>
      <c r="AM41" s="161">
        <f t="shared" si="17"/>
        <v>0</v>
      </c>
      <c r="AN41" s="151">
        <f t="shared" si="18"/>
        <v>0</v>
      </c>
      <c r="AP41" s="21">
        <f t="shared" si="19"/>
        <v>1</v>
      </c>
      <c r="AQ41" s="170">
        <f t="shared" si="20"/>
        <v>0</v>
      </c>
      <c r="AR41" s="264">
        <f t="shared" si="21"/>
        <v>0</v>
      </c>
    </row>
    <row r="42" spans="2:44" hidden="1">
      <c r="B42" s="21">
        <f>'MaterialCosts Summary'!B42</f>
        <v>34</v>
      </c>
      <c r="C42" s="26"/>
      <c r="D42" s="23">
        <f>'MaterialCosts Summary'!D42</f>
        <v>0</v>
      </c>
      <c r="E42" s="257">
        <f>'MaterialCosts Summary'!E42</f>
        <v>0</v>
      </c>
      <c r="F42" s="258">
        <v>0</v>
      </c>
      <c r="G42" s="258">
        <v>0</v>
      </c>
      <c r="H42" s="258">
        <v>0</v>
      </c>
      <c r="I42" s="259">
        <f t="shared" si="9"/>
        <v>0</v>
      </c>
      <c r="J42" s="259"/>
      <c r="K42" s="260">
        <f t="shared" si="10"/>
        <v>0</v>
      </c>
      <c r="L42" s="259">
        <v>0</v>
      </c>
      <c r="M42" s="260">
        <f t="shared" si="0"/>
        <v>0</v>
      </c>
      <c r="N42" s="259">
        <v>0</v>
      </c>
      <c r="O42" s="260">
        <f t="shared" si="1"/>
        <v>0</v>
      </c>
      <c r="P42" s="259">
        <f t="shared" si="2"/>
        <v>0</v>
      </c>
      <c r="Q42" s="259"/>
      <c r="R42" s="260">
        <f t="shared" si="3"/>
        <v>0</v>
      </c>
      <c r="S42" s="259">
        <f t="shared" si="4"/>
        <v>0</v>
      </c>
      <c r="T42" s="259"/>
      <c r="U42" s="260">
        <f t="shared" si="5"/>
        <v>0</v>
      </c>
      <c r="V42" s="259">
        <f t="shared" si="6"/>
        <v>0</v>
      </c>
      <c r="W42" s="259"/>
      <c r="X42" s="260">
        <f t="shared" si="7"/>
        <v>0</v>
      </c>
      <c r="Y42" s="259">
        <v>0</v>
      </c>
      <c r="Z42" s="260">
        <f t="shared" si="8"/>
        <v>0</v>
      </c>
      <c r="AA42" s="259">
        <v>0</v>
      </c>
      <c r="AB42" s="24">
        <v>1</v>
      </c>
      <c r="AC42" s="261">
        <f t="shared" si="11"/>
        <v>0</v>
      </c>
      <c r="AD42" s="299">
        <f t="shared" si="12"/>
        <v>0</v>
      </c>
      <c r="AE42" s="262">
        <f t="shared" si="13"/>
        <v>0</v>
      </c>
      <c r="AF42" s="263">
        <f t="shared" si="13"/>
        <v>0</v>
      </c>
      <c r="AG42" s="255"/>
      <c r="AI42" s="154">
        <f t="shared" si="14"/>
        <v>0</v>
      </c>
      <c r="AJ42" s="157">
        <f t="shared" si="15"/>
        <v>0</v>
      </c>
      <c r="AK42" s="148">
        <f t="shared" si="16"/>
        <v>0</v>
      </c>
      <c r="AM42" s="161">
        <f t="shared" si="17"/>
        <v>0</v>
      </c>
      <c r="AN42" s="151">
        <f t="shared" si="18"/>
        <v>0</v>
      </c>
      <c r="AP42" s="21">
        <f t="shared" si="19"/>
        <v>1</v>
      </c>
      <c r="AQ42" s="170">
        <f t="shared" si="20"/>
        <v>0</v>
      </c>
      <c r="AR42" s="264">
        <f t="shared" si="21"/>
        <v>0</v>
      </c>
    </row>
    <row r="43" spans="2:44" hidden="1">
      <c r="B43" s="21">
        <f>'MaterialCosts Summary'!B43</f>
        <v>35</v>
      </c>
      <c r="C43" s="26"/>
      <c r="D43" s="23">
        <f>'MaterialCosts Summary'!D43</f>
        <v>0</v>
      </c>
      <c r="E43" s="257">
        <f>'MaterialCosts Summary'!E43</f>
        <v>0</v>
      </c>
      <c r="F43" s="258">
        <v>0</v>
      </c>
      <c r="G43" s="258">
        <v>0</v>
      </c>
      <c r="H43" s="258">
        <v>0</v>
      </c>
      <c r="I43" s="259">
        <f t="shared" si="9"/>
        <v>0</v>
      </c>
      <c r="J43" s="259"/>
      <c r="K43" s="260">
        <f t="shared" si="10"/>
        <v>0</v>
      </c>
      <c r="L43" s="259">
        <v>0</v>
      </c>
      <c r="M43" s="260">
        <f t="shared" si="0"/>
        <v>0</v>
      </c>
      <c r="N43" s="259">
        <v>0</v>
      </c>
      <c r="O43" s="260">
        <f t="shared" si="1"/>
        <v>0</v>
      </c>
      <c r="P43" s="259">
        <f t="shared" si="2"/>
        <v>0</v>
      </c>
      <c r="Q43" s="259"/>
      <c r="R43" s="260">
        <f t="shared" si="3"/>
        <v>0</v>
      </c>
      <c r="S43" s="259">
        <f t="shared" si="4"/>
        <v>0</v>
      </c>
      <c r="T43" s="259"/>
      <c r="U43" s="260">
        <f t="shared" si="5"/>
        <v>0</v>
      </c>
      <c r="V43" s="259">
        <f t="shared" si="6"/>
        <v>0</v>
      </c>
      <c r="W43" s="259"/>
      <c r="X43" s="260">
        <f t="shared" si="7"/>
        <v>0</v>
      </c>
      <c r="Y43" s="259">
        <v>0</v>
      </c>
      <c r="Z43" s="260">
        <f t="shared" si="8"/>
        <v>0</v>
      </c>
      <c r="AA43" s="259">
        <v>0</v>
      </c>
      <c r="AB43" s="24">
        <v>1</v>
      </c>
      <c r="AC43" s="261">
        <f t="shared" si="11"/>
        <v>0</v>
      </c>
      <c r="AD43" s="300">
        <f t="shared" si="12"/>
        <v>0</v>
      </c>
      <c r="AE43" s="262">
        <f t="shared" si="13"/>
        <v>0</v>
      </c>
      <c r="AF43" s="263">
        <f t="shared" si="13"/>
        <v>0</v>
      </c>
      <c r="AG43" s="255"/>
      <c r="AI43" s="154">
        <f t="shared" si="14"/>
        <v>0</v>
      </c>
      <c r="AJ43" s="157">
        <f t="shared" si="15"/>
        <v>0</v>
      </c>
      <c r="AK43" s="148">
        <f t="shared" si="16"/>
        <v>0</v>
      </c>
      <c r="AM43" s="161">
        <f t="shared" si="17"/>
        <v>0</v>
      </c>
      <c r="AN43" s="151">
        <f t="shared" si="18"/>
        <v>0</v>
      </c>
      <c r="AP43" s="21">
        <f t="shared" si="19"/>
        <v>1</v>
      </c>
      <c r="AQ43" s="170">
        <f t="shared" si="20"/>
        <v>0</v>
      </c>
      <c r="AR43" s="264">
        <f t="shared" si="21"/>
        <v>0</v>
      </c>
    </row>
    <row r="44" spans="2:44" hidden="1">
      <c r="B44" s="21">
        <f>'MaterialCosts Summary'!B44</f>
        <v>36</v>
      </c>
      <c r="C44" s="26"/>
      <c r="D44" s="23">
        <f>'MaterialCosts Summary'!D44</f>
        <v>0</v>
      </c>
      <c r="E44" s="257">
        <f>'MaterialCosts Summary'!E44</f>
        <v>0</v>
      </c>
      <c r="F44" s="258">
        <v>0</v>
      </c>
      <c r="G44" s="258">
        <v>0</v>
      </c>
      <c r="H44" s="258">
        <v>0</v>
      </c>
      <c r="I44" s="259">
        <f t="shared" si="9"/>
        <v>0</v>
      </c>
      <c r="J44" s="259"/>
      <c r="K44" s="260">
        <f t="shared" si="10"/>
        <v>0</v>
      </c>
      <c r="L44" s="259">
        <v>0</v>
      </c>
      <c r="M44" s="260">
        <f t="shared" si="0"/>
        <v>0</v>
      </c>
      <c r="N44" s="259">
        <v>0</v>
      </c>
      <c r="O44" s="260">
        <f t="shared" si="1"/>
        <v>0</v>
      </c>
      <c r="P44" s="259">
        <f t="shared" si="2"/>
        <v>0</v>
      </c>
      <c r="Q44" s="259"/>
      <c r="R44" s="260">
        <f t="shared" si="3"/>
        <v>0</v>
      </c>
      <c r="S44" s="259">
        <f t="shared" si="4"/>
        <v>0</v>
      </c>
      <c r="T44" s="259"/>
      <c r="U44" s="260">
        <f t="shared" si="5"/>
        <v>0</v>
      </c>
      <c r="V44" s="259">
        <f t="shared" si="6"/>
        <v>0</v>
      </c>
      <c r="W44" s="259"/>
      <c r="X44" s="260">
        <f t="shared" si="7"/>
        <v>0</v>
      </c>
      <c r="Y44" s="259">
        <v>0</v>
      </c>
      <c r="Z44" s="260">
        <f t="shared" si="8"/>
        <v>0</v>
      </c>
      <c r="AA44" s="259">
        <v>0</v>
      </c>
      <c r="AB44" s="24">
        <v>1</v>
      </c>
      <c r="AC44" s="261">
        <f t="shared" si="11"/>
        <v>0</v>
      </c>
      <c r="AD44" s="300">
        <f t="shared" si="12"/>
        <v>0</v>
      </c>
      <c r="AE44" s="262">
        <f t="shared" si="13"/>
        <v>0</v>
      </c>
      <c r="AF44" s="263">
        <f t="shared" si="13"/>
        <v>0</v>
      </c>
      <c r="AG44" s="255"/>
      <c r="AI44" s="154">
        <f t="shared" si="14"/>
        <v>0</v>
      </c>
      <c r="AJ44" s="157">
        <f t="shared" si="15"/>
        <v>0</v>
      </c>
      <c r="AK44" s="148">
        <f t="shared" si="16"/>
        <v>0</v>
      </c>
      <c r="AM44" s="161">
        <f t="shared" si="17"/>
        <v>0</v>
      </c>
      <c r="AN44" s="151">
        <f t="shared" si="18"/>
        <v>0</v>
      </c>
      <c r="AP44" s="21">
        <f t="shared" si="19"/>
        <v>1</v>
      </c>
      <c r="AQ44" s="170">
        <f t="shared" si="20"/>
        <v>0</v>
      </c>
      <c r="AR44" s="264">
        <f t="shared" si="21"/>
        <v>0</v>
      </c>
    </row>
    <row r="45" spans="2:44" hidden="1">
      <c r="B45" s="21">
        <f>'MaterialCosts Summary'!B45</f>
        <v>37</v>
      </c>
      <c r="C45" s="26"/>
      <c r="D45" s="23">
        <f>'MaterialCosts Summary'!D45</f>
        <v>0</v>
      </c>
      <c r="E45" s="257">
        <f>'MaterialCosts Summary'!E45</f>
        <v>0</v>
      </c>
      <c r="F45" s="258">
        <v>0</v>
      </c>
      <c r="G45" s="258">
        <v>0</v>
      </c>
      <c r="H45" s="258">
        <v>0</v>
      </c>
      <c r="I45" s="259">
        <f t="shared" si="9"/>
        <v>0</v>
      </c>
      <c r="J45" s="259"/>
      <c r="K45" s="260">
        <f t="shared" si="10"/>
        <v>0</v>
      </c>
      <c r="L45" s="259">
        <v>0</v>
      </c>
      <c r="M45" s="260">
        <f t="shared" si="0"/>
        <v>0</v>
      </c>
      <c r="N45" s="259">
        <v>0</v>
      </c>
      <c r="O45" s="260">
        <f t="shared" si="1"/>
        <v>0</v>
      </c>
      <c r="P45" s="259">
        <f t="shared" si="2"/>
        <v>0</v>
      </c>
      <c r="Q45" s="259"/>
      <c r="R45" s="260">
        <f t="shared" si="3"/>
        <v>0</v>
      </c>
      <c r="S45" s="259">
        <f t="shared" si="4"/>
        <v>0</v>
      </c>
      <c r="T45" s="259"/>
      <c r="U45" s="260">
        <f t="shared" si="5"/>
        <v>0</v>
      </c>
      <c r="V45" s="259">
        <f t="shared" si="6"/>
        <v>0</v>
      </c>
      <c r="W45" s="259"/>
      <c r="X45" s="260">
        <f t="shared" si="7"/>
        <v>0</v>
      </c>
      <c r="Y45" s="259">
        <v>0</v>
      </c>
      <c r="Z45" s="260">
        <f t="shared" si="8"/>
        <v>0</v>
      </c>
      <c r="AA45" s="259">
        <v>0</v>
      </c>
      <c r="AB45" s="24">
        <v>1</v>
      </c>
      <c r="AC45" s="261">
        <f t="shared" si="11"/>
        <v>0</v>
      </c>
      <c r="AD45" s="298">
        <f t="shared" si="12"/>
        <v>0</v>
      </c>
      <c r="AE45" s="262">
        <f t="shared" si="13"/>
        <v>0</v>
      </c>
      <c r="AF45" s="263">
        <f t="shared" si="13"/>
        <v>0</v>
      </c>
      <c r="AG45" s="255"/>
      <c r="AI45" s="154">
        <f t="shared" si="14"/>
        <v>0</v>
      </c>
      <c r="AJ45" s="157">
        <f t="shared" si="15"/>
        <v>0</v>
      </c>
      <c r="AK45" s="148">
        <f t="shared" si="16"/>
        <v>0</v>
      </c>
      <c r="AM45" s="161">
        <f t="shared" si="17"/>
        <v>0</v>
      </c>
      <c r="AN45" s="151">
        <f t="shared" si="18"/>
        <v>0</v>
      </c>
      <c r="AP45" s="21">
        <f t="shared" si="19"/>
        <v>1</v>
      </c>
      <c r="AQ45" s="170">
        <f t="shared" si="20"/>
        <v>0</v>
      </c>
      <c r="AR45" s="264">
        <f t="shared" si="21"/>
        <v>0</v>
      </c>
    </row>
    <row r="46" spans="2:44" hidden="1">
      <c r="B46" s="21">
        <f>'MaterialCosts Summary'!B46</f>
        <v>38</v>
      </c>
      <c r="C46" s="26"/>
      <c r="D46" s="23">
        <f>'MaterialCosts Summary'!D46</f>
        <v>0</v>
      </c>
      <c r="E46" s="257">
        <f>'MaterialCosts Summary'!E46</f>
        <v>0</v>
      </c>
      <c r="F46" s="258">
        <v>0</v>
      </c>
      <c r="G46" s="258">
        <v>0</v>
      </c>
      <c r="H46" s="258">
        <v>0</v>
      </c>
      <c r="I46" s="259">
        <f t="shared" si="9"/>
        <v>0</v>
      </c>
      <c r="J46" s="259"/>
      <c r="K46" s="260">
        <f t="shared" si="10"/>
        <v>0</v>
      </c>
      <c r="L46" s="259">
        <v>0</v>
      </c>
      <c r="M46" s="260">
        <f t="shared" si="0"/>
        <v>0</v>
      </c>
      <c r="N46" s="259">
        <v>0</v>
      </c>
      <c r="O46" s="260">
        <f t="shared" si="1"/>
        <v>0</v>
      </c>
      <c r="P46" s="259">
        <f t="shared" si="2"/>
        <v>0</v>
      </c>
      <c r="Q46" s="259"/>
      <c r="R46" s="260">
        <f t="shared" si="3"/>
        <v>0</v>
      </c>
      <c r="S46" s="259">
        <f t="shared" si="4"/>
        <v>0</v>
      </c>
      <c r="T46" s="259"/>
      <c r="U46" s="260">
        <f t="shared" si="5"/>
        <v>0</v>
      </c>
      <c r="V46" s="259">
        <f t="shared" si="6"/>
        <v>0</v>
      </c>
      <c r="W46" s="259"/>
      <c r="X46" s="260">
        <f t="shared" si="7"/>
        <v>0</v>
      </c>
      <c r="Y46" s="259">
        <v>0</v>
      </c>
      <c r="Z46" s="260">
        <f t="shared" si="8"/>
        <v>0</v>
      </c>
      <c r="AA46" s="259">
        <v>0</v>
      </c>
      <c r="AB46" s="24">
        <v>1</v>
      </c>
      <c r="AC46" s="261">
        <f t="shared" si="11"/>
        <v>0</v>
      </c>
      <c r="AD46" s="299">
        <f t="shared" si="12"/>
        <v>0</v>
      </c>
      <c r="AE46" s="262">
        <f t="shared" si="13"/>
        <v>0</v>
      </c>
      <c r="AF46" s="263">
        <f t="shared" si="13"/>
        <v>0</v>
      </c>
      <c r="AG46" s="255"/>
      <c r="AI46" s="154">
        <f t="shared" si="14"/>
        <v>0</v>
      </c>
      <c r="AJ46" s="157">
        <f t="shared" si="15"/>
        <v>0</v>
      </c>
      <c r="AK46" s="148">
        <f t="shared" si="16"/>
        <v>0</v>
      </c>
      <c r="AM46" s="161">
        <f t="shared" si="17"/>
        <v>0</v>
      </c>
      <c r="AN46" s="151">
        <f t="shared" si="18"/>
        <v>0</v>
      </c>
      <c r="AP46" s="21">
        <f t="shared" si="19"/>
        <v>1</v>
      </c>
      <c r="AQ46" s="170">
        <f t="shared" si="20"/>
        <v>0</v>
      </c>
      <c r="AR46" s="264">
        <f t="shared" si="21"/>
        <v>0</v>
      </c>
    </row>
    <row r="47" spans="2:44" hidden="1">
      <c r="B47" s="21">
        <f>'MaterialCosts Summary'!B47</f>
        <v>39</v>
      </c>
      <c r="C47" s="26"/>
      <c r="D47" s="23">
        <f>'MaterialCosts Summary'!D47</f>
        <v>0</v>
      </c>
      <c r="E47" s="257">
        <f>'MaterialCosts Summary'!E47</f>
        <v>0</v>
      </c>
      <c r="F47" s="258">
        <v>0</v>
      </c>
      <c r="G47" s="258">
        <v>0</v>
      </c>
      <c r="H47" s="258">
        <v>0</v>
      </c>
      <c r="I47" s="259">
        <f t="shared" si="9"/>
        <v>0</v>
      </c>
      <c r="J47" s="259"/>
      <c r="K47" s="260">
        <f t="shared" si="10"/>
        <v>0</v>
      </c>
      <c r="L47" s="259">
        <v>0</v>
      </c>
      <c r="M47" s="260">
        <f t="shared" si="0"/>
        <v>0</v>
      </c>
      <c r="N47" s="259">
        <v>0</v>
      </c>
      <c r="O47" s="260">
        <f t="shared" si="1"/>
        <v>0</v>
      </c>
      <c r="P47" s="259">
        <f t="shared" si="2"/>
        <v>0</v>
      </c>
      <c r="Q47" s="259"/>
      <c r="R47" s="260">
        <f t="shared" si="3"/>
        <v>0</v>
      </c>
      <c r="S47" s="259">
        <f t="shared" si="4"/>
        <v>0</v>
      </c>
      <c r="T47" s="259"/>
      <c r="U47" s="260">
        <f t="shared" si="5"/>
        <v>0</v>
      </c>
      <c r="V47" s="259">
        <f t="shared" si="6"/>
        <v>0</v>
      </c>
      <c r="W47" s="259"/>
      <c r="X47" s="260">
        <f t="shared" si="7"/>
        <v>0</v>
      </c>
      <c r="Y47" s="259">
        <v>0</v>
      </c>
      <c r="Z47" s="260">
        <f t="shared" si="8"/>
        <v>0</v>
      </c>
      <c r="AA47" s="259">
        <v>0</v>
      </c>
      <c r="AB47" s="24">
        <v>1</v>
      </c>
      <c r="AC47" s="261">
        <f t="shared" si="11"/>
        <v>0</v>
      </c>
      <c r="AD47" s="300">
        <f t="shared" si="12"/>
        <v>0</v>
      </c>
      <c r="AE47" s="262">
        <f t="shared" si="13"/>
        <v>0</v>
      </c>
      <c r="AF47" s="263">
        <f t="shared" si="13"/>
        <v>0</v>
      </c>
      <c r="AG47" s="255"/>
      <c r="AI47" s="154">
        <f t="shared" si="14"/>
        <v>0</v>
      </c>
      <c r="AJ47" s="157">
        <f t="shared" si="15"/>
        <v>0</v>
      </c>
      <c r="AK47" s="148">
        <f t="shared" si="16"/>
        <v>0</v>
      </c>
      <c r="AM47" s="161">
        <f t="shared" si="17"/>
        <v>0</v>
      </c>
      <c r="AN47" s="151">
        <f t="shared" si="18"/>
        <v>0</v>
      </c>
      <c r="AP47" s="21">
        <f t="shared" si="19"/>
        <v>1</v>
      </c>
      <c r="AQ47" s="170">
        <f t="shared" si="20"/>
        <v>0</v>
      </c>
      <c r="AR47" s="264">
        <f t="shared" si="21"/>
        <v>0</v>
      </c>
    </row>
    <row r="48" spans="2:44" hidden="1">
      <c r="B48" s="21">
        <f>'MaterialCosts Summary'!B48</f>
        <v>40</v>
      </c>
      <c r="C48" s="26"/>
      <c r="D48" s="23">
        <f>'MaterialCosts Summary'!D48</f>
        <v>0</v>
      </c>
      <c r="E48" s="257">
        <f>'MaterialCosts Summary'!E48</f>
        <v>0</v>
      </c>
      <c r="F48" s="258">
        <v>0</v>
      </c>
      <c r="G48" s="258">
        <v>0</v>
      </c>
      <c r="H48" s="258">
        <v>0</v>
      </c>
      <c r="I48" s="259">
        <f t="shared" si="9"/>
        <v>0</v>
      </c>
      <c r="J48" s="259"/>
      <c r="K48" s="260">
        <f t="shared" si="10"/>
        <v>0</v>
      </c>
      <c r="L48" s="259">
        <v>0</v>
      </c>
      <c r="M48" s="260">
        <f t="shared" si="0"/>
        <v>0</v>
      </c>
      <c r="N48" s="259">
        <v>0</v>
      </c>
      <c r="O48" s="260">
        <f t="shared" si="1"/>
        <v>0</v>
      </c>
      <c r="P48" s="259">
        <f t="shared" si="2"/>
        <v>0</v>
      </c>
      <c r="Q48" s="259"/>
      <c r="R48" s="260">
        <f t="shared" si="3"/>
        <v>0</v>
      </c>
      <c r="S48" s="259">
        <f t="shared" si="4"/>
        <v>0</v>
      </c>
      <c r="T48" s="259"/>
      <c r="U48" s="260">
        <f t="shared" si="5"/>
        <v>0</v>
      </c>
      <c r="V48" s="259">
        <f t="shared" si="6"/>
        <v>0</v>
      </c>
      <c r="W48" s="259"/>
      <c r="X48" s="260">
        <f t="shared" si="7"/>
        <v>0</v>
      </c>
      <c r="Y48" s="259">
        <v>0</v>
      </c>
      <c r="Z48" s="260">
        <f t="shared" si="8"/>
        <v>0</v>
      </c>
      <c r="AA48" s="259">
        <v>0</v>
      </c>
      <c r="AB48" s="24">
        <v>1</v>
      </c>
      <c r="AC48" s="261">
        <f t="shared" si="11"/>
        <v>0</v>
      </c>
      <c r="AD48" s="300">
        <f t="shared" si="12"/>
        <v>0</v>
      </c>
      <c r="AE48" s="262">
        <f t="shared" si="13"/>
        <v>0</v>
      </c>
      <c r="AF48" s="263">
        <f t="shared" si="13"/>
        <v>0</v>
      </c>
      <c r="AG48" s="255"/>
      <c r="AI48" s="154">
        <f t="shared" si="14"/>
        <v>0</v>
      </c>
      <c r="AJ48" s="157">
        <f t="shared" si="15"/>
        <v>0</v>
      </c>
      <c r="AK48" s="148">
        <f t="shared" si="16"/>
        <v>0</v>
      </c>
      <c r="AM48" s="161">
        <f t="shared" si="17"/>
        <v>0</v>
      </c>
      <c r="AN48" s="151">
        <f t="shared" si="18"/>
        <v>0</v>
      </c>
      <c r="AP48" s="21">
        <f t="shared" si="19"/>
        <v>1</v>
      </c>
      <c r="AQ48" s="170">
        <f t="shared" si="20"/>
        <v>0</v>
      </c>
      <c r="AR48" s="264">
        <f t="shared" si="21"/>
        <v>0</v>
      </c>
    </row>
    <row r="49" spans="2:44" hidden="1">
      <c r="B49" s="21">
        <f>'MaterialCosts Summary'!B49</f>
        <v>41</v>
      </c>
      <c r="C49" s="26"/>
      <c r="D49" s="23">
        <f>'MaterialCosts Summary'!D49</f>
        <v>0</v>
      </c>
      <c r="E49" s="257">
        <f>'MaterialCosts Summary'!E49</f>
        <v>0</v>
      </c>
      <c r="F49" s="258">
        <v>0</v>
      </c>
      <c r="G49" s="258">
        <v>0</v>
      </c>
      <c r="H49" s="258">
        <v>0</v>
      </c>
      <c r="I49" s="259">
        <f t="shared" si="9"/>
        <v>0</v>
      </c>
      <c r="J49" s="259"/>
      <c r="K49" s="260">
        <f t="shared" si="10"/>
        <v>0</v>
      </c>
      <c r="L49" s="259">
        <v>0</v>
      </c>
      <c r="M49" s="260">
        <f t="shared" si="0"/>
        <v>0</v>
      </c>
      <c r="N49" s="259">
        <v>0</v>
      </c>
      <c r="O49" s="260">
        <f t="shared" si="1"/>
        <v>0</v>
      </c>
      <c r="P49" s="259">
        <f t="shared" si="2"/>
        <v>0</v>
      </c>
      <c r="Q49" s="259"/>
      <c r="R49" s="260">
        <f t="shared" si="3"/>
        <v>0</v>
      </c>
      <c r="S49" s="259">
        <f t="shared" si="4"/>
        <v>0</v>
      </c>
      <c r="T49" s="259"/>
      <c r="U49" s="260">
        <f t="shared" si="5"/>
        <v>0</v>
      </c>
      <c r="V49" s="259">
        <f t="shared" si="6"/>
        <v>0</v>
      </c>
      <c r="W49" s="259"/>
      <c r="X49" s="260">
        <f t="shared" si="7"/>
        <v>0</v>
      </c>
      <c r="Y49" s="259">
        <v>0</v>
      </c>
      <c r="Z49" s="260">
        <f t="shared" si="8"/>
        <v>0</v>
      </c>
      <c r="AA49" s="259">
        <v>0</v>
      </c>
      <c r="AB49" s="24">
        <v>1</v>
      </c>
      <c r="AC49" s="261">
        <f t="shared" si="11"/>
        <v>0</v>
      </c>
      <c r="AD49" s="298">
        <f t="shared" si="12"/>
        <v>0</v>
      </c>
      <c r="AE49" s="262">
        <f t="shared" si="13"/>
        <v>0</v>
      </c>
      <c r="AF49" s="263">
        <f t="shared" si="13"/>
        <v>0</v>
      </c>
      <c r="AG49" s="255"/>
      <c r="AI49" s="154">
        <f t="shared" si="14"/>
        <v>0</v>
      </c>
      <c r="AJ49" s="157">
        <f t="shared" si="15"/>
        <v>0</v>
      </c>
      <c r="AK49" s="148">
        <f t="shared" si="16"/>
        <v>0</v>
      </c>
      <c r="AM49" s="161">
        <f t="shared" si="17"/>
        <v>0</v>
      </c>
      <c r="AN49" s="151">
        <f t="shared" si="18"/>
        <v>0</v>
      </c>
      <c r="AP49" s="21">
        <f t="shared" si="19"/>
        <v>1</v>
      </c>
      <c r="AQ49" s="170">
        <f t="shared" si="20"/>
        <v>0</v>
      </c>
      <c r="AR49" s="264">
        <f t="shared" si="21"/>
        <v>0</v>
      </c>
    </row>
    <row r="50" spans="2:44" hidden="1">
      <c r="B50" s="21">
        <f>'MaterialCosts Summary'!B50</f>
        <v>42</v>
      </c>
      <c r="C50" s="26"/>
      <c r="D50" s="23">
        <f>'MaterialCosts Summary'!D50</f>
        <v>0</v>
      </c>
      <c r="E50" s="257">
        <f>'MaterialCosts Summary'!E50</f>
        <v>0</v>
      </c>
      <c r="F50" s="258">
        <v>0</v>
      </c>
      <c r="G50" s="258">
        <v>0</v>
      </c>
      <c r="H50" s="258">
        <v>0</v>
      </c>
      <c r="I50" s="259">
        <f t="shared" si="9"/>
        <v>0</v>
      </c>
      <c r="J50" s="259"/>
      <c r="K50" s="260">
        <f t="shared" si="10"/>
        <v>0</v>
      </c>
      <c r="L50" s="259">
        <v>0</v>
      </c>
      <c r="M50" s="260">
        <f t="shared" si="0"/>
        <v>0</v>
      </c>
      <c r="N50" s="259">
        <v>0</v>
      </c>
      <c r="O50" s="260">
        <f t="shared" si="1"/>
        <v>0</v>
      </c>
      <c r="P50" s="259">
        <f t="shared" si="2"/>
        <v>0</v>
      </c>
      <c r="Q50" s="259"/>
      <c r="R50" s="260">
        <f t="shared" si="3"/>
        <v>0</v>
      </c>
      <c r="S50" s="259">
        <f t="shared" si="4"/>
        <v>0</v>
      </c>
      <c r="T50" s="259"/>
      <c r="U50" s="260">
        <f t="shared" si="5"/>
        <v>0</v>
      </c>
      <c r="V50" s="259">
        <f t="shared" si="6"/>
        <v>0</v>
      </c>
      <c r="W50" s="259"/>
      <c r="X50" s="260">
        <f t="shared" si="7"/>
        <v>0</v>
      </c>
      <c r="Y50" s="259">
        <v>0</v>
      </c>
      <c r="Z50" s="260">
        <f t="shared" si="8"/>
        <v>0</v>
      </c>
      <c r="AA50" s="259">
        <v>0</v>
      </c>
      <c r="AB50" s="24">
        <v>1</v>
      </c>
      <c r="AC50" s="261">
        <f t="shared" si="11"/>
        <v>0</v>
      </c>
      <c r="AD50" s="299">
        <f t="shared" si="12"/>
        <v>0</v>
      </c>
      <c r="AE50" s="262">
        <f t="shared" si="13"/>
        <v>0</v>
      </c>
      <c r="AF50" s="263">
        <f t="shared" si="13"/>
        <v>0</v>
      </c>
      <c r="AG50" s="255"/>
      <c r="AI50" s="154">
        <f t="shared" si="14"/>
        <v>0</v>
      </c>
      <c r="AJ50" s="157">
        <f t="shared" si="15"/>
        <v>0</v>
      </c>
      <c r="AK50" s="148">
        <f t="shared" si="16"/>
        <v>0</v>
      </c>
      <c r="AM50" s="161">
        <f t="shared" si="17"/>
        <v>0</v>
      </c>
      <c r="AN50" s="151">
        <f t="shared" si="18"/>
        <v>0</v>
      </c>
      <c r="AP50" s="21">
        <f t="shared" si="19"/>
        <v>1</v>
      </c>
      <c r="AQ50" s="170">
        <f t="shared" si="20"/>
        <v>0</v>
      </c>
      <c r="AR50" s="264">
        <f t="shared" si="21"/>
        <v>0</v>
      </c>
    </row>
    <row r="51" spans="2:44" hidden="1">
      <c r="B51" s="21">
        <f>'MaterialCosts Summary'!B51</f>
        <v>43</v>
      </c>
      <c r="C51" s="26"/>
      <c r="D51" s="23">
        <f>'MaterialCosts Summary'!D51</f>
        <v>0</v>
      </c>
      <c r="E51" s="257">
        <f>'MaterialCosts Summary'!E51</f>
        <v>0</v>
      </c>
      <c r="F51" s="258">
        <v>0</v>
      </c>
      <c r="G51" s="258">
        <v>0</v>
      </c>
      <c r="H51" s="258">
        <v>0</v>
      </c>
      <c r="I51" s="259">
        <f t="shared" si="9"/>
        <v>0</v>
      </c>
      <c r="J51" s="259"/>
      <c r="K51" s="260">
        <f t="shared" si="10"/>
        <v>0</v>
      </c>
      <c r="L51" s="259">
        <v>0</v>
      </c>
      <c r="M51" s="260">
        <f t="shared" si="0"/>
        <v>0</v>
      </c>
      <c r="N51" s="259">
        <v>0</v>
      </c>
      <c r="O51" s="260">
        <f t="shared" si="1"/>
        <v>0</v>
      </c>
      <c r="P51" s="259">
        <f t="shared" si="2"/>
        <v>0</v>
      </c>
      <c r="Q51" s="259"/>
      <c r="R51" s="260">
        <f t="shared" si="3"/>
        <v>0</v>
      </c>
      <c r="S51" s="259">
        <f t="shared" si="4"/>
        <v>0</v>
      </c>
      <c r="T51" s="259"/>
      <c r="U51" s="260">
        <f t="shared" si="5"/>
        <v>0</v>
      </c>
      <c r="V51" s="259">
        <f t="shared" si="6"/>
        <v>0</v>
      </c>
      <c r="W51" s="259"/>
      <c r="X51" s="260">
        <f t="shared" si="7"/>
        <v>0</v>
      </c>
      <c r="Y51" s="259">
        <v>0</v>
      </c>
      <c r="Z51" s="260">
        <f t="shared" si="8"/>
        <v>0</v>
      </c>
      <c r="AA51" s="259">
        <v>0</v>
      </c>
      <c r="AB51" s="24">
        <v>1</v>
      </c>
      <c r="AC51" s="261">
        <f t="shared" si="11"/>
        <v>0</v>
      </c>
      <c r="AD51" s="300">
        <f t="shared" si="12"/>
        <v>0</v>
      </c>
      <c r="AE51" s="262">
        <f t="shared" si="13"/>
        <v>0</v>
      </c>
      <c r="AF51" s="263">
        <f t="shared" si="13"/>
        <v>0</v>
      </c>
      <c r="AG51" s="255"/>
      <c r="AI51" s="154">
        <f t="shared" si="14"/>
        <v>0</v>
      </c>
      <c r="AJ51" s="157">
        <f t="shared" si="15"/>
        <v>0</v>
      </c>
      <c r="AK51" s="148">
        <f t="shared" si="16"/>
        <v>0</v>
      </c>
      <c r="AM51" s="161">
        <f t="shared" si="17"/>
        <v>0</v>
      </c>
      <c r="AN51" s="151">
        <f t="shared" si="18"/>
        <v>0</v>
      </c>
      <c r="AP51" s="21">
        <f t="shared" si="19"/>
        <v>1</v>
      </c>
      <c r="AQ51" s="170">
        <f t="shared" si="20"/>
        <v>0</v>
      </c>
      <c r="AR51" s="264">
        <f t="shared" si="21"/>
        <v>0</v>
      </c>
    </row>
    <row r="52" spans="2:44" hidden="1">
      <c r="B52" s="21">
        <f>'MaterialCosts Summary'!B52</f>
        <v>44</v>
      </c>
      <c r="C52" s="26"/>
      <c r="D52" s="23">
        <f>'MaterialCosts Summary'!D52</f>
        <v>0</v>
      </c>
      <c r="E52" s="257">
        <f>'MaterialCosts Summary'!E52</f>
        <v>0</v>
      </c>
      <c r="F52" s="258">
        <v>0</v>
      </c>
      <c r="G52" s="258">
        <v>0</v>
      </c>
      <c r="H52" s="258">
        <v>0</v>
      </c>
      <c r="I52" s="259">
        <f t="shared" si="9"/>
        <v>0</v>
      </c>
      <c r="J52" s="259"/>
      <c r="K52" s="260">
        <f t="shared" si="10"/>
        <v>0</v>
      </c>
      <c r="L52" s="259">
        <v>0</v>
      </c>
      <c r="M52" s="260">
        <f t="shared" si="0"/>
        <v>0</v>
      </c>
      <c r="N52" s="259">
        <v>0</v>
      </c>
      <c r="O52" s="260">
        <f t="shared" si="1"/>
        <v>0</v>
      </c>
      <c r="P52" s="259">
        <f t="shared" si="2"/>
        <v>0</v>
      </c>
      <c r="Q52" s="259"/>
      <c r="R52" s="260">
        <f t="shared" si="3"/>
        <v>0</v>
      </c>
      <c r="S52" s="259">
        <f t="shared" si="4"/>
        <v>0</v>
      </c>
      <c r="T52" s="259"/>
      <c r="U52" s="260">
        <f t="shared" si="5"/>
        <v>0</v>
      </c>
      <c r="V52" s="259">
        <f t="shared" si="6"/>
        <v>0</v>
      </c>
      <c r="W52" s="259"/>
      <c r="X52" s="260">
        <f t="shared" si="7"/>
        <v>0</v>
      </c>
      <c r="Y52" s="259">
        <v>0</v>
      </c>
      <c r="Z52" s="260">
        <f t="shared" si="8"/>
        <v>0</v>
      </c>
      <c r="AA52" s="259">
        <v>0</v>
      </c>
      <c r="AB52" s="24">
        <v>1</v>
      </c>
      <c r="AC52" s="261">
        <f t="shared" si="11"/>
        <v>0</v>
      </c>
      <c r="AD52" s="300">
        <f t="shared" si="12"/>
        <v>0</v>
      </c>
      <c r="AE52" s="262">
        <f t="shared" si="13"/>
        <v>0</v>
      </c>
      <c r="AF52" s="263">
        <f t="shared" si="13"/>
        <v>0</v>
      </c>
      <c r="AG52" s="255"/>
      <c r="AI52" s="154">
        <f t="shared" si="14"/>
        <v>0</v>
      </c>
      <c r="AJ52" s="157">
        <f t="shared" si="15"/>
        <v>0</v>
      </c>
      <c r="AK52" s="148">
        <f t="shared" si="16"/>
        <v>0</v>
      </c>
      <c r="AM52" s="161">
        <f t="shared" si="17"/>
        <v>0</v>
      </c>
      <c r="AN52" s="151">
        <f t="shared" si="18"/>
        <v>0</v>
      </c>
      <c r="AP52" s="21">
        <f t="shared" si="19"/>
        <v>1</v>
      </c>
      <c r="AQ52" s="170">
        <f t="shared" si="20"/>
        <v>0</v>
      </c>
      <c r="AR52" s="264">
        <f t="shared" si="21"/>
        <v>0</v>
      </c>
    </row>
    <row r="53" spans="2:44" hidden="1">
      <c r="B53" s="21">
        <f>'MaterialCosts Summary'!B53</f>
        <v>45</v>
      </c>
      <c r="C53" s="26"/>
      <c r="D53" s="23">
        <f>'MaterialCosts Summary'!D53</f>
        <v>0</v>
      </c>
      <c r="E53" s="257">
        <f>'MaterialCosts Summary'!E53</f>
        <v>0</v>
      </c>
      <c r="F53" s="258">
        <v>0</v>
      </c>
      <c r="G53" s="258">
        <v>0</v>
      </c>
      <c r="H53" s="258">
        <v>0</v>
      </c>
      <c r="I53" s="259">
        <f t="shared" si="9"/>
        <v>0</v>
      </c>
      <c r="J53" s="259"/>
      <c r="K53" s="260">
        <f t="shared" si="10"/>
        <v>0</v>
      </c>
      <c r="L53" s="259">
        <v>0</v>
      </c>
      <c r="M53" s="260">
        <f t="shared" si="0"/>
        <v>0</v>
      </c>
      <c r="N53" s="259">
        <v>0</v>
      </c>
      <c r="O53" s="260">
        <f t="shared" si="1"/>
        <v>0</v>
      </c>
      <c r="P53" s="259">
        <f t="shared" si="2"/>
        <v>0</v>
      </c>
      <c r="Q53" s="259"/>
      <c r="R53" s="260">
        <f t="shared" si="3"/>
        <v>0</v>
      </c>
      <c r="S53" s="259">
        <f t="shared" si="4"/>
        <v>0</v>
      </c>
      <c r="T53" s="259"/>
      <c r="U53" s="260">
        <f t="shared" si="5"/>
        <v>0</v>
      </c>
      <c r="V53" s="259">
        <f t="shared" si="6"/>
        <v>0</v>
      </c>
      <c r="W53" s="259"/>
      <c r="X53" s="260">
        <f t="shared" si="7"/>
        <v>0</v>
      </c>
      <c r="Y53" s="259">
        <v>0</v>
      </c>
      <c r="Z53" s="260">
        <f t="shared" si="8"/>
        <v>0</v>
      </c>
      <c r="AA53" s="259">
        <v>0</v>
      </c>
      <c r="AB53" s="24">
        <v>1</v>
      </c>
      <c r="AC53" s="261">
        <f t="shared" si="11"/>
        <v>0</v>
      </c>
      <c r="AD53" s="298">
        <f t="shared" si="12"/>
        <v>0</v>
      </c>
      <c r="AE53" s="262">
        <f t="shared" si="13"/>
        <v>0</v>
      </c>
      <c r="AF53" s="263">
        <f t="shared" si="13"/>
        <v>0</v>
      </c>
      <c r="AG53" s="255"/>
      <c r="AI53" s="154">
        <f t="shared" si="14"/>
        <v>0</v>
      </c>
      <c r="AJ53" s="157">
        <f t="shared" si="15"/>
        <v>0</v>
      </c>
      <c r="AK53" s="148">
        <f t="shared" si="16"/>
        <v>0</v>
      </c>
      <c r="AM53" s="161">
        <f t="shared" si="17"/>
        <v>0</v>
      </c>
      <c r="AN53" s="151">
        <f t="shared" si="18"/>
        <v>0</v>
      </c>
      <c r="AP53" s="21">
        <f t="shared" si="19"/>
        <v>1</v>
      </c>
      <c r="AQ53" s="170">
        <f t="shared" si="20"/>
        <v>0</v>
      </c>
      <c r="AR53" s="264">
        <f t="shared" si="21"/>
        <v>0</v>
      </c>
    </row>
    <row r="54" spans="2:44" hidden="1">
      <c r="B54" s="21">
        <f>'MaterialCosts Summary'!B54</f>
        <v>46</v>
      </c>
      <c r="C54" s="26"/>
      <c r="D54" s="23">
        <f>'MaterialCosts Summary'!D54</f>
        <v>0</v>
      </c>
      <c r="E54" s="257">
        <f>'MaterialCosts Summary'!E54</f>
        <v>0</v>
      </c>
      <c r="F54" s="258">
        <v>0</v>
      </c>
      <c r="G54" s="258">
        <v>0</v>
      </c>
      <c r="H54" s="258">
        <v>0</v>
      </c>
      <c r="I54" s="259">
        <f t="shared" si="9"/>
        <v>0</v>
      </c>
      <c r="J54" s="259"/>
      <c r="K54" s="260">
        <f t="shared" si="10"/>
        <v>0</v>
      </c>
      <c r="L54" s="259">
        <v>0</v>
      </c>
      <c r="M54" s="260">
        <f t="shared" si="0"/>
        <v>0</v>
      </c>
      <c r="N54" s="259">
        <v>0</v>
      </c>
      <c r="O54" s="260">
        <f t="shared" si="1"/>
        <v>0</v>
      </c>
      <c r="P54" s="259">
        <f t="shared" si="2"/>
        <v>0</v>
      </c>
      <c r="Q54" s="259"/>
      <c r="R54" s="260">
        <f t="shared" si="3"/>
        <v>0</v>
      </c>
      <c r="S54" s="259">
        <f t="shared" si="4"/>
        <v>0</v>
      </c>
      <c r="T54" s="259"/>
      <c r="U54" s="260">
        <f t="shared" si="5"/>
        <v>0</v>
      </c>
      <c r="V54" s="259">
        <f t="shared" si="6"/>
        <v>0</v>
      </c>
      <c r="W54" s="259"/>
      <c r="X54" s="260">
        <f t="shared" si="7"/>
        <v>0</v>
      </c>
      <c r="Y54" s="259">
        <v>0</v>
      </c>
      <c r="Z54" s="260">
        <f t="shared" si="8"/>
        <v>0</v>
      </c>
      <c r="AA54" s="259">
        <v>0</v>
      </c>
      <c r="AB54" s="24">
        <v>1</v>
      </c>
      <c r="AC54" s="261">
        <f t="shared" si="11"/>
        <v>0</v>
      </c>
      <c r="AD54" s="299">
        <f t="shared" si="12"/>
        <v>0</v>
      </c>
      <c r="AE54" s="262">
        <f t="shared" si="13"/>
        <v>0</v>
      </c>
      <c r="AF54" s="263">
        <f t="shared" si="13"/>
        <v>0</v>
      </c>
      <c r="AG54" s="255"/>
      <c r="AI54" s="154">
        <f t="shared" si="14"/>
        <v>0</v>
      </c>
      <c r="AJ54" s="157">
        <f t="shared" si="15"/>
        <v>0</v>
      </c>
      <c r="AK54" s="148">
        <f t="shared" si="16"/>
        <v>0</v>
      </c>
      <c r="AM54" s="161">
        <f t="shared" si="17"/>
        <v>0</v>
      </c>
      <c r="AN54" s="151">
        <f t="shared" si="18"/>
        <v>0</v>
      </c>
      <c r="AP54" s="21">
        <f t="shared" si="19"/>
        <v>1</v>
      </c>
      <c r="AQ54" s="170">
        <f t="shared" si="20"/>
        <v>0</v>
      </c>
      <c r="AR54" s="264">
        <f t="shared" si="21"/>
        <v>0</v>
      </c>
    </row>
    <row r="55" spans="2:44" hidden="1">
      <c r="B55" s="21">
        <f>'MaterialCosts Summary'!B55</f>
        <v>47</v>
      </c>
      <c r="C55" s="26"/>
      <c r="D55" s="23">
        <f>'MaterialCosts Summary'!D55</f>
        <v>0</v>
      </c>
      <c r="E55" s="257">
        <f>'MaterialCosts Summary'!E55</f>
        <v>0</v>
      </c>
      <c r="F55" s="258">
        <v>0</v>
      </c>
      <c r="G55" s="258">
        <v>0</v>
      </c>
      <c r="H55" s="258">
        <v>0</v>
      </c>
      <c r="I55" s="259">
        <f t="shared" si="9"/>
        <v>0</v>
      </c>
      <c r="J55" s="259"/>
      <c r="K55" s="260">
        <f t="shared" si="10"/>
        <v>0</v>
      </c>
      <c r="L55" s="259">
        <v>0</v>
      </c>
      <c r="M55" s="260">
        <f t="shared" si="0"/>
        <v>0</v>
      </c>
      <c r="N55" s="259">
        <v>0</v>
      </c>
      <c r="O55" s="260">
        <f t="shared" si="1"/>
        <v>0</v>
      </c>
      <c r="P55" s="259">
        <f t="shared" si="2"/>
        <v>0</v>
      </c>
      <c r="Q55" s="259"/>
      <c r="R55" s="260">
        <f t="shared" si="3"/>
        <v>0</v>
      </c>
      <c r="S55" s="259">
        <f t="shared" si="4"/>
        <v>0</v>
      </c>
      <c r="T55" s="259"/>
      <c r="U55" s="260">
        <f t="shared" si="5"/>
        <v>0</v>
      </c>
      <c r="V55" s="259">
        <f t="shared" si="6"/>
        <v>0</v>
      </c>
      <c r="W55" s="259"/>
      <c r="X55" s="260">
        <f t="shared" si="7"/>
        <v>0</v>
      </c>
      <c r="Y55" s="259">
        <v>0</v>
      </c>
      <c r="Z55" s="260">
        <f t="shared" si="8"/>
        <v>0</v>
      </c>
      <c r="AA55" s="259">
        <v>0</v>
      </c>
      <c r="AB55" s="24">
        <v>1</v>
      </c>
      <c r="AC55" s="261">
        <f t="shared" si="11"/>
        <v>0</v>
      </c>
      <c r="AD55" s="300">
        <f t="shared" si="12"/>
        <v>0</v>
      </c>
      <c r="AE55" s="262">
        <f t="shared" si="13"/>
        <v>0</v>
      </c>
      <c r="AF55" s="263">
        <f t="shared" si="13"/>
        <v>0</v>
      </c>
      <c r="AG55" s="255"/>
      <c r="AI55" s="154">
        <f t="shared" si="14"/>
        <v>0</v>
      </c>
      <c r="AJ55" s="157">
        <f t="shared" si="15"/>
        <v>0</v>
      </c>
      <c r="AK55" s="148">
        <f t="shared" si="16"/>
        <v>0</v>
      </c>
      <c r="AM55" s="161">
        <f t="shared" si="17"/>
        <v>0</v>
      </c>
      <c r="AN55" s="151">
        <f t="shared" si="18"/>
        <v>0</v>
      </c>
      <c r="AP55" s="21">
        <f t="shared" si="19"/>
        <v>1</v>
      </c>
      <c r="AQ55" s="170">
        <f t="shared" si="20"/>
        <v>0</v>
      </c>
      <c r="AR55" s="264">
        <f t="shared" si="21"/>
        <v>0</v>
      </c>
    </row>
    <row r="56" spans="2:44" hidden="1">
      <c r="B56" s="21">
        <f>'MaterialCosts Summary'!B56</f>
        <v>48</v>
      </c>
      <c r="C56" s="26"/>
      <c r="D56" s="23">
        <f>'MaterialCosts Summary'!D56</f>
        <v>0</v>
      </c>
      <c r="E56" s="257">
        <f>'MaterialCosts Summary'!E56</f>
        <v>0</v>
      </c>
      <c r="F56" s="258">
        <v>0</v>
      </c>
      <c r="G56" s="258">
        <v>0</v>
      </c>
      <c r="H56" s="258">
        <v>0</v>
      </c>
      <c r="I56" s="259">
        <f t="shared" si="9"/>
        <v>0</v>
      </c>
      <c r="J56" s="259"/>
      <c r="K56" s="260">
        <f t="shared" si="10"/>
        <v>0</v>
      </c>
      <c r="L56" s="259">
        <v>0</v>
      </c>
      <c r="M56" s="260">
        <f t="shared" si="0"/>
        <v>0</v>
      </c>
      <c r="N56" s="259">
        <v>0</v>
      </c>
      <c r="O56" s="260">
        <f t="shared" si="1"/>
        <v>0</v>
      </c>
      <c r="P56" s="259">
        <f t="shared" si="2"/>
        <v>0</v>
      </c>
      <c r="Q56" s="259"/>
      <c r="R56" s="260">
        <f t="shared" si="3"/>
        <v>0</v>
      </c>
      <c r="S56" s="259">
        <f t="shared" si="4"/>
        <v>0</v>
      </c>
      <c r="T56" s="259"/>
      <c r="U56" s="260">
        <f t="shared" si="5"/>
        <v>0</v>
      </c>
      <c r="V56" s="259">
        <f t="shared" si="6"/>
        <v>0</v>
      </c>
      <c r="W56" s="259"/>
      <c r="X56" s="260">
        <f t="shared" si="7"/>
        <v>0</v>
      </c>
      <c r="Y56" s="259">
        <v>0</v>
      </c>
      <c r="Z56" s="260">
        <f t="shared" si="8"/>
        <v>0</v>
      </c>
      <c r="AA56" s="259">
        <v>0</v>
      </c>
      <c r="AB56" s="24">
        <v>1</v>
      </c>
      <c r="AC56" s="261">
        <f t="shared" si="11"/>
        <v>0</v>
      </c>
      <c r="AD56" s="300">
        <f t="shared" si="12"/>
        <v>0</v>
      </c>
      <c r="AE56" s="262">
        <f t="shared" si="13"/>
        <v>0</v>
      </c>
      <c r="AF56" s="263">
        <f t="shared" si="13"/>
        <v>0</v>
      </c>
      <c r="AG56" s="255"/>
      <c r="AI56" s="154">
        <f t="shared" si="14"/>
        <v>0</v>
      </c>
      <c r="AJ56" s="157">
        <f t="shared" si="15"/>
        <v>0</v>
      </c>
      <c r="AK56" s="148">
        <f t="shared" si="16"/>
        <v>0</v>
      </c>
      <c r="AM56" s="161">
        <f t="shared" si="17"/>
        <v>0</v>
      </c>
      <c r="AN56" s="151">
        <f t="shared" si="18"/>
        <v>0</v>
      </c>
      <c r="AP56" s="21">
        <f t="shared" si="19"/>
        <v>1</v>
      </c>
      <c r="AQ56" s="170">
        <f t="shared" si="20"/>
        <v>0</v>
      </c>
      <c r="AR56" s="264">
        <f t="shared" si="21"/>
        <v>0</v>
      </c>
    </row>
    <row r="57" spans="2:44" hidden="1">
      <c r="B57" s="21">
        <f>'MaterialCosts Summary'!B57</f>
        <v>49</v>
      </c>
      <c r="C57" s="26"/>
      <c r="D57" s="23">
        <f>'MaterialCosts Summary'!D57</f>
        <v>0</v>
      </c>
      <c r="E57" s="257">
        <f>'MaterialCosts Summary'!E57</f>
        <v>0</v>
      </c>
      <c r="F57" s="258">
        <v>0</v>
      </c>
      <c r="G57" s="258">
        <v>0</v>
      </c>
      <c r="H57" s="258">
        <v>0</v>
      </c>
      <c r="I57" s="259">
        <f t="shared" si="9"/>
        <v>0</v>
      </c>
      <c r="J57" s="259"/>
      <c r="K57" s="260">
        <f t="shared" si="10"/>
        <v>0</v>
      </c>
      <c r="L57" s="259">
        <v>0</v>
      </c>
      <c r="M57" s="260">
        <f t="shared" si="0"/>
        <v>0</v>
      </c>
      <c r="N57" s="259">
        <v>0</v>
      </c>
      <c r="O57" s="260">
        <f t="shared" si="1"/>
        <v>0</v>
      </c>
      <c r="P57" s="259">
        <f t="shared" si="2"/>
        <v>0</v>
      </c>
      <c r="Q57" s="259"/>
      <c r="R57" s="260">
        <f t="shared" si="3"/>
        <v>0</v>
      </c>
      <c r="S57" s="259">
        <f t="shared" si="4"/>
        <v>0</v>
      </c>
      <c r="T57" s="259"/>
      <c r="U57" s="260">
        <f t="shared" si="5"/>
        <v>0</v>
      </c>
      <c r="V57" s="259">
        <f t="shared" si="6"/>
        <v>0</v>
      </c>
      <c r="W57" s="259"/>
      <c r="X57" s="260">
        <f t="shared" si="7"/>
        <v>0</v>
      </c>
      <c r="Y57" s="259">
        <v>0</v>
      </c>
      <c r="Z57" s="260">
        <f t="shared" si="8"/>
        <v>0</v>
      </c>
      <c r="AA57" s="259">
        <v>0</v>
      </c>
      <c r="AB57" s="24">
        <v>1</v>
      </c>
      <c r="AC57" s="261">
        <f t="shared" si="11"/>
        <v>0</v>
      </c>
      <c r="AD57" s="298">
        <f t="shared" si="12"/>
        <v>0</v>
      </c>
      <c r="AE57" s="262">
        <f t="shared" si="13"/>
        <v>0</v>
      </c>
      <c r="AF57" s="263">
        <f t="shared" si="13"/>
        <v>0</v>
      </c>
      <c r="AG57" s="255"/>
      <c r="AI57" s="154">
        <f t="shared" si="14"/>
        <v>0</v>
      </c>
      <c r="AJ57" s="157">
        <f t="shared" si="15"/>
        <v>0</v>
      </c>
      <c r="AK57" s="148">
        <f t="shared" si="16"/>
        <v>0</v>
      </c>
      <c r="AM57" s="161">
        <f t="shared" si="17"/>
        <v>0</v>
      </c>
      <c r="AN57" s="151">
        <f t="shared" si="18"/>
        <v>0</v>
      </c>
      <c r="AP57" s="21">
        <f t="shared" si="19"/>
        <v>1</v>
      </c>
      <c r="AQ57" s="170">
        <f t="shared" si="20"/>
        <v>0</v>
      </c>
      <c r="AR57" s="264">
        <f t="shared" si="21"/>
        <v>0</v>
      </c>
    </row>
    <row r="58" spans="2:44" hidden="1">
      <c r="B58" s="21">
        <f>'MaterialCosts Summary'!B58</f>
        <v>50</v>
      </c>
      <c r="C58" s="26"/>
      <c r="D58" s="23">
        <f>'MaterialCosts Summary'!D58</f>
        <v>0</v>
      </c>
      <c r="E58" s="257">
        <f>'MaterialCosts Summary'!E58</f>
        <v>0</v>
      </c>
      <c r="F58" s="258">
        <v>0</v>
      </c>
      <c r="G58" s="258">
        <v>0</v>
      </c>
      <c r="H58" s="258">
        <v>0</v>
      </c>
      <c r="I58" s="259">
        <f t="shared" si="9"/>
        <v>0</v>
      </c>
      <c r="J58" s="259"/>
      <c r="K58" s="260">
        <f t="shared" si="10"/>
        <v>0</v>
      </c>
      <c r="L58" s="259">
        <v>0</v>
      </c>
      <c r="M58" s="260">
        <f t="shared" si="0"/>
        <v>0</v>
      </c>
      <c r="N58" s="259">
        <v>0</v>
      </c>
      <c r="O58" s="260">
        <f t="shared" si="1"/>
        <v>0</v>
      </c>
      <c r="P58" s="259">
        <f t="shared" si="2"/>
        <v>0</v>
      </c>
      <c r="Q58" s="259"/>
      <c r="R58" s="260">
        <f t="shared" si="3"/>
        <v>0</v>
      </c>
      <c r="S58" s="259">
        <f t="shared" si="4"/>
        <v>0</v>
      </c>
      <c r="T58" s="259"/>
      <c r="U58" s="260">
        <f t="shared" si="5"/>
        <v>0</v>
      </c>
      <c r="V58" s="259">
        <f t="shared" si="6"/>
        <v>0</v>
      </c>
      <c r="W58" s="259"/>
      <c r="X58" s="260">
        <f t="shared" si="7"/>
        <v>0</v>
      </c>
      <c r="Y58" s="259">
        <v>0</v>
      </c>
      <c r="Z58" s="260">
        <f t="shared" si="8"/>
        <v>0</v>
      </c>
      <c r="AA58" s="259">
        <v>0</v>
      </c>
      <c r="AB58" s="24">
        <v>1</v>
      </c>
      <c r="AC58" s="261">
        <f t="shared" si="11"/>
        <v>0</v>
      </c>
      <c r="AD58" s="299">
        <f t="shared" si="12"/>
        <v>0</v>
      </c>
      <c r="AE58" s="262">
        <f t="shared" si="13"/>
        <v>0</v>
      </c>
      <c r="AF58" s="263">
        <f t="shared" si="13"/>
        <v>0</v>
      </c>
      <c r="AG58" s="255"/>
      <c r="AI58" s="154">
        <f t="shared" si="14"/>
        <v>0</v>
      </c>
      <c r="AJ58" s="157">
        <f t="shared" si="15"/>
        <v>0</v>
      </c>
      <c r="AK58" s="148">
        <f t="shared" si="16"/>
        <v>0</v>
      </c>
      <c r="AM58" s="161">
        <f t="shared" si="17"/>
        <v>0</v>
      </c>
      <c r="AN58" s="151">
        <f t="shared" si="18"/>
        <v>0</v>
      </c>
      <c r="AP58" s="21">
        <f t="shared" si="19"/>
        <v>1</v>
      </c>
      <c r="AQ58" s="170">
        <f t="shared" si="20"/>
        <v>0</v>
      </c>
      <c r="AR58" s="264">
        <f t="shared" si="21"/>
        <v>0</v>
      </c>
    </row>
    <row r="59" spans="2:44" hidden="1">
      <c r="B59" s="21">
        <f>'MaterialCosts Summary'!B59</f>
        <v>51</v>
      </c>
      <c r="C59" s="26"/>
      <c r="D59" s="23">
        <f>'MaterialCosts Summary'!D59</f>
        <v>0</v>
      </c>
      <c r="E59" s="257">
        <f>'MaterialCosts Summary'!E59</f>
        <v>0</v>
      </c>
      <c r="F59" s="258">
        <v>0</v>
      </c>
      <c r="G59" s="258">
        <v>0</v>
      </c>
      <c r="H59" s="258">
        <v>0</v>
      </c>
      <c r="I59" s="259">
        <f t="shared" si="9"/>
        <v>0</v>
      </c>
      <c r="J59" s="259"/>
      <c r="K59" s="260">
        <f t="shared" si="10"/>
        <v>0</v>
      </c>
      <c r="L59" s="259">
        <v>0</v>
      </c>
      <c r="M59" s="260">
        <f t="shared" si="0"/>
        <v>0</v>
      </c>
      <c r="N59" s="259">
        <v>0</v>
      </c>
      <c r="O59" s="260">
        <f t="shared" si="1"/>
        <v>0</v>
      </c>
      <c r="P59" s="259">
        <f t="shared" si="2"/>
        <v>0</v>
      </c>
      <c r="Q59" s="259"/>
      <c r="R59" s="260">
        <f t="shared" si="3"/>
        <v>0</v>
      </c>
      <c r="S59" s="259">
        <f t="shared" si="4"/>
        <v>0</v>
      </c>
      <c r="T59" s="259"/>
      <c r="U59" s="260">
        <f t="shared" si="5"/>
        <v>0</v>
      </c>
      <c r="V59" s="259">
        <f t="shared" si="6"/>
        <v>0</v>
      </c>
      <c r="W59" s="259"/>
      <c r="X59" s="260">
        <f t="shared" si="7"/>
        <v>0</v>
      </c>
      <c r="Y59" s="259">
        <v>0</v>
      </c>
      <c r="Z59" s="260">
        <f t="shared" si="8"/>
        <v>0</v>
      </c>
      <c r="AA59" s="259">
        <v>0</v>
      </c>
      <c r="AB59" s="24">
        <v>1</v>
      </c>
      <c r="AC59" s="261">
        <f t="shared" si="11"/>
        <v>0</v>
      </c>
      <c r="AD59" s="300">
        <f t="shared" si="12"/>
        <v>0</v>
      </c>
      <c r="AE59" s="262">
        <f t="shared" si="13"/>
        <v>0</v>
      </c>
      <c r="AF59" s="263">
        <f t="shared" si="13"/>
        <v>0</v>
      </c>
      <c r="AG59" s="255"/>
      <c r="AI59" s="154">
        <f t="shared" si="14"/>
        <v>0</v>
      </c>
      <c r="AJ59" s="157">
        <f t="shared" si="15"/>
        <v>0</v>
      </c>
      <c r="AK59" s="148">
        <f t="shared" si="16"/>
        <v>0</v>
      </c>
      <c r="AM59" s="161">
        <f t="shared" si="17"/>
        <v>0</v>
      </c>
      <c r="AN59" s="151">
        <f t="shared" si="18"/>
        <v>0</v>
      </c>
      <c r="AP59" s="21">
        <f t="shared" si="19"/>
        <v>1</v>
      </c>
      <c r="AQ59" s="170">
        <f t="shared" si="20"/>
        <v>0</v>
      </c>
      <c r="AR59" s="264">
        <f t="shared" si="21"/>
        <v>0</v>
      </c>
    </row>
    <row r="60" spans="2:44" hidden="1">
      <c r="B60" s="21">
        <f>'MaterialCosts Summary'!B60</f>
        <v>52</v>
      </c>
      <c r="C60" s="26"/>
      <c r="D60" s="23">
        <f>'MaterialCosts Summary'!D60</f>
        <v>0</v>
      </c>
      <c r="E60" s="257">
        <f>'MaterialCosts Summary'!E60</f>
        <v>0</v>
      </c>
      <c r="F60" s="258">
        <v>0</v>
      </c>
      <c r="G60" s="258">
        <v>0</v>
      </c>
      <c r="H60" s="258">
        <v>0</v>
      </c>
      <c r="I60" s="259">
        <f t="shared" si="9"/>
        <v>0</v>
      </c>
      <c r="J60" s="259"/>
      <c r="K60" s="260">
        <f t="shared" si="10"/>
        <v>0</v>
      </c>
      <c r="L60" s="259">
        <v>0</v>
      </c>
      <c r="M60" s="260">
        <f t="shared" si="0"/>
        <v>0</v>
      </c>
      <c r="N60" s="259">
        <v>0</v>
      </c>
      <c r="O60" s="260">
        <f t="shared" si="1"/>
        <v>0</v>
      </c>
      <c r="P60" s="259">
        <f t="shared" si="2"/>
        <v>0</v>
      </c>
      <c r="Q60" s="259"/>
      <c r="R60" s="260">
        <f t="shared" si="3"/>
        <v>0</v>
      </c>
      <c r="S60" s="259">
        <f t="shared" si="4"/>
        <v>0</v>
      </c>
      <c r="T60" s="259"/>
      <c r="U60" s="260">
        <f t="shared" si="5"/>
        <v>0</v>
      </c>
      <c r="V60" s="259">
        <f t="shared" si="6"/>
        <v>0</v>
      </c>
      <c r="W60" s="259"/>
      <c r="X60" s="260">
        <f t="shared" si="7"/>
        <v>0</v>
      </c>
      <c r="Y60" s="259">
        <v>0</v>
      </c>
      <c r="Z60" s="260">
        <f t="shared" si="8"/>
        <v>0</v>
      </c>
      <c r="AA60" s="259">
        <v>0</v>
      </c>
      <c r="AB60" s="24">
        <v>1</v>
      </c>
      <c r="AC60" s="261">
        <f t="shared" si="11"/>
        <v>0</v>
      </c>
      <c r="AD60" s="300">
        <f t="shared" si="12"/>
        <v>0</v>
      </c>
      <c r="AE60" s="262">
        <f t="shared" si="13"/>
        <v>0</v>
      </c>
      <c r="AF60" s="263">
        <f t="shared" si="13"/>
        <v>0</v>
      </c>
      <c r="AG60" s="255"/>
      <c r="AI60" s="154">
        <f t="shared" si="14"/>
        <v>0</v>
      </c>
      <c r="AJ60" s="157">
        <f t="shared" si="15"/>
        <v>0</v>
      </c>
      <c r="AK60" s="148">
        <f t="shared" si="16"/>
        <v>0</v>
      </c>
      <c r="AM60" s="161">
        <f t="shared" si="17"/>
        <v>0</v>
      </c>
      <c r="AN60" s="151">
        <f t="shared" si="18"/>
        <v>0</v>
      </c>
      <c r="AP60" s="21">
        <f t="shared" si="19"/>
        <v>1</v>
      </c>
      <c r="AQ60" s="170">
        <f t="shared" si="20"/>
        <v>0</v>
      </c>
      <c r="AR60" s="264">
        <f t="shared" si="21"/>
        <v>0</v>
      </c>
    </row>
    <row r="61" spans="2:44" hidden="1">
      <c r="B61" s="21">
        <f>'MaterialCosts Summary'!B61</f>
        <v>53</v>
      </c>
      <c r="C61" s="26"/>
      <c r="D61" s="23">
        <f>'MaterialCosts Summary'!D61</f>
        <v>0</v>
      </c>
      <c r="E61" s="257">
        <f>'MaterialCosts Summary'!E61</f>
        <v>0</v>
      </c>
      <c r="F61" s="258">
        <v>0</v>
      </c>
      <c r="G61" s="258">
        <v>0</v>
      </c>
      <c r="H61" s="258">
        <v>0</v>
      </c>
      <c r="I61" s="259">
        <f t="shared" si="9"/>
        <v>0</v>
      </c>
      <c r="J61" s="259"/>
      <c r="K61" s="260">
        <f t="shared" si="10"/>
        <v>0</v>
      </c>
      <c r="L61" s="259">
        <v>0</v>
      </c>
      <c r="M61" s="260">
        <f t="shared" si="0"/>
        <v>0</v>
      </c>
      <c r="N61" s="259">
        <v>0</v>
      </c>
      <c r="O61" s="260">
        <f t="shared" si="1"/>
        <v>0</v>
      </c>
      <c r="P61" s="259">
        <f t="shared" si="2"/>
        <v>0</v>
      </c>
      <c r="Q61" s="259"/>
      <c r="R61" s="260">
        <f t="shared" si="3"/>
        <v>0</v>
      </c>
      <c r="S61" s="259">
        <f t="shared" si="4"/>
        <v>0</v>
      </c>
      <c r="T61" s="259"/>
      <c r="U61" s="260">
        <f t="shared" si="5"/>
        <v>0</v>
      </c>
      <c r="V61" s="259">
        <f t="shared" si="6"/>
        <v>0</v>
      </c>
      <c r="W61" s="259"/>
      <c r="X61" s="260">
        <f t="shared" si="7"/>
        <v>0</v>
      </c>
      <c r="Y61" s="259">
        <v>0</v>
      </c>
      <c r="Z61" s="260">
        <f t="shared" si="8"/>
        <v>0</v>
      </c>
      <c r="AA61" s="259">
        <v>0</v>
      </c>
      <c r="AB61" s="24">
        <v>1</v>
      </c>
      <c r="AC61" s="261">
        <f t="shared" si="11"/>
        <v>0</v>
      </c>
      <c r="AD61" s="298">
        <f t="shared" si="12"/>
        <v>0</v>
      </c>
      <c r="AE61" s="262">
        <f t="shared" si="13"/>
        <v>0</v>
      </c>
      <c r="AF61" s="263">
        <f t="shared" si="13"/>
        <v>0</v>
      </c>
      <c r="AG61" s="255"/>
      <c r="AI61" s="154">
        <f t="shared" si="14"/>
        <v>0</v>
      </c>
      <c r="AJ61" s="157">
        <f t="shared" si="15"/>
        <v>0</v>
      </c>
      <c r="AK61" s="148">
        <f t="shared" si="16"/>
        <v>0</v>
      </c>
      <c r="AM61" s="161">
        <f t="shared" si="17"/>
        <v>0</v>
      </c>
      <c r="AN61" s="151">
        <f t="shared" si="18"/>
        <v>0</v>
      </c>
      <c r="AP61" s="21">
        <f t="shared" si="19"/>
        <v>1</v>
      </c>
      <c r="AQ61" s="170">
        <f t="shared" si="20"/>
        <v>0</v>
      </c>
      <c r="AR61" s="264">
        <f t="shared" si="21"/>
        <v>0</v>
      </c>
    </row>
    <row r="62" spans="2:44" hidden="1">
      <c r="B62" s="21">
        <f>'MaterialCosts Summary'!B62</f>
        <v>54</v>
      </c>
      <c r="C62" s="26"/>
      <c r="D62" s="23">
        <f>'MaterialCosts Summary'!D62</f>
        <v>0</v>
      </c>
      <c r="E62" s="257">
        <f>'MaterialCosts Summary'!E62</f>
        <v>0</v>
      </c>
      <c r="F62" s="258">
        <v>0</v>
      </c>
      <c r="G62" s="258">
        <v>0</v>
      </c>
      <c r="H62" s="258">
        <v>0</v>
      </c>
      <c r="I62" s="259">
        <f t="shared" si="9"/>
        <v>0</v>
      </c>
      <c r="J62" s="259"/>
      <c r="K62" s="260">
        <f t="shared" si="10"/>
        <v>0</v>
      </c>
      <c r="L62" s="259">
        <v>0</v>
      </c>
      <c r="M62" s="260">
        <f t="shared" si="0"/>
        <v>0</v>
      </c>
      <c r="N62" s="259">
        <v>0</v>
      </c>
      <c r="O62" s="260">
        <f t="shared" si="1"/>
        <v>0</v>
      </c>
      <c r="P62" s="259">
        <f t="shared" si="2"/>
        <v>0</v>
      </c>
      <c r="Q62" s="259"/>
      <c r="R62" s="260">
        <f t="shared" si="3"/>
        <v>0</v>
      </c>
      <c r="S62" s="259">
        <f t="shared" si="4"/>
        <v>0</v>
      </c>
      <c r="T62" s="259"/>
      <c r="U62" s="260">
        <f t="shared" si="5"/>
        <v>0</v>
      </c>
      <c r="V62" s="259">
        <f t="shared" si="6"/>
        <v>0</v>
      </c>
      <c r="W62" s="259"/>
      <c r="X62" s="260">
        <f t="shared" si="7"/>
        <v>0</v>
      </c>
      <c r="Y62" s="259">
        <v>0</v>
      </c>
      <c r="Z62" s="260">
        <f t="shared" si="8"/>
        <v>0</v>
      </c>
      <c r="AA62" s="259">
        <v>0</v>
      </c>
      <c r="AB62" s="24">
        <v>1</v>
      </c>
      <c r="AC62" s="261">
        <f t="shared" si="11"/>
        <v>0</v>
      </c>
      <c r="AD62" s="299">
        <f t="shared" si="12"/>
        <v>0</v>
      </c>
      <c r="AE62" s="262">
        <f t="shared" si="13"/>
        <v>0</v>
      </c>
      <c r="AF62" s="263">
        <f t="shared" si="13"/>
        <v>0</v>
      </c>
      <c r="AG62" s="255"/>
      <c r="AI62" s="154">
        <f t="shared" si="14"/>
        <v>0</v>
      </c>
      <c r="AJ62" s="157">
        <f t="shared" si="15"/>
        <v>0</v>
      </c>
      <c r="AK62" s="148">
        <f t="shared" si="16"/>
        <v>0</v>
      </c>
      <c r="AM62" s="161">
        <f t="shared" si="17"/>
        <v>0</v>
      </c>
      <c r="AN62" s="151">
        <f t="shared" si="18"/>
        <v>0</v>
      </c>
      <c r="AP62" s="21">
        <f t="shared" si="19"/>
        <v>1</v>
      </c>
      <c r="AQ62" s="170">
        <f t="shared" si="20"/>
        <v>0</v>
      </c>
      <c r="AR62" s="264">
        <f t="shared" si="21"/>
        <v>0</v>
      </c>
    </row>
    <row r="63" spans="2:44" hidden="1">
      <c r="B63" s="21">
        <f>'MaterialCosts Summary'!B63</f>
        <v>55</v>
      </c>
      <c r="C63" s="26"/>
      <c r="D63" s="23">
        <f>'MaterialCosts Summary'!D63</f>
        <v>0</v>
      </c>
      <c r="E63" s="257">
        <f>'MaterialCosts Summary'!E63</f>
        <v>0</v>
      </c>
      <c r="F63" s="258">
        <v>0</v>
      </c>
      <c r="G63" s="258">
        <v>0</v>
      </c>
      <c r="H63" s="258">
        <v>0</v>
      </c>
      <c r="I63" s="259">
        <f t="shared" si="9"/>
        <v>0</v>
      </c>
      <c r="J63" s="259"/>
      <c r="K63" s="260">
        <f t="shared" si="10"/>
        <v>0</v>
      </c>
      <c r="L63" s="259">
        <v>0</v>
      </c>
      <c r="M63" s="260">
        <f t="shared" si="0"/>
        <v>0</v>
      </c>
      <c r="N63" s="259">
        <v>0</v>
      </c>
      <c r="O63" s="260">
        <f t="shared" si="1"/>
        <v>0</v>
      </c>
      <c r="P63" s="259">
        <f t="shared" si="2"/>
        <v>0</v>
      </c>
      <c r="Q63" s="259"/>
      <c r="R63" s="260">
        <f t="shared" si="3"/>
        <v>0</v>
      </c>
      <c r="S63" s="259">
        <f t="shared" si="4"/>
        <v>0</v>
      </c>
      <c r="T63" s="259"/>
      <c r="U63" s="260">
        <f t="shared" si="5"/>
        <v>0</v>
      </c>
      <c r="V63" s="259">
        <f t="shared" si="6"/>
        <v>0</v>
      </c>
      <c r="W63" s="259"/>
      <c r="X63" s="260">
        <f t="shared" si="7"/>
        <v>0</v>
      </c>
      <c r="Y63" s="259">
        <v>0</v>
      </c>
      <c r="Z63" s="260">
        <f t="shared" si="8"/>
        <v>0</v>
      </c>
      <c r="AA63" s="259">
        <v>0</v>
      </c>
      <c r="AB63" s="24">
        <v>1</v>
      </c>
      <c r="AC63" s="261">
        <f t="shared" si="11"/>
        <v>0</v>
      </c>
      <c r="AD63" s="300">
        <f t="shared" si="12"/>
        <v>0</v>
      </c>
      <c r="AE63" s="262">
        <f t="shared" si="13"/>
        <v>0</v>
      </c>
      <c r="AF63" s="263">
        <f t="shared" si="13"/>
        <v>0</v>
      </c>
      <c r="AG63" s="255"/>
      <c r="AI63" s="154">
        <f t="shared" si="14"/>
        <v>0</v>
      </c>
      <c r="AJ63" s="157">
        <f t="shared" si="15"/>
        <v>0</v>
      </c>
      <c r="AK63" s="148">
        <f t="shared" si="16"/>
        <v>0</v>
      </c>
      <c r="AM63" s="161">
        <f t="shared" si="17"/>
        <v>0</v>
      </c>
      <c r="AN63" s="151">
        <f t="shared" si="18"/>
        <v>0</v>
      </c>
      <c r="AP63" s="21">
        <f t="shared" si="19"/>
        <v>1</v>
      </c>
      <c r="AQ63" s="170">
        <f t="shared" si="20"/>
        <v>0</v>
      </c>
      <c r="AR63" s="264">
        <f t="shared" si="21"/>
        <v>0</v>
      </c>
    </row>
    <row r="64" spans="2:44" hidden="1">
      <c r="B64" s="21">
        <f>'MaterialCosts Summary'!B64</f>
        <v>56</v>
      </c>
      <c r="C64" s="26"/>
      <c r="D64" s="23">
        <f>'MaterialCosts Summary'!D64</f>
        <v>0</v>
      </c>
      <c r="E64" s="257">
        <f>'MaterialCosts Summary'!E64</f>
        <v>0</v>
      </c>
      <c r="F64" s="258">
        <v>0</v>
      </c>
      <c r="G64" s="258">
        <v>0</v>
      </c>
      <c r="H64" s="258">
        <v>0</v>
      </c>
      <c r="I64" s="259">
        <f t="shared" si="9"/>
        <v>0</v>
      </c>
      <c r="J64" s="259"/>
      <c r="K64" s="260">
        <f t="shared" si="10"/>
        <v>0</v>
      </c>
      <c r="L64" s="259">
        <v>0</v>
      </c>
      <c r="M64" s="260">
        <f t="shared" si="0"/>
        <v>0</v>
      </c>
      <c r="N64" s="259">
        <v>0</v>
      </c>
      <c r="O64" s="260">
        <f t="shared" si="1"/>
        <v>0</v>
      </c>
      <c r="P64" s="259">
        <f t="shared" si="2"/>
        <v>0</v>
      </c>
      <c r="Q64" s="259"/>
      <c r="R64" s="260">
        <f t="shared" si="3"/>
        <v>0</v>
      </c>
      <c r="S64" s="259">
        <f t="shared" si="4"/>
        <v>0</v>
      </c>
      <c r="T64" s="259"/>
      <c r="U64" s="260">
        <f t="shared" si="5"/>
        <v>0</v>
      </c>
      <c r="V64" s="259">
        <f t="shared" si="6"/>
        <v>0</v>
      </c>
      <c r="W64" s="259"/>
      <c r="X64" s="260">
        <f t="shared" si="7"/>
        <v>0</v>
      </c>
      <c r="Y64" s="259">
        <v>0</v>
      </c>
      <c r="Z64" s="260">
        <f t="shared" si="8"/>
        <v>0</v>
      </c>
      <c r="AA64" s="259">
        <v>0</v>
      </c>
      <c r="AB64" s="24">
        <v>1</v>
      </c>
      <c r="AC64" s="261">
        <f t="shared" si="11"/>
        <v>0</v>
      </c>
      <c r="AD64" s="300">
        <f t="shared" si="12"/>
        <v>0</v>
      </c>
      <c r="AE64" s="262">
        <f t="shared" si="13"/>
        <v>0</v>
      </c>
      <c r="AF64" s="263">
        <f t="shared" si="13"/>
        <v>0</v>
      </c>
      <c r="AG64" s="255"/>
      <c r="AI64" s="154">
        <f t="shared" si="14"/>
        <v>0</v>
      </c>
      <c r="AJ64" s="157">
        <f t="shared" si="15"/>
        <v>0</v>
      </c>
      <c r="AK64" s="148">
        <f t="shared" si="16"/>
        <v>0</v>
      </c>
      <c r="AM64" s="161">
        <f t="shared" si="17"/>
        <v>0</v>
      </c>
      <c r="AN64" s="151">
        <f t="shared" si="18"/>
        <v>0</v>
      </c>
      <c r="AP64" s="21">
        <f t="shared" si="19"/>
        <v>1</v>
      </c>
      <c r="AQ64" s="170">
        <f t="shared" si="20"/>
        <v>0</v>
      </c>
      <c r="AR64" s="264">
        <f t="shared" si="21"/>
        <v>0</v>
      </c>
    </row>
    <row r="65" spans="2:44" hidden="1">
      <c r="B65" s="21">
        <f>'MaterialCosts Summary'!B65</f>
        <v>57</v>
      </c>
      <c r="C65" s="26"/>
      <c r="D65" s="23">
        <f>'MaterialCosts Summary'!D65</f>
        <v>0</v>
      </c>
      <c r="E65" s="257">
        <f>'MaterialCosts Summary'!E65</f>
        <v>0</v>
      </c>
      <c r="F65" s="258">
        <v>0</v>
      </c>
      <c r="G65" s="258">
        <v>0</v>
      </c>
      <c r="H65" s="258">
        <v>0</v>
      </c>
      <c r="I65" s="259">
        <f t="shared" si="9"/>
        <v>0</v>
      </c>
      <c r="J65" s="259"/>
      <c r="K65" s="260">
        <f t="shared" si="10"/>
        <v>0</v>
      </c>
      <c r="L65" s="259">
        <v>0</v>
      </c>
      <c r="M65" s="260">
        <f t="shared" si="0"/>
        <v>0</v>
      </c>
      <c r="N65" s="259">
        <v>0</v>
      </c>
      <c r="O65" s="260">
        <f t="shared" si="1"/>
        <v>0</v>
      </c>
      <c r="P65" s="259">
        <f t="shared" si="2"/>
        <v>0</v>
      </c>
      <c r="Q65" s="259"/>
      <c r="R65" s="260">
        <f t="shared" si="3"/>
        <v>0</v>
      </c>
      <c r="S65" s="259">
        <f t="shared" si="4"/>
        <v>0</v>
      </c>
      <c r="T65" s="259"/>
      <c r="U65" s="260">
        <f t="shared" si="5"/>
        <v>0</v>
      </c>
      <c r="V65" s="259">
        <f t="shared" si="6"/>
        <v>0</v>
      </c>
      <c r="W65" s="259"/>
      <c r="X65" s="260">
        <f t="shared" si="7"/>
        <v>0</v>
      </c>
      <c r="Y65" s="259">
        <v>0</v>
      </c>
      <c r="Z65" s="260">
        <f t="shared" si="8"/>
        <v>0</v>
      </c>
      <c r="AA65" s="259">
        <v>0</v>
      </c>
      <c r="AB65" s="24">
        <v>1</v>
      </c>
      <c r="AC65" s="261">
        <f t="shared" si="11"/>
        <v>0</v>
      </c>
      <c r="AD65" s="298">
        <f t="shared" si="12"/>
        <v>0</v>
      </c>
      <c r="AE65" s="262">
        <f t="shared" si="13"/>
        <v>0</v>
      </c>
      <c r="AF65" s="263">
        <f t="shared" si="13"/>
        <v>0</v>
      </c>
      <c r="AG65" s="255"/>
      <c r="AI65" s="154">
        <f t="shared" si="14"/>
        <v>0</v>
      </c>
      <c r="AJ65" s="157">
        <f t="shared" si="15"/>
        <v>0</v>
      </c>
      <c r="AK65" s="148">
        <f t="shared" si="16"/>
        <v>0</v>
      </c>
      <c r="AM65" s="161">
        <f t="shared" si="17"/>
        <v>0</v>
      </c>
      <c r="AN65" s="151">
        <f t="shared" si="18"/>
        <v>0</v>
      </c>
      <c r="AP65" s="21">
        <f t="shared" si="19"/>
        <v>1</v>
      </c>
      <c r="AQ65" s="170">
        <f t="shared" si="20"/>
        <v>0</v>
      </c>
      <c r="AR65" s="264">
        <f t="shared" si="21"/>
        <v>0</v>
      </c>
    </row>
    <row r="66" spans="2:44" hidden="1">
      <c r="B66" s="21">
        <f>'MaterialCosts Summary'!B66</f>
        <v>58</v>
      </c>
      <c r="C66" s="26"/>
      <c r="D66" s="23">
        <f>'MaterialCosts Summary'!D66</f>
        <v>0</v>
      </c>
      <c r="E66" s="257">
        <f>'MaterialCosts Summary'!E66</f>
        <v>0</v>
      </c>
      <c r="F66" s="258">
        <v>0</v>
      </c>
      <c r="G66" s="258">
        <v>0</v>
      </c>
      <c r="H66" s="258">
        <v>0</v>
      </c>
      <c r="I66" s="259">
        <f t="shared" si="9"/>
        <v>0</v>
      </c>
      <c r="J66" s="259"/>
      <c r="K66" s="260">
        <f t="shared" si="10"/>
        <v>0</v>
      </c>
      <c r="L66" s="259">
        <v>0</v>
      </c>
      <c r="M66" s="260">
        <f t="shared" si="0"/>
        <v>0</v>
      </c>
      <c r="N66" s="259">
        <v>0</v>
      </c>
      <c r="O66" s="260">
        <f t="shared" si="1"/>
        <v>0</v>
      </c>
      <c r="P66" s="259">
        <f t="shared" si="2"/>
        <v>0</v>
      </c>
      <c r="Q66" s="259"/>
      <c r="R66" s="260">
        <f t="shared" si="3"/>
        <v>0</v>
      </c>
      <c r="S66" s="259">
        <f t="shared" si="4"/>
        <v>0</v>
      </c>
      <c r="T66" s="259"/>
      <c r="U66" s="260">
        <f t="shared" si="5"/>
        <v>0</v>
      </c>
      <c r="V66" s="259">
        <f t="shared" si="6"/>
        <v>0</v>
      </c>
      <c r="W66" s="259"/>
      <c r="X66" s="260">
        <f t="shared" si="7"/>
        <v>0</v>
      </c>
      <c r="Y66" s="259">
        <v>0</v>
      </c>
      <c r="Z66" s="260">
        <f t="shared" si="8"/>
        <v>0</v>
      </c>
      <c r="AA66" s="259">
        <v>0</v>
      </c>
      <c r="AB66" s="24">
        <v>1</v>
      </c>
      <c r="AC66" s="261">
        <f t="shared" si="11"/>
        <v>0</v>
      </c>
      <c r="AD66" s="299">
        <f t="shared" si="12"/>
        <v>0</v>
      </c>
      <c r="AE66" s="262">
        <f t="shared" si="13"/>
        <v>0</v>
      </c>
      <c r="AF66" s="263">
        <f t="shared" si="13"/>
        <v>0</v>
      </c>
      <c r="AG66" s="255"/>
      <c r="AI66" s="154">
        <f t="shared" si="14"/>
        <v>0</v>
      </c>
      <c r="AJ66" s="157">
        <f t="shared" si="15"/>
        <v>0</v>
      </c>
      <c r="AK66" s="148">
        <f t="shared" si="16"/>
        <v>0</v>
      </c>
      <c r="AM66" s="161">
        <f t="shared" si="17"/>
        <v>0</v>
      </c>
      <c r="AN66" s="151">
        <f t="shared" si="18"/>
        <v>0</v>
      </c>
      <c r="AP66" s="21">
        <f t="shared" si="19"/>
        <v>1</v>
      </c>
      <c r="AQ66" s="170">
        <f t="shared" si="20"/>
        <v>0</v>
      </c>
      <c r="AR66" s="264">
        <f t="shared" si="21"/>
        <v>0</v>
      </c>
    </row>
    <row r="67" spans="2:44" hidden="1">
      <c r="B67" s="21">
        <f>'MaterialCosts Summary'!B67</f>
        <v>59</v>
      </c>
      <c r="C67" s="26"/>
      <c r="D67" s="23">
        <f>'MaterialCosts Summary'!D67</f>
        <v>0</v>
      </c>
      <c r="E67" s="257">
        <f>'MaterialCosts Summary'!E67</f>
        <v>0</v>
      </c>
      <c r="F67" s="258">
        <v>0</v>
      </c>
      <c r="G67" s="258">
        <v>0</v>
      </c>
      <c r="H67" s="258">
        <v>0</v>
      </c>
      <c r="I67" s="259">
        <f t="shared" si="9"/>
        <v>0</v>
      </c>
      <c r="J67" s="259"/>
      <c r="K67" s="260">
        <f t="shared" si="10"/>
        <v>0</v>
      </c>
      <c r="L67" s="259">
        <v>0</v>
      </c>
      <c r="M67" s="260">
        <f t="shared" si="0"/>
        <v>0</v>
      </c>
      <c r="N67" s="259">
        <v>0</v>
      </c>
      <c r="O67" s="260">
        <f t="shared" si="1"/>
        <v>0</v>
      </c>
      <c r="P67" s="259">
        <f t="shared" si="2"/>
        <v>0</v>
      </c>
      <c r="Q67" s="259"/>
      <c r="R67" s="260">
        <f t="shared" si="3"/>
        <v>0</v>
      </c>
      <c r="S67" s="259">
        <f t="shared" si="4"/>
        <v>0</v>
      </c>
      <c r="T67" s="259"/>
      <c r="U67" s="260">
        <f t="shared" si="5"/>
        <v>0</v>
      </c>
      <c r="V67" s="259">
        <f t="shared" si="6"/>
        <v>0</v>
      </c>
      <c r="W67" s="259"/>
      <c r="X67" s="260">
        <f t="shared" si="7"/>
        <v>0</v>
      </c>
      <c r="Y67" s="259">
        <v>0</v>
      </c>
      <c r="Z67" s="260">
        <f t="shared" si="8"/>
        <v>0</v>
      </c>
      <c r="AA67" s="259">
        <v>0</v>
      </c>
      <c r="AB67" s="24">
        <v>1</v>
      </c>
      <c r="AC67" s="261">
        <f t="shared" si="11"/>
        <v>0</v>
      </c>
      <c r="AD67" s="300">
        <f t="shared" si="12"/>
        <v>0</v>
      </c>
      <c r="AE67" s="262">
        <f t="shared" si="13"/>
        <v>0</v>
      </c>
      <c r="AF67" s="263">
        <f t="shared" si="13"/>
        <v>0</v>
      </c>
      <c r="AG67" s="255"/>
      <c r="AI67" s="154">
        <f t="shared" si="14"/>
        <v>0</v>
      </c>
      <c r="AJ67" s="157">
        <f t="shared" si="15"/>
        <v>0</v>
      </c>
      <c r="AK67" s="148">
        <f t="shared" si="16"/>
        <v>0</v>
      </c>
      <c r="AM67" s="161">
        <f t="shared" si="17"/>
        <v>0</v>
      </c>
      <c r="AN67" s="151">
        <f t="shared" si="18"/>
        <v>0</v>
      </c>
      <c r="AP67" s="21">
        <f t="shared" si="19"/>
        <v>1</v>
      </c>
      <c r="AQ67" s="170">
        <f t="shared" si="20"/>
        <v>0</v>
      </c>
      <c r="AR67" s="264">
        <f t="shared" si="21"/>
        <v>0</v>
      </c>
    </row>
    <row r="68" spans="2:44" hidden="1">
      <c r="B68" s="21">
        <f>'MaterialCosts Summary'!B68</f>
        <v>60</v>
      </c>
      <c r="C68" s="26"/>
      <c r="D68" s="23">
        <f>'MaterialCosts Summary'!D68</f>
        <v>0</v>
      </c>
      <c r="E68" s="257">
        <f>'MaterialCosts Summary'!E68</f>
        <v>0</v>
      </c>
      <c r="F68" s="258">
        <v>0</v>
      </c>
      <c r="G68" s="258">
        <v>0</v>
      </c>
      <c r="H68" s="258">
        <v>0</v>
      </c>
      <c r="I68" s="259">
        <f t="shared" si="9"/>
        <v>0</v>
      </c>
      <c r="J68" s="259"/>
      <c r="K68" s="260">
        <f t="shared" si="10"/>
        <v>0</v>
      </c>
      <c r="L68" s="259">
        <v>0</v>
      </c>
      <c r="M68" s="260">
        <f t="shared" si="0"/>
        <v>0</v>
      </c>
      <c r="N68" s="259">
        <v>0</v>
      </c>
      <c r="O68" s="260">
        <f t="shared" si="1"/>
        <v>0</v>
      </c>
      <c r="P68" s="259">
        <f t="shared" si="2"/>
        <v>0</v>
      </c>
      <c r="Q68" s="259"/>
      <c r="R68" s="260">
        <f t="shared" si="3"/>
        <v>0</v>
      </c>
      <c r="S68" s="259">
        <f t="shared" si="4"/>
        <v>0</v>
      </c>
      <c r="T68" s="259"/>
      <c r="U68" s="260">
        <f t="shared" si="5"/>
        <v>0</v>
      </c>
      <c r="V68" s="259">
        <f t="shared" si="6"/>
        <v>0</v>
      </c>
      <c r="W68" s="259"/>
      <c r="X68" s="260">
        <f t="shared" si="7"/>
        <v>0</v>
      </c>
      <c r="Y68" s="259">
        <v>0</v>
      </c>
      <c r="Z68" s="260">
        <f t="shared" si="8"/>
        <v>0</v>
      </c>
      <c r="AA68" s="259">
        <v>0</v>
      </c>
      <c r="AB68" s="24">
        <v>1</v>
      </c>
      <c r="AC68" s="261">
        <f t="shared" si="11"/>
        <v>0</v>
      </c>
      <c r="AD68" s="300">
        <f t="shared" si="12"/>
        <v>0</v>
      </c>
      <c r="AE68" s="262">
        <f t="shared" si="13"/>
        <v>0</v>
      </c>
      <c r="AF68" s="263">
        <f t="shared" si="13"/>
        <v>0</v>
      </c>
      <c r="AG68" s="255"/>
      <c r="AI68" s="154">
        <f t="shared" si="14"/>
        <v>0</v>
      </c>
      <c r="AJ68" s="157">
        <f t="shared" si="15"/>
        <v>0</v>
      </c>
      <c r="AK68" s="148">
        <f t="shared" si="16"/>
        <v>0</v>
      </c>
      <c r="AM68" s="161">
        <f t="shared" si="17"/>
        <v>0</v>
      </c>
      <c r="AN68" s="151">
        <f t="shared" si="18"/>
        <v>0</v>
      </c>
      <c r="AP68" s="21">
        <f t="shared" si="19"/>
        <v>1</v>
      </c>
      <c r="AQ68" s="170">
        <f t="shared" si="20"/>
        <v>0</v>
      </c>
      <c r="AR68" s="264">
        <f t="shared" si="21"/>
        <v>0</v>
      </c>
    </row>
    <row r="69" spans="2:44" hidden="1">
      <c r="B69" s="21">
        <f>'MaterialCosts Summary'!B69</f>
        <v>61</v>
      </c>
      <c r="C69" s="26"/>
      <c r="D69" s="23">
        <f>'MaterialCosts Summary'!D69</f>
        <v>0</v>
      </c>
      <c r="E69" s="257">
        <f>'MaterialCosts Summary'!E69</f>
        <v>0</v>
      </c>
      <c r="F69" s="258">
        <v>0</v>
      </c>
      <c r="G69" s="258">
        <v>0</v>
      </c>
      <c r="H69" s="258">
        <v>0</v>
      </c>
      <c r="I69" s="259">
        <f t="shared" si="9"/>
        <v>0</v>
      </c>
      <c r="J69" s="259"/>
      <c r="K69" s="260">
        <f t="shared" si="10"/>
        <v>0</v>
      </c>
      <c r="L69" s="259">
        <v>0</v>
      </c>
      <c r="M69" s="260">
        <f t="shared" si="0"/>
        <v>0</v>
      </c>
      <c r="N69" s="259">
        <v>0</v>
      </c>
      <c r="O69" s="260">
        <f t="shared" si="1"/>
        <v>0</v>
      </c>
      <c r="P69" s="259">
        <f t="shared" si="2"/>
        <v>0</v>
      </c>
      <c r="Q69" s="259"/>
      <c r="R69" s="260">
        <f t="shared" si="3"/>
        <v>0</v>
      </c>
      <c r="S69" s="259">
        <f t="shared" si="4"/>
        <v>0</v>
      </c>
      <c r="T69" s="259"/>
      <c r="U69" s="260">
        <f t="shared" si="5"/>
        <v>0</v>
      </c>
      <c r="V69" s="259">
        <f t="shared" si="6"/>
        <v>0</v>
      </c>
      <c r="W69" s="259"/>
      <c r="X69" s="260">
        <f t="shared" si="7"/>
        <v>0</v>
      </c>
      <c r="Y69" s="259">
        <v>0</v>
      </c>
      <c r="Z69" s="260">
        <f t="shared" si="8"/>
        <v>0</v>
      </c>
      <c r="AA69" s="259">
        <v>0</v>
      </c>
      <c r="AB69" s="24">
        <v>1</v>
      </c>
      <c r="AC69" s="261">
        <f t="shared" si="11"/>
        <v>0</v>
      </c>
      <c r="AD69" s="298">
        <f t="shared" si="12"/>
        <v>0</v>
      </c>
      <c r="AE69" s="262">
        <f t="shared" si="13"/>
        <v>0</v>
      </c>
      <c r="AF69" s="263">
        <f t="shared" si="13"/>
        <v>0</v>
      </c>
      <c r="AG69" s="255"/>
      <c r="AI69" s="154">
        <f t="shared" si="14"/>
        <v>0</v>
      </c>
      <c r="AJ69" s="157">
        <f t="shared" si="15"/>
        <v>0</v>
      </c>
      <c r="AK69" s="148">
        <f t="shared" si="16"/>
        <v>0</v>
      </c>
      <c r="AM69" s="161">
        <f t="shared" si="17"/>
        <v>0</v>
      </c>
      <c r="AN69" s="151">
        <f t="shared" si="18"/>
        <v>0</v>
      </c>
      <c r="AP69" s="21">
        <f t="shared" si="19"/>
        <v>1</v>
      </c>
      <c r="AQ69" s="170">
        <f t="shared" si="20"/>
        <v>0</v>
      </c>
      <c r="AR69" s="264">
        <f t="shared" si="21"/>
        <v>0</v>
      </c>
    </row>
    <row r="70" spans="2:44" hidden="1">
      <c r="B70" s="21">
        <f>'MaterialCosts Summary'!B70</f>
        <v>62</v>
      </c>
      <c r="C70" s="26"/>
      <c r="D70" s="23">
        <f>'MaterialCosts Summary'!D70</f>
        <v>0</v>
      </c>
      <c r="E70" s="257">
        <f>'MaterialCosts Summary'!E70</f>
        <v>0</v>
      </c>
      <c r="F70" s="258">
        <v>0</v>
      </c>
      <c r="G70" s="258">
        <v>0</v>
      </c>
      <c r="H70" s="258">
        <v>0</v>
      </c>
      <c r="I70" s="259">
        <f t="shared" si="9"/>
        <v>0</v>
      </c>
      <c r="J70" s="259"/>
      <c r="K70" s="260">
        <f t="shared" si="10"/>
        <v>0</v>
      </c>
      <c r="L70" s="259">
        <v>0</v>
      </c>
      <c r="M70" s="260">
        <f t="shared" si="0"/>
        <v>0</v>
      </c>
      <c r="N70" s="259">
        <v>0</v>
      </c>
      <c r="O70" s="260">
        <f t="shared" si="1"/>
        <v>0</v>
      </c>
      <c r="P70" s="259">
        <f t="shared" si="2"/>
        <v>0</v>
      </c>
      <c r="Q70" s="259"/>
      <c r="R70" s="260">
        <f t="shared" si="3"/>
        <v>0</v>
      </c>
      <c r="S70" s="259">
        <f t="shared" si="4"/>
        <v>0</v>
      </c>
      <c r="T70" s="259"/>
      <c r="U70" s="260">
        <f t="shared" si="5"/>
        <v>0</v>
      </c>
      <c r="V70" s="259">
        <f t="shared" si="6"/>
        <v>0</v>
      </c>
      <c r="W70" s="259"/>
      <c r="X70" s="260">
        <f t="shared" si="7"/>
        <v>0</v>
      </c>
      <c r="Y70" s="259">
        <v>0</v>
      </c>
      <c r="Z70" s="260">
        <f t="shared" si="8"/>
        <v>0</v>
      </c>
      <c r="AA70" s="259">
        <v>0</v>
      </c>
      <c r="AB70" s="24">
        <v>1</v>
      </c>
      <c r="AC70" s="261">
        <f t="shared" si="11"/>
        <v>0</v>
      </c>
      <c r="AD70" s="299">
        <f t="shared" si="12"/>
        <v>0</v>
      </c>
      <c r="AE70" s="262">
        <f t="shared" si="13"/>
        <v>0</v>
      </c>
      <c r="AF70" s="263">
        <f t="shared" si="13"/>
        <v>0</v>
      </c>
      <c r="AG70" s="255"/>
      <c r="AI70" s="154">
        <f t="shared" si="14"/>
        <v>0</v>
      </c>
      <c r="AJ70" s="157">
        <f t="shared" si="15"/>
        <v>0</v>
      </c>
      <c r="AK70" s="148">
        <f t="shared" si="16"/>
        <v>0</v>
      </c>
      <c r="AM70" s="161">
        <f t="shared" si="17"/>
        <v>0</v>
      </c>
      <c r="AN70" s="151">
        <f t="shared" si="18"/>
        <v>0</v>
      </c>
      <c r="AP70" s="21">
        <f t="shared" si="19"/>
        <v>1</v>
      </c>
      <c r="AQ70" s="170">
        <f t="shared" si="20"/>
        <v>0</v>
      </c>
      <c r="AR70" s="264">
        <f t="shared" si="21"/>
        <v>0</v>
      </c>
    </row>
    <row r="71" spans="2:44" hidden="1">
      <c r="B71" s="21">
        <f>'MaterialCosts Summary'!B71</f>
        <v>63</v>
      </c>
      <c r="C71" s="26"/>
      <c r="D71" s="23">
        <f>'MaterialCosts Summary'!D71</f>
        <v>0</v>
      </c>
      <c r="E71" s="257">
        <f>'MaterialCosts Summary'!E71</f>
        <v>0</v>
      </c>
      <c r="F71" s="258">
        <v>0</v>
      </c>
      <c r="G71" s="258">
        <v>0</v>
      </c>
      <c r="H71" s="258">
        <v>0</v>
      </c>
      <c r="I71" s="259">
        <f t="shared" si="9"/>
        <v>0</v>
      </c>
      <c r="J71" s="259"/>
      <c r="K71" s="260">
        <f t="shared" si="10"/>
        <v>0</v>
      </c>
      <c r="L71" s="259">
        <v>0</v>
      </c>
      <c r="M71" s="260">
        <f t="shared" si="0"/>
        <v>0</v>
      </c>
      <c r="N71" s="259">
        <v>0</v>
      </c>
      <c r="O71" s="260">
        <f t="shared" si="1"/>
        <v>0</v>
      </c>
      <c r="P71" s="259">
        <f t="shared" si="2"/>
        <v>0</v>
      </c>
      <c r="Q71" s="259"/>
      <c r="R71" s="260">
        <f t="shared" si="3"/>
        <v>0</v>
      </c>
      <c r="S71" s="259">
        <f t="shared" si="4"/>
        <v>0</v>
      </c>
      <c r="T71" s="259"/>
      <c r="U71" s="260">
        <f t="shared" si="5"/>
        <v>0</v>
      </c>
      <c r="V71" s="259">
        <f t="shared" si="6"/>
        <v>0</v>
      </c>
      <c r="W71" s="259"/>
      <c r="X71" s="260">
        <f t="shared" si="7"/>
        <v>0</v>
      </c>
      <c r="Y71" s="259">
        <v>0</v>
      </c>
      <c r="Z71" s="260">
        <f t="shared" si="8"/>
        <v>0</v>
      </c>
      <c r="AA71" s="259">
        <v>0</v>
      </c>
      <c r="AB71" s="24">
        <v>1</v>
      </c>
      <c r="AC71" s="261">
        <f t="shared" si="11"/>
        <v>0</v>
      </c>
      <c r="AD71" s="300">
        <f t="shared" si="12"/>
        <v>0</v>
      </c>
      <c r="AE71" s="262">
        <f t="shared" si="13"/>
        <v>0</v>
      </c>
      <c r="AF71" s="263">
        <f t="shared" si="13"/>
        <v>0</v>
      </c>
      <c r="AG71" s="255"/>
      <c r="AI71" s="154">
        <f t="shared" si="14"/>
        <v>0</v>
      </c>
      <c r="AJ71" s="157">
        <f t="shared" si="15"/>
        <v>0</v>
      </c>
      <c r="AK71" s="148">
        <f t="shared" si="16"/>
        <v>0</v>
      </c>
      <c r="AM71" s="161">
        <f t="shared" si="17"/>
        <v>0</v>
      </c>
      <c r="AN71" s="151">
        <f t="shared" si="18"/>
        <v>0</v>
      </c>
      <c r="AP71" s="21">
        <f t="shared" si="19"/>
        <v>1</v>
      </c>
      <c r="AQ71" s="170">
        <f t="shared" si="20"/>
        <v>0</v>
      </c>
      <c r="AR71" s="264">
        <f t="shared" si="21"/>
        <v>0</v>
      </c>
    </row>
    <row r="72" spans="2:44" hidden="1">
      <c r="B72" s="21">
        <f>'MaterialCosts Summary'!B72</f>
        <v>64</v>
      </c>
      <c r="C72" s="26"/>
      <c r="D72" s="23">
        <f>'MaterialCosts Summary'!D72</f>
        <v>0</v>
      </c>
      <c r="E72" s="257">
        <f>'MaterialCosts Summary'!E72</f>
        <v>0</v>
      </c>
      <c r="F72" s="258">
        <v>0</v>
      </c>
      <c r="G72" s="258">
        <v>0</v>
      </c>
      <c r="H72" s="258">
        <v>0</v>
      </c>
      <c r="I72" s="259">
        <f t="shared" si="9"/>
        <v>0</v>
      </c>
      <c r="J72" s="259"/>
      <c r="K72" s="260">
        <f t="shared" si="10"/>
        <v>0</v>
      </c>
      <c r="L72" s="259">
        <v>0</v>
      </c>
      <c r="M72" s="260">
        <f t="shared" si="0"/>
        <v>0</v>
      </c>
      <c r="N72" s="259">
        <v>0</v>
      </c>
      <c r="O72" s="260">
        <f t="shared" si="1"/>
        <v>0</v>
      </c>
      <c r="P72" s="259">
        <f t="shared" si="2"/>
        <v>0</v>
      </c>
      <c r="Q72" s="259"/>
      <c r="R72" s="260">
        <f t="shared" si="3"/>
        <v>0</v>
      </c>
      <c r="S72" s="259">
        <f t="shared" si="4"/>
        <v>0</v>
      </c>
      <c r="T72" s="259"/>
      <c r="U72" s="260">
        <f t="shared" si="5"/>
        <v>0</v>
      </c>
      <c r="V72" s="259">
        <f t="shared" si="6"/>
        <v>0</v>
      </c>
      <c r="W72" s="259"/>
      <c r="X72" s="260">
        <f t="shared" si="7"/>
        <v>0</v>
      </c>
      <c r="Y72" s="259">
        <v>0</v>
      </c>
      <c r="Z72" s="260">
        <f t="shared" si="8"/>
        <v>0</v>
      </c>
      <c r="AA72" s="259">
        <v>0</v>
      </c>
      <c r="AB72" s="24">
        <v>1</v>
      </c>
      <c r="AC72" s="261">
        <f t="shared" si="11"/>
        <v>0</v>
      </c>
      <c r="AD72" s="300">
        <f t="shared" si="12"/>
        <v>0</v>
      </c>
      <c r="AE72" s="262">
        <f t="shared" si="13"/>
        <v>0</v>
      </c>
      <c r="AF72" s="263">
        <f t="shared" si="13"/>
        <v>0</v>
      </c>
      <c r="AG72" s="255"/>
      <c r="AI72" s="154">
        <f t="shared" si="14"/>
        <v>0</v>
      </c>
      <c r="AJ72" s="157">
        <f t="shared" si="15"/>
        <v>0</v>
      </c>
      <c r="AK72" s="148">
        <f t="shared" si="16"/>
        <v>0</v>
      </c>
      <c r="AM72" s="161">
        <f t="shared" si="17"/>
        <v>0</v>
      </c>
      <c r="AN72" s="151">
        <f t="shared" si="18"/>
        <v>0</v>
      </c>
      <c r="AP72" s="21">
        <f t="shared" si="19"/>
        <v>1</v>
      </c>
      <c r="AQ72" s="170">
        <f t="shared" si="20"/>
        <v>0</v>
      </c>
      <c r="AR72" s="264">
        <f t="shared" si="21"/>
        <v>0</v>
      </c>
    </row>
    <row r="73" spans="2:44" hidden="1">
      <c r="B73" s="21">
        <f>'MaterialCosts Summary'!B73</f>
        <v>65</v>
      </c>
      <c r="C73" s="26"/>
      <c r="D73" s="23">
        <f>'MaterialCosts Summary'!D73</f>
        <v>0</v>
      </c>
      <c r="E73" s="257">
        <f>'MaterialCosts Summary'!E73</f>
        <v>0</v>
      </c>
      <c r="F73" s="258">
        <v>0</v>
      </c>
      <c r="G73" s="258">
        <v>0</v>
      </c>
      <c r="H73" s="258">
        <v>0</v>
      </c>
      <c r="I73" s="259">
        <f t="shared" si="9"/>
        <v>0</v>
      </c>
      <c r="J73" s="259"/>
      <c r="K73" s="260">
        <f t="shared" si="10"/>
        <v>0</v>
      </c>
      <c r="L73" s="259">
        <v>0</v>
      </c>
      <c r="M73" s="260">
        <f t="shared" ref="M73:M136" si="22">L73*$M$6</f>
        <v>0</v>
      </c>
      <c r="N73" s="259">
        <v>0</v>
      </c>
      <c r="O73" s="260">
        <f t="shared" ref="O73:O136" si="23">N73*$O$6</f>
        <v>0</v>
      </c>
      <c r="P73" s="259">
        <f t="shared" ref="P73:P136" si="24">(IF(H73&lt;&gt;0,MAX((G73*$G$8)+(H73*0.1*$H$6)+(H73*0.9*$H$7),24),(G73*$G$8)+(H73*0.1*$H$6)+(H73*0.9*$H$7)))*Q73</f>
        <v>0</v>
      </c>
      <c r="Q73" s="259"/>
      <c r="R73" s="260">
        <f t="shared" ref="R73:R136" si="25">P73*$R$6</f>
        <v>0</v>
      </c>
      <c r="S73" s="259">
        <f t="shared" ref="S73:S136" si="26">G73*$G$6*T73</f>
        <v>0</v>
      </c>
      <c r="T73" s="259"/>
      <c r="U73" s="260">
        <f t="shared" ref="U73:U136" si="27">S73*$U$6</f>
        <v>0</v>
      </c>
      <c r="V73" s="259">
        <f t="shared" ref="V73:V136" si="28">(((G73+H73)*$G$7)+(F73*$F$7))*W73</f>
        <v>0</v>
      </c>
      <c r="W73" s="259"/>
      <c r="X73" s="260">
        <f t="shared" ref="X73:X136" si="29">V73*$X$6</f>
        <v>0</v>
      </c>
      <c r="Y73" s="259">
        <v>0</v>
      </c>
      <c r="Z73" s="260">
        <f t="shared" ref="Z73:Z136" si="30">Y73*$X$6</f>
        <v>0</v>
      </c>
      <c r="AA73" s="259">
        <v>0</v>
      </c>
      <c r="AB73" s="24">
        <v>1</v>
      </c>
      <c r="AC73" s="261">
        <f t="shared" si="11"/>
        <v>0</v>
      </c>
      <c r="AD73" s="298">
        <f t="shared" si="12"/>
        <v>0</v>
      </c>
      <c r="AE73" s="262">
        <f t="shared" si="13"/>
        <v>0</v>
      </c>
      <c r="AF73" s="263">
        <f t="shared" si="13"/>
        <v>0</v>
      </c>
      <c r="AG73" s="255"/>
      <c r="AI73" s="154">
        <f t="shared" si="14"/>
        <v>0</v>
      </c>
      <c r="AJ73" s="157">
        <f t="shared" si="15"/>
        <v>0</v>
      </c>
      <c r="AK73" s="148">
        <f t="shared" si="16"/>
        <v>0</v>
      </c>
      <c r="AM73" s="161">
        <f t="shared" si="17"/>
        <v>0</v>
      </c>
      <c r="AN73" s="151">
        <f t="shared" si="18"/>
        <v>0</v>
      </c>
      <c r="AP73" s="21">
        <f t="shared" si="19"/>
        <v>1</v>
      </c>
      <c r="AQ73" s="170">
        <f t="shared" si="20"/>
        <v>0</v>
      </c>
      <c r="AR73" s="264">
        <f t="shared" si="21"/>
        <v>0</v>
      </c>
    </row>
    <row r="74" spans="2:44" hidden="1">
      <c r="B74" s="21">
        <f>'MaterialCosts Summary'!B74</f>
        <v>66</v>
      </c>
      <c r="C74" s="26"/>
      <c r="D74" s="23">
        <f>'MaterialCosts Summary'!D74</f>
        <v>0</v>
      </c>
      <c r="E74" s="257">
        <f>'MaterialCosts Summary'!E74</f>
        <v>0</v>
      </c>
      <c r="F74" s="258">
        <v>0</v>
      </c>
      <c r="G74" s="258">
        <v>0</v>
      </c>
      <c r="H74" s="258">
        <v>0</v>
      </c>
      <c r="I74" s="259">
        <f t="shared" ref="I74:I137" si="31">(MAX((F74*$F$6)+(G74*$G$6),$J$3)*J74)</f>
        <v>0</v>
      </c>
      <c r="J74" s="259"/>
      <c r="K74" s="260">
        <f t="shared" ref="K74:K137" si="32">IF(AND(I74*$K$6&lt;150, I74&lt;&gt;0), (I74*$K$6)+0, I74*$K$6)</f>
        <v>0</v>
      </c>
      <c r="L74" s="259">
        <v>0</v>
      </c>
      <c r="M74" s="260">
        <f t="shared" si="22"/>
        <v>0</v>
      </c>
      <c r="N74" s="259">
        <v>0</v>
      </c>
      <c r="O74" s="260">
        <f t="shared" si="23"/>
        <v>0</v>
      </c>
      <c r="P74" s="259">
        <f t="shared" si="24"/>
        <v>0</v>
      </c>
      <c r="Q74" s="259"/>
      <c r="R74" s="260">
        <f t="shared" si="25"/>
        <v>0</v>
      </c>
      <c r="S74" s="259">
        <f t="shared" si="26"/>
        <v>0</v>
      </c>
      <c r="T74" s="259"/>
      <c r="U74" s="260">
        <f t="shared" si="27"/>
        <v>0</v>
      </c>
      <c r="V74" s="259">
        <f t="shared" si="28"/>
        <v>0</v>
      </c>
      <c r="W74" s="259"/>
      <c r="X74" s="260">
        <f t="shared" si="29"/>
        <v>0</v>
      </c>
      <c r="Y74" s="259">
        <v>0</v>
      </c>
      <c r="Z74" s="260">
        <f t="shared" si="30"/>
        <v>0</v>
      </c>
      <c r="AA74" s="259">
        <v>0</v>
      </c>
      <c r="AB74" s="24">
        <v>1</v>
      </c>
      <c r="AC74" s="261">
        <f t="shared" ref="AC74:AC137" si="33">AD74/AB74</f>
        <v>0</v>
      </c>
      <c r="AD74" s="299">
        <f t="shared" ref="AD74:AD137" si="34">E74+K74+M74+O74+R74+U74+X74+Z74</f>
        <v>0</v>
      </c>
      <c r="AE74" s="262">
        <f t="shared" ref="AE74:AF137" si="35">AC74*$AG$5</f>
        <v>0</v>
      </c>
      <c r="AF74" s="263">
        <f t="shared" si="35"/>
        <v>0</v>
      </c>
      <c r="AG74" s="255"/>
      <c r="AI74" s="154">
        <f t="shared" ref="AI74:AI137" si="36">CEILING(0/2, 4)</f>
        <v>0</v>
      </c>
      <c r="AJ74" s="157">
        <f t="shared" ref="AJ74:AJ137" si="37">CEILING((I74+S74+Y74), 1)</f>
        <v>0</v>
      </c>
      <c r="AK74" s="148">
        <f t="shared" ref="AK74:AK137" si="38">CEILING((L74+N74+P74+V74+AA74), 4)</f>
        <v>0</v>
      </c>
      <c r="AM74" s="161">
        <f t="shared" ref="AM74:AM137" si="39">AJ74*$AM$3</f>
        <v>0</v>
      </c>
      <c r="AN74" s="151">
        <f t="shared" ref="AN74:AN137" si="40">AK74*$AN$3</f>
        <v>0</v>
      </c>
      <c r="AP74" s="21">
        <f t="shared" ref="AP74:AP137" si="41">AB74</f>
        <v>1</v>
      </c>
      <c r="AQ74" s="170">
        <f t="shared" ref="AQ74:AQ137" si="42">AR74/AP74</f>
        <v>0</v>
      </c>
      <c r="AR74" s="264">
        <f t="shared" ref="AR74:AR137" si="43">AF74+AM74+AN74</f>
        <v>0</v>
      </c>
    </row>
    <row r="75" spans="2:44" hidden="1">
      <c r="B75" s="21">
        <f>'MaterialCosts Summary'!B75</f>
        <v>67</v>
      </c>
      <c r="C75" s="26"/>
      <c r="D75" s="23">
        <f>'MaterialCosts Summary'!D75</f>
        <v>0</v>
      </c>
      <c r="E75" s="257">
        <f>'MaterialCosts Summary'!E75</f>
        <v>0</v>
      </c>
      <c r="F75" s="258">
        <v>0</v>
      </c>
      <c r="G75" s="258">
        <v>0</v>
      </c>
      <c r="H75" s="258">
        <v>0</v>
      </c>
      <c r="I75" s="259">
        <f t="shared" si="31"/>
        <v>0</v>
      </c>
      <c r="J75" s="259"/>
      <c r="K75" s="260">
        <f t="shared" si="32"/>
        <v>0</v>
      </c>
      <c r="L75" s="259">
        <v>0</v>
      </c>
      <c r="M75" s="260">
        <f t="shared" si="22"/>
        <v>0</v>
      </c>
      <c r="N75" s="259">
        <v>0</v>
      </c>
      <c r="O75" s="260">
        <f t="shared" si="23"/>
        <v>0</v>
      </c>
      <c r="P75" s="259">
        <f t="shared" si="24"/>
        <v>0</v>
      </c>
      <c r="Q75" s="259"/>
      <c r="R75" s="260">
        <f t="shared" si="25"/>
        <v>0</v>
      </c>
      <c r="S75" s="259">
        <f t="shared" si="26"/>
        <v>0</v>
      </c>
      <c r="T75" s="259"/>
      <c r="U75" s="260">
        <f t="shared" si="27"/>
        <v>0</v>
      </c>
      <c r="V75" s="259">
        <f t="shared" si="28"/>
        <v>0</v>
      </c>
      <c r="W75" s="259"/>
      <c r="X75" s="260">
        <f t="shared" si="29"/>
        <v>0</v>
      </c>
      <c r="Y75" s="259">
        <v>0</v>
      </c>
      <c r="Z75" s="260">
        <f t="shared" si="30"/>
        <v>0</v>
      </c>
      <c r="AA75" s="259">
        <v>0</v>
      </c>
      <c r="AB75" s="24">
        <v>1</v>
      </c>
      <c r="AC75" s="261">
        <f t="shared" si="33"/>
        <v>0</v>
      </c>
      <c r="AD75" s="300">
        <f t="shared" si="34"/>
        <v>0</v>
      </c>
      <c r="AE75" s="262">
        <f t="shared" si="35"/>
        <v>0</v>
      </c>
      <c r="AF75" s="263">
        <f t="shared" si="35"/>
        <v>0</v>
      </c>
      <c r="AG75" s="255"/>
      <c r="AI75" s="154">
        <f t="shared" si="36"/>
        <v>0</v>
      </c>
      <c r="AJ75" s="157">
        <f t="shared" si="37"/>
        <v>0</v>
      </c>
      <c r="AK75" s="148">
        <f t="shared" si="38"/>
        <v>0</v>
      </c>
      <c r="AM75" s="161">
        <f t="shared" si="39"/>
        <v>0</v>
      </c>
      <c r="AN75" s="151">
        <f t="shared" si="40"/>
        <v>0</v>
      </c>
      <c r="AP75" s="21">
        <f t="shared" si="41"/>
        <v>1</v>
      </c>
      <c r="AQ75" s="170">
        <f t="shared" si="42"/>
        <v>0</v>
      </c>
      <c r="AR75" s="264">
        <f t="shared" si="43"/>
        <v>0</v>
      </c>
    </row>
    <row r="76" spans="2:44" hidden="1">
      <c r="B76" s="21">
        <f>'MaterialCosts Summary'!B76</f>
        <v>68</v>
      </c>
      <c r="C76" s="26"/>
      <c r="D76" s="23">
        <f>'MaterialCosts Summary'!D76</f>
        <v>0</v>
      </c>
      <c r="E76" s="257">
        <f>'MaterialCosts Summary'!E76</f>
        <v>0</v>
      </c>
      <c r="F76" s="258">
        <v>0</v>
      </c>
      <c r="G76" s="258">
        <v>0</v>
      </c>
      <c r="H76" s="258">
        <v>0</v>
      </c>
      <c r="I76" s="259">
        <f t="shared" si="31"/>
        <v>0</v>
      </c>
      <c r="J76" s="259"/>
      <c r="K76" s="260">
        <f t="shared" si="32"/>
        <v>0</v>
      </c>
      <c r="L76" s="259">
        <v>0</v>
      </c>
      <c r="M76" s="260">
        <f t="shared" si="22"/>
        <v>0</v>
      </c>
      <c r="N76" s="259">
        <v>0</v>
      </c>
      <c r="O76" s="260">
        <f t="shared" si="23"/>
        <v>0</v>
      </c>
      <c r="P76" s="259">
        <f t="shared" si="24"/>
        <v>0</v>
      </c>
      <c r="Q76" s="259"/>
      <c r="R76" s="260">
        <f t="shared" si="25"/>
        <v>0</v>
      </c>
      <c r="S76" s="259">
        <f t="shared" si="26"/>
        <v>0</v>
      </c>
      <c r="T76" s="259"/>
      <c r="U76" s="260">
        <f t="shared" si="27"/>
        <v>0</v>
      </c>
      <c r="V76" s="259">
        <f t="shared" si="28"/>
        <v>0</v>
      </c>
      <c r="W76" s="259"/>
      <c r="X76" s="260">
        <f t="shared" si="29"/>
        <v>0</v>
      </c>
      <c r="Y76" s="259">
        <v>0</v>
      </c>
      <c r="Z76" s="260">
        <f t="shared" si="30"/>
        <v>0</v>
      </c>
      <c r="AA76" s="259">
        <v>0</v>
      </c>
      <c r="AB76" s="24">
        <v>1</v>
      </c>
      <c r="AC76" s="261">
        <f t="shared" si="33"/>
        <v>0</v>
      </c>
      <c r="AD76" s="300">
        <f t="shared" si="34"/>
        <v>0</v>
      </c>
      <c r="AE76" s="262">
        <f t="shared" si="35"/>
        <v>0</v>
      </c>
      <c r="AF76" s="263">
        <f t="shared" si="35"/>
        <v>0</v>
      </c>
      <c r="AG76" s="255"/>
      <c r="AI76" s="154">
        <f t="shared" si="36"/>
        <v>0</v>
      </c>
      <c r="AJ76" s="157">
        <f t="shared" si="37"/>
        <v>0</v>
      </c>
      <c r="AK76" s="148">
        <f t="shared" si="38"/>
        <v>0</v>
      </c>
      <c r="AM76" s="161">
        <f t="shared" si="39"/>
        <v>0</v>
      </c>
      <c r="AN76" s="151">
        <f t="shared" si="40"/>
        <v>0</v>
      </c>
      <c r="AP76" s="21">
        <f t="shared" si="41"/>
        <v>1</v>
      </c>
      <c r="AQ76" s="170">
        <f t="shared" si="42"/>
        <v>0</v>
      </c>
      <c r="AR76" s="264">
        <f t="shared" si="43"/>
        <v>0</v>
      </c>
    </row>
    <row r="77" spans="2:44" hidden="1">
      <c r="B77" s="21">
        <f>'MaterialCosts Summary'!B77</f>
        <v>69</v>
      </c>
      <c r="C77" s="26"/>
      <c r="D77" s="23">
        <f>'MaterialCosts Summary'!D77</f>
        <v>0</v>
      </c>
      <c r="E77" s="257">
        <f>'MaterialCosts Summary'!E77</f>
        <v>0</v>
      </c>
      <c r="F77" s="258">
        <v>0</v>
      </c>
      <c r="G77" s="258">
        <v>0</v>
      </c>
      <c r="H77" s="258">
        <v>0</v>
      </c>
      <c r="I77" s="259">
        <f t="shared" si="31"/>
        <v>0</v>
      </c>
      <c r="J77" s="259"/>
      <c r="K77" s="260">
        <f t="shared" si="32"/>
        <v>0</v>
      </c>
      <c r="L77" s="259">
        <v>0</v>
      </c>
      <c r="M77" s="260">
        <f t="shared" si="22"/>
        <v>0</v>
      </c>
      <c r="N77" s="259">
        <v>0</v>
      </c>
      <c r="O77" s="260">
        <f t="shared" si="23"/>
        <v>0</v>
      </c>
      <c r="P77" s="259">
        <f t="shared" si="24"/>
        <v>0</v>
      </c>
      <c r="Q77" s="259"/>
      <c r="R77" s="260">
        <f t="shared" si="25"/>
        <v>0</v>
      </c>
      <c r="S77" s="259">
        <f t="shared" si="26"/>
        <v>0</v>
      </c>
      <c r="T77" s="259"/>
      <c r="U77" s="260">
        <f t="shared" si="27"/>
        <v>0</v>
      </c>
      <c r="V77" s="259">
        <f t="shared" si="28"/>
        <v>0</v>
      </c>
      <c r="W77" s="259"/>
      <c r="X77" s="260">
        <f t="shared" si="29"/>
        <v>0</v>
      </c>
      <c r="Y77" s="259">
        <v>0</v>
      </c>
      <c r="Z77" s="260">
        <f t="shared" si="30"/>
        <v>0</v>
      </c>
      <c r="AA77" s="259">
        <v>0</v>
      </c>
      <c r="AB77" s="24">
        <v>1</v>
      </c>
      <c r="AC77" s="261">
        <f t="shared" si="33"/>
        <v>0</v>
      </c>
      <c r="AD77" s="298">
        <f t="shared" si="34"/>
        <v>0</v>
      </c>
      <c r="AE77" s="262">
        <f t="shared" si="35"/>
        <v>0</v>
      </c>
      <c r="AF77" s="263">
        <f t="shared" si="35"/>
        <v>0</v>
      </c>
      <c r="AG77" s="255"/>
      <c r="AI77" s="154">
        <f t="shared" si="36"/>
        <v>0</v>
      </c>
      <c r="AJ77" s="157">
        <f t="shared" si="37"/>
        <v>0</v>
      </c>
      <c r="AK77" s="148">
        <f t="shared" si="38"/>
        <v>0</v>
      </c>
      <c r="AM77" s="161">
        <f t="shared" si="39"/>
        <v>0</v>
      </c>
      <c r="AN77" s="151">
        <f t="shared" si="40"/>
        <v>0</v>
      </c>
      <c r="AP77" s="21">
        <f t="shared" si="41"/>
        <v>1</v>
      </c>
      <c r="AQ77" s="170">
        <f t="shared" si="42"/>
        <v>0</v>
      </c>
      <c r="AR77" s="264">
        <f t="shared" si="43"/>
        <v>0</v>
      </c>
    </row>
    <row r="78" spans="2:44" hidden="1">
      <c r="B78" s="21">
        <f>'MaterialCosts Summary'!B78</f>
        <v>70</v>
      </c>
      <c r="C78" s="26"/>
      <c r="D78" s="23">
        <f>'MaterialCosts Summary'!D78</f>
        <v>0</v>
      </c>
      <c r="E78" s="257">
        <f>'MaterialCosts Summary'!E78</f>
        <v>0</v>
      </c>
      <c r="F78" s="258">
        <v>0</v>
      </c>
      <c r="G78" s="258">
        <v>0</v>
      </c>
      <c r="H78" s="258">
        <v>0</v>
      </c>
      <c r="I78" s="259">
        <f t="shared" si="31"/>
        <v>0</v>
      </c>
      <c r="J78" s="259"/>
      <c r="K78" s="260">
        <f t="shared" si="32"/>
        <v>0</v>
      </c>
      <c r="L78" s="259">
        <v>0</v>
      </c>
      <c r="M78" s="260">
        <f t="shared" si="22"/>
        <v>0</v>
      </c>
      <c r="N78" s="259">
        <v>0</v>
      </c>
      <c r="O78" s="260">
        <f t="shared" si="23"/>
        <v>0</v>
      </c>
      <c r="P78" s="259">
        <f t="shared" si="24"/>
        <v>0</v>
      </c>
      <c r="Q78" s="259"/>
      <c r="R78" s="260">
        <f t="shared" si="25"/>
        <v>0</v>
      </c>
      <c r="S78" s="259">
        <f t="shared" si="26"/>
        <v>0</v>
      </c>
      <c r="T78" s="259"/>
      <c r="U78" s="260">
        <f t="shared" si="27"/>
        <v>0</v>
      </c>
      <c r="V78" s="259">
        <f t="shared" si="28"/>
        <v>0</v>
      </c>
      <c r="W78" s="259"/>
      <c r="X78" s="260">
        <f t="shared" si="29"/>
        <v>0</v>
      </c>
      <c r="Y78" s="259">
        <v>0</v>
      </c>
      <c r="Z78" s="260">
        <f t="shared" si="30"/>
        <v>0</v>
      </c>
      <c r="AA78" s="259">
        <v>0</v>
      </c>
      <c r="AB78" s="24">
        <v>1</v>
      </c>
      <c r="AC78" s="261">
        <f t="shared" si="33"/>
        <v>0</v>
      </c>
      <c r="AD78" s="299">
        <f t="shared" si="34"/>
        <v>0</v>
      </c>
      <c r="AE78" s="262">
        <f t="shared" si="35"/>
        <v>0</v>
      </c>
      <c r="AF78" s="263">
        <f t="shared" si="35"/>
        <v>0</v>
      </c>
      <c r="AG78" s="255"/>
      <c r="AI78" s="154">
        <f t="shared" si="36"/>
        <v>0</v>
      </c>
      <c r="AJ78" s="157">
        <f t="shared" si="37"/>
        <v>0</v>
      </c>
      <c r="AK78" s="148">
        <f t="shared" si="38"/>
        <v>0</v>
      </c>
      <c r="AM78" s="161">
        <f t="shared" si="39"/>
        <v>0</v>
      </c>
      <c r="AN78" s="151">
        <f t="shared" si="40"/>
        <v>0</v>
      </c>
      <c r="AP78" s="21">
        <f t="shared" si="41"/>
        <v>1</v>
      </c>
      <c r="AQ78" s="170">
        <f t="shared" si="42"/>
        <v>0</v>
      </c>
      <c r="AR78" s="264">
        <f t="shared" si="43"/>
        <v>0</v>
      </c>
    </row>
    <row r="79" spans="2:44" hidden="1">
      <c r="B79" s="21">
        <f>'MaterialCosts Summary'!B79</f>
        <v>71</v>
      </c>
      <c r="C79" s="26"/>
      <c r="D79" s="23">
        <f>'MaterialCosts Summary'!D79</f>
        <v>0</v>
      </c>
      <c r="E79" s="257">
        <f>'MaterialCosts Summary'!E79</f>
        <v>0</v>
      </c>
      <c r="F79" s="258">
        <v>0</v>
      </c>
      <c r="G79" s="258">
        <v>0</v>
      </c>
      <c r="H79" s="258">
        <v>0</v>
      </c>
      <c r="I79" s="259">
        <f t="shared" si="31"/>
        <v>0</v>
      </c>
      <c r="J79" s="259"/>
      <c r="K79" s="260">
        <f t="shared" si="32"/>
        <v>0</v>
      </c>
      <c r="L79" s="259">
        <v>0</v>
      </c>
      <c r="M79" s="260">
        <f t="shared" si="22"/>
        <v>0</v>
      </c>
      <c r="N79" s="259">
        <v>0</v>
      </c>
      <c r="O79" s="260">
        <f t="shared" si="23"/>
        <v>0</v>
      </c>
      <c r="P79" s="259">
        <f t="shared" si="24"/>
        <v>0</v>
      </c>
      <c r="Q79" s="259"/>
      <c r="R79" s="260">
        <f t="shared" si="25"/>
        <v>0</v>
      </c>
      <c r="S79" s="259">
        <f t="shared" si="26"/>
        <v>0</v>
      </c>
      <c r="T79" s="259"/>
      <c r="U79" s="260">
        <f t="shared" si="27"/>
        <v>0</v>
      </c>
      <c r="V79" s="259">
        <f t="shared" si="28"/>
        <v>0</v>
      </c>
      <c r="W79" s="259"/>
      <c r="X79" s="260">
        <f t="shared" si="29"/>
        <v>0</v>
      </c>
      <c r="Y79" s="259">
        <v>0</v>
      </c>
      <c r="Z79" s="260">
        <f t="shared" si="30"/>
        <v>0</v>
      </c>
      <c r="AA79" s="259">
        <v>0</v>
      </c>
      <c r="AB79" s="24">
        <v>1</v>
      </c>
      <c r="AC79" s="261">
        <f t="shared" si="33"/>
        <v>0</v>
      </c>
      <c r="AD79" s="300">
        <f t="shared" si="34"/>
        <v>0</v>
      </c>
      <c r="AE79" s="262">
        <f t="shared" si="35"/>
        <v>0</v>
      </c>
      <c r="AF79" s="263">
        <f t="shared" si="35"/>
        <v>0</v>
      </c>
      <c r="AG79" s="255"/>
      <c r="AI79" s="154">
        <f t="shared" si="36"/>
        <v>0</v>
      </c>
      <c r="AJ79" s="157">
        <f t="shared" si="37"/>
        <v>0</v>
      </c>
      <c r="AK79" s="148">
        <f t="shared" si="38"/>
        <v>0</v>
      </c>
      <c r="AM79" s="161">
        <f t="shared" si="39"/>
        <v>0</v>
      </c>
      <c r="AN79" s="151">
        <f t="shared" si="40"/>
        <v>0</v>
      </c>
      <c r="AP79" s="21">
        <f t="shared" si="41"/>
        <v>1</v>
      </c>
      <c r="AQ79" s="170">
        <f t="shared" si="42"/>
        <v>0</v>
      </c>
      <c r="AR79" s="264">
        <f t="shared" si="43"/>
        <v>0</v>
      </c>
    </row>
    <row r="80" spans="2:44" hidden="1">
      <c r="B80" s="21">
        <f>'MaterialCosts Summary'!B80</f>
        <v>72</v>
      </c>
      <c r="C80" s="26"/>
      <c r="D80" s="23">
        <f>'MaterialCosts Summary'!D80</f>
        <v>0</v>
      </c>
      <c r="E80" s="257">
        <f>'MaterialCosts Summary'!E80</f>
        <v>0</v>
      </c>
      <c r="F80" s="258">
        <v>0</v>
      </c>
      <c r="G80" s="258">
        <v>0</v>
      </c>
      <c r="H80" s="258">
        <v>0</v>
      </c>
      <c r="I80" s="259">
        <f t="shared" si="31"/>
        <v>0</v>
      </c>
      <c r="J80" s="259"/>
      <c r="K80" s="260">
        <f t="shared" si="32"/>
        <v>0</v>
      </c>
      <c r="L80" s="259">
        <v>0</v>
      </c>
      <c r="M80" s="260">
        <f t="shared" si="22"/>
        <v>0</v>
      </c>
      <c r="N80" s="259">
        <v>0</v>
      </c>
      <c r="O80" s="260">
        <f t="shared" si="23"/>
        <v>0</v>
      </c>
      <c r="P80" s="259">
        <f t="shared" si="24"/>
        <v>0</v>
      </c>
      <c r="Q80" s="259"/>
      <c r="R80" s="260">
        <f t="shared" si="25"/>
        <v>0</v>
      </c>
      <c r="S80" s="259">
        <f t="shared" si="26"/>
        <v>0</v>
      </c>
      <c r="T80" s="259"/>
      <c r="U80" s="260">
        <f t="shared" si="27"/>
        <v>0</v>
      </c>
      <c r="V80" s="259">
        <f t="shared" si="28"/>
        <v>0</v>
      </c>
      <c r="W80" s="259"/>
      <c r="X80" s="260">
        <f t="shared" si="29"/>
        <v>0</v>
      </c>
      <c r="Y80" s="259">
        <v>0</v>
      </c>
      <c r="Z80" s="260">
        <f t="shared" si="30"/>
        <v>0</v>
      </c>
      <c r="AA80" s="259">
        <v>0</v>
      </c>
      <c r="AB80" s="24">
        <v>1</v>
      </c>
      <c r="AC80" s="261">
        <f t="shared" si="33"/>
        <v>0</v>
      </c>
      <c r="AD80" s="300">
        <f t="shared" si="34"/>
        <v>0</v>
      </c>
      <c r="AE80" s="262">
        <f t="shared" si="35"/>
        <v>0</v>
      </c>
      <c r="AF80" s="263">
        <f t="shared" si="35"/>
        <v>0</v>
      </c>
      <c r="AG80" s="255"/>
      <c r="AI80" s="154">
        <f t="shared" si="36"/>
        <v>0</v>
      </c>
      <c r="AJ80" s="157">
        <f t="shared" si="37"/>
        <v>0</v>
      </c>
      <c r="AK80" s="148">
        <f t="shared" si="38"/>
        <v>0</v>
      </c>
      <c r="AM80" s="161">
        <f t="shared" si="39"/>
        <v>0</v>
      </c>
      <c r="AN80" s="151">
        <f t="shared" si="40"/>
        <v>0</v>
      </c>
      <c r="AP80" s="21">
        <f t="shared" si="41"/>
        <v>1</v>
      </c>
      <c r="AQ80" s="170">
        <f t="shared" si="42"/>
        <v>0</v>
      </c>
      <c r="AR80" s="264">
        <f t="shared" si="43"/>
        <v>0</v>
      </c>
    </row>
    <row r="81" spans="2:44" hidden="1">
      <c r="B81" s="21">
        <f>'MaterialCosts Summary'!B81</f>
        <v>73</v>
      </c>
      <c r="C81" s="26"/>
      <c r="D81" s="23">
        <f>'MaterialCosts Summary'!D81</f>
        <v>0</v>
      </c>
      <c r="E81" s="257">
        <f>'MaterialCosts Summary'!E81</f>
        <v>0</v>
      </c>
      <c r="F81" s="258">
        <v>0</v>
      </c>
      <c r="G81" s="258">
        <v>0</v>
      </c>
      <c r="H81" s="258">
        <v>0</v>
      </c>
      <c r="I81" s="259">
        <f t="shared" si="31"/>
        <v>0</v>
      </c>
      <c r="J81" s="259"/>
      <c r="K81" s="260">
        <f t="shared" si="32"/>
        <v>0</v>
      </c>
      <c r="L81" s="259">
        <v>0</v>
      </c>
      <c r="M81" s="260">
        <f t="shared" si="22"/>
        <v>0</v>
      </c>
      <c r="N81" s="259">
        <v>0</v>
      </c>
      <c r="O81" s="260">
        <f t="shared" si="23"/>
        <v>0</v>
      </c>
      <c r="P81" s="259">
        <f t="shared" si="24"/>
        <v>0</v>
      </c>
      <c r="Q81" s="259"/>
      <c r="R81" s="260">
        <f t="shared" si="25"/>
        <v>0</v>
      </c>
      <c r="S81" s="259">
        <f t="shared" si="26"/>
        <v>0</v>
      </c>
      <c r="T81" s="259"/>
      <c r="U81" s="260">
        <f t="shared" si="27"/>
        <v>0</v>
      </c>
      <c r="V81" s="259">
        <f t="shared" si="28"/>
        <v>0</v>
      </c>
      <c r="W81" s="259"/>
      <c r="X81" s="260">
        <f t="shared" si="29"/>
        <v>0</v>
      </c>
      <c r="Y81" s="259">
        <v>0</v>
      </c>
      <c r="Z81" s="260">
        <f t="shared" si="30"/>
        <v>0</v>
      </c>
      <c r="AA81" s="259">
        <v>0</v>
      </c>
      <c r="AB81" s="24">
        <v>1</v>
      </c>
      <c r="AC81" s="261">
        <f t="shared" si="33"/>
        <v>0</v>
      </c>
      <c r="AD81" s="298">
        <f t="shared" si="34"/>
        <v>0</v>
      </c>
      <c r="AE81" s="262">
        <f t="shared" si="35"/>
        <v>0</v>
      </c>
      <c r="AF81" s="263">
        <f t="shared" si="35"/>
        <v>0</v>
      </c>
      <c r="AG81" s="255"/>
      <c r="AI81" s="154">
        <f t="shared" si="36"/>
        <v>0</v>
      </c>
      <c r="AJ81" s="157">
        <f t="shared" si="37"/>
        <v>0</v>
      </c>
      <c r="AK81" s="148">
        <f t="shared" si="38"/>
        <v>0</v>
      </c>
      <c r="AM81" s="161">
        <f t="shared" si="39"/>
        <v>0</v>
      </c>
      <c r="AN81" s="151">
        <f t="shared" si="40"/>
        <v>0</v>
      </c>
      <c r="AP81" s="21">
        <f t="shared" si="41"/>
        <v>1</v>
      </c>
      <c r="AQ81" s="170">
        <f t="shared" si="42"/>
        <v>0</v>
      </c>
      <c r="AR81" s="264">
        <f t="shared" si="43"/>
        <v>0</v>
      </c>
    </row>
    <row r="82" spans="2:44" hidden="1">
      <c r="B82" s="21">
        <f>'MaterialCosts Summary'!B82</f>
        <v>74</v>
      </c>
      <c r="C82" s="26"/>
      <c r="D82" s="23">
        <f>'MaterialCosts Summary'!D82</f>
        <v>0</v>
      </c>
      <c r="E82" s="257">
        <f>'MaterialCosts Summary'!E82</f>
        <v>0</v>
      </c>
      <c r="F82" s="258">
        <v>0</v>
      </c>
      <c r="G82" s="258">
        <v>0</v>
      </c>
      <c r="H82" s="258">
        <v>0</v>
      </c>
      <c r="I82" s="259">
        <f t="shared" si="31"/>
        <v>0</v>
      </c>
      <c r="J82" s="259"/>
      <c r="K82" s="260">
        <f t="shared" si="32"/>
        <v>0</v>
      </c>
      <c r="L82" s="259">
        <v>0</v>
      </c>
      <c r="M82" s="260">
        <f t="shared" si="22"/>
        <v>0</v>
      </c>
      <c r="N82" s="259">
        <v>0</v>
      </c>
      <c r="O82" s="260">
        <f t="shared" si="23"/>
        <v>0</v>
      </c>
      <c r="P82" s="259">
        <f t="shared" si="24"/>
        <v>0</v>
      </c>
      <c r="Q82" s="259"/>
      <c r="R82" s="260">
        <f t="shared" si="25"/>
        <v>0</v>
      </c>
      <c r="S82" s="259">
        <f t="shared" si="26"/>
        <v>0</v>
      </c>
      <c r="T82" s="259"/>
      <c r="U82" s="260">
        <f t="shared" si="27"/>
        <v>0</v>
      </c>
      <c r="V82" s="259">
        <f t="shared" si="28"/>
        <v>0</v>
      </c>
      <c r="W82" s="259"/>
      <c r="X82" s="260">
        <f t="shared" si="29"/>
        <v>0</v>
      </c>
      <c r="Y82" s="259">
        <v>0</v>
      </c>
      <c r="Z82" s="260">
        <f t="shared" si="30"/>
        <v>0</v>
      </c>
      <c r="AA82" s="259">
        <v>0</v>
      </c>
      <c r="AB82" s="24">
        <v>1</v>
      </c>
      <c r="AC82" s="261">
        <f t="shared" si="33"/>
        <v>0</v>
      </c>
      <c r="AD82" s="299">
        <f t="shared" si="34"/>
        <v>0</v>
      </c>
      <c r="AE82" s="262">
        <f t="shared" si="35"/>
        <v>0</v>
      </c>
      <c r="AF82" s="263">
        <f t="shared" si="35"/>
        <v>0</v>
      </c>
      <c r="AG82" s="255"/>
      <c r="AI82" s="154">
        <f t="shared" si="36"/>
        <v>0</v>
      </c>
      <c r="AJ82" s="157">
        <f t="shared" si="37"/>
        <v>0</v>
      </c>
      <c r="AK82" s="148">
        <f t="shared" si="38"/>
        <v>0</v>
      </c>
      <c r="AM82" s="161">
        <f t="shared" si="39"/>
        <v>0</v>
      </c>
      <c r="AN82" s="151">
        <f t="shared" si="40"/>
        <v>0</v>
      </c>
      <c r="AP82" s="21">
        <f t="shared" si="41"/>
        <v>1</v>
      </c>
      <c r="AQ82" s="170">
        <f t="shared" si="42"/>
        <v>0</v>
      </c>
      <c r="AR82" s="264">
        <f t="shared" si="43"/>
        <v>0</v>
      </c>
    </row>
    <row r="83" spans="2:44" hidden="1">
      <c r="B83" s="21">
        <f>'MaterialCosts Summary'!B83</f>
        <v>75</v>
      </c>
      <c r="C83" s="26"/>
      <c r="D83" s="23">
        <f>'MaterialCosts Summary'!D83</f>
        <v>0</v>
      </c>
      <c r="E83" s="257">
        <f>'MaterialCosts Summary'!E83</f>
        <v>0</v>
      </c>
      <c r="F83" s="258">
        <v>0</v>
      </c>
      <c r="G83" s="258">
        <v>0</v>
      </c>
      <c r="H83" s="258">
        <v>0</v>
      </c>
      <c r="I83" s="259">
        <f t="shared" si="31"/>
        <v>0</v>
      </c>
      <c r="J83" s="259"/>
      <c r="K83" s="260">
        <f t="shared" si="32"/>
        <v>0</v>
      </c>
      <c r="L83" s="259">
        <v>0</v>
      </c>
      <c r="M83" s="260">
        <f t="shared" si="22"/>
        <v>0</v>
      </c>
      <c r="N83" s="259">
        <v>0</v>
      </c>
      <c r="O83" s="260">
        <f t="shared" si="23"/>
        <v>0</v>
      </c>
      <c r="P83" s="259">
        <f t="shared" si="24"/>
        <v>0</v>
      </c>
      <c r="Q83" s="259"/>
      <c r="R83" s="260">
        <f t="shared" si="25"/>
        <v>0</v>
      </c>
      <c r="S83" s="259">
        <f t="shared" si="26"/>
        <v>0</v>
      </c>
      <c r="T83" s="259"/>
      <c r="U83" s="260">
        <f t="shared" si="27"/>
        <v>0</v>
      </c>
      <c r="V83" s="259">
        <f t="shared" si="28"/>
        <v>0</v>
      </c>
      <c r="W83" s="259"/>
      <c r="X83" s="260">
        <f t="shared" si="29"/>
        <v>0</v>
      </c>
      <c r="Y83" s="259">
        <v>0</v>
      </c>
      <c r="Z83" s="260">
        <f t="shared" si="30"/>
        <v>0</v>
      </c>
      <c r="AA83" s="259">
        <v>0</v>
      </c>
      <c r="AB83" s="24">
        <v>1</v>
      </c>
      <c r="AC83" s="261">
        <f t="shared" si="33"/>
        <v>0</v>
      </c>
      <c r="AD83" s="300">
        <f t="shared" si="34"/>
        <v>0</v>
      </c>
      <c r="AE83" s="262">
        <f t="shared" si="35"/>
        <v>0</v>
      </c>
      <c r="AF83" s="263">
        <f t="shared" si="35"/>
        <v>0</v>
      </c>
      <c r="AG83" s="255"/>
      <c r="AI83" s="154">
        <f t="shared" si="36"/>
        <v>0</v>
      </c>
      <c r="AJ83" s="157">
        <f t="shared" si="37"/>
        <v>0</v>
      </c>
      <c r="AK83" s="148">
        <f t="shared" si="38"/>
        <v>0</v>
      </c>
      <c r="AM83" s="161">
        <f t="shared" si="39"/>
        <v>0</v>
      </c>
      <c r="AN83" s="151">
        <f t="shared" si="40"/>
        <v>0</v>
      </c>
      <c r="AP83" s="21">
        <f t="shared" si="41"/>
        <v>1</v>
      </c>
      <c r="AQ83" s="170">
        <f t="shared" si="42"/>
        <v>0</v>
      </c>
      <c r="AR83" s="264">
        <f t="shared" si="43"/>
        <v>0</v>
      </c>
    </row>
    <row r="84" spans="2:44" hidden="1">
      <c r="B84" s="21">
        <f>'MaterialCosts Summary'!B84</f>
        <v>76</v>
      </c>
      <c r="C84" s="26"/>
      <c r="D84" s="23">
        <f>'MaterialCosts Summary'!D84</f>
        <v>0</v>
      </c>
      <c r="E84" s="257">
        <f>'MaterialCosts Summary'!E84</f>
        <v>0</v>
      </c>
      <c r="F84" s="258">
        <v>0</v>
      </c>
      <c r="G84" s="258">
        <v>0</v>
      </c>
      <c r="H84" s="258">
        <v>0</v>
      </c>
      <c r="I84" s="259">
        <f t="shared" si="31"/>
        <v>0</v>
      </c>
      <c r="J84" s="259"/>
      <c r="K84" s="260">
        <f t="shared" si="32"/>
        <v>0</v>
      </c>
      <c r="L84" s="259">
        <v>0</v>
      </c>
      <c r="M84" s="260">
        <f t="shared" si="22"/>
        <v>0</v>
      </c>
      <c r="N84" s="259">
        <v>0</v>
      </c>
      <c r="O84" s="260">
        <f t="shared" si="23"/>
        <v>0</v>
      </c>
      <c r="P84" s="259">
        <f t="shared" si="24"/>
        <v>0</v>
      </c>
      <c r="Q84" s="259"/>
      <c r="R84" s="260">
        <f t="shared" si="25"/>
        <v>0</v>
      </c>
      <c r="S84" s="259">
        <f t="shared" si="26"/>
        <v>0</v>
      </c>
      <c r="T84" s="259"/>
      <c r="U84" s="260">
        <f t="shared" si="27"/>
        <v>0</v>
      </c>
      <c r="V84" s="259">
        <f t="shared" si="28"/>
        <v>0</v>
      </c>
      <c r="W84" s="259"/>
      <c r="X84" s="260">
        <f t="shared" si="29"/>
        <v>0</v>
      </c>
      <c r="Y84" s="259">
        <v>0</v>
      </c>
      <c r="Z84" s="260">
        <f t="shared" si="30"/>
        <v>0</v>
      </c>
      <c r="AA84" s="259">
        <v>0</v>
      </c>
      <c r="AB84" s="24">
        <v>1</v>
      </c>
      <c r="AC84" s="261">
        <f t="shared" si="33"/>
        <v>0</v>
      </c>
      <c r="AD84" s="300">
        <f t="shared" si="34"/>
        <v>0</v>
      </c>
      <c r="AE84" s="262">
        <f t="shared" si="35"/>
        <v>0</v>
      </c>
      <c r="AF84" s="263">
        <f t="shared" si="35"/>
        <v>0</v>
      </c>
      <c r="AG84" s="255"/>
      <c r="AI84" s="154">
        <f t="shared" si="36"/>
        <v>0</v>
      </c>
      <c r="AJ84" s="157">
        <f t="shared" si="37"/>
        <v>0</v>
      </c>
      <c r="AK84" s="148">
        <f t="shared" si="38"/>
        <v>0</v>
      </c>
      <c r="AM84" s="161">
        <f t="shared" si="39"/>
        <v>0</v>
      </c>
      <c r="AN84" s="151">
        <f t="shared" si="40"/>
        <v>0</v>
      </c>
      <c r="AP84" s="21">
        <f t="shared" si="41"/>
        <v>1</v>
      </c>
      <c r="AQ84" s="170">
        <f t="shared" si="42"/>
        <v>0</v>
      </c>
      <c r="AR84" s="264">
        <f t="shared" si="43"/>
        <v>0</v>
      </c>
    </row>
    <row r="85" spans="2:44" hidden="1">
      <c r="B85" s="21">
        <f>'MaterialCosts Summary'!B85</f>
        <v>77</v>
      </c>
      <c r="C85" s="26"/>
      <c r="D85" s="23">
        <f>'MaterialCosts Summary'!D85</f>
        <v>0</v>
      </c>
      <c r="E85" s="257">
        <f>'MaterialCosts Summary'!E85</f>
        <v>0</v>
      </c>
      <c r="F85" s="258">
        <v>0</v>
      </c>
      <c r="G85" s="258">
        <v>0</v>
      </c>
      <c r="H85" s="258">
        <v>0</v>
      </c>
      <c r="I85" s="259">
        <f t="shared" si="31"/>
        <v>0</v>
      </c>
      <c r="J85" s="259"/>
      <c r="K85" s="260">
        <f t="shared" si="32"/>
        <v>0</v>
      </c>
      <c r="L85" s="259">
        <v>0</v>
      </c>
      <c r="M85" s="260">
        <f t="shared" si="22"/>
        <v>0</v>
      </c>
      <c r="N85" s="259">
        <v>0</v>
      </c>
      <c r="O85" s="260">
        <f t="shared" si="23"/>
        <v>0</v>
      </c>
      <c r="P85" s="259">
        <f t="shared" si="24"/>
        <v>0</v>
      </c>
      <c r="Q85" s="259"/>
      <c r="R85" s="260">
        <f t="shared" si="25"/>
        <v>0</v>
      </c>
      <c r="S85" s="259">
        <f t="shared" si="26"/>
        <v>0</v>
      </c>
      <c r="T85" s="259"/>
      <c r="U85" s="260">
        <f t="shared" si="27"/>
        <v>0</v>
      </c>
      <c r="V85" s="259">
        <f t="shared" si="28"/>
        <v>0</v>
      </c>
      <c r="W85" s="259"/>
      <c r="X85" s="260">
        <f t="shared" si="29"/>
        <v>0</v>
      </c>
      <c r="Y85" s="259">
        <v>0</v>
      </c>
      <c r="Z85" s="260">
        <f t="shared" si="30"/>
        <v>0</v>
      </c>
      <c r="AA85" s="259">
        <v>0</v>
      </c>
      <c r="AB85" s="24">
        <v>1</v>
      </c>
      <c r="AC85" s="261">
        <f t="shared" si="33"/>
        <v>0</v>
      </c>
      <c r="AD85" s="298">
        <f t="shared" si="34"/>
        <v>0</v>
      </c>
      <c r="AE85" s="262">
        <f t="shared" si="35"/>
        <v>0</v>
      </c>
      <c r="AF85" s="263">
        <f t="shared" si="35"/>
        <v>0</v>
      </c>
      <c r="AG85" s="255"/>
      <c r="AI85" s="154">
        <f t="shared" si="36"/>
        <v>0</v>
      </c>
      <c r="AJ85" s="157">
        <f t="shared" si="37"/>
        <v>0</v>
      </c>
      <c r="AK85" s="148">
        <f t="shared" si="38"/>
        <v>0</v>
      </c>
      <c r="AM85" s="161">
        <f t="shared" si="39"/>
        <v>0</v>
      </c>
      <c r="AN85" s="151">
        <f t="shared" si="40"/>
        <v>0</v>
      </c>
      <c r="AP85" s="21">
        <f t="shared" si="41"/>
        <v>1</v>
      </c>
      <c r="AQ85" s="170">
        <f t="shared" si="42"/>
        <v>0</v>
      </c>
      <c r="AR85" s="264">
        <f t="shared" si="43"/>
        <v>0</v>
      </c>
    </row>
    <row r="86" spans="2:44" hidden="1">
      <c r="B86" s="21">
        <f>'MaterialCosts Summary'!B86</f>
        <v>78</v>
      </c>
      <c r="C86" s="26"/>
      <c r="D86" s="23">
        <f>'MaterialCosts Summary'!D86</f>
        <v>0</v>
      </c>
      <c r="E86" s="257">
        <f>'MaterialCosts Summary'!E86</f>
        <v>0</v>
      </c>
      <c r="F86" s="258">
        <v>0</v>
      </c>
      <c r="G86" s="258">
        <v>0</v>
      </c>
      <c r="H86" s="258">
        <v>0</v>
      </c>
      <c r="I86" s="259">
        <f t="shared" si="31"/>
        <v>0</v>
      </c>
      <c r="J86" s="259"/>
      <c r="K86" s="260">
        <f t="shared" si="32"/>
        <v>0</v>
      </c>
      <c r="L86" s="259">
        <v>0</v>
      </c>
      <c r="M86" s="260">
        <f t="shared" si="22"/>
        <v>0</v>
      </c>
      <c r="N86" s="259">
        <v>0</v>
      </c>
      <c r="O86" s="260">
        <f t="shared" si="23"/>
        <v>0</v>
      </c>
      <c r="P86" s="259">
        <f t="shared" si="24"/>
        <v>0</v>
      </c>
      <c r="Q86" s="259"/>
      <c r="R86" s="260">
        <f t="shared" si="25"/>
        <v>0</v>
      </c>
      <c r="S86" s="259">
        <f t="shared" si="26"/>
        <v>0</v>
      </c>
      <c r="T86" s="259"/>
      <c r="U86" s="260">
        <f t="shared" si="27"/>
        <v>0</v>
      </c>
      <c r="V86" s="259">
        <f t="shared" si="28"/>
        <v>0</v>
      </c>
      <c r="W86" s="259"/>
      <c r="X86" s="260">
        <f t="shared" si="29"/>
        <v>0</v>
      </c>
      <c r="Y86" s="259">
        <v>0</v>
      </c>
      <c r="Z86" s="260">
        <f t="shared" si="30"/>
        <v>0</v>
      </c>
      <c r="AA86" s="259">
        <v>0</v>
      </c>
      <c r="AB86" s="24">
        <v>1</v>
      </c>
      <c r="AC86" s="261">
        <f t="shared" si="33"/>
        <v>0</v>
      </c>
      <c r="AD86" s="299">
        <f t="shared" si="34"/>
        <v>0</v>
      </c>
      <c r="AE86" s="262">
        <f t="shared" si="35"/>
        <v>0</v>
      </c>
      <c r="AF86" s="263">
        <f t="shared" si="35"/>
        <v>0</v>
      </c>
      <c r="AG86" s="255"/>
      <c r="AI86" s="154">
        <f t="shared" si="36"/>
        <v>0</v>
      </c>
      <c r="AJ86" s="157">
        <f t="shared" si="37"/>
        <v>0</v>
      </c>
      <c r="AK86" s="148">
        <f t="shared" si="38"/>
        <v>0</v>
      </c>
      <c r="AM86" s="161">
        <f t="shared" si="39"/>
        <v>0</v>
      </c>
      <c r="AN86" s="151">
        <f t="shared" si="40"/>
        <v>0</v>
      </c>
      <c r="AP86" s="21">
        <f t="shared" si="41"/>
        <v>1</v>
      </c>
      <c r="AQ86" s="170">
        <f t="shared" si="42"/>
        <v>0</v>
      </c>
      <c r="AR86" s="264">
        <f t="shared" si="43"/>
        <v>0</v>
      </c>
    </row>
    <row r="87" spans="2:44" hidden="1">
      <c r="B87" s="21">
        <f>'MaterialCosts Summary'!B87</f>
        <v>79</v>
      </c>
      <c r="C87" s="26"/>
      <c r="D87" s="23">
        <f>'MaterialCosts Summary'!D87</f>
        <v>0</v>
      </c>
      <c r="E87" s="257">
        <f>'MaterialCosts Summary'!E87</f>
        <v>0</v>
      </c>
      <c r="F87" s="258">
        <v>0</v>
      </c>
      <c r="G87" s="258">
        <v>0</v>
      </c>
      <c r="H87" s="258">
        <v>0</v>
      </c>
      <c r="I87" s="259">
        <f t="shared" si="31"/>
        <v>0</v>
      </c>
      <c r="J87" s="259"/>
      <c r="K87" s="260">
        <f t="shared" si="32"/>
        <v>0</v>
      </c>
      <c r="L87" s="259">
        <v>0</v>
      </c>
      <c r="M87" s="260">
        <f t="shared" si="22"/>
        <v>0</v>
      </c>
      <c r="N87" s="259">
        <v>0</v>
      </c>
      <c r="O87" s="260">
        <f t="shared" si="23"/>
        <v>0</v>
      </c>
      <c r="P87" s="259">
        <f t="shared" si="24"/>
        <v>0</v>
      </c>
      <c r="Q87" s="259"/>
      <c r="R87" s="260">
        <f t="shared" si="25"/>
        <v>0</v>
      </c>
      <c r="S87" s="259">
        <f t="shared" si="26"/>
        <v>0</v>
      </c>
      <c r="T87" s="259"/>
      <c r="U87" s="260">
        <f t="shared" si="27"/>
        <v>0</v>
      </c>
      <c r="V87" s="259">
        <f t="shared" si="28"/>
        <v>0</v>
      </c>
      <c r="W87" s="259"/>
      <c r="X87" s="260">
        <f t="shared" si="29"/>
        <v>0</v>
      </c>
      <c r="Y87" s="259">
        <v>0</v>
      </c>
      <c r="Z87" s="260">
        <f t="shared" si="30"/>
        <v>0</v>
      </c>
      <c r="AA87" s="259">
        <v>0</v>
      </c>
      <c r="AB87" s="24">
        <v>1</v>
      </c>
      <c r="AC87" s="261">
        <f t="shared" si="33"/>
        <v>0</v>
      </c>
      <c r="AD87" s="300">
        <f t="shared" si="34"/>
        <v>0</v>
      </c>
      <c r="AE87" s="262">
        <f t="shared" si="35"/>
        <v>0</v>
      </c>
      <c r="AF87" s="263">
        <f t="shared" si="35"/>
        <v>0</v>
      </c>
      <c r="AG87" s="255"/>
      <c r="AI87" s="154">
        <f t="shared" si="36"/>
        <v>0</v>
      </c>
      <c r="AJ87" s="157">
        <f t="shared" si="37"/>
        <v>0</v>
      </c>
      <c r="AK87" s="148">
        <f t="shared" si="38"/>
        <v>0</v>
      </c>
      <c r="AM87" s="161">
        <f t="shared" si="39"/>
        <v>0</v>
      </c>
      <c r="AN87" s="151">
        <f t="shared" si="40"/>
        <v>0</v>
      </c>
      <c r="AP87" s="21">
        <f t="shared" si="41"/>
        <v>1</v>
      </c>
      <c r="AQ87" s="170">
        <f t="shared" si="42"/>
        <v>0</v>
      </c>
      <c r="AR87" s="264">
        <f t="shared" si="43"/>
        <v>0</v>
      </c>
    </row>
    <row r="88" spans="2:44" hidden="1">
      <c r="B88" s="21">
        <f>'MaterialCosts Summary'!B88</f>
        <v>80</v>
      </c>
      <c r="C88" s="26"/>
      <c r="D88" s="23">
        <f>'MaterialCosts Summary'!D88</f>
        <v>0</v>
      </c>
      <c r="E88" s="257">
        <f>'MaterialCosts Summary'!E88</f>
        <v>0</v>
      </c>
      <c r="F88" s="258">
        <v>0</v>
      </c>
      <c r="G88" s="258">
        <v>0</v>
      </c>
      <c r="H88" s="258">
        <v>0</v>
      </c>
      <c r="I88" s="259">
        <f t="shared" si="31"/>
        <v>0</v>
      </c>
      <c r="J88" s="259"/>
      <c r="K88" s="260">
        <f t="shared" si="32"/>
        <v>0</v>
      </c>
      <c r="L88" s="259">
        <v>0</v>
      </c>
      <c r="M88" s="260">
        <f t="shared" si="22"/>
        <v>0</v>
      </c>
      <c r="N88" s="259">
        <v>0</v>
      </c>
      <c r="O88" s="260">
        <f t="shared" si="23"/>
        <v>0</v>
      </c>
      <c r="P88" s="259">
        <f t="shared" si="24"/>
        <v>0</v>
      </c>
      <c r="Q88" s="259"/>
      <c r="R88" s="260">
        <f t="shared" si="25"/>
        <v>0</v>
      </c>
      <c r="S88" s="259">
        <f t="shared" si="26"/>
        <v>0</v>
      </c>
      <c r="T88" s="259"/>
      <c r="U88" s="260">
        <f t="shared" si="27"/>
        <v>0</v>
      </c>
      <c r="V88" s="259">
        <f t="shared" si="28"/>
        <v>0</v>
      </c>
      <c r="W88" s="259"/>
      <c r="X88" s="260">
        <f t="shared" si="29"/>
        <v>0</v>
      </c>
      <c r="Y88" s="259">
        <v>0</v>
      </c>
      <c r="Z88" s="260">
        <f t="shared" si="30"/>
        <v>0</v>
      </c>
      <c r="AA88" s="259">
        <v>0</v>
      </c>
      <c r="AB88" s="24">
        <v>1</v>
      </c>
      <c r="AC88" s="261">
        <f t="shared" si="33"/>
        <v>0</v>
      </c>
      <c r="AD88" s="300">
        <f t="shared" si="34"/>
        <v>0</v>
      </c>
      <c r="AE88" s="262">
        <f t="shared" si="35"/>
        <v>0</v>
      </c>
      <c r="AF88" s="263">
        <f t="shared" si="35"/>
        <v>0</v>
      </c>
      <c r="AG88" s="255"/>
      <c r="AI88" s="154">
        <f t="shared" si="36"/>
        <v>0</v>
      </c>
      <c r="AJ88" s="157">
        <f t="shared" si="37"/>
        <v>0</v>
      </c>
      <c r="AK88" s="148">
        <f t="shared" si="38"/>
        <v>0</v>
      </c>
      <c r="AM88" s="161">
        <f t="shared" si="39"/>
        <v>0</v>
      </c>
      <c r="AN88" s="151">
        <f t="shared" si="40"/>
        <v>0</v>
      </c>
      <c r="AP88" s="21">
        <f t="shared" si="41"/>
        <v>1</v>
      </c>
      <c r="AQ88" s="170">
        <f t="shared" si="42"/>
        <v>0</v>
      </c>
      <c r="AR88" s="264">
        <f t="shared" si="43"/>
        <v>0</v>
      </c>
    </row>
    <row r="89" spans="2:44" hidden="1">
      <c r="B89" s="21">
        <f>'MaterialCosts Summary'!B89</f>
        <v>81</v>
      </c>
      <c r="C89" s="26"/>
      <c r="D89" s="23">
        <f>'MaterialCosts Summary'!D89</f>
        <v>0</v>
      </c>
      <c r="E89" s="257">
        <f>'MaterialCosts Summary'!E89</f>
        <v>0</v>
      </c>
      <c r="F89" s="258">
        <v>0</v>
      </c>
      <c r="G89" s="258">
        <v>0</v>
      </c>
      <c r="H89" s="258">
        <v>0</v>
      </c>
      <c r="I89" s="259">
        <f t="shared" si="31"/>
        <v>0</v>
      </c>
      <c r="J89" s="259"/>
      <c r="K89" s="260">
        <f t="shared" si="32"/>
        <v>0</v>
      </c>
      <c r="L89" s="259">
        <v>0</v>
      </c>
      <c r="M89" s="260">
        <f t="shared" si="22"/>
        <v>0</v>
      </c>
      <c r="N89" s="259">
        <v>0</v>
      </c>
      <c r="O89" s="260">
        <f t="shared" si="23"/>
        <v>0</v>
      </c>
      <c r="P89" s="259">
        <f t="shared" si="24"/>
        <v>0</v>
      </c>
      <c r="Q89" s="259"/>
      <c r="R89" s="260">
        <f t="shared" si="25"/>
        <v>0</v>
      </c>
      <c r="S89" s="259">
        <f t="shared" si="26"/>
        <v>0</v>
      </c>
      <c r="T89" s="259"/>
      <c r="U89" s="260">
        <f t="shared" si="27"/>
        <v>0</v>
      </c>
      <c r="V89" s="259">
        <f t="shared" si="28"/>
        <v>0</v>
      </c>
      <c r="W89" s="259"/>
      <c r="X89" s="260">
        <f t="shared" si="29"/>
        <v>0</v>
      </c>
      <c r="Y89" s="259">
        <v>0</v>
      </c>
      <c r="Z89" s="260">
        <f t="shared" si="30"/>
        <v>0</v>
      </c>
      <c r="AA89" s="259">
        <v>0</v>
      </c>
      <c r="AB89" s="24">
        <v>1</v>
      </c>
      <c r="AC89" s="261">
        <f t="shared" si="33"/>
        <v>0</v>
      </c>
      <c r="AD89" s="298">
        <f t="shared" si="34"/>
        <v>0</v>
      </c>
      <c r="AE89" s="262">
        <f t="shared" si="35"/>
        <v>0</v>
      </c>
      <c r="AF89" s="263">
        <f t="shared" si="35"/>
        <v>0</v>
      </c>
      <c r="AG89" s="255"/>
      <c r="AI89" s="154">
        <f t="shared" si="36"/>
        <v>0</v>
      </c>
      <c r="AJ89" s="157">
        <f t="shared" si="37"/>
        <v>0</v>
      </c>
      <c r="AK89" s="148">
        <f t="shared" si="38"/>
        <v>0</v>
      </c>
      <c r="AM89" s="161">
        <f t="shared" si="39"/>
        <v>0</v>
      </c>
      <c r="AN89" s="151">
        <f t="shared" si="40"/>
        <v>0</v>
      </c>
      <c r="AP89" s="21">
        <f t="shared" si="41"/>
        <v>1</v>
      </c>
      <c r="AQ89" s="170">
        <f t="shared" si="42"/>
        <v>0</v>
      </c>
      <c r="AR89" s="264">
        <f t="shared" si="43"/>
        <v>0</v>
      </c>
    </row>
    <row r="90" spans="2:44" hidden="1">
      <c r="B90" s="21">
        <f>'MaterialCosts Summary'!B90</f>
        <v>82</v>
      </c>
      <c r="C90" s="26"/>
      <c r="D90" s="23">
        <f>'MaterialCosts Summary'!D90</f>
        <v>0</v>
      </c>
      <c r="E90" s="257">
        <f>'MaterialCosts Summary'!E90</f>
        <v>0</v>
      </c>
      <c r="F90" s="258">
        <v>0</v>
      </c>
      <c r="G90" s="258">
        <v>0</v>
      </c>
      <c r="H90" s="258">
        <v>0</v>
      </c>
      <c r="I90" s="259">
        <f t="shared" si="31"/>
        <v>0</v>
      </c>
      <c r="J90" s="259"/>
      <c r="K90" s="260">
        <f t="shared" si="32"/>
        <v>0</v>
      </c>
      <c r="L90" s="259">
        <v>0</v>
      </c>
      <c r="M90" s="260">
        <f t="shared" si="22"/>
        <v>0</v>
      </c>
      <c r="N90" s="259">
        <v>0</v>
      </c>
      <c r="O90" s="260">
        <f t="shared" si="23"/>
        <v>0</v>
      </c>
      <c r="P90" s="259">
        <f t="shared" si="24"/>
        <v>0</v>
      </c>
      <c r="Q90" s="259"/>
      <c r="R90" s="260">
        <f t="shared" si="25"/>
        <v>0</v>
      </c>
      <c r="S90" s="259">
        <f t="shared" si="26"/>
        <v>0</v>
      </c>
      <c r="T90" s="259"/>
      <c r="U90" s="260">
        <f t="shared" si="27"/>
        <v>0</v>
      </c>
      <c r="V90" s="259">
        <f t="shared" si="28"/>
        <v>0</v>
      </c>
      <c r="W90" s="259"/>
      <c r="X90" s="260">
        <f t="shared" si="29"/>
        <v>0</v>
      </c>
      <c r="Y90" s="259">
        <v>0</v>
      </c>
      <c r="Z90" s="260">
        <f t="shared" si="30"/>
        <v>0</v>
      </c>
      <c r="AA90" s="259">
        <v>0</v>
      </c>
      <c r="AB90" s="24">
        <v>1</v>
      </c>
      <c r="AC90" s="261">
        <f t="shared" si="33"/>
        <v>0</v>
      </c>
      <c r="AD90" s="299">
        <f t="shared" si="34"/>
        <v>0</v>
      </c>
      <c r="AE90" s="262">
        <f t="shared" si="35"/>
        <v>0</v>
      </c>
      <c r="AF90" s="263">
        <f t="shared" si="35"/>
        <v>0</v>
      </c>
      <c r="AG90" s="255"/>
      <c r="AI90" s="154">
        <f t="shared" si="36"/>
        <v>0</v>
      </c>
      <c r="AJ90" s="157">
        <f t="shared" si="37"/>
        <v>0</v>
      </c>
      <c r="AK90" s="148">
        <f t="shared" si="38"/>
        <v>0</v>
      </c>
      <c r="AM90" s="161">
        <f t="shared" si="39"/>
        <v>0</v>
      </c>
      <c r="AN90" s="151">
        <f t="shared" si="40"/>
        <v>0</v>
      </c>
      <c r="AP90" s="21">
        <f t="shared" si="41"/>
        <v>1</v>
      </c>
      <c r="AQ90" s="170">
        <f t="shared" si="42"/>
        <v>0</v>
      </c>
      <c r="AR90" s="264">
        <f t="shared" si="43"/>
        <v>0</v>
      </c>
    </row>
    <row r="91" spans="2:44" hidden="1">
      <c r="B91" s="21">
        <f>'MaterialCosts Summary'!B91</f>
        <v>83</v>
      </c>
      <c r="C91" s="26"/>
      <c r="D91" s="23">
        <f>'MaterialCosts Summary'!D91</f>
        <v>0</v>
      </c>
      <c r="E91" s="257">
        <f>'MaterialCosts Summary'!E91</f>
        <v>0</v>
      </c>
      <c r="F91" s="258">
        <v>0</v>
      </c>
      <c r="G91" s="258">
        <v>0</v>
      </c>
      <c r="H91" s="258">
        <v>0</v>
      </c>
      <c r="I91" s="259">
        <f t="shared" si="31"/>
        <v>0</v>
      </c>
      <c r="J91" s="259"/>
      <c r="K91" s="260">
        <f t="shared" si="32"/>
        <v>0</v>
      </c>
      <c r="L91" s="259">
        <v>0</v>
      </c>
      <c r="M91" s="260">
        <f t="shared" si="22"/>
        <v>0</v>
      </c>
      <c r="N91" s="259">
        <v>0</v>
      </c>
      <c r="O91" s="260">
        <f t="shared" si="23"/>
        <v>0</v>
      </c>
      <c r="P91" s="259">
        <f t="shared" si="24"/>
        <v>0</v>
      </c>
      <c r="Q91" s="259"/>
      <c r="R91" s="260">
        <f t="shared" si="25"/>
        <v>0</v>
      </c>
      <c r="S91" s="259">
        <f t="shared" si="26"/>
        <v>0</v>
      </c>
      <c r="T91" s="259"/>
      <c r="U91" s="260">
        <f t="shared" si="27"/>
        <v>0</v>
      </c>
      <c r="V91" s="259">
        <f t="shared" si="28"/>
        <v>0</v>
      </c>
      <c r="W91" s="259"/>
      <c r="X91" s="260">
        <f t="shared" si="29"/>
        <v>0</v>
      </c>
      <c r="Y91" s="259">
        <v>0</v>
      </c>
      <c r="Z91" s="260">
        <f t="shared" si="30"/>
        <v>0</v>
      </c>
      <c r="AA91" s="259">
        <v>0</v>
      </c>
      <c r="AB91" s="24">
        <v>1</v>
      </c>
      <c r="AC91" s="261">
        <f t="shared" si="33"/>
        <v>0</v>
      </c>
      <c r="AD91" s="300">
        <f t="shared" si="34"/>
        <v>0</v>
      </c>
      <c r="AE91" s="262">
        <f t="shared" si="35"/>
        <v>0</v>
      </c>
      <c r="AF91" s="263">
        <f t="shared" si="35"/>
        <v>0</v>
      </c>
      <c r="AG91" s="255"/>
      <c r="AI91" s="154">
        <f t="shared" si="36"/>
        <v>0</v>
      </c>
      <c r="AJ91" s="157">
        <f t="shared" si="37"/>
        <v>0</v>
      </c>
      <c r="AK91" s="148">
        <f t="shared" si="38"/>
        <v>0</v>
      </c>
      <c r="AM91" s="161">
        <f t="shared" si="39"/>
        <v>0</v>
      </c>
      <c r="AN91" s="151">
        <f t="shared" si="40"/>
        <v>0</v>
      </c>
      <c r="AP91" s="21">
        <f t="shared" si="41"/>
        <v>1</v>
      </c>
      <c r="AQ91" s="170">
        <f t="shared" si="42"/>
        <v>0</v>
      </c>
      <c r="AR91" s="264">
        <f t="shared" si="43"/>
        <v>0</v>
      </c>
    </row>
    <row r="92" spans="2:44" hidden="1">
      <c r="B92" s="21">
        <f>'MaterialCosts Summary'!B92</f>
        <v>84</v>
      </c>
      <c r="C92" s="26"/>
      <c r="D92" s="23">
        <f>'MaterialCosts Summary'!D92</f>
        <v>0</v>
      </c>
      <c r="E92" s="257">
        <f>'MaterialCosts Summary'!E92</f>
        <v>0</v>
      </c>
      <c r="F92" s="258">
        <v>0</v>
      </c>
      <c r="G92" s="258">
        <v>0</v>
      </c>
      <c r="H92" s="258">
        <v>0</v>
      </c>
      <c r="I92" s="259">
        <f t="shared" si="31"/>
        <v>0</v>
      </c>
      <c r="J92" s="259"/>
      <c r="K92" s="260">
        <f t="shared" si="32"/>
        <v>0</v>
      </c>
      <c r="L92" s="259">
        <v>0</v>
      </c>
      <c r="M92" s="260">
        <f t="shared" si="22"/>
        <v>0</v>
      </c>
      <c r="N92" s="259">
        <v>0</v>
      </c>
      <c r="O92" s="260">
        <f t="shared" si="23"/>
        <v>0</v>
      </c>
      <c r="P92" s="259">
        <f t="shared" si="24"/>
        <v>0</v>
      </c>
      <c r="Q92" s="259"/>
      <c r="R92" s="260">
        <f t="shared" si="25"/>
        <v>0</v>
      </c>
      <c r="S92" s="259">
        <f t="shared" si="26"/>
        <v>0</v>
      </c>
      <c r="T92" s="259"/>
      <c r="U92" s="260">
        <f t="shared" si="27"/>
        <v>0</v>
      </c>
      <c r="V92" s="259">
        <f t="shared" si="28"/>
        <v>0</v>
      </c>
      <c r="W92" s="259"/>
      <c r="X92" s="260">
        <f t="shared" si="29"/>
        <v>0</v>
      </c>
      <c r="Y92" s="259">
        <v>0</v>
      </c>
      <c r="Z92" s="260">
        <f t="shared" si="30"/>
        <v>0</v>
      </c>
      <c r="AA92" s="259">
        <v>0</v>
      </c>
      <c r="AB92" s="24">
        <v>1</v>
      </c>
      <c r="AC92" s="261">
        <f t="shared" si="33"/>
        <v>0</v>
      </c>
      <c r="AD92" s="300">
        <f t="shared" si="34"/>
        <v>0</v>
      </c>
      <c r="AE92" s="262">
        <f t="shared" si="35"/>
        <v>0</v>
      </c>
      <c r="AF92" s="263">
        <f t="shared" si="35"/>
        <v>0</v>
      </c>
      <c r="AG92" s="255"/>
      <c r="AI92" s="154">
        <f t="shared" si="36"/>
        <v>0</v>
      </c>
      <c r="AJ92" s="157">
        <f t="shared" si="37"/>
        <v>0</v>
      </c>
      <c r="AK92" s="148">
        <f t="shared" si="38"/>
        <v>0</v>
      </c>
      <c r="AM92" s="161">
        <f t="shared" si="39"/>
        <v>0</v>
      </c>
      <c r="AN92" s="151">
        <f t="shared" si="40"/>
        <v>0</v>
      </c>
      <c r="AP92" s="21">
        <f t="shared" si="41"/>
        <v>1</v>
      </c>
      <c r="AQ92" s="170">
        <f t="shared" si="42"/>
        <v>0</v>
      </c>
      <c r="AR92" s="264">
        <f t="shared" si="43"/>
        <v>0</v>
      </c>
    </row>
    <row r="93" spans="2:44" hidden="1">
      <c r="B93" s="21">
        <f>'MaterialCosts Summary'!B93</f>
        <v>85</v>
      </c>
      <c r="C93" s="26"/>
      <c r="D93" s="23">
        <f>'MaterialCosts Summary'!D93</f>
        <v>0</v>
      </c>
      <c r="E93" s="257">
        <f>'MaterialCosts Summary'!E93</f>
        <v>0</v>
      </c>
      <c r="F93" s="258">
        <v>0</v>
      </c>
      <c r="G93" s="258">
        <v>0</v>
      </c>
      <c r="H93" s="258">
        <v>0</v>
      </c>
      <c r="I93" s="259">
        <f t="shared" si="31"/>
        <v>0</v>
      </c>
      <c r="J93" s="259"/>
      <c r="K93" s="260">
        <f t="shared" si="32"/>
        <v>0</v>
      </c>
      <c r="L93" s="259">
        <v>0</v>
      </c>
      <c r="M93" s="260">
        <f t="shared" si="22"/>
        <v>0</v>
      </c>
      <c r="N93" s="259">
        <v>0</v>
      </c>
      <c r="O93" s="260">
        <f t="shared" si="23"/>
        <v>0</v>
      </c>
      <c r="P93" s="259">
        <f t="shared" si="24"/>
        <v>0</v>
      </c>
      <c r="Q93" s="259"/>
      <c r="R93" s="260">
        <f t="shared" si="25"/>
        <v>0</v>
      </c>
      <c r="S93" s="259">
        <f t="shared" si="26"/>
        <v>0</v>
      </c>
      <c r="T93" s="259"/>
      <c r="U93" s="260">
        <f t="shared" si="27"/>
        <v>0</v>
      </c>
      <c r="V93" s="259">
        <f t="shared" si="28"/>
        <v>0</v>
      </c>
      <c r="W93" s="259"/>
      <c r="X93" s="260">
        <f t="shared" si="29"/>
        <v>0</v>
      </c>
      <c r="Y93" s="259">
        <v>0</v>
      </c>
      <c r="Z93" s="260">
        <f t="shared" si="30"/>
        <v>0</v>
      </c>
      <c r="AA93" s="259">
        <v>0</v>
      </c>
      <c r="AB93" s="24">
        <v>1</v>
      </c>
      <c r="AC93" s="261">
        <f t="shared" si="33"/>
        <v>0</v>
      </c>
      <c r="AD93" s="298">
        <f t="shared" si="34"/>
        <v>0</v>
      </c>
      <c r="AE93" s="262">
        <f t="shared" si="35"/>
        <v>0</v>
      </c>
      <c r="AF93" s="263">
        <f t="shared" si="35"/>
        <v>0</v>
      </c>
      <c r="AG93" s="255"/>
      <c r="AI93" s="154">
        <f t="shared" si="36"/>
        <v>0</v>
      </c>
      <c r="AJ93" s="157">
        <f t="shared" si="37"/>
        <v>0</v>
      </c>
      <c r="AK93" s="148">
        <f t="shared" si="38"/>
        <v>0</v>
      </c>
      <c r="AM93" s="161">
        <f t="shared" si="39"/>
        <v>0</v>
      </c>
      <c r="AN93" s="151">
        <f t="shared" si="40"/>
        <v>0</v>
      </c>
      <c r="AP93" s="21">
        <f t="shared" si="41"/>
        <v>1</v>
      </c>
      <c r="AQ93" s="170">
        <f t="shared" si="42"/>
        <v>0</v>
      </c>
      <c r="AR93" s="264">
        <f t="shared" si="43"/>
        <v>0</v>
      </c>
    </row>
    <row r="94" spans="2:44" hidden="1">
      <c r="B94" s="21">
        <f>'MaterialCosts Summary'!B94</f>
        <v>86</v>
      </c>
      <c r="C94" s="26"/>
      <c r="D94" s="23">
        <f>'MaterialCosts Summary'!D94</f>
        <v>0</v>
      </c>
      <c r="E94" s="257">
        <f>'MaterialCosts Summary'!E94</f>
        <v>0</v>
      </c>
      <c r="F94" s="258">
        <v>0</v>
      </c>
      <c r="G94" s="258">
        <v>0</v>
      </c>
      <c r="H94" s="258">
        <v>0</v>
      </c>
      <c r="I94" s="259">
        <f t="shared" si="31"/>
        <v>0</v>
      </c>
      <c r="J94" s="259"/>
      <c r="K94" s="260">
        <f t="shared" si="32"/>
        <v>0</v>
      </c>
      <c r="L94" s="259">
        <v>0</v>
      </c>
      <c r="M94" s="260">
        <f t="shared" si="22"/>
        <v>0</v>
      </c>
      <c r="N94" s="259">
        <v>0</v>
      </c>
      <c r="O94" s="260">
        <f t="shared" si="23"/>
        <v>0</v>
      </c>
      <c r="P94" s="259">
        <f t="shared" si="24"/>
        <v>0</v>
      </c>
      <c r="Q94" s="259"/>
      <c r="R94" s="260">
        <f t="shared" si="25"/>
        <v>0</v>
      </c>
      <c r="S94" s="259">
        <f t="shared" si="26"/>
        <v>0</v>
      </c>
      <c r="T94" s="259"/>
      <c r="U94" s="260">
        <f t="shared" si="27"/>
        <v>0</v>
      </c>
      <c r="V94" s="259">
        <f t="shared" si="28"/>
        <v>0</v>
      </c>
      <c r="W94" s="259"/>
      <c r="X94" s="260">
        <f t="shared" si="29"/>
        <v>0</v>
      </c>
      <c r="Y94" s="259">
        <v>0</v>
      </c>
      <c r="Z94" s="260">
        <f t="shared" si="30"/>
        <v>0</v>
      </c>
      <c r="AA94" s="259">
        <v>0</v>
      </c>
      <c r="AB94" s="24">
        <v>1</v>
      </c>
      <c r="AC94" s="261">
        <f t="shared" si="33"/>
        <v>0</v>
      </c>
      <c r="AD94" s="299">
        <f t="shared" si="34"/>
        <v>0</v>
      </c>
      <c r="AE94" s="262">
        <f t="shared" si="35"/>
        <v>0</v>
      </c>
      <c r="AF94" s="263">
        <f t="shared" si="35"/>
        <v>0</v>
      </c>
      <c r="AG94" s="255"/>
      <c r="AI94" s="154">
        <f t="shared" si="36"/>
        <v>0</v>
      </c>
      <c r="AJ94" s="157">
        <f t="shared" si="37"/>
        <v>0</v>
      </c>
      <c r="AK94" s="148">
        <f t="shared" si="38"/>
        <v>0</v>
      </c>
      <c r="AM94" s="161">
        <f t="shared" si="39"/>
        <v>0</v>
      </c>
      <c r="AN94" s="151">
        <f t="shared" si="40"/>
        <v>0</v>
      </c>
      <c r="AP94" s="21">
        <f t="shared" si="41"/>
        <v>1</v>
      </c>
      <c r="AQ94" s="170">
        <f t="shared" si="42"/>
        <v>0</v>
      </c>
      <c r="AR94" s="264">
        <f t="shared" si="43"/>
        <v>0</v>
      </c>
    </row>
    <row r="95" spans="2:44" hidden="1">
      <c r="B95" s="21">
        <f>'MaterialCosts Summary'!B95</f>
        <v>87</v>
      </c>
      <c r="C95" s="26"/>
      <c r="D95" s="23">
        <f>'MaterialCosts Summary'!D95</f>
        <v>0</v>
      </c>
      <c r="E95" s="257">
        <f>'MaterialCosts Summary'!E95</f>
        <v>0</v>
      </c>
      <c r="F95" s="258">
        <v>0</v>
      </c>
      <c r="G95" s="258">
        <v>0</v>
      </c>
      <c r="H95" s="258">
        <v>0</v>
      </c>
      <c r="I95" s="259">
        <f t="shared" si="31"/>
        <v>0</v>
      </c>
      <c r="J95" s="259"/>
      <c r="K95" s="260">
        <f t="shared" si="32"/>
        <v>0</v>
      </c>
      <c r="L95" s="259">
        <v>0</v>
      </c>
      <c r="M95" s="260">
        <f t="shared" si="22"/>
        <v>0</v>
      </c>
      <c r="N95" s="259">
        <v>0</v>
      </c>
      <c r="O95" s="260">
        <f t="shared" si="23"/>
        <v>0</v>
      </c>
      <c r="P95" s="259">
        <f t="shared" si="24"/>
        <v>0</v>
      </c>
      <c r="Q95" s="259"/>
      <c r="R95" s="260">
        <f t="shared" si="25"/>
        <v>0</v>
      </c>
      <c r="S95" s="259">
        <f t="shared" si="26"/>
        <v>0</v>
      </c>
      <c r="T95" s="259"/>
      <c r="U95" s="260">
        <f t="shared" si="27"/>
        <v>0</v>
      </c>
      <c r="V95" s="259">
        <f t="shared" si="28"/>
        <v>0</v>
      </c>
      <c r="W95" s="259"/>
      <c r="X95" s="260">
        <f t="shared" si="29"/>
        <v>0</v>
      </c>
      <c r="Y95" s="259">
        <v>0</v>
      </c>
      <c r="Z95" s="260">
        <f t="shared" si="30"/>
        <v>0</v>
      </c>
      <c r="AA95" s="259">
        <v>0</v>
      </c>
      <c r="AB95" s="24">
        <v>1</v>
      </c>
      <c r="AC95" s="261">
        <f t="shared" si="33"/>
        <v>0</v>
      </c>
      <c r="AD95" s="300">
        <f t="shared" si="34"/>
        <v>0</v>
      </c>
      <c r="AE95" s="262">
        <f t="shared" si="35"/>
        <v>0</v>
      </c>
      <c r="AF95" s="263">
        <f t="shared" si="35"/>
        <v>0</v>
      </c>
      <c r="AG95" s="255"/>
      <c r="AI95" s="154">
        <f t="shared" si="36"/>
        <v>0</v>
      </c>
      <c r="AJ95" s="157">
        <f t="shared" si="37"/>
        <v>0</v>
      </c>
      <c r="AK95" s="148">
        <f t="shared" si="38"/>
        <v>0</v>
      </c>
      <c r="AM95" s="161">
        <f t="shared" si="39"/>
        <v>0</v>
      </c>
      <c r="AN95" s="151">
        <f t="shared" si="40"/>
        <v>0</v>
      </c>
      <c r="AP95" s="21">
        <f t="shared" si="41"/>
        <v>1</v>
      </c>
      <c r="AQ95" s="170">
        <f t="shared" si="42"/>
        <v>0</v>
      </c>
      <c r="AR95" s="264">
        <f t="shared" si="43"/>
        <v>0</v>
      </c>
    </row>
    <row r="96" spans="2:44" hidden="1">
      <c r="B96" s="21">
        <f>'MaterialCosts Summary'!B96</f>
        <v>88</v>
      </c>
      <c r="C96" s="26"/>
      <c r="D96" s="23">
        <f>'MaterialCosts Summary'!D96</f>
        <v>0</v>
      </c>
      <c r="E96" s="257">
        <f>'MaterialCosts Summary'!E96</f>
        <v>0</v>
      </c>
      <c r="F96" s="258">
        <v>0</v>
      </c>
      <c r="G96" s="258">
        <v>0</v>
      </c>
      <c r="H96" s="258">
        <v>0</v>
      </c>
      <c r="I96" s="259">
        <f t="shared" si="31"/>
        <v>0</v>
      </c>
      <c r="J96" s="259"/>
      <c r="K96" s="260">
        <f t="shared" si="32"/>
        <v>0</v>
      </c>
      <c r="L96" s="259">
        <v>0</v>
      </c>
      <c r="M96" s="260">
        <f t="shared" si="22"/>
        <v>0</v>
      </c>
      <c r="N96" s="259">
        <v>0</v>
      </c>
      <c r="O96" s="260">
        <f t="shared" si="23"/>
        <v>0</v>
      </c>
      <c r="P96" s="259">
        <f t="shared" si="24"/>
        <v>0</v>
      </c>
      <c r="Q96" s="259"/>
      <c r="R96" s="260">
        <f t="shared" si="25"/>
        <v>0</v>
      </c>
      <c r="S96" s="259">
        <f t="shared" si="26"/>
        <v>0</v>
      </c>
      <c r="T96" s="259"/>
      <c r="U96" s="260">
        <f t="shared" si="27"/>
        <v>0</v>
      </c>
      <c r="V96" s="259">
        <f t="shared" si="28"/>
        <v>0</v>
      </c>
      <c r="W96" s="259"/>
      <c r="X96" s="260">
        <f t="shared" si="29"/>
        <v>0</v>
      </c>
      <c r="Y96" s="259">
        <v>0</v>
      </c>
      <c r="Z96" s="260">
        <f t="shared" si="30"/>
        <v>0</v>
      </c>
      <c r="AA96" s="259">
        <v>0</v>
      </c>
      <c r="AB96" s="24">
        <v>1</v>
      </c>
      <c r="AC96" s="261">
        <f t="shared" si="33"/>
        <v>0</v>
      </c>
      <c r="AD96" s="300">
        <f t="shared" si="34"/>
        <v>0</v>
      </c>
      <c r="AE96" s="262">
        <f t="shared" si="35"/>
        <v>0</v>
      </c>
      <c r="AF96" s="263">
        <f t="shared" si="35"/>
        <v>0</v>
      </c>
      <c r="AG96" s="255"/>
      <c r="AI96" s="154">
        <f t="shared" si="36"/>
        <v>0</v>
      </c>
      <c r="AJ96" s="157">
        <f t="shared" si="37"/>
        <v>0</v>
      </c>
      <c r="AK96" s="148">
        <f t="shared" si="38"/>
        <v>0</v>
      </c>
      <c r="AM96" s="161">
        <f t="shared" si="39"/>
        <v>0</v>
      </c>
      <c r="AN96" s="151">
        <f t="shared" si="40"/>
        <v>0</v>
      </c>
      <c r="AP96" s="21">
        <f t="shared" si="41"/>
        <v>1</v>
      </c>
      <c r="AQ96" s="170">
        <f t="shared" si="42"/>
        <v>0</v>
      </c>
      <c r="AR96" s="264">
        <f t="shared" si="43"/>
        <v>0</v>
      </c>
    </row>
    <row r="97" spans="2:44" hidden="1">
      <c r="B97" s="21">
        <f>'MaterialCosts Summary'!B97</f>
        <v>89</v>
      </c>
      <c r="C97" s="26"/>
      <c r="D97" s="23">
        <f>'MaterialCosts Summary'!D97</f>
        <v>0</v>
      </c>
      <c r="E97" s="257">
        <f>'MaterialCosts Summary'!E97</f>
        <v>0</v>
      </c>
      <c r="F97" s="258">
        <v>0</v>
      </c>
      <c r="G97" s="258">
        <v>0</v>
      </c>
      <c r="H97" s="258">
        <v>0</v>
      </c>
      <c r="I97" s="259">
        <f t="shared" si="31"/>
        <v>0</v>
      </c>
      <c r="J97" s="259"/>
      <c r="K97" s="260">
        <f t="shared" si="32"/>
        <v>0</v>
      </c>
      <c r="L97" s="259">
        <v>0</v>
      </c>
      <c r="M97" s="260">
        <f t="shared" si="22"/>
        <v>0</v>
      </c>
      <c r="N97" s="259">
        <v>0</v>
      </c>
      <c r="O97" s="260">
        <f t="shared" si="23"/>
        <v>0</v>
      </c>
      <c r="P97" s="259">
        <f t="shared" si="24"/>
        <v>0</v>
      </c>
      <c r="Q97" s="259"/>
      <c r="R97" s="260">
        <f t="shared" si="25"/>
        <v>0</v>
      </c>
      <c r="S97" s="259">
        <f t="shared" si="26"/>
        <v>0</v>
      </c>
      <c r="T97" s="259"/>
      <c r="U97" s="260">
        <f t="shared" si="27"/>
        <v>0</v>
      </c>
      <c r="V97" s="259">
        <f t="shared" si="28"/>
        <v>0</v>
      </c>
      <c r="W97" s="259"/>
      <c r="X97" s="260">
        <f t="shared" si="29"/>
        <v>0</v>
      </c>
      <c r="Y97" s="259">
        <v>0</v>
      </c>
      <c r="Z97" s="260">
        <f t="shared" si="30"/>
        <v>0</v>
      </c>
      <c r="AA97" s="259">
        <v>0</v>
      </c>
      <c r="AB97" s="24">
        <v>1</v>
      </c>
      <c r="AC97" s="261">
        <f t="shared" si="33"/>
        <v>0</v>
      </c>
      <c r="AD97" s="298">
        <f t="shared" si="34"/>
        <v>0</v>
      </c>
      <c r="AE97" s="262">
        <f t="shared" si="35"/>
        <v>0</v>
      </c>
      <c r="AF97" s="263">
        <f t="shared" si="35"/>
        <v>0</v>
      </c>
      <c r="AG97" s="255"/>
      <c r="AI97" s="154">
        <f t="shared" si="36"/>
        <v>0</v>
      </c>
      <c r="AJ97" s="157">
        <f t="shared" si="37"/>
        <v>0</v>
      </c>
      <c r="AK97" s="148">
        <f t="shared" si="38"/>
        <v>0</v>
      </c>
      <c r="AM97" s="161">
        <f t="shared" si="39"/>
        <v>0</v>
      </c>
      <c r="AN97" s="151">
        <f t="shared" si="40"/>
        <v>0</v>
      </c>
      <c r="AP97" s="21">
        <f t="shared" si="41"/>
        <v>1</v>
      </c>
      <c r="AQ97" s="170">
        <f t="shared" si="42"/>
        <v>0</v>
      </c>
      <c r="AR97" s="264">
        <f t="shared" si="43"/>
        <v>0</v>
      </c>
    </row>
    <row r="98" spans="2:44" hidden="1">
      <c r="B98" s="21">
        <f>'MaterialCosts Summary'!B98</f>
        <v>90</v>
      </c>
      <c r="C98" s="26"/>
      <c r="D98" s="23">
        <f>'MaterialCosts Summary'!D98</f>
        <v>0</v>
      </c>
      <c r="E98" s="257">
        <f>'MaterialCosts Summary'!E98</f>
        <v>0</v>
      </c>
      <c r="F98" s="258">
        <v>0</v>
      </c>
      <c r="G98" s="258">
        <v>0</v>
      </c>
      <c r="H98" s="258">
        <v>0</v>
      </c>
      <c r="I98" s="259">
        <f t="shared" si="31"/>
        <v>0</v>
      </c>
      <c r="J98" s="259"/>
      <c r="K98" s="260">
        <f t="shared" si="32"/>
        <v>0</v>
      </c>
      <c r="L98" s="259">
        <v>0</v>
      </c>
      <c r="M98" s="260">
        <f t="shared" si="22"/>
        <v>0</v>
      </c>
      <c r="N98" s="259">
        <v>0</v>
      </c>
      <c r="O98" s="260">
        <f t="shared" si="23"/>
        <v>0</v>
      </c>
      <c r="P98" s="259">
        <f t="shared" si="24"/>
        <v>0</v>
      </c>
      <c r="Q98" s="259"/>
      <c r="R98" s="260">
        <f t="shared" si="25"/>
        <v>0</v>
      </c>
      <c r="S98" s="259">
        <f t="shared" si="26"/>
        <v>0</v>
      </c>
      <c r="T98" s="259"/>
      <c r="U98" s="260">
        <f t="shared" si="27"/>
        <v>0</v>
      </c>
      <c r="V98" s="259">
        <f t="shared" si="28"/>
        <v>0</v>
      </c>
      <c r="W98" s="259"/>
      <c r="X98" s="260">
        <f t="shared" si="29"/>
        <v>0</v>
      </c>
      <c r="Y98" s="259">
        <v>0</v>
      </c>
      <c r="Z98" s="260">
        <f t="shared" si="30"/>
        <v>0</v>
      </c>
      <c r="AA98" s="259">
        <v>0</v>
      </c>
      <c r="AB98" s="24">
        <v>1</v>
      </c>
      <c r="AC98" s="261">
        <f t="shared" si="33"/>
        <v>0</v>
      </c>
      <c r="AD98" s="299">
        <f t="shared" si="34"/>
        <v>0</v>
      </c>
      <c r="AE98" s="262">
        <f t="shared" si="35"/>
        <v>0</v>
      </c>
      <c r="AF98" s="263">
        <f t="shared" si="35"/>
        <v>0</v>
      </c>
      <c r="AG98" s="255"/>
      <c r="AI98" s="154">
        <f t="shared" si="36"/>
        <v>0</v>
      </c>
      <c r="AJ98" s="157">
        <f t="shared" si="37"/>
        <v>0</v>
      </c>
      <c r="AK98" s="148">
        <f t="shared" si="38"/>
        <v>0</v>
      </c>
      <c r="AM98" s="161">
        <f t="shared" si="39"/>
        <v>0</v>
      </c>
      <c r="AN98" s="151">
        <f t="shared" si="40"/>
        <v>0</v>
      </c>
      <c r="AP98" s="21">
        <f t="shared" si="41"/>
        <v>1</v>
      </c>
      <c r="AQ98" s="170">
        <f t="shared" si="42"/>
        <v>0</v>
      </c>
      <c r="AR98" s="264">
        <f t="shared" si="43"/>
        <v>0</v>
      </c>
    </row>
    <row r="99" spans="2:44" hidden="1">
      <c r="B99" s="21">
        <f>'MaterialCosts Summary'!B99</f>
        <v>91</v>
      </c>
      <c r="C99" s="26"/>
      <c r="D99" s="23">
        <f>'MaterialCosts Summary'!D99</f>
        <v>0</v>
      </c>
      <c r="E99" s="257">
        <f>'MaterialCosts Summary'!E99</f>
        <v>0</v>
      </c>
      <c r="F99" s="258">
        <v>0</v>
      </c>
      <c r="G99" s="258">
        <v>0</v>
      </c>
      <c r="H99" s="258">
        <v>0</v>
      </c>
      <c r="I99" s="259">
        <f t="shared" si="31"/>
        <v>0</v>
      </c>
      <c r="J99" s="259"/>
      <c r="K99" s="260">
        <f t="shared" si="32"/>
        <v>0</v>
      </c>
      <c r="L99" s="259">
        <v>0</v>
      </c>
      <c r="M99" s="260">
        <f t="shared" si="22"/>
        <v>0</v>
      </c>
      <c r="N99" s="259">
        <v>0</v>
      </c>
      <c r="O99" s="260">
        <f t="shared" si="23"/>
        <v>0</v>
      </c>
      <c r="P99" s="259">
        <f t="shared" si="24"/>
        <v>0</v>
      </c>
      <c r="Q99" s="259"/>
      <c r="R99" s="260">
        <f t="shared" si="25"/>
        <v>0</v>
      </c>
      <c r="S99" s="259">
        <f t="shared" si="26"/>
        <v>0</v>
      </c>
      <c r="T99" s="259"/>
      <c r="U99" s="260">
        <f t="shared" si="27"/>
        <v>0</v>
      </c>
      <c r="V99" s="259">
        <f t="shared" si="28"/>
        <v>0</v>
      </c>
      <c r="W99" s="259"/>
      <c r="X99" s="260">
        <f t="shared" si="29"/>
        <v>0</v>
      </c>
      <c r="Y99" s="259">
        <v>0</v>
      </c>
      <c r="Z99" s="260">
        <f t="shared" si="30"/>
        <v>0</v>
      </c>
      <c r="AA99" s="259">
        <v>0</v>
      </c>
      <c r="AB99" s="24">
        <v>1</v>
      </c>
      <c r="AC99" s="261">
        <f t="shared" si="33"/>
        <v>0</v>
      </c>
      <c r="AD99" s="300">
        <f t="shared" si="34"/>
        <v>0</v>
      </c>
      <c r="AE99" s="262">
        <f t="shared" si="35"/>
        <v>0</v>
      </c>
      <c r="AF99" s="263">
        <f t="shared" si="35"/>
        <v>0</v>
      </c>
      <c r="AG99" s="255"/>
      <c r="AI99" s="154">
        <f t="shared" si="36"/>
        <v>0</v>
      </c>
      <c r="AJ99" s="157">
        <f t="shared" si="37"/>
        <v>0</v>
      </c>
      <c r="AK99" s="148">
        <f t="shared" si="38"/>
        <v>0</v>
      </c>
      <c r="AM99" s="161">
        <f t="shared" si="39"/>
        <v>0</v>
      </c>
      <c r="AN99" s="151">
        <f t="shared" si="40"/>
        <v>0</v>
      </c>
      <c r="AP99" s="21">
        <f t="shared" si="41"/>
        <v>1</v>
      </c>
      <c r="AQ99" s="170">
        <f t="shared" si="42"/>
        <v>0</v>
      </c>
      <c r="AR99" s="264">
        <f t="shared" si="43"/>
        <v>0</v>
      </c>
    </row>
    <row r="100" spans="2:44" hidden="1">
      <c r="B100" s="21">
        <f>'MaterialCosts Summary'!B100</f>
        <v>92</v>
      </c>
      <c r="C100" s="26"/>
      <c r="D100" s="23">
        <f>'MaterialCosts Summary'!D100</f>
        <v>0</v>
      </c>
      <c r="E100" s="257">
        <f>'MaterialCosts Summary'!E100</f>
        <v>0</v>
      </c>
      <c r="F100" s="258">
        <v>0</v>
      </c>
      <c r="G100" s="258">
        <v>0</v>
      </c>
      <c r="H100" s="258">
        <v>0</v>
      </c>
      <c r="I100" s="259">
        <f t="shared" si="31"/>
        <v>0</v>
      </c>
      <c r="J100" s="259"/>
      <c r="K100" s="260">
        <f t="shared" si="32"/>
        <v>0</v>
      </c>
      <c r="L100" s="259">
        <v>0</v>
      </c>
      <c r="M100" s="260">
        <f t="shared" si="22"/>
        <v>0</v>
      </c>
      <c r="N100" s="259">
        <v>0</v>
      </c>
      <c r="O100" s="260">
        <f t="shared" si="23"/>
        <v>0</v>
      </c>
      <c r="P100" s="259">
        <f t="shared" si="24"/>
        <v>0</v>
      </c>
      <c r="Q100" s="259"/>
      <c r="R100" s="260">
        <f t="shared" si="25"/>
        <v>0</v>
      </c>
      <c r="S100" s="259">
        <f t="shared" si="26"/>
        <v>0</v>
      </c>
      <c r="T100" s="259"/>
      <c r="U100" s="260">
        <f t="shared" si="27"/>
        <v>0</v>
      </c>
      <c r="V100" s="259">
        <f t="shared" si="28"/>
        <v>0</v>
      </c>
      <c r="W100" s="259"/>
      <c r="X100" s="260">
        <f t="shared" si="29"/>
        <v>0</v>
      </c>
      <c r="Y100" s="259">
        <v>0</v>
      </c>
      <c r="Z100" s="260">
        <f t="shared" si="30"/>
        <v>0</v>
      </c>
      <c r="AA100" s="259">
        <v>0</v>
      </c>
      <c r="AB100" s="24">
        <v>1</v>
      </c>
      <c r="AC100" s="261">
        <f t="shared" si="33"/>
        <v>0</v>
      </c>
      <c r="AD100" s="300">
        <f t="shared" si="34"/>
        <v>0</v>
      </c>
      <c r="AE100" s="262">
        <f t="shared" si="35"/>
        <v>0</v>
      </c>
      <c r="AF100" s="263">
        <f t="shared" si="35"/>
        <v>0</v>
      </c>
      <c r="AG100" s="255"/>
      <c r="AI100" s="154">
        <f t="shared" si="36"/>
        <v>0</v>
      </c>
      <c r="AJ100" s="157">
        <f t="shared" si="37"/>
        <v>0</v>
      </c>
      <c r="AK100" s="148">
        <f t="shared" si="38"/>
        <v>0</v>
      </c>
      <c r="AM100" s="161">
        <f t="shared" si="39"/>
        <v>0</v>
      </c>
      <c r="AN100" s="151">
        <f t="shared" si="40"/>
        <v>0</v>
      </c>
      <c r="AP100" s="21">
        <f t="shared" si="41"/>
        <v>1</v>
      </c>
      <c r="AQ100" s="170">
        <f t="shared" si="42"/>
        <v>0</v>
      </c>
      <c r="AR100" s="264">
        <f t="shared" si="43"/>
        <v>0</v>
      </c>
    </row>
    <row r="101" spans="2:44" hidden="1">
      <c r="B101" s="21">
        <f>'MaterialCosts Summary'!B101</f>
        <v>93</v>
      </c>
      <c r="C101" s="26"/>
      <c r="D101" s="23">
        <f>'MaterialCosts Summary'!D101</f>
        <v>0</v>
      </c>
      <c r="E101" s="257">
        <f>'MaterialCosts Summary'!E101</f>
        <v>0</v>
      </c>
      <c r="F101" s="258">
        <v>0</v>
      </c>
      <c r="G101" s="258">
        <v>0</v>
      </c>
      <c r="H101" s="258">
        <v>0</v>
      </c>
      <c r="I101" s="259">
        <f t="shared" si="31"/>
        <v>0</v>
      </c>
      <c r="J101" s="259"/>
      <c r="K101" s="260">
        <f t="shared" si="32"/>
        <v>0</v>
      </c>
      <c r="L101" s="259">
        <v>0</v>
      </c>
      <c r="M101" s="260">
        <f t="shared" si="22"/>
        <v>0</v>
      </c>
      <c r="N101" s="259">
        <v>0</v>
      </c>
      <c r="O101" s="260">
        <f t="shared" si="23"/>
        <v>0</v>
      </c>
      <c r="P101" s="259">
        <f t="shared" si="24"/>
        <v>0</v>
      </c>
      <c r="Q101" s="259"/>
      <c r="R101" s="260">
        <f t="shared" si="25"/>
        <v>0</v>
      </c>
      <c r="S101" s="259">
        <f t="shared" si="26"/>
        <v>0</v>
      </c>
      <c r="T101" s="259"/>
      <c r="U101" s="260">
        <f t="shared" si="27"/>
        <v>0</v>
      </c>
      <c r="V101" s="259">
        <f t="shared" si="28"/>
        <v>0</v>
      </c>
      <c r="W101" s="259"/>
      <c r="X101" s="260">
        <f t="shared" si="29"/>
        <v>0</v>
      </c>
      <c r="Y101" s="259">
        <v>0</v>
      </c>
      <c r="Z101" s="260">
        <f t="shared" si="30"/>
        <v>0</v>
      </c>
      <c r="AA101" s="259">
        <v>0</v>
      </c>
      <c r="AB101" s="24">
        <v>1</v>
      </c>
      <c r="AC101" s="261">
        <f t="shared" si="33"/>
        <v>0</v>
      </c>
      <c r="AD101" s="298">
        <f t="shared" si="34"/>
        <v>0</v>
      </c>
      <c r="AE101" s="262">
        <f t="shared" si="35"/>
        <v>0</v>
      </c>
      <c r="AF101" s="263">
        <f t="shared" si="35"/>
        <v>0</v>
      </c>
      <c r="AG101" s="255"/>
      <c r="AI101" s="154">
        <f t="shared" si="36"/>
        <v>0</v>
      </c>
      <c r="AJ101" s="157">
        <f t="shared" si="37"/>
        <v>0</v>
      </c>
      <c r="AK101" s="148">
        <f t="shared" si="38"/>
        <v>0</v>
      </c>
      <c r="AM101" s="161">
        <f t="shared" si="39"/>
        <v>0</v>
      </c>
      <c r="AN101" s="151">
        <f t="shared" si="40"/>
        <v>0</v>
      </c>
      <c r="AP101" s="21">
        <f t="shared" si="41"/>
        <v>1</v>
      </c>
      <c r="AQ101" s="170">
        <f t="shared" si="42"/>
        <v>0</v>
      </c>
      <c r="AR101" s="264">
        <f t="shared" si="43"/>
        <v>0</v>
      </c>
    </row>
    <row r="102" spans="2:44" hidden="1">
      <c r="B102" s="21">
        <f>'MaterialCosts Summary'!B102</f>
        <v>94</v>
      </c>
      <c r="C102" s="26"/>
      <c r="D102" s="23">
        <f>'MaterialCosts Summary'!D102</f>
        <v>0</v>
      </c>
      <c r="E102" s="257">
        <f>'MaterialCosts Summary'!E102</f>
        <v>0</v>
      </c>
      <c r="F102" s="258">
        <v>0</v>
      </c>
      <c r="G102" s="258">
        <v>0</v>
      </c>
      <c r="H102" s="258">
        <v>0</v>
      </c>
      <c r="I102" s="259">
        <f t="shared" si="31"/>
        <v>0</v>
      </c>
      <c r="J102" s="259"/>
      <c r="K102" s="260">
        <f t="shared" si="32"/>
        <v>0</v>
      </c>
      <c r="L102" s="259">
        <v>0</v>
      </c>
      <c r="M102" s="260">
        <f t="shared" si="22"/>
        <v>0</v>
      </c>
      <c r="N102" s="259">
        <v>0</v>
      </c>
      <c r="O102" s="260">
        <f t="shared" si="23"/>
        <v>0</v>
      </c>
      <c r="P102" s="259">
        <f t="shared" si="24"/>
        <v>0</v>
      </c>
      <c r="Q102" s="259"/>
      <c r="R102" s="260">
        <f t="shared" si="25"/>
        <v>0</v>
      </c>
      <c r="S102" s="259">
        <f t="shared" si="26"/>
        <v>0</v>
      </c>
      <c r="T102" s="259"/>
      <c r="U102" s="260">
        <f t="shared" si="27"/>
        <v>0</v>
      </c>
      <c r="V102" s="259">
        <f t="shared" si="28"/>
        <v>0</v>
      </c>
      <c r="W102" s="259"/>
      <c r="X102" s="260">
        <f t="shared" si="29"/>
        <v>0</v>
      </c>
      <c r="Y102" s="259">
        <v>0</v>
      </c>
      <c r="Z102" s="260">
        <f t="shared" si="30"/>
        <v>0</v>
      </c>
      <c r="AA102" s="259">
        <v>0</v>
      </c>
      <c r="AB102" s="24">
        <v>1</v>
      </c>
      <c r="AC102" s="261">
        <f t="shared" si="33"/>
        <v>0</v>
      </c>
      <c r="AD102" s="299">
        <f t="shared" si="34"/>
        <v>0</v>
      </c>
      <c r="AE102" s="262">
        <f t="shared" si="35"/>
        <v>0</v>
      </c>
      <c r="AF102" s="263">
        <f t="shared" si="35"/>
        <v>0</v>
      </c>
      <c r="AG102" s="255"/>
      <c r="AI102" s="154">
        <f t="shared" si="36"/>
        <v>0</v>
      </c>
      <c r="AJ102" s="157">
        <f t="shared" si="37"/>
        <v>0</v>
      </c>
      <c r="AK102" s="148">
        <f t="shared" si="38"/>
        <v>0</v>
      </c>
      <c r="AM102" s="161">
        <f t="shared" si="39"/>
        <v>0</v>
      </c>
      <c r="AN102" s="151">
        <f t="shared" si="40"/>
        <v>0</v>
      </c>
      <c r="AP102" s="21">
        <f t="shared" si="41"/>
        <v>1</v>
      </c>
      <c r="AQ102" s="170">
        <f t="shared" si="42"/>
        <v>0</v>
      </c>
      <c r="AR102" s="264">
        <f t="shared" si="43"/>
        <v>0</v>
      </c>
    </row>
    <row r="103" spans="2:44" hidden="1">
      <c r="B103" s="21">
        <f>'MaterialCosts Summary'!B103</f>
        <v>95</v>
      </c>
      <c r="C103" s="26"/>
      <c r="D103" s="23">
        <f>'MaterialCosts Summary'!D103</f>
        <v>0</v>
      </c>
      <c r="E103" s="257">
        <f>'MaterialCosts Summary'!E103</f>
        <v>0</v>
      </c>
      <c r="F103" s="258">
        <v>0</v>
      </c>
      <c r="G103" s="258">
        <v>0</v>
      </c>
      <c r="H103" s="258">
        <v>0</v>
      </c>
      <c r="I103" s="259">
        <f t="shared" si="31"/>
        <v>0</v>
      </c>
      <c r="J103" s="259"/>
      <c r="K103" s="260">
        <f t="shared" si="32"/>
        <v>0</v>
      </c>
      <c r="L103" s="259">
        <v>0</v>
      </c>
      <c r="M103" s="260">
        <f t="shared" si="22"/>
        <v>0</v>
      </c>
      <c r="N103" s="259">
        <v>0</v>
      </c>
      <c r="O103" s="260">
        <f t="shared" si="23"/>
        <v>0</v>
      </c>
      <c r="P103" s="259">
        <f t="shared" si="24"/>
        <v>0</v>
      </c>
      <c r="Q103" s="259"/>
      <c r="R103" s="260">
        <f t="shared" si="25"/>
        <v>0</v>
      </c>
      <c r="S103" s="259">
        <f t="shared" si="26"/>
        <v>0</v>
      </c>
      <c r="T103" s="259"/>
      <c r="U103" s="260">
        <f t="shared" si="27"/>
        <v>0</v>
      </c>
      <c r="V103" s="259">
        <f t="shared" si="28"/>
        <v>0</v>
      </c>
      <c r="W103" s="259"/>
      <c r="X103" s="260">
        <f t="shared" si="29"/>
        <v>0</v>
      </c>
      <c r="Y103" s="259">
        <v>0</v>
      </c>
      <c r="Z103" s="260">
        <f t="shared" si="30"/>
        <v>0</v>
      </c>
      <c r="AA103" s="259">
        <v>0</v>
      </c>
      <c r="AB103" s="24">
        <v>1</v>
      </c>
      <c r="AC103" s="261">
        <f t="shared" si="33"/>
        <v>0</v>
      </c>
      <c r="AD103" s="300">
        <f t="shared" si="34"/>
        <v>0</v>
      </c>
      <c r="AE103" s="262">
        <f t="shared" si="35"/>
        <v>0</v>
      </c>
      <c r="AF103" s="263">
        <f t="shared" si="35"/>
        <v>0</v>
      </c>
      <c r="AG103" s="255"/>
      <c r="AI103" s="154">
        <f t="shared" si="36"/>
        <v>0</v>
      </c>
      <c r="AJ103" s="157">
        <f t="shared" si="37"/>
        <v>0</v>
      </c>
      <c r="AK103" s="148">
        <f t="shared" si="38"/>
        <v>0</v>
      </c>
      <c r="AM103" s="161">
        <f t="shared" si="39"/>
        <v>0</v>
      </c>
      <c r="AN103" s="151">
        <f t="shared" si="40"/>
        <v>0</v>
      </c>
      <c r="AP103" s="21">
        <f t="shared" si="41"/>
        <v>1</v>
      </c>
      <c r="AQ103" s="170">
        <f t="shared" si="42"/>
        <v>0</v>
      </c>
      <c r="AR103" s="264">
        <f t="shared" si="43"/>
        <v>0</v>
      </c>
    </row>
    <row r="104" spans="2:44" hidden="1">
      <c r="B104" s="21">
        <f>'MaterialCosts Summary'!B104</f>
        <v>96</v>
      </c>
      <c r="C104" s="26"/>
      <c r="D104" s="23">
        <f>'MaterialCosts Summary'!D104</f>
        <v>0</v>
      </c>
      <c r="E104" s="257">
        <f>'MaterialCosts Summary'!E104</f>
        <v>0</v>
      </c>
      <c r="F104" s="258">
        <v>0</v>
      </c>
      <c r="G104" s="258">
        <v>0</v>
      </c>
      <c r="H104" s="258">
        <v>0</v>
      </c>
      <c r="I104" s="259">
        <f t="shared" si="31"/>
        <v>0</v>
      </c>
      <c r="J104" s="259"/>
      <c r="K104" s="260">
        <f t="shared" si="32"/>
        <v>0</v>
      </c>
      <c r="L104" s="259">
        <v>0</v>
      </c>
      <c r="M104" s="260">
        <f t="shared" si="22"/>
        <v>0</v>
      </c>
      <c r="N104" s="259">
        <v>0</v>
      </c>
      <c r="O104" s="260">
        <f t="shared" si="23"/>
        <v>0</v>
      </c>
      <c r="P104" s="259">
        <f t="shared" si="24"/>
        <v>0</v>
      </c>
      <c r="Q104" s="259"/>
      <c r="R104" s="260">
        <f t="shared" si="25"/>
        <v>0</v>
      </c>
      <c r="S104" s="259">
        <f t="shared" si="26"/>
        <v>0</v>
      </c>
      <c r="T104" s="259"/>
      <c r="U104" s="260">
        <f t="shared" si="27"/>
        <v>0</v>
      </c>
      <c r="V104" s="259">
        <f t="shared" si="28"/>
        <v>0</v>
      </c>
      <c r="W104" s="259"/>
      <c r="X104" s="260">
        <f t="shared" si="29"/>
        <v>0</v>
      </c>
      <c r="Y104" s="259">
        <v>0</v>
      </c>
      <c r="Z104" s="260">
        <f t="shared" si="30"/>
        <v>0</v>
      </c>
      <c r="AA104" s="259">
        <v>0</v>
      </c>
      <c r="AB104" s="24">
        <v>1</v>
      </c>
      <c r="AC104" s="261">
        <f t="shared" si="33"/>
        <v>0</v>
      </c>
      <c r="AD104" s="300">
        <f t="shared" si="34"/>
        <v>0</v>
      </c>
      <c r="AE104" s="262">
        <f t="shared" si="35"/>
        <v>0</v>
      </c>
      <c r="AF104" s="263">
        <f t="shared" si="35"/>
        <v>0</v>
      </c>
      <c r="AG104" s="255"/>
      <c r="AI104" s="154">
        <f t="shared" si="36"/>
        <v>0</v>
      </c>
      <c r="AJ104" s="157">
        <f t="shared" si="37"/>
        <v>0</v>
      </c>
      <c r="AK104" s="148">
        <f t="shared" si="38"/>
        <v>0</v>
      </c>
      <c r="AM104" s="161">
        <f t="shared" si="39"/>
        <v>0</v>
      </c>
      <c r="AN104" s="151">
        <f t="shared" si="40"/>
        <v>0</v>
      </c>
      <c r="AP104" s="21">
        <f t="shared" si="41"/>
        <v>1</v>
      </c>
      <c r="AQ104" s="170">
        <f t="shared" si="42"/>
        <v>0</v>
      </c>
      <c r="AR104" s="264">
        <f t="shared" si="43"/>
        <v>0</v>
      </c>
    </row>
    <row r="105" spans="2:44" hidden="1">
      <c r="B105" s="21">
        <f>'MaterialCosts Summary'!B105</f>
        <v>97</v>
      </c>
      <c r="C105" s="26"/>
      <c r="D105" s="23">
        <f>'MaterialCosts Summary'!D105</f>
        <v>0</v>
      </c>
      <c r="E105" s="257">
        <f>'MaterialCosts Summary'!E105</f>
        <v>0</v>
      </c>
      <c r="F105" s="258">
        <v>0</v>
      </c>
      <c r="G105" s="258">
        <v>0</v>
      </c>
      <c r="H105" s="258">
        <v>0</v>
      </c>
      <c r="I105" s="259">
        <f t="shared" si="31"/>
        <v>0</v>
      </c>
      <c r="J105" s="259"/>
      <c r="K105" s="260">
        <f t="shared" si="32"/>
        <v>0</v>
      </c>
      <c r="L105" s="259">
        <v>0</v>
      </c>
      <c r="M105" s="260">
        <f t="shared" si="22"/>
        <v>0</v>
      </c>
      <c r="N105" s="259">
        <v>0</v>
      </c>
      <c r="O105" s="260">
        <f t="shared" si="23"/>
        <v>0</v>
      </c>
      <c r="P105" s="259">
        <f t="shared" si="24"/>
        <v>0</v>
      </c>
      <c r="Q105" s="259"/>
      <c r="R105" s="260">
        <f t="shared" si="25"/>
        <v>0</v>
      </c>
      <c r="S105" s="259">
        <f t="shared" si="26"/>
        <v>0</v>
      </c>
      <c r="T105" s="259"/>
      <c r="U105" s="260">
        <f t="shared" si="27"/>
        <v>0</v>
      </c>
      <c r="V105" s="259">
        <f t="shared" si="28"/>
        <v>0</v>
      </c>
      <c r="W105" s="259"/>
      <c r="X105" s="260">
        <f t="shared" si="29"/>
        <v>0</v>
      </c>
      <c r="Y105" s="259">
        <v>0</v>
      </c>
      <c r="Z105" s="260">
        <f t="shared" si="30"/>
        <v>0</v>
      </c>
      <c r="AA105" s="259">
        <v>0</v>
      </c>
      <c r="AB105" s="24">
        <v>1</v>
      </c>
      <c r="AC105" s="261">
        <f t="shared" si="33"/>
        <v>0</v>
      </c>
      <c r="AD105" s="298">
        <f t="shared" si="34"/>
        <v>0</v>
      </c>
      <c r="AE105" s="262">
        <f t="shared" si="35"/>
        <v>0</v>
      </c>
      <c r="AF105" s="263">
        <f t="shared" si="35"/>
        <v>0</v>
      </c>
      <c r="AG105" s="255"/>
      <c r="AI105" s="154">
        <f t="shared" si="36"/>
        <v>0</v>
      </c>
      <c r="AJ105" s="157">
        <f t="shared" si="37"/>
        <v>0</v>
      </c>
      <c r="AK105" s="148">
        <f t="shared" si="38"/>
        <v>0</v>
      </c>
      <c r="AM105" s="161">
        <f t="shared" si="39"/>
        <v>0</v>
      </c>
      <c r="AN105" s="151">
        <f t="shared" si="40"/>
        <v>0</v>
      </c>
      <c r="AP105" s="21">
        <f t="shared" si="41"/>
        <v>1</v>
      </c>
      <c r="AQ105" s="170">
        <f t="shared" si="42"/>
        <v>0</v>
      </c>
      <c r="AR105" s="264">
        <f t="shared" si="43"/>
        <v>0</v>
      </c>
    </row>
    <row r="106" spans="2:44" hidden="1">
      <c r="B106" s="21">
        <f>'MaterialCosts Summary'!B106</f>
        <v>98</v>
      </c>
      <c r="C106" s="26"/>
      <c r="D106" s="23">
        <f>'MaterialCosts Summary'!D106</f>
        <v>0</v>
      </c>
      <c r="E106" s="257">
        <f>'MaterialCosts Summary'!E106</f>
        <v>0</v>
      </c>
      <c r="F106" s="258">
        <v>0</v>
      </c>
      <c r="G106" s="258">
        <v>0</v>
      </c>
      <c r="H106" s="258">
        <v>0</v>
      </c>
      <c r="I106" s="259">
        <f t="shared" si="31"/>
        <v>0</v>
      </c>
      <c r="J106" s="259"/>
      <c r="K106" s="260">
        <f t="shared" si="32"/>
        <v>0</v>
      </c>
      <c r="L106" s="259">
        <v>0</v>
      </c>
      <c r="M106" s="260">
        <f t="shared" si="22"/>
        <v>0</v>
      </c>
      <c r="N106" s="259">
        <v>0</v>
      </c>
      <c r="O106" s="260">
        <f t="shared" si="23"/>
        <v>0</v>
      </c>
      <c r="P106" s="259">
        <f t="shared" si="24"/>
        <v>0</v>
      </c>
      <c r="Q106" s="259"/>
      <c r="R106" s="260">
        <f t="shared" si="25"/>
        <v>0</v>
      </c>
      <c r="S106" s="259">
        <f t="shared" si="26"/>
        <v>0</v>
      </c>
      <c r="T106" s="259"/>
      <c r="U106" s="260">
        <f t="shared" si="27"/>
        <v>0</v>
      </c>
      <c r="V106" s="259">
        <f t="shared" si="28"/>
        <v>0</v>
      </c>
      <c r="W106" s="259"/>
      <c r="X106" s="260">
        <f t="shared" si="29"/>
        <v>0</v>
      </c>
      <c r="Y106" s="259">
        <v>0</v>
      </c>
      <c r="Z106" s="260">
        <f t="shared" si="30"/>
        <v>0</v>
      </c>
      <c r="AA106" s="259">
        <v>0</v>
      </c>
      <c r="AB106" s="24">
        <v>1</v>
      </c>
      <c r="AC106" s="261">
        <f t="shared" si="33"/>
        <v>0</v>
      </c>
      <c r="AD106" s="299">
        <f t="shared" si="34"/>
        <v>0</v>
      </c>
      <c r="AE106" s="262">
        <f t="shared" si="35"/>
        <v>0</v>
      </c>
      <c r="AF106" s="263">
        <f t="shared" si="35"/>
        <v>0</v>
      </c>
      <c r="AG106" s="255"/>
      <c r="AI106" s="154">
        <f t="shared" si="36"/>
        <v>0</v>
      </c>
      <c r="AJ106" s="157">
        <f t="shared" si="37"/>
        <v>0</v>
      </c>
      <c r="AK106" s="148">
        <f t="shared" si="38"/>
        <v>0</v>
      </c>
      <c r="AM106" s="161">
        <f t="shared" si="39"/>
        <v>0</v>
      </c>
      <c r="AN106" s="151">
        <f t="shared" si="40"/>
        <v>0</v>
      </c>
      <c r="AP106" s="21">
        <f t="shared" si="41"/>
        <v>1</v>
      </c>
      <c r="AQ106" s="170">
        <f t="shared" si="42"/>
        <v>0</v>
      </c>
      <c r="AR106" s="264">
        <f t="shared" si="43"/>
        <v>0</v>
      </c>
    </row>
    <row r="107" spans="2:44" hidden="1">
      <c r="B107" s="21">
        <f>'MaterialCosts Summary'!B107</f>
        <v>99</v>
      </c>
      <c r="C107" s="26"/>
      <c r="D107" s="23">
        <f>'MaterialCosts Summary'!D107</f>
        <v>0</v>
      </c>
      <c r="E107" s="257">
        <f>'MaterialCosts Summary'!E107</f>
        <v>0</v>
      </c>
      <c r="F107" s="258">
        <v>0</v>
      </c>
      <c r="G107" s="258">
        <v>0</v>
      </c>
      <c r="H107" s="258">
        <v>0</v>
      </c>
      <c r="I107" s="259">
        <f t="shared" si="31"/>
        <v>0</v>
      </c>
      <c r="J107" s="259"/>
      <c r="K107" s="260">
        <f t="shared" si="32"/>
        <v>0</v>
      </c>
      <c r="L107" s="259">
        <v>0</v>
      </c>
      <c r="M107" s="260">
        <f t="shared" si="22"/>
        <v>0</v>
      </c>
      <c r="N107" s="259">
        <v>0</v>
      </c>
      <c r="O107" s="260">
        <f t="shared" si="23"/>
        <v>0</v>
      </c>
      <c r="P107" s="259">
        <f t="shared" si="24"/>
        <v>0</v>
      </c>
      <c r="Q107" s="259"/>
      <c r="R107" s="260">
        <f t="shared" si="25"/>
        <v>0</v>
      </c>
      <c r="S107" s="259">
        <f t="shared" si="26"/>
        <v>0</v>
      </c>
      <c r="T107" s="259"/>
      <c r="U107" s="260">
        <f t="shared" si="27"/>
        <v>0</v>
      </c>
      <c r="V107" s="259">
        <f t="shared" si="28"/>
        <v>0</v>
      </c>
      <c r="W107" s="259"/>
      <c r="X107" s="260">
        <f t="shared" si="29"/>
        <v>0</v>
      </c>
      <c r="Y107" s="259">
        <v>0</v>
      </c>
      <c r="Z107" s="260">
        <f t="shared" si="30"/>
        <v>0</v>
      </c>
      <c r="AA107" s="259">
        <v>0</v>
      </c>
      <c r="AB107" s="24">
        <v>1</v>
      </c>
      <c r="AC107" s="261">
        <f t="shared" si="33"/>
        <v>0</v>
      </c>
      <c r="AD107" s="300">
        <f t="shared" si="34"/>
        <v>0</v>
      </c>
      <c r="AE107" s="262">
        <f t="shared" si="35"/>
        <v>0</v>
      </c>
      <c r="AF107" s="263">
        <f t="shared" si="35"/>
        <v>0</v>
      </c>
      <c r="AG107" s="255"/>
      <c r="AI107" s="154">
        <f t="shared" si="36"/>
        <v>0</v>
      </c>
      <c r="AJ107" s="157">
        <f t="shared" si="37"/>
        <v>0</v>
      </c>
      <c r="AK107" s="148">
        <f t="shared" si="38"/>
        <v>0</v>
      </c>
      <c r="AM107" s="161">
        <f t="shared" si="39"/>
        <v>0</v>
      </c>
      <c r="AN107" s="151">
        <f t="shared" si="40"/>
        <v>0</v>
      </c>
      <c r="AP107" s="21">
        <f t="shared" si="41"/>
        <v>1</v>
      </c>
      <c r="AQ107" s="170">
        <f t="shared" si="42"/>
        <v>0</v>
      </c>
      <c r="AR107" s="264">
        <f t="shared" si="43"/>
        <v>0</v>
      </c>
    </row>
    <row r="108" spans="2:44" hidden="1">
      <c r="B108" s="21">
        <f>'MaterialCosts Summary'!B108</f>
        <v>100</v>
      </c>
      <c r="C108" s="26"/>
      <c r="D108" s="23">
        <f>'MaterialCosts Summary'!D108</f>
        <v>0</v>
      </c>
      <c r="E108" s="257">
        <f>'MaterialCosts Summary'!E108</f>
        <v>0</v>
      </c>
      <c r="F108" s="258">
        <v>0</v>
      </c>
      <c r="G108" s="258">
        <v>0</v>
      </c>
      <c r="H108" s="258">
        <v>0</v>
      </c>
      <c r="I108" s="259">
        <f t="shared" si="31"/>
        <v>0</v>
      </c>
      <c r="J108" s="259"/>
      <c r="K108" s="260">
        <f t="shared" si="32"/>
        <v>0</v>
      </c>
      <c r="L108" s="259">
        <v>0</v>
      </c>
      <c r="M108" s="260">
        <f t="shared" si="22"/>
        <v>0</v>
      </c>
      <c r="N108" s="259">
        <v>0</v>
      </c>
      <c r="O108" s="260">
        <f t="shared" si="23"/>
        <v>0</v>
      </c>
      <c r="P108" s="259">
        <f t="shared" si="24"/>
        <v>0</v>
      </c>
      <c r="Q108" s="259"/>
      <c r="R108" s="260">
        <f t="shared" si="25"/>
        <v>0</v>
      </c>
      <c r="S108" s="259">
        <f t="shared" si="26"/>
        <v>0</v>
      </c>
      <c r="T108" s="259"/>
      <c r="U108" s="260">
        <f t="shared" si="27"/>
        <v>0</v>
      </c>
      <c r="V108" s="259">
        <f t="shared" si="28"/>
        <v>0</v>
      </c>
      <c r="W108" s="259"/>
      <c r="X108" s="260">
        <f t="shared" si="29"/>
        <v>0</v>
      </c>
      <c r="Y108" s="259">
        <v>0</v>
      </c>
      <c r="Z108" s="260">
        <f t="shared" si="30"/>
        <v>0</v>
      </c>
      <c r="AA108" s="259">
        <v>0</v>
      </c>
      <c r="AB108" s="24">
        <v>1</v>
      </c>
      <c r="AC108" s="261">
        <f t="shared" si="33"/>
        <v>0</v>
      </c>
      <c r="AD108" s="300">
        <f t="shared" si="34"/>
        <v>0</v>
      </c>
      <c r="AE108" s="262">
        <f t="shared" si="35"/>
        <v>0</v>
      </c>
      <c r="AF108" s="263">
        <f t="shared" si="35"/>
        <v>0</v>
      </c>
      <c r="AG108" s="255"/>
      <c r="AI108" s="154">
        <f t="shared" si="36"/>
        <v>0</v>
      </c>
      <c r="AJ108" s="157">
        <f t="shared" si="37"/>
        <v>0</v>
      </c>
      <c r="AK108" s="148">
        <f t="shared" si="38"/>
        <v>0</v>
      </c>
      <c r="AM108" s="161">
        <f t="shared" si="39"/>
        <v>0</v>
      </c>
      <c r="AN108" s="151">
        <f t="shared" si="40"/>
        <v>0</v>
      </c>
      <c r="AP108" s="21">
        <f t="shared" si="41"/>
        <v>1</v>
      </c>
      <c r="AQ108" s="170">
        <f t="shared" si="42"/>
        <v>0</v>
      </c>
      <c r="AR108" s="264">
        <f t="shared" si="43"/>
        <v>0</v>
      </c>
    </row>
    <row r="109" spans="2:44" hidden="1">
      <c r="B109" s="21">
        <f>'MaterialCosts Summary'!B109</f>
        <v>101</v>
      </c>
      <c r="C109" s="26"/>
      <c r="D109" s="23">
        <f>'MaterialCosts Summary'!D109</f>
        <v>0</v>
      </c>
      <c r="E109" s="257">
        <f>'MaterialCosts Summary'!E109</f>
        <v>0</v>
      </c>
      <c r="F109" s="258">
        <v>0</v>
      </c>
      <c r="G109" s="258">
        <v>0</v>
      </c>
      <c r="H109" s="258">
        <v>0</v>
      </c>
      <c r="I109" s="259">
        <f t="shared" si="31"/>
        <v>0</v>
      </c>
      <c r="J109" s="259"/>
      <c r="K109" s="260">
        <f t="shared" si="32"/>
        <v>0</v>
      </c>
      <c r="L109" s="259">
        <v>0</v>
      </c>
      <c r="M109" s="260">
        <f t="shared" si="22"/>
        <v>0</v>
      </c>
      <c r="N109" s="259">
        <v>0</v>
      </c>
      <c r="O109" s="260">
        <f t="shared" si="23"/>
        <v>0</v>
      </c>
      <c r="P109" s="259">
        <f t="shared" si="24"/>
        <v>0</v>
      </c>
      <c r="Q109" s="259"/>
      <c r="R109" s="260">
        <f t="shared" si="25"/>
        <v>0</v>
      </c>
      <c r="S109" s="259">
        <f t="shared" si="26"/>
        <v>0</v>
      </c>
      <c r="T109" s="259"/>
      <c r="U109" s="260">
        <f t="shared" si="27"/>
        <v>0</v>
      </c>
      <c r="V109" s="259">
        <f t="shared" si="28"/>
        <v>0</v>
      </c>
      <c r="W109" s="259"/>
      <c r="X109" s="260">
        <f t="shared" si="29"/>
        <v>0</v>
      </c>
      <c r="Y109" s="259">
        <v>0</v>
      </c>
      <c r="Z109" s="260">
        <f t="shared" si="30"/>
        <v>0</v>
      </c>
      <c r="AA109" s="259">
        <v>0</v>
      </c>
      <c r="AB109" s="24">
        <v>1</v>
      </c>
      <c r="AC109" s="261">
        <f t="shared" si="33"/>
        <v>0</v>
      </c>
      <c r="AD109" s="298">
        <f t="shared" si="34"/>
        <v>0</v>
      </c>
      <c r="AE109" s="262">
        <f t="shared" si="35"/>
        <v>0</v>
      </c>
      <c r="AF109" s="263">
        <f t="shared" si="35"/>
        <v>0</v>
      </c>
      <c r="AG109" s="255"/>
      <c r="AI109" s="154">
        <f t="shared" si="36"/>
        <v>0</v>
      </c>
      <c r="AJ109" s="157">
        <f t="shared" si="37"/>
        <v>0</v>
      </c>
      <c r="AK109" s="148">
        <f t="shared" si="38"/>
        <v>0</v>
      </c>
      <c r="AM109" s="161">
        <f t="shared" si="39"/>
        <v>0</v>
      </c>
      <c r="AN109" s="151">
        <f t="shared" si="40"/>
        <v>0</v>
      </c>
      <c r="AP109" s="21">
        <f t="shared" si="41"/>
        <v>1</v>
      </c>
      <c r="AQ109" s="170">
        <f t="shared" si="42"/>
        <v>0</v>
      </c>
      <c r="AR109" s="264">
        <f t="shared" si="43"/>
        <v>0</v>
      </c>
    </row>
    <row r="110" spans="2:44" hidden="1">
      <c r="B110" s="21">
        <f>'MaterialCosts Summary'!B110</f>
        <v>102</v>
      </c>
      <c r="C110" s="26"/>
      <c r="D110" s="23">
        <f>'MaterialCosts Summary'!D110</f>
        <v>0</v>
      </c>
      <c r="E110" s="257">
        <f>'MaterialCosts Summary'!E110</f>
        <v>0</v>
      </c>
      <c r="F110" s="258">
        <v>0</v>
      </c>
      <c r="G110" s="258">
        <v>0</v>
      </c>
      <c r="H110" s="258">
        <v>0</v>
      </c>
      <c r="I110" s="259">
        <f t="shared" si="31"/>
        <v>0</v>
      </c>
      <c r="J110" s="259"/>
      <c r="K110" s="260">
        <f t="shared" si="32"/>
        <v>0</v>
      </c>
      <c r="L110" s="259">
        <v>0</v>
      </c>
      <c r="M110" s="260">
        <f t="shared" si="22"/>
        <v>0</v>
      </c>
      <c r="N110" s="259">
        <v>0</v>
      </c>
      <c r="O110" s="260">
        <f t="shared" si="23"/>
        <v>0</v>
      </c>
      <c r="P110" s="259">
        <f t="shared" si="24"/>
        <v>0</v>
      </c>
      <c r="Q110" s="259"/>
      <c r="R110" s="260">
        <f t="shared" si="25"/>
        <v>0</v>
      </c>
      <c r="S110" s="259">
        <f t="shared" si="26"/>
        <v>0</v>
      </c>
      <c r="T110" s="259"/>
      <c r="U110" s="260">
        <f t="shared" si="27"/>
        <v>0</v>
      </c>
      <c r="V110" s="259">
        <f t="shared" si="28"/>
        <v>0</v>
      </c>
      <c r="W110" s="259"/>
      <c r="X110" s="260">
        <f t="shared" si="29"/>
        <v>0</v>
      </c>
      <c r="Y110" s="259">
        <v>0</v>
      </c>
      <c r="Z110" s="260">
        <f t="shared" si="30"/>
        <v>0</v>
      </c>
      <c r="AA110" s="259">
        <v>0</v>
      </c>
      <c r="AB110" s="24">
        <v>1</v>
      </c>
      <c r="AC110" s="261">
        <f t="shared" si="33"/>
        <v>0</v>
      </c>
      <c r="AD110" s="299">
        <f t="shared" si="34"/>
        <v>0</v>
      </c>
      <c r="AE110" s="262">
        <f t="shared" si="35"/>
        <v>0</v>
      </c>
      <c r="AF110" s="263">
        <f t="shared" si="35"/>
        <v>0</v>
      </c>
      <c r="AG110" s="255"/>
      <c r="AI110" s="154">
        <f t="shared" si="36"/>
        <v>0</v>
      </c>
      <c r="AJ110" s="157">
        <f t="shared" si="37"/>
        <v>0</v>
      </c>
      <c r="AK110" s="148">
        <f t="shared" si="38"/>
        <v>0</v>
      </c>
      <c r="AM110" s="161">
        <f t="shared" si="39"/>
        <v>0</v>
      </c>
      <c r="AN110" s="151">
        <f t="shared" si="40"/>
        <v>0</v>
      </c>
      <c r="AP110" s="21">
        <f t="shared" si="41"/>
        <v>1</v>
      </c>
      <c r="AQ110" s="170">
        <f t="shared" si="42"/>
        <v>0</v>
      </c>
      <c r="AR110" s="264">
        <f t="shared" si="43"/>
        <v>0</v>
      </c>
    </row>
    <row r="111" spans="2:44" hidden="1">
      <c r="B111" s="21">
        <f>'MaterialCosts Summary'!B111</f>
        <v>103</v>
      </c>
      <c r="C111" s="26"/>
      <c r="D111" s="23">
        <f>'MaterialCosts Summary'!D111</f>
        <v>0</v>
      </c>
      <c r="E111" s="257">
        <f>'MaterialCosts Summary'!E111</f>
        <v>0</v>
      </c>
      <c r="F111" s="258">
        <v>0</v>
      </c>
      <c r="G111" s="258">
        <v>0</v>
      </c>
      <c r="H111" s="258">
        <v>0</v>
      </c>
      <c r="I111" s="259">
        <f t="shared" si="31"/>
        <v>0</v>
      </c>
      <c r="J111" s="259"/>
      <c r="K111" s="260">
        <f t="shared" si="32"/>
        <v>0</v>
      </c>
      <c r="L111" s="259">
        <v>0</v>
      </c>
      <c r="M111" s="260">
        <f t="shared" si="22"/>
        <v>0</v>
      </c>
      <c r="N111" s="259">
        <v>0</v>
      </c>
      <c r="O111" s="260">
        <f t="shared" si="23"/>
        <v>0</v>
      </c>
      <c r="P111" s="259">
        <f t="shared" si="24"/>
        <v>0</v>
      </c>
      <c r="Q111" s="259"/>
      <c r="R111" s="260">
        <f t="shared" si="25"/>
        <v>0</v>
      </c>
      <c r="S111" s="259">
        <f t="shared" si="26"/>
        <v>0</v>
      </c>
      <c r="T111" s="259"/>
      <c r="U111" s="260">
        <f t="shared" si="27"/>
        <v>0</v>
      </c>
      <c r="V111" s="259">
        <f t="shared" si="28"/>
        <v>0</v>
      </c>
      <c r="W111" s="259"/>
      <c r="X111" s="260">
        <f t="shared" si="29"/>
        <v>0</v>
      </c>
      <c r="Y111" s="259">
        <v>0</v>
      </c>
      <c r="Z111" s="260">
        <f t="shared" si="30"/>
        <v>0</v>
      </c>
      <c r="AA111" s="259">
        <v>0</v>
      </c>
      <c r="AB111" s="24">
        <v>1</v>
      </c>
      <c r="AC111" s="261">
        <f t="shared" si="33"/>
        <v>0</v>
      </c>
      <c r="AD111" s="300">
        <f t="shared" si="34"/>
        <v>0</v>
      </c>
      <c r="AE111" s="262">
        <f t="shared" si="35"/>
        <v>0</v>
      </c>
      <c r="AF111" s="263">
        <f t="shared" si="35"/>
        <v>0</v>
      </c>
      <c r="AG111" s="255"/>
      <c r="AI111" s="154">
        <f t="shared" si="36"/>
        <v>0</v>
      </c>
      <c r="AJ111" s="157">
        <f t="shared" si="37"/>
        <v>0</v>
      </c>
      <c r="AK111" s="148">
        <f t="shared" si="38"/>
        <v>0</v>
      </c>
      <c r="AM111" s="161">
        <f t="shared" si="39"/>
        <v>0</v>
      </c>
      <c r="AN111" s="151">
        <f t="shared" si="40"/>
        <v>0</v>
      </c>
      <c r="AP111" s="21">
        <f t="shared" si="41"/>
        <v>1</v>
      </c>
      <c r="AQ111" s="170">
        <f t="shared" si="42"/>
        <v>0</v>
      </c>
      <c r="AR111" s="264">
        <f t="shared" si="43"/>
        <v>0</v>
      </c>
    </row>
    <row r="112" spans="2:44" hidden="1">
      <c r="B112" s="21">
        <f>'MaterialCosts Summary'!B112</f>
        <v>104</v>
      </c>
      <c r="C112" s="26"/>
      <c r="D112" s="23">
        <f>'MaterialCosts Summary'!D112</f>
        <v>0</v>
      </c>
      <c r="E112" s="257">
        <f>'MaterialCosts Summary'!E112</f>
        <v>0</v>
      </c>
      <c r="F112" s="258">
        <v>0</v>
      </c>
      <c r="G112" s="258">
        <v>0</v>
      </c>
      <c r="H112" s="258">
        <v>0</v>
      </c>
      <c r="I112" s="259">
        <f t="shared" si="31"/>
        <v>0</v>
      </c>
      <c r="J112" s="259"/>
      <c r="K112" s="260">
        <f t="shared" si="32"/>
        <v>0</v>
      </c>
      <c r="L112" s="259">
        <v>0</v>
      </c>
      <c r="M112" s="260">
        <f t="shared" si="22"/>
        <v>0</v>
      </c>
      <c r="N112" s="259">
        <v>0</v>
      </c>
      <c r="O112" s="260">
        <f t="shared" si="23"/>
        <v>0</v>
      </c>
      <c r="P112" s="259">
        <f t="shared" si="24"/>
        <v>0</v>
      </c>
      <c r="Q112" s="259"/>
      <c r="R112" s="260">
        <f t="shared" si="25"/>
        <v>0</v>
      </c>
      <c r="S112" s="259">
        <f t="shared" si="26"/>
        <v>0</v>
      </c>
      <c r="T112" s="259"/>
      <c r="U112" s="260">
        <f t="shared" si="27"/>
        <v>0</v>
      </c>
      <c r="V112" s="259">
        <f t="shared" si="28"/>
        <v>0</v>
      </c>
      <c r="W112" s="259"/>
      <c r="X112" s="260">
        <f t="shared" si="29"/>
        <v>0</v>
      </c>
      <c r="Y112" s="259">
        <v>0</v>
      </c>
      <c r="Z112" s="260">
        <f t="shared" si="30"/>
        <v>0</v>
      </c>
      <c r="AA112" s="259">
        <v>0</v>
      </c>
      <c r="AB112" s="24">
        <v>1</v>
      </c>
      <c r="AC112" s="261">
        <f t="shared" si="33"/>
        <v>0</v>
      </c>
      <c r="AD112" s="300">
        <f t="shared" si="34"/>
        <v>0</v>
      </c>
      <c r="AE112" s="262">
        <f t="shared" si="35"/>
        <v>0</v>
      </c>
      <c r="AF112" s="263">
        <f t="shared" si="35"/>
        <v>0</v>
      </c>
      <c r="AG112" s="255"/>
      <c r="AI112" s="154">
        <f t="shared" si="36"/>
        <v>0</v>
      </c>
      <c r="AJ112" s="157">
        <f t="shared" si="37"/>
        <v>0</v>
      </c>
      <c r="AK112" s="148">
        <f t="shared" si="38"/>
        <v>0</v>
      </c>
      <c r="AM112" s="161">
        <f t="shared" si="39"/>
        <v>0</v>
      </c>
      <c r="AN112" s="151">
        <f t="shared" si="40"/>
        <v>0</v>
      </c>
      <c r="AP112" s="21">
        <f t="shared" si="41"/>
        <v>1</v>
      </c>
      <c r="AQ112" s="170">
        <f t="shared" si="42"/>
        <v>0</v>
      </c>
      <c r="AR112" s="264">
        <f t="shared" si="43"/>
        <v>0</v>
      </c>
    </row>
    <row r="113" spans="2:44" hidden="1">
      <c r="B113" s="21">
        <f>'MaterialCosts Summary'!B113</f>
        <v>105</v>
      </c>
      <c r="C113" s="26"/>
      <c r="D113" s="23">
        <f>'MaterialCosts Summary'!D113</f>
        <v>0</v>
      </c>
      <c r="E113" s="257">
        <f>'MaterialCosts Summary'!E113</f>
        <v>0</v>
      </c>
      <c r="F113" s="258">
        <v>0</v>
      </c>
      <c r="G113" s="258">
        <v>0</v>
      </c>
      <c r="H113" s="258">
        <v>0</v>
      </c>
      <c r="I113" s="259">
        <f t="shared" si="31"/>
        <v>0</v>
      </c>
      <c r="J113" s="259"/>
      <c r="K113" s="260">
        <f t="shared" si="32"/>
        <v>0</v>
      </c>
      <c r="L113" s="259">
        <v>0</v>
      </c>
      <c r="M113" s="260">
        <f t="shared" si="22"/>
        <v>0</v>
      </c>
      <c r="N113" s="259">
        <v>0</v>
      </c>
      <c r="O113" s="260">
        <f t="shared" si="23"/>
        <v>0</v>
      </c>
      <c r="P113" s="259">
        <f t="shared" si="24"/>
        <v>0</v>
      </c>
      <c r="Q113" s="259"/>
      <c r="R113" s="260">
        <f t="shared" si="25"/>
        <v>0</v>
      </c>
      <c r="S113" s="259">
        <f t="shared" si="26"/>
        <v>0</v>
      </c>
      <c r="T113" s="259"/>
      <c r="U113" s="260">
        <f t="shared" si="27"/>
        <v>0</v>
      </c>
      <c r="V113" s="259">
        <f t="shared" si="28"/>
        <v>0</v>
      </c>
      <c r="W113" s="259"/>
      <c r="X113" s="260">
        <f t="shared" si="29"/>
        <v>0</v>
      </c>
      <c r="Y113" s="259">
        <v>0</v>
      </c>
      <c r="Z113" s="260">
        <f t="shared" si="30"/>
        <v>0</v>
      </c>
      <c r="AA113" s="259">
        <v>0</v>
      </c>
      <c r="AB113" s="24">
        <v>1</v>
      </c>
      <c r="AC113" s="261">
        <f t="shared" si="33"/>
        <v>0</v>
      </c>
      <c r="AD113" s="298">
        <f t="shared" si="34"/>
        <v>0</v>
      </c>
      <c r="AE113" s="262">
        <f t="shared" si="35"/>
        <v>0</v>
      </c>
      <c r="AF113" s="263">
        <f t="shared" si="35"/>
        <v>0</v>
      </c>
      <c r="AG113" s="255"/>
      <c r="AI113" s="154">
        <f t="shared" si="36"/>
        <v>0</v>
      </c>
      <c r="AJ113" s="157">
        <f t="shared" si="37"/>
        <v>0</v>
      </c>
      <c r="AK113" s="148">
        <f t="shared" si="38"/>
        <v>0</v>
      </c>
      <c r="AM113" s="161">
        <f t="shared" si="39"/>
        <v>0</v>
      </c>
      <c r="AN113" s="151">
        <f t="shared" si="40"/>
        <v>0</v>
      </c>
      <c r="AP113" s="21">
        <f t="shared" si="41"/>
        <v>1</v>
      </c>
      <c r="AQ113" s="170">
        <f t="shared" si="42"/>
        <v>0</v>
      </c>
      <c r="AR113" s="264">
        <f t="shared" si="43"/>
        <v>0</v>
      </c>
    </row>
    <row r="114" spans="2:44" hidden="1">
      <c r="B114" s="21">
        <f>'MaterialCosts Summary'!B114</f>
        <v>106</v>
      </c>
      <c r="C114" s="26"/>
      <c r="D114" s="23">
        <f>'MaterialCosts Summary'!D114</f>
        <v>0</v>
      </c>
      <c r="E114" s="257">
        <f>'MaterialCosts Summary'!E114</f>
        <v>0</v>
      </c>
      <c r="F114" s="258">
        <v>0</v>
      </c>
      <c r="G114" s="258">
        <v>0</v>
      </c>
      <c r="H114" s="258">
        <v>0</v>
      </c>
      <c r="I114" s="259">
        <f t="shared" si="31"/>
        <v>0</v>
      </c>
      <c r="J114" s="259"/>
      <c r="K114" s="260">
        <f t="shared" si="32"/>
        <v>0</v>
      </c>
      <c r="L114" s="259">
        <v>0</v>
      </c>
      <c r="M114" s="260">
        <f t="shared" si="22"/>
        <v>0</v>
      </c>
      <c r="N114" s="259">
        <v>0</v>
      </c>
      <c r="O114" s="260">
        <f t="shared" si="23"/>
        <v>0</v>
      </c>
      <c r="P114" s="259">
        <f t="shared" si="24"/>
        <v>0</v>
      </c>
      <c r="Q114" s="259"/>
      <c r="R114" s="260">
        <f t="shared" si="25"/>
        <v>0</v>
      </c>
      <c r="S114" s="259">
        <f t="shared" si="26"/>
        <v>0</v>
      </c>
      <c r="T114" s="259"/>
      <c r="U114" s="260">
        <f t="shared" si="27"/>
        <v>0</v>
      </c>
      <c r="V114" s="259">
        <f t="shared" si="28"/>
        <v>0</v>
      </c>
      <c r="W114" s="259"/>
      <c r="X114" s="260">
        <f t="shared" si="29"/>
        <v>0</v>
      </c>
      <c r="Y114" s="259">
        <v>0</v>
      </c>
      <c r="Z114" s="260">
        <f t="shared" si="30"/>
        <v>0</v>
      </c>
      <c r="AA114" s="259">
        <v>0</v>
      </c>
      <c r="AB114" s="24">
        <v>1</v>
      </c>
      <c r="AC114" s="261">
        <f t="shared" si="33"/>
        <v>0</v>
      </c>
      <c r="AD114" s="299">
        <f t="shared" si="34"/>
        <v>0</v>
      </c>
      <c r="AE114" s="262">
        <f t="shared" si="35"/>
        <v>0</v>
      </c>
      <c r="AF114" s="263">
        <f t="shared" si="35"/>
        <v>0</v>
      </c>
      <c r="AG114" s="255"/>
      <c r="AI114" s="154">
        <f t="shared" si="36"/>
        <v>0</v>
      </c>
      <c r="AJ114" s="157">
        <f t="shared" si="37"/>
        <v>0</v>
      </c>
      <c r="AK114" s="148">
        <f t="shared" si="38"/>
        <v>0</v>
      </c>
      <c r="AM114" s="161">
        <f t="shared" si="39"/>
        <v>0</v>
      </c>
      <c r="AN114" s="151">
        <f t="shared" si="40"/>
        <v>0</v>
      </c>
      <c r="AP114" s="21">
        <f t="shared" si="41"/>
        <v>1</v>
      </c>
      <c r="AQ114" s="170">
        <f t="shared" si="42"/>
        <v>0</v>
      </c>
      <c r="AR114" s="264">
        <f t="shared" si="43"/>
        <v>0</v>
      </c>
    </row>
    <row r="115" spans="2:44" hidden="1">
      <c r="B115" s="21">
        <f>'MaterialCosts Summary'!B115</f>
        <v>107</v>
      </c>
      <c r="C115" s="26"/>
      <c r="D115" s="23">
        <f>'MaterialCosts Summary'!D115</f>
        <v>0</v>
      </c>
      <c r="E115" s="257">
        <f>'MaterialCosts Summary'!E115</f>
        <v>0</v>
      </c>
      <c r="F115" s="258">
        <v>0</v>
      </c>
      <c r="G115" s="258">
        <v>0</v>
      </c>
      <c r="H115" s="258">
        <v>0</v>
      </c>
      <c r="I115" s="259">
        <f t="shared" si="31"/>
        <v>0</v>
      </c>
      <c r="J115" s="259"/>
      <c r="K115" s="260">
        <f t="shared" si="32"/>
        <v>0</v>
      </c>
      <c r="L115" s="259">
        <v>0</v>
      </c>
      <c r="M115" s="260">
        <f t="shared" si="22"/>
        <v>0</v>
      </c>
      <c r="N115" s="259">
        <v>0</v>
      </c>
      <c r="O115" s="260">
        <f t="shared" si="23"/>
        <v>0</v>
      </c>
      <c r="P115" s="259">
        <f t="shared" si="24"/>
        <v>0</v>
      </c>
      <c r="Q115" s="259"/>
      <c r="R115" s="260">
        <f t="shared" si="25"/>
        <v>0</v>
      </c>
      <c r="S115" s="259">
        <f t="shared" si="26"/>
        <v>0</v>
      </c>
      <c r="T115" s="259"/>
      <c r="U115" s="260">
        <f t="shared" si="27"/>
        <v>0</v>
      </c>
      <c r="V115" s="259">
        <f t="shared" si="28"/>
        <v>0</v>
      </c>
      <c r="W115" s="259"/>
      <c r="X115" s="260">
        <f t="shared" si="29"/>
        <v>0</v>
      </c>
      <c r="Y115" s="259">
        <v>0</v>
      </c>
      <c r="Z115" s="260">
        <f t="shared" si="30"/>
        <v>0</v>
      </c>
      <c r="AA115" s="259">
        <v>0</v>
      </c>
      <c r="AB115" s="24">
        <v>1</v>
      </c>
      <c r="AC115" s="261">
        <f t="shared" si="33"/>
        <v>0</v>
      </c>
      <c r="AD115" s="300">
        <f t="shared" si="34"/>
        <v>0</v>
      </c>
      <c r="AE115" s="262">
        <f t="shared" si="35"/>
        <v>0</v>
      </c>
      <c r="AF115" s="263">
        <f t="shared" si="35"/>
        <v>0</v>
      </c>
      <c r="AG115" s="255"/>
      <c r="AI115" s="154">
        <f t="shared" si="36"/>
        <v>0</v>
      </c>
      <c r="AJ115" s="157">
        <f t="shared" si="37"/>
        <v>0</v>
      </c>
      <c r="AK115" s="148">
        <f t="shared" si="38"/>
        <v>0</v>
      </c>
      <c r="AM115" s="161">
        <f t="shared" si="39"/>
        <v>0</v>
      </c>
      <c r="AN115" s="151">
        <f t="shared" si="40"/>
        <v>0</v>
      </c>
      <c r="AP115" s="21">
        <f t="shared" si="41"/>
        <v>1</v>
      </c>
      <c r="AQ115" s="170">
        <f t="shared" si="42"/>
        <v>0</v>
      </c>
      <c r="AR115" s="264">
        <f t="shared" si="43"/>
        <v>0</v>
      </c>
    </row>
    <row r="116" spans="2:44" hidden="1">
      <c r="B116" s="21">
        <f>'MaterialCosts Summary'!B116</f>
        <v>108</v>
      </c>
      <c r="C116" s="26"/>
      <c r="D116" s="23">
        <f>'MaterialCosts Summary'!D116</f>
        <v>0</v>
      </c>
      <c r="E116" s="257">
        <f>'MaterialCosts Summary'!E116</f>
        <v>0</v>
      </c>
      <c r="F116" s="258">
        <v>0</v>
      </c>
      <c r="G116" s="258">
        <v>0</v>
      </c>
      <c r="H116" s="258">
        <v>0</v>
      </c>
      <c r="I116" s="259">
        <f t="shared" si="31"/>
        <v>0</v>
      </c>
      <c r="J116" s="259"/>
      <c r="K116" s="260">
        <f t="shared" si="32"/>
        <v>0</v>
      </c>
      <c r="L116" s="259">
        <v>0</v>
      </c>
      <c r="M116" s="260">
        <f t="shared" si="22"/>
        <v>0</v>
      </c>
      <c r="N116" s="259">
        <v>0</v>
      </c>
      <c r="O116" s="260">
        <f t="shared" si="23"/>
        <v>0</v>
      </c>
      <c r="P116" s="259">
        <f t="shared" si="24"/>
        <v>0</v>
      </c>
      <c r="Q116" s="259"/>
      <c r="R116" s="260">
        <f t="shared" si="25"/>
        <v>0</v>
      </c>
      <c r="S116" s="259">
        <f t="shared" si="26"/>
        <v>0</v>
      </c>
      <c r="T116" s="259"/>
      <c r="U116" s="260">
        <f t="shared" si="27"/>
        <v>0</v>
      </c>
      <c r="V116" s="259">
        <f t="shared" si="28"/>
        <v>0</v>
      </c>
      <c r="W116" s="259"/>
      <c r="X116" s="260">
        <f t="shared" si="29"/>
        <v>0</v>
      </c>
      <c r="Y116" s="259">
        <v>0</v>
      </c>
      <c r="Z116" s="260">
        <f t="shared" si="30"/>
        <v>0</v>
      </c>
      <c r="AA116" s="259">
        <v>0</v>
      </c>
      <c r="AB116" s="24">
        <v>1</v>
      </c>
      <c r="AC116" s="261">
        <f t="shared" si="33"/>
        <v>0</v>
      </c>
      <c r="AD116" s="300">
        <f t="shared" si="34"/>
        <v>0</v>
      </c>
      <c r="AE116" s="262">
        <f t="shared" si="35"/>
        <v>0</v>
      </c>
      <c r="AF116" s="263">
        <f t="shared" si="35"/>
        <v>0</v>
      </c>
      <c r="AG116" s="255"/>
      <c r="AI116" s="154">
        <f t="shared" si="36"/>
        <v>0</v>
      </c>
      <c r="AJ116" s="157">
        <f t="shared" si="37"/>
        <v>0</v>
      </c>
      <c r="AK116" s="148">
        <f t="shared" si="38"/>
        <v>0</v>
      </c>
      <c r="AM116" s="161">
        <f t="shared" si="39"/>
        <v>0</v>
      </c>
      <c r="AN116" s="151">
        <f t="shared" si="40"/>
        <v>0</v>
      </c>
      <c r="AP116" s="21">
        <f t="shared" si="41"/>
        <v>1</v>
      </c>
      <c r="AQ116" s="170">
        <f t="shared" si="42"/>
        <v>0</v>
      </c>
      <c r="AR116" s="264">
        <f t="shared" si="43"/>
        <v>0</v>
      </c>
    </row>
    <row r="117" spans="2:44" hidden="1">
      <c r="B117" s="21">
        <f>'MaterialCosts Summary'!B117</f>
        <v>109</v>
      </c>
      <c r="C117" s="26"/>
      <c r="D117" s="23">
        <f>'MaterialCosts Summary'!D117</f>
        <v>0</v>
      </c>
      <c r="E117" s="257">
        <f>'MaterialCosts Summary'!E117</f>
        <v>0</v>
      </c>
      <c r="F117" s="258">
        <v>0</v>
      </c>
      <c r="G117" s="258">
        <v>0</v>
      </c>
      <c r="H117" s="258">
        <v>0</v>
      </c>
      <c r="I117" s="259">
        <f t="shared" si="31"/>
        <v>0</v>
      </c>
      <c r="J117" s="259"/>
      <c r="K117" s="260">
        <f t="shared" si="32"/>
        <v>0</v>
      </c>
      <c r="L117" s="259">
        <v>0</v>
      </c>
      <c r="M117" s="260">
        <f t="shared" si="22"/>
        <v>0</v>
      </c>
      <c r="N117" s="259">
        <v>0</v>
      </c>
      <c r="O117" s="260">
        <f t="shared" si="23"/>
        <v>0</v>
      </c>
      <c r="P117" s="259">
        <f t="shared" si="24"/>
        <v>0</v>
      </c>
      <c r="Q117" s="259"/>
      <c r="R117" s="260">
        <f t="shared" si="25"/>
        <v>0</v>
      </c>
      <c r="S117" s="259">
        <f t="shared" si="26"/>
        <v>0</v>
      </c>
      <c r="T117" s="259"/>
      <c r="U117" s="260">
        <f t="shared" si="27"/>
        <v>0</v>
      </c>
      <c r="V117" s="259">
        <f t="shared" si="28"/>
        <v>0</v>
      </c>
      <c r="W117" s="259"/>
      <c r="X117" s="260">
        <f t="shared" si="29"/>
        <v>0</v>
      </c>
      <c r="Y117" s="259">
        <v>0</v>
      </c>
      <c r="Z117" s="260">
        <f t="shared" si="30"/>
        <v>0</v>
      </c>
      <c r="AA117" s="259">
        <v>0</v>
      </c>
      <c r="AB117" s="24">
        <v>1</v>
      </c>
      <c r="AC117" s="261">
        <f t="shared" si="33"/>
        <v>0</v>
      </c>
      <c r="AD117" s="298">
        <f t="shared" si="34"/>
        <v>0</v>
      </c>
      <c r="AE117" s="262">
        <f t="shared" si="35"/>
        <v>0</v>
      </c>
      <c r="AF117" s="263">
        <f t="shared" si="35"/>
        <v>0</v>
      </c>
      <c r="AG117" s="255"/>
      <c r="AI117" s="154">
        <f t="shared" si="36"/>
        <v>0</v>
      </c>
      <c r="AJ117" s="157">
        <f t="shared" si="37"/>
        <v>0</v>
      </c>
      <c r="AK117" s="148">
        <f t="shared" si="38"/>
        <v>0</v>
      </c>
      <c r="AM117" s="161">
        <f t="shared" si="39"/>
        <v>0</v>
      </c>
      <c r="AN117" s="151">
        <f t="shared" si="40"/>
        <v>0</v>
      </c>
      <c r="AP117" s="21">
        <f t="shared" si="41"/>
        <v>1</v>
      </c>
      <c r="AQ117" s="170">
        <f t="shared" si="42"/>
        <v>0</v>
      </c>
      <c r="AR117" s="264">
        <f t="shared" si="43"/>
        <v>0</v>
      </c>
    </row>
    <row r="118" spans="2:44" hidden="1">
      <c r="B118" s="21">
        <f>'MaterialCosts Summary'!B118</f>
        <v>110</v>
      </c>
      <c r="C118" s="26"/>
      <c r="D118" s="23">
        <f>'MaterialCosts Summary'!D118</f>
        <v>0</v>
      </c>
      <c r="E118" s="257">
        <f>'MaterialCosts Summary'!E118</f>
        <v>0</v>
      </c>
      <c r="F118" s="258">
        <v>0</v>
      </c>
      <c r="G118" s="258">
        <v>0</v>
      </c>
      <c r="H118" s="258">
        <v>0</v>
      </c>
      <c r="I118" s="259">
        <f t="shared" si="31"/>
        <v>0</v>
      </c>
      <c r="J118" s="259"/>
      <c r="K118" s="260">
        <f t="shared" si="32"/>
        <v>0</v>
      </c>
      <c r="L118" s="259">
        <v>0</v>
      </c>
      <c r="M118" s="260">
        <f t="shared" si="22"/>
        <v>0</v>
      </c>
      <c r="N118" s="259">
        <v>0</v>
      </c>
      <c r="O118" s="260">
        <f t="shared" si="23"/>
        <v>0</v>
      </c>
      <c r="P118" s="259">
        <f t="shared" si="24"/>
        <v>0</v>
      </c>
      <c r="Q118" s="259"/>
      <c r="R118" s="260">
        <f t="shared" si="25"/>
        <v>0</v>
      </c>
      <c r="S118" s="259">
        <f t="shared" si="26"/>
        <v>0</v>
      </c>
      <c r="T118" s="259"/>
      <c r="U118" s="260">
        <f t="shared" si="27"/>
        <v>0</v>
      </c>
      <c r="V118" s="259">
        <f t="shared" si="28"/>
        <v>0</v>
      </c>
      <c r="W118" s="259"/>
      <c r="X118" s="260">
        <f t="shared" si="29"/>
        <v>0</v>
      </c>
      <c r="Y118" s="259">
        <v>0</v>
      </c>
      <c r="Z118" s="260">
        <f t="shared" si="30"/>
        <v>0</v>
      </c>
      <c r="AA118" s="259">
        <v>0</v>
      </c>
      <c r="AB118" s="24">
        <v>1</v>
      </c>
      <c r="AC118" s="261">
        <f t="shared" si="33"/>
        <v>0</v>
      </c>
      <c r="AD118" s="299">
        <f t="shared" si="34"/>
        <v>0</v>
      </c>
      <c r="AE118" s="262">
        <f t="shared" si="35"/>
        <v>0</v>
      </c>
      <c r="AF118" s="263">
        <f t="shared" si="35"/>
        <v>0</v>
      </c>
      <c r="AG118" s="255"/>
      <c r="AI118" s="154">
        <f t="shared" si="36"/>
        <v>0</v>
      </c>
      <c r="AJ118" s="157">
        <f t="shared" si="37"/>
        <v>0</v>
      </c>
      <c r="AK118" s="148">
        <f t="shared" si="38"/>
        <v>0</v>
      </c>
      <c r="AM118" s="161">
        <f t="shared" si="39"/>
        <v>0</v>
      </c>
      <c r="AN118" s="151">
        <f t="shared" si="40"/>
        <v>0</v>
      </c>
      <c r="AP118" s="21">
        <f t="shared" si="41"/>
        <v>1</v>
      </c>
      <c r="AQ118" s="170">
        <f t="shared" si="42"/>
        <v>0</v>
      </c>
      <c r="AR118" s="264">
        <f t="shared" si="43"/>
        <v>0</v>
      </c>
    </row>
    <row r="119" spans="2:44" hidden="1">
      <c r="B119" s="21">
        <f>'MaterialCosts Summary'!B119</f>
        <v>111</v>
      </c>
      <c r="C119" s="26"/>
      <c r="D119" s="23">
        <f>'MaterialCosts Summary'!D119</f>
        <v>0</v>
      </c>
      <c r="E119" s="257">
        <f>'MaterialCosts Summary'!E119</f>
        <v>0</v>
      </c>
      <c r="F119" s="258">
        <v>0</v>
      </c>
      <c r="G119" s="258">
        <v>0</v>
      </c>
      <c r="H119" s="258">
        <v>0</v>
      </c>
      <c r="I119" s="259">
        <f t="shared" si="31"/>
        <v>0</v>
      </c>
      <c r="J119" s="259"/>
      <c r="K119" s="260">
        <f t="shared" si="32"/>
        <v>0</v>
      </c>
      <c r="L119" s="259">
        <v>0</v>
      </c>
      <c r="M119" s="260">
        <f t="shared" si="22"/>
        <v>0</v>
      </c>
      <c r="N119" s="259">
        <v>0</v>
      </c>
      <c r="O119" s="260">
        <f t="shared" si="23"/>
        <v>0</v>
      </c>
      <c r="P119" s="259">
        <f t="shared" si="24"/>
        <v>0</v>
      </c>
      <c r="Q119" s="259"/>
      <c r="R119" s="260">
        <f t="shared" si="25"/>
        <v>0</v>
      </c>
      <c r="S119" s="259">
        <f t="shared" si="26"/>
        <v>0</v>
      </c>
      <c r="T119" s="259"/>
      <c r="U119" s="260">
        <f t="shared" si="27"/>
        <v>0</v>
      </c>
      <c r="V119" s="259">
        <f t="shared" si="28"/>
        <v>0</v>
      </c>
      <c r="W119" s="259"/>
      <c r="X119" s="260">
        <f t="shared" si="29"/>
        <v>0</v>
      </c>
      <c r="Y119" s="259">
        <v>0</v>
      </c>
      <c r="Z119" s="260">
        <f t="shared" si="30"/>
        <v>0</v>
      </c>
      <c r="AA119" s="259">
        <v>0</v>
      </c>
      <c r="AB119" s="24">
        <v>1</v>
      </c>
      <c r="AC119" s="261">
        <f t="shared" si="33"/>
        <v>0</v>
      </c>
      <c r="AD119" s="300">
        <f t="shared" si="34"/>
        <v>0</v>
      </c>
      <c r="AE119" s="262">
        <f t="shared" si="35"/>
        <v>0</v>
      </c>
      <c r="AF119" s="263">
        <f t="shared" si="35"/>
        <v>0</v>
      </c>
      <c r="AG119" s="255"/>
      <c r="AI119" s="154">
        <f t="shared" si="36"/>
        <v>0</v>
      </c>
      <c r="AJ119" s="157">
        <f t="shared" si="37"/>
        <v>0</v>
      </c>
      <c r="AK119" s="148">
        <f t="shared" si="38"/>
        <v>0</v>
      </c>
      <c r="AM119" s="161">
        <f t="shared" si="39"/>
        <v>0</v>
      </c>
      <c r="AN119" s="151">
        <f t="shared" si="40"/>
        <v>0</v>
      </c>
      <c r="AP119" s="21">
        <f t="shared" si="41"/>
        <v>1</v>
      </c>
      <c r="AQ119" s="170">
        <f t="shared" si="42"/>
        <v>0</v>
      </c>
      <c r="AR119" s="264">
        <f t="shared" si="43"/>
        <v>0</v>
      </c>
    </row>
    <row r="120" spans="2:44" hidden="1">
      <c r="B120" s="21">
        <f>'MaterialCosts Summary'!B120</f>
        <v>112</v>
      </c>
      <c r="C120" s="26"/>
      <c r="D120" s="23">
        <f>'MaterialCosts Summary'!D120</f>
        <v>0</v>
      </c>
      <c r="E120" s="257">
        <f>'MaterialCosts Summary'!E120</f>
        <v>0</v>
      </c>
      <c r="F120" s="258">
        <v>0</v>
      </c>
      <c r="G120" s="258">
        <v>0</v>
      </c>
      <c r="H120" s="258">
        <v>0</v>
      </c>
      <c r="I120" s="259">
        <f t="shared" si="31"/>
        <v>0</v>
      </c>
      <c r="J120" s="259"/>
      <c r="K120" s="260">
        <f t="shared" si="32"/>
        <v>0</v>
      </c>
      <c r="L120" s="259">
        <v>0</v>
      </c>
      <c r="M120" s="260">
        <f t="shared" si="22"/>
        <v>0</v>
      </c>
      <c r="N120" s="259">
        <v>0</v>
      </c>
      <c r="O120" s="260">
        <f t="shared" si="23"/>
        <v>0</v>
      </c>
      <c r="P120" s="259">
        <f t="shared" si="24"/>
        <v>0</v>
      </c>
      <c r="Q120" s="259"/>
      <c r="R120" s="260">
        <f t="shared" si="25"/>
        <v>0</v>
      </c>
      <c r="S120" s="259">
        <f t="shared" si="26"/>
        <v>0</v>
      </c>
      <c r="T120" s="259"/>
      <c r="U120" s="260">
        <f t="shared" si="27"/>
        <v>0</v>
      </c>
      <c r="V120" s="259">
        <f t="shared" si="28"/>
        <v>0</v>
      </c>
      <c r="W120" s="259"/>
      <c r="X120" s="260">
        <f t="shared" si="29"/>
        <v>0</v>
      </c>
      <c r="Y120" s="259">
        <v>0</v>
      </c>
      <c r="Z120" s="260">
        <f t="shared" si="30"/>
        <v>0</v>
      </c>
      <c r="AA120" s="259">
        <v>0</v>
      </c>
      <c r="AB120" s="24">
        <v>1</v>
      </c>
      <c r="AC120" s="261">
        <f t="shared" si="33"/>
        <v>0</v>
      </c>
      <c r="AD120" s="300">
        <f t="shared" si="34"/>
        <v>0</v>
      </c>
      <c r="AE120" s="262">
        <f t="shared" si="35"/>
        <v>0</v>
      </c>
      <c r="AF120" s="263">
        <f t="shared" si="35"/>
        <v>0</v>
      </c>
      <c r="AG120" s="255"/>
      <c r="AI120" s="154">
        <f t="shared" si="36"/>
        <v>0</v>
      </c>
      <c r="AJ120" s="157">
        <f t="shared" si="37"/>
        <v>0</v>
      </c>
      <c r="AK120" s="148">
        <f t="shared" si="38"/>
        <v>0</v>
      </c>
      <c r="AM120" s="161">
        <f t="shared" si="39"/>
        <v>0</v>
      </c>
      <c r="AN120" s="151">
        <f t="shared" si="40"/>
        <v>0</v>
      </c>
      <c r="AP120" s="21">
        <f t="shared" si="41"/>
        <v>1</v>
      </c>
      <c r="AQ120" s="170">
        <f t="shared" si="42"/>
        <v>0</v>
      </c>
      <c r="AR120" s="264">
        <f t="shared" si="43"/>
        <v>0</v>
      </c>
    </row>
    <row r="121" spans="2:44" hidden="1">
      <c r="B121" s="21">
        <f>'MaterialCosts Summary'!B121</f>
        <v>113</v>
      </c>
      <c r="C121" s="26"/>
      <c r="D121" s="23">
        <f>'MaterialCosts Summary'!D121</f>
        <v>0</v>
      </c>
      <c r="E121" s="257">
        <f>'MaterialCosts Summary'!E121</f>
        <v>0</v>
      </c>
      <c r="F121" s="258">
        <v>0</v>
      </c>
      <c r="G121" s="258">
        <v>0</v>
      </c>
      <c r="H121" s="258">
        <v>0</v>
      </c>
      <c r="I121" s="259">
        <f t="shared" si="31"/>
        <v>0</v>
      </c>
      <c r="J121" s="259"/>
      <c r="K121" s="260">
        <f t="shared" si="32"/>
        <v>0</v>
      </c>
      <c r="L121" s="259">
        <v>0</v>
      </c>
      <c r="M121" s="260">
        <f t="shared" si="22"/>
        <v>0</v>
      </c>
      <c r="N121" s="259">
        <v>0</v>
      </c>
      <c r="O121" s="260">
        <f t="shared" si="23"/>
        <v>0</v>
      </c>
      <c r="P121" s="259">
        <f t="shared" si="24"/>
        <v>0</v>
      </c>
      <c r="Q121" s="259"/>
      <c r="R121" s="260">
        <f t="shared" si="25"/>
        <v>0</v>
      </c>
      <c r="S121" s="259">
        <f t="shared" si="26"/>
        <v>0</v>
      </c>
      <c r="T121" s="259"/>
      <c r="U121" s="260">
        <f t="shared" si="27"/>
        <v>0</v>
      </c>
      <c r="V121" s="259">
        <f t="shared" si="28"/>
        <v>0</v>
      </c>
      <c r="W121" s="259"/>
      <c r="X121" s="260">
        <f t="shared" si="29"/>
        <v>0</v>
      </c>
      <c r="Y121" s="259">
        <v>0</v>
      </c>
      <c r="Z121" s="260">
        <f t="shared" si="30"/>
        <v>0</v>
      </c>
      <c r="AA121" s="259">
        <v>0</v>
      </c>
      <c r="AB121" s="24">
        <v>1</v>
      </c>
      <c r="AC121" s="261">
        <f t="shared" si="33"/>
        <v>0</v>
      </c>
      <c r="AD121" s="298">
        <f t="shared" si="34"/>
        <v>0</v>
      </c>
      <c r="AE121" s="262">
        <f t="shared" si="35"/>
        <v>0</v>
      </c>
      <c r="AF121" s="263">
        <f t="shared" si="35"/>
        <v>0</v>
      </c>
      <c r="AG121" s="255"/>
      <c r="AI121" s="154">
        <f t="shared" si="36"/>
        <v>0</v>
      </c>
      <c r="AJ121" s="157">
        <f t="shared" si="37"/>
        <v>0</v>
      </c>
      <c r="AK121" s="148">
        <f t="shared" si="38"/>
        <v>0</v>
      </c>
      <c r="AM121" s="161">
        <f t="shared" si="39"/>
        <v>0</v>
      </c>
      <c r="AN121" s="151">
        <f t="shared" si="40"/>
        <v>0</v>
      </c>
      <c r="AP121" s="21">
        <f t="shared" si="41"/>
        <v>1</v>
      </c>
      <c r="AQ121" s="170">
        <f t="shared" si="42"/>
        <v>0</v>
      </c>
      <c r="AR121" s="264">
        <f t="shared" si="43"/>
        <v>0</v>
      </c>
    </row>
    <row r="122" spans="2:44" hidden="1">
      <c r="B122" s="21">
        <f>'MaterialCosts Summary'!B122</f>
        <v>114</v>
      </c>
      <c r="C122" s="26"/>
      <c r="D122" s="23">
        <f>'MaterialCosts Summary'!D122</f>
        <v>0</v>
      </c>
      <c r="E122" s="257">
        <f>'MaterialCosts Summary'!E122</f>
        <v>0</v>
      </c>
      <c r="F122" s="258">
        <v>0</v>
      </c>
      <c r="G122" s="258">
        <v>0</v>
      </c>
      <c r="H122" s="258">
        <v>0</v>
      </c>
      <c r="I122" s="259">
        <f t="shared" si="31"/>
        <v>0</v>
      </c>
      <c r="J122" s="259"/>
      <c r="K122" s="260">
        <f t="shared" si="32"/>
        <v>0</v>
      </c>
      <c r="L122" s="259">
        <v>0</v>
      </c>
      <c r="M122" s="260">
        <f t="shared" si="22"/>
        <v>0</v>
      </c>
      <c r="N122" s="259">
        <v>0</v>
      </c>
      <c r="O122" s="260">
        <f t="shared" si="23"/>
        <v>0</v>
      </c>
      <c r="P122" s="259">
        <f t="shared" si="24"/>
        <v>0</v>
      </c>
      <c r="Q122" s="259"/>
      <c r="R122" s="260">
        <f t="shared" si="25"/>
        <v>0</v>
      </c>
      <c r="S122" s="259">
        <f t="shared" si="26"/>
        <v>0</v>
      </c>
      <c r="T122" s="259"/>
      <c r="U122" s="260">
        <f t="shared" si="27"/>
        <v>0</v>
      </c>
      <c r="V122" s="259">
        <f t="shared" si="28"/>
        <v>0</v>
      </c>
      <c r="W122" s="259"/>
      <c r="X122" s="260">
        <f t="shared" si="29"/>
        <v>0</v>
      </c>
      <c r="Y122" s="259">
        <v>0</v>
      </c>
      <c r="Z122" s="260">
        <f t="shared" si="30"/>
        <v>0</v>
      </c>
      <c r="AA122" s="259">
        <v>0</v>
      </c>
      <c r="AB122" s="24">
        <v>1</v>
      </c>
      <c r="AC122" s="261">
        <f t="shared" si="33"/>
        <v>0</v>
      </c>
      <c r="AD122" s="299">
        <f t="shared" si="34"/>
        <v>0</v>
      </c>
      <c r="AE122" s="262">
        <f t="shared" si="35"/>
        <v>0</v>
      </c>
      <c r="AF122" s="263">
        <f t="shared" si="35"/>
        <v>0</v>
      </c>
      <c r="AG122" s="255"/>
      <c r="AI122" s="154">
        <f t="shared" si="36"/>
        <v>0</v>
      </c>
      <c r="AJ122" s="157">
        <f t="shared" si="37"/>
        <v>0</v>
      </c>
      <c r="AK122" s="148">
        <f t="shared" si="38"/>
        <v>0</v>
      </c>
      <c r="AM122" s="161">
        <f t="shared" si="39"/>
        <v>0</v>
      </c>
      <c r="AN122" s="151">
        <f t="shared" si="40"/>
        <v>0</v>
      </c>
      <c r="AP122" s="21">
        <f t="shared" si="41"/>
        <v>1</v>
      </c>
      <c r="AQ122" s="170">
        <f t="shared" si="42"/>
        <v>0</v>
      </c>
      <c r="AR122" s="264">
        <f t="shared" si="43"/>
        <v>0</v>
      </c>
    </row>
    <row r="123" spans="2:44" hidden="1">
      <c r="B123" s="21">
        <f>'MaterialCosts Summary'!B123</f>
        <v>115</v>
      </c>
      <c r="C123" s="26"/>
      <c r="D123" s="23">
        <f>'MaterialCosts Summary'!D123</f>
        <v>0</v>
      </c>
      <c r="E123" s="257">
        <f>'MaterialCosts Summary'!E123</f>
        <v>0</v>
      </c>
      <c r="F123" s="258">
        <v>0</v>
      </c>
      <c r="G123" s="258">
        <v>0</v>
      </c>
      <c r="H123" s="258">
        <v>0</v>
      </c>
      <c r="I123" s="259">
        <f t="shared" si="31"/>
        <v>0</v>
      </c>
      <c r="J123" s="259"/>
      <c r="K123" s="260">
        <f t="shared" si="32"/>
        <v>0</v>
      </c>
      <c r="L123" s="259">
        <v>0</v>
      </c>
      <c r="M123" s="260">
        <f t="shared" si="22"/>
        <v>0</v>
      </c>
      <c r="N123" s="259">
        <v>0</v>
      </c>
      <c r="O123" s="260">
        <f t="shared" si="23"/>
        <v>0</v>
      </c>
      <c r="P123" s="259">
        <f t="shared" si="24"/>
        <v>0</v>
      </c>
      <c r="Q123" s="259"/>
      <c r="R123" s="260">
        <f t="shared" si="25"/>
        <v>0</v>
      </c>
      <c r="S123" s="259">
        <f t="shared" si="26"/>
        <v>0</v>
      </c>
      <c r="T123" s="259"/>
      <c r="U123" s="260">
        <f t="shared" si="27"/>
        <v>0</v>
      </c>
      <c r="V123" s="259">
        <f t="shared" si="28"/>
        <v>0</v>
      </c>
      <c r="W123" s="259"/>
      <c r="X123" s="260">
        <f t="shared" si="29"/>
        <v>0</v>
      </c>
      <c r="Y123" s="259">
        <v>0</v>
      </c>
      <c r="Z123" s="260">
        <f t="shared" si="30"/>
        <v>0</v>
      </c>
      <c r="AA123" s="259">
        <v>0</v>
      </c>
      <c r="AB123" s="24">
        <v>1</v>
      </c>
      <c r="AC123" s="261">
        <f t="shared" si="33"/>
        <v>0</v>
      </c>
      <c r="AD123" s="300">
        <f t="shared" si="34"/>
        <v>0</v>
      </c>
      <c r="AE123" s="262">
        <f t="shared" si="35"/>
        <v>0</v>
      </c>
      <c r="AF123" s="263">
        <f t="shared" si="35"/>
        <v>0</v>
      </c>
      <c r="AG123" s="255"/>
      <c r="AI123" s="154">
        <f t="shared" si="36"/>
        <v>0</v>
      </c>
      <c r="AJ123" s="157">
        <f t="shared" si="37"/>
        <v>0</v>
      </c>
      <c r="AK123" s="148">
        <f t="shared" si="38"/>
        <v>0</v>
      </c>
      <c r="AM123" s="161">
        <f t="shared" si="39"/>
        <v>0</v>
      </c>
      <c r="AN123" s="151">
        <f t="shared" si="40"/>
        <v>0</v>
      </c>
      <c r="AP123" s="21">
        <f t="shared" si="41"/>
        <v>1</v>
      </c>
      <c r="AQ123" s="170">
        <f t="shared" si="42"/>
        <v>0</v>
      </c>
      <c r="AR123" s="264">
        <f t="shared" si="43"/>
        <v>0</v>
      </c>
    </row>
    <row r="124" spans="2:44" hidden="1">
      <c r="B124" s="21">
        <f>'MaterialCosts Summary'!B124</f>
        <v>116</v>
      </c>
      <c r="C124" s="26"/>
      <c r="D124" s="23">
        <f>'MaterialCosts Summary'!D124</f>
        <v>0</v>
      </c>
      <c r="E124" s="257">
        <f>'MaterialCosts Summary'!E124</f>
        <v>0</v>
      </c>
      <c r="F124" s="258">
        <v>0</v>
      </c>
      <c r="G124" s="258">
        <v>0</v>
      </c>
      <c r="H124" s="258">
        <v>0</v>
      </c>
      <c r="I124" s="259">
        <f t="shared" si="31"/>
        <v>0</v>
      </c>
      <c r="J124" s="259"/>
      <c r="K124" s="260">
        <f t="shared" si="32"/>
        <v>0</v>
      </c>
      <c r="L124" s="259">
        <v>0</v>
      </c>
      <c r="M124" s="260">
        <f t="shared" si="22"/>
        <v>0</v>
      </c>
      <c r="N124" s="259">
        <v>0</v>
      </c>
      <c r="O124" s="260">
        <f t="shared" si="23"/>
        <v>0</v>
      </c>
      <c r="P124" s="259">
        <f t="shared" si="24"/>
        <v>0</v>
      </c>
      <c r="Q124" s="259"/>
      <c r="R124" s="260">
        <f t="shared" si="25"/>
        <v>0</v>
      </c>
      <c r="S124" s="259">
        <f t="shared" si="26"/>
        <v>0</v>
      </c>
      <c r="T124" s="259"/>
      <c r="U124" s="260">
        <f t="shared" si="27"/>
        <v>0</v>
      </c>
      <c r="V124" s="259">
        <f t="shared" si="28"/>
        <v>0</v>
      </c>
      <c r="W124" s="259"/>
      <c r="X124" s="260">
        <f t="shared" si="29"/>
        <v>0</v>
      </c>
      <c r="Y124" s="259">
        <v>0</v>
      </c>
      <c r="Z124" s="260">
        <f t="shared" si="30"/>
        <v>0</v>
      </c>
      <c r="AA124" s="259">
        <v>0</v>
      </c>
      <c r="AB124" s="24">
        <v>1</v>
      </c>
      <c r="AC124" s="261">
        <f t="shared" si="33"/>
        <v>0</v>
      </c>
      <c r="AD124" s="300">
        <f t="shared" si="34"/>
        <v>0</v>
      </c>
      <c r="AE124" s="262">
        <f t="shared" si="35"/>
        <v>0</v>
      </c>
      <c r="AF124" s="263">
        <f t="shared" si="35"/>
        <v>0</v>
      </c>
      <c r="AG124" s="255"/>
      <c r="AI124" s="154">
        <f t="shared" si="36"/>
        <v>0</v>
      </c>
      <c r="AJ124" s="157">
        <f t="shared" si="37"/>
        <v>0</v>
      </c>
      <c r="AK124" s="148">
        <f t="shared" si="38"/>
        <v>0</v>
      </c>
      <c r="AM124" s="161">
        <f t="shared" si="39"/>
        <v>0</v>
      </c>
      <c r="AN124" s="151">
        <f t="shared" si="40"/>
        <v>0</v>
      </c>
      <c r="AP124" s="21">
        <f t="shared" si="41"/>
        <v>1</v>
      </c>
      <c r="AQ124" s="170">
        <f t="shared" si="42"/>
        <v>0</v>
      </c>
      <c r="AR124" s="264">
        <f t="shared" si="43"/>
        <v>0</v>
      </c>
    </row>
    <row r="125" spans="2:44" hidden="1">
      <c r="B125" s="21">
        <f>'MaterialCosts Summary'!B125</f>
        <v>117</v>
      </c>
      <c r="C125" s="26"/>
      <c r="D125" s="23">
        <f>'MaterialCosts Summary'!D125</f>
        <v>0</v>
      </c>
      <c r="E125" s="257">
        <f>'MaterialCosts Summary'!E125</f>
        <v>0</v>
      </c>
      <c r="F125" s="258">
        <v>0</v>
      </c>
      <c r="G125" s="258">
        <v>0</v>
      </c>
      <c r="H125" s="258">
        <v>0</v>
      </c>
      <c r="I125" s="259">
        <f t="shared" si="31"/>
        <v>0</v>
      </c>
      <c r="J125" s="259"/>
      <c r="K125" s="260">
        <f t="shared" si="32"/>
        <v>0</v>
      </c>
      <c r="L125" s="259">
        <v>0</v>
      </c>
      <c r="M125" s="260">
        <f t="shared" si="22"/>
        <v>0</v>
      </c>
      <c r="N125" s="259">
        <v>0</v>
      </c>
      <c r="O125" s="260">
        <f t="shared" si="23"/>
        <v>0</v>
      </c>
      <c r="P125" s="259">
        <f t="shared" si="24"/>
        <v>0</v>
      </c>
      <c r="Q125" s="259"/>
      <c r="R125" s="260">
        <f t="shared" si="25"/>
        <v>0</v>
      </c>
      <c r="S125" s="259">
        <f t="shared" si="26"/>
        <v>0</v>
      </c>
      <c r="T125" s="259"/>
      <c r="U125" s="260">
        <f t="shared" si="27"/>
        <v>0</v>
      </c>
      <c r="V125" s="259">
        <f t="shared" si="28"/>
        <v>0</v>
      </c>
      <c r="W125" s="259"/>
      <c r="X125" s="260">
        <f t="shared" si="29"/>
        <v>0</v>
      </c>
      <c r="Y125" s="259">
        <v>0</v>
      </c>
      <c r="Z125" s="260">
        <f t="shared" si="30"/>
        <v>0</v>
      </c>
      <c r="AA125" s="259">
        <v>0</v>
      </c>
      <c r="AB125" s="24">
        <v>1</v>
      </c>
      <c r="AC125" s="261">
        <f t="shared" si="33"/>
        <v>0</v>
      </c>
      <c r="AD125" s="298">
        <f t="shared" si="34"/>
        <v>0</v>
      </c>
      <c r="AE125" s="262">
        <f t="shared" si="35"/>
        <v>0</v>
      </c>
      <c r="AF125" s="263">
        <f t="shared" si="35"/>
        <v>0</v>
      </c>
      <c r="AG125" s="255"/>
      <c r="AI125" s="154">
        <f t="shared" si="36"/>
        <v>0</v>
      </c>
      <c r="AJ125" s="157">
        <f t="shared" si="37"/>
        <v>0</v>
      </c>
      <c r="AK125" s="148">
        <f t="shared" si="38"/>
        <v>0</v>
      </c>
      <c r="AM125" s="161">
        <f t="shared" si="39"/>
        <v>0</v>
      </c>
      <c r="AN125" s="151">
        <f t="shared" si="40"/>
        <v>0</v>
      </c>
      <c r="AP125" s="21">
        <f t="shared" si="41"/>
        <v>1</v>
      </c>
      <c r="AQ125" s="170">
        <f t="shared" si="42"/>
        <v>0</v>
      </c>
      <c r="AR125" s="264">
        <f t="shared" si="43"/>
        <v>0</v>
      </c>
    </row>
    <row r="126" spans="2:44" hidden="1">
      <c r="B126" s="21">
        <f>'MaterialCosts Summary'!B126</f>
        <v>118</v>
      </c>
      <c r="C126" s="26"/>
      <c r="D126" s="23">
        <f>'MaterialCosts Summary'!D126</f>
        <v>0</v>
      </c>
      <c r="E126" s="257">
        <f>'MaterialCosts Summary'!E126</f>
        <v>0</v>
      </c>
      <c r="F126" s="258">
        <v>0</v>
      </c>
      <c r="G126" s="258">
        <v>0</v>
      </c>
      <c r="H126" s="258">
        <v>0</v>
      </c>
      <c r="I126" s="259">
        <f t="shared" si="31"/>
        <v>0</v>
      </c>
      <c r="J126" s="259"/>
      <c r="K126" s="260">
        <f t="shared" si="32"/>
        <v>0</v>
      </c>
      <c r="L126" s="259">
        <v>0</v>
      </c>
      <c r="M126" s="260">
        <f t="shared" si="22"/>
        <v>0</v>
      </c>
      <c r="N126" s="259">
        <v>0</v>
      </c>
      <c r="O126" s="260">
        <f t="shared" si="23"/>
        <v>0</v>
      </c>
      <c r="P126" s="259">
        <f t="shared" si="24"/>
        <v>0</v>
      </c>
      <c r="Q126" s="259"/>
      <c r="R126" s="260">
        <f t="shared" si="25"/>
        <v>0</v>
      </c>
      <c r="S126" s="259">
        <f t="shared" si="26"/>
        <v>0</v>
      </c>
      <c r="T126" s="259"/>
      <c r="U126" s="260">
        <f t="shared" si="27"/>
        <v>0</v>
      </c>
      <c r="V126" s="259">
        <f t="shared" si="28"/>
        <v>0</v>
      </c>
      <c r="W126" s="259"/>
      <c r="X126" s="260">
        <f t="shared" si="29"/>
        <v>0</v>
      </c>
      <c r="Y126" s="259">
        <v>0</v>
      </c>
      <c r="Z126" s="260">
        <f t="shared" si="30"/>
        <v>0</v>
      </c>
      <c r="AA126" s="259">
        <v>0</v>
      </c>
      <c r="AB126" s="24">
        <v>1</v>
      </c>
      <c r="AC126" s="261">
        <f t="shared" si="33"/>
        <v>0</v>
      </c>
      <c r="AD126" s="299">
        <f t="shared" si="34"/>
        <v>0</v>
      </c>
      <c r="AE126" s="262">
        <f t="shared" si="35"/>
        <v>0</v>
      </c>
      <c r="AF126" s="263">
        <f t="shared" si="35"/>
        <v>0</v>
      </c>
      <c r="AG126" s="255"/>
      <c r="AI126" s="154">
        <f t="shared" si="36"/>
        <v>0</v>
      </c>
      <c r="AJ126" s="157">
        <f t="shared" si="37"/>
        <v>0</v>
      </c>
      <c r="AK126" s="148">
        <f t="shared" si="38"/>
        <v>0</v>
      </c>
      <c r="AM126" s="161">
        <f t="shared" si="39"/>
        <v>0</v>
      </c>
      <c r="AN126" s="151">
        <f t="shared" si="40"/>
        <v>0</v>
      </c>
      <c r="AP126" s="21">
        <f t="shared" si="41"/>
        <v>1</v>
      </c>
      <c r="AQ126" s="170">
        <f t="shared" si="42"/>
        <v>0</v>
      </c>
      <c r="AR126" s="264">
        <f t="shared" si="43"/>
        <v>0</v>
      </c>
    </row>
    <row r="127" spans="2:44" hidden="1">
      <c r="B127" s="21">
        <f>'MaterialCosts Summary'!B127</f>
        <v>119</v>
      </c>
      <c r="C127" s="26"/>
      <c r="D127" s="23">
        <f>'MaterialCosts Summary'!D127</f>
        <v>0</v>
      </c>
      <c r="E127" s="257">
        <f>'MaterialCosts Summary'!E127</f>
        <v>0</v>
      </c>
      <c r="F127" s="258">
        <v>0</v>
      </c>
      <c r="G127" s="258">
        <v>0</v>
      </c>
      <c r="H127" s="258">
        <v>0</v>
      </c>
      <c r="I127" s="259">
        <f t="shared" si="31"/>
        <v>0</v>
      </c>
      <c r="J127" s="259"/>
      <c r="K127" s="260">
        <f t="shared" si="32"/>
        <v>0</v>
      </c>
      <c r="L127" s="259">
        <v>0</v>
      </c>
      <c r="M127" s="260">
        <f t="shared" si="22"/>
        <v>0</v>
      </c>
      <c r="N127" s="259">
        <v>0</v>
      </c>
      <c r="O127" s="260">
        <f t="shared" si="23"/>
        <v>0</v>
      </c>
      <c r="P127" s="259">
        <f t="shared" si="24"/>
        <v>0</v>
      </c>
      <c r="Q127" s="259"/>
      <c r="R127" s="260">
        <f t="shared" si="25"/>
        <v>0</v>
      </c>
      <c r="S127" s="259">
        <f t="shared" si="26"/>
        <v>0</v>
      </c>
      <c r="T127" s="259"/>
      <c r="U127" s="260">
        <f t="shared" si="27"/>
        <v>0</v>
      </c>
      <c r="V127" s="259">
        <f t="shared" si="28"/>
        <v>0</v>
      </c>
      <c r="W127" s="259"/>
      <c r="X127" s="260">
        <f t="shared" si="29"/>
        <v>0</v>
      </c>
      <c r="Y127" s="259">
        <v>0</v>
      </c>
      <c r="Z127" s="260">
        <f t="shared" si="30"/>
        <v>0</v>
      </c>
      <c r="AA127" s="259">
        <v>0</v>
      </c>
      <c r="AB127" s="24">
        <v>1</v>
      </c>
      <c r="AC127" s="261">
        <f t="shared" si="33"/>
        <v>0</v>
      </c>
      <c r="AD127" s="300">
        <f t="shared" si="34"/>
        <v>0</v>
      </c>
      <c r="AE127" s="262">
        <f t="shared" si="35"/>
        <v>0</v>
      </c>
      <c r="AF127" s="263">
        <f t="shared" si="35"/>
        <v>0</v>
      </c>
      <c r="AG127" s="255"/>
      <c r="AI127" s="154">
        <f t="shared" si="36"/>
        <v>0</v>
      </c>
      <c r="AJ127" s="157">
        <f t="shared" si="37"/>
        <v>0</v>
      </c>
      <c r="AK127" s="148">
        <f t="shared" si="38"/>
        <v>0</v>
      </c>
      <c r="AM127" s="161">
        <f t="shared" si="39"/>
        <v>0</v>
      </c>
      <c r="AN127" s="151">
        <f t="shared" si="40"/>
        <v>0</v>
      </c>
      <c r="AP127" s="21">
        <f t="shared" si="41"/>
        <v>1</v>
      </c>
      <c r="AQ127" s="170">
        <f t="shared" si="42"/>
        <v>0</v>
      </c>
      <c r="AR127" s="264">
        <f t="shared" si="43"/>
        <v>0</v>
      </c>
    </row>
    <row r="128" spans="2:44" hidden="1">
      <c r="B128" s="21">
        <f>'MaterialCosts Summary'!B128</f>
        <v>120</v>
      </c>
      <c r="C128" s="26"/>
      <c r="D128" s="23">
        <f>'MaterialCosts Summary'!D128</f>
        <v>0</v>
      </c>
      <c r="E128" s="257">
        <f>'MaterialCosts Summary'!E128</f>
        <v>0</v>
      </c>
      <c r="F128" s="258">
        <v>0</v>
      </c>
      <c r="G128" s="258">
        <v>0</v>
      </c>
      <c r="H128" s="258">
        <v>0</v>
      </c>
      <c r="I128" s="259">
        <f t="shared" si="31"/>
        <v>0</v>
      </c>
      <c r="J128" s="259"/>
      <c r="K128" s="260">
        <f t="shared" si="32"/>
        <v>0</v>
      </c>
      <c r="L128" s="259">
        <v>0</v>
      </c>
      <c r="M128" s="260">
        <f t="shared" si="22"/>
        <v>0</v>
      </c>
      <c r="N128" s="259">
        <v>0</v>
      </c>
      <c r="O128" s="260">
        <f t="shared" si="23"/>
        <v>0</v>
      </c>
      <c r="P128" s="259">
        <f t="shared" si="24"/>
        <v>0</v>
      </c>
      <c r="Q128" s="259"/>
      <c r="R128" s="260">
        <f t="shared" si="25"/>
        <v>0</v>
      </c>
      <c r="S128" s="259">
        <f t="shared" si="26"/>
        <v>0</v>
      </c>
      <c r="T128" s="259"/>
      <c r="U128" s="260">
        <f t="shared" si="27"/>
        <v>0</v>
      </c>
      <c r="V128" s="259">
        <f t="shared" si="28"/>
        <v>0</v>
      </c>
      <c r="W128" s="259"/>
      <c r="X128" s="260">
        <f t="shared" si="29"/>
        <v>0</v>
      </c>
      <c r="Y128" s="259">
        <v>0</v>
      </c>
      <c r="Z128" s="260">
        <f t="shared" si="30"/>
        <v>0</v>
      </c>
      <c r="AA128" s="259">
        <v>0</v>
      </c>
      <c r="AB128" s="24">
        <v>1</v>
      </c>
      <c r="AC128" s="261">
        <f t="shared" si="33"/>
        <v>0</v>
      </c>
      <c r="AD128" s="300">
        <f t="shared" si="34"/>
        <v>0</v>
      </c>
      <c r="AE128" s="262">
        <f t="shared" si="35"/>
        <v>0</v>
      </c>
      <c r="AF128" s="263">
        <f t="shared" si="35"/>
        <v>0</v>
      </c>
      <c r="AG128" s="255"/>
      <c r="AI128" s="154">
        <f t="shared" si="36"/>
        <v>0</v>
      </c>
      <c r="AJ128" s="157">
        <f t="shared" si="37"/>
        <v>0</v>
      </c>
      <c r="AK128" s="148">
        <f t="shared" si="38"/>
        <v>0</v>
      </c>
      <c r="AM128" s="161">
        <f t="shared" si="39"/>
        <v>0</v>
      </c>
      <c r="AN128" s="151">
        <f t="shared" si="40"/>
        <v>0</v>
      </c>
      <c r="AP128" s="21">
        <f t="shared" si="41"/>
        <v>1</v>
      </c>
      <c r="AQ128" s="170">
        <f t="shared" si="42"/>
        <v>0</v>
      </c>
      <c r="AR128" s="264">
        <f t="shared" si="43"/>
        <v>0</v>
      </c>
    </row>
    <row r="129" spans="2:45" hidden="1">
      <c r="B129" s="21">
        <f>'MaterialCosts Summary'!B129</f>
        <v>121</v>
      </c>
      <c r="C129" s="26"/>
      <c r="D129" s="23">
        <f>'MaterialCosts Summary'!D129</f>
        <v>0</v>
      </c>
      <c r="E129" s="257">
        <f>'MaterialCosts Summary'!E129</f>
        <v>0</v>
      </c>
      <c r="F129" s="258">
        <v>0</v>
      </c>
      <c r="G129" s="258">
        <v>0</v>
      </c>
      <c r="H129" s="258">
        <v>0</v>
      </c>
      <c r="I129" s="259">
        <f t="shared" si="31"/>
        <v>0</v>
      </c>
      <c r="J129" s="259"/>
      <c r="K129" s="260">
        <f t="shared" si="32"/>
        <v>0</v>
      </c>
      <c r="L129" s="259">
        <v>0</v>
      </c>
      <c r="M129" s="260">
        <f t="shared" si="22"/>
        <v>0</v>
      </c>
      <c r="N129" s="259">
        <v>0</v>
      </c>
      <c r="O129" s="260">
        <f t="shared" si="23"/>
        <v>0</v>
      </c>
      <c r="P129" s="259">
        <f t="shared" si="24"/>
        <v>0</v>
      </c>
      <c r="Q129" s="259"/>
      <c r="R129" s="260">
        <f t="shared" si="25"/>
        <v>0</v>
      </c>
      <c r="S129" s="259">
        <f t="shared" si="26"/>
        <v>0</v>
      </c>
      <c r="T129" s="259"/>
      <c r="U129" s="260">
        <f t="shared" si="27"/>
        <v>0</v>
      </c>
      <c r="V129" s="259">
        <f t="shared" si="28"/>
        <v>0</v>
      </c>
      <c r="W129" s="259"/>
      <c r="X129" s="260">
        <f t="shared" si="29"/>
        <v>0</v>
      </c>
      <c r="Y129" s="259">
        <v>0</v>
      </c>
      <c r="Z129" s="260">
        <f t="shared" si="30"/>
        <v>0</v>
      </c>
      <c r="AA129" s="259">
        <v>0</v>
      </c>
      <c r="AB129" s="24">
        <v>1</v>
      </c>
      <c r="AC129" s="261">
        <f t="shared" si="33"/>
        <v>0</v>
      </c>
      <c r="AD129" s="298">
        <f t="shared" si="34"/>
        <v>0</v>
      </c>
      <c r="AE129" s="262">
        <f t="shared" si="35"/>
        <v>0</v>
      </c>
      <c r="AF129" s="263">
        <f t="shared" si="35"/>
        <v>0</v>
      </c>
      <c r="AG129" s="255"/>
      <c r="AI129" s="154">
        <f t="shared" si="36"/>
        <v>0</v>
      </c>
      <c r="AJ129" s="157">
        <f t="shared" si="37"/>
        <v>0</v>
      </c>
      <c r="AK129" s="148">
        <f t="shared" si="38"/>
        <v>0</v>
      </c>
      <c r="AM129" s="161">
        <f t="shared" si="39"/>
        <v>0</v>
      </c>
      <c r="AN129" s="151">
        <f t="shared" si="40"/>
        <v>0</v>
      </c>
      <c r="AP129" s="21">
        <f t="shared" si="41"/>
        <v>1</v>
      </c>
      <c r="AQ129" s="170">
        <f t="shared" si="42"/>
        <v>0</v>
      </c>
      <c r="AR129" s="264">
        <f t="shared" si="43"/>
        <v>0</v>
      </c>
    </row>
    <row r="130" spans="2:45" hidden="1">
      <c r="B130" s="21">
        <f>'MaterialCosts Summary'!B130</f>
        <v>122</v>
      </c>
      <c r="C130" s="26"/>
      <c r="D130" s="23">
        <f>'MaterialCosts Summary'!D130</f>
        <v>0</v>
      </c>
      <c r="E130" s="257">
        <f>'MaterialCosts Summary'!E130</f>
        <v>0</v>
      </c>
      <c r="F130" s="258">
        <v>0</v>
      </c>
      <c r="G130" s="258">
        <v>0</v>
      </c>
      <c r="H130" s="258">
        <v>0</v>
      </c>
      <c r="I130" s="259">
        <f t="shared" si="31"/>
        <v>0</v>
      </c>
      <c r="J130" s="259"/>
      <c r="K130" s="260">
        <f t="shared" si="32"/>
        <v>0</v>
      </c>
      <c r="L130" s="259">
        <v>0</v>
      </c>
      <c r="M130" s="260">
        <f t="shared" si="22"/>
        <v>0</v>
      </c>
      <c r="N130" s="259">
        <v>0</v>
      </c>
      <c r="O130" s="260">
        <f t="shared" si="23"/>
        <v>0</v>
      </c>
      <c r="P130" s="259">
        <f t="shared" si="24"/>
        <v>0</v>
      </c>
      <c r="Q130" s="259"/>
      <c r="R130" s="260">
        <f t="shared" si="25"/>
        <v>0</v>
      </c>
      <c r="S130" s="259">
        <f t="shared" si="26"/>
        <v>0</v>
      </c>
      <c r="T130" s="259"/>
      <c r="U130" s="260">
        <f t="shared" si="27"/>
        <v>0</v>
      </c>
      <c r="V130" s="259">
        <f t="shared" si="28"/>
        <v>0</v>
      </c>
      <c r="W130" s="259"/>
      <c r="X130" s="260">
        <f t="shared" si="29"/>
        <v>0</v>
      </c>
      <c r="Y130" s="259">
        <v>0</v>
      </c>
      <c r="Z130" s="260">
        <f t="shared" si="30"/>
        <v>0</v>
      </c>
      <c r="AA130" s="259">
        <v>0</v>
      </c>
      <c r="AB130" s="24">
        <v>1</v>
      </c>
      <c r="AC130" s="261">
        <f t="shared" si="33"/>
        <v>0</v>
      </c>
      <c r="AD130" s="299">
        <f t="shared" si="34"/>
        <v>0</v>
      </c>
      <c r="AE130" s="262">
        <f t="shared" si="35"/>
        <v>0</v>
      </c>
      <c r="AF130" s="263">
        <f t="shared" si="35"/>
        <v>0</v>
      </c>
      <c r="AG130" s="255"/>
      <c r="AI130" s="154">
        <f t="shared" si="36"/>
        <v>0</v>
      </c>
      <c r="AJ130" s="157">
        <f t="shared" si="37"/>
        <v>0</v>
      </c>
      <c r="AK130" s="148">
        <f t="shared" si="38"/>
        <v>0</v>
      </c>
      <c r="AM130" s="161">
        <f t="shared" si="39"/>
        <v>0</v>
      </c>
      <c r="AN130" s="151">
        <f t="shared" si="40"/>
        <v>0</v>
      </c>
      <c r="AP130" s="21">
        <f t="shared" si="41"/>
        <v>1</v>
      </c>
      <c r="AQ130" s="170">
        <f t="shared" si="42"/>
        <v>0</v>
      </c>
      <c r="AR130" s="264">
        <f t="shared" si="43"/>
        <v>0</v>
      </c>
    </row>
    <row r="131" spans="2:45" hidden="1">
      <c r="B131" s="21">
        <f>'MaterialCosts Summary'!B131</f>
        <v>123</v>
      </c>
      <c r="C131" s="26"/>
      <c r="D131" s="23">
        <f>'MaterialCosts Summary'!D131</f>
        <v>0</v>
      </c>
      <c r="E131" s="257">
        <f>'MaterialCosts Summary'!E131</f>
        <v>0</v>
      </c>
      <c r="F131" s="258">
        <v>0</v>
      </c>
      <c r="G131" s="258">
        <v>0</v>
      </c>
      <c r="H131" s="258">
        <v>0</v>
      </c>
      <c r="I131" s="259">
        <f t="shared" si="31"/>
        <v>0</v>
      </c>
      <c r="J131" s="259"/>
      <c r="K131" s="260">
        <f t="shared" si="32"/>
        <v>0</v>
      </c>
      <c r="L131" s="259">
        <v>0</v>
      </c>
      <c r="M131" s="260">
        <f t="shared" si="22"/>
        <v>0</v>
      </c>
      <c r="N131" s="259">
        <v>0</v>
      </c>
      <c r="O131" s="260">
        <f t="shared" si="23"/>
        <v>0</v>
      </c>
      <c r="P131" s="259">
        <f t="shared" si="24"/>
        <v>0</v>
      </c>
      <c r="Q131" s="259"/>
      <c r="R131" s="260">
        <f t="shared" si="25"/>
        <v>0</v>
      </c>
      <c r="S131" s="259">
        <f t="shared" si="26"/>
        <v>0</v>
      </c>
      <c r="T131" s="259"/>
      <c r="U131" s="260">
        <f t="shared" si="27"/>
        <v>0</v>
      </c>
      <c r="V131" s="259">
        <f t="shared" si="28"/>
        <v>0</v>
      </c>
      <c r="W131" s="259"/>
      <c r="X131" s="260">
        <f t="shared" si="29"/>
        <v>0</v>
      </c>
      <c r="Y131" s="259">
        <v>0</v>
      </c>
      <c r="Z131" s="260">
        <f t="shared" si="30"/>
        <v>0</v>
      </c>
      <c r="AA131" s="259">
        <v>0</v>
      </c>
      <c r="AB131" s="24">
        <v>1</v>
      </c>
      <c r="AC131" s="261">
        <f t="shared" si="33"/>
        <v>0</v>
      </c>
      <c r="AD131" s="300">
        <f t="shared" si="34"/>
        <v>0</v>
      </c>
      <c r="AE131" s="262">
        <f t="shared" si="35"/>
        <v>0</v>
      </c>
      <c r="AF131" s="263">
        <f t="shared" si="35"/>
        <v>0</v>
      </c>
      <c r="AG131" s="255"/>
      <c r="AI131" s="154">
        <f t="shared" si="36"/>
        <v>0</v>
      </c>
      <c r="AJ131" s="157">
        <f t="shared" si="37"/>
        <v>0</v>
      </c>
      <c r="AK131" s="148">
        <f t="shared" si="38"/>
        <v>0</v>
      </c>
      <c r="AM131" s="161">
        <f t="shared" si="39"/>
        <v>0</v>
      </c>
      <c r="AN131" s="151">
        <f t="shared" si="40"/>
        <v>0</v>
      </c>
      <c r="AP131" s="21">
        <f t="shared" si="41"/>
        <v>1</v>
      </c>
      <c r="AQ131" s="170">
        <f t="shared" si="42"/>
        <v>0</v>
      </c>
      <c r="AR131" s="264">
        <f t="shared" si="43"/>
        <v>0</v>
      </c>
    </row>
    <row r="132" spans="2:45" hidden="1">
      <c r="B132" s="21">
        <f>'MaterialCosts Summary'!B132</f>
        <v>124</v>
      </c>
      <c r="C132" s="26"/>
      <c r="D132" s="23">
        <f>'MaterialCosts Summary'!D132</f>
        <v>0</v>
      </c>
      <c r="E132" s="257">
        <f>'MaterialCosts Summary'!E132</f>
        <v>0</v>
      </c>
      <c r="F132" s="258">
        <v>0</v>
      </c>
      <c r="G132" s="258">
        <v>0</v>
      </c>
      <c r="H132" s="258">
        <v>0</v>
      </c>
      <c r="I132" s="259">
        <f t="shared" si="31"/>
        <v>0</v>
      </c>
      <c r="J132" s="259"/>
      <c r="K132" s="260">
        <f t="shared" si="32"/>
        <v>0</v>
      </c>
      <c r="L132" s="259">
        <v>0</v>
      </c>
      <c r="M132" s="260">
        <f t="shared" si="22"/>
        <v>0</v>
      </c>
      <c r="N132" s="259">
        <v>0</v>
      </c>
      <c r="O132" s="260">
        <f t="shared" si="23"/>
        <v>0</v>
      </c>
      <c r="P132" s="259">
        <f t="shared" si="24"/>
        <v>0</v>
      </c>
      <c r="Q132" s="259"/>
      <c r="R132" s="260">
        <f t="shared" si="25"/>
        <v>0</v>
      </c>
      <c r="S132" s="259">
        <f t="shared" si="26"/>
        <v>0</v>
      </c>
      <c r="T132" s="259"/>
      <c r="U132" s="260">
        <f t="shared" si="27"/>
        <v>0</v>
      </c>
      <c r="V132" s="259">
        <f t="shared" si="28"/>
        <v>0</v>
      </c>
      <c r="W132" s="259"/>
      <c r="X132" s="260">
        <f t="shared" si="29"/>
        <v>0</v>
      </c>
      <c r="Y132" s="259">
        <v>0</v>
      </c>
      <c r="Z132" s="260">
        <f t="shared" si="30"/>
        <v>0</v>
      </c>
      <c r="AA132" s="259">
        <v>0</v>
      </c>
      <c r="AB132" s="24">
        <v>1</v>
      </c>
      <c r="AC132" s="261">
        <f t="shared" si="33"/>
        <v>0</v>
      </c>
      <c r="AD132" s="300">
        <f t="shared" si="34"/>
        <v>0</v>
      </c>
      <c r="AE132" s="262">
        <f t="shared" si="35"/>
        <v>0</v>
      </c>
      <c r="AF132" s="263">
        <f t="shared" si="35"/>
        <v>0</v>
      </c>
      <c r="AG132" s="255"/>
      <c r="AI132" s="154">
        <f t="shared" si="36"/>
        <v>0</v>
      </c>
      <c r="AJ132" s="157">
        <f t="shared" si="37"/>
        <v>0</v>
      </c>
      <c r="AK132" s="148">
        <f t="shared" si="38"/>
        <v>0</v>
      </c>
      <c r="AM132" s="161">
        <f t="shared" si="39"/>
        <v>0</v>
      </c>
      <c r="AN132" s="151">
        <f t="shared" si="40"/>
        <v>0</v>
      </c>
      <c r="AP132" s="21">
        <f t="shared" si="41"/>
        <v>1</v>
      </c>
      <c r="AQ132" s="170">
        <f t="shared" si="42"/>
        <v>0</v>
      </c>
      <c r="AR132" s="264">
        <f t="shared" si="43"/>
        <v>0</v>
      </c>
    </row>
    <row r="133" spans="2:45" hidden="1">
      <c r="B133" s="21">
        <f>'MaterialCosts Summary'!B133</f>
        <v>125</v>
      </c>
      <c r="C133" s="26"/>
      <c r="D133" s="23">
        <f>'MaterialCosts Summary'!D133</f>
        <v>0</v>
      </c>
      <c r="E133" s="257">
        <f>'MaterialCosts Summary'!E133</f>
        <v>0</v>
      </c>
      <c r="F133" s="258">
        <v>0</v>
      </c>
      <c r="G133" s="258">
        <v>0</v>
      </c>
      <c r="H133" s="258">
        <v>0</v>
      </c>
      <c r="I133" s="259">
        <f t="shared" si="31"/>
        <v>0</v>
      </c>
      <c r="J133" s="259"/>
      <c r="K133" s="260">
        <f t="shared" si="32"/>
        <v>0</v>
      </c>
      <c r="L133" s="259">
        <v>0</v>
      </c>
      <c r="M133" s="260">
        <f t="shared" si="22"/>
        <v>0</v>
      </c>
      <c r="N133" s="259">
        <v>0</v>
      </c>
      <c r="O133" s="260">
        <f t="shared" si="23"/>
        <v>0</v>
      </c>
      <c r="P133" s="259">
        <f t="shared" si="24"/>
        <v>0</v>
      </c>
      <c r="Q133" s="259"/>
      <c r="R133" s="260">
        <f t="shared" si="25"/>
        <v>0</v>
      </c>
      <c r="S133" s="259">
        <f t="shared" si="26"/>
        <v>0</v>
      </c>
      <c r="T133" s="259"/>
      <c r="U133" s="260">
        <f t="shared" si="27"/>
        <v>0</v>
      </c>
      <c r="V133" s="259">
        <f t="shared" si="28"/>
        <v>0</v>
      </c>
      <c r="W133" s="259"/>
      <c r="X133" s="260">
        <f t="shared" si="29"/>
        <v>0</v>
      </c>
      <c r="Y133" s="259">
        <v>0</v>
      </c>
      <c r="Z133" s="260">
        <f t="shared" si="30"/>
        <v>0</v>
      </c>
      <c r="AA133" s="259">
        <v>0</v>
      </c>
      <c r="AB133" s="24">
        <v>1</v>
      </c>
      <c r="AC133" s="261">
        <f t="shared" si="33"/>
        <v>0</v>
      </c>
      <c r="AD133" s="298">
        <f t="shared" si="34"/>
        <v>0</v>
      </c>
      <c r="AE133" s="262">
        <f t="shared" si="35"/>
        <v>0</v>
      </c>
      <c r="AF133" s="263">
        <f t="shared" si="35"/>
        <v>0</v>
      </c>
      <c r="AG133" s="255"/>
      <c r="AI133" s="154">
        <f t="shared" si="36"/>
        <v>0</v>
      </c>
      <c r="AJ133" s="157">
        <f t="shared" si="37"/>
        <v>0</v>
      </c>
      <c r="AK133" s="148">
        <f t="shared" si="38"/>
        <v>0</v>
      </c>
      <c r="AM133" s="161">
        <f t="shared" si="39"/>
        <v>0</v>
      </c>
      <c r="AN133" s="151">
        <f t="shared" si="40"/>
        <v>0</v>
      </c>
      <c r="AP133" s="21">
        <f t="shared" si="41"/>
        <v>1</v>
      </c>
      <c r="AQ133" s="170">
        <f t="shared" si="42"/>
        <v>0</v>
      </c>
      <c r="AR133" s="264">
        <f t="shared" si="43"/>
        <v>0</v>
      </c>
    </row>
    <row r="134" spans="2:45" hidden="1">
      <c r="B134" s="21">
        <f>'MaterialCosts Summary'!B134</f>
        <v>126</v>
      </c>
      <c r="C134" s="26"/>
      <c r="D134" s="23">
        <f>'MaterialCosts Summary'!D134</f>
        <v>0</v>
      </c>
      <c r="E134" s="257">
        <f>'MaterialCosts Summary'!E134</f>
        <v>0</v>
      </c>
      <c r="F134" s="258">
        <v>0</v>
      </c>
      <c r="G134" s="258">
        <v>0</v>
      </c>
      <c r="H134" s="258">
        <v>0</v>
      </c>
      <c r="I134" s="259">
        <f t="shared" si="31"/>
        <v>0</v>
      </c>
      <c r="J134" s="259"/>
      <c r="K134" s="260">
        <f t="shared" si="32"/>
        <v>0</v>
      </c>
      <c r="L134" s="259">
        <v>0</v>
      </c>
      <c r="M134" s="260">
        <f t="shared" si="22"/>
        <v>0</v>
      </c>
      <c r="N134" s="259">
        <v>0</v>
      </c>
      <c r="O134" s="260">
        <f t="shared" si="23"/>
        <v>0</v>
      </c>
      <c r="P134" s="259">
        <f t="shared" si="24"/>
        <v>0</v>
      </c>
      <c r="Q134" s="259"/>
      <c r="R134" s="260">
        <f t="shared" si="25"/>
        <v>0</v>
      </c>
      <c r="S134" s="259">
        <f t="shared" si="26"/>
        <v>0</v>
      </c>
      <c r="T134" s="259"/>
      <c r="U134" s="260">
        <f t="shared" si="27"/>
        <v>0</v>
      </c>
      <c r="V134" s="259">
        <f t="shared" si="28"/>
        <v>0</v>
      </c>
      <c r="W134" s="259"/>
      <c r="X134" s="260">
        <f t="shared" si="29"/>
        <v>0</v>
      </c>
      <c r="Y134" s="259">
        <v>0</v>
      </c>
      <c r="Z134" s="260">
        <f t="shared" si="30"/>
        <v>0</v>
      </c>
      <c r="AA134" s="259">
        <v>0</v>
      </c>
      <c r="AB134" s="24">
        <v>1</v>
      </c>
      <c r="AC134" s="261">
        <f t="shared" si="33"/>
        <v>0</v>
      </c>
      <c r="AD134" s="299">
        <f t="shared" si="34"/>
        <v>0</v>
      </c>
      <c r="AE134" s="262">
        <f t="shared" si="35"/>
        <v>0</v>
      </c>
      <c r="AF134" s="263">
        <f t="shared" si="35"/>
        <v>0</v>
      </c>
      <c r="AG134" s="255"/>
      <c r="AI134" s="154">
        <f t="shared" si="36"/>
        <v>0</v>
      </c>
      <c r="AJ134" s="157">
        <f t="shared" si="37"/>
        <v>0</v>
      </c>
      <c r="AK134" s="148">
        <f t="shared" si="38"/>
        <v>0</v>
      </c>
      <c r="AM134" s="161">
        <f t="shared" si="39"/>
        <v>0</v>
      </c>
      <c r="AN134" s="151">
        <f t="shared" si="40"/>
        <v>0</v>
      </c>
      <c r="AP134" s="21">
        <f t="shared" si="41"/>
        <v>1</v>
      </c>
      <c r="AQ134" s="170">
        <f t="shared" si="42"/>
        <v>0</v>
      </c>
      <c r="AR134" s="264">
        <f t="shared" si="43"/>
        <v>0</v>
      </c>
    </row>
    <row r="135" spans="2:45" hidden="1">
      <c r="B135" s="21">
        <f>'MaterialCosts Summary'!B135</f>
        <v>127</v>
      </c>
      <c r="C135" s="26"/>
      <c r="D135" s="23">
        <f>'MaterialCosts Summary'!D135</f>
        <v>0</v>
      </c>
      <c r="E135" s="257">
        <f>'MaterialCosts Summary'!E135</f>
        <v>0</v>
      </c>
      <c r="F135" s="258">
        <v>0</v>
      </c>
      <c r="G135" s="258">
        <v>0</v>
      </c>
      <c r="H135" s="258">
        <v>0</v>
      </c>
      <c r="I135" s="259">
        <f t="shared" si="31"/>
        <v>0</v>
      </c>
      <c r="J135" s="259"/>
      <c r="K135" s="260">
        <f t="shared" si="32"/>
        <v>0</v>
      </c>
      <c r="L135" s="259">
        <v>0</v>
      </c>
      <c r="M135" s="260">
        <f t="shared" si="22"/>
        <v>0</v>
      </c>
      <c r="N135" s="259">
        <v>0</v>
      </c>
      <c r="O135" s="260">
        <f t="shared" si="23"/>
        <v>0</v>
      </c>
      <c r="P135" s="259">
        <f t="shared" si="24"/>
        <v>0</v>
      </c>
      <c r="Q135" s="259"/>
      <c r="R135" s="260">
        <f t="shared" si="25"/>
        <v>0</v>
      </c>
      <c r="S135" s="259">
        <f t="shared" si="26"/>
        <v>0</v>
      </c>
      <c r="T135" s="259"/>
      <c r="U135" s="260">
        <f t="shared" si="27"/>
        <v>0</v>
      </c>
      <c r="V135" s="259">
        <f t="shared" si="28"/>
        <v>0</v>
      </c>
      <c r="W135" s="259"/>
      <c r="X135" s="260">
        <f t="shared" si="29"/>
        <v>0</v>
      </c>
      <c r="Y135" s="259">
        <v>0</v>
      </c>
      <c r="Z135" s="260">
        <f t="shared" si="30"/>
        <v>0</v>
      </c>
      <c r="AA135" s="259">
        <v>0</v>
      </c>
      <c r="AB135" s="24">
        <v>1</v>
      </c>
      <c r="AC135" s="261">
        <f t="shared" si="33"/>
        <v>0</v>
      </c>
      <c r="AD135" s="300">
        <f t="shared" si="34"/>
        <v>0</v>
      </c>
      <c r="AE135" s="262">
        <f t="shared" si="35"/>
        <v>0</v>
      </c>
      <c r="AF135" s="263">
        <f t="shared" si="35"/>
        <v>0</v>
      </c>
      <c r="AG135" s="255"/>
      <c r="AI135" s="154">
        <f t="shared" si="36"/>
        <v>0</v>
      </c>
      <c r="AJ135" s="157">
        <f t="shared" si="37"/>
        <v>0</v>
      </c>
      <c r="AK135" s="148">
        <f t="shared" si="38"/>
        <v>0</v>
      </c>
      <c r="AM135" s="161">
        <f t="shared" si="39"/>
        <v>0</v>
      </c>
      <c r="AN135" s="151">
        <f t="shared" si="40"/>
        <v>0</v>
      </c>
      <c r="AP135" s="21">
        <f t="shared" si="41"/>
        <v>1</v>
      </c>
      <c r="AQ135" s="170">
        <f t="shared" si="42"/>
        <v>0</v>
      </c>
      <c r="AR135" s="264">
        <f t="shared" si="43"/>
        <v>0</v>
      </c>
    </row>
    <row r="136" spans="2:45" hidden="1">
      <c r="B136" s="21">
        <f>'MaterialCosts Summary'!B136</f>
        <v>128</v>
      </c>
      <c r="C136" s="26"/>
      <c r="D136" s="23">
        <f>'MaterialCosts Summary'!D136</f>
        <v>0</v>
      </c>
      <c r="E136" s="257">
        <f>'MaterialCosts Summary'!E136</f>
        <v>0</v>
      </c>
      <c r="F136" s="258">
        <v>0</v>
      </c>
      <c r="G136" s="258">
        <v>0</v>
      </c>
      <c r="H136" s="258">
        <v>0</v>
      </c>
      <c r="I136" s="259">
        <f t="shared" si="31"/>
        <v>0</v>
      </c>
      <c r="J136" s="259"/>
      <c r="K136" s="260">
        <f t="shared" si="32"/>
        <v>0</v>
      </c>
      <c r="L136" s="259">
        <v>0</v>
      </c>
      <c r="M136" s="260">
        <f t="shared" si="22"/>
        <v>0</v>
      </c>
      <c r="N136" s="259">
        <v>0</v>
      </c>
      <c r="O136" s="260">
        <f t="shared" si="23"/>
        <v>0</v>
      </c>
      <c r="P136" s="259">
        <f t="shared" si="24"/>
        <v>0</v>
      </c>
      <c r="Q136" s="259"/>
      <c r="R136" s="260">
        <f t="shared" si="25"/>
        <v>0</v>
      </c>
      <c r="S136" s="259">
        <f t="shared" si="26"/>
        <v>0</v>
      </c>
      <c r="T136" s="259"/>
      <c r="U136" s="260">
        <f t="shared" si="27"/>
        <v>0</v>
      </c>
      <c r="V136" s="259">
        <f t="shared" si="28"/>
        <v>0</v>
      </c>
      <c r="W136" s="259"/>
      <c r="X136" s="260">
        <f t="shared" si="29"/>
        <v>0</v>
      </c>
      <c r="Y136" s="259">
        <v>0</v>
      </c>
      <c r="Z136" s="260">
        <f t="shared" si="30"/>
        <v>0</v>
      </c>
      <c r="AA136" s="259">
        <v>0</v>
      </c>
      <c r="AB136" s="24">
        <v>1</v>
      </c>
      <c r="AC136" s="261">
        <f t="shared" si="33"/>
        <v>0</v>
      </c>
      <c r="AD136" s="300">
        <f t="shared" si="34"/>
        <v>0</v>
      </c>
      <c r="AE136" s="262">
        <f t="shared" si="35"/>
        <v>0</v>
      </c>
      <c r="AF136" s="263">
        <f t="shared" si="35"/>
        <v>0</v>
      </c>
      <c r="AG136" s="255"/>
      <c r="AI136" s="154">
        <f t="shared" si="36"/>
        <v>0</v>
      </c>
      <c r="AJ136" s="157">
        <f t="shared" si="37"/>
        <v>0</v>
      </c>
      <c r="AK136" s="148">
        <f t="shared" si="38"/>
        <v>0</v>
      </c>
      <c r="AM136" s="161">
        <f t="shared" si="39"/>
        <v>0</v>
      </c>
      <c r="AN136" s="151">
        <f t="shared" si="40"/>
        <v>0</v>
      </c>
      <c r="AP136" s="21">
        <f t="shared" si="41"/>
        <v>1</v>
      </c>
      <c r="AQ136" s="170">
        <f t="shared" si="42"/>
        <v>0</v>
      </c>
      <c r="AR136" s="264">
        <f t="shared" si="43"/>
        <v>0</v>
      </c>
    </row>
    <row r="137" spans="2:45" hidden="1">
      <c r="B137" s="21">
        <f>'MaterialCosts Summary'!B137</f>
        <v>129</v>
      </c>
      <c r="C137" s="26"/>
      <c r="D137" s="23">
        <f>'MaterialCosts Summary'!D137</f>
        <v>0</v>
      </c>
      <c r="E137" s="257">
        <f>'MaterialCosts Summary'!E137</f>
        <v>0</v>
      </c>
      <c r="F137" s="258">
        <v>0</v>
      </c>
      <c r="G137" s="258">
        <v>0</v>
      </c>
      <c r="H137" s="258">
        <v>0</v>
      </c>
      <c r="I137" s="259">
        <f t="shared" si="31"/>
        <v>0</v>
      </c>
      <c r="J137" s="259"/>
      <c r="K137" s="260">
        <f t="shared" si="32"/>
        <v>0</v>
      </c>
      <c r="L137" s="259">
        <v>0</v>
      </c>
      <c r="M137" s="260">
        <f t="shared" ref="M137:M141" si="44">L137*$M$6</f>
        <v>0</v>
      </c>
      <c r="N137" s="259">
        <v>0</v>
      </c>
      <c r="O137" s="260">
        <f t="shared" ref="O137:O141" si="45">N137*$O$6</f>
        <v>0</v>
      </c>
      <c r="P137" s="259">
        <f t="shared" ref="P137:P141" si="46">(IF(H137&lt;&gt;0,MAX((G137*$G$8)+(H137*0.1*$H$6)+(H137*0.9*$H$7),24),(G137*$G$8)+(H137*0.1*$H$6)+(H137*0.9*$H$7)))*Q137</f>
        <v>0</v>
      </c>
      <c r="Q137" s="259"/>
      <c r="R137" s="260">
        <f t="shared" ref="R137:R141" si="47">P137*$R$6</f>
        <v>0</v>
      </c>
      <c r="S137" s="259">
        <f t="shared" ref="S137:S141" si="48">G137*$G$6*T137</f>
        <v>0</v>
      </c>
      <c r="T137" s="259"/>
      <c r="U137" s="260">
        <f t="shared" ref="U137:U141" si="49">S137*$U$6</f>
        <v>0</v>
      </c>
      <c r="V137" s="259">
        <f t="shared" ref="V137:V141" si="50">(((G137+H137)*$G$7)+(F137*$F$7))*W137</f>
        <v>0</v>
      </c>
      <c r="W137" s="259"/>
      <c r="X137" s="260">
        <f t="shared" ref="X137:X141" si="51">V137*$X$6</f>
        <v>0</v>
      </c>
      <c r="Y137" s="259">
        <v>0</v>
      </c>
      <c r="Z137" s="260">
        <f t="shared" ref="Z137:Z141" si="52">Y137*$X$6</f>
        <v>0</v>
      </c>
      <c r="AA137" s="259">
        <v>0</v>
      </c>
      <c r="AB137" s="24">
        <v>1</v>
      </c>
      <c r="AC137" s="261">
        <f t="shared" si="33"/>
        <v>0</v>
      </c>
      <c r="AD137" s="298">
        <f t="shared" si="34"/>
        <v>0</v>
      </c>
      <c r="AE137" s="262">
        <f t="shared" si="35"/>
        <v>0</v>
      </c>
      <c r="AF137" s="263">
        <f t="shared" si="35"/>
        <v>0</v>
      </c>
      <c r="AG137" s="255"/>
      <c r="AI137" s="154">
        <f t="shared" si="36"/>
        <v>0</v>
      </c>
      <c r="AJ137" s="157">
        <f t="shared" si="37"/>
        <v>0</v>
      </c>
      <c r="AK137" s="148">
        <f t="shared" si="38"/>
        <v>0</v>
      </c>
      <c r="AM137" s="161">
        <f t="shared" si="39"/>
        <v>0</v>
      </c>
      <c r="AN137" s="151">
        <f t="shared" si="40"/>
        <v>0</v>
      </c>
      <c r="AP137" s="21">
        <f t="shared" si="41"/>
        <v>1</v>
      </c>
      <c r="AQ137" s="170">
        <f t="shared" si="42"/>
        <v>0</v>
      </c>
      <c r="AR137" s="264">
        <f t="shared" si="43"/>
        <v>0</v>
      </c>
      <c r="AS137" s="255"/>
    </row>
    <row r="138" spans="2:45" hidden="1">
      <c r="B138" s="21">
        <f>'MaterialCosts Summary'!B138</f>
        <v>130</v>
      </c>
      <c r="C138" s="26"/>
      <c r="D138" s="23">
        <f>'MaterialCosts Summary'!D138</f>
        <v>0</v>
      </c>
      <c r="E138" s="257">
        <f>'MaterialCosts Summary'!E138</f>
        <v>0</v>
      </c>
      <c r="F138" s="258">
        <v>0</v>
      </c>
      <c r="G138" s="258">
        <v>0</v>
      </c>
      <c r="H138" s="258">
        <v>0</v>
      </c>
      <c r="I138" s="259">
        <f t="shared" ref="I138:I141" si="53">(MAX((F138*$F$6)+(G138*$G$6),$J$3)*J138)</f>
        <v>0</v>
      </c>
      <c r="J138" s="259"/>
      <c r="K138" s="260">
        <f t="shared" ref="K138:K141" si="54">IF(AND(I138*$K$6&lt;150, I138&lt;&gt;0), (I138*$K$6)+0, I138*$K$6)</f>
        <v>0</v>
      </c>
      <c r="L138" s="259">
        <v>0</v>
      </c>
      <c r="M138" s="260">
        <f t="shared" si="44"/>
        <v>0</v>
      </c>
      <c r="N138" s="259">
        <v>0</v>
      </c>
      <c r="O138" s="260">
        <f t="shared" si="45"/>
        <v>0</v>
      </c>
      <c r="P138" s="259">
        <f t="shared" si="46"/>
        <v>0</v>
      </c>
      <c r="Q138" s="259"/>
      <c r="R138" s="260">
        <f t="shared" si="47"/>
        <v>0</v>
      </c>
      <c r="S138" s="259">
        <f t="shared" si="48"/>
        <v>0</v>
      </c>
      <c r="T138" s="259"/>
      <c r="U138" s="260">
        <f t="shared" si="49"/>
        <v>0</v>
      </c>
      <c r="V138" s="259">
        <f t="shared" si="50"/>
        <v>0</v>
      </c>
      <c r="W138" s="259"/>
      <c r="X138" s="260">
        <f t="shared" si="51"/>
        <v>0</v>
      </c>
      <c r="Y138" s="259">
        <v>0</v>
      </c>
      <c r="Z138" s="260">
        <f t="shared" si="52"/>
        <v>0</v>
      </c>
      <c r="AA138" s="259">
        <v>0</v>
      </c>
      <c r="AB138" s="24">
        <v>1</v>
      </c>
      <c r="AC138" s="261">
        <f t="shared" ref="AC138:AC141" si="55">AD138/AB138</f>
        <v>0</v>
      </c>
      <c r="AD138" s="299">
        <f t="shared" ref="AD138:AD141" si="56">E138+K138+M138+O138+R138+U138+X138+Z138</f>
        <v>0</v>
      </c>
      <c r="AE138" s="262">
        <f t="shared" ref="AE138:AF141" si="57">AC138*$AG$5</f>
        <v>0</v>
      </c>
      <c r="AF138" s="263">
        <f t="shared" si="57"/>
        <v>0</v>
      </c>
      <c r="AG138" s="255"/>
      <c r="AI138" s="154">
        <f t="shared" ref="AI138:AI141" si="58">CEILING(0/2, 4)</f>
        <v>0</v>
      </c>
      <c r="AJ138" s="157">
        <f t="shared" ref="AJ138:AJ141" si="59">CEILING((I138+S138+Y138), 1)</f>
        <v>0</v>
      </c>
      <c r="AK138" s="148">
        <f t="shared" ref="AK138:AK141" si="60">CEILING((L138+N138+P138+V138+AA138), 4)</f>
        <v>0</v>
      </c>
      <c r="AM138" s="161">
        <f t="shared" ref="AM138:AM141" si="61">AJ138*$AM$3</f>
        <v>0</v>
      </c>
      <c r="AN138" s="151">
        <f t="shared" ref="AN138:AN141" si="62">AK138*$AN$3</f>
        <v>0</v>
      </c>
      <c r="AP138" s="21">
        <f t="shared" ref="AP138:AP141" si="63">AB138</f>
        <v>1</v>
      </c>
      <c r="AQ138" s="170">
        <f t="shared" ref="AQ138:AQ141" si="64">AR138/AP138</f>
        <v>0</v>
      </c>
      <c r="AR138" s="264">
        <f t="shared" ref="AR138:AR141" si="65">AF138+AM138+AN138</f>
        <v>0</v>
      </c>
    </row>
    <row r="139" spans="2:45" hidden="1">
      <c r="B139" s="21">
        <f>'MaterialCosts Summary'!B139</f>
        <v>131</v>
      </c>
      <c r="C139" s="26"/>
      <c r="D139" s="23">
        <f>'MaterialCosts Summary'!D139</f>
        <v>0</v>
      </c>
      <c r="E139" s="257">
        <f>'MaterialCosts Summary'!E139</f>
        <v>0</v>
      </c>
      <c r="F139" s="258">
        <v>0</v>
      </c>
      <c r="G139" s="258">
        <v>0</v>
      </c>
      <c r="H139" s="258">
        <v>0</v>
      </c>
      <c r="I139" s="259">
        <f t="shared" si="53"/>
        <v>0</v>
      </c>
      <c r="J139" s="259"/>
      <c r="K139" s="260">
        <f t="shared" si="54"/>
        <v>0</v>
      </c>
      <c r="L139" s="259">
        <v>0</v>
      </c>
      <c r="M139" s="260">
        <f t="shared" si="44"/>
        <v>0</v>
      </c>
      <c r="N139" s="259">
        <v>0</v>
      </c>
      <c r="O139" s="260">
        <f t="shared" si="45"/>
        <v>0</v>
      </c>
      <c r="P139" s="259">
        <f t="shared" si="46"/>
        <v>0</v>
      </c>
      <c r="Q139" s="259"/>
      <c r="R139" s="260">
        <f t="shared" si="47"/>
        <v>0</v>
      </c>
      <c r="S139" s="259">
        <f t="shared" si="48"/>
        <v>0</v>
      </c>
      <c r="T139" s="259"/>
      <c r="U139" s="260">
        <f t="shared" si="49"/>
        <v>0</v>
      </c>
      <c r="V139" s="259">
        <f t="shared" si="50"/>
        <v>0</v>
      </c>
      <c r="W139" s="259"/>
      <c r="X139" s="260">
        <f t="shared" si="51"/>
        <v>0</v>
      </c>
      <c r="Y139" s="259">
        <v>0</v>
      </c>
      <c r="Z139" s="260">
        <f t="shared" si="52"/>
        <v>0</v>
      </c>
      <c r="AA139" s="259">
        <v>0</v>
      </c>
      <c r="AB139" s="24">
        <v>1</v>
      </c>
      <c r="AC139" s="261">
        <f t="shared" si="55"/>
        <v>0</v>
      </c>
      <c r="AD139" s="300">
        <f t="shared" si="56"/>
        <v>0</v>
      </c>
      <c r="AE139" s="262">
        <f t="shared" si="57"/>
        <v>0</v>
      </c>
      <c r="AF139" s="263">
        <f t="shared" si="57"/>
        <v>0</v>
      </c>
      <c r="AG139" s="255"/>
      <c r="AI139" s="154">
        <f t="shared" si="58"/>
        <v>0</v>
      </c>
      <c r="AJ139" s="157">
        <f t="shared" si="59"/>
        <v>0</v>
      </c>
      <c r="AK139" s="148">
        <f t="shared" si="60"/>
        <v>0</v>
      </c>
      <c r="AM139" s="161">
        <f t="shared" si="61"/>
        <v>0</v>
      </c>
      <c r="AN139" s="151">
        <f t="shared" si="62"/>
        <v>0</v>
      </c>
      <c r="AP139" s="21">
        <f t="shared" si="63"/>
        <v>1</v>
      </c>
      <c r="AQ139" s="170">
        <f t="shared" si="64"/>
        <v>0</v>
      </c>
      <c r="AR139" s="264">
        <f t="shared" si="65"/>
        <v>0</v>
      </c>
    </row>
    <row r="140" spans="2:45" hidden="1">
      <c r="B140" s="21">
        <f>'MaterialCosts Summary'!B140</f>
        <v>132</v>
      </c>
      <c r="C140" s="26"/>
      <c r="D140" s="23">
        <f>'MaterialCosts Summary'!D140</f>
        <v>0</v>
      </c>
      <c r="E140" s="257">
        <f>'MaterialCosts Summary'!E140</f>
        <v>0</v>
      </c>
      <c r="F140" s="258">
        <v>0</v>
      </c>
      <c r="G140" s="258">
        <v>0</v>
      </c>
      <c r="H140" s="258">
        <v>0</v>
      </c>
      <c r="I140" s="259">
        <f t="shared" si="53"/>
        <v>0</v>
      </c>
      <c r="J140" s="259"/>
      <c r="K140" s="260">
        <f t="shared" si="54"/>
        <v>0</v>
      </c>
      <c r="L140" s="259">
        <v>0</v>
      </c>
      <c r="M140" s="260">
        <f t="shared" si="44"/>
        <v>0</v>
      </c>
      <c r="N140" s="259">
        <v>0</v>
      </c>
      <c r="O140" s="260">
        <f t="shared" si="45"/>
        <v>0</v>
      </c>
      <c r="P140" s="259">
        <f t="shared" si="46"/>
        <v>0</v>
      </c>
      <c r="Q140" s="259"/>
      <c r="R140" s="260">
        <f t="shared" si="47"/>
        <v>0</v>
      </c>
      <c r="S140" s="259">
        <f t="shared" si="48"/>
        <v>0</v>
      </c>
      <c r="T140" s="259"/>
      <c r="U140" s="260">
        <f t="shared" si="49"/>
        <v>0</v>
      </c>
      <c r="V140" s="259">
        <f t="shared" si="50"/>
        <v>0</v>
      </c>
      <c r="W140" s="259"/>
      <c r="X140" s="260">
        <f t="shared" si="51"/>
        <v>0</v>
      </c>
      <c r="Y140" s="259">
        <v>0</v>
      </c>
      <c r="Z140" s="260">
        <f t="shared" si="52"/>
        <v>0</v>
      </c>
      <c r="AA140" s="259">
        <v>0</v>
      </c>
      <c r="AB140" s="24">
        <v>1</v>
      </c>
      <c r="AC140" s="261">
        <f t="shared" si="55"/>
        <v>0</v>
      </c>
      <c r="AD140" s="300">
        <f t="shared" si="56"/>
        <v>0</v>
      </c>
      <c r="AE140" s="262">
        <f t="shared" si="57"/>
        <v>0</v>
      </c>
      <c r="AF140" s="263">
        <f t="shared" si="57"/>
        <v>0</v>
      </c>
      <c r="AG140" s="255"/>
      <c r="AI140" s="154">
        <f t="shared" si="58"/>
        <v>0</v>
      </c>
      <c r="AJ140" s="157">
        <f t="shared" si="59"/>
        <v>0</v>
      </c>
      <c r="AK140" s="148">
        <f t="shared" si="60"/>
        <v>0</v>
      </c>
      <c r="AM140" s="161">
        <f t="shared" si="61"/>
        <v>0</v>
      </c>
      <c r="AN140" s="151">
        <f t="shared" si="62"/>
        <v>0</v>
      </c>
      <c r="AP140" s="21">
        <f t="shared" si="63"/>
        <v>1</v>
      </c>
      <c r="AQ140" s="170">
        <f t="shared" si="64"/>
        <v>0</v>
      </c>
      <c r="AR140" s="264">
        <f t="shared" si="65"/>
        <v>0</v>
      </c>
    </row>
    <row r="141" spans="2:45" hidden="1">
      <c r="B141" s="21">
        <f>'MaterialCosts Summary'!B141</f>
        <v>133</v>
      </c>
      <c r="C141" s="26"/>
      <c r="D141" s="23">
        <f>'MaterialCosts Summary'!D141</f>
        <v>0</v>
      </c>
      <c r="E141" s="257">
        <f>'MaterialCosts Summary'!E141</f>
        <v>0</v>
      </c>
      <c r="F141" s="258">
        <v>0</v>
      </c>
      <c r="G141" s="258">
        <v>0</v>
      </c>
      <c r="H141" s="258">
        <v>0</v>
      </c>
      <c r="I141" s="259">
        <f t="shared" si="53"/>
        <v>0</v>
      </c>
      <c r="J141" s="259"/>
      <c r="K141" s="260">
        <f t="shared" si="54"/>
        <v>0</v>
      </c>
      <c r="L141" s="259">
        <v>0</v>
      </c>
      <c r="M141" s="260">
        <f t="shared" si="44"/>
        <v>0</v>
      </c>
      <c r="N141" s="259">
        <v>0</v>
      </c>
      <c r="O141" s="260">
        <f t="shared" si="45"/>
        <v>0</v>
      </c>
      <c r="P141" s="259">
        <f t="shared" si="46"/>
        <v>0</v>
      </c>
      <c r="Q141" s="259"/>
      <c r="R141" s="260">
        <f t="shared" si="47"/>
        <v>0</v>
      </c>
      <c r="S141" s="259">
        <f t="shared" si="48"/>
        <v>0</v>
      </c>
      <c r="T141" s="259"/>
      <c r="U141" s="260">
        <f t="shared" si="49"/>
        <v>0</v>
      </c>
      <c r="V141" s="259">
        <f t="shared" si="50"/>
        <v>0</v>
      </c>
      <c r="W141" s="259"/>
      <c r="X141" s="260">
        <f t="shared" si="51"/>
        <v>0</v>
      </c>
      <c r="Y141" s="259">
        <v>0</v>
      </c>
      <c r="Z141" s="260">
        <f t="shared" si="52"/>
        <v>0</v>
      </c>
      <c r="AA141" s="259">
        <v>0</v>
      </c>
      <c r="AB141" s="24">
        <v>1</v>
      </c>
      <c r="AC141" s="261">
        <f t="shared" si="55"/>
        <v>0</v>
      </c>
      <c r="AD141" s="298">
        <f t="shared" si="56"/>
        <v>0</v>
      </c>
      <c r="AE141" s="262">
        <f t="shared" si="57"/>
        <v>0</v>
      </c>
      <c r="AF141" s="263">
        <f t="shared" si="57"/>
        <v>0</v>
      </c>
      <c r="AG141" s="255"/>
      <c r="AI141" s="154">
        <f t="shared" si="58"/>
        <v>0</v>
      </c>
      <c r="AJ141" s="157">
        <f t="shared" si="59"/>
        <v>0</v>
      </c>
      <c r="AK141" s="148">
        <f t="shared" si="60"/>
        <v>0</v>
      </c>
      <c r="AM141" s="161">
        <f t="shared" si="61"/>
        <v>0</v>
      </c>
      <c r="AN141" s="151">
        <f t="shared" si="62"/>
        <v>0</v>
      </c>
      <c r="AP141" s="21">
        <f t="shared" si="63"/>
        <v>1</v>
      </c>
      <c r="AQ141" s="170">
        <f t="shared" si="64"/>
        <v>0</v>
      </c>
      <c r="AR141" s="264">
        <f t="shared" si="65"/>
        <v>0</v>
      </c>
    </row>
    <row r="142" spans="2:45" ht="13.8" thickBot="1">
      <c r="B142" s="27"/>
      <c r="C142" s="28"/>
      <c r="D142" s="29" t="str">
        <f>'MaterialCosts Summary'!D142</f>
        <v>---</v>
      </c>
      <c r="E142" s="267"/>
      <c r="F142" s="268"/>
      <c r="G142" s="268"/>
      <c r="H142" s="268"/>
      <c r="I142" s="269"/>
      <c r="J142" s="269"/>
      <c r="K142" s="270"/>
      <c r="L142" s="269"/>
      <c r="M142" s="270"/>
      <c r="N142" s="269"/>
      <c r="O142" s="270"/>
      <c r="P142" s="269"/>
      <c r="Q142" s="269"/>
      <c r="R142" s="270"/>
      <c r="S142" s="269"/>
      <c r="T142" s="269"/>
      <c r="U142" s="270"/>
      <c r="V142" s="269"/>
      <c r="W142" s="269"/>
      <c r="X142" s="270"/>
      <c r="Y142" s="269"/>
      <c r="Z142" s="270"/>
      <c r="AA142" s="271"/>
      <c r="AB142" s="272"/>
      <c r="AC142" s="272"/>
      <c r="AD142" s="273"/>
      <c r="AE142" s="274"/>
      <c r="AF142" s="275"/>
      <c r="AG142" s="255"/>
      <c r="AI142" s="155"/>
      <c r="AJ142" s="158"/>
      <c r="AK142" s="149"/>
      <c r="AM142" s="162"/>
      <c r="AN142" s="152"/>
      <c r="AP142" s="274"/>
      <c r="AQ142" s="276"/>
      <c r="AR142" s="277"/>
    </row>
    <row r="143" spans="2:45" ht="13.8" thickBot="1"/>
    <row r="144" spans="2:45" ht="15" thickBot="1">
      <c r="D144" s="30" t="s">
        <v>79</v>
      </c>
      <c r="E144" s="278">
        <f>SUBTOTAL(9, E9:E142)</f>
        <v>1710.0825</v>
      </c>
      <c r="F144" s="278"/>
      <c r="G144" s="278"/>
      <c r="H144" s="278"/>
      <c r="I144" s="279">
        <f t="shared" ref="I144:AF144" si="66">SUBTOTAL(9, I9:I142)</f>
        <v>0</v>
      </c>
      <c r="J144" s="280"/>
      <c r="K144" s="278">
        <f t="shared" si="66"/>
        <v>0</v>
      </c>
      <c r="L144" s="279">
        <f t="shared" si="66"/>
        <v>0</v>
      </c>
      <c r="M144" s="278">
        <f t="shared" si="66"/>
        <v>0</v>
      </c>
      <c r="N144" s="279">
        <f t="shared" si="66"/>
        <v>0</v>
      </c>
      <c r="O144" s="278">
        <f t="shared" si="66"/>
        <v>0</v>
      </c>
      <c r="P144" s="279">
        <f t="shared" si="66"/>
        <v>0</v>
      </c>
      <c r="Q144" s="280"/>
      <c r="R144" s="278">
        <f t="shared" si="66"/>
        <v>0</v>
      </c>
      <c r="S144" s="279">
        <f t="shared" si="66"/>
        <v>0</v>
      </c>
      <c r="T144" s="280"/>
      <c r="U144" s="278">
        <f t="shared" si="66"/>
        <v>0</v>
      </c>
      <c r="V144" s="279">
        <f t="shared" si="66"/>
        <v>0</v>
      </c>
      <c r="W144" s="280"/>
      <c r="X144" s="278">
        <f t="shared" si="66"/>
        <v>0</v>
      </c>
      <c r="Y144" s="279">
        <f t="shared" si="66"/>
        <v>0</v>
      </c>
      <c r="Z144" s="278">
        <f t="shared" si="66"/>
        <v>0</v>
      </c>
      <c r="AA144" s="279">
        <f t="shared" si="66"/>
        <v>0</v>
      </c>
      <c r="AB144" s="281"/>
      <c r="AC144" s="281"/>
      <c r="AD144" s="282">
        <f t="shared" si="66"/>
        <v>1710.0825</v>
      </c>
      <c r="AE144" s="283"/>
      <c r="AF144" s="284">
        <f t="shared" si="66"/>
        <v>1881.0907500000001</v>
      </c>
      <c r="AG144" s="285"/>
      <c r="AI144" s="31">
        <f>SUM(AI9:AI142)</f>
        <v>0</v>
      </c>
      <c r="AJ144" s="159">
        <f>SUM(AJ9:AJ142)</f>
        <v>0</v>
      </c>
      <c r="AK144" s="153">
        <f>SUM(AK9:AK142)</f>
        <v>0</v>
      </c>
      <c r="AM144" s="153">
        <f>SUM(AM9:AM142)</f>
        <v>0</v>
      </c>
      <c r="AN144" s="32">
        <f>SUM(AN9:AN142)</f>
        <v>0</v>
      </c>
      <c r="AP144" s="281"/>
      <c r="AQ144" s="286"/>
      <c r="AR144" s="287">
        <f>SUM(AR9:AR142)</f>
        <v>1881.0907500000001</v>
      </c>
    </row>
    <row r="145" spans="1:18">
      <c r="O145" s="2"/>
      <c r="R145" s="2"/>
    </row>
    <row r="147" spans="1:18" hidden="1"/>
    <row r="148" spans="1:18" ht="14.4" hidden="1">
      <c r="D148" s="288" t="s">
        <v>40</v>
      </c>
      <c r="E148" s="289">
        <f>E144</f>
        <v>1710.0825</v>
      </c>
      <c r="F148" s="290"/>
      <c r="G148" s="290"/>
      <c r="H148" s="290"/>
    </row>
    <row r="149" spans="1:18" ht="14.4" hidden="1">
      <c r="D149" s="291" t="s">
        <v>41</v>
      </c>
      <c r="E149" s="292">
        <f>ROUNDUP((I144+V144)/2, 0)</f>
        <v>0</v>
      </c>
      <c r="F149" s="293"/>
      <c r="G149" s="293"/>
      <c r="H149" s="293"/>
    </row>
    <row r="150" spans="1:18" ht="14.4" hidden="1">
      <c r="D150" s="291" t="s">
        <v>42</v>
      </c>
      <c r="E150" s="292" t="e">
        <f>ROUNDUP((#REF!+S144)/2, 0)</f>
        <v>#REF!</v>
      </c>
      <c r="F150" s="293"/>
      <c r="G150" s="293"/>
      <c r="H150" s="293"/>
    </row>
    <row r="151" spans="1:18" ht="14.4" hidden="1">
      <c r="D151" s="291" t="s">
        <v>43</v>
      </c>
      <c r="E151" s="292">
        <f>ROUNDUP((L144+N144+P144)/2, 0)</f>
        <v>0</v>
      </c>
      <c r="F151" s="293"/>
      <c r="G151" s="293"/>
      <c r="H151" s="293"/>
    </row>
    <row r="153" spans="1:18">
      <c r="B153" s="295" t="s">
        <v>84</v>
      </c>
    </row>
    <row r="154" spans="1:18">
      <c r="B154" s="295"/>
    </row>
    <row r="155" spans="1:18">
      <c r="B155" s="296" t="s">
        <v>85</v>
      </c>
      <c r="C155" s="33"/>
      <c r="D155" s="294" t="s">
        <v>353</v>
      </c>
    </row>
    <row r="156" spans="1:18">
      <c r="A156" s="33"/>
      <c r="B156" s="297" t="s">
        <v>86</v>
      </c>
      <c r="C156" s="33"/>
    </row>
    <row r="157" spans="1:18">
      <c r="A157" s="33"/>
      <c r="B157" s="297" t="s">
        <v>87</v>
      </c>
      <c r="C157" s="33"/>
    </row>
    <row r="158" spans="1:18">
      <c r="A158" s="33"/>
      <c r="B158" s="297" t="s">
        <v>88</v>
      </c>
      <c r="C158" s="33"/>
    </row>
    <row r="159" spans="1:18">
      <c r="A159" s="33"/>
      <c r="B159" s="297"/>
      <c r="C159" s="33"/>
    </row>
    <row r="160" spans="1:18">
      <c r="B160" s="296" t="s">
        <v>89</v>
      </c>
      <c r="C160" s="33"/>
      <c r="D160" s="294" t="s">
        <v>352</v>
      </c>
    </row>
    <row r="161" spans="1:3">
      <c r="A161" s="33"/>
      <c r="B161" s="297" t="s">
        <v>86</v>
      </c>
      <c r="C161" s="33"/>
    </row>
    <row r="162" spans="1:3">
      <c r="A162" s="33"/>
      <c r="B162" s="297" t="s">
        <v>87</v>
      </c>
      <c r="C162" s="33"/>
    </row>
    <row r="163" spans="1:3">
      <c r="A163" s="33"/>
      <c r="B163" s="297" t="s">
        <v>88</v>
      </c>
    </row>
    <row r="164" spans="1:3">
      <c r="A164" s="33"/>
      <c r="B164" s="297" t="s">
        <v>90</v>
      </c>
    </row>
    <row r="165" spans="1:3">
      <c r="B165" s="297" t="s">
        <v>91</v>
      </c>
    </row>
    <row r="166" spans="1:3">
      <c r="A166" s="33"/>
    </row>
    <row r="167" spans="1:3">
      <c r="A167" s="33"/>
    </row>
    <row r="168" spans="1:3">
      <c r="A168" s="33"/>
    </row>
    <row r="169" spans="1:3">
      <c r="A169" s="33"/>
    </row>
    <row r="170" spans="1:3">
      <c r="A170" s="33"/>
    </row>
    <row r="171" spans="1:3">
      <c r="A171" s="33"/>
    </row>
    <row r="172" spans="1:3">
      <c r="A172" s="33"/>
    </row>
    <row r="173" spans="1:3">
      <c r="A173" s="33"/>
    </row>
    <row r="174" spans="1:3">
      <c r="A174" s="33"/>
    </row>
    <row r="175" spans="1:3">
      <c r="A175" s="33"/>
    </row>
    <row r="176" spans="1:3">
      <c r="A176" s="33"/>
    </row>
    <row r="177" spans="1:1">
      <c r="A177" s="33"/>
    </row>
    <row r="178" spans="1:1">
      <c r="A178" s="33"/>
    </row>
    <row r="179" spans="1:1">
      <c r="A179" s="33"/>
    </row>
    <row r="180" spans="1:1">
      <c r="A180" s="33"/>
    </row>
  </sheetData>
  <autoFilter ref="D8:D142" xr:uid="{708685D4-7C10-4E94-8A05-E5B379B7B16F}">
    <filterColumn colId="0">
      <filters>
        <filter val="---"/>
        <filter val="Car Park Panels"/>
      </filters>
    </filterColumn>
  </autoFilter>
  <mergeCells count="11">
    <mergeCell ref="Y4:Z4"/>
    <mergeCell ref="J6:J8"/>
    <mergeCell ref="Q6:Q8"/>
    <mergeCell ref="T6:T8"/>
    <mergeCell ref="W6:W8"/>
    <mergeCell ref="I4:K4"/>
    <mergeCell ref="L4:M4"/>
    <mergeCell ref="N4:O4"/>
    <mergeCell ref="P4:R4"/>
    <mergeCell ref="S4:U4"/>
    <mergeCell ref="V4:X4"/>
  </mergeCells>
  <conditionalFormatting sqref="J9:J142">
    <cfRule type="containsBlanks" dxfId="21" priority="1">
      <formula>LEN(TRIM(J9))=0</formula>
    </cfRule>
    <cfRule type="cellIs" dxfId="20" priority="2" operator="equal">
      <formula>0</formula>
    </cfRule>
    <cfRule type="cellIs" dxfId="19" priority="3" operator="equal">
      <formula>1</formula>
    </cfRule>
  </conditionalFormatting>
  <conditionalFormatting sqref="Q9:Q142">
    <cfRule type="containsBlanks" dxfId="18" priority="10">
      <formula>LEN(TRIM(Q9))=0</formula>
    </cfRule>
    <cfRule type="cellIs" dxfId="17" priority="11" operator="equal">
      <formula>0</formula>
    </cfRule>
    <cfRule type="cellIs" dxfId="16" priority="12" operator="equal">
      <formula>1</formula>
    </cfRule>
  </conditionalFormatting>
  <conditionalFormatting sqref="T9:T142">
    <cfRule type="containsBlanks" dxfId="15" priority="7">
      <formula>LEN(TRIM(T9))=0</formula>
    </cfRule>
    <cfRule type="cellIs" dxfId="14" priority="8" operator="equal">
      <formula>0</formula>
    </cfRule>
    <cfRule type="cellIs" dxfId="13" priority="9" operator="equal">
      <formula>1</formula>
    </cfRule>
  </conditionalFormatting>
  <conditionalFormatting sqref="W9:W142">
    <cfRule type="containsBlanks" dxfId="12" priority="4">
      <formula>LEN(TRIM(W9))=0</formula>
    </cfRule>
    <cfRule type="cellIs" dxfId="11" priority="5" operator="equal">
      <formula>0</formula>
    </cfRule>
    <cfRule type="cellIs" dxfId="10" priority="6" operator="equal">
      <formula>1</formula>
    </cfRule>
  </conditionalFormatting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ignoredErrors>
    <ignoredError sqref="B160 B155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E1ED033F-4C97-4BBF-A5A4-953ECF84F131}">
            <xm:f>$E$144='MaterialCosts Summary'!$E$2</xm:f>
            <x14:dxf>
              <fill>
                <patternFill>
                  <bgColor rgb="FF92D050"/>
                </patternFill>
              </fill>
            </x14:dxf>
          </x14:cfRule>
          <x14:cfRule type="expression" priority="14" id="{61817EE5-ED26-439F-84F7-81178BC33725}">
            <xm:f>$E$144&lt;&gt;'MaterialCosts Summary'!$E$2</xm:f>
            <x14:dxf>
              <fill>
                <patternFill>
                  <bgColor rgb="FFFFC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B2EE-3E28-4826-97DF-28A77CEF7B00}">
  <sheetPr codeName="Sheet2">
    <pageSetUpPr fitToPage="1"/>
  </sheetPr>
  <dimension ref="A1:H178"/>
  <sheetViews>
    <sheetView zoomScale="80" zoomScaleNormal="80" workbookViewId="0">
      <pane xSplit="4" ySplit="8" topLeftCell="E9" activePane="bottomRight" state="frozen"/>
      <selection activeCell="D8" sqref="D8"/>
      <selection pane="topRight" activeCell="D8" sqref="D8"/>
      <selection pane="bottomLeft" activeCell="D8" sqref="D8"/>
      <selection pane="bottomRight" activeCell="L28" sqref="L28"/>
    </sheetView>
  </sheetViews>
  <sheetFormatPr defaultColWidth="9.109375" defaultRowHeight="13.2"/>
  <cols>
    <col min="1" max="1" width="9.109375" style="34"/>
    <col min="2" max="2" width="7.44140625" style="1" customWidth="1"/>
    <col min="3" max="3" width="15.44140625" style="2" hidden="1" customWidth="1"/>
    <col min="4" max="4" width="66.109375" style="34" customWidth="1"/>
    <col min="5" max="5" width="15.6640625" style="34" customWidth="1"/>
    <col min="6" max="6" width="9.109375" style="34"/>
    <col min="7" max="7" width="9.109375" style="34" hidden="1" customWidth="1"/>
    <col min="8" max="8" width="10.109375" style="34" hidden="1" customWidth="1"/>
    <col min="9" max="16384" width="9.109375" style="34"/>
  </cols>
  <sheetData>
    <row r="1" spans="2:8" ht="12.75" customHeight="1" thickBot="1"/>
    <row r="2" spans="2:8" ht="14.4">
      <c r="B2" s="35"/>
      <c r="C2" s="36"/>
      <c r="D2" s="37" t="str">
        <f ca="1">MID(CELL("filename"),SEARCH("[",CELL("filename"))+1, SEARCH("]",CELL("filename"))-SEARCH("[",CELL("filename"))-1)</f>
        <v>Dolmen Carpark Panels(SJ574 R0.1).xlsx</v>
      </c>
      <c r="E2" s="38">
        <f>E144</f>
        <v>1710.0825</v>
      </c>
    </row>
    <row r="3" spans="2:8" ht="15.75" customHeight="1" thickBot="1">
      <c r="B3" s="39"/>
      <c r="C3" s="40"/>
      <c r="D3" s="5" t="s">
        <v>36</v>
      </c>
      <c r="E3" s="41"/>
    </row>
    <row r="4" spans="2:8" ht="36.75" customHeight="1">
      <c r="B4" s="7"/>
      <c r="C4" s="8" t="s">
        <v>37</v>
      </c>
      <c r="D4" s="9" t="s">
        <v>1</v>
      </c>
      <c r="E4" s="9" t="s">
        <v>38</v>
      </c>
      <c r="G4" s="42" t="s">
        <v>39</v>
      </c>
      <c r="H4" s="43" t="s">
        <v>5</v>
      </c>
    </row>
    <row r="5" spans="2:8">
      <c r="B5" s="44"/>
      <c r="C5" s="45"/>
      <c r="D5" s="46"/>
      <c r="E5" s="46"/>
      <c r="G5" s="47"/>
      <c r="H5" s="48"/>
    </row>
    <row r="6" spans="2:8" ht="12.75" customHeight="1">
      <c r="B6" s="49"/>
      <c r="C6" s="50"/>
      <c r="D6" s="51"/>
      <c r="E6" s="52"/>
      <c r="G6" s="47"/>
      <c r="H6" s="53"/>
    </row>
    <row r="7" spans="2:8">
      <c r="B7" s="49"/>
      <c r="C7" s="50"/>
      <c r="D7" s="51"/>
      <c r="E7" s="52"/>
      <c r="G7" s="47"/>
      <c r="H7" s="53"/>
    </row>
    <row r="8" spans="2:8">
      <c r="B8" s="49"/>
      <c r="C8" s="50"/>
      <c r="D8" s="51"/>
      <c r="E8" s="54"/>
      <c r="G8" s="47"/>
      <c r="H8" s="53"/>
    </row>
    <row r="9" spans="2:8" ht="12" customHeight="1">
      <c r="B9" s="17">
        <v>1</v>
      </c>
      <c r="C9" s="18"/>
      <c r="D9" s="19" t="str">
        <f t="array" ref="D9:D10">TRANSPOSE('Bill of Materials'!G3:AB3)</f>
        <v>Car Park Panels</v>
      </c>
      <c r="E9" s="55">
        <f t="array" ref="E9:E10">TRANSPOSE('Bill of Materials'!AM144:BH144)</f>
        <v>1710.0825</v>
      </c>
      <c r="G9" s="56"/>
      <c r="H9" s="57" t="e">
        <f>#REF!*G9</f>
        <v>#REF!</v>
      </c>
    </row>
    <row r="10" spans="2:8" ht="12" customHeight="1">
      <c r="B10" s="21">
        <v>2</v>
      </c>
      <c r="C10" s="22"/>
      <c r="D10" s="23" t="str">
        <v>B</v>
      </c>
      <c r="E10" s="58">
        <v>0</v>
      </c>
      <c r="G10" s="59"/>
      <c r="H10" s="60"/>
    </row>
    <row r="11" spans="2:8" ht="12" customHeight="1">
      <c r="B11" s="21">
        <v>3</v>
      </c>
      <c r="C11" s="22"/>
      <c r="D11" s="23"/>
      <c r="E11" s="58"/>
      <c r="G11" s="59"/>
      <c r="H11" s="60"/>
    </row>
    <row r="12" spans="2:8" ht="12" customHeight="1">
      <c r="B12" s="21">
        <v>4</v>
      </c>
      <c r="C12" s="22"/>
      <c r="D12" s="23"/>
      <c r="E12" s="58"/>
      <c r="G12" s="59"/>
      <c r="H12" s="60"/>
    </row>
    <row r="13" spans="2:8">
      <c r="B13" s="21">
        <v>5</v>
      </c>
      <c r="C13" s="61"/>
      <c r="D13" s="23"/>
      <c r="E13" s="58"/>
      <c r="G13" s="59"/>
      <c r="H13" s="60"/>
    </row>
    <row r="14" spans="2:8">
      <c r="B14" s="21">
        <v>6</v>
      </c>
      <c r="C14" s="61"/>
      <c r="D14" s="23"/>
      <c r="E14" s="58"/>
      <c r="G14" s="59"/>
      <c r="H14" s="60"/>
    </row>
    <row r="15" spans="2:8">
      <c r="B15" s="21">
        <v>7</v>
      </c>
      <c r="C15" s="61"/>
      <c r="D15" s="23"/>
      <c r="E15" s="58"/>
      <c r="G15" s="59"/>
      <c r="H15" s="60"/>
    </row>
    <row r="16" spans="2:8">
      <c r="B16" s="21">
        <v>8</v>
      </c>
      <c r="C16" s="61"/>
      <c r="D16" s="23"/>
      <c r="E16" s="58"/>
      <c r="G16" s="59"/>
      <c r="H16" s="60"/>
    </row>
    <row r="17" spans="2:8">
      <c r="B17" s="21">
        <v>9</v>
      </c>
      <c r="C17" s="61"/>
      <c r="D17" s="23"/>
      <c r="E17" s="58"/>
      <c r="G17" s="59"/>
      <c r="H17" s="60"/>
    </row>
    <row r="18" spans="2:8">
      <c r="B18" s="21">
        <v>10</v>
      </c>
      <c r="C18" s="61"/>
      <c r="D18" s="23"/>
      <c r="E18" s="58"/>
      <c r="G18" s="59"/>
      <c r="H18" s="60"/>
    </row>
    <row r="19" spans="2:8">
      <c r="B19" s="21">
        <v>11</v>
      </c>
      <c r="C19" s="61"/>
      <c r="D19" s="23"/>
      <c r="E19" s="58"/>
      <c r="G19" s="59"/>
      <c r="H19" s="60"/>
    </row>
    <row r="20" spans="2:8">
      <c r="B20" s="21">
        <v>12</v>
      </c>
      <c r="C20" s="61"/>
      <c r="D20" s="23"/>
      <c r="E20" s="58"/>
      <c r="G20" s="59"/>
      <c r="H20" s="60"/>
    </row>
    <row r="21" spans="2:8" ht="12" customHeight="1">
      <c r="B21" s="21">
        <v>13</v>
      </c>
      <c r="C21" s="61"/>
      <c r="D21" s="23"/>
      <c r="E21" s="58"/>
      <c r="G21" s="59"/>
      <c r="H21" s="60"/>
    </row>
    <row r="22" spans="2:8">
      <c r="B22" s="21">
        <v>14</v>
      </c>
      <c r="C22" s="61"/>
      <c r="D22" s="23"/>
      <c r="E22" s="58"/>
      <c r="G22" s="59"/>
      <c r="H22" s="60"/>
    </row>
    <row r="23" spans="2:8">
      <c r="B23" s="21">
        <v>15</v>
      </c>
      <c r="C23" s="61"/>
      <c r="D23" s="23"/>
      <c r="E23" s="58"/>
      <c r="G23" s="59"/>
      <c r="H23" s="60"/>
    </row>
    <row r="24" spans="2:8">
      <c r="B24" s="21">
        <v>16</v>
      </c>
      <c r="C24" s="61"/>
      <c r="D24" s="23"/>
      <c r="E24" s="58"/>
      <c r="G24" s="59"/>
      <c r="H24" s="60"/>
    </row>
    <row r="25" spans="2:8">
      <c r="B25" s="21">
        <v>17</v>
      </c>
      <c r="C25" s="61"/>
      <c r="D25" s="23"/>
      <c r="E25" s="58"/>
      <c r="G25" s="59"/>
      <c r="H25" s="60"/>
    </row>
    <row r="26" spans="2:8">
      <c r="B26" s="21">
        <v>18</v>
      </c>
      <c r="C26" s="61"/>
      <c r="D26" s="23"/>
      <c r="E26" s="58"/>
      <c r="G26" s="59"/>
      <c r="H26" s="60"/>
    </row>
    <row r="27" spans="2:8">
      <c r="B27" s="21">
        <v>19</v>
      </c>
      <c r="C27" s="61"/>
      <c r="D27" s="23"/>
      <c r="E27" s="58"/>
      <c r="G27" s="59"/>
      <c r="H27" s="60"/>
    </row>
    <row r="28" spans="2:8">
      <c r="B28" s="21">
        <v>20</v>
      </c>
      <c r="C28" s="61"/>
      <c r="D28" s="23"/>
      <c r="E28" s="58"/>
      <c r="G28" s="59"/>
      <c r="H28" s="60"/>
    </row>
    <row r="29" spans="2:8">
      <c r="B29" s="21">
        <v>21</v>
      </c>
      <c r="C29" s="61"/>
      <c r="D29" s="23"/>
      <c r="E29" s="58"/>
      <c r="G29" s="59"/>
      <c r="H29" s="60"/>
    </row>
    <row r="30" spans="2:8">
      <c r="B30" s="21">
        <v>22</v>
      </c>
      <c r="C30" s="61"/>
      <c r="D30" s="23"/>
      <c r="E30" s="58"/>
      <c r="G30" s="59"/>
      <c r="H30" s="60"/>
    </row>
    <row r="31" spans="2:8">
      <c r="B31" s="21">
        <v>23</v>
      </c>
      <c r="C31" s="61"/>
      <c r="D31" s="23"/>
      <c r="E31" s="58"/>
      <c r="G31" s="59"/>
      <c r="H31" s="60"/>
    </row>
    <row r="32" spans="2:8">
      <c r="B32" s="21">
        <v>24</v>
      </c>
      <c r="C32" s="61"/>
      <c r="D32" s="23"/>
      <c r="E32" s="58"/>
      <c r="G32" s="59"/>
      <c r="H32" s="60"/>
    </row>
    <row r="33" spans="2:8">
      <c r="B33" s="21">
        <v>25</v>
      </c>
      <c r="C33" s="61"/>
      <c r="D33" s="23"/>
      <c r="E33" s="58"/>
      <c r="G33" s="59"/>
      <c r="H33" s="60"/>
    </row>
    <row r="34" spans="2:8">
      <c r="B34" s="21">
        <v>26</v>
      </c>
      <c r="C34" s="61"/>
      <c r="D34" s="23"/>
      <c r="E34" s="58"/>
      <c r="G34" s="59"/>
      <c r="H34" s="60"/>
    </row>
    <row r="35" spans="2:8">
      <c r="B35" s="21">
        <v>27</v>
      </c>
      <c r="C35" s="61"/>
      <c r="D35" s="23"/>
      <c r="E35" s="58"/>
      <c r="G35" s="59"/>
      <c r="H35" s="60"/>
    </row>
    <row r="36" spans="2:8">
      <c r="B36" s="21">
        <v>28</v>
      </c>
      <c r="C36" s="61"/>
      <c r="D36" s="23"/>
      <c r="E36" s="58"/>
      <c r="G36" s="59"/>
      <c r="H36" s="60"/>
    </row>
    <row r="37" spans="2:8">
      <c r="B37" s="21">
        <v>29</v>
      </c>
      <c r="C37" s="61"/>
      <c r="D37" s="23"/>
      <c r="E37" s="58"/>
      <c r="G37" s="59"/>
      <c r="H37" s="60"/>
    </row>
    <row r="38" spans="2:8">
      <c r="B38" s="21">
        <v>30</v>
      </c>
      <c r="C38" s="61"/>
      <c r="D38" s="23"/>
      <c r="E38" s="58"/>
      <c r="G38" s="59"/>
      <c r="H38" s="60"/>
    </row>
    <row r="39" spans="2:8">
      <c r="B39" s="21">
        <v>31</v>
      </c>
      <c r="C39" s="61"/>
      <c r="D39" s="23"/>
      <c r="E39" s="58"/>
      <c r="G39" s="59"/>
      <c r="H39" s="60"/>
    </row>
    <row r="40" spans="2:8">
      <c r="B40" s="21">
        <v>32</v>
      </c>
      <c r="C40" s="61"/>
      <c r="D40" s="23"/>
      <c r="E40" s="58"/>
      <c r="G40" s="59"/>
      <c r="H40" s="60"/>
    </row>
    <row r="41" spans="2:8">
      <c r="B41" s="21">
        <v>33</v>
      </c>
      <c r="C41" s="61"/>
      <c r="D41" s="23"/>
      <c r="E41" s="58"/>
      <c r="G41" s="59"/>
      <c r="H41" s="60"/>
    </row>
    <row r="42" spans="2:8">
      <c r="B42" s="21">
        <v>34</v>
      </c>
      <c r="C42" s="61"/>
      <c r="D42" s="23"/>
      <c r="E42" s="58"/>
      <c r="G42" s="59"/>
      <c r="H42" s="60"/>
    </row>
    <row r="43" spans="2:8">
      <c r="B43" s="21">
        <v>35</v>
      </c>
      <c r="C43" s="61"/>
      <c r="D43" s="23"/>
      <c r="E43" s="58"/>
      <c r="G43" s="59"/>
      <c r="H43" s="60"/>
    </row>
    <row r="44" spans="2:8">
      <c r="B44" s="21">
        <v>36</v>
      </c>
      <c r="C44" s="61"/>
      <c r="D44" s="23"/>
      <c r="E44" s="58"/>
      <c r="G44" s="59"/>
      <c r="H44" s="60"/>
    </row>
    <row r="45" spans="2:8">
      <c r="B45" s="21">
        <v>37</v>
      </c>
      <c r="C45" s="61"/>
      <c r="D45" s="23"/>
      <c r="E45" s="58"/>
      <c r="G45" s="59"/>
      <c r="H45" s="60"/>
    </row>
    <row r="46" spans="2:8">
      <c r="B46" s="21">
        <v>38</v>
      </c>
      <c r="C46" s="61"/>
      <c r="D46" s="23"/>
      <c r="E46" s="58"/>
      <c r="G46" s="59"/>
      <c r="H46" s="60"/>
    </row>
    <row r="47" spans="2:8">
      <c r="B47" s="21">
        <v>39</v>
      </c>
      <c r="C47" s="61"/>
      <c r="D47" s="23"/>
      <c r="E47" s="58"/>
      <c r="G47" s="59"/>
      <c r="H47" s="60"/>
    </row>
    <row r="48" spans="2:8">
      <c r="B48" s="21">
        <v>40</v>
      </c>
      <c r="C48" s="61"/>
      <c r="D48" s="23"/>
      <c r="E48" s="58"/>
      <c r="G48" s="59"/>
      <c r="H48" s="60"/>
    </row>
    <row r="49" spans="2:8">
      <c r="B49" s="21">
        <v>41</v>
      </c>
      <c r="C49" s="61"/>
      <c r="D49" s="23"/>
      <c r="E49" s="58"/>
      <c r="G49" s="59"/>
      <c r="H49" s="60"/>
    </row>
    <row r="50" spans="2:8">
      <c r="B50" s="21">
        <v>42</v>
      </c>
      <c r="C50" s="61"/>
      <c r="D50" s="23"/>
      <c r="E50" s="58"/>
      <c r="G50" s="59"/>
      <c r="H50" s="60"/>
    </row>
    <row r="51" spans="2:8">
      <c r="B51" s="21">
        <v>43</v>
      </c>
      <c r="C51" s="61"/>
      <c r="D51" s="23"/>
      <c r="E51" s="58"/>
      <c r="G51" s="59"/>
      <c r="H51" s="60"/>
    </row>
    <row r="52" spans="2:8">
      <c r="B52" s="21">
        <v>44</v>
      </c>
      <c r="C52" s="61"/>
      <c r="D52" s="23"/>
      <c r="E52" s="58"/>
      <c r="G52" s="59"/>
      <c r="H52" s="60"/>
    </row>
    <row r="53" spans="2:8">
      <c r="B53" s="21">
        <v>45</v>
      </c>
      <c r="C53" s="61"/>
      <c r="D53" s="23"/>
      <c r="E53" s="58"/>
      <c r="G53" s="59"/>
      <c r="H53" s="60"/>
    </row>
    <row r="54" spans="2:8">
      <c r="B54" s="21">
        <v>46</v>
      </c>
      <c r="C54" s="61"/>
      <c r="D54" s="23"/>
      <c r="E54" s="58"/>
      <c r="G54" s="59"/>
      <c r="H54" s="60"/>
    </row>
    <row r="55" spans="2:8">
      <c r="B55" s="21">
        <v>47</v>
      </c>
      <c r="C55" s="61"/>
      <c r="D55" s="23"/>
      <c r="E55" s="58"/>
      <c r="G55" s="59"/>
      <c r="H55" s="60"/>
    </row>
    <row r="56" spans="2:8">
      <c r="B56" s="21">
        <v>48</v>
      </c>
      <c r="C56" s="61"/>
      <c r="D56" s="23"/>
      <c r="E56" s="58"/>
      <c r="G56" s="59"/>
      <c r="H56" s="60"/>
    </row>
    <row r="57" spans="2:8">
      <c r="B57" s="21">
        <v>49</v>
      </c>
      <c r="C57" s="61"/>
      <c r="D57" s="23"/>
      <c r="E57" s="58"/>
      <c r="G57" s="59"/>
      <c r="H57" s="60"/>
    </row>
    <row r="58" spans="2:8">
      <c r="B58" s="21">
        <v>50</v>
      </c>
      <c r="C58" s="61"/>
      <c r="D58" s="23"/>
      <c r="E58" s="58"/>
      <c r="G58" s="59"/>
      <c r="H58" s="60"/>
    </row>
    <row r="59" spans="2:8">
      <c r="B59" s="21">
        <v>51</v>
      </c>
      <c r="C59" s="61"/>
      <c r="D59" s="23"/>
      <c r="E59" s="58"/>
      <c r="G59" s="59"/>
      <c r="H59" s="60"/>
    </row>
    <row r="60" spans="2:8">
      <c r="B60" s="21">
        <v>52</v>
      </c>
      <c r="C60" s="61"/>
      <c r="D60" s="23"/>
      <c r="E60" s="58"/>
      <c r="G60" s="59"/>
      <c r="H60" s="60"/>
    </row>
    <row r="61" spans="2:8">
      <c r="B61" s="21">
        <v>53</v>
      </c>
      <c r="C61" s="61"/>
      <c r="D61" s="23"/>
      <c r="E61" s="58"/>
      <c r="G61" s="59"/>
      <c r="H61" s="60"/>
    </row>
    <row r="62" spans="2:8">
      <c r="B62" s="21">
        <v>54</v>
      </c>
      <c r="C62" s="61"/>
      <c r="D62" s="23"/>
      <c r="E62" s="58"/>
      <c r="G62" s="59"/>
      <c r="H62" s="60"/>
    </row>
    <row r="63" spans="2:8">
      <c r="B63" s="21">
        <v>55</v>
      </c>
      <c r="C63" s="61"/>
      <c r="D63" s="23"/>
      <c r="E63" s="58"/>
      <c r="G63" s="59"/>
      <c r="H63" s="60"/>
    </row>
    <row r="64" spans="2:8">
      <c r="B64" s="21">
        <v>56</v>
      </c>
      <c r="C64" s="61"/>
      <c r="D64" s="23"/>
      <c r="E64" s="58"/>
      <c r="G64" s="59"/>
      <c r="H64" s="60"/>
    </row>
    <row r="65" spans="2:8">
      <c r="B65" s="21">
        <v>57</v>
      </c>
      <c r="C65" s="61"/>
      <c r="D65" s="23"/>
      <c r="E65" s="58"/>
      <c r="G65" s="59"/>
      <c r="H65" s="60"/>
    </row>
    <row r="66" spans="2:8">
      <c r="B66" s="21">
        <v>58</v>
      </c>
      <c r="C66" s="61"/>
      <c r="D66" s="23"/>
      <c r="E66" s="58"/>
      <c r="G66" s="59"/>
      <c r="H66" s="60"/>
    </row>
    <row r="67" spans="2:8">
      <c r="B67" s="21">
        <v>59</v>
      </c>
      <c r="C67" s="61"/>
      <c r="D67" s="23"/>
      <c r="E67" s="58"/>
      <c r="G67" s="59"/>
      <c r="H67" s="60"/>
    </row>
    <row r="68" spans="2:8">
      <c r="B68" s="21">
        <v>60</v>
      </c>
      <c r="C68" s="61"/>
      <c r="D68" s="23"/>
      <c r="E68" s="58"/>
      <c r="G68" s="59"/>
      <c r="H68" s="60"/>
    </row>
    <row r="69" spans="2:8">
      <c r="B69" s="21">
        <v>61</v>
      </c>
      <c r="C69" s="61"/>
      <c r="D69" s="23"/>
      <c r="E69" s="58"/>
      <c r="G69" s="59"/>
      <c r="H69" s="60"/>
    </row>
    <row r="70" spans="2:8">
      <c r="B70" s="21">
        <v>62</v>
      </c>
      <c r="C70" s="61"/>
      <c r="D70" s="23"/>
      <c r="E70" s="58"/>
      <c r="G70" s="59"/>
      <c r="H70" s="60"/>
    </row>
    <row r="71" spans="2:8">
      <c r="B71" s="21">
        <v>63</v>
      </c>
      <c r="C71" s="61"/>
      <c r="D71" s="23"/>
      <c r="E71" s="58"/>
      <c r="G71" s="59"/>
      <c r="H71" s="60"/>
    </row>
    <row r="72" spans="2:8">
      <c r="B72" s="21">
        <v>64</v>
      </c>
      <c r="C72" s="61"/>
      <c r="D72" s="23"/>
      <c r="E72" s="58"/>
      <c r="G72" s="59"/>
      <c r="H72" s="60"/>
    </row>
    <row r="73" spans="2:8">
      <c r="B73" s="21">
        <v>65</v>
      </c>
      <c r="C73" s="61"/>
      <c r="D73" s="23"/>
      <c r="E73" s="58"/>
      <c r="G73" s="59"/>
      <c r="H73" s="60"/>
    </row>
    <row r="74" spans="2:8">
      <c r="B74" s="21">
        <v>66</v>
      </c>
      <c r="C74" s="61"/>
      <c r="D74" s="23"/>
      <c r="E74" s="58"/>
      <c r="G74" s="59"/>
      <c r="H74" s="60"/>
    </row>
    <row r="75" spans="2:8">
      <c r="B75" s="21">
        <v>67</v>
      </c>
      <c r="C75" s="61"/>
      <c r="D75" s="23"/>
      <c r="E75" s="58"/>
      <c r="G75" s="59"/>
      <c r="H75" s="60"/>
    </row>
    <row r="76" spans="2:8">
      <c r="B76" s="21">
        <v>68</v>
      </c>
      <c r="C76" s="61"/>
      <c r="D76" s="23"/>
      <c r="E76" s="58"/>
      <c r="G76" s="59"/>
      <c r="H76" s="60"/>
    </row>
    <row r="77" spans="2:8">
      <c r="B77" s="21">
        <v>69</v>
      </c>
      <c r="C77" s="61"/>
      <c r="D77" s="23"/>
      <c r="E77" s="58"/>
      <c r="G77" s="59"/>
      <c r="H77" s="60"/>
    </row>
    <row r="78" spans="2:8">
      <c r="B78" s="21">
        <v>70</v>
      </c>
      <c r="C78" s="61"/>
      <c r="D78" s="23"/>
      <c r="E78" s="58"/>
      <c r="G78" s="59"/>
      <c r="H78" s="60"/>
    </row>
    <row r="79" spans="2:8">
      <c r="B79" s="21">
        <v>71</v>
      </c>
      <c r="C79" s="61"/>
      <c r="D79" s="23"/>
      <c r="E79" s="58"/>
      <c r="G79" s="59"/>
      <c r="H79" s="60"/>
    </row>
    <row r="80" spans="2:8">
      <c r="B80" s="21">
        <v>72</v>
      </c>
      <c r="C80" s="61"/>
      <c r="D80" s="23"/>
      <c r="E80" s="58"/>
      <c r="G80" s="59"/>
      <c r="H80" s="60"/>
    </row>
    <row r="81" spans="2:8">
      <c r="B81" s="21">
        <v>73</v>
      </c>
      <c r="C81" s="61"/>
      <c r="D81" s="23"/>
      <c r="E81" s="58"/>
      <c r="G81" s="59"/>
      <c r="H81" s="60"/>
    </row>
    <row r="82" spans="2:8">
      <c r="B82" s="21">
        <v>74</v>
      </c>
      <c r="C82" s="61"/>
      <c r="D82" s="23"/>
      <c r="E82" s="58"/>
      <c r="G82" s="59"/>
      <c r="H82" s="60"/>
    </row>
    <row r="83" spans="2:8">
      <c r="B83" s="21">
        <v>75</v>
      </c>
      <c r="C83" s="61"/>
      <c r="D83" s="23"/>
      <c r="E83" s="58"/>
      <c r="G83" s="59"/>
      <c r="H83" s="60"/>
    </row>
    <row r="84" spans="2:8">
      <c r="B84" s="21">
        <v>76</v>
      </c>
      <c r="C84" s="61"/>
      <c r="D84" s="23"/>
      <c r="E84" s="58"/>
      <c r="G84" s="59"/>
      <c r="H84" s="60"/>
    </row>
    <row r="85" spans="2:8">
      <c r="B85" s="21">
        <v>77</v>
      </c>
      <c r="C85" s="61"/>
      <c r="D85" s="23"/>
      <c r="E85" s="58"/>
      <c r="G85" s="59"/>
      <c r="H85" s="60"/>
    </row>
    <row r="86" spans="2:8">
      <c r="B86" s="21">
        <v>78</v>
      </c>
      <c r="C86" s="61"/>
      <c r="D86" s="23"/>
      <c r="E86" s="58"/>
      <c r="G86" s="59"/>
      <c r="H86" s="60"/>
    </row>
    <row r="87" spans="2:8">
      <c r="B87" s="21">
        <v>79</v>
      </c>
      <c r="C87" s="61"/>
      <c r="D87" s="23"/>
      <c r="E87" s="58"/>
      <c r="G87" s="59"/>
      <c r="H87" s="60"/>
    </row>
    <row r="88" spans="2:8">
      <c r="B88" s="21">
        <v>80</v>
      </c>
      <c r="C88" s="61"/>
      <c r="D88" s="23"/>
      <c r="E88" s="58"/>
      <c r="G88" s="59"/>
      <c r="H88" s="60"/>
    </row>
    <row r="89" spans="2:8">
      <c r="B89" s="21">
        <v>81</v>
      </c>
      <c r="C89" s="61"/>
      <c r="D89" s="23"/>
      <c r="E89" s="58"/>
      <c r="G89" s="59"/>
      <c r="H89" s="60"/>
    </row>
    <row r="90" spans="2:8">
      <c r="B90" s="21">
        <v>82</v>
      </c>
      <c r="C90" s="61"/>
      <c r="D90" s="23"/>
      <c r="E90" s="58"/>
      <c r="G90" s="59"/>
      <c r="H90" s="60"/>
    </row>
    <row r="91" spans="2:8">
      <c r="B91" s="21">
        <v>83</v>
      </c>
      <c r="C91" s="61"/>
      <c r="D91" s="23"/>
      <c r="E91" s="58"/>
      <c r="G91" s="59"/>
      <c r="H91" s="60"/>
    </row>
    <row r="92" spans="2:8">
      <c r="B92" s="21">
        <v>84</v>
      </c>
      <c r="C92" s="61"/>
      <c r="D92" s="23"/>
      <c r="E92" s="58"/>
      <c r="G92" s="59"/>
      <c r="H92" s="60"/>
    </row>
    <row r="93" spans="2:8">
      <c r="B93" s="21">
        <v>85</v>
      </c>
      <c r="C93" s="61"/>
      <c r="D93" s="23"/>
      <c r="E93" s="58"/>
      <c r="G93" s="59"/>
      <c r="H93" s="60"/>
    </row>
    <row r="94" spans="2:8">
      <c r="B94" s="21">
        <v>86</v>
      </c>
      <c r="C94" s="61"/>
      <c r="D94" s="23"/>
      <c r="E94" s="58"/>
      <c r="G94" s="59"/>
      <c r="H94" s="60"/>
    </row>
    <row r="95" spans="2:8">
      <c r="B95" s="21">
        <v>87</v>
      </c>
      <c r="C95" s="61"/>
      <c r="D95" s="23"/>
      <c r="E95" s="58"/>
      <c r="G95" s="59"/>
      <c r="H95" s="60"/>
    </row>
    <row r="96" spans="2:8">
      <c r="B96" s="21">
        <v>88</v>
      </c>
      <c r="C96" s="61"/>
      <c r="D96" s="23"/>
      <c r="E96" s="58"/>
      <c r="G96" s="59"/>
      <c r="H96" s="60"/>
    </row>
    <row r="97" spans="2:8">
      <c r="B97" s="21">
        <v>89</v>
      </c>
      <c r="C97" s="61"/>
      <c r="D97" s="23"/>
      <c r="E97" s="58"/>
      <c r="G97" s="59"/>
      <c r="H97" s="60"/>
    </row>
    <row r="98" spans="2:8">
      <c r="B98" s="21">
        <v>90</v>
      </c>
      <c r="C98" s="61"/>
      <c r="D98" s="23"/>
      <c r="E98" s="58"/>
      <c r="G98" s="59"/>
      <c r="H98" s="60"/>
    </row>
    <row r="99" spans="2:8">
      <c r="B99" s="21">
        <v>91</v>
      </c>
      <c r="C99" s="61"/>
      <c r="D99" s="23"/>
      <c r="E99" s="58"/>
      <c r="G99" s="59"/>
      <c r="H99" s="60"/>
    </row>
    <row r="100" spans="2:8">
      <c r="B100" s="21">
        <v>92</v>
      </c>
      <c r="C100" s="61"/>
      <c r="D100" s="23"/>
      <c r="E100" s="58"/>
      <c r="G100" s="59"/>
      <c r="H100" s="60"/>
    </row>
    <row r="101" spans="2:8">
      <c r="B101" s="21">
        <v>93</v>
      </c>
      <c r="C101" s="61"/>
      <c r="D101" s="23"/>
      <c r="E101" s="58"/>
      <c r="G101" s="59"/>
      <c r="H101" s="60"/>
    </row>
    <row r="102" spans="2:8">
      <c r="B102" s="21">
        <v>94</v>
      </c>
      <c r="C102" s="61"/>
      <c r="D102" s="23"/>
      <c r="E102" s="58"/>
      <c r="G102" s="59"/>
      <c r="H102" s="60"/>
    </row>
    <row r="103" spans="2:8">
      <c r="B103" s="21">
        <v>95</v>
      </c>
      <c r="C103" s="61"/>
      <c r="D103" s="23"/>
      <c r="E103" s="58"/>
      <c r="G103" s="59"/>
      <c r="H103" s="60"/>
    </row>
    <row r="104" spans="2:8">
      <c r="B104" s="21">
        <v>96</v>
      </c>
      <c r="C104" s="61"/>
      <c r="D104" s="23"/>
      <c r="E104" s="58"/>
      <c r="G104" s="59"/>
      <c r="H104" s="60"/>
    </row>
    <row r="105" spans="2:8">
      <c r="B105" s="21">
        <v>97</v>
      </c>
      <c r="C105" s="61"/>
      <c r="D105" s="23"/>
      <c r="E105" s="58"/>
      <c r="G105" s="59"/>
      <c r="H105" s="60"/>
    </row>
    <row r="106" spans="2:8">
      <c r="B106" s="21">
        <v>98</v>
      </c>
      <c r="C106" s="61"/>
      <c r="D106" s="23"/>
      <c r="E106" s="58"/>
      <c r="G106" s="59"/>
      <c r="H106" s="60"/>
    </row>
    <row r="107" spans="2:8">
      <c r="B107" s="21">
        <v>99</v>
      </c>
      <c r="C107" s="61"/>
      <c r="D107" s="23"/>
      <c r="E107" s="58"/>
      <c r="G107" s="59"/>
      <c r="H107" s="60"/>
    </row>
    <row r="108" spans="2:8">
      <c r="B108" s="21">
        <v>100</v>
      </c>
      <c r="C108" s="61"/>
      <c r="D108" s="23"/>
      <c r="E108" s="58"/>
      <c r="G108" s="59"/>
      <c r="H108" s="60"/>
    </row>
    <row r="109" spans="2:8">
      <c r="B109" s="21">
        <v>101</v>
      </c>
      <c r="C109" s="61"/>
      <c r="D109" s="23"/>
      <c r="E109" s="58"/>
      <c r="G109" s="59"/>
      <c r="H109" s="60"/>
    </row>
    <row r="110" spans="2:8">
      <c r="B110" s="21">
        <v>102</v>
      </c>
      <c r="C110" s="61"/>
      <c r="D110" s="23"/>
      <c r="E110" s="58"/>
      <c r="G110" s="59"/>
      <c r="H110" s="60"/>
    </row>
    <row r="111" spans="2:8">
      <c r="B111" s="21">
        <v>103</v>
      </c>
      <c r="C111" s="61"/>
      <c r="D111" s="23"/>
      <c r="E111" s="58"/>
      <c r="G111" s="59"/>
      <c r="H111" s="60"/>
    </row>
    <row r="112" spans="2:8">
      <c r="B112" s="21">
        <v>104</v>
      </c>
      <c r="C112" s="61"/>
      <c r="D112" s="23"/>
      <c r="E112" s="58"/>
      <c r="G112" s="59"/>
      <c r="H112" s="60"/>
    </row>
    <row r="113" spans="2:8">
      <c r="B113" s="21">
        <v>105</v>
      </c>
      <c r="C113" s="61"/>
      <c r="D113" s="23"/>
      <c r="E113" s="58"/>
      <c r="G113" s="59"/>
      <c r="H113" s="60"/>
    </row>
    <row r="114" spans="2:8">
      <c r="B114" s="21">
        <v>106</v>
      </c>
      <c r="C114" s="61"/>
      <c r="D114" s="23"/>
      <c r="E114" s="58"/>
      <c r="G114" s="59"/>
      <c r="H114" s="60"/>
    </row>
    <row r="115" spans="2:8">
      <c r="B115" s="21">
        <v>107</v>
      </c>
      <c r="C115" s="61"/>
      <c r="D115" s="23"/>
      <c r="E115" s="58"/>
      <c r="G115" s="59"/>
      <c r="H115" s="60"/>
    </row>
    <row r="116" spans="2:8">
      <c r="B116" s="21">
        <v>108</v>
      </c>
      <c r="C116" s="61"/>
      <c r="D116" s="23"/>
      <c r="E116" s="58"/>
      <c r="G116" s="59"/>
      <c r="H116" s="60"/>
    </row>
    <row r="117" spans="2:8">
      <c r="B117" s="21">
        <v>109</v>
      </c>
      <c r="C117" s="61"/>
      <c r="D117" s="23"/>
      <c r="E117" s="58"/>
      <c r="G117" s="59"/>
      <c r="H117" s="60"/>
    </row>
    <row r="118" spans="2:8">
      <c r="B118" s="21">
        <v>110</v>
      </c>
      <c r="C118" s="61"/>
      <c r="D118" s="23"/>
      <c r="E118" s="58"/>
      <c r="G118" s="59"/>
      <c r="H118" s="60"/>
    </row>
    <row r="119" spans="2:8">
      <c r="B119" s="21">
        <v>111</v>
      </c>
      <c r="C119" s="61"/>
      <c r="D119" s="23"/>
      <c r="E119" s="58"/>
      <c r="G119" s="59"/>
      <c r="H119" s="60"/>
    </row>
    <row r="120" spans="2:8">
      <c r="B120" s="21">
        <v>112</v>
      </c>
      <c r="C120" s="61"/>
      <c r="D120" s="23"/>
      <c r="E120" s="58"/>
      <c r="G120" s="59"/>
      <c r="H120" s="60"/>
    </row>
    <row r="121" spans="2:8">
      <c r="B121" s="21">
        <v>113</v>
      </c>
      <c r="C121" s="61"/>
      <c r="D121" s="23"/>
      <c r="E121" s="58"/>
      <c r="G121" s="59"/>
      <c r="H121" s="60"/>
    </row>
    <row r="122" spans="2:8">
      <c r="B122" s="21">
        <v>114</v>
      </c>
      <c r="C122" s="61"/>
      <c r="D122" s="23"/>
      <c r="E122" s="58"/>
      <c r="G122" s="59"/>
      <c r="H122" s="60"/>
    </row>
    <row r="123" spans="2:8">
      <c r="B123" s="21">
        <v>115</v>
      </c>
      <c r="C123" s="61"/>
      <c r="D123" s="23"/>
      <c r="E123" s="58"/>
      <c r="G123" s="59"/>
      <c r="H123" s="60"/>
    </row>
    <row r="124" spans="2:8">
      <c r="B124" s="21">
        <v>116</v>
      </c>
      <c r="C124" s="61"/>
      <c r="D124" s="23"/>
      <c r="E124" s="58"/>
      <c r="G124" s="59"/>
      <c r="H124" s="60"/>
    </row>
    <row r="125" spans="2:8">
      <c r="B125" s="21">
        <v>117</v>
      </c>
      <c r="C125" s="61"/>
      <c r="D125" s="23"/>
      <c r="E125" s="58"/>
      <c r="G125" s="59"/>
      <c r="H125" s="60"/>
    </row>
    <row r="126" spans="2:8">
      <c r="B126" s="21">
        <v>118</v>
      </c>
      <c r="C126" s="61"/>
      <c r="D126" s="23"/>
      <c r="E126" s="58"/>
      <c r="G126" s="59"/>
      <c r="H126" s="60"/>
    </row>
    <row r="127" spans="2:8">
      <c r="B127" s="21">
        <v>119</v>
      </c>
      <c r="C127" s="61"/>
      <c r="D127" s="23"/>
      <c r="E127" s="58"/>
      <c r="G127" s="59"/>
      <c r="H127" s="60"/>
    </row>
    <row r="128" spans="2:8">
      <c r="B128" s="21">
        <v>120</v>
      </c>
      <c r="C128" s="61"/>
      <c r="D128" s="23"/>
      <c r="E128" s="58"/>
      <c r="G128" s="59"/>
      <c r="H128" s="60"/>
    </row>
    <row r="129" spans="2:8">
      <c r="B129" s="21">
        <v>121</v>
      </c>
      <c r="C129" s="61"/>
      <c r="D129" s="23"/>
      <c r="E129" s="58"/>
      <c r="G129" s="59"/>
      <c r="H129" s="60"/>
    </row>
    <row r="130" spans="2:8">
      <c r="B130" s="21">
        <v>122</v>
      </c>
      <c r="C130" s="61"/>
      <c r="D130" s="23"/>
      <c r="E130" s="58"/>
      <c r="G130" s="59"/>
      <c r="H130" s="60"/>
    </row>
    <row r="131" spans="2:8">
      <c r="B131" s="21">
        <v>123</v>
      </c>
      <c r="C131" s="61"/>
      <c r="D131" s="23"/>
      <c r="E131" s="58"/>
      <c r="G131" s="59"/>
      <c r="H131" s="60"/>
    </row>
    <row r="132" spans="2:8">
      <c r="B132" s="21">
        <v>124</v>
      </c>
      <c r="C132" s="61"/>
      <c r="D132" s="23"/>
      <c r="E132" s="58"/>
      <c r="G132" s="59"/>
      <c r="H132" s="60"/>
    </row>
    <row r="133" spans="2:8">
      <c r="B133" s="21">
        <v>125</v>
      </c>
      <c r="C133" s="61"/>
      <c r="D133" s="23"/>
      <c r="E133" s="58"/>
      <c r="G133" s="59"/>
      <c r="H133" s="60"/>
    </row>
    <row r="134" spans="2:8">
      <c r="B134" s="21">
        <v>126</v>
      </c>
      <c r="C134" s="61"/>
      <c r="D134" s="23"/>
      <c r="E134" s="58"/>
      <c r="G134" s="59"/>
      <c r="H134" s="60"/>
    </row>
    <row r="135" spans="2:8">
      <c r="B135" s="21">
        <v>127</v>
      </c>
      <c r="C135" s="61"/>
      <c r="D135" s="23"/>
      <c r="E135" s="58"/>
      <c r="G135" s="59"/>
      <c r="H135" s="60"/>
    </row>
    <row r="136" spans="2:8">
      <c r="B136" s="21">
        <v>128</v>
      </c>
      <c r="C136" s="61"/>
      <c r="D136" s="23"/>
      <c r="E136" s="58"/>
      <c r="G136" s="59"/>
      <c r="H136" s="60"/>
    </row>
    <row r="137" spans="2:8">
      <c r="B137" s="21">
        <v>129</v>
      </c>
      <c r="C137" s="61"/>
      <c r="D137" s="23"/>
      <c r="E137" s="58"/>
      <c r="G137" s="59"/>
      <c r="H137" s="60"/>
    </row>
    <row r="138" spans="2:8">
      <c r="B138" s="21">
        <v>130</v>
      </c>
      <c r="C138" s="61"/>
      <c r="D138" s="23"/>
      <c r="E138" s="58"/>
      <c r="G138" s="59"/>
      <c r="H138" s="60"/>
    </row>
    <row r="139" spans="2:8">
      <c r="B139" s="21">
        <v>131</v>
      </c>
      <c r="C139" s="61"/>
      <c r="D139" s="23"/>
      <c r="E139" s="58"/>
      <c r="G139" s="59"/>
      <c r="H139" s="60"/>
    </row>
    <row r="140" spans="2:8">
      <c r="B140" s="21">
        <v>132</v>
      </c>
      <c r="C140" s="61"/>
      <c r="D140" s="23"/>
      <c r="E140" s="58"/>
      <c r="G140" s="59"/>
      <c r="H140" s="60"/>
    </row>
    <row r="141" spans="2:8">
      <c r="B141" s="21">
        <v>133</v>
      </c>
      <c r="C141" s="61"/>
      <c r="D141" s="23"/>
      <c r="E141" s="58"/>
      <c r="G141" s="59"/>
      <c r="H141" s="60"/>
    </row>
    <row r="142" spans="2:8" ht="13.8" thickBot="1">
      <c r="B142" s="27"/>
      <c r="C142" s="28"/>
      <c r="D142" s="62" t="s">
        <v>44</v>
      </c>
      <c r="E142" s="63"/>
      <c r="G142" s="64"/>
      <c r="H142" s="65" t="e">
        <f>#REF!*G142</f>
        <v>#REF!</v>
      </c>
    </row>
    <row r="143" spans="2:8" ht="13.8" thickBot="1"/>
    <row r="144" spans="2:8" ht="16.2" thickBot="1">
      <c r="D144" s="30" t="s">
        <v>5</v>
      </c>
      <c r="E144" s="66">
        <f>SUM(E9:E142)</f>
        <v>1710.0825</v>
      </c>
      <c r="G144" s="67" t="s">
        <v>5</v>
      </c>
      <c r="H144" s="68" t="e">
        <f>SUM(H9:H142)</f>
        <v>#REF!</v>
      </c>
    </row>
    <row r="147" spans="1:5" hidden="1"/>
    <row r="148" spans="1:5" ht="14.4" hidden="1">
      <c r="D148" s="69" t="s">
        <v>40</v>
      </c>
      <c r="E148" s="70">
        <f>E144</f>
        <v>1710.0825</v>
      </c>
    </row>
    <row r="149" spans="1:5" ht="14.4" hidden="1">
      <c r="D149" s="71" t="s">
        <v>41</v>
      </c>
      <c r="E149" s="72" t="e">
        <f>ROUNDUP((#REF!+#REF!)/2, 0)</f>
        <v>#REF!</v>
      </c>
    </row>
    <row r="150" spans="1:5" ht="14.4" hidden="1">
      <c r="D150" s="71" t="s">
        <v>42</v>
      </c>
      <c r="E150" s="72" t="e">
        <f>ROUNDUP((#REF!+#REF!)/2, 0)</f>
        <v>#REF!</v>
      </c>
    </row>
    <row r="151" spans="1:5" ht="14.4" hidden="1">
      <c r="D151" s="71" t="s">
        <v>43</v>
      </c>
      <c r="E151" s="72" t="e">
        <f>ROUNDUP((#REF!+#REF!+#REF!)/2, 0)</f>
        <v>#REF!</v>
      </c>
    </row>
    <row r="153" spans="1:5">
      <c r="D153" s="73"/>
    </row>
    <row r="154" spans="1:5">
      <c r="A154" s="74"/>
      <c r="C154" s="33"/>
    </row>
    <row r="155" spans="1:5">
      <c r="A155" s="74"/>
      <c r="C155" s="33"/>
    </row>
    <row r="156" spans="1:5">
      <c r="A156" s="74"/>
      <c r="C156" s="33"/>
    </row>
    <row r="157" spans="1:5">
      <c r="A157" s="74"/>
      <c r="C157" s="33"/>
    </row>
    <row r="158" spans="1:5">
      <c r="A158" s="74"/>
      <c r="C158" s="33"/>
    </row>
    <row r="159" spans="1:5">
      <c r="A159" s="74"/>
      <c r="C159" s="33"/>
    </row>
    <row r="160" spans="1:5">
      <c r="A160" s="74"/>
      <c r="C160" s="33"/>
    </row>
    <row r="161" spans="1:1">
      <c r="A161" s="74"/>
    </row>
    <row r="162" spans="1:1">
      <c r="A162" s="74"/>
    </row>
    <row r="163" spans="1:1">
      <c r="A163" s="74"/>
    </row>
    <row r="164" spans="1:1">
      <c r="A164" s="74"/>
    </row>
    <row r="165" spans="1:1">
      <c r="A165" s="74"/>
    </row>
    <row r="166" spans="1:1">
      <c r="A166" s="74"/>
    </row>
    <row r="167" spans="1:1">
      <c r="A167" s="74"/>
    </row>
    <row r="168" spans="1:1">
      <c r="A168" s="74"/>
    </row>
    <row r="169" spans="1:1">
      <c r="A169" s="74"/>
    </row>
    <row r="170" spans="1:1">
      <c r="A170" s="74"/>
    </row>
    <row r="171" spans="1:1">
      <c r="A171" s="74"/>
    </row>
    <row r="172" spans="1:1">
      <c r="A172" s="74"/>
    </row>
    <row r="173" spans="1:1">
      <c r="A173" s="74"/>
    </row>
    <row r="174" spans="1:1">
      <c r="A174" s="74"/>
    </row>
    <row r="175" spans="1:1">
      <c r="A175" s="74"/>
    </row>
    <row r="176" spans="1:1">
      <c r="A176" s="74"/>
    </row>
    <row r="177" spans="1:1">
      <c r="A177" s="74"/>
    </row>
    <row r="178" spans="1:1">
      <c r="A178" s="74"/>
    </row>
  </sheetData>
  <autoFilter ref="D8:D142" xr:uid="{63CBB936-F14D-4577-B1AD-04F74C3292F6}"/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3755D03-A9B6-41CA-866F-360D0062B8AF}">
            <xm:f>$E$2='Bill of Materials'!$D$2</xm:f>
            <x14:dxf>
              <fill>
                <patternFill>
                  <bgColor rgb="FF92D050"/>
                </patternFill>
              </fill>
            </x14:dxf>
          </x14:cfRule>
          <x14:cfRule type="expression" priority="2" id="{6F04ADCB-5F07-4672-8A3C-B0A5D69DB658}">
            <xm:f>$E$2&lt;&gt;'Bill of Materials'!$D$2</xm:f>
            <x14:dxf>
              <fill>
                <patternFill>
                  <bgColor rgb="FFFFC00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expression" priority="3" id="{ABD07CAB-A877-41F0-B1BD-4D07BAEEAC85}">
            <xm:f>$E$144='Bill of Materials'!$D$2</xm:f>
            <x14:dxf>
              <fill>
                <patternFill>
                  <bgColor rgb="FF00B0F0"/>
                </patternFill>
              </fill>
            </x14:dxf>
          </x14:cfRule>
          <x14:cfRule type="expression" priority="4" id="{AC87A05C-5D8F-4917-A9BF-6D76B3855925}">
            <xm:f>$E$144&lt;&gt;'Bill of Materials'!$D$2</xm:f>
            <x14:dxf>
              <fill>
                <patternFill>
                  <bgColor rgb="FFFF0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C9BE-7C39-4717-9358-E899340C1784}">
  <sheetPr codeName="Sheet3">
    <pageSetUpPr fitToPage="1"/>
  </sheetPr>
  <dimension ref="A1:BL275"/>
  <sheetViews>
    <sheetView zoomScale="70" zoomScaleNormal="70" workbookViewId="0">
      <pane xSplit="5" ySplit="3" topLeftCell="F4" activePane="bottomRight" state="frozen"/>
      <selection activeCell="D8" sqref="D8"/>
      <selection pane="topRight" activeCell="D8" sqref="D8"/>
      <selection pane="bottomLeft" activeCell="D8" sqref="D8"/>
      <selection pane="bottomRight" activeCell="F26" sqref="F26"/>
    </sheetView>
  </sheetViews>
  <sheetFormatPr defaultColWidth="9.109375" defaultRowHeight="13.2"/>
  <cols>
    <col min="1" max="1" width="5.6640625" style="80" customWidth="1"/>
    <col min="2" max="2" width="10.6640625" style="80" customWidth="1"/>
    <col min="3" max="3" width="15.88671875" style="80" customWidth="1"/>
    <col min="4" max="4" width="27" style="113" customWidth="1"/>
    <col min="5" max="5" width="75.109375" style="113" customWidth="1"/>
    <col min="6" max="6" width="14.6640625" style="80" customWidth="1"/>
    <col min="7" max="7" width="25" style="80" bestFit="1" customWidth="1"/>
    <col min="8" max="28" width="5.6640625" style="80" customWidth="1"/>
    <col min="29" max="31" width="9.109375" style="80" customWidth="1"/>
    <col min="32" max="32" width="24.6640625" style="80" customWidth="1"/>
    <col min="33" max="33" width="9.109375" style="80" customWidth="1"/>
    <col min="34" max="34" width="10.88671875" style="80" customWidth="1"/>
    <col min="35" max="35" width="17.88671875" style="80" customWidth="1"/>
    <col min="36" max="36" width="31.88671875" style="80" customWidth="1"/>
    <col min="37" max="37" width="9.109375" style="80" customWidth="1"/>
    <col min="38" max="38" width="23.33203125" style="80" bestFit="1" customWidth="1"/>
    <col min="39" max="59" width="16.109375" style="80" customWidth="1"/>
    <col min="60" max="61" width="9.109375" style="80"/>
    <col min="62" max="62" width="12.6640625" style="80" customWidth="1"/>
    <col min="63" max="16384" width="9.109375" style="80"/>
  </cols>
  <sheetData>
    <row r="1" spans="1:64" ht="18">
      <c r="A1" s="75"/>
      <c r="B1" s="75"/>
      <c r="C1" s="75"/>
      <c r="D1" s="76">
        <f>AI144</f>
        <v>1710.0825</v>
      </c>
      <c r="E1" s="77"/>
      <c r="F1" s="75"/>
      <c r="G1" s="78">
        <f>COUNTA(G3:AB3)+COUNTBLANK(G3:AB3)</f>
        <v>22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5"/>
      <c r="AC1" s="75"/>
      <c r="AD1" s="75"/>
      <c r="AE1" s="75"/>
      <c r="AF1" s="78"/>
      <c r="AG1" s="78"/>
      <c r="AH1" s="78"/>
      <c r="AI1" s="79">
        <f>AI144</f>
        <v>1710.0825</v>
      </c>
      <c r="AM1" s="80">
        <f>COUNTA(AM3:BH3)+COUNTBLANK(AM3:BH3)</f>
        <v>22</v>
      </c>
    </row>
    <row r="2" spans="1:64" ht="18">
      <c r="A2" s="75"/>
      <c r="B2" s="75"/>
      <c r="C2" s="75"/>
      <c r="D2" s="76">
        <f>AI145</f>
        <v>1710.0825</v>
      </c>
      <c r="E2" s="77"/>
      <c r="F2" s="75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5"/>
      <c r="AC2" s="75"/>
      <c r="AD2" s="75"/>
      <c r="AE2" s="75"/>
      <c r="AF2" s="78"/>
      <c r="AG2" s="78"/>
      <c r="AH2" s="78"/>
      <c r="AI2" s="79">
        <f>AI145</f>
        <v>1710.0825</v>
      </c>
    </row>
    <row r="3" spans="1:64" ht="122.25" customHeight="1">
      <c r="A3" s="9" t="s">
        <v>46</v>
      </c>
      <c r="B3" s="81" t="s">
        <v>132</v>
      </c>
      <c r="C3" s="81" t="s">
        <v>4</v>
      </c>
      <c r="D3" s="82" t="s">
        <v>0</v>
      </c>
      <c r="E3" s="81" t="s">
        <v>1</v>
      </c>
      <c r="F3" s="83" t="s">
        <v>2</v>
      </c>
      <c r="G3" s="305" t="s">
        <v>358</v>
      </c>
      <c r="H3" s="84" t="s">
        <v>47</v>
      </c>
      <c r="I3" s="84" t="s">
        <v>48</v>
      </c>
      <c r="J3" s="84" t="s">
        <v>49</v>
      </c>
      <c r="K3" s="84" t="s">
        <v>50</v>
      </c>
      <c r="L3" s="84" t="s">
        <v>51</v>
      </c>
      <c r="M3" s="84" t="s">
        <v>52</v>
      </c>
      <c r="N3" s="84" t="s">
        <v>53</v>
      </c>
      <c r="O3" s="84" t="s">
        <v>54</v>
      </c>
      <c r="P3" s="84" t="s">
        <v>55</v>
      </c>
      <c r="Q3" s="84" t="s">
        <v>56</v>
      </c>
      <c r="R3" s="84" t="s">
        <v>57</v>
      </c>
      <c r="S3" s="84" t="s">
        <v>58</v>
      </c>
      <c r="T3" s="84" t="s">
        <v>59</v>
      </c>
      <c r="U3" s="84" t="s">
        <v>60</v>
      </c>
      <c r="V3" s="84" t="s">
        <v>61</v>
      </c>
      <c r="W3" s="84" t="s">
        <v>62</v>
      </c>
      <c r="X3" s="84" t="s">
        <v>63</v>
      </c>
      <c r="Y3" s="84" t="s">
        <v>64</v>
      </c>
      <c r="Z3" s="84" t="s">
        <v>65</v>
      </c>
      <c r="AA3" s="84" t="s">
        <v>66</v>
      </c>
      <c r="AB3" s="85" t="s">
        <v>12</v>
      </c>
      <c r="AC3" s="86" t="s">
        <v>7</v>
      </c>
      <c r="AD3" s="9" t="s">
        <v>8</v>
      </c>
      <c r="AE3" s="86" t="s">
        <v>9</v>
      </c>
      <c r="AF3" s="87" t="s">
        <v>2</v>
      </c>
      <c r="AG3" s="83" t="s">
        <v>11</v>
      </c>
      <c r="AH3" s="83" t="s">
        <v>35</v>
      </c>
      <c r="AI3" s="86" t="s">
        <v>3</v>
      </c>
      <c r="AJ3" s="81" t="s">
        <v>6</v>
      </c>
      <c r="AM3" s="123" t="str">
        <f t="shared" ref="AM3:BH3" si="0">G3</f>
        <v>Car Park Panels</v>
      </c>
      <c r="AN3" s="123" t="str">
        <f t="shared" si="0"/>
        <v>B</v>
      </c>
      <c r="AO3" s="123" t="str">
        <f t="shared" si="0"/>
        <v>C</v>
      </c>
      <c r="AP3" s="123" t="str">
        <f t="shared" si="0"/>
        <v>D</v>
      </c>
      <c r="AQ3" s="123" t="str">
        <f t="shared" si="0"/>
        <v>E</v>
      </c>
      <c r="AR3" s="123" t="str">
        <f t="shared" si="0"/>
        <v>F</v>
      </c>
      <c r="AS3" s="123" t="str">
        <f t="shared" si="0"/>
        <v>G</v>
      </c>
      <c r="AT3" s="123" t="str">
        <f t="shared" si="0"/>
        <v>H</v>
      </c>
      <c r="AU3" s="123" t="str">
        <f t="shared" si="0"/>
        <v>I</v>
      </c>
      <c r="AV3" s="123" t="str">
        <f t="shared" si="0"/>
        <v>J</v>
      </c>
      <c r="AW3" s="123" t="str">
        <f t="shared" si="0"/>
        <v>K</v>
      </c>
      <c r="AX3" s="123" t="str">
        <f t="shared" si="0"/>
        <v>L</v>
      </c>
      <c r="AY3" s="123" t="str">
        <f t="shared" si="0"/>
        <v>M</v>
      </c>
      <c r="AZ3" s="123" t="str">
        <f t="shared" si="0"/>
        <v>N</v>
      </c>
      <c r="BA3" s="123" t="str">
        <f t="shared" si="0"/>
        <v>O</v>
      </c>
      <c r="BB3" s="123" t="str">
        <f t="shared" si="0"/>
        <v>P</v>
      </c>
      <c r="BC3" s="123" t="str">
        <f t="shared" si="0"/>
        <v>Q</v>
      </c>
      <c r="BD3" s="123" t="str">
        <f t="shared" si="0"/>
        <v>R</v>
      </c>
      <c r="BE3" s="123" t="str">
        <f t="shared" si="0"/>
        <v>S</v>
      </c>
      <c r="BF3" s="123" t="str">
        <f t="shared" si="0"/>
        <v>T</v>
      </c>
      <c r="BG3" s="123" t="str">
        <f t="shared" si="0"/>
        <v>U</v>
      </c>
      <c r="BH3" s="123" t="str">
        <f t="shared" si="0"/>
        <v>--</v>
      </c>
    </row>
    <row r="4" spans="1:64">
      <c r="A4" s="88">
        <v>1</v>
      </c>
      <c r="B4" s="88"/>
      <c r="C4" s="75"/>
      <c r="D4" t="s">
        <v>354</v>
      </c>
      <c r="E4" t="s">
        <v>355</v>
      </c>
      <c r="F4" s="91">
        <v>68.06</v>
      </c>
      <c r="G4" s="92">
        <v>3</v>
      </c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3"/>
      <c r="AC4" s="94">
        <f t="shared" ref="AC4:AC35" si="1">SUM(G4:AB4)</f>
        <v>3</v>
      </c>
      <c r="AD4" s="95">
        <v>1</v>
      </c>
      <c r="AE4" s="94">
        <f t="shared" ref="AE4:AE121" si="2">ROUNDUP(AC4*AD4, 0)</f>
        <v>3</v>
      </c>
      <c r="AF4" s="96">
        <f t="shared" ref="AF4:AF35" si="3">F4</f>
        <v>68.06</v>
      </c>
      <c r="AG4" s="97">
        <v>0</v>
      </c>
      <c r="AH4" s="97">
        <v>0.05</v>
      </c>
      <c r="AI4" s="98">
        <f t="shared" ref="AI4:AI116" si="4">((AF4*(1+AG4))*(1+AH4))*AE4</f>
        <v>214.38900000000001</v>
      </c>
      <c r="AJ4" s="75"/>
      <c r="AM4" s="124">
        <f t="shared" ref="AM4:AM35" si="5">(($AF4*(1+$AG4))*(1+$AH4))*G4</f>
        <v>214.38900000000001</v>
      </c>
      <c r="AN4" s="124">
        <f t="shared" ref="AN4:AN35" si="6">(($AF4*(1+$AG4))*(1+$AH4))*H4</f>
        <v>0</v>
      </c>
      <c r="AO4" s="124">
        <f t="shared" ref="AO4:AO35" si="7">(($AF4*(1+$AG4))*(1+$AH4))*I4</f>
        <v>0</v>
      </c>
      <c r="AP4" s="124">
        <f t="shared" ref="AP4:AP35" si="8">(($AF4*(1+$AG4))*(1+$AH4))*J4</f>
        <v>0</v>
      </c>
      <c r="AQ4" s="124">
        <f t="shared" ref="AQ4:AQ35" si="9">(($AF4*(1+$AG4))*(1+$AH4))*K4</f>
        <v>0</v>
      </c>
      <c r="AR4" s="124">
        <f t="shared" ref="AR4:AR35" si="10">(($AF4*(1+$AG4))*(1+$AH4))*L4</f>
        <v>0</v>
      </c>
      <c r="AS4" s="124">
        <f t="shared" ref="AS4:AS35" si="11">(($AF4*(1+$AG4))*(1+$AH4))*M4</f>
        <v>0</v>
      </c>
      <c r="AT4" s="124">
        <f t="shared" ref="AT4:AT35" si="12">(($AF4*(1+$AG4))*(1+$AH4))*N4</f>
        <v>0</v>
      </c>
      <c r="AU4" s="124">
        <f t="shared" ref="AU4:AU35" si="13">(($AF4*(1+$AG4))*(1+$AH4))*O4</f>
        <v>0</v>
      </c>
      <c r="AV4" s="124">
        <f t="shared" ref="AV4:AV35" si="14">(($AF4*(1+$AG4))*(1+$AH4))*P4</f>
        <v>0</v>
      </c>
      <c r="AW4" s="124">
        <f t="shared" ref="AW4:AW35" si="15">(($AF4*(1+$AG4))*(1+$AH4))*Q4</f>
        <v>0</v>
      </c>
      <c r="AX4" s="124">
        <f t="shared" ref="AX4:AX35" si="16">(($AF4*(1+$AG4))*(1+$AH4))*R4</f>
        <v>0</v>
      </c>
      <c r="AY4" s="124">
        <f t="shared" ref="AY4:AY35" si="17">(($AF4*(1+$AG4))*(1+$AH4))*S4</f>
        <v>0</v>
      </c>
      <c r="AZ4" s="124">
        <f t="shared" ref="AZ4:AZ35" si="18">(($AF4*(1+$AG4))*(1+$AH4))*T4</f>
        <v>0</v>
      </c>
      <c r="BA4" s="124">
        <f t="shared" ref="BA4:BA35" si="19">(($AF4*(1+$AG4))*(1+$AH4))*U4</f>
        <v>0</v>
      </c>
      <c r="BB4" s="124">
        <f t="shared" ref="BB4:BB35" si="20">(($AF4*(1+$AG4))*(1+$AH4))*V4</f>
        <v>0</v>
      </c>
      <c r="BC4" s="124">
        <f t="shared" ref="BC4:BC35" si="21">(($AF4*(1+$AG4))*(1+$AH4))*W4</f>
        <v>0</v>
      </c>
      <c r="BD4" s="124">
        <f t="shared" ref="BD4:BD35" si="22">(($AF4*(1+$AG4))*(1+$AH4))*X4</f>
        <v>0</v>
      </c>
      <c r="BE4" s="124">
        <f t="shared" ref="BE4:BE35" si="23">(($AF4*(1+$AG4))*(1+$AH4))*Y4</f>
        <v>0</v>
      </c>
      <c r="BF4" s="124">
        <f t="shared" ref="BF4:BF35" si="24">(($AF4*(1+$AG4))*(1+$AH4))*Z4</f>
        <v>0</v>
      </c>
      <c r="BG4" s="124">
        <f t="shared" ref="BG4:BG35" si="25">(($AF4*(1+$AG4))*(1+$AH4))*AA4</f>
        <v>0</v>
      </c>
      <c r="BH4" s="124">
        <f t="shared" ref="BH4:BH35" si="26">(($AF4*(1+$AG4))*(1+$AH4))*AB4</f>
        <v>0</v>
      </c>
      <c r="BJ4" s="121">
        <f t="shared" ref="BJ4:BJ35" si="27">SUM(AM4:BH4)</f>
        <v>214.38900000000001</v>
      </c>
      <c r="BK4" s="122" t="b">
        <f t="shared" ref="BK4:BK35" si="28">EXACT(BJ4,AI4)</f>
        <v>1</v>
      </c>
      <c r="BL4" s="121">
        <f t="shared" ref="BL4:BL35" si="29">BJ4-AI4</f>
        <v>0</v>
      </c>
    </row>
    <row r="5" spans="1:64">
      <c r="A5" s="88">
        <v>2</v>
      </c>
      <c r="B5" s="88"/>
      <c r="C5" s="75"/>
      <c r="D5" t="s">
        <v>356</v>
      </c>
      <c r="E5" t="s">
        <v>357</v>
      </c>
      <c r="F5" s="91">
        <v>125.49</v>
      </c>
      <c r="G5" s="92">
        <v>3</v>
      </c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3"/>
      <c r="AC5" s="94">
        <f t="shared" si="1"/>
        <v>3</v>
      </c>
      <c r="AD5" s="95">
        <v>1</v>
      </c>
      <c r="AE5" s="94">
        <f t="shared" si="2"/>
        <v>3</v>
      </c>
      <c r="AF5" s="96">
        <f t="shared" si="3"/>
        <v>125.49</v>
      </c>
      <c r="AG5" s="97">
        <v>0</v>
      </c>
      <c r="AH5" s="97">
        <v>0.05</v>
      </c>
      <c r="AI5" s="98">
        <f t="shared" si="4"/>
        <v>395.29349999999999</v>
      </c>
      <c r="AJ5" s="75"/>
      <c r="AM5" s="124">
        <f t="shared" si="5"/>
        <v>395.29349999999999</v>
      </c>
      <c r="AN5" s="124">
        <f t="shared" si="6"/>
        <v>0</v>
      </c>
      <c r="AO5" s="124">
        <f t="shared" si="7"/>
        <v>0</v>
      </c>
      <c r="AP5" s="124">
        <f t="shared" si="8"/>
        <v>0</v>
      </c>
      <c r="AQ5" s="124">
        <f t="shared" si="9"/>
        <v>0</v>
      </c>
      <c r="AR5" s="124">
        <f t="shared" si="10"/>
        <v>0</v>
      </c>
      <c r="AS5" s="124">
        <f t="shared" si="11"/>
        <v>0</v>
      </c>
      <c r="AT5" s="124">
        <f t="shared" si="12"/>
        <v>0</v>
      </c>
      <c r="AU5" s="124">
        <f t="shared" si="13"/>
        <v>0</v>
      </c>
      <c r="AV5" s="124">
        <f t="shared" si="14"/>
        <v>0</v>
      </c>
      <c r="AW5" s="124">
        <f t="shared" si="15"/>
        <v>0</v>
      </c>
      <c r="AX5" s="124">
        <f t="shared" si="16"/>
        <v>0</v>
      </c>
      <c r="AY5" s="124">
        <f t="shared" si="17"/>
        <v>0</v>
      </c>
      <c r="AZ5" s="124">
        <f t="shared" si="18"/>
        <v>0</v>
      </c>
      <c r="BA5" s="124">
        <f t="shared" si="19"/>
        <v>0</v>
      </c>
      <c r="BB5" s="124">
        <f t="shared" si="20"/>
        <v>0</v>
      </c>
      <c r="BC5" s="124">
        <f t="shared" si="21"/>
        <v>0</v>
      </c>
      <c r="BD5" s="124">
        <f t="shared" si="22"/>
        <v>0</v>
      </c>
      <c r="BE5" s="124">
        <f t="shared" si="23"/>
        <v>0</v>
      </c>
      <c r="BF5" s="124">
        <f t="shared" si="24"/>
        <v>0</v>
      </c>
      <c r="BG5" s="124">
        <f t="shared" si="25"/>
        <v>0</v>
      </c>
      <c r="BH5" s="124">
        <f t="shared" si="26"/>
        <v>0</v>
      </c>
      <c r="BJ5" s="121">
        <f t="shared" si="27"/>
        <v>395.29349999999999</v>
      </c>
      <c r="BK5" s="122" t="b">
        <f t="shared" si="28"/>
        <v>1</v>
      </c>
      <c r="BL5" s="121">
        <f t="shared" si="29"/>
        <v>0</v>
      </c>
    </row>
    <row r="6" spans="1:64">
      <c r="A6" s="88">
        <v>3</v>
      </c>
      <c r="B6" s="88"/>
      <c r="C6" s="75"/>
      <c r="D6" t="s">
        <v>359</v>
      </c>
      <c r="E6" t="s">
        <v>360</v>
      </c>
      <c r="F6" s="91">
        <v>108</v>
      </c>
      <c r="G6" s="92">
        <v>6</v>
      </c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>
        <f t="shared" si="1"/>
        <v>6</v>
      </c>
      <c r="AD6" s="95">
        <v>1</v>
      </c>
      <c r="AE6" s="94">
        <f t="shared" si="2"/>
        <v>6</v>
      </c>
      <c r="AF6" s="96">
        <f t="shared" si="3"/>
        <v>108</v>
      </c>
      <c r="AG6" s="97">
        <v>0</v>
      </c>
      <c r="AH6" s="97">
        <v>0.05</v>
      </c>
      <c r="AI6" s="98">
        <f t="shared" si="4"/>
        <v>680.40000000000009</v>
      </c>
      <c r="AJ6" s="75"/>
      <c r="AM6" s="124">
        <f t="shared" si="5"/>
        <v>680.40000000000009</v>
      </c>
      <c r="AN6" s="124">
        <f t="shared" si="6"/>
        <v>0</v>
      </c>
      <c r="AO6" s="124">
        <f t="shared" si="7"/>
        <v>0</v>
      </c>
      <c r="AP6" s="124">
        <f t="shared" si="8"/>
        <v>0</v>
      </c>
      <c r="AQ6" s="124">
        <f t="shared" si="9"/>
        <v>0</v>
      </c>
      <c r="AR6" s="124">
        <f t="shared" si="10"/>
        <v>0</v>
      </c>
      <c r="AS6" s="124">
        <f t="shared" si="11"/>
        <v>0</v>
      </c>
      <c r="AT6" s="124">
        <f t="shared" si="12"/>
        <v>0</v>
      </c>
      <c r="AU6" s="124">
        <f t="shared" si="13"/>
        <v>0</v>
      </c>
      <c r="AV6" s="124">
        <f t="shared" si="14"/>
        <v>0</v>
      </c>
      <c r="AW6" s="124">
        <f t="shared" si="15"/>
        <v>0</v>
      </c>
      <c r="AX6" s="124">
        <f t="shared" si="16"/>
        <v>0</v>
      </c>
      <c r="AY6" s="124">
        <f t="shared" si="17"/>
        <v>0</v>
      </c>
      <c r="AZ6" s="124">
        <f t="shared" si="18"/>
        <v>0</v>
      </c>
      <c r="BA6" s="124">
        <f t="shared" si="19"/>
        <v>0</v>
      </c>
      <c r="BB6" s="124">
        <f t="shared" si="20"/>
        <v>0</v>
      </c>
      <c r="BC6" s="124">
        <f t="shared" si="21"/>
        <v>0</v>
      </c>
      <c r="BD6" s="124">
        <f t="shared" si="22"/>
        <v>0</v>
      </c>
      <c r="BE6" s="124">
        <f t="shared" si="23"/>
        <v>0</v>
      </c>
      <c r="BF6" s="124">
        <f t="shared" si="24"/>
        <v>0</v>
      </c>
      <c r="BG6" s="124">
        <f t="shared" si="25"/>
        <v>0</v>
      </c>
      <c r="BH6" s="124">
        <f t="shared" si="26"/>
        <v>0</v>
      </c>
      <c r="BJ6" s="121">
        <f t="shared" si="27"/>
        <v>680.40000000000009</v>
      </c>
      <c r="BK6" s="122" t="b">
        <f t="shared" si="28"/>
        <v>1</v>
      </c>
      <c r="BL6" s="121">
        <f t="shared" si="29"/>
        <v>0</v>
      </c>
    </row>
    <row r="7" spans="1:64">
      <c r="A7" s="88">
        <v>4</v>
      </c>
      <c r="B7" s="88"/>
      <c r="C7" s="75"/>
      <c r="D7" s="89" t="s">
        <v>361</v>
      </c>
      <c r="E7" s="90"/>
      <c r="F7" s="91">
        <v>100</v>
      </c>
      <c r="G7" s="92">
        <v>1</v>
      </c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3"/>
      <c r="AC7" s="94">
        <f t="shared" si="1"/>
        <v>1</v>
      </c>
      <c r="AD7" s="95">
        <v>1</v>
      </c>
      <c r="AE7" s="94">
        <f t="shared" si="2"/>
        <v>1</v>
      </c>
      <c r="AF7" s="96">
        <f t="shared" si="3"/>
        <v>100</v>
      </c>
      <c r="AG7" s="97">
        <v>0</v>
      </c>
      <c r="AH7" s="97">
        <v>0.05</v>
      </c>
      <c r="AI7" s="98">
        <f t="shared" si="4"/>
        <v>105</v>
      </c>
      <c r="AJ7" s="75"/>
      <c r="AM7" s="124">
        <f t="shared" si="5"/>
        <v>105</v>
      </c>
      <c r="AN7" s="124">
        <f t="shared" si="6"/>
        <v>0</v>
      </c>
      <c r="AO7" s="124">
        <f t="shared" si="7"/>
        <v>0</v>
      </c>
      <c r="AP7" s="124">
        <f t="shared" si="8"/>
        <v>0</v>
      </c>
      <c r="AQ7" s="124">
        <f t="shared" si="9"/>
        <v>0</v>
      </c>
      <c r="AR7" s="124">
        <f t="shared" si="10"/>
        <v>0</v>
      </c>
      <c r="AS7" s="124">
        <f t="shared" si="11"/>
        <v>0</v>
      </c>
      <c r="AT7" s="124">
        <f t="shared" si="12"/>
        <v>0</v>
      </c>
      <c r="AU7" s="124">
        <f t="shared" si="13"/>
        <v>0</v>
      </c>
      <c r="AV7" s="124">
        <f t="shared" si="14"/>
        <v>0</v>
      </c>
      <c r="AW7" s="124">
        <f t="shared" si="15"/>
        <v>0</v>
      </c>
      <c r="AX7" s="124">
        <f t="shared" si="16"/>
        <v>0</v>
      </c>
      <c r="AY7" s="124">
        <f t="shared" si="17"/>
        <v>0</v>
      </c>
      <c r="AZ7" s="124">
        <f t="shared" si="18"/>
        <v>0</v>
      </c>
      <c r="BA7" s="124">
        <f t="shared" si="19"/>
        <v>0</v>
      </c>
      <c r="BB7" s="124">
        <f t="shared" si="20"/>
        <v>0</v>
      </c>
      <c r="BC7" s="124">
        <f t="shared" si="21"/>
        <v>0</v>
      </c>
      <c r="BD7" s="124">
        <f t="shared" si="22"/>
        <v>0</v>
      </c>
      <c r="BE7" s="124">
        <f t="shared" si="23"/>
        <v>0</v>
      </c>
      <c r="BF7" s="124">
        <f t="shared" si="24"/>
        <v>0</v>
      </c>
      <c r="BG7" s="124">
        <f t="shared" si="25"/>
        <v>0</v>
      </c>
      <c r="BH7" s="124">
        <f t="shared" si="26"/>
        <v>0</v>
      </c>
      <c r="BJ7" s="121">
        <f t="shared" si="27"/>
        <v>105</v>
      </c>
      <c r="BK7" s="122" t="b">
        <f t="shared" si="28"/>
        <v>1</v>
      </c>
      <c r="BL7" s="121">
        <f t="shared" si="29"/>
        <v>0</v>
      </c>
    </row>
    <row r="8" spans="1:64">
      <c r="A8" s="88">
        <v>5</v>
      </c>
      <c r="B8" s="88"/>
      <c r="C8" s="75"/>
      <c r="D8" s="89"/>
      <c r="E8" s="90" t="s">
        <v>362</v>
      </c>
      <c r="F8" s="91">
        <v>300</v>
      </c>
      <c r="G8" s="92">
        <v>1</v>
      </c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3"/>
      <c r="AC8" s="94">
        <f t="shared" si="1"/>
        <v>1</v>
      </c>
      <c r="AD8" s="95">
        <v>1</v>
      </c>
      <c r="AE8" s="94">
        <f t="shared" si="2"/>
        <v>1</v>
      </c>
      <c r="AF8" s="96">
        <f t="shared" si="3"/>
        <v>300</v>
      </c>
      <c r="AG8" s="97">
        <v>0</v>
      </c>
      <c r="AH8" s="97">
        <v>0.05</v>
      </c>
      <c r="AI8" s="98">
        <f t="shared" si="4"/>
        <v>315</v>
      </c>
      <c r="AJ8" s="75"/>
      <c r="AM8" s="124">
        <f t="shared" si="5"/>
        <v>315</v>
      </c>
      <c r="AN8" s="124">
        <f t="shared" si="6"/>
        <v>0</v>
      </c>
      <c r="AO8" s="124">
        <f t="shared" si="7"/>
        <v>0</v>
      </c>
      <c r="AP8" s="124">
        <f t="shared" si="8"/>
        <v>0</v>
      </c>
      <c r="AQ8" s="124">
        <f t="shared" si="9"/>
        <v>0</v>
      </c>
      <c r="AR8" s="124">
        <f t="shared" si="10"/>
        <v>0</v>
      </c>
      <c r="AS8" s="124">
        <f t="shared" si="11"/>
        <v>0</v>
      </c>
      <c r="AT8" s="124">
        <f t="shared" si="12"/>
        <v>0</v>
      </c>
      <c r="AU8" s="124">
        <f t="shared" si="13"/>
        <v>0</v>
      </c>
      <c r="AV8" s="124">
        <f t="shared" si="14"/>
        <v>0</v>
      </c>
      <c r="AW8" s="124">
        <f t="shared" si="15"/>
        <v>0</v>
      </c>
      <c r="AX8" s="124">
        <f t="shared" si="16"/>
        <v>0</v>
      </c>
      <c r="AY8" s="124">
        <f t="shared" si="17"/>
        <v>0</v>
      </c>
      <c r="AZ8" s="124">
        <f t="shared" si="18"/>
        <v>0</v>
      </c>
      <c r="BA8" s="124">
        <f t="shared" si="19"/>
        <v>0</v>
      </c>
      <c r="BB8" s="124">
        <f t="shared" si="20"/>
        <v>0</v>
      </c>
      <c r="BC8" s="124">
        <f t="shared" si="21"/>
        <v>0</v>
      </c>
      <c r="BD8" s="124">
        <f t="shared" si="22"/>
        <v>0</v>
      </c>
      <c r="BE8" s="124">
        <f t="shared" si="23"/>
        <v>0</v>
      </c>
      <c r="BF8" s="124">
        <f t="shared" si="24"/>
        <v>0</v>
      </c>
      <c r="BG8" s="124">
        <f t="shared" si="25"/>
        <v>0</v>
      </c>
      <c r="BH8" s="124">
        <f t="shared" si="26"/>
        <v>0</v>
      </c>
      <c r="BJ8" s="121">
        <f t="shared" si="27"/>
        <v>315</v>
      </c>
      <c r="BK8" s="122" t="b">
        <f t="shared" si="28"/>
        <v>1</v>
      </c>
      <c r="BL8" s="121">
        <f t="shared" si="29"/>
        <v>0</v>
      </c>
    </row>
    <row r="9" spans="1:64">
      <c r="A9" s="88">
        <v>6</v>
      </c>
      <c r="B9" s="88"/>
      <c r="C9" s="75"/>
      <c r="D9" s="89"/>
      <c r="E9" s="90"/>
      <c r="F9" s="91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3"/>
      <c r="AC9" s="94">
        <f t="shared" si="1"/>
        <v>0</v>
      </c>
      <c r="AD9" s="95">
        <v>1</v>
      </c>
      <c r="AE9" s="94">
        <f t="shared" si="2"/>
        <v>0</v>
      </c>
      <c r="AF9" s="96">
        <f t="shared" si="3"/>
        <v>0</v>
      </c>
      <c r="AG9" s="97">
        <v>0</v>
      </c>
      <c r="AH9" s="97">
        <v>0.05</v>
      </c>
      <c r="AI9" s="98">
        <f t="shared" si="4"/>
        <v>0</v>
      </c>
      <c r="AJ9" s="75"/>
      <c r="AM9" s="124">
        <f t="shared" si="5"/>
        <v>0</v>
      </c>
      <c r="AN9" s="124">
        <f t="shared" si="6"/>
        <v>0</v>
      </c>
      <c r="AO9" s="124">
        <f t="shared" si="7"/>
        <v>0</v>
      </c>
      <c r="AP9" s="124">
        <f t="shared" si="8"/>
        <v>0</v>
      </c>
      <c r="AQ9" s="124">
        <f t="shared" si="9"/>
        <v>0</v>
      </c>
      <c r="AR9" s="124">
        <f t="shared" si="10"/>
        <v>0</v>
      </c>
      <c r="AS9" s="124">
        <f t="shared" si="11"/>
        <v>0</v>
      </c>
      <c r="AT9" s="124">
        <f t="shared" si="12"/>
        <v>0</v>
      </c>
      <c r="AU9" s="124">
        <f t="shared" si="13"/>
        <v>0</v>
      </c>
      <c r="AV9" s="124">
        <f t="shared" si="14"/>
        <v>0</v>
      </c>
      <c r="AW9" s="124">
        <f t="shared" si="15"/>
        <v>0</v>
      </c>
      <c r="AX9" s="124">
        <f t="shared" si="16"/>
        <v>0</v>
      </c>
      <c r="AY9" s="124">
        <f t="shared" si="17"/>
        <v>0</v>
      </c>
      <c r="AZ9" s="124">
        <f t="shared" si="18"/>
        <v>0</v>
      </c>
      <c r="BA9" s="124">
        <f t="shared" si="19"/>
        <v>0</v>
      </c>
      <c r="BB9" s="124">
        <f t="shared" si="20"/>
        <v>0</v>
      </c>
      <c r="BC9" s="124">
        <f t="shared" si="21"/>
        <v>0</v>
      </c>
      <c r="BD9" s="124">
        <f t="shared" si="22"/>
        <v>0</v>
      </c>
      <c r="BE9" s="124">
        <f t="shared" si="23"/>
        <v>0</v>
      </c>
      <c r="BF9" s="124">
        <f t="shared" si="24"/>
        <v>0</v>
      </c>
      <c r="BG9" s="124">
        <f t="shared" si="25"/>
        <v>0</v>
      </c>
      <c r="BH9" s="124">
        <f t="shared" si="26"/>
        <v>0</v>
      </c>
      <c r="BJ9" s="121">
        <f t="shared" si="27"/>
        <v>0</v>
      </c>
      <c r="BK9" s="122" t="b">
        <f t="shared" si="28"/>
        <v>1</v>
      </c>
      <c r="BL9" s="121">
        <f t="shared" si="29"/>
        <v>0</v>
      </c>
    </row>
    <row r="10" spans="1:64">
      <c r="A10" s="88">
        <v>7</v>
      </c>
      <c r="B10" s="88"/>
      <c r="C10" s="75"/>
      <c r="D10" s="89"/>
      <c r="E10" s="90"/>
      <c r="F10" s="91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3"/>
      <c r="AC10" s="94">
        <f t="shared" si="1"/>
        <v>0</v>
      </c>
      <c r="AD10" s="95">
        <v>1</v>
      </c>
      <c r="AE10" s="94">
        <f t="shared" si="2"/>
        <v>0</v>
      </c>
      <c r="AF10" s="96">
        <f t="shared" si="3"/>
        <v>0</v>
      </c>
      <c r="AG10" s="97">
        <v>0</v>
      </c>
      <c r="AH10" s="97">
        <v>0.05</v>
      </c>
      <c r="AI10" s="98">
        <f t="shared" si="4"/>
        <v>0</v>
      </c>
      <c r="AJ10" s="75"/>
      <c r="AM10" s="124">
        <f t="shared" si="5"/>
        <v>0</v>
      </c>
      <c r="AN10" s="124">
        <f t="shared" si="6"/>
        <v>0</v>
      </c>
      <c r="AO10" s="124">
        <f t="shared" si="7"/>
        <v>0</v>
      </c>
      <c r="AP10" s="124">
        <f t="shared" si="8"/>
        <v>0</v>
      </c>
      <c r="AQ10" s="124">
        <f t="shared" si="9"/>
        <v>0</v>
      </c>
      <c r="AR10" s="124">
        <f t="shared" si="10"/>
        <v>0</v>
      </c>
      <c r="AS10" s="124">
        <f t="shared" si="11"/>
        <v>0</v>
      </c>
      <c r="AT10" s="124">
        <f t="shared" si="12"/>
        <v>0</v>
      </c>
      <c r="AU10" s="124">
        <f t="shared" si="13"/>
        <v>0</v>
      </c>
      <c r="AV10" s="124">
        <f t="shared" si="14"/>
        <v>0</v>
      </c>
      <c r="AW10" s="124">
        <f t="shared" si="15"/>
        <v>0</v>
      </c>
      <c r="AX10" s="124">
        <f t="shared" si="16"/>
        <v>0</v>
      </c>
      <c r="AY10" s="124">
        <f t="shared" si="17"/>
        <v>0</v>
      </c>
      <c r="AZ10" s="124">
        <f t="shared" si="18"/>
        <v>0</v>
      </c>
      <c r="BA10" s="124">
        <f t="shared" si="19"/>
        <v>0</v>
      </c>
      <c r="BB10" s="124">
        <f t="shared" si="20"/>
        <v>0</v>
      </c>
      <c r="BC10" s="124">
        <f t="shared" si="21"/>
        <v>0</v>
      </c>
      <c r="BD10" s="124">
        <f t="shared" si="22"/>
        <v>0</v>
      </c>
      <c r="BE10" s="124">
        <f t="shared" si="23"/>
        <v>0</v>
      </c>
      <c r="BF10" s="124">
        <f t="shared" si="24"/>
        <v>0</v>
      </c>
      <c r="BG10" s="124">
        <f t="shared" si="25"/>
        <v>0</v>
      </c>
      <c r="BH10" s="124">
        <f t="shared" si="26"/>
        <v>0</v>
      </c>
      <c r="BJ10" s="121">
        <f t="shared" si="27"/>
        <v>0</v>
      </c>
      <c r="BK10" s="122" t="b">
        <f t="shared" si="28"/>
        <v>1</v>
      </c>
      <c r="BL10" s="121">
        <f t="shared" si="29"/>
        <v>0</v>
      </c>
    </row>
    <row r="11" spans="1:64">
      <c r="A11" s="88">
        <v>8</v>
      </c>
      <c r="B11" s="88"/>
      <c r="C11" s="75"/>
      <c r="D11" s="89"/>
      <c r="E11" s="90"/>
      <c r="F11" s="91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3"/>
      <c r="AC11" s="94">
        <f t="shared" si="1"/>
        <v>0</v>
      </c>
      <c r="AD11" s="95">
        <v>1</v>
      </c>
      <c r="AE11" s="94">
        <f t="shared" si="2"/>
        <v>0</v>
      </c>
      <c r="AF11" s="96">
        <f t="shared" si="3"/>
        <v>0</v>
      </c>
      <c r="AG11" s="97">
        <v>0</v>
      </c>
      <c r="AH11" s="97">
        <v>0.05</v>
      </c>
      <c r="AI11" s="98">
        <f t="shared" si="4"/>
        <v>0</v>
      </c>
      <c r="AJ11" s="75"/>
      <c r="AM11" s="124">
        <f t="shared" si="5"/>
        <v>0</v>
      </c>
      <c r="AN11" s="124">
        <f t="shared" si="6"/>
        <v>0</v>
      </c>
      <c r="AO11" s="124">
        <f t="shared" si="7"/>
        <v>0</v>
      </c>
      <c r="AP11" s="124">
        <f t="shared" si="8"/>
        <v>0</v>
      </c>
      <c r="AQ11" s="124">
        <f t="shared" si="9"/>
        <v>0</v>
      </c>
      <c r="AR11" s="124">
        <f t="shared" si="10"/>
        <v>0</v>
      </c>
      <c r="AS11" s="124">
        <f t="shared" si="11"/>
        <v>0</v>
      </c>
      <c r="AT11" s="124">
        <f t="shared" si="12"/>
        <v>0</v>
      </c>
      <c r="AU11" s="124">
        <f t="shared" si="13"/>
        <v>0</v>
      </c>
      <c r="AV11" s="124">
        <f t="shared" si="14"/>
        <v>0</v>
      </c>
      <c r="AW11" s="124">
        <f t="shared" si="15"/>
        <v>0</v>
      </c>
      <c r="AX11" s="124">
        <f t="shared" si="16"/>
        <v>0</v>
      </c>
      <c r="AY11" s="124">
        <f t="shared" si="17"/>
        <v>0</v>
      </c>
      <c r="AZ11" s="124">
        <f t="shared" si="18"/>
        <v>0</v>
      </c>
      <c r="BA11" s="124">
        <f t="shared" si="19"/>
        <v>0</v>
      </c>
      <c r="BB11" s="124">
        <f t="shared" si="20"/>
        <v>0</v>
      </c>
      <c r="BC11" s="124">
        <f t="shared" si="21"/>
        <v>0</v>
      </c>
      <c r="BD11" s="124">
        <f t="shared" si="22"/>
        <v>0</v>
      </c>
      <c r="BE11" s="124">
        <f t="shared" si="23"/>
        <v>0</v>
      </c>
      <c r="BF11" s="124">
        <f t="shared" si="24"/>
        <v>0</v>
      </c>
      <c r="BG11" s="124">
        <f t="shared" si="25"/>
        <v>0</v>
      </c>
      <c r="BH11" s="124">
        <f t="shared" si="26"/>
        <v>0</v>
      </c>
      <c r="BJ11" s="121">
        <f t="shared" si="27"/>
        <v>0</v>
      </c>
      <c r="BK11" s="122" t="b">
        <f t="shared" si="28"/>
        <v>1</v>
      </c>
      <c r="BL11" s="121">
        <f t="shared" si="29"/>
        <v>0</v>
      </c>
    </row>
    <row r="12" spans="1:64">
      <c r="A12" s="88">
        <v>9</v>
      </c>
      <c r="B12" s="88"/>
      <c r="C12" s="75"/>
      <c r="D12" s="89"/>
      <c r="E12" s="90"/>
      <c r="F12" s="91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3"/>
      <c r="AC12" s="94">
        <f t="shared" si="1"/>
        <v>0</v>
      </c>
      <c r="AD12" s="95">
        <v>1</v>
      </c>
      <c r="AE12" s="94">
        <f t="shared" si="2"/>
        <v>0</v>
      </c>
      <c r="AF12" s="96">
        <f t="shared" si="3"/>
        <v>0</v>
      </c>
      <c r="AG12" s="97">
        <v>0</v>
      </c>
      <c r="AH12" s="97">
        <v>0.05</v>
      </c>
      <c r="AI12" s="98">
        <f t="shared" si="4"/>
        <v>0</v>
      </c>
      <c r="AJ12" s="75"/>
      <c r="AM12" s="124">
        <f t="shared" si="5"/>
        <v>0</v>
      </c>
      <c r="AN12" s="124">
        <f t="shared" si="6"/>
        <v>0</v>
      </c>
      <c r="AO12" s="124">
        <f t="shared" si="7"/>
        <v>0</v>
      </c>
      <c r="AP12" s="124">
        <f t="shared" si="8"/>
        <v>0</v>
      </c>
      <c r="AQ12" s="124">
        <f t="shared" si="9"/>
        <v>0</v>
      </c>
      <c r="AR12" s="124">
        <f t="shared" si="10"/>
        <v>0</v>
      </c>
      <c r="AS12" s="124">
        <f t="shared" si="11"/>
        <v>0</v>
      </c>
      <c r="AT12" s="124">
        <f t="shared" si="12"/>
        <v>0</v>
      </c>
      <c r="AU12" s="124">
        <f t="shared" si="13"/>
        <v>0</v>
      </c>
      <c r="AV12" s="124">
        <f t="shared" si="14"/>
        <v>0</v>
      </c>
      <c r="AW12" s="124">
        <f t="shared" si="15"/>
        <v>0</v>
      </c>
      <c r="AX12" s="124">
        <f t="shared" si="16"/>
        <v>0</v>
      </c>
      <c r="AY12" s="124">
        <f t="shared" si="17"/>
        <v>0</v>
      </c>
      <c r="AZ12" s="124">
        <f t="shared" si="18"/>
        <v>0</v>
      </c>
      <c r="BA12" s="124">
        <f t="shared" si="19"/>
        <v>0</v>
      </c>
      <c r="BB12" s="124">
        <f t="shared" si="20"/>
        <v>0</v>
      </c>
      <c r="BC12" s="124">
        <f t="shared" si="21"/>
        <v>0</v>
      </c>
      <c r="BD12" s="124">
        <f t="shared" si="22"/>
        <v>0</v>
      </c>
      <c r="BE12" s="124">
        <f t="shared" si="23"/>
        <v>0</v>
      </c>
      <c r="BF12" s="124">
        <f t="shared" si="24"/>
        <v>0</v>
      </c>
      <c r="BG12" s="124">
        <f t="shared" si="25"/>
        <v>0</v>
      </c>
      <c r="BH12" s="124">
        <f t="shared" si="26"/>
        <v>0</v>
      </c>
      <c r="BJ12" s="121">
        <f t="shared" si="27"/>
        <v>0</v>
      </c>
      <c r="BK12" s="122" t="b">
        <f t="shared" si="28"/>
        <v>1</v>
      </c>
      <c r="BL12" s="121">
        <f t="shared" si="29"/>
        <v>0</v>
      </c>
    </row>
    <row r="13" spans="1:64">
      <c r="A13" s="88">
        <v>10</v>
      </c>
      <c r="B13" s="88"/>
      <c r="C13" s="75"/>
      <c r="D13" s="89"/>
      <c r="E13" s="90"/>
      <c r="F13" s="91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3"/>
      <c r="AC13" s="94">
        <f t="shared" si="1"/>
        <v>0</v>
      </c>
      <c r="AD13" s="95">
        <v>1</v>
      </c>
      <c r="AE13" s="94">
        <f t="shared" si="2"/>
        <v>0</v>
      </c>
      <c r="AF13" s="96">
        <f t="shared" si="3"/>
        <v>0</v>
      </c>
      <c r="AG13" s="97">
        <v>0</v>
      </c>
      <c r="AH13" s="97">
        <v>0.05</v>
      </c>
      <c r="AI13" s="98">
        <f t="shared" si="4"/>
        <v>0</v>
      </c>
      <c r="AJ13" s="75"/>
      <c r="AM13" s="124">
        <f t="shared" si="5"/>
        <v>0</v>
      </c>
      <c r="AN13" s="124">
        <f t="shared" si="6"/>
        <v>0</v>
      </c>
      <c r="AO13" s="124">
        <f t="shared" si="7"/>
        <v>0</v>
      </c>
      <c r="AP13" s="124">
        <f t="shared" si="8"/>
        <v>0</v>
      </c>
      <c r="AQ13" s="124">
        <f t="shared" si="9"/>
        <v>0</v>
      </c>
      <c r="AR13" s="124">
        <f t="shared" si="10"/>
        <v>0</v>
      </c>
      <c r="AS13" s="124">
        <f t="shared" si="11"/>
        <v>0</v>
      </c>
      <c r="AT13" s="124">
        <f t="shared" si="12"/>
        <v>0</v>
      </c>
      <c r="AU13" s="124">
        <f t="shared" si="13"/>
        <v>0</v>
      </c>
      <c r="AV13" s="124">
        <f t="shared" si="14"/>
        <v>0</v>
      </c>
      <c r="AW13" s="124">
        <f t="shared" si="15"/>
        <v>0</v>
      </c>
      <c r="AX13" s="124">
        <f t="shared" si="16"/>
        <v>0</v>
      </c>
      <c r="AY13" s="124">
        <f t="shared" si="17"/>
        <v>0</v>
      </c>
      <c r="AZ13" s="124">
        <f t="shared" si="18"/>
        <v>0</v>
      </c>
      <c r="BA13" s="124">
        <f t="shared" si="19"/>
        <v>0</v>
      </c>
      <c r="BB13" s="124">
        <f t="shared" si="20"/>
        <v>0</v>
      </c>
      <c r="BC13" s="124">
        <f t="shared" si="21"/>
        <v>0</v>
      </c>
      <c r="BD13" s="124">
        <f t="shared" si="22"/>
        <v>0</v>
      </c>
      <c r="BE13" s="124">
        <f t="shared" si="23"/>
        <v>0</v>
      </c>
      <c r="BF13" s="124">
        <f t="shared" si="24"/>
        <v>0</v>
      </c>
      <c r="BG13" s="124">
        <f t="shared" si="25"/>
        <v>0</v>
      </c>
      <c r="BH13" s="124">
        <f t="shared" si="26"/>
        <v>0</v>
      </c>
      <c r="BJ13" s="121">
        <f t="shared" si="27"/>
        <v>0</v>
      </c>
      <c r="BK13" s="122" t="b">
        <f t="shared" si="28"/>
        <v>1</v>
      </c>
      <c r="BL13" s="121">
        <f t="shared" si="29"/>
        <v>0</v>
      </c>
    </row>
    <row r="14" spans="1:64">
      <c r="A14" s="88">
        <v>11</v>
      </c>
      <c r="B14" s="88"/>
      <c r="C14" s="75"/>
      <c r="D14" s="89"/>
      <c r="E14" s="90"/>
      <c r="F14" s="91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3"/>
      <c r="AC14" s="94">
        <f t="shared" si="1"/>
        <v>0</v>
      </c>
      <c r="AD14" s="95">
        <v>1</v>
      </c>
      <c r="AE14" s="94">
        <f t="shared" si="2"/>
        <v>0</v>
      </c>
      <c r="AF14" s="96">
        <f t="shared" si="3"/>
        <v>0</v>
      </c>
      <c r="AG14" s="97">
        <v>0</v>
      </c>
      <c r="AH14" s="97">
        <v>0.05</v>
      </c>
      <c r="AI14" s="98">
        <f t="shared" si="4"/>
        <v>0</v>
      </c>
      <c r="AJ14" s="75"/>
      <c r="AM14" s="124">
        <f t="shared" si="5"/>
        <v>0</v>
      </c>
      <c r="AN14" s="124">
        <f t="shared" si="6"/>
        <v>0</v>
      </c>
      <c r="AO14" s="124">
        <f t="shared" si="7"/>
        <v>0</v>
      </c>
      <c r="AP14" s="124">
        <f t="shared" si="8"/>
        <v>0</v>
      </c>
      <c r="AQ14" s="124">
        <f t="shared" si="9"/>
        <v>0</v>
      </c>
      <c r="AR14" s="124">
        <f t="shared" si="10"/>
        <v>0</v>
      </c>
      <c r="AS14" s="124">
        <f t="shared" si="11"/>
        <v>0</v>
      </c>
      <c r="AT14" s="124">
        <f t="shared" si="12"/>
        <v>0</v>
      </c>
      <c r="AU14" s="124">
        <f t="shared" si="13"/>
        <v>0</v>
      </c>
      <c r="AV14" s="124">
        <f t="shared" si="14"/>
        <v>0</v>
      </c>
      <c r="AW14" s="124">
        <f t="shared" si="15"/>
        <v>0</v>
      </c>
      <c r="AX14" s="124">
        <f t="shared" si="16"/>
        <v>0</v>
      </c>
      <c r="AY14" s="124">
        <f t="shared" si="17"/>
        <v>0</v>
      </c>
      <c r="AZ14" s="124">
        <f t="shared" si="18"/>
        <v>0</v>
      </c>
      <c r="BA14" s="124">
        <f t="shared" si="19"/>
        <v>0</v>
      </c>
      <c r="BB14" s="124">
        <f t="shared" si="20"/>
        <v>0</v>
      </c>
      <c r="BC14" s="124">
        <f t="shared" si="21"/>
        <v>0</v>
      </c>
      <c r="BD14" s="124">
        <f t="shared" si="22"/>
        <v>0</v>
      </c>
      <c r="BE14" s="124">
        <f t="shared" si="23"/>
        <v>0</v>
      </c>
      <c r="BF14" s="124">
        <f t="shared" si="24"/>
        <v>0</v>
      </c>
      <c r="BG14" s="124">
        <f t="shared" si="25"/>
        <v>0</v>
      </c>
      <c r="BH14" s="124">
        <f t="shared" si="26"/>
        <v>0</v>
      </c>
      <c r="BJ14" s="121">
        <f t="shared" si="27"/>
        <v>0</v>
      </c>
      <c r="BK14" s="122" t="b">
        <f t="shared" si="28"/>
        <v>1</v>
      </c>
      <c r="BL14" s="121">
        <f t="shared" si="29"/>
        <v>0</v>
      </c>
    </row>
    <row r="15" spans="1:64">
      <c r="A15" s="88">
        <v>12</v>
      </c>
      <c r="B15" s="88"/>
      <c r="C15" s="101"/>
      <c r="D15" s="89"/>
      <c r="E15" s="90"/>
      <c r="F15" s="91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3"/>
      <c r="AC15" s="94">
        <f t="shared" si="1"/>
        <v>0</v>
      </c>
      <c r="AD15" s="95">
        <v>1</v>
      </c>
      <c r="AE15" s="94">
        <f t="shared" si="2"/>
        <v>0</v>
      </c>
      <c r="AF15" s="96">
        <f t="shared" si="3"/>
        <v>0</v>
      </c>
      <c r="AG15" s="97">
        <v>0</v>
      </c>
      <c r="AH15" s="97">
        <v>0.05</v>
      </c>
      <c r="AI15" s="98">
        <f t="shared" si="4"/>
        <v>0</v>
      </c>
      <c r="AJ15" s="75"/>
      <c r="AM15" s="124">
        <f t="shared" si="5"/>
        <v>0</v>
      </c>
      <c r="AN15" s="124">
        <f t="shared" si="6"/>
        <v>0</v>
      </c>
      <c r="AO15" s="124">
        <f t="shared" si="7"/>
        <v>0</v>
      </c>
      <c r="AP15" s="124">
        <f t="shared" si="8"/>
        <v>0</v>
      </c>
      <c r="AQ15" s="124">
        <f t="shared" si="9"/>
        <v>0</v>
      </c>
      <c r="AR15" s="124">
        <f t="shared" si="10"/>
        <v>0</v>
      </c>
      <c r="AS15" s="124">
        <f t="shared" si="11"/>
        <v>0</v>
      </c>
      <c r="AT15" s="124">
        <f t="shared" si="12"/>
        <v>0</v>
      </c>
      <c r="AU15" s="124">
        <f t="shared" si="13"/>
        <v>0</v>
      </c>
      <c r="AV15" s="124">
        <f t="shared" si="14"/>
        <v>0</v>
      </c>
      <c r="AW15" s="124">
        <f t="shared" si="15"/>
        <v>0</v>
      </c>
      <c r="AX15" s="124">
        <f t="shared" si="16"/>
        <v>0</v>
      </c>
      <c r="AY15" s="124">
        <f t="shared" si="17"/>
        <v>0</v>
      </c>
      <c r="AZ15" s="124">
        <f t="shared" si="18"/>
        <v>0</v>
      </c>
      <c r="BA15" s="124">
        <f t="shared" si="19"/>
        <v>0</v>
      </c>
      <c r="BB15" s="124">
        <f t="shared" si="20"/>
        <v>0</v>
      </c>
      <c r="BC15" s="124">
        <f t="shared" si="21"/>
        <v>0</v>
      </c>
      <c r="BD15" s="124">
        <f t="shared" si="22"/>
        <v>0</v>
      </c>
      <c r="BE15" s="124">
        <f t="shared" si="23"/>
        <v>0</v>
      </c>
      <c r="BF15" s="124">
        <f t="shared" si="24"/>
        <v>0</v>
      </c>
      <c r="BG15" s="124">
        <f t="shared" si="25"/>
        <v>0</v>
      </c>
      <c r="BH15" s="124">
        <f t="shared" si="26"/>
        <v>0</v>
      </c>
      <c r="BJ15" s="121">
        <f t="shared" si="27"/>
        <v>0</v>
      </c>
      <c r="BK15" s="122" t="b">
        <f t="shared" si="28"/>
        <v>1</v>
      </c>
      <c r="BL15" s="121">
        <f t="shared" si="29"/>
        <v>0</v>
      </c>
    </row>
    <row r="16" spans="1:64">
      <c r="A16" s="88">
        <v>13</v>
      </c>
      <c r="B16" s="88"/>
      <c r="C16" s="75"/>
      <c r="D16" s="89"/>
      <c r="E16" s="90"/>
      <c r="F16" s="91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93"/>
      <c r="AC16" s="94">
        <f t="shared" si="1"/>
        <v>0</v>
      </c>
      <c r="AD16" s="95">
        <v>1</v>
      </c>
      <c r="AE16" s="94">
        <f t="shared" si="2"/>
        <v>0</v>
      </c>
      <c r="AF16" s="96">
        <f t="shared" si="3"/>
        <v>0</v>
      </c>
      <c r="AG16" s="97">
        <v>0</v>
      </c>
      <c r="AH16" s="97">
        <v>0.05</v>
      </c>
      <c r="AI16" s="98">
        <f t="shared" si="4"/>
        <v>0</v>
      </c>
      <c r="AJ16" s="75"/>
      <c r="AM16" s="124">
        <f t="shared" si="5"/>
        <v>0</v>
      </c>
      <c r="AN16" s="124">
        <f t="shared" si="6"/>
        <v>0</v>
      </c>
      <c r="AO16" s="124">
        <f t="shared" si="7"/>
        <v>0</v>
      </c>
      <c r="AP16" s="124">
        <f t="shared" si="8"/>
        <v>0</v>
      </c>
      <c r="AQ16" s="124">
        <f t="shared" si="9"/>
        <v>0</v>
      </c>
      <c r="AR16" s="124">
        <f t="shared" si="10"/>
        <v>0</v>
      </c>
      <c r="AS16" s="124">
        <f t="shared" si="11"/>
        <v>0</v>
      </c>
      <c r="AT16" s="124">
        <f t="shared" si="12"/>
        <v>0</v>
      </c>
      <c r="AU16" s="124">
        <f t="shared" si="13"/>
        <v>0</v>
      </c>
      <c r="AV16" s="124">
        <f t="shared" si="14"/>
        <v>0</v>
      </c>
      <c r="AW16" s="124">
        <f t="shared" si="15"/>
        <v>0</v>
      </c>
      <c r="AX16" s="124">
        <f t="shared" si="16"/>
        <v>0</v>
      </c>
      <c r="AY16" s="124">
        <f t="shared" si="17"/>
        <v>0</v>
      </c>
      <c r="AZ16" s="124">
        <f t="shared" si="18"/>
        <v>0</v>
      </c>
      <c r="BA16" s="124">
        <f t="shared" si="19"/>
        <v>0</v>
      </c>
      <c r="BB16" s="124">
        <f t="shared" si="20"/>
        <v>0</v>
      </c>
      <c r="BC16" s="124">
        <f t="shared" si="21"/>
        <v>0</v>
      </c>
      <c r="BD16" s="124">
        <f t="shared" si="22"/>
        <v>0</v>
      </c>
      <c r="BE16" s="124">
        <f t="shared" si="23"/>
        <v>0</v>
      </c>
      <c r="BF16" s="124">
        <f t="shared" si="24"/>
        <v>0</v>
      </c>
      <c r="BG16" s="124">
        <f t="shared" si="25"/>
        <v>0</v>
      </c>
      <c r="BH16" s="124">
        <f t="shared" si="26"/>
        <v>0</v>
      </c>
      <c r="BJ16" s="121">
        <f t="shared" si="27"/>
        <v>0</v>
      </c>
      <c r="BK16" s="122" t="b">
        <f t="shared" si="28"/>
        <v>1</v>
      </c>
      <c r="BL16" s="121">
        <f t="shared" si="29"/>
        <v>0</v>
      </c>
    </row>
    <row r="17" spans="1:64">
      <c r="A17" s="88">
        <v>14</v>
      </c>
      <c r="B17" s="88"/>
      <c r="C17" s="75"/>
      <c r="D17" s="89"/>
      <c r="E17" s="90"/>
      <c r="F17" s="91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93"/>
      <c r="AC17" s="94">
        <f t="shared" si="1"/>
        <v>0</v>
      </c>
      <c r="AD17" s="95">
        <v>1</v>
      </c>
      <c r="AE17" s="94">
        <f t="shared" si="2"/>
        <v>0</v>
      </c>
      <c r="AF17" s="96">
        <f t="shared" si="3"/>
        <v>0</v>
      </c>
      <c r="AG17" s="97">
        <v>0</v>
      </c>
      <c r="AH17" s="97">
        <v>0.05</v>
      </c>
      <c r="AI17" s="98">
        <f t="shared" si="4"/>
        <v>0</v>
      </c>
      <c r="AJ17" s="75"/>
      <c r="AM17" s="124">
        <f t="shared" si="5"/>
        <v>0</v>
      </c>
      <c r="AN17" s="124">
        <f t="shared" si="6"/>
        <v>0</v>
      </c>
      <c r="AO17" s="124">
        <f t="shared" si="7"/>
        <v>0</v>
      </c>
      <c r="AP17" s="124">
        <f t="shared" si="8"/>
        <v>0</v>
      </c>
      <c r="AQ17" s="124">
        <f t="shared" si="9"/>
        <v>0</v>
      </c>
      <c r="AR17" s="124">
        <f t="shared" si="10"/>
        <v>0</v>
      </c>
      <c r="AS17" s="124">
        <f t="shared" si="11"/>
        <v>0</v>
      </c>
      <c r="AT17" s="124">
        <f t="shared" si="12"/>
        <v>0</v>
      </c>
      <c r="AU17" s="124">
        <f t="shared" si="13"/>
        <v>0</v>
      </c>
      <c r="AV17" s="124">
        <f t="shared" si="14"/>
        <v>0</v>
      </c>
      <c r="AW17" s="124">
        <f t="shared" si="15"/>
        <v>0</v>
      </c>
      <c r="AX17" s="124">
        <f t="shared" si="16"/>
        <v>0</v>
      </c>
      <c r="AY17" s="124">
        <f t="shared" si="17"/>
        <v>0</v>
      </c>
      <c r="AZ17" s="124">
        <f t="shared" si="18"/>
        <v>0</v>
      </c>
      <c r="BA17" s="124">
        <f t="shared" si="19"/>
        <v>0</v>
      </c>
      <c r="BB17" s="124">
        <f t="shared" si="20"/>
        <v>0</v>
      </c>
      <c r="BC17" s="124">
        <f t="shared" si="21"/>
        <v>0</v>
      </c>
      <c r="BD17" s="124">
        <f t="shared" si="22"/>
        <v>0</v>
      </c>
      <c r="BE17" s="124">
        <f t="shared" si="23"/>
        <v>0</v>
      </c>
      <c r="BF17" s="124">
        <f t="shared" si="24"/>
        <v>0</v>
      </c>
      <c r="BG17" s="124">
        <f t="shared" si="25"/>
        <v>0</v>
      </c>
      <c r="BH17" s="124">
        <f t="shared" si="26"/>
        <v>0</v>
      </c>
      <c r="BJ17" s="121">
        <f t="shared" si="27"/>
        <v>0</v>
      </c>
      <c r="BK17" s="122" t="b">
        <f t="shared" si="28"/>
        <v>1</v>
      </c>
      <c r="BL17" s="121">
        <f t="shared" si="29"/>
        <v>0</v>
      </c>
    </row>
    <row r="18" spans="1:64">
      <c r="A18" s="88">
        <v>15</v>
      </c>
      <c r="B18" s="88"/>
      <c r="C18" s="75"/>
      <c r="D18" s="89"/>
      <c r="E18" s="90"/>
      <c r="F18" s="91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93"/>
      <c r="AC18" s="94">
        <f t="shared" si="1"/>
        <v>0</v>
      </c>
      <c r="AD18" s="95">
        <v>1</v>
      </c>
      <c r="AE18" s="94">
        <f t="shared" si="2"/>
        <v>0</v>
      </c>
      <c r="AF18" s="96">
        <f t="shared" si="3"/>
        <v>0</v>
      </c>
      <c r="AG18" s="97">
        <v>0</v>
      </c>
      <c r="AH18" s="97">
        <v>0.05</v>
      </c>
      <c r="AI18" s="98">
        <f t="shared" si="4"/>
        <v>0</v>
      </c>
      <c r="AJ18" s="75"/>
      <c r="AM18" s="124">
        <f t="shared" si="5"/>
        <v>0</v>
      </c>
      <c r="AN18" s="124">
        <f t="shared" si="6"/>
        <v>0</v>
      </c>
      <c r="AO18" s="124">
        <f t="shared" si="7"/>
        <v>0</v>
      </c>
      <c r="AP18" s="124">
        <f t="shared" si="8"/>
        <v>0</v>
      </c>
      <c r="AQ18" s="124">
        <f t="shared" si="9"/>
        <v>0</v>
      </c>
      <c r="AR18" s="124">
        <f t="shared" si="10"/>
        <v>0</v>
      </c>
      <c r="AS18" s="124">
        <f t="shared" si="11"/>
        <v>0</v>
      </c>
      <c r="AT18" s="124">
        <f t="shared" si="12"/>
        <v>0</v>
      </c>
      <c r="AU18" s="124">
        <f t="shared" si="13"/>
        <v>0</v>
      </c>
      <c r="AV18" s="124">
        <f t="shared" si="14"/>
        <v>0</v>
      </c>
      <c r="AW18" s="124">
        <f t="shared" si="15"/>
        <v>0</v>
      </c>
      <c r="AX18" s="124">
        <f t="shared" si="16"/>
        <v>0</v>
      </c>
      <c r="AY18" s="124">
        <f t="shared" si="17"/>
        <v>0</v>
      </c>
      <c r="AZ18" s="124">
        <f t="shared" si="18"/>
        <v>0</v>
      </c>
      <c r="BA18" s="124">
        <f t="shared" si="19"/>
        <v>0</v>
      </c>
      <c r="BB18" s="124">
        <f t="shared" si="20"/>
        <v>0</v>
      </c>
      <c r="BC18" s="124">
        <f t="shared" si="21"/>
        <v>0</v>
      </c>
      <c r="BD18" s="124">
        <f t="shared" si="22"/>
        <v>0</v>
      </c>
      <c r="BE18" s="124">
        <f t="shared" si="23"/>
        <v>0</v>
      </c>
      <c r="BF18" s="124">
        <f t="shared" si="24"/>
        <v>0</v>
      </c>
      <c r="BG18" s="124">
        <f t="shared" si="25"/>
        <v>0</v>
      </c>
      <c r="BH18" s="124">
        <f t="shared" si="26"/>
        <v>0</v>
      </c>
      <c r="BJ18" s="121">
        <f t="shared" si="27"/>
        <v>0</v>
      </c>
      <c r="BK18" s="122" t="b">
        <f t="shared" si="28"/>
        <v>1</v>
      </c>
      <c r="BL18" s="121">
        <f t="shared" si="29"/>
        <v>0</v>
      </c>
    </row>
    <row r="19" spans="1:64">
      <c r="A19" s="88">
        <v>16</v>
      </c>
      <c r="B19" s="88"/>
      <c r="C19" s="75"/>
      <c r="D19" s="89"/>
      <c r="E19" s="90"/>
      <c r="F19" s="91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93"/>
      <c r="AC19" s="94">
        <f t="shared" si="1"/>
        <v>0</v>
      </c>
      <c r="AD19" s="95">
        <v>1</v>
      </c>
      <c r="AE19" s="94">
        <f t="shared" si="2"/>
        <v>0</v>
      </c>
      <c r="AF19" s="96">
        <f t="shared" si="3"/>
        <v>0</v>
      </c>
      <c r="AG19" s="97">
        <v>0</v>
      </c>
      <c r="AH19" s="97">
        <v>0.05</v>
      </c>
      <c r="AI19" s="98">
        <f t="shared" si="4"/>
        <v>0</v>
      </c>
      <c r="AJ19" s="75"/>
      <c r="AM19" s="124">
        <f t="shared" si="5"/>
        <v>0</v>
      </c>
      <c r="AN19" s="124">
        <f t="shared" si="6"/>
        <v>0</v>
      </c>
      <c r="AO19" s="124">
        <f t="shared" si="7"/>
        <v>0</v>
      </c>
      <c r="AP19" s="124">
        <f t="shared" si="8"/>
        <v>0</v>
      </c>
      <c r="AQ19" s="124">
        <f t="shared" si="9"/>
        <v>0</v>
      </c>
      <c r="AR19" s="124">
        <f t="shared" si="10"/>
        <v>0</v>
      </c>
      <c r="AS19" s="124">
        <f t="shared" si="11"/>
        <v>0</v>
      </c>
      <c r="AT19" s="124">
        <f t="shared" si="12"/>
        <v>0</v>
      </c>
      <c r="AU19" s="124">
        <f t="shared" si="13"/>
        <v>0</v>
      </c>
      <c r="AV19" s="124">
        <f t="shared" si="14"/>
        <v>0</v>
      </c>
      <c r="AW19" s="124">
        <f t="shared" si="15"/>
        <v>0</v>
      </c>
      <c r="AX19" s="124">
        <f t="shared" si="16"/>
        <v>0</v>
      </c>
      <c r="AY19" s="124">
        <f t="shared" si="17"/>
        <v>0</v>
      </c>
      <c r="AZ19" s="124">
        <f t="shared" si="18"/>
        <v>0</v>
      </c>
      <c r="BA19" s="124">
        <f t="shared" si="19"/>
        <v>0</v>
      </c>
      <c r="BB19" s="124">
        <f t="shared" si="20"/>
        <v>0</v>
      </c>
      <c r="BC19" s="124">
        <f t="shared" si="21"/>
        <v>0</v>
      </c>
      <c r="BD19" s="124">
        <f t="shared" si="22"/>
        <v>0</v>
      </c>
      <c r="BE19" s="124">
        <f t="shared" si="23"/>
        <v>0</v>
      </c>
      <c r="BF19" s="124">
        <f t="shared" si="24"/>
        <v>0</v>
      </c>
      <c r="BG19" s="124">
        <f t="shared" si="25"/>
        <v>0</v>
      </c>
      <c r="BH19" s="124">
        <f t="shared" si="26"/>
        <v>0</v>
      </c>
      <c r="BJ19" s="121">
        <f t="shared" si="27"/>
        <v>0</v>
      </c>
      <c r="BK19" s="122" t="b">
        <f t="shared" si="28"/>
        <v>1</v>
      </c>
      <c r="BL19" s="121">
        <f t="shared" si="29"/>
        <v>0</v>
      </c>
    </row>
    <row r="20" spans="1:64">
      <c r="A20" s="88">
        <v>17</v>
      </c>
      <c r="B20" s="88"/>
      <c r="C20" s="75"/>
      <c r="D20" s="89"/>
      <c r="E20" s="90"/>
      <c r="F20" s="91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3"/>
      <c r="AC20" s="94">
        <f t="shared" si="1"/>
        <v>0</v>
      </c>
      <c r="AD20" s="95">
        <v>1</v>
      </c>
      <c r="AE20" s="94">
        <f t="shared" si="2"/>
        <v>0</v>
      </c>
      <c r="AF20" s="96">
        <f t="shared" si="3"/>
        <v>0</v>
      </c>
      <c r="AG20" s="97">
        <v>0</v>
      </c>
      <c r="AH20" s="97">
        <v>0.05</v>
      </c>
      <c r="AI20" s="98">
        <f t="shared" si="4"/>
        <v>0</v>
      </c>
      <c r="AJ20" s="75"/>
      <c r="AM20" s="124">
        <f t="shared" si="5"/>
        <v>0</v>
      </c>
      <c r="AN20" s="124">
        <f t="shared" si="6"/>
        <v>0</v>
      </c>
      <c r="AO20" s="124">
        <f t="shared" si="7"/>
        <v>0</v>
      </c>
      <c r="AP20" s="124">
        <f t="shared" si="8"/>
        <v>0</v>
      </c>
      <c r="AQ20" s="124">
        <f t="shared" si="9"/>
        <v>0</v>
      </c>
      <c r="AR20" s="124">
        <f t="shared" si="10"/>
        <v>0</v>
      </c>
      <c r="AS20" s="124">
        <f t="shared" si="11"/>
        <v>0</v>
      </c>
      <c r="AT20" s="124">
        <f t="shared" si="12"/>
        <v>0</v>
      </c>
      <c r="AU20" s="124">
        <f t="shared" si="13"/>
        <v>0</v>
      </c>
      <c r="AV20" s="124">
        <f t="shared" si="14"/>
        <v>0</v>
      </c>
      <c r="AW20" s="124">
        <f t="shared" si="15"/>
        <v>0</v>
      </c>
      <c r="AX20" s="124">
        <f t="shared" si="16"/>
        <v>0</v>
      </c>
      <c r="AY20" s="124">
        <f t="shared" si="17"/>
        <v>0</v>
      </c>
      <c r="AZ20" s="124">
        <f t="shared" si="18"/>
        <v>0</v>
      </c>
      <c r="BA20" s="124">
        <f t="shared" si="19"/>
        <v>0</v>
      </c>
      <c r="BB20" s="124">
        <f t="shared" si="20"/>
        <v>0</v>
      </c>
      <c r="BC20" s="124">
        <f t="shared" si="21"/>
        <v>0</v>
      </c>
      <c r="BD20" s="124">
        <f t="shared" si="22"/>
        <v>0</v>
      </c>
      <c r="BE20" s="124">
        <f t="shared" si="23"/>
        <v>0</v>
      </c>
      <c r="BF20" s="124">
        <f t="shared" si="24"/>
        <v>0</v>
      </c>
      <c r="BG20" s="124">
        <f t="shared" si="25"/>
        <v>0</v>
      </c>
      <c r="BH20" s="124">
        <f t="shared" si="26"/>
        <v>0</v>
      </c>
      <c r="BJ20" s="121">
        <f t="shared" si="27"/>
        <v>0</v>
      </c>
      <c r="BK20" s="122" t="b">
        <f t="shared" si="28"/>
        <v>1</v>
      </c>
      <c r="BL20" s="121">
        <f t="shared" si="29"/>
        <v>0</v>
      </c>
    </row>
    <row r="21" spans="1:64">
      <c r="A21" s="88">
        <v>18</v>
      </c>
      <c r="B21" s="88"/>
      <c r="C21" s="75"/>
      <c r="D21" s="89"/>
      <c r="E21" s="90"/>
      <c r="F21" s="91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3"/>
      <c r="AC21" s="94">
        <f t="shared" si="1"/>
        <v>0</v>
      </c>
      <c r="AD21" s="95">
        <v>1</v>
      </c>
      <c r="AE21" s="94">
        <f t="shared" si="2"/>
        <v>0</v>
      </c>
      <c r="AF21" s="96">
        <f t="shared" si="3"/>
        <v>0</v>
      </c>
      <c r="AG21" s="97">
        <v>0</v>
      </c>
      <c r="AH21" s="97">
        <v>0.05</v>
      </c>
      <c r="AI21" s="98">
        <f t="shared" si="4"/>
        <v>0</v>
      </c>
      <c r="AJ21" s="75"/>
      <c r="AM21" s="124">
        <f t="shared" si="5"/>
        <v>0</v>
      </c>
      <c r="AN21" s="124">
        <f t="shared" si="6"/>
        <v>0</v>
      </c>
      <c r="AO21" s="124">
        <f t="shared" si="7"/>
        <v>0</v>
      </c>
      <c r="AP21" s="124">
        <f t="shared" si="8"/>
        <v>0</v>
      </c>
      <c r="AQ21" s="124">
        <f t="shared" si="9"/>
        <v>0</v>
      </c>
      <c r="AR21" s="124">
        <f t="shared" si="10"/>
        <v>0</v>
      </c>
      <c r="AS21" s="124">
        <f t="shared" si="11"/>
        <v>0</v>
      </c>
      <c r="AT21" s="124">
        <f t="shared" si="12"/>
        <v>0</v>
      </c>
      <c r="AU21" s="124">
        <f t="shared" si="13"/>
        <v>0</v>
      </c>
      <c r="AV21" s="124">
        <f t="shared" si="14"/>
        <v>0</v>
      </c>
      <c r="AW21" s="124">
        <f t="shared" si="15"/>
        <v>0</v>
      </c>
      <c r="AX21" s="124">
        <f t="shared" si="16"/>
        <v>0</v>
      </c>
      <c r="AY21" s="124">
        <f t="shared" si="17"/>
        <v>0</v>
      </c>
      <c r="AZ21" s="124">
        <f t="shared" si="18"/>
        <v>0</v>
      </c>
      <c r="BA21" s="124">
        <f t="shared" si="19"/>
        <v>0</v>
      </c>
      <c r="BB21" s="124">
        <f t="shared" si="20"/>
        <v>0</v>
      </c>
      <c r="BC21" s="124">
        <f t="shared" si="21"/>
        <v>0</v>
      </c>
      <c r="BD21" s="124">
        <f t="shared" si="22"/>
        <v>0</v>
      </c>
      <c r="BE21" s="124">
        <f t="shared" si="23"/>
        <v>0</v>
      </c>
      <c r="BF21" s="124">
        <f t="shared" si="24"/>
        <v>0</v>
      </c>
      <c r="BG21" s="124">
        <f t="shared" si="25"/>
        <v>0</v>
      </c>
      <c r="BH21" s="124">
        <f t="shared" si="26"/>
        <v>0</v>
      </c>
      <c r="BJ21" s="121">
        <f t="shared" si="27"/>
        <v>0</v>
      </c>
      <c r="BK21" s="122" t="b">
        <f t="shared" si="28"/>
        <v>1</v>
      </c>
      <c r="BL21" s="121">
        <f t="shared" si="29"/>
        <v>0</v>
      </c>
    </row>
    <row r="22" spans="1:64">
      <c r="A22" s="88">
        <v>19</v>
      </c>
      <c r="B22" s="88"/>
      <c r="C22" s="75"/>
      <c r="D22" s="89"/>
      <c r="E22" s="90"/>
      <c r="F22" s="91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3"/>
      <c r="AC22" s="94">
        <f t="shared" si="1"/>
        <v>0</v>
      </c>
      <c r="AD22" s="95">
        <v>1</v>
      </c>
      <c r="AE22" s="94">
        <f t="shared" si="2"/>
        <v>0</v>
      </c>
      <c r="AF22" s="96">
        <f t="shared" si="3"/>
        <v>0</v>
      </c>
      <c r="AG22" s="97">
        <v>0</v>
      </c>
      <c r="AH22" s="97">
        <v>0.05</v>
      </c>
      <c r="AI22" s="98">
        <f t="shared" si="4"/>
        <v>0</v>
      </c>
      <c r="AJ22" s="75"/>
      <c r="AM22" s="124">
        <f t="shared" si="5"/>
        <v>0</v>
      </c>
      <c r="AN22" s="124">
        <f t="shared" si="6"/>
        <v>0</v>
      </c>
      <c r="AO22" s="124">
        <f t="shared" si="7"/>
        <v>0</v>
      </c>
      <c r="AP22" s="124">
        <f t="shared" si="8"/>
        <v>0</v>
      </c>
      <c r="AQ22" s="124">
        <f t="shared" si="9"/>
        <v>0</v>
      </c>
      <c r="AR22" s="124">
        <f t="shared" si="10"/>
        <v>0</v>
      </c>
      <c r="AS22" s="124">
        <f t="shared" si="11"/>
        <v>0</v>
      </c>
      <c r="AT22" s="124">
        <f t="shared" si="12"/>
        <v>0</v>
      </c>
      <c r="AU22" s="124">
        <f t="shared" si="13"/>
        <v>0</v>
      </c>
      <c r="AV22" s="124">
        <f t="shared" si="14"/>
        <v>0</v>
      </c>
      <c r="AW22" s="124">
        <f t="shared" si="15"/>
        <v>0</v>
      </c>
      <c r="AX22" s="124">
        <f t="shared" si="16"/>
        <v>0</v>
      </c>
      <c r="AY22" s="124">
        <f t="shared" si="17"/>
        <v>0</v>
      </c>
      <c r="AZ22" s="124">
        <f t="shared" si="18"/>
        <v>0</v>
      </c>
      <c r="BA22" s="124">
        <f t="shared" si="19"/>
        <v>0</v>
      </c>
      <c r="BB22" s="124">
        <f t="shared" si="20"/>
        <v>0</v>
      </c>
      <c r="BC22" s="124">
        <f t="shared" si="21"/>
        <v>0</v>
      </c>
      <c r="BD22" s="124">
        <f t="shared" si="22"/>
        <v>0</v>
      </c>
      <c r="BE22" s="124">
        <f t="shared" si="23"/>
        <v>0</v>
      </c>
      <c r="BF22" s="124">
        <f t="shared" si="24"/>
        <v>0</v>
      </c>
      <c r="BG22" s="124">
        <f t="shared" si="25"/>
        <v>0</v>
      </c>
      <c r="BH22" s="124">
        <f t="shared" si="26"/>
        <v>0</v>
      </c>
      <c r="BJ22" s="121">
        <f t="shared" si="27"/>
        <v>0</v>
      </c>
      <c r="BK22" s="122" t="b">
        <f t="shared" si="28"/>
        <v>1</v>
      </c>
      <c r="BL22" s="121">
        <f t="shared" si="29"/>
        <v>0</v>
      </c>
    </row>
    <row r="23" spans="1:64">
      <c r="A23" s="88">
        <v>20</v>
      </c>
      <c r="B23" s="88"/>
      <c r="C23" s="75"/>
      <c r="D23" s="89"/>
      <c r="E23" s="90"/>
      <c r="F23" s="91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3"/>
      <c r="AC23" s="94">
        <f t="shared" si="1"/>
        <v>0</v>
      </c>
      <c r="AD23" s="95">
        <v>1</v>
      </c>
      <c r="AE23" s="94">
        <f t="shared" si="2"/>
        <v>0</v>
      </c>
      <c r="AF23" s="96">
        <f t="shared" si="3"/>
        <v>0</v>
      </c>
      <c r="AG23" s="97">
        <v>0</v>
      </c>
      <c r="AH23" s="97">
        <v>0.05</v>
      </c>
      <c r="AI23" s="98">
        <f t="shared" si="4"/>
        <v>0</v>
      </c>
      <c r="AJ23" s="75"/>
      <c r="AM23" s="124">
        <f t="shared" si="5"/>
        <v>0</v>
      </c>
      <c r="AN23" s="124">
        <f t="shared" si="6"/>
        <v>0</v>
      </c>
      <c r="AO23" s="124">
        <f t="shared" si="7"/>
        <v>0</v>
      </c>
      <c r="AP23" s="124">
        <f t="shared" si="8"/>
        <v>0</v>
      </c>
      <c r="AQ23" s="124">
        <f t="shared" si="9"/>
        <v>0</v>
      </c>
      <c r="AR23" s="124">
        <f t="shared" si="10"/>
        <v>0</v>
      </c>
      <c r="AS23" s="124">
        <f t="shared" si="11"/>
        <v>0</v>
      </c>
      <c r="AT23" s="124">
        <f t="shared" si="12"/>
        <v>0</v>
      </c>
      <c r="AU23" s="124">
        <f t="shared" si="13"/>
        <v>0</v>
      </c>
      <c r="AV23" s="124">
        <f t="shared" si="14"/>
        <v>0</v>
      </c>
      <c r="AW23" s="124">
        <f t="shared" si="15"/>
        <v>0</v>
      </c>
      <c r="AX23" s="124">
        <f t="shared" si="16"/>
        <v>0</v>
      </c>
      <c r="AY23" s="124">
        <f t="shared" si="17"/>
        <v>0</v>
      </c>
      <c r="AZ23" s="124">
        <f t="shared" si="18"/>
        <v>0</v>
      </c>
      <c r="BA23" s="124">
        <f t="shared" si="19"/>
        <v>0</v>
      </c>
      <c r="BB23" s="124">
        <f t="shared" si="20"/>
        <v>0</v>
      </c>
      <c r="BC23" s="124">
        <f t="shared" si="21"/>
        <v>0</v>
      </c>
      <c r="BD23" s="124">
        <f t="shared" si="22"/>
        <v>0</v>
      </c>
      <c r="BE23" s="124">
        <f t="shared" si="23"/>
        <v>0</v>
      </c>
      <c r="BF23" s="124">
        <f t="shared" si="24"/>
        <v>0</v>
      </c>
      <c r="BG23" s="124">
        <f t="shared" si="25"/>
        <v>0</v>
      </c>
      <c r="BH23" s="124">
        <f t="shared" si="26"/>
        <v>0</v>
      </c>
      <c r="BJ23" s="121">
        <f t="shared" si="27"/>
        <v>0</v>
      </c>
      <c r="BK23" s="122" t="b">
        <f t="shared" si="28"/>
        <v>1</v>
      </c>
      <c r="BL23" s="121">
        <f t="shared" si="29"/>
        <v>0</v>
      </c>
    </row>
    <row r="24" spans="1:64">
      <c r="A24" s="88">
        <v>21</v>
      </c>
      <c r="B24" s="88"/>
      <c r="C24" s="75"/>
      <c r="D24" s="89"/>
      <c r="E24" s="90"/>
      <c r="F24" s="91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93"/>
      <c r="AC24" s="94">
        <f t="shared" si="1"/>
        <v>0</v>
      </c>
      <c r="AD24" s="95">
        <v>1</v>
      </c>
      <c r="AE24" s="94">
        <f t="shared" si="2"/>
        <v>0</v>
      </c>
      <c r="AF24" s="96">
        <f t="shared" si="3"/>
        <v>0</v>
      </c>
      <c r="AG24" s="97">
        <v>0</v>
      </c>
      <c r="AH24" s="97">
        <v>0.05</v>
      </c>
      <c r="AI24" s="98">
        <f t="shared" si="4"/>
        <v>0</v>
      </c>
      <c r="AJ24" s="75"/>
      <c r="AM24" s="124">
        <f t="shared" si="5"/>
        <v>0</v>
      </c>
      <c r="AN24" s="124">
        <f t="shared" si="6"/>
        <v>0</v>
      </c>
      <c r="AO24" s="124">
        <f t="shared" si="7"/>
        <v>0</v>
      </c>
      <c r="AP24" s="124">
        <f t="shared" si="8"/>
        <v>0</v>
      </c>
      <c r="AQ24" s="124">
        <f t="shared" si="9"/>
        <v>0</v>
      </c>
      <c r="AR24" s="124">
        <f t="shared" si="10"/>
        <v>0</v>
      </c>
      <c r="AS24" s="124">
        <f t="shared" si="11"/>
        <v>0</v>
      </c>
      <c r="AT24" s="124">
        <f t="shared" si="12"/>
        <v>0</v>
      </c>
      <c r="AU24" s="124">
        <f t="shared" si="13"/>
        <v>0</v>
      </c>
      <c r="AV24" s="124">
        <f t="shared" si="14"/>
        <v>0</v>
      </c>
      <c r="AW24" s="124">
        <f t="shared" si="15"/>
        <v>0</v>
      </c>
      <c r="AX24" s="124">
        <f t="shared" si="16"/>
        <v>0</v>
      </c>
      <c r="AY24" s="124">
        <f t="shared" si="17"/>
        <v>0</v>
      </c>
      <c r="AZ24" s="124">
        <f t="shared" si="18"/>
        <v>0</v>
      </c>
      <c r="BA24" s="124">
        <f t="shared" si="19"/>
        <v>0</v>
      </c>
      <c r="BB24" s="124">
        <f t="shared" si="20"/>
        <v>0</v>
      </c>
      <c r="BC24" s="124">
        <f t="shared" si="21"/>
        <v>0</v>
      </c>
      <c r="BD24" s="124">
        <f t="shared" si="22"/>
        <v>0</v>
      </c>
      <c r="BE24" s="124">
        <f t="shared" si="23"/>
        <v>0</v>
      </c>
      <c r="BF24" s="124">
        <f t="shared" si="24"/>
        <v>0</v>
      </c>
      <c r="BG24" s="124">
        <f t="shared" si="25"/>
        <v>0</v>
      </c>
      <c r="BH24" s="124">
        <f t="shared" si="26"/>
        <v>0</v>
      </c>
      <c r="BJ24" s="121">
        <f t="shared" si="27"/>
        <v>0</v>
      </c>
      <c r="BK24" s="122" t="b">
        <f t="shared" si="28"/>
        <v>1</v>
      </c>
      <c r="BL24" s="121">
        <f t="shared" si="29"/>
        <v>0</v>
      </c>
    </row>
    <row r="25" spans="1:64">
      <c r="A25" s="88">
        <v>22</v>
      </c>
      <c r="B25" s="88"/>
      <c r="C25" s="75"/>
      <c r="D25" s="89"/>
      <c r="E25" s="90"/>
      <c r="F25" s="91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3"/>
      <c r="AC25" s="94">
        <f t="shared" si="1"/>
        <v>0</v>
      </c>
      <c r="AD25" s="95">
        <v>1</v>
      </c>
      <c r="AE25" s="94">
        <f t="shared" si="2"/>
        <v>0</v>
      </c>
      <c r="AF25" s="96">
        <f t="shared" si="3"/>
        <v>0</v>
      </c>
      <c r="AG25" s="97">
        <v>0</v>
      </c>
      <c r="AH25" s="97">
        <v>0.05</v>
      </c>
      <c r="AI25" s="98">
        <f t="shared" si="4"/>
        <v>0</v>
      </c>
      <c r="AJ25" s="75"/>
      <c r="AM25" s="124">
        <f t="shared" si="5"/>
        <v>0</v>
      </c>
      <c r="AN25" s="124">
        <f t="shared" si="6"/>
        <v>0</v>
      </c>
      <c r="AO25" s="124">
        <f t="shared" si="7"/>
        <v>0</v>
      </c>
      <c r="AP25" s="124">
        <f t="shared" si="8"/>
        <v>0</v>
      </c>
      <c r="AQ25" s="124">
        <f t="shared" si="9"/>
        <v>0</v>
      </c>
      <c r="AR25" s="124">
        <f t="shared" si="10"/>
        <v>0</v>
      </c>
      <c r="AS25" s="124">
        <f t="shared" si="11"/>
        <v>0</v>
      </c>
      <c r="AT25" s="124">
        <f t="shared" si="12"/>
        <v>0</v>
      </c>
      <c r="AU25" s="124">
        <f t="shared" si="13"/>
        <v>0</v>
      </c>
      <c r="AV25" s="124">
        <f t="shared" si="14"/>
        <v>0</v>
      </c>
      <c r="AW25" s="124">
        <f t="shared" si="15"/>
        <v>0</v>
      </c>
      <c r="AX25" s="124">
        <f t="shared" si="16"/>
        <v>0</v>
      </c>
      <c r="AY25" s="124">
        <f t="shared" si="17"/>
        <v>0</v>
      </c>
      <c r="AZ25" s="124">
        <f t="shared" si="18"/>
        <v>0</v>
      </c>
      <c r="BA25" s="124">
        <f t="shared" si="19"/>
        <v>0</v>
      </c>
      <c r="BB25" s="124">
        <f t="shared" si="20"/>
        <v>0</v>
      </c>
      <c r="BC25" s="124">
        <f t="shared" si="21"/>
        <v>0</v>
      </c>
      <c r="BD25" s="124">
        <f t="shared" si="22"/>
        <v>0</v>
      </c>
      <c r="BE25" s="124">
        <f t="shared" si="23"/>
        <v>0</v>
      </c>
      <c r="BF25" s="124">
        <f t="shared" si="24"/>
        <v>0</v>
      </c>
      <c r="BG25" s="124">
        <f t="shared" si="25"/>
        <v>0</v>
      </c>
      <c r="BH25" s="124">
        <f t="shared" si="26"/>
        <v>0</v>
      </c>
      <c r="BJ25" s="121">
        <f t="shared" si="27"/>
        <v>0</v>
      </c>
      <c r="BK25" s="122" t="b">
        <f t="shared" si="28"/>
        <v>1</v>
      </c>
      <c r="BL25" s="121">
        <f t="shared" si="29"/>
        <v>0</v>
      </c>
    </row>
    <row r="26" spans="1:64">
      <c r="A26" s="88">
        <v>23</v>
      </c>
      <c r="B26" s="88"/>
      <c r="C26" s="75"/>
      <c r="D26" s="89"/>
      <c r="E26" s="90"/>
      <c r="F26" s="91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3"/>
      <c r="AC26" s="94">
        <f t="shared" si="1"/>
        <v>0</v>
      </c>
      <c r="AD26" s="95">
        <v>1</v>
      </c>
      <c r="AE26" s="94">
        <f t="shared" si="2"/>
        <v>0</v>
      </c>
      <c r="AF26" s="96">
        <f t="shared" si="3"/>
        <v>0</v>
      </c>
      <c r="AG26" s="97">
        <v>0</v>
      </c>
      <c r="AH26" s="97">
        <v>0.05</v>
      </c>
      <c r="AI26" s="98">
        <f t="shared" si="4"/>
        <v>0</v>
      </c>
      <c r="AJ26" s="75"/>
      <c r="AM26" s="124">
        <f t="shared" si="5"/>
        <v>0</v>
      </c>
      <c r="AN26" s="124">
        <f t="shared" si="6"/>
        <v>0</v>
      </c>
      <c r="AO26" s="124">
        <f t="shared" si="7"/>
        <v>0</v>
      </c>
      <c r="AP26" s="124">
        <f t="shared" si="8"/>
        <v>0</v>
      </c>
      <c r="AQ26" s="124">
        <f t="shared" si="9"/>
        <v>0</v>
      </c>
      <c r="AR26" s="124">
        <f t="shared" si="10"/>
        <v>0</v>
      </c>
      <c r="AS26" s="124">
        <f t="shared" si="11"/>
        <v>0</v>
      </c>
      <c r="AT26" s="124">
        <f t="shared" si="12"/>
        <v>0</v>
      </c>
      <c r="AU26" s="124">
        <f t="shared" si="13"/>
        <v>0</v>
      </c>
      <c r="AV26" s="124">
        <f t="shared" si="14"/>
        <v>0</v>
      </c>
      <c r="AW26" s="124">
        <f t="shared" si="15"/>
        <v>0</v>
      </c>
      <c r="AX26" s="124">
        <f t="shared" si="16"/>
        <v>0</v>
      </c>
      <c r="AY26" s="124">
        <f t="shared" si="17"/>
        <v>0</v>
      </c>
      <c r="AZ26" s="124">
        <f t="shared" si="18"/>
        <v>0</v>
      </c>
      <c r="BA26" s="124">
        <f t="shared" si="19"/>
        <v>0</v>
      </c>
      <c r="BB26" s="124">
        <f t="shared" si="20"/>
        <v>0</v>
      </c>
      <c r="BC26" s="124">
        <f t="shared" si="21"/>
        <v>0</v>
      </c>
      <c r="BD26" s="124">
        <f t="shared" si="22"/>
        <v>0</v>
      </c>
      <c r="BE26" s="124">
        <f t="shared" si="23"/>
        <v>0</v>
      </c>
      <c r="BF26" s="124">
        <f t="shared" si="24"/>
        <v>0</v>
      </c>
      <c r="BG26" s="124">
        <f t="shared" si="25"/>
        <v>0</v>
      </c>
      <c r="BH26" s="124">
        <f t="shared" si="26"/>
        <v>0</v>
      </c>
      <c r="BJ26" s="121">
        <f t="shared" si="27"/>
        <v>0</v>
      </c>
      <c r="BK26" s="122" t="b">
        <f t="shared" si="28"/>
        <v>1</v>
      </c>
      <c r="BL26" s="121">
        <f t="shared" si="29"/>
        <v>0</v>
      </c>
    </row>
    <row r="27" spans="1:64">
      <c r="A27" s="88">
        <v>24</v>
      </c>
      <c r="B27" s="88"/>
      <c r="C27" s="75"/>
      <c r="D27" s="89"/>
      <c r="E27" s="90"/>
      <c r="F27" s="91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3"/>
      <c r="AC27" s="94">
        <f t="shared" si="1"/>
        <v>0</v>
      </c>
      <c r="AD27" s="95">
        <v>1</v>
      </c>
      <c r="AE27" s="94">
        <f t="shared" si="2"/>
        <v>0</v>
      </c>
      <c r="AF27" s="96">
        <f t="shared" si="3"/>
        <v>0</v>
      </c>
      <c r="AG27" s="97">
        <v>0</v>
      </c>
      <c r="AH27" s="97">
        <v>0.05</v>
      </c>
      <c r="AI27" s="98">
        <f t="shared" si="4"/>
        <v>0</v>
      </c>
      <c r="AJ27" s="75"/>
      <c r="AM27" s="124">
        <f t="shared" si="5"/>
        <v>0</v>
      </c>
      <c r="AN27" s="124">
        <f t="shared" si="6"/>
        <v>0</v>
      </c>
      <c r="AO27" s="124">
        <f t="shared" si="7"/>
        <v>0</v>
      </c>
      <c r="AP27" s="124">
        <f t="shared" si="8"/>
        <v>0</v>
      </c>
      <c r="AQ27" s="124">
        <f t="shared" si="9"/>
        <v>0</v>
      </c>
      <c r="AR27" s="124">
        <f t="shared" si="10"/>
        <v>0</v>
      </c>
      <c r="AS27" s="124">
        <f t="shared" si="11"/>
        <v>0</v>
      </c>
      <c r="AT27" s="124">
        <f t="shared" si="12"/>
        <v>0</v>
      </c>
      <c r="AU27" s="124">
        <f t="shared" si="13"/>
        <v>0</v>
      </c>
      <c r="AV27" s="124">
        <f t="shared" si="14"/>
        <v>0</v>
      </c>
      <c r="AW27" s="124">
        <f t="shared" si="15"/>
        <v>0</v>
      </c>
      <c r="AX27" s="124">
        <f t="shared" si="16"/>
        <v>0</v>
      </c>
      <c r="AY27" s="124">
        <f t="shared" si="17"/>
        <v>0</v>
      </c>
      <c r="AZ27" s="124">
        <f t="shared" si="18"/>
        <v>0</v>
      </c>
      <c r="BA27" s="124">
        <f t="shared" si="19"/>
        <v>0</v>
      </c>
      <c r="BB27" s="124">
        <f t="shared" si="20"/>
        <v>0</v>
      </c>
      <c r="BC27" s="124">
        <f t="shared" si="21"/>
        <v>0</v>
      </c>
      <c r="BD27" s="124">
        <f t="shared" si="22"/>
        <v>0</v>
      </c>
      <c r="BE27" s="124">
        <f t="shared" si="23"/>
        <v>0</v>
      </c>
      <c r="BF27" s="124">
        <f t="shared" si="24"/>
        <v>0</v>
      </c>
      <c r="BG27" s="124">
        <f t="shared" si="25"/>
        <v>0</v>
      </c>
      <c r="BH27" s="124">
        <f t="shared" si="26"/>
        <v>0</v>
      </c>
      <c r="BJ27" s="121">
        <f t="shared" si="27"/>
        <v>0</v>
      </c>
      <c r="BK27" s="122" t="b">
        <f t="shared" si="28"/>
        <v>1</v>
      </c>
      <c r="BL27" s="121">
        <f t="shared" si="29"/>
        <v>0</v>
      </c>
    </row>
    <row r="28" spans="1:64">
      <c r="A28" s="88">
        <v>25</v>
      </c>
      <c r="B28" s="88"/>
      <c r="C28" s="75"/>
      <c r="D28" s="89"/>
      <c r="E28" s="90"/>
      <c r="F28" s="91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3"/>
      <c r="AC28" s="94">
        <f t="shared" si="1"/>
        <v>0</v>
      </c>
      <c r="AD28" s="95">
        <v>1</v>
      </c>
      <c r="AE28" s="94">
        <f t="shared" si="2"/>
        <v>0</v>
      </c>
      <c r="AF28" s="96">
        <f t="shared" si="3"/>
        <v>0</v>
      </c>
      <c r="AG28" s="97">
        <v>0</v>
      </c>
      <c r="AH28" s="97">
        <v>0.05</v>
      </c>
      <c r="AI28" s="98">
        <f t="shared" si="4"/>
        <v>0</v>
      </c>
      <c r="AJ28" s="75"/>
      <c r="AM28" s="124">
        <f t="shared" si="5"/>
        <v>0</v>
      </c>
      <c r="AN28" s="124">
        <f t="shared" si="6"/>
        <v>0</v>
      </c>
      <c r="AO28" s="124">
        <f t="shared" si="7"/>
        <v>0</v>
      </c>
      <c r="AP28" s="124">
        <f t="shared" si="8"/>
        <v>0</v>
      </c>
      <c r="AQ28" s="124">
        <f t="shared" si="9"/>
        <v>0</v>
      </c>
      <c r="AR28" s="124">
        <f t="shared" si="10"/>
        <v>0</v>
      </c>
      <c r="AS28" s="124">
        <f t="shared" si="11"/>
        <v>0</v>
      </c>
      <c r="AT28" s="124">
        <f t="shared" si="12"/>
        <v>0</v>
      </c>
      <c r="AU28" s="124">
        <f t="shared" si="13"/>
        <v>0</v>
      </c>
      <c r="AV28" s="124">
        <f t="shared" si="14"/>
        <v>0</v>
      </c>
      <c r="AW28" s="124">
        <f t="shared" si="15"/>
        <v>0</v>
      </c>
      <c r="AX28" s="124">
        <f t="shared" si="16"/>
        <v>0</v>
      </c>
      <c r="AY28" s="124">
        <f t="shared" si="17"/>
        <v>0</v>
      </c>
      <c r="AZ28" s="124">
        <f t="shared" si="18"/>
        <v>0</v>
      </c>
      <c r="BA28" s="124">
        <f t="shared" si="19"/>
        <v>0</v>
      </c>
      <c r="BB28" s="124">
        <f t="shared" si="20"/>
        <v>0</v>
      </c>
      <c r="BC28" s="124">
        <f t="shared" si="21"/>
        <v>0</v>
      </c>
      <c r="BD28" s="124">
        <f t="shared" si="22"/>
        <v>0</v>
      </c>
      <c r="BE28" s="124">
        <f t="shared" si="23"/>
        <v>0</v>
      </c>
      <c r="BF28" s="124">
        <f t="shared" si="24"/>
        <v>0</v>
      </c>
      <c r="BG28" s="124">
        <f t="shared" si="25"/>
        <v>0</v>
      </c>
      <c r="BH28" s="124">
        <f t="shared" si="26"/>
        <v>0</v>
      </c>
      <c r="BJ28" s="121">
        <f t="shared" si="27"/>
        <v>0</v>
      </c>
      <c r="BK28" s="122" t="b">
        <f t="shared" si="28"/>
        <v>1</v>
      </c>
      <c r="BL28" s="121">
        <f t="shared" si="29"/>
        <v>0</v>
      </c>
    </row>
    <row r="29" spans="1:64">
      <c r="A29" s="88">
        <v>26</v>
      </c>
      <c r="B29" s="88"/>
      <c r="C29" s="75"/>
      <c r="D29" s="89"/>
      <c r="E29" s="90"/>
      <c r="F29" s="91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3"/>
      <c r="AC29" s="94">
        <f t="shared" si="1"/>
        <v>0</v>
      </c>
      <c r="AD29" s="95">
        <v>1</v>
      </c>
      <c r="AE29" s="94">
        <f t="shared" si="2"/>
        <v>0</v>
      </c>
      <c r="AF29" s="96">
        <f t="shared" si="3"/>
        <v>0</v>
      </c>
      <c r="AG29" s="97">
        <v>0</v>
      </c>
      <c r="AH29" s="97">
        <v>0.05</v>
      </c>
      <c r="AI29" s="98">
        <f t="shared" si="4"/>
        <v>0</v>
      </c>
      <c r="AJ29" s="75"/>
      <c r="AM29" s="124">
        <f t="shared" si="5"/>
        <v>0</v>
      </c>
      <c r="AN29" s="124">
        <f t="shared" si="6"/>
        <v>0</v>
      </c>
      <c r="AO29" s="124">
        <f t="shared" si="7"/>
        <v>0</v>
      </c>
      <c r="AP29" s="124">
        <f t="shared" si="8"/>
        <v>0</v>
      </c>
      <c r="AQ29" s="124">
        <f t="shared" si="9"/>
        <v>0</v>
      </c>
      <c r="AR29" s="124">
        <f t="shared" si="10"/>
        <v>0</v>
      </c>
      <c r="AS29" s="124">
        <f t="shared" si="11"/>
        <v>0</v>
      </c>
      <c r="AT29" s="124">
        <f t="shared" si="12"/>
        <v>0</v>
      </c>
      <c r="AU29" s="124">
        <f t="shared" si="13"/>
        <v>0</v>
      </c>
      <c r="AV29" s="124">
        <f t="shared" si="14"/>
        <v>0</v>
      </c>
      <c r="AW29" s="124">
        <f t="shared" si="15"/>
        <v>0</v>
      </c>
      <c r="AX29" s="124">
        <f t="shared" si="16"/>
        <v>0</v>
      </c>
      <c r="AY29" s="124">
        <f t="shared" si="17"/>
        <v>0</v>
      </c>
      <c r="AZ29" s="124">
        <f t="shared" si="18"/>
        <v>0</v>
      </c>
      <c r="BA29" s="124">
        <f t="shared" si="19"/>
        <v>0</v>
      </c>
      <c r="BB29" s="124">
        <f t="shared" si="20"/>
        <v>0</v>
      </c>
      <c r="BC29" s="124">
        <f t="shared" si="21"/>
        <v>0</v>
      </c>
      <c r="BD29" s="124">
        <f t="shared" si="22"/>
        <v>0</v>
      </c>
      <c r="BE29" s="124">
        <f t="shared" si="23"/>
        <v>0</v>
      </c>
      <c r="BF29" s="124">
        <f t="shared" si="24"/>
        <v>0</v>
      </c>
      <c r="BG29" s="124">
        <f t="shared" si="25"/>
        <v>0</v>
      </c>
      <c r="BH29" s="124">
        <f t="shared" si="26"/>
        <v>0</v>
      </c>
      <c r="BJ29" s="121">
        <f t="shared" si="27"/>
        <v>0</v>
      </c>
      <c r="BK29" s="122" t="b">
        <f t="shared" si="28"/>
        <v>1</v>
      </c>
      <c r="BL29" s="121">
        <f t="shared" si="29"/>
        <v>0</v>
      </c>
    </row>
    <row r="30" spans="1:64">
      <c r="A30" s="88">
        <v>27</v>
      </c>
      <c r="B30" s="88"/>
      <c r="C30" s="75"/>
      <c r="D30" s="89"/>
      <c r="E30" s="90"/>
      <c r="F30" s="91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3"/>
      <c r="AC30" s="94">
        <f t="shared" si="1"/>
        <v>0</v>
      </c>
      <c r="AD30" s="95">
        <v>1</v>
      </c>
      <c r="AE30" s="94">
        <f t="shared" si="2"/>
        <v>0</v>
      </c>
      <c r="AF30" s="96">
        <f t="shared" si="3"/>
        <v>0</v>
      </c>
      <c r="AG30" s="97">
        <v>0</v>
      </c>
      <c r="AH30" s="97">
        <v>0.05</v>
      </c>
      <c r="AI30" s="98">
        <f t="shared" si="4"/>
        <v>0</v>
      </c>
      <c r="AJ30" s="75"/>
      <c r="AM30" s="124">
        <f t="shared" si="5"/>
        <v>0</v>
      </c>
      <c r="AN30" s="124">
        <f t="shared" si="6"/>
        <v>0</v>
      </c>
      <c r="AO30" s="124">
        <f t="shared" si="7"/>
        <v>0</v>
      </c>
      <c r="AP30" s="124">
        <f t="shared" si="8"/>
        <v>0</v>
      </c>
      <c r="AQ30" s="124">
        <f t="shared" si="9"/>
        <v>0</v>
      </c>
      <c r="AR30" s="124">
        <f t="shared" si="10"/>
        <v>0</v>
      </c>
      <c r="AS30" s="124">
        <f t="shared" si="11"/>
        <v>0</v>
      </c>
      <c r="AT30" s="124">
        <f t="shared" si="12"/>
        <v>0</v>
      </c>
      <c r="AU30" s="124">
        <f t="shared" si="13"/>
        <v>0</v>
      </c>
      <c r="AV30" s="124">
        <f t="shared" si="14"/>
        <v>0</v>
      </c>
      <c r="AW30" s="124">
        <f t="shared" si="15"/>
        <v>0</v>
      </c>
      <c r="AX30" s="124">
        <f t="shared" si="16"/>
        <v>0</v>
      </c>
      <c r="AY30" s="124">
        <f t="shared" si="17"/>
        <v>0</v>
      </c>
      <c r="AZ30" s="124">
        <f t="shared" si="18"/>
        <v>0</v>
      </c>
      <c r="BA30" s="124">
        <f t="shared" si="19"/>
        <v>0</v>
      </c>
      <c r="BB30" s="124">
        <f t="shared" si="20"/>
        <v>0</v>
      </c>
      <c r="BC30" s="124">
        <f t="shared" si="21"/>
        <v>0</v>
      </c>
      <c r="BD30" s="124">
        <f t="shared" si="22"/>
        <v>0</v>
      </c>
      <c r="BE30" s="124">
        <f t="shared" si="23"/>
        <v>0</v>
      </c>
      <c r="BF30" s="124">
        <f t="shared" si="24"/>
        <v>0</v>
      </c>
      <c r="BG30" s="124">
        <f t="shared" si="25"/>
        <v>0</v>
      </c>
      <c r="BH30" s="124">
        <f t="shared" si="26"/>
        <v>0</v>
      </c>
      <c r="BJ30" s="121">
        <f t="shared" si="27"/>
        <v>0</v>
      </c>
      <c r="BK30" s="122" t="b">
        <f t="shared" si="28"/>
        <v>1</v>
      </c>
      <c r="BL30" s="121">
        <f t="shared" si="29"/>
        <v>0</v>
      </c>
    </row>
    <row r="31" spans="1:64">
      <c r="A31" s="88">
        <v>28</v>
      </c>
      <c r="B31" s="88"/>
      <c r="C31" s="75"/>
      <c r="D31" s="89"/>
      <c r="E31" s="90"/>
      <c r="F31" s="91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3"/>
      <c r="AC31" s="94">
        <f t="shared" si="1"/>
        <v>0</v>
      </c>
      <c r="AD31" s="95">
        <v>1</v>
      </c>
      <c r="AE31" s="94">
        <f t="shared" si="2"/>
        <v>0</v>
      </c>
      <c r="AF31" s="96">
        <f t="shared" si="3"/>
        <v>0</v>
      </c>
      <c r="AG31" s="97">
        <v>0</v>
      </c>
      <c r="AH31" s="97">
        <v>0.05</v>
      </c>
      <c r="AI31" s="98">
        <f t="shared" si="4"/>
        <v>0</v>
      </c>
      <c r="AJ31" s="75"/>
      <c r="AM31" s="124">
        <f t="shared" si="5"/>
        <v>0</v>
      </c>
      <c r="AN31" s="124">
        <f t="shared" si="6"/>
        <v>0</v>
      </c>
      <c r="AO31" s="124">
        <f t="shared" si="7"/>
        <v>0</v>
      </c>
      <c r="AP31" s="124">
        <f t="shared" si="8"/>
        <v>0</v>
      </c>
      <c r="AQ31" s="124">
        <f t="shared" si="9"/>
        <v>0</v>
      </c>
      <c r="AR31" s="124">
        <f t="shared" si="10"/>
        <v>0</v>
      </c>
      <c r="AS31" s="124">
        <f t="shared" si="11"/>
        <v>0</v>
      </c>
      <c r="AT31" s="124">
        <f t="shared" si="12"/>
        <v>0</v>
      </c>
      <c r="AU31" s="124">
        <f t="shared" si="13"/>
        <v>0</v>
      </c>
      <c r="AV31" s="124">
        <f t="shared" si="14"/>
        <v>0</v>
      </c>
      <c r="AW31" s="124">
        <f t="shared" si="15"/>
        <v>0</v>
      </c>
      <c r="AX31" s="124">
        <f t="shared" si="16"/>
        <v>0</v>
      </c>
      <c r="AY31" s="124">
        <f t="shared" si="17"/>
        <v>0</v>
      </c>
      <c r="AZ31" s="124">
        <f t="shared" si="18"/>
        <v>0</v>
      </c>
      <c r="BA31" s="124">
        <f t="shared" si="19"/>
        <v>0</v>
      </c>
      <c r="BB31" s="124">
        <f t="shared" si="20"/>
        <v>0</v>
      </c>
      <c r="BC31" s="124">
        <f t="shared" si="21"/>
        <v>0</v>
      </c>
      <c r="BD31" s="124">
        <f t="shared" si="22"/>
        <v>0</v>
      </c>
      <c r="BE31" s="124">
        <f t="shared" si="23"/>
        <v>0</v>
      </c>
      <c r="BF31" s="124">
        <f t="shared" si="24"/>
        <v>0</v>
      </c>
      <c r="BG31" s="124">
        <f t="shared" si="25"/>
        <v>0</v>
      </c>
      <c r="BH31" s="124">
        <f t="shared" si="26"/>
        <v>0</v>
      </c>
      <c r="BJ31" s="121">
        <f t="shared" si="27"/>
        <v>0</v>
      </c>
      <c r="BK31" s="122" t="b">
        <f t="shared" si="28"/>
        <v>1</v>
      </c>
      <c r="BL31" s="121">
        <f t="shared" si="29"/>
        <v>0</v>
      </c>
    </row>
    <row r="32" spans="1:64">
      <c r="A32" s="88">
        <v>29</v>
      </c>
      <c r="B32" s="88"/>
      <c r="C32" s="75"/>
      <c r="D32" s="89"/>
      <c r="E32" s="90"/>
      <c r="F32" s="91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3"/>
      <c r="AC32" s="94">
        <f t="shared" si="1"/>
        <v>0</v>
      </c>
      <c r="AD32" s="95">
        <v>1</v>
      </c>
      <c r="AE32" s="94">
        <f t="shared" si="2"/>
        <v>0</v>
      </c>
      <c r="AF32" s="96">
        <f t="shared" si="3"/>
        <v>0</v>
      </c>
      <c r="AG32" s="97">
        <v>0</v>
      </c>
      <c r="AH32" s="97">
        <v>0.05</v>
      </c>
      <c r="AI32" s="98">
        <f t="shared" si="4"/>
        <v>0</v>
      </c>
      <c r="AJ32" s="75"/>
      <c r="AM32" s="124">
        <f t="shared" si="5"/>
        <v>0</v>
      </c>
      <c r="AN32" s="124">
        <f t="shared" si="6"/>
        <v>0</v>
      </c>
      <c r="AO32" s="124">
        <f t="shared" si="7"/>
        <v>0</v>
      </c>
      <c r="AP32" s="124">
        <f t="shared" si="8"/>
        <v>0</v>
      </c>
      <c r="AQ32" s="124">
        <f t="shared" si="9"/>
        <v>0</v>
      </c>
      <c r="AR32" s="124">
        <f t="shared" si="10"/>
        <v>0</v>
      </c>
      <c r="AS32" s="124">
        <f t="shared" si="11"/>
        <v>0</v>
      </c>
      <c r="AT32" s="124">
        <f t="shared" si="12"/>
        <v>0</v>
      </c>
      <c r="AU32" s="124">
        <f t="shared" si="13"/>
        <v>0</v>
      </c>
      <c r="AV32" s="124">
        <f t="shared" si="14"/>
        <v>0</v>
      </c>
      <c r="AW32" s="124">
        <f t="shared" si="15"/>
        <v>0</v>
      </c>
      <c r="AX32" s="124">
        <f t="shared" si="16"/>
        <v>0</v>
      </c>
      <c r="AY32" s="124">
        <f t="shared" si="17"/>
        <v>0</v>
      </c>
      <c r="AZ32" s="124">
        <f t="shared" si="18"/>
        <v>0</v>
      </c>
      <c r="BA32" s="124">
        <f t="shared" si="19"/>
        <v>0</v>
      </c>
      <c r="BB32" s="124">
        <f t="shared" si="20"/>
        <v>0</v>
      </c>
      <c r="BC32" s="124">
        <f t="shared" si="21"/>
        <v>0</v>
      </c>
      <c r="BD32" s="124">
        <f t="shared" si="22"/>
        <v>0</v>
      </c>
      <c r="BE32" s="124">
        <f t="shared" si="23"/>
        <v>0</v>
      </c>
      <c r="BF32" s="124">
        <f t="shared" si="24"/>
        <v>0</v>
      </c>
      <c r="BG32" s="124">
        <f t="shared" si="25"/>
        <v>0</v>
      </c>
      <c r="BH32" s="124">
        <f t="shared" si="26"/>
        <v>0</v>
      </c>
      <c r="BJ32" s="121">
        <f t="shared" si="27"/>
        <v>0</v>
      </c>
      <c r="BK32" s="122" t="b">
        <f t="shared" si="28"/>
        <v>1</v>
      </c>
      <c r="BL32" s="121">
        <f t="shared" si="29"/>
        <v>0</v>
      </c>
    </row>
    <row r="33" spans="1:64">
      <c r="A33" s="88">
        <v>30</v>
      </c>
      <c r="B33" s="88"/>
      <c r="C33" s="75"/>
      <c r="D33" s="89"/>
      <c r="E33" s="90"/>
      <c r="F33" s="91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3"/>
      <c r="AC33" s="94">
        <f t="shared" si="1"/>
        <v>0</v>
      </c>
      <c r="AD33" s="95">
        <v>1</v>
      </c>
      <c r="AE33" s="94">
        <f t="shared" si="2"/>
        <v>0</v>
      </c>
      <c r="AF33" s="96">
        <f t="shared" si="3"/>
        <v>0</v>
      </c>
      <c r="AG33" s="97">
        <v>0</v>
      </c>
      <c r="AH33" s="97">
        <v>0.05</v>
      </c>
      <c r="AI33" s="98">
        <f t="shared" si="4"/>
        <v>0</v>
      </c>
      <c r="AJ33" s="75"/>
      <c r="AM33" s="124">
        <f t="shared" si="5"/>
        <v>0</v>
      </c>
      <c r="AN33" s="124">
        <f t="shared" si="6"/>
        <v>0</v>
      </c>
      <c r="AO33" s="124">
        <f t="shared" si="7"/>
        <v>0</v>
      </c>
      <c r="AP33" s="124">
        <f t="shared" si="8"/>
        <v>0</v>
      </c>
      <c r="AQ33" s="124">
        <f t="shared" si="9"/>
        <v>0</v>
      </c>
      <c r="AR33" s="124">
        <f t="shared" si="10"/>
        <v>0</v>
      </c>
      <c r="AS33" s="124">
        <f t="shared" si="11"/>
        <v>0</v>
      </c>
      <c r="AT33" s="124">
        <f t="shared" si="12"/>
        <v>0</v>
      </c>
      <c r="AU33" s="124">
        <f t="shared" si="13"/>
        <v>0</v>
      </c>
      <c r="AV33" s="124">
        <f t="shared" si="14"/>
        <v>0</v>
      </c>
      <c r="AW33" s="124">
        <f t="shared" si="15"/>
        <v>0</v>
      </c>
      <c r="AX33" s="124">
        <f t="shared" si="16"/>
        <v>0</v>
      </c>
      <c r="AY33" s="124">
        <f t="shared" si="17"/>
        <v>0</v>
      </c>
      <c r="AZ33" s="124">
        <f t="shared" si="18"/>
        <v>0</v>
      </c>
      <c r="BA33" s="124">
        <f t="shared" si="19"/>
        <v>0</v>
      </c>
      <c r="BB33" s="124">
        <f t="shared" si="20"/>
        <v>0</v>
      </c>
      <c r="BC33" s="124">
        <f t="shared" si="21"/>
        <v>0</v>
      </c>
      <c r="BD33" s="124">
        <f t="shared" si="22"/>
        <v>0</v>
      </c>
      <c r="BE33" s="124">
        <f t="shared" si="23"/>
        <v>0</v>
      </c>
      <c r="BF33" s="124">
        <f t="shared" si="24"/>
        <v>0</v>
      </c>
      <c r="BG33" s="124">
        <f t="shared" si="25"/>
        <v>0</v>
      </c>
      <c r="BH33" s="124">
        <f t="shared" si="26"/>
        <v>0</v>
      </c>
      <c r="BJ33" s="121">
        <f t="shared" si="27"/>
        <v>0</v>
      </c>
      <c r="BK33" s="122" t="b">
        <f t="shared" si="28"/>
        <v>1</v>
      </c>
      <c r="BL33" s="121">
        <f t="shared" si="29"/>
        <v>0</v>
      </c>
    </row>
    <row r="34" spans="1:64">
      <c r="A34" s="88">
        <v>31</v>
      </c>
      <c r="B34" s="88"/>
      <c r="C34" s="75"/>
      <c r="D34" s="89"/>
      <c r="E34" s="90"/>
      <c r="F34" s="91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3"/>
      <c r="AC34" s="94">
        <f t="shared" si="1"/>
        <v>0</v>
      </c>
      <c r="AD34" s="95">
        <v>1</v>
      </c>
      <c r="AE34" s="94">
        <f t="shared" si="2"/>
        <v>0</v>
      </c>
      <c r="AF34" s="96">
        <f t="shared" si="3"/>
        <v>0</v>
      </c>
      <c r="AG34" s="97">
        <v>0</v>
      </c>
      <c r="AH34" s="97">
        <v>0.05</v>
      </c>
      <c r="AI34" s="98">
        <f t="shared" si="4"/>
        <v>0</v>
      </c>
      <c r="AJ34" s="75"/>
      <c r="AM34" s="124">
        <f t="shared" si="5"/>
        <v>0</v>
      </c>
      <c r="AN34" s="124">
        <f t="shared" si="6"/>
        <v>0</v>
      </c>
      <c r="AO34" s="124">
        <f t="shared" si="7"/>
        <v>0</v>
      </c>
      <c r="AP34" s="124">
        <f t="shared" si="8"/>
        <v>0</v>
      </c>
      <c r="AQ34" s="124">
        <f t="shared" si="9"/>
        <v>0</v>
      </c>
      <c r="AR34" s="124">
        <f t="shared" si="10"/>
        <v>0</v>
      </c>
      <c r="AS34" s="124">
        <f t="shared" si="11"/>
        <v>0</v>
      </c>
      <c r="AT34" s="124">
        <f t="shared" si="12"/>
        <v>0</v>
      </c>
      <c r="AU34" s="124">
        <f t="shared" si="13"/>
        <v>0</v>
      </c>
      <c r="AV34" s="124">
        <f t="shared" si="14"/>
        <v>0</v>
      </c>
      <c r="AW34" s="124">
        <f t="shared" si="15"/>
        <v>0</v>
      </c>
      <c r="AX34" s="124">
        <f t="shared" si="16"/>
        <v>0</v>
      </c>
      <c r="AY34" s="124">
        <f t="shared" si="17"/>
        <v>0</v>
      </c>
      <c r="AZ34" s="124">
        <f t="shared" si="18"/>
        <v>0</v>
      </c>
      <c r="BA34" s="124">
        <f t="shared" si="19"/>
        <v>0</v>
      </c>
      <c r="BB34" s="124">
        <f t="shared" si="20"/>
        <v>0</v>
      </c>
      <c r="BC34" s="124">
        <f t="shared" si="21"/>
        <v>0</v>
      </c>
      <c r="BD34" s="124">
        <f t="shared" si="22"/>
        <v>0</v>
      </c>
      <c r="BE34" s="124">
        <f t="shared" si="23"/>
        <v>0</v>
      </c>
      <c r="BF34" s="124">
        <f t="shared" si="24"/>
        <v>0</v>
      </c>
      <c r="BG34" s="124">
        <f t="shared" si="25"/>
        <v>0</v>
      </c>
      <c r="BH34" s="124">
        <f t="shared" si="26"/>
        <v>0</v>
      </c>
      <c r="BJ34" s="121">
        <f t="shared" si="27"/>
        <v>0</v>
      </c>
      <c r="BK34" s="122" t="b">
        <f t="shared" si="28"/>
        <v>1</v>
      </c>
      <c r="BL34" s="121">
        <f t="shared" si="29"/>
        <v>0</v>
      </c>
    </row>
    <row r="35" spans="1:64">
      <c r="A35" s="88">
        <v>32</v>
      </c>
      <c r="B35" s="88"/>
      <c r="C35" s="75"/>
      <c r="D35" s="89"/>
      <c r="E35" s="90"/>
      <c r="F35" s="91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3"/>
      <c r="AC35" s="94">
        <f t="shared" si="1"/>
        <v>0</v>
      </c>
      <c r="AD35" s="95">
        <v>1</v>
      </c>
      <c r="AE35" s="94">
        <f t="shared" si="2"/>
        <v>0</v>
      </c>
      <c r="AF35" s="96">
        <f t="shared" si="3"/>
        <v>0</v>
      </c>
      <c r="AG35" s="97">
        <v>0</v>
      </c>
      <c r="AH35" s="97">
        <v>0.05</v>
      </c>
      <c r="AI35" s="98">
        <f t="shared" si="4"/>
        <v>0</v>
      </c>
      <c r="AJ35" s="75"/>
      <c r="AM35" s="124">
        <f t="shared" si="5"/>
        <v>0</v>
      </c>
      <c r="AN35" s="124">
        <f t="shared" si="6"/>
        <v>0</v>
      </c>
      <c r="AO35" s="124">
        <f t="shared" si="7"/>
        <v>0</v>
      </c>
      <c r="AP35" s="124">
        <f t="shared" si="8"/>
        <v>0</v>
      </c>
      <c r="AQ35" s="124">
        <f t="shared" si="9"/>
        <v>0</v>
      </c>
      <c r="AR35" s="124">
        <f t="shared" si="10"/>
        <v>0</v>
      </c>
      <c r="AS35" s="124">
        <f t="shared" si="11"/>
        <v>0</v>
      </c>
      <c r="AT35" s="124">
        <f t="shared" si="12"/>
        <v>0</v>
      </c>
      <c r="AU35" s="124">
        <f t="shared" si="13"/>
        <v>0</v>
      </c>
      <c r="AV35" s="124">
        <f t="shared" si="14"/>
        <v>0</v>
      </c>
      <c r="AW35" s="124">
        <f t="shared" si="15"/>
        <v>0</v>
      </c>
      <c r="AX35" s="124">
        <f t="shared" si="16"/>
        <v>0</v>
      </c>
      <c r="AY35" s="124">
        <f t="shared" si="17"/>
        <v>0</v>
      </c>
      <c r="AZ35" s="124">
        <f t="shared" si="18"/>
        <v>0</v>
      </c>
      <c r="BA35" s="124">
        <f t="shared" si="19"/>
        <v>0</v>
      </c>
      <c r="BB35" s="124">
        <f t="shared" si="20"/>
        <v>0</v>
      </c>
      <c r="BC35" s="124">
        <f t="shared" si="21"/>
        <v>0</v>
      </c>
      <c r="BD35" s="124">
        <f t="shared" si="22"/>
        <v>0</v>
      </c>
      <c r="BE35" s="124">
        <f t="shared" si="23"/>
        <v>0</v>
      </c>
      <c r="BF35" s="124">
        <f t="shared" si="24"/>
        <v>0</v>
      </c>
      <c r="BG35" s="124">
        <f t="shared" si="25"/>
        <v>0</v>
      </c>
      <c r="BH35" s="124">
        <f t="shared" si="26"/>
        <v>0</v>
      </c>
      <c r="BJ35" s="121">
        <f t="shared" si="27"/>
        <v>0</v>
      </c>
      <c r="BK35" s="122" t="b">
        <f t="shared" si="28"/>
        <v>1</v>
      </c>
      <c r="BL35" s="121">
        <f t="shared" si="29"/>
        <v>0</v>
      </c>
    </row>
    <row r="36" spans="1:64">
      <c r="A36" s="88">
        <v>33</v>
      </c>
      <c r="B36" s="88"/>
      <c r="C36" s="75"/>
      <c r="D36" s="89"/>
      <c r="E36" s="90"/>
      <c r="F36" s="91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3"/>
      <c r="AC36" s="94">
        <f t="shared" ref="AC36:AC67" si="30">SUM(G36:AB36)</f>
        <v>0</v>
      </c>
      <c r="AD36" s="95">
        <v>1</v>
      </c>
      <c r="AE36" s="94">
        <f t="shared" si="2"/>
        <v>0</v>
      </c>
      <c r="AF36" s="96">
        <f t="shared" ref="AF36:AF67" si="31">F36</f>
        <v>0</v>
      </c>
      <c r="AG36" s="97">
        <v>0</v>
      </c>
      <c r="AH36" s="97">
        <v>0.05</v>
      </c>
      <c r="AI36" s="98">
        <f t="shared" si="4"/>
        <v>0</v>
      </c>
      <c r="AJ36" s="75"/>
      <c r="AM36" s="124">
        <f t="shared" ref="AM36:AM67" si="32">(($AF36*(1+$AG36))*(1+$AH36))*G36</f>
        <v>0</v>
      </c>
      <c r="AN36" s="124">
        <f t="shared" ref="AN36:AN67" si="33">(($AF36*(1+$AG36))*(1+$AH36))*H36</f>
        <v>0</v>
      </c>
      <c r="AO36" s="124">
        <f t="shared" ref="AO36:AO67" si="34">(($AF36*(1+$AG36))*(1+$AH36))*I36</f>
        <v>0</v>
      </c>
      <c r="AP36" s="124">
        <f t="shared" ref="AP36:AP67" si="35">(($AF36*(1+$AG36))*(1+$AH36))*J36</f>
        <v>0</v>
      </c>
      <c r="AQ36" s="124">
        <f t="shared" ref="AQ36:AQ67" si="36">(($AF36*(1+$AG36))*(1+$AH36))*K36</f>
        <v>0</v>
      </c>
      <c r="AR36" s="124">
        <f t="shared" ref="AR36:AR67" si="37">(($AF36*(1+$AG36))*(1+$AH36))*L36</f>
        <v>0</v>
      </c>
      <c r="AS36" s="124">
        <f t="shared" ref="AS36:AS67" si="38">(($AF36*(1+$AG36))*(1+$AH36))*M36</f>
        <v>0</v>
      </c>
      <c r="AT36" s="124">
        <f t="shared" ref="AT36:AT67" si="39">(($AF36*(1+$AG36))*(1+$AH36))*N36</f>
        <v>0</v>
      </c>
      <c r="AU36" s="124">
        <f t="shared" ref="AU36:AU67" si="40">(($AF36*(1+$AG36))*(1+$AH36))*O36</f>
        <v>0</v>
      </c>
      <c r="AV36" s="124">
        <f t="shared" ref="AV36:AV67" si="41">(($AF36*(1+$AG36))*(1+$AH36))*P36</f>
        <v>0</v>
      </c>
      <c r="AW36" s="124">
        <f t="shared" ref="AW36:AW67" si="42">(($AF36*(1+$AG36))*(1+$AH36))*Q36</f>
        <v>0</v>
      </c>
      <c r="AX36" s="124">
        <f t="shared" ref="AX36:AX67" si="43">(($AF36*(1+$AG36))*(1+$AH36))*R36</f>
        <v>0</v>
      </c>
      <c r="AY36" s="124">
        <f t="shared" ref="AY36:AY67" si="44">(($AF36*(1+$AG36))*(1+$AH36))*S36</f>
        <v>0</v>
      </c>
      <c r="AZ36" s="124">
        <f t="shared" ref="AZ36:AZ67" si="45">(($AF36*(1+$AG36))*(1+$AH36))*T36</f>
        <v>0</v>
      </c>
      <c r="BA36" s="124">
        <f t="shared" ref="BA36:BA67" si="46">(($AF36*(1+$AG36))*(1+$AH36))*U36</f>
        <v>0</v>
      </c>
      <c r="BB36" s="124">
        <f t="shared" ref="BB36:BB67" si="47">(($AF36*(1+$AG36))*(1+$AH36))*V36</f>
        <v>0</v>
      </c>
      <c r="BC36" s="124">
        <f t="shared" ref="BC36:BC67" si="48">(($AF36*(1+$AG36))*(1+$AH36))*W36</f>
        <v>0</v>
      </c>
      <c r="BD36" s="124">
        <f t="shared" ref="BD36:BD67" si="49">(($AF36*(1+$AG36))*(1+$AH36))*X36</f>
        <v>0</v>
      </c>
      <c r="BE36" s="124">
        <f t="shared" ref="BE36:BE67" si="50">(($AF36*(1+$AG36))*(1+$AH36))*Y36</f>
        <v>0</v>
      </c>
      <c r="BF36" s="124">
        <f t="shared" ref="BF36:BF67" si="51">(($AF36*(1+$AG36))*(1+$AH36))*Z36</f>
        <v>0</v>
      </c>
      <c r="BG36" s="124">
        <f t="shared" ref="BG36:BG67" si="52">(($AF36*(1+$AG36))*(1+$AH36))*AA36</f>
        <v>0</v>
      </c>
      <c r="BH36" s="124">
        <f t="shared" ref="BH36:BH67" si="53">(($AF36*(1+$AG36))*(1+$AH36))*AB36</f>
        <v>0</v>
      </c>
      <c r="BJ36" s="121">
        <f t="shared" ref="BJ36:BJ67" si="54">SUM(AM36:BH36)</f>
        <v>0</v>
      </c>
      <c r="BK36" s="122" t="b">
        <f t="shared" ref="BK36:BK67" si="55">EXACT(BJ36,AI36)</f>
        <v>1</v>
      </c>
      <c r="BL36" s="121">
        <f t="shared" ref="BL36:BL67" si="56">BJ36-AI36</f>
        <v>0</v>
      </c>
    </row>
    <row r="37" spans="1:64">
      <c r="A37" s="88">
        <v>34</v>
      </c>
      <c r="B37" s="88"/>
      <c r="C37" s="75"/>
      <c r="D37" s="89"/>
      <c r="E37" s="90"/>
      <c r="F37" s="91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3"/>
      <c r="AC37" s="94">
        <f t="shared" si="30"/>
        <v>0</v>
      </c>
      <c r="AD37" s="95">
        <v>1</v>
      </c>
      <c r="AE37" s="94">
        <f t="shared" si="2"/>
        <v>0</v>
      </c>
      <c r="AF37" s="96">
        <f t="shared" si="31"/>
        <v>0</v>
      </c>
      <c r="AG37" s="97">
        <v>0</v>
      </c>
      <c r="AH37" s="97">
        <v>0.05</v>
      </c>
      <c r="AI37" s="98">
        <f t="shared" si="4"/>
        <v>0</v>
      </c>
      <c r="AJ37" s="75"/>
      <c r="AM37" s="124">
        <f t="shared" si="32"/>
        <v>0</v>
      </c>
      <c r="AN37" s="124">
        <f t="shared" si="33"/>
        <v>0</v>
      </c>
      <c r="AO37" s="124">
        <f t="shared" si="34"/>
        <v>0</v>
      </c>
      <c r="AP37" s="124">
        <f t="shared" si="35"/>
        <v>0</v>
      </c>
      <c r="AQ37" s="124">
        <f t="shared" si="36"/>
        <v>0</v>
      </c>
      <c r="AR37" s="124">
        <f t="shared" si="37"/>
        <v>0</v>
      </c>
      <c r="AS37" s="124">
        <f t="shared" si="38"/>
        <v>0</v>
      </c>
      <c r="AT37" s="124">
        <f t="shared" si="39"/>
        <v>0</v>
      </c>
      <c r="AU37" s="124">
        <f t="shared" si="40"/>
        <v>0</v>
      </c>
      <c r="AV37" s="124">
        <f t="shared" si="41"/>
        <v>0</v>
      </c>
      <c r="AW37" s="124">
        <f t="shared" si="42"/>
        <v>0</v>
      </c>
      <c r="AX37" s="124">
        <f t="shared" si="43"/>
        <v>0</v>
      </c>
      <c r="AY37" s="124">
        <f t="shared" si="44"/>
        <v>0</v>
      </c>
      <c r="AZ37" s="124">
        <f t="shared" si="45"/>
        <v>0</v>
      </c>
      <c r="BA37" s="124">
        <f t="shared" si="46"/>
        <v>0</v>
      </c>
      <c r="BB37" s="124">
        <f t="shared" si="47"/>
        <v>0</v>
      </c>
      <c r="BC37" s="124">
        <f t="shared" si="48"/>
        <v>0</v>
      </c>
      <c r="BD37" s="124">
        <f t="shared" si="49"/>
        <v>0</v>
      </c>
      <c r="BE37" s="124">
        <f t="shared" si="50"/>
        <v>0</v>
      </c>
      <c r="BF37" s="124">
        <f t="shared" si="51"/>
        <v>0</v>
      </c>
      <c r="BG37" s="124">
        <f t="shared" si="52"/>
        <v>0</v>
      </c>
      <c r="BH37" s="124">
        <f t="shared" si="53"/>
        <v>0</v>
      </c>
      <c r="BJ37" s="121">
        <f t="shared" si="54"/>
        <v>0</v>
      </c>
      <c r="BK37" s="122" t="b">
        <f t="shared" si="55"/>
        <v>1</v>
      </c>
      <c r="BL37" s="121">
        <f t="shared" si="56"/>
        <v>0</v>
      </c>
    </row>
    <row r="38" spans="1:64">
      <c r="A38" s="88">
        <v>35</v>
      </c>
      <c r="B38" s="88"/>
      <c r="C38" s="75"/>
      <c r="D38" s="89"/>
      <c r="E38" s="90"/>
      <c r="F38" s="91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93"/>
      <c r="AC38" s="94">
        <f t="shared" si="30"/>
        <v>0</v>
      </c>
      <c r="AD38" s="95">
        <v>1</v>
      </c>
      <c r="AE38" s="94">
        <f t="shared" si="2"/>
        <v>0</v>
      </c>
      <c r="AF38" s="96">
        <f t="shared" si="31"/>
        <v>0</v>
      </c>
      <c r="AG38" s="97">
        <v>0</v>
      </c>
      <c r="AH38" s="97">
        <v>0.05</v>
      </c>
      <c r="AI38" s="98">
        <f t="shared" si="4"/>
        <v>0</v>
      </c>
      <c r="AJ38" s="75"/>
      <c r="AM38" s="124">
        <f t="shared" si="32"/>
        <v>0</v>
      </c>
      <c r="AN38" s="124">
        <f t="shared" si="33"/>
        <v>0</v>
      </c>
      <c r="AO38" s="124">
        <f t="shared" si="34"/>
        <v>0</v>
      </c>
      <c r="AP38" s="124">
        <f t="shared" si="35"/>
        <v>0</v>
      </c>
      <c r="AQ38" s="124">
        <f t="shared" si="36"/>
        <v>0</v>
      </c>
      <c r="AR38" s="124">
        <f t="shared" si="37"/>
        <v>0</v>
      </c>
      <c r="AS38" s="124">
        <f t="shared" si="38"/>
        <v>0</v>
      </c>
      <c r="AT38" s="124">
        <f t="shared" si="39"/>
        <v>0</v>
      </c>
      <c r="AU38" s="124">
        <f t="shared" si="40"/>
        <v>0</v>
      </c>
      <c r="AV38" s="124">
        <f t="shared" si="41"/>
        <v>0</v>
      </c>
      <c r="AW38" s="124">
        <f t="shared" si="42"/>
        <v>0</v>
      </c>
      <c r="AX38" s="124">
        <f t="shared" si="43"/>
        <v>0</v>
      </c>
      <c r="AY38" s="124">
        <f t="shared" si="44"/>
        <v>0</v>
      </c>
      <c r="AZ38" s="124">
        <f t="shared" si="45"/>
        <v>0</v>
      </c>
      <c r="BA38" s="124">
        <f t="shared" si="46"/>
        <v>0</v>
      </c>
      <c r="BB38" s="124">
        <f t="shared" si="47"/>
        <v>0</v>
      </c>
      <c r="BC38" s="124">
        <f t="shared" si="48"/>
        <v>0</v>
      </c>
      <c r="BD38" s="124">
        <f t="shared" si="49"/>
        <v>0</v>
      </c>
      <c r="BE38" s="124">
        <f t="shared" si="50"/>
        <v>0</v>
      </c>
      <c r="BF38" s="124">
        <f t="shared" si="51"/>
        <v>0</v>
      </c>
      <c r="BG38" s="124">
        <f t="shared" si="52"/>
        <v>0</v>
      </c>
      <c r="BH38" s="124">
        <f t="shared" si="53"/>
        <v>0</v>
      </c>
      <c r="BJ38" s="121">
        <f t="shared" si="54"/>
        <v>0</v>
      </c>
      <c r="BK38" s="122" t="b">
        <f t="shared" si="55"/>
        <v>1</v>
      </c>
      <c r="BL38" s="121">
        <f t="shared" si="56"/>
        <v>0</v>
      </c>
    </row>
    <row r="39" spans="1:64">
      <c r="A39" s="88">
        <v>36</v>
      </c>
      <c r="B39" s="88"/>
      <c r="C39" s="75"/>
      <c r="D39" s="89"/>
      <c r="E39" s="90"/>
      <c r="F39" s="91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93"/>
      <c r="AC39" s="94">
        <f t="shared" si="30"/>
        <v>0</v>
      </c>
      <c r="AD39" s="95">
        <v>1</v>
      </c>
      <c r="AE39" s="94">
        <f t="shared" si="2"/>
        <v>0</v>
      </c>
      <c r="AF39" s="96">
        <f t="shared" si="31"/>
        <v>0</v>
      </c>
      <c r="AG39" s="97">
        <v>0</v>
      </c>
      <c r="AH39" s="97">
        <v>0.05</v>
      </c>
      <c r="AI39" s="98">
        <f t="shared" si="4"/>
        <v>0</v>
      </c>
      <c r="AJ39" s="75"/>
      <c r="AM39" s="124">
        <f t="shared" si="32"/>
        <v>0</v>
      </c>
      <c r="AN39" s="124">
        <f t="shared" si="33"/>
        <v>0</v>
      </c>
      <c r="AO39" s="124">
        <f t="shared" si="34"/>
        <v>0</v>
      </c>
      <c r="AP39" s="124">
        <f t="shared" si="35"/>
        <v>0</v>
      </c>
      <c r="AQ39" s="124">
        <f t="shared" si="36"/>
        <v>0</v>
      </c>
      <c r="AR39" s="124">
        <f t="shared" si="37"/>
        <v>0</v>
      </c>
      <c r="AS39" s="124">
        <f t="shared" si="38"/>
        <v>0</v>
      </c>
      <c r="AT39" s="124">
        <f t="shared" si="39"/>
        <v>0</v>
      </c>
      <c r="AU39" s="124">
        <f t="shared" si="40"/>
        <v>0</v>
      </c>
      <c r="AV39" s="124">
        <f t="shared" si="41"/>
        <v>0</v>
      </c>
      <c r="AW39" s="124">
        <f t="shared" si="42"/>
        <v>0</v>
      </c>
      <c r="AX39" s="124">
        <f t="shared" si="43"/>
        <v>0</v>
      </c>
      <c r="AY39" s="124">
        <f t="shared" si="44"/>
        <v>0</v>
      </c>
      <c r="AZ39" s="124">
        <f t="shared" si="45"/>
        <v>0</v>
      </c>
      <c r="BA39" s="124">
        <f t="shared" si="46"/>
        <v>0</v>
      </c>
      <c r="BB39" s="124">
        <f t="shared" si="47"/>
        <v>0</v>
      </c>
      <c r="BC39" s="124">
        <f t="shared" si="48"/>
        <v>0</v>
      </c>
      <c r="BD39" s="124">
        <f t="shared" si="49"/>
        <v>0</v>
      </c>
      <c r="BE39" s="124">
        <f t="shared" si="50"/>
        <v>0</v>
      </c>
      <c r="BF39" s="124">
        <f t="shared" si="51"/>
        <v>0</v>
      </c>
      <c r="BG39" s="124">
        <f t="shared" si="52"/>
        <v>0</v>
      </c>
      <c r="BH39" s="124">
        <f t="shared" si="53"/>
        <v>0</v>
      </c>
      <c r="BJ39" s="121">
        <f t="shared" si="54"/>
        <v>0</v>
      </c>
      <c r="BK39" s="122" t="b">
        <f t="shared" si="55"/>
        <v>1</v>
      </c>
      <c r="BL39" s="121">
        <f t="shared" si="56"/>
        <v>0</v>
      </c>
    </row>
    <row r="40" spans="1:64" ht="12.75" customHeight="1">
      <c r="A40" s="88">
        <v>37</v>
      </c>
      <c r="B40" s="88"/>
      <c r="C40" s="75"/>
      <c r="D40" s="89"/>
      <c r="E40" s="90"/>
      <c r="F40" s="91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93"/>
      <c r="AC40" s="94">
        <f t="shared" si="30"/>
        <v>0</v>
      </c>
      <c r="AD40" s="95">
        <v>1</v>
      </c>
      <c r="AE40" s="94">
        <f t="shared" si="2"/>
        <v>0</v>
      </c>
      <c r="AF40" s="96">
        <f t="shared" si="31"/>
        <v>0</v>
      </c>
      <c r="AG40" s="97">
        <v>0</v>
      </c>
      <c r="AH40" s="97">
        <v>0.05</v>
      </c>
      <c r="AI40" s="98">
        <f t="shared" si="4"/>
        <v>0</v>
      </c>
      <c r="AJ40" s="75"/>
      <c r="AM40" s="124">
        <f t="shared" si="32"/>
        <v>0</v>
      </c>
      <c r="AN40" s="124">
        <f t="shared" si="33"/>
        <v>0</v>
      </c>
      <c r="AO40" s="124">
        <f t="shared" si="34"/>
        <v>0</v>
      </c>
      <c r="AP40" s="124">
        <f t="shared" si="35"/>
        <v>0</v>
      </c>
      <c r="AQ40" s="124">
        <f t="shared" si="36"/>
        <v>0</v>
      </c>
      <c r="AR40" s="124">
        <f t="shared" si="37"/>
        <v>0</v>
      </c>
      <c r="AS40" s="124">
        <f t="shared" si="38"/>
        <v>0</v>
      </c>
      <c r="AT40" s="124">
        <f t="shared" si="39"/>
        <v>0</v>
      </c>
      <c r="AU40" s="124">
        <f t="shared" si="40"/>
        <v>0</v>
      </c>
      <c r="AV40" s="124">
        <f t="shared" si="41"/>
        <v>0</v>
      </c>
      <c r="AW40" s="124">
        <f t="shared" si="42"/>
        <v>0</v>
      </c>
      <c r="AX40" s="124">
        <f t="shared" si="43"/>
        <v>0</v>
      </c>
      <c r="AY40" s="124">
        <f t="shared" si="44"/>
        <v>0</v>
      </c>
      <c r="AZ40" s="124">
        <f t="shared" si="45"/>
        <v>0</v>
      </c>
      <c r="BA40" s="124">
        <f t="shared" si="46"/>
        <v>0</v>
      </c>
      <c r="BB40" s="124">
        <f t="shared" si="47"/>
        <v>0</v>
      </c>
      <c r="BC40" s="124">
        <f t="shared" si="48"/>
        <v>0</v>
      </c>
      <c r="BD40" s="124">
        <f t="shared" si="49"/>
        <v>0</v>
      </c>
      <c r="BE40" s="124">
        <f t="shared" si="50"/>
        <v>0</v>
      </c>
      <c r="BF40" s="124">
        <f t="shared" si="51"/>
        <v>0</v>
      </c>
      <c r="BG40" s="124">
        <f t="shared" si="52"/>
        <v>0</v>
      </c>
      <c r="BH40" s="124">
        <f t="shared" si="53"/>
        <v>0</v>
      </c>
      <c r="BJ40" s="121">
        <f t="shared" si="54"/>
        <v>0</v>
      </c>
      <c r="BK40" s="122" t="b">
        <f t="shared" si="55"/>
        <v>1</v>
      </c>
      <c r="BL40" s="121">
        <f t="shared" si="56"/>
        <v>0</v>
      </c>
    </row>
    <row r="41" spans="1:64" ht="12.75" customHeight="1">
      <c r="A41" s="88">
        <v>38</v>
      </c>
      <c r="B41" s="88"/>
      <c r="C41" s="75"/>
      <c r="D41" s="89"/>
      <c r="E41" s="90"/>
      <c r="F41" s="91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3"/>
      <c r="AC41" s="94">
        <f t="shared" si="30"/>
        <v>0</v>
      </c>
      <c r="AD41" s="95">
        <v>1</v>
      </c>
      <c r="AE41" s="94">
        <f t="shared" si="2"/>
        <v>0</v>
      </c>
      <c r="AF41" s="96">
        <f t="shared" si="31"/>
        <v>0</v>
      </c>
      <c r="AG41" s="97">
        <v>0</v>
      </c>
      <c r="AH41" s="97">
        <v>0.05</v>
      </c>
      <c r="AI41" s="98">
        <f t="shared" si="4"/>
        <v>0</v>
      </c>
      <c r="AJ41" s="75"/>
      <c r="AM41" s="124">
        <f t="shared" si="32"/>
        <v>0</v>
      </c>
      <c r="AN41" s="124">
        <f t="shared" si="33"/>
        <v>0</v>
      </c>
      <c r="AO41" s="124">
        <f t="shared" si="34"/>
        <v>0</v>
      </c>
      <c r="AP41" s="124">
        <f t="shared" si="35"/>
        <v>0</v>
      </c>
      <c r="AQ41" s="124">
        <f t="shared" si="36"/>
        <v>0</v>
      </c>
      <c r="AR41" s="124">
        <f t="shared" si="37"/>
        <v>0</v>
      </c>
      <c r="AS41" s="124">
        <f t="shared" si="38"/>
        <v>0</v>
      </c>
      <c r="AT41" s="124">
        <f t="shared" si="39"/>
        <v>0</v>
      </c>
      <c r="AU41" s="124">
        <f t="shared" si="40"/>
        <v>0</v>
      </c>
      <c r="AV41" s="124">
        <f t="shared" si="41"/>
        <v>0</v>
      </c>
      <c r="AW41" s="124">
        <f t="shared" si="42"/>
        <v>0</v>
      </c>
      <c r="AX41" s="124">
        <f t="shared" si="43"/>
        <v>0</v>
      </c>
      <c r="AY41" s="124">
        <f t="shared" si="44"/>
        <v>0</v>
      </c>
      <c r="AZ41" s="124">
        <f t="shared" si="45"/>
        <v>0</v>
      </c>
      <c r="BA41" s="124">
        <f t="shared" si="46"/>
        <v>0</v>
      </c>
      <c r="BB41" s="124">
        <f t="shared" si="47"/>
        <v>0</v>
      </c>
      <c r="BC41" s="124">
        <f t="shared" si="48"/>
        <v>0</v>
      </c>
      <c r="BD41" s="124">
        <f t="shared" si="49"/>
        <v>0</v>
      </c>
      <c r="BE41" s="124">
        <f t="shared" si="50"/>
        <v>0</v>
      </c>
      <c r="BF41" s="124">
        <f t="shared" si="51"/>
        <v>0</v>
      </c>
      <c r="BG41" s="124">
        <f t="shared" si="52"/>
        <v>0</v>
      </c>
      <c r="BH41" s="124">
        <f t="shared" si="53"/>
        <v>0</v>
      </c>
      <c r="BJ41" s="121">
        <f t="shared" si="54"/>
        <v>0</v>
      </c>
      <c r="BK41" s="122" t="b">
        <f t="shared" si="55"/>
        <v>1</v>
      </c>
      <c r="BL41" s="121">
        <f t="shared" si="56"/>
        <v>0</v>
      </c>
    </row>
    <row r="42" spans="1:64" ht="12.75" customHeight="1">
      <c r="A42" s="88">
        <v>39</v>
      </c>
      <c r="B42" s="88"/>
      <c r="C42" s="75"/>
      <c r="D42" s="89"/>
      <c r="E42" s="90"/>
      <c r="F42" s="91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3"/>
      <c r="AC42" s="94">
        <f t="shared" si="30"/>
        <v>0</v>
      </c>
      <c r="AD42" s="95">
        <v>1</v>
      </c>
      <c r="AE42" s="94">
        <f t="shared" si="2"/>
        <v>0</v>
      </c>
      <c r="AF42" s="96">
        <f t="shared" si="31"/>
        <v>0</v>
      </c>
      <c r="AG42" s="97">
        <v>0</v>
      </c>
      <c r="AH42" s="97">
        <v>0.05</v>
      </c>
      <c r="AI42" s="98">
        <f t="shared" si="4"/>
        <v>0</v>
      </c>
      <c r="AJ42" s="75"/>
      <c r="AM42" s="124">
        <f t="shared" si="32"/>
        <v>0</v>
      </c>
      <c r="AN42" s="124">
        <f t="shared" si="33"/>
        <v>0</v>
      </c>
      <c r="AO42" s="124">
        <f t="shared" si="34"/>
        <v>0</v>
      </c>
      <c r="AP42" s="124">
        <f t="shared" si="35"/>
        <v>0</v>
      </c>
      <c r="AQ42" s="124">
        <f t="shared" si="36"/>
        <v>0</v>
      </c>
      <c r="AR42" s="124">
        <f t="shared" si="37"/>
        <v>0</v>
      </c>
      <c r="AS42" s="124">
        <f t="shared" si="38"/>
        <v>0</v>
      </c>
      <c r="AT42" s="124">
        <f t="shared" si="39"/>
        <v>0</v>
      </c>
      <c r="AU42" s="124">
        <f t="shared" si="40"/>
        <v>0</v>
      </c>
      <c r="AV42" s="124">
        <f t="shared" si="41"/>
        <v>0</v>
      </c>
      <c r="AW42" s="124">
        <f t="shared" si="42"/>
        <v>0</v>
      </c>
      <c r="AX42" s="124">
        <f t="shared" si="43"/>
        <v>0</v>
      </c>
      <c r="AY42" s="124">
        <f t="shared" si="44"/>
        <v>0</v>
      </c>
      <c r="AZ42" s="124">
        <f t="shared" si="45"/>
        <v>0</v>
      </c>
      <c r="BA42" s="124">
        <f t="shared" si="46"/>
        <v>0</v>
      </c>
      <c r="BB42" s="124">
        <f t="shared" si="47"/>
        <v>0</v>
      </c>
      <c r="BC42" s="124">
        <f t="shared" si="48"/>
        <v>0</v>
      </c>
      <c r="BD42" s="124">
        <f t="shared" si="49"/>
        <v>0</v>
      </c>
      <c r="BE42" s="124">
        <f t="shared" si="50"/>
        <v>0</v>
      </c>
      <c r="BF42" s="124">
        <f t="shared" si="51"/>
        <v>0</v>
      </c>
      <c r="BG42" s="124">
        <f t="shared" si="52"/>
        <v>0</v>
      </c>
      <c r="BH42" s="124">
        <f t="shared" si="53"/>
        <v>0</v>
      </c>
      <c r="BJ42" s="121">
        <f t="shared" si="54"/>
        <v>0</v>
      </c>
      <c r="BK42" s="122" t="b">
        <f t="shared" si="55"/>
        <v>1</v>
      </c>
      <c r="BL42" s="121">
        <f t="shared" si="56"/>
        <v>0</v>
      </c>
    </row>
    <row r="43" spans="1:64" ht="12.75" customHeight="1">
      <c r="A43" s="88">
        <v>40</v>
      </c>
      <c r="B43" s="88"/>
      <c r="C43" s="75"/>
      <c r="D43" s="89"/>
      <c r="E43" s="90"/>
      <c r="F43" s="91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3"/>
      <c r="AC43" s="94">
        <f t="shared" si="30"/>
        <v>0</v>
      </c>
      <c r="AD43" s="95">
        <v>1</v>
      </c>
      <c r="AE43" s="94">
        <f t="shared" si="2"/>
        <v>0</v>
      </c>
      <c r="AF43" s="96">
        <f t="shared" si="31"/>
        <v>0</v>
      </c>
      <c r="AG43" s="97">
        <v>0</v>
      </c>
      <c r="AH43" s="97">
        <v>0.05</v>
      </c>
      <c r="AI43" s="98">
        <f t="shared" si="4"/>
        <v>0</v>
      </c>
      <c r="AJ43" s="75"/>
      <c r="AM43" s="124">
        <f t="shared" si="32"/>
        <v>0</v>
      </c>
      <c r="AN43" s="124">
        <f t="shared" si="33"/>
        <v>0</v>
      </c>
      <c r="AO43" s="124">
        <f t="shared" si="34"/>
        <v>0</v>
      </c>
      <c r="AP43" s="124">
        <f t="shared" si="35"/>
        <v>0</v>
      </c>
      <c r="AQ43" s="124">
        <f t="shared" si="36"/>
        <v>0</v>
      </c>
      <c r="AR43" s="124">
        <f t="shared" si="37"/>
        <v>0</v>
      </c>
      <c r="AS43" s="124">
        <f t="shared" si="38"/>
        <v>0</v>
      </c>
      <c r="AT43" s="124">
        <f t="shared" si="39"/>
        <v>0</v>
      </c>
      <c r="AU43" s="124">
        <f t="shared" si="40"/>
        <v>0</v>
      </c>
      <c r="AV43" s="124">
        <f t="shared" si="41"/>
        <v>0</v>
      </c>
      <c r="AW43" s="124">
        <f t="shared" si="42"/>
        <v>0</v>
      </c>
      <c r="AX43" s="124">
        <f t="shared" si="43"/>
        <v>0</v>
      </c>
      <c r="AY43" s="124">
        <f t="shared" si="44"/>
        <v>0</v>
      </c>
      <c r="AZ43" s="124">
        <f t="shared" si="45"/>
        <v>0</v>
      </c>
      <c r="BA43" s="124">
        <f t="shared" si="46"/>
        <v>0</v>
      </c>
      <c r="BB43" s="124">
        <f t="shared" si="47"/>
        <v>0</v>
      </c>
      <c r="BC43" s="124">
        <f t="shared" si="48"/>
        <v>0</v>
      </c>
      <c r="BD43" s="124">
        <f t="shared" si="49"/>
        <v>0</v>
      </c>
      <c r="BE43" s="124">
        <f t="shared" si="50"/>
        <v>0</v>
      </c>
      <c r="BF43" s="124">
        <f t="shared" si="51"/>
        <v>0</v>
      </c>
      <c r="BG43" s="124">
        <f t="shared" si="52"/>
        <v>0</v>
      </c>
      <c r="BH43" s="124">
        <f t="shared" si="53"/>
        <v>0</v>
      </c>
      <c r="BJ43" s="121">
        <f t="shared" si="54"/>
        <v>0</v>
      </c>
      <c r="BK43" s="122" t="b">
        <f t="shared" si="55"/>
        <v>1</v>
      </c>
      <c r="BL43" s="121">
        <f t="shared" si="56"/>
        <v>0</v>
      </c>
    </row>
    <row r="44" spans="1:64" ht="12.75" customHeight="1">
      <c r="A44" s="88">
        <v>41</v>
      </c>
      <c r="B44" s="88"/>
      <c r="C44" s="75"/>
      <c r="D44" s="89"/>
      <c r="E44" s="90"/>
      <c r="F44" s="91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3"/>
      <c r="AC44" s="94">
        <f t="shared" si="30"/>
        <v>0</v>
      </c>
      <c r="AD44" s="95">
        <v>1</v>
      </c>
      <c r="AE44" s="94">
        <f t="shared" si="2"/>
        <v>0</v>
      </c>
      <c r="AF44" s="96">
        <f t="shared" si="31"/>
        <v>0</v>
      </c>
      <c r="AG44" s="97">
        <v>0</v>
      </c>
      <c r="AH44" s="97">
        <v>0.05</v>
      </c>
      <c r="AI44" s="98">
        <f t="shared" si="4"/>
        <v>0</v>
      </c>
      <c r="AJ44" s="75"/>
      <c r="AM44" s="124">
        <f t="shared" si="32"/>
        <v>0</v>
      </c>
      <c r="AN44" s="124">
        <f t="shared" si="33"/>
        <v>0</v>
      </c>
      <c r="AO44" s="124">
        <f t="shared" si="34"/>
        <v>0</v>
      </c>
      <c r="AP44" s="124">
        <f t="shared" si="35"/>
        <v>0</v>
      </c>
      <c r="AQ44" s="124">
        <f t="shared" si="36"/>
        <v>0</v>
      </c>
      <c r="AR44" s="124">
        <f t="shared" si="37"/>
        <v>0</v>
      </c>
      <c r="AS44" s="124">
        <f t="shared" si="38"/>
        <v>0</v>
      </c>
      <c r="AT44" s="124">
        <f t="shared" si="39"/>
        <v>0</v>
      </c>
      <c r="AU44" s="124">
        <f t="shared" si="40"/>
        <v>0</v>
      </c>
      <c r="AV44" s="124">
        <f t="shared" si="41"/>
        <v>0</v>
      </c>
      <c r="AW44" s="124">
        <f t="shared" si="42"/>
        <v>0</v>
      </c>
      <c r="AX44" s="124">
        <f t="shared" si="43"/>
        <v>0</v>
      </c>
      <c r="AY44" s="124">
        <f t="shared" si="44"/>
        <v>0</v>
      </c>
      <c r="AZ44" s="124">
        <f t="shared" si="45"/>
        <v>0</v>
      </c>
      <c r="BA44" s="124">
        <f t="shared" si="46"/>
        <v>0</v>
      </c>
      <c r="BB44" s="124">
        <f t="shared" si="47"/>
        <v>0</v>
      </c>
      <c r="BC44" s="124">
        <f t="shared" si="48"/>
        <v>0</v>
      </c>
      <c r="BD44" s="124">
        <f t="shared" si="49"/>
        <v>0</v>
      </c>
      <c r="BE44" s="124">
        <f t="shared" si="50"/>
        <v>0</v>
      </c>
      <c r="BF44" s="124">
        <f t="shared" si="51"/>
        <v>0</v>
      </c>
      <c r="BG44" s="124">
        <f t="shared" si="52"/>
        <v>0</v>
      </c>
      <c r="BH44" s="124">
        <f t="shared" si="53"/>
        <v>0</v>
      </c>
      <c r="BJ44" s="121">
        <f t="shared" si="54"/>
        <v>0</v>
      </c>
      <c r="BK44" s="122" t="b">
        <f t="shared" si="55"/>
        <v>1</v>
      </c>
      <c r="BL44" s="121">
        <f t="shared" si="56"/>
        <v>0</v>
      </c>
    </row>
    <row r="45" spans="1:64" ht="12.75" customHeight="1">
      <c r="A45" s="88">
        <v>42</v>
      </c>
      <c r="B45" s="88"/>
      <c r="C45" s="75"/>
      <c r="D45" s="89"/>
      <c r="E45" s="90"/>
      <c r="F45" s="91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3"/>
      <c r="AC45" s="94">
        <f t="shared" si="30"/>
        <v>0</v>
      </c>
      <c r="AD45" s="95">
        <v>1</v>
      </c>
      <c r="AE45" s="94">
        <f t="shared" si="2"/>
        <v>0</v>
      </c>
      <c r="AF45" s="96">
        <f t="shared" si="31"/>
        <v>0</v>
      </c>
      <c r="AG45" s="97">
        <v>0</v>
      </c>
      <c r="AH45" s="97">
        <v>0.05</v>
      </c>
      <c r="AI45" s="98">
        <f t="shared" si="4"/>
        <v>0</v>
      </c>
      <c r="AJ45" s="75"/>
      <c r="AM45" s="124">
        <f t="shared" si="32"/>
        <v>0</v>
      </c>
      <c r="AN45" s="124">
        <f t="shared" si="33"/>
        <v>0</v>
      </c>
      <c r="AO45" s="124">
        <f t="shared" si="34"/>
        <v>0</v>
      </c>
      <c r="AP45" s="124">
        <f t="shared" si="35"/>
        <v>0</v>
      </c>
      <c r="AQ45" s="124">
        <f t="shared" si="36"/>
        <v>0</v>
      </c>
      <c r="AR45" s="124">
        <f t="shared" si="37"/>
        <v>0</v>
      </c>
      <c r="AS45" s="124">
        <f t="shared" si="38"/>
        <v>0</v>
      </c>
      <c r="AT45" s="124">
        <f t="shared" si="39"/>
        <v>0</v>
      </c>
      <c r="AU45" s="124">
        <f t="shared" si="40"/>
        <v>0</v>
      </c>
      <c r="AV45" s="124">
        <f t="shared" si="41"/>
        <v>0</v>
      </c>
      <c r="AW45" s="124">
        <f t="shared" si="42"/>
        <v>0</v>
      </c>
      <c r="AX45" s="124">
        <f t="shared" si="43"/>
        <v>0</v>
      </c>
      <c r="AY45" s="124">
        <f t="shared" si="44"/>
        <v>0</v>
      </c>
      <c r="AZ45" s="124">
        <f t="shared" si="45"/>
        <v>0</v>
      </c>
      <c r="BA45" s="124">
        <f t="shared" si="46"/>
        <v>0</v>
      </c>
      <c r="BB45" s="124">
        <f t="shared" si="47"/>
        <v>0</v>
      </c>
      <c r="BC45" s="124">
        <f t="shared" si="48"/>
        <v>0</v>
      </c>
      <c r="BD45" s="124">
        <f t="shared" si="49"/>
        <v>0</v>
      </c>
      <c r="BE45" s="124">
        <f t="shared" si="50"/>
        <v>0</v>
      </c>
      <c r="BF45" s="124">
        <f t="shared" si="51"/>
        <v>0</v>
      </c>
      <c r="BG45" s="124">
        <f t="shared" si="52"/>
        <v>0</v>
      </c>
      <c r="BH45" s="124">
        <f t="shared" si="53"/>
        <v>0</v>
      </c>
      <c r="BJ45" s="121">
        <f t="shared" si="54"/>
        <v>0</v>
      </c>
      <c r="BK45" s="122" t="b">
        <f t="shared" si="55"/>
        <v>1</v>
      </c>
      <c r="BL45" s="121">
        <f t="shared" si="56"/>
        <v>0</v>
      </c>
    </row>
    <row r="46" spans="1:64" ht="12.75" customHeight="1">
      <c r="A46" s="88">
        <v>43</v>
      </c>
      <c r="B46" s="88"/>
      <c r="C46" s="75"/>
      <c r="D46" s="89"/>
      <c r="E46" s="90"/>
      <c r="F46" s="91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3"/>
      <c r="AC46" s="94">
        <f t="shared" si="30"/>
        <v>0</v>
      </c>
      <c r="AD46" s="95">
        <v>1</v>
      </c>
      <c r="AE46" s="94">
        <f t="shared" si="2"/>
        <v>0</v>
      </c>
      <c r="AF46" s="96">
        <f t="shared" si="31"/>
        <v>0</v>
      </c>
      <c r="AG46" s="97">
        <v>0</v>
      </c>
      <c r="AH46" s="97">
        <v>0.05</v>
      </c>
      <c r="AI46" s="98">
        <f t="shared" si="4"/>
        <v>0</v>
      </c>
      <c r="AJ46" s="75"/>
      <c r="AM46" s="124">
        <f t="shared" si="32"/>
        <v>0</v>
      </c>
      <c r="AN46" s="124">
        <f t="shared" si="33"/>
        <v>0</v>
      </c>
      <c r="AO46" s="124">
        <f t="shared" si="34"/>
        <v>0</v>
      </c>
      <c r="AP46" s="124">
        <f t="shared" si="35"/>
        <v>0</v>
      </c>
      <c r="AQ46" s="124">
        <f t="shared" si="36"/>
        <v>0</v>
      </c>
      <c r="AR46" s="124">
        <f t="shared" si="37"/>
        <v>0</v>
      </c>
      <c r="AS46" s="124">
        <f t="shared" si="38"/>
        <v>0</v>
      </c>
      <c r="AT46" s="124">
        <f t="shared" si="39"/>
        <v>0</v>
      </c>
      <c r="AU46" s="124">
        <f t="shared" si="40"/>
        <v>0</v>
      </c>
      <c r="AV46" s="124">
        <f t="shared" si="41"/>
        <v>0</v>
      </c>
      <c r="AW46" s="124">
        <f t="shared" si="42"/>
        <v>0</v>
      </c>
      <c r="AX46" s="124">
        <f t="shared" si="43"/>
        <v>0</v>
      </c>
      <c r="AY46" s="124">
        <f t="shared" si="44"/>
        <v>0</v>
      </c>
      <c r="AZ46" s="124">
        <f t="shared" si="45"/>
        <v>0</v>
      </c>
      <c r="BA46" s="124">
        <f t="shared" si="46"/>
        <v>0</v>
      </c>
      <c r="BB46" s="124">
        <f t="shared" si="47"/>
        <v>0</v>
      </c>
      <c r="BC46" s="124">
        <f t="shared" si="48"/>
        <v>0</v>
      </c>
      <c r="BD46" s="124">
        <f t="shared" si="49"/>
        <v>0</v>
      </c>
      <c r="BE46" s="124">
        <f t="shared" si="50"/>
        <v>0</v>
      </c>
      <c r="BF46" s="124">
        <f t="shared" si="51"/>
        <v>0</v>
      </c>
      <c r="BG46" s="124">
        <f t="shared" si="52"/>
        <v>0</v>
      </c>
      <c r="BH46" s="124">
        <f t="shared" si="53"/>
        <v>0</v>
      </c>
      <c r="BJ46" s="121">
        <f t="shared" si="54"/>
        <v>0</v>
      </c>
      <c r="BK46" s="122" t="b">
        <f t="shared" si="55"/>
        <v>1</v>
      </c>
      <c r="BL46" s="121">
        <f t="shared" si="56"/>
        <v>0</v>
      </c>
    </row>
    <row r="47" spans="1:64" ht="12.75" customHeight="1">
      <c r="A47" s="88">
        <v>44</v>
      </c>
      <c r="B47" s="88"/>
      <c r="C47" s="75"/>
      <c r="D47" s="89"/>
      <c r="E47" s="90"/>
      <c r="F47" s="91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3"/>
      <c r="AC47" s="94">
        <f t="shared" si="30"/>
        <v>0</v>
      </c>
      <c r="AD47" s="95">
        <v>1</v>
      </c>
      <c r="AE47" s="94">
        <f t="shared" si="2"/>
        <v>0</v>
      </c>
      <c r="AF47" s="96">
        <f t="shared" si="31"/>
        <v>0</v>
      </c>
      <c r="AG47" s="97">
        <v>0</v>
      </c>
      <c r="AH47" s="97">
        <v>0.05</v>
      </c>
      <c r="AI47" s="98">
        <f t="shared" si="4"/>
        <v>0</v>
      </c>
      <c r="AJ47" s="75"/>
      <c r="AM47" s="124">
        <f t="shared" si="32"/>
        <v>0</v>
      </c>
      <c r="AN47" s="124">
        <f t="shared" si="33"/>
        <v>0</v>
      </c>
      <c r="AO47" s="124">
        <f t="shared" si="34"/>
        <v>0</v>
      </c>
      <c r="AP47" s="124">
        <f t="shared" si="35"/>
        <v>0</v>
      </c>
      <c r="AQ47" s="124">
        <f t="shared" si="36"/>
        <v>0</v>
      </c>
      <c r="AR47" s="124">
        <f t="shared" si="37"/>
        <v>0</v>
      </c>
      <c r="AS47" s="124">
        <f t="shared" si="38"/>
        <v>0</v>
      </c>
      <c r="AT47" s="124">
        <f t="shared" si="39"/>
        <v>0</v>
      </c>
      <c r="AU47" s="124">
        <f t="shared" si="40"/>
        <v>0</v>
      </c>
      <c r="AV47" s="124">
        <f t="shared" si="41"/>
        <v>0</v>
      </c>
      <c r="AW47" s="124">
        <f t="shared" si="42"/>
        <v>0</v>
      </c>
      <c r="AX47" s="124">
        <f t="shared" si="43"/>
        <v>0</v>
      </c>
      <c r="AY47" s="124">
        <f t="shared" si="44"/>
        <v>0</v>
      </c>
      <c r="AZ47" s="124">
        <f t="shared" si="45"/>
        <v>0</v>
      </c>
      <c r="BA47" s="124">
        <f t="shared" si="46"/>
        <v>0</v>
      </c>
      <c r="BB47" s="124">
        <f t="shared" si="47"/>
        <v>0</v>
      </c>
      <c r="BC47" s="124">
        <f t="shared" si="48"/>
        <v>0</v>
      </c>
      <c r="BD47" s="124">
        <f t="shared" si="49"/>
        <v>0</v>
      </c>
      <c r="BE47" s="124">
        <f t="shared" si="50"/>
        <v>0</v>
      </c>
      <c r="BF47" s="124">
        <f t="shared" si="51"/>
        <v>0</v>
      </c>
      <c r="BG47" s="124">
        <f t="shared" si="52"/>
        <v>0</v>
      </c>
      <c r="BH47" s="124">
        <f t="shared" si="53"/>
        <v>0</v>
      </c>
      <c r="BJ47" s="121">
        <f t="shared" si="54"/>
        <v>0</v>
      </c>
      <c r="BK47" s="122" t="b">
        <f t="shared" si="55"/>
        <v>1</v>
      </c>
      <c r="BL47" s="121">
        <f t="shared" si="56"/>
        <v>0</v>
      </c>
    </row>
    <row r="48" spans="1:64" ht="12.75" customHeight="1">
      <c r="A48" s="88">
        <v>45</v>
      </c>
      <c r="B48" s="88"/>
      <c r="C48" s="75"/>
      <c r="D48" s="89"/>
      <c r="E48" s="90"/>
      <c r="F48" s="91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3"/>
      <c r="AC48" s="94">
        <f t="shared" si="30"/>
        <v>0</v>
      </c>
      <c r="AD48" s="95">
        <v>1</v>
      </c>
      <c r="AE48" s="94">
        <f t="shared" si="2"/>
        <v>0</v>
      </c>
      <c r="AF48" s="96">
        <f t="shared" si="31"/>
        <v>0</v>
      </c>
      <c r="AG48" s="97">
        <v>0</v>
      </c>
      <c r="AH48" s="97">
        <v>0.05</v>
      </c>
      <c r="AI48" s="98">
        <f t="shared" si="4"/>
        <v>0</v>
      </c>
      <c r="AJ48" s="75"/>
      <c r="AM48" s="124">
        <f t="shared" si="32"/>
        <v>0</v>
      </c>
      <c r="AN48" s="124">
        <f t="shared" si="33"/>
        <v>0</v>
      </c>
      <c r="AO48" s="124">
        <f t="shared" si="34"/>
        <v>0</v>
      </c>
      <c r="AP48" s="124">
        <f t="shared" si="35"/>
        <v>0</v>
      </c>
      <c r="AQ48" s="124">
        <f t="shared" si="36"/>
        <v>0</v>
      </c>
      <c r="AR48" s="124">
        <f t="shared" si="37"/>
        <v>0</v>
      </c>
      <c r="AS48" s="124">
        <f t="shared" si="38"/>
        <v>0</v>
      </c>
      <c r="AT48" s="124">
        <f t="shared" si="39"/>
        <v>0</v>
      </c>
      <c r="AU48" s="124">
        <f t="shared" si="40"/>
        <v>0</v>
      </c>
      <c r="AV48" s="124">
        <f t="shared" si="41"/>
        <v>0</v>
      </c>
      <c r="AW48" s="124">
        <f t="shared" si="42"/>
        <v>0</v>
      </c>
      <c r="AX48" s="124">
        <f t="shared" si="43"/>
        <v>0</v>
      </c>
      <c r="AY48" s="124">
        <f t="shared" si="44"/>
        <v>0</v>
      </c>
      <c r="AZ48" s="124">
        <f t="shared" si="45"/>
        <v>0</v>
      </c>
      <c r="BA48" s="124">
        <f t="shared" si="46"/>
        <v>0</v>
      </c>
      <c r="BB48" s="124">
        <f t="shared" si="47"/>
        <v>0</v>
      </c>
      <c r="BC48" s="124">
        <f t="shared" si="48"/>
        <v>0</v>
      </c>
      <c r="BD48" s="124">
        <f t="shared" si="49"/>
        <v>0</v>
      </c>
      <c r="BE48" s="124">
        <f t="shared" si="50"/>
        <v>0</v>
      </c>
      <c r="BF48" s="124">
        <f t="shared" si="51"/>
        <v>0</v>
      </c>
      <c r="BG48" s="124">
        <f t="shared" si="52"/>
        <v>0</v>
      </c>
      <c r="BH48" s="124">
        <f t="shared" si="53"/>
        <v>0</v>
      </c>
      <c r="BJ48" s="121">
        <f t="shared" si="54"/>
        <v>0</v>
      </c>
      <c r="BK48" s="122" t="b">
        <f t="shared" si="55"/>
        <v>1</v>
      </c>
      <c r="BL48" s="121">
        <f t="shared" si="56"/>
        <v>0</v>
      </c>
    </row>
    <row r="49" spans="1:64" ht="12.75" customHeight="1">
      <c r="A49" s="88">
        <v>46</v>
      </c>
      <c r="B49" s="88"/>
      <c r="C49" s="75"/>
      <c r="D49" s="89"/>
      <c r="E49" s="90"/>
      <c r="F49" s="91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3"/>
      <c r="AC49" s="94">
        <f t="shared" si="30"/>
        <v>0</v>
      </c>
      <c r="AD49" s="95">
        <v>1</v>
      </c>
      <c r="AE49" s="94">
        <f t="shared" si="2"/>
        <v>0</v>
      </c>
      <c r="AF49" s="96">
        <f t="shared" si="31"/>
        <v>0</v>
      </c>
      <c r="AG49" s="97">
        <v>0</v>
      </c>
      <c r="AH49" s="97">
        <v>0.05</v>
      </c>
      <c r="AI49" s="98">
        <f t="shared" si="4"/>
        <v>0</v>
      </c>
      <c r="AJ49" s="75"/>
      <c r="AM49" s="124">
        <f t="shared" si="32"/>
        <v>0</v>
      </c>
      <c r="AN49" s="124">
        <f t="shared" si="33"/>
        <v>0</v>
      </c>
      <c r="AO49" s="124">
        <f t="shared" si="34"/>
        <v>0</v>
      </c>
      <c r="AP49" s="124">
        <f t="shared" si="35"/>
        <v>0</v>
      </c>
      <c r="AQ49" s="124">
        <f t="shared" si="36"/>
        <v>0</v>
      </c>
      <c r="AR49" s="124">
        <f t="shared" si="37"/>
        <v>0</v>
      </c>
      <c r="AS49" s="124">
        <f t="shared" si="38"/>
        <v>0</v>
      </c>
      <c r="AT49" s="124">
        <f t="shared" si="39"/>
        <v>0</v>
      </c>
      <c r="AU49" s="124">
        <f t="shared" si="40"/>
        <v>0</v>
      </c>
      <c r="AV49" s="124">
        <f t="shared" si="41"/>
        <v>0</v>
      </c>
      <c r="AW49" s="124">
        <f t="shared" si="42"/>
        <v>0</v>
      </c>
      <c r="AX49" s="124">
        <f t="shared" si="43"/>
        <v>0</v>
      </c>
      <c r="AY49" s="124">
        <f t="shared" si="44"/>
        <v>0</v>
      </c>
      <c r="AZ49" s="124">
        <f t="shared" si="45"/>
        <v>0</v>
      </c>
      <c r="BA49" s="124">
        <f t="shared" si="46"/>
        <v>0</v>
      </c>
      <c r="BB49" s="124">
        <f t="shared" si="47"/>
        <v>0</v>
      </c>
      <c r="BC49" s="124">
        <f t="shared" si="48"/>
        <v>0</v>
      </c>
      <c r="BD49" s="124">
        <f t="shared" si="49"/>
        <v>0</v>
      </c>
      <c r="BE49" s="124">
        <f t="shared" si="50"/>
        <v>0</v>
      </c>
      <c r="BF49" s="124">
        <f t="shared" si="51"/>
        <v>0</v>
      </c>
      <c r="BG49" s="124">
        <f t="shared" si="52"/>
        <v>0</v>
      </c>
      <c r="BH49" s="124">
        <f t="shared" si="53"/>
        <v>0</v>
      </c>
      <c r="BJ49" s="121">
        <f t="shared" si="54"/>
        <v>0</v>
      </c>
      <c r="BK49" s="122" t="b">
        <f t="shared" si="55"/>
        <v>1</v>
      </c>
      <c r="BL49" s="121">
        <f t="shared" si="56"/>
        <v>0</v>
      </c>
    </row>
    <row r="50" spans="1:64" ht="12.75" customHeight="1">
      <c r="A50" s="88">
        <v>47</v>
      </c>
      <c r="B50" s="88"/>
      <c r="C50" s="75"/>
      <c r="D50" s="89"/>
      <c r="E50" s="90"/>
      <c r="F50" s="91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3"/>
      <c r="AC50" s="94">
        <f t="shared" si="30"/>
        <v>0</v>
      </c>
      <c r="AD50" s="95">
        <v>1</v>
      </c>
      <c r="AE50" s="94">
        <f t="shared" si="2"/>
        <v>0</v>
      </c>
      <c r="AF50" s="96">
        <f t="shared" si="31"/>
        <v>0</v>
      </c>
      <c r="AG50" s="97">
        <v>0</v>
      </c>
      <c r="AH50" s="97">
        <v>0.05</v>
      </c>
      <c r="AI50" s="98">
        <f t="shared" si="4"/>
        <v>0</v>
      </c>
      <c r="AJ50" s="75"/>
      <c r="AM50" s="124">
        <f t="shared" si="32"/>
        <v>0</v>
      </c>
      <c r="AN50" s="124">
        <f t="shared" si="33"/>
        <v>0</v>
      </c>
      <c r="AO50" s="124">
        <f t="shared" si="34"/>
        <v>0</v>
      </c>
      <c r="AP50" s="124">
        <f t="shared" si="35"/>
        <v>0</v>
      </c>
      <c r="AQ50" s="124">
        <f t="shared" si="36"/>
        <v>0</v>
      </c>
      <c r="AR50" s="124">
        <f t="shared" si="37"/>
        <v>0</v>
      </c>
      <c r="AS50" s="124">
        <f t="shared" si="38"/>
        <v>0</v>
      </c>
      <c r="AT50" s="124">
        <f t="shared" si="39"/>
        <v>0</v>
      </c>
      <c r="AU50" s="124">
        <f t="shared" si="40"/>
        <v>0</v>
      </c>
      <c r="AV50" s="124">
        <f t="shared" si="41"/>
        <v>0</v>
      </c>
      <c r="AW50" s="124">
        <f t="shared" si="42"/>
        <v>0</v>
      </c>
      <c r="AX50" s="124">
        <f t="shared" si="43"/>
        <v>0</v>
      </c>
      <c r="AY50" s="124">
        <f t="shared" si="44"/>
        <v>0</v>
      </c>
      <c r="AZ50" s="124">
        <f t="shared" si="45"/>
        <v>0</v>
      </c>
      <c r="BA50" s="124">
        <f t="shared" si="46"/>
        <v>0</v>
      </c>
      <c r="BB50" s="124">
        <f t="shared" si="47"/>
        <v>0</v>
      </c>
      <c r="BC50" s="124">
        <f t="shared" si="48"/>
        <v>0</v>
      </c>
      <c r="BD50" s="124">
        <f t="shared" si="49"/>
        <v>0</v>
      </c>
      <c r="BE50" s="124">
        <f t="shared" si="50"/>
        <v>0</v>
      </c>
      <c r="BF50" s="124">
        <f t="shared" si="51"/>
        <v>0</v>
      </c>
      <c r="BG50" s="124">
        <f t="shared" si="52"/>
        <v>0</v>
      </c>
      <c r="BH50" s="124">
        <f t="shared" si="53"/>
        <v>0</v>
      </c>
      <c r="BJ50" s="121">
        <f t="shared" si="54"/>
        <v>0</v>
      </c>
      <c r="BK50" s="122" t="b">
        <f t="shared" si="55"/>
        <v>1</v>
      </c>
      <c r="BL50" s="121">
        <f t="shared" si="56"/>
        <v>0</v>
      </c>
    </row>
    <row r="51" spans="1:64" ht="12.75" customHeight="1">
      <c r="A51" s="88">
        <v>48</v>
      </c>
      <c r="B51" s="88"/>
      <c r="C51" s="75"/>
      <c r="D51" s="89"/>
      <c r="E51" s="90"/>
      <c r="F51" s="91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3"/>
      <c r="AC51" s="94">
        <f t="shared" si="30"/>
        <v>0</v>
      </c>
      <c r="AD51" s="95">
        <v>1</v>
      </c>
      <c r="AE51" s="94">
        <f t="shared" si="2"/>
        <v>0</v>
      </c>
      <c r="AF51" s="96">
        <f t="shared" si="31"/>
        <v>0</v>
      </c>
      <c r="AG51" s="97">
        <v>0</v>
      </c>
      <c r="AH51" s="97">
        <v>0.05</v>
      </c>
      <c r="AI51" s="98">
        <f t="shared" si="4"/>
        <v>0</v>
      </c>
      <c r="AJ51" s="75"/>
      <c r="AM51" s="124">
        <f t="shared" si="32"/>
        <v>0</v>
      </c>
      <c r="AN51" s="124">
        <f t="shared" si="33"/>
        <v>0</v>
      </c>
      <c r="AO51" s="124">
        <f t="shared" si="34"/>
        <v>0</v>
      </c>
      <c r="AP51" s="124">
        <f t="shared" si="35"/>
        <v>0</v>
      </c>
      <c r="AQ51" s="124">
        <f t="shared" si="36"/>
        <v>0</v>
      </c>
      <c r="AR51" s="124">
        <f t="shared" si="37"/>
        <v>0</v>
      </c>
      <c r="AS51" s="124">
        <f t="shared" si="38"/>
        <v>0</v>
      </c>
      <c r="AT51" s="124">
        <f t="shared" si="39"/>
        <v>0</v>
      </c>
      <c r="AU51" s="124">
        <f t="shared" si="40"/>
        <v>0</v>
      </c>
      <c r="AV51" s="124">
        <f t="shared" si="41"/>
        <v>0</v>
      </c>
      <c r="AW51" s="124">
        <f t="shared" si="42"/>
        <v>0</v>
      </c>
      <c r="AX51" s="124">
        <f t="shared" si="43"/>
        <v>0</v>
      </c>
      <c r="AY51" s="124">
        <f t="shared" si="44"/>
        <v>0</v>
      </c>
      <c r="AZ51" s="124">
        <f t="shared" si="45"/>
        <v>0</v>
      </c>
      <c r="BA51" s="124">
        <f t="shared" si="46"/>
        <v>0</v>
      </c>
      <c r="BB51" s="124">
        <f t="shared" si="47"/>
        <v>0</v>
      </c>
      <c r="BC51" s="124">
        <f t="shared" si="48"/>
        <v>0</v>
      </c>
      <c r="BD51" s="124">
        <f t="shared" si="49"/>
        <v>0</v>
      </c>
      <c r="BE51" s="124">
        <f t="shared" si="50"/>
        <v>0</v>
      </c>
      <c r="BF51" s="124">
        <f t="shared" si="51"/>
        <v>0</v>
      </c>
      <c r="BG51" s="124">
        <f t="shared" si="52"/>
        <v>0</v>
      </c>
      <c r="BH51" s="124">
        <f t="shared" si="53"/>
        <v>0</v>
      </c>
      <c r="BJ51" s="121">
        <f t="shared" si="54"/>
        <v>0</v>
      </c>
      <c r="BK51" s="122" t="b">
        <f t="shared" si="55"/>
        <v>1</v>
      </c>
      <c r="BL51" s="121">
        <f t="shared" si="56"/>
        <v>0</v>
      </c>
    </row>
    <row r="52" spans="1:64" ht="12.75" customHeight="1">
      <c r="A52" s="88">
        <v>49</v>
      </c>
      <c r="B52" s="88"/>
      <c r="C52" s="75"/>
      <c r="D52" s="89"/>
      <c r="E52" s="90"/>
      <c r="F52" s="91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3"/>
      <c r="AC52" s="94">
        <f t="shared" si="30"/>
        <v>0</v>
      </c>
      <c r="AD52" s="95">
        <v>1</v>
      </c>
      <c r="AE52" s="94">
        <f t="shared" si="2"/>
        <v>0</v>
      </c>
      <c r="AF52" s="96">
        <f t="shared" si="31"/>
        <v>0</v>
      </c>
      <c r="AG52" s="97">
        <v>0</v>
      </c>
      <c r="AH52" s="97">
        <v>0.05</v>
      </c>
      <c r="AI52" s="98">
        <f t="shared" si="4"/>
        <v>0</v>
      </c>
      <c r="AJ52" s="75"/>
      <c r="AM52" s="124">
        <f t="shared" si="32"/>
        <v>0</v>
      </c>
      <c r="AN52" s="124">
        <f t="shared" si="33"/>
        <v>0</v>
      </c>
      <c r="AO52" s="124">
        <f t="shared" si="34"/>
        <v>0</v>
      </c>
      <c r="AP52" s="124">
        <f t="shared" si="35"/>
        <v>0</v>
      </c>
      <c r="AQ52" s="124">
        <f t="shared" si="36"/>
        <v>0</v>
      </c>
      <c r="AR52" s="124">
        <f t="shared" si="37"/>
        <v>0</v>
      </c>
      <c r="AS52" s="124">
        <f t="shared" si="38"/>
        <v>0</v>
      </c>
      <c r="AT52" s="124">
        <f t="shared" si="39"/>
        <v>0</v>
      </c>
      <c r="AU52" s="124">
        <f t="shared" si="40"/>
        <v>0</v>
      </c>
      <c r="AV52" s="124">
        <f t="shared" si="41"/>
        <v>0</v>
      </c>
      <c r="AW52" s="124">
        <f t="shared" si="42"/>
        <v>0</v>
      </c>
      <c r="AX52" s="124">
        <f t="shared" si="43"/>
        <v>0</v>
      </c>
      <c r="AY52" s="124">
        <f t="shared" si="44"/>
        <v>0</v>
      </c>
      <c r="AZ52" s="124">
        <f t="shared" si="45"/>
        <v>0</v>
      </c>
      <c r="BA52" s="124">
        <f t="shared" si="46"/>
        <v>0</v>
      </c>
      <c r="BB52" s="124">
        <f t="shared" si="47"/>
        <v>0</v>
      </c>
      <c r="BC52" s="124">
        <f t="shared" si="48"/>
        <v>0</v>
      </c>
      <c r="BD52" s="124">
        <f t="shared" si="49"/>
        <v>0</v>
      </c>
      <c r="BE52" s="124">
        <f t="shared" si="50"/>
        <v>0</v>
      </c>
      <c r="BF52" s="124">
        <f t="shared" si="51"/>
        <v>0</v>
      </c>
      <c r="BG52" s="124">
        <f t="shared" si="52"/>
        <v>0</v>
      </c>
      <c r="BH52" s="124">
        <f t="shared" si="53"/>
        <v>0</v>
      </c>
      <c r="BJ52" s="121">
        <f t="shared" si="54"/>
        <v>0</v>
      </c>
      <c r="BK52" s="122" t="b">
        <f t="shared" si="55"/>
        <v>1</v>
      </c>
      <c r="BL52" s="121">
        <f t="shared" si="56"/>
        <v>0</v>
      </c>
    </row>
    <row r="53" spans="1:64" ht="12.75" customHeight="1">
      <c r="A53" s="88">
        <v>50</v>
      </c>
      <c r="B53" s="88"/>
      <c r="C53" s="75"/>
      <c r="D53" s="89"/>
      <c r="E53" s="90"/>
      <c r="F53" s="91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3"/>
      <c r="AC53" s="94">
        <f t="shared" si="30"/>
        <v>0</v>
      </c>
      <c r="AD53" s="95">
        <v>1</v>
      </c>
      <c r="AE53" s="94">
        <f t="shared" si="2"/>
        <v>0</v>
      </c>
      <c r="AF53" s="96">
        <f t="shared" si="31"/>
        <v>0</v>
      </c>
      <c r="AG53" s="97">
        <v>0</v>
      </c>
      <c r="AH53" s="97">
        <v>0.05</v>
      </c>
      <c r="AI53" s="98">
        <f t="shared" si="4"/>
        <v>0</v>
      </c>
      <c r="AJ53" s="75"/>
      <c r="AM53" s="124">
        <f t="shared" si="32"/>
        <v>0</v>
      </c>
      <c r="AN53" s="124">
        <f t="shared" si="33"/>
        <v>0</v>
      </c>
      <c r="AO53" s="124">
        <f t="shared" si="34"/>
        <v>0</v>
      </c>
      <c r="AP53" s="124">
        <f t="shared" si="35"/>
        <v>0</v>
      </c>
      <c r="AQ53" s="124">
        <f t="shared" si="36"/>
        <v>0</v>
      </c>
      <c r="AR53" s="124">
        <f t="shared" si="37"/>
        <v>0</v>
      </c>
      <c r="AS53" s="124">
        <f t="shared" si="38"/>
        <v>0</v>
      </c>
      <c r="AT53" s="124">
        <f t="shared" si="39"/>
        <v>0</v>
      </c>
      <c r="AU53" s="124">
        <f t="shared" si="40"/>
        <v>0</v>
      </c>
      <c r="AV53" s="124">
        <f t="shared" si="41"/>
        <v>0</v>
      </c>
      <c r="AW53" s="124">
        <f t="shared" si="42"/>
        <v>0</v>
      </c>
      <c r="AX53" s="124">
        <f t="shared" si="43"/>
        <v>0</v>
      </c>
      <c r="AY53" s="124">
        <f t="shared" si="44"/>
        <v>0</v>
      </c>
      <c r="AZ53" s="124">
        <f t="shared" si="45"/>
        <v>0</v>
      </c>
      <c r="BA53" s="124">
        <f t="shared" si="46"/>
        <v>0</v>
      </c>
      <c r="BB53" s="124">
        <f t="shared" si="47"/>
        <v>0</v>
      </c>
      <c r="BC53" s="124">
        <f t="shared" si="48"/>
        <v>0</v>
      </c>
      <c r="BD53" s="124">
        <f t="shared" si="49"/>
        <v>0</v>
      </c>
      <c r="BE53" s="124">
        <f t="shared" si="50"/>
        <v>0</v>
      </c>
      <c r="BF53" s="124">
        <f t="shared" si="51"/>
        <v>0</v>
      </c>
      <c r="BG53" s="124">
        <f t="shared" si="52"/>
        <v>0</v>
      </c>
      <c r="BH53" s="124">
        <f t="shared" si="53"/>
        <v>0</v>
      </c>
      <c r="BJ53" s="121">
        <f t="shared" si="54"/>
        <v>0</v>
      </c>
      <c r="BK53" s="122" t="b">
        <f t="shared" si="55"/>
        <v>1</v>
      </c>
      <c r="BL53" s="121">
        <f t="shared" si="56"/>
        <v>0</v>
      </c>
    </row>
    <row r="54" spans="1:64" ht="12.75" customHeight="1">
      <c r="A54" s="88">
        <v>51</v>
      </c>
      <c r="B54" s="88"/>
      <c r="C54" s="75"/>
      <c r="D54" s="89"/>
      <c r="E54" s="90"/>
      <c r="F54" s="91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3"/>
      <c r="AC54" s="94">
        <f t="shared" si="30"/>
        <v>0</v>
      </c>
      <c r="AD54" s="95">
        <v>1</v>
      </c>
      <c r="AE54" s="94">
        <f t="shared" si="2"/>
        <v>0</v>
      </c>
      <c r="AF54" s="96">
        <f t="shared" si="31"/>
        <v>0</v>
      </c>
      <c r="AG54" s="97">
        <v>0</v>
      </c>
      <c r="AH54" s="97">
        <v>0.05</v>
      </c>
      <c r="AI54" s="98">
        <f t="shared" si="4"/>
        <v>0</v>
      </c>
      <c r="AJ54" s="75"/>
      <c r="AM54" s="124">
        <f t="shared" si="32"/>
        <v>0</v>
      </c>
      <c r="AN54" s="124">
        <f t="shared" si="33"/>
        <v>0</v>
      </c>
      <c r="AO54" s="124">
        <f t="shared" si="34"/>
        <v>0</v>
      </c>
      <c r="AP54" s="124">
        <f t="shared" si="35"/>
        <v>0</v>
      </c>
      <c r="AQ54" s="124">
        <f t="shared" si="36"/>
        <v>0</v>
      </c>
      <c r="AR54" s="124">
        <f t="shared" si="37"/>
        <v>0</v>
      </c>
      <c r="AS54" s="124">
        <f t="shared" si="38"/>
        <v>0</v>
      </c>
      <c r="AT54" s="124">
        <f t="shared" si="39"/>
        <v>0</v>
      </c>
      <c r="AU54" s="124">
        <f t="shared" si="40"/>
        <v>0</v>
      </c>
      <c r="AV54" s="124">
        <f t="shared" si="41"/>
        <v>0</v>
      </c>
      <c r="AW54" s="124">
        <f t="shared" si="42"/>
        <v>0</v>
      </c>
      <c r="AX54" s="124">
        <f t="shared" si="43"/>
        <v>0</v>
      </c>
      <c r="AY54" s="124">
        <f t="shared" si="44"/>
        <v>0</v>
      </c>
      <c r="AZ54" s="124">
        <f t="shared" si="45"/>
        <v>0</v>
      </c>
      <c r="BA54" s="124">
        <f t="shared" si="46"/>
        <v>0</v>
      </c>
      <c r="BB54" s="124">
        <f t="shared" si="47"/>
        <v>0</v>
      </c>
      <c r="BC54" s="124">
        <f t="shared" si="48"/>
        <v>0</v>
      </c>
      <c r="BD54" s="124">
        <f t="shared" si="49"/>
        <v>0</v>
      </c>
      <c r="BE54" s="124">
        <f t="shared" si="50"/>
        <v>0</v>
      </c>
      <c r="BF54" s="124">
        <f t="shared" si="51"/>
        <v>0</v>
      </c>
      <c r="BG54" s="124">
        <f t="shared" si="52"/>
        <v>0</v>
      </c>
      <c r="BH54" s="124">
        <f t="shared" si="53"/>
        <v>0</v>
      </c>
      <c r="BJ54" s="121">
        <f t="shared" si="54"/>
        <v>0</v>
      </c>
      <c r="BK54" s="122" t="b">
        <f t="shared" si="55"/>
        <v>1</v>
      </c>
      <c r="BL54" s="121">
        <f t="shared" si="56"/>
        <v>0</v>
      </c>
    </row>
    <row r="55" spans="1:64" ht="12.75" customHeight="1">
      <c r="A55" s="88">
        <v>52</v>
      </c>
      <c r="B55" s="88"/>
      <c r="C55" s="75"/>
      <c r="D55" s="89"/>
      <c r="E55" s="90"/>
      <c r="F55" s="91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3"/>
      <c r="AC55" s="94">
        <f t="shared" si="30"/>
        <v>0</v>
      </c>
      <c r="AD55" s="95">
        <v>1</v>
      </c>
      <c r="AE55" s="94">
        <f t="shared" si="2"/>
        <v>0</v>
      </c>
      <c r="AF55" s="96">
        <f t="shared" si="31"/>
        <v>0</v>
      </c>
      <c r="AG55" s="97">
        <v>0</v>
      </c>
      <c r="AH55" s="97">
        <v>0.05</v>
      </c>
      <c r="AI55" s="98">
        <f t="shared" si="4"/>
        <v>0</v>
      </c>
      <c r="AJ55" s="75"/>
      <c r="AM55" s="124">
        <f t="shared" si="32"/>
        <v>0</v>
      </c>
      <c r="AN55" s="124">
        <f t="shared" si="33"/>
        <v>0</v>
      </c>
      <c r="AO55" s="124">
        <f t="shared" si="34"/>
        <v>0</v>
      </c>
      <c r="AP55" s="124">
        <f t="shared" si="35"/>
        <v>0</v>
      </c>
      <c r="AQ55" s="124">
        <f t="shared" si="36"/>
        <v>0</v>
      </c>
      <c r="AR55" s="124">
        <f t="shared" si="37"/>
        <v>0</v>
      </c>
      <c r="AS55" s="124">
        <f t="shared" si="38"/>
        <v>0</v>
      </c>
      <c r="AT55" s="124">
        <f t="shared" si="39"/>
        <v>0</v>
      </c>
      <c r="AU55" s="124">
        <f t="shared" si="40"/>
        <v>0</v>
      </c>
      <c r="AV55" s="124">
        <f t="shared" si="41"/>
        <v>0</v>
      </c>
      <c r="AW55" s="124">
        <f t="shared" si="42"/>
        <v>0</v>
      </c>
      <c r="AX55" s="124">
        <f t="shared" si="43"/>
        <v>0</v>
      </c>
      <c r="AY55" s="124">
        <f t="shared" si="44"/>
        <v>0</v>
      </c>
      <c r="AZ55" s="124">
        <f t="shared" si="45"/>
        <v>0</v>
      </c>
      <c r="BA55" s="124">
        <f t="shared" si="46"/>
        <v>0</v>
      </c>
      <c r="BB55" s="124">
        <f t="shared" si="47"/>
        <v>0</v>
      </c>
      <c r="BC55" s="124">
        <f t="shared" si="48"/>
        <v>0</v>
      </c>
      <c r="BD55" s="124">
        <f t="shared" si="49"/>
        <v>0</v>
      </c>
      <c r="BE55" s="124">
        <f t="shared" si="50"/>
        <v>0</v>
      </c>
      <c r="BF55" s="124">
        <f t="shared" si="51"/>
        <v>0</v>
      </c>
      <c r="BG55" s="124">
        <f t="shared" si="52"/>
        <v>0</v>
      </c>
      <c r="BH55" s="124">
        <f t="shared" si="53"/>
        <v>0</v>
      </c>
      <c r="BJ55" s="121">
        <f t="shared" si="54"/>
        <v>0</v>
      </c>
      <c r="BK55" s="122" t="b">
        <f t="shared" si="55"/>
        <v>1</v>
      </c>
      <c r="BL55" s="121">
        <f t="shared" si="56"/>
        <v>0</v>
      </c>
    </row>
    <row r="56" spans="1:64" ht="12.75" customHeight="1">
      <c r="A56" s="88">
        <v>53</v>
      </c>
      <c r="B56" s="88"/>
      <c r="C56" s="75"/>
      <c r="D56" s="89"/>
      <c r="E56" s="90"/>
      <c r="F56" s="91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3"/>
      <c r="AC56" s="94">
        <f t="shared" si="30"/>
        <v>0</v>
      </c>
      <c r="AD56" s="95">
        <v>1</v>
      </c>
      <c r="AE56" s="94">
        <f t="shared" si="2"/>
        <v>0</v>
      </c>
      <c r="AF56" s="96">
        <f t="shared" si="31"/>
        <v>0</v>
      </c>
      <c r="AG56" s="97">
        <v>0</v>
      </c>
      <c r="AH56" s="97">
        <v>0.05</v>
      </c>
      <c r="AI56" s="98">
        <f t="shared" si="4"/>
        <v>0</v>
      </c>
      <c r="AJ56" s="75"/>
      <c r="AM56" s="124">
        <f t="shared" si="32"/>
        <v>0</v>
      </c>
      <c r="AN56" s="124">
        <f t="shared" si="33"/>
        <v>0</v>
      </c>
      <c r="AO56" s="124">
        <f t="shared" si="34"/>
        <v>0</v>
      </c>
      <c r="AP56" s="124">
        <f t="shared" si="35"/>
        <v>0</v>
      </c>
      <c r="AQ56" s="124">
        <f t="shared" si="36"/>
        <v>0</v>
      </c>
      <c r="AR56" s="124">
        <f t="shared" si="37"/>
        <v>0</v>
      </c>
      <c r="AS56" s="124">
        <f t="shared" si="38"/>
        <v>0</v>
      </c>
      <c r="AT56" s="124">
        <f t="shared" si="39"/>
        <v>0</v>
      </c>
      <c r="AU56" s="124">
        <f t="shared" si="40"/>
        <v>0</v>
      </c>
      <c r="AV56" s="124">
        <f t="shared" si="41"/>
        <v>0</v>
      </c>
      <c r="AW56" s="124">
        <f t="shared" si="42"/>
        <v>0</v>
      </c>
      <c r="AX56" s="124">
        <f t="shared" si="43"/>
        <v>0</v>
      </c>
      <c r="AY56" s="124">
        <f t="shared" si="44"/>
        <v>0</v>
      </c>
      <c r="AZ56" s="124">
        <f t="shared" si="45"/>
        <v>0</v>
      </c>
      <c r="BA56" s="124">
        <f t="shared" si="46"/>
        <v>0</v>
      </c>
      <c r="BB56" s="124">
        <f t="shared" si="47"/>
        <v>0</v>
      </c>
      <c r="BC56" s="124">
        <f t="shared" si="48"/>
        <v>0</v>
      </c>
      <c r="BD56" s="124">
        <f t="shared" si="49"/>
        <v>0</v>
      </c>
      <c r="BE56" s="124">
        <f t="shared" si="50"/>
        <v>0</v>
      </c>
      <c r="BF56" s="124">
        <f t="shared" si="51"/>
        <v>0</v>
      </c>
      <c r="BG56" s="124">
        <f t="shared" si="52"/>
        <v>0</v>
      </c>
      <c r="BH56" s="124">
        <f t="shared" si="53"/>
        <v>0</v>
      </c>
      <c r="BJ56" s="121">
        <f t="shared" si="54"/>
        <v>0</v>
      </c>
      <c r="BK56" s="122" t="b">
        <f t="shared" si="55"/>
        <v>1</v>
      </c>
      <c r="BL56" s="121">
        <f t="shared" si="56"/>
        <v>0</v>
      </c>
    </row>
    <row r="57" spans="1:64" ht="12.75" customHeight="1">
      <c r="A57" s="88">
        <v>54</v>
      </c>
      <c r="B57" s="88"/>
      <c r="C57" s="75"/>
      <c r="D57" s="89"/>
      <c r="E57" s="90"/>
      <c r="F57" s="91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3"/>
      <c r="AC57" s="94">
        <f t="shared" si="30"/>
        <v>0</v>
      </c>
      <c r="AD57" s="95">
        <v>1</v>
      </c>
      <c r="AE57" s="94">
        <f t="shared" si="2"/>
        <v>0</v>
      </c>
      <c r="AF57" s="96">
        <f t="shared" si="31"/>
        <v>0</v>
      </c>
      <c r="AG57" s="97">
        <v>0</v>
      </c>
      <c r="AH57" s="97">
        <v>0.05</v>
      </c>
      <c r="AI57" s="98">
        <f t="shared" si="4"/>
        <v>0</v>
      </c>
      <c r="AJ57" s="75"/>
      <c r="AM57" s="124">
        <f t="shared" si="32"/>
        <v>0</v>
      </c>
      <c r="AN57" s="124">
        <f t="shared" si="33"/>
        <v>0</v>
      </c>
      <c r="AO57" s="124">
        <f t="shared" si="34"/>
        <v>0</v>
      </c>
      <c r="AP57" s="124">
        <f t="shared" si="35"/>
        <v>0</v>
      </c>
      <c r="AQ57" s="124">
        <f t="shared" si="36"/>
        <v>0</v>
      </c>
      <c r="AR57" s="124">
        <f t="shared" si="37"/>
        <v>0</v>
      </c>
      <c r="AS57" s="124">
        <f t="shared" si="38"/>
        <v>0</v>
      </c>
      <c r="AT57" s="124">
        <f t="shared" si="39"/>
        <v>0</v>
      </c>
      <c r="AU57" s="124">
        <f t="shared" si="40"/>
        <v>0</v>
      </c>
      <c r="AV57" s="124">
        <f t="shared" si="41"/>
        <v>0</v>
      </c>
      <c r="AW57" s="124">
        <f t="shared" si="42"/>
        <v>0</v>
      </c>
      <c r="AX57" s="124">
        <f t="shared" si="43"/>
        <v>0</v>
      </c>
      <c r="AY57" s="124">
        <f t="shared" si="44"/>
        <v>0</v>
      </c>
      <c r="AZ57" s="124">
        <f t="shared" si="45"/>
        <v>0</v>
      </c>
      <c r="BA57" s="124">
        <f t="shared" si="46"/>
        <v>0</v>
      </c>
      <c r="BB57" s="124">
        <f t="shared" si="47"/>
        <v>0</v>
      </c>
      <c r="BC57" s="124">
        <f t="shared" si="48"/>
        <v>0</v>
      </c>
      <c r="BD57" s="124">
        <f t="shared" si="49"/>
        <v>0</v>
      </c>
      <c r="BE57" s="124">
        <f t="shared" si="50"/>
        <v>0</v>
      </c>
      <c r="BF57" s="124">
        <f t="shared" si="51"/>
        <v>0</v>
      </c>
      <c r="BG57" s="124">
        <f t="shared" si="52"/>
        <v>0</v>
      </c>
      <c r="BH57" s="124">
        <f t="shared" si="53"/>
        <v>0</v>
      </c>
      <c r="BJ57" s="121">
        <f t="shared" si="54"/>
        <v>0</v>
      </c>
      <c r="BK57" s="122" t="b">
        <f t="shared" si="55"/>
        <v>1</v>
      </c>
      <c r="BL57" s="121">
        <f t="shared" si="56"/>
        <v>0</v>
      </c>
    </row>
    <row r="58" spans="1:64" ht="12.75" customHeight="1">
      <c r="A58" s="88">
        <v>55</v>
      </c>
      <c r="B58" s="88"/>
      <c r="C58" s="75"/>
      <c r="D58" s="89"/>
      <c r="E58" s="90"/>
      <c r="F58" s="91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3"/>
      <c r="AC58" s="94">
        <f t="shared" si="30"/>
        <v>0</v>
      </c>
      <c r="AD58" s="95">
        <v>1</v>
      </c>
      <c r="AE58" s="94">
        <f t="shared" si="2"/>
        <v>0</v>
      </c>
      <c r="AF58" s="96">
        <f t="shared" si="31"/>
        <v>0</v>
      </c>
      <c r="AG58" s="97">
        <v>0</v>
      </c>
      <c r="AH58" s="97">
        <v>0.05</v>
      </c>
      <c r="AI58" s="98">
        <f t="shared" si="4"/>
        <v>0</v>
      </c>
      <c r="AJ58" s="75"/>
      <c r="AM58" s="124">
        <f t="shared" si="32"/>
        <v>0</v>
      </c>
      <c r="AN58" s="124">
        <f t="shared" si="33"/>
        <v>0</v>
      </c>
      <c r="AO58" s="124">
        <f t="shared" si="34"/>
        <v>0</v>
      </c>
      <c r="AP58" s="124">
        <f t="shared" si="35"/>
        <v>0</v>
      </c>
      <c r="AQ58" s="124">
        <f t="shared" si="36"/>
        <v>0</v>
      </c>
      <c r="AR58" s="124">
        <f t="shared" si="37"/>
        <v>0</v>
      </c>
      <c r="AS58" s="124">
        <f t="shared" si="38"/>
        <v>0</v>
      </c>
      <c r="AT58" s="124">
        <f t="shared" si="39"/>
        <v>0</v>
      </c>
      <c r="AU58" s="124">
        <f t="shared" si="40"/>
        <v>0</v>
      </c>
      <c r="AV58" s="124">
        <f t="shared" si="41"/>
        <v>0</v>
      </c>
      <c r="AW58" s="124">
        <f t="shared" si="42"/>
        <v>0</v>
      </c>
      <c r="AX58" s="124">
        <f t="shared" si="43"/>
        <v>0</v>
      </c>
      <c r="AY58" s="124">
        <f t="shared" si="44"/>
        <v>0</v>
      </c>
      <c r="AZ58" s="124">
        <f t="shared" si="45"/>
        <v>0</v>
      </c>
      <c r="BA58" s="124">
        <f t="shared" si="46"/>
        <v>0</v>
      </c>
      <c r="BB58" s="124">
        <f t="shared" si="47"/>
        <v>0</v>
      </c>
      <c r="BC58" s="124">
        <f t="shared" si="48"/>
        <v>0</v>
      </c>
      <c r="BD58" s="124">
        <f t="shared" si="49"/>
        <v>0</v>
      </c>
      <c r="BE58" s="124">
        <f t="shared" si="50"/>
        <v>0</v>
      </c>
      <c r="BF58" s="124">
        <f t="shared" si="51"/>
        <v>0</v>
      </c>
      <c r="BG58" s="124">
        <f t="shared" si="52"/>
        <v>0</v>
      </c>
      <c r="BH58" s="124">
        <f t="shared" si="53"/>
        <v>0</v>
      </c>
      <c r="BJ58" s="121">
        <f t="shared" si="54"/>
        <v>0</v>
      </c>
      <c r="BK58" s="122" t="b">
        <f t="shared" si="55"/>
        <v>1</v>
      </c>
      <c r="BL58" s="121">
        <f t="shared" si="56"/>
        <v>0</v>
      </c>
    </row>
    <row r="59" spans="1:64" ht="12.75" customHeight="1">
      <c r="A59" s="88">
        <v>56</v>
      </c>
      <c r="B59" s="88"/>
      <c r="C59" s="75"/>
      <c r="D59" s="89"/>
      <c r="E59" s="90"/>
      <c r="F59" s="91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3"/>
      <c r="AC59" s="94">
        <f t="shared" si="30"/>
        <v>0</v>
      </c>
      <c r="AD59" s="95">
        <v>1</v>
      </c>
      <c r="AE59" s="94">
        <f t="shared" si="2"/>
        <v>0</v>
      </c>
      <c r="AF59" s="96">
        <f t="shared" si="31"/>
        <v>0</v>
      </c>
      <c r="AG59" s="97">
        <v>0</v>
      </c>
      <c r="AH59" s="97">
        <v>0.05</v>
      </c>
      <c r="AI59" s="98">
        <f t="shared" si="4"/>
        <v>0</v>
      </c>
      <c r="AJ59" s="75"/>
      <c r="AM59" s="124">
        <f t="shared" si="32"/>
        <v>0</v>
      </c>
      <c r="AN59" s="124">
        <f t="shared" si="33"/>
        <v>0</v>
      </c>
      <c r="AO59" s="124">
        <f t="shared" si="34"/>
        <v>0</v>
      </c>
      <c r="AP59" s="124">
        <f t="shared" si="35"/>
        <v>0</v>
      </c>
      <c r="AQ59" s="124">
        <f t="shared" si="36"/>
        <v>0</v>
      </c>
      <c r="AR59" s="124">
        <f t="shared" si="37"/>
        <v>0</v>
      </c>
      <c r="AS59" s="124">
        <f t="shared" si="38"/>
        <v>0</v>
      </c>
      <c r="AT59" s="124">
        <f t="shared" si="39"/>
        <v>0</v>
      </c>
      <c r="AU59" s="124">
        <f t="shared" si="40"/>
        <v>0</v>
      </c>
      <c r="AV59" s="124">
        <f t="shared" si="41"/>
        <v>0</v>
      </c>
      <c r="AW59" s="124">
        <f t="shared" si="42"/>
        <v>0</v>
      </c>
      <c r="AX59" s="124">
        <f t="shared" si="43"/>
        <v>0</v>
      </c>
      <c r="AY59" s="124">
        <f t="shared" si="44"/>
        <v>0</v>
      </c>
      <c r="AZ59" s="124">
        <f t="shared" si="45"/>
        <v>0</v>
      </c>
      <c r="BA59" s="124">
        <f t="shared" si="46"/>
        <v>0</v>
      </c>
      <c r="BB59" s="124">
        <f t="shared" si="47"/>
        <v>0</v>
      </c>
      <c r="BC59" s="124">
        <f t="shared" si="48"/>
        <v>0</v>
      </c>
      <c r="BD59" s="124">
        <f t="shared" si="49"/>
        <v>0</v>
      </c>
      <c r="BE59" s="124">
        <f t="shared" si="50"/>
        <v>0</v>
      </c>
      <c r="BF59" s="124">
        <f t="shared" si="51"/>
        <v>0</v>
      </c>
      <c r="BG59" s="124">
        <f t="shared" si="52"/>
        <v>0</v>
      </c>
      <c r="BH59" s="124">
        <f t="shared" si="53"/>
        <v>0</v>
      </c>
      <c r="BJ59" s="121">
        <f t="shared" si="54"/>
        <v>0</v>
      </c>
      <c r="BK59" s="122" t="b">
        <f t="shared" si="55"/>
        <v>1</v>
      </c>
      <c r="BL59" s="121">
        <f t="shared" si="56"/>
        <v>0</v>
      </c>
    </row>
    <row r="60" spans="1:64" ht="12.75" customHeight="1">
      <c r="A60" s="88">
        <v>57</v>
      </c>
      <c r="B60" s="88"/>
      <c r="C60" s="75"/>
      <c r="D60" s="89"/>
      <c r="E60" s="90"/>
      <c r="F60" s="91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3"/>
      <c r="AC60" s="94">
        <f t="shared" si="30"/>
        <v>0</v>
      </c>
      <c r="AD60" s="95">
        <v>1</v>
      </c>
      <c r="AE60" s="94">
        <f t="shared" si="2"/>
        <v>0</v>
      </c>
      <c r="AF60" s="96">
        <f t="shared" si="31"/>
        <v>0</v>
      </c>
      <c r="AG60" s="97">
        <v>0</v>
      </c>
      <c r="AH60" s="97">
        <v>0.05</v>
      </c>
      <c r="AI60" s="98">
        <f t="shared" si="4"/>
        <v>0</v>
      </c>
      <c r="AJ60" s="75"/>
      <c r="AM60" s="124">
        <f t="shared" si="32"/>
        <v>0</v>
      </c>
      <c r="AN60" s="124">
        <f t="shared" si="33"/>
        <v>0</v>
      </c>
      <c r="AO60" s="124">
        <f t="shared" si="34"/>
        <v>0</v>
      </c>
      <c r="AP60" s="124">
        <f t="shared" si="35"/>
        <v>0</v>
      </c>
      <c r="AQ60" s="124">
        <f t="shared" si="36"/>
        <v>0</v>
      </c>
      <c r="AR60" s="124">
        <f t="shared" si="37"/>
        <v>0</v>
      </c>
      <c r="AS60" s="124">
        <f t="shared" si="38"/>
        <v>0</v>
      </c>
      <c r="AT60" s="124">
        <f t="shared" si="39"/>
        <v>0</v>
      </c>
      <c r="AU60" s="124">
        <f t="shared" si="40"/>
        <v>0</v>
      </c>
      <c r="AV60" s="124">
        <f t="shared" si="41"/>
        <v>0</v>
      </c>
      <c r="AW60" s="124">
        <f t="shared" si="42"/>
        <v>0</v>
      </c>
      <c r="AX60" s="124">
        <f t="shared" si="43"/>
        <v>0</v>
      </c>
      <c r="AY60" s="124">
        <f t="shared" si="44"/>
        <v>0</v>
      </c>
      <c r="AZ60" s="124">
        <f t="shared" si="45"/>
        <v>0</v>
      </c>
      <c r="BA60" s="124">
        <f t="shared" si="46"/>
        <v>0</v>
      </c>
      <c r="BB60" s="124">
        <f t="shared" si="47"/>
        <v>0</v>
      </c>
      <c r="BC60" s="124">
        <f t="shared" si="48"/>
        <v>0</v>
      </c>
      <c r="BD60" s="124">
        <f t="shared" si="49"/>
        <v>0</v>
      </c>
      <c r="BE60" s="124">
        <f t="shared" si="50"/>
        <v>0</v>
      </c>
      <c r="BF60" s="124">
        <f t="shared" si="51"/>
        <v>0</v>
      </c>
      <c r="BG60" s="124">
        <f t="shared" si="52"/>
        <v>0</v>
      </c>
      <c r="BH60" s="124">
        <f t="shared" si="53"/>
        <v>0</v>
      </c>
      <c r="BJ60" s="121">
        <f t="shared" si="54"/>
        <v>0</v>
      </c>
      <c r="BK60" s="122" t="b">
        <f t="shared" si="55"/>
        <v>1</v>
      </c>
      <c r="BL60" s="121">
        <f t="shared" si="56"/>
        <v>0</v>
      </c>
    </row>
    <row r="61" spans="1:64" ht="12.75" customHeight="1">
      <c r="A61" s="88">
        <v>58</v>
      </c>
      <c r="B61" s="88"/>
      <c r="C61" s="75"/>
      <c r="D61" s="89"/>
      <c r="E61" s="90"/>
      <c r="F61" s="91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3"/>
      <c r="AC61" s="94">
        <f t="shared" si="30"/>
        <v>0</v>
      </c>
      <c r="AD61" s="95">
        <v>1</v>
      </c>
      <c r="AE61" s="94">
        <f t="shared" si="2"/>
        <v>0</v>
      </c>
      <c r="AF61" s="96">
        <f t="shared" si="31"/>
        <v>0</v>
      </c>
      <c r="AG61" s="97">
        <v>0</v>
      </c>
      <c r="AH61" s="97">
        <v>0.05</v>
      </c>
      <c r="AI61" s="98">
        <f t="shared" si="4"/>
        <v>0</v>
      </c>
      <c r="AJ61" s="75"/>
      <c r="AM61" s="124">
        <f t="shared" si="32"/>
        <v>0</v>
      </c>
      <c r="AN61" s="124">
        <f t="shared" si="33"/>
        <v>0</v>
      </c>
      <c r="AO61" s="124">
        <f t="shared" si="34"/>
        <v>0</v>
      </c>
      <c r="AP61" s="124">
        <f t="shared" si="35"/>
        <v>0</v>
      </c>
      <c r="AQ61" s="124">
        <f t="shared" si="36"/>
        <v>0</v>
      </c>
      <c r="AR61" s="124">
        <f t="shared" si="37"/>
        <v>0</v>
      </c>
      <c r="AS61" s="124">
        <f t="shared" si="38"/>
        <v>0</v>
      </c>
      <c r="AT61" s="124">
        <f t="shared" si="39"/>
        <v>0</v>
      </c>
      <c r="AU61" s="124">
        <f t="shared" si="40"/>
        <v>0</v>
      </c>
      <c r="AV61" s="124">
        <f t="shared" si="41"/>
        <v>0</v>
      </c>
      <c r="AW61" s="124">
        <f t="shared" si="42"/>
        <v>0</v>
      </c>
      <c r="AX61" s="124">
        <f t="shared" si="43"/>
        <v>0</v>
      </c>
      <c r="AY61" s="124">
        <f t="shared" si="44"/>
        <v>0</v>
      </c>
      <c r="AZ61" s="124">
        <f t="shared" si="45"/>
        <v>0</v>
      </c>
      <c r="BA61" s="124">
        <f t="shared" si="46"/>
        <v>0</v>
      </c>
      <c r="BB61" s="124">
        <f t="shared" si="47"/>
        <v>0</v>
      </c>
      <c r="BC61" s="124">
        <f t="shared" si="48"/>
        <v>0</v>
      </c>
      <c r="BD61" s="124">
        <f t="shared" si="49"/>
        <v>0</v>
      </c>
      <c r="BE61" s="124">
        <f t="shared" si="50"/>
        <v>0</v>
      </c>
      <c r="BF61" s="124">
        <f t="shared" si="51"/>
        <v>0</v>
      </c>
      <c r="BG61" s="124">
        <f t="shared" si="52"/>
        <v>0</v>
      </c>
      <c r="BH61" s="124">
        <f t="shared" si="53"/>
        <v>0</v>
      </c>
      <c r="BJ61" s="121">
        <f t="shared" si="54"/>
        <v>0</v>
      </c>
      <c r="BK61" s="122" t="b">
        <f t="shared" si="55"/>
        <v>1</v>
      </c>
      <c r="BL61" s="121">
        <f t="shared" si="56"/>
        <v>0</v>
      </c>
    </row>
    <row r="62" spans="1:64" ht="12.75" customHeight="1">
      <c r="A62" s="88">
        <v>59</v>
      </c>
      <c r="B62" s="88"/>
      <c r="C62" s="75"/>
      <c r="D62" s="89"/>
      <c r="E62" s="90"/>
      <c r="F62" s="91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3"/>
      <c r="AC62" s="94">
        <f t="shared" si="30"/>
        <v>0</v>
      </c>
      <c r="AD62" s="95">
        <v>1</v>
      </c>
      <c r="AE62" s="94">
        <f t="shared" si="2"/>
        <v>0</v>
      </c>
      <c r="AF62" s="96">
        <f t="shared" si="31"/>
        <v>0</v>
      </c>
      <c r="AG62" s="97">
        <v>0</v>
      </c>
      <c r="AH62" s="97">
        <v>0.05</v>
      </c>
      <c r="AI62" s="98">
        <f t="shared" si="4"/>
        <v>0</v>
      </c>
      <c r="AJ62" s="75"/>
      <c r="AM62" s="124">
        <f t="shared" si="32"/>
        <v>0</v>
      </c>
      <c r="AN62" s="124">
        <f t="shared" si="33"/>
        <v>0</v>
      </c>
      <c r="AO62" s="124">
        <f t="shared" si="34"/>
        <v>0</v>
      </c>
      <c r="AP62" s="124">
        <f t="shared" si="35"/>
        <v>0</v>
      </c>
      <c r="AQ62" s="124">
        <f t="shared" si="36"/>
        <v>0</v>
      </c>
      <c r="AR62" s="124">
        <f t="shared" si="37"/>
        <v>0</v>
      </c>
      <c r="AS62" s="124">
        <f t="shared" si="38"/>
        <v>0</v>
      </c>
      <c r="AT62" s="124">
        <f t="shared" si="39"/>
        <v>0</v>
      </c>
      <c r="AU62" s="124">
        <f t="shared" si="40"/>
        <v>0</v>
      </c>
      <c r="AV62" s="124">
        <f t="shared" si="41"/>
        <v>0</v>
      </c>
      <c r="AW62" s="124">
        <f t="shared" si="42"/>
        <v>0</v>
      </c>
      <c r="AX62" s="124">
        <f t="shared" si="43"/>
        <v>0</v>
      </c>
      <c r="AY62" s="124">
        <f t="shared" si="44"/>
        <v>0</v>
      </c>
      <c r="AZ62" s="124">
        <f t="shared" si="45"/>
        <v>0</v>
      </c>
      <c r="BA62" s="124">
        <f t="shared" si="46"/>
        <v>0</v>
      </c>
      <c r="BB62" s="124">
        <f t="shared" si="47"/>
        <v>0</v>
      </c>
      <c r="BC62" s="124">
        <f t="shared" si="48"/>
        <v>0</v>
      </c>
      <c r="BD62" s="124">
        <f t="shared" si="49"/>
        <v>0</v>
      </c>
      <c r="BE62" s="124">
        <f t="shared" si="50"/>
        <v>0</v>
      </c>
      <c r="BF62" s="124">
        <f t="shared" si="51"/>
        <v>0</v>
      </c>
      <c r="BG62" s="124">
        <f t="shared" si="52"/>
        <v>0</v>
      </c>
      <c r="BH62" s="124">
        <f t="shared" si="53"/>
        <v>0</v>
      </c>
      <c r="BJ62" s="121">
        <f t="shared" si="54"/>
        <v>0</v>
      </c>
      <c r="BK62" s="122" t="b">
        <f t="shared" si="55"/>
        <v>1</v>
      </c>
      <c r="BL62" s="121">
        <f t="shared" si="56"/>
        <v>0</v>
      </c>
    </row>
    <row r="63" spans="1:64" ht="12.75" customHeight="1">
      <c r="A63" s="88">
        <v>60</v>
      </c>
      <c r="B63" s="88"/>
      <c r="C63" s="75"/>
      <c r="D63" s="89"/>
      <c r="E63" s="90"/>
      <c r="F63" s="91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3"/>
      <c r="AC63" s="94">
        <f t="shared" si="30"/>
        <v>0</v>
      </c>
      <c r="AD63" s="95">
        <v>1</v>
      </c>
      <c r="AE63" s="94">
        <f t="shared" si="2"/>
        <v>0</v>
      </c>
      <c r="AF63" s="96">
        <f t="shared" si="31"/>
        <v>0</v>
      </c>
      <c r="AG63" s="97">
        <v>0</v>
      </c>
      <c r="AH63" s="97">
        <v>0.05</v>
      </c>
      <c r="AI63" s="98">
        <f t="shared" si="4"/>
        <v>0</v>
      </c>
      <c r="AJ63" s="75"/>
      <c r="AM63" s="124">
        <f t="shared" si="32"/>
        <v>0</v>
      </c>
      <c r="AN63" s="124">
        <f t="shared" si="33"/>
        <v>0</v>
      </c>
      <c r="AO63" s="124">
        <f t="shared" si="34"/>
        <v>0</v>
      </c>
      <c r="AP63" s="124">
        <f t="shared" si="35"/>
        <v>0</v>
      </c>
      <c r="AQ63" s="124">
        <f t="shared" si="36"/>
        <v>0</v>
      </c>
      <c r="AR63" s="124">
        <f t="shared" si="37"/>
        <v>0</v>
      </c>
      <c r="AS63" s="124">
        <f t="shared" si="38"/>
        <v>0</v>
      </c>
      <c r="AT63" s="124">
        <f t="shared" si="39"/>
        <v>0</v>
      </c>
      <c r="AU63" s="124">
        <f t="shared" si="40"/>
        <v>0</v>
      </c>
      <c r="AV63" s="124">
        <f t="shared" si="41"/>
        <v>0</v>
      </c>
      <c r="AW63" s="124">
        <f t="shared" si="42"/>
        <v>0</v>
      </c>
      <c r="AX63" s="124">
        <f t="shared" si="43"/>
        <v>0</v>
      </c>
      <c r="AY63" s="124">
        <f t="shared" si="44"/>
        <v>0</v>
      </c>
      <c r="AZ63" s="124">
        <f t="shared" si="45"/>
        <v>0</v>
      </c>
      <c r="BA63" s="124">
        <f t="shared" si="46"/>
        <v>0</v>
      </c>
      <c r="BB63" s="124">
        <f t="shared" si="47"/>
        <v>0</v>
      </c>
      <c r="BC63" s="124">
        <f t="shared" si="48"/>
        <v>0</v>
      </c>
      <c r="BD63" s="124">
        <f t="shared" si="49"/>
        <v>0</v>
      </c>
      <c r="BE63" s="124">
        <f t="shared" si="50"/>
        <v>0</v>
      </c>
      <c r="BF63" s="124">
        <f t="shared" si="51"/>
        <v>0</v>
      </c>
      <c r="BG63" s="124">
        <f t="shared" si="52"/>
        <v>0</v>
      </c>
      <c r="BH63" s="124">
        <f t="shared" si="53"/>
        <v>0</v>
      </c>
      <c r="BJ63" s="121">
        <f t="shared" si="54"/>
        <v>0</v>
      </c>
      <c r="BK63" s="122" t="b">
        <f t="shared" si="55"/>
        <v>1</v>
      </c>
      <c r="BL63" s="121">
        <f t="shared" si="56"/>
        <v>0</v>
      </c>
    </row>
    <row r="64" spans="1:64" ht="12.75" customHeight="1">
      <c r="A64" s="88">
        <v>61</v>
      </c>
      <c r="B64" s="88"/>
      <c r="C64" s="75"/>
      <c r="D64" s="89"/>
      <c r="E64" s="90"/>
      <c r="F64" s="91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3"/>
      <c r="AC64" s="94">
        <f t="shared" si="30"/>
        <v>0</v>
      </c>
      <c r="AD64" s="95">
        <v>1</v>
      </c>
      <c r="AE64" s="94">
        <f t="shared" si="2"/>
        <v>0</v>
      </c>
      <c r="AF64" s="96">
        <f t="shared" si="31"/>
        <v>0</v>
      </c>
      <c r="AG64" s="97">
        <v>0</v>
      </c>
      <c r="AH64" s="97">
        <v>0.05</v>
      </c>
      <c r="AI64" s="98">
        <f t="shared" si="4"/>
        <v>0</v>
      </c>
      <c r="AJ64" s="75"/>
      <c r="AM64" s="124">
        <f t="shared" si="32"/>
        <v>0</v>
      </c>
      <c r="AN64" s="124">
        <f t="shared" si="33"/>
        <v>0</v>
      </c>
      <c r="AO64" s="124">
        <f t="shared" si="34"/>
        <v>0</v>
      </c>
      <c r="AP64" s="124">
        <f t="shared" si="35"/>
        <v>0</v>
      </c>
      <c r="AQ64" s="124">
        <f t="shared" si="36"/>
        <v>0</v>
      </c>
      <c r="AR64" s="124">
        <f t="shared" si="37"/>
        <v>0</v>
      </c>
      <c r="AS64" s="124">
        <f t="shared" si="38"/>
        <v>0</v>
      </c>
      <c r="AT64" s="124">
        <f t="shared" si="39"/>
        <v>0</v>
      </c>
      <c r="AU64" s="124">
        <f t="shared" si="40"/>
        <v>0</v>
      </c>
      <c r="AV64" s="124">
        <f t="shared" si="41"/>
        <v>0</v>
      </c>
      <c r="AW64" s="124">
        <f t="shared" si="42"/>
        <v>0</v>
      </c>
      <c r="AX64" s="124">
        <f t="shared" si="43"/>
        <v>0</v>
      </c>
      <c r="AY64" s="124">
        <f t="shared" si="44"/>
        <v>0</v>
      </c>
      <c r="AZ64" s="124">
        <f t="shared" si="45"/>
        <v>0</v>
      </c>
      <c r="BA64" s="124">
        <f t="shared" si="46"/>
        <v>0</v>
      </c>
      <c r="BB64" s="124">
        <f t="shared" si="47"/>
        <v>0</v>
      </c>
      <c r="BC64" s="124">
        <f t="shared" si="48"/>
        <v>0</v>
      </c>
      <c r="BD64" s="124">
        <f t="shared" si="49"/>
        <v>0</v>
      </c>
      <c r="BE64" s="124">
        <f t="shared" si="50"/>
        <v>0</v>
      </c>
      <c r="BF64" s="124">
        <f t="shared" si="51"/>
        <v>0</v>
      </c>
      <c r="BG64" s="124">
        <f t="shared" si="52"/>
        <v>0</v>
      </c>
      <c r="BH64" s="124">
        <f t="shared" si="53"/>
        <v>0</v>
      </c>
      <c r="BJ64" s="121">
        <f t="shared" si="54"/>
        <v>0</v>
      </c>
      <c r="BK64" s="122" t="b">
        <f t="shared" si="55"/>
        <v>1</v>
      </c>
      <c r="BL64" s="121">
        <f t="shared" si="56"/>
        <v>0</v>
      </c>
    </row>
    <row r="65" spans="1:64" ht="12.75" customHeight="1">
      <c r="A65" s="88">
        <v>62</v>
      </c>
      <c r="B65" s="88"/>
      <c r="C65" s="75"/>
      <c r="D65" s="89"/>
      <c r="E65" s="90"/>
      <c r="F65" s="91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3"/>
      <c r="AC65" s="94">
        <f t="shared" si="30"/>
        <v>0</v>
      </c>
      <c r="AD65" s="95">
        <v>1</v>
      </c>
      <c r="AE65" s="94">
        <f t="shared" si="2"/>
        <v>0</v>
      </c>
      <c r="AF65" s="96">
        <f t="shared" si="31"/>
        <v>0</v>
      </c>
      <c r="AG65" s="97">
        <v>0</v>
      </c>
      <c r="AH65" s="97">
        <v>0.05</v>
      </c>
      <c r="AI65" s="98">
        <f t="shared" si="4"/>
        <v>0</v>
      </c>
      <c r="AJ65" s="75"/>
      <c r="AM65" s="124">
        <f t="shared" si="32"/>
        <v>0</v>
      </c>
      <c r="AN65" s="124">
        <f t="shared" si="33"/>
        <v>0</v>
      </c>
      <c r="AO65" s="124">
        <f t="shared" si="34"/>
        <v>0</v>
      </c>
      <c r="AP65" s="124">
        <f t="shared" si="35"/>
        <v>0</v>
      </c>
      <c r="AQ65" s="124">
        <f t="shared" si="36"/>
        <v>0</v>
      </c>
      <c r="AR65" s="124">
        <f t="shared" si="37"/>
        <v>0</v>
      </c>
      <c r="AS65" s="124">
        <f t="shared" si="38"/>
        <v>0</v>
      </c>
      <c r="AT65" s="124">
        <f t="shared" si="39"/>
        <v>0</v>
      </c>
      <c r="AU65" s="124">
        <f t="shared" si="40"/>
        <v>0</v>
      </c>
      <c r="AV65" s="124">
        <f t="shared" si="41"/>
        <v>0</v>
      </c>
      <c r="AW65" s="124">
        <f t="shared" si="42"/>
        <v>0</v>
      </c>
      <c r="AX65" s="124">
        <f t="shared" si="43"/>
        <v>0</v>
      </c>
      <c r="AY65" s="124">
        <f t="shared" si="44"/>
        <v>0</v>
      </c>
      <c r="AZ65" s="124">
        <f t="shared" si="45"/>
        <v>0</v>
      </c>
      <c r="BA65" s="124">
        <f t="shared" si="46"/>
        <v>0</v>
      </c>
      <c r="BB65" s="124">
        <f t="shared" si="47"/>
        <v>0</v>
      </c>
      <c r="BC65" s="124">
        <f t="shared" si="48"/>
        <v>0</v>
      </c>
      <c r="BD65" s="124">
        <f t="shared" si="49"/>
        <v>0</v>
      </c>
      <c r="BE65" s="124">
        <f t="shared" si="50"/>
        <v>0</v>
      </c>
      <c r="BF65" s="124">
        <f t="shared" si="51"/>
        <v>0</v>
      </c>
      <c r="BG65" s="124">
        <f t="shared" si="52"/>
        <v>0</v>
      </c>
      <c r="BH65" s="124">
        <f t="shared" si="53"/>
        <v>0</v>
      </c>
      <c r="BJ65" s="121">
        <f t="shared" si="54"/>
        <v>0</v>
      </c>
      <c r="BK65" s="122" t="b">
        <f t="shared" si="55"/>
        <v>1</v>
      </c>
      <c r="BL65" s="121">
        <f t="shared" si="56"/>
        <v>0</v>
      </c>
    </row>
    <row r="66" spans="1:64" ht="12.75" customHeight="1">
      <c r="A66" s="88">
        <v>63</v>
      </c>
      <c r="B66" s="88"/>
      <c r="C66" s="75"/>
      <c r="D66" s="89"/>
      <c r="E66" s="90"/>
      <c r="F66" s="91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3"/>
      <c r="AC66" s="94">
        <f t="shared" si="30"/>
        <v>0</v>
      </c>
      <c r="AD66" s="95">
        <v>1</v>
      </c>
      <c r="AE66" s="94">
        <f t="shared" si="2"/>
        <v>0</v>
      </c>
      <c r="AF66" s="96">
        <f t="shared" si="31"/>
        <v>0</v>
      </c>
      <c r="AG66" s="97">
        <v>0</v>
      </c>
      <c r="AH66" s="97">
        <v>0.05</v>
      </c>
      <c r="AI66" s="98">
        <f t="shared" si="4"/>
        <v>0</v>
      </c>
      <c r="AJ66" s="75"/>
      <c r="AM66" s="124">
        <f t="shared" si="32"/>
        <v>0</v>
      </c>
      <c r="AN66" s="124">
        <f t="shared" si="33"/>
        <v>0</v>
      </c>
      <c r="AO66" s="124">
        <f t="shared" si="34"/>
        <v>0</v>
      </c>
      <c r="AP66" s="124">
        <f t="shared" si="35"/>
        <v>0</v>
      </c>
      <c r="AQ66" s="124">
        <f t="shared" si="36"/>
        <v>0</v>
      </c>
      <c r="AR66" s="124">
        <f t="shared" si="37"/>
        <v>0</v>
      </c>
      <c r="AS66" s="124">
        <f t="shared" si="38"/>
        <v>0</v>
      </c>
      <c r="AT66" s="124">
        <f t="shared" si="39"/>
        <v>0</v>
      </c>
      <c r="AU66" s="124">
        <f t="shared" si="40"/>
        <v>0</v>
      </c>
      <c r="AV66" s="124">
        <f t="shared" si="41"/>
        <v>0</v>
      </c>
      <c r="AW66" s="124">
        <f t="shared" si="42"/>
        <v>0</v>
      </c>
      <c r="AX66" s="124">
        <f t="shared" si="43"/>
        <v>0</v>
      </c>
      <c r="AY66" s="124">
        <f t="shared" si="44"/>
        <v>0</v>
      </c>
      <c r="AZ66" s="124">
        <f t="shared" si="45"/>
        <v>0</v>
      </c>
      <c r="BA66" s="124">
        <f t="shared" si="46"/>
        <v>0</v>
      </c>
      <c r="BB66" s="124">
        <f t="shared" si="47"/>
        <v>0</v>
      </c>
      <c r="BC66" s="124">
        <f t="shared" si="48"/>
        <v>0</v>
      </c>
      <c r="BD66" s="124">
        <f t="shared" si="49"/>
        <v>0</v>
      </c>
      <c r="BE66" s="124">
        <f t="shared" si="50"/>
        <v>0</v>
      </c>
      <c r="BF66" s="124">
        <f t="shared" si="51"/>
        <v>0</v>
      </c>
      <c r="BG66" s="124">
        <f t="shared" si="52"/>
        <v>0</v>
      </c>
      <c r="BH66" s="124">
        <f t="shared" si="53"/>
        <v>0</v>
      </c>
      <c r="BJ66" s="121">
        <f t="shared" si="54"/>
        <v>0</v>
      </c>
      <c r="BK66" s="122" t="b">
        <f t="shared" si="55"/>
        <v>1</v>
      </c>
      <c r="BL66" s="121">
        <f t="shared" si="56"/>
        <v>0</v>
      </c>
    </row>
    <row r="67" spans="1:64" ht="12.75" customHeight="1">
      <c r="A67" s="88">
        <v>64</v>
      </c>
      <c r="B67" s="88"/>
      <c r="C67" s="75"/>
      <c r="D67" s="89"/>
      <c r="E67" s="90"/>
      <c r="F67" s="91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3"/>
      <c r="AC67" s="94">
        <f t="shared" si="30"/>
        <v>0</v>
      </c>
      <c r="AD67" s="95">
        <v>1</v>
      </c>
      <c r="AE67" s="94">
        <f t="shared" si="2"/>
        <v>0</v>
      </c>
      <c r="AF67" s="96">
        <f t="shared" si="31"/>
        <v>0</v>
      </c>
      <c r="AG67" s="97">
        <v>0</v>
      </c>
      <c r="AH67" s="97">
        <v>0.05</v>
      </c>
      <c r="AI67" s="98">
        <f t="shared" si="4"/>
        <v>0</v>
      </c>
      <c r="AJ67" s="75"/>
      <c r="AM67" s="124">
        <f t="shared" si="32"/>
        <v>0</v>
      </c>
      <c r="AN67" s="124">
        <f t="shared" si="33"/>
        <v>0</v>
      </c>
      <c r="AO67" s="124">
        <f t="shared" si="34"/>
        <v>0</v>
      </c>
      <c r="AP67" s="124">
        <f t="shared" si="35"/>
        <v>0</v>
      </c>
      <c r="AQ67" s="124">
        <f t="shared" si="36"/>
        <v>0</v>
      </c>
      <c r="AR67" s="124">
        <f t="shared" si="37"/>
        <v>0</v>
      </c>
      <c r="AS67" s="124">
        <f t="shared" si="38"/>
        <v>0</v>
      </c>
      <c r="AT67" s="124">
        <f t="shared" si="39"/>
        <v>0</v>
      </c>
      <c r="AU67" s="124">
        <f t="shared" si="40"/>
        <v>0</v>
      </c>
      <c r="AV67" s="124">
        <f t="shared" si="41"/>
        <v>0</v>
      </c>
      <c r="AW67" s="124">
        <f t="shared" si="42"/>
        <v>0</v>
      </c>
      <c r="AX67" s="124">
        <f t="shared" si="43"/>
        <v>0</v>
      </c>
      <c r="AY67" s="124">
        <f t="shared" si="44"/>
        <v>0</v>
      </c>
      <c r="AZ67" s="124">
        <f t="shared" si="45"/>
        <v>0</v>
      </c>
      <c r="BA67" s="124">
        <f t="shared" si="46"/>
        <v>0</v>
      </c>
      <c r="BB67" s="124">
        <f t="shared" si="47"/>
        <v>0</v>
      </c>
      <c r="BC67" s="124">
        <f t="shared" si="48"/>
        <v>0</v>
      </c>
      <c r="BD67" s="124">
        <f t="shared" si="49"/>
        <v>0</v>
      </c>
      <c r="BE67" s="124">
        <f t="shared" si="50"/>
        <v>0</v>
      </c>
      <c r="BF67" s="124">
        <f t="shared" si="51"/>
        <v>0</v>
      </c>
      <c r="BG67" s="124">
        <f t="shared" si="52"/>
        <v>0</v>
      </c>
      <c r="BH67" s="124">
        <f t="shared" si="53"/>
        <v>0</v>
      </c>
      <c r="BJ67" s="121">
        <f t="shared" si="54"/>
        <v>0</v>
      </c>
      <c r="BK67" s="122" t="b">
        <f t="shared" si="55"/>
        <v>1</v>
      </c>
      <c r="BL67" s="121">
        <f t="shared" si="56"/>
        <v>0</v>
      </c>
    </row>
    <row r="68" spans="1:64" ht="12.75" customHeight="1">
      <c r="A68" s="88">
        <v>65</v>
      </c>
      <c r="B68" s="88"/>
      <c r="C68" s="75"/>
      <c r="D68" s="89"/>
      <c r="E68" s="90"/>
      <c r="F68" s="91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3"/>
      <c r="AC68" s="94">
        <f t="shared" ref="AC68:AC99" si="57">SUM(G68:AB68)</f>
        <v>0</v>
      </c>
      <c r="AD68" s="95">
        <v>1</v>
      </c>
      <c r="AE68" s="94">
        <f t="shared" si="2"/>
        <v>0</v>
      </c>
      <c r="AF68" s="96">
        <f t="shared" ref="AF68:AF99" si="58">F68</f>
        <v>0</v>
      </c>
      <c r="AG68" s="97">
        <v>0</v>
      </c>
      <c r="AH68" s="97">
        <v>0.05</v>
      </c>
      <c r="AI68" s="98">
        <f t="shared" si="4"/>
        <v>0</v>
      </c>
      <c r="AJ68" s="75"/>
      <c r="AM68" s="124">
        <f t="shared" ref="AM68:AM99" si="59">(($AF68*(1+$AG68))*(1+$AH68))*G68</f>
        <v>0</v>
      </c>
      <c r="AN68" s="124">
        <f t="shared" ref="AN68:AN99" si="60">(($AF68*(1+$AG68))*(1+$AH68))*H68</f>
        <v>0</v>
      </c>
      <c r="AO68" s="124">
        <f t="shared" ref="AO68:AO99" si="61">(($AF68*(1+$AG68))*(1+$AH68))*I68</f>
        <v>0</v>
      </c>
      <c r="AP68" s="124">
        <f t="shared" ref="AP68:AP99" si="62">(($AF68*(1+$AG68))*(1+$AH68))*J68</f>
        <v>0</v>
      </c>
      <c r="AQ68" s="124">
        <f t="shared" ref="AQ68:AQ99" si="63">(($AF68*(1+$AG68))*(1+$AH68))*K68</f>
        <v>0</v>
      </c>
      <c r="AR68" s="124">
        <f t="shared" ref="AR68:AR99" si="64">(($AF68*(1+$AG68))*(1+$AH68))*L68</f>
        <v>0</v>
      </c>
      <c r="AS68" s="124">
        <f t="shared" ref="AS68:AS99" si="65">(($AF68*(1+$AG68))*(1+$AH68))*M68</f>
        <v>0</v>
      </c>
      <c r="AT68" s="124">
        <f t="shared" ref="AT68:AT99" si="66">(($AF68*(1+$AG68))*(1+$AH68))*N68</f>
        <v>0</v>
      </c>
      <c r="AU68" s="124">
        <f t="shared" ref="AU68:AU99" si="67">(($AF68*(1+$AG68))*(1+$AH68))*O68</f>
        <v>0</v>
      </c>
      <c r="AV68" s="124">
        <f t="shared" ref="AV68:AV99" si="68">(($AF68*(1+$AG68))*(1+$AH68))*P68</f>
        <v>0</v>
      </c>
      <c r="AW68" s="124">
        <f t="shared" ref="AW68:AW99" si="69">(($AF68*(1+$AG68))*(1+$AH68))*Q68</f>
        <v>0</v>
      </c>
      <c r="AX68" s="124">
        <f t="shared" ref="AX68:AX99" si="70">(($AF68*(1+$AG68))*(1+$AH68))*R68</f>
        <v>0</v>
      </c>
      <c r="AY68" s="124">
        <f t="shared" ref="AY68:AY99" si="71">(($AF68*(1+$AG68))*(1+$AH68))*S68</f>
        <v>0</v>
      </c>
      <c r="AZ68" s="124">
        <f t="shared" ref="AZ68:AZ99" si="72">(($AF68*(1+$AG68))*(1+$AH68))*T68</f>
        <v>0</v>
      </c>
      <c r="BA68" s="124">
        <f t="shared" ref="BA68:BA99" si="73">(($AF68*(1+$AG68))*(1+$AH68))*U68</f>
        <v>0</v>
      </c>
      <c r="BB68" s="124">
        <f t="shared" ref="BB68:BB99" si="74">(($AF68*(1+$AG68))*(1+$AH68))*V68</f>
        <v>0</v>
      </c>
      <c r="BC68" s="124">
        <f t="shared" ref="BC68:BC99" si="75">(($AF68*(1+$AG68))*(1+$AH68))*W68</f>
        <v>0</v>
      </c>
      <c r="BD68" s="124">
        <f t="shared" ref="BD68:BD99" si="76">(($AF68*(1+$AG68))*(1+$AH68))*X68</f>
        <v>0</v>
      </c>
      <c r="BE68" s="124">
        <f t="shared" ref="BE68:BE99" si="77">(($AF68*(1+$AG68))*(1+$AH68))*Y68</f>
        <v>0</v>
      </c>
      <c r="BF68" s="124">
        <f t="shared" ref="BF68:BF99" si="78">(($AF68*(1+$AG68))*(1+$AH68))*Z68</f>
        <v>0</v>
      </c>
      <c r="BG68" s="124">
        <f t="shared" ref="BG68:BG99" si="79">(($AF68*(1+$AG68))*(1+$AH68))*AA68</f>
        <v>0</v>
      </c>
      <c r="BH68" s="124">
        <f t="shared" ref="BH68:BH99" si="80">(($AF68*(1+$AG68))*(1+$AH68))*AB68</f>
        <v>0</v>
      </c>
      <c r="BJ68" s="121">
        <f t="shared" ref="BJ68:BJ99" si="81">SUM(AM68:BH68)</f>
        <v>0</v>
      </c>
      <c r="BK68" s="122" t="b">
        <f t="shared" ref="BK68:BK99" si="82">EXACT(BJ68,AI68)</f>
        <v>1</v>
      </c>
      <c r="BL68" s="121">
        <f t="shared" ref="BL68:BL99" si="83">BJ68-AI68</f>
        <v>0</v>
      </c>
    </row>
    <row r="69" spans="1:64" ht="12.75" customHeight="1">
      <c r="A69" s="88">
        <v>66</v>
      </c>
      <c r="B69" s="88"/>
      <c r="C69" s="75"/>
      <c r="D69" s="89"/>
      <c r="E69" s="90"/>
      <c r="F69" s="91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93"/>
      <c r="AC69" s="94">
        <f t="shared" si="57"/>
        <v>0</v>
      </c>
      <c r="AD69" s="95">
        <v>1</v>
      </c>
      <c r="AE69" s="94">
        <f t="shared" si="2"/>
        <v>0</v>
      </c>
      <c r="AF69" s="96">
        <f t="shared" si="58"/>
        <v>0</v>
      </c>
      <c r="AG69" s="97">
        <v>0</v>
      </c>
      <c r="AH69" s="97">
        <v>0.05</v>
      </c>
      <c r="AI69" s="98">
        <f t="shared" si="4"/>
        <v>0</v>
      </c>
      <c r="AJ69" s="75"/>
      <c r="AM69" s="124">
        <f t="shared" si="59"/>
        <v>0</v>
      </c>
      <c r="AN69" s="124">
        <f t="shared" si="60"/>
        <v>0</v>
      </c>
      <c r="AO69" s="124">
        <f t="shared" si="61"/>
        <v>0</v>
      </c>
      <c r="AP69" s="124">
        <f t="shared" si="62"/>
        <v>0</v>
      </c>
      <c r="AQ69" s="124">
        <f t="shared" si="63"/>
        <v>0</v>
      </c>
      <c r="AR69" s="124">
        <f t="shared" si="64"/>
        <v>0</v>
      </c>
      <c r="AS69" s="124">
        <f t="shared" si="65"/>
        <v>0</v>
      </c>
      <c r="AT69" s="124">
        <f t="shared" si="66"/>
        <v>0</v>
      </c>
      <c r="AU69" s="124">
        <f t="shared" si="67"/>
        <v>0</v>
      </c>
      <c r="AV69" s="124">
        <f t="shared" si="68"/>
        <v>0</v>
      </c>
      <c r="AW69" s="124">
        <f t="shared" si="69"/>
        <v>0</v>
      </c>
      <c r="AX69" s="124">
        <f t="shared" si="70"/>
        <v>0</v>
      </c>
      <c r="AY69" s="124">
        <f t="shared" si="71"/>
        <v>0</v>
      </c>
      <c r="AZ69" s="124">
        <f t="shared" si="72"/>
        <v>0</v>
      </c>
      <c r="BA69" s="124">
        <f t="shared" si="73"/>
        <v>0</v>
      </c>
      <c r="BB69" s="124">
        <f t="shared" si="74"/>
        <v>0</v>
      </c>
      <c r="BC69" s="124">
        <f t="shared" si="75"/>
        <v>0</v>
      </c>
      <c r="BD69" s="124">
        <f t="shared" si="76"/>
        <v>0</v>
      </c>
      <c r="BE69" s="124">
        <f t="shared" si="77"/>
        <v>0</v>
      </c>
      <c r="BF69" s="124">
        <f t="shared" si="78"/>
        <v>0</v>
      </c>
      <c r="BG69" s="124">
        <f t="shared" si="79"/>
        <v>0</v>
      </c>
      <c r="BH69" s="124">
        <f t="shared" si="80"/>
        <v>0</v>
      </c>
      <c r="BJ69" s="121">
        <f t="shared" si="81"/>
        <v>0</v>
      </c>
      <c r="BK69" s="122" t="b">
        <f t="shared" si="82"/>
        <v>1</v>
      </c>
      <c r="BL69" s="121">
        <f t="shared" si="83"/>
        <v>0</v>
      </c>
    </row>
    <row r="70" spans="1:64" ht="12.75" customHeight="1">
      <c r="A70" s="88">
        <v>67</v>
      </c>
      <c r="B70" s="88"/>
      <c r="C70" s="75"/>
      <c r="D70" s="89"/>
      <c r="E70" s="90"/>
      <c r="F70" s="91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93"/>
      <c r="AC70" s="94">
        <f t="shared" si="57"/>
        <v>0</v>
      </c>
      <c r="AD70" s="95">
        <v>1</v>
      </c>
      <c r="AE70" s="94">
        <f t="shared" si="2"/>
        <v>0</v>
      </c>
      <c r="AF70" s="96">
        <f t="shared" si="58"/>
        <v>0</v>
      </c>
      <c r="AG70" s="97">
        <v>0</v>
      </c>
      <c r="AH70" s="97">
        <v>0.05</v>
      </c>
      <c r="AI70" s="98">
        <f t="shared" si="4"/>
        <v>0</v>
      </c>
      <c r="AJ70" s="75"/>
      <c r="AM70" s="124">
        <f t="shared" si="59"/>
        <v>0</v>
      </c>
      <c r="AN70" s="124">
        <f t="shared" si="60"/>
        <v>0</v>
      </c>
      <c r="AO70" s="124">
        <f t="shared" si="61"/>
        <v>0</v>
      </c>
      <c r="AP70" s="124">
        <f t="shared" si="62"/>
        <v>0</v>
      </c>
      <c r="AQ70" s="124">
        <f t="shared" si="63"/>
        <v>0</v>
      </c>
      <c r="AR70" s="124">
        <f t="shared" si="64"/>
        <v>0</v>
      </c>
      <c r="AS70" s="124">
        <f t="shared" si="65"/>
        <v>0</v>
      </c>
      <c r="AT70" s="124">
        <f t="shared" si="66"/>
        <v>0</v>
      </c>
      <c r="AU70" s="124">
        <f t="shared" si="67"/>
        <v>0</v>
      </c>
      <c r="AV70" s="124">
        <f t="shared" si="68"/>
        <v>0</v>
      </c>
      <c r="AW70" s="124">
        <f t="shared" si="69"/>
        <v>0</v>
      </c>
      <c r="AX70" s="124">
        <f t="shared" si="70"/>
        <v>0</v>
      </c>
      <c r="AY70" s="124">
        <f t="shared" si="71"/>
        <v>0</v>
      </c>
      <c r="AZ70" s="124">
        <f t="shared" si="72"/>
        <v>0</v>
      </c>
      <c r="BA70" s="124">
        <f t="shared" si="73"/>
        <v>0</v>
      </c>
      <c r="BB70" s="124">
        <f t="shared" si="74"/>
        <v>0</v>
      </c>
      <c r="BC70" s="124">
        <f t="shared" si="75"/>
        <v>0</v>
      </c>
      <c r="BD70" s="124">
        <f t="shared" si="76"/>
        <v>0</v>
      </c>
      <c r="BE70" s="124">
        <f t="shared" si="77"/>
        <v>0</v>
      </c>
      <c r="BF70" s="124">
        <f t="shared" si="78"/>
        <v>0</v>
      </c>
      <c r="BG70" s="124">
        <f t="shared" si="79"/>
        <v>0</v>
      </c>
      <c r="BH70" s="124">
        <f t="shared" si="80"/>
        <v>0</v>
      </c>
      <c r="BJ70" s="121">
        <f t="shared" si="81"/>
        <v>0</v>
      </c>
      <c r="BK70" s="122" t="b">
        <f t="shared" si="82"/>
        <v>1</v>
      </c>
      <c r="BL70" s="121">
        <f t="shared" si="83"/>
        <v>0</v>
      </c>
    </row>
    <row r="71" spans="1:64" ht="12.75" customHeight="1">
      <c r="A71" s="88">
        <v>68</v>
      </c>
      <c r="B71" s="88"/>
      <c r="C71" s="75"/>
      <c r="D71" s="89"/>
      <c r="E71" s="90"/>
      <c r="F71" s="91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93"/>
      <c r="AC71" s="94">
        <f t="shared" si="57"/>
        <v>0</v>
      </c>
      <c r="AD71" s="95">
        <v>1</v>
      </c>
      <c r="AE71" s="94">
        <f t="shared" si="2"/>
        <v>0</v>
      </c>
      <c r="AF71" s="96">
        <f t="shared" si="58"/>
        <v>0</v>
      </c>
      <c r="AG71" s="97">
        <v>0</v>
      </c>
      <c r="AH71" s="97">
        <v>0.05</v>
      </c>
      <c r="AI71" s="98">
        <f t="shared" si="4"/>
        <v>0</v>
      </c>
      <c r="AJ71" s="75"/>
      <c r="AM71" s="124">
        <f t="shared" si="59"/>
        <v>0</v>
      </c>
      <c r="AN71" s="124">
        <f t="shared" si="60"/>
        <v>0</v>
      </c>
      <c r="AO71" s="124">
        <f t="shared" si="61"/>
        <v>0</v>
      </c>
      <c r="AP71" s="124">
        <f t="shared" si="62"/>
        <v>0</v>
      </c>
      <c r="AQ71" s="124">
        <f t="shared" si="63"/>
        <v>0</v>
      </c>
      <c r="AR71" s="124">
        <f t="shared" si="64"/>
        <v>0</v>
      </c>
      <c r="AS71" s="124">
        <f t="shared" si="65"/>
        <v>0</v>
      </c>
      <c r="AT71" s="124">
        <f t="shared" si="66"/>
        <v>0</v>
      </c>
      <c r="AU71" s="124">
        <f t="shared" si="67"/>
        <v>0</v>
      </c>
      <c r="AV71" s="124">
        <f t="shared" si="68"/>
        <v>0</v>
      </c>
      <c r="AW71" s="124">
        <f t="shared" si="69"/>
        <v>0</v>
      </c>
      <c r="AX71" s="124">
        <f t="shared" si="70"/>
        <v>0</v>
      </c>
      <c r="AY71" s="124">
        <f t="shared" si="71"/>
        <v>0</v>
      </c>
      <c r="AZ71" s="124">
        <f t="shared" si="72"/>
        <v>0</v>
      </c>
      <c r="BA71" s="124">
        <f t="shared" si="73"/>
        <v>0</v>
      </c>
      <c r="BB71" s="124">
        <f t="shared" si="74"/>
        <v>0</v>
      </c>
      <c r="BC71" s="124">
        <f t="shared" si="75"/>
        <v>0</v>
      </c>
      <c r="BD71" s="124">
        <f t="shared" si="76"/>
        <v>0</v>
      </c>
      <c r="BE71" s="124">
        <f t="shared" si="77"/>
        <v>0</v>
      </c>
      <c r="BF71" s="124">
        <f t="shared" si="78"/>
        <v>0</v>
      </c>
      <c r="BG71" s="124">
        <f t="shared" si="79"/>
        <v>0</v>
      </c>
      <c r="BH71" s="124">
        <f t="shared" si="80"/>
        <v>0</v>
      </c>
      <c r="BJ71" s="121">
        <f t="shared" si="81"/>
        <v>0</v>
      </c>
      <c r="BK71" s="122" t="b">
        <f t="shared" si="82"/>
        <v>1</v>
      </c>
      <c r="BL71" s="121">
        <f t="shared" si="83"/>
        <v>0</v>
      </c>
    </row>
    <row r="72" spans="1:64" ht="12.75" customHeight="1">
      <c r="A72" s="88">
        <v>69</v>
      </c>
      <c r="B72" s="88"/>
      <c r="C72" s="75"/>
      <c r="D72" s="89"/>
      <c r="E72" s="90"/>
      <c r="F72" s="91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93"/>
      <c r="AC72" s="94">
        <f t="shared" si="57"/>
        <v>0</v>
      </c>
      <c r="AD72" s="95">
        <v>1</v>
      </c>
      <c r="AE72" s="94">
        <f t="shared" si="2"/>
        <v>0</v>
      </c>
      <c r="AF72" s="96">
        <f t="shared" si="58"/>
        <v>0</v>
      </c>
      <c r="AG72" s="97">
        <v>0</v>
      </c>
      <c r="AH72" s="97">
        <v>0.05</v>
      </c>
      <c r="AI72" s="98">
        <f t="shared" si="4"/>
        <v>0</v>
      </c>
      <c r="AJ72" s="75"/>
      <c r="AM72" s="124">
        <f t="shared" si="59"/>
        <v>0</v>
      </c>
      <c r="AN72" s="124">
        <f t="shared" si="60"/>
        <v>0</v>
      </c>
      <c r="AO72" s="124">
        <f t="shared" si="61"/>
        <v>0</v>
      </c>
      <c r="AP72" s="124">
        <f t="shared" si="62"/>
        <v>0</v>
      </c>
      <c r="AQ72" s="124">
        <f t="shared" si="63"/>
        <v>0</v>
      </c>
      <c r="AR72" s="124">
        <f t="shared" si="64"/>
        <v>0</v>
      </c>
      <c r="AS72" s="124">
        <f t="shared" si="65"/>
        <v>0</v>
      </c>
      <c r="AT72" s="124">
        <f t="shared" si="66"/>
        <v>0</v>
      </c>
      <c r="AU72" s="124">
        <f t="shared" si="67"/>
        <v>0</v>
      </c>
      <c r="AV72" s="124">
        <f t="shared" si="68"/>
        <v>0</v>
      </c>
      <c r="AW72" s="124">
        <f t="shared" si="69"/>
        <v>0</v>
      </c>
      <c r="AX72" s="124">
        <f t="shared" si="70"/>
        <v>0</v>
      </c>
      <c r="AY72" s="124">
        <f t="shared" si="71"/>
        <v>0</v>
      </c>
      <c r="AZ72" s="124">
        <f t="shared" si="72"/>
        <v>0</v>
      </c>
      <c r="BA72" s="124">
        <f t="shared" si="73"/>
        <v>0</v>
      </c>
      <c r="BB72" s="124">
        <f t="shared" si="74"/>
        <v>0</v>
      </c>
      <c r="BC72" s="124">
        <f t="shared" si="75"/>
        <v>0</v>
      </c>
      <c r="BD72" s="124">
        <f t="shared" si="76"/>
        <v>0</v>
      </c>
      <c r="BE72" s="124">
        <f t="shared" si="77"/>
        <v>0</v>
      </c>
      <c r="BF72" s="124">
        <f t="shared" si="78"/>
        <v>0</v>
      </c>
      <c r="BG72" s="124">
        <f t="shared" si="79"/>
        <v>0</v>
      </c>
      <c r="BH72" s="124">
        <f t="shared" si="80"/>
        <v>0</v>
      </c>
      <c r="BJ72" s="121">
        <f t="shared" si="81"/>
        <v>0</v>
      </c>
      <c r="BK72" s="122" t="b">
        <f t="shared" si="82"/>
        <v>1</v>
      </c>
      <c r="BL72" s="121">
        <f t="shared" si="83"/>
        <v>0</v>
      </c>
    </row>
    <row r="73" spans="1:64" ht="12.75" customHeight="1">
      <c r="A73" s="88">
        <v>70</v>
      </c>
      <c r="B73" s="88"/>
      <c r="C73" s="75"/>
      <c r="D73" s="89"/>
      <c r="E73" s="90"/>
      <c r="F73" s="91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93"/>
      <c r="AC73" s="94">
        <f t="shared" si="57"/>
        <v>0</v>
      </c>
      <c r="AD73" s="95">
        <v>1</v>
      </c>
      <c r="AE73" s="94">
        <f t="shared" si="2"/>
        <v>0</v>
      </c>
      <c r="AF73" s="96">
        <f t="shared" si="58"/>
        <v>0</v>
      </c>
      <c r="AG73" s="97">
        <v>0</v>
      </c>
      <c r="AH73" s="97">
        <v>0.05</v>
      </c>
      <c r="AI73" s="98">
        <f t="shared" si="4"/>
        <v>0</v>
      </c>
      <c r="AJ73" s="75"/>
      <c r="AM73" s="124">
        <f t="shared" si="59"/>
        <v>0</v>
      </c>
      <c r="AN73" s="124">
        <f t="shared" si="60"/>
        <v>0</v>
      </c>
      <c r="AO73" s="124">
        <f t="shared" si="61"/>
        <v>0</v>
      </c>
      <c r="AP73" s="124">
        <f t="shared" si="62"/>
        <v>0</v>
      </c>
      <c r="AQ73" s="124">
        <f t="shared" si="63"/>
        <v>0</v>
      </c>
      <c r="AR73" s="124">
        <f t="shared" si="64"/>
        <v>0</v>
      </c>
      <c r="AS73" s="124">
        <f t="shared" si="65"/>
        <v>0</v>
      </c>
      <c r="AT73" s="124">
        <f t="shared" si="66"/>
        <v>0</v>
      </c>
      <c r="AU73" s="124">
        <f t="shared" si="67"/>
        <v>0</v>
      </c>
      <c r="AV73" s="124">
        <f t="shared" si="68"/>
        <v>0</v>
      </c>
      <c r="AW73" s="124">
        <f t="shared" si="69"/>
        <v>0</v>
      </c>
      <c r="AX73" s="124">
        <f t="shared" si="70"/>
        <v>0</v>
      </c>
      <c r="AY73" s="124">
        <f t="shared" si="71"/>
        <v>0</v>
      </c>
      <c r="AZ73" s="124">
        <f t="shared" si="72"/>
        <v>0</v>
      </c>
      <c r="BA73" s="124">
        <f t="shared" si="73"/>
        <v>0</v>
      </c>
      <c r="BB73" s="124">
        <f t="shared" si="74"/>
        <v>0</v>
      </c>
      <c r="BC73" s="124">
        <f t="shared" si="75"/>
        <v>0</v>
      </c>
      <c r="BD73" s="124">
        <f t="shared" si="76"/>
        <v>0</v>
      </c>
      <c r="BE73" s="124">
        <f t="shared" si="77"/>
        <v>0</v>
      </c>
      <c r="BF73" s="124">
        <f t="shared" si="78"/>
        <v>0</v>
      </c>
      <c r="BG73" s="124">
        <f t="shared" si="79"/>
        <v>0</v>
      </c>
      <c r="BH73" s="124">
        <f t="shared" si="80"/>
        <v>0</v>
      </c>
      <c r="BJ73" s="121">
        <f t="shared" si="81"/>
        <v>0</v>
      </c>
      <c r="BK73" s="122" t="b">
        <f t="shared" si="82"/>
        <v>1</v>
      </c>
      <c r="BL73" s="121">
        <f t="shared" si="83"/>
        <v>0</v>
      </c>
    </row>
    <row r="74" spans="1:64" ht="12.75" customHeight="1">
      <c r="A74" s="88">
        <v>71</v>
      </c>
      <c r="B74" s="88"/>
      <c r="C74" s="75"/>
      <c r="D74" s="89"/>
      <c r="E74" s="90"/>
      <c r="F74" s="91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93"/>
      <c r="AC74" s="94">
        <f t="shared" si="57"/>
        <v>0</v>
      </c>
      <c r="AD74" s="95">
        <v>1</v>
      </c>
      <c r="AE74" s="94">
        <f t="shared" si="2"/>
        <v>0</v>
      </c>
      <c r="AF74" s="96">
        <f t="shared" si="58"/>
        <v>0</v>
      </c>
      <c r="AG74" s="97">
        <v>0</v>
      </c>
      <c r="AH74" s="97">
        <v>0.05</v>
      </c>
      <c r="AI74" s="98">
        <f t="shared" si="4"/>
        <v>0</v>
      </c>
      <c r="AJ74" s="75"/>
      <c r="AM74" s="124">
        <f t="shared" si="59"/>
        <v>0</v>
      </c>
      <c r="AN74" s="124">
        <f t="shared" si="60"/>
        <v>0</v>
      </c>
      <c r="AO74" s="124">
        <f t="shared" si="61"/>
        <v>0</v>
      </c>
      <c r="AP74" s="124">
        <f t="shared" si="62"/>
        <v>0</v>
      </c>
      <c r="AQ74" s="124">
        <f t="shared" si="63"/>
        <v>0</v>
      </c>
      <c r="AR74" s="124">
        <f t="shared" si="64"/>
        <v>0</v>
      </c>
      <c r="AS74" s="124">
        <f t="shared" si="65"/>
        <v>0</v>
      </c>
      <c r="AT74" s="124">
        <f t="shared" si="66"/>
        <v>0</v>
      </c>
      <c r="AU74" s="124">
        <f t="shared" si="67"/>
        <v>0</v>
      </c>
      <c r="AV74" s="124">
        <f t="shared" si="68"/>
        <v>0</v>
      </c>
      <c r="AW74" s="124">
        <f t="shared" si="69"/>
        <v>0</v>
      </c>
      <c r="AX74" s="124">
        <f t="shared" si="70"/>
        <v>0</v>
      </c>
      <c r="AY74" s="124">
        <f t="shared" si="71"/>
        <v>0</v>
      </c>
      <c r="AZ74" s="124">
        <f t="shared" si="72"/>
        <v>0</v>
      </c>
      <c r="BA74" s="124">
        <f t="shared" si="73"/>
        <v>0</v>
      </c>
      <c r="BB74" s="124">
        <f t="shared" si="74"/>
        <v>0</v>
      </c>
      <c r="BC74" s="124">
        <f t="shared" si="75"/>
        <v>0</v>
      </c>
      <c r="BD74" s="124">
        <f t="shared" si="76"/>
        <v>0</v>
      </c>
      <c r="BE74" s="124">
        <f t="shared" si="77"/>
        <v>0</v>
      </c>
      <c r="BF74" s="124">
        <f t="shared" si="78"/>
        <v>0</v>
      </c>
      <c r="BG74" s="124">
        <f t="shared" si="79"/>
        <v>0</v>
      </c>
      <c r="BH74" s="124">
        <f t="shared" si="80"/>
        <v>0</v>
      </c>
      <c r="BJ74" s="121">
        <f t="shared" si="81"/>
        <v>0</v>
      </c>
      <c r="BK74" s="122" t="b">
        <f t="shared" si="82"/>
        <v>1</v>
      </c>
      <c r="BL74" s="121">
        <f t="shared" si="83"/>
        <v>0</v>
      </c>
    </row>
    <row r="75" spans="1:64" ht="12.75" customHeight="1">
      <c r="A75" s="88">
        <v>72</v>
      </c>
      <c r="B75" s="88"/>
      <c r="C75" s="75"/>
      <c r="D75" s="89"/>
      <c r="E75" s="90"/>
      <c r="F75" s="91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93"/>
      <c r="AC75" s="94">
        <f t="shared" si="57"/>
        <v>0</v>
      </c>
      <c r="AD75" s="95">
        <v>1</v>
      </c>
      <c r="AE75" s="94">
        <f t="shared" si="2"/>
        <v>0</v>
      </c>
      <c r="AF75" s="96">
        <f t="shared" si="58"/>
        <v>0</v>
      </c>
      <c r="AG75" s="97">
        <v>0</v>
      </c>
      <c r="AH75" s="97">
        <v>0.05</v>
      </c>
      <c r="AI75" s="98">
        <f t="shared" si="4"/>
        <v>0</v>
      </c>
      <c r="AJ75" s="75"/>
      <c r="AM75" s="124">
        <f t="shared" si="59"/>
        <v>0</v>
      </c>
      <c r="AN75" s="124">
        <f t="shared" si="60"/>
        <v>0</v>
      </c>
      <c r="AO75" s="124">
        <f t="shared" si="61"/>
        <v>0</v>
      </c>
      <c r="AP75" s="124">
        <f t="shared" si="62"/>
        <v>0</v>
      </c>
      <c r="AQ75" s="124">
        <f t="shared" si="63"/>
        <v>0</v>
      </c>
      <c r="AR75" s="124">
        <f t="shared" si="64"/>
        <v>0</v>
      </c>
      <c r="AS75" s="124">
        <f t="shared" si="65"/>
        <v>0</v>
      </c>
      <c r="AT75" s="124">
        <f t="shared" si="66"/>
        <v>0</v>
      </c>
      <c r="AU75" s="124">
        <f t="shared" si="67"/>
        <v>0</v>
      </c>
      <c r="AV75" s="124">
        <f t="shared" si="68"/>
        <v>0</v>
      </c>
      <c r="AW75" s="124">
        <f t="shared" si="69"/>
        <v>0</v>
      </c>
      <c r="AX75" s="124">
        <f t="shared" si="70"/>
        <v>0</v>
      </c>
      <c r="AY75" s="124">
        <f t="shared" si="71"/>
        <v>0</v>
      </c>
      <c r="AZ75" s="124">
        <f t="shared" si="72"/>
        <v>0</v>
      </c>
      <c r="BA75" s="124">
        <f t="shared" si="73"/>
        <v>0</v>
      </c>
      <c r="BB75" s="124">
        <f t="shared" si="74"/>
        <v>0</v>
      </c>
      <c r="BC75" s="124">
        <f t="shared" si="75"/>
        <v>0</v>
      </c>
      <c r="BD75" s="124">
        <f t="shared" si="76"/>
        <v>0</v>
      </c>
      <c r="BE75" s="124">
        <f t="shared" si="77"/>
        <v>0</v>
      </c>
      <c r="BF75" s="124">
        <f t="shared" si="78"/>
        <v>0</v>
      </c>
      <c r="BG75" s="124">
        <f t="shared" si="79"/>
        <v>0</v>
      </c>
      <c r="BH75" s="124">
        <f t="shared" si="80"/>
        <v>0</v>
      </c>
      <c r="BJ75" s="121">
        <f t="shared" si="81"/>
        <v>0</v>
      </c>
      <c r="BK75" s="122" t="b">
        <f t="shared" si="82"/>
        <v>1</v>
      </c>
      <c r="BL75" s="121">
        <f t="shared" si="83"/>
        <v>0</v>
      </c>
    </row>
    <row r="76" spans="1:64" ht="12.75" customHeight="1">
      <c r="A76" s="88">
        <v>73</v>
      </c>
      <c r="B76" s="88"/>
      <c r="C76" s="75"/>
      <c r="D76" s="89"/>
      <c r="E76" s="90"/>
      <c r="F76" s="91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93"/>
      <c r="AC76" s="94">
        <f t="shared" si="57"/>
        <v>0</v>
      </c>
      <c r="AD76" s="95">
        <v>1</v>
      </c>
      <c r="AE76" s="94">
        <f t="shared" si="2"/>
        <v>0</v>
      </c>
      <c r="AF76" s="96">
        <f t="shared" si="58"/>
        <v>0</v>
      </c>
      <c r="AG76" s="97">
        <v>0</v>
      </c>
      <c r="AH76" s="97">
        <v>0.05</v>
      </c>
      <c r="AI76" s="98">
        <f t="shared" si="4"/>
        <v>0</v>
      </c>
      <c r="AJ76" s="75"/>
      <c r="AM76" s="124">
        <f t="shared" si="59"/>
        <v>0</v>
      </c>
      <c r="AN76" s="124">
        <f t="shared" si="60"/>
        <v>0</v>
      </c>
      <c r="AO76" s="124">
        <f t="shared" si="61"/>
        <v>0</v>
      </c>
      <c r="AP76" s="124">
        <f t="shared" si="62"/>
        <v>0</v>
      </c>
      <c r="AQ76" s="124">
        <f t="shared" si="63"/>
        <v>0</v>
      </c>
      <c r="AR76" s="124">
        <f t="shared" si="64"/>
        <v>0</v>
      </c>
      <c r="AS76" s="124">
        <f t="shared" si="65"/>
        <v>0</v>
      </c>
      <c r="AT76" s="124">
        <f t="shared" si="66"/>
        <v>0</v>
      </c>
      <c r="AU76" s="124">
        <f t="shared" si="67"/>
        <v>0</v>
      </c>
      <c r="AV76" s="124">
        <f t="shared" si="68"/>
        <v>0</v>
      </c>
      <c r="AW76" s="124">
        <f t="shared" si="69"/>
        <v>0</v>
      </c>
      <c r="AX76" s="124">
        <f t="shared" si="70"/>
        <v>0</v>
      </c>
      <c r="AY76" s="124">
        <f t="shared" si="71"/>
        <v>0</v>
      </c>
      <c r="AZ76" s="124">
        <f t="shared" si="72"/>
        <v>0</v>
      </c>
      <c r="BA76" s="124">
        <f t="shared" si="73"/>
        <v>0</v>
      </c>
      <c r="BB76" s="124">
        <f t="shared" si="74"/>
        <v>0</v>
      </c>
      <c r="BC76" s="124">
        <f t="shared" si="75"/>
        <v>0</v>
      </c>
      <c r="BD76" s="124">
        <f t="shared" si="76"/>
        <v>0</v>
      </c>
      <c r="BE76" s="124">
        <f t="shared" si="77"/>
        <v>0</v>
      </c>
      <c r="BF76" s="124">
        <f t="shared" si="78"/>
        <v>0</v>
      </c>
      <c r="BG76" s="124">
        <f t="shared" si="79"/>
        <v>0</v>
      </c>
      <c r="BH76" s="124">
        <f t="shared" si="80"/>
        <v>0</v>
      </c>
      <c r="BJ76" s="121">
        <f t="shared" si="81"/>
        <v>0</v>
      </c>
      <c r="BK76" s="122" t="b">
        <f t="shared" si="82"/>
        <v>1</v>
      </c>
      <c r="BL76" s="121">
        <f t="shared" si="83"/>
        <v>0</v>
      </c>
    </row>
    <row r="77" spans="1:64" ht="12.75" customHeight="1">
      <c r="A77" s="88">
        <v>74</v>
      </c>
      <c r="B77" s="88"/>
      <c r="C77" s="75"/>
      <c r="D77" s="89"/>
      <c r="E77" s="90"/>
      <c r="F77" s="91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93"/>
      <c r="AC77" s="94">
        <f t="shared" si="57"/>
        <v>0</v>
      </c>
      <c r="AD77" s="95">
        <v>1</v>
      </c>
      <c r="AE77" s="94">
        <f t="shared" si="2"/>
        <v>0</v>
      </c>
      <c r="AF77" s="96">
        <f t="shared" si="58"/>
        <v>0</v>
      </c>
      <c r="AG77" s="97">
        <v>0</v>
      </c>
      <c r="AH77" s="97">
        <v>0.05</v>
      </c>
      <c r="AI77" s="98">
        <f t="shared" si="4"/>
        <v>0</v>
      </c>
      <c r="AJ77" s="75"/>
      <c r="AM77" s="124">
        <f t="shared" si="59"/>
        <v>0</v>
      </c>
      <c r="AN77" s="124">
        <f t="shared" si="60"/>
        <v>0</v>
      </c>
      <c r="AO77" s="124">
        <f t="shared" si="61"/>
        <v>0</v>
      </c>
      <c r="AP77" s="124">
        <f t="shared" si="62"/>
        <v>0</v>
      </c>
      <c r="AQ77" s="124">
        <f t="shared" si="63"/>
        <v>0</v>
      </c>
      <c r="AR77" s="124">
        <f t="shared" si="64"/>
        <v>0</v>
      </c>
      <c r="AS77" s="124">
        <f t="shared" si="65"/>
        <v>0</v>
      </c>
      <c r="AT77" s="124">
        <f t="shared" si="66"/>
        <v>0</v>
      </c>
      <c r="AU77" s="124">
        <f t="shared" si="67"/>
        <v>0</v>
      </c>
      <c r="AV77" s="124">
        <f t="shared" si="68"/>
        <v>0</v>
      </c>
      <c r="AW77" s="124">
        <f t="shared" si="69"/>
        <v>0</v>
      </c>
      <c r="AX77" s="124">
        <f t="shared" si="70"/>
        <v>0</v>
      </c>
      <c r="AY77" s="124">
        <f t="shared" si="71"/>
        <v>0</v>
      </c>
      <c r="AZ77" s="124">
        <f t="shared" si="72"/>
        <v>0</v>
      </c>
      <c r="BA77" s="124">
        <f t="shared" si="73"/>
        <v>0</v>
      </c>
      <c r="BB77" s="124">
        <f t="shared" si="74"/>
        <v>0</v>
      </c>
      <c r="BC77" s="124">
        <f t="shared" si="75"/>
        <v>0</v>
      </c>
      <c r="BD77" s="124">
        <f t="shared" si="76"/>
        <v>0</v>
      </c>
      <c r="BE77" s="124">
        <f t="shared" si="77"/>
        <v>0</v>
      </c>
      <c r="BF77" s="124">
        <f t="shared" si="78"/>
        <v>0</v>
      </c>
      <c r="BG77" s="124">
        <f t="shared" si="79"/>
        <v>0</v>
      </c>
      <c r="BH77" s="124">
        <f t="shared" si="80"/>
        <v>0</v>
      </c>
      <c r="BJ77" s="121">
        <f t="shared" si="81"/>
        <v>0</v>
      </c>
      <c r="BK77" s="122" t="b">
        <f t="shared" si="82"/>
        <v>1</v>
      </c>
      <c r="BL77" s="121">
        <f t="shared" si="83"/>
        <v>0</v>
      </c>
    </row>
    <row r="78" spans="1:64" ht="12.75" customHeight="1">
      <c r="A78" s="88">
        <v>75</v>
      </c>
      <c r="B78" s="88"/>
      <c r="C78" s="75"/>
      <c r="D78" s="89"/>
      <c r="E78" s="90"/>
      <c r="F78" s="91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93"/>
      <c r="AC78" s="94">
        <f t="shared" si="57"/>
        <v>0</v>
      </c>
      <c r="AD78" s="95">
        <v>1</v>
      </c>
      <c r="AE78" s="94">
        <f t="shared" si="2"/>
        <v>0</v>
      </c>
      <c r="AF78" s="96">
        <f t="shared" si="58"/>
        <v>0</v>
      </c>
      <c r="AG78" s="97">
        <v>0</v>
      </c>
      <c r="AH78" s="97">
        <v>0.05</v>
      </c>
      <c r="AI78" s="98">
        <f t="shared" si="4"/>
        <v>0</v>
      </c>
      <c r="AJ78" s="75"/>
      <c r="AM78" s="124">
        <f t="shared" si="59"/>
        <v>0</v>
      </c>
      <c r="AN78" s="124">
        <f t="shared" si="60"/>
        <v>0</v>
      </c>
      <c r="AO78" s="124">
        <f t="shared" si="61"/>
        <v>0</v>
      </c>
      <c r="AP78" s="124">
        <f t="shared" si="62"/>
        <v>0</v>
      </c>
      <c r="AQ78" s="124">
        <f t="shared" si="63"/>
        <v>0</v>
      </c>
      <c r="AR78" s="124">
        <f t="shared" si="64"/>
        <v>0</v>
      </c>
      <c r="AS78" s="124">
        <f t="shared" si="65"/>
        <v>0</v>
      </c>
      <c r="AT78" s="124">
        <f t="shared" si="66"/>
        <v>0</v>
      </c>
      <c r="AU78" s="124">
        <f t="shared" si="67"/>
        <v>0</v>
      </c>
      <c r="AV78" s="124">
        <f t="shared" si="68"/>
        <v>0</v>
      </c>
      <c r="AW78" s="124">
        <f t="shared" si="69"/>
        <v>0</v>
      </c>
      <c r="AX78" s="124">
        <f t="shared" si="70"/>
        <v>0</v>
      </c>
      <c r="AY78" s="124">
        <f t="shared" si="71"/>
        <v>0</v>
      </c>
      <c r="AZ78" s="124">
        <f t="shared" si="72"/>
        <v>0</v>
      </c>
      <c r="BA78" s="124">
        <f t="shared" si="73"/>
        <v>0</v>
      </c>
      <c r="BB78" s="124">
        <f t="shared" si="74"/>
        <v>0</v>
      </c>
      <c r="BC78" s="124">
        <f t="shared" si="75"/>
        <v>0</v>
      </c>
      <c r="BD78" s="124">
        <f t="shared" si="76"/>
        <v>0</v>
      </c>
      <c r="BE78" s="124">
        <f t="shared" si="77"/>
        <v>0</v>
      </c>
      <c r="BF78" s="124">
        <f t="shared" si="78"/>
        <v>0</v>
      </c>
      <c r="BG78" s="124">
        <f t="shared" si="79"/>
        <v>0</v>
      </c>
      <c r="BH78" s="124">
        <f t="shared" si="80"/>
        <v>0</v>
      </c>
      <c r="BJ78" s="121">
        <f t="shared" si="81"/>
        <v>0</v>
      </c>
      <c r="BK78" s="122" t="b">
        <f t="shared" si="82"/>
        <v>1</v>
      </c>
      <c r="BL78" s="121">
        <f t="shared" si="83"/>
        <v>0</v>
      </c>
    </row>
    <row r="79" spans="1:64" ht="12.75" customHeight="1">
      <c r="A79" s="88">
        <v>76</v>
      </c>
      <c r="B79" s="88"/>
      <c r="C79" s="75"/>
      <c r="D79" s="89"/>
      <c r="E79" s="90"/>
      <c r="F79" s="91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4">
        <f t="shared" si="57"/>
        <v>0</v>
      </c>
      <c r="AD79" s="95">
        <v>1</v>
      </c>
      <c r="AE79" s="94">
        <f t="shared" si="2"/>
        <v>0</v>
      </c>
      <c r="AF79" s="96">
        <f t="shared" si="58"/>
        <v>0</v>
      </c>
      <c r="AG79" s="97">
        <v>0</v>
      </c>
      <c r="AH79" s="97">
        <v>0.05</v>
      </c>
      <c r="AI79" s="98">
        <f t="shared" si="4"/>
        <v>0</v>
      </c>
      <c r="AJ79" s="75"/>
      <c r="AM79" s="124">
        <f t="shared" si="59"/>
        <v>0</v>
      </c>
      <c r="AN79" s="124">
        <f t="shared" si="60"/>
        <v>0</v>
      </c>
      <c r="AO79" s="124">
        <f t="shared" si="61"/>
        <v>0</v>
      </c>
      <c r="AP79" s="124">
        <f t="shared" si="62"/>
        <v>0</v>
      </c>
      <c r="AQ79" s="124">
        <f t="shared" si="63"/>
        <v>0</v>
      </c>
      <c r="AR79" s="124">
        <f t="shared" si="64"/>
        <v>0</v>
      </c>
      <c r="AS79" s="124">
        <f t="shared" si="65"/>
        <v>0</v>
      </c>
      <c r="AT79" s="124">
        <f t="shared" si="66"/>
        <v>0</v>
      </c>
      <c r="AU79" s="124">
        <f t="shared" si="67"/>
        <v>0</v>
      </c>
      <c r="AV79" s="124">
        <f t="shared" si="68"/>
        <v>0</v>
      </c>
      <c r="AW79" s="124">
        <f t="shared" si="69"/>
        <v>0</v>
      </c>
      <c r="AX79" s="124">
        <f t="shared" si="70"/>
        <v>0</v>
      </c>
      <c r="AY79" s="124">
        <f t="shared" si="71"/>
        <v>0</v>
      </c>
      <c r="AZ79" s="124">
        <f t="shared" si="72"/>
        <v>0</v>
      </c>
      <c r="BA79" s="124">
        <f t="shared" si="73"/>
        <v>0</v>
      </c>
      <c r="BB79" s="124">
        <f t="shared" si="74"/>
        <v>0</v>
      </c>
      <c r="BC79" s="124">
        <f t="shared" si="75"/>
        <v>0</v>
      </c>
      <c r="BD79" s="124">
        <f t="shared" si="76"/>
        <v>0</v>
      </c>
      <c r="BE79" s="124">
        <f t="shared" si="77"/>
        <v>0</v>
      </c>
      <c r="BF79" s="124">
        <f t="shared" si="78"/>
        <v>0</v>
      </c>
      <c r="BG79" s="124">
        <f t="shared" si="79"/>
        <v>0</v>
      </c>
      <c r="BH79" s="124">
        <f t="shared" si="80"/>
        <v>0</v>
      </c>
      <c r="BJ79" s="121">
        <f t="shared" si="81"/>
        <v>0</v>
      </c>
      <c r="BK79" s="122" t="b">
        <f t="shared" si="82"/>
        <v>1</v>
      </c>
      <c r="BL79" s="121">
        <f t="shared" si="83"/>
        <v>0</v>
      </c>
    </row>
    <row r="80" spans="1:64" ht="12.75" customHeight="1">
      <c r="A80" s="88">
        <v>77</v>
      </c>
      <c r="B80" s="88"/>
      <c r="C80" s="75"/>
      <c r="D80" s="89"/>
      <c r="E80" s="90"/>
      <c r="F80" s="91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93"/>
      <c r="AC80" s="94">
        <f t="shared" si="57"/>
        <v>0</v>
      </c>
      <c r="AD80" s="95">
        <v>1</v>
      </c>
      <c r="AE80" s="94">
        <f t="shared" si="2"/>
        <v>0</v>
      </c>
      <c r="AF80" s="96">
        <f t="shared" si="58"/>
        <v>0</v>
      </c>
      <c r="AG80" s="97">
        <v>0</v>
      </c>
      <c r="AH80" s="97">
        <v>0.05</v>
      </c>
      <c r="AI80" s="98">
        <f t="shared" si="4"/>
        <v>0</v>
      </c>
      <c r="AJ80" s="75"/>
      <c r="AM80" s="124">
        <f t="shared" si="59"/>
        <v>0</v>
      </c>
      <c r="AN80" s="124">
        <f t="shared" si="60"/>
        <v>0</v>
      </c>
      <c r="AO80" s="124">
        <f t="shared" si="61"/>
        <v>0</v>
      </c>
      <c r="AP80" s="124">
        <f t="shared" si="62"/>
        <v>0</v>
      </c>
      <c r="AQ80" s="124">
        <f t="shared" si="63"/>
        <v>0</v>
      </c>
      <c r="AR80" s="124">
        <f t="shared" si="64"/>
        <v>0</v>
      </c>
      <c r="AS80" s="124">
        <f t="shared" si="65"/>
        <v>0</v>
      </c>
      <c r="AT80" s="124">
        <f t="shared" si="66"/>
        <v>0</v>
      </c>
      <c r="AU80" s="124">
        <f t="shared" si="67"/>
        <v>0</v>
      </c>
      <c r="AV80" s="124">
        <f t="shared" si="68"/>
        <v>0</v>
      </c>
      <c r="AW80" s="124">
        <f t="shared" si="69"/>
        <v>0</v>
      </c>
      <c r="AX80" s="124">
        <f t="shared" si="70"/>
        <v>0</v>
      </c>
      <c r="AY80" s="124">
        <f t="shared" si="71"/>
        <v>0</v>
      </c>
      <c r="AZ80" s="124">
        <f t="shared" si="72"/>
        <v>0</v>
      </c>
      <c r="BA80" s="124">
        <f t="shared" si="73"/>
        <v>0</v>
      </c>
      <c r="BB80" s="124">
        <f t="shared" si="74"/>
        <v>0</v>
      </c>
      <c r="BC80" s="124">
        <f t="shared" si="75"/>
        <v>0</v>
      </c>
      <c r="BD80" s="124">
        <f t="shared" si="76"/>
        <v>0</v>
      </c>
      <c r="BE80" s="124">
        <f t="shared" si="77"/>
        <v>0</v>
      </c>
      <c r="BF80" s="124">
        <f t="shared" si="78"/>
        <v>0</v>
      </c>
      <c r="BG80" s="124">
        <f t="shared" si="79"/>
        <v>0</v>
      </c>
      <c r="BH80" s="124">
        <f t="shared" si="80"/>
        <v>0</v>
      </c>
      <c r="BJ80" s="121">
        <f t="shared" si="81"/>
        <v>0</v>
      </c>
      <c r="BK80" s="122" t="b">
        <f t="shared" si="82"/>
        <v>1</v>
      </c>
      <c r="BL80" s="121">
        <f t="shared" si="83"/>
        <v>0</v>
      </c>
    </row>
    <row r="81" spans="1:64" ht="12.75" customHeight="1">
      <c r="A81" s="88">
        <v>78</v>
      </c>
      <c r="B81" s="88"/>
      <c r="C81" s="75"/>
      <c r="D81" s="89"/>
      <c r="E81" s="90"/>
      <c r="F81" s="91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3"/>
      <c r="AC81" s="94">
        <f t="shared" si="57"/>
        <v>0</v>
      </c>
      <c r="AD81" s="95">
        <v>1</v>
      </c>
      <c r="AE81" s="94">
        <f t="shared" si="2"/>
        <v>0</v>
      </c>
      <c r="AF81" s="96">
        <f t="shared" si="58"/>
        <v>0</v>
      </c>
      <c r="AG81" s="97">
        <v>0</v>
      </c>
      <c r="AH81" s="97">
        <v>0.05</v>
      </c>
      <c r="AI81" s="98">
        <f t="shared" si="4"/>
        <v>0</v>
      </c>
      <c r="AJ81" s="75"/>
      <c r="AM81" s="124">
        <f t="shared" si="59"/>
        <v>0</v>
      </c>
      <c r="AN81" s="124">
        <f t="shared" si="60"/>
        <v>0</v>
      </c>
      <c r="AO81" s="124">
        <f t="shared" si="61"/>
        <v>0</v>
      </c>
      <c r="AP81" s="124">
        <f t="shared" si="62"/>
        <v>0</v>
      </c>
      <c r="AQ81" s="124">
        <f t="shared" si="63"/>
        <v>0</v>
      </c>
      <c r="AR81" s="124">
        <f t="shared" si="64"/>
        <v>0</v>
      </c>
      <c r="AS81" s="124">
        <f t="shared" si="65"/>
        <v>0</v>
      </c>
      <c r="AT81" s="124">
        <f t="shared" si="66"/>
        <v>0</v>
      </c>
      <c r="AU81" s="124">
        <f t="shared" si="67"/>
        <v>0</v>
      </c>
      <c r="AV81" s="124">
        <f t="shared" si="68"/>
        <v>0</v>
      </c>
      <c r="AW81" s="124">
        <f t="shared" si="69"/>
        <v>0</v>
      </c>
      <c r="AX81" s="124">
        <f t="shared" si="70"/>
        <v>0</v>
      </c>
      <c r="AY81" s="124">
        <f t="shared" si="71"/>
        <v>0</v>
      </c>
      <c r="AZ81" s="124">
        <f t="shared" si="72"/>
        <v>0</v>
      </c>
      <c r="BA81" s="124">
        <f t="shared" si="73"/>
        <v>0</v>
      </c>
      <c r="BB81" s="124">
        <f t="shared" si="74"/>
        <v>0</v>
      </c>
      <c r="BC81" s="124">
        <f t="shared" si="75"/>
        <v>0</v>
      </c>
      <c r="BD81" s="124">
        <f t="shared" si="76"/>
        <v>0</v>
      </c>
      <c r="BE81" s="124">
        <f t="shared" si="77"/>
        <v>0</v>
      </c>
      <c r="BF81" s="124">
        <f t="shared" si="78"/>
        <v>0</v>
      </c>
      <c r="BG81" s="124">
        <f t="shared" si="79"/>
        <v>0</v>
      </c>
      <c r="BH81" s="124">
        <f t="shared" si="80"/>
        <v>0</v>
      </c>
      <c r="BJ81" s="121">
        <f t="shared" si="81"/>
        <v>0</v>
      </c>
      <c r="BK81" s="122" t="b">
        <f t="shared" si="82"/>
        <v>1</v>
      </c>
      <c r="BL81" s="121">
        <f t="shared" si="83"/>
        <v>0</v>
      </c>
    </row>
    <row r="82" spans="1:64" ht="12.75" customHeight="1">
      <c r="A82" s="88">
        <v>79</v>
      </c>
      <c r="B82" s="88"/>
      <c r="C82" s="75"/>
      <c r="D82" s="89"/>
      <c r="E82" s="90"/>
      <c r="F82" s="91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3"/>
      <c r="AC82" s="94">
        <f t="shared" si="57"/>
        <v>0</v>
      </c>
      <c r="AD82" s="95">
        <v>1</v>
      </c>
      <c r="AE82" s="94">
        <f t="shared" si="2"/>
        <v>0</v>
      </c>
      <c r="AF82" s="96">
        <f t="shared" si="58"/>
        <v>0</v>
      </c>
      <c r="AG82" s="97">
        <v>0</v>
      </c>
      <c r="AH82" s="97">
        <v>0.05</v>
      </c>
      <c r="AI82" s="98">
        <f t="shared" si="4"/>
        <v>0</v>
      </c>
      <c r="AJ82" s="75"/>
      <c r="AM82" s="124">
        <f t="shared" si="59"/>
        <v>0</v>
      </c>
      <c r="AN82" s="124">
        <f t="shared" si="60"/>
        <v>0</v>
      </c>
      <c r="AO82" s="124">
        <f t="shared" si="61"/>
        <v>0</v>
      </c>
      <c r="AP82" s="124">
        <f t="shared" si="62"/>
        <v>0</v>
      </c>
      <c r="AQ82" s="124">
        <f t="shared" si="63"/>
        <v>0</v>
      </c>
      <c r="AR82" s="124">
        <f t="shared" si="64"/>
        <v>0</v>
      </c>
      <c r="AS82" s="124">
        <f t="shared" si="65"/>
        <v>0</v>
      </c>
      <c r="AT82" s="124">
        <f t="shared" si="66"/>
        <v>0</v>
      </c>
      <c r="AU82" s="124">
        <f t="shared" si="67"/>
        <v>0</v>
      </c>
      <c r="AV82" s="124">
        <f t="shared" si="68"/>
        <v>0</v>
      </c>
      <c r="AW82" s="124">
        <f t="shared" si="69"/>
        <v>0</v>
      </c>
      <c r="AX82" s="124">
        <f t="shared" si="70"/>
        <v>0</v>
      </c>
      <c r="AY82" s="124">
        <f t="shared" si="71"/>
        <v>0</v>
      </c>
      <c r="AZ82" s="124">
        <f t="shared" si="72"/>
        <v>0</v>
      </c>
      <c r="BA82" s="124">
        <f t="shared" si="73"/>
        <v>0</v>
      </c>
      <c r="BB82" s="124">
        <f t="shared" si="74"/>
        <v>0</v>
      </c>
      <c r="BC82" s="124">
        <f t="shared" si="75"/>
        <v>0</v>
      </c>
      <c r="BD82" s="124">
        <f t="shared" si="76"/>
        <v>0</v>
      </c>
      <c r="BE82" s="124">
        <f t="shared" si="77"/>
        <v>0</v>
      </c>
      <c r="BF82" s="124">
        <f t="shared" si="78"/>
        <v>0</v>
      </c>
      <c r="BG82" s="124">
        <f t="shared" si="79"/>
        <v>0</v>
      </c>
      <c r="BH82" s="124">
        <f t="shared" si="80"/>
        <v>0</v>
      </c>
      <c r="BJ82" s="121">
        <f t="shared" si="81"/>
        <v>0</v>
      </c>
      <c r="BK82" s="122" t="b">
        <f t="shared" si="82"/>
        <v>1</v>
      </c>
      <c r="BL82" s="121">
        <f t="shared" si="83"/>
        <v>0</v>
      </c>
    </row>
    <row r="83" spans="1:64" ht="12.75" customHeight="1">
      <c r="A83" s="88">
        <v>80</v>
      </c>
      <c r="B83" s="88"/>
      <c r="C83" s="75"/>
      <c r="D83" s="89"/>
      <c r="E83" s="90"/>
      <c r="F83" s="91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93"/>
      <c r="AC83" s="94">
        <f t="shared" si="57"/>
        <v>0</v>
      </c>
      <c r="AD83" s="95">
        <v>1</v>
      </c>
      <c r="AE83" s="94">
        <f t="shared" si="2"/>
        <v>0</v>
      </c>
      <c r="AF83" s="96">
        <f t="shared" si="58"/>
        <v>0</v>
      </c>
      <c r="AG83" s="97">
        <v>0</v>
      </c>
      <c r="AH83" s="97">
        <v>0.05</v>
      </c>
      <c r="AI83" s="98">
        <f t="shared" si="4"/>
        <v>0</v>
      </c>
      <c r="AJ83" s="75"/>
      <c r="AM83" s="124">
        <f t="shared" si="59"/>
        <v>0</v>
      </c>
      <c r="AN83" s="124">
        <f t="shared" si="60"/>
        <v>0</v>
      </c>
      <c r="AO83" s="124">
        <f t="shared" si="61"/>
        <v>0</v>
      </c>
      <c r="AP83" s="124">
        <f t="shared" si="62"/>
        <v>0</v>
      </c>
      <c r="AQ83" s="124">
        <f t="shared" si="63"/>
        <v>0</v>
      </c>
      <c r="AR83" s="124">
        <f t="shared" si="64"/>
        <v>0</v>
      </c>
      <c r="AS83" s="124">
        <f t="shared" si="65"/>
        <v>0</v>
      </c>
      <c r="AT83" s="124">
        <f t="shared" si="66"/>
        <v>0</v>
      </c>
      <c r="AU83" s="124">
        <f t="shared" si="67"/>
        <v>0</v>
      </c>
      <c r="AV83" s="124">
        <f t="shared" si="68"/>
        <v>0</v>
      </c>
      <c r="AW83" s="124">
        <f t="shared" si="69"/>
        <v>0</v>
      </c>
      <c r="AX83" s="124">
        <f t="shared" si="70"/>
        <v>0</v>
      </c>
      <c r="AY83" s="124">
        <f t="shared" si="71"/>
        <v>0</v>
      </c>
      <c r="AZ83" s="124">
        <f t="shared" si="72"/>
        <v>0</v>
      </c>
      <c r="BA83" s="124">
        <f t="shared" si="73"/>
        <v>0</v>
      </c>
      <c r="BB83" s="124">
        <f t="shared" si="74"/>
        <v>0</v>
      </c>
      <c r="BC83" s="124">
        <f t="shared" si="75"/>
        <v>0</v>
      </c>
      <c r="BD83" s="124">
        <f t="shared" si="76"/>
        <v>0</v>
      </c>
      <c r="BE83" s="124">
        <f t="shared" si="77"/>
        <v>0</v>
      </c>
      <c r="BF83" s="124">
        <f t="shared" si="78"/>
        <v>0</v>
      </c>
      <c r="BG83" s="124">
        <f t="shared" si="79"/>
        <v>0</v>
      </c>
      <c r="BH83" s="124">
        <f t="shared" si="80"/>
        <v>0</v>
      </c>
      <c r="BJ83" s="121">
        <f t="shared" si="81"/>
        <v>0</v>
      </c>
      <c r="BK83" s="122" t="b">
        <f t="shared" si="82"/>
        <v>1</v>
      </c>
      <c r="BL83" s="121">
        <f t="shared" si="83"/>
        <v>0</v>
      </c>
    </row>
    <row r="84" spans="1:64" ht="12.75" customHeight="1">
      <c r="A84" s="88">
        <v>81</v>
      </c>
      <c r="B84" s="88"/>
      <c r="C84" s="75"/>
      <c r="D84" s="89"/>
      <c r="E84" s="90"/>
      <c r="F84" s="91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4">
        <f t="shared" si="57"/>
        <v>0</v>
      </c>
      <c r="AD84" s="95">
        <v>1</v>
      </c>
      <c r="AE84" s="94">
        <f t="shared" si="2"/>
        <v>0</v>
      </c>
      <c r="AF84" s="96">
        <f t="shared" si="58"/>
        <v>0</v>
      </c>
      <c r="AG84" s="97">
        <v>0</v>
      </c>
      <c r="AH84" s="97">
        <v>0.05</v>
      </c>
      <c r="AI84" s="98">
        <f t="shared" si="4"/>
        <v>0</v>
      </c>
      <c r="AJ84" s="75"/>
      <c r="AM84" s="124">
        <f t="shared" si="59"/>
        <v>0</v>
      </c>
      <c r="AN84" s="124">
        <f t="shared" si="60"/>
        <v>0</v>
      </c>
      <c r="AO84" s="124">
        <f t="shared" si="61"/>
        <v>0</v>
      </c>
      <c r="AP84" s="124">
        <f t="shared" si="62"/>
        <v>0</v>
      </c>
      <c r="AQ84" s="124">
        <f t="shared" si="63"/>
        <v>0</v>
      </c>
      <c r="AR84" s="124">
        <f t="shared" si="64"/>
        <v>0</v>
      </c>
      <c r="AS84" s="124">
        <f t="shared" si="65"/>
        <v>0</v>
      </c>
      <c r="AT84" s="124">
        <f t="shared" si="66"/>
        <v>0</v>
      </c>
      <c r="AU84" s="124">
        <f t="shared" si="67"/>
        <v>0</v>
      </c>
      <c r="AV84" s="124">
        <f t="shared" si="68"/>
        <v>0</v>
      </c>
      <c r="AW84" s="124">
        <f t="shared" si="69"/>
        <v>0</v>
      </c>
      <c r="AX84" s="124">
        <f t="shared" si="70"/>
        <v>0</v>
      </c>
      <c r="AY84" s="124">
        <f t="shared" si="71"/>
        <v>0</v>
      </c>
      <c r="AZ84" s="124">
        <f t="shared" si="72"/>
        <v>0</v>
      </c>
      <c r="BA84" s="124">
        <f t="shared" si="73"/>
        <v>0</v>
      </c>
      <c r="BB84" s="124">
        <f t="shared" si="74"/>
        <v>0</v>
      </c>
      <c r="BC84" s="124">
        <f t="shared" si="75"/>
        <v>0</v>
      </c>
      <c r="BD84" s="124">
        <f t="shared" si="76"/>
        <v>0</v>
      </c>
      <c r="BE84" s="124">
        <f t="shared" si="77"/>
        <v>0</v>
      </c>
      <c r="BF84" s="124">
        <f t="shared" si="78"/>
        <v>0</v>
      </c>
      <c r="BG84" s="124">
        <f t="shared" si="79"/>
        <v>0</v>
      </c>
      <c r="BH84" s="124">
        <f t="shared" si="80"/>
        <v>0</v>
      </c>
      <c r="BJ84" s="121">
        <f t="shared" si="81"/>
        <v>0</v>
      </c>
      <c r="BK84" s="122" t="b">
        <f t="shared" si="82"/>
        <v>1</v>
      </c>
      <c r="BL84" s="121">
        <f t="shared" si="83"/>
        <v>0</v>
      </c>
    </row>
    <row r="85" spans="1:64" ht="12.75" customHeight="1">
      <c r="A85" s="88">
        <v>82</v>
      </c>
      <c r="B85" s="88"/>
      <c r="C85" s="75"/>
      <c r="D85" s="89"/>
      <c r="E85" s="90"/>
      <c r="F85" s="91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93"/>
      <c r="AC85" s="94">
        <f t="shared" si="57"/>
        <v>0</v>
      </c>
      <c r="AD85" s="95">
        <v>1</v>
      </c>
      <c r="AE85" s="94">
        <f t="shared" si="2"/>
        <v>0</v>
      </c>
      <c r="AF85" s="96">
        <f t="shared" si="58"/>
        <v>0</v>
      </c>
      <c r="AG85" s="97">
        <v>0</v>
      </c>
      <c r="AH85" s="97">
        <v>0.05</v>
      </c>
      <c r="AI85" s="98">
        <f t="shared" si="4"/>
        <v>0</v>
      </c>
      <c r="AJ85" s="75"/>
      <c r="AM85" s="124">
        <f t="shared" si="59"/>
        <v>0</v>
      </c>
      <c r="AN85" s="124">
        <f t="shared" si="60"/>
        <v>0</v>
      </c>
      <c r="AO85" s="124">
        <f t="shared" si="61"/>
        <v>0</v>
      </c>
      <c r="AP85" s="124">
        <f t="shared" si="62"/>
        <v>0</v>
      </c>
      <c r="AQ85" s="124">
        <f t="shared" si="63"/>
        <v>0</v>
      </c>
      <c r="AR85" s="124">
        <f t="shared" si="64"/>
        <v>0</v>
      </c>
      <c r="AS85" s="124">
        <f t="shared" si="65"/>
        <v>0</v>
      </c>
      <c r="AT85" s="124">
        <f t="shared" si="66"/>
        <v>0</v>
      </c>
      <c r="AU85" s="124">
        <f t="shared" si="67"/>
        <v>0</v>
      </c>
      <c r="AV85" s="124">
        <f t="shared" si="68"/>
        <v>0</v>
      </c>
      <c r="AW85" s="124">
        <f t="shared" si="69"/>
        <v>0</v>
      </c>
      <c r="AX85" s="124">
        <f t="shared" si="70"/>
        <v>0</v>
      </c>
      <c r="AY85" s="124">
        <f t="shared" si="71"/>
        <v>0</v>
      </c>
      <c r="AZ85" s="124">
        <f t="shared" si="72"/>
        <v>0</v>
      </c>
      <c r="BA85" s="124">
        <f t="shared" si="73"/>
        <v>0</v>
      </c>
      <c r="BB85" s="124">
        <f t="shared" si="74"/>
        <v>0</v>
      </c>
      <c r="BC85" s="124">
        <f t="shared" si="75"/>
        <v>0</v>
      </c>
      <c r="BD85" s="124">
        <f t="shared" si="76"/>
        <v>0</v>
      </c>
      <c r="BE85" s="124">
        <f t="shared" si="77"/>
        <v>0</v>
      </c>
      <c r="BF85" s="124">
        <f t="shared" si="78"/>
        <v>0</v>
      </c>
      <c r="BG85" s="124">
        <f t="shared" si="79"/>
        <v>0</v>
      </c>
      <c r="BH85" s="124">
        <f t="shared" si="80"/>
        <v>0</v>
      </c>
      <c r="BJ85" s="121">
        <f t="shared" si="81"/>
        <v>0</v>
      </c>
      <c r="BK85" s="122" t="b">
        <f t="shared" si="82"/>
        <v>1</v>
      </c>
      <c r="BL85" s="121">
        <f t="shared" si="83"/>
        <v>0</v>
      </c>
    </row>
    <row r="86" spans="1:64" ht="12.75" customHeight="1">
      <c r="A86" s="88">
        <v>83</v>
      </c>
      <c r="B86" s="88"/>
      <c r="C86" s="75"/>
      <c r="D86" s="89"/>
      <c r="E86" s="90"/>
      <c r="F86" s="91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93"/>
      <c r="AC86" s="94">
        <f t="shared" si="57"/>
        <v>0</v>
      </c>
      <c r="AD86" s="95">
        <v>1</v>
      </c>
      <c r="AE86" s="94">
        <f t="shared" si="2"/>
        <v>0</v>
      </c>
      <c r="AF86" s="96">
        <f t="shared" si="58"/>
        <v>0</v>
      </c>
      <c r="AG86" s="97">
        <v>0</v>
      </c>
      <c r="AH86" s="97">
        <v>0.05</v>
      </c>
      <c r="AI86" s="98">
        <f t="shared" si="4"/>
        <v>0</v>
      </c>
      <c r="AJ86" s="75"/>
      <c r="AM86" s="124">
        <f t="shared" si="59"/>
        <v>0</v>
      </c>
      <c r="AN86" s="124">
        <f t="shared" si="60"/>
        <v>0</v>
      </c>
      <c r="AO86" s="124">
        <f t="shared" si="61"/>
        <v>0</v>
      </c>
      <c r="AP86" s="124">
        <f t="shared" si="62"/>
        <v>0</v>
      </c>
      <c r="AQ86" s="124">
        <f t="shared" si="63"/>
        <v>0</v>
      </c>
      <c r="AR86" s="124">
        <f t="shared" si="64"/>
        <v>0</v>
      </c>
      <c r="AS86" s="124">
        <f t="shared" si="65"/>
        <v>0</v>
      </c>
      <c r="AT86" s="124">
        <f t="shared" si="66"/>
        <v>0</v>
      </c>
      <c r="AU86" s="124">
        <f t="shared" si="67"/>
        <v>0</v>
      </c>
      <c r="AV86" s="124">
        <f t="shared" si="68"/>
        <v>0</v>
      </c>
      <c r="AW86" s="124">
        <f t="shared" si="69"/>
        <v>0</v>
      </c>
      <c r="AX86" s="124">
        <f t="shared" si="70"/>
        <v>0</v>
      </c>
      <c r="AY86" s="124">
        <f t="shared" si="71"/>
        <v>0</v>
      </c>
      <c r="AZ86" s="124">
        <f t="shared" si="72"/>
        <v>0</v>
      </c>
      <c r="BA86" s="124">
        <f t="shared" si="73"/>
        <v>0</v>
      </c>
      <c r="BB86" s="124">
        <f t="shared" si="74"/>
        <v>0</v>
      </c>
      <c r="BC86" s="124">
        <f t="shared" si="75"/>
        <v>0</v>
      </c>
      <c r="BD86" s="124">
        <f t="shared" si="76"/>
        <v>0</v>
      </c>
      <c r="BE86" s="124">
        <f t="shared" si="77"/>
        <v>0</v>
      </c>
      <c r="BF86" s="124">
        <f t="shared" si="78"/>
        <v>0</v>
      </c>
      <c r="BG86" s="124">
        <f t="shared" si="79"/>
        <v>0</v>
      </c>
      <c r="BH86" s="124">
        <f t="shared" si="80"/>
        <v>0</v>
      </c>
      <c r="BJ86" s="121">
        <f t="shared" si="81"/>
        <v>0</v>
      </c>
      <c r="BK86" s="122" t="b">
        <f t="shared" si="82"/>
        <v>1</v>
      </c>
      <c r="BL86" s="121">
        <f t="shared" si="83"/>
        <v>0</v>
      </c>
    </row>
    <row r="87" spans="1:64" ht="12.75" customHeight="1">
      <c r="A87" s="88">
        <v>84</v>
      </c>
      <c r="B87" s="88"/>
      <c r="C87" s="75"/>
      <c r="D87" s="89"/>
      <c r="E87" s="90"/>
      <c r="F87" s="91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93"/>
      <c r="AC87" s="94">
        <f t="shared" si="57"/>
        <v>0</v>
      </c>
      <c r="AD87" s="95">
        <v>1</v>
      </c>
      <c r="AE87" s="94">
        <f t="shared" si="2"/>
        <v>0</v>
      </c>
      <c r="AF87" s="96">
        <f t="shared" si="58"/>
        <v>0</v>
      </c>
      <c r="AG87" s="97">
        <v>0</v>
      </c>
      <c r="AH87" s="97">
        <v>0.05</v>
      </c>
      <c r="AI87" s="98">
        <f t="shared" si="4"/>
        <v>0</v>
      </c>
      <c r="AJ87" s="75"/>
      <c r="AM87" s="124">
        <f t="shared" si="59"/>
        <v>0</v>
      </c>
      <c r="AN87" s="124">
        <f t="shared" si="60"/>
        <v>0</v>
      </c>
      <c r="AO87" s="124">
        <f t="shared" si="61"/>
        <v>0</v>
      </c>
      <c r="AP87" s="124">
        <f t="shared" si="62"/>
        <v>0</v>
      </c>
      <c r="AQ87" s="124">
        <f t="shared" si="63"/>
        <v>0</v>
      </c>
      <c r="AR87" s="124">
        <f t="shared" si="64"/>
        <v>0</v>
      </c>
      <c r="AS87" s="124">
        <f t="shared" si="65"/>
        <v>0</v>
      </c>
      <c r="AT87" s="124">
        <f t="shared" si="66"/>
        <v>0</v>
      </c>
      <c r="AU87" s="124">
        <f t="shared" si="67"/>
        <v>0</v>
      </c>
      <c r="AV87" s="124">
        <f t="shared" si="68"/>
        <v>0</v>
      </c>
      <c r="AW87" s="124">
        <f t="shared" si="69"/>
        <v>0</v>
      </c>
      <c r="AX87" s="124">
        <f t="shared" si="70"/>
        <v>0</v>
      </c>
      <c r="AY87" s="124">
        <f t="shared" si="71"/>
        <v>0</v>
      </c>
      <c r="AZ87" s="124">
        <f t="shared" si="72"/>
        <v>0</v>
      </c>
      <c r="BA87" s="124">
        <f t="shared" si="73"/>
        <v>0</v>
      </c>
      <c r="BB87" s="124">
        <f t="shared" si="74"/>
        <v>0</v>
      </c>
      <c r="BC87" s="124">
        <f t="shared" si="75"/>
        <v>0</v>
      </c>
      <c r="BD87" s="124">
        <f t="shared" si="76"/>
        <v>0</v>
      </c>
      <c r="BE87" s="124">
        <f t="shared" si="77"/>
        <v>0</v>
      </c>
      <c r="BF87" s="124">
        <f t="shared" si="78"/>
        <v>0</v>
      </c>
      <c r="BG87" s="124">
        <f t="shared" si="79"/>
        <v>0</v>
      </c>
      <c r="BH87" s="124">
        <f t="shared" si="80"/>
        <v>0</v>
      </c>
      <c r="BJ87" s="121">
        <f t="shared" si="81"/>
        <v>0</v>
      </c>
      <c r="BK87" s="122" t="b">
        <f t="shared" si="82"/>
        <v>1</v>
      </c>
      <c r="BL87" s="121">
        <f t="shared" si="83"/>
        <v>0</v>
      </c>
    </row>
    <row r="88" spans="1:64" ht="12.75" customHeight="1">
      <c r="A88" s="88">
        <v>85</v>
      </c>
      <c r="B88" s="88"/>
      <c r="C88" s="75"/>
      <c r="D88" s="89"/>
      <c r="E88" s="90"/>
      <c r="F88" s="91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93"/>
      <c r="AC88" s="94">
        <f t="shared" si="57"/>
        <v>0</v>
      </c>
      <c r="AD88" s="95">
        <v>1</v>
      </c>
      <c r="AE88" s="94">
        <f t="shared" si="2"/>
        <v>0</v>
      </c>
      <c r="AF88" s="96">
        <f t="shared" si="58"/>
        <v>0</v>
      </c>
      <c r="AG88" s="97">
        <v>0</v>
      </c>
      <c r="AH88" s="97">
        <v>0.05</v>
      </c>
      <c r="AI88" s="98">
        <f t="shared" si="4"/>
        <v>0</v>
      </c>
      <c r="AJ88" s="75"/>
      <c r="AM88" s="124">
        <f t="shared" si="59"/>
        <v>0</v>
      </c>
      <c r="AN88" s="124">
        <f t="shared" si="60"/>
        <v>0</v>
      </c>
      <c r="AO88" s="124">
        <f t="shared" si="61"/>
        <v>0</v>
      </c>
      <c r="AP88" s="124">
        <f t="shared" si="62"/>
        <v>0</v>
      </c>
      <c r="AQ88" s="124">
        <f t="shared" si="63"/>
        <v>0</v>
      </c>
      <c r="AR88" s="124">
        <f t="shared" si="64"/>
        <v>0</v>
      </c>
      <c r="AS88" s="124">
        <f t="shared" si="65"/>
        <v>0</v>
      </c>
      <c r="AT88" s="124">
        <f t="shared" si="66"/>
        <v>0</v>
      </c>
      <c r="AU88" s="124">
        <f t="shared" si="67"/>
        <v>0</v>
      </c>
      <c r="AV88" s="124">
        <f t="shared" si="68"/>
        <v>0</v>
      </c>
      <c r="AW88" s="124">
        <f t="shared" si="69"/>
        <v>0</v>
      </c>
      <c r="AX88" s="124">
        <f t="shared" si="70"/>
        <v>0</v>
      </c>
      <c r="AY88" s="124">
        <f t="shared" si="71"/>
        <v>0</v>
      </c>
      <c r="AZ88" s="124">
        <f t="shared" si="72"/>
        <v>0</v>
      </c>
      <c r="BA88" s="124">
        <f t="shared" si="73"/>
        <v>0</v>
      </c>
      <c r="BB88" s="124">
        <f t="shared" si="74"/>
        <v>0</v>
      </c>
      <c r="BC88" s="124">
        <f t="shared" si="75"/>
        <v>0</v>
      </c>
      <c r="BD88" s="124">
        <f t="shared" si="76"/>
        <v>0</v>
      </c>
      <c r="BE88" s="124">
        <f t="shared" si="77"/>
        <v>0</v>
      </c>
      <c r="BF88" s="124">
        <f t="shared" si="78"/>
        <v>0</v>
      </c>
      <c r="BG88" s="124">
        <f t="shared" si="79"/>
        <v>0</v>
      </c>
      <c r="BH88" s="124">
        <f t="shared" si="80"/>
        <v>0</v>
      </c>
      <c r="BJ88" s="121">
        <f t="shared" si="81"/>
        <v>0</v>
      </c>
      <c r="BK88" s="122" t="b">
        <f t="shared" si="82"/>
        <v>1</v>
      </c>
      <c r="BL88" s="121">
        <f t="shared" si="83"/>
        <v>0</v>
      </c>
    </row>
    <row r="89" spans="1:64" ht="12.75" customHeight="1">
      <c r="A89" s="88">
        <v>86</v>
      </c>
      <c r="B89" s="88"/>
      <c r="C89" s="75"/>
      <c r="D89" s="89"/>
      <c r="E89" s="90"/>
      <c r="F89" s="91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93"/>
      <c r="AC89" s="94">
        <f t="shared" si="57"/>
        <v>0</v>
      </c>
      <c r="AD89" s="95">
        <v>1</v>
      </c>
      <c r="AE89" s="94">
        <f t="shared" si="2"/>
        <v>0</v>
      </c>
      <c r="AF89" s="96">
        <f t="shared" si="58"/>
        <v>0</v>
      </c>
      <c r="AG89" s="97">
        <v>0</v>
      </c>
      <c r="AH89" s="97">
        <v>0.05</v>
      </c>
      <c r="AI89" s="98">
        <f t="shared" si="4"/>
        <v>0</v>
      </c>
      <c r="AJ89" s="75"/>
      <c r="AM89" s="124">
        <f t="shared" si="59"/>
        <v>0</v>
      </c>
      <c r="AN89" s="124">
        <f t="shared" si="60"/>
        <v>0</v>
      </c>
      <c r="AO89" s="124">
        <f t="shared" si="61"/>
        <v>0</v>
      </c>
      <c r="AP89" s="124">
        <f t="shared" si="62"/>
        <v>0</v>
      </c>
      <c r="AQ89" s="124">
        <f t="shared" si="63"/>
        <v>0</v>
      </c>
      <c r="AR89" s="124">
        <f t="shared" si="64"/>
        <v>0</v>
      </c>
      <c r="AS89" s="124">
        <f t="shared" si="65"/>
        <v>0</v>
      </c>
      <c r="AT89" s="124">
        <f t="shared" si="66"/>
        <v>0</v>
      </c>
      <c r="AU89" s="124">
        <f t="shared" si="67"/>
        <v>0</v>
      </c>
      <c r="AV89" s="124">
        <f t="shared" si="68"/>
        <v>0</v>
      </c>
      <c r="AW89" s="124">
        <f t="shared" si="69"/>
        <v>0</v>
      </c>
      <c r="AX89" s="124">
        <f t="shared" si="70"/>
        <v>0</v>
      </c>
      <c r="AY89" s="124">
        <f t="shared" si="71"/>
        <v>0</v>
      </c>
      <c r="AZ89" s="124">
        <f t="shared" si="72"/>
        <v>0</v>
      </c>
      <c r="BA89" s="124">
        <f t="shared" si="73"/>
        <v>0</v>
      </c>
      <c r="BB89" s="124">
        <f t="shared" si="74"/>
        <v>0</v>
      </c>
      <c r="BC89" s="124">
        <f t="shared" si="75"/>
        <v>0</v>
      </c>
      <c r="BD89" s="124">
        <f t="shared" si="76"/>
        <v>0</v>
      </c>
      <c r="BE89" s="124">
        <f t="shared" si="77"/>
        <v>0</v>
      </c>
      <c r="BF89" s="124">
        <f t="shared" si="78"/>
        <v>0</v>
      </c>
      <c r="BG89" s="124">
        <f t="shared" si="79"/>
        <v>0</v>
      </c>
      <c r="BH89" s="124">
        <f t="shared" si="80"/>
        <v>0</v>
      </c>
      <c r="BJ89" s="121">
        <f t="shared" si="81"/>
        <v>0</v>
      </c>
      <c r="BK89" s="122" t="b">
        <f t="shared" si="82"/>
        <v>1</v>
      </c>
      <c r="BL89" s="121">
        <f t="shared" si="83"/>
        <v>0</v>
      </c>
    </row>
    <row r="90" spans="1:64" ht="12.75" customHeight="1">
      <c r="A90" s="88">
        <v>87</v>
      </c>
      <c r="B90" s="88"/>
      <c r="C90" s="75"/>
      <c r="D90" s="89"/>
      <c r="E90" s="90"/>
      <c r="F90" s="91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93"/>
      <c r="AC90" s="94">
        <f t="shared" si="57"/>
        <v>0</v>
      </c>
      <c r="AD90" s="95">
        <v>1</v>
      </c>
      <c r="AE90" s="94">
        <f t="shared" si="2"/>
        <v>0</v>
      </c>
      <c r="AF90" s="96">
        <f t="shared" si="58"/>
        <v>0</v>
      </c>
      <c r="AG90" s="97">
        <v>0</v>
      </c>
      <c r="AH90" s="97">
        <v>0.05</v>
      </c>
      <c r="AI90" s="98">
        <f t="shared" si="4"/>
        <v>0</v>
      </c>
      <c r="AJ90" s="75"/>
      <c r="AM90" s="124">
        <f t="shared" si="59"/>
        <v>0</v>
      </c>
      <c r="AN90" s="124">
        <f t="shared" si="60"/>
        <v>0</v>
      </c>
      <c r="AO90" s="124">
        <f t="shared" si="61"/>
        <v>0</v>
      </c>
      <c r="AP90" s="124">
        <f t="shared" si="62"/>
        <v>0</v>
      </c>
      <c r="AQ90" s="124">
        <f t="shared" si="63"/>
        <v>0</v>
      </c>
      <c r="AR90" s="124">
        <f t="shared" si="64"/>
        <v>0</v>
      </c>
      <c r="AS90" s="124">
        <f t="shared" si="65"/>
        <v>0</v>
      </c>
      <c r="AT90" s="124">
        <f t="shared" si="66"/>
        <v>0</v>
      </c>
      <c r="AU90" s="124">
        <f t="shared" si="67"/>
        <v>0</v>
      </c>
      <c r="AV90" s="124">
        <f t="shared" si="68"/>
        <v>0</v>
      </c>
      <c r="AW90" s="124">
        <f t="shared" si="69"/>
        <v>0</v>
      </c>
      <c r="AX90" s="124">
        <f t="shared" si="70"/>
        <v>0</v>
      </c>
      <c r="AY90" s="124">
        <f t="shared" si="71"/>
        <v>0</v>
      </c>
      <c r="AZ90" s="124">
        <f t="shared" si="72"/>
        <v>0</v>
      </c>
      <c r="BA90" s="124">
        <f t="shared" si="73"/>
        <v>0</v>
      </c>
      <c r="BB90" s="124">
        <f t="shared" si="74"/>
        <v>0</v>
      </c>
      <c r="BC90" s="124">
        <f t="shared" si="75"/>
        <v>0</v>
      </c>
      <c r="BD90" s="124">
        <f t="shared" si="76"/>
        <v>0</v>
      </c>
      <c r="BE90" s="124">
        <f t="shared" si="77"/>
        <v>0</v>
      </c>
      <c r="BF90" s="124">
        <f t="shared" si="78"/>
        <v>0</v>
      </c>
      <c r="BG90" s="124">
        <f t="shared" si="79"/>
        <v>0</v>
      </c>
      <c r="BH90" s="124">
        <f t="shared" si="80"/>
        <v>0</v>
      </c>
      <c r="BJ90" s="121">
        <f t="shared" si="81"/>
        <v>0</v>
      </c>
      <c r="BK90" s="122" t="b">
        <f t="shared" si="82"/>
        <v>1</v>
      </c>
      <c r="BL90" s="121">
        <f t="shared" si="83"/>
        <v>0</v>
      </c>
    </row>
    <row r="91" spans="1:64" ht="12.75" customHeight="1">
      <c r="A91" s="88">
        <v>88</v>
      </c>
      <c r="B91" s="88"/>
      <c r="C91" s="75"/>
      <c r="D91" s="89"/>
      <c r="E91" s="90"/>
      <c r="F91" s="91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93"/>
      <c r="AC91" s="94">
        <f t="shared" si="57"/>
        <v>0</v>
      </c>
      <c r="AD91" s="95">
        <v>1</v>
      </c>
      <c r="AE91" s="94">
        <f t="shared" si="2"/>
        <v>0</v>
      </c>
      <c r="AF91" s="96">
        <f t="shared" si="58"/>
        <v>0</v>
      </c>
      <c r="AG91" s="97">
        <v>0</v>
      </c>
      <c r="AH91" s="97">
        <v>0.05</v>
      </c>
      <c r="AI91" s="98">
        <f t="shared" si="4"/>
        <v>0</v>
      </c>
      <c r="AJ91" s="75"/>
      <c r="AM91" s="124">
        <f t="shared" si="59"/>
        <v>0</v>
      </c>
      <c r="AN91" s="124">
        <f t="shared" si="60"/>
        <v>0</v>
      </c>
      <c r="AO91" s="124">
        <f t="shared" si="61"/>
        <v>0</v>
      </c>
      <c r="AP91" s="124">
        <f t="shared" si="62"/>
        <v>0</v>
      </c>
      <c r="AQ91" s="124">
        <f t="shared" si="63"/>
        <v>0</v>
      </c>
      <c r="AR91" s="124">
        <f t="shared" si="64"/>
        <v>0</v>
      </c>
      <c r="AS91" s="124">
        <f t="shared" si="65"/>
        <v>0</v>
      </c>
      <c r="AT91" s="124">
        <f t="shared" si="66"/>
        <v>0</v>
      </c>
      <c r="AU91" s="124">
        <f t="shared" si="67"/>
        <v>0</v>
      </c>
      <c r="AV91" s="124">
        <f t="shared" si="68"/>
        <v>0</v>
      </c>
      <c r="AW91" s="124">
        <f t="shared" si="69"/>
        <v>0</v>
      </c>
      <c r="AX91" s="124">
        <f t="shared" si="70"/>
        <v>0</v>
      </c>
      <c r="AY91" s="124">
        <f t="shared" si="71"/>
        <v>0</v>
      </c>
      <c r="AZ91" s="124">
        <f t="shared" si="72"/>
        <v>0</v>
      </c>
      <c r="BA91" s="124">
        <f t="shared" si="73"/>
        <v>0</v>
      </c>
      <c r="BB91" s="124">
        <f t="shared" si="74"/>
        <v>0</v>
      </c>
      <c r="BC91" s="124">
        <f t="shared" si="75"/>
        <v>0</v>
      </c>
      <c r="BD91" s="124">
        <f t="shared" si="76"/>
        <v>0</v>
      </c>
      <c r="BE91" s="124">
        <f t="shared" si="77"/>
        <v>0</v>
      </c>
      <c r="BF91" s="124">
        <f t="shared" si="78"/>
        <v>0</v>
      </c>
      <c r="BG91" s="124">
        <f t="shared" si="79"/>
        <v>0</v>
      </c>
      <c r="BH91" s="124">
        <f t="shared" si="80"/>
        <v>0</v>
      </c>
      <c r="BJ91" s="121">
        <f t="shared" si="81"/>
        <v>0</v>
      </c>
      <c r="BK91" s="122" t="b">
        <f t="shared" si="82"/>
        <v>1</v>
      </c>
      <c r="BL91" s="121">
        <f t="shared" si="83"/>
        <v>0</v>
      </c>
    </row>
    <row r="92" spans="1:64">
      <c r="A92" s="88">
        <v>89</v>
      </c>
      <c r="B92" s="88"/>
      <c r="C92" s="75"/>
      <c r="D92" s="89"/>
      <c r="E92" s="90"/>
      <c r="F92" s="91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93"/>
      <c r="AC92" s="94">
        <f t="shared" si="57"/>
        <v>0</v>
      </c>
      <c r="AD92" s="95">
        <v>1</v>
      </c>
      <c r="AE92" s="94">
        <f t="shared" si="2"/>
        <v>0</v>
      </c>
      <c r="AF92" s="96">
        <f t="shared" si="58"/>
        <v>0</v>
      </c>
      <c r="AG92" s="97">
        <v>0</v>
      </c>
      <c r="AH92" s="97">
        <v>0.05</v>
      </c>
      <c r="AI92" s="98">
        <f t="shared" si="4"/>
        <v>0</v>
      </c>
      <c r="AJ92" s="75"/>
      <c r="AM92" s="124">
        <f t="shared" si="59"/>
        <v>0</v>
      </c>
      <c r="AN92" s="124">
        <f t="shared" si="60"/>
        <v>0</v>
      </c>
      <c r="AO92" s="124">
        <f t="shared" si="61"/>
        <v>0</v>
      </c>
      <c r="AP92" s="124">
        <f t="shared" si="62"/>
        <v>0</v>
      </c>
      <c r="AQ92" s="124">
        <f t="shared" si="63"/>
        <v>0</v>
      </c>
      <c r="AR92" s="124">
        <f t="shared" si="64"/>
        <v>0</v>
      </c>
      <c r="AS92" s="124">
        <f t="shared" si="65"/>
        <v>0</v>
      </c>
      <c r="AT92" s="124">
        <f t="shared" si="66"/>
        <v>0</v>
      </c>
      <c r="AU92" s="124">
        <f t="shared" si="67"/>
        <v>0</v>
      </c>
      <c r="AV92" s="124">
        <f t="shared" si="68"/>
        <v>0</v>
      </c>
      <c r="AW92" s="124">
        <f t="shared" si="69"/>
        <v>0</v>
      </c>
      <c r="AX92" s="124">
        <f t="shared" si="70"/>
        <v>0</v>
      </c>
      <c r="AY92" s="124">
        <f t="shared" si="71"/>
        <v>0</v>
      </c>
      <c r="AZ92" s="124">
        <f t="shared" si="72"/>
        <v>0</v>
      </c>
      <c r="BA92" s="124">
        <f t="shared" si="73"/>
        <v>0</v>
      </c>
      <c r="BB92" s="124">
        <f t="shared" si="74"/>
        <v>0</v>
      </c>
      <c r="BC92" s="124">
        <f t="shared" si="75"/>
        <v>0</v>
      </c>
      <c r="BD92" s="124">
        <f t="shared" si="76"/>
        <v>0</v>
      </c>
      <c r="BE92" s="124">
        <f t="shared" si="77"/>
        <v>0</v>
      </c>
      <c r="BF92" s="124">
        <f t="shared" si="78"/>
        <v>0</v>
      </c>
      <c r="BG92" s="124">
        <f t="shared" si="79"/>
        <v>0</v>
      </c>
      <c r="BH92" s="124">
        <f t="shared" si="80"/>
        <v>0</v>
      </c>
      <c r="BJ92" s="121">
        <f t="shared" si="81"/>
        <v>0</v>
      </c>
      <c r="BK92" s="122" t="b">
        <f t="shared" si="82"/>
        <v>1</v>
      </c>
      <c r="BL92" s="121">
        <f t="shared" si="83"/>
        <v>0</v>
      </c>
    </row>
    <row r="93" spans="1:64" ht="12.75" customHeight="1">
      <c r="A93" s="88">
        <v>90</v>
      </c>
      <c r="B93" s="88"/>
      <c r="C93" s="75"/>
      <c r="D93" s="89"/>
      <c r="E93" s="90"/>
      <c r="F93" s="91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93"/>
      <c r="AC93" s="94">
        <f t="shared" si="57"/>
        <v>0</v>
      </c>
      <c r="AD93" s="95">
        <v>1</v>
      </c>
      <c r="AE93" s="94">
        <f t="shared" si="2"/>
        <v>0</v>
      </c>
      <c r="AF93" s="96">
        <f t="shared" si="58"/>
        <v>0</v>
      </c>
      <c r="AG93" s="97">
        <v>0</v>
      </c>
      <c r="AH93" s="97">
        <v>0.05</v>
      </c>
      <c r="AI93" s="98">
        <f t="shared" si="4"/>
        <v>0</v>
      </c>
      <c r="AJ93" s="75"/>
      <c r="AM93" s="124">
        <f t="shared" si="59"/>
        <v>0</v>
      </c>
      <c r="AN93" s="124">
        <f t="shared" si="60"/>
        <v>0</v>
      </c>
      <c r="AO93" s="124">
        <f t="shared" si="61"/>
        <v>0</v>
      </c>
      <c r="AP93" s="124">
        <f t="shared" si="62"/>
        <v>0</v>
      </c>
      <c r="AQ93" s="124">
        <f t="shared" si="63"/>
        <v>0</v>
      </c>
      <c r="AR93" s="124">
        <f t="shared" si="64"/>
        <v>0</v>
      </c>
      <c r="AS93" s="124">
        <f t="shared" si="65"/>
        <v>0</v>
      </c>
      <c r="AT93" s="124">
        <f t="shared" si="66"/>
        <v>0</v>
      </c>
      <c r="AU93" s="124">
        <f t="shared" si="67"/>
        <v>0</v>
      </c>
      <c r="AV93" s="124">
        <f t="shared" si="68"/>
        <v>0</v>
      </c>
      <c r="AW93" s="124">
        <f t="shared" si="69"/>
        <v>0</v>
      </c>
      <c r="AX93" s="124">
        <f t="shared" si="70"/>
        <v>0</v>
      </c>
      <c r="AY93" s="124">
        <f t="shared" si="71"/>
        <v>0</v>
      </c>
      <c r="AZ93" s="124">
        <f t="shared" si="72"/>
        <v>0</v>
      </c>
      <c r="BA93" s="124">
        <f t="shared" si="73"/>
        <v>0</v>
      </c>
      <c r="BB93" s="124">
        <f t="shared" si="74"/>
        <v>0</v>
      </c>
      <c r="BC93" s="124">
        <f t="shared" si="75"/>
        <v>0</v>
      </c>
      <c r="BD93" s="124">
        <f t="shared" si="76"/>
        <v>0</v>
      </c>
      <c r="BE93" s="124">
        <f t="shared" si="77"/>
        <v>0</v>
      </c>
      <c r="BF93" s="124">
        <f t="shared" si="78"/>
        <v>0</v>
      </c>
      <c r="BG93" s="124">
        <f t="shared" si="79"/>
        <v>0</v>
      </c>
      <c r="BH93" s="124">
        <f t="shared" si="80"/>
        <v>0</v>
      </c>
      <c r="BJ93" s="121">
        <f t="shared" si="81"/>
        <v>0</v>
      </c>
      <c r="BK93" s="122" t="b">
        <f t="shared" si="82"/>
        <v>1</v>
      </c>
      <c r="BL93" s="121">
        <f t="shared" si="83"/>
        <v>0</v>
      </c>
    </row>
    <row r="94" spans="1:64" ht="12.75" customHeight="1">
      <c r="A94" s="88">
        <v>91</v>
      </c>
      <c r="B94" s="88"/>
      <c r="C94" s="75"/>
      <c r="D94" s="89"/>
      <c r="E94" s="90"/>
      <c r="F94" s="91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4">
        <f t="shared" si="57"/>
        <v>0</v>
      </c>
      <c r="AD94" s="95">
        <v>1</v>
      </c>
      <c r="AE94" s="94">
        <f t="shared" si="2"/>
        <v>0</v>
      </c>
      <c r="AF94" s="96">
        <f t="shared" si="58"/>
        <v>0</v>
      </c>
      <c r="AG94" s="97">
        <v>0</v>
      </c>
      <c r="AH94" s="97">
        <v>0.05</v>
      </c>
      <c r="AI94" s="98">
        <f t="shared" si="4"/>
        <v>0</v>
      </c>
      <c r="AJ94" s="75"/>
      <c r="AM94" s="124">
        <f t="shared" si="59"/>
        <v>0</v>
      </c>
      <c r="AN94" s="124">
        <f t="shared" si="60"/>
        <v>0</v>
      </c>
      <c r="AO94" s="124">
        <f t="shared" si="61"/>
        <v>0</v>
      </c>
      <c r="AP94" s="124">
        <f t="shared" si="62"/>
        <v>0</v>
      </c>
      <c r="AQ94" s="124">
        <f t="shared" si="63"/>
        <v>0</v>
      </c>
      <c r="AR94" s="124">
        <f t="shared" si="64"/>
        <v>0</v>
      </c>
      <c r="AS94" s="124">
        <f t="shared" si="65"/>
        <v>0</v>
      </c>
      <c r="AT94" s="124">
        <f t="shared" si="66"/>
        <v>0</v>
      </c>
      <c r="AU94" s="124">
        <f t="shared" si="67"/>
        <v>0</v>
      </c>
      <c r="AV94" s="124">
        <f t="shared" si="68"/>
        <v>0</v>
      </c>
      <c r="AW94" s="124">
        <f t="shared" si="69"/>
        <v>0</v>
      </c>
      <c r="AX94" s="124">
        <f t="shared" si="70"/>
        <v>0</v>
      </c>
      <c r="AY94" s="124">
        <f t="shared" si="71"/>
        <v>0</v>
      </c>
      <c r="AZ94" s="124">
        <f t="shared" si="72"/>
        <v>0</v>
      </c>
      <c r="BA94" s="124">
        <f t="shared" si="73"/>
        <v>0</v>
      </c>
      <c r="BB94" s="124">
        <f t="shared" si="74"/>
        <v>0</v>
      </c>
      <c r="BC94" s="124">
        <f t="shared" si="75"/>
        <v>0</v>
      </c>
      <c r="BD94" s="124">
        <f t="shared" si="76"/>
        <v>0</v>
      </c>
      <c r="BE94" s="124">
        <f t="shared" si="77"/>
        <v>0</v>
      </c>
      <c r="BF94" s="124">
        <f t="shared" si="78"/>
        <v>0</v>
      </c>
      <c r="BG94" s="124">
        <f t="shared" si="79"/>
        <v>0</v>
      </c>
      <c r="BH94" s="124">
        <f t="shared" si="80"/>
        <v>0</v>
      </c>
      <c r="BJ94" s="121">
        <f t="shared" si="81"/>
        <v>0</v>
      </c>
      <c r="BK94" s="122" t="b">
        <f t="shared" si="82"/>
        <v>1</v>
      </c>
      <c r="BL94" s="121">
        <f t="shared" si="83"/>
        <v>0</v>
      </c>
    </row>
    <row r="95" spans="1:64" ht="12.75" customHeight="1">
      <c r="A95" s="88">
        <v>92</v>
      </c>
      <c r="B95" s="88"/>
      <c r="C95" s="75"/>
      <c r="D95" s="89"/>
      <c r="E95" s="90"/>
      <c r="F95" s="91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4">
        <f t="shared" si="57"/>
        <v>0</v>
      </c>
      <c r="AD95" s="95">
        <v>1</v>
      </c>
      <c r="AE95" s="94">
        <f t="shared" si="2"/>
        <v>0</v>
      </c>
      <c r="AF95" s="96">
        <f t="shared" si="58"/>
        <v>0</v>
      </c>
      <c r="AG95" s="97">
        <v>0</v>
      </c>
      <c r="AH95" s="97">
        <v>0.05</v>
      </c>
      <c r="AI95" s="98">
        <f t="shared" si="4"/>
        <v>0</v>
      </c>
      <c r="AJ95" s="75"/>
      <c r="AM95" s="124">
        <f t="shared" si="59"/>
        <v>0</v>
      </c>
      <c r="AN95" s="124">
        <f t="shared" si="60"/>
        <v>0</v>
      </c>
      <c r="AO95" s="124">
        <f t="shared" si="61"/>
        <v>0</v>
      </c>
      <c r="AP95" s="124">
        <f t="shared" si="62"/>
        <v>0</v>
      </c>
      <c r="AQ95" s="124">
        <f t="shared" si="63"/>
        <v>0</v>
      </c>
      <c r="AR95" s="124">
        <f t="shared" si="64"/>
        <v>0</v>
      </c>
      <c r="AS95" s="124">
        <f t="shared" si="65"/>
        <v>0</v>
      </c>
      <c r="AT95" s="124">
        <f t="shared" si="66"/>
        <v>0</v>
      </c>
      <c r="AU95" s="124">
        <f t="shared" si="67"/>
        <v>0</v>
      </c>
      <c r="AV95" s="124">
        <f t="shared" si="68"/>
        <v>0</v>
      </c>
      <c r="AW95" s="124">
        <f t="shared" si="69"/>
        <v>0</v>
      </c>
      <c r="AX95" s="124">
        <f t="shared" si="70"/>
        <v>0</v>
      </c>
      <c r="AY95" s="124">
        <f t="shared" si="71"/>
        <v>0</v>
      </c>
      <c r="AZ95" s="124">
        <f t="shared" si="72"/>
        <v>0</v>
      </c>
      <c r="BA95" s="124">
        <f t="shared" si="73"/>
        <v>0</v>
      </c>
      <c r="BB95" s="124">
        <f t="shared" si="74"/>
        <v>0</v>
      </c>
      <c r="BC95" s="124">
        <f t="shared" si="75"/>
        <v>0</v>
      </c>
      <c r="BD95" s="124">
        <f t="shared" si="76"/>
        <v>0</v>
      </c>
      <c r="BE95" s="124">
        <f t="shared" si="77"/>
        <v>0</v>
      </c>
      <c r="BF95" s="124">
        <f t="shared" si="78"/>
        <v>0</v>
      </c>
      <c r="BG95" s="124">
        <f t="shared" si="79"/>
        <v>0</v>
      </c>
      <c r="BH95" s="124">
        <f t="shared" si="80"/>
        <v>0</v>
      </c>
      <c r="BJ95" s="121">
        <f t="shared" si="81"/>
        <v>0</v>
      </c>
      <c r="BK95" s="122" t="b">
        <f t="shared" si="82"/>
        <v>1</v>
      </c>
      <c r="BL95" s="121">
        <f t="shared" si="83"/>
        <v>0</v>
      </c>
    </row>
    <row r="96" spans="1:64" ht="12.75" customHeight="1">
      <c r="A96" s="88">
        <v>93</v>
      </c>
      <c r="B96" s="88"/>
      <c r="C96" s="75"/>
      <c r="D96" s="89"/>
      <c r="E96" s="90"/>
      <c r="F96" s="91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4">
        <f t="shared" si="57"/>
        <v>0</v>
      </c>
      <c r="AD96" s="95">
        <v>1</v>
      </c>
      <c r="AE96" s="94">
        <f t="shared" si="2"/>
        <v>0</v>
      </c>
      <c r="AF96" s="96">
        <f t="shared" si="58"/>
        <v>0</v>
      </c>
      <c r="AG96" s="97">
        <v>0</v>
      </c>
      <c r="AH96" s="97">
        <v>0.05</v>
      </c>
      <c r="AI96" s="98">
        <f t="shared" si="4"/>
        <v>0</v>
      </c>
      <c r="AJ96" s="75"/>
      <c r="AM96" s="124">
        <f t="shared" si="59"/>
        <v>0</v>
      </c>
      <c r="AN96" s="124">
        <f t="shared" si="60"/>
        <v>0</v>
      </c>
      <c r="AO96" s="124">
        <f t="shared" si="61"/>
        <v>0</v>
      </c>
      <c r="AP96" s="124">
        <f t="shared" si="62"/>
        <v>0</v>
      </c>
      <c r="AQ96" s="124">
        <f t="shared" si="63"/>
        <v>0</v>
      </c>
      <c r="AR96" s="124">
        <f t="shared" si="64"/>
        <v>0</v>
      </c>
      <c r="AS96" s="124">
        <f t="shared" si="65"/>
        <v>0</v>
      </c>
      <c r="AT96" s="124">
        <f t="shared" si="66"/>
        <v>0</v>
      </c>
      <c r="AU96" s="124">
        <f t="shared" si="67"/>
        <v>0</v>
      </c>
      <c r="AV96" s="124">
        <f t="shared" si="68"/>
        <v>0</v>
      </c>
      <c r="AW96" s="124">
        <f t="shared" si="69"/>
        <v>0</v>
      </c>
      <c r="AX96" s="124">
        <f t="shared" si="70"/>
        <v>0</v>
      </c>
      <c r="AY96" s="124">
        <f t="shared" si="71"/>
        <v>0</v>
      </c>
      <c r="AZ96" s="124">
        <f t="shared" si="72"/>
        <v>0</v>
      </c>
      <c r="BA96" s="124">
        <f t="shared" si="73"/>
        <v>0</v>
      </c>
      <c r="BB96" s="124">
        <f t="shared" si="74"/>
        <v>0</v>
      </c>
      <c r="BC96" s="124">
        <f t="shared" si="75"/>
        <v>0</v>
      </c>
      <c r="BD96" s="124">
        <f t="shared" si="76"/>
        <v>0</v>
      </c>
      <c r="BE96" s="124">
        <f t="shared" si="77"/>
        <v>0</v>
      </c>
      <c r="BF96" s="124">
        <f t="shared" si="78"/>
        <v>0</v>
      </c>
      <c r="BG96" s="124">
        <f t="shared" si="79"/>
        <v>0</v>
      </c>
      <c r="BH96" s="124">
        <f t="shared" si="80"/>
        <v>0</v>
      </c>
      <c r="BJ96" s="121">
        <f t="shared" si="81"/>
        <v>0</v>
      </c>
      <c r="BK96" s="122" t="b">
        <f t="shared" si="82"/>
        <v>1</v>
      </c>
      <c r="BL96" s="121">
        <f t="shared" si="83"/>
        <v>0</v>
      </c>
    </row>
    <row r="97" spans="1:64" ht="12.75" customHeight="1">
      <c r="A97" s="88">
        <v>94</v>
      </c>
      <c r="B97" s="88"/>
      <c r="C97" s="75"/>
      <c r="D97" s="89"/>
      <c r="E97" s="90"/>
      <c r="F97" s="91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4">
        <f t="shared" si="57"/>
        <v>0</v>
      </c>
      <c r="AD97" s="95">
        <v>1</v>
      </c>
      <c r="AE97" s="94">
        <f t="shared" si="2"/>
        <v>0</v>
      </c>
      <c r="AF97" s="96">
        <f t="shared" si="58"/>
        <v>0</v>
      </c>
      <c r="AG97" s="97">
        <v>0</v>
      </c>
      <c r="AH97" s="97">
        <v>0.05</v>
      </c>
      <c r="AI97" s="98">
        <f t="shared" si="4"/>
        <v>0</v>
      </c>
      <c r="AJ97" s="75"/>
      <c r="AM97" s="124">
        <f t="shared" si="59"/>
        <v>0</v>
      </c>
      <c r="AN97" s="124">
        <f t="shared" si="60"/>
        <v>0</v>
      </c>
      <c r="AO97" s="124">
        <f t="shared" si="61"/>
        <v>0</v>
      </c>
      <c r="AP97" s="124">
        <f t="shared" si="62"/>
        <v>0</v>
      </c>
      <c r="AQ97" s="124">
        <f t="shared" si="63"/>
        <v>0</v>
      </c>
      <c r="AR97" s="124">
        <f t="shared" si="64"/>
        <v>0</v>
      </c>
      <c r="AS97" s="124">
        <f t="shared" si="65"/>
        <v>0</v>
      </c>
      <c r="AT97" s="124">
        <f t="shared" si="66"/>
        <v>0</v>
      </c>
      <c r="AU97" s="124">
        <f t="shared" si="67"/>
        <v>0</v>
      </c>
      <c r="AV97" s="124">
        <f t="shared" si="68"/>
        <v>0</v>
      </c>
      <c r="AW97" s="124">
        <f t="shared" si="69"/>
        <v>0</v>
      </c>
      <c r="AX97" s="124">
        <f t="shared" si="70"/>
        <v>0</v>
      </c>
      <c r="AY97" s="124">
        <f t="shared" si="71"/>
        <v>0</v>
      </c>
      <c r="AZ97" s="124">
        <f t="shared" si="72"/>
        <v>0</v>
      </c>
      <c r="BA97" s="124">
        <f t="shared" si="73"/>
        <v>0</v>
      </c>
      <c r="BB97" s="124">
        <f t="shared" si="74"/>
        <v>0</v>
      </c>
      <c r="BC97" s="124">
        <f t="shared" si="75"/>
        <v>0</v>
      </c>
      <c r="BD97" s="124">
        <f t="shared" si="76"/>
        <v>0</v>
      </c>
      <c r="BE97" s="124">
        <f t="shared" si="77"/>
        <v>0</v>
      </c>
      <c r="BF97" s="124">
        <f t="shared" si="78"/>
        <v>0</v>
      </c>
      <c r="BG97" s="124">
        <f t="shared" si="79"/>
        <v>0</v>
      </c>
      <c r="BH97" s="124">
        <f t="shared" si="80"/>
        <v>0</v>
      </c>
      <c r="BJ97" s="121">
        <f t="shared" si="81"/>
        <v>0</v>
      </c>
      <c r="BK97" s="122" t="b">
        <f t="shared" si="82"/>
        <v>1</v>
      </c>
      <c r="BL97" s="121">
        <f t="shared" si="83"/>
        <v>0</v>
      </c>
    </row>
    <row r="98" spans="1:64">
      <c r="A98" s="88">
        <v>95</v>
      </c>
      <c r="B98" s="88"/>
      <c r="C98" s="75"/>
      <c r="D98" s="89"/>
      <c r="E98" s="90"/>
      <c r="F98" s="91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4">
        <f t="shared" si="57"/>
        <v>0</v>
      </c>
      <c r="AD98" s="95">
        <v>1</v>
      </c>
      <c r="AE98" s="94">
        <f t="shared" si="2"/>
        <v>0</v>
      </c>
      <c r="AF98" s="96">
        <f t="shared" si="58"/>
        <v>0</v>
      </c>
      <c r="AG98" s="97">
        <v>0</v>
      </c>
      <c r="AH98" s="97">
        <v>0.05</v>
      </c>
      <c r="AI98" s="98">
        <f t="shared" si="4"/>
        <v>0</v>
      </c>
      <c r="AJ98" s="75"/>
      <c r="AM98" s="124">
        <f t="shared" si="59"/>
        <v>0</v>
      </c>
      <c r="AN98" s="124">
        <f t="shared" si="60"/>
        <v>0</v>
      </c>
      <c r="AO98" s="124">
        <f t="shared" si="61"/>
        <v>0</v>
      </c>
      <c r="AP98" s="124">
        <f t="shared" si="62"/>
        <v>0</v>
      </c>
      <c r="AQ98" s="124">
        <f t="shared" si="63"/>
        <v>0</v>
      </c>
      <c r="AR98" s="124">
        <f t="shared" si="64"/>
        <v>0</v>
      </c>
      <c r="AS98" s="124">
        <f t="shared" si="65"/>
        <v>0</v>
      </c>
      <c r="AT98" s="124">
        <f t="shared" si="66"/>
        <v>0</v>
      </c>
      <c r="AU98" s="124">
        <f t="shared" si="67"/>
        <v>0</v>
      </c>
      <c r="AV98" s="124">
        <f t="shared" si="68"/>
        <v>0</v>
      </c>
      <c r="AW98" s="124">
        <f t="shared" si="69"/>
        <v>0</v>
      </c>
      <c r="AX98" s="124">
        <f t="shared" si="70"/>
        <v>0</v>
      </c>
      <c r="AY98" s="124">
        <f t="shared" si="71"/>
        <v>0</v>
      </c>
      <c r="AZ98" s="124">
        <f t="shared" si="72"/>
        <v>0</v>
      </c>
      <c r="BA98" s="124">
        <f t="shared" si="73"/>
        <v>0</v>
      </c>
      <c r="BB98" s="124">
        <f t="shared" si="74"/>
        <v>0</v>
      </c>
      <c r="BC98" s="124">
        <f t="shared" si="75"/>
        <v>0</v>
      </c>
      <c r="BD98" s="124">
        <f t="shared" si="76"/>
        <v>0</v>
      </c>
      <c r="BE98" s="124">
        <f t="shared" si="77"/>
        <v>0</v>
      </c>
      <c r="BF98" s="124">
        <f t="shared" si="78"/>
        <v>0</v>
      </c>
      <c r="BG98" s="124">
        <f t="shared" si="79"/>
        <v>0</v>
      </c>
      <c r="BH98" s="124">
        <f t="shared" si="80"/>
        <v>0</v>
      </c>
      <c r="BJ98" s="121">
        <f t="shared" si="81"/>
        <v>0</v>
      </c>
      <c r="BK98" s="122" t="b">
        <f t="shared" si="82"/>
        <v>1</v>
      </c>
      <c r="BL98" s="121">
        <f t="shared" si="83"/>
        <v>0</v>
      </c>
    </row>
    <row r="99" spans="1:64" ht="12.75" customHeight="1">
      <c r="A99" s="88">
        <v>96</v>
      </c>
      <c r="B99" s="88"/>
      <c r="C99" s="75"/>
      <c r="D99" s="89"/>
      <c r="E99" s="90"/>
      <c r="F99" s="91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4">
        <f t="shared" si="57"/>
        <v>0</v>
      </c>
      <c r="AD99" s="95">
        <v>1</v>
      </c>
      <c r="AE99" s="94">
        <f t="shared" si="2"/>
        <v>0</v>
      </c>
      <c r="AF99" s="96">
        <f t="shared" si="58"/>
        <v>0</v>
      </c>
      <c r="AG99" s="97">
        <v>0</v>
      </c>
      <c r="AH99" s="97">
        <v>0.05</v>
      </c>
      <c r="AI99" s="98">
        <f t="shared" si="4"/>
        <v>0</v>
      </c>
      <c r="AJ99" s="75"/>
      <c r="AM99" s="124">
        <f t="shared" si="59"/>
        <v>0</v>
      </c>
      <c r="AN99" s="124">
        <f t="shared" si="60"/>
        <v>0</v>
      </c>
      <c r="AO99" s="124">
        <f t="shared" si="61"/>
        <v>0</v>
      </c>
      <c r="AP99" s="124">
        <f t="shared" si="62"/>
        <v>0</v>
      </c>
      <c r="AQ99" s="124">
        <f t="shared" si="63"/>
        <v>0</v>
      </c>
      <c r="AR99" s="124">
        <f t="shared" si="64"/>
        <v>0</v>
      </c>
      <c r="AS99" s="124">
        <f t="shared" si="65"/>
        <v>0</v>
      </c>
      <c r="AT99" s="124">
        <f t="shared" si="66"/>
        <v>0</v>
      </c>
      <c r="AU99" s="124">
        <f t="shared" si="67"/>
        <v>0</v>
      </c>
      <c r="AV99" s="124">
        <f t="shared" si="68"/>
        <v>0</v>
      </c>
      <c r="AW99" s="124">
        <f t="shared" si="69"/>
        <v>0</v>
      </c>
      <c r="AX99" s="124">
        <f t="shared" si="70"/>
        <v>0</v>
      </c>
      <c r="AY99" s="124">
        <f t="shared" si="71"/>
        <v>0</v>
      </c>
      <c r="AZ99" s="124">
        <f t="shared" si="72"/>
        <v>0</v>
      </c>
      <c r="BA99" s="124">
        <f t="shared" si="73"/>
        <v>0</v>
      </c>
      <c r="BB99" s="124">
        <f t="shared" si="74"/>
        <v>0</v>
      </c>
      <c r="BC99" s="124">
        <f t="shared" si="75"/>
        <v>0</v>
      </c>
      <c r="BD99" s="124">
        <f t="shared" si="76"/>
        <v>0</v>
      </c>
      <c r="BE99" s="124">
        <f t="shared" si="77"/>
        <v>0</v>
      </c>
      <c r="BF99" s="124">
        <f t="shared" si="78"/>
        <v>0</v>
      </c>
      <c r="BG99" s="124">
        <f t="shared" si="79"/>
        <v>0</v>
      </c>
      <c r="BH99" s="124">
        <f t="shared" si="80"/>
        <v>0</v>
      </c>
      <c r="BJ99" s="121">
        <f t="shared" si="81"/>
        <v>0</v>
      </c>
      <c r="BK99" s="122" t="b">
        <f t="shared" si="82"/>
        <v>1</v>
      </c>
      <c r="BL99" s="121">
        <f t="shared" si="83"/>
        <v>0</v>
      </c>
    </row>
    <row r="100" spans="1:64" ht="12.75" customHeight="1">
      <c r="A100" s="88">
        <v>97</v>
      </c>
      <c r="B100" s="88"/>
      <c r="C100" s="75"/>
      <c r="D100" s="89"/>
      <c r="E100" s="90"/>
      <c r="F100" s="91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4">
        <f t="shared" ref="AC100:AC131" si="84">SUM(G100:AB100)</f>
        <v>0</v>
      </c>
      <c r="AD100" s="95">
        <v>1</v>
      </c>
      <c r="AE100" s="94">
        <f t="shared" si="2"/>
        <v>0</v>
      </c>
      <c r="AF100" s="96">
        <f t="shared" ref="AF100:AF131" si="85">F100</f>
        <v>0</v>
      </c>
      <c r="AG100" s="97">
        <v>0</v>
      </c>
      <c r="AH100" s="97">
        <v>0.05</v>
      </c>
      <c r="AI100" s="98">
        <f t="shared" si="4"/>
        <v>0</v>
      </c>
      <c r="AJ100" s="75"/>
      <c r="AM100" s="124">
        <f t="shared" ref="AM100:AM131" si="86">(($AF100*(1+$AG100))*(1+$AH100))*G100</f>
        <v>0</v>
      </c>
      <c r="AN100" s="124">
        <f t="shared" ref="AN100:AN131" si="87">(($AF100*(1+$AG100))*(1+$AH100))*H100</f>
        <v>0</v>
      </c>
      <c r="AO100" s="124">
        <f t="shared" ref="AO100:AO131" si="88">(($AF100*(1+$AG100))*(1+$AH100))*I100</f>
        <v>0</v>
      </c>
      <c r="AP100" s="124">
        <f t="shared" ref="AP100:AP131" si="89">(($AF100*(1+$AG100))*(1+$AH100))*J100</f>
        <v>0</v>
      </c>
      <c r="AQ100" s="124">
        <f t="shared" ref="AQ100:AQ131" si="90">(($AF100*(1+$AG100))*(1+$AH100))*K100</f>
        <v>0</v>
      </c>
      <c r="AR100" s="124">
        <f t="shared" ref="AR100:AR131" si="91">(($AF100*(1+$AG100))*(1+$AH100))*L100</f>
        <v>0</v>
      </c>
      <c r="AS100" s="124">
        <f t="shared" ref="AS100:AS131" si="92">(($AF100*(1+$AG100))*(1+$AH100))*M100</f>
        <v>0</v>
      </c>
      <c r="AT100" s="124">
        <f t="shared" ref="AT100:AT131" si="93">(($AF100*(1+$AG100))*(1+$AH100))*N100</f>
        <v>0</v>
      </c>
      <c r="AU100" s="124">
        <f t="shared" ref="AU100:AU131" si="94">(($AF100*(1+$AG100))*(1+$AH100))*O100</f>
        <v>0</v>
      </c>
      <c r="AV100" s="124">
        <f t="shared" ref="AV100:AV131" si="95">(($AF100*(1+$AG100))*(1+$AH100))*P100</f>
        <v>0</v>
      </c>
      <c r="AW100" s="124">
        <f t="shared" ref="AW100:AW131" si="96">(($AF100*(1+$AG100))*(1+$AH100))*Q100</f>
        <v>0</v>
      </c>
      <c r="AX100" s="124">
        <f t="shared" ref="AX100:AX131" si="97">(($AF100*(1+$AG100))*(1+$AH100))*R100</f>
        <v>0</v>
      </c>
      <c r="AY100" s="124">
        <f t="shared" ref="AY100:AY131" si="98">(($AF100*(1+$AG100))*(1+$AH100))*S100</f>
        <v>0</v>
      </c>
      <c r="AZ100" s="124">
        <f t="shared" ref="AZ100:AZ131" si="99">(($AF100*(1+$AG100))*(1+$AH100))*T100</f>
        <v>0</v>
      </c>
      <c r="BA100" s="124">
        <f t="shared" ref="BA100:BA131" si="100">(($AF100*(1+$AG100))*(1+$AH100))*U100</f>
        <v>0</v>
      </c>
      <c r="BB100" s="124">
        <f t="shared" ref="BB100:BB131" si="101">(($AF100*(1+$AG100))*(1+$AH100))*V100</f>
        <v>0</v>
      </c>
      <c r="BC100" s="124">
        <f t="shared" ref="BC100:BC131" si="102">(($AF100*(1+$AG100))*(1+$AH100))*W100</f>
        <v>0</v>
      </c>
      <c r="BD100" s="124">
        <f t="shared" ref="BD100:BD131" si="103">(($AF100*(1+$AG100))*(1+$AH100))*X100</f>
        <v>0</v>
      </c>
      <c r="BE100" s="124">
        <f t="shared" ref="BE100:BE131" si="104">(($AF100*(1+$AG100))*(1+$AH100))*Y100</f>
        <v>0</v>
      </c>
      <c r="BF100" s="124">
        <f t="shared" ref="BF100:BF131" si="105">(($AF100*(1+$AG100))*(1+$AH100))*Z100</f>
        <v>0</v>
      </c>
      <c r="BG100" s="124">
        <f t="shared" ref="BG100:BG131" si="106">(($AF100*(1+$AG100))*(1+$AH100))*AA100</f>
        <v>0</v>
      </c>
      <c r="BH100" s="124">
        <f t="shared" ref="BH100:BH131" si="107">(($AF100*(1+$AG100))*(1+$AH100))*AB100</f>
        <v>0</v>
      </c>
      <c r="BJ100" s="121">
        <f t="shared" ref="BJ100:BJ131" si="108">SUM(AM100:BH100)</f>
        <v>0</v>
      </c>
      <c r="BK100" s="122" t="b">
        <f t="shared" ref="BK100:BK131" si="109">EXACT(BJ100,AI100)</f>
        <v>1</v>
      </c>
      <c r="BL100" s="121">
        <f t="shared" ref="BL100:BL131" si="110">BJ100-AI100</f>
        <v>0</v>
      </c>
    </row>
    <row r="101" spans="1:64" ht="12.75" customHeight="1">
      <c r="A101" s="88">
        <v>98</v>
      </c>
      <c r="B101" s="88"/>
      <c r="C101" s="75"/>
      <c r="D101" s="89"/>
      <c r="E101" s="90"/>
      <c r="F101" s="91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4">
        <f t="shared" si="84"/>
        <v>0</v>
      </c>
      <c r="AD101" s="95">
        <v>1</v>
      </c>
      <c r="AE101" s="94">
        <f t="shared" si="2"/>
        <v>0</v>
      </c>
      <c r="AF101" s="96">
        <f t="shared" si="85"/>
        <v>0</v>
      </c>
      <c r="AG101" s="97">
        <v>0</v>
      </c>
      <c r="AH101" s="97">
        <v>0.05</v>
      </c>
      <c r="AI101" s="98">
        <f t="shared" si="4"/>
        <v>0</v>
      </c>
      <c r="AJ101" s="75"/>
      <c r="AM101" s="124">
        <f t="shared" si="86"/>
        <v>0</v>
      </c>
      <c r="AN101" s="124">
        <f t="shared" si="87"/>
        <v>0</v>
      </c>
      <c r="AO101" s="124">
        <f t="shared" si="88"/>
        <v>0</v>
      </c>
      <c r="AP101" s="124">
        <f t="shared" si="89"/>
        <v>0</v>
      </c>
      <c r="AQ101" s="124">
        <f t="shared" si="90"/>
        <v>0</v>
      </c>
      <c r="AR101" s="124">
        <f t="shared" si="91"/>
        <v>0</v>
      </c>
      <c r="AS101" s="124">
        <f t="shared" si="92"/>
        <v>0</v>
      </c>
      <c r="AT101" s="124">
        <f t="shared" si="93"/>
        <v>0</v>
      </c>
      <c r="AU101" s="124">
        <f t="shared" si="94"/>
        <v>0</v>
      </c>
      <c r="AV101" s="124">
        <f t="shared" si="95"/>
        <v>0</v>
      </c>
      <c r="AW101" s="124">
        <f t="shared" si="96"/>
        <v>0</v>
      </c>
      <c r="AX101" s="124">
        <f t="shared" si="97"/>
        <v>0</v>
      </c>
      <c r="AY101" s="124">
        <f t="shared" si="98"/>
        <v>0</v>
      </c>
      <c r="AZ101" s="124">
        <f t="shared" si="99"/>
        <v>0</v>
      </c>
      <c r="BA101" s="124">
        <f t="shared" si="100"/>
        <v>0</v>
      </c>
      <c r="BB101" s="124">
        <f t="shared" si="101"/>
        <v>0</v>
      </c>
      <c r="BC101" s="124">
        <f t="shared" si="102"/>
        <v>0</v>
      </c>
      <c r="BD101" s="124">
        <f t="shared" si="103"/>
        <v>0</v>
      </c>
      <c r="BE101" s="124">
        <f t="shared" si="104"/>
        <v>0</v>
      </c>
      <c r="BF101" s="124">
        <f t="shared" si="105"/>
        <v>0</v>
      </c>
      <c r="BG101" s="124">
        <f t="shared" si="106"/>
        <v>0</v>
      </c>
      <c r="BH101" s="124">
        <f t="shared" si="107"/>
        <v>0</v>
      </c>
      <c r="BJ101" s="121">
        <f t="shared" si="108"/>
        <v>0</v>
      </c>
      <c r="BK101" s="122" t="b">
        <f t="shared" si="109"/>
        <v>1</v>
      </c>
      <c r="BL101" s="121">
        <f t="shared" si="110"/>
        <v>0</v>
      </c>
    </row>
    <row r="102" spans="1:64" ht="12.75" customHeight="1">
      <c r="A102" s="88">
        <v>99</v>
      </c>
      <c r="B102" s="105"/>
      <c r="C102" s="106"/>
      <c r="D102" s="89"/>
      <c r="E102" s="90"/>
      <c r="F102" s="91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4">
        <f t="shared" si="84"/>
        <v>0</v>
      </c>
      <c r="AD102" s="95">
        <v>1</v>
      </c>
      <c r="AE102" s="94">
        <f t="shared" si="2"/>
        <v>0</v>
      </c>
      <c r="AF102" s="96">
        <f t="shared" si="85"/>
        <v>0</v>
      </c>
      <c r="AG102" s="97">
        <v>0</v>
      </c>
      <c r="AH102" s="97">
        <v>0.05</v>
      </c>
      <c r="AI102" s="98">
        <f t="shared" si="4"/>
        <v>0</v>
      </c>
      <c r="AJ102" s="75"/>
      <c r="AM102" s="124">
        <f t="shared" si="86"/>
        <v>0</v>
      </c>
      <c r="AN102" s="124">
        <f t="shared" si="87"/>
        <v>0</v>
      </c>
      <c r="AO102" s="124">
        <f t="shared" si="88"/>
        <v>0</v>
      </c>
      <c r="AP102" s="124">
        <f t="shared" si="89"/>
        <v>0</v>
      </c>
      <c r="AQ102" s="124">
        <f t="shared" si="90"/>
        <v>0</v>
      </c>
      <c r="AR102" s="124">
        <f t="shared" si="91"/>
        <v>0</v>
      </c>
      <c r="AS102" s="124">
        <f t="shared" si="92"/>
        <v>0</v>
      </c>
      <c r="AT102" s="124">
        <f t="shared" si="93"/>
        <v>0</v>
      </c>
      <c r="AU102" s="124">
        <f t="shared" si="94"/>
        <v>0</v>
      </c>
      <c r="AV102" s="124">
        <f t="shared" si="95"/>
        <v>0</v>
      </c>
      <c r="AW102" s="124">
        <f t="shared" si="96"/>
        <v>0</v>
      </c>
      <c r="AX102" s="124">
        <f t="shared" si="97"/>
        <v>0</v>
      </c>
      <c r="AY102" s="124">
        <f t="shared" si="98"/>
        <v>0</v>
      </c>
      <c r="AZ102" s="124">
        <f t="shared" si="99"/>
        <v>0</v>
      </c>
      <c r="BA102" s="124">
        <f t="shared" si="100"/>
        <v>0</v>
      </c>
      <c r="BB102" s="124">
        <f t="shared" si="101"/>
        <v>0</v>
      </c>
      <c r="BC102" s="124">
        <f t="shared" si="102"/>
        <v>0</v>
      </c>
      <c r="BD102" s="124">
        <f t="shared" si="103"/>
        <v>0</v>
      </c>
      <c r="BE102" s="124">
        <f t="shared" si="104"/>
        <v>0</v>
      </c>
      <c r="BF102" s="124">
        <f t="shared" si="105"/>
        <v>0</v>
      </c>
      <c r="BG102" s="124">
        <f t="shared" si="106"/>
        <v>0</v>
      </c>
      <c r="BH102" s="124">
        <f t="shared" si="107"/>
        <v>0</v>
      </c>
      <c r="BJ102" s="121">
        <f t="shared" si="108"/>
        <v>0</v>
      </c>
      <c r="BK102" s="122" t="b">
        <f t="shared" si="109"/>
        <v>1</v>
      </c>
      <c r="BL102" s="121">
        <f t="shared" si="110"/>
        <v>0</v>
      </c>
    </row>
    <row r="103" spans="1:64" ht="12.75" customHeight="1">
      <c r="A103" s="88">
        <v>100</v>
      </c>
      <c r="B103" s="105"/>
      <c r="C103" s="106"/>
      <c r="D103" s="89"/>
      <c r="E103" s="90"/>
      <c r="F103" s="91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4">
        <f t="shared" si="84"/>
        <v>0</v>
      </c>
      <c r="AD103" s="95">
        <v>1</v>
      </c>
      <c r="AE103" s="94">
        <f t="shared" si="2"/>
        <v>0</v>
      </c>
      <c r="AF103" s="96">
        <f t="shared" si="85"/>
        <v>0</v>
      </c>
      <c r="AG103" s="97">
        <v>0</v>
      </c>
      <c r="AH103" s="97">
        <v>0.05</v>
      </c>
      <c r="AI103" s="98">
        <f t="shared" si="4"/>
        <v>0</v>
      </c>
      <c r="AJ103" s="75"/>
      <c r="AM103" s="124">
        <f t="shared" si="86"/>
        <v>0</v>
      </c>
      <c r="AN103" s="124">
        <f t="shared" si="87"/>
        <v>0</v>
      </c>
      <c r="AO103" s="124">
        <f t="shared" si="88"/>
        <v>0</v>
      </c>
      <c r="AP103" s="124">
        <f t="shared" si="89"/>
        <v>0</v>
      </c>
      <c r="AQ103" s="124">
        <f t="shared" si="90"/>
        <v>0</v>
      </c>
      <c r="AR103" s="124">
        <f t="shared" si="91"/>
        <v>0</v>
      </c>
      <c r="AS103" s="124">
        <f t="shared" si="92"/>
        <v>0</v>
      </c>
      <c r="AT103" s="124">
        <f t="shared" si="93"/>
        <v>0</v>
      </c>
      <c r="AU103" s="124">
        <f t="shared" si="94"/>
        <v>0</v>
      </c>
      <c r="AV103" s="124">
        <f t="shared" si="95"/>
        <v>0</v>
      </c>
      <c r="AW103" s="124">
        <f t="shared" si="96"/>
        <v>0</v>
      </c>
      <c r="AX103" s="124">
        <f t="shared" si="97"/>
        <v>0</v>
      </c>
      <c r="AY103" s="124">
        <f t="shared" si="98"/>
        <v>0</v>
      </c>
      <c r="AZ103" s="124">
        <f t="shared" si="99"/>
        <v>0</v>
      </c>
      <c r="BA103" s="124">
        <f t="shared" si="100"/>
        <v>0</v>
      </c>
      <c r="BB103" s="124">
        <f t="shared" si="101"/>
        <v>0</v>
      </c>
      <c r="BC103" s="124">
        <f t="shared" si="102"/>
        <v>0</v>
      </c>
      <c r="BD103" s="124">
        <f t="shared" si="103"/>
        <v>0</v>
      </c>
      <c r="BE103" s="124">
        <f t="shared" si="104"/>
        <v>0</v>
      </c>
      <c r="BF103" s="124">
        <f t="shared" si="105"/>
        <v>0</v>
      </c>
      <c r="BG103" s="124">
        <f t="shared" si="106"/>
        <v>0</v>
      </c>
      <c r="BH103" s="124">
        <f t="shared" si="107"/>
        <v>0</v>
      </c>
      <c r="BJ103" s="121">
        <f t="shared" si="108"/>
        <v>0</v>
      </c>
      <c r="BK103" s="122" t="b">
        <f t="shared" si="109"/>
        <v>1</v>
      </c>
      <c r="BL103" s="121">
        <f t="shared" si="110"/>
        <v>0</v>
      </c>
    </row>
    <row r="104" spans="1:64" ht="12.75" customHeight="1">
      <c r="A104" s="88">
        <v>101</v>
      </c>
      <c r="B104" s="105"/>
      <c r="C104" s="106"/>
      <c r="D104" s="89"/>
      <c r="E104" s="90"/>
      <c r="F104" s="91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4">
        <f t="shared" si="84"/>
        <v>0</v>
      </c>
      <c r="AD104" s="95">
        <v>1</v>
      </c>
      <c r="AE104" s="94">
        <f t="shared" si="2"/>
        <v>0</v>
      </c>
      <c r="AF104" s="96">
        <f t="shared" si="85"/>
        <v>0</v>
      </c>
      <c r="AG104" s="97">
        <v>0</v>
      </c>
      <c r="AH104" s="97">
        <v>0.05</v>
      </c>
      <c r="AI104" s="98">
        <f t="shared" si="4"/>
        <v>0</v>
      </c>
      <c r="AJ104" s="75"/>
      <c r="AM104" s="124">
        <f t="shared" si="86"/>
        <v>0</v>
      </c>
      <c r="AN104" s="124">
        <f t="shared" si="87"/>
        <v>0</v>
      </c>
      <c r="AO104" s="124">
        <f t="shared" si="88"/>
        <v>0</v>
      </c>
      <c r="AP104" s="124">
        <f t="shared" si="89"/>
        <v>0</v>
      </c>
      <c r="AQ104" s="124">
        <f t="shared" si="90"/>
        <v>0</v>
      </c>
      <c r="AR104" s="124">
        <f t="shared" si="91"/>
        <v>0</v>
      </c>
      <c r="AS104" s="124">
        <f t="shared" si="92"/>
        <v>0</v>
      </c>
      <c r="AT104" s="124">
        <f t="shared" si="93"/>
        <v>0</v>
      </c>
      <c r="AU104" s="124">
        <f t="shared" si="94"/>
        <v>0</v>
      </c>
      <c r="AV104" s="124">
        <f t="shared" si="95"/>
        <v>0</v>
      </c>
      <c r="AW104" s="124">
        <f t="shared" si="96"/>
        <v>0</v>
      </c>
      <c r="AX104" s="124">
        <f t="shared" si="97"/>
        <v>0</v>
      </c>
      <c r="AY104" s="124">
        <f t="shared" si="98"/>
        <v>0</v>
      </c>
      <c r="AZ104" s="124">
        <f t="shared" si="99"/>
        <v>0</v>
      </c>
      <c r="BA104" s="124">
        <f t="shared" si="100"/>
        <v>0</v>
      </c>
      <c r="BB104" s="124">
        <f t="shared" si="101"/>
        <v>0</v>
      </c>
      <c r="BC104" s="124">
        <f t="shared" si="102"/>
        <v>0</v>
      </c>
      <c r="BD104" s="124">
        <f t="shared" si="103"/>
        <v>0</v>
      </c>
      <c r="BE104" s="124">
        <f t="shared" si="104"/>
        <v>0</v>
      </c>
      <c r="BF104" s="124">
        <f t="shared" si="105"/>
        <v>0</v>
      </c>
      <c r="BG104" s="124">
        <f t="shared" si="106"/>
        <v>0</v>
      </c>
      <c r="BH104" s="124">
        <f t="shared" si="107"/>
        <v>0</v>
      </c>
      <c r="BJ104" s="121">
        <f t="shared" si="108"/>
        <v>0</v>
      </c>
      <c r="BK104" s="122" t="b">
        <f t="shared" si="109"/>
        <v>1</v>
      </c>
      <c r="BL104" s="121">
        <f t="shared" si="110"/>
        <v>0</v>
      </c>
    </row>
    <row r="105" spans="1:64" ht="12.75" customHeight="1">
      <c r="A105" s="88">
        <v>102</v>
      </c>
      <c r="B105" s="105"/>
      <c r="C105" s="106"/>
      <c r="D105" s="89"/>
      <c r="E105" s="90"/>
      <c r="F105" s="91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4">
        <f t="shared" si="84"/>
        <v>0</v>
      </c>
      <c r="AD105" s="95">
        <v>1</v>
      </c>
      <c r="AE105" s="94">
        <f t="shared" si="2"/>
        <v>0</v>
      </c>
      <c r="AF105" s="96">
        <f t="shared" si="85"/>
        <v>0</v>
      </c>
      <c r="AG105" s="97">
        <v>0</v>
      </c>
      <c r="AH105" s="97">
        <v>0.05</v>
      </c>
      <c r="AI105" s="98">
        <f t="shared" si="4"/>
        <v>0</v>
      </c>
      <c r="AJ105" s="75"/>
      <c r="AM105" s="124">
        <f t="shared" si="86"/>
        <v>0</v>
      </c>
      <c r="AN105" s="124">
        <f t="shared" si="87"/>
        <v>0</v>
      </c>
      <c r="AO105" s="124">
        <f t="shared" si="88"/>
        <v>0</v>
      </c>
      <c r="AP105" s="124">
        <f t="shared" si="89"/>
        <v>0</v>
      </c>
      <c r="AQ105" s="124">
        <f t="shared" si="90"/>
        <v>0</v>
      </c>
      <c r="AR105" s="124">
        <f t="shared" si="91"/>
        <v>0</v>
      </c>
      <c r="AS105" s="124">
        <f t="shared" si="92"/>
        <v>0</v>
      </c>
      <c r="AT105" s="124">
        <f t="shared" si="93"/>
        <v>0</v>
      </c>
      <c r="AU105" s="124">
        <f t="shared" si="94"/>
        <v>0</v>
      </c>
      <c r="AV105" s="124">
        <f t="shared" si="95"/>
        <v>0</v>
      </c>
      <c r="AW105" s="124">
        <f t="shared" si="96"/>
        <v>0</v>
      </c>
      <c r="AX105" s="124">
        <f t="shared" si="97"/>
        <v>0</v>
      </c>
      <c r="AY105" s="124">
        <f t="shared" si="98"/>
        <v>0</v>
      </c>
      <c r="AZ105" s="124">
        <f t="shared" si="99"/>
        <v>0</v>
      </c>
      <c r="BA105" s="124">
        <f t="shared" si="100"/>
        <v>0</v>
      </c>
      <c r="BB105" s="124">
        <f t="shared" si="101"/>
        <v>0</v>
      </c>
      <c r="BC105" s="124">
        <f t="shared" si="102"/>
        <v>0</v>
      </c>
      <c r="BD105" s="124">
        <f t="shared" si="103"/>
        <v>0</v>
      </c>
      <c r="BE105" s="124">
        <f t="shared" si="104"/>
        <v>0</v>
      </c>
      <c r="BF105" s="124">
        <f t="shared" si="105"/>
        <v>0</v>
      </c>
      <c r="BG105" s="124">
        <f t="shared" si="106"/>
        <v>0</v>
      </c>
      <c r="BH105" s="124">
        <f t="shared" si="107"/>
        <v>0</v>
      </c>
      <c r="BJ105" s="121">
        <f t="shared" si="108"/>
        <v>0</v>
      </c>
      <c r="BK105" s="122" t="b">
        <f t="shared" si="109"/>
        <v>1</v>
      </c>
      <c r="BL105" s="121">
        <f t="shared" si="110"/>
        <v>0</v>
      </c>
    </row>
    <row r="106" spans="1:64" ht="12.75" customHeight="1">
      <c r="A106" s="88">
        <v>103</v>
      </c>
      <c r="B106" s="105"/>
      <c r="C106" s="106"/>
      <c r="D106" s="89"/>
      <c r="E106" s="90"/>
      <c r="F106" s="91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4">
        <f t="shared" si="84"/>
        <v>0</v>
      </c>
      <c r="AD106" s="95">
        <v>1</v>
      </c>
      <c r="AE106" s="94">
        <f t="shared" si="2"/>
        <v>0</v>
      </c>
      <c r="AF106" s="96">
        <f t="shared" si="85"/>
        <v>0</v>
      </c>
      <c r="AG106" s="97">
        <v>0</v>
      </c>
      <c r="AH106" s="97">
        <v>0.05</v>
      </c>
      <c r="AI106" s="98">
        <f t="shared" si="4"/>
        <v>0</v>
      </c>
      <c r="AJ106" s="75"/>
      <c r="AM106" s="124">
        <f t="shared" si="86"/>
        <v>0</v>
      </c>
      <c r="AN106" s="124">
        <f t="shared" si="87"/>
        <v>0</v>
      </c>
      <c r="AO106" s="124">
        <f t="shared" si="88"/>
        <v>0</v>
      </c>
      <c r="AP106" s="124">
        <f t="shared" si="89"/>
        <v>0</v>
      </c>
      <c r="AQ106" s="124">
        <f t="shared" si="90"/>
        <v>0</v>
      </c>
      <c r="AR106" s="124">
        <f t="shared" si="91"/>
        <v>0</v>
      </c>
      <c r="AS106" s="124">
        <f t="shared" si="92"/>
        <v>0</v>
      </c>
      <c r="AT106" s="124">
        <f t="shared" si="93"/>
        <v>0</v>
      </c>
      <c r="AU106" s="124">
        <f t="shared" si="94"/>
        <v>0</v>
      </c>
      <c r="AV106" s="124">
        <f t="shared" si="95"/>
        <v>0</v>
      </c>
      <c r="AW106" s="124">
        <f t="shared" si="96"/>
        <v>0</v>
      </c>
      <c r="AX106" s="124">
        <f t="shared" si="97"/>
        <v>0</v>
      </c>
      <c r="AY106" s="124">
        <f t="shared" si="98"/>
        <v>0</v>
      </c>
      <c r="AZ106" s="124">
        <f t="shared" si="99"/>
        <v>0</v>
      </c>
      <c r="BA106" s="124">
        <f t="shared" si="100"/>
        <v>0</v>
      </c>
      <c r="BB106" s="124">
        <f t="shared" si="101"/>
        <v>0</v>
      </c>
      <c r="BC106" s="124">
        <f t="shared" si="102"/>
        <v>0</v>
      </c>
      <c r="BD106" s="124">
        <f t="shared" si="103"/>
        <v>0</v>
      </c>
      <c r="BE106" s="124">
        <f t="shared" si="104"/>
        <v>0</v>
      </c>
      <c r="BF106" s="124">
        <f t="shared" si="105"/>
        <v>0</v>
      </c>
      <c r="BG106" s="124">
        <f t="shared" si="106"/>
        <v>0</v>
      </c>
      <c r="BH106" s="124">
        <f t="shared" si="107"/>
        <v>0</v>
      </c>
      <c r="BJ106" s="121">
        <f t="shared" si="108"/>
        <v>0</v>
      </c>
      <c r="BK106" s="122" t="b">
        <f t="shared" si="109"/>
        <v>1</v>
      </c>
      <c r="BL106" s="121">
        <f t="shared" si="110"/>
        <v>0</v>
      </c>
    </row>
    <row r="107" spans="1:64" ht="12.75" customHeight="1">
      <c r="A107" s="88">
        <v>104</v>
      </c>
      <c r="B107" s="105"/>
      <c r="C107" s="106"/>
      <c r="D107" s="89"/>
      <c r="E107" s="90"/>
      <c r="F107" s="91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4">
        <f t="shared" si="84"/>
        <v>0</v>
      </c>
      <c r="AD107" s="95">
        <v>1</v>
      </c>
      <c r="AE107" s="94">
        <f t="shared" si="2"/>
        <v>0</v>
      </c>
      <c r="AF107" s="96">
        <f t="shared" si="85"/>
        <v>0</v>
      </c>
      <c r="AG107" s="97">
        <v>0</v>
      </c>
      <c r="AH107" s="97">
        <v>0.05</v>
      </c>
      <c r="AI107" s="98">
        <f t="shared" si="4"/>
        <v>0</v>
      </c>
      <c r="AJ107" s="75"/>
      <c r="AM107" s="124">
        <f t="shared" si="86"/>
        <v>0</v>
      </c>
      <c r="AN107" s="124">
        <f t="shared" si="87"/>
        <v>0</v>
      </c>
      <c r="AO107" s="124">
        <f t="shared" si="88"/>
        <v>0</v>
      </c>
      <c r="AP107" s="124">
        <f t="shared" si="89"/>
        <v>0</v>
      </c>
      <c r="AQ107" s="124">
        <f t="shared" si="90"/>
        <v>0</v>
      </c>
      <c r="AR107" s="124">
        <f t="shared" si="91"/>
        <v>0</v>
      </c>
      <c r="AS107" s="124">
        <f t="shared" si="92"/>
        <v>0</v>
      </c>
      <c r="AT107" s="124">
        <f t="shared" si="93"/>
        <v>0</v>
      </c>
      <c r="AU107" s="124">
        <f t="shared" si="94"/>
        <v>0</v>
      </c>
      <c r="AV107" s="124">
        <f t="shared" si="95"/>
        <v>0</v>
      </c>
      <c r="AW107" s="124">
        <f t="shared" si="96"/>
        <v>0</v>
      </c>
      <c r="AX107" s="124">
        <f t="shared" si="97"/>
        <v>0</v>
      </c>
      <c r="AY107" s="124">
        <f t="shared" si="98"/>
        <v>0</v>
      </c>
      <c r="AZ107" s="124">
        <f t="shared" si="99"/>
        <v>0</v>
      </c>
      <c r="BA107" s="124">
        <f t="shared" si="100"/>
        <v>0</v>
      </c>
      <c r="BB107" s="124">
        <f t="shared" si="101"/>
        <v>0</v>
      </c>
      <c r="BC107" s="124">
        <f t="shared" si="102"/>
        <v>0</v>
      </c>
      <c r="BD107" s="124">
        <f t="shared" si="103"/>
        <v>0</v>
      </c>
      <c r="BE107" s="124">
        <f t="shared" si="104"/>
        <v>0</v>
      </c>
      <c r="BF107" s="124">
        <f t="shared" si="105"/>
        <v>0</v>
      </c>
      <c r="BG107" s="124">
        <f t="shared" si="106"/>
        <v>0</v>
      </c>
      <c r="BH107" s="124">
        <f t="shared" si="107"/>
        <v>0</v>
      </c>
      <c r="BJ107" s="121">
        <f t="shared" si="108"/>
        <v>0</v>
      </c>
      <c r="BK107" s="122" t="b">
        <f t="shared" si="109"/>
        <v>1</v>
      </c>
      <c r="BL107" s="121">
        <f t="shared" si="110"/>
        <v>0</v>
      </c>
    </row>
    <row r="108" spans="1:64" ht="12.75" customHeight="1">
      <c r="A108" s="88">
        <v>105</v>
      </c>
      <c r="B108" s="105"/>
      <c r="C108" s="106"/>
      <c r="D108" s="89"/>
      <c r="E108" s="90"/>
      <c r="F108" s="91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4">
        <f t="shared" si="84"/>
        <v>0</v>
      </c>
      <c r="AD108" s="95">
        <v>1</v>
      </c>
      <c r="AE108" s="94">
        <f t="shared" si="2"/>
        <v>0</v>
      </c>
      <c r="AF108" s="96">
        <f t="shared" si="85"/>
        <v>0</v>
      </c>
      <c r="AG108" s="97">
        <v>0</v>
      </c>
      <c r="AH108" s="97">
        <v>0.05</v>
      </c>
      <c r="AI108" s="98">
        <f t="shared" si="4"/>
        <v>0</v>
      </c>
      <c r="AJ108" s="75"/>
      <c r="AM108" s="124">
        <f t="shared" si="86"/>
        <v>0</v>
      </c>
      <c r="AN108" s="124">
        <f t="shared" si="87"/>
        <v>0</v>
      </c>
      <c r="AO108" s="124">
        <f t="shared" si="88"/>
        <v>0</v>
      </c>
      <c r="AP108" s="124">
        <f t="shared" si="89"/>
        <v>0</v>
      </c>
      <c r="AQ108" s="124">
        <f t="shared" si="90"/>
        <v>0</v>
      </c>
      <c r="AR108" s="124">
        <f t="shared" si="91"/>
        <v>0</v>
      </c>
      <c r="AS108" s="124">
        <f t="shared" si="92"/>
        <v>0</v>
      </c>
      <c r="AT108" s="124">
        <f t="shared" si="93"/>
        <v>0</v>
      </c>
      <c r="AU108" s="124">
        <f t="shared" si="94"/>
        <v>0</v>
      </c>
      <c r="AV108" s="124">
        <f t="shared" si="95"/>
        <v>0</v>
      </c>
      <c r="AW108" s="124">
        <f t="shared" si="96"/>
        <v>0</v>
      </c>
      <c r="AX108" s="124">
        <f t="shared" si="97"/>
        <v>0</v>
      </c>
      <c r="AY108" s="124">
        <f t="shared" si="98"/>
        <v>0</v>
      </c>
      <c r="AZ108" s="124">
        <f t="shared" si="99"/>
        <v>0</v>
      </c>
      <c r="BA108" s="124">
        <f t="shared" si="100"/>
        <v>0</v>
      </c>
      <c r="BB108" s="124">
        <f t="shared" si="101"/>
        <v>0</v>
      </c>
      <c r="BC108" s="124">
        <f t="shared" si="102"/>
        <v>0</v>
      </c>
      <c r="BD108" s="124">
        <f t="shared" si="103"/>
        <v>0</v>
      </c>
      <c r="BE108" s="124">
        <f t="shared" si="104"/>
        <v>0</v>
      </c>
      <c r="BF108" s="124">
        <f t="shared" si="105"/>
        <v>0</v>
      </c>
      <c r="BG108" s="124">
        <f t="shared" si="106"/>
        <v>0</v>
      </c>
      <c r="BH108" s="124">
        <f t="shared" si="107"/>
        <v>0</v>
      </c>
      <c r="BJ108" s="121">
        <f t="shared" si="108"/>
        <v>0</v>
      </c>
      <c r="BK108" s="122" t="b">
        <f t="shared" si="109"/>
        <v>1</v>
      </c>
      <c r="BL108" s="121">
        <f t="shared" si="110"/>
        <v>0</v>
      </c>
    </row>
    <row r="109" spans="1:64" ht="12.75" customHeight="1">
      <c r="A109" s="88">
        <v>106</v>
      </c>
      <c r="B109" s="105"/>
      <c r="C109" s="106"/>
      <c r="D109" s="89"/>
      <c r="E109" s="90"/>
      <c r="F109" s="91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4">
        <f t="shared" si="84"/>
        <v>0</v>
      </c>
      <c r="AD109" s="95">
        <v>1</v>
      </c>
      <c r="AE109" s="94">
        <f t="shared" si="2"/>
        <v>0</v>
      </c>
      <c r="AF109" s="96">
        <f t="shared" si="85"/>
        <v>0</v>
      </c>
      <c r="AG109" s="97">
        <v>0</v>
      </c>
      <c r="AH109" s="97">
        <v>0.05</v>
      </c>
      <c r="AI109" s="98">
        <f t="shared" si="4"/>
        <v>0</v>
      </c>
      <c r="AJ109" s="75"/>
      <c r="AM109" s="124">
        <f t="shared" si="86"/>
        <v>0</v>
      </c>
      <c r="AN109" s="124">
        <f t="shared" si="87"/>
        <v>0</v>
      </c>
      <c r="AO109" s="124">
        <f t="shared" si="88"/>
        <v>0</v>
      </c>
      <c r="AP109" s="124">
        <f t="shared" si="89"/>
        <v>0</v>
      </c>
      <c r="AQ109" s="124">
        <f t="shared" si="90"/>
        <v>0</v>
      </c>
      <c r="AR109" s="124">
        <f t="shared" si="91"/>
        <v>0</v>
      </c>
      <c r="AS109" s="124">
        <f t="shared" si="92"/>
        <v>0</v>
      </c>
      <c r="AT109" s="124">
        <f t="shared" si="93"/>
        <v>0</v>
      </c>
      <c r="AU109" s="124">
        <f t="shared" si="94"/>
        <v>0</v>
      </c>
      <c r="AV109" s="124">
        <f t="shared" si="95"/>
        <v>0</v>
      </c>
      <c r="AW109" s="124">
        <f t="shared" si="96"/>
        <v>0</v>
      </c>
      <c r="AX109" s="124">
        <f t="shared" si="97"/>
        <v>0</v>
      </c>
      <c r="AY109" s="124">
        <f t="shared" si="98"/>
        <v>0</v>
      </c>
      <c r="AZ109" s="124">
        <f t="shared" si="99"/>
        <v>0</v>
      </c>
      <c r="BA109" s="124">
        <f t="shared" si="100"/>
        <v>0</v>
      </c>
      <c r="BB109" s="124">
        <f t="shared" si="101"/>
        <v>0</v>
      </c>
      <c r="BC109" s="124">
        <f t="shared" si="102"/>
        <v>0</v>
      </c>
      <c r="BD109" s="124">
        <f t="shared" si="103"/>
        <v>0</v>
      </c>
      <c r="BE109" s="124">
        <f t="shared" si="104"/>
        <v>0</v>
      </c>
      <c r="BF109" s="124">
        <f t="shared" si="105"/>
        <v>0</v>
      </c>
      <c r="BG109" s="124">
        <f t="shared" si="106"/>
        <v>0</v>
      </c>
      <c r="BH109" s="124">
        <f t="shared" si="107"/>
        <v>0</v>
      </c>
      <c r="BJ109" s="121">
        <f t="shared" si="108"/>
        <v>0</v>
      </c>
      <c r="BK109" s="122" t="b">
        <f t="shared" si="109"/>
        <v>1</v>
      </c>
      <c r="BL109" s="121">
        <f t="shared" si="110"/>
        <v>0</v>
      </c>
    </row>
    <row r="110" spans="1:64" ht="12.75" customHeight="1">
      <c r="A110" s="88">
        <v>107</v>
      </c>
      <c r="B110" s="105"/>
      <c r="C110" s="106"/>
      <c r="D110" s="89"/>
      <c r="E110" s="90"/>
      <c r="F110" s="91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4">
        <f t="shared" si="84"/>
        <v>0</v>
      </c>
      <c r="AD110" s="95">
        <v>1</v>
      </c>
      <c r="AE110" s="94">
        <f t="shared" si="2"/>
        <v>0</v>
      </c>
      <c r="AF110" s="96">
        <f t="shared" si="85"/>
        <v>0</v>
      </c>
      <c r="AG110" s="97">
        <v>0</v>
      </c>
      <c r="AH110" s="97">
        <v>0.05</v>
      </c>
      <c r="AI110" s="98">
        <f t="shared" si="4"/>
        <v>0</v>
      </c>
      <c r="AJ110" s="75"/>
      <c r="AM110" s="124">
        <f t="shared" si="86"/>
        <v>0</v>
      </c>
      <c r="AN110" s="124">
        <f t="shared" si="87"/>
        <v>0</v>
      </c>
      <c r="AO110" s="124">
        <f t="shared" si="88"/>
        <v>0</v>
      </c>
      <c r="AP110" s="124">
        <f t="shared" si="89"/>
        <v>0</v>
      </c>
      <c r="AQ110" s="124">
        <f t="shared" si="90"/>
        <v>0</v>
      </c>
      <c r="AR110" s="124">
        <f t="shared" si="91"/>
        <v>0</v>
      </c>
      <c r="AS110" s="124">
        <f t="shared" si="92"/>
        <v>0</v>
      </c>
      <c r="AT110" s="124">
        <f t="shared" si="93"/>
        <v>0</v>
      </c>
      <c r="AU110" s="124">
        <f t="shared" si="94"/>
        <v>0</v>
      </c>
      <c r="AV110" s="124">
        <f t="shared" si="95"/>
        <v>0</v>
      </c>
      <c r="AW110" s="124">
        <f t="shared" si="96"/>
        <v>0</v>
      </c>
      <c r="AX110" s="124">
        <f t="shared" si="97"/>
        <v>0</v>
      </c>
      <c r="AY110" s="124">
        <f t="shared" si="98"/>
        <v>0</v>
      </c>
      <c r="AZ110" s="124">
        <f t="shared" si="99"/>
        <v>0</v>
      </c>
      <c r="BA110" s="124">
        <f t="shared" si="100"/>
        <v>0</v>
      </c>
      <c r="BB110" s="124">
        <f t="shared" si="101"/>
        <v>0</v>
      </c>
      <c r="BC110" s="124">
        <f t="shared" si="102"/>
        <v>0</v>
      </c>
      <c r="BD110" s="124">
        <f t="shared" si="103"/>
        <v>0</v>
      </c>
      <c r="BE110" s="124">
        <f t="shared" si="104"/>
        <v>0</v>
      </c>
      <c r="BF110" s="124">
        <f t="shared" si="105"/>
        <v>0</v>
      </c>
      <c r="BG110" s="124">
        <f t="shared" si="106"/>
        <v>0</v>
      </c>
      <c r="BH110" s="124">
        <f t="shared" si="107"/>
        <v>0</v>
      </c>
      <c r="BJ110" s="121">
        <f t="shared" si="108"/>
        <v>0</v>
      </c>
      <c r="BK110" s="122" t="b">
        <f t="shared" si="109"/>
        <v>1</v>
      </c>
      <c r="BL110" s="121">
        <f t="shared" si="110"/>
        <v>0</v>
      </c>
    </row>
    <row r="111" spans="1:64" ht="12.75" customHeight="1">
      <c r="A111" s="88">
        <v>108</v>
      </c>
      <c r="B111" s="105"/>
      <c r="C111" s="106"/>
      <c r="D111" s="89"/>
      <c r="E111" s="90"/>
      <c r="F111" s="91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4">
        <f t="shared" si="84"/>
        <v>0</v>
      </c>
      <c r="AD111" s="95">
        <v>1</v>
      </c>
      <c r="AE111" s="94">
        <f t="shared" si="2"/>
        <v>0</v>
      </c>
      <c r="AF111" s="96">
        <f t="shared" si="85"/>
        <v>0</v>
      </c>
      <c r="AG111" s="97">
        <v>0</v>
      </c>
      <c r="AH111" s="97">
        <v>0.05</v>
      </c>
      <c r="AI111" s="98">
        <f t="shared" si="4"/>
        <v>0</v>
      </c>
      <c r="AJ111" s="75"/>
      <c r="AM111" s="124">
        <f t="shared" si="86"/>
        <v>0</v>
      </c>
      <c r="AN111" s="124">
        <f t="shared" si="87"/>
        <v>0</v>
      </c>
      <c r="AO111" s="124">
        <f t="shared" si="88"/>
        <v>0</v>
      </c>
      <c r="AP111" s="124">
        <f t="shared" si="89"/>
        <v>0</v>
      </c>
      <c r="AQ111" s="124">
        <f t="shared" si="90"/>
        <v>0</v>
      </c>
      <c r="AR111" s="124">
        <f t="shared" si="91"/>
        <v>0</v>
      </c>
      <c r="AS111" s="124">
        <f t="shared" si="92"/>
        <v>0</v>
      </c>
      <c r="AT111" s="124">
        <f t="shared" si="93"/>
        <v>0</v>
      </c>
      <c r="AU111" s="124">
        <f t="shared" si="94"/>
        <v>0</v>
      </c>
      <c r="AV111" s="124">
        <f t="shared" si="95"/>
        <v>0</v>
      </c>
      <c r="AW111" s="124">
        <f t="shared" si="96"/>
        <v>0</v>
      </c>
      <c r="AX111" s="124">
        <f t="shared" si="97"/>
        <v>0</v>
      </c>
      <c r="AY111" s="124">
        <f t="shared" si="98"/>
        <v>0</v>
      </c>
      <c r="AZ111" s="124">
        <f t="shared" si="99"/>
        <v>0</v>
      </c>
      <c r="BA111" s="124">
        <f t="shared" si="100"/>
        <v>0</v>
      </c>
      <c r="BB111" s="124">
        <f t="shared" si="101"/>
        <v>0</v>
      </c>
      <c r="BC111" s="124">
        <f t="shared" si="102"/>
        <v>0</v>
      </c>
      <c r="BD111" s="124">
        <f t="shared" si="103"/>
        <v>0</v>
      </c>
      <c r="BE111" s="124">
        <f t="shared" si="104"/>
        <v>0</v>
      </c>
      <c r="BF111" s="124">
        <f t="shared" si="105"/>
        <v>0</v>
      </c>
      <c r="BG111" s="124">
        <f t="shared" si="106"/>
        <v>0</v>
      </c>
      <c r="BH111" s="124">
        <f t="shared" si="107"/>
        <v>0</v>
      </c>
      <c r="BJ111" s="121">
        <f t="shared" si="108"/>
        <v>0</v>
      </c>
      <c r="BK111" s="122" t="b">
        <f t="shared" si="109"/>
        <v>1</v>
      </c>
      <c r="BL111" s="121">
        <f t="shared" si="110"/>
        <v>0</v>
      </c>
    </row>
    <row r="112" spans="1:64" ht="12.75" customHeight="1">
      <c r="A112" s="88">
        <v>109</v>
      </c>
      <c r="B112" s="105"/>
      <c r="C112" s="106"/>
      <c r="D112" s="89"/>
      <c r="E112" s="90"/>
      <c r="F112" s="91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4">
        <f t="shared" si="84"/>
        <v>0</v>
      </c>
      <c r="AD112" s="95">
        <v>1</v>
      </c>
      <c r="AE112" s="94">
        <f t="shared" si="2"/>
        <v>0</v>
      </c>
      <c r="AF112" s="96">
        <f t="shared" si="85"/>
        <v>0</v>
      </c>
      <c r="AG112" s="97">
        <v>0</v>
      </c>
      <c r="AH112" s="97">
        <v>0.05</v>
      </c>
      <c r="AI112" s="98">
        <f t="shared" si="4"/>
        <v>0</v>
      </c>
      <c r="AJ112" s="75"/>
      <c r="AM112" s="124">
        <f t="shared" si="86"/>
        <v>0</v>
      </c>
      <c r="AN112" s="124">
        <f t="shared" si="87"/>
        <v>0</v>
      </c>
      <c r="AO112" s="124">
        <f t="shared" si="88"/>
        <v>0</v>
      </c>
      <c r="AP112" s="124">
        <f t="shared" si="89"/>
        <v>0</v>
      </c>
      <c r="AQ112" s="124">
        <f t="shared" si="90"/>
        <v>0</v>
      </c>
      <c r="AR112" s="124">
        <f t="shared" si="91"/>
        <v>0</v>
      </c>
      <c r="AS112" s="124">
        <f t="shared" si="92"/>
        <v>0</v>
      </c>
      <c r="AT112" s="124">
        <f t="shared" si="93"/>
        <v>0</v>
      </c>
      <c r="AU112" s="124">
        <f t="shared" si="94"/>
        <v>0</v>
      </c>
      <c r="AV112" s="124">
        <f t="shared" si="95"/>
        <v>0</v>
      </c>
      <c r="AW112" s="124">
        <f t="shared" si="96"/>
        <v>0</v>
      </c>
      <c r="AX112" s="124">
        <f t="shared" si="97"/>
        <v>0</v>
      </c>
      <c r="AY112" s="124">
        <f t="shared" si="98"/>
        <v>0</v>
      </c>
      <c r="AZ112" s="124">
        <f t="shared" si="99"/>
        <v>0</v>
      </c>
      <c r="BA112" s="124">
        <f t="shared" si="100"/>
        <v>0</v>
      </c>
      <c r="BB112" s="124">
        <f t="shared" si="101"/>
        <v>0</v>
      </c>
      <c r="BC112" s="124">
        <f t="shared" si="102"/>
        <v>0</v>
      </c>
      <c r="BD112" s="124">
        <f t="shared" si="103"/>
        <v>0</v>
      </c>
      <c r="BE112" s="124">
        <f t="shared" si="104"/>
        <v>0</v>
      </c>
      <c r="BF112" s="124">
        <f t="shared" si="105"/>
        <v>0</v>
      </c>
      <c r="BG112" s="124">
        <f t="shared" si="106"/>
        <v>0</v>
      </c>
      <c r="BH112" s="124">
        <f t="shared" si="107"/>
        <v>0</v>
      </c>
      <c r="BJ112" s="121">
        <f t="shared" si="108"/>
        <v>0</v>
      </c>
      <c r="BK112" s="122" t="b">
        <f t="shared" si="109"/>
        <v>1</v>
      </c>
      <c r="BL112" s="121">
        <f t="shared" si="110"/>
        <v>0</v>
      </c>
    </row>
    <row r="113" spans="1:64" ht="12.75" customHeight="1">
      <c r="A113" s="88">
        <v>110</v>
      </c>
      <c r="B113" s="105"/>
      <c r="C113" s="106"/>
      <c r="D113" s="89"/>
      <c r="E113" s="90"/>
      <c r="F113" s="91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4">
        <f t="shared" si="84"/>
        <v>0</v>
      </c>
      <c r="AD113" s="95">
        <v>1</v>
      </c>
      <c r="AE113" s="94">
        <f t="shared" si="2"/>
        <v>0</v>
      </c>
      <c r="AF113" s="96">
        <f t="shared" si="85"/>
        <v>0</v>
      </c>
      <c r="AG113" s="97">
        <v>0</v>
      </c>
      <c r="AH113" s="97">
        <v>0.05</v>
      </c>
      <c r="AI113" s="98">
        <f t="shared" si="4"/>
        <v>0</v>
      </c>
      <c r="AJ113" s="75"/>
      <c r="AM113" s="124">
        <f t="shared" si="86"/>
        <v>0</v>
      </c>
      <c r="AN113" s="124">
        <f t="shared" si="87"/>
        <v>0</v>
      </c>
      <c r="AO113" s="124">
        <f t="shared" si="88"/>
        <v>0</v>
      </c>
      <c r="AP113" s="124">
        <f t="shared" si="89"/>
        <v>0</v>
      </c>
      <c r="AQ113" s="124">
        <f t="shared" si="90"/>
        <v>0</v>
      </c>
      <c r="AR113" s="124">
        <f t="shared" si="91"/>
        <v>0</v>
      </c>
      <c r="AS113" s="124">
        <f t="shared" si="92"/>
        <v>0</v>
      </c>
      <c r="AT113" s="124">
        <f t="shared" si="93"/>
        <v>0</v>
      </c>
      <c r="AU113" s="124">
        <f t="shared" si="94"/>
        <v>0</v>
      </c>
      <c r="AV113" s="124">
        <f t="shared" si="95"/>
        <v>0</v>
      </c>
      <c r="AW113" s="124">
        <f t="shared" si="96"/>
        <v>0</v>
      </c>
      <c r="AX113" s="124">
        <f t="shared" si="97"/>
        <v>0</v>
      </c>
      <c r="AY113" s="124">
        <f t="shared" si="98"/>
        <v>0</v>
      </c>
      <c r="AZ113" s="124">
        <f t="shared" si="99"/>
        <v>0</v>
      </c>
      <c r="BA113" s="124">
        <f t="shared" si="100"/>
        <v>0</v>
      </c>
      <c r="BB113" s="124">
        <f t="shared" si="101"/>
        <v>0</v>
      </c>
      <c r="BC113" s="124">
        <f t="shared" si="102"/>
        <v>0</v>
      </c>
      <c r="BD113" s="124">
        <f t="shared" si="103"/>
        <v>0</v>
      </c>
      <c r="BE113" s="124">
        <f t="shared" si="104"/>
        <v>0</v>
      </c>
      <c r="BF113" s="124">
        <f t="shared" si="105"/>
        <v>0</v>
      </c>
      <c r="BG113" s="124">
        <f t="shared" si="106"/>
        <v>0</v>
      </c>
      <c r="BH113" s="124">
        <f t="shared" si="107"/>
        <v>0</v>
      </c>
      <c r="BJ113" s="121">
        <f t="shared" si="108"/>
        <v>0</v>
      </c>
      <c r="BK113" s="122" t="b">
        <f t="shared" si="109"/>
        <v>1</v>
      </c>
      <c r="BL113" s="121">
        <f t="shared" si="110"/>
        <v>0</v>
      </c>
    </row>
    <row r="114" spans="1:64" ht="12.75" customHeight="1">
      <c r="A114" s="88">
        <v>111</v>
      </c>
      <c r="B114" s="105"/>
      <c r="C114" s="106"/>
      <c r="D114" s="89"/>
      <c r="E114" s="90"/>
      <c r="F114" s="91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4">
        <f t="shared" si="84"/>
        <v>0</v>
      </c>
      <c r="AD114" s="95">
        <v>1</v>
      </c>
      <c r="AE114" s="94">
        <f t="shared" si="2"/>
        <v>0</v>
      </c>
      <c r="AF114" s="96">
        <f t="shared" si="85"/>
        <v>0</v>
      </c>
      <c r="AG114" s="97">
        <v>0</v>
      </c>
      <c r="AH114" s="97">
        <v>0.05</v>
      </c>
      <c r="AI114" s="98">
        <f t="shared" si="4"/>
        <v>0</v>
      </c>
      <c r="AJ114" s="75"/>
      <c r="AM114" s="124">
        <f t="shared" si="86"/>
        <v>0</v>
      </c>
      <c r="AN114" s="124">
        <f t="shared" si="87"/>
        <v>0</v>
      </c>
      <c r="AO114" s="124">
        <f t="shared" si="88"/>
        <v>0</v>
      </c>
      <c r="AP114" s="124">
        <f t="shared" si="89"/>
        <v>0</v>
      </c>
      <c r="AQ114" s="124">
        <f t="shared" si="90"/>
        <v>0</v>
      </c>
      <c r="AR114" s="124">
        <f t="shared" si="91"/>
        <v>0</v>
      </c>
      <c r="AS114" s="124">
        <f t="shared" si="92"/>
        <v>0</v>
      </c>
      <c r="AT114" s="124">
        <f t="shared" si="93"/>
        <v>0</v>
      </c>
      <c r="AU114" s="124">
        <f t="shared" si="94"/>
        <v>0</v>
      </c>
      <c r="AV114" s="124">
        <f t="shared" si="95"/>
        <v>0</v>
      </c>
      <c r="AW114" s="124">
        <f t="shared" si="96"/>
        <v>0</v>
      </c>
      <c r="AX114" s="124">
        <f t="shared" si="97"/>
        <v>0</v>
      </c>
      <c r="AY114" s="124">
        <f t="shared" si="98"/>
        <v>0</v>
      </c>
      <c r="AZ114" s="124">
        <f t="shared" si="99"/>
        <v>0</v>
      </c>
      <c r="BA114" s="124">
        <f t="shared" si="100"/>
        <v>0</v>
      </c>
      <c r="BB114" s="124">
        <f t="shared" si="101"/>
        <v>0</v>
      </c>
      <c r="BC114" s="124">
        <f t="shared" si="102"/>
        <v>0</v>
      </c>
      <c r="BD114" s="124">
        <f t="shared" si="103"/>
        <v>0</v>
      </c>
      <c r="BE114" s="124">
        <f t="shared" si="104"/>
        <v>0</v>
      </c>
      <c r="BF114" s="124">
        <f t="shared" si="105"/>
        <v>0</v>
      </c>
      <c r="BG114" s="124">
        <f t="shared" si="106"/>
        <v>0</v>
      </c>
      <c r="BH114" s="124">
        <f t="shared" si="107"/>
        <v>0</v>
      </c>
      <c r="BJ114" s="121">
        <f t="shared" si="108"/>
        <v>0</v>
      </c>
      <c r="BK114" s="122" t="b">
        <f t="shared" si="109"/>
        <v>1</v>
      </c>
      <c r="BL114" s="121">
        <f t="shared" si="110"/>
        <v>0</v>
      </c>
    </row>
    <row r="115" spans="1:64" ht="12.75" customHeight="1">
      <c r="A115" s="88">
        <v>112</v>
      </c>
      <c r="B115" s="88"/>
      <c r="C115" s="75"/>
      <c r="D115" s="89"/>
      <c r="E115" s="90"/>
      <c r="F115" s="91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4">
        <f t="shared" si="84"/>
        <v>0</v>
      </c>
      <c r="AD115" s="95">
        <v>1</v>
      </c>
      <c r="AE115" s="94">
        <f t="shared" si="2"/>
        <v>0</v>
      </c>
      <c r="AF115" s="96">
        <f t="shared" si="85"/>
        <v>0</v>
      </c>
      <c r="AG115" s="97">
        <v>0</v>
      </c>
      <c r="AH115" s="97">
        <v>0.05</v>
      </c>
      <c r="AI115" s="98">
        <f t="shared" si="4"/>
        <v>0</v>
      </c>
      <c r="AJ115" s="75"/>
      <c r="AM115" s="124">
        <f t="shared" si="86"/>
        <v>0</v>
      </c>
      <c r="AN115" s="124">
        <f t="shared" si="87"/>
        <v>0</v>
      </c>
      <c r="AO115" s="124">
        <f t="shared" si="88"/>
        <v>0</v>
      </c>
      <c r="AP115" s="124">
        <f t="shared" si="89"/>
        <v>0</v>
      </c>
      <c r="AQ115" s="124">
        <f t="shared" si="90"/>
        <v>0</v>
      </c>
      <c r="AR115" s="124">
        <f t="shared" si="91"/>
        <v>0</v>
      </c>
      <c r="AS115" s="124">
        <f t="shared" si="92"/>
        <v>0</v>
      </c>
      <c r="AT115" s="124">
        <f t="shared" si="93"/>
        <v>0</v>
      </c>
      <c r="AU115" s="124">
        <f t="shared" si="94"/>
        <v>0</v>
      </c>
      <c r="AV115" s="124">
        <f t="shared" si="95"/>
        <v>0</v>
      </c>
      <c r="AW115" s="124">
        <f t="shared" si="96"/>
        <v>0</v>
      </c>
      <c r="AX115" s="124">
        <f t="shared" si="97"/>
        <v>0</v>
      </c>
      <c r="AY115" s="124">
        <f t="shared" si="98"/>
        <v>0</v>
      </c>
      <c r="AZ115" s="124">
        <f t="shared" si="99"/>
        <v>0</v>
      </c>
      <c r="BA115" s="124">
        <f t="shared" si="100"/>
        <v>0</v>
      </c>
      <c r="BB115" s="124">
        <f t="shared" si="101"/>
        <v>0</v>
      </c>
      <c r="BC115" s="124">
        <f t="shared" si="102"/>
        <v>0</v>
      </c>
      <c r="BD115" s="124">
        <f t="shared" si="103"/>
        <v>0</v>
      </c>
      <c r="BE115" s="124">
        <f t="shared" si="104"/>
        <v>0</v>
      </c>
      <c r="BF115" s="124">
        <f t="shared" si="105"/>
        <v>0</v>
      </c>
      <c r="BG115" s="124">
        <f t="shared" si="106"/>
        <v>0</v>
      </c>
      <c r="BH115" s="124">
        <f t="shared" si="107"/>
        <v>0</v>
      </c>
      <c r="BJ115" s="121">
        <f t="shared" si="108"/>
        <v>0</v>
      </c>
      <c r="BK115" s="122" t="b">
        <f t="shared" si="109"/>
        <v>1</v>
      </c>
      <c r="BL115" s="121">
        <f t="shared" si="110"/>
        <v>0</v>
      </c>
    </row>
    <row r="116" spans="1:64" ht="12.75" customHeight="1">
      <c r="A116" s="88">
        <v>113</v>
      </c>
      <c r="B116" s="88"/>
      <c r="C116" s="75"/>
      <c r="D116" s="89"/>
      <c r="E116" s="90"/>
      <c r="F116" s="91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4">
        <f t="shared" si="84"/>
        <v>0</v>
      </c>
      <c r="AD116" s="95">
        <v>1</v>
      </c>
      <c r="AE116" s="94">
        <f t="shared" si="2"/>
        <v>0</v>
      </c>
      <c r="AF116" s="96">
        <f t="shared" si="85"/>
        <v>0</v>
      </c>
      <c r="AG116" s="97">
        <v>0</v>
      </c>
      <c r="AH116" s="97">
        <v>0.05</v>
      </c>
      <c r="AI116" s="98">
        <f t="shared" si="4"/>
        <v>0</v>
      </c>
      <c r="AJ116" s="75"/>
      <c r="AM116" s="124">
        <f t="shared" si="86"/>
        <v>0</v>
      </c>
      <c r="AN116" s="124">
        <f t="shared" si="87"/>
        <v>0</v>
      </c>
      <c r="AO116" s="124">
        <f t="shared" si="88"/>
        <v>0</v>
      </c>
      <c r="AP116" s="124">
        <f t="shared" si="89"/>
        <v>0</v>
      </c>
      <c r="AQ116" s="124">
        <f t="shared" si="90"/>
        <v>0</v>
      </c>
      <c r="AR116" s="124">
        <f t="shared" si="91"/>
        <v>0</v>
      </c>
      <c r="AS116" s="124">
        <f t="shared" si="92"/>
        <v>0</v>
      </c>
      <c r="AT116" s="124">
        <f t="shared" si="93"/>
        <v>0</v>
      </c>
      <c r="AU116" s="124">
        <f t="shared" si="94"/>
        <v>0</v>
      </c>
      <c r="AV116" s="124">
        <f t="shared" si="95"/>
        <v>0</v>
      </c>
      <c r="AW116" s="124">
        <f t="shared" si="96"/>
        <v>0</v>
      </c>
      <c r="AX116" s="124">
        <f t="shared" si="97"/>
        <v>0</v>
      </c>
      <c r="AY116" s="124">
        <f t="shared" si="98"/>
        <v>0</v>
      </c>
      <c r="AZ116" s="124">
        <f t="shared" si="99"/>
        <v>0</v>
      </c>
      <c r="BA116" s="124">
        <f t="shared" si="100"/>
        <v>0</v>
      </c>
      <c r="BB116" s="124">
        <f t="shared" si="101"/>
        <v>0</v>
      </c>
      <c r="BC116" s="124">
        <f t="shared" si="102"/>
        <v>0</v>
      </c>
      <c r="BD116" s="124">
        <f t="shared" si="103"/>
        <v>0</v>
      </c>
      <c r="BE116" s="124">
        <f t="shared" si="104"/>
        <v>0</v>
      </c>
      <c r="BF116" s="124">
        <f t="shared" si="105"/>
        <v>0</v>
      </c>
      <c r="BG116" s="124">
        <f t="shared" si="106"/>
        <v>0</v>
      </c>
      <c r="BH116" s="124">
        <f t="shared" si="107"/>
        <v>0</v>
      </c>
      <c r="BJ116" s="121">
        <f t="shared" si="108"/>
        <v>0</v>
      </c>
      <c r="BK116" s="122" t="b">
        <f t="shared" si="109"/>
        <v>1</v>
      </c>
      <c r="BL116" s="121">
        <f t="shared" si="110"/>
        <v>0</v>
      </c>
    </row>
    <row r="117" spans="1:64" ht="12.75" customHeight="1">
      <c r="A117" s="88">
        <v>114</v>
      </c>
      <c r="B117" s="88"/>
      <c r="C117" s="75"/>
      <c r="D117" s="89"/>
      <c r="E117" s="90"/>
      <c r="F117" s="91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4">
        <f t="shared" si="84"/>
        <v>0</v>
      </c>
      <c r="AD117" s="95">
        <v>1</v>
      </c>
      <c r="AE117" s="94">
        <f t="shared" si="2"/>
        <v>0</v>
      </c>
      <c r="AF117" s="96">
        <f t="shared" si="85"/>
        <v>0</v>
      </c>
      <c r="AG117" s="97">
        <v>0</v>
      </c>
      <c r="AH117" s="97">
        <v>0.05</v>
      </c>
      <c r="AI117" s="98">
        <f t="shared" ref="AI117:AI139" si="111">((AF117*(1+AG117))*(1+AH117))*AE117</f>
        <v>0</v>
      </c>
      <c r="AJ117" s="75"/>
      <c r="AM117" s="124">
        <f t="shared" si="86"/>
        <v>0</v>
      </c>
      <c r="AN117" s="124">
        <f t="shared" si="87"/>
        <v>0</v>
      </c>
      <c r="AO117" s="124">
        <f t="shared" si="88"/>
        <v>0</v>
      </c>
      <c r="AP117" s="124">
        <f t="shared" si="89"/>
        <v>0</v>
      </c>
      <c r="AQ117" s="124">
        <f t="shared" si="90"/>
        <v>0</v>
      </c>
      <c r="AR117" s="124">
        <f t="shared" si="91"/>
        <v>0</v>
      </c>
      <c r="AS117" s="124">
        <f t="shared" si="92"/>
        <v>0</v>
      </c>
      <c r="AT117" s="124">
        <f t="shared" si="93"/>
        <v>0</v>
      </c>
      <c r="AU117" s="124">
        <f t="shared" si="94"/>
        <v>0</v>
      </c>
      <c r="AV117" s="124">
        <f t="shared" si="95"/>
        <v>0</v>
      </c>
      <c r="AW117" s="124">
        <f t="shared" si="96"/>
        <v>0</v>
      </c>
      <c r="AX117" s="124">
        <f t="shared" si="97"/>
        <v>0</v>
      </c>
      <c r="AY117" s="124">
        <f t="shared" si="98"/>
        <v>0</v>
      </c>
      <c r="AZ117" s="124">
        <f t="shared" si="99"/>
        <v>0</v>
      </c>
      <c r="BA117" s="124">
        <f t="shared" si="100"/>
        <v>0</v>
      </c>
      <c r="BB117" s="124">
        <f t="shared" si="101"/>
        <v>0</v>
      </c>
      <c r="BC117" s="124">
        <f t="shared" si="102"/>
        <v>0</v>
      </c>
      <c r="BD117" s="124">
        <f t="shared" si="103"/>
        <v>0</v>
      </c>
      <c r="BE117" s="124">
        <f t="shared" si="104"/>
        <v>0</v>
      </c>
      <c r="BF117" s="124">
        <f t="shared" si="105"/>
        <v>0</v>
      </c>
      <c r="BG117" s="124">
        <f t="shared" si="106"/>
        <v>0</v>
      </c>
      <c r="BH117" s="124">
        <f t="shared" si="107"/>
        <v>0</v>
      </c>
      <c r="BJ117" s="121">
        <f t="shared" si="108"/>
        <v>0</v>
      </c>
      <c r="BK117" s="122" t="b">
        <f t="shared" si="109"/>
        <v>1</v>
      </c>
      <c r="BL117" s="121">
        <f t="shared" si="110"/>
        <v>0</v>
      </c>
    </row>
    <row r="118" spans="1:64" ht="12.75" customHeight="1">
      <c r="A118" s="88">
        <v>115</v>
      </c>
      <c r="B118" s="88"/>
      <c r="C118" s="75"/>
      <c r="D118" s="89"/>
      <c r="E118" s="90"/>
      <c r="F118" s="91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4">
        <f t="shared" si="84"/>
        <v>0</v>
      </c>
      <c r="AD118" s="95">
        <v>1</v>
      </c>
      <c r="AE118" s="94">
        <f t="shared" si="2"/>
        <v>0</v>
      </c>
      <c r="AF118" s="96">
        <f t="shared" si="85"/>
        <v>0</v>
      </c>
      <c r="AG118" s="97">
        <v>0</v>
      </c>
      <c r="AH118" s="97">
        <v>0.05</v>
      </c>
      <c r="AI118" s="98">
        <f t="shared" si="111"/>
        <v>0</v>
      </c>
      <c r="AJ118" s="75"/>
      <c r="AM118" s="124">
        <f t="shared" si="86"/>
        <v>0</v>
      </c>
      <c r="AN118" s="124">
        <f t="shared" si="87"/>
        <v>0</v>
      </c>
      <c r="AO118" s="124">
        <f t="shared" si="88"/>
        <v>0</v>
      </c>
      <c r="AP118" s="124">
        <f t="shared" si="89"/>
        <v>0</v>
      </c>
      <c r="AQ118" s="124">
        <f t="shared" si="90"/>
        <v>0</v>
      </c>
      <c r="AR118" s="124">
        <f t="shared" si="91"/>
        <v>0</v>
      </c>
      <c r="AS118" s="124">
        <f t="shared" si="92"/>
        <v>0</v>
      </c>
      <c r="AT118" s="124">
        <f t="shared" si="93"/>
        <v>0</v>
      </c>
      <c r="AU118" s="124">
        <f t="shared" si="94"/>
        <v>0</v>
      </c>
      <c r="AV118" s="124">
        <f t="shared" si="95"/>
        <v>0</v>
      </c>
      <c r="AW118" s="124">
        <f t="shared" si="96"/>
        <v>0</v>
      </c>
      <c r="AX118" s="124">
        <f t="shared" si="97"/>
        <v>0</v>
      </c>
      <c r="AY118" s="124">
        <f t="shared" si="98"/>
        <v>0</v>
      </c>
      <c r="AZ118" s="124">
        <f t="shared" si="99"/>
        <v>0</v>
      </c>
      <c r="BA118" s="124">
        <f t="shared" si="100"/>
        <v>0</v>
      </c>
      <c r="BB118" s="124">
        <f t="shared" si="101"/>
        <v>0</v>
      </c>
      <c r="BC118" s="124">
        <f t="shared" si="102"/>
        <v>0</v>
      </c>
      <c r="BD118" s="124">
        <f t="shared" si="103"/>
        <v>0</v>
      </c>
      <c r="BE118" s="124">
        <f t="shared" si="104"/>
        <v>0</v>
      </c>
      <c r="BF118" s="124">
        <f t="shared" si="105"/>
        <v>0</v>
      </c>
      <c r="BG118" s="124">
        <f t="shared" si="106"/>
        <v>0</v>
      </c>
      <c r="BH118" s="124">
        <f t="shared" si="107"/>
        <v>0</v>
      </c>
      <c r="BJ118" s="121">
        <f t="shared" si="108"/>
        <v>0</v>
      </c>
      <c r="BK118" s="122" t="b">
        <f t="shared" si="109"/>
        <v>1</v>
      </c>
      <c r="BL118" s="121">
        <f t="shared" si="110"/>
        <v>0</v>
      </c>
    </row>
    <row r="119" spans="1:64" ht="12.75" customHeight="1">
      <c r="A119" s="88">
        <v>116</v>
      </c>
      <c r="B119" s="88"/>
      <c r="C119" s="75"/>
      <c r="D119" s="89"/>
      <c r="E119" s="90"/>
      <c r="F119" s="91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4">
        <f t="shared" si="84"/>
        <v>0</v>
      </c>
      <c r="AD119" s="95">
        <v>1</v>
      </c>
      <c r="AE119" s="94">
        <f t="shared" si="2"/>
        <v>0</v>
      </c>
      <c r="AF119" s="96">
        <f t="shared" si="85"/>
        <v>0</v>
      </c>
      <c r="AG119" s="97">
        <v>0</v>
      </c>
      <c r="AH119" s="97">
        <v>0.05</v>
      </c>
      <c r="AI119" s="98">
        <f t="shared" si="111"/>
        <v>0</v>
      </c>
      <c r="AJ119" s="75"/>
      <c r="AM119" s="124">
        <f t="shared" si="86"/>
        <v>0</v>
      </c>
      <c r="AN119" s="124">
        <f t="shared" si="87"/>
        <v>0</v>
      </c>
      <c r="AO119" s="124">
        <f t="shared" si="88"/>
        <v>0</v>
      </c>
      <c r="AP119" s="124">
        <f t="shared" si="89"/>
        <v>0</v>
      </c>
      <c r="AQ119" s="124">
        <f t="shared" si="90"/>
        <v>0</v>
      </c>
      <c r="AR119" s="124">
        <f t="shared" si="91"/>
        <v>0</v>
      </c>
      <c r="AS119" s="124">
        <f t="shared" si="92"/>
        <v>0</v>
      </c>
      <c r="AT119" s="124">
        <f t="shared" si="93"/>
        <v>0</v>
      </c>
      <c r="AU119" s="124">
        <f t="shared" si="94"/>
        <v>0</v>
      </c>
      <c r="AV119" s="124">
        <f t="shared" si="95"/>
        <v>0</v>
      </c>
      <c r="AW119" s="124">
        <f t="shared" si="96"/>
        <v>0</v>
      </c>
      <c r="AX119" s="124">
        <f t="shared" si="97"/>
        <v>0</v>
      </c>
      <c r="AY119" s="124">
        <f t="shared" si="98"/>
        <v>0</v>
      </c>
      <c r="AZ119" s="124">
        <f t="shared" si="99"/>
        <v>0</v>
      </c>
      <c r="BA119" s="124">
        <f t="shared" si="100"/>
        <v>0</v>
      </c>
      <c r="BB119" s="124">
        <f t="shared" si="101"/>
        <v>0</v>
      </c>
      <c r="BC119" s="124">
        <f t="shared" si="102"/>
        <v>0</v>
      </c>
      <c r="BD119" s="124">
        <f t="shared" si="103"/>
        <v>0</v>
      </c>
      <c r="BE119" s="124">
        <f t="shared" si="104"/>
        <v>0</v>
      </c>
      <c r="BF119" s="124">
        <f t="shared" si="105"/>
        <v>0</v>
      </c>
      <c r="BG119" s="124">
        <f t="shared" si="106"/>
        <v>0</v>
      </c>
      <c r="BH119" s="124">
        <f t="shared" si="107"/>
        <v>0</v>
      </c>
      <c r="BJ119" s="121">
        <f t="shared" si="108"/>
        <v>0</v>
      </c>
      <c r="BK119" s="122" t="b">
        <f t="shared" si="109"/>
        <v>1</v>
      </c>
      <c r="BL119" s="121">
        <f t="shared" si="110"/>
        <v>0</v>
      </c>
    </row>
    <row r="120" spans="1:64" ht="12.75" customHeight="1">
      <c r="A120" s="88">
        <v>117</v>
      </c>
      <c r="B120" s="88"/>
      <c r="C120" s="75"/>
      <c r="D120" s="89"/>
      <c r="E120" s="90"/>
      <c r="F120" s="91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4">
        <f t="shared" si="84"/>
        <v>0</v>
      </c>
      <c r="AD120" s="95">
        <v>1</v>
      </c>
      <c r="AE120" s="94">
        <f t="shared" si="2"/>
        <v>0</v>
      </c>
      <c r="AF120" s="96">
        <f t="shared" si="85"/>
        <v>0</v>
      </c>
      <c r="AG120" s="97">
        <v>0</v>
      </c>
      <c r="AH120" s="97">
        <v>0.05</v>
      </c>
      <c r="AI120" s="98">
        <f t="shared" si="111"/>
        <v>0</v>
      </c>
      <c r="AJ120" s="75"/>
      <c r="AM120" s="124">
        <f t="shared" si="86"/>
        <v>0</v>
      </c>
      <c r="AN120" s="124">
        <f t="shared" si="87"/>
        <v>0</v>
      </c>
      <c r="AO120" s="124">
        <f t="shared" si="88"/>
        <v>0</v>
      </c>
      <c r="AP120" s="124">
        <f t="shared" si="89"/>
        <v>0</v>
      </c>
      <c r="AQ120" s="124">
        <f t="shared" si="90"/>
        <v>0</v>
      </c>
      <c r="AR120" s="124">
        <f t="shared" si="91"/>
        <v>0</v>
      </c>
      <c r="AS120" s="124">
        <f t="shared" si="92"/>
        <v>0</v>
      </c>
      <c r="AT120" s="124">
        <f t="shared" si="93"/>
        <v>0</v>
      </c>
      <c r="AU120" s="124">
        <f t="shared" si="94"/>
        <v>0</v>
      </c>
      <c r="AV120" s="124">
        <f t="shared" si="95"/>
        <v>0</v>
      </c>
      <c r="AW120" s="124">
        <f t="shared" si="96"/>
        <v>0</v>
      </c>
      <c r="AX120" s="124">
        <f t="shared" si="97"/>
        <v>0</v>
      </c>
      <c r="AY120" s="124">
        <f t="shared" si="98"/>
        <v>0</v>
      </c>
      <c r="AZ120" s="124">
        <f t="shared" si="99"/>
        <v>0</v>
      </c>
      <c r="BA120" s="124">
        <f t="shared" si="100"/>
        <v>0</v>
      </c>
      <c r="BB120" s="124">
        <f t="shared" si="101"/>
        <v>0</v>
      </c>
      <c r="BC120" s="124">
        <f t="shared" si="102"/>
        <v>0</v>
      </c>
      <c r="BD120" s="124">
        <f t="shared" si="103"/>
        <v>0</v>
      </c>
      <c r="BE120" s="124">
        <f t="shared" si="104"/>
        <v>0</v>
      </c>
      <c r="BF120" s="124">
        <f t="shared" si="105"/>
        <v>0</v>
      </c>
      <c r="BG120" s="124">
        <f t="shared" si="106"/>
        <v>0</v>
      </c>
      <c r="BH120" s="124">
        <f t="shared" si="107"/>
        <v>0</v>
      </c>
      <c r="BJ120" s="121">
        <f t="shared" si="108"/>
        <v>0</v>
      </c>
      <c r="BK120" s="122" t="b">
        <f t="shared" si="109"/>
        <v>1</v>
      </c>
      <c r="BL120" s="121">
        <f t="shared" si="110"/>
        <v>0</v>
      </c>
    </row>
    <row r="121" spans="1:64" ht="12.75" customHeight="1">
      <c r="A121" s="88">
        <v>118</v>
      </c>
      <c r="B121" s="88"/>
      <c r="C121" s="75"/>
      <c r="D121" s="89"/>
      <c r="E121" s="90"/>
      <c r="F121" s="91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4">
        <f t="shared" si="84"/>
        <v>0</v>
      </c>
      <c r="AD121" s="95">
        <v>1</v>
      </c>
      <c r="AE121" s="94">
        <f t="shared" si="2"/>
        <v>0</v>
      </c>
      <c r="AF121" s="96">
        <f t="shared" si="85"/>
        <v>0</v>
      </c>
      <c r="AG121" s="97">
        <v>0</v>
      </c>
      <c r="AH121" s="97">
        <v>0.05</v>
      </c>
      <c r="AI121" s="98">
        <f t="shared" si="111"/>
        <v>0</v>
      </c>
      <c r="AJ121" s="75"/>
      <c r="AM121" s="124">
        <f t="shared" si="86"/>
        <v>0</v>
      </c>
      <c r="AN121" s="124">
        <f t="shared" si="87"/>
        <v>0</v>
      </c>
      <c r="AO121" s="124">
        <f t="shared" si="88"/>
        <v>0</v>
      </c>
      <c r="AP121" s="124">
        <f t="shared" si="89"/>
        <v>0</v>
      </c>
      <c r="AQ121" s="124">
        <f t="shared" si="90"/>
        <v>0</v>
      </c>
      <c r="AR121" s="124">
        <f t="shared" si="91"/>
        <v>0</v>
      </c>
      <c r="AS121" s="124">
        <f t="shared" si="92"/>
        <v>0</v>
      </c>
      <c r="AT121" s="124">
        <f t="shared" si="93"/>
        <v>0</v>
      </c>
      <c r="AU121" s="124">
        <f t="shared" si="94"/>
        <v>0</v>
      </c>
      <c r="AV121" s="124">
        <f t="shared" si="95"/>
        <v>0</v>
      </c>
      <c r="AW121" s="124">
        <f t="shared" si="96"/>
        <v>0</v>
      </c>
      <c r="AX121" s="124">
        <f t="shared" si="97"/>
        <v>0</v>
      </c>
      <c r="AY121" s="124">
        <f t="shared" si="98"/>
        <v>0</v>
      </c>
      <c r="AZ121" s="124">
        <f t="shared" si="99"/>
        <v>0</v>
      </c>
      <c r="BA121" s="124">
        <f t="shared" si="100"/>
        <v>0</v>
      </c>
      <c r="BB121" s="124">
        <f t="shared" si="101"/>
        <v>0</v>
      </c>
      <c r="BC121" s="124">
        <f t="shared" si="102"/>
        <v>0</v>
      </c>
      <c r="BD121" s="124">
        <f t="shared" si="103"/>
        <v>0</v>
      </c>
      <c r="BE121" s="124">
        <f t="shared" si="104"/>
        <v>0</v>
      </c>
      <c r="BF121" s="124">
        <f t="shared" si="105"/>
        <v>0</v>
      </c>
      <c r="BG121" s="124">
        <f t="shared" si="106"/>
        <v>0</v>
      </c>
      <c r="BH121" s="124">
        <f t="shared" si="107"/>
        <v>0</v>
      </c>
      <c r="BJ121" s="121">
        <f t="shared" si="108"/>
        <v>0</v>
      </c>
      <c r="BK121" s="122" t="b">
        <f t="shared" si="109"/>
        <v>1</v>
      </c>
      <c r="BL121" s="121">
        <f t="shared" si="110"/>
        <v>0</v>
      </c>
    </row>
    <row r="122" spans="1:64" ht="12.75" customHeight="1">
      <c r="A122" s="88">
        <v>119</v>
      </c>
      <c r="B122" s="88"/>
      <c r="C122" s="75"/>
      <c r="D122" s="89"/>
      <c r="E122" s="90"/>
      <c r="F122" s="91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4">
        <f t="shared" si="84"/>
        <v>0</v>
      </c>
      <c r="AD122" s="95">
        <v>1</v>
      </c>
      <c r="AE122" s="94">
        <f t="shared" ref="AE122:AE139" si="112">ROUNDUP(AC122*AD122, 0)</f>
        <v>0</v>
      </c>
      <c r="AF122" s="96">
        <f t="shared" si="85"/>
        <v>0</v>
      </c>
      <c r="AG122" s="97">
        <v>0</v>
      </c>
      <c r="AH122" s="97">
        <v>0.05</v>
      </c>
      <c r="AI122" s="98">
        <f t="shared" si="111"/>
        <v>0</v>
      </c>
      <c r="AJ122" s="75"/>
      <c r="AM122" s="124">
        <f t="shared" si="86"/>
        <v>0</v>
      </c>
      <c r="AN122" s="124">
        <f t="shared" si="87"/>
        <v>0</v>
      </c>
      <c r="AO122" s="124">
        <f t="shared" si="88"/>
        <v>0</v>
      </c>
      <c r="AP122" s="124">
        <f t="shared" si="89"/>
        <v>0</v>
      </c>
      <c r="AQ122" s="124">
        <f t="shared" si="90"/>
        <v>0</v>
      </c>
      <c r="AR122" s="124">
        <f t="shared" si="91"/>
        <v>0</v>
      </c>
      <c r="AS122" s="124">
        <f t="shared" si="92"/>
        <v>0</v>
      </c>
      <c r="AT122" s="124">
        <f t="shared" si="93"/>
        <v>0</v>
      </c>
      <c r="AU122" s="124">
        <f t="shared" si="94"/>
        <v>0</v>
      </c>
      <c r="AV122" s="124">
        <f t="shared" si="95"/>
        <v>0</v>
      </c>
      <c r="AW122" s="124">
        <f t="shared" si="96"/>
        <v>0</v>
      </c>
      <c r="AX122" s="124">
        <f t="shared" si="97"/>
        <v>0</v>
      </c>
      <c r="AY122" s="124">
        <f t="shared" si="98"/>
        <v>0</v>
      </c>
      <c r="AZ122" s="124">
        <f t="shared" si="99"/>
        <v>0</v>
      </c>
      <c r="BA122" s="124">
        <f t="shared" si="100"/>
        <v>0</v>
      </c>
      <c r="BB122" s="124">
        <f t="shared" si="101"/>
        <v>0</v>
      </c>
      <c r="BC122" s="124">
        <f t="shared" si="102"/>
        <v>0</v>
      </c>
      <c r="BD122" s="124">
        <f t="shared" si="103"/>
        <v>0</v>
      </c>
      <c r="BE122" s="124">
        <f t="shared" si="104"/>
        <v>0</v>
      </c>
      <c r="BF122" s="124">
        <f t="shared" si="105"/>
        <v>0</v>
      </c>
      <c r="BG122" s="124">
        <f t="shared" si="106"/>
        <v>0</v>
      </c>
      <c r="BH122" s="124">
        <f t="shared" si="107"/>
        <v>0</v>
      </c>
      <c r="BJ122" s="121">
        <f t="shared" si="108"/>
        <v>0</v>
      </c>
      <c r="BK122" s="122" t="b">
        <f t="shared" si="109"/>
        <v>1</v>
      </c>
      <c r="BL122" s="121">
        <f t="shared" si="110"/>
        <v>0</v>
      </c>
    </row>
    <row r="123" spans="1:64" ht="12.75" customHeight="1">
      <c r="A123" s="88">
        <v>120</v>
      </c>
      <c r="B123" s="88"/>
      <c r="C123" s="75"/>
      <c r="D123" s="89"/>
      <c r="E123" s="90"/>
      <c r="F123" s="91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4">
        <f t="shared" si="84"/>
        <v>0</v>
      </c>
      <c r="AD123" s="95">
        <v>1</v>
      </c>
      <c r="AE123" s="94">
        <f t="shared" si="112"/>
        <v>0</v>
      </c>
      <c r="AF123" s="96">
        <f t="shared" si="85"/>
        <v>0</v>
      </c>
      <c r="AG123" s="97">
        <v>0</v>
      </c>
      <c r="AH123" s="97">
        <v>0.05</v>
      </c>
      <c r="AI123" s="98">
        <f t="shared" si="111"/>
        <v>0</v>
      </c>
      <c r="AJ123" s="75"/>
      <c r="AM123" s="124">
        <f t="shared" si="86"/>
        <v>0</v>
      </c>
      <c r="AN123" s="124">
        <f t="shared" si="87"/>
        <v>0</v>
      </c>
      <c r="AO123" s="124">
        <f t="shared" si="88"/>
        <v>0</v>
      </c>
      <c r="AP123" s="124">
        <f t="shared" si="89"/>
        <v>0</v>
      </c>
      <c r="AQ123" s="124">
        <f t="shared" si="90"/>
        <v>0</v>
      </c>
      <c r="AR123" s="124">
        <f t="shared" si="91"/>
        <v>0</v>
      </c>
      <c r="AS123" s="124">
        <f t="shared" si="92"/>
        <v>0</v>
      </c>
      <c r="AT123" s="124">
        <f t="shared" si="93"/>
        <v>0</v>
      </c>
      <c r="AU123" s="124">
        <f t="shared" si="94"/>
        <v>0</v>
      </c>
      <c r="AV123" s="124">
        <f t="shared" si="95"/>
        <v>0</v>
      </c>
      <c r="AW123" s="124">
        <f t="shared" si="96"/>
        <v>0</v>
      </c>
      <c r="AX123" s="124">
        <f t="shared" si="97"/>
        <v>0</v>
      </c>
      <c r="AY123" s="124">
        <f t="shared" si="98"/>
        <v>0</v>
      </c>
      <c r="AZ123" s="124">
        <f t="shared" si="99"/>
        <v>0</v>
      </c>
      <c r="BA123" s="124">
        <f t="shared" si="100"/>
        <v>0</v>
      </c>
      <c r="BB123" s="124">
        <f t="shared" si="101"/>
        <v>0</v>
      </c>
      <c r="BC123" s="124">
        <f t="shared" si="102"/>
        <v>0</v>
      </c>
      <c r="BD123" s="124">
        <f t="shared" si="103"/>
        <v>0</v>
      </c>
      <c r="BE123" s="124">
        <f t="shared" si="104"/>
        <v>0</v>
      </c>
      <c r="BF123" s="124">
        <f t="shared" si="105"/>
        <v>0</v>
      </c>
      <c r="BG123" s="124">
        <f t="shared" si="106"/>
        <v>0</v>
      </c>
      <c r="BH123" s="124">
        <f t="shared" si="107"/>
        <v>0</v>
      </c>
      <c r="BJ123" s="121">
        <f t="shared" si="108"/>
        <v>0</v>
      </c>
      <c r="BK123" s="122" t="b">
        <f t="shared" si="109"/>
        <v>1</v>
      </c>
      <c r="BL123" s="121">
        <f t="shared" si="110"/>
        <v>0</v>
      </c>
    </row>
    <row r="124" spans="1:64" ht="15" customHeight="1">
      <c r="A124" s="88">
        <v>121</v>
      </c>
      <c r="B124" s="88"/>
      <c r="C124" s="75"/>
      <c r="D124" s="89"/>
      <c r="E124" s="90"/>
      <c r="F124" s="91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4">
        <f t="shared" si="84"/>
        <v>0</v>
      </c>
      <c r="AD124" s="95">
        <v>1</v>
      </c>
      <c r="AE124" s="94">
        <f t="shared" si="112"/>
        <v>0</v>
      </c>
      <c r="AF124" s="96">
        <f t="shared" si="85"/>
        <v>0</v>
      </c>
      <c r="AG124" s="97">
        <v>0</v>
      </c>
      <c r="AH124" s="97">
        <v>0.05</v>
      </c>
      <c r="AI124" s="98">
        <f t="shared" si="111"/>
        <v>0</v>
      </c>
      <c r="AJ124" s="75"/>
      <c r="AM124" s="124">
        <f t="shared" si="86"/>
        <v>0</v>
      </c>
      <c r="AN124" s="124">
        <f t="shared" si="87"/>
        <v>0</v>
      </c>
      <c r="AO124" s="124">
        <f t="shared" si="88"/>
        <v>0</v>
      </c>
      <c r="AP124" s="124">
        <f t="shared" si="89"/>
        <v>0</v>
      </c>
      <c r="AQ124" s="124">
        <f t="shared" si="90"/>
        <v>0</v>
      </c>
      <c r="AR124" s="124">
        <f t="shared" si="91"/>
        <v>0</v>
      </c>
      <c r="AS124" s="124">
        <f t="shared" si="92"/>
        <v>0</v>
      </c>
      <c r="AT124" s="124">
        <f t="shared" si="93"/>
        <v>0</v>
      </c>
      <c r="AU124" s="124">
        <f t="shared" si="94"/>
        <v>0</v>
      </c>
      <c r="AV124" s="124">
        <f t="shared" si="95"/>
        <v>0</v>
      </c>
      <c r="AW124" s="124">
        <f t="shared" si="96"/>
        <v>0</v>
      </c>
      <c r="AX124" s="124">
        <f t="shared" si="97"/>
        <v>0</v>
      </c>
      <c r="AY124" s="124">
        <f t="shared" si="98"/>
        <v>0</v>
      </c>
      <c r="AZ124" s="124">
        <f t="shared" si="99"/>
        <v>0</v>
      </c>
      <c r="BA124" s="124">
        <f t="shared" si="100"/>
        <v>0</v>
      </c>
      <c r="BB124" s="124">
        <f t="shared" si="101"/>
        <v>0</v>
      </c>
      <c r="BC124" s="124">
        <f t="shared" si="102"/>
        <v>0</v>
      </c>
      <c r="BD124" s="124">
        <f t="shared" si="103"/>
        <v>0</v>
      </c>
      <c r="BE124" s="124">
        <f t="shared" si="104"/>
        <v>0</v>
      </c>
      <c r="BF124" s="124">
        <f t="shared" si="105"/>
        <v>0</v>
      </c>
      <c r="BG124" s="124">
        <f t="shared" si="106"/>
        <v>0</v>
      </c>
      <c r="BH124" s="124">
        <f t="shared" si="107"/>
        <v>0</v>
      </c>
      <c r="BJ124" s="121">
        <f t="shared" si="108"/>
        <v>0</v>
      </c>
      <c r="BK124" s="122" t="b">
        <f t="shared" si="109"/>
        <v>1</v>
      </c>
      <c r="BL124" s="121">
        <f t="shared" si="110"/>
        <v>0</v>
      </c>
    </row>
    <row r="125" spans="1:64" ht="12.75" customHeight="1">
      <c r="A125" s="88">
        <v>122</v>
      </c>
      <c r="B125" s="88"/>
      <c r="C125" s="75"/>
      <c r="D125" s="89"/>
      <c r="E125" s="90"/>
      <c r="F125" s="91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4">
        <f t="shared" si="84"/>
        <v>0</v>
      </c>
      <c r="AD125" s="95">
        <v>1</v>
      </c>
      <c r="AE125" s="94">
        <f t="shared" si="112"/>
        <v>0</v>
      </c>
      <c r="AF125" s="96">
        <f t="shared" si="85"/>
        <v>0</v>
      </c>
      <c r="AG125" s="97">
        <v>0</v>
      </c>
      <c r="AH125" s="97">
        <v>0.05</v>
      </c>
      <c r="AI125" s="98">
        <f t="shared" si="111"/>
        <v>0</v>
      </c>
      <c r="AJ125" s="75"/>
      <c r="AM125" s="124">
        <f t="shared" si="86"/>
        <v>0</v>
      </c>
      <c r="AN125" s="124">
        <f t="shared" si="87"/>
        <v>0</v>
      </c>
      <c r="AO125" s="124">
        <f t="shared" si="88"/>
        <v>0</v>
      </c>
      <c r="AP125" s="124">
        <f t="shared" si="89"/>
        <v>0</v>
      </c>
      <c r="AQ125" s="124">
        <f t="shared" si="90"/>
        <v>0</v>
      </c>
      <c r="AR125" s="124">
        <f t="shared" si="91"/>
        <v>0</v>
      </c>
      <c r="AS125" s="124">
        <f t="shared" si="92"/>
        <v>0</v>
      </c>
      <c r="AT125" s="124">
        <f t="shared" si="93"/>
        <v>0</v>
      </c>
      <c r="AU125" s="124">
        <f t="shared" si="94"/>
        <v>0</v>
      </c>
      <c r="AV125" s="124">
        <f t="shared" si="95"/>
        <v>0</v>
      </c>
      <c r="AW125" s="124">
        <f t="shared" si="96"/>
        <v>0</v>
      </c>
      <c r="AX125" s="124">
        <f t="shared" si="97"/>
        <v>0</v>
      </c>
      <c r="AY125" s="124">
        <f t="shared" si="98"/>
        <v>0</v>
      </c>
      <c r="AZ125" s="124">
        <f t="shared" si="99"/>
        <v>0</v>
      </c>
      <c r="BA125" s="124">
        <f t="shared" si="100"/>
        <v>0</v>
      </c>
      <c r="BB125" s="124">
        <f t="shared" si="101"/>
        <v>0</v>
      </c>
      <c r="BC125" s="124">
        <f t="shared" si="102"/>
        <v>0</v>
      </c>
      <c r="BD125" s="124">
        <f t="shared" si="103"/>
        <v>0</v>
      </c>
      <c r="BE125" s="124">
        <f t="shared" si="104"/>
        <v>0</v>
      </c>
      <c r="BF125" s="124">
        <f t="shared" si="105"/>
        <v>0</v>
      </c>
      <c r="BG125" s="124">
        <f t="shared" si="106"/>
        <v>0</v>
      </c>
      <c r="BH125" s="124">
        <f t="shared" si="107"/>
        <v>0</v>
      </c>
      <c r="BJ125" s="121">
        <f t="shared" si="108"/>
        <v>0</v>
      </c>
      <c r="BK125" s="122" t="b">
        <f t="shared" si="109"/>
        <v>1</v>
      </c>
      <c r="BL125" s="121">
        <f t="shared" si="110"/>
        <v>0</v>
      </c>
    </row>
    <row r="126" spans="1:64" ht="12.75" customHeight="1">
      <c r="A126" s="88">
        <v>123</v>
      </c>
      <c r="B126" s="88"/>
      <c r="C126" s="75"/>
      <c r="D126" s="89"/>
      <c r="E126" s="90"/>
      <c r="F126" s="91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4">
        <f t="shared" si="84"/>
        <v>0</v>
      </c>
      <c r="AD126" s="95">
        <v>1</v>
      </c>
      <c r="AE126" s="94">
        <f t="shared" si="112"/>
        <v>0</v>
      </c>
      <c r="AF126" s="96">
        <f t="shared" si="85"/>
        <v>0</v>
      </c>
      <c r="AG126" s="97">
        <v>0</v>
      </c>
      <c r="AH126" s="97">
        <v>0.05</v>
      </c>
      <c r="AI126" s="98">
        <f t="shared" si="111"/>
        <v>0</v>
      </c>
      <c r="AJ126" s="75"/>
      <c r="AM126" s="124">
        <f t="shared" si="86"/>
        <v>0</v>
      </c>
      <c r="AN126" s="124">
        <f t="shared" si="87"/>
        <v>0</v>
      </c>
      <c r="AO126" s="124">
        <f t="shared" si="88"/>
        <v>0</v>
      </c>
      <c r="AP126" s="124">
        <f t="shared" si="89"/>
        <v>0</v>
      </c>
      <c r="AQ126" s="124">
        <f t="shared" si="90"/>
        <v>0</v>
      </c>
      <c r="AR126" s="124">
        <f t="shared" si="91"/>
        <v>0</v>
      </c>
      <c r="AS126" s="124">
        <f t="shared" si="92"/>
        <v>0</v>
      </c>
      <c r="AT126" s="124">
        <f t="shared" si="93"/>
        <v>0</v>
      </c>
      <c r="AU126" s="124">
        <f t="shared" si="94"/>
        <v>0</v>
      </c>
      <c r="AV126" s="124">
        <f t="shared" si="95"/>
        <v>0</v>
      </c>
      <c r="AW126" s="124">
        <f t="shared" si="96"/>
        <v>0</v>
      </c>
      <c r="AX126" s="124">
        <f t="shared" si="97"/>
        <v>0</v>
      </c>
      <c r="AY126" s="124">
        <f t="shared" si="98"/>
        <v>0</v>
      </c>
      <c r="AZ126" s="124">
        <f t="shared" si="99"/>
        <v>0</v>
      </c>
      <c r="BA126" s="124">
        <f t="shared" si="100"/>
        <v>0</v>
      </c>
      <c r="BB126" s="124">
        <f t="shared" si="101"/>
        <v>0</v>
      </c>
      <c r="BC126" s="124">
        <f t="shared" si="102"/>
        <v>0</v>
      </c>
      <c r="BD126" s="124">
        <f t="shared" si="103"/>
        <v>0</v>
      </c>
      <c r="BE126" s="124">
        <f t="shared" si="104"/>
        <v>0</v>
      </c>
      <c r="BF126" s="124">
        <f t="shared" si="105"/>
        <v>0</v>
      </c>
      <c r="BG126" s="124">
        <f t="shared" si="106"/>
        <v>0</v>
      </c>
      <c r="BH126" s="124">
        <f t="shared" si="107"/>
        <v>0</v>
      </c>
      <c r="BJ126" s="121">
        <f t="shared" si="108"/>
        <v>0</v>
      </c>
      <c r="BK126" s="122" t="b">
        <f t="shared" si="109"/>
        <v>1</v>
      </c>
      <c r="BL126" s="121">
        <f t="shared" si="110"/>
        <v>0</v>
      </c>
    </row>
    <row r="127" spans="1:64" ht="12.75" customHeight="1">
      <c r="A127" s="88">
        <v>124</v>
      </c>
      <c r="B127" s="88"/>
      <c r="C127" s="75"/>
      <c r="D127" s="89"/>
      <c r="E127" s="90"/>
      <c r="F127" s="91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4">
        <f t="shared" si="84"/>
        <v>0</v>
      </c>
      <c r="AD127" s="95">
        <v>1</v>
      </c>
      <c r="AE127" s="94">
        <f t="shared" si="112"/>
        <v>0</v>
      </c>
      <c r="AF127" s="96">
        <f t="shared" si="85"/>
        <v>0</v>
      </c>
      <c r="AG127" s="97">
        <v>0</v>
      </c>
      <c r="AH127" s="97">
        <v>0.05</v>
      </c>
      <c r="AI127" s="98">
        <f t="shared" si="111"/>
        <v>0</v>
      </c>
      <c r="AJ127" s="75"/>
      <c r="AM127" s="124">
        <f t="shared" si="86"/>
        <v>0</v>
      </c>
      <c r="AN127" s="124">
        <f t="shared" si="87"/>
        <v>0</v>
      </c>
      <c r="AO127" s="124">
        <f t="shared" si="88"/>
        <v>0</v>
      </c>
      <c r="AP127" s="124">
        <f t="shared" si="89"/>
        <v>0</v>
      </c>
      <c r="AQ127" s="124">
        <f t="shared" si="90"/>
        <v>0</v>
      </c>
      <c r="AR127" s="124">
        <f t="shared" si="91"/>
        <v>0</v>
      </c>
      <c r="AS127" s="124">
        <f t="shared" si="92"/>
        <v>0</v>
      </c>
      <c r="AT127" s="124">
        <f t="shared" si="93"/>
        <v>0</v>
      </c>
      <c r="AU127" s="124">
        <f t="shared" si="94"/>
        <v>0</v>
      </c>
      <c r="AV127" s="124">
        <f t="shared" si="95"/>
        <v>0</v>
      </c>
      <c r="AW127" s="124">
        <f t="shared" si="96"/>
        <v>0</v>
      </c>
      <c r="AX127" s="124">
        <f t="shared" si="97"/>
        <v>0</v>
      </c>
      <c r="AY127" s="124">
        <f t="shared" si="98"/>
        <v>0</v>
      </c>
      <c r="AZ127" s="124">
        <f t="shared" si="99"/>
        <v>0</v>
      </c>
      <c r="BA127" s="124">
        <f t="shared" si="100"/>
        <v>0</v>
      </c>
      <c r="BB127" s="124">
        <f t="shared" si="101"/>
        <v>0</v>
      </c>
      <c r="BC127" s="124">
        <f t="shared" si="102"/>
        <v>0</v>
      </c>
      <c r="BD127" s="124">
        <f t="shared" si="103"/>
        <v>0</v>
      </c>
      <c r="BE127" s="124">
        <f t="shared" si="104"/>
        <v>0</v>
      </c>
      <c r="BF127" s="124">
        <f t="shared" si="105"/>
        <v>0</v>
      </c>
      <c r="BG127" s="124">
        <f t="shared" si="106"/>
        <v>0</v>
      </c>
      <c r="BH127" s="124">
        <f t="shared" si="107"/>
        <v>0</v>
      </c>
      <c r="BJ127" s="121">
        <f t="shared" si="108"/>
        <v>0</v>
      </c>
      <c r="BK127" s="122" t="b">
        <f t="shared" si="109"/>
        <v>1</v>
      </c>
      <c r="BL127" s="121">
        <f t="shared" si="110"/>
        <v>0</v>
      </c>
    </row>
    <row r="128" spans="1:64" ht="12.75" customHeight="1">
      <c r="A128" s="88">
        <v>125</v>
      </c>
      <c r="B128" s="88"/>
      <c r="C128" s="75"/>
      <c r="D128" s="89"/>
      <c r="E128" s="90"/>
      <c r="F128" s="91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4">
        <f t="shared" si="84"/>
        <v>0</v>
      </c>
      <c r="AD128" s="95">
        <v>1</v>
      </c>
      <c r="AE128" s="94">
        <f t="shared" si="112"/>
        <v>0</v>
      </c>
      <c r="AF128" s="96">
        <f t="shared" si="85"/>
        <v>0</v>
      </c>
      <c r="AG128" s="97">
        <v>0</v>
      </c>
      <c r="AH128" s="97">
        <v>0.05</v>
      </c>
      <c r="AI128" s="98">
        <f t="shared" si="111"/>
        <v>0</v>
      </c>
      <c r="AJ128" s="75"/>
      <c r="AM128" s="124">
        <f t="shared" si="86"/>
        <v>0</v>
      </c>
      <c r="AN128" s="124">
        <f t="shared" si="87"/>
        <v>0</v>
      </c>
      <c r="AO128" s="124">
        <f t="shared" si="88"/>
        <v>0</v>
      </c>
      <c r="AP128" s="124">
        <f t="shared" si="89"/>
        <v>0</v>
      </c>
      <c r="AQ128" s="124">
        <f t="shared" si="90"/>
        <v>0</v>
      </c>
      <c r="AR128" s="124">
        <f t="shared" si="91"/>
        <v>0</v>
      </c>
      <c r="AS128" s="124">
        <f t="shared" si="92"/>
        <v>0</v>
      </c>
      <c r="AT128" s="124">
        <f t="shared" si="93"/>
        <v>0</v>
      </c>
      <c r="AU128" s="124">
        <f t="shared" si="94"/>
        <v>0</v>
      </c>
      <c r="AV128" s="124">
        <f t="shared" si="95"/>
        <v>0</v>
      </c>
      <c r="AW128" s="124">
        <f t="shared" si="96"/>
        <v>0</v>
      </c>
      <c r="AX128" s="124">
        <f t="shared" si="97"/>
        <v>0</v>
      </c>
      <c r="AY128" s="124">
        <f t="shared" si="98"/>
        <v>0</v>
      </c>
      <c r="AZ128" s="124">
        <f t="shared" si="99"/>
        <v>0</v>
      </c>
      <c r="BA128" s="124">
        <f t="shared" si="100"/>
        <v>0</v>
      </c>
      <c r="BB128" s="124">
        <f t="shared" si="101"/>
        <v>0</v>
      </c>
      <c r="BC128" s="124">
        <f t="shared" si="102"/>
        <v>0</v>
      </c>
      <c r="BD128" s="124">
        <f t="shared" si="103"/>
        <v>0</v>
      </c>
      <c r="BE128" s="124">
        <f t="shared" si="104"/>
        <v>0</v>
      </c>
      <c r="BF128" s="124">
        <f t="shared" si="105"/>
        <v>0</v>
      </c>
      <c r="BG128" s="124">
        <f t="shared" si="106"/>
        <v>0</v>
      </c>
      <c r="BH128" s="124">
        <f t="shared" si="107"/>
        <v>0</v>
      </c>
      <c r="BJ128" s="121">
        <f t="shared" si="108"/>
        <v>0</v>
      </c>
      <c r="BK128" s="122" t="b">
        <f t="shared" si="109"/>
        <v>1</v>
      </c>
      <c r="BL128" s="121">
        <f t="shared" si="110"/>
        <v>0</v>
      </c>
    </row>
    <row r="129" spans="1:64">
      <c r="A129" s="88">
        <v>126</v>
      </c>
      <c r="B129" s="88"/>
      <c r="C129" s="75"/>
      <c r="D129" s="89"/>
      <c r="E129" s="90"/>
      <c r="F129" s="91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4">
        <f t="shared" si="84"/>
        <v>0</v>
      </c>
      <c r="AD129" s="95">
        <v>1</v>
      </c>
      <c r="AE129" s="94">
        <f t="shared" si="112"/>
        <v>0</v>
      </c>
      <c r="AF129" s="96">
        <f t="shared" si="85"/>
        <v>0</v>
      </c>
      <c r="AG129" s="97">
        <v>0</v>
      </c>
      <c r="AH129" s="97">
        <v>0.05</v>
      </c>
      <c r="AI129" s="98">
        <f t="shared" si="111"/>
        <v>0</v>
      </c>
      <c r="AJ129" s="75"/>
      <c r="AM129" s="124">
        <f t="shared" si="86"/>
        <v>0</v>
      </c>
      <c r="AN129" s="124">
        <f t="shared" si="87"/>
        <v>0</v>
      </c>
      <c r="AO129" s="124">
        <f t="shared" si="88"/>
        <v>0</v>
      </c>
      <c r="AP129" s="124">
        <f t="shared" si="89"/>
        <v>0</v>
      </c>
      <c r="AQ129" s="124">
        <f t="shared" si="90"/>
        <v>0</v>
      </c>
      <c r="AR129" s="124">
        <f t="shared" si="91"/>
        <v>0</v>
      </c>
      <c r="AS129" s="124">
        <f t="shared" si="92"/>
        <v>0</v>
      </c>
      <c r="AT129" s="124">
        <f t="shared" si="93"/>
        <v>0</v>
      </c>
      <c r="AU129" s="124">
        <f t="shared" si="94"/>
        <v>0</v>
      </c>
      <c r="AV129" s="124">
        <f t="shared" si="95"/>
        <v>0</v>
      </c>
      <c r="AW129" s="124">
        <f t="shared" si="96"/>
        <v>0</v>
      </c>
      <c r="AX129" s="124">
        <f t="shared" si="97"/>
        <v>0</v>
      </c>
      <c r="AY129" s="124">
        <f t="shared" si="98"/>
        <v>0</v>
      </c>
      <c r="AZ129" s="124">
        <f t="shared" si="99"/>
        <v>0</v>
      </c>
      <c r="BA129" s="124">
        <f t="shared" si="100"/>
        <v>0</v>
      </c>
      <c r="BB129" s="124">
        <f t="shared" si="101"/>
        <v>0</v>
      </c>
      <c r="BC129" s="124">
        <f t="shared" si="102"/>
        <v>0</v>
      </c>
      <c r="BD129" s="124">
        <f t="shared" si="103"/>
        <v>0</v>
      </c>
      <c r="BE129" s="124">
        <f t="shared" si="104"/>
        <v>0</v>
      </c>
      <c r="BF129" s="124">
        <f t="shared" si="105"/>
        <v>0</v>
      </c>
      <c r="BG129" s="124">
        <f t="shared" si="106"/>
        <v>0</v>
      </c>
      <c r="BH129" s="124">
        <f t="shared" si="107"/>
        <v>0</v>
      </c>
      <c r="BJ129" s="121">
        <f t="shared" si="108"/>
        <v>0</v>
      </c>
      <c r="BK129" s="122" t="b">
        <f t="shared" si="109"/>
        <v>1</v>
      </c>
      <c r="BL129" s="121">
        <f t="shared" si="110"/>
        <v>0</v>
      </c>
    </row>
    <row r="130" spans="1:64">
      <c r="A130" s="88">
        <v>127</v>
      </c>
      <c r="B130" s="88"/>
      <c r="C130" s="75"/>
      <c r="D130" s="89"/>
      <c r="E130" s="90"/>
      <c r="F130" s="91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4">
        <f t="shared" si="84"/>
        <v>0</v>
      </c>
      <c r="AD130" s="95">
        <v>1</v>
      </c>
      <c r="AE130" s="94">
        <f t="shared" si="112"/>
        <v>0</v>
      </c>
      <c r="AF130" s="96">
        <f t="shared" si="85"/>
        <v>0</v>
      </c>
      <c r="AG130" s="97">
        <v>0</v>
      </c>
      <c r="AH130" s="97">
        <v>0.05</v>
      </c>
      <c r="AI130" s="98">
        <f t="shared" si="111"/>
        <v>0</v>
      </c>
      <c r="AJ130" s="75"/>
      <c r="AM130" s="124">
        <f t="shared" si="86"/>
        <v>0</v>
      </c>
      <c r="AN130" s="124">
        <f t="shared" si="87"/>
        <v>0</v>
      </c>
      <c r="AO130" s="124">
        <f t="shared" si="88"/>
        <v>0</v>
      </c>
      <c r="AP130" s="124">
        <f t="shared" si="89"/>
        <v>0</v>
      </c>
      <c r="AQ130" s="124">
        <f t="shared" si="90"/>
        <v>0</v>
      </c>
      <c r="AR130" s="124">
        <f t="shared" si="91"/>
        <v>0</v>
      </c>
      <c r="AS130" s="124">
        <f t="shared" si="92"/>
        <v>0</v>
      </c>
      <c r="AT130" s="124">
        <f t="shared" si="93"/>
        <v>0</v>
      </c>
      <c r="AU130" s="124">
        <f t="shared" si="94"/>
        <v>0</v>
      </c>
      <c r="AV130" s="124">
        <f t="shared" si="95"/>
        <v>0</v>
      </c>
      <c r="AW130" s="124">
        <f t="shared" si="96"/>
        <v>0</v>
      </c>
      <c r="AX130" s="124">
        <f t="shared" si="97"/>
        <v>0</v>
      </c>
      <c r="AY130" s="124">
        <f t="shared" si="98"/>
        <v>0</v>
      </c>
      <c r="AZ130" s="124">
        <f t="shared" si="99"/>
        <v>0</v>
      </c>
      <c r="BA130" s="124">
        <f t="shared" si="100"/>
        <v>0</v>
      </c>
      <c r="BB130" s="124">
        <f t="shared" si="101"/>
        <v>0</v>
      </c>
      <c r="BC130" s="124">
        <f t="shared" si="102"/>
        <v>0</v>
      </c>
      <c r="BD130" s="124">
        <f t="shared" si="103"/>
        <v>0</v>
      </c>
      <c r="BE130" s="124">
        <f t="shared" si="104"/>
        <v>0</v>
      </c>
      <c r="BF130" s="124">
        <f t="shared" si="105"/>
        <v>0</v>
      </c>
      <c r="BG130" s="124">
        <f t="shared" si="106"/>
        <v>0</v>
      </c>
      <c r="BH130" s="124">
        <f t="shared" si="107"/>
        <v>0</v>
      </c>
      <c r="BJ130" s="121">
        <f t="shared" si="108"/>
        <v>0</v>
      </c>
      <c r="BK130" s="122" t="b">
        <f t="shared" si="109"/>
        <v>1</v>
      </c>
      <c r="BL130" s="121">
        <f t="shared" si="110"/>
        <v>0</v>
      </c>
    </row>
    <row r="131" spans="1:64">
      <c r="A131" s="88">
        <v>128</v>
      </c>
      <c r="B131" s="88"/>
      <c r="C131" s="75"/>
      <c r="D131" s="89"/>
      <c r="E131" s="90"/>
      <c r="F131" s="91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4">
        <f t="shared" si="84"/>
        <v>0</v>
      </c>
      <c r="AD131" s="95">
        <v>1</v>
      </c>
      <c r="AE131" s="94">
        <f t="shared" si="112"/>
        <v>0</v>
      </c>
      <c r="AF131" s="96">
        <f t="shared" si="85"/>
        <v>0</v>
      </c>
      <c r="AG131" s="97">
        <v>0</v>
      </c>
      <c r="AH131" s="97">
        <v>0.05</v>
      </c>
      <c r="AI131" s="98">
        <f t="shared" si="111"/>
        <v>0</v>
      </c>
      <c r="AJ131" s="75"/>
      <c r="AM131" s="124">
        <f t="shared" si="86"/>
        <v>0</v>
      </c>
      <c r="AN131" s="124">
        <f t="shared" si="87"/>
        <v>0</v>
      </c>
      <c r="AO131" s="124">
        <f t="shared" si="88"/>
        <v>0</v>
      </c>
      <c r="AP131" s="124">
        <f t="shared" si="89"/>
        <v>0</v>
      </c>
      <c r="AQ131" s="124">
        <f t="shared" si="90"/>
        <v>0</v>
      </c>
      <c r="AR131" s="124">
        <f t="shared" si="91"/>
        <v>0</v>
      </c>
      <c r="AS131" s="124">
        <f t="shared" si="92"/>
        <v>0</v>
      </c>
      <c r="AT131" s="124">
        <f t="shared" si="93"/>
        <v>0</v>
      </c>
      <c r="AU131" s="124">
        <f t="shared" si="94"/>
        <v>0</v>
      </c>
      <c r="AV131" s="124">
        <f t="shared" si="95"/>
        <v>0</v>
      </c>
      <c r="AW131" s="124">
        <f t="shared" si="96"/>
        <v>0</v>
      </c>
      <c r="AX131" s="124">
        <f t="shared" si="97"/>
        <v>0</v>
      </c>
      <c r="AY131" s="124">
        <f t="shared" si="98"/>
        <v>0</v>
      </c>
      <c r="AZ131" s="124">
        <f t="shared" si="99"/>
        <v>0</v>
      </c>
      <c r="BA131" s="124">
        <f t="shared" si="100"/>
        <v>0</v>
      </c>
      <c r="BB131" s="124">
        <f t="shared" si="101"/>
        <v>0</v>
      </c>
      <c r="BC131" s="124">
        <f t="shared" si="102"/>
        <v>0</v>
      </c>
      <c r="BD131" s="124">
        <f t="shared" si="103"/>
        <v>0</v>
      </c>
      <c r="BE131" s="124">
        <f t="shared" si="104"/>
        <v>0</v>
      </c>
      <c r="BF131" s="124">
        <f t="shared" si="105"/>
        <v>0</v>
      </c>
      <c r="BG131" s="124">
        <f t="shared" si="106"/>
        <v>0</v>
      </c>
      <c r="BH131" s="124">
        <f t="shared" si="107"/>
        <v>0</v>
      </c>
      <c r="BJ131" s="121">
        <f t="shared" si="108"/>
        <v>0</v>
      </c>
      <c r="BK131" s="122" t="b">
        <f t="shared" si="109"/>
        <v>1</v>
      </c>
      <c r="BL131" s="121">
        <f t="shared" si="110"/>
        <v>0</v>
      </c>
    </row>
    <row r="132" spans="1:64">
      <c r="A132" s="88">
        <v>129</v>
      </c>
      <c r="B132" s="88"/>
      <c r="C132" s="75"/>
      <c r="D132" s="89"/>
      <c r="E132" s="90"/>
      <c r="F132" s="91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4">
        <f t="shared" ref="AC132:AC139" si="113">SUM(G132:AB132)</f>
        <v>0</v>
      </c>
      <c r="AD132" s="95">
        <v>1</v>
      </c>
      <c r="AE132" s="94">
        <f t="shared" si="112"/>
        <v>0</v>
      </c>
      <c r="AF132" s="96">
        <f t="shared" ref="AF132:AF139" si="114">F132</f>
        <v>0</v>
      </c>
      <c r="AG132" s="97">
        <v>0</v>
      </c>
      <c r="AH132" s="97">
        <v>0.05</v>
      </c>
      <c r="AI132" s="98">
        <f t="shared" si="111"/>
        <v>0</v>
      </c>
      <c r="AJ132" s="75"/>
      <c r="AM132" s="124">
        <f t="shared" ref="AM132:AM139" si="115">(($AF132*(1+$AG132))*(1+$AH132))*G132</f>
        <v>0</v>
      </c>
      <c r="AN132" s="124">
        <f t="shared" ref="AN132:AN139" si="116">(($AF132*(1+$AG132))*(1+$AH132))*H132</f>
        <v>0</v>
      </c>
      <c r="AO132" s="124">
        <f t="shared" ref="AO132:AO139" si="117">(($AF132*(1+$AG132))*(1+$AH132))*I132</f>
        <v>0</v>
      </c>
      <c r="AP132" s="124">
        <f t="shared" ref="AP132:AP139" si="118">(($AF132*(1+$AG132))*(1+$AH132))*J132</f>
        <v>0</v>
      </c>
      <c r="AQ132" s="124">
        <f t="shared" ref="AQ132:AQ139" si="119">(($AF132*(1+$AG132))*(1+$AH132))*K132</f>
        <v>0</v>
      </c>
      <c r="AR132" s="124">
        <f t="shared" ref="AR132:AR139" si="120">(($AF132*(1+$AG132))*(1+$AH132))*L132</f>
        <v>0</v>
      </c>
      <c r="AS132" s="124">
        <f t="shared" ref="AS132:AS139" si="121">(($AF132*(1+$AG132))*(1+$AH132))*M132</f>
        <v>0</v>
      </c>
      <c r="AT132" s="124">
        <f t="shared" ref="AT132:AT139" si="122">(($AF132*(1+$AG132))*(1+$AH132))*N132</f>
        <v>0</v>
      </c>
      <c r="AU132" s="124">
        <f t="shared" ref="AU132:AU139" si="123">(($AF132*(1+$AG132))*(1+$AH132))*O132</f>
        <v>0</v>
      </c>
      <c r="AV132" s="124">
        <f t="shared" ref="AV132:AV139" si="124">(($AF132*(1+$AG132))*(1+$AH132))*P132</f>
        <v>0</v>
      </c>
      <c r="AW132" s="124">
        <f t="shared" ref="AW132:AW139" si="125">(($AF132*(1+$AG132))*(1+$AH132))*Q132</f>
        <v>0</v>
      </c>
      <c r="AX132" s="124">
        <f t="shared" ref="AX132:AX139" si="126">(($AF132*(1+$AG132))*(1+$AH132))*R132</f>
        <v>0</v>
      </c>
      <c r="AY132" s="124">
        <f t="shared" ref="AY132:AY139" si="127">(($AF132*(1+$AG132))*(1+$AH132))*S132</f>
        <v>0</v>
      </c>
      <c r="AZ132" s="124">
        <f t="shared" ref="AZ132:AZ139" si="128">(($AF132*(1+$AG132))*(1+$AH132))*T132</f>
        <v>0</v>
      </c>
      <c r="BA132" s="124">
        <f t="shared" ref="BA132:BA139" si="129">(($AF132*(1+$AG132))*(1+$AH132))*U132</f>
        <v>0</v>
      </c>
      <c r="BB132" s="124">
        <f t="shared" ref="BB132:BB139" si="130">(($AF132*(1+$AG132))*(1+$AH132))*V132</f>
        <v>0</v>
      </c>
      <c r="BC132" s="124">
        <f t="shared" ref="BC132:BC139" si="131">(($AF132*(1+$AG132))*(1+$AH132))*W132</f>
        <v>0</v>
      </c>
      <c r="BD132" s="124">
        <f t="shared" ref="BD132:BD139" si="132">(($AF132*(1+$AG132))*(1+$AH132))*X132</f>
        <v>0</v>
      </c>
      <c r="BE132" s="124">
        <f t="shared" ref="BE132:BE139" si="133">(($AF132*(1+$AG132))*(1+$AH132))*Y132</f>
        <v>0</v>
      </c>
      <c r="BF132" s="124">
        <f t="shared" ref="BF132:BF139" si="134">(($AF132*(1+$AG132))*(1+$AH132))*Z132</f>
        <v>0</v>
      </c>
      <c r="BG132" s="124">
        <f t="shared" ref="BG132:BG139" si="135">(($AF132*(1+$AG132))*(1+$AH132))*AA132</f>
        <v>0</v>
      </c>
      <c r="BH132" s="124">
        <f t="shared" ref="BH132:BH139" si="136">(($AF132*(1+$AG132))*(1+$AH132))*AB132</f>
        <v>0</v>
      </c>
      <c r="BJ132" s="121">
        <f t="shared" ref="BJ132:BJ139" si="137">SUM(AM132:BH132)</f>
        <v>0</v>
      </c>
      <c r="BK132" s="122" t="b">
        <f t="shared" ref="BK132:BK139" si="138">EXACT(BJ132,AI132)</f>
        <v>1</v>
      </c>
      <c r="BL132" s="121">
        <f t="shared" ref="BL132:BL139" si="139">BJ132-AI132</f>
        <v>0</v>
      </c>
    </row>
    <row r="133" spans="1:64">
      <c r="A133" s="88">
        <v>130</v>
      </c>
      <c r="B133" s="88"/>
      <c r="C133" s="75"/>
      <c r="D133" s="89"/>
      <c r="E133" s="90"/>
      <c r="F133" s="91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4">
        <f t="shared" si="113"/>
        <v>0</v>
      </c>
      <c r="AD133" s="95">
        <v>1</v>
      </c>
      <c r="AE133" s="94">
        <f t="shared" si="112"/>
        <v>0</v>
      </c>
      <c r="AF133" s="96">
        <f t="shared" si="114"/>
        <v>0</v>
      </c>
      <c r="AG133" s="97">
        <v>0</v>
      </c>
      <c r="AH133" s="97">
        <v>0.05</v>
      </c>
      <c r="AI133" s="98">
        <f t="shared" si="111"/>
        <v>0</v>
      </c>
      <c r="AJ133" s="75"/>
      <c r="AM133" s="124">
        <f t="shared" si="115"/>
        <v>0</v>
      </c>
      <c r="AN133" s="124">
        <f t="shared" si="116"/>
        <v>0</v>
      </c>
      <c r="AO133" s="124">
        <f t="shared" si="117"/>
        <v>0</v>
      </c>
      <c r="AP133" s="124">
        <f t="shared" si="118"/>
        <v>0</v>
      </c>
      <c r="AQ133" s="124">
        <f t="shared" si="119"/>
        <v>0</v>
      </c>
      <c r="AR133" s="124">
        <f t="shared" si="120"/>
        <v>0</v>
      </c>
      <c r="AS133" s="124">
        <f t="shared" si="121"/>
        <v>0</v>
      </c>
      <c r="AT133" s="124">
        <f t="shared" si="122"/>
        <v>0</v>
      </c>
      <c r="AU133" s="124">
        <f t="shared" si="123"/>
        <v>0</v>
      </c>
      <c r="AV133" s="124">
        <f t="shared" si="124"/>
        <v>0</v>
      </c>
      <c r="AW133" s="124">
        <f t="shared" si="125"/>
        <v>0</v>
      </c>
      <c r="AX133" s="124">
        <f t="shared" si="126"/>
        <v>0</v>
      </c>
      <c r="AY133" s="124">
        <f t="shared" si="127"/>
        <v>0</v>
      </c>
      <c r="AZ133" s="124">
        <f t="shared" si="128"/>
        <v>0</v>
      </c>
      <c r="BA133" s="124">
        <f t="shared" si="129"/>
        <v>0</v>
      </c>
      <c r="BB133" s="124">
        <f t="shared" si="130"/>
        <v>0</v>
      </c>
      <c r="BC133" s="124">
        <f t="shared" si="131"/>
        <v>0</v>
      </c>
      <c r="BD133" s="124">
        <f t="shared" si="132"/>
        <v>0</v>
      </c>
      <c r="BE133" s="124">
        <f t="shared" si="133"/>
        <v>0</v>
      </c>
      <c r="BF133" s="124">
        <f t="shared" si="134"/>
        <v>0</v>
      </c>
      <c r="BG133" s="124">
        <f t="shared" si="135"/>
        <v>0</v>
      </c>
      <c r="BH133" s="124">
        <f t="shared" si="136"/>
        <v>0</v>
      </c>
      <c r="BJ133" s="121">
        <f t="shared" si="137"/>
        <v>0</v>
      </c>
      <c r="BK133" s="122" t="b">
        <f t="shared" si="138"/>
        <v>1</v>
      </c>
      <c r="BL133" s="121">
        <f t="shared" si="139"/>
        <v>0</v>
      </c>
    </row>
    <row r="134" spans="1:64" ht="12.75" customHeight="1">
      <c r="A134" s="88">
        <v>131</v>
      </c>
      <c r="B134" s="88"/>
      <c r="C134" s="75"/>
      <c r="D134" s="89"/>
      <c r="E134" s="90"/>
      <c r="F134" s="91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4">
        <f t="shared" si="113"/>
        <v>0</v>
      </c>
      <c r="AD134" s="95">
        <v>1</v>
      </c>
      <c r="AE134" s="94">
        <f t="shared" si="112"/>
        <v>0</v>
      </c>
      <c r="AF134" s="96">
        <f t="shared" si="114"/>
        <v>0</v>
      </c>
      <c r="AG134" s="97">
        <v>0</v>
      </c>
      <c r="AH134" s="97">
        <v>0.05</v>
      </c>
      <c r="AI134" s="98">
        <f t="shared" si="111"/>
        <v>0</v>
      </c>
      <c r="AJ134" s="75"/>
      <c r="AM134" s="124">
        <f t="shared" si="115"/>
        <v>0</v>
      </c>
      <c r="AN134" s="124">
        <f t="shared" si="116"/>
        <v>0</v>
      </c>
      <c r="AO134" s="124">
        <f t="shared" si="117"/>
        <v>0</v>
      </c>
      <c r="AP134" s="124">
        <f t="shared" si="118"/>
        <v>0</v>
      </c>
      <c r="AQ134" s="124">
        <f t="shared" si="119"/>
        <v>0</v>
      </c>
      <c r="AR134" s="124">
        <f t="shared" si="120"/>
        <v>0</v>
      </c>
      <c r="AS134" s="124">
        <f t="shared" si="121"/>
        <v>0</v>
      </c>
      <c r="AT134" s="124">
        <f t="shared" si="122"/>
        <v>0</v>
      </c>
      <c r="AU134" s="124">
        <f t="shared" si="123"/>
        <v>0</v>
      </c>
      <c r="AV134" s="124">
        <f t="shared" si="124"/>
        <v>0</v>
      </c>
      <c r="AW134" s="124">
        <f t="shared" si="125"/>
        <v>0</v>
      </c>
      <c r="AX134" s="124">
        <f t="shared" si="126"/>
        <v>0</v>
      </c>
      <c r="AY134" s="124">
        <f t="shared" si="127"/>
        <v>0</v>
      </c>
      <c r="AZ134" s="124">
        <f t="shared" si="128"/>
        <v>0</v>
      </c>
      <c r="BA134" s="124">
        <f t="shared" si="129"/>
        <v>0</v>
      </c>
      <c r="BB134" s="124">
        <f t="shared" si="130"/>
        <v>0</v>
      </c>
      <c r="BC134" s="124">
        <f t="shared" si="131"/>
        <v>0</v>
      </c>
      <c r="BD134" s="124">
        <f t="shared" si="132"/>
        <v>0</v>
      </c>
      <c r="BE134" s="124">
        <f t="shared" si="133"/>
        <v>0</v>
      </c>
      <c r="BF134" s="124">
        <f t="shared" si="134"/>
        <v>0</v>
      </c>
      <c r="BG134" s="124">
        <f t="shared" si="135"/>
        <v>0</v>
      </c>
      <c r="BH134" s="124">
        <f t="shared" si="136"/>
        <v>0</v>
      </c>
      <c r="BJ134" s="121">
        <f t="shared" si="137"/>
        <v>0</v>
      </c>
      <c r="BK134" s="122" t="b">
        <f t="shared" si="138"/>
        <v>1</v>
      </c>
      <c r="BL134" s="121">
        <f t="shared" si="139"/>
        <v>0</v>
      </c>
    </row>
    <row r="135" spans="1:64" ht="12.75" customHeight="1">
      <c r="A135" s="88">
        <v>132</v>
      </c>
      <c r="B135" s="88"/>
      <c r="C135" s="75"/>
      <c r="D135" s="89"/>
      <c r="E135" s="90"/>
      <c r="F135" s="91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4">
        <f t="shared" si="113"/>
        <v>0</v>
      </c>
      <c r="AD135" s="95">
        <v>1</v>
      </c>
      <c r="AE135" s="94">
        <f t="shared" si="112"/>
        <v>0</v>
      </c>
      <c r="AF135" s="96">
        <f t="shared" si="114"/>
        <v>0</v>
      </c>
      <c r="AG135" s="97">
        <v>0</v>
      </c>
      <c r="AH135" s="97">
        <v>0.05</v>
      </c>
      <c r="AI135" s="98">
        <f t="shared" si="111"/>
        <v>0</v>
      </c>
      <c r="AJ135" s="75"/>
      <c r="AM135" s="124">
        <f t="shared" si="115"/>
        <v>0</v>
      </c>
      <c r="AN135" s="124">
        <f t="shared" si="116"/>
        <v>0</v>
      </c>
      <c r="AO135" s="124">
        <f t="shared" si="117"/>
        <v>0</v>
      </c>
      <c r="AP135" s="124">
        <f t="shared" si="118"/>
        <v>0</v>
      </c>
      <c r="AQ135" s="124">
        <f t="shared" si="119"/>
        <v>0</v>
      </c>
      <c r="AR135" s="124">
        <f t="shared" si="120"/>
        <v>0</v>
      </c>
      <c r="AS135" s="124">
        <f t="shared" si="121"/>
        <v>0</v>
      </c>
      <c r="AT135" s="124">
        <f t="shared" si="122"/>
        <v>0</v>
      </c>
      <c r="AU135" s="124">
        <f t="shared" si="123"/>
        <v>0</v>
      </c>
      <c r="AV135" s="124">
        <f t="shared" si="124"/>
        <v>0</v>
      </c>
      <c r="AW135" s="124">
        <f t="shared" si="125"/>
        <v>0</v>
      </c>
      <c r="AX135" s="124">
        <f t="shared" si="126"/>
        <v>0</v>
      </c>
      <c r="AY135" s="124">
        <f t="shared" si="127"/>
        <v>0</v>
      </c>
      <c r="AZ135" s="124">
        <f t="shared" si="128"/>
        <v>0</v>
      </c>
      <c r="BA135" s="124">
        <f t="shared" si="129"/>
        <v>0</v>
      </c>
      <c r="BB135" s="124">
        <f t="shared" si="130"/>
        <v>0</v>
      </c>
      <c r="BC135" s="124">
        <f t="shared" si="131"/>
        <v>0</v>
      </c>
      <c r="BD135" s="124">
        <f t="shared" si="132"/>
        <v>0</v>
      </c>
      <c r="BE135" s="124">
        <f t="shared" si="133"/>
        <v>0</v>
      </c>
      <c r="BF135" s="124">
        <f t="shared" si="134"/>
        <v>0</v>
      </c>
      <c r="BG135" s="124">
        <f t="shared" si="135"/>
        <v>0</v>
      </c>
      <c r="BH135" s="124">
        <f t="shared" si="136"/>
        <v>0</v>
      </c>
      <c r="BJ135" s="121">
        <f t="shared" si="137"/>
        <v>0</v>
      </c>
      <c r="BK135" s="122" t="b">
        <f t="shared" si="138"/>
        <v>1</v>
      </c>
      <c r="BL135" s="121">
        <f t="shared" si="139"/>
        <v>0</v>
      </c>
    </row>
    <row r="136" spans="1:64" ht="12.75" customHeight="1">
      <c r="A136" s="88">
        <v>133</v>
      </c>
      <c r="B136" s="88"/>
      <c r="C136" s="75"/>
      <c r="D136" s="89"/>
      <c r="E136" s="90"/>
      <c r="F136" s="91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4">
        <f t="shared" si="113"/>
        <v>0</v>
      </c>
      <c r="AD136" s="95">
        <v>1</v>
      </c>
      <c r="AE136" s="94">
        <f t="shared" si="112"/>
        <v>0</v>
      </c>
      <c r="AF136" s="96">
        <f t="shared" si="114"/>
        <v>0</v>
      </c>
      <c r="AG136" s="97">
        <v>0</v>
      </c>
      <c r="AH136" s="97">
        <v>0.05</v>
      </c>
      <c r="AI136" s="98">
        <f t="shared" si="111"/>
        <v>0</v>
      </c>
      <c r="AJ136" s="75"/>
      <c r="AM136" s="124">
        <f t="shared" si="115"/>
        <v>0</v>
      </c>
      <c r="AN136" s="124">
        <f t="shared" si="116"/>
        <v>0</v>
      </c>
      <c r="AO136" s="124">
        <f t="shared" si="117"/>
        <v>0</v>
      </c>
      <c r="AP136" s="124">
        <f t="shared" si="118"/>
        <v>0</v>
      </c>
      <c r="AQ136" s="124">
        <f t="shared" si="119"/>
        <v>0</v>
      </c>
      <c r="AR136" s="124">
        <f t="shared" si="120"/>
        <v>0</v>
      </c>
      <c r="AS136" s="124">
        <f t="shared" si="121"/>
        <v>0</v>
      </c>
      <c r="AT136" s="124">
        <f t="shared" si="122"/>
        <v>0</v>
      </c>
      <c r="AU136" s="124">
        <f t="shared" si="123"/>
        <v>0</v>
      </c>
      <c r="AV136" s="124">
        <f t="shared" si="124"/>
        <v>0</v>
      </c>
      <c r="AW136" s="124">
        <f t="shared" si="125"/>
        <v>0</v>
      </c>
      <c r="AX136" s="124">
        <f t="shared" si="126"/>
        <v>0</v>
      </c>
      <c r="AY136" s="124">
        <f t="shared" si="127"/>
        <v>0</v>
      </c>
      <c r="AZ136" s="124">
        <f t="shared" si="128"/>
        <v>0</v>
      </c>
      <c r="BA136" s="124">
        <f t="shared" si="129"/>
        <v>0</v>
      </c>
      <c r="BB136" s="124">
        <f t="shared" si="130"/>
        <v>0</v>
      </c>
      <c r="BC136" s="124">
        <f t="shared" si="131"/>
        <v>0</v>
      </c>
      <c r="BD136" s="124">
        <f t="shared" si="132"/>
        <v>0</v>
      </c>
      <c r="BE136" s="124">
        <f t="shared" si="133"/>
        <v>0</v>
      </c>
      <c r="BF136" s="124">
        <f t="shared" si="134"/>
        <v>0</v>
      </c>
      <c r="BG136" s="124">
        <f t="shared" si="135"/>
        <v>0</v>
      </c>
      <c r="BH136" s="124">
        <f t="shared" si="136"/>
        <v>0</v>
      </c>
      <c r="BJ136" s="121">
        <f t="shared" si="137"/>
        <v>0</v>
      </c>
      <c r="BK136" s="122" t="b">
        <f t="shared" si="138"/>
        <v>1</v>
      </c>
      <c r="BL136" s="121">
        <f t="shared" si="139"/>
        <v>0</v>
      </c>
    </row>
    <row r="137" spans="1:64">
      <c r="A137" s="88">
        <v>134</v>
      </c>
      <c r="B137" s="88"/>
      <c r="C137" s="75"/>
      <c r="D137" s="89"/>
      <c r="E137" s="90"/>
      <c r="F137" s="91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4">
        <f t="shared" si="113"/>
        <v>0</v>
      </c>
      <c r="AD137" s="95">
        <v>1</v>
      </c>
      <c r="AE137" s="94">
        <f t="shared" si="112"/>
        <v>0</v>
      </c>
      <c r="AF137" s="96">
        <f t="shared" si="114"/>
        <v>0</v>
      </c>
      <c r="AG137" s="97">
        <v>0</v>
      </c>
      <c r="AH137" s="97">
        <v>0.05</v>
      </c>
      <c r="AI137" s="98">
        <f t="shared" si="111"/>
        <v>0</v>
      </c>
      <c r="AJ137" s="75"/>
      <c r="AM137" s="124">
        <f t="shared" si="115"/>
        <v>0</v>
      </c>
      <c r="AN137" s="124">
        <f t="shared" si="116"/>
        <v>0</v>
      </c>
      <c r="AO137" s="124">
        <f t="shared" si="117"/>
        <v>0</v>
      </c>
      <c r="AP137" s="124">
        <f t="shared" si="118"/>
        <v>0</v>
      </c>
      <c r="AQ137" s="124">
        <f t="shared" si="119"/>
        <v>0</v>
      </c>
      <c r="AR137" s="124">
        <f t="shared" si="120"/>
        <v>0</v>
      </c>
      <c r="AS137" s="124">
        <f t="shared" si="121"/>
        <v>0</v>
      </c>
      <c r="AT137" s="124">
        <f t="shared" si="122"/>
        <v>0</v>
      </c>
      <c r="AU137" s="124">
        <f t="shared" si="123"/>
        <v>0</v>
      </c>
      <c r="AV137" s="124">
        <f t="shared" si="124"/>
        <v>0</v>
      </c>
      <c r="AW137" s="124">
        <f t="shared" si="125"/>
        <v>0</v>
      </c>
      <c r="AX137" s="124">
        <f t="shared" si="126"/>
        <v>0</v>
      </c>
      <c r="AY137" s="124">
        <f t="shared" si="127"/>
        <v>0</v>
      </c>
      <c r="AZ137" s="124">
        <f t="shared" si="128"/>
        <v>0</v>
      </c>
      <c r="BA137" s="124">
        <f t="shared" si="129"/>
        <v>0</v>
      </c>
      <c r="BB137" s="124">
        <f t="shared" si="130"/>
        <v>0</v>
      </c>
      <c r="BC137" s="124">
        <f t="shared" si="131"/>
        <v>0</v>
      </c>
      <c r="BD137" s="124">
        <f t="shared" si="132"/>
        <v>0</v>
      </c>
      <c r="BE137" s="124">
        <f t="shared" si="133"/>
        <v>0</v>
      </c>
      <c r="BF137" s="124">
        <f t="shared" si="134"/>
        <v>0</v>
      </c>
      <c r="BG137" s="124">
        <f t="shared" si="135"/>
        <v>0</v>
      </c>
      <c r="BH137" s="124">
        <f t="shared" si="136"/>
        <v>0</v>
      </c>
      <c r="BJ137" s="121">
        <f t="shared" si="137"/>
        <v>0</v>
      </c>
      <c r="BK137" s="122" t="b">
        <f t="shared" si="138"/>
        <v>1</v>
      </c>
      <c r="BL137" s="121">
        <f t="shared" si="139"/>
        <v>0</v>
      </c>
    </row>
    <row r="138" spans="1:64">
      <c r="A138" s="88">
        <v>135</v>
      </c>
      <c r="B138" s="88"/>
      <c r="C138" s="75"/>
      <c r="D138" s="89"/>
      <c r="E138" s="90"/>
      <c r="F138" s="91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4">
        <f t="shared" si="113"/>
        <v>0</v>
      </c>
      <c r="AD138" s="95">
        <v>1</v>
      </c>
      <c r="AE138" s="94">
        <f t="shared" si="112"/>
        <v>0</v>
      </c>
      <c r="AF138" s="96">
        <f t="shared" si="114"/>
        <v>0</v>
      </c>
      <c r="AG138" s="97">
        <v>0</v>
      </c>
      <c r="AH138" s="97">
        <v>0.05</v>
      </c>
      <c r="AI138" s="98">
        <f t="shared" si="111"/>
        <v>0</v>
      </c>
      <c r="AJ138" s="75"/>
      <c r="AM138" s="124">
        <f t="shared" si="115"/>
        <v>0</v>
      </c>
      <c r="AN138" s="124">
        <f t="shared" si="116"/>
        <v>0</v>
      </c>
      <c r="AO138" s="124">
        <f t="shared" si="117"/>
        <v>0</v>
      </c>
      <c r="AP138" s="124">
        <f t="shared" si="118"/>
        <v>0</v>
      </c>
      <c r="AQ138" s="124">
        <f t="shared" si="119"/>
        <v>0</v>
      </c>
      <c r="AR138" s="124">
        <f t="shared" si="120"/>
        <v>0</v>
      </c>
      <c r="AS138" s="124">
        <f t="shared" si="121"/>
        <v>0</v>
      </c>
      <c r="AT138" s="124">
        <f t="shared" si="122"/>
        <v>0</v>
      </c>
      <c r="AU138" s="124">
        <f t="shared" si="123"/>
        <v>0</v>
      </c>
      <c r="AV138" s="124">
        <f t="shared" si="124"/>
        <v>0</v>
      </c>
      <c r="AW138" s="124">
        <f t="shared" si="125"/>
        <v>0</v>
      </c>
      <c r="AX138" s="124">
        <f t="shared" si="126"/>
        <v>0</v>
      </c>
      <c r="AY138" s="124">
        <f t="shared" si="127"/>
        <v>0</v>
      </c>
      <c r="AZ138" s="124">
        <f t="shared" si="128"/>
        <v>0</v>
      </c>
      <c r="BA138" s="124">
        <f t="shared" si="129"/>
        <v>0</v>
      </c>
      <c r="BB138" s="124">
        <f t="shared" si="130"/>
        <v>0</v>
      </c>
      <c r="BC138" s="124">
        <f t="shared" si="131"/>
        <v>0</v>
      </c>
      <c r="BD138" s="124">
        <f t="shared" si="132"/>
        <v>0</v>
      </c>
      <c r="BE138" s="124">
        <f t="shared" si="133"/>
        <v>0</v>
      </c>
      <c r="BF138" s="124">
        <f t="shared" si="134"/>
        <v>0</v>
      </c>
      <c r="BG138" s="124">
        <f t="shared" si="135"/>
        <v>0</v>
      </c>
      <c r="BH138" s="124">
        <f t="shared" si="136"/>
        <v>0</v>
      </c>
      <c r="BJ138" s="121">
        <f t="shared" si="137"/>
        <v>0</v>
      </c>
      <c r="BK138" s="122" t="b">
        <f t="shared" si="138"/>
        <v>1</v>
      </c>
      <c r="BL138" s="121">
        <f t="shared" si="139"/>
        <v>0</v>
      </c>
    </row>
    <row r="139" spans="1:64" ht="12.75" customHeight="1">
      <c r="A139" s="88">
        <v>136</v>
      </c>
      <c r="B139" s="88"/>
      <c r="C139" s="75"/>
      <c r="D139" s="89"/>
      <c r="E139" s="90"/>
      <c r="F139" s="91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4">
        <f t="shared" si="113"/>
        <v>0</v>
      </c>
      <c r="AD139" s="95">
        <v>1</v>
      </c>
      <c r="AE139" s="94">
        <f t="shared" si="112"/>
        <v>0</v>
      </c>
      <c r="AF139" s="96">
        <f t="shared" si="114"/>
        <v>0</v>
      </c>
      <c r="AG139" s="97">
        <v>0</v>
      </c>
      <c r="AH139" s="97">
        <v>0.05</v>
      </c>
      <c r="AI139" s="98">
        <f t="shared" si="111"/>
        <v>0</v>
      </c>
      <c r="AJ139" s="75"/>
      <c r="AM139" s="124">
        <f t="shared" si="115"/>
        <v>0</v>
      </c>
      <c r="AN139" s="124">
        <f t="shared" si="116"/>
        <v>0</v>
      </c>
      <c r="AO139" s="124">
        <f t="shared" si="117"/>
        <v>0</v>
      </c>
      <c r="AP139" s="124">
        <f t="shared" si="118"/>
        <v>0</v>
      </c>
      <c r="AQ139" s="124">
        <f t="shared" si="119"/>
        <v>0</v>
      </c>
      <c r="AR139" s="124">
        <f t="shared" si="120"/>
        <v>0</v>
      </c>
      <c r="AS139" s="124">
        <f t="shared" si="121"/>
        <v>0</v>
      </c>
      <c r="AT139" s="124">
        <f t="shared" si="122"/>
        <v>0</v>
      </c>
      <c r="AU139" s="124">
        <f t="shared" si="123"/>
        <v>0</v>
      </c>
      <c r="AV139" s="124">
        <f t="shared" si="124"/>
        <v>0</v>
      </c>
      <c r="AW139" s="124">
        <f t="shared" si="125"/>
        <v>0</v>
      </c>
      <c r="AX139" s="124">
        <f t="shared" si="126"/>
        <v>0</v>
      </c>
      <c r="AY139" s="124">
        <f t="shared" si="127"/>
        <v>0</v>
      </c>
      <c r="AZ139" s="124">
        <f t="shared" si="128"/>
        <v>0</v>
      </c>
      <c r="BA139" s="124">
        <f t="shared" si="129"/>
        <v>0</v>
      </c>
      <c r="BB139" s="124">
        <f t="shared" si="130"/>
        <v>0</v>
      </c>
      <c r="BC139" s="124">
        <f t="shared" si="131"/>
        <v>0</v>
      </c>
      <c r="BD139" s="124">
        <f t="shared" si="132"/>
        <v>0</v>
      </c>
      <c r="BE139" s="124">
        <f t="shared" si="133"/>
        <v>0</v>
      </c>
      <c r="BF139" s="124">
        <f t="shared" si="134"/>
        <v>0</v>
      </c>
      <c r="BG139" s="124">
        <f t="shared" si="135"/>
        <v>0</v>
      </c>
      <c r="BH139" s="124">
        <f t="shared" si="136"/>
        <v>0</v>
      </c>
      <c r="BJ139" s="121">
        <f t="shared" si="137"/>
        <v>0</v>
      </c>
      <c r="BK139" s="122" t="b">
        <f t="shared" si="138"/>
        <v>1</v>
      </c>
      <c r="BL139" s="121">
        <f t="shared" si="139"/>
        <v>0</v>
      </c>
    </row>
    <row r="140" spans="1:64" ht="12.75" customHeight="1">
      <c r="A140" s="88"/>
      <c r="B140" s="88"/>
      <c r="C140" s="107" t="s">
        <v>44</v>
      </c>
      <c r="D140" s="89"/>
      <c r="E140" s="90"/>
      <c r="F140" s="91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4"/>
      <c r="AD140" s="95"/>
      <c r="AE140" s="94"/>
      <c r="AF140" s="96"/>
      <c r="AG140" s="97"/>
      <c r="AH140" s="97"/>
      <c r="AI140" s="98"/>
      <c r="AJ140" s="75"/>
      <c r="AM140" s="99"/>
      <c r="AN140" s="99"/>
      <c r="AO140" s="99"/>
      <c r="AP140" s="99"/>
      <c r="AQ140" s="99"/>
      <c r="AR140" s="99"/>
      <c r="AS140" s="99"/>
      <c r="AT140" s="99"/>
      <c r="AU140" s="99"/>
      <c r="AV140" s="99"/>
      <c r="AW140" s="99"/>
      <c r="AX140" s="99"/>
      <c r="AY140" s="99"/>
      <c r="AZ140" s="99"/>
      <c r="BA140" s="99"/>
      <c r="BB140" s="99"/>
      <c r="BC140" s="99"/>
      <c r="BD140" s="99"/>
      <c r="BE140" s="99"/>
      <c r="BF140" s="99"/>
      <c r="BG140" s="99"/>
      <c r="BH140" s="99"/>
      <c r="BJ140" s="100"/>
      <c r="BL140" s="100"/>
    </row>
    <row r="141" spans="1:64" ht="12.75" customHeight="1">
      <c r="D141" s="108"/>
      <c r="E141" s="109"/>
      <c r="AF141" s="110"/>
      <c r="AG141" s="110"/>
      <c r="AH141" s="11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  <c r="BE141" s="100"/>
      <c r="BF141" s="100"/>
      <c r="BG141" s="100"/>
      <c r="BH141" s="100"/>
      <c r="BJ141" s="100"/>
      <c r="BL141" s="100"/>
    </row>
    <row r="142" spans="1:64">
      <c r="D142" s="108"/>
      <c r="E142" s="111"/>
      <c r="AF142" s="110"/>
      <c r="AG142" s="110"/>
      <c r="AH142" s="11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  <c r="AW142" s="100"/>
      <c r="AX142" s="100"/>
      <c r="AY142" s="100"/>
      <c r="AZ142" s="100"/>
      <c r="BA142" s="100"/>
      <c r="BB142" s="100"/>
      <c r="BC142" s="100"/>
      <c r="BD142" s="100"/>
      <c r="BE142" s="100"/>
      <c r="BF142" s="100"/>
      <c r="BG142" s="100"/>
      <c r="BH142" s="100"/>
      <c r="BJ142" s="100"/>
      <c r="BL142" s="100"/>
    </row>
    <row r="143" spans="1:64">
      <c r="D143" s="112"/>
      <c r="E143" s="112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</row>
    <row r="144" spans="1:64" ht="21">
      <c r="AF144" s="114" t="s">
        <v>45</v>
      </c>
      <c r="AG144" s="114"/>
      <c r="AH144" s="114"/>
      <c r="AI144" s="115">
        <f>SUBTOTAL(9, AI4:AI140)</f>
        <v>1710.0825</v>
      </c>
      <c r="AL144" s="14" t="s">
        <v>45</v>
      </c>
      <c r="AM144" s="122">
        <f t="shared" ref="AM144:AS144" si="140">SUM(AM4:AM140)-$BL$144</f>
        <v>1710.0825</v>
      </c>
      <c r="AN144" s="122">
        <f t="shared" si="140"/>
        <v>0</v>
      </c>
      <c r="AO144" s="122">
        <f t="shared" si="140"/>
        <v>0</v>
      </c>
      <c r="AP144" s="122">
        <f t="shared" si="140"/>
        <v>0</v>
      </c>
      <c r="AQ144" s="122">
        <f t="shared" si="140"/>
        <v>0</v>
      </c>
      <c r="AR144" s="122">
        <f t="shared" si="140"/>
        <v>0</v>
      </c>
      <c r="AS144" s="122">
        <f t="shared" si="140"/>
        <v>0</v>
      </c>
      <c r="AT144" s="122">
        <f t="shared" ref="AT144:BG144" si="141">SUM(AT4:AT140)-$BL$144</f>
        <v>0</v>
      </c>
      <c r="AU144" s="122">
        <f t="shared" si="141"/>
        <v>0</v>
      </c>
      <c r="AV144" s="122">
        <f t="shared" si="141"/>
        <v>0</v>
      </c>
      <c r="AW144" s="122">
        <f t="shared" si="141"/>
        <v>0</v>
      </c>
      <c r="AX144" s="122">
        <f t="shared" si="141"/>
        <v>0</v>
      </c>
      <c r="AY144" s="122">
        <f t="shared" si="141"/>
        <v>0</v>
      </c>
      <c r="AZ144" s="122">
        <f t="shared" si="141"/>
        <v>0</v>
      </c>
      <c r="BA144" s="122">
        <f t="shared" si="141"/>
        <v>0</v>
      </c>
      <c r="BB144" s="122">
        <f t="shared" si="141"/>
        <v>0</v>
      </c>
      <c r="BC144" s="122">
        <f t="shared" si="141"/>
        <v>0</v>
      </c>
      <c r="BD144" s="122">
        <f t="shared" si="141"/>
        <v>0</v>
      </c>
      <c r="BE144" s="122">
        <f t="shared" si="141"/>
        <v>0</v>
      </c>
      <c r="BF144" s="122">
        <f t="shared" si="141"/>
        <v>0</v>
      </c>
      <c r="BG144" s="122">
        <f t="shared" si="141"/>
        <v>0</v>
      </c>
      <c r="BH144" s="122">
        <f>SUM(BH4:BH140)-$BL$144</f>
        <v>0</v>
      </c>
      <c r="BK144" s="13" t="s">
        <v>10</v>
      </c>
      <c r="BL144" s="100">
        <f>SUM(BL4:BL140)/COUNTA(AM3:BH3)</f>
        <v>0</v>
      </c>
    </row>
    <row r="145" spans="32:60" ht="21">
      <c r="AF145" s="114" t="s">
        <v>5</v>
      </c>
      <c r="AG145" s="116"/>
      <c r="AH145" s="116"/>
      <c r="AI145" s="115">
        <f>SUM(AI4:AI140)</f>
        <v>1710.0825</v>
      </c>
      <c r="AL145" s="117" t="s">
        <v>5</v>
      </c>
      <c r="AM145" s="122">
        <f t="shared" ref="AM145:AS145" si="142">SUBTOTAL(9, AM4:AM140)-$BL$144</f>
        <v>1710.0825</v>
      </c>
      <c r="AN145" s="122">
        <f t="shared" si="142"/>
        <v>0</v>
      </c>
      <c r="AO145" s="122">
        <f t="shared" si="142"/>
        <v>0</v>
      </c>
      <c r="AP145" s="122">
        <f t="shared" si="142"/>
        <v>0</v>
      </c>
      <c r="AQ145" s="122">
        <f t="shared" si="142"/>
        <v>0</v>
      </c>
      <c r="AR145" s="122">
        <f t="shared" si="142"/>
        <v>0</v>
      </c>
      <c r="AS145" s="122">
        <f t="shared" si="142"/>
        <v>0</v>
      </c>
      <c r="AT145" s="122">
        <f t="shared" ref="AT145:BG145" si="143">SUBTOTAL(9, AT4:AT140)-$BL$144</f>
        <v>0</v>
      </c>
      <c r="AU145" s="122">
        <f t="shared" si="143"/>
        <v>0</v>
      </c>
      <c r="AV145" s="122">
        <f t="shared" si="143"/>
        <v>0</v>
      </c>
      <c r="AW145" s="122">
        <f t="shared" si="143"/>
        <v>0</v>
      </c>
      <c r="AX145" s="122">
        <f t="shared" si="143"/>
        <v>0</v>
      </c>
      <c r="AY145" s="122">
        <f t="shared" si="143"/>
        <v>0</v>
      </c>
      <c r="AZ145" s="122">
        <f t="shared" si="143"/>
        <v>0</v>
      </c>
      <c r="BA145" s="122">
        <f t="shared" si="143"/>
        <v>0</v>
      </c>
      <c r="BB145" s="122">
        <f t="shared" si="143"/>
        <v>0</v>
      </c>
      <c r="BC145" s="122">
        <f t="shared" si="143"/>
        <v>0</v>
      </c>
      <c r="BD145" s="122">
        <f t="shared" si="143"/>
        <v>0</v>
      </c>
      <c r="BE145" s="122">
        <f t="shared" si="143"/>
        <v>0</v>
      </c>
      <c r="BF145" s="122">
        <f t="shared" si="143"/>
        <v>0</v>
      </c>
      <c r="BG145" s="122">
        <f t="shared" si="143"/>
        <v>0</v>
      </c>
      <c r="BH145" s="122">
        <f>SUBTOTAL(9, BH4:BH140)-$BL$144</f>
        <v>0</v>
      </c>
    </row>
    <row r="146" spans="32:60">
      <c r="AF146" s="117"/>
      <c r="AG146" s="117"/>
      <c r="AH146" s="117"/>
    </row>
    <row r="147" spans="32:60">
      <c r="AF147" s="117"/>
      <c r="AG147" s="117"/>
      <c r="AH147" s="117"/>
    </row>
    <row r="148" spans="32:60">
      <c r="AF148" s="117"/>
      <c r="AG148" s="117"/>
      <c r="AH148" s="117"/>
    </row>
    <row r="149" spans="32:60">
      <c r="AF149" s="117"/>
      <c r="AG149" s="117"/>
      <c r="AH149" s="117"/>
    </row>
    <row r="150" spans="32:60">
      <c r="AF150" s="117"/>
      <c r="AG150" s="117"/>
      <c r="AH150" s="117"/>
    </row>
    <row r="151" spans="32:60">
      <c r="AF151" s="117"/>
      <c r="AG151" s="117"/>
      <c r="AH151" s="117"/>
    </row>
    <row r="152" spans="32:60">
      <c r="AF152" s="117"/>
      <c r="AG152" s="117"/>
      <c r="AH152" s="117"/>
    </row>
    <row r="153" spans="32:60">
      <c r="AF153" s="117"/>
      <c r="AG153" s="117"/>
      <c r="AH153" s="117"/>
    </row>
    <row r="154" spans="32:60">
      <c r="AF154" s="117"/>
      <c r="AG154" s="117"/>
      <c r="AH154" s="117"/>
    </row>
    <row r="155" spans="32:60">
      <c r="AF155" s="117"/>
      <c r="AG155" s="117"/>
      <c r="AH155" s="117"/>
    </row>
    <row r="156" spans="32:60">
      <c r="AF156" s="117"/>
      <c r="AG156" s="117"/>
      <c r="AH156" s="117"/>
    </row>
    <row r="157" spans="32:60">
      <c r="AF157" s="117"/>
      <c r="AG157" s="117"/>
      <c r="AH157" s="117"/>
    </row>
    <row r="158" spans="32:60">
      <c r="AF158" s="117"/>
      <c r="AG158" s="117"/>
      <c r="AH158" s="117"/>
    </row>
    <row r="159" spans="32:60">
      <c r="AF159" s="117"/>
      <c r="AG159" s="117"/>
      <c r="AH159" s="117"/>
    </row>
    <row r="160" spans="32:60">
      <c r="AF160" s="117"/>
      <c r="AG160" s="117"/>
      <c r="AH160" s="117"/>
    </row>
    <row r="161" spans="32:34">
      <c r="AF161" s="117"/>
      <c r="AG161" s="117"/>
      <c r="AH161" s="117"/>
    </row>
    <row r="162" spans="32:34">
      <c r="AF162" s="117"/>
      <c r="AG162" s="117"/>
      <c r="AH162" s="117"/>
    </row>
    <row r="163" spans="32:34">
      <c r="AF163" s="117"/>
      <c r="AG163" s="117"/>
      <c r="AH163" s="117"/>
    </row>
    <row r="164" spans="32:34">
      <c r="AF164" s="117"/>
      <c r="AG164" s="117"/>
      <c r="AH164" s="117"/>
    </row>
    <row r="165" spans="32:34">
      <c r="AF165" s="117"/>
      <c r="AG165" s="117"/>
      <c r="AH165" s="117"/>
    </row>
    <row r="166" spans="32:34">
      <c r="AF166" s="117"/>
      <c r="AG166" s="117"/>
      <c r="AH166" s="117"/>
    </row>
    <row r="167" spans="32:34">
      <c r="AF167" s="117"/>
      <c r="AG167" s="117"/>
      <c r="AH167" s="117"/>
    </row>
    <row r="168" spans="32:34">
      <c r="AF168" s="117"/>
      <c r="AG168" s="117"/>
      <c r="AH168" s="117"/>
    </row>
    <row r="169" spans="32:34">
      <c r="AF169" s="117"/>
      <c r="AG169" s="117"/>
      <c r="AH169" s="117"/>
    </row>
    <row r="170" spans="32:34">
      <c r="AF170" s="117"/>
      <c r="AG170" s="117"/>
      <c r="AH170" s="117"/>
    </row>
    <row r="171" spans="32:34">
      <c r="AF171" s="117"/>
      <c r="AG171" s="117"/>
      <c r="AH171" s="117"/>
    </row>
    <row r="172" spans="32:34">
      <c r="AF172" s="117"/>
      <c r="AG172" s="117"/>
      <c r="AH172" s="117"/>
    </row>
    <row r="173" spans="32:34">
      <c r="AF173" s="117"/>
      <c r="AG173" s="117"/>
      <c r="AH173" s="117"/>
    </row>
    <row r="174" spans="32:34">
      <c r="AF174" s="117"/>
      <c r="AG174" s="117"/>
      <c r="AH174" s="117"/>
    </row>
    <row r="175" spans="32:34">
      <c r="AF175" s="117"/>
      <c r="AG175" s="117"/>
      <c r="AH175" s="117"/>
    </row>
    <row r="176" spans="32:34">
      <c r="AF176" s="117"/>
      <c r="AG176" s="117"/>
      <c r="AH176" s="117"/>
    </row>
    <row r="177" spans="32:34">
      <c r="AF177" s="117"/>
      <c r="AG177" s="117"/>
      <c r="AH177" s="117"/>
    </row>
    <row r="178" spans="32:34">
      <c r="AF178" s="117"/>
      <c r="AG178" s="117"/>
      <c r="AH178" s="117"/>
    </row>
    <row r="179" spans="32:34">
      <c r="AF179" s="117"/>
      <c r="AG179" s="117"/>
      <c r="AH179" s="117"/>
    </row>
    <row r="180" spans="32:34">
      <c r="AF180" s="117"/>
      <c r="AG180" s="117"/>
      <c r="AH180" s="117"/>
    </row>
    <row r="181" spans="32:34">
      <c r="AF181" s="117"/>
      <c r="AG181" s="117"/>
      <c r="AH181" s="117"/>
    </row>
    <row r="182" spans="32:34">
      <c r="AF182" s="117"/>
      <c r="AG182" s="117"/>
      <c r="AH182" s="117"/>
    </row>
    <row r="183" spans="32:34">
      <c r="AF183" s="117"/>
      <c r="AG183" s="117"/>
      <c r="AH183" s="117"/>
    </row>
    <row r="184" spans="32:34">
      <c r="AF184" s="117"/>
      <c r="AG184" s="117"/>
      <c r="AH184" s="117"/>
    </row>
    <row r="185" spans="32:34">
      <c r="AF185" s="117"/>
      <c r="AG185" s="117"/>
      <c r="AH185" s="117"/>
    </row>
    <row r="186" spans="32:34">
      <c r="AF186" s="117"/>
      <c r="AG186" s="117"/>
      <c r="AH186" s="117"/>
    </row>
    <row r="187" spans="32:34">
      <c r="AF187" s="117"/>
      <c r="AG187" s="117"/>
      <c r="AH187" s="117"/>
    </row>
    <row r="188" spans="32:34">
      <c r="AF188" s="117"/>
      <c r="AG188" s="117"/>
      <c r="AH188" s="117"/>
    </row>
    <row r="189" spans="32:34">
      <c r="AF189" s="117"/>
      <c r="AG189" s="117"/>
      <c r="AH189" s="117"/>
    </row>
    <row r="190" spans="32:34">
      <c r="AF190" s="117"/>
      <c r="AG190" s="117"/>
      <c r="AH190" s="117"/>
    </row>
    <row r="191" spans="32:34">
      <c r="AF191" s="117"/>
      <c r="AG191" s="117"/>
      <c r="AH191" s="117"/>
    </row>
    <row r="192" spans="32:34">
      <c r="AF192" s="117"/>
      <c r="AG192" s="117"/>
      <c r="AH192" s="117"/>
    </row>
    <row r="193" spans="32:34">
      <c r="AF193" s="117"/>
      <c r="AG193" s="117"/>
      <c r="AH193" s="117"/>
    </row>
    <row r="194" spans="32:34">
      <c r="AF194" s="117"/>
      <c r="AG194" s="117"/>
      <c r="AH194" s="117"/>
    </row>
    <row r="195" spans="32:34">
      <c r="AF195" s="117"/>
      <c r="AG195" s="117"/>
      <c r="AH195" s="117"/>
    </row>
    <row r="196" spans="32:34">
      <c r="AF196" s="117"/>
      <c r="AG196" s="117"/>
      <c r="AH196" s="117"/>
    </row>
    <row r="253" spans="7:27" ht="237.6">
      <c r="G253" s="85" t="s">
        <v>13</v>
      </c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</row>
    <row r="254" spans="7:27" ht="118.8">
      <c r="G254" s="85" t="s">
        <v>14</v>
      </c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</row>
    <row r="255" spans="7:27" ht="132">
      <c r="G255" s="85" t="s">
        <v>15</v>
      </c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</row>
    <row r="256" spans="7:27" ht="132">
      <c r="G256" s="85" t="s">
        <v>16</v>
      </c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</row>
    <row r="257" spans="7:27" ht="66">
      <c r="G257" s="85" t="s">
        <v>17</v>
      </c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</row>
    <row r="258" spans="7:27" ht="79.2">
      <c r="G258" s="85" t="s">
        <v>18</v>
      </c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</row>
    <row r="259" spans="7:27" ht="105.6">
      <c r="G259" s="85" t="s">
        <v>19</v>
      </c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</row>
    <row r="260" spans="7:27" ht="171.6">
      <c r="G260" s="85" t="s">
        <v>20</v>
      </c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</row>
    <row r="261" spans="7:27" ht="145.19999999999999">
      <c r="G261" s="85" t="s">
        <v>21</v>
      </c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</row>
    <row r="262" spans="7:27" ht="105.6">
      <c r="G262" s="85" t="s">
        <v>22</v>
      </c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</row>
    <row r="263" spans="7:27" ht="92.4">
      <c r="G263" s="85" t="s">
        <v>23</v>
      </c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</row>
    <row r="264" spans="7:27" ht="79.2">
      <c r="G264" s="85" t="s">
        <v>24</v>
      </c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</row>
    <row r="265" spans="7:27" ht="250.8">
      <c r="G265" s="85" t="s">
        <v>25</v>
      </c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</row>
    <row r="266" spans="7:27" ht="105.6">
      <c r="G266" s="85" t="s">
        <v>26</v>
      </c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</row>
    <row r="267" spans="7:27" ht="145.19999999999999">
      <c r="G267" s="85" t="s">
        <v>27</v>
      </c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</row>
    <row r="268" spans="7:27" ht="66">
      <c r="G268" s="85" t="s">
        <v>28</v>
      </c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</row>
    <row r="269" spans="7:27" ht="132">
      <c r="G269" s="85" t="s">
        <v>29</v>
      </c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</row>
    <row r="270" spans="7:27" ht="79.2">
      <c r="G270" s="85" t="s">
        <v>30</v>
      </c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</row>
    <row r="271" spans="7:27" ht="145.19999999999999">
      <c r="G271" s="85" t="s">
        <v>31</v>
      </c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</row>
    <row r="272" spans="7:27" ht="52.8">
      <c r="G272" s="85" t="s">
        <v>32</v>
      </c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</row>
    <row r="273" spans="7:27" ht="79.2">
      <c r="G273" s="85" t="s">
        <v>33</v>
      </c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</row>
    <row r="274" spans="7:27" ht="132">
      <c r="G274" s="85" t="s">
        <v>34</v>
      </c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</row>
    <row r="275" spans="7:27">
      <c r="G275" s="85" t="s">
        <v>12</v>
      </c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</row>
  </sheetData>
  <autoFilter ref="A3:AJ140" xr:uid="{5A17C64C-C758-4FB0-A001-27546104379C}"/>
  <conditionalFormatting sqref="D1:D2">
    <cfRule type="expression" dxfId="5" priority="766">
      <formula>$G$1&lt;&gt;$AM$1</formula>
    </cfRule>
    <cfRule type="expression" dxfId="4" priority="767">
      <formula>$D$2&lt;&gt;SUM($AM$145:$BH$145)</formula>
    </cfRule>
    <cfRule type="expression" dxfId="3" priority="768">
      <formula>$D$2=SUM($AM$145:$BH$145)</formula>
    </cfRule>
  </conditionalFormatting>
  <conditionalFormatting sqref="F4:F140">
    <cfRule type="cellIs" dxfId="2" priority="86" stopIfTrue="1" operator="equal">
      <formula>0</formula>
    </cfRule>
  </conditionalFormatting>
  <conditionalFormatting sqref="AF4:AF140 AI4:AI140 AF141:AI142">
    <cfRule type="cellIs" dxfId="1" priority="269" stopIfTrue="1" operator="equal">
      <formula>0</formula>
    </cfRule>
  </conditionalFormatting>
  <conditionalFormatting sqref="BK4:BK142">
    <cfRule type="containsText" dxfId="0" priority="3" operator="containsText" text="FALSE">
      <formula>NOT(ISERROR(SEARCH("FALSE",BK4)))</formula>
    </cfRule>
  </conditionalFormatting>
  <pageMargins left="0.74803149606299213" right="0.74803149606299213" top="0.98425196850393704" bottom="0.98425196850393704" header="0.51181102362204722" footer="0.51181102362204722"/>
  <pageSetup paperSize="9" scale="10" fitToHeight="14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DD9D73-FF00-4EFC-AF81-934F2BF78C2B}">
          <x14:formula1>
            <xm:f>Components!$A$2:$A$39</xm:f>
          </x14:formula1>
          <xm:sqref>C4:C139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0D39-5611-48D5-AF4B-BBE0FB1276C1}">
  <sheetPr codeName="Sheet4"/>
  <dimension ref="A1:A39"/>
  <sheetViews>
    <sheetView workbookViewId="0">
      <selection activeCell="A39" sqref="A39"/>
    </sheetView>
  </sheetViews>
  <sheetFormatPr defaultRowHeight="13.2"/>
  <cols>
    <col min="1" max="1" width="26.88671875" style="34" customWidth="1"/>
  </cols>
  <sheetData>
    <row r="1" spans="1:1">
      <c r="A1" s="120" t="s">
        <v>124</v>
      </c>
    </row>
    <row r="2" spans="1:1">
      <c r="A2" s="34" t="s">
        <v>93</v>
      </c>
    </row>
    <row r="3" spans="1:1">
      <c r="A3" s="34" t="s">
        <v>94</v>
      </c>
    </row>
    <row r="4" spans="1:1">
      <c r="A4" s="34" t="s">
        <v>95</v>
      </c>
    </row>
    <row r="5" spans="1:1">
      <c r="A5" s="34" t="s">
        <v>96</v>
      </c>
    </row>
    <row r="6" spans="1:1">
      <c r="A6" s="34" t="s">
        <v>97</v>
      </c>
    </row>
    <row r="7" spans="1:1">
      <c r="A7" s="34" t="s">
        <v>98</v>
      </c>
    </row>
    <row r="8" spans="1:1">
      <c r="A8" s="34" t="s">
        <v>99</v>
      </c>
    </row>
    <row r="9" spans="1:1">
      <c r="A9" s="34" t="s">
        <v>100</v>
      </c>
    </row>
    <row r="10" spans="1:1">
      <c r="A10" s="34" t="s">
        <v>101</v>
      </c>
    </row>
    <row r="11" spans="1:1">
      <c r="A11" s="34" t="s">
        <v>102</v>
      </c>
    </row>
    <row r="12" spans="1:1">
      <c r="A12" s="34" t="s">
        <v>103</v>
      </c>
    </row>
    <row r="13" spans="1:1">
      <c r="A13" s="34" t="s">
        <v>104</v>
      </c>
    </row>
    <row r="14" spans="1:1">
      <c r="A14" s="34" t="s">
        <v>126</v>
      </c>
    </row>
    <row r="15" spans="1:1">
      <c r="A15" s="34" t="s">
        <v>105</v>
      </c>
    </row>
    <row r="16" spans="1:1">
      <c r="A16" s="34" t="s">
        <v>127</v>
      </c>
    </row>
    <row r="17" spans="1:1">
      <c r="A17" s="34" t="s">
        <v>128</v>
      </c>
    </row>
    <row r="18" spans="1:1">
      <c r="A18" s="34" t="s">
        <v>106</v>
      </c>
    </row>
    <row r="19" spans="1:1">
      <c r="A19" s="34" t="s">
        <v>107</v>
      </c>
    </row>
    <row r="20" spans="1:1">
      <c r="A20" s="34" t="s">
        <v>108</v>
      </c>
    </row>
    <row r="21" spans="1:1">
      <c r="A21" s="34" t="s">
        <v>109</v>
      </c>
    </row>
    <row r="22" spans="1:1">
      <c r="A22" s="34" t="s">
        <v>110</v>
      </c>
    </row>
    <row r="23" spans="1:1">
      <c r="A23" s="34" t="s">
        <v>111</v>
      </c>
    </row>
    <row r="24" spans="1:1">
      <c r="A24" s="34" t="s">
        <v>112</v>
      </c>
    </row>
    <row r="25" spans="1:1">
      <c r="A25" s="34" t="s">
        <v>129</v>
      </c>
    </row>
    <row r="26" spans="1:1">
      <c r="A26" s="34" t="s">
        <v>113</v>
      </c>
    </row>
    <row r="27" spans="1:1">
      <c r="A27" s="34" t="s">
        <v>114</v>
      </c>
    </row>
    <row r="28" spans="1:1">
      <c r="A28" s="34" t="s">
        <v>130</v>
      </c>
    </row>
    <row r="29" spans="1:1">
      <c r="A29" s="34" t="s">
        <v>115</v>
      </c>
    </row>
    <row r="30" spans="1:1">
      <c r="A30" s="34" t="s">
        <v>116</v>
      </c>
    </row>
    <row r="31" spans="1:1">
      <c r="A31" s="34" t="s">
        <v>117</v>
      </c>
    </row>
    <row r="32" spans="1:1">
      <c r="A32" s="34" t="s">
        <v>118</v>
      </c>
    </row>
    <row r="33" spans="1:1">
      <c r="A33" s="34" t="s">
        <v>119</v>
      </c>
    </row>
    <row r="34" spans="1:1">
      <c r="A34" s="34" t="s">
        <v>125</v>
      </c>
    </row>
    <row r="35" spans="1:1">
      <c r="A35" s="34" t="s">
        <v>120</v>
      </c>
    </row>
    <row r="36" spans="1:1">
      <c r="A36" s="34" t="s">
        <v>121</v>
      </c>
    </row>
    <row r="37" spans="1:1">
      <c r="A37" s="34" t="s">
        <v>122</v>
      </c>
    </row>
    <row r="38" spans="1:1">
      <c r="A38" s="34" t="s">
        <v>131</v>
      </c>
    </row>
    <row r="39" spans="1:1">
      <c r="A39" s="34" t="s">
        <v>123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6685-95A6-4632-9A28-A990519C7F12}">
  <sheetPr codeName="Sheet5"/>
  <dimension ref="A1:G38"/>
  <sheetViews>
    <sheetView workbookViewId="0">
      <selection activeCell="D24" sqref="D24"/>
    </sheetView>
  </sheetViews>
  <sheetFormatPr defaultColWidth="8.88671875" defaultRowHeight="13.2"/>
  <cols>
    <col min="1" max="1" width="24.88671875" customWidth="1"/>
    <col min="2" max="2" width="12.109375" customWidth="1"/>
    <col min="3" max="3" width="15" customWidth="1"/>
    <col min="4" max="4" width="13.21875" customWidth="1"/>
    <col min="5" max="5" width="16.44140625" customWidth="1"/>
    <col min="6" max="6" width="10.88671875" customWidth="1"/>
    <col min="7" max="7" width="12.109375" customWidth="1"/>
  </cols>
  <sheetData>
    <row r="1" spans="1:7">
      <c r="A1" s="126"/>
      <c r="B1" s="127" t="s">
        <v>137</v>
      </c>
      <c r="C1" s="128" t="s">
        <v>138</v>
      </c>
      <c r="D1" s="127" t="s">
        <v>139</v>
      </c>
      <c r="E1" s="127" t="s">
        <v>140</v>
      </c>
    </row>
    <row r="2" spans="1:7">
      <c r="A2" s="129" t="s">
        <v>38</v>
      </c>
      <c r="B2" s="129">
        <f>'TotalCosts (Hrs)'!AF144</f>
        <v>1881.0907500000001</v>
      </c>
      <c r="C2" s="130">
        <f>B16+B27</f>
        <v>0</v>
      </c>
      <c r="D2" s="129">
        <f>B2-C2</f>
        <v>1881.0907500000001</v>
      </c>
      <c r="E2" s="131">
        <f>D2/B2</f>
        <v>1</v>
      </c>
    </row>
    <row r="3" spans="1:7">
      <c r="A3" s="129" t="s">
        <v>141</v>
      </c>
      <c r="B3" s="129">
        <f>'TotalCosts (Hrs)'!AJ144*45</f>
        <v>0</v>
      </c>
      <c r="C3" s="130">
        <f>B38*32</f>
        <v>0</v>
      </c>
      <c r="D3" s="129">
        <f t="shared" ref="D3:D4" si="0">B3-C3</f>
        <v>0</v>
      </c>
      <c r="E3" s="131" t="e">
        <f>D3/B3</f>
        <v>#DIV/0!</v>
      </c>
    </row>
    <row r="4" spans="1:7" ht="15.6">
      <c r="A4" s="132" t="s">
        <v>5</v>
      </c>
      <c r="B4" s="129">
        <f>SUM(B2:B3)</f>
        <v>1881.0907500000001</v>
      </c>
      <c r="C4" s="130">
        <f>SUM(C2:C3)</f>
        <v>0</v>
      </c>
      <c r="D4" s="133">
        <f t="shared" si="0"/>
        <v>1881.0907500000001</v>
      </c>
      <c r="E4" s="134">
        <f>D4/B4</f>
        <v>1</v>
      </c>
    </row>
    <row r="7" spans="1:7">
      <c r="A7" s="135" t="s">
        <v>142</v>
      </c>
      <c r="B7" s="135" t="s">
        <v>143</v>
      </c>
      <c r="F7" s="136"/>
      <c r="G7" s="136"/>
    </row>
    <row r="8" spans="1:7">
      <c r="A8" s="137"/>
      <c r="B8" s="138"/>
      <c r="F8" s="139"/>
      <c r="G8" s="34"/>
    </row>
    <row r="9" spans="1:7">
      <c r="A9" s="137"/>
      <c r="B9" s="138"/>
      <c r="F9" s="139"/>
      <c r="G9" s="34"/>
    </row>
    <row r="10" spans="1:7">
      <c r="A10" s="137"/>
      <c r="B10" s="138"/>
      <c r="F10" s="34"/>
      <c r="G10" s="34"/>
    </row>
    <row r="11" spans="1:7">
      <c r="A11" s="137"/>
      <c r="B11" s="138"/>
      <c r="F11" s="34"/>
      <c r="G11" s="34"/>
    </row>
    <row r="12" spans="1:7">
      <c r="A12" s="137"/>
      <c r="B12" s="138"/>
      <c r="F12" s="34"/>
      <c r="G12" s="34"/>
    </row>
    <row r="13" spans="1:7">
      <c r="A13" s="137"/>
      <c r="B13" s="138"/>
      <c r="F13" s="34"/>
      <c r="G13" s="34"/>
    </row>
    <row r="14" spans="1:7">
      <c r="A14" s="137"/>
      <c r="B14" s="138"/>
      <c r="F14" s="34"/>
      <c r="G14" s="34"/>
    </row>
    <row r="15" spans="1:7">
      <c r="A15" s="140" t="s">
        <v>44</v>
      </c>
      <c r="B15" s="140" t="s">
        <v>44</v>
      </c>
      <c r="F15" s="141"/>
      <c r="G15" s="141"/>
    </row>
    <row r="16" spans="1:7">
      <c r="A16" s="142" t="s">
        <v>5</v>
      </c>
      <c r="B16" s="143">
        <f>SUM(B8:B14)</f>
        <v>0</v>
      </c>
      <c r="F16" s="144"/>
      <c r="G16" s="144"/>
    </row>
    <row r="18" spans="1:2">
      <c r="A18" s="135" t="s">
        <v>144</v>
      </c>
      <c r="B18" s="135" t="s">
        <v>143</v>
      </c>
    </row>
    <row r="19" spans="1:2">
      <c r="A19" s="137"/>
      <c r="B19" s="138"/>
    </row>
    <row r="20" spans="1:2">
      <c r="A20" s="137"/>
      <c r="B20" s="138"/>
    </row>
    <row r="21" spans="1:2">
      <c r="A21" s="138"/>
      <c r="B21" s="138"/>
    </row>
    <row r="22" spans="1:2">
      <c r="A22" s="138"/>
      <c r="B22" s="138"/>
    </row>
    <row r="23" spans="1:2">
      <c r="A23" s="138"/>
      <c r="B23" s="138"/>
    </row>
    <row r="24" spans="1:2">
      <c r="A24" s="138"/>
      <c r="B24" s="138"/>
    </row>
    <row r="25" spans="1:2">
      <c r="A25" s="138"/>
      <c r="B25" s="138"/>
    </row>
    <row r="26" spans="1:2">
      <c r="A26" s="140" t="s">
        <v>44</v>
      </c>
      <c r="B26" s="140" t="s">
        <v>44</v>
      </c>
    </row>
    <row r="27" spans="1:2">
      <c r="A27" s="142" t="s">
        <v>5</v>
      </c>
      <c r="B27" s="143">
        <f>SUM(B19:B25)</f>
        <v>0</v>
      </c>
    </row>
    <row r="29" spans="1:2">
      <c r="A29" s="135" t="s">
        <v>141</v>
      </c>
      <c r="B29" s="135" t="s">
        <v>145</v>
      </c>
    </row>
    <row r="30" spans="1:2">
      <c r="A30" s="137"/>
      <c r="B30" s="145"/>
    </row>
    <row r="31" spans="1:2">
      <c r="A31" s="137"/>
      <c r="B31" s="138"/>
    </row>
    <row r="32" spans="1:2">
      <c r="A32" s="138"/>
      <c r="B32" s="138"/>
    </row>
    <row r="33" spans="1:2">
      <c r="A33" s="138"/>
      <c r="B33" s="138"/>
    </row>
    <row r="34" spans="1:2">
      <c r="A34" s="138"/>
      <c r="B34" s="138"/>
    </row>
    <row r="35" spans="1:2">
      <c r="A35" s="138"/>
      <c r="B35" s="138"/>
    </row>
    <row r="36" spans="1:2">
      <c r="A36" s="138"/>
      <c r="B36" s="138"/>
    </row>
    <row r="37" spans="1:2">
      <c r="A37" s="140" t="s">
        <v>44</v>
      </c>
      <c r="B37" s="140" t="s">
        <v>44</v>
      </c>
    </row>
    <row r="38" spans="1:2">
      <c r="A38" s="142" t="s">
        <v>5</v>
      </c>
      <c r="B38" s="146">
        <f>SUM(B30:B36)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A8AE-E977-494A-A001-3D264CCD9CB2}">
  <sheetPr codeName="Sheet6"/>
  <dimension ref="A1:L85"/>
  <sheetViews>
    <sheetView zoomScale="115" zoomScaleNormal="115" workbookViewId="0">
      <pane ySplit="1" topLeftCell="A77" activePane="bottomLeft" state="frozen"/>
      <selection pane="bottomLeft" activeCell="A21" sqref="A21"/>
    </sheetView>
  </sheetViews>
  <sheetFormatPr defaultRowHeight="13.2"/>
  <cols>
    <col min="1" max="1" width="40.33203125" customWidth="1"/>
    <col min="2" max="2" width="16.6640625" customWidth="1"/>
    <col min="3" max="3" width="5.6640625" style="201" customWidth="1"/>
    <col min="4" max="4" width="1.33203125" style="201" customWidth="1"/>
    <col min="5" max="5" width="12" style="190" customWidth="1"/>
    <col min="6" max="6" width="10.6640625" style="197" customWidth="1"/>
    <col min="7" max="7" width="1.33203125" style="197" customWidth="1"/>
    <col min="8" max="8" width="13.6640625" style="190" customWidth="1"/>
    <col min="9" max="9" width="9.5546875" style="191" customWidth="1"/>
    <col min="10" max="10" width="1.33203125" style="191" customWidth="1"/>
    <col min="11" max="11" width="11.33203125" style="190" customWidth="1"/>
    <col min="12" max="12" width="9.109375" style="191" customWidth="1"/>
    <col min="257" max="257" width="40.33203125" customWidth="1"/>
    <col min="258" max="258" width="16.6640625" customWidth="1"/>
    <col min="259" max="259" width="5.6640625" customWidth="1"/>
    <col min="260" max="260" width="1.33203125" customWidth="1"/>
    <col min="261" max="261" width="12" customWidth="1"/>
    <col min="262" max="262" width="10.6640625" customWidth="1"/>
    <col min="263" max="263" width="1.33203125" customWidth="1"/>
    <col min="264" max="264" width="13.6640625" customWidth="1"/>
    <col min="265" max="265" width="9.5546875" customWidth="1"/>
    <col min="266" max="266" width="1.33203125" customWidth="1"/>
    <col min="267" max="267" width="11.33203125" customWidth="1"/>
    <col min="268" max="268" width="9.109375" customWidth="1"/>
    <col min="513" max="513" width="40.33203125" customWidth="1"/>
    <col min="514" max="514" width="16.6640625" customWidth="1"/>
    <col min="515" max="515" width="5.6640625" customWidth="1"/>
    <col min="516" max="516" width="1.33203125" customWidth="1"/>
    <col min="517" max="517" width="12" customWidth="1"/>
    <col min="518" max="518" width="10.6640625" customWidth="1"/>
    <col min="519" max="519" width="1.33203125" customWidth="1"/>
    <col min="520" max="520" width="13.6640625" customWidth="1"/>
    <col min="521" max="521" width="9.5546875" customWidth="1"/>
    <col min="522" max="522" width="1.33203125" customWidth="1"/>
    <col min="523" max="523" width="11.33203125" customWidth="1"/>
    <col min="524" max="524" width="9.109375" customWidth="1"/>
    <col min="769" max="769" width="40.33203125" customWidth="1"/>
    <col min="770" max="770" width="16.6640625" customWidth="1"/>
    <col min="771" max="771" width="5.6640625" customWidth="1"/>
    <col min="772" max="772" width="1.33203125" customWidth="1"/>
    <col min="773" max="773" width="12" customWidth="1"/>
    <col min="774" max="774" width="10.6640625" customWidth="1"/>
    <col min="775" max="775" width="1.33203125" customWidth="1"/>
    <col min="776" max="776" width="13.6640625" customWidth="1"/>
    <col min="777" max="777" width="9.5546875" customWidth="1"/>
    <col min="778" max="778" width="1.33203125" customWidth="1"/>
    <col min="779" max="779" width="11.33203125" customWidth="1"/>
    <col min="780" max="780" width="9.109375" customWidth="1"/>
    <col min="1025" max="1025" width="40.33203125" customWidth="1"/>
    <col min="1026" max="1026" width="16.6640625" customWidth="1"/>
    <col min="1027" max="1027" width="5.6640625" customWidth="1"/>
    <col min="1028" max="1028" width="1.33203125" customWidth="1"/>
    <col min="1029" max="1029" width="12" customWidth="1"/>
    <col min="1030" max="1030" width="10.6640625" customWidth="1"/>
    <col min="1031" max="1031" width="1.33203125" customWidth="1"/>
    <col min="1032" max="1032" width="13.6640625" customWidth="1"/>
    <col min="1033" max="1033" width="9.5546875" customWidth="1"/>
    <col min="1034" max="1034" width="1.33203125" customWidth="1"/>
    <col min="1035" max="1035" width="11.33203125" customWidth="1"/>
    <col min="1036" max="1036" width="9.109375" customWidth="1"/>
    <col min="1281" max="1281" width="40.33203125" customWidth="1"/>
    <col min="1282" max="1282" width="16.6640625" customWidth="1"/>
    <col min="1283" max="1283" width="5.6640625" customWidth="1"/>
    <col min="1284" max="1284" width="1.33203125" customWidth="1"/>
    <col min="1285" max="1285" width="12" customWidth="1"/>
    <col min="1286" max="1286" width="10.6640625" customWidth="1"/>
    <col min="1287" max="1287" width="1.33203125" customWidth="1"/>
    <col min="1288" max="1288" width="13.6640625" customWidth="1"/>
    <col min="1289" max="1289" width="9.5546875" customWidth="1"/>
    <col min="1290" max="1290" width="1.33203125" customWidth="1"/>
    <col min="1291" max="1291" width="11.33203125" customWidth="1"/>
    <col min="1292" max="1292" width="9.109375" customWidth="1"/>
    <col min="1537" max="1537" width="40.33203125" customWidth="1"/>
    <col min="1538" max="1538" width="16.6640625" customWidth="1"/>
    <col min="1539" max="1539" width="5.6640625" customWidth="1"/>
    <col min="1540" max="1540" width="1.33203125" customWidth="1"/>
    <col min="1541" max="1541" width="12" customWidth="1"/>
    <col min="1542" max="1542" width="10.6640625" customWidth="1"/>
    <col min="1543" max="1543" width="1.33203125" customWidth="1"/>
    <col min="1544" max="1544" width="13.6640625" customWidth="1"/>
    <col min="1545" max="1545" width="9.5546875" customWidth="1"/>
    <col min="1546" max="1546" width="1.33203125" customWidth="1"/>
    <col min="1547" max="1547" width="11.33203125" customWidth="1"/>
    <col min="1548" max="1548" width="9.109375" customWidth="1"/>
    <col min="1793" max="1793" width="40.33203125" customWidth="1"/>
    <col min="1794" max="1794" width="16.6640625" customWidth="1"/>
    <col min="1795" max="1795" width="5.6640625" customWidth="1"/>
    <col min="1796" max="1796" width="1.33203125" customWidth="1"/>
    <col min="1797" max="1797" width="12" customWidth="1"/>
    <col min="1798" max="1798" width="10.6640625" customWidth="1"/>
    <col min="1799" max="1799" width="1.33203125" customWidth="1"/>
    <col min="1800" max="1800" width="13.6640625" customWidth="1"/>
    <col min="1801" max="1801" width="9.5546875" customWidth="1"/>
    <col min="1802" max="1802" width="1.33203125" customWidth="1"/>
    <col min="1803" max="1803" width="11.33203125" customWidth="1"/>
    <col min="1804" max="1804" width="9.109375" customWidth="1"/>
    <col min="2049" max="2049" width="40.33203125" customWidth="1"/>
    <col min="2050" max="2050" width="16.6640625" customWidth="1"/>
    <col min="2051" max="2051" width="5.6640625" customWidth="1"/>
    <col min="2052" max="2052" width="1.33203125" customWidth="1"/>
    <col min="2053" max="2053" width="12" customWidth="1"/>
    <col min="2054" max="2054" width="10.6640625" customWidth="1"/>
    <col min="2055" max="2055" width="1.33203125" customWidth="1"/>
    <col min="2056" max="2056" width="13.6640625" customWidth="1"/>
    <col min="2057" max="2057" width="9.5546875" customWidth="1"/>
    <col min="2058" max="2058" width="1.33203125" customWidth="1"/>
    <col min="2059" max="2059" width="11.33203125" customWidth="1"/>
    <col min="2060" max="2060" width="9.109375" customWidth="1"/>
    <col min="2305" max="2305" width="40.33203125" customWidth="1"/>
    <col min="2306" max="2306" width="16.6640625" customWidth="1"/>
    <col min="2307" max="2307" width="5.6640625" customWidth="1"/>
    <col min="2308" max="2308" width="1.33203125" customWidth="1"/>
    <col min="2309" max="2309" width="12" customWidth="1"/>
    <col min="2310" max="2310" width="10.6640625" customWidth="1"/>
    <col min="2311" max="2311" width="1.33203125" customWidth="1"/>
    <col min="2312" max="2312" width="13.6640625" customWidth="1"/>
    <col min="2313" max="2313" width="9.5546875" customWidth="1"/>
    <col min="2314" max="2314" width="1.33203125" customWidth="1"/>
    <col min="2315" max="2315" width="11.33203125" customWidth="1"/>
    <col min="2316" max="2316" width="9.109375" customWidth="1"/>
    <col min="2561" max="2561" width="40.33203125" customWidth="1"/>
    <col min="2562" max="2562" width="16.6640625" customWidth="1"/>
    <col min="2563" max="2563" width="5.6640625" customWidth="1"/>
    <col min="2564" max="2564" width="1.33203125" customWidth="1"/>
    <col min="2565" max="2565" width="12" customWidth="1"/>
    <col min="2566" max="2566" width="10.6640625" customWidth="1"/>
    <col min="2567" max="2567" width="1.33203125" customWidth="1"/>
    <col min="2568" max="2568" width="13.6640625" customWidth="1"/>
    <col min="2569" max="2569" width="9.5546875" customWidth="1"/>
    <col min="2570" max="2570" width="1.33203125" customWidth="1"/>
    <col min="2571" max="2571" width="11.33203125" customWidth="1"/>
    <col min="2572" max="2572" width="9.109375" customWidth="1"/>
    <col min="2817" max="2817" width="40.33203125" customWidth="1"/>
    <col min="2818" max="2818" width="16.6640625" customWidth="1"/>
    <col min="2819" max="2819" width="5.6640625" customWidth="1"/>
    <col min="2820" max="2820" width="1.33203125" customWidth="1"/>
    <col min="2821" max="2821" width="12" customWidth="1"/>
    <col min="2822" max="2822" width="10.6640625" customWidth="1"/>
    <col min="2823" max="2823" width="1.33203125" customWidth="1"/>
    <col min="2824" max="2824" width="13.6640625" customWidth="1"/>
    <col min="2825" max="2825" width="9.5546875" customWidth="1"/>
    <col min="2826" max="2826" width="1.33203125" customWidth="1"/>
    <col min="2827" max="2827" width="11.33203125" customWidth="1"/>
    <col min="2828" max="2828" width="9.109375" customWidth="1"/>
    <col min="3073" max="3073" width="40.33203125" customWidth="1"/>
    <col min="3074" max="3074" width="16.6640625" customWidth="1"/>
    <col min="3075" max="3075" width="5.6640625" customWidth="1"/>
    <col min="3076" max="3076" width="1.33203125" customWidth="1"/>
    <col min="3077" max="3077" width="12" customWidth="1"/>
    <col min="3078" max="3078" width="10.6640625" customWidth="1"/>
    <col min="3079" max="3079" width="1.33203125" customWidth="1"/>
    <col min="3080" max="3080" width="13.6640625" customWidth="1"/>
    <col min="3081" max="3081" width="9.5546875" customWidth="1"/>
    <col min="3082" max="3082" width="1.33203125" customWidth="1"/>
    <col min="3083" max="3083" width="11.33203125" customWidth="1"/>
    <col min="3084" max="3084" width="9.109375" customWidth="1"/>
    <col min="3329" max="3329" width="40.33203125" customWidth="1"/>
    <col min="3330" max="3330" width="16.6640625" customWidth="1"/>
    <col min="3331" max="3331" width="5.6640625" customWidth="1"/>
    <col min="3332" max="3332" width="1.33203125" customWidth="1"/>
    <col min="3333" max="3333" width="12" customWidth="1"/>
    <col min="3334" max="3334" width="10.6640625" customWidth="1"/>
    <col min="3335" max="3335" width="1.33203125" customWidth="1"/>
    <col min="3336" max="3336" width="13.6640625" customWidth="1"/>
    <col min="3337" max="3337" width="9.5546875" customWidth="1"/>
    <col min="3338" max="3338" width="1.33203125" customWidth="1"/>
    <col min="3339" max="3339" width="11.33203125" customWidth="1"/>
    <col min="3340" max="3340" width="9.109375" customWidth="1"/>
    <col min="3585" max="3585" width="40.33203125" customWidth="1"/>
    <col min="3586" max="3586" width="16.6640625" customWidth="1"/>
    <col min="3587" max="3587" width="5.6640625" customWidth="1"/>
    <col min="3588" max="3588" width="1.33203125" customWidth="1"/>
    <col min="3589" max="3589" width="12" customWidth="1"/>
    <col min="3590" max="3590" width="10.6640625" customWidth="1"/>
    <col min="3591" max="3591" width="1.33203125" customWidth="1"/>
    <col min="3592" max="3592" width="13.6640625" customWidth="1"/>
    <col min="3593" max="3593" width="9.5546875" customWidth="1"/>
    <col min="3594" max="3594" width="1.33203125" customWidth="1"/>
    <col min="3595" max="3595" width="11.33203125" customWidth="1"/>
    <col min="3596" max="3596" width="9.109375" customWidth="1"/>
    <col min="3841" max="3841" width="40.33203125" customWidth="1"/>
    <col min="3842" max="3842" width="16.6640625" customWidth="1"/>
    <col min="3843" max="3843" width="5.6640625" customWidth="1"/>
    <col min="3844" max="3844" width="1.33203125" customWidth="1"/>
    <col min="3845" max="3845" width="12" customWidth="1"/>
    <col min="3846" max="3846" width="10.6640625" customWidth="1"/>
    <col min="3847" max="3847" width="1.33203125" customWidth="1"/>
    <col min="3848" max="3848" width="13.6640625" customWidth="1"/>
    <col min="3849" max="3849" width="9.5546875" customWidth="1"/>
    <col min="3850" max="3850" width="1.33203125" customWidth="1"/>
    <col min="3851" max="3851" width="11.33203125" customWidth="1"/>
    <col min="3852" max="3852" width="9.109375" customWidth="1"/>
    <col min="4097" max="4097" width="40.33203125" customWidth="1"/>
    <col min="4098" max="4098" width="16.6640625" customWidth="1"/>
    <col min="4099" max="4099" width="5.6640625" customWidth="1"/>
    <col min="4100" max="4100" width="1.33203125" customWidth="1"/>
    <col min="4101" max="4101" width="12" customWidth="1"/>
    <col min="4102" max="4102" width="10.6640625" customWidth="1"/>
    <col min="4103" max="4103" width="1.33203125" customWidth="1"/>
    <col min="4104" max="4104" width="13.6640625" customWidth="1"/>
    <col min="4105" max="4105" width="9.5546875" customWidth="1"/>
    <col min="4106" max="4106" width="1.33203125" customWidth="1"/>
    <col min="4107" max="4107" width="11.33203125" customWidth="1"/>
    <col min="4108" max="4108" width="9.109375" customWidth="1"/>
    <col min="4353" max="4353" width="40.33203125" customWidth="1"/>
    <col min="4354" max="4354" width="16.6640625" customWidth="1"/>
    <col min="4355" max="4355" width="5.6640625" customWidth="1"/>
    <col min="4356" max="4356" width="1.33203125" customWidth="1"/>
    <col min="4357" max="4357" width="12" customWidth="1"/>
    <col min="4358" max="4358" width="10.6640625" customWidth="1"/>
    <col min="4359" max="4359" width="1.33203125" customWidth="1"/>
    <col min="4360" max="4360" width="13.6640625" customWidth="1"/>
    <col min="4361" max="4361" width="9.5546875" customWidth="1"/>
    <col min="4362" max="4362" width="1.33203125" customWidth="1"/>
    <col min="4363" max="4363" width="11.33203125" customWidth="1"/>
    <col min="4364" max="4364" width="9.109375" customWidth="1"/>
    <col min="4609" max="4609" width="40.33203125" customWidth="1"/>
    <col min="4610" max="4610" width="16.6640625" customWidth="1"/>
    <col min="4611" max="4611" width="5.6640625" customWidth="1"/>
    <col min="4612" max="4612" width="1.33203125" customWidth="1"/>
    <col min="4613" max="4613" width="12" customWidth="1"/>
    <col min="4614" max="4614" width="10.6640625" customWidth="1"/>
    <col min="4615" max="4615" width="1.33203125" customWidth="1"/>
    <col min="4616" max="4616" width="13.6640625" customWidth="1"/>
    <col min="4617" max="4617" width="9.5546875" customWidth="1"/>
    <col min="4618" max="4618" width="1.33203125" customWidth="1"/>
    <col min="4619" max="4619" width="11.33203125" customWidth="1"/>
    <col min="4620" max="4620" width="9.109375" customWidth="1"/>
    <col min="4865" max="4865" width="40.33203125" customWidth="1"/>
    <col min="4866" max="4866" width="16.6640625" customWidth="1"/>
    <col min="4867" max="4867" width="5.6640625" customWidth="1"/>
    <col min="4868" max="4868" width="1.33203125" customWidth="1"/>
    <col min="4869" max="4869" width="12" customWidth="1"/>
    <col min="4870" max="4870" width="10.6640625" customWidth="1"/>
    <col min="4871" max="4871" width="1.33203125" customWidth="1"/>
    <col min="4872" max="4872" width="13.6640625" customWidth="1"/>
    <col min="4873" max="4873" width="9.5546875" customWidth="1"/>
    <col min="4874" max="4874" width="1.33203125" customWidth="1"/>
    <col min="4875" max="4875" width="11.33203125" customWidth="1"/>
    <col min="4876" max="4876" width="9.109375" customWidth="1"/>
    <col min="5121" max="5121" width="40.33203125" customWidth="1"/>
    <col min="5122" max="5122" width="16.6640625" customWidth="1"/>
    <col min="5123" max="5123" width="5.6640625" customWidth="1"/>
    <col min="5124" max="5124" width="1.33203125" customWidth="1"/>
    <col min="5125" max="5125" width="12" customWidth="1"/>
    <col min="5126" max="5126" width="10.6640625" customWidth="1"/>
    <col min="5127" max="5127" width="1.33203125" customWidth="1"/>
    <col min="5128" max="5128" width="13.6640625" customWidth="1"/>
    <col min="5129" max="5129" width="9.5546875" customWidth="1"/>
    <col min="5130" max="5130" width="1.33203125" customWidth="1"/>
    <col min="5131" max="5131" width="11.33203125" customWidth="1"/>
    <col min="5132" max="5132" width="9.109375" customWidth="1"/>
    <col min="5377" max="5377" width="40.33203125" customWidth="1"/>
    <col min="5378" max="5378" width="16.6640625" customWidth="1"/>
    <col min="5379" max="5379" width="5.6640625" customWidth="1"/>
    <col min="5380" max="5380" width="1.33203125" customWidth="1"/>
    <col min="5381" max="5381" width="12" customWidth="1"/>
    <col min="5382" max="5382" width="10.6640625" customWidth="1"/>
    <col min="5383" max="5383" width="1.33203125" customWidth="1"/>
    <col min="5384" max="5384" width="13.6640625" customWidth="1"/>
    <col min="5385" max="5385" width="9.5546875" customWidth="1"/>
    <col min="5386" max="5386" width="1.33203125" customWidth="1"/>
    <col min="5387" max="5387" width="11.33203125" customWidth="1"/>
    <col min="5388" max="5388" width="9.109375" customWidth="1"/>
    <col min="5633" max="5633" width="40.33203125" customWidth="1"/>
    <col min="5634" max="5634" width="16.6640625" customWidth="1"/>
    <col min="5635" max="5635" width="5.6640625" customWidth="1"/>
    <col min="5636" max="5636" width="1.33203125" customWidth="1"/>
    <col min="5637" max="5637" width="12" customWidth="1"/>
    <col min="5638" max="5638" width="10.6640625" customWidth="1"/>
    <col min="5639" max="5639" width="1.33203125" customWidth="1"/>
    <col min="5640" max="5640" width="13.6640625" customWidth="1"/>
    <col min="5641" max="5641" width="9.5546875" customWidth="1"/>
    <col min="5642" max="5642" width="1.33203125" customWidth="1"/>
    <col min="5643" max="5643" width="11.33203125" customWidth="1"/>
    <col min="5644" max="5644" width="9.109375" customWidth="1"/>
    <col min="5889" max="5889" width="40.33203125" customWidth="1"/>
    <col min="5890" max="5890" width="16.6640625" customWidth="1"/>
    <col min="5891" max="5891" width="5.6640625" customWidth="1"/>
    <col min="5892" max="5892" width="1.33203125" customWidth="1"/>
    <col min="5893" max="5893" width="12" customWidth="1"/>
    <col min="5894" max="5894" width="10.6640625" customWidth="1"/>
    <col min="5895" max="5895" width="1.33203125" customWidth="1"/>
    <col min="5896" max="5896" width="13.6640625" customWidth="1"/>
    <col min="5897" max="5897" width="9.5546875" customWidth="1"/>
    <col min="5898" max="5898" width="1.33203125" customWidth="1"/>
    <col min="5899" max="5899" width="11.33203125" customWidth="1"/>
    <col min="5900" max="5900" width="9.109375" customWidth="1"/>
    <col min="6145" max="6145" width="40.33203125" customWidth="1"/>
    <col min="6146" max="6146" width="16.6640625" customWidth="1"/>
    <col min="6147" max="6147" width="5.6640625" customWidth="1"/>
    <col min="6148" max="6148" width="1.33203125" customWidth="1"/>
    <col min="6149" max="6149" width="12" customWidth="1"/>
    <col min="6150" max="6150" width="10.6640625" customWidth="1"/>
    <col min="6151" max="6151" width="1.33203125" customWidth="1"/>
    <col min="6152" max="6152" width="13.6640625" customWidth="1"/>
    <col min="6153" max="6153" width="9.5546875" customWidth="1"/>
    <col min="6154" max="6154" width="1.33203125" customWidth="1"/>
    <col min="6155" max="6155" width="11.33203125" customWidth="1"/>
    <col min="6156" max="6156" width="9.109375" customWidth="1"/>
    <col min="6401" max="6401" width="40.33203125" customWidth="1"/>
    <col min="6402" max="6402" width="16.6640625" customWidth="1"/>
    <col min="6403" max="6403" width="5.6640625" customWidth="1"/>
    <col min="6404" max="6404" width="1.33203125" customWidth="1"/>
    <col min="6405" max="6405" width="12" customWidth="1"/>
    <col min="6406" max="6406" width="10.6640625" customWidth="1"/>
    <col min="6407" max="6407" width="1.33203125" customWidth="1"/>
    <col min="6408" max="6408" width="13.6640625" customWidth="1"/>
    <col min="6409" max="6409" width="9.5546875" customWidth="1"/>
    <col min="6410" max="6410" width="1.33203125" customWidth="1"/>
    <col min="6411" max="6411" width="11.33203125" customWidth="1"/>
    <col min="6412" max="6412" width="9.109375" customWidth="1"/>
    <col min="6657" max="6657" width="40.33203125" customWidth="1"/>
    <col min="6658" max="6658" width="16.6640625" customWidth="1"/>
    <col min="6659" max="6659" width="5.6640625" customWidth="1"/>
    <col min="6660" max="6660" width="1.33203125" customWidth="1"/>
    <col min="6661" max="6661" width="12" customWidth="1"/>
    <col min="6662" max="6662" width="10.6640625" customWidth="1"/>
    <col min="6663" max="6663" width="1.33203125" customWidth="1"/>
    <col min="6664" max="6664" width="13.6640625" customWidth="1"/>
    <col min="6665" max="6665" width="9.5546875" customWidth="1"/>
    <col min="6666" max="6666" width="1.33203125" customWidth="1"/>
    <col min="6667" max="6667" width="11.33203125" customWidth="1"/>
    <col min="6668" max="6668" width="9.109375" customWidth="1"/>
    <col min="6913" max="6913" width="40.33203125" customWidth="1"/>
    <col min="6914" max="6914" width="16.6640625" customWidth="1"/>
    <col min="6915" max="6915" width="5.6640625" customWidth="1"/>
    <col min="6916" max="6916" width="1.33203125" customWidth="1"/>
    <col min="6917" max="6917" width="12" customWidth="1"/>
    <col min="6918" max="6918" width="10.6640625" customWidth="1"/>
    <col min="6919" max="6919" width="1.33203125" customWidth="1"/>
    <col min="6920" max="6920" width="13.6640625" customWidth="1"/>
    <col min="6921" max="6921" width="9.5546875" customWidth="1"/>
    <col min="6922" max="6922" width="1.33203125" customWidth="1"/>
    <col min="6923" max="6923" width="11.33203125" customWidth="1"/>
    <col min="6924" max="6924" width="9.109375" customWidth="1"/>
    <col min="7169" max="7169" width="40.33203125" customWidth="1"/>
    <col min="7170" max="7170" width="16.6640625" customWidth="1"/>
    <col min="7171" max="7171" width="5.6640625" customWidth="1"/>
    <col min="7172" max="7172" width="1.33203125" customWidth="1"/>
    <col min="7173" max="7173" width="12" customWidth="1"/>
    <col min="7174" max="7174" width="10.6640625" customWidth="1"/>
    <col min="7175" max="7175" width="1.33203125" customWidth="1"/>
    <col min="7176" max="7176" width="13.6640625" customWidth="1"/>
    <col min="7177" max="7177" width="9.5546875" customWidth="1"/>
    <col min="7178" max="7178" width="1.33203125" customWidth="1"/>
    <col min="7179" max="7179" width="11.33203125" customWidth="1"/>
    <col min="7180" max="7180" width="9.109375" customWidth="1"/>
    <col min="7425" max="7425" width="40.33203125" customWidth="1"/>
    <col min="7426" max="7426" width="16.6640625" customWidth="1"/>
    <col min="7427" max="7427" width="5.6640625" customWidth="1"/>
    <col min="7428" max="7428" width="1.33203125" customWidth="1"/>
    <col min="7429" max="7429" width="12" customWidth="1"/>
    <col min="7430" max="7430" width="10.6640625" customWidth="1"/>
    <col min="7431" max="7431" width="1.33203125" customWidth="1"/>
    <col min="7432" max="7432" width="13.6640625" customWidth="1"/>
    <col min="7433" max="7433" width="9.5546875" customWidth="1"/>
    <col min="7434" max="7434" width="1.33203125" customWidth="1"/>
    <col min="7435" max="7435" width="11.33203125" customWidth="1"/>
    <col min="7436" max="7436" width="9.109375" customWidth="1"/>
    <col min="7681" max="7681" width="40.33203125" customWidth="1"/>
    <col min="7682" max="7682" width="16.6640625" customWidth="1"/>
    <col min="7683" max="7683" width="5.6640625" customWidth="1"/>
    <col min="7684" max="7684" width="1.33203125" customWidth="1"/>
    <col min="7685" max="7685" width="12" customWidth="1"/>
    <col min="7686" max="7686" width="10.6640625" customWidth="1"/>
    <col min="7687" max="7687" width="1.33203125" customWidth="1"/>
    <col min="7688" max="7688" width="13.6640625" customWidth="1"/>
    <col min="7689" max="7689" width="9.5546875" customWidth="1"/>
    <col min="7690" max="7690" width="1.33203125" customWidth="1"/>
    <col min="7691" max="7691" width="11.33203125" customWidth="1"/>
    <col min="7692" max="7692" width="9.109375" customWidth="1"/>
    <col min="7937" max="7937" width="40.33203125" customWidth="1"/>
    <col min="7938" max="7938" width="16.6640625" customWidth="1"/>
    <col min="7939" max="7939" width="5.6640625" customWidth="1"/>
    <col min="7940" max="7940" width="1.33203125" customWidth="1"/>
    <col min="7941" max="7941" width="12" customWidth="1"/>
    <col min="7942" max="7942" width="10.6640625" customWidth="1"/>
    <col min="7943" max="7943" width="1.33203125" customWidth="1"/>
    <col min="7944" max="7944" width="13.6640625" customWidth="1"/>
    <col min="7945" max="7945" width="9.5546875" customWidth="1"/>
    <col min="7946" max="7946" width="1.33203125" customWidth="1"/>
    <col min="7947" max="7947" width="11.33203125" customWidth="1"/>
    <col min="7948" max="7948" width="9.109375" customWidth="1"/>
    <col min="8193" max="8193" width="40.33203125" customWidth="1"/>
    <col min="8194" max="8194" width="16.6640625" customWidth="1"/>
    <col min="8195" max="8195" width="5.6640625" customWidth="1"/>
    <col min="8196" max="8196" width="1.33203125" customWidth="1"/>
    <col min="8197" max="8197" width="12" customWidth="1"/>
    <col min="8198" max="8198" width="10.6640625" customWidth="1"/>
    <col min="8199" max="8199" width="1.33203125" customWidth="1"/>
    <col min="8200" max="8200" width="13.6640625" customWidth="1"/>
    <col min="8201" max="8201" width="9.5546875" customWidth="1"/>
    <col min="8202" max="8202" width="1.33203125" customWidth="1"/>
    <col min="8203" max="8203" width="11.33203125" customWidth="1"/>
    <col min="8204" max="8204" width="9.109375" customWidth="1"/>
    <col min="8449" max="8449" width="40.33203125" customWidth="1"/>
    <col min="8450" max="8450" width="16.6640625" customWidth="1"/>
    <col min="8451" max="8451" width="5.6640625" customWidth="1"/>
    <col min="8452" max="8452" width="1.33203125" customWidth="1"/>
    <col min="8453" max="8453" width="12" customWidth="1"/>
    <col min="8454" max="8454" width="10.6640625" customWidth="1"/>
    <col min="8455" max="8455" width="1.33203125" customWidth="1"/>
    <col min="8456" max="8456" width="13.6640625" customWidth="1"/>
    <col min="8457" max="8457" width="9.5546875" customWidth="1"/>
    <col min="8458" max="8458" width="1.33203125" customWidth="1"/>
    <col min="8459" max="8459" width="11.33203125" customWidth="1"/>
    <col min="8460" max="8460" width="9.109375" customWidth="1"/>
    <col min="8705" max="8705" width="40.33203125" customWidth="1"/>
    <col min="8706" max="8706" width="16.6640625" customWidth="1"/>
    <col min="8707" max="8707" width="5.6640625" customWidth="1"/>
    <col min="8708" max="8708" width="1.33203125" customWidth="1"/>
    <col min="8709" max="8709" width="12" customWidth="1"/>
    <col min="8710" max="8710" width="10.6640625" customWidth="1"/>
    <col min="8711" max="8711" width="1.33203125" customWidth="1"/>
    <col min="8712" max="8712" width="13.6640625" customWidth="1"/>
    <col min="8713" max="8713" width="9.5546875" customWidth="1"/>
    <col min="8714" max="8714" width="1.33203125" customWidth="1"/>
    <col min="8715" max="8715" width="11.33203125" customWidth="1"/>
    <col min="8716" max="8716" width="9.109375" customWidth="1"/>
    <col min="8961" max="8961" width="40.33203125" customWidth="1"/>
    <col min="8962" max="8962" width="16.6640625" customWidth="1"/>
    <col min="8963" max="8963" width="5.6640625" customWidth="1"/>
    <col min="8964" max="8964" width="1.33203125" customWidth="1"/>
    <col min="8965" max="8965" width="12" customWidth="1"/>
    <col min="8966" max="8966" width="10.6640625" customWidth="1"/>
    <col min="8967" max="8967" width="1.33203125" customWidth="1"/>
    <col min="8968" max="8968" width="13.6640625" customWidth="1"/>
    <col min="8969" max="8969" width="9.5546875" customWidth="1"/>
    <col min="8970" max="8970" width="1.33203125" customWidth="1"/>
    <col min="8971" max="8971" width="11.33203125" customWidth="1"/>
    <col min="8972" max="8972" width="9.109375" customWidth="1"/>
    <col min="9217" max="9217" width="40.33203125" customWidth="1"/>
    <col min="9218" max="9218" width="16.6640625" customWidth="1"/>
    <col min="9219" max="9219" width="5.6640625" customWidth="1"/>
    <col min="9220" max="9220" width="1.33203125" customWidth="1"/>
    <col min="9221" max="9221" width="12" customWidth="1"/>
    <col min="9222" max="9222" width="10.6640625" customWidth="1"/>
    <col min="9223" max="9223" width="1.33203125" customWidth="1"/>
    <col min="9224" max="9224" width="13.6640625" customWidth="1"/>
    <col min="9225" max="9225" width="9.5546875" customWidth="1"/>
    <col min="9226" max="9226" width="1.33203125" customWidth="1"/>
    <col min="9227" max="9227" width="11.33203125" customWidth="1"/>
    <col min="9228" max="9228" width="9.109375" customWidth="1"/>
    <col min="9473" max="9473" width="40.33203125" customWidth="1"/>
    <col min="9474" max="9474" width="16.6640625" customWidth="1"/>
    <col min="9475" max="9475" width="5.6640625" customWidth="1"/>
    <col min="9476" max="9476" width="1.33203125" customWidth="1"/>
    <col min="9477" max="9477" width="12" customWidth="1"/>
    <col min="9478" max="9478" width="10.6640625" customWidth="1"/>
    <col min="9479" max="9479" width="1.33203125" customWidth="1"/>
    <col min="9480" max="9480" width="13.6640625" customWidth="1"/>
    <col min="9481" max="9481" width="9.5546875" customWidth="1"/>
    <col min="9482" max="9482" width="1.33203125" customWidth="1"/>
    <col min="9483" max="9483" width="11.33203125" customWidth="1"/>
    <col min="9484" max="9484" width="9.109375" customWidth="1"/>
    <col min="9729" max="9729" width="40.33203125" customWidth="1"/>
    <col min="9730" max="9730" width="16.6640625" customWidth="1"/>
    <col min="9731" max="9731" width="5.6640625" customWidth="1"/>
    <col min="9732" max="9732" width="1.33203125" customWidth="1"/>
    <col min="9733" max="9733" width="12" customWidth="1"/>
    <col min="9734" max="9734" width="10.6640625" customWidth="1"/>
    <col min="9735" max="9735" width="1.33203125" customWidth="1"/>
    <col min="9736" max="9736" width="13.6640625" customWidth="1"/>
    <col min="9737" max="9737" width="9.5546875" customWidth="1"/>
    <col min="9738" max="9738" width="1.33203125" customWidth="1"/>
    <col min="9739" max="9739" width="11.33203125" customWidth="1"/>
    <col min="9740" max="9740" width="9.109375" customWidth="1"/>
    <col min="9985" max="9985" width="40.33203125" customWidth="1"/>
    <col min="9986" max="9986" width="16.6640625" customWidth="1"/>
    <col min="9987" max="9987" width="5.6640625" customWidth="1"/>
    <col min="9988" max="9988" width="1.33203125" customWidth="1"/>
    <col min="9989" max="9989" width="12" customWidth="1"/>
    <col min="9990" max="9990" width="10.6640625" customWidth="1"/>
    <col min="9991" max="9991" width="1.33203125" customWidth="1"/>
    <col min="9992" max="9992" width="13.6640625" customWidth="1"/>
    <col min="9993" max="9993" width="9.5546875" customWidth="1"/>
    <col min="9994" max="9994" width="1.33203125" customWidth="1"/>
    <col min="9995" max="9995" width="11.33203125" customWidth="1"/>
    <col min="9996" max="9996" width="9.109375" customWidth="1"/>
    <col min="10241" max="10241" width="40.33203125" customWidth="1"/>
    <col min="10242" max="10242" width="16.6640625" customWidth="1"/>
    <col min="10243" max="10243" width="5.6640625" customWidth="1"/>
    <col min="10244" max="10244" width="1.33203125" customWidth="1"/>
    <col min="10245" max="10245" width="12" customWidth="1"/>
    <col min="10246" max="10246" width="10.6640625" customWidth="1"/>
    <col min="10247" max="10247" width="1.33203125" customWidth="1"/>
    <col min="10248" max="10248" width="13.6640625" customWidth="1"/>
    <col min="10249" max="10249" width="9.5546875" customWidth="1"/>
    <col min="10250" max="10250" width="1.33203125" customWidth="1"/>
    <col min="10251" max="10251" width="11.33203125" customWidth="1"/>
    <col min="10252" max="10252" width="9.109375" customWidth="1"/>
    <col min="10497" max="10497" width="40.33203125" customWidth="1"/>
    <col min="10498" max="10498" width="16.6640625" customWidth="1"/>
    <col min="10499" max="10499" width="5.6640625" customWidth="1"/>
    <col min="10500" max="10500" width="1.33203125" customWidth="1"/>
    <col min="10501" max="10501" width="12" customWidth="1"/>
    <col min="10502" max="10502" width="10.6640625" customWidth="1"/>
    <col min="10503" max="10503" width="1.33203125" customWidth="1"/>
    <col min="10504" max="10504" width="13.6640625" customWidth="1"/>
    <col min="10505" max="10505" width="9.5546875" customWidth="1"/>
    <col min="10506" max="10506" width="1.33203125" customWidth="1"/>
    <col min="10507" max="10507" width="11.33203125" customWidth="1"/>
    <col min="10508" max="10508" width="9.109375" customWidth="1"/>
    <col min="10753" max="10753" width="40.33203125" customWidth="1"/>
    <col min="10754" max="10754" width="16.6640625" customWidth="1"/>
    <col min="10755" max="10755" width="5.6640625" customWidth="1"/>
    <col min="10756" max="10756" width="1.33203125" customWidth="1"/>
    <col min="10757" max="10757" width="12" customWidth="1"/>
    <col min="10758" max="10758" width="10.6640625" customWidth="1"/>
    <col min="10759" max="10759" width="1.33203125" customWidth="1"/>
    <col min="10760" max="10760" width="13.6640625" customWidth="1"/>
    <col min="10761" max="10761" width="9.5546875" customWidth="1"/>
    <col min="10762" max="10762" width="1.33203125" customWidth="1"/>
    <col min="10763" max="10763" width="11.33203125" customWidth="1"/>
    <col min="10764" max="10764" width="9.109375" customWidth="1"/>
    <col min="11009" max="11009" width="40.33203125" customWidth="1"/>
    <col min="11010" max="11010" width="16.6640625" customWidth="1"/>
    <col min="11011" max="11011" width="5.6640625" customWidth="1"/>
    <col min="11012" max="11012" width="1.33203125" customWidth="1"/>
    <col min="11013" max="11013" width="12" customWidth="1"/>
    <col min="11014" max="11014" width="10.6640625" customWidth="1"/>
    <col min="11015" max="11015" width="1.33203125" customWidth="1"/>
    <col min="11016" max="11016" width="13.6640625" customWidth="1"/>
    <col min="11017" max="11017" width="9.5546875" customWidth="1"/>
    <col min="11018" max="11018" width="1.33203125" customWidth="1"/>
    <col min="11019" max="11019" width="11.33203125" customWidth="1"/>
    <col min="11020" max="11020" width="9.109375" customWidth="1"/>
    <col min="11265" max="11265" width="40.33203125" customWidth="1"/>
    <col min="11266" max="11266" width="16.6640625" customWidth="1"/>
    <col min="11267" max="11267" width="5.6640625" customWidth="1"/>
    <col min="11268" max="11268" width="1.33203125" customWidth="1"/>
    <col min="11269" max="11269" width="12" customWidth="1"/>
    <col min="11270" max="11270" width="10.6640625" customWidth="1"/>
    <col min="11271" max="11271" width="1.33203125" customWidth="1"/>
    <col min="11272" max="11272" width="13.6640625" customWidth="1"/>
    <col min="11273" max="11273" width="9.5546875" customWidth="1"/>
    <col min="11274" max="11274" width="1.33203125" customWidth="1"/>
    <col min="11275" max="11275" width="11.33203125" customWidth="1"/>
    <col min="11276" max="11276" width="9.109375" customWidth="1"/>
    <col min="11521" max="11521" width="40.33203125" customWidth="1"/>
    <col min="11522" max="11522" width="16.6640625" customWidth="1"/>
    <col min="11523" max="11523" width="5.6640625" customWidth="1"/>
    <col min="11524" max="11524" width="1.33203125" customWidth="1"/>
    <col min="11525" max="11525" width="12" customWidth="1"/>
    <col min="11526" max="11526" width="10.6640625" customWidth="1"/>
    <col min="11527" max="11527" width="1.33203125" customWidth="1"/>
    <col min="11528" max="11528" width="13.6640625" customWidth="1"/>
    <col min="11529" max="11529" width="9.5546875" customWidth="1"/>
    <col min="11530" max="11530" width="1.33203125" customWidth="1"/>
    <col min="11531" max="11531" width="11.33203125" customWidth="1"/>
    <col min="11532" max="11532" width="9.109375" customWidth="1"/>
    <col min="11777" max="11777" width="40.33203125" customWidth="1"/>
    <col min="11778" max="11778" width="16.6640625" customWidth="1"/>
    <col min="11779" max="11779" width="5.6640625" customWidth="1"/>
    <col min="11780" max="11780" width="1.33203125" customWidth="1"/>
    <col min="11781" max="11781" width="12" customWidth="1"/>
    <col min="11782" max="11782" width="10.6640625" customWidth="1"/>
    <col min="11783" max="11783" width="1.33203125" customWidth="1"/>
    <col min="11784" max="11784" width="13.6640625" customWidth="1"/>
    <col min="11785" max="11785" width="9.5546875" customWidth="1"/>
    <col min="11786" max="11786" width="1.33203125" customWidth="1"/>
    <col min="11787" max="11787" width="11.33203125" customWidth="1"/>
    <col min="11788" max="11788" width="9.109375" customWidth="1"/>
    <col min="12033" max="12033" width="40.33203125" customWidth="1"/>
    <col min="12034" max="12034" width="16.6640625" customWidth="1"/>
    <col min="12035" max="12035" width="5.6640625" customWidth="1"/>
    <col min="12036" max="12036" width="1.33203125" customWidth="1"/>
    <col min="12037" max="12037" width="12" customWidth="1"/>
    <col min="12038" max="12038" width="10.6640625" customWidth="1"/>
    <col min="12039" max="12039" width="1.33203125" customWidth="1"/>
    <col min="12040" max="12040" width="13.6640625" customWidth="1"/>
    <col min="12041" max="12041" width="9.5546875" customWidth="1"/>
    <col min="12042" max="12042" width="1.33203125" customWidth="1"/>
    <col min="12043" max="12043" width="11.33203125" customWidth="1"/>
    <col min="12044" max="12044" width="9.109375" customWidth="1"/>
    <col min="12289" max="12289" width="40.33203125" customWidth="1"/>
    <col min="12290" max="12290" width="16.6640625" customWidth="1"/>
    <col min="12291" max="12291" width="5.6640625" customWidth="1"/>
    <col min="12292" max="12292" width="1.33203125" customWidth="1"/>
    <col min="12293" max="12293" width="12" customWidth="1"/>
    <col min="12294" max="12294" width="10.6640625" customWidth="1"/>
    <col min="12295" max="12295" width="1.33203125" customWidth="1"/>
    <col min="12296" max="12296" width="13.6640625" customWidth="1"/>
    <col min="12297" max="12297" width="9.5546875" customWidth="1"/>
    <col min="12298" max="12298" width="1.33203125" customWidth="1"/>
    <col min="12299" max="12299" width="11.33203125" customWidth="1"/>
    <col min="12300" max="12300" width="9.109375" customWidth="1"/>
    <col min="12545" max="12545" width="40.33203125" customWidth="1"/>
    <col min="12546" max="12546" width="16.6640625" customWidth="1"/>
    <col min="12547" max="12547" width="5.6640625" customWidth="1"/>
    <col min="12548" max="12548" width="1.33203125" customWidth="1"/>
    <col min="12549" max="12549" width="12" customWidth="1"/>
    <col min="12550" max="12550" width="10.6640625" customWidth="1"/>
    <col min="12551" max="12551" width="1.33203125" customWidth="1"/>
    <col min="12552" max="12552" width="13.6640625" customWidth="1"/>
    <col min="12553" max="12553" width="9.5546875" customWidth="1"/>
    <col min="12554" max="12554" width="1.33203125" customWidth="1"/>
    <col min="12555" max="12555" width="11.33203125" customWidth="1"/>
    <col min="12556" max="12556" width="9.109375" customWidth="1"/>
    <col min="12801" max="12801" width="40.33203125" customWidth="1"/>
    <col min="12802" max="12802" width="16.6640625" customWidth="1"/>
    <col min="12803" max="12803" width="5.6640625" customWidth="1"/>
    <col min="12804" max="12804" width="1.33203125" customWidth="1"/>
    <col min="12805" max="12805" width="12" customWidth="1"/>
    <col min="12806" max="12806" width="10.6640625" customWidth="1"/>
    <col min="12807" max="12807" width="1.33203125" customWidth="1"/>
    <col min="12808" max="12808" width="13.6640625" customWidth="1"/>
    <col min="12809" max="12809" width="9.5546875" customWidth="1"/>
    <col min="12810" max="12810" width="1.33203125" customWidth="1"/>
    <col min="12811" max="12811" width="11.33203125" customWidth="1"/>
    <col min="12812" max="12812" width="9.109375" customWidth="1"/>
    <col min="13057" max="13057" width="40.33203125" customWidth="1"/>
    <col min="13058" max="13058" width="16.6640625" customWidth="1"/>
    <col min="13059" max="13059" width="5.6640625" customWidth="1"/>
    <col min="13060" max="13060" width="1.33203125" customWidth="1"/>
    <col min="13061" max="13061" width="12" customWidth="1"/>
    <col min="13062" max="13062" width="10.6640625" customWidth="1"/>
    <col min="13063" max="13063" width="1.33203125" customWidth="1"/>
    <col min="13064" max="13064" width="13.6640625" customWidth="1"/>
    <col min="13065" max="13065" width="9.5546875" customWidth="1"/>
    <col min="13066" max="13066" width="1.33203125" customWidth="1"/>
    <col min="13067" max="13067" width="11.33203125" customWidth="1"/>
    <col min="13068" max="13068" width="9.109375" customWidth="1"/>
    <col min="13313" max="13313" width="40.33203125" customWidth="1"/>
    <col min="13314" max="13314" width="16.6640625" customWidth="1"/>
    <col min="13315" max="13315" width="5.6640625" customWidth="1"/>
    <col min="13316" max="13316" width="1.33203125" customWidth="1"/>
    <col min="13317" max="13317" width="12" customWidth="1"/>
    <col min="13318" max="13318" width="10.6640625" customWidth="1"/>
    <col min="13319" max="13319" width="1.33203125" customWidth="1"/>
    <col min="13320" max="13320" width="13.6640625" customWidth="1"/>
    <col min="13321" max="13321" width="9.5546875" customWidth="1"/>
    <col min="13322" max="13322" width="1.33203125" customWidth="1"/>
    <col min="13323" max="13323" width="11.33203125" customWidth="1"/>
    <col min="13324" max="13324" width="9.109375" customWidth="1"/>
    <col min="13569" max="13569" width="40.33203125" customWidth="1"/>
    <col min="13570" max="13570" width="16.6640625" customWidth="1"/>
    <col min="13571" max="13571" width="5.6640625" customWidth="1"/>
    <col min="13572" max="13572" width="1.33203125" customWidth="1"/>
    <col min="13573" max="13573" width="12" customWidth="1"/>
    <col min="13574" max="13574" width="10.6640625" customWidth="1"/>
    <col min="13575" max="13575" width="1.33203125" customWidth="1"/>
    <col min="13576" max="13576" width="13.6640625" customWidth="1"/>
    <col min="13577" max="13577" width="9.5546875" customWidth="1"/>
    <col min="13578" max="13578" width="1.33203125" customWidth="1"/>
    <col min="13579" max="13579" width="11.33203125" customWidth="1"/>
    <col min="13580" max="13580" width="9.109375" customWidth="1"/>
    <col min="13825" max="13825" width="40.33203125" customWidth="1"/>
    <col min="13826" max="13826" width="16.6640625" customWidth="1"/>
    <col min="13827" max="13827" width="5.6640625" customWidth="1"/>
    <col min="13828" max="13828" width="1.33203125" customWidth="1"/>
    <col min="13829" max="13829" width="12" customWidth="1"/>
    <col min="13830" max="13830" width="10.6640625" customWidth="1"/>
    <col min="13831" max="13831" width="1.33203125" customWidth="1"/>
    <col min="13832" max="13832" width="13.6640625" customWidth="1"/>
    <col min="13833" max="13833" width="9.5546875" customWidth="1"/>
    <col min="13834" max="13834" width="1.33203125" customWidth="1"/>
    <col min="13835" max="13835" width="11.33203125" customWidth="1"/>
    <col min="13836" max="13836" width="9.109375" customWidth="1"/>
    <col min="14081" max="14081" width="40.33203125" customWidth="1"/>
    <col min="14082" max="14082" width="16.6640625" customWidth="1"/>
    <col min="14083" max="14083" width="5.6640625" customWidth="1"/>
    <col min="14084" max="14084" width="1.33203125" customWidth="1"/>
    <col min="14085" max="14085" width="12" customWidth="1"/>
    <col min="14086" max="14086" width="10.6640625" customWidth="1"/>
    <col min="14087" max="14087" width="1.33203125" customWidth="1"/>
    <col min="14088" max="14088" width="13.6640625" customWidth="1"/>
    <col min="14089" max="14089" width="9.5546875" customWidth="1"/>
    <col min="14090" max="14090" width="1.33203125" customWidth="1"/>
    <col min="14091" max="14091" width="11.33203125" customWidth="1"/>
    <col min="14092" max="14092" width="9.109375" customWidth="1"/>
    <col min="14337" max="14337" width="40.33203125" customWidth="1"/>
    <col min="14338" max="14338" width="16.6640625" customWidth="1"/>
    <col min="14339" max="14339" width="5.6640625" customWidth="1"/>
    <col min="14340" max="14340" width="1.33203125" customWidth="1"/>
    <col min="14341" max="14341" width="12" customWidth="1"/>
    <col min="14342" max="14342" width="10.6640625" customWidth="1"/>
    <col min="14343" max="14343" width="1.33203125" customWidth="1"/>
    <col min="14344" max="14344" width="13.6640625" customWidth="1"/>
    <col min="14345" max="14345" width="9.5546875" customWidth="1"/>
    <col min="14346" max="14346" width="1.33203125" customWidth="1"/>
    <col min="14347" max="14347" width="11.33203125" customWidth="1"/>
    <col min="14348" max="14348" width="9.109375" customWidth="1"/>
    <col min="14593" max="14593" width="40.33203125" customWidth="1"/>
    <col min="14594" max="14594" width="16.6640625" customWidth="1"/>
    <col min="14595" max="14595" width="5.6640625" customWidth="1"/>
    <col min="14596" max="14596" width="1.33203125" customWidth="1"/>
    <col min="14597" max="14597" width="12" customWidth="1"/>
    <col min="14598" max="14598" width="10.6640625" customWidth="1"/>
    <col min="14599" max="14599" width="1.33203125" customWidth="1"/>
    <col min="14600" max="14600" width="13.6640625" customWidth="1"/>
    <col min="14601" max="14601" width="9.5546875" customWidth="1"/>
    <col min="14602" max="14602" width="1.33203125" customWidth="1"/>
    <col min="14603" max="14603" width="11.33203125" customWidth="1"/>
    <col min="14604" max="14604" width="9.109375" customWidth="1"/>
    <col min="14849" max="14849" width="40.33203125" customWidth="1"/>
    <col min="14850" max="14850" width="16.6640625" customWidth="1"/>
    <col min="14851" max="14851" width="5.6640625" customWidth="1"/>
    <col min="14852" max="14852" width="1.33203125" customWidth="1"/>
    <col min="14853" max="14853" width="12" customWidth="1"/>
    <col min="14854" max="14854" width="10.6640625" customWidth="1"/>
    <col min="14855" max="14855" width="1.33203125" customWidth="1"/>
    <col min="14856" max="14856" width="13.6640625" customWidth="1"/>
    <col min="14857" max="14857" width="9.5546875" customWidth="1"/>
    <col min="14858" max="14858" width="1.33203125" customWidth="1"/>
    <col min="14859" max="14859" width="11.33203125" customWidth="1"/>
    <col min="14860" max="14860" width="9.109375" customWidth="1"/>
    <col min="15105" max="15105" width="40.33203125" customWidth="1"/>
    <col min="15106" max="15106" width="16.6640625" customWidth="1"/>
    <col min="15107" max="15107" width="5.6640625" customWidth="1"/>
    <col min="15108" max="15108" width="1.33203125" customWidth="1"/>
    <col min="15109" max="15109" width="12" customWidth="1"/>
    <col min="15110" max="15110" width="10.6640625" customWidth="1"/>
    <col min="15111" max="15111" width="1.33203125" customWidth="1"/>
    <col min="15112" max="15112" width="13.6640625" customWidth="1"/>
    <col min="15113" max="15113" width="9.5546875" customWidth="1"/>
    <col min="15114" max="15114" width="1.33203125" customWidth="1"/>
    <col min="15115" max="15115" width="11.33203125" customWidth="1"/>
    <col min="15116" max="15116" width="9.109375" customWidth="1"/>
    <col min="15361" max="15361" width="40.33203125" customWidth="1"/>
    <col min="15362" max="15362" width="16.6640625" customWidth="1"/>
    <col min="15363" max="15363" width="5.6640625" customWidth="1"/>
    <col min="15364" max="15364" width="1.33203125" customWidth="1"/>
    <col min="15365" max="15365" width="12" customWidth="1"/>
    <col min="15366" max="15366" width="10.6640625" customWidth="1"/>
    <col min="15367" max="15367" width="1.33203125" customWidth="1"/>
    <col min="15368" max="15368" width="13.6640625" customWidth="1"/>
    <col min="15369" max="15369" width="9.5546875" customWidth="1"/>
    <col min="15370" max="15370" width="1.33203125" customWidth="1"/>
    <col min="15371" max="15371" width="11.33203125" customWidth="1"/>
    <col min="15372" max="15372" width="9.109375" customWidth="1"/>
    <col min="15617" max="15617" width="40.33203125" customWidth="1"/>
    <col min="15618" max="15618" width="16.6640625" customWidth="1"/>
    <col min="15619" max="15619" width="5.6640625" customWidth="1"/>
    <col min="15620" max="15620" width="1.33203125" customWidth="1"/>
    <col min="15621" max="15621" width="12" customWidth="1"/>
    <col min="15622" max="15622" width="10.6640625" customWidth="1"/>
    <col min="15623" max="15623" width="1.33203125" customWidth="1"/>
    <col min="15624" max="15624" width="13.6640625" customWidth="1"/>
    <col min="15625" max="15625" width="9.5546875" customWidth="1"/>
    <col min="15626" max="15626" width="1.33203125" customWidth="1"/>
    <col min="15627" max="15627" width="11.33203125" customWidth="1"/>
    <col min="15628" max="15628" width="9.109375" customWidth="1"/>
    <col min="15873" max="15873" width="40.33203125" customWidth="1"/>
    <col min="15874" max="15874" width="16.6640625" customWidth="1"/>
    <col min="15875" max="15875" width="5.6640625" customWidth="1"/>
    <col min="15876" max="15876" width="1.33203125" customWidth="1"/>
    <col min="15877" max="15877" width="12" customWidth="1"/>
    <col min="15878" max="15878" width="10.6640625" customWidth="1"/>
    <col min="15879" max="15879" width="1.33203125" customWidth="1"/>
    <col min="15880" max="15880" width="13.6640625" customWidth="1"/>
    <col min="15881" max="15881" width="9.5546875" customWidth="1"/>
    <col min="15882" max="15882" width="1.33203125" customWidth="1"/>
    <col min="15883" max="15883" width="11.33203125" customWidth="1"/>
    <col min="15884" max="15884" width="9.109375" customWidth="1"/>
    <col min="16129" max="16129" width="40.33203125" customWidth="1"/>
    <col min="16130" max="16130" width="16.6640625" customWidth="1"/>
    <col min="16131" max="16131" width="5.6640625" customWidth="1"/>
    <col min="16132" max="16132" width="1.33203125" customWidth="1"/>
    <col min="16133" max="16133" width="12" customWidth="1"/>
    <col min="16134" max="16134" width="10.6640625" customWidth="1"/>
    <col min="16135" max="16135" width="1.33203125" customWidth="1"/>
    <col min="16136" max="16136" width="13.6640625" customWidth="1"/>
    <col min="16137" max="16137" width="9.5546875" customWidth="1"/>
    <col min="16138" max="16138" width="1.33203125" customWidth="1"/>
    <col min="16139" max="16139" width="11.33203125" customWidth="1"/>
    <col min="16140" max="16140" width="9.109375" customWidth="1"/>
  </cols>
  <sheetData>
    <row r="1" spans="1:12" ht="27.75" customHeight="1">
      <c r="A1" s="171" t="s">
        <v>152</v>
      </c>
      <c r="B1" s="171" t="s">
        <v>153</v>
      </c>
      <c r="C1" s="172"/>
      <c r="D1" s="173"/>
      <c r="E1" s="174" t="s">
        <v>154</v>
      </c>
      <c r="F1" s="175" t="s">
        <v>155</v>
      </c>
      <c r="G1" s="176"/>
      <c r="H1" s="174" t="s">
        <v>156</v>
      </c>
      <c r="I1" s="175" t="s">
        <v>155</v>
      </c>
      <c r="J1" s="176"/>
      <c r="K1" s="174" t="s">
        <v>156</v>
      </c>
      <c r="L1" s="175" t="s">
        <v>155</v>
      </c>
    </row>
    <row r="2" spans="1:12">
      <c r="A2" s="177" t="s">
        <v>157</v>
      </c>
      <c r="B2" s="177" t="s">
        <v>158</v>
      </c>
      <c r="C2" s="178" t="s">
        <v>50</v>
      </c>
      <c r="D2" s="179"/>
      <c r="E2" s="180" t="s">
        <v>159</v>
      </c>
      <c r="F2" s="181" t="s">
        <v>160</v>
      </c>
      <c r="G2" s="182"/>
      <c r="H2" s="183" t="s">
        <v>161</v>
      </c>
      <c r="I2" s="184">
        <v>7.0000000000000007E-2</v>
      </c>
      <c r="J2" s="185"/>
      <c r="K2" s="183" t="s">
        <v>162</v>
      </c>
      <c r="L2" s="184">
        <v>5.5E-2</v>
      </c>
    </row>
    <row r="3" spans="1:12">
      <c r="A3" s="177" t="s">
        <v>163</v>
      </c>
      <c r="B3" s="177" t="s">
        <v>164</v>
      </c>
      <c r="C3" s="178" t="s">
        <v>50</v>
      </c>
      <c r="D3" s="179"/>
      <c r="E3" s="180"/>
      <c r="F3" s="181"/>
      <c r="G3" s="182"/>
      <c r="H3" s="183" t="s">
        <v>165</v>
      </c>
      <c r="I3" s="184">
        <v>0.05</v>
      </c>
      <c r="J3" s="185"/>
      <c r="K3" s="183" t="s">
        <v>166</v>
      </c>
      <c r="L3" s="184">
        <v>3.5000000000000003E-2</v>
      </c>
    </row>
    <row r="4" spans="1:12">
      <c r="A4" s="186" t="s">
        <v>167</v>
      </c>
      <c r="B4" s="177" t="s">
        <v>158</v>
      </c>
      <c r="C4" s="178" t="s">
        <v>50</v>
      </c>
      <c r="D4" s="179"/>
      <c r="E4" s="180" t="s">
        <v>159</v>
      </c>
      <c r="F4" s="181" t="s">
        <v>160</v>
      </c>
      <c r="G4" s="182"/>
      <c r="H4" s="183" t="s">
        <v>168</v>
      </c>
      <c r="I4" s="184">
        <v>0.1</v>
      </c>
      <c r="J4" s="185"/>
      <c r="K4" s="183" t="s">
        <v>169</v>
      </c>
      <c r="L4" s="187" t="s">
        <v>170</v>
      </c>
    </row>
    <row r="5" spans="1:12">
      <c r="A5" s="186" t="s">
        <v>167</v>
      </c>
      <c r="B5" s="177" t="s">
        <v>158</v>
      </c>
      <c r="C5" s="178" t="s">
        <v>50</v>
      </c>
      <c r="D5" s="179"/>
      <c r="E5" s="183" t="s">
        <v>171</v>
      </c>
      <c r="F5" s="184">
        <v>0.06</v>
      </c>
      <c r="G5" s="185"/>
      <c r="H5" s="183" t="s">
        <v>172</v>
      </c>
      <c r="I5" s="184">
        <v>0.05</v>
      </c>
      <c r="J5" s="185"/>
      <c r="K5" s="183" t="s">
        <v>173</v>
      </c>
      <c r="L5" s="184">
        <v>0.04</v>
      </c>
    </row>
    <row r="6" spans="1:12">
      <c r="A6" s="188" t="s">
        <v>174</v>
      </c>
      <c r="B6" s="177" t="s">
        <v>175</v>
      </c>
      <c r="C6" s="178" t="s">
        <v>50</v>
      </c>
      <c r="D6" s="179"/>
      <c r="E6" s="180" t="s">
        <v>159</v>
      </c>
      <c r="F6" s="181" t="s">
        <v>160</v>
      </c>
      <c r="G6" s="182"/>
      <c r="H6" s="183" t="s">
        <v>168</v>
      </c>
      <c r="I6" s="184">
        <v>0.08</v>
      </c>
      <c r="J6" s="185"/>
      <c r="K6" s="183"/>
      <c r="L6" s="184"/>
    </row>
    <row r="7" spans="1:12">
      <c r="A7" s="188" t="s">
        <v>174</v>
      </c>
      <c r="B7" s="177" t="s">
        <v>175</v>
      </c>
      <c r="C7" s="178" t="s">
        <v>50</v>
      </c>
      <c r="D7" s="179"/>
      <c r="E7" s="180" t="s">
        <v>176</v>
      </c>
      <c r="F7" s="187" t="s">
        <v>177</v>
      </c>
      <c r="G7" s="189"/>
      <c r="H7" s="190" t="s">
        <v>178</v>
      </c>
      <c r="I7" s="191">
        <v>0.05</v>
      </c>
      <c r="J7" s="192"/>
      <c r="K7" s="183" t="s">
        <v>166</v>
      </c>
      <c r="L7" s="184">
        <v>3.5000000000000003E-2</v>
      </c>
    </row>
    <row r="8" spans="1:12">
      <c r="A8" s="177" t="s">
        <v>179</v>
      </c>
      <c r="B8" s="177" t="s">
        <v>180</v>
      </c>
      <c r="C8" s="178" t="s">
        <v>50</v>
      </c>
      <c r="D8" s="179"/>
      <c r="E8" s="180" t="s">
        <v>159</v>
      </c>
      <c r="F8" s="181" t="s">
        <v>160</v>
      </c>
      <c r="G8" s="182"/>
      <c r="H8" s="183" t="s">
        <v>181</v>
      </c>
      <c r="I8" s="184">
        <v>7.0000000000000007E-2</v>
      </c>
      <c r="J8" s="185"/>
      <c r="K8" s="183" t="s">
        <v>162</v>
      </c>
      <c r="L8" s="184">
        <v>5.5E-2</v>
      </c>
    </row>
    <row r="9" spans="1:12">
      <c r="A9" s="177" t="s">
        <v>182</v>
      </c>
      <c r="B9" s="177" t="s">
        <v>164</v>
      </c>
      <c r="C9" s="178" t="s">
        <v>50</v>
      </c>
      <c r="D9" s="179"/>
      <c r="E9" s="193">
        <v>550</v>
      </c>
      <c r="F9" s="193">
        <v>380</v>
      </c>
      <c r="G9" s="182"/>
      <c r="H9" s="194">
        <v>2000</v>
      </c>
      <c r="I9" s="181">
        <v>550</v>
      </c>
      <c r="J9" s="185"/>
      <c r="K9" s="183" t="s">
        <v>166</v>
      </c>
      <c r="L9" s="184">
        <v>0.08</v>
      </c>
    </row>
    <row r="10" spans="1:12">
      <c r="A10" s="177" t="s">
        <v>183</v>
      </c>
      <c r="B10" s="177" t="s">
        <v>184</v>
      </c>
      <c r="C10" s="178" t="s">
        <v>50</v>
      </c>
      <c r="D10" s="179"/>
      <c r="E10" s="180"/>
      <c r="F10" s="181" t="s">
        <v>185</v>
      </c>
      <c r="G10" s="182"/>
      <c r="H10" s="183"/>
      <c r="I10" s="184"/>
      <c r="J10" s="185"/>
      <c r="K10" s="183"/>
      <c r="L10" s="184"/>
    </row>
    <row r="11" spans="1:12">
      <c r="A11" s="177" t="s">
        <v>186</v>
      </c>
      <c r="B11" s="177" t="s">
        <v>184</v>
      </c>
      <c r="C11" s="178" t="s">
        <v>50</v>
      </c>
      <c r="D11" s="179"/>
      <c r="E11" s="180" t="s">
        <v>159</v>
      </c>
      <c r="F11" s="181" t="s">
        <v>187</v>
      </c>
      <c r="G11" s="182"/>
      <c r="H11" s="194" t="s">
        <v>188</v>
      </c>
      <c r="I11" s="184">
        <v>8</v>
      </c>
      <c r="J11" s="185"/>
      <c r="K11" s="183" t="s">
        <v>189</v>
      </c>
      <c r="L11" s="184">
        <v>3.5000000000000003E-2</v>
      </c>
    </row>
    <row r="12" spans="1:12">
      <c r="A12" s="177" t="s">
        <v>190</v>
      </c>
      <c r="B12" s="177" t="s">
        <v>158</v>
      </c>
      <c r="C12" s="178" t="s">
        <v>50</v>
      </c>
      <c r="D12" s="179"/>
      <c r="E12" s="180" t="s">
        <v>159</v>
      </c>
      <c r="F12" s="181" t="s">
        <v>160</v>
      </c>
      <c r="G12" s="182"/>
      <c r="H12" s="183" t="s">
        <v>191</v>
      </c>
      <c r="I12" s="184">
        <v>7.0000000000000007E-2</v>
      </c>
      <c r="J12" s="185"/>
      <c r="K12" s="183" t="s">
        <v>192</v>
      </c>
      <c r="L12" s="184">
        <v>5.5E-2</v>
      </c>
    </row>
    <row r="13" spans="1:12">
      <c r="A13" s="177" t="s">
        <v>193</v>
      </c>
      <c r="B13" s="177" t="s">
        <v>184</v>
      </c>
      <c r="C13" s="178" t="s">
        <v>50</v>
      </c>
      <c r="D13" s="179"/>
      <c r="E13" s="180" t="s">
        <v>159</v>
      </c>
      <c r="F13" s="181" t="s">
        <v>194</v>
      </c>
      <c r="G13" s="182"/>
      <c r="H13" s="183" t="s">
        <v>195</v>
      </c>
      <c r="I13" s="184">
        <v>0.06</v>
      </c>
      <c r="J13" s="185"/>
      <c r="K13" s="183" t="s">
        <v>196</v>
      </c>
      <c r="L13" s="184">
        <v>4.4999999999999998E-2</v>
      </c>
    </row>
    <row r="14" spans="1:12">
      <c r="A14" s="177" t="s">
        <v>197</v>
      </c>
      <c r="B14" s="177" t="s">
        <v>158</v>
      </c>
      <c r="C14" s="178" t="s">
        <v>50</v>
      </c>
      <c r="D14" s="179"/>
      <c r="E14" s="180" t="s">
        <v>159</v>
      </c>
      <c r="F14" s="181" t="s">
        <v>160</v>
      </c>
      <c r="G14" s="182"/>
      <c r="H14" s="183" t="s">
        <v>198</v>
      </c>
      <c r="I14" s="184">
        <v>7.0000000000000007E-2</v>
      </c>
      <c r="J14" s="185"/>
      <c r="K14" s="183" t="s">
        <v>199</v>
      </c>
      <c r="L14" s="184">
        <v>0.05</v>
      </c>
    </row>
    <row r="15" spans="1:12">
      <c r="A15" s="177" t="s">
        <v>200</v>
      </c>
      <c r="B15" s="177" t="s">
        <v>184</v>
      </c>
      <c r="C15" s="178" t="s">
        <v>50</v>
      </c>
      <c r="D15" s="179"/>
      <c r="E15" s="180" t="s">
        <v>201</v>
      </c>
      <c r="F15" s="181" t="s">
        <v>202</v>
      </c>
      <c r="G15" s="182"/>
      <c r="H15" s="183"/>
      <c r="I15" s="184"/>
      <c r="J15" s="185"/>
      <c r="K15" s="183"/>
      <c r="L15" s="184"/>
    </row>
    <row r="16" spans="1:12">
      <c r="A16" s="177" t="s">
        <v>203</v>
      </c>
      <c r="B16" s="177" t="s">
        <v>184</v>
      </c>
      <c r="C16" s="178" t="s">
        <v>50</v>
      </c>
      <c r="D16" s="179"/>
      <c r="E16" s="180" t="s">
        <v>204</v>
      </c>
      <c r="F16" s="181" t="s">
        <v>205</v>
      </c>
      <c r="G16" s="182"/>
      <c r="H16" s="183" t="s">
        <v>206</v>
      </c>
      <c r="I16" s="184">
        <v>0.06</v>
      </c>
      <c r="J16" s="185"/>
      <c r="K16" s="183"/>
      <c r="L16" s="184"/>
    </row>
    <row r="17" spans="1:12">
      <c r="A17" s="177" t="s">
        <v>207</v>
      </c>
      <c r="B17" s="177" t="s">
        <v>184</v>
      </c>
      <c r="C17" s="178" t="s">
        <v>50</v>
      </c>
      <c r="D17" s="179"/>
      <c r="E17" s="180" t="s">
        <v>159</v>
      </c>
      <c r="F17" s="181" t="s">
        <v>194</v>
      </c>
      <c r="G17" s="182"/>
      <c r="H17" s="183" t="s">
        <v>208</v>
      </c>
      <c r="I17" s="184">
        <v>0.06</v>
      </c>
      <c r="J17" s="185"/>
      <c r="K17" s="183" t="s">
        <v>209</v>
      </c>
      <c r="L17" s="184">
        <v>3.5000000000000003E-2</v>
      </c>
    </row>
    <row r="18" spans="1:12">
      <c r="A18" s="177" t="s">
        <v>210</v>
      </c>
      <c r="B18" s="177" t="s">
        <v>164</v>
      </c>
      <c r="C18" s="178" t="s">
        <v>50</v>
      </c>
      <c r="D18" s="179"/>
      <c r="E18" s="180"/>
      <c r="F18" s="181" t="s">
        <v>185</v>
      </c>
      <c r="G18" s="182"/>
      <c r="H18" s="183"/>
      <c r="I18" s="184"/>
      <c r="J18" s="185"/>
      <c r="K18" s="183"/>
      <c r="L18" s="184"/>
    </row>
    <row r="19" spans="1:12">
      <c r="A19" s="177" t="s">
        <v>211</v>
      </c>
      <c r="B19" s="177" t="s">
        <v>184</v>
      </c>
      <c r="C19" s="178" t="s">
        <v>50</v>
      </c>
      <c r="D19" s="179"/>
      <c r="E19" s="180" t="s">
        <v>201</v>
      </c>
      <c r="F19" s="181" t="s">
        <v>212</v>
      </c>
      <c r="G19" s="182"/>
      <c r="H19" s="183" t="s">
        <v>213</v>
      </c>
      <c r="I19" s="184">
        <v>7.0000000000000007E-2</v>
      </c>
      <c r="J19" s="185"/>
      <c r="K19" s="183" t="s">
        <v>199</v>
      </c>
      <c r="L19" s="184">
        <v>0.03</v>
      </c>
    </row>
    <row r="20" spans="1:12">
      <c r="A20" s="177" t="s">
        <v>214</v>
      </c>
      <c r="B20" s="177" t="s">
        <v>164</v>
      </c>
      <c r="C20" s="178" t="s">
        <v>50</v>
      </c>
      <c r="D20" s="179"/>
      <c r="E20" s="180"/>
      <c r="F20" s="181"/>
      <c r="G20" s="182"/>
      <c r="H20" s="183" t="s">
        <v>215</v>
      </c>
      <c r="I20" s="184">
        <v>0.13</v>
      </c>
      <c r="J20" s="185"/>
      <c r="K20" s="183" t="s">
        <v>199</v>
      </c>
      <c r="L20" s="184">
        <v>0.15</v>
      </c>
    </row>
    <row r="21" spans="1:12">
      <c r="A21" s="177" t="s">
        <v>216</v>
      </c>
      <c r="B21" s="177" t="s">
        <v>164</v>
      </c>
      <c r="C21" s="178" t="s">
        <v>50</v>
      </c>
      <c r="D21" s="179"/>
      <c r="E21" s="180"/>
      <c r="F21" s="181"/>
      <c r="G21" s="182"/>
      <c r="H21" s="183"/>
      <c r="I21" s="184"/>
      <c r="J21" s="185"/>
      <c r="K21" s="183" t="s">
        <v>217</v>
      </c>
      <c r="L21" s="184">
        <v>0.04</v>
      </c>
    </row>
    <row r="22" spans="1:12">
      <c r="A22" s="177" t="s">
        <v>218</v>
      </c>
      <c r="B22" s="177" t="s">
        <v>184</v>
      </c>
      <c r="C22" s="178" t="s">
        <v>50</v>
      </c>
      <c r="D22" s="179"/>
      <c r="E22" s="180" t="s">
        <v>159</v>
      </c>
      <c r="F22" s="181" t="s">
        <v>160</v>
      </c>
      <c r="G22" s="182"/>
      <c r="H22" s="183" t="s">
        <v>219</v>
      </c>
      <c r="I22" s="184">
        <v>0.06</v>
      </c>
      <c r="J22" s="185"/>
      <c r="K22" s="183" t="s">
        <v>220</v>
      </c>
      <c r="L22" s="184">
        <v>3.5000000000000003E-2</v>
      </c>
    </row>
    <row r="23" spans="1:12">
      <c r="A23" s="195"/>
      <c r="B23" s="195"/>
      <c r="C23" s="195"/>
      <c r="D23" s="195"/>
      <c r="E23" s="196"/>
    </row>
    <row r="24" spans="1:12" ht="27.75" customHeight="1">
      <c r="A24" s="171" t="s">
        <v>152</v>
      </c>
      <c r="B24" s="171" t="s">
        <v>153</v>
      </c>
      <c r="C24" s="172"/>
      <c r="D24" s="173"/>
      <c r="E24" s="174" t="s">
        <v>154</v>
      </c>
      <c r="F24" s="175" t="s">
        <v>155</v>
      </c>
      <c r="G24" s="176"/>
      <c r="H24" s="174" t="s">
        <v>156</v>
      </c>
      <c r="I24" s="175" t="s">
        <v>155</v>
      </c>
      <c r="J24" s="176"/>
      <c r="K24" s="174" t="s">
        <v>156</v>
      </c>
      <c r="L24" s="175" t="s">
        <v>155</v>
      </c>
    </row>
    <row r="25" spans="1:12">
      <c r="A25" s="177" t="s">
        <v>221</v>
      </c>
      <c r="B25" s="177" t="s">
        <v>222</v>
      </c>
      <c r="C25" s="178" t="s">
        <v>58</v>
      </c>
      <c r="D25" s="179"/>
      <c r="E25" s="180" t="s">
        <v>223</v>
      </c>
      <c r="F25" s="187" t="s">
        <v>177</v>
      </c>
      <c r="G25" s="198"/>
      <c r="H25" s="180" t="s">
        <v>224</v>
      </c>
      <c r="I25" s="184">
        <v>0.05</v>
      </c>
      <c r="J25" s="185"/>
      <c r="K25" s="180" t="s">
        <v>225</v>
      </c>
      <c r="L25" s="184">
        <v>0.04</v>
      </c>
    </row>
    <row r="26" spans="1:12">
      <c r="A26" s="177" t="s">
        <v>226</v>
      </c>
      <c r="B26" s="177" t="s">
        <v>184</v>
      </c>
      <c r="C26" s="178" t="s">
        <v>58</v>
      </c>
      <c r="D26" s="179"/>
      <c r="E26" s="180" t="s">
        <v>201</v>
      </c>
      <c r="F26" s="181" t="s">
        <v>160</v>
      </c>
      <c r="G26" s="182"/>
      <c r="H26" s="183"/>
      <c r="I26" s="184"/>
      <c r="J26" s="185"/>
      <c r="K26" s="183"/>
      <c r="L26" s="184"/>
    </row>
    <row r="27" spans="1:12">
      <c r="A27" s="177" t="s">
        <v>227</v>
      </c>
      <c r="B27" s="177" t="s">
        <v>158</v>
      </c>
      <c r="C27" s="178" t="s">
        <v>58</v>
      </c>
      <c r="D27" s="179"/>
      <c r="E27" s="180" t="s">
        <v>228</v>
      </c>
      <c r="F27" s="187" t="s">
        <v>229</v>
      </c>
      <c r="G27" s="198"/>
      <c r="H27" s="183" t="s">
        <v>230</v>
      </c>
      <c r="I27" s="184">
        <v>7.0000000000000007E-2</v>
      </c>
      <c r="J27" s="185"/>
      <c r="K27" s="183" t="s">
        <v>192</v>
      </c>
      <c r="L27" s="184">
        <v>0.06</v>
      </c>
    </row>
    <row r="28" spans="1:12">
      <c r="A28" s="177" t="s">
        <v>231</v>
      </c>
      <c r="B28" s="177" t="s">
        <v>158</v>
      </c>
      <c r="C28" s="178" t="s">
        <v>58</v>
      </c>
      <c r="D28" s="179"/>
      <c r="E28" s="180" t="s">
        <v>159</v>
      </c>
      <c r="F28" s="181" t="s">
        <v>194</v>
      </c>
      <c r="G28" s="182"/>
      <c r="H28" s="183"/>
      <c r="I28" s="184"/>
      <c r="J28" s="185"/>
      <c r="K28" s="183" t="s">
        <v>232</v>
      </c>
      <c r="L28" s="184">
        <v>4.4999999999999998E-2</v>
      </c>
    </row>
    <row r="29" spans="1:12">
      <c r="A29" s="177" t="s">
        <v>233</v>
      </c>
      <c r="B29" s="177" t="s">
        <v>234</v>
      </c>
      <c r="C29" s="178" t="s">
        <v>58</v>
      </c>
      <c r="D29" s="179"/>
      <c r="E29" s="180" t="s">
        <v>235</v>
      </c>
      <c r="F29" s="187" t="s">
        <v>229</v>
      </c>
      <c r="G29" s="198"/>
      <c r="H29" s="183" t="s">
        <v>236</v>
      </c>
      <c r="I29" s="184">
        <v>0.05</v>
      </c>
      <c r="J29" s="185"/>
      <c r="K29" s="183" t="s">
        <v>199</v>
      </c>
      <c r="L29" s="199" t="s">
        <v>237</v>
      </c>
    </row>
    <row r="30" spans="1:12">
      <c r="A30" s="177" t="s">
        <v>238</v>
      </c>
      <c r="B30" s="177" t="s">
        <v>184</v>
      </c>
      <c r="C30" s="178" t="s">
        <v>58</v>
      </c>
      <c r="D30" s="179"/>
      <c r="E30" s="180" t="s">
        <v>159</v>
      </c>
      <c r="F30" s="187" t="s">
        <v>239</v>
      </c>
      <c r="G30" s="198"/>
      <c r="H30" s="183" t="s">
        <v>240</v>
      </c>
      <c r="I30" s="184">
        <v>0.06</v>
      </c>
      <c r="J30" s="185"/>
      <c r="K30" s="183" t="s">
        <v>196</v>
      </c>
      <c r="L30" s="184">
        <v>0.05</v>
      </c>
    </row>
    <row r="31" spans="1:12">
      <c r="A31" s="177" t="s">
        <v>241</v>
      </c>
      <c r="B31" s="177" t="s">
        <v>242</v>
      </c>
      <c r="C31" s="178" t="s">
        <v>58</v>
      </c>
      <c r="D31" s="179"/>
      <c r="E31" s="180" t="s">
        <v>159</v>
      </c>
      <c r="F31" s="181" t="s">
        <v>194</v>
      </c>
      <c r="G31" s="182"/>
      <c r="H31" s="183" t="s">
        <v>243</v>
      </c>
      <c r="I31" s="184">
        <v>0.08</v>
      </c>
      <c r="J31" s="185"/>
      <c r="K31" s="183" t="s">
        <v>244</v>
      </c>
      <c r="L31" s="184">
        <v>0.06</v>
      </c>
    </row>
    <row r="32" spans="1:12">
      <c r="A32" s="177" t="s">
        <v>245</v>
      </c>
      <c r="B32" s="177" t="s">
        <v>184</v>
      </c>
      <c r="C32" s="178" t="s">
        <v>58</v>
      </c>
      <c r="D32" s="179"/>
      <c r="E32" s="180"/>
      <c r="F32" s="181"/>
      <c r="G32" s="182"/>
      <c r="H32" s="200" t="s">
        <v>246</v>
      </c>
      <c r="I32" s="184" t="s">
        <v>160</v>
      </c>
      <c r="J32" s="185"/>
      <c r="K32" s="183"/>
      <c r="L32" s="184"/>
    </row>
    <row r="33" spans="1:12">
      <c r="A33" s="177" t="s">
        <v>247</v>
      </c>
      <c r="B33" s="177" t="s">
        <v>184</v>
      </c>
      <c r="C33" s="178" t="s">
        <v>58</v>
      </c>
      <c r="D33" s="179"/>
      <c r="E33" s="180" t="s">
        <v>159</v>
      </c>
      <c r="F33" s="181" t="s">
        <v>194</v>
      </c>
      <c r="G33" s="182"/>
      <c r="H33" s="183" t="s">
        <v>248</v>
      </c>
      <c r="I33" s="184">
        <v>0.06</v>
      </c>
      <c r="J33" s="185"/>
      <c r="K33" s="183" t="s">
        <v>196</v>
      </c>
      <c r="L33" s="184">
        <v>0.05</v>
      </c>
    </row>
    <row r="34" spans="1:12">
      <c r="A34" s="177" t="s">
        <v>249</v>
      </c>
      <c r="B34" s="177" t="s">
        <v>250</v>
      </c>
      <c r="C34" s="178" t="s">
        <v>58</v>
      </c>
      <c r="D34" s="179"/>
      <c r="E34" s="180"/>
      <c r="F34" s="181"/>
      <c r="G34" s="182"/>
      <c r="H34" s="183"/>
      <c r="I34" s="184"/>
      <c r="J34" s="185"/>
      <c r="K34" s="183" t="s">
        <v>251</v>
      </c>
      <c r="L34" s="184">
        <v>0.06</v>
      </c>
    </row>
    <row r="35" spans="1:12">
      <c r="A35" s="177" t="s">
        <v>252</v>
      </c>
      <c r="B35" s="177" t="s">
        <v>184</v>
      </c>
      <c r="C35" s="178" t="s">
        <v>58</v>
      </c>
      <c r="D35" s="179"/>
      <c r="E35" s="180" t="s">
        <v>159</v>
      </c>
      <c r="F35" s="181" t="s">
        <v>253</v>
      </c>
      <c r="G35" s="182"/>
      <c r="H35" s="183"/>
      <c r="I35" s="184"/>
      <c r="J35" s="185"/>
      <c r="K35" s="183" t="s">
        <v>225</v>
      </c>
      <c r="L35" s="184">
        <v>4.4999999999999998E-2</v>
      </c>
    </row>
    <row r="36" spans="1:12">
      <c r="A36" s="177" t="s">
        <v>254</v>
      </c>
      <c r="B36" s="177" t="s">
        <v>255</v>
      </c>
      <c r="C36" s="178" t="s">
        <v>58</v>
      </c>
      <c r="D36" s="179"/>
      <c r="E36" s="180"/>
      <c r="F36" s="181"/>
      <c r="G36" s="182"/>
      <c r="H36" s="183"/>
      <c r="I36" s="184"/>
      <c r="J36" s="185"/>
      <c r="K36" s="183" t="s">
        <v>256</v>
      </c>
      <c r="L36" s="184">
        <v>3.5000000000000003E-2</v>
      </c>
    </row>
    <row r="37" spans="1:12">
      <c r="A37" s="177" t="s">
        <v>257</v>
      </c>
      <c r="B37" s="177" t="s">
        <v>258</v>
      </c>
      <c r="C37" s="178" t="s">
        <v>58</v>
      </c>
      <c r="D37" s="179"/>
      <c r="E37" s="180" t="s">
        <v>204</v>
      </c>
      <c r="F37" s="181" t="s">
        <v>160</v>
      </c>
      <c r="G37" s="182"/>
      <c r="H37" s="183" t="s">
        <v>259</v>
      </c>
      <c r="I37" s="184">
        <v>0.06</v>
      </c>
      <c r="J37" s="185"/>
      <c r="K37" s="183" t="s">
        <v>196</v>
      </c>
      <c r="L37" s="184">
        <v>4.4999999999999998E-2</v>
      </c>
    </row>
    <row r="38" spans="1:12">
      <c r="A38" s="177" t="s">
        <v>260</v>
      </c>
      <c r="B38" s="177" t="s">
        <v>184</v>
      </c>
      <c r="C38" s="178" t="s">
        <v>58</v>
      </c>
      <c r="D38" s="179"/>
      <c r="E38" s="180"/>
      <c r="F38" s="181"/>
      <c r="G38" s="182"/>
      <c r="H38" s="183"/>
      <c r="I38" s="184"/>
      <c r="J38" s="185"/>
      <c r="K38" s="183" t="s">
        <v>196</v>
      </c>
      <c r="L38" s="184">
        <v>4.4999999999999998E-2</v>
      </c>
    </row>
    <row r="39" spans="1:12">
      <c r="A39" s="177" t="s">
        <v>261</v>
      </c>
      <c r="B39" s="177" t="s">
        <v>164</v>
      </c>
      <c r="C39" s="178" t="s">
        <v>58</v>
      </c>
      <c r="D39" s="179"/>
      <c r="E39" s="180" t="s">
        <v>159</v>
      </c>
      <c r="F39" s="181" t="s">
        <v>160</v>
      </c>
      <c r="G39" s="182"/>
      <c r="H39" s="183" t="s">
        <v>248</v>
      </c>
      <c r="I39" s="184">
        <v>0.06</v>
      </c>
      <c r="J39" s="185"/>
      <c r="K39" s="183" t="s">
        <v>196</v>
      </c>
      <c r="L39" s="184">
        <v>0.05</v>
      </c>
    </row>
    <row r="40" spans="1:12">
      <c r="A40" s="177" t="s">
        <v>262</v>
      </c>
      <c r="B40" s="177" t="s">
        <v>164</v>
      </c>
      <c r="C40" s="178" t="s">
        <v>58</v>
      </c>
      <c r="D40" s="179"/>
      <c r="E40" s="180"/>
      <c r="F40" s="181"/>
      <c r="G40" s="182"/>
      <c r="H40" s="183" t="s">
        <v>263</v>
      </c>
      <c r="I40" s="184">
        <v>0.05</v>
      </c>
      <c r="J40" s="185"/>
      <c r="K40" s="183" t="s">
        <v>196</v>
      </c>
      <c r="L40" s="184">
        <v>4.4999999999999998E-2</v>
      </c>
    </row>
    <row r="41" spans="1:12">
      <c r="A41" s="177" t="s">
        <v>264</v>
      </c>
      <c r="B41" s="177" t="s">
        <v>158</v>
      </c>
      <c r="C41" s="178" t="s">
        <v>58</v>
      </c>
      <c r="D41" s="179"/>
      <c r="E41" s="180" t="s">
        <v>159</v>
      </c>
      <c r="F41" s="181" t="s">
        <v>160</v>
      </c>
      <c r="G41" s="182"/>
      <c r="H41" s="183" t="s">
        <v>265</v>
      </c>
      <c r="I41" s="184">
        <v>0.1</v>
      </c>
      <c r="J41" s="185"/>
      <c r="K41" s="183" t="s">
        <v>266</v>
      </c>
      <c r="L41" s="184">
        <v>0.06</v>
      </c>
    </row>
    <row r="42" spans="1:12">
      <c r="A42" s="177" t="s">
        <v>267</v>
      </c>
      <c r="B42" s="177" t="s">
        <v>184</v>
      </c>
      <c r="C42" s="178" t="s">
        <v>58</v>
      </c>
      <c r="D42" s="179"/>
      <c r="E42" s="180" t="s">
        <v>159</v>
      </c>
      <c r="F42" s="181" t="s">
        <v>194</v>
      </c>
      <c r="G42" s="182"/>
      <c r="H42" s="183"/>
      <c r="I42" s="184"/>
      <c r="J42" s="185"/>
      <c r="K42" s="183"/>
      <c r="L42" s="184"/>
    </row>
    <row r="43" spans="1:12">
      <c r="A43" s="177" t="s">
        <v>268</v>
      </c>
      <c r="B43" s="177" t="s">
        <v>180</v>
      </c>
      <c r="C43" s="178" t="s">
        <v>58</v>
      </c>
      <c r="D43" s="179"/>
      <c r="E43" s="180" t="s">
        <v>159</v>
      </c>
      <c r="F43" s="181" t="s">
        <v>160</v>
      </c>
      <c r="G43" s="182"/>
      <c r="H43" s="183" t="s">
        <v>219</v>
      </c>
      <c r="I43" s="184">
        <v>7.0000000000000007E-2</v>
      </c>
      <c r="J43" s="185"/>
      <c r="K43" s="183"/>
      <c r="L43" s="184"/>
    </row>
    <row r="44" spans="1:12">
      <c r="A44" s="177" t="s">
        <v>269</v>
      </c>
      <c r="B44" s="177" t="s">
        <v>270</v>
      </c>
      <c r="C44" s="178" t="s">
        <v>58</v>
      </c>
      <c r="D44" s="179"/>
      <c r="E44" s="180" t="s">
        <v>204</v>
      </c>
      <c r="F44" s="181" t="s">
        <v>271</v>
      </c>
      <c r="G44" s="182"/>
      <c r="H44" s="183" t="s">
        <v>259</v>
      </c>
      <c r="I44" s="184">
        <v>0.06</v>
      </c>
      <c r="J44" s="185"/>
      <c r="K44" s="183" t="s">
        <v>196</v>
      </c>
      <c r="L44" s="184">
        <v>0.05</v>
      </c>
    </row>
    <row r="45" spans="1:12">
      <c r="A45" s="177" t="s">
        <v>272</v>
      </c>
      <c r="B45" s="177" t="s">
        <v>158</v>
      </c>
      <c r="C45" s="178" t="s">
        <v>58</v>
      </c>
      <c r="D45" s="179"/>
      <c r="E45" s="180" t="s">
        <v>159</v>
      </c>
      <c r="F45" s="181" t="s">
        <v>160</v>
      </c>
      <c r="G45" s="182"/>
      <c r="H45" s="183" t="s">
        <v>273</v>
      </c>
      <c r="I45" s="184">
        <v>0.09</v>
      </c>
      <c r="J45" s="185"/>
      <c r="K45" s="183" t="s">
        <v>162</v>
      </c>
      <c r="L45" s="184">
        <v>0.06</v>
      </c>
    </row>
    <row r="46" spans="1:12">
      <c r="A46" s="177" t="s">
        <v>274</v>
      </c>
      <c r="B46" s="177" t="s">
        <v>275</v>
      </c>
      <c r="C46" s="178" t="s">
        <v>58</v>
      </c>
      <c r="D46" s="179"/>
      <c r="E46" s="180" t="s">
        <v>159</v>
      </c>
      <c r="F46" s="181" t="s">
        <v>194</v>
      </c>
      <c r="G46" s="182"/>
      <c r="H46" s="183"/>
      <c r="I46" s="184" t="s">
        <v>185</v>
      </c>
      <c r="J46" s="185"/>
      <c r="K46" s="183"/>
      <c r="L46" s="184"/>
    </row>
    <row r="47" spans="1:12">
      <c r="A47" s="177" t="s">
        <v>276</v>
      </c>
      <c r="B47" s="177" t="s">
        <v>164</v>
      </c>
      <c r="C47" s="178" t="s">
        <v>58</v>
      </c>
      <c r="D47" s="179"/>
      <c r="E47" s="180"/>
      <c r="F47" s="181" t="s">
        <v>185</v>
      </c>
      <c r="G47" s="182"/>
      <c r="H47" s="183"/>
      <c r="I47" s="184"/>
      <c r="J47" s="185"/>
      <c r="K47" s="183"/>
      <c r="L47" s="184"/>
    </row>
    <row r="48" spans="1:12">
      <c r="A48" s="177" t="s">
        <v>277</v>
      </c>
      <c r="B48" s="177" t="s">
        <v>180</v>
      </c>
      <c r="C48" s="178" t="s">
        <v>58</v>
      </c>
      <c r="D48" s="179"/>
      <c r="E48" s="180" t="s">
        <v>159</v>
      </c>
      <c r="F48" s="181" t="s">
        <v>160</v>
      </c>
      <c r="G48" s="182"/>
      <c r="H48" s="183" t="s">
        <v>198</v>
      </c>
      <c r="I48" s="184">
        <v>0.1</v>
      </c>
      <c r="J48" s="185"/>
      <c r="K48" s="183" t="s">
        <v>251</v>
      </c>
      <c r="L48" s="184">
        <v>7.0000000000000007E-2</v>
      </c>
    </row>
    <row r="49" spans="1:12">
      <c r="A49" s="177" t="s">
        <v>278</v>
      </c>
      <c r="B49" s="177" t="s">
        <v>222</v>
      </c>
      <c r="C49" s="178" t="s">
        <v>58</v>
      </c>
      <c r="D49" s="179"/>
      <c r="E49" s="180"/>
      <c r="F49" s="181" t="s">
        <v>185</v>
      </c>
      <c r="G49" s="182"/>
      <c r="H49" s="183"/>
      <c r="I49" s="184"/>
      <c r="J49" s="185"/>
      <c r="K49" s="183"/>
      <c r="L49" s="184"/>
    </row>
    <row r="50" spans="1:12">
      <c r="A50" s="177" t="s">
        <v>279</v>
      </c>
      <c r="B50" s="177" t="s">
        <v>280</v>
      </c>
      <c r="C50" s="178" t="s">
        <v>58</v>
      </c>
      <c r="D50" s="179"/>
      <c r="E50" s="180"/>
      <c r="F50" s="181" t="s">
        <v>185</v>
      </c>
      <c r="G50" s="182"/>
      <c r="H50" s="183"/>
      <c r="I50" s="184"/>
      <c r="J50" s="185"/>
      <c r="K50" s="183"/>
      <c r="L50" s="184"/>
    </row>
    <row r="51" spans="1:12">
      <c r="A51" s="177" t="s">
        <v>281</v>
      </c>
      <c r="B51" s="177" t="s">
        <v>180</v>
      </c>
      <c r="C51" s="178" t="s">
        <v>58</v>
      </c>
      <c r="D51" s="179"/>
      <c r="E51" s="180" t="s">
        <v>159</v>
      </c>
      <c r="F51" s="181" t="s">
        <v>160</v>
      </c>
      <c r="G51" s="182"/>
      <c r="H51" s="183" t="s">
        <v>168</v>
      </c>
      <c r="I51" s="184">
        <v>0.1</v>
      </c>
      <c r="J51" s="185"/>
      <c r="K51" s="183"/>
      <c r="L51" s="184"/>
    </row>
    <row r="52" spans="1:12">
      <c r="A52" s="177" t="s">
        <v>282</v>
      </c>
      <c r="B52" s="177" t="s">
        <v>180</v>
      </c>
      <c r="C52" s="178" t="s">
        <v>58</v>
      </c>
      <c r="D52" s="179"/>
      <c r="E52" s="180" t="s">
        <v>201</v>
      </c>
      <c r="F52" s="187" t="s">
        <v>239</v>
      </c>
      <c r="G52" s="198"/>
      <c r="H52" s="183" t="s">
        <v>283</v>
      </c>
      <c r="I52" s="184">
        <v>7.0000000000000007E-2</v>
      </c>
      <c r="J52" s="185"/>
      <c r="K52" s="183" t="s">
        <v>196</v>
      </c>
      <c r="L52" s="184">
        <v>0.05</v>
      </c>
    </row>
    <row r="53" spans="1:12">
      <c r="A53" s="177" t="s">
        <v>284</v>
      </c>
      <c r="B53" s="177" t="s">
        <v>180</v>
      </c>
      <c r="C53" s="178" t="s">
        <v>58</v>
      </c>
      <c r="D53" s="179"/>
      <c r="E53" s="180" t="s">
        <v>159</v>
      </c>
      <c r="F53" s="181" t="s">
        <v>160</v>
      </c>
      <c r="G53" s="182"/>
      <c r="H53" s="183" t="s">
        <v>168</v>
      </c>
      <c r="I53" s="184">
        <v>0.09</v>
      </c>
      <c r="J53" s="185"/>
      <c r="K53" s="183"/>
      <c r="L53" s="184"/>
    </row>
    <row r="54" spans="1:12">
      <c r="A54" s="177" t="s">
        <v>285</v>
      </c>
      <c r="B54" s="177" t="s">
        <v>184</v>
      </c>
      <c r="C54" s="178" t="s">
        <v>58</v>
      </c>
      <c r="D54" s="179"/>
      <c r="E54" s="180" t="s">
        <v>159</v>
      </c>
      <c r="F54" s="181" t="s">
        <v>194</v>
      </c>
      <c r="G54" s="182"/>
      <c r="H54" s="183" t="s">
        <v>286</v>
      </c>
      <c r="I54" s="184">
        <v>0.06</v>
      </c>
      <c r="J54" s="185"/>
      <c r="K54" s="183" t="s">
        <v>225</v>
      </c>
      <c r="L54" s="184">
        <v>4.4999999999999998E-2</v>
      </c>
    </row>
    <row r="55" spans="1:12">
      <c r="A55" s="177" t="s">
        <v>287</v>
      </c>
      <c r="B55" s="177" t="s">
        <v>288</v>
      </c>
      <c r="C55" s="178" t="s">
        <v>58</v>
      </c>
      <c r="D55" s="179"/>
      <c r="E55" s="180" t="s">
        <v>159</v>
      </c>
      <c r="F55" s="181" t="s">
        <v>194</v>
      </c>
      <c r="G55" s="182"/>
      <c r="H55" s="183" t="s">
        <v>265</v>
      </c>
      <c r="I55" s="184">
        <v>0.08</v>
      </c>
      <c r="J55" s="185"/>
      <c r="K55" s="183" t="s">
        <v>266</v>
      </c>
      <c r="L55" s="184">
        <v>0.06</v>
      </c>
    </row>
    <row r="56" spans="1:12">
      <c r="A56" s="177" t="s">
        <v>289</v>
      </c>
      <c r="B56" s="177" t="s">
        <v>184</v>
      </c>
      <c r="C56" s="178" t="s">
        <v>58</v>
      </c>
      <c r="D56" s="179"/>
      <c r="E56" s="180" t="s">
        <v>159</v>
      </c>
      <c r="F56" s="181" t="s">
        <v>253</v>
      </c>
      <c r="G56" s="182"/>
      <c r="H56" s="183" t="s">
        <v>168</v>
      </c>
      <c r="I56" s="184">
        <v>0.08</v>
      </c>
      <c r="J56" s="185"/>
      <c r="K56" s="183"/>
      <c r="L56" s="184"/>
    </row>
    <row r="57" spans="1:12">
      <c r="A57" s="177" t="s">
        <v>290</v>
      </c>
      <c r="B57" s="177" t="s">
        <v>291</v>
      </c>
      <c r="C57" s="178" t="s">
        <v>58</v>
      </c>
      <c r="D57" s="179"/>
      <c r="E57" s="180" t="s">
        <v>159</v>
      </c>
      <c r="F57" s="181" t="s">
        <v>187</v>
      </c>
      <c r="G57" s="182"/>
      <c r="H57" s="183"/>
      <c r="I57" s="184"/>
      <c r="J57" s="185"/>
      <c r="K57" s="183"/>
      <c r="L57" s="184"/>
    </row>
    <row r="58" spans="1:12">
      <c r="A58" s="177" t="s">
        <v>292</v>
      </c>
      <c r="B58" s="177" t="s">
        <v>293</v>
      </c>
      <c r="C58" s="178" t="s">
        <v>58</v>
      </c>
      <c r="D58" s="179"/>
      <c r="E58" s="180" t="s">
        <v>159</v>
      </c>
      <c r="F58" s="181" t="s">
        <v>194</v>
      </c>
      <c r="G58" s="182"/>
      <c r="H58" s="183" t="s">
        <v>168</v>
      </c>
      <c r="I58" s="184">
        <v>0.08</v>
      </c>
      <c r="J58" s="185"/>
      <c r="K58" s="183" t="s">
        <v>196</v>
      </c>
      <c r="L58" s="184">
        <v>4.4999999999999998E-2</v>
      </c>
    </row>
    <row r="59" spans="1:12">
      <c r="A59" s="177" t="s">
        <v>294</v>
      </c>
      <c r="B59" s="177" t="s">
        <v>295</v>
      </c>
      <c r="C59" s="178" t="s">
        <v>58</v>
      </c>
      <c r="D59" s="179"/>
      <c r="E59" s="180" t="s">
        <v>159</v>
      </c>
      <c r="F59" s="181" t="s">
        <v>160</v>
      </c>
      <c r="G59" s="182"/>
      <c r="H59" s="183" t="s">
        <v>273</v>
      </c>
      <c r="I59" s="184">
        <v>0.1</v>
      </c>
      <c r="J59" s="185"/>
      <c r="K59" s="183" t="s">
        <v>196</v>
      </c>
      <c r="L59" s="184">
        <v>0.06</v>
      </c>
    </row>
    <row r="60" spans="1:12">
      <c r="A60" s="177" t="s">
        <v>296</v>
      </c>
      <c r="B60" s="177" t="s">
        <v>288</v>
      </c>
      <c r="C60" s="178" t="s">
        <v>58</v>
      </c>
      <c r="D60" s="179"/>
      <c r="E60" s="180" t="s">
        <v>159</v>
      </c>
      <c r="F60" s="187" t="s">
        <v>297</v>
      </c>
      <c r="G60" s="198"/>
      <c r="H60" s="183" t="s">
        <v>265</v>
      </c>
      <c r="I60" s="184">
        <v>0.08</v>
      </c>
      <c r="J60" s="185"/>
      <c r="K60" s="183" t="s">
        <v>162</v>
      </c>
      <c r="L60" s="184">
        <v>0.05</v>
      </c>
    </row>
    <row r="61" spans="1:12">
      <c r="A61" s="177" t="s">
        <v>298</v>
      </c>
      <c r="B61" s="177" t="s">
        <v>180</v>
      </c>
      <c r="C61" s="178" t="s">
        <v>58</v>
      </c>
      <c r="D61" s="179"/>
      <c r="E61" s="180" t="s">
        <v>204</v>
      </c>
      <c r="F61" s="187" t="s">
        <v>239</v>
      </c>
      <c r="G61" s="198"/>
      <c r="H61" s="183"/>
      <c r="I61" s="184"/>
      <c r="J61" s="185"/>
      <c r="K61" s="183"/>
      <c r="L61" s="184"/>
    </row>
    <row r="62" spans="1:12">
      <c r="A62" s="177" t="s">
        <v>299</v>
      </c>
      <c r="B62" s="177" t="s">
        <v>184</v>
      </c>
      <c r="C62" s="178" t="s">
        <v>58</v>
      </c>
      <c r="D62" s="179"/>
      <c r="E62" s="180" t="s">
        <v>159</v>
      </c>
      <c r="F62" s="181" t="s">
        <v>160</v>
      </c>
      <c r="G62" s="182"/>
      <c r="H62" s="183" t="s">
        <v>219</v>
      </c>
      <c r="I62" s="184">
        <v>0.11</v>
      </c>
      <c r="J62" s="185"/>
      <c r="K62" s="183" t="s">
        <v>300</v>
      </c>
      <c r="L62" s="184">
        <v>0.1</v>
      </c>
    </row>
    <row r="63" spans="1:12">
      <c r="A63" s="177" t="s">
        <v>301</v>
      </c>
      <c r="B63" s="177" t="s">
        <v>158</v>
      </c>
      <c r="C63" s="178" t="s">
        <v>58</v>
      </c>
      <c r="D63" s="179"/>
      <c r="E63" s="180" t="s">
        <v>201</v>
      </c>
      <c r="F63" s="187" t="s">
        <v>302</v>
      </c>
      <c r="G63" s="198"/>
      <c r="H63" s="183"/>
      <c r="I63" s="184"/>
      <c r="J63" s="185"/>
      <c r="K63" s="183"/>
      <c r="L63" s="184"/>
    </row>
    <row r="64" spans="1:12">
      <c r="A64" s="177" t="s">
        <v>303</v>
      </c>
      <c r="B64" s="177" t="s">
        <v>184</v>
      </c>
      <c r="C64" s="178" t="s">
        <v>58</v>
      </c>
      <c r="D64" s="179"/>
      <c r="E64" s="180" t="s">
        <v>159</v>
      </c>
      <c r="F64" s="181" t="s">
        <v>160</v>
      </c>
      <c r="G64" s="182"/>
      <c r="H64" s="183" t="s">
        <v>304</v>
      </c>
      <c r="I64" s="184">
        <v>0.06</v>
      </c>
      <c r="J64" s="185"/>
      <c r="K64" s="183" t="s">
        <v>162</v>
      </c>
      <c r="L64" s="184">
        <v>0.05</v>
      </c>
    </row>
    <row r="65" spans="1:12">
      <c r="A65" s="177" t="s">
        <v>305</v>
      </c>
      <c r="B65" s="177" t="s">
        <v>180</v>
      </c>
      <c r="C65" s="178" t="s">
        <v>58</v>
      </c>
      <c r="D65" s="179"/>
      <c r="E65" s="180" t="s">
        <v>159</v>
      </c>
      <c r="F65" s="181" t="s">
        <v>160</v>
      </c>
      <c r="G65" s="182"/>
      <c r="H65" s="183"/>
      <c r="I65" s="184"/>
      <c r="J65" s="185"/>
      <c r="K65" s="183" t="s">
        <v>306</v>
      </c>
      <c r="L65" s="184">
        <v>7.0000000000000007E-2</v>
      </c>
    </row>
    <row r="66" spans="1:12">
      <c r="A66" s="177" t="s">
        <v>307</v>
      </c>
      <c r="B66" s="177" t="s">
        <v>158</v>
      </c>
      <c r="C66" s="178" t="s">
        <v>58</v>
      </c>
      <c r="D66" s="179"/>
      <c r="E66" s="180" t="s">
        <v>159</v>
      </c>
      <c r="F66" s="181" t="s">
        <v>160</v>
      </c>
      <c r="G66" s="182"/>
      <c r="H66" s="183" t="s">
        <v>304</v>
      </c>
      <c r="I66" s="184">
        <v>0.09</v>
      </c>
      <c r="J66" s="185"/>
      <c r="K66" s="183" t="s">
        <v>162</v>
      </c>
      <c r="L66" s="184">
        <v>0.06</v>
      </c>
    </row>
    <row r="67" spans="1:12">
      <c r="A67" s="177" t="s">
        <v>308</v>
      </c>
      <c r="B67" s="177" t="s">
        <v>184</v>
      </c>
      <c r="C67" s="178" t="s">
        <v>58</v>
      </c>
      <c r="D67" s="179"/>
      <c r="E67" s="180" t="s">
        <v>159</v>
      </c>
      <c r="F67" s="181" t="s">
        <v>194</v>
      </c>
      <c r="G67" s="182"/>
      <c r="H67" s="183" t="s">
        <v>195</v>
      </c>
      <c r="I67" s="184">
        <v>0.06</v>
      </c>
      <c r="J67" s="185"/>
      <c r="K67" s="183" t="s">
        <v>199</v>
      </c>
      <c r="L67" s="184">
        <v>3.5000000000000003E-2</v>
      </c>
    </row>
    <row r="68" spans="1:12">
      <c r="A68" s="177" t="s">
        <v>309</v>
      </c>
      <c r="B68" s="177" t="s">
        <v>184</v>
      </c>
      <c r="C68" s="178" t="s">
        <v>58</v>
      </c>
      <c r="D68" s="179"/>
      <c r="E68" s="180" t="s">
        <v>159</v>
      </c>
      <c r="F68" s="181" t="s">
        <v>160</v>
      </c>
      <c r="G68" s="182"/>
      <c r="H68" s="183" t="s">
        <v>265</v>
      </c>
      <c r="I68" s="184">
        <v>0.08</v>
      </c>
      <c r="J68" s="185"/>
      <c r="K68" s="183" t="s">
        <v>266</v>
      </c>
      <c r="L68" s="184">
        <v>0.06</v>
      </c>
    </row>
    <row r="69" spans="1:12">
      <c r="A69" s="177" t="s">
        <v>310</v>
      </c>
      <c r="B69" s="177" t="s">
        <v>311</v>
      </c>
      <c r="C69" s="178" t="s">
        <v>58</v>
      </c>
      <c r="D69" s="179"/>
      <c r="E69" s="180" t="s">
        <v>159</v>
      </c>
      <c r="F69" s="181" t="s">
        <v>312</v>
      </c>
      <c r="G69" s="182"/>
      <c r="H69" s="183" t="s">
        <v>248</v>
      </c>
      <c r="I69" s="184">
        <v>0.06</v>
      </c>
      <c r="J69" s="185"/>
      <c r="K69" s="183" t="s">
        <v>196</v>
      </c>
      <c r="L69" s="184">
        <v>4.4999999999999998E-2</v>
      </c>
    </row>
    <row r="70" spans="1:12">
      <c r="A70" s="177" t="s">
        <v>313</v>
      </c>
      <c r="B70" s="177" t="s">
        <v>293</v>
      </c>
      <c r="C70" s="178" t="s">
        <v>58</v>
      </c>
      <c r="D70" s="179"/>
      <c r="E70" s="180" t="s">
        <v>159</v>
      </c>
      <c r="F70" s="181" t="s">
        <v>194</v>
      </c>
      <c r="G70" s="182"/>
      <c r="H70" s="183"/>
      <c r="I70" s="184"/>
      <c r="J70" s="185"/>
      <c r="K70" s="183" t="s">
        <v>314</v>
      </c>
      <c r="L70" s="184">
        <v>0.06</v>
      </c>
    </row>
    <row r="71" spans="1:12">
      <c r="A71" s="177" t="s">
        <v>315</v>
      </c>
      <c r="B71" s="177" t="s">
        <v>158</v>
      </c>
      <c r="C71" s="178" t="s">
        <v>58</v>
      </c>
      <c r="D71" s="179"/>
      <c r="E71" s="180" t="s">
        <v>159</v>
      </c>
      <c r="F71" s="181" t="s">
        <v>316</v>
      </c>
      <c r="G71" s="182"/>
      <c r="H71" s="183" t="s">
        <v>304</v>
      </c>
      <c r="I71" s="184">
        <v>7.0000000000000007E-2</v>
      </c>
      <c r="J71" s="185"/>
      <c r="K71" s="183" t="s">
        <v>162</v>
      </c>
      <c r="L71" s="184">
        <v>0.06</v>
      </c>
    </row>
    <row r="72" spans="1:12">
      <c r="A72" s="177" t="s">
        <v>317</v>
      </c>
      <c r="B72" s="177" t="s">
        <v>158</v>
      </c>
      <c r="C72" s="178" t="s">
        <v>58</v>
      </c>
      <c r="D72" s="179"/>
      <c r="E72" s="180" t="s">
        <v>201</v>
      </c>
      <c r="F72" s="181" t="s">
        <v>318</v>
      </c>
      <c r="G72" s="182"/>
      <c r="H72" s="183" t="s">
        <v>176</v>
      </c>
      <c r="I72" s="184">
        <v>0.06</v>
      </c>
      <c r="J72" s="185"/>
      <c r="K72" s="183" t="s">
        <v>251</v>
      </c>
      <c r="L72" s="184">
        <v>0.05</v>
      </c>
    </row>
    <row r="73" spans="1:12">
      <c r="A73" s="177" t="s">
        <v>319</v>
      </c>
      <c r="B73" s="177" t="s">
        <v>158</v>
      </c>
      <c r="C73" s="178" t="s">
        <v>58</v>
      </c>
      <c r="D73" s="179"/>
      <c r="E73" s="180" t="s">
        <v>201</v>
      </c>
      <c r="F73" s="187" t="s">
        <v>302</v>
      </c>
      <c r="G73" s="198"/>
      <c r="H73" s="183"/>
      <c r="I73" s="184"/>
      <c r="J73" s="185"/>
      <c r="K73" s="183" t="s">
        <v>225</v>
      </c>
      <c r="L73" s="184">
        <v>0.05</v>
      </c>
    </row>
    <row r="74" spans="1:12">
      <c r="A74" s="177" t="s">
        <v>320</v>
      </c>
      <c r="B74" s="177" t="s">
        <v>184</v>
      </c>
      <c r="C74" s="178" t="s">
        <v>58</v>
      </c>
      <c r="D74" s="179"/>
      <c r="E74" s="180" t="s">
        <v>159</v>
      </c>
      <c r="F74" s="181" t="s">
        <v>297</v>
      </c>
      <c r="G74" s="182"/>
      <c r="H74" s="183" t="s">
        <v>273</v>
      </c>
      <c r="I74" s="184">
        <v>0.09</v>
      </c>
      <c r="J74" s="185"/>
      <c r="K74" s="183" t="s">
        <v>314</v>
      </c>
      <c r="L74" s="184">
        <v>0.06</v>
      </c>
    </row>
    <row r="75" spans="1:12">
      <c r="A75" s="177" t="s">
        <v>321</v>
      </c>
      <c r="B75" s="177" t="s">
        <v>184</v>
      </c>
      <c r="C75" s="178" t="s">
        <v>58</v>
      </c>
      <c r="D75" s="179"/>
      <c r="E75" s="180" t="s">
        <v>322</v>
      </c>
      <c r="F75" s="181" t="s">
        <v>297</v>
      </c>
      <c r="G75" s="182"/>
      <c r="H75" s="183" t="s">
        <v>323</v>
      </c>
      <c r="I75" s="184">
        <v>0.15</v>
      </c>
      <c r="J75" s="185"/>
      <c r="K75" s="183"/>
      <c r="L75" s="184"/>
    </row>
    <row r="76" spans="1:12">
      <c r="A76" s="177" t="s">
        <v>324</v>
      </c>
      <c r="B76" s="177" t="s">
        <v>158</v>
      </c>
      <c r="C76" s="178" t="s">
        <v>58</v>
      </c>
      <c r="D76" s="179"/>
      <c r="E76" s="180" t="s">
        <v>159</v>
      </c>
      <c r="F76" s="187" t="s">
        <v>325</v>
      </c>
      <c r="G76" s="198"/>
      <c r="H76" s="183"/>
      <c r="I76" s="184"/>
      <c r="J76" s="185"/>
      <c r="K76" s="183" t="s">
        <v>251</v>
      </c>
      <c r="L76" s="184">
        <v>7.0000000000000007E-2</v>
      </c>
    </row>
    <row r="78" spans="1:12" ht="27">
      <c r="A78" s="171" t="s">
        <v>152</v>
      </c>
      <c r="B78" s="171" t="s">
        <v>153</v>
      </c>
      <c r="C78" s="172"/>
      <c r="D78" s="173"/>
      <c r="E78" s="174" t="s">
        <v>154</v>
      </c>
      <c r="F78" s="175" t="s">
        <v>155</v>
      </c>
      <c r="G78" s="176"/>
      <c r="H78" s="174" t="s">
        <v>156</v>
      </c>
      <c r="I78" s="175" t="s">
        <v>155</v>
      </c>
      <c r="J78" s="176"/>
      <c r="K78" s="174" t="s">
        <v>156</v>
      </c>
      <c r="L78" s="175" t="s">
        <v>155</v>
      </c>
    </row>
    <row r="79" spans="1:12">
      <c r="A79" s="177" t="s">
        <v>326</v>
      </c>
      <c r="B79" s="177" t="s">
        <v>184</v>
      </c>
      <c r="C79" s="178" t="s">
        <v>327</v>
      </c>
      <c r="D79" s="179"/>
      <c r="E79" s="183" t="s">
        <v>328</v>
      </c>
      <c r="F79" s="181" t="s">
        <v>160</v>
      </c>
      <c r="G79" s="179"/>
      <c r="H79" s="183" t="s">
        <v>329</v>
      </c>
      <c r="I79" s="184">
        <v>0.04</v>
      </c>
      <c r="J79" s="179"/>
      <c r="K79" s="183" t="s">
        <v>314</v>
      </c>
      <c r="L79" s="184">
        <v>1.4999999999999999E-2</v>
      </c>
    </row>
    <row r="80" spans="1:12">
      <c r="A80" s="177" t="s">
        <v>330</v>
      </c>
      <c r="B80" s="177" t="s">
        <v>331</v>
      </c>
      <c r="C80" s="178" t="s">
        <v>327</v>
      </c>
      <c r="D80" s="179"/>
      <c r="E80" s="183" t="s">
        <v>332</v>
      </c>
      <c r="F80" s="181" t="s">
        <v>333</v>
      </c>
      <c r="G80" s="179"/>
      <c r="H80" s="183" t="s">
        <v>334</v>
      </c>
      <c r="I80" s="181" t="s">
        <v>335</v>
      </c>
      <c r="J80" s="179"/>
      <c r="K80" s="183" t="s">
        <v>336</v>
      </c>
      <c r="L80" s="184">
        <v>2.5000000000000001E-2</v>
      </c>
    </row>
    <row r="81" spans="1:12">
      <c r="A81" s="177" t="s">
        <v>337</v>
      </c>
      <c r="B81" s="177" t="s">
        <v>338</v>
      </c>
      <c r="C81" s="178" t="s">
        <v>327</v>
      </c>
      <c r="D81" s="179"/>
      <c r="E81" s="183" t="s">
        <v>159</v>
      </c>
      <c r="F81" s="181" t="s">
        <v>335</v>
      </c>
      <c r="G81" s="179"/>
      <c r="H81" s="183" t="s">
        <v>339</v>
      </c>
      <c r="I81" s="184">
        <v>0.05</v>
      </c>
      <c r="J81" s="179"/>
      <c r="K81" s="183" t="s">
        <v>192</v>
      </c>
      <c r="L81" s="184">
        <v>0.02</v>
      </c>
    </row>
    <row r="82" spans="1:12">
      <c r="A82" s="177" t="s">
        <v>340</v>
      </c>
      <c r="B82" s="177" t="s">
        <v>338</v>
      </c>
      <c r="C82" s="178" t="s">
        <v>327</v>
      </c>
      <c r="D82" s="179"/>
      <c r="E82" s="183" t="s">
        <v>341</v>
      </c>
      <c r="F82" s="184" t="s">
        <v>342</v>
      </c>
      <c r="G82" s="179"/>
      <c r="H82" s="183" t="s">
        <v>343</v>
      </c>
      <c r="I82" s="184" t="s">
        <v>344</v>
      </c>
      <c r="J82" s="179"/>
      <c r="K82" s="183"/>
      <c r="L82" s="184"/>
    </row>
    <row r="83" spans="1:12">
      <c r="A83" s="177" t="s">
        <v>345</v>
      </c>
      <c r="B83" s="177"/>
      <c r="C83" s="178" t="s">
        <v>327</v>
      </c>
      <c r="D83" s="179"/>
      <c r="E83" s="183"/>
      <c r="F83" s="181"/>
      <c r="G83" s="179"/>
      <c r="H83" s="183"/>
      <c r="I83" s="184"/>
      <c r="J83" s="179"/>
      <c r="K83" s="183" t="s">
        <v>346</v>
      </c>
      <c r="L83" s="184" t="s">
        <v>347</v>
      </c>
    </row>
    <row r="84" spans="1:12">
      <c r="A84" s="177" t="s">
        <v>348</v>
      </c>
      <c r="B84" s="177" t="s">
        <v>184</v>
      </c>
      <c r="C84" s="178" t="s">
        <v>327</v>
      </c>
      <c r="D84" s="179"/>
      <c r="E84" s="183"/>
      <c r="F84" s="181"/>
      <c r="G84" s="179"/>
      <c r="H84" s="183"/>
      <c r="I84" s="184"/>
      <c r="J84" s="179"/>
      <c r="K84" s="183" t="s">
        <v>346</v>
      </c>
      <c r="L84" s="184" t="s">
        <v>347</v>
      </c>
    </row>
    <row r="85" spans="1:12">
      <c r="A85" s="177" t="s">
        <v>349</v>
      </c>
      <c r="B85" s="177" t="s">
        <v>350</v>
      </c>
      <c r="C85" s="178" t="s">
        <v>327</v>
      </c>
      <c r="D85" s="179"/>
      <c r="E85" s="183" t="s">
        <v>159</v>
      </c>
      <c r="F85" s="181" t="s">
        <v>351</v>
      </c>
      <c r="G85" s="179"/>
      <c r="H85" s="183" t="s">
        <v>195</v>
      </c>
      <c r="I85" s="181" t="s">
        <v>212</v>
      </c>
      <c r="J85" s="179"/>
      <c r="K85" s="183"/>
      <c r="L85" s="184"/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TotalCosts (Hrs)</vt:lpstr>
      <vt:lpstr>MaterialCosts Summary</vt:lpstr>
      <vt:lpstr>Bill of Materials</vt:lpstr>
      <vt:lpstr>Components</vt:lpstr>
      <vt:lpstr>Monitoring</vt:lpstr>
      <vt:lpstr>Shipping Costs</vt:lpstr>
    </vt:vector>
  </TitlesOfParts>
  <Company>Panta Contracting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Spiteri</dc:creator>
  <cp:lastModifiedBy>Mark Catania</cp:lastModifiedBy>
  <cp:lastPrinted>2017-10-11T12:27:58Z</cp:lastPrinted>
  <dcterms:created xsi:type="dcterms:W3CDTF">2012-09-17T10:50:49Z</dcterms:created>
  <dcterms:modified xsi:type="dcterms:W3CDTF">2025-12-02T10:32:52Z</dcterms:modified>
</cp:coreProperties>
</file>