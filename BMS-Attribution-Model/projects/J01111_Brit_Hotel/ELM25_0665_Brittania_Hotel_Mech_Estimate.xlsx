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fileSharing readOnlyRecommended="1"/>
  <workbookPr backupFile="1" codeName="ThisWorkbook"/>
  <mc:AlternateContent xmlns:mc="http://schemas.openxmlformats.org/markup-compatibility/2006">
    <mc:Choice Requires="x15">
      <x15ac:absPath xmlns:x15ac="http://schemas.microsoft.com/office/spreadsheetml/2010/11/ac" url="https://d.docs.live.net/d8e42587b76b10ba/Documents/Visual Code Studio/Claude/BMS-Attribution-Model/projects/J01111_Brit_Hotel/"/>
    </mc:Choice>
  </mc:AlternateContent>
  <xr:revisionPtr revIDLastSave="0" documentId="8_{D0BE8D1D-D539-4865-A242-3DF384A499A1}" xr6:coauthVersionLast="47" xr6:coauthVersionMax="47" xr10:uidLastSave="{00000000-0000-0000-0000-000000000000}"/>
  <bookViews>
    <workbookView xWindow="-108" yWindow="-108" windowWidth="23256" windowHeight="12456" tabRatio="811" activeTab="3" xr2:uid="{00000000-000D-0000-FFFF-FFFF00000000}"/>
  </bookViews>
  <sheets>
    <sheet name="Notes" sheetId="10" r:id="rId1"/>
    <sheet name="Elec_Rates" sheetId="11" r:id="rId2"/>
    <sheet name="Elec_Est" sheetId="8" r:id="rId3"/>
    <sheet name="ML_Sum" sheetId="1" r:id="rId4"/>
    <sheet name="Quote" sheetId="18" r:id="rId5"/>
    <sheet name="Plumbing" sheetId="22" r:id="rId6"/>
    <sheet name="Rain water &amp; Drainage" sheetId="23" r:id="rId7"/>
    <sheet name="Fire Fighting" sheetId="24" r:id="rId8"/>
  </sheets>
  <externalReferences>
    <externalReference r:id="rId9"/>
  </externalReferences>
  <definedNames>
    <definedName name="_xlnm._FilterDatabase" localSheetId="2" hidden="1">Elec_Est!$D$1:$D$512</definedName>
    <definedName name="_xlnm._FilterDatabase" localSheetId="1" hidden="1">Elec_Rates!$L$1:$L$94</definedName>
    <definedName name="_xlnm._FilterDatabase" localSheetId="5" hidden="1">Plumbing!$B$1:$B$619</definedName>
    <definedName name="_Key1" hidden="1">#REF!</definedName>
    <definedName name="_Order1" hidden="1">255</definedName>
    <definedName name="_Sort" hidden="1">#REF!</definedName>
    <definedName name="Access_Control">[1]Elec_Est!#REF!</definedName>
    <definedName name="AREAS" localSheetId="4">[1]ML_Sum!$X$1:$AD$16</definedName>
    <definedName name="AREAS">ML_Sum!$X$1:$AD$16</definedName>
    <definedName name="CCTV">[1]Elec_Est!#REF!</definedName>
    <definedName name="Data">[1]Elec_Est!#REF!</definedName>
    <definedName name="Fire_Alarm">[1]Elec_Est!#REF!</definedName>
    <definedName name="FO">[1]Elec_Est!#REF!</definedName>
    <definedName name="Guard">[1]Elec_Est!#REF!</definedName>
    <definedName name="Intercom">[1]Elec_Est!#REF!</definedName>
    <definedName name="Intruder_Alarm">[1]Elec_Est!#REF!</definedName>
    <definedName name="_xlnm.Print_Area" localSheetId="2">Elec_Est!$A$1:$T$13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7" i="8" l="1"/>
  <c r="E356" i="22"/>
  <c r="E378" i="22"/>
  <c r="E358" i="22"/>
  <c r="T185" i="8"/>
  <c r="E185" i="8"/>
  <c r="AG185" i="8" s="1"/>
  <c r="T194" i="8"/>
  <c r="E194" i="8"/>
  <c r="AG194" i="8" s="1"/>
  <c r="R178" i="8"/>
  <c r="R89" i="8" l="1"/>
  <c r="R88" i="8"/>
  <c r="R87" i="8"/>
  <c r="R86" i="8"/>
  <c r="R85" i="8"/>
  <c r="R84" i="8"/>
  <c r="R399" i="8"/>
  <c r="R397" i="8"/>
  <c r="R396" i="8"/>
  <c r="R395" i="8"/>
  <c r="R394" i="8"/>
  <c r="Q393" i="8"/>
  <c r="R393" i="8" s="1"/>
  <c r="R419" i="8"/>
  <c r="R417" i="8"/>
  <c r="R416" i="8"/>
  <c r="R415" i="8"/>
  <c r="R414" i="8"/>
  <c r="Q413" i="8"/>
  <c r="R413" i="8" s="1"/>
  <c r="R111" i="8" l="1"/>
  <c r="R129" i="8"/>
  <c r="R136" i="8"/>
  <c r="R135" i="8"/>
  <c r="R117" i="8"/>
  <c r="R83" i="8"/>
  <c r="R82" i="8"/>
  <c r="R81" i="8"/>
  <c r="R80" i="8"/>
  <c r="R79" i="8"/>
  <c r="R78" i="8"/>
  <c r="R96" i="8"/>
  <c r="R95" i="8"/>
  <c r="R94" i="8"/>
  <c r="R91" i="8"/>
  <c r="R77" i="8"/>
  <c r="R46" i="8"/>
  <c r="R45" i="8"/>
  <c r="R44" i="8"/>
  <c r="R43" i="8"/>
  <c r="R42" i="8"/>
  <c r="R41" i="8"/>
  <c r="R40" i="8"/>
  <c r="R92" i="8" l="1"/>
  <c r="R99" i="8" s="1"/>
  <c r="R97" i="8"/>
  <c r="R411" i="8"/>
  <c r="R410" i="8"/>
  <c r="R409" i="8"/>
  <c r="R408" i="8"/>
  <c r="Q407" i="8"/>
  <c r="R407" i="8" s="1"/>
  <c r="R406" i="8"/>
  <c r="R389" i="8"/>
  <c r="Q387" i="8"/>
  <c r="AM73" i="8" l="1"/>
  <c r="E266" i="22" s="1"/>
  <c r="R387" i="8"/>
  <c r="R390" i="8"/>
  <c r="R388" i="8"/>
  <c r="R391" i="8"/>
  <c r="R315" i="8" l="1"/>
  <c r="R310" i="8"/>
  <c r="R309" i="8"/>
  <c r="R308" i="8"/>
  <c r="R307" i="8"/>
  <c r="R306" i="8"/>
  <c r="R305" i="8"/>
  <c r="R242" i="8"/>
  <c r="R225" i="8"/>
  <c r="R163" i="8"/>
  <c r="R162" i="8"/>
  <c r="R161" i="8"/>
  <c r="R160" i="8"/>
  <c r="R159" i="8"/>
  <c r="R158" i="8"/>
  <c r="R277" i="8"/>
  <c r="R260" i="8"/>
  <c r="R259" i="8"/>
  <c r="R273" i="8" l="1"/>
  <c r="R272" i="8"/>
  <c r="R219" i="8"/>
  <c r="R171" i="8"/>
  <c r="R127" i="8"/>
  <c r="R109" i="8"/>
  <c r="R237" i="8"/>
  <c r="R220" i="8"/>
  <c r="R174" i="8"/>
  <c r="R173" i="8"/>
  <c r="R172" i="8"/>
  <c r="R128" i="8"/>
  <c r="R110" i="8"/>
  <c r="R236" i="8" l="1"/>
  <c r="R55" i="8" l="1"/>
  <c r="R60" i="8"/>
  <c r="R59" i="8"/>
  <c r="R58" i="8"/>
  <c r="R57" i="8"/>
  <c r="R56" i="8"/>
  <c r="R30" i="8"/>
  <c r="R29" i="8"/>
  <c r="R28" i="8"/>
  <c r="R27" i="8"/>
  <c r="R26" i="8"/>
  <c r="R25" i="8"/>
  <c r="R206" i="8"/>
  <c r="R205" i="8"/>
  <c r="R204" i="8"/>
  <c r="R203" i="8"/>
  <c r="R202" i="8"/>
  <c r="R201" i="8"/>
  <c r="R143" i="8"/>
  <c r="R148" i="8"/>
  <c r="R147" i="8"/>
  <c r="R146" i="8"/>
  <c r="R145" i="8"/>
  <c r="R144" i="8"/>
  <c r="R328" i="8" l="1"/>
  <c r="R327" i="8"/>
  <c r="R316" i="8"/>
  <c r="R314" i="8"/>
  <c r="R311" i="8"/>
  <c r="R278" i="8"/>
  <c r="R274" i="8"/>
  <c r="R244" i="8"/>
  <c r="R243" i="8"/>
  <c r="R241" i="8"/>
  <c r="R238" i="8"/>
  <c r="R227" i="8"/>
  <c r="R226" i="8"/>
  <c r="R224" i="8"/>
  <c r="R221" i="8"/>
  <c r="R134" i="8"/>
  <c r="R116" i="8"/>
  <c r="R133" i="8"/>
  <c r="R130" i="8"/>
  <c r="R118" i="8"/>
  <c r="R115" i="8"/>
  <c r="R112" i="8"/>
  <c r="R180" i="8"/>
  <c r="R179" i="8"/>
  <c r="R175" i="8"/>
  <c r="R317" i="8" l="1"/>
  <c r="R275" i="8"/>
  <c r="R312" i="8"/>
  <c r="R131" i="8"/>
  <c r="R222" i="8"/>
  <c r="R279" i="8"/>
  <c r="R245" i="8"/>
  <c r="R239" i="8"/>
  <c r="R113" i="8"/>
  <c r="R228" i="8"/>
  <c r="R176" i="8"/>
  <c r="R119" i="8"/>
  <c r="R137" i="8"/>
  <c r="R181" i="8"/>
  <c r="R370" i="8"/>
  <c r="R346" i="8"/>
  <c r="R345" i="8"/>
  <c r="R230" i="8" l="1"/>
  <c r="AM215" i="8" s="1"/>
  <c r="E431" i="22" s="1"/>
  <c r="R281" i="8"/>
  <c r="AM268" i="8" s="1"/>
  <c r="E578" i="22" s="1"/>
  <c r="R319" i="8"/>
  <c r="AM301" i="8" s="1"/>
  <c r="E138" i="23" s="1"/>
  <c r="R139" i="8"/>
  <c r="AM123" i="8" s="1"/>
  <c r="E286" i="22" s="1"/>
  <c r="R121" i="8"/>
  <c r="AM105" i="8" s="1"/>
  <c r="E284" i="22" s="1"/>
  <c r="R183" i="8"/>
  <c r="AM167" i="8" s="1"/>
  <c r="R247" i="8"/>
  <c r="AM232" i="8" s="1"/>
  <c r="E433" i="22" s="1"/>
  <c r="R339" i="8"/>
  <c r="R338" i="8"/>
  <c r="R196" i="8" l="1"/>
  <c r="F54" i="24"/>
  <c r="E54" i="24"/>
  <c r="F48" i="23"/>
  <c r="E48" i="23"/>
  <c r="F100" i="23"/>
  <c r="E100" i="23"/>
  <c r="F561" i="22"/>
  <c r="E561" i="22"/>
  <c r="F504" i="22"/>
  <c r="E504" i="22"/>
  <c r="F155" i="22"/>
  <c r="E155" i="22"/>
  <c r="F104" i="22"/>
  <c r="E104" i="22"/>
  <c r="R451" i="8"/>
  <c r="R110" i="1" s="1"/>
  <c r="T451" i="8"/>
  <c r="T110" i="1" s="1"/>
  <c r="S110" i="1" s="1"/>
  <c r="R452" i="8"/>
  <c r="R111" i="1" s="1"/>
  <c r="T452" i="8"/>
  <c r="T111" i="1" s="1"/>
  <c r="S111" i="1" s="1"/>
  <c r="R453" i="8"/>
  <c r="T453" i="8"/>
  <c r="T112" i="1" s="1"/>
  <c r="S112" i="1" s="1"/>
  <c r="R454" i="8"/>
  <c r="R113" i="1" s="1"/>
  <c r="R455" i="8"/>
  <c r="R114" i="1" s="1"/>
  <c r="T455" i="8"/>
  <c r="T114" i="1" s="1"/>
  <c r="S114" i="1" s="1"/>
  <c r="R456" i="8"/>
  <c r="R115" i="1" s="1"/>
  <c r="T456" i="8"/>
  <c r="T115" i="1" s="1"/>
  <c r="S115" i="1" s="1"/>
  <c r="R457" i="8"/>
  <c r="R116" i="1" s="1"/>
  <c r="T457" i="8"/>
  <c r="T116" i="1" s="1"/>
  <c r="S116" i="1" s="1"/>
  <c r="R458" i="8"/>
  <c r="R117" i="1" s="1"/>
  <c r="T458" i="8"/>
  <c r="T117" i="1" s="1"/>
  <c r="S117" i="1" s="1"/>
  <c r="R459" i="8"/>
  <c r="R118" i="1" s="1"/>
  <c r="R460" i="8"/>
  <c r="R119" i="1" s="1"/>
  <c r="R461" i="8"/>
  <c r="R120" i="1" s="1"/>
  <c r="R462" i="8"/>
  <c r="R121" i="1" s="1"/>
  <c r="R463" i="8"/>
  <c r="R122" i="1" s="1"/>
  <c r="T463" i="8"/>
  <c r="T122" i="1" s="1"/>
  <c r="S122" i="1" s="1"/>
  <c r="R464" i="8"/>
  <c r="R123" i="1" s="1"/>
  <c r="T464" i="8"/>
  <c r="T123" i="1" s="1"/>
  <c r="S123" i="1" s="1"/>
  <c r="R465" i="8"/>
  <c r="R124" i="1" s="1"/>
  <c r="T465" i="8"/>
  <c r="T124" i="1" s="1"/>
  <c r="S124" i="1" s="1"/>
  <c r="R466" i="8"/>
  <c r="R125" i="1" s="1"/>
  <c r="T466" i="8"/>
  <c r="T125" i="1" s="1"/>
  <c r="S125" i="1" s="1"/>
  <c r="R467" i="8"/>
  <c r="R126" i="1" s="1"/>
  <c r="T467" i="8"/>
  <c r="T126" i="1" s="1"/>
  <c r="S126" i="1" s="1"/>
  <c r="R468" i="8"/>
  <c r="R127" i="1" s="1"/>
  <c r="T468" i="8"/>
  <c r="T127" i="1" s="1"/>
  <c r="S127" i="1" s="1"/>
  <c r="R469" i="8"/>
  <c r="R128" i="1" s="1"/>
  <c r="T469" i="8"/>
  <c r="T128" i="1" s="1"/>
  <c r="S128" i="1" s="1"/>
  <c r="R470" i="8"/>
  <c r="R129" i="1" s="1"/>
  <c r="T470" i="8"/>
  <c r="T129" i="1" s="1"/>
  <c r="S129" i="1" s="1"/>
  <c r="R471" i="8"/>
  <c r="R130" i="1" s="1"/>
  <c r="R472" i="8"/>
  <c r="R131" i="1" s="1"/>
  <c r="T472" i="8"/>
  <c r="T131" i="1" s="1"/>
  <c r="S131" i="1" s="1"/>
  <c r="R473" i="8"/>
  <c r="R132" i="1" s="1"/>
  <c r="T473" i="8"/>
  <c r="T132" i="1" s="1"/>
  <c r="S132" i="1" s="1"/>
  <c r="R474" i="8"/>
  <c r="R133" i="1" s="1"/>
  <c r="T474" i="8"/>
  <c r="T133" i="1" s="1"/>
  <c r="S133" i="1" s="1"/>
  <c r="R475" i="8"/>
  <c r="R134" i="1" s="1"/>
  <c r="T475" i="8"/>
  <c r="T134" i="1" s="1"/>
  <c r="S134" i="1" s="1"/>
  <c r="R476" i="8"/>
  <c r="T476" i="8"/>
  <c r="T135" i="1" s="1"/>
  <c r="S135" i="1" s="1"/>
  <c r="R477" i="8"/>
  <c r="R136" i="1" s="1"/>
  <c r="T477" i="8"/>
  <c r="T136" i="1" s="1"/>
  <c r="S136" i="1" s="1"/>
  <c r="R478" i="8"/>
  <c r="R137" i="1" s="1"/>
  <c r="T478" i="8"/>
  <c r="T137" i="1" s="1"/>
  <c r="S137" i="1" s="1"/>
  <c r="R479" i="8"/>
  <c r="R138" i="1" s="1"/>
  <c r="T479" i="8"/>
  <c r="T138" i="1" s="1"/>
  <c r="S138" i="1" s="1"/>
  <c r="R480" i="8"/>
  <c r="R139" i="1" s="1"/>
  <c r="T480" i="8"/>
  <c r="T139" i="1" s="1"/>
  <c r="S139" i="1" s="1"/>
  <c r="R481" i="8"/>
  <c r="R140" i="1" s="1"/>
  <c r="T481" i="8"/>
  <c r="T140" i="1" s="1"/>
  <c r="S140" i="1" s="1"/>
  <c r="R482" i="8"/>
  <c r="R141" i="1" s="1"/>
  <c r="T482" i="8"/>
  <c r="T141" i="1" s="1"/>
  <c r="S141" i="1" s="1"/>
  <c r="R483" i="8"/>
  <c r="R142" i="1" s="1"/>
  <c r="T483" i="8"/>
  <c r="T142" i="1" s="1"/>
  <c r="S142" i="1" s="1"/>
  <c r="R484" i="8"/>
  <c r="R143" i="1" s="1"/>
  <c r="T484" i="8"/>
  <c r="T143" i="1" s="1"/>
  <c r="S143" i="1" s="1"/>
  <c r="R485" i="8"/>
  <c r="R144" i="1" s="1"/>
  <c r="T485" i="8"/>
  <c r="T144" i="1" s="1"/>
  <c r="S144" i="1" s="1"/>
  <c r="R486" i="8"/>
  <c r="R145" i="1" s="1"/>
  <c r="T486" i="8"/>
  <c r="T145" i="1" s="1"/>
  <c r="S145" i="1" s="1"/>
  <c r="R487" i="8"/>
  <c r="R146" i="1" s="1"/>
  <c r="T487" i="8"/>
  <c r="T146" i="1" s="1"/>
  <c r="S146" i="1" s="1"/>
  <c r="R488" i="8"/>
  <c r="R147" i="1" s="1"/>
  <c r="T488" i="8"/>
  <c r="T147" i="1" s="1"/>
  <c r="S147" i="1" s="1"/>
  <c r="R489" i="8"/>
  <c r="R148" i="1" s="1"/>
  <c r="T489" i="8"/>
  <c r="T148" i="1" s="1"/>
  <c r="S148" i="1" s="1"/>
  <c r="R490" i="8"/>
  <c r="R149" i="1" s="1"/>
  <c r="T490" i="8"/>
  <c r="T149" i="1" s="1"/>
  <c r="S149" i="1" s="1"/>
  <c r="R491" i="8"/>
  <c r="R150" i="1" s="1"/>
  <c r="T491" i="8"/>
  <c r="T150" i="1" s="1"/>
  <c r="S150" i="1" s="1"/>
  <c r="R492" i="8"/>
  <c r="R151" i="1" s="1"/>
  <c r="T492" i="8"/>
  <c r="T151" i="1" s="1"/>
  <c r="S151" i="1" s="1"/>
  <c r="R493" i="8"/>
  <c r="R152" i="1" s="1"/>
  <c r="T493" i="8"/>
  <c r="T152" i="1" s="1"/>
  <c r="S152" i="1" s="1"/>
  <c r="R494" i="8"/>
  <c r="R153" i="1" s="1"/>
  <c r="T494" i="8"/>
  <c r="T153" i="1" s="1"/>
  <c r="S153" i="1" s="1"/>
  <c r="R495" i="8"/>
  <c r="R154" i="1" s="1"/>
  <c r="T495" i="8"/>
  <c r="T154" i="1" s="1"/>
  <c r="S154" i="1" s="1"/>
  <c r="R496" i="8"/>
  <c r="R155" i="1" s="1"/>
  <c r="R497" i="8"/>
  <c r="R156" i="1" s="1"/>
  <c r="T497" i="8"/>
  <c r="T156" i="1" s="1"/>
  <c r="S156" i="1" s="1"/>
  <c r="R498" i="8"/>
  <c r="R157" i="1" s="1"/>
  <c r="T498" i="8"/>
  <c r="R499" i="8"/>
  <c r="R158" i="1" s="1"/>
  <c r="R500" i="8"/>
  <c r="R159" i="1" s="1"/>
  <c r="T500" i="8"/>
  <c r="T159" i="1" s="1"/>
  <c r="S159" i="1" s="1"/>
  <c r="R501" i="8"/>
  <c r="R160" i="1" s="1"/>
  <c r="T501" i="8"/>
  <c r="T160" i="1" s="1"/>
  <c r="S160" i="1" s="1"/>
  <c r="R502" i="8"/>
  <c r="R161" i="1" s="1"/>
  <c r="T502" i="8"/>
  <c r="T161" i="1" s="1"/>
  <c r="S161" i="1" s="1"/>
  <c r="R503" i="8"/>
  <c r="R162" i="1" s="1"/>
  <c r="T503" i="8"/>
  <c r="T162" i="1" s="1"/>
  <c r="S162" i="1" s="1"/>
  <c r="R504" i="8"/>
  <c r="R163" i="1" s="1"/>
  <c r="T504" i="8"/>
  <c r="T163" i="1" s="1"/>
  <c r="S163" i="1" s="1"/>
  <c r="R505" i="8"/>
  <c r="R164" i="1" s="1"/>
  <c r="T505" i="8"/>
  <c r="T164" i="1" s="1"/>
  <c r="S164" i="1" s="1"/>
  <c r="R450" i="8"/>
  <c r="G24" i="1"/>
  <c r="H24" i="1"/>
  <c r="J24" i="1"/>
  <c r="G25" i="1"/>
  <c r="H25" i="1"/>
  <c r="I25" i="1"/>
  <c r="J25" i="1"/>
  <c r="G26" i="1"/>
  <c r="H26" i="1"/>
  <c r="I26" i="1"/>
  <c r="J26" i="1"/>
  <c r="G27" i="1"/>
  <c r="H27" i="1"/>
  <c r="I27" i="1"/>
  <c r="J27" i="1"/>
  <c r="G28" i="1"/>
  <c r="H28" i="1"/>
  <c r="I28" i="1"/>
  <c r="J28" i="1"/>
  <c r="G29" i="1"/>
  <c r="H29" i="1"/>
  <c r="I29" i="1"/>
  <c r="J29" i="1"/>
  <c r="G30" i="1"/>
  <c r="H30" i="1"/>
  <c r="I30" i="1"/>
  <c r="J30" i="1"/>
  <c r="G31" i="1"/>
  <c r="H31" i="1"/>
  <c r="I31" i="1"/>
  <c r="J31" i="1"/>
  <c r="G32" i="1"/>
  <c r="H32" i="1"/>
  <c r="I32" i="1"/>
  <c r="J32" i="1"/>
  <c r="T447" i="8"/>
  <c r="R447" i="8"/>
  <c r="F447" i="8"/>
  <c r="T438" i="8"/>
  <c r="T32" i="1" s="1"/>
  <c r="R438" i="8"/>
  <c r="R32" i="1" s="1"/>
  <c r="F438" i="8"/>
  <c r="F32" i="1" s="1"/>
  <c r="T437" i="8"/>
  <c r="T31" i="1" s="1"/>
  <c r="R437" i="8"/>
  <c r="R31" i="1" s="1"/>
  <c r="F437" i="8"/>
  <c r="F31" i="1" s="1"/>
  <c r="T436" i="8"/>
  <c r="T30" i="1" s="1"/>
  <c r="R436" i="8"/>
  <c r="R30" i="1" s="1"/>
  <c r="F436" i="8"/>
  <c r="F30" i="1" s="1"/>
  <c r="T435" i="8"/>
  <c r="T29" i="1" s="1"/>
  <c r="R435" i="8"/>
  <c r="R29" i="1" s="1"/>
  <c r="F435" i="8"/>
  <c r="F29" i="1" s="1"/>
  <c r="T434" i="8"/>
  <c r="T28" i="1" s="1"/>
  <c r="R434" i="8"/>
  <c r="R28" i="1" s="1"/>
  <c r="F434" i="8"/>
  <c r="F28" i="1" s="1"/>
  <c r="T433" i="8"/>
  <c r="T27" i="1" s="1"/>
  <c r="R433" i="8"/>
  <c r="R27" i="1" s="1"/>
  <c r="F433" i="8"/>
  <c r="F27" i="1" s="1"/>
  <c r="T432" i="8"/>
  <c r="T26" i="1" s="1"/>
  <c r="R432" i="8"/>
  <c r="R26" i="1" s="1"/>
  <c r="F432" i="8"/>
  <c r="F26" i="1" s="1"/>
  <c r="T431" i="8"/>
  <c r="T25" i="1" s="1"/>
  <c r="R431" i="8"/>
  <c r="R25" i="1" s="1"/>
  <c r="F431" i="8"/>
  <c r="F25" i="1" s="1"/>
  <c r="R420" i="8"/>
  <c r="R405" i="8"/>
  <c r="R400" i="8"/>
  <c r="R386" i="8"/>
  <c r="R377" i="8"/>
  <c r="R376" i="8"/>
  <c r="R371" i="8"/>
  <c r="R347" i="8"/>
  <c r="R340" i="8"/>
  <c r="R329" i="8"/>
  <c r="R261" i="8"/>
  <c r="R208" i="8"/>
  <c r="R207" i="8"/>
  <c r="R187" i="8"/>
  <c r="R164" i="8"/>
  <c r="R149" i="8"/>
  <c r="R62" i="8"/>
  <c r="R61" i="8"/>
  <c r="R31" i="8"/>
  <c r="R509" i="8" l="1"/>
  <c r="R197" i="8"/>
  <c r="AM194" i="8" s="1"/>
  <c r="R508" i="8"/>
  <c r="R135" i="1"/>
  <c r="R507" i="8"/>
  <c r="T510" i="8"/>
  <c r="R109" i="1"/>
  <c r="R510" i="8"/>
  <c r="R401" i="8"/>
  <c r="AM384" i="8" s="1"/>
  <c r="E73" i="24" s="1"/>
  <c r="R112" i="1"/>
  <c r="R441" i="8"/>
  <c r="R330" i="8"/>
  <c r="AM325" i="8" s="1"/>
  <c r="E143" i="23" s="1"/>
  <c r="R378" i="8"/>
  <c r="AM374" i="8" s="1"/>
  <c r="T157" i="1"/>
  <c r="S157" i="1" s="1"/>
  <c r="R449" i="8"/>
  <c r="R262" i="8"/>
  <c r="AM257" i="8" s="1"/>
  <c r="E573" i="22" s="1"/>
  <c r="R348" i="8"/>
  <c r="AM343" i="8" s="1"/>
  <c r="E160" i="23" s="1"/>
  <c r="R421" i="8"/>
  <c r="AM403" i="8" s="1"/>
  <c r="E76" i="24" s="1"/>
  <c r="R341" i="8"/>
  <c r="AM336" i="8" s="1"/>
  <c r="E158" i="23" s="1"/>
  <c r="R372" i="8"/>
  <c r="AM368" i="8" s="1"/>
  <c r="R32" i="8"/>
  <c r="R150" i="8"/>
  <c r="AM141" i="8" s="1"/>
  <c r="E318" i="22" s="1"/>
  <c r="R165" i="8"/>
  <c r="R188" i="8"/>
  <c r="R47" i="8"/>
  <c r="R63" i="8"/>
  <c r="R209" i="8"/>
  <c r="H84" i="24"/>
  <c r="H81" i="24"/>
  <c r="H43" i="24"/>
  <c r="H40" i="24"/>
  <c r="H38" i="24"/>
  <c r="H36" i="24"/>
  <c r="H29" i="24"/>
  <c r="H26" i="24"/>
  <c r="H23" i="24"/>
  <c r="H20" i="24"/>
  <c r="H15" i="24"/>
  <c r="H13" i="24"/>
  <c r="H172" i="23"/>
  <c r="H167" i="23"/>
  <c r="H165" i="23"/>
  <c r="H131" i="23"/>
  <c r="H124" i="23"/>
  <c r="H119" i="23"/>
  <c r="H114" i="23"/>
  <c r="H76" i="23"/>
  <c r="H71" i="23"/>
  <c r="H69" i="23"/>
  <c r="H67" i="23"/>
  <c r="H65" i="23"/>
  <c r="H60" i="23"/>
  <c r="H58" i="23"/>
  <c r="H44" i="23"/>
  <c r="H39" i="23"/>
  <c r="H37" i="23"/>
  <c r="H35" i="23"/>
  <c r="H33" i="23"/>
  <c r="H31" i="23"/>
  <c r="H26" i="23"/>
  <c r="H24" i="23"/>
  <c r="H22" i="23"/>
  <c r="H20" i="23"/>
  <c r="H18" i="23"/>
  <c r="H589" i="22"/>
  <c r="H584" i="22"/>
  <c r="H581" i="22"/>
  <c r="H571" i="22"/>
  <c r="H569" i="22"/>
  <c r="H555" i="22"/>
  <c r="H553" i="22"/>
  <c r="H551" i="22"/>
  <c r="H549" i="22"/>
  <c r="H547" i="22"/>
  <c r="H545" i="22"/>
  <c r="H543" i="22"/>
  <c r="H541" i="22"/>
  <c r="H539" i="22"/>
  <c r="H532" i="22"/>
  <c r="H526" i="22"/>
  <c r="H521" i="22"/>
  <c r="H516" i="22"/>
  <c r="H512" i="22"/>
  <c r="H499" i="22"/>
  <c r="H494" i="22"/>
  <c r="H488" i="22"/>
  <c r="H482" i="22"/>
  <c r="H477" i="22"/>
  <c r="H470" i="22"/>
  <c r="H467" i="22"/>
  <c r="H464" i="22"/>
  <c r="H459" i="22"/>
  <c r="H443" i="22"/>
  <c r="H438" i="22"/>
  <c r="H426" i="22"/>
  <c r="H424" i="22"/>
  <c r="H422" i="22"/>
  <c r="H417" i="22"/>
  <c r="H415" i="22"/>
  <c r="H413" i="22"/>
  <c r="H411" i="22"/>
  <c r="H409" i="22"/>
  <c r="H376" i="22"/>
  <c r="H374" i="22"/>
  <c r="H365" i="22"/>
  <c r="H360" i="22"/>
  <c r="H341" i="22"/>
  <c r="H339" i="22"/>
  <c r="H337" i="22"/>
  <c r="H335" i="22"/>
  <c r="H333" i="22"/>
  <c r="H331" i="22"/>
  <c r="H329" i="22"/>
  <c r="H294" i="22"/>
  <c r="H292" i="22"/>
  <c r="H290" i="22"/>
  <c r="H288" i="22"/>
  <c r="H282" i="22"/>
  <c r="H280" i="22"/>
  <c r="H278" i="22"/>
  <c r="H276" i="22"/>
  <c r="H271" i="22"/>
  <c r="H262" i="22"/>
  <c r="H250" i="22"/>
  <c r="H247" i="22"/>
  <c r="H242" i="22"/>
  <c r="H237" i="22"/>
  <c r="H232" i="22"/>
  <c r="H227" i="22"/>
  <c r="H222" i="22"/>
  <c r="H214" i="22"/>
  <c r="H202" i="22"/>
  <c r="H197" i="22"/>
  <c r="H192" i="22"/>
  <c r="H187" i="22"/>
  <c r="H182" i="22"/>
  <c r="H177" i="22"/>
  <c r="H169" i="22"/>
  <c r="H127" i="22"/>
  <c r="H122" i="22"/>
  <c r="H117" i="22"/>
  <c r="H114" i="22"/>
  <c r="H89" i="22"/>
  <c r="H88" i="22"/>
  <c r="H83" i="22"/>
  <c r="H81" i="22"/>
  <c r="H76" i="22"/>
  <c r="H71" i="22"/>
  <c r="H66" i="22"/>
  <c r="H64" i="22"/>
  <c r="H62" i="22"/>
  <c r="H60" i="22"/>
  <c r="H55" i="22"/>
  <c r="H53" i="22"/>
  <c r="H39" i="22"/>
  <c r="H37" i="22"/>
  <c r="H35" i="22"/>
  <c r="H27" i="22"/>
  <c r="H22" i="22"/>
  <c r="H20" i="22"/>
  <c r="H15" i="22"/>
  <c r="H13" i="22"/>
  <c r="R430" i="8" l="1"/>
  <c r="R24" i="1" s="1"/>
  <c r="R351" i="8"/>
  <c r="E97" i="24"/>
  <c r="E202" i="23"/>
  <c r="E148" i="23"/>
  <c r="E618" i="22"/>
  <c r="R511" i="8"/>
  <c r="E449" i="22"/>
  <c r="H504" i="22"/>
  <c r="H561" i="22"/>
  <c r="R424" i="8"/>
  <c r="R429" i="8"/>
  <c r="R23" i="1" s="1"/>
  <c r="R443" i="8"/>
  <c r="AM23" i="8"/>
  <c r="E30" i="22" s="1"/>
  <c r="E45" i="22" s="1"/>
  <c r="AM199" i="8"/>
  <c r="E381" i="22" s="1"/>
  <c r="AM185" i="8"/>
  <c r="AM156" i="8"/>
  <c r="E327" i="22" s="1"/>
  <c r="E348" i="22" s="1"/>
  <c r="AM53" i="8"/>
  <c r="E217" i="22" s="1"/>
  <c r="E254" i="22" s="1"/>
  <c r="AM38" i="8"/>
  <c r="R284" i="8"/>
  <c r="H100" i="23"/>
  <c r="H54" i="24"/>
  <c r="H104" i="22"/>
  <c r="H155" i="22"/>
  <c r="H48" i="23"/>
  <c r="E172" i="22" l="1"/>
  <c r="E204" i="22" s="1"/>
  <c r="R445" i="8"/>
  <c r="E307" i="22"/>
  <c r="E399" i="22"/>
  <c r="R439" i="8"/>
  <c r="R22" i="11"/>
  <c r="R21" i="11"/>
  <c r="R20" i="11"/>
  <c r="R19" i="11"/>
  <c r="R18" i="11"/>
  <c r="R17" i="11"/>
  <c r="B15" i="11"/>
  <c r="R31" i="11"/>
  <c r="T31" i="11"/>
  <c r="R23" i="11" l="1"/>
  <c r="Q15" i="11"/>
  <c r="F21" i="18"/>
  <c r="T4" i="1" l="1"/>
  <c r="T8" i="1" l="1"/>
  <c r="T3" i="1"/>
  <c r="I24" i="1" s="1"/>
  <c r="T5" i="1"/>
  <c r="T6" i="1"/>
  <c r="T7" i="1"/>
  <c r="T9" i="1"/>
  <c r="T10" i="1"/>
  <c r="T11" i="1"/>
  <c r="D7" i="18" l="1"/>
  <c r="D8" i="18"/>
  <c r="D9" i="18"/>
  <c r="D10" i="18"/>
  <c r="D6" i="18"/>
  <c r="A1" i="18" l="1"/>
  <c r="A2" i="18" l="1"/>
  <c r="S5" i="18"/>
  <c r="A31" i="1" l="1"/>
  <c r="A28" i="1"/>
  <c r="T1" i="8"/>
  <c r="T178" i="8" s="1"/>
  <c r="T2" i="1"/>
  <c r="T2" i="8" s="1"/>
  <c r="J23" i="1"/>
  <c r="H23" i="1"/>
  <c r="S2" i="8"/>
  <c r="S12" i="11"/>
  <c r="T12" i="11"/>
  <c r="F1" i="11"/>
  <c r="S12" i="8"/>
  <c r="T12" i="8"/>
  <c r="F1" i="8"/>
  <c r="O6" i="1"/>
  <c r="B18" i="1"/>
  <c r="Q1" i="1"/>
  <c r="E36" i="1" s="1"/>
  <c r="C11" i="1"/>
  <c r="S1" i="1"/>
  <c r="S1" i="11" s="1"/>
  <c r="C2" i="1"/>
  <c r="T13" i="1"/>
  <c r="T1" i="11"/>
  <c r="S2" i="11"/>
  <c r="F77" i="1"/>
  <c r="T32" i="11"/>
  <c r="T33" i="11"/>
  <c r="T34" i="11"/>
  <c r="T35" i="11"/>
  <c r="T36" i="11"/>
  <c r="T37" i="11"/>
  <c r="T38" i="11"/>
  <c r="T39" i="11"/>
  <c r="T40" i="11"/>
  <c r="T41" i="11"/>
  <c r="T44" i="11"/>
  <c r="T45" i="11"/>
  <c r="T46" i="11"/>
  <c r="T47" i="11"/>
  <c r="T48" i="11"/>
  <c r="T49" i="11"/>
  <c r="T50" i="11"/>
  <c r="T51" i="11"/>
  <c r="T53" i="11"/>
  <c r="T54" i="11"/>
  <c r="T55" i="11"/>
  <c r="T56" i="11"/>
  <c r="T57" i="11"/>
  <c r="T58" i="11"/>
  <c r="T59" i="11"/>
  <c r="T60" i="11"/>
  <c r="T61" i="11"/>
  <c r="T62" i="11"/>
  <c r="T63" i="11"/>
  <c r="T64" i="11"/>
  <c r="T65" i="11"/>
  <c r="T66" i="11"/>
  <c r="T67" i="11"/>
  <c r="T68" i="11"/>
  <c r="T69" i="11"/>
  <c r="T70" i="11"/>
  <c r="T71" i="11"/>
  <c r="T72" i="11"/>
  <c r="T73" i="11"/>
  <c r="T74" i="11"/>
  <c r="T75" i="11"/>
  <c r="T76" i="11"/>
  <c r="T77" i="11"/>
  <c r="T78" i="11"/>
  <c r="T79" i="11"/>
  <c r="T80" i="11"/>
  <c r="T81" i="11"/>
  <c r="T82" i="11"/>
  <c r="T83" i="11"/>
  <c r="T84" i="11"/>
  <c r="T85" i="11"/>
  <c r="T86" i="11"/>
  <c r="R32" i="11"/>
  <c r="R33" i="11"/>
  <c r="R34" i="11"/>
  <c r="R35" i="11"/>
  <c r="R36" i="11"/>
  <c r="R37" i="11"/>
  <c r="R38" i="11"/>
  <c r="R39" i="11"/>
  <c r="R40" i="11"/>
  <c r="R41" i="11"/>
  <c r="R44" i="11"/>
  <c r="R45" i="11"/>
  <c r="R46" i="11"/>
  <c r="R47" i="11"/>
  <c r="R48" i="11"/>
  <c r="R49" i="11"/>
  <c r="R50" i="11"/>
  <c r="R51" i="11"/>
  <c r="R53" i="11"/>
  <c r="R54" i="11"/>
  <c r="R55" i="11"/>
  <c r="R56" i="11"/>
  <c r="R57" i="11"/>
  <c r="R58" i="11"/>
  <c r="R59" i="11"/>
  <c r="R60" i="11"/>
  <c r="R61" i="11"/>
  <c r="R62" i="11"/>
  <c r="R63" i="11"/>
  <c r="R64" i="11"/>
  <c r="R65" i="11"/>
  <c r="R66" i="11"/>
  <c r="R67" i="11"/>
  <c r="R68" i="11"/>
  <c r="R69" i="11"/>
  <c r="R70" i="11"/>
  <c r="R71" i="11"/>
  <c r="R72" i="11"/>
  <c r="R73" i="11"/>
  <c r="R74" i="11"/>
  <c r="R75" i="11"/>
  <c r="R76" i="11"/>
  <c r="R77" i="11"/>
  <c r="R78" i="11"/>
  <c r="R79" i="11"/>
  <c r="R80" i="11"/>
  <c r="R81" i="11"/>
  <c r="R82" i="11"/>
  <c r="R83" i="11"/>
  <c r="R84" i="11"/>
  <c r="R85" i="11"/>
  <c r="R86" i="11"/>
  <c r="C3" i="1"/>
  <c r="C3" i="8" s="1"/>
  <c r="C4" i="1"/>
  <c r="C5" i="1"/>
  <c r="C6" i="1"/>
  <c r="C7" i="1"/>
  <c r="C8" i="1"/>
  <c r="C9" i="1"/>
  <c r="C10" i="1"/>
  <c r="C12" i="1"/>
  <c r="C12" i="8" s="1"/>
  <c r="F22" i="1"/>
  <c r="Q12" i="11"/>
  <c r="F12" i="11"/>
  <c r="C12" i="11"/>
  <c r="T11" i="11"/>
  <c r="S11" i="11"/>
  <c r="Q11" i="11"/>
  <c r="F11" i="11"/>
  <c r="T10" i="11"/>
  <c r="S10" i="11"/>
  <c r="Q10" i="11"/>
  <c r="O10" i="1"/>
  <c r="O10" i="11" s="1"/>
  <c r="N10" i="1"/>
  <c r="N10" i="8" s="1"/>
  <c r="N10" i="11"/>
  <c r="M10" i="1"/>
  <c r="M10" i="11" s="1"/>
  <c r="L10" i="1"/>
  <c r="L10" i="11" s="1"/>
  <c r="K10" i="1"/>
  <c r="K10" i="11" s="1"/>
  <c r="J10" i="1"/>
  <c r="J10" i="11" s="1"/>
  <c r="F10" i="11"/>
  <c r="T9" i="11"/>
  <c r="S9" i="11"/>
  <c r="Q9" i="11"/>
  <c r="O9" i="11"/>
  <c r="N9" i="1"/>
  <c r="N9" i="11" s="1"/>
  <c r="M9" i="1"/>
  <c r="M9" i="8" s="1"/>
  <c r="L9" i="1"/>
  <c r="L9" i="11" s="1"/>
  <c r="K9" i="1"/>
  <c r="K9" i="11" s="1"/>
  <c r="J9" i="1"/>
  <c r="J9" i="11" s="1"/>
  <c r="F9" i="11"/>
  <c r="D9" i="11"/>
  <c r="T8" i="11"/>
  <c r="S8" i="11"/>
  <c r="Q8" i="11"/>
  <c r="O8" i="11"/>
  <c r="N8" i="1"/>
  <c r="M8" i="1"/>
  <c r="M8" i="11" s="1"/>
  <c r="L8" i="1"/>
  <c r="L8" i="11" s="1"/>
  <c r="K8" i="1"/>
  <c r="K8" i="11" s="1"/>
  <c r="J8" i="1"/>
  <c r="F8" i="11"/>
  <c r="D8" i="11"/>
  <c r="T7" i="11"/>
  <c r="S7" i="11"/>
  <c r="Q7" i="11"/>
  <c r="O7" i="11"/>
  <c r="N7" i="1"/>
  <c r="N7" i="11" s="1"/>
  <c r="M7" i="1"/>
  <c r="M7" i="11" s="1"/>
  <c r="L7" i="1"/>
  <c r="L7" i="11" s="1"/>
  <c r="K7" i="1"/>
  <c r="K7" i="11" s="1"/>
  <c r="J7" i="1"/>
  <c r="J7" i="11" s="1"/>
  <c r="F7" i="11"/>
  <c r="T6" i="11"/>
  <c r="S6" i="11"/>
  <c r="Q6" i="11"/>
  <c r="O6" i="11"/>
  <c r="N6" i="1"/>
  <c r="N6" i="11" s="1"/>
  <c r="M6" i="1"/>
  <c r="M6" i="11" s="1"/>
  <c r="L6" i="1"/>
  <c r="L6" i="11" s="1"/>
  <c r="K6" i="1"/>
  <c r="K6" i="11" s="1"/>
  <c r="J6" i="1"/>
  <c r="J6" i="11" s="1"/>
  <c r="F6" i="11"/>
  <c r="D6" i="11"/>
  <c r="T5" i="11"/>
  <c r="S5" i="11"/>
  <c r="Q5" i="11"/>
  <c r="O5" i="1"/>
  <c r="O5" i="11" s="1"/>
  <c r="N5" i="1"/>
  <c r="N5" i="11" s="1"/>
  <c r="M5" i="1"/>
  <c r="M5" i="11" s="1"/>
  <c r="L5" i="1"/>
  <c r="L5" i="8" s="1"/>
  <c r="K5" i="1"/>
  <c r="K5" i="11" s="1"/>
  <c r="J5" i="1"/>
  <c r="J5" i="8" s="1"/>
  <c r="F5" i="11"/>
  <c r="D5" i="11"/>
  <c r="T4" i="11"/>
  <c r="S4" i="11"/>
  <c r="Q4" i="11"/>
  <c r="O4" i="1"/>
  <c r="O4" i="11" s="1"/>
  <c r="N4" i="1"/>
  <c r="N4" i="11" s="1"/>
  <c r="M4" i="1"/>
  <c r="M4" i="11" s="1"/>
  <c r="L4" i="1"/>
  <c r="L4" i="11" s="1"/>
  <c r="K4" i="1"/>
  <c r="K4" i="11" s="1"/>
  <c r="J4" i="1"/>
  <c r="J4" i="11" s="1"/>
  <c r="F4" i="11"/>
  <c r="D4" i="11"/>
  <c r="C4" i="11"/>
  <c r="T3" i="11"/>
  <c r="S3" i="11"/>
  <c r="Q3" i="11"/>
  <c r="O3" i="1"/>
  <c r="O3" i="11" s="1"/>
  <c r="N3" i="1"/>
  <c r="N3" i="8" s="1"/>
  <c r="M3" i="1"/>
  <c r="M3" i="11" s="1"/>
  <c r="L3" i="1"/>
  <c r="L3" i="11" s="1"/>
  <c r="K3" i="1"/>
  <c r="K3" i="11" s="1"/>
  <c r="J3" i="1"/>
  <c r="J3" i="11" s="1"/>
  <c r="F3" i="11"/>
  <c r="D3" i="11"/>
  <c r="Q2" i="11"/>
  <c r="O2" i="1"/>
  <c r="O2" i="11" s="1"/>
  <c r="N2" i="1"/>
  <c r="N2" i="11" s="1"/>
  <c r="M2" i="1"/>
  <c r="M2" i="11" s="1"/>
  <c r="L2" i="1"/>
  <c r="L2" i="11" s="1"/>
  <c r="K2" i="1"/>
  <c r="K2" i="8" s="1"/>
  <c r="J2" i="1"/>
  <c r="J2" i="8" s="1"/>
  <c r="J2" i="11"/>
  <c r="F2" i="11"/>
  <c r="D2" i="11"/>
  <c r="U1" i="11"/>
  <c r="O1" i="1"/>
  <c r="O1" i="11" s="1"/>
  <c r="N1" i="1"/>
  <c r="N1" i="8" s="1"/>
  <c r="M1" i="1"/>
  <c r="M1" i="8" s="1"/>
  <c r="M1" i="11"/>
  <c r="L1" i="1"/>
  <c r="L1" i="11" s="1"/>
  <c r="K1" i="1"/>
  <c r="K1" i="11" s="1"/>
  <c r="J1" i="1"/>
  <c r="J1" i="11" s="1"/>
  <c r="D1" i="11"/>
  <c r="C1" i="11"/>
  <c r="B16" i="1"/>
  <c r="S3" i="8"/>
  <c r="T3" i="8"/>
  <c r="B14" i="1"/>
  <c r="D95" i="1"/>
  <c r="D175" i="1" s="1"/>
  <c r="S11" i="8"/>
  <c r="AH438" i="8" s="1"/>
  <c r="T11" i="8"/>
  <c r="AJ438" i="8" s="1"/>
  <c r="S10" i="8"/>
  <c r="AH437" i="8" s="1"/>
  <c r="T10" i="8"/>
  <c r="AJ437" i="8" s="1"/>
  <c r="S9" i="8"/>
  <c r="AH436" i="8" s="1"/>
  <c r="T9" i="8"/>
  <c r="AJ436" i="8" s="1"/>
  <c r="S8" i="8"/>
  <c r="AH435" i="8" s="1"/>
  <c r="T8" i="8"/>
  <c r="AJ435" i="8" s="1"/>
  <c r="S7" i="8"/>
  <c r="AH434" i="8" s="1"/>
  <c r="T7" i="8"/>
  <c r="AJ434" i="8" s="1"/>
  <c r="S6" i="8"/>
  <c r="AH433" i="8" s="1"/>
  <c r="T6" i="8"/>
  <c r="AJ433" i="8" s="1"/>
  <c r="S5" i="8"/>
  <c r="AH432" i="8" s="1"/>
  <c r="T5" i="8"/>
  <c r="AJ432" i="8" s="1"/>
  <c r="S4" i="8"/>
  <c r="AH431" i="8" s="1"/>
  <c r="T4" i="8"/>
  <c r="AJ431" i="8" s="1"/>
  <c r="F11" i="8"/>
  <c r="F10" i="8"/>
  <c r="F9" i="8"/>
  <c r="E436" i="8" s="1"/>
  <c r="F8" i="8"/>
  <c r="E435" i="8" s="1"/>
  <c r="F7" i="8"/>
  <c r="E434" i="8" s="1"/>
  <c r="F6" i="8"/>
  <c r="E433" i="8" s="1"/>
  <c r="F5" i="8"/>
  <c r="E432" i="8" s="1"/>
  <c r="F4" i="8"/>
  <c r="E431" i="8" s="1"/>
  <c r="D24" i="1"/>
  <c r="D25" i="1"/>
  <c r="D26" i="1"/>
  <c r="D27" i="1"/>
  <c r="D28" i="1"/>
  <c r="D29" i="1"/>
  <c r="D30" i="1"/>
  <c r="D31" i="1"/>
  <c r="D32" i="1"/>
  <c r="D23" i="1"/>
  <c r="F3" i="8"/>
  <c r="D93" i="8" s="1"/>
  <c r="F2" i="8"/>
  <c r="D76" i="8" s="1"/>
  <c r="R11" i="1"/>
  <c r="R10" i="1"/>
  <c r="R9" i="1"/>
  <c r="R8" i="1"/>
  <c r="R7" i="1"/>
  <c r="R6" i="1"/>
  <c r="R5" i="1"/>
  <c r="R4" i="1"/>
  <c r="R3" i="1"/>
  <c r="R2" i="1"/>
  <c r="U1" i="8"/>
  <c r="Q2" i="8"/>
  <c r="Q3" i="8"/>
  <c r="Q4" i="8"/>
  <c r="Q5" i="8"/>
  <c r="Q6" i="8"/>
  <c r="Q7" i="8"/>
  <c r="Q8" i="8"/>
  <c r="Q9" i="8"/>
  <c r="Q10" i="8"/>
  <c r="Q11" i="8"/>
  <c r="Q12" i="8"/>
  <c r="D8" i="8"/>
  <c r="D9" i="8"/>
  <c r="D6" i="8"/>
  <c r="D4" i="8"/>
  <c r="D2" i="8"/>
  <c r="F12" i="8"/>
  <c r="C1" i="8"/>
  <c r="L1" i="8"/>
  <c r="K1" i="8"/>
  <c r="J1" i="8"/>
  <c r="Q1" i="8"/>
  <c r="D1" i="8"/>
  <c r="M2" i="8"/>
  <c r="N2" i="8"/>
  <c r="L3" i="8"/>
  <c r="O3" i="8"/>
  <c r="J4" i="8"/>
  <c r="K4" i="8"/>
  <c r="M4" i="8"/>
  <c r="O6" i="8"/>
  <c r="J7" i="8"/>
  <c r="K7" i="8"/>
  <c r="O7" i="8"/>
  <c r="L8" i="8"/>
  <c r="O8" i="8"/>
  <c r="J9" i="8"/>
  <c r="N9" i="8"/>
  <c r="O9" i="8"/>
  <c r="J10" i="8"/>
  <c r="L10" i="8"/>
  <c r="S107" i="1"/>
  <c r="D55" i="1"/>
  <c r="D5" i="8"/>
  <c r="V1" i="1" a="1"/>
  <c r="V1" i="1" s="1"/>
  <c r="E64" i="1"/>
  <c r="E103" i="1" s="1"/>
  <c r="D3" i="8"/>
  <c r="A36" i="1"/>
  <c r="E63" i="1"/>
  <c r="E61" i="1"/>
  <c r="E101" i="1" s="1"/>
  <c r="E62" i="1"/>
  <c r="E102" i="1" s="1"/>
  <c r="E60" i="1"/>
  <c r="D51" i="1"/>
  <c r="T89" i="8" l="1"/>
  <c r="T85" i="8"/>
  <c r="T86" i="8"/>
  <c r="T88" i="8"/>
  <c r="T84" i="8"/>
  <c r="T87" i="8"/>
  <c r="T419" i="8"/>
  <c r="T399" i="8"/>
  <c r="T394" i="8"/>
  <c r="T397" i="8"/>
  <c r="T393" i="8"/>
  <c r="T396" i="8"/>
  <c r="T395" i="8"/>
  <c r="T415" i="8"/>
  <c r="T417" i="8"/>
  <c r="T413" i="8"/>
  <c r="T416" i="8"/>
  <c r="T414" i="8"/>
  <c r="T111" i="8"/>
  <c r="T129" i="8"/>
  <c r="T135" i="8"/>
  <c r="T117" i="8"/>
  <c r="T136" i="8"/>
  <c r="B137" i="8" s="1"/>
  <c r="T83" i="8"/>
  <c r="T79" i="8"/>
  <c r="T82" i="8"/>
  <c r="T78" i="8"/>
  <c r="T81" i="8"/>
  <c r="T80" i="8"/>
  <c r="AG92" i="8"/>
  <c r="AG97" i="8"/>
  <c r="T94" i="8"/>
  <c r="T77" i="8"/>
  <c r="T91" i="8"/>
  <c r="B92" i="8" s="1"/>
  <c r="T95" i="8"/>
  <c r="T96" i="8"/>
  <c r="B97" i="8" s="1"/>
  <c r="T46" i="8"/>
  <c r="T42" i="8"/>
  <c r="T45" i="8"/>
  <c r="T41" i="8"/>
  <c r="T44" i="8"/>
  <c r="T40" i="8"/>
  <c r="T43" i="8"/>
  <c r="T411" i="8"/>
  <c r="T407" i="8"/>
  <c r="T406" i="8"/>
  <c r="T410" i="8"/>
  <c r="T409" i="8"/>
  <c r="T408" i="8"/>
  <c r="T315" i="8"/>
  <c r="T389" i="8"/>
  <c r="T387" i="8"/>
  <c r="T388" i="8"/>
  <c r="T390" i="8"/>
  <c r="T391" i="8"/>
  <c r="T309" i="8"/>
  <c r="T305" i="8"/>
  <c r="T308" i="8"/>
  <c r="T307" i="8"/>
  <c r="T310" i="8"/>
  <c r="T306" i="8"/>
  <c r="T225" i="8"/>
  <c r="T242" i="8"/>
  <c r="T162" i="8"/>
  <c r="T161" i="8"/>
  <c r="T163" i="8"/>
  <c r="T158" i="8"/>
  <c r="T160" i="8"/>
  <c r="T159" i="8"/>
  <c r="T277" i="8"/>
  <c r="T259" i="8"/>
  <c r="T459" i="8" s="1"/>
  <c r="T118" i="1" s="1"/>
  <c r="S118" i="1" s="1"/>
  <c r="T260" i="8"/>
  <c r="T273" i="8"/>
  <c r="T272" i="8"/>
  <c r="T219" i="8"/>
  <c r="T127" i="8"/>
  <c r="T171" i="8"/>
  <c r="T236" i="8"/>
  <c r="T109" i="8"/>
  <c r="T237" i="8"/>
  <c r="T220" i="8"/>
  <c r="T174" i="8"/>
  <c r="T173" i="8"/>
  <c r="T172" i="8"/>
  <c r="T110" i="8"/>
  <c r="T128" i="8"/>
  <c r="T55" i="8"/>
  <c r="T60" i="8"/>
  <c r="T56" i="8"/>
  <c r="T59" i="8"/>
  <c r="T58" i="8"/>
  <c r="T57" i="8"/>
  <c r="T27" i="8"/>
  <c r="T30" i="8"/>
  <c r="T26" i="8"/>
  <c r="T29" i="8"/>
  <c r="T25" i="8"/>
  <c r="T28" i="8"/>
  <c r="T143" i="8"/>
  <c r="T206" i="8"/>
  <c r="T202" i="8"/>
  <c r="T205" i="8"/>
  <c r="T201" i="8"/>
  <c r="T204" i="8"/>
  <c r="T203" i="8"/>
  <c r="T148" i="8"/>
  <c r="T144" i="8"/>
  <c r="T147" i="8"/>
  <c r="T146" i="8"/>
  <c r="T145" i="8"/>
  <c r="AG312" i="8"/>
  <c r="AG317" i="8"/>
  <c r="D271" i="8"/>
  <c r="D304" i="8"/>
  <c r="T327" i="8"/>
  <c r="T316" i="8"/>
  <c r="B317" i="8" s="1"/>
  <c r="T314" i="8"/>
  <c r="T311" i="8"/>
  <c r="B312" i="8" s="1"/>
  <c r="T328" i="8"/>
  <c r="D276" i="8"/>
  <c r="D313" i="8"/>
  <c r="AG275" i="8"/>
  <c r="AG279" i="8"/>
  <c r="T274" i="8"/>
  <c r="B275" i="8" s="1"/>
  <c r="T278" i="8"/>
  <c r="B279" i="8" s="1"/>
  <c r="D235" i="8"/>
  <c r="D218" i="8"/>
  <c r="AG239" i="8"/>
  <c r="AG222" i="8"/>
  <c r="AG228" i="8"/>
  <c r="AG245" i="8"/>
  <c r="D240" i="8"/>
  <c r="D223" i="8"/>
  <c r="T243" i="8"/>
  <c r="T226" i="8"/>
  <c r="T227" i="8"/>
  <c r="B228" i="8" s="1"/>
  <c r="T241" i="8"/>
  <c r="T224" i="8"/>
  <c r="T238" i="8"/>
  <c r="B239" i="8" s="1"/>
  <c r="T221" i="8"/>
  <c r="B222" i="8" s="1"/>
  <c r="T244" i="8"/>
  <c r="B245" i="8" s="1"/>
  <c r="AG131" i="8"/>
  <c r="AG113" i="8"/>
  <c r="AG119" i="8"/>
  <c r="AG137" i="8"/>
  <c r="D126" i="8"/>
  <c r="D108" i="8"/>
  <c r="T134" i="8"/>
  <c r="T116" i="8"/>
  <c r="T118" i="8"/>
  <c r="B119" i="8" s="1"/>
  <c r="T130" i="8"/>
  <c r="B131" i="8" s="1"/>
  <c r="T112" i="8"/>
  <c r="B113" i="8" s="1"/>
  <c r="T133" i="8"/>
  <c r="T115" i="8"/>
  <c r="D132" i="8"/>
  <c r="D114" i="8"/>
  <c r="AG176" i="8"/>
  <c r="AG181" i="8"/>
  <c r="E429" i="8"/>
  <c r="D170" i="8"/>
  <c r="E430" i="8"/>
  <c r="D177" i="8"/>
  <c r="T179" i="8"/>
  <c r="T175" i="8"/>
  <c r="B176" i="8" s="1"/>
  <c r="T180" i="8"/>
  <c r="B181" i="8" s="1"/>
  <c r="AH430" i="8"/>
  <c r="T370" i="8"/>
  <c r="T346" i="8"/>
  <c r="T345" i="8"/>
  <c r="T338" i="8"/>
  <c r="T339" i="8"/>
  <c r="T196" i="8"/>
  <c r="AH429" i="8"/>
  <c r="K9" i="8"/>
  <c r="M6" i="8"/>
  <c r="N1" i="11"/>
  <c r="M9" i="11"/>
  <c r="C10" i="11"/>
  <c r="O5" i="8"/>
  <c r="K3" i="8"/>
  <c r="E438" i="8"/>
  <c r="E437" i="8"/>
  <c r="L6" i="8"/>
  <c r="K5" i="8"/>
  <c r="B421" i="8"/>
  <c r="T420" i="8"/>
  <c r="T377" i="8"/>
  <c r="B378" i="8" s="1"/>
  <c r="T347" i="8"/>
  <c r="B348" i="8" s="1"/>
  <c r="T405" i="8"/>
  <c r="T329" i="8"/>
  <c r="B330" i="8" s="1"/>
  <c r="T371" i="8"/>
  <c r="B372" i="8" s="1"/>
  <c r="T376" i="8"/>
  <c r="T400" i="8"/>
  <c r="B401" i="8" s="1"/>
  <c r="T340" i="8"/>
  <c r="B341" i="8" s="1"/>
  <c r="T386" i="8"/>
  <c r="N4" i="8"/>
  <c r="C7" i="11"/>
  <c r="T149" i="8"/>
  <c r="B150" i="8" s="1"/>
  <c r="T208" i="8"/>
  <c r="B209" i="8" s="1"/>
  <c r="T61" i="8"/>
  <c r="T207" i="8"/>
  <c r="T187" i="8"/>
  <c r="B188" i="8" s="1"/>
  <c r="T164" i="8"/>
  <c r="B165" i="8" s="1"/>
  <c r="T261" i="8"/>
  <c r="B262" i="8" s="1"/>
  <c r="T62" i="8"/>
  <c r="B63" i="8" s="1"/>
  <c r="B47" i="8"/>
  <c r="T31" i="8"/>
  <c r="B32" i="8" s="1"/>
  <c r="T20" i="11"/>
  <c r="T19" i="11"/>
  <c r="T22" i="11"/>
  <c r="B23" i="11" s="1"/>
  <c r="T18" i="11"/>
  <c r="T21" i="11"/>
  <c r="T17" i="11"/>
  <c r="R15" i="11"/>
  <c r="C8" i="8"/>
  <c r="B435" i="8" s="1"/>
  <c r="T91" i="11"/>
  <c r="L7" i="8"/>
  <c r="N5" i="8"/>
  <c r="O10" i="8"/>
  <c r="L9" i="8"/>
  <c r="J6" i="8"/>
  <c r="N7" i="8"/>
  <c r="M10" i="8"/>
  <c r="L2" i="8"/>
  <c r="C8" i="11"/>
  <c r="O4" i="8"/>
  <c r="J3" i="8"/>
  <c r="O1" i="8"/>
  <c r="C11" i="8"/>
  <c r="B438" i="8" s="1"/>
  <c r="L5" i="11"/>
  <c r="R91" i="11"/>
  <c r="K10" i="8"/>
  <c r="M5" i="8"/>
  <c r="C10" i="8"/>
  <c r="B437" i="8" s="1"/>
  <c r="C11" i="11"/>
  <c r="M7" i="8"/>
  <c r="K6" i="8"/>
  <c r="N6" i="8"/>
  <c r="N3" i="11"/>
  <c r="E22" i="1"/>
  <c r="M8" i="8"/>
  <c r="O2" i="8"/>
  <c r="S1" i="8"/>
  <c r="C6" i="11"/>
  <c r="K2" i="11"/>
  <c r="J5" i="11"/>
  <c r="C6" i="8"/>
  <c r="B433" i="8" s="1"/>
  <c r="C4" i="8"/>
  <c r="B431" i="8" s="1"/>
  <c r="L4" i="8"/>
  <c r="Q1" i="11"/>
  <c r="M3" i="8"/>
  <c r="I23" i="1"/>
  <c r="T2" i="11"/>
  <c r="E28" i="1"/>
  <c r="B28" i="1"/>
  <c r="J8" i="11"/>
  <c r="J8" i="8"/>
  <c r="N8" i="11"/>
  <c r="N8" i="8"/>
  <c r="C9" i="8"/>
  <c r="B436" i="8" s="1"/>
  <c r="C9" i="11"/>
  <c r="C5" i="8"/>
  <c r="B432" i="8" s="1"/>
  <c r="C5" i="11"/>
  <c r="R169" i="1"/>
  <c r="R90" i="11"/>
  <c r="B27" i="1"/>
  <c r="E27" i="1"/>
  <c r="B30" i="1"/>
  <c r="E30" i="1"/>
  <c r="A30" i="1"/>
  <c r="K8" i="8"/>
  <c r="C3" i="11"/>
  <c r="T90" i="11"/>
  <c r="B31" i="1"/>
  <c r="E31" i="1"/>
  <c r="C7" i="8"/>
  <c r="B434" i="8" s="1"/>
  <c r="G23" i="1"/>
  <c r="C2" i="8"/>
  <c r="B447" i="8" s="1"/>
  <c r="C2" i="11"/>
  <c r="A27" i="1"/>
  <c r="E29" i="1"/>
  <c r="A29" i="1"/>
  <c r="B29" i="1"/>
  <c r="AG73" i="8" l="1"/>
  <c r="AH73" i="8" s="1"/>
  <c r="T92" i="8"/>
  <c r="T97" i="8"/>
  <c r="E93" i="8" s="1"/>
  <c r="T461" i="8"/>
  <c r="T120" i="1" s="1"/>
  <c r="S120" i="1" s="1"/>
  <c r="T471" i="8"/>
  <c r="T130" i="1" s="1"/>
  <c r="S130" i="1" s="1"/>
  <c r="T450" i="8"/>
  <c r="T109" i="1" s="1"/>
  <c r="S109" i="1" s="1"/>
  <c r="T496" i="8"/>
  <c r="AG268" i="8"/>
  <c r="AH268" i="8" s="1"/>
  <c r="AG123" i="8"/>
  <c r="AH123" i="8" s="1"/>
  <c r="T312" i="8"/>
  <c r="E304" i="8" s="1"/>
  <c r="T462" i="8"/>
  <c r="T121" i="1" s="1"/>
  <c r="S121" i="1" s="1"/>
  <c r="AG301" i="8"/>
  <c r="AH301" i="8" s="1"/>
  <c r="T460" i="8"/>
  <c r="T119" i="1" s="1"/>
  <c r="S119" i="1" s="1"/>
  <c r="T275" i="8"/>
  <c r="E271" i="8" s="1"/>
  <c r="T317" i="8"/>
  <c r="E313" i="8" s="1"/>
  <c r="T279" i="8"/>
  <c r="E276" i="8" s="1"/>
  <c r="T119" i="8"/>
  <c r="E114" i="8" s="1"/>
  <c r="T245" i="8"/>
  <c r="E240" i="8" s="1"/>
  <c r="T454" i="8"/>
  <c r="T113" i="1" s="1"/>
  <c r="S113" i="1" s="1"/>
  <c r="T113" i="8"/>
  <c r="AG232" i="8"/>
  <c r="AH232" i="8" s="1"/>
  <c r="T239" i="8"/>
  <c r="AG215" i="8"/>
  <c r="T137" i="8"/>
  <c r="E132" i="8" s="1"/>
  <c r="T228" i="8"/>
  <c r="E223" i="8" s="1"/>
  <c r="AG105" i="8"/>
  <c r="AH105" i="8" s="1"/>
  <c r="T222" i="8"/>
  <c r="T131" i="8"/>
  <c r="AH439" i="8"/>
  <c r="T176" i="8"/>
  <c r="E170" i="8" s="1"/>
  <c r="AG167" i="8"/>
  <c r="T181" i="8"/>
  <c r="E177" i="8" s="1"/>
  <c r="T499" i="8"/>
  <c r="T197" i="8"/>
  <c r="T330" i="8"/>
  <c r="E325" i="8" s="1"/>
  <c r="G143" i="23" s="1"/>
  <c r="H143" i="23" s="1"/>
  <c r="T47" i="8"/>
  <c r="E38" i="8" s="1"/>
  <c r="T401" i="8"/>
  <c r="T341" i="8"/>
  <c r="T441" i="8"/>
  <c r="T348" i="8"/>
  <c r="T378" i="8"/>
  <c r="T372" i="8"/>
  <c r="T421" i="8"/>
  <c r="T32" i="8"/>
  <c r="T262" i="8"/>
  <c r="T188" i="8"/>
  <c r="T165" i="8"/>
  <c r="T150" i="8"/>
  <c r="T209" i="8"/>
  <c r="T63" i="8"/>
  <c r="T23" i="11"/>
  <c r="T15" i="11" s="1"/>
  <c r="A32" i="1"/>
  <c r="B32" i="1"/>
  <c r="E32" i="1"/>
  <c r="T169" i="1"/>
  <c r="R168" i="1"/>
  <c r="T99" i="8" l="1"/>
  <c r="E76" i="8"/>
  <c r="G172" i="22"/>
  <c r="H172" i="22" s="1"/>
  <c r="H204" i="22" s="1"/>
  <c r="T507" i="8"/>
  <c r="T155" i="1"/>
  <c r="S155" i="1" s="1"/>
  <c r="T319" i="8"/>
  <c r="AN301" i="8" s="1"/>
  <c r="T121" i="8"/>
  <c r="AN105" i="8" s="1"/>
  <c r="E301" i="8"/>
  <c r="G138" i="23" s="1"/>
  <c r="F304" i="8"/>
  <c r="F271" i="8"/>
  <c r="E268" i="8"/>
  <c r="G578" i="22" s="1"/>
  <c r="H578" i="22" s="1"/>
  <c r="T281" i="8"/>
  <c r="E108" i="8"/>
  <c r="E105" i="8" s="1"/>
  <c r="G284" i="22" s="1"/>
  <c r="H284" i="22" s="1"/>
  <c r="T508" i="8"/>
  <c r="T449" i="8"/>
  <c r="T247" i="8"/>
  <c r="E235" i="8"/>
  <c r="T230" i="8"/>
  <c r="E218" i="8"/>
  <c r="AH215" i="8"/>
  <c r="T139" i="8"/>
  <c r="E126" i="8"/>
  <c r="F170" i="8"/>
  <c r="E167" i="8"/>
  <c r="G356" i="22" s="1"/>
  <c r="AH167" i="8"/>
  <c r="T183" i="8"/>
  <c r="T509" i="8"/>
  <c r="T158" i="1"/>
  <c r="S158" i="1" s="1"/>
  <c r="AG325" i="8"/>
  <c r="AI325" i="8" s="1"/>
  <c r="AJ325" i="8" s="1"/>
  <c r="F325" i="8"/>
  <c r="T325" i="8" s="1"/>
  <c r="AN325" i="8"/>
  <c r="AN194" i="8"/>
  <c r="G378" i="22"/>
  <c r="H378" i="22" s="1"/>
  <c r="AN38" i="8"/>
  <c r="F172" i="22" s="1"/>
  <c r="F204" i="22" s="1"/>
  <c r="AN368" i="8"/>
  <c r="T368" i="8"/>
  <c r="E368" i="8"/>
  <c r="AN374" i="8"/>
  <c r="T374" i="8"/>
  <c r="E374" i="8"/>
  <c r="AN343" i="8"/>
  <c r="E343" i="8"/>
  <c r="F38" i="8"/>
  <c r="T38" i="8" s="1"/>
  <c r="AG38" i="8"/>
  <c r="AI38" i="8" s="1"/>
  <c r="AJ38" i="8" s="1"/>
  <c r="AN336" i="8"/>
  <c r="E336" i="8"/>
  <c r="AN403" i="8"/>
  <c r="E403" i="8"/>
  <c r="AN384" i="8"/>
  <c r="E384" i="8"/>
  <c r="AN199" i="8"/>
  <c r="E199" i="8"/>
  <c r="G381" i="22" s="1"/>
  <c r="H381" i="22" s="1"/>
  <c r="AN156" i="8"/>
  <c r="E156" i="8"/>
  <c r="G327" i="22" s="1"/>
  <c r="H327" i="22" s="1"/>
  <c r="AN53" i="8"/>
  <c r="E53" i="8"/>
  <c r="G217" i="22" s="1"/>
  <c r="H217" i="22" s="1"/>
  <c r="H254" i="22" s="1"/>
  <c r="AN141" i="8"/>
  <c r="E141" i="8"/>
  <c r="G318" i="22" s="1"/>
  <c r="H318" i="22" s="1"/>
  <c r="AN23" i="8"/>
  <c r="E23" i="8"/>
  <c r="G30" i="22" s="1"/>
  <c r="H30" i="22" s="1"/>
  <c r="H45" i="22" s="1"/>
  <c r="AN185" i="8"/>
  <c r="AN257" i="8"/>
  <c r="E257" i="8"/>
  <c r="G573" i="22" s="1"/>
  <c r="H573" i="22" s="1"/>
  <c r="E23" i="11"/>
  <c r="F23" i="11" s="1"/>
  <c r="F76" i="8" l="1"/>
  <c r="E73" i="8"/>
  <c r="G266" i="22" s="1"/>
  <c r="H266" i="22" s="1"/>
  <c r="AN73" i="8"/>
  <c r="AO105" i="8"/>
  <c r="F284" i="22"/>
  <c r="AO301" i="8"/>
  <c r="F138" i="23"/>
  <c r="T168" i="1"/>
  <c r="F108" i="8"/>
  <c r="AK325" i="8"/>
  <c r="F301" i="8"/>
  <c r="T301" i="8" s="1"/>
  <c r="AI301" i="8"/>
  <c r="AN268" i="8"/>
  <c r="F268" i="8"/>
  <c r="T268" i="8" s="1"/>
  <c r="AI268" i="8"/>
  <c r="T511" i="8"/>
  <c r="F218" i="8"/>
  <c r="E215" i="8"/>
  <c r="G431" i="22" s="1"/>
  <c r="H431" i="22" s="1"/>
  <c r="AN215" i="8"/>
  <c r="F235" i="8"/>
  <c r="E232" i="8"/>
  <c r="G433" i="22" s="1"/>
  <c r="H433" i="22" s="1"/>
  <c r="AN232" i="8"/>
  <c r="F105" i="8"/>
  <c r="AI105" i="8"/>
  <c r="E123" i="8"/>
  <c r="G286" i="22" s="1"/>
  <c r="H286" i="22" s="1"/>
  <c r="F126" i="8"/>
  <c r="G358" i="22"/>
  <c r="H358" i="22" s="1"/>
  <c r="AN123" i="8"/>
  <c r="AN167" i="8"/>
  <c r="AI167" i="8"/>
  <c r="F167" i="8"/>
  <c r="T167" i="8" s="1"/>
  <c r="AH325" i="8"/>
  <c r="AO194" i="8"/>
  <c r="AO403" i="8"/>
  <c r="F76" i="24"/>
  <c r="AO374" i="8"/>
  <c r="AO343" i="8"/>
  <c r="F160" i="23"/>
  <c r="F194" i="8"/>
  <c r="AI194" i="8"/>
  <c r="AJ194" i="8" s="1"/>
  <c r="AO384" i="8"/>
  <c r="F73" i="24"/>
  <c r="AO336" i="8"/>
  <c r="F158" i="23"/>
  <c r="AO325" i="8"/>
  <c r="F143" i="23"/>
  <c r="AO368" i="8"/>
  <c r="AO156" i="8"/>
  <c r="F327" i="22"/>
  <c r="H356" i="22"/>
  <c r="AO53" i="8"/>
  <c r="F217" i="22"/>
  <c r="F254" i="22" s="1"/>
  <c r="AO38" i="8"/>
  <c r="AO257" i="8"/>
  <c r="F573" i="22"/>
  <c r="AO23" i="8"/>
  <c r="F30" i="22"/>
  <c r="F45" i="22" s="1"/>
  <c r="AO141" i="8"/>
  <c r="F318" i="22"/>
  <c r="F348" i="22" s="1"/>
  <c r="AO185" i="8"/>
  <c r="AO199" i="8"/>
  <c r="F381" i="22"/>
  <c r="H618" i="22"/>
  <c r="H348" i="22"/>
  <c r="G76" i="24"/>
  <c r="H76" i="24" s="1"/>
  <c r="F403" i="8"/>
  <c r="T403" i="8" s="1"/>
  <c r="AG403" i="8"/>
  <c r="G68" i="24"/>
  <c r="H68" i="24" s="1"/>
  <c r="F374" i="8"/>
  <c r="AG374" i="8"/>
  <c r="AI374" i="8" s="1"/>
  <c r="AJ374" i="8" s="1"/>
  <c r="AH38" i="8"/>
  <c r="AK38" i="8"/>
  <c r="G160" i="23"/>
  <c r="H160" i="23" s="1"/>
  <c r="F343" i="8"/>
  <c r="T343" i="8" s="1"/>
  <c r="AG343" i="8"/>
  <c r="AI343" i="8" s="1"/>
  <c r="AJ343" i="8" s="1"/>
  <c r="G66" i="24"/>
  <c r="H66" i="24" s="1"/>
  <c r="AG368" i="8"/>
  <c r="AI368" i="8" s="1"/>
  <c r="AJ368" i="8" s="1"/>
  <c r="F368" i="8"/>
  <c r="G73" i="24"/>
  <c r="H73" i="24" s="1"/>
  <c r="AG384" i="8"/>
  <c r="AI384" i="8" s="1"/>
  <c r="AJ384" i="8" s="1"/>
  <c r="F384" i="8"/>
  <c r="T384" i="8" s="1"/>
  <c r="G158" i="23"/>
  <c r="H158" i="23" s="1"/>
  <c r="F336" i="8"/>
  <c r="T336" i="8" s="1"/>
  <c r="AG336" i="8"/>
  <c r="AI336" i="8" s="1"/>
  <c r="AJ336" i="8" s="1"/>
  <c r="H138" i="23"/>
  <c r="H148" i="23" s="1"/>
  <c r="AG53" i="8"/>
  <c r="F53" i="8"/>
  <c r="T53" i="8" s="1"/>
  <c r="F23" i="8"/>
  <c r="T23" i="8" s="1"/>
  <c r="AG23" i="8"/>
  <c r="AI23" i="8" s="1"/>
  <c r="AJ23" i="8" s="1"/>
  <c r="F156" i="8"/>
  <c r="T156" i="8" s="1"/>
  <c r="AG156" i="8"/>
  <c r="F141" i="8"/>
  <c r="T141" i="8" s="1"/>
  <c r="AG141" i="8"/>
  <c r="AI141" i="8" s="1"/>
  <c r="AJ141" i="8" s="1"/>
  <c r="F199" i="8"/>
  <c r="T199" i="8" s="1"/>
  <c r="AG199" i="8"/>
  <c r="AI199" i="8" s="1"/>
  <c r="AJ199" i="8" s="1"/>
  <c r="F257" i="8"/>
  <c r="T257" i="8" s="1"/>
  <c r="AG257" i="8"/>
  <c r="AI257" i="8" s="1"/>
  <c r="AJ257" i="8" s="1"/>
  <c r="AI185" i="8"/>
  <c r="AJ185" i="8" s="1"/>
  <c r="F185" i="8"/>
  <c r="AO73" i="8" l="1"/>
  <c r="F266" i="22"/>
  <c r="H307" i="22"/>
  <c r="AI73" i="8"/>
  <c r="F73" i="8"/>
  <c r="T73" i="8" s="1"/>
  <c r="T424" i="8"/>
  <c r="H449" i="22"/>
  <c r="AO215" i="8"/>
  <c r="F431" i="22"/>
  <c r="H399" i="22"/>
  <c r="AO232" i="8"/>
  <c r="F433" i="22"/>
  <c r="AO167" i="8"/>
  <c r="F399" i="22"/>
  <c r="AO123" i="8"/>
  <c r="F286" i="22"/>
  <c r="AO268" i="8"/>
  <c r="F578" i="22"/>
  <c r="F618" i="22" s="1"/>
  <c r="AJ301" i="8"/>
  <c r="AK301" i="8"/>
  <c r="F313" i="8"/>
  <c r="E303" i="8"/>
  <c r="AJ268" i="8"/>
  <c r="AK268" i="8"/>
  <c r="F276" i="8"/>
  <c r="E270" i="8"/>
  <c r="AI232" i="8"/>
  <c r="F232" i="8"/>
  <c r="T232" i="8" s="1"/>
  <c r="F215" i="8"/>
  <c r="AI215" i="8"/>
  <c r="F123" i="8"/>
  <c r="AI123" i="8"/>
  <c r="AJ105" i="8"/>
  <c r="AK105" i="8"/>
  <c r="F114" i="8"/>
  <c r="E107" i="8"/>
  <c r="T105" i="8"/>
  <c r="F177" i="8"/>
  <c r="E169" i="8"/>
  <c r="AJ167" i="8"/>
  <c r="AK167" i="8"/>
  <c r="T351" i="8"/>
  <c r="F148" i="23"/>
  <c r="T429" i="8"/>
  <c r="T23" i="1" s="1"/>
  <c r="H202" i="23"/>
  <c r="F202" i="23"/>
  <c r="F351" i="8"/>
  <c r="F97" i="24"/>
  <c r="AK194" i="8"/>
  <c r="AH194" i="8"/>
  <c r="H97" i="24"/>
  <c r="F424" i="8"/>
  <c r="F429" i="8"/>
  <c r="F23" i="1" s="1"/>
  <c r="AH368" i="8"/>
  <c r="AK368" i="8"/>
  <c r="AH374" i="8"/>
  <c r="AK374" i="8"/>
  <c r="AK384" i="8"/>
  <c r="AH384" i="8"/>
  <c r="AH343" i="8"/>
  <c r="AK343" i="8"/>
  <c r="AK336" i="8"/>
  <c r="AH336" i="8"/>
  <c r="AI403" i="8"/>
  <c r="AJ403" i="8" s="1"/>
  <c r="AH403" i="8"/>
  <c r="AH141" i="8"/>
  <c r="AK141" i="8"/>
  <c r="AK23" i="8"/>
  <c r="AH23" i="8"/>
  <c r="AK185" i="8"/>
  <c r="AH185" i="8"/>
  <c r="AH156" i="8"/>
  <c r="AH199" i="8"/>
  <c r="AK199" i="8"/>
  <c r="AH53" i="8"/>
  <c r="AH257" i="8"/>
  <c r="AK257" i="8"/>
  <c r="AI156" i="8"/>
  <c r="AJ156" i="8" s="1"/>
  <c r="AI53" i="8"/>
  <c r="AJ53" i="8" s="1"/>
  <c r="R42" i="11"/>
  <c r="T42" i="11"/>
  <c r="F307" i="22" l="1"/>
  <c r="B424" i="8"/>
  <c r="F93" i="8"/>
  <c r="E75" i="8"/>
  <c r="F449" i="22"/>
  <c r="AJ73" i="8"/>
  <c r="AK73" i="8"/>
  <c r="F443" i="8"/>
  <c r="F284" i="8"/>
  <c r="F445" i="8" s="1"/>
  <c r="T215" i="8"/>
  <c r="F223" i="8"/>
  <c r="E217" i="8"/>
  <c r="AJ215" i="8"/>
  <c r="AK215" i="8"/>
  <c r="F240" i="8"/>
  <c r="E234" i="8"/>
  <c r="AJ232" i="8"/>
  <c r="AK232" i="8"/>
  <c r="AK123" i="8"/>
  <c r="AJ123" i="8"/>
  <c r="F132" i="8"/>
  <c r="E125" i="8"/>
  <c r="T123" i="8"/>
  <c r="B351" i="8"/>
  <c r="T430" i="8"/>
  <c r="AJ429" i="8"/>
  <c r="AK403" i="8"/>
  <c r="B429" i="8"/>
  <c r="AH428" i="8"/>
  <c r="AH440" i="8" s="1"/>
  <c r="AK53" i="8"/>
  <c r="AK156" i="8"/>
  <c r="T43" i="11"/>
  <c r="R43" i="11"/>
  <c r="T52" i="11"/>
  <c r="T27" i="11"/>
  <c r="R27" i="11"/>
  <c r="R52" i="11"/>
  <c r="T443" i="8" l="1"/>
  <c r="B443" i="8" s="1"/>
  <c r="T284" i="8"/>
  <c r="T445" i="8" s="1"/>
  <c r="B445" i="8" s="1"/>
  <c r="F430" i="8"/>
  <c r="F24" i="1" s="1"/>
  <c r="AJ428" i="8"/>
  <c r="T439" i="8"/>
  <c r="T24" i="1"/>
  <c r="AJ430" i="8"/>
  <c r="AJ439" i="8" s="1"/>
  <c r="AK439" i="8" s="1"/>
  <c r="AK428" i="8"/>
  <c r="T30" i="11"/>
  <c r="T89" i="11"/>
  <c r="T28" i="11"/>
  <c r="R89" i="11"/>
  <c r="R88" i="11"/>
  <c r="R92" i="11" s="1"/>
  <c r="R28" i="11"/>
  <c r="T88" i="11"/>
  <c r="R30" i="11"/>
  <c r="B26" i="1"/>
  <c r="E26" i="1"/>
  <c r="A26" i="1"/>
  <c r="B284" i="8" l="1"/>
  <c r="B24" i="1"/>
  <c r="B430" i="8"/>
  <c r="F439" i="8"/>
  <c r="AK440" i="8"/>
  <c r="AJ440" i="8"/>
  <c r="T92" i="11"/>
  <c r="R166" i="1"/>
  <c r="T165" i="1"/>
  <c r="R167" i="1"/>
  <c r="T167" i="1"/>
  <c r="E24" i="1"/>
  <c r="A24" i="1"/>
  <c r="R170" i="1" l="1"/>
  <c r="R165" i="1"/>
  <c r="T37" i="1"/>
  <c r="E83" i="1"/>
  <c r="S165" i="1"/>
  <c r="T166" i="1"/>
  <c r="T170" i="1" s="1"/>
  <c r="B25" i="1"/>
  <c r="E25" i="1"/>
  <c r="A25" i="1"/>
  <c r="R37" i="1" l="1"/>
  <c r="D83" i="1"/>
  <c r="F83" i="1"/>
  <c r="R35" i="1" l="1"/>
  <c r="E21" i="18" s="1"/>
  <c r="R39" i="1" l="1"/>
  <c r="T35" i="1" l="1"/>
  <c r="F35" i="1"/>
  <c r="C72" i="1"/>
  <c r="E23" i="1"/>
  <c r="E35" i="1" s="1"/>
  <c r="F75" i="1" s="1"/>
  <c r="R83" i="1" s="1"/>
  <c r="Q19" i="1" s="1"/>
  <c r="B23" i="1" l="1"/>
  <c r="A23" i="1"/>
  <c r="B19" i="1" s="1"/>
  <c r="Q16" i="1"/>
  <c r="F72" i="1"/>
  <c r="F74" i="1" s="1"/>
  <c r="Q17" i="1" s="1"/>
  <c r="Q15" i="1"/>
  <c r="T39" i="1"/>
  <c r="E22" i="18"/>
  <c r="B35" i="1" l="1"/>
  <c r="D3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A93" authorId="0" shapeId="0" xr:uid="{CD369170-F797-4A11-8092-F8C9D38DD5E4}">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14" authorId="0" shapeId="0" xr:uid="{375B092D-85F7-4B5F-85BB-7EE6452F4B26}">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32" authorId="0" shapeId="0" xr:uid="{001217C7-2D4B-4B46-A5A5-558618CF3E3D}">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77" authorId="0" shapeId="0" xr:uid="{06B95C17-31FF-4C3A-9814-65C2CBFEE7BA}">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23" authorId="0" shapeId="0" xr:uid="{AC9A2BBB-1D82-42ED-9DB6-D93926528F63}">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40" authorId="0" shapeId="0" xr:uid="{5886955B-DC7A-4548-974C-3952C0D5DADB}">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76" authorId="0" shapeId="0" xr:uid="{CE98B857-38F6-4EAB-89C7-69E71A1045A5}">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313" authorId="0" shapeId="0" xr:uid="{4F43DB96-6881-432F-B043-17AD27F763D5}">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K428" authorId="0" shapeId="0" xr:uid="{00000000-0006-0000-0200-000001000000}">
      <text>
        <r>
          <rPr>
            <b/>
            <sz val="10"/>
            <color indexed="81"/>
            <rFont val="Tahoma"/>
            <family val="2"/>
          </rPr>
          <t>Michael Vella:</t>
        </r>
        <r>
          <rPr>
            <sz val="10"/>
            <color indexed="81"/>
            <rFont val="Tahoma"/>
            <family val="2"/>
          </rPr>
          <t xml:space="preserve">
This cell should be exactly equal to the MU SUMMARY TOTAL.</t>
        </r>
      </text>
    </comment>
    <comment ref="AH440" authorId="0" shapeId="0" xr:uid="{00000000-0006-0000-0200-000002000000}">
      <text>
        <r>
          <rPr>
            <b/>
            <sz val="10"/>
            <color indexed="81"/>
            <rFont val="Tahoma"/>
            <family val="2"/>
          </rPr>
          <t>Michael Vella:</t>
        </r>
        <r>
          <rPr>
            <sz val="10"/>
            <color indexed="81"/>
            <rFont val="Tahoma"/>
            <family val="2"/>
          </rPr>
          <t xml:space="preserve">
This discrepancy must be small</t>
        </r>
      </text>
    </comment>
    <comment ref="AJ440" authorId="0" shapeId="0" xr:uid="{00000000-0006-0000-0200-000003000000}">
      <text>
        <r>
          <rPr>
            <b/>
            <sz val="10"/>
            <color indexed="81"/>
            <rFont val="Tahoma"/>
            <family val="2"/>
          </rPr>
          <t>Michael Vella:</t>
        </r>
        <r>
          <rPr>
            <sz val="10"/>
            <color indexed="81"/>
            <rFont val="Tahoma"/>
            <family val="2"/>
          </rPr>
          <t xml:space="preserve">
This discrepancy must be small</t>
        </r>
      </text>
    </comment>
    <comment ref="AK440" authorId="0" shapeId="0" xr:uid="{00000000-0006-0000-0200-000004000000}">
      <text>
        <r>
          <rPr>
            <b/>
            <sz val="10"/>
            <color indexed="81"/>
            <rFont val="Tahoma"/>
            <family val="2"/>
          </rPr>
          <t>Michael Vella:</t>
        </r>
        <r>
          <rPr>
            <sz val="10"/>
            <color indexed="81"/>
            <rFont val="Tahoma"/>
            <family val="2"/>
          </rPr>
          <t xml:space="preserve">
This discrepancy must be small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C1" authorId="0" shapeId="0" xr:uid="{00000000-0006-0000-0400-000001000000}">
      <text>
        <r>
          <rPr>
            <b/>
            <sz val="8"/>
            <color indexed="81"/>
            <rFont val="Tahoma"/>
            <family val="2"/>
          </rPr>
          <t>Michael Vella:</t>
        </r>
        <r>
          <rPr>
            <sz val="8"/>
            <color indexed="81"/>
            <rFont val="Tahoma"/>
            <family val="2"/>
          </rPr>
          <t xml:space="preserve">
Insert Foreign Currency here (say: 1.55 - $US) and change Q1 accordingly</t>
        </r>
      </text>
    </comment>
    <comment ref="W1" authorId="0" shapeId="0" xr:uid="{00000000-0006-0000-0400-000002000000}">
      <text>
        <r>
          <rPr>
            <b/>
            <sz val="8"/>
            <color indexed="81"/>
            <rFont val="Tahoma"/>
            <family val="2"/>
          </rPr>
          <t>Michael Vella:</t>
        </r>
        <r>
          <rPr>
            <sz val="8"/>
            <color indexed="81"/>
            <rFont val="Tahoma"/>
            <family val="2"/>
          </rPr>
          <t xml:space="preserve">
BOQ      - Use numbers in BOQ column
TDWG   - Use numbers in TDWG column
ACT       - Use numbers in ACT column
DIF_TD - Use (TDWG - BOQ) difference
DIF_A   - Use (ACT - BOQ) difference
</t>
        </r>
      </text>
    </comment>
    <comment ref="R2" authorId="0" shapeId="0" xr:uid="{00000000-0006-0000-0400-000003000000}">
      <text>
        <r>
          <rPr>
            <b/>
            <sz val="8"/>
            <color indexed="81"/>
            <rFont val="Tahoma"/>
            <family val="2"/>
          </rPr>
          <t>Michael Vella:</t>
        </r>
        <r>
          <rPr>
            <sz val="8"/>
            <color indexed="81"/>
            <rFont val="Tahoma"/>
            <family val="2"/>
          </rPr>
          <t xml:space="preserve">
When you want to uplift markups to offset a discount, 
first generate your estimate without any discount and paste the estimate totals as values-only.
Then divide markups by       (1-Dsct%) to get to your original values-only totals.</t>
        </r>
      </text>
    </comment>
    <comment ref="B3" authorId="0" shapeId="0" xr:uid="{00000000-0006-0000-0400-000004000000}">
      <text>
        <r>
          <rPr>
            <b/>
            <sz val="8"/>
            <color indexed="81"/>
            <rFont val="Tahoma"/>
            <family val="2"/>
          </rPr>
          <t>Michael Vella:</t>
        </r>
        <r>
          <rPr>
            <sz val="8"/>
            <color indexed="81"/>
            <rFont val="Tahoma"/>
            <family val="2"/>
          </rPr>
          <t xml:space="preserve">
When job description starts with "Supply only" and the Quote No. is "EL" then the Quote Title in the Quote worksheet will change from PANTA CONTRACTING LTD  to PANTA RETAIL LTD.</t>
        </r>
      </text>
    </comment>
    <comment ref="D7" authorId="0" shapeId="0" xr:uid="{00000000-0006-0000-0400-000005000000}">
      <text>
        <r>
          <rPr>
            <b/>
            <sz val="8"/>
            <color indexed="81"/>
            <rFont val="Tahoma"/>
            <family val="2"/>
          </rPr>
          <t>Michael Vella:</t>
        </r>
        <r>
          <rPr>
            <sz val="8"/>
            <color indexed="81"/>
            <rFont val="Tahoma"/>
            <family val="2"/>
          </rPr>
          <t xml:space="preserve">
Press &lt;CTRL :&gt; to enter the current date.</t>
        </r>
      </text>
    </comment>
    <comment ref="R12" authorId="0" shapeId="0" xr:uid="{00000000-0006-0000-0400-000006000000}">
      <text>
        <r>
          <rPr>
            <b/>
            <sz val="8"/>
            <color indexed="10"/>
            <rFont val="Tahoma"/>
            <family val="2"/>
          </rPr>
          <t>Michael Vella:</t>
        </r>
        <r>
          <rPr>
            <sz val="8"/>
            <color indexed="10"/>
            <rFont val="Tahoma"/>
            <family val="2"/>
          </rPr>
          <t xml:space="preserve">
Enter the markups used  in this cell to make Mario aware eg: (MIXED I,J).
Preferably dedicated markups should be used for the mixed subitems which are not used anywhere else. 
Also the same discount value should then be entered for all three (MIXED, I and J)</t>
        </r>
      </text>
    </comment>
    <comment ref="A33" authorId="0" shapeId="0" xr:uid="{00000000-0006-0000-0400-000007000000}">
      <text>
        <r>
          <rPr>
            <b/>
            <sz val="8"/>
            <color indexed="81"/>
            <rFont val="Tahoma"/>
            <family val="2"/>
          </rPr>
          <t>Michael Vella:</t>
        </r>
        <r>
          <rPr>
            <sz val="8"/>
            <color indexed="81"/>
            <rFont val="Tahoma"/>
            <family val="2"/>
          </rPr>
          <t xml:space="preserve">
Select MIXED if mixed markups are used.
Leave empty if mixed markups are not used.</t>
        </r>
      </text>
    </comment>
    <comment ref="C33" authorId="0" shapeId="0" xr:uid="{00000000-0006-0000-0400-000008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R33" authorId="0" shapeId="0" xr:uid="{00000000-0006-0000-0400-000009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A37" authorId="0" shapeId="0" xr:uid="{00000000-0006-0000-0400-00000A000000}">
      <text>
        <r>
          <rPr>
            <b/>
            <sz val="8"/>
            <color indexed="81"/>
            <rFont val="Tahoma"/>
            <family val="2"/>
          </rPr>
          <t>Michael Vella:</t>
        </r>
        <r>
          <rPr>
            <sz val="8"/>
            <color indexed="81"/>
            <rFont val="Tahoma"/>
            <family val="2"/>
          </rPr>
          <t xml:space="preserve">
</t>
        </r>
        <r>
          <rPr>
            <sz val="8"/>
            <color indexed="17"/>
            <rFont val="Tahoma"/>
            <family val="2"/>
          </rPr>
          <t xml:space="preserve">Step 1. </t>
        </r>
        <r>
          <rPr>
            <sz val="8"/>
            <color indexed="81"/>
            <rFont val="Tahoma"/>
            <family val="2"/>
          </rPr>
          <t xml:space="preserve">
</t>
        </r>
        <r>
          <rPr>
            <sz val="8"/>
            <color indexed="17"/>
            <rFont val="Tahoma"/>
            <family val="2"/>
          </rPr>
          <t>Enter the Actual Labour Contingency ($T1) used in this cell.</t>
        </r>
      </text>
    </comment>
    <comment ref="S37" authorId="0" shapeId="0" xr:uid="{00000000-0006-0000-0400-00000B000000}">
      <text>
        <r>
          <rPr>
            <b/>
            <sz val="8"/>
            <color indexed="81"/>
            <rFont val="Tahoma"/>
            <family val="2"/>
          </rPr>
          <t>Michael Vella:</t>
        </r>
        <r>
          <rPr>
            <sz val="8"/>
            <color indexed="81"/>
            <rFont val="Tahoma"/>
            <family val="2"/>
          </rPr>
          <t xml:space="preserve">
Cost Code Totals for entry into P.I.T. by Amanda</t>
        </r>
      </text>
    </comment>
    <comment ref="A38" authorId="0" shapeId="0" xr:uid="{00000000-0006-0000-0400-00000C000000}">
      <text>
        <r>
          <rPr>
            <b/>
            <sz val="8"/>
            <color indexed="81"/>
            <rFont val="Tahoma"/>
            <family val="2"/>
          </rPr>
          <t>Michael Vella:</t>
        </r>
        <r>
          <rPr>
            <sz val="8"/>
            <color indexed="81"/>
            <rFont val="Tahoma"/>
            <family val="2"/>
          </rPr>
          <t xml:space="preserve">
</t>
        </r>
        <r>
          <rPr>
            <sz val="8"/>
            <color indexed="17"/>
            <rFont val="Tahoma"/>
            <family val="2"/>
          </rPr>
          <t>Step 2.</t>
        </r>
        <r>
          <rPr>
            <sz val="8"/>
            <color indexed="81"/>
            <rFont val="Tahoma"/>
            <family val="2"/>
          </rPr>
          <t xml:space="preserve">
</t>
        </r>
        <r>
          <rPr>
            <sz val="8"/>
            <color indexed="17"/>
            <rFont val="Tahoma"/>
            <family val="2"/>
          </rPr>
          <t>Paste the Labour PairHours ($T35) as a value with the Labour Contingency set at 1.00 in this cell.</t>
        </r>
      </text>
    </comment>
    <comment ref="A39" authorId="0" shapeId="0" xr:uid="{00000000-0006-0000-0400-00000D000000}">
      <text>
        <r>
          <rPr>
            <b/>
            <sz val="8"/>
            <color indexed="81"/>
            <rFont val="Tahoma"/>
            <family val="2"/>
          </rPr>
          <t>Michael Vella:</t>
        </r>
        <r>
          <rPr>
            <sz val="8"/>
            <color indexed="81"/>
            <rFont val="Tahoma"/>
            <family val="2"/>
          </rPr>
          <t xml:space="preserve">
</t>
        </r>
        <r>
          <rPr>
            <sz val="8"/>
            <color indexed="17"/>
            <rFont val="Tahoma"/>
            <family val="2"/>
          </rPr>
          <t>Step 3.</t>
        </r>
        <r>
          <rPr>
            <sz val="8"/>
            <color indexed="81"/>
            <rFont val="Tahoma"/>
            <family val="2"/>
          </rPr>
          <t xml:space="preserve">
</t>
        </r>
        <r>
          <rPr>
            <sz val="8"/>
            <color indexed="17"/>
            <rFont val="Tahoma"/>
            <family val="2"/>
          </rPr>
          <t>Paste the Labour PairHours  ($T35) as a value with the actual Labour Contingency used in this cell.</t>
        </r>
      </text>
    </comment>
    <comment ref="S39" authorId="0" shapeId="0" xr:uid="{00000000-0006-0000-0400-00000E000000}">
      <text>
        <r>
          <rPr>
            <b/>
            <sz val="8"/>
            <color indexed="81"/>
            <rFont val="Tahoma"/>
            <family val="2"/>
          </rPr>
          <t>Michael Vella:</t>
        </r>
        <r>
          <rPr>
            <sz val="8"/>
            <color indexed="81"/>
            <rFont val="Tahoma"/>
            <family val="2"/>
          </rPr>
          <t xml:space="preserve">
Select &lt;Test for 0.00&gt; and confirm that DiscyT are both 0.00, then make sure that you select PRINT again before printing.</t>
        </r>
      </text>
    </comment>
    <comment ref="D41" authorId="0" shapeId="0" xr:uid="{00000000-0006-0000-0400-00000F000000}">
      <text>
        <r>
          <rPr>
            <b/>
            <sz val="8"/>
            <color indexed="81"/>
            <rFont val="Tahoma"/>
            <family val="2"/>
          </rPr>
          <t>Michael Vella:</t>
        </r>
        <r>
          <rPr>
            <sz val="8"/>
            <color indexed="81"/>
            <rFont val="Tahoma"/>
            <family val="2"/>
          </rPr>
          <t xml:space="preserve">
Press &lt;CTRL :&gt; to enter the current date.</t>
        </r>
      </text>
    </comment>
  </commentList>
</comments>
</file>

<file path=xl/sharedStrings.xml><?xml version="1.0" encoding="utf-8"?>
<sst xmlns="http://schemas.openxmlformats.org/spreadsheetml/2006/main" count="2611" uniqueCount="641">
  <si>
    <t xml:space="preserve">CLIENT: </t>
  </si>
  <si>
    <t>R/Lab Cont</t>
  </si>
  <si>
    <t xml:space="preserve">PROJECT: </t>
  </si>
  <si>
    <t>mu_A</t>
  </si>
  <si>
    <t xml:space="preserve">JOB DESC: </t>
  </si>
  <si>
    <t>mu_B</t>
  </si>
  <si>
    <t xml:space="preserve">QUOTE No: </t>
  </si>
  <si>
    <t xml:space="preserve"> </t>
  </si>
  <si>
    <t>mu_C</t>
  </si>
  <si>
    <t xml:space="preserve">VAT/DUTIES: </t>
  </si>
  <si>
    <t>mu_D</t>
  </si>
  <si>
    <t>mu_E</t>
  </si>
  <si>
    <t xml:space="preserve">SAVED ON: </t>
  </si>
  <si>
    <t>mu_F</t>
  </si>
  <si>
    <t xml:space="preserve">ESTIMATOR: </t>
  </si>
  <si>
    <t>mu_G</t>
  </si>
  <si>
    <t>mu_H</t>
  </si>
  <si>
    <t>mu_I</t>
  </si>
  <si>
    <t>mu_J</t>
  </si>
  <si>
    <t>I_CODE</t>
  </si>
  <si>
    <t>C_CODE</t>
  </si>
  <si>
    <t>MAKE</t>
  </si>
  <si>
    <t>PART_NO</t>
  </si>
  <si>
    <t>MARKUP</t>
  </si>
  <si>
    <t>TYPE</t>
  </si>
  <si>
    <t>LIST_P</t>
  </si>
  <si>
    <t>P_FACT</t>
  </si>
  <si>
    <t>FIX</t>
  </si>
  <si>
    <t>DATE</t>
  </si>
  <si>
    <t>SYSTEMS</t>
  </si>
  <si>
    <t>MU TYPE</t>
  </si>
  <si>
    <t>MAT MU</t>
  </si>
  <si>
    <t>LAB RATE</t>
  </si>
  <si>
    <t>SELLING</t>
  </si>
  <si>
    <t>MATERIAL</t>
  </si>
  <si>
    <t>LABOUR</t>
  </si>
  <si>
    <t>REMARKS:</t>
  </si>
  <si>
    <t>ESTIMATOR:</t>
  </si>
  <si>
    <t>APPROVED BY:</t>
  </si>
  <si>
    <t>SIGNED:</t>
  </si>
  <si>
    <t>DATE APPROVED:</t>
  </si>
  <si>
    <t>PANTA CONTRACTING LTD. - ELECTRICAL DIVISION</t>
  </si>
  <si>
    <t>CONTRACT / VARIATION  INPUT DOCUMENT</t>
  </si>
  <si>
    <t>Copy to:-</t>
  </si>
  <si>
    <t>Client:</t>
  </si>
  <si>
    <t>Project:</t>
  </si>
  <si>
    <t>Job Description:</t>
  </si>
  <si>
    <t>File No:</t>
  </si>
  <si>
    <t>File:-</t>
  </si>
  <si>
    <t>Quote No:</t>
  </si>
  <si>
    <t>Client's Ref:</t>
  </si>
  <si>
    <t>Mat. Cost</t>
  </si>
  <si>
    <t>Total Cost</t>
  </si>
  <si>
    <t>Advanced Payment:</t>
  </si>
  <si>
    <t>Retention:</t>
  </si>
  <si>
    <t>Awarded Date:</t>
  </si>
  <si>
    <t>Estimated Start Date:</t>
  </si>
  <si>
    <t>Estimated Completion Date:</t>
  </si>
  <si>
    <t>.................</t>
  </si>
  <si>
    <t>Date issued:</t>
  </si>
  <si>
    <t>ELECTRICAL AND ELV  CONTRACT / VARIATION BUDGET COST</t>
  </si>
  <si>
    <t xml:space="preserve">   Project:</t>
  </si>
  <si>
    <t>Job Desc:</t>
  </si>
  <si>
    <t>COSTCODE</t>
  </si>
  <si>
    <t xml:space="preserve">Cost </t>
  </si>
  <si>
    <t>Mat.</t>
  </si>
  <si>
    <t>Mat Cost</t>
  </si>
  <si>
    <t>Lab Cost @</t>
  </si>
  <si>
    <t>Labour</t>
  </si>
  <si>
    <t>Code</t>
  </si>
  <si>
    <t>Cont.</t>
  </si>
  <si>
    <t>V:56</t>
  </si>
  <si>
    <t>1(J)</t>
  </si>
  <si>
    <t>cc</t>
  </si>
  <si>
    <t>Erection materials</t>
  </si>
  <si>
    <t>Busbar Trunking</t>
  </si>
  <si>
    <t>Switchgear</t>
  </si>
  <si>
    <t>MCC Equipment</t>
  </si>
  <si>
    <t>BMS Equipment</t>
  </si>
  <si>
    <t>PVC Pipes / Ducts</t>
  </si>
  <si>
    <t>High/medium voltage switchgear</t>
  </si>
  <si>
    <t>Power Transformers</t>
  </si>
  <si>
    <t>Control Panels</t>
  </si>
  <si>
    <t xml:space="preserve">Electrical Single Core Cables </t>
  </si>
  <si>
    <t>11(K)</t>
  </si>
  <si>
    <t xml:space="preserve">Electrical Multicore Cables </t>
  </si>
  <si>
    <t xml:space="preserve">ELV/BMS/Special Cables </t>
  </si>
  <si>
    <t>Cable Accessories</t>
  </si>
  <si>
    <t>Galv. Cable Trays</t>
  </si>
  <si>
    <t>PVC Cable Trays</t>
  </si>
  <si>
    <t>Galv. Cable Basket</t>
  </si>
  <si>
    <t>Galv. Cable Ladder</t>
  </si>
  <si>
    <t>Galv. Cable Trunking</t>
  </si>
  <si>
    <t>Alum. Cable Trunking</t>
  </si>
  <si>
    <t>PVC Cable Trunking</t>
  </si>
  <si>
    <t>21(L)</t>
  </si>
  <si>
    <t>Underfloor Cable Trunking</t>
  </si>
  <si>
    <t>Galv. Conduit</t>
  </si>
  <si>
    <t>PVC Conduit</t>
  </si>
  <si>
    <t>Wiring Accessories</t>
  </si>
  <si>
    <t>Dimming Equipment</t>
  </si>
  <si>
    <t>Fire Alarm Equipment</t>
  </si>
  <si>
    <t>Fire Barriers</t>
  </si>
  <si>
    <t>Security Alarm System</t>
  </si>
  <si>
    <t>Access Control</t>
  </si>
  <si>
    <t>Hotel Electronic Lock</t>
  </si>
  <si>
    <t>31(M)</t>
  </si>
  <si>
    <t>Timing Equipment</t>
  </si>
  <si>
    <t>Public Address</t>
  </si>
  <si>
    <t>Voice Alarm Equipment</t>
  </si>
  <si>
    <t>Lightning / Bonding System</t>
  </si>
  <si>
    <t>T.V System</t>
  </si>
  <si>
    <t>UPS/Voltage Stabilisers</t>
  </si>
  <si>
    <t>Data Network Equipment</t>
  </si>
  <si>
    <t>Light Fittings</t>
  </si>
  <si>
    <t>Generators, AMF Panels</t>
  </si>
  <si>
    <t>41(N)</t>
  </si>
  <si>
    <t>Telephone Equipment</t>
  </si>
  <si>
    <t>Intercom</t>
  </si>
  <si>
    <t>Nurse Call</t>
  </si>
  <si>
    <t>C.C.T.V. Equipment</t>
  </si>
  <si>
    <t>Tools and Instruments</t>
  </si>
  <si>
    <t>Consumbles</t>
  </si>
  <si>
    <t>Drawings/Manuals</t>
  </si>
  <si>
    <t>Spare Parts</t>
  </si>
  <si>
    <t>51(O)</t>
  </si>
  <si>
    <t>Dismantling (Labour Only)</t>
  </si>
  <si>
    <t>Testing &amp; Commissioning</t>
  </si>
  <si>
    <t>Sub-Contracting Works</t>
  </si>
  <si>
    <t>Enemalta Application</t>
  </si>
  <si>
    <t>Crainage and Transportation</t>
  </si>
  <si>
    <t>Provisional Sum</t>
  </si>
  <si>
    <t>Signed for and on behalf of</t>
  </si>
  <si>
    <t>Electrical Division</t>
  </si>
  <si>
    <t>TB</t>
  </si>
  <si>
    <t>t</t>
  </si>
  <si>
    <t xml:space="preserve">Item: </t>
  </si>
  <si>
    <t>Sell Rate</t>
  </si>
  <si>
    <t>Sell Total</t>
  </si>
  <si>
    <t>IB</t>
  </si>
  <si>
    <t>No</t>
  </si>
  <si>
    <t>ISELL</t>
  </si>
  <si>
    <t>ITEM</t>
  </si>
  <si>
    <t>n</t>
  </si>
  <si>
    <t>d&gt;</t>
  </si>
  <si>
    <t>ICOST</t>
  </si>
  <si>
    <t>SB!</t>
  </si>
  <si>
    <t>SB</t>
  </si>
  <si>
    <t>END!</t>
  </si>
  <si>
    <t>COSTCODE TOTAL</t>
  </si>
  <si>
    <t>Cables accessories</t>
  </si>
  <si>
    <t>Fix 1</t>
  </si>
  <si>
    <t>Fix 2</t>
  </si>
  <si>
    <t>Fix 3</t>
  </si>
  <si>
    <t>Others</t>
  </si>
  <si>
    <t>TOTAL</t>
  </si>
  <si>
    <t>Multip</t>
  </si>
  <si>
    <t>RATE</t>
  </si>
  <si>
    <t xml:space="preserve">Based on: </t>
  </si>
  <si>
    <t>&lt;&lt; ==== TOTAL UNITS</t>
  </si>
  <si>
    <t>Sell_A</t>
  </si>
  <si>
    <t>RATE SHEET GRAND TOTAL</t>
  </si>
  <si>
    <t>COMPONENTS</t>
  </si>
  <si>
    <t>COMP_RT</t>
  </si>
  <si>
    <t>RATE SUMS (ITEMS)</t>
  </si>
  <si>
    <t>ITEM_RT</t>
  </si>
  <si>
    <t xml:space="preserve">   Mech. Cost to us</t>
  </si>
  <si>
    <t>( From CostCode Totals )</t>
  </si>
  <si>
    <t>Totals</t>
  </si>
  <si>
    <t>CLIENT's Ref:</t>
  </si>
  <si>
    <t>TDWG</t>
  </si>
  <si>
    <t>x</t>
  </si>
  <si>
    <t>MULT</t>
  </si>
  <si>
    <t>AREA</t>
  </si>
  <si>
    <t>BOQ</t>
  </si>
  <si>
    <t>ACT</t>
  </si>
  <si>
    <t>DIFF</t>
  </si>
  <si>
    <t>Dated:</t>
  </si>
  <si>
    <t>VAT EXCLUDED.</t>
  </si>
  <si>
    <t>Division</t>
  </si>
  <si>
    <t>Records</t>
  </si>
  <si>
    <t>File</t>
  </si>
  <si>
    <t>INCL</t>
  </si>
  <si>
    <t xml:space="preserve">FILE LOCATION: </t>
  </si>
  <si>
    <t xml:space="preserve">CLIENTs REF: </t>
  </si>
  <si>
    <t xml:space="preserve">Labour Rate - </t>
  </si>
  <si>
    <t>Electrical</t>
  </si>
  <si>
    <t>Contract /Variation (Excl. VAT)</t>
  </si>
  <si>
    <t>DISCOUNTED</t>
  </si>
  <si>
    <t>on Totals</t>
  </si>
  <si>
    <t>% Discnt</t>
  </si>
  <si>
    <t>Markup/LRate</t>
  </si>
  <si>
    <t>%Dsct in BOQ</t>
  </si>
  <si>
    <t>C.C.Totals</t>
  </si>
  <si>
    <t>ItemCode</t>
  </si>
  <si>
    <t>CostCode</t>
  </si>
  <si>
    <t>SET</t>
  </si>
  <si>
    <t>MIXED</t>
  </si>
  <si>
    <t>VAT EXCL.</t>
  </si>
  <si>
    <t>Discy.A-J</t>
  </si>
  <si>
    <t>Discy.L</t>
  </si>
  <si>
    <t>Discy.T &gt;&gt;</t>
  </si>
  <si>
    <t>BOQ RateOnly Items</t>
  </si>
  <si>
    <t>Recon /Lab.Cont &gt;&gt;</t>
  </si>
  <si>
    <t xml:space="preserve">MIXED - X,Y ) </t>
  </si>
  <si>
    <t>MATMU-LABMU</t>
  </si>
  <si>
    <r>
      <t>1)</t>
    </r>
    <r>
      <rPr>
        <sz val="11"/>
        <rFont val="Arial"/>
        <family val="2"/>
      </rPr>
      <t xml:space="preserve"> VAT and Duties as above.</t>
    </r>
  </si>
  <si>
    <t>Overall Discount</t>
  </si>
  <si>
    <t>Overall Markup (Final Selling Excl.VAT/Total Cost )</t>
  </si>
  <si>
    <t>Average Discount applied in BOQ (Q2-Q12)</t>
  </si>
  <si>
    <t>Average Discount applied on Totals (Q23-Q32)</t>
  </si>
  <si>
    <t>MATERIAL &amp; LABOUR SUMMARY</t>
  </si>
  <si>
    <t xml:space="preserve">ATT: </t>
  </si>
  <si>
    <t>Link to ML_SUM $D1</t>
  </si>
  <si>
    <t>Link to ML_SUM $D2</t>
  </si>
  <si>
    <t>Link to ML_SUM $D3</t>
  </si>
  <si>
    <t>Link to ML_SUM $D4</t>
  </si>
  <si>
    <t>Link to ML_SUM $D5</t>
  </si>
  <si>
    <t>Sell Excl.VAT / Total Cost</t>
  </si>
  <si>
    <t>&lt;2 Phrs @ 1.00</t>
  </si>
  <si>
    <t>&lt;3 Phrs @ Actual</t>
  </si>
  <si>
    <t>&lt;1 Actual LabCont</t>
  </si>
  <si>
    <t>Values Only on :</t>
  </si>
  <si>
    <t>€</t>
  </si>
  <si>
    <t>Pair Hrs.</t>
  </si>
  <si>
    <t>Pair.Hrs</t>
  </si>
  <si>
    <t>Final Sell after Discounts excl.VAT (€):</t>
  </si>
  <si>
    <t>Estim.Sell before Discounts excl.VAT (€):</t>
  </si>
  <si>
    <t>Overall Discount:</t>
  </si>
  <si>
    <t>MAT CONT &gt;&gt;</t>
  </si>
  <si>
    <t>BOQ TOTAL</t>
  </si>
  <si>
    <t>NOTES</t>
  </si>
  <si>
    <t>PRINT</t>
  </si>
  <si>
    <t xml:space="preserve">VAT: </t>
  </si>
  <si>
    <t xml:space="preserve">LAB. COST: </t>
  </si>
  <si>
    <t>Mechanical for Electrical</t>
  </si>
  <si>
    <t>Ext. Ref:</t>
  </si>
  <si>
    <t xml:space="preserve">INT. QUOT No: </t>
  </si>
  <si>
    <t>U_M_Sell</t>
  </si>
  <si>
    <t>T_M_Sell</t>
  </si>
  <si>
    <t>U_L_Sell</t>
  </si>
  <si>
    <t>T_L_Sell</t>
  </si>
  <si>
    <t>Total_Sell</t>
  </si>
  <si>
    <t>MU</t>
  </si>
  <si>
    <t>LABRATE</t>
  </si>
  <si>
    <t>LABCOST</t>
  </si>
  <si>
    <t>VAT/DISC</t>
  </si>
  <si>
    <t>&lt; for ELM / MEE</t>
  </si>
  <si>
    <t>Mat/Lab=1</t>
  </si>
  <si>
    <t>Tot Mat Cost</t>
  </si>
  <si>
    <t>Tot Lab phr.</t>
  </si>
  <si>
    <t>T_M_Cost</t>
  </si>
  <si>
    <t>T_L_Phr</t>
  </si>
  <si>
    <t xml:space="preserve">LABOUR RATE: </t>
  </si>
  <si>
    <t>Sub-Contracting Installation Elec</t>
  </si>
  <si>
    <t>K. Micallef</t>
  </si>
  <si>
    <t>Mr. K. Micallef</t>
  </si>
  <si>
    <t>Unit</t>
  </si>
  <si>
    <t>Total</t>
  </si>
  <si>
    <t>Unit Lab phr.</t>
  </si>
  <si>
    <t>Material Cost (€) :</t>
  </si>
  <si>
    <t>Labour Pair Hours :</t>
  </si>
  <si>
    <t>Ms. V. Vella</t>
  </si>
  <si>
    <t>Mr. A. Sciberras</t>
  </si>
  <si>
    <t xml:space="preserve">000# </t>
  </si>
  <si>
    <t>BILL OF QUANTITIES</t>
  </si>
  <si>
    <t>Item</t>
  </si>
  <si>
    <t>Qty</t>
  </si>
  <si>
    <t>Rate in €</t>
  </si>
  <si>
    <t>LS</t>
  </si>
  <si>
    <t>Total carried forward to summary page</t>
  </si>
  <si>
    <t>PLUMBING SYSTEMS</t>
  </si>
  <si>
    <t>Supply, install, connect, test and commission the following as specified for a complete working system</t>
  </si>
  <si>
    <t>MAINS WATER SYSTEM</t>
  </si>
  <si>
    <t>Incoming mains water pipework polypropylene (PPR) SDR 7.4. Cost to include for all fittings, any necessary adaptors, brackets and all accessories as necessary for a complete working installation.</t>
  </si>
  <si>
    <t>a.</t>
  </si>
  <si>
    <t>OD25mm</t>
  </si>
  <si>
    <t>m</t>
  </si>
  <si>
    <t>b.</t>
  </si>
  <si>
    <t>OD32mm</t>
  </si>
  <si>
    <t>Isolating valves in PPR on mains distribution pipework:</t>
  </si>
  <si>
    <t>DOMESTIC COLD WATER SYSTEM</t>
  </si>
  <si>
    <t>Domestic Cold Water VERTICAL storage tanks, 1500L storage capacity, complete with inlet and outlet valves, float valve and adequate supports, as required for a complete installation.</t>
  </si>
  <si>
    <t>Domestic Cold Water booster set - PDCW1/2 complete with control panel, inlet/outlet headers, isolating valves, strainers, check valves, pressure gauges, pressure vessel etc. as per specifications and equipment schedule</t>
  </si>
  <si>
    <t>Domestic cold water (DCW) pipework polypropylene (PPR) SDR 7.4. Cost to include for all fittings, any necessary adaptors, brackets, wall penetrations, and all accessories as necessary for a complete working installation.</t>
  </si>
  <si>
    <t>OD40mm</t>
  </si>
  <si>
    <t>OD50mm</t>
  </si>
  <si>
    <t>e.</t>
  </si>
  <si>
    <t>OD63mm</t>
  </si>
  <si>
    <t>Isolating valves on the DCW distribution pipework:</t>
  </si>
  <si>
    <t>Automatic Air Vents (AAV) on the DCW distribution pipework:</t>
  </si>
  <si>
    <t>Drain Valves (DV) on the DCW distribution pipework:</t>
  </si>
  <si>
    <t>Non-return valves on the DCW distribution pipework:</t>
  </si>
  <si>
    <t>Strainers on the DCW distribution pipework:</t>
  </si>
  <si>
    <t>DOMESTIC COLD WATER TREATMENT PLANT</t>
  </si>
  <si>
    <t>DCW Treatment Plant (DCWTP) - Packaged chlorination system equipped with pump, dosing solution tank, automatic monitoring/control panel, pipework and accessories etc. for a complete installation.</t>
  </si>
  <si>
    <t>DCWTP HORIZONTAL storage tanks, 200L storage capacity, complete with inlet and outlet valves, float valve and adequate supports, as required for a complete installation.</t>
  </si>
  <si>
    <t>DCWTP pipework polypropylene (PPR) SDR 7.4. Cost to include for all fittings, any necessary adaptors, brackets, wall penetrations, and all accessories as necessary for a complete working installation.</t>
  </si>
  <si>
    <t>REVERSE OSMOSIS WATER SYSTEM</t>
  </si>
  <si>
    <t xml:space="preserve">Reverse Osmosis System Plant, complete with control panel, filters, inlet and outlet valves, adequate supports, as required for a complete installation as per specifications. </t>
  </si>
  <si>
    <t>WRAS Approved Reverse Osmosis Vertical Water Storage Tank, 200L storage capacity, complete with inlet and outlet valves, float valve and adequate supports, as required for a complete installation.</t>
  </si>
  <si>
    <t>Reverse Osmosis Water booster set - PRO-1/2 set complete with control panel, inlet/outlet headers, isolating valves, strainers, check valves, pressure gauges, etc. as per specifications and equipment schedule</t>
  </si>
  <si>
    <t>Reverse Osmosis (RO) pipework polypropylene (PPR) SDR 7.4. Cost to include for all fittings, any necessary adaptors, brackets, wall penetrations, and all accessories as necessary for a complete working installation.</t>
  </si>
  <si>
    <t>Isolating valves on the RO distribution pipework:</t>
  </si>
  <si>
    <t>Automatic Air Vent (AAV) on the RO distribution pipework:</t>
  </si>
  <si>
    <t>Drain Valve (DV) on the RO distribution pipework:</t>
  </si>
  <si>
    <t>Non-return valve on the RO distribution pipework:</t>
  </si>
  <si>
    <t>Strainers on the RO water pipework:</t>
  </si>
  <si>
    <t>OD 40mm</t>
  </si>
  <si>
    <t xml:space="preserve">MAKE UP WATER SYSTEM FOR THE DOMESTIC HOT WATER SYSTEM </t>
  </si>
  <si>
    <t>Make Up HORIZONTAL storage tanks, 500L storage capacity, complete with inlet and outlet valves, float valve and adequate supports, as required for a complete installation.</t>
  </si>
  <si>
    <t>Pressurisation unit PU-1 complete with control panel, inlet/outlet headers, isolating valves, strainers, check valves, pressure gauges, etc. as per specifications and equipment schedule</t>
  </si>
  <si>
    <t>Pipework polypropylene (PPR) SDR 7.4. Cost to include for all fittings, any necessary adaptors, brackets, wall penetrations, and all accessories as necessary for a complete working installation.</t>
  </si>
  <si>
    <t>Isolating valves on the distribution pipework:</t>
  </si>
  <si>
    <t>Automatic Air Vent (AAV) on the distribution pipework:</t>
  </si>
  <si>
    <t>Drain Valve (DV) on the distribution pipework:</t>
  </si>
  <si>
    <t>Non-return valve on the distribution pipework:</t>
  </si>
  <si>
    <t>Strainers on the distribution pipework:</t>
  </si>
  <si>
    <t xml:space="preserve">Expansion Vessel on the distribution pipework 30L: </t>
  </si>
  <si>
    <t>DOMESTIC HOT WATER SYSTEM</t>
  </si>
  <si>
    <t>Outdoor air to water Heat Pump unit 2-pipe complete with suitable anti-vibration mountings. Cost to include for power wiring to isolator in the vicinity, labelling, etc. as required for a complete working system</t>
  </si>
  <si>
    <t>Heat Pump HP-01: 47kW</t>
  </si>
  <si>
    <t>Primary hot water pipework in PPR Fibre Composite PN20 SDR 7.4 complete with all the necessary fittings and adaptors, insulation, bracketing, fixing material, labelling, etc. as required for a complete installation</t>
  </si>
  <si>
    <t>OD 75 mm</t>
  </si>
  <si>
    <t>Plumbing ancillaries on the above primary hot water pipework</t>
  </si>
  <si>
    <t>OD 75 mm Isolating valves</t>
  </si>
  <si>
    <t>OD 75 mm Non return valves</t>
  </si>
  <si>
    <t>OD 75 mm Strainers</t>
  </si>
  <si>
    <t>OD 75 mm Commissioning Valves</t>
  </si>
  <si>
    <t>OD 75 mm 2-port modulating Valves</t>
  </si>
  <si>
    <t>f.</t>
  </si>
  <si>
    <t>OD 75 mm 3-port modulating Valves</t>
  </si>
  <si>
    <t>OD 25 mm Automatic Air vent</t>
  </si>
  <si>
    <t>OD 25 mm Drain Valve</t>
  </si>
  <si>
    <t>i.</t>
  </si>
  <si>
    <t>100 mm Stainless Steel Pressure Gauges (0-6 bar)</t>
  </si>
  <si>
    <t>j.</t>
  </si>
  <si>
    <t>Packaged, skid mounted, lowered version hot water storage ASHP vessel required for the minimum heat pump plant water content. Contractor to quote for an 800L storage capacity, however this shall be confirmed with the model of the heat pump being offered. Vessel shall be complete with control valve, control fittings required, isolating valves, safety valves, and all other accessories required and as stated in the specifications or as required by the manufacturer for a complete working system.</t>
  </si>
  <si>
    <t>PRIMARY Domestic Hot Water circulation pump set - PPDHW-1/2 complete with control panel, inlet/outlet headers, isolating valves, strainers, check valves, pressure gauges, pressure vessel etc. as per specifications and equipment schedule.</t>
  </si>
  <si>
    <t>Packaged, skid mounted, lowered version hot water calorifiers, 800L storage capacity, copper lined, complete with externally factory mounted titanium gasket plate heat exchanger, circulating pump, flow through expansion vessel, commissioning valve, control valve, control fittings required, panel, isolating valves, safety valves, and all other accessories required and as stated in the specifications for a complete working system.</t>
  </si>
  <si>
    <t>DN20 Pressure / Temperature Relief Valve</t>
  </si>
  <si>
    <t>DN20 Expansion Relief Valve</t>
  </si>
  <si>
    <t>DN20 Expansion Isolating Valve</t>
  </si>
  <si>
    <t>DN25 Anti-vacuum Valve</t>
  </si>
  <si>
    <t>DN25 Drain Valve Assembly</t>
  </si>
  <si>
    <t>100 mm Stainless Steel Pressure Gauges</t>
  </si>
  <si>
    <t>100 mm Stainless Steel Temperature Gauges</t>
  </si>
  <si>
    <t xml:space="preserve">PID controller c/w control temperature sensors </t>
  </si>
  <si>
    <t>Install only temperature sensors, including allowance for any adapters as required</t>
  </si>
  <si>
    <t xml:space="preserve">Flow Through Expansion Vessel </t>
  </si>
  <si>
    <t>Secondary hot water flow and return headers c/w insulation, bracketing, fixing material and all associated ancillary equipment as detailed below:</t>
  </si>
  <si>
    <t>OD 63 mm PPR Secondary Flow Header comprising the following:</t>
  </si>
  <si>
    <t>- 2 No OD 63 mm flanged connections (inlets)</t>
  </si>
  <si>
    <t>- 1 No OD 63 mm flanged connection (outlet)</t>
  </si>
  <si>
    <t>- 2 No OD 20 mm screwed connections (gauges/ sensors)</t>
  </si>
  <si>
    <t>- 1 No OD 32 mm screwed connections (drain)</t>
  </si>
  <si>
    <t xml:space="preserve">Plumbing ancillaries on the above secondary headers </t>
  </si>
  <si>
    <t>OD 32 mm drain valve c/w pipework to nearest drain</t>
  </si>
  <si>
    <t>100 mm Stainless Temperature Gauges</t>
  </si>
  <si>
    <t>Install only temperature sensors, including allowance for any adapters and pockets as required</t>
  </si>
  <si>
    <t>SECONDARY Domestic Hot Water Return circulation pump set -SPDHW1/2 complete with control panel, inlet/outlet headers, isolating valves, strainers, check valves, pressure gauges, pressure vessel etc. as per specifications and equipment schedule</t>
  </si>
  <si>
    <r>
      <t xml:space="preserve">Secondary Domestic hot water/return (DHW/R) pipework polypropylene (PPR) SDR 7.4. Cost to include for all fittings, </t>
    </r>
    <r>
      <rPr>
        <b/>
        <sz val="10"/>
        <color theme="1"/>
        <rFont val="Arial"/>
        <family val="2"/>
      </rPr>
      <t>insulation</t>
    </r>
    <r>
      <rPr>
        <sz val="10"/>
        <color theme="1"/>
        <rFont val="Arial"/>
        <family val="2"/>
      </rPr>
      <t>, any necessary adaptors, brackets and all accessories as necessary for a complete working installation.</t>
    </r>
  </si>
  <si>
    <t>Isolating valves on the Secondary DHW distribution pipework:</t>
  </si>
  <si>
    <t>Multifunctional Thermostatic Circulation Valve (Thermostatic balancing valve) (MTCV) on the Secondary DHW distribution pipework complete with electronic controller for disinfection of DHW system</t>
  </si>
  <si>
    <t>Automatic Air Vents (AAV) on the Secondary DHW distribution pipework:</t>
  </si>
  <si>
    <t>.</t>
  </si>
  <si>
    <t>Drain Valves (DV) on the Secondary DHW distribution pipework:</t>
  </si>
  <si>
    <t>Non-return valves on the Secondary DHW distribution pipework:</t>
  </si>
  <si>
    <t>Strainers on the Secondary DHW distribution pipework:</t>
  </si>
  <si>
    <t>100mm Stainless Steel Pressure gauges (0-6 bar) on Secondary DHW distribution pipework</t>
  </si>
  <si>
    <t>100mm Stainless Steel Temperature gauges</t>
  </si>
  <si>
    <t>BATHROOM AREAS INSTALLATIONS</t>
  </si>
  <si>
    <t xml:space="preserve">Provision of the following polypropylene (PPR) pipework SDR 7.4 within bathrooms/warehouse areas, drop from ceiling level (4m), chased in walls including threaded wall plates: </t>
  </si>
  <si>
    <t>Hotel Room Bathroom including:</t>
  </si>
  <si>
    <t>1 in No. DCW and DHW for wash hand basin</t>
  </si>
  <si>
    <t>1 in No. DCW and DHW for shower</t>
  </si>
  <si>
    <t>1 in No. DCW for water closet</t>
  </si>
  <si>
    <t xml:space="preserve">Hotel Room Bathroom including: </t>
  </si>
  <si>
    <t>2 in No. DCW and DHW for wash hand basin</t>
  </si>
  <si>
    <t>1 in No. DCW and DHW for bath</t>
  </si>
  <si>
    <t>2 in No. DCW and DHW for shower</t>
  </si>
  <si>
    <t>Hotel Room Kitchenette including:</t>
  </si>
  <si>
    <t>1 in No. MW and DHW for kitchen sink</t>
  </si>
  <si>
    <t xml:space="preserve">Common Area Bathroom including: </t>
  </si>
  <si>
    <t>4 in No. DCW and DHW for wash hand basin</t>
  </si>
  <si>
    <t>2 in No. DCW for water closet</t>
  </si>
  <si>
    <t xml:space="preserve">Accessible Bathroom including: </t>
  </si>
  <si>
    <t>1 in No. DCW for biptap</t>
  </si>
  <si>
    <t xml:space="preserve">Changing Room including: </t>
  </si>
  <si>
    <t xml:space="preserve">Kitchen including: </t>
  </si>
  <si>
    <t>3 in No. RO for equipment</t>
  </si>
  <si>
    <t>1 in No. RO for biptap</t>
  </si>
  <si>
    <t>2 in No. MW and DHW for equipment</t>
  </si>
  <si>
    <t>1 in No. DHW for equipment</t>
  </si>
  <si>
    <t>DCW for bibtap</t>
  </si>
  <si>
    <t>SANITARY WARE</t>
  </si>
  <si>
    <t>Assemble, install and connect up the following sanitaryware including chrome accessories, supplied by client. Bill rate is to allow for necessary fixing ancillaries and silicon sealants</t>
  </si>
  <si>
    <t>Wash hand basin complete with mixer and drains</t>
  </si>
  <si>
    <t>No.</t>
  </si>
  <si>
    <t>Dual Wash hand basin complete with mixer and drains</t>
  </si>
  <si>
    <t>Water closet complete with flush cistern</t>
  </si>
  <si>
    <t>Shower complete with mixer and drains</t>
  </si>
  <si>
    <t>Dual Shower complete with mixer and drains</t>
  </si>
  <si>
    <t>Bath complete with mixer and drains</t>
  </si>
  <si>
    <t xml:space="preserve">Kitchen sink complete with mixer and drains </t>
  </si>
  <si>
    <t xml:space="preserve">Kitchen equipment complete with drains </t>
  </si>
  <si>
    <t>Chrome Bib taps</t>
  </si>
  <si>
    <t>Chrome fittings (towel hanger, soap holders, grab rails,etc.)</t>
  </si>
  <si>
    <t>Extra: Vanity unit</t>
  </si>
  <si>
    <t>l.</t>
  </si>
  <si>
    <t>Bathroom Mirror c/w integrated lighting point</t>
  </si>
  <si>
    <t>Ancillaries to compliment the plumbing systems</t>
  </si>
  <si>
    <t>Provision for the supply, installation and connecting up of water consumption meter, suitable to be connected to BMS</t>
  </si>
  <si>
    <t xml:space="preserve">100mm Stainless Steel Pressure gauges (0-6 bar) </t>
  </si>
  <si>
    <t>General</t>
  </si>
  <si>
    <t>Provision for the labelling of all MNS, DCW, DHW and SCW pipework runs</t>
  </si>
  <si>
    <t>DRAINAGE AND RAIN WATER SYSTEMS</t>
  </si>
  <si>
    <t>Supply, install and connect up the following drainage and rainwater systems allowing for all necessary fittings including bends, reducers, and galvanised steel brackets:</t>
  </si>
  <si>
    <r>
      <rPr>
        <i/>
        <u/>
        <sz val="10"/>
        <rFont val="Arial"/>
        <family val="2"/>
      </rPr>
      <t>Note:</t>
    </r>
    <r>
      <rPr>
        <i/>
        <sz val="10"/>
        <rFont val="Arial"/>
        <family val="2"/>
      </rPr>
      <t xml:space="preserve"> All Drainage and rainwater pipework, including related fittings, for Gravity Systems, shall be of the </t>
    </r>
    <r>
      <rPr>
        <b/>
        <i/>
        <sz val="10"/>
        <rFont val="Arial"/>
        <family val="2"/>
      </rPr>
      <t>polypropylene (PP) silent type</t>
    </r>
    <r>
      <rPr>
        <i/>
        <sz val="10"/>
        <rFont val="Arial"/>
        <family val="2"/>
      </rPr>
      <t xml:space="preserve"> and suitable for hot water discharge.</t>
    </r>
  </si>
  <si>
    <t xml:space="preserve">Any trenching below ground level, coring in slabs and making good shall form part of this scope of works and are to be included in the below rates. </t>
  </si>
  <si>
    <t xml:space="preserve">Drainage Installation </t>
  </si>
  <si>
    <t>Waste Water PP pipework from the drain points in the respective area to main stack allowing for all necessary fittings, brackets, branch-offs, etc. as required for a complete installation;</t>
  </si>
  <si>
    <t>Low Level Horizontal Runs, laid to falls</t>
  </si>
  <si>
    <t>OD40 mm dia.</t>
  </si>
  <si>
    <t>OD50 mm dia.</t>
  </si>
  <si>
    <t>OD63 mm dia.</t>
  </si>
  <si>
    <t xml:space="preserve">OD90 mm dia. </t>
  </si>
  <si>
    <t xml:space="preserve">OD110 mm dia. </t>
  </si>
  <si>
    <t>High Level Horizontal Runs, laid to falls</t>
  </si>
  <si>
    <t>OD90 mm dia.</t>
  </si>
  <si>
    <t xml:space="preserve">OD125 mm dia. </t>
  </si>
  <si>
    <t xml:space="preserve">OD150 mm dia. </t>
  </si>
  <si>
    <t>Vertical Stacks, in shafts, exposed, etc.</t>
  </si>
  <si>
    <r>
      <t xml:space="preserve">Waste Water </t>
    </r>
    <r>
      <rPr>
        <b/>
        <sz val="10"/>
        <rFont val="Arial"/>
        <family val="2"/>
      </rPr>
      <t>Ventilation</t>
    </r>
    <r>
      <rPr>
        <sz val="10"/>
        <rFont val="Arial"/>
        <family val="2"/>
      </rPr>
      <t xml:space="preserve"> PP pipework from the drain points at Low Level to main vent stack at High level allowing for all necessary fittings, brackets, branch-offs, etc. including chased in walls as required for a complete installation;</t>
    </r>
  </si>
  <si>
    <t>OD75 mm dia.</t>
  </si>
  <si>
    <t>Provision of the following waste water outlet points, run in chased down drops in PP:</t>
  </si>
  <si>
    <t>OD40mm Drains for wash hand basin</t>
  </si>
  <si>
    <t>OD50mm Drains for kitchen sink/equipment</t>
  </si>
  <si>
    <t>OD63mm Drains for kitchen equipment</t>
  </si>
  <si>
    <t>OD110mm Drains for WC</t>
  </si>
  <si>
    <t>Drainage ancillaries, allowing for all necessary fittings, brackets, branch-offs, etc. to compliment the above listed pipework, as required for a complete installation.</t>
  </si>
  <si>
    <t>Aeration Valves OD75mm at the termination of the Ventilation pipework at level -01</t>
  </si>
  <si>
    <t xml:space="preserve">Rainwater Installation </t>
  </si>
  <si>
    <t>Rainwater PP pipework from the collection points in the respective area to main stack allowing for all necessary fittings, brackets, branch-offs, etc. as required for a complete installation;</t>
  </si>
  <si>
    <t>OD110 mm dia.</t>
  </si>
  <si>
    <t>High Pressure Installation (HDPE)</t>
  </si>
  <si>
    <t>Heavy gauge HIGH PRESSURE HDPE pipework allowing for all necessary fittings including bends, reducers, and galvanised steel brackets:</t>
  </si>
  <si>
    <t>Other</t>
  </si>
  <si>
    <t>Waste Water Lifting Station, complete with control panel, inlet/outlet headers, isolating valves, strainers, check valves, pressure gauges, etc. to make a complete working system. System shall be as per specifications and equipment schedule</t>
  </si>
  <si>
    <t>LS1</t>
  </si>
  <si>
    <t>Sump pump, complete with control panel, non-return valves, inlet/outlet headers, isolating valves, strainers, check valves, pressure gauges, etc. to make a complete working system</t>
  </si>
  <si>
    <t>SP1</t>
  </si>
  <si>
    <t>Grease Trap, complete with control panel, non-return valves, inlet/outlet headers, isolating valves, strainers, check valves, pressure gauges, etc. to make a complete working system</t>
  </si>
  <si>
    <t>GT01</t>
  </si>
  <si>
    <t>GT02</t>
  </si>
  <si>
    <t xml:space="preserve">Gutters </t>
  </si>
  <si>
    <t>2.5 m x 200 mm c/w bottom outlet</t>
  </si>
  <si>
    <t>5 m x 200 mm c/w bottom outlet</t>
  </si>
  <si>
    <t>Allow for the connection of site drains pipework to main sewer network, allowing for all necessary fittings, brackets, branch-offs, trenching, etc. as required for a complete installation.</t>
  </si>
  <si>
    <t>FIRE SAFETY AND FIRE FIGHTING SYSTEMS</t>
  </si>
  <si>
    <t xml:space="preserve">Design, supply, install, connect, test and commission the following as specified and as shown on the drawings, unless otherwise noted. </t>
  </si>
  <si>
    <t>DRY RISER INSTALLATION</t>
  </si>
  <si>
    <t>Galvanised pipework c/w painting for a complete system, appropriate support brackets, etc. System to include all necessary accessories and ancillaries for a complete working system.</t>
  </si>
  <si>
    <t>DN 100 mm</t>
  </si>
  <si>
    <t>DN 63 mm</t>
  </si>
  <si>
    <t>Landing valves c/w isolating valves and end caps.</t>
  </si>
  <si>
    <t>Breaching inlet externally on façade complete with isolating valve</t>
  </si>
  <si>
    <t>Automatic Air Vent DN 63 mm</t>
  </si>
  <si>
    <t>Drain valve DN 63 mm</t>
  </si>
  <si>
    <t>PORTABLE FIRE EXTINGUISHERS</t>
  </si>
  <si>
    <t>Portable Fire Extinguishers:</t>
  </si>
  <si>
    <t>2kg CO2 Class 34B</t>
  </si>
  <si>
    <t>6 Litre AFFF Class 13A</t>
  </si>
  <si>
    <t>6 Litre Wet Chemcial Class F</t>
  </si>
  <si>
    <t>Fire extinguisher point signs and signage</t>
  </si>
  <si>
    <t>AUTOMATIC WET CHEMICAL SYSTEM</t>
  </si>
  <si>
    <t>Automatic wet chemical system including cylinders, pipework, nozzles, interfaces to fire alarm, control panel etc. as required for a complete installation.</t>
  </si>
  <si>
    <t>1700x1000mm Hood 1 in kitchen</t>
  </si>
  <si>
    <t>1700x1000mm Hood 2 in kitchen</t>
  </si>
  <si>
    <t>SMOKE CONTROL PRESSURIZATION SYSTEM</t>
  </si>
  <si>
    <r>
      <t xml:space="preserve">Smoke control pressurization system for the </t>
    </r>
    <r>
      <rPr>
        <u/>
        <sz val="10"/>
        <rFont val="Arial"/>
        <family val="2"/>
      </rPr>
      <t xml:space="preserve">protected staircase, PF-01 </t>
    </r>
    <r>
      <rPr>
        <sz val="10"/>
        <rFont val="Arial"/>
        <family val="2"/>
      </rPr>
      <t xml:space="preserve">as marked on the drawings including pressurization fan PF-01, interfaces to fire alarm, control panel, ancillaries etc. as required for a complete installation. </t>
    </r>
    <r>
      <rPr>
        <i/>
        <sz val="10"/>
        <rFont val="Arial"/>
        <family val="2"/>
      </rPr>
      <t>(Tenderer is requested to visit the site prior to design of pressurization system, coordination with other services is also very important)</t>
    </r>
  </si>
  <si>
    <r>
      <t xml:space="preserve">Smoke control pressurization system for the </t>
    </r>
    <r>
      <rPr>
        <u/>
        <sz val="10"/>
        <rFont val="Arial"/>
        <family val="2"/>
      </rPr>
      <t xml:space="preserve">protected lobbies, PF-02 </t>
    </r>
    <r>
      <rPr>
        <sz val="10"/>
        <rFont val="Arial"/>
        <family val="2"/>
      </rPr>
      <t xml:space="preserve">as marked on the drawings including pressurization fan PF-02, interfaces to fire alarm, control panel, ancillaries etc. as required for a complete installation. </t>
    </r>
    <r>
      <rPr>
        <i/>
        <sz val="10"/>
        <rFont val="Arial"/>
        <family val="2"/>
      </rPr>
      <t>(Tenderer is requested to visit the site prior to design of pressurization system, coordination with other services is also very important)</t>
    </r>
  </si>
  <si>
    <t>GENERAL</t>
  </si>
  <si>
    <t>Provision and issue of full system design and hydraulic calculations for approval of each of the above systems</t>
  </si>
  <si>
    <t>Issuing of detailed coordinated workshop drawings including pipework dimenisons, centre lines, levels, distances from wall, heights from FFL, etc. for approval prior to installations</t>
  </si>
  <si>
    <t>T</t>
  </si>
  <si>
    <t>33T</t>
  </si>
  <si>
    <t>35T</t>
  </si>
  <si>
    <t>38T</t>
  </si>
  <si>
    <t>Ref: CAL-01 and CAL-02
Capacity: 800 ltrs
PHE: 45 Kw
Pri. Temp: 80 - 70 deg C (from heat pump/hydroboxes)
Pri. Flow Rates: (calculated from heat pump/hydroboxes)</t>
  </si>
  <si>
    <t>44T</t>
  </si>
  <si>
    <t>52T</t>
  </si>
  <si>
    <t>12T</t>
  </si>
  <si>
    <t>11T</t>
  </si>
  <si>
    <t>13T</t>
  </si>
  <si>
    <t>8T</t>
  </si>
  <si>
    <t>Item: 4</t>
  </si>
  <si>
    <t>MAKE UP WATER SYSTEM FOR THE DOMESTIC HOT WATER SYSTEM</t>
  </si>
  <si>
    <t>Item: 25</t>
  </si>
  <si>
    <t>Item: 33</t>
  </si>
  <si>
    <t>Item: a.</t>
  </si>
  <si>
    <t>Item: 35</t>
  </si>
  <si>
    <t>Item: e.</t>
  </si>
  <si>
    <t>Item: f.</t>
  </si>
  <si>
    <t>Item: 37</t>
  </si>
  <si>
    <t>Item: 38</t>
  </si>
  <si>
    <t>Item: j.</t>
  </si>
  <si>
    <t>Item: 41</t>
  </si>
  <si>
    <t>Item: 44</t>
  </si>
  <si>
    <t>Item: b.</t>
  </si>
  <si>
    <t>Item: 52</t>
  </si>
  <si>
    <t>Item: l.</t>
  </si>
  <si>
    <t>Item: 53</t>
  </si>
  <si>
    <t xml:space="preserve">PAGE:  </t>
  </si>
  <si>
    <t>PAGE</t>
  </si>
  <si>
    <t>Discy:</t>
  </si>
  <si>
    <t>PAGE SELL</t>
  </si>
  <si>
    <t>PAGE MAT</t>
  </si>
  <si>
    <t>PAGE LAB</t>
  </si>
  <si>
    <t>Item: 11</t>
  </si>
  <si>
    <t>Item: 12</t>
  </si>
  <si>
    <t>Item: 13</t>
  </si>
  <si>
    <t>Item: 8</t>
  </si>
  <si>
    <t>Item: 9</t>
  </si>
  <si>
    <t>Smoke control pressurization system for the protected staircase, PF-01 as marked on the drawings including pressurization fan PF-01, interfaces to fire alarm, control panel, ancillaries etc. as required for a complete installation. (Tenderer is requested to visit the site prior to design of pressurization system, coordination with other services is also very important)</t>
  </si>
  <si>
    <t>Item: 10</t>
  </si>
  <si>
    <t>Smoke control pressurization system for the protected lobbies, PF-02 as marked on the drawings including pressurization fan PF-02, interfaces to fire alarm, control panel, ancillaries etc. as required for a complete installation. (Tenderer is requested to visit the site prior to design of pressurization system, coordination with other services is also very important)</t>
  </si>
  <si>
    <t xml:space="preserve">MATERIAL SUMMARY </t>
  </si>
  <si>
    <t>MU SUMMARY TOTAL</t>
  </si>
  <si>
    <t>Disc. with</t>
  </si>
  <si>
    <t>MATERIAL ITEMS TOTAL</t>
  </si>
  <si>
    <t>COMP_GT</t>
  </si>
  <si>
    <t>equal MUs</t>
  </si>
  <si>
    <t>BOQ  ITEMS  TOTAL</t>
  </si>
  <si>
    <t>ITEM_GT</t>
  </si>
  <si>
    <t xml:space="preserve">  PAGES  TOTAL</t>
  </si>
  <si>
    <t>PAGE_GT</t>
  </si>
  <si>
    <t xml:space="preserve">  SECTIONS TOTAL </t>
  </si>
  <si>
    <t>SECT_GT</t>
  </si>
  <si>
    <t>Total Material</t>
  </si>
  <si>
    <t>Total Labour</t>
  </si>
  <si>
    <t>Item: i.</t>
  </si>
  <si>
    <t>Battery Street Limited</t>
  </si>
  <si>
    <t>Electrical for Mechanical Services</t>
  </si>
  <si>
    <t>c.</t>
  </si>
  <si>
    <t>Item: 40.0</t>
  </si>
  <si>
    <t>Item: c.</t>
  </si>
  <si>
    <t>Umut Kaymak</t>
  </si>
  <si>
    <t>Wiring Cable  3c  2.5 mm2 PVC Non-Arm</t>
  </si>
  <si>
    <t>CAMC_049</t>
  </si>
  <si>
    <t>CRO</t>
  </si>
  <si>
    <t>2.5mm2</t>
  </si>
  <si>
    <t>03-003</t>
  </si>
  <si>
    <t>LABO_001</t>
  </si>
  <si>
    <t>MISC</t>
  </si>
  <si>
    <t>Installation Only</t>
  </si>
  <si>
    <t>Firetech</t>
  </si>
  <si>
    <t>BMSE_001</t>
  </si>
  <si>
    <t>(__)</t>
  </si>
  <si>
    <t>Discrepancy</t>
  </si>
  <si>
    <t>SUBI</t>
  </si>
  <si>
    <t>&gt;&gt;&gt; mu_B material here &gt;&gt;&gt;</t>
  </si>
  <si>
    <t>Controls</t>
  </si>
  <si>
    <t>Connecting up</t>
  </si>
  <si>
    <t>5 core x 10 mm2 FG16(O)M16 Cable</t>
  </si>
  <si>
    <t>CAMC_082</t>
  </si>
  <si>
    <t>07-006</t>
  </si>
  <si>
    <t>M32 PVC Gland</t>
  </si>
  <si>
    <t>CAAC_027</t>
  </si>
  <si>
    <t>Cable Lug  10  mm2</t>
  </si>
  <si>
    <t>CAAC_008</t>
  </si>
  <si>
    <t>CTT</t>
  </si>
  <si>
    <t>Cable Marker Wrap Around Type</t>
  </si>
  <si>
    <t>CAAC_025</t>
  </si>
  <si>
    <t xml:space="preserve">Cable Tie 225mm  </t>
  </si>
  <si>
    <t>CONS_009</t>
  </si>
  <si>
    <t>01-003</t>
  </si>
  <si>
    <t>Cable Lug   6.0  mm2</t>
  </si>
  <si>
    <t>CAAC_007</t>
  </si>
  <si>
    <t>5 core x 2.5 mm2 FG16(O)M16 Cable</t>
  </si>
  <si>
    <t>M20 PVC Gland</t>
  </si>
  <si>
    <t xml:space="preserve">Cable Lug   2.5  mm2   </t>
  </si>
  <si>
    <t>CAAC_005</t>
  </si>
  <si>
    <t>3 core 2.5mm² CU/XLPE/LSZH Cable</t>
  </si>
  <si>
    <t>EMAT_001</t>
  </si>
  <si>
    <t>01-001</t>
  </si>
  <si>
    <t>Connectring-up</t>
  </si>
  <si>
    <t>BAR</t>
  </si>
  <si>
    <t>Indoor Screened  3c Cable 0.75sqmm</t>
  </si>
  <si>
    <t>CASP_083</t>
  </si>
  <si>
    <t>Lappkabel</t>
  </si>
  <si>
    <t>0034703  UNITRONIC LiYCY</t>
  </si>
  <si>
    <t xml:space="preserve">Screw Wood S6 </t>
  </si>
  <si>
    <t>CONS_035</t>
  </si>
  <si>
    <t>02-008</t>
  </si>
  <si>
    <t xml:space="preserve">Rawl Plug S6 </t>
  </si>
  <si>
    <t>CONS_030</t>
  </si>
  <si>
    <t>02-009</t>
  </si>
  <si>
    <t>Conduit Galv. 20mm RATE</t>
  </si>
  <si>
    <t>COGV_011</t>
  </si>
  <si>
    <t>20mm</t>
  </si>
  <si>
    <t>Wiring Cable  3c    1.5 mm2 PVC Non-Arm</t>
  </si>
  <si>
    <t>CASC_017</t>
  </si>
  <si>
    <t>02-002</t>
  </si>
  <si>
    <t>Bathroom Mirror's power</t>
  </si>
  <si>
    <t>Pump Set with Control Panel</t>
  </si>
  <si>
    <t>Water consumption meter</t>
  </si>
  <si>
    <t>On-board inverter+ControlPanel</t>
  </si>
  <si>
    <t>Equipment in mechanical BOQ</t>
  </si>
  <si>
    <t>Multifunctional Thermostatic Circulation Valve</t>
  </si>
  <si>
    <t>Connectring-up - Station + Controller</t>
  </si>
  <si>
    <t>Connecting-up  - Station + Control Panel</t>
  </si>
  <si>
    <t>Control Panel</t>
  </si>
  <si>
    <t>Fan Connecting -up</t>
  </si>
  <si>
    <t>5G 6.0sqmm (Cl2 CU) BS7846-F120 MGT/XLPE/LSZH/SWA/LSZH BLACK 0.6/1kV</t>
  </si>
  <si>
    <t>CAMC_070</t>
  </si>
  <si>
    <t>BATT</t>
  </si>
  <si>
    <t>6.0mm2</t>
  </si>
  <si>
    <t>Gland Outdoor 20  CW  4*4/6mm2</t>
  </si>
  <si>
    <t>CAAC_053</t>
  </si>
  <si>
    <t>CMP</t>
  </si>
  <si>
    <t>Controlled w/ On-board inverter</t>
  </si>
  <si>
    <t>Item: 17</t>
  </si>
  <si>
    <t>&gt;&gt;&gt; mu_A material here &gt;&gt;&gt;</t>
  </si>
  <si>
    <t>Connecting-up ⬆️ Heat Pump</t>
  </si>
  <si>
    <t xml:space="preserve">Additional Pump ⬆️ on the system </t>
  </si>
  <si>
    <t>Price from Guy</t>
  </si>
  <si>
    <t>Control Box</t>
  </si>
  <si>
    <t>Control Box installation</t>
  </si>
  <si>
    <t>3G 4.0sqmm (Cl2 CU) BS7846-F120 MGT/XLPE/LSZH/SWA/LSZH BLACK 0.6/1kV</t>
  </si>
  <si>
    <t>Cable Lug   4.0  mm2</t>
  </si>
  <si>
    <t>Control Panel Connecting-up</t>
  </si>
  <si>
    <t>Signal Cables to Fans and FAP</t>
  </si>
  <si>
    <t xml:space="preserve">Fire Alarm Cable 18 AWG Screened Twisted Pair </t>
  </si>
  <si>
    <t>CASP_010</t>
  </si>
  <si>
    <t>in mechanical BOQ</t>
  </si>
  <si>
    <t>ELM25-0665</t>
  </si>
  <si>
    <t>Jason Camilleri</t>
  </si>
  <si>
    <t>included in PID Controller</t>
  </si>
  <si>
    <t>Refer to Covering Letter</t>
  </si>
  <si>
    <t>MEP Works British Hotel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</si>
</sst>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0.00_-;\-* #,##0.00_-;_-* &quot;-&quot;??_-;_-@_-"/>
    <numFmt numFmtId="164" formatCode="_(&quot;$&quot;* #,##0.00_);_(&quot;$&quot;* \(#,##0.00\);_(&quot;$&quot;* &quot;-&quot;??_);_(@_)"/>
    <numFmt numFmtId="165" formatCode="0.000"/>
    <numFmt numFmtId="166" formatCode="&quot;Lm &quot;#,##0.00_);[Red]\(&quot;Lm &quot;#,##0.00\)"/>
    <numFmt numFmtId="167" formatCode="\(\ 0.00%\ \)"/>
    <numFmt numFmtId="168" formatCode="&quot;Lm/hr &quot;#,##0.00_);[Red]\(&quot;Lm &quot;#,##0.00\)"/>
    <numFmt numFmtId="169" formatCode="dd/mm/yy;@"/>
    <numFmt numFmtId="170" formatCode="[$€-2]\ #,##0.00"/>
    <numFmt numFmtId="171" formatCode="0.0000"/>
    <numFmt numFmtId="172" formatCode="0.0000000"/>
    <numFmt numFmtId="173" formatCode="#,##0.00_ ;\-#,##0.00\ "/>
    <numFmt numFmtId="174" formatCode="[$-409]h:mm:ss\ AM/PM;@"/>
    <numFmt numFmtId="175" formatCode="[$-F400]h:mm:ss\ AM/PM"/>
    <numFmt numFmtId="176" formatCode="&quot;€/Prhr &quot;#,##0.00_);[Red]\(&quot;Lm &quot;#,##0.00\)"/>
    <numFmt numFmtId="177" formatCode="&quot;€/Prhr &quot;#,##0.000_);[Red]\(&quot;Lm &quot;#,##0.000\)"/>
    <numFmt numFmtId="178" formatCode="0.0"/>
    <numFmt numFmtId="179" formatCode="0.00_)"/>
  </numFmts>
  <fonts count="181">
    <font>
      <sz val="10"/>
      <name val="Arial"/>
    </font>
    <font>
      <b/>
      <sz val="10"/>
      <name val="Arial"/>
      <family val="2"/>
    </font>
    <font>
      <i/>
      <sz val="10"/>
      <name val="Arial"/>
      <family val="2"/>
    </font>
    <font>
      <b/>
      <i/>
      <sz val="10"/>
      <name val="Arial"/>
      <family val="2"/>
    </font>
    <font>
      <sz val="10"/>
      <name val="Arial"/>
      <family val="2"/>
    </font>
    <font>
      <sz val="9"/>
      <color indexed="24"/>
      <name val="Arial"/>
      <family val="2"/>
    </font>
    <font>
      <b/>
      <sz val="8"/>
      <color indexed="24"/>
      <name val="Arial"/>
      <family val="2"/>
    </font>
    <font>
      <sz val="9"/>
      <name val="Arial"/>
      <family val="2"/>
    </font>
    <font>
      <sz val="10"/>
      <name val="Arial"/>
      <family val="2"/>
    </font>
    <font>
      <sz val="8"/>
      <color indexed="24"/>
      <name val="Arial"/>
      <family val="2"/>
    </font>
    <font>
      <i/>
      <sz val="8"/>
      <color indexed="24"/>
      <name val="Arial"/>
      <family val="2"/>
    </font>
    <font>
      <sz val="10"/>
      <color indexed="24"/>
      <name val="Arial"/>
      <family val="2"/>
    </font>
    <font>
      <sz val="9"/>
      <name val="Arial"/>
      <family val="2"/>
    </font>
    <font>
      <sz val="8"/>
      <name val="Arial"/>
      <family val="2"/>
    </font>
    <font>
      <b/>
      <u/>
      <sz val="9"/>
      <name val="Arial"/>
      <family val="2"/>
    </font>
    <font>
      <b/>
      <sz val="9"/>
      <name val="Arial"/>
      <family val="2"/>
    </font>
    <font>
      <sz val="9"/>
      <color indexed="9"/>
      <name val="Arial"/>
      <family val="2"/>
    </font>
    <font>
      <b/>
      <sz val="9"/>
      <name val="Arial"/>
      <family val="2"/>
    </font>
    <font>
      <sz val="9"/>
      <color indexed="10"/>
      <name val="Arial"/>
      <family val="2"/>
    </font>
    <font>
      <b/>
      <sz val="10"/>
      <name val="Arial"/>
      <family val="2"/>
    </font>
    <font>
      <sz val="10"/>
      <name val="MS Sans Serif"/>
      <family val="2"/>
    </font>
    <font>
      <i/>
      <sz val="8"/>
      <name val="Arial"/>
      <family val="2"/>
    </font>
    <font>
      <b/>
      <u/>
      <sz val="10"/>
      <name val="Arial"/>
      <family val="2"/>
    </font>
    <font>
      <b/>
      <sz val="8"/>
      <name val="Arial"/>
      <family val="2"/>
    </font>
    <font>
      <b/>
      <u/>
      <sz val="8"/>
      <name val="Arial"/>
      <family val="2"/>
    </font>
    <font>
      <sz val="10"/>
      <name val="Courier"/>
      <family val="3"/>
    </font>
    <font>
      <b/>
      <sz val="8"/>
      <name val="Arial"/>
      <family val="2"/>
    </font>
    <font>
      <sz val="8"/>
      <name val="Arial"/>
      <family val="2"/>
    </font>
    <font>
      <sz val="8"/>
      <color indexed="10"/>
      <name val="Arial"/>
      <family val="2"/>
    </font>
    <font>
      <u/>
      <sz val="10"/>
      <name val="Arial"/>
      <family val="2"/>
    </font>
    <font>
      <b/>
      <i/>
      <sz val="7"/>
      <name val="Arial"/>
      <family val="2"/>
    </font>
    <font>
      <i/>
      <sz val="7"/>
      <name val="Arial"/>
      <family val="2"/>
    </font>
    <font>
      <b/>
      <sz val="6"/>
      <name val="Arial"/>
      <family val="2"/>
    </font>
    <font>
      <b/>
      <i/>
      <u/>
      <sz val="10"/>
      <name val="Arial Narrow"/>
      <family val="2"/>
    </font>
    <font>
      <b/>
      <u/>
      <sz val="12"/>
      <name val="Arial"/>
      <family val="2"/>
    </font>
    <font>
      <u/>
      <sz val="9"/>
      <name val="Arial"/>
      <family val="2"/>
    </font>
    <font>
      <sz val="11"/>
      <name val="Arial"/>
      <family val="2"/>
    </font>
    <font>
      <b/>
      <sz val="12"/>
      <name val="Arial"/>
      <family val="2"/>
    </font>
    <font>
      <sz val="12"/>
      <name val="Normal"/>
    </font>
    <font>
      <b/>
      <u/>
      <sz val="10"/>
      <name val="Arial"/>
      <family val="2"/>
    </font>
    <font>
      <sz val="9"/>
      <name val="Normal"/>
    </font>
    <font>
      <b/>
      <u/>
      <sz val="11"/>
      <name val="Arial"/>
      <family val="2"/>
    </font>
    <font>
      <u/>
      <sz val="11"/>
      <name val="Arial"/>
      <family val="2"/>
    </font>
    <font>
      <b/>
      <i/>
      <sz val="12"/>
      <name val="Normal"/>
    </font>
    <font>
      <i/>
      <sz val="10"/>
      <name val="Arial"/>
      <family val="2"/>
    </font>
    <font>
      <b/>
      <sz val="11"/>
      <name val="Arial"/>
      <family val="2"/>
    </font>
    <font>
      <b/>
      <sz val="11"/>
      <name val="Arial"/>
      <family val="2"/>
    </font>
    <font>
      <b/>
      <sz val="9"/>
      <color indexed="50"/>
      <name val="Arial"/>
      <family val="2"/>
    </font>
    <font>
      <i/>
      <sz val="10"/>
      <color indexed="50"/>
      <name val="Arial"/>
      <family val="2"/>
    </font>
    <font>
      <u/>
      <sz val="10"/>
      <color indexed="24"/>
      <name val="Arial"/>
      <family val="2"/>
    </font>
    <font>
      <b/>
      <sz val="10"/>
      <color indexed="24"/>
      <name val="Arial"/>
      <family val="2"/>
    </font>
    <font>
      <b/>
      <sz val="6"/>
      <color indexed="24"/>
      <name val="Arial"/>
      <family val="2"/>
    </font>
    <font>
      <sz val="9"/>
      <color indexed="50"/>
      <name val="Arial"/>
      <family val="2"/>
    </font>
    <font>
      <sz val="8"/>
      <color indexed="48"/>
      <name val="Arial"/>
      <family val="2"/>
    </font>
    <font>
      <sz val="7"/>
      <color indexed="24"/>
      <name val="Arial"/>
      <family val="2"/>
    </font>
    <font>
      <sz val="8"/>
      <color indexed="81"/>
      <name val="Tahoma"/>
      <family val="2"/>
    </font>
    <font>
      <i/>
      <sz val="9"/>
      <name val="Arial"/>
      <family val="2"/>
    </font>
    <font>
      <sz val="10"/>
      <color indexed="9"/>
      <name val="Arial"/>
      <family val="2"/>
    </font>
    <font>
      <b/>
      <i/>
      <sz val="9"/>
      <name val="Arial"/>
      <family val="2"/>
    </font>
    <font>
      <sz val="11"/>
      <color indexed="50"/>
      <name val="Arial"/>
      <family val="2"/>
    </font>
    <font>
      <sz val="10"/>
      <color indexed="21"/>
      <name val="Arial"/>
      <family val="2"/>
    </font>
    <font>
      <b/>
      <sz val="10"/>
      <color indexed="21"/>
      <name val="Arial"/>
      <family val="2"/>
    </font>
    <font>
      <sz val="12"/>
      <color indexed="19"/>
      <name val="Normal"/>
    </font>
    <font>
      <b/>
      <sz val="12"/>
      <color indexed="19"/>
      <name val="Normal"/>
    </font>
    <font>
      <sz val="10"/>
      <color indexed="19"/>
      <name val="Arial"/>
      <family val="2"/>
    </font>
    <font>
      <b/>
      <sz val="9"/>
      <color indexed="19"/>
      <name val="Arial"/>
      <family val="2"/>
    </font>
    <font>
      <sz val="8"/>
      <name val="Arial Narrow"/>
      <family val="2"/>
    </font>
    <font>
      <b/>
      <sz val="8"/>
      <name val="Arial Narrow"/>
      <family val="2"/>
    </font>
    <font>
      <b/>
      <sz val="8"/>
      <color indexed="12"/>
      <name val="Arial Narrow"/>
      <family val="2"/>
    </font>
    <font>
      <sz val="10"/>
      <color indexed="55"/>
      <name val="Arial"/>
      <family val="2"/>
    </font>
    <font>
      <b/>
      <sz val="9"/>
      <color indexed="56"/>
      <name val="Arial Narrow"/>
      <family val="2"/>
    </font>
    <font>
      <b/>
      <sz val="9"/>
      <color indexed="10"/>
      <name val="Arial Narrow"/>
      <family val="2"/>
    </font>
    <font>
      <sz val="9"/>
      <name val="Arial Narrow"/>
      <family val="2"/>
    </font>
    <font>
      <b/>
      <sz val="8"/>
      <color indexed="81"/>
      <name val="Tahoma"/>
      <family val="2"/>
    </font>
    <font>
      <sz val="10"/>
      <color indexed="60"/>
      <name val="Arial Narrow"/>
      <family val="2"/>
    </font>
    <font>
      <b/>
      <sz val="10"/>
      <color indexed="10"/>
      <name val="Arial"/>
      <family val="2"/>
    </font>
    <font>
      <sz val="10"/>
      <name val="Arial Narrow"/>
      <family val="2"/>
    </font>
    <font>
      <i/>
      <sz val="8"/>
      <name val="Arial Narrow"/>
      <family val="2"/>
    </font>
    <font>
      <u/>
      <sz val="10"/>
      <name val="Arial Narrow"/>
      <family val="2"/>
    </font>
    <font>
      <b/>
      <sz val="9"/>
      <color indexed="53"/>
      <name val="Arial"/>
      <family val="2"/>
    </font>
    <font>
      <sz val="10"/>
      <color indexed="8"/>
      <name val="Arial Narrow"/>
      <family val="2"/>
    </font>
    <font>
      <b/>
      <i/>
      <u/>
      <sz val="8"/>
      <name val="Arial"/>
      <family val="2"/>
    </font>
    <font>
      <sz val="8"/>
      <color indexed="23"/>
      <name val="Arial"/>
      <family val="2"/>
    </font>
    <font>
      <sz val="9"/>
      <color indexed="10"/>
      <name val="Arial"/>
      <family val="2"/>
    </font>
    <font>
      <sz val="8"/>
      <color indexed="61"/>
      <name val="Arial Narrow"/>
      <family val="2"/>
    </font>
    <font>
      <sz val="8"/>
      <color indexed="12"/>
      <name val="Arial Narrow"/>
      <family val="2"/>
    </font>
    <font>
      <sz val="8"/>
      <color indexed="10"/>
      <name val="Arial Narrow"/>
      <family val="2"/>
    </font>
    <font>
      <sz val="8"/>
      <color indexed="23"/>
      <name val="Arial Narrow"/>
      <family val="2"/>
    </font>
    <font>
      <sz val="8"/>
      <color indexed="10"/>
      <name val="Arial"/>
      <family val="2"/>
    </font>
    <font>
      <b/>
      <sz val="9"/>
      <color indexed="61"/>
      <name val="Arial"/>
      <family val="2"/>
    </font>
    <font>
      <sz val="8"/>
      <color indexed="61"/>
      <name val="Arial"/>
      <family val="2"/>
    </font>
    <font>
      <sz val="8"/>
      <color indexed="61"/>
      <name val="Arial"/>
      <family val="2"/>
    </font>
    <font>
      <sz val="8"/>
      <color indexed="17"/>
      <name val="Arial"/>
      <family val="2"/>
    </font>
    <font>
      <b/>
      <u/>
      <sz val="14"/>
      <name val="Arial"/>
      <family val="2"/>
    </font>
    <font>
      <b/>
      <sz val="9"/>
      <color indexed="10"/>
      <name val="Arial"/>
      <family val="2"/>
    </font>
    <font>
      <sz val="9"/>
      <color indexed="48"/>
      <name val="Arial"/>
      <family val="2"/>
    </font>
    <font>
      <b/>
      <i/>
      <sz val="10"/>
      <color indexed="24"/>
      <name val="Arial"/>
      <family val="2"/>
    </font>
    <font>
      <b/>
      <sz val="8"/>
      <color indexed="10"/>
      <name val="Tahoma"/>
      <family val="2"/>
    </font>
    <font>
      <sz val="8"/>
      <color indexed="10"/>
      <name val="Tahoma"/>
      <family val="2"/>
    </font>
    <font>
      <sz val="6"/>
      <color indexed="61"/>
      <name val="Arial"/>
      <family val="2"/>
    </font>
    <font>
      <sz val="10"/>
      <color indexed="50"/>
      <name val="Arial"/>
      <family val="2"/>
    </font>
    <font>
      <sz val="7"/>
      <color indexed="10"/>
      <name val="Arial"/>
      <family val="2"/>
    </font>
    <font>
      <b/>
      <sz val="10"/>
      <color indexed="21"/>
      <name val="Arial"/>
      <family val="2"/>
    </font>
    <font>
      <b/>
      <sz val="16"/>
      <color indexed="10"/>
      <name val="Arial"/>
      <family val="2"/>
    </font>
    <font>
      <b/>
      <sz val="6"/>
      <name val="Arial Narrow"/>
      <family val="2"/>
    </font>
    <font>
      <sz val="8"/>
      <color indexed="20"/>
      <name val="Arial Narrow"/>
      <family val="2"/>
    </font>
    <font>
      <sz val="8"/>
      <color indexed="23"/>
      <name val="Arial"/>
      <family val="2"/>
    </font>
    <font>
      <b/>
      <sz val="12"/>
      <color indexed="10"/>
      <name val="Arial"/>
      <family val="2"/>
    </font>
    <font>
      <sz val="14"/>
      <color indexed="10"/>
      <name val="Arial"/>
      <family val="2"/>
    </font>
    <font>
      <sz val="6"/>
      <color indexed="23"/>
      <name val="Arial"/>
      <family val="2"/>
    </font>
    <font>
      <sz val="6"/>
      <color indexed="23"/>
      <name val="Arial Narrow"/>
      <family val="2"/>
    </font>
    <font>
      <sz val="8"/>
      <color indexed="17"/>
      <name val="Tahoma"/>
      <family val="2"/>
    </font>
    <font>
      <b/>
      <sz val="16"/>
      <color indexed="17"/>
      <name val="Arial"/>
      <family val="2"/>
    </font>
    <font>
      <b/>
      <u/>
      <sz val="8"/>
      <name val="Arial"/>
      <family val="2"/>
    </font>
    <font>
      <b/>
      <sz val="8"/>
      <color indexed="21"/>
      <name val="Arial"/>
      <family val="2"/>
    </font>
    <font>
      <sz val="8"/>
      <color indexed="21"/>
      <name val="Arial"/>
      <family val="2"/>
    </font>
    <font>
      <b/>
      <sz val="22.5"/>
      <name val="Arial"/>
      <family val="2"/>
    </font>
    <font>
      <sz val="14"/>
      <name val="Arial"/>
      <family val="2"/>
    </font>
    <font>
      <sz val="8"/>
      <color indexed="9"/>
      <name val="Arial"/>
      <family val="2"/>
    </font>
    <font>
      <sz val="10"/>
      <name val="Arial"/>
      <family val="2"/>
    </font>
    <font>
      <b/>
      <sz val="9"/>
      <color indexed="21"/>
      <name val="Arial"/>
      <family val="2"/>
    </font>
    <font>
      <sz val="9"/>
      <color indexed="63"/>
      <name val="Arial"/>
      <family val="2"/>
    </font>
    <font>
      <b/>
      <sz val="9"/>
      <color indexed="63"/>
      <name val="Arial"/>
      <family val="2"/>
    </font>
    <font>
      <sz val="10"/>
      <color indexed="50"/>
      <name val="Arial"/>
      <family val="2"/>
    </font>
    <font>
      <b/>
      <sz val="10"/>
      <name val="Arial Black"/>
      <family val="2"/>
    </font>
    <font>
      <i/>
      <sz val="9"/>
      <color indexed="63"/>
      <name val="Arial"/>
      <family val="2"/>
    </font>
    <font>
      <i/>
      <sz val="9"/>
      <color indexed="63"/>
      <name val="Arial Narrow"/>
      <family val="2"/>
    </font>
    <font>
      <b/>
      <sz val="12"/>
      <color indexed="17"/>
      <name val="Arial"/>
      <family val="2"/>
    </font>
    <font>
      <b/>
      <sz val="14"/>
      <name val="Arial"/>
      <family val="2"/>
    </font>
    <font>
      <b/>
      <i/>
      <sz val="8"/>
      <color indexed="9"/>
      <name val="Arial"/>
      <family val="2"/>
    </font>
    <font>
      <sz val="9"/>
      <color indexed="9"/>
      <name val="Arial"/>
      <family val="2"/>
    </font>
    <font>
      <u/>
      <sz val="10"/>
      <color indexed="9"/>
      <name val="Arial"/>
      <family val="2"/>
    </font>
    <font>
      <u/>
      <sz val="10"/>
      <name val="Arial"/>
      <family val="2"/>
    </font>
    <font>
      <b/>
      <sz val="14"/>
      <color indexed="17"/>
      <name val="Arial"/>
      <family val="2"/>
    </font>
    <font>
      <b/>
      <sz val="8"/>
      <color indexed="16"/>
      <name val="Arial"/>
      <family val="2"/>
    </font>
    <font>
      <sz val="10"/>
      <color indexed="16"/>
      <name val="Arial"/>
      <family val="2"/>
    </font>
    <font>
      <b/>
      <sz val="11"/>
      <color indexed="16"/>
      <name val="Arial"/>
      <family val="2"/>
    </font>
    <font>
      <b/>
      <i/>
      <sz val="9"/>
      <color indexed="14"/>
      <name val="Arial"/>
      <family val="2"/>
    </font>
    <font>
      <i/>
      <sz val="8"/>
      <color indexed="23"/>
      <name val="Arial"/>
      <family val="2"/>
    </font>
    <font>
      <i/>
      <sz val="8"/>
      <color indexed="23"/>
      <name val="Arial"/>
      <family val="2"/>
    </font>
    <font>
      <b/>
      <sz val="9"/>
      <color indexed="63"/>
      <name val="Arial Narrow"/>
      <family val="2"/>
    </font>
    <font>
      <sz val="8"/>
      <color rgb="FF000000"/>
      <name val="Tahoma"/>
      <family val="2"/>
    </font>
    <font>
      <sz val="10"/>
      <color rgb="FF000000"/>
      <name val="Arial"/>
      <family val="2"/>
    </font>
    <font>
      <sz val="11"/>
      <color theme="1"/>
      <name val="Calibri"/>
      <family val="2"/>
      <scheme val="minor"/>
    </font>
    <font>
      <sz val="10"/>
      <name val="AvantGarde"/>
    </font>
    <font>
      <sz val="10"/>
      <color theme="1"/>
      <name val="Arial"/>
      <family val="2"/>
    </font>
    <font>
      <b/>
      <u/>
      <sz val="10"/>
      <color theme="1"/>
      <name val="Arial"/>
      <family val="2"/>
    </font>
    <font>
      <sz val="10"/>
      <color rgb="FFFF0000"/>
      <name val="Arial"/>
      <family val="2"/>
    </font>
    <font>
      <b/>
      <sz val="10"/>
      <color rgb="FFFF0000"/>
      <name val="Arial"/>
      <family val="2"/>
    </font>
    <font>
      <b/>
      <sz val="10"/>
      <color theme="1"/>
      <name val="Arial"/>
      <family val="2"/>
    </font>
    <font>
      <i/>
      <u/>
      <sz val="10"/>
      <name val="Arial"/>
      <family val="2"/>
    </font>
    <font>
      <b/>
      <i/>
      <u/>
      <sz val="10"/>
      <name val="Arial"/>
      <family val="2"/>
    </font>
    <font>
      <sz val="11"/>
      <name val="Arial"/>
      <family val="2"/>
      <charset val="1"/>
    </font>
    <font>
      <sz val="9"/>
      <color indexed="13"/>
      <name val="Arial"/>
      <family val="2"/>
    </font>
    <font>
      <b/>
      <i/>
      <sz val="8"/>
      <name val="Arial"/>
      <family val="2"/>
    </font>
    <font>
      <b/>
      <i/>
      <sz val="11"/>
      <name val="Arial"/>
      <family val="2"/>
    </font>
    <font>
      <b/>
      <sz val="9"/>
      <color indexed="13"/>
      <name val="Arial"/>
      <family val="2"/>
    </font>
    <font>
      <sz val="9"/>
      <color indexed="34"/>
      <name val="Arial"/>
      <family val="2"/>
    </font>
    <font>
      <b/>
      <sz val="10"/>
      <color indexed="81"/>
      <name val="Tahoma"/>
      <family val="2"/>
    </font>
    <font>
      <sz val="10"/>
      <color indexed="81"/>
      <name val="Tahoma"/>
      <family val="2"/>
    </font>
    <font>
      <b/>
      <i/>
      <sz val="8"/>
      <color indexed="33"/>
      <name val="Arial"/>
      <family val="2"/>
    </font>
    <font>
      <sz val="9"/>
      <name val="MS Sans Serif"/>
    </font>
    <font>
      <b/>
      <sz val="9"/>
      <name val="MS Sans Serif"/>
    </font>
    <font>
      <sz val="9"/>
      <color theme="1"/>
      <name val="Arial"/>
      <family val="2"/>
    </font>
    <font>
      <b/>
      <sz val="9"/>
      <color indexed="18"/>
      <name val="Arial"/>
      <family val="2"/>
    </font>
    <font>
      <sz val="9"/>
      <color indexed="18"/>
      <name val="Arial"/>
      <family val="2"/>
    </font>
    <font>
      <i/>
      <sz val="8"/>
      <color indexed="10"/>
      <name val="Arial"/>
      <family val="2"/>
    </font>
    <font>
      <i/>
      <sz val="8"/>
      <color indexed="10"/>
      <name val="Arial Narrow"/>
      <family val="2"/>
    </font>
    <font>
      <i/>
      <sz val="8"/>
      <color indexed="55"/>
      <name val="Arial"/>
      <family val="2"/>
    </font>
    <font>
      <sz val="10"/>
      <name val="AvantGarde Bk BT"/>
    </font>
    <font>
      <sz val="9"/>
      <name val="MS Sans Serif"/>
      <family val="2"/>
    </font>
    <font>
      <sz val="12"/>
      <name val="Arial MT"/>
    </font>
    <font>
      <sz val="9"/>
      <color indexed="8"/>
      <name val="MS Sans Serif"/>
      <family val="2"/>
    </font>
    <font>
      <sz val="9"/>
      <color indexed="23"/>
      <name val="MS Sans Serif"/>
      <family val="2"/>
    </font>
    <font>
      <sz val="9"/>
      <color indexed="12"/>
      <name val="MS Sans Serif"/>
      <family val="2"/>
    </font>
    <font>
      <b/>
      <sz val="9"/>
      <name val="MS Sans Serif"/>
      <family val="2"/>
    </font>
    <font>
      <sz val="9"/>
      <color indexed="10"/>
      <name val="Arial Narrow"/>
      <family val="2"/>
    </font>
    <font>
      <sz val="9"/>
      <color theme="1"/>
      <name val="MS Sans Serif"/>
    </font>
    <font>
      <b/>
      <sz val="9"/>
      <color theme="1"/>
      <name val="Arial"/>
      <family val="2"/>
    </font>
    <font>
      <b/>
      <sz val="9"/>
      <color theme="4" tint="-0.249977111117893"/>
      <name val="Arial"/>
      <family val="2"/>
    </font>
    <font>
      <sz val="8"/>
      <color theme="1"/>
      <name val="Arial"/>
      <family val="2"/>
    </font>
  </fonts>
  <fills count="27">
    <fill>
      <patternFill patternType="none"/>
    </fill>
    <fill>
      <patternFill patternType="gray125"/>
    </fill>
    <fill>
      <patternFill patternType="solid">
        <fgColor indexed="22"/>
        <bgColor indexed="64"/>
      </patternFill>
    </fill>
    <fill>
      <patternFill patternType="solid">
        <fgColor indexed="15"/>
        <bgColor indexed="64"/>
      </patternFill>
    </fill>
    <fill>
      <patternFill patternType="solid">
        <fgColor indexed="26"/>
        <bgColor indexed="64"/>
      </patternFill>
    </fill>
    <fill>
      <patternFill patternType="solid">
        <fgColor indexed="51"/>
        <bgColor indexed="64"/>
      </patternFill>
    </fill>
    <fill>
      <patternFill patternType="solid">
        <fgColor indexed="11"/>
        <bgColor indexed="64"/>
      </patternFill>
    </fill>
    <fill>
      <patternFill patternType="solid">
        <fgColor indexed="13"/>
        <bgColor indexed="64"/>
      </patternFill>
    </fill>
    <fill>
      <patternFill patternType="solid">
        <fgColor indexed="45"/>
        <bgColor indexed="64"/>
      </patternFill>
    </fill>
    <fill>
      <patternFill patternType="solid">
        <fgColor indexed="31"/>
        <bgColor indexed="64"/>
      </patternFill>
    </fill>
    <fill>
      <patternFill patternType="solid">
        <fgColor indexed="29"/>
        <bgColor indexed="64"/>
      </patternFill>
    </fill>
    <fill>
      <patternFill patternType="solid">
        <fgColor indexed="40"/>
        <bgColor indexed="64"/>
      </patternFill>
    </fill>
    <fill>
      <patternFill patternType="solid">
        <fgColor indexed="43"/>
        <bgColor indexed="64"/>
      </patternFill>
    </fill>
    <fill>
      <patternFill patternType="solid">
        <fgColor indexed="35"/>
        <bgColor indexed="64"/>
      </patternFill>
    </fill>
    <fill>
      <patternFill patternType="solid">
        <fgColor indexed="44"/>
        <bgColor indexed="64"/>
      </patternFill>
    </fill>
    <fill>
      <patternFill patternType="solid">
        <fgColor indexed="14"/>
        <bgColor indexed="64"/>
      </patternFill>
    </fill>
    <fill>
      <patternFill patternType="solid">
        <fgColor indexed="47"/>
        <bgColor indexed="64"/>
      </patternFill>
    </fill>
    <fill>
      <patternFill patternType="solid">
        <fgColor indexed="27"/>
        <bgColor indexed="64"/>
      </patternFill>
    </fill>
    <fill>
      <patternFill patternType="solid">
        <fgColor indexed="42"/>
        <bgColor indexed="64"/>
      </patternFill>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lightUp"/>
    </fill>
    <fill>
      <patternFill patternType="lightGray">
        <bgColor indexed="26"/>
      </patternFill>
    </fill>
    <fill>
      <patternFill patternType="solid">
        <fgColor indexed="47"/>
        <bgColor indexed="8"/>
      </patternFill>
    </fill>
  </fills>
  <borders count="69">
    <border>
      <left/>
      <right/>
      <top/>
      <bottom/>
      <diagonal/>
    </border>
    <border>
      <left/>
      <right/>
      <top/>
      <bottom style="double">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double">
        <color indexed="64"/>
      </bottom>
      <diagonal/>
    </border>
    <border>
      <left/>
      <right style="thin">
        <color indexed="64"/>
      </right>
      <top/>
      <bottom style="double">
        <color indexed="64"/>
      </bottom>
      <diagonal/>
    </border>
    <border>
      <left/>
      <right/>
      <top style="medium">
        <color indexed="64"/>
      </top>
      <bottom/>
      <diagonal/>
    </border>
    <border>
      <left/>
      <right/>
      <top style="thin">
        <color indexed="64"/>
      </top>
      <bottom style="medium">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thin">
        <color indexed="64"/>
      </right>
      <top/>
      <bottom style="double">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right/>
      <top style="double">
        <color indexed="64"/>
      </top>
      <bottom style="thin">
        <color indexed="64"/>
      </bottom>
      <diagonal/>
    </border>
    <border>
      <left/>
      <right style="thin">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style="dotted">
        <color indexed="64"/>
      </left>
      <right style="dotted">
        <color indexed="64"/>
      </right>
      <top style="dotted">
        <color indexed="64"/>
      </top>
      <bottom/>
      <diagonal/>
    </border>
    <border>
      <left/>
      <right/>
      <top/>
      <bottom style="dotted">
        <color indexed="64"/>
      </bottom>
      <diagonal/>
    </border>
    <border>
      <left/>
      <right/>
      <top/>
      <bottom style="dashed">
        <color indexed="64"/>
      </bottom>
      <diagonal/>
    </border>
    <border>
      <left/>
      <right/>
      <top style="dotted">
        <color indexed="64"/>
      </top>
      <bottom/>
      <diagonal/>
    </border>
    <border>
      <left/>
      <right/>
      <top style="thin">
        <color indexed="64"/>
      </top>
      <bottom style="dashed">
        <color indexed="64"/>
      </bottom>
      <diagonal/>
    </border>
    <border>
      <left style="dotted">
        <color indexed="64"/>
      </left>
      <right style="dotted">
        <color indexed="64"/>
      </right>
      <top style="dotted">
        <color indexed="64"/>
      </top>
      <bottom style="dotted">
        <color indexed="64"/>
      </bottom>
      <diagonal/>
    </border>
  </borders>
  <cellStyleXfs count="18">
    <xf numFmtId="0" fontId="0"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1" fontId="8" fillId="0" borderId="0"/>
    <xf numFmtId="0" fontId="4" fillId="0" borderId="0"/>
    <xf numFmtId="1" fontId="8" fillId="0" borderId="0"/>
    <xf numFmtId="0" fontId="7" fillId="0" borderId="0"/>
    <xf numFmtId="0" fontId="25" fillId="0" borderId="0"/>
    <xf numFmtId="0" fontId="142" fillId="0" borderId="0"/>
    <xf numFmtId="1" fontId="4" fillId="0" borderId="0"/>
    <xf numFmtId="0" fontId="4" fillId="0" borderId="0"/>
    <xf numFmtId="0" fontId="143" fillId="0" borderId="0"/>
    <xf numFmtId="0" fontId="144" fillId="0" borderId="0"/>
    <xf numFmtId="0" fontId="144" fillId="0" borderId="0"/>
    <xf numFmtId="0" fontId="144" fillId="0" borderId="0"/>
    <xf numFmtId="0" fontId="169" fillId="0" borderId="0"/>
    <xf numFmtId="179" fontId="171" fillId="0" borderId="0"/>
  </cellStyleXfs>
  <cellXfs count="1042">
    <xf numFmtId="0" fontId="0" fillId="0" borderId="0" xfId="0"/>
    <xf numFmtId="0" fontId="12" fillId="0" borderId="0" xfId="3" applyFont="1"/>
    <xf numFmtId="1" fontId="15" fillId="0" borderId="0" xfId="6" applyFont="1" applyProtection="1">
      <protection locked="0"/>
    </xf>
    <xf numFmtId="0" fontId="4" fillId="0" borderId="0" xfId="3"/>
    <xf numFmtId="1" fontId="20" fillId="0" borderId="0" xfId="6" applyFont="1" applyAlignment="1" applyProtection="1">
      <alignment horizontal="center"/>
      <protection locked="0"/>
    </xf>
    <xf numFmtId="0" fontId="31" fillId="0" borderId="0" xfId="2" applyNumberFormat="1" applyFont="1" applyFill="1" applyBorder="1" applyAlignment="1" applyProtection="1">
      <alignment horizontal="centerContinuous"/>
      <protection locked="0"/>
    </xf>
    <xf numFmtId="0" fontId="17" fillId="0" borderId="0" xfId="7" applyFont="1" applyAlignment="1" applyProtection="1">
      <alignment horizontal="center"/>
      <protection locked="0"/>
    </xf>
    <xf numFmtId="0" fontId="4" fillId="0" borderId="1" xfId="3" applyBorder="1"/>
    <xf numFmtId="1" fontId="12" fillId="0" borderId="0" xfId="6" applyFont="1" applyAlignment="1" applyProtection="1">
      <alignment horizontal="centerContinuous"/>
      <protection locked="0"/>
    </xf>
    <xf numFmtId="1" fontId="12" fillId="0" borderId="0" xfId="6" applyFont="1" applyAlignment="1" applyProtection="1">
      <alignment horizontal="left"/>
      <protection locked="0"/>
    </xf>
    <xf numFmtId="0" fontId="13" fillId="0" borderId="0" xfId="2" applyNumberFormat="1" applyFont="1" applyBorder="1" applyAlignment="1" applyProtection="1">
      <protection locked="0"/>
    </xf>
    <xf numFmtId="0" fontId="13" fillId="0" borderId="0" xfId="3" applyFont="1" applyAlignment="1" applyProtection="1">
      <alignment horizontal="left"/>
      <protection locked="0"/>
    </xf>
    <xf numFmtId="15" fontId="13" fillId="0" borderId="0" xfId="6" applyNumberFormat="1" applyFont="1" applyAlignment="1" applyProtection="1">
      <alignment horizontal="left"/>
      <protection locked="0"/>
    </xf>
    <xf numFmtId="0" fontId="13" fillId="0" borderId="0" xfId="2" applyNumberFormat="1" applyFont="1" applyFill="1" applyBorder="1" applyAlignment="1" applyProtection="1">
      <alignment horizontal="left"/>
      <protection locked="0"/>
    </xf>
    <xf numFmtId="0" fontId="26" fillId="0" borderId="0" xfId="2" applyNumberFormat="1" applyFont="1" applyBorder="1" applyAlignment="1" applyProtection="1">
      <alignment horizontal="centerContinuous"/>
      <protection locked="0"/>
    </xf>
    <xf numFmtId="0" fontId="9" fillId="2" borderId="2" xfId="3" applyFont="1" applyFill="1" applyBorder="1" applyAlignment="1">
      <alignment horizontal="center"/>
    </xf>
    <xf numFmtId="0" fontId="9" fillId="3" borderId="3" xfId="3" applyFont="1" applyFill="1" applyBorder="1" applyAlignment="1">
      <alignment horizontal="center"/>
    </xf>
    <xf numFmtId="0" fontId="9" fillId="4" borderId="3" xfId="3" applyFont="1" applyFill="1" applyBorder="1" applyAlignment="1">
      <alignment horizontal="center"/>
    </xf>
    <xf numFmtId="0" fontId="53" fillId="5" borderId="3" xfId="3" applyFont="1" applyFill="1" applyBorder="1" applyAlignment="1">
      <alignment horizontal="center"/>
    </xf>
    <xf numFmtId="0" fontId="9" fillId="6" borderId="3" xfId="3" applyFont="1" applyFill="1" applyBorder="1" applyAlignment="1">
      <alignment horizontal="center"/>
    </xf>
    <xf numFmtId="0" fontId="9" fillId="2" borderId="3" xfId="3" applyFont="1" applyFill="1" applyBorder="1" applyAlignment="1">
      <alignment horizontal="center"/>
    </xf>
    <xf numFmtId="0" fontId="9" fillId="7" borderId="3" xfId="3" applyFont="1" applyFill="1" applyBorder="1" applyAlignment="1">
      <alignment horizontal="center"/>
    </xf>
    <xf numFmtId="0" fontId="9" fillId="8" borderId="3" xfId="3" applyFont="1" applyFill="1" applyBorder="1" applyAlignment="1">
      <alignment horizontal="center"/>
    </xf>
    <xf numFmtId="0" fontId="9" fillId="9" borderId="3" xfId="3" applyFont="1" applyFill="1" applyBorder="1" applyAlignment="1">
      <alignment horizontal="center"/>
    </xf>
    <xf numFmtId="0" fontId="9" fillId="10" borderId="3" xfId="3" applyFont="1" applyFill="1" applyBorder="1" applyAlignment="1">
      <alignment horizontal="center"/>
    </xf>
    <xf numFmtId="0" fontId="9" fillId="11" borderId="3" xfId="3" applyFont="1" applyFill="1" applyBorder="1" applyAlignment="1">
      <alignment horizontal="center"/>
    </xf>
    <xf numFmtId="0" fontId="51" fillId="2" borderId="4" xfId="2" applyNumberFormat="1" applyFont="1" applyFill="1" applyBorder="1" applyAlignment="1" applyProtection="1">
      <alignment horizontal="center" vertical="center"/>
    </xf>
    <xf numFmtId="0" fontId="51" fillId="2" borderId="5" xfId="3" applyFont="1" applyFill="1" applyBorder="1" applyAlignment="1">
      <alignment horizontal="center" vertical="center"/>
    </xf>
    <xf numFmtId="0" fontId="51" fillId="2" borderId="6" xfId="0" applyFont="1" applyFill="1" applyBorder="1" applyAlignment="1">
      <alignment horizontal="center" vertical="center"/>
    </xf>
    <xf numFmtId="0" fontId="51" fillId="2" borderId="7" xfId="0" applyFont="1" applyFill="1" applyBorder="1" applyAlignment="1">
      <alignment horizontal="center" vertical="center"/>
    </xf>
    <xf numFmtId="0" fontId="11" fillId="0" borderId="0" xfId="0" applyFont="1" applyProtection="1">
      <protection locked="0"/>
    </xf>
    <xf numFmtId="0" fontId="12" fillId="0" borderId="0" xfId="3" applyFont="1" applyProtection="1">
      <protection locked="0"/>
    </xf>
    <xf numFmtId="0" fontId="4" fillId="0" borderId="0" xfId="3" applyProtection="1">
      <protection locked="0"/>
    </xf>
    <xf numFmtId="0" fontId="0" fillId="0" borderId="0" xfId="0" applyProtection="1">
      <protection locked="0"/>
    </xf>
    <xf numFmtId="0" fontId="14" fillId="0" borderId="0" xfId="3" applyFont="1" applyProtection="1">
      <protection locked="0"/>
    </xf>
    <xf numFmtId="0" fontId="7" fillId="0" borderId="1" xfId="3" applyFont="1" applyBorder="1" applyProtection="1">
      <protection locked="0"/>
    </xf>
    <xf numFmtId="0" fontId="13" fillId="0" borderId="0" xfId="3" applyFont="1" applyAlignment="1" applyProtection="1">
      <alignment horizontal="center"/>
      <protection locked="0"/>
    </xf>
    <xf numFmtId="0" fontId="13" fillId="0" borderId="0" xfId="3" applyFont="1" applyAlignment="1" applyProtection="1">
      <alignment horizontal="right"/>
      <protection locked="0"/>
    </xf>
    <xf numFmtId="0" fontId="16" fillId="0" borderId="0" xfId="3" applyFont="1" applyProtection="1">
      <protection locked="0"/>
    </xf>
    <xf numFmtId="0" fontId="12" fillId="0" borderId="1" xfId="3" applyFont="1" applyBorder="1" applyProtection="1">
      <protection locked="0"/>
    </xf>
    <xf numFmtId="0" fontId="7" fillId="0" borderId="0" xfId="3" applyFont="1" applyProtection="1">
      <protection locked="0"/>
    </xf>
    <xf numFmtId="1" fontId="7" fillId="0" borderId="0" xfId="3" applyNumberFormat="1" applyFont="1" applyProtection="1">
      <protection locked="0"/>
    </xf>
    <xf numFmtId="0" fontId="15" fillId="0" borderId="0" xfId="3" applyFont="1" applyProtection="1">
      <protection locked="0"/>
    </xf>
    <xf numFmtId="0" fontId="16" fillId="0" borderId="1" xfId="3" applyFont="1" applyBorder="1" applyProtection="1">
      <protection locked="0"/>
    </xf>
    <xf numFmtId="0" fontId="7" fillId="0" borderId="13" xfId="0" applyFont="1" applyBorder="1" applyAlignment="1" applyProtection="1">
      <alignment horizontal="right"/>
      <protection locked="0"/>
    </xf>
    <xf numFmtId="0" fontId="3" fillId="0" borderId="13" xfId="0" applyFont="1" applyBorder="1" applyProtection="1">
      <protection locked="0"/>
    </xf>
    <xf numFmtId="0" fontId="17" fillId="0" borderId="13" xfId="0" applyFont="1" applyBorder="1" applyAlignment="1" applyProtection="1">
      <alignment horizontal="right"/>
      <protection locked="0"/>
    </xf>
    <xf numFmtId="0" fontId="0" fillId="0" borderId="13" xfId="0" applyBorder="1" applyProtection="1">
      <protection locked="0"/>
    </xf>
    <xf numFmtId="1" fontId="0" fillId="0" borderId="13" xfId="0" applyNumberFormat="1" applyBorder="1" applyProtection="1">
      <protection locked="0"/>
    </xf>
    <xf numFmtId="0" fontId="1" fillId="0" borderId="13" xfId="0" applyFont="1" applyBorder="1" applyProtection="1">
      <protection locked="0"/>
    </xf>
    <xf numFmtId="2" fontId="1" fillId="2" borderId="14" xfId="0" applyNumberFormat="1" applyFont="1" applyFill="1" applyBorder="1" applyAlignment="1" applyProtection="1">
      <alignment horizontal="right"/>
      <protection locked="0"/>
    </xf>
    <xf numFmtId="165" fontId="1" fillId="2" borderId="14" xfId="0" applyNumberFormat="1" applyFont="1" applyFill="1" applyBorder="1" applyProtection="1">
      <protection locked="0"/>
    </xf>
    <xf numFmtId="0" fontId="7" fillId="0" borderId="0" xfId="0" applyFont="1" applyAlignment="1" applyProtection="1">
      <alignment horizontal="right"/>
      <protection locked="0"/>
    </xf>
    <xf numFmtId="0" fontId="1" fillId="0" borderId="0" xfId="0" applyFont="1" applyAlignment="1" applyProtection="1">
      <alignment horizontal="center"/>
      <protection locked="0"/>
    </xf>
    <xf numFmtId="1" fontId="0" fillId="0" borderId="0" xfId="0" applyNumberFormat="1" applyProtection="1">
      <protection locked="0"/>
    </xf>
    <xf numFmtId="2" fontId="8" fillId="0" borderId="0" xfId="0" applyNumberFormat="1" applyFont="1" applyProtection="1">
      <protection locked="0"/>
    </xf>
    <xf numFmtId="165" fontId="0" fillId="0" borderId="0" xfId="0" applyNumberFormat="1" applyProtection="1">
      <protection locked="0"/>
    </xf>
    <xf numFmtId="0" fontId="12" fillId="0" borderId="0" xfId="0" applyFont="1" applyProtection="1">
      <protection locked="0"/>
    </xf>
    <xf numFmtId="0" fontId="7" fillId="0" borderId="1" xfId="0" applyFont="1" applyBorder="1" applyAlignment="1" applyProtection="1">
      <alignment horizontal="right"/>
      <protection locked="0"/>
    </xf>
    <xf numFmtId="0" fontId="21" fillId="0" borderId="1" xfId="0" applyFont="1" applyBorder="1" applyAlignment="1" applyProtection="1">
      <alignment horizontal="left"/>
      <protection locked="0"/>
    </xf>
    <xf numFmtId="1" fontId="20" fillId="0" borderId="1" xfId="6" applyFont="1" applyBorder="1" applyAlignment="1" applyProtection="1">
      <alignment horizontal="center"/>
      <protection locked="0"/>
    </xf>
    <xf numFmtId="0" fontId="12" fillId="0" borderId="1" xfId="0" applyFont="1" applyBorder="1" applyProtection="1">
      <protection locked="0"/>
    </xf>
    <xf numFmtId="0" fontId="0" fillId="0" borderId="1" xfId="0" applyBorder="1" applyProtection="1">
      <protection locked="0"/>
    </xf>
    <xf numFmtId="0" fontId="1" fillId="0" borderId="1" xfId="0" applyFont="1" applyBorder="1" applyAlignment="1" applyProtection="1">
      <alignment horizontal="center"/>
      <protection locked="0"/>
    </xf>
    <xf numFmtId="1" fontId="0" fillId="0" borderId="1" xfId="0" applyNumberFormat="1" applyBorder="1" applyProtection="1">
      <protection locked="0"/>
    </xf>
    <xf numFmtId="2" fontId="8" fillId="0" borderId="1" xfId="0" applyNumberFormat="1" applyFont="1" applyBorder="1" applyProtection="1">
      <protection locked="0"/>
    </xf>
    <xf numFmtId="165" fontId="0" fillId="0" borderId="1" xfId="0" applyNumberFormat="1" applyBorder="1" applyProtection="1">
      <protection locked="0"/>
    </xf>
    <xf numFmtId="0" fontId="19" fillId="0" borderId="0" xfId="0" applyFont="1" applyAlignment="1" applyProtection="1">
      <alignment horizontal="center"/>
      <protection locked="0"/>
    </xf>
    <xf numFmtId="0" fontId="22" fillId="0" borderId="0" xfId="0" applyFont="1" applyProtection="1">
      <protection locked="0"/>
    </xf>
    <xf numFmtId="0" fontId="19" fillId="0" borderId="0" xfId="0" applyFont="1" applyAlignment="1" applyProtection="1">
      <alignment horizontal="left"/>
      <protection locked="0"/>
    </xf>
    <xf numFmtId="0" fontId="23" fillId="0" borderId="0" xfId="0" applyFont="1" applyAlignment="1" applyProtection="1">
      <alignment horizontal="center"/>
      <protection locked="0"/>
    </xf>
    <xf numFmtId="0" fontId="19" fillId="0" borderId="1" xfId="0" applyFont="1" applyBorder="1" applyAlignment="1" applyProtection="1">
      <alignment horizontal="center"/>
      <protection locked="0"/>
    </xf>
    <xf numFmtId="0" fontId="22" fillId="0" borderId="1" xfId="0" applyFont="1" applyBorder="1" applyProtection="1">
      <protection locked="0"/>
    </xf>
    <xf numFmtId="0" fontId="19" fillId="0" borderId="15" xfId="0" applyFont="1" applyBorder="1" applyAlignment="1" applyProtection="1">
      <alignment horizontal="left"/>
      <protection locked="0"/>
    </xf>
    <xf numFmtId="0" fontId="24" fillId="0" borderId="15" xfId="0" applyFont="1" applyBorder="1" applyAlignment="1" applyProtection="1">
      <alignment horizontal="center"/>
      <protection locked="0"/>
    </xf>
    <xf numFmtId="0" fontId="0" fillId="0" borderId="15" xfId="0" applyBorder="1" applyProtection="1">
      <protection locked="0"/>
    </xf>
    <xf numFmtId="1" fontId="0" fillId="0" borderId="15" xfId="0" applyNumberFormat="1" applyBorder="1" applyProtection="1">
      <protection locked="0"/>
    </xf>
    <xf numFmtId="2" fontId="4" fillId="0" borderId="15" xfId="0" applyNumberFormat="1" applyFont="1" applyBorder="1" applyAlignment="1" applyProtection="1">
      <alignment horizontal="right"/>
      <protection locked="0"/>
    </xf>
    <xf numFmtId="165" fontId="0" fillId="0" borderId="15" xfId="0" applyNumberFormat="1" applyBorder="1" applyProtection="1">
      <protection locked="0"/>
    </xf>
    <xf numFmtId="0" fontId="0" fillId="16" borderId="0" xfId="0" applyFill="1"/>
    <xf numFmtId="0" fontId="22" fillId="0" borderId="0" xfId="3" applyFont="1"/>
    <xf numFmtId="1" fontId="4" fillId="0" borderId="0" xfId="3" applyNumberFormat="1"/>
    <xf numFmtId="1" fontId="0" fillId="0" borderId="0" xfId="0" applyNumberFormat="1"/>
    <xf numFmtId="0" fontId="41" fillId="0" borderId="0" xfId="3" applyFont="1" applyProtection="1">
      <protection locked="0"/>
    </xf>
    <xf numFmtId="0" fontId="15" fillId="0" borderId="1" xfId="3" applyFont="1" applyBorder="1" applyAlignment="1">
      <alignment horizontal="center"/>
    </xf>
    <xf numFmtId="0" fontId="15" fillId="0" borderId="1" xfId="3" applyFont="1" applyBorder="1" applyAlignment="1" applyProtection="1">
      <alignment horizontal="right"/>
      <protection locked="0"/>
    </xf>
    <xf numFmtId="1" fontId="12" fillId="0" borderId="0" xfId="3" applyNumberFormat="1" applyFont="1"/>
    <xf numFmtId="0" fontId="15" fillId="0" borderId="0" xfId="3" applyFont="1"/>
    <xf numFmtId="1" fontId="15" fillId="0" borderId="0" xfId="3" applyNumberFormat="1" applyFont="1"/>
    <xf numFmtId="2" fontId="12" fillId="0" borderId="12" xfId="3" applyNumberFormat="1" applyFont="1" applyBorder="1"/>
    <xf numFmtId="0" fontId="12" fillId="0" borderId="12" xfId="3" applyFont="1" applyBorder="1" applyProtection="1">
      <protection locked="0"/>
    </xf>
    <xf numFmtId="2" fontId="12" fillId="13" borderId="12" xfId="6" applyNumberFormat="1" applyFont="1" applyFill="1" applyBorder="1"/>
    <xf numFmtId="1" fontId="12" fillId="0" borderId="12" xfId="6" applyFont="1" applyBorder="1" applyProtection="1">
      <protection locked="0"/>
    </xf>
    <xf numFmtId="1" fontId="4" fillId="0" borderId="1" xfId="3" applyNumberFormat="1" applyBorder="1"/>
    <xf numFmtId="0" fontId="0" fillId="14" borderId="0" xfId="0" applyFill="1" applyAlignment="1" applyProtection="1">
      <alignment horizontal="center"/>
      <protection locked="0"/>
    </xf>
    <xf numFmtId="0" fontId="68" fillId="7" borderId="0" xfId="0" applyFont="1" applyFill="1" applyAlignment="1" applyProtection="1">
      <alignment horizontal="center"/>
      <protection locked="0"/>
    </xf>
    <xf numFmtId="0" fontId="70" fillId="14" borderId="0" xfId="0" applyFont="1" applyFill="1" applyAlignment="1" applyProtection="1">
      <alignment horizontal="center"/>
      <protection locked="0"/>
    </xf>
    <xf numFmtId="0" fontId="70" fillId="2" borderId="0" xfId="0" applyFont="1" applyFill="1" applyAlignment="1">
      <alignment horizontal="center"/>
    </xf>
    <xf numFmtId="0" fontId="70" fillId="12" borderId="0" xfId="0" applyFont="1" applyFill="1" applyAlignment="1" applyProtection="1">
      <alignment horizontal="center"/>
      <protection locked="0"/>
    </xf>
    <xf numFmtId="0" fontId="71" fillId="0" borderId="0" xfId="0" applyFont="1" applyAlignment="1">
      <alignment horizontal="center"/>
    </xf>
    <xf numFmtId="0" fontId="70" fillId="0" borderId="0" xfId="0" applyFont="1" applyAlignment="1" applyProtection="1">
      <alignment horizontal="center"/>
      <protection locked="0"/>
    </xf>
    <xf numFmtId="0" fontId="26" fillId="0" borderId="13" xfId="2" applyNumberFormat="1" applyFont="1" applyBorder="1" applyAlignment="1" applyProtection="1">
      <alignment horizontal="centerContinuous"/>
      <protection locked="0"/>
    </xf>
    <xf numFmtId="0" fontId="7" fillId="0" borderId="0" xfId="7" applyProtection="1">
      <protection locked="0"/>
    </xf>
    <xf numFmtId="0" fontId="69" fillId="0" borderId="0" xfId="0" applyFont="1" applyProtection="1">
      <protection locked="0"/>
    </xf>
    <xf numFmtId="0" fontId="29" fillId="0" borderId="0" xfId="0" applyFont="1" applyProtection="1">
      <protection locked="0"/>
    </xf>
    <xf numFmtId="0" fontId="8" fillId="0" borderId="0" xfId="0" applyFont="1" applyAlignment="1" applyProtection="1">
      <alignment horizontal="centerContinuous"/>
      <protection locked="0"/>
    </xf>
    <xf numFmtId="0" fontId="0" fillId="0" borderId="0" xfId="0" applyAlignment="1" applyProtection="1">
      <alignment horizontal="left"/>
      <protection locked="0"/>
    </xf>
    <xf numFmtId="0" fontId="31" fillId="0" borderId="0" xfId="3" applyFont="1" applyAlignment="1" applyProtection="1">
      <alignment horizontal="centerContinuous"/>
      <protection locked="0"/>
    </xf>
    <xf numFmtId="0" fontId="30" fillId="0" borderId="0" xfId="0" applyFont="1" applyAlignment="1" applyProtection="1">
      <alignment horizontal="center"/>
      <protection locked="0"/>
    </xf>
    <xf numFmtId="0" fontId="0" fillId="0" borderId="0" xfId="0" applyAlignment="1" applyProtection="1">
      <alignment horizontal="right"/>
      <protection locked="0"/>
    </xf>
    <xf numFmtId="0" fontId="78" fillId="0" borderId="0" xfId="7" applyFont="1" applyAlignment="1" applyProtection="1">
      <alignment horizontal="left"/>
      <protection locked="0"/>
    </xf>
    <xf numFmtId="0" fontId="33" fillId="0" borderId="0" xfId="7" applyFont="1" applyAlignment="1" applyProtection="1">
      <alignment horizontal="centerContinuous"/>
      <protection locked="0"/>
    </xf>
    <xf numFmtId="0" fontId="0" fillId="0" borderId="0" xfId="0" applyAlignment="1" applyProtection="1">
      <alignment horizontal="centerContinuous"/>
      <protection locked="0"/>
    </xf>
    <xf numFmtId="0" fontId="7" fillId="0" borderId="0" xfId="7" applyAlignment="1" applyProtection="1">
      <alignment horizontal="left"/>
      <protection locked="0"/>
    </xf>
    <xf numFmtId="0" fontId="0" fillId="0" borderId="16" xfId="0" applyBorder="1" applyProtection="1">
      <protection locked="0"/>
    </xf>
    <xf numFmtId="0" fontId="22" fillId="0" borderId="0" xfId="7" applyFont="1" applyProtection="1">
      <protection locked="0"/>
    </xf>
    <xf numFmtId="0" fontId="35" fillId="0" borderId="0" xfId="7" applyFont="1" applyAlignment="1" applyProtection="1">
      <alignment horizontal="left"/>
      <protection locked="0"/>
    </xf>
    <xf numFmtId="0" fontId="59" fillId="0" borderId="0" xfId="7" applyFont="1" applyAlignment="1" applyProtection="1">
      <alignment horizontal="right"/>
      <protection locked="0"/>
    </xf>
    <xf numFmtId="2" fontId="52" fillId="0" borderId="0" xfId="1" applyNumberFormat="1" applyFont="1" applyAlignment="1" applyProtection="1">
      <alignment horizontal="right"/>
      <protection locked="0"/>
    </xf>
    <xf numFmtId="0" fontId="36" fillId="0" borderId="0" xfId="8" applyFont="1" applyProtection="1">
      <protection locked="0"/>
    </xf>
    <xf numFmtId="0" fontId="17" fillId="0" borderId="1" xfId="7" applyFont="1" applyBorder="1" applyProtection="1">
      <protection locked="0"/>
    </xf>
    <xf numFmtId="0" fontId="7" fillId="0" borderId="1" xfId="7" applyBorder="1" applyAlignment="1" applyProtection="1">
      <alignment horizontal="left"/>
      <protection locked="0"/>
    </xf>
    <xf numFmtId="0" fontId="7" fillId="0" borderId="1" xfId="7" applyBorder="1" applyProtection="1">
      <protection locked="0"/>
    </xf>
    <xf numFmtId="0" fontId="8" fillId="0" borderId="0" xfId="7" applyFont="1" applyProtection="1">
      <protection locked="0"/>
    </xf>
    <xf numFmtId="0" fontId="7" fillId="0" borderId="13" xfId="7" applyBorder="1" applyProtection="1">
      <protection locked="0"/>
    </xf>
    <xf numFmtId="0" fontId="17" fillId="0" borderId="0" xfId="7" applyFont="1" applyProtection="1">
      <protection locked="0"/>
    </xf>
    <xf numFmtId="0" fontId="1" fillId="0" borderId="0" xfId="7" applyFont="1" applyProtection="1">
      <protection locked="0"/>
    </xf>
    <xf numFmtId="0" fontId="0" fillId="0" borderId="17" xfId="0" applyBorder="1" applyAlignment="1" applyProtection="1">
      <alignment horizontal="left"/>
      <protection locked="0"/>
    </xf>
    <xf numFmtId="0" fontId="2" fillId="0" borderId="18" xfId="0" applyFont="1" applyBorder="1" applyProtection="1">
      <protection locked="0"/>
    </xf>
    <xf numFmtId="0" fontId="19" fillId="0" borderId="0" xfId="8" applyFont="1" applyAlignment="1" applyProtection="1">
      <alignment horizontal="right"/>
      <protection locked="0"/>
    </xf>
    <xf numFmtId="0" fontId="19" fillId="0" borderId="0" xfId="0" applyFont="1" applyAlignment="1" applyProtection="1">
      <alignment horizontal="right"/>
      <protection locked="0"/>
    </xf>
    <xf numFmtId="0" fontId="3" fillId="0" borderId="0" xfId="0" applyFont="1" applyAlignment="1" applyProtection="1">
      <alignment horizontal="right"/>
      <protection locked="0"/>
    </xf>
    <xf numFmtId="0" fontId="12" fillId="12" borderId="0" xfId="0" applyFont="1" applyFill="1" applyProtection="1">
      <protection locked="0"/>
    </xf>
    <xf numFmtId="0" fontId="0" fillId="12" borderId="0" xfId="0" applyFill="1" applyProtection="1">
      <protection locked="0"/>
    </xf>
    <xf numFmtId="0" fontId="2" fillId="0" borderId="0" xfId="0" applyFont="1" applyAlignment="1" applyProtection="1">
      <alignment horizontal="left"/>
      <protection locked="0"/>
    </xf>
    <xf numFmtId="0" fontId="0" fillId="0" borderId="19" xfId="0" applyBorder="1" applyProtection="1">
      <protection locked="0"/>
    </xf>
    <xf numFmtId="0" fontId="0" fillId="0" borderId="20" xfId="0" applyBorder="1" applyAlignment="1" applyProtection="1">
      <alignment horizontal="left"/>
      <protection locked="0"/>
    </xf>
    <xf numFmtId="0" fontId="0" fillId="0" borderId="21" xfId="0" applyBorder="1" applyProtection="1">
      <protection locked="0"/>
    </xf>
    <xf numFmtId="0" fontId="34" fillId="0" borderId="0" xfId="0" applyFont="1" applyAlignment="1" applyProtection="1">
      <alignment horizontal="centerContinuous"/>
      <protection locked="0"/>
    </xf>
    <xf numFmtId="0" fontId="0" fillId="0" borderId="3" xfId="0" applyBorder="1" applyProtection="1">
      <protection locked="0"/>
    </xf>
    <xf numFmtId="0" fontId="22" fillId="0" borderId="0" xfId="0" applyFont="1" applyAlignment="1" applyProtection="1">
      <alignment horizontal="centerContinuous"/>
      <protection locked="0"/>
    </xf>
    <xf numFmtId="0" fontId="60" fillId="0" borderId="0" xfId="0" applyFont="1" applyProtection="1">
      <protection locked="0"/>
    </xf>
    <xf numFmtId="0" fontId="61" fillId="0" borderId="0" xfId="0" applyFont="1" applyProtection="1">
      <protection locked="0"/>
    </xf>
    <xf numFmtId="0" fontId="38" fillId="0" borderId="17" xfId="8" applyFont="1" applyBorder="1" applyAlignment="1" applyProtection="1">
      <alignment horizontal="left"/>
      <protection locked="0"/>
    </xf>
    <xf numFmtId="0" fontId="38" fillId="0" borderId="0" xfId="8" applyFont="1" applyProtection="1">
      <protection locked="0"/>
    </xf>
    <xf numFmtId="0" fontId="79" fillId="0" borderId="0" xfId="0" applyFont="1" applyAlignment="1" applyProtection="1">
      <alignment horizontal="right"/>
      <protection locked="0"/>
    </xf>
    <xf numFmtId="0" fontId="63" fillId="0" borderId="22" xfId="8" applyFont="1" applyBorder="1" applyAlignment="1" applyProtection="1">
      <alignment horizontal="left"/>
      <protection locked="0"/>
    </xf>
    <xf numFmtId="0" fontId="62" fillId="0" borderId="22" xfId="8" applyFont="1" applyBorder="1" applyAlignment="1" applyProtection="1">
      <alignment horizontal="centerContinuous"/>
      <protection locked="0"/>
    </xf>
    <xf numFmtId="0" fontId="62" fillId="0" borderId="22" xfId="8" applyFont="1" applyBorder="1" applyProtection="1">
      <protection locked="0"/>
    </xf>
    <xf numFmtId="0" fontId="64" fillId="0" borderId="22" xfId="0" applyFont="1" applyBorder="1" applyProtection="1">
      <protection locked="0"/>
    </xf>
    <xf numFmtId="0" fontId="64" fillId="0" borderId="0" xfId="0" applyFont="1" applyProtection="1">
      <protection locked="0"/>
    </xf>
    <xf numFmtId="0" fontId="65" fillId="0" borderId="0" xfId="0" applyFont="1" applyAlignment="1" applyProtection="1">
      <alignment horizontal="right"/>
      <protection locked="0"/>
    </xf>
    <xf numFmtId="168" fontId="65" fillId="0" borderId="0" xfId="0" applyNumberFormat="1" applyFont="1" applyAlignment="1" applyProtection="1">
      <alignment horizontal="right"/>
      <protection locked="0"/>
    </xf>
    <xf numFmtId="0" fontId="63" fillId="0" borderId="0" xfId="8" applyFont="1" applyAlignment="1" applyProtection="1">
      <alignment horizontal="left"/>
      <protection locked="0"/>
    </xf>
    <xf numFmtId="0" fontId="62" fillId="0" borderId="0" xfId="8" applyFont="1" applyAlignment="1" applyProtection="1">
      <alignment horizontal="centerContinuous"/>
      <protection locked="0"/>
    </xf>
    <xf numFmtId="0" fontId="62" fillId="0" borderId="0" xfId="8" applyFont="1" applyProtection="1">
      <protection locked="0"/>
    </xf>
    <xf numFmtId="0" fontId="22" fillId="0" borderId="23" xfId="0" applyFont="1" applyBorder="1" applyAlignment="1" applyProtection="1">
      <alignment horizontal="center"/>
      <protection locked="0"/>
    </xf>
    <xf numFmtId="0" fontId="22" fillId="0" borderId="22" xfId="0" applyFont="1" applyBorder="1" applyAlignment="1" applyProtection="1">
      <alignment horizontal="center"/>
      <protection locked="0"/>
    </xf>
    <xf numFmtId="0" fontId="29" fillId="0" borderId="22" xfId="0" applyFont="1" applyBorder="1" applyAlignment="1" applyProtection="1">
      <alignment horizontal="center"/>
      <protection locked="0"/>
    </xf>
    <xf numFmtId="0" fontId="0" fillId="0" borderId="22" xfId="0" applyBorder="1" applyProtection="1">
      <protection locked="0"/>
    </xf>
    <xf numFmtId="0" fontId="0" fillId="0" borderId="24" xfId="0" applyBorder="1" applyProtection="1">
      <protection locked="0"/>
    </xf>
    <xf numFmtId="0" fontId="19" fillId="0" borderId="17" xfId="0" applyFont="1" applyBorder="1" applyAlignment="1" applyProtection="1">
      <alignment horizontal="center"/>
      <protection locked="0"/>
    </xf>
    <xf numFmtId="0" fontId="0" fillId="0" borderId="0" xfId="0" applyAlignment="1" applyProtection="1">
      <alignment horizontal="center"/>
      <protection locked="0"/>
    </xf>
    <xf numFmtId="0" fontId="0" fillId="0" borderId="19" xfId="0" applyBorder="1" applyAlignment="1" applyProtection="1">
      <alignment horizontal="left"/>
      <protection locked="0"/>
    </xf>
    <xf numFmtId="0" fontId="0" fillId="0" borderId="17" xfId="0" applyBorder="1" applyProtection="1">
      <protection locked="0"/>
    </xf>
    <xf numFmtId="166" fontId="0" fillId="0" borderId="19" xfId="0" applyNumberFormat="1" applyBorder="1" applyAlignment="1" applyProtection="1">
      <alignment horizontal="center"/>
      <protection locked="0"/>
    </xf>
    <xf numFmtId="0" fontId="0" fillId="0" borderId="20" xfId="0" applyBorder="1" applyProtection="1">
      <protection locked="0"/>
    </xf>
    <xf numFmtId="0" fontId="38" fillId="0" borderId="13" xfId="8" applyFont="1" applyBorder="1" applyAlignment="1" applyProtection="1">
      <alignment horizontal="centerContinuous"/>
      <protection locked="0"/>
    </xf>
    <xf numFmtId="0" fontId="38" fillId="0" borderId="13" xfId="8" applyFont="1" applyBorder="1" applyProtection="1">
      <protection locked="0"/>
    </xf>
    <xf numFmtId="0" fontId="38" fillId="0" borderId="0" xfId="8" applyFont="1" applyAlignment="1" applyProtection="1">
      <alignment horizontal="centerContinuous"/>
      <protection locked="0"/>
    </xf>
    <xf numFmtId="9" fontId="40" fillId="2" borderId="3" xfId="8" applyNumberFormat="1" applyFont="1" applyFill="1" applyBorder="1" applyAlignment="1" applyProtection="1">
      <alignment horizontal="centerContinuous"/>
      <protection locked="0"/>
    </xf>
    <xf numFmtId="9" fontId="40" fillId="0" borderId="0" xfId="8" applyNumberFormat="1" applyFont="1" applyAlignment="1" applyProtection="1">
      <alignment horizontal="centerContinuous"/>
      <protection locked="0"/>
    </xf>
    <xf numFmtId="0" fontId="40" fillId="2" borderId="3" xfId="8" applyFont="1" applyFill="1" applyBorder="1" applyAlignment="1" applyProtection="1">
      <alignment horizontal="centerContinuous"/>
      <protection locked="0"/>
    </xf>
    <xf numFmtId="15" fontId="40" fillId="2" borderId="3" xfId="8" applyNumberFormat="1" applyFont="1" applyFill="1" applyBorder="1" applyAlignment="1" applyProtection="1">
      <alignment horizontal="centerContinuous"/>
      <protection locked="0"/>
    </xf>
    <xf numFmtId="0" fontId="41" fillId="0" borderId="0" xfId="8" applyFont="1" applyProtection="1">
      <protection locked="0"/>
    </xf>
    <xf numFmtId="0" fontId="42" fillId="0" borderId="0" xfId="8" applyFont="1" applyProtection="1">
      <protection locked="0"/>
    </xf>
    <xf numFmtId="0" fontId="38" fillId="0" borderId="0" xfId="8" applyFont="1" applyAlignment="1" applyProtection="1">
      <alignment horizontal="left"/>
      <protection locked="0"/>
    </xf>
    <xf numFmtId="15" fontId="38" fillId="0" borderId="0" xfId="8" applyNumberFormat="1" applyFont="1" applyAlignment="1" applyProtection="1">
      <alignment horizontal="centerContinuous"/>
      <protection locked="0"/>
    </xf>
    <xf numFmtId="0" fontId="43" fillId="0" borderId="0" xfId="8" applyFont="1" applyAlignment="1" applyProtection="1">
      <alignment horizontal="left"/>
      <protection locked="0"/>
    </xf>
    <xf numFmtId="15" fontId="44" fillId="0" borderId="0" xfId="0" applyNumberFormat="1" applyFont="1" applyAlignment="1" applyProtection="1">
      <alignment horizontal="left"/>
      <protection locked="0"/>
    </xf>
    <xf numFmtId="0" fontId="41" fillId="0" borderId="13" xfId="8" applyFont="1" applyBorder="1" applyProtection="1">
      <protection locked="0"/>
    </xf>
    <xf numFmtId="0" fontId="42" fillId="0" borderId="13" xfId="8" applyFont="1" applyBorder="1" applyProtection="1">
      <protection locked="0"/>
    </xf>
    <xf numFmtId="0" fontId="36" fillId="0" borderId="13" xfId="8" applyFont="1" applyBorder="1" applyProtection="1">
      <protection locked="0"/>
    </xf>
    <xf numFmtId="0" fontId="36" fillId="0" borderId="21" xfId="8" applyFont="1" applyBorder="1" applyProtection="1">
      <protection locked="0"/>
    </xf>
    <xf numFmtId="0" fontId="0" fillId="0" borderId="0" xfId="0" applyAlignment="1" applyProtection="1">
      <alignment vertical="center"/>
      <protection locked="0"/>
    </xf>
    <xf numFmtId="0" fontId="45" fillId="0" borderId="23" xfId="8" applyFont="1" applyBorder="1" applyAlignment="1" applyProtection="1">
      <alignment horizontal="left"/>
      <protection locked="0"/>
    </xf>
    <xf numFmtId="0" fontId="45" fillId="0" borderId="22" xfId="8" applyFont="1" applyBorder="1" applyAlignment="1" applyProtection="1">
      <alignment horizontal="centerContinuous"/>
      <protection locked="0"/>
    </xf>
    <xf numFmtId="0" fontId="0" fillId="0" borderId="22" xfId="0" applyBorder="1" applyAlignment="1" applyProtection="1">
      <alignment horizontal="centerContinuous"/>
      <protection locked="0"/>
    </xf>
    <xf numFmtId="15" fontId="38" fillId="0" borderId="22" xfId="8" applyNumberFormat="1" applyFont="1" applyBorder="1" applyAlignment="1" applyProtection="1">
      <alignment horizontal="centerContinuous"/>
      <protection locked="0"/>
    </xf>
    <xf numFmtId="0" fontId="38" fillId="0" borderId="22" xfId="8" applyFont="1" applyBorder="1" applyAlignment="1" applyProtection="1">
      <alignment horizontal="centerContinuous"/>
      <protection locked="0"/>
    </xf>
    <xf numFmtId="0" fontId="36" fillId="0" borderId="22" xfId="8" applyFont="1" applyBorder="1" applyAlignment="1" applyProtection="1">
      <alignment horizontal="centerContinuous"/>
      <protection locked="0"/>
    </xf>
    <xf numFmtId="0" fontId="42" fillId="0" borderId="22" xfId="8" applyFont="1" applyBorder="1" applyAlignment="1" applyProtection="1">
      <alignment horizontal="centerContinuous"/>
      <protection locked="0"/>
    </xf>
    <xf numFmtId="0" fontId="42" fillId="0" borderId="24" xfId="8" applyFont="1" applyBorder="1" applyAlignment="1" applyProtection="1">
      <alignment horizontal="centerContinuous"/>
      <protection locked="0"/>
    </xf>
    <xf numFmtId="0" fontId="19" fillId="0" borderId="20" xfId="8" applyFont="1" applyBorder="1" applyAlignment="1" applyProtection="1">
      <alignment horizontal="left"/>
      <protection locked="0"/>
    </xf>
    <xf numFmtId="0" fontId="19" fillId="0" borderId="13" xfId="8" applyFont="1" applyBorder="1" applyAlignment="1" applyProtection="1">
      <alignment horizontal="centerContinuous"/>
      <protection locked="0"/>
    </xf>
    <xf numFmtId="0" fontId="0" fillId="0" borderId="13" xfId="0" applyBorder="1" applyAlignment="1" applyProtection="1">
      <alignment horizontal="centerContinuous"/>
      <protection locked="0"/>
    </xf>
    <xf numFmtId="15" fontId="38" fillId="0" borderId="13" xfId="8" applyNumberFormat="1" applyFont="1" applyBorder="1" applyAlignment="1" applyProtection="1">
      <alignment horizontal="centerContinuous"/>
      <protection locked="0"/>
    </xf>
    <xf numFmtId="0" fontId="36" fillId="0" borderId="13" xfId="8" applyFont="1" applyBorder="1" applyAlignment="1" applyProtection="1">
      <alignment horizontal="centerContinuous"/>
      <protection locked="0"/>
    </xf>
    <xf numFmtId="0" fontId="36" fillId="0" borderId="21" xfId="8" applyFont="1" applyBorder="1" applyAlignment="1" applyProtection="1">
      <alignment horizontal="centerContinuous"/>
      <protection locked="0"/>
    </xf>
    <xf numFmtId="0" fontId="19" fillId="0" borderId="17" xfId="8" applyFont="1" applyBorder="1" applyAlignment="1" applyProtection="1">
      <alignment horizontal="left"/>
      <protection locked="0"/>
    </xf>
    <xf numFmtId="0" fontId="19" fillId="0" borderId="0" xfId="8" applyFont="1" applyAlignment="1" applyProtection="1">
      <alignment horizontal="centerContinuous"/>
      <protection locked="0"/>
    </xf>
    <xf numFmtId="0" fontId="45" fillId="0" borderId="0" xfId="8" applyFont="1" applyAlignment="1" applyProtection="1">
      <alignment horizontal="centerContinuous"/>
      <protection locked="0"/>
    </xf>
    <xf numFmtId="0" fontId="36" fillId="0" borderId="0" xfId="8" applyFont="1" applyAlignment="1" applyProtection="1">
      <alignment horizontal="centerContinuous"/>
      <protection locked="0"/>
    </xf>
    <xf numFmtId="0" fontId="36" fillId="0" borderId="19" xfId="8" applyFont="1" applyBorder="1" applyAlignment="1" applyProtection="1">
      <alignment horizontal="centerContinuous"/>
      <protection locked="0"/>
    </xf>
    <xf numFmtId="0" fontId="46" fillId="0" borderId="0" xfId="8" applyFont="1" applyAlignment="1" applyProtection="1">
      <alignment horizontal="right"/>
      <protection locked="0"/>
    </xf>
    <xf numFmtId="0" fontId="46" fillId="0" borderId="17" xfId="8" applyFont="1" applyBorder="1" applyAlignment="1" applyProtection="1">
      <alignment horizontal="left"/>
      <protection locked="0"/>
    </xf>
    <xf numFmtId="0" fontId="46" fillId="0" borderId="0" xfId="8" applyFont="1" applyAlignment="1" applyProtection="1">
      <alignment horizontal="left"/>
      <protection locked="0"/>
    </xf>
    <xf numFmtId="0" fontId="45" fillId="0" borderId="0" xfId="8" applyFont="1" applyAlignment="1" applyProtection="1">
      <alignment horizontal="left"/>
      <protection locked="0"/>
    </xf>
    <xf numFmtId="0" fontId="41" fillId="0" borderId="0" xfId="8" applyFont="1" applyAlignment="1" applyProtection="1">
      <alignment horizontal="left"/>
      <protection locked="0"/>
    </xf>
    <xf numFmtId="0" fontId="2" fillId="0" borderId="19" xfId="0" applyFont="1" applyBorder="1" applyAlignment="1" applyProtection="1">
      <alignment horizontal="right"/>
      <protection locked="0"/>
    </xf>
    <xf numFmtId="0" fontId="0" fillId="0" borderId="23" xfId="0" applyBorder="1" applyAlignment="1" applyProtection="1">
      <alignment horizontal="left"/>
      <protection locked="0"/>
    </xf>
    <xf numFmtId="0" fontId="0" fillId="0" borderId="10" xfId="0" applyBorder="1" applyProtection="1">
      <protection locked="0"/>
    </xf>
    <xf numFmtId="0" fontId="39" fillId="0" borderId="17" xfId="0" applyFont="1" applyBorder="1" applyAlignment="1" applyProtection="1">
      <alignment horizontal="left"/>
      <protection locked="0"/>
    </xf>
    <xf numFmtId="0" fontId="39" fillId="0" borderId="0" xfId="0" applyFont="1" applyProtection="1">
      <protection locked="0"/>
    </xf>
    <xf numFmtId="0" fontId="4" fillId="0" borderId="19" xfId="0" applyFont="1" applyBorder="1" applyAlignment="1" applyProtection="1">
      <alignment horizontal="center"/>
      <protection locked="0"/>
    </xf>
    <xf numFmtId="0" fontId="0" fillId="0" borderId="11" xfId="0" applyBorder="1" applyProtection="1">
      <protection locked="0"/>
    </xf>
    <xf numFmtId="2" fontId="48" fillId="0" borderId="25" xfId="0" applyNumberFormat="1" applyFont="1" applyBorder="1" applyAlignment="1" applyProtection="1">
      <alignment horizontal="center"/>
      <protection locked="0"/>
    </xf>
    <xf numFmtId="0" fontId="12" fillId="0" borderId="13" xfId="0" applyFont="1" applyBorder="1" applyProtection="1">
      <protection locked="0"/>
    </xf>
    <xf numFmtId="0" fontId="1" fillId="0" borderId="13" xfId="0" applyFont="1" applyBorder="1" applyAlignment="1" applyProtection="1">
      <alignment horizontal="center"/>
      <protection locked="0"/>
    </xf>
    <xf numFmtId="0" fontId="4" fillId="0" borderId="13" xfId="3" applyBorder="1" applyProtection="1">
      <protection locked="0"/>
    </xf>
    <xf numFmtId="2" fontId="48" fillId="0" borderId="11" xfId="0" applyNumberFormat="1" applyFont="1" applyBorder="1" applyAlignment="1" applyProtection="1">
      <alignment horizontal="center"/>
      <protection locked="0"/>
    </xf>
    <xf numFmtId="0" fontId="0" fillId="0" borderId="26" xfId="0" applyBorder="1" applyProtection="1">
      <protection locked="0"/>
    </xf>
    <xf numFmtId="0" fontId="2" fillId="0" borderId="1" xfId="0" applyFont="1" applyBorder="1" applyProtection="1">
      <protection locked="0"/>
    </xf>
    <xf numFmtId="0" fontId="2" fillId="0" borderId="15" xfId="0" applyFont="1" applyBorder="1" applyProtection="1">
      <protection locked="0"/>
    </xf>
    <xf numFmtId="0" fontId="4" fillId="0" borderId="1" xfId="3" applyBorder="1" applyProtection="1">
      <protection locked="0"/>
    </xf>
    <xf numFmtId="0" fontId="4" fillId="0" borderId="27" xfId="3" applyBorder="1" applyProtection="1">
      <protection locked="0"/>
    </xf>
    <xf numFmtId="15" fontId="21" fillId="0" borderId="0" xfId="0" applyNumberFormat="1" applyFont="1" applyAlignment="1" applyProtection="1">
      <alignment horizontal="left"/>
      <protection locked="0"/>
    </xf>
    <xf numFmtId="0" fontId="7" fillId="2" borderId="14" xfId="7" applyFill="1" applyBorder="1" applyAlignment="1">
      <alignment horizontal="center"/>
    </xf>
    <xf numFmtId="0" fontId="12" fillId="2" borderId="14" xfId="7" applyFont="1" applyFill="1" applyBorder="1"/>
    <xf numFmtId="0" fontId="7" fillId="0" borderId="0" xfId="7" applyAlignment="1">
      <alignment horizontal="left"/>
    </xf>
    <xf numFmtId="0" fontId="7" fillId="0" borderId="0" xfId="7"/>
    <xf numFmtId="0" fontId="12" fillId="16" borderId="0" xfId="0" applyFont="1" applyFill="1" applyAlignment="1">
      <alignment horizontal="left"/>
    </xf>
    <xf numFmtId="0" fontId="12" fillId="16" borderId="0" xfId="0" applyFont="1" applyFill="1"/>
    <xf numFmtId="0" fontId="4" fillId="16" borderId="0" xfId="0" applyFont="1" applyFill="1"/>
    <xf numFmtId="166" fontId="12" fillId="0" borderId="0" xfId="0" applyNumberFormat="1" applyFont="1"/>
    <xf numFmtId="0" fontId="12" fillId="16" borderId="0" xfId="8" applyFont="1" applyFill="1" applyAlignment="1">
      <alignment horizontal="left"/>
    </xf>
    <xf numFmtId="0" fontId="8" fillId="16" borderId="0" xfId="0" applyFont="1" applyFill="1"/>
    <xf numFmtId="0" fontId="38" fillId="16" borderId="0" xfId="8" applyFont="1" applyFill="1"/>
    <xf numFmtId="1" fontId="47" fillId="2" borderId="3" xfId="6" applyFont="1" applyFill="1" applyBorder="1" applyAlignment="1">
      <alignment horizontal="center"/>
    </xf>
    <xf numFmtId="165" fontId="12" fillId="2" borderId="3" xfId="6" applyNumberFormat="1" applyFont="1" applyFill="1" applyBorder="1" applyAlignment="1">
      <alignment horizontal="center"/>
    </xf>
    <xf numFmtId="0" fontId="0" fillId="0" borderId="13" xfId="0" applyBorder="1"/>
    <xf numFmtId="0" fontId="26" fillId="0" borderId="0" xfId="3" applyFont="1" applyAlignment="1" applyProtection="1">
      <alignment horizontal="left"/>
      <protection locked="0"/>
    </xf>
    <xf numFmtId="0" fontId="10" fillId="16" borderId="18" xfId="0" applyFont="1" applyFill="1" applyBorder="1" applyAlignment="1">
      <alignment horizontal="center"/>
    </xf>
    <xf numFmtId="0" fontId="80" fillId="0" borderId="0" xfId="3" applyFont="1" applyAlignment="1">
      <alignment horizontal="center"/>
    </xf>
    <xf numFmtId="0" fontId="0" fillId="0" borderId="28" xfId="0" applyBorder="1"/>
    <xf numFmtId="43" fontId="0" fillId="0" borderId="0" xfId="1" applyFont="1" applyAlignment="1" applyProtection="1">
      <alignment horizontal="right"/>
      <protection locked="0"/>
    </xf>
    <xf numFmtId="43" fontId="17" fillId="0" borderId="0" xfId="1" applyFont="1" applyFill="1" applyBorder="1" applyProtection="1">
      <protection locked="0"/>
    </xf>
    <xf numFmtId="43" fontId="0" fillId="0" borderId="0" xfId="1" applyFont="1" applyProtection="1">
      <protection locked="0"/>
    </xf>
    <xf numFmtId="43" fontId="4" fillId="0" borderId="0" xfId="1" applyProtection="1">
      <protection locked="0"/>
    </xf>
    <xf numFmtId="43" fontId="12" fillId="18" borderId="9" xfId="1" applyFont="1" applyFill="1" applyBorder="1" applyProtection="1">
      <protection locked="0"/>
    </xf>
    <xf numFmtId="43" fontId="12" fillId="4" borderId="19" xfId="1" applyFont="1" applyFill="1" applyBorder="1" applyAlignment="1" applyProtection="1">
      <alignment horizontal="center"/>
      <protection locked="0"/>
    </xf>
    <xf numFmtId="39" fontId="17" fillId="0" borderId="3" xfId="1" applyNumberFormat="1" applyFont="1" applyFill="1" applyBorder="1" applyAlignment="1" applyProtection="1">
      <alignment horizontal="right"/>
      <protection locked="0"/>
    </xf>
    <xf numFmtId="2" fontId="48" fillId="0" borderId="19" xfId="0" applyNumberFormat="1" applyFont="1" applyBorder="1" applyAlignment="1" applyProtection="1">
      <alignment horizontal="center"/>
      <protection locked="0"/>
    </xf>
    <xf numFmtId="0" fontId="12" fillId="0" borderId="0" xfId="7" applyFont="1" applyAlignment="1" applyProtection="1">
      <alignment horizontal="right"/>
      <protection locked="0"/>
    </xf>
    <xf numFmtId="0" fontId="32" fillId="16" borderId="6" xfId="2" applyNumberFormat="1" applyFont="1" applyFill="1" applyBorder="1" applyAlignment="1" applyProtection="1">
      <alignment horizontal="center" vertical="center"/>
    </xf>
    <xf numFmtId="172" fontId="7" fillId="0" borderId="0" xfId="7" applyNumberFormat="1" applyProtection="1">
      <protection locked="0"/>
    </xf>
    <xf numFmtId="0" fontId="15" fillId="0" borderId="10" xfId="7" applyFont="1" applyBorder="1" applyAlignment="1" applyProtection="1">
      <alignment horizontal="center"/>
      <protection locked="0"/>
    </xf>
    <xf numFmtId="0" fontId="12" fillId="0" borderId="11" xfId="7" applyFont="1" applyBorder="1" applyAlignment="1" applyProtection="1">
      <alignment horizontal="center"/>
      <protection locked="0"/>
    </xf>
    <xf numFmtId="0" fontId="8" fillId="0" borderId="0" xfId="0" applyFont="1" applyAlignment="1" applyProtection="1">
      <alignment horizontal="center"/>
      <protection locked="0"/>
    </xf>
    <xf numFmtId="0" fontId="12" fillId="0" borderId="11" xfId="7" applyFont="1" applyBorder="1" applyAlignment="1" applyProtection="1">
      <alignment horizontal="center" vertical="center"/>
      <protection locked="0"/>
    </xf>
    <xf numFmtId="2" fontId="0" fillId="0" borderId="17" xfId="0" applyNumberFormat="1" applyBorder="1" applyAlignment="1" applyProtection="1">
      <alignment horizontal="center"/>
      <protection locked="0"/>
    </xf>
    <xf numFmtId="2" fontId="75" fillId="0" borderId="17" xfId="0" applyNumberFormat="1" applyFont="1" applyBorder="1" applyAlignment="1" applyProtection="1">
      <alignment horizontal="center"/>
      <protection locked="0"/>
    </xf>
    <xf numFmtId="0" fontId="86" fillId="16" borderId="14" xfId="0" applyFont="1" applyFill="1" applyBorder="1"/>
    <xf numFmtId="0" fontId="86" fillId="16" borderId="16" xfId="0" applyFont="1" applyFill="1" applyBorder="1"/>
    <xf numFmtId="0" fontId="87" fillId="16" borderId="14" xfId="0" applyFont="1" applyFill="1" applyBorder="1"/>
    <xf numFmtId="0" fontId="0" fillId="0" borderId="0" xfId="0" applyAlignment="1">
      <alignment horizontal="center"/>
    </xf>
    <xf numFmtId="0" fontId="90" fillId="0" borderId="10" xfId="0" applyFont="1" applyBorder="1" applyAlignment="1">
      <alignment horizontal="center"/>
    </xf>
    <xf numFmtId="0" fontId="90" fillId="0" borderId="11" xfId="0" applyFont="1" applyBorder="1" applyAlignment="1">
      <alignment horizontal="center"/>
    </xf>
    <xf numFmtId="2" fontId="83" fillId="12" borderId="10" xfId="0" applyNumberFormat="1" applyFont="1" applyFill="1" applyBorder="1" applyAlignment="1" applyProtection="1">
      <alignment horizontal="center"/>
      <protection locked="0"/>
    </xf>
    <xf numFmtId="0" fontId="87" fillId="16" borderId="22" xfId="0" applyFont="1" applyFill="1" applyBorder="1"/>
    <xf numFmtId="0" fontId="86" fillId="16" borderId="22" xfId="0" applyFont="1" applyFill="1" applyBorder="1"/>
    <xf numFmtId="0" fontId="86" fillId="16" borderId="24" xfId="0" applyFont="1" applyFill="1" applyBorder="1"/>
    <xf numFmtId="0" fontId="87" fillId="14" borderId="14" xfId="0" applyFont="1" applyFill="1" applyBorder="1"/>
    <xf numFmtId="0" fontId="84" fillId="14" borderId="14" xfId="0" applyFont="1" applyFill="1" applyBorder="1"/>
    <xf numFmtId="0" fontId="89" fillId="16" borderId="10" xfId="7" applyFont="1" applyFill="1" applyBorder="1" applyAlignment="1" applyProtection="1">
      <alignment horizontal="center"/>
      <protection locked="0"/>
    </xf>
    <xf numFmtId="0" fontId="91" fillId="16" borderId="25" xfId="7" applyFont="1" applyFill="1" applyBorder="1" applyAlignment="1" applyProtection="1">
      <alignment horizontal="center"/>
      <protection locked="0"/>
    </xf>
    <xf numFmtId="0" fontId="34" fillId="0" borderId="0" xfId="7" applyFont="1" applyAlignment="1" applyProtection="1">
      <alignment vertical="top"/>
      <protection locked="0"/>
    </xf>
    <xf numFmtId="10" fontId="88" fillId="12" borderId="25" xfId="0" applyNumberFormat="1" applyFont="1" applyFill="1" applyBorder="1" applyAlignment="1" applyProtection="1">
      <alignment horizontal="center"/>
      <protection locked="0"/>
    </xf>
    <xf numFmtId="171" fontId="0" fillId="0" borderId="0" xfId="0" applyNumberFormat="1"/>
    <xf numFmtId="0" fontId="5" fillId="0" borderId="0" xfId="7" applyFont="1" applyProtection="1">
      <protection locked="0"/>
    </xf>
    <xf numFmtId="0" fontId="49" fillId="0" borderId="0" xfId="0" applyFont="1" applyProtection="1">
      <protection locked="0"/>
    </xf>
    <xf numFmtId="0" fontId="49" fillId="2" borderId="29" xfId="0" applyFont="1" applyFill="1" applyBorder="1" applyProtection="1">
      <protection locked="0"/>
    </xf>
    <xf numFmtId="0" fontId="72" fillId="0" borderId="0" xfId="0" applyFont="1"/>
    <xf numFmtId="0" fontId="72" fillId="0" borderId="0" xfId="0" applyFont="1" applyProtection="1">
      <protection locked="0"/>
    </xf>
    <xf numFmtId="0" fontId="4" fillId="0" borderId="0" xfId="7" applyFont="1" applyAlignment="1">
      <alignment horizontal="centerContinuous" vertical="center"/>
    </xf>
    <xf numFmtId="0" fontId="75" fillId="0" borderId="0" xfId="2" applyNumberFormat="1" applyFont="1" applyFill="1" applyBorder="1" applyAlignment="1" applyProtection="1">
      <alignment horizontal="center"/>
    </xf>
    <xf numFmtId="2" fontId="13" fillId="16" borderId="0" xfId="4" applyNumberFormat="1" applyFont="1" applyFill="1" applyAlignment="1">
      <alignment horizontal="center"/>
    </xf>
    <xf numFmtId="1" fontId="13" fillId="16" borderId="0" xfId="4" applyFont="1" applyFill="1" applyAlignment="1">
      <alignment horizontal="center"/>
    </xf>
    <xf numFmtId="49" fontId="13" fillId="16" borderId="0" xfId="4" applyNumberFormat="1" applyFont="1" applyFill="1" applyAlignment="1">
      <alignment horizontal="center"/>
    </xf>
    <xf numFmtId="17" fontId="13" fillId="16" borderId="0" xfId="4" applyNumberFormat="1" applyFont="1" applyFill="1" applyAlignment="1">
      <alignment horizontal="center"/>
    </xf>
    <xf numFmtId="169" fontId="13" fillId="16" borderId="0" xfId="4" applyNumberFormat="1" applyFont="1" applyFill="1" applyAlignment="1">
      <alignment horizontal="center"/>
    </xf>
    <xf numFmtId="0" fontId="82" fillId="2" borderId="24" xfId="7" applyFont="1" applyFill="1" applyBorder="1" applyAlignment="1">
      <alignment horizontal="centerContinuous"/>
    </xf>
    <xf numFmtId="0" fontId="28" fillId="3" borderId="24" xfId="3" applyFont="1" applyFill="1" applyBorder="1" applyAlignment="1">
      <alignment horizontal="left"/>
    </xf>
    <xf numFmtId="0" fontId="28" fillId="4" borderId="19" xfId="3" applyFont="1" applyFill="1" applyBorder="1" applyAlignment="1">
      <alignment horizontal="left"/>
    </xf>
    <xf numFmtId="0" fontId="28" fillId="5" borderId="19" xfId="3" applyFont="1" applyFill="1" applyBorder="1" applyAlignment="1">
      <alignment horizontal="left"/>
    </xf>
    <xf numFmtId="0" fontId="28" fillId="6" borderId="19" xfId="3" applyFont="1" applyFill="1" applyBorder="1" applyAlignment="1">
      <alignment horizontal="left"/>
    </xf>
    <xf numFmtId="0" fontId="28" fillId="2" borderId="19" xfId="3" applyFont="1" applyFill="1" applyBorder="1" applyAlignment="1">
      <alignment horizontal="left"/>
    </xf>
    <xf numFmtId="0" fontId="28" fillId="7" borderId="19" xfId="3" applyFont="1" applyFill="1" applyBorder="1" applyAlignment="1">
      <alignment horizontal="left"/>
    </xf>
    <xf numFmtId="0" fontId="28" fillId="8" borderId="19" xfId="3" applyFont="1" applyFill="1" applyBorder="1" applyAlignment="1">
      <alignment horizontal="left"/>
    </xf>
    <xf numFmtId="0" fontId="28" fillId="9" borderId="19" xfId="3" applyFont="1" applyFill="1" applyBorder="1" applyAlignment="1">
      <alignment horizontal="left"/>
    </xf>
    <xf numFmtId="0" fontId="28" fillId="10" borderId="19" xfId="3" applyFont="1" applyFill="1" applyBorder="1" applyAlignment="1">
      <alignment horizontal="left"/>
    </xf>
    <xf numFmtId="0" fontId="28" fillId="11" borderId="19" xfId="3" applyFont="1" applyFill="1" applyBorder="1" applyAlignment="1">
      <alignment horizontal="left"/>
    </xf>
    <xf numFmtId="38" fontId="10" fillId="2" borderId="18" xfId="0" applyNumberFormat="1" applyFont="1" applyFill="1" applyBorder="1" applyAlignment="1">
      <alignment horizontal="center"/>
    </xf>
    <xf numFmtId="0" fontId="96" fillId="2" borderId="3" xfId="0" applyFont="1" applyFill="1" applyBorder="1" applyAlignment="1">
      <alignment horizontal="center"/>
    </xf>
    <xf numFmtId="1" fontId="20" fillId="0" borderId="13" xfId="6" applyFont="1" applyBorder="1" applyAlignment="1" applyProtection="1">
      <alignment horizontal="left"/>
      <protection locked="0"/>
    </xf>
    <xf numFmtId="0" fontId="0" fillId="2" borderId="0" xfId="0" applyFill="1"/>
    <xf numFmtId="43" fontId="12" fillId="0" borderId="0" xfId="1" applyFont="1" applyFill="1" applyBorder="1" applyAlignment="1" applyProtection="1">
      <alignment horizontal="right"/>
      <protection locked="0"/>
    </xf>
    <xf numFmtId="0" fontId="99" fillId="0" borderId="0" xfId="3" applyFont="1" applyAlignment="1">
      <alignment horizontal="center" vertical="center"/>
    </xf>
    <xf numFmtId="2" fontId="100" fillId="0" borderId="0" xfId="0" applyNumberFormat="1" applyFont="1" applyProtection="1">
      <protection locked="0"/>
    </xf>
    <xf numFmtId="2" fontId="10" fillId="2" borderId="3" xfId="0" applyNumberFormat="1" applyFont="1" applyFill="1" applyBorder="1" applyAlignment="1">
      <alignment horizontal="center"/>
    </xf>
    <xf numFmtId="40" fontId="10" fillId="2" borderId="18" xfId="0" applyNumberFormat="1" applyFont="1" applyFill="1" applyBorder="1" applyAlignment="1">
      <alignment horizontal="center"/>
    </xf>
    <xf numFmtId="40" fontId="9" fillId="2" borderId="2" xfId="3" applyNumberFormat="1" applyFont="1" applyFill="1" applyBorder="1" applyAlignment="1">
      <alignment horizontal="center"/>
    </xf>
    <xf numFmtId="0" fontId="19" fillId="0" borderId="30" xfId="0" applyFont="1" applyBorder="1" applyAlignment="1" applyProtection="1">
      <alignment horizontal="center"/>
      <protection locked="0"/>
    </xf>
    <xf numFmtId="0" fontId="19" fillId="0" borderId="26" xfId="0" applyFont="1" applyBorder="1" applyAlignment="1" applyProtection="1">
      <alignment horizontal="center"/>
      <protection locked="0"/>
    </xf>
    <xf numFmtId="0" fontId="60" fillId="0" borderId="0" xfId="0" applyFont="1" applyAlignment="1" applyProtection="1">
      <alignment horizontal="center"/>
      <protection locked="0"/>
    </xf>
    <xf numFmtId="0" fontId="60" fillId="0" borderId="21" xfId="0" applyFont="1" applyBorder="1" applyAlignment="1" applyProtection="1">
      <alignment horizontal="center"/>
      <protection locked="0"/>
    </xf>
    <xf numFmtId="0" fontId="102" fillId="0" borderId="19" xfId="0" applyFont="1" applyBorder="1" applyAlignment="1" applyProtection="1">
      <alignment horizontal="center"/>
      <protection locked="0"/>
    </xf>
    <xf numFmtId="0" fontId="0" fillId="14" borderId="16" xfId="0" applyFill="1" applyBorder="1"/>
    <xf numFmtId="2" fontId="8" fillId="16" borderId="31" xfId="0" applyNumberFormat="1" applyFont="1" applyFill="1" applyBorder="1"/>
    <xf numFmtId="2" fontId="8" fillId="16" borderId="19" xfId="0" applyNumberFormat="1" applyFont="1" applyFill="1" applyBorder="1"/>
    <xf numFmtId="2" fontId="8" fillId="16" borderId="0" xfId="0" applyNumberFormat="1" applyFont="1" applyFill="1"/>
    <xf numFmtId="2" fontId="4" fillId="18" borderId="15" xfId="0" applyNumberFormat="1" applyFont="1" applyFill="1" applyBorder="1" applyAlignment="1">
      <alignment horizontal="right"/>
    </xf>
    <xf numFmtId="2" fontId="4" fillId="18" borderId="9" xfId="0" applyNumberFormat="1" applyFont="1" applyFill="1" applyBorder="1" applyAlignment="1">
      <alignment horizontal="right"/>
    </xf>
    <xf numFmtId="0" fontId="0" fillId="16" borderId="32" xfId="0" applyFill="1" applyBorder="1" applyAlignment="1">
      <alignment horizontal="left"/>
    </xf>
    <xf numFmtId="0" fontId="1" fillId="16" borderId="0" xfId="0" applyFont="1" applyFill="1" applyAlignment="1">
      <alignment horizontal="center"/>
    </xf>
    <xf numFmtId="0" fontId="13" fillId="0" borderId="0" xfId="3" applyFont="1" applyAlignment="1">
      <alignment horizontal="left"/>
    </xf>
    <xf numFmtId="0" fontId="8" fillId="0" borderId="0" xfId="7" applyFont="1"/>
    <xf numFmtId="0" fontId="17" fillId="0" borderId="0" xfId="7" applyFont="1"/>
    <xf numFmtId="49" fontId="72" fillId="0" borderId="0" xfId="2" applyNumberFormat="1" applyFont="1" applyFill="1" applyBorder="1" applyAlignment="1" applyProtection="1">
      <alignment horizontal="right"/>
      <protection locked="0"/>
    </xf>
    <xf numFmtId="49" fontId="104" fillId="0" borderId="0" xfId="2" applyNumberFormat="1" applyFont="1" applyFill="1" applyBorder="1" applyAlignment="1" applyProtection="1">
      <alignment horizontal="right" vertical="center"/>
    </xf>
    <xf numFmtId="0" fontId="105" fillId="0" borderId="0" xfId="0" applyFont="1" applyAlignment="1">
      <alignment horizontal="right"/>
    </xf>
    <xf numFmtId="0" fontId="87" fillId="2" borderId="3" xfId="7" applyFont="1" applyFill="1" applyBorder="1" applyAlignment="1">
      <alignment horizontal="center"/>
    </xf>
    <xf numFmtId="0" fontId="101" fillId="16" borderId="11" xfId="3" applyFont="1" applyFill="1" applyBorder="1" applyAlignment="1" applyProtection="1">
      <alignment horizontal="left" vertical="center"/>
      <protection locked="0"/>
    </xf>
    <xf numFmtId="0" fontId="109" fillId="16" borderId="6" xfId="3" applyFont="1" applyFill="1" applyBorder="1" applyAlignment="1">
      <alignment horizontal="center" vertical="center"/>
    </xf>
    <xf numFmtId="0" fontId="110" fillId="16" borderId="3" xfId="2" applyNumberFormat="1" applyFont="1" applyFill="1" applyBorder="1" applyAlignment="1" applyProtection="1">
      <alignment horizontal="center" vertical="center"/>
    </xf>
    <xf numFmtId="0" fontId="22" fillId="0" borderId="0" xfId="7" applyFont="1" applyAlignment="1" applyProtection="1">
      <alignment horizontal="left"/>
      <protection locked="0"/>
    </xf>
    <xf numFmtId="0" fontId="93" fillId="0" borderId="0" xfId="7" applyFont="1" applyAlignment="1">
      <alignment vertical="center"/>
    </xf>
    <xf numFmtId="0" fontId="106" fillId="2" borderId="18" xfId="7" applyFont="1" applyFill="1" applyBorder="1" applyAlignment="1">
      <alignment horizontal="right"/>
    </xf>
    <xf numFmtId="0" fontId="92" fillId="12" borderId="10" xfId="0" applyFont="1" applyFill="1" applyBorder="1" applyAlignment="1" applyProtection="1">
      <alignment horizontal="center"/>
      <protection locked="0"/>
    </xf>
    <xf numFmtId="0" fontId="77" fillId="2" borderId="16" xfId="3" applyFont="1" applyFill="1" applyBorder="1" applyAlignment="1">
      <alignment horizontal="left"/>
    </xf>
    <xf numFmtId="0" fontId="92" fillId="12" borderId="25" xfId="0" applyFont="1" applyFill="1" applyBorder="1" applyAlignment="1" applyProtection="1">
      <alignment horizontal="center"/>
      <protection locked="0"/>
    </xf>
    <xf numFmtId="0" fontId="92" fillId="12" borderId="11" xfId="0" applyFont="1" applyFill="1" applyBorder="1" applyAlignment="1" applyProtection="1">
      <alignment horizontal="center"/>
      <protection locked="0"/>
    </xf>
    <xf numFmtId="0" fontId="67" fillId="0" borderId="0" xfId="3" applyFont="1" applyAlignment="1">
      <alignment horizontal="right"/>
    </xf>
    <xf numFmtId="0" fontId="85" fillId="14" borderId="14" xfId="0" applyFont="1" applyFill="1" applyBorder="1"/>
    <xf numFmtId="0" fontId="85" fillId="14" borderId="16" xfId="0" applyFont="1" applyFill="1" applyBorder="1"/>
    <xf numFmtId="2" fontId="86" fillId="2" borderId="10" xfId="3" applyNumberFormat="1" applyFont="1" applyFill="1" applyBorder="1" applyAlignment="1">
      <alignment horizontal="center"/>
    </xf>
    <xf numFmtId="2" fontId="86" fillId="2" borderId="25" xfId="3" applyNumberFormat="1" applyFont="1" applyFill="1" applyBorder="1" applyAlignment="1">
      <alignment horizontal="center"/>
    </xf>
    <xf numFmtId="2" fontId="86" fillId="2" borderId="11" xfId="3" applyNumberFormat="1" applyFont="1" applyFill="1" applyBorder="1" applyAlignment="1">
      <alignment horizontal="center"/>
    </xf>
    <xf numFmtId="2" fontId="13" fillId="12" borderId="0" xfId="3" applyNumberFormat="1" applyFont="1" applyFill="1" applyAlignment="1">
      <alignment horizontal="center"/>
    </xf>
    <xf numFmtId="0" fontId="66" fillId="12" borderId="3" xfId="3" applyFont="1" applyFill="1" applyBorder="1" applyAlignment="1" applyProtection="1">
      <alignment horizontal="center"/>
      <protection locked="0"/>
    </xf>
    <xf numFmtId="43" fontId="12" fillId="17" borderId="19" xfId="1" applyFont="1" applyFill="1" applyBorder="1" applyAlignment="1" applyProtection="1">
      <alignment horizontal="center"/>
      <protection locked="0"/>
    </xf>
    <xf numFmtId="0" fontId="113" fillId="0" borderId="19" xfId="0" applyFont="1" applyBorder="1" applyAlignment="1" applyProtection="1">
      <alignment horizontal="center"/>
      <protection locked="0"/>
    </xf>
    <xf numFmtId="0" fontId="113" fillId="0" borderId="25" xfId="0" applyFont="1" applyBorder="1" applyAlignment="1" applyProtection="1">
      <alignment horizontal="center"/>
      <protection locked="0"/>
    </xf>
    <xf numFmtId="0" fontId="113" fillId="0" borderId="0" xfId="0" applyFont="1" applyAlignment="1" applyProtection="1">
      <alignment horizontal="center"/>
      <protection locked="0"/>
    </xf>
    <xf numFmtId="0" fontId="13" fillId="0" borderId="0" xfId="0" applyFont="1" applyProtection="1">
      <protection locked="0"/>
    </xf>
    <xf numFmtId="0" fontId="114" fillId="0" borderId="0" xfId="0" applyFont="1" applyAlignment="1" applyProtection="1">
      <alignment horizontal="center"/>
      <protection locked="0"/>
    </xf>
    <xf numFmtId="0" fontId="115" fillId="0" borderId="0" xfId="0" applyFont="1" applyAlignment="1" applyProtection="1">
      <alignment horizontal="center"/>
      <protection locked="0"/>
    </xf>
    <xf numFmtId="0" fontId="87" fillId="16" borderId="5" xfId="7" applyFont="1" applyFill="1" applyBorder="1" applyAlignment="1">
      <alignment horizontal="centerContinuous" vertical="center"/>
    </xf>
    <xf numFmtId="0" fontId="9" fillId="16" borderId="3" xfId="3" applyFont="1" applyFill="1" applyBorder="1" applyAlignment="1">
      <alignment horizontal="center"/>
    </xf>
    <xf numFmtId="0" fontId="29" fillId="16" borderId="4" xfId="0" applyFont="1" applyFill="1" applyBorder="1"/>
    <xf numFmtId="0" fontId="37" fillId="16" borderId="29" xfId="7" applyFont="1" applyFill="1" applyBorder="1" applyAlignment="1">
      <alignment horizontal="left" vertical="center"/>
    </xf>
    <xf numFmtId="0" fontId="0" fillId="16" borderId="29" xfId="0" applyFill="1" applyBorder="1"/>
    <xf numFmtId="0" fontId="94" fillId="16" borderId="29" xfId="7" applyFont="1" applyFill="1" applyBorder="1" applyAlignment="1">
      <alignment horizontal="center"/>
    </xf>
    <xf numFmtId="0" fontId="4" fillId="16" borderId="29" xfId="7" applyFont="1" applyFill="1" applyBorder="1" applyAlignment="1">
      <alignment horizontal="centerContinuous" vertical="center"/>
    </xf>
    <xf numFmtId="0" fontId="4" fillId="16" borderId="33" xfId="7" applyFont="1" applyFill="1" applyBorder="1" applyAlignment="1">
      <alignment horizontal="centerContinuous" vertical="center"/>
    </xf>
    <xf numFmtId="10" fontId="88" fillId="12" borderId="11" xfId="0" applyNumberFormat="1" applyFont="1" applyFill="1" applyBorder="1" applyAlignment="1" applyProtection="1">
      <alignment horizontal="center"/>
      <protection locked="0"/>
    </xf>
    <xf numFmtId="0" fontId="118" fillId="0" borderId="0" xfId="3" applyFont="1" applyAlignment="1" applyProtection="1">
      <alignment horizontal="left"/>
      <protection locked="0"/>
    </xf>
    <xf numFmtId="39" fontId="12" fillId="16" borderId="3" xfId="1" applyNumberFormat="1" applyFont="1" applyFill="1" applyBorder="1" applyAlignment="1" applyProtection="1">
      <alignment horizontal="right"/>
    </xf>
    <xf numFmtId="43" fontId="15" fillId="16" borderId="17" xfId="1" applyFont="1" applyFill="1" applyBorder="1" applyAlignment="1" applyProtection="1">
      <alignment horizontal="center"/>
    </xf>
    <xf numFmtId="43" fontId="15" fillId="16" borderId="0" xfId="1" applyFont="1" applyFill="1" applyBorder="1" applyAlignment="1" applyProtection="1">
      <alignment horizontal="center"/>
    </xf>
    <xf numFmtId="43" fontId="12" fillId="16" borderId="0" xfId="1" applyFont="1" applyFill="1" applyBorder="1" applyAlignment="1" applyProtection="1">
      <alignment horizontal="center"/>
    </xf>
    <xf numFmtId="43" fontId="12" fillId="0" borderId="0" xfId="1" applyFont="1" applyBorder="1" applyProtection="1"/>
    <xf numFmtId="173" fontId="15" fillId="16" borderId="0" xfId="1" applyNumberFormat="1" applyFont="1" applyFill="1" applyBorder="1" applyAlignment="1" applyProtection="1">
      <alignment horizontal="center"/>
    </xf>
    <xf numFmtId="0" fontId="119" fillId="0" borderId="0" xfId="0" applyFont="1" applyAlignment="1" applyProtection="1">
      <alignment horizontal="right"/>
      <protection locked="0"/>
    </xf>
    <xf numFmtId="10" fontId="12" fillId="16" borderId="3" xfId="0" applyNumberFormat="1" applyFont="1" applyFill="1" applyBorder="1" applyAlignment="1">
      <alignment horizontal="right" vertical="center"/>
    </xf>
    <xf numFmtId="39" fontId="15" fillId="16" borderId="3" xfId="1" applyNumberFormat="1" applyFont="1" applyFill="1" applyBorder="1" applyAlignment="1" applyProtection="1">
      <alignment horizontal="right"/>
    </xf>
    <xf numFmtId="0" fontId="120" fillId="0" borderId="0" xfId="0" applyFont="1" applyAlignment="1" applyProtection="1">
      <alignment horizontal="right" vertical="top"/>
      <protection locked="0"/>
    </xf>
    <xf numFmtId="10" fontId="121" fillId="16" borderId="18" xfId="7" applyNumberFormat="1" applyFont="1" applyFill="1" applyBorder="1" applyAlignment="1">
      <alignment horizontal="center"/>
    </xf>
    <xf numFmtId="10" fontId="121" fillId="16" borderId="23" xfId="7" applyNumberFormat="1" applyFont="1" applyFill="1" applyBorder="1" applyAlignment="1">
      <alignment horizontal="center"/>
    </xf>
    <xf numFmtId="10" fontId="122" fillId="14" borderId="18" xfId="7" applyNumberFormat="1" applyFont="1" applyFill="1" applyBorder="1" applyAlignment="1">
      <alignment horizontal="center"/>
    </xf>
    <xf numFmtId="2" fontId="122" fillId="14" borderId="18" xfId="7" applyNumberFormat="1" applyFont="1" applyFill="1" applyBorder="1" applyAlignment="1">
      <alignment horizontal="center"/>
    </xf>
    <xf numFmtId="0" fontId="23" fillId="0" borderId="0" xfId="3" applyFont="1" applyAlignment="1" applyProtection="1">
      <alignment horizontal="right"/>
      <protection locked="0"/>
    </xf>
    <xf numFmtId="0" fontId="4" fillId="0" borderId="0" xfId="3" applyAlignment="1" applyProtection="1">
      <alignment horizontal="left"/>
      <protection locked="0"/>
    </xf>
    <xf numFmtId="0" fontId="76" fillId="16" borderId="0" xfId="3" applyFont="1" applyFill="1" applyAlignment="1" applyProtection="1">
      <alignment horizontal="left"/>
      <protection locked="0"/>
    </xf>
    <xf numFmtId="0" fontId="22" fillId="0" borderId="0" xfId="3" applyFont="1" applyProtection="1">
      <protection locked="0"/>
    </xf>
    <xf numFmtId="0" fontId="81" fillId="0" borderId="0" xfId="3" applyFont="1" applyAlignment="1" applyProtection="1">
      <alignment horizontal="right"/>
      <protection locked="0"/>
    </xf>
    <xf numFmtId="0" fontId="22" fillId="0" borderId="0" xfId="3" applyFont="1" applyAlignment="1" applyProtection="1">
      <alignment horizontal="left"/>
      <protection locked="0"/>
    </xf>
    <xf numFmtId="0" fontId="22" fillId="0" borderId="0" xfId="7" applyFont="1" applyAlignment="1" applyProtection="1">
      <alignment horizontal="left" vertical="center"/>
      <protection locked="0"/>
    </xf>
    <xf numFmtId="14" fontId="123" fillId="0" borderId="0" xfId="7" applyNumberFormat="1" applyFont="1" applyAlignment="1" applyProtection="1">
      <alignment horizontal="right"/>
      <protection locked="0"/>
    </xf>
    <xf numFmtId="14" fontId="52" fillId="0" borderId="0" xfId="7" applyNumberFormat="1" applyFont="1" applyAlignment="1" applyProtection="1">
      <alignment horizontal="center"/>
      <protection locked="0"/>
    </xf>
    <xf numFmtId="174" fontId="59" fillId="0" borderId="0" xfId="7" applyNumberFormat="1" applyFont="1" applyAlignment="1" applyProtection="1">
      <alignment horizontal="right"/>
      <protection locked="0"/>
    </xf>
    <xf numFmtId="175" fontId="59" fillId="0" borderId="0" xfId="7" applyNumberFormat="1" applyFont="1" applyAlignment="1" applyProtection="1">
      <alignment horizontal="left"/>
      <protection locked="0"/>
    </xf>
    <xf numFmtId="170" fontId="76" fillId="16" borderId="19" xfId="0" applyNumberFormat="1" applyFont="1" applyFill="1" applyBorder="1" applyAlignment="1" applyProtection="1">
      <alignment horizontal="center"/>
      <protection locked="0"/>
    </xf>
    <xf numFmtId="167" fontId="12" fillId="0" borderId="11" xfId="7" applyNumberFormat="1" applyFont="1" applyBorder="1" applyAlignment="1" applyProtection="1">
      <alignment horizontal="center"/>
      <protection locked="0"/>
    </xf>
    <xf numFmtId="39" fontId="125" fillId="0" borderId="16" xfId="1" applyNumberFormat="1" applyFont="1" applyFill="1" applyBorder="1" applyAlignment="1" applyProtection="1">
      <alignment horizontal="right"/>
    </xf>
    <xf numFmtId="39" fontId="125" fillId="0" borderId="18" xfId="1" applyNumberFormat="1" applyFont="1" applyFill="1" applyBorder="1" applyAlignment="1" applyProtection="1">
      <alignment horizontal="right"/>
    </xf>
    <xf numFmtId="0" fontId="126" fillId="0" borderId="14" xfId="7" applyFont="1" applyBorder="1" applyAlignment="1">
      <alignment horizontal="center"/>
    </xf>
    <xf numFmtId="40" fontId="18" fillId="2" borderId="14" xfId="7" applyNumberFormat="1" applyFont="1" applyFill="1" applyBorder="1" applyAlignment="1">
      <alignment horizontal="right"/>
    </xf>
    <xf numFmtId="40" fontId="18" fillId="2" borderId="16" xfId="7" applyNumberFormat="1" applyFont="1" applyFill="1" applyBorder="1" applyAlignment="1">
      <alignment horizontal="right"/>
    </xf>
    <xf numFmtId="14" fontId="52" fillId="0" borderId="0" xfId="7" applyNumberFormat="1" applyFont="1" applyAlignment="1" applyProtection="1">
      <alignment horizontal="right"/>
      <protection locked="0"/>
    </xf>
    <xf numFmtId="0" fontId="123" fillId="0" borderId="0" xfId="0" applyFont="1"/>
    <xf numFmtId="39" fontId="52" fillId="0" borderId="0" xfId="1" applyNumberFormat="1" applyFont="1" applyFill="1" applyBorder="1" applyAlignment="1" applyProtection="1">
      <alignment horizontal="right"/>
      <protection locked="0"/>
    </xf>
    <xf numFmtId="43" fontId="52" fillId="0" borderId="0" xfId="1" applyFont="1" applyFill="1" applyBorder="1" applyAlignment="1" applyProtection="1">
      <alignment horizontal="right"/>
      <protection locked="0"/>
    </xf>
    <xf numFmtId="43" fontId="52" fillId="0" borderId="0" xfId="1" applyFont="1" applyBorder="1" applyAlignment="1" applyProtection="1">
      <alignment horizontal="right"/>
      <protection locked="0"/>
    </xf>
    <xf numFmtId="4" fontId="4" fillId="16" borderId="0" xfId="1" applyNumberFormat="1" applyFont="1" applyFill="1" applyBorder="1" applyAlignment="1" applyProtection="1">
      <alignment horizontal="centerContinuous"/>
      <protection locked="0"/>
    </xf>
    <xf numFmtId="176" fontId="15" fillId="16" borderId="3" xfId="1" applyNumberFormat="1" applyFont="1" applyFill="1" applyBorder="1" applyAlignment="1" applyProtection="1">
      <alignment horizontal="right"/>
    </xf>
    <xf numFmtId="167" fontId="124" fillId="16" borderId="3" xfId="7" applyNumberFormat="1" applyFont="1" applyFill="1" applyBorder="1" applyAlignment="1">
      <alignment horizontal="center"/>
    </xf>
    <xf numFmtId="0" fontId="109" fillId="16" borderId="25" xfId="0" applyFont="1" applyFill="1" applyBorder="1" applyAlignment="1">
      <alignment horizontal="center" vertical="center"/>
    </xf>
    <xf numFmtId="0" fontId="109" fillId="16" borderId="19" xfId="0" applyFont="1" applyFill="1" applyBorder="1" applyAlignment="1">
      <alignment horizontal="center" vertical="center"/>
    </xf>
    <xf numFmtId="0" fontId="109" fillId="16" borderId="6" xfId="0" applyFont="1" applyFill="1" applyBorder="1" applyAlignment="1">
      <alignment horizontal="right" vertical="center"/>
    </xf>
    <xf numFmtId="0" fontId="28" fillId="11" borderId="11" xfId="3" applyFont="1" applyFill="1" applyBorder="1" applyAlignment="1">
      <alignment horizontal="left"/>
    </xf>
    <xf numFmtId="0" fontId="106" fillId="2" borderId="23" xfId="7" applyFont="1" applyFill="1" applyBorder="1" applyAlignment="1">
      <alignment horizontal="center"/>
    </xf>
    <xf numFmtId="2" fontId="28" fillId="2" borderId="17" xfId="7" applyNumberFormat="1" applyFont="1" applyFill="1" applyBorder="1" applyAlignment="1">
      <alignment horizontal="center"/>
    </xf>
    <xf numFmtId="0" fontId="77" fillId="2" borderId="21" xfId="3" applyFont="1" applyFill="1" applyBorder="1" applyAlignment="1">
      <alignment horizontal="left"/>
    </xf>
    <xf numFmtId="0" fontId="13" fillId="0" borderId="40" xfId="0" applyFont="1" applyBorder="1" applyAlignment="1" applyProtection="1">
      <alignment horizontal="center"/>
      <protection locked="0"/>
    </xf>
    <xf numFmtId="4" fontId="17" fillId="12" borderId="41" xfId="0" applyNumberFormat="1" applyFont="1" applyFill="1" applyBorder="1" applyAlignment="1" applyProtection="1">
      <alignment horizontal="center"/>
      <protection locked="0"/>
    </xf>
    <xf numFmtId="0" fontId="9" fillId="2" borderId="23" xfId="3" applyFont="1" applyFill="1" applyBorder="1" applyAlignment="1">
      <alignment horizontal="center"/>
    </xf>
    <xf numFmtId="0" fontId="0" fillId="0" borderId="3" xfId="0" applyBorder="1" applyAlignment="1" applyProtection="1">
      <alignment horizontal="center"/>
      <protection locked="0"/>
    </xf>
    <xf numFmtId="0" fontId="70" fillId="14" borderId="3" xfId="0" applyFont="1" applyFill="1" applyBorder="1" applyAlignment="1" applyProtection="1">
      <alignment horizontal="center"/>
      <protection locked="0"/>
    </xf>
    <xf numFmtId="0" fontId="70" fillId="12" borderId="3" xfId="0" applyFont="1" applyFill="1" applyBorder="1" applyAlignment="1" applyProtection="1">
      <alignment horizontal="center"/>
      <protection locked="0"/>
    </xf>
    <xf numFmtId="0" fontId="70" fillId="0" borderId="3" xfId="0" applyFont="1" applyBorder="1" applyAlignment="1" applyProtection="1">
      <alignment horizontal="center"/>
      <protection locked="0"/>
    </xf>
    <xf numFmtId="0" fontId="8" fillId="18" borderId="3" xfId="0" applyFont="1" applyFill="1" applyBorder="1" applyProtection="1">
      <protection locked="0"/>
    </xf>
    <xf numFmtId="0" fontId="19" fillId="0" borderId="0" xfId="0" applyFont="1"/>
    <xf numFmtId="0" fontId="128" fillId="0" borderId="0" xfId="0" applyFont="1"/>
    <xf numFmtId="38" fontId="129" fillId="16" borderId="18" xfId="0" applyNumberFormat="1" applyFont="1" applyFill="1" applyBorder="1" applyAlignment="1">
      <alignment horizontal="center"/>
    </xf>
    <xf numFmtId="38" fontId="26" fillId="12" borderId="14" xfId="0" applyNumberFormat="1" applyFont="1" applyFill="1" applyBorder="1" applyAlignment="1" applyProtection="1">
      <alignment horizontal="center"/>
      <protection locked="0"/>
    </xf>
    <xf numFmtId="0" fontId="57" fillId="0" borderId="0" xfId="0" applyFont="1" applyProtection="1">
      <protection locked="0"/>
    </xf>
    <xf numFmtId="0" fontId="130" fillId="0" borderId="0" xfId="7" applyFont="1" applyProtection="1">
      <protection locked="0"/>
    </xf>
    <xf numFmtId="0" fontId="131" fillId="0" borderId="0" xfId="0" applyFont="1" applyProtection="1">
      <protection locked="0"/>
    </xf>
    <xf numFmtId="0" fontId="132" fillId="0" borderId="0" xfId="0" applyFont="1" applyProtection="1">
      <protection locked="0"/>
    </xf>
    <xf numFmtId="0" fontId="45" fillId="0" borderId="0" xfId="0" applyFont="1" applyProtection="1">
      <protection locked="0"/>
    </xf>
    <xf numFmtId="0" fontId="108" fillId="0" borderId="0" xfId="0" applyFont="1" applyAlignment="1">
      <alignment vertical="center"/>
    </xf>
    <xf numFmtId="2" fontId="13" fillId="12" borderId="0" xfId="3" applyNumberFormat="1" applyFont="1" applyFill="1" applyAlignment="1">
      <alignment horizontal="center" vertical="top"/>
    </xf>
    <xf numFmtId="2" fontId="26" fillId="2" borderId="0" xfId="3" applyNumberFormat="1" applyFont="1" applyFill="1" applyAlignment="1" applyProtection="1">
      <alignment horizontal="center" vertical="top"/>
      <protection locked="0"/>
    </xf>
    <xf numFmtId="0" fontId="0" fillId="2" borderId="0" xfId="0" applyFill="1" applyProtection="1">
      <protection locked="0"/>
    </xf>
    <xf numFmtId="0" fontId="44" fillId="0" borderId="0" xfId="0" applyFont="1" applyAlignment="1" applyProtection="1">
      <alignment horizontal="center"/>
      <protection locked="0"/>
    </xf>
    <xf numFmtId="0" fontId="134" fillId="0" borderId="0" xfId="3" applyFont="1" applyAlignment="1">
      <alignment horizontal="right" vertical="top"/>
    </xf>
    <xf numFmtId="0" fontId="134" fillId="0" borderId="0" xfId="7" applyFont="1" applyAlignment="1">
      <alignment horizontal="right"/>
    </xf>
    <xf numFmtId="0" fontId="134" fillId="0" borderId="0" xfId="3" applyFont="1" applyAlignment="1">
      <alignment horizontal="right"/>
    </xf>
    <xf numFmtId="0" fontId="135" fillId="0" borderId="0" xfId="0" applyFont="1" applyAlignment="1" applyProtection="1">
      <alignment horizontal="left"/>
      <protection locked="0"/>
    </xf>
    <xf numFmtId="0" fontId="136" fillId="0" borderId="0" xfId="0" applyFont="1" applyProtection="1">
      <protection locked="0"/>
    </xf>
    <xf numFmtId="2" fontId="13" fillId="16" borderId="6" xfId="0" applyNumberFormat="1" applyFont="1" applyFill="1" applyBorder="1" applyAlignment="1">
      <alignment horizontal="center" vertical="center"/>
    </xf>
    <xf numFmtId="49" fontId="137" fillId="16" borderId="20" xfId="0" applyNumberFormat="1" applyFont="1" applyFill="1" applyBorder="1" applyAlignment="1">
      <alignment horizontal="left"/>
    </xf>
    <xf numFmtId="4" fontId="15" fillId="3" borderId="8" xfId="3" applyNumberFormat="1" applyFont="1" applyFill="1" applyBorder="1" applyAlignment="1">
      <alignment horizontal="right"/>
    </xf>
    <xf numFmtId="4" fontId="15" fillId="3" borderId="9" xfId="3" applyNumberFormat="1" applyFont="1" applyFill="1" applyBorder="1" applyAlignment="1">
      <alignment horizontal="right"/>
    </xf>
    <xf numFmtId="0" fontId="138" fillId="16" borderId="19" xfId="0" applyFont="1" applyFill="1" applyBorder="1" applyAlignment="1">
      <alignment horizontal="left"/>
    </xf>
    <xf numFmtId="0" fontId="139" fillId="0" borderId="0" xfId="0" applyFont="1" applyAlignment="1" applyProtection="1">
      <alignment horizontal="left"/>
      <protection locked="0"/>
    </xf>
    <xf numFmtId="2" fontId="13" fillId="3" borderId="3" xfId="3" applyNumberFormat="1" applyFont="1" applyFill="1" applyBorder="1" applyAlignment="1" applyProtection="1">
      <alignment horizontal="center"/>
      <protection locked="0"/>
    </xf>
    <xf numFmtId="165" fontId="13" fillId="12" borderId="2" xfId="3" applyNumberFormat="1" applyFont="1" applyFill="1" applyBorder="1" applyAlignment="1" applyProtection="1">
      <alignment horizontal="center"/>
      <protection locked="0"/>
    </xf>
    <xf numFmtId="0" fontId="11" fillId="0" borderId="0" xfId="0" applyFont="1"/>
    <xf numFmtId="0" fontId="6" fillId="0" borderId="0" xfId="7" applyFont="1" applyAlignment="1">
      <alignment horizontal="right"/>
    </xf>
    <xf numFmtId="2" fontId="5" fillId="0" borderId="0" xfId="7" applyNumberFormat="1" applyFont="1"/>
    <xf numFmtId="0" fontId="9" fillId="0" borderId="0" xfId="7" applyFont="1" applyAlignment="1">
      <alignment horizontal="left"/>
    </xf>
    <xf numFmtId="0" fontId="5" fillId="0" borderId="0" xfId="7" applyFont="1" applyAlignment="1">
      <alignment horizontal="centerContinuous" vertical="center"/>
    </xf>
    <xf numFmtId="0" fontId="95" fillId="0" borderId="0" xfId="0" applyFont="1" applyAlignment="1">
      <alignment horizontal="right"/>
    </xf>
    <xf numFmtId="1" fontId="5" fillId="0" borderId="0" xfId="6" applyFont="1" applyAlignment="1">
      <alignment horizontal="center"/>
    </xf>
    <xf numFmtId="0" fontId="5" fillId="0" borderId="0" xfId="7" applyFont="1" applyAlignment="1">
      <alignment horizontal="centerContinuous"/>
    </xf>
    <xf numFmtId="0" fontId="5" fillId="0" borderId="0" xfId="7" applyFont="1"/>
    <xf numFmtId="0" fontId="6" fillId="0" borderId="0" xfId="3" applyFont="1" applyAlignment="1">
      <alignment horizontal="right"/>
    </xf>
    <xf numFmtId="1" fontId="5" fillId="0" borderId="0" xfId="6" applyFont="1"/>
    <xf numFmtId="0" fontId="49" fillId="0" borderId="0" xfId="0" applyFont="1"/>
    <xf numFmtId="0" fontId="9" fillId="0" borderId="0" xfId="2" applyNumberFormat="1" applyFont="1" applyBorder="1" applyAlignment="1" applyProtection="1"/>
    <xf numFmtId="14" fontId="9" fillId="0" borderId="0" xfId="7" applyNumberFormat="1" applyFont="1" applyAlignment="1">
      <alignment horizontal="left"/>
    </xf>
    <xf numFmtId="0" fontId="11" fillId="0" borderId="0" xfId="3" applyFont="1"/>
    <xf numFmtId="0" fontId="11" fillId="0" borderId="0" xfId="0" applyFont="1" applyAlignment="1">
      <alignment horizontal="centerContinuous"/>
    </xf>
    <xf numFmtId="0" fontId="6" fillId="0" borderId="0" xfId="2" applyNumberFormat="1" applyFont="1" applyBorder="1" applyAlignment="1" applyProtection="1">
      <alignment horizontal="centerContinuous"/>
    </xf>
    <xf numFmtId="0" fontId="49" fillId="2" borderId="29" xfId="0" applyFont="1" applyFill="1" applyBorder="1"/>
    <xf numFmtId="0" fontId="11" fillId="2" borderId="29" xfId="0" applyFont="1" applyFill="1" applyBorder="1"/>
    <xf numFmtId="2" fontId="5" fillId="2" borderId="29" xfId="7" applyNumberFormat="1" applyFont="1" applyFill="1" applyBorder="1"/>
    <xf numFmtId="0" fontId="11" fillId="2" borderId="29" xfId="7" applyFont="1" applyFill="1" applyBorder="1" applyAlignment="1">
      <alignment horizontal="centerContinuous" vertical="center"/>
    </xf>
    <xf numFmtId="0" fontId="5" fillId="2" borderId="29" xfId="7" applyFont="1" applyFill="1" applyBorder="1" applyAlignment="1">
      <alignment horizontal="centerContinuous"/>
    </xf>
    <xf numFmtId="0" fontId="50" fillId="2" borderId="29" xfId="2" applyNumberFormat="1" applyFont="1" applyFill="1" applyBorder="1" applyAlignment="1" applyProtection="1">
      <alignment horizontal="center"/>
    </xf>
    <xf numFmtId="0" fontId="54" fillId="2" borderId="29" xfId="2" applyNumberFormat="1" applyFont="1" applyFill="1" applyBorder="1" applyAlignment="1" applyProtection="1">
      <alignment horizontal="centerContinuous"/>
    </xf>
    <xf numFmtId="0" fontId="127" fillId="0" borderId="0" xfId="0" applyFont="1" applyAlignment="1">
      <alignment horizontal="center"/>
    </xf>
    <xf numFmtId="0" fontId="70" fillId="2" borderId="3" xfId="0" applyFont="1" applyFill="1" applyBorder="1" applyAlignment="1" applyProtection="1">
      <alignment horizontal="center"/>
      <protection locked="0"/>
    </xf>
    <xf numFmtId="0" fontId="71" fillId="0" borderId="3" xfId="0" applyFont="1" applyBorder="1" applyAlignment="1" applyProtection="1">
      <alignment horizontal="center"/>
      <protection locked="0"/>
    </xf>
    <xf numFmtId="167" fontId="140" fillId="0" borderId="3" xfId="7" applyNumberFormat="1" applyFont="1" applyBorder="1" applyAlignment="1">
      <alignment horizontal="right"/>
    </xf>
    <xf numFmtId="0" fontId="8" fillId="0" borderId="0" xfId="5" applyFont="1" applyAlignment="1">
      <alignment horizontal="center"/>
    </xf>
    <xf numFmtId="0" fontId="8" fillId="0" borderId="0" xfId="5" applyFont="1" applyAlignment="1" applyProtection="1">
      <alignment horizontal="center"/>
      <protection locked="0"/>
    </xf>
    <xf numFmtId="0" fontId="15" fillId="0" borderId="0" xfId="3" applyFont="1" applyAlignment="1">
      <alignment horizontal="center"/>
    </xf>
    <xf numFmtId="0" fontId="15" fillId="0" borderId="0" xfId="3" applyFont="1" applyAlignment="1">
      <alignment horizontal="left"/>
    </xf>
    <xf numFmtId="1" fontId="15" fillId="0" borderId="0" xfId="6" applyFont="1" applyAlignment="1" applyProtection="1">
      <alignment horizontal="center" vertical="top"/>
      <protection locked="0"/>
    </xf>
    <xf numFmtId="0" fontId="15" fillId="0" borderId="42" xfId="3" applyFont="1" applyBorder="1" applyAlignment="1">
      <alignment horizontal="center"/>
    </xf>
    <xf numFmtId="0" fontId="12" fillId="0" borderId="0" xfId="3" applyFont="1" applyAlignment="1">
      <alignment horizontal="left"/>
    </xf>
    <xf numFmtId="0" fontId="15" fillId="0" borderId="43" xfId="3" applyFont="1" applyBorder="1" applyAlignment="1">
      <alignment horizontal="center"/>
    </xf>
    <xf numFmtId="1" fontId="7" fillId="0" borderId="0" xfId="10" applyFont="1" applyProtection="1">
      <protection locked="0"/>
    </xf>
    <xf numFmtId="1" fontId="15" fillId="0" borderId="0" xfId="10" applyFont="1" applyProtection="1">
      <protection locked="0"/>
    </xf>
    <xf numFmtId="2" fontId="7" fillId="0" borderId="0" xfId="10" applyNumberFormat="1" applyFont="1" applyProtection="1">
      <protection locked="0"/>
    </xf>
    <xf numFmtId="2" fontId="7" fillId="17" borderId="0" xfId="10" applyNumberFormat="1" applyFont="1" applyFill="1"/>
    <xf numFmtId="0" fontId="7" fillId="0" borderId="0" xfId="3" applyFont="1"/>
    <xf numFmtId="0" fontId="7" fillId="0" borderId="24" xfId="3" applyFont="1" applyBorder="1" applyAlignment="1">
      <alignment horizontal="right"/>
    </xf>
    <xf numFmtId="0" fontId="1" fillId="0" borderId="3" xfId="0" applyFont="1" applyBorder="1" applyAlignment="1">
      <alignment horizontal="center"/>
    </xf>
    <xf numFmtId="1" fontId="7" fillId="0" borderId="0" xfId="10" applyFont="1" applyAlignment="1" applyProtection="1">
      <alignment horizontal="center"/>
      <protection locked="0"/>
    </xf>
    <xf numFmtId="1" fontId="15" fillId="0" borderId="0" xfId="10" applyFont="1" applyAlignment="1" applyProtection="1">
      <alignment vertical="top"/>
      <protection locked="0"/>
    </xf>
    <xf numFmtId="0" fontId="7" fillId="16" borderId="0" xfId="3" applyFont="1" applyFill="1"/>
    <xf numFmtId="4" fontId="13" fillId="3" borderId="3" xfId="3" applyNumberFormat="1" applyFont="1" applyFill="1" applyBorder="1" applyAlignment="1">
      <alignment horizontal="center"/>
    </xf>
    <xf numFmtId="2" fontId="15" fillId="3" borderId="3" xfId="3" applyNumberFormat="1" applyFont="1" applyFill="1" applyBorder="1" applyAlignment="1">
      <alignment horizontal="center"/>
    </xf>
    <xf numFmtId="2" fontId="7" fillId="0" borderId="20" xfId="3" applyNumberFormat="1" applyFont="1" applyBorder="1" applyAlignment="1">
      <alignment horizontal="right"/>
    </xf>
    <xf numFmtId="2" fontId="7" fillId="0" borderId="13" xfId="3" applyNumberFormat="1" applyFont="1" applyBorder="1" applyAlignment="1">
      <alignment horizontal="right"/>
    </xf>
    <xf numFmtId="2" fontId="7" fillId="2" borderId="21" xfId="3" applyNumberFormat="1" applyFont="1" applyFill="1" applyBorder="1" applyAlignment="1">
      <alignment horizontal="right"/>
    </xf>
    <xf numFmtId="1" fontId="7" fillId="0" borderId="8" xfId="10" applyFont="1" applyBorder="1" applyAlignment="1" applyProtection="1">
      <alignment horizontal="right"/>
      <protection locked="0"/>
    </xf>
    <xf numFmtId="2" fontId="7" fillId="0" borderId="9" xfId="10" applyNumberFormat="1" applyFont="1" applyBorder="1" applyAlignment="1" applyProtection="1">
      <alignment horizontal="left"/>
      <protection locked="0"/>
    </xf>
    <xf numFmtId="1" fontId="7" fillId="0" borderId="1" xfId="10" applyFont="1" applyBorder="1" applyProtection="1">
      <protection locked="0"/>
    </xf>
    <xf numFmtId="2" fontId="7" fillId="0" borderId="1" xfId="10" applyNumberFormat="1" applyFont="1" applyBorder="1" applyProtection="1">
      <protection locked="0"/>
    </xf>
    <xf numFmtId="1" fontId="7" fillId="0" borderId="1" xfId="10" applyFont="1" applyBorder="1"/>
    <xf numFmtId="0" fontId="7" fillId="0" borderId="1" xfId="3" applyFont="1" applyBorder="1"/>
    <xf numFmtId="0" fontId="7" fillId="0" borderId="0" xfId="3" applyFont="1" applyAlignment="1" applyProtection="1">
      <alignment horizontal="left"/>
      <protection locked="0"/>
    </xf>
    <xf numFmtId="0" fontId="1" fillId="0" borderId="0" xfId="3" applyFont="1" applyAlignment="1" applyProtection="1">
      <alignment horizontal="right"/>
      <protection locked="0"/>
    </xf>
    <xf numFmtId="0" fontId="4" fillId="0" borderId="0" xfId="11" applyProtection="1">
      <protection locked="0"/>
    </xf>
    <xf numFmtId="0" fontId="4" fillId="0" borderId="13" xfId="11" applyBorder="1" applyProtection="1">
      <protection locked="0"/>
    </xf>
    <xf numFmtId="0" fontId="7" fillId="0" borderId="13" xfId="3" applyFont="1" applyBorder="1" applyProtection="1">
      <protection locked="0"/>
    </xf>
    <xf numFmtId="0" fontId="1" fillId="0" borderId="0" xfId="11" applyFont="1" applyAlignment="1" applyProtection="1">
      <alignment horizontal="right"/>
      <protection locked="0"/>
    </xf>
    <xf numFmtId="15" fontId="4" fillId="0" borderId="0" xfId="11" applyNumberFormat="1" applyProtection="1">
      <protection locked="0"/>
    </xf>
    <xf numFmtId="0" fontId="23" fillId="0" borderId="0" xfId="7" applyFont="1" applyAlignment="1" applyProtection="1">
      <alignment horizontal="right"/>
      <protection locked="0"/>
    </xf>
    <xf numFmtId="0" fontId="23" fillId="0" borderId="0" xfId="11" applyFont="1" applyAlignment="1" applyProtection="1">
      <alignment horizontal="right"/>
      <protection locked="0"/>
    </xf>
    <xf numFmtId="0" fontId="15" fillId="0" borderId="13" xfId="7" applyFont="1" applyBorder="1" applyAlignment="1" applyProtection="1">
      <alignment horizontal="left"/>
      <protection locked="0"/>
    </xf>
    <xf numFmtId="0" fontId="15" fillId="0" borderId="0" xfId="7" applyFont="1" applyAlignment="1" applyProtection="1">
      <alignment horizontal="left"/>
      <protection locked="0"/>
    </xf>
    <xf numFmtId="0" fontId="4" fillId="0" borderId="0" xfId="11"/>
    <xf numFmtId="0" fontId="1" fillId="0" borderId="0" xfId="3" applyFont="1" applyAlignment="1" applyProtection="1">
      <alignment horizontal="left"/>
      <protection locked="0"/>
    </xf>
    <xf numFmtId="0" fontId="1" fillId="0" borderId="0" xfId="3" applyFont="1" applyProtection="1">
      <protection locked="0"/>
    </xf>
    <xf numFmtId="0" fontId="4" fillId="0" borderId="0" xfId="3" applyAlignment="1" applyProtection="1">
      <alignment horizontal="center"/>
      <protection locked="0"/>
    </xf>
    <xf numFmtId="0" fontId="4" fillId="0" borderId="22" xfId="3" applyBorder="1" applyProtection="1">
      <protection locked="0"/>
    </xf>
    <xf numFmtId="0" fontId="4" fillId="0" borderId="34" xfId="3" applyBorder="1" applyProtection="1">
      <protection locked="0"/>
    </xf>
    <xf numFmtId="0" fontId="4" fillId="0" borderId="35" xfId="3" applyBorder="1" applyProtection="1">
      <protection locked="0"/>
    </xf>
    <xf numFmtId="0" fontId="4" fillId="0" borderId="36" xfId="3" applyBorder="1" applyProtection="1">
      <protection locked="0"/>
    </xf>
    <xf numFmtId="0" fontId="4" fillId="0" borderId="37" xfId="3" applyBorder="1" applyProtection="1">
      <protection locked="0"/>
    </xf>
    <xf numFmtId="0" fontId="4" fillId="0" borderId="38" xfId="3" applyBorder="1" applyProtection="1">
      <protection locked="0"/>
    </xf>
    <xf numFmtId="0" fontId="4" fillId="0" borderId="39" xfId="3" applyBorder="1" applyProtection="1">
      <protection locked="0"/>
    </xf>
    <xf numFmtId="0" fontId="57" fillId="0" borderId="0" xfId="3" applyFont="1" applyProtection="1">
      <protection locked="0"/>
    </xf>
    <xf numFmtId="0" fontId="4" fillId="0" borderId="0" xfId="0" applyFont="1"/>
    <xf numFmtId="0" fontId="4" fillId="0" borderId="0" xfId="0" applyFont="1" applyProtection="1">
      <protection locked="0"/>
    </xf>
    <xf numFmtId="177" fontId="74" fillId="12" borderId="3" xfId="0" applyNumberFormat="1" applyFont="1" applyFill="1" applyBorder="1" applyAlignment="1" applyProtection="1">
      <alignment horizontal="center"/>
      <protection locked="0"/>
    </xf>
    <xf numFmtId="0" fontId="22" fillId="0" borderId="0" xfId="3" applyFont="1" applyAlignment="1" applyProtection="1">
      <alignment horizontal="right"/>
      <protection locked="0"/>
    </xf>
    <xf numFmtId="0" fontId="69" fillId="0" borderId="0" xfId="0" applyFont="1"/>
    <xf numFmtId="0" fontId="1" fillId="0" borderId="0" xfId="0" applyFont="1"/>
    <xf numFmtId="2" fontId="7" fillId="2" borderId="0" xfId="3" applyNumberFormat="1" applyFont="1" applyFill="1" applyAlignment="1" applyProtection="1">
      <alignment vertical="top"/>
      <protection locked="0"/>
    </xf>
    <xf numFmtId="2" fontId="15" fillId="14" borderId="3" xfId="10" applyNumberFormat="1" applyFont="1" applyFill="1" applyBorder="1" applyAlignment="1" applyProtection="1">
      <alignment horizontal="center" vertical="top"/>
      <protection locked="0"/>
    </xf>
    <xf numFmtId="1" fontId="7" fillId="0" borderId="0" xfId="10" applyFont="1" applyAlignment="1" applyProtection="1">
      <alignment horizontal="center" vertical="top"/>
      <protection locked="0"/>
    </xf>
    <xf numFmtId="1" fontId="56" fillId="0" borderId="0" xfId="10" applyFont="1" applyAlignment="1" applyProtection="1">
      <alignment horizontal="left" vertical="top"/>
      <protection locked="0"/>
    </xf>
    <xf numFmtId="1" fontId="14" fillId="0" borderId="0" xfId="10" applyFont="1" applyAlignment="1" applyProtection="1">
      <alignment vertical="top"/>
      <protection locked="0"/>
    </xf>
    <xf numFmtId="2" fontId="15" fillId="0" borderId="0" xfId="10" applyNumberFormat="1" applyFont="1" applyAlignment="1" applyProtection="1">
      <alignment vertical="top"/>
      <protection locked="0"/>
    </xf>
    <xf numFmtId="1" fontId="7" fillId="0" borderId="0" xfId="10" applyFont="1" applyAlignment="1" applyProtection="1">
      <alignment vertical="top"/>
      <protection locked="0"/>
    </xf>
    <xf numFmtId="2" fontId="15" fillId="3" borderId="0" xfId="3" applyNumberFormat="1" applyFont="1" applyFill="1" applyAlignment="1" applyProtection="1">
      <alignment vertical="top"/>
      <protection locked="0"/>
    </xf>
    <xf numFmtId="2" fontId="7" fillId="3" borderId="0" xfId="10" applyNumberFormat="1" applyFont="1" applyFill="1"/>
    <xf numFmtId="1" fontId="13" fillId="0" borderId="1" xfId="10" applyFont="1" applyBorder="1" applyAlignment="1" applyProtection="1">
      <alignment horizontal="right"/>
      <protection locked="0"/>
    </xf>
    <xf numFmtId="1" fontId="7" fillId="0" borderId="1" xfId="10" applyFont="1" applyBorder="1" applyAlignment="1" applyProtection="1">
      <alignment horizontal="center"/>
      <protection locked="0"/>
    </xf>
    <xf numFmtId="2" fontId="58" fillId="3" borderId="15" xfId="10" applyNumberFormat="1" applyFont="1" applyFill="1" applyBorder="1" applyAlignment="1">
      <alignment horizontal="right"/>
    </xf>
    <xf numFmtId="1" fontId="7" fillId="0" borderId="1" xfId="10" applyFont="1" applyBorder="1" applyAlignment="1" applyProtection="1">
      <alignment horizontal="right"/>
      <protection locked="0"/>
    </xf>
    <xf numFmtId="2" fontId="56" fillId="15" borderId="1" xfId="10" applyNumberFormat="1" applyFont="1" applyFill="1" applyBorder="1" applyAlignment="1">
      <alignment horizontal="right" vertical="top"/>
    </xf>
    <xf numFmtId="2" fontId="7" fillId="0" borderId="0" xfId="10" applyNumberFormat="1" applyFont="1" applyAlignment="1" applyProtection="1">
      <alignment horizontal="right" vertical="top"/>
      <protection locked="0"/>
    </xf>
    <xf numFmtId="2" fontId="7" fillId="0" borderId="0" xfId="3" applyNumberFormat="1" applyFont="1" applyProtection="1">
      <protection locked="0"/>
    </xf>
    <xf numFmtId="0" fontId="117" fillId="0" borderId="22" xfId="13" applyFont="1" applyBorder="1" applyAlignment="1">
      <alignment horizontal="centerContinuous"/>
    </xf>
    <xf numFmtId="1" fontId="117" fillId="0" borderId="22" xfId="13" applyNumberFormat="1" applyFont="1" applyBorder="1" applyAlignment="1">
      <alignment horizontal="centerContinuous"/>
    </xf>
    <xf numFmtId="0" fontId="117" fillId="0" borderId="22" xfId="13" applyFont="1" applyBorder="1" applyAlignment="1" applyProtection="1">
      <alignment horizontal="centerContinuous"/>
      <protection locked="0"/>
    </xf>
    <xf numFmtId="0" fontId="117" fillId="0" borderId="24" xfId="13" applyFont="1" applyBorder="1" applyAlignment="1" applyProtection="1">
      <alignment horizontal="centerContinuous"/>
      <protection locked="0"/>
    </xf>
    <xf numFmtId="0" fontId="144" fillId="0" borderId="0" xfId="13"/>
    <xf numFmtId="0" fontId="4" fillId="0" borderId="0" xfId="13" applyFont="1" applyAlignment="1" applyProtection="1">
      <alignment horizontal="centerContinuous"/>
      <protection locked="0"/>
    </xf>
    <xf numFmtId="0" fontId="4" fillId="0" borderId="19" xfId="13" applyFont="1" applyBorder="1" applyAlignment="1" applyProtection="1">
      <alignment horizontal="centerContinuous"/>
      <protection locked="0"/>
    </xf>
    <xf numFmtId="0" fontId="4" fillId="0" borderId="0" xfId="13" applyFont="1" applyProtection="1">
      <protection locked="0"/>
    </xf>
    <xf numFmtId="4" fontId="1" fillId="0" borderId="33" xfId="13" applyNumberFormat="1" applyFont="1" applyBorder="1" applyAlignment="1">
      <alignment horizontal="centerContinuous"/>
    </xf>
    <xf numFmtId="4" fontId="1" fillId="0" borderId="4" xfId="13" applyNumberFormat="1" applyFont="1" applyBorder="1" applyAlignment="1">
      <alignment horizontal="center"/>
    </xf>
    <xf numFmtId="1" fontId="1" fillId="0" borderId="4" xfId="13" applyNumberFormat="1" applyFont="1" applyBorder="1" applyAlignment="1">
      <alignment horizontal="center"/>
    </xf>
    <xf numFmtId="4" fontId="1" fillId="0" borderId="6" xfId="13" applyNumberFormat="1" applyFont="1" applyBorder="1" applyAlignment="1" applyProtection="1">
      <alignment horizontal="center"/>
      <protection locked="0"/>
    </xf>
    <xf numFmtId="4" fontId="4" fillId="0" borderId="17" xfId="13" applyNumberFormat="1" applyFont="1" applyBorder="1" applyAlignment="1">
      <alignment horizontal="center"/>
    </xf>
    <xf numFmtId="1" fontId="4" fillId="0" borderId="17" xfId="13" applyNumberFormat="1" applyFont="1" applyBorder="1" applyAlignment="1">
      <alignment horizontal="center"/>
    </xf>
    <xf numFmtId="4" fontId="4" fillId="0" borderId="17" xfId="13" applyNumberFormat="1" applyFont="1" applyBorder="1" applyAlignment="1" applyProtection="1">
      <alignment horizontal="right"/>
      <protection locked="0"/>
    </xf>
    <xf numFmtId="4" fontId="4" fillId="0" borderId="25" xfId="13" applyNumberFormat="1" applyFont="1" applyBorder="1" applyAlignment="1" applyProtection="1">
      <alignment horizontal="center"/>
      <protection locked="0"/>
    </xf>
    <xf numFmtId="3" fontId="4" fillId="0" borderId="17" xfId="13" applyNumberFormat="1" applyFont="1" applyBorder="1" applyAlignment="1">
      <alignment horizontal="center"/>
    </xf>
    <xf numFmtId="4" fontId="4" fillId="0" borderId="25" xfId="13" applyNumberFormat="1" applyFont="1" applyBorder="1" applyAlignment="1" applyProtection="1">
      <alignment horizontal="right"/>
      <protection locked="0"/>
    </xf>
    <xf numFmtId="4" fontId="4" fillId="0" borderId="19" xfId="13" applyNumberFormat="1" applyFont="1" applyBorder="1" applyAlignment="1">
      <alignment horizontal="left" vertical="top" wrapText="1"/>
    </xf>
    <xf numFmtId="1" fontId="4" fillId="0" borderId="25" xfId="13" applyNumberFormat="1" applyFont="1" applyBorder="1" applyAlignment="1">
      <alignment horizontal="center"/>
    </xf>
    <xf numFmtId="4" fontId="29" fillId="0" borderId="19" xfId="13" applyNumberFormat="1" applyFont="1" applyBorder="1" applyAlignment="1">
      <alignment horizontal="left" vertical="top" wrapText="1"/>
    </xf>
    <xf numFmtId="4" fontId="4" fillId="0" borderId="44" xfId="13" applyNumberFormat="1" applyFont="1" applyBorder="1" applyAlignment="1">
      <alignment horizontal="left" wrapText="1"/>
    </xf>
    <xf numFmtId="4" fontId="4" fillId="0" borderId="28" xfId="13" applyNumberFormat="1" applyFont="1" applyBorder="1" applyAlignment="1">
      <alignment vertical="top" wrapText="1"/>
    </xf>
    <xf numFmtId="1" fontId="4" fillId="0" borderId="28" xfId="13" applyNumberFormat="1" applyFont="1" applyBorder="1" applyAlignment="1">
      <alignment horizontal="center"/>
    </xf>
    <xf numFmtId="4" fontId="1" fillId="0" borderId="25" xfId="13" applyNumberFormat="1" applyFont="1" applyBorder="1" applyAlignment="1" applyProtection="1">
      <alignment horizontal="center"/>
      <protection locked="0"/>
    </xf>
    <xf numFmtId="0" fontId="4" fillId="0" borderId="13" xfId="13" applyFont="1" applyBorder="1" applyAlignment="1">
      <alignment vertical="top" wrapText="1"/>
    </xf>
    <xf numFmtId="1" fontId="4" fillId="0" borderId="13" xfId="13" applyNumberFormat="1" applyFont="1" applyBorder="1"/>
    <xf numFmtId="0" fontId="117" fillId="0" borderId="22" xfId="13" applyFont="1" applyBorder="1" applyAlignment="1">
      <alignment horizontal="centerContinuous" vertical="top" wrapText="1"/>
    </xf>
    <xf numFmtId="178" fontId="144" fillId="0" borderId="0" xfId="13" applyNumberFormat="1"/>
    <xf numFmtId="1" fontId="144" fillId="0" borderId="0" xfId="13" applyNumberFormat="1"/>
    <xf numFmtId="0" fontId="144" fillId="0" borderId="0" xfId="13" applyProtection="1">
      <protection locked="0"/>
    </xf>
    <xf numFmtId="0" fontId="4" fillId="0" borderId="19" xfId="13" applyFont="1" applyBorder="1" applyProtection="1">
      <protection locked="0"/>
    </xf>
    <xf numFmtId="0" fontId="145" fillId="20" borderId="19" xfId="13" applyFont="1" applyFill="1" applyBorder="1" applyAlignment="1">
      <alignment vertical="center" wrapText="1"/>
    </xf>
    <xf numFmtId="0" fontId="145" fillId="19" borderId="19" xfId="13" applyFont="1" applyFill="1" applyBorder="1" applyAlignment="1">
      <alignment vertical="center" wrapText="1"/>
    </xf>
    <xf numFmtId="4" fontId="4" fillId="19" borderId="17" xfId="13" applyNumberFormat="1" applyFont="1" applyFill="1" applyBorder="1" applyAlignment="1">
      <alignment horizontal="center"/>
    </xf>
    <xf numFmtId="3" fontId="4" fillId="19" borderId="17" xfId="13" applyNumberFormat="1" applyFont="1" applyFill="1" applyBorder="1" applyAlignment="1">
      <alignment horizontal="center"/>
    </xf>
    <xf numFmtId="4" fontId="4" fillId="19" borderId="17" xfId="13" applyNumberFormat="1" applyFont="1" applyFill="1" applyBorder="1" applyAlignment="1" applyProtection="1">
      <alignment horizontal="right"/>
      <protection locked="0"/>
    </xf>
    <xf numFmtId="4" fontId="4" fillId="19" borderId="25" xfId="13" applyNumberFormat="1" applyFont="1" applyFill="1" applyBorder="1" applyAlignment="1" applyProtection="1">
      <alignment horizontal="right"/>
      <protection locked="0"/>
    </xf>
    <xf numFmtId="4" fontId="4" fillId="0" borderId="25" xfId="13" applyNumberFormat="1" applyFont="1" applyBorder="1" applyAlignment="1">
      <alignment horizontal="center"/>
    </xf>
    <xf numFmtId="3" fontId="4" fillId="0" borderId="25" xfId="13" applyNumberFormat="1" applyFont="1" applyBorder="1" applyAlignment="1">
      <alignment horizontal="center"/>
    </xf>
    <xf numFmtId="0" fontId="144" fillId="0" borderId="19" xfId="13" applyBorder="1"/>
    <xf numFmtId="0" fontId="144" fillId="0" borderId="25" xfId="13" applyBorder="1"/>
    <xf numFmtId="1" fontId="144" fillId="0" borderId="25" xfId="13" applyNumberFormat="1" applyBorder="1"/>
    <xf numFmtId="0" fontId="144" fillId="0" borderId="44" xfId="13" applyBorder="1"/>
    <xf numFmtId="0" fontId="144" fillId="0" borderId="46" xfId="13" applyBorder="1"/>
    <xf numFmtId="1" fontId="144" fillId="0" borderId="46" xfId="13" applyNumberFormat="1" applyBorder="1"/>
    <xf numFmtId="4" fontId="4" fillId="0" borderId="45" xfId="13" applyNumberFormat="1" applyFont="1" applyBorder="1" applyProtection="1">
      <protection locked="0"/>
    </xf>
    <xf numFmtId="0" fontId="4" fillId="0" borderId="11" xfId="13" applyFont="1" applyBorder="1" applyProtection="1">
      <protection locked="0"/>
    </xf>
    <xf numFmtId="0" fontId="146" fillId="20" borderId="19" xfId="13" applyFont="1" applyFill="1" applyBorder="1" applyAlignment="1">
      <alignment vertical="center" wrapText="1"/>
    </xf>
    <xf numFmtId="4" fontId="147" fillId="0" borderId="19" xfId="13" applyNumberFormat="1" applyFont="1" applyBorder="1" applyAlignment="1">
      <alignment horizontal="left" vertical="top" wrapText="1"/>
    </xf>
    <xf numFmtId="4" fontId="147" fillId="0" borderId="17" xfId="13" applyNumberFormat="1" applyFont="1" applyBorder="1" applyAlignment="1">
      <alignment horizontal="center"/>
    </xf>
    <xf numFmtId="4" fontId="1" fillId="0" borderId="19" xfId="13" applyNumberFormat="1" applyFont="1" applyBorder="1" applyAlignment="1">
      <alignment horizontal="centerContinuous"/>
    </xf>
    <xf numFmtId="4" fontId="1" fillId="0" borderId="17" xfId="13" applyNumberFormat="1" applyFont="1" applyBorder="1" applyAlignment="1">
      <alignment horizontal="center"/>
    </xf>
    <xf numFmtId="1" fontId="1" fillId="0" borderId="17" xfId="13" applyNumberFormat="1" applyFont="1" applyBorder="1" applyAlignment="1">
      <alignment horizontal="center"/>
    </xf>
    <xf numFmtId="0" fontId="145" fillId="0" borderId="19" xfId="13" applyFont="1" applyBorder="1" applyAlignment="1">
      <alignment vertical="center" wrapText="1"/>
    </xf>
    <xf numFmtId="4" fontId="4" fillId="19" borderId="19" xfId="13" applyNumberFormat="1" applyFont="1" applyFill="1" applyBorder="1" applyAlignment="1">
      <alignment horizontal="left" vertical="top" wrapText="1"/>
    </xf>
    <xf numFmtId="0" fontId="4" fillId="19" borderId="19" xfId="13" applyFont="1" applyFill="1" applyBorder="1" applyAlignment="1">
      <alignment vertical="center" wrapText="1"/>
    </xf>
    <xf numFmtId="49" fontId="4" fillId="0" borderId="19" xfId="13" applyNumberFormat="1" applyFont="1" applyBorder="1" applyAlignment="1">
      <alignment horizontal="left" vertical="center" wrapText="1"/>
    </xf>
    <xf numFmtId="4" fontId="4" fillId="0" borderId="17" xfId="13" applyNumberFormat="1" applyFont="1" applyBorder="1" applyAlignment="1">
      <alignment horizontal="center" vertical="center"/>
    </xf>
    <xf numFmtId="49" fontId="147" fillId="0" borderId="19" xfId="13" applyNumberFormat="1" applyFont="1" applyBorder="1" applyAlignment="1">
      <alignment horizontal="left" vertical="center"/>
    </xf>
    <xf numFmtId="49" fontId="4" fillId="0" borderId="19" xfId="13" applyNumberFormat="1" applyFont="1" applyBorder="1" applyAlignment="1">
      <alignment horizontal="left" vertical="center"/>
    </xf>
    <xf numFmtId="4" fontId="147" fillId="0" borderId="17" xfId="13" applyNumberFormat="1" applyFont="1" applyBorder="1" applyAlignment="1">
      <alignment horizontal="center" vertical="center"/>
    </xf>
    <xf numFmtId="49" fontId="148" fillId="0" borderId="19" xfId="13" applyNumberFormat="1" applyFont="1" applyBorder="1" applyAlignment="1">
      <alignment horizontal="left" vertical="center"/>
    </xf>
    <xf numFmtId="4" fontId="4" fillId="0" borderId="19" xfId="13" applyNumberFormat="1" applyFont="1" applyBorder="1" applyAlignment="1">
      <alignment horizontal="left" vertical="center"/>
    </xf>
    <xf numFmtId="4" fontId="4" fillId="19" borderId="19" xfId="13" applyNumberFormat="1" applyFont="1" applyFill="1" applyBorder="1" applyAlignment="1">
      <alignment horizontal="left" vertical="center"/>
    </xf>
    <xf numFmtId="4" fontId="4" fillId="19" borderId="17" xfId="13" applyNumberFormat="1" applyFont="1" applyFill="1" applyBorder="1" applyAlignment="1">
      <alignment horizontal="center" vertical="center"/>
    </xf>
    <xf numFmtId="4" fontId="147" fillId="0" borderId="19" xfId="13" applyNumberFormat="1" applyFont="1" applyBorder="1" applyAlignment="1">
      <alignment horizontal="left" vertical="center" wrapText="1"/>
    </xf>
    <xf numFmtId="0" fontId="147" fillId="20" borderId="19" xfId="13" applyFont="1" applyFill="1" applyBorder="1" applyAlignment="1">
      <alignment vertical="center" wrapText="1"/>
    </xf>
    <xf numFmtId="3" fontId="147" fillId="0" borderId="17" xfId="13" applyNumberFormat="1" applyFont="1" applyBorder="1" applyAlignment="1">
      <alignment horizontal="center"/>
    </xf>
    <xf numFmtId="3" fontId="4" fillId="0" borderId="17" xfId="13" applyNumberFormat="1" applyFont="1" applyBorder="1" applyAlignment="1">
      <alignment horizontal="center" vertical="center"/>
    </xf>
    <xf numFmtId="0" fontId="4" fillId="20" borderId="19" xfId="13" applyFont="1" applyFill="1" applyBorder="1" applyAlignment="1">
      <alignment vertical="center" wrapText="1"/>
    </xf>
    <xf numFmtId="3" fontId="4" fillId="19" borderId="17" xfId="13" applyNumberFormat="1" applyFont="1" applyFill="1" applyBorder="1" applyAlignment="1">
      <alignment horizontal="center" vertical="center"/>
    </xf>
    <xf numFmtId="4" fontId="4" fillId="19" borderId="19" xfId="13" applyNumberFormat="1" applyFont="1" applyFill="1" applyBorder="1" applyAlignment="1">
      <alignment horizontal="left" vertical="center" wrapText="1"/>
    </xf>
    <xf numFmtId="4" fontId="4" fillId="0" borderId="19" xfId="13" applyNumberFormat="1" applyFont="1" applyBorder="1" applyAlignment="1">
      <alignment horizontal="left" vertical="center" wrapText="1"/>
    </xf>
    <xf numFmtId="49" fontId="1" fillId="0" borderId="19" xfId="13" applyNumberFormat="1" applyFont="1" applyBorder="1" applyAlignment="1">
      <alignment horizontal="left" vertical="center"/>
    </xf>
    <xf numFmtId="4" fontId="4" fillId="0" borderId="17" xfId="13" applyNumberFormat="1" applyFont="1" applyBorder="1" applyAlignment="1">
      <alignment horizontal="center" wrapText="1"/>
    </xf>
    <xf numFmtId="3" fontId="4" fillId="0" borderId="17" xfId="13" applyNumberFormat="1" applyFont="1" applyBorder="1" applyAlignment="1">
      <alignment horizontal="center" wrapText="1"/>
    </xf>
    <xf numFmtId="1" fontId="4" fillId="0" borderId="17" xfId="13" applyNumberFormat="1" applyFont="1" applyBorder="1" applyAlignment="1">
      <alignment horizontal="center" wrapText="1"/>
    </xf>
    <xf numFmtId="178" fontId="4" fillId="0" borderId="19" xfId="13" applyNumberFormat="1" applyFont="1" applyBorder="1" applyAlignment="1">
      <alignment horizontal="left" vertical="top" wrapText="1"/>
    </xf>
    <xf numFmtId="178" fontId="4" fillId="0" borderId="19" xfId="13" applyNumberFormat="1" applyFont="1" applyBorder="1" applyAlignment="1">
      <alignment horizontal="left" vertical="top"/>
    </xf>
    <xf numFmtId="0" fontId="4" fillId="0" borderId="17" xfId="13" applyFont="1" applyBorder="1" applyAlignment="1">
      <alignment horizontal="center" wrapText="1"/>
    </xf>
    <xf numFmtId="4" fontId="4" fillId="19" borderId="17" xfId="13" applyNumberFormat="1" applyFont="1" applyFill="1" applyBorder="1" applyAlignment="1">
      <alignment horizontal="center" wrapText="1"/>
    </xf>
    <xf numFmtId="3" fontId="4" fillId="19" borderId="17" xfId="13" applyNumberFormat="1" applyFont="1" applyFill="1" applyBorder="1" applyAlignment="1">
      <alignment horizontal="center" wrapText="1"/>
    </xf>
    <xf numFmtId="4" fontId="4" fillId="19" borderId="25" xfId="13" applyNumberFormat="1" applyFont="1" applyFill="1" applyBorder="1" applyAlignment="1" applyProtection="1">
      <alignment horizontal="center"/>
      <protection locked="0"/>
    </xf>
    <xf numFmtId="4" fontId="2" fillId="0" borderId="19" xfId="13" applyNumberFormat="1" applyFont="1" applyBorder="1" applyAlignment="1">
      <alignment horizontal="left" vertical="top" wrapText="1"/>
    </xf>
    <xf numFmtId="4" fontId="4" fillId="0" borderId="19" xfId="14" applyNumberFormat="1" applyFont="1" applyBorder="1" applyAlignment="1">
      <alignment horizontal="left" vertical="top" wrapText="1"/>
    </xf>
    <xf numFmtId="4" fontId="1" fillId="19" borderId="17" xfId="13" applyNumberFormat="1" applyFont="1" applyFill="1" applyBorder="1" applyAlignment="1">
      <alignment horizontal="center"/>
    </xf>
    <xf numFmtId="1" fontId="1" fillId="19" borderId="17" xfId="13" applyNumberFormat="1" applyFont="1" applyFill="1" applyBorder="1" applyAlignment="1">
      <alignment horizontal="center"/>
    </xf>
    <xf numFmtId="4" fontId="1" fillId="19" borderId="17" xfId="13" applyNumberFormat="1" applyFont="1" applyFill="1" applyBorder="1" applyAlignment="1" applyProtection="1">
      <alignment horizontal="center"/>
      <protection locked="0"/>
    </xf>
    <xf numFmtId="0" fontId="146" fillId="0" borderId="19" xfId="13" applyFont="1" applyBorder="1" applyAlignment="1">
      <alignment vertical="center" wrapText="1"/>
    </xf>
    <xf numFmtId="0" fontId="145" fillId="0" borderId="19" xfId="13" applyFont="1" applyBorder="1" applyAlignment="1">
      <alignment vertical="top" wrapText="1"/>
    </xf>
    <xf numFmtId="0" fontId="145" fillId="0" borderId="25" xfId="13" applyFont="1" applyBorder="1" applyAlignment="1">
      <alignment horizontal="center"/>
    </xf>
    <xf numFmtId="0" fontId="145" fillId="0" borderId="25" xfId="13" applyFont="1" applyBorder="1" applyAlignment="1">
      <alignment horizontal="center" vertical="top"/>
    </xf>
    <xf numFmtId="0" fontId="145" fillId="0" borderId="17" xfId="13" applyFont="1" applyBorder="1" applyAlignment="1">
      <alignment horizontal="center"/>
    </xf>
    <xf numFmtId="0" fontId="146" fillId="0" borderId="19" xfId="13" applyFont="1" applyBorder="1" applyAlignment="1">
      <alignment vertical="top" wrapText="1"/>
    </xf>
    <xf numFmtId="4" fontId="4" fillId="20" borderId="17" xfId="15" applyNumberFormat="1" applyFont="1" applyFill="1" applyBorder="1" applyAlignment="1">
      <alignment horizontal="center"/>
    </xf>
    <xf numFmtId="4" fontId="4" fillId="20" borderId="19" xfId="15" applyNumberFormat="1" applyFont="1" applyFill="1" applyBorder="1" applyAlignment="1">
      <alignment horizontal="left" vertical="top" wrapText="1"/>
    </xf>
    <xf numFmtId="4" fontId="22" fillId="20" borderId="19" xfId="15" applyNumberFormat="1" applyFont="1" applyFill="1" applyBorder="1" applyAlignment="1">
      <alignment horizontal="left" vertical="top" wrapText="1"/>
    </xf>
    <xf numFmtId="4" fontId="4" fillId="0" borderId="19" xfId="13" applyNumberFormat="1" applyFont="1" applyBorder="1" applyAlignment="1">
      <alignment vertical="top" wrapText="1"/>
    </xf>
    <xf numFmtId="178" fontId="4" fillId="19" borderId="19" xfId="13" applyNumberFormat="1" applyFont="1" applyFill="1" applyBorder="1" applyAlignment="1">
      <alignment horizontal="left" vertical="top" wrapText="1"/>
    </xf>
    <xf numFmtId="49" fontId="4" fillId="19" borderId="19" xfId="13" applyNumberFormat="1" applyFont="1" applyFill="1" applyBorder="1" applyAlignment="1">
      <alignment horizontal="left" vertical="center" wrapText="1"/>
    </xf>
    <xf numFmtId="0" fontId="146" fillId="19" borderId="19" xfId="13" applyFont="1" applyFill="1" applyBorder="1" applyAlignment="1">
      <alignment vertical="center" wrapText="1"/>
    </xf>
    <xf numFmtId="4" fontId="22" fillId="19" borderId="19" xfId="15" applyNumberFormat="1" applyFont="1" applyFill="1" applyBorder="1" applyAlignment="1">
      <alignment horizontal="left" vertical="top" wrapText="1"/>
    </xf>
    <xf numFmtId="0" fontId="15" fillId="0" borderId="0" xfId="3" applyFont="1" applyAlignment="1" applyProtection="1">
      <alignment horizontal="right"/>
      <protection locked="0"/>
    </xf>
    <xf numFmtId="0" fontId="7" fillId="21" borderId="0" xfId="3" applyFont="1" applyFill="1" applyProtection="1">
      <protection locked="0"/>
    </xf>
    <xf numFmtId="0" fontId="4" fillId="21" borderId="0" xfId="3" applyFill="1"/>
    <xf numFmtId="1" fontId="7" fillId="21" borderId="0" xfId="3" applyNumberFormat="1" applyFont="1" applyFill="1" applyProtection="1">
      <protection locked="0"/>
    </xf>
    <xf numFmtId="0" fontId="14" fillId="21" borderId="0" xfId="3" applyFont="1" applyFill="1" applyProtection="1">
      <protection locked="0"/>
    </xf>
    <xf numFmtId="0" fontId="15" fillId="21" borderId="0" xfId="3" applyFont="1" applyFill="1" applyAlignment="1" applyProtection="1">
      <alignment horizontal="right"/>
      <protection locked="0"/>
    </xf>
    <xf numFmtId="0" fontId="7" fillId="21" borderId="1" xfId="3" applyFont="1" applyFill="1" applyBorder="1"/>
    <xf numFmtId="1" fontId="4" fillId="21" borderId="0" xfId="3" applyNumberFormat="1" applyFill="1"/>
    <xf numFmtId="0" fontId="13" fillId="0" borderId="0" xfId="3" applyFont="1" applyAlignment="1">
      <alignment horizontal="center"/>
    </xf>
    <xf numFmtId="0" fontId="13" fillId="0" borderId="23" xfId="3" applyFont="1" applyBorder="1" applyAlignment="1">
      <alignment horizontal="right"/>
    </xf>
    <xf numFmtId="0" fontId="13" fillId="0" borderId="22" xfId="3" applyFont="1" applyBorder="1" applyAlignment="1">
      <alignment horizontal="right"/>
    </xf>
    <xf numFmtId="1" fontId="15" fillId="0" borderId="3" xfId="10" applyFont="1" applyBorder="1" applyAlignment="1" applyProtection="1">
      <alignment horizontal="center"/>
      <protection locked="0"/>
    </xf>
    <xf numFmtId="1" fontId="14" fillId="0" borderId="0" xfId="10" applyFont="1" applyAlignment="1" applyProtection="1">
      <alignment horizontal="left"/>
      <protection locked="0"/>
    </xf>
    <xf numFmtId="4" fontId="15" fillId="3" borderId="18" xfId="3" applyNumberFormat="1" applyFont="1" applyFill="1" applyBorder="1" applyAlignment="1">
      <alignment horizontal="right"/>
    </xf>
    <xf numFmtId="4" fontId="15" fillId="3" borderId="16" xfId="3" applyNumberFormat="1" applyFont="1" applyFill="1" applyBorder="1" applyAlignment="1">
      <alignment horizontal="right"/>
    </xf>
    <xf numFmtId="2" fontId="15" fillId="0" borderId="0" xfId="10" applyNumberFormat="1" applyFont="1" applyProtection="1">
      <protection locked="0"/>
    </xf>
    <xf numFmtId="1" fontId="15" fillId="0" borderId="0" xfId="10" applyFont="1"/>
    <xf numFmtId="2" fontId="7" fillId="3" borderId="3" xfId="3" applyNumberFormat="1" applyFont="1" applyFill="1" applyBorder="1" applyAlignment="1">
      <alignment horizontal="center"/>
    </xf>
    <xf numFmtId="165" fontId="15" fillId="0" borderId="0" xfId="10" applyNumberFormat="1" applyFont="1" applyProtection="1">
      <protection locked="0"/>
    </xf>
    <xf numFmtId="2" fontId="7" fillId="13" borderId="0" xfId="10" applyNumberFormat="1" applyFont="1" applyFill="1"/>
    <xf numFmtId="1" fontId="15" fillId="0" borderId="1" xfId="10" applyFont="1" applyBorder="1" applyProtection="1">
      <protection locked="0"/>
    </xf>
    <xf numFmtId="165" fontId="7" fillId="0" borderId="1" xfId="10" applyNumberFormat="1" applyFont="1" applyBorder="1" applyProtection="1">
      <protection locked="0"/>
    </xf>
    <xf numFmtId="2" fontId="7" fillId="13" borderId="15" xfId="10" applyNumberFormat="1" applyFont="1" applyFill="1" applyBorder="1"/>
    <xf numFmtId="1" fontId="7" fillId="0" borderId="0" xfId="3" applyNumberFormat="1" applyFont="1"/>
    <xf numFmtId="2" fontId="7" fillId="0" borderId="10" xfId="10" applyNumberFormat="1" applyFont="1" applyBorder="1" applyAlignment="1" applyProtection="1">
      <alignment horizontal="center"/>
      <protection locked="0"/>
    </xf>
    <xf numFmtId="1" fontId="15" fillId="0" borderId="0" xfId="10" applyFont="1" applyAlignment="1" applyProtection="1">
      <alignment horizontal="left"/>
      <protection locked="0"/>
    </xf>
    <xf numFmtId="170" fontId="13" fillId="0" borderId="0" xfId="3" applyNumberFormat="1" applyFont="1"/>
    <xf numFmtId="4" fontId="7" fillId="7" borderId="0" xfId="3" applyNumberFormat="1" applyFont="1" applyFill="1"/>
    <xf numFmtId="0" fontId="153" fillId="0" borderId="0" xfId="3" applyFont="1" applyProtection="1">
      <protection locked="0"/>
    </xf>
    <xf numFmtId="0" fontId="15" fillId="0" borderId="11" xfId="3" applyFont="1" applyBorder="1" applyAlignment="1" applyProtection="1">
      <alignment horizontal="center"/>
      <protection locked="0"/>
    </xf>
    <xf numFmtId="0" fontId="15" fillId="0" borderId="0" xfId="3" applyFont="1" applyAlignment="1">
      <alignment horizontal="right"/>
    </xf>
    <xf numFmtId="165" fontId="7" fillId="0" borderId="0" xfId="10" applyNumberFormat="1" applyFont="1" applyProtection="1">
      <protection locked="0"/>
    </xf>
    <xf numFmtId="2" fontId="7" fillId="0" borderId="1" xfId="3" applyNumberFormat="1" applyFont="1" applyBorder="1"/>
    <xf numFmtId="0" fontId="153" fillId="0" borderId="1" xfId="3" applyFont="1" applyBorder="1" applyProtection="1">
      <protection locked="0"/>
    </xf>
    <xf numFmtId="0" fontId="117" fillId="0" borderId="22" xfId="13" applyFont="1" applyBorder="1" applyAlignment="1" applyProtection="1">
      <alignment horizontal="right"/>
      <protection locked="0"/>
    </xf>
    <xf numFmtId="0" fontId="4" fillId="0" borderId="0" xfId="13" applyFont="1" applyAlignment="1" applyProtection="1">
      <alignment horizontal="right"/>
      <protection locked="0"/>
    </xf>
    <xf numFmtId="43" fontId="15" fillId="2" borderId="15" xfId="1" applyFont="1" applyFill="1" applyBorder="1"/>
    <xf numFmtId="2" fontId="13" fillId="2" borderId="0" xfId="3" applyNumberFormat="1" applyFont="1" applyFill="1" applyAlignment="1" applyProtection="1">
      <alignment horizontal="center"/>
      <protection locked="0"/>
    </xf>
    <xf numFmtId="0" fontId="154" fillId="0" borderId="0" xfId="3" applyFont="1" applyAlignment="1">
      <alignment horizontal="right"/>
    </xf>
    <xf numFmtId="4" fontId="7" fillId="13" borderId="0" xfId="10" applyNumberFormat="1" applyFont="1" applyFill="1" applyAlignment="1">
      <alignment horizontal="right"/>
    </xf>
    <xf numFmtId="2" fontId="7" fillId="0" borderId="0" xfId="10" applyNumberFormat="1" applyFont="1" applyAlignment="1">
      <alignment horizontal="right"/>
    </xf>
    <xf numFmtId="4" fontId="7" fillId="13" borderId="0" xfId="10" applyNumberFormat="1" applyFont="1" applyFill="1" applyAlignment="1" applyProtection="1">
      <alignment horizontal="right"/>
      <protection locked="0"/>
    </xf>
    <xf numFmtId="4" fontId="7" fillId="4" borderId="0" xfId="3" applyNumberFormat="1" applyFont="1" applyFill="1" applyAlignment="1">
      <alignment horizontal="right"/>
    </xf>
    <xf numFmtId="2" fontId="7" fillId="0" borderId="0" xfId="3" applyNumberFormat="1" applyFont="1" applyAlignment="1">
      <alignment horizontal="right"/>
    </xf>
    <xf numFmtId="0" fontId="7" fillId="0" borderId="0" xfId="3" applyFont="1" applyAlignment="1" applyProtection="1">
      <alignment horizontal="right"/>
      <protection locked="0"/>
    </xf>
    <xf numFmtId="4" fontId="7" fillId="4" borderId="0" xfId="3" applyNumberFormat="1" applyFont="1" applyFill="1" applyAlignment="1" applyProtection="1">
      <alignment horizontal="right"/>
      <protection locked="0"/>
    </xf>
    <xf numFmtId="4" fontId="7" fillId="5" borderId="0" xfId="3" applyNumberFormat="1" applyFont="1" applyFill="1" applyAlignment="1">
      <alignment horizontal="right"/>
    </xf>
    <xf numFmtId="1" fontId="7" fillId="0" borderId="0" xfId="10" applyFont="1"/>
    <xf numFmtId="4" fontId="7" fillId="5" borderId="0" xfId="3" applyNumberFormat="1" applyFont="1" applyFill="1" applyAlignment="1" applyProtection="1">
      <alignment horizontal="right"/>
      <protection locked="0"/>
    </xf>
    <xf numFmtId="4" fontId="7" fillId="6" borderId="0" xfId="3" applyNumberFormat="1" applyFont="1" applyFill="1" applyAlignment="1">
      <alignment horizontal="right"/>
    </xf>
    <xf numFmtId="4" fontId="7" fillId="6" borderId="0" xfId="3" applyNumberFormat="1" applyFont="1" applyFill="1" applyAlignment="1" applyProtection="1">
      <alignment horizontal="right"/>
      <protection locked="0"/>
    </xf>
    <xf numFmtId="4" fontId="7" fillId="2" borderId="0" xfId="3" applyNumberFormat="1" applyFont="1" applyFill="1" applyAlignment="1">
      <alignment horizontal="right"/>
    </xf>
    <xf numFmtId="4" fontId="7" fillId="2" borderId="0" xfId="3" applyNumberFormat="1" applyFont="1" applyFill="1" applyAlignment="1" applyProtection="1">
      <alignment horizontal="right"/>
      <protection locked="0"/>
    </xf>
    <xf numFmtId="4" fontId="7" fillId="7" borderId="0" xfId="3" applyNumberFormat="1" applyFont="1" applyFill="1" applyAlignment="1">
      <alignment horizontal="right"/>
    </xf>
    <xf numFmtId="4" fontId="7" fillId="7" borderId="0" xfId="3" applyNumberFormat="1" applyFont="1" applyFill="1" applyAlignment="1" applyProtection="1">
      <alignment horizontal="right"/>
      <protection locked="0"/>
    </xf>
    <xf numFmtId="4" fontId="7" fillId="8" borderId="0" xfId="3" applyNumberFormat="1" applyFont="1" applyFill="1" applyAlignment="1">
      <alignment horizontal="right"/>
    </xf>
    <xf numFmtId="4" fontId="7" fillId="8" borderId="0" xfId="3" applyNumberFormat="1" applyFont="1" applyFill="1" applyProtection="1">
      <protection locked="0"/>
    </xf>
    <xf numFmtId="4" fontId="7" fillId="9" borderId="0" xfId="3" applyNumberFormat="1" applyFont="1" applyFill="1" applyAlignment="1">
      <alignment horizontal="right"/>
    </xf>
    <xf numFmtId="4" fontId="7" fillId="9" borderId="0" xfId="3" applyNumberFormat="1" applyFont="1" applyFill="1" applyProtection="1">
      <protection locked="0"/>
    </xf>
    <xf numFmtId="4" fontId="7" fillId="10" borderId="0" xfId="3" applyNumberFormat="1" applyFont="1" applyFill="1" applyAlignment="1">
      <alignment horizontal="right"/>
    </xf>
    <xf numFmtId="4" fontId="7" fillId="10" borderId="0" xfId="3" applyNumberFormat="1" applyFont="1" applyFill="1" applyProtection="1">
      <protection locked="0"/>
    </xf>
    <xf numFmtId="4" fontId="7" fillId="11" borderId="13" xfId="3" applyNumberFormat="1" applyFont="1" applyFill="1" applyBorder="1" applyAlignment="1">
      <alignment horizontal="right"/>
    </xf>
    <xf numFmtId="4" fontId="7" fillId="11" borderId="0" xfId="3" applyNumberFormat="1" applyFont="1" applyFill="1" applyProtection="1">
      <protection locked="0"/>
    </xf>
    <xf numFmtId="0" fontId="15" fillId="0" borderId="1" xfId="3" applyFont="1" applyBorder="1" applyAlignment="1">
      <alignment horizontal="left"/>
    </xf>
    <xf numFmtId="0" fontId="155" fillId="0" borderId="1" xfId="3" applyFont="1" applyBorder="1" applyAlignment="1">
      <alignment horizontal="right"/>
    </xf>
    <xf numFmtId="0" fontId="3" fillId="0" borderId="1" xfId="3" applyFont="1" applyBorder="1"/>
    <xf numFmtId="0" fontId="15" fillId="0" borderId="1" xfId="3" applyFont="1" applyBorder="1" applyAlignment="1">
      <alignment horizontal="right"/>
    </xf>
    <xf numFmtId="4" fontId="15" fillId="2" borderId="1" xfId="3" applyNumberFormat="1" applyFont="1" applyFill="1" applyBorder="1" applyAlignment="1">
      <alignment horizontal="right"/>
    </xf>
    <xf numFmtId="1" fontId="15" fillId="2" borderId="1" xfId="10" applyFont="1" applyFill="1" applyBorder="1" applyProtection="1">
      <protection locked="0"/>
    </xf>
    <xf numFmtId="2" fontId="15" fillId="2" borderId="1" xfId="10" applyNumberFormat="1" applyFont="1" applyFill="1" applyBorder="1" applyProtection="1">
      <protection locked="0"/>
    </xf>
    <xf numFmtId="1" fontId="15" fillId="2" borderId="1" xfId="10" applyFont="1" applyFill="1" applyBorder="1"/>
    <xf numFmtId="2" fontId="15" fillId="2" borderId="1" xfId="3" applyNumberFormat="1" applyFont="1" applyFill="1" applyBorder="1"/>
    <xf numFmtId="0" fontId="156" fillId="2" borderId="1" xfId="3" applyFont="1" applyFill="1" applyBorder="1" applyProtection="1">
      <protection locked="0"/>
    </xf>
    <xf numFmtId="43" fontId="15" fillId="0" borderId="1" xfId="1" applyFont="1" applyFill="1" applyBorder="1"/>
    <xf numFmtId="0" fontId="155" fillId="0" borderId="0" xfId="3" applyFont="1" applyAlignment="1">
      <alignment horizontal="right"/>
    </xf>
    <xf numFmtId="0" fontId="3" fillId="0" borderId="0" xfId="3" applyFont="1" applyAlignment="1">
      <alignment horizontal="right"/>
    </xf>
    <xf numFmtId="2" fontId="15" fillId="0" borderId="0" xfId="3" applyNumberFormat="1" applyFont="1"/>
    <xf numFmtId="2" fontId="15" fillId="0" borderId="0" xfId="10" applyNumberFormat="1" applyFont="1"/>
    <xf numFmtId="2" fontId="156" fillId="0" borderId="0" xfId="3" applyNumberFormat="1" applyFont="1" applyProtection="1">
      <protection locked="0"/>
    </xf>
    <xf numFmtId="43" fontId="18" fillId="0" borderId="47" xfId="3" applyNumberFormat="1" applyFont="1" applyBorder="1"/>
    <xf numFmtId="0" fontId="15" fillId="12" borderId="0" xfId="3" applyFont="1" applyFill="1" applyAlignment="1" applyProtection="1">
      <alignment horizontal="left"/>
      <protection locked="0"/>
    </xf>
    <xf numFmtId="0" fontId="15" fillId="12" borderId="0" xfId="3" applyFont="1" applyFill="1" applyAlignment="1" applyProtection="1">
      <alignment horizontal="center"/>
      <protection locked="0"/>
    </xf>
    <xf numFmtId="2" fontId="7" fillId="0" borderId="0" xfId="3" applyNumberFormat="1" applyFont="1"/>
    <xf numFmtId="2" fontId="7" fillId="0" borderId="12" xfId="3" applyNumberFormat="1" applyFont="1" applyBorder="1"/>
    <xf numFmtId="2" fontId="7" fillId="0" borderId="12" xfId="3" applyNumberFormat="1" applyFont="1" applyBorder="1" applyProtection="1">
      <protection locked="0"/>
    </xf>
    <xf numFmtId="0" fontId="18" fillId="12" borderId="0" xfId="3" applyFont="1" applyFill="1" applyProtection="1">
      <protection locked="0"/>
    </xf>
    <xf numFmtId="2" fontId="7" fillId="2" borderId="0" xfId="3" applyNumberFormat="1" applyFont="1" applyFill="1" applyAlignment="1" applyProtection="1">
      <alignment horizontal="center"/>
      <protection locked="0"/>
    </xf>
    <xf numFmtId="4" fontId="7" fillId="13" borderId="12" xfId="10" applyNumberFormat="1" applyFont="1" applyFill="1" applyBorder="1" applyAlignment="1">
      <alignment horizontal="right"/>
    </xf>
    <xf numFmtId="2" fontId="7" fillId="13" borderId="12" xfId="10" applyNumberFormat="1" applyFont="1" applyFill="1" applyBorder="1"/>
    <xf numFmtId="2" fontId="7" fillId="0" borderId="12" xfId="10" applyNumberFormat="1" applyFont="1" applyBorder="1" applyProtection="1">
      <protection locked="0"/>
    </xf>
    <xf numFmtId="0" fontId="7" fillId="2" borderId="0" xfId="3" applyFont="1" applyFill="1" applyAlignment="1" applyProtection="1">
      <alignment horizontal="center"/>
      <protection locked="0"/>
    </xf>
    <xf numFmtId="1" fontId="1" fillId="0" borderId="0" xfId="10" applyFont="1" applyProtection="1">
      <protection locked="0"/>
    </xf>
    <xf numFmtId="1" fontId="15" fillId="0" borderId="0" xfId="10" applyFont="1" applyAlignment="1" applyProtection="1">
      <alignment horizontal="right"/>
      <protection locked="0"/>
    </xf>
    <xf numFmtId="4" fontId="7" fillId="7" borderId="12" xfId="3" applyNumberFormat="1" applyFont="1" applyFill="1" applyBorder="1"/>
    <xf numFmtId="2" fontId="7" fillId="7" borderId="12" xfId="3" applyNumberFormat="1" applyFont="1" applyFill="1" applyBorder="1"/>
    <xf numFmtId="2" fontId="153" fillId="0" borderId="12" xfId="3" applyNumberFormat="1" applyFont="1" applyBorder="1" applyProtection="1">
      <protection locked="0"/>
    </xf>
    <xf numFmtId="0" fontId="157" fillId="12" borderId="0" xfId="3" applyFont="1" applyFill="1" applyProtection="1">
      <protection locked="0"/>
    </xf>
    <xf numFmtId="4" fontId="7" fillId="6" borderId="12" xfId="3" applyNumberFormat="1" applyFont="1" applyFill="1" applyBorder="1"/>
    <xf numFmtId="2" fontId="7" fillId="6" borderId="12" xfId="3" applyNumberFormat="1" applyFont="1" applyFill="1" applyBorder="1"/>
    <xf numFmtId="2" fontId="15" fillId="0" borderId="1" xfId="3" applyNumberFormat="1" applyFont="1" applyBorder="1" applyAlignment="1">
      <alignment horizontal="right"/>
    </xf>
    <xf numFmtId="2" fontId="7" fillId="0" borderId="1" xfId="3" applyNumberFormat="1" applyFont="1" applyBorder="1" applyProtection="1">
      <protection locked="0"/>
    </xf>
    <xf numFmtId="2" fontId="15" fillId="0" borderId="1" xfId="3" applyNumberFormat="1" applyFont="1" applyBorder="1" applyAlignment="1" applyProtection="1">
      <alignment horizontal="right"/>
      <protection locked="0"/>
    </xf>
    <xf numFmtId="1" fontId="14" fillId="0" borderId="0" xfId="10" applyFont="1" applyAlignment="1" applyProtection="1">
      <alignment horizontal="centerContinuous" vertical="top" wrapText="1"/>
      <protection locked="0"/>
    </xf>
    <xf numFmtId="0" fontId="0" fillId="0" borderId="0" xfId="0" applyAlignment="1">
      <alignment horizontal="centerContinuous" vertical="top" wrapText="1"/>
    </xf>
    <xf numFmtId="0" fontId="0" fillId="0" borderId="0" xfId="0" applyAlignment="1">
      <alignment horizontal="center" vertical="top" wrapText="1"/>
    </xf>
    <xf numFmtId="0" fontId="7" fillId="0" borderId="13" xfId="0" applyFont="1" applyBorder="1" applyAlignment="1">
      <alignment horizontal="right"/>
    </xf>
    <xf numFmtId="49" fontId="160" fillId="0" borderId="14" xfId="0" applyNumberFormat="1" applyFont="1" applyBorder="1" applyAlignment="1">
      <alignment horizontal="left"/>
    </xf>
    <xf numFmtId="1" fontId="20" fillId="0" borderId="0" xfId="10" applyFont="1" applyAlignment="1" applyProtection="1">
      <alignment horizontal="center"/>
      <protection locked="0"/>
    </xf>
    <xf numFmtId="0" fontId="3" fillId="0" borderId="13" xfId="0" applyFont="1" applyBorder="1"/>
    <xf numFmtId="0" fontId="15" fillId="0" borderId="13" xfId="0" applyFont="1" applyBorder="1" applyAlignment="1">
      <alignment horizontal="right"/>
    </xf>
    <xf numFmtId="1" fontId="0" fillId="0" borderId="13" xfId="0" applyNumberFormat="1" applyBorder="1"/>
    <xf numFmtId="0" fontId="1" fillId="0" borderId="13" xfId="0" applyFont="1" applyBorder="1"/>
    <xf numFmtId="2" fontId="1" fillId="2" borderId="14" xfId="0" applyNumberFormat="1" applyFont="1" applyFill="1" applyBorder="1" applyAlignment="1">
      <alignment horizontal="right"/>
    </xf>
    <xf numFmtId="165" fontId="1" fillId="2" borderId="14" xfId="0" applyNumberFormat="1" applyFont="1" applyFill="1" applyBorder="1"/>
    <xf numFmtId="0" fontId="7" fillId="0" borderId="0" xfId="0" applyFont="1"/>
    <xf numFmtId="0" fontId="7" fillId="0" borderId="0" xfId="0" applyFont="1" applyAlignment="1">
      <alignment horizontal="right"/>
    </xf>
    <xf numFmtId="0" fontId="138" fillId="0" borderId="0" xfId="0" applyFont="1" applyAlignment="1">
      <alignment horizontal="left"/>
    </xf>
    <xf numFmtId="0" fontId="1" fillId="0" borderId="0" xfId="0" applyFont="1" applyAlignment="1">
      <alignment horizontal="center"/>
    </xf>
    <xf numFmtId="2" fontId="4" fillId="0" borderId="0" xfId="0" applyNumberFormat="1" applyFont="1"/>
    <xf numFmtId="165" fontId="0" fillId="0" borderId="0" xfId="0" applyNumberFormat="1"/>
    <xf numFmtId="0" fontId="7" fillId="0" borderId="1" xfId="0" applyFont="1" applyBorder="1" applyAlignment="1">
      <alignment horizontal="right"/>
    </xf>
    <xf numFmtId="0" fontId="21" fillId="0" borderId="1" xfId="0" applyFont="1" applyBorder="1" applyAlignment="1">
      <alignment horizontal="left"/>
    </xf>
    <xf numFmtId="1" fontId="20" fillId="0" borderId="1" xfId="10" applyFont="1" applyBorder="1" applyAlignment="1" applyProtection="1">
      <alignment horizontal="center"/>
      <protection locked="0"/>
    </xf>
    <xf numFmtId="0" fontId="7" fillId="0" borderId="1" xfId="0" applyFont="1" applyBorder="1"/>
    <xf numFmtId="0" fontId="0" fillId="0" borderId="1" xfId="0" applyBorder="1"/>
    <xf numFmtId="0" fontId="1" fillId="0" borderId="1" xfId="0" applyFont="1" applyBorder="1" applyAlignment="1">
      <alignment horizontal="center"/>
    </xf>
    <xf numFmtId="1" fontId="0" fillId="0" borderId="1" xfId="0" applyNumberFormat="1" applyBorder="1"/>
    <xf numFmtId="2" fontId="4" fillId="0" borderId="1" xfId="0" applyNumberFormat="1" applyFont="1" applyBorder="1"/>
    <xf numFmtId="165" fontId="0" fillId="0" borderId="1" xfId="0" applyNumberFormat="1" applyBorder="1"/>
    <xf numFmtId="0" fontId="22" fillId="0" borderId="0" xfId="0" applyFont="1"/>
    <xf numFmtId="0" fontId="1" fillId="0" borderId="0" xfId="0" applyFont="1" applyAlignment="1">
      <alignment horizontal="left"/>
    </xf>
    <xf numFmtId="0" fontId="23" fillId="0" borderId="0" xfId="0" applyFont="1" applyAlignment="1">
      <alignment horizontal="center"/>
    </xf>
    <xf numFmtId="0" fontId="22" fillId="0" borderId="1" xfId="0" applyFont="1" applyBorder="1"/>
    <xf numFmtId="0" fontId="1" fillId="0" borderId="15" xfId="0" applyFont="1" applyBorder="1" applyAlignment="1">
      <alignment horizontal="left"/>
    </xf>
    <xf numFmtId="0" fontId="24" fillId="0" borderId="15" xfId="0" applyFont="1" applyBorder="1" applyAlignment="1">
      <alignment horizontal="center"/>
    </xf>
    <xf numFmtId="0" fontId="0" fillId="0" borderId="15" xfId="0" applyBorder="1"/>
    <xf numFmtId="1" fontId="0" fillId="0" borderId="15" xfId="0" applyNumberFormat="1" applyBorder="1"/>
    <xf numFmtId="2" fontId="4" fillId="0" borderId="15" xfId="0" applyNumberFormat="1" applyFont="1" applyBorder="1" applyAlignment="1">
      <alignment horizontal="right"/>
    </xf>
    <xf numFmtId="165" fontId="0" fillId="0" borderId="15" xfId="0" applyNumberFormat="1" applyBorder="1"/>
    <xf numFmtId="4" fontId="0" fillId="0" borderId="0" xfId="0" applyNumberFormat="1" applyProtection="1">
      <protection locked="0"/>
    </xf>
    <xf numFmtId="4" fontId="1" fillId="21" borderId="4" xfId="13" applyNumberFormat="1" applyFont="1" applyFill="1" applyBorder="1" applyAlignment="1">
      <alignment horizontal="center" wrapText="1"/>
    </xf>
    <xf numFmtId="4" fontId="4" fillId="0" borderId="48" xfId="13" applyNumberFormat="1" applyFont="1" applyBorder="1" applyAlignment="1">
      <alignment horizontal="center"/>
    </xf>
    <xf numFmtId="4" fontId="4" fillId="0" borderId="45" xfId="13" applyNumberFormat="1" applyFont="1" applyBorder="1" applyAlignment="1">
      <alignment horizontal="center"/>
    </xf>
    <xf numFmtId="4" fontId="1" fillId="0" borderId="19" xfId="13" applyNumberFormat="1" applyFont="1" applyBorder="1" applyAlignment="1">
      <alignment horizontal="right"/>
    </xf>
    <xf numFmtId="0" fontId="4" fillId="0" borderId="21" xfId="13" applyFont="1" applyBorder="1"/>
    <xf numFmtId="0" fontId="4" fillId="0" borderId="11" xfId="13" applyFont="1" applyBorder="1"/>
    <xf numFmtId="4" fontId="1" fillId="0" borderId="29" xfId="13" applyNumberFormat="1" applyFont="1" applyBorder="1" applyAlignment="1" applyProtection="1">
      <alignment horizontal="center"/>
      <protection locked="0"/>
    </xf>
    <xf numFmtId="4" fontId="4" fillId="0" borderId="0" xfId="13" applyNumberFormat="1" applyFont="1" applyAlignment="1" applyProtection="1">
      <alignment horizontal="right"/>
      <protection locked="0"/>
    </xf>
    <xf numFmtId="4" fontId="4" fillId="19" borderId="0" xfId="13" applyNumberFormat="1" applyFont="1" applyFill="1" applyAlignment="1" applyProtection="1">
      <alignment horizontal="right"/>
      <protection locked="0"/>
    </xf>
    <xf numFmtId="4" fontId="4" fillId="0" borderId="19" xfId="13" applyNumberFormat="1" applyFont="1" applyBorder="1" applyAlignment="1" applyProtection="1">
      <alignment horizontal="right"/>
      <protection locked="0"/>
    </xf>
    <xf numFmtId="0" fontId="144" fillId="0" borderId="19" xfId="13" applyBorder="1" applyProtection="1">
      <protection locked="0"/>
    </xf>
    <xf numFmtId="0" fontId="144" fillId="0" borderId="44" xfId="13" applyBorder="1" applyProtection="1">
      <protection locked="0"/>
    </xf>
    <xf numFmtId="4" fontId="4" fillId="0" borderId="48" xfId="13" applyNumberFormat="1" applyFont="1" applyBorder="1" applyProtection="1">
      <protection locked="0"/>
    </xf>
    <xf numFmtId="4" fontId="1" fillId="0" borderId="19" xfId="13" applyNumberFormat="1" applyFont="1" applyBorder="1" applyAlignment="1" applyProtection="1">
      <alignment horizontal="center"/>
      <protection locked="0"/>
    </xf>
    <xf numFmtId="0" fontId="4" fillId="0" borderId="21" xfId="13" applyFont="1" applyBorder="1" applyProtection="1">
      <protection locked="0"/>
    </xf>
    <xf numFmtId="4" fontId="1" fillId="0" borderId="0" xfId="13" applyNumberFormat="1" applyFont="1" applyAlignment="1" applyProtection="1">
      <alignment horizontal="center"/>
      <protection locked="0"/>
    </xf>
    <xf numFmtId="4" fontId="4" fillId="0" borderId="0" xfId="13" applyNumberFormat="1" applyFont="1" applyAlignment="1" applyProtection="1">
      <alignment horizontal="center"/>
      <protection locked="0"/>
    </xf>
    <xf numFmtId="178" fontId="1" fillId="0" borderId="49" xfId="13" applyNumberFormat="1" applyFont="1" applyBorder="1" applyAlignment="1">
      <alignment horizontal="centerContinuous"/>
    </xf>
    <xf numFmtId="0" fontId="117" fillId="0" borderId="28" xfId="13" applyFont="1" applyBorder="1" applyAlignment="1">
      <alignment horizontal="centerContinuous"/>
    </xf>
    <xf numFmtId="1" fontId="117" fillId="0" borderId="28" xfId="13" applyNumberFormat="1" applyFont="1" applyBorder="1" applyAlignment="1">
      <alignment horizontal="centerContinuous"/>
    </xf>
    <xf numFmtId="0" fontId="117" fillId="0" borderId="50" xfId="13" applyFont="1" applyBorder="1" applyAlignment="1">
      <alignment horizontal="centerContinuous"/>
    </xf>
    <xf numFmtId="178" fontId="1" fillId="0" borderId="51" xfId="13" applyNumberFormat="1" applyFont="1" applyBorder="1" applyAlignment="1">
      <alignment horizontal="centerContinuous"/>
    </xf>
    <xf numFmtId="0" fontId="4" fillId="0" borderId="0" xfId="13" applyFont="1" applyAlignment="1">
      <alignment horizontal="centerContinuous"/>
    </xf>
    <xf numFmtId="1" fontId="4" fillId="0" borderId="0" xfId="13" applyNumberFormat="1" applyFont="1" applyAlignment="1">
      <alignment horizontal="centerContinuous"/>
    </xf>
    <xf numFmtId="0" fontId="4" fillId="0" borderId="52" xfId="13" applyFont="1" applyBorder="1" applyAlignment="1">
      <alignment horizontal="centerContinuous"/>
    </xf>
    <xf numFmtId="178" fontId="15" fillId="0" borderId="51" xfId="13" applyNumberFormat="1" applyFont="1" applyBorder="1"/>
    <xf numFmtId="0" fontId="4" fillId="0" borderId="0" xfId="13" applyFont="1"/>
    <xf numFmtId="1" fontId="4" fillId="0" borderId="0" xfId="13" applyNumberFormat="1" applyFont="1"/>
    <xf numFmtId="0" fontId="4" fillId="0" borderId="52" xfId="13" applyFont="1" applyBorder="1"/>
    <xf numFmtId="178" fontId="1" fillId="0" borderId="53" xfId="13" applyNumberFormat="1" applyFont="1" applyBorder="1" applyAlignment="1">
      <alignment horizontal="center"/>
    </xf>
    <xf numFmtId="4" fontId="1" fillId="21" borderId="7" xfId="13" applyNumberFormat="1" applyFont="1" applyFill="1" applyBorder="1" applyAlignment="1">
      <alignment horizontal="center" wrapText="1"/>
    </xf>
    <xf numFmtId="178" fontId="4" fillId="0" borderId="54" xfId="13" applyNumberFormat="1" applyFont="1" applyBorder="1" applyAlignment="1">
      <alignment horizontal="center" vertical="top"/>
    </xf>
    <xf numFmtId="4" fontId="4" fillId="0" borderId="0" xfId="13" applyNumberFormat="1" applyFont="1" applyAlignment="1">
      <alignment vertical="top" wrapText="1"/>
    </xf>
    <xf numFmtId="4" fontId="4" fillId="0" borderId="55" xfId="13" applyNumberFormat="1" applyFont="1" applyBorder="1" applyAlignment="1">
      <alignment horizontal="center"/>
    </xf>
    <xf numFmtId="4" fontId="1" fillId="0" borderId="0" xfId="13" applyNumberFormat="1" applyFont="1" applyAlignment="1">
      <alignment vertical="top" wrapText="1"/>
    </xf>
    <xf numFmtId="4" fontId="22" fillId="0" borderId="0" xfId="13" applyNumberFormat="1" applyFont="1" applyAlignment="1">
      <alignment vertical="top" wrapText="1"/>
    </xf>
    <xf numFmtId="4" fontId="4" fillId="0" borderId="0" xfId="13" applyNumberFormat="1" applyFont="1" applyAlignment="1">
      <alignment horizontal="left" vertical="top" wrapText="1"/>
    </xf>
    <xf numFmtId="178" fontId="4" fillId="19" borderId="54" xfId="13" applyNumberFormat="1" applyFont="1" applyFill="1" applyBorder="1" applyAlignment="1">
      <alignment horizontal="center" vertical="top"/>
    </xf>
    <xf numFmtId="4" fontId="22" fillId="19" borderId="0" xfId="13" applyNumberFormat="1" applyFont="1" applyFill="1" applyAlignment="1">
      <alignment vertical="top" wrapText="1"/>
    </xf>
    <xf numFmtId="4" fontId="4" fillId="19" borderId="55" xfId="13" applyNumberFormat="1" applyFont="1" applyFill="1" applyBorder="1" applyAlignment="1" applyProtection="1">
      <alignment horizontal="right"/>
      <protection locked="0"/>
    </xf>
    <xf numFmtId="178" fontId="144" fillId="0" borderId="54" xfId="13" applyNumberFormat="1" applyBorder="1"/>
    <xf numFmtId="0" fontId="144" fillId="0" borderId="55" xfId="13" applyBorder="1"/>
    <xf numFmtId="178" fontId="144" fillId="0" borderId="38" xfId="13" applyNumberFormat="1" applyBorder="1"/>
    <xf numFmtId="0" fontId="144" fillId="0" borderId="56" xfId="13" applyBorder="1"/>
    <xf numFmtId="178" fontId="4" fillId="0" borderId="49" xfId="13" applyNumberFormat="1" applyFont="1" applyBorder="1" applyAlignment="1">
      <alignment horizontal="center" vertical="top"/>
    </xf>
    <xf numFmtId="4" fontId="4" fillId="0" borderId="57" xfId="13" applyNumberFormat="1" applyFont="1" applyBorder="1" applyAlignment="1">
      <alignment horizontal="center"/>
    </xf>
    <xf numFmtId="178" fontId="4" fillId="0" borderId="51" xfId="13" applyNumberFormat="1" applyFont="1" applyBorder="1" applyAlignment="1">
      <alignment vertical="top"/>
    </xf>
    <xf numFmtId="4" fontId="1" fillId="0" borderId="0" xfId="13" applyNumberFormat="1" applyFont="1" applyAlignment="1">
      <alignment horizontal="left" vertical="top" wrapText="1"/>
    </xf>
    <xf numFmtId="1" fontId="1" fillId="0" borderId="0" xfId="13" applyNumberFormat="1" applyFont="1" applyAlignment="1">
      <alignment horizontal="center"/>
    </xf>
    <xf numFmtId="4" fontId="1" fillId="0" borderId="55" xfId="13" applyNumberFormat="1" applyFont="1" applyBorder="1" applyAlignment="1" applyProtection="1">
      <alignment horizontal="center"/>
      <protection locked="0"/>
    </xf>
    <xf numFmtId="178" fontId="4" fillId="0" borderId="58" xfId="13" applyNumberFormat="1" applyFont="1" applyBorder="1" applyAlignment="1">
      <alignment vertical="top"/>
    </xf>
    <xf numFmtId="0" fontId="4" fillId="0" borderId="59" xfId="13" applyFont="1" applyBorder="1"/>
    <xf numFmtId="178" fontId="1" fillId="0" borderId="60" xfId="13" applyNumberFormat="1" applyFont="1" applyBorder="1" applyAlignment="1">
      <alignment horizontal="centerContinuous" vertical="top"/>
    </xf>
    <xf numFmtId="0" fontId="117" fillId="0" borderId="61" xfId="13" applyFont="1" applyBorder="1" applyAlignment="1">
      <alignment horizontal="centerContinuous"/>
    </xf>
    <xf numFmtId="178" fontId="1" fillId="0" borderId="51" xfId="13" applyNumberFormat="1" applyFont="1" applyBorder="1" applyAlignment="1">
      <alignment horizontal="centerContinuous" vertical="top"/>
    </xf>
    <xf numFmtId="0" fontId="4" fillId="0" borderId="0" xfId="13" applyFont="1" applyAlignment="1">
      <alignment horizontal="centerContinuous" vertical="top" wrapText="1"/>
    </xf>
    <xf numFmtId="0" fontId="4" fillId="0" borderId="0" xfId="13" applyFont="1" applyAlignment="1">
      <alignment vertical="top" wrapText="1"/>
    </xf>
    <xf numFmtId="178" fontId="1" fillId="0" borderId="53" xfId="13" applyNumberFormat="1" applyFont="1" applyBorder="1" applyAlignment="1">
      <alignment horizontal="center" vertical="top"/>
    </xf>
    <xf numFmtId="4" fontId="4" fillId="0" borderId="0" xfId="13" applyNumberFormat="1" applyFont="1" applyAlignment="1">
      <alignment horizontal="left" wrapText="1"/>
    </xf>
    <xf numFmtId="178" fontId="4" fillId="0" borderId="38" xfId="13" applyNumberFormat="1" applyFont="1" applyBorder="1" applyAlignment="1">
      <alignment horizontal="center" vertical="top"/>
    </xf>
    <xf numFmtId="4" fontId="147" fillId="0" borderId="55" xfId="13" applyNumberFormat="1" applyFont="1" applyBorder="1" applyAlignment="1">
      <alignment horizontal="center"/>
    </xf>
    <xf numFmtId="4" fontId="1" fillId="0" borderId="55" xfId="13" applyNumberFormat="1" applyFont="1" applyBorder="1" applyAlignment="1">
      <alignment horizontal="center"/>
    </xf>
    <xf numFmtId="4" fontId="4" fillId="19" borderId="55" xfId="13" applyNumberFormat="1" applyFont="1" applyFill="1" applyBorder="1" applyAlignment="1">
      <alignment horizontal="center"/>
    </xf>
    <xf numFmtId="4" fontId="4" fillId="0" borderId="55" xfId="13" applyNumberFormat="1" applyFont="1" applyBorder="1" applyAlignment="1">
      <alignment horizontal="center" vertical="center"/>
    </xf>
    <xf numFmtId="4" fontId="147" fillId="0" borderId="55" xfId="13" applyNumberFormat="1" applyFont="1" applyBorder="1" applyAlignment="1">
      <alignment horizontal="center" vertical="center"/>
    </xf>
    <xf numFmtId="4" fontId="4" fillId="0" borderId="0" xfId="13" applyNumberFormat="1" applyFont="1" applyAlignment="1">
      <alignment horizontal="left" vertical="center"/>
    </xf>
    <xf numFmtId="1" fontId="4" fillId="19" borderId="54" xfId="13" applyNumberFormat="1" applyFont="1" applyFill="1" applyBorder="1" applyAlignment="1">
      <alignment horizontal="center" vertical="center"/>
    </xf>
    <xf numFmtId="1" fontId="4" fillId="0" borderId="54" xfId="13" applyNumberFormat="1" applyFont="1" applyBorder="1" applyAlignment="1">
      <alignment horizontal="center" vertical="center"/>
    </xf>
    <xf numFmtId="1" fontId="4" fillId="19" borderId="54" xfId="13" applyNumberFormat="1" applyFont="1" applyFill="1" applyBorder="1" applyAlignment="1">
      <alignment horizontal="center" vertical="top"/>
    </xf>
    <xf numFmtId="4" fontId="4" fillId="19" borderId="0" xfId="13" applyNumberFormat="1" applyFont="1" applyFill="1" applyAlignment="1">
      <alignment horizontal="left" vertical="top" wrapText="1"/>
    </xf>
    <xf numFmtId="178" fontId="22" fillId="0" borderId="0" xfId="13" applyNumberFormat="1" applyFont="1" applyAlignment="1">
      <alignment horizontal="left" vertical="top"/>
    </xf>
    <xf numFmtId="4" fontId="4" fillId="0" borderId="55" xfId="13" applyNumberFormat="1" applyFont="1" applyBorder="1" applyAlignment="1">
      <alignment horizontal="center" wrapText="1"/>
    </xf>
    <xf numFmtId="178" fontId="1" fillId="0" borderId="54" xfId="13" applyNumberFormat="1" applyFont="1" applyBorder="1" applyAlignment="1">
      <alignment horizontal="center" vertical="top"/>
    </xf>
    <xf numFmtId="4" fontId="1" fillId="0" borderId="0" xfId="13" applyNumberFormat="1" applyFont="1" applyAlignment="1">
      <alignment horizontal="centerContinuous"/>
    </xf>
    <xf numFmtId="178" fontId="1" fillId="19" borderId="54" xfId="13" applyNumberFormat="1" applyFont="1" applyFill="1" applyBorder="1" applyAlignment="1">
      <alignment horizontal="center" vertical="top"/>
    </xf>
    <xf numFmtId="4" fontId="22" fillId="19" borderId="0" xfId="13" applyNumberFormat="1" applyFont="1" applyFill="1" applyAlignment="1">
      <alignment horizontal="left" vertical="top" wrapText="1"/>
    </xf>
    <xf numFmtId="178" fontId="4" fillId="0" borderId="0" xfId="13" applyNumberFormat="1" applyFont="1" applyAlignment="1">
      <alignment horizontal="left" vertical="top"/>
    </xf>
    <xf numFmtId="0" fontId="4" fillId="0" borderId="0" xfId="13" applyFont="1" applyAlignment="1">
      <alignment horizontal="left" wrapText="1"/>
    </xf>
    <xf numFmtId="0" fontId="4" fillId="0" borderId="55" xfId="13" applyFont="1" applyBorder="1" applyAlignment="1">
      <alignment horizontal="center" wrapText="1"/>
    </xf>
    <xf numFmtId="0" fontId="4" fillId="0" borderId="0" xfId="13" applyFont="1" applyAlignment="1">
      <alignment horizontal="left" vertical="top" wrapText="1"/>
    </xf>
    <xf numFmtId="178" fontId="4" fillId="0" borderId="62" xfId="13" applyNumberFormat="1" applyFont="1" applyBorder="1" applyAlignment="1">
      <alignment vertical="top"/>
    </xf>
    <xf numFmtId="0" fontId="4" fillId="0" borderId="12" xfId="13" applyFont="1" applyBorder="1" applyAlignment="1">
      <alignment vertical="top" wrapText="1"/>
    </xf>
    <xf numFmtId="1" fontId="4" fillId="0" borderId="12" xfId="13" applyNumberFormat="1" applyFont="1" applyBorder="1"/>
    <xf numFmtId="0" fontId="4" fillId="0" borderId="44" xfId="13" applyFont="1" applyBorder="1"/>
    <xf numFmtId="0" fontId="4" fillId="0" borderId="46" xfId="13" applyFont="1" applyBorder="1"/>
    <xf numFmtId="0" fontId="4" fillId="0" borderId="56" xfId="13" applyFont="1" applyBorder="1"/>
    <xf numFmtId="4" fontId="1" fillId="19" borderId="0" xfId="13" applyNumberFormat="1" applyFont="1" applyFill="1" applyAlignment="1" applyProtection="1">
      <alignment horizontal="center"/>
      <protection locked="0"/>
    </xf>
    <xf numFmtId="4" fontId="4" fillId="0" borderId="48" xfId="13" applyNumberFormat="1" applyFont="1" applyBorder="1" applyAlignment="1" applyProtection="1">
      <alignment horizontal="right"/>
      <protection locked="0"/>
    </xf>
    <xf numFmtId="0" fontId="4" fillId="0" borderId="21" xfId="13" applyFont="1" applyBorder="1" applyAlignment="1" applyProtection="1">
      <alignment horizontal="right"/>
      <protection locked="0"/>
    </xf>
    <xf numFmtId="4" fontId="4" fillId="0" borderId="29" xfId="13" applyNumberFormat="1" applyFont="1" applyBorder="1" applyAlignment="1" applyProtection="1">
      <alignment horizontal="right"/>
      <protection locked="0"/>
    </xf>
    <xf numFmtId="0" fontId="22" fillId="0" borderId="0" xfId="13" applyFont="1" applyAlignment="1">
      <alignment vertical="center" wrapText="1"/>
    </xf>
    <xf numFmtId="0" fontId="151" fillId="0" borderId="0" xfId="13" applyFont="1" applyAlignment="1">
      <alignment vertical="center" wrapText="1"/>
    </xf>
    <xf numFmtId="0" fontId="4" fillId="0" borderId="0" xfId="13" applyFont="1" applyAlignment="1">
      <alignment vertical="center"/>
    </xf>
    <xf numFmtId="0" fontId="152" fillId="0" borderId="0" xfId="13" applyFont="1" applyAlignment="1">
      <alignment vertical="center"/>
    </xf>
    <xf numFmtId="4" fontId="4" fillId="0" borderId="0" xfId="14" applyNumberFormat="1" applyFont="1" applyAlignment="1">
      <alignment horizontal="left" vertical="top" wrapText="1"/>
    </xf>
    <xf numFmtId="0" fontId="4" fillId="0" borderId="0" xfId="13" applyFont="1" applyAlignment="1">
      <alignment vertical="center" wrapText="1"/>
    </xf>
    <xf numFmtId="0" fontId="149" fillId="20" borderId="0" xfId="13" applyFont="1" applyFill="1" applyAlignment="1">
      <alignment vertical="center" wrapText="1"/>
    </xf>
    <xf numFmtId="4" fontId="151" fillId="19" borderId="0" xfId="13" applyNumberFormat="1" applyFont="1" applyFill="1" applyAlignment="1">
      <alignment horizontal="left" vertical="top" wrapText="1"/>
    </xf>
    <xf numFmtId="0" fontId="145" fillId="19" borderId="0" xfId="13" applyFont="1" applyFill="1" applyAlignment="1">
      <alignment vertical="center" wrapText="1"/>
    </xf>
    <xf numFmtId="4" fontId="4" fillId="0" borderId="55" xfId="13" applyNumberFormat="1" applyFont="1" applyBorder="1" applyAlignment="1" applyProtection="1">
      <alignment horizontal="right"/>
      <protection locked="0"/>
    </xf>
    <xf numFmtId="4" fontId="1" fillId="19" borderId="55" xfId="13" applyNumberFormat="1" applyFont="1" applyFill="1" applyBorder="1" applyAlignment="1" applyProtection="1">
      <alignment horizontal="center"/>
      <protection locked="0"/>
    </xf>
    <xf numFmtId="4" fontId="1" fillId="19" borderId="0" xfId="13" applyNumberFormat="1" applyFont="1" applyFill="1" applyAlignment="1">
      <alignment horizontal="centerContinuous"/>
    </xf>
    <xf numFmtId="0" fontId="4" fillId="19" borderId="0" xfId="13" applyFont="1" applyFill="1" applyAlignment="1">
      <alignment vertical="center"/>
    </xf>
    <xf numFmtId="4" fontId="4" fillId="19" borderId="0" xfId="14" applyNumberFormat="1" applyFont="1" applyFill="1" applyAlignment="1">
      <alignment horizontal="left" vertical="top" wrapText="1"/>
    </xf>
    <xf numFmtId="0" fontId="152" fillId="19" borderId="0" xfId="13" applyFont="1" applyFill="1" applyAlignment="1">
      <alignment vertical="center"/>
    </xf>
    <xf numFmtId="0" fontId="145" fillId="20" borderId="0" xfId="13" applyFont="1" applyFill="1" applyAlignment="1">
      <alignment vertical="center" wrapText="1"/>
    </xf>
    <xf numFmtId="4" fontId="22" fillId="0" borderId="0" xfId="13" applyNumberFormat="1" applyFont="1" applyAlignment="1">
      <alignment horizontal="left" vertical="top" wrapText="1"/>
    </xf>
    <xf numFmtId="0" fontId="145" fillId="0" borderId="17" xfId="13" applyFont="1" applyBorder="1" applyAlignment="1">
      <alignment horizontal="center" vertical="top"/>
    </xf>
    <xf numFmtId="4" fontId="1" fillId="0" borderId="0" xfId="13" applyNumberFormat="1" applyFont="1" applyAlignment="1">
      <alignment wrapText="1"/>
    </xf>
    <xf numFmtId="0" fontId="145" fillId="0" borderId="55" xfId="13" applyFont="1" applyBorder="1" applyAlignment="1">
      <alignment horizontal="center"/>
    </xf>
    <xf numFmtId="0" fontId="145" fillId="0" borderId="55" xfId="13" applyFont="1" applyBorder="1" applyAlignment="1">
      <alignment horizontal="center" vertical="top"/>
    </xf>
    <xf numFmtId="4" fontId="4" fillId="0" borderId="0" xfId="13" applyNumberFormat="1" applyFont="1" applyAlignment="1">
      <alignment wrapText="1"/>
    </xf>
    <xf numFmtId="4" fontId="4" fillId="20" borderId="0" xfId="15" applyNumberFormat="1" applyFont="1" applyFill="1" applyAlignment="1">
      <alignment horizontal="left" vertical="top" wrapText="1"/>
    </xf>
    <xf numFmtId="4" fontId="4" fillId="20" borderId="55" xfId="15" applyNumberFormat="1" applyFont="1" applyFill="1" applyBorder="1" applyAlignment="1">
      <alignment horizontal="center"/>
    </xf>
    <xf numFmtId="4" fontId="4" fillId="0" borderId="0" xfId="15" applyNumberFormat="1" applyFont="1" applyAlignment="1">
      <alignment horizontal="left" wrapText="1"/>
    </xf>
    <xf numFmtId="4" fontId="4" fillId="20" borderId="0" xfId="15" applyNumberFormat="1" applyFont="1" applyFill="1" applyAlignment="1">
      <alignment horizontal="left" wrapText="1"/>
    </xf>
    <xf numFmtId="0" fontId="4" fillId="19" borderId="0" xfId="13" applyFont="1" applyFill="1" applyAlignment="1">
      <alignment vertical="center" wrapText="1"/>
    </xf>
    <xf numFmtId="4" fontId="4" fillId="20" borderId="0" xfId="15" applyNumberFormat="1" applyFont="1" applyFill="1"/>
    <xf numFmtId="4" fontId="4" fillId="20" borderId="0" xfId="15" applyNumberFormat="1" applyFont="1" applyFill="1" applyAlignment="1">
      <alignment wrapText="1"/>
    </xf>
    <xf numFmtId="4" fontId="4" fillId="20" borderId="0" xfId="15" applyNumberFormat="1" applyFont="1" applyFill="1" applyAlignment="1">
      <alignment vertical="top" wrapText="1"/>
    </xf>
    <xf numFmtId="49" fontId="4" fillId="19" borderId="19" xfId="13" applyNumberFormat="1" applyFont="1" applyFill="1" applyBorder="1" applyAlignment="1">
      <alignment horizontal="left" vertical="center"/>
    </xf>
    <xf numFmtId="0" fontId="161" fillId="0" borderId="0" xfId="0" applyFont="1"/>
    <xf numFmtId="0" fontId="161" fillId="16" borderId="0" xfId="0" applyFont="1" applyFill="1"/>
    <xf numFmtId="0" fontId="161" fillId="16" borderId="0" xfId="0" applyFont="1" applyFill="1" applyAlignment="1">
      <alignment horizontal="center"/>
    </xf>
    <xf numFmtId="0" fontId="162" fillId="16" borderId="0" xfId="0" applyFont="1" applyFill="1" applyAlignment="1">
      <alignment horizontal="center"/>
    </xf>
    <xf numFmtId="169" fontId="161" fillId="0" borderId="0" xfId="0" applyNumberFormat="1" applyFont="1"/>
    <xf numFmtId="2" fontId="161" fillId="0" borderId="0" xfId="0" applyNumberFormat="1" applyFont="1"/>
    <xf numFmtId="2" fontId="161" fillId="3" borderId="0" xfId="0" applyNumberFormat="1" applyFont="1" applyFill="1"/>
    <xf numFmtId="2" fontId="161" fillId="17" borderId="0" xfId="0" applyNumberFormat="1" applyFont="1" applyFill="1"/>
    <xf numFmtId="1" fontId="163" fillId="22" borderId="0" xfId="10" applyFont="1" applyFill="1" applyProtection="1">
      <protection locked="0"/>
    </xf>
    <xf numFmtId="1" fontId="7" fillId="23" borderId="0" xfId="10" applyFont="1" applyFill="1" applyProtection="1">
      <protection locked="0"/>
    </xf>
    <xf numFmtId="0" fontId="7" fillId="0" borderId="0" xfId="3" applyFont="1" applyAlignment="1" applyProtection="1">
      <alignment horizontal="center"/>
      <protection locked="0"/>
    </xf>
    <xf numFmtId="4" fontId="164" fillId="2" borderId="18" xfId="10" applyNumberFormat="1" applyFont="1" applyFill="1" applyBorder="1" applyAlignment="1">
      <alignment horizontal="right"/>
    </xf>
    <xf numFmtId="4" fontId="164" fillId="2" borderId="16" xfId="10" applyNumberFormat="1" applyFont="1" applyFill="1" applyBorder="1" applyAlignment="1">
      <alignment horizontal="right"/>
    </xf>
    <xf numFmtId="0" fontId="1" fillId="0" borderId="0" xfId="3" applyFont="1"/>
    <xf numFmtId="1" fontId="15" fillId="0" borderId="0" xfId="10" applyFont="1" applyAlignment="1">
      <alignment horizontal="center"/>
    </xf>
    <xf numFmtId="2" fontId="165" fillId="2" borderId="3" xfId="10" applyNumberFormat="1" applyFont="1" applyFill="1" applyBorder="1" applyAlignment="1">
      <alignment horizontal="center"/>
    </xf>
    <xf numFmtId="2" fontId="13" fillId="2" borderId="3" xfId="3" applyNumberFormat="1" applyFont="1" applyFill="1" applyBorder="1" applyAlignment="1" applyProtection="1">
      <alignment horizontal="center"/>
      <protection locked="0"/>
    </xf>
    <xf numFmtId="2" fontId="15" fillId="2" borderId="3" xfId="3" applyNumberFormat="1" applyFont="1" applyFill="1" applyBorder="1" applyAlignment="1" applyProtection="1">
      <alignment horizontal="center"/>
      <protection locked="0"/>
    </xf>
    <xf numFmtId="1" fontId="18" fillId="0" borderId="22" xfId="10" applyFont="1" applyBorder="1" applyAlignment="1" applyProtection="1">
      <alignment vertical="center"/>
      <protection locked="0"/>
    </xf>
    <xf numFmtId="1" fontId="18" fillId="0" borderId="22" xfId="10" applyFont="1" applyBorder="1" applyAlignment="1" applyProtection="1">
      <alignment horizontal="centerContinuous" vertical="center"/>
      <protection locked="0"/>
    </xf>
    <xf numFmtId="1" fontId="15" fillId="0" borderId="0" xfId="10" applyFont="1" applyAlignment="1" applyProtection="1">
      <alignment horizontal="center"/>
      <protection locked="0"/>
    </xf>
    <xf numFmtId="1" fontId="18" fillId="0" borderId="0" xfId="10" applyFont="1" applyAlignment="1" applyProtection="1">
      <alignment vertical="center"/>
      <protection locked="0"/>
    </xf>
    <xf numFmtId="1" fontId="18" fillId="0" borderId="0" xfId="10" applyFont="1" applyAlignment="1" applyProtection="1">
      <alignment horizontal="centerContinuous" vertical="center"/>
      <protection locked="0"/>
    </xf>
    <xf numFmtId="2" fontId="166" fillId="0" borderId="63" xfId="3" applyNumberFormat="1" applyFont="1" applyBorder="1" applyAlignment="1">
      <alignment horizontal="right"/>
    </xf>
    <xf numFmtId="2" fontId="167" fillId="0" borderId="0" xfId="3" applyNumberFormat="1" applyFont="1" applyAlignment="1">
      <alignment horizontal="left"/>
    </xf>
    <xf numFmtId="1" fontId="7" fillId="0" borderId="64" xfId="10" applyFont="1" applyBorder="1" applyProtection="1">
      <protection locked="0"/>
    </xf>
    <xf numFmtId="2" fontId="7" fillId="0" borderId="64" xfId="10" applyNumberFormat="1" applyFont="1" applyBorder="1" applyProtection="1">
      <protection locked="0"/>
    </xf>
    <xf numFmtId="1" fontId="15" fillId="0" borderId="64" xfId="10" applyFont="1" applyBorder="1" applyAlignment="1">
      <alignment horizontal="center"/>
    </xf>
    <xf numFmtId="1" fontId="15" fillId="0" borderId="64" xfId="10" applyFont="1" applyBorder="1"/>
    <xf numFmtId="2" fontId="7" fillId="0" borderId="65" xfId="10" applyNumberFormat="1" applyFont="1" applyBorder="1" applyProtection="1">
      <protection locked="0"/>
    </xf>
    <xf numFmtId="2" fontId="7" fillId="0" borderId="65" xfId="3" applyNumberFormat="1" applyFont="1" applyBorder="1"/>
    <xf numFmtId="2" fontId="7" fillId="0" borderId="65" xfId="10" applyNumberFormat="1" applyFont="1" applyBorder="1"/>
    <xf numFmtId="0" fontId="7" fillId="24" borderId="18" xfId="3" applyFont="1" applyFill="1" applyBorder="1" applyProtection="1">
      <protection locked="0"/>
    </xf>
    <xf numFmtId="4" fontId="21" fillId="3" borderId="18" xfId="3" applyNumberFormat="1" applyFont="1" applyFill="1" applyBorder="1" applyAlignment="1">
      <alignment horizontal="right"/>
    </xf>
    <xf numFmtId="4" fontId="21" fillId="3" borderId="14" xfId="3" applyNumberFormat="1" applyFont="1" applyFill="1" applyBorder="1" applyAlignment="1">
      <alignment horizontal="right"/>
    </xf>
    <xf numFmtId="4" fontId="21" fillId="3" borderId="16" xfId="3" applyNumberFormat="1" applyFont="1" applyFill="1" applyBorder="1" applyAlignment="1">
      <alignment horizontal="right"/>
    </xf>
    <xf numFmtId="1" fontId="7" fillId="0" borderId="0" xfId="3" applyNumberFormat="1" applyFont="1" applyAlignment="1" applyProtection="1">
      <alignment horizontal="center"/>
      <protection locked="0"/>
    </xf>
    <xf numFmtId="1" fontId="15" fillId="0" borderId="66" xfId="10" applyFont="1" applyBorder="1" applyProtection="1">
      <protection locked="0"/>
    </xf>
    <xf numFmtId="1" fontId="7" fillId="0" borderId="66" xfId="10" applyFont="1" applyBorder="1" applyAlignment="1">
      <alignment horizontal="center"/>
    </xf>
    <xf numFmtId="0" fontId="168" fillId="0" borderId="0" xfId="3" applyFont="1" applyAlignment="1" applyProtection="1">
      <alignment horizontal="left"/>
      <protection locked="0"/>
    </xf>
    <xf numFmtId="17" fontId="7" fillId="0" borderId="0" xfId="3" applyNumberFormat="1" applyFont="1" applyAlignment="1" applyProtection="1">
      <alignment horizontal="center"/>
      <protection locked="0"/>
    </xf>
    <xf numFmtId="2" fontId="7" fillId="0" borderId="0" xfId="3" applyNumberFormat="1" applyFont="1" applyAlignment="1" applyProtection="1">
      <alignment horizontal="center"/>
      <protection locked="0"/>
    </xf>
    <xf numFmtId="2" fontId="7" fillId="3" borderId="0" xfId="3" applyNumberFormat="1" applyFont="1" applyFill="1"/>
    <xf numFmtId="1" fontId="7" fillId="0" borderId="23" xfId="10" applyFont="1" applyBorder="1" applyAlignment="1" applyProtection="1">
      <alignment horizontal="right"/>
      <protection locked="0"/>
    </xf>
    <xf numFmtId="2" fontId="7" fillId="0" borderId="24" xfId="10" applyNumberFormat="1" applyFont="1" applyBorder="1" applyAlignment="1" applyProtection="1">
      <alignment horizontal="left"/>
      <protection locked="0"/>
    </xf>
    <xf numFmtId="165" fontId="7" fillId="0" borderId="64" xfId="10" applyNumberFormat="1" applyFont="1" applyBorder="1" applyProtection="1">
      <protection locked="0"/>
    </xf>
    <xf numFmtId="1" fontId="15" fillId="0" borderId="64" xfId="10" applyFont="1" applyBorder="1" applyProtection="1">
      <protection locked="0"/>
    </xf>
    <xf numFmtId="1" fontId="7" fillId="0" borderId="64" xfId="10" applyFont="1" applyBorder="1" applyAlignment="1">
      <alignment horizontal="center"/>
    </xf>
    <xf numFmtId="165" fontId="7" fillId="0" borderId="65" xfId="10" applyNumberFormat="1" applyFont="1" applyBorder="1" applyProtection="1">
      <protection locked="0"/>
    </xf>
    <xf numFmtId="2" fontId="7" fillId="3" borderId="67" xfId="10" applyNumberFormat="1" applyFont="1" applyFill="1" applyBorder="1"/>
    <xf numFmtId="1" fontId="7" fillId="0" borderId="65" xfId="10" applyFont="1" applyBorder="1" applyProtection="1">
      <protection locked="0"/>
    </xf>
    <xf numFmtId="4" fontId="13" fillId="3" borderId="68" xfId="3" applyNumberFormat="1" applyFont="1" applyFill="1" applyBorder="1"/>
    <xf numFmtId="0" fontId="7" fillId="2" borderId="3" xfId="3" applyFont="1" applyFill="1" applyBorder="1" applyProtection="1">
      <protection locked="0"/>
    </xf>
    <xf numFmtId="4" fontId="86" fillId="4" borderId="18" xfId="3" applyNumberFormat="1" applyFont="1" applyFill="1" applyBorder="1" applyAlignment="1">
      <alignment horizontal="left"/>
    </xf>
    <xf numFmtId="4" fontId="21" fillId="4" borderId="14" xfId="3" applyNumberFormat="1" applyFont="1" applyFill="1" applyBorder="1" applyAlignment="1">
      <alignment horizontal="right"/>
    </xf>
    <xf numFmtId="4" fontId="21" fillId="25" borderId="16" xfId="3" applyNumberFormat="1" applyFont="1" applyFill="1" applyBorder="1" applyAlignment="1">
      <alignment horizontal="right"/>
    </xf>
    <xf numFmtId="2" fontId="7" fillId="0" borderId="0" xfId="10" applyNumberFormat="1" applyFont="1"/>
    <xf numFmtId="1" fontId="7" fillId="0" borderId="0" xfId="0" applyNumberFormat="1" applyFont="1"/>
    <xf numFmtId="0" fontId="170" fillId="0" borderId="0" xfId="16" applyFont="1" applyAlignment="1">
      <alignment horizontal="center" vertical="center"/>
    </xf>
    <xf numFmtId="179" fontId="172" fillId="0" borderId="0" xfId="17" applyFont="1"/>
    <xf numFmtId="179" fontId="172" fillId="26" borderId="0" xfId="17" applyFont="1" applyFill="1" applyAlignment="1">
      <alignment horizontal="center"/>
    </xf>
    <xf numFmtId="0" fontId="170" fillId="16" borderId="0" xfId="16" applyFont="1" applyFill="1" applyAlignment="1">
      <alignment horizontal="center" vertical="center"/>
    </xf>
    <xf numFmtId="0" fontId="170" fillId="0" borderId="0" xfId="16" applyFont="1" applyAlignment="1">
      <alignment horizontal="left" vertical="center"/>
    </xf>
    <xf numFmtId="0" fontId="173" fillId="0" borderId="0" xfId="16" applyFont="1" applyAlignment="1">
      <alignment horizontal="center" vertical="center"/>
    </xf>
    <xf numFmtId="2" fontId="174" fillId="0" borderId="0" xfId="16" applyNumberFormat="1" applyFont="1" applyAlignment="1">
      <alignment horizontal="center" vertical="center"/>
    </xf>
    <xf numFmtId="171" fontId="174" fillId="0" borderId="0" xfId="16" applyNumberFormat="1" applyFont="1" applyAlignment="1">
      <alignment horizontal="center" vertical="center"/>
    </xf>
    <xf numFmtId="1" fontId="175" fillId="16" borderId="0" xfId="16" applyNumberFormat="1" applyFont="1" applyFill="1" applyAlignment="1">
      <alignment horizontal="center" vertical="center"/>
    </xf>
    <xf numFmtId="169" fontId="170" fillId="0" borderId="0" xfId="16" applyNumberFormat="1" applyFont="1" applyAlignment="1">
      <alignment horizontal="center" vertical="center"/>
    </xf>
    <xf numFmtId="2" fontId="170" fillId="0" borderId="0" xfId="16" applyNumberFormat="1" applyFont="1" applyAlignment="1">
      <alignment vertical="center"/>
    </xf>
    <xf numFmtId="0" fontId="170" fillId="0" borderId="0" xfId="16" applyFont="1" applyAlignment="1">
      <alignment vertical="center"/>
    </xf>
    <xf numFmtId="1" fontId="7" fillId="0" borderId="18" xfId="10" applyFont="1" applyBorder="1" applyAlignment="1" applyProtection="1">
      <alignment horizontal="right"/>
      <protection locked="0"/>
    </xf>
    <xf numFmtId="2" fontId="7" fillId="0" borderId="16" xfId="10" applyNumberFormat="1" applyFont="1" applyBorder="1" applyAlignment="1" applyProtection="1">
      <alignment horizontal="left"/>
      <protection locked="0"/>
    </xf>
    <xf numFmtId="0" fontId="7" fillId="0" borderId="65" xfId="3" applyFont="1" applyBorder="1"/>
    <xf numFmtId="1" fontId="15" fillId="0" borderId="65" xfId="10" applyFont="1" applyBorder="1" applyProtection="1">
      <protection locked="0"/>
    </xf>
    <xf numFmtId="1" fontId="7" fillId="0" borderId="65" xfId="10" applyFont="1" applyBorder="1" applyAlignment="1">
      <alignment horizontal="center"/>
    </xf>
    <xf numFmtId="4" fontId="13" fillId="4" borderId="68" xfId="3" applyNumberFormat="1" applyFont="1" applyFill="1" applyBorder="1"/>
    <xf numFmtId="1" fontId="86" fillId="2" borderId="22" xfId="10" applyFont="1" applyFill="1" applyBorder="1" applyAlignment="1" applyProtection="1">
      <alignment vertical="center"/>
      <protection locked="0"/>
    </xf>
    <xf numFmtId="0" fontId="7" fillId="2" borderId="0" xfId="3" applyFont="1" applyFill="1"/>
    <xf numFmtId="2" fontId="15" fillId="0" borderId="0" xfId="3" applyNumberFormat="1" applyFont="1" applyAlignment="1">
      <alignment horizontal="right"/>
    </xf>
    <xf numFmtId="1" fontId="7" fillId="0" borderId="0" xfId="10" applyFont="1" applyAlignment="1">
      <alignment horizontal="center"/>
    </xf>
    <xf numFmtId="1" fontId="176" fillId="2" borderId="1" xfId="10" applyFont="1" applyFill="1" applyBorder="1" applyAlignment="1" applyProtection="1">
      <alignment horizontal="left" vertical="center"/>
      <protection locked="0"/>
    </xf>
    <xf numFmtId="0" fontId="7" fillId="2" borderId="1" xfId="3" applyFont="1" applyFill="1" applyBorder="1"/>
    <xf numFmtId="1" fontId="7" fillId="0" borderId="1" xfId="10" applyFont="1" applyBorder="1" applyAlignment="1">
      <alignment horizontal="center"/>
    </xf>
    <xf numFmtId="2" fontId="156" fillId="2" borderId="15" xfId="10" applyNumberFormat="1" applyFont="1" applyFill="1" applyBorder="1"/>
    <xf numFmtId="2" fontId="177" fillId="0" borderId="0" xfId="0" applyNumberFormat="1" applyFont="1"/>
    <xf numFmtId="2" fontId="163" fillId="0" borderId="0" xfId="3" applyNumberFormat="1" applyFont="1" applyProtection="1">
      <protection locked="0"/>
    </xf>
    <xf numFmtId="1" fontId="15" fillId="23" borderId="3" xfId="10" applyFont="1" applyFill="1" applyBorder="1" applyAlignment="1" applyProtection="1">
      <alignment horizontal="center"/>
      <protection locked="0"/>
    </xf>
    <xf numFmtId="1" fontId="15" fillId="23" borderId="0" xfId="10" applyFont="1" applyFill="1" applyProtection="1">
      <protection locked="0"/>
    </xf>
    <xf numFmtId="1" fontId="178" fillId="23" borderId="0" xfId="10" applyFont="1" applyFill="1" applyProtection="1">
      <protection locked="0"/>
    </xf>
    <xf numFmtId="2" fontId="15" fillId="23" borderId="0" xfId="3" applyNumberFormat="1" applyFont="1" applyFill="1" applyProtection="1">
      <protection locked="0"/>
    </xf>
    <xf numFmtId="2" fontId="7" fillId="23" borderId="0" xfId="3" applyNumberFormat="1" applyFont="1" applyFill="1" applyProtection="1">
      <protection locked="0"/>
    </xf>
    <xf numFmtId="1" fontId="179" fillId="0" borderId="0" xfId="10" applyFont="1" applyProtection="1">
      <protection locked="0"/>
    </xf>
    <xf numFmtId="40" fontId="163" fillId="0" borderId="3" xfId="1" applyNumberFormat="1" applyFont="1" applyFill="1" applyBorder="1" applyAlignment="1" applyProtection="1">
      <alignment horizontal="right"/>
      <protection locked="0"/>
    </xf>
    <xf numFmtId="43" fontId="145" fillId="0" borderId="0" xfId="1" applyFont="1" applyAlignment="1" applyProtection="1">
      <alignment horizontal="right"/>
      <protection locked="0"/>
    </xf>
    <xf numFmtId="43" fontId="145" fillId="0" borderId="0" xfId="1" applyFont="1" applyAlignment="1" applyProtection="1">
      <alignment horizontal="right"/>
    </xf>
    <xf numFmtId="10" fontId="180" fillId="12" borderId="17" xfId="0" applyNumberFormat="1" applyFont="1" applyFill="1" applyBorder="1" applyAlignment="1" applyProtection="1">
      <alignment horizontal="center"/>
      <protection locked="0"/>
    </xf>
    <xf numFmtId="4" fontId="144" fillId="0" borderId="0" xfId="13" applyNumberFormat="1" applyProtection="1">
      <protection locked="0"/>
    </xf>
    <xf numFmtId="4" fontId="22" fillId="0" borderId="19" xfId="15" applyNumberFormat="1" applyFont="1" applyBorder="1" applyAlignment="1">
      <alignment horizontal="left" vertical="top" wrapText="1"/>
    </xf>
    <xf numFmtId="0" fontId="4" fillId="0" borderId="0" xfId="13" applyFont="1" applyAlignment="1">
      <alignment wrapText="1"/>
    </xf>
    <xf numFmtId="4" fontId="4" fillId="0" borderId="19" xfId="15" applyNumberFormat="1" applyFont="1" applyBorder="1" applyAlignment="1">
      <alignment horizontal="left" vertical="top" wrapText="1"/>
    </xf>
    <xf numFmtId="0" fontId="148" fillId="0" borderId="0" xfId="3" applyFont="1"/>
    <xf numFmtId="4" fontId="15" fillId="4" borderId="18" xfId="3" applyNumberFormat="1" applyFont="1" applyFill="1" applyBorder="1" applyAlignment="1">
      <alignment horizontal="right"/>
    </xf>
    <xf numFmtId="4" fontId="15" fillId="4" borderId="16" xfId="3" applyNumberFormat="1" applyFont="1" applyFill="1" applyBorder="1" applyAlignment="1">
      <alignment horizontal="right"/>
    </xf>
    <xf numFmtId="2" fontId="13" fillId="4" borderId="3" xfId="3" applyNumberFormat="1" applyFont="1" applyFill="1" applyBorder="1" applyAlignment="1" applyProtection="1">
      <alignment horizontal="center"/>
      <protection locked="0"/>
    </xf>
    <xf numFmtId="4" fontId="13" fillId="4" borderId="3" xfId="3" applyNumberFormat="1" applyFont="1" applyFill="1" applyBorder="1" applyAlignment="1">
      <alignment horizontal="center"/>
    </xf>
    <xf numFmtId="2" fontId="15" fillId="4" borderId="3" xfId="3" applyNumberFormat="1" applyFont="1" applyFill="1" applyBorder="1" applyAlignment="1">
      <alignment horizontal="center"/>
    </xf>
    <xf numFmtId="2" fontId="7" fillId="4" borderId="3" xfId="3" applyNumberFormat="1" applyFont="1" applyFill="1" applyBorder="1" applyAlignment="1">
      <alignment horizontal="center"/>
    </xf>
    <xf numFmtId="4" fontId="4" fillId="19" borderId="17" xfId="13" applyNumberFormat="1" applyFont="1" applyFill="1" applyBorder="1" applyAlignment="1" applyProtection="1">
      <alignment horizontal="left"/>
      <protection locked="0"/>
    </xf>
    <xf numFmtId="0" fontId="13" fillId="0" borderId="0" xfId="3" applyFont="1" applyAlignment="1" applyProtection="1">
      <alignment horizontal="left" vertical="top" wrapText="1"/>
      <protection locked="0"/>
    </xf>
    <xf numFmtId="0" fontId="112" fillId="0" borderId="0" xfId="0" applyFont="1" applyAlignment="1">
      <alignment horizontal="center"/>
    </xf>
    <xf numFmtId="0" fontId="103" fillId="7" borderId="0" xfId="7" applyFont="1" applyFill="1" applyAlignment="1">
      <alignment horizontal="center" vertical="top" wrapText="1"/>
    </xf>
    <xf numFmtId="0" fontId="133" fillId="0" borderId="0" xfId="0" applyFont="1" applyAlignment="1">
      <alignment horizontal="center"/>
    </xf>
    <xf numFmtId="0" fontId="13" fillId="0" borderId="17" xfId="0" applyFont="1" applyBorder="1" applyAlignment="1" applyProtection="1">
      <alignment horizontal="center"/>
      <protection locked="0"/>
    </xf>
    <xf numFmtId="0" fontId="13" fillId="0" borderId="0" xfId="0" applyFont="1" applyAlignment="1" applyProtection="1">
      <alignment horizontal="center"/>
      <protection locked="0"/>
    </xf>
    <xf numFmtId="0" fontId="37" fillId="0" borderId="23" xfId="8" applyFont="1" applyBorder="1" applyAlignment="1" applyProtection="1">
      <alignment horizontal="center"/>
      <protection locked="0"/>
    </xf>
    <xf numFmtId="0" fontId="37" fillId="0" borderId="22" xfId="8" applyFont="1" applyBorder="1" applyAlignment="1" applyProtection="1">
      <alignment horizontal="center"/>
      <protection locked="0"/>
    </xf>
    <xf numFmtId="0" fontId="37" fillId="0" borderId="24" xfId="8" applyFont="1" applyBorder="1" applyAlignment="1" applyProtection="1">
      <alignment horizontal="center"/>
      <protection locked="0"/>
    </xf>
    <xf numFmtId="0" fontId="19" fillId="0" borderId="20" xfId="8" applyFont="1" applyBorder="1" applyAlignment="1" applyProtection="1">
      <alignment horizontal="center" vertical="center"/>
      <protection locked="0"/>
    </xf>
    <xf numFmtId="0" fontId="19" fillId="0" borderId="13" xfId="8" applyFont="1" applyBorder="1" applyAlignment="1" applyProtection="1">
      <alignment horizontal="center" vertical="center"/>
      <protection locked="0"/>
    </xf>
    <xf numFmtId="0" fontId="19" fillId="0" borderId="0" xfId="8" applyFont="1" applyAlignment="1" applyProtection="1">
      <alignment horizontal="center" vertical="center"/>
      <protection locked="0"/>
    </xf>
    <xf numFmtId="0" fontId="19" fillId="0" borderId="19" xfId="8" applyFont="1" applyBorder="1" applyAlignment="1" applyProtection="1">
      <alignment horizontal="center" vertical="center"/>
      <protection locked="0"/>
    </xf>
    <xf numFmtId="0" fontId="26" fillId="0" borderId="0" xfId="3" applyFont="1" applyAlignment="1" applyProtection="1">
      <alignment horizontal="left"/>
      <protection locked="0"/>
    </xf>
    <xf numFmtId="0" fontId="45" fillId="0" borderId="0" xfId="8" applyFont="1" applyAlignment="1" applyProtection="1">
      <alignment horizontal="left"/>
      <protection locked="0"/>
    </xf>
    <xf numFmtId="0" fontId="108" fillId="0" borderId="14" xfId="0" applyFont="1" applyBorder="1" applyAlignment="1">
      <alignment horizontal="center" vertical="center"/>
    </xf>
    <xf numFmtId="0" fontId="107" fillId="0" borderId="0" xfId="0" applyFont="1" applyAlignment="1">
      <alignment horizontal="left" vertical="center"/>
    </xf>
    <xf numFmtId="0" fontId="116" fillId="0" borderId="0" xfId="3" applyFont="1" applyAlignment="1">
      <alignment horizontal="center"/>
    </xf>
    <xf numFmtId="0" fontId="117" fillId="0" borderId="0" xfId="3" applyFont="1" applyAlignment="1">
      <alignment horizontal="center"/>
    </xf>
  </cellXfs>
  <cellStyles count="18">
    <cellStyle name="Comma" xfId="1" builtinId="3"/>
    <cellStyle name="Currency_Estimate" xfId="2" xr:uid="{00000000-0005-0000-0000-000001000000}"/>
    <cellStyle name="Normal" xfId="0" builtinId="0"/>
    <cellStyle name="Normal 2" xfId="9" xr:uid="{00000000-0005-0000-0000-000003000000}"/>
    <cellStyle name="Normal 2 2" xfId="13" xr:uid="{00000000-0005-0000-0000-000004000000}"/>
    <cellStyle name="Normal 2 3" xfId="15" xr:uid="{00000000-0005-0000-0000-000005000000}"/>
    <cellStyle name="Normal 3" xfId="11" xr:uid="{00000000-0005-0000-0000-000006000000}"/>
    <cellStyle name="Normal 3 2" xfId="14" xr:uid="{00000000-0005-0000-0000-000007000000}"/>
    <cellStyle name="Normal 4" xfId="12" xr:uid="{00000000-0005-0000-0000-000008000000}"/>
    <cellStyle name="Normal_BLOCKS" xfId="3" xr:uid="{00000000-0005-0000-0000-000009000000}"/>
    <cellStyle name="Normal_CABLE" xfId="4" xr:uid="{00000000-0005-0000-0000-00000A000000}"/>
    <cellStyle name="Normal_E11_0126_Seabank_Hotel_Electrical" xfId="5" xr:uid="{00000000-0005-0000-0000-00000B000000}"/>
    <cellStyle name="Normal_Estimate" xfId="6" xr:uid="{00000000-0005-0000-0000-00000C000000}"/>
    <cellStyle name="Normal_Estimate 2" xfId="10" xr:uid="{00000000-0005-0000-0000-00000D000000}"/>
    <cellStyle name="Normal_Mark_up" xfId="7" xr:uid="{00000000-0005-0000-0000-00000E000000}"/>
    <cellStyle name="Normal_Price Lists" xfId="16" xr:uid="{86AA7994-288B-4FEE-88F4-90918455E690}"/>
    <cellStyle name="Normal_Prince_Est" xfId="17" xr:uid="{0AC3918A-58C9-490D-A1E3-7E9480F0D0A6}"/>
    <cellStyle name="Normal_STANDARD" xfId="8" xr:uid="{00000000-0005-0000-0000-00000F000000}"/>
  </cellStyles>
  <dxfs count="26">
    <dxf>
      <font>
        <condense val="0"/>
        <extend val="0"/>
        <color indexed="56"/>
      </font>
    </dxf>
    <dxf>
      <font>
        <condense val="0"/>
        <extend val="0"/>
        <color indexed="10"/>
      </font>
    </dxf>
    <dxf>
      <font>
        <condense val="0"/>
        <extend val="0"/>
        <color indexed="56"/>
      </font>
    </dxf>
    <dxf>
      <font>
        <condense val="0"/>
        <extend val="0"/>
        <color indexed="10"/>
      </font>
    </dxf>
    <dxf>
      <font>
        <b/>
        <i val="0"/>
        <condense val="0"/>
        <extend val="0"/>
      </font>
      <fill>
        <patternFill>
          <bgColor indexed="34"/>
        </patternFill>
      </fill>
    </dxf>
    <dxf>
      <font>
        <condense val="0"/>
        <extend val="0"/>
        <color indexed="55"/>
      </font>
      <fill>
        <patternFill>
          <bgColor indexed="9"/>
        </patternFill>
      </fill>
    </dxf>
    <dxf>
      <font>
        <condense val="0"/>
        <extend val="0"/>
        <color indexed="12"/>
      </font>
      <fill>
        <patternFill>
          <fgColor indexed="43"/>
          <bgColor indexed="43"/>
        </patternFill>
      </fill>
    </dxf>
    <dxf>
      <font>
        <b/>
        <i val="0"/>
        <condense val="0"/>
        <extend val="0"/>
        <color indexed="43"/>
      </font>
      <fill>
        <patternFill>
          <bgColor indexed="10"/>
        </patternFill>
      </fill>
    </dxf>
    <dxf>
      <font>
        <b/>
        <i/>
        <condense val="0"/>
        <extend val="0"/>
        <color auto="1"/>
      </font>
    </dxf>
    <dxf>
      <font>
        <b/>
        <i val="0"/>
        <condense val="0"/>
        <extend val="0"/>
        <color indexed="9"/>
      </font>
      <fill>
        <patternFill>
          <bgColor indexed="10"/>
        </patternFill>
      </fill>
    </dxf>
    <dxf>
      <font>
        <condense val="0"/>
        <extend val="0"/>
        <color indexed="55"/>
      </font>
      <fill>
        <patternFill>
          <bgColor indexed="9"/>
        </patternFill>
      </fill>
    </dxf>
    <dxf>
      <font>
        <condense val="0"/>
        <extend val="0"/>
        <color indexed="10"/>
      </font>
      <fill>
        <patternFill>
          <fgColor indexed="43"/>
          <bgColor indexed="43"/>
        </patternFill>
      </fill>
    </dxf>
    <dxf>
      <font>
        <b val="0"/>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13"/>
      </font>
      <fill>
        <patternFill>
          <bgColor indexed="10"/>
        </patternFill>
      </fill>
    </dxf>
    <dxf>
      <font>
        <condense val="0"/>
        <extend val="0"/>
        <color indexed="9"/>
      </font>
    </dxf>
    <dxf>
      <font>
        <condense val="0"/>
        <extend val="0"/>
        <color indexed="56"/>
      </font>
    </dxf>
    <dxf>
      <font>
        <condense val="0"/>
        <extend val="0"/>
        <color indexed="10"/>
      </font>
    </dxf>
    <dxf>
      <font>
        <b/>
        <i val="0"/>
        <condense val="0"/>
        <extend val="0"/>
        <color indexed="9"/>
      </font>
      <fill>
        <patternFill>
          <bgColor indexed="10"/>
        </patternFill>
      </fill>
    </dxf>
    <dxf>
      <fill>
        <patternFill>
          <bgColor indexed="10"/>
        </patternFill>
      </fill>
    </dxf>
    <dxf>
      <fill>
        <patternFill>
          <bgColor indexed="9"/>
        </patternFill>
      </fill>
    </dxf>
    <dxf>
      <fill>
        <patternFill>
          <bgColor indexed="13"/>
        </patternFill>
      </fill>
      <border>
        <left/>
        <right/>
        <top/>
        <bottom/>
      </border>
    </dxf>
    <dxf>
      <font>
        <b val="0"/>
        <i/>
        <condense val="0"/>
        <extend val="0"/>
      </font>
    </dxf>
    <dxf>
      <font>
        <b/>
        <i val="0"/>
        <condense val="0"/>
        <extend val="0"/>
        <color indexed="9"/>
      </font>
      <fill>
        <patternFill>
          <bgColor indexed="10"/>
        </patternFill>
      </fill>
    </dxf>
    <dxf>
      <font>
        <condense val="0"/>
        <extend val="0"/>
        <color indexed="56"/>
      </font>
    </dxf>
    <dxf>
      <font>
        <condense val="0"/>
        <extend val="0"/>
        <color indexed="1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ctrlProps/ctrlProp1.xml><?xml version="1.0" encoding="utf-8"?>
<formControlPr xmlns="http://schemas.microsoft.com/office/spreadsheetml/2009/9/main" objectType="CheckBox" fmlaLink="$G$1" lockText="1" noThreeD="1"/>
</file>

<file path=xl/ctrlProps/ctrlProp2.xml><?xml version="1.0" encoding="utf-8"?>
<formControlPr xmlns="http://schemas.microsoft.com/office/spreadsheetml/2009/9/main" objectType="CheckBox" fmlaLink="$G$2" lockText="1" noThreeD="1"/>
</file>

<file path=xl/ctrlProps/ctrlProp3.xml><?xml version="1.0" encoding="utf-8"?>
<formControlPr xmlns="http://schemas.microsoft.com/office/spreadsheetml/2009/9/main" objectType="CheckBox" fmlaLink="$G$3" lockText="1" noThreeD="1"/>
</file>

<file path=xl/ctrlProps/ctrlProp4.xml><?xml version="1.0" encoding="utf-8"?>
<formControlPr xmlns="http://schemas.microsoft.com/office/spreadsheetml/2009/9/main" objectType="CheckBox" fmlaLink="$G$4" lockText="1" noThreeD="1"/>
</file>

<file path=xl/ctrlProps/ctrlProp5.xml><?xml version="1.0" encoding="utf-8"?>
<formControlPr xmlns="http://schemas.microsoft.com/office/spreadsheetml/2009/9/main" objectType="CheckBox" fmlaLink="$G$5" lockText="1" noThreeD="1"/>
</file>

<file path=xl/ctrlProps/ctrlProp6.xml><?xml version="1.0" encoding="utf-8"?>
<formControlPr xmlns="http://schemas.microsoft.com/office/spreadsheetml/2009/9/main" objectType="CheckBox" fmlaLink="$G$6" lockText="1" noThreeD="1"/>
</file>

<file path=xl/ctrlProps/ctrlProp7.xml><?xml version="1.0" encoding="utf-8"?>
<formControlPr xmlns="http://schemas.microsoft.com/office/spreadsheetml/2009/9/main" objectType="CheckBox" fmlaLink="$G$7" lockText="1" noThreeD="1"/>
</file>

<file path=xl/ctrlProps/ctrlProp8.xml><?xml version="1.0" encoding="utf-8"?>
<formControlPr xmlns="http://schemas.microsoft.com/office/spreadsheetml/2009/9/main" objectType="CheckBox" fmlaLink="$G$8" lockText="1" noThreeD="1"/>
</file>

<file path=xl/ctrlProps/ctrlProp9.xml><?xml version="1.0" encoding="utf-8"?>
<formControlPr xmlns="http://schemas.microsoft.com/office/spreadsheetml/2009/9/main" objectType="CheckBox" fmlaLink="$G$9" lockText="1" noThreeD="1"/>
</file>

<file path=xl/ctrlProps/ctrlProp10.xml><?xml version="1.0" encoding="utf-8"?>
<formControlPr xmlns="http://schemas.microsoft.com/office/spreadsheetml/2009/9/main" objectType="CheckBox" fmlaLink="$H$1" lockText="1" noThreeD="1"/>
</file>

<file path=xl/ctrlProps/ctrlProp11.xml><?xml version="1.0" encoding="utf-8"?>
<formControlPr xmlns="http://schemas.microsoft.com/office/spreadsheetml/2009/9/main" objectType="CheckBox" fmlaLink="$G$10" lockText="1" noThreeD="1"/>
</file>

<file path=xl/drawings/drawing1.xml><?xml version="1.0" encoding="utf-8"?>
<xdr:wsDr xmlns:xdr="http://schemas.openxmlformats.org/drawingml/2006/spreadsheetDrawing" xmlns:a="http://schemas.openxmlformats.org/drawingml/2006/main">
  <xdr:twoCellAnchor>
    <xdr:from>
      <xdr:col>16</xdr:col>
      <xdr:colOff>285750</xdr:colOff>
      <xdr:row>70</xdr:row>
      <xdr:rowOff>152400</xdr:rowOff>
    </xdr:from>
    <xdr:to>
      <xdr:col>19</xdr:col>
      <xdr:colOff>561975</xdr:colOff>
      <xdr:row>75</xdr:row>
      <xdr:rowOff>0</xdr:rowOff>
    </xdr:to>
    <xdr:sp macro="" textlink="">
      <xdr:nvSpPr>
        <xdr:cNvPr id="1059" name="Text Box 35">
          <a:extLst>
            <a:ext uri="{FF2B5EF4-FFF2-40B4-BE49-F238E27FC236}">
              <a16:creationId xmlns:a16="http://schemas.microsoft.com/office/drawing/2014/main" id="{00000000-0008-0000-0200-000023040000}"/>
            </a:ext>
          </a:extLst>
        </xdr:cNvPr>
        <xdr:cNvSpPr txBox="1">
          <a:spLocks noChangeArrowheads="1"/>
        </xdr:cNvSpPr>
      </xdr:nvSpPr>
      <xdr:spPr bwMode="auto">
        <a:xfrm>
          <a:off x="4181475" y="12944475"/>
          <a:ext cx="2362200" cy="6858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GB" sz="1000" b="0" i="0" u="sng" strike="noStrike" baseline="0">
              <a:solidFill>
                <a:srgbClr val="000000"/>
              </a:solidFill>
              <a:latin typeface="Arial"/>
              <a:cs typeface="Arial"/>
            </a:rPr>
            <a:t>Comment / Change in Scope</a:t>
          </a:r>
        </a:p>
        <a:p>
          <a:pPr algn="l" rtl="0">
            <a:defRPr sz="1000"/>
          </a:pPr>
          <a:endParaRPr lang="en-GB" sz="1000" b="0" i="0" u="sng" strike="noStrike" baseline="0">
            <a:solidFill>
              <a:srgbClr val="000000"/>
            </a:solidFill>
            <a:latin typeface="Arial"/>
            <a:cs typeface="Arial"/>
          </a:endParaRPr>
        </a:p>
        <a:p>
          <a:pPr algn="l" rtl="0">
            <a:defRPr sz="1000"/>
          </a:pPr>
          <a:endParaRPr lang="en-GB" sz="1000" b="0" i="0" u="sng"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1</xdr:row>
          <xdr:rowOff>106680</xdr:rowOff>
        </xdr:from>
        <xdr:to>
          <xdr:col>1</xdr:col>
          <xdr:colOff>266700</xdr:colOff>
          <xdr:row>2</xdr:row>
          <xdr:rowOff>45720</xdr:rowOff>
        </xdr:to>
        <xdr:sp macro="" textlink="">
          <xdr:nvSpPr>
            <xdr:cNvPr id="1272" name="Check Box 248" hidden="1">
              <a:extLst>
                <a:ext uri="{63B3BB69-23CF-44E3-9099-C40C66FF867C}">
                  <a14:compatExt spid="_x0000_s1272"/>
                </a:ext>
                <a:ext uri="{FF2B5EF4-FFF2-40B4-BE49-F238E27FC236}">
                  <a16:creationId xmlns:a16="http://schemas.microsoft.com/office/drawing/2014/main" id="{00000000-0008-0000-0300-0000F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1.Form/0Mat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0</xdr:rowOff>
        </xdr:from>
        <xdr:to>
          <xdr:col>0</xdr:col>
          <xdr:colOff>525780</xdr:colOff>
          <xdr:row>2</xdr:row>
          <xdr:rowOff>220980</xdr:rowOff>
        </xdr:to>
        <xdr:sp macro="" textlink="">
          <xdr:nvSpPr>
            <xdr:cNvPr id="1273" name="Check Box 249" hidden="1">
              <a:extLst>
                <a:ext uri="{63B3BB69-23CF-44E3-9099-C40C66FF867C}">
                  <a14:compatExt spid="_x0000_s1273"/>
                </a:ext>
                <a:ext uri="{FF2B5EF4-FFF2-40B4-BE49-F238E27FC236}">
                  <a16:creationId xmlns:a16="http://schemas.microsoft.com/office/drawing/2014/main" id="{00000000-0008-0000-0300-0000F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2.VAT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182880</xdr:rowOff>
        </xdr:from>
        <xdr:to>
          <xdr:col>1</xdr:col>
          <xdr:colOff>137160</xdr:colOff>
          <xdr:row>3</xdr:row>
          <xdr:rowOff>137160</xdr:rowOff>
        </xdr:to>
        <xdr:sp macro="" textlink="">
          <xdr:nvSpPr>
            <xdr:cNvPr id="1274" name="Check Box 250" hidden="1">
              <a:extLst>
                <a:ext uri="{63B3BB69-23CF-44E3-9099-C40C66FF867C}">
                  <a14:compatExt spid="_x0000_s1274"/>
                </a:ext>
                <a:ext uri="{FF2B5EF4-FFF2-40B4-BE49-F238E27FC236}">
                  <a16:creationId xmlns:a16="http://schemas.microsoft.com/office/drawing/2014/main" id="{00000000-0008-0000-0300-0000F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3.DiscyA-J</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68580</xdr:rowOff>
        </xdr:from>
        <xdr:to>
          <xdr:col>1</xdr:col>
          <xdr:colOff>342900</xdr:colOff>
          <xdr:row>4</xdr:row>
          <xdr:rowOff>83820</xdr:rowOff>
        </xdr:to>
        <xdr:sp macro="" textlink="">
          <xdr:nvSpPr>
            <xdr:cNvPr id="1275" name="Check Box 251" hidden="1">
              <a:extLst>
                <a:ext uri="{63B3BB69-23CF-44E3-9099-C40C66FF867C}">
                  <a14:compatExt spid="_x0000_s1275"/>
                </a:ext>
                <a:ext uri="{FF2B5EF4-FFF2-40B4-BE49-F238E27FC236}">
                  <a16:creationId xmlns:a16="http://schemas.microsoft.com/office/drawing/2014/main" id="{00000000-0008-0000-0300-0000F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4.MU/LabRate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7620</xdr:rowOff>
        </xdr:from>
        <xdr:to>
          <xdr:col>1</xdr:col>
          <xdr:colOff>335280</xdr:colOff>
          <xdr:row>5</xdr:row>
          <xdr:rowOff>60960</xdr:rowOff>
        </xdr:to>
        <xdr:sp macro="" textlink="">
          <xdr:nvSpPr>
            <xdr:cNvPr id="1276" name="Check Box 252" hidden="1">
              <a:extLst>
                <a:ext uri="{63B3BB69-23CF-44E3-9099-C40C66FF867C}">
                  <a14:compatExt spid="_x0000_s1276"/>
                </a:ext>
                <a:ext uri="{FF2B5EF4-FFF2-40B4-BE49-F238E27FC236}">
                  <a16:creationId xmlns:a16="http://schemas.microsoft.com/office/drawing/2014/main" id="{00000000-0008-0000-0300-0000F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5.Ov.Dsct/MU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152400</xdr:rowOff>
        </xdr:from>
        <xdr:to>
          <xdr:col>1</xdr:col>
          <xdr:colOff>274320</xdr:colOff>
          <xdr:row>6</xdr:row>
          <xdr:rowOff>30480</xdr:rowOff>
        </xdr:to>
        <xdr:sp macro="" textlink="">
          <xdr:nvSpPr>
            <xdr:cNvPr id="1277" name="Check Box 253" hidden="1">
              <a:extLst>
                <a:ext uri="{63B3BB69-23CF-44E3-9099-C40C66FF867C}">
                  <a14:compatExt spid="_x0000_s1277"/>
                </a:ext>
                <a:ext uri="{FF2B5EF4-FFF2-40B4-BE49-F238E27FC236}">
                  <a16:creationId xmlns:a16="http://schemas.microsoft.com/office/drawing/2014/main" id="{00000000-0008-0000-0300-0000F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6ab.Lab.Cont.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137160</xdr:rowOff>
        </xdr:from>
        <xdr:to>
          <xdr:col>1</xdr:col>
          <xdr:colOff>251460</xdr:colOff>
          <xdr:row>7</xdr:row>
          <xdr:rowOff>7620</xdr:rowOff>
        </xdr:to>
        <xdr:sp macro="" textlink="">
          <xdr:nvSpPr>
            <xdr:cNvPr id="1278" name="Check Box 254" hidden="1">
              <a:extLst>
                <a:ext uri="{63B3BB69-23CF-44E3-9099-C40C66FF867C}">
                  <a14:compatExt spid="_x0000_s1278"/>
                </a:ext>
                <a:ext uri="{FF2B5EF4-FFF2-40B4-BE49-F238E27FC236}">
                  <a16:creationId xmlns:a16="http://schemas.microsoft.com/office/drawing/2014/main" id="{00000000-0008-0000-0300-0000F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7.Mat.Cont.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114300</xdr:rowOff>
        </xdr:from>
        <xdr:to>
          <xdr:col>0</xdr:col>
          <xdr:colOff>502920</xdr:colOff>
          <xdr:row>7</xdr:row>
          <xdr:rowOff>160020</xdr:rowOff>
        </xdr:to>
        <xdr:sp macro="" textlink="">
          <xdr:nvSpPr>
            <xdr:cNvPr id="1279" name="Check Box 255" hidden="1">
              <a:extLst>
                <a:ext uri="{63B3BB69-23CF-44E3-9099-C40C66FF867C}">
                  <a14:compatExt spid="_x0000_s1279"/>
                </a:ext>
                <a:ext uri="{FF2B5EF4-FFF2-40B4-BE49-F238E27FC236}">
                  <a16:creationId xmlns:a16="http://schemas.microsoft.com/office/drawing/2014/main" id="{00000000-0008-0000-0300-0000F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8.BOQ</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99060</xdr:rowOff>
        </xdr:from>
        <xdr:to>
          <xdr:col>1</xdr:col>
          <xdr:colOff>68580</xdr:colOff>
          <xdr:row>8</xdr:row>
          <xdr:rowOff>144780</xdr:rowOff>
        </xdr:to>
        <xdr:sp macro="" textlink="">
          <xdr:nvSpPr>
            <xdr:cNvPr id="1280" name="Check Box 256" hidden="1">
              <a:extLst>
                <a:ext uri="{63B3BB69-23CF-44E3-9099-C40C66FF867C}">
                  <a14:compatExt spid="_x0000_s1280"/>
                </a:ext>
                <a:ext uri="{FF2B5EF4-FFF2-40B4-BE49-F238E27FC236}">
                  <a16:creationId xmlns:a16="http://schemas.microsoft.com/office/drawing/2014/main" id="{00000000-0008-0000-0300-00000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9.Recon.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76200</xdr:rowOff>
        </xdr:from>
        <xdr:to>
          <xdr:col>1</xdr:col>
          <xdr:colOff>190500</xdr:colOff>
          <xdr:row>10</xdr:row>
          <xdr:rowOff>121920</xdr:rowOff>
        </xdr:to>
        <xdr:sp macro="" textlink="">
          <xdr:nvSpPr>
            <xdr:cNvPr id="1286" name="Check Box 262" hidden="1">
              <a:extLst>
                <a:ext uri="{63B3BB69-23CF-44E3-9099-C40C66FF867C}">
                  <a14:compatExt spid="_x0000_s1286"/>
                </a:ext>
                <a:ext uri="{FF2B5EF4-FFF2-40B4-BE49-F238E27FC236}">
                  <a16:creationId xmlns:a16="http://schemas.microsoft.com/office/drawing/2014/main" id="{00000000-0008-0000-0300-00000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11.ValsOnly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76200</xdr:rowOff>
        </xdr:from>
        <xdr:to>
          <xdr:col>1</xdr:col>
          <xdr:colOff>563880</xdr:colOff>
          <xdr:row>9</xdr:row>
          <xdr:rowOff>121920</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0000000-0008-0000-0300-00001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10.Avg.Rates OK?</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53340</xdr:colOff>
      <xdr:row>23</xdr:row>
      <xdr:rowOff>22859</xdr:rowOff>
    </xdr:from>
    <xdr:to>
      <xdr:col>20</xdr:col>
      <xdr:colOff>257175</xdr:colOff>
      <xdr:row>51</xdr:row>
      <xdr:rowOff>66675</xdr:rowOff>
    </xdr:to>
    <xdr:sp macro="" textlink="">
      <xdr:nvSpPr>
        <xdr:cNvPr id="2" name="Text 4">
          <a:extLst>
            <a:ext uri="{FF2B5EF4-FFF2-40B4-BE49-F238E27FC236}">
              <a16:creationId xmlns:a16="http://schemas.microsoft.com/office/drawing/2014/main" id="{00000000-0008-0000-0100-000002000000}"/>
            </a:ext>
          </a:extLst>
        </xdr:cNvPr>
        <xdr:cNvSpPr txBox="1">
          <a:spLocks noChangeArrowheads="1"/>
        </xdr:cNvSpPr>
      </xdr:nvSpPr>
      <xdr:spPr bwMode="auto">
        <a:xfrm>
          <a:off x="53340" y="4204334"/>
          <a:ext cx="6499860" cy="4844416"/>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marL="0" indent="0" rtl="0"/>
          <a:r>
            <a:rPr lang="en-GB" sz="1000" b="1" i="0" u="sng" strike="noStrike" baseline="0">
              <a:solidFill>
                <a:srgbClr val="000000"/>
              </a:solidFill>
              <a:latin typeface="Arial"/>
              <a:ea typeface="+mn-ea"/>
              <a:cs typeface="Arial"/>
            </a:rPr>
            <a:t>CONDITIONS:</a:t>
          </a:r>
        </a:p>
        <a:p>
          <a:pPr rtl="0"/>
          <a:r>
            <a:rPr lang="en-GB" sz="1000" b="0" i="0" u="none" strike="noStrike" baseline="0">
              <a:solidFill>
                <a:srgbClr val="000000"/>
              </a:solidFill>
              <a:latin typeface="Arial"/>
              <a:ea typeface="+mn-ea"/>
              <a:cs typeface="Arial"/>
            </a:rPr>
            <a:t>1) Payment - to be muttualy agreed.</a:t>
          </a:r>
        </a:p>
        <a:p>
          <a:pPr rtl="0"/>
          <a:r>
            <a:rPr lang="en-GB" sz="1000" b="0" i="0" u="none" strike="noStrike" baseline="0">
              <a:solidFill>
                <a:srgbClr val="000000"/>
              </a:solidFill>
              <a:latin typeface="Arial"/>
              <a:ea typeface="+mn-ea"/>
              <a:cs typeface="Arial"/>
            </a:rPr>
            <a:t>2) Quote is valid for 30 days from above date.</a:t>
          </a:r>
        </a:p>
        <a:p>
          <a:pPr rtl="0"/>
          <a:r>
            <a:rPr lang="en-GB" sz="1000" b="0" i="0" u="none" strike="noStrike" baseline="0">
              <a:solidFill>
                <a:srgbClr val="000000"/>
              </a:solidFill>
              <a:latin typeface="Arial"/>
              <a:ea typeface="+mn-ea"/>
              <a:cs typeface="Arial"/>
            </a:rPr>
            <a:t>3) Commencement - to be confirmed at time of order.</a:t>
          </a:r>
        </a:p>
        <a:p>
          <a:pPr rtl="0"/>
          <a:r>
            <a:rPr lang="en-GB" sz="1000" b="0" i="0" u="none" strike="noStrike" baseline="0">
              <a:solidFill>
                <a:srgbClr val="000000"/>
              </a:solidFill>
              <a:latin typeface="Arial"/>
              <a:ea typeface="+mn-ea"/>
              <a:cs typeface="Arial"/>
            </a:rPr>
            <a:t>4) Works await approval in order to proceed.</a:t>
          </a:r>
        </a:p>
        <a:p>
          <a:pPr rtl="0"/>
          <a:r>
            <a:rPr lang="en-GB" sz="1000" b="0" i="0" u="none" strike="noStrike" baseline="0">
              <a:solidFill>
                <a:srgbClr val="000000"/>
              </a:solidFill>
              <a:latin typeface="Arial"/>
              <a:ea typeface="+mn-ea"/>
              <a:cs typeface="Arial"/>
            </a:rPr>
            <a:t>5) Execution Approx. 1-2 working weeks</a:t>
          </a:r>
        </a:p>
        <a:p>
          <a:pPr rtl="0"/>
          <a:r>
            <a:rPr lang="en-GB" sz="1000" b="0" i="0" u="none" strike="noStrike" baseline="0">
              <a:solidFill>
                <a:srgbClr val="000000"/>
              </a:solidFill>
              <a:latin typeface="Arial"/>
              <a:ea typeface="+mn-ea"/>
              <a:cs typeface="Arial"/>
            </a:rPr>
            <a:t>6) Delivery of Equipment - Water consumption meter, Modulating Valves and control boxes 4 to 6 weeks, most other materials are available ex-stock, subject to being unsold.</a:t>
          </a:r>
        </a:p>
        <a:p>
          <a:pPr rtl="0"/>
          <a:r>
            <a:rPr lang="en-GB" sz="1000" b="0" i="0" u="none" strike="noStrike" baseline="0">
              <a:solidFill>
                <a:srgbClr val="000000"/>
              </a:solidFill>
              <a:latin typeface="Arial"/>
              <a:ea typeface="+mn-ea"/>
              <a:cs typeface="Arial"/>
            </a:rPr>
            <a:t>7) The above selling price includes the contract discount and is additional to the contract value. </a:t>
          </a:r>
        </a:p>
        <a:p>
          <a:pPr marL="0" indent="0" rtl="0"/>
          <a:r>
            <a:rPr lang="en-GB" sz="1000" b="0" i="0" u="none" strike="noStrike" baseline="0">
              <a:solidFill>
                <a:srgbClr val="000000"/>
              </a:solidFill>
              <a:latin typeface="Arial"/>
              <a:ea typeface="+mn-ea"/>
              <a:cs typeface="Arial"/>
            </a:rPr>
            <a:t>8) The original contract value for BOQ Items / that have remained unchanged / that are related to system / is to be claimed in full. </a:t>
          </a:r>
        </a:p>
        <a:p>
          <a:pPr marL="0" marR="0" lvl="0" indent="0" defTabSz="914400" rtl="0" eaLnBrk="1" fontAlgn="auto" latinLnBrk="0" hangingPunct="1">
            <a:lnSpc>
              <a:spcPct val="100000"/>
            </a:lnSpc>
            <a:spcBef>
              <a:spcPts val="0"/>
            </a:spcBef>
            <a:spcAft>
              <a:spcPts val="0"/>
            </a:spcAft>
            <a:buClrTx/>
            <a:buSzTx/>
            <a:buFontTx/>
            <a:buNone/>
            <a:tabLst/>
            <a:defRPr/>
          </a:pPr>
          <a:r>
            <a:rPr lang="en-GB" sz="1000" b="0" i="0" u="none" strike="noStrike" baseline="0">
              <a:solidFill>
                <a:srgbClr val="000000"/>
              </a:solidFill>
              <a:latin typeface="Arial"/>
              <a:ea typeface="+mn-ea"/>
              <a:cs typeface="Arial"/>
            </a:rPr>
            <a:t>9) Plumbing BOQ Item 4, 17, 37 and 41, Control panel is included in mechanical BOQ.</a:t>
          </a:r>
        </a:p>
        <a:p>
          <a:pPr marL="0" marR="0" lvl="0" indent="0" defTabSz="914400" rtl="0" eaLnBrk="1" fontAlgn="auto" latinLnBrk="0" hangingPunct="1">
            <a:lnSpc>
              <a:spcPct val="100000"/>
            </a:lnSpc>
            <a:spcBef>
              <a:spcPts val="0"/>
            </a:spcBef>
            <a:spcAft>
              <a:spcPts val="0"/>
            </a:spcAft>
            <a:buClrTx/>
            <a:buSzTx/>
            <a:buFontTx/>
            <a:buNone/>
            <a:tabLst/>
            <a:defRPr/>
          </a:pPr>
          <a:r>
            <a:rPr lang="en-GB" sz="1000" b="0" i="0" u="none" strike="noStrike" baseline="0">
              <a:solidFill>
                <a:srgbClr val="000000"/>
              </a:solidFill>
              <a:latin typeface="Arial"/>
              <a:ea typeface="+mn-ea"/>
              <a:cs typeface="Arial"/>
            </a:rPr>
            <a:t>10) Plumbing BOQ Item 25, No external control panel is required, as the motor is equipped with an onboard inverter mounted directly on top of the motor.</a:t>
          </a:r>
        </a:p>
        <a:p>
          <a:pPr marL="0" marR="0" lvl="0" indent="0" defTabSz="914400" rtl="0" eaLnBrk="1" fontAlgn="auto" latinLnBrk="0" hangingPunct="1">
            <a:lnSpc>
              <a:spcPct val="100000"/>
            </a:lnSpc>
            <a:spcBef>
              <a:spcPts val="0"/>
            </a:spcBef>
            <a:spcAft>
              <a:spcPts val="0"/>
            </a:spcAft>
            <a:buClrTx/>
            <a:buSzTx/>
            <a:buFontTx/>
            <a:buNone/>
            <a:tabLst/>
            <a:defRPr/>
          </a:pPr>
          <a:r>
            <a:rPr lang="en-GB" sz="1000" b="0" i="0" u="none" strike="noStrike" baseline="0">
              <a:solidFill>
                <a:srgbClr val="000000"/>
              </a:solidFill>
              <a:latin typeface="Arial"/>
              <a:ea typeface="+mn-ea"/>
              <a:cs typeface="Arial"/>
            </a:rPr>
            <a:t>11) Plumbing BOQ Item 35e and 35f, We have assumed that the connection of the valves throughout the system will be provided by others.</a:t>
          </a:r>
        </a:p>
        <a:p>
          <a:pPr marL="0" marR="0" lvl="0" indent="0" defTabSz="914400" rtl="0" eaLnBrk="1" fontAlgn="auto" latinLnBrk="0" hangingPunct="1">
            <a:lnSpc>
              <a:spcPct val="100000"/>
            </a:lnSpc>
            <a:spcBef>
              <a:spcPts val="0"/>
            </a:spcBef>
            <a:spcAft>
              <a:spcPts val="0"/>
            </a:spcAft>
            <a:buClrTx/>
            <a:buSzTx/>
            <a:buFontTx/>
            <a:buNone/>
            <a:tabLst/>
            <a:defRPr/>
          </a:pPr>
          <a:r>
            <a:rPr lang="en-GB" sz="1000" b="0" i="0" u="none" strike="noStrike" baseline="0">
              <a:solidFill>
                <a:srgbClr val="000000"/>
              </a:solidFill>
              <a:latin typeface="Arial"/>
              <a:ea typeface="+mn-ea"/>
              <a:cs typeface="Arial"/>
            </a:rPr>
            <a:t>12) Plumbing BOQ Item 53, We have assumed that the connection of the water consumption meter throughout the system will be provided by others.</a:t>
          </a:r>
        </a:p>
        <a:p>
          <a:pPr marL="0" marR="0" lvl="0" indent="0" defTabSz="914400" rtl="0" eaLnBrk="1" fontAlgn="auto" latinLnBrk="0" hangingPunct="1">
            <a:lnSpc>
              <a:spcPct val="100000"/>
            </a:lnSpc>
            <a:spcBef>
              <a:spcPts val="0"/>
            </a:spcBef>
            <a:spcAft>
              <a:spcPts val="0"/>
            </a:spcAft>
            <a:buClrTx/>
            <a:buSzTx/>
            <a:buFontTx/>
            <a:buNone/>
            <a:tabLst/>
            <a:defRPr/>
          </a:pPr>
          <a:r>
            <a:rPr lang="en-GB" sz="1000" b="0" i="0" u="none" strike="noStrike" baseline="0">
              <a:solidFill>
                <a:srgbClr val="000000"/>
              </a:solidFill>
              <a:latin typeface="Arial"/>
              <a:ea typeface="+mn-ea"/>
              <a:cs typeface="Arial"/>
            </a:rPr>
            <a:t>13 )Drainage And Rain Water Systems BOQ Item 4 : Control panel is included in mechanical BOQ.</a:t>
          </a:r>
        </a:p>
        <a:p>
          <a:pPr marL="0" marR="0" lvl="0" indent="0" defTabSz="914400" rtl="0" eaLnBrk="1" fontAlgn="auto" latinLnBrk="0" hangingPunct="1">
            <a:lnSpc>
              <a:spcPct val="100000"/>
            </a:lnSpc>
            <a:spcBef>
              <a:spcPts val="0"/>
            </a:spcBef>
            <a:spcAft>
              <a:spcPts val="0"/>
            </a:spcAft>
            <a:buClrTx/>
            <a:buSzTx/>
            <a:buFontTx/>
            <a:buNone/>
            <a:tabLst/>
            <a:defRPr/>
          </a:pPr>
          <a:r>
            <a:rPr lang="en-GB" sz="1000" b="0" i="0" u="none" strike="noStrike" baseline="0">
              <a:solidFill>
                <a:srgbClr val="000000"/>
              </a:solidFill>
              <a:latin typeface="Arial"/>
              <a:ea typeface="+mn-ea"/>
              <a:cs typeface="Arial"/>
            </a:rPr>
            <a:t>14 )Drainage And Rain Water Systems BOQ Item 12 : Control panel is not required, as the pump works with float switch automaticly. </a:t>
          </a:r>
        </a:p>
        <a:p>
          <a:pPr marL="0" marR="0" lvl="0" indent="0" defTabSz="914400" rtl="0" eaLnBrk="1" fontAlgn="auto" latinLnBrk="0" hangingPunct="1">
            <a:lnSpc>
              <a:spcPct val="100000"/>
            </a:lnSpc>
            <a:spcBef>
              <a:spcPts val="0"/>
            </a:spcBef>
            <a:spcAft>
              <a:spcPts val="0"/>
            </a:spcAft>
            <a:buClrTx/>
            <a:buSzTx/>
            <a:buFontTx/>
            <a:buNone/>
            <a:tabLst/>
            <a:defRPr/>
          </a:pPr>
          <a:r>
            <a:rPr lang="en-GB" sz="1000" b="0" i="0" u="none" strike="noStrike" baseline="0">
              <a:solidFill>
                <a:srgbClr val="000000"/>
              </a:solidFill>
              <a:latin typeface="Arial"/>
              <a:ea typeface="+mn-ea"/>
              <a:cs typeface="Arial"/>
            </a:rPr>
            <a:t>15) Plumbing BOQ Items 38i, 38j, and 40c: It is assumed that these BOQ items are required for BOQ Item 38 – Calorifier. They are already included under BOQ Item 38a. Should these items be required for any other purpose, we will provide a separate quotation accordingly.</a:t>
          </a:r>
        </a:p>
        <a:p>
          <a:pPr marL="0" marR="0" lvl="0" indent="0" defTabSz="914400" rtl="0" eaLnBrk="1" fontAlgn="auto" latinLnBrk="0" hangingPunct="1">
            <a:lnSpc>
              <a:spcPct val="100000"/>
            </a:lnSpc>
            <a:spcBef>
              <a:spcPts val="0"/>
            </a:spcBef>
            <a:spcAft>
              <a:spcPts val="0"/>
            </a:spcAft>
            <a:buClrTx/>
            <a:buSzTx/>
            <a:buFontTx/>
            <a:buNone/>
            <a:tabLst/>
            <a:defRPr/>
          </a:pPr>
          <a:r>
            <a:rPr lang="en-GB" sz="1100" b="0" i="0" baseline="0">
              <a:effectLst/>
              <a:latin typeface="+mn-lt"/>
              <a:ea typeface="+mn-ea"/>
              <a:cs typeface="+mn-cs"/>
            </a:rPr>
            <a:t>16) Fire Safety And Fire Fighting Systems BOQ Item 8a and 8b, Not quoted. </a:t>
          </a:r>
          <a:endParaRPr lang="en-GB" sz="1000" b="0" i="0" u="none" strike="noStrike" baseline="0">
            <a:solidFill>
              <a:srgbClr val="000000"/>
            </a:solidFill>
            <a:latin typeface="Arial"/>
            <a:ea typeface="+mn-ea"/>
            <a:cs typeface="Arial"/>
          </a:endParaRPr>
        </a:p>
        <a:p>
          <a:pPr marL="0" marR="0" lvl="0" indent="0" defTabSz="914400" rtl="0" eaLnBrk="1" fontAlgn="auto" latinLnBrk="0" hangingPunct="1">
            <a:lnSpc>
              <a:spcPct val="100000"/>
            </a:lnSpc>
            <a:spcBef>
              <a:spcPts val="0"/>
            </a:spcBef>
            <a:spcAft>
              <a:spcPts val="0"/>
            </a:spcAft>
            <a:buClrTx/>
            <a:buSzTx/>
            <a:buFontTx/>
            <a:buNone/>
            <a:tabLst/>
            <a:defRPr/>
          </a:pPr>
          <a:r>
            <a:rPr lang="en-GB" sz="1000" b="0" i="0" u="none" strike="noStrike" baseline="0">
              <a:solidFill>
                <a:srgbClr val="000000"/>
              </a:solidFill>
              <a:latin typeface="Arial"/>
              <a:ea typeface="+mn-ea"/>
              <a:cs typeface="Arial"/>
            </a:rPr>
            <a:t>17) Fire Safety And Fire Fighting Systems BOQ Item 9 and 10, We have assumed that the control panel of the fans will be provided by others. </a:t>
          </a:r>
        </a:p>
        <a:p>
          <a:pPr marL="0" marR="0" lvl="0" indent="0" defTabSz="914400" rtl="0" eaLnBrk="1" fontAlgn="auto" latinLnBrk="0" hangingPunct="1">
            <a:lnSpc>
              <a:spcPct val="100000"/>
            </a:lnSpc>
            <a:spcBef>
              <a:spcPts val="0"/>
            </a:spcBef>
            <a:spcAft>
              <a:spcPts val="0"/>
            </a:spcAft>
            <a:buClrTx/>
            <a:buSzTx/>
            <a:buFontTx/>
            <a:buNone/>
            <a:tabLst/>
            <a:defRPr/>
          </a:pPr>
          <a:r>
            <a:rPr lang="en-GB" sz="1000" b="0" i="0" u="none" strike="noStrike" baseline="0">
              <a:solidFill>
                <a:srgbClr val="000000"/>
              </a:solidFill>
              <a:latin typeface="Arial"/>
              <a:ea typeface="+mn-ea"/>
              <a:cs typeface="Arial"/>
            </a:rPr>
            <a:t>18) We have assumed that we will be allowed to work unhindered between 7.00 to 15.30 on weekdays.</a:t>
          </a:r>
        </a:p>
        <a:p>
          <a:pPr rtl="0"/>
          <a:endParaRPr lang="en-GB" sz="1000">
            <a:effectLst/>
          </a:endParaRPr>
        </a:p>
        <a:p>
          <a:pPr rtl="0"/>
          <a:r>
            <a:rPr lang="en-GB" sz="1000" b="1" i="0" u="sng" strike="noStrike" baseline="0">
              <a:solidFill>
                <a:srgbClr val="000000"/>
              </a:solidFill>
              <a:latin typeface="Arial"/>
              <a:ea typeface="+mn-ea"/>
              <a:cs typeface="Arial"/>
            </a:rPr>
            <a:t>EXCLUSIONS:</a:t>
          </a:r>
        </a:p>
        <a:p>
          <a:pPr marL="0" indent="0" algn="l" rtl="0">
            <a:defRPr sz="1000"/>
          </a:pPr>
          <a:r>
            <a:rPr lang="en-GB" sz="1000" b="0" i="0" u="none" strike="noStrike" baseline="0">
              <a:solidFill>
                <a:srgbClr val="000000"/>
              </a:solidFill>
              <a:latin typeface="Arial"/>
              <a:ea typeface="+mn-ea"/>
              <a:cs typeface="Arial"/>
            </a:rPr>
            <a:t>1) Any builders' work except conduit chases in walls / as per contract.</a:t>
          </a:r>
        </a:p>
        <a:p>
          <a:pPr marL="0" indent="0" algn="l" rtl="0">
            <a:defRPr sz="1000"/>
          </a:pPr>
          <a:r>
            <a:rPr lang="en-GB" sz="1000" b="0" i="0" u="none" strike="noStrike" baseline="0">
              <a:solidFill>
                <a:srgbClr val="000000"/>
              </a:solidFill>
              <a:latin typeface="Arial"/>
              <a:ea typeface="+mn-ea"/>
              <a:cs typeface="Arial"/>
            </a:rPr>
            <a:t>2) Work outside our normal working hours.</a:t>
          </a:r>
        </a:p>
        <a:p>
          <a:pPr marL="0" indent="0" algn="l" rtl="0">
            <a:defRPr sz="1000"/>
          </a:pPr>
          <a:r>
            <a:rPr lang="en-GB" sz="1000" b="0" i="0" u="none" strike="noStrike" baseline="0">
              <a:solidFill>
                <a:srgbClr val="000000"/>
              </a:solidFill>
              <a:latin typeface="Arial"/>
              <a:ea typeface="+mn-ea"/>
              <a:cs typeface="Arial"/>
            </a:rPr>
            <a:t>3) Security of the works after normal working hours.</a:t>
          </a:r>
        </a:p>
        <a:p>
          <a:pPr marL="0" indent="0" algn="l" rtl="0">
            <a:defRPr sz="1000"/>
          </a:pPr>
          <a:r>
            <a:rPr lang="en-GB" sz="1000" b="0" i="0" u="none" strike="noStrike" baseline="0">
              <a:solidFill>
                <a:srgbClr val="000000"/>
              </a:solidFill>
              <a:latin typeface="Arial"/>
              <a:ea typeface="+mn-ea"/>
              <a:cs typeface="Arial"/>
            </a:rPr>
            <a:t>4) Cutting of holes in gypsum partitions or false ceilings to accommodate electrical devices.</a:t>
          </a:r>
        </a:p>
        <a:p>
          <a:pPr marL="0" indent="0" algn="l" rtl="0">
            <a:defRPr sz="1000"/>
          </a:pPr>
          <a:r>
            <a:rPr lang="en-GB" sz="1000" b="0" i="0" u="none" strike="noStrike" baseline="0">
              <a:solidFill>
                <a:srgbClr val="000000"/>
              </a:solidFill>
              <a:latin typeface="Arial"/>
              <a:ea typeface="+mn-ea"/>
              <a:cs typeface="Arial"/>
            </a:rPr>
            <a:t>5) Dismantling of any existing installation / false ceiling / furnishings unless included in attached BOQ.</a:t>
          </a:r>
        </a:p>
        <a:p>
          <a:pPr marL="0" indent="0" algn="l" rtl="0">
            <a:defRPr sz="1000"/>
          </a:pPr>
          <a:r>
            <a:rPr lang="en-GB" sz="1000" b="0" i="0" u="none" strike="noStrike" baseline="0">
              <a:solidFill>
                <a:srgbClr val="000000"/>
              </a:solidFill>
              <a:latin typeface="Arial"/>
              <a:ea typeface="+mn-ea"/>
              <a:cs typeface="Arial"/>
            </a:rPr>
            <a:t>6) Anything not mentioned in our Bill of Quantities.</a:t>
          </a:r>
        </a:p>
        <a:p>
          <a:pPr algn="l" rtl="0">
            <a:lnSpc>
              <a:spcPts val="1100"/>
            </a:lnSpc>
            <a:defRPr sz="1000"/>
          </a:pPr>
          <a:endParaRPr lang="en-GB" sz="1000" b="0" i="0" u="none" strike="noStrike" baseline="0">
            <a:solidFill>
              <a:srgbClr val="000000"/>
            </a:solidFill>
            <a:latin typeface="Arial"/>
            <a:cs typeface="Arial"/>
          </a:endParaRPr>
        </a:p>
        <a:p>
          <a:pPr algn="l" rtl="0">
            <a:lnSpc>
              <a:spcPts val="1000"/>
            </a:lnSpc>
            <a:defRPr sz="1000"/>
          </a:pPr>
          <a:endParaRPr lang="en-GB" sz="1000" b="0" i="0" u="none" strike="noStrike" baseline="0">
            <a:solidFill>
              <a:srgbClr val="000000"/>
            </a:solidFill>
            <a:latin typeface="Arial"/>
            <a:cs typeface="Arial"/>
          </a:endParaRPr>
        </a:p>
        <a:p>
          <a:pPr algn="l" rtl="0">
            <a:lnSpc>
              <a:spcPts val="1100"/>
            </a:lnSpc>
            <a:defRPr sz="1000"/>
          </a:pPr>
          <a:endParaRPr lang="en-GB" sz="1000" b="0" i="0" u="none" strike="noStrike" baseline="0">
            <a:solidFill>
              <a:srgbClr val="000000"/>
            </a:solidFill>
            <a:latin typeface="Arial"/>
            <a:cs typeface="Arial"/>
          </a:endParaRPr>
        </a:p>
        <a:p>
          <a:pPr algn="l" rtl="0">
            <a:lnSpc>
              <a:spcPts val="1000"/>
            </a:lnSpc>
            <a:defRPr sz="1000"/>
          </a:pPr>
          <a:endParaRPr lang="en-GB" sz="1000" b="0" i="0" u="none" strike="noStrike" baseline="0">
            <a:solidFill>
              <a:srgbClr val="000000"/>
            </a:solidFill>
            <a:latin typeface="Arial"/>
            <a:cs typeface="Arial"/>
          </a:endParaRPr>
        </a:p>
      </xdr:txBody>
    </xdr:sp>
    <xdr:clientData fLocksWithSheet="0"/>
  </xdr:twoCellAnchor>
  <xdr:twoCellAnchor>
    <xdr:from>
      <xdr:col>0</xdr:col>
      <xdr:colOff>28575</xdr:colOff>
      <xdr:row>10</xdr:row>
      <xdr:rowOff>76201</xdr:rowOff>
    </xdr:from>
    <xdr:to>
      <xdr:col>20</xdr:col>
      <xdr:colOff>28575</xdr:colOff>
      <xdr:row>16</xdr:row>
      <xdr:rowOff>15241</xdr:rowOff>
    </xdr:to>
    <xdr:sp macro="" textlink="">
      <xdr:nvSpPr>
        <xdr:cNvPr id="3" name="Text 6">
          <a:extLst>
            <a:ext uri="{FF2B5EF4-FFF2-40B4-BE49-F238E27FC236}">
              <a16:creationId xmlns:a16="http://schemas.microsoft.com/office/drawing/2014/main" id="{00000000-0008-0000-0100-000003000000}"/>
            </a:ext>
          </a:extLst>
        </xdr:cNvPr>
        <xdr:cNvSpPr txBox="1">
          <a:spLocks noChangeArrowheads="1"/>
        </xdr:cNvSpPr>
      </xdr:nvSpPr>
      <xdr:spPr bwMode="auto">
        <a:xfrm>
          <a:off x="28575" y="2042161"/>
          <a:ext cx="6294120" cy="6096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1000" b="1" i="0" u="sng" strike="noStrike" baseline="0">
              <a:solidFill>
                <a:srgbClr val="000000"/>
              </a:solidFill>
              <a:latin typeface="Arial"/>
              <a:cs typeface="Arial"/>
            </a:rPr>
            <a:t>DESCRIPTION OF WORKS / SPECIFICATIONS:</a:t>
          </a:r>
          <a:endParaRPr lang="en-GB" sz="1000" b="0" i="0" u="none" strike="noStrike" baseline="0">
            <a:solidFill>
              <a:srgbClr val="000000"/>
            </a:solidFill>
            <a:latin typeface="Arial"/>
            <a:cs typeface="Arial"/>
          </a:endParaRPr>
        </a:p>
        <a:p>
          <a:pPr rtl="0"/>
          <a:r>
            <a:rPr lang="en-GB" sz="1000" b="0" i="0" u="none" strike="noStrike" baseline="0">
              <a:solidFill>
                <a:srgbClr val="000000"/>
              </a:solidFill>
              <a:latin typeface="Arial"/>
              <a:cs typeface="Arial"/>
            </a:rPr>
            <a:t>1) As per the attached BOQ.</a:t>
          </a:r>
          <a:endParaRPr lang="en-GB" sz="1000" b="0" i="0" u="none" strike="noStrike" baseline="0">
            <a:solidFill>
              <a:srgbClr val="000000"/>
            </a:solidFill>
            <a:latin typeface="Arial"/>
            <a:ea typeface="+mn-ea"/>
            <a:cs typeface="Arial"/>
          </a:endParaRPr>
        </a:p>
        <a:p>
          <a:pPr rtl="0"/>
          <a:r>
            <a:rPr lang="en-GB" sz="1000" b="0" i="0" u="none" strike="noStrike" baseline="0">
              <a:solidFill>
                <a:srgbClr val="000000"/>
              </a:solidFill>
              <a:latin typeface="Arial"/>
              <a:ea typeface="+mn-ea"/>
              <a:cs typeface="Arial"/>
            </a:rPr>
            <a:t>2) Technical literature for the items offered is attached.</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fLocksWithSheet="0"/>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est/CBOM/Annex%20II/Estimates/E14_XXXX_Estimate_LightningProtection.xlsx" TargetMode="External"/><Relationship Id="rId1" Type="http://schemas.openxmlformats.org/officeDocument/2006/relationships/externalLinkPath" Target="/est/CBOM/Annex%20II/Estimates/E14_XXXX_Estimate_LightningProtec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otes"/>
      <sheetName val="ML_Sum"/>
      <sheetName val="Quote"/>
      <sheetName val="Elec_Rates"/>
      <sheetName val="Elec_Est"/>
      <sheetName val="LP_BOQ"/>
      <sheetName val="COMM_BOQ"/>
    </sheetNames>
    <sheetDataSet>
      <sheetData sheetId="0" refreshError="1"/>
      <sheetData sheetId="1">
        <row r="1">
          <cell r="X1" t="str">
            <v>x</v>
          </cell>
          <cell r="Y1" t="str">
            <v>x</v>
          </cell>
          <cell r="Z1" t="str">
            <v>x</v>
          </cell>
          <cell r="AA1" t="str">
            <v>x</v>
          </cell>
          <cell r="AB1" t="str">
            <v>x</v>
          </cell>
          <cell r="AC1" t="str">
            <v>x</v>
          </cell>
          <cell r="AD1" t="str">
            <v>x</v>
          </cell>
        </row>
        <row r="2">
          <cell r="X2" t="str">
            <v>x</v>
          </cell>
          <cell r="Y2" t="str">
            <v>x</v>
          </cell>
          <cell r="Z2" t="str">
            <v>x</v>
          </cell>
          <cell r="AA2" t="str">
            <v>x</v>
          </cell>
          <cell r="AB2" t="str">
            <v>x</v>
          </cell>
          <cell r="AC2" t="str">
            <v>x</v>
          </cell>
          <cell r="AD2" t="str">
            <v>x</v>
          </cell>
        </row>
        <row r="3">
          <cell r="X3" t="str">
            <v>x</v>
          </cell>
          <cell r="Y3" t="str">
            <v>x</v>
          </cell>
          <cell r="Z3" t="str">
            <v>x</v>
          </cell>
          <cell r="AA3" t="str">
            <v>x</v>
          </cell>
          <cell r="AB3" t="str">
            <v>x</v>
          </cell>
          <cell r="AC3" t="str">
            <v>x</v>
          </cell>
          <cell r="AD3" t="str">
            <v>x</v>
          </cell>
        </row>
        <row r="4">
          <cell r="X4" t="str">
            <v>x</v>
          </cell>
          <cell r="Y4" t="str">
            <v>x</v>
          </cell>
          <cell r="Z4" t="str">
            <v>x</v>
          </cell>
          <cell r="AA4" t="str">
            <v>x</v>
          </cell>
          <cell r="AB4" t="str">
            <v>x</v>
          </cell>
          <cell r="AC4" t="str">
            <v>x</v>
          </cell>
          <cell r="AD4" t="str">
            <v>x</v>
          </cell>
        </row>
        <row r="5">
          <cell r="X5" t="str">
            <v>x</v>
          </cell>
          <cell r="Y5" t="str">
            <v>x</v>
          </cell>
          <cell r="Z5" t="str">
            <v>x</v>
          </cell>
          <cell r="AA5" t="str">
            <v>x</v>
          </cell>
          <cell r="AB5" t="str">
            <v>x</v>
          </cell>
          <cell r="AC5" t="str">
            <v>x</v>
          </cell>
          <cell r="AD5" t="str">
            <v>x</v>
          </cell>
        </row>
        <row r="6">
          <cell r="X6" t="str">
            <v>x</v>
          </cell>
          <cell r="Y6" t="str">
            <v>x</v>
          </cell>
          <cell r="Z6" t="str">
            <v>x</v>
          </cell>
          <cell r="AA6" t="str">
            <v>x</v>
          </cell>
          <cell r="AB6" t="str">
            <v>x</v>
          </cell>
          <cell r="AC6" t="str">
            <v>x</v>
          </cell>
          <cell r="AD6" t="str">
            <v>x</v>
          </cell>
        </row>
        <row r="7">
          <cell r="X7" t="str">
            <v>x</v>
          </cell>
          <cell r="Y7" t="str">
            <v>x</v>
          </cell>
          <cell r="Z7" t="str">
            <v>x</v>
          </cell>
          <cell r="AA7" t="str">
            <v>x</v>
          </cell>
          <cell r="AB7" t="str">
            <v>x</v>
          </cell>
          <cell r="AC7" t="str">
            <v>x</v>
          </cell>
          <cell r="AD7" t="str">
            <v>x</v>
          </cell>
        </row>
        <row r="8">
          <cell r="X8" t="str">
            <v>x</v>
          </cell>
          <cell r="Y8" t="str">
            <v>x</v>
          </cell>
          <cell r="Z8" t="str">
            <v>x</v>
          </cell>
          <cell r="AA8" t="str">
            <v>x</v>
          </cell>
          <cell r="AB8" t="str">
            <v>x</v>
          </cell>
          <cell r="AC8" t="str">
            <v>x</v>
          </cell>
          <cell r="AD8" t="str">
            <v>x</v>
          </cell>
        </row>
        <row r="9">
          <cell r="X9" t="str">
            <v>x</v>
          </cell>
          <cell r="Y9" t="str">
            <v>x</v>
          </cell>
          <cell r="Z9" t="str">
            <v>x</v>
          </cell>
          <cell r="AA9" t="str">
            <v>x</v>
          </cell>
          <cell r="AB9" t="str">
            <v>x</v>
          </cell>
          <cell r="AC9" t="str">
            <v>x</v>
          </cell>
          <cell r="AD9" t="str">
            <v>x</v>
          </cell>
        </row>
        <row r="10">
          <cell r="X10" t="str">
            <v>x</v>
          </cell>
          <cell r="Y10" t="str">
            <v>x</v>
          </cell>
          <cell r="Z10" t="str">
            <v>x</v>
          </cell>
          <cell r="AA10" t="str">
            <v>x</v>
          </cell>
          <cell r="AB10" t="str">
            <v>x</v>
          </cell>
          <cell r="AC10" t="str">
            <v>x</v>
          </cell>
          <cell r="AD10" t="str">
            <v>x</v>
          </cell>
        </row>
        <row r="11">
          <cell r="X11" t="str">
            <v>x</v>
          </cell>
          <cell r="Y11" t="str">
            <v>x</v>
          </cell>
          <cell r="Z11" t="str">
            <v>x</v>
          </cell>
          <cell r="AA11" t="str">
            <v>x</v>
          </cell>
          <cell r="AB11" t="str">
            <v>x</v>
          </cell>
          <cell r="AC11" t="str">
            <v>x</v>
          </cell>
          <cell r="AD11" t="str">
            <v>x</v>
          </cell>
        </row>
        <row r="12">
          <cell r="X12" t="str">
            <v>x</v>
          </cell>
          <cell r="Y12" t="str">
            <v>x</v>
          </cell>
          <cell r="Z12" t="str">
            <v>x</v>
          </cell>
          <cell r="AA12" t="str">
            <v>x</v>
          </cell>
          <cell r="AB12" t="str">
            <v>x</v>
          </cell>
          <cell r="AC12" t="str">
            <v>x</v>
          </cell>
          <cell r="AD12" t="str">
            <v>x</v>
          </cell>
        </row>
        <row r="14">
          <cell r="X14" t="str">
            <v>x</v>
          </cell>
          <cell r="Y14" t="str">
            <v>x</v>
          </cell>
          <cell r="Z14" t="str">
            <v>x</v>
          </cell>
          <cell r="AA14" t="str">
            <v>x</v>
          </cell>
          <cell r="AB14" t="str">
            <v>x</v>
          </cell>
          <cell r="AC14" t="str">
            <v>x</v>
          </cell>
          <cell r="AD14" t="str">
            <v>x</v>
          </cell>
        </row>
        <row r="15">
          <cell r="X15" t="str">
            <v>x</v>
          </cell>
          <cell r="Y15" t="str">
            <v>x</v>
          </cell>
          <cell r="Z15" t="str">
            <v>x</v>
          </cell>
          <cell r="AA15" t="str">
            <v>x</v>
          </cell>
          <cell r="AB15" t="str">
            <v>x</v>
          </cell>
          <cell r="AC15" t="str">
            <v>x</v>
          </cell>
          <cell r="AD15" t="str">
            <v>x</v>
          </cell>
        </row>
        <row r="16">
          <cell r="X16" t="str">
            <v>x</v>
          </cell>
          <cell r="Y16" t="str">
            <v>x</v>
          </cell>
          <cell r="Z16" t="str">
            <v>x</v>
          </cell>
          <cell r="AA16" t="str">
            <v>x</v>
          </cell>
          <cell r="AB16" t="str">
            <v>x</v>
          </cell>
          <cell r="AC16" t="str">
            <v>x</v>
          </cell>
          <cell r="AD16" t="str">
            <v>x</v>
          </cell>
        </row>
      </sheetData>
      <sheetData sheetId="2" refreshError="1"/>
      <sheetData sheetId="3" refreshError="1"/>
      <sheetData sheetId="4"/>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2.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4.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omments" Target="../comments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indexed="52"/>
  </sheetPr>
  <dimension ref="A1:C13"/>
  <sheetViews>
    <sheetView workbookViewId="0">
      <selection activeCell="B5" sqref="B5"/>
    </sheetView>
  </sheetViews>
  <sheetFormatPr defaultRowHeight="13.2"/>
  <cols>
    <col min="1" max="1" width="11.88671875" style="422" customWidth="1"/>
    <col min="2" max="2" width="15.44140625" customWidth="1"/>
    <col min="3" max="3" width="43.5546875" customWidth="1"/>
    <col min="4" max="4" width="9.5546875" customWidth="1"/>
    <col min="6" max="6" width="10.109375" customWidth="1"/>
    <col min="9" max="9" width="7.6640625" customWidth="1"/>
  </cols>
  <sheetData>
    <row r="1" spans="1:3" ht="17.399999999999999">
      <c r="A1" s="423" t="s">
        <v>231</v>
      </c>
      <c r="C1" s="244"/>
    </row>
    <row r="2" spans="1:3">
      <c r="B2" s="529"/>
    </row>
    <row r="3" spans="1:3">
      <c r="A3" s="534"/>
      <c r="B3" s="529"/>
    </row>
    <row r="4" spans="1:3">
      <c r="A4" s="534"/>
      <c r="B4" s="529"/>
    </row>
    <row r="5" spans="1:3">
      <c r="A5" s="534"/>
      <c r="B5" s="529"/>
    </row>
    <row r="6" spans="1:3">
      <c r="A6" s="534"/>
      <c r="B6" s="529"/>
    </row>
    <row r="7" spans="1:3">
      <c r="A7" s="534"/>
      <c r="B7" s="529"/>
    </row>
    <row r="8" spans="1:3">
      <c r="B8" s="529"/>
    </row>
    <row r="10" spans="1:3">
      <c r="B10" s="34"/>
    </row>
    <row r="11" spans="1:3">
      <c r="B11" s="529"/>
    </row>
    <row r="12" spans="1:3">
      <c r="B12" s="529"/>
    </row>
    <row r="13" spans="1:3">
      <c r="B13" s="529"/>
    </row>
  </sheetData>
  <phoneticPr fontId="27"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indexed="14"/>
  </sheetPr>
  <dimension ref="A1:AE93"/>
  <sheetViews>
    <sheetView workbookViewId="0">
      <selection activeCell="D21" sqref="D21"/>
    </sheetView>
  </sheetViews>
  <sheetFormatPr defaultColWidth="9.109375" defaultRowHeight="13.2"/>
  <cols>
    <col min="1" max="1" width="6.6640625" style="33" customWidth="1"/>
    <col min="2" max="2" width="5.6640625" style="33" customWidth="1"/>
    <col min="3" max="3" width="4.33203125" style="33" hidden="1" customWidth="1"/>
    <col min="4" max="4" width="19.6640625" style="33" customWidth="1"/>
    <col min="5" max="5" width="12.6640625" style="33" customWidth="1"/>
    <col min="6" max="6" width="14.6640625" style="33" customWidth="1"/>
    <col min="7" max="7" width="9.6640625" style="33" hidden="1" customWidth="1"/>
    <col min="8" max="8" width="7.6640625" style="33" hidden="1" customWidth="1"/>
    <col min="9" max="11" width="8.6640625" style="33" hidden="1" customWidth="1"/>
    <col min="12" max="12" width="6.6640625" style="33" hidden="1" customWidth="1"/>
    <col min="13" max="16" width="8.6640625" style="33" hidden="1" customWidth="1"/>
    <col min="17" max="17" width="10.6640625" style="33" customWidth="1"/>
    <col min="18" max="18" width="8.6640625" style="33" customWidth="1"/>
    <col min="19" max="19" width="6.6640625" style="33" customWidth="1"/>
    <col min="20" max="20" width="8.6640625" style="33" customWidth="1"/>
    <col min="21" max="21" width="4.88671875" style="33" customWidth="1"/>
    <col min="22" max="23" width="4.33203125" style="33" customWidth="1"/>
    <col min="24" max="24" width="5.6640625" style="33" customWidth="1"/>
    <col min="25" max="28" width="4.33203125" style="33" customWidth="1"/>
    <col min="29" max="16384" width="9.109375" style="33"/>
  </cols>
  <sheetData>
    <row r="1" spans="1:31" s="30" customFormat="1" ht="13.8">
      <c r="A1" s="449"/>
      <c r="B1" s="450" t="s">
        <v>0</v>
      </c>
      <c r="C1" s="451">
        <f>ML_Sum!$C1</f>
        <v>1</v>
      </c>
      <c r="D1" s="452" t="str">
        <f>ML_Sum!$D1</f>
        <v>Battery Street Limited</v>
      </c>
      <c r="E1" s="453"/>
      <c r="F1" s="454">
        <f>ML_Sum!$F1</f>
        <v>0</v>
      </c>
      <c r="G1" s="455"/>
      <c r="H1"/>
      <c r="I1" s="238">
        <v>1</v>
      </c>
      <c r="J1" s="239">
        <f>ML_Sum!$J1</f>
        <v>1</v>
      </c>
      <c r="K1" s="239">
        <f>ML_Sum!$K1</f>
        <v>1</v>
      </c>
      <c r="L1" s="239">
        <f>ML_Sum!$L1</f>
        <v>1</v>
      </c>
      <c r="M1" s="239">
        <f>ML_Sum!$M1</f>
        <v>1</v>
      </c>
      <c r="N1" s="239">
        <f>ML_Sum!$N1</f>
        <v>1</v>
      </c>
      <c r="O1" s="239">
        <f>ML_Sum!$O1</f>
        <v>1</v>
      </c>
      <c r="P1"/>
      <c r="Q1" s="303" t="str">
        <f>ML_Sum!$Q1</f>
        <v>€</v>
      </c>
      <c r="R1" s="242" t="s">
        <v>1</v>
      </c>
      <c r="S1" s="302" t="str">
        <f>ML_Sum!$S1</f>
        <v>R</v>
      </c>
      <c r="T1" s="15">
        <f>ML_Sum!$T1</f>
        <v>1</v>
      </c>
      <c r="U1" s="162" t="str">
        <f>ML_Sum!W1</f>
        <v>BOQ</v>
      </c>
      <c r="V1" s="96" t="s">
        <v>182</v>
      </c>
      <c r="W1" s="97" t="s">
        <v>172</v>
      </c>
      <c r="X1" s="98" t="s">
        <v>173</v>
      </c>
      <c r="Y1" s="99" t="s">
        <v>174</v>
      </c>
      <c r="Z1" s="100" t="s">
        <v>170</v>
      </c>
      <c r="AA1" s="100" t="s">
        <v>175</v>
      </c>
      <c r="AB1" s="97" t="s">
        <v>176</v>
      </c>
    </row>
    <row r="2" spans="1:31" s="30" customFormat="1" ht="13.8">
      <c r="A2" s="449"/>
      <c r="B2" s="450" t="s">
        <v>2</v>
      </c>
      <c r="C2" s="451">
        <f>ML_Sum!$C2</f>
        <v>1</v>
      </c>
      <c r="D2" s="452" t="str">
        <f>ML_Sum!$D2</f>
        <v>MEP Works British Hotel</v>
      </c>
      <c r="E2" s="456"/>
      <c r="F2" s="454" t="str">
        <f>ML_Sum!$F2</f>
        <v>Electrical</v>
      </c>
      <c r="G2" s="455"/>
      <c r="H2"/>
      <c r="I2" s="238">
        <v>2</v>
      </c>
      <c r="J2" s="239">
        <f>ML_Sum!$J2</f>
        <v>1</v>
      </c>
      <c r="K2" s="239">
        <f>ML_Sum!$K2</f>
        <v>1</v>
      </c>
      <c r="L2" s="239">
        <f>ML_Sum!$L2</f>
        <v>1</v>
      </c>
      <c r="M2" s="239">
        <f>ML_Sum!$M2</f>
        <v>1</v>
      </c>
      <c r="N2" s="239">
        <f>ML_Sum!$N2</f>
        <v>1</v>
      </c>
      <c r="O2" s="239">
        <f>ML_Sum!$O2</f>
        <v>1</v>
      </c>
      <c r="P2"/>
      <c r="Q2" s="309">
        <f>ML_Sum!$Q2</f>
        <v>0</v>
      </c>
      <c r="R2" s="16" t="s">
        <v>3</v>
      </c>
      <c r="S2" s="310">
        <f>ML_Sum!$S2</f>
        <v>1</v>
      </c>
      <c r="T2" s="311">
        <f>ML_Sum!$T2</f>
        <v>27.46</v>
      </c>
      <c r="V2" s="282"/>
      <c r="W2" s="282"/>
      <c r="X2" s="282"/>
      <c r="Y2" s="282"/>
      <c r="Z2" s="282"/>
      <c r="AA2" s="282"/>
      <c r="AB2" s="282"/>
    </row>
    <row r="3" spans="1:31" s="30" customFormat="1" ht="13.8">
      <c r="A3" s="457"/>
      <c r="B3" s="458" t="s">
        <v>4</v>
      </c>
      <c r="C3" s="451">
        <f>ML_Sum!$C3</f>
        <v>1</v>
      </c>
      <c r="D3" s="452" t="str">
        <f>ML_Sum!$D3</f>
        <v>Electrical for Mechanical Services</v>
      </c>
      <c r="E3" s="457"/>
      <c r="F3" s="454" t="str">
        <f>ML_Sum!$F3</f>
        <v>Controls</v>
      </c>
      <c r="G3" s="459"/>
      <c r="H3"/>
      <c r="I3" s="238">
        <v>3</v>
      </c>
      <c r="J3" s="239">
        <f>ML_Sum!$J3</f>
        <v>1</v>
      </c>
      <c r="K3" s="239">
        <f>ML_Sum!$K3</f>
        <v>1</v>
      </c>
      <c r="L3" s="239">
        <f>ML_Sum!$L3</f>
        <v>1</v>
      </c>
      <c r="M3" s="239">
        <f>ML_Sum!$M3</f>
        <v>1</v>
      </c>
      <c r="N3" s="239">
        <f>ML_Sum!$N3</f>
        <v>1</v>
      </c>
      <c r="O3" s="239">
        <f>ML_Sum!$O3</f>
        <v>1</v>
      </c>
      <c r="P3"/>
      <c r="Q3" s="309">
        <f>ML_Sum!$Q3</f>
        <v>0</v>
      </c>
      <c r="R3" s="17" t="s">
        <v>5</v>
      </c>
      <c r="S3" s="310">
        <f>ML_Sum!$S3</f>
        <v>1</v>
      </c>
      <c r="T3" s="311">
        <f>ML_Sum!$T3</f>
        <v>27.46</v>
      </c>
      <c r="V3" s="282"/>
      <c r="W3" s="282"/>
      <c r="X3" s="282"/>
      <c r="Y3" s="282"/>
      <c r="Z3" s="282"/>
      <c r="AA3" s="282"/>
      <c r="AB3" s="282"/>
      <c r="AE3" s="279"/>
    </row>
    <row r="4" spans="1:31" s="30" customFormat="1" ht="13.8">
      <c r="A4" s="460"/>
      <c r="B4" s="450" t="s">
        <v>6</v>
      </c>
      <c r="C4" s="451">
        <f>ML_Sum!$C4</f>
        <v>1</v>
      </c>
      <c r="D4" s="452" t="str">
        <f>ML_Sum!$D4</f>
        <v>ELM25-0665</v>
      </c>
      <c r="E4" s="457"/>
      <c r="F4" s="454">
        <f>ML_Sum!$F4</f>
        <v>0</v>
      </c>
      <c r="G4" s="459"/>
      <c r="H4"/>
      <c r="I4" s="238">
        <v>4</v>
      </c>
      <c r="J4" s="239">
        <f>ML_Sum!$J4</f>
        <v>1</v>
      </c>
      <c r="K4" s="239">
        <f>ML_Sum!$K4</f>
        <v>1</v>
      </c>
      <c r="L4" s="239">
        <f>ML_Sum!$L4</f>
        <v>1</v>
      </c>
      <c r="M4" s="239">
        <f>ML_Sum!$M4</f>
        <v>1</v>
      </c>
      <c r="N4" s="239">
        <f>ML_Sum!$N4</f>
        <v>1</v>
      </c>
      <c r="O4" s="239">
        <f>ML_Sum!$O4</f>
        <v>1</v>
      </c>
      <c r="P4"/>
      <c r="Q4" s="309">
        <f>ML_Sum!$Q4</f>
        <v>0</v>
      </c>
      <c r="R4" s="18" t="s">
        <v>8</v>
      </c>
      <c r="S4" s="310">
        <f>ML_Sum!$S4</f>
        <v>0</v>
      </c>
      <c r="T4" s="311">
        <f>ML_Sum!$T4</f>
        <v>0</v>
      </c>
      <c r="V4" s="282"/>
      <c r="W4" s="282"/>
      <c r="X4" s="282"/>
      <c r="Y4" s="282"/>
      <c r="Z4" s="282"/>
      <c r="AA4" s="282"/>
      <c r="AB4" s="282"/>
      <c r="AE4" s="280"/>
    </row>
    <row r="5" spans="1:31" s="30" customFormat="1" ht="13.8">
      <c r="A5" s="460"/>
      <c r="B5" s="450" t="s">
        <v>184</v>
      </c>
      <c r="C5" s="451">
        <f>ML_Sum!$C5</f>
        <v>1</v>
      </c>
      <c r="D5" s="452">
        <f>ML_Sum!$D5</f>
        <v>0</v>
      </c>
      <c r="E5" s="457"/>
      <c r="F5" s="454">
        <f>ML_Sum!$F5</f>
        <v>0</v>
      </c>
      <c r="G5" s="461"/>
      <c r="H5"/>
      <c r="I5" s="238">
        <v>5</v>
      </c>
      <c r="J5" s="239">
        <f>ML_Sum!$J5</f>
        <v>1</v>
      </c>
      <c r="K5" s="239">
        <f>ML_Sum!$K5</f>
        <v>1</v>
      </c>
      <c r="L5" s="239">
        <f>ML_Sum!$L5</f>
        <v>1</v>
      </c>
      <c r="M5" s="239">
        <f>ML_Sum!$M5</f>
        <v>1</v>
      </c>
      <c r="N5" s="239">
        <f>ML_Sum!$N5</f>
        <v>1</v>
      </c>
      <c r="O5" s="239">
        <f>ML_Sum!$O5</f>
        <v>1</v>
      </c>
      <c r="P5"/>
      <c r="Q5" s="309">
        <f>ML_Sum!$Q5</f>
        <v>0</v>
      </c>
      <c r="R5" s="19" t="s">
        <v>10</v>
      </c>
      <c r="S5" s="310">
        <f>ML_Sum!$S5</f>
        <v>0</v>
      </c>
      <c r="T5" s="311">
        <f>ML_Sum!$T5</f>
        <v>0</v>
      </c>
      <c r="V5" s="282"/>
      <c r="W5" s="282"/>
      <c r="X5" s="282"/>
      <c r="Y5" s="282"/>
      <c r="Z5" s="282"/>
      <c r="AA5" s="282"/>
      <c r="AB5" s="282"/>
      <c r="AE5" s="280"/>
    </row>
    <row r="6" spans="1:31" s="30" customFormat="1" ht="13.8">
      <c r="A6"/>
      <c r="B6" s="458" t="s">
        <v>9</v>
      </c>
      <c r="C6" s="451">
        <f>ML_Sum!$C6</f>
        <v>1</v>
      </c>
      <c r="D6" s="452" t="str">
        <f>ML_Sum!$D6</f>
        <v>VAT EXCL.</v>
      </c>
      <c r="E6"/>
      <c r="F6" s="454">
        <f>ML_Sum!$F6</f>
        <v>0</v>
      </c>
      <c r="G6" s="461"/>
      <c r="H6"/>
      <c r="I6" s="238">
        <v>6</v>
      </c>
      <c r="J6" s="239">
        <f>ML_Sum!$J6</f>
        <v>1</v>
      </c>
      <c r="K6" s="239">
        <f>ML_Sum!$K6</f>
        <v>1</v>
      </c>
      <c r="L6" s="239">
        <f>ML_Sum!$L6</f>
        <v>1</v>
      </c>
      <c r="M6" s="239">
        <f>ML_Sum!$M6</f>
        <v>1</v>
      </c>
      <c r="N6" s="239">
        <f>ML_Sum!$N6</f>
        <v>1</v>
      </c>
      <c r="O6" s="239">
        <f>ML_Sum!$O6</f>
        <v>1</v>
      </c>
      <c r="P6"/>
      <c r="Q6" s="309">
        <f>ML_Sum!$Q6</f>
        <v>0</v>
      </c>
      <c r="R6" s="20" t="s">
        <v>11</v>
      </c>
      <c r="S6" s="310">
        <f>ML_Sum!$S6</f>
        <v>0</v>
      </c>
      <c r="T6" s="311">
        <f>ML_Sum!$T6</f>
        <v>0</v>
      </c>
      <c r="V6" s="282"/>
      <c r="W6" s="282"/>
      <c r="X6" s="282"/>
      <c r="Y6" s="282"/>
      <c r="Z6" s="282"/>
      <c r="AA6" s="282"/>
      <c r="AB6" s="282"/>
      <c r="AE6"/>
    </row>
    <row r="7" spans="1:31" s="30" customFormat="1" ht="13.8">
      <c r="A7" s="449"/>
      <c r="B7" s="458" t="s">
        <v>12</v>
      </c>
      <c r="C7" s="451">
        <f>ML_Sum!$C7</f>
        <v>1</v>
      </c>
      <c r="D7" s="462">
        <v>39364</v>
      </c>
      <c r="E7" s="463"/>
      <c r="F7" s="454">
        <f>ML_Sum!$F7</f>
        <v>0</v>
      </c>
      <c r="G7" s="464"/>
      <c r="H7"/>
      <c r="I7" s="238">
        <v>7</v>
      </c>
      <c r="J7" s="239">
        <f>ML_Sum!$J7</f>
        <v>1</v>
      </c>
      <c r="K7" s="239">
        <f>ML_Sum!$K7</f>
        <v>1</v>
      </c>
      <c r="L7" s="239">
        <f>ML_Sum!$L7</f>
        <v>1</v>
      </c>
      <c r="M7" s="239">
        <f>ML_Sum!$M7</f>
        <v>1</v>
      </c>
      <c r="N7" s="239">
        <f>ML_Sum!$N7</f>
        <v>1</v>
      </c>
      <c r="O7" s="239">
        <f>ML_Sum!$O7</f>
        <v>0</v>
      </c>
      <c r="P7"/>
      <c r="Q7" s="309">
        <f>ML_Sum!$Q7</f>
        <v>0</v>
      </c>
      <c r="R7" s="21" t="s">
        <v>13</v>
      </c>
      <c r="S7" s="310">
        <f>ML_Sum!$S7</f>
        <v>0</v>
      </c>
      <c r="T7" s="311">
        <f>ML_Sum!$T7</f>
        <v>0</v>
      </c>
      <c r="V7" s="282"/>
      <c r="W7" s="282"/>
      <c r="X7" s="282"/>
      <c r="Y7" s="282"/>
      <c r="Z7" s="282"/>
      <c r="AA7" s="282"/>
      <c r="AB7" s="282"/>
    </row>
    <row r="8" spans="1:31" s="30" customFormat="1" ht="13.8">
      <c r="A8" s="460"/>
      <c r="B8" s="458" t="s">
        <v>14</v>
      </c>
      <c r="C8" s="451">
        <f>ML_Sum!$C8</f>
        <v>1</v>
      </c>
      <c r="D8" s="452" t="str">
        <f>ML_Sum!$D8</f>
        <v>Umut Kaymak</v>
      </c>
      <c r="E8" s="457"/>
      <c r="F8" s="454">
        <f>ML_Sum!$F8</f>
        <v>0</v>
      </c>
      <c r="G8" s="465"/>
      <c r="H8"/>
      <c r="I8" s="238">
        <v>8</v>
      </c>
      <c r="J8" s="239">
        <f>ML_Sum!$J8</f>
        <v>1</v>
      </c>
      <c r="K8" s="239">
        <f>ML_Sum!$K8</f>
        <v>1</v>
      </c>
      <c r="L8" s="239">
        <f>ML_Sum!$L8</f>
        <v>1</v>
      </c>
      <c r="M8" s="239">
        <f>ML_Sum!$M8</f>
        <v>1</v>
      </c>
      <c r="N8" s="239">
        <f>ML_Sum!$N8</f>
        <v>1</v>
      </c>
      <c r="O8" s="239">
        <f>ML_Sum!$O8</f>
        <v>0</v>
      </c>
      <c r="P8"/>
      <c r="Q8" s="309">
        <f>ML_Sum!$Q8</f>
        <v>0</v>
      </c>
      <c r="R8" s="22" t="s">
        <v>15</v>
      </c>
      <c r="S8" s="310">
        <f>ML_Sum!$S8</f>
        <v>0</v>
      </c>
      <c r="T8" s="311">
        <f>ML_Sum!$T8</f>
        <v>0</v>
      </c>
      <c r="V8" s="282"/>
      <c r="W8" s="282"/>
      <c r="X8" s="282"/>
      <c r="Y8" s="282"/>
      <c r="Z8" s="282"/>
      <c r="AA8" s="282"/>
      <c r="AB8" s="282"/>
      <c r="AE8" s="280"/>
    </row>
    <row r="9" spans="1:31" s="30" customFormat="1" ht="13.8">
      <c r="A9" s="460"/>
      <c r="B9" s="458" t="s">
        <v>253</v>
      </c>
      <c r="C9" s="451">
        <f>ML_Sum!$C9</f>
        <v>1</v>
      </c>
      <c r="D9" s="452">
        <f>ML_Sum!$D9</f>
        <v>27.46</v>
      </c>
      <c r="E9" s="457"/>
      <c r="F9" s="454">
        <f>ML_Sum!$F9</f>
        <v>0</v>
      </c>
      <c r="G9" s="465"/>
      <c r="H9"/>
      <c r="I9" s="238">
        <v>9</v>
      </c>
      <c r="J9" s="239">
        <f>ML_Sum!$J9</f>
        <v>1</v>
      </c>
      <c r="K9" s="239">
        <f>ML_Sum!$K9</f>
        <v>1</v>
      </c>
      <c r="L9" s="239">
        <f>ML_Sum!$L9</f>
        <v>1</v>
      </c>
      <c r="M9" s="239">
        <f>ML_Sum!$M9</f>
        <v>1</v>
      </c>
      <c r="N9" s="239">
        <f>ML_Sum!$N9</f>
        <v>1</v>
      </c>
      <c r="O9" s="239">
        <f>ML_Sum!$O9</f>
        <v>0</v>
      </c>
      <c r="P9"/>
      <c r="Q9" s="309">
        <f>ML_Sum!$Q9</f>
        <v>0</v>
      </c>
      <c r="R9" s="23" t="s">
        <v>16</v>
      </c>
      <c r="S9" s="310">
        <f>ML_Sum!$S9</f>
        <v>0</v>
      </c>
      <c r="T9" s="311">
        <f>ML_Sum!$T9</f>
        <v>0</v>
      </c>
      <c r="V9" s="282"/>
      <c r="W9" s="282"/>
      <c r="X9" s="282"/>
      <c r="Y9" s="282"/>
      <c r="Z9" s="282"/>
      <c r="AA9" s="282"/>
      <c r="AB9" s="282"/>
      <c r="AE9" s="280"/>
    </row>
    <row r="10" spans="1:31" s="30" customFormat="1" ht="13.8">
      <c r="A10" s="460"/>
      <c r="B10" s="449"/>
      <c r="C10" s="451">
        <f>ML_Sum!$C10</f>
        <v>1</v>
      </c>
      <c r="D10" s="449"/>
      <c r="E10" s="457"/>
      <c r="F10" s="454">
        <f>ML_Sum!$F10</f>
        <v>0</v>
      </c>
      <c r="G10" s="465"/>
      <c r="H10"/>
      <c r="I10" s="238">
        <v>10</v>
      </c>
      <c r="J10" s="239">
        <f>ML_Sum!$J10</f>
        <v>1</v>
      </c>
      <c r="K10" s="239">
        <f>ML_Sum!$K10</f>
        <v>1</v>
      </c>
      <c r="L10" s="239">
        <f>ML_Sum!$L10</f>
        <v>1</v>
      </c>
      <c r="M10" s="239">
        <f>ML_Sum!$M10</f>
        <v>1</v>
      </c>
      <c r="N10" s="239">
        <f>ML_Sum!$N10</f>
        <v>1</v>
      </c>
      <c r="O10" s="239">
        <f>ML_Sum!$O10</f>
        <v>1</v>
      </c>
      <c r="P10"/>
      <c r="Q10" s="309">
        <f>ML_Sum!$Q10</f>
        <v>0</v>
      </c>
      <c r="R10" s="24" t="s">
        <v>17</v>
      </c>
      <c r="S10" s="310">
        <f>ML_Sum!$S10</f>
        <v>0</v>
      </c>
      <c r="T10" s="311">
        <f>ML_Sum!$T10</f>
        <v>0</v>
      </c>
      <c r="V10" s="282"/>
      <c r="W10" s="282"/>
      <c r="X10" s="282"/>
      <c r="Y10" s="282"/>
      <c r="Z10" s="282"/>
      <c r="AA10" s="282"/>
      <c r="AB10" s="282"/>
      <c r="AE10" s="280"/>
    </row>
    <row r="11" spans="1:31" s="30" customFormat="1" ht="13.8">
      <c r="A11" s="460"/>
      <c r="B11" s="449"/>
      <c r="C11" s="451">
        <f>ML_Sum!$C11</f>
        <v>1</v>
      </c>
      <c r="D11" s="449"/>
      <c r="E11" s="457"/>
      <c r="F11" s="454">
        <f>ML_Sum!$F11</f>
        <v>0</v>
      </c>
      <c r="G11" s="465"/>
      <c r="H11" s="465"/>
      <c r="I11" s="449"/>
      <c r="J11" s="449"/>
      <c r="K11" s="449"/>
      <c r="L11" s="449"/>
      <c r="M11" s="449"/>
      <c r="N11" s="449"/>
      <c r="O11" s="449"/>
      <c r="P11" s="465"/>
      <c r="Q11" s="309">
        <f>ML_Sum!$Q11</f>
        <v>0</v>
      </c>
      <c r="R11" s="25" t="s">
        <v>18</v>
      </c>
      <c r="S11" s="310">
        <f>ML_Sum!$S11</f>
        <v>0</v>
      </c>
      <c r="T11" s="311">
        <f>ML_Sum!$T11</f>
        <v>0</v>
      </c>
      <c r="V11" s="282"/>
      <c r="W11" s="282"/>
      <c r="X11" s="282"/>
      <c r="Y11" s="282"/>
      <c r="Z11" s="282"/>
      <c r="AA11" s="282"/>
      <c r="AB11" s="282"/>
      <c r="AE11" s="280"/>
    </row>
    <row r="12" spans="1:31" s="30" customFormat="1" ht="13.8">
      <c r="A12" s="460"/>
      <c r="B12" s="449"/>
      <c r="C12" s="451">
        <f>ML_Sum!$C12</f>
        <v>1</v>
      </c>
      <c r="D12" s="449"/>
      <c r="E12" s="457"/>
      <c r="F12" s="454">
        <f>ML_Sum!$F12</f>
        <v>0</v>
      </c>
      <c r="G12" s="465"/>
      <c r="H12" s="465"/>
      <c r="I12" s="449"/>
      <c r="J12" s="449"/>
      <c r="K12" s="449"/>
      <c r="L12" s="449"/>
      <c r="M12" s="449"/>
      <c r="N12" s="449"/>
      <c r="O12" s="449"/>
      <c r="P12" s="465"/>
      <c r="Q12" s="309">
        <f>ML_Sum!$Q12</f>
        <v>0</v>
      </c>
      <c r="R12" s="358" t="s">
        <v>197</v>
      </c>
      <c r="S12" s="310" t="str">
        <f>ML_Sum!$S12</f>
        <v>MAT MU</v>
      </c>
      <c r="T12" s="311" t="str">
        <f>ML_Sum!$T12</f>
        <v>LAB RATE</v>
      </c>
      <c r="V12" s="282"/>
      <c r="W12" s="282"/>
      <c r="X12" s="282"/>
      <c r="Y12" s="282"/>
      <c r="Z12" s="282"/>
      <c r="AA12" s="282"/>
      <c r="AB12" s="282"/>
      <c r="AE12" s="280"/>
    </row>
    <row r="13" spans="1:31" s="30" customFormat="1" ht="14.4" thickBot="1">
      <c r="A13" s="466"/>
      <c r="B13" s="467"/>
      <c r="C13" s="468"/>
      <c r="D13" s="469"/>
      <c r="E13" s="470"/>
      <c r="F13" s="471"/>
      <c r="G13" s="472" t="s">
        <v>19</v>
      </c>
      <c r="H13" s="472" t="s">
        <v>20</v>
      </c>
      <c r="I13" s="472" t="s">
        <v>21</v>
      </c>
      <c r="J13" s="472" t="s">
        <v>22</v>
      </c>
      <c r="K13" s="472" t="s">
        <v>23</v>
      </c>
      <c r="L13" s="472" t="s">
        <v>24</v>
      </c>
      <c r="M13" s="472" t="s">
        <v>25</v>
      </c>
      <c r="N13" s="472" t="s">
        <v>26</v>
      </c>
      <c r="O13" s="472" t="s">
        <v>27</v>
      </c>
      <c r="P13" s="472" t="s">
        <v>28</v>
      </c>
      <c r="Q13" s="26" t="s">
        <v>192</v>
      </c>
      <c r="R13" s="27" t="s">
        <v>30</v>
      </c>
      <c r="S13" s="28" t="s">
        <v>31</v>
      </c>
      <c r="T13" s="29" t="s">
        <v>32</v>
      </c>
      <c r="V13" s="282"/>
      <c r="W13" s="282"/>
      <c r="X13" s="282"/>
      <c r="Y13" s="282"/>
      <c r="Z13" s="282"/>
      <c r="AA13" s="282"/>
      <c r="AB13" s="282"/>
      <c r="AE13" s="281"/>
    </row>
    <row r="14" spans="1:31" s="489" customFormat="1" ht="11.4">
      <c r="A14" s="40"/>
      <c r="B14" s="40"/>
      <c r="C14" s="40"/>
      <c r="D14" s="40"/>
      <c r="E14" s="40"/>
      <c r="F14" s="40"/>
      <c r="G14" s="40"/>
      <c r="H14" s="40"/>
      <c r="I14" s="40"/>
      <c r="J14" s="40"/>
      <c r="K14" s="40"/>
      <c r="L14" s="40"/>
      <c r="M14" s="40"/>
      <c r="N14" s="40"/>
      <c r="O14" s="41"/>
      <c r="P14" s="40"/>
      <c r="Q14" s="37" t="s">
        <v>156</v>
      </c>
      <c r="R14" s="40"/>
      <c r="S14" s="11"/>
      <c r="T14" s="40"/>
    </row>
    <row r="15" spans="1:31" s="489" customFormat="1" ht="12" customHeight="1" thickBot="1">
      <c r="A15" s="535">
        <v>1</v>
      </c>
      <c r="B15" s="536">
        <f>$A15</f>
        <v>1</v>
      </c>
      <c r="C15" s="537"/>
      <c r="D15" s="538" t="s">
        <v>264</v>
      </c>
      <c r="E15" s="539"/>
      <c r="F15" s="539"/>
      <c r="G15" s="493"/>
      <c r="H15" s="493"/>
      <c r="I15" s="540"/>
      <c r="J15" s="493"/>
      <c r="K15" s="537" t="s">
        <v>157</v>
      </c>
      <c r="L15" s="541" t="s">
        <v>157</v>
      </c>
      <c r="M15" s="541"/>
      <c r="N15" s="541"/>
      <c r="O15" s="541"/>
      <c r="P15" s="541"/>
      <c r="Q15" s="542">
        <f>B15/A15</f>
        <v>1</v>
      </c>
      <c r="R15" s="548">
        <f>IF($B15=0,0,IF($S$1="R",ROUND(R23/$B15,2),R23/$B15))</f>
        <v>0</v>
      </c>
      <c r="S15" s="549"/>
      <c r="T15" s="548">
        <f>IF($B15=0,0,IF($S$1="R",ROUND(T23/$B15,2),T23/$B15))</f>
        <v>0</v>
      </c>
    </row>
    <row r="16" spans="1:31" s="489" customFormat="1" ht="13.8" thickTop="1">
      <c r="A16" s="492"/>
      <c r="B16" s="3"/>
      <c r="C16" s="3"/>
      <c r="D16" s="80" t="s">
        <v>158</v>
      </c>
      <c r="E16" s="3"/>
      <c r="F16" s="3"/>
      <c r="G16" s="3"/>
      <c r="H16" s="3"/>
      <c r="I16" s="3"/>
      <c r="J16" s="3"/>
      <c r="K16" s="3"/>
      <c r="L16" s="3"/>
      <c r="M16" s="3"/>
      <c r="N16" s="3"/>
      <c r="O16" s="81"/>
      <c r="P16" s="3"/>
      <c r="Q16" s="3"/>
      <c r="R16" s="3"/>
      <c r="S16" s="3"/>
      <c r="T16" s="3"/>
    </row>
    <row r="17" spans="1:28" s="489" customFormat="1" ht="12">
      <c r="A17" s="485"/>
      <c r="B17" s="485"/>
      <c r="C17" s="485"/>
      <c r="D17" s="485"/>
      <c r="E17" s="485"/>
      <c r="F17" s="486"/>
      <c r="G17" s="485"/>
      <c r="H17" s="485"/>
      <c r="I17" s="487"/>
      <c r="J17" s="485"/>
      <c r="K17" s="485"/>
      <c r="L17" s="485"/>
      <c r="M17" s="485"/>
      <c r="N17" s="485"/>
      <c r="O17" s="485"/>
      <c r="P17" s="485"/>
      <c r="Q17" s="487"/>
      <c r="R17" s="543">
        <f t="shared" ref="R17:R22" si="0">$A17*Q17</f>
        <v>0</v>
      </c>
      <c r="S17" s="487"/>
      <c r="T17" s="488">
        <f t="shared" ref="T17:T22" si="1">$A17*S17*$T$1</f>
        <v>0</v>
      </c>
    </row>
    <row r="18" spans="1:28" s="489" customFormat="1" ht="12">
      <c r="A18" s="485"/>
      <c r="B18" s="485"/>
      <c r="C18" s="485"/>
      <c r="D18" s="485"/>
      <c r="E18" s="485"/>
      <c r="F18" s="486"/>
      <c r="G18" s="485"/>
      <c r="H18" s="485"/>
      <c r="I18" s="487"/>
      <c r="J18" s="485"/>
      <c r="K18" s="485"/>
      <c r="L18" s="485"/>
      <c r="M18" s="485"/>
      <c r="N18" s="485"/>
      <c r="O18" s="485"/>
      <c r="P18" s="485"/>
      <c r="Q18" s="487"/>
      <c r="R18" s="543">
        <f t="shared" si="0"/>
        <v>0</v>
      </c>
      <c r="S18" s="487"/>
      <c r="T18" s="488">
        <f t="shared" si="1"/>
        <v>0</v>
      </c>
    </row>
    <row r="19" spans="1:28" s="489" customFormat="1" ht="12">
      <c r="A19" s="485"/>
      <c r="B19" s="485"/>
      <c r="C19" s="485"/>
      <c r="D19" s="485"/>
      <c r="E19" s="485"/>
      <c r="F19" s="486"/>
      <c r="G19" s="485"/>
      <c r="H19" s="485"/>
      <c r="I19" s="487"/>
      <c r="J19" s="485"/>
      <c r="K19" s="485"/>
      <c r="L19" s="485"/>
      <c r="M19" s="485"/>
      <c r="N19" s="485"/>
      <c r="O19" s="485"/>
      <c r="P19" s="485"/>
      <c r="Q19" s="487"/>
      <c r="R19" s="543">
        <f t="shared" si="0"/>
        <v>0</v>
      </c>
      <c r="S19" s="487"/>
      <c r="T19" s="488">
        <f t="shared" si="1"/>
        <v>0</v>
      </c>
    </row>
    <row r="20" spans="1:28" s="489" customFormat="1" ht="12">
      <c r="A20" s="485"/>
      <c r="B20" s="485"/>
      <c r="C20" s="485"/>
      <c r="D20" s="485"/>
      <c r="E20" s="485"/>
      <c r="F20" s="486"/>
      <c r="G20" s="485"/>
      <c r="H20" s="485"/>
      <c r="I20" s="487"/>
      <c r="J20" s="485"/>
      <c r="K20" s="485"/>
      <c r="L20" s="485"/>
      <c r="M20" s="485"/>
      <c r="N20" s="485"/>
      <c r="O20" s="485"/>
      <c r="P20" s="485"/>
      <c r="Q20" s="487"/>
      <c r="R20" s="543">
        <f t="shared" si="0"/>
        <v>0</v>
      </c>
      <c r="S20" s="487"/>
      <c r="T20" s="488">
        <f t="shared" si="1"/>
        <v>0</v>
      </c>
    </row>
    <row r="21" spans="1:28" s="489" customFormat="1" ht="12">
      <c r="A21" s="485"/>
      <c r="B21" s="485"/>
      <c r="C21" s="485"/>
      <c r="D21" s="485"/>
      <c r="E21" s="485"/>
      <c r="F21" s="486"/>
      <c r="G21" s="485"/>
      <c r="H21" s="485"/>
      <c r="I21" s="487"/>
      <c r="J21" s="485"/>
      <c r="K21" s="485"/>
      <c r="L21" s="485"/>
      <c r="M21" s="485"/>
      <c r="N21" s="485"/>
      <c r="O21" s="485"/>
      <c r="P21" s="485"/>
      <c r="Q21" s="487"/>
      <c r="R21" s="543">
        <f t="shared" si="0"/>
        <v>0</v>
      </c>
      <c r="S21" s="487"/>
      <c r="T21" s="488">
        <f t="shared" si="1"/>
        <v>0</v>
      </c>
    </row>
    <row r="22" spans="1:28" s="489" customFormat="1">
      <c r="A22" s="485"/>
      <c r="B22" s="3"/>
      <c r="C22" s="485" t="s">
        <v>159</v>
      </c>
      <c r="D22" s="3"/>
      <c r="E22" s="485"/>
      <c r="F22" s="486"/>
      <c r="G22" s="485"/>
      <c r="H22" s="485"/>
      <c r="I22" s="487"/>
      <c r="J22" s="485"/>
      <c r="K22" s="485"/>
      <c r="L22" s="485"/>
      <c r="M22" s="485"/>
      <c r="N22" s="485"/>
      <c r="O22" s="485"/>
      <c r="P22" s="485"/>
      <c r="Q22" s="487"/>
      <c r="R22" s="543">
        <f t="shared" si="0"/>
        <v>0</v>
      </c>
      <c r="S22" s="487"/>
      <c r="T22" s="488">
        <f t="shared" si="1"/>
        <v>0</v>
      </c>
    </row>
    <row r="23" spans="1:28" s="489" customFormat="1" ht="12.6" thickBot="1">
      <c r="A23" s="500" t="s">
        <v>144</v>
      </c>
      <c r="B23" s="501">
        <f>(R22+T22)</f>
        <v>0</v>
      </c>
      <c r="C23" s="502"/>
      <c r="D23" s="544" t="s">
        <v>160</v>
      </c>
      <c r="E23" s="443">
        <f>IF($B15=0,0,ROUND(ROUND(($R23*$S$2+($T23*$T$2))/$B15, 2)*$C$2,2))</f>
        <v>0</v>
      </c>
      <c r="F23" s="444">
        <f>ROUND($B15*$E23,2)</f>
        <v>0</v>
      </c>
      <c r="G23" s="502"/>
      <c r="H23" s="502"/>
      <c r="I23" s="503"/>
      <c r="J23" s="502"/>
      <c r="K23" s="545" t="s">
        <v>142</v>
      </c>
      <c r="L23" s="504" t="s">
        <v>142</v>
      </c>
      <c r="M23" s="504"/>
      <c r="N23" s="504"/>
      <c r="O23" s="504"/>
      <c r="P23" s="504"/>
      <c r="Q23" s="545"/>
      <c r="R23" s="546">
        <f>SUM(R16:R22)</f>
        <v>0</v>
      </c>
      <c r="S23" s="547"/>
      <c r="T23" s="546">
        <f>SUM(T16:T22)</f>
        <v>0</v>
      </c>
      <c r="U23" s="505"/>
      <c r="V23" s="505"/>
      <c r="W23" s="505"/>
      <c r="X23" s="505"/>
      <c r="Y23" s="505"/>
      <c r="Z23" s="505"/>
      <c r="AA23" s="505"/>
      <c r="AB23" s="505"/>
    </row>
    <row r="24" spans="1:28" ht="13.8" thickTop="1">
      <c r="A24" s="38" t="s">
        <v>148</v>
      </c>
      <c r="B24"/>
      <c r="C24"/>
      <c r="D24"/>
      <c r="E24"/>
      <c r="F24"/>
      <c r="G24"/>
      <c r="H24"/>
      <c r="I24"/>
      <c r="J24"/>
      <c r="K24"/>
      <c r="L24"/>
      <c r="M24"/>
      <c r="N24"/>
      <c r="O24" s="82"/>
      <c r="P24"/>
      <c r="Q24"/>
      <c r="R24"/>
      <c r="S24"/>
      <c r="T24"/>
    </row>
    <row r="25" spans="1:28" ht="14.4" thickBot="1">
      <c r="A25" s="38" t="s">
        <v>148</v>
      </c>
      <c r="B25" s="1"/>
      <c r="C25" s="31"/>
      <c r="D25" s="83" t="s">
        <v>161</v>
      </c>
      <c r="E25" s="1"/>
      <c r="F25" s="3"/>
      <c r="G25" s="3"/>
      <c r="H25" s="3"/>
      <c r="I25" s="3"/>
      <c r="J25" s="3"/>
      <c r="K25" s="3"/>
      <c r="L25" s="3"/>
      <c r="M25" s="3"/>
      <c r="N25" s="3"/>
      <c r="O25" s="81"/>
      <c r="P25" s="3"/>
      <c r="Q25" s="3"/>
      <c r="R25" s="84" t="s">
        <v>34</v>
      </c>
      <c r="S25" s="85"/>
      <c r="T25" s="84" t="s">
        <v>35</v>
      </c>
    </row>
    <row r="26" spans="1:28" ht="13.8" thickTop="1">
      <c r="A26" s="38" t="s">
        <v>148</v>
      </c>
      <c r="B26" s="3"/>
      <c r="C26" s="31"/>
      <c r="D26" s="1"/>
      <c r="E26" s="1"/>
      <c r="F26" s="31"/>
      <c r="G26" s="1"/>
      <c r="H26" s="1"/>
      <c r="I26" s="1"/>
      <c r="J26" s="1"/>
      <c r="K26" s="3"/>
      <c r="L26" s="1"/>
      <c r="M26" s="1"/>
      <c r="N26" s="1"/>
      <c r="O26" s="86"/>
      <c r="P26" s="1"/>
      <c r="Q26" s="1"/>
      <c r="R26" s="1"/>
      <c r="S26" s="1"/>
      <c r="T26" s="1"/>
    </row>
    <row r="27" spans="1:28" ht="13.8" thickBot="1">
      <c r="A27" s="38" t="s">
        <v>148</v>
      </c>
      <c r="B27" s="3"/>
      <c r="C27" s="31"/>
      <c r="D27" s="42" t="s">
        <v>162</v>
      </c>
      <c r="E27" s="1"/>
      <c r="F27" s="1"/>
      <c r="G27" s="31"/>
      <c r="H27" s="31"/>
      <c r="I27" s="31"/>
      <c r="J27" s="31"/>
      <c r="K27" s="3"/>
      <c r="L27" s="87" t="s">
        <v>163</v>
      </c>
      <c r="M27" s="87"/>
      <c r="N27" s="87"/>
      <c r="O27" s="88"/>
      <c r="P27" s="87"/>
      <c r="Q27" s="31"/>
      <c r="R27" s="89">
        <f>SUMIF($L$12:$L25,"",R$12:R25)</f>
        <v>0</v>
      </c>
      <c r="S27" s="90"/>
      <c r="T27" s="89">
        <f>SUMIF($L$12:$L25,"",T$12:T25)</f>
        <v>0</v>
      </c>
    </row>
    <row r="28" spans="1:28" ht="13.8" thickBot="1">
      <c r="A28" s="38" t="s">
        <v>148</v>
      </c>
      <c r="B28" s="3"/>
      <c r="C28" s="31"/>
      <c r="D28" s="42" t="s">
        <v>164</v>
      </c>
      <c r="E28" s="1"/>
      <c r="F28" s="3"/>
      <c r="G28" s="3"/>
      <c r="H28" s="3"/>
      <c r="I28" s="3"/>
      <c r="J28" s="3"/>
      <c r="K28" s="3"/>
      <c r="L28" s="87" t="s">
        <v>165</v>
      </c>
      <c r="M28" s="87"/>
      <c r="N28" s="87"/>
      <c r="O28" s="88"/>
      <c r="P28" s="87"/>
      <c r="Q28" s="3"/>
      <c r="R28" s="91">
        <f>SUMIF($L$12:$L25,"ITEM",R$12:R25)</f>
        <v>0</v>
      </c>
      <c r="S28" s="92"/>
      <c r="T28" s="91">
        <f>SUMIF($L$12:$L25,"ITEM",T$12:T25)</f>
        <v>0</v>
      </c>
    </row>
    <row r="29" spans="1:28" ht="13.8" thickBot="1">
      <c r="A29" s="43" t="s">
        <v>146</v>
      </c>
      <c r="B29" s="7"/>
      <c r="C29" s="39"/>
      <c r="D29" s="7"/>
      <c r="E29" s="7"/>
      <c r="F29" s="7"/>
      <c r="G29" s="7"/>
      <c r="H29" s="7"/>
      <c r="I29" s="7"/>
      <c r="J29" s="7"/>
      <c r="K29" s="7"/>
      <c r="L29" s="7"/>
      <c r="M29" s="7"/>
      <c r="N29" s="7"/>
      <c r="O29" s="93"/>
      <c r="P29" s="7"/>
      <c r="Q29" s="7"/>
      <c r="R29" s="7"/>
      <c r="S29" s="7"/>
      <c r="T29" s="7"/>
      <c r="U29" s="62"/>
      <c r="V29" s="62"/>
      <c r="W29" s="62"/>
      <c r="X29" s="62"/>
      <c r="Y29" s="62"/>
      <c r="Z29" s="62"/>
      <c r="AA29" s="62"/>
      <c r="AB29" s="62"/>
    </row>
    <row r="30" spans="1:28" ht="13.8" thickTop="1">
      <c r="A30" s="44"/>
      <c r="B30" s="442" t="s">
        <v>71</v>
      </c>
      <c r="C30" s="4"/>
      <c r="D30" s="45"/>
      <c r="E30" s="46" t="s">
        <v>149</v>
      </c>
      <c r="F30" s="47"/>
      <c r="G30" s="47"/>
      <c r="H30" s="47"/>
      <c r="I30" s="47"/>
      <c r="J30" s="47"/>
      <c r="K30" s="47"/>
      <c r="L30" s="47"/>
      <c r="M30" s="47"/>
      <c r="N30" s="47"/>
      <c r="O30" s="48"/>
      <c r="P30" s="47"/>
      <c r="Q30" s="49"/>
      <c r="R30" s="50">
        <f>SUM(R31:R86)</f>
        <v>0</v>
      </c>
      <c r="S30" s="51"/>
      <c r="T30" s="50">
        <f>SUM(T31:T86)</f>
        <v>0</v>
      </c>
    </row>
    <row r="31" spans="1:28">
      <c r="A31" s="52"/>
      <c r="B31" s="446">
        <v>1</v>
      </c>
      <c r="C31" s="4" t="s">
        <v>73</v>
      </c>
      <c r="D31" s="33" t="s">
        <v>74</v>
      </c>
      <c r="F31" s="53">
        <v>501</v>
      </c>
      <c r="O31" s="54"/>
      <c r="P31" s="33">
        <v>1</v>
      </c>
      <c r="R31" s="55">
        <f t="shared" ref="R31:R62" si="2">SUMIF($H$12:$H$24,$F31,R$12:R$24)</f>
        <v>0</v>
      </c>
      <c r="S31" s="56"/>
      <c r="T31" s="55">
        <f t="shared" ref="T31:T62" si="3">SUMIF($H$12:$H$24,$F31,T$12:T$24)</f>
        <v>0</v>
      </c>
    </row>
    <row r="32" spans="1:28">
      <c r="A32" s="52"/>
      <c r="B32" s="446">
        <v>2</v>
      </c>
      <c r="C32" s="4" t="s">
        <v>73</v>
      </c>
      <c r="D32" s="33" t="s">
        <v>75</v>
      </c>
      <c r="F32" s="53">
        <v>505</v>
      </c>
      <c r="O32" s="54"/>
      <c r="P32" s="33">
        <v>1</v>
      </c>
      <c r="R32" s="55">
        <f t="shared" si="2"/>
        <v>0</v>
      </c>
      <c r="S32" s="56"/>
      <c r="T32" s="55">
        <f t="shared" si="3"/>
        <v>0</v>
      </c>
    </row>
    <row r="33" spans="1:20">
      <c r="A33" s="52"/>
      <c r="B33" s="446">
        <v>3</v>
      </c>
      <c r="C33" s="4" t="s">
        <v>73</v>
      </c>
      <c r="D33" s="33" t="s">
        <v>76</v>
      </c>
      <c r="F33" s="53">
        <v>510</v>
      </c>
      <c r="O33" s="54"/>
      <c r="P33" s="33">
        <v>2</v>
      </c>
      <c r="R33" s="55">
        <f t="shared" si="2"/>
        <v>0</v>
      </c>
      <c r="S33" s="56"/>
      <c r="T33" s="55">
        <f t="shared" si="3"/>
        <v>0</v>
      </c>
    </row>
    <row r="34" spans="1:20">
      <c r="A34" s="52"/>
      <c r="B34" s="446">
        <v>4</v>
      </c>
      <c r="C34" s="4" t="s">
        <v>73</v>
      </c>
      <c r="D34" s="33" t="s">
        <v>77</v>
      </c>
      <c r="F34" s="53">
        <v>511</v>
      </c>
      <c r="O34" s="54"/>
      <c r="P34" s="33">
        <v>2</v>
      </c>
      <c r="R34" s="55">
        <f t="shared" si="2"/>
        <v>0</v>
      </c>
      <c r="S34" s="56"/>
      <c r="T34" s="55">
        <f t="shared" si="3"/>
        <v>0</v>
      </c>
    </row>
    <row r="35" spans="1:20">
      <c r="A35" s="52"/>
      <c r="B35" s="446">
        <v>5</v>
      </c>
      <c r="C35" s="4" t="s">
        <v>73</v>
      </c>
      <c r="D35" s="33" t="s">
        <v>78</v>
      </c>
      <c r="F35" s="53">
        <v>512</v>
      </c>
      <c r="O35" s="54"/>
      <c r="P35" s="33">
        <v>2</v>
      </c>
      <c r="R35" s="55">
        <f t="shared" si="2"/>
        <v>0</v>
      </c>
      <c r="S35" s="56"/>
      <c r="T35" s="55">
        <f t="shared" si="3"/>
        <v>0</v>
      </c>
    </row>
    <row r="36" spans="1:20">
      <c r="A36" s="52"/>
      <c r="B36" s="446">
        <v>6</v>
      </c>
      <c r="C36" s="4" t="s">
        <v>73</v>
      </c>
      <c r="D36" s="33" t="s">
        <v>79</v>
      </c>
      <c r="F36" s="53">
        <v>520</v>
      </c>
      <c r="O36" s="54"/>
      <c r="P36" s="33">
        <v>1</v>
      </c>
      <c r="R36" s="55">
        <f t="shared" si="2"/>
        <v>0</v>
      </c>
      <c r="S36" s="56"/>
      <c r="T36" s="55">
        <f t="shared" si="3"/>
        <v>0</v>
      </c>
    </row>
    <row r="37" spans="1:20">
      <c r="A37" s="52"/>
      <c r="B37" s="446">
        <v>7</v>
      </c>
      <c r="C37" s="4" t="s">
        <v>73</v>
      </c>
      <c r="D37" s="33" t="s">
        <v>80</v>
      </c>
      <c r="F37" s="53">
        <v>530</v>
      </c>
      <c r="O37" s="54"/>
      <c r="P37" s="33">
        <v>2</v>
      </c>
      <c r="R37" s="55">
        <f t="shared" si="2"/>
        <v>0</v>
      </c>
      <c r="S37" s="56"/>
      <c r="T37" s="55">
        <f t="shared" si="3"/>
        <v>0</v>
      </c>
    </row>
    <row r="38" spans="1:20">
      <c r="A38" s="52"/>
      <c r="B38" s="446">
        <v>8</v>
      </c>
      <c r="C38" s="4" t="s">
        <v>73</v>
      </c>
      <c r="D38" s="33" t="s">
        <v>81</v>
      </c>
      <c r="F38" s="53">
        <v>550</v>
      </c>
      <c r="O38" s="54"/>
      <c r="P38" s="33">
        <v>2</v>
      </c>
      <c r="R38" s="55">
        <f t="shared" si="2"/>
        <v>0</v>
      </c>
      <c r="S38" s="56"/>
      <c r="T38" s="55">
        <f t="shared" si="3"/>
        <v>0</v>
      </c>
    </row>
    <row r="39" spans="1:20">
      <c r="A39" s="52"/>
      <c r="B39" s="446">
        <v>9</v>
      </c>
      <c r="C39" s="4" t="s">
        <v>73</v>
      </c>
      <c r="D39" s="33" t="s">
        <v>82</v>
      </c>
      <c r="F39" s="53">
        <v>570</v>
      </c>
      <c r="O39" s="54"/>
      <c r="P39" s="33">
        <v>2</v>
      </c>
      <c r="R39" s="55">
        <f t="shared" si="2"/>
        <v>0</v>
      </c>
      <c r="S39" s="56"/>
      <c r="T39" s="55">
        <f t="shared" si="3"/>
        <v>0</v>
      </c>
    </row>
    <row r="40" spans="1:20">
      <c r="A40" s="52"/>
      <c r="B40" s="446">
        <v>10</v>
      </c>
      <c r="C40" s="4" t="s">
        <v>73</v>
      </c>
      <c r="D40" s="33" t="s">
        <v>83</v>
      </c>
      <c r="F40" s="53">
        <v>615</v>
      </c>
      <c r="O40" s="54"/>
      <c r="P40" s="33">
        <v>2</v>
      </c>
      <c r="R40" s="55">
        <f t="shared" si="2"/>
        <v>0</v>
      </c>
      <c r="S40" s="56"/>
      <c r="T40" s="55">
        <f t="shared" si="3"/>
        <v>0</v>
      </c>
    </row>
    <row r="41" spans="1:20">
      <c r="A41" s="52"/>
      <c r="B41" s="446">
        <v>11</v>
      </c>
      <c r="C41" s="4" t="s">
        <v>73</v>
      </c>
      <c r="D41" s="33" t="s">
        <v>85</v>
      </c>
      <c r="F41" s="53">
        <v>616</v>
      </c>
      <c r="O41" s="54"/>
      <c r="P41" s="33">
        <v>2</v>
      </c>
      <c r="R41" s="55">
        <f t="shared" si="2"/>
        <v>0</v>
      </c>
      <c r="S41" s="56"/>
      <c r="T41" s="55">
        <f t="shared" si="3"/>
        <v>0</v>
      </c>
    </row>
    <row r="42" spans="1:20">
      <c r="A42" s="52"/>
      <c r="B42" s="446">
        <v>12</v>
      </c>
      <c r="C42" s="4" t="s">
        <v>73</v>
      </c>
      <c r="D42" s="33" t="s">
        <v>86</v>
      </c>
      <c r="F42" s="53">
        <v>617</v>
      </c>
      <c r="O42" s="54"/>
      <c r="P42" s="33">
        <v>2</v>
      </c>
      <c r="R42" s="55">
        <f t="shared" si="2"/>
        <v>0</v>
      </c>
      <c r="S42" s="56"/>
      <c r="T42" s="55">
        <f t="shared" si="3"/>
        <v>0</v>
      </c>
    </row>
    <row r="43" spans="1:20">
      <c r="A43" s="52"/>
      <c r="B43" s="446">
        <v>13</v>
      </c>
      <c r="C43" s="4" t="s">
        <v>73</v>
      </c>
      <c r="D43" s="33" t="s">
        <v>150</v>
      </c>
      <c r="F43" s="53">
        <v>620</v>
      </c>
      <c r="O43" s="54"/>
      <c r="P43" s="33">
        <v>2</v>
      </c>
      <c r="R43" s="55">
        <f t="shared" si="2"/>
        <v>0</v>
      </c>
      <c r="S43" s="56"/>
      <c r="T43" s="55">
        <f t="shared" si="3"/>
        <v>0</v>
      </c>
    </row>
    <row r="44" spans="1:20">
      <c r="A44" s="52"/>
      <c r="B44" s="446">
        <v>14</v>
      </c>
      <c r="C44" s="4" t="s">
        <v>73</v>
      </c>
      <c r="D44" s="33" t="s">
        <v>88</v>
      </c>
      <c r="F44" s="53">
        <v>650</v>
      </c>
      <c r="O44" s="54"/>
      <c r="P44" s="33">
        <v>1</v>
      </c>
      <c r="R44" s="55">
        <f t="shared" si="2"/>
        <v>0</v>
      </c>
      <c r="S44" s="56"/>
      <c r="T44" s="55">
        <f t="shared" si="3"/>
        <v>0</v>
      </c>
    </row>
    <row r="45" spans="1:20">
      <c r="A45" s="52"/>
      <c r="B45" s="446">
        <v>15</v>
      </c>
      <c r="C45" s="4" t="s">
        <v>73</v>
      </c>
      <c r="D45" s="33" t="s">
        <v>89</v>
      </c>
      <c r="F45" s="53">
        <v>651</v>
      </c>
      <c r="O45" s="54"/>
      <c r="P45" s="33">
        <v>1</v>
      </c>
      <c r="R45" s="55">
        <f t="shared" si="2"/>
        <v>0</v>
      </c>
      <c r="S45" s="56"/>
      <c r="T45" s="55">
        <f t="shared" si="3"/>
        <v>0</v>
      </c>
    </row>
    <row r="46" spans="1:20">
      <c r="A46" s="52"/>
      <c r="B46" s="446">
        <v>16</v>
      </c>
      <c r="C46" s="4" t="s">
        <v>73</v>
      </c>
      <c r="D46" s="33" t="s">
        <v>90</v>
      </c>
      <c r="F46" s="53">
        <v>652</v>
      </c>
      <c r="O46" s="54"/>
      <c r="P46" s="33">
        <v>1</v>
      </c>
      <c r="R46" s="55">
        <f t="shared" si="2"/>
        <v>0</v>
      </c>
      <c r="S46" s="56"/>
      <c r="T46" s="55">
        <f t="shared" si="3"/>
        <v>0</v>
      </c>
    </row>
    <row r="47" spans="1:20">
      <c r="A47" s="52"/>
      <c r="B47" s="446">
        <v>17</v>
      </c>
      <c r="C47" s="4" t="s">
        <v>73</v>
      </c>
      <c r="D47" s="33" t="s">
        <v>91</v>
      </c>
      <c r="F47" s="53">
        <v>654</v>
      </c>
      <c r="O47" s="54"/>
      <c r="P47" s="33">
        <v>1</v>
      </c>
      <c r="R47" s="55">
        <f t="shared" si="2"/>
        <v>0</v>
      </c>
      <c r="S47" s="56"/>
      <c r="T47" s="55">
        <f t="shared" si="3"/>
        <v>0</v>
      </c>
    </row>
    <row r="48" spans="1:20">
      <c r="A48" s="52"/>
      <c r="B48" s="446">
        <v>18</v>
      </c>
      <c r="C48" s="4" t="s">
        <v>73</v>
      </c>
      <c r="D48" s="33" t="s">
        <v>92</v>
      </c>
      <c r="F48" s="53">
        <v>675</v>
      </c>
      <c r="O48" s="54"/>
      <c r="P48" s="33">
        <v>1</v>
      </c>
      <c r="R48" s="55">
        <f t="shared" si="2"/>
        <v>0</v>
      </c>
      <c r="S48" s="56"/>
      <c r="T48" s="55">
        <f t="shared" si="3"/>
        <v>0</v>
      </c>
    </row>
    <row r="49" spans="1:20">
      <c r="A49" s="52"/>
      <c r="B49" s="446">
        <v>19</v>
      </c>
      <c r="C49" s="4" t="s">
        <v>73</v>
      </c>
      <c r="D49" s="33" t="s">
        <v>93</v>
      </c>
      <c r="F49" s="53">
        <v>676</v>
      </c>
      <c r="O49" s="54"/>
      <c r="P49" s="33">
        <v>1</v>
      </c>
      <c r="R49" s="55">
        <f t="shared" si="2"/>
        <v>0</v>
      </c>
      <c r="S49" s="56"/>
      <c r="T49" s="55">
        <f t="shared" si="3"/>
        <v>0</v>
      </c>
    </row>
    <row r="50" spans="1:20">
      <c r="A50" s="52"/>
      <c r="B50" s="446">
        <v>20</v>
      </c>
      <c r="C50" s="4" t="s">
        <v>73</v>
      </c>
      <c r="D50" s="33" t="s">
        <v>94</v>
      </c>
      <c r="F50" s="53">
        <v>680</v>
      </c>
      <c r="O50" s="54"/>
      <c r="P50" s="33">
        <v>1</v>
      </c>
      <c r="R50" s="55">
        <f t="shared" si="2"/>
        <v>0</v>
      </c>
      <c r="S50" s="56"/>
      <c r="T50" s="55">
        <f t="shared" si="3"/>
        <v>0</v>
      </c>
    </row>
    <row r="51" spans="1:20">
      <c r="A51" s="52"/>
      <c r="B51" s="446">
        <v>21</v>
      </c>
      <c r="C51" s="4" t="s">
        <v>73</v>
      </c>
      <c r="D51" s="33" t="s">
        <v>96</v>
      </c>
      <c r="F51" s="53">
        <v>681</v>
      </c>
      <c r="O51" s="54"/>
      <c r="P51" s="33">
        <v>1</v>
      </c>
      <c r="R51" s="55">
        <f t="shared" si="2"/>
        <v>0</v>
      </c>
      <c r="S51" s="56"/>
      <c r="T51" s="55">
        <f t="shared" si="3"/>
        <v>0</v>
      </c>
    </row>
    <row r="52" spans="1:20">
      <c r="A52" s="52"/>
      <c r="B52" s="446">
        <v>22</v>
      </c>
      <c r="C52" s="4" t="s">
        <v>73</v>
      </c>
      <c r="D52" s="33" t="s">
        <v>97</v>
      </c>
      <c r="F52" s="53">
        <v>690</v>
      </c>
      <c r="O52" s="54"/>
      <c r="P52" s="33">
        <v>1</v>
      </c>
      <c r="R52" s="55">
        <f t="shared" si="2"/>
        <v>0</v>
      </c>
      <c r="S52" s="56"/>
      <c r="T52" s="55">
        <f t="shared" si="3"/>
        <v>0</v>
      </c>
    </row>
    <row r="53" spans="1:20">
      <c r="A53" s="52"/>
      <c r="B53" s="446">
        <v>23</v>
      </c>
      <c r="C53" s="4" t="s">
        <v>73</v>
      </c>
      <c r="D53" s="33" t="s">
        <v>98</v>
      </c>
      <c r="F53" s="53">
        <v>700</v>
      </c>
      <c r="O53" s="54"/>
      <c r="P53" s="33">
        <v>1</v>
      </c>
      <c r="R53" s="55">
        <f t="shared" si="2"/>
        <v>0</v>
      </c>
      <c r="S53" s="56"/>
      <c r="T53" s="55">
        <f t="shared" si="3"/>
        <v>0</v>
      </c>
    </row>
    <row r="54" spans="1:20">
      <c r="A54" s="52"/>
      <c r="B54" s="446">
        <v>24</v>
      </c>
      <c r="C54" s="4" t="s">
        <v>73</v>
      </c>
      <c r="D54" s="33" t="s">
        <v>99</v>
      </c>
      <c r="F54" s="53">
        <v>705</v>
      </c>
      <c r="O54" s="54"/>
      <c r="P54" s="33">
        <v>3</v>
      </c>
      <c r="R54" s="55">
        <f t="shared" si="2"/>
        <v>0</v>
      </c>
      <c r="S54" s="56"/>
      <c r="T54" s="55">
        <f t="shared" si="3"/>
        <v>0</v>
      </c>
    </row>
    <row r="55" spans="1:20">
      <c r="A55" s="52"/>
      <c r="B55" s="446">
        <v>25</v>
      </c>
      <c r="C55" s="4" t="s">
        <v>73</v>
      </c>
      <c r="D55" s="33" t="s">
        <v>100</v>
      </c>
      <c r="F55" s="53">
        <v>706</v>
      </c>
      <c r="O55" s="54"/>
      <c r="P55" s="33">
        <v>3</v>
      </c>
      <c r="R55" s="55">
        <f t="shared" si="2"/>
        <v>0</v>
      </c>
      <c r="S55" s="56"/>
      <c r="T55" s="55">
        <f t="shared" si="3"/>
        <v>0</v>
      </c>
    </row>
    <row r="56" spans="1:20">
      <c r="A56" s="52"/>
      <c r="B56" s="446">
        <v>26</v>
      </c>
      <c r="C56" s="4" t="s">
        <v>73</v>
      </c>
      <c r="D56" s="33" t="s">
        <v>101</v>
      </c>
      <c r="F56" s="53">
        <v>725</v>
      </c>
      <c r="O56" s="54"/>
      <c r="P56" s="33">
        <v>3</v>
      </c>
      <c r="R56" s="55">
        <f t="shared" si="2"/>
        <v>0</v>
      </c>
      <c r="S56" s="56"/>
      <c r="T56" s="55">
        <f t="shared" si="3"/>
        <v>0</v>
      </c>
    </row>
    <row r="57" spans="1:20">
      <c r="A57" s="52"/>
      <c r="B57" s="446">
        <v>27</v>
      </c>
      <c r="C57" s="4" t="s">
        <v>73</v>
      </c>
      <c r="D57" s="33" t="s">
        <v>102</v>
      </c>
      <c r="F57" s="53">
        <v>726</v>
      </c>
      <c r="O57" s="54"/>
      <c r="P57" s="33">
        <v>3</v>
      </c>
      <c r="R57" s="55">
        <f t="shared" si="2"/>
        <v>0</v>
      </c>
      <c r="S57" s="56"/>
      <c r="T57" s="55">
        <f t="shared" si="3"/>
        <v>0</v>
      </c>
    </row>
    <row r="58" spans="1:20">
      <c r="A58" s="52"/>
      <c r="B58" s="446">
        <v>28</v>
      </c>
      <c r="C58" s="4" t="s">
        <v>73</v>
      </c>
      <c r="D58" s="33" t="s">
        <v>103</v>
      </c>
      <c r="F58" s="53">
        <v>750</v>
      </c>
      <c r="O58" s="54"/>
      <c r="P58" s="33">
        <v>3</v>
      </c>
      <c r="R58" s="55">
        <f t="shared" si="2"/>
        <v>0</v>
      </c>
      <c r="S58" s="56"/>
      <c r="T58" s="55">
        <f t="shared" si="3"/>
        <v>0</v>
      </c>
    </row>
    <row r="59" spans="1:20">
      <c r="A59" s="52"/>
      <c r="B59" s="446">
        <v>29</v>
      </c>
      <c r="C59" s="4" t="s">
        <v>73</v>
      </c>
      <c r="D59" s="33" t="s">
        <v>104</v>
      </c>
      <c r="F59" s="53">
        <v>751</v>
      </c>
      <c r="O59" s="54"/>
      <c r="P59" s="33">
        <v>3</v>
      </c>
      <c r="R59" s="55">
        <f t="shared" si="2"/>
        <v>0</v>
      </c>
      <c r="S59" s="56"/>
      <c r="T59" s="55">
        <f t="shared" si="3"/>
        <v>0</v>
      </c>
    </row>
    <row r="60" spans="1:20">
      <c r="A60" s="52"/>
      <c r="B60" s="446">
        <v>30</v>
      </c>
      <c r="C60" s="4" t="s">
        <v>73</v>
      </c>
      <c r="D60" s="33" t="s">
        <v>105</v>
      </c>
      <c r="F60" s="53">
        <v>752</v>
      </c>
      <c r="O60" s="54"/>
      <c r="P60" s="33">
        <v>3</v>
      </c>
      <c r="R60" s="55">
        <f t="shared" si="2"/>
        <v>0</v>
      </c>
      <c r="S60" s="56"/>
      <c r="T60" s="55">
        <f t="shared" si="3"/>
        <v>0</v>
      </c>
    </row>
    <row r="61" spans="1:20">
      <c r="A61" s="52"/>
      <c r="B61" s="446">
        <v>31</v>
      </c>
      <c r="C61" s="4" t="s">
        <v>73</v>
      </c>
      <c r="D61" s="530" t="s">
        <v>254</v>
      </c>
      <c r="F61" s="53">
        <v>753</v>
      </c>
      <c r="O61" s="54"/>
      <c r="P61" s="33">
        <v>3</v>
      </c>
      <c r="R61" s="55">
        <f t="shared" si="2"/>
        <v>0</v>
      </c>
      <c r="S61" s="56"/>
      <c r="T61" s="55">
        <f t="shared" si="3"/>
        <v>0</v>
      </c>
    </row>
    <row r="62" spans="1:20">
      <c r="A62" s="52"/>
      <c r="B62" s="446">
        <v>32</v>
      </c>
      <c r="C62" s="4" t="s">
        <v>73</v>
      </c>
      <c r="D62" s="33" t="s">
        <v>107</v>
      </c>
      <c r="F62" s="53">
        <v>770</v>
      </c>
      <c r="O62" s="54"/>
      <c r="P62" s="33">
        <v>3</v>
      </c>
      <c r="R62" s="55">
        <f t="shared" si="2"/>
        <v>0</v>
      </c>
      <c r="S62" s="56"/>
      <c r="T62" s="55">
        <f t="shared" si="3"/>
        <v>0</v>
      </c>
    </row>
    <row r="63" spans="1:20">
      <c r="A63" s="52"/>
      <c r="B63" s="446">
        <v>33</v>
      </c>
      <c r="C63" s="4" t="s">
        <v>73</v>
      </c>
      <c r="D63" s="33" t="s">
        <v>108</v>
      </c>
      <c r="F63" s="53">
        <v>790</v>
      </c>
      <c r="O63" s="54"/>
      <c r="P63" s="33">
        <v>3</v>
      </c>
      <c r="R63" s="55">
        <f t="shared" ref="R63:R86" si="4">SUMIF($H$12:$H$24,$F63,R$12:R$24)</f>
        <v>0</v>
      </c>
      <c r="S63" s="56"/>
      <c r="T63" s="55">
        <f t="shared" ref="T63:T86" si="5">SUMIF($H$12:$H$24,$F63,T$12:T$24)</f>
        <v>0</v>
      </c>
    </row>
    <row r="64" spans="1:20">
      <c r="A64" s="52"/>
      <c r="B64" s="446">
        <v>34</v>
      </c>
      <c r="C64" s="4" t="s">
        <v>73</v>
      </c>
      <c r="D64" s="33" t="s">
        <v>109</v>
      </c>
      <c r="F64" s="53">
        <v>791</v>
      </c>
      <c r="O64" s="54"/>
      <c r="P64" s="33">
        <v>3</v>
      </c>
      <c r="R64" s="55">
        <f t="shared" si="4"/>
        <v>0</v>
      </c>
      <c r="S64" s="56"/>
      <c r="T64" s="55">
        <f t="shared" si="5"/>
        <v>0</v>
      </c>
    </row>
    <row r="65" spans="1:20">
      <c r="A65" s="52"/>
      <c r="B65" s="446">
        <v>35</v>
      </c>
      <c r="C65" s="4" t="s">
        <v>73</v>
      </c>
      <c r="D65" s="33" t="s">
        <v>110</v>
      </c>
      <c r="F65" s="53">
        <v>810</v>
      </c>
      <c r="O65" s="54"/>
      <c r="P65" s="33">
        <v>3</v>
      </c>
      <c r="R65" s="55">
        <f t="shared" si="4"/>
        <v>0</v>
      </c>
      <c r="S65" s="56"/>
      <c r="T65" s="55">
        <f t="shared" si="5"/>
        <v>0</v>
      </c>
    </row>
    <row r="66" spans="1:20">
      <c r="A66" s="52"/>
      <c r="B66" s="446">
        <v>36</v>
      </c>
      <c r="C66" s="4" t="s">
        <v>73</v>
      </c>
      <c r="D66" s="33" t="s">
        <v>111</v>
      </c>
      <c r="F66" s="53">
        <v>815</v>
      </c>
      <c r="O66" s="54"/>
      <c r="P66" s="33">
        <v>3</v>
      </c>
      <c r="R66" s="55">
        <f t="shared" si="4"/>
        <v>0</v>
      </c>
      <c r="S66" s="56"/>
      <c r="T66" s="55">
        <f t="shared" si="5"/>
        <v>0</v>
      </c>
    </row>
    <row r="67" spans="1:20">
      <c r="A67" s="52"/>
      <c r="B67" s="446">
        <v>37</v>
      </c>
      <c r="C67" s="4" t="s">
        <v>73</v>
      </c>
      <c r="D67" s="33" t="s">
        <v>112</v>
      </c>
      <c r="F67" s="53">
        <v>820</v>
      </c>
      <c r="O67" s="54"/>
      <c r="P67" s="33">
        <v>2</v>
      </c>
      <c r="R67" s="55">
        <f t="shared" si="4"/>
        <v>0</v>
      </c>
      <c r="S67" s="56"/>
      <c r="T67" s="55">
        <f t="shared" si="5"/>
        <v>0</v>
      </c>
    </row>
    <row r="68" spans="1:20">
      <c r="A68" s="52"/>
      <c r="B68" s="446">
        <v>38</v>
      </c>
      <c r="C68" s="4" t="s">
        <v>73</v>
      </c>
      <c r="D68" s="33" t="s">
        <v>113</v>
      </c>
      <c r="F68" s="53">
        <v>821</v>
      </c>
      <c r="O68" s="54"/>
      <c r="P68" s="33">
        <v>3</v>
      </c>
      <c r="R68" s="55">
        <f t="shared" si="4"/>
        <v>0</v>
      </c>
      <c r="S68" s="56"/>
      <c r="T68" s="55">
        <f t="shared" si="5"/>
        <v>0</v>
      </c>
    </row>
    <row r="69" spans="1:20">
      <c r="A69" s="52"/>
      <c r="B69" s="446">
        <v>39</v>
      </c>
      <c r="C69" s="4" t="s">
        <v>73</v>
      </c>
      <c r="D69" s="33" t="s">
        <v>114</v>
      </c>
      <c r="F69" s="53">
        <v>835</v>
      </c>
      <c r="O69" s="54"/>
      <c r="P69" s="33">
        <v>3</v>
      </c>
      <c r="R69" s="55">
        <f t="shared" si="4"/>
        <v>0</v>
      </c>
      <c r="S69" s="56"/>
      <c r="T69" s="55">
        <f t="shared" si="5"/>
        <v>0</v>
      </c>
    </row>
    <row r="70" spans="1:20">
      <c r="A70" s="52"/>
      <c r="B70" s="446">
        <v>40</v>
      </c>
      <c r="C70" s="4" t="s">
        <v>73</v>
      </c>
      <c r="D70" s="33" t="s">
        <v>115</v>
      </c>
      <c r="F70" s="53">
        <v>845</v>
      </c>
      <c r="O70" s="54"/>
      <c r="P70" s="33">
        <v>2</v>
      </c>
      <c r="R70" s="55">
        <f t="shared" si="4"/>
        <v>0</v>
      </c>
      <c r="S70" s="56"/>
      <c r="T70" s="55">
        <f t="shared" si="5"/>
        <v>0</v>
      </c>
    </row>
    <row r="71" spans="1:20">
      <c r="A71" s="52"/>
      <c r="B71" s="446">
        <v>41</v>
      </c>
      <c r="C71" s="4" t="s">
        <v>73</v>
      </c>
      <c r="D71" s="33" t="s">
        <v>117</v>
      </c>
      <c r="F71" s="53">
        <v>855</v>
      </c>
      <c r="O71" s="54"/>
      <c r="P71" s="33">
        <v>3</v>
      </c>
      <c r="R71" s="55">
        <f t="shared" si="4"/>
        <v>0</v>
      </c>
      <c r="S71" s="56"/>
      <c r="T71" s="55">
        <f t="shared" si="5"/>
        <v>0</v>
      </c>
    </row>
    <row r="72" spans="1:20">
      <c r="A72" s="52"/>
      <c r="B72" s="446">
        <v>42</v>
      </c>
      <c r="C72" s="4" t="s">
        <v>73</v>
      </c>
      <c r="D72" s="33" t="s">
        <v>118</v>
      </c>
      <c r="F72" s="53">
        <v>856</v>
      </c>
      <c r="O72" s="54"/>
      <c r="P72" s="33">
        <v>3</v>
      </c>
      <c r="R72" s="55">
        <f t="shared" si="4"/>
        <v>0</v>
      </c>
      <c r="S72" s="56"/>
      <c r="T72" s="55">
        <f t="shared" si="5"/>
        <v>0</v>
      </c>
    </row>
    <row r="73" spans="1:20">
      <c r="A73" s="52"/>
      <c r="B73" s="446">
        <v>43</v>
      </c>
      <c r="C73" s="4" t="s">
        <v>73</v>
      </c>
      <c r="D73" s="33" t="s">
        <v>235</v>
      </c>
      <c r="F73" s="53">
        <v>857</v>
      </c>
      <c r="O73" s="54"/>
      <c r="P73" s="33">
        <v>3</v>
      </c>
      <c r="R73" s="55">
        <f t="shared" si="4"/>
        <v>0</v>
      </c>
      <c r="S73" s="56"/>
      <c r="T73" s="55">
        <f t="shared" si="5"/>
        <v>0</v>
      </c>
    </row>
    <row r="74" spans="1:20">
      <c r="A74" s="52"/>
      <c r="B74" s="446">
        <v>44</v>
      </c>
      <c r="C74" s="4" t="s">
        <v>73</v>
      </c>
      <c r="D74" s="33" t="s">
        <v>119</v>
      </c>
      <c r="F74" s="53">
        <v>858</v>
      </c>
      <c r="O74" s="54"/>
      <c r="P74" s="33">
        <v>3</v>
      </c>
      <c r="R74" s="55">
        <f t="shared" si="4"/>
        <v>0</v>
      </c>
      <c r="S74" s="56"/>
      <c r="T74" s="55">
        <f t="shared" si="5"/>
        <v>0</v>
      </c>
    </row>
    <row r="75" spans="1:20">
      <c r="A75" s="52"/>
      <c r="B75" s="446">
        <v>45</v>
      </c>
      <c r="C75" s="4" t="s">
        <v>73</v>
      </c>
      <c r="D75" s="33" t="s">
        <v>120</v>
      </c>
      <c r="F75" s="53">
        <v>865</v>
      </c>
      <c r="O75" s="54"/>
      <c r="P75" s="33">
        <v>3</v>
      </c>
      <c r="R75" s="55">
        <f t="shared" si="4"/>
        <v>0</v>
      </c>
      <c r="S75" s="56"/>
      <c r="T75" s="55">
        <f t="shared" si="5"/>
        <v>0</v>
      </c>
    </row>
    <row r="76" spans="1:20">
      <c r="A76" s="52"/>
      <c r="B76" s="446">
        <v>46</v>
      </c>
      <c r="C76" s="4" t="s">
        <v>73</v>
      </c>
      <c r="D76" s="33" t="s">
        <v>121</v>
      </c>
      <c r="F76" s="53">
        <v>870</v>
      </c>
      <c r="O76" s="54"/>
      <c r="P76" s="33">
        <v>4</v>
      </c>
      <c r="R76" s="55">
        <f t="shared" si="4"/>
        <v>0</v>
      </c>
      <c r="S76" s="56"/>
      <c r="T76" s="55">
        <f t="shared" si="5"/>
        <v>0</v>
      </c>
    </row>
    <row r="77" spans="1:20">
      <c r="A77" s="52"/>
      <c r="B77" s="446">
        <v>47</v>
      </c>
      <c r="C77" s="4" t="s">
        <v>73</v>
      </c>
      <c r="D77" s="33" t="s">
        <v>122</v>
      </c>
      <c r="F77" s="53">
        <v>875</v>
      </c>
      <c r="O77" s="54"/>
      <c r="P77" s="33">
        <v>1</v>
      </c>
      <c r="R77" s="55">
        <f t="shared" si="4"/>
        <v>0</v>
      </c>
      <c r="S77" s="56"/>
      <c r="T77" s="55">
        <f t="shared" si="5"/>
        <v>0</v>
      </c>
    </row>
    <row r="78" spans="1:20">
      <c r="A78" s="52"/>
      <c r="B78" s="446">
        <v>48</v>
      </c>
      <c r="C78" s="4" t="s">
        <v>73</v>
      </c>
      <c r="D78" s="33" t="s">
        <v>123</v>
      </c>
      <c r="F78" s="53">
        <v>880</v>
      </c>
      <c r="O78" s="54"/>
      <c r="P78" s="33">
        <v>3</v>
      </c>
      <c r="R78" s="55">
        <f t="shared" si="4"/>
        <v>0</v>
      </c>
      <c r="S78" s="56"/>
      <c r="T78" s="55">
        <f t="shared" si="5"/>
        <v>0</v>
      </c>
    </row>
    <row r="79" spans="1:20">
      <c r="A79" s="52"/>
      <c r="B79" s="446">
        <v>49</v>
      </c>
      <c r="C79" s="4" t="s">
        <v>73</v>
      </c>
      <c r="D79" s="33" t="s">
        <v>124</v>
      </c>
      <c r="F79" s="53">
        <v>885</v>
      </c>
      <c r="O79" s="54"/>
      <c r="P79" s="33">
        <v>4</v>
      </c>
      <c r="R79" s="55">
        <f t="shared" si="4"/>
        <v>0</v>
      </c>
      <c r="S79" s="56"/>
      <c r="T79" s="55">
        <f t="shared" si="5"/>
        <v>0</v>
      </c>
    </row>
    <row r="80" spans="1:20">
      <c r="A80" s="52"/>
      <c r="B80" s="446">
        <v>50</v>
      </c>
      <c r="C80" s="4" t="s">
        <v>73</v>
      </c>
      <c r="D80" s="33" t="s">
        <v>68</v>
      </c>
      <c r="F80" s="53">
        <v>900</v>
      </c>
      <c r="O80" s="54"/>
      <c r="P80" s="33">
        <v>3</v>
      </c>
      <c r="R80" s="55">
        <f t="shared" si="4"/>
        <v>0</v>
      </c>
      <c r="S80" s="56"/>
      <c r="T80" s="55">
        <f t="shared" si="5"/>
        <v>0</v>
      </c>
    </row>
    <row r="81" spans="1:28">
      <c r="A81" s="52"/>
      <c r="B81" s="446">
        <v>51</v>
      </c>
      <c r="C81" s="4" t="s">
        <v>73</v>
      </c>
      <c r="D81" s="33" t="s">
        <v>126</v>
      </c>
      <c r="F81" s="53">
        <v>901</v>
      </c>
      <c r="O81" s="54"/>
      <c r="P81" s="33">
        <v>1</v>
      </c>
      <c r="R81" s="55">
        <f t="shared" si="4"/>
        <v>0</v>
      </c>
      <c r="S81" s="56"/>
      <c r="T81" s="55">
        <f t="shared" si="5"/>
        <v>0</v>
      </c>
    </row>
    <row r="82" spans="1:28">
      <c r="A82" s="52"/>
      <c r="B82" s="446">
        <v>52</v>
      </c>
      <c r="C82" s="4" t="s">
        <v>73</v>
      </c>
      <c r="D82" s="33" t="s">
        <v>127</v>
      </c>
      <c r="F82" s="53">
        <v>902</v>
      </c>
      <c r="O82" s="54"/>
      <c r="P82" s="33">
        <v>3</v>
      </c>
      <c r="R82" s="55">
        <f t="shared" si="4"/>
        <v>0</v>
      </c>
      <c r="S82" s="56"/>
      <c r="T82" s="55">
        <f t="shared" si="5"/>
        <v>0</v>
      </c>
    </row>
    <row r="83" spans="1:28">
      <c r="A83" s="52"/>
      <c r="B83" s="446">
        <v>53</v>
      </c>
      <c r="C83" s="4" t="s">
        <v>73</v>
      </c>
      <c r="D83" s="57" t="s">
        <v>128</v>
      </c>
      <c r="F83" s="53">
        <v>960</v>
      </c>
      <c r="O83" s="54"/>
      <c r="P83" s="33">
        <v>4</v>
      </c>
      <c r="R83" s="55">
        <f t="shared" si="4"/>
        <v>0</v>
      </c>
      <c r="S83" s="56"/>
      <c r="T83" s="55">
        <f t="shared" si="5"/>
        <v>0</v>
      </c>
    </row>
    <row r="84" spans="1:28">
      <c r="A84" s="52"/>
      <c r="B84" s="446">
        <v>54</v>
      </c>
      <c r="C84" s="4" t="s">
        <v>73</v>
      </c>
      <c r="D84" s="57" t="s">
        <v>129</v>
      </c>
      <c r="F84" s="53">
        <v>961</v>
      </c>
      <c r="O84" s="54"/>
      <c r="P84" s="33">
        <v>3</v>
      </c>
      <c r="R84" s="55">
        <f t="shared" si="4"/>
        <v>0</v>
      </c>
      <c r="S84" s="56"/>
      <c r="T84" s="55">
        <f t="shared" si="5"/>
        <v>0</v>
      </c>
    </row>
    <row r="85" spans="1:28">
      <c r="A85" s="52"/>
      <c r="B85" s="446">
        <v>55</v>
      </c>
      <c r="C85" s="4" t="s">
        <v>73</v>
      </c>
      <c r="D85" s="57" t="s">
        <v>130</v>
      </c>
      <c r="F85" s="53">
        <v>962</v>
      </c>
      <c r="O85" s="54"/>
      <c r="P85" s="33">
        <v>1</v>
      </c>
      <c r="R85" s="55">
        <f t="shared" si="4"/>
        <v>0</v>
      </c>
      <c r="S85" s="56"/>
      <c r="T85" s="55">
        <f t="shared" si="5"/>
        <v>0</v>
      </c>
    </row>
    <row r="86" spans="1:28">
      <c r="A86" s="52"/>
      <c r="B86" s="446">
        <v>56</v>
      </c>
      <c r="C86" s="4" t="s">
        <v>73</v>
      </c>
      <c r="D86" s="57" t="s">
        <v>131</v>
      </c>
      <c r="F86" s="53">
        <v>970</v>
      </c>
      <c r="O86" s="54"/>
      <c r="P86" s="33">
        <v>4</v>
      </c>
      <c r="R86" s="55">
        <f t="shared" si="4"/>
        <v>0</v>
      </c>
      <c r="S86" s="56"/>
      <c r="T86" s="55">
        <f t="shared" si="5"/>
        <v>0</v>
      </c>
    </row>
    <row r="87" spans="1:28" ht="13.8" thickBot="1">
      <c r="A87" s="58"/>
      <c r="B87" s="59"/>
      <c r="C87" s="60"/>
      <c r="D87" s="61"/>
      <c r="E87" s="62"/>
      <c r="F87" s="63"/>
      <c r="G87" s="62"/>
      <c r="H87" s="62"/>
      <c r="I87" s="62"/>
      <c r="J87" s="62"/>
      <c r="K87" s="62"/>
      <c r="L87" s="62"/>
      <c r="M87" s="62"/>
      <c r="N87" s="62"/>
      <c r="O87" s="64"/>
      <c r="P87" s="62"/>
      <c r="Q87" s="62"/>
      <c r="R87" s="65"/>
      <c r="S87" s="66"/>
      <c r="T87" s="65"/>
      <c r="U87" s="62"/>
      <c r="V87" s="62"/>
      <c r="W87" s="62"/>
      <c r="X87" s="62"/>
      <c r="Y87" s="62"/>
      <c r="Z87" s="62"/>
      <c r="AA87" s="62"/>
      <c r="AB87" s="62"/>
    </row>
    <row r="88" spans="1:28" ht="13.8" thickTop="1">
      <c r="A88" s="52"/>
      <c r="B88" s="67"/>
      <c r="C88" s="4" t="s">
        <v>73</v>
      </c>
      <c r="D88" s="68"/>
      <c r="F88" s="69" t="s">
        <v>151</v>
      </c>
      <c r="G88" s="70"/>
      <c r="H88" s="33">
        <v>1</v>
      </c>
      <c r="O88" s="54"/>
      <c r="R88" s="55">
        <f>SUMIF($P31:$P86,1,R31:R86)</f>
        <v>0</v>
      </c>
      <c r="T88" s="55">
        <f>SUMIF($P31:$P86,1,T31:T86)</f>
        <v>0</v>
      </c>
    </row>
    <row r="89" spans="1:28">
      <c r="A89" s="52"/>
      <c r="B89" s="67"/>
      <c r="C89" s="4" t="s">
        <v>73</v>
      </c>
      <c r="D89" s="68"/>
      <c r="F89" s="69" t="s">
        <v>152</v>
      </c>
      <c r="G89" s="70"/>
      <c r="H89" s="33">
        <v>2</v>
      </c>
      <c r="O89" s="54"/>
      <c r="R89" s="55">
        <f>SUMIF($P31:$P86,2,R31:R86)</f>
        <v>0</v>
      </c>
      <c r="T89" s="55">
        <f>SUMIF($P31:$P86,2,T31:T86)</f>
        <v>0</v>
      </c>
    </row>
    <row r="90" spans="1:28">
      <c r="A90" s="52"/>
      <c r="B90" s="67"/>
      <c r="C90" s="4" t="s">
        <v>73</v>
      </c>
      <c r="D90" s="68"/>
      <c r="F90" s="69" t="s">
        <v>153</v>
      </c>
      <c r="G90" s="70"/>
      <c r="H90" s="33">
        <v>2</v>
      </c>
      <c r="O90" s="54"/>
      <c r="R90" s="55">
        <f>SUMIF($P31:$P86,3,R31:R86)</f>
        <v>0</v>
      </c>
      <c r="T90" s="55">
        <f>SUMIF($P31:$P86,3,T31:T86)</f>
        <v>0</v>
      </c>
    </row>
    <row r="91" spans="1:28">
      <c r="A91" s="52"/>
      <c r="B91" s="67"/>
      <c r="C91" s="4" t="s">
        <v>73</v>
      </c>
      <c r="D91" s="68"/>
      <c r="F91" s="69" t="s">
        <v>154</v>
      </c>
      <c r="G91" s="70"/>
      <c r="H91" s="33">
        <v>3</v>
      </c>
      <c r="O91" s="54"/>
      <c r="R91" s="55">
        <f>SUMIF($P31:$P86,4,R31:R86)</f>
        <v>0</v>
      </c>
      <c r="T91" s="55">
        <f>SUMIF($P31:$P86,4,T31:T86)</f>
        <v>0</v>
      </c>
    </row>
    <row r="92" spans="1:28" ht="13.8" thickBot="1">
      <c r="A92" s="58"/>
      <c r="B92" s="71"/>
      <c r="C92" s="60" t="s">
        <v>73</v>
      </c>
      <c r="D92" s="72"/>
      <c r="E92" s="62"/>
      <c r="F92" s="73" t="s">
        <v>155</v>
      </c>
      <c r="G92" s="74"/>
      <c r="H92" s="75"/>
      <c r="I92" s="75"/>
      <c r="J92" s="75"/>
      <c r="K92" s="75"/>
      <c r="L92" s="75"/>
      <c r="M92" s="75"/>
      <c r="N92" s="75"/>
      <c r="O92" s="76"/>
      <c r="P92" s="75"/>
      <c r="Q92" s="75"/>
      <c r="R92" s="77">
        <f>SUM(R88:R91)</f>
        <v>0</v>
      </c>
      <c r="S92" s="78"/>
      <c r="T92" s="77">
        <f>SUM(T88:T91)</f>
        <v>0</v>
      </c>
      <c r="U92" s="62"/>
      <c r="V92" s="62"/>
      <c r="W92" s="62"/>
      <c r="X92" s="62"/>
      <c r="Y92" s="62"/>
      <c r="Z92" s="62"/>
      <c r="AA92" s="62"/>
      <c r="AB92" s="62"/>
    </row>
    <row r="93" spans="1:28" ht="13.8" thickTop="1"/>
  </sheetData>
  <sheetProtection formatCells="0" formatColumns="0" formatRows="0" insertColumns="0" insertRows="0" insertHyperlinks="0" deleteColumns="0" deleteRows="0" sort="0" autoFilter="0" pivotTables="0"/>
  <phoneticPr fontId="27" type="noConversion"/>
  <conditionalFormatting sqref="D6">
    <cfRule type="cellIs" dxfId="25" priority="1" stopIfTrue="1" operator="equal">
      <formula>"VAT INCLUDED"</formula>
    </cfRule>
    <cfRule type="cellIs" dxfId="24" priority="2" stopIfTrue="1" operator="equal">
      <formula>"VAT EXCLUDED"</formula>
    </cfRule>
  </conditionalFormatting>
  <printOptions gridLines="1"/>
  <pageMargins left="0.31496062992125984" right="0.17" top="0.43307086614173229" bottom="0.59055118110236227" header="0.23622047244094491" footer="0.23622047244094491"/>
  <pageSetup paperSize="9" orientation="portrait" r:id="rId1"/>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indexed="14"/>
  </sheetPr>
  <dimension ref="A1:AP512"/>
  <sheetViews>
    <sheetView topLeftCell="A201" zoomScale="115" zoomScaleNormal="115" workbookViewId="0">
      <selection activeCell="Q277" sqref="Q277"/>
    </sheetView>
  </sheetViews>
  <sheetFormatPr defaultColWidth="9.109375" defaultRowHeight="13.8"/>
  <cols>
    <col min="1" max="1" width="5.88671875" style="33" customWidth="1"/>
    <col min="2" max="2" width="6.44140625" style="33" customWidth="1"/>
    <col min="3" max="3" width="3.88671875" style="33" hidden="1" customWidth="1"/>
    <col min="4" max="4" width="20.88671875" style="33" customWidth="1"/>
    <col min="5" max="5" width="13.44140625" style="33" customWidth="1"/>
    <col min="6" max="6" width="13.6640625" style="33" customWidth="1"/>
    <col min="7" max="7" width="9.6640625" style="33" hidden="1" customWidth="1"/>
    <col min="8" max="8" width="7.6640625" style="33" hidden="1" customWidth="1"/>
    <col min="9" max="11" width="8.6640625" style="33" hidden="1" customWidth="1"/>
    <col min="12" max="12" width="6.6640625" style="33" hidden="1" customWidth="1"/>
    <col min="13" max="16" width="8.6640625" style="33" hidden="1" customWidth="1"/>
    <col min="17" max="17" width="9.88671875" style="33" customWidth="1"/>
    <col min="18" max="18" width="10" style="33" customWidth="1"/>
    <col min="19" max="19" width="8.6640625" style="33" customWidth="1"/>
    <col min="20" max="20" width="9.33203125" style="33" customWidth="1"/>
    <col min="21" max="21" width="6.33203125" style="33" customWidth="1"/>
    <col min="22" max="22" width="4.6640625" style="283" customWidth="1"/>
    <col min="23" max="23" width="5" style="283" bestFit="1" customWidth="1"/>
    <col min="24" max="24" width="4.88671875" style="283" bestFit="1" customWidth="1"/>
    <col min="25" max="25" width="4.33203125" style="283" bestFit="1" customWidth="1"/>
    <col min="26" max="26" width="5.33203125" style="283" customWidth="1"/>
    <col min="27" max="27" width="4" style="283" customWidth="1"/>
    <col min="28" max="28" width="4.109375" style="283" customWidth="1"/>
    <col min="29" max="32" width="9.109375" style="33" hidden="1" customWidth="1"/>
    <col min="33" max="33" width="12.88671875" style="33" hidden="1" customWidth="1"/>
    <col min="34" max="34" width="10.6640625" style="33" hidden="1" customWidth="1"/>
    <col min="35" max="35" width="11.44140625" style="33" hidden="1" customWidth="1"/>
    <col min="36" max="36" width="9.109375" style="33" hidden="1" customWidth="1"/>
    <col min="37" max="37" width="13.6640625" style="33" hidden="1" customWidth="1"/>
    <col min="38" max="38" width="9.109375" style="33" customWidth="1"/>
    <col min="39" max="40" width="12" style="33" customWidth="1"/>
    <col min="41" max="41" width="11.109375" style="33" customWidth="1"/>
    <col min="42" max="42" width="9.109375" style="33" customWidth="1"/>
    <col min="43" max="16384" width="9.109375" style="33"/>
  </cols>
  <sheetData>
    <row r="1" spans="1:42" s="30" customFormat="1" ht="15.6">
      <c r="A1" s="473"/>
      <c r="B1" s="450" t="s">
        <v>0</v>
      </c>
      <c r="C1" s="451">
        <f>ML_Sum!$C1</f>
        <v>1</v>
      </c>
      <c r="D1" s="452" t="str">
        <f>ML_Sum!$D1</f>
        <v>Battery Street Limited</v>
      </c>
      <c r="E1" s="453"/>
      <c r="F1" s="454">
        <f>ML_Sum!$F1</f>
        <v>0</v>
      </c>
      <c r="G1" s="481"/>
      <c r="H1"/>
      <c r="I1" s="238">
        <v>1</v>
      </c>
      <c r="J1" s="239">
        <f>ML_Sum!$J1</f>
        <v>1</v>
      </c>
      <c r="K1" s="239">
        <f>ML_Sum!$K1</f>
        <v>1</v>
      </c>
      <c r="L1" s="239">
        <f>ML_Sum!$L1</f>
        <v>1</v>
      </c>
      <c r="M1" s="239">
        <f>ML_Sum!$M1</f>
        <v>1</v>
      </c>
      <c r="N1" s="239">
        <f>ML_Sum!$N1</f>
        <v>1</v>
      </c>
      <c r="O1" s="239">
        <f>ML_Sum!$O1</f>
        <v>1</v>
      </c>
      <c r="P1"/>
      <c r="Q1" s="303" t="str">
        <f>ML_Sum!$Q1</f>
        <v>€</v>
      </c>
      <c r="R1" s="242" t="s">
        <v>1</v>
      </c>
      <c r="S1" s="302" t="str">
        <f>ML_Sum!$S1</f>
        <v>R</v>
      </c>
      <c r="T1" s="416">
        <f>ML_Sum!$T1</f>
        <v>1</v>
      </c>
      <c r="U1" s="417" t="str">
        <f>ML_Sum!W1</f>
        <v>BOQ</v>
      </c>
      <c r="V1" s="418" t="s">
        <v>182</v>
      </c>
      <c r="W1" s="474" t="s">
        <v>172</v>
      </c>
      <c r="X1" s="419" t="s">
        <v>173</v>
      </c>
      <c r="Y1" s="475" t="s">
        <v>174</v>
      </c>
      <c r="Z1" s="420" t="s">
        <v>170</v>
      </c>
      <c r="AA1" s="420" t="s">
        <v>175</v>
      </c>
      <c r="AB1" s="474" t="s">
        <v>176</v>
      </c>
      <c r="AG1" s="479"/>
      <c r="AH1" s="479"/>
      <c r="AI1" s="479"/>
      <c r="AJ1" s="479"/>
      <c r="AK1" s="480"/>
    </row>
    <row r="2" spans="1:42" s="30" customFormat="1">
      <c r="A2" s="449"/>
      <c r="B2" s="450" t="s">
        <v>2</v>
      </c>
      <c r="C2" s="451">
        <f>ML_Sum!$C2</f>
        <v>1</v>
      </c>
      <c r="D2" s="452" t="str">
        <f>ML_Sum!$D2</f>
        <v>MEP Works British Hotel</v>
      </c>
      <c r="E2" s="456"/>
      <c r="F2" s="454" t="str">
        <f>ML_Sum!$F2</f>
        <v>Electrical</v>
      </c>
      <c r="G2" s="455"/>
      <c r="H2"/>
      <c r="I2" s="238">
        <v>2</v>
      </c>
      <c r="J2" s="239">
        <f>ML_Sum!$J2</f>
        <v>1</v>
      </c>
      <c r="K2" s="239">
        <f>ML_Sum!$K2</f>
        <v>1</v>
      </c>
      <c r="L2" s="239">
        <f>ML_Sum!$L2</f>
        <v>1</v>
      </c>
      <c r="M2" s="239">
        <f>ML_Sum!$M2</f>
        <v>1</v>
      </c>
      <c r="N2" s="239">
        <f>ML_Sum!$N2</f>
        <v>1</v>
      </c>
      <c r="O2" s="239">
        <f>ML_Sum!$O2</f>
        <v>1</v>
      </c>
      <c r="P2"/>
      <c r="Q2" s="309">
        <f>ML_Sum!$Q2</f>
        <v>0</v>
      </c>
      <c r="R2" s="16" t="s">
        <v>3</v>
      </c>
      <c r="S2" s="310">
        <f>ML_Sum!$S2</f>
        <v>1</v>
      </c>
      <c r="T2" s="311">
        <f>ML_Sum!$T2</f>
        <v>27.46</v>
      </c>
      <c r="V2" s="283"/>
      <c r="W2" s="283"/>
      <c r="X2" s="283"/>
      <c r="Y2" s="283"/>
      <c r="Z2" s="283"/>
      <c r="AA2" s="283"/>
      <c r="AB2" s="283"/>
    </row>
    <row r="3" spans="1:42" s="30" customFormat="1">
      <c r="A3" s="457"/>
      <c r="B3" s="458" t="s">
        <v>4</v>
      </c>
      <c r="C3" s="451">
        <f>ML_Sum!$C3</f>
        <v>1</v>
      </c>
      <c r="D3" s="452" t="str">
        <f>ML_Sum!$D3</f>
        <v>Electrical for Mechanical Services</v>
      </c>
      <c r="E3" s="457"/>
      <c r="F3" s="454" t="str">
        <f>ML_Sum!$F3</f>
        <v>Controls</v>
      </c>
      <c r="G3" s="459"/>
      <c r="H3"/>
      <c r="I3" s="238">
        <v>3</v>
      </c>
      <c r="J3" s="239">
        <f>ML_Sum!$J3</f>
        <v>1</v>
      </c>
      <c r="K3" s="239">
        <f>ML_Sum!$K3</f>
        <v>1</v>
      </c>
      <c r="L3" s="239">
        <f>ML_Sum!$L3</f>
        <v>1</v>
      </c>
      <c r="M3" s="239">
        <f>ML_Sum!$M3</f>
        <v>1</v>
      </c>
      <c r="N3" s="239">
        <f>ML_Sum!$N3</f>
        <v>1</v>
      </c>
      <c r="O3" s="239">
        <f>ML_Sum!$O3</f>
        <v>1</v>
      </c>
      <c r="P3"/>
      <c r="Q3" s="309">
        <f>ML_Sum!$Q3</f>
        <v>0</v>
      </c>
      <c r="R3" s="17" t="s">
        <v>5</v>
      </c>
      <c r="S3" s="310">
        <f>ML_Sum!$S3</f>
        <v>1</v>
      </c>
      <c r="T3" s="311">
        <f>ML_Sum!$T3</f>
        <v>27.46</v>
      </c>
      <c r="V3" s="283"/>
      <c r="W3" s="283"/>
      <c r="X3" s="283"/>
      <c r="Y3" s="283"/>
      <c r="Z3" s="283"/>
      <c r="AA3" s="283"/>
      <c r="AB3" s="283"/>
    </row>
    <row r="4" spans="1:42" s="30" customFormat="1">
      <c r="A4" s="460"/>
      <c r="B4" s="450" t="s">
        <v>6</v>
      </c>
      <c r="C4" s="451">
        <f>ML_Sum!$C4</f>
        <v>1</v>
      </c>
      <c r="D4" s="452" t="str">
        <f>ML_Sum!$D4</f>
        <v>ELM25-0665</v>
      </c>
      <c r="E4" s="457"/>
      <c r="F4" s="454">
        <f>ML_Sum!$F4</f>
        <v>0</v>
      </c>
      <c r="G4" s="459"/>
      <c r="H4"/>
      <c r="I4" s="238">
        <v>4</v>
      </c>
      <c r="J4" s="239">
        <f>ML_Sum!$J4</f>
        <v>1</v>
      </c>
      <c r="K4" s="239">
        <f>ML_Sum!$K4</f>
        <v>1</v>
      </c>
      <c r="L4" s="239">
        <f>ML_Sum!$L4</f>
        <v>1</v>
      </c>
      <c r="M4" s="239">
        <f>ML_Sum!$M4</f>
        <v>1</v>
      </c>
      <c r="N4" s="239">
        <f>ML_Sum!$N4</f>
        <v>1</v>
      </c>
      <c r="O4" s="239">
        <f>ML_Sum!$O4</f>
        <v>1</v>
      </c>
      <c r="P4"/>
      <c r="Q4" s="309">
        <f>ML_Sum!$Q4</f>
        <v>0</v>
      </c>
      <c r="R4" s="18" t="s">
        <v>8</v>
      </c>
      <c r="S4" s="310">
        <f>ML_Sum!$S4</f>
        <v>0</v>
      </c>
      <c r="T4" s="311">
        <f>ML_Sum!$T4</f>
        <v>0</v>
      </c>
      <c r="V4" s="283"/>
      <c r="W4" s="283"/>
      <c r="X4" s="283"/>
      <c r="Y4" s="283"/>
      <c r="Z4" s="283"/>
      <c r="AA4" s="283"/>
      <c r="AB4" s="283"/>
    </row>
    <row r="5" spans="1:42" s="30" customFormat="1">
      <c r="A5" s="460"/>
      <c r="B5" s="450" t="s">
        <v>184</v>
      </c>
      <c r="C5" s="451">
        <f>ML_Sum!$C5</f>
        <v>1</v>
      </c>
      <c r="D5" s="452">
        <f>ML_Sum!$D5</f>
        <v>0</v>
      </c>
      <c r="E5" s="457"/>
      <c r="F5" s="454">
        <f>ML_Sum!$F5</f>
        <v>0</v>
      </c>
      <c r="G5" s="461"/>
      <c r="H5"/>
      <c r="I5" s="238">
        <v>5</v>
      </c>
      <c r="J5" s="239">
        <f>ML_Sum!$J5</f>
        <v>1</v>
      </c>
      <c r="K5" s="239">
        <f>ML_Sum!$K5</f>
        <v>1</v>
      </c>
      <c r="L5" s="239">
        <f>ML_Sum!$L5</f>
        <v>1</v>
      </c>
      <c r="M5" s="239">
        <f>ML_Sum!$M5</f>
        <v>1</v>
      </c>
      <c r="N5" s="239">
        <f>ML_Sum!$N5</f>
        <v>1</v>
      </c>
      <c r="O5" s="239">
        <f>ML_Sum!$O5</f>
        <v>1</v>
      </c>
      <c r="P5"/>
      <c r="Q5" s="309">
        <f>ML_Sum!$Q5</f>
        <v>0</v>
      </c>
      <c r="R5" s="19" t="s">
        <v>10</v>
      </c>
      <c r="S5" s="310">
        <f>ML_Sum!$S5</f>
        <v>0</v>
      </c>
      <c r="T5" s="311">
        <f>ML_Sum!$T5</f>
        <v>0</v>
      </c>
      <c r="V5" s="283"/>
      <c r="W5" s="283"/>
      <c r="X5" s="283"/>
      <c r="Y5" s="283"/>
      <c r="Z5" s="283"/>
      <c r="AA5" s="283"/>
      <c r="AB5" s="283"/>
    </row>
    <row r="6" spans="1:42" s="30" customFormat="1">
      <c r="A6"/>
      <c r="B6" s="458" t="s">
        <v>9</v>
      </c>
      <c r="C6" s="451">
        <f>ML_Sum!$C6</f>
        <v>1</v>
      </c>
      <c r="D6" s="452" t="str">
        <f>ML_Sum!$D6</f>
        <v>VAT EXCL.</v>
      </c>
      <c r="E6"/>
      <c r="F6" s="454">
        <f>ML_Sum!$F6</f>
        <v>0</v>
      </c>
      <c r="G6" s="461"/>
      <c r="H6"/>
      <c r="I6" s="238">
        <v>6</v>
      </c>
      <c r="J6" s="239">
        <f>ML_Sum!$J6</f>
        <v>1</v>
      </c>
      <c r="K6" s="239">
        <f>ML_Sum!$K6</f>
        <v>1</v>
      </c>
      <c r="L6" s="239">
        <f>ML_Sum!$L6</f>
        <v>1</v>
      </c>
      <c r="M6" s="239">
        <f>ML_Sum!$M6</f>
        <v>1</v>
      </c>
      <c r="N6" s="239">
        <f>ML_Sum!$N6</f>
        <v>1</v>
      </c>
      <c r="O6" s="239">
        <f>ML_Sum!$O6</f>
        <v>1</v>
      </c>
      <c r="P6"/>
      <c r="Q6" s="309">
        <f>ML_Sum!$Q6</f>
        <v>0</v>
      </c>
      <c r="R6" s="20" t="s">
        <v>11</v>
      </c>
      <c r="S6" s="310">
        <f>ML_Sum!$S6</f>
        <v>0</v>
      </c>
      <c r="T6" s="311">
        <f>ML_Sum!$T6</f>
        <v>0</v>
      </c>
      <c r="V6" s="283"/>
      <c r="W6" s="283"/>
      <c r="X6" s="283"/>
      <c r="Y6" s="283"/>
      <c r="Z6" s="283"/>
      <c r="AA6" s="283"/>
      <c r="AB6" s="283"/>
    </row>
    <row r="7" spans="1:42" s="30" customFormat="1">
      <c r="A7" s="449"/>
      <c r="B7" s="458" t="s">
        <v>12</v>
      </c>
      <c r="C7" s="451">
        <f>ML_Sum!$C7</f>
        <v>1</v>
      </c>
      <c r="D7" s="462">
        <v>39364</v>
      </c>
      <c r="E7" s="463"/>
      <c r="F7" s="454">
        <f>ML_Sum!$F7</f>
        <v>0</v>
      </c>
      <c r="G7" s="464"/>
      <c r="H7"/>
      <c r="I7" s="238">
        <v>7</v>
      </c>
      <c r="J7" s="239">
        <f>ML_Sum!$J7</f>
        <v>1</v>
      </c>
      <c r="K7" s="239">
        <f>ML_Sum!$K7</f>
        <v>1</v>
      </c>
      <c r="L7" s="239">
        <f>ML_Sum!$L7</f>
        <v>1</v>
      </c>
      <c r="M7" s="239">
        <f>ML_Sum!$M7</f>
        <v>1</v>
      </c>
      <c r="N7" s="239">
        <f>ML_Sum!$N7</f>
        <v>1</v>
      </c>
      <c r="O7" s="239">
        <f>ML_Sum!$O7</f>
        <v>0</v>
      </c>
      <c r="P7"/>
      <c r="Q7" s="309">
        <f>ML_Sum!$Q7</f>
        <v>0</v>
      </c>
      <c r="R7" s="21" t="s">
        <v>13</v>
      </c>
      <c r="S7" s="310">
        <f>ML_Sum!$S7</f>
        <v>0</v>
      </c>
      <c r="T7" s="311">
        <f>ML_Sum!$T7</f>
        <v>0</v>
      </c>
      <c r="V7" s="283"/>
      <c r="W7" s="283"/>
      <c r="X7" s="283"/>
      <c r="Y7" s="283"/>
      <c r="Z7" s="283"/>
      <c r="AA7" s="283"/>
      <c r="AB7" s="283"/>
    </row>
    <row r="8" spans="1:42" s="30" customFormat="1">
      <c r="A8" s="460"/>
      <c r="B8" s="458" t="s">
        <v>14</v>
      </c>
      <c r="C8" s="451">
        <f>ML_Sum!$C8</f>
        <v>1</v>
      </c>
      <c r="D8" s="452" t="str">
        <f>ML_Sum!$D8</f>
        <v>Umut Kaymak</v>
      </c>
      <c r="E8" s="457"/>
      <c r="F8" s="454">
        <f>ML_Sum!$F8</f>
        <v>0</v>
      </c>
      <c r="G8" s="465"/>
      <c r="H8"/>
      <c r="I8" s="238">
        <v>8</v>
      </c>
      <c r="J8" s="239">
        <f>ML_Sum!$J8</f>
        <v>1</v>
      </c>
      <c r="K8" s="239">
        <f>ML_Sum!$K8</f>
        <v>1</v>
      </c>
      <c r="L8" s="239">
        <f>ML_Sum!$L8</f>
        <v>1</v>
      </c>
      <c r="M8" s="239">
        <f>ML_Sum!$M8</f>
        <v>1</v>
      </c>
      <c r="N8" s="239">
        <f>ML_Sum!$N8</f>
        <v>1</v>
      </c>
      <c r="O8" s="239">
        <f>ML_Sum!$O8</f>
        <v>0</v>
      </c>
      <c r="P8"/>
      <c r="Q8" s="309">
        <f>ML_Sum!$Q8</f>
        <v>0</v>
      </c>
      <c r="R8" s="22" t="s">
        <v>15</v>
      </c>
      <c r="S8" s="310">
        <f>ML_Sum!$S8</f>
        <v>0</v>
      </c>
      <c r="T8" s="311">
        <f>ML_Sum!$T8</f>
        <v>0</v>
      </c>
      <c r="V8" s="283"/>
      <c r="W8" s="283"/>
      <c r="X8" s="283"/>
      <c r="Y8" s="283"/>
      <c r="Z8" s="283"/>
      <c r="AA8" s="283"/>
      <c r="AB8" s="283"/>
    </row>
    <row r="9" spans="1:42" s="30" customFormat="1">
      <c r="A9" s="460"/>
      <c r="B9" s="458" t="s">
        <v>253</v>
      </c>
      <c r="C9" s="451">
        <f>ML_Sum!$C9</f>
        <v>1</v>
      </c>
      <c r="D9" s="452">
        <f>ML_Sum!$D9</f>
        <v>27.46</v>
      </c>
      <c r="E9" s="457"/>
      <c r="F9" s="454">
        <f>ML_Sum!$F9</f>
        <v>0</v>
      </c>
      <c r="G9" s="465"/>
      <c r="H9"/>
      <c r="I9" s="238">
        <v>9</v>
      </c>
      <c r="J9" s="239">
        <f>ML_Sum!$J9</f>
        <v>1</v>
      </c>
      <c r="K9" s="239">
        <f>ML_Sum!$K9</f>
        <v>1</v>
      </c>
      <c r="L9" s="239">
        <f>ML_Sum!$L9</f>
        <v>1</v>
      </c>
      <c r="M9" s="239">
        <f>ML_Sum!$M9</f>
        <v>1</v>
      </c>
      <c r="N9" s="239">
        <f>ML_Sum!$N9</f>
        <v>1</v>
      </c>
      <c r="O9" s="239">
        <f>ML_Sum!$O9</f>
        <v>0</v>
      </c>
      <c r="P9"/>
      <c r="Q9" s="309">
        <f>ML_Sum!$Q9</f>
        <v>0</v>
      </c>
      <c r="R9" s="23" t="s">
        <v>16</v>
      </c>
      <c r="S9" s="310">
        <f>ML_Sum!$S9</f>
        <v>0</v>
      </c>
      <c r="T9" s="311">
        <f>ML_Sum!$T9</f>
        <v>0</v>
      </c>
      <c r="V9" s="283"/>
      <c r="W9" s="283"/>
      <c r="X9" s="283"/>
      <c r="Y9" s="283"/>
      <c r="Z9" s="283"/>
      <c r="AA9" s="283"/>
      <c r="AB9" s="283"/>
    </row>
    <row r="10" spans="1:42" s="30" customFormat="1">
      <c r="A10" s="460"/>
      <c r="B10" s="449"/>
      <c r="C10" s="451">
        <f>ML_Sum!$C10</f>
        <v>1</v>
      </c>
      <c r="D10" s="449"/>
      <c r="E10" s="457"/>
      <c r="F10" s="454">
        <f>ML_Sum!$F10</f>
        <v>0</v>
      </c>
      <c r="G10" s="465"/>
      <c r="H10"/>
      <c r="I10" s="238">
        <v>10</v>
      </c>
      <c r="J10" s="239">
        <f>ML_Sum!$J10</f>
        <v>1</v>
      </c>
      <c r="K10" s="239">
        <f>ML_Sum!$K10</f>
        <v>1</v>
      </c>
      <c r="L10" s="239">
        <f>ML_Sum!$L10</f>
        <v>1</v>
      </c>
      <c r="M10" s="239">
        <f>ML_Sum!$M10</f>
        <v>1</v>
      </c>
      <c r="N10" s="239">
        <f>ML_Sum!$N10</f>
        <v>1</v>
      </c>
      <c r="O10" s="239">
        <f>ML_Sum!$O10</f>
        <v>1</v>
      </c>
      <c r="P10"/>
      <c r="Q10" s="309">
        <f>ML_Sum!$Q10</f>
        <v>0</v>
      </c>
      <c r="R10" s="24" t="s">
        <v>17</v>
      </c>
      <c r="S10" s="310">
        <f>ML_Sum!$S10</f>
        <v>0</v>
      </c>
      <c r="T10" s="311">
        <f>ML_Sum!$T10</f>
        <v>0</v>
      </c>
      <c r="V10" s="283"/>
      <c r="W10" s="283"/>
      <c r="X10" s="283"/>
      <c r="Y10" s="283"/>
      <c r="Z10" s="283"/>
      <c r="AA10" s="283"/>
      <c r="AB10" s="283"/>
    </row>
    <row r="11" spans="1:42" s="30" customFormat="1">
      <c r="A11" s="460"/>
      <c r="B11" s="449"/>
      <c r="C11" s="451">
        <f>ML_Sum!$C11</f>
        <v>1</v>
      </c>
      <c r="D11" s="449"/>
      <c r="E11" s="457"/>
      <c r="F11" s="454">
        <f>ML_Sum!$F11</f>
        <v>0</v>
      </c>
      <c r="G11" s="465"/>
      <c r="H11" s="465"/>
      <c r="I11" s="449"/>
      <c r="J11" s="449"/>
      <c r="K11" s="449"/>
      <c r="L11" s="449"/>
      <c r="M11" s="449"/>
      <c r="N11" s="449"/>
      <c r="O11" s="449"/>
      <c r="P11" s="465"/>
      <c r="Q11" s="309">
        <f>ML_Sum!$Q11</f>
        <v>0</v>
      </c>
      <c r="R11" s="25" t="s">
        <v>18</v>
      </c>
      <c r="S11" s="310">
        <f>ML_Sum!$S11</f>
        <v>0</v>
      </c>
      <c r="T11" s="311">
        <f>ML_Sum!$T11</f>
        <v>0</v>
      </c>
      <c r="V11" s="283"/>
      <c r="W11" s="283"/>
      <c r="X11" s="283"/>
      <c r="Y11" s="283"/>
      <c r="Z11" s="283"/>
      <c r="AA11" s="283"/>
      <c r="AB11" s="283"/>
    </row>
    <row r="12" spans="1:42" s="30" customFormat="1" ht="14.4" thickBot="1">
      <c r="A12" s="460"/>
      <c r="B12" s="449"/>
      <c r="C12" s="451">
        <f>ML_Sum!$C12</f>
        <v>1</v>
      </c>
      <c r="D12" s="449"/>
      <c r="E12" s="457"/>
      <c r="F12" s="454">
        <f>ML_Sum!$F12</f>
        <v>0</v>
      </c>
      <c r="G12" s="465"/>
      <c r="H12" s="465"/>
      <c r="I12" s="449"/>
      <c r="J12" s="449"/>
      <c r="K12" s="449"/>
      <c r="L12" s="449"/>
      <c r="M12" s="449"/>
      <c r="N12" s="449"/>
      <c r="O12" s="449"/>
      <c r="P12" s="465"/>
      <c r="Q12" s="309">
        <f>ML_Sum!$Q12</f>
        <v>0</v>
      </c>
      <c r="R12" s="358" t="s">
        <v>197</v>
      </c>
      <c r="S12" s="310" t="str">
        <f>ML_Sum!$S12</f>
        <v>MAT MU</v>
      </c>
      <c r="T12" s="311" t="str">
        <f>ML_Sum!$T12</f>
        <v>LAB RATE</v>
      </c>
      <c r="V12" s="283"/>
      <c r="W12" s="283"/>
      <c r="X12" s="283"/>
      <c r="Y12" s="283"/>
      <c r="Z12" s="283"/>
      <c r="AA12" s="283"/>
      <c r="AB12" s="283"/>
    </row>
    <row r="13" spans="1:42" s="30" customFormat="1" ht="14.4" thickBot="1">
      <c r="A13" s="466"/>
      <c r="B13" s="467"/>
      <c r="C13" s="468"/>
      <c r="D13" s="469"/>
      <c r="E13" s="470"/>
      <c r="F13" s="471"/>
      <c r="G13" s="472" t="s">
        <v>141</v>
      </c>
      <c r="H13" s="472" t="s">
        <v>20</v>
      </c>
      <c r="I13" s="472" t="s">
        <v>21</v>
      </c>
      <c r="J13" s="472" t="s">
        <v>22</v>
      </c>
      <c r="K13" s="472" t="s">
        <v>23</v>
      </c>
      <c r="L13" s="472" t="s">
        <v>24</v>
      </c>
      <c r="M13" s="472" t="s">
        <v>25</v>
      </c>
      <c r="N13" s="472" t="s">
        <v>26</v>
      </c>
      <c r="O13" s="472" t="s">
        <v>27</v>
      </c>
      <c r="P13" s="472" t="s">
        <v>28</v>
      </c>
      <c r="Q13" s="26" t="s">
        <v>192</v>
      </c>
      <c r="R13" s="27" t="s">
        <v>30</v>
      </c>
      <c r="S13" s="28" t="s">
        <v>31</v>
      </c>
      <c r="T13" s="29" t="s">
        <v>32</v>
      </c>
      <c r="V13" s="283"/>
      <c r="W13" s="283"/>
      <c r="X13" s="283"/>
      <c r="Y13" s="283"/>
      <c r="Z13" s="283"/>
      <c r="AA13" s="283"/>
      <c r="AB13" s="283"/>
      <c r="AG13"/>
      <c r="AH13"/>
      <c r="AI13"/>
      <c r="AJ13"/>
      <c r="AK13"/>
      <c r="AM13" s="482" t="s">
        <v>249</v>
      </c>
      <c r="AN13" s="484" t="s">
        <v>259</v>
      </c>
      <c r="AO13" s="484" t="s">
        <v>250</v>
      </c>
      <c r="AP13" s="483" t="s">
        <v>247</v>
      </c>
    </row>
    <row r="14" spans="1:42" s="489" customFormat="1" ht="13.2">
      <c r="A14" s="655"/>
      <c r="B14" s="655"/>
      <c r="C14" s="656"/>
      <c r="D14" s="656"/>
      <c r="E14" s="655"/>
      <c r="F14" s="655"/>
      <c r="G14" s="655"/>
      <c r="H14" s="655"/>
      <c r="I14" s="655"/>
      <c r="J14" s="655"/>
      <c r="K14" s="655" t="s">
        <v>134</v>
      </c>
      <c r="L14" s="655"/>
      <c r="M14" s="655"/>
      <c r="N14" s="655"/>
      <c r="O14" s="657"/>
      <c r="P14" s="655"/>
      <c r="Q14" s="655"/>
      <c r="R14" s="655"/>
      <c r="S14" s="655"/>
      <c r="T14" s="655"/>
    </row>
    <row r="15" spans="1:42" s="489" customFormat="1" ht="12">
      <c r="A15" s="655"/>
      <c r="B15" s="655"/>
      <c r="C15" s="655" t="s">
        <v>135</v>
      </c>
      <c r="D15" s="658"/>
      <c r="E15" s="655"/>
      <c r="F15" s="655"/>
      <c r="G15" s="655"/>
      <c r="H15" s="655"/>
      <c r="I15" s="655"/>
      <c r="J15" s="655"/>
      <c r="K15" s="655"/>
      <c r="L15" s="655"/>
      <c r="M15" s="655"/>
      <c r="N15" s="655"/>
      <c r="O15" s="657"/>
      <c r="P15" s="655"/>
      <c r="Q15" s="655"/>
      <c r="R15" s="655"/>
      <c r="S15" s="655"/>
      <c r="T15" s="655"/>
    </row>
    <row r="16" spans="1:42" s="489" customFormat="1" ht="12">
      <c r="A16" s="655"/>
      <c r="B16" s="655"/>
      <c r="C16" s="655"/>
      <c r="D16" s="658" t="s">
        <v>271</v>
      </c>
      <c r="E16" s="655"/>
      <c r="F16" s="655"/>
      <c r="G16" s="655"/>
      <c r="H16" s="655"/>
      <c r="I16" s="655"/>
      <c r="J16" s="655"/>
      <c r="K16" s="655"/>
      <c r="L16" s="655"/>
      <c r="M16" s="655"/>
      <c r="N16" s="655"/>
      <c r="O16" s="657"/>
      <c r="P16" s="655"/>
      <c r="Q16" s="655"/>
      <c r="R16" s="655"/>
      <c r="S16" s="659"/>
      <c r="T16" s="659"/>
    </row>
    <row r="17" spans="1:41" s="3" customFormat="1" thickBot="1">
      <c r="A17" s="660"/>
      <c r="B17" s="656"/>
      <c r="C17" s="656"/>
      <c r="D17" s="656"/>
      <c r="E17" s="656"/>
      <c r="F17" s="656"/>
      <c r="G17" s="656"/>
      <c r="H17" s="656"/>
      <c r="I17" s="656"/>
      <c r="J17" s="656"/>
      <c r="K17" s="656"/>
      <c r="L17" s="656"/>
      <c r="M17" s="656"/>
      <c r="N17" s="656"/>
      <c r="O17" s="661"/>
      <c r="P17" s="656"/>
      <c r="Q17" s="656"/>
      <c r="R17" s="656"/>
      <c r="S17" s="656"/>
      <c r="T17" s="656"/>
    </row>
    <row r="18" spans="1:41" s="489" customFormat="1" thickTop="1">
      <c r="A18" s="40"/>
      <c r="B18" s="40"/>
      <c r="C18" s="3"/>
      <c r="D18" s="3"/>
      <c r="E18" s="40"/>
      <c r="F18" s="40"/>
      <c r="G18" s="40"/>
      <c r="H18" s="40"/>
      <c r="I18" s="40"/>
      <c r="J18" s="40"/>
      <c r="K18" s="40" t="s">
        <v>134</v>
      </c>
      <c r="L18" s="40"/>
      <c r="M18" s="40"/>
      <c r="N18" s="40"/>
      <c r="O18" s="41"/>
      <c r="P18" s="40"/>
      <c r="Q18" s="40"/>
      <c r="R18" s="40"/>
      <c r="S18" s="40"/>
      <c r="T18" s="40"/>
    </row>
    <row r="19" spans="1:41" s="489" customFormat="1" ht="12">
      <c r="A19" s="40"/>
      <c r="B19" s="40"/>
      <c r="C19" s="40" t="s">
        <v>135</v>
      </c>
      <c r="D19" s="34"/>
      <c r="E19" s="40"/>
      <c r="F19" s="40"/>
      <c r="G19" s="40"/>
      <c r="H19" s="40"/>
      <c r="I19" s="40"/>
      <c r="J19" s="40"/>
      <c r="K19" s="40"/>
      <c r="L19" s="40"/>
      <c r="M19" s="40"/>
      <c r="N19" s="40"/>
      <c r="O19" s="41"/>
      <c r="P19" s="40"/>
      <c r="Q19" s="40"/>
      <c r="R19" s="40"/>
      <c r="S19" s="40"/>
      <c r="T19" s="40"/>
    </row>
    <row r="20" spans="1:41" s="489" customFormat="1" ht="12">
      <c r="A20" s="40"/>
      <c r="B20" s="40"/>
      <c r="C20" s="40"/>
      <c r="D20" s="34" t="s">
        <v>281</v>
      </c>
      <c r="E20" s="40"/>
      <c r="F20" s="40"/>
      <c r="G20" s="40"/>
      <c r="H20" s="40"/>
      <c r="I20" s="40"/>
      <c r="J20" s="40"/>
      <c r="K20" s="40"/>
      <c r="L20" s="40"/>
      <c r="M20" s="40"/>
      <c r="N20" s="40"/>
      <c r="O20" s="41"/>
      <c r="P20" s="40"/>
      <c r="Q20" s="40"/>
      <c r="R20" s="40"/>
      <c r="S20" s="654"/>
      <c r="T20" s="654"/>
    </row>
    <row r="21" spans="1:41" s="3" customFormat="1" thickBot="1">
      <c r="A21" s="505"/>
      <c r="O21" s="81"/>
    </row>
    <row r="22" spans="1:41" s="489" customFormat="1" ht="12" thickTop="1">
      <c r="A22" s="40"/>
      <c r="B22" s="36"/>
      <c r="C22" s="40"/>
      <c r="E22" s="37" t="s">
        <v>137</v>
      </c>
      <c r="F22" s="37" t="s">
        <v>138</v>
      </c>
      <c r="G22" s="40"/>
      <c r="H22" s="40"/>
      <c r="I22" s="40"/>
      <c r="J22" s="40"/>
      <c r="K22" s="40" t="s">
        <v>139</v>
      </c>
      <c r="L22" s="40"/>
      <c r="M22" s="40"/>
      <c r="N22" s="40"/>
      <c r="O22" s="41"/>
      <c r="P22" s="40"/>
      <c r="Q22" s="40"/>
      <c r="R22" s="40"/>
      <c r="S22" s="40"/>
      <c r="T22" s="36"/>
      <c r="AG22" s="662" t="s">
        <v>238</v>
      </c>
      <c r="AH22" s="662" t="s">
        <v>239</v>
      </c>
      <c r="AI22" s="662" t="s">
        <v>240</v>
      </c>
      <c r="AJ22" s="662" t="s">
        <v>241</v>
      </c>
      <c r="AK22" s="662" t="s">
        <v>242</v>
      </c>
      <c r="AM22" s="663" t="s">
        <v>251</v>
      </c>
      <c r="AN22" s="664" t="s">
        <v>252</v>
      </c>
      <c r="AO22" s="490" t="s">
        <v>248</v>
      </c>
    </row>
    <row r="23" spans="1:41" s="489" customFormat="1" ht="12" customHeight="1">
      <c r="A23" s="1001">
        <v>1</v>
      </c>
      <c r="B23" s="491" t="s">
        <v>140</v>
      </c>
      <c r="C23" s="492"/>
      <c r="D23" s="666" t="s">
        <v>496</v>
      </c>
      <c r="E23" s="667">
        <f>IF(AND($A23=0,$A$1="DIF"),0, ROUND(ROUND(($R32*$S$2+($T32*$T$2))/A23,2)*$C$2,2))</f>
        <v>39.03</v>
      </c>
      <c r="F23" s="668">
        <f>ROUND($A23*$E23,2)</f>
        <v>39.03</v>
      </c>
      <c r="G23" s="493" t="s">
        <v>141</v>
      </c>
      <c r="H23" s="486"/>
      <c r="I23" s="669"/>
      <c r="J23" s="486"/>
      <c r="K23" s="486" t="s">
        <v>3</v>
      </c>
      <c r="L23" s="670" t="s">
        <v>142</v>
      </c>
      <c r="M23" s="670"/>
      <c r="N23" s="670"/>
      <c r="O23" s="670"/>
      <c r="P23" s="670"/>
      <c r="Q23" s="40"/>
      <c r="T23" s="671" t="str">
        <f>IF(AND($R32=0,$T32=0),"0.00","mu :" &amp; ROUND($F23/$C$2/($R32+$T32*$D$9),2))</f>
        <v>mu :1</v>
      </c>
      <c r="W23" s="494"/>
      <c r="AG23" s="447">
        <f>IF($E23=0,0,ROUND($R32*$S$2*$C$2/$A23,2))</f>
        <v>5.53</v>
      </c>
      <c r="AH23" s="447">
        <f>$AG23*$A23</f>
        <v>5.53</v>
      </c>
      <c r="AI23" s="495">
        <f>$E23-$AG23</f>
        <v>33.5</v>
      </c>
      <c r="AJ23" s="495">
        <f>$A23*$AI23</f>
        <v>33.5</v>
      </c>
      <c r="AK23" s="496">
        <f>ROUND(($AG23+$AI23)*$A23,2)</f>
        <v>39.03</v>
      </c>
      <c r="AM23" s="497">
        <f>ROUND(R32,2)</f>
        <v>5.53</v>
      </c>
      <c r="AN23" s="498">
        <f>ROUND(T32,2)</f>
        <v>1.22</v>
      </c>
      <c r="AO23" s="499">
        <f>ROUND(AM23+AN23,2)*A23</f>
        <v>6.75</v>
      </c>
    </row>
    <row r="24" spans="1:41" s="489" customFormat="1" ht="48">
      <c r="A24" s="492"/>
      <c r="B24"/>
      <c r="C24" s="492"/>
      <c r="D24" s="756" t="s">
        <v>283</v>
      </c>
      <c r="E24" s="757"/>
      <c r="F24" s="757"/>
      <c r="G24" s="757"/>
      <c r="H24" s="757"/>
      <c r="I24" s="757"/>
      <c r="J24" s="757"/>
      <c r="K24" s="757"/>
      <c r="L24" s="757"/>
      <c r="M24" s="757"/>
      <c r="N24" s="757"/>
      <c r="O24" s="757"/>
      <c r="P24" s="757"/>
      <c r="Q24" s="757"/>
      <c r="R24" s="758"/>
      <c r="S24" s="757"/>
      <c r="T24" s="757"/>
    </row>
    <row r="25" spans="1:41" s="915" customFormat="1" ht="13.2">
      <c r="A25">
        <v>1</v>
      </c>
      <c r="B25" s="915" t="s">
        <v>269</v>
      </c>
      <c r="D25" s="915" t="s">
        <v>586</v>
      </c>
      <c r="G25" s="916" t="s">
        <v>584</v>
      </c>
      <c r="H25" s="917">
        <v>501</v>
      </c>
      <c r="I25" s="915" t="s">
        <v>558</v>
      </c>
      <c r="K25" s="915" t="s">
        <v>585</v>
      </c>
      <c r="O25" s="918">
        <v>1</v>
      </c>
      <c r="P25" s="919">
        <v>35705</v>
      </c>
      <c r="Q25" s="999">
        <v>0</v>
      </c>
      <c r="R25" s="921">
        <f>$A25*Q25</f>
        <v>0</v>
      </c>
      <c r="S25" s="920">
        <v>0.5</v>
      </c>
      <c r="T25" s="922">
        <f>$A25*S25*$T$1</f>
        <v>0.5</v>
      </c>
    </row>
    <row r="26" spans="1:41" s="915" customFormat="1" ht="13.2">
      <c r="A26">
        <v>2</v>
      </c>
      <c r="B26" s="915" t="s">
        <v>277</v>
      </c>
      <c r="D26" s="915" t="s">
        <v>579</v>
      </c>
      <c r="G26" s="916" t="s">
        <v>565</v>
      </c>
      <c r="H26" s="917">
        <v>616</v>
      </c>
      <c r="I26" s="915" t="s">
        <v>558</v>
      </c>
      <c r="K26" s="915" t="s">
        <v>566</v>
      </c>
      <c r="O26" s="918">
        <v>2</v>
      </c>
      <c r="P26" s="919">
        <v>38299</v>
      </c>
      <c r="Q26" s="920">
        <v>1.93</v>
      </c>
      <c r="R26" s="921">
        <f t="shared" ref="R26:R30" si="0">$A26*Q26</f>
        <v>3.86</v>
      </c>
      <c r="S26" s="920">
        <v>0.06</v>
      </c>
      <c r="T26" s="922">
        <f t="shared" ref="T26:T30" si="1">$A26*S26*$T$1</f>
        <v>0.12</v>
      </c>
    </row>
    <row r="27" spans="1:41" s="915" customFormat="1" ht="13.2">
      <c r="A27">
        <v>2</v>
      </c>
      <c r="B27" s="915" t="s">
        <v>140</v>
      </c>
      <c r="D27" s="915" t="s">
        <v>580</v>
      </c>
      <c r="G27" s="916" t="s">
        <v>568</v>
      </c>
      <c r="H27" s="917">
        <v>620</v>
      </c>
      <c r="I27" s="915" t="s">
        <v>558</v>
      </c>
      <c r="O27" s="918">
        <v>2</v>
      </c>
      <c r="P27" s="919">
        <v>35431</v>
      </c>
      <c r="Q27" s="920">
        <v>0.41</v>
      </c>
      <c r="R27" s="921">
        <f t="shared" si="0"/>
        <v>0.82</v>
      </c>
      <c r="S27" s="920">
        <v>0.2</v>
      </c>
      <c r="T27" s="922">
        <f t="shared" si="1"/>
        <v>0.4</v>
      </c>
    </row>
    <row r="28" spans="1:41" s="915" customFormat="1" ht="13.2">
      <c r="A28">
        <v>10</v>
      </c>
      <c r="B28" s="915" t="s">
        <v>140</v>
      </c>
      <c r="D28" s="915" t="s">
        <v>581</v>
      </c>
      <c r="G28" s="916" t="s">
        <v>582</v>
      </c>
      <c r="H28" s="917">
        <v>620</v>
      </c>
      <c r="I28" s="915" t="s">
        <v>571</v>
      </c>
      <c r="O28" s="918">
        <v>2</v>
      </c>
      <c r="P28" s="919">
        <v>34669</v>
      </c>
      <c r="Q28" s="920">
        <v>0.05</v>
      </c>
      <c r="R28" s="921">
        <f t="shared" si="0"/>
        <v>0.5</v>
      </c>
      <c r="S28" s="920">
        <v>0.02</v>
      </c>
      <c r="T28" s="922">
        <f t="shared" si="1"/>
        <v>0.2</v>
      </c>
    </row>
    <row r="29" spans="1:41" s="915" customFormat="1" ht="13.2">
      <c r="A29">
        <v>2</v>
      </c>
      <c r="B29" s="915" t="s">
        <v>140</v>
      </c>
      <c r="D29" s="915" t="s">
        <v>572</v>
      </c>
      <c r="G29" s="916" t="s">
        <v>573</v>
      </c>
      <c r="H29" s="917">
        <v>620</v>
      </c>
      <c r="I29" s="915" t="s">
        <v>558</v>
      </c>
      <c r="O29" s="918">
        <v>2</v>
      </c>
      <c r="P29" s="919"/>
      <c r="Q29" s="920">
        <v>0.1</v>
      </c>
      <c r="R29" s="921">
        <f t="shared" si="0"/>
        <v>0.2</v>
      </c>
      <c r="S29" s="920"/>
      <c r="T29" s="922">
        <f t="shared" si="1"/>
        <v>0</v>
      </c>
    </row>
    <row r="30" spans="1:41" s="915" customFormat="1" ht="13.2">
      <c r="A30">
        <v>3</v>
      </c>
      <c r="B30" s="915" t="s">
        <v>140</v>
      </c>
      <c r="D30" s="915" t="s">
        <v>574</v>
      </c>
      <c r="G30" s="916" t="s">
        <v>575</v>
      </c>
      <c r="H30" s="917">
        <v>875</v>
      </c>
      <c r="I30" s="915" t="s">
        <v>558</v>
      </c>
      <c r="K30" s="915" t="s">
        <v>576</v>
      </c>
      <c r="O30" s="918">
        <v>1</v>
      </c>
      <c r="P30" s="919">
        <v>34669</v>
      </c>
      <c r="Q30" s="920">
        <v>0.05</v>
      </c>
      <c r="R30" s="921">
        <f t="shared" si="0"/>
        <v>0.15000000000000002</v>
      </c>
      <c r="S30" s="920"/>
      <c r="T30" s="922">
        <f t="shared" si="1"/>
        <v>0</v>
      </c>
    </row>
    <row r="31" spans="1:41" s="489" customFormat="1" ht="12">
      <c r="A31" s="485"/>
      <c r="B31" s="485"/>
      <c r="C31" s="485"/>
      <c r="D31" s="1002" t="s">
        <v>605</v>
      </c>
      <c r="E31" s="1002"/>
      <c r="F31" s="486"/>
      <c r="G31" s="485"/>
      <c r="H31" s="485"/>
      <c r="I31" s="487"/>
      <c r="J31" s="485"/>
      <c r="K31" s="485"/>
      <c r="L31" s="485"/>
      <c r="M31" s="485"/>
      <c r="N31" s="485"/>
      <c r="O31" s="485"/>
      <c r="P31" s="485"/>
      <c r="Q31" s="487"/>
      <c r="R31" s="673">
        <f t="shared" ref="R31" si="2">$A31*Q31</f>
        <v>0</v>
      </c>
      <c r="S31" s="487"/>
      <c r="T31" s="488">
        <f t="shared" ref="T31" si="3">$A31*S31*$T$1</f>
        <v>0</v>
      </c>
    </row>
    <row r="32" spans="1:41" s="489" customFormat="1" ht="12.6" thickBot="1">
      <c r="A32" s="500" t="s">
        <v>144</v>
      </c>
      <c r="B32" s="501">
        <f>(R31+T31)</f>
        <v>0</v>
      </c>
      <c r="C32" s="502"/>
      <c r="D32" s="502"/>
      <c r="E32" s="502"/>
      <c r="F32" s="674"/>
      <c r="G32" s="502" t="s">
        <v>145</v>
      </c>
      <c r="H32" s="502"/>
      <c r="I32" s="503"/>
      <c r="J32" s="502"/>
      <c r="K32" s="502" t="s">
        <v>3</v>
      </c>
      <c r="L32" s="504" t="s">
        <v>142</v>
      </c>
      <c r="M32" s="504"/>
      <c r="N32" s="504"/>
      <c r="O32" s="504"/>
      <c r="P32" s="504"/>
      <c r="Q32" s="675"/>
      <c r="R32" s="676">
        <f>SUM(R24:R31)</f>
        <v>5.53</v>
      </c>
      <c r="S32" s="502"/>
      <c r="T32" s="676">
        <f>SUM(T24:T31)</f>
        <v>1.22</v>
      </c>
      <c r="U32" s="505"/>
      <c r="V32" s="505"/>
      <c r="W32" s="505"/>
      <c r="X32" s="505"/>
      <c r="Y32" s="505"/>
      <c r="Z32" s="505"/>
      <c r="AA32" s="505"/>
      <c r="AB32" s="505"/>
      <c r="AC32" s="505"/>
      <c r="AD32" s="505"/>
      <c r="AE32" s="505"/>
      <c r="AF32" s="505"/>
      <c r="AG32" s="505"/>
      <c r="AH32" s="505"/>
      <c r="AI32" s="505"/>
      <c r="AJ32" s="505"/>
      <c r="AK32" s="505"/>
      <c r="AL32" s="505"/>
      <c r="AM32" s="505"/>
      <c r="AN32" s="505"/>
      <c r="AO32" s="505"/>
    </row>
    <row r="33" spans="1:41" s="489" customFormat="1" thickTop="1">
      <c r="A33" s="40"/>
      <c r="B33" s="40"/>
      <c r="C33" s="3"/>
      <c r="D33" s="3"/>
      <c r="E33" s="40"/>
      <c r="F33" s="40"/>
      <c r="G33" s="40"/>
      <c r="H33" s="40"/>
      <c r="I33" s="40"/>
      <c r="J33" s="40"/>
      <c r="K33" s="40" t="s">
        <v>134</v>
      </c>
      <c r="L33" s="40"/>
      <c r="M33" s="40"/>
      <c r="N33" s="40"/>
      <c r="O33" s="41"/>
      <c r="P33" s="40"/>
      <c r="Q33" s="40"/>
      <c r="R33" s="40"/>
      <c r="S33" s="40"/>
      <c r="T33" s="40"/>
    </row>
    <row r="34" spans="1:41" s="489" customFormat="1" ht="12">
      <c r="A34" s="40"/>
      <c r="B34" s="40"/>
      <c r="C34" s="40" t="s">
        <v>135</v>
      </c>
      <c r="D34" s="34"/>
      <c r="E34" s="40"/>
      <c r="F34" s="40"/>
      <c r="G34" s="40"/>
      <c r="H34" s="40"/>
      <c r="I34" s="40"/>
      <c r="J34" s="40"/>
      <c r="K34" s="40"/>
      <c r="L34" s="40"/>
      <c r="M34" s="40"/>
      <c r="N34" s="40"/>
      <c r="O34" s="41"/>
      <c r="P34" s="40"/>
      <c r="Q34" s="40"/>
      <c r="R34" s="40"/>
      <c r="S34" s="40"/>
      <c r="T34" s="40"/>
    </row>
    <row r="35" spans="1:41" s="489" customFormat="1" ht="12">
      <c r="A35" s="40"/>
      <c r="B35" s="40"/>
      <c r="C35" s="40"/>
      <c r="D35" s="34" t="s">
        <v>298</v>
      </c>
      <c r="E35" s="40"/>
      <c r="F35" s="40"/>
      <c r="G35" s="40"/>
      <c r="H35" s="40"/>
      <c r="I35" s="40"/>
      <c r="J35" s="40"/>
      <c r="K35" s="40"/>
      <c r="L35" s="40"/>
      <c r="M35" s="40"/>
      <c r="N35" s="40"/>
      <c r="O35" s="41"/>
      <c r="P35" s="40"/>
      <c r="Q35" s="40"/>
      <c r="R35" s="40"/>
      <c r="S35" s="654"/>
      <c r="T35" s="654"/>
    </row>
    <row r="36" spans="1:41" s="3" customFormat="1" thickBot="1">
      <c r="A36" s="505"/>
      <c r="O36" s="81"/>
    </row>
    <row r="37" spans="1:41" s="489" customFormat="1" ht="12" thickTop="1">
      <c r="A37" s="40"/>
      <c r="B37" s="36"/>
      <c r="C37" s="40"/>
      <c r="E37" s="37" t="s">
        <v>137</v>
      </c>
      <c r="F37" s="37" t="s">
        <v>138</v>
      </c>
      <c r="G37" s="40"/>
      <c r="H37" s="40"/>
      <c r="I37" s="40"/>
      <c r="J37" s="40"/>
      <c r="K37" s="40" t="s">
        <v>139</v>
      </c>
      <c r="L37" s="40"/>
      <c r="M37" s="40"/>
      <c r="N37" s="40"/>
      <c r="O37" s="41"/>
      <c r="P37" s="40"/>
      <c r="Q37" s="40"/>
      <c r="R37" s="40"/>
      <c r="S37" s="40"/>
      <c r="T37" s="36"/>
      <c r="AG37" s="662" t="s">
        <v>238</v>
      </c>
      <c r="AH37" s="662" t="s">
        <v>239</v>
      </c>
      <c r="AI37" s="662" t="s">
        <v>240</v>
      </c>
      <c r="AJ37" s="662" t="s">
        <v>241</v>
      </c>
      <c r="AK37" s="662" t="s">
        <v>242</v>
      </c>
      <c r="AM37" s="663" t="s">
        <v>251</v>
      </c>
      <c r="AN37" s="664" t="s">
        <v>252</v>
      </c>
      <c r="AO37" s="490" t="s">
        <v>248</v>
      </c>
    </row>
    <row r="38" spans="1:41" s="489" customFormat="1" ht="12" customHeight="1">
      <c r="A38" s="1001">
        <v>1</v>
      </c>
      <c r="B38" s="491" t="s">
        <v>140</v>
      </c>
      <c r="C38" s="492"/>
      <c r="D38" s="666" t="s">
        <v>622</v>
      </c>
      <c r="E38" s="667">
        <f>IF(AND($A38=0,$A$1="DIF"),0, ROUND(ROUND(($R47*$S$2+($T47*$T$2))/A38,2)*$C$2,2))</f>
        <v>39.03</v>
      </c>
      <c r="F38" s="668">
        <f>ROUND($A38*$E38,2)</f>
        <v>39.03</v>
      </c>
      <c r="G38" s="493" t="s">
        <v>141</v>
      </c>
      <c r="H38" s="486"/>
      <c r="I38" s="669"/>
      <c r="J38" s="486"/>
      <c r="K38" s="486" t="s">
        <v>3</v>
      </c>
      <c r="L38" s="670" t="s">
        <v>142</v>
      </c>
      <c r="M38" s="670"/>
      <c r="N38" s="670"/>
      <c r="O38" s="670"/>
      <c r="P38" s="670"/>
      <c r="Q38" s="40"/>
      <c r="T38" s="671" t="str">
        <f>IF(AND($R47=0,$T47=0),"0.00","mu :" &amp; ROUND($F38/$C$2/($R47+$T47*$D$9),2))</f>
        <v>mu :1</v>
      </c>
      <c r="W38" s="494"/>
      <c r="AG38" s="447">
        <f>IF($E38=0,0,ROUND($R47*$S$2*$C$2/$A38,2))</f>
        <v>5.53</v>
      </c>
      <c r="AH38" s="447">
        <f>$AG38*$A38</f>
        <v>5.53</v>
      </c>
      <c r="AI38" s="495">
        <f>$E38-$AG38</f>
        <v>33.5</v>
      </c>
      <c r="AJ38" s="495">
        <f>$A38*$AI38</f>
        <v>33.5</v>
      </c>
      <c r="AK38" s="496">
        <f>ROUND(($AG38+$AI38)*$A38,2)</f>
        <v>39.03</v>
      </c>
      <c r="AM38" s="497">
        <f>ROUND(R47,2)</f>
        <v>5.53</v>
      </c>
      <c r="AN38" s="498">
        <f>ROUND(T47,2)</f>
        <v>1.22</v>
      </c>
      <c r="AO38" s="499">
        <f>ROUND(AM38+AN38,2)*A38</f>
        <v>6.75</v>
      </c>
    </row>
    <row r="39" spans="1:41" s="489" customFormat="1" ht="41.4" customHeight="1">
      <c r="A39" s="492"/>
      <c r="B39"/>
      <c r="C39" s="492"/>
      <c r="D39" s="756" t="s">
        <v>301</v>
      </c>
      <c r="E39" s="757"/>
      <c r="F39" s="757"/>
      <c r="G39" s="757"/>
      <c r="H39" s="757"/>
      <c r="I39" s="757"/>
      <c r="J39" s="757"/>
      <c r="K39" s="757"/>
      <c r="L39" s="757"/>
      <c r="M39" s="757"/>
      <c r="N39" s="757"/>
      <c r="O39" s="757"/>
      <c r="P39" s="757"/>
      <c r="Q39" s="757"/>
      <c r="R39" s="758"/>
      <c r="S39" s="757"/>
      <c r="T39" s="757"/>
    </row>
    <row r="40" spans="1:41" s="915" customFormat="1" ht="13.2">
      <c r="A40">
        <v>1</v>
      </c>
      <c r="B40" s="915" t="s">
        <v>269</v>
      </c>
      <c r="D40" s="915" t="s">
        <v>586</v>
      </c>
      <c r="G40" s="916" t="s">
        <v>584</v>
      </c>
      <c r="H40" s="917">
        <v>501</v>
      </c>
      <c r="I40" s="915" t="s">
        <v>558</v>
      </c>
      <c r="K40" s="915" t="s">
        <v>585</v>
      </c>
      <c r="O40" s="918">
        <v>1</v>
      </c>
      <c r="P40" s="919">
        <v>35705</v>
      </c>
      <c r="Q40" s="999">
        <v>0</v>
      </c>
      <c r="R40" s="921">
        <f>$A40*Q40</f>
        <v>0</v>
      </c>
      <c r="S40" s="920">
        <v>0.5</v>
      </c>
      <c r="T40" s="922">
        <f>$A40*S40*$T$1</f>
        <v>0.5</v>
      </c>
    </row>
    <row r="41" spans="1:41" s="915" customFormat="1" ht="13.2">
      <c r="A41">
        <v>2</v>
      </c>
      <c r="B41" s="915" t="s">
        <v>277</v>
      </c>
      <c r="D41" s="915" t="s">
        <v>579</v>
      </c>
      <c r="G41" s="916" t="s">
        <v>565</v>
      </c>
      <c r="H41" s="917">
        <v>616</v>
      </c>
      <c r="I41" s="915" t="s">
        <v>558</v>
      </c>
      <c r="K41" s="915" t="s">
        <v>566</v>
      </c>
      <c r="O41" s="918">
        <v>2</v>
      </c>
      <c r="P41" s="919">
        <v>38299</v>
      </c>
      <c r="Q41" s="920">
        <v>1.93</v>
      </c>
      <c r="R41" s="921">
        <f t="shared" ref="R41:R46" si="4">$A41*Q41</f>
        <v>3.86</v>
      </c>
      <c r="S41" s="920">
        <v>0.06</v>
      </c>
      <c r="T41" s="922">
        <f t="shared" ref="T41:T46" si="5">$A41*S41*$T$1</f>
        <v>0.12</v>
      </c>
    </row>
    <row r="42" spans="1:41" s="915" customFormat="1" ht="13.2">
      <c r="A42">
        <v>2</v>
      </c>
      <c r="B42" s="915" t="s">
        <v>140</v>
      </c>
      <c r="D42" s="915" t="s">
        <v>580</v>
      </c>
      <c r="G42" s="916" t="s">
        <v>568</v>
      </c>
      <c r="H42" s="917">
        <v>620</v>
      </c>
      <c r="I42" s="915" t="s">
        <v>558</v>
      </c>
      <c r="O42" s="918">
        <v>2</v>
      </c>
      <c r="P42" s="919">
        <v>35431</v>
      </c>
      <c r="Q42" s="920">
        <v>0.41</v>
      </c>
      <c r="R42" s="921">
        <f t="shared" si="4"/>
        <v>0.82</v>
      </c>
      <c r="S42" s="920">
        <v>0.2</v>
      </c>
      <c r="T42" s="922">
        <f t="shared" si="5"/>
        <v>0.4</v>
      </c>
    </row>
    <row r="43" spans="1:41" s="915" customFormat="1" ht="13.2">
      <c r="A43">
        <v>10</v>
      </c>
      <c r="B43" s="915" t="s">
        <v>140</v>
      </c>
      <c r="D43" s="915" t="s">
        <v>581</v>
      </c>
      <c r="G43" s="916" t="s">
        <v>582</v>
      </c>
      <c r="H43" s="917">
        <v>620</v>
      </c>
      <c r="I43" s="915" t="s">
        <v>571</v>
      </c>
      <c r="O43" s="918">
        <v>2</v>
      </c>
      <c r="P43" s="919">
        <v>34669</v>
      </c>
      <c r="Q43" s="920">
        <v>0.05</v>
      </c>
      <c r="R43" s="921">
        <f t="shared" si="4"/>
        <v>0.5</v>
      </c>
      <c r="S43" s="920">
        <v>0.02</v>
      </c>
      <c r="T43" s="922">
        <f t="shared" si="5"/>
        <v>0.2</v>
      </c>
    </row>
    <row r="44" spans="1:41" s="915" customFormat="1" ht="13.2">
      <c r="A44">
        <v>2</v>
      </c>
      <c r="B44" s="915" t="s">
        <v>140</v>
      </c>
      <c r="D44" s="915" t="s">
        <v>572</v>
      </c>
      <c r="G44" s="916" t="s">
        <v>573</v>
      </c>
      <c r="H44" s="917">
        <v>620</v>
      </c>
      <c r="I44" s="915" t="s">
        <v>558</v>
      </c>
      <c r="O44" s="918">
        <v>2</v>
      </c>
      <c r="P44" s="919"/>
      <c r="Q44" s="920">
        <v>0.1</v>
      </c>
      <c r="R44" s="921">
        <f t="shared" si="4"/>
        <v>0.2</v>
      </c>
      <c r="S44" s="920"/>
      <c r="T44" s="922">
        <f t="shared" si="5"/>
        <v>0</v>
      </c>
    </row>
    <row r="45" spans="1:41" s="915" customFormat="1" ht="13.2">
      <c r="A45">
        <v>3</v>
      </c>
      <c r="B45" s="915" t="s">
        <v>140</v>
      </c>
      <c r="D45" s="915" t="s">
        <v>574</v>
      </c>
      <c r="G45" s="916" t="s">
        <v>575</v>
      </c>
      <c r="H45" s="917">
        <v>875</v>
      </c>
      <c r="I45" s="915" t="s">
        <v>558</v>
      </c>
      <c r="K45" s="915" t="s">
        <v>576</v>
      </c>
      <c r="O45" s="918">
        <v>1</v>
      </c>
      <c r="P45" s="919">
        <v>34669</v>
      </c>
      <c r="Q45" s="920">
        <v>0.05</v>
      </c>
      <c r="R45" s="921">
        <f t="shared" si="4"/>
        <v>0.15000000000000002</v>
      </c>
      <c r="S45" s="920"/>
      <c r="T45" s="922">
        <f t="shared" si="5"/>
        <v>0</v>
      </c>
    </row>
    <row r="46" spans="1:41" s="489" customFormat="1" ht="12">
      <c r="A46" s="485"/>
      <c r="B46" s="485"/>
      <c r="C46" s="485"/>
      <c r="D46" s="1002" t="s">
        <v>605</v>
      </c>
      <c r="E46" s="1002"/>
      <c r="F46" s="486"/>
      <c r="G46" s="485"/>
      <c r="H46" s="485"/>
      <c r="I46" s="487"/>
      <c r="J46" s="485"/>
      <c r="K46" s="485"/>
      <c r="L46" s="485"/>
      <c r="M46" s="485"/>
      <c r="N46" s="485"/>
      <c r="O46" s="485"/>
      <c r="P46" s="485"/>
      <c r="Q46" s="487"/>
      <c r="R46" s="673">
        <f t="shared" si="4"/>
        <v>0</v>
      </c>
      <c r="S46" s="487"/>
      <c r="T46" s="488">
        <f t="shared" si="5"/>
        <v>0</v>
      </c>
    </row>
    <row r="47" spans="1:41" s="489" customFormat="1" ht="12.6" thickBot="1">
      <c r="A47" s="500" t="s">
        <v>144</v>
      </c>
      <c r="B47" s="501" t="e">
        <f>(#REF!+#REF!)</f>
        <v>#REF!</v>
      </c>
      <c r="C47" s="502"/>
      <c r="D47" s="502"/>
      <c r="E47" s="502"/>
      <c r="F47" s="674"/>
      <c r="G47" s="502" t="s">
        <v>145</v>
      </c>
      <c r="H47" s="502"/>
      <c r="I47" s="503"/>
      <c r="J47" s="502"/>
      <c r="K47" s="502" t="s">
        <v>3</v>
      </c>
      <c r="L47" s="504" t="s">
        <v>142</v>
      </c>
      <c r="M47" s="504"/>
      <c r="N47" s="504"/>
      <c r="O47" s="504"/>
      <c r="P47" s="504"/>
      <c r="Q47" s="675"/>
      <c r="R47" s="676">
        <f>SUM(R39:R46)</f>
        <v>5.53</v>
      </c>
      <c r="S47" s="502"/>
      <c r="T47" s="676">
        <f>SUM(T39:T46)</f>
        <v>1.22</v>
      </c>
      <c r="U47" s="505"/>
      <c r="V47" s="505"/>
      <c r="W47" s="505"/>
      <c r="X47" s="505"/>
      <c r="Y47" s="505"/>
      <c r="Z47" s="505"/>
      <c r="AA47" s="505"/>
      <c r="AB47" s="505"/>
      <c r="AC47" s="505"/>
      <c r="AD47" s="505"/>
      <c r="AE47" s="505"/>
      <c r="AF47" s="505"/>
      <c r="AG47" s="505"/>
      <c r="AH47" s="505"/>
      <c r="AI47" s="505"/>
      <c r="AJ47" s="505"/>
      <c r="AK47" s="505"/>
      <c r="AL47" s="505"/>
      <c r="AM47" s="505"/>
      <c r="AN47" s="505"/>
      <c r="AO47" s="505"/>
    </row>
    <row r="48" spans="1:41" s="489" customFormat="1" thickTop="1">
      <c r="A48" s="40"/>
      <c r="B48" s="40"/>
      <c r="C48" s="3"/>
      <c r="D48" s="3"/>
      <c r="E48" s="40"/>
      <c r="F48" s="40"/>
      <c r="G48" s="40"/>
      <c r="H48" s="40"/>
      <c r="I48" s="40"/>
      <c r="J48" s="40"/>
      <c r="K48" s="40" t="s">
        <v>134</v>
      </c>
      <c r="L48" s="40"/>
      <c r="M48" s="40"/>
      <c r="N48" s="40"/>
      <c r="O48" s="41"/>
      <c r="P48" s="40"/>
      <c r="Q48" s="40"/>
      <c r="R48" s="40"/>
      <c r="S48" s="40"/>
      <c r="T48" s="40"/>
    </row>
    <row r="49" spans="1:41" s="489" customFormat="1" ht="12">
      <c r="A49" s="40"/>
      <c r="B49" s="40"/>
      <c r="C49" s="40" t="s">
        <v>135</v>
      </c>
      <c r="D49" s="34"/>
      <c r="E49" s="40"/>
      <c r="F49" s="40"/>
      <c r="G49" s="40"/>
      <c r="H49" s="40"/>
      <c r="I49" s="40"/>
      <c r="J49" s="40"/>
      <c r="K49" s="40"/>
      <c r="L49" s="40"/>
      <c r="M49" s="40"/>
      <c r="N49" s="40"/>
      <c r="O49" s="41"/>
      <c r="P49" s="40"/>
      <c r="Q49" s="40"/>
      <c r="R49" s="40"/>
      <c r="S49" s="40"/>
      <c r="T49" s="40"/>
    </row>
    <row r="50" spans="1:41" s="489" customFormat="1" ht="12">
      <c r="A50" s="40"/>
      <c r="B50" s="40"/>
      <c r="C50" s="40"/>
      <c r="D50" s="34" t="s">
        <v>497</v>
      </c>
      <c r="E50" s="40"/>
      <c r="F50" s="40"/>
      <c r="G50" s="40"/>
      <c r="H50" s="40"/>
      <c r="I50" s="40"/>
      <c r="J50" s="40"/>
      <c r="K50" s="40"/>
      <c r="L50" s="40"/>
      <c r="M50" s="40"/>
      <c r="N50" s="40"/>
      <c r="O50" s="41"/>
      <c r="P50" s="40"/>
      <c r="Q50" s="40"/>
      <c r="R50" s="40"/>
      <c r="S50" s="654"/>
      <c r="T50" s="654"/>
    </row>
    <row r="51" spans="1:41" s="3" customFormat="1" thickBot="1">
      <c r="A51" s="505"/>
      <c r="O51" s="81"/>
    </row>
    <row r="52" spans="1:41" s="489" customFormat="1" ht="12" thickTop="1">
      <c r="A52" s="40"/>
      <c r="B52" s="36"/>
      <c r="C52" s="40"/>
      <c r="E52" s="37" t="s">
        <v>137</v>
      </c>
      <c r="F52" s="37" t="s">
        <v>138</v>
      </c>
      <c r="G52" s="40"/>
      <c r="H52" s="40"/>
      <c r="I52" s="40"/>
      <c r="J52" s="40"/>
      <c r="K52" s="40" t="s">
        <v>139</v>
      </c>
      <c r="L52" s="40"/>
      <c r="M52" s="40"/>
      <c r="N52" s="40"/>
      <c r="O52" s="41"/>
      <c r="P52" s="40"/>
      <c r="Q52" s="40"/>
      <c r="R52" s="40"/>
      <c r="S52" s="40"/>
      <c r="T52" s="36"/>
      <c r="AG52" s="662" t="s">
        <v>238</v>
      </c>
      <c r="AH52" s="662" t="s">
        <v>239</v>
      </c>
      <c r="AI52" s="662" t="s">
        <v>240</v>
      </c>
      <c r="AJ52" s="662" t="s">
        <v>241</v>
      </c>
      <c r="AK52" s="662" t="s">
        <v>242</v>
      </c>
      <c r="AM52" s="663" t="s">
        <v>251</v>
      </c>
      <c r="AN52" s="664" t="s">
        <v>252</v>
      </c>
      <c r="AO52" s="490" t="s">
        <v>248</v>
      </c>
    </row>
    <row r="53" spans="1:41" s="489" customFormat="1" ht="12" customHeight="1">
      <c r="A53" s="1001">
        <v>1</v>
      </c>
      <c r="B53" s="491" t="s">
        <v>140</v>
      </c>
      <c r="C53" s="492"/>
      <c r="D53" s="666" t="s">
        <v>498</v>
      </c>
      <c r="E53" s="667">
        <f>IF(AND($A53=0,$A$1="DIF"),0, ROUND(ROUND(($R63*$S$2+($T63*$T$2))/A53,2)*$C$2,2))</f>
        <v>34.770000000000003</v>
      </c>
      <c r="F53" s="668">
        <f>ROUND($A53*$E53,2)</f>
        <v>34.770000000000003</v>
      </c>
      <c r="G53" s="493" t="s">
        <v>141</v>
      </c>
      <c r="H53" s="486"/>
      <c r="I53" s="669"/>
      <c r="J53" s="486"/>
      <c r="K53" s="486" t="s">
        <v>3</v>
      </c>
      <c r="L53" s="670" t="s">
        <v>142</v>
      </c>
      <c r="M53" s="670"/>
      <c r="N53" s="670"/>
      <c r="O53" s="670"/>
      <c r="P53" s="670"/>
      <c r="Q53" s="40"/>
      <c r="T53" s="671" t="str">
        <f>IF(AND($R63=0,$T63=0),"0.00","mu :" &amp; ROUND($F53/$C$2/($R63+$T63*$D$9),2))</f>
        <v>mu :1</v>
      </c>
      <c r="W53" s="494"/>
      <c r="AG53" s="447">
        <f>IF($E53=0,0,ROUND($R63*$S$2*$C$2/$A53,2))</f>
        <v>4.01</v>
      </c>
      <c r="AH53" s="447">
        <f>$AG53*$A53</f>
        <v>4.01</v>
      </c>
      <c r="AI53" s="495">
        <f>$E53-$AG53</f>
        <v>30.760000000000005</v>
      </c>
      <c r="AJ53" s="495">
        <f>$A53*$AI53</f>
        <v>30.760000000000005</v>
      </c>
      <c r="AK53" s="496">
        <f>ROUND(($AG53+$AI53)*$A53,2)</f>
        <v>34.770000000000003</v>
      </c>
      <c r="AM53" s="497">
        <f>ROUND(R63,2)</f>
        <v>4.01</v>
      </c>
      <c r="AN53" s="498">
        <f>ROUND(T63,2)</f>
        <v>1.1200000000000001</v>
      </c>
      <c r="AO53" s="499">
        <f>ROUND(AM53+AN53,2)*A53</f>
        <v>5.13</v>
      </c>
    </row>
    <row r="54" spans="1:41" s="489" customFormat="1" ht="36">
      <c r="A54" s="492"/>
      <c r="B54"/>
      <c r="C54" s="492"/>
      <c r="D54" s="756" t="s">
        <v>311</v>
      </c>
      <c r="E54" s="757"/>
      <c r="F54" s="757"/>
      <c r="G54" s="757"/>
      <c r="H54" s="757"/>
      <c r="I54" s="757"/>
      <c r="J54" s="757"/>
      <c r="K54" s="757"/>
      <c r="L54" s="757"/>
      <c r="M54" s="757"/>
      <c r="N54" s="757"/>
      <c r="O54" s="757"/>
      <c r="P54" s="757"/>
      <c r="Q54" s="757"/>
      <c r="R54" s="758"/>
      <c r="S54" s="757"/>
      <c r="T54" s="757"/>
    </row>
    <row r="55" spans="1:41" s="915" customFormat="1" ht="13.2">
      <c r="A55">
        <v>1</v>
      </c>
      <c r="B55" s="915" t="s">
        <v>269</v>
      </c>
      <c r="D55" s="915" t="s">
        <v>586</v>
      </c>
      <c r="G55" s="916" t="s">
        <v>584</v>
      </c>
      <c r="H55" s="917">
        <v>501</v>
      </c>
      <c r="I55" s="915" t="s">
        <v>558</v>
      </c>
      <c r="K55" s="915" t="s">
        <v>585</v>
      </c>
      <c r="O55" s="918">
        <v>1</v>
      </c>
      <c r="P55" s="919">
        <v>35705</v>
      </c>
      <c r="Q55" s="999">
        <v>0</v>
      </c>
      <c r="R55" s="921">
        <f t="shared" ref="R55:R60" si="6">$A55*Q55</f>
        <v>0</v>
      </c>
      <c r="S55" s="920">
        <v>0.5</v>
      </c>
      <c r="T55" s="922">
        <f t="shared" ref="T55:T60" si="7">$A55*S55*$T$1</f>
        <v>0.5</v>
      </c>
    </row>
    <row r="56" spans="1:41" s="915" customFormat="1" ht="11.4">
      <c r="A56" s="485">
        <v>2</v>
      </c>
      <c r="B56" s="915" t="s">
        <v>277</v>
      </c>
      <c r="D56" s="915" t="s">
        <v>583</v>
      </c>
      <c r="G56" s="916" t="s">
        <v>565</v>
      </c>
      <c r="H56" s="917">
        <v>616</v>
      </c>
      <c r="I56" s="915" t="s">
        <v>558</v>
      </c>
      <c r="K56" s="915" t="s">
        <v>566</v>
      </c>
      <c r="O56" s="918">
        <v>2</v>
      </c>
      <c r="P56" s="919">
        <v>38299</v>
      </c>
      <c r="Q56" s="920">
        <v>1.27</v>
      </c>
      <c r="R56" s="921">
        <f t="shared" si="6"/>
        <v>2.54</v>
      </c>
      <c r="S56" s="920">
        <v>0.05</v>
      </c>
      <c r="T56" s="922">
        <f t="shared" si="7"/>
        <v>0.1</v>
      </c>
    </row>
    <row r="57" spans="1:41" s="915" customFormat="1" ht="11.4">
      <c r="A57" s="485">
        <v>2</v>
      </c>
      <c r="B57" s="915" t="s">
        <v>140</v>
      </c>
      <c r="D57" s="915" t="s">
        <v>580</v>
      </c>
      <c r="G57" s="916" t="s">
        <v>568</v>
      </c>
      <c r="H57" s="917">
        <v>620</v>
      </c>
      <c r="I57" s="915" t="s">
        <v>558</v>
      </c>
      <c r="O57" s="918">
        <v>2</v>
      </c>
      <c r="P57" s="919">
        <v>35431</v>
      </c>
      <c r="Q57" s="920">
        <v>0.41</v>
      </c>
      <c r="R57" s="921">
        <f t="shared" si="6"/>
        <v>0.82</v>
      </c>
      <c r="S57" s="920">
        <v>0.2</v>
      </c>
      <c r="T57" s="922">
        <f t="shared" si="7"/>
        <v>0.4</v>
      </c>
    </row>
    <row r="58" spans="1:41" s="915" customFormat="1" ht="11.4">
      <c r="A58" s="485">
        <v>6</v>
      </c>
      <c r="B58" s="915" t="s">
        <v>140</v>
      </c>
      <c r="D58" s="915" t="s">
        <v>581</v>
      </c>
      <c r="G58" s="916" t="s">
        <v>582</v>
      </c>
      <c r="H58" s="917">
        <v>620</v>
      </c>
      <c r="I58" s="915" t="s">
        <v>571</v>
      </c>
      <c r="O58" s="918">
        <v>2</v>
      </c>
      <c r="P58" s="919">
        <v>34669</v>
      </c>
      <c r="Q58" s="920">
        <v>0.05</v>
      </c>
      <c r="R58" s="921">
        <f t="shared" si="6"/>
        <v>0.30000000000000004</v>
      </c>
      <c r="S58" s="920">
        <v>0.02</v>
      </c>
      <c r="T58" s="922">
        <f t="shared" si="7"/>
        <v>0.12</v>
      </c>
    </row>
    <row r="59" spans="1:41" s="915" customFormat="1" ht="11.4">
      <c r="A59" s="485">
        <v>2</v>
      </c>
      <c r="B59" s="915" t="s">
        <v>140</v>
      </c>
      <c r="D59" s="915" t="s">
        <v>572</v>
      </c>
      <c r="G59" s="916" t="s">
        <v>573</v>
      </c>
      <c r="H59" s="917">
        <v>620</v>
      </c>
      <c r="I59" s="915" t="s">
        <v>558</v>
      </c>
      <c r="O59" s="918">
        <v>2</v>
      </c>
      <c r="P59" s="919"/>
      <c r="Q59" s="920">
        <v>0.1</v>
      </c>
      <c r="R59" s="921">
        <f t="shared" si="6"/>
        <v>0.2</v>
      </c>
      <c r="S59" s="920"/>
      <c r="T59" s="922">
        <f t="shared" si="7"/>
        <v>0</v>
      </c>
    </row>
    <row r="60" spans="1:41" s="915" customFormat="1" ht="11.4">
      <c r="A60" s="485">
        <v>3</v>
      </c>
      <c r="B60" s="915" t="s">
        <v>140</v>
      </c>
      <c r="D60" s="915" t="s">
        <v>574</v>
      </c>
      <c r="G60" s="916" t="s">
        <v>575</v>
      </c>
      <c r="H60" s="917">
        <v>875</v>
      </c>
      <c r="I60" s="915" t="s">
        <v>558</v>
      </c>
      <c r="K60" s="915" t="s">
        <v>576</v>
      </c>
      <c r="O60" s="918">
        <v>1</v>
      </c>
      <c r="P60" s="919">
        <v>34669</v>
      </c>
      <c r="Q60" s="920">
        <v>0.05</v>
      </c>
      <c r="R60" s="921">
        <f t="shared" si="6"/>
        <v>0.15000000000000002</v>
      </c>
      <c r="S60" s="920"/>
      <c r="T60" s="922">
        <f t="shared" si="7"/>
        <v>0</v>
      </c>
    </row>
    <row r="61" spans="1:41" s="489" customFormat="1" ht="12">
      <c r="A61" s="40"/>
      <c r="B61" s="485"/>
      <c r="C61" s="485"/>
      <c r="D61" s="1002" t="s">
        <v>607</v>
      </c>
      <c r="E61" s="924"/>
      <c r="F61" s="915"/>
      <c r="G61" s="485"/>
      <c r="H61" s="485"/>
      <c r="I61" s="487"/>
      <c r="J61" s="485"/>
      <c r="K61" s="485"/>
      <c r="L61" s="485"/>
      <c r="M61" s="485"/>
      <c r="N61" s="485"/>
      <c r="O61" s="485"/>
      <c r="P61" s="485"/>
      <c r="Q61" s="487"/>
      <c r="R61" s="673">
        <f t="shared" ref="R61:R62" si="8">$A61*Q61</f>
        <v>0</v>
      </c>
      <c r="S61" s="487"/>
      <c r="T61" s="488">
        <f t="shared" ref="T61:T62" si="9">$A61*S61*$T$1</f>
        <v>0</v>
      </c>
    </row>
    <row r="62" spans="1:41" s="489" customFormat="1" ht="12">
      <c r="A62" s="485"/>
      <c r="B62" s="485"/>
      <c r="C62" s="485"/>
      <c r="D62" s="485"/>
      <c r="E62" s="485"/>
      <c r="F62" s="486"/>
      <c r="G62" s="485"/>
      <c r="H62" s="485"/>
      <c r="I62" s="487"/>
      <c r="J62" s="485"/>
      <c r="K62" s="485"/>
      <c r="L62" s="485"/>
      <c r="M62" s="485"/>
      <c r="N62" s="485"/>
      <c r="O62" s="485"/>
      <c r="P62" s="485"/>
      <c r="Q62" s="487"/>
      <c r="R62" s="673">
        <f t="shared" si="8"/>
        <v>0</v>
      </c>
      <c r="S62" s="487"/>
      <c r="T62" s="488">
        <f t="shared" si="9"/>
        <v>0</v>
      </c>
    </row>
    <row r="63" spans="1:41" s="489" customFormat="1" ht="12.6" thickBot="1">
      <c r="A63" s="500" t="s">
        <v>144</v>
      </c>
      <c r="B63" s="501">
        <f>(R62+T62)</f>
        <v>0</v>
      </c>
      <c r="C63" s="502"/>
      <c r="D63" s="502"/>
      <c r="E63" s="502"/>
      <c r="F63" s="674"/>
      <c r="G63" s="502" t="s">
        <v>145</v>
      </c>
      <c r="H63" s="502"/>
      <c r="I63" s="503"/>
      <c r="J63" s="502"/>
      <c r="K63" s="502" t="s">
        <v>3</v>
      </c>
      <c r="L63" s="504" t="s">
        <v>142</v>
      </c>
      <c r="M63" s="504"/>
      <c r="N63" s="504"/>
      <c r="O63" s="504"/>
      <c r="P63" s="504"/>
      <c r="Q63" s="675"/>
      <c r="R63" s="676">
        <f>SUM(R54:R62)</f>
        <v>4.0100000000000007</v>
      </c>
      <c r="S63" s="502"/>
      <c r="T63" s="676">
        <f>SUM(T54:T62)</f>
        <v>1.1200000000000001</v>
      </c>
      <c r="U63" s="505"/>
      <c r="V63" s="505"/>
      <c r="W63" s="505"/>
      <c r="X63" s="505"/>
      <c r="Y63" s="505"/>
      <c r="Z63" s="505"/>
      <c r="AA63" s="505"/>
      <c r="AB63" s="505"/>
      <c r="AC63" s="505"/>
      <c r="AD63" s="505"/>
      <c r="AE63" s="505"/>
      <c r="AF63" s="505"/>
      <c r="AG63" s="505"/>
      <c r="AH63" s="505"/>
      <c r="AI63" s="505"/>
      <c r="AJ63" s="505"/>
      <c r="AK63" s="505"/>
      <c r="AL63" s="505"/>
      <c r="AM63" s="505"/>
      <c r="AN63" s="505"/>
      <c r="AO63" s="505"/>
    </row>
    <row r="64" spans="1:41" s="489" customFormat="1" thickTop="1">
      <c r="A64" s="40"/>
      <c r="B64" s="40"/>
      <c r="C64" s="3"/>
      <c r="D64" s="3"/>
      <c r="E64" s="40"/>
      <c r="F64" s="40"/>
      <c r="G64" s="40"/>
      <c r="H64" s="40"/>
      <c r="I64" s="40"/>
      <c r="J64" s="40"/>
      <c r="K64" s="40" t="s">
        <v>134</v>
      </c>
      <c r="L64" s="40"/>
      <c r="M64" s="40"/>
      <c r="N64" s="40"/>
      <c r="O64" s="41"/>
      <c r="P64" s="40"/>
      <c r="Q64" s="40"/>
      <c r="R64" s="40"/>
      <c r="S64" s="40"/>
      <c r="T64" s="40"/>
    </row>
    <row r="65" spans="1:41" s="489" customFormat="1" ht="12">
      <c r="A65" s="40"/>
      <c r="B65" s="40"/>
      <c r="C65" s="40" t="s">
        <v>135</v>
      </c>
      <c r="D65" s="34"/>
      <c r="E65" s="40"/>
      <c r="F65" s="40"/>
      <c r="G65" s="40"/>
      <c r="H65" s="40"/>
      <c r="I65" s="40"/>
      <c r="J65" s="40"/>
      <c r="K65" s="40"/>
      <c r="L65" s="40"/>
      <c r="M65" s="40"/>
      <c r="N65" s="40"/>
      <c r="O65" s="41"/>
      <c r="P65" s="40"/>
      <c r="Q65" s="40"/>
      <c r="R65" s="40"/>
      <c r="S65" s="40"/>
      <c r="T65" s="40"/>
    </row>
    <row r="66" spans="1:41" s="489" customFormat="1" ht="12">
      <c r="A66" s="40"/>
      <c r="B66" s="40"/>
      <c r="C66" s="40"/>
      <c r="D66" s="34" t="s">
        <v>319</v>
      </c>
      <c r="E66" s="40"/>
      <c r="F66" s="40"/>
      <c r="G66" s="40"/>
      <c r="H66" s="40"/>
      <c r="I66" s="40"/>
      <c r="J66" s="40"/>
      <c r="K66" s="40"/>
      <c r="L66" s="40"/>
      <c r="M66" s="40"/>
      <c r="N66" s="40"/>
      <c r="O66" s="41"/>
      <c r="P66" s="40"/>
      <c r="Q66" s="40"/>
      <c r="R66" s="40"/>
      <c r="S66" s="654"/>
      <c r="T66" s="654"/>
    </row>
    <row r="67" spans="1:41" s="3" customFormat="1" thickBot="1">
      <c r="A67" s="505"/>
      <c r="O67" s="81"/>
    </row>
    <row r="68" spans="1:41" s="489" customFormat="1" thickTop="1">
      <c r="A68" s="40"/>
      <c r="B68" s="40"/>
      <c r="C68" s="3"/>
      <c r="D68" s="3"/>
      <c r="E68" s="40"/>
      <c r="F68" s="40"/>
      <c r="G68" s="40"/>
      <c r="H68" s="40"/>
      <c r="I68" s="40"/>
      <c r="J68" s="40"/>
      <c r="K68" s="40" t="s">
        <v>134</v>
      </c>
      <c r="L68" s="40"/>
      <c r="M68" s="40"/>
      <c r="N68" s="40"/>
      <c r="O68" s="41"/>
      <c r="P68" s="40"/>
      <c r="Q68" s="40"/>
      <c r="R68" s="40"/>
      <c r="S68" s="40"/>
      <c r="T68" s="40"/>
    </row>
    <row r="69" spans="1:41" s="489" customFormat="1" ht="12">
      <c r="A69" s="40"/>
      <c r="B69" s="40"/>
      <c r="C69" s="40" t="s">
        <v>135</v>
      </c>
      <c r="D69" s="34" t="s">
        <v>499</v>
      </c>
      <c r="E69" s="40"/>
      <c r="F69" s="40"/>
      <c r="G69" s="40"/>
      <c r="H69" s="40"/>
      <c r="I69" s="40"/>
      <c r="J69" s="40"/>
      <c r="K69" s="40"/>
      <c r="L69" s="40"/>
      <c r="M69" s="40"/>
      <c r="N69" s="40"/>
      <c r="O69" s="41"/>
      <c r="P69" s="40"/>
      <c r="Q69" s="40"/>
      <c r="R69" s="40"/>
      <c r="S69" s="40"/>
      <c r="T69" s="40"/>
    </row>
    <row r="70" spans="1:41" s="489" customFormat="1" ht="36">
      <c r="A70" s="492"/>
      <c r="B70"/>
      <c r="C70" s="492"/>
      <c r="D70" s="756" t="s">
        <v>320</v>
      </c>
      <c r="E70" s="757"/>
      <c r="F70" s="757"/>
      <c r="G70" s="757"/>
      <c r="H70" s="757"/>
      <c r="I70" s="757"/>
      <c r="J70" s="757"/>
      <c r="K70" s="757"/>
      <c r="L70" s="757"/>
      <c r="M70" s="757"/>
      <c r="N70" s="757"/>
      <c r="O70" s="757"/>
      <c r="P70" s="757"/>
      <c r="Q70" s="757"/>
      <c r="R70" s="758"/>
      <c r="S70" s="757"/>
      <c r="T70" s="757"/>
    </row>
    <row r="71" spans="1:41" s="3" customFormat="1" thickBot="1">
      <c r="A71" s="505"/>
      <c r="O71" s="81"/>
    </row>
    <row r="72" spans="1:41" s="489" customFormat="1" thickTop="1">
      <c r="A72" s="40"/>
      <c r="B72" s="36"/>
      <c r="C72" s="40"/>
      <c r="E72" s="37" t="s">
        <v>137</v>
      </c>
      <c r="F72" s="37" t="s">
        <v>138</v>
      </c>
      <c r="G72" s="40"/>
      <c r="H72" s="40"/>
      <c r="I72" s="40"/>
      <c r="J72" s="40"/>
      <c r="K72" s="40" t="s">
        <v>139</v>
      </c>
      <c r="L72" s="925"/>
      <c r="M72" s="40"/>
      <c r="N72" s="40"/>
      <c r="O72" s="41"/>
      <c r="P72" s="40"/>
      <c r="Q72"/>
      <c r="R72"/>
      <c r="S72"/>
      <c r="T72" s="36"/>
      <c r="AG72" s="662" t="s">
        <v>238</v>
      </c>
      <c r="AH72" s="662" t="s">
        <v>239</v>
      </c>
      <c r="AI72" s="662" t="s">
        <v>240</v>
      </c>
      <c r="AJ72" s="662" t="s">
        <v>241</v>
      </c>
      <c r="AK72" s="662" t="s">
        <v>242</v>
      </c>
      <c r="AM72" s="663" t="s">
        <v>251</v>
      </c>
      <c r="AN72" s="664" t="s">
        <v>252</v>
      </c>
      <c r="AO72" s="490" t="s">
        <v>248</v>
      </c>
    </row>
    <row r="73" spans="1:41" s="489" customFormat="1" ht="13.2">
      <c r="A73" s="1001">
        <v>1</v>
      </c>
      <c r="B73" s="491" t="s">
        <v>140</v>
      </c>
      <c r="C73" s="492"/>
      <c r="D73" s="666" t="s">
        <v>500</v>
      </c>
      <c r="E73" s="926">
        <f>IF(AND($A73=0,$A$1="DIF"),0, ROUND(ROUND(SUMIF($L75:$L93,"SUBI",$E75:$E93)/$A73,2)*$C$12,2))</f>
        <v>94.74</v>
      </c>
      <c r="F73" s="927">
        <f>ROUND($A73*$E73,2)</f>
        <v>94.74</v>
      </c>
      <c r="G73" s="493" t="s">
        <v>141</v>
      </c>
      <c r="H73" s="486"/>
      <c r="I73" s="669"/>
      <c r="J73" s="486"/>
      <c r="K73" s="928"/>
      <c r="L73" s="929" t="s">
        <v>142</v>
      </c>
      <c r="M73" s="670"/>
      <c r="N73" s="670"/>
      <c r="O73" s="670"/>
      <c r="P73" s="670"/>
      <c r="Q73"/>
      <c r="R73"/>
      <c r="S73"/>
      <c r="T73" s="930" t="str">
        <f>IF(AND($R99=0,$T99=0),"0.00","mu :" &amp; ROUND($F73/$C$12/($R99+$T99*$D$9),2))</f>
        <v>mu :1</v>
      </c>
      <c r="W73" s="494"/>
      <c r="AG73" s="931">
        <f>IF(A73=0,0,ROUND(SUM(AG75:AG99)/A73,2))</f>
        <v>20.6</v>
      </c>
      <c r="AH73" s="931">
        <f>$AG73*$A73</f>
        <v>20.6</v>
      </c>
      <c r="AI73" s="931">
        <f>$E73-$AG73</f>
        <v>74.139999999999986</v>
      </c>
      <c r="AJ73" s="931">
        <f>$A73*$AI73</f>
        <v>74.139999999999986</v>
      </c>
      <c r="AK73" s="932">
        <f>ROUND(($AG73+$AI73)*$A73,2)</f>
        <v>94.74</v>
      </c>
      <c r="AM73" s="497">
        <f>ROUND(R99,2)</f>
        <v>20.6</v>
      </c>
      <c r="AN73" s="498">
        <f>ROUND(T99,2)</f>
        <v>2.7</v>
      </c>
      <c r="AO73" s="499">
        <f>ROUND(AM73+AN73,2)*A73</f>
        <v>23.3</v>
      </c>
    </row>
    <row r="74" spans="1:41" s="489" customFormat="1" ht="19.95" customHeight="1">
      <c r="A74" s="933"/>
      <c r="B74" s="934"/>
      <c r="C74" s="492"/>
      <c r="D74" s="666" t="s">
        <v>321</v>
      </c>
      <c r="F74" s="486"/>
      <c r="G74" s="486"/>
      <c r="H74" s="486"/>
      <c r="I74" s="669"/>
      <c r="J74" s="486"/>
      <c r="K74" s="486" t="s">
        <v>143</v>
      </c>
      <c r="L74" s="935"/>
      <c r="M74" s="486"/>
      <c r="N74" s="486"/>
      <c r="O74" s="486"/>
      <c r="P74" s="486"/>
      <c r="Q74" s="40"/>
      <c r="R74" s="550"/>
      <c r="S74" s="672"/>
      <c r="T74" s="486"/>
    </row>
    <row r="75" spans="1:41" s="489" customFormat="1" ht="12">
      <c r="A75" s="936"/>
      <c r="B75" s="937"/>
      <c r="C75" s="485"/>
      <c r="D75" s="486"/>
      <c r="E75" s="938">
        <f>F73/$C$12-SUMIF($L72:$L99,"SUBI",$E72:$E99)</f>
        <v>0</v>
      </c>
      <c r="F75" s="939" t="s">
        <v>559</v>
      </c>
      <c r="G75" s="940"/>
      <c r="H75" s="940"/>
      <c r="I75" s="941"/>
      <c r="J75" s="940"/>
      <c r="K75" s="940"/>
      <c r="L75" s="942"/>
      <c r="M75" s="943"/>
      <c r="N75" s="943"/>
      <c r="O75" s="943"/>
      <c r="P75" s="943"/>
      <c r="Q75" s="944"/>
      <c r="R75" s="945"/>
      <c r="S75" s="944"/>
      <c r="T75" s="946"/>
    </row>
    <row r="76" spans="1:41" s="489" customFormat="1" ht="12" customHeight="1">
      <c r="A76" s="947"/>
      <c r="B76" s="948"/>
      <c r="C76" s="949"/>
      <c r="D76" s="949" t="str">
        <f>$F$2</f>
        <v>Electrical</v>
      </c>
      <c r="E76" s="949">
        <f>ROUND(($R92*$S$2 + ($T92*$T$2)), 2)</f>
        <v>94.74</v>
      </c>
      <c r="F76" s="950">
        <f>$E76*$C$12</f>
        <v>94.74</v>
      </c>
      <c r="G76" s="550"/>
      <c r="H76" s="951"/>
      <c r="I76" s="550"/>
      <c r="J76" s="41"/>
      <c r="K76" s="952" t="s">
        <v>3</v>
      </c>
      <c r="L76" s="953" t="s">
        <v>560</v>
      </c>
      <c r="M76" s="550"/>
      <c r="N76" s="550"/>
      <c r="O76" s="41"/>
      <c r="P76" s="550"/>
      <c r="Q76" s="550"/>
      <c r="R76"/>
      <c r="S76"/>
      <c r="T76"/>
    </row>
    <row r="77" spans="1:41" s="489" customFormat="1" ht="13.95" customHeight="1">
      <c r="A77" s="698"/>
      <c r="B77" s="954" t="s">
        <v>623</v>
      </c>
      <c r="C77" s="550"/>
      <c r="D77" s="550"/>
      <c r="E77" s="550"/>
      <c r="F77" s="550"/>
      <c r="G77" s="550"/>
      <c r="H77" s="951"/>
      <c r="I77" s="550"/>
      <c r="J77" s="41"/>
      <c r="K77" s="955"/>
      <c r="L77" s="956"/>
      <c r="M77" s="550"/>
      <c r="N77" s="550"/>
      <c r="O77" s="41"/>
      <c r="P77" s="550"/>
      <c r="Q77" s="550"/>
      <c r="R77" s="957">
        <f>$A77*Q77</f>
        <v>0</v>
      </c>
      <c r="S77" s="550"/>
      <c r="T77" s="488">
        <f>$A77*S77*$T$1</f>
        <v>0</v>
      </c>
    </row>
    <row r="78" spans="1:41" s="915" customFormat="1" ht="11.4">
      <c r="A78" s="485">
        <v>2</v>
      </c>
      <c r="B78" s="915" t="s">
        <v>277</v>
      </c>
      <c r="D78" s="915" t="s">
        <v>564</v>
      </c>
      <c r="G78" s="916" t="s">
        <v>565</v>
      </c>
      <c r="H78" s="917">
        <v>616</v>
      </c>
      <c r="I78" s="915" t="s">
        <v>558</v>
      </c>
      <c r="K78" s="915" t="s">
        <v>566</v>
      </c>
      <c r="O78" s="918">
        <v>2</v>
      </c>
      <c r="P78" s="919">
        <v>38299</v>
      </c>
      <c r="Q78" s="920">
        <v>6.55</v>
      </c>
      <c r="R78" s="921">
        <f t="shared" ref="R78:R89" si="10">$A78*Q78</f>
        <v>13.1</v>
      </c>
      <c r="S78" s="920">
        <v>0.09</v>
      </c>
      <c r="T78" s="922">
        <f t="shared" ref="T78:T89" si="11">$A78*S78*$T$1</f>
        <v>0.18</v>
      </c>
    </row>
    <row r="79" spans="1:41" s="915" customFormat="1" ht="11.4">
      <c r="A79" s="485">
        <v>2</v>
      </c>
      <c r="B79" s="915" t="s">
        <v>140</v>
      </c>
      <c r="D79" s="915" t="s">
        <v>567</v>
      </c>
      <c r="G79" s="916" t="s">
        <v>568</v>
      </c>
      <c r="H79" s="917">
        <v>620</v>
      </c>
      <c r="I79" s="915" t="s">
        <v>558</v>
      </c>
      <c r="O79" s="918">
        <v>2</v>
      </c>
      <c r="P79" s="919">
        <v>35431</v>
      </c>
      <c r="Q79" s="920">
        <v>0.87</v>
      </c>
      <c r="R79" s="921">
        <f t="shared" si="10"/>
        <v>1.74</v>
      </c>
      <c r="S79" s="920">
        <v>0.4</v>
      </c>
      <c r="T79" s="922">
        <f t="shared" si="11"/>
        <v>0.8</v>
      </c>
    </row>
    <row r="80" spans="1:41" s="915" customFormat="1" ht="11.4">
      <c r="A80" s="485">
        <v>10</v>
      </c>
      <c r="B80" s="915" t="s">
        <v>140</v>
      </c>
      <c r="D80" s="915" t="s">
        <v>569</v>
      </c>
      <c r="G80" s="916" t="s">
        <v>570</v>
      </c>
      <c r="H80" s="917">
        <v>620</v>
      </c>
      <c r="I80" s="915" t="s">
        <v>571</v>
      </c>
      <c r="O80" s="918">
        <v>2</v>
      </c>
      <c r="P80" s="919">
        <v>34669</v>
      </c>
      <c r="Q80" s="920">
        <v>0.14000000000000001</v>
      </c>
      <c r="R80" s="921">
        <f t="shared" si="10"/>
        <v>1.4000000000000001</v>
      </c>
      <c r="S80" s="920">
        <v>0.06</v>
      </c>
      <c r="T80" s="922">
        <f t="shared" si="11"/>
        <v>0.6</v>
      </c>
    </row>
    <row r="81" spans="1:33" s="915" customFormat="1" ht="11.4">
      <c r="A81" s="485">
        <v>2</v>
      </c>
      <c r="B81" s="915" t="s">
        <v>140</v>
      </c>
      <c r="D81" s="915" t="s">
        <v>572</v>
      </c>
      <c r="G81" s="916" t="s">
        <v>573</v>
      </c>
      <c r="H81" s="917">
        <v>620</v>
      </c>
      <c r="I81" s="915" t="s">
        <v>558</v>
      </c>
      <c r="O81" s="918">
        <v>2</v>
      </c>
      <c r="P81" s="919"/>
      <c r="Q81" s="920">
        <v>0.1</v>
      </c>
      <c r="R81" s="921">
        <f t="shared" si="10"/>
        <v>0.2</v>
      </c>
      <c r="S81" s="920"/>
      <c r="T81" s="922">
        <f t="shared" si="11"/>
        <v>0</v>
      </c>
    </row>
    <row r="82" spans="1:33" s="915" customFormat="1" ht="11.4">
      <c r="A82" s="485">
        <v>3</v>
      </c>
      <c r="B82" s="915" t="s">
        <v>140</v>
      </c>
      <c r="D82" s="915" t="s">
        <v>574</v>
      </c>
      <c r="G82" s="916" t="s">
        <v>575</v>
      </c>
      <c r="H82" s="917">
        <v>875</v>
      </c>
      <c r="I82" s="915" t="s">
        <v>558</v>
      </c>
      <c r="K82" s="915" t="s">
        <v>576</v>
      </c>
      <c r="O82" s="918">
        <v>1</v>
      </c>
      <c r="P82" s="919">
        <v>34669</v>
      </c>
      <c r="Q82" s="920">
        <v>0.05</v>
      </c>
      <c r="R82" s="921">
        <f t="shared" si="10"/>
        <v>0.15000000000000002</v>
      </c>
      <c r="S82" s="920"/>
      <c r="T82" s="922">
        <f t="shared" si="11"/>
        <v>0</v>
      </c>
    </row>
    <row r="83" spans="1:33" s="489" customFormat="1" ht="12">
      <c r="A83" s="40"/>
      <c r="B83" s="485"/>
      <c r="C83" s="485"/>
      <c r="D83" s="1003" t="s">
        <v>624</v>
      </c>
      <c r="E83" s="1003"/>
      <c r="F83" s="486"/>
      <c r="G83" s="485"/>
      <c r="H83" s="485"/>
      <c r="I83" s="487"/>
      <c r="J83" s="485"/>
      <c r="K83" s="485"/>
      <c r="L83" s="485"/>
      <c r="M83" s="485"/>
      <c r="N83" s="485"/>
      <c r="O83" s="485"/>
      <c r="P83" s="485"/>
      <c r="Q83" s="487"/>
      <c r="R83" s="673">
        <f t="shared" si="10"/>
        <v>0</v>
      </c>
      <c r="S83" s="487"/>
      <c r="T83" s="488">
        <f t="shared" si="11"/>
        <v>0</v>
      </c>
    </row>
    <row r="84" spans="1:33" s="915" customFormat="1" ht="13.2">
      <c r="A84">
        <v>1</v>
      </c>
      <c r="B84" s="915" t="s">
        <v>269</v>
      </c>
      <c r="D84" s="915" t="s">
        <v>586</v>
      </c>
      <c r="G84" s="916" t="s">
        <v>584</v>
      </c>
      <c r="H84" s="917">
        <v>501</v>
      </c>
      <c r="I84" s="915" t="s">
        <v>558</v>
      </c>
      <c r="K84" s="915" t="s">
        <v>585</v>
      </c>
      <c r="O84" s="918">
        <v>1</v>
      </c>
      <c r="P84" s="919">
        <v>35705</v>
      </c>
      <c r="Q84" s="999">
        <v>0</v>
      </c>
      <c r="R84" s="921">
        <f t="shared" si="10"/>
        <v>0</v>
      </c>
      <c r="S84" s="920">
        <v>0.5</v>
      </c>
      <c r="T84" s="922">
        <f t="shared" si="11"/>
        <v>0.5</v>
      </c>
    </row>
    <row r="85" spans="1:33" s="915" customFormat="1" ht="11.4">
      <c r="A85" s="485">
        <v>2</v>
      </c>
      <c r="B85" s="915" t="s">
        <v>277</v>
      </c>
      <c r="D85" s="915" t="s">
        <v>583</v>
      </c>
      <c r="G85" s="916" t="s">
        <v>565</v>
      </c>
      <c r="H85" s="917">
        <v>616</v>
      </c>
      <c r="I85" s="915" t="s">
        <v>558</v>
      </c>
      <c r="K85" s="915" t="s">
        <v>566</v>
      </c>
      <c r="O85" s="918">
        <v>2</v>
      </c>
      <c r="P85" s="919">
        <v>38299</v>
      </c>
      <c r="Q85" s="920">
        <v>1.27</v>
      </c>
      <c r="R85" s="921">
        <f t="shared" si="10"/>
        <v>2.54</v>
      </c>
      <c r="S85" s="920">
        <v>0.05</v>
      </c>
      <c r="T85" s="922">
        <f t="shared" si="11"/>
        <v>0.1</v>
      </c>
    </row>
    <row r="86" spans="1:33" s="915" customFormat="1" ht="11.4">
      <c r="A86" s="485">
        <v>2</v>
      </c>
      <c r="B86" s="915" t="s">
        <v>140</v>
      </c>
      <c r="D86" s="915" t="s">
        <v>580</v>
      </c>
      <c r="G86" s="916" t="s">
        <v>568</v>
      </c>
      <c r="H86" s="917">
        <v>620</v>
      </c>
      <c r="I86" s="915" t="s">
        <v>558</v>
      </c>
      <c r="O86" s="918">
        <v>2</v>
      </c>
      <c r="P86" s="919">
        <v>35431</v>
      </c>
      <c r="Q86" s="920">
        <v>0.41</v>
      </c>
      <c r="R86" s="921">
        <f t="shared" si="10"/>
        <v>0.82</v>
      </c>
      <c r="S86" s="920">
        <v>0.2</v>
      </c>
      <c r="T86" s="922">
        <f t="shared" si="11"/>
        <v>0.4</v>
      </c>
    </row>
    <row r="87" spans="1:33" s="915" customFormat="1" ht="11.4">
      <c r="A87" s="485">
        <v>6</v>
      </c>
      <c r="B87" s="915" t="s">
        <v>140</v>
      </c>
      <c r="D87" s="915" t="s">
        <v>581</v>
      </c>
      <c r="G87" s="916" t="s">
        <v>582</v>
      </c>
      <c r="H87" s="917">
        <v>620</v>
      </c>
      <c r="I87" s="915" t="s">
        <v>571</v>
      </c>
      <c r="O87" s="918">
        <v>2</v>
      </c>
      <c r="P87" s="919">
        <v>34669</v>
      </c>
      <c r="Q87" s="920">
        <v>0.05</v>
      </c>
      <c r="R87" s="921">
        <f t="shared" si="10"/>
        <v>0.30000000000000004</v>
      </c>
      <c r="S87" s="920">
        <v>0.02</v>
      </c>
      <c r="T87" s="922">
        <f t="shared" si="11"/>
        <v>0.12</v>
      </c>
    </row>
    <row r="88" spans="1:33" s="915" customFormat="1" ht="11.4">
      <c r="A88" s="485">
        <v>2</v>
      </c>
      <c r="B88" s="915" t="s">
        <v>140</v>
      </c>
      <c r="D88" s="915" t="s">
        <v>572</v>
      </c>
      <c r="G88" s="916" t="s">
        <v>573</v>
      </c>
      <c r="H88" s="917">
        <v>620</v>
      </c>
      <c r="I88" s="915" t="s">
        <v>558</v>
      </c>
      <c r="O88" s="918">
        <v>2</v>
      </c>
      <c r="P88" s="919"/>
      <c r="Q88" s="920">
        <v>0.1</v>
      </c>
      <c r="R88" s="921">
        <f t="shared" si="10"/>
        <v>0.2</v>
      </c>
      <c r="S88" s="920"/>
      <c r="T88" s="922">
        <f t="shared" si="11"/>
        <v>0</v>
      </c>
    </row>
    <row r="89" spans="1:33" s="915" customFormat="1" ht="11.4">
      <c r="A89" s="485">
        <v>3</v>
      </c>
      <c r="B89" s="915" t="s">
        <v>140</v>
      </c>
      <c r="D89" s="915" t="s">
        <v>574</v>
      </c>
      <c r="G89" s="916" t="s">
        <v>575</v>
      </c>
      <c r="H89" s="917">
        <v>875</v>
      </c>
      <c r="I89" s="915" t="s">
        <v>558</v>
      </c>
      <c r="K89" s="915" t="s">
        <v>576</v>
      </c>
      <c r="O89" s="918">
        <v>1</v>
      </c>
      <c r="P89" s="919">
        <v>34669</v>
      </c>
      <c r="Q89" s="920">
        <v>0.05</v>
      </c>
      <c r="R89" s="921">
        <f t="shared" si="10"/>
        <v>0.15000000000000002</v>
      </c>
      <c r="S89" s="920"/>
      <c r="T89" s="922">
        <f t="shared" si="11"/>
        <v>0</v>
      </c>
    </row>
    <row r="90" spans="1:33" s="489" customFormat="1" ht="12">
      <c r="A90" s="40"/>
      <c r="B90" s="485"/>
      <c r="C90" s="485"/>
      <c r="D90" s="1003" t="s">
        <v>625</v>
      </c>
      <c r="E90" s="1003"/>
      <c r="F90" s="486"/>
      <c r="G90" s="485"/>
      <c r="H90" s="485"/>
      <c r="I90" s="487"/>
      <c r="J90" s="485"/>
      <c r="K90" s="485"/>
      <c r="L90" s="485"/>
      <c r="M90" s="485"/>
      <c r="N90" s="485"/>
      <c r="O90" s="485"/>
      <c r="P90" s="485"/>
      <c r="Q90" s="487"/>
      <c r="R90" s="673"/>
      <c r="S90" s="487"/>
      <c r="T90" s="488"/>
    </row>
    <row r="91" spans="1:33" s="489" customFormat="1" ht="13.95" customHeight="1">
      <c r="A91" s="698"/>
      <c r="B91" s="550"/>
      <c r="C91" s="550"/>
      <c r="D91" s="550"/>
      <c r="E91" s="550"/>
      <c r="F91" s="550"/>
      <c r="G91" s="550"/>
      <c r="H91" s="951"/>
      <c r="I91" s="550"/>
      <c r="J91" s="41"/>
      <c r="K91" s="955"/>
      <c r="L91" s="956"/>
      <c r="M91" s="550"/>
      <c r="N91" s="550"/>
      <c r="O91" s="41"/>
      <c r="P91" s="550"/>
      <c r="Q91" s="550"/>
      <c r="R91" s="957">
        <f>$A91*Q91</f>
        <v>0</v>
      </c>
      <c r="S91" s="550"/>
      <c r="T91" s="488">
        <f>$A91*S91*$T$1</f>
        <v>0</v>
      </c>
    </row>
    <row r="92" spans="1:33" s="489" customFormat="1" ht="12">
      <c r="A92" s="958" t="s">
        <v>144</v>
      </c>
      <c r="B92" s="959">
        <f>(R91+T91)</f>
        <v>0</v>
      </c>
      <c r="C92" s="485"/>
      <c r="G92" s="960"/>
      <c r="H92" s="960"/>
      <c r="I92" s="960"/>
      <c r="J92" s="960"/>
      <c r="K92" s="961" t="s">
        <v>3</v>
      </c>
      <c r="L92" s="962" t="s">
        <v>560</v>
      </c>
      <c r="M92" s="960"/>
      <c r="N92" s="960"/>
      <c r="O92" s="960"/>
      <c r="P92" s="960"/>
      <c r="Q92" s="963"/>
      <c r="R92" s="964">
        <f>SUM(R76:R91)</f>
        <v>20.599999999999994</v>
      </c>
      <c r="S92" s="965"/>
      <c r="T92" s="964">
        <f>SUM(T76:T91)</f>
        <v>2.7</v>
      </c>
      <c r="AG92" s="966">
        <f>ROUND($R92*$S$2,2)</f>
        <v>20.6</v>
      </c>
    </row>
    <row r="93" spans="1:33" s="489" customFormat="1" ht="12" customHeight="1">
      <c r="A93" s="967"/>
      <c r="B93" s="968"/>
      <c r="C93" s="969"/>
      <c r="D93" s="969" t="str">
        <f>$F$3</f>
        <v>Controls</v>
      </c>
      <c r="E93" s="969">
        <f>ROUND(($R97*$S$3 + ($T97*$T$3)), 2)</f>
        <v>0</v>
      </c>
      <c r="F93" s="970">
        <f ca="1">$F73-SUMIF($L75:$P90,"SUBI",$F75:$F90)</f>
        <v>0</v>
      </c>
      <c r="G93" s="487"/>
      <c r="H93" s="487"/>
      <c r="I93" s="487"/>
      <c r="J93" s="487"/>
      <c r="K93" s="952" t="s">
        <v>5</v>
      </c>
      <c r="L93" s="953" t="s">
        <v>560</v>
      </c>
      <c r="M93" s="487"/>
      <c r="N93" s="487"/>
      <c r="O93" s="487"/>
      <c r="P93" s="487"/>
      <c r="Q93" s="487"/>
      <c r="R93" s="971"/>
      <c r="S93" s="487"/>
      <c r="T93" s="971"/>
    </row>
    <row r="94" spans="1:33" s="984" customFormat="1" ht="14.4" customHeight="1">
      <c r="A94" s="972"/>
      <c r="B94" s="954" t="s">
        <v>561</v>
      </c>
      <c r="C94" s="973"/>
      <c r="D94" s="974"/>
      <c r="E94" s="974"/>
      <c r="F94" s="974"/>
      <c r="G94" s="975"/>
      <c r="H94" s="976"/>
      <c r="I94" s="976"/>
      <c r="J94" s="977"/>
      <c r="K94" s="978"/>
      <c r="L94" s="973"/>
      <c r="M94" s="979"/>
      <c r="N94" s="980"/>
      <c r="O94" s="981"/>
      <c r="P94" s="982"/>
      <c r="Q94" s="983"/>
      <c r="R94" s="957">
        <f>$A94*Q94</f>
        <v>0</v>
      </c>
      <c r="S94" s="550"/>
      <c r="T94" s="488">
        <f>$A94*S94*$T$1</f>
        <v>0</v>
      </c>
    </row>
    <row r="95" spans="1:33" s="489" customFormat="1" ht="11.4">
      <c r="A95" s="698"/>
      <c r="B95" s="550"/>
      <c r="C95" s="550"/>
      <c r="D95" s="550"/>
      <c r="E95" s="550"/>
      <c r="F95" s="550"/>
      <c r="G95" s="550"/>
      <c r="H95" s="550"/>
      <c r="I95" s="550"/>
      <c r="J95" s="550"/>
      <c r="K95" s="550"/>
      <c r="L95" s="956"/>
      <c r="M95" s="550"/>
      <c r="N95" s="550"/>
      <c r="O95" s="550"/>
      <c r="P95" s="550"/>
      <c r="Q95" s="550"/>
      <c r="R95" s="957">
        <f>$A95*Q95</f>
        <v>0</v>
      </c>
      <c r="S95" s="550"/>
      <c r="T95" s="488">
        <f>$A95*S95*$T$1</f>
        <v>0</v>
      </c>
    </row>
    <row r="96" spans="1:33" s="489" customFormat="1" ht="13.2">
      <c r="A96" s="698"/>
      <c r="B96" s="550"/>
      <c r="C96" s="550"/>
      <c r="D96" s="3"/>
      <c r="E96" s="550"/>
      <c r="F96" s="550"/>
      <c r="G96" s="550"/>
      <c r="H96" s="550"/>
      <c r="I96" s="550"/>
      <c r="J96" s="550"/>
      <c r="K96" s="550"/>
      <c r="L96" s="956"/>
      <c r="M96" s="550"/>
      <c r="N96" s="550"/>
      <c r="O96" s="550"/>
      <c r="P96" s="550"/>
      <c r="Q96" s="550"/>
      <c r="R96" s="957">
        <f>$A96*Q96</f>
        <v>0</v>
      </c>
      <c r="S96" s="550"/>
      <c r="T96" s="488">
        <f>$A96*S96*$T$1</f>
        <v>0</v>
      </c>
    </row>
    <row r="97" spans="1:41" s="489" customFormat="1" ht="12" customHeight="1">
      <c r="A97" s="985" t="s">
        <v>144</v>
      </c>
      <c r="B97" s="986">
        <f>(R96+T96)</f>
        <v>0</v>
      </c>
      <c r="C97" s="987"/>
      <c r="D97" s="987"/>
      <c r="E97" s="987"/>
      <c r="F97" s="987"/>
      <c r="G97" s="963"/>
      <c r="H97" s="963"/>
      <c r="I97" s="963"/>
      <c r="J97" s="963"/>
      <c r="K97" s="988" t="s">
        <v>5</v>
      </c>
      <c r="L97" s="989" t="s">
        <v>560</v>
      </c>
      <c r="M97" s="963"/>
      <c r="N97" s="963"/>
      <c r="O97" s="963"/>
      <c r="P97" s="963"/>
      <c r="Q97" s="963"/>
      <c r="R97" s="964">
        <f>SUM(R93:R96)</f>
        <v>0</v>
      </c>
      <c r="S97" s="965"/>
      <c r="T97" s="964">
        <f>SUM(T93:T96)</f>
        <v>0</v>
      </c>
      <c r="AG97" s="990">
        <f>ROUND($R97*$S$3,2)</f>
        <v>0</v>
      </c>
    </row>
    <row r="98" spans="1:41" s="489" customFormat="1" ht="12.75" customHeight="1">
      <c r="A98" s="991"/>
      <c r="B98" s="992"/>
      <c r="E98" s="485"/>
      <c r="F98" s="993"/>
      <c r="G98" s="485"/>
      <c r="H98" s="485"/>
      <c r="I98" s="487"/>
      <c r="J98" s="485"/>
      <c r="K98" s="485"/>
      <c r="L98" s="994"/>
      <c r="M98" s="701"/>
      <c r="N98" s="701"/>
      <c r="O98" s="701"/>
      <c r="P98" s="701"/>
      <c r="Q98" s="685"/>
      <c r="R98" s="971"/>
      <c r="S98" s="485"/>
      <c r="T98" s="971"/>
    </row>
    <row r="99" spans="1:41" s="489" customFormat="1" ht="13.5" customHeight="1" thickBot="1">
      <c r="A99" s="995"/>
      <c r="B99" s="996"/>
      <c r="C99" s="505"/>
      <c r="D99" s="505"/>
      <c r="E99" s="502"/>
      <c r="F99" s="674"/>
      <c r="G99" s="502" t="s">
        <v>145</v>
      </c>
      <c r="H99" s="502"/>
      <c r="I99" s="503"/>
      <c r="J99" s="502"/>
      <c r="K99" s="502"/>
      <c r="L99" s="997" t="s">
        <v>142</v>
      </c>
      <c r="M99" s="504"/>
      <c r="N99" s="504"/>
      <c r="O99" s="504"/>
      <c r="P99" s="504"/>
      <c r="Q99" s="675"/>
      <c r="R99" s="998">
        <f>SUMIF($L74:$L98,"SUBI",R74:R98)</f>
        <v>20.599999999999994</v>
      </c>
      <c r="S99" s="502"/>
      <c r="T99" s="998">
        <f>SUMIF($L74:$L98,"SUBI",T74:T98)</f>
        <v>2.7</v>
      </c>
      <c r="U99" s="505"/>
      <c r="V99" s="505"/>
      <c r="W99" s="505"/>
      <c r="X99" s="505"/>
      <c r="Y99" s="505"/>
      <c r="Z99" s="505"/>
      <c r="AA99" s="505"/>
      <c r="AB99" s="505"/>
      <c r="AC99" s="505"/>
      <c r="AD99" s="505"/>
      <c r="AE99" s="505"/>
      <c r="AF99" s="505"/>
      <c r="AG99" s="505"/>
      <c r="AH99" s="505"/>
      <c r="AI99" s="505"/>
      <c r="AJ99" s="505"/>
      <c r="AK99" s="505"/>
      <c r="AL99" s="505"/>
      <c r="AM99" s="505"/>
      <c r="AN99" s="505"/>
      <c r="AO99" s="505"/>
    </row>
    <row r="100" spans="1:41" s="489" customFormat="1" thickTop="1">
      <c r="A100" s="40"/>
      <c r="B100" s="40"/>
      <c r="C100" s="3"/>
      <c r="D100" s="3"/>
      <c r="E100" s="40"/>
      <c r="F100" s="40"/>
      <c r="G100" s="40"/>
      <c r="H100" s="40"/>
      <c r="I100" s="40"/>
      <c r="J100" s="40"/>
      <c r="K100" s="40" t="s">
        <v>134</v>
      </c>
      <c r="L100" s="40"/>
      <c r="M100" s="40"/>
      <c r="N100" s="40"/>
      <c r="O100" s="41"/>
      <c r="P100" s="40"/>
      <c r="Q100" s="40"/>
      <c r="R100" s="40"/>
      <c r="S100" s="40"/>
      <c r="T100" s="40"/>
    </row>
    <row r="101" spans="1:41" s="489" customFormat="1" ht="12">
      <c r="A101" s="40"/>
      <c r="B101" s="40"/>
      <c r="C101" s="40" t="s">
        <v>135</v>
      </c>
      <c r="D101" s="34" t="s">
        <v>501</v>
      </c>
      <c r="E101" s="40"/>
      <c r="F101" s="40"/>
      <c r="G101" s="40"/>
      <c r="H101" s="40"/>
      <c r="I101" s="40"/>
      <c r="J101" s="40"/>
      <c r="K101" s="40"/>
      <c r="L101" s="40"/>
      <c r="M101" s="40"/>
      <c r="N101" s="40"/>
      <c r="O101" s="41"/>
      <c r="P101" s="40"/>
      <c r="Q101" s="40"/>
      <c r="R101" s="40"/>
      <c r="S101" s="40"/>
      <c r="T101" s="40"/>
    </row>
    <row r="102" spans="1:41" s="489" customFormat="1" ht="12">
      <c r="A102" s="40"/>
      <c r="B102" s="40"/>
      <c r="C102" s="40"/>
      <c r="D102" s="34" t="s">
        <v>324</v>
      </c>
      <c r="E102" s="40"/>
      <c r="F102" s="40"/>
      <c r="G102" s="40"/>
      <c r="H102" s="40"/>
      <c r="I102" s="40"/>
      <c r="J102" s="40"/>
      <c r="K102" s="40"/>
      <c r="L102" s="40"/>
      <c r="M102" s="40"/>
      <c r="N102" s="40"/>
      <c r="O102" s="41"/>
      <c r="P102" s="40"/>
      <c r="Q102" s="40"/>
      <c r="R102" s="40"/>
      <c r="S102" s="654"/>
      <c r="T102" s="654"/>
    </row>
    <row r="103" spans="1:41" s="3" customFormat="1" thickBot="1">
      <c r="A103" s="505"/>
      <c r="O103" s="81"/>
    </row>
    <row r="104" spans="1:41" s="489" customFormat="1" thickTop="1">
      <c r="A104" s="40"/>
      <c r="B104" s="36"/>
      <c r="C104" s="40"/>
      <c r="E104" s="37" t="s">
        <v>137</v>
      </c>
      <c r="F104" s="37" t="s">
        <v>138</v>
      </c>
      <c r="G104" s="40"/>
      <c r="H104" s="40"/>
      <c r="I104" s="40"/>
      <c r="J104" s="40"/>
      <c r="K104" s="40" t="s">
        <v>139</v>
      </c>
      <c r="L104" s="925"/>
      <c r="M104" s="40"/>
      <c r="N104" s="40"/>
      <c r="O104" s="41"/>
      <c r="P104" s="40"/>
      <c r="Q104"/>
      <c r="R104"/>
      <c r="S104"/>
      <c r="T104" s="36"/>
      <c r="AG104" s="662" t="s">
        <v>238</v>
      </c>
      <c r="AH104" s="662" t="s">
        <v>239</v>
      </c>
      <c r="AI104" s="662" t="s">
        <v>240</v>
      </c>
      <c r="AJ104" s="662" t="s">
        <v>241</v>
      </c>
      <c r="AK104" s="662" t="s">
        <v>242</v>
      </c>
      <c r="AM104" s="663" t="s">
        <v>251</v>
      </c>
      <c r="AN104" s="664" t="s">
        <v>252</v>
      </c>
      <c r="AO104" s="490" t="s">
        <v>248</v>
      </c>
    </row>
    <row r="105" spans="1:41" s="489" customFormat="1" ht="13.2">
      <c r="A105" s="1001">
        <v>1</v>
      </c>
      <c r="B105" s="491" t="s">
        <v>140</v>
      </c>
      <c r="C105" s="492"/>
      <c r="D105" s="666" t="s">
        <v>502</v>
      </c>
      <c r="E105" s="926">
        <f>IF(AND($A105=0,$A$1="DIF"),0, ROUND(ROUND(SUMIF($L107:$L114,"SUBI",$E107:$E114)/$A105,2)*$C$12,2))</f>
        <v>804.74</v>
      </c>
      <c r="F105" s="927">
        <f>ROUND($A105*$E105,2)</f>
        <v>804.74</v>
      </c>
      <c r="G105" s="493" t="s">
        <v>141</v>
      </c>
      <c r="H105" s="486"/>
      <c r="I105" s="669"/>
      <c r="J105" s="486"/>
      <c r="K105" s="928"/>
      <c r="L105" s="929" t="s">
        <v>142</v>
      </c>
      <c r="M105" s="670"/>
      <c r="N105" s="670"/>
      <c r="O105" s="670"/>
      <c r="P105" s="670"/>
      <c r="Q105"/>
      <c r="R105"/>
      <c r="S105"/>
      <c r="T105" s="930" t="str">
        <f>IF(AND($R121=0,$T121=0),"0.00","mu :" &amp; ROUND($F105/$C$12/($R121+$T121*$D$9),2))</f>
        <v>mu :1</v>
      </c>
      <c r="W105" s="494"/>
      <c r="AG105" s="931">
        <f>IF(A105=0,0,ROUND(SUM(AG107:AG121)/A105,2))</f>
        <v>766.3</v>
      </c>
      <c r="AH105" s="931">
        <f>$AG105*$A105</f>
        <v>766.3</v>
      </c>
      <c r="AI105" s="931">
        <f>$E105-$AG105</f>
        <v>38.440000000000055</v>
      </c>
      <c r="AJ105" s="931">
        <f>$A105*$AI105</f>
        <v>38.440000000000055</v>
      </c>
      <c r="AK105" s="932">
        <f>ROUND(($AG105+$AI105)*$A105,2)</f>
        <v>804.74</v>
      </c>
      <c r="AM105" s="497">
        <f>ROUND(R121,2)</f>
        <v>766.3</v>
      </c>
      <c r="AN105" s="498">
        <f>ROUND(T121,2)</f>
        <v>1.4</v>
      </c>
      <c r="AO105" s="499">
        <f>ROUND(AM105+AN105,2)*A105</f>
        <v>767.7</v>
      </c>
    </row>
    <row r="106" spans="1:41" s="489" customFormat="1" ht="19.95" customHeight="1">
      <c r="A106" s="933"/>
      <c r="B106" s="934"/>
      <c r="C106" s="492"/>
      <c r="D106" s="666" t="s">
        <v>329</v>
      </c>
      <c r="F106" s="486"/>
      <c r="G106" s="486"/>
      <c r="H106" s="486"/>
      <c r="I106" s="669"/>
      <c r="J106" s="486"/>
      <c r="K106" s="486" t="s">
        <v>143</v>
      </c>
      <c r="L106" s="935"/>
      <c r="M106" s="486"/>
      <c r="N106" s="486"/>
      <c r="O106" s="486"/>
      <c r="P106" s="486"/>
      <c r="Q106" s="40"/>
      <c r="R106" s="550"/>
      <c r="S106" s="672"/>
      <c r="T106" s="486"/>
    </row>
    <row r="107" spans="1:41" s="489" customFormat="1" ht="12">
      <c r="A107" s="936"/>
      <c r="B107" s="937"/>
      <c r="C107" s="485"/>
      <c r="D107" s="486"/>
      <c r="E107" s="938">
        <f>F105/$C$12-SUMIF($L104:$L121,"SUBI",$E104:$E121)</f>
        <v>0</v>
      </c>
      <c r="F107" s="939" t="s">
        <v>559</v>
      </c>
      <c r="G107" s="940"/>
      <c r="H107" s="940"/>
      <c r="I107" s="941"/>
      <c r="J107" s="940"/>
      <c r="K107" s="940"/>
      <c r="L107" s="942"/>
      <c r="M107" s="943"/>
      <c r="N107" s="943"/>
      <c r="O107" s="943"/>
      <c r="P107" s="943"/>
      <c r="Q107" s="944"/>
      <c r="R107" s="945"/>
      <c r="S107" s="944"/>
      <c r="T107" s="946"/>
    </row>
    <row r="108" spans="1:41" s="489" customFormat="1" ht="12" customHeight="1">
      <c r="A108" s="947"/>
      <c r="B108" s="948"/>
      <c r="C108" s="949"/>
      <c r="D108" s="949" t="str">
        <f>$F$2</f>
        <v>Electrical</v>
      </c>
      <c r="E108" s="949">
        <f>ROUND(($R113*$S$2 + ($T113*$T$2)), 2)</f>
        <v>51.93</v>
      </c>
      <c r="F108" s="950">
        <f>$E108*$C$12</f>
        <v>51.93</v>
      </c>
      <c r="G108" s="550"/>
      <c r="H108" s="951"/>
      <c r="I108" s="550"/>
      <c r="J108" s="41"/>
      <c r="K108" s="952" t="s">
        <v>3</v>
      </c>
      <c r="L108" s="953" t="s">
        <v>560</v>
      </c>
      <c r="M108" s="550"/>
      <c r="N108" s="550"/>
      <c r="O108" s="41"/>
      <c r="P108" s="550"/>
      <c r="Q108" s="550"/>
      <c r="R108"/>
      <c r="S108"/>
      <c r="T108"/>
    </row>
    <row r="109" spans="1:41" s="915" customFormat="1" ht="13.2">
      <c r="A109" s="82">
        <v>3</v>
      </c>
      <c r="B109" s="915" t="s">
        <v>277</v>
      </c>
      <c r="D109" s="915" t="s">
        <v>598</v>
      </c>
      <c r="G109" s="916" t="s">
        <v>599</v>
      </c>
      <c r="H109" s="917">
        <v>690</v>
      </c>
      <c r="I109" s="915" t="s">
        <v>587</v>
      </c>
      <c r="J109" s="915" t="s">
        <v>600</v>
      </c>
      <c r="O109" s="918">
        <v>1</v>
      </c>
      <c r="P109" s="919">
        <v>34669</v>
      </c>
      <c r="Q109" s="920">
        <v>3.03</v>
      </c>
      <c r="R109" s="921">
        <f>$A109*Q109</f>
        <v>9.09</v>
      </c>
      <c r="S109" s="920">
        <v>0.2</v>
      </c>
      <c r="T109" s="922">
        <f>$A109*S109*$T$1</f>
        <v>0.60000000000000009</v>
      </c>
    </row>
    <row r="110" spans="1:41" s="915" customFormat="1" ht="13.2">
      <c r="A110">
        <v>10</v>
      </c>
      <c r="B110" s="915" t="s">
        <v>277</v>
      </c>
      <c r="D110" s="915" t="s">
        <v>588</v>
      </c>
      <c r="G110" s="916" t="s">
        <v>589</v>
      </c>
      <c r="H110" s="917">
        <v>617</v>
      </c>
      <c r="I110" s="915" t="s">
        <v>590</v>
      </c>
      <c r="J110" s="915" t="s">
        <v>591</v>
      </c>
      <c r="O110" s="918">
        <v>2</v>
      </c>
      <c r="P110" s="919">
        <v>38433</v>
      </c>
      <c r="Q110" s="920">
        <v>0.44</v>
      </c>
      <c r="R110" s="921">
        <f>$A110*Q110</f>
        <v>4.4000000000000004</v>
      </c>
      <c r="S110" s="920">
        <v>0.03</v>
      </c>
      <c r="T110" s="922">
        <f>$A110*S110*$T$1</f>
        <v>0.3</v>
      </c>
    </row>
    <row r="111" spans="1:41" s="915" customFormat="1" ht="13.2">
      <c r="A111">
        <v>1</v>
      </c>
      <c r="B111" s="915" t="s">
        <v>140</v>
      </c>
      <c r="D111" s="915" t="s">
        <v>628</v>
      </c>
      <c r="G111" s="916" t="s">
        <v>557</v>
      </c>
      <c r="H111" s="917">
        <v>512</v>
      </c>
      <c r="I111" s="915" t="s">
        <v>558</v>
      </c>
      <c r="O111" s="918">
        <v>3</v>
      </c>
      <c r="P111" s="919"/>
      <c r="Q111" s="920">
        <v>0</v>
      </c>
      <c r="R111" s="921">
        <f>$A111*Q111</f>
        <v>0</v>
      </c>
      <c r="S111" s="920">
        <v>0.5</v>
      </c>
      <c r="T111" s="922">
        <f>$A111*S111*$T$1</f>
        <v>0.5</v>
      </c>
    </row>
    <row r="112" spans="1:41" s="489" customFormat="1" ht="13.95" customHeight="1">
      <c r="A112" s="698"/>
      <c r="B112" s="550"/>
      <c r="C112" s="550"/>
      <c r="D112" s="550"/>
      <c r="E112" s="550"/>
      <c r="F112" s="550"/>
      <c r="G112" s="550"/>
      <c r="H112" s="951"/>
      <c r="I112" s="550"/>
      <c r="J112" s="41"/>
      <c r="K112" s="955"/>
      <c r="L112" s="956"/>
      <c r="M112" s="550"/>
      <c r="N112" s="550"/>
      <c r="O112" s="41"/>
      <c r="P112" s="550"/>
      <c r="Q112" s="550"/>
      <c r="R112" s="957">
        <f>$A112*Q112</f>
        <v>0</v>
      </c>
      <c r="S112" s="550"/>
      <c r="T112" s="488">
        <f>$A112*S112*$T$1</f>
        <v>0</v>
      </c>
    </row>
    <row r="113" spans="1:41" s="489" customFormat="1" ht="12">
      <c r="A113" s="958" t="s">
        <v>144</v>
      </c>
      <c r="B113" s="959">
        <f>(R112+T112)</f>
        <v>0</v>
      </c>
      <c r="C113" s="485"/>
      <c r="G113" s="960"/>
      <c r="H113" s="960"/>
      <c r="I113" s="960"/>
      <c r="J113" s="960"/>
      <c r="K113" s="961" t="s">
        <v>3</v>
      </c>
      <c r="L113" s="962" t="s">
        <v>560</v>
      </c>
      <c r="M113" s="960"/>
      <c r="N113" s="960"/>
      <c r="O113" s="960"/>
      <c r="P113" s="960"/>
      <c r="Q113" s="963"/>
      <c r="R113" s="964">
        <f>SUM(R108:R112)</f>
        <v>13.49</v>
      </c>
      <c r="S113" s="965"/>
      <c r="T113" s="964">
        <f>SUM(T108:T112)</f>
        <v>1.4000000000000001</v>
      </c>
      <c r="AG113" s="966">
        <f>ROUND($R113*$S$2,2)</f>
        <v>13.49</v>
      </c>
    </row>
    <row r="114" spans="1:41" s="489" customFormat="1" ht="12" customHeight="1">
      <c r="A114" s="967"/>
      <c r="B114" s="968"/>
      <c r="C114" s="969"/>
      <c r="D114" s="969" t="str">
        <f>$F$3</f>
        <v>Controls</v>
      </c>
      <c r="E114" s="969">
        <f>ROUND(($R119*$S$3 + ($T119*$T$3)), 2)</f>
        <v>752.81</v>
      </c>
      <c r="F114" s="970">
        <f ca="1">$F105-SUMIF($L107:$P109,"SUBI",$F107:$F109)</f>
        <v>752.81000000000006</v>
      </c>
      <c r="G114" s="487"/>
      <c r="H114" s="487"/>
      <c r="I114" s="487"/>
      <c r="J114" s="487"/>
      <c r="K114" s="952" t="s">
        <v>5</v>
      </c>
      <c r="L114" s="953" t="s">
        <v>560</v>
      </c>
      <c r="M114" s="487"/>
      <c r="N114" s="487"/>
      <c r="O114" s="487"/>
      <c r="P114" s="487"/>
      <c r="Q114" s="487"/>
      <c r="R114" s="971"/>
      <c r="S114" s="487"/>
      <c r="T114" s="971"/>
    </row>
    <row r="115" spans="1:41" s="984" customFormat="1" ht="14.4" customHeight="1">
      <c r="A115" s="972"/>
      <c r="B115" s="954" t="s">
        <v>561</v>
      </c>
      <c r="C115" s="973"/>
      <c r="D115" s="974"/>
      <c r="E115" s="974"/>
      <c r="F115" s="974"/>
      <c r="G115" s="975"/>
      <c r="H115" s="976"/>
      <c r="I115" s="976"/>
      <c r="J115" s="977"/>
      <c r="K115" s="978"/>
      <c r="L115" s="973"/>
      <c r="M115" s="979"/>
      <c r="N115" s="980"/>
      <c r="O115" s="981"/>
      <c r="P115" s="982"/>
      <c r="Q115" s="983"/>
      <c r="R115" s="957">
        <f>$A115*Q115</f>
        <v>0</v>
      </c>
      <c r="S115" s="550"/>
      <c r="T115" s="488">
        <f>$A115*S115*$T$1</f>
        <v>0</v>
      </c>
    </row>
    <row r="116" spans="1:41" s="915" customFormat="1" ht="13.2">
      <c r="A116">
        <v>1</v>
      </c>
      <c r="B116" s="915" t="s">
        <v>140</v>
      </c>
      <c r="D116" s="915" t="s">
        <v>329</v>
      </c>
      <c r="G116" s="916" t="s">
        <v>557</v>
      </c>
      <c r="H116" s="917">
        <v>512</v>
      </c>
      <c r="I116" s="915" t="s">
        <v>558</v>
      </c>
      <c r="O116" s="918">
        <v>3</v>
      </c>
      <c r="P116" s="919"/>
      <c r="Q116" s="920">
        <v>567.80999999999995</v>
      </c>
      <c r="R116" s="921">
        <f>$A116*Q116</f>
        <v>567.80999999999995</v>
      </c>
      <c r="S116" s="920"/>
      <c r="T116" s="922">
        <f>$A116*S116*$T$1</f>
        <v>0</v>
      </c>
    </row>
    <row r="117" spans="1:41" s="915" customFormat="1" ht="13.2">
      <c r="A117">
        <v>1</v>
      </c>
      <c r="B117" s="915" t="s">
        <v>140</v>
      </c>
      <c r="D117" s="915" t="s">
        <v>627</v>
      </c>
      <c r="G117" s="916" t="s">
        <v>557</v>
      </c>
      <c r="H117" s="917">
        <v>512</v>
      </c>
      <c r="I117" s="915" t="s">
        <v>558</v>
      </c>
      <c r="O117" s="918">
        <v>3</v>
      </c>
      <c r="P117" s="919"/>
      <c r="Q117" s="920">
        <v>185</v>
      </c>
      <c r="R117" s="921">
        <f>$A117*Q117</f>
        <v>185</v>
      </c>
      <c r="S117" s="920"/>
      <c r="T117" s="922">
        <f>$A117*S117*$T$1</f>
        <v>0</v>
      </c>
    </row>
    <row r="118" spans="1:41" s="489" customFormat="1" ht="11.4">
      <c r="A118" s="698"/>
      <c r="B118" s="550"/>
      <c r="C118" s="550"/>
      <c r="D118" s="550"/>
      <c r="E118" s="1005" t="s">
        <v>626</v>
      </c>
      <c r="F118" s="550"/>
      <c r="G118" s="550"/>
      <c r="H118" s="550"/>
      <c r="I118" s="550"/>
      <c r="J118" s="550"/>
      <c r="K118" s="550"/>
      <c r="L118" s="956"/>
      <c r="M118" s="550"/>
      <c r="N118" s="550"/>
      <c r="O118" s="550"/>
      <c r="P118" s="550"/>
      <c r="Q118" s="550"/>
      <c r="R118" s="957">
        <f>$A118*Q118</f>
        <v>0</v>
      </c>
      <c r="S118" s="550"/>
      <c r="T118" s="488">
        <f>$A118*S118*$T$1</f>
        <v>0</v>
      </c>
    </row>
    <row r="119" spans="1:41" s="489" customFormat="1" ht="12" customHeight="1">
      <c r="A119" s="985" t="s">
        <v>144</v>
      </c>
      <c r="B119" s="959">
        <f>(R118+T118)</f>
        <v>0</v>
      </c>
      <c r="C119" s="987"/>
      <c r="D119" s="987"/>
      <c r="E119" s="987"/>
      <c r="F119" s="987"/>
      <c r="G119" s="963"/>
      <c r="H119" s="963"/>
      <c r="I119" s="963"/>
      <c r="J119" s="963"/>
      <c r="K119" s="988" t="s">
        <v>5</v>
      </c>
      <c r="L119" s="989" t="s">
        <v>560</v>
      </c>
      <c r="M119" s="963"/>
      <c r="N119" s="963"/>
      <c r="O119" s="963"/>
      <c r="P119" s="963"/>
      <c r="Q119" s="963"/>
      <c r="R119" s="964">
        <f>SUM(R114:R118)</f>
        <v>752.81</v>
      </c>
      <c r="S119" s="965"/>
      <c r="T119" s="964">
        <f>SUM(T114:T118)</f>
        <v>0</v>
      </c>
      <c r="AG119" s="990">
        <f>ROUND($R119*$S$3,2)</f>
        <v>752.81</v>
      </c>
    </row>
    <row r="120" spans="1:41" s="489" customFormat="1" ht="12.75" customHeight="1">
      <c r="A120" s="991"/>
      <c r="B120" s="992"/>
      <c r="E120" s="485"/>
      <c r="F120" s="993"/>
      <c r="G120" s="485"/>
      <c r="H120" s="485"/>
      <c r="I120" s="487"/>
      <c r="J120" s="485"/>
      <c r="K120" s="485"/>
      <c r="L120" s="994"/>
      <c r="M120" s="701"/>
      <c r="N120" s="701"/>
      <c r="O120" s="701"/>
      <c r="P120" s="701"/>
      <c r="Q120" s="685"/>
      <c r="R120" s="971"/>
      <c r="S120" s="485"/>
      <c r="T120" s="971"/>
    </row>
    <row r="121" spans="1:41" s="489" customFormat="1" ht="13.5" customHeight="1" thickBot="1">
      <c r="A121" s="995"/>
      <c r="B121" s="996"/>
      <c r="C121" s="505"/>
      <c r="D121" s="505"/>
      <c r="E121" s="502"/>
      <c r="F121" s="674"/>
      <c r="G121" s="502" t="s">
        <v>145</v>
      </c>
      <c r="H121" s="502"/>
      <c r="I121" s="503"/>
      <c r="J121" s="502"/>
      <c r="K121" s="502"/>
      <c r="L121" s="997" t="s">
        <v>142</v>
      </c>
      <c r="M121" s="504"/>
      <c r="N121" s="504"/>
      <c r="O121" s="504"/>
      <c r="P121" s="504"/>
      <c r="Q121" s="675"/>
      <c r="R121" s="998">
        <f>SUMIF($L106:$L120,"SUBI",R106:R120)</f>
        <v>766.3</v>
      </c>
      <c r="S121" s="502"/>
      <c r="T121" s="998">
        <f>SUMIF($L106:$L120,"SUBI",T106:T120)</f>
        <v>1.4000000000000001</v>
      </c>
      <c r="U121" s="505"/>
      <c r="V121" s="505"/>
      <c r="W121" s="505"/>
      <c r="X121" s="505"/>
      <c r="Y121" s="505"/>
      <c r="Z121" s="505"/>
      <c r="AA121" s="505"/>
      <c r="AB121" s="505"/>
      <c r="AC121" s="505"/>
      <c r="AD121" s="505"/>
      <c r="AE121" s="505"/>
      <c r="AF121" s="505"/>
      <c r="AG121" s="505"/>
      <c r="AH121" s="505"/>
      <c r="AI121" s="505"/>
      <c r="AJ121" s="505"/>
      <c r="AK121" s="505"/>
      <c r="AL121" s="505"/>
      <c r="AM121" s="505"/>
      <c r="AN121" s="505"/>
      <c r="AO121" s="505"/>
    </row>
    <row r="122" spans="1:41" s="489" customFormat="1" thickTop="1">
      <c r="A122" s="40"/>
      <c r="B122" s="36"/>
      <c r="C122" s="40"/>
      <c r="E122" s="37" t="s">
        <v>137</v>
      </c>
      <c r="F122" s="37" t="s">
        <v>138</v>
      </c>
      <c r="G122" s="40"/>
      <c r="H122" s="40"/>
      <c r="I122" s="40"/>
      <c r="J122" s="40"/>
      <c r="K122" s="40" t="s">
        <v>139</v>
      </c>
      <c r="L122" s="925"/>
      <c r="M122" s="40"/>
      <c r="N122" s="40"/>
      <c r="O122" s="41"/>
      <c r="P122" s="40"/>
      <c r="Q122"/>
      <c r="R122"/>
      <c r="S122"/>
      <c r="T122" s="36"/>
      <c r="AG122" s="662" t="s">
        <v>238</v>
      </c>
      <c r="AH122" s="662" t="s">
        <v>239</v>
      </c>
      <c r="AI122" s="662" t="s">
        <v>240</v>
      </c>
      <c r="AJ122" s="662" t="s">
        <v>241</v>
      </c>
      <c r="AK122" s="662" t="s">
        <v>242</v>
      </c>
      <c r="AM122" s="663" t="s">
        <v>251</v>
      </c>
      <c r="AN122" s="664" t="s">
        <v>252</v>
      </c>
      <c r="AO122" s="490" t="s">
        <v>248</v>
      </c>
    </row>
    <row r="123" spans="1:41" s="489" customFormat="1" ht="13.2">
      <c r="A123" s="1001">
        <v>1</v>
      </c>
      <c r="B123" s="491" t="s">
        <v>140</v>
      </c>
      <c r="C123" s="492"/>
      <c r="D123" s="666" t="s">
        <v>503</v>
      </c>
      <c r="E123" s="926">
        <f>IF(AND($A123=0,$A$1="DIF"),0, ROUND(ROUND(SUMIF($L125:$L132,"SUBI",$E125:$E132)/$A123,2)*$C$12,2))</f>
        <v>559.85</v>
      </c>
      <c r="F123" s="927">
        <f>ROUND($A123*$E123,2)</f>
        <v>559.85</v>
      </c>
      <c r="G123" s="493" t="s">
        <v>141</v>
      </c>
      <c r="H123" s="486"/>
      <c r="I123" s="669"/>
      <c r="J123" s="486"/>
      <c r="K123" s="928"/>
      <c r="L123" s="929" t="s">
        <v>142</v>
      </c>
      <c r="M123" s="670"/>
      <c r="N123" s="670"/>
      <c r="O123" s="670"/>
      <c r="P123" s="670"/>
      <c r="Q123"/>
      <c r="R123"/>
      <c r="S123"/>
      <c r="T123" s="930" t="str">
        <f>IF(AND($R139=0,$T139=0),"0.00","mu :" &amp; ROUND($F123/$C$12/($R139+$T139*$D$9),2))</f>
        <v>mu :1</v>
      </c>
      <c r="W123" s="494"/>
      <c r="AG123" s="931">
        <f>IF(A123=0,0,ROUND(SUM(AG125:AG139)/A123,2))</f>
        <v>521.41</v>
      </c>
      <c r="AH123" s="931">
        <f>$AG123*$A123</f>
        <v>521.41</v>
      </c>
      <c r="AI123" s="931">
        <f>$E123-$AG123</f>
        <v>38.440000000000055</v>
      </c>
      <c r="AJ123" s="931">
        <f>$A123*$AI123</f>
        <v>38.440000000000055</v>
      </c>
      <c r="AK123" s="932">
        <f>ROUND(($AG123+$AI123)*$A123,2)</f>
        <v>559.85</v>
      </c>
      <c r="AM123" s="497">
        <f>ROUND(R139,2)</f>
        <v>521.41</v>
      </c>
      <c r="AN123" s="498">
        <f>ROUND(T139,2)</f>
        <v>1.4</v>
      </c>
      <c r="AO123" s="499">
        <f>ROUND(AM123+AN123,2)*A123</f>
        <v>522.80999999999995</v>
      </c>
    </row>
    <row r="124" spans="1:41" s="489" customFormat="1" ht="19.95" customHeight="1">
      <c r="A124" s="933"/>
      <c r="B124" s="934"/>
      <c r="C124" s="492"/>
      <c r="D124" s="666" t="s">
        <v>331</v>
      </c>
      <c r="F124" s="486"/>
      <c r="G124" s="486"/>
      <c r="H124" s="486"/>
      <c r="I124" s="669"/>
      <c r="J124" s="486"/>
      <c r="K124" s="486" t="s">
        <v>143</v>
      </c>
      <c r="L124" s="935"/>
      <c r="M124" s="486"/>
      <c r="N124" s="486"/>
      <c r="O124" s="486"/>
      <c r="P124" s="486"/>
      <c r="Q124" s="40"/>
      <c r="R124" s="550"/>
      <c r="S124" s="672"/>
      <c r="T124" s="486"/>
    </row>
    <row r="125" spans="1:41" s="489" customFormat="1" ht="12">
      <c r="A125" s="936"/>
      <c r="B125" s="937"/>
      <c r="C125" s="485"/>
      <c r="D125" s="486"/>
      <c r="E125" s="938">
        <f>F123/$C$12-SUMIF($L122:$L139,"SUBI",$E122:$E139)</f>
        <v>0</v>
      </c>
      <c r="F125" s="939" t="s">
        <v>559</v>
      </c>
      <c r="G125" s="940"/>
      <c r="H125" s="940"/>
      <c r="I125" s="941"/>
      <c r="J125" s="940"/>
      <c r="K125" s="940"/>
      <c r="L125" s="942"/>
      <c r="M125" s="943"/>
      <c r="N125" s="943"/>
      <c r="O125" s="943"/>
      <c r="P125" s="943"/>
      <c r="Q125" s="944"/>
      <c r="R125" s="945"/>
      <c r="S125" s="944"/>
      <c r="T125" s="946"/>
    </row>
    <row r="126" spans="1:41" s="489" customFormat="1" ht="12" customHeight="1">
      <c r="A126" s="947"/>
      <c r="B126" s="948"/>
      <c r="C126" s="949"/>
      <c r="D126" s="949" t="str">
        <f>$F$2</f>
        <v>Electrical</v>
      </c>
      <c r="E126" s="949">
        <f>ROUND(($R131*$S$2 + ($T131*$T$2)), 2)</f>
        <v>51.93</v>
      </c>
      <c r="F126" s="950">
        <f>$E126*$C$12</f>
        <v>51.93</v>
      </c>
      <c r="G126" s="550"/>
      <c r="H126" s="951"/>
      <c r="I126" s="550"/>
      <c r="J126" s="41"/>
      <c r="K126" s="952" t="s">
        <v>3</v>
      </c>
      <c r="L126" s="953" t="s">
        <v>560</v>
      </c>
      <c r="M126" s="550"/>
      <c r="N126" s="550"/>
      <c r="O126" s="41"/>
      <c r="P126" s="550"/>
      <c r="Q126" s="550"/>
      <c r="R126"/>
      <c r="S126"/>
      <c r="T126"/>
    </row>
    <row r="127" spans="1:41" s="915" customFormat="1" ht="13.2">
      <c r="A127" s="82">
        <v>3</v>
      </c>
      <c r="B127" s="915" t="s">
        <v>277</v>
      </c>
      <c r="D127" s="915" t="s">
        <v>598</v>
      </c>
      <c r="G127" s="916" t="s">
        <v>599</v>
      </c>
      <c r="H127" s="917">
        <v>690</v>
      </c>
      <c r="I127" s="915" t="s">
        <v>587</v>
      </c>
      <c r="J127" s="915" t="s">
        <v>600</v>
      </c>
      <c r="O127" s="918">
        <v>1</v>
      </c>
      <c r="P127" s="919">
        <v>34669</v>
      </c>
      <c r="Q127" s="920">
        <v>3.03</v>
      </c>
      <c r="R127" s="921">
        <f>$A127*Q127</f>
        <v>9.09</v>
      </c>
      <c r="S127" s="920">
        <v>0.2</v>
      </c>
      <c r="T127" s="922">
        <f>$A127*S127*$T$1</f>
        <v>0.60000000000000009</v>
      </c>
    </row>
    <row r="128" spans="1:41" s="915" customFormat="1" ht="13.2">
      <c r="A128">
        <v>10</v>
      </c>
      <c r="B128" s="915" t="s">
        <v>277</v>
      </c>
      <c r="D128" s="915" t="s">
        <v>588</v>
      </c>
      <c r="G128" s="916" t="s">
        <v>589</v>
      </c>
      <c r="H128" s="917">
        <v>617</v>
      </c>
      <c r="I128" s="915" t="s">
        <v>590</v>
      </c>
      <c r="J128" s="915" t="s">
        <v>591</v>
      </c>
      <c r="O128" s="918">
        <v>2</v>
      </c>
      <c r="P128" s="919">
        <v>38433</v>
      </c>
      <c r="Q128" s="920">
        <v>0.44</v>
      </c>
      <c r="R128" s="921">
        <f>$A128*Q128</f>
        <v>4.4000000000000004</v>
      </c>
      <c r="S128" s="920">
        <v>0.03</v>
      </c>
      <c r="T128" s="922">
        <f>$A128*S128*$T$1</f>
        <v>0.3</v>
      </c>
    </row>
    <row r="129" spans="1:41" s="915" customFormat="1" ht="13.2">
      <c r="A129">
        <v>1</v>
      </c>
      <c r="B129" s="915" t="s">
        <v>140</v>
      </c>
      <c r="D129" s="915" t="s">
        <v>628</v>
      </c>
      <c r="G129" s="916" t="s">
        <v>557</v>
      </c>
      <c r="H129" s="917">
        <v>512</v>
      </c>
      <c r="I129" s="915" t="s">
        <v>558</v>
      </c>
      <c r="O129" s="918">
        <v>3</v>
      </c>
      <c r="P129" s="919"/>
      <c r="Q129" s="920">
        <v>0</v>
      </c>
      <c r="R129" s="921">
        <f>$A129*Q129</f>
        <v>0</v>
      </c>
      <c r="S129" s="920">
        <v>0.5</v>
      </c>
      <c r="T129" s="922">
        <f>$A129*S129*$T$1</f>
        <v>0.5</v>
      </c>
    </row>
    <row r="130" spans="1:41" s="489" customFormat="1" ht="13.95" customHeight="1">
      <c r="A130" s="698"/>
      <c r="B130" s="550"/>
      <c r="C130" s="550"/>
      <c r="D130" s="550"/>
      <c r="E130" s="550"/>
      <c r="F130" s="550"/>
      <c r="G130" s="550"/>
      <c r="H130" s="951"/>
      <c r="I130" s="550"/>
      <c r="J130" s="41"/>
      <c r="K130" s="955"/>
      <c r="L130" s="956"/>
      <c r="M130" s="550"/>
      <c r="N130" s="550"/>
      <c r="O130" s="41"/>
      <c r="P130" s="550"/>
      <c r="Q130" s="550"/>
      <c r="R130" s="957">
        <f>$A130*Q130</f>
        <v>0</v>
      </c>
      <c r="S130" s="550"/>
      <c r="T130" s="488">
        <f>$A130*S130*$T$1</f>
        <v>0</v>
      </c>
    </row>
    <row r="131" spans="1:41" s="489" customFormat="1" ht="12">
      <c r="A131" s="958" t="s">
        <v>144</v>
      </c>
      <c r="B131" s="959">
        <f>(R130+T130)</f>
        <v>0</v>
      </c>
      <c r="C131" s="485"/>
      <c r="G131" s="960"/>
      <c r="H131" s="960"/>
      <c r="I131" s="960"/>
      <c r="J131" s="960"/>
      <c r="K131" s="961" t="s">
        <v>3</v>
      </c>
      <c r="L131" s="962" t="s">
        <v>560</v>
      </c>
      <c r="M131" s="960"/>
      <c r="N131" s="960"/>
      <c r="O131" s="960"/>
      <c r="P131" s="960"/>
      <c r="Q131" s="963"/>
      <c r="R131" s="964">
        <f>SUM(R126:R130)</f>
        <v>13.49</v>
      </c>
      <c r="S131" s="965"/>
      <c r="T131" s="964">
        <f>SUM(T126:T130)</f>
        <v>1.4000000000000001</v>
      </c>
      <c r="AG131" s="966">
        <f>ROUND($R131*$S$2,2)</f>
        <v>13.49</v>
      </c>
    </row>
    <row r="132" spans="1:41" s="489" customFormat="1" ht="12" customHeight="1">
      <c r="A132" s="967"/>
      <c r="B132" s="968"/>
      <c r="C132" s="969"/>
      <c r="D132" s="969" t="str">
        <f>$F$3</f>
        <v>Controls</v>
      </c>
      <c r="E132" s="969">
        <f>ROUND(($R137*$S$3 + ($T137*$T$3)), 2)</f>
        <v>507.92</v>
      </c>
      <c r="F132" s="970">
        <f ca="1">$F123-SUMIF($L125:$P126,"SUBI",$F125:$F126)</f>
        <v>507.92</v>
      </c>
      <c r="G132" s="487"/>
      <c r="H132" s="487"/>
      <c r="I132" s="487"/>
      <c r="J132" s="487"/>
      <c r="K132" s="952" t="s">
        <v>5</v>
      </c>
      <c r="L132" s="953" t="s">
        <v>560</v>
      </c>
      <c r="M132" s="487"/>
      <c r="N132" s="487"/>
      <c r="O132" s="487"/>
      <c r="P132" s="487"/>
      <c r="Q132" s="487"/>
      <c r="R132" s="971"/>
      <c r="S132" s="487"/>
      <c r="T132" s="971"/>
    </row>
    <row r="133" spans="1:41" s="984" customFormat="1" ht="14.4" customHeight="1">
      <c r="A133" s="972"/>
      <c r="B133" s="954" t="s">
        <v>561</v>
      </c>
      <c r="C133" s="973"/>
      <c r="D133" s="974"/>
      <c r="E133" s="974"/>
      <c r="F133" s="974"/>
      <c r="G133" s="975"/>
      <c r="H133" s="976"/>
      <c r="I133" s="976"/>
      <c r="J133" s="977"/>
      <c r="K133" s="978"/>
      <c r="L133" s="973"/>
      <c r="M133" s="979"/>
      <c r="N133" s="980"/>
      <c r="O133" s="981"/>
      <c r="P133" s="982"/>
      <c r="Q133" s="983"/>
      <c r="R133" s="957">
        <f>$A133*Q133</f>
        <v>0</v>
      </c>
      <c r="S133" s="550"/>
      <c r="T133" s="488">
        <f>$A133*S133*$T$1</f>
        <v>0</v>
      </c>
    </row>
    <row r="134" spans="1:41" s="915" customFormat="1" ht="13.2">
      <c r="A134">
        <v>1</v>
      </c>
      <c r="B134" s="915" t="s">
        <v>140</v>
      </c>
      <c r="D134" s="915" t="s">
        <v>331</v>
      </c>
      <c r="G134" s="916" t="s">
        <v>557</v>
      </c>
      <c r="H134" s="917">
        <v>512</v>
      </c>
      <c r="I134" s="915" t="s">
        <v>558</v>
      </c>
      <c r="O134" s="918">
        <v>3</v>
      </c>
      <c r="P134" s="919"/>
      <c r="Q134" s="920">
        <v>322.92</v>
      </c>
      <c r="R134" s="921">
        <f>$A134*Q134</f>
        <v>322.92</v>
      </c>
      <c r="S134" s="920"/>
      <c r="T134" s="922">
        <f>$A134*S134*$T$1</f>
        <v>0</v>
      </c>
    </row>
    <row r="135" spans="1:41" s="915" customFormat="1" ht="13.2">
      <c r="A135">
        <v>1</v>
      </c>
      <c r="B135" s="915" t="s">
        <v>140</v>
      </c>
      <c r="D135" s="915" t="s">
        <v>627</v>
      </c>
      <c r="G135" s="916" t="s">
        <v>557</v>
      </c>
      <c r="H135" s="917">
        <v>512</v>
      </c>
      <c r="I135" s="915" t="s">
        <v>558</v>
      </c>
      <c r="O135" s="918">
        <v>3</v>
      </c>
      <c r="P135" s="919"/>
      <c r="Q135" s="920">
        <v>185</v>
      </c>
      <c r="R135" s="921">
        <f>$A135*Q135</f>
        <v>185</v>
      </c>
      <c r="S135" s="920"/>
      <c r="T135" s="922">
        <f>$A135*S135*$T$1</f>
        <v>0</v>
      </c>
    </row>
    <row r="136" spans="1:41" s="489" customFormat="1" ht="11.4">
      <c r="A136" s="698"/>
      <c r="B136" s="550"/>
      <c r="C136" s="550"/>
      <c r="D136" s="550"/>
      <c r="E136" s="1005" t="s">
        <v>626</v>
      </c>
      <c r="F136" s="550"/>
      <c r="G136" s="550"/>
      <c r="H136" s="550"/>
      <c r="I136" s="550"/>
      <c r="J136" s="550"/>
      <c r="K136" s="550"/>
      <c r="L136" s="956"/>
      <c r="M136" s="550"/>
      <c r="N136" s="550"/>
      <c r="O136" s="550"/>
      <c r="P136" s="550"/>
      <c r="Q136" s="550"/>
      <c r="R136" s="957">
        <f>$A136*Q136</f>
        <v>0</v>
      </c>
      <c r="S136" s="550"/>
      <c r="T136" s="488">
        <f>$A136*S136*$T$1</f>
        <v>0</v>
      </c>
    </row>
    <row r="137" spans="1:41" s="489" customFormat="1" ht="12" customHeight="1">
      <c r="A137" s="985" t="s">
        <v>144</v>
      </c>
      <c r="B137" s="959">
        <f>(R136+T136)</f>
        <v>0</v>
      </c>
      <c r="C137" s="987"/>
      <c r="D137" s="987"/>
      <c r="E137" s="987"/>
      <c r="F137" s="987"/>
      <c r="G137" s="963"/>
      <c r="H137" s="963"/>
      <c r="I137" s="963"/>
      <c r="J137" s="963"/>
      <c r="K137" s="988" t="s">
        <v>5</v>
      </c>
      <c r="L137" s="989" t="s">
        <v>560</v>
      </c>
      <c r="M137" s="963"/>
      <c r="N137" s="963"/>
      <c r="O137" s="963"/>
      <c r="P137" s="963"/>
      <c r="Q137" s="963"/>
      <c r="R137" s="964">
        <f>SUM(R132:R136)</f>
        <v>507.92</v>
      </c>
      <c r="S137" s="965"/>
      <c r="T137" s="964">
        <f>SUM(T132:T136)</f>
        <v>0</v>
      </c>
      <c r="AG137" s="990">
        <f>ROUND($R137*$S$3,2)</f>
        <v>507.92</v>
      </c>
    </row>
    <row r="138" spans="1:41" s="489" customFormat="1" ht="12.75" customHeight="1">
      <c r="A138" s="991"/>
      <c r="B138" s="992"/>
      <c r="E138" s="485"/>
      <c r="F138" s="993"/>
      <c r="G138" s="485"/>
      <c r="H138" s="485"/>
      <c r="I138" s="487"/>
      <c r="J138" s="485"/>
      <c r="K138" s="485"/>
      <c r="L138" s="994"/>
      <c r="M138" s="701"/>
      <c r="N138" s="701"/>
      <c r="O138" s="701"/>
      <c r="P138" s="701"/>
      <c r="Q138" s="685"/>
      <c r="R138" s="971"/>
      <c r="S138" s="485"/>
      <c r="T138" s="971"/>
    </row>
    <row r="139" spans="1:41" s="489" customFormat="1" ht="13.5" customHeight="1" thickBot="1">
      <c r="A139" s="995"/>
      <c r="B139" s="996"/>
      <c r="C139" s="505"/>
      <c r="D139" s="505"/>
      <c r="E139" s="502"/>
      <c r="F139" s="674"/>
      <c r="G139" s="502" t="s">
        <v>145</v>
      </c>
      <c r="H139" s="502"/>
      <c r="I139" s="503"/>
      <c r="J139" s="502"/>
      <c r="K139" s="502"/>
      <c r="L139" s="997" t="s">
        <v>142</v>
      </c>
      <c r="M139" s="504"/>
      <c r="N139" s="504"/>
      <c r="O139" s="504"/>
      <c r="P139" s="504"/>
      <c r="Q139" s="675"/>
      <c r="R139" s="998">
        <f>SUMIF($L124:$L138,"SUBI",R124:R138)</f>
        <v>521.41</v>
      </c>
      <c r="S139" s="502"/>
      <c r="T139" s="998">
        <f>SUMIF($L124:$L138,"SUBI",T124:T138)</f>
        <v>1.4000000000000001</v>
      </c>
      <c r="U139" s="505"/>
      <c r="V139" s="505"/>
      <c r="W139" s="505"/>
      <c r="X139" s="505"/>
      <c r="Y139" s="505"/>
      <c r="Z139" s="505"/>
      <c r="AA139" s="505"/>
      <c r="AB139" s="505"/>
      <c r="AC139" s="505"/>
      <c r="AD139" s="505"/>
      <c r="AE139" s="505"/>
      <c r="AF139" s="505"/>
      <c r="AG139" s="505"/>
      <c r="AH139" s="505"/>
      <c r="AI139" s="505"/>
      <c r="AJ139" s="505"/>
      <c r="AK139" s="505"/>
      <c r="AL139" s="505"/>
      <c r="AM139" s="505"/>
      <c r="AN139" s="505"/>
      <c r="AO139" s="505"/>
    </row>
    <row r="140" spans="1:41" s="489" customFormat="1" ht="12" thickTop="1">
      <c r="A140" s="40"/>
      <c r="B140" s="36"/>
      <c r="C140" s="40"/>
      <c r="E140" s="37" t="s">
        <v>137</v>
      </c>
      <c r="F140" s="37" t="s">
        <v>138</v>
      </c>
      <c r="G140" s="40"/>
      <c r="H140" s="40"/>
      <c r="I140" s="40"/>
      <c r="J140" s="40"/>
      <c r="K140" s="40" t="s">
        <v>139</v>
      </c>
      <c r="L140" s="40"/>
      <c r="M140" s="40"/>
      <c r="N140" s="40"/>
      <c r="O140" s="41"/>
      <c r="P140" s="40"/>
      <c r="Q140" s="40"/>
      <c r="R140" s="40"/>
      <c r="S140" s="40"/>
      <c r="T140" s="36"/>
      <c r="AG140" s="662" t="s">
        <v>238</v>
      </c>
      <c r="AH140" s="662" t="s">
        <v>239</v>
      </c>
      <c r="AI140" s="662" t="s">
        <v>240</v>
      </c>
      <c r="AJ140" s="662" t="s">
        <v>241</v>
      </c>
      <c r="AK140" s="662" t="s">
        <v>242</v>
      </c>
      <c r="AM140" s="663" t="s">
        <v>251</v>
      </c>
      <c r="AN140" s="664" t="s">
        <v>252</v>
      </c>
      <c r="AO140" s="490" t="s">
        <v>248</v>
      </c>
    </row>
    <row r="141" spans="1:41" s="489" customFormat="1" ht="12" customHeight="1">
      <c r="A141" s="1001">
        <v>1</v>
      </c>
      <c r="B141" s="491" t="s">
        <v>140</v>
      </c>
      <c r="C141" s="492"/>
      <c r="D141" s="666" t="s">
        <v>504</v>
      </c>
      <c r="E141" s="667">
        <f>IF(AND($A141=0,$A$1="DIF"),0, ROUND(ROUND(($R150*$S$2+($T150*$T$2))/A141,2)*$C$2,2))</f>
        <v>78.06</v>
      </c>
      <c r="F141" s="668">
        <f>ROUND($A141*$E141,2)</f>
        <v>78.06</v>
      </c>
      <c r="G141" s="493" t="s">
        <v>141</v>
      </c>
      <c r="H141" s="486"/>
      <c r="I141" s="669"/>
      <c r="J141" s="486"/>
      <c r="K141" s="486" t="s">
        <v>3</v>
      </c>
      <c r="L141" s="670" t="s">
        <v>142</v>
      </c>
      <c r="M141" s="670"/>
      <c r="N141" s="670"/>
      <c r="O141" s="670"/>
      <c r="P141" s="670"/>
      <c r="Q141" s="40"/>
      <c r="T141" s="671" t="str">
        <f>IF(AND($R150=0,$T150=0),"0.00","mu :" &amp; ROUND($F141/$C$2/($R150+$T150*$D$9),2))</f>
        <v>mu :1</v>
      </c>
      <c r="W141" s="494"/>
      <c r="AG141" s="447">
        <f>IF($E141=0,0,ROUND($R150*$S$2*$C$2/$A141,2))</f>
        <v>11.06</v>
      </c>
      <c r="AH141" s="447">
        <f>$AG141*$A141</f>
        <v>11.06</v>
      </c>
      <c r="AI141" s="495">
        <f>$E141-$AG141</f>
        <v>67</v>
      </c>
      <c r="AJ141" s="495">
        <f>$A141*$AI141</f>
        <v>67</v>
      </c>
      <c r="AK141" s="496">
        <f>ROUND(($AG141+$AI141)*$A141,2)</f>
        <v>78.06</v>
      </c>
      <c r="AM141" s="497">
        <f>ROUND(R150,2)</f>
        <v>11.06</v>
      </c>
      <c r="AN141" s="498">
        <f>ROUND(T150,2)</f>
        <v>2.44</v>
      </c>
      <c r="AO141" s="499">
        <f>ROUND(AM141+AN141,2)*A141</f>
        <v>13.5</v>
      </c>
    </row>
    <row r="142" spans="1:41" s="489" customFormat="1" ht="48">
      <c r="A142" s="492"/>
      <c r="B142"/>
      <c r="C142" s="492"/>
      <c r="D142" s="756" t="s">
        <v>338</v>
      </c>
      <c r="E142" s="757"/>
      <c r="F142" s="757"/>
      <c r="G142" s="757"/>
      <c r="H142" s="757"/>
      <c r="I142" s="757"/>
      <c r="J142" s="757"/>
      <c r="K142" s="757"/>
      <c r="L142" s="757"/>
      <c r="M142" s="757"/>
      <c r="N142" s="757"/>
      <c r="O142" s="757"/>
      <c r="P142" s="757"/>
      <c r="Q142" s="757"/>
      <c r="R142" s="758"/>
      <c r="S142" s="757"/>
      <c r="T142" s="757"/>
    </row>
    <row r="143" spans="1:41" s="915" customFormat="1" ht="13.2">
      <c r="A143">
        <v>2</v>
      </c>
      <c r="B143" s="915" t="s">
        <v>269</v>
      </c>
      <c r="D143" s="915" t="s">
        <v>586</v>
      </c>
      <c r="G143" s="916" t="s">
        <v>584</v>
      </c>
      <c r="H143" s="917">
        <v>501</v>
      </c>
      <c r="I143" s="915" t="s">
        <v>558</v>
      </c>
      <c r="K143" s="915" t="s">
        <v>585</v>
      </c>
      <c r="O143" s="918">
        <v>1</v>
      </c>
      <c r="P143" s="919">
        <v>35705</v>
      </c>
      <c r="Q143" s="999">
        <v>0</v>
      </c>
      <c r="R143" s="921">
        <f>$A143*Q143</f>
        <v>0</v>
      </c>
      <c r="S143" s="920">
        <v>0.5</v>
      </c>
      <c r="T143" s="922">
        <f>$A143*S143*$T$1</f>
        <v>1</v>
      </c>
    </row>
    <row r="144" spans="1:41" s="915" customFormat="1" ht="13.2">
      <c r="A144">
        <v>4</v>
      </c>
      <c r="B144" s="915" t="s">
        <v>277</v>
      </c>
      <c r="D144" s="915" t="s">
        <v>579</v>
      </c>
      <c r="G144" s="916" t="s">
        <v>565</v>
      </c>
      <c r="H144" s="917">
        <v>616</v>
      </c>
      <c r="I144" s="915" t="s">
        <v>558</v>
      </c>
      <c r="K144" s="915" t="s">
        <v>566</v>
      </c>
      <c r="O144" s="918">
        <v>2</v>
      </c>
      <c r="P144" s="919">
        <v>38299</v>
      </c>
      <c r="Q144" s="920">
        <v>1.93</v>
      </c>
      <c r="R144" s="921">
        <f t="shared" ref="R144:R148" si="12">$A144*Q144</f>
        <v>7.72</v>
      </c>
      <c r="S144" s="920">
        <v>0.06</v>
      </c>
      <c r="T144" s="922">
        <f t="shared" ref="T144:T148" si="13">$A144*S144*$T$1</f>
        <v>0.24</v>
      </c>
    </row>
    <row r="145" spans="1:41" s="915" customFormat="1" ht="13.2">
      <c r="A145">
        <v>4</v>
      </c>
      <c r="B145" s="915" t="s">
        <v>140</v>
      </c>
      <c r="D145" s="915" t="s">
        <v>580</v>
      </c>
      <c r="G145" s="916" t="s">
        <v>568</v>
      </c>
      <c r="H145" s="917">
        <v>620</v>
      </c>
      <c r="I145" s="915" t="s">
        <v>558</v>
      </c>
      <c r="O145" s="918">
        <v>2</v>
      </c>
      <c r="P145" s="919">
        <v>35431</v>
      </c>
      <c r="Q145" s="920">
        <v>0.41</v>
      </c>
      <c r="R145" s="921">
        <f t="shared" si="12"/>
        <v>1.64</v>
      </c>
      <c r="S145" s="920">
        <v>0.2</v>
      </c>
      <c r="T145" s="922">
        <f t="shared" si="13"/>
        <v>0.8</v>
      </c>
    </row>
    <row r="146" spans="1:41" s="915" customFormat="1" ht="13.2">
      <c r="A146">
        <v>20</v>
      </c>
      <c r="B146" s="915" t="s">
        <v>140</v>
      </c>
      <c r="D146" s="915" t="s">
        <v>581</v>
      </c>
      <c r="G146" s="916" t="s">
        <v>582</v>
      </c>
      <c r="H146" s="917">
        <v>620</v>
      </c>
      <c r="I146" s="915" t="s">
        <v>571</v>
      </c>
      <c r="O146" s="918">
        <v>2</v>
      </c>
      <c r="P146" s="919">
        <v>34669</v>
      </c>
      <c r="Q146" s="920">
        <v>0.05</v>
      </c>
      <c r="R146" s="921">
        <f t="shared" si="12"/>
        <v>1</v>
      </c>
      <c r="S146" s="920">
        <v>0.02</v>
      </c>
      <c r="T146" s="922">
        <f t="shared" si="13"/>
        <v>0.4</v>
      </c>
    </row>
    <row r="147" spans="1:41" s="915" customFormat="1" ht="13.2">
      <c r="A147">
        <v>4</v>
      </c>
      <c r="B147" s="915" t="s">
        <v>140</v>
      </c>
      <c r="D147" s="915" t="s">
        <v>572</v>
      </c>
      <c r="G147" s="916" t="s">
        <v>573</v>
      </c>
      <c r="H147" s="917">
        <v>620</v>
      </c>
      <c r="I147" s="915" t="s">
        <v>558</v>
      </c>
      <c r="O147" s="918">
        <v>2</v>
      </c>
      <c r="P147" s="919"/>
      <c r="Q147" s="920">
        <v>0.1</v>
      </c>
      <c r="R147" s="921">
        <f t="shared" si="12"/>
        <v>0.4</v>
      </c>
      <c r="S147" s="920"/>
      <c r="T147" s="922">
        <f t="shared" si="13"/>
        <v>0</v>
      </c>
    </row>
    <row r="148" spans="1:41" s="915" customFormat="1" ht="13.2">
      <c r="A148">
        <v>6</v>
      </c>
      <c r="B148" s="915" t="s">
        <v>140</v>
      </c>
      <c r="D148" s="915" t="s">
        <v>574</v>
      </c>
      <c r="G148" s="916" t="s">
        <v>575</v>
      </c>
      <c r="H148" s="917">
        <v>875</v>
      </c>
      <c r="I148" s="915" t="s">
        <v>558</v>
      </c>
      <c r="K148" s="915" t="s">
        <v>576</v>
      </c>
      <c r="O148" s="918">
        <v>1</v>
      </c>
      <c r="P148" s="919">
        <v>34669</v>
      </c>
      <c r="Q148" s="920">
        <v>0.05</v>
      </c>
      <c r="R148" s="921">
        <f t="shared" si="12"/>
        <v>0.30000000000000004</v>
      </c>
      <c r="S148" s="920"/>
      <c r="T148" s="922">
        <f t="shared" si="13"/>
        <v>0</v>
      </c>
    </row>
    <row r="149" spans="1:41" s="489" customFormat="1" ht="12">
      <c r="A149" s="40"/>
      <c r="B149" s="485"/>
      <c r="C149" s="485"/>
      <c r="D149" s="1003" t="s">
        <v>605</v>
      </c>
      <c r="E149" s="924"/>
      <c r="F149" s="486"/>
      <c r="G149" s="485"/>
      <c r="H149" s="485"/>
      <c r="I149" s="487"/>
      <c r="J149" s="485"/>
      <c r="K149" s="485"/>
      <c r="L149" s="485"/>
      <c r="M149" s="485"/>
      <c r="N149" s="485"/>
      <c r="O149" s="485"/>
      <c r="P149" s="485"/>
      <c r="Q149" s="487"/>
      <c r="R149" s="673">
        <f t="shared" ref="R149" si="14">$A149*Q149</f>
        <v>0</v>
      </c>
      <c r="S149" s="487"/>
      <c r="T149" s="488">
        <f t="shared" ref="T149" si="15">$A149*S149*$T$1</f>
        <v>0</v>
      </c>
    </row>
    <row r="150" spans="1:41" s="489" customFormat="1" ht="12.6" thickBot="1">
      <c r="A150" s="500" t="s">
        <v>144</v>
      </c>
      <c r="B150" s="959">
        <f>(R149+T149)</f>
        <v>0</v>
      </c>
      <c r="C150" s="502"/>
      <c r="D150" s="502"/>
      <c r="E150" s="502"/>
      <c r="F150" s="674"/>
      <c r="G150" s="502" t="s">
        <v>145</v>
      </c>
      <c r="H150" s="502"/>
      <c r="I150" s="503"/>
      <c r="J150" s="502"/>
      <c r="K150" s="502" t="s">
        <v>3</v>
      </c>
      <c r="L150" s="504" t="s">
        <v>142</v>
      </c>
      <c r="M150" s="504"/>
      <c r="N150" s="504"/>
      <c r="O150" s="504"/>
      <c r="P150" s="504"/>
      <c r="Q150" s="675"/>
      <c r="R150" s="676">
        <f>SUM(R142:R149)</f>
        <v>11.06</v>
      </c>
      <c r="S150" s="502"/>
      <c r="T150" s="676">
        <f>SUM(T142:T149)</f>
        <v>2.44</v>
      </c>
      <c r="U150" s="505"/>
      <c r="V150" s="505"/>
      <c r="W150" s="505"/>
      <c r="X150" s="505"/>
      <c r="Y150" s="505"/>
      <c r="Z150" s="505"/>
      <c r="AA150" s="505"/>
      <c r="AB150" s="505"/>
      <c r="AC150" s="505"/>
      <c r="AD150" s="505"/>
      <c r="AE150" s="505"/>
      <c r="AF150" s="505"/>
      <c r="AG150" s="505"/>
      <c r="AH150" s="505"/>
      <c r="AI150" s="505"/>
      <c r="AJ150" s="505"/>
      <c r="AK150" s="505"/>
      <c r="AL150" s="505"/>
      <c r="AM150" s="505"/>
      <c r="AN150" s="505"/>
      <c r="AO150" s="505"/>
    </row>
    <row r="151" spans="1:41" s="489" customFormat="1" thickTop="1">
      <c r="A151" s="40"/>
      <c r="B151" s="40"/>
      <c r="C151" s="3"/>
      <c r="D151" s="3"/>
      <c r="E151" s="40"/>
      <c r="F151" s="40"/>
      <c r="G151" s="40"/>
      <c r="H151" s="40"/>
      <c r="I151" s="40"/>
      <c r="J151" s="40"/>
      <c r="K151" s="40" t="s">
        <v>134</v>
      </c>
      <c r="L151" s="40"/>
      <c r="M151" s="40"/>
      <c r="N151" s="40"/>
      <c r="O151" s="41"/>
      <c r="P151" s="40"/>
      <c r="Q151" s="40"/>
      <c r="R151" s="40"/>
      <c r="S151" s="40"/>
      <c r="T151" s="40"/>
    </row>
    <row r="152" spans="1:41" s="489" customFormat="1" ht="12">
      <c r="A152" s="40"/>
      <c r="B152" s="40"/>
      <c r="C152" s="40" t="s">
        <v>135</v>
      </c>
      <c r="D152" s="34" t="s">
        <v>505</v>
      </c>
      <c r="E152" s="40"/>
      <c r="F152" s="40"/>
      <c r="G152" s="40"/>
      <c r="H152" s="40"/>
      <c r="I152" s="40"/>
      <c r="J152" s="40"/>
      <c r="K152" s="40"/>
      <c r="L152" s="40"/>
      <c r="M152" s="40"/>
      <c r="N152" s="40"/>
      <c r="O152" s="41"/>
      <c r="P152" s="40"/>
      <c r="Q152" s="40"/>
      <c r="R152" s="40"/>
      <c r="S152" s="40"/>
      <c r="T152" s="40"/>
    </row>
    <row r="153" spans="1:41" s="489" customFormat="1" ht="84">
      <c r="A153" s="492"/>
      <c r="B153"/>
      <c r="C153" s="492"/>
      <c r="D153" s="756" t="s">
        <v>339</v>
      </c>
      <c r="E153" s="757"/>
      <c r="F153" s="757"/>
      <c r="G153" s="757"/>
      <c r="H153" s="757"/>
      <c r="I153" s="757"/>
      <c r="J153" s="757"/>
      <c r="K153" s="757"/>
      <c r="L153" s="757"/>
      <c r="M153" s="757"/>
      <c r="N153" s="757"/>
      <c r="O153" s="757"/>
      <c r="P153" s="757"/>
      <c r="Q153" s="757"/>
      <c r="R153" s="758"/>
      <c r="S153" s="757"/>
      <c r="T153" s="757"/>
    </row>
    <row r="154" spans="1:41" s="3" customFormat="1" thickBot="1">
      <c r="A154" s="505"/>
      <c r="O154" s="81"/>
    </row>
    <row r="155" spans="1:41" s="489" customFormat="1" ht="12" thickTop="1">
      <c r="A155" s="40"/>
      <c r="B155" s="36"/>
      <c r="C155" s="40"/>
      <c r="E155" s="37" t="s">
        <v>137</v>
      </c>
      <c r="F155" s="37" t="s">
        <v>138</v>
      </c>
      <c r="G155" s="40"/>
      <c r="H155" s="40"/>
      <c r="I155" s="40"/>
      <c r="J155" s="40"/>
      <c r="K155" s="40" t="s">
        <v>139</v>
      </c>
      <c r="L155" s="40"/>
      <c r="M155" s="40"/>
      <c r="N155" s="40"/>
      <c r="O155" s="41"/>
      <c r="P155" s="40"/>
      <c r="Q155" s="40"/>
      <c r="R155" s="40"/>
      <c r="S155" s="40"/>
      <c r="T155" s="36"/>
      <c r="AG155" s="662" t="s">
        <v>238</v>
      </c>
      <c r="AH155" s="662" t="s">
        <v>239</v>
      </c>
      <c r="AI155" s="662" t="s">
        <v>240</v>
      </c>
      <c r="AJ155" s="662" t="s">
        <v>241</v>
      </c>
      <c r="AK155" s="662" t="s">
        <v>242</v>
      </c>
      <c r="AM155" s="663" t="s">
        <v>251</v>
      </c>
      <c r="AN155" s="664" t="s">
        <v>252</v>
      </c>
      <c r="AO155" s="490" t="s">
        <v>248</v>
      </c>
    </row>
    <row r="156" spans="1:41" s="489" customFormat="1" ht="12" customHeight="1">
      <c r="A156" s="1001">
        <v>2</v>
      </c>
      <c r="B156" s="491" t="s">
        <v>140</v>
      </c>
      <c r="C156" s="492"/>
      <c r="D156" s="666" t="s">
        <v>500</v>
      </c>
      <c r="E156" s="667">
        <f>IF(AND($A156=0,$A$1="DIF"),0, ROUND(ROUND(($R165*$S$2+($T165*$T$2))/A156,2)*$C$2,2))</f>
        <v>42.61</v>
      </c>
      <c r="F156" s="668">
        <f>ROUND($A156*$E156,2)</f>
        <v>85.22</v>
      </c>
      <c r="G156" s="493" t="s">
        <v>141</v>
      </c>
      <c r="H156" s="486"/>
      <c r="I156" s="669"/>
      <c r="J156" s="486"/>
      <c r="K156" s="486" t="s">
        <v>3</v>
      </c>
      <c r="L156" s="670" t="s">
        <v>142</v>
      </c>
      <c r="M156" s="670"/>
      <c r="N156" s="670"/>
      <c r="O156" s="670"/>
      <c r="P156" s="670"/>
      <c r="Q156" s="40"/>
      <c r="T156" s="671" t="str">
        <f>IF(AND($R165=0,$T165=0),"0.00","mu :" &amp; ROUND($F156/$C$2/($R165+$T165*$D$9),2))</f>
        <v>mu :1</v>
      </c>
      <c r="W156" s="494"/>
      <c r="AG156" s="447">
        <f>IF($E156=0,0,ROUND($R165*$S$2*$C$2/$A156,2))</f>
        <v>7.46</v>
      </c>
      <c r="AH156" s="447">
        <f>$AG156*$A156</f>
        <v>14.92</v>
      </c>
      <c r="AI156" s="495">
        <f>$E156-$AG156</f>
        <v>35.15</v>
      </c>
      <c r="AJ156" s="495">
        <f>$A156*$AI156</f>
        <v>70.3</v>
      </c>
      <c r="AK156" s="496">
        <f>ROUND(($AG156+$AI156)*$A156,2)</f>
        <v>85.22</v>
      </c>
      <c r="AM156" s="497">
        <f>ROUND(R165,2)</f>
        <v>14.92</v>
      </c>
      <c r="AN156" s="498">
        <f>ROUND(T165,2)</f>
        <v>2.56</v>
      </c>
      <c r="AO156" s="499">
        <f>ROUND(AM156+AN156,2)*A156</f>
        <v>34.96</v>
      </c>
    </row>
    <row r="157" spans="1:41" s="489" customFormat="1" ht="60">
      <c r="A157" s="492"/>
      <c r="B157"/>
      <c r="C157" s="492"/>
      <c r="D157" s="756" t="s">
        <v>489</v>
      </c>
      <c r="E157" s="757"/>
      <c r="F157" s="757"/>
      <c r="G157" s="757"/>
      <c r="H157" s="757"/>
      <c r="I157" s="757"/>
      <c r="J157" s="757"/>
      <c r="K157" s="757"/>
      <c r="L157" s="757"/>
      <c r="M157" s="757"/>
      <c r="N157" s="757"/>
      <c r="O157" s="757"/>
      <c r="P157" s="757"/>
      <c r="Q157" s="757"/>
      <c r="R157" s="758"/>
      <c r="S157" s="757"/>
      <c r="T157" s="757"/>
    </row>
    <row r="158" spans="1:41" s="915" customFormat="1" ht="13.2">
      <c r="A158">
        <v>2</v>
      </c>
      <c r="B158" s="915" t="s">
        <v>269</v>
      </c>
      <c r="D158" s="915" t="s">
        <v>586</v>
      </c>
      <c r="G158" s="916" t="s">
        <v>584</v>
      </c>
      <c r="H158" s="917">
        <v>501</v>
      </c>
      <c r="I158" s="915" t="s">
        <v>558</v>
      </c>
      <c r="K158" s="915" t="s">
        <v>585</v>
      </c>
      <c r="O158" s="918">
        <v>1</v>
      </c>
      <c r="P158" s="919">
        <v>35705</v>
      </c>
      <c r="Q158" s="999">
        <v>0</v>
      </c>
      <c r="R158" s="921">
        <f>$A158*Q158</f>
        <v>0</v>
      </c>
      <c r="S158" s="920">
        <v>0.5</v>
      </c>
      <c r="T158" s="922">
        <f>$A158*S158*$T$1</f>
        <v>1</v>
      </c>
    </row>
    <row r="159" spans="1:41" s="915" customFormat="1" ht="13.2">
      <c r="A159">
        <v>6</v>
      </c>
      <c r="B159" s="915" t="s">
        <v>277</v>
      </c>
      <c r="D159" s="915" t="s">
        <v>579</v>
      </c>
      <c r="G159" s="916" t="s">
        <v>565</v>
      </c>
      <c r="H159" s="917">
        <v>616</v>
      </c>
      <c r="I159" s="915" t="s">
        <v>558</v>
      </c>
      <c r="K159" s="915" t="s">
        <v>566</v>
      </c>
      <c r="O159" s="918">
        <v>2</v>
      </c>
      <c r="P159" s="919">
        <v>38299</v>
      </c>
      <c r="Q159" s="920">
        <v>1.93</v>
      </c>
      <c r="R159" s="921">
        <f t="shared" ref="R159:R163" si="16">$A159*Q159</f>
        <v>11.58</v>
      </c>
      <c r="S159" s="920">
        <v>0.06</v>
      </c>
      <c r="T159" s="922">
        <f t="shared" ref="T159:T163" si="17">$A159*S159*$T$1</f>
        <v>0.36</v>
      </c>
    </row>
    <row r="160" spans="1:41" s="915" customFormat="1" ht="13.2">
      <c r="A160">
        <v>4</v>
      </c>
      <c r="B160" s="915" t="s">
        <v>140</v>
      </c>
      <c r="D160" s="915" t="s">
        <v>580</v>
      </c>
      <c r="G160" s="916" t="s">
        <v>568</v>
      </c>
      <c r="H160" s="917">
        <v>620</v>
      </c>
      <c r="I160" s="915" t="s">
        <v>558</v>
      </c>
      <c r="O160" s="918">
        <v>2</v>
      </c>
      <c r="P160" s="919">
        <v>35431</v>
      </c>
      <c r="Q160" s="920">
        <v>0.41</v>
      </c>
      <c r="R160" s="921">
        <f t="shared" si="16"/>
        <v>1.64</v>
      </c>
      <c r="S160" s="920">
        <v>0.2</v>
      </c>
      <c r="T160" s="922">
        <f t="shared" si="17"/>
        <v>0.8</v>
      </c>
    </row>
    <row r="161" spans="1:41" s="915" customFormat="1" ht="13.2">
      <c r="A161">
        <v>20</v>
      </c>
      <c r="B161" s="915" t="s">
        <v>140</v>
      </c>
      <c r="D161" s="915" t="s">
        <v>581</v>
      </c>
      <c r="G161" s="916" t="s">
        <v>582</v>
      </c>
      <c r="H161" s="917">
        <v>620</v>
      </c>
      <c r="I161" s="915" t="s">
        <v>571</v>
      </c>
      <c r="O161" s="918">
        <v>2</v>
      </c>
      <c r="P161" s="919">
        <v>34669</v>
      </c>
      <c r="Q161" s="920">
        <v>0.05</v>
      </c>
      <c r="R161" s="921">
        <f t="shared" si="16"/>
        <v>1</v>
      </c>
      <c r="S161" s="920">
        <v>0.02</v>
      </c>
      <c r="T161" s="922">
        <f t="shared" si="17"/>
        <v>0.4</v>
      </c>
    </row>
    <row r="162" spans="1:41" s="915" customFormat="1" ht="13.2">
      <c r="A162">
        <v>4</v>
      </c>
      <c r="B162" s="915" t="s">
        <v>140</v>
      </c>
      <c r="D162" s="915" t="s">
        <v>572</v>
      </c>
      <c r="G162" s="916" t="s">
        <v>573</v>
      </c>
      <c r="H162" s="917">
        <v>620</v>
      </c>
      <c r="I162" s="915" t="s">
        <v>558</v>
      </c>
      <c r="O162" s="918">
        <v>2</v>
      </c>
      <c r="P162" s="919"/>
      <c r="Q162" s="920">
        <v>0.1</v>
      </c>
      <c r="R162" s="921">
        <f t="shared" si="16"/>
        <v>0.4</v>
      </c>
      <c r="S162" s="920"/>
      <c r="T162" s="922">
        <f t="shared" si="17"/>
        <v>0</v>
      </c>
    </row>
    <row r="163" spans="1:41" s="915" customFormat="1" ht="13.2">
      <c r="A163">
        <v>6</v>
      </c>
      <c r="B163" s="915" t="s">
        <v>140</v>
      </c>
      <c r="D163" s="915" t="s">
        <v>574</v>
      </c>
      <c r="G163" s="916" t="s">
        <v>575</v>
      </c>
      <c r="H163" s="917">
        <v>875</v>
      </c>
      <c r="I163" s="915" t="s">
        <v>558</v>
      </c>
      <c r="K163" s="915" t="s">
        <v>576</v>
      </c>
      <c r="O163" s="918">
        <v>1</v>
      </c>
      <c r="P163" s="919">
        <v>34669</v>
      </c>
      <c r="Q163" s="920">
        <v>0.05</v>
      </c>
      <c r="R163" s="921">
        <f t="shared" si="16"/>
        <v>0.30000000000000004</v>
      </c>
      <c r="S163" s="920"/>
      <c r="T163" s="922">
        <f t="shared" si="17"/>
        <v>0</v>
      </c>
    </row>
    <row r="164" spans="1:41" s="489" customFormat="1" ht="12">
      <c r="A164" s="485"/>
      <c r="B164" s="485"/>
      <c r="C164" s="485"/>
      <c r="D164" s="485"/>
      <c r="E164" s="485"/>
      <c r="F164" s="486"/>
      <c r="G164" s="485"/>
      <c r="H164" s="485"/>
      <c r="I164" s="487"/>
      <c r="J164" s="485"/>
      <c r="K164" s="485"/>
      <c r="L164" s="485"/>
      <c r="M164" s="485"/>
      <c r="N164" s="485"/>
      <c r="O164" s="485"/>
      <c r="P164" s="485"/>
      <c r="Q164" s="487"/>
      <c r="R164" s="673">
        <f t="shared" ref="R164" si="18">$A164*Q164</f>
        <v>0</v>
      </c>
      <c r="S164" s="487"/>
      <c r="T164" s="488">
        <f t="shared" ref="T164" si="19">$A164*S164*$T$1</f>
        <v>0</v>
      </c>
    </row>
    <row r="165" spans="1:41" s="489" customFormat="1" ht="12.6" thickBot="1">
      <c r="A165" s="500" t="s">
        <v>144</v>
      </c>
      <c r="B165" s="501">
        <f>(R164+T164)</f>
        <v>0</v>
      </c>
      <c r="C165" s="502"/>
      <c r="D165" s="502"/>
      <c r="E165" s="502"/>
      <c r="F165" s="674"/>
      <c r="G165" s="502" t="s">
        <v>145</v>
      </c>
      <c r="H165" s="502"/>
      <c r="I165" s="503"/>
      <c r="J165" s="502"/>
      <c r="K165" s="502" t="s">
        <v>3</v>
      </c>
      <c r="L165" s="504" t="s">
        <v>142</v>
      </c>
      <c r="M165" s="504"/>
      <c r="N165" s="504"/>
      <c r="O165" s="504"/>
      <c r="P165" s="504"/>
      <c r="Q165" s="675"/>
      <c r="R165" s="676">
        <f>SUM(R157:R164)</f>
        <v>14.920000000000002</v>
      </c>
      <c r="S165" s="502"/>
      <c r="T165" s="676">
        <f>SUM(T157:T164)</f>
        <v>2.56</v>
      </c>
      <c r="U165" s="505"/>
      <c r="V165" s="505"/>
      <c r="W165" s="505"/>
      <c r="X165" s="505"/>
      <c r="Y165" s="505"/>
      <c r="Z165" s="505"/>
      <c r="AA165" s="505"/>
      <c r="AB165" s="505"/>
      <c r="AC165" s="505"/>
      <c r="AD165" s="505"/>
      <c r="AE165" s="505"/>
      <c r="AF165" s="505"/>
      <c r="AG165" s="505"/>
      <c r="AH165" s="505"/>
      <c r="AI165" s="505"/>
      <c r="AJ165" s="505"/>
      <c r="AK165" s="505"/>
      <c r="AL165" s="505"/>
      <c r="AM165" s="505"/>
      <c r="AN165" s="505"/>
      <c r="AO165" s="505"/>
    </row>
    <row r="166" spans="1:41" s="489" customFormat="1" thickTop="1">
      <c r="A166" s="40"/>
      <c r="B166" s="36"/>
      <c r="C166" s="40"/>
      <c r="E166" s="37" t="s">
        <v>137</v>
      </c>
      <c r="F166" s="37" t="s">
        <v>138</v>
      </c>
      <c r="G166" s="40"/>
      <c r="H166" s="40"/>
      <c r="I166" s="40"/>
      <c r="J166" s="40"/>
      <c r="K166" s="40" t="s">
        <v>139</v>
      </c>
      <c r="L166" s="925"/>
      <c r="M166" s="40"/>
      <c r="N166" s="40"/>
      <c r="O166" s="41"/>
      <c r="P166" s="40"/>
      <c r="Q166"/>
      <c r="R166"/>
      <c r="S166"/>
      <c r="T166" s="36"/>
      <c r="AG166" s="662" t="s">
        <v>238</v>
      </c>
      <c r="AH166" s="662" t="s">
        <v>239</v>
      </c>
      <c r="AI166" s="662" t="s">
        <v>240</v>
      </c>
      <c r="AJ166" s="662" t="s">
        <v>241</v>
      </c>
      <c r="AK166" s="662" t="s">
        <v>242</v>
      </c>
      <c r="AM166" s="663" t="s">
        <v>251</v>
      </c>
      <c r="AN166" s="664" t="s">
        <v>252</v>
      </c>
      <c r="AO166" s="490" t="s">
        <v>248</v>
      </c>
    </row>
    <row r="167" spans="1:41" s="489" customFormat="1" ht="13.2">
      <c r="A167" s="665">
        <v>2</v>
      </c>
      <c r="B167" s="491" t="s">
        <v>140</v>
      </c>
      <c r="C167" s="492"/>
      <c r="D167" s="666" t="s">
        <v>541</v>
      </c>
      <c r="E167" s="926">
        <f>IF(AND($A167=0,$A$1="DIF"),0, ROUND(ROUND(SUMIF($L169:$L177,"SUBI",$E169:$E177)/$A167,2)*$C$12,2))</f>
        <v>0</v>
      </c>
      <c r="F167" s="927">
        <f>ROUND($A167*$E167,2)</f>
        <v>0</v>
      </c>
      <c r="G167" s="493" t="s">
        <v>141</v>
      </c>
      <c r="H167" s="486"/>
      <c r="I167" s="669"/>
      <c r="J167" s="486"/>
      <c r="K167" s="928"/>
      <c r="L167" s="929" t="s">
        <v>142</v>
      </c>
      <c r="M167" s="670"/>
      <c r="N167" s="670"/>
      <c r="O167" s="670"/>
      <c r="P167" s="670"/>
      <c r="Q167" s="40" t="s">
        <v>639</v>
      </c>
      <c r="R167"/>
      <c r="S167"/>
      <c r="T167" s="930" t="str">
        <f>IF(AND($R183=0,$T183=0),"0.00","mu :" &amp; ROUND($F167/$C$12/($R183+$T183*$D$9),2))</f>
        <v>0.00</v>
      </c>
      <c r="W167" s="494"/>
      <c r="AG167" s="931">
        <f>IF(A167=0,0,ROUND(SUM(AG169:AG183)/A167,2))</f>
        <v>0</v>
      </c>
      <c r="AH167" s="931">
        <f>$AG167*$A167</f>
        <v>0</v>
      </c>
      <c r="AI167" s="931">
        <f>$E167-$AG167</f>
        <v>0</v>
      </c>
      <c r="AJ167" s="931">
        <f>$A167*$AI167</f>
        <v>0</v>
      </c>
      <c r="AK167" s="932">
        <f>ROUND(($AG167+$AI167)*$A167,2)</f>
        <v>0</v>
      </c>
      <c r="AM167" s="497">
        <f>ROUND(R183,2)</f>
        <v>0</v>
      </c>
      <c r="AN167" s="498">
        <f>ROUND(T183,2)</f>
        <v>0</v>
      </c>
      <c r="AO167" s="499">
        <f>ROUND(AM167+AN167,2)*A167</f>
        <v>0</v>
      </c>
    </row>
    <row r="168" spans="1:41" s="489" customFormat="1" ht="19.95" customHeight="1">
      <c r="A168" s="933"/>
      <c r="B168" s="934"/>
      <c r="C168" s="492"/>
      <c r="D168" s="666" t="s">
        <v>347</v>
      </c>
      <c r="F168" s="486"/>
      <c r="G168" s="486"/>
      <c r="H168" s="486"/>
      <c r="I168" s="669"/>
      <c r="J168" s="486"/>
      <c r="K168" s="486" t="s">
        <v>143</v>
      </c>
      <c r="L168" s="935"/>
      <c r="M168" s="486"/>
      <c r="N168" s="486"/>
      <c r="O168" s="486"/>
      <c r="P168" s="486"/>
      <c r="Q168" s="40"/>
      <c r="R168" s="550"/>
      <c r="S168" s="672"/>
      <c r="T168" s="486"/>
    </row>
    <row r="169" spans="1:41" s="489" customFormat="1" ht="12">
      <c r="A169" s="936"/>
      <c r="B169" s="937"/>
      <c r="C169" s="485"/>
      <c r="D169" s="486"/>
      <c r="E169" s="938">
        <f>F167/$C$12-SUMIF($L166:$L183,"SUBI",$E166:$E183)</f>
        <v>0</v>
      </c>
      <c r="F169" s="939" t="s">
        <v>559</v>
      </c>
      <c r="G169" s="940"/>
      <c r="H169" s="940"/>
      <c r="I169" s="941"/>
      <c r="J169" s="940"/>
      <c r="K169" s="940"/>
      <c r="L169" s="942"/>
      <c r="M169" s="943"/>
      <c r="N169" s="943"/>
      <c r="O169" s="943"/>
      <c r="P169" s="943"/>
      <c r="Q169" s="944"/>
      <c r="R169" s="945"/>
      <c r="S169" s="944"/>
      <c r="T169" s="946"/>
    </row>
    <row r="170" spans="1:41" s="489" customFormat="1" ht="12" customHeight="1">
      <c r="A170" s="947"/>
      <c r="B170" s="948"/>
      <c r="C170" s="949"/>
      <c r="D170" s="949" t="str">
        <f>$F$2</f>
        <v>Electrical</v>
      </c>
      <c r="E170" s="949">
        <f>ROUND(($R176*$S$2 + ($T176*$T$2)), 2)</f>
        <v>0</v>
      </c>
      <c r="F170" s="950">
        <f>$E170*$C$12</f>
        <v>0</v>
      </c>
      <c r="G170" s="550"/>
      <c r="H170" s="951"/>
      <c r="I170" s="550"/>
      <c r="J170" s="41"/>
      <c r="K170" s="952" t="s">
        <v>3</v>
      </c>
      <c r="L170" s="953" t="s">
        <v>560</v>
      </c>
      <c r="M170" s="550"/>
      <c r="N170" s="550"/>
      <c r="O170" s="41"/>
      <c r="P170" s="550"/>
      <c r="Q170" s="550"/>
      <c r="R170"/>
      <c r="S170"/>
      <c r="T170"/>
    </row>
    <row r="171" spans="1:41" s="915" customFormat="1" ht="13.2">
      <c r="A171" s="82">
        <v>0</v>
      </c>
      <c r="B171" s="915" t="s">
        <v>277</v>
      </c>
      <c r="D171" s="915" t="s">
        <v>598</v>
      </c>
      <c r="G171" s="916" t="s">
        <v>599</v>
      </c>
      <c r="H171" s="917">
        <v>690</v>
      </c>
      <c r="I171" s="915" t="s">
        <v>587</v>
      </c>
      <c r="J171" s="915" t="s">
        <v>600</v>
      </c>
      <c r="O171" s="918">
        <v>1</v>
      </c>
      <c r="P171" s="919">
        <v>34669</v>
      </c>
      <c r="Q171" s="920">
        <v>3.03</v>
      </c>
      <c r="R171" s="921">
        <f>$A171*Q171</f>
        <v>0</v>
      </c>
      <c r="S171" s="920">
        <v>0.2</v>
      </c>
      <c r="T171" s="922">
        <f>$A171*S171*$T$1</f>
        <v>0</v>
      </c>
    </row>
    <row r="172" spans="1:41" s="915" customFormat="1" ht="13.2">
      <c r="A172">
        <v>0</v>
      </c>
      <c r="B172" s="915" t="s">
        <v>277</v>
      </c>
      <c r="D172" s="915" t="s">
        <v>588</v>
      </c>
      <c r="G172" s="916" t="s">
        <v>589</v>
      </c>
      <c r="H172" s="917">
        <v>617</v>
      </c>
      <c r="I172" s="915" t="s">
        <v>590</v>
      </c>
      <c r="J172" s="915" t="s">
        <v>591</v>
      </c>
      <c r="O172" s="918">
        <v>2</v>
      </c>
      <c r="P172" s="919">
        <v>38433</v>
      </c>
      <c r="Q172" s="920">
        <v>0.44</v>
      </c>
      <c r="R172" s="921">
        <f>$A172*Q172</f>
        <v>0</v>
      </c>
      <c r="S172" s="920">
        <v>0.03</v>
      </c>
      <c r="T172" s="922">
        <f>$A172*S172*$T$1</f>
        <v>0</v>
      </c>
    </row>
    <row r="173" spans="1:41" s="915" customFormat="1" ht="13.2">
      <c r="A173" s="82">
        <v>0</v>
      </c>
      <c r="B173" s="915" t="s">
        <v>140</v>
      </c>
      <c r="D173" s="915" t="s">
        <v>592</v>
      </c>
      <c r="G173" s="916" t="s">
        <v>593</v>
      </c>
      <c r="H173" s="917">
        <v>875</v>
      </c>
      <c r="I173" s="915" t="s">
        <v>558</v>
      </c>
      <c r="K173" s="915" t="s">
        <v>594</v>
      </c>
      <c r="O173" s="918">
        <v>1</v>
      </c>
      <c r="P173" s="919">
        <v>34669</v>
      </c>
      <c r="Q173" s="999">
        <v>0.02</v>
      </c>
      <c r="R173" s="921">
        <f>$A173*Q173</f>
        <v>0</v>
      </c>
      <c r="S173" s="920"/>
      <c r="T173" s="922">
        <f>$A173*S173*$T$1</f>
        <v>0</v>
      </c>
    </row>
    <row r="174" spans="1:41" s="915" customFormat="1" ht="13.2">
      <c r="A174" s="82">
        <v>0</v>
      </c>
      <c r="B174" s="915" t="s">
        <v>140</v>
      </c>
      <c r="D174" s="915" t="s">
        <v>595</v>
      </c>
      <c r="G174" s="916" t="s">
        <v>596</v>
      </c>
      <c r="H174" s="917">
        <v>875</v>
      </c>
      <c r="I174" s="915" t="s">
        <v>558</v>
      </c>
      <c r="K174" s="915" t="s">
        <v>597</v>
      </c>
      <c r="O174" s="918">
        <v>1</v>
      </c>
      <c r="P174" s="919">
        <v>34669</v>
      </c>
      <c r="Q174" s="999">
        <v>0.02</v>
      </c>
      <c r="R174" s="921">
        <f>$A174*Q174</f>
        <v>0</v>
      </c>
      <c r="S174" s="920"/>
      <c r="T174" s="922">
        <f>$A174*S174*$T$1</f>
        <v>0</v>
      </c>
    </row>
    <row r="175" spans="1:41" s="489" customFormat="1" ht="13.95" customHeight="1">
      <c r="A175" s="698"/>
      <c r="B175" s="550"/>
      <c r="C175" s="550"/>
      <c r="D175" s="550"/>
      <c r="E175" s="550"/>
      <c r="F175" s="550"/>
      <c r="G175" s="550"/>
      <c r="H175" s="951"/>
      <c r="I175" s="550"/>
      <c r="J175" s="41"/>
      <c r="K175" s="955"/>
      <c r="L175" s="956"/>
      <c r="M175" s="550"/>
      <c r="N175" s="550"/>
      <c r="O175" s="41"/>
      <c r="P175" s="550"/>
      <c r="Q175" s="1000"/>
      <c r="R175" s="957">
        <f>$A175*Q175</f>
        <v>0</v>
      </c>
      <c r="S175" s="550"/>
      <c r="T175" s="488">
        <f>$A175*S175*$T$1</f>
        <v>0</v>
      </c>
    </row>
    <row r="176" spans="1:41" s="489" customFormat="1" ht="12">
      <c r="A176" s="958" t="s">
        <v>144</v>
      </c>
      <c r="B176" s="959">
        <f>(R175+T175)</f>
        <v>0</v>
      </c>
      <c r="C176" s="485"/>
      <c r="G176" s="960"/>
      <c r="H176" s="960"/>
      <c r="I176" s="960"/>
      <c r="J176" s="960"/>
      <c r="K176" s="961" t="s">
        <v>3</v>
      </c>
      <c r="L176" s="962" t="s">
        <v>560</v>
      </c>
      <c r="M176" s="960"/>
      <c r="N176" s="960"/>
      <c r="O176" s="960"/>
      <c r="P176" s="960"/>
      <c r="Q176" s="963"/>
      <c r="R176" s="964">
        <f>SUM(R170:R175)</f>
        <v>0</v>
      </c>
      <c r="S176" s="965"/>
      <c r="T176" s="964">
        <f>SUM(T170:T175)</f>
        <v>0</v>
      </c>
      <c r="AG176" s="966">
        <f>ROUND($R176*$S$2,2)</f>
        <v>0</v>
      </c>
    </row>
    <row r="177" spans="1:41" s="489" customFormat="1" ht="12" customHeight="1">
      <c r="A177" s="967"/>
      <c r="B177" s="968"/>
      <c r="C177" s="969"/>
      <c r="D177" s="969" t="str">
        <f>$F$3</f>
        <v>Controls</v>
      </c>
      <c r="E177" s="969">
        <f>ROUND(($R181*$S$3 + ($T181*$T$3)), 2)</f>
        <v>0</v>
      </c>
      <c r="F177" s="970">
        <f ca="1">$F167-SUMIF($L169:$P174,"SUBI",$F169:$F174)</f>
        <v>0</v>
      </c>
      <c r="G177" s="487"/>
      <c r="H177" s="487"/>
      <c r="I177" s="487"/>
      <c r="J177" s="487"/>
      <c r="K177" s="952" t="s">
        <v>5</v>
      </c>
      <c r="L177" s="953" t="s">
        <v>560</v>
      </c>
      <c r="M177" s="487"/>
      <c r="N177" s="487"/>
      <c r="O177" s="487"/>
      <c r="P177" s="487"/>
      <c r="Q177" s="487"/>
      <c r="R177" s="971"/>
      <c r="S177" s="487"/>
      <c r="T177" s="971"/>
    </row>
    <row r="178" spans="1:41" s="915" customFormat="1" ht="13.2">
      <c r="A178">
        <v>0</v>
      </c>
      <c r="B178" s="915" t="s">
        <v>140</v>
      </c>
      <c r="D178" s="915" t="s">
        <v>347</v>
      </c>
      <c r="G178" s="916" t="s">
        <v>557</v>
      </c>
      <c r="H178" s="917">
        <v>512</v>
      </c>
      <c r="I178" s="915" t="s">
        <v>558</v>
      </c>
      <c r="O178" s="918">
        <v>3</v>
      </c>
      <c r="P178" s="919"/>
      <c r="Q178" s="920">
        <v>610.46</v>
      </c>
      <c r="R178" s="921">
        <f>$A178*Q178</f>
        <v>0</v>
      </c>
      <c r="S178" s="920">
        <v>6</v>
      </c>
      <c r="T178" s="922">
        <f>$A178*S178*$T$1</f>
        <v>0</v>
      </c>
    </row>
    <row r="179" spans="1:41" s="489" customFormat="1" ht="11.4">
      <c r="A179" s="698"/>
      <c r="B179" s="550"/>
      <c r="C179" s="550"/>
      <c r="D179" s="550"/>
      <c r="E179" s="550"/>
      <c r="F179" s="550"/>
      <c r="G179" s="550"/>
      <c r="H179" s="550"/>
      <c r="I179" s="550"/>
      <c r="J179" s="550"/>
      <c r="K179" s="550"/>
      <c r="L179" s="956"/>
      <c r="M179" s="550"/>
      <c r="N179" s="550"/>
      <c r="O179" s="550"/>
      <c r="P179" s="550"/>
      <c r="Q179" s="550"/>
      <c r="R179" s="957">
        <f>$A179*Q179</f>
        <v>0</v>
      </c>
      <c r="S179" s="550"/>
      <c r="T179" s="488">
        <f>$A179*S179*$T$1</f>
        <v>0</v>
      </c>
    </row>
    <row r="180" spans="1:41" s="489" customFormat="1" ht="13.2">
      <c r="A180" s="698"/>
      <c r="B180" s="550"/>
      <c r="C180" s="550"/>
      <c r="D180" s="1015"/>
      <c r="E180" s="550"/>
      <c r="F180" s="550"/>
      <c r="G180" s="550"/>
      <c r="H180" s="550"/>
      <c r="I180" s="550"/>
      <c r="J180" s="550"/>
      <c r="K180" s="550"/>
      <c r="L180" s="956"/>
      <c r="M180" s="550"/>
      <c r="N180" s="550"/>
      <c r="O180" s="550"/>
      <c r="P180" s="550"/>
      <c r="Q180" s="550"/>
      <c r="R180" s="957">
        <f>$A180*Q180</f>
        <v>0</v>
      </c>
      <c r="S180" s="550"/>
      <c r="T180" s="488">
        <f>$A180*S180*$T$1</f>
        <v>0</v>
      </c>
    </row>
    <row r="181" spans="1:41" s="489" customFormat="1" ht="12" customHeight="1">
      <c r="A181" s="985" t="s">
        <v>144</v>
      </c>
      <c r="B181" s="986">
        <f>(R180+T180)</f>
        <v>0</v>
      </c>
      <c r="C181" s="987"/>
      <c r="D181" s="987"/>
      <c r="E181" s="987"/>
      <c r="F181" s="987"/>
      <c r="G181" s="963"/>
      <c r="H181" s="963"/>
      <c r="I181" s="963"/>
      <c r="J181" s="963"/>
      <c r="K181" s="988" t="s">
        <v>5</v>
      </c>
      <c r="L181" s="989" t="s">
        <v>560</v>
      </c>
      <c r="M181" s="963"/>
      <c r="N181" s="963"/>
      <c r="O181" s="963"/>
      <c r="P181" s="963"/>
      <c r="Q181" s="963"/>
      <c r="R181" s="964">
        <f>SUM(R177:R180)</f>
        <v>0</v>
      </c>
      <c r="S181" s="965"/>
      <c r="T181" s="964">
        <f>SUM(T177:T180)</f>
        <v>0</v>
      </c>
      <c r="AG181" s="990">
        <f>ROUND($R181*$S$3,2)</f>
        <v>0</v>
      </c>
    </row>
    <row r="182" spans="1:41" s="489" customFormat="1" ht="12.75" customHeight="1">
      <c r="A182" s="991"/>
      <c r="B182" s="992"/>
      <c r="E182" s="485"/>
      <c r="F182" s="993"/>
      <c r="G182" s="485"/>
      <c r="H182" s="485"/>
      <c r="I182" s="487"/>
      <c r="J182" s="485"/>
      <c r="K182" s="485"/>
      <c r="L182" s="994"/>
      <c r="M182" s="701"/>
      <c r="N182" s="701"/>
      <c r="O182" s="701"/>
      <c r="P182" s="701"/>
      <c r="Q182" s="685"/>
      <c r="R182" s="971"/>
      <c r="S182" s="485"/>
      <c r="T182" s="971"/>
    </row>
    <row r="183" spans="1:41" s="489" customFormat="1" ht="13.5" customHeight="1" thickBot="1">
      <c r="A183" s="995"/>
      <c r="B183" s="996"/>
      <c r="C183" s="505"/>
      <c r="D183" s="505"/>
      <c r="E183" s="502"/>
      <c r="F183" s="674"/>
      <c r="G183" s="502" t="s">
        <v>145</v>
      </c>
      <c r="H183" s="502"/>
      <c r="I183" s="503"/>
      <c r="J183" s="502"/>
      <c r="K183" s="502"/>
      <c r="L183" s="997" t="s">
        <v>142</v>
      </c>
      <c r="M183" s="504"/>
      <c r="N183" s="504"/>
      <c r="O183" s="504"/>
      <c r="P183" s="504"/>
      <c r="Q183" s="675"/>
      <c r="R183" s="998">
        <f>SUMIF($L168:$L182,"SUBI",R168:R182)</f>
        <v>0</v>
      </c>
      <c r="S183" s="502"/>
      <c r="T183" s="998">
        <f>SUMIF($L168:$L182,"SUBI",T168:T182)</f>
        <v>0</v>
      </c>
      <c r="U183" s="505"/>
      <c r="V183" s="505"/>
      <c r="W183" s="505"/>
      <c r="X183" s="505"/>
      <c r="Y183" s="505"/>
      <c r="Z183" s="505"/>
      <c r="AA183" s="505"/>
      <c r="AB183" s="505"/>
      <c r="AC183" s="505"/>
      <c r="AD183" s="505"/>
      <c r="AE183" s="505"/>
      <c r="AF183" s="505"/>
      <c r="AG183" s="505"/>
      <c r="AH183" s="505"/>
      <c r="AI183" s="505"/>
      <c r="AJ183" s="505"/>
      <c r="AK183" s="505"/>
      <c r="AL183" s="505"/>
      <c r="AM183" s="505"/>
      <c r="AN183" s="505"/>
      <c r="AO183" s="505"/>
    </row>
    <row r="184" spans="1:41" s="489" customFormat="1" ht="12" thickTop="1">
      <c r="A184" s="40"/>
      <c r="B184" s="36"/>
      <c r="C184" s="40"/>
      <c r="E184" s="37" t="s">
        <v>137</v>
      </c>
      <c r="F184" s="37" t="s">
        <v>138</v>
      </c>
      <c r="G184" s="40"/>
      <c r="H184" s="40"/>
      <c r="I184" s="40"/>
      <c r="J184" s="40"/>
      <c r="K184" s="40" t="s">
        <v>139</v>
      </c>
      <c r="L184" s="40"/>
      <c r="M184" s="40"/>
      <c r="N184" s="40"/>
      <c r="O184" s="41"/>
      <c r="P184" s="40"/>
      <c r="Q184" s="40"/>
      <c r="R184" s="40"/>
      <c r="S184" s="40"/>
      <c r="T184" s="36"/>
      <c r="AG184" s="662" t="s">
        <v>238</v>
      </c>
      <c r="AH184" s="662" t="s">
        <v>239</v>
      </c>
      <c r="AI184" s="662" t="s">
        <v>240</v>
      </c>
      <c r="AJ184" s="662" t="s">
        <v>241</v>
      </c>
      <c r="AK184" s="662" t="s">
        <v>242</v>
      </c>
      <c r="AM184" s="663" t="s">
        <v>251</v>
      </c>
      <c r="AN184" s="664" t="s">
        <v>252</v>
      </c>
      <c r="AO184" s="490" t="s">
        <v>248</v>
      </c>
    </row>
    <row r="185" spans="1:41" s="489" customFormat="1" ht="12" customHeight="1">
      <c r="A185" s="1001">
        <v>2</v>
      </c>
      <c r="B185" s="491" t="s">
        <v>140</v>
      </c>
      <c r="C185" s="492"/>
      <c r="D185" s="666" t="s">
        <v>506</v>
      </c>
      <c r="E185" s="1016">
        <f>IF(AND($A185=0,$A$1="DIF"),0, ROUND(ROUND(($R188*$S$3+($T188*$T$3))/$A185,2)*$C$3,2))</f>
        <v>0</v>
      </c>
      <c r="F185" s="1017">
        <f>ROUND($A185*$E185,2)</f>
        <v>0</v>
      </c>
      <c r="G185" s="493" t="s">
        <v>141</v>
      </c>
      <c r="H185" s="486"/>
      <c r="I185" s="669"/>
      <c r="J185" s="486"/>
      <c r="K185" s="486" t="s">
        <v>5</v>
      </c>
      <c r="L185" s="670" t="s">
        <v>142</v>
      </c>
      <c r="M185" s="670"/>
      <c r="N185" s="670"/>
      <c r="O185" s="670"/>
      <c r="P185" s="670"/>
      <c r="Q185" s="40" t="s">
        <v>639</v>
      </c>
      <c r="T185" s="1021" t="str">
        <f>IF(AND($R188=0,$T188=0),"0.00","mu: "&amp; ROUND(F185/$C$3/($R188+$T188*$D$9),2))</f>
        <v>0.00</v>
      </c>
      <c r="W185" s="494"/>
      <c r="AG185" s="1018">
        <f>IF($E185=0,0,ROUND($R188*$S$3*$C$3/$A185,2))</f>
        <v>0</v>
      </c>
      <c r="AH185" s="1018">
        <f>$AG185*$A185</f>
        <v>0</v>
      </c>
      <c r="AI185" s="1019">
        <f>$E185-$AG185</f>
        <v>0</v>
      </c>
      <c r="AJ185" s="1019">
        <f>$A185*$AI185</f>
        <v>0</v>
      </c>
      <c r="AK185" s="1020">
        <f>ROUND(($AG185+$AI185)*$A185,2)</f>
        <v>0</v>
      </c>
      <c r="AM185" s="497">
        <f>ROUND(R188,2)</f>
        <v>0</v>
      </c>
      <c r="AN185" s="498">
        <f>ROUND(T188,2)</f>
        <v>0</v>
      </c>
      <c r="AO185" s="499">
        <f>ROUND(AM185+AN185,2)*A185</f>
        <v>0</v>
      </c>
    </row>
    <row r="186" spans="1:41" s="489" customFormat="1" ht="13.2">
      <c r="A186" s="492"/>
      <c r="B186"/>
      <c r="C186" s="492"/>
      <c r="D186" s="666" t="s">
        <v>348</v>
      </c>
      <c r="F186" s="486"/>
      <c r="G186" s="3"/>
      <c r="H186" s="486"/>
      <c r="I186" s="669"/>
      <c r="J186" s="486"/>
      <c r="K186" s="486" t="s">
        <v>143</v>
      </c>
      <c r="L186" s="486"/>
      <c r="M186" s="486"/>
      <c r="N186" s="486"/>
      <c r="O186" s="486"/>
      <c r="P186" s="486"/>
      <c r="Q186" s="40"/>
      <c r="R186" s="550"/>
      <c r="S186" s="672"/>
      <c r="T186" s="486"/>
    </row>
    <row r="187" spans="1:41" s="489" customFormat="1" ht="13.2">
      <c r="A187" s="485"/>
      <c r="B187" s="485"/>
      <c r="C187" s="485"/>
      <c r="D187" s="1015" t="s">
        <v>638</v>
      </c>
      <c r="E187" s="550"/>
      <c r="F187" s="486"/>
      <c r="G187" s="485"/>
      <c r="H187" s="485"/>
      <c r="I187" s="487"/>
      <c r="J187" s="485"/>
      <c r="K187" s="485"/>
      <c r="L187" s="485"/>
      <c r="M187" s="485"/>
      <c r="N187" s="485"/>
      <c r="O187" s="485"/>
      <c r="P187" s="485"/>
      <c r="Q187" s="487"/>
      <c r="R187" s="673">
        <f t="shared" ref="R187" si="20">$A187*Q187</f>
        <v>0</v>
      </c>
      <c r="S187" s="487"/>
      <c r="T187" s="488">
        <f t="shared" ref="T187" si="21">$A187*S187*$T$1</f>
        <v>0</v>
      </c>
    </row>
    <row r="188" spans="1:41" s="489" customFormat="1" ht="12.6" thickBot="1">
      <c r="A188" s="500" t="s">
        <v>144</v>
      </c>
      <c r="B188" s="501">
        <f>(R187+T187)</f>
        <v>0</v>
      </c>
      <c r="C188" s="502"/>
      <c r="D188" s="502"/>
      <c r="E188" s="502"/>
      <c r="F188" s="674"/>
      <c r="G188" s="502" t="s">
        <v>145</v>
      </c>
      <c r="H188" s="502"/>
      <c r="I188" s="503"/>
      <c r="J188" s="502"/>
      <c r="K188" s="502" t="s">
        <v>5</v>
      </c>
      <c r="L188" s="504" t="s">
        <v>142</v>
      </c>
      <c r="M188" s="504"/>
      <c r="N188" s="504"/>
      <c r="O188" s="504"/>
      <c r="P188" s="504"/>
      <c r="Q188" s="675"/>
      <c r="R188" s="676">
        <f>SUM(R186:R187)</f>
        <v>0</v>
      </c>
      <c r="S188" s="502"/>
      <c r="T188" s="676">
        <f>SUM(T186:T187)</f>
        <v>0</v>
      </c>
      <c r="U188" s="505"/>
      <c r="V188" s="505"/>
      <c r="W188" s="505"/>
      <c r="X188" s="505"/>
      <c r="Y188" s="505"/>
      <c r="Z188" s="505"/>
      <c r="AA188" s="505"/>
      <c r="AB188" s="505"/>
      <c r="AC188" s="505"/>
      <c r="AD188" s="505"/>
      <c r="AE188" s="505"/>
      <c r="AF188" s="505"/>
      <c r="AG188" s="505"/>
      <c r="AH188" s="505"/>
      <c r="AI188" s="505"/>
      <c r="AJ188" s="505"/>
      <c r="AK188" s="505"/>
      <c r="AL188" s="505"/>
      <c r="AM188" s="505"/>
      <c r="AN188" s="505"/>
      <c r="AO188" s="505"/>
    </row>
    <row r="189" spans="1:41" s="489" customFormat="1" thickTop="1">
      <c r="A189" s="40"/>
      <c r="B189" s="40"/>
      <c r="C189" s="3"/>
      <c r="D189" s="3"/>
      <c r="E189" s="40"/>
      <c r="F189" s="40"/>
      <c r="G189" s="40"/>
      <c r="H189" s="40"/>
      <c r="I189" s="40"/>
      <c r="J189" s="40"/>
      <c r="K189" s="40" t="s">
        <v>134</v>
      </c>
      <c r="L189" s="40"/>
      <c r="M189" s="40"/>
      <c r="N189" s="40"/>
      <c r="O189" s="41"/>
      <c r="P189" s="40"/>
      <c r="Q189" s="40"/>
      <c r="R189" s="40"/>
      <c r="S189" s="40"/>
      <c r="T189" s="40"/>
    </row>
    <row r="190" spans="1:41" s="489" customFormat="1" ht="12">
      <c r="A190" s="40"/>
      <c r="B190" s="40"/>
      <c r="C190" s="40" t="s">
        <v>135</v>
      </c>
      <c r="D190" s="34" t="s">
        <v>545</v>
      </c>
      <c r="E190" s="40"/>
      <c r="F190" s="40"/>
      <c r="G190" s="40"/>
      <c r="H190" s="40"/>
      <c r="I190" s="40"/>
      <c r="J190" s="40"/>
      <c r="K190" s="40"/>
      <c r="L190" s="40"/>
      <c r="M190" s="40"/>
      <c r="N190" s="40"/>
      <c r="O190" s="41"/>
      <c r="P190" s="40"/>
      <c r="Q190" s="40"/>
      <c r="R190" s="40"/>
      <c r="S190" s="40"/>
      <c r="T190" s="40"/>
    </row>
    <row r="191" spans="1:41" s="489" customFormat="1" ht="12">
      <c r="A191" s="40"/>
      <c r="B191" s="40"/>
      <c r="C191" s="40"/>
      <c r="D191" s="34" t="s">
        <v>356</v>
      </c>
      <c r="E191" s="40"/>
      <c r="F191" s="40"/>
      <c r="G191" s="40"/>
      <c r="H191" s="40"/>
      <c r="I191" s="40"/>
      <c r="J191" s="40"/>
      <c r="K191" s="40"/>
      <c r="L191" s="40"/>
      <c r="M191" s="40"/>
      <c r="N191" s="40"/>
      <c r="O191" s="41"/>
      <c r="P191" s="40"/>
      <c r="Q191" s="40"/>
      <c r="R191" s="40"/>
      <c r="S191" s="654"/>
      <c r="T191" s="654"/>
    </row>
    <row r="192" spans="1:41" s="3" customFormat="1" thickBot="1">
      <c r="A192" s="505"/>
      <c r="O192" s="81"/>
    </row>
    <row r="193" spans="1:41" s="489" customFormat="1" ht="12" thickTop="1">
      <c r="A193" s="40"/>
      <c r="B193" s="36"/>
      <c r="C193" s="40"/>
      <c r="E193" s="37" t="s">
        <v>137</v>
      </c>
      <c r="F193" s="37" t="s">
        <v>138</v>
      </c>
      <c r="G193" s="40"/>
      <c r="H193" s="40"/>
      <c r="I193" s="40"/>
      <c r="J193" s="40"/>
      <c r="K193" s="40" t="s">
        <v>139</v>
      </c>
      <c r="L193" s="40"/>
      <c r="M193" s="40"/>
      <c r="N193" s="40"/>
      <c r="O193" s="41"/>
      <c r="P193" s="40"/>
      <c r="Q193" s="40"/>
      <c r="R193" s="40"/>
      <c r="S193" s="40"/>
      <c r="T193" s="36"/>
      <c r="AG193" s="662" t="s">
        <v>238</v>
      </c>
      <c r="AH193" s="662" t="s">
        <v>239</v>
      </c>
      <c r="AI193" s="662" t="s">
        <v>240</v>
      </c>
      <c r="AJ193" s="662" t="s">
        <v>241</v>
      </c>
      <c r="AK193" s="662" t="s">
        <v>242</v>
      </c>
      <c r="AM193" s="663" t="s">
        <v>251</v>
      </c>
      <c r="AN193" s="664" t="s">
        <v>252</v>
      </c>
      <c r="AO193" s="490" t="s">
        <v>248</v>
      </c>
    </row>
    <row r="194" spans="1:41" s="489" customFormat="1" ht="12" customHeight="1">
      <c r="A194" s="665">
        <v>1</v>
      </c>
      <c r="B194" s="491" t="s">
        <v>140</v>
      </c>
      <c r="C194" s="492"/>
      <c r="D194" s="666" t="s">
        <v>546</v>
      </c>
      <c r="E194" s="1016">
        <f>IF(AND($A194=0,$A$1="DIF"),0, ROUND(ROUND(($R197*$S$3+($T197*$T$3))/$A194,2)*$C$3,2))</f>
        <v>0</v>
      </c>
      <c r="F194" s="1017">
        <f>ROUND($A194*$E194,2)</f>
        <v>0</v>
      </c>
      <c r="G194" s="493" t="s">
        <v>141</v>
      </c>
      <c r="H194" s="486"/>
      <c r="I194" s="669"/>
      <c r="J194" s="486"/>
      <c r="K194" s="486" t="s">
        <v>5</v>
      </c>
      <c r="L194" s="670" t="s">
        <v>142</v>
      </c>
      <c r="M194" s="670"/>
      <c r="N194" s="670"/>
      <c r="O194" s="670"/>
      <c r="P194" s="670"/>
      <c r="Q194" s="40" t="s">
        <v>639</v>
      </c>
      <c r="T194" s="1021" t="str">
        <f>IF(AND($R197=0,$T197=0),"0.00","mu: "&amp; ROUND(F194/$C$3/($R197+$T197*$D$9),2))</f>
        <v>0.00</v>
      </c>
      <c r="W194" s="494"/>
      <c r="AG194" s="1018">
        <f>IF($E194=0,0,ROUND($R197*$S$3*$C$3/$A194,2))</f>
        <v>0</v>
      </c>
      <c r="AH194" s="1018">
        <f>$AG194*$A194</f>
        <v>0</v>
      </c>
      <c r="AI194" s="1019">
        <f>$E194-$AG194</f>
        <v>0</v>
      </c>
      <c r="AJ194" s="1019">
        <f>$A194*$AI194</f>
        <v>0</v>
      </c>
      <c r="AK194" s="1020">
        <f>ROUND(($AG194+$AI194)*$A194,2)</f>
        <v>0</v>
      </c>
      <c r="AM194" s="497">
        <f>ROUND(R197,2)</f>
        <v>0</v>
      </c>
      <c r="AN194" s="498">
        <f>ROUND(T197,2)</f>
        <v>0</v>
      </c>
      <c r="AO194" s="499">
        <f>ROUND(AM194+AN194,2)*A194</f>
        <v>0</v>
      </c>
    </row>
    <row r="195" spans="1:41" s="489" customFormat="1" ht="24">
      <c r="A195" s="492"/>
      <c r="B195"/>
      <c r="C195" s="492"/>
      <c r="D195" s="756" t="s">
        <v>359</v>
      </c>
      <c r="E195" s="757"/>
      <c r="F195" s="757"/>
      <c r="G195" s="757"/>
      <c r="H195" s="757"/>
      <c r="I195" s="757"/>
      <c r="J195" s="757"/>
      <c r="K195" s="757" t="s">
        <v>143</v>
      </c>
      <c r="L195" s="757"/>
      <c r="M195" s="757"/>
      <c r="N195" s="757"/>
      <c r="O195" s="757"/>
      <c r="P195" s="757"/>
      <c r="Q195" s="757"/>
      <c r="R195" s="758"/>
      <c r="S195" s="757"/>
      <c r="T195" s="757"/>
    </row>
    <row r="196" spans="1:41" s="489" customFormat="1" ht="13.2">
      <c r="A196" s="40"/>
      <c r="B196" s="485"/>
      <c r="C196" s="485"/>
      <c r="D196" s="1015" t="s">
        <v>638</v>
      </c>
      <c r="E196" s="485"/>
      <c r="F196" s="486"/>
      <c r="G196" s="485"/>
      <c r="H196" s="485"/>
      <c r="I196" s="487"/>
      <c r="J196" s="485"/>
      <c r="K196" s="485"/>
      <c r="L196" s="485"/>
      <c r="M196" s="485"/>
      <c r="N196" s="485"/>
      <c r="O196" s="485"/>
      <c r="P196" s="485"/>
      <c r="Q196" s="487"/>
      <c r="R196" s="673">
        <f t="shared" ref="R196" si="22">$A196*Q196</f>
        <v>0</v>
      </c>
      <c r="S196" s="487"/>
      <c r="T196" s="488">
        <f t="shared" ref="T196" si="23">$A196*S196*$T$1</f>
        <v>0</v>
      </c>
    </row>
    <row r="197" spans="1:41" s="489" customFormat="1" ht="12.6" thickBot="1">
      <c r="A197" s="500" t="s">
        <v>144</v>
      </c>
      <c r="B197" s="501">
        <f>(R196+T196)</f>
        <v>0</v>
      </c>
      <c r="C197" s="502"/>
      <c r="D197" s="502"/>
      <c r="E197" s="502"/>
      <c r="F197" s="674"/>
      <c r="G197" s="502" t="s">
        <v>145</v>
      </c>
      <c r="H197" s="502"/>
      <c r="I197" s="503"/>
      <c r="J197" s="502"/>
      <c r="K197" s="502" t="s">
        <v>5</v>
      </c>
      <c r="L197" s="504" t="s">
        <v>142</v>
      </c>
      <c r="M197" s="504"/>
      <c r="N197" s="504"/>
      <c r="O197" s="504"/>
      <c r="P197" s="504"/>
      <c r="Q197" s="675"/>
      <c r="R197" s="676">
        <f>SUM(R195:R196)</f>
        <v>0</v>
      </c>
      <c r="S197" s="502"/>
      <c r="T197" s="676">
        <f>SUM(T195:T196)</f>
        <v>0</v>
      </c>
      <c r="U197" s="505"/>
      <c r="V197" s="505"/>
      <c r="W197" s="505"/>
      <c r="X197" s="505"/>
      <c r="Y197" s="505"/>
      <c r="Z197" s="505"/>
      <c r="AA197" s="505"/>
      <c r="AB197" s="505"/>
      <c r="AC197" s="505"/>
      <c r="AD197" s="505"/>
      <c r="AE197" s="505"/>
      <c r="AF197" s="505"/>
      <c r="AG197" s="505"/>
      <c r="AH197" s="505"/>
      <c r="AI197" s="505"/>
      <c r="AJ197" s="505"/>
      <c r="AK197" s="505"/>
      <c r="AL197" s="505"/>
      <c r="AM197" s="505"/>
      <c r="AN197" s="505"/>
      <c r="AO197" s="505"/>
    </row>
    <row r="198" spans="1:41" s="489" customFormat="1" ht="12" thickTop="1">
      <c r="A198" s="40"/>
      <c r="B198" s="36"/>
      <c r="C198" s="40"/>
      <c r="E198" s="37" t="s">
        <v>137</v>
      </c>
      <c r="F198" s="37" t="s">
        <v>138</v>
      </c>
      <c r="G198" s="40"/>
      <c r="H198" s="40"/>
      <c r="I198" s="40"/>
      <c r="J198" s="40"/>
      <c r="K198" s="40" t="s">
        <v>139</v>
      </c>
      <c r="L198" s="40"/>
      <c r="M198" s="40"/>
      <c r="N198" s="40"/>
      <c r="O198" s="41"/>
      <c r="P198" s="40"/>
      <c r="Q198" s="40"/>
      <c r="R198" s="40"/>
      <c r="S198" s="40"/>
      <c r="T198" s="36"/>
      <c r="AG198" s="662" t="s">
        <v>238</v>
      </c>
      <c r="AH198" s="662" t="s">
        <v>239</v>
      </c>
      <c r="AI198" s="662" t="s">
        <v>240</v>
      </c>
      <c r="AJ198" s="662" t="s">
        <v>241</v>
      </c>
      <c r="AK198" s="662" t="s">
        <v>242</v>
      </c>
      <c r="AM198" s="663" t="s">
        <v>251</v>
      </c>
      <c r="AN198" s="664" t="s">
        <v>252</v>
      </c>
      <c r="AO198" s="490" t="s">
        <v>248</v>
      </c>
    </row>
    <row r="199" spans="1:41" s="489" customFormat="1" ht="12" customHeight="1">
      <c r="A199" s="1001">
        <v>1</v>
      </c>
      <c r="B199" s="491" t="s">
        <v>140</v>
      </c>
      <c r="C199" s="492"/>
      <c r="D199" s="666" t="s">
        <v>507</v>
      </c>
      <c r="E199" s="667">
        <f>IF(AND($A199=0,$A$1="DIF"),0, ROUND(ROUND(($R209*$S$2+($T209*$T$2))/A199,2)*$C$2,2))</f>
        <v>78.06</v>
      </c>
      <c r="F199" s="668">
        <f>ROUND($A199*$E199,2)</f>
        <v>78.06</v>
      </c>
      <c r="G199" s="493" t="s">
        <v>141</v>
      </c>
      <c r="H199" s="486"/>
      <c r="I199" s="669"/>
      <c r="J199" s="486"/>
      <c r="K199" s="486" t="s">
        <v>3</v>
      </c>
      <c r="L199" s="670" t="s">
        <v>142</v>
      </c>
      <c r="M199" s="670"/>
      <c r="N199" s="670"/>
      <c r="O199" s="670"/>
      <c r="P199" s="670"/>
      <c r="Q199" s="40"/>
      <c r="T199" s="671" t="str">
        <f>IF(AND($R209=0,$T209=0),"0.00","mu :" &amp; ROUND($F199/$C$2/($R209+$T209*$D$9),2))</f>
        <v>mu :1</v>
      </c>
      <c r="W199" s="494"/>
      <c r="AG199" s="447">
        <f>IF($E199=0,0,ROUND($R209*$S$2*$C$2/$A199,2))</f>
        <v>11.06</v>
      </c>
      <c r="AH199" s="447">
        <f>$AG199*$A199</f>
        <v>11.06</v>
      </c>
      <c r="AI199" s="495">
        <f>$E199-$AG199</f>
        <v>67</v>
      </c>
      <c r="AJ199" s="495">
        <f>$A199*$AI199</f>
        <v>67</v>
      </c>
      <c r="AK199" s="496">
        <f>ROUND(($AG199+$AI199)*$A199,2)</f>
        <v>78.06</v>
      </c>
      <c r="AM199" s="497">
        <f>ROUND(R209,2)</f>
        <v>11.06</v>
      </c>
      <c r="AN199" s="498">
        <f>ROUND(T209,2)</f>
        <v>2.44</v>
      </c>
      <c r="AO199" s="499">
        <f>ROUND(AM199+AN199,2)*A199</f>
        <v>13.5</v>
      </c>
    </row>
    <row r="200" spans="1:41" s="489" customFormat="1" ht="48">
      <c r="A200" s="492"/>
      <c r="B200"/>
      <c r="C200" s="492"/>
      <c r="D200" s="756" t="s">
        <v>360</v>
      </c>
      <c r="E200" s="757"/>
      <c r="F200" s="757"/>
      <c r="G200" s="757"/>
      <c r="H200" s="757"/>
      <c r="I200" s="757"/>
      <c r="J200" s="757"/>
      <c r="K200" s="757"/>
      <c r="L200" s="757"/>
      <c r="M200" s="757"/>
      <c r="N200" s="757"/>
      <c r="O200" s="757"/>
      <c r="P200" s="757"/>
      <c r="Q200" s="757"/>
      <c r="R200" s="758"/>
      <c r="S200" s="757"/>
      <c r="T200" s="757"/>
    </row>
    <row r="201" spans="1:41" s="915" customFormat="1" ht="13.2">
      <c r="A201">
        <v>2</v>
      </c>
      <c r="B201" s="915" t="s">
        <v>269</v>
      </c>
      <c r="D201" s="915" t="s">
        <v>586</v>
      </c>
      <c r="G201" s="916" t="s">
        <v>584</v>
      </c>
      <c r="H201" s="917">
        <v>501</v>
      </c>
      <c r="I201" s="915" t="s">
        <v>558</v>
      </c>
      <c r="K201" s="915" t="s">
        <v>585</v>
      </c>
      <c r="O201" s="918">
        <v>1</v>
      </c>
      <c r="P201" s="919">
        <v>35705</v>
      </c>
      <c r="Q201" s="999">
        <v>0</v>
      </c>
      <c r="R201" s="921">
        <f>$A201*Q201</f>
        <v>0</v>
      </c>
      <c r="S201" s="920">
        <v>0.5</v>
      </c>
      <c r="T201" s="922">
        <f>$A201*S201*$T$1</f>
        <v>1</v>
      </c>
    </row>
    <row r="202" spans="1:41" s="915" customFormat="1" ht="13.2">
      <c r="A202">
        <v>4</v>
      </c>
      <c r="B202" s="915" t="s">
        <v>277</v>
      </c>
      <c r="D202" s="915" t="s">
        <v>579</v>
      </c>
      <c r="G202" s="916" t="s">
        <v>565</v>
      </c>
      <c r="H202" s="917">
        <v>616</v>
      </c>
      <c r="I202" s="915" t="s">
        <v>558</v>
      </c>
      <c r="K202" s="915" t="s">
        <v>566</v>
      </c>
      <c r="O202" s="918">
        <v>2</v>
      </c>
      <c r="P202" s="919">
        <v>38299</v>
      </c>
      <c r="Q202" s="920">
        <v>1.93</v>
      </c>
      <c r="R202" s="921">
        <f t="shared" ref="R202:R206" si="24">$A202*Q202</f>
        <v>7.72</v>
      </c>
      <c r="S202" s="920">
        <v>0.06</v>
      </c>
      <c r="T202" s="922">
        <f t="shared" ref="T202:T206" si="25">$A202*S202*$T$1</f>
        <v>0.24</v>
      </c>
    </row>
    <row r="203" spans="1:41" s="915" customFormat="1" ht="13.2">
      <c r="A203">
        <v>4</v>
      </c>
      <c r="B203" s="915" t="s">
        <v>140</v>
      </c>
      <c r="D203" s="915" t="s">
        <v>580</v>
      </c>
      <c r="G203" s="916" t="s">
        <v>568</v>
      </c>
      <c r="H203" s="917">
        <v>620</v>
      </c>
      <c r="I203" s="915" t="s">
        <v>558</v>
      </c>
      <c r="O203" s="918">
        <v>2</v>
      </c>
      <c r="P203" s="919">
        <v>35431</v>
      </c>
      <c r="Q203" s="920">
        <v>0.41</v>
      </c>
      <c r="R203" s="921">
        <f t="shared" si="24"/>
        <v>1.64</v>
      </c>
      <c r="S203" s="920">
        <v>0.2</v>
      </c>
      <c r="T203" s="922">
        <f t="shared" si="25"/>
        <v>0.8</v>
      </c>
    </row>
    <row r="204" spans="1:41" s="915" customFormat="1" ht="13.2">
      <c r="A204">
        <v>20</v>
      </c>
      <c r="B204" s="915" t="s">
        <v>140</v>
      </c>
      <c r="D204" s="915" t="s">
        <v>581</v>
      </c>
      <c r="G204" s="916" t="s">
        <v>582</v>
      </c>
      <c r="H204" s="917">
        <v>620</v>
      </c>
      <c r="I204" s="915" t="s">
        <v>571</v>
      </c>
      <c r="O204" s="918">
        <v>2</v>
      </c>
      <c r="P204" s="919">
        <v>34669</v>
      </c>
      <c r="Q204" s="920">
        <v>0.05</v>
      </c>
      <c r="R204" s="921">
        <f t="shared" si="24"/>
        <v>1</v>
      </c>
      <c r="S204" s="920">
        <v>0.02</v>
      </c>
      <c r="T204" s="922">
        <f t="shared" si="25"/>
        <v>0.4</v>
      </c>
    </row>
    <row r="205" spans="1:41" s="915" customFormat="1" ht="13.2">
      <c r="A205">
        <v>4</v>
      </c>
      <c r="B205" s="915" t="s">
        <v>140</v>
      </c>
      <c r="D205" s="915" t="s">
        <v>572</v>
      </c>
      <c r="G205" s="916" t="s">
        <v>573</v>
      </c>
      <c r="H205" s="917">
        <v>620</v>
      </c>
      <c r="I205" s="915" t="s">
        <v>558</v>
      </c>
      <c r="O205" s="918">
        <v>2</v>
      </c>
      <c r="P205" s="919"/>
      <c r="Q205" s="920">
        <v>0.1</v>
      </c>
      <c r="R205" s="921">
        <f t="shared" si="24"/>
        <v>0.4</v>
      </c>
      <c r="S205" s="920"/>
      <c r="T205" s="922">
        <f t="shared" si="25"/>
        <v>0</v>
      </c>
    </row>
    <row r="206" spans="1:41" s="915" customFormat="1" ht="13.2">
      <c r="A206">
        <v>6</v>
      </c>
      <c r="B206" s="915" t="s">
        <v>140</v>
      </c>
      <c r="D206" s="915" t="s">
        <v>574</v>
      </c>
      <c r="G206" s="916" t="s">
        <v>575</v>
      </c>
      <c r="H206" s="917">
        <v>875</v>
      </c>
      <c r="I206" s="915" t="s">
        <v>558</v>
      </c>
      <c r="K206" s="915" t="s">
        <v>576</v>
      </c>
      <c r="O206" s="918">
        <v>1</v>
      </c>
      <c r="P206" s="919">
        <v>34669</v>
      </c>
      <c r="Q206" s="920">
        <v>0.05</v>
      </c>
      <c r="R206" s="921">
        <f t="shared" si="24"/>
        <v>0.30000000000000004</v>
      </c>
      <c r="S206" s="920"/>
      <c r="T206" s="922">
        <f t="shared" si="25"/>
        <v>0</v>
      </c>
    </row>
    <row r="207" spans="1:41" s="489" customFormat="1" ht="12">
      <c r="A207" s="40"/>
      <c r="B207" s="485"/>
      <c r="C207" s="485"/>
      <c r="D207" s="1003" t="s">
        <v>621</v>
      </c>
      <c r="E207" s="924"/>
      <c r="F207" s="486"/>
      <c r="G207" s="485"/>
      <c r="H207" s="485"/>
      <c r="I207" s="487"/>
      <c r="J207" s="485"/>
      <c r="K207" s="485"/>
      <c r="L207" s="485"/>
      <c r="M207" s="485"/>
      <c r="N207" s="485"/>
      <c r="O207" s="485"/>
      <c r="P207" s="485"/>
      <c r="Q207" s="487"/>
      <c r="R207" s="673">
        <f t="shared" ref="R207:R208" si="26">$A207*Q207</f>
        <v>0</v>
      </c>
      <c r="S207" s="487"/>
      <c r="T207" s="488">
        <f t="shared" ref="T207:T208" si="27">$A207*S207*$T$1</f>
        <v>0</v>
      </c>
    </row>
    <row r="208" spans="1:41" s="489" customFormat="1" ht="12">
      <c r="A208" s="485"/>
      <c r="B208" s="485"/>
      <c r="C208" s="485"/>
      <c r="D208" s="485"/>
      <c r="E208" s="485"/>
      <c r="F208" s="486"/>
      <c r="G208" s="485"/>
      <c r="H208" s="485"/>
      <c r="I208" s="487"/>
      <c r="J208" s="485"/>
      <c r="K208" s="485"/>
      <c r="L208" s="485"/>
      <c r="M208" s="485"/>
      <c r="N208" s="485"/>
      <c r="O208" s="485"/>
      <c r="P208" s="485"/>
      <c r="Q208" s="487"/>
      <c r="R208" s="673">
        <f t="shared" si="26"/>
        <v>0</v>
      </c>
      <c r="S208" s="487"/>
      <c r="T208" s="488">
        <f t="shared" si="27"/>
        <v>0</v>
      </c>
    </row>
    <row r="209" spans="1:41" s="489" customFormat="1" ht="12.6" thickBot="1">
      <c r="A209" s="500" t="s">
        <v>144</v>
      </c>
      <c r="B209" s="501">
        <f>(R208+T208)</f>
        <v>0</v>
      </c>
      <c r="C209" s="502"/>
      <c r="D209" s="502"/>
      <c r="E209" s="502"/>
      <c r="F209" s="674"/>
      <c r="G209" s="502" t="s">
        <v>145</v>
      </c>
      <c r="H209" s="502"/>
      <c r="I209" s="503"/>
      <c r="J209" s="502"/>
      <c r="K209" s="502" t="s">
        <v>3</v>
      </c>
      <c r="L209" s="504" t="s">
        <v>142</v>
      </c>
      <c r="M209" s="504"/>
      <c r="N209" s="504"/>
      <c r="O209" s="504"/>
      <c r="P209" s="504"/>
      <c r="Q209" s="675"/>
      <c r="R209" s="676">
        <f>SUM(R200:R208)</f>
        <v>11.06</v>
      </c>
      <c r="S209" s="502"/>
      <c r="T209" s="676">
        <f>SUM(T200:T208)</f>
        <v>2.44</v>
      </c>
      <c r="U209" s="505"/>
      <c r="V209" s="505"/>
      <c r="W209" s="505"/>
      <c r="X209" s="505"/>
      <c r="Y209" s="505"/>
      <c r="Z209" s="505"/>
      <c r="AA209" s="505"/>
      <c r="AB209" s="505"/>
      <c r="AC209" s="505"/>
      <c r="AD209" s="505"/>
      <c r="AE209" s="505"/>
      <c r="AF209" s="505"/>
      <c r="AG209" s="505"/>
      <c r="AH209" s="505"/>
      <c r="AI209" s="505"/>
      <c r="AJ209" s="505"/>
      <c r="AK209" s="505"/>
      <c r="AL209" s="505"/>
      <c r="AM209" s="505"/>
      <c r="AN209" s="505"/>
      <c r="AO209" s="505"/>
    </row>
    <row r="210" spans="1:41" s="489" customFormat="1" thickTop="1">
      <c r="A210" s="40"/>
      <c r="B210" s="40"/>
      <c r="C210" s="3"/>
      <c r="D210" s="3"/>
      <c r="E210" s="40"/>
      <c r="F210" s="40"/>
      <c r="G210" s="40"/>
      <c r="H210" s="40"/>
      <c r="I210" s="40"/>
      <c r="J210" s="40"/>
      <c r="K210" s="40" t="s">
        <v>134</v>
      </c>
      <c r="L210" s="40"/>
      <c r="M210" s="40"/>
      <c r="N210" s="40"/>
      <c r="O210" s="41"/>
      <c r="P210" s="40"/>
      <c r="Q210" s="40"/>
      <c r="R210" s="40"/>
      <c r="S210" s="40"/>
      <c r="T210" s="40"/>
    </row>
    <row r="211" spans="1:41" s="489" customFormat="1" ht="12">
      <c r="A211" s="40"/>
      <c r="B211" s="40"/>
      <c r="C211" s="40" t="s">
        <v>135</v>
      </c>
      <c r="D211" s="34" t="s">
        <v>508</v>
      </c>
      <c r="E211" s="40"/>
      <c r="F211" s="40"/>
      <c r="G211" s="40"/>
      <c r="H211" s="40"/>
      <c r="I211" s="40"/>
      <c r="J211" s="40"/>
      <c r="K211" s="40"/>
      <c r="L211" s="40"/>
      <c r="M211" s="40"/>
      <c r="N211" s="40"/>
      <c r="O211" s="41"/>
      <c r="P211" s="40"/>
      <c r="Q211" s="40"/>
      <c r="R211" s="40"/>
      <c r="S211" s="40"/>
      <c r="T211" s="40"/>
    </row>
    <row r="212" spans="1:41" s="489" customFormat="1" ht="36">
      <c r="A212" s="492"/>
      <c r="B212"/>
      <c r="C212" s="492"/>
      <c r="D212" s="756" t="s">
        <v>363</v>
      </c>
      <c r="E212" s="757"/>
      <c r="F212" s="757"/>
      <c r="G212" s="757"/>
      <c r="H212" s="757"/>
      <c r="I212" s="757"/>
      <c r="J212" s="757"/>
      <c r="K212" s="757"/>
      <c r="L212" s="757"/>
      <c r="M212" s="757"/>
      <c r="N212" s="757"/>
      <c r="O212" s="757"/>
      <c r="P212" s="757"/>
      <c r="Q212" s="757"/>
      <c r="R212" s="758"/>
      <c r="S212" s="757"/>
      <c r="T212" s="757"/>
    </row>
    <row r="213" spans="1:41" s="3" customFormat="1" thickBot="1">
      <c r="A213" s="505"/>
      <c r="O213" s="81"/>
    </row>
    <row r="214" spans="1:41" s="489" customFormat="1" thickTop="1">
      <c r="A214" s="40"/>
      <c r="B214" s="36"/>
      <c r="C214" s="40"/>
      <c r="E214" s="37" t="s">
        <v>137</v>
      </c>
      <c r="F214" s="37" t="s">
        <v>138</v>
      </c>
      <c r="G214" s="40"/>
      <c r="H214" s="40"/>
      <c r="I214" s="40"/>
      <c r="J214" s="40"/>
      <c r="K214" s="40" t="s">
        <v>139</v>
      </c>
      <c r="L214" s="925"/>
      <c r="M214" s="40"/>
      <c r="N214" s="40"/>
      <c r="O214" s="41"/>
      <c r="P214" s="40"/>
      <c r="Q214"/>
      <c r="R214"/>
      <c r="S214"/>
      <c r="T214" s="36"/>
      <c r="AG214" s="662" t="s">
        <v>238</v>
      </c>
      <c r="AH214" s="662" t="s">
        <v>239</v>
      </c>
      <c r="AI214" s="662" t="s">
        <v>240</v>
      </c>
      <c r="AJ214" s="662" t="s">
        <v>241</v>
      </c>
      <c r="AK214" s="662" t="s">
        <v>242</v>
      </c>
      <c r="AM214" s="663" t="s">
        <v>251</v>
      </c>
      <c r="AN214" s="664" t="s">
        <v>252</v>
      </c>
      <c r="AO214" s="490" t="s">
        <v>248</v>
      </c>
    </row>
    <row r="215" spans="1:41" s="489" customFormat="1" ht="13.2">
      <c r="A215" s="1001">
        <v>4</v>
      </c>
      <c r="B215" s="491" t="s">
        <v>140</v>
      </c>
      <c r="C215" s="492"/>
      <c r="D215" s="666" t="s">
        <v>500</v>
      </c>
      <c r="E215" s="926">
        <f>IF(AND($A215=0,$A$1="DIF"),0, ROUND(ROUND(SUMIF($L217:$L223,"SUBI",$E217:$E223)/$A215,2)*$C$12,2))</f>
        <v>38.21</v>
      </c>
      <c r="F215" s="927">
        <f>ROUND($A215*$E215,2)</f>
        <v>152.84</v>
      </c>
      <c r="G215" s="493" t="s">
        <v>141</v>
      </c>
      <c r="H215" s="486"/>
      <c r="I215" s="669"/>
      <c r="J215" s="486"/>
      <c r="K215" s="928"/>
      <c r="L215" s="929" t="s">
        <v>142</v>
      </c>
      <c r="M215" s="670"/>
      <c r="N215" s="670"/>
      <c r="O215" s="670"/>
      <c r="P215" s="670"/>
      <c r="Q215"/>
      <c r="R215"/>
      <c r="S215"/>
      <c r="T215" s="930" t="str">
        <f>IF(AND($R230=0,$T230=0),"0.00","mu :" &amp; ROUND($F215/$C$12/($R230+$T230*$D$9),2))</f>
        <v>mu :1</v>
      </c>
      <c r="W215" s="494"/>
      <c r="AG215" s="931">
        <f>IF(A215=0,0,ROUND(SUM(AG217:AG230)/A215,2))</f>
        <v>13.49</v>
      </c>
      <c r="AH215" s="931">
        <f>$AG215*$A215</f>
        <v>53.96</v>
      </c>
      <c r="AI215" s="931">
        <f>$E215-$AG215</f>
        <v>24.72</v>
      </c>
      <c r="AJ215" s="931">
        <f>$A215*$AI215</f>
        <v>98.88</v>
      </c>
      <c r="AK215" s="932">
        <f>ROUND(($AG215+$AI215)*$A215,2)</f>
        <v>152.84</v>
      </c>
      <c r="AM215" s="497">
        <f>ROUND(R230,2)</f>
        <v>53.96</v>
      </c>
      <c r="AN215" s="498">
        <f>ROUND(T230,2)</f>
        <v>3.6</v>
      </c>
      <c r="AO215" s="499">
        <f>ROUND(AM215+AN215,2)*A215</f>
        <v>230.24</v>
      </c>
    </row>
    <row r="216" spans="1:41" s="489" customFormat="1" ht="19.95" customHeight="1">
      <c r="A216" s="933"/>
      <c r="B216" s="934"/>
      <c r="C216" s="492"/>
      <c r="D216" s="666" t="s">
        <v>276</v>
      </c>
      <c r="F216" s="486"/>
      <c r="G216" s="486"/>
      <c r="H216" s="486"/>
      <c r="I216" s="669"/>
      <c r="J216" s="486"/>
      <c r="K216" s="486" t="s">
        <v>143</v>
      </c>
      <c r="L216" s="935"/>
      <c r="M216" s="486"/>
      <c r="N216" s="486"/>
      <c r="O216" s="486"/>
      <c r="P216" s="486"/>
      <c r="Q216" s="40"/>
      <c r="R216" s="550"/>
      <c r="S216" s="672"/>
      <c r="T216" s="486"/>
    </row>
    <row r="217" spans="1:41" s="489" customFormat="1" ht="12">
      <c r="A217" s="936"/>
      <c r="B217" s="937"/>
      <c r="C217" s="485"/>
      <c r="D217" s="486"/>
      <c r="E217" s="938">
        <f>F215/$C$12-SUMIF($L214:$L230,"SUBI",$E214:$E230)</f>
        <v>2.0000000000010232E-2</v>
      </c>
      <c r="F217" s="939" t="s">
        <v>559</v>
      </c>
      <c r="G217" s="940"/>
      <c r="H217" s="940"/>
      <c r="I217" s="941"/>
      <c r="J217" s="940"/>
      <c r="K217" s="940"/>
      <c r="L217" s="942"/>
      <c r="M217" s="943"/>
      <c r="N217" s="943"/>
      <c r="O217" s="943"/>
      <c r="P217" s="943"/>
      <c r="Q217" s="944"/>
      <c r="R217" s="945"/>
      <c r="S217" s="944"/>
      <c r="T217" s="946"/>
    </row>
    <row r="218" spans="1:41" s="489" customFormat="1" ht="12" customHeight="1">
      <c r="A218" s="947"/>
      <c r="B218" s="948"/>
      <c r="C218" s="949"/>
      <c r="D218" s="949" t="str">
        <f>$F$2</f>
        <v>Electrical</v>
      </c>
      <c r="E218" s="949">
        <f>ROUND(($R222*$S$2 + ($T222*$T$2)), 2)</f>
        <v>152.82</v>
      </c>
      <c r="F218" s="950">
        <f>$E218*$C$12</f>
        <v>152.82</v>
      </c>
      <c r="G218" s="550"/>
      <c r="H218" s="951"/>
      <c r="I218" s="550"/>
      <c r="J218" s="41"/>
      <c r="K218" s="952" t="s">
        <v>3</v>
      </c>
      <c r="L218" s="953" t="s">
        <v>560</v>
      </c>
      <c r="M218" s="550"/>
      <c r="N218" s="550"/>
      <c r="O218" s="41"/>
      <c r="P218" s="550"/>
      <c r="Q218" s="550"/>
      <c r="R218"/>
      <c r="S218"/>
      <c r="T218"/>
    </row>
    <row r="219" spans="1:41" s="915" customFormat="1" ht="13.2">
      <c r="A219" s="82">
        <v>12</v>
      </c>
      <c r="B219" s="915" t="s">
        <v>277</v>
      </c>
      <c r="D219" s="915" t="s">
        <v>598</v>
      </c>
      <c r="G219" s="916" t="s">
        <v>599</v>
      </c>
      <c r="H219" s="917">
        <v>690</v>
      </c>
      <c r="I219" s="915" t="s">
        <v>587</v>
      </c>
      <c r="J219" s="915" t="s">
        <v>600</v>
      </c>
      <c r="O219" s="918">
        <v>1</v>
      </c>
      <c r="P219" s="919">
        <v>34669</v>
      </c>
      <c r="Q219" s="920">
        <v>3.03</v>
      </c>
      <c r="R219" s="921">
        <f>$A219*Q219</f>
        <v>36.36</v>
      </c>
      <c r="S219" s="920">
        <v>0.2</v>
      </c>
      <c r="T219" s="922">
        <f>$A219*S219*$T$1</f>
        <v>2.4000000000000004</v>
      </c>
    </row>
    <row r="220" spans="1:41" s="915" customFormat="1" ht="13.2">
      <c r="A220">
        <v>40</v>
      </c>
      <c r="B220" s="915" t="s">
        <v>277</v>
      </c>
      <c r="D220" s="915" t="s">
        <v>588</v>
      </c>
      <c r="G220" s="916" t="s">
        <v>589</v>
      </c>
      <c r="H220" s="917">
        <v>617</v>
      </c>
      <c r="I220" s="915" t="s">
        <v>590</v>
      </c>
      <c r="J220" s="915" t="s">
        <v>591</v>
      </c>
      <c r="O220" s="918">
        <v>2</v>
      </c>
      <c r="P220" s="919">
        <v>38433</v>
      </c>
      <c r="Q220" s="920">
        <v>0.44</v>
      </c>
      <c r="R220" s="921">
        <f>$A220*Q220</f>
        <v>17.600000000000001</v>
      </c>
      <c r="S220" s="920">
        <v>0.03</v>
      </c>
      <c r="T220" s="922">
        <f>$A220*S220*$T$1</f>
        <v>1.2</v>
      </c>
    </row>
    <row r="221" spans="1:41" s="489" customFormat="1" ht="13.95" customHeight="1">
      <c r="A221" s="698"/>
      <c r="B221" s="550"/>
      <c r="C221" s="550"/>
      <c r="D221" s="550"/>
      <c r="E221" s="550"/>
      <c r="F221" s="550"/>
      <c r="G221" s="550"/>
      <c r="H221" s="951"/>
      <c r="I221" s="550"/>
      <c r="J221" s="41"/>
      <c r="K221" s="955"/>
      <c r="L221" s="956"/>
      <c r="M221" s="550"/>
      <c r="N221" s="550"/>
      <c r="O221" s="41"/>
      <c r="P221" s="550"/>
      <c r="Q221" s="550"/>
      <c r="R221" s="957">
        <f>$A221*Q221</f>
        <v>0</v>
      </c>
      <c r="S221" s="550"/>
      <c r="T221" s="488">
        <f>$A221*S221*$T$1</f>
        <v>0</v>
      </c>
    </row>
    <row r="222" spans="1:41" s="489" customFormat="1" ht="12">
      <c r="A222" s="958" t="s">
        <v>144</v>
      </c>
      <c r="B222" s="959">
        <f>(R221+T221)</f>
        <v>0</v>
      </c>
      <c r="C222" s="485"/>
      <c r="G222" s="960"/>
      <c r="H222" s="960"/>
      <c r="I222" s="960"/>
      <c r="J222" s="960"/>
      <c r="K222" s="961" t="s">
        <v>3</v>
      </c>
      <c r="L222" s="962" t="s">
        <v>560</v>
      </c>
      <c r="M222" s="960"/>
      <c r="N222" s="960"/>
      <c r="O222" s="960"/>
      <c r="P222" s="960"/>
      <c r="Q222" s="963"/>
      <c r="R222" s="964">
        <f>SUM(R218:R221)</f>
        <v>53.96</v>
      </c>
      <c r="S222" s="965"/>
      <c r="T222" s="964">
        <f>SUM(T218:T221)</f>
        <v>3.6000000000000005</v>
      </c>
      <c r="AG222" s="966">
        <f>ROUND($R222*$S$2,2)</f>
        <v>53.96</v>
      </c>
    </row>
    <row r="223" spans="1:41" s="489" customFormat="1" ht="12" customHeight="1">
      <c r="A223" s="967"/>
      <c r="B223" s="968"/>
      <c r="C223" s="969"/>
      <c r="D223" s="969" t="str">
        <f>$F$3</f>
        <v>Controls</v>
      </c>
      <c r="E223" s="969">
        <f>ROUND(($R228*$S$3 + ($T228*$T$3)), 2)</f>
        <v>0</v>
      </c>
      <c r="F223" s="970">
        <f ca="1">$F215-SUMIF($L217:$P220,"SUBI",$F217:$F220)</f>
        <v>2.0000000000010232E-2</v>
      </c>
      <c r="G223" s="487"/>
      <c r="H223" s="487"/>
      <c r="I223" s="487"/>
      <c r="J223" s="487"/>
      <c r="K223" s="952" t="s">
        <v>5</v>
      </c>
      <c r="L223" s="953" t="s">
        <v>560</v>
      </c>
      <c r="M223" s="487"/>
      <c r="N223" s="487"/>
      <c r="O223" s="487"/>
      <c r="P223" s="487"/>
      <c r="Q223" s="487"/>
      <c r="R223" s="971"/>
      <c r="S223" s="487"/>
      <c r="T223" s="971"/>
    </row>
    <row r="224" spans="1:41" s="984" customFormat="1" ht="14.4" customHeight="1">
      <c r="A224" s="972"/>
      <c r="B224" s="954" t="s">
        <v>561</v>
      </c>
      <c r="C224" s="973"/>
      <c r="D224" s="974"/>
      <c r="E224" s="974"/>
      <c r="F224" s="974"/>
      <c r="G224" s="975"/>
      <c r="H224" s="976"/>
      <c r="I224" s="976"/>
      <c r="J224" s="977"/>
      <c r="K224" s="978"/>
      <c r="L224" s="973"/>
      <c r="M224" s="979"/>
      <c r="N224" s="980"/>
      <c r="O224" s="981"/>
      <c r="P224" s="982"/>
      <c r="Q224" s="983"/>
      <c r="R224" s="957">
        <f>$A224*Q224</f>
        <v>0</v>
      </c>
      <c r="S224" s="550"/>
      <c r="T224" s="488">
        <f>$A224*S224*$T$1</f>
        <v>0</v>
      </c>
    </row>
    <row r="225" spans="1:41" s="915" customFormat="1" ht="13.2">
      <c r="A225">
        <v>4</v>
      </c>
      <c r="B225" s="915" t="s">
        <v>140</v>
      </c>
      <c r="D225" s="915" t="s">
        <v>609</v>
      </c>
      <c r="G225" s="916" t="s">
        <v>557</v>
      </c>
      <c r="H225" s="917">
        <v>512</v>
      </c>
      <c r="I225" s="915" t="s">
        <v>558</v>
      </c>
      <c r="O225" s="918">
        <v>3</v>
      </c>
      <c r="P225" s="919"/>
      <c r="Q225" s="920">
        <v>0</v>
      </c>
      <c r="R225" s="921">
        <f>$A225*Q225</f>
        <v>0</v>
      </c>
      <c r="S225" s="920"/>
      <c r="T225" s="922">
        <f>$A225*S225*$T$1</f>
        <v>0</v>
      </c>
    </row>
    <row r="226" spans="1:41" s="489" customFormat="1" ht="12">
      <c r="A226" s="698"/>
      <c r="B226" s="550"/>
      <c r="C226" s="550"/>
      <c r="D226" s="1004" t="s">
        <v>608</v>
      </c>
      <c r="E226" s="1005"/>
      <c r="F226" s="550"/>
      <c r="G226" s="550"/>
      <c r="H226" s="550"/>
      <c r="I226" s="550"/>
      <c r="J226" s="550"/>
      <c r="K226" s="550"/>
      <c r="L226" s="956"/>
      <c r="M226" s="550"/>
      <c r="N226" s="550"/>
      <c r="O226" s="550"/>
      <c r="P226" s="550"/>
      <c r="Q226" s="550"/>
      <c r="R226" s="957">
        <f>$A226*Q226</f>
        <v>0</v>
      </c>
      <c r="S226" s="550"/>
      <c r="T226" s="488">
        <f>$A226*S226*$T$1</f>
        <v>0</v>
      </c>
    </row>
    <row r="227" spans="1:41" s="489" customFormat="1" ht="13.2">
      <c r="A227" s="698"/>
      <c r="B227" s="550"/>
      <c r="C227" s="550"/>
      <c r="D227" s="3"/>
      <c r="E227" s="550"/>
      <c r="F227" s="550"/>
      <c r="G227" s="550"/>
      <c r="H227" s="550"/>
      <c r="I227" s="550"/>
      <c r="J227" s="550"/>
      <c r="K227" s="550"/>
      <c r="L227" s="956"/>
      <c r="M227" s="550"/>
      <c r="N227" s="550"/>
      <c r="O227" s="550"/>
      <c r="P227" s="550"/>
      <c r="Q227" s="550"/>
      <c r="R227" s="957">
        <f>$A227*Q227</f>
        <v>0</v>
      </c>
      <c r="S227" s="550"/>
      <c r="T227" s="488">
        <f>$A227*S227*$T$1</f>
        <v>0</v>
      </c>
    </row>
    <row r="228" spans="1:41" s="489" customFormat="1" ht="12" customHeight="1">
      <c r="A228" s="985" t="s">
        <v>144</v>
      </c>
      <c r="B228" s="986">
        <f>(R227+T227)</f>
        <v>0</v>
      </c>
      <c r="C228" s="987"/>
      <c r="D228" s="987"/>
      <c r="E228" s="987"/>
      <c r="F228" s="987"/>
      <c r="G228" s="963"/>
      <c r="H228" s="963"/>
      <c r="I228" s="963"/>
      <c r="J228" s="963"/>
      <c r="K228" s="988" t="s">
        <v>5</v>
      </c>
      <c r="L228" s="989" t="s">
        <v>560</v>
      </c>
      <c r="M228" s="963"/>
      <c r="N228" s="963"/>
      <c r="O228" s="963"/>
      <c r="P228" s="963"/>
      <c r="Q228" s="963"/>
      <c r="R228" s="964">
        <f>SUM(R223:R227)</f>
        <v>0</v>
      </c>
      <c r="S228" s="965"/>
      <c r="T228" s="964">
        <f>SUM(T223:T227)</f>
        <v>0</v>
      </c>
      <c r="AG228" s="990">
        <f>ROUND($R228*$S$3,2)</f>
        <v>0</v>
      </c>
    </row>
    <row r="229" spans="1:41" s="489" customFormat="1" ht="12.75" customHeight="1">
      <c r="A229" s="991"/>
      <c r="B229" s="992"/>
      <c r="E229" s="485"/>
      <c r="F229" s="993"/>
      <c r="G229" s="485"/>
      <c r="H229" s="485"/>
      <c r="I229" s="487"/>
      <c r="J229" s="485"/>
      <c r="K229" s="485"/>
      <c r="L229" s="994"/>
      <c r="M229" s="701"/>
      <c r="N229" s="701"/>
      <c r="O229" s="701"/>
      <c r="P229" s="701"/>
      <c r="Q229" s="685"/>
      <c r="R229" s="971"/>
      <c r="S229" s="485"/>
      <c r="T229" s="971"/>
    </row>
    <row r="230" spans="1:41" s="489" customFormat="1" ht="13.5" customHeight="1" thickBot="1">
      <c r="A230" s="995"/>
      <c r="B230" s="996"/>
      <c r="C230" s="505"/>
      <c r="D230" s="505"/>
      <c r="E230" s="502"/>
      <c r="F230" s="674"/>
      <c r="G230" s="502" t="s">
        <v>145</v>
      </c>
      <c r="H230" s="502"/>
      <c r="I230" s="503"/>
      <c r="J230" s="502"/>
      <c r="K230" s="502"/>
      <c r="L230" s="997" t="s">
        <v>142</v>
      </c>
      <c r="M230" s="504"/>
      <c r="N230" s="504"/>
      <c r="O230" s="504"/>
      <c r="P230" s="504"/>
      <c r="Q230" s="675"/>
      <c r="R230" s="998">
        <f>SUMIF($L216:$L229,"SUBI",R216:R229)</f>
        <v>53.96</v>
      </c>
      <c r="S230" s="502"/>
      <c r="T230" s="998">
        <f>SUMIF($L216:$L229,"SUBI",T216:T229)</f>
        <v>3.6000000000000005</v>
      </c>
      <c r="U230" s="505"/>
      <c r="V230" s="505"/>
      <c r="W230" s="505"/>
      <c r="X230" s="505"/>
      <c r="Y230" s="505"/>
      <c r="Z230" s="505"/>
      <c r="AA230" s="505"/>
      <c r="AB230" s="505"/>
      <c r="AC230" s="505"/>
      <c r="AD230" s="505"/>
      <c r="AE230" s="505"/>
      <c r="AF230" s="505"/>
      <c r="AG230" s="505"/>
      <c r="AH230" s="505"/>
      <c r="AI230" s="505"/>
      <c r="AJ230" s="505"/>
      <c r="AK230" s="505"/>
      <c r="AL230" s="505"/>
      <c r="AM230" s="505"/>
      <c r="AN230" s="505"/>
      <c r="AO230" s="505"/>
    </row>
    <row r="231" spans="1:41" s="489" customFormat="1" thickTop="1">
      <c r="A231" s="40"/>
      <c r="B231" s="36"/>
      <c r="C231" s="40"/>
      <c r="E231" s="37" t="s">
        <v>137</v>
      </c>
      <c r="F231" s="37" t="s">
        <v>138</v>
      </c>
      <c r="G231" s="40"/>
      <c r="H231" s="40"/>
      <c r="I231" s="40"/>
      <c r="J231" s="40"/>
      <c r="K231" s="40" t="s">
        <v>139</v>
      </c>
      <c r="L231" s="925"/>
      <c r="M231" s="40"/>
      <c r="N231" s="40"/>
      <c r="O231" s="41"/>
      <c r="P231" s="40"/>
      <c r="Q231"/>
      <c r="R231"/>
      <c r="S231"/>
      <c r="T231" s="36"/>
      <c r="AG231" s="662" t="s">
        <v>238</v>
      </c>
      <c r="AH231" s="662" t="s">
        <v>239</v>
      </c>
      <c r="AI231" s="662" t="s">
        <v>240</v>
      </c>
      <c r="AJ231" s="662" t="s">
        <v>241</v>
      </c>
      <c r="AK231" s="662" t="s">
        <v>242</v>
      </c>
      <c r="AM231" s="663" t="s">
        <v>251</v>
      </c>
      <c r="AN231" s="664" t="s">
        <v>252</v>
      </c>
      <c r="AO231" s="490" t="s">
        <v>248</v>
      </c>
    </row>
    <row r="232" spans="1:41" s="489" customFormat="1" ht="13.2">
      <c r="A232" s="1001">
        <v>4</v>
      </c>
      <c r="B232" s="491" t="s">
        <v>140</v>
      </c>
      <c r="C232" s="492"/>
      <c r="D232" s="666" t="s">
        <v>509</v>
      </c>
      <c r="E232" s="926">
        <f>IF(AND($A232=0,$A$1="DIF"),0, ROUND(ROUND(SUMIF($L234:$L240,"SUBI",$E234:$E240)/$A232,2)*$C$12,2))</f>
        <v>38.21</v>
      </c>
      <c r="F232" s="927">
        <f>ROUND($A232*$E232,2)</f>
        <v>152.84</v>
      </c>
      <c r="G232" s="493" t="s">
        <v>141</v>
      </c>
      <c r="H232" s="486"/>
      <c r="I232" s="669"/>
      <c r="J232" s="486"/>
      <c r="K232" s="928"/>
      <c r="L232" s="929" t="s">
        <v>142</v>
      </c>
      <c r="M232" s="670"/>
      <c r="N232" s="670"/>
      <c r="O232" s="670"/>
      <c r="P232" s="670"/>
      <c r="Q232"/>
      <c r="R232"/>
      <c r="S232"/>
      <c r="T232" s="930" t="str">
        <f>IF(AND($R247=0,$T247=0),"0.00","mu :" &amp; ROUND($F232/$C$12/($R247+$T247*$D$9),2))</f>
        <v>mu :1</v>
      </c>
      <c r="W232" s="494"/>
      <c r="AG232" s="931">
        <f>IF(A232=0,0,ROUND(SUM(AG234:AG247)/A232,2))</f>
        <v>13.49</v>
      </c>
      <c r="AH232" s="931">
        <f>$AG232*$A232</f>
        <v>53.96</v>
      </c>
      <c r="AI232" s="931">
        <f>$E232-$AG232</f>
        <v>24.72</v>
      </c>
      <c r="AJ232" s="931">
        <f>$A232*$AI232</f>
        <v>98.88</v>
      </c>
      <c r="AK232" s="932">
        <f>ROUND(($AG232+$AI232)*$A232,2)</f>
        <v>152.84</v>
      </c>
      <c r="AM232" s="497">
        <f>ROUND(R247,2)</f>
        <v>53.96</v>
      </c>
      <c r="AN232" s="498">
        <f>ROUND(T247,2)</f>
        <v>3.6</v>
      </c>
      <c r="AO232" s="499">
        <f>ROUND(AM232+AN232,2)*A232</f>
        <v>230.24</v>
      </c>
    </row>
    <row r="233" spans="1:41" s="489" customFormat="1" ht="19.95" customHeight="1">
      <c r="A233" s="933"/>
      <c r="B233" s="934"/>
      <c r="C233" s="492"/>
      <c r="D233" s="666" t="s">
        <v>285</v>
      </c>
      <c r="F233" s="486"/>
      <c r="G233" s="486"/>
      <c r="H233" s="486"/>
      <c r="I233" s="669"/>
      <c r="J233" s="486"/>
      <c r="K233" s="486" t="s">
        <v>143</v>
      </c>
      <c r="L233" s="935"/>
      <c r="M233" s="486"/>
      <c r="N233" s="486"/>
      <c r="O233" s="486"/>
      <c r="P233" s="486"/>
      <c r="Q233" s="40"/>
      <c r="R233" s="550"/>
      <c r="S233" s="672"/>
      <c r="T233" s="486"/>
    </row>
    <row r="234" spans="1:41" s="489" customFormat="1" ht="12">
      <c r="A234" s="936"/>
      <c r="B234" s="937"/>
      <c r="C234" s="485"/>
      <c r="D234" s="486"/>
      <c r="E234" s="938">
        <f>F232/$C$12-SUMIF($L231:$L247,"SUBI",$E231:$E247)</f>
        <v>2.0000000000010232E-2</v>
      </c>
      <c r="F234" s="939" t="s">
        <v>559</v>
      </c>
      <c r="G234" s="940"/>
      <c r="H234" s="940"/>
      <c r="I234" s="941"/>
      <c r="J234" s="940"/>
      <c r="K234" s="940"/>
      <c r="L234" s="942"/>
      <c r="M234" s="943"/>
      <c r="N234" s="943"/>
      <c r="O234" s="943"/>
      <c r="P234" s="943"/>
      <c r="Q234" s="944"/>
      <c r="R234" s="945"/>
      <c r="S234" s="944"/>
      <c r="T234" s="946"/>
    </row>
    <row r="235" spans="1:41" s="489" customFormat="1" ht="12" customHeight="1">
      <c r="A235" s="947"/>
      <c r="B235" s="948"/>
      <c r="C235" s="949"/>
      <c r="D235" s="949" t="str">
        <f>$F$2</f>
        <v>Electrical</v>
      </c>
      <c r="E235" s="949">
        <f>ROUND(($R239*$S$2 + ($T239*$T$2)), 2)</f>
        <v>152.82</v>
      </c>
      <c r="F235" s="950">
        <f>$E235*$C$12</f>
        <v>152.82</v>
      </c>
      <c r="G235" s="550"/>
      <c r="H235" s="951"/>
      <c r="I235" s="550"/>
      <c r="J235" s="41"/>
      <c r="K235" s="952" t="s">
        <v>3</v>
      </c>
      <c r="L235" s="953" t="s">
        <v>560</v>
      </c>
      <c r="M235" s="550"/>
      <c r="N235" s="550"/>
      <c r="O235" s="41"/>
      <c r="P235" s="550"/>
      <c r="Q235" s="550"/>
      <c r="R235"/>
      <c r="S235"/>
      <c r="T235"/>
    </row>
    <row r="236" spans="1:41" s="915" customFormat="1" ht="13.2">
      <c r="A236" s="82">
        <v>12</v>
      </c>
      <c r="B236" s="915" t="s">
        <v>277</v>
      </c>
      <c r="D236" s="915" t="s">
        <v>598</v>
      </c>
      <c r="G236" s="916" t="s">
        <v>599</v>
      </c>
      <c r="H236" s="917">
        <v>690</v>
      </c>
      <c r="I236" s="915" t="s">
        <v>587</v>
      </c>
      <c r="J236" s="915" t="s">
        <v>600</v>
      </c>
      <c r="O236" s="918">
        <v>1</v>
      </c>
      <c r="P236" s="919">
        <v>34669</v>
      </c>
      <c r="Q236" s="920">
        <v>3.03</v>
      </c>
      <c r="R236" s="921">
        <f>$A236*Q236</f>
        <v>36.36</v>
      </c>
      <c r="S236" s="920">
        <v>0.2</v>
      </c>
      <c r="T236" s="922">
        <f>$A236*S236*$T$1</f>
        <v>2.4000000000000004</v>
      </c>
    </row>
    <row r="237" spans="1:41" s="915" customFormat="1" ht="13.2">
      <c r="A237">
        <v>40</v>
      </c>
      <c r="B237" s="915" t="s">
        <v>277</v>
      </c>
      <c r="D237" s="915" t="s">
        <v>588</v>
      </c>
      <c r="G237" s="916" t="s">
        <v>589</v>
      </c>
      <c r="H237" s="917">
        <v>617</v>
      </c>
      <c r="I237" s="915" t="s">
        <v>590</v>
      </c>
      <c r="J237" s="915" t="s">
        <v>591</v>
      </c>
      <c r="O237" s="918">
        <v>2</v>
      </c>
      <c r="P237" s="919">
        <v>38433</v>
      </c>
      <c r="Q237" s="920">
        <v>0.44</v>
      </c>
      <c r="R237" s="921">
        <f>$A237*Q237</f>
        <v>17.600000000000001</v>
      </c>
      <c r="S237" s="920">
        <v>0.03</v>
      </c>
      <c r="T237" s="922">
        <f>$A237*S237*$T$1</f>
        <v>1.2</v>
      </c>
    </row>
    <row r="238" spans="1:41" s="489" customFormat="1" ht="13.95" customHeight="1">
      <c r="A238" s="698"/>
      <c r="B238" s="550"/>
      <c r="C238" s="550"/>
      <c r="D238" s="550"/>
      <c r="E238" s="550"/>
      <c r="F238" s="550"/>
      <c r="G238" s="550"/>
      <c r="H238" s="951"/>
      <c r="I238" s="550"/>
      <c r="J238" s="41"/>
      <c r="K238" s="955"/>
      <c r="L238" s="956"/>
      <c r="M238" s="550"/>
      <c r="N238" s="550"/>
      <c r="O238" s="41"/>
      <c r="P238" s="550"/>
      <c r="Q238" s="550"/>
      <c r="R238" s="957">
        <f>$A238*Q238</f>
        <v>0</v>
      </c>
      <c r="S238" s="550"/>
      <c r="T238" s="488">
        <f>$A238*S238*$T$1</f>
        <v>0</v>
      </c>
    </row>
    <row r="239" spans="1:41" s="489" customFormat="1" ht="12">
      <c r="A239" s="958" t="s">
        <v>144</v>
      </c>
      <c r="B239" s="959">
        <f>(R238+T238)</f>
        <v>0</v>
      </c>
      <c r="C239" s="485"/>
      <c r="G239" s="960"/>
      <c r="H239" s="960"/>
      <c r="I239" s="960"/>
      <c r="J239" s="960"/>
      <c r="K239" s="961" t="s">
        <v>3</v>
      </c>
      <c r="L239" s="962" t="s">
        <v>560</v>
      </c>
      <c r="M239" s="960"/>
      <c r="N239" s="960"/>
      <c r="O239" s="960"/>
      <c r="P239" s="960"/>
      <c r="Q239" s="963"/>
      <c r="R239" s="964">
        <f>SUM(R235:R238)</f>
        <v>53.96</v>
      </c>
      <c r="S239" s="965"/>
      <c r="T239" s="964">
        <f>SUM(T235:T238)</f>
        <v>3.6000000000000005</v>
      </c>
      <c r="AG239" s="966">
        <f>ROUND($R239*$S$2,2)</f>
        <v>53.96</v>
      </c>
    </row>
    <row r="240" spans="1:41" s="489" customFormat="1" ht="12" customHeight="1">
      <c r="A240" s="967"/>
      <c r="B240" s="968"/>
      <c r="C240" s="969"/>
      <c r="D240" s="969" t="str">
        <f>$F$3</f>
        <v>Controls</v>
      </c>
      <c r="E240" s="969">
        <f>ROUND(($R245*$S$3 + ($T245*$T$3)), 2)</f>
        <v>0</v>
      </c>
      <c r="F240" s="970">
        <f ca="1">$F232-SUMIF($L234:$P237,"SUBI",$F234:$F237)</f>
        <v>2.0000000000010232E-2</v>
      </c>
      <c r="G240" s="487"/>
      <c r="H240" s="487"/>
      <c r="I240" s="487"/>
      <c r="J240" s="487"/>
      <c r="K240" s="952" t="s">
        <v>5</v>
      </c>
      <c r="L240" s="953" t="s">
        <v>560</v>
      </c>
      <c r="M240" s="487"/>
      <c r="N240" s="487"/>
      <c r="O240" s="487"/>
      <c r="P240" s="487"/>
      <c r="Q240" s="487"/>
      <c r="R240" s="971"/>
      <c r="S240" s="487"/>
      <c r="T240" s="971"/>
    </row>
    <row r="241" spans="1:41" s="984" customFormat="1" ht="14.4" customHeight="1">
      <c r="A241" s="972"/>
      <c r="B241" s="954" t="s">
        <v>561</v>
      </c>
      <c r="C241" s="973"/>
      <c r="D241" s="974"/>
      <c r="E241" s="974"/>
      <c r="F241" s="974"/>
      <c r="G241" s="975"/>
      <c r="H241" s="976"/>
      <c r="I241" s="976"/>
      <c r="J241" s="977"/>
      <c r="K241" s="978"/>
      <c r="L241" s="973"/>
      <c r="M241" s="979"/>
      <c r="N241" s="980"/>
      <c r="O241" s="981"/>
      <c r="P241" s="982"/>
      <c r="Q241" s="983"/>
      <c r="R241" s="957">
        <f>$A241*Q241</f>
        <v>0</v>
      </c>
      <c r="S241" s="550"/>
      <c r="T241" s="488">
        <f>$A241*S241*$T$1</f>
        <v>0</v>
      </c>
    </row>
    <row r="242" spans="1:41" s="915" customFormat="1" ht="13.2">
      <c r="A242">
        <v>4</v>
      </c>
      <c r="B242" s="915" t="s">
        <v>140</v>
      </c>
      <c r="D242" s="915" t="s">
        <v>609</v>
      </c>
      <c r="G242" s="916" t="s">
        <v>557</v>
      </c>
      <c r="H242" s="917">
        <v>512</v>
      </c>
      <c r="I242" s="915" t="s">
        <v>558</v>
      </c>
      <c r="O242" s="918">
        <v>3</v>
      </c>
      <c r="P242" s="919"/>
      <c r="Q242" s="920">
        <v>0</v>
      </c>
      <c r="R242" s="921">
        <f>$A242*Q242</f>
        <v>0</v>
      </c>
      <c r="S242" s="920"/>
      <c r="T242" s="922">
        <f>$A242*S242*$T$1</f>
        <v>0</v>
      </c>
    </row>
    <row r="243" spans="1:41" s="489" customFormat="1" ht="12">
      <c r="A243" s="698"/>
      <c r="B243" s="550"/>
      <c r="C243" s="550"/>
      <c r="D243" s="1004" t="s">
        <v>608</v>
      </c>
      <c r="E243" s="1005"/>
      <c r="F243" s="550"/>
      <c r="G243" s="550"/>
      <c r="H243" s="550"/>
      <c r="I243" s="550"/>
      <c r="J243" s="550"/>
      <c r="K243" s="550"/>
      <c r="L243" s="956"/>
      <c r="M243" s="550"/>
      <c r="N243" s="550"/>
      <c r="O243" s="550"/>
      <c r="P243" s="550"/>
      <c r="Q243" s="550"/>
      <c r="R243" s="957">
        <f>$A243*Q243</f>
        <v>0</v>
      </c>
      <c r="S243" s="550"/>
      <c r="T243" s="488">
        <f>$A243*S243*$T$1</f>
        <v>0</v>
      </c>
    </row>
    <row r="244" spans="1:41" s="489" customFormat="1" ht="13.2">
      <c r="A244" s="698"/>
      <c r="B244" s="550"/>
      <c r="C244" s="550"/>
      <c r="D244" s="3"/>
      <c r="E244" s="550"/>
      <c r="F244" s="550"/>
      <c r="G244" s="550"/>
      <c r="H244" s="550"/>
      <c r="I244" s="550"/>
      <c r="J244" s="550"/>
      <c r="K244" s="550"/>
      <c r="L244" s="956"/>
      <c r="M244" s="550"/>
      <c r="N244" s="550"/>
      <c r="O244" s="550"/>
      <c r="P244" s="550"/>
      <c r="Q244" s="550"/>
      <c r="R244" s="957">
        <f>$A244*Q244</f>
        <v>0</v>
      </c>
      <c r="S244" s="550"/>
      <c r="T244" s="488">
        <f>$A244*S244*$T$1</f>
        <v>0</v>
      </c>
    </row>
    <row r="245" spans="1:41" s="489" customFormat="1" ht="12" customHeight="1">
      <c r="A245" s="985" t="s">
        <v>144</v>
      </c>
      <c r="B245" s="986">
        <f>(R244+T244)</f>
        <v>0</v>
      </c>
      <c r="C245" s="987"/>
      <c r="D245" s="987"/>
      <c r="E245" s="987"/>
      <c r="F245" s="987"/>
      <c r="G245" s="963"/>
      <c r="H245" s="963"/>
      <c r="I245" s="963"/>
      <c r="J245" s="963"/>
      <c r="K245" s="988" t="s">
        <v>5</v>
      </c>
      <c r="L245" s="989" t="s">
        <v>560</v>
      </c>
      <c r="M245" s="963"/>
      <c r="N245" s="963"/>
      <c r="O245" s="963"/>
      <c r="P245" s="963"/>
      <c r="Q245" s="963"/>
      <c r="R245" s="964">
        <f>SUM(R240:R244)</f>
        <v>0</v>
      </c>
      <c r="S245" s="965"/>
      <c r="T245" s="964">
        <f>SUM(T240:T244)</f>
        <v>0</v>
      </c>
      <c r="AG245" s="990">
        <f>ROUND($R245*$S$3,2)</f>
        <v>0</v>
      </c>
    </row>
    <row r="246" spans="1:41" s="489" customFormat="1" ht="12.75" customHeight="1">
      <c r="A246" s="991"/>
      <c r="B246" s="992"/>
      <c r="E246" s="485"/>
      <c r="F246" s="993"/>
      <c r="G246" s="485"/>
      <c r="H246" s="485"/>
      <c r="I246" s="487"/>
      <c r="J246" s="485"/>
      <c r="K246" s="485"/>
      <c r="L246" s="994"/>
      <c r="M246" s="701"/>
      <c r="N246" s="701"/>
      <c r="O246" s="701"/>
      <c r="P246" s="701"/>
      <c r="Q246" s="685"/>
      <c r="R246" s="971"/>
      <c r="S246" s="485"/>
      <c r="T246" s="971"/>
    </row>
    <row r="247" spans="1:41" s="489" customFormat="1" ht="13.2" customHeight="1" thickBot="1">
      <c r="A247" s="995"/>
      <c r="B247" s="996"/>
      <c r="C247" s="505"/>
      <c r="D247" s="505"/>
      <c r="E247" s="502"/>
      <c r="F247" s="674"/>
      <c r="G247" s="502" t="s">
        <v>145</v>
      </c>
      <c r="H247" s="502"/>
      <c r="I247" s="503"/>
      <c r="J247" s="502"/>
      <c r="K247" s="502"/>
      <c r="L247" s="997" t="s">
        <v>142</v>
      </c>
      <c r="M247" s="504"/>
      <c r="N247" s="504"/>
      <c r="O247" s="504"/>
      <c r="P247" s="504"/>
      <c r="Q247" s="675"/>
      <c r="R247" s="998">
        <f>SUMIF($L233:$L246,"SUBI",R233:R246)</f>
        <v>53.96</v>
      </c>
      <c r="S247" s="502"/>
      <c r="T247" s="998">
        <f>SUMIF($L233:$L246,"SUBI",T233:T246)</f>
        <v>3.6000000000000005</v>
      </c>
      <c r="U247" s="505"/>
      <c r="V247" s="505"/>
      <c r="W247" s="505"/>
      <c r="X247" s="505"/>
      <c r="Y247" s="505"/>
      <c r="Z247" s="505"/>
      <c r="AA247" s="505"/>
      <c r="AB247" s="505"/>
      <c r="AC247" s="505"/>
      <c r="AD247" s="505"/>
      <c r="AE247" s="505"/>
      <c r="AF247" s="505"/>
      <c r="AG247" s="505"/>
      <c r="AH247" s="505"/>
      <c r="AI247" s="505"/>
      <c r="AJ247" s="505"/>
      <c r="AK247" s="505"/>
      <c r="AL247" s="505"/>
      <c r="AM247" s="505"/>
      <c r="AN247" s="505"/>
      <c r="AO247" s="505"/>
    </row>
    <row r="248" spans="1:41" s="489" customFormat="1" thickTop="1">
      <c r="A248" s="40"/>
      <c r="B248" s="40"/>
      <c r="C248" s="3"/>
      <c r="D248" s="3"/>
      <c r="E248" s="40"/>
      <c r="F248" s="40"/>
      <c r="G248" s="40"/>
      <c r="H248" s="40"/>
      <c r="I248" s="40"/>
      <c r="J248" s="40"/>
      <c r="K248" s="40" t="s">
        <v>134</v>
      </c>
      <c r="L248" s="40"/>
      <c r="M248" s="40"/>
      <c r="N248" s="40"/>
      <c r="O248" s="41"/>
      <c r="P248" s="40"/>
      <c r="Q248" s="40"/>
      <c r="R248" s="40"/>
      <c r="S248" s="40"/>
      <c r="T248" s="40"/>
    </row>
    <row r="249" spans="1:41" s="489" customFormat="1" ht="12">
      <c r="A249" s="40"/>
      <c r="B249" s="40"/>
      <c r="C249" s="40" t="s">
        <v>135</v>
      </c>
      <c r="D249" s="34"/>
      <c r="E249" s="40"/>
      <c r="F249" s="40"/>
      <c r="G249" s="40"/>
      <c r="H249" s="40"/>
      <c r="I249" s="40"/>
      <c r="J249" s="40"/>
      <c r="K249" s="40"/>
      <c r="L249" s="40"/>
      <c r="M249" s="40"/>
      <c r="N249" s="40"/>
      <c r="O249" s="41"/>
      <c r="P249" s="40"/>
      <c r="Q249" s="40"/>
      <c r="R249" s="40"/>
      <c r="S249" s="40"/>
      <c r="T249" s="40"/>
    </row>
    <row r="250" spans="1:41" s="489" customFormat="1" ht="12">
      <c r="A250" s="40"/>
      <c r="B250" s="40"/>
      <c r="C250" s="40"/>
      <c r="D250" s="34" t="s">
        <v>395</v>
      </c>
      <c r="E250" s="40"/>
      <c r="F250" s="40"/>
      <c r="G250" s="40"/>
      <c r="H250" s="40"/>
      <c r="I250" s="40"/>
      <c r="J250" s="40"/>
      <c r="K250" s="40"/>
      <c r="L250" s="40"/>
      <c r="M250" s="40"/>
      <c r="N250" s="40"/>
      <c r="O250" s="41"/>
      <c r="P250" s="40"/>
      <c r="Q250" s="40"/>
      <c r="R250" s="40"/>
      <c r="S250" s="654"/>
      <c r="T250" s="654"/>
    </row>
    <row r="251" spans="1:41" s="3" customFormat="1" thickBot="1">
      <c r="A251" s="505"/>
      <c r="O251" s="81"/>
    </row>
    <row r="252" spans="1:41" s="489" customFormat="1" thickTop="1">
      <c r="A252" s="40"/>
      <c r="B252" s="40"/>
      <c r="C252" s="3"/>
      <c r="D252" s="3"/>
      <c r="E252" s="40"/>
      <c r="F252" s="40"/>
      <c r="G252" s="40"/>
      <c r="H252" s="40"/>
      <c r="I252" s="40"/>
      <c r="J252" s="40"/>
      <c r="K252" s="40" t="s">
        <v>134</v>
      </c>
      <c r="L252" s="40"/>
      <c r="M252" s="40"/>
      <c r="N252" s="40"/>
      <c r="O252" s="41"/>
      <c r="P252" s="40"/>
      <c r="Q252" s="40"/>
      <c r="R252" s="40"/>
      <c r="S252" s="40"/>
      <c r="T252" s="40"/>
    </row>
    <row r="253" spans="1:41" s="489" customFormat="1" ht="12">
      <c r="A253" s="40"/>
      <c r="B253" s="40"/>
      <c r="C253" s="40" t="s">
        <v>135</v>
      </c>
      <c r="D253" s="34" t="s">
        <v>510</v>
      </c>
      <c r="E253" s="40"/>
      <c r="F253" s="40"/>
      <c r="G253" s="40"/>
      <c r="H253" s="40"/>
      <c r="I253" s="40"/>
      <c r="J253" s="40"/>
      <c r="K253" s="40"/>
      <c r="L253" s="40"/>
      <c r="M253" s="40"/>
      <c r="N253" s="40"/>
      <c r="O253" s="41"/>
      <c r="P253" s="40"/>
      <c r="Q253" s="40"/>
      <c r="R253" s="40"/>
      <c r="S253" s="40"/>
      <c r="T253" s="40"/>
    </row>
    <row r="254" spans="1:41" s="489" customFormat="1" ht="36">
      <c r="A254" s="492"/>
      <c r="B254"/>
      <c r="C254" s="492"/>
      <c r="D254" s="756" t="s">
        <v>396</v>
      </c>
      <c r="E254" s="757"/>
      <c r="F254" s="757"/>
      <c r="G254" s="757"/>
      <c r="H254" s="757"/>
      <c r="I254" s="757"/>
      <c r="J254" s="757"/>
      <c r="K254" s="757"/>
      <c r="L254" s="757"/>
      <c r="M254" s="757"/>
      <c r="N254" s="757"/>
      <c r="O254" s="757"/>
      <c r="P254" s="757"/>
      <c r="Q254" s="757"/>
      <c r="R254" s="758"/>
      <c r="S254" s="757"/>
      <c r="T254" s="757"/>
    </row>
    <row r="255" spans="1:41" s="3" customFormat="1" thickBot="1">
      <c r="A255" s="505"/>
      <c r="O255" s="81"/>
    </row>
    <row r="256" spans="1:41" s="489" customFormat="1" ht="12" thickTop="1">
      <c r="A256" s="40"/>
      <c r="B256" s="36"/>
      <c r="C256" s="40"/>
      <c r="E256" s="37" t="s">
        <v>137</v>
      </c>
      <c r="F256" s="37" t="s">
        <v>138</v>
      </c>
      <c r="G256" s="40"/>
      <c r="H256" s="40"/>
      <c r="I256" s="40"/>
      <c r="J256" s="40"/>
      <c r="K256" s="40" t="s">
        <v>139</v>
      </c>
      <c r="L256" s="40"/>
      <c r="M256" s="40"/>
      <c r="N256" s="40"/>
      <c r="O256" s="41"/>
      <c r="P256" s="40"/>
      <c r="Q256" s="40"/>
      <c r="R256" s="40"/>
      <c r="S256" s="40"/>
      <c r="T256" s="36"/>
      <c r="AG256" s="662" t="s">
        <v>238</v>
      </c>
      <c r="AH256" s="662" t="s">
        <v>239</v>
      </c>
      <c r="AI256" s="662" t="s">
        <v>240</v>
      </c>
      <c r="AJ256" s="662" t="s">
        <v>241</v>
      </c>
      <c r="AK256" s="662" t="s">
        <v>242</v>
      </c>
      <c r="AM256" s="663" t="s">
        <v>251</v>
      </c>
      <c r="AN256" s="664" t="s">
        <v>252</v>
      </c>
      <c r="AO256" s="490" t="s">
        <v>248</v>
      </c>
    </row>
    <row r="257" spans="1:41" s="489" customFormat="1" ht="12" customHeight="1">
      <c r="A257" s="1001">
        <v>20</v>
      </c>
      <c r="B257" s="491" t="s">
        <v>398</v>
      </c>
      <c r="C257" s="492"/>
      <c r="D257" s="666" t="s">
        <v>511</v>
      </c>
      <c r="E257" s="667">
        <f>IF(AND($A257=0,$A$1="DIF"),0, ROUND(ROUND(($R262*$S$2+($T262*$T$2))/A257,2)*$C$2,2))</f>
        <v>13.18</v>
      </c>
      <c r="F257" s="668">
        <f>ROUND($A257*$E257,2)</f>
        <v>263.60000000000002</v>
      </c>
      <c r="G257" s="493" t="s">
        <v>141</v>
      </c>
      <c r="H257" s="486"/>
      <c r="I257" s="669"/>
      <c r="J257" s="486"/>
      <c r="K257" s="486" t="s">
        <v>3</v>
      </c>
      <c r="L257" s="670" t="s">
        <v>142</v>
      </c>
      <c r="M257" s="670"/>
      <c r="N257" s="670"/>
      <c r="O257" s="670"/>
      <c r="P257" s="670"/>
      <c r="Q257" s="40"/>
      <c r="T257" s="671" t="str">
        <f>IF(AND($R262=0,$T262=0),"0.00","mu :" &amp; ROUND($F257/$C$2/($R262+$T262*$D$9),2))</f>
        <v>mu :1</v>
      </c>
      <c r="W257" s="494"/>
      <c r="AG257" s="447">
        <f>IF($E257=0,0,ROUND($R262*$S$2*$C$2/$A257,2))</f>
        <v>2.2000000000000002</v>
      </c>
      <c r="AH257" s="447">
        <f>$AG257*$A257</f>
        <v>44</v>
      </c>
      <c r="AI257" s="495">
        <f>$E257-$AG257</f>
        <v>10.98</v>
      </c>
      <c r="AJ257" s="495">
        <f>$A257*$AI257</f>
        <v>219.60000000000002</v>
      </c>
      <c r="AK257" s="496">
        <f>ROUND(($AG257+$AI257)*$A257,2)</f>
        <v>263.60000000000002</v>
      </c>
      <c r="AM257" s="497">
        <f>ROUND(R262,2)</f>
        <v>44</v>
      </c>
      <c r="AN257" s="498">
        <f>ROUND(T262,2)</f>
        <v>8</v>
      </c>
      <c r="AO257" s="499">
        <f>ROUND(AM257+AN257,2)*A257</f>
        <v>1040</v>
      </c>
    </row>
    <row r="258" spans="1:41" s="489" customFormat="1" ht="13.2">
      <c r="A258" s="492"/>
      <c r="B258"/>
      <c r="C258" s="492"/>
      <c r="D258" s="666" t="s">
        <v>410</v>
      </c>
      <c r="F258" s="486"/>
      <c r="G258" s="3"/>
      <c r="H258" s="486"/>
      <c r="I258" s="669"/>
      <c r="J258" s="486"/>
      <c r="K258" s="486" t="s">
        <v>143</v>
      </c>
      <c r="L258" s="486"/>
      <c r="M258" s="486"/>
      <c r="N258" s="486"/>
      <c r="O258" s="486"/>
      <c r="P258" s="486"/>
      <c r="Q258" s="40"/>
      <c r="R258" s="550"/>
      <c r="S258" s="672"/>
      <c r="T258" s="486"/>
    </row>
    <row r="259" spans="1:41" s="915" customFormat="1" ht="13.2">
      <c r="A259" s="82">
        <v>40</v>
      </c>
      <c r="B259" s="915" t="s">
        <v>277</v>
      </c>
      <c r="D259" s="915" t="s">
        <v>601</v>
      </c>
      <c r="G259" s="916" t="s">
        <v>602</v>
      </c>
      <c r="H259" s="917">
        <v>615</v>
      </c>
      <c r="I259" s="915" t="s">
        <v>550</v>
      </c>
      <c r="K259" s="915" t="s">
        <v>603</v>
      </c>
      <c r="O259" s="918">
        <v>2</v>
      </c>
      <c r="P259" s="919">
        <v>38988</v>
      </c>
      <c r="Q259" s="920">
        <v>1.1000000000000001</v>
      </c>
      <c r="R259" s="921">
        <f>$A259*Q259</f>
        <v>44</v>
      </c>
      <c r="S259" s="920">
        <v>0.05</v>
      </c>
      <c r="T259" s="922">
        <f>$A259*S259*$T$1</f>
        <v>2</v>
      </c>
    </row>
    <row r="260" spans="1:41" s="915" customFormat="1" ht="13.2">
      <c r="A260" s="82">
        <v>20</v>
      </c>
      <c r="B260" s="915" t="s">
        <v>269</v>
      </c>
      <c r="D260" s="915" t="s">
        <v>604</v>
      </c>
      <c r="G260" s="916" t="s">
        <v>553</v>
      </c>
      <c r="H260" s="917">
        <v>900</v>
      </c>
      <c r="I260" s="915" t="s">
        <v>554</v>
      </c>
      <c r="O260" s="918">
        <v>1</v>
      </c>
      <c r="P260" s="919"/>
      <c r="Q260" s="920">
        <v>0</v>
      </c>
      <c r="R260" s="921">
        <f>$A260*Q260</f>
        <v>0</v>
      </c>
      <c r="S260" s="920">
        <v>0.3</v>
      </c>
      <c r="T260" s="922">
        <f>$A260*S260*$T$1</f>
        <v>6</v>
      </c>
    </row>
    <row r="261" spans="1:41" s="489" customFormat="1" ht="12">
      <c r="A261" s="40"/>
      <c r="B261" s="485"/>
      <c r="C261" s="485"/>
      <c r="D261" s="924" t="s">
        <v>563</v>
      </c>
      <c r="E261" s="485"/>
      <c r="F261" s="486"/>
      <c r="G261" s="485"/>
      <c r="H261" s="485"/>
      <c r="I261" s="487"/>
      <c r="J261" s="485"/>
      <c r="K261" s="485"/>
      <c r="L261" s="485"/>
      <c r="M261" s="485"/>
      <c r="N261" s="485"/>
      <c r="O261" s="485"/>
      <c r="P261" s="485"/>
      <c r="Q261" s="487"/>
      <c r="R261" s="673">
        <f t="shared" ref="R261" si="28">$A261*Q261</f>
        <v>0</v>
      </c>
      <c r="S261" s="487"/>
      <c r="T261" s="488">
        <f t="shared" ref="T261" si="29">$A261*S261*$T$1</f>
        <v>0</v>
      </c>
    </row>
    <row r="262" spans="1:41" s="489" customFormat="1" ht="12.6" thickBot="1">
      <c r="A262" s="500" t="s">
        <v>144</v>
      </c>
      <c r="B262" s="986">
        <f>(R261+T261)</f>
        <v>0</v>
      </c>
      <c r="C262" s="502"/>
      <c r="D262" s="502"/>
      <c r="E262" s="502"/>
      <c r="F262" s="674"/>
      <c r="G262" s="502" t="s">
        <v>145</v>
      </c>
      <c r="H262" s="502"/>
      <c r="I262" s="503"/>
      <c r="J262" s="502"/>
      <c r="K262" s="502" t="s">
        <v>3</v>
      </c>
      <c r="L262" s="504" t="s">
        <v>142</v>
      </c>
      <c r="M262" s="504"/>
      <c r="N262" s="504"/>
      <c r="O262" s="504"/>
      <c r="P262" s="504"/>
      <c r="Q262" s="675"/>
      <c r="R262" s="676">
        <f>SUM(R258:R261)</f>
        <v>44</v>
      </c>
      <c r="S262" s="502"/>
      <c r="T262" s="676">
        <f>SUM(T258:T261)</f>
        <v>8</v>
      </c>
      <c r="U262" s="505"/>
      <c r="V262" s="505"/>
      <c r="W262" s="505"/>
      <c r="X262" s="505"/>
      <c r="Y262" s="505"/>
      <c r="Z262" s="505"/>
      <c r="AA262" s="505"/>
      <c r="AB262" s="505"/>
      <c r="AC262" s="505"/>
      <c r="AD262" s="505"/>
      <c r="AE262" s="505"/>
      <c r="AF262" s="505"/>
      <c r="AG262" s="505"/>
      <c r="AH262" s="505"/>
      <c r="AI262" s="505"/>
      <c r="AJ262" s="505"/>
      <c r="AK262" s="505"/>
      <c r="AL262" s="505"/>
      <c r="AM262" s="505"/>
      <c r="AN262" s="505"/>
      <c r="AO262" s="505"/>
    </row>
    <row r="263" spans="1:41" s="489" customFormat="1" thickTop="1">
      <c r="A263" s="40"/>
      <c r="B263" s="40"/>
      <c r="C263" s="3"/>
      <c r="D263" s="3"/>
      <c r="E263" s="40"/>
      <c r="F263" s="40"/>
      <c r="G263" s="40"/>
      <c r="H263" s="40"/>
      <c r="I263" s="40"/>
      <c r="J263" s="40"/>
      <c r="K263" s="40" t="s">
        <v>134</v>
      </c>
      <c r="L263" s="40"/>
      <c r="M263" s="40"/>
      <c r="N263" s="40"/>
      <c r="O263" s="41"/>
      <c r="P263" s="40"/>
      <c r="Q263" s="40"/>
      <c r="R263" s="40"/>
      <c r="S263" s="40"/>
      <c r="T263" s="40"/>
    </row>
    <row r="264" spans="1:41" s="489" customFormat="1" ht="12">
      <c r="A264" s="40"/>
      <c r="B264" s="40"/>
      <c r="C264" s="40" t="s">
        <v>135</v>
      </c>
      <c r="D264" s="34"/>
      <c r="E264" s="40"/>
      <c r="F264" s="40"/>
      <c r="G264" s="40"/>
      <c r="H264" s="40"/>
      <c r="I264" s="40"/>
      <c r="J264" s="40"/>
      <c r="K264" s="40"/>
      <c r="L264" s="40"/>
      <c r="M264" s="40"/>
      <c r="N264" s="40"/>
      <c r="O264" s="41"/>
      <c r="P264" s="40"/>
      <c r="Q264" s="40"/>
      <c r="R264" s="40"/>
      <c r="S264" s="40"/>
      <c r="T264" s="40"/>
    </row>
    <row r="265" spans="1:41" s="489" customFormat="1" ht="12">
      <c r="A265" s="40"/>
      <c r="B265" s="40"/>
      <c r="C265" s="40"/>
      <c r="D265" s="34" t="s">
        <v>411</v>
      </c>
      <c r="E265" s="40"/>
      <c r="F265" s="40"/>
      <c r="G265" s="40"/>
      <c r="H265" s="40"/>
      <c r="I265" s="40"/>
      <c r="J265" s="40"/>
      <c r="K265" s="40"/>
      <c r="L265" s="40"/>
      <c r="M265" s="40"/>
      <c r="N265" s="40"/>
      <c r="O265" s="41"/>
      <c r="P265" s="40"/>
      <c r="Q265" s="40"/>
      <c r="R265" s="40"/>
      <c r="S265" s="654"/>
      <c r="T265" s="654"/>
    </row>
    <row r="266" spans="1:41" s="3" customFormat="1" thickBot="1">
      <c r="A266" s="505"/>
      <c r="O266" s="81"/>
    </row>
    <row r="267" spans="1:41" s="489" customFormat="1" thickTop="1">
      <c r="A267" s="40"/>
      <c r="B267" s="36"/>
      <c r="C267" s="40"/>
      <c r="E267" s="37" t="s">
        <v>137</v>
      </c>
      <c r="F267" s="37" t="s">
        <v>138</v>
      </c>
      <c r="G267" s="40"/>
      <c r="H267" s="40"/>
      <c r="I267" s="40"/>
      <c r="J267" s="40"/>
      <c r="K267" s="40" t="s">
        <v>139</v>
      </c>
      <c r="L267" s="925"/>
      <c r="M267" s="40"/>
      <c r="N267" s="40"/>
      <c r="O267" s="41"/>
      <c r="P267" s="40"/>
      <c r="Q267"/>
      <c r="R267"/>
      <c r="S267"/>
      <c r="T267" s="36"/>
      <c r="AG267" s="662" t="s">
        <v>238</v>
      </c>
      <c r="AH267" s="662" t="s">
        <v>239</v>
      </c>
      <c r="AI267" s="662" t="s">
        <v>240</v>
      </c>
      <c r="AJ267" s="662" t="s">
        <v>241</v>
      </c>
      <c r="AK267" s="662" t="s">
        <v>242</v>
      </c>
      <c r="AM267" s="663" t="s">
        <v>251</v>
      </c>
      <c r="AN267" s="664" t="s">
        <v>252</v>
      </c>
      <c r="AO267" s="490" t="s">
        <v>248</v>
      </c>
    </row>
    <row r="268" spans="1:41" s="489" customFormat="1" ht="13.2">
      <c r="A268" s="665">
        <v>1</v>
      </c>
      <c r="B268" s="491" t="s">
        <v>140</v>
      </c>
      <c r="C268" s="492"/>
      <c r="D268" s="666" t="s">
        <v>512</v>
      </c>
      <c r="E268" s="926">
        <f>IF(AND($A268=0,$A$1="DIF"),0, ROUND(ROUND(SUMIF($L270:$L276,"SUBI",$E270:$E276)/$A268,2)*$C$12,2))</f>
        <v>158.19999999999999</v>
      </c>
      <c r="F268" s="927">
        <f>ROUND($A268*$E268,2)</f>
        <v>158.19999999999999</v>
      </c>
      <c r="G268" s="493" t="s">
        <v>141</v>
      </c>
      <c r="H268" s="486"/>
      <c r="I268" s="669"/>
      <c r="J268" s="486"/>
      <c r="K268" s="928"/>
      <c r="L268" s="929" t="s">
        <v>142</v>
      </c>
      <c r="M268" s="670"/>
      <c r="N268" s="670"/>
      <c r="O268" s="670"/>
      <c r="P268" s="670"/>
      <c r="Q268"/>
      <c r="R268"/>
      <c r="S268"/>
      <c r="T268" s="930" t="str">
        <f>IF(AND($R281=0,$T281=0),"0.00","mu :" &amp; ROUND($F268/$C$12/($R281+$T281*$D$9),2))</f>
        <v>mu :1</v>
      </c>
      <c r="W268" s="494"/>
      <c r="AG268" s="931">
        <f>IF(A268=0,0,ROUND(SUM(AG270:AG281)/A268,2))</f>
        <v>133.49</v>
      </c>
      <c r="AH268" s="931">
        <f>$AG268*$A268</f>
        <v>133.49</v>
      </c>
      <c r="AI268" s="931">
        <f>$E268-$AG268</f>
        <v>24.70999999999998</v>
      </c>
      <c r="AJ268" s="931">
        <f>$A268*$AI268</f>
        <v>24.70999999999998</v>
      </c>
      <c r="AK268" s="932">
        <f>ROUND(($AG268+$AI268)*$A268,2)</f>
        <v>158.19999999999999</v>
      </c>
      <c r="AM268" s="497">
        <f>ROUND(R281,2)</f>
        <v>133.49</v>
      </c>
      <c r="AN268" s="498">
        <f>ROUND(T281,2)</f>
        <v>0.9</v>
      </c>
      <c r="AO268" s="499">
        <f>ROUND(AM268+AN268,2)*A268</f>
        <v>134.38999999999999</v>
      </c>
    </row>
    <row r="269" spans="1:41" s="489" customFormat="1" ht="24">
      <c r="A269" s="933"/>
      <c r="B269" s="934"/>
      <c r="C269" s="492"/>
      <c r="D269" s="756" t="s">
        <v>412</v>
      </c>
      <c r="E269" s="757"/>
      <c r="F269" s="757"/>
      <c r="G269" s="757"/>
      <c r="H269" s="757"/>
      <c r="I269" s="757"/>
      <c r="J269" s="757"/>
      <c r="K269" s="757" t="s">
        <v>143</v>
      </c>
      <c r="L269" s="757"/>
      <c r="M269" s="757"/>
      <c r="N269" s="757"/>
      <c r="O269" s="757"/>
      <c r="P269" s="757"/>
      <c r="Q269" s="757"/>
      <c r="R269" s="550"/>
      <c r="S269" s="672"/>
      <c r="T269" s="486"/>
    </row>
    <row r="270" spans="1:41" s="489" customFormat="1" ht="12">
      <c r="A270" s="936"/>
      <c r="B270" s="937"/>
      <c r="C270" s="485"/>
      <c r="D270" s="486"/>
      <c r="E270" s="938">
        <f>F268/$C$12-SUMIF($L267:$L281,"SUBI",$E267:$E281)</f>
        <v>0</v>
      </c>
      <c r="F270" s="939" t="s">
        <v>559</v>
      </c>
      <c r="G270" s="940"/>
      <c r="H270" s="940"/>
      <c r="I270" s="941"/>
      <c r="J270" s="940"/>
      <c r="K270" s="940"/>
      <c r="L270" s="942"/>
      <c r="M270" s="943"/>
      <c r="N270" s="943"/>
      <c r="O270" s="943"/>
      <c r="P270" s="943"/>
      <c r="Q270" s="944"/>
      <c r="R270" s="945"/>
      <c r="S270" s="944"/>
      <c r="T270" s="946"/>
    </row>
    <row r="271" spans="1:41" s="489" customFormat="1" ht="12" customHeight="1">
      <c r="A271" s="947"/>
      <c r="B271" s="948"/>
      <c r="C271" s="949"/>
      <c r="D271" s="949" t="str">
        <f>$F$2</f>
        <v>Electrical</v>
      </c>
      <c r="E271" s="949">
        <f>ROUND(($R275*$S$2 + ($T275*$T$2)), 2)</f>
        <v>38.200000000000003</v>
      </c>
      <c r="F271" s="950">
        <f>$E271*$C$12</f>
        <v>38.200000000000003</v>
      </c>
      <c r="G271" s="550"/>
      <c r="H271" s="951"/>
      <c r="I271" s="550"/>
      <c r="J271" s="41"/>
      <c r="K271" s="952" t="s">
        <v>3</v>
      </c>
      <c r="L271" s="953" t="s">
        <v>560</v>
      </c>
      <c r="M271" s="550"/>
      <c r="N271" s="550"/>
      <c r="O271" s="41"/>
      <c r="P271" s="550"/>
      <c r="Q271" s="550"/>
      <c r="R271"/>
      <c r="S271"/>
      <c r="T271"/>
    </row>
    <row r="272" spans="1:41" s="915" customFormat="1" ht="13.2">
      <c r="A272" s="82">
        <v>3</v>
      </c>
      <c r="B272" s="915" t="s">
        <v>277</v>
      </c>
      <c r="D272" s="915" t="s">
        <v>598</v>
      </c>
      <c r="G272" s="916" t="s">
        <v>599</v>
      </c>
      <c r="H272" s="917">
        <v>690</v>
      </c>
      <c r="I272" s="915" t="s">
        <v>587</v>
      </c>
      <c r="J272" s="915" t="s">
        <v>600</v>
      </c>
      <c r="O272" s="918">
        <v>1</v>
      </c>
      <c r="P272" s="919">
        <v>34669</v>
      </c>
      <c r="Q272" s="920">
        <v>3.03</v>
      </c>
      <c r="R272" s="921">
        <f>$A272*Q272</f>
        <v>9.09</v>
      </c>
      <c r="S272" s="920">
        <v>0.2</v>
      </c>
      <c r="T272" s="922">
        <f>$A272*S272*$T$1</f>
        <v>0.60000000000000009</v>
      </c>
    </row>
    <row r="273" spans="1:41" s="915" customFormat="1" ht="13.2">
      <c r="A273">
        <v>10</v>
      </c>
      <c r="B273" s="915" t="s">
        <v>277</v>
      </c>
      <c r="D273" s="915" t="s">
        <v>588</v>
      </c>
      <c r="G273" s="916" t="s">
        <v>589</v>
      </c>
      <c r="H273" s="917">
        <v>617</v>
      </c>
      <c r="I273" s="915" t="s">
        <v>590</v>
      </c>
      <c r="J273" s="915" t="s">
        <v>591</v>
      </c>
      <c r="O273" s="918">
        <v>2</v>
      </c>
      <c r="P273" s="919">
        <v>38433</v>
      </c>
      <c r="Q273" s="920">
        <v>0.44</v>
      </c>
      <c r="R273" s="921">
        <f>$A273*Q273</f>
        <v>4.4000000000000004</v>
      </c>
      <c r="S273" s="920">
        <v>0.03</v>
      </c>
      <c r="T273" s="922">
        <f>$A273*S273*$T$1</f>
        <v>0.3</v>
      </c>
    </row>
    <row r="274" spans="1:41" s="489" customFormat="1" ht="13.95" customHeight="1">
      <c r="A274" s="698"/>
      <c r="B274" s="550"/>
      <c r="C274" s="550"/>
      <c r="D274" s="550"/>
      <c r="E274" s="550"/>
      <c r="F274" s="550"/>
      <c r="G274" s="550"/>
      <c r="H274" s="951"/>
      <c r="I274" s="550"/>
      <c r="J274" s="41"/>
      <c r="K274" s="955"/>
      <c r="L274" s="956"/>
      <c r="M274" s="550"/>
      <c r="N274" s="550"/>
      <c r="O274" s="41"/>
      <c r="P274" s="550"/>
      <c r="Q274" s="550"/>
      <c r="R274" s="957">
        <f>$A274*Q274</f>
        <v>0</v>
      </c>
      <c r="S274" s="550"/>
      <c r="T274" s="488">
        <f>$A274*S274*$T$1</f>
        <v>0</v>
      </c>
    </row>
    <row r="275" spans="1:41" s="489" customFormat="1" ht="12">
      <c r="A275" s="958" t="s">
        <v>144</v>
      </c>
      <c r="B275" s="959">
        <f>(R274+T274)</f>
        <v>0</v>
      </c>
      <c r="C275" s="485"/>
      <c r="G275" s="960"/>
      <c r="H275" s="960"/>
      <c r="I275" s="960"/>
      <c r="J275" s="960"/>
      <c r="K275" s="961" t="s">
        <v>3</v>
      </c>
      <c r="L275" s="962" t="s">
        <v>560</v>
      </c>
      <c r="M275" s="960"/>
      <c r="N275" s="960"/>
      <c r="O275" s="960"/>
      <c r="P275" s="960"/>
      <c r="Q275" s="963"/>
      <c r="R275" s="964">
        <f>SUM(R271:R274)</f>
        <v>13.49</v>
      </c>
      <c r="S275" s="965"/>
      <c r="T275" s="964">
        <f>SUM(T271:T274)</f>
        <v>0.90000000000000013</v>
      </c>
      <c r="AG275" s="966">
        <f>ROUND($R275*$S$2,2)</f>
        <v>13.49</v>
      </c>
    </row>
    <row r="276" spans="1:41" s="489" customFormat="1" ht="12" customHeight="1">
      <c r="A276" s="967"/>
      <c r="B276" s="968"/>
      <c r="C276" s="969"/>
      <c r="D276" s="969" t="str">
        <f>$F$3</f>
        <v>Controls</v>
      </c>
      <c r="E276" s="969">
        <f>ROUND(($R279*$S$3 + ($T279*$T$3)), 2)</f>
        <v>120</v>
      </c>
      <c r="F276" s="970">
        <f ca="1">$F268-SUMIF($L270:$P273,"SUBI",$F270:$F273)</f>
        <v>119.99999999999999</v>
      </c>
      <c r="G276" s="487"/>
      <c r="H276" s="487"/>
      <c r="I276" s="487"/>
      <c r="J276" s="487"/>
      <c r="K276" s="952" t="s">
        <v>5</v>
      </c>
      <c r="L276" s="953" t="s">
        <v>560</v>
      </c>
      <c r="M276" s="487"/>
      <c r="N276" s="487"/>
      <c r="O276" s="487"/>
      <c r="P276" s="487"/>
      <c r="Q276" s="487"/>
      <c r="R276" s="971"/>
      <c r="S276" s="487"/>
      <c r="T276" s="971"/>
    </row>
    <row r="277" spans="1:41" s="915" customFormat="1" ht="13.8" customHeight="1">
      <c r="A277">
        <v>1</v>
      </c>
      <c r="B277" s="915" t="s">
        <v>140</v>
      </c>
      <c r="D277" s="915" t="s">
        <v>606</v>
      </c>
      <c r="G277" s="916" t="s">
        <v>557</v>
      </c>
      <c r="H277" s="917">
        <v>512</v>
      </c>
      <c r="I277" s="915" t="s">
        <v>558</v>
      </c>
      <c r="O277" s="918">
        <v>3</v>
      </c>
      <c r="P277" s="919"/>
      <c r="Q277" s="920">
        <v>120</v>
      </c>
      <c r="R277" s="921">
        <f>$A277*Q277</f>
        <v>120</v>
      </c>
      <c r="S277" s="920"/>
      <c r="T277" s="922">
        <f>$A277*S277*$T$1</f>
        <v>0</v>
      </c>
    </row>
    <row r="278" spans="1:41" s="489" customFormat="1" ht="13.2">
      <c r="A278" s="698"/>
      <c r="B278" s="550"/>
      <c r="C278" s="550"/>
      <c r="D278" s="3"/>
      <c r="E278" s="550"/>
      <c r="F278" s="550"/>
      <c r="G278" s="550"/>
      <c r="H278" s="550"/>
      <c r="I278" s="550"/>
      <c r="J278" s="550"/>
      <c r="K278" s="550"/>
      <c r="L278" s="956"/>
      <c r="M278" s="550"/>
      <c r="N278" s="550"/>
      <c r="O278" s="550"/>
      <c r="P278" s="550"/>
      <c r="Q278" s="550"/>
      <c r="R278" s="957">
        <f>$A278*Q278</f>
        <v>0</v>
      </c>
      <c r="S278" s="550"/>
      <c r="T278" s="488">
        <f>$A278*S278*$T$1</f>
        <v>0</v>
      </c>
    </row>
    <row r="279" spans="1:41" s="489" customFormat="1" ht="12" customHeight="1">
      <c r="A279" s="985" t="s">
        <v>144</v>
      </c>
      <c r="B279" s="986">
        <f>(R278+T278)</f>
        <v>0</v>
      </c>
      <c r="C279" s="987"/>
      <c r="D279" s="987"/>
      <c r="E279" s="987"/>
      <c r="F279" s="987"/>
      <c r="G279" s="963"/>
      <c r="H279" s="963"/>
      <c r="I279" s="963"/>
      <c r="J279" s="963"/>
      <c r="K279" s="988" t="s">
        <v>5</v>
      </c>
      <c r="L279" s="989" t="s">
        <v>560</v>
      </c>
      <c r="M279" s="963"/>
      <c r="N279" s="963"/>
      <c r="O279" s="963"/>
      <c r="P279" s="963"/>
      <c r="Q279" s="963"/>
      <c r="R279" s="964">
        <f>SUM(R276:R278)</f>
        <v>120</v>
      </c>
      <c r="S279" s="965"/>
      <c r="T279" s="964">
        <f>SUM(T276:T278)</f>
        <v>0</v>
      </c>
      <c r="AG279" s="990">
        <f>ROUND($R279*$S$3,2)</f>
        <v>120</v>
      </c>
    </row>
    <row r="280" spans="1:41" s="489" customFormat="1" ht="12.75" customHeight="1">
      <c r="A280" s="991"/>
      <c r="B280" s="992"/>
      <c r="E280" s="485"/>
      <c r="F280" s="993"/>
      <c r="G280" s="485"/>
      <c r="H280" s="485"/>
      <c r="I280" s="487"/>
      <c r="J280" s="485"/>
      <c r="K280" s="485"/>
      <c r="L280" s="994"/>
      <c r="M280" s="701"/>
      <c r="N280" s="701"/>
      <c r="O280" s="701"/>
      <c r="P280" s="701"/>
      <c r="Q280" s="685"/>
      <c r="R280" s="971"/>
      <c r="S280" s="485"/>
      <c r="T280" s="971"/>
    </row>
    <row r="281" spans="1:41" s="489" customFormat="1" ht="13.5" customHeight="1" thickBot="1">
      <c r="A281" s="995"/>
      <c r="B281" s="996"/>
      <c r="C281" s="505"/>
      <c r="D281" s="505"/>
      <c r="E281" s="502"/>
      <c r="F281" s="674"/>
      <c r="G281" s="502" t="s">
        <v>145</v>
      </c>
      <c r="H281" s="502"/>
      <c r="I281" s="503"/>
      <c r="J281" s="502"/>
      <c r="K281" s="502"/>
      <c r="L281" s="997" t="s">
        <v>142</v>
      </c>
      <c r="M281" s="504"/>
      <c r="N281" s="504"/>
      <c r="O281" s="504"/>
      <c r="P281" s="504"/>
      <c r="Q281" s="675"/>
      <c r="R281" s="998">
        <f>SUMIF($L269:$L280,"SUBI",R269:R280)</f>
        <v>133.49</v>
      </c>
      <c r="S281" s="502"/>
      <c r="T281" s="998">
        <f>SUMIF($L269:$L280,"SUBI",T269:T280)</f>
        <v>0.90000000000000013</v>
      </c>
      <c r="U281" s="505"/>
      <c r="V281" s="505"/>
      <c r="W281" s="505"/>
      <c r="X281" s="505"/>
      <c r="Y281" s="505"/>
      <c r="Z281" s="505"/>
      <c r="AA281" s="505"/>
      <c r="AB281" s="505"/>
      <c r="AC281" s="505"/>
      <c r="AD281" s="505"/>
      <c r="AE281" s="505"/>
      <c r="AF281" s="505"/>
      <c r="AG281" s="505"/>
      <c r="AH281" s="505"/>
      <c r="AI281" s="505"/>
      <c r="AJ281" s="505"/>
      <c r="AK281" s="505"/>
      <c r="AL281" s="505"/>
      <c r="AM281" s="505"/>
      <c r="AN281" s="505"/>
      <c r="AO281" s="505"/>
    </row>
    <row r="282" spans="1:41" s="489" customFormat="1" ht="12" thickTop="1">
      <c r="A282" s="38" t="s">
        <v>147</v>
      </c>
      <c r="D282" s="11"/>
      <c r="E282" s="37"/>
      <c r="O282" s="677"/>
    </row>
    <row r="283" spans="1:41" s="489" customFormat="1" ht="13.2">
      <c r="B283" s="3"/>
      <c r="O283" s="677"/>
    </row>
    <row r="284" spans="1:41" s="489" customFormat="1" ht="12">
      <c r="B284" s="678">
        <f>$F284/$C$2-($R284*$S$2+$T284*$T$2)</f>
        <v>-4.6000000000276486E-2</v>
      </c>
      <c r="D284" s="679" t="s">
        <v>513</v>
      </c>
      <c r="E284" s="680"/>
      <c r="F284" s="681">
        <f>SUMIF($L14:$L282,"ITEM",F14:F282)</f>
        <v>2540.9799999999996</v>
      </c>
      <c r="G284" s="485"/>
      <c r="H284" s="485"/>
      <c r="I284" s="487"/>
      <c r="J284" s="485"/>
      <c r="K284" s="485"/>
      <c r="L284" s="670" t="s">
        <v>514</v>
      </c>
      <c r="M284" s="670"/>
      <c r="N284" s="670"/>
      <c r="O284" s="670"/>
      <c r="P284" s="670"/>
      <c r="R284" s="681">
        <f>SUMIF($L14:$L282,"ITEM",R14:R282)</f>
        <v>1645.83</v>
      </c>
      <c r="S284" s="682"/>
      <c r="T284" s="681">
        <f>SUMIF($L14:$L282,"ITEM",T14:T282)</f>
        <v>32.6</v>
      </c>
    </row>
    <row r="285" spans="1:41" s="489" customFormat="1" ht="13.2">
      <c r="A285" s="40"/>
      <c r="B285" s="683" t="s">
        <v>515</v>
      </c>
      <c r="C285" s="40"/>
      <c r="D285" s="3"/>
      <c r="F285" s="684" t="s">
        <v>516</v>
      </c>
      <c r="G285" s="485"/>
      <c r="H285" s="485"/>
      <c r="I285" s="487"/>
      <c r="J285" s="485"/>
      <c r="K285" s="485"/>
      <c r="L285" s="485"/>
      <c r="M285" s="485"/>
      <c r="N285" s="485"/>
      <c r="O285" s="485"/>
      <c r="P285" s="485"/>
      <c r="Q285" s="685"/>
      <c r="R285" s="684" t="s">
        <v>517</v>
      </c>
      <c r="S285" s="654"/>
      <c r="T285" s="684" t="s">
        <v>518</v>
      </c>
    </row>
    <row r="286" spans="1:41" s="489" customFormat="1" ht="13.2">
      <c r="A286" s="485"/>
      <c r="B286" s="3"/>
      <c r="C286" s="485"/>
      <c r="D286" s="3"/>
      <c r="E286" s="3"/>
      <c r="G286" s="3"/>
      <c r="H286" s="3"/>
      <c r="I286" s="3"/>
      <c r="J286" s="3"/>
      <c r="K286" s="3"/>
      <c r="L286" s="3"/>
      <c r="M286" s="3"/>
      <c r="N286" s="3"/>
      <c r="O286" s="81"/>
      <c r="P286" s="3"/>
      <c r="Q286" s="3"/>
      <c r="R286" s="3"/>
      <c r="S286" s="3"/>
      <c r="T286" s="3"/>
    </row>
    <row r="287" spans="1:41" s="489" customFormat="1" ht="12" thickBot="1">
      <c r="A287" s="505"/>
      <c r="B287" s="502"/>
      <c r="C287" s="502"/>
      <c r="D287" s="505"/>
      <c r="E287" s="35"/>
      <c r="F287" s="686"/>
      <c r="G287" s="502"/>
      <c r="H287" s="502"/>
      <c r="I287" s="503"/>
      <c r="J287" s="502"/>
      <c r="K287" s="502"/>
      <c r="L287" s="504"/>
      <c r="M287" s="504"/>
      <c r="N287" s="504"/>
      <c r="O287" s="504"/>
      <c r="P287" s="504"/>
      <c r="Q287" s="675"/>
      <c r="R287" s="686"/>
      <c r="S287" s="687"/>
      <c r="T287" s="686"/>
      <c r="U287" s="505"/>
      <c r="V287" s="505"/>
      <c r="W287" s="505"/>
      <c r="X287" s="505"/>
      <c r="Y287" s="505"/>
      <c r="Z287" s="505"/>
      <c r="AA287" s="505"/>
      <c r="AB287" s="505"/>
      <c r="AC287" s="505"/>
      <c r="AD287" s="505"/>
      <c r="AE287" s="505"/>
      <c r="AF287" s="505"/>
      <c r="AG287" s="505"/>
      <c r="AH287" s="505"/>
      <c r="AI287" s="505"/>
      <c r="AJ287" s="505"/>
      <c r="AK287" s="505"/>
    </row>
    <row r="288" spans="1:41" s="489" customFormat="1" thickTop="1">
      <c r="A288" s="655"/>
      <c r="B288" s="655"/>
      <c r="C288" s="656"/>
      <c r="D288" s="656"/>
      <c r="E288" s="655"/>
      <c r="F288" s="655"/>
      <c r="G288" s="655"/>
      <c r="H288" s="655"/>
      <c r="I288" s="655"/>
      <c r="J288" s="655"/>
      <c r="K288" s="655" t="s">
        <v>134</v>
      </c>
      <c r="L288" s="655"/>
      <c r="M288" s="655"/>
      <c r="N288" s="655"/>
      <c r="O288" s="657"/>
      <c r="P288" s="655"/>
      <c r="Q288" s="655"/>
      <c r="R288" s="655"/>
      <c r="S288" s="655"/>
      <c r="T288" s="655"/>
    </row>
    <row r="289" spans="1:41" s="489" customFormat="1" ht="12">
      <c r="A289" s="655"/>
      <c r="B289" s="655"/>
      <c r="C289" s="655" t="s">
        <v>135</v>
      </c>
      <c r="D289" s="658"/>
      <c r="E289" s="655"/>
      <c r="F289" s="655"/>
      <c r="G289" s="655"/>
      <c r="H289" s="655"/>
      <c r="I289" s="655"/>
      <c r="J289" s="655"/>
      <c r="K289" s="655"/>
      <c r="L289" s="655"/>
      <c r="M289" s="655"/>
      <c r="N289" s="655"/>
      <c r="O289" s="657"/>
      <c r="P289" s="655"/>
      <c r="Q289" s="655"/>
      <c r="R289" s="655"/>
      <c r="S289" s="655"/>
      <c r="T289" s="655"/>
    </row>
    <row r="290" spans="1:41" s="489" customFormat="1" ht="12">
      <c r="A290" s="655"/>
      <c r="B290" s="655"/>
      <c r="C290" s="655"/>
      <c r="D290" s="658" t="s">
        <v>416</v>
      </c>
      <c r="E290" s="655"/>
      <c r="F290" s="655"/>
      <c r="G290" s="655"/>
      <c r="H290" s="655"/>
      <c r="I290" s="655"/>
      <c r="J290" s="655"/>
      <c r="K290" s="655"/>
      <c r="L290" s="655"/>
      <c r="M290" s="655"/>
      <c r="N290" s="655"/>
      <c r="O290" s="657"/>
      <c r="P290" s="655"/>
      <c r="Q290" s="655"/>
      <c r="R290" s="655"/>
      <c r="S290" s="659"/>
      <c r="T290" s="659"/>
    </row>
    <row r="291" spans="1:41" s="3" customFormat="1" thickBot="1">
      <c r="A291" s="660"/>
      <c r="B291" s="656"/>
      <c r="C291" s="656"/>
      <c r="D291" s="656"/>
      <c r="E291" s="656"/>
      <c r="F291" s="656"/>
      <c r="G291" s="656"/>
      <c r="H291" s="656"/>
      <c r="I291" s="656"/>
      <c r="J291" s="656"/>
      <c r="K291" s="656"/>
      <c r="L291" s="656"/>
      <c r="M291" s="656"/>
      <c r="N291" s="656"/>
      <c r="O291" s="661"/>
      <c r="P291" s="656"/>
      <c r="Q291" s="656"/>
      <c r="R291" s="656"/>
      <c r="S291" s="656"/>
      <c r="T291" s="656"/>
    </row>
    <row r="292" spans="1:41" s="489" customFormat="1" thickTop="1">
      <c r="A292" s="40"/>
      <c r="B292" s="40"/>
      <c r="C292" s="3"/>
      <c r="D292" s="3"/>
      <c r="E292" s="40"/>
      <c r="F292" s="40"/>
      <c r="G292" s="40"/>
      <c r="H292" s="40"/>
      <c r="I292" s="40"/>
      <c r="J292" s="40"/>
      <c r="K292" s="40" t="s">
        <v>134</v>
      </c>
      <c r="L292" s="40"/>
      <c r="M292" s="40"/>
      <c r="N292" s="40"/>
      <c r="O292" s="41"/>
      <c r="P292" s="40"/>
      <c r="Q292" s="40"/>
      <c r="R292" s="40"/>
      <c r="S292" s="40"/>
      <c r="T292" s="40"/>
    </row>
    <row r="293" spans="1:41" s="489" customFormat="1" ht="12">
      <c r="A293" s="40"/>
      <c r="B293" s="40"/>
      <c r="C293" s="40" t="s">
        <v>135</v>
      </c>
      <c r="D293" s="34"/>
      <c r="E293" s="40"/>
      <c r="F293" s="40"/>
      <c r="G293" s="40"/>
      <c r="H293" s="40"/>
      <c r="I293" s="40"/>
      <c r="J293" s="40"/>
      <c r="K293" s="40"/>
      <c r="L293" s="40"/>
      <c r="M293" s="40"/>
      <c r="N293" s="40"/>
      <c r="O293" s="41"/>
      <c r="P293" s="40"/>
      <c r="Q293" s="40"/>
      <c r="R293" s="40"/>
      <c r="S293" s="40"/>
      <c r="T293" s="40"/>
    </row>
    <row r="294" spans="1:41" s="489" customFormat="1" ht="12">
      <c r="A294" s="40"/>
      <c r="B294" s="40"/>
      <c r="C294" s="40"/>
      <c r="D294" s="34" t="s">
        <v>447</v>
      </c>
      <c r="E294" s="40"/>
      <c r="F294" s="40"/>
      <c r="G294" s="40"/>
      <c r="H294" s="40"/>
      <c r="I294" s="40"/>
      <c r="J294" s="40"/>
      <c r="K294" s="40"/>
      <c r="L294" s="40"/>
      <c r="M294" s="40"/>
      <c r="N294" s="40"/>
      <c r="O294" s="41"/>
      <c r="P294" s="40"/>
      <c r="Q294" s="40"/>
      <c r="R294" s="40"/>
      <c r="S294" s="654"/>
      <c r="T294" s="654"/>
    </row>
    <row r="295" spans="1:41" s="3" customFormat="1" thickBot="1">
      <c r="A295" s="505"/>
      <c r="O295" s="81"/>
    </row>
    <row r="296" spans="1:41" s="489" customFormat="1" thickTop="1">
      <c r="A296" s="40"/>
      <c r="B296" s="40"/>
      <c r="C296" s="3"/>
      <c r="D296" s="3"/>
      <c r="E296" s="40"/>
      <c r="F296" s="40"/>
      <c r="G296" s="40"/>
      <c r="H296" s="40"/>
      <c r="I296" s="40"/>
      <c r="J296" s="40"/>
      <c r="K296" s="40" t="s">
        <v>134</v>
      </c>
      <c r="L296" s="40"/>
      <c r="M296" s="40"/>
      <c r="N296" s="40"/>
      <c r="O296" s="41"/>
      <c r="P296" s="40"/>
      <c r="Q296" s="40"/>
      <c r="R296" s="40"/>
      <c r="S296" s="40"/>
      <c r="T296" s="40"/>
    </row>
    <row r="297" spans="1:41" s="489" customFormat="1" ht="12">
      <c r="A297" s="40"/>
      <c r="B297" s="40"/>
      <c r="C297" s="40" t="s">
        <v>135</v>
      </c>
      <c r="D297" s="34" t="s">
        <v>519</v>
      </c>
      <c r="E297" s="40"/>
      <c r="F297" s="40"/>
      <c r="G297" s="40"/>
      <c r="H297" s="40"/>
      <c r="I297" s="40"/>
      <c r="J297" s="40"/>
      <c r="K297" s="40"/>
      <c r="L297" s="40"/>
      <c r="M297" s="40"/>
      <c r="N297" s="40"/>
      <c r="O297" s="41"/>
      <c r="P297" s="40"/>
      <c r="Q297" s="40"/>
      <c r="R297" s="40"/>
      <c r="S297" s="40"/>
      <c r="T297" s="40"/>
    </row>
    <row r="298" spans="1:41" s="489" customFormat="1" ht="48">
      <c r="A298" s="492"/>
      <c r="B298"/>
      <c r="C298" s="492"/>
      <c r="D298" s="756" t="s">
        <v>448</v>
      </c>
      <c r="E298" s="757"/>
      <c r="F298" s="757"/>
      <c r="G298" s="757"/>
      <c r="H298" s="757"/>
      <c r="I298" s="757"/>
      <c r="J298" s="757"/>
      <c r="K298" s="757"/>
      <c r="L298" s="757"/>
      <c r="M298" s="757"/>
      <c r="N298" s="757"/>
      <c r="O298" s="757"/>
      <c r="P298" s="757"/>
      <c r="Q298" s="757"/>
      <c r="R298" s="758"/>
      <c r="S298" s="757"/>
      <c r="T298" s="757"/>
    </row>
    <row r="299" spans="1:41" s="3" customFormat="1" thickBot="1">
      <c r="A299" s="505"/>
      <c r="O299" s="81"/>
    </row>
    <row r="300" spans="1:41" s="489" customFormat="1" thickTop="1">
      <c r="A300" s="40"/>
      <c r="B300" s="36"/>
      <c r="C300" s="40"/>
      <c r="E300" s="37" t="s">
        <v>137</v>
      </c>
      <c r="F300" s="37" t="s">
        <v>138</v>
      </c>
      <c r="G300" s="40"/>
      <c r="H300" s="40"/>
      <c r="I300" s="40"/>
      <c r="J300" s="40"/>
      <c r="K300" s="40" t="s">
        <v>139</v>
      </c>
      <c r="L300" s="925"/>
      <c r="M300" s="40"/>
      <c r="N300" s="40"/>
      <c r="O300" s="41"/>
      <c r="P300" s="40"/>
      <c r="Q300"/>
      <c r="R300"/>
      <c r="S300"/>
      <c r="T300" s="36"/>
      <c r="AG300" s="662" t="s">
        <v>238</v>
      </c>
      <c r="AH300" s="662" t="s">
        <v>239</v>
      </c>
      <c r="AI300" s="662" t="s">
        <v>240</v>
      </c>
      <c r="AJ300" s="662" t="s">
        <v>241</v>
      </c>
      <c r="AK300" s="662" t="s">
        <v>242</v>
      </c>
      <c r="AM300" s="663" t="s">
        <v>251</v>
      </c>
      <c r="AN300" s="664" t="s">
        <v>252</v>
      </c>
      <c r="AO300" s="490" t="s">
        <v>248</v>
      </c>
    </row>
    <row r="301" spans="1:41" s="489" customFormat="1" ht="13.2">
      <c r="A301" s="1001">
        <v>1</v>
      </c>
      <c r="B301" s="491" t="s">
        <v>140</v>
      </c>
      <c r="C301" s="492"/>
      <c r="D301" s="666" t="s">
        <v>500</v>
      </c>
      <c r="E301" s="926">
        <f>IF(AND($A301=0,$A$1="DIF"),0, ROUND(ROUND(SUMIF($L303:$L313,"SUBI",$E303:$E313)/$A301,2)*$C$12,2))</f>
        <v>132.97999999999999</v>
      </c>
      <c r="F301" s="927">
        <f>ROUND($A301*$E301,2)</f>
        <v>132.97999999999999</v>
      </c>
      <c r="G301" s="493" t="s">
        <v>141</v>
      </c>
      <c r="H301" s="486"/>
      <c r="I301" s="669"/>
      <c r="J301" s="486"/>
      <c r="K301" s="928"/>
      <c r="L301" s="929" t="s">
        <v>142</v>
      </c>
      <c r="M301" s="670"/>
      <c r="N301" s="670"/>
      <c r="O301" s="670"/>
      <c r="P301" s="670"/>
      <c r="Q301"/>
      <c r="R301"/>
      <c r="S301"/>
      <c r="T301" s="930" t="str">
        <f>IF(AND($R319=0,$T319=0),"0.00","mu :" &amp; ROUND($F301/$C$12/($R319+$T319*$D$9),2))</f>
        <v>mu :1</v>
      </c>
      <c r="W301" s="494"/>
      <c r="AG301" s="931">
        <f>IF(A301=0,0,ROUND(SUM(AG303:AG319)/A301,2))</f>
        <v>11.06</v>
      </c>
      <c r="AH301" s="931">
        <f>$AG301*$A301</f>
        <v>11.06</v>
      </c>
      <c r="AI301" s="931">
        <f>$E301-$AG301</f>
        <v>121.91999999999999</v>
      </c>
      <c r="AJ301" s="931">
        <f>$A301*$AI301</f>
        <v>121.91999999999999</v>
      </c>
      <c r="AK301" s="932">
        <f>ROUND(($AG301+$AI301)*$A301,2)</f>
        <v>132.97999999999999</v>
      </c>
      <c r="AM301" s="497">
        <f>ROUND(R319,2)</f>
        <v>11.06</v>
      </c>
      <c r="AN301" s="498">
        <f>ROUND(T319,2)</f>
        <v>4.4400000000000004</v>
      </c>
      <c r="AO301" s="499">
        <f>ROUND(AM301+AN301,2)*A301</f>
        <v>15.5</v>
      </c>
    </row>
    <row r="302" spans="1:41" s="489" customFormat="1" ht="19.95" customHeight="1">
      <c r="A302" s="933"/>
      <c r="B302" s="934"/>
      <c r="C302" s="492"/>
      <c r="D302" s="666" t="s">
        <v>449</v>
      </c>
      <c r="F302" s="486"/>
      <c r="G302" s="486"/>
      <c r="H302" s="486"/>
      <c r="I302" s="669"/>
      <c r="J302" s="486"/>
      <c r="K302" s="486" t="s">
        <v>143</v>
      </c>
      <c r="L302" s="935"/>
      <c r="M302" s="486"/>
      <c r="N302" s="486"/>
      <c r="O302" s="486"/>
      <c r="P302" s="486"/>
      <c r="Q302" s="40"/>
      <c r="R302" s="550"/>
      <c r="S302" s="672"/>
      <c r="T302" s="486"/>
    </row>
    <row r="303" spans="1:41" s="489" customFormat="1" ht="12">
      <c r="A303" s="936"/>
      <c r="B303" s="937"/>
      <c r="C303" s="485"/>
      <c r="D303" s="486"/>
      <c r="E303" s="938">
        <f>F301/$C$12-SUMIF($L300:$L319,"SUBI",$E300:$E319)</f>
        <v>0</v>
      </c>
      <c r="F303" s="939" t="s">
        <v>559</v>
      </c>
      <c r="G303" s="940"/>
      <c r="H303" s="940"/>
      <c r="I303" s="941"/>
      <c r="J303" s="940"/>
      <c r="K303" s="940"/>
      <c r="L303" s="942"/>
      <c r="M303" s="943"/>
      <c r="N303" s="943"/>
      <c r="O303" s="943"/>
      <c r="P303" s="943"/>
      <c r="Q303" s="944"/>
      <c r="R303" s="945"/>
      <c r="S303" s="944"/>
      <c r="T303" s="946"/>
    </row>
    <row r="304" spans="1:41" s="489" customFormat="1" ht="12" customHeight="1">
      <c r="A304" s="947"/>
      <c r="B304" s="948"/>
      <c r="C304" s="949"/>
      <c r="D304" s="949" t="str">
        <f>$F$2</f>
        <v>Electrical</v>
      </c>
      <c r="E304" s="949">
        <f>ROUND(($R312*$S$2 + ($T312*$T$2)), 2)</f>
        <v>132.97999999999999</v>
      </c>
      <c r="F304" s="950">
        <f>$E304*$C$12</f>
        <v>132.97999999999999</v>
      </c>
      <c r="G304" s="550"/>
      <c r="H304" s="951"/>
      <c r="I304" s="550"/>
      <c r="J304" s="41"/>
      <c r="K304" s="952" t="s">
        <v>3</v>
      </c>
      <c r="L304" s="953" t="s">
        <v>560</v>
      </c>
      <c r="M304" s="550"/>
      <c r="N304" s="550"/>
      <c r="O304" s="41"/>
      <c r="P304" s="550"/>
      <c r="Q304" s="550"/>
      <c r="R304"/>
      <c r="S304"/>
      <c r="T304"/>
    </row>
    <row r="305" spans="1:41" s="915" customFormat="1" ht="13.2">
      <c r="A305">
        <v>2</v>
      </c>
      <c r="B305" s="915" t="s">
        <v>269</v>
      </c>
      <c r="D305" s="915" t="s">
        <v>610</v>
      </c>
      <c r="G305" s="916" t="s">
        <v>584</v>
      </c>
      <c r="H305" s="917">
        <v>501</v>
      </c>
      <c r="I305" s="915" t="s">
        <v>558</v>
      </c>
      <c r="K305" s="915" t="s">
        <v>585</v>
      </c>
      <c r="O305" s="918">
        <v>1</v>
      </c>
      <c r="P305" s="919">
        <v>35705</v>
      </c>
      <c r="Q305" s="999">
        <v>0</v>
      </c>
      <c r="R305" s="921">
        <f>$A305*Q305</f>
        <v>0</v>
      </c>
      <c r="S305" s="920">
        <v>1.5</v>
      </c>
      <c r="T305" s="922">
        <f>$A305*S305*$T$1</f>
        <v>3</v>
      </c>
    </row>
    <row r="306" spans="1:41" s="915" customFormat="1" ht="13.2">
      <c r="A306">
        <v>4</v>
      </c>
      <c r="B306" s="915" t="s">
        <v>277</v>
      </c>
      <c r="D306" s="915" t="s">
        <v>579</v>
      </c>
      <c r="G306" s="916" t="s">
        <v>565</v>
      </c>
      <c r="H306" s="917">
        <v>616</v>
      </c>
      <c r="I306" s="915" t="s">
        <v>558</v>
      </c>
      <c r="K306" s="915" t="s">
        <v>566</v>
      </c>
      <c r="O306" s="918">
        <v>2</v>
      </c>
      <c r="P306" s="919">
        <v>38299</v>
      </c>
      <c r="Q306" s="920">
        <v>1.93</v>
      </c>
      <c r="R306" s="921">
        <f t="shared" ref="R306:R310" si="30">$A306*Q306</f>
        <v>7.72</v>
      </c>
      <c r="S306" s="920">
        <v>0.06</v>
      </c>
      <c r="T306" s="922">
        <f t="shared" ref="T306:T310" si="31">$A306*S306*$T$1</f>
        <v>0.24</v>
      </c>
    </row>
    <row r="307" spans="1:41" s="915" customFormat="1" ht="13.2">
      <c r="A307">
        <v>4</v>
      </c>
      <c r="B307" s="915" t="s">
        <v>140</v>
      </c>
      <c r="D307" s="915" t="s">
        <v>580</v>
      </c>
      <c r="G307" s="916" t="s">
        <v>568</v>
      </c>
      <c r="H307" s="917">
        <v>620</v>
      </c>
      <c r="I307" s="915" t="s">
        <v>558</v>
      </c>
      <c r="O307" s="918">
        <v>2</v>
      </c>
      <c r="P307" s="919">
        <v>35431</v>
      </c>
      <c r="Q307" s="920">
        <v>0.41</v>
      </c>
      <c r="R307" s="921">
        <f t="shared" si="30"/>
        <v>1.64</v>
      </c>
      <c r="S307" s="920">
        <v>0.2</v>
      </c>
      <c r="T307" s="922">
        <f t="shared" si="31"/>
        <v>0.8</v>
      </c>
    </row>
    <row r="308" spans="1:41" s="915" customFormat="1" ht="13.2">
      <c r="A308">
        <v>20</v>
      </c>
      <c r="B308" s="915" t="s">
        <v>140</v>
      </c>
      <c r="D308" s="915" t="s">
        <v>581</v>
      </c>
      <c r="G308" s="916" t="s">
        <v>582</v>
      </c>
      <c r="H308" s="917">
        <v>620</v>
      </c>
      <c r="I308" s="915" t="s">
        <v>571</v>
      </c>
      <c r="O308" s="918">
        <v>2</v>
      </c>
      <c r="P308" s="919">
        <v>34669</v>
      </c>
      <c r="Q308" s="920">
        <v>0.05</v>
      </c>
      <c r="R308" s="921">
        <f t="shared" si="30"/>
        <v>1</v>
      </c>
      <c r="S308" s="920">
        <v>0.02</v>
      </c>
      <c r="T308" s="922">
        <f t="shared" si="31"/>
        <v>0.4</v>
      </c>
    </row>
    <row r="309" spans="1:41" s="915" customFormat="1" ht="13.2">
      <c r="A309">
        <v>4</v>
      </c>
      <c r="B309" s="915" t="s">
        <v>140</v>
      </c>
      <c r="D309" s="915" t="s">
        <v>572</v>
      </c>
      <c r="G309" s="916" t="s">
        <v>573</v>
      </c>
      <c r="H309" s="917">
        <v>620</v>
      </c>
      <c r="I309" s="915" t="s">
        <v>558</v>
      </c>
      <c r="O309" s="918">
        <v>2</v>
      </c>
      <c r="P309" s="919"/>
      <c r="Q309" s="920">
        <v>0.1</v>
      </c>
      <c r="R309" s="921">
        <f t="shared" si="30"/>
        <v>0.4</v>
      </c>
      <c r="S309" s="920"/>
      <c r="T309" s="922">
        <f t="shared" si="31"/>
        <v>0</v>
      </c>
    </row>
    <row r="310" spans="1:41" s="915" customFormat="1" ht="13.2">
      <c r="A310">
        <v>6</v>
      </c>
      <c r="B310" s="915" t="s">
        <v>140</v>
      </c>
      <c r="D310" s="915" t="s">
        <v>574</v>
      </c>
      <c r="G310" s="916" t="s">
        <v>575</v>
      </c>
      <c r="H310" s="917">
        <v>875</v>
      </c>
      <c r="I310" s="915" t="s">
        <v>558</v>
      </c>
      <c r="K310" s="915" t="s">
        <v>576</v>
      </c>
      <c r="O310" s="918">
        <v>1</v>
      </c>
      <c r="P310" s="919">
        <v>34669</v>
      </c>
      <c r="Q310" s="920">
        <v>0.05</v>
      </c>
      <c r="R310" s="921">
        <f t="shared" si="30"/>
        <v>0.30000000000000004</v>
      </c>
      <c r="S310" s="920"/>
      <c r="T310" s="922">
        <f t="shared" si="31"/>
        <v>0</v>
      </c>
    </row>
    <row r="311" spans="1:41" s="489" customFormat="1" ht="13.95" customHeight="1">
      <c r="A311" s="698"/>
      <c r="B311" s="550"/>
      <c r="C311" s="550"/>
      <c r="D311" s="1003" t="s">
        <v>611</v>
      </c>
      <c r="E311" s="1003"/>
      <c r="F311" s="550"/>
      <c r="G311" s="550"/>
      <c r="H311" s="951"/>
      <c r="I311" s="550"/>
      <c r="J311" s="41"/>
      <c r="K311" s="955"/>
      <c r="L311" s="956"/>
      <c r="M311" s="550"/>
      <c r="N311" s="550"/>
      <c r="O311" s="41"/>
      <c r="P311" s="550"/>
      <c r="Q311" s="550"/>
      <c r="R311" s="957">
        <f>$A311*Q311</f>
        <v>0</v>
      </c>
      <c r="S311" s="550"/>
      <c r="T311" s="488">
        <f>$A311*S311*$T$1</f>
        <v>0</v>
      </c>
    </row>
    <row r="312" spans="1:41" s="489" customFormat="1" ht="12">
      <c r="A312" s="958" t="s">
        <v>144</v>
      </c>
      <c r="B312" s="959">
        <f>(R311+T311)</f>
        <v>0</v>
      </c>
      <c r="C312" s="485"/>
      <c r="G312" s="960"/>
      <c r="H312" s="960"/>
      <c r="I312" s="960"/>
      <c r="J312" s="960"/>
      <c r="K312" s="961" t="s">
        <v>3</v>
      </c>
      <c r="L312" s="962" t="s">
        <v>560</v>
      </c>
      <c r="M312" s="960"/>
      <c r="N312" s="960"/>
      <c r="O312" s="960"/>
      <c r="P312" s="960"/>
      <c r="Q312" s="963"/>
      <c r="R312" s="964">
        <f>SUM(R304:R311)</f>
        <v>11.06</v>
      </c>
      <c r="S312" s="965"/>
      <c r="T312" s="964">
        <f>SUM(T304:T311)</f>
        <v>4.4400000000000004</v>
      </c>
      <c r="AG312" s="966">
        <f>ROUND($R312*$S$2,2)</f>
        <v>11.06</v>
      </c>
    </row>
    <row r="313" spans="1:41" s="489" customFormat="1" ht="12" customHeight="1">
      <c r="A313" s="967"/>
      <c r="B313" s="968"/>
      <c r="C313" s="969"/>
      <c r="D313" s="969" t="str">
        <f>$F$3</f>
        <v>Controls</v>
      </c>
      <c r="E313" s="969">
        <f>ROUND(($R317*$S$3 + ($T317*$T$3)), 2)</f>
        <v>0</v>
      </c>
      <c r="F313" s="970">
        <f ca="1">$F301-SUMIF($L303:$P310,"SUBI",$F303:$F310)</f>
        <v>0</v>
      </c>
      <c r="G313" s="487"/>
      <c r="H313" s="487"/>
      <c r="I313" s="487"/>
      <c r="J313" s="487"/>
      <c r="K313" s="952" t="s">
        <v>5</v>
      </c>
      <c r="L313" s="953" t="s">
        <v>560</v>
      </c>
      <c r="M313" s="487"/>
      <c r="N313" s="487"/>
      <c r="O313" s="487"/>
      <c r="P313" s="487"/>
      <c r="Q313" s="487"/>
      <c r="R313" s="971"/>
      <c r="S313" s="487"/>
      <c r="T313" s="971"/>
    </row>
    <row r="314" spans="1:41" s="984" customFormat="1" ht="14.4" customHeight="1">
      <c r="A314" s="972"/>
      <c r="B314" s="954" t="s">
        <v>561</v>
      </c>
      <c r="C314" s="973"/>
      <c r="D314" s="974"/>
      <c r="E314" s="974"/>
      <c r="F314" s="974"/>
      <c r="G314" s="975"/>
      <c r="H314" s="976"/>
      <c r="I314" s="976"/>
      <c r="J314" s="977"/>
      <c r="K314" s="978"/>
      <c r="L314" s="973"/>
      <c r="M314" s="979"/>
      <c r="N314" s="980"/>
      <c r="O314" s="981"/>
      <c r="P314" s="982"/>
      <c r="Q314" s="983"/>
      <c r="R314" s="957">
        <f>$A314*Q314</f>
        <v>0</v>
      </c>
      <c r="S314" s="550"/>
      <c r="T314" s="488">
        <f>$A314*S314*$T$1</f>
        <v>0</v>
      </c>
    </row>
    <row r="315" spans="1:41" s="915" customFormat="1" ht="13.2">
      <c r="A315">
        <v>1</v>
      </c>
      <c r="B315" s="915" t="s">
        <v>269</v>
      </c>
      <c r="D315" s="915" t="s">
        <v>612</v>
      </c>
      <c r="G315" s="916" t="s">
        <v>584</v>
      </c>
      <c r="H315" s="917">
        <v>501</v>
      </c>
      <c r="I315" s="915" t="s">
        <v>558</v>
      </c>
      <c r="K315" s="915" t="s">
        <v>585</v>
      </c>
      <c r="O315" s="918">
        <v>1</v>
      </c>
      <c r="P315" s="919">
        <v>35705</v>
      </c>
      <c r="Q315" s="999">
        <v>0</v>
      </c>
      <c r="R315" s="921">
        <f>$A315*Q315</f>
        <v>0</v>
      </c>
      <c r="S315" s="920">
        <v>0</v>
      </c>
      <c r="T315" s="922">
        <f>$A315*S315*$T$1</f>
        <v>0</v>
      </c>
    </row>
    <row r="316" spans="1:41" s="489" customFormat="1" ht="11.4">
      <c r="A316" s="698"/>
      <c r="B316" s="550"/>
      <c r="C316" s="550"/>
      <c r="D316" s="550"/>
      <c r="E316" s="550"/>
      <c r="F316" s="550"/>
      <c r="G316" s="550"/>
      <c r="H316" s="550"/>
      <c r="I316" s="550"/>
      <c r="J316" s="550"/>
      <c r="K316" s="550"/>
      <c r="L316" s="956"/>
      <c r="M316" s="550"/>
      <c r="N316" s="550"/>
      <c r="O316" s="550"/>
      <c r="P316" s="550"/>
      <c r="Q316" s="550"/>
      <c r="R316" s="957">
        <f>$A316*Q316</f>
        <v>0</v>
      </c>
      <c r="S316" s="550"/>
      <c r="T316" s="488">
        <f>$A316*S316*$T$1</f>
        <v>0</v>
      </c>
    </row>
    <row r="317" spans="1:41" s="489" customFormat="1" ht="12" customHeight="1">
      <c r="A317" s="985" t="s">
        <v>144</v>
      </c>
      <c r="B317" s="959">
        <f>(R316+T316)</f>
        <v>0</v>
      </c>
      <c r="C317" s="987"/>
      <c r="D317" s="987"/>
      <c r="E317" s="987"/>
      <c r="F317" s="987"/>
      <c r="G317" s="963"/>
      <c r="H317" s="963"/>
      <c r="I317" s="963"/>
      <c r="J317" s="963"/>
      <c r="K317" s="988" t="s">
        <v>5</v>
      </c>
      <c r="L317" s="989" t="s">
        <v>560</v>
      </c>
      <c r="M317" s="963"/>
      <c r="N317" s="963"/>
      <c r="O317" s="963"/>
      <c r="P317" s="963"/>
      <c r="Q317" s="963"/>
      <c r="R317" s="964">
        <f>SUM(R313:R316)</f>
        <v>0</v>
      </c>
      <c r="S317" s="965"/>
      <c r="T317" s="964">
        <f>SUM(T313:T316)</f>
        <v>0</v>
      </c>
      <c r="AG317" s="990">
        <f>ROUND($R317*$S$3,2)</f>
        <v>0</v>
      </c>
    </row>
    <row r="318" spans="1:41" s="489" customFormat="1" ht="12.75" customHeight="1">
      <c r="A318" s="991"/>
      <c r="B318" s="992"/>
      <c r="E318" s="485"/>
      <c r="F318" s="993"/>
      <c r="G318" s="485"/>
      <c r="H318" s="485"/>
      <c r="I318" s="487"/>
      <c r="J318" s="485"/>
      <c r="K318" s="485"/>
      <c r="L318" s="994"/>
      <c r="M318" s="701"/>
      <c r="N318" s="701"/>
      <c r="O318" s="701"/>
      <c r="P318" s="701"/>
      <c r="Q318" s="685"/>
      <c r="R318" s="971"/>
      <c r="S318" s="485"/>
      <c r="T318" s="971"/>
    </row>
    <row r="319" spans="1:41" s="489" customFormat="1" ht="13.5" customHeight="1" thickBot="1">
      <c r="A319" s="995"/>
      <c r="B319" s="996"/>
      <c r="C319" s="505"/>
      <c r="D319" s="505"/>
      <c r="E319" s="502"/>
      <c r="F319" s="674"/>
      <c r="G319" s="502" t="s">
        <v>145</v>
      </c>
      <c r="H319" s="502"/>
      <c r="I319" s="503"/>
      <c r="J319" s="502"/>
      <c r="K319" s="502"/>
      <c r="L319" s="997" t="s">
        <v>142</v>
      </c>
      <c r="M319" s="504"/>
      <c r="N319" s="504"/>
      <c r="O319" s="504"/>
      <c r="P319" s="504"/>
      <c r="Q319" s="675"/>
      <c r="R319" s="998">
        <f>SUMIF($L302:$L318,"SUBI",R302:R318)</f>
        <v>11.06</v>
      </c>
      <c r="S319" s="502"/>
      <c r="T319" s="998">
        <f>SUMIF($L302:$L318,"SUBI",T302:T318)</f>
        <v>4.4400000000000004</v>
      </c>
      <c r="U319" s="505"/>
      <c r="V319" s="505"/>
      <c r="W319" s="505"/>
      <c r="X319" s="505"/>
      <c r="Y319" s="505"/>
      <c r="Z319" s="505"/>
      <c r="AA319" s="505"/>
      <c r="AB319" s="505"/>
      <c r="AC319" s="505"/>
      <c r="AD319" s="505"/>
      <c r="AE319" s="505"/>
      <c r="AF319" s="505"/>
      <c r="AG319" s="505"/>
      <c r="AH319" s="505"/>
      <c r="AI319" s="505"/>
      <c r="AJ319" s="505"/>
      <c r="AK319" s="505"/>
      <c r="AL319" s="505"/>
      <c r="AM319" s="505"/>
      <c r="AN319" s="505"/>
      <c r="AO319" s="505"/>
    </row>
    <row r="320" spans="1:41" s="489" customFormat="1" thickTop="1">
      <c r="A320" s="40"/>
      <c r="B320" s="40"/>
      <c r="C320" s="3"/>
      <c r="D320" s="3"/>
      <c r="E320" s="40"/>
      <c r="F320" s="40"/>
      <c r="G320" s="40"/>
      <c r="H320" s="40"/>
      <c r="I320" s="40"/>
      <c r="J320" s="40"/>
      <c r="K320" s="40" t="s">
        <v>134</v>
      </c>
      <c r="L320" s="40"/>
      <c r="M320" s="40"/>
      <c r="N320" s="40"/>
      <c r="O320" s="41"/>
      <c r="P320" s="40"/>
      <c r="Q320" s="40"/>
      <c r="R320" s="40"/>
      <c r="S320" s="40"/>
      <c r="T320" s="40"/>
    </row>
    <row r="321" spans="1:41" s="489" customFormat="1" ht="12">
      <c r="A321" s="40"/>
      <c r="B321" s="40"/>
      <c r="C321" s="40" t="s">
        <v>135</v>
      </c>
      <c r="D321" s="34" t="s">
        <v>520</v>
      </c>
      <c r="E321" s="40"/>
      <c r="F321" s="40"/>
      <c r="G321" s="40"/>
      <c r="H321" s="40"/>
      <c r="I321" s="40"/>
      <c r="J321" s="40"/>
      <c r="K321" s="40"/>
      <c r="L321" s="40"/>
      <c r="M321" s="40"/>
      <c r="N321" s="40"/>
      <c r="O321" s="41"/>
      <c r="P321" s="40"/>
      <c r="Q321" s="40"/>
      <c r="R321" s="40"/>
      <c r="S321" s="40"/>
      <c r="T321" s="40"/>
    </row>
    <row r="322" spans="1:41" s="489" customFormat="1" ht="36">
      <c r="A322" s="492"/>
      <c r="B322"/>
      <c r="C322" s="492"/>
      <c r="D322" s="756" t="s">
        <v>450</v>
      </c>
      <c r="E322" s="757"/>
      <c r="F322" s="757"/>
      <c r="G322" s="757"/>
      <c r="H322" s="757"/>
      <c r="I322" s="757"/>
      <c r="J322" s="757"/>
      <c r="K322" s="757"/>
      <c r="L322" s="757"/>
      <c r="M322" s="757"/>
      <c r="N322" s="757"/>
      <c r="O322" s="757"/>
      <c r="P322" s="757"/>
      <c r="Q322" s="757"/>
      <c r="R322" s="758"/>
      <c r="S322" s="757"/>
      <c r="T322" s="757"/>
    </row>
    <row r="323" spans="1:41" s="3" customFormat="1" thickBot="1">
      <c r="A323" s="505"/>
      <c r="O323" s="81"/>
    </row>
    <row r="324" spans="1:41" s="489" customFormat="1" ht="12" thickTop="1">
      <c r="A324" s="40"/>
      <c r="B324" s="36"/>
      <c r="C324" s="40"/>
      <c r="E324" s="37" t="s">
        <v>137</v>
      </c>
      <c r="F324" s="37" t="s">
        <v>138</v>
      </c>
      <c r="G324" s="40"/>
      <c r="H324" s="40"/>
      <c r="I324" s="40"/>
      <c r="J324" s="40"/>
      <c r="K324" s="40" t="s">
        <v>139</v>
      </c>
      <c r="L324" s="40"/>
      <c r="M324" s="40"/>
      <c r="N324" s="40"/>
      <c r="O324" s="41"/>
      <c r="P324" s="40"/>
      <c r="Q324" s="40"/>
      <c r="R324" s="40"/>
      <c r="S324" s="40"/>
      <c r="T324" s="36"/>
      <c r="AG324" s="662" t="s">
        <v>238</v>
      </c>
      <c r="AH324" s="662" t="s">
        <v>239</v>
      </c>
      <c r="AI324" s="662" t="s">
        <v>240</v>
      </c>
      <c r="AJ324" s="662" t="s">
        <v>241</v>
      </c>
      <c r="AK324" s="662" t="s">
        <v>242</v>
      </c>
      <c r="AM324" s="663" t="s">
        <v>251</v>
      </c>
      <c r="AN324" s="664" t="s">
        <v>252</v>
      </c>
      <c r="AO324" s="490" t="s">
        <v>248</v>
      </c>
    </row>
    <row r="325" spans="1:41" s="489" customFormat="1" ht="12" customHeight="1">
      <c r="A325" s="1001">
        <v>1</v>
      </c>
      <c r="B325" s="491" t="s">
        <v>140</v>
      </c>
      <c r="C325" s="492"/>
      <c r="D325" s="666" t="s">
        <v>500</v>
      </c>
      <c r="E325" s="667">
        <f>IF(AND($A325=0,$A$1="DIF"),0, ROUND(ROUND(($R330*$S$2+($T330*$T$2))/A325,2)*$C$2,2))</f>
        <v>19.5</v>
      </c>
      <c r="F325" s="668">
        <f>ROUND($A325*$E325,2)</f>
        <v>19.5</v>
      </c>
      <c r="G325" s="493" t="s">
        <v>141</v>
      </c>
      <c r="H325" s="486"/>
      <c r="I325" s="669"/>
      <c r="J325" s="486"/>
      <c r="K325" s="486" t="s">
        <v>3</v>
      </c>
      <c r="L325" s="670" t="s">
        <v>142</v>
      </c>
      <c r="M325" s="670"/>
      <c r="N325" s="670"/>
      <c r="O325" s="670"/>
      <c r="P325" s="670"/>
      <c r="Q325" s="40"/>
      <c r="T325" s="671" t="str">
        <f>IF(AND($R330=0,$T330=0),"0.00","mu :" &amp; ROUND($F325/$C$2/($R330+$T330*$D$9),2))</f>
        <v>mu :1</v>
      </c>
      <c r="W325" s="494"/>
      <c r="AG325" s="447">
        <f>IF($E325=0,0,ROUND($R330*$S$2*$C$2/$A325,2))</f>
        <v>3.3</v>
      </c>
      <c r="AH325" s="447">
        <f>$AG325*$A325</f>
        <v>3.3</v>
      </c>
      <c r="AI325" s="495">
        <f>$E325-$AG325</f>
        <v>16.2</v>
      </c>
      <c r="AJ325" s="495">
        <f>$A325*$AI325</f>
        <v>16.2</v>
      </c>
      <c r="AK325" s="496">
        <f>ROUND(($AG325+$AI325)*$A325,2)</f>
        <v>19.5</v>
      </c>
      <c r="AM325" s="497">
        <f>ROUND(R330,2)</f>
        <v>3.3</v>
      </c>
      <c r="AN325" s="498">
        <f>ROUND(T330,2)</f>
        <v>0.59</v>
      </c>
      <c r="AO325" s="499">
        <f>ROUND(AM325+AN325,2)*A325</f>
        <v>3.89</v>
      </c>
    </row>
    <row r="326" spans="1:41" s="489" customFormat="1" ht="13.2">
      <c r="A326" s="492"/>
      <c r="B326"/>
      <c r="C326" s="492"/>
      <c r="D326" s="666" t="s">
        <v>451</v>
      </c>
      <c r="F326" s="486"/>
      <c r="G326" s="3"/>
      <c r="H326" s="486"/>
      <c r="I326" s="669"/>
      <c r="J326" s="486"/>
      <c r="K326" s="486" t="s">
        <v>143</v>
      </c>
      <c r="L326" s="486"/>
      <c r="M326" s="486"/>
      <c r="N326" s="486"/>
      <c r="O326" s="486"/>
      <c r="P326" s="486"/>
      <c r="Q326" s="40"/>
      <c r="R326" s="550"/>
      <c r="S326" s="672"/>
      <c r="T326" s="486"/>
    </row>
    <row r="327" spans="1:41" s="915" customFormat="1" ht="13.2">
      <c r="A327">
        <v>3</v>
      </c>
      <c r="B327" s="915" t="s">
        <v>277</v>
      </c>
      <c r="D327" s="915" t="s">
        <v>548</v>
      </c>
      <c r="G327" s="916" t="s">
        <v>549</v>
      </c>
      <c r="H327" s="917">
        <v>616</v>
      </c>
      <c r="I327" s="915" t="s">
        <v>550</v>
      </c>
      <c r="J327" s="915" t="s">
        <v>551</v>
      </c>
      <c r="K327" s="915" t="s">
        <v>552</v>
      </c>
      <c r="O327" s="918">
        <v>2</v>
      </c>
      <c r="P327" s="919">
        <v>40767</v>
      </c>
      <c r="Q327" s="920">
        <v>1.1000000000000001</v>
      </c>
      <c r="R327" s="921">
        <f>$A327*Q327</f>
        <v>3.3000000000000003</v>
      </c>
      <c r="S327" s="920">
        <v>0.03</v>
      </c>
      <c r="T327" s="922">
        <f>$A327*S327*$T$1</f>
        <v>0.09</v>
      </c>
    </row>
    <row r="328" spans="1:41" s="915" customFormat="1" ht="13.2">
      <c r="A328" s="82">
        <v>1</v>
      </c>
      <c r="B328" s="915" t="s">
        <v>269</v>
      </c>
      <c r="D328" s="915" t="s">
        <v>555</v>
      </c>
      <c r="G328" s="916" t="s">
        <v>553</v>
      </c>
      <c r="H328" s="917">
        <v>900</v>
      </c>
      <c r="I328" s="915" t="s">
        <v>554</v>
      </c>
      <c r="O328" s="918">
        <v>1</v>
      </c>
      <c r="P328" s="919"/>
      <c r="Q328" s="920"/>
      <c r="R328" s="921">
        <f>$A328*Q328</f>
        <v>0</v>
      </c>
      <c r="S328" s="920">
        <v>0.5</v>
      </c>
      <c r="T328" s="922">
        <f>$A328*S328*$T$1</f>
        <v>0.5</v>
      </c>
    </row>
    <row r="329" spans="1:41" s="489" customFormat="1" ht="12">
      <c r="A329" s="485"/>
      <c r="B329" s="485"/>
      <c r="C329" s="485"/>
      <c r="D329" s="485"/>
      <c r="E329" s="485"/>
      <c r="F329" s="486"/>
      <c r="G329" s="485"/>
      <c r="H329" s="485"/>
      <c r="I329" s="487"/>
      <c r="J329" s="485"/>
      <c r="K329" s="485"/>
      <c r="L329" s="485"/>
      <c r="M329" s="485"/>
      <c r="N329" s="485"/>
      <c r="O329" s="485"/>
      <c r="P329" s="485"/>
      <c r="Q329" s="487"/>
      <c r="R329" s="673">
        <f t="shared" ref="R329" si="32">$A329*Q329</f>
        <v>0</v>
      </c>
      <c r="S329" s="487"/>
      <c r="T329" s="488">
        <f t="shared" ref="T329" si="33">$A329*S329*$T$1</f>
        <v>0</v>
      </c>
    </row>
    <row r="330" spans="1:41" s="489" customFormat="1" ht="12.6" thickBot="1">
      <c r="A330" s="500" t="s">
        <v>144</v>
      </c>
      <c r="B330" s="501">
        <f>(R329+T329)</f>
        <v>0</v>
      </c>
      <c r="C330" s="502"/>
      <c r="D330" s="502"/>
      <c r="E330" s="502"/>
      <c r="F330" s="674"/>
      <c r="G330" s="502" t="s">
        <v>145</v>
      </c>
      <c r="H330" s="502"/>
      <c r="I330" s="503"/>
      <c r="J330" s="502"/>
      <c r="K330" s="502" t="s">
        <v>3</v>
      </c>
      <c r="L330" s="504" t="s">
        <v>142</v>
      </c>
      <c r="M330" s="504"/>
      <c r="N330" s="504"/>
      <c r="O330" s="504"/>
      <c r="P330" s="504"/>
      <c r="Q330" s="675"/>
      <c r="R330" s="676">
        <f>SUM(R326:R329)</f>
        <v>3.3000000000000003</v>
      </c>
      <c r="S330" s="502"/>
      <c r="T330" s="676">
        <f>SUM(T326:T329)</f>
        <v>0.59</v>
      </c>
      <c r="U330" s="505"/>
      <c r="V330" s="505"/>
      <c r="W330" s="505"/>
      <c r="X330" s="505"/>
      <c r="Y330" s="505"/>
      <c r="Z330" s="505"/>
      <c r="AA330" s="505"/>
      <c r="AB330" s="505"/>
      <c r="AC330" s="505"/>
      <c r="AD330" s="505"/>
      <c r="AE330" s="505"/>
      <c r="AF330" s="505"/>
      <c r="AG330" s="505"/>
      <c r="AH330" s="505"/>
      <c r="AI330" s="505"/>
      <c r="AJ330" s="505"/>
      <c r="AK330" s="505"/>
      <c r="AL330" s="505"/>
      <c r="AM330" s="505"/>
      <c r="AN330" s="505"/>
      <c r="AO330" s="505"/>
    </row>
    <row r="331" spans="1:41" s="489" customFormat="1" thickTop="1">
      <c r="A331" s="40"/>
      <c r="B331" s="40"/>
      <c r="C331" s="3"/>
      <c r="D331" s="3"/>
      <c r="E331" s="40"/>
      <c r="F331" s="40"/>
      <c r="G331" s="40"/>
      <c r="H331" s="40"/>
      <c r="I331" s="40"/>
      <c r="J331" s="40"/>
      <c r="K331" s="40" t="s">
        <v>134</v>
      </c>
      <c r="L331" s="40"/>
      <c r="M331" s="40"/>
      <c r="N331" s="40"/>
      <c r="O331" s="41"/>
      <c r="P331" s="40"/>
      <c r="Q331" s="40"/>
      <c r="R331" s="40"/>
      <c r="S331" s="40"/>
      <c r="T331" s="40"/>
    </row>
    <row r="332" spans="1:41" s="489" customFormat="1" ht="12">
      <c r="A332" s="40"/>
      <c r="B332" s="40"/>
      <c r="C332" s="40" t="s">
        <v>135</v>
      </c>
      <c r="D332" s="34" t="s">
        <v>521</v>
      </c>
      <c r="E332" s="40"/>
      <c r="F332" s="40"/>
      <c r="G332" s="40"/>
      <c r="H332" s="40"/>
      <c r="I332" s="40"/>
      <c r="J332" s="40"/>
      <c r="K332" s="40"/>
      <c r="L332" s="40"/>
      <c r="M332" s="40"/>
      <c r="N332" s="40"/>
      <c r="O332" s="41"/>
      <c r="P332" s="40"/>
      <c r="Q332" s="40"/>
      <c r="R332" s="40"/>
      <c r="S332" s="40"/>
      <c r="T332" s="40"/>
    </row>
    <row r="333" spans="1:41" s="489" customFormat="1" ht="36">
      <c r="A333" s="492"/>
      <c r="B333"/>
      <c r="C333" s="492"/>
      <c r="D333" s="756" t="s">
        <v>452</v>
      </c>
      <c r="E333" s="757"/>
      <c r="F333" s="757"/>
      <c r="G333" s="757"/>
      <c r="H333" s="757"/>
      <c r="I333" s="757"/>
      <c r="J333" s="757"/>
      <c r="K333" s="757"/>
      <c r="L333" s="757"/>
      <c r="M333" s="757"/>
      <c r="N333" s="757"/>
      <c r="O333" s="757"/>
      <c r="P333" s="757"/>
      <c r="Q333" s="757"/>
      <c r="R333" s="758"/>
      <c r="S333" s="757"/>
      <c r="T333" s="757"/>
    </row>
    <row r="334" spans="1:41" s="3" customFormat="1" thickBot="1">
      <c r="A334" s="505"/>
      <c r="O334" s="81"/>
    </row>
    <row r="335" spans="1:41" s="489" customFormat="1" ht="12" thickTop="1">
      <c r="A335" s="40"/>
      <c r="B335" s="36"/>
      <c r="C335" s="40"/>
      <c r="E335" s="37" t="s">
        <v>137</v>
      </c>
      <c r="F335" s="37" t="s">
        <v>138</v>
      </c>
      <c r="G335" s="40"/>
      <c r="H335" s="40"/>
      <c r="I335" s="40"/>
      <c r="J335" s="40"/>
      <c r="K335" s="40" t="s">
        <v>139</v>
      </c>
      <c r="L335" s="40"/>
      <c r="M335" s="40"/>
      <c r="N335" s="40"/>
      <c r="O335" s="41"/>
      <c r="P335" s="40"/>
      <c r="Q335" s="40"/>
      <c r="R335" s="40"/>
      <c r="S335" s="40"/>
      <c r="T335" s="36"/>
      <c r="AG335" s="662" t="s">
        <v>238</v>
      </c>
      <c r="AH335" s="662" t="s">
        <v>239</v>
      </c>
      <c r="AI335" s="662" t="s">
        <v>240</v>
      </c>
      <c r="AJ335" s="662" t="s">
        <v>241</v>
      </c>
      <c r="AK335" s="662" t="s">
        <v>242</v>
      </c>
      <c r="AM335" s="663" t="s">
        <v>251</v>
      </c>
      <c r="AN335" s="664" t="s">
        <v>252</v>
      </c>
      <c r="AO335" s="490" t="s">
        <v>248</v>
      </c>
    </row>
    <row r="336" spans="1:41" s="489" customFormat="1" ht="12" customHeight="1">
      <c r="A336" s="1001">
        <v>1</v>
      </c>
      <c r="B336" s="491" t="s">
        <v>140</v>
      </c>
      <c r="C336" s="492"/>
      <c r="D336" s="666" t="s">
        <v>500</v>
      </c>
      <c r="E336" s="667">
        <f>IF(AND($A336=0,$A$1="DIF"),0, ROUND(ROUND(($R341*$S$2+($T341*$T$2))/A336,2)*$C$2,2))</f>
        <v>17.579999999999998</v>
      </c>
      <c r="F336" s="668">
        <f>ROUND($A336*$E336,2)</f>
        <v>17.579999999999998</v>
      </c>
      <c r="G336" s="493" t="s">
        <v>141</v>
      </c>
      <c r="H336" s="486"/>
      <c r="I336" s="669"/>
      <c r="J336" s="486"/>
      <c r="K336" s="486" t="s">
        <v>3</v>
      </c>
      <c r="L336" s="670" t="s">
        <v>142</v>
      </c>
      <c r="M336" s="670"/>
      <c r="N336" s="670"/>
      <c r="O336" s="670"/>
      <c r="P336" s="670"/>
      <c r="Q336" s="40"/>
      <c r="T336" s="671" t="str">
        <f>IF(AND($R341=0,$T341=0),"0.00","mu :" &amp; ROUND($F336/$C$2/($R341+$T341*$D$9),2))</f>
        <v>mu :1</v>
      </c>
      <c r="W336" s="494"/>
      <c r="AG336" s="447">
        <f>IF($E336=0,0,ROUND($R341*$S$2*$C$2/$A336,2))</f>
        <v>2.2000000000000002</v>
      </c>
      <c r="AH336" s="447">
        <f>$AG336*$A336</f>
        <v>2.2000000000000002</v>
      </c>
      <c r="AI336" s="495">
        <f>$E336-$AG336</f>
        <v>15.379999999999999</v>
      </c>
      <c r="AJ336" s="495">
        <f>$A336*$AI336</f>
        <v>15.379999999999999</v>
      </c>
      <c r="AK336" s="496">
        <f>ROUND(($AG336+$AI336)*$A336,2)</f>
        <v>17.579999999999998</v>
      </c>
      <c r="AM336" s="497">
        <f>ROUND(R341,2)</f>
        <v>2.2000000000000002</v>
      </c>
      <c r="AN336" s="498">
        <f>ROUND(T341,2)</f>
        <v>0.56000000000000005</v>
      </c>
      <c r="AO336" s="499">
        <f>ROUND(AM336+AN336,2)*A336</f>
        <v>2.76</v>
      </c>
    </row>
    <row r="337" spans="1:41" s="489" customFormat="1" ht="13.2">
      <c r="A337" s="492"/>
      <c r="B337"/>
      <c r="C337" s="492"/>
      <c r="D337" s="666" t="s">
        <v>453</v>
      </c>
      <c r="F337" s="486"/>
      <c r="G337" s="3"/>
      <c r="H337" s="486"/>
      <c r="I337" s="669"/>
      <c r="J337" s="486"/>
      <c r="K337" s="486" t="s">
        <v>143</v>
      </c>
      <c r="L337" s="486"/>
      <c r="M337" s="486"/>
      <c r="N337" s="486"/>
      <c r="O337" s="486"/>
      <c r="P337" s="486"/>
      <c r="Q337" s="40"/>
      <c r="R337" s="550"/>
      <c r="S337" s="672"/>
      <c r="T337" s="486"/>
    </row>
    <row r="338" spans="1:41" s="915" customFormat="1" ht="13.2">
      <c r="A338">
        <v>2</v>
      </c>
      <c r="B338" s="915" t="s">
        <v>277</v>
      </c>
      <c r="D338" s="915" t="s">
        <v>548</v>
      </c>
      <c r="G338" s="916" t="s">
        <v>549</v>
      </c>
      <c r="H338" s="917">
        <v>616</v>
      </c>
      <c r="I338" s="915" t="s">
        <v>550</v>
      </c>
      <c r="J338" s="915" t="s">
        <v>551</v>
      </c>
      <c r="K338" s="915" t="s">
        <v>552</v>
      </c>
      <c r="O338" s="918">
        <v>2</v>
      </c>
      <c r="P338" s="919">
        <v>40767</v>
      </c>
      <c r="Q338" s="920">
        <v>1.1000000000000001</v>
      </c>
      <c r="R338" s="921">
        <f>$A338*Q338</f>
        <v>2.2000000000000002</v>
      </c>
      <c r="S338" s="920">
        <v>0.03</v>
      </c>
      <c r="T338" s="922">
        <f>$A338*S338*$T$1</f>
        <v>0.06</v>
      </c>
    </row>
    <row r="339" spans="1:41" s="915" customFormat="1" ht="13.2">
      <c r="A339" s="82">
        <v>1</v>
      </c>
      <c r="B339" s="915" t="s">
        <v>269</v>
      </c>
      <c r="D339" s="915" t="s">
        <v>555</v>
      </c>
      <c r="G339" s="916" t="s">
        <v>553</v>
      </c>
      <c r="H339" s="917">
        <v>900</v>
      </c>
      <c r="I339" s="915" t="s">
        <v>554</v>
      </c>
      <c r="O339" s="918">
        <v>1</v>
      </c>
      <c r="P339" s="919"/>
      <c r="Q339" s="920"/>
      <c r="R339" s="921">
        <f>$A339*Q339</f>
        <v>0</v>
      </c>
      <c r="S339" s="920">
        <v>0.5</v>
      </c>
      <c r="T339" s="922">
        <f>$A339*S339*$T$1</f>
        <v>0.5</v>
      </c>
    </row>
    <row r="340" spans="1:41" s="489" customFormat="1" ht="12">
      <c r="A340" s="485"/>
      <c r="B340" s="485"/>
      <c r="C340" s="485"/>
      <c r="D340" s="485"/>
      <c r="E340" s="485"/>
      <c r="F340" s="486"/>
      <c r="G340" s="485"/>
      <c r="H340" s="485"/>
      <c r="I340" s="487"/>
      <c r="J340" s="485"/>
      <c r="K340" s="485"/>
      <c r="L340" s="485"/>
      <c r="M340" s="485"/>
      <c r="N340" s="485"/>
      <c r="O340" s="485"/>
      <c r="P340" s="485"/>
      <c r="Q340" s="487"/>
      <c r="R340" s="673">
        <f t="shared" ref="R340" si="34">$A340*Q340</f>
        <v>0</v>
      </c>
      <c r="S340" s="487"/>
      <c r="T340" s="488">
        <f t="shared" ref="T340" si="35">$A340*S340*$T$1</f>
        <v>0</v>
      </c>
    </row>
    <row r="341" spans="1:41" s="489" customFormat="1" ht="12.6" thickBot="1">
      <c r="A341" s="500" t="s">
        <v>144</v>
      </c>
      <c r="B341" s="501">
        <f>(R340+T340)</f>
        <v>0</v>
      </c>
      <c r="C341" s="502"/>
      <c r="D341" s="502"/>
      <c r="E341" s="502"/>
      <c r="F341" s="674"/>
      <c r="G341" s="502" t="s">
        <v>145</v>
      </c>
      <c r="H341" s="502"/>
      <c r="I341" s="503"/>
      <c r="J341" s="502"/>
      <c r="K341" s="502" t="s">
        <v>3</v>
      </c>
      <c r="L341" s="504" t="s">
        <v>142</v>
      </c>
      <c r="M341" s="504"/>
      <c r="N341" s="504"/>
      <c r="O341" s="504"/>
      <c r="P341" s="504"/>
      <c r="Q341" s="675"/>
      <c r="R341" s="676">
        <f>SUM(R337:R340)</f>
        <v>2.2000000000000002</v>
      </c>
      <c r="S341" s="502"/>
      <c r="T341" s="676">
        <f>SUM(T337:T340)</f>
        <v>0.56000000000000005</v>
      </c>
      <c r="U341" s="505"/>
      <c r="V341" s="505"/>
      <c r="W341" s="505"/>
      <c r="X341" s="505"/>
      <c r="Y341" s="505"/>
      <c r="Z341" s="505"/>
      <c r="AA341" s="505"/>
      <c r="AB341" s="505"/>
      <c r="AC341" s="505"/>
      <c r="AD341" s="505"/>
      <c r="AE341" s="505"/>
      <c r="AF341" s="505"/>
      <c r="AG341" s="505"/>
      <c r="AH341" s="505"/>
      <c r="AI341" s="505"/>
      <c r="AJ341" s="505"/>
      <c r="AK341" s="505"/>
      <c r="AL341" s="505"/>
      <c r="AM341" s="505"/>
      <c r="AN341" s="505"/>
      <c r="AO341" s="505"/>
    </row>
    <row r="342" spans="1:41" s="489" customFormat="1" ht="12" thickTop="1">
      <c r="A342" s="40"/>
      <c r="B342" s="36"/>
      <c r="C342" s="40"/>
      <c r="E342" s="37" t="s">
        <v>137</v>
      </c>
      <c r="F342" s="37" t="s">
        <v>138</v>
      </c>
      <c r="G342" s="40"/>
      <c r="H342" s="40"/>
      <c r="I342" s="40"/>
      <c r="J342" s="40"/>
      <c r="K342" s="40" t="s">
        <v>139</v>
      </c>
      <c r="L342" s="40"/>
      <c r="M342" s="40"/>
      <c r="N342" s="40"/>
      <c r="O342" s="41"/>
      <c r="P342" s="40"/>
      <c r="Q342" s="40"/>
      <c r="R342" s="40"/>
      <c r="S342" s="40"/>
      <c r="T342" s="36"/>
      <c r="AG342" s="662" t="s">
        <v>238</v>
      </c>
      <c r="AH342" s="662" t="s">
        <v>239</v>
      </c>
      <c r="AI342" s="662" t="s">
        <v>240</v>
      </c>
      <c r="AJ342" s="662" t="s">
        <v>241</v>
      </c>
      <c r="AK342" s="662" t="s">
        <v>242</v>
      </c>
      <c r="AM342" s="663" t="s">
        <v>251</v>
      </c>
      <c r="AN342" s="664" t="s">
        <v>252</v>
      </c>
      <c r="AO342" s="490" t="s">
        <v>248</v>
      </c>
    </row>
    <row r="343" spans="1:41" s="489" customFormat="1" ht="12" customHeight="1">
      <c r="A343" s="1001">
        <v>1</v>
      </c>
      <c r="B343" s="491" t="s">
        <v>140</v>
      </c>
      <c r="C343" s="492"/>
      <c r="D343" s="666" t="s">
        <v>500</v>
      </c>
      <c r="E343" s="667">
        <f>IF(AND($A343=0,$A$1="DIF"),0, ROUND(ROUND(($R348*$S$2+($T348*$T$2))/A343,2)*$C$2,2))</f>
        <v>17.579999999999998</v>
      </c>
      <c r="F343" s="668">
        <f>ROUND($A343*$E343,2)</f>
        <v>17.579999999999998</v>
      </c>
      <c r="G343" s="493" t="s">
        <v>141</v>
      </c>
      <c r="H343" s="486"/>
      <c r="I343" s="669"/>
      <c r="J343" s="486"/>
      <c r="K343" s="486" t="s">
        <v>3</v>
      </c>
      <c r="L343" s="670" t="s">
        <v>142</v>
      </c>
      <c r="M343" s="670"/>
      <c r="N343" s="670"/>
      <c r="O343" s="670"/>
      <c r="P343" s="670"/>
      <c r="Q343" s="40"/>
      <c r="T343" s="671" t="str">
        <f>IF(AND($R348=0,$T348=0),"0.00","mu :" &amp; ROUND($F343/$C$2/($R348+$T348*$D$9),2))</f>
        <v>mu :1</v>
      </c>
      <c r="W343" s="494"/>
      <c r="AG343" s="447">
        <f>IF($E343=0,0,ROUND($R348*$S$2*$C$2/$A343,2))</f>
        <v>2.2000000000000002</v>
      </c>
      <c r="AH343" s="447">
        <f>$AG343*$A343</f>
        <v>2.2000000000000002</v>
      </c>
      <c r="AI343" s="495">
        <f>$E343-$AG343</f>
        <v>15.379999999999999</v>
      </c>
      <c r="AJ343" s="495">
        <f>$A343*$AI343</f>
        <v>15.379999999999999</v>
      </c>
      <c r="AK343" s="496">
        <f>ROUND(($AG343+$AI343)*$A343,2)</f>
        <v>17.579999999999998</v>
      </c>
      <c r="AM343" s="497">
        <f>ROUND(R348,2)</f>
        <v>2.2000000000000002</v>
      </c>
      <c r="AN343" s="498">
        <f>ROUND(T348,2)</f>
        <v>0.56000000000000005</v>
      </c>
      <c r="AO343" s="499">
        <f>ROUND(AM343+AN343,2)*A343</f>
        <v>2.76</v>
      </c>
    </row>
    <row r="344" spans="1:41" s="489" customFormat="1" ht="13.2">
      <c r="A344" s="492"/>
      <c r="B344"/>
      <c r="C344" s="492"/>
      <c r="D344" s="666" t="s">
        <v>454</v>
      </c>
      <c r="F344" s="486"/>
      <c r="G344" s="3"/>
      <c r="H344" s="486"/>
      <c r="I344" s="669"/>
      <c r="J344" s="486"/>
      <c r="K344" s="486" t="s">
        <v>143</v>
      </c>
      <c r="L344" s="486"/>
      <c r="M344" s="486"/>
      <c r="N344" s="486"/>
      <c r="O344" s="486"/>
      <c r="P344" s="486"/>
      <c r="Q344" s="40"/>
      <c r="R344" s="550"/>
      <c r="S344" s="672"/>
      <c r="T344" s="486"/>
    </row>
    <row r="345" spans="1:41" s="915" customFormat="1" ht="13.2">
      <c r="A345">
        <v>2</v>
      </c>
      <c r="B345" s="915" t="s">
        <v>277</v>
      </c>
      <c r="D345" s="915" t="s">
        <v>548</v>
      </c>
      <c r="G345" s="916" t="s">
        <v>549</v>
      </c>
      <c r="H345" s="917">
        <v>616</v>
      </c>
      <c r="I345" s="915" t="s">
        <v>550</v>
      </c>
      <c r="J345" s="915" t="s">
        <v>551</v>
      </c>
      <c r="K345" s="915" t="s">
        <v>552</v>
      </c>
      <c r="O345" s="918">
        <v>2</v>
      </c>
      <c r="P345" s="919">
        <v>40767</v>
      </c>
      <c r="Q345" s="920">
        <v>1.1000000000000001</v>
      </c>
      <c r="R345" s="921">
        <f>$A345*Q345</f>
        <v>2.2000000000000002</v>
      </c>
      <c r="S345" s="920">
        <v>0.03</v>
      </c>
      <c r="T345" s="922">
        <f>$A345*S345*$T$1</f>
        <v>0.06</v>
      </c>
    </row>
    <row r="346" spans="1:41" s="915" customFormat="1" ht="13.2">
      <c r="A346" s="82">
        <v>1</v>
      </c>
      <c r="B346" s="915" t="s">
        <v>269</v>
      </c>
      <c r="D346" s="915" t="s">
        <v>555</v>
      </c>
      <c r="G346" s="916" t="s">
        <v>553</v>
      </c>
      <c r="H346" s="917">
        <v>900</v>
      </c>
      <c r="I346" s="915" t="s">
        <v>554</v>
      </c>
      <c r="O346" s="918">
        <v>1</v>
      </c>
      <c r="P346" s="919"/>
      <c r="Q346" s="920"/>
      <c r="R346" s="921">
        <f>$A346*Q346</f>
        <v>0</v>
      </c>
      <c r="S346" s="920">
        <v>0.5</v>
      </c>
      <c r="T346" s="922">
        <f>$A346*S346*$T$1</f>
        <v>0.5</v>
      </c>
    </row>
    <row r="347" spans="1:41" s="489" customFormat="1" ht="12">
      <c r="A347" s="485"/>
      <c r="B347" s="485"/>
      <c r="C347" s="485"/>
      <c r="D347" s="485"/>
      <c r="E347" s="485"/>
      <c r="F347" s="486"/>
      <c r="G347" s="485"/>
      <c r="H347" s="485"/>
      <c r="I347" s="487"/>
      <c r="J347" s="485"/>
      <c r="K347" s="485"/>
      <c r="L347" s="485"/>
      <c r="M347" s="485"/>
      <c r="N347" s="485"/>
      <c r="O347" s="485"/>
      <c r="P347" s="485"/>
      <c r="Q347" s="487"/>
      <c r="R347" s="673">
        <f t="shared" ref="R347" si="36">$A347*Q347</f>
        <v>0</v>
      </c>
      <c r="S347" s="487"/>
      <c r="T347" s="488">
        <f t="shared" ref="T347" si="37">$A347*S347*$T$1</f>
        <v>0</v>
      </c>
    </row>
    <row r="348" spans="1:41" s="489" customFormat="1" ht="12.6" thickBot="1">
      <c r="A348" s="500" t="s">
        <v>144</v>
      </c>
      <c r="B348" s="501">
        <f>(R347+T347)</f>
        <v>0</v>
      </c>
      <c r="C348" s="502"/>
      <c r="D348" s="502"/>
      <c r="E348" s="502"/>
      <c r="F348" s="674"/>
      <c r="G348" s="502" t="s">
        <v>145</v>
      </c>
      <c r="H348" s="502"/>
      <c r="I348" s="503"/>
      <c r="J348" s="502"/>
      <c r="K348" s="502" t="s">
        <v>3</v>
      </c>
      <c r="L348" s="504" t="s">
        <v>142</v>
      </c>
      <c r="M348" s="504"/>
      <c r="N348" s="504"/>
      <c r="O348" s="504"/>
      <c r="P348" s="504"/>
      <c r="Q348" s="675"/>
      <c r="R348" s="676">
        <f>SUM(R344:R347)</f>
        <v>2.2000000000000002</v>
      </c>
      <c r="S348" s="502"/>
      <c r="T348" s="676">
        <f>SUM(T344:T347)</f>
        <v>0.56000000000000005</v>
      </c>
      <c r="U348" s="505"/>
      <c r="V348" s="505"/>
      <c r="W348" s="505"/>
      <c r="X348" s="505"/>
      <c r="Y348" s="505"/>
      <c r="Z348" s="505"/>
      <c r="AA348" s="505"/>
      <c r="AB348" s="505"/>
      <c r="AC348" s="505"/>
      <c r="AD348" s="505"/>
      <c r="AE348" s="505"/>
      <c r="AF348" s="505"/>
      <c r="AG348" s="505"/>
      <c r="AH348" s="505"/>
      <c r="AI348" s="505"/>
      <c r="AJ348" s="505"/>
      <c r="AK348" s="505"/>
      <c r="AL348" s="505"/>
      <c r="AM348" s="505"/>
      <c r="AN348" s="505"/>
      <c r="AO348" s="505"/>
    </row>
    <row r="349" spans="1:41" s="489" customFormat="1" ht="12" thickTop="1">
      <c r="A349" s="38" t="s">
        <v>147</v>
      </c>
      <c r="D349" s="11"/>
      <c r="E349" s="37"/>
      <c r="O349" s="677"/>
    </row>
    <row r="350" spans="1:41" s="489" customFormat="1" ht="13.2">
      <c r="B350" s="3"/>
      <c r="O350" s="677"/>
    </row>
    <row r="351" spans="1:41" s="489" customFormat="1" ht="12">
      <c r="B351" s="678">
        <f>$F351/$C$2-($R351*$S$2+$T351*$T$2)</f>
        <v>9.9999999997635314E-4</v>
      </c>
      <c r="D351" s="679" t="s">
        <v>513</v>
      </c>
      <c r="E351" s="680"/>
      <c r="F351" s="681">
        <f>SUMIF($L288:$L349,"ITEM",F288:F349)</f>
        <v>187.64</v>
      </c>
      <c r="G351" s="485"/>
      <c r="H351" s="485"/>
      <c r="I351" s="487"/>
      <c r="J351" s="485"/>
      <c r="K351" s="485"/>
      <c r="L351" s="670" t="s">
        <v>514</v>
      </c>
      <c r="M351" s="670"/>
      <c r="N351" s="670"/>
      <c r="O351" s="670"/>
      <c r="P351" s="670"/>
      <c r="R351" s="681">
        <f>SUMIF($L288:$L349,"ITEM",R288:R349)</f>
        <v>18.760000000000002</v>
      </c>
      <c r="S351" s="682"/>
      <c r="T351" s="681">
        <f>SUMIF($L288:$L349,"ITEM",T288:T349)</f>
        <v>6.15</v>
      </c>
    </row>
    <row r="352" spans="1:41" s="489" customFormat="1" ht="13.2">
      <c r="A352" s="40"/>
      <c r="B352" s="683" t="s">
        <v>515</v>
      </c>
      <c r="C352" s="40"/>
      <c r="D352" s="3"/>
      <c r="F352" s="684" t="s">
        <v>516</v>
      </c>
      <c r="G352" s="485"/>
      <c r="H352" s="485"/>
      <c r="I352" s="487"/>
      <c r="J352" s="485"/>
      <c r="K352" s="485"/>
      <c r="L352" s="485"/>
      <c r="M352" s="485"/>
      <c r="N352" s="485"/>
      <c r="O352" s="485"/>
      <c r="P352" s="485"/>
      <c r="Q352" s="685"/>
      <c r="R352" s="684" t="s">
        <v>517</v>
      </c>
      <c r="S352" s="654"/>
      <c r="T352" s="684" t="s">
        <v>518</v>
      </c>
    </row>
    <row r="353" spans="1:41" s="489" customFormat="1" ht="13.2">
      <c r="A353" s="485"/>
      <c r="B353" s="3"/>
      <c r="C353" s="485"/>
      <c r="D353" s="3"/>
      <c r="E353" s="3"/>
      <c r="G353" s="3"/>
      <c r="H353" s="3"/>
      <c r="I353" s="3"/>
      <c r="J353" s="3"/>
      <c r="K353" s="3"/>
      <c r="L353" s="3"/>
      <c r="M353" s="3"/>
      <c r="N353" s="3"/>
      <c r="O353" s="81"/>
      <c r="P353" s="3"/>
      <c r="Q353" s="3"/>
      <c r="R353" s="3"/>
      <c r="S353" s="3"/>
      <c r="T353" s="3"/>
    </row>
    <row r="354" spans="1:41" s="489" customFormat="1" ht="12" thickBot="1">
      <c r="A354" s="505"/>
      <c r="B354" s="502"/>
      <c r="C354" s="502"/>
      <c r="D354" s="505"/>
      <c r="E354" s="35"/>
      <c r="F354" s="686"/>
      <c r="G354" s="502"/>
      <c r="H354" s="502"/>
      <c r="I354" s="503"/>
      <c r="J354" s="502"/>
      <c r="K354" s="502"/>
      <c r="L354" s="504"/>
      <c r="M354" s="504"/>
      <c r="N354" s="504"/>
      <c r="O354" s="504"/>
      <c r="P354" s="504"/>
      <c r="Q354" s="675"/>
      <c r="R354" s="686"/>
      <c r="S354" s="687"/>
      <c r="T354" s="686"/>
      <c r="U354" s="505"/>
      <c r="V354" s="505"/>
      <c r="W354" s="505"/>
      <c r="X354" s="505"/>
      <c r="Y354" s="505"/>
      <c r="Z354" s="505"/>
      <c r="AA354" s="505"/>
      <c r="AB354" s="505"/>
      <c r="AC354" s="505"/>
      <c r="AD354" s="505"/>
      <c r="AE354" s="505"/>
      <c r="AF354" s="505"/>
      <c r="AG354" s="505"/>
      <c r="AH354" s="505"/>
      <c r="AI354" s="505"/>
      <c r="AJ354" s="505"/>
      <c r="AK354" s="505"/>
    </row>
    <row r="355" spans="1:41" s="489" customFormat="1" thickTop="1">
      <c r="A355" s="655"/>
      <c r="B355" s="655"/>
      <c r="C355" s="656"/>
      <c r="D355" s="656"/>
      <c r="E355" s="655"/>
      <c r="F355" s="655"/>
      <c r="G355" s="655"/>
      <c r="H355" s="655"/>
      <c r="I355" s="655"/>
      <c r="J355" s="655"/>
      <c r="K355" s="655" t="s">
        <v>134</v>
      </c>
      <c r="L355" s="655"/>
      <c r="M355" s="655"/>
      <c r="N355" s="655"/>
      <c r="O355" s="657"/>
      <c r="P355" s="655"/>
      <c r="Q355" s="655"/>
      <c r="R355" s="655"/>
      <c r="S355" s="655"/>
      <c r="T355" s="655"/>
    </row>
    <row r="356" spans="1:41" s="489" customFormat="1" ht="12">
      <c r="A356" s="655"/>
      <c r="B356" s="655"/>
      <c r="C356" s="655" t="s">
        <v>135</v>
      </c>
      <c r="D356" s="658" t="s">
        <v>136</v>
      </c>
      <c r="E356" s="655"/>
      <c r="F356" s="655"/>
      <c r="G356" s="655"/>
      <c r="H356" s="655"/>
      <c r="I356" s="655"/>
      <c r="J356" s="655"/>
      <c r="K356" s="655"/>
      <c r="L356" s="655"/>
      <c r="M356" s="655"/>
      <c r="N356" s="655"/>
      <c r="O356" s="657"/>
      <c r="P356" s="655"/>
      <c r="Q356" s="655"/>
      <c r="R356" s="655"/>
      <c r="S356" s="655"/>
      <c r="T356" s="655"/>
    </row>
    <row r="357" spans="1:41" s="489" customFormat="1" ht="12">
      <c r="A357" s="655"/>
      <c r="B357" s="655"/>
      <c r="C357" s="655"/>
      <c r="D357" s="658" t="s">
        <v>459</v>
      </c>
      <c r="E357" s="655"/>
      <c r="F357" s="655"/>
      <c r="G357" s="655"/>
      <c r="H357" s="655"/>
      <c r="I357" s="655"/>
      <c r="J357" s="655"/>
      <c r="K357" s="655"/>
      <c r="L357" s="655"/>
      <c r="M357" s="655"/>
      <c r="N357" s="655"/>
      <c r="O357" s="657"/>
      <c r="P357" s="655"/>
      <c r="Q357" s="655"/>
      <c r="R357" s="655"/>
      <c r="S357" s="659"/>
      <c r="T357" s="659"/>
    </row>
    <row r="358" spans="1:41" s="3" customFormat="1" thickBot="1">
      <c r="A358" s="660"/>
      <c r="B358" s="656"/>
      <c r="C358" s="656"/>
      <c r="D358" s="656"/>
      <c r="E358" s="656"/>
      <c r="F358" s="656"/>
      <c r="G358" s="656"/>
      <c r="H358" s="656"/>
      <c r="I358" s="656"/>
      <c r="J358" s="656"/>
      <c r="K358" s="656"/>
      <c r="L358" s="656"/>
      <c r="M358" s="656"/>
      <c r="N358" s="656"/>
      <c r="O358" s="661"/>
      <c r="P358" s="656"/>
      <c r="Q358" s="656"/>
      <c r="R358" s="656"/>
      <c r="S358" s="656"/>
      <c r="T358" s="656"/>
    </row>
    <row r="359" spans="1:41" s="489" customFormat="1" thickTop="1">
      <c r="A359" s="40"/>
      <c r="B359" s="40"/>
      <c r="C359" s="3"/>
      <c r="D359" s="3"/>
      <c r="E359" s="40"/>
      <c r="F359" s="40"/>
      <c r="G359" s="40"/>
      <c r="H359" s="40"/>
      <c r="I359" s="40"/>
      <c r="J359" s="40"/>
      <c r="K359" s="40" t="s">
        <v>134</v>
      </c>
      <c r="L359" s="40"/>
      <c r="M359" s="40"/>
      <c r="N359" s="40"/>
      <c r="O359" s="41"/>
      <c r="P359" s="40"/>
      <c r="Q359" s="40"/>
      <c r="R359" s="40"/>
      <c r="S359" s="40"/>
      <c r="T359" s="40"/>
    </row>
    <row r="360" spans="1:41" s="489" customFormat="1" ht="12">
      <c r="A360" s="40"/>
      <c r="B360" s="40"/>
      <c r="C360" s="40" t="s">
        <v>135</v>
      </c>
      <c r="D360" s="34"/>
      <c r="E360" s="40"/>
      <c r="F360" s="40"/>
      <c r="G360" s="40"/>
      <c r="H360" s="40"/>
      <c r="I360" s="40"/>
      <c r="J360" s="40"/>
      <c r="K360" s="40"/>
      <c r="L360" s="40"/>
      <c r="M360" s="40"/>
      <c r="N360" s="40"/>
      <c r="O360" s="41"/>
      <c r="P360" s="40"/>
      <c r="Q360" s="40"/>
      <c r="R360" s="40"/>
      <c r="S360" s="40"/>
      <c r="T360" s="40"/>
    </row>
    <row r="361" spans="1:41" s="489" customFormat="1" ht="12">
      <c r="A361" s="40"/>
      <c r="B361" s="40"/>
      <c r="C361" s="40"/>
      <c r="D361" s="34" t="s">
        <v>475</v>
      </c>
      <c r="E361" s="40"/>
      <c r="F361" s="40"/>
      <c r="G361" s="40"/>
      <c r="H361" s="40"/>
      <c r="I361" s="40"/>
      <c r="J361" s="40"/>
      <c r="K361" s="40"/>
      <c r="L361" s="40"/>
      <c r="M361" s="40"/>
      <c r="N361" s="40"/>
      <c r="O361" s="41"/>
      <c r="P361" s="40"/>
      <c r="Q361" s="40"/>
      <c r="R361" s="40"/>
      <c r="S361" s="654"/>
      <c r="T361" s="654"/>
    </row>
    <row r="362" spans="1:41" s="3" customFormat="1" thickBot="1">
      <c r="A362" s="505"/>
      <c r="O362" s="81"/>
    </row>
    <row r="363" spans="1:41" s="489" customFormat="1" thickTop="1">
      <c r="A363" s="40"/>
      <c r="B363" s="40"/>
      <c r="C363" s="3"/>
      <c r="D363" s="3"/>
      <c r="E363" s="40"/>
      <c r="F363" s="40"/>
      <c r="G363" s="40"/>
      <c r="H363" s="40"/>
      <c r="I363" s="40"/>
      <c r="J363" s="40"/>
      <c r="K363" s="40" t="s">
        <v>134</v>
      </c>
      <c r="L363" s="40"/>
      <c r="M363" s="40"/>
      <c r="N363" s="40"/>
      <c r="O363" s="41"/>
      <c r="P363" s="40"/>
      <c r="Q363" s="40"/>
      <c r="R363" s="40"/>
      <c r="S363" s="40"/>
      <c r="T363" s="40"/>
    </row>
    <row r="364" spans="1:41" s="489" customFormat="1" ht="12">
      <c r="A364" s="40"/>
      <c r="B364" s="40"/>
      <c r="C364" s="40" t="s">
        <v>135</v>
      </c>
      <c r="D364" s="34" t="s">
        <v>522</v>
      </c>
      <c r="E364" s="40"/>
      <c r="F364" s="40"/>
      <c r="G364" s="40"/>
      <c r="H364" s="40"/>
      <c r="I364" s="40"/>
      <c r="J364" s="40"/>
      <c r="K364" s="40"/>
      <c r="L364" s="40"/>
      <c r="M364" s="40"/>
      <c r="N364" s="40"/>
      <c r="O364" s="41"/>
      <c r="P364" s="40"/>
      <c r="Q364" s="40"/>
      <c r="R364" s="40"/>
      <c r="S364" s="40"/>
      <c r="T364" s="40"/>
    </row>
    <row r="365" spans="1:41" s="489" customFormat="1" ht="36">
      <c r="A365" s="492"/>
      <c r="B365"/>
      <c r="C365" s="492"/>
      <c r="D365" s="756" t="s">
        <v>476</v>
      </c>
      <c r="E365" s="757"/>
      <c r="F365" s="757"/>
      <c r="G365" s="757"/>
      <c r="H365" s="757"/>
      <c r="I365" s="757"/>
      <c r="J365" s="757"/>
      <c r="K365" s="757"/>
      <c r="L365" s="757"/>
      <c r="M365" s="757"/>
      <c r="N365" s="757"/>
      <c r="O365" s="757"/>
      <c r="P365" s="757"/>
      <c r="Q365" s="757"/>
      <c r="R365" s="758"/>
      <c r="S365" s="757"/>
      <c r="T365" s="757"/>
    </row>
    <row r="366" spans="1:41" s="3" customFormat="1" thickBot="1">
      <c r="A366" s="505"/>
      <c r="O366" s="81"/>
    </row>
    <row r="367" spans="1:41" s="489" customFormat="1" ht="12" thickTop="1">
      <c r="A367" s="40"/>
      <c r="B367" s="36"/>
      <c r="C367" s="40"/>
      <c r="E367" s="37" t="s">
        <v>137</v>
      </c>
      <c r="F367" s="37" t="s">
        <v>138</v>
      </c>
      <c r="G367" s="40"/>
      <c r="H367" s="40"/>
      <c r="I367" s="40"/>
      <c r="J367" s="40"/>
      <c r="K367" s="40" t="s">
        <v>139</v>
      </c>
      <c r="L367" s="40"/>
      <c r="M367" s="40"/>
      <c r="N367" s="40"/>
      <c r="O367" s="41"/>
      <c r="P367" s="40"/>
      <c r="Q367" s="40"/>
      <c r="R367" s="40"/>
      <c r="S367" s="40"/>
      <c r="T367" s="36"/>
      <c r="AG367" s="662" t="s">
        <v>238</v>
      </c>
      <c r="AH367" s="662" t="s">
        <v>239</v>
      </c>
      <c r="AI367" s="662" t="s">
        <v>240</v>
      </c>
      <c r="AJ367" s="662" t="s">
        <v>241</v>
      </c>
      <c r="AK367" s="662" t="s">
        <v>242</v>
      </c>
      <c r="AM367" s="663" t="s">
        <v>251</v>
      </c>
      <c r="AN367" s="664" t="s">
        <v>252</v>
      </c>
      <c r="AO367" s="490" t="s">
        <v>248</v>
      </c>
    </row>
    <row r="368" spans="1:41" s="489" customFormat="1" ht="12" customHeight="1">
      <c r="A368" s="665">
        <v>1</v>
      </c>
      <c r="B368" s="491" t="s">
        <v>140</v>
      </c>
      <c r="C368" s="492"/>
      <c r="D368" s="666" t="s">
        <v>500</v>
      </c>
      <c r="E368" s="667">
        <f>IF(AND($A368=0,$A$1="DIF"),0, ROUND(ROUND(($R372*$S$2+($T372*$T$2))/A368,2)*$C$2,2))</f>
        <v>0</v>
      </c>
      <c r="F368" s="668">
        <f>ROUND($A368*$E368,2)</f>
        <v>0</v>
      </c>
      <c r="G368" s="493" t="s">
        <v>141</v>
      </c>
      <c r="H368" s="486"/>
      <c r="I368" s="669"/>
      <c r="J368" s="486"/>
      <c r="K368" s="486" t="s">
        <v>3</v>
      </c>
      <c r="L368" s="670" t="s">
        <v>142</v>
      </c>
      <c r="M368" s="670"/>
      <c r="N368" s="670"/>
      <c r="O368" s="670"/>
      <c r="P368" s="670"/>
      <c r="Q368" s="40"/>
      <c r="T368" s="671" t="str">
        <f>IF(AND($R372=0,$T372=0),"0.00","mu :" &amp; ROUND($F368/$C$2/($R372+$T372*$D$9),2))</f>
        <v>0.00</v>
      </c>
      <c r="W368" s="494"/>
      <c r="AG368" s="447">
        <f>IF($E368=0,0,ROUND($R372*$S$2*$C$2/$A368,2))</f>
        <v>0</v>
      </c>
      <c r="AH368" s="447">
        <f>$AG368*$A368</f>
        <v>0</v>
      </c>
      <c r="AI368" s="495">
        <f>$E368-$AG368</f>
        <v>0</v>
      </c>
      <c r="AJ368" s="495">
        <f>$A368*$AI368</f>
        <v>0</v>
      </c>
      <c r="AK368" s="496">
        <f>ROUND(($AG368+$AI368)*$A368,2)</f>
        <v>0</v>
      </c>
      <c r="AM368" s="497">
        <f>ROUND(R372,2)</f>
        <v>0</v>
      </c>
      <c r="AN368" s="498">
        <f>ROUND(T372,2)</f>
        <v>0</v>
      </c>
      <c r="AO368" s="499">
        <f>ROUND(AM368+AN368,2)*A368</f>
        <v>0</v>
      </c>
    </row>
    <row r="369" spans="1:41" s="489" customFormat="1" ht="13.2">
      <c r="A369" s="492"/>
      <c r="B369"/>
      <c r="C369" s="492"/>
      <c r="D369" s="666" t="s">
        <v>477</v>
      </c>
      <c r="F369" s="486"/>
      <c r="G369" s="3"/>
      <c r="H369" s="486"/>
      <c r="I369" s="669"/>
      <c r="J369" s="486"/>
      <c r="K369" s="486" t="s">
        <v>143</v>
      </c>
      <c r="L369" s="486"/>
      <c r="M369" s="486"/>
      <c r="N369" s="486"/>
      <c r="O369" s="486"/>
      <c r="P369" s="486"/>
      <c r="Q369" s="40"/>
      <c r="R369" s="550"/>
      <c r="S369" s="672"/>
      <c r="T369" s="486"/>
    </row>
    <row r="370" spans="1:41" s="489" customFormat="1" ht="12">
      <c r="A370" s="40"/>
      <c r="B370" s="485"/>
      <c r="C370" s="485"/>
      <c r="D370" s="485"/>
      <c r="E370" s="485"/>
      <c r="F370" s="486"/>
      <c r="G370" s="485"/>
      <c r="H370" s="485"/>
      <c r="I370" s="487"/>
      <c r="J370" s="485"/>
      <c r="K370" s="485"/>
      <c r="L370" s="485"/>
      <c r="M370" s="485"/>
      <c r="N370" s="485"/>
      <c r="O370" s="485"/>
      <c r="P370" s="485"/>
      <c r="Q370" s="487"/>
      <c r="R370" s="673">
        <f t="shared" ref="R370:R371" si="38">$A370*Q370</f>
        <v>0</v>
      </c>
      <c r="S370" s="487"/>
      <c r="T370" s="488">
        <f t="shared" ref="T370:T371" si="39">$A370*S370*$T$1</f>
        <v>0</v>
      </c>
    </row>
    <row r="371" spans="1:41" s="489" customFormat="1" ht="11.4">
      <c r="A371" s="40"/>
      <c r="B371" s="485"/>
      <c r="C371" s="485"/>
      <c r="D371" s="923" t="s">
        <v>556</v>
      </c>
      <c r="E371" s="923" t="s">
        <v>635</v>
      </c>
      <c r="F371" s="923"/>
      <c r="G371" s="485"/>
      <c r="H371" s="485"/>
      <c r="I371" s="487"/>
      <c r="J371" s="485"/>
      <c r="K371" s="485"/>
      <c r="L371" s="485"/>
      <c r="M371" s="485"/>
      <c r="N371" s="485"/>
      <c r="O371" s="485"/>
      <c r="P371" s="485"/>
      <c r="Q371" s="487"/>
      <c r="R371" s="673">
        <f t="shared" si="38"/>
        <v>0</v>
      </c>
      <c r="S371" s="487"/>
      <c r="T371" s="488">
        <f t="shared" si="39"/>
        <v>0</v>
      </c>
    </row>
    <row r="372" spans="1:41" s="489" customFormat="1" ht="12.6" thickBot="1">
      <c r="A372" s="500" t="s">
        <v>144</v>
      </c>
      <c r="B372" s="501">
        <f>(R371+T371)</f>
        <v>0</v>
      </c>
      <c r="C372" s="502"/>
      <c r="D372" s="502"/>
      <c r="E372" s="502"/>
      <c r="F372" s="674"/>
      <c r="G372" s="502" t="s">
        <v>145</v>
      </c>
      <c r="H372" s="502"/>
      <c r="I372" s="503"/>
      <c r="J372" s="502"/>
      <c r="K372" s="502" t="s">
        <v>3</v>
      </c>
      <c r="L372" s="504" t="s">
        <v>142</v>
      </c>
      <c r="M372" s="504"/>
      <c r="N372" s="504"/>
      <c r="O372" s="504"/>
      <c r="P372" s="504"/>
      <c r="Q372" s="675"/>
      <c r="R372" s="676">
        <f>SUM(R369:R371)</f>
        <v>0</v>
      </c>
      <c r="S372" s="502"/>
      <c r="T372" s="676">
        <f>SUM(T369:T371)</f>
        <v>0</v>
      </c>
      <c r="U372" s="505"/>
      <c r="V372" s="505"/>
      <c r="W372" s="505"/>
      <c r="X372" s="505"/>
      <c r="Y372" s="505"/>
      <c r="Z372" s="505"/>
      <c r="AA372" s="505"/>
      <c r="AB372" s="505"/>
      <c r="AC372" s="505"/>
      <c r="AD372" s="505"/>
      <c r="AE372" s="505"/>
      <c r="AF372" s="505"/>
      <c r="AG372" s="505"/>
      <c r="AH372" s="505"/>
      <c r="AI372" s="505"/>
      <c r="AJ372" s="505"/>
      <c r="AK372" s="505"/>
      <c r="AL372" s="505"/>
      <c r="AM372" s="505"/>
      <c r="AN372" s="505"/>
      <c r="AO372" s="505"/>
    </row>
    <row r="373" spans="1:41" s="489" customFormat="1" ht="12" thickTop="1">
      <c r="A373" s="40"/>
      <c r="B373" s="36"/>
      <c r="C373" s="40"/>
      <c r="E373" s="37" t="s">
        <v>137</v>
      </c>
      <c r="F373" s="37" t="s">
        <v>138</v>
      </c>
      <c r="G373" s="40"/>
      <c r="H373" s="40"/>
      <c r="I373" s="40"/>
      <c r="J373" s="40"/>
      <c r="K373" s="40" t="s">
        <v>139</v>
      </c>
      <c r="L373" s="40"/>
      <c r="M373" s="40"/>
      <c r="N373" s="40"/>
      <c r="O373" s="41"/>
      <c r="P373" s="40"/>
      <c r="Q373" s="40"/>
      <c r="R373" s="40"/>
      <c r="S373" s="40"/>
      <c r="T373" s="36"/>
      <c r="AG373" s="662" t="s">
        <v>238</v>
      </c>
      <c r="AH373" s="662" t="s">
        <v>239</v>
      </c>
      <c r="AI373" s="662" t="s">
        <v>240</v>
      </c>
      <c r="AJ373" s="662" t="s">
        <v>241</v>
      </c>
      <c r="AK373" s="662" t="s">
        <v>242</v>
      </c>
      <c r="AM373" s="663" t="s">
        <v>251</v>
      </c>
      <c r="AN373" s="664" t="s">
        <v>252</v>
      </c>
      <c r="AO373" s="490" t="s">
        <v>248</v>
      </c>
    </row>
    <row r="374" spans="1:41" s="489" customFormat="1" ht="12" customHeight="1">
      <c r="A374" s="665">
        <v>1</v>
      </c>
      <c r="B374" s="491" t="s">
        <v>140</v>
      </c>
      <c r="C374" s="492"/>
      <c r="D374" s="666" t="s">
        <v>509</v>
      </c>
      <c r="E374" s="667">
        <f>IF(AND($A374=0,$A$1="DIF"),0, ROUND(ROUND(($R378*$S$2+($T378*$T$2))/A374,2)*$C$2,2))</f>
        <v>0</v>
      </c>
      <c r="F374" s="668">
        <f>ROUND($A374*$E374,2)</f>
        <v>0</v>
      </c>
      <c r="G374" s="493" t="s">
        <v>141</v>
      </c>
      <c r="H374" s="486"/>
      <c r="I374" s="669"/>
      <c r="J374" s="486"/>
      <c r="K374" s="486" t="s">
        <v>3</v>
      </c>
      <c r="L374" s="670" t="s">
        <v>142</v>
      </c>
      <c r="M374" s="670"/>
      <c r="N374" s="670"/>
      <c r="O374" s="670"/>
      <c r="P374" s="670"/>
      <c r="Q374" s="40"/>
      <c r="T374" s="671" t="str">
        <f>IF(AND($R378=0,$T378=0),"0.00","mu :" &amp; ROUND($F374/$C$2/($R378+$T378*$D$9),2))</f>
        <v>0.00</v>
      </c>
      <c r="W374" s="494"/>
      <c r="AG374" s="447">
        <f>IF($E374=0,0,ROUND($R378*$S$2*$C$2/$A374,2))</f>
        <v>0</v>
      </c>
      <c r="AH374" s="447">
        <f>$AG374*$A374</f>
        <v>0</v>
      </c>
      <c r="AI374" s="495">
        <f>$E374-$AG374</f>
        <v>0</v>
      </c>
      <c r="AJ374" s="495">
        <f>$A374*$AI374</f>
        <v>0</v>
      </c>
      <c r="AK374" s="496">
        <f>ROUND(($AG374+$AI374)*$A374,2)</f>
        <v>0</v>
      </c>
      <c r="AM374" s="497">
        <f>ROUND(R378,2)</f>
        <v>0</v>
      </c>
      <c r="AN374" s="498">
        <f>ROUND(T378,2)</f>
        <v>0</v>
      </c>
      <c r="AO374" s="499">
        <f>ROUND(AM374+AN374,2)*A374</f>
        <v>0</v>
      </c>
    </row>
    <row r="375" spans="1:41" s="489" customFormat="1" ht="13.2">
      <c r="A375" s="492"/>
      <c r="B375"/>
      <c r="C375" s="492"/>
      <c r="D375" s="666" t="s">
        <v>478</v>
      </c>
      <c r="F375" s="486"/>
      <c r="G375" s="3"/>
      <c r="H375" s="486"/>
      <c r="I375" s="669"/>
      <c r="J375" s="486"/>
      <c r="K375" s="486" t="s">
        <v>143</v>
      </c>
      <c r="L375" s="486"/>
      <c r="M375" s="486"/>
      <c r="N375" s="486"/>
      <c r="O375" s="486"/>
      <c r="P375" s="486"/>
      <c r="Q375" s="40"/>
      <c r="R375" s="550"/>
      <c r="S375" s="672"/>
      <c r="T375" s="486"/>
    </row>
    <row r="376" spans="1:41" s="489" customFormat="1" ht="12">
      <c r="A376" s="40"/>
      <c r="B376" s="485"/>
      <c r="C376" s="485"/>
      <c r="D376" s="485"/>
      <c r="E376" s="485"/>
      <c r="F376" s="486"/>
      <c r="G376" s="485"/>
      <c r="H376" s="485"/>
      <c r="I376" s="487"/>
      <c r="J376" s="485"/>
      <c r="K376" s="485"/>
      <c r="L376" s="485"/>
      <c r="M376" s="485"/>
      <c r="N376" s="485"/>
      <c r="O376" s="485"/>
      <c r="P376" s="485"/>
      <c r="Q376" s="487"/>
      <c r="R376" s="673">
        <f t="shared" ref="R376:R377" si="40">$A376*Q376</f>
        <v>0</v>
      </c>
      <c r="S376" s="487"/>
      <c r="T376" s="488">
        <f t="shared" ref="T376:T377" si="41">$A376*S376*$T$1</f>
        <v>0</v>
      </c>
    </row>
    <row r="377" spans="1:41" s="489" customFormat="1" ht="11.4">
      <c r="A377" s="40"/>
      <c r="B377" s="485"/>
      <c r="C377" s="485"/>
      <c r="D377" s="923" t="s">
        <v>556</v>
      </c>
      <c r="E377" s="923" t="s">
        <v>635</v>
      </c>
      <c r="F377" s="923"/>
      <c r="G377" s="485"/>
      <c r="H377" s="485"/>
      <c r="I377" s="487"/>
      <c r="J377" s="485"/>
      <c r="K377" s="485"/>
      <c r="L377" s="485"/>
      <c r="M377" s="485"/>
      <c r="N377" s="485"/>
      <c r="O377" s="485"/>
      <c r="P377" s="485"/>
      <c r="Q377" s="487"/>
      <c r="R377" s="673">
        <f t="shared" si="40"/>
        <v>0</v>
      </c>
      <c r="S377" s="487"/>
      <c r="T377" s="488">
        <f t="shared" si="41"/>
        <v>0</v>
      </c>
    </row>
    <row r="378" spans="1:41" s="489" customFormat="1" ht="12.6" thickBot="1">
      <c r="A378" s="500" t="s">
        <v>144</v>
      </c>
      <c r="B378" s="501">
        <f>(R377+T377)</f>
        <v>0</v>
      </c>
      <c r="C378" s="502"/>
      <c r="D378" s="502"/>
      <c r="E378" s="502"/>
      <c r="F378" s="674"/>
      <c r="G378" s="502" t="s">
        <v>145</v>
      </c>
      <c r="H378" s="502"/>
      <c r="I378" s="503"/>
      <c r="J378" s="502"/>
      <c r="K378" s="502" t="s">
        <v>3</v>
      </c>
      <c r="L378" s="504" t="s">
        <v>142</v>
      </c>
      <c r="M378" s="504"/>
      <c r="N378" s="504"/>
      <c r="O378" s="504"/>
      <c r="P378" s="504"/>
      <c r="Q378" s="675"/>
      <c r="R378" s="676">
        <f>SUM(R375:R377)</f>
        <v>0</v>
      </c>
      <c r="S378" s="502"/>
      <c r="T378" s="676">
        <f>SUM(T375:T377)</f>
        <v>0</v>
      </c>
      <c r="U378" s="505"/>
      <c r="V378" s="505"/>
      <c r="W378" s="505"/>
      <c r="X378" s="505"/>
      <c r="Y378" s="505"/>
      <c r="Z378" s="505"/>
      <c r="AA378" s="505"/>
      <c r="AB378" s="505"/>
      <c r="AC378" s="505"/>
      <c r="AD378" s="505"/>
      <c r="AE378" s="505"/>
      <c r="AF378" s="505"/>
      <c r="AG378" s="505"/>
      <c r="AH378" s="505"/>
      <c r="AI378" s="505"/>
      <c r="AJ378" s="505"/>
      <c r="AK378" s="505"/>
      <c r="AL378" s="505"/>
      <c r="AM378" s="505"/>
      <c r="AN378" s="505"/>
      <c r="AO378" s="505"/>
    </row>
    <row r="379" spans="1:41" s="489" customFormat="1" thickTop="1">
      <c r="A379" s="40"/>
      <c r="B379" s="40"/>
      <c r="C379" s="3"/>
      <c r="D379" s="3"/>
      <c r="E379" s="40"/>
      <c r="F379" s="40"/>
      <c r="G379" s="40"/>
      <c r="H379" s="40"/>
      <c r="I379" s="40"/>
      <c r="J379" s="40"/>
      <c r="K379" s="40" t="s">
        <v>134</v>
      </c>
      <c r="L379" s="40"/>
      <c r="M379" s="40"/>
      <c r="N379" s="40"/>
      <c r="O379" s="41"/>
      <c r="P379" s="40"/>
      <c r="Q379" s="40"/>
      <c r="R379" s="40"/>
      <c r="S379" s="40"/>
      <c r="T379" s="40"/>
    </row>
    <row r="380" spans="1:41" s="489" customFormat="1" ht="12">
      <c r="A380" s="40"/>
      <c r="B380" s="40"/>
      <c r="C380" s="40" t="s">
        <v>135</v>
      </c>
      <c r="D380" s="34"/>
      <c r="E380" s="40"/>
      <c r="F380" s="40"/>
      <c r="G380" s="40"/>
      <c r="H380" s="40"/>
      <c r="I380" s="40"/>
      <c r="J380" s="40"/>
      <c r="K380" s="40"/>
      <c r="L380" s="40"/>
      <c r="M380" s="40"/>
      <c r="N380" s="40"/>
      <c r="O380" s="41"/>
      <c r="P380" s="40"/>
      <c r="Q380" s="40"/>
      <c r="R380" s="40"/>
      <c r="S380" s="40"/>
      <c r="T380" s="40"/>
    </row>
    <row r="381" spans="1:41" s="489" customFormat="1" ht="12">
      <c r="A381" s="40"/>
      <c r="B381" s="40"/>
      <c r="C381" s="40"/>
      <c r="D381" s="34" t="s">
        <v>479</v>
      </c>
      <c r="E381" s="40"/>
      <c r="F381" s="40"/>
      <c r="G381" s="40"/>
      <c r="H381" s="40"/>
      <c r="I381" s="40"/>
      <c r="J381" s="40"/>
      <c r="K381" s="40"/>
      <c r="L381" s="40"/>
      <c r="M381" s="40"/>
      <c r="N381" s="40"/>
      <c r="O381" s="41"/>
      <c r="P381" s="40"/>
      <c r="Q381" s="40"/>
      <c r="R381" s="40"/>
      <c r="S381" s="654"/>
      <c r="T381" s="654"/>
    </row>
    <row r="382" spans="1:41" s="3" customFormat="1" thickBot="1">
      <c r="A382" s="505"/>
      <c r="O382" s="81"/>
    </row>
    <row r="383" spans="1:41" s="489" customFormat="1" ht="12" thickTop="1">
      <c r="A383" s="40"/>
      <c r="B383" s="36"/>
      <c r="C383" s="40"/>
      <c r="E383" s="37" t="s">
        <v>137</v>
      </c>
      <c r="F383" s="37" t="s">
        <v>138</v>
      </c>
      <c r="G383" s="40"/>
      <c r="H383" s="40"/>
      <c r="I383" s="40"/>
      <c r="J383" s="40"/>
      <c r="K383" s="40" t="s">
        <v>139</v>
      </c>
      <c r="L383" s="40"/>
      <c r="M383" s="40"/>
      <c r="N383" s="40"/>
      <c r="O383" s="41"/>
      <c r="P383" s="40"/>
      <c r="Q383" s="40"/>
      <c r="R383" s="40"/>
      <c r="S383" s="40"/>
      <c r="T383" s="36"/>
      <c r="AG383" s="662" t="s">
        <v>238</v>
      </c>
      <c r="AH383" s="662" t="s">
        <v>239</v>
      </c>
      <c r="AI383" s="662" t="s">
        <v>240</v>
      </c>
      <c r="AJ383" s="662" t="s">
        <v>241</v>
      </c>
      <c r="AK383" s="662" t="s">
        <v>242</v>
      </c>
      <c r="AM383" s="663" t="s">
        <v>251</v>
      </c>
      <c r="AN383" s="664" t="s">
        <v>252</v>
      </c>
      <c r="AO383" s="490" t="s">
        <v>248</v>
      </c>
    </row>
    <row r="384" spans="1:41" s="489" customFormat="1" ht="12" customHeight="1">
      <c r="A384" s="1001">
        <v>1</v>
      </c>
      <c r="B384" s="491" t="s">
        <v>269</v>
      </c>
      <c r="C384" s="492"/>
      <c r="D384" s="666" t="s">
        <v>523</v>
      </c>
      <c r="E384" s="667">
        <f>IF(AND($A384=0,$A$1="DIF"),0, ROUND(ROUND(($R401*$S$2+($T401*$T$2))/A384,2)*$C$2,2))</f>
        <v>214.66</v>
      </c>
      <c r="F384" s="668">
        <f>ROUND($A384*$E384,2)</f>
        <v>214.66</v>
      </c>
      <c r="G384" s="493" t="s">
        <v>141</v>
      </c>
      <c r="H384" s="486"/>
      <c r="I384" s="669"/>
      <c r="J384" s="486"/>
      <c r="K384" s="486" t="s">
        <v>3</v>
      </c>
      <c r="L384" s="670" t="s">
        <v>142</v>
      </c>
      <c r="M384" s="670"/>
      <c r="N384" s="670"/>
      <c r="O384" s="670"/>
      <c r="P384" s="670"/>
      <c r="Q384" s="40"/>
      <c r="T384" s="671" t="str">
        <f>IF(AND($R401=0,$T401=0),"0.00","mu :" &amp; ROUND($F384/$C$2/($R401+$T401*$D$9),2))</f>
        <v>mu :1</v>
      </c>
      <c r="W384" s="494"/>
      <c r="AG384" s="447">
        <f>IF($E384=0,0,ROUND($R401*$S$2*$C$2/$A384,2))</f>
        <v>127.89</v>
      </c>
      <c r="AH384" s="447">
        <f>$AG384*$A384</f>
        <v>127.89</v>
      </c>
      <c r="AI384" s="495">
        <f>$E384-$AG384</f>
        <v>86.77</v>
      </c>
      <c r="AJ384" s="495">
        <f>$A384*$AI384</f>
        <v>86.77</v>
      </c>
      <c r="AK384" s="496">
        <f>ROUND(($AG384+$AI384)*$A384,2)</f>
        <v>214.66</v>
      </c>
      <c r="AM384" s="497">
        <f>ROUND(R401,2)</f>
        <v>127.89</v>
      </c>
      <c r="AN384" s="498">
        <f>ROUND(T401,2)</f>
        <v>3.16</v>
      </c>
      <c r="AO384" s="499">
        <f>ROUND(AM384+AN384,2)*A384</f>
        <v>131.05000000000001</v>
      </c>
    </row>
    <row r="385" spans="1:20" s="489" customFormat="1" ht="72">
      <c r="A385" s="492"/>
      <c r="B385"/>
      <c r="C385" s="492"/>
      <c r="D385" s="756" t="s">
        <v>524</v>
      </c>
      <c r="E385" s="757"/>
      <c r="F385" s="757"/>
      <c r="G385" s="757"/>
      <c r="H385" s="757"/>
      <c r="I385" s="757"/>
      <c r="J385" s="757"/>
      <c r="K385" s="757"/>
      <c r="L385" s="757"/>
      <c r="M385" s="757"/>
      <c r="N385" s="757"/>
      <c r="O385" s="757"/>
      <c r="P385" s="757"/>
      <c r="Q385" s="757"/>
      <c r="R385" s="758"/>
      <c r="S385" s="757"/>
      <c r="T385" s="757"/>
    </row>
    <row r="386" spans="1:20" s="489" customFormat="1" ht="12">
      <c r="A386" s="40"/>
      <c r="B386" s="485"/>
      <c r="C386" s="485"/>
      <c r="D386" s="1006" t="s">
        <v>613</v>
      </c>
      <c r="E386" s="485"/>
      <c r="F386" s="486"/>
      <c r="G386" s="485"/>
      <c r="H386" s="485"/>
      <c r="I386" s="487"/>
      <c r="J386" s="485"/>
      <c r="K386" s="485"/>
      <c r="L386" s="485"/>
      <c r="M386" s="485"/>
      <c r="N386" s="485"/>
      <c r="O386" s="485"/>
      <c r="P386" s="485"/>
      <c r="Q386" s="487"/>
      <c r="R386" s="673">
        <f t="shared" ref="R386:R400" si="42">$A386*Q386</f>
        <v>0</v>
      </c>
      <c r="S386" s="487"/>
      <c r="T386" s="488">
        <f t="shared" ref="T386:T400" si="43">$A386*S386*$T$1</f>
        <v>0</v>
      </c>
    </row>
    <row r="387" spans="1:20" s="915" customFormat="1" ht="13.2">
      <c r="A387" s="82">
        <v>2</v>
      </c>
      <c r="B387" s="915" t="s">
        <v>277</v>
      </c>
      <c r="D387" s="915" t="s">
        <v>614</v>
      </c>
      <c r="G387" s="916" t="s">
        <v>615</v>
      </c>
      <c r="H387" s="917">
        <v>616</v>
      </c>
      <c r="I387" s="915" t="s">
        <v>616</v>
      </c>
      <c r="J387" s="915" t="s">
        <v>617</v>
      </c>
      <c r="O387" s="918">
        <v>2</v>
      </c>
      <c r="P387" s="919">
        <v>40767</v>
      </c>
      <c r="Q387" s="920">
        <f>(1701.9/155)*1.435</f>
        <v>15.756300000000001</v>
      </c>
      <c r="R387" s="921">
        <f t="shared" si="42"/>
        <v>31.512600000000003</v>
      </c>
      <c r="S387" s="920">
        <v>0.08</v>
      </c>
      <c r="T387" s="922">
        <f t="shared" si="43"/>
        <v>0.16</v>
      </c>
    </row>
    <row r="388" spans="1:20" s="915" customFormat="1" ht="13.2">
      <c r="A388" s="82">
        <v>2</v>
      </c>
      <c r="B388" s="915" t="s">
        <v>140</v>
      </c>
      <c r="D388" s="915" t="s">
        <v>618</v>
      </c>
      <c r="G388" s="916" t="s">
        <v>619</v>
      </c>
      <c r="H388" s="917">
        <v>620</v>
      </c>
      <c r="I388" s="915" t="s">
        <v>620</v>
      </c>
      <c r="O388" s="918">
        <v>2</v>
      </c>
      <c r="P388" s="919">
        <v>35431</v>
      </c>
      <c r="Q388" s="920">
        <v>6.38</v>
      </c>
      <c r="R388" s="921">
        <f t="shared" si="42"/>
        <v>12.76</v>
      </c>
      <c r="S388" s="920">
        <v>0.35000000000000003</v>
      </c>
      <c r="T388" s="922">
        <f t="shared" si="43"/>
        <v>0.70000000000000007</v>
      </c>
    </row>
    <row r="389" spans="1:20" s="915" customFormat="1" ht="13.2">
      <c r="A389" s="82">
        <v>10</v>
      </c>
      <c r="B389" s="915" t="s">
        <v>140</v>
      </c>
      <c r="D389" s="915" t="s">
        <v>577</v>
      </c>
      <c r="G389" s="916" t="s">
        <v>578</v>
      </c>
      <c r="H389" s="917">
        <v>620</v>
      </c>
      <c r="I389" s="915" t="s">
        <v>571</v>
      </c>
      <c r="O389" s="918">
        <v>2</v>
      </c>
      <c r="P389" s="919">
        <v>34669</v>
      </c>
      <c r="Q389" s="920">
        <v>7.0000000000000007E-2</v>
      </c>
      <c r="R389" s="921">
        <f t="shared" si="42"/>
        <v>0.70000000000000007</v>
      </c>
      <c r="S389" s="920">
        <v>0.03</v>
      </c>
      <c r="T389" s="922">
        <f t="shared" si="43"/>
        <v>0.3</v>
      </c>
    </row>
    <row r="390" spans="1:20" s="915" customFormat="1" ht="13.2">
      <c r="A390" s="82">
        <v>2</v>
      </c>
      <c r="B390" s="915" t="s">
        <v>140</v>
      </c>
      <c r="D390" s="915" t="s">
        <v>572</v>
      </c>
      <c r="G390" s="916" t="s">
        <v>573</v>
      </c>
      <c r="H390" s="917">
        <v>620</v>
      </c>
      <c r="I390" s="915" t="s">
        <v>558</v>
      </c>
      <c r="O390" s="918">
        <v>2</v>
      </c>
      <c r="P390" s="919"/>
      <c r="Q390" s="920">
        <v>0.1</v>
      </c>
      <c r="R390" s="921">
        <f t="shared" si="42"/>
        <v>0.2</v>
      </c>
      <c r="S390" s="920"/>
      <c r="T390" s="922">
        <f t="shared" si="43"/>
        <v>0</v>
      </c>
    </row>
    <row r="391" spans="1:20" s="915" customFormat="1" ht="13.2">
      <c r="A391" s="82">
        <v>3</v>
      </c>
      <c r="B391" s="915" t="s">
        <v>140</v>
      </c>
      <c r="D391" s="915" t="s">
        <v>574</v>
      </c>
      <c r="G391" s="916" t="s">
        <v>575</v>
      </c>
      <c r="H391" s="917">
        <v>875</v>
      </c>
      <c r="I391" s="915" t="s">
        <v>558</v>
      </c>
      <c r="K391" s="915" t="s">
        <v>576</v>
      </c>
      <c r="O391" s="918">
        <v>1</v>
      </c>
      <c r="P391" s="919">
        <v>34669</v>
      </c>
      <c r="Q391" s="920">
        <v>0.05</v>
      </c>
      <c r="R391" s="921">
        <f t="shared" si="42"/>
        <v>0.15000000000000002</v>
      </c>
      <c r="S391" s="920"/>
      <c r="T391" s="922">
        <f t="shared" si="43"/>
        <v>0</v>
      </c>
    </row>
    <row r="392" spans="1:20" s="489" customFormat="1" ht="12">
      <c r="A392" s="40"/>
      <c r="B392" s="485"/>
      <c r="C392" s="485"/>
      <c r="D392" s="1006" t="s">
        <v>631</v>
      </c>
      <c r="E392" s="485"/>
      <c r="F392" s="486"/>
      <c r="G392" s="485"/>
      <c r="H392" s="485"/>
      <c r="I392" s="487"/>
      <c r="J392" s="485"/>
      <c r="K392" s="485"/>
      <c r="L392" s="485"/>
      <c r="M392" s="485"/>
      <c r="N392" s="485"/>
      <c r="O392" s="485"/>
      <c r="P392" s="485"/>
      <c r="Q392" s="487"/>
      <c r="R392" s="673"/>
      <c r="S392" s="487"/>
      <c r="T392" s="488"/>
    </row>
    <row r="393" spans="1:20" s="915" customFormat="1" ht="13.2">
      <c r="A393" s="82">
        <v>2</v>
      </c>
      <c r="B393" s="915" t="s">
        <v>277</v>
      </c>
      <c r="D393" s="915" t="s">
        <v>629</v>
      </c>
      <c r="G393" s="916" t="s">
        <v>615</v>
      </c>
      <c r="H393" s="917">
        <v>616</v>
      </c>
      <c r="I393" s="915" t="s">
        <v>616</v>
      </c>
      <c r="J393" s="915" t="s">
        <v>617</v>
      </c>
      <c r="O393" s="918">
        <v>2</v>
      </c>
      <c r="P393" s="919">
        <v>40767</v>
      </c>
      <c r="Q393" s="920">
        <f>(564.88/102)*1.435</f>
        <v>7.9470862745098039</v>
      </c>
      <c r="R393" s="921">
        <f t="shared" ref="R393:R397" si="44">$A393*Q393</f>
        <v>15.894172549019608</v>
      </c>
      <c r="S393" s="920">
        <v>0.06</v>
      </c>
      <c r="T393" s="922">
        <f t="shared" ref="T393:T397" si="45">$A393*S393*$T$1</f>
        <v>0.12</v>
      </c>
    </row>
    <row r="394" spans="1:20" s="915" customFormat="1" ht="13.2">
      <c r="A394" s="82">
        <v>2</v>
      </c>
      <c r="B394" s="915" t="s">
        <v>140</v>
      </c>
      <c r="D394" s="915" t="s">
        <v>618</v>
      </c>
      <c r="G394" s="916" t="s">
        <v>619</v>
      </c>
      <c r="H394" s="917">
        <v>620</v>
      </c>
      <c r="I394" s="915" t="s">
        <v>620</v>
      </c>
      <c r="O394" s="918">
        <v>2</v>
      </c>
      <c r="P394" s="919">
        <v>35431</v>
      </c>
      <c r="Q394" s="920">
        <v>6.38</v>
      </c>
      <c r="R394" s="921">
        <f t="shared" si="44"/>
        <v>12.76</v>
      </c>
      <c r="S394" s="920">
        <v>0.35000000000000003</v>
      </c>
      <c r="T394" s="922">
        <f t="shared" si="45"/>
        <v>0.70000000000000007</v>
      </c>
    </row>
    <row r="395" spans="1:20" s="915" customFormat="1" ht="13.2">
      <c r="A395" s="82">
        <v>6</v>
      </c>
      <c r="B395" s="915" t="s">
        <v>140</v>
      </c>
      <c r="D395" s="915" t="s">
        <v>630</v>
      </c>
      <c r="G395" s="916" t="s">
        <v>578</v>
      </c>
      <c r="H395" s="917">
        <v>620</v>
      </c>
      <c r="I395" s="915" t="s">
        <v>571</v>
      </c>
      <c r="O395" s="918">
        <v>2</v>
      </c>
      <c r="P395" s="919">
        <v>34669</v>
      </c>
      <c r="Q395" s="920">
        <v>0.06</v>
      </c>
      <c r="R395" s="921">
        <f t="shared" si="44"/>
        <v>0.36</v>
      </c>
      <c r="S395" s="920">
        <v>0.03</v>
      </c>
      <c r="T395" s="922">
        <f t="shared" si="45"/>
        <v>0.18</v>
      </c>
    </row>
    <row r="396" spans="1:20" s="915" customFormat="1" ht="13.2">
      <c r="A396" s="82">
        <v>2</v>
      </c>
      <c r="B396" s="915" t="s">
        <v>140</v>
      </c>
      <c r="D396" s="915" t="s">
        <v>572</v>
      </c>
      <c r="G396" s="916" t="s">
        <v>573</v>
      </c>
      <c r="H396" s="917">
        <v>620</v>
      </c>
      <c r="I396" s="915" t="s">
        <v>558</v>
      </c>
      <c r="O396" s="918">
        <v>2</v>
      </c>
      <c r="P396" s="919"/>
      <c r="Q396" s="920">
        <v>0.1</v>
      </c>
      <c r="R396" s="921">
        <f t="shared" si="44"/>
        <v>0.2</v>
      </c>
      <c r="S396" s="920"/>
      <c r="T396" s="922">
        <f t="shared" si="45"/>
        <v>0</v>
      </c>
    </row>
    <row r="397" spans="1:20" s="915" customFormat="1" ht="13.2">
      <c r="A397" s="82">
        <v>3</v>
      </c>
      <c r="B397" s="915" t="s">
        <v>140</v>
      </c>
      <c r="D397" s="915" t="s">
        <v>574</v>
      </c>
      <c r="G397" s="916" t="s">
        <v>575</v>
      </c>
      <c r="H397" s="917">
        <v>875</v>
      </c>
      <c r="I397" s="915" t="s">
        <v>558</v>
      </c>
      <c r="K397" s="915" t="s">
        <v>576</v>
      </c>
      <c r="O397" s="918">
        <v>1</v>
      </c>
      <c r="P397" s="919">
        <v>34669</v>
      </c>
      <c r="Q397" s="920">
        <v>0.05</v>
      </c>
      <c r="R397" s="921">
        <f t="shared" si="44"/>
        <v>0.15000000000000002</v>
      </c>
      <c r="S397" s="920"/>
      <c r="T397" s="922">
        <f t="shared" si="45"/>
        <v>0</v>
      </c>
    </row>
    <row r="398" spans="1:20" s="489" customFormat="1" ht="12">
      <c r="A398" s="40"/>
      <c r="B398" s="485"/>
      <c r="C398" s="485"/>
      <c r="D398" s="1006" t="s">
        <v>632</v>
      </c>
      <c r="E398" s="485"/>
      <c r="F398" s="486"/>
      <c r="G398" s="485"/>
      <c r="H398" s="485"/>
      <c r="I398" s="487"/>
      <c r="J398" s="485"/>
      <c r="K398" s="485"/>
      <c r="L398" s="485"/>
      <c r="M398" s="485"/>
      <c r="N398" s="485"/>
      <c r="O398" s="485"/>
      <c r="P398" s="485"/>
      <c r="Q398" s="487"/>
      <c r="R398" s="673"/>
      <c r="S398" s="487"/>
      <c r="T398" s="488"/>
    </row>
    <row r="399" spans="1:20" s="915" customFormat="1" ht="13.2">
      <c r="A399">
        <v>40</v>
      </c>
      <c r="B399" s="915" t="s">
        <v>277</v>
      </c>
      <c r="D399" s="915" t="s">
        <v>633</v>
      </c>
      <c r="G399" s="916" t="s">
        <v>634</v>
      </c>
      <c r="H399" s="917">
        <v>617</v>
      </c>
      <c r="I399" s="915" t="s">
        <v>558</v>
      </c>
      <c r="O399" s="918">
        <v>2</v>
      </c>
      <c r="P399" s="919">
        <v>40767</v>
      </c>
      <c r="Q399" s="920">
        <v>1.33</v>
      </c>
      <c r="R399" s="921">
        <f>$A399*Q399</f>
        <v>53.2</v>
      </c>
      <c r="S399" s="920">
        <v>2.5000000000000001E-2</v>
      </c>
      <c r="T399" s="922">
        <f>$A399*S399*$T$1</f>
        <v>1</v>
      </c>
    </row>
    <row r="400" spans="1:20" s="489" customFormat="1" ht="12">
      <c r="A400" s="485"/>
      <c r="B400" s="485"/>
      <c r="C400" s="485"/>
      <c r="D400" s="485"/>
      <c r="E400" s="924"/>
      <c r="F400" s="486"/>
      <c r="G400" s="485"/>
      <c r="H400" s="485"/>
      <c r="I400" s="487"/>
      <c r="J400" s="485"/>
      <c r="K400" s="485"/>
      <c r="L400" s="485"/>
      <c r="M400" s="485"/>
      <c r="N400" s="485"/>
      <c r="O400" s="485"/>
      <c r="P400" s="485"/>
      <c r="Q400" s="487"/>
      <c r="R400" s="673">
        <f t="shared" si="42"/>
        <v>0</v>
      </c>
      <c r="S400" s="487"/>
      <c r="T400" s="488">
        <f t="shared" si="43"/>
        <v>0</v>
      </c>
    </row>
    <row r="401" spans="1:41" s="489" customFormat="1" ht="12.6" thickBot="1">
      <c r="A401" s="500" t="s">
        <v>144</v>
      </c>
      <c r="B401" s="501">
        <f>(R400+T400)</f>
        <v>0</v>
      </c>
      <c r="C401" s="502"/>
      <c r="D401" s="502"/>
      <c r="E401" s="502"/>
      <c r="F401" s="674"/>
      <c r="G401" s="502" t="s">
        <v>145</v>
      </c>
      <c r="H401" s="502"/>
      <c r="I401" s="503"/>
      <c r="J401" s="502"/>
      <c r="K401" s="502" t="s">
        <v>3</v>
      </c>
      <c r="L401" s="504" t="s">
        <v>142</v>
      </c>
      <c r="M401" s="504"/>
      <c r="N401" s="504"/>
      <c r="O401" s="504"/>
      <c r="P401" s="504"/>
      <c r="Q401" s="675"/>
      <c r="R401" s="676">
        <f>SUM(R385:R400)</f>
        <v>127.88677254901962</v>
      </c>
      <c r="S401" s="502"/>
      <c r="T401" s="676">
        <f>SUM(T385:T400)</f>
        <v>3.1600000000000006</v>
      </c>
      <c r="U401" s="505"/>
      <c r="V401" s="505"/>
      <c r="W401" s="505"/>
      <c r="X401" s="505"/>
      <c r="Y401" s="505"/>
      <c r="Z401" s="505"/>
      <c r="AA401" s="505"/>
      <c r="AB401" s="505"/>
      <c r="AC401" s="505"/>
      <c r="AD401" s="505"/>
      <c r="AE401" s="505"/>
      <c r="AF401" s="505"/>
      <c r="AG401" s="505"/>
      <c r="AH401" s="505"/>
      <c r="AI401" s="505"/>
      <c r="AJ401" s="505"/>
      <c r="AK401" s="505"/>
      <c r="AL401" s="505"/>
      <c r="AM401" s="505"/>
      <c r="AN401" s="505"/>
      <c r="AO401" s="505"/>
    </row>
    <row r="402" spans="1:41" s="489" customFormat="1" ht="12" thickTop="1">
      <c r="A402" s="40"/>
      <c r="B402" s="36"/>
      <c r="C402" s="40"/>
      <c r="E402" s="37" t="s">
        <v>137</v>
      </c>
      <c r="F402" s="37" t="s">
        <v>138</v>
      </c>
      <c r="G402" s="40"/>
      <c r="H402" s="40"/>
      <c r="I402" s="40"/>
      <c r="J402" s="40"/>
      <c r="K402" s="40" t="s">
        <v>139</v>
      </c>
      <c r="L402" s="40"/>
      <c r="M402" s="40"/>
      <c r="N402" s="40"/>
      <c r="O402" s="41"/>
      <c r="P402" s="40"/>
      <c r="Q402" s="40"/>
      <c r="R402" s="40"/>
      <c r="S402" s="40"/>
      <c r="T402" s="36"/>
      <c r="AG402" s="662" t="s">
        <v>238</v>
      </c>
      <c r="AH402" s="662" t="s">
        <v>239</v>
      </c>
      <c r="AI402" s="662" t="s">
        <v>240</v>
      </c>
      <c r="AJ402" s="662" t="s">
        <v>241</v>
      </c>
      <c r="AK402" s="662" t="s">
        <v>242</v>
      </c>
      <c r="AM402" s="663" t="s">
        <v>251</v>
      </c>
      <c r="AN402" s="664" t="s">
        <v>252</v>
      </c>
      <c r="AO402" s="490" t="s">
        <v>248</v>
      </c>
    </row>
    <row r="403" spans="1:41" s="489" customFormat="1" ht="12" customHeight="1">
      <c r="A403" s="1001">
        <v>1</v>
      </c>
      <c r="B403" s="491" t="s">
        <v>269</v>
      </c>
      <c r="C403" s="492"/>
      <c r="D403" s="666" t="s">
        <v>525</v>
      </c>
      <c r="E403" s="667">
        <f>IF(AND($A403=0,$A$1="DIF"),0, ROUND(ROUND(($R421*$S$2+($T421*$T$2))/A403,2)*$C$2,2))</f>
        <v>214.66</v>
      </c>
      <c r="F403" s="668">
        <f>ROUND($A403*$E403,2)</f>
        <v>214.66</v>
      </c>
      <c r="G403" s="493" t="s">
        <v>141</v>
      </c>
      <c r="H403" s="486"/>
      <c r="I403" s="669"/>
      <c r="J403" s="486"/>
      <c r="K403" s="486" t="s">
        <v>3</v>
      </c>
      <c r="L403" s="670" t="s">
        <v>142</v>
      </c>
      <c r="M403" s="670"/>
      <c r="N403" s="670"/>
      <c r="O403" s="670"/>
      <c r="P403" s="670"/>
      <c r="Q403" s="40"/>
      <c r="T403" s="671" t="str">
        <f>IF(AND($R421=0,$T421=0),"0.00","mu :" &amp; ROUND($F403/$C$2/($R421+$T421*$D$9),2))</f>
        <v>mu :1</v>
      </c>
      <c r="W403" s="494"/>
      <c r="AG403" s="447">
        <f>IF($E403=0,0,ROUND($R421*$S$2*$C$2/$A403,2))</f>
        <v>127.89</v>
      </c>
      <c r="AH403" s="447">
        <f>$AG403*$A403</f>
        <v>127.89</v>
      </c>
      <c r="AI403" s="495">
        <f>$E403-$AG403</f>
        <v>86.77</v>
      </c>
      <c r="AJ403" s="495">
        <f>$A403*$AI403</f>
        <v>86.77</v>
      </c>
      <c r="AK403" s="496">
        <f>ROUND(($AG403+$AI403)*$A403,2)</f>
        <v>214.66</v>
      </c>
      <c r="AM403" s="497">
        <f>ROUND(R421,2)</f>
        <v>127.89</v>
      </c>
      <c r="AN403" s="498">
        <f>ROUND(T421,2)</f>
        <v>3.16</v>
      </c>
      <c r="AO403" s="499">
        <f>ROUND(AM403+AN403,2)*A403</f>
        <v>131.05000000000001</v>
      </c>
    </row>
    <row r="404" spans="1:41" s="489" customFormat="1" ht="72">
      <c r="A404" s="492"/>
      <c r="B404"/>
      <c r="C404" s="492"/>
      <c r="D404" s="756" t="s">
        <v>526</v>
      </c>
      <c r="E404" s="757"/>
      <c r="F404" s="757"/>
      <c r="G404" s="757"/>
      <c r="H404" s="757"/>
      <c r="I404" s="757"/>
      <c r="J404" s="757"/>
      <c r="K404" s="757"/>
      <c r="L404" s="757"/>
      <c r="M404" s="757"/>
      <c r="N404" s="757"/>
      <c r="O404" s="757"/>
      <c r="P404" s="757"/>
      <c r="Q404" s="757"/>
      <c r="R404" s="758"/>
      <c r="S404" s="757"/>
      <c r="T404" s="757"/>
    </row>
    <row r="405" spans="1:41" s="489" customFormat="1" ht="12">
      <c r="A405" s="40"/>
      <c r="B405" s="485"/>
      <c r="C405" s="485"/>
      <c r="D405" s="485"/>
      <c r="E405" s="485"/>
      <c r="F405" s="486"/>
      <c r="G405" s="485"/>
      <c r="H405" s="485"/>
      <c r="I405" s="487"/>
      <c r="J405" s="485"/>
      <c r="K405" s="485"/>
      <c r="L405" s="485"/>
      <c r="M405" s="485"/>
      <c r="N405" s="485"/>
      <c r="O405" s="485"/>
      <c r="P405" s="485"/>
      <c r="Q405" s="487"/>
      <c r="R405" s="673">
        <f t="shared" ref="R405:R420" si="46">$A405*Q405</f>
        <v>0</v>
      </c>
      <c r="S405" s="487"/>
      <c r="T405" s="488">
        <f t="shared" ref="T405:T420" si="47">$A405*S405*$T$1</f>
        <v>0</v>
      </c>
    </row>
    <row r="406" spans="1:41" s="489" customFormat="1" ht="12">
      <c r="A406" s="40"/>
      <c r="B406" s="485"/>
      <c r="C406" s="485"/>
      <c r="D406" s="1006" t="s">
        <v>613</v>
      </c>
      <c r="E406" s="485"/>
      <c r="F406" s="486"/>
      <c r="G406" s="485"/>
      <c r="H406" s="485"/>
      <c r="I406" s="487"/>
      <c r="J406" s="485"/>
      <c r="K406" s="485"/>
      <c r="L406" s="485"/>
      <c r="M406" s="485"/>
      <c r="N406" s="485"/>
      <c r="O406" s="485"/>
      <c r="P406" s="485"/>
      <c r="Q406" s="487"/>
      <c r="R406" s="673">
        <f t="shared" si="46"/>
        <v>0</v>
      </c>
      <c r="S406" s="487"/>
      <c r="T406" s="488">
        <f t="shared" si="47"/>
        <v>0</v>
      </c>
    </row>
    <row r="407" spans="1:41" s="915" customFormat="1" ht="13.2">
      <c r="A407" s="82">
        <v>2</v>
      </c>
      <c r="B407" s="915" t="s">
        <v>277</v>
      </c>
      <c r="D407" s="915" t="s">
        <v>614</v>
      </c>
      <c r="G407" s="916" t="s">
        <v>615</v>
      </c>
      <c r="H407" s="917">
        <v>616</v>
      </c>
      <c r="I407" s="915" t="s">
        <v>616</v>
      </c>
      <c r="J407" s="915" t="s">
        <v>617</v>
      </c>
      <c r="O407" s="918">
        <v>2</v>
      </c>
      <c r="P407" s="919">
        <v>40767</v>
      </c>
      <c r="Q407" s="920">
        <f>(1701.9/155)*1.435</f>
        <v>15.756300000000001</v>
      </c>
      <c r="R407" s="921">
        <f t="shared" si="46"/>
        <v>31.512600000000003</v>
      </c>
      <c r="S407" s="920">
        <v>0.08</v>
      </c>
      <c r="T407" s="922">
        <f t="shared" si="47"/>
        <v>0.16</v>
      </c>
    </row>
    <row r="408" spans="1:41" s="915" customFormat="1" ht="13.2">
      <c r="A408" s="82">
        <v>2</v>
      </c>
      <c r="B408" s="915" t="s">
        <v>140</v>
      </c>
      <c r="D408" s="915" t="s">
        <v>618</v>
      </c>
      <c r="G408" s="916" t="s">
        <v>619</v>
      </c>
      <c r="H408" s="917">
        <v>620</v>
      </c>
      <c r="I408" s="915" t="s">
        <v>620</v>
      </c>
      <c r="O408" s="918">
        <v>2</v>
      </c>
      <c r="P408" s="919">
        <v>35431</v>
      </c>
      <c r="Q408" s="920">
        <v>6.38</v>
      </c>
      <c r="R408" s="921">
        <f t="shared" si="46"/>
        <v>12.76</v>
      </c>
      <c r="S408" s="920">
        <v>0.35000000000000003</v>
      </c>
      <c r="T408" s="922">
        <f t="shared" si="47"/>
        <v>0.70000000000000007</v>
      </c>
    </row>
    <row r="409" spans="1:41" s="915" customFormat="1" ht="13.2">
      <c r="A409" s="82">
        <v>10</v>
      </c>
      <c r="B409" s="915" t="s">
        <v>140</v>
      </c>
      <c r="D409" s="915" t="s">
        <v>577</v>
      </c>
      <c r="G409" s="916" t="s">
        <v>578</v>
      </c>
      <c r="H409" s="917">
        <v>620</v>
      </c>
      <c r="I409" s="915" t="s">
        <v>571</v>
      </c>
      <c r="O409" s="918">
        <v>2</v>
      </c>
      <c r="P409" s="919">
        <v>34669</v>
      </c>
      <c r="Q409" s="920">
        <v>7.0000000000000007E-2</v>
      </c>
      <c r="R409" s="921">
        <f t="shared" si="46"/>
        <v>0.70000000000000007</v>
      </c>
      <c r="S409" s="920">
        <v>0.03</v>
      </c>
      <c r="T409" s="922">
        <f t="shared" si="47"/>
        <v>0.3</v>
      </c>
    </row>
    <row r="410" spans="1:41" s="915" customFormat="1" ht="13.2">
      <c r="A410" s="82">
        <v>2</v>
      </c>
      <c r="B410" s="915" t="s">
        <v>140</v>
      </c>
      <c r="D410" s="915" t="s">
        <v>572</v>
      </c>
      <c r="G410" s="916" t="s">
        <v>573</v>
      </c>
      <c r="H410" s="917">
        <v>620</v>
      </c>
      <c r="I410" s="915" t="s">
        <v>558</v>
      </c>
      <c r="O410" s="918">
        <v>2</v>
      </c>
      <c r="P410" s="919"/>
      <c r="Q410" s="920">
        <v>0.1</v>
      </c>
      <c r="R410" s="921">
        <f t="shared" si="46"/>
        <v>0.2</v>
      </c>
      <c r="S410" s="920"/>
      <c r="T410" s="922">
        <f t="shared" si="47"/>
        <v>0</v>
      </c>
    </row>
    <row r="411" spans="1:41" s="915" customFormat="1" ht="13.2">
      <c r="A411" s="82">
        <v>3</v>
      </c>
      <c r="B411" s="915" t="s">
        <v>140</v>
      </c>
      <c r="D411" s="915" t="s">
        <v>574</v>
      </c>
      <c r="G411" s="916" t="s">
        <v>575</v>
      </c>
      <c r="H411" s="917">
        <v>875</v>
      </c>
      <c r="I411" s="915" t="s">
        <v>558</v>
      </c>
      <c r="K411" s="915" t="s">
        <v>576</v>
      </c>
      <c r="O411" s="918">
        <v>1</v>
      </c>
      <c r="P411" s="919">
        <v>34669</v>
      </c>
      <c r="Q411" s="920">
        <v>0.05</v>
      </c>
      <c r="R411" s="921">
        <f t="shared" si="46"/>
        <v>0.15000000000000002</v>
      </c>
      <c r="S411" s="920"/>
      <c r="T411" s="922">
        <f t="shared" si="47"/>
        <v>0</v>
      </c>
    </row>
    <row r="412" spans="1:41" s="489" customFormat="1" ht="12">
      <c r="A412" s="40"/>
      <c r="B412" s="485"/>
      <c r="C412" s="485"/>
      <c r="D412" s="1006" t="s">
        <v>631</v>
      </c>
      <c r="E412" s="485"/>
      <c r="F412" s="486"/>
      <c r="G412" s="485"/>
      <c r="H412" s="485"/>
      <c r="I412" s="487"/>
      <c r="J412" s="485"/>
      <c r="K412" s="485"/>
      <c r="L412" s="485"/>
      <c r="M412" s="485"/>
      <c r="N412" s="485"/>
      <c r="O412" s="485"/>
      <c r="P412" s="485"/>
      <c r="Q412" s="487"/>
      <c r="R412" s="673"/>
      <c r="S412" s="487"/>
      <c r="T412" s="488"/>
    </row>
    <row r="413" spans="1:41" s="915" customFormat="1" ht="13.2">
      <c r="A413" s="82">
        <v>2</v>
      </c>
      <c r="B413" s="915" t="s">
        <v>277</v>
      </c>
      <c r="D413" s="915" t="s">
        <v>629</v>
      </c>
      <c r="G413" s="916" t="s">
        <v>615</v>
      </c>
      <c r="H413" s="917">
        <v>616</v>
      </c>
      <c r="I413" s="915" t="s">
        <v>616</v>
      </c>
      <c r="J413" s="915" t="s">
        <v>617</v>
      </c>
      <c r="O413" s="918">
        <v>2</v>
      </c>
      <c r="P413" s="919">
        <v>40767</v>
      </c>
      <c r="Q413" s="920">
        <f>(564.88/102)*1.435</f>
        <v>7.9470862745098039</v>
      </c>
      <c r="R413" s="921">
        <f t="shared" ref="R413:R417" si="48">$A413*Q413</f>
        <v>15.894172549019608</v>
      </c>
      <c r="S413" s="920">
        <v>0.06</v>
      </c>
      <c r="T413" s="922">
        <f t="shared" ref="T413:T417" si="49">$A413*S413*$T$1</f>
        <v>0.12</v>
      </c>
    </row>
    <row r="414" spans="1:41" s="915" customFormat="1" ht="13.2">
      <c r="A414" s="82">
        <v>2</v>
      </c>
      <c r="B414" s="915" t="s">
        <v>140</v>
      </c>
      <c r="D414" s="915" t="s">
        <v>618</v>
      </c>
      <c r="G414" s="916" t="s">
        <v>619</v>
      </c>
      <c r="H414" s="917">
        <v>620</v>
      </c>
      <c r="I414" s="915" t="s">
        <v>620</v>
      </c>
      <c r="O414" s="918">
        <v>2</v>
      </c>
      <c r="P414" s="919">
        <v>35431</v>
      </c>
      <c r="Q414" s="920">
        <v>6.38</v>
      </c>
      <c r="R414" s="921">
        <f t="shared" si="48"/>
        <v>12.76</v>
      </c>
      <c r="S414" s="920">
        <v>0.35000000000000003</v>
      </c>
      <c r="T414" s="922">
        <f t="shared" si="49"/>
        <v>0.70000000000000007</v>
      </c>
    </row>
    <row r="415" spans="1:41" s="915" customFormat="1" ht="13.2">
      <c r="A415" s="82">
        <v>6</v>
      </c>
      <c r="B415" s="915" t="s">
        <v>140</v>
      </c>
      <c r="D415" s="915" t="s">
        <v>630</v>
      </c>
      <c r="G415" s="916" t="s">
        <v>578</v>
      </c>
      <c r="H415" s="917">
        <v>620</v>
      </c>
      <c r="I415" s="915" t="s">
        <v>571</v>
      </c>
      <c r="O415" s="918">
        <v>2</v>
      </c>
      <c r="P415" s="919">
        <v>34669</v>
      </c>
      <c r="Q415" s="920">
        <v>0.06</v>
      </c>
      <c r="R415" s="921">
        <f t="shared" si="48"/>
        <v>0.36</v>
      </c>
      <c r="S415" s="920">
        <v>0.03</v>
      </c>
      <c r="T415" s="922">
        <f t="shared" si="49"/>
        <v>0.18</v>
      </c>
    </row>
    <row r="416" spans="1:41" s="915" customFormat="1" ht="13.2">
      <c r="A416" s="82">
        <v>2</v>
      </c>
      <c r="B416" s="915" t="s">
        <v>140</v>
      </c>
      <c r="D416" s="915" t="s">
        <v>572</v>
      </c>
      <c r="G416" s="916" t="s">
        <v>573</v>
      </c>
      <c r="H416" s="917">
        <v>620</v>
      </c>
      <c r="I416" s="915" t="s">
        <v>558</v>
      </c>
      <c r="O416" s="918">
        <v>2</v>
      </c>
      <c r="P416" s="919"/>
      <c r="Q416" s="920">
        <v>0.1</v>
      </c>
      <c r="R416" s="921">
        <f t="shared" si="48"/>
        <v>0.2</v>
      </c>
      <c r="S416" s="920"/>
      <c r="T416" s="922">
        <f t="shared" si="49"/>
        <v>0</v>
      </c>
    </row>
    <row r="417" spans="1:41" s="915" customFormat="1" ht="13.2">
      <c r="A417" s="82">
        <v>3</v>
      </c>
      <c r="B417" s="915" t="s">
        <v>140</v>
      </c>
      <c r="D417" s="915" t="s">
        <v>574</v>
      </c>
      <c r="G417" s="916" t="s">
        <v>575</v>
      </c>
      <c r="H417" s="917">
        <v>875</v>
      </c>
      <c r="I417" s="915" t="s">
        <v>558</v>
      </c>
      <c r="K417" s="915" t="s">
        <v>576</v>
      </c>
      <c r="O417" s="918">
        <v>1</v>
      </c>
      <c r="P417" s="919">
        <v>34669</v>
      </c>
      <c r="Q417" s="920">
        <v>0.05</v>
      </c>
      <c r="R417" s="921">
        <f t="shared" si="48"/>
        <v>0.15000000000000002</v>
      </c>
      <c r="S417" s="920"/>
      <c r="T417" s="922">
        <f t="shared" si="49"/>
        <v>0</v>
      </c>
    </row>
    <row r="418" spans="1:41" s="489" customFormat="1" ht="12">
      <c r="A418" s="40"/>
      <c r="B418" s="485"/>
      <c r="C418" s="485"/>
      <c r="D418" s="1006" t="s">
        <v>632</v>
      </c>
      <c r="E418" s="485"/>
      <c r="F418" s="486"/>
      <c r="G418" s="485"/>
      <c r="H418" s="485"/>
      <c r="I418" s="487"/>
      <c r="J418" s="485"/>
      <c r="K418" s="485"/>
      <c r="L418" s="485"/>
      <c r="M418" s="485"/>
      <c r="N418" s="485"/>
      <c r="O418" s="485"/>
      <c r="P418" s="485"/>
      <c r="Q418" s="487"/>
      <c r="R418" s="673"/>
      <c r="S418" s="487"/>
      <c r="T418" s="488"/>
    </row>
    <row r="419" spans="1:41" s="915" customFormat="1" ht="13.2">
      <c r="A419">
        <v>40</v>
      </c>
      <c r="B419" s="915" t="s">
        <v>277</v>
      </c>
      <c r="D419" s="915" t="s">
        <v>633</v>
      </c>
      <c r="G419" s="916" t="s">
        <v>634</v>
      </c>
      <c r="H419" s="917">
        <v>617</v>
      </c>
      <c r="I419" s="915" t="s">
        <v>558</v>
      </c>
      <c r="O419" s="918">
        <v>2</v>
      </c>
      <c r="P419" s="919">
        <v>40767</v>
      </c>
      <c r="Q419" s="920">
        <v>1.33</v>
      </c>
      <c r="R419" s="921">
        <f>$A419*Q419</f>
        <v>53.2</v>
      </c>
      <c r="S419" s="920">
        <v>2.5000000000000001E-2</v>
      </c>
      <c r="T419" s="922">
        <f>$A419*S419*$T$1</f>
        <v>1</v>
      </c>
    </row>
    <row r="420" spans="1:41" s="489" customFormat="1" ht="12">
      <c r="A420" s="40"/>
      <c r="B420" s="485"/>
      <c r="C420" s="485"/>
      <c r="D420" s="485"/>
      <c r="E420" s="924"/>
      <c r="F420" s="486"/>
      <c r="G420" s="485"/>
      <c r="H420" s="485"/>
      <c r="I420" s="487"/>
      <c r="J420" s="485"/>
      <c r="K420" s="485"/>
      <c r="L420" s="485"/>
      <c r="M420" s="485"/>
      <c r="N420" s="485"/>
      <c r="O420" s="485"/>
      <c r="P420" s="485"/>
      <c r="Q420" s="487"/>
      <c r="R420" s="673">
        <f t="shared" si="46"/>
        <v>0</v>
      </c>
      <c r="S420" s="487"/>
      <c r="T420" s="488">
        <f t="shared" si="47"/>
        <v>0</v>
      </c>
    </row>
    <row r="421" spans="1:41" s="489" customFormat="1" ht="12.6" thickBot="1">
      <c r="A421" s="500" t="s">
        <v>144</v>
      </c>
      <c r="B421" s="501" t="e">
        <f>(#REF!+#REF!)</f>
        <v>#REF!</v>
      </c>
      <c r="C421" s="502"/>
      <c r="D421" s="502"/>
      <c r="E421" s="502"/>
      <c r="F421" s="674"/>
      <c r="G421" s="502" t="s">
        <v>145</v>
      </c>
      <c r="H421" s="502"/>
      <c r="I421" s="503"/>
      <c r="J421" s="502"/>
      <c r="K421" s="502" t="s">
        <v>3</v>
      </c>
      <c r="L421" s="504" t="s">
        <v>142</v>
      </c>
      <c r="M421" s="504"/>
      <c r="N421" s="504"/>
      <c r="O421" s="504"/>
      <c r="P421" s="504"/>
      <c r="Q421" s="675"/>
      <c r="R421" s="676">
        <f>SUM(R404:R420)</f>
        <v>127.88677254901962</v>
      </c>
      <c r="S421" s="502"/>
      <c r="T421" s="676">
        <f>SUM(T404:T420)</f>
        <v>3.1600000000000006</v>
      </c>
      <c r="U421" s="505"/>
      <c r="V421" s="505"/>
      <c r="W421" s="505"/>
      <c r="X421" s="505"/>
      <c r="Y421" s="505"/>
      <c r="Z421" s="505"/>
      <c r="AA421" s="505"/>
      <c r="AB421" s="505"/>
      <c r="AC421" s="505"/>
      <c r="AD421" s="505"/>
      <c r="AE421" s="505"/>
      <c r="AF421" s="505"/>
      <c r="AG421" s="505"/>
      <c r="AH421" s="505"/>
      <c r="AI421" s="505"/>
      <c r="AJ421" s="505"/>
      <c r="AK421" s="505"/>
      <c r="AL421" s="505"/>
      <c r="AM421" s="505"/>
      <c r="AN421" s="505"/>
      <c r="AO421" s="505"/>
    </row>
    <row r="422" spans="1:41" s="489" customFormat="1" ht="12" thickTop="1">
      <c r="A422" s="38" t="s">
        <v>147</v>
      </c>
      <c r="D422" s="11"/>
      <c r="E422" s="37"/>
      <c r="O422" s="677"/>
    </row>
    <row r="423" spans="1:41" s="489" customFormat="1" ht="13.2">
      <c r="B423" s="3"/>
      <c r="O423" s="677"/>
    </row>
    <row r="424" spans="1:41" s="489" customFormat="1" ht="12">
      <c r="B424" s="678">
        <f>$F424/$C$2-($R424*$S$2+$T424*$T$2)</f>
        <v>-7.4509803931732677E-4</v>
      </c>
      <c r="D424" s="679" t="s">
        <v>513</v>
      </c>
      <c r="E424" s="680"/>
      <c r="F424" s="681">
        <f>SUMIF($L355:$L422,"ITEM",F355:F422)</f>
        <v>429.32</v>
      </c>
      <c r="G424" s="485"/>
      <c r="H424" s="485"/>
      <c r="I424" s="487"/>
      <c r="J424" s="485"/>
      <c r="K424" s="485"/>
      <c r="L424" s="670" t="s">
        <v>514</v>
      </c>
      <c r="M424" s="670"/>
      <c r="N424" s="670"/>
      <c r="O424" s="670"/>
      <c r="P424" s="670"/>
      <c r="R424" s="681">
        <f>SUMIF($L355:$L422,"ITEM",R355:R422)</f>
        <v>255.77354509803925</v>
      </c>
      <c r="S424" s="682"/>
      <c r="T424" s="681">
        <f>SUMIF($L355:$L422,"ITEM",T355:T422)</f>
        <v>6.3200000000000012</v>
      </c>
    </row>
    <row r="425" spans="1:41" s="489" customFormat="1" ht="13.2">
      <c r="A425" s="40"/>
      <c r="B425" s="683" t="s">
        <v>515</v>
      </c>
      <c r="C425" s="40"/>
      <c r="D425" s="3"/>
      <c r="F425" s="684" t="s">
        <v>516</v>
      </c>
      <c r="G425" s="485"/>
      <c r="H425" s="485"/>
      <c r="I425" s="487"/>
      <c r="J425" s="485"/>
      <c r="K425" s="485"/>
      <c r="L425" s="485"/>
      <c r="M425" s="485"/>
      <c r="N425" s="485"/>
      <c r="O425" s="485"/>
      <c r="P425" s="485"/>
      <c r="Q425" s="685"/>
      <c r="R425" s="684" t="s">
        <v>517</v>
      </c>
      <c r="S425" s="654"/>
      <c r="T425" s="684" t="s">
        <v>518</v>
      </c>
    </row>
    <row r="426" spans="1:41" s="489" customFormat="1" ht="13.2">
      <c r="A426" s="485"/>
      <c r="B426" s="3"/>
      <c r="C426" s="485"/>
      <c r="D426" s="3"/>
      <c r="E426" s="3"/>
      <c r="G426" s="3"/>
      <c r="H426" s="3"/>
      <c r="I426" s="3"/>
      <c r="J426" s="3"/>
      <c r="K426" s="3"/>
      <c r="L426" s="3"/>
      <c r="M426" s="3"/>
      <c r="N426" s="3"/>
      <c r="O426" s="81"/>
      <c r="P426" s="3"/>
      <c r="Q426" s="3"/>
      <c r="R426" s="3"/>
      <c r="S426" s="3"/>
      <c r="T426" s="3"/>
    </row>
    <row r="427" spans="1:41" s="489" customFormat="1" ht="12" thickBot="1">
      <c r="A427" s="505"/>
      <c r="B427" s="502"/>
      <c r="C427" s="502"/>
      <c r="D427" s="505"/>
      <c r="E427" s="35"/>
      <c r="F427" s="686"/>
      <c r="G427" s="502"/>
      <c r="H427" s="502"/>
      <c r="I427" s="503"/>
      <c r="J427" s="502"/>
      <c r="K427" s="502"/>
      <c r="L427" s="504"/>
      <c r="M427" s="504"/>
      <c r="N427" s="504"/>
      <c r="O427" s="504"/>
      <c r="P427" s="504"/>
      <c r="Q427" s="675"/>
      <c r="R427" s="686"/>
      <c r="S427" s="687"/>
      <c r="T427" s="686"/>
      <c r="U427" s="505"/>
      <c r="V427" s="505"/>
      <c r="W427" s="505"/>
      <c r="X427" s="505"/>
      <c r="Y427" s="505"/>
      <c r="Z427" s="505"/>
      <c r="AA427" s="505"/>
      <c r="AB427" s="505"/>
      <c r="AC427" s="505"/>
      <c r="AD427" s="505"/>
      <c r="AE427" s="505"/>
      <c r="AF427" s="505"/>
      <c r="AG427" s="505"/>
      <c r="AH427" s="505"/>
      <c r="AI427" s="505"/>
      <c r="AJ427" s="505"/>
      <c r="AK427" s="505"/>
    </row>
    <row r="428" spans="1:41" s="489" customFormat="1" ht="14.4" thickTop="1" thickBot="1">
      <c r="A428" s="38"/>
      <c r="B428" s="3"/>
      <c r="C428" s="40"/>
      <c r="D428" s="3"/>
      <c r="E428" s="3"/>
      <c r="F428" s="3"/>
      <c r="G428" s="3"/>
      <c r="H428" s="3"/>
      <c r="I428" s="3"/>
      <c r="J428" s="3"/>
      <c r="K428" s="3"/>
      <c r="L428" s="3"/>
      <c r="M428" s="3"/>
      <c r="N428" s="3"/>
      <c r="O428" s="81"/>
      <c r="P428" s="3"/>
      <c r="Q428" s="3"/>
      <c r="R428" s="3"/>
      <c r="S428" s="3"/>
      <c r="T428" s="3"/>
      <c r="AH428" s="690">
        <f>SUM(AH$15:AH427)</f>
        <v>1920.3700000000001</v>
      </c>
      <c r="AI428" s="33"/>
      <c r="AJ428" s="690">
        <f>SUM(AJ$15:AJ427)</f>
        <v>1237.5700000000002</v>
      </c>
      <c r="AK428" s="690">
        <f>SUM(AK$15:AK427)</f>
        <v>3157.9399999999991</v>
      </c>
    </row>
    <row r="429" spans="1:41" s="489" customFormat="1" ht="12" thickTop="1">
      <c r="B429" s="691">
        <f>$F429/$C$2-($R429*$S$2+$T429*$T$2)</f>
        <v>-8.5745098039978984E-2</v>
      </c>
      <c r="C429" s="489" t="s">
        <v>73</v>
      </c>
      <c r="D429" s="692"/>
      <c r="E429" s="692" t="str">
        <f>$F$2 &amp; " (mu_A) :"</f>
        <v>Electrical (mu_A) :</v>
      </c>
      <c r="F429" s="693">
        <f>SUMIF($K$13:$K428,"mu_A",F$13:F428)</f>
        <v>1777.1699999999998</v>
      </c>
      <c r="O429" s="677"/>
      <c r="R429" s="694">
        <f>SUMIF($K$13:$K428,"mu_A",$R$13:$R428)</f>
        <v>539.63354509803924</v>
      </c>
      <c r="T429" s="694">
        <f>SUMIF($K$13:$K428,"mu_A",$T$13:$T428)</f>
        <v>45.070000000000014</v>
      </c>
      <c r="AH429" s="695">
        <f>R429*$S$2</f>
        <v>539.63354509803924</v>
      </c>
      <c r="AJ429" s="695">
        <f>T429*$T$2</f>
        <v>1237.6222000000005</v>
      </c>
    </row>
    <row r="430" spans="1:41" s="489" customFormat="1" ht="11.4">
      <c r="B430" s="691">
        <f ca="1">$F430/$C$3-($R430*$S$3+$T430*$T$3)</f>
        <v>3.999999999996362E-2</v>
      </c>
      <c r="C430" s="489" t="s">
        <v>73</v>
      </c>
      <c r="D430" s="692"/>
      <c r="E430" s="692" t="str">
        <f>$F$3&amp; " (mu_B) :"</f>
        <v>Controls (mu_B) :</v>
      </c>
      <c r="F430" s="696">
        <f ca="1">SUMIF($K$13:$K428,"mu_B",F$13:F428)</f>
        <v>1380.77</v>
      </c>
      <c r="G430" s="485"/>
      <c r="H430" s="485"/>
      <c r="I430" s="487"/>
      <c r="J430" s="485"/>
      <c r="K430" s="485"/>
      <c r="L430" s="485"/>
      <c r="M430" s="485"/>
      <c r="N430" s="485"/>
      <c r="O430" s="485"/>
      <c r="P430" s="485"/>
      <c r="Q430" s="685"/>
      <c r="R430" s="697">
        <f>SUMIF($K$13:$K428,"mu_B",$R$13:$R428)</f>
        <v>1380.73</v>
      </c>
      <c r="S430" s="698"/>
      <c r="T430" s="697">
        <f>SUMIF($K$13:$K428,"mu_B",$T$13:$T428)</f>
        <v>0</v>
      </c>
      <c r="AH430" s="699">
        <f>R430*$S$3</f>
        <v>1380.73</v>
      </c>
      <c r="AJ430" s="699">
        <f>T430*$T$3</f>
        <v>0</v>
      </c>
    </row>
    <row r="431" spans="1:41" s="489" customFormat="1" ht="11.4">
      <c r="B431" s="691">
        <f>$F431/$C$4-($R431*$S$4+$T431*$T$4)</f>
        <v>0</v>
      </c>
      <c r="C431" s="489" t="s">
        <v>73</v>
      </c>
      <c r="D431" s="692"/>
      <c r="E431" s="692" t="str">
        <f>$F$4&amp; " (mu_C) :"</f>
        <v>0 (mu_C) :</v>
      </c>
      <c r="F431" s="700">
        <f>SUMIF($K$13:$K428,"mu_C",F$13:F428)</f>
        <v>0</v>
      </c>
      <c r="G431" s="485"/>
      <c r="H431" s="485"/>
      <c r="I431" s="487"/>
      <c r="J431" s="485"/>
      <c r="K431" s="485"/>
      <c r="L431" s="701"/>
      <c r="M431" s="701"/>
      <c r="N431" s="701"/>
      <c r="O431" s="701"/>
      <c r="P431" s="701"/>
      <c r="R431" s="697">
        <f>SUMIF($K$13:$K428,"mu_C",$R$13:$R428)</f>
        <v>0</v>
      </c>
      <c r="S431" s="682"/>
      <c r="T431" s="697">
        <f>SUMIF($K$13:$K428,"mu_C",$T$13:$T428)</f>
        <v>0</v>
      </c>
      <c r="AH431" s="702">
        <f>R431*$S$4</f>
        <v>0</v>
      </c>
      <c r="AJ431" s="702">
        <f>T431*$T$4</f>
        <v>0</v>
      </c>
    </row>
    <row r="432" spans="1:41" s="489" customFormat="1" ht="11.4">
      <c r="B432" s="691">
        <f>$F432/$C$5-($R432*$S$5+$T432*$T$5)</f>
        <v>0</v>
      </c>
      <c r="C432" s="489" t="s">
        <v>73</v>
      </c>
      <c r="D432" s="692"/>
      <c r="E432" s="692" t="str">
        <f>$F$5&amp; " (mu_D) :"</f>
        <v>0 (mu_D) :</v>
      </c>
      <c r="F432" s="703">
        <f>SUMIF($K$13:$K428,"mu_D",F$13:F428)</f>
        <v>0</v>
      </c>
      <c r="G432" s="485"/>
      <c r="H432" s="485"/>
      <c r="I432" s="487"/>
      <c r="J432" s="485"/>
      <c r="K432" s="485"/>
      <c r="L432" s="701"/>
      <c r="M432" s="701"/>
      <c r="N432" s="701"/>
      <c r="O432" s="701"/>
      <c r="P432" s="701"/>
      <c r="R432" s="697">
        <f>SUMIF($K$13:$K428,"mu_D",$R$13:$R428)</f>
        <v>0</v>
      </c>
      <c r="S432" s="682"/>
      <c r="T432" s="697">
        <f>SUMIF($K$13:$K428,"mu_D",$T$13:$T428)</f>
        <v>0</v>
      </c>
      <c r="AH432" s="704">
        <f>R432*$S$5</f>
        <v>0</v>
      </c>
      <c r="AJ432" s="704">
        <f>T432*$T$5</f>
        <v>0</v>
      </c>
    </row>
    <row r="433" spans="1:37" s="489" customFormat="1" ht="11.4">
      <c r="B433" s="691">
        <f>$F433/$C$6-($R433*$S$6+$T433*$T$6)</f>
        <v>0</v>
      </c>
      <c r="C433" s="489" t="s">
        <v>73</v>
      </c>
      <c r="D433" s="692"/>
      <c r="E433" s="692" t="str">
        <f>$F$6&amp; " (mu_E) :"</f>
        <v>0 (mu_E) :</v>
      </c>
      <c r="F433" s="705">
        <f>SUMIF($K$13:$K428,"mu_E",F$13:F428)</f>
        <v>0</v>
      </c>
      <c r="G433" s="485"/>
      <c r="H433" s="485"/>
      <c r="I433" s="487"/>
      <c r="J433" s="485"/>
      <c r="K433" s="485"/>
      <c r="L433" s="701"/>
      <c r="M433" s="701"/>
      <c r="N433" s="701"/>
      <c r="O433" s="701"/>
      <c r="P433" s="701"/>
      <c r="R433" s="697">
        <f>SUMIF($K$13:$K428,"mu_E",$R$13:$R428)</f>
        <v>0</v>
      </c>
      <c r="S433" s="682"/>
      <c r="T433" s="697">
        <f>SUMIF($K$13:$K428,"mu_E",$T$13:$T428)</f>
        <v>0</v>
      </c>
      <c r="AH433" s="706">
        <f>R433*$S$6</f>
        <v>0</v>
      </c>
      <c r="AJ433" s="706">
        <f>T433*$T$6</f>
        <v>0</v>
      </c>
    </row>
    <row r="434" spans="1:37" s="489" customFormat="1" ht="11.4">
      <c r="B434" s="691">
        <f>$F434/$C$7-($R434*$S$7+$T434*$T$7)</f>
        <v>0</v>
      </c>
      <c r="C434" s="489" t="s">
        <v>73</v>
      </c>
      <c r="D434" s="692"/>
      <c r="E434" s="692" t="str">
        <f>$F$7&amp; " (mu_F) :"</f>
        <v>0 (mu_F) :</v>
      </c>
      <c r="F434" s="707">
        <f>SUMIF($K$13:$K428,"mu_F",F$13:F428)</f>
        <v>0</v>
      </c>
      <c r="G434" s="485"/>
      <c r="H434" s="485"/>
      <c r="I434" s="487"/>
      <c r="J434" s="485"/>
      <c r="K434" s="485"/>
      <c r="L434" s="701"/>
      <c r="M434" s="701"/>
      <c r="N434" s="701"/>
      <c r="O434" s="701"/>
      <c r="P434" s="701"/>
      <c r="R434" s="697">
        <f>SUMIF($K$13:$K428,"mu_F",$R$13:$R428)</f>
        <v>0</v>
      </c>
      <c r="S434" s="682"/>
      <c r="T434" s="697">
        <f>SUMIF($K$13:$K428,"mu_F",$T$13:$T428)</f>
        <v>0</v>
      </c>
      <c r="AH434" s="708">
        <f>R434*$S$7</f>
        <v>0</v>
      </c>
      <c r="AJ434" s="708">
        <f>T434*$T$7</f>
        <v>0</v>
      </c>
    </row>
    <row r="435" spans="1:37" s="489" customFormat="1" ht="11.4">
      <c r="B435" s="691">
        <f>$F435/$C$8-($R435*$S$8+$T435*$T$8)</f>
        <v>0</v>
      </c>
      <c r="C435" s="489" t="s">
        <v>73</v>
      </c>
      <c r="D435" s="692"/>
      <c r="E435" s="692" t="str">
        <f>$F$8&amp; " (mu_G) :"</f>
        <v>0 (mu_G) :</v>
      </c>
      <c r="F435" s="709">
        <f>SUMIF($K$13:$K428,"mu_G",F$13:F428)</f>
        <v>0</v>
      </c>
      <c r="G435" s="485"/>
      <c r="H435" s="485"/>
      <c r="I435" s="487"/>
      <c r="J435" s="485"/>
      <c r="K435" s="485"/>
      <c r="L435" s="701"/>
      <c r="M435" s="701"/>
      <c r="N435" s="701"/>
      <c r="O435" s="701"/>
      <c r="P435" s="701"/>
      <c r="R435" s="697">
        <f>SUMIF($K$13:$K428,"mu_G",$R$13:$R428)</f>
        <v>0</v>
      </c>
      <c r="S435" s="682"/>
      <c r="T435" s="697">
        <f>SUMIF($K$13:$K428,"mu_G",$T$13:$T428)</f>
        <v>0</v>
      </c>
      <c r="AH435" s="710">
        <f>R435*$S$8</f>
        <v>0</v>
      </c>
      <c r="AJ435" s="710">
        <f>T435*$T$8</f>
        <v>0</v>
      </c>
    </row>
    <row r="436" spans="1:37" s="489" customFormat="1" ht="11.4">
      <c r="B436" s="691">
        <f>$F436/$C$9-($R436*$S$9+$T436*$T$9)</f>
        <v>0</v>
      </c>
      <c r="C436" s="489" t="s">
        <v>73</v>
      </c>
      <c r="D436" s="692"/>
      <c r="E436" s="692" t="str">
        <f>$F$9&amp; " (mu_H) :"</f>
        <v>0 (mu_H) :</v>
      </c>
      <c r="F436" s="711">
        <f>SUMIF($K$13:$K428,"mu_H",F$13:F428)</f>
        <v>0</v>
      </c>
      <c r="G436" s="485"/>
      <c r="H436" s="485"/>
      <c r="I436" s="487"/>
      <c r="J436" s="485"/>
      <c r="K436" s="485"/>
      <c r="L436" s="701"/>
      <c r="M436" s="701"/>
      <c r="N436" s="701"/>
      <c r="O436" s="701"/>
      <c r="P436" s="701"/>
      <c r="R436" s="697">
        <f>SUMIF($K$13:$K428,"mu_H",$R$13:$R428)</f>
        <v>0</v>
      </c>
      <c r="S436" s="682"/>
      <c r="T436" s="697">
        <f>SUMIF($K$13:$K428,"mu_H",$T$13:$T428)</f>
        <v>0</v>
      </c>
      <c r="AH436" s="712">
        <f>R436*$S$9</f>
        <v>0</v>
      </c>
      <c r="AJ436" s="712">
        <f>T436*$T$9</f>
        <v>0</v>
      </c>
    </row>
    <row r="437" spans="1:37" s="489" customFormat="1" ht="11.4">
      <c r="B437" s="691">
        <f>$F437/$C$10-($R437*$S$10+$T437*$T$10)</f>
        <v>0</v>
      </c>
      <c r="C437" s="489" t="s">
        <v>73</v>
      </c>
      <c r="D437" s="692"/>
      <c r="E437" s="692" t="str">
        <f>$F$10&amp; " (mu_I) :"</f>
        <v>0 (mu_I) :</v>
      </c>
      <c r="F437" s="713">
        <f>SUMIF($K$13:$K428,"mu_I",F$13:F428)</f>
        <v>0</v>
      </c>
      <c r="G437" s="485"/>
      <c r="H437" s="485"/>
      <c r="I437" s="487"/>
      <c r="J437" s="485"/>
      <c r="K437" s="485"/>
      <c r="L437" s="701"/>
      <c r="M437" s="701"/>
      <c r="N437" s="701"/>
      <c r="O437" s="701"/>
      <c r="P437" s="701"/>
      <c r="R437" s="697">
        <f>SUMIF($K$13:$K428,"mu_I",$R$13:$R428)</f>
        <v>0</v>
      </c>
      <c r="S437" s="682"/>
      <c r="T437" s="697">
        <f>SUMIF($K$13:$K428,"mu_I",$T$13:$T428)</f>
        <v>0</v>
      </c>
      <c r="AH437" s="714">
        <f>R437*$S$10</f>
        <v>0</v>
      </c>
      <c r="AJ437" s="714">
        <f>T437*$T$10</f>
        <v>0</v>
      </c>
    </row>
    <row r="438" spans="1:37" s="489" customFormat="1" ht="11.4">
      <c r="B438" s="691">
        <f>$F438/$C$11-($R438*$S$11+$T438*$T$11)</f>
        <v>0</v>
      </c>
      <c r="D438" s="692"/>
      <c r="E438" s="692" t="str">
        <f>$F$10&amp; " (mu_J) :"</f>
        <v>0 (mu_J) :</v>
      </c>
      <c r="F438" s="715">
        <f>SUMIF($K$13:$K428,"mu_J",F$13:F428)</f>
        <v>0</v>
      </c>
      <c r="G438" s="485"/>
      <c r="H438" s="485"/>
      <c r="I438" s="487"/>
      <c r="J438" s="485"/>
      <c r="K438" s="485"/>
      <c r="L438" s="701"/>
      <c r="M438" s="701"/>
      <c r="N438" s="701"/>
      <c r="O438" s="701"/>
      <c r="P438" s="701"/>
      <c r="R438" s="697">
        <f>SUMIF($K$13:$K428,"mu_J",$R$13:$R428)</f>
        <v>0</v>
      </c>
      <c r="S438" s="682"/>
      <c r="T438" s="697">
        <f>SUMIF($K$13:$K428,"mu_J",$T$13:$T428)</f>
        <v>0</v>
      </c>
      <c r="AH438" s="716">
        <f>R438*$S$11</f>
        <v>0</v>
      </c>
      <c r="AJ438" s="716">
        <f>T438*$T$11</f>
        <v>0</v>
      </c>
    </row>
    <row r="439" spans="1:37" s="489" customFormat="1" ht="14.4" thickBot="1">
      <c r="A439" s="717"/>
      <c r="B439" s="717"/>
      <c r="C439" s="718" t="s">
        <v>527</v>
      </c>
      <c r="D439" s="719"/>
      <c r="E439" s="720" t="s">
        <v>528</v>
      </c>
      <c r="F439" s="721">
        <f ca="1">SUM(F429:F438)</f>
        <v>3157.9399999999996</v>
      </c>
      <c r="G439" s="722"/>
      <c r="H439" s="722"/>
      <c r="I439" s="723"/>
      <c r="J439" s="722"/>
      <c r="K439" s="722"/>
      <c r="L439" s="724"/>
      <c r="M439" s="724"/>
      <c r="N439" s="724"/>
      <c r="O439" s="724"/>
      <c r="P439" s="724"/>
      <c r="Q439" s="725"/>
      <c r="R439" s="725">
        <f>SUM(R429:R438)</f>
        <v>1920.3635450980391</v>
      </c>
      <c r="S439" s="726"/>
      <c r="T439" s="725">
        <f>SUM(T429:T438)</f>
        <v>45.070000000000014</v>
      </c>
      <c r="U439" s="505"/>
      <c r="V439" s="505"/>
      <c r="W439" s="505"/>
      <c r="X439" s="505"/>
      <c r="Y439" s="505"/>
      <c r="Z439" s="505"/>
      <c r="AA439" s="505"/>
      <c r="AB439" s="505"/>
      <c r="AC439" s="505"/>
      <c r="AD439" s="505"/>
      <c r="AE439" s="505"/>
      <c r="AF439" s="505"/>
      <c r="AG439" s="505"/>
      <c r="AH439" s="690">
        <f>SUM(AH429:AH438)</f>
        <v>1920.3635450980391</v>
      </c>
      <c r="AI439" s="727"/>
      <c r="AJ439" s="690">
        <f>SUM(AJ429:AJ438)</f>
        <v>1237.6222000000005</v>
      </c>
      <c r="AK439" s="690">
        <f>AH439+AJ439</f>
        <v>3157.9857450980398</v>
      </c>
    </row>
    <row r="440" spans="1:37" s="489" customFormat="1" ht="14.4" thickTop="1">
      <c r="A440" s="480"/>
      <c r="B440" s="480"/>
      <c r="C440" s="728"/>
      <c r="D440" s="729"/>
      <c r="E440" s="684"/>
      <c r="F440" s="730"/>
      <c r="G440" s="669"/>
      <c r="H440" s="669"/>
      <c r="I440" s="669"/>
      <c r="J440" s="669"/>
      <c r="K440" s="669"/>
      <c r="L440" s="731"/>
      <c r="M440" s="731"/>
      <c r="N440" s="731"/>
      <c r="O440" s="731"/>
      <c r="P440" s="731"/>
      <c r="Q440" s="730"/>
      <c r="R440" s="730"/>
      <c r="S440" s="732"/>
      <c r="T440" s="730"/>
      <c r="AH440" s="733">
        <f>AH428-AH439</f>
        <v>6.4549019609785319E-3</v>
      </c>
      <c r="AI440" s="33"/>
      <c r="AJ440" s="733">
        <f>AJ428-AJ439</f>
        <v>-5.2200000000311775E-2</v>
      </c>
      <c r="AK440" s="733">
        <f>AK428-AK439</f>
        <v>-4.5745098040697485E-2</v>
      </c>
    </row>
    <row r="441" spans="1:37" s="489" customFormat="1" ht="12.6" thickBot="1">
      <c r="A441" s="734"/>
      <c r="B441" s="735" t="s">
        <v>529</v>
      </c>
      <c r="C441" s="40"/>
      <c r="D441" s="42"/>
      <c r="E441" s="654" t="s">
        <v>530</v>
      </c>
      <c r="F441" s="736"/>
      <c r="G441" s="550"/>
      <c r="H441" s="550"/>
      <c r="I441" s="550"/>
      <c r="J441" s="550"/>
      <c r="K441" s="550"/>
      <c r="L441" s="730" t="s">
        <v>531</v>
      </c>
      <c r="M441" s="730"/>
      <c r="N441" s="730"/>
      <c r="O441" s="730"/>
      <c r="P441" s="730"/>
      <c r="Q441" s="550"/>
      <c r="R441" s="737">
        <f>SUMIF($L$15:$L428,"",R$15:R428)</f>
        <v>1920.36354509804</v>
      </c>
      <c r="S441" s="738"/>
      <c r="T441" s="737">
        <f>SUMIF($L$15:$L428,"",T$15:T428)</f>
        <v>45.069999999999993</v>
      </c>
    </row>
    <row r="442" spans="1:37" s="489" customFormat="1" ht="12">
      <c r="A442" s="734"/>
      <c r="B442" s="735" t="s">
        <v>532</v>
      </c>
      <c r="C442" s="40"/>
      <c r="D442" s="40"/>
      <c r="E442" s="698"/>
      <c r="F442" s="550"/>
      <c r="G442" s="550"/>
      <c r="H442" s="550"/>
      <c r="I442" s="550"/>
      <c r="J442" s="550"/>
      <c r="K442" s="550"/>
      <c r="L442" s="550"/>
      <c r="M442" s="550"/>
      <c r="N442" s="550"/>
      <c r="O442" s="550"/>
      <c r="P442" s="550"/>
      <c r="Q442" s="550"/>
      <c r="R442" s="550"/>
      <c r="S442" s="550"/>
      <c r="T442" s="550"/>
    </row>
    <row r="443" spans="1:37" s="489" customFormat="1" ht="12.6" thickBot="1">
      <c r="A443" s="739"/>
      <c r="B443" s="740">
        <f>$F443/$C$2-($R443*$S$2+$T443*$T$2)</f>
        <v>-4.5745098040697485E-2</v>
      </c>
      <c r="C443" s="40"/>
      <c r="D443" s="42"/>
      <c r="E443" s="654" t="s">
        <v>533</v>
      </c>
      <c r="F443" s="741">
        <f>SUMIF($L$15:$L428,"ITEM",F$15:F428)</f>
        <v>3157.9399999999991</v>
      </c>
      <c r="G443" s="550"/>
      <c r="H443" s="550"/>
      <c r="I443" s="550"/>
      <c r="J443" s="550"/>
      <c r="K443" s="550"/>
      <c r="L443" s="730" t="s">
        <v>534</v>
      </c>
      <c r="M443" s="730"/>
      <c r="N443" s="730"/>
      <c r="O443" s="730"/>
      <c r="P443" s="730"/>
      <c r="Q443" s="738"/>
      <c r="R443" s="742">
        <f>SUMIF($L$15:$L428,"ITEM",R$15:R428)</f>
        <v>1920.3635450980394</v>
      </c>
      <c r="S443" s="743"/>
      <c r="T443" s="742">
        <f>SUMIF($L$15:$L428,"ITEM",T$15:T428)</f>
        <v>45.070000000000014</v>
      </c>
    </row>
    <row r="444" spans="1:37" s="489" customFormat="1" ht="11.4">
      <c r="A444" s="739"/>
      <c r="B444" s="744"/>
      <c r="C444" s="485"/>
      <c r="D444" s="40"/>
      <c r="E444" s="698"/>
      <c r="F444" s="550"/>
      <c r="G444" s="550"/>
      <c r="H444" s="550"/>
      <c r="I444" s="550"/>
      <c r="J444" s="550"/>
      <c r="K444" s="550"/>
      <c r="L444" s="550"/>
      <c r="M444" s="550"/>
      <c r="N444" s="550"/>
      <c r="O444" s="550"/>
      <c r="P444" s="550"/>
      <c r="Q444" s="550"/>
      <c r="R444" s="550"/>
      <c r="S444" s="550"/>
      <c r="T444" s="550"/>
    </row>
    <row r="445" spans="1:37" s="489" customFormat="1" thickBot="1">
      <c r="A445" s="739"/>
      <c r="B445" s="740">
        <f>$F445/$C$2-($R445*$S$2+$T445*$T$2)</f>
        <v>-4.5745098039333243E-2</v>
      </c>
      <c r="C445" s="40"/>
      <c r="D445" s="745"/>
      <c r="E445" s="746" t="s">
        <v>535</v>
      </c>
      <c r="F445" s="747">
        <f>SUMIF($L$15:$L428,"PAGE",F$15:F428)</f>
        <v>3157.9399999999996</v>
      </c>
      <c r="G445" s="487"/>
      <c r="H445" s="487"/>
      <c r="I445" s="487"/>
      <c r="J445" s="487"/>
      <c r="K445" s="550"/>
      <c r="L445" s="731" t="s">
        <v>536</v>
      </c>
      <c r="M445" s="731"/>
      <c r="N445" s="731"/>
      <c r="O445" s="731"/>
      <c r="P445" s="731"/>
      <c r="Q445" s="738"/>
      <c r="R445" s="748">
        <f>SUMIF($L$15:$L428,"PAGE",R$15:R428)</f>
        <v>1920.3635450980391</v>
      </c>
      <c r="S445" s="749"/>
      <c r="T445" s="748">
        <f>SUMIF($L$15:$L428,"PAGE",T$15:T428)</f>
        <v>45.07</v>
      </c>
    </row>
    <row r="446" spans="1:37" s="489" customFormat="1" ht="11.4">
      <c r="A446" s="739"/>
      <c r="B446" s="740"/>
      <c r="C446" s="40"/>
      <c r="D446" s="40"/>
      <c r="E446" s="698"/>
      <c r="F446" s="550"/>
      <c r="G446" s="550"/>
      <c r="H446" s="550"/>
      <c r="I446" s="550"/>
      <c r="J446" s="550"/>
      <c r="K446" s="550"/>
      <c r="L446" s="550"/>
      <c r="M446" s="550"/>
      <c r="N446" s="550"/>
      <c r="O446" s="550"/>
      <c r="P446" s="550"/>
      <c r="Q446" s="550"/>
      <c r="R446" s="550"/>
      <c r="S446" s="550"/>
      <c r="T446" s="550"/>
    </row>
    <row r="447" spans="1:37" s="489" customFormat="1" ht="12.6" thickBot="1">
      <c r="A447" s="750" t="s">
        <v>147</v>
      </c>
      <c r="B447" s="740">
        <f>$F447/$C$2-($R447*$S$2+$T447*$T$2)</f>
        <v>0</v>
      </c>
      <c r="C447" s="40"/>
      <c r="D447" s="486"/>
      <c r="E447" s="746" t="s">
        <v>537</v>
      </c>
      <c r="F447" s="751">
        <f>SUMIF($L$15:$L428,"SECT",F$15:F428)</f>
        <v>0</v>
      </c>
      <c r="G447" s="487"/>
      <c r="H447" s="487"/>
      <c r="I447" s="487"/>
      <c r="J447" s="487"/>
      <c r="K447" s="550"/>
      <c r="L447" s="730" t="s">
        <v>538</v>
      </c>
      <c r="M447" s="730"/>
      <c r="N447" s="730"/>
      <c r="O447" s="730"/>
      <c r="P447" s="730"/>
      <c r="Q447" s="738"/>
      <c r="R447" s="752">
        <f>SUMIF($L$15:$L428,"SECT",R$15:R428)</f>
        <v>0</v>
      </c>
      <c r="S447" s="738"/>
      <c r="T447" s="752">
        <f>SUMIF($L$15:$L428,"SECT",T$15:T428)</f>
        <v>0</v>
      </c>
    </row>
    <row r="448" spans="1:37" s="489" customFormat="1" thickBot="1">
      <c r="A448" s="43" t="s">
        <v>148</v>
      </c>
      <c r="B448" s="35"/>
      <c r="C448" s="3"/>
      <c r="D448" s="35"/>
      <c r="E448" s="35"/>
      <c r="F448" s="753"/>
      <c r="G448" s="754"/>
      <c r="H448" s="754"/>
      <c r="I448" s="754"/>
      <c r="J448" s="754"/>
      <c r="K448" s="754"/>
      <c r="L448" s="754"/>
      <c r="M448" s="754"/>
      <c r="N448" s="754"/>
      <c r="O448" s="754"/>
      <c r="P448" s="754"/>
      <c r="Q448" s="754"/>
      <c r="R448" s="753"/>
      <c r="S448" s="755"/>
      <c r="T448" s="753"/>
      <c r="U448" s="505"/>
      <c r="V448" s="505"/>
      <c r="W448" s="505"/>
      <c r="X448" s="505"/>
      <c r="Y448" s="505"/>
      <c r="Z448" s="505"/>
      <c r="AA448" s="505"/>
      <c r="AB448" s="505"/>
      <c r="AC448" s="505"/>
      <c r="AD448" s="505"/>
      <c r="AE448" s="505"/>
      <c r="AF448" s="505"/>
      <c r="AG448" s="505"/>
      <c r="AH448" s="505"/>
      <c r="AI448" s="505"/>
      <c r="AJ448" s="505"/>
      <c r="AK448" s="505"/>
    </row>
    <row r="449" spans="1:20" s="768" customFormat="1" thickTop="1">
      <c r="A449" s="759"/>
      <c r="B449" s="760" t="s">
        <v>71</v>
      </c>
      <c r="C449" s="761"/>
      <c r="D449" s="762"/>
      <c r="E449" s="763" t="s">
        <v>149</v>
      </c>
      <c r="F449" s="240"/>
      <c r="G449" s="240"/>
      <c r="H449" s="240"/>
      <c r="I449" s="240"/>
      <c r="J449" s="240"/>
      <c r="K449" s="240"/>
      <c r="L449" s="240"/>
      <c r="M449" s="240"/>
      <c r="N449" s="240"/>
      <c r="O449" s="764"/>
      <c r="P449" s="240"/>
      <c r="Q449" s="765"/>
      <c r="R449" s="766">
        <f>SUM(R450:R505)</f>
        <v>1920.3635450980391</v>
      </c>
      <c r="S449" s="767"/>
      <c r="T449" s="766">
        <f>SUM(T450:T505)</f>
        <v>45.07</v>
      </c>
    </row>
    <row r="450" spans="1:20" s="768" customFormat="1" ht="13.2">
      <c r="A450" s="769"/>
      <c r="B450" s="770">
        <v>1</v>
      </c>
      <c r="C450" s="761" t="s">
        <v>73</v>
      </c>
      <c r="D450" t="s">
        <v>74</v>
      </c>
      <c r="E450"/>
      <c r="F450" s="771">
        <v>501</v>
      </c>
      <c r="G450"/>
      <c r="H450"/>
      <c r="I450"/>
      <c r="J450"/>
      <c r="K450"/>
      <c r="L450"/>
      <c r="M450"/>
      <c r="N450"/>
      <c r="O450" s="82"/>
      <c r="P450">
        <v>1</v>
      </c>
      <c r="Q450"/>
      <c r="R450" s="772">
        <f>SUMIF($H$13:$H$448,$F450,R$13:R$448)+Elec_Rates!R31</f>
        <v>0</v>
      </c>
      <c r="S450" s="773"/>
      <c r="T450" s="772">
        <f>SUMIF($H$13:$H$448,$F450,T$13:T$448)+Elec_Rates!T31</f>
        <v>8</v>
      </c>
    </row>
    <row r="451" spans="1:20" s="768" customFormat="1" ht="13.2">
      <c r="A451" s="769"/>
      <c r="B451" s="770">
        <v>2</v>
      </c>
      <c r="C451" s="761" t="s">
        <v>73</v>
      </c>
      <c r="D451" t="s">
        <v>75</v>
      </c>
      <c r="E451"/>
      <c r="F451" s="771">
        <v>505</v>
      </c>
      <c r="G451"/>
      <c r="H451"/>
      <c r="I451"/>
      <c r="J451"/>
      <c r="K451"/>
      <c r="L451"/>
      <c r="M451"/>
      <c r="N451"/>
      <c r="O451" s="82"/>
      <c r="P451">
        <v>1</v>
      </c>
      <c r="Q451"/>
      <c r="R451" s="772">
        <f>SUMIF($H$13:$H$448,$F451,R$13:R$448)+Elec_Rates!R32</f>
        <v>0</v>
      </c>
      <c r="S451" s="773"/>
      <c r="T451" s="772">
        <f>SUMIF($H$13:$H$448,$F451,T$13:T$448)+Elec_Rates!T32</f>
        <v>0</v>
      </c>
    </row>
    <row r="452" spans="1:20" s="768" customFormat="1" ht="13.2">
      <c r="A452" s="769"/>
      <c r="B452" s="770">
        <v>3</v>
      </c>
      <c r="C452" s="761" t="s">
        <v>73</v>
      </c>
      <c r="D452" t="s">
        <v>76</v>
      </c>
      <c r="E452"/>
      <c r="F452" s="771">
        <v>510</v>
      </c>
      <c r="G452"/>
      <c r="H452"/>
      <c r="I452"/>
      <c r="J452"/>
      <c r="K452"/>
      <c r="L452"/>
      <c r="M452"/>
      <c r="N452"/>
      <c r="O452" s="82"/>
      <c r="P452">
        <v>2</v>
      </c>
      <c r="Q452"/>
      <c r="R452" s="772">
        <f>SUMIF($H$13:$H$448,$F452,R$13:R$448)+Elec_Rates!R33</f>
        <v>0</v>
      </c>
      <c r="S452" s="773"/>
      <c r="T452" s="772">
        <f>SUMIF($H$13:$H$448,$F452,T$13:T$448)+Elec_Rates!T33</f>
        <v>0</v>
      </c>
    </row>
    <row r="453" spans="1:20" s="768" customFormat="1" ht="13.2">
      <c r="A453" s="769"/>
      <c r="B453" s="770">
        <v>4</v>
      </c>
      <c r="C453" s="761" t="s">
        <v>73</v>
      </c>
      <c r="D453" t="s">
        <v>77</v>
      </c>
      <c r="E453"/>
      <c r="F453" s="771">
        <v>511</v>
      </c>
      <c r="G453"/>
      <c r="H453"/>
      <c r="I453"/>
      <c r="J453"/>
      <c r="K453"/>
      <c r="L453"/>
      <c r="M453"/>
      <c r="N453"/>
      <c r="O453" s="82"/>
      <c r="P453">
        <v>2</v>
      </c>
      <c r="Q453"/>
      <c r="R453" s="772">
        <f>SUMIF($H$13:$H$448,$F453,R$13:R$448)+Elec_Rates!R34</f>
        <v>0</v>
      </c>
      <c r="S453" s="773"/>
      <c r="T453" s="772">
        <f>SUMIF($H$13:$H$448,$F453,T$13:T$448)+Elec_Rates!T34</f>
        <v>0</v>
      </c>
    </row>
    <row r="454" spans="1:20" s="768" customFormat="1" ht="13.2">
      <c r="A454" s="769"/>
      <c r="B454" s="770">
        <v>5</v>
      </c>
      <c r="C454" s="761" t="s">
        <v>73</v>
      </c>
      <c r="D454" t="s">
        <v>78</v>
      </c>
      <c r="E454"/>
      <c r="F454" s="771">
        <v>512</v>
      </c>
      <c r="G454"/>
      <c r="H454"/>
      <c r="I454"/>
      <c r="J454"/>
      <c r="K454"/>
      <c r="L454"/>
      <c r="M454"/>
      <c r="N454"/>
      <c r="O454" s="82"/>
      <c r="P454">
        <v>2</v>
      </c>
      <c r="Q454"/>
      <c r="R454" s="772">
        <f>SUMIF($H$13:$H$448,$F454,R$13:R$448)+Elec_Rates!R35</f>
        <v>1380.73</v>
      </c>
      <c r="S454" s="773"/>
      <c r="T454" s="772">
        <f>SUMIF($H$13:$H$448,$F454,T$13:T$448)+Elec_Rates!T35</f>
        <v>1</v>
      </c>
    </row>
    <row r="455" spans="1:20" s="768" customFormat="1" ht="13.2">
      <c r="A455" s="769"/>
      <c r="B455" s="770">
        <v>6</v>
      </c>
      <c r="C455" s="761" t="s">
        <v>73</v>
      </c>
      <c r="D455" t="s">
        <v>79</v>
      </c>
      <c r="E455"/>
      <c r="F455" s="771">
        <v>520</v>
      </c>
      <c r="G455"/>
      <c r="H455"/>
      <c r="I455"/>
      <c r="J455"/>
      <c r="K455"/>
      <c r="L455"/>
      <c r="M455"/>
      <c r="N455"/>
      <c r="O455" s="82"/>
      <c r="P455">
        <v>1</v>
      </c>
      <c r="Q455"/>
      <c r="R455" s="772">
        <f>SUMIF($H$13:$H$448,$F455,R$13:R$448)+Elec_Rates!R36</f>
        <v>0</v>
      </c>
      <c r="S455" s="773"/>
      <c r="T455" s="772">
        <f>SUMIF($H$13:$H$448,$F455,T$13:T$448)+Elec_Rates!T36</f>
        <v>0</v>
      </c>
    </row>
    <row r="456" spans="1:20" s="768" customFormat="1" ht="13.2">
      <c r="A456" s="769"/>
      <c r="B456" s="770">
        <v>7</v>
      </c>
      <c r="C456" s="761" t="s">
        <v>73</v>
      </c>
      <c r="D456" t="s">
        <v>80</v>
      </c>
      <c r="E456"/>
      <c r="F456" s="771">
        <v>530</v>
      </c>
      <c r="G456"/>
      <c r="H456"/>
      <c r="I456"/>
      <c r="J456"/>
      <c r="K456"/>
      <c r="L456"/>
      <c r="M456"/>
      <c r="N456"/>
      <c r="O456" s="82"/>
      <c r="P456">
        <v>2</v>
      </c>
      <c r="Q456"/>
      <c r="R456" s="772">
        <f>SUMIF($H$13:$H$448,$F456,R$13:R$448)+Elec_Rates!R37</f>
        <v>0</v>
      </c>
      <c r="S456" s="773"/>
      <c r="T456" s="772">
        <f>SUMIF($H$13:$H$448,$F456,T$13:T$448)+Elec_Rates!T37</f>
        <v>0</v>
      </c>
    </row>
    <row r="457" spans="1:20" s="768" customFormat="1" ht="13.2">
      <c r="A457" s="769"/>
      <c r="B457" s="770">
        <v>8</v>
      </c>
      <c r="C457" s="761" t="s">
        <v>73</v>
      </c>
      <c r="D457" t="s">
        <v>81</v>
      </c>
      <c r="E457"/>
      <c r="F457" s="771">
        <v>550</v>
      </c>
      <c r="G457"/>
      <c r="H457"/>
      <c r="I457"/>
      <c r="J457"/>
      <c r="K457"/>
      <c r="L457"/>
      <c r="M457"/>
      <c r="N457"/>
      <c r="O457" s="82"/>
      <c r="P457">
        <v>2</v>
      </c>
      <c r="Q457"/>
      <c r="R457" s="772">
        <f>SUMIF($H$13:$H$448,$F457,R$13:R$448)+Elec_Rates!R38</f>
        <v>0</v>
      </c>
      <c r="S457" s="773"/>
      <c r="T457" s="772">
        <f>SUMIF($H$13:$H$448,$F457,T$13:T$448)+Elec_Rates!T38</f>
        <v>0</v>
      </c>
    </row>
    <row r="458" spans="1:20" s="768" customFormat="1" ht="13.2">
      <c r="A458" s="769"/>
      <c r="B458" s="770">
        <v>9</v>
      </c>
      <c r="C458" s="761" t="s">
        <v>73</v>
      </c>
      <c r="D458" t="s">
        <v>82</v>
      </c>
      <c r="E458"/>
      <c r="F458" s="771">
        <v>570</v>
      </c>
      <c r="G458"/>
      <c r="H458"/>
      <c r="I458"/>
      <c r="J458"/>
      <c r="K458"/>
      <c r="L458"/>
      <c r="M458"/>
      <c r="N458"/>
      <c r="O458" s="82"/>
      <c r="P458">
        <v>2</v>
      </c>
      <c r="Q458"/>
      <c r="R458" s="772">
        <f>SUMIF($H$13:$H$448,$F458,R$13:R$448)+Elec_Rates!R39</f>
        <v>0</v>
      </c>
      <c r="S458" s="773"/>
      <c r="T458" s="772">
        <f>SUMIF($H$13:$H$448,$F458,T$13:T$448)+Elec_Rates!T39</f>
        <v>0</v>
      </c>
    </row>
    <row r="459" spans="1:20" s="768" customFormat="1" ht="13.2">
      <c r="A459" s="769"/>
      <c r="B459" s="770">
        <v>10</v>
      </c>
      <c r="C459" s="761" t="s">
        <v>73</v>
      </c>
      <c r="D459" t="s">
        <v>83</v>
      </c>
      <c r="E459"/>
      <c r="F459" s="771">
        <v>615</v>
      </c>
      <c r="G459"/>
      <c r="H459"/>
      <c r="I459"/>
      <c r="J459"/>
      <c r="K459"/>
      <c r="L459"/>
      <c r="M459"/>
      <c r="N459"/>
      <c r="O459" s="82"/>
      <c r="P459">
        <v>2</v>
      </c>
      <c r="Q459"/>
      <c r="R459" s="772">
        <f>SUMIF($H$13:$H$448,$F459,R$13:R$448)+Elec_Rates!R40</f>
        <v>44</v>
      </c>
      <c r="S459" s="773"/>
      <c r="T459" s="772">
        <f>SUMIF($H$13:$H$448,$F459,T$13:T$448)+Elec_Rates!T40</f>
        <v>2</v>
      </c>
    </row>
    <row r="460" spans="1:20" s="768" customFormat="1" ht="13.2">
      <c r="A460" s="769"/>
      <c r="B460" s="770">
        <v>11</v>
      </c>
      <c r="C460" s="761" t="s">
        <v>73</v>
      </c>
      <c r="D460" t="s">
        <v>85</v>
      </c>
      <c r="E460"/>
      <c r="F460" s="771">
        <v>616</v>
      </c>
      <c r="G460"/>
      <c r="H460"/>
      <c r="I460"/>
      <c r="J460"/>
      <c r="K460"/>
      <c r="L460"/>
      <c r="M460"/>
      <c r="N460"/>
      <c r="O460" s="82"/>
      <c r="P460">
        <v>2</v>
      </c>
      <c r="Q460"/>
      <c r="R460" s="772">
        <f>SUMIF($H$13:$H$448,$F460,R$13:R$448)+Elec_Rates!R41</f>
        <v>163.15354509803919</v>
      </c>
      <c r="S460" s="773"/>
      <c r="T460" s="772">
        <f>SUMIF($H$13:$H$448,$F460,T$13:T$448)+Elec_Rates!T41</f>
        <v>2.4700000000000006</v>
      </c>
    </row>
    <row r="461" spans="1:20" s="768" customFormat="1" ht="13.2">
      <c r="A461" s="769"/>
      <c r="B461" s="770">
        <v>12</v>
      </c>
      <c r="C461" s="761" t="s">
        <v>73</v>
      </c>
      <c r="D461" t="s">
        <v>86</v>
      </c>
      <c r="E461"/>
      <c r="F461" s="771">
        <v>617</v>
      </c>
      <c r="G461"/>
      <c r="H461"/>
      <c r="I461"/>
      <c r="J461"/>
      <c r="K461"/>
      <c r="L461"/>
      <c r="M461"/>
      <c r="N461"/>
      <c r="O461" s="82"/>
      <c r="P461">
        <v>2</v>
      </c>
      <c r="Q461"/>
      <c r="R461" s="772">
        <f>SUMIF($H$13:$H$448,$F461,R$13:R$448)+Elec_Rates!R42</f>
        <v>154.80000000000001</v>
      </c>
      <c r="S461" s="773"/>
      <c r="T461" s="772">
        <f>SUMIF($H$13:$H$448,$F461,T$13:T$448)+Elec_Rates!T42</f>
        <v>5.3</v>
      </c>
    </row>
    <row r="462" spans="1:20" s="768" customFormat="1" ht="13.2">
      <c r="A462" s="769"/>
      <c r="B462" s="770">
        <v>13</v>
      </c>
      <c r="C462" s="761" t="s">
        <v>73</v>
      </c>
      <c r="D462" t="s">
        <v>150</v>
      </c>
      <c r="E462"/>
      <c r="F462" s="771">
        <v>620</v>
      </c>
      <c r="G462"/>
      <c r="H462"/>
      <c r="I462"/>
      <c r="J462"/>
      <c r="K462"/>
      <c r="L462"/>
      <c r="M462"/>
      <c r="N462"/>
      <c r="O462" s="82"/>
      <c r="P462">
        <v>2</v>
      </c>
      <c r="Q462"/>
      <c r="R462" s="772">
        <f>SUMIF($H$13:$H$448,$F462,R$13:R$448)+Elec_Rates!R43</f>
        <v>75.140000000000015</v>
      </c>
      <c r="S462" s="773"/>
      <c r="T462" s="772">
        <f>SUMIF($H$13:$H$448,$F462,T$13:T$448)+Elec_Rates!T43</f>
        <v>12.2</v>
      </c>
    </row>
    <row r="463" spans="1:20" s="768" customFormat="1" ht="13.2">
      <c r="A463" s="769"/>
      <c r="B463" s="770">
        <v>14</v>
      </c>
      <c r="C463" s="761" t="s">
        <v>73</v>
      </c>
      <c r="D463" t="s">
        <v>88</v>
      </c>
      <c r="E463"/>
      <c r="F463" s="771">
        <v>650</v>
      </c>
      <c r="G463"/>
      <c r="H463"/>
      <c r="I463"/>
      <c r="J463"/>
      <c r="K463"/>
      <c r="L463"/>
      <c r="M463"/>
      <c r="N463"/>
      <c r="O463" s="82"/>
      <c r="P463">
        <v>1</v>
      </c>
      <c r="Q463"/>
      <c r="R463" s="772">
        <f>SUMIF($H$13:$H$448,$F463,R$13:R$448)+Elec_Rates!R44</f>
        <v>0</v>
      </c>
      <c r="S463" s="773"/>
      <c r="T463" s="772">
        <f>SUMIF($H$13:$H$448,$F463,T$13:T$448)+Elec_Rates!T44</f>
        <v>0</v>
      </c>
    </row>
    <row r="464" spans="1:20" s="768" customFormat="1" ht="13.2">
      <c r="A464" s="769"/>
      <c r="B464" s="770">
        <v>15</v>
      </c>
      <c r="C464" s="761" t="s">
        <v>73</v>
      </c>
      <c r="D464" t="s">
        <v>89</v>
      </c>
      <c r="E464"/>
      <c r="F464" s="771">
        <v>651</v>
      </c>
      <c r="G464"/>
      <c r="H464"/>
      <c r="I464"/>
      <c r="J464"/>
      <c r="K464"/>
      <c r="L464"/>
      <c r="M464"/>
      <c r="N464"/>
      <c r="O464" s="82"/>
      <c r="P464">
        <v>1</v>
      </c>
      <c r="Q464"/>
      <c r="R464" s="772">
        <f>SUMIF($H$13:$H$448,$F464,R$13:R$448)+Elec_Rates!R45</f>
        <v>0</v>
      </c>
      <c r="S464" s="773"/>
      <c r="T464" s="772">
        <f>SUMIF($H$13:$H$448,$F464,T$13:T$448)+Elec_Rates!T45</f>
        <v>0</v>
      </c>
    </row>
    <row r="465" spans="1:20" s="768" customFormat="1" ht="13.2">
      <c r="A465" s="769"/>
      <c r="B465" s="770">
        <v>16</v>
      </c>
      <c r="C465" s="761" t="s">
        <v>73</v>
      </c>
      <c r="D465" t="s">
        <v>90</v>
      </c>
      <c r="E465"/>
      <c r="F465" s="771">
        <v>652</v>
      </c>
      <c r="G465"/>
      <c r="H465"/>
      <c r="I465"/>
      <c r="J465"/>
      <c r="K465"/>
      <c r="L465"/>
      <c r="M465"/>
      <c r="N465"/>
      <c r="O465" s="82"/>
      <c r="P465">
        <v>1</v>
      </c>
      <c r="Q465"/>
      <c r="R465" s="772">
        <f>SUMIF($H$13:$H$448,$F465,R$13:R$448)+Elec_Rates!R46</f>
        <v>0</v>
      </c>
      <c r="S465" s="773"/>
      <c r="T465" s="772">
        <f>SUMIF($H$13:$H$448,$F465,T$13:T$448)+Elec_Rates!T46</f>
        <v>0</v>
      </c>
    </row>
    <row r="466" spans="1:20" s="768" customFormat="1" ht="13.2">
      <c r="A466" s="769"/>
      <c r="B466" s="770">
        <v>17</v>
      </c>
      <c r="C466" s="761" t="s">
        <v>73</v>
      </c>
      <c r="D466" t="s">
        <v>91</v>
      </c>
      <c r="E466"/>
      <c r="F466" s="771">
        <v>654</v>
      </c>
      <c r="G466"/>
      <c r="H466"/>
      <c r="I466"/>
      <c r="J466"/>
      <c r="K466"/>
      <c r="L466"/>
      <c r="M466"/>
      <c r="N466"/>
      <c r="O466" s="82"/>
      <c r="P466">
        <v>1</v>
      </c>
      <c r="Q466"/>
      <c r="R466" s="772">
        <f>SUMIF($H$13:$H$448,$F466,R$13:R$448)+Elec_Rates!R47</f>
        <v>0</v>
      </c>
      <c r="S466" s="773"/>
      <c r="T466" s="772">
        <f>SUMIF($H$13:$H$448,$F466,T$13:T$448)+Elec_Rates!T47</f>
        <v>0</v>
      </c>
    </row>
    <row r="467" spans="1:20" s="768" customFormat="1" ht="13.2">
      <c r="A467" s="769"/>
      <c r="B467" s="770">
        <v>18</v>
      </c>
      <c r="C467" s="761" t="s">
        <v>73</v>
      </c>
      <c r="D467" t="s">
        <v>92</v>
      </c>
      <c r="E467"/>
      <c r="F467" s="771">
        <v>675</v>
      </c>
      <c r="G467"/>
      <c r="H467"/>
      <c r="I467"/>
      <c r="J467"/>
      <c r="K467"/>
      <c r="L467"/>
      <c r="M467"/>
      <c r="N467"/>
      <c r="O467" s="82"/>
      <c r="P467">
        <v>1</v>
      </c>
      <c r="Q467"/>
      <c r="R467" s="772">
        <f>SUMIF($H$13:$H$448,$F467,R$13:R$448)+Elec_Rates!R48</f>
        <v>0</v>
      </c>
      <c r="S467" s="773"/>
      <c r="T467" s="772">
        <f>SUMIF($H$13:$H$448,$F467,T$13:T$448)+Elec_Rates!T48</f>
        <v>0</v>
      </c>
    </row>
    <row r="468" spans="1:20" s="768" customFormat="1" ht="13.2">
      <c r="A468" s="769"/>
      <c r="B468" s="770">
        <v>19</v>
      </c>
      <c r="C468" s="761" t="s">
        <v>73</v>
      </c>
      <c r="D468" t="s">
        <v>93</v>
      </c>
      <c r="E468"/>
      <c r="F468" s="771">
        <v>676</v>
      </c>
      <c r="G468"/>
      <c r="H468"/>
      <c r="I468"/>
      <c r="J468"/>
      <c r="K468"/>
      <c r="L468"/>
      <c r="M468"/>
      <c r="N468"/>
      <c r="O468" s="82"/>
      <c r="P468">
        <v>1</v>
      </c>
      <c r="Q468"/>
      <c r="R468" s="772">
        <f>SUMIF($H$13:$H$448,$F468,R$13:R$448)+Elec_Rates!R49</f>
        <v>0</v>
      </c>
      <c r="S468" s="773"/>
      <c r="T468" s="772">
        <f>SUMIF($H$13:$H$448,$F468,T$13:T$448)+Elec_Rates!T49</f>
        <v>0</v>
      </c>
    </row>
    <row r="469" spans="1:20" s="768" customFormat="1" ht="13.2">
      <c r="A469" s="769"/>
      <c r="B469" s="770">
        <v>20</v>
      </c>
      <c r="C469" s="761" t="s">
        <v>73</v>
      </c>
      <c r="D469" t="s">
        <v>94</v>
      </c>
      <c r="E469"/>
      <c r="F469" s="771">
        <v>680</v>
      </c>
      <c r="G469"/>
      <c r="H469"/>
      <c r="I469"/>
      <c r="J469"/>
      <c r="K469"/>
      <c r="L469"/>
      <c r="M469"/>
      <c r="N469"/>
      <c r="O469" s="82"/>
      <c r="P469">
        <v>1</v>
      </c>
      <c r="Q469"/>
      <c r="R469" s="772">
        <f>SUMIF($H$13:$H$448,$F469,R$13:R$448)+Elec_Rates!R50</f>
        <v>0</v>
      </c>
      <c r="S469" s="773"/>
      <c r="T469" s="772">
        <f>SUMIF($H$13:$H$448,$F469,T$13:T$448)+Elec_Rates!T50</f>
        <v>0</v>
      </c>
    </row>
    <row r="470" spans="1:20" s="768" customFormat="1" ht="13.2">
      <c r="A470" s="769"/>
      <c r="B470" s="770">
        <v>21</v>
      </c>
      <c r="C470" s="761" t="s">
        <v>73</v>
      </c>
      <c r="D470" t="s">
        <v>96</v>
      </c>
      <c r="E470"/>
      <c r="F470" s="771">
        <v>681</v>
      </c>
      <c r="G470"/>
      <c r="H470"/>
      <c r="I470"/>
      <c r="J470"/>
      <c r="K470"/>
      <c r="L470"/>
      <c r="M470"/>
      <c r="N470"/>
      <c r="O470" s="82"/>
      <c r="P470">
        <v>1</v>
      </c>
      <c r="Q470"/>
      <c r="R470" s="772">
        <f>SUMIF($H$13:$H$448,$F470,R$13:R$448)+Elec_Rates!R51</f>
        <v>0</v>
      </c>
      <c r="S470" s="773"/>
      <c r="T470" s="772">
        <f>SUMIF($H$13:$H$448,$F470,T$13:T$448)+Elec_Rates!T51</f>
        <v>0</v>
      </c>
    </row>
    <row r="471" spans="1:20" s="768" customFormat="1" ht="13.2">
      <c r="A471" s="769"/>
      <c r="B471" s="770">
        <v>22</v>
      </c>
      <c r="C471" s="761" t="s">
        <v>73</v>
      </c>
      <c r="D471" t="s">
        <v>97</v>
      </c>
      <c r="E471"/>
      <c r="F471" s="771">
        <v>690</v>
      </c>
      <c r="G471"/>
      <c r="H471"/>
      <c r="I471"/>
      <c r="J471"/>
      <c r="K471"/>
      <c r="L471"/>
      <c r="M471"/>
      <c r="N471"/>
      <c r="O471" s="82"/>
      <c r="P471">
        <v>1</v>
      </c>
      <c r="Q471"/>
      <c r="R471" s="772">
        <f>SUMIF($H$13:$H$448,$F471,R$13:R$448)+Elec_Rates!R52</f>
        <v>99.990000000000009</v>
      </c>
      <c r="S471" s="773"/>
      <c r="T471" s="772">
        <f>SUMIF($H$13:$H$448,$F471,T$13:T$448)+Elec_Rates!T52</f>
        <v>6.6000000000000014</v>
      </c>
    </row>
    <row r="472" spans="1:20" s="768" customFormat="1" ht="13.2">
      <c r="A472" s="769"/>
      <c r="B472" s="770">
        <v>23</v>
      </c>
      <c r="C472" s="761" t="s">
        <v>73</v>
      </c>
      <c r="D472" t="s">
        <v>98</v>
      </c>
      <c r="E472"/>
      <c r="F472" s="771">
        <v>700</v>
      </c>
      <c r="G472"/>
      <c r="H472"/>
      <c r="I472"/>
      <c r="J472"/>
      <c r="K472"/>
      <c r="L472"/>
      <c r="M472"/>
      <c r="N472"/>
      <c r="O472" s="82"/>
      <c r="P472">
        <v>1</v>
      </c>
      <c r="Q472"/>
      <c r="R472" s="772">
        <f>SUMIF($H$13:$H$448,$F472,R$13:R$448)+Elec_Rates!R53</f>
        <v>0</v>
      </c>
      <c r="S472" s="773"/>
      <c r="T472" s="772">
        <f>SUMIF($H$13:$H$448,$F472,T$13:T$448)+Elec_Rates!T53</f>
        <v>0</v>
      </c>
    </row>
    <row r="473" spans="1:20" s="768" customFormat="1" ht="13.2">
      <c r="A473" s="769"/>
      <c r="B473" s="770">
        <v>24</v>
      </c>
      <c r="C473" s="761" t="s">
        <v>73</v>
      </c>
      <c r="D473" t="s">
        <v>99</v>
      </c>
      <c r="E473"/>
      <c r="F473" s="771">
        <v>705</v>
      </c>
      <c r="G473"/>
      <c r="H473"/>
      <c r="I473"/>
      <c r="J473"/>
      <c r="K473"/>
      <c r="L473"/>
      <c r="M473"/>
      <c r="N473"/>
      <c r="O473" s="82"/>
      <c r="P473">
        <v>3</v>
      </c>
      <c r="Q473"/>
      <c r="R473" s="772">
        <f>SUMIF($H$13:$H$448,$F473,R$13:R$448)+Elec_Rates!R54</f>
        <v>0</v>
      </c>
      <c r="S473" s="773"/>
      <c r="T473" s="772">
        <f>SUMIF($H$13:$H$448,$F473,T$13:T$448)+Elec_Rates!T54</f>
        <v>0</v>
      </c>
    </row>
    <row r="474" spans="1:20" s="768" customFormat="1" ht="13.2">
      <c r="A474" s="769"/>
      <c r="B474" s="770">
        <v>25</v>
      </c>
      <c r="C474" s="761" t="s">
        <v>73</v>
      </c>
      <c r="D474" t="s">
        <v>100</v>
      </c>
      <c r="E474"/>
      <c r="F474" s="771">
        <v>706</v>
      </c>
      <c r="G474"/>
      <c r="H474"/>
      <c r="I474"/>
      <c r="J474"/>
      <c r="K474"/>
      <c r="L474"/>
      <c r="M474"/>
      <c r="N474"/>
      <c r="O474" s="82"/>
      <c r="P474">
        <v>3</v>
      </c>
      <c r="Q474"/>
      <c r="R474" s="772">
        <f>SUMIF($H$13:$H$448,$F474,R$13:R$448)+Elec_Rates!R55</f>
        <v>0</v>
      </c>
      <c r="S474" s="773"/>
      <c r="T474" s="772">
        <f>SUMIF($H$13:$H$448,$F474,T$13:T$448)+Elec_Rates!T55</f>
        <v>0</v>
      </c>
    </row>
    <row r="475" spans="1:20" s="768" customFormat="1" ht="13.2">
      <c r="A475" s="769"/>
      <c r="B475" s="770">
        <v>26</v>
      </c>
      <c r="C475" s="761" t="s">
        <v>73</v>
      </c>
      <c r="D475" t="s">
        <v>101</v>
      </c>
      <c r="E475"/>
      <c r="F475" s="771">
        <v>725</v>
      </c>
      <c r="G475"/>
      <c r="H475"/>
      <c r="I475"/>
      <c r="J475"/>
      <c r="K475"/>
      <c r="L475"/>
      <c r="M475"/>
      <c r="N475"/>
      <c r="O475" s="82"/>
      <c r="P475">
        <v>3</v>
      </c>
      <c r="Q475"/>
      <c r="R475" s="772">
        <f>SUMIF($H$13:$H$448,$F475,R$13:R$448)+Elec_Rates!R56</f>
        <v>0</v>
      </c>
      <c r="S475" s="773"/>
      <c r="T475" s="772">
        <f>SUMIF($H$13:$H$448,$F475,T$13:T$448)+Elec_Rates!T56</f>
        <v>0</v>
      </c>
    </row>
    <row r="476" spans="1:20" s="768" customFormat="1" ht="13.2">
      <c r="A476" s="769"/>
      <c r="B476" s="770">
        <v>27</v>
      </c>
      <c r="C476" s="761" t="s">
        <v>73</v>
      </c>
      <c r="D476" t="s">
        <v>102</v>
      </c>
      <c r="E476"/>
      <c r="F476" s="771">
        <v>726</v>
      </c>
      <c r="G476"/>
      <c r="H476"/>
      <c r="I476"/>
      <c r="J476"/>
      <c r="K476"/>
      <c r="L476"/>
      <c r="M476"/>
      <c r="N476"/>
      <c r="O476" s="82"/>
      <c r="P476">
        <v>3</v>
      </c>
      <c r="Q476"/>
      <c r="R476" s="772">
        <f>SUMIF($H$13:$H$448,$F476,R$13:R$448)+Elec_Rates!R57</f>
        <v>0</v>
      </c>
      <c r="S476" s="773"/>
      <c r="T476" s="772">
        <f>SUMIF($H$13:$H$448,$F476,T$13:T$448)+Elec_Rates!T57</f>
        <v>0</v>
      </c>
    </row>
    <row r="477" spans="1:20" s="768" customFormat="1" ht="13.2">
      <c r="A477" s="769"/>
      <c r="B477" s="770">
        <v>28</v>
      </c>
      <c r="C477" s="761" t="s">
        <v>73</v>
      </c>
      <c r="D477" t="s">
        <v>103</v>
      </c>
      <c r="E477"/>
      <c r="F477" s="771">
        <v>750</v>
      </c>
      <c r="G477"/>
      <c r="H477"/>
      <c r="I477"/>
      <c r="J477"/>
      <c r="K477"/>
      <c r="L477"/>
      <c r="M477"/>
      <c r="N477"/>
      <c r="O477" s="82"/>
      <c r="P477">
        <v>3</v>
      </c>
      <c r="Q477"/>
      <c r="R477" s="772">
        <f>SUMIF($H$13:$H$448,$F477,R$13:R$448)+Elec_Rates!R58</f>
        <v>0</v>
      </c>
      <c r="S477" s="773"/>
      <c r="T477" s="772">
        <f>SUMIF($H$13:$H$448,$F477,T$13:T$448)+Elec_Rates!T58</f>
        <v>0</v>
      </c>
    </row>
    <row r="478" spans="1:20" s="768" customFormat="1" ht="13.2">
      <c r="A478" s="769"/>
      <c r="B478" s="770">
        <v>29</v>
      </c>
      <c r="C478" s="761" t="s">
        <v>73</v>
      </c>
      <c r="D478" t="s">
        <v>104</v>
      </c>
      <c r="E478"/>
      <c r="F478" s="771">
        <v>751</v>
      </c>
      <c r="G478"/>
      <c r="H478"/>
      <c r="I478"/>
      <c r="J478"/>
      <c r="K478"/>
      <c r="L478"/>
      <c r="M478"/>
      <c r="N478"/>
      <c r="O478" s="82"/>
      <c r="P478">
        <v>3</v>
      </c>
      <c r="Q478"/>
      <c r="R478" s="772">
        <f>SUMIF($H$13:$H$448,$F478,R$13:R$448)+Elec_Rates!R59</f>
        <v>0</v>
      </c>
      <c r="S478" s="773"/>
      <c r="T478" s="772">
        <f>SUMIF($H$13:$H$448,$F478,T$13:T$448)+Elec_Rates!T59</f>
        <v>0</v>
      </c>
    </row>
    <row r="479" spans="1:20" s="768" customFormat="1" ht="13.2">
      <c r="A479" s="769"/>
      <c r="B479" s="770">
        <v>30</v>
      </c>
      <c r="C479" s="761" t="s">
        <v>73</v>
      </c>
      <c r="D479" t="s">
        <v>105</v>
      </c>
      <c r="E479"/>
      <c r="F479" s="771">
        <v>752</v>
      </c>
      <c r="G479"/>
      <c r="H479"/>
      <c r="I479"/>
      <c r="J479"/>
      <c r="K479"/>
      <c r="L479"/>
      <c r="M479"/>
      <c r="N479"/>
      <c r="O479" s="82"/>
      <c r="P479">
        <v>3</v>
      </c>
      <c r="Q479"/>
      <c r="R479" s="772">
        <f>SUMIF($H$13:$H$448,$F479,R$13:R$448)+Elec_Rates!R60</f>
        <v>0</v>
      </c>
      <c r="S479" s="773"/>
      <c r="T479" s="772">
        <f>SUMIF($H$13:$H$448,$F479,T$13:T$448)+Elec_Rates!T60</f>
        <v>0</v>
      </c>
    </row>
    <row r="480" spans="1:20" s="768" customFormat="1" ht="13.2">
      <c r="A480" s="769"/>
      <c r="B480" s="770">
        <v>31</v>
      </c>
      <c r="C480" s="761" t="s">
        <v>73</v>
      </c>
      <c r="D480" s="529" t="s">
        <v>254</v>
      </c>
      <c r="E480"/>
      <c r="F480" s="771">
        <v>753</v>
      </c>
      <c r="G480"/>
      <c r="H480"/>
      <c r="I480"/>
      <c r="J480"/>
      <c r="K480"/>
      <c r="L480"/>
      <c r="M480"/>
      <c r="N480"/>
      <c r="O480" s="82"/>
      <c r="P480">
        <v>3</v>
      </c>
      <c r="Q480"/>
      <c r="R480" s="772">
        <f>SUMIF($H$13:$H$448,$F480,R$13:R$448)+Elec_Rates!R61</f>
        <v>0</v>
      </c>
      <c r="S480" s="773"/>
      <c r="T480" s="772">
        <f>SUMIF($H$13:$H$448,$F480,T$13:T$448)+Elec_Rates!T61</f>
        <v>0</v>
      </c>
    </row>
    <row r="481" spans="1:20" s="768" customFormat="1" ht="13.2">
      <c r="A481" s="769"/>
      <c r="B481" s="770">
        <v>32</v>
      </c>
      <c r="C481" s="761" t="s">
        <v>73</v>
      </c>
      <c r="D481" t="s">
        <v>107</v>
      </c>
      <c r="E481"/>
      <c r="F481" s="771">
        <v>770</v>
      </c>
      <c r="G481"/>
      <c r="H481"/>
      <c r="I481"/>
      <c r="J481"/>
      <c r="K481"/>
      <c r="L481"/>
      <c r="M481"/>
      <c r="N481"/>
      <c r="O481" s="82"/>
      <c r="P481">
        <v>3</v>
      </c>
      <c r="Q481"/>
      <c r="R481" s="772">
        <f>SUMIF($H$13:$H$448,$F481,R$13:R$448)+Elec_Rates!R62</f>
        <v>0</v>
      </c>
      <c r="S481" s="773"/>
      <c r="T481" s="772">
        <f>SUMIF($H$13:$H$448,$F481,T$13:T$448)+Elec_Rates!T62</f>
        <v>0</v>
      </c>
    </row>
    <row r="482" spans="1:20" s="768" customFormat="1" ht="13.2">
      <c r="A482" s="769"/>
      <c r="B482" s="770">
        <v>33</v>
      </c>
      <c r="C482" s="761" t="s">
        <v>73</v>
      </c>
      <c r="D482" t="s">
        <v>108</v>
      </c>
      <c r="E482"/>
      <c r="F482" s="771">
        <v>790</v>
      </c>
      <c r="G482"/>
      <c r="H482"/>
      <c r="I482"/>
      <c r="J482"/>
      <c r="K482"/>
      <c r="L482"/>
      <c r="M482"/>
      <c r="N482"/>
      <c r="O482" s="82"/>
      <c r="P482">
        <v>3</v>
      </c>
      <c r="Q482"/>
      <c r="R482" s="772">
        <f>SUMIF($H$13:$H$448,$F482,R$13:R$448)+Elec_Rates!R63</f>
        <v>0</v>
      </c>
      <c r="S482" s="773"/>
      <c r="T482" s="772">
        <f>SUMIF($H$13:$H$448,$F482,T$13:T$448)+Elec_Rates!T63</f>
        <v>0</v>
      </c>
    </row>
    <row r="483" spans="1:20" s="768" customFormat="1" ht="13.2">
      <c r="A483" s="769"/>
      <c r="B483" s="770">
        <v>34</v>
      </c>
      <c r="C483" s="761" t="s">
        <v>73</v>
      </c>
      <c r="D483" t="s">
        <v>109</v>
      </c>
      <c r="E483"/>
      <c r="F483" s="771">
        <v>791</v>
      </c>
      <c r="G483"/>
      <c r="H483"/>
      <c r="I483"/>
      <c r="J483"/>
      <c r="K483"/>
      <c r="L483"/>
      <c r="M483"/>
      <c r="N483"/>
      <c r="O483" s="82"/>
      <c r="P483">
        <v>3</v>
      </c>
      <c r="Q483"/>
      <c r="R483" s="772">
        <f>SUMIF($H$13:$H$448,$F483,R$13:R$448)+Elec_Rates!R64</f>
        <v>0</v>
      </c>
      <c r="S483" s="773"/>
      <c r="T483" s="772">
        <f>SUMIF($H$13:$H$448,$F483,T$13:T$448)+Elec_Rates!T64</f>
        <v>0</v>
      </c>
    </row>
    <row r="484" spans="1:20" s="768" customFormat="1" ht="13.2">
      <c r="A484" s="769"/>
      <c r="B484" s="770">
        <v>35</v>
      </c>
      <c r="C484" s="761" t="s">
        <v>73</v>
      </c>
      <c r="D484" t="s">
        <v>110</v>
      </c>
      <c r="E484"/>
      <c r="F484" s="771">
        <v>810</v>
      </c>
      <c r="G484"/>
      <c r="H484"/>
      <c r="I484"/>
      <c r="J484"/>
      <c r="K484"/>
      <c r="L484"/>
      <c r="M484"/>
      <c r="N484"/>
      <c r="O484" s="82"/>
      <c r="P484">
        <v>3</v>
      </c>
      <c r="Q484"/>
      <c r="R484" s="772">
        <f>SUMIF($H$13:$H$448,$F484,R$13:R$448)+Elec_Rates!R65</f>
        <v>0</v>
      </c>
      <c r="S484" s="773"/>
      <c r="T484" s="772">
        <f>SUMIF($H$13:$H$448,$F484,T$13:T$448)+Elec_Rates!T65</f>
        <v>0</v>
      </c>
    </row>
    <row r="485" spans="1:20" s="768" customFormat="1" ht="13.2">
      <c r="A485" s="769"/>
      <c r="B485" s="770">
        <v>36</v>
      </c>
      <c r="C485" s="761" t="s">
        <v>73</v>
      </c>
      <c r="D485" t="s">
        <v>111</v>
      </c>
      <c r="E485"/>
      <c r="F485" s="771">
        <v>815</v>
      </c>
      <c r="G485"/>
      <c r="H485"/>
      <c r="I485"/>
      <c r="J485"/>
      <c r="K485"/>
      <c r="L485"/>
      <c r="M485"/>
      <c r="N485"/>
      <c r="O485" s="82"/>
      <c r="P485">
        <v>3</v>
      </c>
      <c r="Q485"/>
      <c r="R485" s="772">
        <f>SUMIF($H$13:$H$448,$F485,R$13:R$448)+Elec_Rates!R66</f>
        <v>0</v>
      </c>
      <c r="S485" s="773"/>
      <c r="T485" s="772">
        <f>SUMIF($H$13:$H$448,$F485,T$13:T$448)+Elec_Rates!T66</f>
        <v>0</v>
      </c>
    </row>
    <row r="486" spans="1:20" s="768" customFormat="1" ht="13.2">
      <c r="A486" s="769"/>
      <c r="B486" s="770">
        <v>37</v>
      </c>
      <c r="C486" s="761" t="s">
        <v>73</v>
      </c>
      <c r="D486" t="s">
        <v>112</v>
      </c>
      <c r="E486"/>
      <c r="F486" s="771">
        <v>820</v>
      </c>
      <c r="G486"/>
      <c r="H486"/>
      <c r="I486"/>
      <c r="J486"/>
      <c r="K486"/>
      <c r="L486"/>
      <c r="M486"/>
      <c r="N486"/>
      <c r="O486" s="82"/>
      <c r="P486">
        <v>2</v>
      </c>
      <c r="Q486"/>
      <c r="R486" s="772">
        <f>SUMIF($H$13:$H$448,$F486,R$13:R$448)+Elec_Rates!R67</f>
        <v>0</v>
      </c>
      <c r="S486" s="773"/>
      <c r="T486" s="772">
        <f>SUMIF($H$13:$H$448,$F486,T$13:T$448)+Elec_Rates!T67</f>
        <v>0</v>
      </c>
    </row>
    <row r="487" spans="1:20" s="768" customFormat="1" ht="13.2">
      <c r="A487" s="769"/>
      <c r="B487" s="770">
        <v>38</v>
      </c>
      <c r="C487" s="761" t="s">
        <v>73</v>
      </c>
      <c r="D487" t="s">
        <v>113</v>
      </c>
      <c r="E487"/>
      <c r="F487" s="771">
        <v>821</v>
      </c>
      <c r="G487"/>
      <c r="H487"/>
      <c r="I487"/>
      <c r="J487"/>
      <c r="K487"/>
      <c r="L487"/>
      <c r="M487"/>
      <c r="N487"/>
      <c r="O487" s="82"/>
      <c r="P487">
        <v>3</v>
      </c>
      <c r="Q487"/>
      <c r="R487" s="772">
        <f>SUMIF($H$13:$H$448,$F487,R$13:R$448)+Elec_Rates!R68</f>
        <v>0</v>
      </c>
      <c r="S487" s="773"/>
      <c r="T487" s="772">
        <f>SUMIF($H$13:$H$448,$F487,T$13:T$448)+Elec_Rates!T68</f>
        <v>0</v>
      </c>
    </row>
    <row r="488" spans="1:20" s="768" customFormat="1" ht="13.2">
      <c r="A488" s="769"/>
      <c r="B488" s="770">
        <v>39</v>
      </c>
      <c r="C488" s="761" t="s">
        <v>73</v>
      </c>
      <c r="D488" t="s">
        <v>114</v>
      </c>
      <c r="E488"/>
      <c r="F488" s="771">
        <v>835</v>
      </c>
      <c r="G488"/>
      <c r="H488"/>
      <c r="I488"/>
      <c r="J488"/>
      <c r="K488"/>
      <c r="L488"/>
      <c r="M488"/>
      <c r="N488"/>
      <c r="O488" s="82"/>
      <c r="P488">
        <v>3</v>
      </c>
      <c r="Q488"/>
      <c r="R488" s="772">
        <f>SUMIF($H$13:$H$448,$F488,R$13:R$448)+Elec_Rates!R69</f>
        <v>0</v>
      </c>
      <c r="S488" s="773"/>
      <c r="T488" s="772">
        <f>SUMIF($H$13:$H$448,$F488,T$13:T$448)+Elec_Rates!T69</f>
        <v>0</v>
      </c>
    </row>
    <row r="489" spans="1:20" s="768" customFormat="1" ht="13.2">
      <c r="A489" s="769"/>
      <c r="B489" s="770">
        <v>40</v>
      </c>
      <c r="C489" s="761" t="s">
        <v>73</v>
      </c>
      <c r="D489" t="s">
        <v>115</v>
      </c>
      <c r="E489"/>
      <c r="F489" s="771">
        <v>845</v>
      </c>
      <c r="G489"/>
      <c r="H489"/>
      <c r="I489"/>
      <c r="J489"/>
      <c r="K489"/>
      <c r="L489"/>
      <c r="M489"/>
      <c r="N489"/>
      <c r="O489" s="82"/>
      <c r="P489">
        <v>2</v>
      </c>
      <c r="Q489"/>
      <c r="R489" s="772">
        <f>SUMIF($H$13:$H$448,$F489,R$13:R$448)+Elec_Rates!R70</f>
        <v>0</v>
      </c>
      <c r="S489" s="773"/>
      <c r="T489" s="772">
        <f>SUMIF($H$13:$H$448,$F489,T$13:T$448)+Elec_Rates!T70</f>
        <v>0</v>
      </c>
    </row>
    <row r="490" spans="1:20" s="768" customFormat="1" ht="13.2">
      <c r="A490" s="769"/>
      <c r="B490" s="770">
        <v>41</v>
      </c>
      <c r="C490" s="761" t="s">
        <v>73</v>
      </c>
      <c r="D490" t="s">
        <v>117</v>
      </c>
      <c r="E490"/>
      <c r="F490" s="771">
        <v>855</v>
      </c>
      <c r="G490"/>
      <c r="H490"/>
      <c r="I490"/>
      <c r="J490"/>
      <c r="K490"/>
      <c r="L490"/>
      <c r="M490"/>
      <c r="N490"/>
      <c r="O490" s="82"/>
      <c r="P490">
        <v>3</v>
      </c>
      <c r="Q490"/>
      <c r="R490" s="772">
        <f>SUMIF($H$13:$H$448,$F490,R$13:R$448)+Elec_Rates!R71</f>
        <v>0</v>
      </c>
      <c r="S490" s="773"/>
      <c r="T490" s="772">
        <f>SUMIF($H$13:$H$448,$F490,T$13:T$448)+Elec_Rates!T71</f>
        <v>0</v>
      </c>
    </row>
    <row r="491" spans="1:20" s="768" customFormat="1" ht="13.2">
      <c r="A491" s="769"/>
      <c r="B491" s="770">
        <v>42</v>
      </c>
      <c r="C491" s="761" t="s">
        <v>73</v>
      </c>
      <c r="D491" t="s">
        <v>118</v>
      </c>
      <c r="E491"/>
      <c r="F491" s="771">
        <v>856</v>
      </c>
      <c r="G491"/>
      <c r="H491"/>
      <c r="I491"/>
      <c r="J491"/>
      <c r="K491"/>
      <c r="L491"/>
      <c r="M491"/>
      <c r="N491"/>
      <c r="O491" s="82"/>
      <c r="P491">
        <v>3</v>
      </c>
      <c r="Q491"/>
      <c r="R491" s="772">
        <f>SUMIF($H$13:$H$448,$F491,R$13:R$448)+Elec_Rates!R72</f>
        <v>0</v>
      </c>
      <c r="S491" s="773"/>
      <c r="T491" s="772">
        <f>SUMIF($H$13:$H$448,$F491,T$13:T$448)+Elec_Rates!T72</f>
        <v>0</v>
      </c>
    </row>
    <row r="492" spans="1:20" s="768" customFormat="1" ht="13.2">
      <c r="A492" s="769"/>
      <c r="B492" s="770">
        <v>43</v>
      </c>
      <c r="C492" s="761" t="s">
        <v>73</v>
      </c>
      <c r="D492" s="33" t="s">
        <v>235</v>
      </c>
      <c r="E492"/>
      <c r="F492" s="771">
        <v>857</v>
      </c>
      <c r="G492"/>
      <c r="H492"/>
      <c r="I492"/>
      <c r="J492"/>
      <c r="K492"/>
      <c r="L492"/>
      <c r="M492"/>
      <c r="N492"/>
      <c r="O492" s="82"/>
      <c r="P492">
        <v>4</v>
      </c>
      <c r="Q492"/>
      <c r="R492" s="772">
        <f>SUMIF($H$13:$H$448,$F492,R$13:R$448)+Elec_Rates!R73</f>
        <v>0</v>
      </c>
      <c r="S492" s="773"/>
      <c r="T492" s="772">
        <f>SUMIF($H$13:$H$448,$F492,T$13:T$448)+Elec_Rates!T73</f>
        <v>0</v>
      </c>
    </row>
    <row r="493" spans="1:20" s="768" customFormat="1" ht="13.2">
      <c r="A493" s="769"/>
      <c r="B493" s="770">
        <v>44</v>
      </c>
      <c r="C493" s="761" t="s">
        <v>73</v>
      </c>
      <c r="D493" t="s">
        <v>119</v>
      </c>
      <c r="E493"/>
      <c r="F493" s="771">
        <v>858</v>
      </c>
      <c r="G493"/>
      <c r="H493"/>
      <c r="I493"/>
      <c r="J493"/>
      <c r="K493"/>
      <c r="L493"/>
      <c r="M493"/>
      <c r="N493"/>
      <c r="O493" s="82"/>
      <c r="P493">
        <v>3</v>
      </c>
      <c r="Q493"/>
      <c r="R493" s="772">
        <f>SUMIF($H$13:$H$448,$F493,R$13:R$448)+Elec_Rates!R74</f>
        <v>0</v>
      </c>
      <c r="S493" s="773"/>
      <c r="T493" s="772">
        <f>SUMIF($H$13:$H$448,$F493,T$13:T$448)+Elec_Rates!T74</f>
        <v>0</v>
      </c>
    </row>
    <row r="494" spans="1:20" s="768" customFormat="1" ht="13.2">
      <c r="A494" s="769"/>
      <c r="B494" s="770">
        <v>45</v>
      </c>
      <c r="C494" s="761" t="s">
        <v>73</v>
      </c>
      <c r="D494" t="s">
        <v>120</v>
      </c>
      <c r="E494"/>
      <c r="F494" s="771">
        <v>865</v>
      </c>
      <c r="G494"/>
      <c r="H494"/>
      <c r="I494"/>
      <c r="J494"/>
      <c r="K494"/>
      <c r="L494"/>
      <c r="M494"/>
      <c r="N494"/>
      <c r="O494" s="82"/>
      <c r="P494">
        <v>3</v>
      </c>
      <c r="Q494"/>
      <c r="R494" s="772">
        <f>SUMIF($H$13:$H$448,$F494,R$13:R$448)+Elec_Rates!R75</f>
        <v>0</v>
      </c>
      <c r="S494" s="773"/>
      <c r="T494" s="772">
        <f>SUMIF($H$13:$H$448,$F494,T$13:T$448)+Elec_Rates!T75</f>
        <v>0</v>
      </c>
    </row>
    <row r="495" spans="1:20" s="768" customFormat="1" ht="13.2">
      <c r="A495" s="769"/>
      <c r="B495" s="770">
        <v>46</v>
      </c>
      <c r="C495" s="761" t="s">
        <v>73</v>
      </c>
      <c r="D495" t="s">
        <v>121</v>
      </c>
      <c r="E495"/>
      <c r="F495" s="771">
        <v>870</v>
      </c>
      <c r="G495"/>
      <c r="H495"/>
      <c r="I495"/>
      <c r="J495"/>
      <c r="K495"/>
      <c r="L495"/>
      <c r="M495"/>
      <c r="N495"/>
      <c r="O495" s="82"/>
      <c r="P495">
        <v>4</v>
      </c>
      <c r="Q495"/>
      <c r="R495" s="772">
        <f>SUMIF($H$13:$H$448,$F495,R$13:R$448)+Elec_Rates!R76</f>
        <v>0</v>
      </c>
      <c r="S495" s="773"/>
      <c r="T495" s="772">
        <f>SUMIF($H$13:$H$448,$F495,T$13:T$448)+Elec_Rates!T76</f>
        <v>0</v>
      </c>
    </row>
    <row r="496" spans="1:20" s="768" customFormat="1" ht="13.2">
      <c r="A496" s="769"/>
      <c r="B496" s="770">
        <v>47</v>
      </c>
      <c r="C496" s="761" t="s">
        <v>73</v>
      </c>
      <c r="D496" t="s">
        <v>122</v>
      </c>
      <c r="E496"/>
      <c r="F496" s="771">
        <v>875</v>
      </c>
      <c r="G496"/>
      <c r="H496"/>
      <c r="I496"/>
      <c r="J496"/>
      <c r="K496"/>
      <c r="L496"/>
      <c r="M496"/>
      <c r="N496"/>
      <c r="O496" s="82"/>
      <c r="P496">
        <v>1</v>
      </c>
      <c r="Q496"/>
      <c r="R496" s="772">
        <f>SUMIF($H$13:$H$448,$F496,R$13:R$448)+Elec_Rates!R77</f>
        <v>2.5500000000000003</v>
      </c>
      <c r="S496" s="773"/>
      <c r="T496" s="772">
        <f>SUMIF($H$13:$H$448,$F496,T$13:T$448)+Elec_Rates!T77</f>
        <v>0</v>
      </c>
    </row>
    <row r="497" spans="1:37" s="768" customFormat="1" ht="13.2">
      <c r="A497" s="769"/>
      <c r="B497" s="770">
        <v>48</v>
      </c>
      <c r="C497" s="761" t="s">
        <v>73</v>
      </c>
      <c r="D497" t="s">
        <v>123</v>
      </c>
      <c r="E497"/>
      <c r="F497" s="771">
        <v>880</v>
      </c>
      <c r="G497"/>
      <c r="H497"/>
      <c r="I497"/>
      <c r="J497"/>
      <c r="K497"/>
      <c r="L497"/>
      <c r="M497"/>
      <c r="N497"/>
      <c r="O497" s="82"/>
      <c r="P497">
        <v>3</v>
      </c>
      <c r="Q497"/>
      <c r="R497" s="772">
        <f>SUMIF($H$13:$H$448,$F497,R$13:R$448)+Elec_Rates!R78</f>
        <v>0</v>
      </c>
      <c r="S497" s="773"/>
      <c r="T497" s="772">
        <f>SUMIF($H$13:$H$448,$F497,T$13:T$448)+Elec_Rates!T78</f>
        <v>0</v>
      </c>
    </row>
    <row r="498" spans="1:37" s="768" customFormat="1" ht="13.2">
      <c r="A498" s="769"/>
      <c r="B498" s="770">
        <v>49</v>
      </c>
      <c r="C498" s="761" t="s">
        <v>73</v>
      </c>
      <c r="D498" t="s">
        <v>124</v>
      </c>
      <c r="E498"/>
      <c r="F498" s="771">
        <v>885</v>
      </c>
      <c r="G498"/>
      <c r="H498"/>
      <c r="I498"/>
      <c r="J498"/>
      <c r="K498"/>
      <c r="L498"/>
      <c r="M498"/>
      <c r="N498"/>
      <c r="O498" s="82"/>
      <c r="P498">
        <v>4</v>
      </c>
      <c r="Q498"/>
      <c r="R498" s="772">
        <f>SUMIF($H$13:$H$448,$F498,R$13:R$448)+Elec_Rates!R79</f>
        <v>0</v>
      </c>
      <c r="S498" s="773"/>
      <c r="T498" s="772">
        <f>SUMIF($H$13:$H$448,$F498,T$13:T$448)+Elec_Rates!T79</f>
        <v>0</v>
      </c>
    </row>
    <row r="499" spans="1:37" s="768" customFormat="1" ht="13.2">
      <c r="A499" s="769"/>
      <c r="B499" s="770">
        <v>50</v>
      </c>
      <c r="C499" s="761" t="s">
        <v>73</v>
      </c>
      <c r="D499" t="s">
        <v>68</v>
      </c>
      <c r="E499"/>
      <c r="F499" s="771">
        <v>900</v>
      </c>
      <c r="G499"/>
      <c r="H499"/>
      <c r="I499"/>
      <c r="J499"/>
      <c r="K499"/>
      <c r="L499"/>
      <c r="M499"/>
      <c r="N499"/>
      <c r="O499" s="82"/>
      <c r="P499">
        <v>3</v>
      </c>
      <c r="Q499"/>
      <c r="R499" s="772">
        <f>SUMIF($H$13:$H$448,$F499,R$13:R$448)+Elec_Rates!R80</f>
        <v>0</v>
      </c>
      <c r="S499" s="773"/>
      <c r="T499" s="772">
        <f>SUMIF($H$13:$H$448,$F499,T$13:T$448)+Elec_Rates!T80</f>
        <v>7.5</v>
      </c>
    </row>
    <row r="500" spans="1:37" s="768" customFormat="1" ht="13.2">
      <c r="A500" s="769"/>
      <c r="B500" s="770">
        <v>51</v>
      </c>
      <c r="C500" s="761" t="s">
        <v>73</v>
      </c>
      <c r="D500" t="s">
        <v>126</v>
      </c>
      <c r="E500"/>
      <c r="F500" s="771">
        <v>901</v>
      </c>
      <c r="G500"/>
      <c r="H500"/>
      <c r="I500"/>
      <c r="J500"/>
      <c r="K500"/>
      <c r="L500"/>
      <c r="M500"/>
      <c r="N500"/>
      <c r="O500" s="82"/>
      <c r="P500">
        <v>1</v>
      </c>
      <c r="Q500"/>
      <c r="R500" s="772">
        <f>SUMIF($H$13:$H$448,$F500,R$13:R$448)+Elec_Rates!R81</f>
        <v>0</v>
      </c>
      <c r="S500" s="773"/>
      <c r="T500" s="772">
        <f>SUMIF($H$13:$H$448,$F500,T$13:T$448)+Elec_Rates!T81</f>
        <v>0</v>
      </c>
    </row>
    <row r="501" spans="1:37" s="768" customFormat="1" ht="13.2">
      <c r="A501" s="769"/>
      <c r="B501" s="770">
        <v>52</v>
      </c>
      <c r="C501" s="761" t="s">
        <v>73</v>
      </c>
      <c r="D501" t="s">
        <v>127</v>
      </c>
      <c r="E501"/>
      <c r="F501" s="771">
        <v>902</v>
      </c>
      <c r="G501"/>
      <c r="H501"/>
      <c r="I501"/>
      <c r="J501"/>
      <c r="K501"/>
      <c r="L501"/>
      <c r="M501"/>
      <c r="N501"/>
      <c r="O501" s="82"/>
      <c r="P501">
        <v>3</v>
      </c>
      <c r="Q501"/>
      <c r="R501" s="772">
        <f>SUMIF($H$13:$H$448,$F501,R$13:R$448)+Elec_Rates!R82</f>
        <v>0</v>
      </c>
      <c r="S501" s="773"/>
      <c r="T501" s="772">
        <f>SUMIF($H$13:$H$448,$F501,T$13:T$448)+Elec_Rates!T82</f>
        <v>0</v>
      </c>
    </row>
    <row r="502" spans="1:37" s="768" customFormat="1" ht="13.2">
      <c r="A502" s="769"/>
      <c r="B502" s="770">
        <v>53</v>
      </c>
      <c r="C502" s="761" t="s">
        <v>73</v>
      </c>
      <c r="D502" s="768" t="s">
        <v>128</v>
      </c>
      <c r="E502"/>
      <c r="F502" s="771">
        <v>960</v>
      </c>
      <c r="G502"/>
      <c r="H502"/>
      <c r="I502"/>
      <c r="J502"/>
      <c r="K502"/>
      <c r="L502"/>
      <c r="M502"/>
      <c r="N502"/>
      <c r="O502" s="82"/>
      <c r="P502">
        <v>4</v>
      </c>
      <c r="Q502"/>
      <c r="R502" s="772">
        <f>SUMIF($H$13:$H$448,$F502,R$13:R$448)+Elec_Rates!R83</f>
        <v>0</v>
      </c>
      <c r="S502" s="773"/>
      <c r="T502" s="772">
        <f>SUMIF($H$13:$H$448,$F502,T$13:T$448)+Elec_Rates!T83</f>
        <v>0</v>
      </c>
    </row>
    <row r="503" spans="1:37" s="768" customFormat="1" ht="13.2">
      <c r="A503" s="769"/>
      <c r="B503" s="770">
        <v>54</v>
      </c>
      <c r="C503" s="761" t="s">
        <v>73</v>
      </c>
      <c r="D503" s="768" t="s">
        <v>129</v>
      </c>
      <c r="E503"/>
      <c r="F503" s="771">
        <v>961</v>
      </c>
      <c r="G503"/>
      <c r="H503"/>
      <c r="I503"/>
      <c r="J503"/>
      <c r="K503"/>
      <c r="L503"/>
      <c r="M503"/>
      <c r="N503"/>
      <c r="O503" s="82"/>
      <c r="P503">
        <v>3</v>
      </c>
      <c r="Q503"/>
      <c r="R503" s="772">
        <f>SUMIF($H$13:$H$448,$F503,R$13:R$448)+Elec_Rates!R84</f>
        <v>0</v>
      </c>
      <c r="S503" s="773"/>
      <c r="T503" s="772">
        <f>SUMIF($H$13:$H$448,$F503,T$13:T$448)+Elec_Rates!T84</f>
        <v>0</v>
      </c>
    </row>
    <row r="504" spans="1:37" s="768" customFormat="1" ht="13.2">
      <c r="A504" s="769"/>
      <c r="B504" s="770">
        <v>55</v>
      </c>
      <c r="C504" s="761" t="s">
        <v>73</v>
      </c>
      <c r="D504" s="768" t="s">
        <v>130</v>
      </c>
      <c r="E504"/>
      <c r="F504" s="771">
        <v>962</v>
      </c>
      <c r="G504"/>
      <c r="H504"/>
      <c r="I504"/>
      <c r="J504"/>
      <c r="K504"/>
      <c r="L504"/>
      <c r="M504"/>
      <c r="N504"/>
      <c r="O504" s="82"/>
      <c r="P504">
        <v>1</v>
      </c>
      <c r="Q504"/>
      <c r="R504" s="772">
        <f>SUMIF($H$13:$H$448,$F504,R$13:R$448)+Elec_Rates!R85</f>
        <v>0</v>
      </c>
      <c r="S504" s="773"/>
      <c r="T504" s="772">
        <f>SUMIF($H$13:$H$448,$F504,T$13:T$448)+Elec_Rates!T85</f>
        <v>0</v>
      </c>
    </row>
    <row r="505" spans="1:37" s="768" customFormat="1" ht="13.2">
      <c r="A505" s="769"/>
      <c r="B505" s="770">
        <v>56</v>
      </c>
      <c r="C505" s="761" t="s">
        <v>73</v>
      </c>
      <c r="D505" s="768" t="s">
        <v>131</v>
      </c>
      <c r="E505"/>
      <c r="F505" s="771">
        <v>970</v>
      </c>
      <c r="G505"/>
      <c r="H505"/>
      <c r="I505"/>
      <c r="J505"/>
      <c r="K505"/>
      <c r="L505"/>
      <c r="M505"/>
      <c r="N505"/>
      <c r="O505" s="82"/>
      <c r="P505">
        <v>4</v>
      </c>
      <c r="Q505"/>
      <c r="R505" s="772">
        <f>SUMIF($H$13:$H$448,$F505,R$13:R$448)+Elec_Rates!R86</f>
        <v>0</v>
      </c>
      <c r="S505" s="773"/>
      <c r="T505" s="772">
        <f>SUMIF($H$13:$H$448,$F505,T$13:T$448)+Elec_Rates!T86</f>
        <v>0</v>
      </c>
    </row>
    <row r="506" spans="1:37" s="768" customFormat="1" thickBot="1">
      <c r="A506" s="774"/>
      <c r="B506" s="775"/>
      <c r="C506" s="776"/>
      <c r="D506" s="777"/>
      <c r="E506" s="778"/>
      <c r="F506" s="779"/>
      <c r="G506" s="778"/>
      <c r="H506" s="778"/>
      <c r="I506" s="778"/>
      <c r="J506" s="778"/>
      <c r="K506" s="778"/>
      <c r="L506" s="778"/>
      <c r="M506" s="778"/>
      <c r="N506" s="778"/>
      <c r="O506" s="780"/>
      <c r="P506" s="778"/>
      <c r="Q506" s="778"/>
      <c r="R506" s="781"/>
      <c r="S506" s="782"/>
      <c r="T506" s="781"/>
      <c r="U506" s="777"/>
      <c r="V506" s="777"/>
      <c r="W506" s="777"/>
      <c r="X506" s="777"/>
      <c r="Y506" s="777"/>
      <c r="Z506" s="777"/>
      <c r="AA506" s="777"/>
      <c r="AB506" s="777"/>
      <c r="AC506" s="777"/>
      <c r="AD506" s="777"/>
      <c r="AE506" s="777"/>
      <c r="AF506" s="777"/>
      <c r="AG506" s="777"/>
      <c r="AH506" s="777"/>
      <c r="AI506" s="777"/>
      <c r="AJ506" s="777"/>
      <c r="AK506" s="777"/>
    </row>
    <row r="507" spans="1:37" s="768" customFormat="1" thickTop="1">
      <c r="A507" s="769"/>
      <c r="B507" s="771"/>
      <c r="C507" s="761" t="s">
        <v>73</v>
      </c>
      <c r="D507" s="783"/>
      <c r="E507"/>
      <c r="F507" s="784" t="s">
        <v>151</v>
      </c>
      <c r="G507" s="785"/>
      <c r="H507">
        <v>1</v>
      </c>
      <c r="I507"/>
      <c r="J507"/>
      <c r="K507"/>
      <c r="L507"/>
      <c r="M507"/>
      <c r="N507"/>
      <c r="O507" s="82"/>
      <c r="P507"/>
      <c r="Q507"/>
      <c r="R507" s="772">
        <f>SUMIF($P450:$P505,1,R450:R505)</f>
        <v>102.54</v>
      </c>
      <c r="S507"/>
      <c r="T507" s="772">
        <f>SUMIF($P450:$P505,1,T450:T505)</f>
        <v>14.600000000000001</v>
      </c>
    </row>
    <row r="508" spans="1:37" s="768" customFormat="1" ht="13.2">
      <c r="A508" s="769"/>
      <c r="B508" s="771"/>
      <c r="C508" s="761" t="s">
        <v>73</v>
      </c>
      <c r="D508" s="783"/>
      <c r="E508"/>
      <c r="F508" s="784" t="s">
        <v>152</v>
      </c>
      <c r="G508" s="785"/>
      <c r="H508">
        <v>2</v>
      </c>
      <c r="I508"/>
      <c r="J508"/>
      <c r="K508"/>
      <c r="L508"/>
      <c r="M508"/>
      <c r="N508"/>
      <c r="O508" s="82"/>
      <c r="P508"/>
      <c r="Q508"/>
      <c r="R508" s="772">
        <f>SUMIF($P450:$P505,2,R450:R505)</f>
        <v>1817.8235450980392</v>
      </c>
      <c r="S508"/>
      <c r="T508" s="772">
        <f>SUMIF($P450:$P505,2,T450:T505)</f>
        <v>22.97</v>
      </c>
    </row>
    <row r="509" spans="1:37" s="768" customFormat="1" ht="13.2">
      <c r="A509" s="769"/>
      <c r="B509" s="771"/>
      <c r="C509" s="761" t="s">
        <v>73</v>
      </c>
      <c r="D509" s="783"/>
      <c r="E509"/>
      <c r="F509" s="784" t="s">
        <v>153</v>
      </c>
      <c r="G509" s="785"/>
      <c r="H509">
        <v>2</v>
      </c>
      <c r="I509"/>
      <c r="J509"/>
      <c r="K509"/>
      <c r="L509"/>
      <c r="M509"/>
      <c r="N509"/>
      <c r="O509" s="82"/>
      <c r="P509"/>
      <c r="Q509"/>
      <c r="R509" s="772">
        <f>SUMIF($P450:$P505,3,R450:R505)</f>
        <v>0</v>
      </c>
      <c r="S509"/>
      <c r="T509" s="772">
        <f>SUMIF($P450:$P505,3,T450:T505)</f>
        <v>7.5</v>
      </c>
    </row>
    <row r="510" spans="1:37" s="768" customFormat="1" ht="13.2">
      <c r="A510" s="769"/>
      <c r="B510" s="771"/>
      <c r="C510" s="761" t="s">
        <v>73</v>
      </c>
      <c r="D510" s="783"/>
      <c r="E510"/>
      <c r="F510" s="784" t="s">
        <v>154</v>
      </c>
      <c r="G510" s="785"/>
      <c r="H510">
        <v>3</v>
      </c>
      <c r="I510"/>
      <c r="J510"/>
      <c r="K510"/>
      <c r="L510"/>
      <c r="M510"/>
      <c r="N510"/>
      <c r="O510" s="82"/>
      <c r="P510"/>
      <c r="Q510"/>
      <c r="R510" s="772">
        <f>SUMIF($P450:$P505,4,R450:R505)</f>
        <v>0</v>
      </c>
      <c r="S510"/>
      <c r="T510" s="772">
        <f>SUMIF($P450:$P505,4,T450:T505)</f>
        <v>0</v>
      </c>
    </row>
    <row r="511" spans="1:37" s="768" customFormat="1" thickBot="1">
      <c r="A511" s="774"/>
      <c r="B511" s="779"/>
      <c r="C511" s="776"/>
      <c r="D511" s="786"/>
      <c r="E511" s="778"/>
      <c r="F511" s="787" t="s">
        <v>155</v>
      </c>
      <c r="G511" s="788"/>
      <c r="H511" s="789"/>
      <c r="I511" s="789"/>
      <c r="J511" s="789"/>
      <c r="K511" s="789"/>
      <c r="L511" s="789"/>
      <c r="M511" s="789"/>
      <c r="N511" s="789"/>
      <c r="O511" s="790"/>
      <c r="P511" s="789"/>
      <c r="Q511" s="789"/>
      <c r="R511" s="791">
        <f>SUM(R507:R510)</f>
        <v>1920.3635450980391</v>
      </c>
      <c r="S511" s="792"/>
      <c r="T511" s="791">
        <f>SUM(T507:T510)</f>
        <v>45.07</v>
      </c>
      <c r="U511" s="777"/>
      <c r="V511" s="777"/>
      <c r="W511" s="777"/>
      <c r="X511" s="777"/>
      <c r="Y511" s="777"/>
      <c r="Z511" s="777"/>
      <c r="AA511" s="777"/>
      <c r="AB511" s="777"/>
      <c r="AC511" s="777"/>
      <c r="AD511" s="777"/>
      <c r="AE511" s="777"/>
      <c r="AF511" s="777"/>
      <c r="AG511" s="777"/>
      <c r="AH511" s="777"/>
      <c r="AI511" s="777"/>
      <c r="AJ511" s="777"/>
      <c r="AK511" s="777"/>
    </row>
    <row r="512" spans="1:37" ht="14.4" thickTop="1"/>
  </sheetData>
  <sheetProtection formatCells="0" formatColumns="0" formatRows="0" insertColumns="0" insertRows="0" insertHyperlinks="0" deleteColumns="0" deleteRows="0" sort="0" autoFilter="0" pivotTables="0"/>
  <phoneticPr fontId="27" type="noConversion"/>
  <printOptions gridLines="1"/>
  <pageMargins left="0.31496062992125984" right="0.17" top="0.43307086614173229" bottom="0.59055118110236227" header="0.23622047244094491" footer="0.23622047244094491"/>
  <pageSetup paperSize="9" orientation="portrait" r:id="rId1"/>
  <headerFooter alignWithMargins="0">
    <oddHeader>&amp;A</oddHeader>
    <oddFooter>Page &amp;P</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tabColor indexed="10"/>
  </sheetPr>
  <dimension ref="A1:AD176"/>
  <sheetViews>
    <sheetView tabSelected="1" workbookViewId="0">
      <selection activeCell="D3" sqref="D3:E3"/>
    </sheetView>
  </sheetViews>
  <sheetFormatPr defaultColWidth="9.109375" defaultRowHeight="13.2"/>
  <cols>
    <col min="1" max="1" width="8.33203125" style="33" customWidth="1"/>
    <col min="2" max="2" width="12.44140625" style="106" customWidth="1"/>
    <col min="3" max="3" width="6.6640625" style="33" hidden="1" customWidth="1"/>
    <col min="4" max="4" width="11.5546875" style="33" customWidth="1"/>
    <col min="5" max="5" width="13" style="33" customWidth="1"/>
    <col min="6" max="6" width="13.109375" style="33" customWidth="1"/>
    <col min="7" max="7" width="10" style="33" hidden="1" customWidth="1"/>
    <col min="8" max="14" width="8.6640625" style="33" hidden="1" customWidth="1"/>
    <col min="15" max="15" width="5.33203125" style="33" hidden="1" customWidth="1"/>
    <col min="16" max="16" width="7.6640625" style="33" hidden="1" customWidth="1"/>
    <col min="17" max="17" width="8" style="33" customWidth="1"/>
    <col min="18" max="18" width="12.109375" style="33" customWidth="1"/>
    <col min="19" max="19" width="11.109375" style="33" customWidth="1"/>
    <col min="20" max="20" width="10.5546875" style="33" customWidth="1"/>
    <col min="21" max="21" width="8.6640625" style="33" customWidth="1"/>
    <col min="22" max="22" width="9.6640625" style="33" customWidth="1"/>
    <col min="23" max="23" width="6.6640625" style="33" customWidth="1"/>
    <col min="24" max="24" width="11.44140625" style="33" customWidth="1"/>
    <col min="25" max="16384" width="9.109375" style="33"/>
  </cols>
  <sheetData>
    <row r="1" spans="1:30" ht="19.5" customHeight="1">
      <c r="B1" s="436" t="s">
        <v>0</v>
      </c>
      <c r="C1" s="433">
        <v>1</v>
      </c>
      <c r="D1" s="1023" t="s">
        <v>542</v>
      </c>
      <c r="E1" s="1023"/>
      <c r="G1" s="434" t="b">
        <v>0</v>
      </c>
      <c r="H1" s="434" t="b">
        <v>0</v>
      </c>
      <c r="I1" s="238">
        <v>1</v>
      </c>
      <c r="J1" s="239">
        <f t="shared" ref="J1:J10" si="0">$Q109</f>
        <v>1</v>
      </c>
      <c r="K1" s="239">
        <f t="shared" ref="K1:K10" si="1">$Q119</f>
        <v>1</v>
      </c>
      <c r="L1" s="239">
        <f t="shared" ref="L1:L10" si="2">$Q129</f>
        <v>1</v>
      </c>
      <c r="M1" s="239">
        <f t="shared" ref="M1:M10" si="3">$Q139</f>
        <v>1</v>
      </c>
      <c r="N1" s="239">
        <f t="shared" ref="N1:N9" si="4">$Q149</f>
        <v>1</v>
      </c>
      <c r="O1" s="239">
        <f t="shared" ref="O1:O6" si="5">$Q159</f>
        <v>1</v>
      </c>
      <c r="P1" s="9"/>
      <c r="Q1" s="406" t="str">
        <f>IF(C1=1,"€","Curr?")</f>
        <v>€</v>
      </c>
      <c r="R1" s="334" t="s">
        <v>203</v>
      </c>
      <c r="S1" s="424" t="str">
        <f>IF($S$39="PRINT","R","Do Not Print")</f>
        <v>R</v>
      </c>
      <c r="T1" s="448">
        <v>1</v>
      </c>
      <c r="V1" s="94">
        <f t="array" ref="V1">IF(OR(X1=AREAS),1,0)</f>
        <v>1</v>
      </c>
      <c r="W1" s="421" t="s">
        <v>174</v>
      </c>
      <c r="X1" s="95" t="s">
        <v>171</v>
      </c>
      <c r="Y1" s="95" t="s">
        <v>171</v>
      </c>
      <c r="Z1" s="95" t="s">
        <v>171</v>
      </c>
      <c r="AA1" s="95" t="s">
        <v>171</v>
      </c>
      <c r="AB1" s="95" t="s">
        <v>171</v>
      </c>
      <c r="AC1" s="95" t="s">
        <v>171</v>
      </c>
      <c r="AD1" s="95" t="s">
        <v>171</v>
      </c>
    </row>
    <row r="2" spans="1:30" ht="21.75" customHeight="1">
      <c r="A2" s="426"/>
      <c r="B2" s="436" t="s">
        <v>2</v>
      </c>
      <c r="C2" s="432">
        <f>IF($D$6="VAT INCLUDED",1.18,1)*(1-$Q2)*$C$1</f>
        <v>1</v>
      </c>
      <c r="D2" s="1023" t="s">
        <v>640</v>
      </c>
      <c r="E2" s="1023"/>
      <c r="F2" s="328" t="s">
        <v>186</v>
      </c>
      <c r="G2" s="434" t="b">
        <v>0</v>
      </c>
      <c r="I2" s="238">
        <v>2</v>
      </c>
      <c r="J2" s="239">
        <f t="shared" si="0"/>
        <v>1</v>
      </c>
      <c r="K2" s="239">
        <f t="shared" si="1"/>
        <v>1</v>
      </c>
      <c r="L2" s="239">
        <f t="shared" si="2"/>
        <v>1</v>
      </c>
      <c r="M2" s="239">
        <f t="shared" si="3"/>
        <v>1</v>
      </c>
      <c r="N2" s="239">
        <f t="shared" si="4"/>
        <v>1</v>
      </c>
      <c r="O2" s="239">
        <f t="shared" si="5"/>
        <v>1</v>
      </c>
      <c r="P2" s="9"/>
      <c r="Q2" s="277"/>
      <c r="R2" s="292" t="str">
        <f>"A) " &amp; IF($S2=0,"",ROUND($S2,2) &amp; "-" &amp; ROUND($T2/$D$9,2))</f>
        <v>A) 1-1</v>
      </c>
      <c r="S2" s="268">
        <v>1</v>
      </c>
      <c r="T2" s="268">
        <f>$S2*$D$9</f>
        <v>27.46</v>
      </c>
      <c r="V2" s="103"/>
      <c r="W2" s="103"/>
      <c r="X2" s="95" t="s">
        <v>171</v>
      </c>
      <c r="Y2" s="95" t="s">
        <v>171</v>
      </c>
      <c r="Z2" s="95" t="s">
        <v>171</v>
      </c>
      <c r="AA2" s="95" t="s">
        <v>171</v>
      </c>
      <c r="AB2" s="95" t="s">
        <v>171</v>
      </c>
      <c r="AC2" s="95" t="s">
        <v>171</v>
      </c>
      <c r="AD2" s="95" t="s">
        <v>171</v>
      </c>
    </row>
    <row r="3" spans="1:30" ht="21" customHeight="1">
      <c r="A3" s="427"/>
      <c r="B3" s="436" t="s">
        <v>4</v>
      </c>
      <c r="C3" s="432">
        <f t="shared" ref="C3:C12" si="6">IF($D$6="VAT INCLUDED",1.18,1)*(1-$Q3)*$C$1</f>
        <v>1</v>
      </c>
      <c r="D3" s="1023" t="s">
        <v>543</v>
      </c>
      <c r="E3" s="1023"/>
      <c r="F3" s="328" t="s">
        <v>562</v>
      </c>
      <c r="G3" s="434" t="b">
        <v>0</v>
      </c>
      <c r="I3" s="238">
        <v>3</v>
      </c>
      <c r="J3" s="239">
        <f t="shared" si="0"/>
        <v>1</v>
      </c>
      <c r="K3" s="239">
        <f t="shared" si="1"/>
        <v>1</v>
      </c>
      <c r="L3" s="239">
        <f t="shared" si="2"/>
        <v>1</v>
      </c>
      <c r="M3" s="239">
        <f t="shared" si="3"/>
        <v>1</v>
      </c>
      <c r="N3" s="239">
        <f t="shared" si="4"/>
        <v>1</v>
      </c>
      <c r="O3" s="239">
        <f t="shared" si="5"/>
        <v>1</v>
      </c>
      <c r="P3" s="9"/>
      <c r="Q3" s="277"/>
      <c r="R3" s="293" t="str">
        <f>"B) " &amp; IF($S3=0,"",ROUND($S3,2) &amp; "-" &amp; ROUND($T3/$D$9,2))</f>
        <v>B) 1-1</v>
      </c>
      <c r="S3" s="268">
        <v>1</v>
      </c>
      <c r="T3" s="268">
        <f t="shared" ref="T3:T11" si="7">$S3*$D$9</f>
        <v>27.46</v>
      </c>
      <c r="V3" s="103"/>
      <c r="W3" s="103"/>
      <c r="X3" s="95" t="s">
        <v>171</v>
      </c>
      <c r="Y3" s="95" t="s">
        <v>171</v>
      </c>
      <c r="Z3" s="95" t="s">
        <v>171</v>
      </c>
      <c r="AA3" s="95" t="s">
        <v>171</v>
      </c>
      <c r="AB3" s="95" t="s">
        <v>171</v>
      </c>
      <c r="AC3" s="95" t="s">
        <v>171</v>
      </c>
      <c r="AD3" s="95" t="s">
        <v>171</v>
      </c>
    </row>
    <row r="4" spans="1:30" ht="15.75" customHeight="1">
      <c r="A4" s="428"/>
      <c r="B4" s="437" t="s">
        <v>237</v>
      </c>
      <c r="C4" s="348">
        <f t="shared" si="6"/>
        <v>1</v>
      </c>
      <c r="D4" s="11" t="s">
        <v>636</v>
      </c>
      <c r="E4" s="255"/>
      <c r="F4" s="328"/>
      <c r="G4" s="434" t="b">
        <v>0</v>
      </c>
      <c r="I4" s="238">
        <v>4</v>
      </c>
      <c r="J4" s="239">
        <f t="shared" si="0"/>
        <v>1</v>
      </c>
      <c r="K4" s="239">
        <f t="shared" si="1"/>
        <v>1</v>
      </c>
      <c r="L4" s="239">
        <f t="shared" si="2"/>
        <v>1</v>
      </c>
      <c r="M4" s="239">
        <f t="shared" si="3"/>
        <v>1</v>
      </c>
      <c r="N4" s="239">
        <f t="shared" si="4"/>
        <v>1</v>
      </c>
      <c r="O4" s="239">
        <f t="shared" si="5"/>
        <v>1</v>
      </c>
      <c r="P4" s="9"/>
      <c r="Q4" s="277"/>
      <c r="R4" s="294" t="str">
        <f>"C) " &amp; IF($S4=0,"",ROUND($S4,2) &amp; "-" &amp; ROUND($T4/$D$9,2))</f>
        <v xml:space="preserve">C) </v>
      </c>
      <c r="S4" s="268"/>
      <c r="T4" s="268">
        <f>$S4*$D$10</f>
        <v>0</v>
      </c>
      <c r="V4" s="103"/>
      <c r="W4" s="103"/>
      <c r="X4" s="95" t="s">
        <v>171</v>
      </c>
      <c r="Y4" s="95" t="s">
        <v>171</v>
      </c>
      <c r="Z4" s="95" t="s">
        <v>171</v>
      </c>
      <c r="AA4" s="95" t="s">
        <v>171</v>
      </c>
      <c r="AB4" s="95" t="s">
        <v>171</v>
      </c>
      <c r="AC4" s="95" t="s">
        <v>171</v>
      </c>
      <c r="AD4" s="95" t="s">
        <v>171</v>
      </c>
    </row>
    <row r="5" spans="1:30" ht="13.8">
      <c r="A5" s="426"/>
      <c r="B5" s="438" t="s">
        <v>184</v>
      </c>
      <c r="C5" s="348">
        <f t="shared" si="6"/>
        <v>1</v>
      </c>
      <c r="D5" s="11"/>
      <c r="E5" s="278"/>
      <c r="F5" s="328"/>
      <c r="G5" s="434" t="b">
        <v>0</v>
      </c>
      <c r="I5" s="238">
        <v>5</v>
      </c>
      <c r="J5" s="239">
        <f t="shared" si="0"/>
        <v>1</v>
      </c>
      <c r="K5" s="239">
        <f t="shared" si="1"/>
        <v>1</v>
      </c>
      <c r="L5" s="239">
        <f t="shared" si="2"/>
        <v>1</v>
      </c>
      <c r="M5" s="239">
        <f t="shared" si="3"/>
        <v>1</v>
      </c>
      <c r="N5" s="239">
        <f t="shared" si="4"/>
        <v>1</v>
      </c>
      <c r="O5" s="239">
        <f t="shared" si="5"/>
        <v>1</v>
      </c>
      <c r="P5" s="10"/>
      <c r="Q5" s="277"/>
      <c r="R5" s="295" t="str">
        <f>"D) " &amp; IF($S5=0,"",ROUND($S5,2) &amp; "-" &amp; ROUND($T5/$D$9,2))</f>
        <v xml:space="preserve">D) </v>
      </c>
      <c r="S5" s="268"/>
      <c r="T5" s="268">
        <f t="shared" si="7"/>
        <v>0</v>
      </c>
      <c r="V5" s="103"/>
      <c r="W5" s="103"/>
      <c r="X5" s="95" t="s">
        <v>171</v>
      </c>
      <c r="Y5" s="95" t="s">
        <v>171</v>
      </c>
      <c r="Z5" s="95" t="s">
        <v>171</v>
      </c>
      <c r="AA5" s="95" t="s">
        <v>171</v>
      </c>
      <c r="AB5" s="95" t="s">
        <v>171</v>
      </c>
      <c r="AC5" s="95" t="s">
        <v>171</v>
      </c>
      <c r="AD5" s="95" t="s">
        <v>171</v>
      </c>
    </row>
    <row r="6" spans="1:30" ht="13.8">
      <c r="A6" s="428"/>
      <c r="B6" s="438" t="s">
        <v>233</v>
      </c>
      <c r="C6" s="348">
        <f t="shared" si="6"/>
        <v>1</v>
      </c>
      <c r="D6" s="349" t="s">
        <v>198</v>
      </c>
      <c r="E6"/>
      <c r="F6" s="328"/>
      <c r="G6" s="434" t="b">
        <v>0</v>
      </c>
      <c r="I6" s="238">
        <v>6</v>
      </c>
      <c r="J6" s="239">
        <f t="shared" si="0"/>
        <v>1</v>
      </c>
      <c r="K6" s="239">
        <f t="shared" si="1"/>
        <v>1</v>
      </c>
      <c r="L6" s="239">
        <f t="shared" si="2"/>
        <v>1</v>
      </c>
      <c r="M6" s="239">
        <f t="shared" si="3"/>
        <v>1</v>
      </c>
      <c r="N6" s="239">
        <f t="shared" si="4"/>
        <v>1</v>
      </c>
      <c r="O6" s="239">
        <f t="shared" si="5"/>
        <v>1</v>
      </c>
      <c r="P6" s="10"/>
      <c r="Q6" s="277"/>
      <c r="R6" s="296" t="str">
        <f>"E) " &amp; IF($S6=0,"",ROUND($S6,2) &amp; "-" &amp; ROUND($T6/$D$9,2))</f>
        <v xml:space="preserve">E) </v>
      </c>
      <c r="S6" s="268"/>
      <c r="T6" s="268">
        <f t="shared" si="7"/>
        <v>0</v>
      </c>
      <c r="V6" s="103"/>
      <c r="W6" s="103"/>
      <c r="X6" s="95" t="s">
        <v>171</v>
      </c>
      <c r="Y6" s="95" t="s">
        <v>171</v>
      </c>
      <c r="Z6" s="95" t="s">
        <v>171</v>
      </c>
      <c r="AA6" s="95" t="s">
        <v>171</v>
      </c>
      <c r="AB6" s="95" t="s">
        <v>171</v>
      </c>
      <c r="AC6" s="95" t="s">
        <v>171</v>
      </c>
      <c r="AD6" s="95" t="s">
        <v>171</v>
      </c>
    </row>
    <row r="7" spans="1:30" ht="13.8">
      <c r="A7" s="428"/>
      <c r="B7" s="438" t="s">
        <v>12</v>
      </c>
      <c r="C7" s="348">
        <f t="shared" si="6"/>
        <v>1</v>
      </c>
      <c r="D7" s="12"/>
      <c r="E7"/>
      <c r="F7" s="328"/>
      <c r="G7" s="434" t="b">
        <v>0</v>
      </c>
      <c r="I7" s="238">
        <v>7</v>
      </c>
      <c r="J7" s="239">
        <f t="shared" si="0"/>
        <v>1</v>
      </c>
      <c r="K7" s="239">
        <f t="shared" si="1"/>
        <v>1</v>
      </c>
      <c r="L7" s="239">
        <f t="shared" si="2"/>
        <v>1</v>
      </c>
      <c r="M7" s="239">
        <f t="shared" si="3"/>
        <v>1</v>
      </c>
      <c r="N7" s="239">
        <f t="shared" si="4"/>
        <v>1</v>
      </c>
      <c r="O7" s="239"/>
      <c r="P7" s="105"/>
      <c r="Q7" s="277"/>
      <c r="R7" s="297" t="str">
        <f>"F) " &amp; IF($S7=0,"",ROUND($S7,2) &amp; "-" &amp; ROUND($T7/$D$9,2))</f>
        <v xml:space="preserve">F) </v>
      </c>
      <c r="S7" s="268"/>
      <c r="T7" s="268">
        <f t="shared" si="7"/>
        <v>0</v>
      </c>
      <c r="V7" s="103"/>
      <c r="W7" s="103"/>
      <c r="X7" s="95" t="s">
        <v>171</v>
      </c>
      <c r="Y7" s="95" t="s">
        <v>171</v>
      </c>
      <c r="Z7" s="95" t="s">
        <v>171</v>
      </c>
      <c r="AA7" s="95" t="s">
        <v>171</v>
      </c>
      <c r="AB7" s="95" t="s">
        <v>171</v>
      </c>
      <c r="AC7" s="95" t="s">
        <v>171</v>
      </c>
      <c r="AD7" s="95" t="s">
        <v>171</v>
      </c>
    </row>
    <row r="8" spans="1:30" ht="13.8">
      <c r="A8" s="426"/>
      <c r="B8" s="438" t="s">
        <v>14</v>
      </c>
      <c r="C8" s="348">
        <f t="shared" si="6"/>
        <v>1</v>
      </c>
      <c r="D8" s="13" t="s">
        <v>547</v>
      </c>
      <c r="E8"/>
      <c r="F8" s="328"/>
      <c r="G8" s="434" t="b">
        <v>0</v>
      </c>
      <c r="I8" s="238">
        <v>8</v>
      </c>
      <c r="J8" s="239">
        <f t="shared" si="0"/>
        <v>1</v>
      </c>
      <c r="K8" s="239">
        <f t="shared" si="1"/>
        <v>1</v>
      </c>
      <c r="L8" s="239">
        <f t="shared" si="2"/>
        <v>1</v>
      </c>
      <c r="M8" s="239">
        <f t="shared" si="3"/>
        <v>1</v>
      </c>
      <c r="N8" s="239">
        <f t="shared" si="4"/>
        <v>1</v>
      </c>
      <c r="O8" s="239"/>
      <c r="P8" s="14"/>
      <c r="Q8" s="277"/>
      <c r="R8" s="298" t="str">
        <f>"G) " &amp; IF($S8=0,"",ROUND($S8,2) &amp; "-" &amp; ROUND($T8/$D$9,2))</f>
        <v xml:space="preserve">G) </v>
      </c>
      <c r="S8" s="268"/>
      <c r="T8" s="268">
        <f>$S8*$D$9</f>
        <v>0</v>
      </c>
      <c r="V8" s="103"/>
      <c r="W8" s="103"/>
      <c r="X8" s="95" t="s">
        <v>171</v>
      </c>
      <c r="Y8" s="95" t="s">
        <v>171</v>
      </c>
      <c r="Z8" s="95" t="s">
        <v>171</v>
      </c>
      <c r="AA8" s="95" t="s">
        <v>171</v>
      </c>
      <c r="AB8" s="95" t="s">
        <v>171</v>
      </c>
      <c r="AC8" s="95" t="s">
        <v>171</v>
      </c>
      <c r="AD8" s="95" t="s">
        <v>171</v>
      </c>
    </row>
    <row r="9" spans="1:30" ht="13.8">
      <c r="A9" s="428"/>
      <c r="B9" s="438" t="s">
        <v>234</v>
      </c>
      <c r="C9" s="348">
        <f t="shared" si="6"/>
        <v>1</v>
      </c>
      <c r="D9" s="531">
        <v>27.46</v>
      </c>
      <c r="E9" s="102"/>
      <c r="F9" s="328"/>
      <c r="G9" s="434" t="b">
        <v>0</v>
      </c>
      <c r="I9" s="238">
        <v>9</v>
      </c>
      <c r="J9" s="239">
        <f t="shared" si="0"/>
        <v>1</v>
      </c>
      <c r="K9" s="239">
        <f t="shared" si="1"/>
        <v>1</v>
      </c>
      <c r="L9" s="239">
        <f t="shared" si="2"/>
        <v>1</v>
      </c>
      <c r="M9" s="239">
        <f t="shared" si="3"/>
        <v>1</v>
      </c>
      <c r="N9" s="239">
        <f t="shared" si="4"/>
        <v>1</v>
      </c>
      <c r="O9" s="239"/>
      <c r="P9" s="14"/>
      <c r="Q9" s="277"/>
      <c r="R9" s="299" t="str">
        <f>"H) " &amp; IF($S9=0,"",ROUND($S9,2) &amp; "-" &amp; ROUND($T9/$D$9,2))</f>
        <v xml:space="preserve">H) </v>
      </c>
      <c r="S9" s="268"/>
      <c r="T9" s="268">
        <f t="shared" si="7"/>
        <v>0</v>
      </c>
      <c r="V9" s="533"/>
      <c r="W9" s="103"/>
      <c r="X9" s="95" t="s">
        <v>171</v>
      </c>
      <c r="Y9" s="95" t="s">
        <v>171</v>
      </c>
      <c r="Z9" s="95" t="s">
        <v>171</v>
      </c>
      <c r="AA9" s="95" t="s">
        <v>171</v>
      </c>
      <c r="AB9" s="95" t="s">
        <v>171</v>
      </c>
      <c r="AC9" s="95" t="s">
        <v>171</v>
      </c>
      <c r="AD9" s="95" t="s">
        <v>171</v>
      </c>
    </row>
    <row r="10" spans="1:30" ht="13.8">
      <c r="A10" s="428"/>
      <c r="B10" s="439"/>
      <c r="C10" s="348">
        <f t="shared" si="6"/>
        <v>1</v>
      </c>
      <c r="D10"/>
      <c r="E10"/>
      <c r="F10" s="328"/>
      <c r="G10" s="434" t="b">
        <v>0</v>
      </c>
      <c r="I10" s="238">
        <v>10</v>
      </c>
      <c r="J10" s="239">
        <f t="shared" si="0"/>
        <v>1</v>
      </c>
      <c r="K10" s="239">
        <f t="shared" si="1"/>
        <v>1</v>
      </c>
      <c r="L10" s="239">
        <f t="shared" si="2"/>
        <v>1</v>
      </c>
      <c r="M10" s="239">
        <f t="shared" si="3"/>
        <v>1</v>
      </c>
      <c r="N10" s="239">
        <f>$Q158</f>
        <v>1</v>
      </c>
      <c r="O10" s="239">
        <f>Q108</f>
        <v>1</v>
      </c>
      <c r="P10" s="14"/>
      <c r="Q10" s="277"/>
      <c r="R10" s="300" t="str">
        <f>" I) " &amp; IF($S10=0,"",ROUND($S10,2) &amp; "-" &amp; ROUND($T10/$D$9,2))</f>
        <v xml:space="preserve"> I) </v>
      </c>
      <c r="S10" s="268"/>
      <c r="T10" s="268">
        <f t="shared" si="7"/>
        <v>0</v>
      </c>
      <c r="V10" s="103"/>
      <c r="W10" s="103"/>
      <c r="X10" s="95" t="s">
        <v>171</v>
      </c>
      <c r="Y10" s="95" t="s">
        <v>171</v>
      </c>
      <c r="Z10" s="95" t="s">
        <v>171</v>
      </c>
      <c r="AA10" s="95" t="s">
        <v>171</v>
      </c>
      <c r="AB10" s="95" t="s">
        <v>171</v>
      </c>
      <c r="AC10" s="95" t="s">
        <v>171</v>
      </c>
      <c r="AD10" s="95" t="s">
        <v>171</v>
      </c>
    </row>
    <row r="11" spans="1:30" ht="13.8">
      <c r="A11" s="429"/>
      <c r="B11" s="440"/>
      <c r="C11" s="348">
        <f t="shared" si="6"/>
        <v>1</v>
      </c>
      <c r="D11"/>
      <c r="E11"/>
      <c r="F11" s="430"/>
      <c r="H11"/>
      <c r="I11" s="240"/>
      <c r="J11" s="240"/>
      <c r="K11" s="240"/>
      <c r="L11" s="240"/>
      <c r="M11" s="240"/>
      <c r="N11" s="240"/>
      <c r="O11" s="240"/>
      <c r="P11" s="101"/>
      <c r="Q11" s="277"/>
      <c r="R11" s="301" t="str">
        <f>"J) " &amp; IF($S11=0,"",ROUND($S11,2) &amp; "-" &amp; ROUND($T11/$D$9,2))</f>
        <v xml:space="preserve">J) </v>
      </c>
      <c r="S11" s="268"/>
      <c r="T11" s="268">
        <f t="shared" si="7"/>
        <v>0</v>
      </c>
      <c r="X11" s="95" t="s">
        <v>171</v>
      </c>
      <c r="Y11" s="95" t="s">
        <v>171</v>
      </c>
      <c r="Z11" s="95" t="s">
        <v>171</v>
      </c>
      <c r="AA11" s="95" t="s">
        <v>171</v>
      </c>
      <c r="AB11" s="95" t="s">
        <v>171</v>
      </c>
      <c r="AC11" s="95" t="s">
        <v>171</v>
      </c>
      <c r="AD11" s="95" t="s">
        <v>171</v>
      </c>
    </row>
    <row r="12" spans="1:30" ht="12.75" customHeight="1" thickBot="1">
      <c r="A12" s="426"/>
      <c r="B12"/>
      <c r="C12" s="348">
        <f t="shared" si="6"/>
        <v>1</v>
      </c>
      <c r="D12" s="284"/>
      <c r="E12" s="285"/>
      <c r="F12" s="329"/>
      <c r="G12" s="254" t="s">
        <v>29</v>
      </c>
      <c r="H12" s="254" t="s">
        <v>29</v>
      </c>
      <c r="I12" s="254" t="s">
        <v>29</v>
      </c>
      <c r="J12" s="254" t="s">
        <v>29</v>
      </c>
      <c r="K12" s="254" t="s">
        <v>29</v>
      </c>
      <c r="L12" s="254" t="s">
        <v>29</v>
      </c>
      <c r="M12" s="254" t="s">
        <v>29</v>
      </c>
      <c r="N12" s="254" t="s">
        <v>29</v>
      </c>
      <c r="O12" s="254" t="s">
        <v>29</v>
      </c>
      <c r="P12" s="254" t="s">
        <v>29</v>
      </c>
      <c r="Q12" s="365"/>
      <c r="R12" s="332" t="s">
        <v>204</v>
      </c>
      <c r="S12" s="407" t="s">
        <v>31</v>
      </c>
      <c r="T12" s="408" t="s">
        <v>32</v>
      </c>
      <c r="X12" s="95" t="s">
        <v>171</v>
      </c>
      <c r="Y12" s="95" t="s">
        <v>171</v>
      </c>
      <c r="Z12" s="95" t="s">
        <v>171</v>
      </c>
      <c r="AA12" s="95" t="s">
        <v>171</v>
      </c>
      <c r="AB12" s="95" t="s">
        <v>171</v>
      </c>
      <c r="AC12" s="95" t="s">
        <v>171</v>
      </c>
      <c r="AD12" s="95" t="s">
        <v>171</v>
      </c>
    </row>
    <row r="13" spans="1:30" ht="17.25" customHeight="1" thickBot="1">
      <c r="A13" s="359"/>
      <c r="B13" s="360" t="s">
        <v>211</v>
      </c>
      <c r="C13" s="361"/>
      <c r="D13" s="362"/>
      <c r="E13" s="363"/>
      <c r="F13" s="364"/>
      <c r="G13" s="286" t="s">
        <v>194</v>
      </c>
      <c r="H13" s="287" t="s">
        <v>195</v>
      </c>
      <c r="I13" s="288" t="s">
        <v>21</v>
      </c>
      <c r="J13" s="288" t="s">
        <v>22</v>
      </c>
      <c r="K13" s="289" t="s">
        <v>23</v>
      </c>
      <c r="L13" s="286" t="s">
        <v>24</v>
      </c>
      <c r="M13" s="286" t="s">
        <v>25</v>
      </c>
      <c r="N13" s="287" t="s">
        <v>196</v>
      </c>
      <c r="O13" s="286" t="s">
        <v>27</v>
      </c>
      <c r="P13" s="290" t="s">
        <v>28</v>
      </c>
      <c r="Q13" s="357" t="s">
        <v>192</v>
      </c>
      <c r="R13" s="333" t="s">
        <v>205</v>
      </c>
      <c r="S13" s="409" t="s">
        <v>229</v>
      </c>
      <c r="T13" s="441">
        <f>SUM(Q108:Q164)/57</f>
        <v>1</v>
      </c>
      <c r="X13" s="95"/>
      <c r="Y13" s="95"/>
      <c r="Z13" s="95"/>
      <c r="AA13" s="95"/>
      <c r="AB13" s="95"/>
      <c r="AC13" s="95"/>
      <c r="AD13" s="95"/>
    </row>
    <row r="14" spans="1:30" ht="27.75" customHeight="1">
      <c r="A14" s="104"/>
      <c r="B14" s="1025" t="str">
        <f>IF($D$6&lt;&gt;"VAT EXCL.", "QUOTE ISSUED WITH                    VAT INCLUDED", "")</f>
        <v/>
      </c>
      <c r="C14" s="1025"/>
      <c r="D14" s="1025"/>
      <c r="E14" s="1025"/>
      <c r="F14" s="5"/>
      <c r="G14" s="5"/>
      <c r="H14" s="5"/>
      <c r="I14" s="5"/>
      <c r="J14" s="5"/>
      <c r="K14" s="5"/>
      <c r="L14" s="5"/>
      <c r="M14" s="5"/>
      <c r="N14" s="5"/>
      <c r="O14" s="5"/>
      <c r="P14" s="5"/>
      <c r="Q14" s="5"/>
      <c r="R14" s="107"/>
      <c r="S14"/>
      <c r="T14" s="108"/>
      <c r="X14" s="95" t="s">
        <v>171</v>
      </c>
      <c r="Y14" s="95" t="s">
        <v>171</v>
      </c>
      <c r="Z14" s="95" t="s">
        <v>171</v>
      </c>
      <c r="AA14" s="95" t="s">
        <v>171</v>
      </c>
      <c r="AB14" s="95" t="s">
        <v>171</v>
      </c>
      <c r="AC14" s="95" t="s">
        <v>171</v>
      </c>
      <c r="AD14" s="95" t="s">
        <v>171</v>
      </c>
    </row>
    <row r="15" spans="1:30" ht="14.25" customHeight="1">
      <c r="A15" s="276"/>
      <c r="B15" s="1025"/>
      <c r="C15" s="1025"/>
      <c r="D15" s="1025"/>
      <c r="E15" s="1025"/>
      <c r="F15" s="276"/>
      <c r="G15" s="276"/>
      <c r="H15" s="276"/>
      <c r="I15" s="276"/>
      <c r="J15" s="276"/>
      <c r="K15" s="276"/>
      <c r="L15" s="276"/>
      <c r="M15" s="276"/>
      <c r="N15" s="276"/>
      <c r="O15" s="276"/>
      <c r="P15" s="276"/>
      <c r="Q15" s="377">
        <f ca="1">(C72-F35)/C72</f>
        <v>0</v>
      </c>
      <c r="R15" s="264" t="s">
        <v>209</v>
      </c>
      <c r="S15" s="262"/>
      <c r="T15" s="263"/>
      <c r="X15" s="95" t="s">
        <v>171</v>
      </c>
      <c r="Y15" s="95" t="s">
        <v>171</v>
      </c>
      <c r="Z15" s="95" t="s">
        <v>171</v>
      </c>
      <c r="AA15" s="95" t="s">
        <v>171</v>
      </c>
      <c r="AB15" s="95" t="s">
        <v>171</v>
      </c>
      <c r="AC15" s="95" t="s">
        <v>171</v>
      </c>
      <c r="AD15" s="95" t="s">
        <v>171</v>
      </c>
    </row>
    <row r="16" spans="1:30" ht="13.5" customHeight="1">
      <c r="A16" s="104"/>
      <c r="B16" s="1024" t="str">
        <f>IF($W$1&lt;&gt;"BOQ", "DIFF SET TO " &amp; W1,"")</f>
        <v/>
      </c>
      <c r="C16" s="1024"/>
      <c r="D16" s="1024"/>
      <c r="E16" s="1024"/>
      <c r="F16" s="102"/>
      <c r="G16" s="102"/>
      <c r="H16" s="102"/>
      <c r="I16" s="102"/>
      <c r="J16" s="102"/>
      <c r="K16" s="102"/>
      <c r="L16" s="102"/>
      <c r="M16" s="102"/>
      <c r="N16" s="102"/>
      <c r="O16" s="102"/>
      <c r="P16" s="102"/>
      <c r="Q16" s="378">
        <f ca="1">(F35-E35)/F35</f>
        <v>0</v>
      </c>
      <c r="R16" s="269" t="s">
        <v>210</v>
      </c>
      <c r="S16" s="270"/>
      <c r="T16" s="271"/>
      <c r="X16" s="95" t="s">
        <v>171</v>
      </c>
      <c r="Y16" s="95" t="s">
        <v>171</v>
      </c>
      <c r="Z16" s="95" t="s">
        <v>171</v>
      </c>
      <c r="AA16" s="95" t="s">
        <v>171</v>
      </c>
      <c r="AB16" s="95" t="s">
        <v>171</v>
      </c>
      <c r="AC16" s="95" t="s">
        <v>171</v>
      </c>
      <c r="AD16" s="95" t="s">
        <v>171</v>
      </c>
    </row>
    <row r="17" spans="1:24" ht="13.5" customHeight="1">
      <c r="B17" s="1024"/>
      <c r="C17" s="1024"/>
      <c r="D17" s="1024"/>
      <c r="E17" s="1024"/>
      <c r="G17" s="6"/>
      <c r="H17" s="6"/>
      <c r="I17" s="6"/>
      <c r="J17" s="6"/>
      <c r="K17" s="6"/>
      <c r="L17" s="6"/>
      <c r="M17" s="6"/>
      <c r="N17" s="6"/>
      <c r="O17" s="6"/>
      <c r="P17" s="6"/>
      <c r="Q17" s="379">
        <f ca="1">F74</f>
        <v>0</v>
      </c>
      <c r="R17" s="272" t="s">
        <v>207</v>
      </c>
      <c r="S17" s="273"/>
      <c r="T17" s="317"/>
    </row>
    <row r="18" spans="1:24" ht="18.75" customHeight="1">
      <c r="A18" s="336"/>
      <c r="B18" s="1026" t="str">
        <f>IF(AND(G1,G2,G3,G4,G5,G6,G7,G8,G9,G10,H1)=TRUE, "", "CHECKLIST INCOMPLETE !" )</f>
        <v>CHECKLIST INCOMPLETE !</v>
      </c>
      <c r="C18" s="1026"/>
      <c r="D18" s="1026"/>
      <c r="E18" s="1026"/>
      <c r="F18" s="336"/>
      <c r="G18"/>
      <c r="H18"/>
      <c r="I18"/>
      <c r="J18"/>
      <c r="K18"/>
      <c r="L18"/>
      <c r="M18"/>
      <c r="N18"/>
      <c r="O18"/>
      <c r="P18"/>
      <c r="Q18" s="1038"/>
      <c r="R18" s="1038"/>
      <c r="S18" s="1038"/>
      <c r="T18" s="1038"/>
      <c r="V18" s="530"/>
    </row>
    <row r="19" spans="1:24" ht="18" customHeight="1">
      <c r="B19" s="1039" t="str">
        <f ca="1">IF(ABS(SUM(A23:A32))&gt;100,"[Discy A-J] are high, Check it out."," ")</f>
        <v xml:space="preserve"> </v>
      </c>
      <c r="C19" s="1039"/>
      <c r="D19" s="1039"/>
      <c r="E19" s="1039"/>
      <c r="G19"/>
      <c r="H19"/>
      <c r="I19"/>
      <c r="J19"/>
      <c r="K19"/>
      <c r="L19"/>
      <c r="M19"/>
      <c r="N19"/>
      <c r="O19"/>
      <c r="P19"/>
      <c r="Q19" s="380">
        <f ca="1">R83</f>
        <v>0.99998551446974993</v>
      </c>
      <c r="R19" s="272" t="s">
        <v>208</v>
      </c>
      <c r="S19" s="343"/>
      <c r="T19" s="344"/>
    </row>
    <row r="20" spans="1:24" ht="12.75" customHeight="1">
      <c r="A20" s="431"/>
      <c r="B20" s="431"/>
      <c r="C20" s="431"/>
      <c r="D20" s="431"/>
      <c r="E20" s="431"/>
      <c r="F20"/>
      <c r="G20"/>
      <c r="H20"/>
      <c r="I20"/>
      <c r="J20"/>
      <c r="K20"/>
      <c r="L20"/>
      <c r="M20"/>
      <c r="N20"/>
      <c r="O20"/>
      <c r="P20"/>
      <c r="Q20"/>
      <c r="R20"/>
      <c r="S20"/>
      <c r="T20"/>
    </row>
    <row r="21" spans="1:24" ht="13.8">
      <c r="A21"/>
      <c r="B21" s="110"/>
      <c r="C21" s="111"/>
      <c r="D21" s="265"/>
      <c r="E21" s="274" t="s">
        <v>188</v>
      </c>
      <c r="F21" s="256" t="s">
        <v>33</v>
      </c>
      <c r="G21" s="67"/>
      <c r="H21" s="67"/>
      <c r="I21" s="67"/>
      <c r="J21" s="67"/>
      <c r="K21" s="67"/>
      <c r="L21" s="67"/>
      <c r="M21" s="67"/>
      <c r="N21" s="67"/>
      <c r="O21" s="67"/>
      <c r="P21" s="67"/>
      <c r="Q21" s="266" t="s">
        <v>190</v>
      </c>
      <c r="R21" s="256" t="s">
        <v>34</v>
      </c>
      <c r="S21" s="67"/>
      <c r="T21" s="256" t="s">
        <v>35</v>
      </c>
      <c r="V21"/>
      <c r="W21"/>
      <c r="X21"/>
    </row>
    <row r="22" spans="1:24">
      <c r="A22" s="331" t="s">
        <v>199</v>
      </c>
      <c r="B22" s="291" t="s">
        <v>191</v>
      </c>
      <c r="C22"/>
      <c r="D22" s="265"/>
      <c r="E22" s="275" t="str">
        <f>"SELLING  " &amp; $Q$1</f>
        <v>SELLING  €</v>
      </c>
      <c r="F22" s="393" t="str">
        <f>$Q$1</f>
        <v>€</v>
      </c>
      <c r="G22" s="258" t="s">
        <v>246</v>
      </c>
      <c r="H22" s="477" t="s">
        <v>243</v>
      </c>
      <c r="I22" s="477" t="s">
        <v>244</v>
      </c>
      <c r="J22" s="478" t="s">
        <v>245</v>
      </c>
      <c r="K22" s="258"/>
      <c r="L22" s="258"/>
      <c r="M22" s="258"/>
      <c r="N22" s="258"/>
      <c r="O22" s="258"/>
      <c r="P22" s="258"/>
      <c r="Q22" s="267" t="s">
        <v>189</v>
      </c>
      <c r="R22" s="259" t="s">
        <v>223</v>
      </c>
      <c r="S22" s="258"/>
      <c r="T22" s="257" t="s">
        <v>224</v>
      </c>
      <c r="V22"/>
      <c r="W22"/>
      <c r="X22"/>
    </row>
    <row r="23" spans="1:24">
      <c r="A23" s="345">
        <f>IF($F23=0,"",($F23/$C2)-($R23*$S2+$T23*$T2))</f>
        <v>-8.5745098039978984E-2</v>
      </c>
      <c r="B23" s="292" t="str">
        <f>IF(F23=0,"",IF(R23=0,"A) "&amp;"---,    "&amp;ROUND(($F23/$C2-($R23*$S2))/$T23,2),IF(T23=0,"A) "&amp;ROUND(($F23/$C2)/$R23,2),"A) "&amp;ROUND(($F23/$C2-($T23*$T2))/$R23,2)&amp;", "
&amp;ROUND(($F23/$C2-($R23*$S2))/$T23,2))))</f>
        <v>A) 1, 27.46</v>
      </c>
      <c r="C23"/>
      <c r="D23" s="330" t="str">
        <f>IF($F2="","",$F2)</f>
        <v>Electrical</v>
      </c>
      <c r="E23" s="1007">
        <f>F23*(1-Q23)</f>
        <v>1777.1699999999998</v>
      </c>
      <c r="F23" s="1007">
        <f>Elec_Est!F429</f>
        <v>1777.1699999999998</v>
      </c>
      <c r="G23" s="1008">
        <f>C2</f>
        <v>1</v>
      </c>
      <c r="H23" s="1009">
        <f>$S2</f>
        <v>1</v>
      </c>
      <c r="I23" s="1009">
        <f>$T2</f>
        <v>27.46</v>
      </c>
      <c r="J23" s="1008">
        <f>$D$9</f>
        <v>27.46</v>
      </c>
      <c r="K23" s="1008"/>
      <c r="L23" s="1008"/>
      <c r="M23" s="1008"/>
      <c r="N23" s="1008"/>
      <c r="O23" s="1008"/>
      <c r="P23" s="1008"/>
      <c r="Q23" s="1010"/>
      <c r="R23" s="1007">
        <f>Elec_Est!R429</f>
        <v>539.63354509803924</v>
      </c>
      <c r="S23" s="1008"/>
      <c r="T23" s="1007">
        <f>Elec_Est!T429</f>
        <v>45.070000000000014</v>
      </c>
      <c r="V23"/>
      <c r="W23"/>
      <c r="X23"/>
    </row>
    <row r="24" spans="1:24">
      <c r="A24" s="346">
        <f t="shared" ref="A24:A32" ca="1" si="8">IF($F24=0,"",($F24/$C3)-($R24*$S3+$T24*$T3))</f>
        <v>3.999999999996362E-2</v>
      </c>
      <c r="B24" s="293" t="str">
        <f t="shared" ref="B24:B32" ca="1" si="9">IF(F24=0,"",IF(R24=0,"A) "&amp;"---,    "&amp;ROUND(($F24/$C3-($R24*$S3))/$T24,2),IF(T24=0,"A) "&amp;ROUND(($F24/$C3)/$R24,2),"A) "&amp;ROUND(($F24/$C3-($T24*$T3))/$R24,2)&amp;", "
&amp;ROUND(($F24/$C3-($R24*$S3))/$T24,2))))</f>
        <v>A) 1</v>
      </c>
      <c r="C24"/>
      <c r="D24" s="330" t="str">
        <f t="shared" ref="D24:D32" si="10">IF($F3="","",$F3)</f>
        <v>Controls</v>
      </c>
      <c r="E24" s="1007">
        <f t="shared" ref="E24:E32" ca="1" si="11">F24*(1-Q24)</f>
        <v>1380.77</v>
      </c>
      <c r="F24" s="1007">
        <f ca="1">Elec_Est!F430</f>
        <v>1380.77</v>
      </c>
      <c r="G24" s="1008">
        <f t="shared" ref="G24:G32" si="12">C3</f>
        <v>1</v>
      </c>
      <c r="H24" s="1009">
        <f t="shared" ref="H24:H32" si="13">$S3</f>
        <v>1</v>
      </c>
      <c r="I24" s="1009">
        <f t="shared" ref="I24:I32" si="14">$T3</f>
        <v>27.46</v>
      </c>
      <c r="J24" s="1008">
        <f t="shared" ref="J24:J32" si="15">$D$9</f>
        <v>27.46</v>
      </c>
      <c r="K24" s="1008"/>
      <c r="L24" s="1008"/>
      <c r="M24" s="1008"/>
      <c r="N24" s="1008"/>
      <c r="O24" s="1008"/>
      <c r="P24" s="1008"/>
      <c r="Q24" s="1010"/>
      <c r="R24" s="1007">
        <f>Elec_Est!R430</f>
        <v>1380.73</v>
      </c>
      <c r="S24" s="1008"/>
      <c r="T24" s="1007">
        <f>Elec_Est!T430</f>
        <v>0</v>
      </c>
      <c r="V24"/>
      <c r="W24"/>
      <c r="X24"/>
    </row>
    <row r="25" spans="1:24">
      <c r="A25" s="346" t="str">
        <f t="shared" si="8"/>
        <v/>
      </c>
      <c r="B25" s="294" t="str">
        <f t="shared" si="9"/>
        <v/>
      </c>
      <c r="C25"/>
      <c r="D25" s="330" t="str">
        <f t="shared" si="10"/>
        <v/>
      </c>
      <c r="E25" s="1007">
        <f t="shared" si="11"/>
        <v>0</v>
      </c>
      <c r="F25" s="1007">
        <f>Elec_Est!F431</f>
        <v>0</v>
      </c>
      <c r="G25" s="1008">
        <f t="shared" si="12"/>
        <v>1</v>
      </c>
      <c r="H25" s="1009">
        <f t="shared" si="13"/>
        <v>0</v>
      </c>
      <c r="I25" s="1009">
        <f t="shared" si="14"/>
        <v>0</v>
      </c>
      <c r="J25" s="1008">
        <f t="shared" si="15"/>
        <v>27.46</v>
      </c>
      <c r="K25" s="1008"/>
      <c r="L25" s="1008"/>
      <c r="M25" s="1008"/>
      <c r="N25" s="1008"/>
      <c r="O25" s="1008"/>
      <c r="P25" s="1008"/>
      <c r="Q25" s="1010"/>
      <c r="R25" s="1007">
        <f>Elec_Est!R431</f>
        <v>0</v>
      </c>
      <c r="S25" s="1008"/>
      <c r="T25" s="1007">
        <f>Elec_Est!T431</f>
        <v>0</v>
      </c>
      <c r="V25"/>
      <c r="W25"/>
      <c r="X25"/>
    </row>
    <row r="26" spans="1:24">
      <c r="A26" s="346" t="str">
        <f t="shared" si="8"/>
        <v/>
      </c>
      <c r="B26" s="295" t="str">
        <f t="shared" si="9"/>
        <v/>
      </c>
      <c r="C26"/>
      <c r="D26" s="330" t="str">
        <f t="shared" si="10"/>
        <v/>
      </c>
      <c r="E26" s="1007">
        <f t="shared" si="11"/>
        <v>0</v>
      </c>
      <c r="F26" s="1007">
        <f>Elec_Est!F432</f>
        <v>0</v>
      </c>
      <c r="G26" s="1008">
        <f t="shared" si="12"/>
        <v>1</v>
      </c>
      <c r="H26" s="1009">
        <f t="shared" si="13"/>
        <v>0</v>
      </c>
      <c r="I26" s="1009">
        <f t="shared" si="14"/>
        <v>0</v>
      </c>
      <c r="J26" s="1008">
        <f t="shared" si="15"/>
        <v>27.46</v>
      </c>
      <c r="K26" s="1008"/>
      <c r="L26" s="1008"/>
      <c r="M26" s="1008"/>
      <c r="N26" s="1008"/>
      <c r="O26" s="1008"/>
      <c r="P26" s="1008"/>
      <c r="Q26" s="1010"/>
      <c r="R26" s="1007">
        <f>Elec_Est!R432</f>
        <v>0</v>
      </c>
      <c r="S26" s="1008"/>
      <c r="T26" s="1007">
        <f>Elec_Est!T432</f>
        <v>0</v>
      </c>
      <c r="V26"/>
      <c r="W26"/>
      <c r="X26"/>
    </row>
    <row r="27" spans="1:24">
      <c r="A27" s="346" t="str">
        <f t="shared" si="8"/>
        <v/>
      </c>
      <c r="B27" s="296" t="str">
        <f t="shared" si="9"/>
        <v/>
      </c>
      <c r="C27"/>
      <c r="D27" s="330" t="str">
        <f t="shared" si="10"/>
        <v/>
      </c>
      <c r="E27" s="1007">
        <f t="shared" si="11"/>
        <v>0</v>
      </c>
      <c r="F27" s="1007">
        <f>Elec_Est!F433</f>
        <v>0</v>
      </c>
      <c r="G27" s="1008">
        <f t="shared" si="12"/>
        <v>1</v>
      </c>
      <c r="H27" s="1009">
        <f t="shared" si="13"/>
        <v>0</v>
      </c>
      <c r="I27" s="1009">
        <f t="shared" si="14"/>
        <v>0</v>
      </c>
      <c r="J27" s="1008">
        <f t="shared" si="15"/>
        <v>27.46</v>
      </c>
      <c r="K27" s="1008"/>
      <c r="L27" s="1008"/>
      <c r="M27" s="1008"/>
      <c r="N27" s="1008"/>
      <c r="O27" s="1008"/>
      <c r="P27" s="1008"/>
      <c r="Q27" s="1010"/>
      <c r="R27" s="1007">
        <f>Elec_Est!R433</f>
        <v>0</v>
      </c>
      <c r="S27" s="1008"/>
      <c r="T27" s="1007">
        <f>Elec_Est!T433</f>
        <v>0</v>
      </c>
      <c r="V27"/>
      <c r="W27"/>
      <c r="X27"/>
    </row>
    <row r="28" spans="1:24">
      <c r="A28" s="346" t="str">
        <f t="shared" si="8"/>
        <v/>
      </c>
      <c r="B28" s="297" t="str">
        <f t="shared" si="9"/>
        <v/>
      </c>
      <c r="C28"/>
      <c r="D28" s="330" t="str">
        <f t="shared" si="10"/>
        <v/>
      </c>
      <c r="E28" s="1007">
        <f t="shared" si="11"/>
        <v>0</v>
      </c>
      <c r="F28" s="1007">
        <f>Elec_Est!F434</f>
        <v>0</v>
      </c>
      <c r="G28" s="1008">
        <f t="shared" si="12"/>
        <v>1</v>
      </c>
      <c r="H28" s="1009">
        <f t="shared" si="13"/>
        <v>0</v>
      </c>
      <c r="I28" s="1009">
        <f t="shared" si="14"/>
        <v>0</v>
      </c>
      <c r="J28" s="1008">
        <f t="shared" si="15"/>
        <v>27.46</v>
      </c>
      <c r="K28" s="1008"/>
      <c r="L28" s="1008"/>
      <c r="M28" s="1008"/>
      <c r="N28" s="1008"/>
      <c r="O28" s="1008"/>
      <c r="P28" s="1008"/>
      <c r="Q28" s="1010"/>
      <c r="R28" s="1007">
        <f>Elec_Est!R434</f>
        <v>0</v>
      </c>
      <c r="S28" s="1008"/>
      <c r="T28" s="1007">
        <f>Elec_Est!T434</f>
        <v>0</v>
      </c>
      <c r="V28"/>
      <c r="W28"/>
      <c r="X28"/>
    </row>
    <row r="29" spans="1:24">
      <c r="A29" s="346" t="str">
        <f t="shared" si="8"/>
        <v/>
      </c>
      <c r="B29" s="298" t="str">
        <f t="shared" si="9"/>
        <v/>
      </c>
      <c r="C29"/>
      <c r="D29" s="330" t="str">
        <f t="shared" si="10"/>
        <v/>
      </c>
      <c r="E29" s="1007">
        <f t="shared" si="11"/>
        <v>0</v>
      </c>
      <c r="F29" s="1007">
        <f>Elec_Est!F435</f>
        <v>0</v>
      </c>
      <c r="G29" s="1008">
        <f t="shared" si="12"/>
        <v>1</v>
      </c>
      <c r="H29" s="1009">
        <f t="shared" si="13"/>
        <v>0</v>
      </c>
      <c r="I29" s="1009">
        <f t="shared" si="14"/>
        <v>0</v>
      </c>
      <c r="J29" s="1008">
        <f t="shared" si="15"/>
        <v>27.46</v>
      </c>
      <c r="K29" s="1008"/>
      <c r="L29" s="1008"/>
      <c r="M29" s="1008"/>
      <c r="N29" s="1008"/>
      <c r="O29" s="1008"/>
      <c r="P29" s="1008"/>
      <c r="Q29" s="1010"/>
      <c r="R29" s="1007">
        <f>Elec_Est!R435</f>
        <v>0</v>
      </c>
      <c r="S29" s="1008"/>
      <c r="T29" s="1007">
        <f>Elec_Est!T435</f>
        <v>0</v>
      </c>
      <c r="V29"/>
      <c r="W29"/>
      <c r="X29"/>
    </row>
    <row r="30" spans="1:24">
      <c r="A30" s="346" t="str">
        <f t="shared" si="8"/>
        <v/>
      </c>
      <c r="B30" s="299" t="str">
        <f t="shared" si="9"/>
        <v/>
      </c>
      <c r="C30"/>
      <c r="D30" s="330" t="str">
        <f t="shared" si="10"/>
        <v/>
      </c>
      <c r="E30" s="1007">
        <f t="shared" si="11"/>
        <v>0</v>
      </c>
      <c r="F30" s="1007">
        <f>Elec_Est!F436</f>
        <v>0</v>
      </c>
      <c r="G30" s="1008">
        <f t="shared" si="12"/>
        <v>1</v>
      </c>
      <c r="H30" s="1009">
        <f t="shared" si="13"/>
        <v>0</v>
      </c>
      <c r="I30" s="1009">
        <f t="shared" si="14"/>
        <v>0</v>
      </c>
      <c r="J30" s="1008">
        <f t="shared" si="15"/>
        <v>27.46</v>
      </c>
      <c r="K30" s="1008"/>
      <c r="L30" s="1008"/>
      <c r="M30" s="1008"/>
      <c r="N30" s="1008"/>
      <c r="O30" s="1008"/>
      <c r="P30" s="1008"/>
      <c r="Q30" s="1010"/>
      <c r="R30" s="1007">
        <f>Elec_Est!R436</f>
        <v>0</v>
      </c>
      <c r="S30" s="1008"/>
      <c r="T30" s="1007">
        <f>Elec_Est!T436</f>
        <v>0</v>
      </c>
      <c r="V30"/>
      <c r="W30"/>
      <c r="X30"/>
    </row>
    <row r="31" spans="1:24">
      <c r="A31" s="346" t="str">
        <f t="shared" si="8"/>
        <v/>
      </c>
      <c r="B31" s="300" t="str">
        <f t="shared" si="9"/>
        <v/>
      </c>
      <c r="C31"/>
      <c r="D31" s="330" t="str">
        <f t="shared" si="10"/>
        <v/>
      </c>
      <c r="E31" s="1007">
        <f t="shared" si="11"/>
        <v>0</v>
      </c>
      <c r="F31" s="1007">
        <f>Elec_Est!F437</f>
        <v>0</v>
      </c>
      <c r="G31" s="1008">
        <f t="shared" si="12"/>
        <v>1</v>
      </c>
      <c r="H31" s="1009">
        <f t="shared" si="13"/>
        <v>0</v>
      </c>
      <c r="I31" s="1009">
        <f t="shared" si="14"/>
        <v>0</v>
      </c>
      <c r="J31" s="1008">
        <f t="shared" si="15"/>
        <v>27.46</v>
      </c>
      <c r="K31" s="1008"/>
      <c r="L31" s="1008"/>
      <c r="M31" s="1008"/>
      <c r="N31" s="1008"/>
      <c r="O31" s="1008"/>
      <c r="P31" s="1008"/>
      <c r="Q31" s="1010"/>
      <c r="R31" s="1007">
        <f>Elec_Est!R437</f>
        <v>0</v>
      </c>
      <c r="S31" s="1008"/>
      <c r="T31" s="1007">
        <f>Elec_Est!T437</f>
        <v>0</v>
      </c>
      <c r="V31"/>
      <c r="W31"/>
      <c r="X31"/>
    </row>
    <row r="32" spans="1:24">
      <c r="A32" s="347" t="str">
        <f t="shared" si="8"/>
        <v/>
      </c>
      <c r="B32" s="410" t="str">
        <f t="shared" si="9"/>
        <v/>
      </c>
      <c r="C32"/>
      <c r="D32" s="330" t="str">
        <f t="shared" si="10"/>
        <v/>
      </c>
      <c r="E32" s="1007">
        <f t="shared" si="11"/>
        <v>0</v>
      </c>
      <c r="F32" s="1007">
        <f>Elec_Est!F438</f>
        <v>0</v>
      </c>
      <c r="G32" s="1008">
        <f t="shared" si="12"/>
        <v>1</v>
      </c>
      <c r="H32" s="1009">
        <f t="shared" si="13"/>
        <v>0</v>
      </c>
      <c r="I32" s="1009">
        <f t="shared" si="14"/>
        <v>0</v>
      </c>
      <c r="J32" s="1008">
        <f t="shared" si="15"/>
        <v>27.46</v>
      </c>
      <c r="K32" s="1008"/>
      <c r="L32" s="1008"/>
      <c r="M32" s="1008"/>
      <c r="N32" s="1008"/>
      <c r="O32" s="1008"/>
      <c r="P32" s="1008"/>
      <c r="Q32" s="1010"/>
      <c r="R32" s="1007">
        <f>Elec_Est!R438</f>
        <v>0</v>
      </c>
      <c r="S32" s="1008"/>
      <c r="T32" s="1007">
        <f>Elec_Est!T438</f>
        <v>0</v>
      </c>
      <c r="V32"/>
      <c r="W32"/>
      <c r="X32"/>
    </row>
    <row r="33" spans="1:24">
      <c r="B33"/>
      <c r="C33" s="307" t="s">
        <v>197</v>
      </c>
      <c r="D33"/>
      <c r="E33"/>
      <c r="F33" s="306"/>
      <c r="G33" s="245"/>
      <c r="H33" s="245"/>
      <c r="I33" s="245"/>
      <c r="J33" s="245"/>
      <c r="K33" s="245"/>
      <c r="L33" s="245"/>
      <c r="M33" s="245"/>
      <c r="N33" s="245"/>
      <c r="O33" s="245"/>
      <c r="P33" s="245"/>
      <c r="R33" s="307"/>
      <c r="S33" s="245"/>
      <c r="T33" s="306"/>
      <c r="V33"/>
      <c r="W33"/>
      <c r="X33"/>
    </row>
    <row r="34" spans="1:24" ht="13.8" thickBot="1">
      <c r="B34" s="33"/>
      <c r="C34"/>
      <c r="R34" s="253"/>
      <c r="S34" s="253"/>
      <c r="T34" s="253"/>
      <c r="V34"/>
      <c r="W34"/>
      <c r="X34"/>
    </row>
    <row r="35" spans="1:24">
      <c r="A35" s="411" t="s">
        <v>200</v>
      </c>
      <c r="B35" s="415">
        <f>Plumbing!H45+Plumbing!H104+Plumbing!H155+Plumbing!H204+Plumbing!H254+Plumbing!H307+Plumbing!H348+Plumbing!H399+Plumbing!H449+Plumbing!H504+Plumbing!H561+Plumbing!H618+'Rain water &amp; Drainage'!H48+'Rain water &amp; Drainage'!H100+'Rain water &amp; Drainage'!H148+'Rain water &amp; Drainage'!H202+'Fire Fighting'!H54+'Fire Fighting'!H97</f>
        <v>3157.94</v>
      </c>
      <c r="D35" s="793">
        <f ca="1">B35-E35</f>
        <v>0</v>
      </c>
      <c r="E35" s="1007">
        <f ca="1">SUM(E23:E32)</f>
        <v>3157.9399999999996</v>
      </c>
      <c r="F35" s="1007">
        <f ca="1">SUM(F23:F32)</f>
        <v>3157.9399999999996</v>
      </c>
      <c r="G35" s="246"/>
      <c r="H35" s="246"/>
      <c r="I35" s="246"/>
      <c r="J35" s="246"/>
      <c r="K35" s="246"/>
      <c r="L35" s="246"/>
      <c r="M35" s="246"/>
      <c r="N35" s="246"/>
      <c r="O35" s="246"/>
      <c r="P35" s="246"/>
      <c r="Q35" s="247"/>
      <c r="R35" s="251">
        <f>SUM(R23:R32)</f>
        <v>1920.3635450980391</v>
      </c>
      <c r="S35" s="248"/>
      <c r="T35" s="251">
        <f>SUM(T23:T32)</f>
        <v>45.070000000000014</v>
      </c>
      <c r="V35"/>
      <c r="W35"/>
      <c r="X35"/>
    </row>
    <row r="36" spans="1:24" ht="14.4" thickBot="1">
      <c r="A36" s="412" t="str">
        <f xml:space="preserve"> IF(A39=0,"0.00",A39-(A38*A37))</f>
        <v>0.00</v>
      </c>
      <c r="B36" s="414" t="s">
        <v>230</v>
      </c>
      <c r="E36" s="476" t="str">
        <f>"ESTIM TOTAL (" &amp; $Q$1 &amp; ")"</f>
        <v>ESTIM TOTAL (€)</v>
      </c>
      <c r="G36" s="246"/>
      <c r="H36" s="246"/>
      <c r="I36" s="246"/>
      <c r="J36" s="246"/>
      <c r="K36" s="246"/>
      <c r="L36" s="246"/>
      <c r="M36" s="246"/>
      <c r="N36" s="246"/>
      <c r="O36" s="246"/>
      <c r="P36" s="246"/>
      <c r="Q36" s="247"/>
      <c r="V36"/>
      <c r="W36"/>
      <c r="X36"/>
    </row>
    <row r="37" spans="1:24" ht="13.8">
      <c r="A37" s="338">
        <v>1.125</v>
      </c>
      <c r="B37" s="413" t="s">
        <v>221</v>
      </c>
      <c r="C37" s="228"/>
      <c r="D37"/>
      <c r="E37" s="342"/>
      <c r="G37"/>
      <c r="H37"/>
      <c r="I37"/>
      <c r="J37"/>
      <c r="K37"/>
      <c r="L37"/>
      <c r="M37"/>
      <c r="N37"/>
      <c r="O37"/>
      <c r="P37"/>
      <c r="Q37"/>
      <c r="R37" s="395">
        <f>R165</f>
        <v>1920.3635450980391</v>
      </c>
      <c r="S37" s="396" t="s">
        <v>193</v>
      </c>
      <c r="T37" s="394">
        <f>T165</f>
        <v>45.07</v>
      </c>
      <c r="V37"/>
      <c r="W37"/>
      <c r="X37"/>
    </row>
    <row r="38" spans="1:24">
      <c r="A38" s="340"/>
      <c r="B38" s="339" t="s">
        <v>219</v>
      </c>
      <c r="C38"/>
      <c r="D38"/>
      <c r="G38"/>
      <c r="H38"/>
      <c r="I38"/>
      <c r="J38"/>
      <c r="K38"/>
      <c r="L38"/>
      <c r="M38"/>
      <c r="N38"/>
      <c r="O38"/>
      <c r="P38"/>
      <c r="Q38"/>
      <c r="R38"/>
      <c r="S38"/>
      <c r="T38"/>
    </row>
    <row r="39" spans="1:24">
      <c r="A39" s="341"/>
      <c r="B39" s="339" t="s">
        <v>220</v>
      </c>
      <c r="C39"/>
      <c r="D39"/>
      <c r="E39"/>
      <c r="F39"/>
      <c r="G39" s="227"/>
      <c r="H39" s="227"/>
      <c r="I39" s="227"/>
      <c r="J39" s="227"/>
      <c r="K39" s="227"/>
      <c r="L39" s="227"/>
      <c r="M39" s="227"/>
      <c r="N39" s="227"/>
      <c r="O39" s="227"/>
      <c r="P39" s="227"/>
      <c r="Q39" s="337" t="s">
        <v>201</v>
      </c>
      <c r="R39" s="397">
        <f>R37-R35</f>
        <v>0</v>
      </c>
      <c r="S39" s="425" t="s">
        <v>232</v>
      </c>
      <c r="T39" s="398">
        <f>T37-T35</f>
        <v>0</v>
      </c>
    </row>
    <row r="40" spans="1:24" ht="14.25" customHeight="1">
      <c r="S40" s="435"/>
    </row>
    <row r="41" spans="1:24">
      <c r="B41" s="399" t="s">
        <v>222</v>
      </c>
      <c r="C41" s="400"/>
      <c r="D41" s="389">
        <v>45573</v>
      </c>
      <c r="E41" s="401">
        <v>3171.67</v>
      </c>
      <c r="F41" s="401">
        <v>3171.67</v>
      </c>
      <c r="G41" s="402"/>
      <c r="H41" s="402"/>
      <c r="I41" s="402"/>
      <c r="J41" s="402"/>
      <c r="K41" s="402"/>
      <c r="L41" s="402"/>
      <c r="M41" s="402"/>
      <c r="N41" s="402"/>
      <c r="O41" s="402"/>
      <c r="P41" s="402"/>
      <c r="Q41" s="403"/>
      <c r="R41" s="401">
        <v>1920.3635450980391</v>
      </c>
      <c r="S41" s="403"/>
      <c r="T41" s="401">
        <v>45.570000000000014</v>
      </c>
    </row>
    <row r="42" spans="1:24" ht="13.8">
      <c r="B42" s="388"/>
      <c r="C42"/>
      <c r="D42" s="390"/>
      <c r="E42" s="308"/>
      <c r="F42" s="308"/>
      <c r="G42" s="308"/>
      <c r="H42" s="308"/>
      <c r="I42" s="308"/>
      <c r="J42" s="308"/>
      <c r="K42" s="308"/>
      <c r="L42" s="308"/>
      <c r="M42" s="308"/>
      <c r="N42" s="308"/>
      <c r="O42" s="308"/>
      <c r="P42" s="308"/>
      <c r="Q42" s="308"/>
      <c r="R42" s="308"/>
      <c r="S42" s="308"/>
      <c r="T42" s="308"/>
    </row>
    <row r="43" spans="1:24" ht="13.8">
      <c r="B43" s="388"/>
      <c r="C43"/>
      <c r="D43" s="391" t="s">
        <v>7</v>
      </c>
      <c r="E43" s="308"/>
      <c r="F43" s="308"/>
      <c r="G43" s="308"/>
      <c r="H43" s="308"/>
      <c r="I43" s="308"/>
      <c r="J43" s="308"/>
      <c r="K43" s="308"/>
      <c r="L43" s="308"/>
      <c r="M43" s="308"/>
      <c r="N43" s="308"/>
      <c r="O43" s="308"/>
      <c r="P43" s="308"/>
      <c r="Q43" s="308"/>
      <c r="R43" s="308"/>
      <c r="S43" s="308"/>
      <c r="T43" s="308"/>
    </row>
    <row r="44" spans="1:24">
      <c r="B44" s="229"/>
      <c r="C44" s="230"/>
      <c r="D44" s="230"/>
    </row>
    <row r="45" spans="1:24" s="119" customFormat="1" ht="14.25" customHeight="1">
      <c r="A45" s="115"/>
      <c r="B45" s="116"/>
      <c r="C45" s="113"/>
      <c r="D45" s="113"/>
    </row>
    <row r="46" spans="1:24" s="119" customFormat="1" ht="13.8">
      <c r="A46" s="335" t="s">
        <v>36</v>
      </c>
      <c r="C46" s="33"/>
      <c r="D46" s="33"/>
    </row>
    <row r="47" spans="1:24" s="119" customFormat="1" ht="14.25" customHeight="1">
      <c r="A47" s="1037" t="s">
        <v>206</v>
      </c>
      <c r="B47" s="1037"/>
      <c r="C47" s="1037"/>
      <c r="D47" s="1037"/>
      <c r="E47" s="1037"/>
      <c r="F47" s="1037"/>
      <c r="G47" s="1037"/>
      <c r="H47" s="1037"/>
      <c r="I47" s="1037"/>
      <c r="J47" s="1037"/>
      <c r="K47" s="1037"/>
      <c r="L47" s="1037"/>
      <c r="M47" s="1037"/>
      <c r="N47" s="1037"/>
      <c r="O47" s="1037"/>
      <c r="P47" s="1037"/>
      <c r="Q47" s="1037"/>
      <c r="R47" s="1037"/>
      <c r="S47" s="1037"/>
    </row>
    <row r="48" spans="1:24" s="119" customFormat="1" ht="14.25" customHeight="1">
      <c r="A48" s="1037"/>
      <c r="B48" s="1037"/>
      <c r="C48" s="1037"/>
      <c r="D48" s="1037"/>
      <c r="E48" s="1037"/>
      <c r="F48" s="1037"/>
      <c r="G48" s="1037"/>
      <c r="H48" s="1037"/>
      <c r="I48" s="1037"/>
      <c r="J48" s="1037"/>
      <c r="K48" s="1037"/>
      <c r="L48" s="1037"/>
      <c r="M48" s="1037"/>
      <c r="N48" s="1037"/>
      <c r="O48" s="1037"/>
      <c r="P48" s="1037"/>
      <c r="Q48" s="1037"/>
      <c r="R48" s="1037"/>
      <c r="S48" s="1037"/>
      <c r="T48" s="33"/>
    </row>
    <row r="49" spans="1:20" s="119" customFormat="1" ht="13.8">
      <c r="A49" s="33"/>
      <c r="B49" s="106"/>
      <c r="C49" s="33"/>
      <c r="D49" s="33"/>
      <c r="E49" s="33"/>
      <c r="F49" s="33"/>
      <c r="G49" s="33"/>
      <c r="H49" s="33"/>
      <c r="I49" s="33"/>
      <c r="J49" s="33"/>
      <c r="K49" s="33"/>
      <c r="L49" s="33"/>
      <c r="M49" s="33"/>
      <c r="N49" s="33"/>
      <c r="O49" s="33"/>
      <c r="P49" s="33"/>
      <c r="Q49" s="33"/>
      <c r="R49" s="33"/>
      <c r="S49" s="33"/>
      <c r="T49" s="33"/>
    </row>
    <row r="50" spans="1:20" s="119" customFormat="1" ht="13.5" customHeight="1">
      <c r="A50" s="102"/>
      <c r="B50" s="113"/>
      <c r="C50" s="102"/>
      <c r="D50" s="102"/>
      <c r="E50" s="102"/>
      <c r="F50" s="102"/>
      <c r="G50" s="102"/>
      <c r="H50" s="102"/>
      <c r="I50" s="102"/>
      <c r="J50" s="102"/>
      <c r="K50" s="102"/>
      <c r="L50" s="102"/>
      <c r="M50" s="102"/>
      <c r="N50" s="102"/>
      <c r="O50" s="102"/>
      <c r="P50" s="102"/>
      <c r="Q50" s="102"/>
      <c r="R50" s="102"/>
      <c r="S50" s="102"/>
      <c r="T50" s="102"/>
    </row>
    <row r="51" spans="1:20" s="119" customFormat="1" ht="13.5" customHeight="1" thickBot="1">
      <c r="A51" s="120" t="s">
        <v>37</v>
      </c>
      <c r="B51" s="121"/>
      <c r="C51" s="122"/>
      <c r="D51" s="122" t="str">
        <f>D8</f>
        <v>Umut Kaymak</v>
      </c>
      <c r="E51" s="102"/>
      <c r="F51" s="123"/>
      <c r="G51" s="124"/>
      <c r="H51" s="124"/>
      <c r="I51" s="124"/>
      <c r="J51" s="124"/>
      <c r="K51" s="124"/>
      <c r="L51" s="124"/>
      <c r="M51" s="102"/>
      <c r="N51" s="102"/>
      <c r="O51" s="102"/>
      <c r="P51" s="102"/>
      <c r="Q51" s="120" t="s">
        <v>38</v>
      </c>
      <c r="R51" s="122"/>
      <c r="S51" s="122"/>
      <c r="T51" s="122"/>
    </row>
    <row r="52" spans="1:20" s="119" customFormat="1" ht="13.5" customHeight="1" thickTop="1">
      <c r="A52" s="125"/>
      <c r="B52" s="113"/>
      <c r="C52" s="102"/>
      <c r="D52" s="102"/>
      <c r="E52" s="102"/>
      <c r="F52" s="102"/>
      <c r="G52" s="102"/>
      <c r="H52" s="102"/>
      <c r="I52" s="102"/>
      <c r="J52" s="102"/>
      <c r="K52" s="102"/>
      <c r="L52" s="102"/>
      <c r="M52" s="102"/>
      <c r="N52" s="102"/>
      <c r="O52" s="102"/>
      <c r="P52" s="102"/>
      <c r="Q52" s="125"/>
      <c r="R52" s="102"/>
      <c r="S52" s="102"/>
      <c r="T52" s="102"/>
    </row>
    <row r="53" spans="1:20" s="119" customFormat="1" ht="13.5" customHeight="1" thickBot="1">
      <c r="A53" s="126" t="s">
        <v>39</v>
      </c>
      <c r="B53" s="122"/>
      <c r="C53" s="122"/>
      <c r="D53" s="122"/>
      <c r="E53" s="102"/>
      <c r="F53" s="123"/>
      <c r="G53" s="124"/>
      <c r="H53" s="124"/>
      <c r="I53" s="124"/>
      <c r="J53" s="124"/>
      <c r="K53" s="124"/>
      <c r="L53" s="124"/>
      <c r="M53" s="102"/>
      <c r="N53" s="102"/>
      <c r="O53" s="102"/>
      <c r="P53" s="102"/>
      <c r="Q53" s="125" t="s">
        <v>40</v>
      </c>
      <c r="R53" s="102"/>
      <c r="S53" s="122"/>
      <c r="T53" s="122"/>
    </row>
    <row r="54" spans="1:20" s="119" customFormat="1" ht="13.5" customHeight="1" thickTop="1">
      <c r="A54" s="126"/>
      <c r="B54" s="113"/>
      <c r="C54" s="102"/>
      <c r="D54" s="102"/>
      <c r="E54" s="102"/>
      <c r="F54" s="123"/>
      <c r="G54" s="102"/>
      <c r="H54" s="102"/>
      <c r="I54" s="102"/>
      <c r="J54" s="102"/>
      <c r="K54" s="102"/>
      <c r="L54" s="102"/>
      <c r="M54" s="102"/>
      <c r="N54" s="102"/>
      <c r="O54" s="102"/>
      <c r="P54" s="102"/>
      <c r="Q54" s="125"/>
      <c r="R54" s="102"/>
      <c r="S54" s="102"/>
      <c r="T54" s="102"/>
    </row>
    <row r="55" spans="1:20" s="119" customFormat="1" ht="13.5" customHeight="1">
      <c r="A55" s="1036" t="s">
        <v>183</v>
      </c>
      <c r="B55" s="1036"/>
      <c r="C55" s="10"/>
      <c r="D55" s="325" t="str">
        <f ca="1" xml:space="preserve"> CELL("filename")</f>
        <v>https://d.docs.live.net/d8e42587b76b10ba/Documents/Visual Code Studio/Claude/BMS-Attribution-Model/projects/J01111_Brit_Hotel/[ELM25_0665_Brittania_Hotel_Mech_Estimate.xlsx]ML_Sum</v>
      </c>
      <c r="E55" s="230"/>
      <c r="F55" s="326"/>
      <c r="G55" s="230"/>
      <c r="H55" s="230"/>
      <c r="I55" s="230"/>
      <c r="J55" s="230"/>
      <c r="K55" s="230"/>
      <c r="L55" s="230"/>
      <c r="M55" s="230"/>
      <c r="N55" s="230"/>
      <c r="O55" s="230"/>
      <c r="P55" s="230"/>
      <c r="Q55" s="327"/>
      <c r="R55" s="102"/>
      <c r="S55" s="102"/>
      <c r="T55" s="102"/>
    </row>
    <row r="56" spans="1:20" s="119" customFormat="1" ht="12.75" customHeight="1">
      <c r="A56" s="241"/>
      <c r="B56" s="241"/>
      <c r="C56" s="10"/>
      <c r="D56" s="11"/>
      <c r="E56" s="102"/>
      <c r="F56" s="123"/>
      <c r="G56" s="102"/>
      <c r="H56" s="102"/>
      <c r="I56" s="102"/>
      <c r="J56" s="102"/>
      <c r="K56" s="102"/>
      <c r="L56" s="102"/>
      <c r="M56" s="102"/>
      <c r="N56" s="102"/>
      <c r="O56" s="102"/>
      <c r="P56" s="102"/>
      <c r="Q56" s="125"/>
      <c r="R56" s="102"/>
      <c r="S56" s="102"/>
      <c r="T56" s="102"/>
    </row>
    <row r="57" spans="1:20" ht="21" customHeight="1">
      <c r="B57" s="1029" t="s">
        <v>41</v>
      </c>
      <c r="C57" s="1030"/>
      <c r="D57" s="1030"/>
      <c r="E57" s="1030"/>
      <c r="F57" s="1030"/>
      <c r="G57" s="1030"/>
      <c r="H57" s="1030"/>
      <c r="I57" s="1030"/>
      <c r="J57" s="1030"/>
      <c r="K57" s="1030"/>
      <c r="L57" s="1030"/>
      <c r="M57" s="1030"/>
      <c r="N57" s="1030"/>
      <c r="O57" s="1030"/>
      <c r="P57" s="1030"/>
      <c r="Q57" s="1030"/>
      <c r="R57" s="1030"/>
      <c r="S57" s="1030"/>
      <c r="T57" s="1031"/>
    </row>
    <row r="58" spans="1:20" ht="18" customHeight="1">
      <c r="B58" s="1032" t="s">
        <v>42</v>
      </c>
      <c r="C58" s="1033"/>
      <c r="D58" s="1033"/>
      <c r="E58" s="1033"/>
      <c r="F58" s="1033"/>
      <c r="G58" s="1033"/>
      <c r="H58" s="1033"/>
      <c r="I58" s="1033"/>
      <c r="J58" s="1033"/>
      <c r="K58" s="1033"/>
      <c r="L58" s="1033"/>
      <c r="M58" s="1033"/>
      <c r="N58" s="1033"/>
      <c r="O58" s="1033"/>
      <c r="P58" s="1033"/>
      <c r="Q58" s="1033"/>
      <c r="R58" s="1033"/>
      <c r="S58" s="1034"/>
      <c r="T58" s="1035"/>
    </row>
    <row r="59" spans="1:20">
      <c r="B59" s="127"/>
      <c r="S59" s="128" t="s">
        <v>43</v>
      </c>
      <c r="T59" s="114"/>
    </row>
    <row r="60" spans="1:20">
      <c r="B60" s="127"/>
      <c r="D60" s="129" t="s">
        <v>44</v>
      </c>
      <c r="E60" s="231" t="str">
        <f>D1</f>
        <v>Battery Street Limited</v>
      </c>
      <c r="F60" s="232"/>
      <c r="G60" s="79"/>
      <c r="H60" s="79"/>
      <c r="I60" s="79"/>
      <c r="J60" s="79"/>
      <c r="K60" s="79"/>
      <c r="L60" s="79"/>
      <c r="M60" s="79"/>
      <c r="N60" s="79"/>
      <c r="O60" s="79"/>
      <c r="P60" s="79"/>
      <c r="Q60" s="233"/>
      <c r="R60" s="79"/>
      <c r="S60" s="128" t="s">
        <v>262</v>
      </c>
      <c r="T60" s="114"/>
    </row>
    <row r="61" spans="1:20">
      <c r="B61" s="127"/>
      <c r="D61" s="130" t="s">
        <v>45</v>
      </c>
      <c r="E61" s="231" t="str">
        <f>D2</f>
        <v>MEP Works British Hotel</v>
      </c>
      <c r="F61" s="232"/>
      <c r="G61" s="79"/>
      <c r="H61" s="79"/>
      <c r="I61" s="79"/>
      <c r="J61" s="79"/>
      <c r="K61" s="79"/>
      <c r="L61" s="79"/>
      <c r="M61" s="79"/>
      <c r="N61" s="79"/>
      <c r="O61" s="79"/>
      <c r="P61" s="79"/>
      <c r="Q61" s="233"/>
      <c r="R61" s="79"/>
      <c r="S61" s="128" t="s">
        <v>256</v>
      </c>
      <c r="T61" s="114"/>
    </row>
    <row r="62" spans="1:20">
      <c r="B62" s="127"/>
      <c r="D62" s="129" t="s">
        <v>46</v>
      </c>
      <c r="E62" s="231" t="str">
        <f>D3</f>
        <v>Electrical for Mechanical Services</v>
      </c>
      <c r="F62" s="232"/>
      <c r="G62" s="79"/>
      <c r="H62" s="79"/>
      <c r="I62" s="79"/>
      <c r="J62" s="79"/>
      <c r="K62" s="79"/>
      <c r="L62" s="79"/>
      <c r="M62" s="79"/>
      <c r="N62" s="79"/>
      <c r="O62" s="79"/>
      <c r="P62" s="79"/>
      <c r="Q62" s="233"/>
      <c r="R62" s="79"/>
      <c r="S62" s="128" t="s">
        <v>263</v>
      </c>
      <c r="T62" s="114"/>
    </row>
    <row r="63" spans="1:20">
      <c r="B63" s="127"/>
      <c r="D63" s="131" t="s">
        <v>49</v>
      </c>
      <c r="E63" s="231" t="str">
        <f>D4</f>
        <v>ELM25-0665</v>
      </c>
      <c r="F63" s="232"/>
      <c r="G63" s="79"/>
      <c r="H63" s="79"/>
      <c r="I63" s="79"/>
      <c r="J63" s="79"/>
      <c r="K63" s="79"/>
      <c r="L63" s="79"/>
      <c r="M63" s="79"/>
      <c r="N63" s="79"/>
      <c r="O63" s="79"/>
      <c r="P63" s="79"/>
      <c r="Q63" s="233"/>
      <c r="R63" s="79"/>
      <c r="S63" s="128"/>
      <c r="T63" s="114"/>
    </row>
    <row r="64" spans="1:20">
      <c r="B64" s="127"/>
      <c r="D64" s="131" t="s">
        <v>50</v>
      </c>
      <c r="E64" s="231">
        <f>D5</f>
        <v>0</v>
      </c>
      <c r="F64" s="232"/>
      <c r="G64" s="79"/>
      <c r="H64" s="79"/>
      <c r="I64" s="79"/>
      <c r="J64" s="79"/>
      <c r="K64" s="79"/>
      <c r="L64" s="79"/>
      <c r="M64" s="79"/>
      <c r="N64" s="79"/>
      <c r="O64" s="79"/>
      <c r="P64" s="79"/>
      <c r="Q64" s="233"/>
      <c r="R64" s="79"/>
      <c r="S64" s="128"/>
      <c r="T64" s="114"/>
    </row>
    <row r="65" spans="2:20">
      <c r="B65" s="127"/>
      <c r="S65" s="128" t="s">
        <v>48</v>
      </c>
      <c r="T65" s="114"/>
    </row>
    <row r="66" spans="2:20">
      <c r="B66" s="127"/>
      <c r="D66" s="131" t="s">
        <v>47</v>
      </c>
      <c r="E66" s="132"/>
      <c r="F66" s="132"/>
      <c r="G66" s="133"/>
      <c r="H66" s="133"/>
      <c r="I66" s="133"/>
      <c r="J66" s="133"/>
      <c r="K66" s="133"/>
      <c r="L66" s="133"/>
      <c r="M66" s="133"/>
      <c r="N66" s="133"/>
      <c r="O66" s="133"/>
      <c r="P66" s="133"/>
      <c r="S66" s="134"/>
      <c r="T66" s="135"/>
    </row>
    <row r="67" spans="2:20">
      <c r="B67" s="127"/>
      <c r="D67" s="131" t="s">
        <v>236</v>
      </c>
      <c r="E67" s="132"/>
      <c r="F67" s="132"/>
      <c r="G67" s="133"/>
      <c r="H67" s="133"/>
      <c r="I67" s="133"/>
      <c r="J67" s="133"/>
      <c r="K67" s="133"/>
      <c r="L67" s="133"/>
      <c r="M67" s="133"/>
      <c r="N67" s="133"/>
      <c r="O67" s="133"/>
      <c r="P67" s="133"/>
      <c r="S67" s="134"/>
      <c r="T67" s="135"/>
    </row>
    <row r="68" spans="2:20">
      <c r="B68" s="136"/>
      <c r="C68" s="47"/>
      <c r="D68" s="47"/>
      <c r="E68" s="47"/>
      <c r="F68" s="47"/>
      <c r="G68" s="47"/>
      <c r="H68" s="47"/>
      <c r="I68" s="47"/>
      <c r="J68" s="47"/>
      <c r="K68" s="47"/>
      <c r="L68" s="47"/>
      <c r="M68" s="47"/>
      <c r="N68" s="47"/>
      <c r="O68" s="47"/>
      <c r="P68" s="47"/>
      <c r="Q68" s="47"/>
      <c r="R68" s="47"/>
      <c r="S68" s="47"/>
      <c r="T68" s="137"/>
    </row>
    <row r="69" spans="2:20" ht="14.25" customHeight="1">
      <c r="B69" s="127"/>
      <c r="T69" s="135"/>
    </row>
    <row r="70" spans="2:20" ht="15.6">
      <c r="B70" s="127"/>
      <c r="E70" s="138" t="s">
        <v>187</v>
      </c>
      <c r="F70" s="112"/>
      <c r="G70" s="112"/>
      <c r="H70" s="112"/>
      <c r="I70" s="112"/>
      <c r="J70" s="112"/>
      <c r="K70" s="112"/>
      <c r="L70" s="112"/>
      <c r="M70" s="112"/>
      <c r="N70" s="112"/>
      <c r="O70" s="112"/>
      <c r="P70" s="112"/>
      <c r="Q70" s="112"/>
      <c r="R70" s="112"/>
      <c r="S70" s="57"/>
      <c r="T70" s="135"/>
    </row>
    <row r="71" spans="2:20">
      <c r="B71" s="127"/>
      <c r="E71" s="140"/>
      <c r="F71" s="112"/>
      <c r="G71" s="112"/>
      <c r="H71" s="112"/>
      <c r="I71" s="112"/>
      <c r="J71" s="112"/>
      <c r="K71" s="112"/>
      <c r="L71" s="112"/>
      <c r="M71" s="112"/>
      <c r="N71" s="112"/>
      <c r="O71" s="112"/>
      <c r="P71" s="112"/>
      <c r="Q71" s="112"/>
      <c r="R71" s="112"/>
      <c r="S71" s="57"/>
      <c r="T71" s="135"/>
    </row>
    <row r="72" spans="2:20">
      <c r="B72" s="260"/>
      <c r="C72" s="305">
        <f ca="1">IF($A$33="MIXED",F23/(1-Q2)+F24/(1-Q3)+F25/(1-Q4)+F26/(1-Q5)+F27/(1-Q6)+F28/(1-Q7)+F29/(1-Q8)+F30/(1-Q9)+F31/(1-Q10)+F32/(1-Q11)-SUM(A23:A32),   F23/(1-Q2)+F24/(1-Q3)+F25/(1-Q4)+F26/(1-Q5)+F27/(1-Q6)+F28/(1-Q7)+F29/(1-Q8)+F30/(1-Q9)+F31/(1-Q10)+F32/(1-Q11))</f>
        <v>3157.9399999999996</v>
      </c>
      <c r="E72" s="109" t="s">
        <v>227</v>
      </c>
      <c r="F72" s="367">
        <f ca="1">IF(D6="VAT INCLUDED",C72/($C$1*1.18),C72/$C$1)</f>
        <v>3157.9399999999996</v>
      </c>
      <c r="G72" s="112"/>
      <c r="H72" s="112"/>
      <c r="I72" s="112"/>
      <c r="J72" s="112"/>
      <c r="K72" s="112"/>
      <c r="L72" s="112"/>
      <c r="M72" s="112"/>
      <c r="N72" s="112"/>
      <c r="O72" s="112"/>
      <c r="P72" s="112"/>
      <c r="Q72" s="112"/>
      <c r="R72" s="112"/>
      <c r="S72" s="57"/>
      <c r="T72" s="135"/>
    </row>
    <row r="73" spans="2:20">
      <c r="B73" s="127"/>
      <c r="F73" s="373"/>
      <c r="G73" s="112"/>
      <c r="H73" s="112"/>
      <c r="I73" s="112"/>
      <c r="J73" s="112"/>
      <c r="K73" s="112"/>
      <c r="L73" s="112"/>
      <c r="M73" s="112"/>
      <c r="N73" s="112"/>
      <c r="O73" s="112"/>
      <c r="P73" s="112"/>
      <c r="Q73" s="112"/>
      <c r="R73" s="112"/>
      <c r="S73" s="57"/>
      <c r="T73" s="135"/>
    </row>
    <row r="74" spans="2:20" ht="15" customHeight="1">
      <c r="B74" s="260"/>
      <c r="E74" s="376" t="s">
        <v>228</v>
      </c>
      <c r="F74" s="374">
        <f ca="1">(F72-F75)/F72</f>
        <v>0</v>
      </c>
      <c r="G74" s="141"/>
      <c r="H74" s="141"/>
      <c r="I74" s="141"/>
      <c r="J74" s="141"/>
      <c r="K74" s="141"/>
      <c r="L74" s="141"/>
      <c r="M74" s="141"/>
      <c r="N74" s="141"/>
      <c r="O74" s="141"/>
      <c r="P74" s="141"/>
      <c r="Q74" s="142"/>
      <c r="T74" s="135"/>
    </row>
    <row r="75" spans="2:20">
      <c r="B75" s="261"/>
      <c r="E75" s="130" t="s">
        <v>226</v>
      </c>
      <c r="F75" s="375">
        <f ca="1">IF(D6="VAT INCLUDED",E35/($C$1*1.18),E35/$C$1)</f>
        <v>3157.9399999999996</v>
      </c>
      <c r="T75" s="135"/>
    </row>
    <row r="76" spans="2:20" ht="14.25" customHeight="1">
      <c r="B76" s="127"/>
      <c r="E76" s="109"/>
      <c r="F76" s="234"/>
      <c r="R76" s="109"/>
      <c r="T76" s="135"/>
    </row>
    <row r="77" spans="2:20" ht="15.6">
      <c r="B77" s="143"/>
      <c r="C77" s="144"/>
      <c r="E77" s="145" t="s">
        <v>185</v>
      </c>
      <c r="F77" s="405">
        <f>$D$9</f>
        <v>27.46</v>
      </c>
      <c r="G77" s="146"/>
      <c r="H77" s="147"/>
      <c r="I77" s="148"/>
      <c r="J77" s="149"/>
      <c r="K77" s="149"/>
      <c r="L77" s="149"/>
      <c r="M77" s="149"/>
      <c r="N77" s="149"/>
      <c r="O77" s="149"/>
      <c r="P77" s="149"/>
      <c r="Q77" s="150"/>
      <c r="R77" s="109" t="s">
        <v>166</v>
      </c>
      <c r="S77" s="139"/>
      <c r="T77" s="135"/>
    </row>
    <row r="78" spans="2:20" ht="15.6">
      <c r="B78" s="143"/>
      <c r="C78" s="144"/>
      <c r="E78" s="151"/>
      <c r="F78" s="152"/>
      <c r="G78" s="153"/>
      <c r="H78" s="154"/>
      <c r="I78" s="155"/>
      <c r="J78" s="150"/>
      <c r="K78" s="150"/>
      <c r="L78" s="150"/>
      <c r="M78" s="150"/>
      <c r="N78" s="150"/>
      <c r="O78" s="150"/>
      <c r="P78" s="150"/>
      <c r="Q78" s="150"/>
      <c r="T78" s="135"/>
    </row>
    <row r="79" spans="2:20" ht="15.6">
      <c r="B79" s="143"/>
      <c r="C79" s="144"/>
      <c r="E79" s="151"/>
      <c r="F79" s="152"/>
      <c r="G79" s="153"/>
      <c r="H79" s="154"/>
      <c r="I79" s="155"/>
      <c r="J79" s="150"/>
      <c r="K79" s="150"/>
      <c r="L79" s="150"/>
      <c r="M79" s="150"/>
      <c r="N79" s="150"/>
      <c r="O79" s="150"/>
      <c r="P79" s="150"/>
      <c r="Q79" s="150"/>
      <c r="T79" s="135"/>
    </row>
    <row r="80" spans="2:20" ht="15">
      <c r="B80" s="143"/>
      <c r="C80" s="144"/>
      <c r="D80" s="156" t="s">
        <v>51</v>
      </c>
      <c r="E80" s="157" t="s">
        <v>68</v>
      </c>
      <c r="F80" s="158" t="s">
        <v>52</v>
      </c>
      <c r="G80" s="159"/>
      <c r="H80" s="159"/>
      <c r="I80" s="159"/>
      <c r="J80" s="159"/>
      <c r="K80" s="159"/>
      <c r="L80" s="159"/>
      <c r="M80" s="159"/>
      <c r="N80" s="159"/>
      <c r="O80" s="159"/>
      <c r="P80" s="159"/>
      <c r="Q80" s="159"/>
      <c r="R80" s="157" t="s">
        <v>218</v>
      </c>
      <c r="S80" s="160"/>
      <c r="T80" s="135"/>
    </row>
    <row r="81" spans="2:20" ht="13.8">
      <c r="B81" s="127"/>
      <c r="D81" s="161" t="s">
        <v>223</v>
      </c>
      <c r="E81" s="67" t="s">
        <v>225</v>
      </c>
      <c r="F81" s="162" t="s">
        <v>223</v>
      </c>
      <c r="R81" s="243"/>
      <c r="S81" s="135"/>
      <c r="T81" s="163"/>
    </row>
    <row r="82" spans="2:20">
      <c r="B82" s="127"/>
      <c r="D82" s="164"/>
      <c r="S82" s="165"/>
      <c r="T82" s="135"/>
    </row>
    <row r="83" spans="2:20">
      <c r="B83" s="127"/>
      <c r="D83" s="368">
        <f>R165</f>
        <v>1920.3635450980391</v>
      </c>
      <c r="E83" s="369">
        <f>T165</f>
        <v>45.07</v>
      </c>
      <c r="F83" s="370">
        <f>R165+S165</f>
        <v>3157.9857450980394</v>
      </c>
      <c r="G83" s="371"/>
      <c r="H83" s="371"/>
      <c r="I83" s="371"/>
      <c r="J83" s="371"/>
      <c r="K83" s="371"/>
      <c r="L83" s="371"/>
      <c r="M83" s="371"/>
      <c r="N83" s="371"/>
      <c r="O83" s="371"/>
      <c r="P83" s="371"/>
      <c r="Q83" s="371"/>
      <c r="R83" s="372">
        <f ca="1">IF(F83=0,0,F75/F83)</f>
        <v>0.99998551446974993</v>
      </c>
      <c r="S83" s="165"/>
      <c r="T83" s="135"/>
    </row>
    <row r="84" spans="2:20">
      <c r="B84" s="127"/>
      <c r="D84" s="1027" t="s">
        <v>167</v>
      </c>
      <c r="E84" s="1028"/>
      <c r="S84" s="135"/>
      <c r="T84" s="165"/>
    </row>
    <row r="85" spans="2:20" ht="15">
      <c r="B85" s="127"/>
      <c r="D85" s="166"/>
      <c r="E85" s="47"/>
      <c r="F85" s="47"/>
      <c r="G85" s="47"/>
      <c r="H85" s="167"/>
      <c r="I85" s="168"/>
      <c r="J85" s="47"/>
      <c r="K85" s="47"/>
      <c r="L85" s="47"/>
      <c r="M85" s="47"/>
      <c r="N85" s="47"/>
      <c r="O85" s="47"/>
      <c r="P85" s="47"/>
      <c r="Q85" s="47"/>
      <c r="R85" s="47"/>
      <c r="S85" s="137"/>
      <c r="T85" s="135"/>
    </row>
    <row r="86" spans="2:20" ht="15">
      <c r="B86" s="127"/>
      <c r="H86" s="169"/>
      <c r="I86" s="144"/>
      <c r="T86" s="135"/>
    </row>
    <row r="87" spans="2:20" ht="15">
      <c r="B87" s="127"/>
      <c r="H87" s="169"/>
      <c r="I87" s="144"/>
      <c r="R87" s="109" t="s">
        <v>53</v>
      </c>
      <c r="S87" s="170"/>
      <c r="T87" s="135"/>
    </row>
    <row r="88" spans="2:20" ht="15">
      <c r="B88" s="127"/>
      <c r="H88" s="169"/>
      <c r="I88" s="144"/>
      <c r="R88" s="109" t="s">
        <v>54</v>
      </c>
      <c r="S88" s="170"/>
      <c r="T88" s="135"/>
    </row>
    <row r="89" spans="2:20" ht="15">
      <c r="B89" s="127"/>
      <c r="H89" s="169"/>
      <c r="I89" s="144"/>
      <c r="R89" s="109"/>
      <c r="S89" s="171"/>
      <c r="T89" s="135"/>
    </row>
    <row r="90" spans="2:20" ht="15">
      <c r="B90" s="127"/>
      <c r="H90" s="169"/>
      <c r="I90" s="144"/>
      <c r="R90" s="109" t="s">
        <v>55</v>
      </c>
      <c r="S90" s="172"/>
      <c r="T90" s="135"/>
    </row>
    <row r="91" spans="2:20" ht="15">
      <c r="B91" s="127"/>
      <c r="I91" s="144"/>
      <c r="R91" s="109" t="s">
        <v>56</v>
      </c>
      <c r="S91" s="173"/>
      <c r="T91" s="135"/>
    </row>
    <row r="92" spans="2:20" ht="15">
      <c r="B92" s="127"/>
      <c r="I92" s="144"/>
      <c r="J92" s="174"/>
      <c r="K92" s="175"/>
      <c r="L92" s="175"/>
      <c r="M92" s="175"/>
      <c r="N92" s="175"/>
      <c r="O92" s="175"/>
      <c r="P92" s="175"/>
      <c r="Q92" s="175"/>
      <c r="R92" s="109" t="s">
        <v>57</v>
      </c>
      <c r="S92" s="173"/>
      <c r="T92" s="135"/>
    </row>
    <row r="93" spans="2:20" ht="15">
      <c r="B93" s="127"/>
      <c r="D93" s="176" t="s">
        <v>58</v>
      </c>
      <c r="G93" s="177"/>
      <c r="I93" s="144"/>
      <c r="J93" s="174"/>
      <c r="K93" s="175"/>
      <c r="L93" s="175"/>
      <c r="M93" s="175"/>
      <c r="N93" s="175"/>
      <c r="O93" s="175"/>
      <c r="P93" s="175"/>
      <c r="Q93" s="175"/>
      <c r="R93" s="109"/>
      <c r="T93" s="135"/>
    </row>
    <row r="94" spans="2:20" ht="15.6">
      <c r="B94" s="127"/>
      <c r="D94" s="178" t="s">
        <v>255</v>
      </c>
      <c r="G94" s="177"/>
      <c r="I94" s="144"/>
      <c r="J94" s="174"/>
      <c r="K94" s="175"/>
      <c r="L94" s="175"/>
      <c r="M94" s="175"/>
      <c r="N94" s="175"/>
      <c r="O94" s="175"/>
      <c r="P94" s="175"/>
      <c r="Q94" s="175"/>
      <c r="R94" s="109" t="s">
        <v>59</v>
      </c>
      <c r="S94" s="173"/>
      <c r="T94" s="135"/>
    </row>
    <row r="95" spans="2:20" ht="15">
      <c r="B95" s="127"/>
      <c r="D95" s="179">
        <f ca="1">NOW()</f>
        <v>46114.361279166667</v>
      </c>
      <c r="G95" s="177"/>
      <c r="I95" s="144"/>
      <c r="J95" s="174"/>
      <c r="K95" s="175"/>
      <c r="L95" s="175"/>
      <c r="M95" s="175"/>
      <c r="N95" s="175"/>
      <c r="O95" s="175"/>
      <c r="P95" s="175"/>
      <c r="Q95" s="175"/>
      <c r="R95" s="175"/>
      <c r="T95" s="135"/>
    </row>
    <row r="96" spans="2:20" s="184" customFormat="1" ht="15">
      <c r="B96" s="136"/>
      <c r="C96" s="47"/>
      <c r="D96" s="47"/>
      <c r="E96" s="47"/>
      <c r="F96" s="47"/>
      <c r="G96" s="47"/>
      <c r="H96" s="47"/>
      <c r="I96" s="168"/>
      <c r="J96" s="180"/>
      <c r="K96" s="181"/>
      <c r="L96" s="181"/>
      <c r="M96" s="181"/>
      <c r="N96" s="181"/>
      <c r="O96" s="181"/>
      <c r="P96" s="181"/>
      <c r="Q96" s="181"/>
      <c r="R96" s="181"/>
      <c r="S96" s="182"/>
      <c r="T96" s="183"/>
    </row>
    <row r="97" spans="1:20" s="184" customFormat="1" ht="12" customHeight="1">
      <c r="B97" s="106"/>
      <c r="C97" s="33"/>
      <c r="D97" s="33"/>
      <c r="E97" s="33"/>
      <c r="F97" s="33"/>
      <c r="G97" s="33"/>
      <c r="H97" s="144"/>
      <c r="I97" s="144"/>
      <c r="J97" s="174"/>
      <c r="K97" s="175"/>
      <c r="L97" s="175"/>
      <c r="M97" s="175"/>
      <c r="N97" s="175"/>
      <c r="O97" s="175"/>
      <c r="P97" s="175"/>
      <c r="Q97" s="175"/>
      <c r="R97" s="175"/>
      <c r="S97" s="119"/>
      <c r="T97" s="119"/>
    </row>
    <row r="98" spans="1:20" ht="21" customHeight="1">
      <c r="B98" s="185"/>
      <c r="C98" s="186"/>
      <c r="D98" s="186" t="s">
        <v>41</v>
      </c>
      <c r="E98" s="187"/>
      <c r="F98" s="187"/>
      <c r="G98" s="187"/>
      <c r="H98" s="188"/>
      <c r="I98" s="189"/>
      <c r="J98" s="190"/>
      <c r="K98" s="190"/>
      <c r="L98" s="190"/>
      <c r="M98" s="190"/>
      <c r="N98" s="190"/>
      <c r="O98" s="190"/>
      <c r="P98" s="190"/>
      <c r="Q98" s="190"/>
      <c r="R98" s="190"/>
      <c r="S98" s="191"/>
      <c r="T98" s="192"/>
    </row>
    <row r="99" spans="1:20" ht="15">
      <c r="B99" s="193"/>
      <c r="C99" s="194"/>
      <c r="D99" s="194" t="s">
        <v>60</v>
      </c>
      <c r="E99" s="195"/>
      <c r="F99" s="195"/>
      <c r="G99" s="195"/>
      <c r="H99" s="196"/>
      <c r="I99" s="167"/>
      <c r="J99" s="197"/>
      <c r="K99" s="197"/>
      <c r="L99" s="197"/>
      <c r="M99" s="197"/>
      <c r="N99" s="197"/>
      <c r="O99" s="197"/>
      <c r="P99" s="197"/>
      <c r="Q99" s="197"/>
      <c r="R99" s="197"/>
      <c r="S99" s="197"/>
      <c r="T99" s="198"/>
    </row>
    <row r="100" spans="1:20" ht="15">
      <c r="B100" s="199"/>
      <c r="C100" s="200"/>
      <c r="D100" s="201"/>
      <c r="E100" s="112"/>
      <c r="F100" s="112"/>
      <c r="G100" s="112"/>
      <c r="H100" s="177"/>
      <c r="I100" s="169"/>
      <c r="J100" s="202"/>
      <c r="K100" s="202"/>
      <c r="L100" s="202"/>
      <c r="M100" s="202"/>
      <c r="N100" s="202"/>
      <c r="O100" s="202"/>
      <c r="P100" s="202"/>
      <c r="Q100" s="202"/>
      <c r="R100" s="202"/>
      <c r="S100" s="202"/>
      <c r="T100" s="203"/>
    </row>
    <row r="101" spans="1:20" ht="15">
      <c r="B101" s="127"/>
      <c r="D101" s="204" t="s">
        <v>61</v>
      </c>
      <c r="E101" s="235" t="str">
        <f>E61</f>
        <v>MEP Works British Hotel</v>
      </c>
      <c r="F101" s="233"/>
      <c r="G101" s="236"/>
      <c r="H101" s="237"/>
      <c r="I101" s="237"/>
      <c r="J101" s="233"/>
      <c r="K101" s="233"/>
      <c r="L101" s="233"/>
      <c r="M101" s="233"/>
      <c r="N101" s="233"/>
      <c r="O101" s="233"/>
      <c r="P101" s="233"/>
      <c r="Q101" s="233"/>
      <c r="R101" s="233"/>
      <c r="S101" s="79"/>
      <c r="T101" s="135"/>
    </row>
    <row r="102" spans="1:20" ht="15">
      <c r="B102" s="127"/>
      <c r="D102" s="204" t="s">
        <v>62</v>
      </c>
      <c r="E102" s="235" t="str">
        <f>E62</f>
        <v>Electrical for Mechanical Services</v>
      </c>
      <c r="F102" s="233"/>
      <c r="G102" s="236"/>
      <c r="H102" s="237"/>
      <c r="I102" s="237"/>
      <c r="J102" s="233"/>
      <c r="K102" s="233"/>
      <c r="L102" s="233"/>
      <c r="M102" s="233"/>
      <c r="N102" s="233"/>
      <c r="O102" s="233"/>
      <c r="P102" s="233"/>
      <c r="Q102" s="233"/>
      <c r="R102" s="233"/>
      <c r="S102" s="79"/>
      <c r="T102" s="135"/>
    </row>
    <row r="103" spans="1:20" ht="15">
      <c r="B103" s="205"/>
      <c r="C103" s="206"/>
      <c r="D103" s="131" t="s">
        <v>50</v>
      </c>
      <c r="E103" s="235">
        <f>E64</f>
        <v>0</v>
      </c>
      <c r="F103" s="79"/>
      <c r="G103" s="79"/>
      <c r="H103" s="237"/>
      <c r="I103" s="237"/>
      <c r="J103" s="79"/>
      <c r="K103" s="79"/>
      <c r="L103" s="79"/>
      <c r="M103" s="79"/>
      <c r="N103" s="79"/>
      <c r="O103" s="79"/>
      <c r="P103" s="79"/>
      <c r="Q103" s="79"/>
      <c r="R103" s="79"/>
      <c r="S103" s="79"/>
      <c r="T103" s="135"/>
    </row>
    <row r="104" spans="1:20" ht="15">
      <c r="B104" s="205"/>
      <c r="C104" s="206"/>
      <c r="D104" s="207"/>
      <c r="F104" s="208"/>
      <c r="G104" s="104"/>
      <c r="H104" s="144"/>
      <c r="I104" s="144"/>
      <c r="T104" s="209"/>
    </row>
    <row r="105" spans="1:20">
      <c r="B105" s="210"/>
      <c r="C105" s="159"/>
      <c r="D105" s="159"/>
      <c r="E105" s="159"/>
      <c r="F105" s="211"/>
      <c r="G105" s="159"/>
      <c r="H105" s="159"/>
      <c r="I105" s="159"/>
      <c r="J105" s="159"/>
      <c r="K105" s="159"/>
      <c r="L105" s="159"/>
      <c r="M105" s="159"/>
      <c r="N105" s="159"/>
      <c r="O105" s="159"/>
      <c r="P105" s="159"/>
      <c r="Q105" s="211"/>
      <c r="R105" s="160"/>
      <c r="S105" s="160"/>
      <c r="T105" s="160"/>
    </row>
    <row r="106" spans="1:20">
      <c r="B106" s="127"/>
      <c r="D106" s="68" t="s">
        <v>63</v>
      </c>
      <c r="F106" s="352" t="s">
        <v>64</v>
      </c>
      <c r="G106" s="353"/>
      <c r="H106" s="354"/>
      <c r="I106" s="354"/>
      <c r="J106" s="354"/>
      <c r="K106" s="354"/>
      <c r="L106" s="354"/>
      <c r="M106" s="354"/>
      <c r="N106" s="354"/>
      <c r="O106" s="354"/>
      <c r="P106" s="355"/>
      <c r="Q106" s="352" t="s">
        <v>65</v>
      </c>
      <c r="R106" s="351" t="s">
        <v>66</v>
      </c>
      <c r="S106" s="351" t="s">
        <v>67</v>
      </c>
      <c r="T106" s="351" t="s">
        <v>68</v>
      </c>
    </row>
    <row r="107" spans="1:20" ht="13.8">
      <c r="B107" s="212"/>
      <c r="C107" s="213"/>
      <c r="D107" s="4"/>
      <c r="F107" s="352" t="s">
        <v>69</v>
      </c>
      <c r="G107" s="353"/>
      <c r="H107" s="354"/>
      <c r="I107" s="354"/>
      <c r="J107" s="354"/>
      <c r="K107" s="354"/>
      <c r="L107" s="354"/>
      <c r="M107" s="354"/>
      <c r="N107" s="354"/>
      <c r="O107" s="354"/>
      <c r="P107" s="356"/>
      <c r="Q107" s="352" t="s">
        <v>70</v>
      </c>
      <c r="R107" s="214" t="s">
        <v>223</v>
      </c>
      <c r="S107" s="392">
        <f>$D$9</f>
        <v>27.46</v>
      </c>
      <c r="T107" s="214" t="s">
        <v>225</v>
      </c>
    </row>
    <row r="108" spans="1:20">
      <c r="B108" s="442" t="s">
        <v>71</v>
      </c>
      <c r="C108" s="47"/>
      <c r="D108" s="304" t="s">
        <v>202</v>
      </c>
      <c r="E108" s="47"/>
      <c r="F108" s="215"/>
      <c r="P108" s="316" t="s">
        <v>27</v>
      </c>
      <c r="Q108" s="252">
        <v>1</v>
      </c>
      <c r="R108" s="137"/>
      <c r="S108" s="137"/>
      <c r="T108" s="137"/>
    </row>
    <row r="109" spans="1:20">
      <c r="A109" s="135"/>
      <c r="B109" s="445" t="s">
        <v>72</v>
      </c>
      <c r="C109" s="4" t="s">
        <v>73</v>
      </c>
      <c r="D109" s="33" t="s">
        <v>74</v>
      </c>
      <c r="E109" s="135"/>
      <c r="F109" s="324">
        <v>501</v>
      </c>
      <c r="G109" s="53"/>
      <c r="P109" s="314">
        <v>1</v>
      </c>
      <c r="Q109" s="216">
        <v>1</v>
      </c>
      <c r="R109" s="250">
        <f>Elec_Est!R450</f>
        <v>0</v>
      </c>
      <c r="S109" s="350">
        <f>T109*$D$9</f>
        <v>219.68</v>
      </c>
      <c r="T109" s="250">
        <f>Elec_Est!T450</f>
        <v>8</v>
      </c>
    </row>
    <row r="110" spans="1:20">
      <c r="A110" s="135"/>
      <c r="B110" s="445">
        <v>2</v>
      </c>
      <c r="C110" s="4" t="s">
        <v>73</v>
      </c>
      <c r="D110" s="33" t="s">
        <v>75</v>
      </c>
      <c r="E110" s="135"/>
      <c r="F110" s="324">
        <v>505</v>
      </c>
      <c r="G110" s="53"/>
      <c r="P110" s="314">
        <v>1</v>
      </c>
      <c r="Q110" s="216">
        <v>1</v>
      </c>
      <c r="R110" s="250">
        <f>Elec_Est!R451</f>
        <v>0</v>
      </c>
      <c r="S110" s="350">
        <f t="shared" ref="S110:S164" si="16">T110*$D$9</f>
        <v>0</v>
      </c>
      <c r="T110" s="250">
        <f>Elec_Est!T451</f>
        <v>0</v>
      </c>
    </row>
    <row r="111" spans="1:20">
      <c r="A111" s="135"/>
      <c r="B111" s="445">
        <v>3</v>
      </c>
      <c r="C111" s="4" t="s">
        <v>73</v>
      </c>
      <c r="D111" s="33" t="s">
        <v>76</v>
      </c>
      <c r="E111" s="135"/>
      <c r="F111" s="324">
        <v>510</v>
      </c>
      <c r="G111" s="53"/>
      <c r="P111" s="314">
        <v>2</v>
      </c>
      <c r="Q111" s="216">
        <v>1</v>
      </c>
      <c r="R111" s="250">
        <f>Elec_Est!R452</f>
        <v>0</v>
      </c>
      <c r="S111" s="350">
        <f t="shared" si="16"/>
        <v>0</v>
      </c>
      <c r="T111" s="250">
        <f>Elec_Est!T452</f>
        <v>0</v>
      </c>
    </row>
    <row r="112" spans="1:20">
      <c r="A112" s="135"/>
      <c r="B112" s="445">
        <v>4</v>
      </c>
      <c r="C112" s="4" t="s">
        <v>73</v>
      </c>
      <c r="D112" s="33" t="s">
        <v>77</v>
      </c>
      <c r="E112" s="135"/>
      <c r="F112" s="324">
        <v>511</v>
      </c>
      <c r="G112" s="53"/>
      <c r="P112" s="314">
        <v>2</v>
      </c>
      <c r="Q112" s="216">
        <v>1</v>
      </c>
      <c r="R112" s="250">
        <f>Elec_Est!R453</f>
        <v>0</v>
      </c>
      <c r="S112" s="350">
        <f t="shared" si="16"/>
        <v>0</v>
      </c>
      <c r="T112" s="250">
        <f>Elec_Est!T453</f>
        <v>0</v>
      </c>
    </row>
    <row r="113" spans="1:20">
      <c r="A113" s="135"/>
      <c r="B113" s="445">
        <v>5</v>
      </c>
      <c r="C113" s="4" t="s">
        <v>73</v>
      </c>
      <c r="D113" s="33" t="s">
        <v>78</v>
      </c>
      <c r="E113" s="135"/>
      <c r="F113" s="324">
        <v>512</v>
      </c>
      <c r="G113" s="53"/>
      <c r="P113" s="314">
        <v>2</v>
      </c>
      <c r="Q113" s="216">
        <v>1</v>
      </c>
      <c r="R113" s="250">
        <f>Elec_Est!R454</f>
        <v>1380.73</v>
      </c>
      <c r="S113" s="350">
        <f t="shared" si="16"/>
        <v>27.46</v>
      </c>
      <c r="T113" s="250">
        <f>Elec_Est!T454</f>
        <v>1</v>
      </c>
    </row>
    <row r="114" spans="1:20">
      <c r="A114" s="135"/>
      <c r="B114" s="445">
        <v>6</v>
      </c>
      <c r="C114" s="4" t="s">
        <v>73</v>
      </c>
      <c r="D114" s="33" t="s">
        <v>79</v>
      </c>
      <c r="E114" s="135"/>
      <c r="F114" s="324">
        <v>520</v>
      </c>
      <c r="G114" s="53"/>
      <c r="P114" s="314">
        <v>1</v>
      </c>
      <c r="Q114" s="216">
        <v>1</v>
      </c>
      <c r="R114" s="250">
        <f>Elec_Est!R455</f>
        <v>0</v>
      </c>
      <c r="S114" s="350">
        <f t="shared" si="16"/>
        <v>0</v>
      </c>
      <c r="T114" s="250">
        <f>Elec_Est!T455</f>
        <v>0</v>
      </c>
    </row>
    <row r="115" spans="1:20">
      <c r="A115" s="135"/>
      <c r="B115" s="445">
        <v>7</v>
      </c>
      <c r="C115" s="4" t="s">
        <v>73</v>
      </c>
      <c r="D115" s="33" t="s">
        <v>80</v>
      </c>
      <c r="E115" s="135"/>
      <c r="F115" s="324">
        <v>530</v>
      </c>
      <c r="G115" s="53"/>
      <c r="P115" s="314">
        <v>2</v>
      </c>
      <c r="Q115" s="216">
        <v>1</v>
      </c>
      <c r="R115" s="250">
        <f>Elec_Est!R456</f>
        <v>0</v>
      </c>
      <c r="S115" s="350">
        <f t="shared" si="16"/>
        <v>0</v>
      </c>
      <c r="T115" s="250">
        <f>Elec_Est!T456</f>
        <v>0</v>
      </c>
    </row>
    <row r="116" spans="1:20">
      <c r="A116" s="135"/>
      <c r="B116" s="445">
        <v>8</v>
      </c>
      <c r="C116" s="4" t="s">
        <v>73</v>
      </c>
      <c r="D116" s="33" t="s">
        <v>81</v>
      </c>
      <c r="E116" s="135"/>
      <c r="F116" s="324">
        <v>550</v>
      </c>
      <c r="G116" s="53"/>
      <c r="P116" s="314">
        <v>2</v>
      </c>
      <c r="Q116" s="216">
        <v>1</v>
      </c>
      <c r="R116" s="250">
        <f>Elec_Est!R457</f>
        <v>0</v>
      </c>
      <c r="S116" s="350">
        <f t="shared" si="16"/>
        <v>0</v>
      </c>
      <c r="T116" s="250">
        <f>Elec_Est!T457</f>
        <v>0</v>
      </c>
    </row>
    <row r="117" spans="1:20">
      <c r="A117" s="135"/>
      <c r="B117" s="445">
        <v>9</v>
      </c>
      <c r="C117" s="4" t="s">
        <v>73</v>
      </c>
      <c r="D117" s="33" t="s">
        <v>82</v>
      </c>
      <c r="E117" s="135"/>
      <c r="F117" s="324">
        <v>570</v>
      </c>
      <c r="G117" s="53"/>
      <c r="P117" s="314">
        <v>2</v>
      </c>
      <c r="Q117" s="216">
        <v>1</v>
      </c>
      <c r="R117" s="250">
        <f>Elec_Est!R458</f>
        <v>0</v>
      </c>
      <c r="S117" s="350">
        <f t="shared" si="16"/>
        <v>0</v>
      </c>
      <c r="T117" s="250">
        <f>Elec_Est!T458</f>
        <v>0</v>
      </c>
    </row>
    <row r="118" spans="1:20">
      <c r="A118" s="135"/>
      <c r="B118" s="445">
        <v>10</v>
      </c>
      <c r="C118" s="4" t="s">
        <v>73</v>
      </c>
      <c r="D118" s="33" t="s">
        <v>83</v>
      </c>
      <c r="E118" s="135"/>
      <c r="F118" s="324">
        <v>615</v>
      </c>
      <c r="G118" s="53"/>
      <c r="P118" s="314">
        <v>2</v>
      </c>
      <c r="Q118" s="216">
        <v>1</v>
      </c>
      <c r="R118" s="250">
        <f>Elec_Est!R459</f>
        <v>44</v>
      </c>
      <c r="S118" s="350">
        <f t="shared" si="16"/>
        <v>54.92</v>
      </c>
      <c r="T118" s="250">
        <f>Elec_Est!T459</f>
        <v>2</v>
      </c>
    </row>
    <row r="119" spans="1:20">
      <c r="A119" s="135"/>
      <c r="B119" s="445" t="s">
        <v>84</v>
      </c>
      <c r="C119" s="4" t="s">
        <v>73</v>
      </c>
      <c r="D119" s="33" t="s">
        <v>85</v>
      </c>
      <c r="E119" s="135"/>
      <c r="F119" s="324">
        <v>616</v>
      </c>
      <c r="G119" s="53"/>
      <c r="P119" s="314">
        <v>2</v>
      </c>
      <c r="Q119" s="216">
        <v>1</v>
      </c>
      <c r="R119" s="250">
        <f>Elec_Est!R460</f>
        <v>163.15354509803919</v>
      </c>
      <c r="S119" s="350">
        <f t="shared" si="16"/>
        <v>67.826200000000014</v>
      </c>
      <c r="T119" s="250">
        <f>Elec_Est!T460</f>
        <v>2.4700000000000006</v>
      </c>
    </row>
    <row r="120" spans="1:20">
      <c r="A120" s="135"/>
      <c r="B120" s="445">
        <v>12</v>
      </c>
      <c r="C120" s="4" t="s">
        <v>73</v>
      </c>
      <c r="D120" s="33" t="s">
        <v>86</v>
      </c>
      <c r="E120" s="135"/>
      <c r="F120" s="324">
        <v>617</v>
      </c>
      <c r="G120" s="53"/>
      <c r="P120" s="314">
        <v>2</v>
      </c>
      <c r="Q120" s="216">
        <v>1</v>
      </c>
      <c r="R120" s="250">
        <f>Elec_Est!R461</f>
        <v>154.80000000000001</v>
      </c>
      <c r="S120" s="350">
        <f t="shared" si="16"/>
        <v>145.53800000000001</v>
      </c>
      <c r="T120" s="250">
        <f>Elec_Est!T461</f>
        <v>5.3</v>
      </c>
    </row>
    <row r="121" spans="1:20">
      <c r="A121" s="135"/>
      <c r="B121" s="445">
        <v>13</v>
      </c>
      <c r="C121" s="4" t="s">
        <v>73</v>
      </c>
      <c r="D121" s="33" t="s">
        <v>87</v>
      </c>
      <c r="E121" s="135"/>
      <c r="F121" s="324">
        <v>620</v>
      </c>
      <c r="G121" s="53"/>
      <c r="P121" s="314">
        <v>2</v>
      </c>
      <c r="Q121" s="216">
        <v>1</v>
      </c>
      <c r="R121" s="250">
        <f>Elec_Est!R462</f>
        <v>75.140000000000015</v>
      </c>
      <c r="S121" s="350">
        <f t="shared" si="16"/>
        <v>335.012</v>
      </c>
      <c r="T121" s="250">
        <f>Elec_Est!T462</f>
        <v>12.2</v>
      </c>
    </row>
    <row r="122" spans="1:20">
      <c r="A122" s="135"/>
      <c r="B122" s="445">
        <v>14</v>
      </c>
      <c r="C122" s="4" t="s">
        <v>73</v>
      </c>
      <c r="D122" s="33" t="s">
        <v>88</v>
      </c>
      <c r="E122" s="135"/>
      <c r="F122" s="324">
        <v>650</v>
      </c>
      <c r="G122" s="53"/>
      <c r="P122" s="314">
        <v>1</v>
      </c>
      <c r="Q122" s="216">
        <v>1</v>
      </c>
      <c r="R122" s="250">
        <f>Elec_Est!R463</f>
        <v>0</v>
      </c>
      <c r="S122" s="350">
        <f t="shared" si="16"/>
        <v>0</v>
      </c>
      <c r="T122" s="250">
        <f>Elec_Est!T463</f>
        <v>0</v>
      </c>
    </row>
    <row r="123" spans="1:20">
      <c r="A123" s="135"/>
      <c r="B123" s="445">
        <v>15</v>
      </c>
      <c r="C123" s="4" t="s">
        <v>73</v>
      </c>
      <c r="D123" s="33" t="s">
        <v>89</v>
      </c>
      <c r="E123" s="135"/>
      <c r="F123" s="324">
        <v>651</v>
      </c>
      <c r="G123" s="53"/>
      <c r="P123" s="314">
        <v>1</v>
      </c>
      <c r="Q123" s="216">
        <v>1</v>
      </c>
      <c r="R123" s="250">
        <f>Elec_Est!R464</f>
        <v>0</v>
      </c>
      <c r="S123" s="350">
        <f t="shared" si="16"/>
        <v>0</v>
      </c>
      <c r="T123" s="250">
        <f>Elec_Est!T464</f>
        <v>0</v>
      </c>
    </row>
    <row r="124" spans="1:20">
      <c r="A124" s="135"/>
      <c r="B124" s="445">
        <v>16</v>
      </c>
      <c r="C124" s="4" t="s">
        <v>73</v>
      </c>
      <c r="D124" s="33" t="s">
        <v>90</v>
      </c>
      <c r="E124" s="135"/>
      <c r="F124" s="324">
        <v>652</v>
      </c>
      <c r="G124" s="53"/>
      <c r="P124" s="314">
        <v>1</v>
      </c>
      <c r="Q124" s="216">
        <v>1</v>
      </c>
      <c r="R124" s="250">
        <f>Elec_Est!R465</f>
        <v>0</v>
      </c>
      <c r="S124" s="350">
        <f t="shared" si="16"/>
        <v>0</v>
      </c>
      <c r="T124" s="250">
        <f>Elec_Est!T465</f>
        <v>0</v>
      </c>
    </row>
    <row r="125" spans="1:20">
      <c r="A125" s="135"/>
      <c r="B125" s="445">
        <v>17</v>
      </c>
      <c r="C125" s="4" t="s">
        <v>73</v>
      </c>
      <c r="D125" s="33" t="s">
        <v>91</v>
      </c>
      <c r="E125" s="135"/>
      <c r="F125" s="324">
        <v>654</v>
      </c>
      <c r="G125" s="53"/>
      <c r="P125" s="314">
        <v>1</v>
      </c>
      <c r="Q125" s="216">
        <v>1</v>
      </c>
      <c r="R125" s="250">
        <f>Elec_Est!R466</f>
        <v>0</v>
      </c>
      <c r="S125" s="350">
        <f t="shared" si="16"/>
        <v>0</v>
      </c>
      <c r="T125" s="250">
        <f>Elec_Est!T466</f>
        <v>0</v>
      </c>
    </row>
    <row r="126" spans="1:20">
      <c r="A126" s="135"/>
      <c r="B126" s="445">
        <v>18</v>
      </c>
      <c r="C126" s="4" t="s">
        <v>73</v>
      </c>
      <c r="D126" s="33" t="s">
        <v>92</v>
      </c>
      <c r="E126" s="135"/>
      <c r="F126" s="324">
        <v>675</v>
      </c>
      <c r="G126" s="53"/>
      <c r="P126" s="314">
        <v>1</v>
      </c>
      <c r="Q126" s="216">
        <v>1</v>
      </c>
      <c r="R126" s="250">
        <f>Elec_Est!R467</f>
        <v>0</v>
      </c>
      <c r="S126" s="350">
        <f t="shared" si="16"/>
        <v>0</v>
      </c>
      <c r="T126" s="250">
        <f>Elec_Est!T467</f>
        <v>0</v>
      </c>
    </row>
    <row r="127" spans="1:20">
      <c r="A127" s="135"/>
      <c r="B127" s="445">
        <v>19</v>
      </c>
      <c r="C127" s="4" t="s">
        <v>73</v>
      </c>
      <c r="D127" s="33" t="s">
        <v>93</v>
      </c>
      <c r="E127" s="135"/>
      <c r="F127" s="324">
        <v>676</v>
      </c>
      <c r="G127" s="53"/>
      <c r="P127" s="314">
        <v>1</v>
      </c>
      <c r="Q127" s="216">
        <v>1</v>
      </c>
      <c r="R127" s="250">
        <f>Elec_Est!R468</f>
        <v>0</v>
      </c>
      <c r="S127" s="350">
        <f t="shared" si="16"/>
        <v>0</v>
      </c>
      <c r="T127" s="250">
        <f>Elec_Est!T468</f>
        <v>0</v>
      </c>
    </row>
    <row r="128" spans="1:20">
      <c r="A128" s="135"/>
      <c r="B128" s="445">
        <v>20</v>
      </c>
      <c r="C128" s="4" t="s">
        <v>73</v>
      </c>
      <c r="D128" s="33" t="s">
        <v>94</v>
      </c>
      <c r="E128" s="135"/>
      <c r="F128" s="324">
        <v>680</v>
      </c>
      <c r="G128" s="53"/>
      <c r="P128" s="314">
        <v>1</v>
      </c>
      <c r="Q128" s="216">
        <v>1</v>
      </c>
      <c r="R128" s="250">
        <f>Elec_Est!R469</f>
        <v>0</v>
      </c>
      <c r="S128" s="350">
        <f t="shared" si="16"/>
        <v>0</v>
      </c>
      <c r="T128" s="250">
        <f>Elec_Est!T469</f>
        <v>0</v>
      </c>
    </row>
    <row r="129" spans="1:20">
      <c r="A129" s="135"/>
      <c r="B129" s="445" t="s">
        <v>95</v>
      </c>
      <c r="C129" s="4" t="s">
        <v>73</v>
      </c>
      <c r="D129" s="33" t="s">
        <v>96</v>
      </c>
      <c r="E129" s="135"/>
      <c r="F129" s="324">
        <v>681</v>
      </c>
      <c r="G129" s="53"/>
      <c r="P129" s="314">
        <v>1</v>
      </c>
      <c r="Q129" s="216">
        <v>1</v>
      </c>
      <c r="R129" s="250">
        <f>Elec_Est!R470</f>
        <v>0</v>
      </c>
      <c r="S129" s="350">
        <f t="shared" si="16"/>
        <v>0</v>
      </c>
      <c r="T129" s="250">
        <f>Elec_Est!T470</f>
        <v>0</v>
      </c>
    </row>
    <row r="130" spans="1:20">
      <c r="A130" s="135"/>
      <c r="B130" s="445">
        <v>22</v>
      </c>
      <c r="C130" s="4" t="s">
        <v>73</v>
      </c>
      <c r="D130" s="33" t="s">
        <v>97</v>
      </c>
      <c r="E130" s="135"/>
      <c r="F130" s="324">
        <v>690</v>
      </c>
      <c r="G130" s="53"/>
      <c r="P130" s="314">
        <v>1</v>
      </c>
      <c r="Q130" s="216">
        <v>1</v>
      </c>
      <c r="R130" s="250">
        <f>Elec_Est!R471</f>
        <v>99.990000000000009</v>
      </c>
      <c r="S130" s="350">
        <f t="shared" si="16"/>
        <v>181.23600000000005</v>
      </c>
      <c r="T130" s="250">
        <f>Elec_Est!T471</f>
        <v>6.6000000000000014</v>
      </c>
    </row>
    <row r="131" spans="1:20">
      <c r="A131" s="135"/>
      <c r="B131" s="445">
        <v>23</v>
      </c>
      <c r="C131" s="4" t="s">
        <v>73</v>
      </c>
      <c r="D131" s="33" t="s">
        <v>98</v>
      </c>
      <c r="E131" s="135"/>
      <c r="F131" s="324">
        <v>700</v>
      </c>
      <c r="G131" s="53"/>
      <c r="P131" s="314">
        <v>1</v>
      </c>
      <c r="Q131" s="216">
        <v>1</v>
      </c>
      <c r="R131" s="250">
        <f>Elec_Est!R472</f>
        <v>0</v>
      </c>
      <c r="S131" s="350">
        <f t="shared" si="16"/>
        <v>0</v>
      </c>
      <c r="T131" s="250">
        <f>Elec_Est!T472</f>
        <v>0</v>
      </c>
    </row>
    <row r="132" spans="1:20">
      <c r="A132" s="135"/>
      <c r="B132" s="445">
        <v>24</v>
      </c>
      <c r="C132" s="4" t="s">
        <v>73</v>
      </c>
      <c r="D132" s="33" t="s">
        <v>99</v>
      </c>
      <c r="E132" s="135"/>
      <c r="F132" s="324">
        <v>705</v>
      </c>
      <c r="G132" s="53"/>
      <c r="P132" s="314">
        <v>3</v>
      </c>
      <c r="Q132" s="216">
        <v>1</v>
      </c>
      <c r="R132" s="250">
        <f>Elec_Est!R473</f>
        <v>0</v>
      </c>
      <c r="S132" s="350">
        <f t="shared" si="16"/>
        <v>0</v>
      </c>
      <c r="T132" s="250">
        <f>Elec_Est!T473</f>
        <v>0</v>
      </c>
    </row>
    <row r="133" spans="1:20">
      <c r="A133" s="135"/>
      <c r="B133" s="445">
        <v>25</v>
      </c>
      <c r="C133" s="4" t="s">
        <v>73</v>
      </c>
      <c r="D133" s="33" t="s">
        <v>100</v>
      </c>
      <c r="E133" s="135"/>
      <c r="F133" s="324">
        <v>706</v>
      </c>
      <c r="G133" s="53"/>
      <c r="P133" s="314">
        <v>3</v>
      </c>
      <c r="Q133" s="216">
        <v>1</v>
      </c>
      <c r="R133" s="250">
        <f>Elec_Est!R474</f>
        <v>0</v>
      </c>
      <c r="S133" s="350">
        <f t="shared" si="16"/>
        <v>0</v>
      </c>
      <c r="T133" s="250">
        <f>Elec_Est!T474</f>
        <v>0</v>
      </c>
    </row>
    <row r="134" spans="1:20">
      <c r="A134" s="135"/>
      <c r="B134" s="445">
        <v>26</v>
      </c>
      <c r="C134" s="4" t="s">
        <v>73</v>
      </c>
      <c r="D134" s="33" t="s">
        <v>101</v>
      </c>
      <c r="E134" s="135"/>
      <c r="F134" s="324">
        <v>725</v>
      </c>
      <c r="G134" s="53"/>
      <c r="P134" s="314">
        <v>3</v>
      </c>
      <c r="Q134" s="216">
        <v>1</v>
      </c>
      <c r="R134" s="250">
        <f>Elec_Est!R475</f>
        <v>0</v>
      </c>
      <c r="S134" s="350">
        <f t="shared" si="16"/>
        <v>0</v>
      </c>
      <c r="T134" s="250">
        <f>Elec_Est!T475</f>
        <v>0</v>
      </c>
    </row>
    <row r="135" spans="1:20">
      <c r="A135" s="135"/>
      <c r="B135" s="445">
        <v>27</v>
      </c>
      <c r="C135" s="4" t="s">
        <v>73</v>
      </c>
      <c r="D135" s="33" t="s">
        <v>102</v>
      </c>
      <c r="E135" s="135"/>
      <c r="F135" s="324">
        <v>726</v>
      </c>
      <c r="G135" s="53"/>
      <c r="P135" s="314">
        <v>3</v>
      </c>
      <c r="Q135" s="216">
        <v>1</v>
      </c>
      <c r="R135" s="250">
        <f>Elec_Est!R476</f>
        <v>0</v>
      </c>
      <c r="S135" s="350">
        <f t="shared" si="16"/>
        <v>0</v>
      </c>
      <c r="T135" s="250">
        <f>Elec_Est!T476</f>
        <v>0</v>
      </c>
    </row>
    <row r="136" spans="1:20">
      <c r="A136" s="135"/>
      <c r="B136" s="445">
        <v>28</v>
      </c>
      <c r="C136" s="4" t="s">
        <v>73</v>
      </c>
      <c r="D136" s="33" t="s">
        <v>103</v>
      </c>
      <c r="E136" s="135"/>
      <c r="F136" s="324">
        <v>750</v>
      </c>
      <c r="G136" s="53"/>
      <c r="P136" s="314">
        <v>3</v>
      </c>
      <c r="Q136" s="216">
        <v>1</v>
      </c>
      <c r="R136" s="250">
        <f>Elec_Est!R477</f>
        <v>0</v>
      </c>
      <c r="S136" s="350">
        <f t="shared" si="16"/>
        <v>0</v>
      </c>
      <c r="T136" s="250">
        <f>Elec_Est!T477</f>
        <v>0</v>
      </c>
    </row>
    <row r="137" spans="1:20">
      <c r="A137" s="135"/>
      <c r="B137" s="445">
        <v>29</v>
      </c>
      <c r="C137" s="4" t="s">
        <v>73</v>
      </c>
      <c r="D137" s="33" t="s">
        <v>104</v>
      </c>
      <c r="E137" s="135"/>
      <c r="F137" s="324">
        <v>751</v>
      </c>
      <c r="G137" s="53"/>
      <c r="P137" s="314">
        <v>3</v>
      </c>
      <c r="Q137" s="216">
        <v>1</v>
      </c>
      <c r="R137" s="250">
        <f>Elec_Est!R478</f>
        <v>0</v>
      </c>
      <c r="S137" s="350">
        <f t="shared" si="16"/>
        <v>0</v>
      </c>
      <c r="T137" s="250">
        <f>Elec_Est!T478</f>
        <v>0</v>
      </c>
    </row>
    <row r="138" spans="1:20">
      <c r="A138" s="135"/>
      <c r="B138" s="445">
        <v>30</v>
      </c>
      <c r="C138" s="4" t="s">
        <v>73</v>
      </c>
      <c r="D138" s="33" t="s">
        <v>105</v>
      </c>
      <c r="E138" s="135"/>
      <c r="F138" s="324">
        <v>752</v>
      </c>
      <c r="G138" s="53"/>
      <c r="P138" s="314">
        <v>3</v>
      </c>
      <c r="Q138" s="216">
        <v>1</v>
      </c>
      <c r="R138" s="250">
        <f>Elec_Est!R479</f>
        <v>0</v>
      </c>
      <c r="S138" s="350">
        <f t="shared" si="16"/>
        <v>0</v>
      </c>
      <c r="T138" s="250">
        <f>Elec_Est!T479</f>
        <v>0</v>
      </c>
    </row>
    <row r="139" spans="1:20">
      <c r="A139" s="135"/>
      <c r="B139" s="445" t="s">
        <v>106</v>
      </c>
      <c r="C139" s="4" t="s">
        <v>73</v>
      </c>
      <c r="D139" s="530" t="s">
        <v>254</v>
      </c>
      <c r="E139" s="135"/>
      <c r="F139" s="324">
        <v>753</v>
      </c>
      <c r="G139" s="53"/>
      <c r="P139" s="314">
        <v>3</v>
      </c>
      <c r="Q139" s="216">
        <v>1</v>
      </c>
      <c r="R139" s="250">
        <f>Elec_Est!R480</f>
        <v>0</v>
      </c>
      <c r="S139" s="350">
        <f t="shared" si="16"/>
        <v>0</v>
      </c>
      <c r="T139" s="250">
        <f>Elec_Est!T480</f>
        <v>0</v>
      </c>
    </row>
    <row r="140" spans="1:20">
      <c r="A140" s="135"/>
      <c r="B140" s="445">
        <v>32</v>
      </c>
      <c r="C140" s="4" t="s">
        <v>73</v>
      </c>
      <c r="D140" s="33" t="s">
        <v>107</v>
      </c>
      <c r="E140" s="135"/>
      <c r="F140" s="324">
        <v>770</v>
      </c>
      <c r="G140" s="53"/>
      <c r="P140" s="314">
        <v>3</v>
      </c>
      <c r="Q140" s="216">
        <v>1</v>
      </c>
      <c r="R140" s="250">
        <f>Elec_Est!R481</f>
        <v>0</v>
      </c>
      <c r="S140" s="350">
        <f t="shared" si="16"/>
        <v>0</v>
      </c>
      <c r="T140" s="250">
        <f>Elec_Est!T481</f>
        <v>0</v>
      </c>
    </row>
    <row r="141" spans="1:20">
      <c r="A141" s="135"/>
      <c r="B141" s="445">
        <v>33</v>
      </c>
      <c r="C141" s="4" t="s">
        <v>73</v>
      </c>
      <c r="D141" s="33" t="s">
        <v>108</v>
      </c>
      <c r="E141" s="135"/>
      <c r="F141" s="324">
        <v>790</v>
      </c>
      <c r="G141" s="53"/>
      <c r="P141" s="314">
        <v>3</v>
      </c>
      <c r="Q141" s="216">
        <v>1</v>
      </c>
      <c r="R141" s="250">
        <f>Elec_Est!R482</f>
        <v>0</v>
      </c>
      <c r="S141" s="350">
        <f t="shared" si="16"/>
        <v>0</v>
      </c>
      <c r="T141" s="250">
        <f>Elec_Est!T482</f>
        <v>0</v>
      </c>
    </row>
    <row r="142" spans="1:20">
      <c r="A142" s="135"/>
      <c r="B142" s="445">
        <v>34</v>
      </c>
      <c r="C142" s="4" t="s">
        <v>73</v>
      </c>
      <c r="D142" s="33" t="s">
        <v>109</v>
      </c>
      <c r="E142" s="135"/>
      <c r="F142" s="324">
        <v>791</v>
      </c>
      <c r="G142" s="53"/>
      <c r="P142" s="314">
        <v>3</v>
      </c>
      <c r="Q142" s="216">
        <v>1</v>
      </c>
      <c r="R142" s="250">
        <f>Elec_Est!R483</f>
        <v>0</v>
      </c>
      <c r="S142" s="350">
        <f t="shared" si="16"/>
        <v>0</v>
      </c>
      <c r="T142" s="250">
        <f>Elec_Est!T483</f>
        <v>0</v>
      </c>
    </row>
    <row r="143" spans="1:20">
      <c r="A143" s="135"/>
      <c r="B143" s="445">
        <v>35</v>
      </c>
      <c r="C143" s="4" t="s">
        <v>73</v>
      </c>
      <c r="D143" s="33" t="s">
        <v>110</v>
      </c>
      <c r="E143" s="135"/>
      <c r="F143" s="324">
        <v>810</v>
      </c>
      <c r="G143" s="53"/>
      <c r="P143" s="314">
        <v>3</v>
      </c>
      <c r="Q143" s="216">
        <v>1</v>
      </c>
      <c r="R143" s="250">
        <f>Elec_Est!R484</f>
        <v>0</v>
      </c>
      <c r="S143" s="350">
        <f t="shared" si="16"/>
        <v>0</v>
      </c>
      <c r="T143" s="250">
        <f>Elec_Est!T484</f>
        <v>0</v>
      </c>
    </row>
    <row r="144" spans="1:20">
      <c r="A144" s="135"/>
      <c r="B144" s="445">
        <v>36</v>
      </c>
      <c r="C144" s="4" t="s">
        <v>73</v>
      </c>
      <c r="D144" s="33" t="s">
        <v>111</v>
      </c>
      <c r="E144" s="135"/>
      <c r="F144" s="324">
        <v>815</v>
      </c>
      <c r="G144" s="53"/>
      <c r="P144" s="314">
        <v>3</v>
      </c>
      <c r="Q144" s="216">
        <v>1</v>
      </c>
      <c r="R144" s="250">
        <f>Elec_Est!R485</f>
        <v>0</v>
      </c>
      <c r="S144" s="350">
        <f t="shared" si="16"/>
        <v>0</v>
      </c>
      <c r="T144" s="250">
        <f>Elec_Est!T485</f>
        <v>0</v>
      </c>
    </row>
    <row r="145" spans="1:20">
      <c r="A145" s="135"/>
      <c r="B145" s="445">
        <v>37</v>
      </c>
      <c r="C145" s="4" t="s">
        <v>73</v>
      </c>
      <c r="D145" s="33" t="s">
        <v>112</v>
      </c>
      <c r="E145" s="135"/>
      <c r="F145" s="324">
        <v>820</v>
      </c>
      <c r="G145" s="53"/>
      <c r="P145" s="314">
        <v>2</v>
      </c>
      <c r="Q145" s="216">
        <v>1</v>
      </c>
      <c r="R145" s="250">
        <f>Elec_Est!R486</f>
        <v>0</v>
      </c>
      <c r="S145" s="350">
        <f t="shared" si="16"/>
        <v>0</v>
      </c>
      <c r="T145" s="250">
        <f>Elec_Est!T486</f>
        <v>0</v>
      </c>
    </row>
    <row r="146" spans="1:20">
      <c r="A146" s="135"/>
      <c r="B146" s="445">
        <v>38</v>
      </c>
      <c r="C146" s="4" t="s">
        <v>73</v>
      </c>
      <c r="D146" s="33" t="s">
        <v>113</v>
      </c>
      <c r="E146" s="135"/>
      <c r="F146" s="324">
        <v>821</v>
      </c>
      <c r="G146" s="53"/>
      <c r="P146" s="314">
        <v>3</v>
      </c>
      <c r="Q146" s="216">
        <v>1</v>
      </c>
      <c r="R146" s="250">
        <f>Elec_Est!R487</f>
        <v>0</v>
      </c>
      <c r="S146" s="350">
        <f t="shared" si="16"/>
        <v>0</v>
      </c>
      <c r="T146" s="250">
        <f>Elec_Est!T487</f>
        <v>0</v>
      </c>
    </row>
    <row r="147" spans="1:20">
      <c r="A147" s="135"/>
      <c r="B147" s="445">
        <v>39</v>
      </c>
      <c r="C147" s="4" t="s">
        <v>73</v>
      </c>
      <c r="D147" s="33" t="s">
        <v>114</v>
      </c>
      <c r="E147" s="135"/>
      <c r="F147" s="324">
        <v>835</v>
      </c>
      <c r="G147" s="53"/>
      <c r="P147" s="314">
        <v>3</v>
      </c>
      <c r="Q147" s="216">
        <v>1</v>
      </c>
      <c r="R147" s="250">
        <f>Elec_Est!R488</f>
        <v>0</v>
      </c>
      <c r="S147" s="350">
        <f t="shared" si="16"/>
        <v>0</v>
      </c>
      <c r="T147" s="250">
        <f>Elec_Est!T488</f>
        <v>0</v>
      </c>
    </row>
    <row r="148" spans="1:20">
      <c r="A148" s="135"/>
      <c r="B148" s="445">
        <v>40</v>
      </c>
      <c r="C148" s="4" t="s">
        <v>73</v>
      </c>
      <c r="D148" s="33" t="s">
        <v>115</v>
      </c>
      <c r="E148" s="135"/>
      <c r="F148" s="324">
        <v>845</v>
      </c>
      <c r="G148" s="53"/>
      <c r="P148" s="314">
        <v>2</v>
      </c>
      <c r="Q148" s="216">
        <v>1</v>
      </c>
      <c r="R148" s="250">
        <f>Elec_Est!R489</f>
        <v>0</v>
      </c>
      <c r="S148" s="350">
        <f t="shared" si="16"/>
        <v>0</v>
      </c>
      <c r="T148" s="250">
        <f>Elec_Est!T489</f>
        <v>0</v>
      </c>
    </row>
    <row r="149" spans="1:20">
      <c r="A149" s="135"/>
      <c r="B149" s="445" t="s">
        <v>116</v>
      </c>
      <c r="C149" s="4" t="s">
        <v>73</v>
      </c>
      <c r="D149" s="33" t="s">
        <v>117</v>
      </c>
      <c r="E149" s="135"/>
      <c r="F149" s="324">
        <v>855</v>
      </c>
      <c r="G149" s="53"/>
      <c r="P149" s="314">
        <v>3</v>
      </c>
      <c r="Q149" s="216">
        <v>1</v>
      </c>
      <c r="R149" s="250">
        <f>Elec_Est!R490</f>
        <v>0</v>
      </c>
      <c r="S149" s="350">
        <f t="shared" si="16"/>
        <v>0</v>
      </c>
      <c r="T149" s="250">
        <f>Elec_Est!T490</f>
        <v>0</v>
      </c>
    </row>
    <row r="150" spans="1:20">
      <c r="A150" s="135"/>
      <c r="B150" s="445">
        <v>42</v>
      </c>
      <c r="C150" s="4" t="s">
        <v>73</v>
      </c>
      <c r="D150" s="33" t="s">
        <v>118</v>
      </c>
      <c r="E150" s="135"/>
      <c r="F150" s="324">
        <v>856</v>
      </c>
      <c r="G150" s="53"/>
      <c r="P150" s="314">
        <v>3</v>
      </c>
      <c r="Q150" s="216">
        <v>1</v>
      </c>
      <c r="R150" s="250">
        <f>Elec_Est!R491</f>
        <v>0</v>
      </c>
      <c r="S150" s="350">
        <f t="shared" si="16"/>
        <v>0</v>
      </c>
      <c r="T150" s="250">
        <f>Elec_Est!T491</f>
        <v>0</v>
      </c>
    </row>
    <row r="151" spans="1:20">
      <c r="A151" s="135"/>
      <c r="B151" s="445">
        <v>43</v>
      </c>
      <c r="C151" s="4" t="s">
        <v>73</v>
      </c>
      <c r="D151" s="33" t="s">
        <v>235</v>
      </c>
      <c r="E151" s="135"/>
      <c r="F151" s="324">
        <v>857</v>
      </c>
      <c r="G151" s="53"/>
      <c r="P151" s="314">
        <v>4</v>
      </c>
      <c r="Q151" s="216">
        <v>1</v>
      </c>
      <c r="R151" s="250">
        <f>Elec_Est!R492</f>
        <v>0</v>
      </c>
      <c r="S151" s="350">
        <f t="shared" si="16"/>
        <v>0</v>
      </c>
      <c r="T151" s="250">
        <f>Elec_Est!T492</f>
        <v>0</v>
      </c>
    </row>
    <row r="152" spans="1:20">
      <c r="A152" s="135"/>
      <c r="B152" s="445">
        <v>44</v>
      </c>
      <c r="C152" s="4" t="s">
        <v>73</v>
      </c>
      <c r="D152" s="33" t="s">
        <v>119</v>
      </c>
      <c r="E152" s="135"/>
      <c r="F152" s="324">
        <v>858</v>
      </c>
      <c r="G152" s="53"/>
      <c r="P152" s="314">
        <v>3</v>
      </c>
      <c r="Q152" s="216">
        <v>1</v>
      </c>
      <c r="R152" s="250">
        <f>Elec_Est!R493</f>
        <v>0</v>
      </c>
      <c r="S152" s="350">
        <f t="shared" si="16"/>
        <v>0</v>
      </c>
      <c r="T152" s="250">
        <f>Elec_Est!T493</f>
        <v>0</v>
      </c>
    </row>
    <row r="153" spans="1:20">
      <c r="A153" s="135"/>
      <c r="B153" s="445">
        <v>45</v>
      </c>
      <c r="C153" s="4" t="s">
        <v>73</v>
      </c>
      <c r="D153" s="33" t="s">
        <v>120</v>
      </c>
      <c r="E153" s="135"/>
      <c r="F153" s="324">
        <v>865</v>
      </c>
      <c r="G153" s="53"/>
      <c r="P153" s="314">
        <v>3</v>
      </c>
      <c r="Q153" s="216">
        <v>1</v>
      </c>
      <c r="R153" s="250">
        <f>Elec_Est!R494</f>
        <v>0</v>
      </c>
      <c r="S153" s="350">
        <f t="shared" si="16"/>
        <v>0</v>
      </c>
      <c r="T153" s="250">
        <f>Elec_Est!T494</f>
        <v>0</v>
      </c>
    </row>
    <row r="154" spans="1:20">
      <c r="A154" s="135"/>
      <c r="B154" s="445">
        <v>46</v>
      </c>
      <c r="C154" s="4" t="s">
        <v>73</v>
      </c>
      <c r="D154" s="33" t="s">
        <v>121</v>
      </c>
      <c r="E154" s="135"/>
      <c r="F154" s="324">
        <v>870</v>
      </c>
      <c r="G154" s="53"/>
      <c r="P154" s="314">
        <v>4</v>
      </c>
      <c r="Q154" s="216">
        <v>1</v>
      </c>
      <c r="R154" s="250">
        <f>Elec_Est!R495</f>
        <v>0</v>
      </c>
      <c r="S154" s="350">
        <f t="shared" si="16"/>
        <v>0</v>
      </c>
      <c r="T154" s="250">
        <f>Elec_Est!T495</f>
        <v>0</v>
      </c>
    </row>
    <row r="155" spans="1:20">
      <c r="A155" s="135"/>
      <c r="B155" s="445">
        <v>47</v>
      </c>
      <c r="C155" s="4" t="s">
        <v>73</v>
      </c>
      <c r="D155" s="33" t="s">
        <v>122</v>
      </c>
      <c r="E155" s="135"/>
      <c r="F155" s="324">
        <v>875</v>
      </c>
      <c r="G155" s="53"/>
      <c r="P155" s="314">
        <v>1</v>
      </c>
      <c r="Q155" s="216">
        <v>1</v>
      </c>
      <c r="R155" s="250">
        <f>Elec_Est!R496</f>
        <v>2.5500000000000003</v>
      </c>
      <c r="S155" s="350">
        <f t="shared" si="16"/>
        <v>0</v>
      </c>
      <c r="T155" s="250">
        <f>Elec_Est!T496</f>
        <v>0</v>
      </c>
    </row>
    <row r="156" spans="1:20">
      <c r="A156" s="135"/>
      <c r="B156" s="445">
        <v>48</v>
      </c>
      <c r="C156" s="4" t="s">
        <v>73</v>
      </c>
      <c r="D156" s="33" t="s">
        <v>123</v>
      </c>
      <c r="E156" s="135"/>
      <c r="F156" s="324">
        <v>880</v>
      </c>
      <c r="G156" s="53"/>
      <c r="P156" s="314">
        <v>3</v>
      </c>
      <c r="Q156" s="216">
        <v>1</v>
      </c>
      <c r="R156" s="250">
        <f>Elec_Est!R497</f>
        <v>0</v>
      </c>
      <c r="S156" s="350">
        <f t="shared" si="16"/>
        <v>0</v>
      </c>
      <c r="T156" s="250">
        <f>Elec_Est!T497</f>
        <v>0</v>
      </c>
    </row>
    <row r="157" spans="1:20">
      <c r="A157" s="135"/>
      <c r="B157" s="445">
        <v>49</v>
      </c>
      <c r="C157" s="4" t="s">
        <v>73</v>
      </c>
      <c r="D157" s="33" t="s">
        <v>124</v>
      </c>
      <c r="E157" s="135"/>
      <c r="F157" s="324">
        <v>885</v>
      </c>
      <c r="G157" s="53"/>
      <c r="P157" s="314">
        <v>4</v>
      </c>
      <c r="Q157" s="216">
        <v>1</v>
      </c>
      <c r="R157" s="250">
        <f>Elec_Est!R498</f>
        <v>0</v>
      </c>
      <c r="S157" s="350">
        <f t="shared" si="16"/>
        <v>0</v>
      </c>
      <c r="T157" s="250">
        <f>Elec_Est!T498</f>
        <v>0</v>
      </c>
    </row>
    <row r="158" spans="1:20">
      <c r="A158" s="135"/>
      <c r="B158" s="445">
        <v>50</v>
      </c>
      <c r="C158" s="4" t="s">
        <v>73</v>
      </c>
      <c r="D158" s="33" t="s">
        <v>68</v>
      </c>
      <c r="E158" s="135"/>
      <c r="F158" s="324">
        <v>900</v>
      </c>
      <c r="G158" s="53"/>
      <c r="P158" s="314">
        <v>3</v>
      </c>
      <c r="Q158" s="216">
        <v>1</v>
      </c>
      <c r="R158" s="250">
        <f>Elec_Est!R499</f>
        <v>0</v>
      </c>
      <c r="S158" s="350">
        <f t="shared" si="16"/>
        <v>205.95000000000002</v>
      </c>
      <c r="T158" s="250">
        <f>Elec_Est!T499</f>
        <v>7.5</v>
      </c>
    </row>
    <row r="159" spans="1:20">
      <c r="A159" s="135"/>
      <c r="B159" s="445" t="s">
        <v>125</v>
      </c>
      <c r="C159" s="4" t="s">
        <v>73</v>
      </c>
      <c r="D159" s="33" t="s">
        <v>126</v>
      </c>
      <c r="E159" s="135"/>
      <c r="F159" s="324">
        <v>901</v>
      </c>
      <c r="G159" s="53"/>
      <c r="P159" s="314">
        <v>1</v>
      </c>
      <c r="Q159" s="216">
        <v>1</v>
      </c>
      <c r="R159" s="250">
        <f>Elec_Est!R500</f>
        <v>0</v>
      </c>
      <c r="S159" s="350">
        <f t="shared" si="16"/>
        <v>0</v>
      </c>
      <c r="T159" s="250">
        <f>Elec_Est!T500</f>
        <v>0</v>
      </c>
    </row>
    <row r="160" spans="1:20">
      <c r="A160" s="135"/>
      <c r="B160" s="445">
        <v>52</v>
      </c>
      <c r="C160" s="4" t="s">
        <v>73</v>
      </c>
      <c r="D160" s="33" t="s">
        <v>127</v>
      </c>
      <c r="E160" s="135"/>
      <c r="F160" s="324">
        <v>902</v>
      </c>
      <c r="G160" s="53"/>
      <c r="P160" s="314">
        <v>3</v>
      </c>
      <c r="Q160" s="216">
        <v>1</v>
      </c>
      <c r="R160" s="250">
        <f>Elec_Est!R501</f>
        <v>0</v>
      </c>
      <c r="S160" s="350">
        <f t="shared" si="16"/>
        <v>0</v>
      </c>
      <c r="T160" s="250">
        <f>Elec_Est!T501</f>
        <v>0</v>
      </c>
    </row>
    <row r="161" spans="1:28">
      <c r="A161" s="135"/>
      <c r="B161" s="445">
        <v>53</v>
      </c>
      <c r="C161" s="4" t="s">
        <v>73</v>
      </c>
      <c r="D161" s="57" t="s">
        <v>128</v>
      </c>
      <c r="E161" s="135"/>
      <c r="F161" s="324">
        <v>960</v>
      </c>
      <c r="G161" s="53"/>
      <c r="P161" s="314">
        <v>4</v>
      </c>
      <c r="Q161" s="216">
        <v>1</v>
      </c>
      <c r="R161" s="250">
        <f>Elec_Est!R502</f>
        <v>0</v>
      </c>
      <c r="S161" s="350">
        <f t="shared" si="16"/>
        <v>0</v>
      </c>
      <c r="T161" s="250">
        <f>Elec_Est!T502</f>
        <v>0</v>
      </c>
    </row>
    <row r="162" spans="1:28">
      <c r="A162" s="135"/>
      <c r="B162" s="445">
        <v>54</v>
      </c>
      <c r="C162" s="4" t="s">
        <v>73</v>
      </c>
      <c r="D162" s="57" t="s">
        <v>129</v>
      </c>
      <c r="E162" s="135"/>
      <c r="F162" s="324">
        <v>961</v>
      </c>
      <c r="G162" s="53"/>
      <c r="P162" s="314">
        <v>3</v>
      </c>
      <c r="Q162" s="216">
        <v>1</v>
      </c>
      <c r="R162" s="250">
        <f>Elec_Est!R503</f>
        <v>0</v>
      </c>
      <c r="S162" s="350">
        <f t="shared" si="16"/>
        <v>0</v>
      </c>
      <c r="T162" s="250">
        <f>Elec_Est!T503</f>
        <v>0</v>
      </c>
    </row>
    <row r="163" spans="1:28">
      <c r="A163" s="135"/>
      <c r="B163" s="445">
        <v>55</v>
      </c>
      <c r="C163" s="4" t="s">
        <v>73</v>
      </c>
      <c r="D163" s="57" t="s">
        <v>130</v>
      </c>
      <c r="E163" s="135"/>
      <c r="F163" s="324">
        <v>962</v>
      </c>
      <c r="G163" s="53"/>
      <c r="P163" s="314">
        <v>1</v>
      </c>
      <c r="Q163" s="216">
        <v>1</v>
      </c>
      <c r="R163" s="250">
        <f>Elec_Est!R504</f>
        <v>0</v>
      </c>
      <c r="S163" s="350">
        <f t="shared" si="16"/>
        <v>0</v>
      </c>
      <c r="T163" s="250">
        <f>Elec_Est!T504</f>
        <v>0</v>
      </c>
    </row>
    <row r="164" spans="1:28">
      <c r="A164" s="135"/>
      <c r="B164" s="445">
        <v>56</v>
      </c>
      <c r="C164" s="4" t="s">
        <v>73</v>
      </c>
      <c r="D164" s="217" t="s">
        <v>131</v>
      </c>
      <c r="E164" s="135"/>
      <c r="F164" s="324">
        <v>970</v>
      </c>
      <c r="G164" s="218"/>
      <c r="H164" s="47"/>
      <c r="I164" s="47"/>
      <c r="J164" s="219"/>
      <c r="K164" s="219"/>
      <c r="L164" s="219"/>
      <c r="M164" s="219"/>
      <c r="N164" s="219"/>
      <c r="O164" s="219"/>
      <c r="P164" s="315">
        <v>4</v>
      </c>
      <c r="Q164" s="220">
        <v>1</v>
      </c>
      <c r="R164" s="250">
        <f>Elec_Est!R505</f>
        <v>0</v>
      </c>
      <c r="S164" s="350">
        <f t="shared" si="16"/>
        <v>0</v>
      </c>
      <c r="T164" s="250">
        <f>Elec_Est!T505</f>
        <v>0</v>
      </c>
    </row>
    <row r="165" spans="1:28" ht="13.8" thickBot="1">
      <c r="A165" s="135"/>
      <c r="B165" s="323"/>
      <c r="C165" s="221"/>
      <c r="D165" s="222" t="s">
        <v>168</v>
      </c>
      <c r="E165" s="223"/>
      <c r="F165" s="75"/>
      <c r="G165" s="62"/>
      <c r="H165" s="62"/>
      <c r="I165" s="62"/>
      <c r="J165" s="224"/>
      <c r="K165" s="224"/>
      <c r="L165" s="224"/>
      <c r="M165" s="224"/>
      <c r="N165" s="224"/>
      <c r="O165" s="224"/>
      <c r="P165" s="224"/>
      <c r="Q165" s="225"/>
      <c r="R165" s="249">
        <f>SUM(R109:R164)</f>
        <v>1920.3635450980391</v>
      </c>
      <c r="S165" s="249">
        <f>SUM(S109:S164)</f>
        <v>1237.6222000000002</v>
      </c>
      <c r="T165" s="249">
        <f>SUM(T109:T164)</f>
        <v>45.07</v>
      </c>
    </row>
    <row r="166" spans="1:28" ht="14.4" hidden="1" thickTop="1">
      <c r="A166" s="52"/>
      <c r="B166" s="312"/>
      <c r="C166" s="4" t="s">
        <v>73</v>
      </c>
      <c r="D166" s="68"/>
      <c r="F166" s="69" t="s">
        <v>151</v>
      </c>
      <c r="G166" s="70"/>
      <c r="H166" s="33">
        <v>1</v>
      </c>
      <c r="O166" s="54"/>
      <c r="R166" s="320">
        <f>SUMIF($P109:$P164,1,R109:R164)</f>
        <v>102.54</v>
      </c>
      <c r="T166" s="318">
        <f>SUMIF($P109:$P164,1,T109:T164)</f>
        <v>14.600000000000001</v>
      </c>
      <c r="V166" s="283"/>
      <c r="W166" s="283"/>
      <c r="X166" s="283"/>
      <c r="Y166" s="283"/>
      <c r="Z166" s="283"/>
      <c r="AA166" s="283"/>
      <c r="AB166" s="283"/>
    </row>
    <row r="167" spans="1:28" ht="13.8" hidden="1">
      <c r="A167" s="52"/>
      <c r="B167" s="161"/>
      <c r="C167" s="4" t="s">
        <v>73</v>
      </c>
      <c r="D167" s="68"/>
      <c r="F167" s="69" t="s">
        <v>152</v>
      </c>
      <c r="G167" s="70"/>
      <c r="H167" s="33">
        <v>2</v>
      </c>
      <c r="O167" s="54"/>
      <c r="R167" s="320">
        <f>SUMIF($P109:$P164,2,R109:R164)</f>
        <v>1817.8235450980392</v>
      </c>
      <c r="T167" s="319">
        <f>SUMIF($P109:$P164,2,T109:T164)</f>
        <v>22.97</v>
      </c>
      <c r="V167" s="283"/>
      <c r="W167" s="283"/>
      <c r="X167" s="283"/>
      <c r="Y167" s="283"/>
      <c r="Z167" s="283"/>
      <c r="AA167" s="283"/>
      <c r="AB167" s="283"/>
    </row>
    <row r="168" spans="1:28" ht="13.8" hidden="1">
      <c r="A168" s="52"/>
      <c r="B168" s="161"/>
      <c r="C168" s="4" t="s">
        <v>73</v>
      </c>
      <c r="D168" s="68"/>
      <c r="F168" s="69" t="s">
        <v>153</v>
      </c>
      <c r="G168" s="70"/>
      <c r="H168" s="33">
        <v>2</v>
      </c>
      <c r="O168" s="54"/>
      <c r="R168" s="320">
        <f>SUMIF($P109:$P164,3,R109:R164)</f>
        <v>0</v>
      </c>
      <c r="T168" s="319">
        <f>SUMIF($P109:$P164,3,T109:T164)</f>
        <v>7.5</v>
      </c>
      <c r="V168" s="283"/>
      <c r="W168" s="283"/>
      <c r="X168" s="283"/>
      <c r="Y168" s="283"/>
      <c r="Z168" s="283"/>
      <c r="AA168" s="283"/>
      <c r="AB168" s="283"/>
    </row>
    <row r="169" spans="1:28" ht="13.8" hidden="1">
      <c r="A169" s="52"/>
      <c r="B169" s="161"/>
      <c r="C169" s="4" t="s">
        <v>73</v>
      </c>
      <c r="D169" s="68"/>
      <c r="F169" s="69" t="s">
        <v>154</v>
      </c>
      <c r="G169" s="70"/>
      <c r="H169" s="33">
        <v>3</v>
      </c>
      <c r="O169" s="54"/>
      <c r="R169" s="320">
        <f>SUMIF($P109:$P164,4,R109:R164)</f>
        <v>0</v>
      </c>
      <c r="T169" s="319">
        <f>SUMIF($P109:$P164,4,T109:T164)</f>
        <v>0</v>
      </c>
      <c r="V169" s="283"/>
      <c r="W169" s="283"/>
      <c r="X169" s="283"/>
      <c r="Y169" s="283"/>
      <c r="Z169" s="283"/>
      <c r="AA169" s="283"/>
      <c r="AB169" s="283"/>
    </row>
    <row r="170" spans="1:28" ht="14.4" hidden="1" thickBot="1">
      <c r="A170" s="52"/>
      <c r="B170" s="313"/>
      <c r="C170" s="60" t="s">
        <v>73</v>
      </c>
      <c r="D170" s="72"/>
      <c r="E170" s="62"/>
      <c r="F170" s="73" t="s">
        <v>155</v>
      </c>
      <c r="G170" s="74"/>
      <c r="H170" s="75"/>
      <c r="I170" s="75"/>
      <c r="J170" s="75"/>
      <c r="K170" s="75"/>
      <c r="L170" s="75"/>
      <c r="M170" s="75"/>
      <c r="N170" s="75"/>
      <c r="O170" s="76"/>
      <c r="P170" s="75"/>
      <c r="Q170" s="75"/>
      <c r="R170" s="321">
        <f>SUM(R166:R169)</f>
        <v>1920.3635450980391</v>
      </c>
      <c r="S170" s="78"/>
      <c r="T170" s="322">
        <f>SUM(T166:T169)</f>
        <v>45.07</v>
      </c>
      <c r="V170" s="283"/>
      <c r="W170" s="283"/>
      <c r="X170" s="283"/>
      <c r="Y170" s="283"/>
      <c r="Z170" s="283"/>
      <c r="AA170" s="283"/>
      <c r="AB170" s="283"/>
    </row>
    <row r="171" spans="1:28" ht="14.4" thickTop="1">
      <c r="B171" s="33"/>
      <c r="E171" s="117"/>
      <c r="F171" s="118"/>
      <c r="G171" s="102"/>
      <c r="H171" s="102"/>
      <c r="I171" s="102"/>
      <c r="J171" s="102"/>
      <c r="K171" s="102"/>
      <c r="L171" s="102"/>
      <c r="M171" s="102"/>
      <c r="N171" s="102"/>
      <c r="O171" s="102"/>
      <c r="P171" s="102"/>
      <c r="Q171" s="118"/>
      <c r="R171" s="118"/>
      <c r="S171" s="118"/>
      <c r="T171" s="118"/>
    </row>
    <row r="172" spans="1:28">
      <c r="C172" s="32"/>
      <c r="D172" s="32"/>
      <c r="E172" s="32"/>
      <c r="F172" s="32"/>
      <c r="G172" s="32"/>
      <c r="J172" s="32"/>
      <c r="K172" s="32"/>
      <c r="L172" s="32"/>
      <c r="M172" s="32"/>
      <c r="N172" s="32"/>
      <c r="O172" s="32"/>
      <c r="P172" s="32"/>
      <c r="Q172" s="32"/>
      <c r="R172" s="32"/>
      <c r="S172" s="32"/>
      <c r="T172" s="32"/>
    </row>
    <row r="173" spans="1:28">
      <c r="D173" s="33" t="s">
        <v>58</v>
      </c>
      <c r="E173" s="8"/>
      <c r="F173" s="112"/>
      <c r="G173" s="2"/>
      <c r="S173" s="31"/>
      <c r="T173" s="31"/>
    </row>
    <row r="174" spans="1:28" ht="15.6">
      <c r="D174" s="178" t="s">
        <v>255</v>
      </c>
    </row>
    <row r="175" spans="1:28">
      <c r="D175" s="226">
        <f ca="1">D95</f>
        <v>46114.361279166667</v>
      </c>
    </row>
    <row r="176" spans="1:28">
      <c r="A176" s="32"/>
    </row>
  </sheetData>
  <sheetProtection formatCells="0" formatColumns="0" formatRows="0" insertHyperlinks="0"/>
  <mergeCells count="14">
    <mergeCell ref="B18:E18"/>
    <mergeCell ref="D84:E84"/>
    <mergeCell ref="B57:T57"/>
    <mergeCell ref="B58:T58"/>
    <mergeCell ref="A55:B55"/>
    <mergeCell ref="A48:S48"/>
    <mergeCell ref="Q18:T18"/>
    <mergeCell ref="A47:S47"/>
    <mergeCell ref="B19:E19"/>
    <mergeCell ref="D1:E1"/>
    <mergeCell ref="D2:E2"/>
    <mergeCell ref="D3:E3"/>
    <mergeCell ref="B16:E17"/>
    <mergeCell ref="B14:E15"/>
  </mergeCells>
  <phoneticPr fontId="27" type="noConversion"/>
  <conditionalFormatting sqref="B11">
    <cfRule type="cellIs" dxfId="23" priority="15" stopIfTrue="1" operator="equal">
      <formula>"CHECKLIST IS INCOMPLETE !"</formula>
    </cfRule>
    <cfRule type="cellIs" dxfId="22" priority="16" stopIfTrue="1" operator="equal">
      <formula>"CHECKLIST OK"</formula>
    </cfRule>
  </conditionalFormatting>
  <conditionalFormatting sqref="B14">
    <cfRule type="cellIs" dxfId="21" priority="7" stopIfTrue="1" operator="equal">
      <formula>"QUOTE ISSUED WITH                    VAT INCLUDED"</formula>
    </cfRule>
    <cfRule type="cellIs" dxfId="20" priority="8" stopIfTrue="1" operator="notEqual">
      <formula>"QUOTE ISSUED WITH                    VAT INCLUDED"</formula>
    </cfRule>
  </conditionalFormatting>
  <conditionalFormatting sqref="B35">
    <cfRule type="cellIs" dxfId="19" priority="19" stopIfTrue="1" operator="notEqual">
      <formula>ROUND($E$35,2)</formula>
    </cfRule>
  </conditionalFormatting>
  <conditionalFormatting sqref="B18:E18">
    <cfRule type="cellIs" dxfId="18" priority="17" stopIfTrue="1" operator="equal">
      <formula>"CHECKLIST INCOMPLETE !"</formula>
    </cfRule>
  </conditionalFormatting>
  <conditionalFormatting sqref="D6 E37">
    <cfRule type="cellIs" dxfId="17" priority="1" stopIfTrue="1" operator="equal">
      <formula>"VAT INCLUDED"</formula>
    </cfRule>
    <cfRule type="cellIs" dxfId="16" priority="2" stopIfTrue="1" operator="equal">
      <formula>"VAT EXCL."</formula>
    </cfRule>
  </conditionalFormatting>
  <conditionalFormatting sqref="E24:E32">
    <cfRule type="cellIs" dxfId="15" priority="18" stopIfTrue="1" operator="equal">
      <formula>0</formula>
    </cfRule>
  </conditionalFormatting>
  <conditionalFormatting sqref="E36">
    <cfRule type="cellIs" dxfId="14" priority="10" stopIfTrue="1" operator="equal">
      <formula>"Final Sell Curr?"</formula>
    </cfRule>
  </conditionalFormatting>
  <conditionalFormatting sqref="F11">
    <cfRule type="cellIs" dxfId="13" priority="14" stopIfTrue="1" operator="equal">
      <formula>"CHECKLIST IS STILL INCOMPLETE"</formula>
    </cfRule>
  </conditionalFormatting>
  <conditionalFormatting sqref="Q1">
    <cfRule type="cellIs" dxfId="12" priority="9" stopIfTrue="1" operator="notEqual">
      <formula>"€"</formula>
    </cfRule>
  </conditionalFormatting>
  <conditionalFormatting sqref="Q2:Q12 Q23:Q32">
    <cfRule type="cellIs" dxfId="11" priority="3" stopIfTrue="1" operator="greaterThan">
      <formula>0</formula>
    </cfRule>
    <cfRule type="cellIs" dxfId="10" priority="4" stopIfTrue="1" operator="equal">
      <formula>0</formula>
    </cfRule>
  </conditionalFormatting>
  <conditionalFormatting sqref="S1">
    <cfRule type="cellIs" dxfId="9" priority="12" stopIfTrue="1" operator="notEqual">
      <formula>"R"</formula>
    </cfRule>
    <cfRule type="cellIs" dxfId="8" priority="13" stopIfTrue="1" operator="equal">
      <formula>"R"</formula>
    </cfRule>
  </conditionalFormatting>
  <conditionalFormatting sqref="S39">
    <cfRule type="cellIs" dxfId="7" priority="11" stopIfTrue="1" operator="notEqual">
      <formula>"PRINT"</formula>
    </cfRule>
  </conditionalFormatting>
  <conditionalFormatting sqref="S2:T11">
    <cfRule type="cellIs" dxfId="6" priority="5" stopIfTrue="1" operator="greaterThan">
      <formula>0</formula>
    </cfRule>
    <cfRule type="cellIs" dxfId="5" priority="6" stopIfTrue="1" operator="equal">
      <formula>0</formula>
    </cfRule>
  </conditionalFormatting>
  <dataValidations xWindow="555" yWindow="397" count="8">
    <dataValidation type="list" allowBlank="1" showInputMessage="1" showErrorMessage="1" sqref="D6" xr:uid="{00000000-0002-0000-0400-000001000000}">
      <formula1>"VAT EXCL., VAT INCLUDED, VAT IN MARKUPS"</formula1>
    </dataValidation>
    <dataValidation type="list" allowBlank="1" showInputMessage="1" showErrorMessage="1" sqref="W1" xr:uid="{00000000-0002-0000-0400-000002000000}">
      <formula1>"BOQ,TDWG,ACT,DIF_TD,DIF_A"</formula1>
    </dataValidation>
    <dataValidation type="textLength" showInputMessage="1" showErrorMessage="1" sqref="S1" xr:uid="{00000000-0002-0000-0400-000003000000}">
      <formula1>1</formula1>
      <formula2>20</formula2>
    </dataValidation>
    <dataValidation type="list" allowBlank="1" showErrorMessage="1" promptTitle="Recon Button" prompt="Select &lt;Test for 0.00&gt; and confirm that DiscyT are both 0.00, then make sure that you select PRINT again before printing." sqref="S39" xr:uid="{00000000-0002-0000-0400-000004000000}">
      <formula1>"PRINT,Test for 0.00,"</formula1>
    </dataValidation>
    <dataValidation type="list" allowBlank="1" showInputMessage="1" showErrorMessage="1" sqref="A33" xr:uid="{00000000-0002-0000-0400-000005000000}">
      <formula1>"MIXED, ,"</formula1>
    </dataValidation>
    <dataValidation type="list" allowBlank="1" showInputMessage="1" showErrorMessage="1" sqref="Q1" xr:uid="{00000000-0002-0000-0400-000006000000}">
      <formula1>"Lm,€,$US,CIF,LibDin,"</formula1>
    </dataValidation>
    <dataValidation type="list" allowBlank="1" showInputMessage="1" showErrorMessage="1" promptTitle="ATTENTION" prompt="-------------------_x000a_€22.96 for 2013_x000a_€23.02 for 2014_x000a_€23.52 for 2015_x000a_€22.42 for 2016_x000a_€21.57 for 2016/05_x000a_€24.39 for 2018_x000a_€23.36 for 2018/09_x000a_€23.23 for 2019_x000a_€23.75 for 2021_x000a_€23.95 for 2022_x000a_€24.50 for 2023_x000a_€26.30 for 2024_x000a_€27.46 for 2025" sqref="D9" xr:uid="{00000000-0002-0000-0400-000007000000}">
      <formula1>"27.46,24.50,23.95,22.96,23.02,23.52,22.42,21.57,24.39,23.36,23.23,24.10,23.75,26.30,not used"</formula1>
    </dataValidation>
    <dataValidation type="list" allowBlank="1" showInputMessage="1" showErrorMessage="1" sqref="D8" xr:uid="{42C5D215-7311-4F0A-A949-7CAB47B06F04}">
      <formula1>"M.Scicluna,Umut Kaymak,,T.Sammut,R.Farrugia,G.Mifsud,C.Gidulski,R.Raphel"</formula1>
    </dataValidation>
  </dataValidations>
  <pageMargins left="0.26" right="0.19685039370078741" top="0.48" bottom="0.34" header="0.3" footer="0.19685039370078741"/>
  <pageSetup paperSize="9" orientation="portrait" horizontalDpi="300" verticalDpi="300" r:id="rId1"/>
  <headerFooter alignWithMargins="0">
    <oddFooter>Page &amp;P</oddFooter>
  </headerFooter>
  <rowBreaks count="2" manualBreakCount="2">
    <brk id="56" max="16383" man="1"/>
    <brk id="96"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1272" r:id="rId4" name="Check Box 248">
              <controlPr defaultSize="0" autoFill="0" autoLine="0" autoPict="0">
                <anchor moveWithCells="1">
                  <from>
                    <xdr:col>0</xdr:col>
                    <xdr:colOff>0</xdr:colOff>
                    <xdr:row>1</xdr:row>
                    <xdr:rowOff>106680</xdr:rowOff>
                  </from>
                  <to>
                    <xdr:col>1</xdr:col>
                    <xdr:colOff>266700</xdr:colOff>
                    <xdr:row>2</xdr:row>
                    <xdr:rowOff>45720</xdr:rowOff>
                  </to>
                </anchor>
              </controlPr>
            </control>
          </mc:Choice>
        </mc:AlternateContent>
        <mc:AlternateContent xmlns:mc="http://schemas.openxmlformats.org/markup-compatibility/2006">
          <mc:Choice Requires="x14">
            <control shapeId="1273" r:id="rId5" name="Check Box 249">
              <controlPr defaultSize="0" autoFill="0" autoLine="0" autoPict="0">
                <anchor moveWithCells="1">
                  <from>
                    <xdr:col>0</xdr:col>
                    <xdr:colOff>0</xdr:colOff>
                    <xdr:row>2</xdr:row>
                    <xdr:rowOff>0</xdr:rowOff>
                  </from>
                  <to>
                    <xdr:col>0</xdr:col>
                    <xdr:colOff>525780</xdr:colOff>
                    <xdr:row>2</xdr:row>
                    <xdr:rowOff>220980</xdr:rowOff>
                  </to>
                </anchor>
              </controlPr>
            </control>
          </mc:Choice>
        </mc:AlternateContent>
        <mc:AlternateContent xmlns:mc="http://schemas.openxmlformats.org/markup-compatibility/2006">
          <mc:Choice Requires="x14">
            <control shapeId="1274" r:id="rId6" name="Check Box 250">
              <controlPr defaultSize="0" autoFill="0" autoLine="0" autoPict="0">
                <anchor moveWithCells="1">
                  <from>
                    <xdr:col>0</xdr:col>
                    <xdr:colOff>0</xdr:colOff>
                    <xdr:row>2</xdr:row>
                    <xdr:rowOff>182880</xdr:rowOff>
                  </from>
                  <to>
                    <xdr:col>1</xdr:col>
                    <xdr:colOff>137160</xdr:colOff>
                    <xdr:row>3</xdr:row>
                    <xdr:rowOff>137160</xdr:rowOff>
                  </to>
                </anchor>
              </controlPr>
            </control>
          </mc:Choice>
        </mc:AlternateContent>
        <mc:AlternateContent xmlns:mc="http://schemas.openxmlformats.org/markup-compatibility/2006">
          <mc:Choice Requires="x14">
            <control shapeId="1275" r:id="rId7" name="Check Box 251">
              <controlPr defaultSize="0" autoFill="0" autoLine="0" autoPict="0">
                <anchor moveWithCells="1">
                  <from>
                    <xdr:col>0</xdr:col>
                    <xdr:colOff>0</xdr:colOff>
                    <xdr:row>3</xdr:row>
                    <xdr:rowOff>68580</xdr:rowOff>
                  </from>
                  <to>
                    <xdr:col>1</xdr:col>
                    <xdr:colOff>342900</xdr:colOff>
                    <xdr:row>4</xdr:row>
                    <xdr:rowOff>83820</xdr:rowOff>
                  </to>
                </anchor>
              </controlPr>
            </control>
          </mc:Choice>
        </mc:AlternateContent>
        <mc:AlternateContent xmlns:mc="http://schemas.openxmlformats.org/markup-compatibility/2006">
          <mc:Choice Requires="x14">
            <control shapeId="1276" r:id="rId8" name="Check Box 252">
              <controlPr defaultSize="0" autoFill="0" autoLine="0" autoPict="0">
                <anchor moveWithCells="1">
                  <from>
                    <xdr:col>0</xdr:col>
                    <xdr:colOff>0</xdr:colOff>
                    <xdr:row>4</xdr:row>
                    <xdr:rowOff>7620</xdr:rowOff>
                  </from>
                  <to>
                    <xdr:col>1</xdr:col>
                    <xdr:colOff>335280</xdr:colOff>
                    <xdr:row>5</xdr:row>
                    <xdr:rowOff>60960</xdr:rowOff>
                  </to>
                </anchor>
              </controlPr>
            </control>
          </mc:Choice>
        </mc:AlternateContent>
        <mc:AlternateContent xmlns:mc="http://schemas.openxmlformats.org/markup-compatibility/2006">
          <mc:Choice Requires="x14">
            <control shapeId="1277" r:id="rId9" name="Check Box 253">
              <controlPr defaultSize="0" autoFill="0" autoLine="0" autoPict="0">
                <anchor moveWithCells="1">
                  <from>
                    <xdr:col>0</xdr:col>
                    <xdr:colOff>0</xdr:colOff>
                    <xdr:row>4</xdr:row>
                    <xdr:rowOff>152400</xdr:rowOff>
                  </from>
                  <to>
                    <xdr:col>1</xdr:col>
                    <xdr:colOff>274320</xdr:colOff>
                    <xdr:row>6</xdr:row>
                    <xdr:rowOff>30480</xdr:rowOff>
                  </to>
                </anchor>
              </controlPr>
            </control>
          </mc:Choice>
        </mc:AlternateContent>
        <mc:AlternateContent xmlns:mc="http://schemas.openxmlformats.org/markup-compatibility/2006">
          <mc:Choice Requires="x14">
            <control shapeId="1278" r:id="rId10" name="Check Box 254">
              <controlPr defaultSize="0" autoFill="0" autoLine="0" autoPict="0">
                <anchor moveWithCells="1">
                  <from>
                    <xdr:col>0</xdr:col>
                    <xdr:colOff>0</xdr:colOff>
                    <xdr:row>5</xdr:row>
                    <xdr:rowOff>137160</xdr:rowOff>
                  </from>
                  <to>
                    <xdr:col>1</xdr:col>
                    <xdr:colOff>251460</xdr:colOff>
                    <xdr:row>7</xdr:row>
                    <xdr:rowOff>7620</xdr:rowOff>
                  </to>
                </anchor>
              </controlPr>
            </control>
          </mc:Choice>
        </mc:AlternateContent>
        <mc:AlternateContent xmlns:mc="http://schemas.openxmlformats.org/markup-compatibility/2006">
          <mc:Choice Requires="x14">
            <control shapeId="1279" r:id="rId11" name="Check Box 255">
              <controlPr defaultSize="0" autoFill="0" autoLine="0" autoPict="0">
                <anchor moveWithCells="1">
                  <from>
                    <xdr:col>0</xdr:col>
                    <xdr:colOff>0</xdr:colOff>
                    <xdr:row>6</xdr:row>
                    <xdr:rowOff>114300</xdr:rowOff>
                  </from>
                  <to>
                    <xdr:col>0</xdr:col>
                    <xdr:colOff>502920</xdr:colOff>
                    <xdr:row>7</xdr:row>
                    <xdr:rowOff>160020</xdr:rowOff>
                  </to>
                </anchor>
              </controlPr>
            </control>
          </mc:Choice>
        </mc:AlternateContent>
        <mc:AlternateContent xmlns:mc="http://schemas.openxmlformats.org/markup-compatibility/2006">
          <mc:Choice Requires="x14">
            <control shapeId="1280" r:id="rId12" name="Check Box 256">
              <controlPr defaultSize="0" autoFill="0" autoLine="0" autoPict="0">
                <anchor moveWithCells="1">
                  <from>
                    <xdr:col>0</xdr:col>
                    <xdr:colOff>0</xdr:colOff>
                    <xdr:row>7</xdr:row>
                    <xdr:rowOff>99060</xdr:rowOff>
                  </from>
                  <to>
                    <xdr:col>1</xdr:col>
                    <xdr:colOff>68580</xdr:colOff>
                    <xdr:row>8</xdr:row>
                    <xdr:rowOff>144780</xdr:rowOff>
                  </to>
                </anchor>
              </controlPr>
            </control>
          </mc:Choice>
        </mc:AlternateContent>
        <mc:AlternateContent xmlns:mc="http://schemas.openxmlformats.org/markup-compatibility/2006">
          <mc:Choice Requires="x14">
            <control shapeId="1286" r:id="rId13" name="Check Box 262">
              <controlPr defaultSize="0" autoFill="0" autoLine="0" autoPict="0">
                <anchor moveWithCells="1">
                  <from>
                    <xdr:col>0</xdr:col>
                    <xdr:colOff>0</xdr:colOff>
                    <xdr:row>9</xdr:row>
                    <xdr:rowOff>76200</xdr:rowOff>
                  </from>
                  <to>
                    <xdr:col>1</xdr:col>
                    <xdr:colOff>190500</xdr:colOff>
                    <xdr:row>10</xdr:row>
                    <xdr:rowOff>121920</xdr:rowOff>
                  </to>
                </anchor>
              </controlPr>
            </control>
          </mc:Choice>
        </mc:AlternateContent>
        <mc:AlternateContent xmlns:mc="http://schemas.openxmlformats.org/markup-compatibility/2006">
          <mc:Choice Requires="x14">
            <control shapeId="1299" r:id="rId14" name="Check Box 275">
              <controlPr defaultSize="0" autoFill="0" autoLine="0" autoPict="0">
                <anchor moveWithCells="1">
                  <from>
                    <xdr:col>0</xdr:col>
                    <xdr:colOff>0</xdr:colOff>
                    <xdr:row>8</xdr:row>
                    <xdr:rowOff>76200</xdr:rowOff>
                  </from>
                  <to>
                    <xdr:col>1</xdr:col>
                    <xdr:colOff>563880</xdr:colOff>
                    <xdr:row>9</xdr:row>
                    <xdr:rowOff>121920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indexed="43"/>
  </sheetPr>
  <dimension ref="A1:U60"/>
  <sheetViews>
    <sheetView topLeftCell="A8" workbookViewId="0">
      <selection activeCell="Q20" sqref="Q20"/>
    </sheetView>
  </sheetViews>
  <sheetFormatPr defaultColWidth="9.109375" defaultRowHeight="13.2"/>
  <cols>
    <col min="1" max="1" width="4.6640625" style="508" customWidth="1"/>
    <col min="2" max="2" width="6.109375" style="508" customWidth="1"/>
    <col min="3" max="3" width="3.88671875" style="508" hidden="1" customWidth="1"/>
    <col min="4" max="4" width="15.6640625" style="508" customWidth="1"/>
    <col min="5" max="6" width="12.6640625" style="508" customWidth="1"/>
    <col min="7" max="7" width="9.6640625" style="508" hidden="1" customWidth="1"/>
    <col min="8" max="8" width="7.6640625" style="508" hidden="1" customWidth="1"/>
    <col min="9" max="11" width="8.6640625" style="508" hidden="1" customWidth="1"/>
    <col min="12" max="12" width="6.6640625" style="508" hidden="1" customWidth="1"/>
    <col min="13" max="16" width="8.6640625" style="508" hidden="1" customWidth="1"/>
    <col min="17" max="17" width="12.88671875" style="508" customWidth="1"/>
    <col min="18" max="18" width="8.6640625" style="508" customWidth="1"/>
    <col min="19" max="19" width="10.109375" style="508" customWidth="1"/>
    <col min="20" max="20" width="8.33203125" style="508" customWidth="1"/>
    <col min="21" max="16384" width="9.109375" style="508"/>
  </cols>
  <sheetData>
    <row r="1" spans="1:21" s="40" customFormat="1" ht="28.8">
      <c r="A1" s="1040" t="str">
        <f>IF(AND(UPPER(LEFT(TRIM($D$8),11))="01",UPPER(LEFT(TRIM($D$9),3))&lt;&gt;"ELM"),"PANTA RETAIL LTD.","PANTA CONTRACTING LIMITED")</f>
        <v>PANTA CONTRACTING LIMITED</v>
      </c>
      <c r="B1" s="1040"/>
      <c r="C1" s="1040"/>
      <c r="D1" s="1040"/>
      <c r="E1" s="1040"/>
      <c r="F1" s="1040"/>
      <c r="G1" s="1040"/>
      <c r="H1" s="1040"/>
      <c r="I1" s="1040"/>
      <c r="J1" s="1040"/>
      <c r="K1" s="1040"/>
      <c r="L1" s="1040"/>
      <c r="M1" s="1040"/>
      <c r="N1" s="1040"/>
      <c r="O1" s="1040"/>
      <c r="P1" s="1040"/>
      <c r="Q1" s="1040"/>
      <c r="R1" s="1040"/>
      <c r="S1" s="1040"/>
      <c r="T1" s="1040"/>
      <c r="U1" s="506"/>
    </row>
    <row r="2" spans="1:21" s="40" customFormat="1" ht="17.399999999999999">
      <c r="A2" s="1041" t="str">
        <f>IF(UPPER(LEFT(TRIM($D$9),3))="ELM","ELEC-FOR-MECH INTERNAL QUOTATION","ELECTRICAL INTERNAL QUOTATION")</f>
        <v>ELEC-FOR-MECH INTERNAL QUOTATION</v>
      </c>
      <c r="B2" s="1041"/>
      <c r="C2" s="1041"/>
      <c r="D2" s="1041"/>
      <c r="E2" s="1041"/>
      <c r="F2" s="1041"/>
      <c r="G2" s="1041"/>
      <c r="H2" s="1041"/>
      <c r="I2" s="1041"/>
      <c r="J2" s="1041"/>
      <c r="K2" s="1041"/>
      <c r="L2" s="1041"/>
      <c r="M2" s="1041"/>
      <c r="N2" s="1041"/>
      <c r="O2" s="1041"/>
      <c r="P2" s="1041"/>
      <c r="Q2" s="1041"/>
      <c r="R2" s="1041"/>
      <c r="S2" s="1041"/>
      <c r="T2" s="1041"/>
    </row>
    <row r="3" spans="1:21" s="40" customFormat="1">
      <c r="A3" s="32"/>
      <c r="B3" s="507"/>
      <c r="C3" s="32"/>
      <c r="D3" s="32"/>
      <c r="E3" s="32"/>
      <c r="F3" s="32"/>
      <c r="G3" s="508"/>
      <c r="H3" s="508"/>
      <c r="I3" s="508"/>
      <c r="J3" s="508"/>
      <c r="K3" s="32"/>
      <c r="Q3" s="32"/>
      <c r="R3" s="32"/>
      <c r="S3" s="32"/>
      <c r="T3" s="32"/>
    </row>
    <row r="4" spans="1:21" s="40" customFormat="1">
      <c r="A4" s="508"/>
      <c r="B4" s="508"/>
      <c r="C4" s="508"/>
      <c r="D4" s="508"/>
      <c r="E4" s="508"/>
      <c r="F4" s="508"/>
      <c r="G4" s="508"/>
      <c r="H4" s="508"/>
      <c r="I4" s="508"/>
      <c r="J4" s="508"/>
      <c r="K4" s="508"/>
      <c r="L4" s="508"/>
      <c r="M4" s="508"/>
      <c r="N4" s="508"/>
      <c r="O4" s="508"/>
      <c r="P4" s="508"/>
      <c r="Q4" s="508"/>
      <c r="R4" s="508"/>
      <c r="S4" s="508"/>
      <c r="T4" s="508"/>
    </row>
    <row r="5" spans="1:21" s="40" customFormat="1">
      <c r="A5" s="32"/>
      <c r="B5" s="381" t="s">
        <v>212</v>
      </c>
      <c r="C5" s="508"/>
      <c r="D5" s="382" t="s">
        <v>637</v>
      </c>
      <c r="E5" s="508"/>
      <c r="F5" s="508"/>
      <c r="G5" s="219"/>
      <c r="H5" s="219"/>
      <c r="I5" s="509"/>
      <c r="J5" s="509"/>
      <c r="K5" s="219"/>
      <c r="L5" s="510"/>
      <c r="M5" s="510"/>
      <c r="N5" s="510"/>
      <c r="O5" s="510"/>
      <c r="P5" s="510"/>
      <c r="Q5" s="508"/>
      <c r="R5" s="511" t="s">
        <v>177</v>
      </c>
      <c r="S5" s="512">
        <f ca="1">NOW()</f>
        <v>46114.361279166667</v>
      </c>
      <c r="T5" s="508"/>
    </row>
    <row r="6" spans="1:21" s="40" customFormat="1" ht="13.8">
      <c r="A6" s="513"/>
      <c r="B6" s="513" t="s">
        <v>0</v>
      </c>
      <c r="C6" s="383" t="s">
        <v>213</v>
      </c>
      <c r="D6" s="32" t="str">
        <f>ML_Sum!D1</f>
        <v>Battery Street Limited</v>
      </c>
      <c r="E6" s="32"/>
      <c r="F6" s="32"/>
      <c r="G6" s="508"/>
      <c r="H6" s="508"/>
      <c r="I6" s="508"/>
      <c r="J6" s="508"/>
      <c r="K6" s="32"/>
      <c r="Q6" s="32"/>
      <c r="R6" s="508"/>
      <c r="S6" s="508"/>
      <c r="T6" s="508"/>
    </row>
    <row r="7" spans="1:21" s="40" customFormat="1" ht="13.8">
      <c r="A7" s="513"/>
      <c r="B7" s="513" t="s">
        <v>2</v>
      </c>
      <c r="C7" s="383" t="s">
        <v>214</v>
      </c>
      <c r="D7" s="32" t="str">
        <f>ML_Sum!D2</f>
        <v>MEP Works British Hotel</v>
      </c>
      <c r="E7" s="32"/>
      <c r="F7" s="32"/>
      <c r="G7" s="508"/>
      <c r="H7" s="508"/>
      <c r="I7" s="508"/>
      <c r="J7" s="508"/>
      <c r="K7" s="32"/>
      <c r="Q7" s="32"/>
      <c r="R7" s="508"/>
      <c r="S7" s="508"/>
      <c r="T7" s="508"/>
    </row>
    <row r="8" spans="1:21" s="40" customFormat="1" ht="13.8">
      <c r="A8" s="513"/>
      <c r="B8" s="513" t="s">
        <v>4</v>
      </c>
      <c r="C8" s="383" t="s">
        <v>215</v>
      </c>
      <c r="D8" s="32" t="str">
        <f>ML_Sum!D3</f>
        <v>Electrical for Mechanical Services</v>
      </c>
      <c r="E8" s="32"/>
      <c r="F8" s="32"/>
      <c r="G8" s="508"/>
      <c r="H8" s="508"/>
      <c r="I8" s="508"/>
      <c r="J8" s="508"/>
      <c r="K8" s="32"/>
      <c r="Q8" s="32"/>
      <c r="R8" s="508"/>
      <c r="S8" s="508"/>
      <c r="T8" s="508"/>
    </row>
    <row r="9" spans="1:21" s="40" customFormat="1" ht="13.8">
      <c r="A9" s="508"/>
      <c r="B9" s="381" t="s">
        <v>6</v>
      </c>
      <c r="C9" s="383" t="s">
        <v>216</v>
      </c>
      <c r="D9" s="32" t="str">
        <f>ML_Sum!D4</f>
        <v>ELM25-0665</v>
      </c>
      <c r="E9" s="32"/>
      <c r="F9" s="32"/>
      <c r="G9" s="508"/>
      <c r="H9" s="508"/>
      <c r="I9" s="508"/>
      <c r="J9" s="508"/>
      <c r="K9" s="32"/>
      <c r="Q9" s="32"/>
      <c r="R9" s="32"/>
      <c r="S9" s="32"/>
      <c r="T9" s="32"/>
    </row>
    <row r="10" spans="1:21" s="40" customFormat="1" ht="13.8">
      <c r="A10" s="508"/>
      <c r="B10" s="514" t="s">
        <v>169</v>
      </c>
      <c r="C10" s="383" t="s">
        <v>217</v>
      </c>
      <c r="D10" s="32">
        <f>ML_Sum!D5</f>
        <v>0</v>
      </c>
      <c r="E10" s="508"/>
      <c r="F10" s="508"/>
      <c r="G10" s="508"/>
      <c r="H10" s="508"/>
      <c r="I10" s="508"/>
      <c r="J10" s="508"/>
      <c r="K10" s="508"/>
      <c r="L10" s="508"/>
      <c r="M10" s="508"/>
      <c r="N10" s="508"/>
      <c r="O10" s="508"/>
      <c r="P10" s="508"/>
      <c r="Q10" s="508"/>
      <c r="R10" s="508"/>
      <c r="S10" s="508"/>
      <c r="T10" s="508"/>
    </row>
    <row r="11" spans="1:21" s="40" customFormat="1">
      <c r="A11" s="508"/>
      <c r="B11" s="508"/>
      <c r="C11" s="219"/>
      <c r="D11" s="508"/>
      <c r="E11" s="508"/>
      <c r="F11" s="508"/>
      <c r="G11" s="508"/>
      <c r="H11" s="508"/>
      <c r="I11" s="508"/>
      <c r="J11" s="508"/>
      <c r="K11" s="508"/>
      <c r="L11" s="508"/>
      <c r="M11" s="508"/>
      <c r="N11" s="508"/>
      <c r="O11" s="508"/>
      <c r="P11" s="508"/>
      <c r="Q11" s="508"/>
      <c r="R11" s="508"/>
      <c r="S11" s="508"/>
      <c r="T11" s="508"/>
    </row>
    <row r="12" spans="1:21" s="40" customFormat="1">
      <c r="A12" s="32"/>
      <c r="B12" s="32"/>
      <c r="C12" s="32"/>
      <c r="D12" s="508"/>
      <c r="E12" s="508"/>
      <c r="F12" s="508"/>
      <c r="G12" s="508"/>
      <c r="H12" s="508"/>
      <c r="I12" s="508"/>
      <c r="J12" s="508"/>
      <c r="K12" s="508"/>
      <c r="L12" s="508"/>
      <c r="M12" s="508"/>
      <c r="N12" s="508"/>
      <c r="O12" s="508"/>
      <c r="P12" s="508"/>
      <c r="Q12" s="508"/>
      <c r="R12" s="508"/>
      <c r="S12" s="508"/>
      <c r="T12" s="508"/>
    </row>
    <row r="13" spans="1:21" s="40" customFormat="1">
      <c r="A13" s="32"/>
      <c r="B13" s="32"/>
      <c r="C13" s="32"/>
      <c r="D13" s="508"/>
      <c r="E13" s="508"/>
      <c r="F13" s="508"/>
      <c r="G13" s="508"/>
      <c r="H13" s="508"/>
      <c r="I13" s="508"/>
      <c r="J13" s="508"/>
      <c r="K13" s="508"/>
      <c r="L13" s="508"/>
      <c r="M13" s="508"/>
      <c r="N13" s="508"/>
      <c r="O13" s="508"/>
      <c r="P13" s="508"/>
      <c r="Q13" s="508"/>
      <c r="R13" s="508"/>
      <c r="S13" s="508"/>
      <c r="T13" s="508"/>
    </row>
    <row r="14" spans="1:21" s="40" customFormat="1">
      <c r="A14" s="32"/>
      <c r="B14" s="32"/>
      <c r="C14" s="32"/>
      <c r="D14" s="508"/>
      <c r="E14" s="508"/>
      <c r="F14" s="508"/>
      <c r="G14" s="508"/>
      <c r="H14" s="508"/>
      <c r="I14" s="508"/>
      <c r="J14" s="508"/>
      <c r="K14" s="508"/>
      <c r="L14" s="508"/>
      <c r="M14" s="508"/>
      <c r="N14" s="508"/>
      <c r="O14" s="508"/>
      <c r="P14" s="508"/>
      <c r="Q14" s="508"/>
      <c r="R14" s="508"/>
      <c r="S14" s="508"/>
      <c r="T14" s="508"/>
    </row>
    <row r="15" spans="1:21" s="40" customFormat="1">
      <c r="A15" s="384"/>
      <c r="B15" s="32"/>
      <c r="C15" s="32"/>
      <c r="D15" s="508"/>
      <c r="E15" s="508"/>
      <c r="F15" s="508"/>
      <c r="G15" s="508"/>
      <c r="H15" s="508"/>
      <c r="I15" s="508"/>
      <c r="J15" s="508"/>
      <c r="K15" s="508"/>
      <c r="L15" s="508"/>
      <c r="M15" s="508"/>
      <c r="N15" s="508"/>
      <c r="O15" s="508"/>
      <c r="P15" s="508"/>
      <c r="Q15" s="508"/>
      <c r="R15" s="508"/>
      <c r="S15" s="508"/>
      <c r="T15" s="508"/>
    </row>
    <row r="16" spans="1:21" s="40" customFormat="1">
      <c r="A16" s="32"/>
      <c r="B16" s="32"/>
      <c r="C16" s="32"/>
      <c r="D16" s="32"/>
      <c r="E16" s="32"/>
      <c r="F16" s="32"/>
      <c r="G16" s="508"/>
      <c r="H16" s="508"/>
      <c r="I16" s="508"/>
      <c r="J16" s="508"/>
      <c r="K16" s="32"/>
      <c r="Q16" s="32"/>
      <c r="R16" s="32"/>
      <c r="S16" s="32"/>
      <c r="T16" s="32"/>
    </row>
    <row r="17" spans="1:20" s="40" customFormat="1">
      <c r="A17" s="32"/>
      <c r="B17" s="32"/>
      <c r="C17" s="32"/>
      <c r="D17" s="32"/>
      <c r="E17" s="32"/>
      <c r="F17" s="32"/>
      <c r="G17" s="508"/>
      <c r="H17" s="508"/>
      <c r="I17" s="508"/>
      <c r="J17" s="508"/>
      <c r="K17" s="32"/>
      <c r="Q17" s="32"/>
      <c r="R17" s="32"/>
      <c r="S17" s="32"/>
      <c r="T17" s="32"/>
    </row>
    <row r="18" spans="1:20" s="40" customFormat="1">
      <c r="A18" s="32"/>
      <c r="B18" s="32"/>
      <c r="C18" s="32"/>
      <c r="D18" s="32"/>
      <c r="E18" s="32"/>
      <c r="F18" s="32"/>
      <c r="G18" s="508"/>
      <c r="H18" s="508"/>
      <c r="I18" s="508"/>
      <c r="J18" s="508"/>
      <c r="K18" s="32"/>
      <c r="Q18" s="32"/>
      <c r="R18" s="32"/>
      <c r="S18" s="32"/>
      <c r="T18" s="32"/>
    </row>
    <row r="19" spans="1:20" s="40" customFormat="1">
      <c r="A19" s="32"/>
      <c r="B19" s="32"/>
      <c r="C19" s="32"/>
      <c r="D19" s="32"/>
      <c r="E19" s="32"/>
      <c r="F19" s="32"/>
      <c r="G19" s="508"/>
      <c r="H19" s="508"/>
      <c r="I19" s="508"/>
      <c r="J19" s="508"/>
      <c r="K19" s="32"/>
      <c r="Q19" s="32"/>
      <c r="R19" s="32"/>
      <c r="S19" s="32"/>
      <c r="T19" s="32"/>
    </row>
    <row r="20" spans="1:20" s="40" customFormat="1">
      <c r="A20" s="32"/>
      <c r="B20" s="32"/>
      <c r="C20" s="32"/>
      <c r="D20" s="32"/>
      <c r="E20" s="32"/>
      <c r="F20" s="32"/>
      <c r="G20" s="508"/>
      <c r="H20" s="508"/>
      <c r="I20" s="508"/>
      <c r="J20" s="508"/>
      <c r="K20" s="32"/>
      <c r="Q20" s="32"/>
      <c r="R20" s="32"/>
      <c r="S20" s="32"/>
      <c r="T20" s="32"/>
    </row>
    <row r="21" spans="1:20" s="40" customFormat="1" ht="13.8">
      <c r="A21" s="508"/>
      <c r="B21" s="508"/>
      <c r="C21" s="508"/>
      <c r="D21" s="532" t="s">
        <v>260</v>
      </c>
      <c r="E21" s="404">
        <f>ML_Sum!R35</f>
        <v>1920.3635450980391</v>
      </c>
      <c r="F21" s="383" t="str">
        <f>ML_Sum!D6</f>
        <v>VAT EXCL.</v>
      </c>
      <c r="G21" s="515" t="s">
        <v>178</v>
      </c>
      <c r="H21" s="515" t="s">
        <v>178</v>
      </c>
      <c r="I21" s="515" t="s">
        <v>178</v>
      </c>
      <c r="J21" s="515" t="s">
        <v>178</v>
      </c>
      <c r="K21" s="515" t="s">
        <v>178</v>
      </c>
      <c r="L21" s="515" t="s">
        <v>178</v>
      </c>
      <c r="M21" s="515" t="s">
        <v>178</v>
      </c>
      <c r="N21" s="515" t="s">
        <v>178</v>
      </c>
      <c r="O21" s="515" t="s">
        <v>178</v>
      </c>
      <c r="P21" s="515" t="s">
        <v>178</v>
      </c>
      <c r="Q21" s="516"/>
      <c r="R21" s="508"/>
      <c r="S21" s="508"/>
      <c r="T21" s="508"/>
    </row>
    <row r="22" spans="1:20" s="40" customFormat="1">
      <c r="A22" s="508"/>
      <c r="B22" s="508"/>
      <c r="C22" s="508"/>
      <c r="D22" s="532" t="s">
        <v>261</v>
      </c>
      <c r="E22" s="404">
        <f>ML_Sum!T35</f>
        <v>45.070000000000014</v>
      </c>
      <c r="F22" s="517"/>
      <c r="G22" s="516"/>
      <c r="H22" s="516"/>
      <c r="I22" s="516"/>
      <c r="J22" s="516"/>
      <c r="K22" s="516"/>
      <c r="L22" s="516"/>
      <c r="M22" s="516"/>
      <c r="N22" s="516"/>
      <c r="O22" s="516"/>
      <c r="P22" s="516"/>
      <c r="Q22" s="516"/>
      <c r="R22" s="32"/>
      <c r="S22" s="508"/>
      <c r="T22" s="32"/>
    </row>
    <row r="23" spans="1:20" s="40" customFormat="1">
      <c r="A23" s="508"/>
      <c r="B23" s="508"/>
      <c r="C23" s="508"/>
      <c r="D23" s="385"/>
      <c r="E23" s="517"/>
      <c r="F23" s="517"/>
      <c r="G23" s="516"/>
      <c r="H23" s="516"/>
      <c r="I23" s="516"/>
      <c r="J23" s="516"/>
      <c r="K23" s="516"/>
      <c r="L23" s="516"/>
      <c r="M23" s="516"/>
      <c r="N23" s="516"/>
      <c r="O23" s="516"/>
      <c r="P23" s="516"/>
      <c r="Q23" s="516"/>
      <c r="R23" s="32"/>
      <c r="S23" s="508"/>
      <c r="T23" s="32"/>
    </row>
    <row r="24" spans="1:20" s="40" customFormat="1">
      <c r="A24" s="508"/>
      <c r="B24" s="508"/>
      <c r="C24" s="508"/>
      <c r="D24" s="518"/>
      <c r="E24" s="516"/>
      <c r="F24" s="516"/>
      <c r="G24" s="516"/>
      <c r="H24" s="516"/>
      <c r="I24" s="516"/>
      <c r="J24" s="516"/>
      <c r="K24" s="516"/>
      <c r="L24" s="516"/>
      <c r="M24" s="516"/>
      <c r="N24" s="516"/>
      <c r="O24" s="516"/>
      <c r="P24" s="516"/>
      <c r="Q24" s="516"/>
      <c r="R24" s="32"/>
      <c r="S24" s="508"/>
      <c r="T24" s="32"/>
    </row>
    <row r="25" spans="1:20" s="40" customFormat="1">
      <c r="A25" s="386"/>
      <c r="B25" s="519"/>
      <c r="C25" s="519"/>
      <c r="D25" s="508"/>
      <c r="E25" s="508"/>
      <c r="F25" s="508"/>
      <c r="G25" s="508"/>
      <c r="H25" s="508"/>
      <c r="I25" s="508"/>
      <c r="J25" s="508"/>
      <c r="K25" s="508"/>
      <c r="L25" s="508"/>
      <c r="M25" s="508"/>
      <c r="N25" s="508"/>
      <c r="O25" s="508"/>
      <c r="P25" s="508"/>
      <c r="Q25" s="508"/>
      <c r="R25" s="32"/>
      <c r="S25" s="32"/>
      <c r="T25" s="32"/>
    </row>
    <row r="26" spans="1:20" s="40" customFormat="1">
      <c r="A26" s="382"/>
      <c r="B26" s="32"/>
      <c r="C26" s="32"/>
      <c r="D26" s="32"/>
      <c r="E26" s="32"/>
      <c r="F26" s="32"/>
      <c r="G26" s="508"/>
      <c r="H26" s="508"/>
      <c r="I26" s="508"/>
      <c r="J26" s="508"/>
      <c r="K26" s="32"/>
      <c r="Q26" s="32"/>
      <c r="R26" s="32"/>
      <c r="S26" s="32"/>
      <c r="T26" s="32"/>
    </row>
    <row r="27" spans="1:20" s="40" customFormat="1">
      <c r="A27" s="382"/>
      <c r="B27" s="32"/>
      <c r="C27" s="32"/>
      <c r="D27" s="32"/>
      <c r="E27" s="32"/>
      <c r="F27" s="32"/>
      <c r="G27" s="508"/>
      <c r="H27" s="508"/>
      <c r="I27" s="508"/>
      <c r="J27" s="508"/>
      <c r="K27" s="32"/>
      <c r="Q27" s="32"/>
      <c r="R27" s="32"/>
      <c r="S27" s="32"/>
      <c r="T27" s="32"/>
    </row>
    <row r="28" spans="1:20" s="40" customFormat="1">
      <c r="A28" s="382"/>
      <c r="B28" s="32"/>
      <c r="C28" s="32"/>
      <c r="D28" s="32"/>
      <c r="E28" s="32"/>
      <c r="F28" s="32"/>
      <c r="G28" s="508"/>
      <c r="H28" s="508"/>
      <c r="I28" s="508"/>
      <c r="J28" s="508"/>
      <c r="K28" s="32"/>
      <c r="Q28" s="32"/>
      <c r="R28" s="32"/>
      <c r="S28" s="32"/>
      <c r="T28" s="32"/>
    </row>
    <row r="29" spans="1:20" s="40" customFormat="1">
      <c r="A29" s="382"/>
      <c r="B29" s="32"/>
      <c r="C29" s="32"/>
      <c r="D29" s="32"/>
      <c r="E29" s="32"/>
      <c r="F29" s="32"/>
      <c r="G29" s="508"/>
      <c r="H29" s="508"/>
      <c r="I29" s="508"/>
      <c r="J29" s="508"/>
      <c r="K29" s="32"/>
      <c r="Q29" s="32"/>
      <c r="R29" s="32"/>
      <c r="S29" s="32"/>
      <c r="T29" s="32"/>
    </row>
    <row r="30" spans="1:20" s="40" customFormat="1">
      <c r="A30" s="382"/>
      <c r="B30" s="32"/>
      <c r="C30" s="32"/>
      <c r="D30" s="32"/>
      <c r="E30" s="32"/>
      <c r="F30" s="32"/>
      <c r="G30" s="508"/>
      <c r="H30" s="508"/>
      <c r="I30" s="508"/>
      <c r="J30" s="508"/>
      <c r="K30" s="32"/>
      <c r="Q30" s="32"/>
      <c r="R30" s="32"/>
      <c r="S30" s="32"/>
      <c r="T30" s="32"/>
    </row>
    <row r="31" spans="1:20" s="40" customFormat="1">
      <c r="A31" s="382"/>
      <c r="B31" s="32"/>
      <c r="C31" s="32"/>
      <c r="D31" s="32"/>
      <c r="E31" s="32"/>
      <c r="F31" s="32"/>
      <c r="G31" s="508"/>
      <c r="H31" s="508"/>
      <c r="I31" s="508"/>
      <c r="J31" s="508"/>
      <c r="K31" s="32"/>
      <c r="Q31" s="32"/>
      <c r="R31" s="32"/>
      <c r="S31" s="32"/>
      <c r="T31" s="32"/>
    </row>
    <row r="32" spans="1:20" s="40" customFormat="1">
      <c r="A32" s="382"/>
      <c r="B32" s="32"/>
      <c r="C32" s="32"/>
      <c r="D32" s="32"/>
      <c r="E32" s="32"/>
      <c r="F32" s="32"/>
      <c r="G32" s="508"/>
      <c r="H32" s="508"/>
      <c r="I32" s="508"/>
      <c r="J32" s="508"/>
      <c r="K32" s="32"/>
      <c r="Q32" s="32"/>
      <c r="R32" s="32"/>
      <c r="S32" s="32"/>
      <c r="T32" s="32"/>
    </row>
    <row r="33" spans="1:20" s="40" customFormat="1">
      <c r="A33" s="32"/>
      <c r="B33" s="32"/>
      <c r="C33" s="32"/>
      <c r="D33" s="32"/>
      <c r="E33" s="32"/>
      <c r="F33" s="32"/>
      <c r="G33" s="508"/>
      <c r="H33" s="508"/>
      <c r="I33" s="508"/>
      <c r="J33" s="508"/>
      <c r="K33" s="32"/>
      <c r="Q33" s="32"/>
      <c r="R33" s="32"/>
      <c r="S33" s="32"/>
      <c r="T33" s="32"/>
    </row>
    <row r="34" spans="1:20" s="40" customFormat="1">
      <c r="A34" s="508"/>
      <c r="B34" s="508"/>
      <c r="C34" s="508"/>
      <c r="D34" s="508"/>
      <c r="E34" s="508"/>
      <c r="F34" s="508"/>
      <c r="G34" s="508"/>
      <c r="H34" s="508"/>
      <c r="I34" s="508"/>
      <c r="J34" s="508"/>
      <c r="K34" s="508"/>
      <c r="L34" s="508"/>
      <c r="M34" s="508"/>
      <c r="N34" s="508"/>
      <c r="O34" s="508"/>
      <c r="P34" s="508"/>
      <c r="Q34" s="508"/>
      <c r="R34" s="508"/>
      <c r="S34" s="508"/>
      <c r="T34" s="508"/>
    </row>
    <row r="35" spans="1:20" s="40" customFormat="1">
      <c r="A35" s="508"/>
      <c r="B35" s="508"/>
      <c r="C35" s="508"/>
      <c r="D35" s="508"/>
      <c r="E35" s="508"/>
      <c r="F35" s="508"/>
      <c r="G35" s="508"/>
      <c r="H35" s="508"/>
      <c r="I35" s="508"/>
      <c r="J35" s="508"/>
      <c r="K35" s="508"/>
      <c r="L35" s="508"/>
      <c r="M35" s="508"/>
      <c r="N35" s="508"/>
      <c r="O35" s="508"/>
      <c r="P35" s="508"/>
      <c r="Q35" s="508"/>
      <c r="R35" s="508"/>
      <c r="S35" s="508"/>
      <c r="T35" s="508"/>
    </row>
    <row r="36" spans="1:20" s="40" customFormat="1">
      <c r="A36" s="508"/>
      <c r="B36" s="508"/>
      <c r="C36" s="508"/>
      <c r="D36" s="508"/>
      <c r="E36" s="508"/>
      <c r="F36" s="508"/>
      <c r="G36" s="508"/>
      <c r="H36" s="508"/>
      <c r="I36" s="508"/>
      <c r="J36" s="508"/>
      <c r="K36" s="508"/>
      <c r="L36" s="508"/>
      <c r="M36" s="508"/>
      <c r="N36" s="508"/>
      <c r="O36" s="508"/>
      <c r="P36" s="508"/>
      <c r="Q36" s="508"/>
      <c r="R36" s="508"/>
      <c r="S36" s="508"/>
      <c r="T36" s="508"/>
    </row>
    <row r="37" spans="1:20" s="40" customFormat="1">
      <c r="A37" s="32"/>
      <c r="B37" s="32"/>
      <c r="C37" s="32"/>
      <c r="D37" s="32"/>
      <c r="E37" s="32"/>
      <c r="F37" s="32"/>
      <c r="G37" s="508"/>
      <c r="H37" s="508"/>
      <c r="I37" s="508"/>
      <c r="J37" s="508"/>
      <c r="K37" s="32"/>
      <c r="Q37" s="32"/>
      <c r="R37" s="32"/>
      <c r="S37" s="32"/>
      <c r="T37" s="32"/>
    </row>
    <row r="38" spans="1:20" s="40" customFormat="1">
      <c r="A38" s="384"/>
      <c r="B38" s="520"/>
      <c r="C38" s="32"/>
      <c r="D38" s="32"/>
      <c r="E38" s="32"/>
      <c r="F38" s="32"/>
      <c r="G38" s="508"/>
      <c r="H38" s="508"/>
      <c r="I38" s="508"/>
      <c r="J38" s="508"/>
      <c r="K38" s="32"/>
      <c r="Q38" s="32"/>
      <c r="R38" s="32"/>
      <c r="S38" s="32"/>
      <c r="T38" s="32"/>
    </row>
    <row r="39" spans="1:20" s="40" customFormat="1">
      <c r="A39" s="382"/>
      <c r="B39" s="32"/>
      <c r="C39" s="32"/>
      <c r="D39" s="32"/>
      <c r="E39" s="32"/>
      <c r="F39" s="32"/>
      <c r="G39" s="508"/>
      <c r="H39" s="508"/>
      <c r="I39" s="508"/>
      <c r="J39" s="508"/>
      <c r="K39" s="32"/>
      <c r="Q39" s="32"/>
      <c r="R39" s="32"/>
      <c r="S39" s="32"/>
      <c r="T39" s="32"/>
    </row>
    <row r="40" spans="1:20" s="40" customFormat="1">
      <c r="A40" s="382"/>
      <c r="B40" s="32"/>
      <c r="C40" s="32"/>
      <c r="D40" s="32"/>
      <c r="E40" s="32"/>
      <c r="F40" s="32"/>
      <c r="G40" s="508"/>
      <c r="H40" s="508"/>
      <c r="I40" s="508"/>
      <c r="J40" s="508"/>
      <c r="K40" s="32"/>
      <c r="Q40" s="32"/>
      <c r="R40" s="32"/>
      <c r="S40" s="32"/>
      <c r="T40" s="32"/>
    </row>
    <row r="41" spans="1:20" s="40" customFormat="1">
      <c r="A41" s="382"/>
      <c r="B41" s="32"/>
      <c r="C41" s="32"/>
      <c r="D41" s="32"/>
      <c r="E41" s="32"/>
      <c r="F41" s="32"/>
      <c r="G41" s="508"/>
      <c r="H41" s="508"/>
      <c r="I41" s="508"/>
      <c r="J41" s="508"/>
      <c r="K41" s="32"/>
      <c r="Q41" s="32"/>
      <c r="R41" s="32"/>
      <c r="S41" s="32"/>
      <c r="T41" s="32"/>
    </row>
    <row r="42" spans="1:20" s="40" customFormat="1">
      <c r="A42" s="382"/>
      <c r="B42" s="32"/>
      <c r="C42" s="32"/>
      <c r="D42" s="32"/>
      <c r="E42" s="32"/>
      <c r="F42" s="32"/>
      <c r="G42" s="508"/>
      <c r="H42" s="508"/>
      <c r="I42" s="508"/>
      <c r="J42" s="508"/>
      <c r="K42" s="32"/>
      <c r="Q42" s="32"/>
      <c r="R42" s="32"/>
      <c r="S42" s="32"/>
      <c r="T42" s="32"/>
    </row>
    <row r="43" spans="1:20" s="40" customFormat="1">
      <c r="A43" s="382"/>
      <c r="B43" s="32"/>
      <c r="C43" s="32"/>
      <c r="D43" s="32"/>
      <c r="E43" s="32"/>
      <c r="F43" s="32"/>
      <c r="G43" s="508"/>
      <c r="H43" s="508"/>
      <c r="I43" s="508"/>
      <c r="J43" s="508"/>
      <c r="K43" s="32"/>
      <c r="Q43" s="32"/>
      <c r="R43" s="32"/>
      <c r="S43" s="32"/>
      <c r="T43" s="32"/>
    </row>
    <row r="44" spans="1:20" s="40" customFormat="1">
      <c r="A44" s="382"/>
      <c r="B44" s="32"/>
      <c r="C44" s="32"/>
      <c r="D44" s="32"/>
      <c r="E44" s="32"/>
      <c r="F44" s="32"/>
      <c r="G44" s="508"/>
      <c r="H44" s="508"/>
      <c r="I44" s="508"/>
      <c r="J44" s="508"/>
      <c r="K44" s="32"/>
      <c r="Q44" s="32"/>
      <c r="R44" s="32"/>
      <c r="S44" s="32"/>
      <c r="T44" s="32"/>
    </row>
    <row r="45" spans="1:20" s="40" customFormat="1">
      <c r="A45" s="382"/>
      <c r="B45" s="32"/>
      <c r="C45" s="32"/>
      <c r="D45" s="32"/>
      <c r="E45" s="32"/>
      <c r="F45" s="32"/>
      <c r="G45" s="508"/>
      <c r="H45" s="508"/>
      <c r="I45" s="508"/>
      <c r="J45" s="508"/>
      <c r="K45" s="32"/>
      <c r="Q45" s="32"/>
      <c r="R45" s="32"/>
      <c r="S45" s="32"/>
      <c r="T45" s="32"/>
    </row>
    <row r="46" spans="1:20" s="40" customFormat="1">
      <c r="A46" s="382"/>
      <c r="B46" s="32"/>
      <c r="C46" s="32"/>
      <c r="D46" s="32"/>
      <c r="E46" s="32"/>
      <c r="F46" s="32"/>
      <c r="G46" s="508"/>
      <c r="H46" s="508"/>
      <c r="I46" s="508"/>
      <c r="J46" s="508"/>
      <c r="K46" s="32"/>
      <c r="Q46" s="32"/>
      <c r="R46" s="32"/>
      <c r="S46" s="32"/>
      <c r="T46" s="32"/>
    </row>
    <row r="47" spans="1:20" s="40" customFormat="1">
      <c r="A47" s="382"/>
      <c r="B47" s="32"/>
      <c r="C47" s="32"/>
      <c r="D47" s="32"/>
      <c r="E47" s="32"/>
      <c r="F47" s="32"/>
      <c r="G47" s="508"/>
      <c r="H47" s="508"/>
      <c r="I47" s="508"/>
      <c r="J47" s="508"/>
      <c r="K47" s="32"/>
      <c r="Q47" s="32"/>
      <c r="R47" s="32"/>
      <c r="S47" s="32"/>
      <c r="T47" s="32"/>
    </row>
    <row r="48" spans="1:20" s="40" customFormat="1">
      <c r="A48" s="32"/>
      <c r="B48" s="32"/>
      <c r="C48" s="32"/>
      <c r="D48" s="32"/>
      <c r="E48" s="32"/>
      <c r="F48" s="32"/>
      <c r="G48" s="508"/>
      <c r="H48" s="508"/>
      <c r="I48" s="508"/>
      <c r="J48" s="508"/>
      <c r="K48" s="32"/>
      <c r="Q48" s="32"/>
      <c r="R48" s="32"/>
      <c r="S48" s="32"/>
      <c r="T48" s="32"/>
    </row>
    <row r="49" spans="1:20" s="40" customFormat="1">
      <c r="A49" s="32"/>
      <c r="B49" s="32"/>
      <c r="C49" s="32"/>
      <c r="D49" s="32"/>
      <c r="E49" s="32"/>
      <c r="F49" s="32"/>
      <c r="G49" s="508"/>
      <c r="H49" s="508"/>
      <c r="I49" s="508"/>
      <c r="J49" s="508"/>
      <c r="K49" s="32"/>
      <c r="Q49" s="32"/>
      <c r="R49" s="32"/>
      <c r="S49" s="32"/>
      <c r="T49" s="32"/>
    </row>
    <row r="50" spans="1:20" s="40" customFormat="1">
      <c r="A50" s="32"/>
      <c r="B50" s="32"/>
      <c r="C50" s="32"/>
      <c r="D50" s="32"/>
      <c r="E50" s="32"/>
      <c r="F50" s="32"/>
      <c r="G50" s="508"/>
      <c r="H50" s="508"/>
      <c r="I50" s="508"/>
      <c r="J50" s="508"/>
      <c r="K50" s="32"/>
      <c r="Q50" s="32"/>
      <c r="R50" s="32"/>
      <c r="S50" s="32"/>
      <c r="T50" s="32"/>
    </row>
    <row r="51" spans="1:20" s="40" customFormat="1">
      <c r="A51" s="32"/>
      <c r="B51" s="32"/>
      <c r="C51" s="32"/>
      <c r="D51" s="32"/>
      <c r="E51" s="32"/>
      <c r="F51" s="32"/>
      <c r="G51" s="508"/>
      <c r="H51" s="508"/>
      <c r="I51" s="508"/>
      <c r="J51" s="508"/>
      <c r="K51" s="32"/>
      <c r="Q51" s="32"/>
      <c r="R51" s="32"/>
      <c r="S51" s="32"/>
      <c r="T51" s="32"/>
    </row>
    <row r="52" spans="1:20" s="40" customFormat="1">
      <c r="A52" s="219"/>
      <c r="B52" s="219"/>
      <c r="C52" s="219"/>
      <c r="D52" s="32"/>
      <c r="E52" s="32"/>
      <c r="F52" s="32"/>
      <c r="G52" s="508"/>
      <c r="H52" s="508"/>
      <c r="I52" s="508"/>
      <c r="J52" s="508"/>
      <c r="K52" s="32"/>
      <c r="Q52" s="219"/>
      <c r="R52" s="219"/>
      <c r="S52" s="219"/>
      <c r="T52" s="32"/>
    </row>
    <row r="53" spans="1:20" s="40" customFormat="1">
      <c r="A53" s="32" t="s">
        <v>132</v>
      </c>
      <c r="B53" s="32"/>
      <c r="C53" s="32"/>
      <c r="D53" s="521"/>
      <c r="E53" s="32"/>
      <c r="F53" s="32"/>
      <c r="G53" s="508"/>
      <c r="H53" s="508"/>
      <c r="I53" s="508"/>
      <c r="J53" s="508"/>
      <c r="K53" s="32"/>
      <c r="Q53" s="32" t="s">
        <v>132</v>
      </c>
      <c r="R53" s="32"/>
      <c r="S53" s="32"/>
      <c r="T53" s="32"/>
    </row>
    <row r="54" spans="1:20" s="40" customFormat="1">
      <c r="A54" s="32" t="s">
        <v>133</v>
      </c>
      <c r="B54" s="32"/>
      <c r="C54" s="32"/>
      <c r="D54" s="32"/>
      <c r="E54" s="32"/>
      <c r="F54" s="32"/>
      <c r="G54" s="508"/>
      <c r="H54" s="508"/>
      <c r="I54" s="508"/>
      <c r="J54" s="508"/>
      <c r="K54" s="32"/>
      <c r="Q54" s="32" t="s">
        <v>179</v>
      </c>
      <c r="R54" s="32"/>
      <c r="S54" s="32"/>
      <c r="T54" s="32"/>
    </row>
    <row r="55" spans="1:20" s="40" customFormat="1" ht="13.8" thickBot="1">
      <c r="B55" s="32"/>
      <c r="C55" s="32"/>
      <c r="D55" s="32"/>
      <c r="E55" s="32"/>
      <c r="F55" s="32"/>
      <c r="G55" s="508"/>
      <c r="H55" s="508"/>
      <c r="I55" s="508"/>
      <c r="J55" s="508"/>
      <c r="K55" s="32"/>
      <c r="S55" s="32"/>
      <c r="T55" s="32"/>
    </row>
    <row r="56" spans="1:20" s="40" customFormat="1">
      <c r="B56" s="32"/>
      <c r="C56" s="32"/>
      <c r="D56" s="32"/>
      <c r="E56" s="32"/>
      <c r="F56" s="32"/>
      <c r="G56" s="508"/>
      <c r="H56" s="508"/>
      <c r="I56" s="508"/>
      <c r="J56" s="508"/>
      <c r="K56" s="32"/>
      <c r="Q56" s="522" t="s">
        <v>180</v>
      </c>
      <c r="R56" s="523"/>
      <c r="S56" s="32"/>
      <c r="T56" s="32"/>
    </row>
    <row r="57" spans="1:20" s="40" customFormat="1">
      <c r="A57" s="32"/>
      <c r="B57" s="32"/>
      <c r="C57" s="32"/>
      <c r="D57" s="32"/>
      <c r="E57" s="32"/>
      <c r="F57" s="32"/>
      <c r="G57" s="508"/>
      <c r="H57" s="508"/>
      <c r="I57" s="508"/>
      <c r="J57" s="508"/>
      <c r="K57" s="32"/>
      <c r="Q57" s="524" t="s">
        <v>256</v>
      </c>
      <c r="R57" s="525"/>
      <c r="S57" s="32"/>
      <c r="T57" s="32"/>
    </row>
    <row r="58" spans="1:20" s="40" customFormat="1">
      <c r="A58" s="32"/>
      <c r="B58" s="32"/>
      <c r="C58" s="32"/>
      <c r="D58" s="32"/>
      <c r="E58" s="32"/>
      <c r="F58" s="32"/>
      <c r="G58" s="508"/>
      <c r="H58" s="508"/>
      <c r="I58" s="508"/>
      <c r="J58" s="508"/>
      <c r="K58" s="32"/>
      <c r="Q58" s="524"/>
      <c r="R58" s="525"/>
      <c r="S58" s="32"/>
      <c r="T58" s="32"/>
    </row>
    <row r="59" spans="1:20" s="40" customFormat="1" ht="13.8" thickBot="1">
      <c r="A59" s="387"/>
      <c r="B59" s="32"/>
      <c r="C59" s="32"/>
      <c r="D59" s="32"/>
      <c r="E59" s="32"/>
      <c r="F59" s="32"/>
      <c r="G59" s="32"/>
      <c r="H59" s="32"/>
      <c r="I59" s="32"/>
      <c r="J59" s="32"/>
      <c r="K59" s="32"/>
      <c r="Q59" s="526" t="s">
        <v>181</v>
      </c>
      <c r="R59" s="527"/>
      <c r="S59" s="32"/>
      <c r="T59" s="32"/>
    </row>
    <row r="60" spans="1:20" s="40" customFormat="1">
      <c r="A60" s="366"/>
      <c r="B60" s="528"/>
      <c r="C60" s="528"/>
      <c r="D60" s="528"/>
      <c r="E60" s="528"/>
      <c r="F60" s="528"/>
      <c r="G60" s="32"/>
      <c r="H60" s="32"/>
      <c r="I60" s="32"/>
      <c r="J60" s="32"/>
      <c r="K60" s="32"/>
    </row>
  </sheetData>
  <sheetProtection formatCells="0" formatColumns="0" formatRows="0" insertColumns="0" insertRows="0"/>
  <mergeCells count="2">
    <mergeCell ref="A1:T1"/>
    <mergeCell ref="A2:T2"/>
  </mergeCells>
  <conditionalFormatting sqref="A1:T1">
    <cfRule type="cellIs" dxfId="4" priority="5" stopIfTrue="1" operator="equal">
      <formula>"PANTA RETAIL LTD."</formula>
    </cfRule>
  </conditionalFormatting>
  <conditionalFormatting sqref="C6:C10">
    <cfRule type="cellIs" dxfId="3" priority="3" stopIfTrue="1" operator="equal">
      <formula>"VAT INCLUDED"</formula>
    </cfRule>
    <cfRule type="cellIs" dxfId="2" priority="4" stopIfTrue="1" operator="equal">
      <formula>"VAT EXCLUDED"</formula>
    </cfRule>
  </conditionalFormatting>
  <conditionalFormatting sqref="F21">
    <cfRule type="cellIs" dxfId="1" priority="1" stopIfTrue="1" operator="equal">
      <formula>"VAT INCLUDED"</formula>
    </cfRule>
    <cfRule type="cellIs" dxfId="0" priority="2" stopIfTrue="1" operator="equal">
      <formula>"VAT EXCLUDED"</formula>
    </cfRule>
  </conditionalFormatting>
  <pageMargins left="0.75" right="0.32" top="0.37" bottom="0.6" header="0.26" footer="0.31"/>
  <pageSetup paperSize="9" orientation="portrait" horizontalDpi="300" verticalDpi="3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J620"/>
  <sheetViews>
    <sheetView showGridLines="0" topLeftCell="A515" zoomScale="130" zoomScaleNormal="130" workbookViewId="0">
      <selection activeCell="L354" sqref="L354"/>
    </sheetView>
  </sheetViews>
  <sheetFormatPr defaultRowHeight="13.2"/>
  <cols>
    <col min="1" max="1" width="7.6640625" style="579" customWidth="1"/>
    <col min="2" max="2" width="48.6640625" style="555" customWidth="1"/>
    <col min="3" max="3" width="5.6640625" style="580" customWidth="1"/>
    <col min="4" max="4" width="7.6640625" style="555" customWidth="1"/>
    <col min="5" max="5" width="9.44140625" style="555" customWidth="1"/>
    <col min="6" max="6" width="8.77734375" style="555" customWidth="1"/>
    <col min="7" max="7" width="10.33203125" style="581" hidden="1" customWidth="1"/>
    <col min="8" max="8" width="12.109375" style="581" hidden="1" customWidth="1"/>
    <col min="9" max="257" width="8.88671875" style="555"/>
    <col min="258" max="258" width="7.6640625" style="555" customWidth="1"/>
    <col min="259" max="259" width="2.6640625" style="555" customWidth="1"/>
    <col min="260" max="260" width="48.6640625" style="555" customWidth="1"/>
    <col min="261" max="261" width="7.6640625" style="555" customWidth="1"/>
    <col min="262" max="262" width="5.6640625" style="555" customWidth="1"/>
    <col min="263" max="263" width="10.33203125" style="555" customWidth="1"/>
    <col min="264" max="264" width="12.109375" style="555" customWidth="1"/>
    <col min="265" max="513" width="8.88671875" style="555"/>
    <col min="514" max="514" width="7.6640625" style="555" customWidth="1"/>
    <col min="515" max="515" width="2.6640625" style="555" customWidth="1"/>
    <col min="516" max="516" width="48.6640625" style="555" customWidth="1"/>
    <col min="517" max="517" width="7.6640625" style="555" customWidth="1"/>
    <col min="518" max="518" width="5.6640625" style="555" customWidth="1"/>
    <col min="519" max="519" width="10.33203125" style="555" customWidth="1"/>
    <col min="520" max="520" width="12.109375" style="555" customWidth="1"/>
    <col min="521" max="769" width="8.88671875" style="555"/>
    <col min="770" max="770" width="7.6640625" style="555" customWidth="1"/>
    <col min="771" max="771" width="2.6640625" style="555" customWidth="1"/>
    <col min="772" max="772" width="48.6640625" style="555" customWidth="1"/>
    <col min="773" max="773" width="7.6640625" style="555" customWidth="1"/>
    <col min="774" max="774" width="5.6640625" style="555" customWidth="1"/>
    <col min="775" max="775" width="10.33203125" style="555" customWidth="1"/>
    <col min="776" max="776" width="12.109375" style="555" customWidth="1"/>
    <col min="777" max="1025" width="8.88671875" style="555"/>
    <col min="1026" max="1026" width="7.6640625" style="555" customWidth="1"/>
    <col min="1027" max="1027" width="2.6640625" style="555" customWidth="1"/>
    <col min="1028" max="1028" width="48.6640625" style="555" customWidth="1"/>
    <col min="1029" max="1029" width="7.6640625" style="555" customWidth="1"/>
    <col min="1030" max="1030" width="5.6640625" style="555" customWidth="1"/>
    <col min="1031" max="1031" width="10.33203125" style="555" customWidth="1"/>
    <col min="1032" max="1032" width="12.109375" style="555" customWidth="1"/>
    <col min="1033" max="1281" width="8.88671875" style="555"/>
    <col min="1282" max="1282" width="7.6640625" style="555" customWidth="1"/>
    <col min="1283" max="1283" width="2.6640625" style="555" customWidth="1"/>
    <col min="1284" max="1284" width="48.6640625" style="555" customWidth="1"/>
    <col min="1285" max="1285" width="7.6640625" style="555" customWidth="1"/>
    <col min="1286" max="1286" width="5.6640625" style="555" customWidth="1"/>
    <col min="1287" max="1287" width="10.33203125" style="555" customWidth="1"/>
    <col min="1288" max="1288" width="12.109375" style="555" customWidth="1"/>
    <col min="1289" max="1537" width="8.88671875" style="555"/>
    <col min="1538" max="1538" width="7.6640625" style="555" customWidth="1"/>
    <col min="1539" max="1539" width="2.6640625" style="555" customWidth="1"/>
    <col min="1540" max="1540" width="48.6640625" style="555" customWidth="1"/>
    <col min="1541" max="1541" width="7.6640625" style="555" customWidth="1"/>
    <col min="1542" max="1542" width="5.6640625" style="555" customWidth="1"/>
    <col min="1543" max="1543" width="10.33203125" style="555" customWidth="1"/>
    <col min="1544" max="1544" width="12.109375" style="555" customWidth="1"/>
    <col min="1545" max="1793" width="8.88671875" style="555"/>
    <col min="1794" max="1794" width="7.6640625" style="555" customWidth="1"/>
    <col min="1795" max="1795" width="2.6640625" style="555" customWidth="1"/>
    <col min="1796" max="1796" width="48.6640625" style="555" customWidth="1"/>
    <col min="1797" max="1797" width="7.6640625" style="555" customWidth="1"/>
    <col min="1798" max="1798" width="5.6640625" style="555" customWidth="1"/>
    <col min="1799" max="1799" width="10.33203125" style="555" customWidth="1"/>
    <col min="1800" max="1800" width="12.109375" style="555" customWidth="1"/>
    <col min="1801" max="2049" width="8.88671875" style="555"/>
    <col min="2050" max="2050" width="7.6640625" style="555" customWidth="1"/>
    <col min="2051" max="2051" width="2.6640625" style="555" customWidth="1"/>
    <col min="2052" max="2052" width="48.6640625" style="555" customWidth="1"/>
    <col min="2053" max="2053" width="7.6640625" style="555" customWidth="1"/>
    <col min="2054" max="2054" width="5.6640625" style="555" customWidth="1"/>
    <col min="2055" max="2055" width="10.33203125" style="555" customWidth="1"/>
    <col min="2056" max="2056" width="12.109375" style="555" customWidth="1"/>
    <col min="2057" max="2305" width="8.88671875" style="555"/>
    <col min="2306" max="2306" width="7.6640625" style="555" customWidth="1"/>
    <col min="2307" max="2307" width="2.6640625" style="555" customWidth="1"/>
    <col min="2308" max="2308" width="48.6640625" style="555" customWidth="1"/>
    <col min="2309" max="2309" width="7.6640625" style="555" customWidth="1"/>
    <col min="2310" max="2310" width="5.6640625" style="555" customWidth="1"/>
    <col min="2311" max="2311" width="10.33203125" style="555" customWidth="1"/>
    <col min="2312" max="2312" width="12.109375" style="555" customWidth="1"/>
    <col min="2313" max="2561" width="8.88671875" style="555"/>
    <col min="2562" max="2562" width="7.6640625" style="555" customWidth="1"/>
    <col min="2563" max="2563" width="2.6640625" style="555" customWidth="1"/>
    <col min="2564" max="2564" width="48.6640625" style="555" customWidth="1"/>
    <col min="2565" max="2565" width="7.6640625" style="555" customWidth="1"/>
    <col min="2566" max="2566" width="5.6640625" style="555" customWidth="1"/>
    <col min="2567" max="2567" width="10.33203125" style="555" customWidth="1"/>
    <col min="2568" max="2568" width="12.109375" style="555" customWidth="1"/>
    <col min="2569" max="2817" width="8.88671875" style="555"/>
    <col min="2818" max="2818" width="7.6640625" style="555" customWidth="1"/>
    <col min="2819" max="2819" width="2.6640625" style="555" customWidth="1"/>
    <col min="2820" max="2820" width="48.6640625" style="555" customWidth="1"/>
    <col min="2821" max="2821" width="7.6640625" style="555" customWidth="1"/>
    <col min="2822" max="2822" width="5.6640625" style="555" customWidth="1"/>
    <col min="2823" max="2823" width="10.33203125" style="555" customWidth="1"/>
    <col min="2824" max="2824" width="12.109375" style="555" customWidth="1"/>
    <col min="2825" max="3073" width="8.88671875" style="555"/>
    <col min="3074" max="3074" width="7.6640625" style="555" customWidth="1"/>
    <col min="3075" max="3075" width="2.6640625" style="555" customWidth="1"/>
    <col min="3076" max="3076" width="48.6640625" style="555" customWidth="1"/>
    <col min="3077" max="3077" width="7.6640625" style="555" customWidth="1"/>
    <col min="3078" max="3078" width="5.6640625" style="555" customWidth="1"/>
    <col min="3079" max="3079" width="10.33203125" style="555" customWidth="1"/>
    <col min="3080" max="3080" width="12.109375" style="555" customWidth="1"/>
    <col min="3081" max="3329" width="8.88671875" style="555"/>
    <col min="3330" max="3330" width="7.6640625" style="555" customWidth="1"/>
    <col min="3331" max="3331" width="2.6640625" style="555" customWidth="1"/>
    <col min="3332" max="3332" width="48.6640625" style="555" customWidth="1"/>
    <col min="3333" max="3333" width="7.6640625" style="555" customWidth="1"/>
    <col min="3334" max="3334" width="5.6640625" style="555" customWidth="1"/>
    <col min="3335" max="3335" width="10.33203125" style="555" customWidth="1"/>
    <col min="3336" max="3336" width="12.109375" style="555" customWidth="1"/>
    <col min="3337" max="3585" width="8.88671875" style="555"/>
    <col min="3586" max="3586" width="7.6640625" style="555" customWidth="1"/>
    <col min="3587" max="3587" width="2.6640625" style="555" customWidth="1"/>
    <col min="3588" max="3588" width="48.6640625" style="555" customWidth="1"/>
    <col min="3589" max="3589" width="7.6640625" style="555" customWidth="1"/>
    <col min="3590" max="3590" width="5.6640625" style="555" customWidth="1"/>
    <col min="3591" max="3591" width="10.33203125" style="555" customWidth="1"/>
    <col min="3592" max="3592" width="12.109375" style="555" customWidth="1"/>
    <col min="3593" max="3841" width="8.88671875" style="555"/>
    <col min="3842" max="3842" width="7.6640625" style="555" customWidth="1"/>
    <col min="3843" max="3843" width="2.6640625" style="555" customWidth="1"/>
    <col min="3844" max="3844" width="48.6640625" style="555" customWidth="1"/>
    <col min="3845" max="3845" width="7.6640625" style="555" customWidth="1"/>
    <col min="3846" max="3846" width="5.6640625" style="555" customWidth="1"/>
    <col min="3847" max="3847" width="10.33203125" style="555" customWidth="1"/>
    <col min="3848" max="3848" width="12.109375" style="555" customWidth="1"/>
    <col min="3849" max="4097" width="8.88671875" style="555"/>
    <col min="4098" max="4098" width="7.6640625" style="555" customWidth="1"/>
    <col min="4099" max="4099" width="2.6640625" style="555" customWidth="1"/>
    <col min="4100" max="4100" width="48.6640625" style="555" customWidth="1"/>
    <col min="4101" max="4101" width="7.6640625" style="555" customWidth="1"/>
    <col min="4102" max="4102" width="5.6640625" style="555" customWidth="1"/>
    <col min="4103" max="4103" width="10.33203125" style="555" customWidth="1"/>
    <col min="4104" max="4104" width="12.109375" style="555" customWidth="1"/>
    <col min="4105" max="4353" width="8.88671875" style="555"/>
    <col min="4354" max="4354" width="7.6640625" style="555" customWidth="1"/>
    <col min="4355" max="4355" width="2.6640625" style="555" customWidth="1"/>
    <col min="4356" max="4356" width="48.6640625" style="555" customWidth="1"/>
    <col min="4357" max="4357" width="7.6640625" style="555" customWidth="1"/>
    <col min="4358" max="4358" width="5.6640625" style="555" customWidth="1"/>
    <col min="4359" max="4359" width="10.33203125" style="555" customWidth="1"/>
    <col min="4360" max="4360" width="12.109375" style="555" customWidth="1"/>
    <col min="4361" max="4609" width="8.88671875" style="555"/>
    <col min="4610" max="4610" width="7.6640625" style="555" customWidth="1"/>
    <col min="4611" max="4611" width="2.6640625" style="555" customWidth="1"/>
    <col min="4612" max="4612" width="48.6640625" style="555" customWidth="1"/>
    <col min="4613" max="4613" width="7.6640625" style="555" customWidth="1"/>
    <col min="4614" max="4614" width="5.6640625" style="555" customWidth="1"/>
    <col min="4615" max="4615" width="10.33203125" style="555" customWidth="1"/>
    <col min="4616" max="4616" width="12.109375" style="555" customWidth="1"/>
    <col min="4617" max="4865" width="8.88671875" style="555"/>
    <col min="4866" max="4866" width="7.6640625" style="555" customWidth="1"/>
    <col min="4867" max="4867" width="2.6640625" style="555" customWidth="1"/>
    <col min="4868" max="4868" width="48.6640625" style="555" customWidth="1"/>
    <col min="4869" max="4869" width="7.6640625" style="555" customWidth="1"/>
    <col min="4870" max="4870" width="5.6640625" style="555" customWidth="1"/>
    <col min="4871" max="4871" width="10.33203125" style="555" customWidth="1"/>
    <col min="4872" max="4872" width="12.109375" style="555" customWidth="1"/>
    <col min="4873" max="5121" width="8.88671875" style="555"/>
    <col min="5122" max="5122" width="7.6640625" style="555" customWidth="1"/>
    <col min="5123" max="5123" width="2.6640625" style="555" customWidth="1"/>
    <col min="5124" max="5124" width="48.6640625" style="555" customWidth="1"/>
    <col min="5125" max="5125" width="7.6640625" style="555" customWidth="1"/>
    <col min="5126" max="5126" width="5.6640625" style="555" customWidth="1"/>
    <col min="5127" max="5127" width="10.33203125" style="555" customWidth="1"/>
    <col min="5128" max="5128" width="12.109375" style="555" customWidth="1"/>
    <col min="5129" max="5377" width="8.88671875" style="555"/>
    <col min="5378" max="5378" width="7.6640625" style="555" customWidth="1"/>
    <col min="5379" max="5379" width="2.6640625" style="555" customWidth="1"/>
    <col min="5380" max="5380" width="48.6640625" style="555" customWidth="1"/>
    <col min="5381" max="5381" width="7.6640625" style="555" customWidth="1"/>
    <col min="5382" max="5382" width="5.6640625" style="555" customWidth="1"/>
    <col min="5383" max="5383" width="10.33203125" style="555" customWidth="1"/>
    <col min="5384" max="5384" width="12.109375" style="555" customWidth="1"/>
    <col min="5385" max="5633" width="8.88671875" style="555"/>
    <col min="5634" max="5634" width="7.6640625" style="555" customWidth="1"/>
    <col min="5635" max="5635" width="2.6640625" style="555" customWidth="1"/>
    <col min="5636" max="5636" width="48.6640625" style="555" customWidth="1"/>
    <col min="5637" max="5637" width="7.6640625" style="555" customWidth="1"/>
    <col min="5638" max="5638" width="5.6640625" style="555" customWidth="1"/>
    <col min="5639" max="5639" width="10.33203125" style="555" customWidth="1"/>
    <col min="5640" max="5640" width="12.109375" style="555" customWidth="1"/>
    <col min="5641" max="5889" width="8.88671875" style="555"/>
    <col min="5890" max="5890" width="7.6640625" style="555" customWidth="1"/>
    <col min="5891" max="5891" width="2.6640625" style="555" customWidth="1"/>
    <col min="5892" max="5892" width="48.6640625" style="555" customWidth="1"/>
    <col min="5893" max="5893" width="7.6640625" style="555" customWidth="1"/>
    <col min="5894" max="5894" width="5.6640625" style="555" customWidth="1"/>
    <col min="5895" max="5895" width="10.33203125" style="555" customWidth="1"/>
    <col min="5896" max="5896" width="12.109375" style="555" customWidth="1"/>
    <col min="5897" max="6145" width="8.88671875" style="555"/>
    <col min="6146" max="6146" width="7.6640625" style="555" customWidth="1"/>
    <col min="6147" max="6147" width="2.6640625" style="555" customWidth="1"/>
    <col min="6148" max="6148" width="48.6640625" style="555" customWidth="1"/>
    <col min="6149" max="6149" width="7.6640625" style="555" customWidth="1"/>
    <col min="6150" max="6150" width="5.6640625" style="555" customWidth="1"/>
    <col min="6151" max="6151" width="10.33203125" style="555" customWidth="1"/>
    <col min="6152" max="6152" width="12.109375" style="555" customWidth="1"/>
    <col min="6153" max="6401" width="8.88671875" style="555"/>
    <col min="6402" max="6402" width="7.6640625" style="555" customWidth="1"/>
    <col min="6403" max="6403" width="2.6640625" style="555" customWidth="1"/>
    <col min="6404" max="6404" width="48.6640625" style="555" customWidth="1"/>
    <col min="6405" max="6405" width="7.6640625" style="555" customWidth="1"/>
    <col min="6406" max="6406" width="5.6640625" style="555" customWidth="1"/>
    <col min="6407" max="6407" width="10.33203125" style="555" customWidth="1"/>
    <col min="6408" max="6408" width="12.109375" style="555" customWidth="1"/>
    <col min="6409" max="6657" width="8.88671875" style="555"/>
    <col min="6658" max="6658" width="7.6640625" style="555" customWidth="1"/>
    <col min="6659" max="6659" width="2.6640625" style="555" customWidth="1"/>
    <col min="6660" max="6660" width="48.6640625" style="555" customWidth="1"/>
    <col min="6661" max="6661" width="7.6640625" style="555" customWidth="1"/>
    <col min="6662" max="6662" width="5.6640625" style="555" customWidth="1"/>
    <col min="6663" max="6663" width="10.33203125" style="555" customWidth="1"/>
    <col min="6664" max="6664" width="12.109375" style="555" customWidth="1"/>
    <col min="6665" max="6913" width="8.88671875" style="555"/>
    <col min="6914" max="6914" width="7.6640625" style="555" customWidth="1"/>
    <col min="6915" max="6915" width="2.6640625" style="555" customWidth="1"/>
    <col min="6916" max="6916" width="48.6640625" style="555" customWidth="1"/>
    <col min="6917" max="6917" width="7.6640625" style="555" customWidth="1"/>
    <col min="6918" max="6918" width="5.6640625" style="555" customWidth="1"/>
    <col min="6919" max="6919" width="10.33203125" style="555" customWidth="1"/>
    <col min="6920" max="6920" width="12.109375" style="555" customWidth="1"/>
    <col min="6921" max="7169" width="8.88671875" style="555"/>
    <col min="7170" max="7170" width="7.6640625" style="555" customWidth="1"/>
    <col min="7171" max="7171" width="2.6640625" style="555" customWidth="1"/>
    <col min="7172" max="7172" width="48.6640625" style="555" customWidth="1"/>
    <col min="7173" max="7173" width="7.6640625" style="555" customWidth="1"/>
    <col min="7174" max="7174" width="5.6640625" style="555" customWidth="1"/>
    <col min="7175" max="7175" width="10.33203125" style="555" customWidth="1"/>
    <col min="7176" max="7176" width="12.109375" style="555" customWidth="1"/>
    <col min="7177" max="7425" width="8.88671875" style="555"/>
    <col min="7426" max="7426" width="7.6640625" style="555" customWidth="1"/>
    <col min="7427" max="7427" width="2.6640625" style="555" customWidth="1"/>
    <col min="7428" max="7428" width="48.6640625" style="555" customWidth="1"/>
    <col min="7429" max="7429" width="7.6640625" style="555" customWidth="1"/>
    <col min="7430" max="7430" width="5.6640625" style="555" customWidth="1"/>
    <col min="7431" max="7431" width="10.33203125" style="555" customWidth="1"/>
    <col min="7432" max="7432" width="12.109375" style="555" customWidth="1"/>
    <col min="7433" max="7681" width="8.88671875" style="555"/>
    <col min="7682" max="7682" width="7.6640625" style="555" customWidth="1"/>
    <col min="7683" max="7683" width="2.6640625" style="555" customWidth="1"/>
    <col min="7684" max="7684" width="48.6640625" style="555" customWidth="1"/>
    <col min="7685" max="7685" width="7.6640625" style="555" customWidth="1"/>
    <col min="7686" max="7686" width="5.6640625" style="555" customWidth="1"/>
    <col min="7687" max="7687" width="10.33203125" style="555" customWidth="1"/>
    <col min="7688" max="7688" width="12.109375" style="555" customWidth="1"/>
    <col min="7689" max="7937" width="8.88671875" style="555"/>
    <col min="7938" max="7938" width="7.6640625" style="555" customWidth="1"/>
    <col min="7939" max="7939" width="2.6640625" style="555" customWidth="1"/>
    <col min="7940" max="7940" width="48.6640625" style="555" customWidth="1"/>
    <col min="7941" max="7941" width="7.6640625" style="555" customWidth="1"/>
    <col min="7942" max="7942" width="5.6640625" style="555" customWidth="1"/>
    <col min="7943" max="7943" width="10.33203125" style="555" customWidth="1"/>
    <col min="7944" max="7944" width="12.109375" style="555" customWidth="1"/>
    <col min="7945" max="8193" width="8.88671875" style="555"/>
    <col min="8194" max="8194" width="7.6640625" style="555" customWidth="1"/>
    <col min="8195" max="8195" width="2.6640625" style="555" customWidth="1"/>
    <col min="8196" max="8196" width="48.6640625" style="555" customWidth="1"/>
    <col min="8197" max="8197" width="7.6640625" style="555" customWidth="1"/>
    <col min="8198" max="8198" width="5.6640625" style="555" customWidth="1"/>
    <col min="8199" max="8199" width="10.33203125" style="555" customWidth="1"/>
    <col min="8200" max="8200" width="12.109375" style="555" customWidth="1"/>
    <col min="8201" max="8449" width="8.88671875" style="555"/>
    <col min="8450" max="8450" width="7.6640625" style="555" customWidth="1"/>
    <col min="8451" max="8451" width="2.6640625" style="555" customWidth="1"/>
    <col min="8452" max="8452" width="48.6640625" style="555" customWidth="1"/>
    <col min="8453" max="8453" width="7.6640625" style="555" customWidth="1"/>
    <col min="8454" max="8454" width="5.6640625" style="555" customWidth="1"/>
    <col min="8455" max="8455" width="10.33203125" style="555" customWidth="1"/>
    <col min="8456" max="8456" width="12.109375" style="555" customWidth="1"/>
    <col min="8457" max="8705" width="8.88671875" style="555"/>
    <col min="8706" max="8706" width="7.6640625" style="555" customWidth="1"/>
    <col min="8707" max="8707" width="2.6640625" style="555" customWidth="1"/>
    <col min="8708" max="8708" width="48.6640625" style="555" customWidth="1"/>
    <col min="8709" max="8709" width="7.6640625" style="555" customWidth="1"/>
    <col min="8710" max="8710" width="5.6640625" style="555" customWidth="1"/>
    <col min="8711" max="8711" width="10.33203125" style="555" customWidth="1"/>
    <col min="8712" max="8712" width="12.109375" style="555" customWidth="1"/>
    <col min="8713" max="8961" width="8.88671875" style="555"/>
    <col min="8962" max="8962" width="7.6640625" style="555" customWidth="1"/>
    <col min="8963" max="8963" width="2.6640625" style="555" customWidth="1"/>
    <col min="8964" max="8964" width="48.6640625" style="555" customWidth="1"/>
    <col min="8965" max="8965" width="7.6640625" style="555" customWidth="1"/>
    <col min="8966" max="8966" width="5.6640625" style="555" customWidth="1"/>
    <col min="8967" max="8967" width="10.33203125" style="555" customWidth="1"/>
    <col min="8968" max="8968" width="12.109375" style="555" customWidth="1"/>
    <col min="8969" max="9217" width="8.88671875" style="555"/>
    <col min="9218" max="9218" width="7.6640625" style="555" customWidth="1"/>
    <col min="9219" max="9219" width="2.6640625" style="555" customWidth="1"/>
    <col min="9220" max="9220" width="48.6640625" style="555" customWidth="1"/>
    <col min="9221" max="9221" width="7.6640625" style="555" customWidth="1"/>
    <col min="9222" max="9222" width="5.6640625" style="555" customWidth="1"/>
    <col min="9223" max="9223" width="10.33203125" style="555" customWidth="1"/>
    <col min="9224" max="9224" width="12.109375" style="555" customWidth="1"/>
    <col min="9225" max="9473" width="8.88671875" style="555"/>
    <col min="9474" max="9474" width="7.6640625" style="555" customWidth="1"/>
    <col min="9475" max="9475" width="2.6640625" style="555" customWidth="1"/>
    <col min="9476" max="9476" width="48.6640625" style="555" customWidth="1"/>
    <col min="9477" max="9477" width="7.6640625" style="555" customWidth="1"/>
    <col min="9478" max="9478" width="5.6640625" style="555" customWidth="1"/>
    <col min="9479" max="9479" width="10.33203125" style="555" customWidth="1"/>
    <col min="9480" max="9480" width="12.109375" style="555" customWidth="1"/>
    <col min="9481" max="9729" width="8.88671875" style="555"/>
    <col min="9730" max="9730" width="7.6640625" style="555" customWidth="1"/>
    <col min="9731" max="9731" width="2.6640625" style="555" customWidth="1"/>
    <col min="9732" max="9732" width="48.6640625" style="555" customWidth="1"/>
    <col min="9733" max="9733" width="7.6640625" style="555" customWidth="1"/>
    <col min="9734" max="9734" width="5.6640625" style="555" customWidth="1"/>
    <col min="9735" max="9735" width="10.33203125" style="555" customWidth="1"/>
    <col min="9736" max="9736" width="12.109375" style="555" customWidth="1"/>
    <col min="9737" max="9985" width="8.88671875" style="555"/>
    <col min="9986" max="9986" width="7.6640625" style="555" customWidth="1"/>
    <col min="9987" max="9987" width="2.6640625" style="555" customWidth="1"/>
    <col min="9988" max="9988" width="48.6640625" style="555" customWidth="1"/>
    <col min="9989" max="9989" width="7.6640625" style="555" customWidth="1"/>
    <col min="9990" max="9990" width="5.6640625" style="555" customWidth="1"/>
    <col min="9991" max="9991" width="10.33203125" style="555" customWidth="1"/>
    <col min="9992" max="9992" width="12.109375" style="555" customWidth="1"/>
    <col min="9993" max="10241" width="8.88671875" style="555"/>
    <col min="10242" max="10242" width="7.6640625" style="555" customWidth="1"/>
    <col min="10243" max="10243" width="2.6640625" style="555" customWidth="1"/>
    <col min="10244" max="10244" width="48.6640625" style="555" customWidth="1"/>
    <col min="10245" max="10245" width="7.6640625" style="555" customWidth="1"/>
    <col min="10246" max="10246" width="5.6640625" style="555" customWidth="1"/>
    <col min="10247" max="10247" width="10.33203125" style="555" customWidth="1"/>
    <col min="10248" max="10248" width="12.109375" style="555" customWidth="1"/>
    <col min="10249" max="10497" width="8.88671875" style="555"/>
    <col min="10498" max="10498" width="7.6640625" style="555" customWidth="1"/>
    <col min="10499" max="10499" width="2.6640625" style="555" customWidth="1"/>
    <col min="10500" max="10500" width="48.6640625" style="555" customWidth="1"/>
    <col min="10501" max="10501" width="7.6640625" style="555" customWidth="1"/>
    <col min="10502" max="10502" width="5.6640625" style="555" customWidth="1"/>
    <col min="10503" max="10503" width="10.33203125" style="555" customWidth="1"/>
    <col min="10504" max="10504" width="12.109375" style="555" customWidth="1"/>
    <col min="10505" max="10753" width="8.88671875" style="555"/>
    <col min="10754" max="10754" width="7.6640625" style="555" customWidth="1"/>
    <col min="10755" max="10755" width="2.6640625" style="555" customWidth="1"/>
    <col min="10756" max="10756" width="48.6640625" style="555" customWidth="1"/>
    <col min="10757" max="10757" width="7.6640625" style="555" customWidth="1"/>
    <col min="10758" max="10758" width="5.6640625" style="555" customWidth="1"/>
    <col min="10759" max="10759" width="10.33203125" style="555" customWidth="1"/>
    <col min="10760" max="10760" width="12.109375" style="555" customWidth="1"/>
    <col min="10761" max="11009" width="8.88671875" style="555"/>
    <col min="11010" max="11010" width="7.6640625" style="555" customWidth="1"/>
    <col min="11011" max="11011" width="2.6640625" style="555" customWidth="1"/>
    <col min="11012" max="11012" width="48.6640625" style="555" customWidth="1"/>
    <col min="11013" max="11013" width="7.6640625" style="555" customWidth="1"/>
    <col min="11014" max="11014" width="5.6640625" style="555" customWidth="1"/>
    <col min="11015" max="11015" width="10.33203125" style="555" customWidth="1"/>
    <col min="11016" max="11016" width="12.109375" style="555" customWidth="1"/>
    <col min="11017" max="11265" width="8.88671875" style="555"/>
    <col min="11266" max="11266" width="7.6640625" style="555" customWidth="1"/>
    <col min="11267" max="11267" width="2.6640625" style="555" customWidth="1"/>
    <col min="11268" max="11268" width="48.6640625" style="555" customWidth="1"/>
    <col min="11269" max="11269" width="7.6640625" style="555" customWidth="1"/>
    <col min="11270" max="11270" width="5.6640625" style="555" customWidth="1"/>
    <col min="11271" max="11271" width="10.33203125" style="555" customWidth="1"/>
    <col min="11272" max="11272" width="12.109375" style="555" customWidth="1"/>
    <col min="11273" max="11521" width="8.88671875" style="555"/>
    <col min="11522" max="11522" width="7.6640625" style="555" customWidth="1"/>
    <col min="11523" max="11523" width="2.6640625" style="555" customWidth="1"/>
    <col min="11524" max="11524" width="48.6640625" style="555" customWidth="1"/>
    <col min="11525" max="11525" width="7.6640625" style="555" customWidth="1"/>
    <col min="11526" max="11526" width="5.6640625" style="555" customWidth="1"/>
    <col min="11527" max="11527" width="10.33203125" style="555" customWidth="1"/>
    <col min="11528" max="11528" width="12.109375" style="555" customWidth="1"/>
    <col min="11529" max="11777" width="8.88671875" style="555"/>
    <col min="11778" max="11778" width="7.6640625" style="555" customWidth="1"/>
    <col min="11779" max="11779" width="2.6640625" style="555" customWidth="1"/>
    <col min="11780" max="11780" width="48.6640625" style="555" customWidth="1"/>
    <col min="11781" max="11781" width="7.6640625" style="555" customWidth="1"/>
    <col min="11782" max="11782" width="5.6640625" style="555" customWidth="1"/>
    <col min="11783" max="11783" width="10.33203125" style="555" customWidth="1"/>
    <col min="11784" max="11784" width="12.109375" style="555" customWidth="1"/>
    <col min="11785" max="12033" width="8.88671875" style="555"/>
    <col min="12034" max="12034" width="7.6640625" style="555" customWidth="1"/>
    <col min="12035" max="12035" width="2.6640625" style="555" customWidth="1"/>
    <col min="12036" max="12036" width="48.6640625" style="555" customWidth="1"/>
    <col min="12037" max="12037" width="7.6640625" style="555" customWidth="1"/>
    <col min="12038" max="12038" width="5.6640625" style="555" customWidth="1"/>
    <col min="12039" max="12039" width="10.33203125" style="555" customWidth="1"/>
    <col min="12040" max="12040" width="12.109375" style="555" customWidth="1"/>
    <col min="12041" max="12289" width="8.88671875" style="555"/>
    <col min="12290" max="12290" width="7.6640625" style="555" customWidth="1"/>
    <col min="12291" max="12291" width="2.6640625" style="555" customWidth="1"/>
    <col min="12292" max="12292" width="48.6640625" style="555" customWidth="1"/>
    <col min="12293" max="12293" width="7.6640625" style="555" customWidth="1"/>
    <col min="12294" max="12294" width="5.6640625" style="555" customWidth="1"/>
    <col min="12295" max="12295" width="10.33203125" style="555" customWidth="1"/>
    <col min="12296" max="12296" width="12.109375" style="555" customWidth="1"/>
    <col min="12297" max="12545" width="8.88671875" style="555"/>
    <col min="12546" max="12546" width="7.6640625" style="555" customWidth="1"/>
    <col min="12547" max="12547" width="2.6640625" style="555" customWidth="1"/>
    <col min="12548" max="12548" width="48.6640625" style="555" customWidth="1"/>
    <col min="12549" max="12549" width="7.6640625" style="555" customWidth="1"/>
    <col min="12550" max="12550" width="5.6640625" style="555" customWidth="1"/>
    <col min="12551" max="12551" width="10.33203125" style="555" customWidth="1"/>
    <col min="12552" max="12552" width="12.109375" style="555" customWidth="1"/>
    <col min="12553" max="12801" width="8.88671875" style="555"/>
    <col min="12802" max="12802" width="7.6640625" style="555" customWidth="1"/>
    <col min="12803" max="12803" width="2.6640625" style="555" customWidth="1"/>
    <col min="12804" max="12804" width="48.6640625" style="555" customWidth="1"/>
    <col min="12805" max="12805" width="7.6640625" style="555" customWidth="1"/>
    <col min="12806" max="12806" width="5.6640625" style="555" customWidth="1"/>
    <col min="12807" max="12807" width="10.33203125" style="555" customWidth="1"/>
    <col min="12808" max="12808" width="12.109375" style="555" customWidth="1"/>
    <col min="12809" max="13057" width="8.88671875" style="555"/>
    <col min="13058" max="13058" width="7.6640625" style="555" customWidth="1"/>
    <col min="13059" max="13059" width="2.6640625" style="555" customWidth="1"/>
    <col min="13060" max="13060" width="48.6640625" style="555" customWidth="1"/>
    <col min="13061" max="13061" width="7.6640625" style="555" customWidth="1"/>
    <col min="13062" max="13062" width="5.6640625" style="555" customWidth="1"/>
    <col min="13063" max="13063" width="10.33203125" style="555" customWidth="1"/>
    <col min="13064" max="13064" width="12.109375" style="555" customWidth="1"/>
    <col min="13065" max="13313" width="8.88671875" style="555"/>
    <col min="13314" max="13314" width="7.6640625" style="555" customWidth="1"/>
    <col min="13315" max="13315" width="2.6640625" style="555" customWidth="1"/>
    <col min="13316" max="13316" width="48.6640625" style="555" customWidth="1"/>
    <col min="13317" max="13317" width="7.6640625" style="555" customWidth="1"/>
    <col min="13318" max="13318" width="5.6640625" style="555" customWidth="1"/>
    <col min="13319" max="13319" width="10.33203125" style="555" customWidth="1"/>
    <col min="13320" max="13320" width="12.109375" style="555" customWidth="1"/>
    <col min="13321" max="13569" width="8.88671875" style="555"/>
    <col min="13570" max="13570" width="7.6640625" style="555" customWidth="1"/>
    <col min="13571" max="13571" width="2.6640625" style="555" customWidth="1"/>
    <col min="13572" max="13572" width="48.6640625" style="555" customWidth="1"/>
    <col min="13573" max="13573" width="7.6640625" style="555" customWidth="1"/>
    <col min="13574" max="13574" width="5.6640625" style="555" customWidth="1"/>
    <col min="13575" max="13575" width="10.33203125" style="555" customWidth="1"/>
    <col min="13576" max="13576" width="12.109375" style="555" customWidth="1"/>
    <col min="13577" max="13825" width="8.88671875" style="555"/>
    <col min="13826" max="13826" width="7.6640625" style="555" customWidth="1"/>
    <col min="13827" max="13827" width="2.6640625" style="555" customWidth="1"/>
    <col min="13828" max="13828" width="48.6640625" style="555" customWidth="1"/>
    <col min="13829" max="13829" width="7.6640625" style="555" customWidth="1"/>
    <col min="13830" max="13830" width="5.6640625" style="555" customWidth="1"/>
    <col min="13831" max="13831" width="10.33203125" style="555" customWidth="1"/>
    <col min="13832" max="13832" width="12.109375" style="555" customWidth="1"/>
    <col min="13833" max="14081" width="8.88671875" style="555"/>
    <col min="14082" max="14082" width="7.6640625" style="555" customWidth="1"/>
    <col min="14083" max="14083" width="2.6640625" style="555" customWidth="1"/>
    <col min="14084" max="14084" width="48.6640625" style="555" customWidth="1"/>
    <col min="14085" max="14085" width="7.6640625" style="555" customWidth="1"/>
    <col min="14086" max="14086" width="5.6640625" style="555" customWidth="1"/>
    <col min="14087" max="14087" width="10.33203125" style="555" customWidth="1"/>
    <col min="14088" max="14088" width="12.109375" style="555" customWidth="1"/>
    <col min="14089" max="14337" width="8.88671875" style="555"/>
    <col min="14338" max="14338" width="7.6640625" style="555" customWidth="1"/>
    <col min="14339" max="14339" width="2.6640625" style="555" customWidth="1"/>
    <col min="14340" max="14340" width="48.6640625" style="555" customWidth="1"/>
    <col min="14341" max="14341" width="7.6640625" style="555" customWidth="1"/>
    <col min="14342" max="14342" width="5.6640625" style="555" customWidth="1"/>
    <col min="14343" max="14343" width="10.33203125" style="555" customWidth="1"/>
    <col min="14344" max="14344" width="12.109375" style="555" customWidth="1"/>
    <col min="14345" max="14593" width="8.88671875" style="555"/>
    <col min="14594" max="14594" width="7.6640625" style="555" customWidth="1"/>
    <col min="14595" max="14595" width="2.6640625" style="555" customWidth="1"/>
    <col min="14596" max="14596" width="48.6640625" style="555" customWidth="1"/>
    <col min="14597" max="14597" width="7.6640625" style="555" customWidth="1"/>
    <col min="14598" max="14598" width="5.6640625" style="555" customWidth="1"/>
    <col min="14599" max="14599" width="10.33203125" style="555" customWidth="1"/>
    <col min="14600" max="14600" width="12.109375" style="555" customWidth="1"/>
    <col min="14601" max="14849" width="8.88671875" style="555"/>
    <col min="14850" max="14850" width="7.6640625" style="555" customWidth="1"/>
    <col min="14851" max="14851" width="2.6640625" style="555" customWidth="1"/>
    <col min="14852" max="14852" width="48.6640625" style="555" customWidth="1"/>
    <col min="14853" max="14853" width="7.6640625" style="555" customWidth="1"/>
    <col min="14854" max="14854" width="5.6640625" style="555" customWidth="1"/>
    <col min="14855" max="14855" width="10.33203125" style="555" customWidth="1"/>
    <col min="14856" max="14856" width="12.109375" style="555" customWidth="1"/>
    <col min="14857" max="15105" width="8.88671875" style="555"/>
    <col min="15106" max="15106" width="7.6640625" style="555" customWidth="1"/>
    <col min="15107" max="15107" width="2.6640625" style="555" customWidth="1"/>
    <col min="15108" max="15108" width="48.6640625" style="555" customWidth="1"/>
    <col min="15109" max="15109" width="7.6640625" style="555" customWidth="1"/>
    <col min="15110" max="15110" width="5.6640625" style="555" customWidth="1"/>
    <col min="15111" max="15111" width="10.33203125" style="555" customWidth="1"/>
    <col min="15112" max="15112" width="12.109375" style="555" customWidth="1"/>
    <col min="15113" max="15361" width="8.88671875" style="555"/>
    <col min="15362" max="15362" width="7.6640625" style="555" customWidth="1"/>
    <col min="15363" max="15363" width="2.6640625" style="555" customWidth="1"/>
    <col min="15364" max="15364" width="48.6640625" style="555" customWidth="1"/>
    <col min="15365" max="15365" width="7.6640625" style="555" customWidth="1"/>
    <col min="15366" max="15366" width="5.6640625" style="555" customWidth="1"/>
    <col min="15367" max="15367" width="10.33203125" style="555" customWidth="1"/>
    <col min="15368" max="15368" width="12.109375" style="555" customWidth="1"/>
    <col min="15369" max="15617" width="8.88671875" style="555"/>
    <col min="15618" max="15618" width="7.6640625" style="555" customWidth="1"/>
    <col min="15619" max="15619" width="2.6640625" style="555" customWidth="1"/>
    <col min="15620" max="15620" width="48.6640625" style="555" customWidth="1"/>
    <col min="15621" max="15621" width="7.6640625" style="555" customWidth="1"/>
    <col min="15622" max="15622" width="5.6640625" style="555" customWidth="1"/>
    <col min="15623" max="15623" width="10.33203125" style="555" customWidth="1"/>
    <col min="15624" max="15624" width="12.109375" style="555" customWidth="1"/>
    <col min="15625" max="15873" width="8.88671875" style="555"/>
    <col min="15874" max="15874" width="7.6640625" style="555" customWidth="1"/>
    <col min="15875" max="15875" width="2.6640625" style="555" customWidth="1"/>
    <col min="15876" max="15876" width="48.6640625" style="555" customWidth="1"/>
    <col min="15877" max="15877" width="7.6640625" style="555" customWidth="1"/>
    <col min="15878" max="15878" width="5.6640625" style="555" customWidth="1"/>
    <col min="15879" max="15879" width="10.33203125" style="555" customWidth="1"/>
    <col min="15880" max="15880" width="12.109375" style="555" customWidth="1"/>
    <col min="15881" max="16129" width="8.88671875" style="555"/>
    <col min="16130" max="16130" width="7.6640625" style="555" customWidth="1"/>
    <col min="16131" max="16131" width="2.6640625" style="555" customWidth="1"/>
    <col min="16132" max="16132" width="48.6640625" style="555" customWidth="1"/>
    <col min="16133" max="16133" width="7.6640625" style="555" customWidth="1"/>
    <col min="16134" max="16134" width="5.6640625" style="555" customWidth="1"/>
    <col min="16135" max="16135" width="10.33203125" style="555" customWidth="1"/>
    <col min="16136" max="16136" width="12.109375" style="555" customWidth="1"/>
    <col min="16137" max="16384" width="8.88671875" style="555"/>
  </cols>
  <sheetData>
    <row r="1" spans="1:10" ht="17.399999999999999">
      <c r="A1" s="811" t="s">
        <v>265</v>
      </c>
      <c r="B1" s="812"/>
      <c r="C1" s="813"/>
      <c r="D1" s="812"/>
      <c r="E1" s="812"/>
      <c r="F1" s="814"/>
      <c r="G1" s="553"/>
      <c r="H1" s="554"/>
    </row>
    <row r="2" spans="1:10">
      <c r="A2" s="815" t="s">
        <v>271</v>
      </c>
      <c r="B2" s="816"/>
      <c r="C2" s="817"/>
      <c r="D2" s="816"/>
      <c r="E2" s="816"/>
      <c r="F2" s="818"/>
      <c r="G2" s="556"/>
      <c r="H2" s="557"/>
    </row>
    <row r="3" spans="1:10">
      <c r="A3" s="815"/>
      <c r="B3" s="816"/>
      <c r="C3" s="817"/>
      <c r="D3" s="816"/>
      <c r="E3" s="816"/>
      <c r="F3" s="818"/>
      <c r="G3" s="556"/>
      <c r="H3" s="557"/>
    </row>
    <row r="4" spans="1:10">
      <c r="A4" s="819"/>
      <c r="B4" s="820"/>
      <c r="C4" s="821"/>
      <c r="D4" s="820"/>
      <c r="E4" s="820"/>
      <c r="F4" s="822"/>
      <c r="G4" s="558"/>
      <c r="H4" s="582"/>
    </row>
    <row r="5" spans="1:10" ht="27" thickBot="1">
      <c r="A5" s="823" t="s">
        <v>266</v>
      </c>
      <c r="B5" s="559"/>
      <c r="C5" s="561" t="s">
        <v>267</v>
      </c>
      <c r="D5" s="560" t="s">
        <v>257</v>
      </c>
      <c r="E5" s="794" t="s">
        <v>539</v>
      </c>
      <c r="F5" s="824" t="s">
        <v>540</v>
      </c>
      <c r="G5" s="800" t="s">
        <v>268</v>
      </c>
      <c r="H5" s="562" t="s">
        <v>258</v>
      </c>
    </row>
    <row r="6" spans="1:10">
      <c r="A6" s="825"/>
      <c r="B6" s="826"/>
      <c r="C6" s="564"/>
      <c r="D6" s="563"/>
      <c r="E6" s="563"/>
      <c r="F6" s="827"/>
      <c r="G6" s="801"/>
      <c r="H6" s="568"/>
    </row>
    <row r="7" spans="1:10" ht="32.25" customHeight="1">
      <c r="A7" s="825"/>
      <c r="B7" s="828" t="s">
        <v>272</v>
      </c>
      <c r="C7" s="567"/>
      <c r="D7" s="563"/>
      <c r="E7" s="563"/>
      <c r="F7" s="827"/>
      <c r="G7" s="801"/>
      <c r="H7" s="568"/>
    </row>
    <row r="8" spans="1:10">
      <c r="A8" s="825"/>
      <c r="B8" s="829"/>
      <c r="C8" s="567"/>
      <c r="D8" s="563"/>
      <c r="E8" s="563"/>
      <c r="F8" s="827"/>
      <c r="G8" s="801"/>
      <c r="H8" s="568"/>
    </row>
    <row r="9" spans="1:10">
      <c r="A9" s="825"/>
      <c r="B9" s="829" t="s">
        <v>273</v>
      </c>
      <c r="C9" s="567"/>
      <c r="D9" s="563"/>
      <c r="E9" s="563"/>
      <c r="F9" s="827"/>
      <c r="G9" s="801"/>
      <c r="H9" s="568"/>
    </row>
    <row r="10" spans="1:10">
      <c r="A10" s="825"/>
      <c r="B10" s="583"/>
      <c r="C10" s="567"/>
      <c r="D10" s="563"/>
      <c r="E10" s="563"/>
      <c r="F10" s="827"/>
      <c r="G10" s="801"/>
      <c r="H10" s="568"/>
      <c r="J10" s="555" t="s">
        <v>7</v>
      </c>
    </row>
    <row r="11" spans="1:10" ht="52.8">
      <c r="A11" s="825">
        <v>1</v>
      </c>
      <c r="B11" s="583" t="s">
        <v>274</v>
      </c>
      <c r="C11" s="567"/>
      <c r="D11" s="563"/>
      <c r="E11" s="563"/>
      <c r="F11" s="827"/>
      <c r="G11" s="801"/>
      <c r="H11" s="568"/>
    </row>
    <row r="12" spans="1:10">
      <c r="A12" s="825"/>
      <c r="B12" s="829"/>
      <c r="C12" s="567"/>
      <c r="D12" s="563"/>
      <c r="E12" s="563"/>
      <c r="F12" s="827"/>
      <c r="G12" s="801"/>
      <c r="H12" s="568"/>
    </row>
    <row r="13" spans="1:10">
      <c r="A13" s="825"/>
      <c r="B13" s="569" t="s">
        <v>276</v>
      </c>
      <c r="C13" s="567">
        <v>50</v>
      </c>
      <c r="D13" s="563" t="s">
        <v>277</v>
      </c>
      <c r="E13" s="563"/>
      <c r="F13" s="827"/>
      <c r="G13" s="801"/>
      <c r="H13" s="568">
        <f>G13*C13</f>
        <v>0</v>
      </c>
    </row>
    <row r="14" spans="1:10">
      <c r="A14" s="825"/>
      <c r="B14" s="569"/>
      <c r="C14" s="567"/>
      <c r="D14" s="563"/>
      <c r="E14" s="563"/>
      <c r="F14" s="827"/>
      <c r="G14" s="801"/>
      <c r="H14" s="568"/>
    </row>
    <row r="15" spans="1:10">
      <c r="A15" s="825"/>
      <c r="B15" s="569" t="s">
        <v>279</v>
      </c>
      <c r="C15" s="567">
        <v>45</v>
      </c>
      <c r="D15" s="563" t="s">
        <v>277</v>
      </c>
      <c r="E15" s="563"/>
      <c r="F15" s="827"/>
      <c r="G15" s="801"/>
      <c r="H15" s="568">
        <f t="shared" ref="H15:H39" si="0">G15*C15</f>
        <v>0</v>
      </c>
    </row>
    <row r="16" spans="1:10">
      <c r="A16" s="825"/>
      <c r="B16" s="830"/>
      <c r="C16" s="567"/>
      <c r="D16" s="563"/>
      <c r="E16" s="563"/>
      <c r="F16" s="827"/>
      <c r="G16" s="801"/>
      <c r="H16" s="568"/>
    </row>
    <row r="17" spans="1:8">
      <c r="A17" s="825"/>
      <c r="B17" s="829"/>
      <c r="C17" s="567"/>
      <c r="D17" s="563"/>
      <c r="E17" s="563"/>
      <c r="F17" s="827"/>
      <c r="G17" s="801"/>
      <c r="H17" s="568"/>
    </row>
    <row r="18" spans="1:8">
      <c r="A18" s="825">
        <v>2</v>
      </c>
      <c r="B18" s="583" t="s">
        <v>280</v>
      </c>
      <c r="C18" s="567"/>
      <c r="D18" s="563"/>
      <c r="E18" s="563"/>
      <c r="F18" s="827"/>
      <c r="G18" s="801"/>
      <c r="H18" s="568"/>
    </row>
    <row r="19" spans="1:8">
      <c r="A19" s="825"/>
      <c r="B19" s="583"/>
      <c r="C19" s="567"/>
      <c r="D19" s="563"/>
      <c r="E19" s="563"/>
      <c r="F19" s="827"/>
      <c r="G19" s="801"/>
      <c r="H19" s="568"/>
    </row>
    <row r="20" spans="1:8">
      <c r="A20" s="825"/>
      <c r="B20" s="569" t="s">
        <v>276</v>
      </c>
      <c r="C20" s="567">
        <v>5</v>
      </c>
      <c r="D20" s="563" t="s">
        <v>140</v>
      </c>
      <c r="E20" s="563"/>
      <c r="F20" s="827"/>
      <c r="G20" s="801"/>
      <c r="H20" s="568">
        <f t="shared" si="0"/>
        <v>0</v>
      </c>
    </row>
    <row r="21" spans="1:8">
      <c r="A21" s="825"/>
      <c r="B21" s="569"/>
      <c r="C21" s="567"/>
      <c r="D21" s="563"/>
      <c r="E21" s="563"/>
      <c r="F21" s="827"/>
      <c r="G21" s="801"/>
      <c r="H21" s="568"/>
    </row>
    <row r="22" spans="1:8">
      <c r="A22" s="825"/>
      <c r="B22" s="569" t="s">
        <v>279</v>
      </c>
      <c r="C22" s="567">
        <v>3</v>
      </c>
      <c r="D22" s="563" t="s">
        <v>140</v>
      </c>
      <c r="E22" s="563"/>
      <c r="F22" s="827"/>
      <c r="G22" s="801"/>
      <c r="H22" s="568">
        <f t="shared" si="0"/>
        <v>0</v>
      </c>
    </row>
    <row r="23" spans="1:8">
      <c r="A23" s="825"/>
      <c r="B23" s="569"/>
      <c r="C23" s="567"/>
      <c r="D23" s="563"/>
      <c r="E23" s="563"/>
      <c r="F23" s="827"/>
      <c r="G23" s="801"/>
      <c r="H23" s="568"/>
    </row>
    <row r="24" spans="1:8">
      <c r="A24" s="825"/>
      <c r="B24" s="569"/>
      <c r="C24" s="567"/>
      <c r="D24" s="563"/>
      <c r="E24" s="563"/>
      <c r="F24" s="827"/>
      <c r="G24" s="801"/>
      <c r="H24" s="568"/>
    </row>
    <row r="25" spans="1:8">
      <c r="A25" s="831" t="s">
        <v>485</v>
      </c>
      <c r="B25" s="832" t="s">
        <v>281</v>
      </c>
      <c r="C25" s="567"/>
      <c r="D25" s="563"/>
      <c r="E25" s="563"/>
      <c r="F25" s="827"/>
      <c r="G25" s="801"/>
      <c r="H25" s="568"/>
    </row>
    <row r="26" spans="1:8">
      <c r="A26" s="825"/>
      <c r="B26" s="583"/>
      <c r="C26" s="567"/>
      <c r="D26" s="563"/>
      <c r="E26" s="563"/>
      <c r="F26" s="827"/>
      <c r="G26" s="801"/>
      <c r="H26" s="568"/>
    </row>
    <row r="27" spans="1:8" ht="52.8">
      <c r="A27" s="825">
        <v>3</v>
      </c>
      <c r="B27" s="583" t="s">
        <v>282</v>
      </c>
      <c r="C27" s="567">
        <v>2</v>
      </c>
      <c r="D27" s="563" t="s">
        <v>140</v>
      </c>
      <c r="E27" s="563"/>
      <c r="F27" s="827"/>
      <c r="G27" s="801"/>
      <c r="H27" s="568">
        <f t="shared" si="0"/>
        <v>0</v>
      </c>
    </row>
    <row r="28" spans="1:8">
      <c r="A28" s="825"/>
      <c r="B28" s="583"/>
      <c r="C28" s="567"/>
      <c r="D28" s="563"/>
      <c r="E28" s="563"/>
      <c r="F28" s="827"/>
      <c r="G28" s="801"/>
      <c r="H28" s="568"/>
    </row>
    <row r="29" spans="1:8">
      <c r="A29" s="825"/>
      <c r="B29" s="583"/>
      <c r="C29" s="567"/>
      <c r="D29" s="563"/>
      <c r="E29" s="563"/>
      <c r="F29" s="827"/>
      <c r="G29" s="801"/>
      <c r="H29" s="568"/>
    </row>
    <row r="30" spans="1:8" ht="52.8">
      <c r="A30" s="831">
        <v>4</v>
      </c>
      <c r="B30" s="584" t="s">
        <v>283</v>
      </c>
      <c r="C30" s="586">
        <v>1</v>
      </c>
      <c r="D30" s="585" t="s">
        <v>140</v>
      </c>
      <c r="E30" s="587">
        <f>Elec_Est!AM23</f>
        <v>5.53</v>
      </c>
      <c r="F30" s="833">
        <f>Elec_Est!AN23</f>
        <v>1.22</v>
      </c>
      <c r="G30" s="802">
        <f>Elec_Est!E23</f>
        <v>39.03</v>
      </c>
      <c r="H30" s="588">
        <f t="shared" si="0"/>
        <v>39.03</v>
      </c>
    </row>
    <row r="31" spans="1:8">
      <c r="A31" s="825"/>
      <c r="B31" s="583"/>
      <c r="C31" s="567"/>
      <c r="D31" s="563"/>
      <c r="E31" s="563"/>
      <c r="F31" s="827"/>
      <c r="G31" s="801"/>
      <c r="H31" s="568"/>
    </row>
    <row r="32" spans="1:8">
      <c r="A32" s="825"/>
      <c r="B32" s="583"/>
      <c r="C32" s="567"/>
      <c r="D32" s="563"/>
      <c r="E32" s="563"/>
      <c r="F32" s="827"/>
      <c r="G32" s="801"/>
      <c r="H32" s="568"/>
    </row>
    <row r="33" spans="1:8" ht="66">
      <c r="A33" s="825">
        <v>5</v>
      </c>
      <c r="B33" s="583" t="s">
        <v>284</v>
      </c>
      <c r="C33" s="567"/>
      <c r="D33" s="563"/>
      <c r="E33" s="563"/>
      <c r="F33" s="827"/>
      <c r="G33" s="801"/>
      <c r="H33" s="568"/>
    </row>
    <row r="34" spans="1:8">
      <c r="A34" s="825"/>
      <c r="B34" s="583"/>
      <c r="C34" s="567"/>
      <c r="D34" s="563"/>
      <c r="E34" s="563"/>
      <c r="F34" s="827"/>
      <c r="G34" s="801"/>
      <c r="H34" s="568"/>
    </row>
    <row r="35" spans="1:8">
      <c r="A35" s="825"/>
      <c r="B35" s="569" t="s">
        <v>276</v>
      </c>
      <c r="C35" s="567">
        <v>8</v>
      </c>
      <c r="D35" s="563" t="s">
        <v>277</v>
      </c>
      <c r="E35" s="563"/>
      <c r="F35" s="827"/>
      <c r="G35" s="801"/>
      <c r="H35" s="568">
        <f t="shared" si="0"/>
        <v>0</v>
      </c>
    </row>
    <row r="36" spans="1:8">
      <c r="A36" s="825"/>
      <c r="B36" s="583"/>
      <c r="C36" s="567"/>
      <c r="D36" s="563"/>
      <c r="E36" s="563"/>
      <c r="F36" s="827"/>
      <c r="G36" s="801"/>
      <c r="H36" s="568"/>
    </row>
    <row r="37" spans="1:8">
      <c r="A37" s="825"/>
      <c r="B37" s="569" t="s">
        <v>279</v>
      </c>
      <c r="C37" s="567">
        <v>20</v>
      </c>
      <c r="D37" s="563" t="s">
        <v>277</v>
      </c>
      <c r="E37" s="563"/>
      <c r="F37" s="827"/>
      <c r="G37" s="801"/>
      <c r="H37" s="568">
        <f t="shared" si="0"/>
        <v>0</v>
      </c>
    </row>
    <row r="38" spans="1:8">
      <c r="A38" s="825"/>
      <c r="B38" s="569"/>
      <c r="C38" s="567"/>
      <c r="D38" s="563"/>
      <c r="E38" s="563"/>
      <c r="F38" s="827"/>
      <c r="G38" s="801"/>
      <c r="H38" s="568"/>
    </row>
    <row r="39" spans="1:8">
      <c r="A39" s="825"/>
      <c r="B39" s="569" t="s">
        <v>285</v>
      </c>
      <c r="C39" s="567">
        <v>60</v>
      </c>
      <c r="D39" s="563" t="s">
        <v>277</v>
      </c>
      <c r="E39" s="563"/>
      <c r="F39" s="827"/>
      <c r="G39" s="801"/>
      <c r="H39" s="568">
        <f t="shared" si="0"/>
        <v>0</v>
      </c>
    </row>
    <row r="40" spans="1:8">
      <c r="A40" s="825"/>
      <c r="B40" s="569"/>
      <c r="C40" s="590"/>
      <c r="D40" s="589"/>
      <c r="E40" s="589"/>
      <c r="F40" s="827"/>
      <c r="G40" s="803"/>
      <c r="H40" s="568"/>
    </row>
    <row r="41" spans="1:8">
      <c r="A41" s="834"/>
      <c r="B41" s="591"/>
      <c r="C41" s="593"/>
      <c r="D41" s="592"/>
      <c r="E41" s="592"/>
      <c r="F41" s="835"/>
      <c r="G41" s="804"/>
      <c r="H41" s="568"/>
    </row>
    <row r="42" spans="1:8">
      <c r="A42" s="834"/>
      <c r="B42" s="591"/>
      <c r="C42" s="593"/>
      <c r="D42" s="592"/>
      <c r="E42" s="592"/>
      <c r="F42" s="835"/>
      <c r="G42" s="804"/>
      <c r="H42" s="568"/>
    </row>
    <row r="43" spans="1:8" ht="13.8" thickBot="1">
      <c r="A43" s="836"/>
      <c r="B43" s="594"/>
      <c r="C43" s="596"/>
      <c r="D43" s="595"/>
      <c r="E43" s="595"/>
      <c r="F43" s="837"/>
      <c r="G43" s="805"/>
    </row>
    <row r="44" spans="1:8">
      <c r="A44" s="838"/>
      <c r="B44" s="573"/>
      <c r="C44" s="574"/>
      <c r="D44" s="795"/>
      <c r="E44" s="796"/>
      <c r="F44" s="839"/>
      <c r="G44" s="806"/>
      <c r="H44" s="597"/>
    </row>
    <row r="45" spans="1:8">
      <c r="A45" s="840"/>
      <c r="B45" s="841" t="s">
        <v>270</v>
      </c>
      <c r="C45" s="842"/>
      <c r="D45" s="797"/>
      <c r="E45" s="575">
        <f>SUM(E6:E43)</f>
        <v>5.53</v>
      </c>
      <c r="F45" s="843">
        <f>SUM(F6:F43)</f>
        <v>1.22</v>
      </c>
      <c r="G45" s="807"/>
      <c r="H45" s="575">
        <f>SUM(H6:H43)</f>
        <v>39.03</v>
      </c>
    </row>
    <row r="46" spans="1:8">
      <c r="A46" s="844"/>
      <c r="B46" s="576"/>
      <c r="C46" s="577"/>
      <c r="D46" s="798"/>
      <c r="E46" s="799"/>
      <c r="F46" s="845"/>
      <c r="G46" s="808"/>
      <c r="H46" s="598"/>
    </row>
    <row r="47" spans="1:8" ht="17.399999999999999">
      <c r="A47" s="846"/>
      <c r="B47" s="578"/>
      <c r="C47" s="552"/>
      <c r="D47" s="551"/>
      <c r="E47" s="551"/>
      <c r="F47" s="847"/>
      <c r="G47" s="553"/>
      <c r="H47" s="554"/>
    </row>
    <row r="48" spans="1:8">
      <c r="A48" s="848"/>
      <c r="B48" s="849"/>
      <c r="C48" s="817"/>
      <c r="D48" s="816"/>
      <c r="E48" s="816"/>
      <c r="F48" s="818"/>
      <c r="G48" s="556"/>
      <c r="H48" s="557"/>
    </row>
    <row r="49" spans="1:8">
      <c r="A49" s="848"/>
      <c r="B49" s="849"/>
      <c r="C49" s="817"/>
      <c r="D49" s="816"/>
      <c r="E49" s="816"/>
      <c r="F49" s="818"/>
      <c r="G49" s="556"/>
      <c r="H49" s="557"/>
    </row>
    <row r="50" spans="1:8">
      <c r="A50" s="840"/>
      <c r="B50" s="850"/>
      <c r="C50" s="821"/>
      <c r="D50" s="820"/>
      <c r="E50" s="820"/>
      <c r="F50" s="822"/>
      <c r="G50" s="558"/>
      <c r="H50" s="582"/>
    </row>
    <row r="51" spans="1:8" ht="27" thickBot="1">
      <c r="A51" s="851" t="s">
        <v>266</v>
      </c>
      <c r="B51" s="559"/>
      <c r="C51" s="561" t="s">
        <v>267</v>
      </c>
      <c r="D51" s="560" t="s">
        <v>257</v>
      </c>
      <c r="E51" s="794" t="s">
        <v>539</v>
      </c>
      <c r="F51" s="824" t="s">
        <v>540</v>
      </c>
      <c r="G51" s="800" t="s">
        <v>268</v>
      </c>
      <c r="H51" s="562" t="s">
        <v>258</v>
      </c>
    </row>
    <row r="52" spans="1:8">
      <c r="A52" s="825"/>
      <c r="B52" s="826"/>
      <c r="C52" s="564"/>
      <c r="D52" s="563"/>
      <c r="E52" s="563"/>
      <c r="F52" s="827"/>
      <c r="G52" s="801"/>
      <c r="H52" s="568"/>
    </row>
    <row r="53" spans="1:8">
      <c r="A53" s="825"/>
      <c r="B53" s="583" t="s">
        <v>286</v>
      </c>
      <c r="C53" s="567">
        <v>30</v>
      </c>
      <c r="D53" s="563" t="s">
        <v>277</v>
      </c>
      <c r="E53" s="563"/>
      <c r="F53" s="827"/>
      <c r="G53" s="801"/>
      <c r="H53" s="568">
        <f>G53*C53</f>
        <v>0</v>
      </c>
    </row>
    <row r="54" spans="1:8">
      <c r="A54" s="825"/>
      <c r="B54" s="583"/>
      <c r="C54" s="567"/>
      <c r="D54" s="563"/>
      <c r="E54" s="563"/>
      <c r="F54" s="827"/>
      <c r="G54" s="801"/>
      <c r="H54" s="568"/>
    </row>
    <row r="55" spans="1:8">
      <c r="A55" s="825"/>
      <c r="B55" s="583" t="s">
        <v>288</v>
      </c>
      <c r="C55" s="567">
        <v>30</v>
      </c>
      <c r="D55" s="563" t="s">
        <v>277</v>
      </c>
      <c r="E55" s="563"/>
      <c r="F55" s="827"/>
      <c r="G55" s="801"/>
      <c r="H55" s="568">
        <f t="shared" ref="H55:H89" si="1">G55*C55</f>
        <v>0</v>
      </c>
    </row>
    <row r="56" spans="1:8">
      <c r="A56" s="825"/>
      <c r="B56" s="569"/>
      <c r="C56" s="567"/>
      <c r="D56" s="563"/>
      <c r="E56" s="563"/>
      <c r="F56" s="827"/>
      <c r="G56" s="801"/>
      <c r="H56" s="568"/>
    </row>
    <row r="57" spans="1:8">
      <c r="A57" s="825"/>
      <c r="B57" s="569"/>
      <c r="C57" s="567"/>
      <c r="D57" s="563"/>
      <c r="E57" s="563"/>
      <c r="F57" s="827"/>
      <c r="G57" s="801"/>
      <c r="H57" s="568"/>
    </row>
    <row r="58" spans="1:8">
      <c r="A58" s="825">
        <v>6</v>
      </c>
      <c r="B58" s="583" t="s">
        <v>289</v>
      </c>
      <c r="C58" s="567"/>
      <c r="D58" s="563"/>
      <c r="E58" s="563"/>
      <c r="F58" s="827"/>
      <c r="G58" s="801"/>
      <c r="H58" s="568"/>
    </row>
    <row r="59" spans="1:8">
      <c r="A59" s="825"/>
      <c r="B59" s="583"/>
      <c r="C59" s="567"/>
      <c r="D59" s="563"/>
      <c r="E59" s="563"/>
      <c r="F59" s="827"/>
      <c r="G59" s="801"/>
      <c r="H59" s="568"/>
    </row>
    <row r="60" spans="1:8">
      <c r="A60" s="825"/>
      <c r="B60" s="569" t="s">
        <v>276</v>
      </c>
      <c r="C60" s="567">
        <v>4</v>
      </c>
      <c r="D60" s="563" t="s">
        <v>140</v>
      </c>
      <c r="E60" s="563"/>
      <c r="F60" s="827"/>
      <c r="G60" s="801"/>
      <c r="H60" s="568">
        <f t="shared" si="1"/>
        <v>0</v>
      </c>
    </row>
    <row r="61" spans="1:8">
      <c r="A61" s="825"/>
      <c r="B61" s="583"/>
      <c r="C61" s="567"/>
      <c r="D61" s="563"/>
      <c r="E61" s="563"/>
      <c r="F61" s="827"/>
      <c r="G61" s="801"/>
      <c r="H61" s="568"/>
    </row>
    <row r="62" spans="1:8">
      <c r="A62" s="825"/>
      <c r="B62" s="569" t="s">
        <v>279</v>
      </c>
      <c r="C62" s="567">
        <v>8</v>
      </c>
      <c r="D62" s="563" t="s">
        <v>140</v>
      </c>
      <c r="E62" s="563"/>
      <c r="F62" s="827"/>
      <c r="G62" s="801"/>
      <c r="H62" s="568">
        <f t="shared" si="1"/>
        <v>0</v>
      </c>
    </row>
    <row r="63" spans="1:8">
      <c r="A63" s="825"/>
      <c r="B63" s="569"/>
      <c r="C63" s="567"/>
      <c r="D63" s="563"/>
      <c r="E63" s="563"/>
      <c r="F63" s="827"/>
      <c r="G63" s="801"/>
      <c r="H63" s="568"/>
    </row>
    <row r="64" spans="1:8">
      <c r="A64" s="825"/>
      <c r="B64" s="569" t="s">
        <v>285</v>
      </c>
      <c r="C64" s="567">
        <v>11</v>
      </c>
      <c r="D64" s="563" t="s">
        <v>140</v>
      </c>
      <c r="E64" s="563"/>
      <c r="F64" s="827"/>
      <c r="G64" s="801"/>
      <c r="H64" s="568">
        <f t="shared" si="1"/>
        <v>0</v>
      </c>
    </row>
    <row r="65" spans="1:8">
      <c r="A65" s="825"/>
      <c r="B65" s="583"/>
      <c r="C65" s="567"/>
      <c r="D65" s="563"/>
      <c r="E65" s="563"/>
      <c r="F65" s="827"/>
      <c r="G65" s="801"/>
      <c r="H65" s="568"/>
    </row>
    <row r="66" spans="1:8">
      <c r="A66" s="825"/>
      <c r="B66" s="583" t="s">
        <v>288</v>
      </c>
      <c r="C66" s="567">
        <v>9</v>
      </c>
      <c r="D66" s="563" t="s">
        <v>140</v>
      </c>
      <c r="E66" s="563"/>
      <c r="F66" s="827"/>
      <c r="G66" s="801"/>
      <c r="H66" s="568">
        <f t="shared" si="1"/>
        <v>0</v>
      </c>
    </row>
    <row r="67" spans="1:8">
      <c r="A67" s="825"/>
      <c r="B67" s="583"/>
      <c r="C67" s="567"/>
      <c r="D67" s="563"/>
      <c r="E67" s="563"/>
      <c r="F67" s="827"/>
      <c r="G67" s="801"/>
      <c r="H67" s="568"/>
    </row>
    <row r="68" spans="1:8">
      <c r="A68" s="825"/>
      <c r="B68" s="583"/>
      <c r="C68" s="567"/>
      <c r="D68" s="563"/>
      <c r="E68" s="563"/>
      <c r="F68" s="827"/>
      <c r="G68" s="801"/>
      <c r="H68" s="568"/>
    </row>
    <row r="69" spans="1:8" ht="26.4">
      <c r="A69" s="825">
        <v>7</v>
      </c>
      <c r="B69" s="583" t="s">
        <v>290</v>
      </c>
      <c r="C69" s="567"/>
      <c r="D69" s="563"/>
      <c r="E69" s="563"/>
      <c r="F69" s="827"/>
      <c r="G69" s="801"/>
      <c r="H69" s="568"/>
    </row>
    <row r="70" spans="1:8">
      <c r="A70" s="825"/>
      <c r="B70" s="583"/>
      <c r="C70" s="567"/>
      <c r="D70" s="563"/>
      <c r="E70" s="563"/>
      <c r="F70" s="827"/>
      <c r="G70" s="801"/>
      <c r="H70" s="568"/>
    </row>
    <row r="71" spans="1:8">
      <c r="A71" s="825"/>
      <c r="B71" s="569" t="s">
        <v>276</v>
      </c>
      <c r="C71" s="567">
        <v>2</v>
      </c>
      <c r="D71" s="563" t="s">
        <v>140</v>
      </c>
      <c r="E71" s="563"/>
      <c r="F71" s="827"/>
      <c r="G71" s="801"/>
      <c r="H71" s="568">
        <f t="shared" si="1"/>
        <v>0</v>
      </c>
    </row>
    <row r="72" spans="1:8">
      <c r="A72" s="825"/>
      <c r="B72" s="583"/>
      <c r="C72" s="567"/>
      <c r="D72" s="563"/>
      <c r="E72" s="563"/>
      <c r="F72" s="827"/>
      <c r="G72" s="801"/>
      <c r="H72" s="568"/>
    </row>
    <row r="73" spans="1:8">
      <c r="A73" s="825"/>
      <c r="B73" s="583"/>
      <c r="C73" s="567"/>
      <c r="D73" s="563"/>
      <c r="E73" s="563"/>
      <c r="F73" s="827"/>
      <c r="G73" s="801"/>
      <c r="H73" s="568"/>
    </row>
    <row r="74" spans="1:8">
      <c r="A74" s="825">
        <v>8</v>
      </c>
      <c r="B74" s="583" t="s">
        <v>291</v>
      </c>
      <c r="C74" s="567"/>
      <c r="D74" s="563"/>
      <c r="E74" s="563"/>
      <c r="F74" s="827"/>
      <c r="G74" s="801"/>
      <c r="H74" s="568"/>
    </row>
    <row r="75" spans="1:8">
      <c r="A75" s="825"/>
      <c r="B75" s="583"/>
      <c r="C75" s="567"/>
      <c r="D75" s="563"/>
      <c r="E75" s="563"/>
      <c r="F75" s="827"/>
      <c r="G75" s="801"/>
      <c r="H75" s="568"/>
    </row>
    <row r="76" spans="1:8">
      <c r="A76" s="825"/>
      <c r="B76" s="569" t="s">
        <v>276</v>
      </c>
      <c r="C76" s="567">
        <v>2</v>
      </c>
      <c r="D76" s="563" t="s">
        <v>140</v>
      </c>
      <c r="E76" s="563"/>
      <c r="F76" s="827"/>
      <c r="G76" s="801"/>
      <c r="H76" s="568">
        <f t="shared" si="1"/>
        <v>0</v>
      </c>
    </row>
    <row r="77" spans="1:8">
      <c r="A77" s="825"/>
      <c r="B77" s="569"/>
      <c r="C77" s="567"/>
      <c r="D77" s="563"/>
      <c r="E77" s="563"/>
      <c r="F77" s="827"/>
      <c r="G77" s="801"/>
      <c r="H77" s="568"/>
    </row>
    <row r="78" spans="1:8">
      <c r="A78" s="825"/>
      <c r="B78" s="852"/>
      <c r="C78" s="570"/>
      <c r="D78" s="563"/>
      <c r="E78" s="563"/>
      <c r="F78" s="827"/>
      <c r="G78" s="801"/>
      <c r="H78" s="568"/>
    </row>
    <row r="79" spans="1:8">
      <c r="A79" s="825">
        <v>9</v>
      </c>
      <c r="B79" s="583" t="s">
        <v>292</v>
      </c>
      <c r="C79" s="567"/>
      <c r="D79" s="563"/>
      <c r="E79" s="563"/>
      <c r="F79" s="827"/>
      <c r="G79" s="801"/>
      <c r="H79" s="568"/>
    </row>
    <row r="80" spans="1:8">
      <c r="A80" s="825"/>
      <c r="B80" s="583"/>
      <c r="C80" s="567"/>
      <c r="D80" s="563"/>
      <c r="E80" s="563"/>
      <c r="F80" s="827"/>
      <c r="G80" s="801"/>
      <c r="H80" s="568"/>
    </row>
    <row r="81" spans="1:8">
      <c r="A81" s="825"/>
      <c r="B81" s="569" t="s">
        <v>279</v>
      </c>
      <c r="C81" s="567">
        <v>2</v>
      </c>
      <c r="D81" s="563" t="s">
        <v>140</v>
      </c>
      <c r="E81" s="563"/>
      <c r="F81" s="827"/>
      <c r="G81" s="801"/>
      <c r="H81" s="568">
        <f t="shared" si="1"/>
        <v>0</v>
      </c>
    </row>
    <row r="82" spans="1:8">
      <c r="A82" s="825"/>
      <c r="B82" s="569"/>
      <c r="C82" s="567"/>
      <c r="D82" s="563"/>
      <c r="E82" s="563"/>
      <c r="F82" s="827"/>
      <c r="G82" s="801"/>
      <c r="H82" s="568"/>
    </row>
    <row r="83" spans="1:8">
      <c r="A83" s="825"/>
      <c r="B83" s="569" t="s">
        <v>288</v>
      </c>
      <c r="C83" s="567">
        <v>2</v>
      </c>
      <c r="D83" s="563" t="s">
        <v>140</v>
      </c>
      <c r="E83" s="563"/>
      <c r="F83" s="827"/>
      <c r="G83" s="801"/>
      <c r="H83" s="568">
        <f t="shared" si="1"/>
        <v>0</v>
      </c>
    </row>
    <row r="84" spans="1:8">
      <c r="A84" s="825"/>
      <c r="B84" s="569"/>
      <c r="C84" s="567"/>
      <c r="D84" s="563"/>
      <c r="E84" s="563"/>
      <c r="F84" s="827"/>
      <c r="G84" s="801"/>
      <c r="H84" s="568"/>
    </row>
    <row r="85" spans="1:8">
      <c r="A85" s="825"/>
      <c r="B85" s="569"/>
      <c r="C85" s="567"/>
      <c r="D85" s="563"/>
      <c r="E85" s="563"/>
      <c r="F85" s="827"/>
      <c r="G85" s="801"/>
      <c r="H85" s="568"/>
    </row>
    <row r="86" spans="1:8">
      <c r="A86" s="825">
        <v>10</v>
      </c>
      <c r="B86" s="583" t="s">
        <v>293</v>
      </c>
      <c r="C86" s="567"/>
      <c r="D86" s="563"/>
      <c r="E86" s="563"/>
      <c r="F86" s="827"/>
      <c r="G86" s="801"/>
      <c r="H86" s="568"/>
    </row>
    <row r="87" spans="1:8">
      <c r="A87" s="825"/>
      <c r="B87" s="583"/>
      <c r="C87" s="567"/>
      <c r="D87" s="563"/>
      <c r="E87" s="563"/>
      <c r="F87" s="827"/>
      <c r="G87" s="801"/>
      <c r="H87" s="568"/>
    </row>
    <row r="88" spans="1:8">
      <c r="A88" s="825"/>
      <c r="B88" s="569" t="s">
        <v>288</v>
      </c>
      <c r="C88" s="567">
        <v>2</v>
      </c>
      <c r="D88" s="563" t="s">
        <v>140</v>
      </c>
      <c r="E88" s="563"/>
      <c r="F88" s="827"/>
      <c r="G88" s="801"/>
      <c r="H88" s="568">
        <f t="shared" si="1"/>
        <v>0</v>
      </c>
    </row>
    <row r="89" spans="1:8">
      <c r="A89" s="825"/>
      <c r="B89" s="569"/>
      <c r="C89" s="567"/>
      <c r="D89" s="563"/>
      <c r="E89" s="563"/>
      <c r="F89" s="827"/>
      <c r="G89" s="801"/>
      <c r="H89" s="568">
        <f t="shared" si="1"/>
        <v>0</v>
      </c>
    </row>
    <row r="90" spans="1:8">
      <c r="A90" s="825"/>
      <c r="B90" s="852"/>
      <c r="C90" s="570"/>
      <c r="D90" s="563"/>
      <c r="E90" s="563"/>
      <c r="F90" s="827"/>
      <c r="G90" s="801"/>
      <c r="H90" s="568"/>
    </row>
    <row r="91" spans="1:8">
      <c r="A91" s="825"/>
      <c r="B91" s="852"/>
      <c r="C91" s="570"/>
      <c r="D91" s="563"/>
      <c r="E91" s="563"/>
      <c r="F91" s="827"/>
      <c r="G91" s="801"/>
      <c r="H91" s="568"/>
    </row>
    <row r="92" spans="1:8">
      <c r="A92" s="825"/>
      <c r="B92" s="852"/>
      <c r="C92" s="570"/>
      <c r="D92" s="563"/>
      <c r="E92" s="563"/>
      <c r="F92" s="827"/>
      <c r="G92" s="801"/>
      <c r="H92" s="568"/>
    </row>
    <row r="93" spans="1:8">
      <c r="A93" s="825"/>
      <c r="B93" s="852"/>
      <c r="C93" s="570"/>
      <c r="D93" s="563"/>
      <c r="E93" s="563"/>
      <c r="F93" s="827"/>
      <c r="G93" s="801"/>
      <c r="H93" s="568"/>
    </row>
    <row r="94" spans="1:8">
      <c r="A94" s="825"/>
      <c r="B94" s="852"/>
      <c r="C94" s="570"/>
      <c r="D94" s="563"/>
      <c r="E94" s="563"/>
      <c r="F94" s="827"/>
      <c r="G94" s="801"/>
      <c r="H94" s="568"/>
    </row>
    <row r="95" spans="1:8">
      <c r="A95" s="825"/>
      <c r="B95" s="852"/>
      <c r="C95" s="570"/>
      <c r="D95" s="563"/>
      <c r="E95" s="563"/>
      <c r="F95" s="827"/>
      <c r="G95" s="801"/>
      <c r="H95" s="568"/>
    </row>
    <row r="96" spans="1:8">
      <c r="A96" s="825"/>
      <c r="B96" s="852"/>
      <c r="C96" s="570"/>
      <c r="D96" s="563"/>
      <c r="E96" s="563"/>
      <c r="F96" s="827"/>
      <c r="G96" s="801"/>
      <c r="H96" s="568"/>
    </row>
    <row r="97" spans="1:8">
      <c r="A97" s="825"/>
      <c r="B97" s="852"/>
      <c r="C97" s="570"/>
      <c r="D97" s="563"/>
      <c r="E97" s="563"/>
      <c r="F97" s="827"/>
      <c r="G97" s="801"/>
      <c r="H97" s="568"/>
    </row>
    <row r="98" spans="1:8">
      <c r="A98" s="825"/>
      <c r="B98" s="852"/>
      <c r="C98" s="570"/>
      <c r="D98" s="563"/>
      <c r="E98" s="563"/>
      <c r="F98" s="827"/>
      <c r="G98" s="801"/>
      <c r="H98" s="568"/>
    </row>
    <row r="99" spans="1:8">
      <c r="A99" s="825"/>
      <c r="B99" s="852"/>
      <c r="C99" s="570"/>
      <c r="D99" s="563"/>
      <c r="E99" s="563"/>
      <c r="F99" s="827"/>
      <c r="G99" s="801"/>
      <c r="H99" s="568"/>
    </row>
    <row r="100" spans="1:8">
      <c r="A100" s="825"/>
      <c r="B100" s="852"/>
      <c r="C100" s="570"/>
      <c r="D100" s="563"/>
      <c r="E100" s="563"/>
      <c r="F100" s="827"/>
      <c r="G100" s="801"/>
      <c r="H100" s="568"/>
    </row>
    <row r="101" spans="1:8">
      <c r="A101" s="825"/>
      <c r="B101" s="852"/>
      <c r="C101" s="570"/>
      <c r="D101" s="563"/>
      <c r="E101" s="563"/>
      <c r="F101" s="827"/>
      <c r="G101" s="801"/>
      <c r="H101" s="568"/>
    </row>
    <row r="102" spans="1:8" ht="13.8" thickBot="1">
      <c r="A102" s="853"/>
      <c r="B102" s="826"/>
      <c r="C102" s="564"/>
      <c r="D102" s="563"/>
      <c r="E102" s="563"/>
      <c r="F102" s="827"/>
      <c r="G102" s="801"/>
      <c r="H102" s="568"/>
    </row>
    <row r="103" spans="1:8">
      <c r="A103" s="838"/>
      <c r="B103" s="573"/>
      <c r="C103" s="574"/>
      <c r="D103" s="795"/>
      <c r="E103" s="796"/>
      <c r="F103" s="839"/>
      <c r="G103" s="806"/>
      <c r="H103" s="597"/>
    </row>
    <row r="104" spans="1:8">
      <c r="A104" s="840"/>
      <c r="B104" s="841" t="s">
        <v>270</v>
      </c>
      <c r="C104" s="842"/>
      <c r="D104" s="797"/>
      <c r="E104" s="575">
        <f>SUM(E52:E102)</f>
        <v>0</v>
      </c>
      <c r="F104" s="843">
        <f>SUM(F52:F102)</f>
        <v>0</v>
      </c>
      <c r="G104" s="807"/>
      <c r="H104" s="575">
        <f>SUM(H52:H102)</f>
        <v>0</v>
      </c>
    </row>
    <row r="105" spans="1:8">
      <c r="A105" s="844"/>
      <c r="B105" s="576"/>
      <c r="C105" s="577"/>
      <c r="D105" s="798"/>
      <c r="E105" s="799"/>
      <c r="F105" s="845"/>
      <c r="G105" s="808"/>
      <c r="H105" s="598"/>
    </row>
    <row r="106" spans="1:8" ht="17.399999999999999">
      <c r="A106" s="846"/>
      <c r="B106" s="578"/>
      <c r="C106" s="552"/>
      <c r="D106" s="551"/>
      <c r="E106" s="551"/>
      <c r="F106" s="847"/>
      <c r="G106" s="553"/>
      <c r="H106" s="554"/>
    </row>
    <row r="107" spans="1:8">
      <c r="A107" s="848"/>
      <c r="B107" s="849"/>
      <c r="C107" s="817"/>
      <c r="D107" s="816"/>
      <c r="E107" s="816"/>
      <c r="F107" s="818"/>
      <c r="G107" s="556"/>
      <c r="H107" s="557"/>
    </row>
    <row r="108" spans="1:8">
      <c r="A108" s="848"/>
      <c r="B108" s="849"/>
      <c r="C108" s="817"/>
      <c r="D108" s="816"/>
      <c r="E108" s="816"/>
      <c r="F108" s="818"/>
      <c r="G108" s="556"/>
      <c r="H108" s="557"/>
    </row>
    <row r="109" spans="1:8">
      <c r="A109" s="840"/>
      <c r="B109" s="850"/>
      <c r="C109" s="821"/>
      <c r="D109" s="820"/>
      <c r="E109" s="820"/>
      <c r="F109" s="822"/>
      <c r="G109" s="558"/>
      <c r="H109" s="582"/>
    </row>
    <row r="110" spans="1:8" ht="27" thickBot="1">
      <c r="A110" s="851" t="s">
        <v>266</v>
      </c>
      <c r="B110" s="559"/>
      <c r="C110" s="561" t="s">
        <v>267</v>
      </c>
      <c r="D110" s="560" t="s">
        <v>257</v>
      </c>
      <c r="E110" s="794" t="s">
        <v>539</v>
      </c>
      <c r="F110" s="824" t="s">
        <v>540</v>
      </c>
      <c r="G110" s="800" t="s">
        <v>268</v>
      </c>
      <c r="H110" s="562" t="s">
        <v>258</v>
      </c>
    </row>
    <row r="111" spans="1:8">
      <c r="A111" s="825"/>
      <c r="B111" s="826"/>
      <c r="C111" s="564"/>
      <c r="D111" s="563"/>
      <c r="E111" s="563"/>
      <c r="F111" s="827"/>
      <c r="G111" s="801"/>
      <c r="H111" s="568"/>
    </row>
    <row r="112" spans="1:8">
      <c r="A112" s="825"/>
      <c r="B112" s="829" t="s">
        <v>294</v>
      </c>
      <c r="C112" s="567"/>
      <c r="D112" s="563"/>
      <c r="E112" s="563"/>
      <c r="F112" s="827"/>
      <c r="G112" s="801"/>
      <c r="H112" s="568"/>
    </row>
    <row r="113" spans="1:8">
      <c r="A113" s="825"/>
      <c r="B113" s="569"/>
      <c r="C113" s="567"/>
      <c r="D113" s="563"/>
      <c r="E113" s="563"/>
      <c r="F113" s="827"/>
      <c r="G113" s="801"/>
      <c r="H113" s="568"/>
    </row>
    <row r="114" spans="1:8" ht="52.8">
      <c r="A114" s="825">
        <v>11</v>
      </c>
      <c r="B114" s="569" t="s">
        <v>295</v>
      </c>
      <c r="C114" s="567">
        <v>1</v>
      </c>
      <c r="D114" s="563" t="s">
        <v>140</v>
      </c>
      <c r="E114" s="563"/>
      <c r="F114" s="827"/>
      <c r="G114" s="801"/>
      <c r="H114" s="568">
        <f>G114*C114</f>
        <v>0</v>
      </c>
    </row>
    <row r="115" spans="1:8">
      <c r="A115" s="825"/>
      <c r="B115" s="569"/>
      <c r="C115" s="567"/>
      <c r="D115" s="563"/>
      <c r="E115" s="563"/>
      <c r="F115" s="827"/>
      <c r="G115" s="801"/>
      <c r="H115" s="568"/>
    </row>
    <row r="116" spans="1:8">
      <c r="A116" s="825"/>
      <c r="B116" s="569"/>
      <c r="C116" s="567"/>
      <c r="D116" s="563"/>
      <c r="E116" s="563"/>
      <c r="F116" s="827"/>
      <c r="G116" s="801"/>
      <c r="H116" s="568"/>
    </row>
    <row r="117" spans="1:8" ht="52.8">
      <c r="A117" s="825">
        <v>12</v>
      </c>
      <c r="B117" s="583" t="s">
        <v>296</v>
      </c>
      <c r="C117" s="567">
        <v>1</v>
      </c>
      <c r="D117" s="563" t="s">
        <v>140</v>
      </c>
      <c r="E117" s="563"/>
      <c r="F117" s="827"/>
      <c r="G117" s="801"/>
      <c r="H117" s="568">
        <f t="shared" ref="H117:H127" si="2">G117*C117</f>
        <v>0</v>
      </c>
    </row>
    <row r="118" spans="1:8">
      <c r="A118" s="825"/>
      <c r="B118" s="569"/>
      <c r="C118" s="567"/>
      <c r="D118" s="563"/>
      <c r="E118" s="563"/>
      <c r="F118" s="827"/>
      <c r="G118" s="801"/>
      <c r="H118" s="568"/>
    </row>
    <row r="119" spans="1:8">
      <c r="A119" s="825"/>
      <c r="B119" s="569"/>
      <c r="C119" s="567"/>
      <c r="D119" s="563"/>
      <c r="E119" s="563"/>
      <c r="F119" s="827"/>
      <c r="G119" s="801"/>
      <c r="H119" s="568"/>
    </row>
    <row r="120" spans="1:8" ht="52.8">
      <c r="A120" s="825">
        <v>13</v>
      </c>
      <c r="B120" s="583" t="s">
        <v>297</v>
      </c>
      <c r="C120" s="567"/>
      <c r="D120" s="563"/>
      <c r="E120" s="563"/>
      <c r="F120" s="827"/>
      <c r="G120" s="801"/>
      <c r="H120" s="568"/>
    </row>
    <row r="121" spans="1:8">
      <c r="A121" s="825"/>
      <c r="B121" s="583"/>
      <c r="C121" s="567"/>
      <c r="D121" s="563"/>
      <c r="E121" s="563"/>
      <c r="F121" s="827"/>
      <c r="G121" s="801"/>
      <c r="H121" s="568"/>
    </row>
    <row r="122" spans="1:8">
      <c r="A122" s="825"/>
      <c r="B122" s="569" t="s">
        <v>276</v>
      </c>
      <c r="C122" s="567">
        <v>8</v>
      </c>
      <c r="D122" s="563" t="s">
        <v>277</v>
      </c>
      <c r="E122" s="563"/>
      <c r="F122" s="827"/>
      <c r="G122" s="801"/>
      <c r="H122" s="568">
        <f t="shared" si="2"/>
        <v>0</v>
      </c>
    </row>
    <row r="123" spans="1:8">
      <c r="A123" s="825"/>
      <c r="B123" s="569"/>
      <c r="C123" s="567"/>
      <c r="D123" s="563"/>
      <c r="E123" s="563"/>
      <c r="F123" s="827"/>
      <c r="G123" s="801"/>
      <c r="H123" s="568"/>
    </row>
    <row r="124" spans="1:8">
      <c r="A124" s="825"/>
      <c r="B124" s="569"/>
      <c r="C124" s="567"/>
      <c r="D124" s="563"/>
      <c r="E124" s="563"/>
      <c r="F124" s="827"/>
      <c r="G124" s="801"/>
      <c r="H124" s="568"/>
    </row>
    <row r="125" spans="1:8">
      <c r="A125" s="825">
        <v>14</v>
      </c>
      <c r="B125" s="583" t="s">
        <v>289</v>
      </c>
      <c r="C125" s="567"/>
      <c r="D125" s="563"/>
      <c r="E125" s="563"/>
      <c r="F125" s="827"/>
      <c r="G125" s="801"/>
      <c r="H125" s="568"/>
    </row>
    <row r="126" spans="1:8">
      <c r="A126" s="825"/>
      <c r="B126" s="583"/>
      <c r="C126" s="567"/>
      <c r="D126" s="563"/>
      <c r="E126" s="563"/>
      <c r="F126" s="827"/>
      <c r="G126" s="801"/>
      <c r="H126" s="568"/>
    </row>
    <row r="127" spans="1:8">
      <c r="A127" s="825"/>
      <c r="B127" s="569" t="s">
        <v>276</v>
      </c>
      <c r="C127" s="567">
        <v>2</v>
      </c>
      <c r="D127" s="563" t="s">
        <v>140</v>
      </c>
      <c r="E127" s="563"/>
      <c r="F127" s="827"/>
      <c r="G127" s="801"/>
      <c r="H127" s="568">
        <f t="shared" si="2"/>
        <v>0</v>
      </c>
    </row>
    <row r="128" spans="1:8">
      <c r="A128" s="825"/>
      <c r="B128" s="569"/>
      <c r="C128" s="567"/>
      <c r="D128" s="563"/>
      <c r="E128" s="563"/>
      <c r="F128" s="827"/>
      <c r="G128" s="801"/>
      <c r="H128" s="568"/>
    </row>
    <row r="129" spans="1:8">
      <c r="A129" s="825"/>
      <c r="B129" s="852"/>
      <c r="C129" s="570"/>
      <c r="D129" s="563"/>
      <c r="E129" s="563"/>
      <c r="F129" s="827"/>
      <c r="G129" s="801"/>
      <c r="H129" s="568"/>
    </row>
    <row r="130" spans="1:8">
      <c r="A130" s="825"/>
      <c r="B130" s="569"/>
      <c r="C130" s="567"/>
      <c r="D130" s="563"/>
      <c r="E130" s="563"/>
      <c r="F130" s="827"/>
      <c r="G130" s="801"/>
      <c r="H130" s="568"/>
    </row>
    <row r="131" spans="1:8">
      <c r="A131" s="825"/>
      <c r="B131" s="569"/>
      <c r="C131" s="567"/>
      <c r="D131" s="563"/>
      <c r="E131" s="563"/>
      <c r="F131" s="827"/>
      <c r="G131" s="801"/>
      <c r="H131" s="568"/>
    </row>
    <row r="132" spans="1:8">
      <c r="A132" s="825"/>
      <c r="B132" s="569"/>
      <c r="C132" s="567"/>
      <c r="D132" s="563"/>
      <c r="E132" s="563"/>
      <c r="F132" s="827"/>
      <c r="G132" s="801"/>
      <c r="H132" s="568"/>
    </row>
    <row r="133" spans="1:8">
      <c r="A133" s="825"/>
      <c r="B133" s="569"/>
      <c r="C133" s="567"/>
      <c r="D133" s="563"/>
      <c r="E133" s="563"/>
      <c r="F133" s="827"/>
      <c r="G133" s="801"/>
      <c r="H133" s="568"/>
    </row>
    <row r="134" spans="1:8">
      <c r="A134" s="825"/>
      <c r="B134" s="571"/>
      <c r="C134" s="567"/>
      <c r="D134" s="563"/>
      <c r="E134" s="563"/>
      <c r="F134" s="827"/>
      <c r="G134" s="801"/>
      <c r="H134" s="568"/>
    </row>
    <row r="135" spans="1:8">
      <c r="A135" s="825"/>
      <c r="B135" s="569"/>
      <c r="C135" s="567"/>
      <c r="D135" s="563"/>
      <c r="E135" s="563"/>
      <c r="F135" s="827"/>
      <c r="G135" s="801"/>
      <c r="H135" s="568"/>
    </row>
    <row r="136" spans="1:8">
      <c r="A136" s="825"/>
      <c r="B136" s="569"/>
      <c r="C136" s="567"/>
      <c r="D136" s="563"/>
      <c r="E136" s="563"/>
      <c r="F136" s="827"/>
      <c r="G136" s="801"/>
      <c r="H136" s="568"/>
    </row>
    <row r="137" spans="1:8">
      <c r="A137" s="825"/>
      <c r="B137" s="852"/>
      <c r="C137" s="570"/>
      <c r="D137" s="563"/>
      <c r="E137" s="563"/>
      <c r="F137" s="827"/>
      <c r="G137" s="801"/>
      <c r="H137" s="568"/>
    </row>
    <row r="138" spans="1:8">
      <c r="A138" s="825"/>
      <c r="B138" s="852"/>
      <c r="C138" s="567"/>
      <c r="D138" s="563"/>
      <c r="E138" s="563"/>
      <c r="F138" s="827"/>
      <c r="G138" s="801"/>
      <c r="H138" s="568"/>
    </row>
    <row r="139" spans="1:8">
      <c r="A139" s="825"/>
      <c r="B139" s="852"/>
      <c r="C139" s="570"/>
      <c r="D139" s="563"/>
      <c r="E139" s="563"/>
      <c r="F139" s="827"/>
      <c r="G139" s="801"/>
      <c r="H139" s="568"/>
    </row>
    <row r="140" spans="1:8">
      <c r="A140" s="825"/>
      <c r="B140" s="852"/>
      <c r="C140" s="567"/>
      <c r="D140" s="563"/>
      <c r="E140" s="563"/>
      <c r="F140" s="827"/>
      <c r="G140" s="801"/>
      <c r="H140" s="568"/>
    </row>
    <row r="141" spans="1:8">
      <c r="A141" s="825"/>
      <c r="B141" s="852"/>
      <c r="C141" s="570"/>
      <c r="D141" s="563"/>
      <c r="E141" s="563"/>
      <c r="F141" s="827"/>
      <c r="G141" s="801"/>
      <c r="H141" s="568"/>
    </row>
    <row r="142" spans="1:8">
      <c r="A142" s="825"/>
      <c r="B142" s="852"/>
      <c r="C142" s="570"/>
      <c r="D142" s="563"/>
      <c r="E142" s="563"/>
      <c r="F142" s="827"/>
      <c r="G142" s="801"/>
      <c r="H142" s="568"/>
    </row>
    <row r="143" spans="1:8">
      <c r="A143" s="825"/>
      <c r="B143" s="852"/>
      <c r="C143" s="570"/>
      <c r="D143" s="563"/>
      <c r="E143" s="563"/>
      <c r="F143" s="827"/>
      <c r="G143" s="801"/>
      <c r="H143" s="568"/>
    </row>
    <row r="144" spans="1:8">
      <c r="A144" s="825"/>
      <c r="B144" s="852"/>
      <c r="C144" s="570"/>
      <c r="D144" s="563"/>
      <c r="E144" s="563"/>
      <c r="F144" s="827"/>
      <c r="G144" s="801"/>
      <c r="H144" s="568"/>
    </row>
    <row r="145" spans="1:8">
      <c r="A145" s="825"/>
      <c r="B145" s="852"/>
      <c r="C145" s="570"/>
      <c r="D145" s="563"/>
      <c r="E145" s="563"/>
      <c r="F145" s="827"/>
      <c r="G145" s="801"/>
      <c r="H145" s="568"/>
    </row>
    <row r="146" spans="1:8">
      <c r="A146" s="825"/>
      <c r="B146" s="852"/>
      <c r="C146" s="570"/>
      <c r="D146" s="563"/>
      <c r="E146" s="563"/>
      <c r="F146" s="827"/>
      <c r="G146" s="801"/>
      <c r="H146" s="568"/>
    </row>
    <row r="147" spans="1:8">
      <c r="A147" s="825"/>
      <c r="B147" s="852"/>
      <c r="C147" s="570"/>
      <c r="D147" s="563"/>
      <c r="E147" s="563"/>
      <c r="F147" s="827"/>
      <c r="G147" s="801"/>
      <c r="H147" s="568"/>
    </row>
    <row r="148" spans="1:8">
      <c r="A148" s="825"/>
      <c r="B148" s="852"/>
      <c r="C148" s="570"/>
      <c r="D148" s="563"/>
      <c r="E148" s="563"/>
      <c r="F148" s="827"/>
      <c r="G148" s="801"/>
      <c r="H148" s="568"/>
    </row>
    <row r="149" spans="1:8">
      <c r="A149" s="825"/>
      <c r="B149" s="852"/>
      <c r="C149" s="570"/>
      <c r="D149" s="563"/>
      <c r="E149" s="563"/>
      <c r="F149" s="827"/>
      <c r="G149" s="801"/>
      <c r="H149" s="568"/>
    </row>
    <row r="150" spans="1:8">
      <c r="A150" s="825"/>
      <c r="B150" s="852"/>
      <c r="C150" s="570"/>
      <c r="D150" s="563"/>
      <c r="E150" s="563"/>
      <c r="F150" s="827"/>
      <c r="G150" s="801"/>
      <c r="H150" s="568"/>
    </row>
    <row r="151" spans="1:8">
      <c r="A151" s="825"/>
      <c r="B151" s="852"/>
      <c r="C151" s="570"/>
      <c r="D151" s="563"/>
      <c r="E151" s="563"/>
      <c r="F151" s="827"/>
      <c r="G151" s="801"/>
      <c r="H151" s="568"/>
    </row>
    <row r="152" spans="1:8">
      <c r="A152" s="825"/>
      <c r="B152" s="852"/>
      <c r="C152" s="570"/>
      <c r="D152" s="563"/>
      <c r="E152" s="563"/>
      <c r="F152" s="827"/>
      <c r="G152" s="801"/>
      <c r="H152" s="568"/>
    </row>
    <row r="153" spans="1:8" ht="13.8" thickBot="1">
      <c r="A153" s="853"/>
      <c r="B153" s="826"/>
      <c r="C153" s="564"/>
      <c r="D153" s="563"/>
      <c r="E153" s="563"/>
      <c r="F153" s="827"/>
      <c r="G153" s="801"/>
      <c r="H153" s="568"/>
    </row>
    <row r="154" spans="1:8">
      <c r="A154" s="838"/>
      <c r="B154" s="573"/>
      <c r="C154" s="574"/>
      <c r="D154" s="795"/>
      <c r="E154" s="796"/>
      <c r="F154" s="839"/>
      <c r="G154" s="806"/>
      <c r="H154" s="597"/>
    </row>
    <row r="155" spans="1:8">
      <c r="A155" s="840"/>
      <c r="B155" s="841" t="s">
        <v>270</v>
      </c>
      <c r="C155" s="842"/>
      <c r="D155" s="797"/>
      <c r="E155" s="575">
        <f>SUM(E111:E153)</f>
        <v>0</v>
      </c>
      <c r="F155" s="843">
        <f>SUM(F111:F153)</f>
        <v>0</v>
      </c>
      <c r="G155" s="807"/>
      <c r="H155" s="575">
        <f>SUM(H111:H153)</f>
        <v>0</v>
      </c>
    </row>
    <row r="156" spans="1:8">
      <c r="A156" s="844"/>
      <c r="B156" s="576"/>
      <c r="C156" s="577"/>
      <c r="D156" s="798"/>
      <c r="E156" s="799"/>
      <c r="F156" s="845"/>
      <c r="G156" s="808"/>
      <c r="H156" s="598"/>
    </row>
    <row r="157" spans="1:8" ht="17.399999999999999">
      <c r="A157" s="846"/>
      <c r="B157" s="578"/>
      <c r="C157" s="552"/>
      <c r="D157" s="551"/>
      <c r="E157" s="551"/>
      <c r="F157" s="847"/>
      <c r="G157" s="553"/>
      <c r="H157" s="554"/>
    </row>
    <row r="158" spans="1:8">
      <c r="A158" s="848"/>
      <c r="B158" s="849"/>
      <c r="C158" s="817"/>
      <c r="D158" s="816"/>
      <c r="E158" s="816"/>
      <c r="F158" s="818"/>
      <c r="G158" s="556"/>
      <c r="H158" s="557"/>
    </row>
    <row r="159" spans="1:8">
      <c r="A159" s="848"/>
      <c r="B159" s="849"/>
      <c r="C159" s="817"/>
      <c r="D159" s="816"/>
      <c r="E159" s="816"/>
      <c r="F159" s="818"/>
      <c r="G159" s="556"/>
      <c r="H159" s="557"/>
    </row>
    <row r="160" spans="1:8">
      <c r="A160" s="840"/>
      <c r="B160" s="850"/>
      <c r="C160" s="821"/>
      <c r="D160" s="820"/>
      <c r="E160" s="820"/>
      <c r="F160" s="822"/>
      <c r="G160" s="558"/>
      <c r="H160" s="582"/>
    </row>
    <row r="161" spans="1:8" ht="27" thickBot="1">
      <c r="A161" s="851" t="s">
        <v>266</v>
      </c>
      <c r="B161" s="559"/>
      <c r="C161" s="561" t="s">
        <v>267</v>
      </c>
      <c r="D161" s="560" t="s">
        <v>257</v>
      </c>
      <c r="E161" s="794" t="s">
        <v>539</v>
      </c>
      <c r="F161" s="824" t="s">
        <v>540</v>
      </c>
      <c r="G161" s="800" t="s">
        <v>268</v>
      </c>
      <c r="H161" s="562" t="s">
        <v>258</v>
      </c>
    </row>
    <row r="162" spans="1:8">
      <c r="A162" s="825"/>
      <c r="B162" s="826"/>
      <c r="C162" s="564"/>
      <c r="D162" s="563"/>
      <c r="E162" s="563"/>
      <c r="F162" s="827"/>
      <c r="G162" s="801"/>
      <c r="H162" s="568"/>
    </row>
    <row r="163" spans="1:8">
      <c r="A163" s="825"/>
      <c r="B163" s="826"/>
      <c r="C163" s="564"/>
      <c r="D163" s="563"/>
      <c r="E163" s="563"/>
      <c r="F163" s="827"/>
      <c r="G163" s="801"/>
      <c r="H163" s="568"/>
    </row>
    <row r="164" spans="1:8">
      <c r="A164" s="831" t="s">
        <v>485</v>
      </c>
      <c r="B164" s="652" t="s">
        <v>298</v>
      </c>
      <c r="C164" s="567"/>
      <c r="D164" s="563"/>
      <c r="E164" s="563"/>
      <c r="F164" s="827"/>
      <c r="G164" s="801"/>
      <c r="H164" s="568"/>
    </row>
    <row r="165" spans="1:8">
      <c r="A165" s="825"/>
      <c r="B165" s="583"/>
      <c r="C165" s="567"/>
      <c r="D165" s="563"/>
      <c r="E165" s="563"/>
      <c r="F165" s="827"/>
      <c r="G165" s="801"/>
      <c r="H165" s="568"/>
    </row>
    <row r="166" spans="1:8" ht="40.950000000000003" customHeight="1">
      <c r="A166" s="825">
        <v>15</v>
      </c>
      <c r="B166" s="641" t="s">
        <v>299</v>
      </c>
      <c r="C166" s="567">
        <v>1</v>
      </c>
      <c r="D166" s="563" t="s">
        <v>140</v>
      </c>
      <c r="E166" s="565"/>
      <c r="F166" s="893"/>
      <c r="G166" s="801"/>
      <c r="H166" s="568"/>
    </row>
    <row r="167" spans="1:8">
      <c r="A167" s="825"/>
      <c r="B167" s="605"/>
      <c r="C167" s="567"/>
      <c r="D167" s="563"/>
      <c r="E167" s="563"/>
      <c r="F167" s="827"/>
      <c r="G167" s="801"/>
      <c r="H167" s="568"/>
    </row>
    <row r="168" spans="1:8">
      <c r="A168" s="825"/>
      <c r="B168" s="583"/>
      <c r="C168" s="567"/>
      <c r="D168" s="563"/>
      <c r="E168" s="563"/>
      <c r="F168" s="827"/>
      <c r="G168" s="801"/>
      <c r="H168" s="568"/>
    </row>
    <row r="169" spans="1:8" ht="52.8">
      <c r="A169" s="825">
        <v>16</v>
      </c>
      <c r="B169" s="583" t="s">
        <v>300</v>
      </c>
      <c r="C169" s="567">
        <v>1</v>
      </c>
      <c r="D169" s="563" t="s">
        <v>140</v>
      </c>
      <c r="E169" s="563"/>
      <c r="F169" s="827"/>
      <c r="G169" s="801"/>
      <c r="H169" s="568">
        <f t="shared" ref="H169:H202" si="3">G169*C169</f>
        <v>0</v>
      </c>
    </row>
    <row r="170" spans="1:8">
      <c r="A170" s="825"/>
      <c r="B170" s="569"/>
      <c r="C170" s="567"/>
      <c r="D170" s="563"/>
      <c r="E170" s="563"/>
      <c r="F170" s="827"/>
      <c r="G170" s="801"/>
      <c r="H170" s="568"/>
    </row>
    <row r="171" spans="1:8">
      <c r="A171" s="825"/>
      <c r="B171" s="569"/>
      <c r="C171" s="567"/>
      <c r="D171" s="563"/>
      <c r="E171" s="563"/>
      <c r="F171" s="827"/>
      <c r="G171" s="801"/>
      <c r="H171" s="568"/>
    </row>
    <row r="172" spans="1:8" ht="52.8">
      <c r="A172" s="831">
        <v>17</v>
      </c>
      <c r="B172" s="584" t="s">
        <v>301</v>
      </c>
      <c r="C172" s="586">
        <v>1</v>
      </c>
      <c r="D172" s="585" t="s">
        <v>140</v>
      </c>
      <c r="E172" s="585">
        <f>Elec_Est!AM38</f>
        <v>5.53</v>
      </c>
      <c r="F172" s="585">
        <f>Elec_Est!AN38</f>
        <v>1.22</v>
      </c>
      <c r="G172" s="585">
        <f>Elec_Est!E38</f>
        <v>39.03</v>
      </c>
      <c r="H172" s="568">
        <f t="shared" si="3"/>
        <v>39.03</v>
      </c>
    </row>
    <row r="173" spans="1:8">
      <c r="A173" s="825"/>
      <c r="B173" s="569"/>
      <c r="C173" s="567"/>
      <c r="D173" s="563"/>
      <c r="E173" s="563"/>
      <c r="F173" s="827"/>
      <c r="G173" s="801"/>
      <c r="H173" s="568"/>
    </row>
    <row r="174" spans="1:8">
      <c r="A174" s="825"/>
      <c r="B174" s="569"/>
      <c r="C174" s="567"/>
      <c r="D174" s="563"/>
      <c r="E174" s="563"/>
      <c r="F174" s="827"/>
      <c r="G174" s="801"/>
      <c r="H174" s="568"/>
    </row>
    <row r="175" spans="1:8" ht="52.8">
      <c r="A175" s="825">
        <v>18</v>
      </c>
      <c r="B175" s="583" t="s">
        <v>302</v>
      </c>
      <c r="C175" s="567"/>
      <c r="D175" s="563"/>
      <c r="E175" s="563"/>
      <c r="F175" s="827"/>
      <c r="G175" s="801"/>
      <c r="H175" s="568"/>
    </row>
    <row r="176" spans="1:8">
      <c r="A176" s="825"/>
      <c r="B176" s="583"/>
      <c r="C176" s="567"/>
      <c r="D176" s="563"/>
      <c r="E176" s="563"/>
      <c r="F176" s="827"/>
      <c r="G176" s="801"/>
      <c r="H176" s="568"/>
    </row>
    <row r="177" spans="1:8">
      <c r="A177" s="825"/>
      <c r="B177" s="569" t="s">
        <v>285</v>
      </c>
      <c r="C177" s="567">
        <v>40</v>
      </c>
      <c r="D177" s="563" t="s">
        <v>277</v>
      </c>
      <c r="E177" s="563"/>
      <c r="F177" s="827"/>
      <c r="G177" s="801"/>
      <c r="H177" s="568">
        <f t="shared" si="3"/>
        <v>0</v>
      </c>
    </row>
    <row r="178" spans="1:8">
      <c r="A178" s="825"/>
      <c r="B178" s="600"/>
      <c r="C178" s="567"/>
      <c r="D178" s="601"/>
      <c r="E178" s="601"/>
      <c r="F178" s="854"/>
      <c r="G178" s="801"/>
      <c r="H178" s="568"/>
    </row>
    <row r="179" spans="1:8" ht="12.75" customHeight="1">
      <c r="A179" s="825"/>
      <c r="B179" s="583"/>
      <c r="C179" s="567"/>
      <c r="D179" s="563"/>
      <c r="E179" s="563"/>
      <c r="F179" s="827"/>
      <c r="G179" s="801"/>
      <c r="H179" s="568"/>
    </row>
    <row r="180" spans="1:8" ht="12.75" customHeight="1">
      <c r="A180" s="825">
        <v>19</v>
      </c>
      <c r="B180" s="583" t="s">
        <v>303</v>
      </c>
      <c r="C180" s="567"/>
      <c r="D180" s="563"/>
      <c r="E180" s="563"/>
      <c r="F180" s="827"/>
      <c r="G180" s="801"/>
      <c r="H180" s="568"/>
    </row>
    <row r="181" spans="1:8">
      <c r="A181" s="825"/>
      <c r="B181" s="583"/>
      <c r="C181" s="567"/>
      <c r="D181" s="563"/>
      <c r="E181" s="563"/>
      <c r="F181" s="827"/>
      <c r="G181" s="801"/>
      <c r="H181" s="568"/>
    </row>
    <row r="182" spans="1:8">
      <c r="A182" s="825"/>
      <c r="B182" s="569" t="s">
        <v>285</v>
      </c>
      <c r="C182" s="567">
        <v>7</v>
      </c>
      <c r="D182" s="563" t="s">
        <v>140</v>
      </c>
      <c r="E182" s="563"/>
      <c r="F182" s="827"/>
      <c r="G182" s="801"/>
      <c r="H182" s="568">
        <f t="shared" si="3"/>
        <v>0</v>
      </c>
    </row>
    <row r="183" spans="1:8">
      <c r="A183" s="825"/>
      <c r="B183" s="830"/>
      <c r="C183" s="567"/>
      <c r="D183" s="563"/>
      <c r="E183" s="563"/>
      <c r="F183" s="827"/>
      <c r="G183" s="801"/>
      <c r="H183" s="568"/>
    </row>
    <row r="184" spans="1:8">
      <c r="A184" s="825"/>
      <c r="C184" s="567"/>
      <c r="D184" s="563"/>
      <c r="E184" s="563"/>
      <c r="F184" s="827"/>
      <c r="G184" s="801"/>
      <c r="H184" s="568"/>
    </row>
    <row r="185" spans="1:8" ht="12.75" customHeight="1">
      <c r="A185" s="825">
        <v>20</v>
      </c>
      <c r="B185" s="583" t="s">
        <v>304</v>
      </c>
      <c r="C185" s="567"/>
      <c r="D185" s="563"/>
      <c r="E185" s="563"/>
      <c r="F185" s="827"/>
      <c r="G185" s="801"/>
      <c r="H185" s="568"/>
    </row>
    <row r="186" spans="1:8">
      <c r="A186" s="825"/>
      <c r="B186" s="583"/>
      <c r="C186" s="567"/>
      <c r="D186" s="563"/>
      <c r="E186" s="563"/>
      <c r="F186" s="827"/>
      <c r="G186" s="801"/>
      <c r="H186" s="568"/>
    </row>
    <row r="187" spans="1:8">
      <c r="A187" s="825"/>
      <c r="B187" s="569" t="s">
        <v>276</v>
      </c>
      <c r="C187" s="567">
        <v>1</v>
      </c>
      <c r="D187" s="563" t="s">
        <v>140</v>
      </c>
      <c r="E187" s="563"/>
      <c r="F187" s="827"/>
      <c r="G187" s="801"/>
      <c r="H187" s="568">
        <f t="shared" si="3"/>
        <v>0</v>
      </c>
    </row>
    <row r="188" spans="1:8">
      <c r="A188" s="825"/>
      <c r="B188" s="569"/>
      <c r="C188" s="567"/>
      <c r="D188" s="563"/>
      <c r="E188" s="563"/>
      <c r="F188" s="827"/>
      <c r="G188" s="801"/>
      <c r="H188" s="568"/>
    </row>
    <row r="189" spans="1:8">
      <c r="A189" s="825"/>
      <c r="B189" s="569"/>
      <c r="C189" s="567"/>
      <c r="D189" s="563"/>
      <c r="E189" s="563"/>
      <c r="F189" s="827"/>
      <c r="G189" s="801"/>
      <c r="H189" s="568"/>
    </row>
    <row r="190" spans="1:8">
      <c r="A190" s="825">
        <v>21</v>
      </c>
      <c r="B190" s="583" t="s">
        <v>305</v>
      </c>
      <c r="C190" s="567"/>
      <c r="D190" s="563"/>
      <c r="E190" s="563"/>
      <c r="F190" s="827"/>
      <c r="G190" s="801"/>
      <c r="H190" s="568"/>
    </row>
    <row r="191" spans="1:8">
      <c r="A191" s="825"/>
      <c r="B191" s="583"/>
      <c r="C191" s="567"/>
      <c r="D191" s="563"/>
      <c r="E191" s="563"/>
      <c r="F191" s="827"/>
      <c r="G191" s="801"/>
      <c r="H191" s="568"/>
    </row>
    <row r="192" spans="1:8">
      <c r="A192" s="825"/>
      <c r="B192" s="569" t="s">
        <v>276</v>
      </c>
      <c r="C192" s="567">
        <v>1</v>
      </c>
      <c r="D192" s="563" t="s">
        <v>140</v>
      </c>
      <c r="E192" s="563"/>
      <c r="F192" s="827"/>
      <c r="G192" s="801"/>
      <c r="H192" s="568">
        <f t="shared" si="3"/>
        <v>0</v>
      </c>
    </row>
    <row r="193" spans="1:8">
      <c r="A193" s="825"/>
      <c r="B193" s="569"/>
      <c r="C193" s="567"/>
      <c r="D193" s="563"/>
      <c r="E193" s="563"/>
      <c r="F193" s="827"/>
      <c r="G193" s="801"/>
      <c r="H193" s="568"/>
    </row>
    <row r="194" spans="1:8">
      <c r="A194" s="825"/>
      <c r="B194" s="583"/>
      <c r="C194" s="567"/>
      <c r="D194" s="563"/>
      <c r="E194" s="563"/>
      <c r="F194" s="827"/>
      <c r="G194" s="801"/>
      <c r="H194" s="568"/>
    </row>
    <row r="195" spans="1:8">
      <c r="A195" s="825">
        <v>22</v>
      </c>
      <c r="B195" s="583" t="s">
        <v>306</v>
      </c>
      <c r="C195" s="567"/>
      <c r="D195" s="563"/>
      <c r="E195" s="563"/>
      <c r="F195" s="827"/>
      <c r="G195" s="801"/>
      <c r="H195" s="568"/>
    </row>
    <row r="196" spans="1:8">
      <c r="A196" s="825"/>
      <c r="B196" s="583"/>
      <c r="C196" s="567"/>
      <c r="D196" s="563"/>
      <c r="E196" s="563"/>
      <c r="F196" s="827"/>
      <c r="G196" s="801"/>
      <c r="H196" s="568"/>
    </row>
    <row r="197" spans="1:8">
      <c r="A197" s="825"/>
      <c r="B197" s="569" t="s">
        <v>285</v>
      </c>
      <c r="C197" s="567">
        <v>2</v>
      </c>
      <c r="D197" s="563" t="s">
        <v>140</v>
      </c>
      <c r="E197" s="563"/>
      <c r="F197" s="827"/>
      <c r="G197" s="801"/>
      <c r="H197" s="568">
        <f t="shared" si="3"/>
        <v>0</v>
      </c>
    </row>
    <row r="198" spans="1:8">
      <c r="A198" s="825"/>
      <c r="B198" s="852"/>
      <c r="C198" s="570"/>
      <c r="D198" s="563"/>
      <c r="E198" s="563"/>
      <c r="F198" s="827"/>
      <c r="G198" s="801"/>
      <c r="H198" s="568"/>
    </row>
    <row r="199" spans="1:8">
      <c r="A199" s="825"/>
      <c r="B199" s="852"/>
      <c r="C199" s="570"/>
      <c r="D199" s="563"/>
      <c r="E199" s="563"/>
      <c r="F199" s="827"/>
      <c r="G199" s="801"/>
      <c r="H199" s="568"/>
    </row>
    <row r="200" spans="1:8">
      <c r="A200" s="825">
        <v>23</v>
      </c>
      <c r="B200" s="569" t="s">
        <v>307</v>
      </c>
      <c r="C200" s="567"/>
      <c r="D200" s="563"/>
      <c r="E200" s="563"/>
      <c r="F200" s="827"/>
      <c r="G200" s="801"/>
      <c r="H200" s="568"/>
    </row>
    <row r="201" spans="1:8">
      <c r="A201" s="825"/>
      <c r="B201" s="569"/>
      <c r="C201" s="567"/>
      <c r="D201" s="563"/>
      <c r="E201" s="563"/>
      <c r="F201" s="827"/>
      <c r="G201" s="801"/>
      <c r="H201" s="568"/>
    </row>
    <row r="202" spans="1:8" ht="13.8" thickBot="1">
      <c r="A202" s="853"/>
      <c r="B202" s="569" t="s">
        <v>308</v>
      </c>
      <c r="C202" s="567">
        <v>2</v>
      </c>
      <c r="D202" s="563" t="s">
        <v>140</v>
      </c>
      <c r="E202" s="563"/>
      <c r="F202" s="827"/>
      <c r="G202" s="801"/>
      <c r="H202" s="568">
        <f t="shared" si="3"/>
        <v>0</v>
      </c>
    </row>
    <row r="203" spans="1:8">
      <c r="A203" s="838"/>
      <c r="B203" s="573"/>
      <c r="C203" s="574"/>
      <c r="D203" s="795"/>
      <c r="E203" s="796"/>
      <c r="F203" s="839"/>
      <c r="G203" s="806"/>
      <c r="H203" s="597"/>
    </row>
    <row r="204" spans="1:8">
      <c r="A204" s="840"/>
      <c r="B204" s="841" t="s">
        <v>270</v>
      </c>
      <c r="C204" s="842"/>
      <c r="D204" s="797"/>
      <c r="E204" s="575">
        <f>SUM(E162:E202)</f>
        <v>5.53</v>
      </c>
      <c r="F204" s="843">
        <f>SUM(F162:F202)</f>
        <v>1.22</v>
      </c>
      <c r="G204" s="807"/>
      <c r="H204" s="575">
        <f>SUM(H162:H202)</f>
        <v>39.03</v>
      </c>
    </row>
    <row r="205" spans="1:8">
      <c r="A205" s="844"/>
      <c r="B205" s="576"/>
      <c r="C205" s="577"/>
      <c r="D205" s="798"/>
      <c r="E205" s="799"/>
      <c r="F205" s="845"/>
      <c r="G205" s="808"/>
      <c r="H205" s="598"/>
    </row>
    <row r="206" spans="1:8" ht="17.399999999999999">
      <c r="A206" s="846"/>
      <c r="B206" s="578"/>
      <c r="C206" s="552"/>
      <c r="D206" s="551"/>
      <c r="E206" s="551"/>
      <c r="F206" s="847"/>
      <c r="G206" s="553"/>
      <c r="H206" s="554"/>
    </row>
    <row r="207" spans="1:8">
      <c r="A207" s="848"/>
      <c r="B207" s="849"/>
      <c r="C207" s="817"/>
      <c r="D207" s="816"/>
      <c r="E207" s="816"/>
      <c r="F207" s="818"/>
      <c r="G207" s="556"/>
      <c r="H207" s="557"/>
    </row>
    <row r="208" spans="1:8">
      <c r="A208" s="848"/>
      <c r="B208" s="849"/>
      <c r="C208" s="817"/>
      <c r="D208" s="816"/>
      <c r="E208" s="816"/>
      <c r="F208" s="818"/>
      <c r="G208" s="556"/>
      <c r="H208" s="557"/>
    </row>
    <row r="209" spans="1:8">
      <c r="A209" s="840"/>
      <c r="B209" s="850"/>
      <c r="C209" s="821"/>
      <c r="D209" s="820"/>
      <c r="E209" s="820"/>
      <c r="F209" s="822"/>
      <c r="G209" s="558"/>
      <c r="H209" s="582"/>
    </row>
    <row r="210" spans="1:8" ht="27" thickBot="1">
      <c r="A210" s="851" t="s">
        <v>266</v>
      </c>
      <c r="B210" s="559"/>
      <c r="C210" s="561" t="s">
        <v>267</v>
      </c>
      <c r="D210" s="560" t="s">
        <v>257</v>
      </c>
      <c r="E210" s="794" t="s">
        <v>539</v>
      </c>
      <c r="F210" s="824" t="s">
        <v>540</v>
      </c>
      <c r="G210" s="800" t="s">
        <v>268</v>
      </c>
      <c r="H210" s="562" t="s">
        <v>258</v>
      </c>
    </row>
    <row r="211" spans="1:8">
      <c r="A211" s="825"/>
      <c r="B211" s="826"/>
      <c r="C211" s="564"/>
      <c r="D211" s="563"/>
      <c r="E211" s="563"/>
      <c r="F211" s="827"/>
      <c r="G211" s="801"/>
      <c r="H211" s="568"/>
    </row>
    <row r="212" spans="1:8" ht="26.4">
      <c r="A212" s="831" t="s">
        <v>485</v>
      </c>
      <c r="B212" s="652" t="s">
        <v>309</v>
      </c>
      <c r="C212" s="567"/>
      <c r="D212" s="563"/>
      <c r="E212" s="563"/>
      <c r="F212" s="827"/>
      <c r="G212" s="801"/>
      <c r="H212" s="568"/>
    </row>
    <row r="213" spans="1:8">
      <c r="A213" s="825"/>
      <c r="B213" s="569"/>
      <c r="C213" s="567"/>
      <c r="D213" s="563"/>
      <c r="E213" s="563"/>
      <c r="F213" s="827"/>
      <c r="G213" s="801"/>
      <c r="H213" s="568"/>
    </row>
    <row r="214" spans="1:8" ht="52.8">
      <c r="A214" s="825">
        <v>24</v>
      </c>
      <c r="B214" s="583" t="s">
        <v>310</v>
      </c>
      <c r="C214" s="567">
        <v>1</v>
      </c>
      <c r="D214" s="563" t="s">
        <v>140</v>
      </c>
      <c r="E214" s="563"/>
      <c r="F214" s="827"/>
      <c r="G214" s="801"/>
      <c r="H214" s="568">
        <f>G214*C214</f>
        <v>0</v>
      </c>
    </row>
    <row r="215" spans="1:8">
      <c r="A215" s="825"/>
      <c r="B215" s="569"/>
      <c r="C215" s="567"/>
      <c r="D215" s="563"/>
      <c r="E215" s="563"/>
      <c r="F215" s="827"/>
      <c r="G215" s="801"/>
      <c r="H215" s="568"/>
    </row>
    <row r="216" spans="1:8">
      <c r="A216" s="825"/>
      <c r="B216" s="569"/>
      <c r="C216" s="567"/>
      <c r="D216" s="563"/>
      <c r="E216" s="563"/>
      <c r="F216" s="827"/>
      <c r="G216" s="801"/>
      <c r="H216" s="568"/>
    </row>
    <row r="217" spans="1:8" ht="52.8">
      <c r="A217" s="831">
        <v>25</v>
      </c>
      <c r="B217" s="584" t="s">
        <v>311</v>
      </c>
      <c r="C217" s="586">
        <v>1</v>
      </c>
      <c r="D217" s="585" t="s">
        <v>140</v>
      </c>
      <c r="E217" s="587">
        <f>Elec_Est!AM53</f>
        <v>4.01</v>
      </c>
      <c r="F217" s="833">
        <f>Elec_Est!AN53</f>
        <v>1.1200000000000001</v>
      </c>
      <c r="G217" s="802">
        <f>Elec_Est!E53</f>
        <v>34.770000000000003</v>
      </c>
      <c r="H217" s="588">
        <f t="shared" ref="H217:H250" si="4">G217*C217</f>
        <v>34.770000000000003</v>
      </c>
    </row>
    <row r="218" spans="1:8">
      <c r="A218" s="825"/>
      <c r="B218" s="569"/>
      <c r="C218" s="567"/>
      <c r="D218" s="563"/>
      <c r="E218" s="563"/>
      <c r="F218" s="827"/>
      <c r="G218" s="801"/>
      <c r="H218" s="568"/>
    </row>
    <row r="219" spans="1:8">
      <c r="A219" s="825"/>
      <c r="B219" s="569"/>
      <c r="C219" s="567"/>
      <c r="D219" s="563"/>
      <c r="E219" s="563"/>
      <c r="F219" s="827"/>
      <c r="G219" s="801"/>
      <c r="H219" s="568"/>
    </row>
    <row r="220" spans="1:8" ht="52.8">
      <c r="A220" s="825">
        <v>26</v>
      </c>
      <c r="B220" s="583" t="s">
        <v>312</v>
      </c>
      <c r="C220" s="567"/>
      <c r="D220" s="563"/>
      <c r="E220" s="563"/>
      <c r="F220" s="827"/>
      <c r="G220" s="801"/>
      <c r="H220" s="568"/>
    </row>
    <row r="221" spans="1:8">
      <c r="A221" s="825"/>
      <c r="B221" s="583"/>
      <c r="C221" s="567"/>
      <c r="D221" s="563"/>
      <c r="E221" s="563"/>
      <c r="F221" s="827"/>
      <c r="G221" s="801"/>
      <c r="H221" s="568"/>
    </row>
    <row r="222" spans="1:8">
      <c r="A222" s="825"/>
      <c r="B222" s="569" t="s">
        <v>276</v>
      </c>
      <c r="C222" s="567">
        <v>10</v>
      </c>
      <c r="D222" s="563" t="s">
        <v>277</v>
      </c>
      <c r="E222" s="563"/>
      <c r="F222" s="827"/>
      <c r="G222" s="801"/>
      <c r="H222" s="568">
        <f t="shared" si="4"/>
        <v>0</v>
      </c>
    </row>
    <row r="223" spans="1:8">
      <c r="A223" s="825"/>
      <c r="B223" s="569"/>
      <c r="C223" s="567"/>
      <c r="D223" s="563"/>
      <c r="E223" s="563"/>
      <c r="F223" s="827"/>
      <c r="G223" s="801"/>
      <c r="H223" s="568"/>
    </row>
    <row r="224" spans="1:8">
      <c r="A224" s="825"/>
      <c r="B224" s="569"/>
      <c r="C224" s="567"/>
      <c r="D224" s="563"/>
      <c r="E224" s="563"/>
      <c r="F224" s="827"/>
      <c r="G224" s="801"/>
      <c r="H224" s="568"/>
    </row>
    <row r="225" spans="1:8">
      <c r="A225" s="825">
        <v>27</v>
      </c>
      <c r="B225" s="583" t="s">
        <v>313</v>
      </c>
      <c r="C225" s="567"/>
      <c r="D225" s="563"/>
      <c r="E225" s="563"/>
      <c r="F225" s="827"/>
      <c r="G225" s="801"/>
      <c r="H225" s="568"/>
    </row>
    <row r="226" spans="1:8">
      <c r="A226" s="825"/>
      <c r="B226" s="583"/>
      <c r="C226" s="567"/>
      <c r="D226" s="563"/>
      <c r="E226" s="563"/>
      <c r="F226" s="827"/>
      <c r="G226" s="801"/>
      <c r="H226" s="568"/>
    </row>
    <row r="227" spans="1:8">
      <c r="A227" s="825"/>
      <c r="B227" s="569" t="s">
        <v>276</v>
      </c>
      <c r="C227" s="567">
        <v>4</v>
      </c>
      <c r="D227" s="563" t="s">
        <v>140</v>
      </c>
      <c r="E227" s="563"/>
      <c r="F227" s="827"/>
      <c r="G227" s="801"/>
      <c r="H227" s="568">
        <f t="shared" si="4"/>
        <v>0</v>
      </c>
    </row>
    <row r="228" spans="1:8">
      <c r="A228" s="825"/>
      <c r="B228" s="569"/>
      <c r="C228" s="567"/>
      <c r="D228" s="563"/>
      <c r="E228" s="563"/>
      <c r="F228" s="827"/>
      <c r="G228" s="801"/>
      <c r="H228" s="568"/>
    </row>
    <row r="229" spans="1:8">
      <c r="A229" s="825"/>
      <c r="B229" s="569"/>
      <c r="C229" s="567"/>
      <c r="D229" s="563"/>
      <c r="E229" s="563"/>
      <c r="F229" s="827"/>
      <c r="G229" s="801"/>
      <c r="H229" s="568"/>
    </row>
    <row r="230" spans="1:8">
      <c r="A230" s="825">
        <v>28</v>
      </c>
      <c r="B230" s="583" t="s">
        <v>314</v>
      </c>
      <c r="C230" s="567"/>
      <c r="D230" s="563"/>
      <c r="E230" s="563"/>
      <c r="F230" s="827"/>
      <c r="G230" s="801"/>
      <c r="H230" s="568"/>
    </row>
    <row r="231" spans="1:8">
      <c r="A231" s="825"/>
      <c r="B231" s="583"/>
      <c r="C231" s="567"/>
      <c r="D231" s="563"/>
      <c r="E231" s="563"/>
      <c r="F231" s="827"/>
      <c r="G231" s="801"/>
      <c r="H231" s="568"/>
    </row>
    <row r="232" spans="1:8">
      <c r="A232" s="825"/>
      <c r="B232" s="569" t="s">
        <v>276</v>
      </c>
      <c r="C232" s="567">
        <v>1</v>
      </c>
      <c r="D232" s="563" t="s">
        <v>140</v>
      </c>
      <c r="E232" s="563"/>
      <c r="F232" s="827"/>
      <c r="G232" s="801"/>
      <c r="H232" s="568">
        <f t="shared" si="4"/>
        <v>0</v>
      </c>
    </row>
    <row r="233" spans="1:8">
      <c r="A233" s="825"/>
      <c r="B233" s="569"/>
      <c r="C233" s="567"/>
      <c r="D233" s="563"/>
      <c r="E233" s="563"/>
      <c r="F233" s="827"/>
      <c r="G233" s="801"/>
      <c r="H233" s="568"/>
    </row>
    <row r="234" spans="1:8">
      <c r="A234" s="825"/>
      <c r="B234" s="571"/>
      <c r="C234" s="567"/>
      <c r="D234" s="563"/>
      <c r="E234" s="563"/>
      <c r="F234" s="827"/>
      <c r="G234" s="801"/>
      <c r="H234" s="568"/>
    </row>
    <row r="235" spans="1:8">
      <c r="A235" s="825">
        <v>29</v>
      </c>
      <c r="B235" s="583" t="s">
        <v>315</v>
      </c>
      <c r="C235" s="567"/>
      <c r="D235" s="563"/>
      <c r="E235" s="563"/>
      <c r="F235" s="827"/>
      <c r="G235" s="801"/>
      <c r="H235" s="568"/>
    </row>
    <row r="236" spans="1:8">
      <c r="A236" s="825"/>
      <c r="B236" s="583"/>
      <c r="C236" s="567"/>
      <c r="D236" s="563"/>
      <c r="E236" s="563"/>
      <c r="F236" s="827"/>
      <c r="G236" s="801"/>
      <c r="H236" s="568"/>
    </row>
    <row r="237" spans="1:8">
      <c r="A237" s="825"/>
      <c r="B237" s="569" t="s">
        <v>276</v>
      </c>
      <c r="C237" s="567">
        <v>1</v>
      </c>
      <c r="D237" s="563" t="s">
        <v>140</v>
      </c>
      <c r="E237" s="563"/>
      <c r="F237" s="827"/>
      <c r="G237" s="801"/>
      <c r="H237" s="568">
        <f t="shared" si="4"/>
        <v>0</v>
      </c>
    </row>
    <row r="238" spans="1:8">
      <c r="A238" s="825"/>
      <c r="B238" s="569"/>
      <c r="C238" s="567"/>
      <c r="D238" s="563"/>
      <c r="E238" s="563"/>
      <c r="F238" s="827"/>
      <c r="G238" s="801"/>
      <c r="H238" s="568"/>
    </row>
    <row r="239" spans="1:8">
      <c r="A239" s="825"/>
      <c r="B239" s="569"/>
      <c r="C239" s="567"/>
      <c r="D239" s="563"/>
      <c r="E239" s="563"/>
      <c r="F239" s="827"/>
      <c r="G239" s="801"/>
      <c r="H239" s="568"/>
    </row>
    <row r="240" spans="1:8">
      <c r="A240" s="825">
        <v>30</v>
      </c>
      <c r="B240" s="583" t="s">
        <v>316</v>
      </c>
      <c r="C240" s="567"/>
      <c r="D240" s="563"/>
      <c r="E240" s="563"/>
      <c r="F240" s="827"/>
      <c r="G240" s="801"/>
      <c r="H240" s="568"/>
    </row>
    <row r="241" spans="1:8">
      <c r="A241" s="825"/>
      <c r="B241" s="583"/>
      <c r="C241" s="567"/>
      <c r="D241" s="563"/>
      <c r="E241" s="563"/>
      <c r="F241" s="827"/>
      <c r="G241" s="801"/>
      <c r="H241" s="568"/>
    </row>
    <row r="242" spans="1:8">
      <c r="A242" s="825"/>
      <c r="B242" s="569" t="s">
        <v>276</v>
      </c>
      <c r="C242" s="567">
        <v>1</v>
      </c>
      <c r="D242" s="563" t="s">
        <v>140</v>
      </c>
      <c r="E242" s="563"/>
      <c r="F242" s="827"/>
      <c r="G242" s="801"/>
      <c r="H242" s="568">
        <f t="shared" si="4"/>
        <v>0</v>
      </c>
    </row>
    <row r="243" spans="1:8">
      <c r="A243" s="825"/>
      <c r="B243" s="569"/>
      <c r="C243" s="567"/>
      <c r="D243" s="563"/>
      <c r="E243" s="563"/>
      <c r="F243" s="827"/>
      <c r="G243" s="801"/>
      <c r="H243" s="568"/>
    </row>
    <row r="244" spans="1:8">
      <c r="A244" s="825"/>
      <c r="B244" s="602"/>
      <c r="C244" s="604"/>
      <c r="D244" s="603"/>
      <c r="E244" s="603"/>
      <c r="F244" s="855"/>
      <c r="G244" s="801"/>
      <c r="H244" s="568"/>
    </row>
    <row r="245" spans="1:8">
      <c r="A245" s="825">
        <v>31</v>
      </c>
      <c r="B245" s="569" t="s">
        <v>317</v>
      </c>
      <c r="C245" s="567"/>
      <c r="D245" s="563"/>
      <c r="E245" s="563"/>
      <c r="F245" s="827"/>
      <c r="G245" s="801"/>
      <c r="H245" s="568"/>
    </row>
    <row r="246" spans="1:8">
      <c r="A246" s="825"/>
      <c r="B246" s="569"/>
      <c r="C246" s="567"/>
      <c r="D246" s="563"/>
      <c r="E246" s="563"/>
      <c r="F246" s="827"/>
      <c r="G246" s="801"/>
      <c r="H246" s="568"/>
    </row>
    <row r="247" spans="1:8">
      <c r="A247" s="825"/>
      <c r="B247" s="569" t="s">
        <v>276</v>
      </c>
      <c r="C247" s="567">
        <v>1</v>
      </c>
      <c r="D247" s="563" t="s">
        <v>140</v>
      </c>
      <c r="E247" s="563"/>
      <c r="F247" s="827"/>
      <c r="G247" s="801"/>
      <c r="H247" s="568">
        <f t="shared" si="4"/>
        <v>0</v>
      </c>
    </row>
    <row r="248" spans="1:8">
      <c r="A248" s="825"/>
      <c r="B248" s="569"/>
      <c r="C248" s="567"/>
      <c r="D248" s="563"/>
      <c r="E248" s="563"/>
      <c r="F248" s="827"/>
      <c r="G248" s="801"/>
      <c r="H248" s="568"/>
    </row>
    <row r="249" spans="1:8">
      <c r="A249" s="825"/>
      <c r="B249" s="569"/>
      <c r="C249" s="567"/>
      <c r="D249" s="563"/>
      <c r="E249" s="563"/>
      <c r="F249" s="827"/>
      <c r="G249" s="801"/>
      <c r="H249" s="568"/>
    </row>
    <row r="250" spans="1:8">
      <c r="A250" s="825">
        <v>32</v>
      </c>
      <c r="B250" s="569" t="s">
        <v>318</v>
      </c>
      <c r="C250" s="567">
        <v>1</v>
      </c>
      <c r="D250" s="563" t="s">
        <v>140</v>
      </c>
      <c r="E250" s="563"/>
      <c r="F250" s="827"/>
      <c r="G250" s="801"/>
      <c r="H250" s="568">
        <f t="shared" si="4"/>
        <v>0</v>
      </c>
    </row>
    <row r="251" spans="1:8">
      <c r="A251" s="825"/>
      <c r="B251" s="569"/>
      <c r="C251" s="567"/>
      <c r="D251" s="563"/>
      <c r="E251" s="563"/>
      <c r="F251" s="827"/>
      <c r="G251" s="801"/>
      <c r="H251" s="568"/>
    </row>
    <row r="252" spans="1:8" ht="13.8" thickBot="1">
      <c r="A252" s="853"/>
      <c r="B252" s="826"/>
      <c r="C252" s="564"/>
      <c r="D252" s="563"/>
      <c r="E252" s="563"/>
      <c r="F252" s="827"/>
      <c r="G252" s="801"/>
      <c r="H252" s="568"/>
    </row>
    <row r="253" spans="1:8">
      <c r="A253" s="838"/>
      <c r="B253" s="573"/>
      <c r="C253" s="574"/>
      <c r="D253" s="795"/>
      <c r="E253" s="796"/>
      <c r="F253" s="839"/>
      <c r="G253" s="806"/>
      <c r="H253" s="597"/>
    </row>
    <row r="254" spans="1:8">
      <c r="A254" s="840"/>
      <c r="B254" s="841" t="s">
        <v>270</v>
      </c>
      <c r="C254" s="842"/>
      <c r="D254" s="797"/>
      <c r="E254" s="575">
        <f>SUM(E211:E252)</f>
        <v>4.01</v>
      </c>
      <c r="F254" s="843">
        <f>SUM(F211:F252)</f>
        <v>1.1200000000000001</v>
      </c>
      <c r="G254" s="807"/>
      <c r="H254" s="575">
        <f>SUM(H211:H252)</f>
        <v>34.770000000000003</v>
      </c>
    </row>
    <row r="255" spans="1:8">
      <c r="A255" s="844"/>
      <c r="B255" s="576"/>
      <c r="C255" s="577"/>
      <c r="D255" s="798"/>
      <c r="E255" s="799"/>
      <c r="F255" s="845"/>
      <c r="G255" s="808"/>
      <c r="H255" s="598"/>
    </row>
    <row r="256" spans="1:8" ht="17.399999999999999">
      <c r="A256" s="846"/>
      <c r="B256" s="578"/>
      <c r="C256" s="552"/>
      <c r="D256" s="551"/>
      <c r="E256" s="551"/>
      <c r="F256" s="847"/>
      <c r="G256" s="553"/>
      <c r="H256" s="554"/>
    </row>
    <row r="257" spans="1:8">
      <c r="A257" s="848"/>
      <c r="B257" s="849"/>
      <c r="C257" s="817"/>
      <c r="D257" s="816"/>
      <c r="E257" s="816"/>
      <c r="F257" s="818"/>
      <c r="G257" s="556"/>
      <c r="H257" s="557"/>
    </row>
    <row r="258" spans="1:8">
      <c r="A258" s="848"/>
      <c r="B258" s="849"/>
      <c r="C258" s="817"/>
      <c r="D258" s="816"/>
      <c r="E258" s="816"/>
      <c r="F258" s="818"/>
      <c r="G258" s="556"/>
      <c r="H258" s="557"/>
    </row>
    <row r="259" spans="1:8">
      <c r="A259" s="840"/>
      <c r="B259" s="850"/>
      <c r="C259" s="821"/>
      <c r="D259" s="820"/>
      <c r="E259" s="820"/>
      <c r="F259" s="822"/>
      <c r="G259" s="558"/>
      <c r="H259" s="582"/>
    </row>
    <row r="260" spans="1:8" ht="27" thickBot="1">
      <c r="A260" s="851" t="s">
        <v>266</v>
      </c>
      <c r="B260" s="559"/>
      <c r="C260" s="561" t="s">
        <v>267</v>
      </c>
      <c r="D260" s="560" t="s">
        <v>257</v>
      </c>
      <c r="E260" s="794" t="s">
        <v>539</v>
      </c>
      <c r="F260" s="824" t="s">
        <v>540</v>
      </c>
      <c r="G260" s="800" t="s">
        <v>268</v>
      </c>
      <c r="H260" s="562" t="s">
        <v>258</v>
      </c>
    </row>
    <row r="261" spans="1:8">
      <c r="A261" s="825"/>
      <c r="B261" s="826"/>
      <c r="C261" s="564"/>
      <c r="D261" s="563"/>
      <c r="E261" s="563"/>
      <c r="F261" s="827"/>
      <c r="G261" s="801"/>
      <c r="H261" s="568"/>
    </row>
    <row r="262" spans="1:8">
      <c r="A262" s="831" t="s">
        <v>485</v>
      </c>
      <c r="B262" s="652" t="s">
        <v>319</v>
      </c>
      <c r="C262" s="567"/>
      <c r="D262" s="563"/>
      <c r="E262" s="563"/>
      <c r="F262" s="827"/>
      <c r="G262" s="801"/>
      <c r="H262" s="568">
        <f>G262*C262</f>
        <v>0</v>
      </c>
    </row>
    <row r="263" spans="1:8">
      <c r="A263" s="825"/>
      <c r="B263" s="605"/>
      <c r="C263" s="567"/>
      <c r="D263" s="563"/>
      <c r="E263" s="563"/>
      <c r="F263" s="827"/>
      <c r="G263" s="801"/>
      <c r="H263" s="568"/>
    </row>
    <row r="264" spans="1:8" ht="52.8">
      <c r="A264" s="831" t="s">
        <v>486</v>
      </c>
      <c r="B264" s="606" t="s">
        <v>320</v>
      </c>
      <c r="C264" s="586"/>
      <c r="D264" s="585"/>
      <c r="E264" s="585"/>
      <c r="F264" s="856"/>
      <c r="G264" s="802"/>
      <c r="H264" s="588"/>
    </row>
    <row r="265" spans="1:8">
      <c r="A265" s="831"/>
      <c r="B265" s="606"/>
      <c r="C265" s="586"/>
      <c r="D265" s="585"/>
      <c r="E265" s="585"/>
      <c r="F265" s="856"/>
      <c r="G265" s="802"/>
      <c r="H265" s="588"/>
    </row>
    <row r="266" spans="1:8">
      <c r="A266" s="831" t="s">
        <v>275</v>
      </c>
      <c r="B266" s="607" t="s">
        <v>321</v>
      </c>
      <c r="C266" s="586">
        <v>1</v>
      </c>
      <c r="D266" s="585" t="s">
        <v>140</v>
      </c>
      <c r="E266" s="587">
        <f>Elec_Est!AM73</f>
        <v>20.6</v>
      </c>
      <c r="F266" s="587">
        <f>Elec_Est!AN73</f>
        <v>2.7</v>
      </c>
      <c r="G266" s="587">
        <f>Elec_Est!E73</f>
        <v>94.74</v>
      </c>
      <c r="H266" s="588">
        <f>G266*C266</f>
        <v>94.74</v>
      </c>
    </row>
    <row r="267" spans="1:8">
      <c r="A267" s="825"/>
      <c r="B267" s="605"/>
      <c r="C267" s="567"/>
      <c r="D267" s="563"/>
      <c r="E267" s="563"/>
      <c r="F267" s="827"/>
      <c r="G267" s="801"/>
      <c r="H267" s="568"/>
    </row>
    <row r="268" spans="1:8">
      <c r="A268" s="825"/>
      <c r="B268" s="605"/>
      <c r="C268" s="567"/>
      <c r="D268" s="563"/>
      <c r="E268" s="563"/>
      <c r="F268" s="827"/>
      <c r="G268" s="801"/>
      <c r="H268" s="568"/>
    </row>
    <row r="269" spans="1:8" ht="52.8">
      <c r="A269" s="825">
        <v>34</v>
      </c>
      <c r="B269" s="608" t="s">
        <v>322</v>
      </c>
      <c r="C269" s="567"/>
      <c r="D269" s="609"/>
      <c r="E269" s="609"/>
      <c r="F269" s="857"/>
      <c r="G269" s="801"/>
      <c r="H269" s="568"/>
    </row>
    <row r="270" spans="1:8">
      <c r="A270" s="825"/>
      <c r="B270" s="610"/>
      <c r="C270" s="567"/>
      <c r="D270" s="609"/>
      <c r="E270" s="609"/>
      <c r="F270" s="857"/>
      <c r="G270" s="801"/>
      <c r="H270" s="568"/>
    </row>
    <row r="271" spans="1:8">
      <c r="A271" s="825"/>
      <c r="B271" s="611" t="s">
        <v>323</v>
      </c>
      <c r="C271" s="567">
        <v>45</v>
      </c>
      <c r="D271" s="609" t="s">
        <v>277</v>
      </c>
      <c r="E271" s="609"/>
      <c r="F271" s="857"/>
      <c r="G271" s="801"/>
      <c r="H271" s="568">
        <f t="shared" ref="H271:H294" si="5">G271*C271</f>
        <v>0</v>
      </c>
    </row>
    <row r="272" spans="1:8">
      <c r="A272" s="825"/>
      <c r="B272" s="611"/>
      <c r="C272" s="567"/>
      <c r="D272" s="609"/>
      <c r="E272" s="609"/>
      <c r="F272" s="857"/>
      <c r="G272" s="801"/>
      <c r="H272" s="568"/>
    </row>
    <row r="273" spans="1:8">
      <c r="A273" s="825"/>
      <c r="B273" s="608"/>
      <c r="C273" s="567"/>
      <c r="D273" s="609"/>
      <c r="E273" s="609"/>
      <c r="F273" s="857"/>
      <c r="G273" s="801"/>
      <c r="H273" s="568"/>
    </row>
    <row r="274" spans="1:8" ht="26.4">
      <c r="A274" s="831" t="s">
        <v>487</v>
      </c>
      <c r="B274" s="651" t="s">
        <v>324</v>
      </c>
      <c r="C274" s="567"/>
      <c r="D274" s="612"/>
      <c r="E274" s="612"/>
      <c r="F274" s="858"/>
      <c r="G274" s="801"/>
      <c r="H274" s="568"/>
    </row>
    <row r="275" spans="1:8">
      <c r="A275" s="825"/>
      <c r="B275" s="613"/>
      <c r="C275" s="567"/>
      <c r="D275" s="612"/>
      <c r="E275" s="612"/>
      <c r="F275" s="858"/>
      <c r="G275" s="801"/>
      <c r="H275" s="568"/>
    </row>
    <row r="276" spans="1:8">
      <c r="A276" s="825"/>
      <c r="B276" s="614" t="s">
        <v>325</v>
      </c>
      <c r="C276" s="567">
        <v>16</v>
      </c>
      <c r="D276" s="609" t="s">
        <v>140</v>
      </c>
      <c r="E276" s="609"/>
      <c r="F276" s="857"/>
      <c r="G276" s="801"/>
      <c r="H276" s="568">
        <f t="shared" si="5"/>
        <v>0</v>
      </c>
    </row>
    <row r="277" spans="1:8">
      <c r="A277" s="825"/>
      <c r="B277" s="859"/>
      <c r="C277" s="567"/>
      <c r="D277" s="609"/>
      <c r="E277" s="609"/>
      <c r="F277" s="857"/>
      <c r="G277" s="801"/>
      <c r="H277" s="568"/>
    </row>
    <row r="278" spans="1:8">
      <c r="A278" s="825"/>
      <c r="B278" s="614" t="s">
        <v>326</v>
      </c>
      <c r="C278" s="567">
        <v>4</v>
      </c>
      <c r="D278" s="609" t="s">
        <v>140</v>
      </c>
      <c r="E278" s="609"/>
      <c r="F278" s="857"/>
      <c r="G278" s="801"/>
      <c r="H278" s="568">
        <f t="shared" si="5"/>
        <v>0</v>
      </c>
    </row>
    <row r="279" spans="1:8">
      <c r="A279" s="825"/>
      <c r="B279" s="859"/>
      <c r="C279" s="567"/>
      <c r="D279" s="609"/>
      <c r="E279" s="609"/>
      <c r="F279" s="857"/>
      <c r="G279" s="801"/>
      <c r="H279" s="568"/>
    </row>
    <row r="280" spans="1:8">
      <c r="A280" s="825"/>
      <c r="B280" s="614" t="s">
        <v>327</v>
      </c>
      <c r="C280" s="567">
        <v>3</v>
      </c>
      <c r="D280" s="609" t="s">
        <v>140</v>
      </c>
      <c r="E280" s="609"/>
      <c r="F280" s="857"/>
      <c r="G280" s="801"/>
      <c r="H280" s="568">
        <f t="shared" si="5"/>
        <v>0</v>
      </c>
    </row>
    <row r="281" spans="1:8">
      <c r="A281" s="825"/>
      <c r="B281" s="859"/>
      <c r="C281" s="567"/>
      <c r="D281" s="609"/>
      <c r="E281" s="609"/>
      <c r="F281" s="857"/>
      <c r="G281" s="801"/>
      <c r="H281" s="568"/>
    </row>
    <row r="282" spans="1:8">
      <c r="A282" s="825"/>
      <c r="B282" s="614" t="s">
        <v>328</v>
      </c>
      <c r="C282" s="567">
        <v>2</v>
      </c>
      <c r="D282" s="609" t="s">
        <v>140</v>
      </c>
      <c r="E282" s="609"/>
      <c r="F282" s="857"/>
      <c r="G282" s="801"/>
      <c r="H282" s="568">
        <f t="shared" si="5"/>
        <v>0</v>
      </c>
    </row>
    <row r="283" spans="1:8">
      <c r="A283" s="825"/>
      <c r="B283" s="859"/>
      <c r="C283" s="567"/>
      <c r="D283" s="609"/>
      <c r="E283" s="609"/>
      <c r="F283" s="857"/>
      <c r="G283" s="801"/>
      <c r="H283" s="568"/>
    </row>
    <row r="284" spans="1:8">
      <c r="A284" s="860" t="s">
        <v>287</v>
      </c>
      <c r="B284" s="615" t="s">
        <v>329</v>
      </c>
      <c r="C284" s="586">
        <v>1</v>
      </c>
      <c r="D284" s="616" t="s">
        <v>140</v>
      </c>
      <c r="E284" s="587">
        <f>Elec_Est!AM105</f>
        <v>766.3</v>
      </c>
      <c r="F284" s="587">
        <f>Elec_Est!AN105</f>
        <v>1.4</v>
      </c>
      <c r="G284" s="587">
        <f>Elec_Est!E105</f>
        <v>804.74</v>
      </c>
      <c r="H284" s="588">
        <f t="shared" si="5"/>
        <v>804.74</v>
      </c>
    </row>
    <row r="285" spans="1:8">
      <c r="A285" s="861"/>
      <c r="B285" s="859"/>
      <c r="C285" s="567"/>
      <c r="D285" s="609"/>
      <c r="E285" s="609"/>
      <c r="F285" s="857"/>
      <c r="G285" s="801"/>
      <c r="H285" s="568"/>
    </row>
    <row r="286" spans="1:8">
      <c r="A286" s="860" t="s">
        <v>330</v>
      </c>
      <c r="B286" s="615" t="s">
        <v>331</v>
      </c>
      <c r="C286" s="586">
        <v>1</v>
      </c>
      <c r="D286" s="616" t="s">
        <v>140</v>
      </c>
      <c r="E286" s="587">
        <f>Elec_Est!AM123</f>
        <v>521.41</v>
      </c>
      <c r="F286" s="587">
        <f>Elec_Est!AN123</f>
        <v>1.4</v>
      </c>
      <c r="G286" s="587">
        <f>Elec_Est!E123</f>
        <v>559.85</v>
      </c>
      <c r="H286" s="588">
        <f t="shared" si="5"/>
        <v>559.85</v>
      </c>
    </row>
    <row r="287" spans="1:8">
      <c r="A287" s="825"/>
      <c r="B287" s="859"/>
      <c r="C287" s="567"/>
      <c r="D287" s="609"/>
      <c r="E287" s="609"/>
      <c r="F287" s="857"/>
      <c r="G287" s="801"/>
      <c r="H287" s="568"/>
    </row>
    <row r="288" spans="1:8">
      <c r="A288" s="825"/>
      <c r="B288" s="859" t="s">
        <v>332</v>
      </c>
      <c r="C288" s="567">
        <v>4</v>
      </c>
      <c r="D288" s="609" t="s">
        <v>140</v>
      </c>
      <c r="E288" s="609"/>
      <c r="F288" s="857"/>
      <c r="G288" s="801"/>
      <c r="H288" s="568">
        <f t="shared" si="5"/>
        <v>0</v>
      </c>
    </row>
    <row r="289" spans="1:8">
      <c r="A289" s="825"/>
      <c r="B289" s="859"/>
      <c r="C289" s="567"/>
      <c r="D289" s="609"/>
      <c r="E289" s="609"/>
      <c r="F289" s="857"/>
      <c r="G289" s="801"/>
      <c r="H289" s="568"/>
    </row>
    <row r="290" spans="1:8">
      <c r="A290" s="825"/>
      <c r="B290" s="859" t="s">
        <v>333</v>
      </c>
      <c r="C290" s="567">
        <v>4</v>
      </c>
      <c r="D290" s="609" t="s">
        <v>140</v>
      </c>
      <c r="E290" s="609"/>
      <c r="F290" s="857"/>
      <c r="G290" s="801"/>
      <c r="H290" s="568">
        <f t="shared" si="5"/>
        <v>0</v>
      </c>
    </row>
    <row r="291" spans="1:8">
      <c r="A291" s="825"/>
      <c r="B291" s="859"/>
      <c r="C291" s="567"/>
      <c r="D291" s="609"/>
      <c r="E291" s="609"/>
      <c r="F291" s="857"/>
      <c r="G291" s="801"/>
      <c r="H291" s="568"/>
    </row>
    <row r="292" spans="1:8">
      <c r="A292" s="825"/>
      <c r="B292" s="614" t="s">
        <v>335</v>
      </c>
      <c r="C292" s="567">
        <v>4</v>
      </c>
      <c r="D292" s="609" t="s">
        <v>140</v>
      </c>
      <c r="E292" s="609"/>
      <c r="F292" s="857"/>
      <c r="G292" s="801"/>
      <c r="H292" s="568">
        <f t="shared" si="5"/>
        <v>0</v>
      </c>
    </row>
    <row r="293" spans="1:8">
      <c r="A293" s="825"/>
      <c r="B293" s="614"/>
      <c r="C293" s="567"/>
      <c r="D293" s="609"/>
      <c r="E293" s="609"/>
      <c r="F293" s="857"/>
      <c r="G293" s="801"/>
      <c r="H293" s="568"/>
    </row>
    <row r="294" spans="1:8">
      <c r="A294" s="825"/>
      <c r="B294" s="614" t="s">
        <v>335</v>
      </c>
      <c r="C294" s="567">
        <v>4</v>
      </c>
      <c r="D294" s="609" t="s">
        <v>140</v>
      </c>
      <c r="E294" s="609"/>
      <c r="F294" s="857"/>
      <c r="G294" s="801"/>
      <c r="H294" s="568">
        <f t="shared" si="5"/>
        <v>0</v>
      </c>
    </row>
    <row r="295" spans="1:8">
      <c r="A295" s="825"/>
      <c r="B295" s="617"/>
      <c r="C295" s="567"/>
      <c r="D295" s="609"/>
      <c r="E295" s="609"/>
      <c r="F295" s="857"/>
      <c r="G295" s="801"/>
      <c r="H295" s="568"/>
    </row>
    <row r="296" spans="1:8">
      <c r="A296" s="825"/>
      <c r="B296" s="852"/>
      <c r="C296" s="570"/>
      <c r="D296" s="563"/>
      <c r="E296" s="563"/>
      <c r="F296" s="827"/>
      <c r="G296" s="801"/>
      <c r="H296" s="568"/>
    </row>
    <row r="297" spans="1:8">
      <c r="A297" s="825"/>
      <c r="B297" s="852"/>
      <c r="C297" s="570"/>
      <c r="D297" s="563"/>
      <c r="E297" s="563"/>
      <c r="F297" s="827"/>
      <c r="G297" s="801"/>
      <c r="H297" s="568"/>
    </row>
    <row r="298" spans="1:8">
      <c r="A298" s="825"/>
      <c r="B298" s="852"/>
      <c r="C298" s="570"/>
      <c r="D298" s="563"/>
      <c r="E298" s="563"/>
      <c r="F298" s="827"/>
      <c r="G298" s="801"/>
      <c r="H298" s="568"/>
    </row>
    <row r="299" spans="1:8">
      <c r="A299" s="825"/>
      <c r="B299" s="852"/>
      <c r="C299" s="570"/>
      <c r="D299" s="563"/>
      <c r="E299" s="563"/>
      <c r="F299" s="827"/>
      <c r="G299" s="801"/>
      <c r="H299" s="568"/>
    </row>
    <row r="300" spans="1:8">
      <c r="A300" s="825"/>
      <c r="B300" s="852"/>
      <c r="C300" s="570"/>
      <c r="D300" s="563"/>
      <c r="E300" s="563"/>
      <c r="F300" s="827"/>
      <c r="G300" s="801"/>
      <c r="H300" s="568"/>
    </row>
    <row r="301" spans="1:8">
      <c r="A301" s="825"/>
      <c r="B301" s="852"/>
      <c r="C301" s="570"/>
      <c r="D301" s="563"/>
      <c r="E301" s="563"/>
      <c r="F301" s="827"/>
      <c r="G301" s="801"/>
      <c r="H301" s="568"/>
    </row>
    <row r="302" spans="1:8">
      <c r="A302" s="825"/>
      <c r="B302" s="852"/>
      <c r="C302" s="570"/>
      <c r="D302" s="563"/>
      <c r="E302" s="563"/>
      <c r="F302" s="827"/>
      <c r="G302" s="801"/>
      <c r="H302" s="568"/>
    </row>
    <row r="303" spans="1:8">
      <c r="A303" s="825"/>
      <c r="B303" s="852"/>
      <c r="C303" s="570"/>
      <c r="D303" s="563"/>
      <c r="E303" s="563"/>
      <c r="F303" s="827"/>
      <c r="G303" s="801"/>
      <c r="H303" s="568"/>
    </row>
    <row r="304" spans="1:8">
      <c r="A304" s="825"/>
      <c r="B304" s="852"/>
      <c r="C304" s="570"/>
      <c r="D304" s="563"/>
      <c r="E304" s="563"/>
      <c r="F304" s="827"/>
      <c r="G304" s="801"/>
      <c r="H304" s="568"/>
    </row>
    <row r="305" spans="1:8" ht="13.8" thickBot="1">
      <c r="A305" s="853"/>
      <c r="B305" s="826"/>
      <c r="C305" s="564"/>
      <c r="D305" s="563"/>
      <c r="E305" s="563"/>
      <c r="F305" s="827"/>
      <c r="G305" s="801"/>
      <c r="H305" s="568"/>
    </row>
    <row r="306" spans="1:8">
      <c r="A306" s="838"/>
      <c r="B306" s="573"/>
      <c r="C306" s="574"/>
      <c r="D306" s="795"/>
      <c r="E306" s="796"/>
      <c r="F306" s="839"/>
      <c r="G306" s="806"/>
      <c r="H306" s="597"/>
    </row>
    <row r="307" spans="1:8">
      <c r="A307" s="840"/>
      <c r="B307" s="841" t="s">
        <v>270</v>
      </c>
      <c r="C307" s="842"/>
      <c r="D307" s="797"/>
      <c r="E307" s="575">
        <f>SUM(E261:E305)</f>
        <v>1308.31</v>
      </c>
      <c r="F307" s="843">
        <f>SUM(F261:F305)</f>
        <v>5.5</v>
      </c>
      <c r="G307" s="807"/>
      <c r="H307" s="575">
        <f>SUM(H261:H305)</f>
        <v>1459.33</v>
      </c>
    </row>
    <row r="308" spans="1:8">
      <c r="A308" s="844"/>
      <c r="B308" s="576"/>
      <c r="C308" s="577"/>
      <c r="D308" s="798"/>
      <c r="E308" s="799"/>
      <c r="F308" s="845"/>
      <c r="G308" s="808"/>
      <c r="H308" s="598"/>
    </row>
    <row r="309" spans="1:8" ht="17.399999999999999">
      <c r="A309" s="846"/>
      <c r="B309" s="578"/>
      <c r="C309" s="552"/>
      <c r="D309" s="551"/>
      <c r="E309" s="551"/>
      <c r="F309" s="847"/>
      <c r="G309" s="553"/>
      <c r="H309" s="554"/>
    </row>
    <row r="310" spans="1:8">
      <c r="A310" s="848"/>
      <c r="B310" s="849"/>
      <c r="C310" s="817"/>
      <c r="D310" s="816"/>
      <c r="E310" s="816"/>
      <c r="F310" s="818"/>
      <c r="G310" s="556"/>
      <c r="H310" s="557"/>
    </row>
    <row r="311" spans="1:8">
      <c r="A311" s="848"/>
      <c r="B311" s="849"/>
      <c r="C311" s="817"/>
      <c r="D311" s="816"/>
      <c r="E311" s="816"/>
      <c r="F311" s="818"/>
      <c r="G311" s="556"/>
      <c r="H311" s="557"/>
    </row>
    <row r="312" spans="1:8">
      <c r="A312" s="840"/>
      <c r="B312" s="850"/>
      <c r="C312" s="821"/>
      <c r="D312" s="820"/>
      <c r="E312" s="820"/>
      <c r="F312" s="822"/>
      <c r="G312" s="558"/>
      <c r="H312" s="582"/>
    </row>
    <row r="313" spans="1:8" ht="27" thickBot="1">
      <c r="A313" s="851" t="s">
        <v>266</v>
      </c>
      <c r="B313" s="559"/>
      <c r="C313" s="561" t="s">
        <v>267</v>
      </c>
      <c r="D313" s="560" t="s">
        <v>257</v>
      </c>
      <c r="E313" s="794" t="s">
        <v>539</v>
      </c>
      <c r="F313" s="824" t="s">
        <v>540</v>
      </c>
      <c r="G313" s="800" t="s">
        <v>268</v>
      </c>
      <c r="H313" s="562" t="s">
        <v>258</v>
      </c>
    </row>
    <row r="314" spans="1:8">
      <c r="A314" s="825"/>
      <c r="B314" s="826"/>
      <c r="C314" s="564"/>
      <c r="D314" s="563"/>
      <c r="E314" s="563"/>
      <c r="F314" s="827"/>
      <c r="G314" s="801"/>
      <c r="H314" s="568"/>
    </row>
    <row r="315" spans="1:8" ht="124.2" customHeight="1">
      <c r="A315" s="825">
        <v>36</v>
      </c>
      <c r="B315" s="641" t="s">
        <v>337</v>
      </c>
      <c r="C315" s="567">
        <v>1</v>
      </c>
      <c r="D315" s="563" t="s">
        <v>140</v>
      </c>
      <c r="E315" s="565"/>
      <c r="F315" s="893"/>
      <c r="G315" s="801"/>
      <c r="H315" s="568"/>
    </row>
    <row r="316" spans="1:8">
      <c r="A316" s="825"/>
      <c r="C316" s="567"/>
      <c r="D316" s="563"/>
      <c r="E316" s="563"/>
      <c r="F316" s="827"/>
      <c r="G316" s="801"/>
      <c r="H316" s="568"/>
    </row>
    <row r="317" spans="1:8">
      <c r="A317" s="825"/>
      <c r="B317" s="599"/>
      <c r="C317" s="567"/>
      <c r="D317" s="563"/>
      <c r="E317" s="563"/>
      <c r="F317" s="827"/>
      <c r="G317" s="801"/>
      <c r="H317" s="568"/>
    </row>
    <row r="318" spans="1:8" ht="66">
      <c r="A318" s="831">
        <v>37</v>
      </c>
      <c r="B318" s="584" t="s">
        <v>338</v>
      </c>
      <c r="C318" s="586">
        <v>1</v>
      </c>
      <c r="D318" s="585" t="s">
        <v>140</v>
      </c>
      <c r="E318" s="587">
        <f>Elec_Est!AM141</f>
        <v>11.06</v>
      </c>
      <c r="F318" s="833">
        <f>Elec_Est!AN141</f>
        <v>2.44</v>
      </c>
      <c r="G318" s="802">
        <f>Elec_Est!E141</f>
        <v>78.06</v>
      </c>
      <c r="H318" s="588">
        <f t="shared" ref="H318:H341" si="6">G318*C318</f>
        <v>78.06</v>
      </c>
    </row>
    <row r="319" spans="1:8">
      <c r="A319" s="825"/>
      <c r="B319" s="599"/>
      <c r="C319" s="567"/>
      <c r="D319" s="563"/>
      <c r="E319" s="563"/>
      <c r="F319" s="827"/>
      <c r="G319" s="801"/>
      <c r="H319" s="568"/>
    </row>
    <row r="320" spans="1:8">
      <c r="A320" s="825"/>
      <c r="B320" s="569"/>
      <c r="C320" s="567"/>
      <c r="D320" s="563"/>
      <c r="E320" s="563"/>
      <c r="F320" s="827"/>
      <c r="G320" s="801"/>
      <c r="H320" s="568"/>
    </row>
    <row r="321" spans="1:8" ht="105.6">
      <c r="A321" s="831" t="s">
        <v>488</v>
      </c>
      <c r="B321" s="584" t="s">
        <v>339</v>
      </c>
      <c r="C321" s="586"/>
      <c r="D321" s="585"/>
      <c r="E321" s="585"/>
      <c r="F321" s="856"/>
      <c r="G321" s="802"/>
      <c r="H321" s="588"/>
    </row>
    <row r="322" spans="1:8">
      <c r="A322" s="831"/>
      <c r="B322" s="584"/>
      <c r="C322" s="586"/>
      <c r="D322" s="585"/>
      <c r="E322" s="585"/>
      <c r="F322" s="856"/>
      <c r="G322" s="802"/>
      <c r="H322" s="588"/>
    </row>
    <row r="323" spans="1:8">
      <c r="A323" s="831"/>
      <c r="B323" s="623"/>
      <c r="C323" s="586"/>
      <c r="D323" s="585"/>
      <c r="E323" s="585"/>
      <c r="F323" s="856"/>
      <c r="G323" s="802"/>
      <c r="H323" s="588"/>
    </row>
    <row r="324" spans="1:8">
      <c r="A324" s="831"/>
      <c r="B324" s="615"/>
      <c r="C324" s="586"/>
      <c r="D324" s="585"/>
      <c r="E324" s="585"/>
      <c r="F324" s="856"/>
      <c r="G324" s="802"/>
      <c r="H324" s="588"/>
    </row>
    <row r="325" spans="1:8">
      <c r="A325" s="831"/>
      <c r="B325" s="615"/>
      <c r="C325" s="586"/>
      <c r="D325" s="585"/>
      <c r="E325" s="585"/>
      <c r="F325" s="856"/>
      <c r="G325" s="802"/>
      <c r="H325" s="588"/>
    </row>
    <row r="326" spans="1:8">
      <c r="A326" s="831"/>
      <c r="B326" s="615"/>
      <c r="C326" s="586"/>
      <c r="D326" s="585"/>
      <c r="E326" s="585"/>
      <c r="F326" s="856"/>
      <c r="G326" s="802"/>
      <c r="H326" s="588"/>
    </row>
    <row r="327" spans="1:8" ht="66">
      <c r="A327" s="831" t="s">
        <v>275</v>
      </c>
      <c r="B327" s="623" t="s">
        <v>489</v>
      </c>
      <c r="C327" s="586">
        <v>2</v>
      </c>
      <c r="D327" s="585" t="s">
        <v>140</v>
      </c>
      <c r="E327" s="587">
        <f>Elec_Est!AM156</f>
        <v>14.92</v>
      </c>
      <c r="F327" s="833">
        <f>Elec_Est!AN156</f>
        <v>2.56</v>
      </c>
      <c r="G327" s="802">
        <f>Elec_Est!E156</f>
        <v>42.61</v>
      </c>
      <c r="H327" s="588">
        <f t="shared" si="6"/>
        <v>85.22</v>
      </c>
    </row>
    <row r="328" spans="1:8">
      <c r="A328" s="825"/>
      <c r="B328" s="618"/>
      <c r="C328" s="619"/>
      <c r="D328" s="601"/>
      <c r="E328" s="601"/>
      <c r="F328" s="854"/>
      <c r="G328" s="801"/>
      <c r="H328" s="568"/>
    </row>
    <row r="329" spans="1:8">
      <c r="A329" s="825"/>
      <c r="B329" s="614" t="s">
        <v>340</v>
      </c>
      <c r="C329" s="620">
        <v>2</v>
      </c>
      <c r="D329" s="563" t="s">
        <v>140</v>
      </c>
      <c r="E329" s="563"/>
      <c r="F329" s="827"/>
      <c r="G329" s="801"/>
      <c r="H329" s="568">
        <f t="shared" si="6"/>
        <v>0</v>
      </c>
    </row>
    <row r="330" spans="1:8">
      <c r="A330" s="825"/>
      <c r="B330" s="621"/>
      <c r="C330" s="567"/>
      <c r="D330" s="563"/>
      <c r="E330" s="563"/>
      <c r="F330" s="827"/>
      <c r="G330" s="801"/>
      <c r="H330" s="568"/>
    </row>
    <row r="331" spans="1:8">
      <c r="A331" s="825"/>
      <c r="B331" s="614" t="s">
        <v>341</v>
      </c>
      <c r="C331" s="620">
        <v>2</v>
      </c>
      <c r="D331" s="563" t="s">
        <v>140</v>
      </c>
      <c r="E331" s="563"/>
      <c r="F331" s="827"/>
      <c r="G331" s="801"/>
      <c r="H331" s="568">
        <f t="shared" si="6"/>
        <v>0</v>
      </c>
    </row>
    <row r="332" spans="1:8">
      <c r="A332" s="825"/>
      <c r="B332" s="614"/>
      <c r="C332" s="620"/>
      <c r="D332" s="609"/>
      <c r="E332" s="609"/>
      <c r="F332" s="857"/>
      <c r="G332" s="801"/>
      <c r="H332" s="568"/>
    </row>
    <row r="333" spans="1:8">
      <c r="A333" s="825"/>
      <c r="B333" s="614" t="s">
        <v>342</v>
      </c>
      <c r="C333" s="620">
        <v>2</v>
      </c>
      <c r="D333" s="563" t="s">
        <v>140</v>
      </c>
      <c r="E333" s="563"/>
      <c r="F333" s="827"/>
      <c r="G333" s="801"/>
      <c r="H333" s="568">
        <f t="shared" si="6"/>
        <v>0</v>
      </c>
    </row>
    <row r="334" spans="1:8">
      <c r="A334" s="825"/>
      <c r="B334" s="859"/>
      <c r="C334" s="620"/>
      <c r="D334" s="609"/>
      <c r="E334" s="609"/>
      <c r="F334" s="857"/>
      <c r="G334" s="801"/>
      <c r="H334" s="568"/>
    </row>
    <row r="335" spans="1:8">
      <c r="A335" s="825"/>
      <c r="B335" s="614" t="s">
        <v>343</v>
      </c>
      <c r="C335" s="620">
        <v>2</v>
      </c>
      <c r="D335" s="563" t="s">
        <v>140</v>
      </c>
      <c r="E335" s="563"/>
      <c r="F335" s="827"/>
      <c r="G335" s="801"/>
      <c r="H335" s="568">
        <f t="shared" si="6"/>
        <v>0</v>
      </c>
    </row>
    <row r="336" spans="1:8">
      <c r="A336" s="825"/>
      <c r="B336" s="614"/>
      <c r="C336" s="620"/>
      <c r="D336" s="609"/>
      <c r="E336" s="609"/>
      <c r="F336" s="857"/>
      <c r="G336" s="801"/>
      <c r="H336" s="568"/>
    </row>
    <row r="337" spans="1:8">
      <c r="A337" s="825"/>
      <c r="B337" s="614" t="s">
        <v>344</v>
      </c>
      <c r="C337" s="620">
        <v>2</v>
      </c>
      <c r="D337" s="563" t="s">
        <v>140</v>
      </c>
      <c r="E337" s="563"/>
      <c r="F337" s="827"/>
      <c r="G337" s="801"/>
      <c r="H337" s="568">
        <f t="shared" si="6"/>
        <v>0</v>
      </c>
    </row>
    <row r="338" spans="1:8">
      <c r="A338" s="825"/>
      <c r="B338" s="614"/>
      <c r="C338" s="620"/>
      <c r="D338" s="609"/>
      <c r="E338" s="609"/>
      <c r="F338" s="857"/>
      <c r="G338" s="801"/>
      <c r="H338" s="568"/>
    </row>
    <row r="339" spans="1:8">
      <c r="A339" s="825"/>
      <c r="B339" s="614" t="s">
        <v>345</v>
      </c>
      <c r="C339" s="620">
        <v>2</v>
      </c>
      <c r="D339" s="563" t="s">
        <v>140</v>
      </c>
      <c r="E339" s="563"/>
      <c r="F339" s="827"/>
      <c r="G339" s="801"/>
      <c r="H339" s="568">
        <f t="shared" si="6"/>
        <v>0</v>
      </c>
    </row>
    <row r="340" spans="1:8">
      <c r="A340" s="825"/>
      <c r="B340" s="614"/>
      <c r="C340" s="620"/>
      <c r="D340" s="609"/>
      <c r="E340" s="609"/>
      <c r="F340" s="857"/>
      <c r="G340" s="801"/>
      <c r="H340" s="568"/>
    </row>
    <row r="341" spans="1:8">
      <c r="A341" s="825"/>
      <c r="B341" s="614" t="s">
        <v>346</v>
      </c>
      <c r="C341" s="620">
        <v>2</v>
      </c>
      <c r="D341" s="563" t="s">
        <v>140</v>
      </c>
      <c r="E341" s="563"/>
      <c r="F341" s="827"/>
      <c r="G341" s="801"/>
      <c r="H341" s="568">
        <f t="shared" si="6"/>
        <v>0</v>
      </c>
    </row>
    <row r="342" spans="1:8">
      <c r="A342" s="825"/>
      <c r="B342" s="614"/>
      <c r="C342" s="620"/>
      <c r="D342" s="609"/>
      <c r="E342" s="609"/>
      <c r="F342" s="857"/>
      <c r="G342" s="801"/>
      <c r="H342" s="568"/>
    </row>
    <row r="343" spans="1:8">
      <c r="A343" s="825"/>
      <c r="B343" s="852"/>
      <c r="C343" s="570"/>
      <c r="D343" s="563"/>
      <c r="E343" s="563"/>
      <c r="F343" s="827"/>
      <c r="G343" s="801"/>
      <c r="H343" s="568"/>
    </row>
    <row r="344" spans="1:8">
      <c r="A344" s="825"/>
      <c r="B344" s="852"/>
      <c r="C344" s="570"/>
      <c r="D344" s="563"/>
      <c r="E344" s="563"/>
      <c r="F344" s="827"/>
      <c r="G344" s="801"/>
      <c r="H344" s="568"/>
    </row>
    <row r="345" spans="1:8">
      <c r="A345" s="825"/>
      <c r="B345" s="852"/>
      <c r="C345" s="570"/>
      <c r="D345" s="563"/>
      <c r="E345" s="563"/>
      <c r="F345" s="827"/>
      <c r="G345" s="801"/>
      <c r="H345" s="568"/>
    </row>
    <row r="346" spans="1:8" ht="13.8" thickBot="1">
      <c r="A346" s="825"/>
      <c r="B346" s="826"/>
      <c r="C346" s="564"/>
      <c r="D346" s="563"/>
      <c r="E346" s="563"/>
      <c r="F346" s="827"/>
      <c r="G346" s="801"/>
      <c r="H346" s="568"/>
    </row>
    <row r="347" spans="1:8">
      <c r="A347" s="838"/>
      <c r="B347" s="573"/>
      <c r="C347" s="574"/>
      <c r="D347" s="795"/>
      <c r="E347" s="796"/>
      <c r="F347" s="839"/>
      <c r="G347" s="806"/>
      <c r="H347" s="597"/>
    </row>
    <row r="348" spans="1:8">
      <c r="A348" s="840"/>
      <c r="B348" s="841" t="s">
        <v>270</v>
      </c>
      <c r="C348" s="842"/>
      <c r="D348" s="797"/>
      <c r="E348" s="575">
        <f>SUM(E314:E346)</f>
        <v>25.98</v>
      </c>
      <c r="F348" s="843">
        <f>SUM(F314:F346)</f>
        <v>5</v>
      </c>
      <c r="G348" s="807"/>
      <c r="H348" s="575">
        <f>SUM(H314:H346)</f>
        <v>163.28</v>
      </c>
    </row>
    <row r="349" spans="1:8">
      <c r="A349" s="844"/>
      <c r="B349" s="576"/>
      <c r="C349" s="577"/>
      <c r="D349" s="798"/>
      <c r="E349" s="799"/>
      <c r="F349" s="845"/>
      <c r="G349" s="808"/>
      <c r="H349" s="598"/>
    </row>
    <row r="350" spans="1:8" ht="17.399999999999999">
      <c r="A350" s="846"/>
      <c r="B350" s="578"/>
      <c r="C350" s="552"/>
      <c r="D350" s="551"/>
      <c r="E350" s="551"/>
      <c r="F350" s="847"/>
      <c r="G350" s="553"/>
      <c r="H350" s="554"/>
    </row>
    <row r="351" spans="1:8">
      <c r="A351" s="848"/>
      <c r="B351" s="849"/>
      <c r="C351" s="817"/>
      <c r="D351" s="816"/>
      <c r="E351" s="816"/>
      <c r="F351" s="818"/>
      <c r="G351" s="556"/>
      <c r="H351" s="557"/>
    </row>
    <row r="352" spans="1:8">
      <c r="A352" s="848"/>
      <c r="B352" s="849"/>
      <c r="C352" s="817"/>
      <c r="D352" s="816"/>
      <c r="E352" s="816"/>
      <c r="F352" s="818"/>
      <c r="G352" s="556"/>
      <c r="H352" s="557"/>
    </row>
    <row r="353" spans="1:8">
      <c r="A353" s="840"/>
      <c r="B353" s="850"/>
      <c r="C353" s="821"/>
      <c r="D353" s="820"/>
      <c r="E353" s="820"/>
      <c r="F353" s="822"/>
      <c r="G353" s="558"/>
      <c r="H353" s="582"/>
    </row>
    <row r="354" spans="1:8" ht="27" thickBot="1">
      <c r="A354" s="851" t="s">
        <v>266</v>
      </c>
      <c r="B354" s="559"/>
      <c r="C354" s="561" t="s">
        <v>267</v>
      </c>
      <c r="D354" s="560" t="s">
        <v>257</v>
      </c>
      <c r="E354" s="794" t="s">
        <v>539</v>
      </c>
      <c r="F354" s="824" t="s">
        <v>540</v>
      </c>
      <c r="G354" s="800" t="s">
        <v>268</v>
      </c>
      <c r="H354" s="562" t="s">
        <v>258</v>
      </c>
    </row>
    <row r="355" spans="1:8">
      <c r="A355" s="825"/>
      <c r="B355" s="826"/>
      <c r="C355" s="564"/>
      <c r="D355" s="563"/>
      <c r="E355" s="563"/>
      <c r="F355" s="827"/>
      <c r="G355" s="801"/>
      <c r="H355" s="568"/>
    </row>
    <row r="356" spans="1:8">
      <c r="A356" s="860" t="s">
        <v>334</v>
      </c>
      <c r="B356" s="615" t="s">
        <v>347</v>
      </c>
      <c r="C356" s="622">
        <v>2</v>
      </c>
      <c r="D356" s="585" t="s">
        <v>140</v>
      </c>
      <c r="E356" s="1022" t="str">
        <f>Elec_Est!Q167</f>
        <v>Refer to Covering Letter</v>
      </c>
      <c r="F356" s="587"/>
      <c r="G356" s="587">
        <f>Elec_Est!E167</f>
        <v>0</v>
      </c>
      <c r="H356" s="588">
        <f>G356*C356</f>
        <v>0</v>
      </c>
    </row>
    <row r="357" spans="1:8">
      <c r="A357" s="861"/>
      <c r="B357" s="614"/>
      <c r="C357" s="620"/>
      <c r="D357" s="609"/>
      <c r="E357" s="609"/>
      <c r="F357" s="857"/>
      <c r="G357" s="801"/>
      <c r="H357" s="568"/>
    </row>
    <row r="358" spans="1:8" ht="26.4">
      <c r="A358" s="862" t="s">
        <v>336</v>
      </c>
      <c r="B358" s="623" t="s">
        <v>348</v>
      </c>
      <c r="C358" s="586">
        <v>2</v>
      </c>
      <c r="D358" s="585" t="s">
        <v>140</v>
      </c>
      <c r="E358" s="1022" t="str">
        <f>Elec_Est!Q185</f>
        <v>Refer to Covering Letter</v>
      </c>
      <c r="F358" s="833"/>
      <c r="G358" s="802">
        <f>Elec_Est!E185</f>
        <v>0</v>
      </c>
      <c r="H358" s="588">
        <f t="shared" ref="H358:H381" si="7">G358*C358</f>
        <v>0</v>
      </c>
    </row>
    <row r="359" spans="1:8">
      <c r="A359" s="825"/>
      <c r="B359" s="624"/>
      <c r="C359" s="567"/>
      <c r="D359" s="563"/>
      <c r="E359" s="563"/>
      <c r="F359" s="827"/>
      <c r="G359" s="801"/>
      <c r="H359" s="568"/>
    </row>
    <row r="360" spans="1:8">
      <c r="A360" s="825"/>
      <c r="B360" s="624" t="s">
        <v>349</v>
      </c>
      <c r="C360" s="567">
        <v>2</v>
      </c>
      <c r="D360" s="563" t="s">
        <v>140</v>
      </c>
      <c r="E360" s="563"/>
      <c r="F360" s="827"/>
      <c r="G360" s="801"/>
      <c r="H360" s="568">
        <f t="shared" si="7"/>
        <v>0</v>
      </c>
    </row>
    <row r="361" spans="1:8">
      <c r="A361" s="825"/>
      <c r="B361" s="569"/>
      <c r="C361" s="567"/>
      <c r="D361" s="563"/>
      <c r="E361" s="563"/>
      <c r="F361" s="827"/>
      <c r="G361" s="801"/>
      <c r="H361" s="568"/>
    </row>
    <row r="362" spans="1:8">
      <c r="A362" s="825"/>
      <c r="B362" s="569"/>
      <c r="C362" s="567"/>
      <c r="D362" s="563"/>
      <c r="E362" s="563"/>
      <c r="F362" s="827"/>
      <c r="G362" s="801"/>
      <c r="H362" s="568"/>
    </row>
    <row r="363" spans="1:8" ht="39.6">
      <c r="A363" s="825">
        <v>39</v>
      </c>
      <c r="B363" s="624" t="s">
        <v>350</v>
      </c>
      <c r="C363" s="567"/>
      <c r="D363" s="609"/>
      <c r="E363" s="609"/>
      <c r="F363" s="857"/>
      <c r="G363" s="801"/>
      <c r="H363" s="568"/>
    </row>
    <row r="364" spans="1:8">
      <c r="A364" s="825"/>
      <c r="B364" s="614"/>
      <c r="C364" s="567"/>
      <c r="D364" s="609"/>
      <c r="E364" s="609"/>
      <c r="F364" s="857"/>
      <c r="G364" s="801"/>
      <c r="H364" s="568"/>
    </row>
    <row r="365" spans="1:8" ht="26.4">
      <c r="A365" s="825"/>
      <c r="B365" s="624" t="s">
        <v>351</v>
      </c>
      <c r="C365" s="567">
        <v>1</v>
      </c>
      <c r="D365" s="563" t="s">
        <v>140</v>
      </c>
      <c r="E365" s="563"/>
      <c r="F365" s="827"/>
      <c r="G365" s="801"/>
      <c r="H365" s="568">
        <f t="shared" si="7"/>
        <v>0</v>
      </c>
    </row>
    <row r="366" spans="1:8">
      <c r="A366" s="825"/>
      <c r="B366" s="611" t="s">
        <v>352</v>
      </c>
      <c r="C366" s="567"/>
      <c r="D366" s="609"/>
      <c r="E366" s="609"/>
      <c r="F366" s="857"/>
      <c r="G366" s="801"/>
      <c r="H366" s="568"/>
    </row>
    <row r="367" spans="1:8">
      <c r="A367" s="825"/>
      <c r="B367" s="611" t="s">
        <v>353</v>
      </c>
      <c r="C367" s="567"/>
      <c r="D367" s="609"/>
      <c r="E367" s="609"/>
      <c r="F367" s="857"/>
      <c r="G367" s="801"/>
      <c r="H367" s="568"/>
    </row>
    <row r="368" spans="1:8">
      <c r="A368" s="825"/>
      <c r="B368" s="611" t="s">
        <v>354</v>
      </c>
      <c r="C368" s="567"/>
      <c r="D368" s="609"/>
      <c r="E368" s="609"/>
      <c r="F368" s="857"/>
      <c r="G368" s="801"/>
      <c r="H368" s="568"/>
    </row>
    <row r="369" spans="1:8">
      <c r="A369" s="825"/>
      <c r="B369" s="611" t="s">
        <v>355</v>
      </c>
      <c r="C369" s="567"/>
      <c r="D369" s="609"/>
      <c r="E369" s="609"/>
      <c r="F369" s="857"/>
      <c r="G369" s="801"/>
      <c r="H369" s="568"/>
    </row>
    <row r="370" spans="1:8">
      <c r="A370" s="825"/>
      <c r="B370" s="617"/>
      <c r="C370" s="567"/>
      <c r="D370" s="609"/>
      <c r="E370" s="609"/>
      <c r="F370" s="857"/>
      <c r="G370" s="801"/>
      <c r="H370" s="568"/>
    </row>
    <row r="371" spans="1:8">
      <c r="A371" s="825"/>
      <c r="B371" s="617"/>
      <c r="C371" s="567"/>
      <c r="D371" s="609"/>
      <c r="E371" s="609"/>
      <c r="F371" s="857"/>
      <c r="G371" s="801"/>
      <c r="H371" s="568"/>
    </row>
    <row r="372" spans="1:8">
      <c r="A372" s="831">
        <v>40</v>
      </c>
      <c r="B372" s="914" t="s">
        <v>356</v>
      </c>
      <c r="C372" s="567"/>
      <c r="D372" s="609"/>
      <c r="E372" s="609"/>
      <c r="F372" s="857"/>
      <c r="G372" s="801"/>
      <c r="H372" s="568"/>
    </row>
    <row r="373" spans="1:8">
      <c r="A373" s="825"/>
      <c r="B373" s="625"/>
      <c r="C373" s="567"/>
      <c r="D373" s="609"/>
      <c r="E373" s="609"/>
      <c r="F373" s="857"/>
      <c r="G373" s="801"/>
      <c r="H373" s="568"/>
    </row>
    <row r="374" spans="1:8">
      <c r="A374" s="825" t="s">
        <v>275</v>
      </c>
      <c r="B374" s="614" t="s">
        <v>357</v>
      </c>
      <c r="C374" s="567">
        <v>1</v>
      </c>
      <c r="D374" s="609" t="s">
        <v>140</v>
      </c>
      <c r="E374" s="609"/>
      <c r="F374" s="857"/>
      <c r="G374" s="801"/>
      <c r="H374" s="568">
        <f t="shared" si="7"/>
        <v>0</v>
      </c>
    </row>
    <row r="375" spans="1:8">
      <c r="A375" s="825"/>
      <c r="B375" s="859"/>
      <c r="C375" s="567"/>
      <c r="D375" s="609"/>
      <c r="E375" s="609"/>
      <c r="F375" s="857"/>
      <c r="G375" s="801"/>
      <c r="H375" s="568"/>
    </row>
    <row r="376" spans="1:8">
      <c r="A376" s="825" t="s">
        <v>278</v>
      </c>
      <c r="B376" s="614" t="s">
        <v>358</v>
      </c>
      <c r="C376" s="567">
        <v>1</v>
      </c>
      <c r="D376" s="609" t="s">
        <v>140</v>
      </c>
      <c r="E376" s="609"/>
      <c r="F376" s="857"/>
      <c r="G376" s="801"/>
      <c r="H376" s="568">
        <f t="shared" si="7"/>
        <v>0</v>
      </c>
    </row>
    <row r="377" spans="1:8">
      <c r="A377" s="825"/>
      <c r="B377" s="624"/>
      <c r="C377" s="567"/>
      <c r="D377" s="609"/>
      <c r="E377" s="609"/>
      <c r="F377" s="857"/>
      <c r="G377" s="801"/>
      <c r="H377" s="568"/>
    </row>
    <row r="378" spans="1:8" ht="26.4">
      <c r="A378" s="831" t="s">
        <v>544</v>
      </c>
      <c r="B378" s="623" t="s">
        <v>359</v>
      </c>
      <c r="C378" s="586">
        <v>1</v>
      </c>
      <c r="D378" s="585" t="s">
        <v>140</v>
      </c>
      <c r="E378" s="1022" t="str">
        <f>Elec_Est!Q194</f>
        <v>Refer to Covering Letter</v>
      </c>
      <c r="F378" s="833"/>
      <c r="G378" s="802">
        <f>Elec_Est!E194</f>
        <v>0</v>
      </c>
      <c r="H378" s="588">
        <f t="shared" si="7"/>
        <v>0</v>
      </c>
    </row>
    <row r="379" spans="1:8">
      <c r="A379" s="831"/>
      <c r="B379" s="584"/>
      <c r="C379" s="586"/>
      <c r="D379" s="585"/>
      <c r="E379" s="585"/>
      <c r="F379" s="856"/>
      <c r="G379" s="802"/>
      <c r="H379" s="588"/>
    </row>
    <row r="380" spans="1:8">
      <c r="A380" s="825"/>
      <c r="B380" s="583"/>
      <c r="C380" s="567"/>
      <c r="D380" s="563"/>
      <c r="E380" s="563"/>
      <c r="F380" s="827"/>
      <c r="G380" s="801"/>
      <c r="H380" s="568"/>
    </row>
    <row r="381" spans="1:8" ht="66">
      <c r="A381" s="831">
        <v>41</v>
      </c>
      <c r="B381" s="584" t="s">
        <v>360</v>
      </c>
      <c r="C381" s="586">
        <v>1</v>
      </c>
      <c r="D381" s="585" t="s">
        <v>140</v>
      </c>
      <c r="E381" s="587">
        <f>Elec_Est!AM199</f>
        <v>11.06</v>
      </c>
      <c r="F381" s="833">
        <f>Elec_Est!AN199</f>
        <v>2.44</v>
      </c>
      <c r="G381" s="802">
        <f>Elec_Est!E199</f>
        <v>78.06</v>
      </c>
      <c r="H381" s="588">
        <f t="shared" si="7"/>
        <v>78.06</v>
      </c>
    </row>
    <row r="382" spans="1:8">
      <c r="A382" s="825"/>
      <c r="B382" s="852"/>
      <c r="C382" s="567"/>
      <c r="D382" s="563"/>
      <c r="E382" s="563"/>
      <c r="F382" s="827"/>
      <c r="G382" s="801"/>
      <c r="H382" s="568"/>
    </row>
    <row r="383" spans="1:8">
      <c r="A383" s="825"/>
      <c r="B383" s="852"/>
      <c r="C383" s="570"/>
      <c r="D383" s="563"/>
      <c r="E383" s="563"/>
      <c r="F383" s="827"/>
      <c r="G383" s="801"/>
      <c r="H383" s="568"/>
    </row>
    <row r="384" spans="1:8">
      <c r="A384" s="825"/>
      <c r="B384" s="852"/>
      <c r="C384" s="567"/>
      <c r="D384" s="563"/>
      <c r="E384" s="563"/>
      <c r="F384" s="827"/>
      <c r="G384" s="801"/>
      <c r="H384" s="568"/>
    </row>
    <row r="385" spans="1:8">
      <c r="A385" s="825"/>
      <c r="B385" s="852"/>
      <c r="C385" s="570"/>
      <c r="D385" s="563"/>
      <c r="E385" s="563"/>
      <c r="F385" s="827"/>
      <c r="G385" s="801"/>
      <c r="H385" s="568"/>
    </row>
    <row r="386" spans="1:8">
      <c r="A386" s="825"/>
      <c r="B386" s="852"/>
      <c r="C386" s="567"/>
      <c r="D386" s="563"/>
      <c r="E386" s="563"/>
      <c r="F386" s="827"/>
      <c r="G386" s="801"/>
      <c r="H386" s="568"/>
    </row>
    <row r="387" spans="1:8">
      <c r="A387" s="825"/>
      <c r="B387" s="852"/>
      <c r="C387" s="570"/>
      <c r="D387" s="563"/>
      <c r="E387" s="563"/>
      <c r="F387" s="827"/>
      <c r="G387" s="801"/>
      <c r="H387" s="568"/>
    </row>
    <row r="388" spans="1:8">
      <c r="A388" s="825"/>
      <c r="B388" s="852"/>
      <c r="C388" s="567"/>
      <c r="D388" s="563"/>
      <c r="E388" s="563"/>
      <c r="F388" s="827"/>
      <c r="G388" s="801"/>
      <c r="H388" s="568"/>
    </row>
    <row r="389" spans="1:8">
      <c r="A389" s="825"/>
      <c r="B389" s="852"/>
      <c r="C389" s="570"/>
      <c r="D389" s="563"/>
      <c r="E389" s="563"/>
      <c r="F389" s="827"/>
      <c r="G389" s="801"/>
      <c r="H389" s="568"/>
    </row>
    <row r="390" spans="1:8">
      <c r="A390" s="825"/>
      <c r="B390" s="852"/>
      <c r="C390" s="570"/>
      <c r="D390" s="563"/>
      <c r="E390" s="563"/>
      <c r="F390" s="827"/>
      <c r="G390" s="801"/>
      <c r="H390" s="568"/>
    </row>
    <row r="391" spans="1:8">
      <c r="A391" s="825"/>
      <c r="B391" s="852"/>
      <c r="C391" s="570"/>
      <c r="D391" s="563"/>
      <c r="E391" s="563"/>
      <c r="F391" s="827"/>
      <c r="G391" s="801"/>
      <c r="H391" s="568"/>
    </row>
    <row r="392" spans="1:8">
      <c r="A392" s="825"/>
      <c r="B392" s="852"/>
      <c r="C392" s="570"/>
      <c r="D392" s="563"/>
      <c r="E392" s="563"/>
      <c r="F392" s="827"/>
      <c r="G392" s="801"/>
      <c r="H392" s="568"/>
    </row>
    <row r="393" spans="1:8">
      <c r="A393" s="825"/>
      <c r="B393" s="852"/>
      <c r="C393" s="570"/>
      <c r="D393" s="563"/>
      <c r="E393" s="563"/>
      <c r="F393" s="827"/>
      <c r="G393" s="801"/>
      <c r="H393" s="568"/>
    </row>
    <row r="394" spans="1:8">
      <c r="A394" s="825"/>
      <c r="B394" s="852"/>
      <c r="C394" s="570"/>
      <c r="D394" s="563"/>
      <c r="E394" s="563"/>
      <c r="F394" s="827"/>
      <c r="G394" s="801"/>
      <c r="H394" s="568"/>
    </row>
    <row r="395" spans="1:8">
      <c r="A395" s="825"/>
      <c r="B395" s="852"/>
      <c r="C395" s="570"/>
      <c r="D395" s="563"/>
      <c r="E395" s="563"/>
      <c r="F395" s="827"/>
      <c r="G395" s="801"/>
      <c r="H395" s="568"/>
    </row>
    <row r="396" spans="1:8">
      <c r="A396" s="825"/>
      <c r="B396" s="852"/>
      <c r="C396" s="570"/>
      <c r="D396" s="563"/>
      <c r="E396" s="563"/>
      <c r="F396" s="827"/>
      <c r="G396" s="801"/>
      <c r="H396" s="568"/>
    </row>
    <row r="397" spans="1:8" ht="13.8" thickBot="1">
      <c r="A397" s="853"/>
      <c r="B397" s="826"/>
      <c r="C397" s="564"/>
      <c r="D397" s="563"/>
      <c r="E397" s="563"/>
      <c r="F397" s="827"/>
      <c r="G397" s="801"/>
      <c r="H397" s="568"/>
    </row>
    <row r="398" spans="1:8">
      <c r="A398" s="838"/>
      <c r="B398" s="573"/>
      <c r="C398" s="574"/>
      <c r="D398" s="795"/>
      <c r="E398" s="796"/>
      <c r="F398" s="839"/>
      <c r="G398" s="806"/>
      <c r="H398" s="597"/>
    </row>
    <row r="399" spans="1:8">
      <c r="A399" s="840"/>
      <c r="B399" s="841" t="s">
        <v>270</v>
      </c>
      <c r="C399" s="842"/>
      <c r="D399" s="797"/>
      <c r="E399" s="575">
        <f>SUM(E355:E397)</f>
        <v>11.06</v>
      </c>
      <c r="F399" s="843">
        <f>SUM(F355:F397)</f>
        <v>2.44</v>
      </c>
      <c r="G399" s="807"/>
      <c r="H399" s="575">
        <f>SUM(H355:H397)</f>
        <v>78.06</v>
      </c>
    </row>
    <row r="400" spans="1:8">
      <c r="A400" s="844"/>
      <c r="B400" s="576"/>
      <c r="C400" s="577"/>
      <c r="D400" s="798"/>
      <c r="E400" s="799"/>
      <c r="F400" s="845"/>
      <c r="G400" s="808"/>
      <c r="H400" s="598"/>
    </row>
    <row r="401" spans="1:8" ht="17.399999999999999">
      <c r="A401" s="846"/>
      <c r="B401" s="578"/>
      <c r="C401" s="552"/>
      <c r="D401" s="551"/>
      <c r="E401" s="551"/>
      <c r="F401" s="847"/>
      <c r="G401" s="553"/>
      <c r="H401" s="554"/>
    </row>
    <row r="402" spans="1:8">
      <c r="A402" s="848"/>
      <c r="B402" s="849"/>
      <c r="C402" s="817"/>
      <c r="D402" s="816"/>
      <c r="E402" s="816"/>
      <c r="F402" s="818"/>
      <c r="G402" s="556"/>
      <c r="H402" s="557"/>
    </row>
    <row r="403" spans="1:8">
      <c r="A403" s="848"/>
      <c r="B403" s="849"/>
      <c r="C403" s="817"/>
      <c r="D403" s="816"/>
      <c r="E403" s="816"/>
      <c r="F403" s="818"/>
      <c r="G403" s="556"/>
      <c r="H403" s="557"/>
    </row>
    <row r="404" spans="1:8">
      <c r="A404" s="840"/>
      <c r="B404" s="850"/>
      <c r="C404" s="821"/>
      <c r="D404" s="820"/>
      <c r="E404" s="820"/>
      <c r="F404" s="822"/>
      <c r="G404" s="558"/>
      <c r="H404" s="582"/>
    </row>
    <row r="405" spans="1:8" ht="27" thickBot="1">
      <c r="A405" s="851" t="s">
        <v>266</v>
      </c>
      <c r="B405" s="559"/>
      <c r="C405" s="561" t="s">
        <v>267</v>
      </c>
      <c r="D405" s="560" t="s">
        <v>257</v>
      </c>
      <c r="E405" s="794" t="s">
        <v>539</v>
      </c>
      <c r="F405" s="824" t="s">
        <v>540</v>
      </c>
      <c r="G405" s="800" t="s">
        <v>268</v>
      </c>
      <c r="H405" s="562" t="s">
        <v>258</v>
      </c>
    </row>
    <row r="406" spans="1:8">
      <c r="A406" s="825"/>
      <c r="B406" s="826"/>
      <c r="C406" s="564"/>
      <c r="D406" s="563"/>
      <c r="E406" s="563"/>
      <c r="F406" s="827"/>
      <c r="G406" s="801"/>
      <c r="H406" s="568"/>
    </row>
    <row r="407" spans="1:8" ht="66">
      <c r="A407" s="825">
        <v>42</v>
      </c>
      <c r="B407" s="583" t="s">
        <v>361</v>
      </c>
      <c r="C407" s="567"/>
      <c r="D407" s="563"/>
      <c r="E407" s="563"/>
      <c r="F407" s="827"/>
      <c r="G407" s="801"/>
      <c r="H407" s="568"/>
    </row>
    <row r="408" spans="1:8">
      <c r="A408" s="825"/>
      <c r="B408" s="830"/>
      <c r="C408" s="567"/>
      <c r="D408" s="563"/>
      <c r="E408" s="563"/>
      <c r="F408" s="827"/>
      <c r="G408" s="801"/>
      <c r="H408" s="568"/>
    </row>
    <row r="409" spans="1:8">
      <c r="A409" s="825"/>
      <c r="B409" s="569" t="s">
        <v>276</v>
      </c>
      <c r="C409" s="567">
        <v>43</v>
      </c>
      <c r="D409" s="563" t="s">
        <v>277</v>
      </c>
      <c r="E409" s="563"/>
      <c r="F409" s="827"/>
      <c r="G409" s="801"/>
      <c r="H409" s="568">
        <f>G409*C409</f>
        <v>0</v>
      </c>
    </row>
    <row r="410" spans="1:8">
      <c r="A410" s="825"/>
      <c r="B410" s="569"/>
      <c r="C410" s="567"/>
      <c r="D410" s="563"/>
      <c r="E410" s="563"/>
      <c r="F410" s="827"/>
      <c r="G410" s="801"/>
      <c r="H410" s="568"/>
    </row>
    <row r="411" spans="1:8">
      <c r="A411" s="825"/>
      <c r="B411" s="583" t="s">
        <v>279</v>
      </c>
      <c r="C411" s="567">
        <v>35</v>
      </c>
      <c r="D411" s="563" t="s">
        <v>277</v>
      </c>
      <c r="E411" s="563"/>
      <c r="F411" s="827"/>
      <c r="G411" s="801"/>
      <c r="H411" s="568">
        <f t="shared" ref="H411:H443" si="8">G411*C411</f>
        <v>0</v>
      </c>
    </row>
    <row r="412" spans="1:8">
      <c r="A412" s="825"/>
      <c r="B412" s="583"/>
      <c r="C412" s="567"/>
      <c r="D412" s="563"/>
      <c r="E412" s="563"/>
      <c r="F412" s="827"/>
      <c r="G412" s="801"/>
      <c r="H412" s="568"/>
    </row>
    <row r="413" spans="1:8">
      <c r="A413" s="825"/>
      <c r="B413" s="583" t="s">
        <v>285</v>
      </c>
      <c r="C413" s="567">
        <v>50</v>
      </c>
      <c r="D413" s="563" t="s">
        <v>277</v>
      </c>
      <c r="E413" s="563"/>
      <c r="F413" s="827"/>
      <c r="G413" s="801"/>
      <c r="H413" s="568">
        <f t="shared" si="8"/>
        <v>0</v>
      </c>
    </row>
    <row r="414" spans="1:8">
      <c r="A414" s="825"/>
      <c r="B414" s="583"/>
      <c r="C414" s="567"/>
      <c r="D414" s="563"/>
      <c r="E414" s="563"/>
      <c r="F414" s="827"/>
      <c r="G414" s="801"/>
      <c r="H414" s="568"/>
    </row>
    <row r="415" spans="1:8">
      <c r="A415" s="825"/>
      <c r="B415" s="583" t="s">
        <v>286</v>
      </c>
      <c r="C415" s="567">
        <v>20</v>
      </c>
      <c r="D415" s="563" t="s">
        <v>277</v>
      </c>
      <c r="E415" s="563"/>
      <c r="F415" s="827"/>
      <c r="G415" s="801"/>
      <c r="H415" s="568">
        <f t="shared" si="8"/>
        <v>0</v>
      </c>
    </row>
    <row r="416" spans="1:8">
      <c r="A416" s="825"/>
      <c r="B416" s="583"/>
      <c r="C416" s="567"/>
      <c r="D416" s="563"/>
      <c r="E416" s="563"/>
      <c r="F416" s="827"/>
      <c r="G416" s="801"/>
      <c r="H416" s="568"/>
    </row>
    <row r="417" spans="1:8">
      <c r="A417" s="825"/>
      <c r="B417" s="583" t="s">
        <v>288</v>
      </c>
      <c r="C417" s="567">
        <v>25</v>
      </c>
      <c r="D417" s="563" t="s">
        <v>277</v>
      </c>
      <c r="E417" s="563"/>
      <c r="F417" s="827"/>
      <c r="G417" s="801"/>
      <c r="H417" s="568">
        <f t="shared" si="8"/>
        <v>0</v>
      </c>
    </row>
    <row r="418" spans="1:8">
      <c r="A418" s="825"/>
      <c r="B418" s="583"/>
      <c r="C418" s="567"/>
      <c r="D418" s="563"/>
      <c r="E418" s="563"/>
      <c r="F418" s="827"/>
      <c r="G418" s="801"/>
      <c r="H418" s="568"/>
    </row>
    <row r="419" spans="1:8">
      <c r="A419" s="825"/>
      <c r="B419" s="583"/>
      <c r="C419" s="567"/>
      <c r="D419" s="563"/>
      <c r="E419" s="563"/>
      <c r="F419" s="827"/>
      <c r="G419" s="801"/>
      <c r="H419" s="568"/>
    </row>
    <row r="420" spans="1:8" ht="26.4">
      <c r="A420" s="825">
        <v>43</v>
      </c>
      <c r="B420" s="605" t="s">
        <v>362</v>
      </c>
      <c r="C420" s="567"/>
      <c r="D420" s="563"/>
      <c r="E420" s="563"/>
      <c r="F420" s="827"/>
      <c r="G420" s="801"/>
      <c r="H420" s="568"/>
    </row>
    <row r="421" spans="1:8">
      <c r="A421" s="825"/>
      <c r="B421" s="583"/>
      <c r="C421" s="567"/>
      <c r="D421" s="563"/>
      <c r="E421" s="563"/>
      <c r="F421" s="827"/>
      <c r="G421" s="801"/>
      <c r="H421" s="568"/>
    </row>
    <row r="422" spans="1:8">
      <c r="A422" s="825"/>
      <c r="B422" s="569" t="s">
        <v>276</v>
      </c>
      <c r="C422" s="567">
        <v>13</v>
      </c>
      <c r="D422" s="563" t="s">
        <v>140</v>
      </c>
      <c r="E422" s="563"/>
      <c r="F422" s="827"/>
      <c r="G422" s="801"/>
      <c r="H422" s="568">
        <f t="shared" si="8"/>
        <v>0</v>
      </c>
    </row>
    <row r="423" spans="1:8">
      <c r="A423" s="825"/>
      <c r="B423" s="583"/>
      <c r="C423" s="567"/>
      <c r="D423" s="563"/>
      <c r="E423" s="563"/>
      <c r="F423" s="827"/>
      <c r="G423" s="801"/>
      <c r="H423" s="568"/>
    </row>
    <row r="424" spans="1:8">
      <c r="A424" s="825"/>
      <c r="B424" s="569" t="s">
        <v>279</v>
      </c>
      <c r="C424" s="567">
        <v>5</v>
      </c>
      <c r="D424" s="563" t="s">
        <v>140</v>
      </c>
      <c r="E424" s="563"/>
      <c r="F424" s="827"/>
      <c r="G424" s="801"/>
      <c r="H424" s="568">
        <f t="shared" si="8"/>
        <v>0</v>
      </c>
    </row>
    <row r="425" spans="1:8">
      <c r="A425" s="825"/>
      <c r="B425" s="830"/>
      <c r="C425" s="567"/>
      <c r="D425" s="563"/>
      <c r="E425" s="563"/>
      <c r="F425" s="827"/>
      <c r="G425" s="801"/>
      <c r="H425" s="568"/>
    </row>
    <row r="426" spans="1:8">
      <c r="A426" s="825"/>
      <c r="B426" s="830" t="s">
        <v>285</v>
      </c>
      <c r="C426" s="567">
        <v>9</v>
      </c>
      <c r="D426" s="563" t="s">
        <v>140</v>
      </c>
      <c r="E426" s="563"/>
      <c r="F426" s="827"/>
      <c r="G426" s="801"/>
      <c r="H426" s="568">
        <f t="shared" si="8"/>
        <v>0</v>
      </c>
    </row>
    <row r="427" spans="1:8">
      <c r="A427" s="825"/>
      <c r="B427" s="569"/>
      <c r="C427" s="567"/>
      <c r="D427" s="563"/>
      <c r="E427" s="563"/>
      <c r="F427" s="827"/>
      <c r="G427" s="801"/>
      <c r="H427" s="568"/>
    </row>
    <row r="428" spans="1:8">
      <c r="A428" s="825"/>
      <c r="B428" s="569"/>
      <c r="C428" s="567"/>
      <c r="D428" s="563"/>
      <c r="E428" s="563"/>
      <c r="F428" s="827"/>
      <c r="G428" s="801"/>
      <c r="H428" s="568"/>
    </row>
    <row r="429" spans="1:8" ht="52.8">
      <c r="A429" s="831" t="s">
        <v>490</v>
      </c>
      <c r="B429" s="863" t="s">
        <v>363</v>
      </c>
      <c r="C429" s="586"/>
      <c r="D429" s="585"/>
      <c r="E429" s="585"/>
      <c r="F429" s="856"/>
      <c r="G429" s="802"/>
      <c r="H429" s="588"/>
    </row>
    <row r="430" spans="1:8">
      <c r="A430" s="831"/>
      <c r="B430" s="863"/>
      <c r="C430" s="586"/>
      <c r="D430" s="585"/>
      <c r="E430" s="585"/>
      <c r="F430" s="856"/>
      <c r="G430" s="802"/>
      <c r="H430" s="588"/>
    </row>
    <row r="431" spans="1:8">
      <c r="A431" s="831" t="s">
        <v>275</v>
      </c>
      <c r="B431" s="863" t="s">
        <v>276</v>
      </c>
      <c r="C431" s="586">
        <v>4</v>
      </c>
      <c r="D431" s="585" t="s">
        <v>140</v>
      </c>
      <c r="E431" s="587">
        <f>Elec_Est!AM215</f>
        <v>53.96</v>
      </c>
      <c r="F431" s="587">
        <f>Elec_Est!AN215</f>
        <v>3.6</v>
      </c>
      <c r="G431" s="587">
        <f>Elec_Est!E215</f>
        <v>38.21</v>
      </c>
      <c r="H431" s="588">
        <f t="shared" si="8"/>
        <v>152.84</v>
      </c>
    </row>
    <row r="432" spans="1:8">
      <c r="A432" s="831"/>
      <c r="B432" s="863"/>
      <c r="C432" s="586"/>
      <c r="D432" s="585"/>
      <c r="E432" s="585"/>
      <c r="F432" s="856"/>
      <c r="G432" s="802"/>
      <c r="H432" s="588"/>
    </row>
    <row r="433" spans="1:8">
      <c r="A433" s="831" t="s">
        <v>278</v>
      </c>
      <c r="B433" s="863" t="s">
        <v>285</v>
      </c>
      <c r="C433" s="586">
        <v>4</v>
      </c>
      <c r="D433" s="585" t="s">
        <v>140</v>
      </c>
      <c r="E433" s="587">
        <f>Elec_Est!AM232</f>
        <v>53.96</v>
      </c>
      <c r="F433" s="587">
        <f>Elec_Est!AN232</f>
        <v>3.6</v>
      </c>
      <c r="G433" s="587">
        <f>Elec_Est!E232</f>
        <v>38.21</v>
      </c>
      <c r="H433" s="588">
        <f t="shared" si="8"/>
        <v>152.84</v>
      </c>
    </row>
    <row r="434" spans="1:8">
      <c r="A434" s="825"/>
      <c r="B434" s="830"/>
      <c r="C434" s="567"/>
      <c r="D434" s="563"/>
      <c r="E434" s="563"/>
      <c r="F434" s="827"/>
      <c r="G434" s="801"/>
      <c r="H434" s="568"/>
    </row>
    <row r="435" spans="1:8">
      <c r="A435" s="825"/>
      <c r="B435" s="830"/>
      <c r="C435" s="567"/>
      <c r="D435" s="563"/>
      <c r="E435" s="563"/>
      <c r="F435" s="827"/>
      <c r="G435" s="801"/>
      <c r="H435" s="568"/>
    </row>
    <row r="436" spans="1:8" ht="26.4">
      <c r="A436" s="825">
        <v>45</v>
      </c>
      <c r="B436" s="583" t="s">
        <v>364</v>
      </c>
      <c r="C436" s="567" t="s">
        <v>365</v>
      </c>
      <c r="D436" s="563"/>
      <c r="E436" s="563"/>
      <c r="F436" s="827"/>
      <c r="G436" s="801"/>
      <c r="H436" s="568"/>
    </row>
    <row r="437" spans="1:8">
      <c r="A437" s="825"/>
      <c r="B437" s="583"/>
      <c r="C437" s="567" t="s">
        <v>365</v>
      </c>
      <c r="D437" s="563"/>
      <c r="E437" s="563"/>
      <c r="F437" s="827"/>
      <c r="G437" s="801"/>
      <c r="H437" s="568"/>
    </row>
    <row r="438" spans="1:8">
      <c r="A438" s="825"/>
      <c r="B438" s="569" t="s">
        <v>276</v>
      </c>
      <c r="C438" s="567">
        <v>2</v>
      </c>
      <c r="D438" s="563" t="s">
        <v>140</v>
      </c>
      <c r="E438" s="563"/>
      <c r="F438" s="827"/>
      <c r="G438" s="801"/>
      <c r="H438" s="568">
        <f t="shared" si="8"/>
        <v>0</v>
      </c>
    </row>
    <row r="439" spans="1:8">
      <c r="A439" s="825"/>
      <c r="B439" s="583"/>
      <c r="C439" s="567"/>
      <c r="D439" s="563"/>
      <c r="E439" s="563"/>
      <c r="F439" s="827"/>
      <c r="G439" s="801"/>
      <c r="H439" s="568"/>
    </row>
    <row r="440" spans="1:8">
      <c r="A440" s="825"/>
      <c r="B440" s="583"/>
      <c r="C440" s="567"/>
      <c r="D440" s="563"/>
      <c r="E440" s="563"/>
      <c r="F440" s="827"/>
      <c r="G440" s="801"/>
      <c r="H440" s="568"/>
    </row>
    <row r="441" spans="1:8" ht="26.4">
      <c r="A441" s="825">
        <v>46</v>
      </c>
      <c r="B441" s="583" t="s">
        <v>366</v>
      </c>
      <c r="C441" s="567"/>
      <c r="D441" s="563"/>
      <c r="E441" s="563"/>
      <c r="F441" s="827"/>
      <c r="G441" s="801"/>
      <c r="H441" s="568"/>
    </row>
    <row r="442" spans="1:8">
      <c r="A442" s="825"/>
      <c r="B442" s="583"/>
      <c r="C442" s="567"/>
      <c r="D442" s="563"/>
      <c r="E442" s="563"/>
      <c r="F442" s="827"/>
      <c r="G442" s="801"/>
      <c r="H442" s="568"/>
    </row>
    <row r="443" spans="1:8">
      <c r="A443" s="825"/>
      <c r="B443" s="569" t="s">
        <v>276</v>
      </c>
      <c r="C443" s="567">
        <v>2</v>
      </c>
      <c r="D443" s="563" t="s">
        <v>140</v>
      </c>
      <c r="E443" s="563"/>
      <c r="F443" s="827"/>
      <c r="G443" s="801"/>
      <c r="H443" s="568">
        <f t="shared" si="8"/>
        <v>0</v>
      </c>
    </row>
    <row r="444" spans="1:8">
      <c r="A444" s="825"/>
      <c r="B444" s="569"/>
      <c r="C444" s="567"/>
      <c r="D444" s="563"/>
      <c r="E444" s="563"/>
      <c r="F444" s="827"/>
      <c r="G444" s="801"/>
      <c r="H444" s="568"/>
    </row>
    <row r="445" spans="1:8">
      <c r="A445" s="825"/>
      <c r="B445" s="852"/>
      <c r="C445" s="570"/>
      <c r="D445" s="563"/>
      <c r="E445" s="563"/>
      <c r="F445" s="827"/>
      <c r="G445" s="801"/>
      <c r="H445" s="568"/>
    </row>
    <row r="446" spans="1:8">
      <c r="A446" s="825"/>
      <c r="B446" s="852"/>
      <c r="C446" s="570"/>
      <c r="D446" s="563"/>
      <c r="E446" s="563"/>
      <c r="F446" s="827"/>
      <c r="G446" s="801"/>
      <c r="H446" s="568"/>
    </row>
    <row r="447" spans="1:8" ht="13.8" thickBot="1">
      <c r="A447" s="853"/>
      <c r="B447" s="826"/>
      <c r="C447" s="564"/>
      <c r="D447" s="563"/>
      <c r="E447" s="563"/>
      <c r="F447" s="827"/>
      <c r="G447" s="801"/>
      <c r="H447" s="568"/>
    </row>
    <row r="448" spans="1:8">
      <c r="A448" s="838"/>
      <c r="B448" s="573"/>
      <c r="C448" s="574"/>
      <c r="D448" s="795"/>
      <c r="E448" s="796"/>
      <c r="F448" s="839"/>
      <c r="G448" s="806"/>
      <c r="H448" s="597"/>
    </row>
    <row r="449" spans="1:8">
      <c r="A449" s="840"/>
      <c r="B449" s="841" t="s">
        <v>270</v>
      </c>
      <c r="C449" s="842"/>
      <c r="D449" s="797"/>
      <c r="E449" s="575">
        <f>SUM(E406:E447)</f>
        <v>107.92</v>
      </c>
      <c r="F449" s="843">
        <f>SUM(F406:F447)</f>
        <v>7.2</v>
      </c>
      <c r="G449" s="807"/>
      <c r="H449" s="575">
        <f>SUM(H406:H447)</f>
        <v>305.68</v>
      </c>
    </row>
    <row r="450" spans="1:8">
      <c r="A450" s="844"/>
      <c r="B450" s="576"/>
      <c r="C450" s="577"/>
      <c r="D450" s="798"/>
      <c r="E450" s="799"/>
      <c r="F450" s="845"/>
      <c r="G450" s="808"/>
      <c r="H450" s="598"/>
    </row>
    <row r="451" spans="1:8" ht="17.399999999999999">
      <c r="A451" s="846"/>
      <c r="B451" s="578"/>
      <c r="C451" s="552"/>
      <c r="D451" s="551"/>
      <c r="E451" s="551"/>
      <c r="F451" s="847"/>
      <c r="G451" s="553"/>
      <c r="H451" s="554"/>
    </row>
    <row r="452" spans="1:8">
      <c r="A452" s="848"/>
      <c r="B452" s="849"/>
      <c r="C452" s="817"/>
      <c r="D452" s="816"/>
      <c r="E452" s="816"/>
      <c r="F452" s="818"/>
      <c r="G452" s="556"/>
      <c r="H452" s="557"/>
    </row>
    <row r="453" spans="1:8">
      <c r="A453" s="848"/>
      <c r="B453" s="849"/>
      <c r="C453" s="817"/>
      <c r="D453" s="816"/>
      <c r="E453" s="816"/>
      <c r="F453" s="818"/>
      <c r="G453" s="556"/>
      <c r="H453" s="557"/>
    </row>
    <row r="454" spans="1:8">
      <c r="A454" s="840"/>
      <c r="B454" s="850"/>
      <c r="C454" s="821"/>
      <c r="D454" s="820"/>
      <c r="E454" s="820"/>
      <c r="F454" s="822"/>
      <c r="G454" s="558"/>
      <c r="H454" s="582"/>
    </row>
    <row r="455" spans="1:8" ht="27" thickBot="1">
      <c r="A455" s="851" t="s">
        <v>266</v>
      </c>
      <c r="B455" s="559"/>
      <c r="C455" s="561" t="s">
        <v>267</v>
      </c>
      <c r="D455" s="560" t="s">
        <v>257</v>
      </c>
      <c r="E455" s="794" t="s">
        <v>539</v>
      </c>
      <c r="F455" s="824" t="s">
        <v>540</v>
      </c>
      <c r="G455" s="800" t="s">
        <v>268</v>
      </c>
      <c r="H455" s="562" t="s">
        <v>258</v>
      </c>
    </row>
    <row r="456" spans="1:8">
      <c r="A456" s="825"/>
      <c r="B456" s="826"/>
      <c r="C456" s="564"/>
      <c r="D456" s="563"/>
      <c r="E456" s="563"/>
      <c r="F456" s="827"/>
      <c r="G456" s="801"/>
      <c r="H456" s="568"/>
    </row>
    <row r="457" spans="1:8" ht="26.4">
      <c r="A457" s="825">
        <v>47</v>
      </c>
      <c r="B457" s="621" t="s">
        <v>367</v>
      </c>
      <c r="C457" s="567"/>
      <c r="D457" s="563"/>
      <c r="E457" s="563"/>
      <c r="F457" s="827"/>
      <c r="G457" s="801"/>
      <c r="H457" s="568"/>
    </row>
    <row r="458" spans="1:8">
      <c r="A458" s="825"/>
      <c r="B458" s="621"/>
      <c r="C458" s="567"/>
      <c r="D458" s="563"/>
      <c r="E458" s="563"/>
      <c r="F458" s="827"/>
      <c r="G458" s="801"/>
      <c r="H458" s="568"/>
    </row>
    <row r="459" spans="1:8">
      <c r="A459" s="825"/>
      <c r="B459" s="569" t="s">
        <v>285</v>
      </c>
      <c r="C459" s="567">
        <v>4</v>
      </c>
      <c r="D459" s="563" t="s">
        <v>140</v>
      </c>
      <c r="E459" s="563"/>
      <c r="F459" s="827"/>
      <c r="G459" s="801"/>
      <c r="H459" s="568">
        <f>G459*C459</f>
        <v>0</v>
      </c>
    </row>
    <row r="460" spans="1:8">
      <c r="A460" s="825"/>
      <c r="B460" s="569"/>
      <c r="C460" s="567"/>
      <c r="D460" s="563"/>
      <c r="E460" s="563"/>
      <c r="F460" s="827"/>
      <c r="G460" s="801"/>
      <c r="H460" s="568"/>
    </row>
    <row r="461" spans="1:8">
      <c r="A461" s="825"/>
      <c r="B461" s="569"/>
      <c r="C461" s="567"/>
      <c r="D461" s="563"/>
      <c r="E461" s="563"/>
      <c r="F461" s="827"/>
      <c r="G461" s="801"/>
      <c r="H461" s="568"/>
    </row>
    <row r="462" spans="1:8">
      <c r="A462" s="825">
        <v>48</v>
      </c>
      <c r="B462" s="621" t="s">
        <v>368</v>
      </c>
      <c r="C462" s="567"/>
      <c r="D462" s="563"/>
      <c r="E462" s="563"/>
      <c r="F462" s="827"/>
      <c r="G462" s="801"/>
      <c r="H462" s="568"/>
    </row>
    <row r="463" spans="1:8">
      <c r="A463" s="825"/>
      <c r="B463" s="621"/>
      <c r="C463" s="567"/>
      <c r="D463" s="563"/>
      <c r="E463" s="563"/>
      <c r="F463" s="827"/>
      <c r="G463" s="801"/>
      <c r="H463" s="568"/>
    </row>
    <row r="464" spans="1:8">
      <c r="A464" s="825"/>
      <c r="B464" s="569" t="s">
        <v>285</v>
      </c>
      <c r="C464" s="567">
        <v>2</v>
      </c>
      <c r="D464" s="563" t="s">
        <v>140</v>
      </c>
      <c r="E464" s="563"/>
      <c r="F464" s="827"/>
      <c r="G464" s="801"/>
      <c r="H464" s="568">
        <f t="shared" ref="H464:H499" si="9">G464*C464</f>
        <v>0</v>
      </c>
    </row>
    <row r="465" spans="1:8">
      <c r="A465" s="825"/>
      <c r="B465" s="830"/>
      <c r="C465" s="567"/>
      <c r="D465" s="563"/>
      <c r="E465" s="563"/>
      <c r="F465" s="827"/>
      <c r="G465" s="801"/>
      <c r="H465" s="568"/>
    </row>
    <row r="466" spans="1:8">
      <c r="A466" s="825"/>
      <c r="B466" s="830"/>
      <c r="C466" s="567"/>
      <c r="D466" s="563"/>
      <c r="E466" s="563"/>
      <c r="F466" s="827"/>
      <c r="G466" s="801"/>
      <c r="H466" s="568"/>
    </row>
    <row r="467" spans="1:8" ht="26.4">
      <c r="A467" s="825">
        <v>49</v>
      </c>
      <c r="B467" s="830" t="s">
        <v>369</v>
      </c>
      <c r="C467" s="567">
        <v>2</v>
      </c>
      <c r="D467" s="563" t="s">
        <v>140</v>
      </c>
      <c r="E467" s="563"/>
      <c r="F467" s="827"/>
      <c r="G467" s="801"/>
      <c r="H467" s="568">
        <f t="shared" si="9"/>
        <v>0</v>
      </c>
    </row>
    <row r="468" spans="1:8">
      <c r="A468" s="825"/>
      <c r="B468" s="830"/>
      <c r="C468" s="567"/>
      <c r="D468" s="563"/>
      <c r="E468" s="563"/>
      <c r="F468" s="827"/>
      <c r="G468" s="801"/>
      <c r="H468" s="568"/>
    </row>
    <row r="469" spans="1:8">
      <c r="A469" s="825"/>
      <c r="B469" s="830"/>
      <c r="C469" s="567"/>
      <c r="D469" s="563"/>
      <c r="E469" s="563"/>
      <c r="F469" s="827"/>
      <c r="G469" s="801"/>
      <c r="H469" s="568"/>
    </row>
    <row r="470" spans="1:8">
      <c r="A470" s="825">
        <v>50</v>
      </c>
      <c r="B470" s="830" t="s">
        <v>370</v>
      </c>
      <c r="C470" s="567">
        <v>2</v>
      </c>
      <c r="D470" s="563" t="s">
        <v>140</v>
      </c>
      <c r="E470" s="563"/>
      <c r="F470" s="827"/>
      <c r="G470" s="801"/>
      <c r="H470" s="568">
        <f t="shared" si="9"/>
        <v>0</v>
      </c>
    </row>
    <row r="471" spans="1:8">
      <c r="A471" s="825"/>
      <c r="B471" s="617"/>
      <c r="C471" s="567"/>
      <c r="D471" s="563"/>
      <c r="E471" s="563"/>
      <c r="F471" s="827"/>
      <c r="G471" s="801"/>
      <c r="H471" s="568"/>
    </row>
    <row r="472" spans="1:8">
      <c r="A472" s="825"/>
      <c r="B472" s="830"/>
      <c r="C472" s="567"/>
      <c r="D472" s="563"/>
      <c r="E472" s="563"/>
      <c r="F472" s="827"/>
      <c r="G472" s="801"/>
      <c r="H472" s="568"/>
    </row>
    <row r="473" spans="1:8">
      <c r="A473" s="825"/>
      <c r="B473" s="864" t="s">
        <v>371</v>
      </c>
      <c r="C473" s="567"/>
      <c r="D473" s="563"/>
      <c r="E473" s="563"/>
      <c r="F473" s="827"/>
      <c r="G473" s="801"/>
      <c r="H473" s="568"/>
    </row>
    <row r="474" spans="1:8">
      <c r="A474" s="825"/>
      <c r="B474" s="830"/>
      <c r="C474" s="627"/>
      <c r="D474" s="626"/>
      <c r="E474" s="626"/>
      <c r="F474" s="865"/>
      <c r="G474" s="801"/>
      <c r="H474" s="568"/>
    </row>
    <row r="475" spans="1:8" ht="52.8">
      <c r="A475" s="825">
        <v>51</v>
      </c>
      <c r="B475" s="830" t="s">
        <v>372</v>
      </c>
      <c r="C475" s="628"/>
      <c r="D475" s="626"/>
      <c r="E475" s="626"/>
      <c r="F475" s="865"/>
      <c r="G475" s="801"/>
      <c r="H475" s="568"/>
    </row>
    <row r="476" spans="1:8">
      <c r="A476" s="825"/>
      <c r="B476" s="830"/>
      <c r="C476" s="567"/>
      <c r="D476" s="563"/>
      <c r="E476" s="563"/>
      <c r="F476" s="827"/>
      <c r="G476" s="801"/>
      <c r="H476" s="568"/>
    </row>
    <row r="477" spans="1:8">
      <c r="A477" s="825"/>
      <c r="B477" s="830" t="s">
        <v>373</v>
      </c>
      <c r="C477" s="627">
        <v>5</v>
      </c>
      <c r="D477" s="626" t="s">
        <v>140</v>
      </c>
      <c r="E477" s="626"/>
      <c r="F477" s="865"/>
      <c r="G477" s="801"/>
      <c r="H477" s="568">
        <f t="shared" si="9"/>
        <v>0</v>
      </c>
    </row>
    <row r="478" spans="1:8">
      <c r="A478" s="825"/>
      <c r="B478" s="830" t="s">
        <v>374</v>
      </c>
      <c r="C478" s="627"/>
      <c r="D478" s="626"/>
      <c r="E478" s="626"/>
      <c r="F478" s="865"/>
      <c r="G478" s="801"/>
      <c r="H478" s="568"/>
    </row>
    <row r="479" spans="1:8">
      <c r="A479" s="825"/>
      <c r="B479" s="830" t="s">
        <v>375</v>
      </c>
      <c r="C479" s="627"/>
      <c r="D479" s="626"/>
      <c r="E479" s="626"/>
      <c r="F479" s="865"/>
      <c r="G479" s="801"/>
      <c r="H479" s="568"/>
    </row>
    <row r="480" spans="1:8">
      <c r="A480" s="825"/>
      <c r="B480" s="830" t="s">
        <v>376</v>
      </c>
      <c r="C480" s="627"/>
      <c r="D480" s="626"/>
      <c r="E480" s="626"/>
      <c r="F480" s="865"/>
      <c r="G480" s="801"/>
      <c r="H480" s="568"/>
    </row>
    <row r="481" spans="1:8">
      <c r="A481" s="825"/>
      <c r="B481" s="830"/>
      <c r="C481" s="627"/>
      <c r="D481" s="626"/>
      <c r="E481" s="626"/>
      <c r="F481" s="865"/>
      <c r="G481" s="801"/>
      <c r="H481" s="568"/>
    </row>
    <row r="482" spans="1:8">
      <c r="A482" s="825"/>
      <c r="B482" s="830" t="s">
        <v>377</v>
      </c>
      <c r="C482" s="627">
        <v>7</v>
      </c>
      <c r="D482" s="626" t="s">
        <v>140</v>
      </c>
      <c r="E482" s="626"/>
      <c r="F482" s="865"/>
      <c r="G482" s="801"/>
      <c r="H482" s="568">
        <f t="shared" si="9"/>
        <v>0</v>
      </c>
    </row>
    <row r="483" spans="1:8">
      <c r="A483" s="825"/>
      <c r="B483" s="830" t="s">
        <v>378</v>
      </c>
      <c r="C483" s="627"/>
      <c r="D483" s="626"/>
      <c r="E483" s="626"/>
      <c r="F483" s="865"/>
      <c r="G483" s="801"/>
      <c r="H483" s="568"/>
    </row>
    <row r="484" spans="1:8">
      <c r="A484" s="825"/>
      <c r="B484" s="830" t="s">
        <v>375</v>
      </c>
      <c r="C484" s="627"/>
      <c r="D484" s="626"/>
      <c r="E484" s="626"/>
      <c r="F484" s="865"/>
      <c r="G484" s="801"/>
      <c r="H484" s="568"/>
    </row>
    <row r="485" spans="1:8">
      <c r="A485" s="825"/>
      <c r="B485" s="830" t="s">
        <v>379</v>
      </c>
      <c r="C485" s="627"/>
      <c r="D485" s="626"/>
      <c r="E485" s="626"/>
      <c r="F485" s="865"/>
      <c r="G485" s="801"/>
      <c r="H485" s="568"/>
    </row>
    <row r="486" spans="1:8">
      <c r="A486" s="825"/>
      <c r="B486" s="830" t="s">
        <v>376</v>
      </c>
      <c r="C486" s="627"/>
      <c r="D486" s="626"/>
      <c r="E486" s="626"/>
      <c r="F486" s="865"/>
      <c r="G486" s="801"/>
      <c r="H486" s="568"/>
    </row>
    <row r="487" spans="1:8">
      <c r="A487" s="825"/>
      <c r="B487" s="830"/>
      <c r="C487" s="627"/>
      <c r="D487" s="626"/>
      <c r="E487" s="626"/>
      <c r="F487" s="865"/>
      <c r="G487" s="801"/>
      <c r="H487" s="568"/>
    </row>
    <row r="488" spans="1:8">
      <c r="A488" s="825"/>
      <c r="B488" s="830" t="s">
        <v>377</v>
      </c>
      <c r="C488" s="627">
        <v>1</v>
      </c>
      <c r="D488" s="626" t="s">
        <v>140</v>
      </c>
      <c r="E488" s="626"/>
      <c r="F488" s="865"/>
      <c r="G488" s="801"/>
      <c r="H488" s="568">
        <f t="shared" si="9"/>
        <v>0</v>
      </c>
    </row>
    <row r="489" spans="1:8">
      <c r="A489" s="825"/>
      <c r="B489" s="830" t="s">
        <v>378</v>
      </c>
      <c r="C489" s="627"/>
      <c r="D489" s="626"/>
      <c r="E489" s="626"/>
      <c r="F489" s="865"/>
      <c r="G489" s="801"/>
      <c r="H489" s="568"/>
    </row>
    <row r="490" spans="1:8">
      <c r="A490" s="825"/>
      <c r="B490" s="830" t="s">
        <v>380</v>
      </c>
      <c r="C490" s="627"/>
      <c r="D490" s="626"/>
      <c r="E490" s="626"/>
      <c r="F490" s="865"/>
      <c r="G490" s="801"/>
      <c r="H490" s="568"/>
    </row>
    <row r="491" spans="1:8">
      <c r="A491" s="825"/>
      <c r="B491" s="830" t="s">
        <v>379</v>
      </c>
      <c r="C491" s="627"/>
      <c r="D491" s="626"/>
      <c r="E491" s="626"/>
      <c r="F491" s="865"/>
      <c r="G491" s="801"/>
      <c r="H491" s="568"/>
    </row>
    <row r="492" spans="1:8">
      <c r="A492" s="825"/>
      <c r="B492" s="830" t="s">
        <v>376</v>
      </c>
      <c r="C492" s="627"/>
      <c r="D492" s="626"/>
      <c r="E492" s="626"/>
      <c r="F492" s="865"/>
      <c r="G492" s="801"/>
      <c r="H492" s="568"/>
    </row>
    <row r="493" spans="1:8">
      <c r="A493" s="825"/>
      <c r="B493" s="830"/>
      <c r="C493" s="627"/>
      <c r="D493" s="626"/>
      <c r="E493" s="626"/>
      <c r="F493" s="865"/>
      <c r="G493" s="801"/>
      <c r="H493" s="568"/>
    </row>
    <row r="494" spans="1:8">
      <c r="A494" s="825"/>
      <c r="B494" s="830" t="s">
        <v>377</v>
      </c>
      <c r="C494" s="627">
        <v>1</v>
      </c>
      <c r="D494" s="626" t="s">
        <v>140</v>
      </c>
      <c r="E494" s="626"/>
      <c r="F494" s="865"/>
      <c r="G494" s="801"/>
      <c r="H494" s="568">
        <f t="shared" si="9"/>
        <v>0</v>
      </c>
    </row>
    <row r="495" spans="1:8">
      <c r="A495" s="825"/>
      <c r="B495" s="830" t="s">
        <v>378</v>
      </c>
      <c r="C495" s="627"/>
      <c r="D495" s="626"/>
      <c r="E495" s="626"/>
      <c r="F495" s="865"/>
      <c r="G495" s="801"/>
      <c r="H495" s="568"/>
    </row>
    <row r="496" spans="1:8">
      <c r="A496" s="825"/>
      <c r="B496" s="830" t="s">
        <v>380</v>
      </c>
      <c r="C496" s="627"/>
      <c r="D496" s="626"/>
      <c r="E496" s="626"/>
      <c r="F496" s="865"/>
      <c r="G496" s="801"/>
      <c r="H496" s="568"/>
    </row>
    <row r="497" spans="1:8">
      <c r="A497" s="825"/>
      <c r="B497" s="830" t="s">
        <v>376</v>
      </c>
      <c r="C497" s="627"/>
      <c r="D497" s="626"/>
      <c r="E497" s="626"/>
      <c r="F497" s="865"/>
      <c r="G497" s="801"/>
      <c r="H497" s="568"/>
    </row>
    <row r="498" spans="1:8">
      <c r="A498" s="825"/>
      <c r="B498" s="830"/>
      <c r="C498" s="627"/>
      <c r="D498" s="626"/>
      <c r="E498" s="626"/>
      <c r="F498" s="865"/>
      <c r="G498" s="801"/>
      <c r="H498" s="568"/>
    </row>
    <row r="499" spans="1:8">
      <c r="A499" s="825"/>
      <c r="B499" s="830" t="s">
        <v>381</v>
      </c>
      <c r="C499" s="627">
        <v>1</v>
      </c>
      <c r="D499" s="626" t="s">
        <v>140</v>
      </c>
      <c r="E499" s="626"/>
      <c r="F499" s="865"/>
      <c r="G499" s="801"/>
      <c r="H499" s="568">
        <f t="shared" si="9"/>
        <v>0</v>
      </c>
    </row>
    <row r="500" spans="1:8">
      <c r="A500" s="825"/>
      <c r="B500" s="830" t="s">
        <v>382</v>
      </c>
      <c r="C500" s="627"/>
      <c r="D500" s="626"/>
      <c r="E500" s="626"/>
      <c r="F500" s="865"/>
      <c r="G500" s="801"/>
      <c r="H500" s="568"/>
    </row>
    <row r="501" spans="1:8">
      <c r="A501" s="825"/>
      <c r="B501" s="852"/>
      <c r="C501" s="570"/>
      <c r="D501" s="563"/>
      <c r="E501" s="563"/>
      <c r="F501" s="827"/>
      <c r="G501" s="801"/>
      <c r="H501" s="568"/>
    </row>
    <row r="502" spans="1:8" ht="13.8" thickBot="1">
      <c r="A502" s="853"/>
      <c r="B502" s="826"/>
      <c r="C502" s="564"/>
      <c r="D502" s="563"/>
      <c r="E502" s="563"/>
      <c r="F502" s="827"/>
      <c r="G502" s="801"/>
      <c r="H502" s="568"/>
    </row>
    <row r="503" spans="1:8">
      <c r="A503" s="838"/>
      <c r="B503" s="573"/>
      <c r="C503" s="574"/>
      <c r="D503" s="795"/>
      <c r="E503" s="796"/>
      <c r="F503" s="839"/>
      <c r="G503" s="806"/>
      <c r="H503" s="597"/>
    </row>
    <row r="504" spans="1:8">
      <c r="A504" s="840"/>
      <c r="B504" s="841" t="s">
        <v>270</v>
      </c>
      <c r="C504" s="842"/>
      <c r="D504" s="797"/>
      <c r="E504" s="575">
        <f>SUM(E456:E502)</f>
        <v>0</v>
      </c>
      <c r="F504" s="843">
        <f>SUM(F456:F502)</f>
        <v>0</v>
      </c>
      <c r="G504" s="807"/>
      <c r="H504" s="575">
        <f>SUM(H456:H502)</f>
        <v>0</v>
      </c>
    </row>
    <row r="505" spans="1:8">
      <c r="A505" s="844"/>
      <c r="B505" s="576"/>
      <c r="C505" s="577"/>
      <c r="D505" s="798"/>
      <c r="E505" s="799"/>
      <c r="F505" s="845"/>
      <c r="G505" s="808"/>
      <c r="H505" s="598"/>
    </row>
    <row r="506" spans="1:8" ht="17.399999999999999">
      <c r="A506" s="846"/>
      <c r="B506" s="578"/>
      <c r="C506" s="552"/>
      <c r="D506" s="551"/>
      <c r="E506" s="551"/>
      <c r="F506" s="847"/>
      <c r="G506" s="553"/>
      <c r="H506" s="554"/>
    </row>
    <row r="507" spans="1:8">
      <c r="A507" s="848"/>
      <c r="B507" s="849"/>
      <c r="C507" s="817"/>
      <c r="D507" s="816"/>
      <c r="E507" s="816"/>
      <c r="F507" s="818"/>
      <c r="G507" s="556"/>
      <c r="H507" s="557"/>
    </row>
    <row r="508" spans="1:8">
      <c r="A508" s="848"/>
      <c r="B508" s="849"/>
      <c r="C508" s="817"/>
      <c r="D508" s="816"/>
      <c r="E508" s="816"/>
      <c r="F508" s="818"/>
      <c r="G508" s="556"/>
      <c r="H508" s="557"/>
    </row>
    <row r="509" spans="1:8">
      <c r="A509" s="840"/>
      <c r="B509" s="850"/>
      <c r="C509" s="821"/>
      <c r="D509" s="820"/>
      <c r="E509" s="820"/>
      <c r="F509" s="822"/>
      <c r="G509" s="558"/>
      <c r="H509" s="582"/>
    </row>
    <row r="510" spans="1:8" ht="27" thickBot="1">
      <c r="A510" s="851" t="s">
        <v>266</v>
      </c>
      <c r="B510" s="559"/>
      <c r="C510" s="561" t="s">
        <v>267</v>
      </c>
      <c r="D510" s="560" t="s">
        <v>257</v>
      </c>
      <c r="E510" s="794" t="s">
        <v>539</v>
      </c>
      <c r="F510" s="824" t="s">
        <v>540</v>
      </c>
      <c r="G510" s="800" t="s">
        <v>268</v>
      </c>
      <c r="H510" s="562" t="s">
        <v>258</v>
      </c>
    </row>
    <row r="511" spans="1:8">
      <c r="A511" s="866"/>
      <c r="B511" s="867"/>
      <c r="C511" s="604"/>
      <c r="D511" s="603"/>
      <c r="E511" s="603"/>
      <c r="F511" s="855"/>
      <c r="G511" s="809"/>
      <c r="H511" s="575"/>
    </row>
    <row r="512" spans="1:8">
      <c r="A512" s="825"/>
      <c r="B512" s="830" t="s">
        <v>383</v>
      </c>
      <c r="C512" s="627">
        <v>1</v>
      </c>
      <c r="D512" s="626" t="s">
        <v>140</v>
      </c>
      <c r="E512" s="626"/>
      <c r="F512" s="865"/>
      <c r="G512" s="801"/>
      <c r="H512" s="568">
        <f>G512*C512</f>
        <v>0</v>
      </c>
    </row>
    <row r="513" spans="1:8">
      <c r="A513" s="825"/>
      <c r="B513" s="830" t="s">
        <v>384</v>
      </c>
      <c r="C513" s="627"/>
      <c r="D513" s="626"/>
      <c r="E513" s="626"/>
      <c r="F513" s="865"/>
      <c r="G513" s="801"/>
      <c r="H513" s="568"/>
    </row>
    <row r="514" spans="1:8">
      <c r="A514" s="825"/>
      <c r="B514" s="830" t="s">
        <v>385</v>
      </c>
      <c r="C514" s="627"/>
      <c r="D514" s="626"/>
      <c r="E514" s="626"/>
      <c r="F514" s="865"/>
      <c r="G514" s="801"/>
      <c r="H514" s="568"/>
    </row>
    <row r="515" spans="1:8">
      <c r="A515" s="825"/>
      <c r="B515" s="571"/>
      <c r="C515" s="570"/>
      <c r="D515" s="563"/>
      <c r="E515" s="563"/>
      <c r="F515" s="827"/>
      <c r="G515" s="801"/>
      <c r="H515" s="568"/>
    </row>
    <row r="516" spans="1:8">
      <c r="A516" s="825"/>
      <c r="B516" s="830" t="s">
        <v>386</v>
      </c>
      <c r="C516" s="627">
        <v>1</v>
      </c>
      <c r="D516" s="626" t="s">
        <v>140</v>
      </c>
      <c r="E516" s="626"/>
      <c r="F516" s="865"/>
      <c r="G516" s="801"/>
      <c r="H516" s="568">
        <f t="shared" ref="H516:H555" si="10">G516*C516</f>
        <v>0</v>
      </c>
    </row>
    <row r="517" spans="1:8">
      <c r="A517" s="825"/>
      <c r="B517" s="830" t="s">
        <v>374</v>
      </c>
      <c r="C517" s="627"/>
      <c r="D517" s="626"/>
      <c r="E517" s="626"/>
      <c r="F517" s="865"/>
      <c r="G517" s="801"/>
      <c r="H517" s="568"/>
    </row>
    <row r="518" spans="1:8">
      <c r="A518" s="825"/>
      <c r="B518" s="830" t="s">
        <v>376</v>
      </c>
      <c r="C518" s="627"/>
      <c r="D518" s="626"/>
      <c r="E518" s="626"/>
      <c r="F518" s="865"/>
      <c r="G518" s="801"/>
      <c r="H518" s="568"/>
    </row>
    <row r="519" spans="1:8">
      <c r="A519" s="825"/>
      <c r="B519" s="830" t="s">
        <v>387</v>
      </c>
      <c r="C519" s="627"/>
      <c r="D519" s="626"/>
      <c r="E519" s="626"/>
      <c r="F519" s="865"/>
      <c r="G519" s="801"/>
      <c r="H519" s="568"/>
    </row>
    <row r="520" spans="1:8">
      <c r="A520" s="825"/>
      <c r="B520" s="830"/>
      <c r="C520" s="627"/>
      <c r="D520" s="626"/>
      <c r="E520" s="626"/>
      <c r="F520" s="865"/>
      <c r="G520" s="801"/>
      <c r="H520" s="568"/>
    </row>
    <row r="521" spans="1:8">
      <c r="A521" s="825"/>
      <c r="B521" s="830" t="s">
        <v>388</v>
      </c>
      <c r="C521" s="627">
        <v>1</v>
      </c>
      <c r="D521" s="626" t="s">
        <v>140</v>
      </c>
      <c r="E521" s="626"/>
      <c r="F521" s="865"/>
      <c r="G521" s="801"/>
      <c r="H521" s="568">
        <f t="shared" si="10"/>
        <v>0</v>
      </c>
    </row>
    <row r="522" spans="1:8">
      <c r="A522" s="825"/>
      <c r="B522" s="830" t="s">
        <v>374</v>
      </c>
      <c r="C522" s="627"/>
      <c r="D522" s="626"/>
      <c r="E522" s="626"/>
      <c r="F522" s="865"/>
      <c r="G522" s="801"/>
      <c r="H522" s="568"/>
    </row>
    <row r="523" spans="1:8">
      <c r="A523" s="825"/>
      <c r="B523" s="830" t="s">
        <v>375</v>
      </c>
      <c r="C523" s="627"/>
      <c r="D523" s="626"/>
      <c r="E523" s="626"/>
      <c r="F523" s="865"/>
      <c r="G523" s="801"/>
      <c r="H523" s="568"/>
    </row>
    <row r="524" spans="1:8">
      <c r="A524" s="825"/>
      <c r="B524" s="830" t="s">
        <v>376</v>
      </c>
      <c r="C524" s="627"/>
      <c r="D524" s="626"/>
      <c r="E524" s="626"/>
      <c r="F524" s="865"/>
      <c r="G524" s="801"/>
      <c r="H524" s="568"/>
    </row>
    <row r="525" spans="1:8">
      <c r="A525" s="825"/>
      <c r="B525" s="830"/>
      <c r="C525" s="627"/>
      <c r="D525" s="626"/>
      <c r="E525" s="626"/>
      <c r="F525" s="865"/>
      <c r="G525" s="801"/>
      <c r="H525" s="568"/>
    </row>
    <row r="526" spans="1:8">
      <c r="A526" s="825"/>
      <c r="B526" s="830" t="s">
        <v>389</v>
      </c>
      <c r="C526" s="627">
        <v>1</v>
      </c>
      <c r="D526" s="626" t="s">
        <v>140</v>
      </c>
      <c r="E526" s="626"/>
      <c r="F526" s="865"/>
      <c r="G526" s="801"/>
      <c r="H526" s="568">
        <f t="shared" si="10"/>
        <v>0</v>
      </c>
    </row>
    <row r="527" spans="1:8">
      <c r="A527" s="825"/>
      <c r="B527" s="830" t="s">
        <v>390</v>
      </c>
      <c r="C527" s="627"/>
      <c r="D527" s="626"/>
      <c r="E527" s="626"/>
      <c r="F527" s="865"/>
      <c r="G527" s="801"/>
      <c r="H527" s="568"/>
    </row>
    <row r="528" spans="1:8">
      <c r="A528" s="825"/>
      <c r="B528" s="830" t="s">
        <v>391</v>
      </c>
      <c r="C528" s="627"/>
      <c r="D528" s="626"/>
      <c r="E528" s="626"/>
      <c r="F528" s="865"/>
      <c r="G528" s="801"/>
      <c r="H528" s="568"/>
    </row>
    <row r="529" spans="1:8">
      <c r="A529" s="825"/>
      <c r="B529" s="830" t="s">
        <v>392</v>
      </c>
      <c r="C529" s="627"/>
      <c r="D529" s="626"/>
      <c r="E529" s="626"/>
      <c r="F529" s="865"/>
      <c r="G529" s="801"/>
      <c r="H529" s="568"/>
    </row>
    <row r="530" spans="1:8">
      <c r="A530" s="825"/>
      <c r="B530" s="830" t="s">
        <v>393</v>
      </c>
      <c r="C530" s="627"/>
      <c r="D530" s="626"/>
      <c r="E530" s="626"/>
      <c r="F530" s="865"/>
      <c r="G530" s="801"/>
      <c r="H530" s="568"/>
    </row>
    <row r="531" spans="1:8">
      <c r="A531" s="825"/>
      <c r="B531" s="830"/>
      <c r="C531" s="627"/>
      <c r="D531" s="626"/>
      <c r="E531" s="626"/>
      <c r="F531" s="865"/>
      <c r="G531" s="801"/>
      <c r="H531" s="568"/>
    </row>
    <row r="532" spans="1:8">
      <c r="A532" s="825"/>
      <c r="B532" s="830" t="s">
        <v>394</v>
      </c>
      <c r="C532" s="627">
        <v>7</v>
      </c>
      <c r="D532" s="626" t="s">
        <v>140</v>
      </c>
      <c r="E532" s="626"/>
      <c r="F532" s="865"/>
      <c r="G532" s="801"/>
      <c r="H532" s="568">
        <f t="shared" si="10"/>
        <v>0</v>
      </c>
    </row>
    <row r="533" spans="1:8">
      <c r="A533" s="825"/>
      <c r="B533" s="830"/>
      <c r="C533" s="627"/>
      <c r="D533" s="626"/>
      <c r="E533" s="626"/>
      <c r="F533" s="865"/>
      <c r="G533" s="801"/>
      <c r="H533" s="568"/>
    </row>
    <row r="534" spans="1:8">
      <c r="A534" s="825"/>
      <c r="B534" s="569"/>
      <c r="C534" s="567"/>
      <c r="D534" s="563"/>
      <c r="E534" s="563"/>
      <c r="F534" s="827"/>
      <c r="G534" s="801"/>
      <c r="H534" s="568"/>
    </row>
    <row r="535" spans="1:8">
      <c r="A535" s="868" t="s">
        <v>485</v>
      </c>
      <c r="B535" s="869" t="s">
        <v>395</v>
      </c>
      <c r="C535" s="564"/>
      <c r="D535" s="603"/>
      <c r="E535" s="603"/>
      <c r="F535" s="855"/>
      <c r="G535" s="810"/>
      <c r="H535" s="568"/>
    </row>
    <row r="536" spans="1:8">
      <c r="A536" s="866"/>
      <c r="B536" s="830"/>
      <c r="C536" s="564"/>
      <c r="D536" s="603"/>
      <c r="E536" s="603"/>
      <c r="F536" s="855"/>
      <c r="G536" s="810"/>
      <c r="H536" s="568"/>
    </row>
    <row r="537" spans="1:8" ht="52.8">
      <c r="A537" s="831" t="s">
        <v>491</v>
      </c>
      <c r="B537" s="650" t="s">
        <v>396</v>
      </c>
      <c r="C537" s="627"/>
      <c r="D537" s="626"/>
      <c r="E537" s="626"/>
      <c r="F537" s="865"/>
      <c r="G537" s="801"/>
      <c r="H537" s="568"/>
    </row>
    <row r="538" spans="1:8">
      <c r="A538" s="825"/>
      <c r="B538" s="629"/>
      <c r="C538" s="627"/>
      <c r="D538" s="626"/>
      <c r="E538" s="626"/>
      <c r="F538" s="865"/>
      <c r="G538" s="801"/>
      <c r="H538" s="568"/>
    </row>
    <row r="539" spans="1:8">
      <c r="A539" s="825"/>
      <c r="B539" s="630" t="s">
        <v>397</v>
      </c>
      <c r="C539" s="627">
        <v>11</v>
      </c>
      <c r="D539" s="626" t="s">
        <v>398</v>
      </c>
      <c r="E539" s="626"/>
      <c r="F539" s="865"/>
      <c r="G539" s="801"/>
      <c r="H539" s="568">
        <f t="shared" si="10"/>
        <v>0</v>
      </c>
    </row>
    <row r="540" spans="1:8">
      <c r="A540" s="825"/>
      <c r="B540" s="630"/>
      <c r="C540" s="627"/>
      <c r="D540" s="626"/>
      <c r="E540" s="626"/>
      <c r="F540" s="865"/>
      <c r="G540" s="801"/>
      <c r="H540" s="568"/>
    </row>
    <row r="541" spans="1:8">
      <c r="A541" s="825"/>
      <c r="B541" s="630" t="s">
        <v>399</v>
      </c>
      <c r="C541" s="627">
        <v>9</v>
      </c>
      <c r="D541" s="626" t="s">
        <v>398</v>
      </c>
      <c r="E541" s="626"/>
      <c r="F541" s="865"/>
      <c r="G541" s="801"/>
      <c r="H541" s="568">
        <f t="shared" si="10"/>
        <v>0</v>
      </c>
    </row>
    <row r="542" spans="1:8">
      <c r="A542" s="825"/>
      <c r="B542" s="870"/>
      <c r="C542" s="627"/>
      <c r="D542" s="626"/>
      <c r="E542" s="626"/>
      <c r="F542" s="865"/>
      <c r="G542" s="801"/>
      <c r="H542" s="568"/>
    </row>
    <row r="543" spans="1:8">
      <c r="A543" s="825"/>
      <c r="B543" s="871" t="s">
        <v>400</v>
      </c>
      <c r="C543" s="627">
        <v>18</v>
      </c>
      <c r="D543" s="626" t="s">
        <v>398</v>
      </c>
      <c r="E543" s="626"/>
      <c r="F543" s="865"/>
      <c r="G543" s="801"/>
      <c r="H543" s="568">
        <f t="shared" si="10"/>
        <v>0</v>
      </c>
    </row>
    <row r="544" spans="1:8">
      <c r="A544" s="825"/>
      <c r="B544" s="870"/>
      <c r="C544" s="627"/>
      <c r="D544" s="626"/>
      <c r="E544" s="626"/>
      <c r="F544" s="865"/>
      <c r="G544" s="801"/>
      <c r="H544" s="568"/>
    </row>
    <row r="545" spans="1:8">
      <c r="A545" s="825"/>
      <c r="B545" s="870" t="s">
        <v>401</v>
      </c>
      <c r="C545" s="627">
        <v>13</v>
      </c>
      <c r="D545" s="626" t="s">
        <v>398</v>
      </c>
      <c r="E545" s="626"/>
      <c r="F545" s="865"/>
      <c r="G545" s="801"/>
      <c r="H545" s="568">
        <f t="shared" si="10"/>
        <v>0</v>
      </c>
    </row>
    <row r="546" spans="1:8">
      <c r="A546" s="825"/>
      <c r="B546" s="870"/>
      <c r="C546" s="627"/>
      <c r="D546" s="626"/>
      <c r="E546" s="626"/>
      <c r="F546" s="865"/>
      <c r="G546" s="801"/>
      <c r="H546" s="568"/>
    </row>
    <row r="547" spans="1:8">
      <c r="A547" s="825"/>
      <c r="B547" s="870" t="s">
        <v>402</v>
      </c>
      <c r="C547" s="627">
        <v>2</v>
      </c>
      <c r="D547" s="626" t="s">
        <v>398</v>
      </c>
      <c r="E547" s="626"/>
      <c r="F547" s="865"/>
      <c r="G547" s="801"/>
      <c r="H547" s="568">
        <f t="shared" si="10"/>
        <v>0</v>
      </c>
    </row>
    <row r="548" spans="1:8">
      <c r="A548" s="825"/>
      <c r="B548" s="870"/>
      <c r="C548" s="627"/>
      <c r="D548" s="626"/>
      <c r="E548" s="626"/>
      <c r="F548" s="865"/>
      <c r="G548" s="801"/>
      <c r="H548" s="568"/>
    </row>
    <row r="549" spans="1:8">
      <c r="A549" s="825"/>
      <c r="B549" s="870" t="s">
        <v>403</v>
      </c>
      <c r="C549" s="627">
        <v>8</v>
      </c>
      <c r="D549" s="626" t="s">
        <v>398</v>
      </c>
      <c r="E549" s="626"/>
      <c r="F549" s="865"/>
      <c r="G549" s="801"/>
      <c r="H549" s="568">
        <f t="shared" si="10"/>
        <v>0</v>
      </c>
    </row>
    <row r="550" spans="1:8">
      <c r="A550" s="825"/>
      <c r="B550" s="870"/>
      <c r="C550" s="627"/>
      <c r="D550" s="626"/>
      <c r="E550" s="626"/>
      <c r="F550" s="865"/>
      <c r="G550" s="801"/>
      <c r="H550" s="568"/>
    </row>
    <row r="551" spans="1:8">
      <c r="A551" s="825"/>
      <c r="B551" s="871" t="s">
        <v>404</v>
      </c>
      <c r="C551" s="627">
        <v>1</v>
      </c>
      <c r="D551" s="626" t="s">
        <v>398</v>
      </c>
      <c r="E551" s="626"/>
      <c r="F551" s="865"/>
      <c r="G551" s="801"/>
      <c r="H551" s="568">
        <f t="shared" si="10"/>
        <v>0</v>
      </c>
    </row>
    <row r="552" spans="1:8">
      <c r="A552" s="825"/>
      <c r="B552" s="871"/>
      <c r="C552" s="627"/>
      <c r="D552" s="626"/>
      <c r="E552" s="626"/>
      <c r="F552" s="865"/>
      <c r="G552" s="801"/>
      <c r="H552" s="568"/>
    </row>
    <row r="553" spans="1:8">
      <c r="A553" s="825"/>
      <c r="B553" s="871" t="s">
        <v>405</v>
      </c>
      <c r="C553" s="627">
        <v>6</v>
      </c>
      <c r="D553" s="626" t="s">
        <v>398</v>
      </c>
      <c r="E553" s="626"/>
      <c r="F553" s="865"/>
      <c r="G553" s="801"/>
      <c r="H553" s="568">
        <f t="shared" si="10"/>
        <v>0</v>
      </c>
    </row>
    <row r="554" spans="1:8">
      <c r="A554" s="825"/>
      <c r="B554" s="871"/>
      <c r="C554" s="627"/>
      <c r="D554" s="626"/>
      <c r="E554" s="626"/>
      <c r="F554" s="865"/>
      <c r="G554" s="801"/>
      <c r="H554" s="568"/>
    </row>
    <row r="555" spans="1:8">
      <c r="A555" s="825"/>
      <c r="B555" s="870" t="s">
        <v>406</v>
      </c>
      <c r="C555" s="627">
        <v>9</v>
      </c>
      <c r="D555" s="626" t="s">
        <v>398</v>
      </c>
      <c r="E555" s="626"/>
      <c r="F555" s="865"/>
      <c r="G555" s="801"/>
      <c r="H555" s="568">
        <f t="shared" si="10"/>
        <v>0</v>
      </c>
    </row>
    <row r="556" spans="1:8">
      <c r="A556" s="825"/>
      <c r="B556" s="870"/>
      <c r="C556" s="627"/>
      <c r="D556" s="626"/>
      <c r="E556" s="626"/>
      <c r="F556" s="865"/>
      <c r="G556" s="801"/>
      <c r="H556" s="568"/>
    </row>
    <row r="557" spans="1:8">
      <c r="A557" s="825"/>
      <c r="B557" s="870"/>
      <c r="C557" s="627"/>
      <c r="D557" s="626"/>
      <c r="E557" s="626"/>
      <c r="F557" s="865"/>
      <c r="G557" s="801"/>
      <c r="H557" s="568"/>
    </row>
    <row r="558" spans="1:8">
      <c r="A558" s="825"/>
      <c r="B558" s="870"/>
      <c r="C558" s="627"/>
      <c r="D558" s="631"/>
      <c r="E558" s="631"/>
      <c r="F558" s="872"/>
      <c r="G558" s="801"/>
      <c r="H558" s="568"/>
    </row>
    <row r="559" spans="1:8" ht="13.8" thickBot="1">
      <c r="A559" s="853"/>
      <c r="B559" s="826"/>
      <c r="C559" s="564"/>
      <c r="D559" s="563"/>
      <c r="E559" s="563"/>
      <c r="F559" s="827"/>
      <c r="G559" s="801"/>
      <c r="H559" s="568"/>
    </row>
    <row r="560" spans="1:8">
      <c r="A560" s="838"/>
      <c r="B560" s="573"/>
      <c r="C560" s="574"/>
      <c r="D560" s="795"/>
      <c r="E560" s="796"/>
      <c r="F560" s="839"/>
      <c r="G560" s="806"/>
      <c r="H560" s="597"/>
    </row>
    <row r="561" spans="1:8">
      <c r="A561" s="840"/>
      <c r="B561" s="841" t="s">
        <v>270</v>
      </c>
      <c r="C561" s="842"/>
      <c r="D561" s="797"/>
      <c r="E561" s="575">
        <f>SUM(E512:E559)</f>
        <v>0</v>
      </c>
      <c r="F561" s="843">
        <f>SUM(F512:F559)</f>
        <v>0</v>
      </c>
      <c r="G561" s="807"/>
      <c r="H561" s="575">
        <f>SUM(H512:H559)</f>
        <v>0</v>
      </c>
    </row>
    <row r="562" spans="1:8">
      <c r="A562" s="844"/>
      <c r="B562" s="576"/>
      <c r="C562" s="577"/>
      <c r="D562" s="798"/>
      <c r="E562" s="799"/>
      <c r="F562" s="845"/>
      <c r="G562" s="808"/>
      <c r="H562" s="598"/>
    </row>
    <row r="563" spans="1:8" ht="17.399999999999999">
      <c r="A563" s="846"/>
      <c r="B563" s="578"/>
      <c r="C563" s="552"/>
      <c r="D563" s="551"/>
      <c r="E563" s="551"/>
      <c r="F563" s="847"/>
      <c r="G563" s="553"/>
      <c r="H563" s="554"/>
    </row>
    <row r="564" spans="1:8">
      <c r="A564" s="848"/>
      <c r="B564" s="849"/>
      <c r="C564" s="817"/>
      <c r="D564" s="816"/>
      <c r="E564" s="816"/>
      <c r="F564" s="818"/>
      <c r="G564" s="556"/>
      <c r="H564" s="557"/>
    </row>
    <row r="565" spans="1:8">
      <c r="A565" s="848"/>
      <c r="B565" s="849"/>
      <c r="C565" s="817"/>
      <c r="D565" s="816"/>
      <c r="E565" s="816"/>
      <c r="F565" s="818"/>
      <c r="G565" s="556"/>
      <c r="H565" s="557"/>
    </row>
    <row r="566" spans="1:8">
      <c r="A566" s="840"/>
      <c r="B566" s="850"/>
      <c r="C566" s="821"/>
      <c r="D566" s="820"/>
      <c r="E566" s="820"/>
      <c r="F566" s="822"/>
      <c r="G566" s="558"/>
      <c r="H566" s="582"/>
    </row>
    <row r="567" spans="1:8" ht="27" thickBot="1">
      <c r="A567" s="851" t="s">
        <v>266</v>
      </c>
      <c r="B567" s="559"/>
      <c r="C567" s="561" t="s">
        <v>267</v>
      </c>
      <c r="D567" s="560" t="s">
        <v>257</v>
      </c>
      <c r="E567" s="794" t="s">
        <v>539</v>
      </c>
      <c r="F567" s="824" t="s">
        <v>540</v>
      </c>
      <c r="G567" s="800" t="s">
        <v>268</v>
      </c>
      <c r="H567" s="562" t="s">
        <v>258</v>
      </c>
    </row>
    <row r="568" spans="1:8">
      <c r="A568" s="825"/>
      <c r="B568" s="826"/>
      <c r="C568" s="564"/>
      <c r="D568" s="563"/>
      <c r="E568" s="563"/>
      <c r="F568" s="827"/>
      <c r="G568" s="801"/>
      <c r="H568" s="568"/>
    </row>
    <row r="569" spans="1:8" ht="26.4">
      <c r="A569" s="825"/>
      <c r="B569" s="873" t="s">
        <v>407</v>
      </c>
      <c r="C569" s="627">
        <v>65</v>
      </c>
      <c r="D569" s="626" t="s">
        <v>398</v>
      </c>
      <c r="E569" s="626"/>
      <c r="F569" s="865"/>
      <c r="G569" s="801"/>
      <c r="H569" s="566">
        <f>G569*C569</f>
        <v>0</v>
      </c>
    </row>
    <row r="570" spans="1:8">
      <c r="A570" s="825"/>
      <c r="B570" s="826"/>
      <c r="C570" s="627"/>
      <c r="D570" s="631"/>
      <c r="E570" s="631"/>
      <c r="F570" s="872"/>
      <c r="G570" s="801"/>
      <c r="H570" s="566"/>
    </row>
    <row r="571" spans="1:8">
      <c r="A571" s="825"/>
      <c r="B571" s="569" t="s">
        <v>408</v>
      </c>
      <c r="C571" s="627">
        <v>20</v>
      </c>
      <c r="D571" s="626" t="s">
        <v>398</v>
      </c>
      <c r="E571" s="626"/>
      <c r="F571" s="865"/>
      <c r="G571" s="801"/>
      <c r="H571" s="566">
        <f t="shared" ref="H571:H589" si="11">G571*C571</f>
        <v>0</v>
      </c>
    </row>
    <row r="572" spans="1:8">
      <c r="A572" s="825"/>
      <c r="B572" s="630"/>
      <c r="C572" s="627"/>
      <c r="D572" s="631"/>
      <c r="E572" s="631"/>
      <c r="F572" s="872"/>
      <c r="G572" s="801"/>
      <c r="H572" s="566"/>
    </row>
    <row r="573" spans="1:8">
      <c r="A573" s="831" t="s">
        <v>409</v>
      </c>
      <c r="B573" s="606" t="s">
        <v>410</v>
      </c>
      <c r="C573" s="633">
        <v>20</v>
      </c>
      <c r="D573" s="632" t="s">
        <v>398</v>
      </c>
      <c r="E573" s="587">
        <f>Elec_Est!AM257</f>
        <v>44</v>
      </c>
      <c r="F573" s="833">
        <f>Elec_Est!AN257</f>
        <v>8</v>
      </c>
      <c r="G573" s="802">
        <f>Elec_Est!E257</f>
        <v>13.18</v>
      </c>
      <c r="H573" s="634">
        <f t="shared" si="11"/>
        <v>263.60000000000002</v>
      </c>
    </row>
    <row r="574" spans="1:8">
      <c r="A574" s="825"/>
      <c r="B574" s="569"/>
      <c r="C574" s="567"/>
      <c r="D574" s="563"/>
      <c r="E574" s="563"/>
      <c r="F574" s="827"/>
      <c r="G574" s="801"/>
      <c r="H574" s="566"/>
    </row>
    <row r="575" spans="1:8">
      <c r="A575" s="825"/>
      <c r="B575" s="569"/>
      <c r="C575" s="567"/>
      <c r="D575" s="563"/>
      <c r="E575" s="563"/>
      <c r="F575" s="827"/>
      <c r="G575" s="801"/>
      <c r="H575" s="566"/>
    </row>
    <row r="576" spans="1:8">
      <c r="A576" s="831" t="s">
        <v>485</v>
      </c>
      <c r="B576" s="832" t="s">
        <v>411</v>
      </c>
      <c r="C576" s="567"/>
      <c r="D576" s="563"/>
      <c r="E576" s="563"/>
      <c r="F576" s="827"/>
      <c r="G576" s="801"/>
      <c r="H576" s="566"/>
    </row>
    <row r="577" spans="1:8">
      <c r="A577" s="825"/>
      <c r="C577" s="567"/>
      <c r="D577" s="563"/>
      <c r="E577" s="563"/>
      <c r="F577" s="827"/>
      <c r="G577" s="801"/>
      <c r="H577" s="566"/>
    </row>
    <row r="578" spans="1:8" ht="43.5" customHeight="1">
      <c r="A578" s="831">
        <v>53</v>
      </c>
      <c r="B578" s="606" t="s">
        <v>412</v>
      </c>
      <c r="C578" s="586">
        <v>1</v>
      </c>
      <c r="D578" s="585" t="s">
        <v>140</v>
      </c>
      <c r="E578" s="587">
        <f>Elec_Est!AM268</f>
        <v>133.49</v>
      </c>
      <c r="F578" s="587">
        <f>Elec_Est!AN268</f>
        <v>0.9</v>
      </c>
      <c r="G578" s="587">
        <f>Elec_Est!E268</f>
        <v>158.19999999999999</v>
      </c>
      <c r="H578" s="634">
        <f t="shared" si="11"/>
        <v>158.19999999999999</v>
      </c>
    </row>
    <row r="579" spans="1:8">
      <c r="A579" s="825"/>
      <c r="B579" s="830"/>
      <c r="C579" s="567"/>
      <c r="D579" s="563"/>
      <c r="E579" s="563"/>
      <c r="F579" s="827"/>
      <c r="G579" s="801"/>
      <c r="H579" s="566"/>
    </row>
    <row r="580" spans="1:8">
      <c r="A580" s="825"/>
      <c r="B580" s="830"/>
      <c r="C580" s="567"/>
      <c r="D580" s="563"/>
      <c r="E580" s="563"/>
      <c r="F580" s="827"/>
      <c r="G580" s="801"/>
      <c r="H580" s="566"/>
    </row>
    <row r="581" spans="1:8">
      <c r="A581" s="825">
        <v>54</v>
      </c>
      <c r="B581" s="830" t="s">
        <v>413</v>
      </c>
      <c r="C581" s="567">
        <v>2</v>
      </c>
      <c r="D581" s="563" t="s">
        <v>140</v>
      </c>
      <c r="E581" s="563"/>
      <c r="F581" s="827"/>
      <c r="G581" s="801"/>
      <c r="H581" s="566">
        <f t="shared" si="11"/>
        <v>0</v>
      </c>
    </row>
    <row r="582" spans="1:8">
      <c r="A582" s="825"/>
      <c r="B582" s="830"/>
      <c r="C582" s="567"/>
      <c r="D582" s="563"/>
      <c r="E582" s="563"/>
      <c r="F582" s="827"/>
      <c r="G582" s="801"/>
      <c r="H582" s="566"/>
    </row>
    <row r="583" spans="1:8">
      <c r="A583" s="825"/>
      <c r="B583" s="830"/>
      <c r="C583" s="567"/>
      <c r="D583" s="563"/>
      <c r="E583" s="563"/>
      <c r="F583" s="827"/>
      <c r="G583" s="801"/>
      <c r="H583" s="566"/>
    </row>
    <row r="584" spans="1:8">
      <c r="A584" s="825">
        <v>55</v>
      </c>
      <c r="B584" s="830" t="s">
        <v>370</v>
      </c>
      <c r="C584" s="567">
        <v>2</v>
      </c>
      <c r="D584" s="563" t="s">
        <v>140</v>
      </c>
      <c r="E584" s="563"/>
      <c r="F584" s="827"/>
      <c r="G584" s="801"/>
      <c r="H584" s="566">
        <f t="shared" si="11"/>
        <v>0</v>
      </c>
    </row>
    <row r="585" spans="1:8">
      <c r="A585" s="825"/>
      <c r="B585" s="830"/>
      <c r="C585" s="567"/>
      <c r="D585" s="563"/>
      <c r="E585" s="563"/>
      <c r="F585" s="827"/>
      <c r="G585" s="801"/>
      <c r="H585" s="566"/>
    </row>
    <row r="586" spans="1:8">
      <c r="A586" s="825"/>
      <c r="B586" s="569"/>
      <c r="C586" s="567"/>
      <c r="D586" s="563"/>
      <c r="E586" s="563"/>
      <c r="F586" s="827"/>
      <c r="G586" s="801"/>
      <c r="H586" s="566"/>
    </row>
    <row r="587" spans="1:8">
      <c r="A587" s="825"/>
      <c r="B587" s="829" t="s">
        <v>414</v>
      </c>
      <c r="C587" s="567"/>
      <c r="D587" s="563"/>
      <c r="E587" s="563"/>
      <c r="F587" s="827"/>
      <c r="G587" s="801"/>
      <c r="H587" s="566"/>
    </row>
    <row r="588" spans="1:8">
      <c r="A588" s="825"/>
      <c r="B588" s="569"/>
      <c r="C588" s="567"/>
      <c r="D588" s="563"/>
      <c r="E588" s="563"/>
      <c r="F588" s="827"/>
      <c r="G588" s="801"/>
      <c r="H588" s="566"/>
    </row>
    <row r="589" spans="1:8" ht="26.4">
      <c r="A589" s="825">
        <v>56</v>
      </c>
      <c r="B589" s="569" t="s">
        <v>415</v>
      </c>
      <c r="C589" s="567">
        <v>1</v>
      </c>
      <c r="D589" s="563" t="s">
        <v>269</v>
      </c>
      <c r="E589" s="563"/>
      <c r="F589" s="827"/>
      <c r="G589" s="801"/>
      <c r="H589" s="566">
        <f t="shared" si="11"/>
        <v>0</v>
      </c>
    </row>
    <row r="590" spans="1:8">
      <c r="A590" s="825"/>
      <c r="B590" s="569"/>
      <c r="C590" s="567"/>
      <c r="D590" s="563"/>
      <c r="E590" s="563"/>
      <c r="F590" s="827"/>
      <c r="G590" s="801"/>
      <c r="H590" s="566"/>
    </row>
    <row r="591" spans="1:8">
      <c r="A591" s="825"/>
      <c r="B591" s="571"/>
      <c r="C591" s="567"/>
      <c r="D591" s="563"/>
      <c r="E591" s="563"/>
      <c r="F591" s="827"/>
      <c r="G591" s="801"/>
      <c r="H591" s="566"/>
    </row>
    <row r="592" spans="1:8">
      <c r="A592" s="825"/>
      <c r="B592" s="569"/>
      <c r="C592" s="567"/>
      <c r="D592" s="563"/>
      <c r="E592" s="563"/>
      <c r="F592" s="827"/>
      <c r="G592" s="801"/>
      <c r="H592" s="566"/>
    </row>
    <row r="593" spans="1:8">
      <c r="A593" s="825"/>
      <c r="B593" s="569"/>
      <c r="C593" s="567"/>
      <c r="D593" s="563"/>
      <c r="E593" s="563"/>
      <c r="F593" s="827"/>
      <c r="G593" s="801"/>
      <c r="H593" s="566"/>
    </row>
    <row r="594" spans="1:8">
      <c r="A594" s="825"/>
      <c r="B594" s="852"/>
      <c r="C594" s="570"/>
      <c r="D594" s="563"/>
      <c r="E594" s="563"/>
      <c r="F594" s="827"/>
      <c r="G594" s="801"/>
      <c r="H594" s="566"/>
    </row>
    <row r="595" spans="1:8">
      <c r="A595" s="825"/>
      <c r="B595" s="852"/>
      <c r="C595" s="567"/>
      <c r="D595" s="563"/>
      <c r="E595" s="563"/>
      <c r="F595" s="827"/>
      <c r="G595" s="801"/>
      <c r="H595" s="566"/>
    </row>
    <row r="596" spans="1:8">
      <c r="A596" s="825"/>
      <c r="B596" s="852"/>
      <c r="C596" s="570"/>
      <c r="D596" s="563"/>
      <c r="E596" s="563"/>
      <c r="F596" s="827"/>
      <c r="G596" s="801"/>
      <c r="H596" s="566"/>
    </row>
    <row r="597" spans="1:8">
      <c r="A597" s="825"/>
      <c r="B597" s="852"/>
      <c r="C597" s="567"/>
      <c r="D597" s="563"/>
      <c r="E597" s="563"/>
      <c r="F597" s="827"/>
      <c r="G597" s="801"/>
      <c r="H597" s="568"/>
    </row>
    <row r="598" spans="1:8">
      <c r="A598" s="825"/>
      <c r="B598" s="852"/>
      <c r="C598" s="570"/>
      <c r="D598" s="563"/>
      <c r="E598" s="563"/>
      <c r="F598" s="827"/>
      <c r="G598" s="801"/>
      <c r="H598" s="568"/>
    </row>
    <row r="599" spans="1:8">
      <c r="A599" s="825"/>
      <c r="B599" s="852"/>
      <c r="C599" s="567"/>
      <c r="D599" s="563"/>
      <c r="E599" s="563"/>
      <c r="F599" s="827"/>
      <c r="G599" s="801"/>
      <c r="H599" s="568"/>
    </row>
    <row r="600" spans="1:8">
      <c r="A600" s="825"/>
      <c r="B600" s="852"/>
      <c r="C600" s="570"/>
      <c r="D600" s="563"/>
      <c r="E600" s="563"/>
      <c r="F600" s="827"/>
      <c r="G600" s="801"/>
      <c r="H600" s="568"/>
    </row>
    <row r="601" spans="1:8">
      <c r="A601" s="825"/>
      <c r="B601" s="852"/>
      <c r="C601" s="567"/>
      <c r="D601" s="563"/>
      <c r="E601" s="563"/>
      <c r="F601" s="827"/>
      <c r="G601" s="801"/>
      <c r="H601" s="568"/>
    </row>
    <row r="602" spans="1:8">
      <c r="A602" s="825"/>
      <c r="B602" s="852"/>
      <c r="C602" s="570"/>
      <c r="D602" s="563"/>
      <c r="E602" s="563"/>
      <c r="F602" s="827"/>
      <c r="G602" s="801"/>
      <c r="H602" s="568"/>
    </row>
    <row r="603" spans="1:8">
      <c r="A603" s="825"/>
      <c r="B603" s="852"/>
      <c r="C603" s="570"/>
      <c r="D603" s="563"/>
      <c r="E603" s="563"/>
      <c r="F603" s="827"/>
      <c r="G603" s="801"/>
      <c r="H603" s="568"/>
    </row>
    <row r="604" spans="1:8">
      <c r="A604" s="825"/>
      <c r="B604" s="852"/>
      <c r="C604" s="570"/>
      <c r="D604" s="563"/>
      <c r="E604" s="563"/>
      <c r="F604" s="827"/>
      <c r="G604" s="801"/>
      <c r="H604" s="568"/>
    </row>
    <row r="605" spans="1:8">
      <c r="A605" s="825"/>
      <c r="B605" s="852"/>
      <c r="C605" s="570"/>
      <c r="D605" s="563"/>
      <c r="E605" s="563"/>
      <c r="F605" s="827"/>
      <c r="G605" s="801"/>
      <c r="H605" s="568"/>
    </row>
    <row r="606" spans="1:8">
      <c r="A606" s="825"/>
      <c r="B606" s="852"/>
      <c r="C606" s="570"/>
      <c r="D606" s="563"/>
      <c r="E606" s="563"/>
      <c r="F606" s="827"/>
      <c r="G606" s="801"/>
      <c r="H606" s="568"/>
    </row>
    <row r="607" spans="1:8">
      <c r="A607" s="825"/>
      <c r="B607" s="852"/>
      <c r="C607" s="570"/>
      <c r="D607" s="563"/>
      <c r="E607" s="563"/>
      <c r="F607" s="827"/>
      <c r="G607" s="801"/>
      <c r="H607" s="568"/>
    </row>
    <row r="608" spans="1:8">
      <c r="A608" s="825"/>
      <c r="B608" s="852"/>
      <c r="C608" s="570"/>
      <c r="D608" s="563"/>
      <c r="E608" s="563"/>
      <c r="F608" s="827"/>
      <c r="G608" s="801"/>
      <c r="H608" s="568"/>
    </row>
    <row r="609" spans="1:8">
      <c r="A609" s="825"/>
      <c r="B609" s="852"/>
      <c r="C609" s="570"/>
      <c r="D609" s="563"/>
      <c r="E609" s="563"/>
      <c r="F609" s="827"/>
      <c r="G609" s="801"/>
      <c r="H609" s="568"/>
    </row>
    <row r="610" spans="1:8">
      <c r="A610" s="825"/>
      <c r="B610" s="852"/>
      <c r="C610" s="570"/>
      <c r="D610" s="563"/>
      <c r="E610" s="563"/>
      <c r="F610" s="827"/>
      <c r="G610" s="801"/>
      <c r="H610" s="568"/>
    </row>
    <row r="611" spans="1:8">
      <c r="A611" s="825"/>
      <c r="B611" s="852"/>
      <c r="C611" s="570"/>
      <c r="D611" s="563"/>
      <c r="E611" s="563"/>
      <c r="F611" s="827"/>
      <c r="G611" s="801"/>
      <c r="H611" s="568"/>
    </row>
    <row r="612" spans="1:8">
      <c r="A612" s="825"/>
      <c r="B612" s="852"/>
      <c r="C612" s="570"/>
      <c r="D612" s="563"/>
      <c r="E612" s="563"/>
      <c r="F612" s="827"/>
      <c r="G612" s="801"/>
      <c r="H612" s="568"/>
    </row>
    <row r="613" spans="1:8">
      <c r="A613" s="825"/>
      <c r="B613" s="852"/>
      <c r="C613" s="570"/>
      <c r="D613" s="563"/>
      <c r="E613" s="563"/>
      <c r="F613" s="827"/>
      <c r="G613" s="801"/>
      <c r="H613" s="568"/>
    </row>
    <row r="614" spans="1:8">
      <c r="A614" s="825"/>
      <c r="B614" s="852"/>
      <c r="C614" s="570"/>
      <c r="D614" s="563"/>
      <c r="E614" s="563"/>
      <c r="F614" s="827"/>
      <c r="G614" s="801"/>
      <c r="H614" s="568"/>
    </row>
    <row r="615" spans="1:8">
      <c r="A615" s="825"/>
      <c r="B615" s="852"/>
      <c r="C615" s="570"/>
      <c r="D615" s="563"/>
      <c r="E615" s="563"/>
      <c r="F615" s="827"/>
      <c r="G615" s="801"/>
      <c r="H615" s="568"/>
    </row>
    <row r="616" spans="1:8" ht="13.8" thickBot="1">
      <c r="A616" s="853"/>
      <c r="B616" s="826"/>
      <c r="C616" s="564"/>
      <c r="D616" s="563"/>
      <c r="E616" s="563"/>
      <c r="F616" s="827"/>
      <c r="G616" s="801"/>
      <c r="H616" s="568"/>
    </row>
    <row r="617" spans="1:8">
      <c r="A617" s="838"/>
      <c r="B617" s="573"/>
      <c r="C617" s="574"/>
      <c r="D617" s="795"/>
      <c r="E617" s="796"/>
      <c r="F617" s="839"/>
      <c r="G617" s="806"/>
      <c r="H617" s="597"/>
    </row>
    <row r="618" spans="1:8">
      <c r="A618" s="840"/>
      <c r="B618" s="841" t="s">
        <v>270</v>
      </c>
      <c r="C618" s="842"/>
      <c r="D618" s="797"/>
      <c r="E618" s="575">
        <f>SUM(E568:E616)</f>
        <v>177.49</v>
      </c>
      <c r="F618" s="843">
        <f>SUM(F568:F616)</f>
        <v>8.9</v>
      </c>
      <c r="G618" s="807"/>
      <c r="H618" s="575">
        <f>SUM(H568:H616)</f>
        <v>421.8</v>
      </c>
    </row>
    <row r="619" spans="1:8" ht="13.8" thickBot="1">
      <c r="A619" s="874"/>
      <c r="B619" s="875"/>
      <c r="C619" s="876"/>
      <c r="D619" s="877"/>
      <c r="E619" s="878"/>
      <c r="F619" s="879"/>
      <c r="G619" s="808"/>
      <c r="H619" s="598"/>
    </row>
    <row r="620" spans="1:8">
      <c r="H620" s="101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H204"/>
  <sheetViews>
    <sheetView showGridLines="0" topLeftCell="A136" workbookViewId="0">
      <selection activeCell="E158" sqref="E158:F160"/>
    </sheetView>
  </sheetViews>
  <sheetFormatPr defaultRowHeight="13.2"/>
  <cols>
    <col min="1" max="1" width="7.6640625" style="579" customWidth="1"/>
    <col min="2" max="2" width="48.6640625" style="555" customWidth="1"/>
    <col min="3" max="3" width="5.6640625" style="580" customWidth="1"/>
    <col min="4" max="4" width="7.6640625" style="555" customWidth="1"/>
    <col min="5" max="5" width="9.6640625" style="555" customWidth="1"/>
    <col min="6" max="6" width="10.44140625" style="555" customWidth="1"/>
    <col min="7" max="7" width="10.33203125" style="581" hidden="1" customWidth="1"/>
    <col min="8" max="8" width="12.109375" style="581" hidden="1" customWidth="1"/>
    <col min="9" max="257" width="8.88671875" style="555"/>
    <col min="258" max="258" width="7.6640625" style="555" customWidth="1"/>
    <col min="259" max="259" width="2.6640625" style="555" customWidth="1"/>
    <col min="260" max="260" width="48.6640625" style="555" customWidth="1"/>
    <col min="261" max="261" width="7.6640625" style="555" customWidth="1"/>
    <col min="262" max="262" width="5.6640625" style="555" customWidth="1"/>
    <col min="263" max="263" width="10.33203125" style="555" customWidth="1"/>
    <col min="264" max="264" width="12.109375" style="555" customWidth="1"/>
    <col min="265" max="513" width="8.88671875" style="555"/>
    <col min="514" max="514" width="7.6640625" style="555" customWidth="1"/>
    <col min="515" max="515" width="2.6640625" style="555" customWidth="1"/>
    <col min="516" max="516" width="48.6640625" style="555" customWidth="1"/>
    <col min="517" max="517" width="7.6640625" style="555" customWidth="1"/>
    <col min="518" max="518" width="5.6640625" style="555" customWidth="1"/>
    <col min="519" max="519" width="10.33203125" style="555" customWidth="1"/>
    <col min="520" max="520" width="12.109375" style="555" customWidth="1"/>
    <col min="521" max="769" width="8.88671875" style="555"/>
    <col min="770" max="770" width="7.6640625" style="555" customWidth="1"/>
    <col min="771" max="771" width="2.6640625" style="555" customWidth="1"/>
    <col min="772" max="772" width="48.6640625" style="555" customWidth="1"/>
    <col min="773" max="773" width="7.6640625" style="555" customWidth="1"/>
    <col min="774" max="774" width="5.6640625" style="555" customWidth="1"/>
    <col min="775" max="775" width="10.33203125" style="555" customWidth="1"/>
    <col min="776" max="776" width="12.109375" style="555" customWidth="1"/>
    <col min="777" max="1025" width="8.88671875" style="555"/>
    <col min="1026" max="1026" width="7.6640625" style="555" customWidth="1"/>
    <col min="1027" max="1027" width="2.6640625" style="555" customWidth="1"/>
    <col min="1028" max="1028" width="48.6640625" style="555" customWidth="1"/>
    <col min="1029" max="1029" width="7.6640625" style="555" customWidth="1"/>
    <col min="1030" max="1030" width="5.6640625" style="555" customWidth="1"/>
    <col min="1031" max="1031" width="10.33203125" style="555" customWidth="1"/>
    <col min="1032" max="1032" width="12.109375" style="555" customWidth="1"/>
    <col min="1033" max="1281" width="8.88671875" style="555"/>
    <col min="1282" max="1282" width="7.6640625" style="555" customWidth="1"/>
    <col min="1283" max="1283" width="2.6640625" style="555" customWidth="1"/>
    <col min="1284" max="1284" width="48.6640625" style="555" customWidth="1"/>
    <col min="1285" max="1285" width="7.6640625" style="555" customWidth="1"/>
    <col min="1286" max="1286" width="5.6640625" style="555" customWidth="1"/>
    <col min="1287" max="1287" width="10.33203125" style="555" customWidth="1"/>
    <col min="1288" max="1288" width="12.109375" style="555" customWidth="1"/>
    <col min="1289" max="1537" width="8.88671875" style="555"/>
    <col min="1538" max="1538" width="7.6640625" style="555" customWidth="1"/>
    <col min="1539" max="1539" width="2.6640625" style="555" customWidth="1"/>
    <col min="1540" max="1540" width="48.6640625" style="555" customWidth="1"/>
    <col min="1541" max="1541" width="7.6640625" style="555" customWidth="1"/>
    <col min="1542" max="1542" width="5.6640625" style="555" customWidth="1"/>
    <col min="1543" max="1543" width="10.33203125" style="555" customWidth="1"/>
    <col min="1544" max="1544" width="12.109375" style="555" customWidth="1"/>
    <col min="1545" max="1793" width="8.88671875" style="555"/>
    <col min="1794" max="1794" width="7.6640625" style="555" customWidth="1"/>
    <col min="1795" max="1795" width="2.6640625" style="555" customWidth="1"/>
    <col min="1796" max="1796" width="48.6640625" style="555" customWidth="1"/>
    <col min="1797" max="1797" width="7.6640625" style="555" customWidth="1"/>
    <col min="1798" max="1798" width="5.6640625" style="555" customWidth="1"/>
    <col min="1799" max="1799" width="10.33203125" style="555" customWidth="1"/>
    <col min="1800" max="1800" width="12.109375" style="555" customWidth="1"/>
    <col min="1801" max="2049" width="8.88671875" style="555"/>
    <col min="2050" max="2050" width="7.6640625" style="555" customWidth="1"/>
    <col min="2051" max="2051" width="2.6640625" style="555" customWidth="1"/>
    <col min="2052" max="2052" width="48.6640625" style="555" customWidth="1"/>
    <col min="2053" max="2053" width="7.6640625" style="555" customWidth="1"/>
    <col min="2054" max="2054" width="5.6640625" style="555" customWidth="1"/>
    <col min="2055" max="2055" width="10.33203125" style="555" customWidth="1"/>
    <col min="2056" max="2056" width="12.109375" style="555" customWidth="1"/>
    <col min="2057" max="2305" width="8.88671875" style="555"/>
    <col min="2306" max="2306" width="7.6640625" style="555" customWidth="1"/>
    <col min="2307" max="2307" width="2.6640625" style="555" customWidth="1"/>
    <col min="2308" max="2308" width="48.6640625" style="555" customWidth="1"/>
    <col min="2309" max="2309" width="7.6640625" style="555" customWidth="1"/>
    <col min="2310" max="2310" width="5.6640625" style="555" customWidth="1"/>
    <col min="2311" max="2311" width="10.33203125" style="555" customWidth="1"/>
    <col min="2312" max="2312" width="12.109375" style="555" customWidth="1"/>
    <col min="2313" max="2561" width="8.88671875" style="555"/>
    <col min="2562" max="2562" width="7.6640625" style="555" customWidth="1"/>
    <col min="2563" max="2563" width="2.6640625" style="555" customWidth="1"/>
    <col min="2564" max="2564" width="48.6640625" style="555" customWidth="1"/>
    <col min="2565" max="2565" width="7.6640625" style="555" customWidth="1"/>
    <col min="2566" max="2566" width="5.6640625" style="555" customWidth="1"/>
    <col min="2567" max="2567" width="10.33203125" style="555" customWidth="1"/>
    <col min="2568" max="2568" width="12.109375" style="555" customWidth="1"/>
    <col min="2569" max="2817" width="8.88671875" style="555"/>
    <col min="2818" max="2818" width="7.6640625" style="555" customWidth="1"/>
    <col min="2819" max="2819" width="2.6640625" style="555" customWidth="1"/>
    <col min="2820" max="2820" width="48.6640625" style="555" customWidth="1"/>
    <col min="2821" max="2821" width="7.6640625" style="555" customWidth="1"/>
    <col min="2822" max="2822" width="5.6640625" style="555" customWidth="1"/>
    <col min="2823" max="2823" width="10.33203125" style="555" customWidth="1"/>
    <col min="2824" max="2824" width="12.109375" style="555" customWidth="1"/>
    <col min="2825" max="3073" width="8.88671875" style="555"/>
    <col min="3074" max="3074" width="7.6640625" style="555" customWidth="1"/>
    <col min="3075" max="3075" width="2.6640625" style="555" customWidth="1"/>
    <col min="3076" max="3076" width="48.6640625" style="555" customWidth="1"/>
    <col min="3077" max="3077" width="7.6640625" style="555" customWidth="1"/>
    <col min="3078" max="3078" width="5.6640625" style="555" customWidth="1"/>
    <col min="3079" max="3079" width="10.33203125" style="555" customWidth="1"/>
    <col min="3080" max="3080" width="12.109375" style="555" customWidth="1"/>
    <col min="3081" max="3329" width="8.88671875" style="555"/>
    <col min="3330" max="3330" width="7.6640625" style="555" customWidth="1"/>
    <col min="3331" max="3331" width="2.6640625" style="555" customWidth="1"/>
    <col min="3332" max="3332" width="48.6640625" style="555" customWidth="1"/>
    <col min="3333" max="3333" width="7.6640625" style="555" customWidth="1"/>
    <col min="3334" max="3334" width="5.6640625" style="555" customWidth="1"/>
    <col min="3335" max="3335" width="10.33203125" style="555" customWidth="1"/>
    <col min="3336" max="3336" width="12.109375" style="555" customWidth="1"/>
    <col min="3337" max="3585" width="8.88671875" style="555"/>
    <col min="3586" max="3586" width="7.6640625" style="555" customWidth="1"/>
    <col min="3587" max="3587" width="2.6640625" style="555" customWidth="1"/>
    <col min="3588" max="3588" width="48.6640625" style="555" customWidth="1"/>
    <col min="3589" max="3589" width="7.6640625" style="555" customWidth="1"/>
    <col min="3590" max="3590" width="5.6640625" style="555" customWidth="1"/>
    <col min="3591" max="3591" width="10.33203125" style="555" customWidth="1"/>
    <col min="3592" max="3592" width="12.109375" style="555" customWidth="1"/>
    <col min="3593" max="3841" width="8.88671875" style="555"/>
    <col min="3842" max="3842" width="7.6640625" style="555" customWidth="1"/>
    <col min="3843" max="3843" width="2.6640625" style="555" customWidth="1"/>
    <col min="3844" max="3844" width="48.6640625" style="555" customWidth="1"/>
    <col min="3845" max="3845" width="7.6640625" style="555" customWidth="1"/>
    <col min="3846" max="3846" width="5.6640625" style="555" customWidth="1"/>
    <col min="3847" max="3847" width="10.33203125" style="555" customWidth="1"/>
    <col min="3848" max="3848" width="12.109375" style="555" customWidth="1"/>
    <col min="3849" max="4097" width="8.88671875" style="555"/>
    <col min="4098" max="4098" width="7.6640625" style="555" customWidth="1"/>
    <col min="4099" max="4099" width="2.6640625" style="555" customWidth="1"/>
    <col min="4100" max="4100" width="48.6640625" style="555" customWidth="1"/>
    <col min="4101" max="4101" width="7.6640625" style="555" customWidth="1"/>
    <col min="4102" max="4102" width="5.6640625" style="555" customWidth="1"/>
    <col min="4103" max="4103" width="10.33203125" style="555" customWidth="1"/>
    <col min="4104" max="4104" width="12.109375" style="555" customWidth="1"/>
    <col min="4105" max="4353" width="8.88671875" style="555"/>
    <col min="4354" max="4354" width="7.6640625" style="555" customWidth="1"/>
    <col min="4355" max="4355" width="2.6640625" style="555" customWidth="1"/>
    <col min="4356" max="4356" width="48.6640625" style="555" customWidth="1"/>
    <col min="4357" max="4357" width="7.6640625" style="555" customWidth="1"/>
    <col min="4358" max="4358" width="5.6640625" style="555" customWidth="1"/>
    <col min="4359" max="4359" width="10.33203125" style="555" customWidth="1"/>
    <col min="4360" max="4360" width="12.109375" style="555" customWidth="1"/>
    <col min="4361" max="4609" width="8.88671875" style="555"/>
    <col min="4610" max="4610" width="7.6640625" style="555" customWidth="1"/>
    <col min="4611" max="4611" width="2.6640625" style="555" customWidth="1"/>
    <col min="4612" max="4612" width="48.6640625" style="555" customWidth="1"/>
    <col min="4613" max="4613" width="7.6640625" style="555" customWidth="1"/>
    <col min="4614" max="4614" width="5.6640625" style="555" customWidth="1"/>
    <col min="4615" max="4615" width="10.33203125" style="555" customWidth="1"/>
    <col min="4616" max="4616" width="12.109375" style="555" customWidth="1"/>
    <col min="4617" max="4865" width="8.88671875" style="555"/>
    <col min="4866" max="4866" width="7.6640625" style="555" customWidth="1"/>
    <col min="4867" max="4867" width="2.6640625" style="555" customWidth="1"/>
    <col min="4868" max="4868" width="48.6640625" style="555" customWidth="1"/>
    <col min="4869" max="4869" width="7.6640625" style="555" customWidth="1"/>
    <col min="4870" max="4870" width="5.6640625" style="555" customWidth="1"/>
    <col min="4871" max="4871" width="10.33203125" style="555" customWidth="1"/>
    <col min="4872" max="4872" width="12.109375" style="555" customWidth="1"/>
    <col min="4873" max="5121" width="8.88671875" style="555"/>
    <col min="5122" max="5122" width="7.6640625" style="555" customWidth="1"/>
    <col min="5123" max="5123" width="2.6640625" style="555" customWidth="1"/>
    <col min="5124" max="5124" width="48.6640625" style="555" customWidth="1"/>
    <col min="5125" max="5125" width="7.6640625" style="555" customWidth="1"/>
    <col min="5126" max="5126" width="5.6640625" style="555" customWidth="1"/>
    <col min="5127" max="5127" width="10.33203125" style="555" customWidth="1"/>
    <col min="5128" max="5128" width="12.109375" style="555" customWidth="1"/>
    <col min="5129" max="5377" width="8.88671875" style="555"/>
    <col min="5378" max="5378" width="7.6640625" style="555" customWidth="1"/>
    <col min="5379" max="5379" width="2.6640625" style="555" customWidth="1"/>
    <col min="5380" max="5380" width="48.6640625" style="555" customWidth="1"/>
    <col min="5381" max="5381" width="7.6640625" style="555" customWidth="1"/>
    <col min="5382" max="5382" width="5.6640625" style="555" customWidth="1"/>
    <col min="5383" max="5383" width="10.33203125" style="555" customWidth="1"/>
    <col min="5384" max="5384" width="12.109375" style="555" customWidth="1"/>
    <col min="5385" max="5633" width="8.88671875" style="555"/>
    <col min="5634" max="5634" width="7.6640625" style="555" customWidth="1"/>
    <col min="5635" max="5635" width="2.6640625" style="555" customWidth="1"/>
    <col min="5636" max="5636" width="48.6640625" style="555" customWidth="1"/>
    <col min="5637" max="5637" width="7.6640625" style="555" customWidth="1"/>
    <col min="5638" max="5638" width="5.6640625" style="555" customWidth="1"/>
    <col min="5639" max="5639" width="10.33203125" style="555" customWidth="1"/>
    <col min="5640" max="5640" width="12.109375" style="555" customWidth="1"/>
    <col min="5641" max="5889" width="8.88671875" style="555"/>
    <col min="5890" max="5890" width="7.6640625" style="555" customWidth="1"/>
    <col min="5891" max="5891" width="2.6640625" style="555" customWidth="1"/>
    <col min="5892" max="5892" width="48.6640625" style="555" customWidth="1"/>
    <col min="5893" max="5893" width="7.6640625" style="555" customWidth="1"/>
    <col min="5894" max="5894" width="5.6640625" style="555" customWidth="1"/>
    <col min="5895" max="5895" width="10.33203125" style="555" customWidth="1"/>
    <col min="5896" max="5896" width="12.109375" style="555" customWidth="1"/>
    <col min="5897" max="6145" width="8.88671875" style="555"/>
    <col min="6146" max="6146" width="7.6640625" style="555" customWidth="1"/>
    <col min="6147" max="6147" width="2.6640625" style="555" customWidth="1"/>
    <col min="6148" max="6148" width="48.6640625" style="555" customWidth="1"/>
    <col min="6149" max="6149" width="7.6640625" style="555" customWidth="1"/>
    <col min="6150" max="6150" width="5.6640625" style="555" customWidth="1"/>
    <col min="6151" max="6151" width="10.33203125" style="555" customWidth="1"/>
    <col min="6152" max="6152" width="12.109375" style="555" customWidth="1"/>
    <col min="6153" max="6401" width="8.88671875" style="555"/>
    <col min="6402" max="6402" width="7.6640625" style="555" customWidth="1"/>
    <col min="6403" max="6403" width="2.6640625" style="555" customWidth="1"/>
    <col min="6404" max="6404" width="48.6640625" style="555" customWidth="1"/>
    <col min="6405" max="6405" width="7.6640625" style="555" customWidth="1"/>
    <col min="6406" max="6406" width="5.6640625" style="555" customWidth="1"/>
    <col min="6407" max="6407" width="10.33203125" style="555" customWidth="1"/>
    <col min="6408" max="6408" width="12.109375" style="555" customWidth="1"/>
    <col min="6409" max="6657" width="8.88671875" style="555"/>
    <col min="6658" max="6658" width="7.6640625" style="555" customWidth="1"/>
    <col min="6659" max="6659" width="2.6640625" style="555" customWidth="1"/>
    <col min="6660" max="6660" width="48.6640625" style="555" customWidth="1"/>
    <col min="6661" max="6661" width="7.6640625" style="555" customWidth="1"/>
    <col min="6662" max="6662" width="5.6640625" style="555" customWidth="1"/>
    <col min="6663" max="6663" width="10.33203125" style="555" customWidth="1"/>
    <col min="6664" max="6664" width="12.109375" style="555" customWidth="1"/>
    <col min="6665" max="6913" width="8.88671875" style="555"/>
    <col min="6914" max="6914" width="7.6640625" style="555" customWidth="1"/>
    <col min="6915" max="6915" width="2.6640625" style="555" customWidth="1"/>
    <col min="6916" max="6916" width="48.6640625" style="555" customWidth="1"/>
    <col min="6917" max="6917" width="7.6640625" style="555" customWidth="1"/>
    <col min="6918" max="6918" width="5.6640625" style="555" customWidth="1"/>
    <col min="6919" max="6919" width="10.33203125" style="555" customWidth="1"/>
    <col min="6920" max="6920" width="12.109375" style="555" customWidth="1"/>
    <col min="6921" max="7169" width="8.88671875" style="555"/>
    <col min="7170" max="7170" width="7.6640625" style="555" customWidth="1"/>
    <col min="7171" max="7171" width="2.6640625" style="555" customWidth="1"/>
    <col min="7172" max="7172" width="48.6640625" style="555" customWidth="1"/>
    <col min="7173" max="7173" width="7.6640625" style="555" customWidth="1"/>
    <col min="7174" max="7174" width="5.6640625" style="555" customWidth="1"/>
    <col min="7175" max="7175" width="10.33203125" style="555" customWidth="1"/>
    <col min="7176" max="7176" width="12.109375" style="555" customWidth="1"/>
    <col min="7177" max="7425" width="8.88671875" style="555"/>
    <col min="7426" max="7426" width="7.6640625" style="555" customWidth="1"/>
    <col min="7427" max="7427" width="2.6640625" style="555" customWidth="1"/>
    <col min="7428" max="7428" width="48.6640625" style="555" customWidth="1"/>
    <col min="7429" max="7429" width="7.6640625" style="555" customWidth="1"/>
    <col min="7430" max="7430" width="5.6640625" style="555" customWidth="1"/>
    <col min="7431" max="7431" width="10.33203125" style="555" customWidth="1"/>
    <col min="7432" max="7432" width="12.109375" style="555" customWidth="1"/>
    <col min="7433" max="7681" width="8.88671875" style="555"/>
    <col min="7682" max="7682" width="7.6640625" style="555" customWidth="1"/>
    <col min="7683" max="7683" width="2.6640625" style="555" customWidth="1"/>
    <col min="7684" max="7684" width="48.6640625" style="555" customWidth="1"/>
    <col min="7685" max="7685" width="7.6640625" style="555" customWidth="1"/>
    <col min="7686" max="7686" width="5.6640625" style="555" customWidth="1"/>
    <col min="7687" max="7687" width="10.33203125" style="555" customWidth="1"/>
    <col min="7688" max="7688" width="12.109375" style="555" customWidth="1"/>
    <col min="7689" max="7937" width="8.88671875" style="555"/>
    <col min="7938" max="7938" width="7.6640625" style="555" customWidth="1"/>
    <col min="7939" max="7939" width="2.6640625" style="555" customWidth="1"/>
    <col min="7940" max="7940" width="48.6640625" style="555" customWidth="1"/>
    <col min="7941" max="7941" width="7.6640625" style="555" customWidth="1"/>
    <col min="7942" max="7942" width="5.6640625" style="555" customWidth="1"/>
    <col min="7943" max="7943" width="10.33203125" style="555" customWidth="1"/>
    <col min="7944" max="7944" width="12.109375" style="555" customWidth="1"/>
    <col min="7945" max="8193" width="8.88671875" style="555"/>
    <col min="8194" max="8194" width="7.6640625" style="555" customWidth="1"/>
    <col min="8195" max="8195" width="2.6640625" style="555" customWidth="1"/>
    <col min="8196" max="8196" width="48.6640625" style="555" customWidth="1"/>
    <col min="8197" max="8197" width="7.6640625" style="555" customWidth="1"/>
    <col min="8198" max="8198" width="5.6640625" style="555" customWidth="1"/>
    <col min="8199" max="8199" width="10.33203125" style="555" customWidth="1"/>
    <col min="8200" max="8200" width="12.109375" style="555" customWidth="1"/>
    <col min="8201" max="8449" width="8.88671875" style="555"/>
    <col min="8450" max="8450" width="7.6640625" style="555" customWidth="1"/>
    <col min="8451" max="8451" width="2.6640625" style="555" customWidth="1"/>
    <col min="8452" max="8452" width="48.6640625" style="555" customWidth="1"/>
    <col min="8453" max="8453" width="7.6640625" style="555" customWidth="1"/>
    <col min="8454" max="8454" width="5.6640625" style="555" customWidth="1"/>
    <col min="8455" max="8455" width="10.33203125" style="555" customWidth="1"/>
    <col min="8456" max="8456" width="12.109375" style="555" customWidth="1"/>
    <col min="8457" max="8705" width="8.88671875" style="555"/>
    <col min="8706" max="8706" width="7.6640625" style="555" customWidth="1"/>
    <col min="8707" max="8707" width="2.6640625" style="555" customWidth="1"/>
    <col min="8708" max="8708" width="48.6640625" style="555" customWidth="1"/>
    <col min="8709" max="8709" width="7.6640625" style="555" customWidth="1"/>
    <col min="8710" max="8710" width="5.6640625" style="555" customWidth="1"/>
    <col min="8711" max="8711" width="10.33203125" style="555" customWidth="1"/>
    <col min="8712" max="8712" width="12.109375" style="555" customWidth="1"/>
    <col min="8713" max="8961" width="8.88671875" style="555"/>
    <col min="8962" max="8962" width="7.6640625" style="555" customWidth="1"/>
    <col min="8963" max="8963" width="2.6640625" style="555" customWidth="1"/>
    <col min="8964" max="8964" width="48.6640625" style="555" customWidth="1"/>
    <col min="8965" max="8965" width="7.6640625" style="555" customWidth="1"/>
    <col min="8966" max="8966" width="5.6640625" style="555" customWidth="1"/>
    <col min="8967" max="8967" width="10.33203125" style="555" customWidth="1"/>
    <col min="8968" max="8968" width="12.109375" style="555" customWidth="1"/>
    <col min="8969" max="9217" width="8.88671875" style="555"/>
    <col min="9218" max="9218" width="7.6640625" style="555" customWidth="1"/>
    <col min="9219" max="9219" width="2.6640625" style="555" customWidth="1"/>
    <col min="9220" max="9220" width="48.6640625" style="555" customWidth="1"/>
    <col min="9221" max="9221" width="7.6640625" style="555" customWidth="1"/>
    <col min="9222" max="9222" width="5.6640625" style="555" customWidth="1"/>
    <col min="9223" max="9223" width="10.33203125" style="555" customWidth="1"/>
    <col min="9224" max="9224" width="12.109375" style="555" customWidth="1"/>
    <col min="9225" max="9473" width="8.88671875" style="555"/>
    <col min="9474" max="9474" width="7.6640625" style="555" customWidth="1"/>
    <col min="9475" max="9475" width="2.6640625" style="555" customWidth="1"/>
    <col min="9476" max="9476" width="48.6640625" style="555" customWidth="1"/>
    <col min="9477" max="9477" width="7.6640625" style="555" customWidth="1"/>
    <col min="9478" max="9478" width="5.6640625" style="555" customWidth="1"/>
    <col min="9479" max="9479" width="10.33203125" style="555" customWidth="1"/>
    <col min="9480" max="9480" width="12.109375" style="555" customWidth="1"/>
    <col min="9481" max="9729" width="8.88671875" style="555"/>
    <col min="9730" max="9730" width="7.6640625" style="555" customWidth="1"/>
    <col min="9731" max="9731" width="2.6640625" style="555" customWidth="1"/>
    <col min="9732" max="9732" width="48.6640625" style="555" customWidth="1"/>
    <col min="9733" max="9733" width="7.6640625" style="555" customWidth="1"/>
    <col min="9734" max="9734" width="5.6640625" style="555" customWidth="1"/>
    <col min="9735" max="9735" width="10.33203125" style="555" customWidth="1"/>
    <col min="9736" max="9736" width="12.109375" style="555" customWidth="1"/>
    <col min="9737" max="9985" width="8.88671875" style="555"/>
    <col min="9986" max="9986" width="7.6640625" style="555" customWidth="1"/>
    <col min="9987" max="9987" width="2.6640625" style="555" customWidth="1"/>
    <col min="9988" max="9988" width="48.6640625" style="555" customWidth="1"/>
    <col min="9989" max="9989" width="7.6640625" style="555" customWidth="1"/>
    <col min="9990" max="9990" width="5.6640625" style="555" customWidth="1"/>
    <col min="9991" max="9991" width="10.33203125" style="555" customWidth="1"/>
    <col min="9992" max="9992" width="12.109375" style="555" customWidth="1"/>
    <col min="9993" max="10241" width="8.88671875" style="555"/>
    <col min="10242" max="10242" width="7.6640625" style="555" customWidth="1"/>
    <col min="10243" max="10243" width="2.6640625" style="555" customWidth="1"/>
    <col min="10244" max="10244" width="48.6640625" style="555" customWidth="1"/>
    <col min="10245" max="10245" width="7.6640625" style="555" customWidth="1"/>
    <col min="10246" max="10246" width="5.6640625" style="555" customWidth="1"/>
    <col min="10247" max="10247" width="10.33203125" style="555" customWidth="1"/>
    <col min="10248" max="10248" width="12.109375" style="555" customWidth="1"/>
    <col min="10249" max="10497" width="8.88671875" style="555"/>
    <col min="10498" max="10498" width="7.6640625" style="555" customWidth="1"/>
    <col min="10499" max="10499" width="2.6640625" style="555" customWidth="1"/>
    <col min="10500" max="10500" width="48.6640625" style="555" customWidth="1"/>
    <col min="10501" max="10501" width="7.6640625" style="555" customWidth="1"/>
    <col min="10502" max="10502" width="5.6640625" style="555" customWidth="1"/>
    <col min="10503" max="10503" width="10.33203125" style="555" customWidth="1"/>
    <col min="10504" max="10504" width="12.109375" style="555" customWidth="1"/>
    <col min="10505" max="10753" width="8.88671875" style="555"/>
    <col min="10754" max="10754" width="7.6640625" style="555" customWidth="1"/>
    <col min="10755" max="10755" width="2.6640625" style="555" customWidth="1"/>
    <col min="10756" max="10756" width="48.6640625" style="555" customWidth="1"/>
    <col min="10757" max="10757" width="7.6640625" style="555" customWidth="1"/>
    <col min="10758" max="10758" width="5.6640625" style="555" customWidth="1"/>
    <col min="10759" max="10759" width="10.33203125" style="555" customWidth="1"/>
    <col min="10760" max="10760" width="12.109375" style="555" customWidth="1"/>
    <col min="10761" max="11009" width="8.88671875" style="555"/>
    <col min="11010" max="11010" width="7.6640625" style="555" customWidth="1"/>
    <col min="11011" max="11011" width="2.6640625" style="555" customWidth="1"/>
    <col min="11012" max="11012" width="48.6640625" style="555" customWidth="1"/>
    <col min="11013" max="11013" width="7.6640625" style="555" customWidth="1"/>
    <col min="11014" max="11014" width="5.6640625" style="555" customWidth="1"/>
    <col min="11015" max="11015" width="10.33203125" style="555" customWidth="1"/>
    <col min="11016" max="11016" width="12.109375" style="555" customWidth="1"/>
    <col min="11017" max="11265" width="8.88671875" style="555"/>
    <col min="11266" max="11266" width="7.6640625" style="555" customWidth="1"/>
    <col min="11267" max="11267" width="2.6640625" style="555" customWidth="1"/>
    <col min="11268" max="11268" width="48.6640625" style="555" customWidth="1"/>
    <col min="11269" max="11269" width="7.6640625" style="555" customWidth="1"/>
    <col min="11270" max="11270" width="5.6640625" style="555" customWidth="1"/>
    <col min="11271" max="11271" width="10.33203125" style="555" customWidth="1"/>
    <col min="11272" max="11272" width="12.109375" style="555" customWidth="1"/>
    <col min="11273" max="11521" width="8.88671875" style="555"/>
    <col min="11522" max="11522" width="7.6640625" style="555" customWidth="1"/>
    <col min="11523" max="11523" width="2.6640625" style="555" customWidth="1"/>
    <col min="11524" max="11524" width="48.6640625" style="555" customWidth="1"/>
    <col min="11525" max="11525" width="7.6640625" style="555" customWidth="1"/>
    <col min="11526" max="11526" width="5.6640625" style="555" customWidth="1"/>
    <col min="11527" max="11527" width="10.33203125" style="555" customWidth="1"/>
    <col min="11528" max="11528" width="12.109375" style="555" customWidth="1"/>
    <col min="11529" max="11777" width="8.88671875" style="555"/>
    <col min="11778" max="11778" width="7.6640625" style="555" customWidth="1"/>
    <col min="11779" max="11779" width="2.6640625" style="555" customWidth="1"/>
    <col min="11780" max="11780" width="48.6640625" style="555" customWidth="1"/>
    <col min="11781" max="11781" width="7.6640625" style="555" customWidth="1"/>
    <col min="11782" max="11782" width="5.6640625" style="555" customWidth="1"/>
    <col min="11783" max="11783" width="10.33203125" style="555" customWidth="1"/>
    <col min="11784" max="11784" width="12.109375" style="555" customWidth="1"/>
    <col min="11785" max="12033" width="8.88671875" style="555"/>
    <col min="12034" max="12034" width="7.6640625" style="555" customWidth="1"/>
    <col min="12035" max="12035" width="2.6640625" style="555" customWidth="1"/>
    <col min="12036" max="12036" width="48.6640625" style="555" customWidth="1"/>
    <col min="12037" max="12037" width="7.6640625" style="555" customWidth="1"/>
    <col min="12038" max="12038" width="5.6640625" style="555" customWidth="1"/>
    <col min="12039" max="12039" width="10.33203125" style="555" customWidth="1"/>
    <col min="12040" max="12040" width="12.109375" style="555" customWidth="1"/>
    <col min="12041" max="12289" width="8.88671875" style="555"/>
    <col min="12290" max="12290" width="7.6640625" style="555" customWidth="1"/>
    <col min="12291" max="12291" width="2.6640625" style="555" customWidth="1"/>
    <col min="12292" max="12292" width="48.6640625" style="555" customWidth="1"/>
    <col min="12293" max="12293" width="7.6640625" style="555" customWidth="1"/>
    <col min="12294" max="12294" width="5.6640625" style="555" customWidth="1"/>
    <col min="12295" max="12295" width="10.33203125" style="555" customWidth="1"/>
    <col min="12296" max="12296" width="12.109375" style="555" customWidth="1"/>
    <col min="12297" max="12545" width="8.88671875" style="555"/>
    <col min="12546" max="12546" width="7.6640625" style="555" customWidth="1"/>
    <col min="12547" max="12547" width="2.6640625" style="555" customWidth="1"/>
    <col min="12548" max="12548" width="48.6640625" style="555" customWidth="1"/>
    <col min="12549" max="12549" width="7.6640625" style="555" customWidth="1"/>
    <col min="12550" max="12550" width="5.6640625" style="555" customWidth="1"/>
    <col min="12551" max="12551" width="10.33203125" style="555" customWidth="1"/>
    <col min="12552" max="12552" width="12.109375" style="555" customWidth="1"/>
    <col min="12553" max="12801" width="8.88671875" style="555"/>
    <col min="12802" max="12802" width="7.6640625" style="555" customWidth="1"/>
    <col min="12803" max="12803" width="2.6640625" style="555" customWidth="1"/>
    <col min="12804" max="12804" width="48.6640625" style="555" customWidth="1"/>
    <col min="12805" max="12805" width="7.6640625" style="555" customWidth="1"/>
    <col min="12806" max="12806" width="5.6640625" style="555" customWidth="1"/>
    <col min="12807" max="12807" width="10.33203125" style="555" customWidth="1"/>
    <col min="12808" max="12808" width="12.109375" style="555" customWidth="1"/>
    <col min="12809" max="13057" width="8.88671875" style="555"/>
    <col min="13058" max="13058" width="7.6640625" style="555" customWidth="1"/>
    <col min="13059" max="13059" width="2.6640625" style="555" customWidth="1"/>
    <col min="13060" max="13060" width="48.6640625" style="555" customWidth="1"/>
    <col min="13061" max="13061" width="7.6640625" style="555" customWidth="1"/>
    <col min="13062" max="13062" width="5.6640625" style="555" customWidth="1"/>
    <col min="13063" max="13063" width="10.33203125" style="555" customWidth="1"/>
    <col min="13064" max="13064" width="12.109375" style="555" customWidth="1"/>
    <col min="13065" max="13313" width="8.88671875" style="555"/>
    <col min="13314" max="13314" width="7.6640625" style="555" customWidth="1"/>
    <col min="13315" max="13315" width="2.6640625" style="555" customWidth="1"/>
    <col min="13316" max="13316" width="48.6640625" style="555" customWidth="1"/>
    <col min="13317" max="13317" width="7.6640625" style="555" customWidth="1"/>
    <col min="13318" max="13318" width="5.6640625" style="555" customWidth="1"/>
    <col min="13319" max="13319" width="10.33203125" style="555" customWidth="1"/>
    <col min="13320" max="13320" width="12.109375" style="555" customWidth="1"/>
    <col min="13321" max="13569" width="8.88671875" style="555"/>
    <col min="13570" max="13570" width="7.6640625" style="555" customWidth="1"/>
    <col min="13571" max="13571" width="2.6640625" style="555" customWidth="1"/>
    <col min="13572" max="13572" width="48.6640625" style="555" customWidth="1"/>
    <col min="13573" max="13573" width="7.6640625" style="555" customWidth="1"/>
    <col min="13574" max="13574" width="5.6640625" style="555" customWidth="1"/>
    <col min="13575" max="13575" width="10.33203125" style="555" customWidth="1"/>
    <col min="13576" max="13576" width="12.109375" style="555" customWidth="1"/>
    <col min="13577" max="13825" width="8.88671875" style="555"/>
    <col min="13826" max="13826" width="7.6640625" style="555" customWidth="1"/>
    <col min="13827" max="13827" width="2.6640625" style="555" customWidth="1"/>
    <col min="13828" max="13828" width="48.6640625" style="555" customWidth="1"/>
    <col min="13829" max="13829" width="7.6640625" style="555" customWidth="1"/>
    <col min="13830" max="13830" width="5.6640625" style="555" customWidth="1"/>
    <col min="13831" max="13831" width="10.33203125" style="555" customWidth="1"/>
    <col min="13832" max="13832" width="12.109375" style="555" customWidth="1"/>
    <col min="13833" max="14081" width="8.88671875" style="555"/>
    <col min="14082" max="14082" width="7.6640625" style="555" customWidth="1"/>
    <col min="14083" max="14083" width="2.6640625" style="555" customWidth="1"/>
    <col min="14084" max="14084" width="48.6640625" style="555" customWidth="1"/>
    <col min="14085" max="14085" width="7.6640625" style="555" customWidth="1"/>
    <col min="14086" max="14086" width="5.6640625" style="555" customWidth="1"/>
    <col min="14087" max="14087" width="10.33203125" style="555" customWidth="1"/>
    <col min="14088" max="14088" width="12.109375" style="555" customWidth="1"/>
    <col min="14089" max="14337" width="8.88671875" style="555"/>
    <col min="14338" max="14338" width="7.6640625" style="555" customWidth="1"/>
    <col min="14339" max="14339" width="2.6640625" style="555" customWidth="1"/>
    <col min="14340" max="14340" width="48.6640625" style="555" customWidth="1"/>
    <col min="14341" max="14341" width="7.6640625" style="555" customWidth="1"/>
    <col min="14342" max="14342" width="5.6640625" style="555" customWidth="1"/>
    <col min="14343" max="14343" width="10.33203125" style="555" customWidth="1"/>
    <col min="14344" max="14344" width="12.109375" style="555" customWidth="1"/>
    <col min="14345" max="14593" width="8.88671875" style="555"/>
    <col min="14594" max="14594" width="7.6640625" style="555" customWidth="1"/>
    <col min="14595" max="14595" width="2.6640625" style="555" customWidth="1"/>
    <col min="14596" max="14596" width="48.6640625" style="555" customWidth="1"/>
    <col min="14597" max="14597" width="7.6640625" style="555" customWidth="1"/>
    <col min="14598" max="14598" width="5.6640625" style="555" customWidth="1"/>
    <col min="14599" max="14599" width="10.33203125" style="555" customWidth="1"/>
    <col min="14600" max="14600" width="12.109375" style="555" customWidth="1"/>
    <col min="14601" max="14849" width="8.88671875" style="555"/>
    <col min="14850" max="14850" width="7.6640625" style="555" customWidth="1"/>
    <col min="14851" max="14851" width="2.6640625" style="555" customWidth="1"/>
    <col min="14852" max="14852" width="48.6640625" style="555" customWidth="1"/>
    <col min="14853" max="14853" width="7.6640625" style="555" customWidth="1"/>
    <col min="14854" max="14854" width="5.6640625" style="555" customWidth="1"/>
    <col min="14855" max="14855" width="10.33203125" style="555" customWidth="1"/>
    <col min="14856" max="14856" width="12.109375" style="555" customWidth="1"/>
    <col min="14857" max="15105" width="8.88671875" style="555"/>
    <col min="15106" max="15106" width="7.6640625" style="555" customWidth="1"/>
    <col min="15107" max="15107" width="2.6640625" style="555" customWidth="1"/>
    <col min="15108" max="15108" width="48.6640625" style="555" customWidth="1"/>
    <col min="15109" max="15109" width="7.6640625" style="555" customWidth="1"/>
    <col min="15110" max="15110" width="5.6640625" style="555" customWidth="1"/>
    <col min="15111" max="15111" width="10.33203125" style="555" customWidth="1"/>
    <col min="15112" max="15112" width="12.109375" style="555" customWidth="1"/>
    <col min="15113" max="15361" width="8.88671875" style="555"/>
    <col min="15362" max="15362" width="7.6640625" style="555" customWidth="1"/>
    <col min="15363" max="15363" width="2.6640625" style="555" customWidth="1"/>
    <col min="15364" max="15364" width="48.6640625" style="555" customWidth="1"/>
    <col min="15365" max="15365" width="7.6640625" style="555" customWidth="1"/>
    <col min="15366" max="15366" width="5.6640625" style="555" customWidth="1"/>
    <col min="15367" max="15367" width="10.33203125" style="555" customWidth="1"/>
    <col min="15368" max="15368" width="12.109375" style="555" customWidth="1"/>
    <col min="15369" max="15617" width="8.88671875" style="555"/>
    <col min="15618" max="15618" width="7.6640625" style="555" customWidth="1"/>
    <col min="15619" max="15619" width="2.6640625" style="555" customWidth="1"/>
    <col min="15620" max="15620" width="48.6640625" style="555" customWidth="1"/>
    <col min="15621" max="15621" width="7.6640625" style="555" customWidth="1"/>
    <col min="15622" max="15622" width="5.6640625" style="555" customWidth="1"/>
    <col min="15623" max="15623" width="10.33203125" style="555" customWidth="1"/>
    <col min="15624" max="15624" width="12.109375" style="555" customWidth="1"/>
    <col min="15625" max="15873" width="8.88671875" style="555"/>
    <col min="15874" max="15874" width="7.6640625" style="555" customWidth="1"/>
    <col min="15875" max="15875" width="2.6640625" style="555" customWidth="1"/>
    <col min="15876" max="15876" width="48.6640625" style="555" customWidth="1"/>
    <col min="15877" max="15877" width="7.6640625" style="555" customWidth="1"/>
    <col min="15878" max="15878" width="5.6640625" style="555" customWidth="1"/>
    <col min="15879" max="15879" width="10.33203125" style="555" customWidth="1"/>
    <col min="15880" max="15880" width="12.109375" style="555" customWidth="1"/>
    <col min="15881" max="16129" width="8.88671875" style="555"/>
    <col min="16130" max="16130" width="7.6640625" style="555" customWidth="1"/>
    <col min="16131" max="16131" width="2.6640625" style="555" customWidth="1"/>
    <col min="16132" max="16132" width="48.6640625" style="555" customWidth="1"/>
    <col min="16133" max="16133" width="7.6640625" style="555" customWidth="1"/>
    <col min="16134" max="16134" width="5.6640625" style="555" customWidth="1"/>
    <col min="16135" max="16135" width="10.33203125" style="555" customWidth="1"/>
    <col min="16136" max="16136" width="12.109375" style="555" customWidth="1"/>
    <col min="16137" max="16384" width="8.88671875" style="555"/>
  </cols>
  <sheetData>
    <row r="1" spans="1:8" ht="17.399999999999999">
      <c r="A1" s="811" t="s">
        <v>265</v>
      </c>
      <c r="B1" s="812"/>
      <c r="C1" s="813"/>
      <c r="D1" s="812"/>
      <c r="E1" s="812"/>
      <c r="F1" s="814"/>
      <c r="G1" s="553"/>
      <c r="H1" s="554"/>
    </row>
    <row r="2" spans="1:8">
      <c r="A2" s="815" t="s">
        <v>416</v>
      </c>
      <c r="B2" s="816"/>
      <c r="C2" s="817"/>
      <c r="D2" s="816"/>
      <c r="E2" s="816"/>
      <c r="F2" s="818"/>
      <c r="G2" s="556"/>
      <c r="H2" s="557"/>
    </row>
    <row r="3" spans="1:8">
      <c r="A3" s="815"/>
      <c r="B3" s="816"/>
      <c r="C3" s="817"/>
      <c r="D3" s="816"/>
      <c r="E3" s="816"/>
      <c r="F3" s="818"/>
      <c r="G3" s="556"/>
      <c r="H3" s="557"/>
    </row>
    <row r="4" spans="1:8">
      <c r="A4" s="819"/>
      <c r="B4" s="820"/>
      <c r="C4" s="821"/>
      <c r="D4" s="820"/>
      <c r="E4" s="820"/>
      <c r="F4" s="822"/>
      <c r="G4" s="558"/>
      <c r="H4" s="582"/>
    </row>
    <row r="5" spans="1:8" ht="27" thickBot="1">
      <c r="A5" s="823" t="s">
        <v>266</v>
      </c>
      <c r="B5" s="559"/>
      <c r="C5" s="561" t="s">
        <v>267</v>
      </c>
      <c r="D5" s="560" t="s">
        <v>257</v>
      </c>
      <c r="E5" s="794" t="s">
        <v>539</v>
      </c>
      <c r="F5" s="824" t="s">
        <v>540</v>
      </c>
      <c r="G5" s="800" t="s">
        <v>268</v>
      </c>
      <c r="H5" s="562" t="s">
        <v>258</v>
      </c>
    </row>
    <row r="6" spans="1:8">
      <c r="A6" s="825"/>
      <c r="B6" s="826"/>
      <c r="C6" s="564"/>
      <c r="D6" s="563"/>
      <c r="E6" s="563"/>
      <c r="F6" s="827"/>
      <c r="G6" s="801"/>
      <c r="H6" s="568"/>
    </row>
    <row r="7" spans="1:8" ht="52.8">
      <c r="A7" s="825"/>
      <c r="B7" s="828" t="s">
        <v>417</v>
      </c>
      <c r="C7" s="567"/>
      <c r="D7" s="563"/>
      <c r="E7" s="563"/>
      <c r="F7" s="827"/>
      <c r="G7" s="801"/>
      <c r="H7" s="568"/>
    </row>
    <row r="8" spans="1:8">
      <c r="A8" s="825"/>
      <c r="B8" s="828"/>
      <c r="C8" s="567"/>
      <c r="D8" s="563"/>
      <c r="E8" s="563"/>
      <c r="F8" s="827"/>
      <c r="G8" s="801"/>
      <c r="H8" s="568"/>
    </row>
    <row r="9" spans="1:8" ht="52.8">
      <c r="A9" s="825"/>
      <c r="B9" s="635" t="s">
        <v>418</v>
      </c>
      <c r="C9" s="567"/>
      <c r="D9" s="563"/>
      <c r="E9" s="563"/>
      <c r="F9" s="827"/>
      <c r="G9" s="801"/>
      <c r="H9" s="568"/>
    </row>
    <row r="10" spans="1:8" ht="39.6">
      <c r="A10" s="825"/>
      <c r="B10" s="635" t="s">
        <v>419</v>
      </c>
      <c r="C10" s="567"/>
      <c r="D10" s="563"/>
      <c r="E10" s="563"/>
      <c r="F10" s="827"/>
      <c r="G10" s="801"/>
      <c r="H10" s="568"/>
    </row>
    <row r="11" spans="1:8">
      <c r="A11" s="825"/>
      <c r="B11" s="635"/>
      <c r="C11" s="567"/>
      <c r="D11" s="563"/>
      <c r="E11" s="563"/>
      <c r="F11" s="827"/>
      <c r="G11" s="801"/>
      <c r="H11" s="568"/>
    </row>
    <row r="12" spans="1:8">
      <c r="A12" s="825"/>
      <c r="B12" s="884" t="s">
        <v>420</v>
      </c>
      <c r="C12" s="567"/>
      <c r="D12" s="563"/>
      <c r="E12" s="563"/>
      <c r="F12" s="827"/>
      <c r="G12" s="801"/>
      <c r="H12" s="568"/>
    </row>
    <row r="13" spans="1:8">
      <c r="A13" s="825"/>
      <c r="B13" s="885"/>
      <c r="C13" s="567"/>
      <c r="D13" s="563"/>
      <c r="E13" s="563"/>
      <c r="F13" s="827"/>
      <c r="G13" s="801"/>
      <c r="H13" s="568"/>
    </row>
    <row r="14" spans="1:8" ht="52.8">
      <c r="A14" s="825"/>
      <c r="B14" s="569" t="s">
        <v>421</v>
      </c>
      <c r="C14" s="567"/>
      <c r="D14" s="563"/>
      <c r="E14" s="563"/>
      <c r="F14" s="827"/>
      <c r="G14" s="801"/>
      <c r="H14" s="568"/>
    </row>
    <row r="15" spans="1:8">
      <c r="A15" s="825"/>
      <c r="B15" s="886"/>
      <c r="C15" s="567"/>
      <c r="D15" s="563"/>
      <c r="E15" s="563"/>
      <c r="F15" s="827"/>
      <c r="G15" s="801"/>
      <c r="H15" s="568"/>
    </row>
    <row r="16" spans="1:8">
      <c r="A16" s="825">
        <v>1</v>
      </c>
      <c r="B16" s="886" t="s">
        <v>422</v>
      </c>
      <c r="C16" s="567"/>
      <c r="D16" s="563"/>
      <c r="E16" s="563"/>
      <c r="F16" s="827"/>
      <c r="G16" s="801"/>
      <c r="H16" s="568"/>
    </row>
    <row r="17" spans="1:8" ht="13.8">
      <c r="A17" s="825"/>
      <c r="B17" s="887"/>
      <c r="C17" s="567"/>
      <c r="D17" s="563"/>
      <c r="E17" s="563"/>
      <c r="F17" s="827"/>
      <c r="G17" s="801"/>
      <c r="H17" s="568"/>
    </row>
    <row r="18" spans="1:8">
      <c r="A18" s="825"/>
      <c r="B18" s="886" t="s">
        <v>423</v>
      </c>
      <c r="C18" s="567">
        <v>30</v>
      </c>
      <c r="D18" s="563" t="s">
        <v>277</v>
      </c>
      <c r="E18" s="563"/>
      <c r="F18" s="827"/>
      <c r="G18" s="801"/>
      <c r="H18" s="568">
        <f>G18*C18</f>
        <v>0</v>
      </c>
    </row>
    <row r="19" spans="1:8">
      <c r="A19" s="825"/>
      <c r="B19" s="886"/>
      <c r="C19" s="567"/>
      <c r="D19" s="563"/>
      <c r="E19" s="563"/>
      <c r="F19" s="827"/>
      <c r="G19" s="801"/>
      <c r="H19" s="568"/>
    </row>
    <row r="20" spans="1:8">
      <c r="A20" s="825"/>
      <c r="B20" s="886" t="s">
        <v>424</v>
      </c>
      <c r="C20" s="567">
        <v>90</v>
      </c>
      <c r="D20" s="563" t="s">
        <v>277</v>
      </c>
      <c r="E20" s="563"/>
      <c r="F20" s="827"/>
      <c r="G20" s="801"/>
      <c r="H20" s="568">
        <f t="shared" ref="H20:H44" si="0">G20*C20</f>
        <v>0</v>
      </c>
    </row>
    <row r="21" spans="1:8">
      <c r="A21" s="825"/>
      <c r="B21" s="886"/>
      <c r="C21" s="567"/>
      <c r="D21" s="563"/>
      <c r="E21" s="563"/>
      <c r="F21" s="827"/>
      <c r="G21" s="801"/>
      <c r="H21" s="568"/>
    </row>
    <row r="22" spans="1:8">
      <c r="A22" s="825"/>
      <c r="B22" s="886" t="s">
        <v>425</v>
      </c>
      <c r="C22" s="567">
        <v>8</v>
      </c>
      <c r="D22" s="563" t="s">
        <v>277</v>
      </c>
      <c r="E22" s="563"/>
      <c r="F22" s="827"/>
      <c r="G22" s="801"/>
      <c r="H22" s="568">
        <f t="shared" si="0"/>
        <v>0</v>
      </c>
    </row>
    <row r="23" spans="1:8">
      <c r="A23" s="825"/>
      <c r="B23" s="886"/>
      <c r="C23" s="567"/>
      <c r="D23" s="563"/>
      <c r="E23" s="563"/>
      <c r="F23" s="827"/>
      <c r="G23" s="801"/>
      <c r="H23" s="568"/>
    </row>
    <row r="24" spans="1:8">
      <c r="A24" s="825"/>
      <c r="B24" s="886" t="s">
        <v>426</v>
      </c>
      <c r="C24" s="567">
        <v>2</v>
      </c>
      <c r="D24" s="563" t="s">
        <v>277</v>
      </c>
      <c r="E24" s="563"/>
      <c r="F24" s="827"/>
      <c r="G24" s="801"/>
      <c r="H24" s="568">
        <f t="shared" si="0"/>
        <v>0</v>
      </c>
    </row>
    <row r="25" spans="1:8">
      <c r="A25" s="825"/>
      <c r="B25" s="886"/>
      <c r="C25" s="567"/>
      <c r="D25" s="563"/>
      <c r="E25" s="563"/>
      <c r="F25" s="827"/>
      <c r="G25" s="801"/>
      <c r="H25" s="568"/>
    </row>
    <row r="26" spans="1:8">
      <c r="A26" s="825"/>
      <c r="B26" s="886" t="s">
        <v>427</v>
      </c>
      <c r="C26" s="567">
        <v>30</v>
      </c>
      <c r="D26" s="563" t="s">
        <v>277</v>
      </c>
      <c r="E26" s="563"/>
      <c r="F26" s="827"/>
      <c r="G26" s="801"/>
      <c r="H26" s="568">
        <f t="shared" si="0"/>
        <v>0</v>
      </c>
    </row>
    <row r="27" spans="1:8">
      <c r="A27" s="825"/>
      <c r="B27" s="886"/>
      <c r="C27" s="567"/>
      <c r="D27" s="563"/>
      <c r="E27" s="563"/>
      <c r="F27" s="827"/>
      <c r="G27" s="801"/>
      <c r="H27" s="568"/>
    </row>
    <row r="28" spans="1:8">
      <c r="A28" s="825"/>
      <c r="B28" s="886"/>
      <c r="C28" s="567"/>
      <c r="D28" s="563"/>
      <c r="E28" s="563"/>
      <c r="F28" s="827"/>
      <c r="G28" s="801"/>
      <c r="H28" s="568"/>
    </row>
    <row r="29" spans="1:8">
      <c r="A29" s="825">
        <v>2</v>
      </c>
      <c r="B29" s="886" t="s">
        <v>428</v>
      </c>
      <c r="C29" s="567"/>
      <c r="D29" s="563"/>
      <c r="E29" s="563"/>
      <c r="F29" s="827"/>
      <c r="G29" s="801"/>
      <c r="H29" s="568"/>
    </row>
    <row r="30" spans="1:8">
      <c r="A30" s="825"/>
      <c r="B30" s="886"/>
      <c r="C30" s="567"/>
      <c r="D30" s="563"/>
      <c r="E30" s="563"/>
      <c r="F30" s="827"/>
      <c r="G30" s="801"/>
      <c r="H30" s="568"/>
    </row>
    <row r="31" spans="1:8">
      <c r="A31" s="825"/>
      <c r="B31" s="886" t="s">
        <v>424</v>
      </c>
      <c r="C31" s="567">
        <v>3</v>
      </c>
      <c r="D31" s="563" t="s">
        <v>277</v>
      </c>
      <c r="E31" s="563"/>
      <c r="F31" s="827"/>
      <c r="G31" s="801"/>
      <c r="H31" s="568">
        <f t="shared" si="0"/>
        <v>0</v>
      </c>
    </row>
    <row r="32" spans="1:8">
      <c r="A32" s="825"/>
      <c r="B32" s="886"/>
      <c r="C32" s="567"/>
      <c r="D32" s="563"/>
      <c r="E32" s="563"/>
      <c r="F32" s="827"/>
      <c r="G32" s="801"/>
      <c r="H32" s="568"/>
    </row>
    <row r="33" spans="1:8">
      <c r="A33" s="825"/>
      <c r="B33" s="886" t="s">
        <v>429</v>
      </c>
      <c r="C33" s="567">
        <v>8</v>
      </c>
      <c r="D33" s="563" t="s">
        <v>277</v>
      </c>
      <c r="E33" s="563"/>
      <c r="F33" s="827"/>
      <c r="G33" s="801"/>
      <c r="H33" s="568">
        <f t="shared" si="0"/>
        <v>0</v>
      </c>
    </row>
    <row r="34" spans="1:8">
      <c r="A34" s="825"/>
      <c r="B34" s="886"/>
      <c r="C34" s="567"/>
      <c r="D34" s="563"/>
      <c r="E34" s="563"/>
      <c r="F34" s="827"/>
      <c r="G34" s="801"/>
      <c r="H34" s="568"/>
    </row>
    <row r="35" spans="1:8">
      <c r="A35" s="825"/>
      <c r="B35" s="886" t="s">
        <v>427</v>
      </c>
      <c r="C35" s="567">
        <v>40</v>
      </c>
      <c r="D35" s="563" t="s">
        <v>277</v>
      </c>
      <c r="E35" s="563"/>
      <c r="F35" s="827"/>
      <c r="G35" s="801"/>
      <c r="H35" s="568">
        <f t="shared" si="0"/>
        <v>0</v>
      </c>
    </row>
    <row r="36" spans="1:8">
      <c r="A36" s="825"/>
      <c r="B36" s="886"/>
      <c r="C36" s="567"/>
      <c r="D36" s="563"/>
      <c r="E36" s="563"/>
      <c r="F36" s="827"/>
      <c r="G36" s="801"/>
      <c r="H36" s="568"/>
    </row>
    <row r="37" spans="1:8">
      <c r="A37" s="825"/>
      <c r="B37" s="886" t="s">
        <v>430</v>
      </c>
      <c r="C37" s="567">
        <v>6</v>
      </c>
      <c r="D37" s="563" t="s">
        <v>277</v>
      </c>
      <c r="E37" s="563"/>
      <c r="F37" s="827"/>
      <c r="G37" s="801"/>
      <c r="H37" s="568">
        <f t="shared" si="0"/>
        <v>0</v>
      </c>
    </row>
    <row r="38" spans="1:8">
      <c r="A38" s="825"/>
      <c r="B38" s="886"/>
      <c r="C38" s="567"/>
      <c r="D38" s="563"/>
      <c r="E38" s="563"/>
      <c r="F38" s="827"/>
      <c r="G38" s="801"/>
      <c r="H38" s="568"/>
    </row>
    <row r="39" spans="1:8">
      <c r="A39" s="825"/>
      <c r="B39" s="886" t="s">
        <v>431</v>
      </c>
      <c r="C39" s="567">
        <v>12</v>
      </c>
      <c r="D39" s="563" t="s">
        <v>277</v>
      </c>
      <c r="E39" s="563"/>
      <c r="F39" s="827"/>
      <c r="G39" s="801"/>
      <c r="H39" s="568">
        <f t="shared" si="0"/>
        <v>0</v>
      </c>
    </row>
    <row r="40" spans="1:8">
      <c r="A40" s="825"/>
      <c r="B40" s="886"/>
      <c r="C40" s="567"/>
      <c r="D40" s="563"/>
      <c r="E40" s="563"/>
      <c r="F40" s="827"/>
      <c r="G40" s="801"/>
      <c r="H40" s="568"/>
    </row>
    <row r="41" spans="1:8">
      <c r="A41" s="825"/>
      <c r="B41" s="886"/>
      <c r="C41" s="567"/>
      <c r="D41" s="563"/>
      <c r="E41" s="563"/>
      <c r="F41" s="827"/>
      <c r="G41" s="801"/>
      <c r="H41" s="568"/>
    </row>
    <row r="42" spans="1:8">
      <c r="A42" s="825">
        <v>3</v>
      </c>
      <c r="B42" s="886" t="s">
        <v>432</v>
      </c>
      <c r="C42" s="567"/>
      <c r="D42" s="563"/>
      <c r="E42" s="563"/>
      <c r="F42" s="827"/>
      <c r="G42" s="801"/>
      <c r="H42" s="568"/>
    </row>
    <row r="43" spans="1:8">
      <c r="A43" s="825"/>
      <c r="B43" s="886"/>
      <c r="C43" s="567"/>
      <c r="D43" s="563"/>
      <c r="E43" s="563"/>
      <c r="F43" s="827"/>
      <c r="G43" s="801"/>
      <c r="H43" s="568"/>
    </row>
    <row r="44" spans="1:8">
      <c r="A44" s="825"/>
      <c r="B44" s="886" t="s">
        <v>427</v>
      </c>
      <c r="C44" s="567">
        <v>50</v>
      </c>
      <c r="D44" s="563" t="s">
        <v>277</v>
      </c>
      <c r="E44" s="563"/>
      <c r="F44" s="827"/>
      <c r="G44" s="801"/>
      <c r="H44" s="568">
        <f t="shared" si="0"/>
        <v>0</v>
      </c>
    </row>
    <row r="45" spans="1:8">
      <c r="A45" s="825"/>
      <c r="B45" s="569"/>
      <c r="C45" s="567"/>
      <c r="D45" s="563"/>
      <c r="E45" s="563"/>
      <c r="F45" s="827"/>
      <c r="G45" s="801"/>
      <c r="H45" s="568"/>
    </row>
    <row r="46" spans="1:8" ht="13.8" thickBot="1">
      <c r="A46" s="853"/>
      <c r="B46" s="572"/>
      <c r="C46" s="564"/>
      <c r="D46" s="563"/>
      <c r="E46" s="563"/>
      <c r="F46" s="827"/>
      <c r="G46" s="801"/>
      <c r="H46" s="568"/>
    </row>
    <row r="47" spans="1:8">
      <c r="A47" s="838"/>
      <c r="B47" s="573"/>
      <c r="C47" s="574"/>
      <c r="D47" s="795"/>
      <c r="E47" s="796"/>
      <c r="F47" s="839"/>
      <c r="G47" s="806"/>
      <c r="H47" s="597"/>
    </row>
    <row r="48" spans="1:8">
      <c r="A48" s="840"/>
      <c r="B48" s="841" t="s">
        <v>270</v>
      </c>
      <c r="C48" s="842"/>
      <c r="D48" s="797"/>
      <c r="E48" s="575">
        <f>SUM(E6:E46)</f>
        <v>0</v>
      </c>
      <c r="F48" s="843">
        <f>SUM(F6:F46)</f>
        <v>0</v>
      </c>
      <c r="G48" s="807"/>
      <c r="H48" s="575">
        <f>SUM(H6:H46)</f>
        <v>0</v>
      </c>
    </row>
    <row r="49" spans="1:8">
      <c r="A49" s="844"/>
      <c r="B49" s="576"/>
      <c r="C49" s="577"/>
      <c r="D49" s="798"/>
      <c r="E49" s="799"/>
      <c r="F49" s="845"/>
      <c r="G49" s="808"/>
      <c r="H49" s="598"/>
    </row>
    <row r="50" spans="1:8" ht="17.399999999999999">
      <c r="A50" s="846"/>
      <c r="B50" s="578"/>
      <c r="C50" s="552"/>
      <c r="D50" s="551"/>
      <c r="E50" s="551"/>
      <c r="F50" s="847"/>
      <c r="G50" s="553"/>
      <c r="H50" s="554"/>
    </row>
    <row r="51" spans="1:8">
      <c r="A51" s="848"/>
      <c r="B51" s="849"/>
      <c r="C51" s="817"/>
      <c r="D51" s="816"/>
      <c r="E51" s="816"/>
      <c r="F51" s="818"/>
      <c r="G51" s="556"/>
      <c r="H51" s="557"/>
    </row>
    <row r="52" spans="1:8">
      <c r="A52" s="848"/>
      <c r="B52" s="849"/>
      <c r="C52" s="817"/>
      <c r="D52" s="816"/>
      <c r="E52" s="816"/>
      <c r="F52" s="818"/>
      <c r="G52" s="556"/>
      <c r="H52" s="557"/>
    </row>
    <row r="53" spans="1:8">
      <c r="A53" s="840"/>
      <c r="B53" s="850"/>
      <c r="C53" s="821"/>
      <c r="D53" s="820"/>
      <c r="E53" s="820"/>
      <c r="F53" s="822"/>
      <c r="G53" s="558"/>
      <c r="H53" s="582"/>
    </row>
    <row r="54" spans="1:8" ht="27" thickBot="1">
      <c r="A54" s="851" t="s">
        <v>266</v>
      </c>
      <c r="B54" s="559"/>
      <c r="C54" s="561" t="s">
        <v>267</v>
      </c>
      <c r="D54" s="560" t="s">
        <v>257</v>
      </c>
      <c r="E54" s="794" t="s">
        <v>539</v>
      </c>
      <c r="F54" s="824" t="s">
        <v>540</v>
      </c>
      <c r="G54" s="800" t="s">
        <v>268</v>
      </c>
      <c r="H54" s="562" t="s">
        <v>258</v>
      </c>
    </row>
    <row r="55" spans="1:8">
      <c r="A55" s="825"/>
      <c r="B55" s="826"/>
      <c r="C55" s="564"/>
      <c r="D55" s="563"/>
      <c r="E55" s="563"/>
      <c r="F55" s="827"/>
      <c r="G55" s="801"/>
      <c r="H55" s="568"/>
    </row>
    <row r="56" spans="1:8" ht="66">
      <c r="A56" s="825">
        <v>4</v>
      </c>
      <c r="B56" s="569" t="s">
        <v>433</v>
      </c>
      <c r="C56" s="567"/>
      <c r="D56" s="563"/>
      <c r="E56" s="563"/>
      <c r="F56" s="827"/>
      <c r="G56" s="801"/>
      <c r="H56" s="568"/>
    </row>
    <row r="57" spans="1:8">
      <c r="A57" s="825"/>
      <c r="B57" s="886"/>
      <c r="C57" s="567"/>
      <c r="D57" s="563"/>
      <c r="E57" s="563"/>
      <c r="F57" s="827"/>
      <c r="G57" s="801"/>
      <c r="H57" s="568"/>
    </row>
    <row r="58" spans="1:8">
      <c r="A58" s="825"/>
      <c r="B58" s="886" t="s">
        <v>423</v>
      </c>
      <c r="C58" s="567">
        <v>30</v>
      </c>
      <c r="D58" s="563" t="s">
        <v>277</v>
      </c>
      <c r="E58" s="563"/>
      <c r="F58" s="827"/>
      <c r="G58" s="801"/>
      <c r="H58" s="568">
        <f>G58*C58</f>
        <v>0</v>
      </c>
    </row>
    <row r="59" spans="1:8">
      <c r="A59" s="825"/>
      <c r="B59" s="886"/>
      <c r="C59" s="567"/>
      <c r="D59" s="563"/>
      <c r="E59" s="563"/>
      <c r="F59" s="827"/>
      <c r="G59" s="801"/>
      <c r="H59" s="568"/>
    </row>
    <row r="60" spans="1:8">
      <c r="A60" s="825"/>
      <c r="B60" s="886" t="s">
        <v>434</v>
      </c>
      <c r="C60" s="567">
        <v>35</v>
      </c>
      <c r="D60" s="563" t="s">
        <v>277</v>
      </c>
      <c r="E60" s="563"/>
      <c r="F60" s="827"/>
      <c r="G60" s="801"/>
      <c r="H60" s="568">
        <f t="shared" ref="H60:H76" si="1">G60*C60</f>
        <v>0</v>
      </c>
    </row>
    <row r="61" spans="1:8">
      <c r="A61" s="825"/>
      <c r="B61" s="886"/>
      <c r="C61" s="567"/>
      <c r="D61" s="563"/>
      <c r="E61" s="563"/>
      <c r="F61" s="827"/>
      <c r="G61" s="801"/>
      <c r="H61" s="568"/>
    </row>
    <row r="62" spans="1:8">
      <c r="A62" s="825"/>
      <c r="B62" s="886"/>
      <c r="C62" s="567"/>
      <c r="D62" s="563"/>
      <c r="E62" s="563"/>
      <c r="F62" s="827"/>
      <c r="G62" s="801"/>
      <c r="H62" s="568"/>
    </row>
    <row r="63" spans="1:8" ht="26.4">
      <c r="A63" s="825">
        <v>5</v>
      </c>
      <c r="B63" s="830" t="s">
        <v>435</v>
      </c>
      <c r="C63" s="567"/>
      <c r="D63" s="563"/>
      <c r="E63" s="563"/>
      <c r="F63" s="827"/>
      <c r="G63" s="801"/>
      <c r="H63" s="568"/>
    </row>
    <row r="64" spans="1:8">
      <c r="A64" s="825"/>
      <c r="B64" s="886"/>
      <c r="C64" s="567"/>
      <c r="D64" s="563"/>
      <c r="E64" s="563"/>
      <c r="F64" s="827"/>
      <c r="G64" s="801"/>
      <c r="H64" s="568"/>
    </row>
    <row r="65" spans="1:8">
      <c r="A65" s="825"/>
      <c r="B65" s="830" t="s">
        <v>436</v>
      </c>
      <c r="C65" s="567">
        <v>29</v>
      </c>
      <c r="D65" s="563" t="s">
        <v>140</v>
      </c>
      <c r="E65" s="563"/>
      <c r="F65" s="827"/>
      <c r="G65" s="801"/>
      <c r="H65" s="568">
        <f t="shared" si="1"/>
        <v>0</v>
      </c>
    </row>
    <row r="66" spans="1:8">
      <c r="A66" s="825"/>
      <c r="B66" s="830"/>
      <c r="C66" s="567"/>
      <c r="D66" s="563"/>
      <c r="E66" s="563"/>
      <c r="F66" s="827"/>
      <c r="G66" s="801"/>
      <c r="H66" s="568"/>
    </row>
    <row r="67" spans="1:8">
      <c r="A67" s="825"/>
      <c r="B67" s="830" t="s">
        <v>437</v>
      </c>
      <c r="C67" s="567">
        <v>5</v>
      </c>
      <c r="D67" s="563" t="s">
        <v>140</v>
      </c>
      <c r="E67" s="563"/>
      <c r="F67" s="827"/>
      <c r="G67" s="801"/>
      <c r="H67" s="568">
        <f t="shared" si="1"/>
        <v>0</v>
      </c>
    </row>
    <row r="68" spans="1:8">
      <c r="A68" s="825"/>
      <c r="B68" s="830"/>
      <c r="C68" s="567"/>
      <c r="D68" s="563"/>
      <c r="E68" s="563"/>
      <c r="F68" s="827"/>
      <c r="G68" s="801"/>
      <c r="H68" s="568"/>
    </row>
    <row r="69" spans="1:8">
      <c r="A69" s="825"/>
      <c r="B69" s="830" t="s">
        <v>438</v>
      </c>
      <c r="C69" s="567">
        <v>1</v>
      </c>
      <c r="D69" s="563" t="s">
        <v>140</v>
      </c>
      <c r="E69" s="563"/>
      <c r="F69" s="827"/>
      <c r="G69" s="801"/>
      <c r="H69" s="568">
        <f t="shared" si="1"/>
        <v>0</v>
      </c>
    </row>
    <row r="70" spans="1:8">
      <c r="A70" s="825"/>
      <c r="B70" s="830"/>
      <c r="C70" s="567"/>
      <c r="D70" s="563"/>
      <c r="E70" s="563"/>
      <c r="F70" s="827"/>
      <c r="G70" s="801"/>
      <c r="H70" s="568"/>
    </row>
    <row r="71" spans="1:8">
      <c r="A71" s="825"/>
      <c r="B71" s="830" t="s">
        <v>439</v>
      </c>
      <c r="C71" s="567">
        <v>18</v>
      </c>
      <c r="D71" s="563" t="s">
        <v>140</v>
      </c>
      <c r="E71" s="563"/>
      <c r="F71" s="827"/>
      <c r="G71" s="801"/>
      <c r="H71" s="568">
        <f t="shared" si="1"/>
        <v>0</v>
      </c>
    </row>
    <row r="72" spans="1:8">
      <c r="A72" s="825"/>
      <c r="B72" s="886"/>
      <c r="C72" s="567"/>
      <c r="D72" s="563"/>
      <c r="E72" s="563"/>
      <c r="F72" s="827"/>
      <c r="G72" s="801"/>
      <c r="H72" s="568"/>
    </row>
    <row r="73" spans="1:8">
      <c r="A73" s="825"/>
      <c r="B73" s="886"/>
      <c r="C73" s="567"/>
      <c r="D73" s="563"/>
      <c r="E73" s="563"/>
      <c r="F73" s="827"/>
      <c r="G73" s="801"/>
      <c r="H73" s="568"/>
    </row>
    <row r="74" spans="1:8" ht="39.6">
      <c r="A74" s="825">
        <v>6</v>
      </c>
      <c r="B74" s="636" t="s">
        <v>440</v>
      </c>
      <c r="C74" s="567"/>
      <c r="D74" s="563"/>
      <c r="E74" s="563"/>
      <c r="F74" s="827"/>
      <c r="G74" s="801"/>
      <c r="H74" s="568"/>
    </row>
    <row r="75" spans="1:8">
      <c r="A75" s="825"/>
      <c r="B75" s="888"/>
      <c r="C75" s="567"/>
      <c r="D75" s="563"/>
      <c r="E75" s="563"/>
      <c r="F75" s="827"/>
      <c r="G75" s="801"/>
      <c r="H75" s="568"/>
    </row>
    <row r="76" spans="1:8" ht="26.4">
      <c r="A76" s="825"/>
      <c r="B76" s="889" t="s">
        <v>441</v>
      </c>
      <c r="C76" s="567">
        <v>1</v>
      </c>
      <c r="D76" s="563" t="s">
        <v>140</v>
      </c>
      <c r="E76" s="563"/>
      <c r="F76" s="827"/>
      <c r="G76" s="801"/>
      <c r="H76" s="568">
        <f t="shared" si="1"/>
        <v>0</v>
      </c>
    </row>
    <row r="77" spans="1:8">
      <c r="A77" s="825"/>
      <c r="B77" s="569"/>
      <c r="C77" s="567"/>
      <c r="D77" s="563"/>
      <c r="E77" s="563"/>
      <c r="F77" s="827"/>
      <c r="G77" s="801"/>
      <c r="H77" s="568"/>
    </row>
    <row r="78" spans="1:8">
      <c r="A78" s="825"/>
      <c r="B78" s="571"/>
      <c r="C78" s="567"/>
      <c r="D78" s="563"/>
      <c r="E78" s="563"/>
      <c r="F78" s="827"/>
      <c r="G78" s="801"/>
      <c r="H78" s="568"/>
    </row>
    <row r="79" spans="1:8">
      <c r="A79" s="825"/>
      <c r="B79" s="569"/>
      <c r="C79" s="567"/>
      <c r="D79" s="563"/>
      <c r="E79" s="563"/>
      <c r="F79" s="827"/>
      <c r="G79" s="801"/>
      <c r="H79" s="568"/>
    </row>
    <row r="80" spans="1:8">
      <c r="A80" s="825"/>
      <c r="B80" s="569"/>
      <c r="C80" s="567"/>
      <c r="D80" s="563"/>
      <c r="E80" s="563"/>
      <c r="F80" s="827"/>
      <c r="G80" s="801"/>
      <c r="H80" s="568"/>
    </row>
    <row r="81" spans="1:8">
      <c r="A81" s="825"/>
      <c r="B81" s="852"/>
      <c r="C81" s="570"/>
      <c r="D81" s="563"/>
      <c r="E81" s="563"/>
      <c r="F81" s="827"/>
      <c r="G81" s="801"/>
      <c r="H81" s="568"/>
    </row>
    <row r="82" spans="1:8">
      <c r="A82" s="825"/>
      <c r="B82" s="852"/>
      <c r="C82" s="567"/>
      <c r="D82" s="563"/>
      <c r="E82" s="563"/>
      <c r="F82" s="827"/>
      <c r="G82" s="801"/>
      <c r="H82" s="568"/>
    </row>
    <row r="83" spans="1:8">
      <c r="A83" s="825"/>
      <c r="B83" s="852"/>
      <c r="C83" s="570"/>
      <c r="D83" s="563"/>
      <c r="E83" s="563"/>
      <c r="F83" s="827"/>
      <c r="G83" s="801"/>
      <c r="H83" s="568"/>
    </row>
    <row r="84" spans="1:8">
      <c r="A84" s="825"/>
      <c r="B84" s="852"/>
      <c r="C84" s="567"/>
      <c r="D84" s="563"/>
      <c r="E84" s="563"/>
      <c r="F84" s="827"/>
      <c r="G84" s="801"/>
      <c r="H84" s="568"/>
    </row>
    <row r="85" spans="1:8">
      <c r="A85" s="825"/>
      <c r="B85" s="852"/>
      <c r="C85" s="570"/>
      <c r="D85" s="563"/>
      <c r="E85" s="563"/>
      <c r="F85" s="827"/>
      <c r="G85" s="801"/>
      <c r="H85" s="568"/>
    </row>
    <row r="86" spans="1:8">
      <c r="A86" s="825"/>
      <c r="B86" s="852"/>
      <c r="C86" s="567"/>
      <c r="D86" s="563"/>
      <c r="E86" s="563"/>
      <c r="F86" s="827"/>
      <c r="G86" s="801"/>
      <c r="H86" s="568"/>
    </row>
    <row r="87" spans="1:8">
      <c r="A87" s="825"/>
      <c r="B87" s="852"/>
      <c r="C87" s="570"/>
      <c r="D87" s="563"/>
      <c r="E87" s="563"/>
      <c r="F87" s="827"/>
      <c r="G87" s="801"/>
      <c r="H87" s="568"/>
    </row>
    <row r="88" spans="1:8">
      <c r="A88" s="825"/>
      <c r="B88" s="852"/>
      <c r="C88" s="570"/>
      <c r="D88" s="563"/>
      <c r="E88" s="563"/>
      <c r="F88" s="827"/>
      <c r="G88" s="801"/>
      <c r="H88" s="568"/>
    </row>
    <row r="89" spans="1:8">
      <c r="A89" s="825"/>
      <c r="B89" s="852"/>
      <c r="C89" s="570"/>
      <c r="D89" s="563"/>
      <c r="E89" s="563"/>
      <c r="F89" s="827"/>
      <c r="G89" s="801"/>
      <c r="H89" s="568"/>
    </row>
    <row r="90" spans="1:8">
      <c r="A90" s="825"/>
      <c r="B90" s="852"/>
      <c r="C90" s="570"/>
      <c r="D90" s="563"/>
      <c r="E90" s="563"/>
      <c r="F90" s="827"/>
      <c r="G90" s="801"/>
      <c r="H90" s="568"/>
    </row>
    <row r="91" spans="1:8">
      <c r="A91" s="825"/>
      <c r="B91" s="852"/>
      <c r="C91" s="570"/>
      <c r="D91" s="563"/>
      <c r="E91" s="563"/>
      <c r="F91" s="827"/>
      <c r="G91" s="801"/>
      <c r="H91" s="568"/>
    </row>
    <row r="92" spans="1:8">
      <c r="A92" s="825"/>
      <c r="B92" s="852"/>
      <c r="C92" s="570"/>
      <c r="D92" s="563"/>
      <c r="E92" s="563"/>
      <c r="F92" s="827"/>
      <c r="G92" s="801"/>
      <c r="H92" s="568"/>
    </row>
    <row r="93" spans="1:8">
      <c r="A93" s="825"/>
      <c r="B93" s="852"/>
      <c r="C93" s="570"/>
      <c r="D93" s="563"/>
      <c r="E93" s="563"/>
      <c r="F93" s="827"/>
      <c r="G93" s="801"/>
      <c r="H93" s="568"/>
    </row>
    <row r="94" spans="1:8">
      <c r="A94" s="825"/>
      <c r="B94" s="852"/>
      <c r="C94" s="570"/>
      <c r="D94" s="563"/>
      <c r="E94" s="563"/>
      <c r="F94" s="827"/>
      <c r="G94" s="801"/>
      <c r="H94" s="568"/>
    </row>
    <row r="95" spans="1:8">
      <c r="A95" s="825"/>
      <c r="B95" s="852"/>
      <c r="C95" s="570"/>
      <c r="D95" s="563"/>
      <c r="E95" s="563"/>
      <c r="F95" s="827"/>
      <c r="G95" s="801"/>
      <c r="H95" s="568"/>
    </row>
    <row r="96" spans="1:8">
      <c r="A96" s="825"/>
      <c r="B96" s="852"/>
      <c r="C96" s="570"/>
      <c r="D96" s="563"/>
      <c r="E96" s="563"/>
      <c r="F96" s="827"/>
      <c r="G96" s="801"/>
      <c r="H96" s="568"/>
    </row>
    <row r="97" spans="1:8">
      <c r="A97" s="825"/>
      <c r="B97" s="852"/>
      <c r="C97" s="570"/>
      <c r="D97" s="563"/>
      <c r="E97" s="563"/>
      <c r="F97" s="827"/>
      <c r="G97" s="801"/>
      <c r="H97" s="568"/>
    </row>
    <row r="98" spans="1:8" ht="13.8" thickBot="1">
      <c r="A98" s="853"/>
      <c r="B98" s="826"/>
      <c r="C98" s="564"/>
      <c r="D98" s="563"/>
      <c r="E98" s="563"/>
      <c r="F98" s="827"/>
      <c r="G98" s="801"/>
      <c r="H98" s="568"/>
    </row>
    <row r="99" spans="1:8">
      <c r="A99" s="838"/>
      <c r="B99" s="573"/>
      <c r="C99" s="574"/>
      <c r="D99" s="795"/>
      <c r="E99" s="796"/>
      <c r="F99" s="839"/>
      <c r="G99" s="806"/>
      <c r="H99" s="597"/>
    </row>
    <row r="100" spans="1:8">
      <c r="A100" s="840"/>
      <c r="B100" s="841" t="s">
        <v>270</v>
      </c>
      <c r="C100" s="842"/>
      <c r="D100" s="797"/>
      <c r="E100" s="575">
        <f>SUM(E55:E98)</f>
        <v>0</v>
      </c>
      <c r="F100" s="843">
        <f>SUM(F55:F98)</f>
        <v>0</v>
      </c>
      <c r="G100" s="807"/>
      <c r="H100" s="575">
        <f>SUM(H55:H98)</f>
        <v>0</v>
      </c>
    </row>
    <row r="101" spans="1:8">
      <c r="A101" s="844"/>
      <c r="B101" s="576"/>
      <c r="C101" s="577"/>
      <c r="D101" s="798"/>
      <c r="E101" s="799"/>
      <c r="F101" s="845"/>
      <c r="G101" s="808"/>
      <c r="H101" s="598"/>
    </row>
    <row r="102" spans="1:8" ht="17.399999999999999">
      <c r="A102" s="846"/>
      <c r="B102" s="578"/>
      <c r="C102" s="552"/>
      <c r="D102" s="551"/>
      <c r="E102" s="551"/>
      <c r="F102" s="847"/>
      <c r="G102" s="553"/>
      <c r="H102" s="554"/>
    </row>
    <row r="103" spans="1:8">
      <c r="A103" s="848"/>
      <c r="B103" s="849"/>
      <c r="C103" s="817"/>
      <c r="D103" s="816"/>
      <c r="E103" s="816"/>
      <c r="F103" s="818"/>
      <c r="G103" s="556"/>
      <c r="H103" s="557"/>
    </row>
    <row r="104" spans="1:8">
      <c r="A104" s="848"/>
      <c r="B104" s="849"/>
      <c r="C104" s="817"/>
      <c r="D104" s="816"/>
      <c r="E104" s="816"/>
      <c r="F104" s="818"/>
      <c r="G104" s="556"/>
      <c r="H104" s="557"/>
    </row>
    <row r="105" spans="1:8">
      <c r="A105" s="840"/>
      <c r="B105" s="850"/>
      <c r="C105" s="821"/>
      <c r="D105" s="820"/>
      <c r="E105" s="820"/>
      <c r="F105" s="822"/>
      <c r="G105" s="558"/>
      <c r="H105" s="582"/>
    </row>
    <row r="106" spans="1:8" ht="27" thickBot="1">
      <c r="A106" s="851" t="s">
        <v>266</v>
      </c>
      <c r="B106" s="559"/>
      <c r="C106" s="561" t="s">
        <v>267</v>
      </c>
      <c r="D106" s="560" t="s">
        <v>257</v>
      </c>
      <c r="E106" s="794" t="s">
        <v>539</v>
      </c>
      <c r="F106" s="824" t="s">
        <v>540</v>
      </c>
      <c r="G106" s="800" t="s">
        <v>268</v>
      </c>
      <c r="H106" s="562" t="s">
        <v>258</v>
      </c>
    </row>
    <row r="107" spans="1:8">
      <c r="A107" s="825"/>
      <c r="B107" s="826"/>
      <c r="C107" s="564"/>
      <c r="D107" s="563"/>
      <c r="E107" s="563"/>
      <c r="F107" s="827"/>
      <c r="G107" s="801"/>
      <c r="H107" s="568"/>
    </row>
    <row r="108" spans="1:8">
      <c r="A108" s="825"/>
      <c r="B108" s="884" t="s">
        <v>442</v>
      </c>
      <c r="C108" s="567"/>
      <c r="D108" s="563"/>
      <c r="E108" s="563"/>
      <c r="F108" s="827"/>
      <c r="G108" s="801"/>
      <c r="H108" s="568"/>
    </row>
    <row r="109" spans="1:8">
      <c r="A109" s="825"/>
      <c r="B109" s="885"/>
      <c r="C109" s="567"/>
      <c r="D109" s="563"/>
      <c r="E109" s="563"/>
      <c r="F109" s="827"/>
      <c r="G109" s="801"/>
      <c r="H109" s="568"/>
    </row>
    <row r="110" spans="1:8" ht="52.8">
      <c r="A110" s="825"/>
      <c r="B110" s="569" t="s">
        <v>443</v>
      </c>
      <c r="C110" s="567"/>
      <c r="D110" s="563"/>
      <c r="E110" s="563"/>
      <c r="F110" s="827"/>
      <c r="G110" s="801"/>
      <c r="H110" s="568"/>
    </row>
    <row r="111" spans="1:8">
      <c r="A111" s="825"/>
      <c r="B111" s="830"/>
      <c r="C111" s="567"/>
      <c r="D111" s="563"/>
      <c r="E111" s="563"/>
      <c r="F111" s="827"/>
      <c r="G111" s="801"/>
      <c r="H111" s="568"/>
    </row>
    <row r="112" spans="1:8">
      <c r="A112" s="825">
        <v>7</v>
      </c>
      <c r="B112" s="886" t="s">
        <v>422</v>
      </c>
      <c r="C112" s="567"/>
      <c r="D112" s="563"/>
      <c r="E112" s="563"/>
      <c r="F112" s="827"/>
      <c r="G112" s="801"/>
      <c r="H112" s="568"/>
    </row>
    <row r="113" spans="1:8">
      <c r="A113" s="825"/>
      <c r="B113" s="886"/>
      <c r="C113" s="567"/>
      <c r="D113" s="563"/>
      <c r="E113" s="563"/>
      <c r="F113" s="827"/>
      <c r="G113" s="801"/>
      <c r="H113" s="568"/>
    </row>
    <row r="114" spans="1:8">
      <c r="A114" s="825"/>
      <c r="B114" s="886" t="s">
        <v>444</v>
      </c>
      <c r="C114" s="567">
        <v>1</v>
      </c>
      <c r="D114" s="563" t="s">
        <v>277</v>
      </c>
      <c r="E114" s="563"/>
      <c r="F114" s="827"/>
      <c r="G114" s="801"/>
      <c r="H114" s="568">
        <f>G114*C114</f>
        <v>0</v>
      </c>
    </row>
    <row r="115" spans="1:8">
      <c r="A115" s="825"/>
      <c r="B115" s="890"/>
      <c r="C115" s="567"/>
      <c r="D115" s="563"/>
      <c r="E115" s="563"/>
      <c r="F115" s="827"/>
      <c r="G115" s="801"/>
      <c r="H115" s="568"/>
    </row>
    <row r="116" spans="1:8">
      <c r="A116" s="825"/>
      <c r="B116" s="829"/>
      <c r="C116" s="567"/>
      <c r="D116" s="563"/>
      <c r="E116" s="563"/>
      <c r="F116" s="827"/>
      <c r="G116" s="801"/>
      <c r="H116" s="568"/>
    </row>
    <row r="117" spans="1:8">
      <c r="A117" s="825">
        <v>8</v>
      </c>
      <c r="B117" s="886" t="s">
        <v>428</v>
      </c>
      <c r="C117" s="567"/>
      <c r="D117" s="563"/>
      <c r="E117" s="563"/>
      <c r="F117" s="827"/>
      <c r="G117" s="801"/>
      <c r="H117" s="568"/>
    </row>
    <row r="118" spans="1:8">
      <c r="A118" s="825"/>
      <c r="B118" s="886"/>
      <c r="C118" s="567"/>
      <c r="D118" s="563"/>
      <c r="E118" s="563"/>
      <c r="F118" s="827"/>
      <c r="G118" s="801"/>
      <c r="H118" s="568"/>
    </row>
    <row r="119" spans="1:8">
      <c r="A119" s="825"/>
      <c r="B119" s="886" t="s">
        <v>444</v>
      </c>
      <c r="C119" s="567">
        <v>30</v>
      </c>
      <c r="D119" s="563" t="s">
        <v>277</v>
      </c>
      <c r="E119" s="563"/>
      <c r="F119" s="827"/>
      <c r="G119" s="801"/>
      <c r="H119" s="568">
        <f t="shared" ref="H119:H143" si="2">G119*C119</f>
        <v>0</v>
      </c>
    </row>
    <row r="120" spans="1:8">
      <c r="A120" s="825"/>
      <c r="B120" s="886"/>
      <c r="C120" s="567"/>
      <c r="D120" s="563"/>
      <c r="E120" s="563"/>
      <c r="F120" s="827"/>
      <c r="G120" s="801"/>
      <c r="H120" s="568"/>
    </row>
    <row r="121" spans="1:8" ht="13.8">
      <c r="A121" s="825"/>
      <c r="B121" s="887"/>
      <c r="C121" s="567"/>
      <c r="D121" s="563"/>
      <c r="E121" s="563"/>
      <c r="F121" s="827"/>
      <c r="G121" s="801"/>
      <c r="H121" s="568"/>
    </row>
    <row r="122" spans="1:8">
      <c r="A122" s="825">
        <v>9</v>
      </c>
      <c r="B122" s="886" t="s">
        <v>432</v>
      </c>
      <c r="C122" s="567"/>
      <c r="D122" s="563"/>
      <c r="E122" s="563"/>
      <c r="F122" s="827"/>
      <c r="G122" s="801"/>
      <c r="H122" s="568"/>
    </row>
    <row r="123" spans="1:8">
      <c r="A123" s="825"/>
      <c r="B123" s="886"/>
      <c r="C123" s="567"/>
      <c r="D123" s="563"/>
      <c r="E123" s="563"/>
      <c r="F123" s="827"/>
      <c r="G123" s="801"/>
      <c r="H123" s="568"/>
    </row>
    <row r="124" spans="1:8">
      <c r="A124" s="825"/>
      <c r="B124" s="886" t="s">
        <v>444</v>
      </c>
      <c r="C124" s="567">
        <v>25</v>
      </c>
      <c r="D124" s="563" t="s">
        <v>277</v>
      </c>
      <c r="E124" s="563"/>
      <c r="F124" s="827"/>
      <c r="G124" s="801"/>
      <c r="H124" s="568">
        <f t="shared" si="2"/>
        <v>0</v>
      </c>
    </row>
    <row r="125" spans="1:8" ht="13.8">
      <c r="A125" s="825"/>
      <c r="B125" s="887"/>
      <c r="C125" s="567"/>
      <c r="D125" s="563"/>
      <c r="E125" s="563"/>
      <c r="F125" s="827"/>
      <c r="G125" s="801"/>
      <c r="H125" s="568"/>
    </row>
    <row r="126" spans="1:8">
      <c r="A126" s="825"/>
      <c r="B126" s="569"/>
      <c r="C126" s="567"/>
      <c r="D126" s="563"/>
      <c r="E126" s="563"/>
      <c r="F126" s="827"/>
      <c r="G126" s="801"/>
      <c r="H126" s="568"/>
    </row>
    <row r="127" spans="1:8">
      <c r="A127" s="825"/>
      <c r="B127" s="884" t="s">
        <v>445</v>
      </c>
      <c r="C127" s="567"/>
      <c r="D127" s="563"/>
      <c r="E127" s="563"/>
      <c r="F127" s="827"/>
      <c r="G127" s="801"/>
      <c r="H127" s="568"/>
    </row>
    <row r="128" spans="1:8">
      <c r="A128" s="825"/>
      <c r="B128" s="885"/>
      <c r="C128" s="567"/>
      <c r="D128" s="563"/>
      <c r="E128" s="563"/>
      <c r="F128" s="827"/>
      <c r="G128" s="801"/>
      <c r="H128" s="568"/>
    </row>
    <row r="129" spans="1:8" ht="39.6">
      <c r="A129" s="825">
        <v>10</v>
      </c>
      <c r="B129" s="826" t="s">
        <v>446</v>
      </c>
      <c r="C129" s="567"/>
      <c r="D129" s="563"/>
      <c r="E129" s="563"/>
      <c r="F129" s="827"/>
      <c r="G129" s="801"/>
      <c r="H129" s="568"/>
    </row>
    <row r="130" spans="1:8">
      <c r="A130" s="825"/>
      <c r="B130" s="829"/>
      <c r="C130" s="567"/>
      <c r="D130" s="563"/>
      <c r="E130" s="563"/>
      <c r="F130" s="827"/>
      <c r="G130" s="801"/>
      <c r="H130" s="568"/>
    </row>
    <row r="131" spans="1:8">
      <c r="A131" s="825"/>
      <c r="B131" s="886" t="s">
        <v>425</v>
      </c>
      <c r="C131" s="567">
        <v>20</v>
      </c>
      <c r="D131" s="563" t="s">
        <v>277</v>
      </c>
      <c r="E131" s="563"/>
      <c r="F131" s="827"/>
      <c r="G131" s="801"/>
      <c r="H131" s="568">
        <f t="shared" si="2"/>
        <v>0</v>
      </c>
    </row>
    <row r="132" spans="1:8">
      <c r="A132" s="825"/>
      <c r="B132" s="886"/>
      <c r="C132" s="567"/>
      <c r="D132" s="563"/>
      <c r="E132" s="563"/>
      <c r="F132" s="827"/>
      <c r="G132" s="801"/>
      <c r="H132" s="568"/>
    </row>
    <row r="133" spans="1:8">
      <c r="A133" s="825"/>
      <c r="B133" s="886"/>
      <c r="C133" s="567"/>
      <c r="D133" s="563"/>
      <c r="E133" s="563"/>
      <c r="F133" s="827"/>
      <c r="G133" s="801"/>
      <c r="H133" s="568"/>
    </row>
    <row r="134" spans="1:8">
      <c r="A134" s="831" t="s">
        <v>485</v>
      </c>
      <c r="B134" s="891" t="s">
        <v>447</v>
      </c>
      <c r="C134" s="567"/>
      <c r="D134" s="563"/>
      <c r="E134" s="563"/>
      <c r="F134" s="827"/>
      <c r="G134" s="801"/>
      <c r="H134" s="568"/>
    </row>
    <row r="135" spans="1:8">
      <c r="A135" s="825"/>
      <c r="B135" s="886"/>
      <c r="C135" s="567"/>
      <c r="D135" s="563"/>
      <c r="E135" s="563"/>
      <c r="F135" s="827"/>
      <c r="G135" s="801"/>
      <c r="H135" s="568"/>
    </row>
    <row r="136" spans="1:8" ht="66">
      <c r="A136" s="831" t="s">
        <v>493</v>
      </c>
      <c r="B136" s="584" t="s">
        <v>448</v>
      </c>
      <c r="C136" s="586"/>
      <c r="D136" s="585"/>
      <c r="E136" s="587"/>
      <c r="F136" s="856"/>
      <c r="G136" s="802"/>
      <c r="H136" s="588"/>
    </row>
    <row r="137" spans="1:8">
      <c r="A137" s="831"/>
      <c r="B137" s="892"/>
      <c r="C137" s="586"/>
      <c r="D137" s="585"/>
      <c r="E137" s="587"/>
      <c r="F137" s="856"/>
      <c r="G137" s="802"/>
      <c r="H137" s="588"/>
    </row>
    <row r="138" spans="1:8">
      <c r="A138" s="831" t="s">
        <v>275</v>
      </c>
      <c r="B138" s="892" t="s">
        <v>449</v>
      </c>
      <c r="C138" s="586">
        <v>1</v>
      </c>
      <c r="D138" s="585" t="s">
        <v>140</v>
      </c>
      <c r="E138" s="587">
        <f>Elec_Est!AM301</f>
        <v>11.06</v>
      </c>
      <c r="F138" s="587">
        <f>Elec_Est!AN301</f>
        <v>4.4400000000000004</v>
      </c>
      <c r="G138" s="587">
        <f>Elec_Est!E301</f>
        <v>132.97999999999999</v>
      </c>
      <c r="H138" s="588">
        <f t="shared" si="2"/>
        <v>132.97999999999999</v>
      </c>
    </row>
    <row r="139" spans="1:8">
      <c r="A139" s="825"/>
      <c r="B139" s="886"/>
      <c r="C139" s="567"/>
      <c r="D139" s="563"/>
      <c r="E139" s="565"/>
      <c r="F139" s="893"/>
      <c r="G139" s="801"/>
      <c r="H139" s="568"/>
    </row>
    <row r="140" spans="1:8">
      <c r="A140" s="825"/>
      <c r="B140" s="886"/>
      <c r="C140" s="567"/>
      <c r="D140" s="563"/>
      <c r="E140" s="565"/>
      <c r="F140" s="893"/>
      <c r="G140" s="801"/>
      <c r="H140" s="568"/>
    </row>
    <row r="141" spans="1:8" ht="52.8">
      <c r="A141" s="831" t="s">
        <v>492</v>
      </c>
      <c r="B141" s="584" t="s">
        <v>450</v>
      </c>
      <c r="C141" s="638"/>
      <c r="D141" s="637"/>
      <c r="E141" s="639"/>
      <c r="F141" s="894"/>
      <c r="G141" s="880"/>
      <c r="H141" s="588"/>
    </row>
    <row r="142" spans="1:8">
      <c r="A142" s="868"/>
      <c r="B142" s="895"/>
      <c r="C142" s="638"/>
      <c r="D142" s="637"/>
      <c r="E142" s="587"/>
      <c r="F142" s="833"/>
      <c r="G142" s="802"/>
      <c r="H142" s="588"/>
    </row>
    <row r="143" spans="1:8">
      <c r="A143" s="831" t="s">
        <v>275</v>
      </c>
      <c r="B143" s="896" t="s">
        <v>451</v>
      </c>
      <c r="C143" s="586">
        <v>1</v>
      </c>
      <c r="D143" s="585" t="s">
        <v>140</v>
      </c>
      <c r="E143" s="587">
        <f>Elec_Est!AM325</f>
        <v>3.3</v>
      </c>
      <c r="F143" s="833">
        <f>Elec_Est!AN325</f>
        <v>0.59</v>
      </c>
      <c r="G143" s="802">
        <f>Elec_Est!E325</f>
        <v>19.5</v>
      </c>
      <c r="H143" s="588">
        <f t="shared" si="2"/>
        <v>19.5</v>
      </c>
    </row>
    <row r="144" spans="1:8">
      <c r="A144" s="866"/>
      <c r="B144" s="867"/>
      <c r="C144" s="604"/>
      <c r="D144" s="603"/>
      <c r="E144" s="603"/>
      <c r="F144" s="855"/>
      <c r="G144" s="801"/>
      <c r="H144" s="568"/>
    </row>
    <row r="145" spans="1:8">
      <c r="A145" s="825"/>
      <c r="B145" s="852"/>
      <c r="C145" s="570"/>
      <c r="D145" s="563"/>
      <c r="E145" s="563"/>
      <c r="F145" s="827"/>
      <c r="G145" s="801"/>
      <c r="H145" s="568"/>
    </row>
    <row r="146" spans="1:8" ht="13.8" thickBot="1">
      <c r="A146" s="853"/>
      <c r="B146" s="826"/>
      <c r="C146" s="564"/>
      <c r="D146" s="563"/>
      <c r="E146" s="563"/>
      <c r="F146" s="827"/>
      <c r="G146" s="801"/>
      <c r="H146" s="568"/>
    </row>
    <row r="147" spans="1:8">
      <c r="A147" s="838"/>
      <c r="B147" s="573"/>
      <c r="C147" s="574"/>
      <c r="D147" s="795"/>
      <c r="E147" s="796"/>
      <c r="F147" s="839"/>
      <c r="G147" s="881"/>
      <c r="H147" s="597"/>
    </row>
    <row r="148" spans="1:8">
      <c r="A148" s="840"/>
      <c r="B148" s="841" t="s">
        <v>270</v>
      </c>
      <c r="C148" s="842"/>
      <c r="D148" s="797"/>
      <c r="E148" s="575">
        <f>SUM(E107:E146)</f>
        <v>14.36</v>
      </c>
      <c r="F148" s="843">
        <f>SUM(F107:F146)</f>
        <v>5.03</v>
      </c>
      <c r="G148" s="803"/>
      <c r="H148" s="575">
        <f>SUM(H107:H146)</f>
        <v>152.47999999999999</v>
      </c>
    </row>
    <row r="149" spans="1:8">
      <c r="A149" s="844"/>
      <c r="B149" s="576"/>
      <c r="C149" s="577"/>
      <c r="D149" s="798"/>
      <c r="E149" s="799"/>
      <c r="F149" s="845"/>
      <c r="G149" s="882"/>
      <c r="H149" s="598"/>
    </row>
    <row r="150" spans="1:8" ht="17.399999999999999">
      <c r="A150" s="846"/>
      <c r="B150" s="578"/>
      <c r="C150" s="552"/>
      <c r="D150" s="551"/>
      <c r="E150" s="551"/>
      <c r="F150" s="847"/>
      <c r="G150" s="688"/>
      <c r="H150" s="554"/>
    </row>
    <row r="151" spans="1:8">
      <c r="A151" s="848"/>
      <c r="B151" s="849"/>
      <c r="C151" s="817"/>
      <c r="D151" s="816"/>
      <c r="E151" s="816"/>
      <c r="F151" s="818"/>
      <c r="G151" s="689"/>
      <c r="H151" s="557"/>
    </row>
    <row r="152" spans="1:8">
      <c r="A152" s="848"/>
      <c r="B152" s="849"/>
      <c r="C152" s="817"/>
      <c r="D152" s="816"/>
      <c r="E152" s="816"/>
      <c r="F152" s="818"/>
      <c r="G152" s="689"/>
      <c r="H152" s="557"/>
    </row>
    <row r="153" spans="1:8">
      <c r="A153" s="840"/>
      <c r="B153" s="850"/>
      <c r="C153" s="821"/>
      <c r="D153" s="820"/>
      <c r="E153" s="820"/>
      <c r="F153" s="822"/>
      <c r="G153" s="689"/>
      <c r="H153" s="582"/>
    </row>
    <row r="154" spans="1:8" ht="27" thickBot="1">
      <c r="A154" s="851" t="s">
        <v>266</v>
      </c>
      <c r="B154" s="559"/>
      <c r="C154" s="561" t="s">
        <v>267</v>
      </c>
      <c r="D154" s="560" t="s">
        <v>257</v>
      </c>
      <c r="E154" s="794" t="s">
        <v>539</v>
      </c>
      <c r="F154" s="824" t="s">
        <v>540</v>
      </c>
      <c r="G154" s="883" t="s">
        <v>268</v>
      </c>
      <c r="H154" s="562" t="s">
        <v>258</v>
      </c>
    </row>
    <row r="155" spans="1:8">
      <c r="A155" s="825"/>
      <c r="B155" s="826"/>
      <c r="C155" s="564"/>
      <c r="D155" s="563"/>
      <c r="E155" s="563"/>
      <c r="F155" s="827"/>
      <c r="G155" s="801"/>
      <c r="H155" s="568"/>
    </row>
    <row r="156" spans="1:8" ht="52.8">
      <c r="A156" s="831" t="s">
        <v>494</v>
      </c>
      <c r="B156" s="607" t="s">
        <v>452</v>
      </c>
      <c r="C156" s="586"/>
      <c r="D156" s="585"/>
      <c r="E156" s="585"/>
      <c r="F156" s="856"/>
      <c r="G156" s="802"/>
      <c r="H156" s="588"/>
    </row>
    <row r="157" spans="1:8">
      <c r="A157" s="831"/>
      <c r="B157" s="897"/>
      <c r="C157" s="586"/>
      <c r="D157" s="585"/>
      <c r="E157" s="585"/>
      <c r="F157" s="856"/>
      <c r="G157" s="802"/>
      <c r="H157" s="588"/>
    </row>
    <row r="158" spans="1:8">
      <c r="A158" s="831" t="s">
        <v>275</v>
      </c>
      <c r="B158" s="896" t="s">
        <v>453</v>
      </c>
      <c r="C158" s="586">
        <v>1</v>
      </c>
      <c r="D158" s="585" t="s">
        <v>140</v>
      </c>
      <c r="E158" s="587">
        <f>Elec_Est!AM336</f>
        <v>2.2000000000000002</v>
      </c>
      <c r="F158" s="833">
        <f>Elec_Est!AN336</f>
        <v>0.56000000000000005</v>
      </c>
      <c r="G158" s="802">
        <f>Elec_Est!E336</f>
        <v>17.579999999999998</v>
      </c>
      <c r="H158" s="588">
        <f>G158*C158</f>
        <v>17.579999999999998</v>
      </c>
    </row>
    <row r="159" spans="1:8" ht="13.8">
      <c r="A159" s="831"/>
      <c r="B159" s="898"/>
      <c r="C159" s="586"/>
      <c r="D159" s="585"/>
      <c r="E159" s="587"/>
      <c r="F159" s="833"/>
      <c r="G159" s="802"/>
      <c r="H159" s="588"/>
    </row>
    <row r="160" spans="1:8">
      <c r="A160" s="831" t="s">
        <v>275</v>
      </c>
      <c r="B160" s="896" t="s">
        <v>454</v>
      </c>
      <c r="C160" s="586">
        <v>1</v>
      </c>
      <c r="D160" s="585" t="s">
        <v>140</v>
      </c>
      <c r="E160" s="587">
        <f>Elec_Est!AM343</f>
        <v>2.2000000000000002</v>
      </c>
      <c r="F160" s="833">
        <f>Elec_Est!AN343</f>
        <v>0.56000000000000005</v>
      </c>
      <c r="G160" s="802">
        <f>Elec_Est!E343</f>
        <v>17.579999999999998</v>
      </c>
      <c r="H160" s="588">
        <f t="shared" ref="H160:H172" si="3">G160*C160</f>
        <v>17.579999999999998</v>
      </c>
    </row>
    <row r="161" spans="1:8">
      <c r="A161" s="825"/>
      <c r="B161" s="569"/>
      <c r="C161" s="567"/>
      <c r="D161" s="563"/>
      <c r="E161" s="563"/>
      <c r="F161" s="827"/>
      <c r="G161" s="801"/>
      <c r="H161" s="568"/>
    </row>
    <row r="162" spans="1:8">
      <c r="A162" s="825"/>
      <c r="B162" s="569"/>
      <c r="C162" s="567"/>
      <c r="D162" s="563"/>
      <c r="E162" s="563"/>
      <c r="F162" s="827"/>
      <c r="G162" s="801"/>
      <c r="H162" s="568"/>
    </row>
    <row r="163" spans="1:8">
      <c r="A163" s="825">
        <v>14</v>
      </c>
      <c r="B163" s="583" t="s">
        <v>455</v>
      </c>
      <c r="C163" s="567"/>
      <c r="D163" s="563"/>
      <c r="E163" s="563"/>
      <c r="F163" s="827"/>
      <c r="G163" s="801"/>
      <c r="H163" s="568"/>
    </row>
    <row r="164" spans="1:8" ht="13.8">
      <c r="A164" s="825"/>
      <c r="B164" s="887"/>
      <c r="C164" s="567"/>
      <c r="D164" s="563"/>
      <c r="E164" s="563"/>
      <c r="F164" s="827"/>
      <c r="G164" s="801"/>
      <c r="H164" s="568"/>
    </row>
    <row r="165" spans="1:8">
      <c r="A165" s="825"/>
      <c r="B165" s="583" t="s">
        <v>456</v>
      </c>
      <c r="C165" s="567">
        <v>1</v>
      </c>
      <c r="D165" s="563" t="s">
        <v>140</v>
      </c>
      <c r="E165" s="563"/>
      <c r="F165" s="827"/>
      <c r="G165" s="801"/>
      <c r="H165" s="568">
        <f t="shared" si="3"/>
        <v>0</v>
      </c>
    </row>
    <row r="166" spans="1:8" ht="13.8">
      <c r="A166" s="825"/>
      <c r="B166" s="887"/>
      <c r="C166" s="567"/>
      <c r="D166" s="563"/>
      <c r="E166" s="563"/>
      <c r="F166" s="827"/>
      <c r="G166" s="801"/>
      <c r="H166" s="568"/>
    </row>
    <row r="167" spans="1:8">
      <c r="A167" s="825"/>
      <c r="B167" s="583" t="s">
        <v>457</v>
      </c>
      <c r="C167" s="567">
        <v>1</v>
      </c>
      <c r="D167" s="563" t="s">
        <v>140</v>
      </c>
      <c r="E167" s="563"/>
      <c r="F167" s="827"/>
      <c r="G167" s="801"/>
      <c r="H167" s="568">
        <f t="shared" si="3"/>
        <v>0</v>
      </c>
    </row>
    <row r="168" spans="1:8">
      <c r="A168" s="825"/>
      <c r="B168" s="899"/>
      <c r="C168" s="567"/>
      <c r="D168" s="563"/>
      <c r="E168" s="563"/>
      <c r="F168" s="827"/>
      <c r="G168" s="801"/>
      <c r="H168" s="568"/>
    </row>
    <row r="169" spans="1:8">
      <c r="A169" s="825"/>
      <c r="B169" s="899"/>
      <c r="C169" s="567"/>
      <c r="D169" s="563"/>
      <c r="E169" s="563"/>
      <c r="F169" s="827"/>
      <c r="G169" s="801"/>
      <c r="H169" s="568"/>
    </row>
    <row r="170" spans="1:8">
      <c r="A170" s="825"/>
      <c r="B170" s="900" t="s">
        <v>414</v>
      </c>
      <c r="C170" s="567"/>
      <c r="D170" s="563"/>
      <c r="E170" s="563"/>
      <c r="F170" s="827"/>
      <c r="G170" s="801"/>
      <c r="H170" s="568"/>
    </row>
    <row r="171" spans="1:8" ht="13.8">
      <c r="A171" s="825"/>
      <c r="B171" s="887"/>
      <c r="C171" s="567"/>
      <c r="D171" s="563"/>
      <c r="E171" s="563"/>
      <c r="F171" s="827"/>
      <c r="G171" s="801"/>
      <c r="H171" s="568"/>
    </row>
    <row r="172" spans="1:8" ht="52.8">
      <c r="A172" s="825">
        <v>15</v>
      </c>
      <c r="B172" s="830" t="s">
        <v>458</v>
      </c>
      <c r="C172" s="567">
        <v>1</v>
      </c>
      <c r="D172" s="563" t="s">
        <v>140</v>
      </c>
      <c r="E172" s="563"/>
      <c r="F172" s="827"/>
      <c r="G172" s="801"/>
      <c r="H172" s="568">
        <f t="shared" si="3"/>
        <v>0</v>
      </c>
    </row>
    <row r="173" spans="1:8">
      <c r="A173" s="825"/>
      <c r="B173" s="830"/>
      <c r="C173" s="567"/>
      <c r="D173" s="563"/>
      <c r="E173" s="563"/>
      <c r="F173" s="827"/>
      <c r="G173" s="801"/>
      <c r="H173" s="568"/>
    </row>
    <row r="174" spans="1:8">
      <c r="A174" s="825"/>
      <c r="B174" s="830"/>
      <c r="C174" s="567"/>
      <c r="D174" s="563"/>
      <c r="E174" s="563"/>
      <c r="F174" s="827"/>
      <c r="G174" s="801"/>
      <c r="H174" s="568"/>
    </row>
    <row r="175" spans="1:8">
      <c r="A175" s="825"/>
      <c r="B175" s="830"/>
      <c r="C175" s="567"/>
      <c r="D175" s="563"/>
      <c r="E175" s="563"/>
      <c r="F175" s="827"/>
      <c r="G175" s="801"/>
      <c r="H175" s="568"/>
    </row>
    <row r="176" spans="1:8">
      <c r="A176" s="825"/>
      <c r="B176" s="830"/>
      <c r="C176" s="567"/>
      <c r="D176" s="563"/>
      <c r="E176" s="563"/>
      <c r="F176" s="827"/>
      <c r="G176" s="801"/>
      <c r="H176" s="568"/>
    </row>
    <row r="177" spans="1:8">
      <c r="A177" s="825"/>
      <c r="B177" s="830"/>
      <c r="C177" s="567"/>
      <c r="D177" s="563"/>
      <c r="E177" s="563"/>
      <c r="F177" s="827"/>
      <c r="G177" s="801"/>
      <c r="H177" s="568"/>
    </row>
    <row r="178" spans="1:8">
      <c r="A178" s="825"/>
      <c r="B178" s="830"/>
      <c r="C178" s="567"/>
      <c r="D178" s="563"/>
      <c r="E178" s="563"/>
      <c r="F178" s="827"/>
      <c r="G178" s="801"/>
      <c r="H178" s="568"/>
    </row>
    <row r="179" spans="1:8">
      <c r="A179" s="825"/>
      <c r="B179" s="830"/>
      <c r="C179" s="567"/>
      <c r="D179" s="563"/>
      <c r="E179" s="563"/>
      <c r="F179" s="827"/>
      <c r="G179" s="801"/>
      <c r="H179" s="568"/>
    </row>
    <row r="180" spans="1:8">
      <c r="A180" s="825"/>
      <c r="B180" s="569"/>
      <c r="C180" s="567"/>
      <c r="D180" s="563"/>
      <c r="E180" s="563"/>
      <c r="F180" s="827"/>
      <c r="G180" s="801"/>
      <c r="H180" s="568"/>
    </row>
    <row r="181" spans="1:8">
      <c r="A181" s="825"/>
      <c r="B181" s="852"/>
      <c r="C181" s="570"/>
      <c r="D181" s="563"/>
      <c r="E181" s="563"/>
      <c r="F181" s="827"/>
      <c r="G181" s="801"/>
      <c r="H181" s="568"/>
    </row>
    <row r="182" spans="1:8">
      <c r="A182" s="825"/>
      <c r="B182" s="852"/>
      <c r="C182" s="567"/>
      <c r="D182" s="563"/>
      <c r="E182" s="563"/>
      <c r="F182" s="827"/>
      <c r="G182" s="801"/>
      <c r="H182" s="568"/>
    </row>
    <row r="183" spans="1:8">
      <c r="A183" s="825"/>
      <c r="B183" s="852"/>
      <c r="C183" s="570"/>
      <c r="D183" s="563"/>
      <c r="E183" s="563"/>
      <c r="F183" s="827"/>
      <c r="G183" s="801"/>
      <c r="H183" s="568"/>
    </row>
    <row r="184" spans="1:8">
      <c r="A184" s="825"/>
      <c r="B184" s="852"/>
      <c r="C184" s="567"/>
      <c r="D184" s="563"/>
      <c r="E184" s="563"/>
      <c r="F184" s="827"/>
      <c r="G184" s="801"/>
      <c r="H184" s="568"/>
    </row>
    <row r="185" spans="1:8">
      <c r="A185" s="825"/>
      <c r="B185" s="852"/>
      <c r="C185" s="570"/>
      <c r="D185" s="563"/>
      <c r="E185" s="563"/>
      <c r="F185" s="827"/>
      <c r="G185" s="801"/>
      <c r="H185" s="568"/>
    </row>
    <row r="186" spans="1:8">
      <c r="A186" s="825"/>
      <c r="B186" s="852"/>
      <c r="C186" s="567"/>
      <c r="D186" s="563"/>
      <c r="E186" s="563"/>
      <c r="F186" s="827"/>
      <c r="G186" s="801"/>
      <c r="H186" s="568"/>
    </row>
    <row r="187" spans="1:8">
      <c r="A187" s="825"/>
      <c r="B187" s="852"/>
      <c r="C187" s="570"/>
      <c r="D187" s="563"/>
      <c r="E187" s="563"/>
      <c r="F187" s="827"/>
      <c r="G187" s="801"/>
      <c r="H187" s="568"/>
    </row>
    <row r="188" spans="1:8">
      <c r="A188" s="825"/>
      <c r="B188" s="852"/>
      <c r="C188" s="567"/>
      <c r="D188" s="563"/>
      <c r="E188" s="563"/>
      <c r="F188" s="827"/>
      <c r="G188" s="801"/>
      <c r="H188" s="568"/>
    </row>
    <row r="189" spans="1:8">
      <c r="A189" s="825"/>
      <c r="B189" s="852"/>
      <c r="C189" s="570"/>
      <c r="D189" s="563"/>
      <c r="E189" s="563"/>
      <c r="F189" s="827"/>
      <c r="G189" s="801"/>
      <c r="H189" s="568"/>
    </row>
    <row r="190" spans="1:8">
      <c r="A190" s="825"/>
      <c r="B190" s="852"/>
      <c r="C190" s="570"/>
      <c r="D190" s="563"/>
      <c r="E190" s="563"/>
      <c r="F190" s="827"/>
      <c r="G190" s="801"/>
      <c r="H190" s="568"/>
    </row>
    <row r="191" spans="1:8">
      <c r="A191" s="825"/>
      <c r="B191" s="852"/>
      <c r="C191" s="570"/>
      <c r="D191" s="563"/>
      <c r="E191" s="563"/>
      <c r="F191" s="827"/>
      <c r="G191" s="801"/>
      <c r="H191" s="568"/>
    </row>
    <row r="192" spans="1:8">
      <c r="A192" s="825"/>
      <c r="B192" s="852"/>
      <c r="C192" s="570"/>
      <c r="D192" s="563"/>
      <c r="E192" s="563"/>
      <c r="F192" s="827"/>
      <c r="G192" s="801"/>
      <c r="H192" s="568"/>
    </row>
    <row r="193" spans="1:8">
      <c r="A193" s="825"/>
      <c r="B193" s="852"/>
      <c r="C193" s="570"/>
      <c r="D193" s="563"/>
      <c r="E193" s="563"/>
      <c r="F193" s="827"/>
      <c r="G193" s="801"/>
      <c r="H193" s="568"/>
    </row>
    <row r="194" spans="1:8">
      <c r="A194" s="825"/>
      <c r="B194" s="852"/>
      <c r="C194" s="570"/>
      <c r="D194" s="563"/>
      <c r="E194" s="563"/>
      <c r="F194" s="827"/>
      <c r="G194" s="801"/>
      <c r="H194" s="568"/>
    </row>
    <row r="195" spans="1:8">
      <c r="A195" s="825"/>
      <c r="B195" s="852"/>
      <c r="C195" s="570"/>
      <c r="D195" s="563"/>
      <c r="E195" s="563"/>
      <c r="F195" s="827"/>
      <c r="G195" s="801"/>
      <c r="H195" s="568"/>
    </row>
    <row r="196" spans="1:8">
      <c r="A196" s="825"/>
      <c r="B196" s="852"/>
      <c r="C196" s="570"/>
      <c r="D196" s="563"/>
      <c r="E196" s="563"/>
      <c r="F196" s="827"/>
      <c r="G196" s="801"/>
      <c r="H196" s="568"/>
    </row>
    <row r="197" spans="1:8">
      <c r="A197" s="825"/>
      <c r="B197" s="852"/>
      <c r="C197" s="570"/>
      <c r="D197" s="563"/>
      <c r="E197" s="563"/>
      <c r="F197" s="827"/>
      <c r="G197" s="801"/>
      <c r="H197" s="568"/>
    </row>
    <row r="198" spans="1:8">
      <c r="A198" s="825"/>
      <c r="B198" s="852"/>
      <c r="C198" s="570"/>
      <c r="D198" s="563"/>
      <c r="E198" s="563"/>
      <c r="F198" s="827"/>
      <c r="G198" s="801"/>
      <c r="H198" s="568"/>
    </row>
    <row r="199" spans="1:8">
      <c r="A199" s="825"/>
      <c r="B199" s="852"/>
      <c r="C199" s="570"/>
      <c r="D199" s="563"/>
      <c r="E199" s="563"/>
      <c r="F199" s="827"/>
      <c r="G199" s="801"/>
      <c r="H199" s="568"/>
    </row>
    <row r="200" spans="1:8" ht="13.8" thickBot="1">
      <c r="A200" s="853"/>
      <c r="B200" s="826"/>
      <c r="C200" s="564"/>
      <c r="D200" s="563"/>
      <c r="E200" s="563"/>
      <c r="F200" s="827"/>
      <c r="G200" s="801"/>
      <c r="H200" s="568"/>
    </row>
    <row r="201" spans="1:8">
      <c r="A201" s="838"/>
      <c r="B201" s="573"/>
      <c r="C201" s="574"/>
      <c r="D201" s="795"/>
      <c r="E201" s="796"/>
      <c r="F201" s="839"/>
      <c r="G201" s="806"/>
      <c r="H201" s="597"/>
    </row>
    <row r="202" spans="1:8">
      <c r="A202" s="840"/>
      <c r="B202" s="841" t="s">
        <v>270</v>
      </c>
      <c r="C202" s="842"/>
      <c r="D202" s="797"/>
      <c r="E202" s="575">
        <f>SUM(E155:E200)</f>
        <v>4.4000000000000004</v>
      </c>
      <c r="F202" s="843">
        <f>SUM(F155:F200)</f>
        <v>1.1200000000000001</v>
      </c>
      <c r="G202" s="807"/>
      <c r="H202" s="575">
        <f>SUM(H155:H200)</f>
        <v>35.159999999999997</v>
      </c>
    </row>
    <row r="203" spans="1:8" ht="13.8" thickBot="1">
      <c r="A203" s="874"/>
      <c r="B203" s="875"/>
      <c r="C203" s="876"/>
      <c r="D203" s="877"/>
      <c r="E203" s="878"/>
      <c r="F203" s="879"/>
      <c r="G203" s="808"/>
      <c r="H203" s="598"/>
    </row>
    <row r="204" spans="1:8">
      <c r="H204" s="10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H98"/>
  <sheetViews>
    <sheetView showGridLines="0" topLeftCell="A108" workbookViewId="0">
      <selection activeCell="I69" sqref="I69"/>
    </sheetView>
  </sheetViews>
  <sheetFormatPr defaultRowHeight="13.2"/>
  <cols>
    <col min="1" max="1" width="7.6640625" style="579" customWidth="1"/>
    <col min="2" max="2" width="48.6640625" style="555" customWidth="1"/>
    <col min="3" max="3" width="5.6640625" style="580" customWidth="1"/>
    <col min="4" max="4" width="7.6640625" style="555" customWidth="1"/>
    <col min="5" max="5" width="10.109375" style="555" customWidth="1"/>
    <col min="6" max="6" width="10.5546875" style="555" customWidth="1"/>
    <col min="7" max="7" width="10.33203125" style="581" hidden="1" customWidth="1"/>
    <col min="8" max="8" width="12.109375" style="581" hidden="1" customWidth="1"/>
    <col min="9" max="257" width="8.88671875" style="555"/>
    <col min="258" max="258" width="7.6640625" style="555" customWidth="1"/>
    <col min="259" max="259" width="2.6640625" style="555" customWidth="1"/>
    <col min="260" max="260" width="48.6640625" style="555" customWidth="1"/>
    <col min="261" max="261" width="7.6640625" style="555" customWidth="1"/>
    <col min="262" max="262" width="5.6640625" style="555" customWidth="1"/>
    <col min="263" max="263" width="10.33203125" style="555" customWidth="1"/>
    <col min="264" max="264" width="12.109375" style="555" customWidth="1"/>
    <col min="265" max="513" width="8.88671875" style="555"/>
    <col min="514" max="514" width="7.6640625" style="555" customWidth="1"/>
    <col min="515" max="515" width="2.6640625" style="555" customWidth="1"/>
    <col min="516" max="516" width="48.6640625" style="555" customWidth="1"/>
    <col min="517" max="517" width="7.6640625" style="555" customWidth="1"/>
    <col min="518" max="518" width="5.6640625" style="555" customWidth="1"/>
    <col min="519" max="519" width="10.33203125" style="555" customWidth="1"/>
    <col min="520" max="520" width="12.109375" style="555" customWidth="1"/>
    <col min="521" max="769" width="8.88671875" style="555"/>
    <col min="770" max="770" width="7.6640625" style="555" customWidth="1"/>
    <col min="771" max="771" width="2.6640625" style="555" customWidth="1"/>
    <col min="772" max="772" width="48.6640625" style="555" customWidth="1"/>
    <col min="773" max="773" width="7.6640625" style="555" customWidth="1"/>
    <col min="774" max="774" width="5.6640625" style="555" customWidth="1"/>
    <col min="775" max="775" width="10.33203125" style="555" customWidth="1"/>
    <col min="776" max="776" width="12.109375" style="555" customWidth="1"/>
    <col min="777" max="1025" width="8.88671875" style="555"/>
    <col min="1026" max="1026" width="7.6640625" style="555" customWidth="1"/>
    <col min="1027" max="1027" width="2.6640625" style="555" customWidth="1"/>
    <col min="1028" max="1028" width="48.6640625" style="555" customWidth="1"/>
    <col min="1029" max="1029" width="7.6640625" style="555" customWidth="1"/>
    <col min="1030" max="1030" width="5.6640625" style="555" customWidth="1"/>
    <col min="1031" max="1031" width="10.33203125" style="555" customWidth="1"/>
    <col min="1032" max="1032" width="12.109375" style="555" customWidth="1"/>
    <col min="1033" max="1281" width="8.88671875" style="555"/>
    <col min="1282" max="1282" width="7.6640625" style="555" customWidth="1"/>
    <col min="1283" max="1283" width="2.6640625" style="555" customWidth="1"/>
    <col min="1284" max="1284" width="48.6640625" style="555" customWidth="1"/>
    <col min="1285" max="1285" width="7.6640625" style="555" customWidth="1"/>
    <col min="1286" max="1286" width="5.6640625" style="555" customWidth="1"/>
    <col min="1287" max="1287" width="10.33203125" style="555" customWidth="1"/>
    <col min="1288" max="1288" width="12.109375" style="555" customWidth="1"/>
    <col min="1289" max="1537" width="8.88671875" style="555"/>
    <col min="1538" max="1538" width="7.6640625" style="555" customWidth="1"/>
    <col min="1539" max="1539" width="2.6640625" style="555" customWidth="1"/>
    <col min="1540" max="1540" width="48.6640625" style="555" customWidth="1"/>
    <col min="1541" max="1541" width="7.6640625" style="555" customWidth="1"/>
    <col min="1542" max="1542" width="5.6640625" style="555" customWidth="1"/>
    <col min="1543" max="1543" width="10.33203125" style="555" customWidth="1"/>
    <col min="1544" max="1544" width="12.109375" style="555" customWidth="1"/>
    <col min="1545" max="1793" width="8.88671875" style="555"/>
    <col min="1794" max="1794" width="7.6640625" style="555" customWidth="1"/>
    <col min="1795" max="1795" width="2.6640625" style="555" customWidth="1"/>
    <col min="1796" max="1796" width="48.6640625" style="555" customWidth="1"/>
    <col min="1797" max="1797" width="7.6640625" style="555" customWidth="1"/>
    <col min="1798" max="1798" width="5.6640625" style="555" customWidth="1"/>
    <col min="1799" max="1799" width="10.33203125" style="555" customWidth="1"/>
    <col min="1800" max="1800" width="12.109375" style="555" customWidth="1"/>
    <col min="1801" max="2049" width="8.88671875" style="555"/>
    <col min="2050" max="2050" width="7.6640625" style="555" customWidth="1"/>
    <col min="2051" max="2051" width="2.6640625" style="555" customWidth="1"/>
    <col min="2052" max="2052" width="48.6640625" style="555" customWidth="1"/>
    <col min="2053" max="2053" width="7.6640625" style="555" customWidth="1"/>
    <col min="2054" max="2054" width="5.6640625" style="555" customWidth="1"/>
    <col min="2055" max="2055" width="10.33203125" style="555" customWidth="1"/>
    <col min="2056" max="2056" width="12.109375" style="555" customWidth="1"/>
    <col min="2057" max="2305" width="8.88671875" style="555"/>
    <col min="2306" max="2306" width="7.6640625" style="555" customWidth="1"/>
    <col min="2307" max="2307" width="2.6640625" style="555" customWidth="1"/>
    <col min="2308" max="2308" width="48.6640625" style="555" customWidth="1"/>
    <col min="2309" max="2309" width="7.6640625" style="555" customWidth="1"/>
    <col min="2310" max="2310" width="5.6640625" style="555" customWidth="1"/>
    <col min="2311" max="2311" width="10.33203125" style="555" customWidth="1"/>
    <col min="2312" max="2312" width="12.109375" style="555" customWidth="1"/>
    <col min="2313" max="2561" width="8.88671875" style="555"/>
    <col min="2562" max="2562" width="7.6640625" style="555" customWidth="1"/>
    <col min="2563" max="2563" width="2.6640625" style="555" customWidth="1"/>
    <col min="2564" max="2564" width="48.6640625" style="555" customWidth="1"/>
    <col min="2565" max="2565" width="7.6640625" style="555" customWidth="1"/>
    <col min="2566" max="2566" width="5.6640625" style="555" customWidth="1"/>
    <col min="2567" max="2567" width="10.33203125" style="555" customWidth="1"/>
    <col min="2568" max="2568" width="12.109375" style="555" customWidth="1"/>
    <col min="2569" max="2817" width="8.88671875" style="555"/>
    <col min="2818" max="2818" width="7.6640625" style="555" customWidth="1"/>
    <col min="2819" max="2819" width="2.6640625" style="555" customWidth="1"/>
    <col min="2820" max="2820" width="48.6640625" style="555" customWidth="1"/>
    <col min="2821" max="2821" width="7.6640625" style="555" customWidth="1"/>
    <col min="2822" max="2822" width="5.6640625" style="555" customWidth="1"/>
    <col min="2823" max="2823" width="10.33203125" style="555" customWidth="1"/>
    <col min="2824" max="2824" width="12.109375" style="555" customWidth="1"/>
    <col min="2825" max="3073" width="8.88671875" style="555"/>
    <col min="3074" max="3074" width="7.6640625" style="555" customWidth="1"/>
    <col min="3075" max="3075" width="2.6640625" style="555" customWidth="1"/>
    <col min="3076" max="3076" width="48.6640625" style="555" customWidth="1"/>
    <col min="3077" max="3077" width="7.6640625" style="555" customWidth="1"/>
    <col min="3078" max="3078" width="5.6640625" style="555" customWidth="1"/>
    <col min="3079" max="3079" width="10.33203125" style="555" customWidth="1"/>
    <col min="3080" max="3080" width="12.109375" style="555" customWidth="1"/>
    <col min="3081" max="3329" width="8.88671875" style="555"/>
    <col min="3330" max="3330" width="7.6640625" style="555" customWidth="1"/>
    <col min="3331" max="3331" width="2.6640625" style="555" customWidth="1"/>
    <col min="3332" max="3332" width="48.6640625" style="555" customWidth="1"/>
    <col min="3333" max="3333" width="7.6640625" style="555" customWidth="1"/>
    <col min="3334" max="3334" width="5.6640625" style="555" customWidth="1"/>
    <col min="3335" max="3335" width="10.33203125" style="555" customWidth="1"/>
    <col min="3336" max="3336" width="12.109375" style="555" customWidth="1"/>
    <col min="3337" max="3585" width="8.88671875" style="555"/>
    <col min="3586" max="3586" width="7.6640625" style="555" customWidth="1"/>
    <col min="3587" max="3587" width="2.6640625" style="555" customWidth="1"/>
    <col min="3588" max="3588" width="48.6640625" style="555" customWidth="1"/>
    <col min="3589" max="3589" width="7.6640625" style="555" customWidth="1"/>
    <col min="3590" max="3590" width="5.6640625" style="555" customWidth="1"/>
    <col min="3591" max="3591" width="10.33203125" style="555" customWidth="1"/>
    <col min="3592" max="3592" width="12.109375" style="555" customWidth="1"/>
    <col min="3593" max="3841" width="8.88671875" style="555"/>
    <col min="3842" max="3842" width="7.6640625" style="555" customWidth="1"/>
    <col min="3843" max="3843" width="2.6640625" style="555" customWidth="1"/>
    <col min="3844" max="3844" width="48.6640625" style="555" customWidth="1"/>
    <col min="3845" max="3845" width="7.6640625" style="555" customWidth="1"/>
    <col min="3846" max="3846" width="5.6640625" style="555" customWidth="1"/>
    <col min="3847" max="3847" width="10.33203125" style="555" customWidth="1"/>
    <col min="3848" max="3848" width="12.109375" style="555" customWidth="1"/>
    <col min="3849" max="4097" width="8.88671875" style="555"/>
    <col min="4098" max="4098" width="7.6640625" style="555" customWidth="1"/>
    <col min="4099" max="4099" width="2.6640625" style="555" customWidth="1"/>
    <col min="4100" max="4100" width="48.6640625" style="555" customWidth="1"/>
    <col min="4101" max="4101" width="7.6640625" style="555" customWidth="1"/>
    <col min="4102" max="4102" width="5.6640625" style="555" customWidth="1"/>
    <col min="4103" max="4103" width="10.33203125" style="555" customWidth="1"/>
    <col min="4104" max="4104" width="12.109375" style="555" customWidth="1"/>
    <col min="4105" max="4353" width="8.88671875" style="555"/>
    <col min="4354" max="4354" width="7.6640625" style="555" customWidth="1"/>
    <col min="4355" max="4355" width="2.6640625" style="555" customWidth="1"/>
    <col min="4356" max="4356" width="48.6640625" style="555" customWidth="1"/>
    <col min="4357" max="4357" width="7.6640625" style="555" customWidth="1"/>
    <col min="4358" max="4358" width="5.6640625" style="555" customWidth="1"/>
    <col min="4359" max="4359" width="10.33203125" style="555" customWidth="1"/>
    <col min="4360" max="4360" width="12.109375" style="555" customWidth="1"/>
    <col min="4361" max="4609" width="8.88671875" style="555"/>
    <col min="4610" max="4610" width="7.6640625" style="555" customWidth="1"/>
    <col min="4611" max="4611" width="2.6640625" style="555" customWidth="1"/>
    <col min="4612" max="4612" width="48.6640625" style="555" customWidth="1"/>
    <col min="4613" max="4613" width="7.6640625" style="555" customWidth="1"/>
    <col min="4614" max="4614" width="5.6640625" style="555" customWidth="1"/>
    <col min="4615" max="4615" width="10.33203125" style="555" customWidth="1"/>
    <col min="4616" max="4616" width="12.109375" style="555" customWidth="1"/>
    <col min="4617" max="4865" width="8.88671875" style="555"/>
    <col min="4866" max="4866" width="7.6640625" style="555" customWidth="1"/>
    <col min="4867" max="4867" width="2.6640625" style="555" customWidth="1"/>
    <col min="4868" max="4868" width="48.6640625" style="555" customWidth="1"/>
    <col min="4869" max="4869" width="7.6640625" style="555" customWidth="1"/>
    <col min="4870" max="4870" width="5.6640625" style="555" customWidth="1"/>
    <col min="4871" max="4871" width="10.33203125" style="555" customWidth="1"/>
    <col min="4872" max="4872" width="12.109375" style="555" customWidth="1"/>
    <col min="4873" max="5121" width="8.88671875" style="555"/>
    <col min="5122" max="5122" width="7.6640625" style="555" customWidth="1"/>
    <col min="5123" max="5123" width="2.6640625" style="555" customWidth="1"/>
    <col min="5124" max="5124" width="48.6640625" style="555" customWidth="1"/>
    <col min="5125" max="5125" width="7.6640625" style="555" customWidth="1"/>
    <col min="5126" max="5126" width="5.6640625" style="555" customWidth="1"/>
    <col min="5127" max="5127" width="10.33203125" style="555" customWidth="1"/>
    <col min="5128" max="5128" width="12.109375" style="555" customWidth="1"/>
    <col min="5129" max="5377" width="8.88671875" style="555"/>
    <col min="5378" max="5378" width="7.6640625" style="555" customWidth="1"/>
    <col min="5379" max="5379" width="2.6640625" style="555" customWidth="1"/>
    <col min="5380" max="5380" width="48.6640625" style="555" customWidth="1"/>
    <col min="5381" max="5381" width="7.6640625" style="555" customWidth="1"/>
    <col min="5382" max="5382" width="5.6640625" style="555" customWidth="1"/>
    <col min="5383" max="5383" width="10.33203125" style="555" customWidth="1"/>
    <col min="5384" max="5384" width="12.109375" style="555" customWidth="1"/>
    <col min="5385" max="5633" width="8.88671875" style="555"/>
    <col min="5634" max="5634" width="7.6640625" style="555" customWidth="1"/>
    <col min="5635" max="5635" width="2.6640625" style="555" customWidth="1"/>
    <col min="5636" max="5636" width="48.6640625" style="555" customWidth="1"/>
    <col min="5637" max="5637" width="7.6640625" style="555" customWidth="1"/>
    <col min="5638" max="5638" width="5.6640625" style="555" customWidth="1"/>
    <col min="5639" max="5639" width="10.33203125" style="555" customWidth="1"/>
    <col min="5640" max="5640" width="12.109375" style="555" customWidth="1"/>
    <col min="5641" max="5889" width="8.88671875" style="555"/>
    <col min="5890" max="5890" width="7.6640625" style="555" customWidth="1"/>
    <col min="5891" max="5891" width="2.6640625" style="555" customWidth="1"/>
    <col min="5892" max="5892" width="48.6640625" style="555" customWidth="1"/>
    <col min="5893" max="5893" width="7.6640625" style="555" customWidth="1"/>
    <col min="5894" max="5894" width="5.6640625" style="555" customWidth="1"/>
    <col min="5895" max="5895" width="10.33203125" style="555" customWidth="1"/>
    <col min="5896" max="5896" width="12.109375" style="555" customWidth="1"/>
    <col min="5897" max="6145" width="8.88671875" style="555"/>
    <col min="6146" max="6146" width="7.6640625" style="555" customWidth="1"/>
    <col min="6147" max="6147" width="2.6640625" style="555" customWidth="1"/>
    <col min="6148" max="6148" width="48.6640625" style="555" customWidth="1"/>
    <col min="6149" max="6149" width="7.6640625" style="555" customWidth="1"/>
    <col min="6150" max="6150" width="5.6640625" style="555" customWidth="1"/>
    <col min="6151" max="6151" width="10.33203125" style="555" customWidth="1"/>
    <col min="6152" max="6152" width="12.109375" style="555" customWidth="1"/>
    <col min="6153" max="6401" width="8.88671875" style="555"/>
    <col min="6402" max="6402" width="7.6640625" style="555" customWidth="1"/>
    <col min="6403" max="6403" width="2.6640625" style="555" customWidth="1"/>
    <col min="6404" max="6404" width="48.6640625" style="555" customWidth="1"/>
    <col min="6405" max="6405" width="7.6640625" style="555" customWidth="1"/>
    <col min="6406" max="6406" width="5.6640625" style="555" customWidth="1"/>
    <col min="6407" max="6407" width="10.33203125" style="555" customWidth="1"/>
    <col min="6408" max="6408" width="12.109375" style="555" customWidth="1"/>
    <col min="6409" max="6657" width="8.88671875" style="555"/>
    <col min="6658" max="6658" width="7.6640625" style="555" customWidth="1"/>
    <col min="6659" max="6659" width="2.6640625" style="555" customWidth="1"/>
    <col min="6660" max="6660" width="48.6640625" style="555" customWidth="1"/>
    <col min="6661" max="6661" width="7.6640625" style="555" customWidth="1"/>
    <col min="6662" max="6662" width="5.6640625" style="555" customWidth="1"/>
    <col min="6663" max="6663" width="10.33203125" style="555" customWidth="1"/>
    <col min="6664" max="6664" width="12.109375" style="555" customWidth="1"/>
    <col min="6665" max="6913" width="8.88671875" style="555"/>
    <col min="6914" max="6914" width="7.6640625" style="555" customWidth="1"/>
    <col min="6915" max="6915" width="2.6640625" style="555" customWidth="1"/>
    <col min="6916" max="6916" width="48.6640625" style="555" customWidth="1"/>
    <col min="6917" max="6917" width="7.6640625" style="555" customWidth="1"/>
    <col min="6918" max="6918" width="5.6640625" style="555" customWidth="1"/>
    <col min="6919" max="6919" width="10.33203125" style="555" customWidth="1"/>
    <col min="6920" max="6920" width="12.109375" style="555" customWidth="1"/>
    <col min="6921" max="7169" width="8.88671875" style="555"/>
    <col min="7170" max="7170" width="7.6640625" style="555" customWidth="1"/>
    <col min="7171" max="7171" width="2.6640625" style="555" customWidth="1"/>
    <col min="7172" max="7172" width="48.6640625" style="555" customWidth="1"/>
    <col min="7173" max="7173" width="7.6640625" style="555" customWidth="1"/>
    <col min="7174" max="7174" width="5.6640625" style="555" customWidth="1"/>
    <col min="7175" max="7175" width="10.33203125" style="555" customWidth="1"/>
    <col min="7176" max="7176" width="12.109375" style="555" customWidth="1"/>
    <col min="7177" max="7425" width="8.88671875" style="555"/>
    <col min="7426" max="7426" width="7.6640625" style="555" customWidth="1"/>
    <col min="7427" max="7427" width="2.6640625" style="555" customWidth="1"/>
    <col min="7428" max="7428" width="48.6640625" style="555" customWidth="1"/>
    <col min="7429" max="7429" width="7.6640625" style="555" customWidth="1"/>
    <col min="7430" max="7430" width="5.6640625" style="555" customWidth="1"/>
    <col min="7431" max="7431" width="10.33203125" style="555" customWidth="1"/>
    <col min="7432" max="7432" width="12.109375" style="555" customWidth="1"/>
    <col min="7433" max="7681" width="8.88671875" style="555"/>
    <col min="7682" max="7682" width="7.6640625" style="555" customWidth="1"/>
    <col min="7683" max="7683" width="2.6640625" style="555" customWidth="1"/>
    <col min="7684" max="7684" width="48.6640625" style="555" customWidth="1"/>
    <col min="7685" max="7685" width="7.6640625" style="555" customWidth="1"/>
    <col min="7686" max="7686" width="5.6640625" style="555" customWidth="1"/>
    <col min="7687" max="7687" width="10.33203125" style="555" customWidth="1"/>
    <col min="7688" max="7688" width="12.109375" style="555" customWidth="1"/>
    <col min="7689" max="7937" width="8.88671875" style="555"/>
    <col min="7938" max="7938" width="7.6640625" style="555" customWidth="1"/>
    <col min="7939" max="7939" width="2.6640625" style="555" customWidth="1"/>
    <col min="7940" max="7940" width="48.6640625" style="555" customWidth="1"/>
    <col min="7941" max="7941" width="7.6640625" style="555" customWidth="1"/>
    <col min="7942" max="7942" width="5.6640625" style="555" customWidth="1"/>
    <col min="7943" max="7943" width="10.33203125" style="555" customWidth="1"/>
    <col min="7944" max="7944" width="12.109375" style="555" customWidth="1"/>
    <col min="7945" max="8193" width="8.88671875" style="555"/>
    <col min="8194" max="8194" width="7.6640625" style="555" customWidth="1"/>
    <col min="8195" max="8195" width="2.6640625" style="555" customWidth="1"/>
    <col min="8196" max="8196" width="48.6640625" style="555" customWidth="1"/>
    <col min="8197" max="8197" width="7.6640625" style="555" customWidth="1"/>
    <col min="8198" max="8198" width="5.6640625" style="555" customWidth="1"/>
    <col min="8199" max="8199" width="10.33203125" style="555" customWidth="1"/>
    <col min="8200" max="8200" width="12.109375" style="555" customWidth="1"/>
    <col min="8201" max="8449" width="8.88671875" style="555"/>
    <col min="8450" max="8450" width="7.6640625" style="555" customWidth="1"/>
    <col min="8451" max="8451" width="2.6640625" style="555" customWidth="1"/>
    <col min="8452" max="8452" width="48.6640625" style="555" customWidth="1"/>
    <col min="8453" max="8453" width="7.6640625" style="555" customWidth="1"/>
    <col min="8454" max="8454" width="5.6640625" style="555" customWidth="1"/>
    <col min="8455" max="8455" width="10.33203125" style="555" customWidth="1"/>
    <col min="8456" max="8456" width="12.109375" style="555" customWidth="1"/>
    <col min="8457" max="8705" width="8.88671875" style="555"/>
    <col min="8706" max="8706" width="7.6640625" style="555" customWidth="1"/>
    <col min="8707" max="8707" width="2.6640625" style="555" customWidth="1"/>
    <col min="8708" max="8708" width="48.6640625" style="555" customWidth="1"/>
    <col min="8709" max="8709" width="7.6640625" style="555" customWidth="1"/>
    <col min="8710" max="8710" width="5.6640625" style="555" customWidth="1"/>
    <col min="8711" max="8711" width="10.33203125" style="555" customWidth="1"/>
    <col min="8712" max="8712" width="12.109375" style="555" customWidth="1"/>
    <col min="8713" max="8961" width="8.88671875" style="555"/>
    <col min="8962" max="8962" width="7.6640625" style="555" customWidth="1"/>
    <col min="8963" max="8963" width="2.6640625" style="555" customWidth="1"/>
    <col min="8964" max="8964" width="48.6640625" style="555" customWidth="1"/>
    <col min="8965" max="8965" width="7.6640625" style="555" customWidth="1"/>
    <col min="8966" max="8966" width="5.6640625" style="555" customWidth="1"/>
    <col min="8967" max="8967" width="10.33203125" style="555" customWidth="1"/>
    <col min="8968" max="8968" width="12.109375" style="555" customWidth="1"/>
    <col min="8969" max="9217" width="8.88671875" style="555"/>
    <col min="9218" max="9218" width="7.6640625" style="555" customWidth="1"/>
    <col min="9219" max="9219" width="2.6640625" style="555" customWidth="1"/>
    <col min="9220" max="9220" width="48.6640625" style="555" customWidth="1"/>
    <col min="9221" max="9221" width="7.6640625" style="555" customWidth="1"/>
    <col min="9222" max="9222" width="5.6640625" style="555" customWidth="1"/>
    <col min="9223" max="9223" width="10.33203125" style="555" customWidth="1"/>
    <col min="9224" max="9224" width="12.109375" style="555" customWidth="1"/>
    <col min="9225" max="9473" width="8.88671875" style="555"/>
    <col min="9474" max="9474" width="7.6640625" style="555" customWidth="1"/>
    <col min="9475" max="9475" width="2.6640625" style="555" customWidth="1"/>
    <col min="9476" max="9476" width="48.6640625" style="555" customWidth="1"/>
    <col min="9477" max="9477" width="7.6640625" style="555" customWidth="1"/>
    <col min="9478" max="9478" width="5.6640625" style="555" customWidth="1"/>
    <col min="9479" max="9479" width="10.33203125" style="555" customWidth="1"/>
    <col min="9480" max="9480" width="12.109375" style="555" customWidth="1"/>
    <col min="9481" max="9729" width="8.88671875" style="555"/>
    <col min="9730" max="9730" width="7.6640625" style="555" customWidth="1"/>
    <col min="9731" max="9731" width="2.6640625" style="555" customWidth="1"/>
    <col min="9732" max="9732" width="48.6640625" style="555" customWidth="1"/>
    <col min="9733" max="9733" width="7.6640625" style="555" customWidth="1"/>
    <col min="9734" max="9734" width="5.6640625" style="555" customWidth="1"/>
    <col min="9735" max="9735" width="10.33203125" style="555" customWidth="1"/>
    <col min="9736" max="9736" width="12.109375" style="555" customWidth="1"/>
    <col min="9737" max="9985" width="8.88671875" style="555"/>
    <col min="9986" max="9986" width="7.6640625" style="555" customWidth="1"/>
    <col min="9987" max="9987" width="2.6640625" style="555" customWidth="1"/>
    <col min="9988" max="9988" width="48.6640625" style="555" customWidth="1"/>
    <col min="9989" max="9989" width="7.6640625" style="555" customWidth="1"/>
    <col min="9990" max="9990" width="5.6640625" style="555" customWidth="1"/>
    <col min="9991" max="9991" width="10.33203125" style="555" customWidth="1"/>
    <col min="9992" max="9992" width="12.109375" style="555" customWidth="1"/>
    <col min="9993" max="10241" width="8.88671875" style="555"/>
    <col min="10242" max="10242" width="7.6640625" style="555" customWidth="1"/>
    <col min="10243" max="10243" width="2.6640625" style="555" customWidth="1"/>
    <col min="10244" max="10244" width="48.6640625" style="555" customWidth="1"/>
    <col min="10245" max="10245" width="7.6640625" style="555" customWidth="1"/>
    <col min="10246" max="10246" width="5.6640625" style="555" customWidth="1"/>
    <col min="10247" max="10247" width="10.33203125" style="555" customWidth="1"/>
    <col min="10248" max="10248" width="12.109375" style="555" customWidth="1"/>
    <col min="10249" max="10497" width="8.88671875" style="555"/>
    <col min="10498" max="10498" width="7.6640625" style="555" customWidth="1"/>
    <col min="10499" max="10499" width="2.6640625" style="555" customWidth="1"/>
    <col min="10500" max="10500" width="48.6640625" style="555" customWidth="1"/>
    <col min="10501" max="10501" width="7.6640625" style="555" customWidth="1"/>
    <col min="10502" max="10502" width="5.6640625" style="555" customWidth="1"/>
    <col min="10503" max="10503" width="10.33203125" style="555" customWidth="1"/>
    <col min="10504" max="10504" width="12.109375" style="555" customWidth="1"/>
    <col min="10505" max="10753" width="8.88671875" style="555"/>
    <col min="10754" max="10754" width="7.6640625" style="555" customWidth="1"/>
    <col min="10755" max="10755" width="2.6640625" style="555" customWidth="1"/>
    <col min="10756" max="10756" width="48.6640625" style="555" customWidth="1"/>
    <col min="10757" max="10757" width="7.6640625" style="555" customWidth="1"/>
    <col min="10758" max="10758" width="5.6640625" style="555" customWidth="1"/>
    <col min="10759" max="10759" width="10.33203125" style="555" customWidth="1"/>
    <col min="10760" max="10760" width="12.109375" style="555" customWidth="1"/>
    <col min="10761" max="11009" width="8.88671875" style="555"/>
    <col min="11010" max="11010" width="7.6640625" style="555" customWidth="1"/>
    <col min="11011" max="11011" width="2.6640625" style="555" customWidth="1"/>
    <col min="11012" max="11012" width="48.6640625" style="555" customWidth="1"/>
    <col min="11013" max="11013" width="7.6640625" style="555" customWidth="1"/>
    <col min="11014" max="11014" width="5.6640625" style="555" customWidth="1"/>
    <col min="11015" max="11015" width="10.33203125" style="555" customWidth="1"/>
    <col min="11016" max="11016" width="12.109375" style="555" customWidth="1"/>
    <col min="11017" max="11265" width="8.88671875" style="555"/>
    <col min="11266" max="11266" width="7.6640625" style="555" customWidth="1"/>
    <col min="11267" max="11267" width="2.6640625" style="555" customWidth="1"/>
    <col min="11268" max="11268" width="48.6640625" style="555" customWidth="1"/>
    <col min="11269" max="11269" width="7.6640625" style="555" customWidth="1"/>
    <col min="11270" max="11270" width="5.6640625" style="555" customWidth="1"/>
    <col min="11271" max="11271" width="10.33203125" style="555" customWidth="1"/>
    <col min="11272" max="11272" width="12.109375" style="555" customWidth="1"/>
    <col min="11273" max="11521" width="8.88671875" style="555"/>
    <col min="11522" max="11522" width="7.6640625" style="555" customWidth="1"/>
    <col min="11523" max="11523" width="2.6640625" style="555" customWidth="1"/>
    <col min="11524" max="11524" width="48.6640625" style="555" customWidth="1"/>
    <col min="11525" max="11525" width="7.6640625" style="555" customWidth="1"/>
    <col min="11526" max="11526" width="5.6640625" style="555" customWidth="1"/>
    <col min="11527" max="11527" width="10.33203125" style="555" customWidth="1"/>
    <col min="11528" max="11528" width="12.109375" style="555" customWidth="1"/>
    <col min="11529" max="11777" width="8.88671875" style="555"/>
    <col min="11778" max="11778" width="7.6640625" style="555" customWidth="1"/>
    <col min="11779" max="11779" width="2.6640625" style="555" customWidth="1"/>
    <col min="11780" max="11780" width="48.6640625" style="555" customWidth="1"/>
    <col min="11781" max="11781" width="7.6640625" style="555" customWidth="1"/>
    <col min="11782" max="11782" width="5.6640625" style="555" customWidth="1"/>
    <col min="11783" max="11783" width="10.33203125" style="555" customWidth="1"/>
    <col min="11784" max="11784" width="12.109375" style="555" customWidth="1"/>
    <col min="11785" max="12033" width="8.88671875" style="555"/>
    <col min="12034" max="12034" width="7.6640625" style="555" customWidth="1"/>
    <col min="12035" max="12035" width="2.6640625" style="555" customWidth="1"/>
    <col min="12036" max="12036" width="48.6640625" style="555" customWidth="1"/>
    <col min="12037" max="12037" width="7.6640625" style="555" customWidth="1"/>
    <col min="12038" max="12038" width="5.6640625" style="555" customWidth="1"/>
    <col min="12039" max="12039" width="10.33203125" style="555" customWidth="1"/>
    <col min="12040" max="12040" width="12.109375" style="555" customWidth="1"/>
    <col min="12041" max="12289" width="8.88671875" style="555"/>
    <col min="12290" max="12290" width="7.6640625" style="555" customWidth="1"/>
    <col min="12291" max="12291" width="2.6640625" style="555" customWidth="1"/>
    <col min="12292" max="12292" width="48.6640625" style="555" customWidth="1"/>
    <col min="12293" max="12293" width="7.6640625" style="555" customWidth="1"/>
    <col min="12294" max="12294" width="5.6640625" style="555" customWidth="1"/>
    <col min="12295" max="12295" width="10.33203125" style="555" customWidth="1"/>
    <col min="12296" max="12296" width="12.109375" style="555" customWidth="1"/>
    <col min="12297" max="12545" width="8.88671875" style="555"/>
    <col min="12546" max="12546" width="7.6640625" style="555" customWidth="1"/>
    <col min="12547" max="12547" width="2.6640625" style="555" customWidth="1"/>
    <col min="12548" max="12548" width="48.6640625" style="555" customWidth="1"/>
    <col min="12549" max="12549" width="7.6640625" style="555" customWidth="1"/>
    <col min="12550" max="12550" width="5.6640625" style="555" customWidth="1"/>
    <col min="12551" max="12551" width="10.33203125" style="555" customWidth="1"/>
    <col min="12552" max="12552" width="12.109375" style="555" customWidth="1"/>
    <col min="12553" max="12801" width="8.88671875" style="555"/>
    <col min="12802" max="12802" width="7.6640625" style="555" customWidth="1"/>
    <col min="12803" max="12803" width="2.6640625" style="555" customWidth="1"/>
    <col min="12804" max="12804" width="48.6640625" style="555" customWidth="1"/>
    <col min="12805" max="12805" width="7.6640625" style="555" customWidth="1"/>
    <col min="12806" max="12806" width="5.6640625" style="555" customWidth="1"/>
    <col min="12807" max="12807" width="10.33203125" style="555" customWidth="1"/>
    <col min="12808" max="12808" width="12.109375" style="555" customWidth="1"/>
    <col min="12809" max="13057" width="8.88671875" style="555"/>
    <col min="13058" max="13058" width="7.6640625" style="555" customWidth="1"/>
    <col min="13059" max="13059" width="2.6640625" style="555" customWidth="1"/>
    <col min="13060" max="13060" width="48.6640625" style="555" customWidth="1"/>
    <col min="13061" max="13061" width="7.6640625" style="555" customWidth="1"/>
    <col min="13062" max="13062" width="5.6640625" style="555" customWidth="1"/>
    <col min="13063" max="13063" width="10.33203125" style="555" customWidth="1"/>
    <col min="13064" max="13064" width="12.109375" style="555" customWidth="1"/>
    <col min="13065" max="13313" width="8.88671875" style="555"/>
    <col min="13314" max="13314" width="7.6640625" style="555" customWidth="1"/>
    <col min="13315" max="13315" width="2.6640625" style="555" customWidth="1"/>
    <col min="13316" max="13316" width="48.6640625" style="555" customWidth="1"/>
    <col min="13317" max="13317" width="7.6640625" style="555" customWidth="1"/>
    <col min="13318" max="13318" width="5.6640625" style="555" customWidth="1"/>
    <col min="13319" max="13319" width="10.33203125" style="555" customWidth="1"/>
    <col min="13320" max="13320" width="12.109375" style="555" customWidth="1"/>
    <col min="13321" max="13569" width="8.88671875" style="555"/>
    <col min="13570" max="13570" width="7.6640625" style="555" customWidth="1"/>
    <col min="13571" max="13571" width="2.6640625" style="555" customWidth="1"/>
    <col min="13572" max="13572" width="48.6640625" style="555" customWidth="1"/>
    <col min="13573" max="13573" width="7.6640625" style="555" customWidth="1"/>
    <col min="13574" max="13574" width="5.6640625" style="555" customWidth="1"/>
    <col min="13575" max="13575" width="10.33203125" style="555" customWidth="1"/>
    <col min="13576" max="13576" width="12.109375" style="555" customWidth="1"/>
    <col min="13577" max="13825" width="8.88671875" style="555"/>
    <col min="13826" max="13826" width="7.6640625" style="555" customWidth="1"/>
    <col min="13827" max="13827" width="2.6640625" style="555" customWidth="1"/>
    <col min="13828" max="13828" width="48.6640625" style="555" customWidth="1"/>
    <col min="13829" max="13829" width="7.6640625" style="555" customWidth="1"/>
    <col min="13830" max="13830" width="5.6640625" style="555" customWidth="1"/>
    <col min="13831" max="13831" width="10.33203125" style="555" customWidth="1"/>
    <col min="13832" max="13832" width="12.109375" style="555" customWidth="1"/>
    <col min="13833" max="14081" width="8.88671875" style="555"/>
    <col min="14082" max="14082" width="7.6640625" style="555" customWidth="1"/>
    <col min="14083" max="14083" width="2.6640625" style="555" customWidth="1"/>
    <col min="14084" max="14084" width="48.6640625" style="555" customWidth="1"/>
    <col min="14085" max="14085" width="7.6640625" style="555" customWidth="1"/>
    <col min="14086" max="14086" width="5.6640625" style="555" customWidth="1"/>
    <col min="14087" max="14087" width="10.33203125" style="555" customWidth="1"/>
    <col min="14088" max="14088" width="12.109375" style="555" customWidth="1"/>
    <col min="14089" max="14337" width="8.88671875" style="555"/>
    <col min="14338" max="14338" width="7.6640625" style="555" customWidth="1"/>
    <col min="14339" max="14339" width="2.6640625" style="555" customWidth="1"/>
    <col min="14340" max="14340" width="48.6640625" style="555" customWidth="1"/>
    <col min="14341" max="14341" width="7.6640625" style="555" customWidth="1"/>
    <col min="14342" max="14342" width="5.6640625" style="555" customWidth="1"/>
    <col min="14343" max="14343" width="10.33203125" style="555" customWidth="1"/>
    <col min="14344" max="14344" width="12.109375" style="555" customWidth="1"/>
    <col min="14345" max="14593" width="8.88671875" style="555"/>
    <col min="14594" max="14594" width="7.6640625" style="555" customWidth="1"/>
    <col min="14595" max="14595" width="2.6640625" style="555" customWidth="1"/>
    <col min="14596" max="14596" width="48.6640625" style="555" customWidth="1"/>
    <col min="14597" max="14597" width="7.6640625" style="555" customWidth="1"/>
    <col min="14598" max="14598" width="5.6640625" style="555" customWidth="1"/>
    <col min="14599" max="14599" width="10.33203125" style="555" customWidth="1"/>
    <col min="14600" max="14600" width="12.109375" style="555" customWidth="1"/>
    <col min="14601" max="14849" width="8.88671875" style="555"/>
    <col min="14850" max="14850" width="7.6640625" style="555" customWidth="1"/>
    <col min="14851" max="14851" width="2.6640625" style="555" customWidth="1"/>
    <col min="14852" max="14852" width="48.6640625" style="555" customWidth="1"/>
    <col min="14853" max="14853" width="7.6640625" style="555" customWidth="1"/>
    <col min="14854" max="14854" width="5.6640625" style="555" customWidth="1"/>
    <col min="14855" max="14855" width="10.33203125" style="555" customWidth="1"/>
    <col min="14856" max="14856" width="12.109375" style="555" customWidth="1"/>
    <col min="14857" max="15105" width="8.88671875" style="555"/>
    <col min="15106" max="15106" width="7.6640625" style="555" customWidth="1"/>
    <col min="15107" max="15107" width="2.6640625" style="555" customWidth="1"/>
    <col min="15108" max="15108" width="48.6640625" style="555" customWidth="1"/>
    <col min="15109" max="15109" width="7.6640625" style="555" customWidth="1"/>
    <col min="15110" max="15110" width="5.6640625" style="555" customWidth="1"/>
    <col min="15111" max="15111" width="10.33203125" style="555" customWidth="1"/>
    <col min="15112" max="15112" width="12.109375" style="555" customWidth="1"/>
    <col min="15113" max="15361" width="8.88671875" style="555"/>
    <col min="15362" max="15362" width="7.6640625" style="555" customWidth="1"/>
    <col min="15363" max="15363" width="2.6640625" style="555" customWidth="1"/>
    <col min="15364" max="15364" width="48.6640625" style="555" customWidth="1"/>
    <col min="15365" max="15365" width="7.6640625" style="555" customWidth="1"/>
    <col min="15366" max="15366" width="5.6640625" style="555" customWidth="1"/>
    <col min="15367" max="15367" width="10.33203125" style="555" customWidth="1"/>
    <col min="15368" max="15368" width="12.109375" style="555" customWidth="1"/>
    <col min="15369" max="15617" width="8.88671875" style="555"/>
    <col min="15618" max="15618" width="7.6640625" style="555" customWidth="1"/>
    <col min="15619" max="15619" width="2.6640625" style="555" customWidth="1"/>
    <col min="15620" max="15620" width="48.6640625" style="555" customWidth="1"/>
    <col min="15621" max="15621" width="7.6640625" style="555" customWidth="1"/>
    <col min="15622" max="15622" width="5.6640625" style="555" customWidth="1"/>
    <col min="15623" max="15623" width="10.33203125" style="555" customWidth="1"/>
    <col min="15624" max="15624" width="12.109375" style="555" customWidth="1"/>
    <col min="15625" max="15873" width="8.88671875" style="555"/>
    <col min="15874" max="15874" width="7.6640625" style="555" customWidth="1"/>
    <col min="15875" max="15875" width="2.6640625" style="555" customWidth="1"/>
    <col min="15876" max="15876" width="48.6640625" style="555" customWidth="1"/>
    <col min="15877" max="15877" width="7.6640625" style="555" customWidth="1"/>
    <col min="15878" max="15878" width="5.6640625" style="555" customWidth="1"/>
    <col min="15879" max="15879" width="10.33203125" style="555" customWidth="1"/>
    <col min="15880" max="15880" width="12.109375" style="555" customWidth="1"/>
    <col min="15881" max="16129" width="8.88671875" style="555"/>
    <col min="16130" max="16130" width="7.6640625" style="555" customWidth="1"/>
    <col min="16131" max="16131" width="2.6640625" style="555" customWidth="1"/>
    <col min="16132" max="16132" width="48.6640625" style="555" customWidth="1"/>
    <col min="16133" max="16133" width="7.6640625" style="555" customWidth="1"/>
    <col min="16134" max="16134" width="5.6640625" style="555" customWidth="1"/>
    <col min="16135" max="16135" width="10.33203125" style="555" customWidth="1"/>
    <col min="16136" max="16136" width="12.109375" style="555" customWidth="1"/>
    <col min="16137" max="16384" width="8.88671875" style="555"/>
  </cols>
  <sheetData>
    <row r="1" spans="1:8" ht="17.399999999999999">
      <c r="A1" s="811" t="s">
        <v>265</v>
      </c>
      <c r="B1" s="812"/>
      <c r="C1" s="813"/>
      <c r="D1" s="812"/>
      <c r="E1" s="812"/>
      <c r="F1" s="814"/>
      <c r="G1" s="553"/>
      <c r="H1" s="554"/>
    </row>
    <row r="2" spans="1:8">
      <c r="A2" s="815" t="s">
        <v>459</v>
      </c>
      <c r="B2" s="816"/>
      <c r="C2" s="817"/>
      <c r="D2" s="816"/>
      <c r="E2" s="816"/>
      <c r="F2" s="818"/>
      <c r="G2" s="556"/>
      <c r="H2" s="557"/>
    </row>
    <row r="3" spans="1:8">
      <c r="A3" s="815"/>
      <c r="B3" s="816"/>
      <c r="C3" s="817"/>
      <c r="D3" s="816"/>
      <c r="E3" s="816"/>
      <c r="F3" s="818"/>
      <c r="G3" s="556"/>
      <c r="H3" s="557"/>
    </row>
    <row r="4" spans="1:8">
      <c r="A4" s="819"/>
      <c r="B4" s="820"/>
      <c r="C4" s="821"/>
      <c r="D4" s="820"/>
      <c r="E4" s="820"/>
      <c r="F4" s="822"/>
      <c r="G4" s="558"/>
      <c r="H4" s="582"/>
    </row>
    <row r="5" spans="1:8" ht="27" thickBot="1">
      <c r="A5" s="823" t="s">
        <v>266</v>
      </c>
      <c r="B5" s="559"/>
      <c r="C5" s="561" t="s">
        <v>267</v>
      </c>
      <c r="D5" s="560" t="s">
        <v>257</v>
      </c>
      <c r="E5" s="794" t="s">
        <v>539</v>
      </c>
      <c r="F5" s="824" t="s">
        <v>540</v>
      </c>
      <c r="G5" s="800" t="s">
        <v>268</v>
      </c>
      <c r="H5" s="562" t="s">
        <v>258</v>
      </c>
    </row>
    <row r="6" spans="1:8">
      <c r="A6" s="825"/>
      <c r="B6" s="826"/>
      <c r="C6" s="564"/>
      <c r="D6" s="563"/>
      <c r="E6" s="563"/>
      <c r="F6" s="827"/>
      <c r="G6" s="801"/>
      <c r="H6" s="568"/>
    </row>
    <row r="7" spans="1:8" ht="39.6">
      <c r="A7" s="825"/>
      <c r="B7" s="902" t="s">
        <v>460</v>
      </c>
      <c r="C7" s="567"/>
      <c r="D7" s="563"/>
      <c r="E7" s="563"/>
      <c r="F7" s="827"/>
      <c r="G7" s="801"/>
      <c r="H7" s="568"/>
    </row>
    <row r="8" spans="1:8">
      <c r="A8" s="825"/>
      <c r="B8" s="828"/>
      <c r="C8" s="567"/>
      <c r="D8" s="563"/>
      <c r="E8" s="563"/>
      <c r="F8" s="827"/>
      <c r="G8" s="801"/>
      <c r="H8" s="568"/>
    </row>
    <row r="9" spans="1:8">
      <c r="A9" s="825"/>
      <c r="B9" s="640" t="s">
        <v>461</v>
      </c>
      <c r="C9" s="567"/>
      <c r="D9" s="563"/>
      <c r="E9" s="563"/>
      <c r="F9" s="827"/>
      <c r="G9" s="801"/>
      <c r="H9" s="568"/>
    </row>
    <row r="10" spans="1:8">
      <c r="A10" s="825"/>
      <c r="B10" s="885"/>
      <c r="C10" s="567"/>
      <c r="D10" s="563"/>
      <c r="E10" s="563"/>
      <c r="F10" s="827"/>
      <c r="G10" s="801"/>
      <c r="H10" s="568"/>
    </row>
    <row r="11" spans="1:8" ht="52.8">
      <c r="A11" s="825">
        <v>1</v>
      </c>
      <c r="B11" s="641" t="s">
        <v>462</v>
      </c>
      <c r="C11" s="567"/>
      <c r="D11" s="563"/>
      <c r="E11" s="563"/>
      <c r="F11" s="827"/>
      <c r="G11" s="801"/>
      <c r="H11" s="568"/>
    </row>
    <row r="12" spans="1:8">
      <c r="A12" s="825"/>
      <c r="B12" s="886"/>
      <c r="C12" s="567"/>
      <c r="D12" s="563"/>
      <c r="E12" s="563"/>
      <c r="F12" s="827"/>
      <c r="G12" s="801"/>
      <c r="H12" s="568"/>
    </row>
    <row r="13" spans="1:8">
      <c r="A13" s="825"/>
      <c r="B13" s="641" t="s">
        <v>463</v>
      </c>
      <c r="C13" s="567">
        <v>40</v>
      </c>
      <c r="D13" s="642" t="s">
        <v>277</v>
      </c>
      <c r="E13" s="644"/>
      <c r="F13" s="903"/>
      <c r="G13" s="801"/>
      <c r="H13" s="568">
        <f>G13*C13</f>
        <v>0</v>
      </c>
    </row>
    <row r="14" spans="1:8">
      <c r="A14" s="825"/>
      <c r="B14" s="641"/>
      <c r="C14" s="567"/>
      <c r="D14" s="642"/>
      <c r="E14" s="644"/>
      <c r="F14" s="903"/>
      <c r="G14" s="801"/>
      <c r="H14" s="568"/>
    </row>
    <row r="15" spans="1:8">
      <c r="A15" s="825"/>
      <c r="B15" s="569" t="s">
        <v>464</v>
      </c>
      <c r="C15" s="567">
        <v>15</v>
      </c>
      <c r="D15" s="643" t="s">
        <v>277</v>
      </c>
      <c r="E15" s="901"/>
      <c r="F15" s="904"/>
      <c r="G15" s="801"/>
      <c r="H15" s="568">
        <f t="shared" ref="H15:H43" si="0">G15*C15</f>
        <v>0</v>
      </c>
    </row>
    <row r="16" spans="1:8">
      <c r="A16" s="825"/>
      <c r="B16" s="886"/>
      <c r="C16" s="567"/>
      <c r="D16" s="563"/>
      <c r="E16" s="563"/>
      <c r="F16" s="827"/>
      <c r="G16" s="801"/>
      <c r="H16" s="568"/>
    </row>
    <row r="17" spans="1:8">
      <c r="A17" s="825"/>
      <c r="B17" s="886"/>
      <c r="C17" s="567"/>
      <c r="D17" s="563"/>
      <c r="E17" s="563"/>
      <c r="F17" s="827"/>
      <c r="G17" s="801"/>
      <c r="H17" s="568"/>
    </row>
    <row r="18" spans="1:8">
      <c r="A18" s="825">
        <v>2</v>
      </c>
      <c r="B18" s="641" t="s">
        <v>465</v>
      </c>
      <c r="C18" s="567"/>
      <c r="D18" s="563"/>
      <c r="E18" s="563"/>
      <c r="F18" s="827"/>
      <c r="G18" s="801"/>
      <c r="H18" s="568"/>
    </row>
    <row r="19" spans="1:8">
      <c r="A19" s="825"/>
      <c r="B19" s="886"/>
      <c r="C19" s="567"/>
      <c r="D19" s="563"/>
      <c r="E19" s="563"/>
      <c r="F19" s="827"/>
      <c r="G19" s="801"/>
      <c r="H19" s="568"/>
    </row>
    <row r="20" spans="1:8">
      <c r="A20" s="825"/>
      <c r="B20" s="569" t="s">
        <v>464</v>
      </c>
      <c r="C20" s="642">
        <v>7</v>
      </c>
      <c r="D20" s="642" t="s">
        <v>140</v>
      </c>
      <c r="E20" s="644"/>
      <c r="F20" s="903"/>
      <c r="G20" s="801"/>
      <c r="H20" s="568">
        <f t="shared" si="0"/>
        <v>0</v>
      </c>
    </row>
    <row r="21" spans="1:8">
      <c r="A21" s="825"/>
      <c r="B21" s="886"/>
      <c r="C21" s="567"/>
      <c r="D21" s="563"/>
      <c r="E21" s="563"/>
      <c r="F21" s="827"/>
      <c r="G21" s="801"/>
      <c r="H21" s="568"/>
    </row>
    <row r="22" spans="1:8">
      <c r="A22" s="825"/>
      <c r="B22" s="886"/>
      <c r="C22" s="567"/>
      <c r="D22" s="563"/>
      <c r="E22" s="563"/>
      <c r="F22" s="827"/>
      <c r="G22" s="801"/>
      <c r="H22" s="568"/>
    </row>
    <row r="23" spans="1:8" ht="26.4">
      <c r="A23" s="825">
        <v>3</v>
      </c>
      <c r="B23" s="641" t="s">
        <v>466</v>
      </c>
      <c r="C23" s="567">
        <v>1</v>
      </c>
      <c r="D23" s="563" t="s">
        <v>140</v>
      </c>
      <c r="E23" s="563"/>
      <c r="F23" s="827"/>
      <c r="G23" s="801"/>
      <c r="H23" s="568">
        <f t="shared" si="0"/>
        <v>0</v>
      </c>
    </row>
    <row r="24" spans="1:8">
      <c r="A24" s="825"/>
      <c r="B24" s="886"/>
      <c r="C24" s="567"/>
      <c r="D24" s="563"/>
      <c r="E24" s="563"/>
      <c r="F24" s="827"/>
      <c r="G24" s="801"/>
      <c r="H24" s="568"/>
    </row>
    <row r="25" spans="1:8">
      <c r="A25" s="825"/>
      <c r="B25" s="886"/>
      <c r="C25" s="567"/>
      <c r="D25" s="563"/>
      <c r="E25" s="563"/>
      <c r="F25" s="827"/>
      <c r="G25" s="801"/>
      <c r="H25" s="568"/>
    </row>
    <row r="26" spans="1:8">
      <c r="A26" s="825">
        <v>4</v>
      </c>
      <c r="B26" s="569" t="s">
        <v>467</v>
      </c>
      <c r="C26" s="567">
        <v>1</v>
      </c>
      <c r="D26" s="644" t="s">
        <v>140</v>
      </c>
      <c r="E26" s="644"/>
      <c r="F26" s="903"/>
      <c r="G26" s="801"/>
      <c r="H26" s="568">
        <f t="shared" si="0"/>
        <v>0</v>
      </c>
    </row>
    <row r="27" spans="1:8">
      <c r="A27" s="825"/>
      <c r="B27" s="569"/>
      <c r="C27" s="567"/>
      <c r="D27" s="644"/>
      <c r="E27" s="644"/>
      <c r="F27" s="903"/>
      <c r="G27" s="801"/>
      <c r="H27" s="568"/>
    </row>
    <row r="28" spans="1:8">
      <c r="A28" s="825"/>
      <c r="B28" s="569"/>
      <c r="C28" s="567"/>
      <c r="D28" s="644"/>
      <c r="E28" s="644"/>
      <c r="F28" s="903"/>
      <c r="G28" s="801"/>
      <c r="H28" s="568"/>
    </row>
    <row r="29" spans="1:8">
      <c r="A29" s="825">
        <v>5</v>
      </c>
      <c r="B29" s="569" t="s">
        <v>468</v>
      </c>
      <c r="C29" s="567">
        <v>1</v>
      </c>
      <c r="D29" s="644" t="s">
        <v>140</v>
      </c>
      <c r="E29" s="644"/>
      <c r="F29" s="903"/>
      <c r="G29" s="801"/>
      <c r="H29" s="568">
        <f t="shared" si="0"/>
        <v>0</v>
      </c>
    </row>
    <row r="30" spans="1:8">
      <c r="A30" s="825"/>
      <c r="B30" s="886"/>
      <c r="C30" s="567"/>
      <c r="D30" s="563"/>
      <c r="E30" s="563"/>
      <c r="F30" s="827"/>
      <c r="G30" s="801"/>
      <c r="H30" s="568"/>
    </row>
    <row r="31" spans="1:8">
      <c r="A31" s="825"/>
      <c r="B31" s="886"/>
      <c r="C31" s="567"/>
      <c r="D31" s="563"/>
      <c r="E31" s="563"/>
      <c r="F31" s="827"/>
      <c r="G31" s="801"/>
      <c r="H31" s="568"/>
    </row>
    <row r="32" spans="1:8">
      <c r="A32" s="825"/>
      <c r="B32" s="645" t="s">
        <v>469</v>
      </c>
      <c r="C32" s="567"/>
      <c r="D32" s="563"/>
      <c r="E32" s="563"/>
      <c r="F32" s="827"/>
      <c r="G32" s="801"/>
      <c r="H32" s="568"/>
    </row>
    <row r="33" spans="1:8">
      <c r="A33" s="825"/>
      <c r="B33" s="905"/>
      <c r="C33" s="567"/>
      <c r="D33" s="563"/>
      <c r="E33" s="563"/>
      <c r="F33" s="827"/>
      <c r="G33" s="801"/>
      <c r="H33" s="568"/>
    </row>
    <row r="34" spans="1:8">
      <c r="A34" s="825">
        <v>6</v>
      </c>
      <c r="B34" s="906" t="s">
        <v>470</v>
      </c>
      <c r="C34" s="567"/>
      <c r="D34" s="646"/>
      <c r="E34" s="646"/>
      <c r="F34" s="907"/>
      <c r="G34" s="801"/>
      <c r="H34" s="568"/>
    </row>
    <row r="35" spans="1:8">
      <c r="A35" s="825"/>
      <c r="B35" s="906"/>
      <c r="C35" s="567"/>
      <c r="D35" s="646"/>
      <c r="E35" s="646"/>
      <c r="F35" s="907"/>
      <c r="G35" s="801"/>
      <c r="H35" s="568"/>
    </row>
    <row r="36" spans="1:8">
      <c r="A36" s="825"/>
      <c r="B36" s="908" t="s">
        <v>471</v>
      </c>
      <c r="C36" s="567">
        <v>1</v>
      </c>
      <c r="D36" s="646" t="s">
        <v>140</v>
      </c>
      <c r="E36" s="646"/>
      <c r="F36" s="907"/>
      <c r="G36" s="801"/>
      <c r="H36" s="568">
        <f t="shared" si="0"/>
        <v>0</v>
      </c>
    </row>
    <row r="37" spans="1:8">
      <c r="A37" s="825"/>
      <c r="B37" s="908"/>
      <c r="C37" s="567"/>
      <c r="D37" s="646"/>
      <c r="E37" s="646"/>
      <c r="F37" s="907"/>
      <c r="G37" s="801"/>
      <c r="H37" s="568"/>
    </row>
    <row r="38" spans="1:8">
      <c r="A38" s="825"/>
      <c r="B38" s="908" t="s">
        <v>472</v>
      </c>
      <c r="C38" s="567">
        <v>14</v>
      </c>
      <c r="D38" s="646" t="s">
        <v>140</v>
      </c>
      <c r="E38" s="646"/>
      <c r="F38" s="907"/>
      <c r="G38" s="801"/>
      <c r="H38" s="568">
        <f t="shared" si="0"/>
        <v>0</v>
      </c>
    </row>
    <row r="39" spans="1:8">
      <c r="A39" s="825"/>
      <c r="B39" s="908"/>
      <c r="C39" s="567"/>
      <c r="D39" s="646"/>
      <c r="E39" s="646"/>
      <c r="F39" s="907"/>
      <c r="G39" s="801"/>
      <c r="H39" s="568"/>
    </row>
    <row r="40" spans="1:8">
      <c r="A40" s="825"/>
      <c r="B40" s="908" t="s">
        <v>473</v>
      </c>
      <c r="C40" s="567">
        <v>1</v>
      </c>
      <c r="D40" s="646" t="s">
        <v>140</v>
      </c>
      <c r="E40" s="646"/>
      <c r="F40" s="907"/>
      <c r="G40" s="801"/>
      <c r="H40" s="568">
        <f t="shared" si="0"/>
        <v>0</v>
      </c>
    </row>
    <row r="41" spans="1:8">
      <c r="A41" s="825"/>
      <c r="B41" s="909"/>
      <c r="C41" s="567"/>
      <c r="D41" s="646"/>
      <c r="E41" s="646"/>
      <c r="F41" s="907"/>
      <c r="G41" s="801"/>
      <c r="H41" s="568"/>
    </row>
    <row r="42" spans="1:8">
      <c r="A42" s="825"/>
      <c r="B42" s="647"/>
      <c r="C42" s="567"/>
      <c r="D42" s="646"/>
      <c r="E42" s="646"/>
      <c r="F42" s="907"/>
      <c r="G42" s="801"/>
      <c r="H42" s="568"/>
    </row>
    <row r="43" spans="1:8">
      <c r="A43" s="825">
        <v>7</v>
      </c>
      <c r="B43" s="647" t="s">
        <v>474</v>
      </c>
      <c r="C43" s="567">
        <v>9</v>
      </c>
      <c r="D43" s="646" t="s">
        <v>140</v>
      </c>
      <c r="E43" s="646"/>
      <c r="F43" s="907"/>
      <c r="G43" s="801"/>
      <c r="H43" s="568">
        <f t="shared" si="0"/>
        <v>0</v>
      </c>
    </row>
    <row r="44" spans="1:8">
      <c r="A44" s="825"/>
      <c r="B44" s="886"/>
      <c r="C44" s="567"/>
      <c r="D44" s="563"/>
      <c r="E44" s="563"/>
      <c r="F44" s="827"/>
      <c r="G44" s="801"/>
      <c r="H44" s="568"/>
    </row>
    <row r="45" spans="1:8">
      <c r="A45" s="825"/>
      <c r="B45" s="886"/>
      <c r="C45" s="567"/>
      <c r="D45" s="563"/>
      <c r="E45" s="563"/>
      <c r="F45" s="827"/>
      <c r="G45" s="801"/>
      <c r="H45" s="568"/>
    </row>
    <row r="46" spans="1:8">
      <c r="A46" s="825"/>
      <c r="B46" s="886"/>
      <c r="C46" s="567"/>
      <c r="D46" s="563"/>
      <c r="E46" s="563"/>
      <c r="F46" s="827"/>
      <c r="G46" s="801"/>
      <c r="H46" s="568"/>
    </row>
    <row r="47" spans="1:8">
      <c r="A47" s="825"/>
      <c r="B47" s="886"/>
      <c r="C47" s="567"/>
      <c r="D47" s="563"/>
      <c r="E47" s="563"/>
      <c r="F47" s="827"/>
      <c r="G47" s="801"/>
      <c r="H47" s="568"/>
    </row>
    <row r="48" spans="1:8">
      <c r="A48" s="825"/>
      <c r="B48" s="886"/>
      <c r="C48" s="567"/>
      <c r="D48" s="563"/>
      <c r="E48" s="563"/>
      <c r="F48" s="827"/>
      <c r="G48" s="801"/>
      <c r="H48" s="568"/>
    </row>
    <row r="49" spans="1:8">
      <c r="A49" s="825"/>
      <c r="B49" s="886"/>
      <c r="C49" s="567"/>
      <c r="D49" s="563"/>
      <c r="E49" s="563"/>
      <c r="F49" s="827"/>
      <c r="G49" s="801"/>
      <c r="H49" s="568"/>
    </row>
    <row r="50" spans="1:8" ht="12" customHeight="1">
      <c r="A50" s="825"/>
      <c r="B50" s="569"/>
      <c r="C50" s="567"/>
      <c r="D50" s="563"/>
      <c r="E50" s="563"/>
      <c r="F50" s="827"/>
      <c r="G50" s="801"/>
      <c r="H50" s="568"/>
    </row>
    <row r="51" spans="1:8" ht="12" customHeight="1">
      <c r="A51" s="825"/>
      <c r="B51" s="569"/>
      <c r="C51" s="567"/>
      <c r="D51" s="563"/>
      <c r="E51" s="563"/>
      <c r="F51" s="827"/>
      <c r="G51" s="801"/>
      <c r="H51" s="568"/>
    </row>
    <row r="52" spans="1:8" ht="12" customHeight="1" thickBot="1">
      <c r="A52" s="853"/>
      <c r="B52" s="572"/>
      <c r="C52" s="564"/>
      <c r="D52" s="563"/>
      <c r="E52" s="563"/>
      <c r="F52" s="827"/>
      <c r="G52" s="801"/>
      <c r="H52" s="568"/>
    </row>
    <row r="53" spans="1:8" ht="12" customHeight="1">
      <c r="A53" s="838"/>
      <c r="B53" s="573"/>
      <c r="C53" s="574"/>
      <c r="D53" s="795"/>
      <c r="E53" s="796"/>
      <c r="F53" s="839"/>
      <c r="G53" s="806"/>
      <c r="H53" s="597"/>
    </row>
    <row r="54" spans="1:8" ht="12" customHeight="1">
      <c r="A54" s="840"/>
      <c r="B54" s="841" t="s">
        <v>270</v>
      </c>
      <c r="C54" s="842"/>
      <c r="D54" s="797"/>
      <c r="E54" s="575">
        <f>SUM(E6:E52)</f>
        <v>0</v>
      </c>
      <c r="F54" s="843">
        <f>SUM(F6:F52)</f>
        <v>0</v>
      </c>
      <c r="G54" s="807"/>
      <c r="H54" s="575">
        <f>SUM(H6:H52)</f>
        <v>0</v>
      </c>
    </row>
    <row r="55" spans="1:8" ht="12" customHeight="1">
      <c r="A55" s="844"/>
      <c r="B55" s="576"/>
      <c r="C55" s="577"/>
      <c r="D55" s="798"/>
      <c r="E55" s="799"/>
      <c r="F55" s="845"/>
      <c r="G55" s="808"/>
      <c r="H55" s="598"/>
    </row>
    <row r="56" spans="1:8" ht="12" customHeight="1">
      <c r="A56" s="846"/>
      <c r="B56" s="578"/>
      <c r="C56" s="552"/>
      <c r="D56" s="551"/>
      <c r="E56" s="551"/>
      <c r="F56" s="847"/>
      <c r="G56" s="553"/>
      <c r="H56" s="554"/>
    </row>
    <row r="57" spans="1:8" ht="12" customHeight="1">
      <c r="A57" s="848"/>
      <c r="B57" s="849"/>
      <c r="C57" s="817"/>
      <c r="D57" s="816"/>
      <c r="E57" s="816"/>
      <c r="F57" s="818"/>
      <c r="G57" s="556"/>
      <c r="H57" s="557"/>
    </row>
    <row r="58" spans="1:8" ht="12" customHeight="1">
      <c r="A58" s="848"/>
      <c r="B58" s="849"/>
      <c r="C58" s="817"/>
      <c r="D58" s="816"/>
      <c r="E58" s="816"/>
      <c r="F58" s="818"/>
      <c r="G58" s="556"/>
      <c r="H58" s="557"/>
    </row>
    <row r="59" spans="1:8">
      <c r="A59" s="840"/>
      <c r="B59" s="850"/>
      <c r="C59" s="821"/>
      <c r="D59" s="820"/>
      <c r="E59" s="820"/>
      <c r="F59" s="822"/>
      <c r="G59" s="558"/>
      <c r="H59" s="582"/>
    </row>
    <row r="60" spans="1:8" ht="27" thickBot="1">
      <c r="A60" s="851" t="s">
        <v>266</v>
      </c>
      <c r="B60" s="559"/>
      <c r="C60" s="561" t="s">
        <v>267</v>
      </c>
      <c r="D60" s="560" t="s">
        <v>257</v>
      </c>
      <c r="E60" s="794" t="s">
        <v>539</v>
      </c>
      <c r="F60" s="824" t="s">
        <v>540</v>
      </c>
      <c r="G60" s="800" t="s">
        <v>268</v>
      </c>
      <c r="H60" s="562" t="s">
        <v>258</v>
      </c>
    </row>
    <row r="61" spans="1:8">
      <c r="A61" s="825"/>
      <c r="B61" s="826"/>
      <c r="C61" s="564"/>
      <c r="D61" s="563"/>
      <c r="E61" s="563"/>
      <c r="F61" s="827"/>
      <c r="G61" s="801"/>
      <c r="H61" s="568"/>
    </row>
    <row r="62" spans="1:8">
      <c r="A62" s="825" t="s">
        <v>485</v>
      </c>
      <c r="B62" s="1012" t="s">
        <v>475</v>
      </c>
      <c r="C62" s="567"/>
      <c r="D62" s="563"/>
      <c r="E62" s="563"/>
      <c r="F62" s="827"/>
      <c r="G62" s="801"/>
      <c r="H62" s="568"/>
    </row>
    <row r="63" spans="1:8">
      <c r="A63" s="825"/>
      <c r="B63" s="886"/>
      <c r="C63" s="567"/>
      <c r="D63" s="563"/>
      <c r="E63" s="563"/>
      <c r="F63" s="827"/>
      <c r="G63" s="801"/>
      <c r="H63" s="568"/>
    </row>
    <row r="64" spans="1:8" ht="39.6">
      <c r="A64" s="825" t="s">
        <v>495</v>
      </c>
      <c r="B64" s="1013" t="s">
        <v>476</v>
      </c>
      <c r="C64" s="567"/>
      <c r="D64" s="563"/>
      <c r="E64" s="563"/>
      <c r="F64" s="827"/>
      <c r="G64" s="802"/>
      <c r="H64" s="588"/>
    </row>
    <row r="65" spans="1:8">
      <c r="A65" s="825"/>
      <c r="B65" s="886"/>
      <c r="C65" s="567"/>
      <c r="D65" s="563"/>
      <c r="E65" s="563"/>
      <c r="F65" s="827"/>
      <c r="G65" s="802"/>
      <c r="H65" s="588"/>
    </row>
    <row r="66" spans="1:8">
      <c r="A66" s="825" t="s">
        <v>275</v>
      </c>
      <c r="B66" s="1014" t="s">
        <v>477</v>
      </c>
      <c r="C66" s="567">
        <v>1</v>
      </c>
      <c r="D66" s="563" t="s">
        <v>140</v>
      </c>
      <c r="E66" s="565"/>
      <c r="F66" s="893"/>
      <c r="G66" s="802">
        <f>Elec_Est!E368</f>
        <v>0</v>
      </c>
      <c r="H66" s="588">
        <f>G66*C66</f>
        <v>0</v>
      </c>
    </row>
    <row r="67" spans="1:8">
      <c r="A67" s="825"/>
      <c r="B67" s="1014"/>
      <c r="C67" s="567"/>
      <c r="D67" s="563"/>
      <c r="E67" s="565"/>
      <c r="F67" s="893"/>
      <c r="G67" s="802"/>
      <c r="H67" s="588"/>
    </row>
    <row r="68" spans="1:8">
      <c r="A68" s="825" t="s">
        <v>278</v>
      </c>
      <c r="B68" s="1014" t="s">
        <v>478</v>
      </c>
      <c r="C68" s="567">
        <v>1</v>
      </c>
      <c r="D68" s="563" t="s">
        <v>140</v>
      </c>
      <c r="E68" s="565"/>
      <c r="F68" s="893"/>
      <c r="G68" s="802">
        <f>Elec_Est!E374</f>
        <v>0</v>
      </c>
      <c r="H68" s="588">
        <f t="shared" ref="H68:H84" si="1">G68*C68</f>
        <v>0</v>
      </c>
    </row>
    <row r="69" spans="1:8">
      <c r="A69" s="825"/>
      <c r="B69" s="569"/>
      <c r="C69" s="567"/>
      <c r="D69" s="563"/>
      <c r="E69" s="565"/>
      <c r="F69" s="893"/>
      <c r="G69" s="801"/>
      <c r="H69" s="568"/>
    </row>
    <row r="70" spans="1:8">
      <c r="A70" s="825"/>
      <c r="B70" s="569"/>
      <c r="C70" s="567"/>
      <c r="D70" s="563"/>
      <c r="E70" s="565"/>
      <c r="F70" s="893"/>
      <c r="G70" s="801"/>
      <c r="H70" s="568"/>
    </row>
    <row r="71" spans="1:8">
      <c r="A71" s="831" t="s">
        <v>485</v>
      </c>
      <c r="B71" s="653" t="s">
        <v>479</v>
      </c>
      <c r="C71" s="567"/>
      <c r="D71" s="563"/>
      <c r="E71" s="565"/>
      <c r="F71" s="893"/>
      <c r="G71" s="801"/>
      <c r="H71" s="568"/>
    </row>
    <row r="72" spans="1:8">
      <c r="A72" s="825"/>
      <c r="B72" s="886"/>
      <c r="C72" s="567"/>
      <c r="D72" s="563"/>
      <c r="E72" s="565"/>
      <c r="F72" s="893"/>
      <c r="G72" s="801"/>
      <c r="H72" s="568"/>
    </row>
    <row r="73" spans="1:8" ht="92.4">
      <c r="A73" s="831">
        <v>9</v>
      </c>
      <c r="B73" s="910" t="s">
        <v>480</v>
      </c>
      <c r="C73" s="586">
        <v>1</v>
      </c>
      <c r="D73" s="585" t="s">
        <v>269</v>
      </c>
      <c r="E73" s="587">
        <f>Elec_Est!AM384</f>
        <v>127.89</v>
      </c>
      <c r="F73" s="833">
        <f>Elec_Est!AN384</f>
        <v>3.16</v>
      </c>
      <c r="G73" s="802">
        <f>Elec_Est!E384</f>
        <v>214.66</v>
      </c>
      <c r="H73" s="588">
        <f t="shared" si="1"/>
        <v>214.66</v>
      </c>
    </row>
    <row r="74" spans="1:8">
      <c r="A74" s="825"/>
      <c r="B74" s="886"/>
      <c r="C74" s="567"/>
      <c r="D74" s="563"/>
      <c r="E74" s="565"/>
      <c r="F74" s="893"/>
      <c r="G74" s="801"/>
      <c r="H74" s="568"/>
    </row>
    <row r="75" spans="1:8">
      <c r="A75" s="825"/>
      <c r="B75" s="886"/>
      <c r="C75" s="567"/>
      <c r="D75" s="563"/>
      <c r="E75" s="565"/>
      <c r="F75" s="893"/>
      <c r="G75" s="801"/>
      <c r="H75" s="568"/>
    </row>
    <row r="76" spans="1:8" ht="92.4">
      <c r="A76" s="831">
        <v>10</v>
      </c>
      <c r="B76" s="910" t="s">
        <v>481</v>
      </c>
      <c r="C76" s="586">
        <v>1</v>
      </c>
      <c r="D76" s="585" t="s">
        <v>269</v>
      </c>
      <c r="E76" s="587">
        <f>Elec_Est!AM403</f>
        <v>127.89</v>
      </c>
      <c r="F76" s="833">
        <f>Elec_Est!AN403</f>
        <v>3.16</v>
      </c>
      <c r="G76" s="802">
        <f>Elec_Est!E403</f>
        <v>214.66</v>
      </c>
      <c r="H76" s="588">
        <f t="shared" si="1"/>
        <v>214.66</v>
      </c>
    </row>
    <row r="77" spans="1:8">
      <c r="A77" s="825"/>
      <c r="B77" s="886"/>
      <c r="C77" s="567"/>
      <c r="D77" s="563"/>
      <c r="E77" s="563"/>
      <c r="F77" s="827"/>
      <c r="G77" s="801"/>
      <c r="H77" s="568"/>
    </row>
    <row r="78" spans="1:8">
      <c r="A78" s="825"/>
      <c r="B78" s="649"/>
      <c r="C78" s="564"/>
      <c r="D78" s="563"/>
      <c r="E78" s="563"/>
      <c r="F78" s="827"/>
      <c r="G78" s="801"/>
      <c r="H78" s="568"/>
    </row>
    <row r="79" spans="1:8">
      <c r="A79" s="825"/>
      <c r="B79" s="648" t="s">
        <v>482</v>
      </c>
      <c r="C79" s="567"/>
      <c r="D79" s="563"/>
      <c r="E79" s="563"/>
      <c r="F79" s="827"/>
      <c r="G79" s="801"/>
      <c r="H79" s="568"/>
    </row>
    <row r="80" spans="1:8">
      <c r="A80" s="825"/>
      <c r="B80" s="911"/>
      <c r="C80" s="567"/>
      <c r="D80" s="563"/>
      <c r="E80" s="563"/>
      <c r="F80" s="827"/>
      <c r="G80" s="801"/>
      <c r="H80" s="568"/>
    </row>
    <row r="81" spans="1:8" ht="26.4">
      <c r="A81" s="825">
        <v>11</v>
      </c>
      <c r="B81" s="912" t="s">
        <v>483</v>
      </c>
      <c r="C81" s="567">
        <v>1</v>
      </c>
      <c r="D81" s="646" t="s">
        <v>269</v>
      </c>
      <c r="E81" s="646"/>
      <c r="F81" s="907"/>
      <c r="G81" s="801"/>
      <c r="H81" s="568">
        <f t="shared" si="1"/>
        <v>0</v>
      </c>
    </row>
    <row r="82" spans="1:8">
      <c r="A82" s="825"/>
      <c r="B82" s="911"/>
      <c r="C82" s="567"/>
      <c r="D82" s="646"/>
      <c r="E82" s="646"/>
      <c r="F82" s="907"/>
      <c r="G82" s="801"/>
      <c r="H82" s="568"/>
    </row>
    <row r="83" spans="1:8">
      <c r="A83" s="825"/>
      <c r="B83" s="911"/>
      <c r="C83" s="567"/>
      <c r="D83" s="563"/>
      <c r="E83" s="563"/>
      <c r="F83" s="827"/>
      <c r="G83" s="801"/>
      <c r="H83" s="568"/>
    </row>
    <row r="84" spans="1:8" ht="52.8">
      <c r="A84" s="825">
        <v>12</v>
      </c>
      <c r="B84" s="913" t="s">
        <v>484</v>
      </c>
      <c r="C84" s="567">
        <v>1</v>
      </c>
      <c r="D84" s="646" t="s">
        <v>269</v>
      </c>
      <c r="E84" s="646"/>
      <c r="F84" s="907"/>
      <c r="G84" s="801"/>
      <c r="H84" s="568">
        <f t="shared" si="1"/>
        <v>0</v>
      </c>
    </row>
    <row r="85" spans="1:8">
      <c r="A85" s="825"/>
      <c r="B85" s="912"/>
      <c r="C85" s="567"/>
      <c r="D85" s="646"/>
      <c r="E85" s="646"/>
      <c r="F85" s="907"/>
      <c r="G85" s="801"/>
      <c r="H85" s="568"/>
    </row>
    <row r="86" spans="1:8">
      <c r="A86" s="825"/>
      <c r="B86" s="911"/>
      <c r="C86" s="567"/>
      <c r="D86" s="563"/>
      <c r="E86" s="563"/>
      <c r="F86" s="827"/>
      <c r="G86" s="801"/>
      <c r="H86" s="568"/>
    </row>
    <row r="87" spans="1:8">
      <c r="A87" s="825"/>
      <c r="B87" s="852"/>
      <c r="C87" s="570"/>
      <c r="D87" s="563"/>
      <c r="E87" s="563"/>
      <c r="F87" s="827"/>
      <c r="G87" s="801"/>
      <c r="H87" s="568"/>
    </row>
    <row r="88" spans="1:8">
      <c r="A88" s="825"/>
      <c r="B88" s="852"/>
      <c r="C88" s="567"/>
      <c r="D88" s="563"/>
      <c r="E88" s="563"/>
      <c r="F88" s="827"/>
      <c r="G88" s="801"/>
      <c r="H88" s="568"/>
    </row>
    <row r="89" spans="1:8">
      <c r="A89" s="825"/>
      <c r="B89" s="852"/>
      <c r="C89" s="570"/>
      <c r="D89" s="563"/>
      <c r="E89" s="563"/>
      <c r="F89" s="827"/>
      <c r="G89" s="801"/>
      <c r="H89" s="568"/>
    </row>
    <row r="90" spans="1:8">
      <c r="A90" s="825"/>
      <c r="B90" s="852"/>
      <c r="C90" s="570"/>
      <c r="D90" s="563"/>
      <c r="E90" s="563"/>
      <c r="F90" s="827"/>
      <c r="G90" s="801"/>
      <c r="H90" s="568"/>
    </row>
    <row r="91" spans="1:8">
      <c r="A91" s="825"/>
      <c r="B91" s="852"/>
      <c r="C91" s="570"/>
      <c r="D91" s="563"/>
      <c r="E91" s="563"/>
      <c r="F91" s="827"/>
      <c r="G91" s="801"/>
      <c r="H91" s="568"/>
    </row>
    <row r="92" spans="1:8">
      <c r="A92" s="825"/>
      <c r="B92" s="852"/>
      <c r="C92" s="570"/>
      <c r="D92" s="563"/>
      <c r="E92" s="563"/>
      <c r="F92" s="827"/>
      <c r="G92" s="801"/>
      <c r="H92" s="568"/>
    </row>
    <row r="93" spans="1:8">
      <c r="A93" s="825"/>
      <c r="B93" s="852"/>
      <c r="C93" s="570"/>
      <c r="D93" s="563"/>
      <c r="E93" s="563"/>
      <c r="F93" s="827"/>
      <c r="G93" s="801"/>
      <c r="H93" s="568"/>
    </row>
    <row r="94" spans="1:8">
      <c r="A94" s="825"/>
      <c r="B94" s="852"/>
      <c r="C94" s="570"/>
      <c r="D94" s="563"/>
      <c r="E94" s="563"/>
      <c r="F94" s="827"/>
      <c r="G94" s="801"/>
      <c r="H94" s="568"/>
    </row>
    <row r="95" spans="1:8" ht="13.8" thickBot="1">
      <c r="A95" s="853"/>
      <c r="B95" s="826"/>
      <c r="C95" s="564"/>
      <c r="D95" s="563"/>
      <c r="E95" s="563"/>
      <c r="F95" s="827"/>
      <c r="G95" s="801"/>
      <c r="H95" s="568"/>
    </row>
    <row r="96" spans="1:8">
      <c r="A96" s="838"/>
      <c r="B96" s="573"/>
      <c r="C96" s="574"/>
      <c r="D96" s="795"/>
      <c r="E96" s="796"/>
      <c r="F96" s="839"/>
      <c r="G96" s="806"/>
      <c r="H96" s="597"/>
    </row>
    <row r="97" spans="1:8">
      <c r="A97" s="840"/>
      <c r="B97" s="841" t="s">
        <v>270</v>
      </c>
      <c r="C97" s="842"/>
      <c r="D97" s="797"/>
      <c r="E97" s="575">
        <f>SUM(E61:E95)</f>
        <v>255.78</v>
      </c>
      <c r="F97" s="843">
        <f>SUM(F61:F95)</f>
        <v>6.32</v>
      </c>
      <c r="G97" s="807"/>
      <c r="H97" s="575">
        <f>SUM(H61:H95)</f>
        <v>429.32</v>
      </c>
    </row>
    <row r="98" spans="1:8" ht="13.8" thickBot="1">
      <c r="A98" s="874"/>
      <c r="B98" s="875"/>
      <c r="C98" s="876"/>
      <c r="D98" s="877"/>
      <c r="E98" s="878"/>
      <c r="F98" s="879"/>
      <c r="G98" s="808"/>
      <c r="H98" s="59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Notes</vt:lpstr>
      <vt:lpstr>Elec_Rates</vt:lpstr>
      <vt:lpstr>Elec_Est</vt:lpstr>
      <vt:lpstr>ML_Sum</vt:lpstr>
      <vt:lpstr>Quote</vt:lpstr>
      <vt:lpstr>Plumbing</vt:lpstr>
      <vt:lpstr>Rain water &amp; Drainage</vt:lpstr>
      <vt:lpstr>Fire Fighting</vt:lpstr>
      <vt:lpstr>AREAS</vt:lpstr>
      <vt:lpstr>Elec_Est!Print_Area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Empty Estimate Linked to Quote &amp; CCodes</dc:title>
  <dc:creator>Michael Vella</dc:creator>
  <cp:lastModifiedBy>Guy Baranyay</cp:lastModifiedBy>
  <cp:lastPrinted>2024-11-20T15:00:16Z</cp:lastPrinted>
  <dcterms:created xsi:type="dcterms:W3CDTF">2004-05-27T15:45:27Z</dcterms:created>
  <dcterms:modified xsi:type="dcterms:W3CDTF">2026-04-02T06:40:14Z</dcterms:modified>
  <cp:contentStatus/>
</cp:coreProperties>
</file>