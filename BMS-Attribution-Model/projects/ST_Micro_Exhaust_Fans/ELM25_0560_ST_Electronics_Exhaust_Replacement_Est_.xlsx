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ST_Micro_Exhaust_Fans/"/>
    </mc:Choice>
  </mc:AlternateContent>
  <xr:revisionPtr revIDLastSave="1" documentId="13_ncr:1_{F8A903D3-4813-4B1D-AEC9-7CAEB1017203}" xr6:coauthVersionLast="47" xr6:coauthVersionMax="47" xr10:uidLastSave="{2F2C1F04-7C82-450E-B098-1628FC6917FB}"/>
  <bookViews>
    <workbookView xWindow="-108" yWindow="-108" windowWidth="23256" windowHeight="12456" activeTab="4" xr2:uid="{C4FBD985-2E2B-47AA-9C90-ADD177DE80E7}"/>
  </bookViews>
  <sheets>
    <sheet name="Notes" sheetId="10" r:id="rId1"/>
    <sheet name="Quote" sheetId="18" r:id="rId2"/>
    <sheet name="ML_Sum" sheetId="1" r:id="rId3"/>
    <sheet name="Elec_Rates" sheetId="11" r:id="rId4"/>
    <sheet name="Elec_Est" sheetId="8" r:id="rId5"/>
    <sheet name="E_BOQ" sheetId="29"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tab89">'[1]Table 8 &amp; 9'!$B$4:$D$440</definedName>
    <definedName name="_xlnm._FilterDatabase" localSheetId="5" hidden="1">E_BOQ!$E$1:$E$51</definedName>
    <definedName name="_xlnm._FilterDatabase" localSheetId="4" hidden="1">Elec_Est!$G$1:$G$217</definedName>
    <definedName name="_xlnm._FilterDatabase" localSheetId="3" hidden="1">Elec_Rates!$L$1:$L$194</definedName>
    <definedName name="_Key1" hidden="1">#REF!</definedName>
    <definedName name="_N">#REF!</definedName>
    <definedName name="_Order1" hidden="1">255</definedName>
    <definedName name="_Sort" hidden="1">'[2]Estimate Sheet.'!#REF!</definedName>
    <definedName name="_tab89">'[1]Table 8 &amp; 9'!$B$4:$D$440</definedName>
    <definedName name="A">#REF!</definedName>
    <definedName name="aaaa">#REF!</definedName>
    <definedName name="abcd">#REF!</definedName>
    <definedName name="Access_BMS">[3]BMS_Estimate!#REF!</definedName>
    <definedName name="Access_Control">[4]Elec_Est!#REF!</definedName>
    <definedName name="Access_Supply">[3]BMS_Estimate!#REF!</definedName>
    <definedName name="Access_Wiring">[3]BMS_Estimate!#REF!</definedName>
    <definedName name="AddedMat">'[5]Data Upload D'!$E$8:$E$9</definedName>
    <definedName name="ANS">#REF!</definedName>
    <definedName name="AREAS" localSheetId="5">#REF!</definedName>
    <definedName name="AREAS" localSheetId="1">[4]ML_Sum!$X$1:$AD$16</definedName>
    <definedName name="AREAS">ML_Sum!$X$1:$AD$16</definedName>
    <definedName name="ASD">#REF!</definedName>
    <definedName name="B">#REF!</definedName>
    <definedName name="BILL3">[6]LIST!$B$56:$B$114</definedName>
    <definedName name="BILL4">[6]LIST!$B$116:$B$223</definedName>
    <definedName name="BILL5">[6]LIST!$B$225:$B$290</definedName>
    <definedName name="BILL6">[6]LIST!$B$293:$B$357</definedName>
    <definedName name="BILL7">[6]LIST!$B$360:$B$423</definedName>
    <definedName name="Bill9">[6]BoQ_1020!$B$638:$B$702</definedName>
    <definedName name="boq">#REF!</definedName>
    <definedName name="C_">#REF!</definedName>
    <definedName name="CCTV">[4]Elec_Est!#REF!</definedName>
    <definedName name="Cert">[7]Data!$A$1:$H$65536</definedName>
    <definedName name="CHILLERS">Elec_Est!$A$16</definedName>
    <definedName name="CONCRETE">#REF!</definedName>
    <definedName name="Contractor2">'[8]1. Cover Sheet'!$C$11</definedName>
    <definedName name="Data">[4]Elec_Est!#REF!</definedName>
    <definedName name="DATA_5">[9]Data!$A$1:$H$65536</definedName>
    <definedName name="DATA_SYSTEM">#REF!</definedName>
    <definedName name="day_works">#REF!</definedName>
    <definedName name="DAYWORKS">#REF!</definedName>
    <definedName name="Excavation">[10]List!$B$275:$B$307</definedName>
    <definedName name="Excel_BuiltIn__FilterDatabase_1">#REF!</definedName>
    <definedName name="Excel_BuiltIn__FilterDatabase_4">#REF!</definedName>
    <definedName name="Excel_BuiltIn_Print_Area_4">#REF!</definedName>
    <definedName name="Fire_Alarm">[4]Elec_Est!#REF!</definedName>
    <definedName name="FO">[4]Elec_Est!#REF!</definedName>
    <definedName name="ghuk">[11]Data!$A$1:$H$65536</definedName>
    <definedName name="Guard">[4]Elec_Est!#REF!</definedName>
    <definedName name="Intercom">[4]Elec_Est!#REF!</definedName>
    <definedName name="Intruder_Alarm">[4]Elec_Est!#REF!</definedName>
    <definedName name="LEVEL">#REF!</definedName>
    <definedName name="LIGHTNING_PROTECTION">#REF!</definedName>
    <definedName name="list">[12]workings!$K$5:$K$6</definedName>
    <definedName name="LIST2">#REF!</definedName>
    <definedName name="list3">'[13]MoW 1010'!$B$161:$B$183</definedName>
    <definedName name="MASONRY">#REF!</definedName>
    <definedName name="MISCELLANEOUS">#REF!</definedName>
    <definedName name="Persons">[14]Estimate!#REF!</definedName>
    <definedName name="_xlnm.Print_Area" localSheetId="5">E_BOQ!$A$1:$H$51</definedName>
    <definedName name="_xlnm.Print_Area" localSheetId="4">Elec_Est!$A$1:$T$216</definedName>
    <definedName name="Print_Area_MI">#REF!</definedName>
    <definedName name="Pumps">Elec_Est!#REF!</definedName>
    <definedName name="RAMON">#REF!</definedName>
    <definedName name="REINFORCEMENT">#REF!</definedName>
    <definedName name="ROOFING">#REF!</definedName>
    <definedName name="sdgdfg">[15]Data!$A$1:$H$65536</definedName>
    <definedName name="steel">[10]List!$B$161:$B$178</definedName>
    <definedName name="T">#REF!</definedName>
    <definedName name="Traffic_Barriers">[3]BMS_Estimate!#REF!</definedName>
    <definedName name="UNIT">#REF!</definedName>
    <definedName name="unit1">[13]List!$C$2:$C$8</definedName>
    <definedName name="VALUATION">#REF!</definedName>
    <definedName name="WATERPROOFING">#REF!</definedName>
    <definedName name="Z">#REF!</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8" i="8" l="1"/>
  <c r="Q98" i="8"/>
  <c r="R98" i="8" s="1"/>
  <c r="S59" i="8"/>
  <c r="R54" i="8"/>
  <c r="R59" i="8"/>
  <c r="S78" i="8"/>
  <c r="R78" i="8"/>
  <c r="S58" i="8"/>
  <c r="R58" i="8"/>
  <c r="D17" i="29" l="1"/>
  <c r="C17" i="29"/>
  <c r="B17" i="29"/>
  <c r="A17" i="29"/>
  <c r="R111" i="8"/>
  <c r="R112" i="8"/>
  <c r="T4" i="1"/>
  <c r="D15" i="29"/>
  <c r="C15" i="29"/>
  <c r="B15" i="29"/>
  <c r="A15" i="29"/>
  <c r="D13" i="29"/>
  <c r="C13" i="29"/>
  <c r="B13" i="29"/>
  <c r="A13" i="29"/>
  <c r="D11" i="29"/>
  <c r="C11" i="29"/>
  <c r="B11" i="29"/>
  <c r="A11" i="29"/>
  <c r="D9" i="29"/>
  <c r="C9" i="29"/>
  <c r="B9" i="29"/>
  <c r="A9" i="29"/>
  <c r="D7" i="29"/>
  <c r="C7" i="29"/>
  <c r="B7" i="29"/>
  <c r="A7" i="29"/>
  <c r="D5" i="29"/>
  <c r="C5" i="29"/>
  <c r="B5" i="29"/>
  <c r="A5" i="29"/>
  <c r="B3" i="29"/>
  <c r="A3" i="29"/>
  <c r="R113" i="8" l="1"/>
  <c r="AM109" i="8" s="1"/>
  <c r="G17" i="29" s="1"/>
  <c r="D32" i="8"/>
  <c r="C32" i="8"/>
  <c r="D34" i="8"/>
  <c r="C34" i="8"/>
  <c r="D31" i="8"/>
  <c r="D33" i="8"/>
  <c r="R104" i="8" l="1"/>
  <c r="R103" i="8"/>
  <c r="R102" i="8"/>
  <c r="R99" i="8"/>
  <c r="R95" i="8"/>
  <c r="R94" i="8"/>
  <c r="R93" i="8"/>
  <c r="R84" i="8"/>
  <c r="R83" i="8"/>
  <c r="R82" i="8"/>
  <c r="R79" i="8"/>
  <c r="R75" i="8"/>
  <c r="R74" i="8"/>
  <c r="R73" i="8"/>
  <c r="R53" i="8"/>
  <c r="R52" i="8"/>
  <c r="R64" i="8"/>
  <c r="R63" i="8"/>
  <c r="R60" i="8"/>
  <c r="R55" i="8"/>
  <c r="R80" i="8" l="1"/>
  <c r="R85" i="8"/>
  <c r="R65" i="8"/>
  <c r="R100" i="8"/>
  <c r="R76" i="8"/>
  <c r="R105" i="8"/>
  <c r="R96" i="8"/>
  <c r="R107" i="8" s="1"/>
  <c r="R61" i="8"/>
  <c r="R56" i="8"/>
  <c r="R44" i="8"/>
  <c r="R29" i="8"/>
  <c r="R42" i="8"/>
  <c r="R30" i="8"/>
  <c r="R43" i="8"/>
  <c r="R28" i="8"/>
  <c r="R27" i="8"/>
  <c r="R41" i="8"/>
  <c r="R45" i="8"/>
  <c r="R40" i="8"/>
  <c r="R67" i="8" l="1"/>
  <c r="AM48" i="8" s="1"/>
  <c r="G11" i="29" s="1"/>
  <c r="R87" i="8"/>
  <c r="AM69" i="8" s="1"/>
  <c r="G13" i="29" s="1"/>
  <c r="AM89" i="8"/>
  <c r="G15" i="29" s="1"/>
  <c r="R46" i="8"/>
  <c r="AM38" i="8" s="1"/>
  <c r="G9" i="29" s="1"/>
  <c r="R21" i="8"/>
  <c r="Q34" i="11"/>
  <c r="Q33" i="11"/>
  <c r="Q32" i="11"/>
  <c r="Q31" i="11"/>
  <c r="Q30" i="11"/>
  <c r="Q29" i="11"/>
  <c r="Q28" i="11"/>
  <c r="D51" i="29"/>
  <c r="D215" i="8"/>
  <c r="R122" i="11"/>
  <c r="R43" i="11" l="1"/>
  <c r="R94" i="11"/>
  <c r="R83" i="11"/>
  <c r="R72" i="11"/>
  <c r="R61" i="11"/>
  <c r="R51" i="11" l="1"/>
  <c r="D95" i="1" l="1"/>
  <c r="D175" i="1" s="1"/>
  <c r="Z137" i="8" l="1"/>
  <c r="T3" i="1" l="1"/>
  <c r="D214" i="8" l="1"/>
  <c r="D213" i="8"/>
  <c r="D212" i="8"/>
  <c r="R107" i="11" l="1"/>
  <c r="R38" i="11" l="1"/>
  <c r="R35" i="8" l="1"/>
  <c r="R22" i="8"/>
  <c r="D7" i="18" l="1"/>
  <c r="D8" i="18"/>
  <c r="D9" i="18"/>
  <c r="D10" i="18"/>
  <c r="D6" i="18"/>
  <c r="A1" i="18" l="1"/>
  <c r="A2" i="18" l="1"/>
  <c r="D5" i="18" s="1"/>
  <c r="S5" i="18"/>
  <c r="F136" i="8" l="1"/>
  <c r="F135" i="8"/>
  <c r="F31" i="1" s="1"/>
  <c r="A31" i="1" s="1"/>
  <c r="F134" i="8"/>
  <c r="F30" i="1" s="1"/>
  <c r="F133" i="8"/>
  <c r="F29" i="1" s="1"/>
  <c r="F132" i="8"/>
  <c r="F28" i="1" s="1"/>
  <c r="A28" i="1" s="1"/>
  <c r="F131" i="8"/>
  <c r="F27" i="1" s="1"/>
  <c r="F130" i="8"/>
  <c r="F26" i="1" s="1"/>
  <c r="T1" i="8"/>
  <c r="T98" i="8" s="1"/>
  <c r="T2" i="1"/>
  <c r="T2" i="8" s="1"/>
  <c r="J24" i="1"/>
  <c r="J25" i="1"/>
  <c r="J26" i="1"/>
  <c r="J27" i="1"/>
  <c r="J28" i="1"/>
  <c r="J29" i="1"/>
  <c r="J30" i="1"/>
  <c r="J31" i="1"/>
  <c r="J32" i="1"/>
  <c r="J23" i="1"/>
  <c r="H24" i="1"/>
  <c r="I24" i="1"/>
  <c r="H25" i="1"/>
  <c r="I25" i="1"/>
  <c r="H26" i="1"/>
  <c r="I26" i="1"/>
  <c r="H27" i="1"/>
  <c r="I27" i="1"/>
  <c r="H28" i="1"/>
  <c r="I28" i="1"/>
  <c r="H29" i="1"/>
  <c r="I29" i="1"/>
  <c r="H30" i="1"/>
  <c r="I30" i="1"/>
  <c r="H31" i="1"/>
  <c r="I31" i="1"/>
  <c r="H32" i="1"/>
  <c r="I32" i="1"/>
  <c r="H23" i="1"/>
  <c r="R136" i="8"/>
  <c r="R32" i="1" s="1"/>
  <c r="T136" i="8"/>
  <c r="T32" i="1" s="1"/>
  <c r="T135" i="8"/>
  <c r="R135" i="8"/>
  <c r="R31" i="1" s="1"/>
  <c r="T134" i="8"/>
  <c r="R134" i="8"/>
  <c r="R30" i="1" s="1"/>
  <c r="T133" i="8"/>
  <c r="R133" i="8"/>
  <c r="R29" i="1" s="1"/>
  <c r="T132" i="8"/>
  <c r="R132" i="8"/>
  <c r="R28" i="1" s="1"/>
  <c r="T131" i="8"/>
  <c r="R131" i="8"/>
  <c r="R27" i="1" s="1"/>
  <c r="T130" i="8"/>
  <c r="R130" i="8"/>
  <c r="R26" i="1" s="1"/>
  <c r="R129" i="8"/>
  <c r="R25" i="1" s="1"/>
  <c r="S2" i="8"/>
  <c r="S12" i="11"/>
  <c r="T12" i="11"/>
  <c r="F1" i="11"/>
  <c r="S12" i="8"/>
  <c r="T12" i="8"/>
  <c r="F1" i="8"/>
  <c r="O6" i="1"/>
  <c r="B18" i="1"/>
  <c r="Q1" i="1"/>
  <c r="E36" i="1" s="1"/>
  <c r="C11" i="1"/>
  <c r="G32" i="1" s="1"/>
  <c r="S1" i="1"/>
  <c r="S1" i="11" s="1"/>
  <c r="C2" i="1"/>
  <c r="T13" i="1"/>
  <c r="T1" i="11"/>
  <c r="T122" i="11" s="1"/>
  <c r="B123" i="11" s="1"/>
  <c r="R23" i="11"/>
  <c r="S2" i="11"/>
  <c r="F77" i="1"/>
  <c r="T132" i="11"/>
  <c r="T149" i="8" s="1"/>
  <c r="T110" i="1" s="1"/>
  <c r="S110" i="1" s="1"/>
  <c r="T133" i="11"/>
  <c r="T134" i="11"/>
  <c r="T151" i="8" s="1"/>
  <c r="T112" i="1" s="1"/>
  <c r="S112" i="1" s="1"/>
  <c r="T135" i="11"/>
  <c r="T136" i="11"/>
  <c r="T153" i="8" s="1"/>
  <c r="T114" i="1" s="1"/>
  <c r="S114" i="1" s="1"/>
  <c r="T137" i="11"/>
  <c r="T154" i="8" s="1"/>
  <c r="T115" i="1" s="1"/>
  <c r="S115" i="1" s="1"/>
  <c r="T138" i="11"/>
  <c r="T155" i="8" s="1"/>
  <c r="T116" i="1" s="1"/>
  <c r="S116" i="1" s="1"/>
  <c r="T139" i="11"/>
  <c r="T141" i="11"/>
  <c r="T142" i="11"/>
  <c r="T145" i="11"/>
  <c r="T162" i="8" s="1"/>
  <c r="T123" i="1" s="1"/>
  <c r="S123" i="1" s="1"/>
  <c r="T146" i="11"/>
  <c r="T163" i="8" s="1"/>
  <c r="T124" i="1" s="1"/>
  <c r="S124" i="1" s="1"/>
  <c r="T147" i="11"/>
  <c r="T164" i="8" s="1"/>
  <c r="T125" i="1" s="1"/>
  <c r="S125" i="1" s="1"/>
  <c r="T148" i="11"/>
  <c r="T149" i="11"/>
  <c r="T166" i="8" s="1"/>
  <c r="T127" i="1" s="1"/>
  <c r="S127" i="1" s="1"/>
  <c r="T150" i="11"/>
  <c r="T167" i="8" s="1"/>
  <c r="T128" i="1" s="1"/>
  <c r="S128" i="1" s="1"/>
  <c r="T151" i="11"/>
  <c r="T168" i="8" s="1"/>
  <c r="T129" i="1" s="1"/>
  <c r="S129" i="1" s="1"/>
  <c r="T152" i="11"/>
  <c r="T153" i="11"/>
  <c r="T170" i="8" s="1"/>
  <c r="T131" i="1" s="1"/>
  <c r="S131" i="1" s="1"/>
  <c r="T154" i="11"/>
  <c r="T171" i="8" s="1"/>
  <c r="T155" i="11"/>
  <c r="T172" i="8" s="1"/>
  <c r="T133" i="1" s="1"/>
  <c r="S133" i="1" s="1"/>
  <c r="T156" i="11"/>
  <c r="T173" i="8" s="1"/>
  <c r="T134" i="1" s="1"/>
  <c r="S134" i="1" s="1"/>
  <c r="T158" i="11"/>
  <c r="T175" i="8" s="1"/>
  <c r="T136" i="1" s="1"/>
  <c r="S136" i="1" s="1"/>
  <c r="T159" i="11"/>
  <c r="T176" i="8" s="1"/>
  <c r="T137" i="1" s="1"/>
  <c r="S137" i="1" s="1"/>
  <c r="T160" i="11"/>
  <c r="T177" i="8" s="1"/>
  <c r="T138" i="1" s="1"/>
  <c r="S138" i="1" s="1"/>
  <c r="T161" i="11"/>
  <c r="T178" i="8" s="1"/>
  <c r="T139" i="1" s="1"/>
  <c r="S139" i="1" s="1"/>
  <c r="T162" i="11"/>
  <c r="T179" i="8" s="1"/>
  <c r="T140" i="1" s="1"/>
  <c r="S140" i="1" s="1"/>
  <c r="T163" i="11"/>
  <c r="T180" i="8" s="1"/>
  <c r="T141" i="1" s="1"/>
  <c r="S141" i="1" s="1"/>
  <c r="T164" i="11"/>
  <c r="T181" i="8" s="1"/>
  <c r="T142" i="1" s="1"/>
  <c r="S142" i="1" s="1"/>
  <c r="T165" i="11"/>
  <c r="T182" i="8" s="1"/>
  <c r="T143" i="1" s="1"/>
  <c r="S143" i="1" s="1"/>
  <c r="T166" i="11"/>
  <c r="T183" i="8" s="1"/>
  <c r="T144" i="1" s="1"/>
  <c r="S144" i="1" s="1"/>
  <c r="T167" i="11"/>
  <c r="T184" i="8" s="1"/>
  <c r="T145" i="1" s="1"/>
  <c r="S145" i="1" s="1"/>
  <c r="T168" i="11"/>
  <c r="T185" i="8" s="1"/>
  <c r="T146" i="1" s="1"/>
  <c r="S146" i="1" s="1"/>
  <c r="T169" i="11"/>
  <c r="T186" i="8" s="1"/>
  <c r="T147" i="1" s="1"/>
  <c r="S147" i="1" s="1"/>
  <c r="T170" i="11"/>
  <c r="T187" i="8" s="1"/>
  <c r="T148" i="1" s="1"/>
  <c r="S148" i="1" s="1"/>
  <c r="T171" i="11"/>
  <c r="T188" i="8" s="1"/>
  <c r="T149" i="1" s="1"/>
  <c r="S149" i="1" s="1"/>
  <c r="T172" i="11"/>
  <c r="T189" i="8" s="1"/>
  <c r="T150" i="1" s="1"/>
  <c r="S150" i="1" s="1"/>
  <c r="T173" i="11"/>
  <c r="T190" i="8" s="1"/>
  <c r="T151" i="1" s="1"/>
  <c r="S151" i="1" s="1"/>
  <c r="T174" i="11"/>
  <c r="T191" i="8" s="1"/>
  <c r="T152" i="1" s="1"/>
  <c r="S152" i="1" s="1"/>
  <c r="T175" i="11"/>
  <c r="T192" i="8" s="1"/>
  <c r="T153" i="1" s="1"/>
  <c r="S153" i="1" s="1"/>
  <c r="T176" i="11"/>
  <c r="T193" i="8" s="1"/>
  <c r="T178" i="11"/>
  <c r="T195" i="8" s="1"/>
  <c r="T156" i="1" s="1"/>
  <c r="S156" i="1" s="1"/>
  <c r="T179" i="11"/>
  <c r="T196" i="8" s="1"/>
  <c r="T157" i="1" s="1"/>
  <c r="S157" i="1" s="1"/>
  <c r="T181" i="11"/>
  <c r="T198" i="8" s="1"/>
  <c r="T159" i="1" s="1"/>
  <c r="S159" i="1" s="1"/>
  <c r="T182" i="11"/>
  <c r="T184" i="11"/>
  <c r="T201" i="8" s="1"/>
  <c r="T162" i="1" s="1"/>
  <c r="S162" i="1" s="1"/>
  <c r="T185" i="11"/>
  <c r="T202" i="8" s="1"/>
  <c r="T163" i="1" s="1"/>
  <c r="S163" i="1" s="1"/>
  <c r="T186" i="11"/>
  <c r="T203" i="8" s="1"/>
  <c r="T164" i="1" s="1"/>
  <c r="S164" i="1" s="1"/>
  <c r="R132" i="11"/>
  <c r="R149" i="8" s="1"/>
  <c r="R110" i="1" s="1"/>
  <c r="R133" i="11"/>
  <c r="R150" i="8" s="1"/>
  <c r="R134" i="11"/>
  <c r="R151" i="8" s="1"/>
  <c r="R112" i="1" s="1"/>
  <c r="R135" i="11"/>
  <c r="R152" i="8" s="1"/>
  <c r="R113" i="1" s="1"/>
  <c r="R136" i="11"/>
  <c r="R153" i="8" s="1"/>
  <c r="R114" i="1" s="1"/>
  <c r="R137" i="11"/>
  <c r="R154" i="8" s="1"/>
  <c r="R115" i="1" s="1"/>
  <c r="R138" i="11"/>
  <c r="R155" i="8" s="1"/>
  <c r="R116" i="1" s="1"/>
  <c r="R139" i="11"/>
  <c r="R156" i="8" s="1"/>
  <c r="R117" i="1" s="1"/>
  <c r="R141" i="11"/>
  <c r="R158" i="8" s="1"/>
  <c r="R119" i="1" s="1"/>
  <c r="R142" i="11"/>
  <c r="R159" i="8" s="1"/>
  <c r="R120" i="1" s="1"/>
  <c r="R145" i="11"/>
  <c r="R146" i="11"/>
  <c r="R163" i="8" s="1"/>
  <c r="R124" i="1" s="1"/>
  <c r="R147" i="11"/>
  <c r="R164" i="8" s="1"/>
  <c r="R125" i="1" s="1"/>
  <c r="R148" i="11"/>
  <c r="R165" i="8" s="1"/>
  <c r="R126" i="1" s="1"/>
  <c r="R149" i="11"/>
  <c r="R166" i="8" s="1"/>
  <c r="R127" i="1" s="1"/>
  <c r="R150" i="11"/>
  <c r="R167" i="8" s="1"/>
  <c r="R128" i="1" s="1"/>
  <c r="R151" i="11"/>
  <c r="R168" i="8" s="1"/>
  <c r="R129" i="1" s="1"/>
  <c r="R152" i="11"/>
  <c r="R169" i="8" s="1"/>
  <c r="R130" i="1" s="1"/>
  <c r="R153" i="11"/>
  <c r="R170" i="8" s="1"/>
  <c r="R131" i="1" s="1"/>
  <c r="R154" i="11"/>
  <c r="R171" i="8" s="1"/>
  <c r="R155" i="11"/>
  <c r="R172" i="8" s="1"/>
  <c r="R133" i="1" s="1"/>
  <c r="R156" i="11"/>
  <c r="R173" i="8" s="1"/>
  <c r="R134" i="1" s="1"/>
  <c r="R158" i="11"/>
  <c r="R175" i="8" s="1"/>
  <c r="R136" i="1" s="1"/>
  <c r="R159" i="11"/>
  <c r="R176" i="8" s="1"/>
  <c r="R137" i="1" s="1"/>
  <c r="R160" i="11"/>
  <c r="R177" i="8" s="1"/>
  <c r="R138" i="1" s="1"/>
  <c r="R161" i="11"/>
  <c r="R178" i="8" s="1"/>
  <c r="R139" i="1" s="1"/>
  <c r="R162" i="11"/>
  <c r="R179" i="8" s="1"/>
  <c r="R140" i="1" s="1"/>
  <c r="R163" i="11"/>
  <c r="R180" i="8" s="1"/>
  <c r="R141" i="1" s="1"/>
  <c r="R164" i="11"/>
  <c r="R181" i="8" s="1"/>
  <c r="R142" i="1" s="1"/>
  <c r="R165" i="11"/>
  <c r="R182" i="8" s="1"/>
  <c r="R143" i="1" s="1"/>
  <c r="R166" i="11"/>
  <c r="R183" i="8" s="1"/>
  <c r="R144" i="1" s="1"/>
  <c r="R167" i="11"/>
  <c r="R184" i="8" s="1"/>
  <c r="R145" i="1" s="1"/>
  <c r="R168" i="11"/>
  <c r="R185" i="8" s="1"/>
  <c r="R146" i="1" s="1"/>
  <c r="R169" i="11"/>
  <c r="R186" i="8" s="1"/>
  <c r="R147" i="1" s="1"/>
  <c r="R170" i="11"/>
  <c r="R187" i="8" s="1"/>
  <c r="R148" i="1" s="1"/>
  <c r="R171" i="11"/>
  <c r="R188" i="8" s="1"/>
  <c r="R149" i="1" s="1"/>
  <c r="R172" i="11"/>
  <c r="R189" i="8" s="1"/>
  <c r="R150" i="1" s="1"/>
  <c r="R173" i="11"/>
  <c r="R190" i="8" s="1"/>
  <c r="R151" i="1" s="1"/>
  <c r="R174" i="11"/>
  <c r="R191" i="8" s="1"/>
  <c r="R152" i="1" s="1"/>
  <c r="R175" i="11"/>
  <c r="R192" i="8" s="1"/>
  <c r="R153" i="1" s="1"/>
  <c r="R176" i="11"/>
  <c r="R193" i="8" s="1"/>
  <c r="R154" i="1" s="1"/>
  <c r="R178" i="11"/>
  <c r="R195" i="8" s="1"/>
  <c r="R156" i="1" s="1"/>
  <c r="R179" i="11"/>
  <c r="R196" i="8" s="1"/>
  <c r="R157" i="1" s="1"/>
  <c r="R181" i="11"/>
  <c r="R198" i="8" s="1"/>
  <c r="R159" i="1" s="1"/>
  <c r="R182" i="11"/>
  <c r="R199" i="8" s="1"/>
  <c r="R160" i="1" s="1"/>
  <c r="R184" i="11"/>
  <c r="R201" i="8" s="1"/>
  <c r="R162" i="1" s="1"/>
  <c r="R185" i="11"/>
  <c r="R202" i="8" s="1"/>
  <c r="R163" i="1" s="1"/>
  <c r="R186" i="11"/>
  <c r="R203" i="8" s="1"/>
  <c r="R164" i="1" s="1"/>
  <c r="C3" i="1"/>
  <c r="C3" i="8" s="1"/>
  <c r="C4" i="1"/>
  <c r="G25" i="1" s="1"/>
  <c r="C5" i="1"/>
  <c r="C6" i="1"/>
  <c r="G27" i="1" s="1"/>
  <c r="C7" i="1"/>
  <c r="G28" i="1" s="1"/>
  <c r="C8" i="1"/>
  <c r="G29" i="1" s="1"/>
  <c r="C9" i="1"/>
  <c r="C10" i="1"/>
  <c r="G31" i="1" s="1"/>
  <c r="C12" i="1"/>
  <c r="C12" i="8" s="1"/>
  <c r="Q12" i="11"/>
  <c r="F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8"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8" s="1"/>
  <c r="N2" i="1"/>
  <c r="N2" i="11" s="1"/>
  <c r="M2" i="1"/>
  <c r="M2" i="8" s="1"/>
  <c r="L2" i="1"/>
  <c r="L2" i="11" s="1"/>
  <c r="K2" i="1"/>
  <c r="K2" i="11" s="1"/>
  <c r="J2" i="1"/>
  <c r="J2" i="11"/>
  <c r="F2" i="11"/>
  <c r="D2" i="11"/>
  <c r="U1" i="11"/>
  <c r="O1" i="1"/>
  <c r="O1" i="11" s="1"/>
  <c r="N1" i="1"/>
  <c r="N1" i="11" s="1"/>
  <c r="M1" i="1"/>
  <c r="M1" i="11" s="1"/>
  <c r="L1" i="1"/>
  <c r="L1" i="11" s="1"/>
  <c r="K1" i="1"/>
  <c r="K1" i="11" s="1"/>
  <c r="J1" i="1"/>
  <c r="J1" i="11" s="1"/>
  <c r="D1" i="11"/>
  <c r="C1" i="11"/>
  <c r="B16" i="1"/>
  <c r="S3" i="8"/>
  <c r="T3" i="8"/>
  <c r="B14" i="1"/>
  <c r="C11" i="8"/>
  <c r="S11" i="8"/>
  <c r="T11" i="8"/>
  <c r="S10" i="8"/>
  <c r="T10" i="8"/>
  <c r="S9" i="8"/>
  <c r="T9" i="8"/>
  <c r="S8" i="8"/>
  <c r="T8" i="8"/>
  <c r="S7" i="8"/>
  <c r="T7" i="8"/>
  <c r="C6" i="8"/>
  <c r="S6" i="8"/>
  <c r="T6" i="8"/>
  <c r="S5" i="8"/>
  <c r="T5" i="8"/>
  <c r="S4" i="8"/>
  <c r="T4" i="8"/>
  <c r="F11" i="8"/>
  <c r="E136" i="8" s="1"/>
  <c r="F10" i="8"/>
  <c r="E135" i="8" s="1"/>
  <c r="F9" i="8"/>
  <c r="E134" i="8" s="1"/>
  <c r="F8" i="8"/>
  <c r="E133" i="8" s="1"/>
  <c r="F7" i="8"/>
  <c r="E132" i="8" s="1"/>
  <c r="F6" i="8"/>
  <c r="E131" i="8" s="1"/>
  <c r="F5" i="8"/>
  <c r="E130" i="8" s="1"/>
  <c r="F4" i="8"/>
  <c r="D24" i="1"/>
  <c r="D25" i="1"/>
  <c r="D26" i="1"/>
  <c r="D27" i="1"/>
  <c r="D28" i="1"/>
  <c r="D29" i="1"/>
  <c r="D30" i="1"/>
  <c r="D31" i="1"/>
  <c r="D32" i="1"/>
  <c r="D23" i="1"/>
  <c r="F3" i="8"/>
  <c r="F2" i="8"/>
  <c r="R11" i="1"/>
  <c r="R10" i="1"/>
  <c r="R9" i="1"/>
  <c r="R8" i="1"/>
  <c r="R7" i="1"/>
  <c r="R6" i="1"/>
  <c r="R5" i="1"/>
  <c r="R4" i="1"/>
  <c r="R3" i="1"/>
  <c r="R2" i="1"/>
  <c r="U1" i="8"/>
  <c r="Q2" i="8"/>
  <c r="Q3" i="8"/>
  <c r="Q4" i="8"/>
  <c r="Q5" i="8"/>
  <c r="Q6" i="8"/>
  <c r="Q7" i="8"/>
  <c r="Q8" i="8"/>
  <c r="Q9" i="8"/>
  <c r="Q10" i="8"/>
  <c r="Q11" i="8"/>
  <c r="Q12" i="8"/>
  <c r="D8" i="8"/>
  <c r="D9" i="8"/>
  <c r="D6" i="8"/>
  <c r="D4" i="8"/>
  <c r="D2" i="8"/>
  <c r="F12" i="8"/>
  <c r="C1" i="8"/>
  <c r="D1" i="8"/>
  <c r="J2" i="8"/>
  <c r="M5" i="8"/>
  <c r="K6" i="8"/>
  <c r="O6" i="8"/>
  <c r="O7" i="8"/>
  <c r="O8" i="8"/>
  <c r="O9" i="8"/>
  <c r="O10" i="8"/>
  <c r="S107" i="1"/>
  <c r="D55" i="1"/>
  <c r="D5" i="8"/>
  <c r="V1" i="1" a="1"/>
  <c r="V1" i="1" s="1"/>
  <c r="E64" i="1"/>
  <c r="E103" i="1" s="1"/>
  <c r="D3" i="8"/>
  <c r="A36" i="1"/>
  <c r="E63" i="1"/>
  <c r="E61" i="1"/>
  <c r="E101" i="1" s="1"/>
  <c r="E62" i="1"/>
  <c r="E102" i="1" s="1"/>
  <c r="E60" i="1"/>
  <c r="D51" i="1"/>
  <c r="T59" i="8" l="1"/>
  <c r="T54" i="8"/>
  <c r="T58" i="8"/>
  <c r="T78" i="8"/>
  <c r="T111" i="8"/>
  <c r="T112" i="8"/>
  <c r="B113" i="8" s="1"/>
  <c r="T99" i="8"/>
  <c r="B100" i="8" s="1"/>
  <c r="T74" i="8"/>
  <c r="T83" i="8"/>
  <c r="T75" i="8"/>
  <c r="B76" i="8" s="1"/>
  <c r="T103" i="8"/>
  <c r="T94" i="8"/>
  <c r="T82" i="8"/>
  <c r="T102" i="8"/>
  <c r="T79" i="8"/>
  <c r="B80" i="8" s="1"/>
  <c r="T84" i="8"/>
  <c r="B85" i="8" s="1"/>
  <c r="T73" i="8"/>
  <c r="T104" i="8"/>
  <c r="B105" i="8" s="1"/>
  <c r="T93" i="8"/>
  <c r="T95" i="8"/>
  <c r="B96" i="8" s="1"/>
  <c r="AG76" i="8"/>
  <c r="AG96" i="8"/>
  <c r="AG85" i="8"/>
  <c r="AG105" i="8"/>
  <c r="D62" i="8"/>
  <c r="D81" i="8"/>
  <c r="D101" i="8"/>
  <c r="D51" i="8"/>
  <c r="D72" i="8"/>
  <c r="D92" i="8"/>
  <c r="AG100" i="8"/>
  <c r="AG80" i="8"/>
  <c r="D57" i="8"/>
  <c r="B215" i="8" s="1"/>
  <c r="B110" i="11" s="1"/>
  <c r="Q110" i="11" s="1"/>
  <c r="D77" i="8"/>
  <c r="D97" i="8"/>
  <c r="T53" i="8"/>
  <c r="T52" i="8"/>
  <c r="T64" i="8"/>
  <c r="B65" i="8" s="1"/>
  <c r="T63" i="8"/>
  <c r="T60" i="8"/>
  <c r="B61" i="8" s="1"/>
  <c r="T55" i="8"/>
  <c r="B56" i="8" s="1"/>
  <c r="AG56" i="8"/>
  <c r="AG65" i="8"/>
  <c r="AG61" i="8"/>
  <c r="T29" i="8"/>
  <c r="T44" i="8"/>
  <c r="T42" i="8"/>
  <c r="T30" i="8"/>
  <c r="T28" i="8"/>
  <c r="T43" i="8"/>
  <c r="T41" i="8"/>
  <c r="T45" i="8"/>
  <c r="B46" i="8" s="1"/>
  <c r="T27" i="8"/>
  <c r="T40" i="8"/>
  <c r="T21" i="8"/>
  <c r="T43" i="11"/>
  <c r="T94" i="11"/>
  <c r="T83" i="11"/>
  <c r="T72" i="11"/>
  <c r="T51" i="11"/>
  <c r="T61" i="11"/>
  <c r="L4" i="8"/>
  <c r="J9" i="11"/>
  <c r="Q1" i="8"/>
  <c r="S1" i="8"/>
  <c r="J7" i="8"/>
  <c r="C6" i="11"/>
  <c r="M7" i="11"/>
  <c r="E129" i="8"/>
  <c r="L10" i="8"/>
  <c r="T156" i="8"/>
  <c r="T117" i="1" s="1"/>
  <c r="S117" i="1" s="1"/>
  <c r="E128" i="8"/>
  <c r="E127" i="8"/>
  <c r="T107" i="11"/>
  <c r="T38" i="11"/>
  <c r="B39" i="11" s="1"/>
  <c r="J10" i="8"/>
  <c r="J4" i="8"/>
  <c r="J1" i="8"/>
  <c r="M3" i="8"/>
  <c r="K1" i="8"/>
  <c r="O2" i="11"/>
  <c r="N1" i="8"/>
  <c r="M9" i="8"/>
  <c r="J3" i="8"/>
  <c r="M1" i="8"/>
  <c r="L9" i="8"/>
  <c r="O5" i="8"/>
  <c r="N5" i="8"/>
  <c r="C10" i="8"/>
  <c r="B135" i="8" s="1"/>
  <c r="C10" i="11"/>
  <c r="C12" i="11"/>
  <c r="J5" i="8"/>
  <c r="T22" i="8"/>
  <c r="B23" i="8" s="1"/>
  <c r="T35" i="8"/>
  <c r="B36" i="8" s="1"/>
  <c r="K10" i="8"/>
  <c r="M6" i="8"/>
  <c r="F22" i="1"/>
  <c r="O1" i="8"/>
  <c r="K7" i="8"/>
  <c r="N10" i="8"/>
  <c r="N4" i="8"/>
  <c r="K3" i="8"/>
  <c r="K9" i="8"/>
  <c r="O4" i="8"/>
  <c r="O3" i="8"/>
  <c r="C8" i="8"/>
  <c r="B133" i="8" s="1"/>
  <c r="N9" i="8"/>
  <c r="L7" i="8"/>
  <c r="N2" i="8"/>
  <c r="G24" i="1"/>
  <c r="L6" i="8"/>
  <c r="K2" i="8"/>
  <c r="M10" i="8"/>
  <c r="J6" i="8"/>
  <c r="L3" i="8"/>
  <c r="M2" i="11"/>
  <c r="C4" i="11"/>
  <c r="L5" i="11"/>
  <c r="M4" i="8"/>
  <c r="N3" i="11"/>
  <c r="E22" i="1"/>
  <c r="M8" i="8"/>
  <c r="K4" i="8"/>
  <c r="L8" i="8"/>
  <c r="N6" i="8"/>
  <c r="C7" i="11"/>
  <c r="C8" i="11"/>
  <c r="K5" i="8"/>
  <c r="C4" i="8"/>
  <c r="N7" i="8"/>
  <c r="L2" i="8"/>
  <c r="L1" i="8"/>
  <c r="Q1" i="11"/>
  <c r="I23" i="1"/>
  <c r="T2" i="11"/>
  <c r="AH135" i="8"/>
  <c r="AH133" i="8"/>
  <c r="AH129" i="8"/>
  <c r="AH131" i="8"/>
  <c r="T165" i="8"/>
  <c r="T126" i="1" s="1"/>
  <c r="S126" i="1" s="1"/>
  <c r="B131" i="8"/>
  <c r="E28" i="1"/>
  <c r="B28" i="1"/>
  <c r="B136" i="8"/>
  <c r="AH136" i="8"/>
  <c r="AH132" i="8"/>
  <c r="AJ133" i="8"/>
  <c r="F32" i="1"/>
  <c r="AH130" i="8"/>
  <c r="AH134" i="8"/>
  <c r="R132" i="1"/>
  <c r="R162" i="8"/>
  <c r="R111" i="1"/>
  <c r="J8" i="11"/>
  <c r="J8" i="8"/>
  <c r="N8" i="11"/>
  <c r="N8" i="8"/>
  <c r="T154" i="1"/>
  <c r="G30" i="1"/>
  <c r="C9" i="8"/>
  <c r="B134" i="8" s="1"/>
  <c r="C9" i="11"/>
  <c r="G26" i="1"/>
  <c r="C5" i="8"/>
  <c r="B130" i="8" s="1"/>
  <c r="C5" i="11"/>
  <c r="T132" i="1"/>
  <c r="AJ131" i="8"/>
  <c r="T27" i="1"/>
  <c r="AJ135" i="8"/>
  <c r="T31" i="1"/>
  <c r="B27" i="1"/>
  <c r="E27" i="1"/>
  <c r="B30" i="1"/>
  <c r="E30" i="1"/>
  <c r="A30" i="1"/>
  <c r="K8" i="8"/>
  <c r="C3" i="11"/>
  <c r="T23" i="11"/>
  <c r="AJ136" i="8"/>
  <c r="T29" i="1"/>
  <c r="AJ130" i="8"/>
  <c r="T26" i="1"/>
  <c r="AJ132" i="8"/>
  <c r="T28" i="1"/>
  <c r="AJ134" i="8"/>
  <c r="T30" i="1"/>
  <c r="B26" i="1"/>
  <c r="E26" i="1"/>
  <c r="A26" i="1"/>
  <c r="B31" i="1"/>
  <c r="E31" i="1"/>
  <c r="C7" i="8"/>
  <c r="B132" i="8" s="1"/>
  <c r="G23" i="1"/>
  <c r="C2" i="8"/>
  <c r="C2" i="11"/>
  <c r="A27" i="1"/>
  <c r="E29" i="1"/>
  <c r="A29" i="1"/>
  <c r="B29" i="1"/>
  <c r="T159" i="8" l="1"/>
  <c r="T120" i="1" s="1"/>
  <c r="S120" i="1" s="1"/>
  <c r="T113" i="8"/>
  <c r="T105" i="8"/>
  <c r="E101" i="8" s="1"/>
  <c r="AG89" i="8"/>
  <c r="AG69" i="8"/>
  <c r="T100" i="8"/>
  <c r="E97" i="8" s="1"/>
  <c r="F97" i="8" s="1"/>
  <c r="T96" i="8"/>
  <c r="T85" i="8"/>
  <c r="E81" i="8" s="1"/>
  <c r="T80" i="8"/>
  <c r="E77" i="8" s="1"/>
  <c r="F77" i="8" s="1"/>
  <c r="T76" i="8"/>
  <c r="A121" i="11"/>
  <c r="A117" i="11"/>
  <c r="A118" i="11"/>
  <c r="A115" i="11"/>
  <c r="A120" i="11"/>
  <c r="A116" i="11"/>
  <c r="A112" i="11"/>
  <c r="A114" i="11"/>
  <c r="A113" i="11"/>
  <c r="A119" i="11"/>
  <c r="T61" i="8"/>
  <c r="E57" i="8" s="1"/>
  <c r="F57" i="8" s="1"/>
  <c r="AG48" i="8"/>
  <c r="T56" i="8"/>
  <c r="T65" i="8"/>
  <c r="E62" i="8" s="1"/>
  <c r="T169" i="8"/>
  <c r="T130" i="1" s="1"/>
  <c r="S130" i="1" s="1"/>
  <c r="T46" i="8"/>
  <c r="AN38" i="8" s="1"/>
  <c r="B108" i="11"/>
  <c r="T199" i="8"/>
  <c r="T160" i="1" s="1"/>
  <c r="S160" i="1" s="1"/>
  <c r="T150" i="8"/>
  <c r="T111" i="1" s="1"/>
  <c r="S111" i="1" s="1"/>
  <c r="T152" i="8"/>
  <c r="T113" i="1" s="1"/>
  <c r="S113" i="1" s="1"/>
  <c r="B213" i="8"/>
  <c r="B26" i="11" s="1"/>
  <c r="B214" i="8"/>
  <c r="B41" i="11" s="1"/>
  <c r="B212" i="8"/>
  <c r="B19" i="11" s="1"/>
  <c r="Q19" i="11" s="1"/>
  <c r="T158" i="8"/>
  <c r="T119" i="1" s="1"/>
  <c r="S119" i="1" s="1"/>
  <c r="A32" i="1"/>
  <c r="B32" i="1"/>
  <c r="E32" i="1"/>
  <c r="S132" i="1"/>
  <c r="S154" i="1"/>
  <c r="R123" i="1"/>
  <c r="AO38" i="8" l="1"/>
  <c r="H9" i="29"/>
  <c r="AN109" i="8"/>
  <c r="E109" i="8"/>
  <c r="E17" i="29" s="1"/>
  <c r="F17" i="29" s="1"/>
  <c r="T87" i="8"/>
  <c r="E72" i="8"/>
  <c r="T107" i="8"/>
  <c r="E92" i="8"/>
  <c r="AH69" i="8"/>
  <c r="AH89" i="8"/>
  <c r="T67" i="8"/>
  <c r="E51" i="8"/>
  <c r="AH48" i="8"/>
  <c r="E38" i="8"/>
  <c r="T129" i="8"/>
  <c r="Q41" i="11"/>
  <c r="Q26" i="11"/>
  <c r="AO109" i="8" l="1"/>
  <c r="H17" i="29"/>
  <c r="AG109" i="8"/>
  <c r="F109" i="8"/>
  <c r="T109" i="8" s="1"/>
  <c r="AG38" i="8"/>
  <c r="AI38" i="8" s="1"/>
  <c r="AJ38" i="8" s="1"/>
  <c r="E9" i="29"/>
  <c r="F9" i="29" s="1"/>
  <c r="F72" i="8"/>
  <c r="E69" i="8"/>
  <c r="E13" i="29" s="1"/>
  <c r="F13" i="29" s="1"/>
  <c r="F92" i="8"/>
  <c r="E89" i="8"/>
  <c r="E15" i="29" s="1"/>
  <c r="F15" i="29" s="1"/>
  <c r="AN89" i="8"/>
  <c r="AN69" i="8"/>
  <c r="F51" i="8"/>
  <c r="E48" i="8"/>
  <c r="E11" i="29" s="1"/>
  <c r="F11" i="29" s="1"/>
  <c r="AN48" i="8"/>
  <c r="AH38" i="8"/>
  <c r="F38" i="8"/>
  <c r="T38" i="8" s="1"/>
  <c r="A89" i="11"/>
  <c r="A78" i="11"/>
  <c r="A100" i="11"/>
  <c r="A67" i="11"/>
  <c r="A45" i="11"/>
  <c r="A44" i="11"/>
  <c r="R44" i="11" s="1"/>
  <c r="A105" i="11"/>
  <c r="A106" i="11"/>
  <c r="A103" i="11"/>
  <c r="T103" i="11" s="1"/>
  <c r="A104" i="11"/>
  <c r="A101" i="11"/>
  <c r="R101" i="11" s="1"/>
  <c r="A102" i="11"/>
  <c r="A98" i="11"/>
  <c r="R98" i="11" s="1"/>
  <c r="A99" i="11"/>
  <c r="A96" i="11"/>
  <c r="R96" i="11" s="1"/>
  <c r="A97" i="11"/>
  <c r="A93" i="11"/>
  <c r="R93" i="11" s="1"/>
  <c r="A95" i="11"/>
  <c r="A91" i="11"/>
  <c r="R91" i="11" s="1"/>
  <c r="A92" i="11"/>
  <c r="A88" i="11"/>
  <c r="R88" i="11" s="1"/>
  <c r="A90" i="11"/>
  <c r="A86" i="11"/>
  <c r="R86" i="11" s="1"/>
  <c r="A87" i="11"/>
  <c r="A84" i="11"/>
  <c r="R84" i="11" s="1"/>
  <c r="A85" i="11"/>
  <c r="A81" i="11"/>
  <c r="R81" i="11" s="1"/>
  <c r="A82" i="11"/>
  <c r="A79" i="11"/>
  <c r="R79" i="11" s="1"/>
  <c r="A80" i="11"/>
  <c r="A76" i="11"/>
  <c r="R76" i="11" s="1"/>
  <c r="A77" i="11"/>
  <c r="A74" i="11"/>
  <c r="R74" i="11" s="1"/>
  <c r="A75" i="11"/>
  <c r="A71" i="11"/>
  <c r="R71" i="11" s="1"/>
  <c r="A73" i="11"/>
  <c r="A69" i="11"/>
  <c r="R69" i="11" s="1"/>
  <c r="A70" i="11"/>
  <c r="A66" i="11"/>
  <c r="R66" i="11" s="1"/>
  <c r="A68" i="11"/>
  <c r="A64" i="11"/>
  <c r="R64" i="11" s="1"/>
  <c r="A65" i="11"/>
  <c r="A62" i="11"/>
  <c r="R62" i="11" s="1"/>
  <c r="A63" i="11"/>
  <c r="A59" i="11"/>
  <c r="R59" i="11" s="1"/>
  <c r="A60" i="11"/>
  <c r="A57" i="11"/>
  <c r="A58" i="11"/>
  <c r="A55" i="11"/>
  <c r="A56" i="11"/>
  <c r="A53" i="11"/>
  <c r="A54" i="11"/>
  <c r="A50" i="11"/>
  <c r="R50" i="11" s="1"/>
  <c r="A52" i="11"/>
  <c r="A48" i="11"/>
  <c r="R48" i="11" s="1"/>
  <c r="A49" i="11"/>
  <c r="A46" i="11"/>
  <c r="R46" i="11" s="1"/>
  <c r="A47" i="11"/>
  <c r="A32" i="11"/>
  <c r="A35" i="11"/>
  <c r="A36" i="11"/>
  <c r="A29" i="11"/>
  <c r="A31" i="11"/>
  <c r="A30" i="11"/>
  <c r="T30" i="11" s="1"/>
  <c r="A28" i="11"/>
  <c r="A37" i="11"/>
  <c r="AJ129" i="8"/>
  <c r="T25" i="1"/>
  <c r="T180" i="11"/>
  <c r="T197" i="8" s="1"/>
  <c r="T158" i="1" s="1"/>
  <c r="S158" i="1" s="1"/>
  <c r="R180" i="11"/>
  <c r="R197" i="8" s="1"/>
  <c r="R158" i="1" s="1"/>
  <c r="AK38" i="8" l="1"/>
  <c r="AO48" i="8"/>
  <c r="H11" i="29"/>
  <c r="AH109" i="8"/>
  <c r="AO69" i="8"/>
  <c r="H13" i="29"/>
  <c r="AI109" i="8"/>
  <c r="AJ109" i="8" s="1"/>
  <c r="AO89" i="8"/>
  <c r="H15" i="29"/>
  <c r="AI89" i="8"/>
  <c r="F89" i="8"/>
  <c r="AI69" i="8"/>
  <c r="F69" i="8"/>
  <c r="F48" i="8"/>
  <c r="AI48" i="8"/>
  <c r="T115" i="11"/>
  <c r="R115" i="11"/>
  <c r="T119" i="11"/>
  <c r="R119" i="11"/>
  <c r="T114" i="11"/>
  <c r="R114" i="11"/>
  <c r="R113" i="11"/>
  <c r="T113" i="11"/>
  <c r="T118" i="11"/>
  <c r="R118" i="11"/>
  <c r="T120" i="11"/>
  <c r="R120" i="11"/>
  <c r="R112" i="11"/>
  <c r="T112" i="11"/>
  <c r="R121" i="11"/>
  <c r="T121" i="11"/>
  <c r="T117" i="11"/>
  <c r="R117" i="11"/>
  <c r="R116" i="11"/>
  <c r="T116" i="11"/>
  <c r="T78" i="11"/>
  <c r="R78" i="11"/>
  <c r="T67" i="11"/>
  <c r="R67" i="11"/>
  <c r="T89" i="11"/>
  <c r="R89" i="11"/>
  <c r="R100" i="11"/>
  <c r="T100" i="11"/>
  <c r="R103" i="11"/>
  <c r="T101" i="11"/>
  <c r="R104" i="11"/>
  <c r="T104" i="11"/>
  <c r="T98" i="11"/>
  <c r="R102" i="11"/>
  <c r="T102" i="11"/>
  <c r="T93" i="11"/>
  <c r="R99" i="11"/>
  <c r="T99" i="11"/>
  <c r="T96" i="11"/>
  <c r="R97" i="11"/>
  <c r="T97" i="11"/>
  <c r="T91" i="11"/>
  <c r="R95" i="11"/>
  <c r="T95" i="11"/>
  <c r="T88" i="11"/>
  <c r="R92" i="11"/>
  <c r="T92" i="11"/>
  <c r="T86" i="11"/>
  <c r="R90" i="11"/>
  <c r="T90" i="11"/>
  <c r="T84" i="11"/>
  <c r="R87" i="11"/>
  <c r="T87" i="11"/>
  <c r="T81" i="11"/>
  <c r="R85" i="11"/>
  <c r="T85" i="11"/>
  <c r="T79" i="11"/>
  <c r="R82" i="11"/>
  <c r="T82" i="11"/>
  <c r="T76" i="11"/>
  <c r="R80" i="11"/>
  <c r="T80" i="11"/>
  <c r="T74" i="11"/>
  <c r="R77" i="11"/>
  <c r="T77" i="11"/>
  <c r="T71" i="11"/>
  <c r="R75" i="11"/>
  <c r="T75" i="11"/>
  <c r="T69" i="11"/>
  <c r="R73" i="11"/>
  <c r="T73" i="11"/>
  <c r="T66" i="11"/>
  <c r="R70" i="11"/>
  <c r="T70" i="11"/>
  <c r="T64" i="11"/>
  <c r="R68" i="11"/>
  <c r="T68" i="11"/>
  <c r="T62" i="11"/>
  <c r="R65" i="11"/>
  <c r="T65" i="11"/>
  <c r="T59" i="11"/>
  <c r="R63" i="11"/>
  <c r="T63" i="11"/>
  <c r="T50" i="11"/>
  <c r="T48" i="11"/>
  <c r="T46" i="11"/>
  <c r="R49" i="11"/>
  <c r="T49" i="11"/>
  <c r="T44" i="11"/>
  <c r="R47" i="11"/>
  <c r="T47" i="11"/>
  <c r="R45" i="11"/>
  <c r="T45" i="11"/>
  <c r="R32" i="11"/>
  <c r="T32" i="11"/>
  <c r="R34" i="11"/>
  <c r="T34" i="11"/>
  <c r="R33" i="11"/>
  <c r="T33" i="11"/>
  <c r="T58" i="11"/>
  <c r="R58" i="11"/>
  <c r="T53" i="11"/>
  <c r="R53" i="11"/>
  <c r="T56" i="11"/>
  <c r="R56" i="11"/>
  <c r="R55" i="11"/>
  <c r="T55" i="11"/>
  <c r="T52" i="11"/>
  <c r="R52" i="11"/>
  <c r="T60" i="11"/>
  <c r="R60" i="11"/>
  <c r="R54" i="11"/>
  <c r="T54" i="11"/>
  <c r="R57" i="11"/>
  <c r="T57" i="11"/>
  <c r="R30" i="11"/>
  <c r="T37" i="11"/>
  <c r="R37" i="11"/>
  <c r="T106" i="11"/>
  <c r="R106" i="11"/>
  <c r="R177" i="11"/>
  <c r="R194" i="8" s="1"/>
  <c r="R143" i="11"/>
  <c r="R160" i="8" s="1"/>
  <c r="R121" i="1" s="1"/>
  <c r="T177" i="11"/>
  <c r="T194" i="8" s="1"/>
  <c r="R105" i="11"/>
  <c r="T105" i="11"/>
  <c r="R35" i="11"/>
  <c r="T35" i="11"/>
  <c r="R36" i="11"/>
  <c r="T36" i="11"/>
  <c r="R31" i="11"/>
  <c r="T31" i="11"/>
  <c r="T143" i="11"/>
  <c r="T160" i="8" s="1"/>
  <c r="T121" i="1" s="1"/>
  <c r="R28" i="11"/>
  <c r="T28" i="11"/>
  <c r="R29" i="11"/>
  <c r="T29" i="11"/>
  <c r="R140" i="11"/>
  <c r="T140" i="11"/>
  <c r="T24" i="11"/>
  <c r="AK109" i="8" l="1"/>
  <c r="F81" i="8"/>
  <c r="E71" i="8"/>
  <c r="T69" i="8"/>
  <c r="AJ69" i="8"/>
  <c r="AK69" i="8"/>
  <c r="E91" i="8"/>
  <c r="F101" i="8"/>
  <c r="T89" i="8"/>
  <c r="AJ89" i="8"/>
  <c r="AK89" i="8"/>
  <c r="AJ48" i="8"/>
  <c r="AK48" i="8"/>
  <c r="F62" i="8"/>
  <c r="E50" i="8"/>
  <c r="T48" i="8"/>
  <c r="R123" i="11"/>
  <c r="T123" i="11"/>
  <c r="T110" i="11" s="1"/>
  <c r="S121" i="1"/>
  <c r="T183" i="11"/>
  <c r="T191" i="11" s="1"/>
  <c r="T157" i="11"/>
  <c r="T174" i="8" s="1"/>
  <c r="T127" i="11"/>
  <c r="R157" i="11"/>
  <c r="R190" i="11" s="1"/>
  <c r="R108" i="11"/>
  <c r="R131" i="11"/>
  <c r="R148" i="8" s="1"/>
  <c r="R109" i="1" s="1"/>
  <c r="T108" i="11"/>
  <c r="T41" i="11" s="1"/>
  <c r="T131" i="11"/>
  <c r="T148" i="8" s="1"/>
  <c r="T109" i="1" s="1"/>
  <c r="R144" i="11"/>
  <c r="T39" i="11"/>
  <c r="T144" i="11"/>
  <c r="T19" i="11"/>
  <c r="T157" i="8"/>
  <c r="T189" i="11"/>
  <c r="R155" i="1"/>
  <c r="T155" i="1"/>
  <c r="R157" i="8"/>
  <c r="R189" i="11"/>
  <c r="S32" i="8" l="1"/>
  <c r="T32" i="8" s="1"/>
  <c r="E123" i="11"/>
  <c r="F123" i="11" s="1"/>
  <c r="R110" i="11"/>
  <c r="S109" i="1"/>
  <c r="T200" i="8"/>
  <c r="T208" i="8" s="1"/>
  <c r="F129" i="8"/>
  <c r="B129" i="8" s="1"/>
  <c r="T26" i="11"/>
  <c r="S34" i="8" s="1"/>
  <c r="T34" i="8" s="1"/>
  <c r="R39" i="11"/>
  <c r="R26" i="11" s="1"/>
  <c r="Q34" i="8" s="1"/>
  <c r="R34" i="8" s="1"/>
  <c r="R174" i="8"/>
  <c r="R207" i="8" s="1"/>
  <c r="T190" i="11"/>
  <c r="T128" i="11"/>
  <c r="E108" i="11"/>
  <c r="F108" i="11" s="1"/>
  <c r="R41" i="11"/>
  <c r="T135" i="1"/>
  <c r="T207" i="8"/>
  <c r="T161" i="8"/>
  <c r="T188" i="11"/>
  <c r="R161" i="8"/>
  <c r="R188" i="11"/>
  <c r="T130" i="11"/>
  <c r="S155" i="1"/>
  <c r="T118" i="1"/>
  <c r="T206" i="8"/>
  <c r="R118" i="1"/>
  <c r="R206" i="8"/>
  <c r="Q32" i="8" l="1"/>
  <c r="R32" i="8" s="1"/>
  <c r="R36" i="8" s="1"/>
  <c r="T36" i="8"/>
  <c r="AN25" i="8" s="1"/>
  <c r="H7" i="29" s="1"/>
  <c r="R23" i="8"/>
  <c r="T23" i="8"/>
  <c r="AN19" i="8" s="1"/>
  <c r="H5" i="29" s="1"/>
  <c r="T147" i="8"/>
  <c r="T161" i="1"/>
  <c r="T169" i="1" s="1"/>
  <c r="F25" i="1"/>
  <c r="A25" i="1" s="1"/>
  <c r="E39" i="11"/>
  <c r="F39" i="11" s="1"/>
  <c r="R135" i="1"/>
  <c r="R168" i="1" s="1"/>
  <c r="T192" i="11"/>
  <c r="S135" i="1"/>
  <c r="T168" i="1"/>
  <c r="R122" i="1"/>
  <c r="R166" i="1" s="1"/>
  <c r="R205" i="8"/>
  <c r="T122" i="1"/>
  <c r="T205" i="8"/>
  <c r="T209" i="8" s="1"/>
  <c r="S118" i="1"/>
  <c r="T167" i="1"/>
  <c r="R167" i="1"/>
  <c r="H51" i="29" l="1"/>
  <c r="R116" i="8"/>
  <c r="R122" i="8" s="1"/>
  <c r="AM25" i="8"/>
  <c r="E25" i="8"/>
  <c r="E7" i="29" s="1"/>
  <c r="F7" i="29" s="1"/>
  <c r="AM19" i="8"/>
  <c r="E19" i="8"/>
  <c r="E5" i="29" s="1"/>
  <c r="F5" i="29" s="1"/>
  <c r="S161" i="1"/>
  <c r="T165" i="1"/>
  <c r="T37" i="1" s="1"/>
  <c r="E25" i="1"/>
  <c r="B25" i="1"/>
  <c r="R183" i="11"/>
  <c r="R24" i="11"/>
  <c r="R127" i="11"/>
  <c r="T139" i="8"/>
  <c r="S122" i="1"/>
  <c r="T166" i="1"/>
  <c r="T170" i="1" s="1"/>
  <c r="AO19" i="8" l="1"/>
  <c r="G5" i="29"/>
  <c r="AO25" i="8"/>
  <c r="G7" i="29"/>
  <c r="F51" i="29"/>
  <c r="B35" i="1" s="1"/>
  <c r="F25" i="8"/>
  <c r="T25" i="8" s="1"/>
  <c r="AG25" i="8"/>
  <c r="F19" i="8"/>
  <c r="AG19" i="8"/>
  <c r="S165" i="1"/>
  <c r="E83" i="1"/>
  <c r="R19" i="11"/>
  <c r="E24" i="11"/>
  <c r="F24" i="11" s="1"/>
  <c r="B24" i="11"/>
  <c r="R128" i="11"/>
  <c r="R191" i="11"/>
  <c r="R192" i="11" s="1"/>
  <c r="R200" i="8"/>
  <c r="R130" i="11"/>
  <c r="AJ126" i="8"/>
  <c r="G51" i="29" l="1"/>
  <c r="AI25" i="8"/>
  <c r="AJ25" i="8" s="1"/>
  <c r="AH25" i="8"/>
  <c r="T19" i="8"/>
  <c r="T116" i="8" s="1"/>
  <c r="F116" i="8"/>
  <c r="AI19" i="8"/>
  <c r="AJ19" i="8" s="1"/>
  <c r="AH19" i="8"/>
  <c r="R161" i="1"/>
  <c r="R208" i="8"/>
  <c r="R209" i="8" s="1"/>
  <c r="R147" i="8"/>
  <c r="AH126" i="8"/>
  <c r="AK126" i="8"/>
  <c r="AK25" i="8" l="1"/>
  <c r="AK19" i="8"/>
  <c r="T122" i="8"/>
  <c r="R169" i="1"/>
  <c r="R170" i="1" s="1"/>
  <c r="R165" i="1"/>
  <c r="R139" i="8"/>
  <c r="F122" i="8" l="1"/>
  <c r="B122" i="8" s="1"/>
  <c r="B116" i="8"/>
  <c r="R128" i="8"/>
  <c r="R141" i="8"/>
  <c r="R127" i="8"/>
  <c r="D83" i="1"/>
  <c r="F83" i="1"/>
  <c r="R37" i="1"/>
  <c r="R24" i="1" l="1"/>
  <c r="AH128" i="8"/>
  <c r="AH127" i="8"/>
  <c r="R23" i="1"/>
  <c r="R137" i="8"/>
  <c r="R145" i="8"/>
  <c r="R143" i="8"/>
  <c r="AH137" i="8" l="1"/>
  <c r="AH138" i="8" s="1"/>
  <c r="R35" i="1"/>
  <c r="F128" i="8"/>
  <c r="T128" i="8"/>
  <c r="F127" i="8"/>
  <c r="F141" i="8"/>
  <c r="R39" i="1" l="1"/>
  <c r="E22" i="18"/>
  <c r="AJ128" i="8"/>
  <c r="T24" i="1"/>
  <c r="F24" i="1"/>
  <c r="B128" i="8"/>
  <c r="F23" i="1"/>
  <c r="F137" i="8"/>
  <c r="T127" i="8"/>
  <c r="T141" i="8"/>
  <c r="B141" i="8" s="1"/>
  <c r="F143" i="8"/>
  <c r="A24" i="1" l="1"/>
  <c r="E24" i="1"/>
  <c r="B24" i="1"/>
  <c r="F145" i="8"/>
  <c r="T23" i="1"/>
  <c r="T35" i="1" s="1"/>
  <c r="E23" i="18" s="1"/>
  <c r="AJ127" i="8"/>
  <c r="AJ137" i="8" s="1"/>
  <c r="T137" i="8"/>
  <c r="B127" i="8"/>
  <c r="T145" i="8"/>
  <c r="T143" i="8"/>
  <c r="B143" i="8" s="1"/>
  <c r="C72" i="1"/>
  <c r="E23" i="1"/>
  <c r="F35" i="1"/>
  <c r="T39" i="1" l="1"/>
  <c r="E35" i="1"/>
  <c r="A23" i="1"/>
  <c r="B19" i="1" s="1"/>
  <c r="B23" i="1"/>
  <c r="F72" i="1"/>
  <c r="Q15" i="1"/>
  <c r="AK137" i="8"/>
  <c r="AK138" i="8" s="1"/>
  <c r="AJ138" i="8"/>
  <c r="B145" i="8"/>
  <c r="Q16" i="1" l="1"/>
  <c r="F75" i="1"/>
  <c r="R83" i="1" s="1"/>
  <c r="Q19" i="1" s="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62" authorId="0" shapeId="0" xr:uid="{1BF4D6DF-E44A-4E3D-BBC1-BE998BFCF3C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81" authorId="0" shapeId="0" xr:uid="{0B9DCC4A-66AF-44AE-A24A-1F5DB950877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01" authorId="0" shapeId="0" xr:uid="{F7C21D6B-FE5E-4789-8D19-26D21CB67EB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126"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138"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138"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138"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<sst xmlns="http://schemas.openxmlformats.org/spreadsheetml/2006/main" count="1460" uniqueCount="436">
  <si>
    <t xml:space="preserve">CLIENT: </t>
  </si>
  <si>
    <t>R/Lab Cont</t>
  </si>
  <si>
    <t xml:space="preserve">PROJECT: </t>
  </si>
  <si>
    <t>mu_A</t>
  </si>
  <si>
    <t xml:space="preserve">JOB DESC: </t>
  </si>
  <si>
    <t>mu_B</t>
  </si>
  <si>
    <t xml:space="preserve">QUOTE No: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</si>
  <si>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</si>
  <si>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</si>
  <si>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</si>
  <si>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</si>
  <si>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</si>
  <si>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</si>
  <si>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</si>
  <si>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</si>
  <si>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</si>
  <si>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</si>
  <si>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</si>
  <si>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</si>
  <si>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</si>
  <si>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</si>
  <si>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</si>
  <si>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</si>
  <si>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</si>
  <si>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</si>
  <si>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</si>
  <si>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</si>
  <si>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</si>
  <si>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</si>
  <si>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</si>
  <si>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</si>
  <si>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</si>
  <si>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</si>
  <si>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</si>
  <si>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</si>
  <si>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</si>
  <si>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</si>
  <si>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</si>
  <si>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</si>
  <si>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</si>
  <si>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</si>
  <si>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</si>
  <si>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</si>
  <si>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</si>
  <si>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</si>
  <si>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</si>
  <si>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</si>
  <si>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</si>
  <si>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</si>
  <si>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</si>
  <si>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</si>
  <si>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</si>
  <si>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</si>
  <si>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</si>
  <si>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</si>
  <si>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</si>
  <si>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</si>
  <si>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</si>
  <si>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</si>
  <si>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</si>
  <si>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</si>
  <si>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</si>
  <si>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</si>
  <si>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</si>
  <si>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</si>
  <si>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</si>
  <si>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</si>
  <si>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</si>
  <si>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</si>
  <si>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</si>
  <si>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</si>
  <si>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</si>
  <si>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</si>
  <si>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</si>
  <si>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</si>
  <si>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</si>
  <si>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</si>
  <si>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</si>
  <si>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</si>
  <si>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</si>
  <si>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</si>
  <si>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</si>
  <si>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</si>
  <si>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</si>
  <si>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</si>
  <si>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</si>
  <si>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</si>
  <si>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</si>
  <si>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</si>
  <si>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</si>
  <si>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</si>
  <si>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</si>
  <si>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</si>
  <si>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</si>
  <si>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</si>
  <si>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</si>
  <si>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</si>
  <si>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</si>
  <si>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</si>
  <si>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</si>
  <si>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</si>
  <si>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</si>
  <si>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</si>
  <si>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</si>
  <si>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</si>
  <si>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</si>
  <si>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</si>
  <si>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</si>
  <si>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</si>
  <si>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</si>
  <si>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</si>
  <si>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</si>
  <si>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</si>
  <si>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</si>
  <si>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</si>
  <si>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</si>
  <si>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</si>
  <si>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</si>
  <si>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</si>
  <si>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</si>
  <si>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</si>
  <si>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</si>
  <si>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</si>
  <si>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</si>
  <si>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</si>
  <si>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</si>
  <si>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</si>
  <si>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</si>
  <si>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</si>
  <si>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</si>
  <si>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</si>
  <si>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</si>
  <si>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</si>
  <si>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</si>
  <si>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</si>
  <si>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</si>
  <si>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</si>
  <si>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</si>
  <si>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</si>
  <si>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</si>
  <si>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ISELL</t>
  </si>
  <si>
    <t>ITEM</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</si>
  <si>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</si>
  <si>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</si>
  <si>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</si>
  <si>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</si>
  <si>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</si>
  <si>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</si>
  <si>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</si>
  <si>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</si>
  <si>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</si>
  <si>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</si>
  <si>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</si>
  <si>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</si>
  <si>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</si>
  <si>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</si>
  <si>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</si>
  <si>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</si>
  <si>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</si>
  <si>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</si>
  <si>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</si>
  <si>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</si>
  <si>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PAGE</t>
  </si>
  <si>
    <t>PAGE SELL</t>
  </si>
  <si>
    <t>PAGE MAT</t>
  </si>
  <si>
    <t>PAGE LAB</t>
  </si>
  <si>
    <t>BOQ ITEMS  TOTAL</t>
  </si>
  <si>
    <t>MATERIAL ITEMS TOTAL</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</si>
  <si>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</si>
  <si>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</si>
  <si>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</si>
  <si>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</si>
  <si>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</si>
  <si>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</si>
  <si>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</si>
  <si>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</si>
  <si>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</si>
  <si>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</si>
  <si>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</si>
  <si>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</si>
  <si>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</si>
  <si>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</si>
  <si>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</si>
  <si>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</si>
  <si>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</si>
  <si>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</si>
  <si>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</si>
  <si>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</si>
  <si>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</si>
  <si>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</si>
  <si>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</si>
  <si>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</si>
  <si>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</si>
  <si>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</si>
  <si>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</si>
  <si>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</si>
  <si>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</si>
  <si>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</si>
  <si>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</si>
  <si>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</si>
  <si>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</si>
  <si>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</si>
  <si>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</si>
  <si>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</si>
  <si>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</si>
  <si>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</si>
  <si>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</si>
  <si>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</si>
  <si>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</si>
  <si>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</si>
  <si>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</si>
  <si>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</si>
  <si>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</si>
  <si>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</si>
  <si>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</si>
  <si>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</si>
  <si>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</si>
  <si>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</si>
  <si>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</si>
  <si>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</si>
  <si>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</si>
  <si>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</si>
  <si>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</si>
  <si>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</si>
  <si>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</si>
  <si>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</si>
  <si>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</si>
  <si>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</si>
  <si>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</si>
  <si>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</si>
  <si>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</si>
  <si>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</si>
  <si>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</si>
  <si>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</si>
  <si>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</si>
  <si>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</si>
  <si>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</si>
  <si>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</si>
  <si>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t>
  </si>
  <si>
    <t>Pair Hrs.</t>
  </si>
  <si>
    <t>Pair.Hrs</t>
  </si>
  <si>
    <t>Final Sell after Discounts excl.VAT (€):</t>
  </si>
  <si>
    <t>Estim.Sell before Discounts excl.VAT (€):</t>
  </si>
  <si>
    <t>Overall Discount:</t>
  </si>
  <si>
    <t>MAT CONT &gt;&gt;</t>
  </si>
  <si>
    <t>BOQ TOTAL</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</si>
  <si>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</si>
  <si>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</si>
  <si>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</si>
  <si>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</si>
  <si>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</si>
  <si>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</si>
  <si>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</si>
  <si>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</si>
  <si>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</si>
  <si>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</si>
  <si>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</si>
  <si>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</si>
  <si>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</si>
  <si>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</si>
  <si>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</si>
  <si>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</si>
  <si>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</si>
  <si>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</si>
  <si>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</si>
  <si>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</si>
  <si>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</si>
  <si>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</si>
  <si>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</si>
  <si>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</si>
  <si>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 Lab phr.</t>
  </si>
  <si>
    <t>m</t>
  </si>
  <si>
    <t>No.</t>
  </si>
  <si>
    <t>Item: 1.01</t>
  </si>
  <si>
    <t>Item: 1.02</t>
  </si>
  <si>
    <t>Discy:</t>
  </si>
  <si>
    <t>CRO</t>
  </si>
  <si>
    <t>No</t>
  </si>
  <si>
    <t>CTT</t>
  </si>
  <si>
    <t>(__)</t>
  </si>
  <si>
    <t>MISC</t>
  </si>
  <si>
    <t>LS</t>
  </si>
  <si>
    <t>300x50mm Tray</t>
  </si>
  <si>
    <t>TRGV_009</t>
  </si>
  <si>
    <t>300x50mm Tray Coupler</t>
  </si>
  <si>
    <t>Tray Earth Links</t>
  </si>
  <si>
    <t>Tray Coupling Bolts</t>
  </si>
  <si>
    <t>Tray  300mm  Galv.     Cover</t>
  </si>
  <si>
    <t>TRGV_057</t>
  </si>
  <si>
    <t>EMAT_019</t>
  </si>
  <si>
    <t>HIL</t>
  </si>
  <si>
    <t>MS-413m</t>
  </si>
  <si>
    <t>02-018</t>
  </si>
  <si>
    <t>Hilti</t>
  </si>
  <si>
    <t>HLC Sleeve Anchor 10mm  HLC 10x50/15</t>
  </si>
  <si>
    <t>Push Button Hilti M10 MQN-F</t>
  </si>
  <si>
    <t>Wing Nut Hilti  M8 MQM-M8-F</t>
  </si>
  <si>
    <t xml:space="preserve">Hex.Set Screw  M8x25 </t>
  </si>
  <si>
    <t>Tray Washers M8</t>
  </si>
  <si>
    <t>Labour to manufacture and install brackets</t>
  </si>
  <si>
    <t>SECT</t>
  </si>
  <si>
    <t>SECT SELL</t>
  </si>
  <si>
    <t>SECT MAT</t>
  </si>
  <si>
    <t>SECT LAB</t>
  </si>
  <si>
    <t>ST Microelectronics (Malta) Ltd.</t>
  </si>
  <si>
    <t>Tender</t>
  </si>
  <si>
    <t>001# 1c x 240sqmm FG160M1 cables</t>
  </si>
  <si>
    <t>003# Cable Containment Support</t>
  </si>
  <si>
    <t xml:space="preserve"> SUBCONTRACTING WORKS</t>
  </si>
  <si>
    <t>SUBC_001</t>
  </si>
  <si>
    <t>Based on: brackets spaced at metres intervals</t>
  </si>
  <si>
    <t>Labour for connecting up in existing switchboards and Chillers</t>
  </si>
  <si>
    <t>To Install</t>
  </si>
  <si>
    <t>Manufacture</t>
  </si>
  <si>
    <t>Tray  300mm  Galv.     Cover clamp</t>
  </si>
  <si>
    <t xml:space="preserve">PAGE:  </t>
  </si>
  <si>
    <t>TOTAL FOR ADDITIONAL ITEMS</t>
  </si>
  <si>
    <t xml:space="preserve">Not quoted by Legrand </t>
  </si>
  <si>
    <t>NOTES:</t>
  </si>
  <si>
    <t>Umut Kaymak</t>
  </si>
  <si>
    <t>Ms. S. Magri</t>
  </si>
  <si>
    <t>Mr. A. Sciberras</t>
  </si>
  <si>
    <t>A. Sciberras</t>
  </si>
  <si>
    <t>1c x 240sqmm FG160M1 XLPE/LSZH cables from KK2A S/S to Chiller 3 (Quantity 9 cables)</t>
  </si>
  <si>
    <t>15 metres Wall</t>
  </si>
  <si>
    <t>Galv. Nut  8mm M8-F</t>
  </si>
  <si>
    <t>70 metres Ceiling 0.5m height</t>
  </si>
  <si>
    <t>20 metres Riser 0.15m height</t>
  </si>
  <si>
    <t>5 metres Riser</t>
  </si>
  <si>
    <t>Supports - HDG - Switch Room</t>
  </si>
  <si>
    <t>Supports - HDG - Tunnel</t>
  </si>
  <si>
    <t>Supports - HDG - Boiler</t>
  </si>
  <si>
    <t>Supports - HDG - Shaft</t>
  </si>
  <si>
    <t>Supports - HDG - Roof</t>
  </si>
  <si>
    <t>15 metres Ceiling 1.2m height</t>
  </si>
  <si>
    <t>Legrand - ESS</t>
  </si>
  <si>
    <t>FLAT BEND</t>
  </si>
  <si>
    <t>INSIDE RISER BEND</t>
  </si>
  <si>
    <t>TEE</t>
  </si>
  <si>
    <t>CMP</t>
  </si>
  <si>
    <t>AJ</t>
  </si>
  <si>
    <t>Cleveland</t>
  </si>
  <si>
    <t>Crane to carry the materials to the roof</t>
  </si>
  <si>
    <t>Channel MT-40 S OC</t>
  </si>
  <si>
    <t>Channel 40x40 Endcap MT-EC-40/50</t>
  </si>
  <si>
    <t>Channel Base Hilti MT-B-O2-OC</t>
  </si>
  <si>
    <t>Angle Hilti 90deg MT-C-LL1 OC</t>
  </si>
  <si>
    <t>Electrical Supply and Installation</t>
  </si>
  <si>
    <t>25 m Roof excluding the structure</t>
  </si>
  <si>
    <t>new</t>
  </si>
  <si>
    <t>old</t>
  </si>
  <si>
    <t>004# 300mm Without Matterial galvanised steel cable tray complete with cover</t>
  </si>
  <si>
    <t>200x50mm Tray</t>
  </si>
  <si>
    <t>Tray  200mm  Galv.     Cover</t>
  </si>
  <si>
    <t>Tray  200mm  Galv.     Cover clamp</t>
  </si>
  <si>
    <t>200x50mm Tray Coupler</t>
  </si>
  <si>
    <t>EXTERNAL RISER BEND</t>
  </si>
  <si>
    <t xml:space="preserve">KK2 General Exhaust Replacement </t>
  </si>
  <si>
    <t>ITEM NO.</t>
  </si>
  <si>
    <t>DESCRIPTION</t>
  </si>
  <si>
    <t>QTY</t>
  </si>
  <si>
    <t>UNIT</t>
  </si>
  <si>
    <t xml:space="preserve">RATE </t>
  </si>
  <si>
    <t xml:space="preserve">Total - </t>
  </si>
  <si>
    <t>L/S</t>
  </si>
  <si>
    <t>Dismantling the Old AHU</t>
  </si>
  <si>
    <t xml:space="preserve"> LABOUR ONLY</t>
  </si>
  <si>
    <t>LABO_001</t>
  </si>
  <si>
    <t>Electrical For Mechanical Works,</t>
  </si>
  <si>
    <t>Conduit Galv. 20mm RATE</t>
  </si>
  <si>
    <t>price from quintano</t>
  </si>
  <si>
    <t>COGV_013</t>
  </si>
  <si>
    <t>BAR</t>
  </si>
  <si>
    <t>25mm</t>
  </si>
  <si>
    <t>Conduit Galv. 25mm RATE</t>
  </si>
  <si>
    <t>CAMC_092</t>
  </si>
  <si>
    <t>6.0mm2</t>
  </si>
  <si>
    <t>05-004</t>
  </si>
  <si>
    <t>5c6.0mm FG16OR LSF Grey</t>
  </si>
  <si>
    <t>Item: 1.03</t>
  </si>
  <si>
    <t>Wiring Cable  3c  2.5 mm2 PVC Non-Arm</t>
  </si>
  <si>
    <t>CAMC_049</t>
  </si>
  <si>
    <t>2.5mm2</t>
  </si>
  <si>
    <t>03-003</t>
  </si>
  <si>
    <t>SWLV_177</t>
  </si>
  <si>
    <t>KM</t>
  </si>
  <si>
    <t>P3-63/I/N</t>
  </si>
  <si>
    <t>10</t>
  </si>
  <si>
    <t>Gland Indoor 20S BWL  4*1.5/2.5mm2</t>
  </si>
  <si>
    <t>CAAC_042</t>
  </si>
  <si>
    <t>Cable Lug   6.0  mm2</t>
  </si>
  <si>
    <t>CAAC_007</t>
  </si>
  <si>
    <t>Electrical Power for Air Conditioning Outdoor Units including connecting Up of Outdoor units</t>
  </si>
  <si>
    <t>Electrical Power for Air Conditioning Indoor Units including connecting Up of Indoor units</t>
  </si>
  <si>
    <t xml:space="preserve">Surface Isolator  32A 4-Pole </t>
  </si>
  <si>
    <t>SWLV_143</t>
  </si>
  <si>
    <t>T0-1-102/I</t>
  </si>
  <si>
    <t>10-001</t>
  </si>
  <si>
    <t xml:space="preserve">Surface Isolator  16A  2-Pole </t>
  </si>
  <si>
    <t>Gland Indoor 20  BWL  4*4/6mm2</t>
  </si>
  <si>
    <t>CAAC_040</t>
  </si>
  <si>
    <t xml:space="preserve">Cable Lug   2.5  mm2   </t>
  </si>
  <si>
    <t>CAAC_005</t>
  </si>
  <si>
    <t>Item: 1.04</t>
  </si>
  <si>
    <t>Flowmeter</t>
  </si>
  <si>
    <t>CASP_083</t>
  </si>
  <si>
    <t>Lappkabel</t>
  </si>
  <si>
    <t>0034703  UNITRONIC LiYCY</t>
  </si>
  <si>
    <t>Screened  3c Cable 0.75sqmm</t>
  </si>
  <si>
    <t>Discrepancy</t>
  </si>
  <si>
    <t>SUBI</t>
  </si>
  <si>
    <t>&gt;&gt;&gt; mu_C material here &gt;&gt;&gt;</t>
  </si>
  <si>
    <t>Item: 1.05</t>
  </si>
  <si>
    <t>Delta Pressure Sensor</t>
  </si>
  <si>
    <t>Damper</t>
  </si>
  <si>
    <t>Item: 1.06</t>
  </si>
  <si>
    <t>h</t>
  </si>
  <si>
    <t>RATE_AAA</t>
  </si>
  <si>
    <t>Local Rate</t>
  </si>
  <si>
    <t>RTLO_002</t>
  </si>
  <si>
    <t>100mm cable tray</t>
  </si>
  <si>
    <t>002# 200mm galvanised steel cable tray complete with cover</t>
  </si>
  <si>
    <t>Controls</t>
  </si>
  <si>
    <t>Material Cost</t>
  </si>
  <si>
    <t xml:space="preserve">Labour (hrs) </t>
  </si>
  <si>
    <t>Total Material Cost (€) :</t>
  </si>
  <si>
    <t>Total Labour (hrs)</t>
  </si>
  <si>
    <t>Item: 1.07</t>
  </si>
  <si>
    <t>Dismantling the Old Extractors</t>
  </si>
  <si>
    <t>BMSE_001</t>
  </si>
  <si>
    <t>Dwyer - Air Flow Grid and Meter</t>
  </si>
  <si>
    <t>Differantial Pressure Sensor with LCD</t>
  </si>
  <si>
    <t>Dwyer - Air Flow Grid and Meter Cabinet</t>
  </si>
  <si>
    <t>Dwyer - Air Flow Grid and Meter Cabinet Installation</t>
  </si>
  <si>
    <t>Motorised Actuators for Dampers</t>
  </si>
  <si>
    <t>ELM25-0560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</si>
</sst>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quot;£&quot;* #,##0.00_-;\-&quot;£&quot;* #,##0.00_-;_-&quot;£&quot;* &quot;-&quot;??_-;_-@_-"/>
    <numFmt numFmtId="43" formatCode="_-* #,##0.00_-;\-* #,##0.00_-;_-* &quot;-&quot;??_-;_-@_-"/>
    <numFmt numFmtId="164" formatCode="_-&quot;€&quot;* #,##0.00_-;\-&quot;€&quot;* #,##0.00_-;_-&quot;€&quot;* &quot;-&quot;??_-;_-@_-"/>
    <numFmt numFmtId="165" formatCode="_(&quot;$&quot;* #,##0.00_);_(&quot;$&quot;* \(#,##0.00\);_(&quot;$&quot;* &quot;-&quot;??_);_(@_)"/>
    <numFmt numFmtId="166" formatCode="0.000"/>
    <numFmt numFmtId="167" formatCode="&quot;Lm &quot;#,##0.00_);[Red]\(&quot;Lm &quot;#,##0.00\)"/>
    <numFmt numFmtId="168" formatCode="\(\ 0.00%\ \)"/>
    <numFmt numFmtId="169" formatCode="&quot;Lm/hr &quot;#,##0.00_);[Red]\(&quot;Lm &quot;#,##0.00\)"/>
    <numFmt numFmtId="170" formatCode="dd/mm/yy;@"/>
    <numFmt numFmtId="171" formatCode="[$€-2]\ #,##0.00"/>
    <numFmt numFmtId="172" formatCode="0.0000"/>
    <numFmt numFmtId="173" formatCode="0.0000000"/>
    <numFmt numFmtId="174" formatCode="#,##0.00_ ;\-#,##0.00\ "/>
    <numFmt numFmtId="175" formatCode="&quot;€/Prhr &quot;#,##0.00_);[Red]\(&quot;Lm &quot;#,##0.00\)"/>
    <numFmt numFmtId="176" formatCode="##,##0.00;[Red]\-#,##0.00"/>
    <numFmt numFmtId="177" formatCode="##,##0.00;[Red]\-#,###"/>
    <numFmt numFmtId="178" formatCode="##,##0.00;[Red]\-##,##0.00"/>
    <numFmt numFmtId="179" formatCode="&quot;€/Prhr &quot;#,##0.000_);[Red]\(&quot;Lm &quot;#,##0.000\)"/>
    <numFmt numFmtId="180" formatCode="#,##0.00_ ;[Red]\-#,##0.00\ "/>
    <numFmt numFmtId="181" formatCode="#,##0.000_ ;\-#,##0.000\ "/>
    <numFmt numFmtId="182" formatCode="[$€-413]\ #,##0.00;[$€-413]\ \-#,##0.00"/>
    <numFmt numFmtId="183" formatCode="_ * #,##0.00_ ;_ * \-#,##0.00_ ;_ * &quot;-&quot;??_ ;_ @_ "/>
    <numFmt numFmtId="184" formatCode="_-* #,##0.00\ &quot;Ft&quot;_-;\-* #,##0.00\ &quot;Ft&quot;_-;_-* &quot;-&quot;??\ &quot;Ft&quot;_-;_-@_-"/>
    <numFmt numFmtId="185" formatCode="_ &quot;R&quot;\ * #,##0.00_ ;_ &quot;R&quot;\ * \-#,##0.00_ ;_ &quot;R&quot;\ * &quot;-&quot;??_ ;_ @_ "/>
    <numFmt numFmtId="186" formatCode="[$-809]General"/>
    <numFmt numFmtId="187" formatCode="#,##0.00&quot; Kc&quot;;[Red]\-#,##0.00&quot; Kc&quot;"/>
    <numFmt numFmtId="188" formatCode="#,##0.00_ ;[Red]\(#,##0.00\)"/>
    <numFmt numFmtId="189" formatCode="###,000"/>
    <numFmt numFmtId="190" formatCode="_-&quot;L.&quot;\ * #,##0_-;\-&quot;L.&quot;\ * #,##0_-;_-&quot;L.&quot;\ * &quot;-&quot;_-;_-@_-"/>
    <numFmt numFmtId="191" formatCode="0.00_)"/>
  </numFmts>
  <fonts count="22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sz val="10"/>
      <color theme="1"/>
      <name val="Arial"/>
      <family val="2"/>
    </font>
    <font>
      <sz val="11"/>
      <color rgb="FF000000"/>
      <name val="Calibri"/>
      <family val="2"/>
      <scheme val="minor"/>
    </font>
    <font>
      <sz val="9"/>
      <name val="MS Sans Serif"/>
    </font>
    <font>
      <b/>
      <sz val="9"/>
      <name val="MS Sans Serif"/>
    </font>
    <font>
      <b/>
      <u/>
      <sz val="9"/>
      <color rgb="FF0070C0"/>
      <name val="Arial"/>
      <family val="2"/>
    </font>
    <font>
      <b/>
      <sz val="9"/>
      <color rgb="FFFF0000"/>
      <name val="Arial"/>
      <family val="2"/>
    </font>
    <font>
      <sz val="10"/>
      <name val="Mark Pro Book"/>
      <family val="2"/>
    </font>
    <font>
      <b/>
      <sz val="10"/>
      <name val="Mark Pro Book"/>
      <family val="2"/>
    </font>
    <font>
      <b/>
      <sz val="10"/>
      <color rgb="FF0070C0"/>
      <name val="Arial"/>
      <family val="2"/>
    </font>
    <font>
      <sz val="9"/>
      <name val="Mark Pro Book"/>
      <family val="2"/>
    </font>
    <font>
      <sz val="11"/>
      <color rgb="FFFF0000"/>
      <name val="Arial"/>
      <family val="2"/>
    </font>
    <font>
      <b/>
      <sz val="22.5"/>
      <name val="Mark Pro Book"/>
      <family val="2"/>
    </font>
    <font>
      <sz val="14"/>
      <name val="Mark Pro Book"/>
      <family val="2"/>
    </font>
    <font>
      <b/>
      <sz val="8"/>
      <name val="Mark Pro Book"/>
      <family val="2"/>
    </font>
    <font>
      <b/>
      <u/>
      <sz val="10"/>
      <name val="Mark Pro Book"/>
      <family val="2"/>
    </font>
    <font>
      <b/>
      <sz val="9"/>
      <name val="Mark Pro Book"/>
      <family val="2"/>
    </font>
    <font>
      <sz val="8"/>
      <color indexed="9"/>
      <name val="Mark Pro Book"/>
      <family val="2"/>
    </font>
    <font>
      <sz val="10"/>
      <color indexed="9"/>
      <name val="Mark Pro Book"/>
      <family val="2"/>
    </font>
    <font>
      <sz val="11"/>
      <color indexed="8"/>
      <name val="Calibri"/>
      <family val="2"/>
    </font>
    <font>
      <sz val="11"/>
      <color indexed="8"/>
      <name val="宋体"/>
      <family val="3"/>
      <charset val="134"/>
    </font>
    <font>
      <sz val="11"/>
      <color indexed="9"/>
      <name val="Calibri"/>
      <family val="2"/>
    </font>
    <font>
      <sz val="11"/>
      <color indexed="20"/>
      <name val="Calibri"/>
      <family val="2"/>
    </font>
    <font>
      <b/>
      <sz val="11"/>
      <color indexed="52"/>
      <name val="Calibri"/>
      <family val="2"/>
    </font>
    <font>
      <b/>
      <sz val="11"/>
      <color indexed="9"/>
      <name val="Calibri"/>
      <family val="2"/>
    </font>
    <font>
      <sz val="11"/>
      <color rgb="FF000000"/>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9.1999999999999993"/>
      <color indexed="12"/>
      <name val="Arial"/>
      <family val="2"/>
    </font>
    <font>
      <sz val="11"/>
      <color indexed="62"/>
      <name val="Calibri"/>
      <family val="2"/>
    </font>
    <font>
      <sz val="11"/>
      <color indexed="52"/>
      <name val="Calibri"/>
      <family val="2"/>
    </font>
    <font>
      <sz val="10"/>
      <name val="Arial CE"/>
      <charset val="238"/>
    </font>
    <font>
      <sz val="11"/>
      <color indexed="60"/>
      <name val="Calibri"/>
      <family val="2"/>
    </font>
    <font>
      <sz val="8"/>
      <color theme="1"/>
      <name val="Tahoma"/>
      <family val="2"/>
    </font>
    <font>
      <sz val="10"/>
      <name val="AvantGarde"/>
    </font>
    <font>
      <sz val="8"/>
      <color theme="1"/>
      <name val="Arial"/>
      <family val="2"/>
    </font>
    <font>
      <sz val="10"/>
      <color rgb="FF000000"/>
      <name val="Times New Roman"/>
      <family val="1"/>
    </font>
    <font>
      <sz val="10"/>
      <name val="AvantGarde"/>
      <family val="2"/>
    </font>
    <font>
      <sz val="10"/>
      <name val="AvantGarde Bk BT"/>
    </font>
    <font>
      <b/>
      <sz val="11"/>
      <color indexed="63"/>
      <name val="Calibri"/>
      <family val="2"/>
    </font>
    <font>
      <sz val="8"/>
      <color rgb="FF1F497D"/>
      <name val="Verdana"/>
      <family val="2"/>
    </font>
    <font>
      <sz val="9"/>
      <name val="Geneva"/>
      <family val="2"/>
    </font>
    <font>
      <b/>
      <sz val="18"/>
      <color indexed="56"/>
      <name val="Cambria"/>
      <family val="2"/>
    </font>
    <font>
      <b/>
      <sz val="11"/>
      <color indexed="8"/>
      <name val="Calibri"/>
      <family val="2"/>
    </font>
    <font>
      <sz val="11"/>
      <color indexed="10"/>
      <name val="Calibri"/>
      <family val="2"/>
    </font>
    <font>
      <sz val="11"/>
      <color theme="1"/>
      <name val="Calibri"/>
      <family val="3"/>
      <charset val="134"/>
      <scheme val="minor"/>
    </font>
    <font>
      <sz val="11"/>
      <color rgb="FF9C0006"/>
      <name val="Calibri"/>
      <family val="2"/>
    </font>
    <font>
      <sz val="11"/>
      <color rgb="FF006100"/>
      <name val="Calibri"/>
      <family val="2"/>
    </font>
    <font>
      <u/>
      <sz val="10"/>
      <color theme="10"/>
      <name val="Arial"/>
      <family val="2"/>
    </font>
    <font>
      <sz val="11"/>
      <color rgb="FF9C5700"/>
      <name val="Calibri"/>
      <family val="2"/>
    </font>
    <font>
      <sz val="9"/>
      <color theme="1"/>
      <name val="MS Sans Serif"/>
    </font>
    <font>
      <b/>
      <sz val="10"/>
      <color indexed="47"/>
      <name val="Arial"/>
      <family val="2"/>
    </font>
    <font>
      <sz val="10"/>
      <color indexed="10"/>
      <name val="Arial"/>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9"/>
      <name val="MS Sans Serif"/>
      <family val="2"/>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i/>
      <sz val="9"/>
      <color rgb="FFFF0000"/>
      <name val="Arial"/>
      <family val="2"/>
    </font>
  </fonts>
  <fills count="52">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BE5F1"/>
        <bgColor rgb="FFFFFFFF"/>
      </patternFill>
    </fill>
    <fill>
      <patternFill patternType="solid">
        <fgColor rgb="FFFF0000"/>
        <bgColor indexed="64"/>
      </patternFill>
    </fill>
    <fill>
      <patternFill patternType="solid">
        <fgColor theme="6" tint="0.59999389629810485"/>
        <bgColor indexed="64"/>
      </patternFill>
    </fill>
    <fill>
      <patternFill patternType="lightUp"/>
    </fill>
    <fill>
      <patternFill patternType="solid">
        <fgColor indexed="47"/>
        <bgColor indexed="8"/>
      </patternFill>
    </fill>
    <fill>
      <patternFill patternType="lightGray">
        <bgColor indexed="51"/>
      </patternFill>
    </fill>
    <fill>
      <patternFill patternType="solid">
        <fgColor theme="5" tint="0.59999389629810485"/>
        <bgColor indexed="64"/>
      </patternFill>
    </fill>
  </fills>
  <borders count="94">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
      <left/>
      <right/>
      <top style="dashed">
        <color indexed="64"/>
      </top>
      <bottom/>
      <diagonal/>
    </border>
  </borders>
  <cellStyleXfs count="17406">
    <xf numFmtId="0" fontId="0" fillId="0" borderId="0"/>
    <xf numFmtId="43" fontId="8" fillId="0" borderId="0" applyFont="0" applyFill="0" applyBorder="0" applyAlignment="0" applyProtection="0"/>
    <xf numFmtId="165" fontId="8" fillId="0" borderId="0" applyFont="0" applyFill="0" applyBorder="0" applyAlignment="0" applyProtection="0"/>
    <xf numFmtId="0" fontId="8" fillId="0" borderId="0"/>
    <xf numFmtId="1" fontId="12" fillId="0" borderId="0"/>
    <xf numFmtId="0" fontId="8" fillId="0" borderId="0"/>
    <xf numFmtId="1" fontId="12" fillId="0" borderId="0"/>
    <xf numFmtId="0" fontId="11" fillId="0" borderId="0"/>
    <xf numFmtId="0" fontId="35" fillId="0" borderId="0"/>
    <xf numFmtId="0" fontId="151" fillId="0" borderId="0"/>
    <xf numFmtId="1" fontId="8" fillId="0" borderId="0"/>
    <xf numFmtId="0" fontId="8" fillId="0" borderId="0"/>
    <xf numFmtId="0" fontId="4" fillId="0" borderId="0"/>
    <xf numFmtId="0" fontId="8" fillId="0" borderId="0"/>
    <xf numFmtId="0" fontId="153" fillId="0" borderId="0"/>
    <xf numFmtId="0" fontId="8" fillId="0" borderId="0"/>
    <xf numFmtId="44"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0" fontId="8" fillId="0" borderId="0"/>
    <xf numFmtId="0" fontId="170" fillId="23" borderId="0" applyNumberFormat="0" applyBorder="0" applyAlignment="0" applyProtection="0"/>
    <xf numFmtId="0" fontId="170" fillId="24" borderId="0" applyNumberFormat="0" applyBorder="0" applyAlignment="0" applyProtection="0"/>
    <xf numFmtId="0" fontId="170" fillId="25" borderId="0" applyNumberFormat="0" applyBorder="0" applyAlignment="0" applyProtection="0"/>
    <xf numFmtId="0" fontId="170" fillId="26" borderId="0" applyNumberFormat="0" applyBorder="0" applyAlignment="0" applyProtection="0"/>
    <xf numFmtId="0" fontId="170" fillId="27" borderId="0" applyNumberFormat="0" applyBorder="0" applyAlignment="0" applyProtection="0"/>
    <xf numFmtId="0" fontId="170" fillId="28" borderId="0" applyNumberFormat="0" applyBorder="0" applyAlignment="0" applyProtection="0"/>
    <xf numFmtId="182" fontId="171" fillId="23" borderId="0" applyNumberFormat="0" applyBorder="0" applyAlignment="0" applyProtection="0">
      <alignment vertical="center"/>
    </xf>
    <xf numFmtId="0" fontId="170" fillId="29" borderId="0" applyNumberFormat="0" applyBorder="0" applyAlignment="0" applyProtection="0"/>
    <xf numFmtId="0" fontId="170" fillId="30" borderId="0" applyNumberFormat="0" applyBorder="0" applyAlignment="0" applyProtection="0"/>
    <xf numFmtId="0" fontId="170" fillId="31" borderId="0" applyNumberFormat="0" applyBorder="0" applyAlignment="0" applyProtection="0"/>
    <xf numFmtId="0" fontId="170" fillId="26" borderId="0" applyNumberFormat="0" applyBorder="0" applyAlignment="0" applyProtection="0"/>
    <xf numFmtId="0" fontId="170" fillId="29" borderId="0" applyNumberFormat="0" applyBorder="0" applyAlignment="0" applyProtection="0"/>
    <xf numFmtId="0" fontId="170" fillId="32" borderId="0" applyNumberFormat="0" applyBorder="0" applyAlignment="0" applyProtection="0"/>
    <xf numFmtId="0" fontId="172" fillId="33" borderId="0" applyNumberFormat="0" applyBorder="0" applyAlignment="0" applyProtection="0"/>
    <xf numFmtId="0" fontId="172" fillId="30" borderId="0" applyNumberFormat="0" applyBorder="0" applyAlignment="0" applyProtection="0"/>
    <xf numFmtId="0" fontId="172" fillId="31" borderId="0" applyNumberFormat="0" applyBorder="0" applyAlignment="0" applyProtection="0"/>
    <xf numFmtId="0" fontId="172" fillId="34" borderId="0" applyNumberFormat="0" applyBorder="0" applyAlignment="0" applyProtection="0"/>
    <xf numFmtId="0" fontId="172" fillId="35" borderId="0" applyNumberFormat="0" applyBorder="0" applyAlignment="0" applyProtection="0"/>
    <xf numFmtId="0" fontId="172" fillId="36" borderId="0" applyNumberFormat="0" applyBorder="0" applyAlignment="0" applyProtection="0"/>
    <xf numFmtId="0" fontId="172" fillId="37" borderId="0" applyNumberFormat="0" applyBorder="0" applyAlignment="0" applyProtection="0"/>
    <xf numFmtId="0" fontId="172" fillId="38" borderId="0" applyNumberFormat="0" applyBorder="0" applyAlignment="0" applyProtection="0"/>
    <xf numFmtId="0" fontId="172" fillId="39" borderId="0" applyNumberFormat="0" applyBorder="0" applyAlignment="0" applyProtection="0"/>
    <xf numFmtId="0" fontId="172" fillId="34" borderId="0" applyNumberFormat="0" applyBorder="0" applyAlignment="0" applyProtection="0"/>
    <xf numFmtId="0" fontId="172" fillId="35" borderId="0" applyNumberFormat="0" applyBorder="0" applyAlignment="0" applyProtection="0"/>
    <xf numFmtId="0" fontId="172" fillId="40" borderId="0" applyNumberFormat="0" applyBorder="0" applyAlignment="0" applyProtection="0"/>
    <xf numFmtId="0" fontId="173" fillId="24" borderId="0" applyNumberFormat="0" applyBorder="0" applyAlignment="0" applyProtection="0"/>
    <xf numFmtId="0" fontId="174" fillId="41" borderId="45" applyNumberFormat="0" applyAlignment="0" applyProtection="0"/>
    <xf numFmtId="0" fontId="175" fillId="42" borderId="46" applyNumberFormat="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0"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30"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0" fontId="30"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83" fontId="152" fillId="0" borderId="0" applyFont="0" applyFill="0" applyBorder="0" applyAlignment="0" applyProtection="0"/>
    <xf numFmtId="44" fontId="2" fillId="0" borderId="0" applyFont="0" applyFill="0" applyBorder="0" applyAlignment="0" applyProtection="0"/>
    <xf numFmtId="165" fontId="2" fillId="0" borderId="0" applyFont="0" applyFill="0" applyBorder="0" applyAlignment="0" applyProtection="0"/>
    <xf numFmtId="44" fontId="8" fillId="0" borderId="0" applyFont="0" applyFill="0" applyBorder="0" applyAlignment="0" applyProtection="0"/>
    <xf numFmtId="165" fontId="8" fillId="0" borderId="0" applyFont="0" applyFill="0" applyBorder="0" applyAlignment="0" applyProtection="0"/>
    <xf numFmtId="44" fontId="8" fillId="0" borderId="0" applyFont="0" applyFill="0" applyBorder="0" applyAlignment="0" applyProtection="0"/>
    <xf numFmtId="165" fontId="2"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65" fontId="8" fillId="0" borderId="0" applyFont="0" applyFill="0" applyBorder="0" applyAlignment="0" applyProtection="0"/>
    <xf numFmtId="44" fontId="2"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84" fontId="152" fillId="0" borderId="0" applyFont="0" applyFill="0" applyBorder="0" applyAlignment="0" applyProtection="0"/>
    <xf numFmtId="166" fontId="2" fillId="0" borderId="0" applyFont="0" applyFill="0" applyBorder="0" applyAlignment="0" applyProtection="0"/>
    <xf numFmtId="44" fontId="8" fillId="0" borderId="0" applyFont="0" applyFill="0" applyBorder="0" applyAlignment="0" applyProtection="0"/>
    <xf numFmtId="185" fontId="2" fillId="0" borderId="0" applyFont="0" applyFill="0" applyBorder="0" applyAlignment="0" applyProtection="0"/>
    <xf numFmtId="186" fontId="176" fillId="0" borderId="0"/>
    <xf numFmtId="0" fontId="177" fillId="0" borderId="0" applyNumberFormat="0" applyFill="0" applyBorder="0" applyAlignment="0" applyProtection="0"/>
    <xf numFmtId="0" fontId="178" fillId="25" borderId="0" applyNumberFormat="0" applyBorder="0" applyAlignment="0" applyProtection="0"/>
    <xf numFmtId="0" fontId="179" fillId="0" borderId="47" applyNumberFormat="0" applyFill="0" applyAlignment="0" applyProtection="0"/>
    <xf numFmtId="0" fontId="180" fillId="0" borderId="48" applyNumberFormat="0" applyFill="0" applyAlignment="0" applyProtection="0"/>
    <xf numFmtId="0" fontId="181" fillId="0" borderId="49"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alignment vertical="top"/>
      <protection locked="0"/>
    </xf>
    <xf numFmtId="0" fontId="182" fillId="0" borderId="0" applyNumberFormat="0" applyFill="0" applyBorder="0" applyAlignment="0" applyProtection="0">
      <alignment vertical="top"/>
      <protection locked="0"/>
    </xf>
    <xf numFmtId="0" fontId="183" fillId="0" borderId="0" applyNumberFormat="0" applyFill="0" applyBorder="0" applyAlignment="0" applyProtection="0">
      <alignment vertical="top"/>
      <protection locked="0"/>
    </xf>
    <xf numFmtId="0" fontId="184" fillId="28" borderId="45" applyNumberFormat="0" applyAlignment="0" applyProtection="0"/>
    <xf numFmtId="0" fontId="185" fillId="0" borderId="50" applyNumberFormat="0" applyFill="0" applyAlignment="0" applyProtection="0"/>
    <xf numFmtId="187" fontId="186" fillId="0" borderId="0" applyFont="0" applyFill="0" applyBorder="0" applyAlignment="0" applyProtection="0"/>
    <xf numFmtId="0" fontId="187" fillId="43" borderId="0" applyNumberFormat="0" applyBorder="0" applyAlignment="0" applyProtection="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5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188" fillId="0" borderId="0"/>
    <xf numFmtId="0" fontId="189" fillId="0" borderId="0"/>
    <xf numFmtId="0" fontId="8" fillId="0" borderId="0"/>
    <xf numFmtId="0" fontId="8" fillId="0" borderId="0"/>
    <xf numFmtId="0" fontId="189" fillId="0" borderId="0"/>
    <xf numFmtId="0" fontId="8" fillId="0" borderId="0"/>
    <xf numFmtId="0" fontId="2" fillId="0" borderId="0"/>
    <xf numFmtId="0" fontId="8" fillId="0" borderId="0"/>
    <xf numFmtId="0" fontId="8" fillId="0" borderId="0"/>
    <xf numFmtId="0" fontId="8" fillId="0" borderId="0"/>
    <xf numFmtId="0" fontId="8" fillId="0" borderId="0"/>
    <xf numFmtId="0" fontId="190" fillId="0" borderId="0"/>
    <xf numFmtId="0" fontId="30" fillId="0" borderId="0">
      <alignment horizontal="justify" vertical="justify"/>
    </xf>
    <xf numFmtId="0" fontId="8" fillId="0" borderId="0"/>
    <xf numFmtId="0" fontId="190" fillId="0" borderId="0"/>
    <xf numFmtId="0" fontId="152" fillId="0" borderId="0"/>
    <xf numFmtId="0" fontId="2" fillId="0" borderId="0"/>
    <xf numFmtId="0" fontId="2" fillId="0" borderId="0"/>
    <xf numFmtId="0" fontId="30" fillId="0" borderId="0">
      <alignment horizontal="justify" vertical="justify"/>
    </xf>
    <xf numFmtId="0" fontId="8" fillId="0" borderId="0"/>
    <xf numFmtId="0" fontId="2" fillId="0" borderId="0"/>
    <xf numFmtId="0" fontId="152" fillId="0" borderId="0"/>
    <xf numFmtId="0" fontId="8" fillId="0" borderId="0"/>
    <xf numFmtId="0" fontId="8" fillId="0" borderId="0"/>
    <xf numFmtId="0" fontId="152" fillId="0" borderId="0"/>
    <xf numFmtId="0" fontId="152" fillId="0" borderId="0"/>
    <xf numFmtId="0" fontId="191" fillId="0" borderId="0"/>
    <xf numFmtId="0" fontId="19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9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189" fillId="0" borderId="0"/>
    <xf numFmtId="0" fontId="2"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2" fillId="0" borderId="0"/>
    <xf numFmtId="0" fontId="2" fillId="0" borderId="0"/>
    <xf numFmtId="0" fontId="19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89" fillId="0" borderId="0"/>
    <xf numFmtId="0" fontId="2" fillId="0" borderId="0"/>
    <xf numFmtId="0" fontId="18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2" fillId="0" borderId="0"/>
    <xf numFmtId="0" fontId="8" fillId="0" borderId="0"/>
    <xf numFmtId="0" fontId="8" fillId="0" borderId="0"/>
    <xf numFmtId="0" fontId="8" fillId="0" borderId="0"/>
    <xf numFmtId="0" fontId="8" fillId="0" borderId="0"/>
    <xf numFmtId="0" fontId="8" fillId="0" borderId="0"/>
    <xf numFmtId="188" fontId="8" fillId="0" borderId="0"/>
    <xf numFmtId="0" fontId="8" fillId="0" borderId="0"/>
    <xf numFmtId="188" fontId="8" fillId="0" borderId="0"/>
    <xf numFmtId="0" fontId="153" fillId="0" borderId="0"/>
    <xf numFmtId="0" fontId="8" fillId="0" borderId="0"/>
    <xf numFmtId="0" fontId="8" fillId="0" borderId="0"/>
    <xf numFmtId="0" fontId="8" fillId="0" borderId="0"/>
    <xf numFmtId="0" fontId="30" fillId="0" borderId="0"/>
    <xf numFmtId="0" fontId="8" fillId="0" borderId="0"/>
    <xf numFmtId="0" fontId="30" fillId="0" borderId="0"/>
    <xf numFmtId="0" fontId="8" fillId="0" borderId="0"/>
    <xf numFmtId="0" fontId="30"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8" fillId="0" borderId="0"/>
    <xf numFmtId="0" fontId="2" fillId="0" borderId="0"/>
    <xf numFmtId="0" fontId="153" fillId="0" borderId="0"/>
    <xf numFmtId="0" fontId="8" fillId="0" borderId="0"/>
    <xf numFmtId="0" fontId="8" fillId="0" borderId="0"/>
    <xf numFmtId="0" fontId="193" fillId="0" borderId="0"/>
    <xf numFmtId="0" fontId="8" fillId="0" borderId="0"/>
    <xf numFmtId="0" fontId="2" fillId="0" borderId="0"/>
    <xf numFmtId="0" fontId="8" fillId="0" borderId="0"/>
    <xf numFmtId="0" fontId="2" fillId="0" borderId="0"/>
    <xf numFmtId="0" fontId="8" fillId="0" borderId="0"/>
    <xf numFmtId="0" fontId="8" fillId="0" borderId="0"/>
    <xf numFmtId="0" fontId="8" fillId="0" borderId="0"/>
    <xf numFmtId="0" fontId="191" fillId="0" borderId="0"/>
    <xf numFmtId="0" fontId="8" fillId="0" borderId="0"/>
    <xf numFmtId="0" fontId="191" fillId="0" borderId="0"/>
    <xf numFmtId="0" fontId="8" fillId="0" borderId="0"/>
    <xf numFmtId="0" fontId="191" fillId="0" borderId="0"/>
    <xf numFmtId="0" fontId="8" fillId="0" borderId="0"/>
    <xf numFmtId="0" fontId="8" fillId="0" borderId="0"/>
    <xf numFmtId="0" fontId="191" fillId="0" borderId="0"/>
    <xf numFmtId="0" fontId="8" fillId="0" borderId="0"/>
    <xf numFmtId="0" fontId="8" fillId="0" borderId="0"/>
    <xf numFmtId="0" fontId="8" fillId="0" borderId="0"/>
    <xf numFmtId="0" fontId="8" fillId="0" borderId="0"/>
    <xf numFmtId="0" fontId="8" fillId="0" borderId="0"/>
    <xf numFmtId="0" fontId="191" fillId="0" borderId="0"/>
    <xf numFmtId="0" fontId="8" fillId="0" borderId="0"/>
    <xf numFmtId="0" fontId="8" fillId="0" borderId="0"/>
    <xf numFmtId="0" fontId="191"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93" fillId="0" borderId="0"/>
    <xf numFmtId="0" fontId="8" fillId="0" borderId="0"/>
    <xf numFmtId="0" fontId="189" fillId="0" borderId="0"/>
    <xf numFmtId="0" fontId="192" fillId="0" borderId="0"/>
    <xf numFmtId="0" fontId="8" fillId="0" borderId="0"/>
    <xf numFmtId="0" fontId="8" fillId="0" borderId="0"/>
    <xf numFmtId="0" fontId="152" fillId="0" borderId="0"/>
    <xf numFmtId="0" fontId="2" fillId="0" borderId="0"/>
    <xf numFmtId="0" fontId="152" fillId="0" borderId="0"/>
    <xf numFmtId="0" fontId="1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8" fillId="0" borderId="0"/>
    <xf numFmtId="0" fontId="152" fillId="0" borderId="0"/>
    <xf numFmtId="0" fontId="8" fillId="0" borderId="0"/>
    <xf numFmtId="0" fontId="8" fillId="0" borderId="0"/>
    <xf numFmtId="0" fontId="2" fillId="0" borderId="0"/>
    <xf numFmtId="0" fontId="8" fillId="0" borderId="0"/>
    <xf numFmtId="0" fontId="8" fillId="0" borderId="0"/>
    <xf numFmtId="0" fontId="2" fillId="0" borderId="0"/>
    <xf numFmtId="0" fontId="8" fillId="0" borderId="0"/>
    <xf numFmtId="0" fontId="2" fillId="0" borderId="0"/>
    <xf numFmtId="0" fontId="2" fillId="0" borderId="0"/>
    <xf numFmtId="0" fontId="8" fillId="0" borderId="0"/>
    <xf numFmtId="0" fontId="8" fillId="0" borderId="0"/>
    <xf numFmtId="0" fontId="2" fillId="0" borderId="0"/>
    <xf numFmtId="0" fontId="2" fillId="0" borderId="0"/>
    <xf numFmtId="0" fontId="2" fillId="0" borderId="0"/>
    <xf numFmtId="0" fontId="2" fillId="0" borderId="0"/>
    <xf numFmtId="0" fontId="8" fillId="0" borderId="0"/>
    <xf numFmtId="0" fontId="30" fillId="0" borderId="0">
      <alignment horizontal="justify" vertical="justify"/>
    </xf>
    <xf numFmtId="0" fontId="8"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189" fillId="0" borderId="0"/>
    <xf numFmtId="0" fontId="152" fillId="0" borderId="0"/>
    <xf numFmtId="0" fontId="8" fillId="0" borderId="0"/>
    <xf numFmtId="0" fontId="15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8"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186" fillId="0" borderId="0"/>
    <xf numFmtId="0" fontId="170" fillId="44" borderId="51" applyNumberFormat="0" applyFont="0" applyAlignment="0" applyProtection="0"/>
    <xf numFmtId="0" fontId="194" fillId="41" borderId="52" applyNumberFormat="0" applyAlignment="0" applyProtection="0"/>
    <xf numFmtId="9" fontId="152" fillId="0" borderId="0" applyFont="0" applyFill="0" applyBorder="0" applyAlignment="0" applyProtection="0"/>
    <xf numFmtId="9" fontId="170" fillId="0" borderId="0" applyFont="0" applyFill="0" applyBorder="0" applyAlignment="0" applyProtection="0"/>
    <xf numFmtId="9" fontId="2" fillId="0" borderId="0" applyFont="0" applyFill="0" applyBorder="0" applyAlignment="0" applyProtection="0"/>
    <xf numFmtId="9" fontId="152" fillId="0" borderId="0" applyFont="0" applyFill="0" applyBorder="0" applyAlignment="0" applyProtection="0"/>
    <xf numFmtId="9" fontId="8" fillId="0" borderId="0" applyFont="0" applyFill="0" applyBorder="0" applyAlignment="0" applyProtection="0"/>
    <xf numFmtId="9" fontId="170" fillId="0" borderId="0" applyFont="0" applyFill="0" applyBorder="0" applyAlignment="0" applyProtection="0"/>
    <xf numFmtId="9" fontId="8" fillId="0" borderId="0" applyFill="0" applyBorder="0" applyAlignment="0" applyProtection="0"/>
    <xf numFmtId="9" fontId="8" fillId="0" borderId="0" applyFill="0" applyBorder="0" applyAlignment="0" applyProtection="0"/>
    <xf numFmtId="189" fontId="195" fillId="45" borderId="53" applyNumberFormat="0" applyAlignment="0" applyProtection="0">
      <alignment horizontal="left" vertical="center" indent="1"/>
    </xf>
    <xf numFmtId="0" fontId="8" fillId="0" borderId="0"/>
    <xf numFmtId="0" fontId="196" fillId="0" borderId="0"/>
    <xf numFmtId="0" fontId="8" fillId="0" borderId="0"/>
    <xf numFmtId="0" fontId="197" fillId="0" borderId="0" applyNumberFormat="0" applyFill="0" applyBorder="0" applyAlignment="0" applyProtection="0"/>
    <xf numFmtId="0" fontId="198" fillId="0" borderId="54" applyNumberFormat="0" applyFill="0" applyAlignment="0" applyProtection="0"/>
    <xf numFmtId="190" fontId="8" fillId="0" borderId="0" applyFont="0" applyFill="0" applyBorder="0" applyAlignment="0" applyProtection="0"/>
    <xf numFmtId="0" fontId="199" fillId="0" borderId="0" applyNumberFormat="0" applyFill="0" applyBorder="0" applyAlignment="0" applyProtection="0"/>
    <xf numFmtId="182" fontId="2" fillId="0" borderId="0"/>
    <xf numFmtId="182" fontId="200" fillId="0" borderId="0">
      <alignment vertical="center"/>
    </xf>
    <xf numFmtId="182" fontId="8" fillId="0" borderId="0"/>
    <xf numFmtId="0" fontId="201" fillId="21" borderId="0" applyNumberFormat="0" applyBorder="0" applyAlignment="0" applyProtection="0"/>
    <xf numFmtId="0" fontId="174" fillId="41" borderId="55" applyNumberFormat="0" applyAlignment="0" applyProtection="0"/>
    <xf numFmtId="0" fontId="174" fillId="41" borderId="55" applyNumberFormat="0" applyAlignment="0" applyProtection="0"/>
    <xf numFmtId="44" fontId="2" fillId="0" borderId="0" applyFont="0" applyFill="0" applyBorder="0" applyAlignment="0" applyProtection="0"/>
    <xf numFmtId="164" fontId="2" fillId="0" borderId="0" applyFont="0" applyFill="0" applyBorder="0" applyAlignment="0" applyProtection="0"/>
    <xf numFmtId="0" fontId="202" fillId="20" borderId="0" applyNumberFormat="0" applyBorder="0" applyAlignment="0" applyProtection="0"/>
    <xf numFmtId="0" fontId="182" fillId="0" borderId="0" applyNumberFormat="0" applyFill="0" applyBorder="0" applyAlignment="0" applyProtection="0">
      <alignment vertical="top"/>
      <protection locked="0"/>
    </xf>
    <xf numFmtId="0" fontId="203" fillId="0" borderId="0" applyNumberFormat="0" applyFill="0" applyBorder="0" applyAlignment="0" applyProtection="0"/>
    <xf numFmtId="0" fontId="184" fillId="28" borderId="55" applyNumberFormat="0" applyAlignment="0" applyProtection="0"/>
    <xf numFmtId="0" fontId="184" fillId="28" borderId="55" applyNumberFormat="0" applyAlignment="0" applyProtection="0"/>
    <xf numFmtId="0" fontId="204" fillId="22" borderId="0" applyNumberFormat="0" applyBorder="0" applyAlignment="0" applyProtection="0"/>
    <xf numFmtId="0" fontId="2" fillId="0" borderId="0"/>
    <xf numFmtId="0" fontId="8" fillId="0" borderId="0"/>
    <xf numFmtId="0" fontId="8" fillId="0" borderId="0"/>
    <xf numFmtId="0" fontId="8" fillId="0" borderId="0"/>
    <xf numFmtId="0" fontId="153" fillId="0" borderId="0"/>
    <xf numFmtId="0" fontId="2" fillId="0" borderId="0"/>
    <xf numFmtId="0" fontId="2" fillId="0" borderId="0"/>
    <xf numFmtId="0" fontId="2" fillId="0" borderId="0"/>
    <xf numFmtId="0" fontId="8" fillId="0" borderId="0"/>
    <xf numFmtId="0" fontId="2" fillId="0" borderId="0"/>
    <xf numFmtId="0" fontId="170" fillId="44" borderId="56" applyNumberFormat="0" applyFont="0" applyAlignment="0" applyProtection="0"/>
    <xf numFmtId="0" fontId="170" fillId="44" borderId="56" applyNumberFormat="0" applyFont="0" applyAlignment="0" applyProtection="0"/>
    <xf numFmtId="0" fontId="194" fillId="41" borderId="57" applyNumberFormat="0" applyAlignment="0" applyProtection="0"/>
    <xf numFmtId="0" fontId="194" fillId="41" borderId="57" applyNumberFormat="0" applyAlignment="0" applyProtection="0"/>
    <xf numFmtId="0" fontId="198" fillId="0" borderId="58" applyNumberFormat="0" applyFill="0" applyAlignment="0" applyProtection="0"/>
    <xf numFmtId="0" fontId="198" fillId="0" borderId="58" applyNumberFormat="0" applyFill="0" applyAlignment="0" applyProtection="0"/>
    <xf numFmtId="0" fontId="184" fillId="28" borderId="71" applyNumberFormat="0" applyAlignment="0" applyProtection="0"/>
    <xf numFmtId="0" fontId="184" fillId="28" borderId="71" applyNumberFormat="0" applyAlignment="0" applyProtection="0"/>
    <xf numFmtId="0" fontId="174" fillId="41" borderId="71" applyNumberFormat="0" applyAlignment="0" applyProtection="0"/>
    <xf numFmtId="0" fontId="174" fillId="41" borderId="71" applyNumberFormat="0" applyAlignment="0" applyProtection="0"/>
    <xf numFmtId="0" fontId="198" fillId="0" borderId="70" applyNumberFormat="0" applyFill="0" applyAlignment="0" applyProtection="0"/>
    <xf numFmtId="0" fontId="174" fillId="41" borderId="59" applyNumberFormat="0" applyAlignment="0" applyProtection="0"/>
    <xf numFmtId="0" fontId="194" fillId="41" borderId="69" applyNumberFormat="0" applyAlignment="0" applyProtection="0"/>
    <xf numFmtId="0" fontId="170" fillId="44" borderId="68" applyNumberFormat="0" applyFont="0" applyAlignment="0" applyProtection="0"/>
    <xf numFmtId="0" fontId="184" fillId="28" borderId="59" applyNumberFormat="0" applyAlignment="0" applyProtection="0"/>
    <xf numFmtId="0" fontId="184" fillId="28" borderId="67" applyNumberFormat="0" applyAlignment="0" applyProtection="0"/>
    <xf numFmtId="0" fontId="174" fillId="41" borderId="67" applyNumberFormat="0" applyAlignment="0" applyProtection="0"/>
    <xf numFmtId="0" fontId="170" fillId="44" borderId="60" applyNumberFormat="0" applyFont="0" applyAlignment="0" applyProtection="0"/>
    <xf numFmtId="0" fontId="194" fillId="41" borderId="61" applyNumberFormat="0" applyAlignment="0" applyProtection="0"/>
    <xf numFmtId="0" fontId="198" fillId="0" borderId="62" applyNumberFormat="0" applyFill="0" applyAlignment="0" applyProtection="0"/>
    <xf numFmtId="0" fontId="174" fillId="41" borderId="63" applyNumberFormat="0" applyAlignment="0" applyProtection="0"/>
    <xf numFmtId="0" fontId="174" fillId="41" borderId="63" applyNumberFormat="0" applyAlignment="0" applyProtection="0"/>
    <xf numFmtId="0" fontId="184" fillId="28" borderId="63" applyNumberFormat="0" applyAlignment="0" applyProtection="0"/>
    <xf numFmtId="0" fontId="184" fillId="28" borderId="63" applyNumberFormat="0" applyAlignment="0" applyProtection="0"/>
    <xf numFmtId="0" fontId="170" fillId="44" borderId="64" applyNumberFormat="0" applyFont="0" applyAlignment="0" applyProtection="0"/>
    <xf numFmtId="0" fontId="170" fillId="44" borderId="64" applyNumberFormat="0" applyFont="0" applyAlignment="0" applyProtection="0"/>
    <xf numFmtId="0" fontId="194" fillId="41" borderId="65" applyNumberFormat="0" applyAlignment="0" applyProtection="0"/>
    <xf numFmtId="0" fontId="194" fillId="41" borderId="65" applyNumberFormat="0" applyAlignment="0" applyProtection="0"/>
    <xf numFmtId="0" fontId="198" fillId="0" borderId="66" applyNumberFormat="0" applyFill="0" applyAlignment="0" applyProtection="0"/>
    <xf numFmtId="0" fontId="198" fillId="0" borderId="66" applyNumberFormat="0" applyFill="0" applyAlignment="0" applyProtection="0"/>
    <xf numFmtId="0" fontId="170" fillId="44" borderId="72" applyNumberFormat="0" applyFont="0" applyAlignment="0" applyProtection="0"/>
    <xf numFmtId="0" fontId="170" fillId="44" borderId="72" applyNumberFormat="0" applyFont="0" applyAlignment="0" applyProtection="0"/>
    <xf numFmtId="0" fontId="194" fillId="41" borderId="73" applyNumberFormat="0" applyAlignment="0" applyProtection="0"/>
    <xf numFmtId="0" fontId="194" fillId="41" borderId="73" applyNumberFormat="0" applyAlignment="0" applyProtection="0"/>
    <xf numFmtId="0" fontId="198" fillId="0" borderId="74" applyNumberFormat="0" applyFill="0" applyAlignment="0" applyProtection="0"/>
    <xf numFmtId="0" fontId="198" fillId="0" borderId="74" applyNumberFormat="0" applyFill="0" applyAlignment="0" applyProtection="0"/>
    <xf numFmtId="0" fontId="1" fillId="0" borderId="0"/>
    <xf numFmtId="0" fontId="174" fillId="41" borderId="75"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85" fontId="1" fillId="0" borderId="0" applyFont="0" applyFill="0" applyBorder="0" applyAlignment="0" applyProtection="0"/>
    <xf numFmtId="0" fontId="184" fillId="28" borderId="75"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0" fillId="44" borderId="76" applyNumberFormat="0" applyFont="0" applyAlignment="0" applyProtection="0"/>
    <xf numFmtId="0" fontId="194" fillId="41" borderId="77" applyNumberFormat="0" applyAlignment="0" applyProtection="0"/>
    <xf numFmtId="9" fontId="1" fillId="0" borderId="0" applyFont="0" applyFill="0" applyBorder="0" applyAlignment="0" applyProtection="0"/>
    <xf numFmtId="0" fontId="198" fillId="0" borderId="78" applyNumberFormat="0" applyFill="0" applyAlignment="0" applyProtection="0"/>
    <xf numFmtId="182" fontId="1" fillId="0" borderId="0"/>
    <xf numFmtId="0" fontId="174" fillId="41" borderId="79" applyNumberFormat="0" applyAlignment="0" applyProtection="0"/>
    <xf numFmtId="0" fontId="174" fillId="41" borderId="79" applyNumberFormat="0" applyAlignment="0" applyProtection="0"/>
    <xf numFmtId="44" fontId="1" fillId="0" borderId="0" applyFont="0" applyFill="0" applyBorder="0" applyAlignment="0" applyProtection="0"/>
    <xf numFmtId="164" fontId="1" fillId="0" borderId="0" applyFont="0" applyFill="0" applyBorder="0" applyAlignment="0" applyProtection="0"/>
    <xf numFmtId="0" fontId="184" fillId="28" borderId="79" applyNumberFormat="0" applyAlignment="0" applyProtection="0"/>
    <xf numFmtId="0" fontId="184" fillId="28" borderId="79" applyNumberFormat="0" applyAlignment="0" applyProtection="0"/>
    <xf numFmtId="0" fontId="1" fillId="0" borderId="0"/>
    <xf numFmtId="0" fontId="1" fillId="0" borderId="0"/>
    <xf numFmtId="0" fontId="1" fillId="0" borderId="0"/>
    <xf numFmtId="0" fontId="1" fillId="0" borderId="0"/>
    <xf numFmtId="0" fontId="1" fillId="0" borderId="0"/>
    <xf numFmtId="0" fontId="170" fillId="44" borderId="80" applyNumberFormat="0" applyFont="0" applyAlignment="0" applyProtection="0"/>
    <xf numFmtId="0" fontId="170" fillId="44" borderId="80" applyNumberFormat="0" applyFont="0" applyAlignment="0" applyProtection="0"/>
    <xf numFmtId="0" fontId="194" fillId="41" borderId="81" applyNumberFormat="0" applyAlignment="0" applyProtection="0"/>
    <xf numFmtId="0" fontId="194" fillId="41" borderId="81" applyNumberFormat="0" applyAlignment="0" applyProtection="0"/>
    <xf numFmtId="0" fontId="198" fillId="0" borderId="82" applyNumberFormat="0" applyFill="0" applyAlignment="0" applyProtection="0"/>
    <xf numFmtId="0" fontId="198" fillId="0" borderId="82" applyNumberFormat="0" applyFill="0" applyAlignment="0" applyProtection="0"/>
    <xf numFmtId="0" fontId="193" fillId="0" borderId="0"/>
    <xf numFmtId="191" fontId="214" fillId="0" borderId="0"/>
    <xf numFmtId="1" fontId="8" fillId="0" borderId="0"/>
  </cellStyleXfs>
  <cellXfs count="878">
    <xf numFmtId="0" fontId="0" fillId="0" borderId="0" xfId="0"/>
    <xf numFmtId="0" fontId="16" fillId="0" borderId="0" xfId="3" applyFont="1"/>
    <xf numFmtId="1" fontId="19" fillId="0" borderId="0" xfId="6" applyFont="1" applyProtection="1">
      <protection locked="0"/>
    </xf>
    <xf numFmtId="0" fontId="8" fillId="0" borderId="0" xfId="3"/>
    <xf numFmtId="1" fontId="16" fillId="0" borderId="0" xfId="6" applyFont="1" applyProtection="1">
      <protection locked="0"/>
    </xf>
    <xf numFmtId="2" fontId="16" fillId="0" borderId="0" xfId="6" applyNumberFormat="1" applyFont="1" applyProtection="1">
      <protection locked="0"/>
    </xf>
    <xf numFmtId="1" fontId="30" fillId="0" borderId="0" xfId="6" applyFont="1" applyAlignment="1" applyProtection="1">
      <alignment horizontal="center"/>
      <protection locked="0"/>
    </xf>
    <xf numFmtId="0" fontId="41" fillId="0" borderId="0" xfId="2" applyNumberFormat="1" applyFont="1" applyFill="1" applyBorder="1" applyAlignment="1" applyProtection="1">
      <alignment horizontal="centerContinuous"/>
      <protection locked="0"/>
    </xf>
    <xf numFmtId="0" fontId="23" fillId="0" borderId="0" xfId="7" applyFont="1" applyAlignment="1" applyProtection="1">
      <alignment horizontal="center"/>
      <protection locked="0"/>
    </xf>
    <xf numFmtId="0" fontId="8" fillId="0" borderId="1" xfId="3" applyBorder="1"/>
    <xf numFmtId="1" fontId="16" fillId="0" borderId="0" xfId="6" applyFont="1" applyAlignment="1" applyProtection="1">
      <alignment horizontal="centerContinuous"/>
      <protection locked="0"/>
    </xf>
    <xf numFmtId="1" fontId="16" fillId="0" borderId="0" xfId="6" applyFont="1" applyAlignment="1" applyProtection="1">
      <alignment horizontal="left"/>
      <protection locked="0"/>
    </xf>
    <xf numFmtId="0" fontId="17" fillId="0" borderId="0" xfId="2" applyNumberFormat="1" applyFont="1" applyBorder="1" applyAlignment="1" applyProtection="1">
      <protection locked="0"/>
    </xf>
    <xf numFmtId="0" fontId="17" fillId="0" borderId="0" xfId="3" applyFont="1" applyAlignment="1" applyProtection="1">
      <alignment horizontal="left"/>
      <protection locked="0"/>
    </xf>
    <xf numFmtId="15" fontId="17" fillId="0" borderId="0" xfId="6" applyNumberFormat="1" applyFont="1" applyAlignment="1" applyProtection="1">
      <alignment horizontal="left"/>
      <protection locked="0"/>
    </xf>
    <xf numFmtId="0" fontId="17" fillId="0" borderId="0" xfId="2" applyNumberFormat="1" applyFont="1" applyFill="1" applyBorder="1" applyAlignment="1" applyProtection="1">
      <alignment horizontal="left"/>
      <protection locked="0"/>
    </xf>
    <xf numFmtId="0" fontId="36" fillId="0" borderId="0" xfId="2" applyNumberFormat="1" applyFont="1" applyBorder="1" applyAlignment="1" applyProtection="1">
      <alignment horizontal="centerContinuous"/>
      <protection locked="0"/>
    </xf>
    <xf numFmtId="0" fontId="13" fillId="2" borderId="2" xfId="3" applyFont="1" applyFill="1" applyBorder="1" applyAlignment="1">
      <alignment horizontal="center"/>
    </xf>
    <xf numFmtId="0" fontId="13" fillId="3" borderId="3" xfId="3" applyFont="1" applyFill="1" applyBorder="1" applyAlignment="1">
      <alignment horizontal="center"/>
    </xf>
    <xf numFmtId="0" fontId="13" fillId="4" borderId="3" xfId="3" applyFont="1" applyFill="1" applyBorder="1" applyAlignment="1">
      <alignment horizontal="center"/>
    </xf>
    <xf numFmtId="0" fontId="63" fillId="5" borderId="3" xfId="3" applyFont="1" applyFill="1" applyBorder="1" applyAlignment="1">
      <alignment horizontal="center"/>
    </xf>
    <xf numFmtId="0" fontId="13" fillId="6" borderId="3" xfId="3" applyFont="1" applyFill="1" applyBorder="1" applyAlignment="1">
      <alignment horizontal="center"/>
    </xf>
    <xf numFmtId="0" fontId="13" fillId="2" borderId="3" xfId="3" applyFont="1" applyFill="1" applyBorder="1" applyAlignment="1">
      <alignment horizontal="center"/>
    </xf>
    <xf numFmtId="0" fontId="13" fillId="7" borderId="3" xfId="3" applyFont="1" applyFill="1" applyBorder="1" applyAlignment="1">
      <alignment horizontal="center"/>
    </xf>
    <xf numFmtId="0" fontId="13" fillId="8" borderId="3" xfId="3" applyFont="1" applyFill="1" applyBorder="1" applyAlignment="1">
      <alignment horizontal="center"/>
    </xf>
    <xf numFmtId="0" fontId="13" fillId="9" borderId="3" xfId="3" applyFont="1" applyFill="1" applyBorder="1" applyAlignment="1">
      <alignment horizontal="center"/>
    </xf>
    <xf numFmtId="0" fontId="13" fillId="10" borderId="3" xfId="3" applyFont="1" applyFill="1" applyBorder="1" applyAlignment="1">
      <alignment horizontal="center"/>
    </xf>
    <xf numFmtId="0" fontId="13" fillId="11" borderId="3" xfId="3" applyFont="1" applyFill="1" applyBorder="1" applyAlignment="1">
      <alignment horizontal="center"/>
    </xf>
    <xf numFmtId="0" fontId="61" fillId="2" borderId="4" xfId="2" applyNumberFormat="1" applyFont="1" applyFill="1" applyBorder="1" applyAlignment="1" applyProtection="1">
      <alignment horizontal="center" vertical="center"/>
    </xf>
    <xf numFmtId="0" fontId="61" fillId="2" borderId="5" xfId="3" applyFont="1" applyFill="1" applyBorder="1" applyAlignment="1">
      <alignment horizontal="center" vertical="center"/>
    </xf>
    <xf numFmtId="0" fontId="61" fillId="2" borderId="6" xfId="0" applyFont="1" applyFill="1" applyBorder="1" applyAlignment="1">
      <alignment horizontal="center" vertical="center"/>
    </xf>
    <xf numFmtId="0" fontId="61" fillId="2" borderId="7" xfId="0" applyFont="1" applyFill="1" applyBorder="1" applyAlignment="1">
      <alignment horizontal="center" vertical="center"/>
    </xf>
    <xf numFmtId="0" fontId="15" fillId="0" borderId="0" xfId="0" applyFont="1" applyProtection="1">
      <protection locked="0"/>
    </xf>
    <xf numFmtId="0" fontId="16" fillId="0" borderId="0" xfId="3" applyFont="1" applyProtection="1">
      <protection locked="0"/>
    </xf>
    <xf numFmtId="0" fontId="8" fillId="0" borderId="0" xfId="3" applyProtection="1">
      <protection locked="0"/>
    </xf>
    <xf numFmtId="1" fontId="16" fillId="0" borderId="0" xfId="3" applyNumberFormat="1" applyFont="1" applyProtection="1">
      <protection locked="0"/>
    </xf>
    <xf numFmtId="0" fontId="0" fillId="0" borderId="0" xfId="0" applyProtection="1">
      <protection locked="0"/>
    </xf>
    <xf numFmtId="0" fontId="18" fillId="0" borderId="0" xfId="3" applyFont="1" applyProtection="1">
      <protection locked="0"/>
    </xf>
    <xf numFmtId="0" fontId="19" fillId="0" borderId="0" xfId="3" applyFont="1" applyAlignment="1" applyProtection="1">
      <alignment horizontal="right"/>
      <protection locked="0"/>
    </xf>
    <xf numFmtId="0" fontId="11" fillId="0" borderId="1" xfId="3" applyFont="1" applyBorder="1" applyProtection="1">
      <protection locked="0"/>
    </xf>
    <xf numFmtId="1" fontId="8" fillId="0" borderId="0" xfId="3" applyNumberFormat="1" applyProtection="1">
      <protection locked="0"/>
    </xf>
    <xf numFmtId="0" fontId="17" fillId="0" borderId="0" xfId="3" applyFont="1" applyAlignment="1" applyProtection="1">
      <alignment horizontal="center"/>
      <protection locked="0"/>
    </xf>
    <xf numFmtId="0" fontId="17" fillId="0" borderId="0" xfId="3" applyFont="1" applyAlignment="1" applyProtection="1">
      <alignment horizontal="right"/>
      <protection locked="0"/>
    </xf>
    <xf numFmtId="2" fontId="19" fillId="0" borderId="0" xfId="6" applyNumberFormat="1" applyFont="1" applyProtection="1">
      <protection locked="0"/>
    </xf>
    <xf numFmtId="1" fontId="16" fillId="0" borderId="0" xfId="6" applyFont="1" applyAlignment="1" applyProtection="1">
      <alignment horizontal="center"/>
      <protection locked="0"/>
    </xf>
    <xf numFmtId="2" fontId="16" fillId="0" borderId="0" xfId="3" applyNumberFormat="1" applyFont="1" applyProtection="1">
      <protection locked="0"/>
    </xf>
    <xf numFmtId="1" fontId="16" fillId="0" borderId="8" xfId="6" applyFont="1" applyBorder="1" applyAlignment="1" applyProtection="1">
      <alignment horizontal="right"/>
      <protection locked="0"/>
    </xf>
    <xf numFmtId="2" fontId="16" fillId="0" borderId="9" xfId="6" applyNumberFormat="1" applyFont="1" applyBorder="1" applyAlignment="1" applyProtection="1">
      <alignment horizontal="left"/>
      <protection locked="0"/>
    </xf>
    <xf numFmtId="1" fontId="16" fillId="0" borderId="1" xfId="6" applyFont="1" applyBorder="1" applyProtection="1">
      <protection locked="0"/>
    </xf>
    <xf numFmtId="2" fontId="16" fillId="0" borderId="1" xfId="6" applyNumberFormat="1" applyFont="1" applyBorder="1" applyProtection="1">
      <protection locked="0"/>
    </xf>
    <xf numFmtId="0" fontId="20" fillId="0" borderId="0" xfId="3" applyFont="1" applyProtection="1">
      <protection locked="0"/>
    </xf>
    <xf numFmtId="0" fontId="19" fillId="0" borderId="11" xfId="3" applyFont="1" applyBorder="1" applyAlignment="1" applyProtection="1">
      <alignment horizontal="center"/>
      <protection locked="0"/>
    </xf>
    <xf numFmtId="166" fontId="16" fillId="0" borderId="0" xfId="6" applyNumberFormat="1" applyFont="1" applyProtection="1">
      <protection locked="0"/>
    </xf>
    <xf numFmtId="0" fontId="16" fillId="0" borderId="1" xfId="3" applyFont="1" applyBorder="1" applyProtection="1">
      <protection locked="0"/>
    </xf>
    <xf numFmtId="2" fontId="16" fillId="0" borderId="1" xfId="3" applyNumberFormat="1" applyFont="1" applyBorder="1" applyProtection="1">
      <protection locked="0"/>
    </xf>
    <xf numFmtId="2" fontId="17" fillId="2" borderId="0" xfId="3" applyNumberFormat="1" applyFont="1" applyFill="1" applyAlignment="1" applyProtection="1">
      <alignment horizontal="center"/>
      <protection locked="0"/>
    </xf>
    <xf numFmtId="0" fontId="21" fillId="0" borderId="0" xfId="3" applyFont="1" applyAlignment="1" applyProtection="1">
      <alignment horizontal="right"/>
      <protection locked="0"/>
    </xf>
    <xf numFmtId="0" fontId="11" fillId="0" borderId="0" xfId="3" applyFont="1" applyProtection="1">
      <protection locked="0"/>
    </xf>
    <xf numFmtId="1" fontId="11" fillId="0" borderId="0" xfId="3" applyNumberFormat="1" applyFont="1" applyProtection="1">
      <protection locked="0"/>
    </xf>
    <xf numFmtId="2" fontId="11" fillId="0" borderId="0" xfId="6" applyNumberFormat="1" applyFont="1" applyAlignment="1" applyProtection="1">
      <alignment horizontal="right"/>
      <protection locked="0"/>
    </xf>
    <xf numFmtId="1" fontId="11" fillId="0" borderId="0" xfId="6" applyFont="1" applyProtection="1">
      <protection locked="0"/>
    </xf>
    <xf numFmtId="2" fontId="11" fillId="0" borderId="0" xfId="6" applyNumberFormat="1" applyFont="1" applyProtection="1">
      <protection locked="0"/>
    </xf>
    <xf numFmtId="166" fontId="11" fillId="0" borderId="0" xfId="6" applyNumberFormat="1" applyFont="1" applyProtection="1">
      <protection locked="0"/>
    </xf>
    <xf numFmtId="2" fontId="11" fillId="0" borderId="0" xfId="3" applyNumberFormat="1" applyFont="1" applyAlignment="1" applyProtection="1">
      <alignment horizontal="right"/>
      <protection locked="0"/>
    </xf>
    <xf numFmtId="0" fontId="11" fillId="0" borderId="0" xfId="3" applyFont="1" applyAlignment="1" applyProtection="1">
      <alignment horizontal="right"/>
      <protection locked="0"/>
    </xf>
    <xf numFmtId="0" fontId="22" fillId="0" borderId="0" xfId="3" applyFont="1" applyProtection="1">
      <protection locked="0"/>
    </xf>
    <xf numFmtId="0" fontId="23" fillId="0" borderId="1" xfId="3" applyFont="1" applyBorder="1" applyAlignment="1" applyProtection="1">
      <alignment horizontal="left"/>
      <protection locked="0"/>
    </xf>
    <xf numFmtId="0" fontId="24" fillId="0" borderId="1" xfId="3" applyFont="1" applyBorder="1" applyAlignment="1" applyProtection="1">
      <alignment horizontal="right"/>
      <protection locked="0"/>
    </xf>
    <xf numFmtId="0" fontId="7" fillId="0" borderId="1" xfId="3" applyFont="1" applyBorder="1" applyProtection="1">
      <protection locked="0"/>
    </xf>
    <xf numFmtId="0" fontId="23" fillId="0" borderId="1" xfId="3" applyFont="1" applyBorder="1" applyAlignment="1" applyProtection="1">
      <alignment horizontal="right"/>
      <protection locked="0"/>
    </xf>
    <xf numFmtId="1" fontId="23" fillId="2" borderId="1" xfId="6" applyFont="1" applyFill="1" applyBorder="1" applyProtection="1">
      <protection locked="0"/>
    </xf>
    <xf numFmtId="2" fontId="23" fillId="2" borderId="1" xfId="6" applyNumberFormat="1" applyFont="1" applyFill="1" applyBorder="1" applyProtection="1">
      <protection locked="0"/>
    </xf>
    <xf numFmtId="2" fontId="23" fillId="2" borderId="1" xfId="3" applyNumberFormat="1" applyFont="1" applyFill="1" applyBorder="1" applyProtection="1">
      <protection locked="0"/>
    </xf>
    <xf numFmtId="0" fontId="25" fillId="2" borderId="1" xfId="3" applyFont="1" applyFill="1" applyBorder="1" applyProtection="1">
      <protection locked="0"/>
    </xf>
    <xf numFmtId="0" fontId="23" fillId="0" borderId="0" xfId="3" applyFont="1" applyAlignment="1" applyProtection="1">
      <alignment horizontal="left"/>
      <protection locked="0"/>
    </xf>
    <xf numFmtId="0" fontId="24" fillId="0" borderId="0" xfId="3" applyFont="1" applyAlignment="1" applyProtection="1">
      <alignment horizontal="right"/>
      <protection locked="0"/>
    </xf>
    <xf numFmtId="0" fontId="7" fillId="0" borderId="0" xfId="3" applyFont="1" applyAlignment="1" applyProtection="1">
      <alignment horizontal="right"/>
      <protection locked="0"/>
    </xf>
    <xf numFmtId="0" fontId="23" fillId="0" borderId="0" xfId="3" applyFont="1" applyAlignment="1" applyProtection="1">
      <alignment horizontal="right"/>
      <protection locked="0"/>
    </xf>
    <xf numFmtId="2" fontId="23" fillId="0" borderId="0" xfId="3" applyNumberFormat="1" applyFont="1" applyProtection="1">
      <protection locked="0"/>
    </xf>
    <xf numFmtId="2" fontId="23" fillId="0" borderId="0" xfId="6" applyNumberFormat="1" applyFont="1" applyProtection="1">
      <protection locked="0"/>
    </xf>
    <xf numFmtId="2" fontId="25" fillId="0" borderId="0" xfId="3" applyNumberFormat="1" applyFont="1" applyProtection="1">
      <protection locked="0"/>
    </xf>
    <xf numFmtId="0" fontId="23" fillId="12" borderId="0" xfId="3" applyFont="1" applyFill="1" applyAlignment="1" applyProtection="1">
      <alignment horizontal="left"/>
      <protection locked="0"/>
    </xf>
    <xf numFmtId="0" fontId="23" fillId="12" borderId="0" xfId="3" applyFont="1" applyFill="1" applyAlignment="1" applyProtection="1">
      <alignment horizontal="right"/>
      <protection locked="0"/>
    </xf>
    <xf numFmtId="0" fontId="19" fillId="0" borderId="0" xfId="3" applyFont="1" applyProtection="1">
      <protection locked="0"/>
    </xf>
    <xf numFmtId="2" fontId="19" fillId="0" borderId="0" xfId="3" applyNumberFormat="1" applyFont="1" applyProtection="1">
      <protection locked="0"/>
    </xf>
    <xf numFmtId="2" fontId="16" fillId="0" borderId="12" xfId="3" applyNumberFormat="1" applyFont="1" applyBorder="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2" fontId="16" fillId="2" borderId="0" xfId="3" applyNumberFormat="1" applyFont="1" applyFill="1" applyAlignment="1" applyProtection="1">
      <alignment horizontal="center"/>
      <protection locked="0"/>
    </xf>
    <xf numFmtId="2" fontId="16" fillId="13" borderId="12" xfId="6" applyNumberFormat="1" applyFont="1" applyFill="1" applyBorder="1" applyProtection="1">
      <protection locked="0"/>
    </xf>
    <xf numFmtId="2" fontId="16" fillId="0" borderId="12" xfId="6" applyNumberFormat="1" applyFont="1" applyBorder="1" applyProtection="1">
      <protection locked="0"/>
    </xf>
    <xf numFmtId="0" fontId="16" fillId="2" borderId="0" xfId="3" applyFont="1" applyFill="1" applyAlignment="1" applyProtection="1">
      <alignment horizontal="center"/>
      <protection locked="0"/>
    </xf>
    <xf numFmtId="1" fontId="27" fillId="0" borderId="0" xfId="6" applyFont="1" applyProtection="1">
      <protection locked="0"/>
    </xf>
    <xf numFmtId="1" fontId="23" fillId="0" borderId="0" xfId="6" applyFont="1" applyAlignment="1" applyProtection="1">
      <alignment horizontal="right"/>
      <protection locked="0"/>
    </xf>
    <xf numFmtId="2" fontId="16" fillId="7" borderId="12" xfId="3" applyNumberFormat="1" applyFont="1" applyFill="1" applyBorder="1" applyProtection="1">
      <protection locked="0"/>
    </xf>
    <xf numFmtId="2" fontId="28" fillId="0" borderId="12" xfId="3" applyNumberFormat="1" applyFont="1" applyBorder="1" applyProtection="1">
      <protection locked="0"/>
    </xf>
    <xf numFmtId="2" fontId="16" fillId="6" borderId="12" xfId="3" applyNumberFormat="1" applyFont="1" applyFill="1" applyBorder="1" applyProtection="1">
      <protection locked="0"/>
    </xf>
    <xf numFmtId="0" fontId="20" fillId="0" borderId="1" xfId="3" applyFont="1" applyBorder="1" applyProtection="1">
      <protection locked="0"/>
    </xf>
    <xf numFmtId="2" fontId="19" fillId="0" borderId="1" xfId="3" applyNumberFormat="1" applyFont="1" applyBorder="1" applyAlignment="1" applyProtection="1">
      <alignment horizontal="right"/>
      <protection locked="0"/>
    </xf>
    <xf numFmtId="0" fontId="11" fillId="0" borderId="13" xfId="0" applyFont="1" applyBorder="1" applyAlignment="1" applyProtection="1">
      <alignment horizontal="right"/>
      <protection locked="0"/>
    </xf>
    <xf numFmtId="0" fontId="7" fillId="0" borderId="13" xfId="0" applyFont="1" applyBorder="1" applyProtection="1">
      <protection locked="0"/>
    </xf>
    <xf numFmtId="0" fontId="23"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5" fillId="0" borderId="13" xfId="0" applyFont="1" applyBorder="1" applyProtection="1">
      <protection locked="0"/>
    </xf>
    <xf numFmtId="2" fontId="5" fillId="2" borderId="14" xfId="0" applyNumberFormat="1" applyFont="1" applyFill="1" applyBorder="1" applyAlignment="1" applyProtection="1">
      <alignment horizontal="right"/>
      <protection locked="0"/>
    </xf>
    <xf numFmtId="166" fontId="5" fillId="2" borderId="14" xfId="0" applyNumberFormat="1" applyFont="1" applyFill="1" applyBorder="1" applyProtection="1">
      <protection locked="0"/>
    </xf>
    <xf numFmtId="0" fontId="11" fillId="0" borderId="0" xfId="0" applyFont="1" applyAlignment="1" applyProtection="1">
      <alignment horizontal="right"/>
      <protection locked="0"/>
    </xf>
    <xf numFmtId="0" fontId="5" fillId="0" borderId="0" xfId="0" applyFont="1" applyAlignment="1" applyProtection="1">
      <alignment horizontal="center"/>
      <protection locked="0"/>
    </xf>
    <xf numFmtId="1" fontId="0" fillId="0" borderId="0" xfId="0" applyNumberFormat="1" applyProtection="1">
      <protection locked="0"/>
    </xf>
    <xf numFmtId="2" fontId="12" fillId="0" borderId="0" xfId="0" applyNumberFormat="1" applyFont="1" applyProtection="1">
      <protection locked="0"/>
    </xf>
    <xf numFmtId="166" fontId="0" fillId="0" borderId="0" xfId="0" applyNumberFormat="1" applyProtection="1">
      <protection locked="0"/>
    </xf>
    <xf numFmtId="0" fontId="16" fillId="0" borderId="0" xfId="0" applyFont="1" applyProtection="1">
      <protection locked="0"/>
    </xf>
    <xf numFmtId="0" fontId="11" fillId="0" borderId="1" xfId="0" applyFont="1" applyBorder="1" applyAlignment="1" applyProtection="1">
      <alignment horizontal="right"/>
      <protection locked="0"/>
    </xf>
    <xf numFmtId="0" fontId="31" fillId="0" borderId="1" xfId="0" applyFont="1" applyBorder="1" applyAlignment="1" applyProtection="1">
      <alignment horizontal="left"/>
      <protection locked="0"/>
    </xf>
    <xf numFmtId="1" fontId="30" fillId="0" borderId="1" xfId="6" applyFont="1" applyBorder="1" applyAlignment="1" applyProtection="1">
      <alignment horizontal="center"/>
      <protection locked="0"/>
    </xf>
    <xf numFmtId="0" fontId="16" fillId="0" borderId="1" xfId="0" applyFont="1" applyBorder="1" applyProtection="1">
      <protection locked="0"/>
    </xf>
    <xf numFmtId="0" fontId="0" fillId="0" borderId="1" xfId="0" applyBorder="1" applyProtection="1">
      <protection locked="0"/>
    </xf>
    <xf numFmtId="0" fontId="5" fillId="0" borderId="1" xfId="0" applyFont="1" applyBorder="1" applyAlignment="1" applyProtection="1">
      <alignment horizontal="center"/>
      <protection locked="0"/>
    </xf>
    <xf numFmtId="1" fontId="0" fillId="0" borderId="1" xfId="0" applyNumberFormat="1" applyBorder="1" applyProtection="1">
      <protection locked="0"/>
    </xf>
    <xf numFmtId="2" fontId="12" fillId="0" borderId="1" xfId="0" applyNumberFormat="1" applyFont="1" applyBorder="1" applyProtection="1">
      <protection locked="0"/>
    </xf>
    <xf numFmtId="166" fontId="0" fillId="0" borderId="1" xfId="0" applyNumberFormat="1" applyBorder="1" applyProtection="1">
      <protection locked="0"/>
    </xf>
    <xf numFmtId="0" fontId="27" fillId="0" borderId="0" xfId="0" applyFont="1" applyAlignment="1" applyProtection="1">
      <alignment horizontal="center"/>
      <protection locked="0"/>
    </xf>
    <xf numFmtId="0" fontId="32" fillId="0" borderId="0" xfId="0" applyFont="1" applyProtection="1">
      <protection locked="0"/>
    </xf>
    <xf numFmtId="0" fontId="27" fillId="0" borderId="0" xfId="0" applyFont="1" applyAlignment="1" applyProtection="1">
      <alignment horizontal="left"/>
      <protection locked="0"/>
    </xf>
    <xf numFmtId="0" fontId="33" fillId="0" borderId="0" xfId="0" applyFont="1" applyAlignment="1" applyProtection="1">
      <alignment horizontal="center"/>
      <protection locked="0"/>
    </xf>
    <xf numFmtId="0" fontId="27" fillId="0" borderId="1" xfId="0" applyFont="1" applyBorder="1" applyAlignment="1" applyProtection="1">
      <alignment horizontal="center"/>
      <protection locked="0"/>
    </xf>
    <xf numFmtId="0" fontId="32" fillId="0" borderId="1" xfId="0" applyFont="1" applyBorder="1" applyProtection="1">
      <protection locked="0"/>
    </xf>
    <xf numFmtId="0" fontId="27" fillId="0" borderId="15" xfId="0" applyFont="1" applyBorder="1" applyAlignment="1" applyProtection="1">
      <alignment horizontal="left"/>
      <protection locked="0"/>
    </xf>
    <xf numFmtId="0" fontId="34"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8" fillId="0" borderId="15" xfId="0" applyNumberFormat="1" applyFont="1" applyBorder="1" applyAlignment="1" applyProtection="1">
      <alignment horizontal="right"/>
      <protection locked="0"/>
    </xf>
    <xf numFmtId="166" fontId="0" fillId="0" borderId="15" xfId="0" applyNumberFormat="1" applyBorder="1" applyProtection="1">
      <protection locked="0"/>
    </xf>
    <xf numFmtId="0" fontId="0" fillId="16" borderId="0" xfId="0" applyFill="1"/>
    <xf numFmtId="2" fontId="16" fillId="2" borderId="0" xfId="3" applyNumberFormat="1" applyFont="1" applyFill="1" applyAlignment="1" applyProtection="1">
      <alignment vertical="top"/>
      <protection locked="0"/>
    </xf>
    <xf numFmtId="2" fontId="19" fillId="14" borderId="3" xfId="6" applyNumberFormat="1" applyFont="1" applyFill="1" applyBorder="1" applyAlignment="1" applyProtection="1">
      <alignment horizontal="center" vertical="top"/>
      <protection locked="0"/>
    </xf>
    <xf numFmtId="1" fontId="16" fillId="0" borderId="0" xfId="6" applyFont="1" applyAlignment="1" applyProtection="1">
      <alignment horizontal="center" vertical="top"/>
      <protection locked="0"/>
    </xf>
    <xf numFmtId="1" fontId="66" fillId="0" borderId="0" xfId="6" applyFont="1" applyAlignment="1" applyProtection="1">
      <alignment horizontal="left" vertical="top"/>
      <protection locked="0"/>
    </xf>
    <xf numFmtId="1" fontId="18" fillId="0" borderId="0" xfId="6" applyFont="1" applyAlignment="1" applyProtection="1">
      <alignment vertical="top"/>
      <protection locked="0"/>
    </xf>
    <xf numFmtId="1" fontId="19" fillId="0" borderId="0" xfId="6" applyFont="1" applyAlignment="1" applyProtection="1">
      <alignment vertical="top"/>
      <protection locked="0"/>
    </xf>
    <xf numFmtId="2" fontId="19" fillId="0" borderId="0" xfId="6" applyNumberFormat="1" applyFont="1" applyAlignment="1" applyProtection="1">
      <alignment vertical="top"/>
      <protection locked="0"/>
    </xf>
    <xf numFmtId="1" fontId="11" fillId="0" borderId="0" xfId="6" applyFont="1" applyAlignment="1" applyProtection="1">
      <alignment horizontal="center" vertical="top"/>
      <protection locked="0"/>
    </xf>
    <xf numFmtId="1" fontId="11" fillId="0" borderId="0" xfId="6" applyFont="1" applyAlignment="1" applyProtection="1">
      <alignment vertical="top"/>
      <protection locked="0"/>
    </xf>
    <xf numFmtId="2" fontId="23" fillId="3" borderId="0" xfId="3" applyNumberFormat="1" applyFont="1" applyFill="1" applyAlignment="1" applyProtection="1">
      <alignment vertical="top"/>
      <protection locked="0"/>
    </xf>
    <xf numFmtId="2" fontId="68" fillId="15" borderId="1" xfId="6" applyNumberFormat="1" applyFont="1" applyFill="1" applyBorder="1" applyAlignment="1">
      <alignment horizontal="center" vertical="top"/>
    </xf>
    <xf numFmtId="2" fontId="16" fillId="0" borderId="0" xfId="6" applyNumberFormat="1" applyFont="1" applyAlignment="1" applyProtection="1">
      <alignment vertical="top"/>
      <protection locked="0"/>
    </xf>
    <xf numFmtId="0" fontId="32" fillId="0" borderId="0" xfId="3" applyFont="1"/>
    <xf numFmtId="1" fontId="8" fillId="0" borderId="0" xfId="3" applyNumberFormat="1"/>
    <xf numFmtId="2" fontId="16" fillId="3" borderId="0" xfId="6" applyNumberFormat="1" applyFont="1" applyFill="1"/>
    <xf numFmtId="2" fontId="16" fillId="17" borderId="0" xfId="6" applyNumberFormat="1" applyFont="1" applyFill="1"/>
    <xf numFmtId="1" fontId="37" fillId="0" borderId="1" xfId="6" applyFont="1" applyBorder="1" applyAlignment="1" applyProtection="1">
      <alignment horizontal="right"/>
      <protection locked="0"/>
    </xf>
    <xf numFmtId="1" fontId="16" fillId="0" borderId="1" xfId="6" applyFont="1" applyBorder="1" applyAlignment="1" applyProtection="1">
      <alignment horizontal="center"/>
      <protection locked="0"/>
    </xf>
    <xf numFmtId="1" fontId="16" fillId="0" borderId="1" xfId="6" applyFont="1" applyBorder="1"/>
    <xf numFmtId="1" fontId="11" fillId="0" borderId="1" xfId="6" applyFont="1" applyBorder="1" applyAlignment="1" applyProtection="1">
      <alignment horizontal="center"/>
      <protection locked="0"/>
    </xf>
    <xf numFmtId="2" fontId="69" fillId="3" borderId="15" xfId="6" applyNumberFormat="1" applyFont="1" applyFill="1" applyBorder="1" applyAlignment="1">
      <alignment horizontal="right"/>
    </xf>
    <xf numFmtId="1" fontId="11" fillId="0" borderId="1" xfId="6" applyFont="1" applyBorder="1" applyAlignment="1" applyProtection="1">
      <alignment horizontal="right"/>
      <protection locked="0"/>
    </xf>
    <xf numFmtId="1" fontId="0" fillId="0" borderId="0" xfId="0" applyNumberFormat="1"/>
    <xf numFmtId="0" fontId="51" fillId="0" borderId="0" xfId="3" applyFont="1" applyProtection="1">
      <protection locked="0"/>
    </xf>
    <xf numFmtId="0" fontId="19" fillId="0" borderId="1" xfId="3" applyFont="1" applyBorder="1" applyAlignment="1">
      <alignment horizontal="center"/>
    </xf>
    <xf numFmtId="0" fontId="19" fillId="0" borderId="1" xfId="3" applyFont="1" applyBorder="1" applyAlignment="1" applyProtection="1">
      <alignment horizontal="right"/>
      <protection locked="0"/>
    </xf>
    <xf numFmtId="1" fontId="16" fillId="0" borderId="0" xfId="3" applyNumberFormat="1" applyFont="1"/>
    <xf numFmtId="0" fontId="19" fillId="0" borderId="0" xfId="3" applyFont="1"/>
    <xf numFmtId="1" fontId="19" fillId="0" borderId="0" xfId="3" applyNumberFormat="1" applyFont="1"/>
    <xf numFmtId="2" fontId="16" fillId="0" borderId="12" xfId="3" applyNumberFormat="1" applyFont="1" applyBorder="1"/>
    <xf numFmtId="0" fontId="16" fillId="0" borderId="12" xfId="3" applyFont="1" applyBorder="1" applyProtection="1">
      <protection locked="0"/>
    </xf>
    <xf numFmtId="2" fontId="16" fillId="13" borderId="12" xfId="6" applyNumberFormat="1" applyFont="1" applyFill="1" applyBorder="1"/>
    <xf numFmtId="1" fontId="16" fillId="0" borderId="12" xfId="6" applyFont="1" applyBorder="1" applyProtection="1">
      <protection locked="0"/>
    </xf>
    <xf numFmtId="1" fontId="8" fillId="0" borderId="1" xfId="3" applyNumberFormat="1" applyBorder="1"/>
    <xf numFmtId="0" fontId="32" fillId="0" borderId="0" xfId="0" applyFont="1"/>
    <xf numFmtId="0" fontId="0" fillId="14" borderId="0" xfId="0" applyFill="1" applyAlignment="1" applyProtection="1">
      <alignment horizontal="center"/>
      <protection locked="0"/>
    </xf>
    <xf numFmtId="0" fontId="79" fillId="7" borderId="0" xfId="0" applyFont="1" applyFill="1" applyAlignment="1" applyProtection="1">
      <alignment horizontal="center"/>
      <protection locked="0"/>
    </xf>
    <xf numFmtId="0" fontId="81" fillId="14" borderId="0" xfId="0" applyFont="1" applyFill="1" applyAlignment="1" applyProtection="1">
      <alignment horizontal="center"/>
      <protection locked="0"/>
    </xf>
    <xf numFmtId="0" fontId="81" fillId="2" borderId="0" xfId="0" applyFont="1" applyFill="1" applyAlignment="1">
      <alignment horizontal="center"/>
    </xf>
    <xf numFmtId="0" fontId="81" fillId="12" borderId="0" xfId="0" applyFont="1" applyFill="1" applyAlignment="1" applyProtection="1">
      <alignment horizontal="center"/>
      <protection locked="0"/>
    </xf>
    <xf numFmtId="0" fontId="82" fillId="0" borderId="0" xfId="0" applyFont="1" applyAlignment="1">
      <alignment horizontal="center"/>
    </xf>
    <xf numFmtId="0" fontId="81" fillId="0" borderId="0" xfId="0" applyFont="1" applyAlignment="1" applyProtection="1">
      <alignment horizontal="center"/>
      <protection locked="0"/>
    </xf>
    <xf numFmtId="0" fontId="36" fillId="0" borderId="13" xfId="2" applyNumberFormat="1" applyFont="1" applyBorder="1" applyAlignment="1" applyProtection="1">
      <alignment horizontal="centerContinuous"/>
      <protection locked="0"/>
    </xf>
    <xf numFmtId="0" fontId="11" fillId="0" borderId="0" xfId="7" applyProtection="1">
      <protection locked="0"/>
    </xf>
    <xf numFmtId="0" fontId="80" fillId="0" borderId="0" xfId="0" applyFont="1" applyProtection="1">
      <protection locked="0"/>
    </xf>
    <xf numFmtId="0" fontId="39" fillId="0" borderId="0" xfId="0" applyFont="1" applyProtection="1">
      <protection locked="0"/>
    </xf>
    <xf numFmtId="0" fontId="12" fillId="0" borderId="0" xfId="0" applyFont="1" applyAlignment="1" applyProtection="1">
      <alignment horizontal="centerContinuous"/>
      <protection locked="0"/>
    </xf>
    <xf numFmtId="0" fontId="0" fillId="0" borderId="0" xfId="0" applyAlignment="1" applyProtection="1">
      <alignment horizontal="left"/>
      <protection locked="0"/>
    </xf>
    <xf numFmtId="0" fontId="41" fillId="0" borderId="0" xfId="3" applyFont="1" applyAlignment="1" applyProtection="1">
      <alignment horizontal="centerContinuous"/>
      <protection locked="0"/>
    </xf>
    <xf numFmtId="0" fontId="40" fillId="0" borderId="0" xfId="0" applyFont="1" applyAlignment="1" applyProtection="1">
      <alignment horizontal="center"/>
      <protection locked="0"/>
    </xf>
    <xf numFmtId="0" fontId="0" fillId="0" borderId="0" xfId="0" applyAlignment="1" applyProtection="1">
      <alignment horizontal="right"/>
      <protection locked="0"/>
    </xf>
    <xf numFmtId="0" fontId="89" fillId="0" borderId="0" xfId="7" applyFont="1" applyAlignment="1" applyProtection="1">
      <alignment horizontal="left"/>
      <protection locked="0"/>
    </xf>
    <xf numFmtId="0" fontId="43"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11" fillId="0" borderId="0" xfId="7" applyAlignment="1" applyProtection="1">
      <alignment horizontal="left"/>
      <protection locked="0"/>
    </xf>
    <xf numFmtId="0" fontId="0" fillId="0" borderId="16" xfId="0" applyBorder="1" applyProtection="1">
      <protection locked="0"/>
    </xf>
    <xf numFmtId="0" fontId="32" fillId="0" borderId="0" xfId="7" applyFont="1" applyProtection="1">
      <protection locked="0"/>
    </xf>
    <xf numFmtId="0" fontId="45" fillId="0" borderId="0" xfId="7" applyFont="1" applyAlignment="1" applyProtection="1">
      <alignment horizontal="left"/>
      <protection locked="0"/>
    </xf>
    <xf numFmtId="0" fontId="70" fillId="0" borderId="0" xfId="7" applyFont="1" applyAlignment="1" applyProtection="1">
      <alignment horizontal="right"/>
      <protection locked="0"/>
    </xf>
    <xf numFmtId="2" fontId="62" fillId="0" borderId="0" xfId="1" applyNumberFormat="1" applyFont="1" applyAlignment="1" applyProtection="1">
      <alignment horizontal="right"/>
      <protection locked="0"/>
    </xf>
    <xf numFmtId="0" fontId="46" fillId="0" borderId="0" xfId="8" applyFont="1" applyProtection="1">
      <protection locked="0"/>
    </xf>
    <xf numFmtId="0" fontId="23" fillId="0" borderId="1" xfId="7" applyFont="1" applyBorder="1" applyProtection="1">
      <protection locked="0"/>
    </xf>
    <xf numFmtId="0" fontId="11" fillId="0" borderId="1" xfId="7" applyBorder="1" applyAlignment="1" applyProtection="1">
      <alignment horizontal="left"/>
      <protection locked="0"/>
    </xf>
    <xf numFmtId="0" fontId="11" fillId="0" borderId="1" xfId="7" applyBorder="1" applyProtection="1">
      <protection locked="0"/>
    </xf>
    <xf numFmtId="0" fontId="12" fillId="0" borderId="0" xfId="7" applyFont="1" applyProtection="1">
      <protection locked="0"/>
    </xf>
    <xf numFmtId="0" fontId="11" fillId="0" borderId="13" xfId="7" applyBorder="1" applyProtection="1">
      <protection locked="0"/>
    </xf>
    <xf numFmtId="0" fontId="23" fillId="0" borderId="0" xfId="7" applyFont="1" applyProtection="1">
      <protection locked="0"/>
    </xf>
    <xf numFmtId="0" fontId="5" fillId="0" borderId="0" xfId="7" applyFont="1" applyProtection="1">
      <protection locked="0"/>
    </xf>
    <xf numFmtId="0" fontId="0" fillId="0" borderId="17" xfId="0" applyBorder="1" applyAlignment="1" applyProtection="1">
      <alignment horizontal="left"/>
      <protection locked="0"/>
    </xf>
    <xf numFmtId="0" fontId="6" fillId="0" borderId="18" xfId="0" applyFont="1" applyBorder="1" applyProtection="1">
      <protection locked="0"/>
    </xf>
    <xf numFmtId="0" fontId="27" fillId="0" borderId="0" xfId="8" applyFont="1" applyAlignment="1" applyProtection="1">
      <alignment horizontal="right"/>
      <protection locked="0"/>
    </xf>
    <xf numFmtId="0" fontId="27" fillId="0" borderId="0" xfId="0" applyFont="1" applyAlignment="1" applyProtection="1">
      <alignment horizontal="right"/>
      <protection locked="0"/>
    </xf>
    <xf numFmtId="0" fontId="7" fillId="0" borderId="0" xfId="0" applyFont="1" applyAlignment="1" applyProtection="1">
      <alignment horizontal="right"/>
      <protection locked="0"/>
    </xf>
    <xf numFmtId="0" fontId="16" fillId="12" borderId="0" xfId="0" applyFont="1" applyFill="1" applyProtection="1">
      <protection locked="0"/>
    </xf>
    <xf numFmtId="0" fontId="0" fillId="12" borderId="0" xfId="0" applyFill="1" applyProtection="1">
      <protection locked="0"/>
    </xf>
    <xf numFmtId="0" fontId="6"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4" fillId="0" borderId="0" xfId="0" applyFont="1" applyAlignment="1" applyProtection="1">
      <alignment horizontal="centerContinuous"/>
      <protection locked="0"/>
    </xf>
    <xf numFmtId="0" fontId="0" fillId="0" borderId="3" xfId="0" applyBorder="1" applyProtection="1">
      <protection locked="0"/>
    </xf>
    <xf numFmtId="0" fontId="32" fillId="0" borderId="0" xfId="0" applyFont="1" applyAlignment="1" applyProtection="1">
      <alignment horizontal="centerContinuous"/>
      <protection locked="0"/>
    </xf>
    <xf numFmtId="0" fontId="71" fillId="0" borderId="0" xfId="0" applyFont="1" applyProtection="1">
      <protection locked="0"/>
    </xf>
    <xf numFmtId="0" fontId="72" fillId="0" borderId="0" xfId="0" applyFont="1" applyProtection="1">
      <protection locked="0"/>
    </xf>
    <xf numFmtId="0" fontId="48" fillId="0" borderId="17" xfId="8" applyFont="1" applyBorder="1" applyAlignment="1" applyProtection="1">
      <alignment horizontal="left"/>
      <protection locked="0"/>
    </xf>
    <xf numFmtId="0" fontId="48" fillId="0" borderId="0" xfId="8" applyFont="1" applyProtection="1">
      <protection locked="0"/>
    </xf>
    <xf numFmtId="0" fontId="90" fillId="0" borderId="0" xfId="0" applyFont="1" applyAlignment="1" applyProtection="1">
      <alignment horizontal="right"/>
      <protection locked="0"/>
    </xf>
    <xf numFmtId="0" fontId="74" fillId="0" borderId="22" xfId="8" applyFont="1" applyBorder="1" applyAlignment="1" applyProtection="1">
      <alignment horizontal="left"/>
      <protection locked="0"/>
    </xf>
    <xf numFmtId="0" fontId="73" fillId="0" borderId="22" xfId="8" applyFont="1" applyBorder="1" applyAlignment="1" applyProtection="1">
      <alignment horizontal="centerContinuous"/>
      <protection locked="0"/>
    </xf>
    <xf numFmtId="0" fontId="73" fillId="0" borderId="22" xfId="8" applyFont="1" applyBorder="1" applyProtection="1">
      <protection locked="0"/>
    </xf>
    <xf numFmtId="0" fontId="75" fillId="0" borderId="22" xfId="0" applyFont="1" applyBorder="1" applyProtection="1">
      <protection locked="0"/>
    </xf>
    <xf numFmtId="0" fontId="75" fillId="0" borderId="0" xfId="0" applyFont="1" applyProtection="1">
      <protection locked="0"/>
    </xf>
    <xf numFmtId="0" fontId="76" fillId="0" borderId="0" xfId="0" applyFont="1" applyAlignment="1" applyProtection="1">
      <alignment horizontal="right"/>
      <protection locked="0"/>
    </xf>
    <xf numFmtId="169" fontId="76" fillId="0" borderId="0" xfId="0" applyNumberFormat="1" applyFont="1" applyAlignment="1" applyProtection="1">
      <alignment horizontal="right"/>
      <protection locked="0"/>
    </xf>
    <xf numFmtId="0" fontId="74" fillId="0" borderId="0" xfId="8" applyFont="1" applyAlignment="1" applyProtection="1">
      <alignment horizontal="left"/>
      <protection locked="0"/>
    </xf>
    <xf numFmtId="0" fontId="73" fillId="0" borderId="0" xfId="8" applyFont="1" applyAlignment="1" applyProtection="1">
      <alignment horizontal="centerContinuous"/>
      <protection locked="0"/>
    </xf>
    <xf numFmtId="0" fontId="73" fillId="0" borderId="0" xfId="8" applyFont="1" applyProtection="1">
      <protection locked="0"/>
    </xf>
    <xf numFmtId="0" fontId="32" fillId="0" borderId="23" xfId="0" applyFont="1" applyBorder="1" applyAlignment="1" applyProtection="1">
      <alignment horizontal="center"/>
      <protection locked="0"/>
    </xf>
    <xf numFmtId="0" fontId="32" fillId="0" borderId="22" xfId="0" applyFont="1" applyBorder="1" applyAlignment="1" applyProtection="1">
      <alignment horizontal="center"/>
      <protection locked="0"/>
    </xf>
    <xf numFmtId="0" fontId="39"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7"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7" fontId="0" fillId="0" borderId="19" xfId="0" applyNumberFormat="1" applyBorder="1" applyAlignment="1" applyProtection="1">
      <alignment horizontal="center"/>
      <protection locked="0"/>
    </xf>
    <xf numFmtId="0" fontId="0" fillId="0" borderId="20" xfId="0" applyBorder="1" applyProtection="1">
      <protection locked="0"/>
    </xf>
    <xf numFmtId="0" fontId="48" fillId="0" borderId="13" xfId="8" applyFont="1" applyBorder="1" applyAlignment="1" applyProtection="1">
      <alignment horizontal="centerContinuous"/>
      <protection locked="0"/>
    </xf>
    <xf numFmtId="0" fontId="48" fillId="0" borderId="13" xfId="8" applyFont="1" applyBorder="1" applyProtection="1">
      <protection locked="0"/>
    </xf>
    <xf numFmtId="0" fontId="48" fillId="0" borderId="0" xfId="8" applyFont="1" applyAlignment="1" applyProtection="1">
      <alignment horizontal="centerContinuous"/>
      <protection locked="0"/>
    </xf>
    <xf numFmtId="9" fontId="50" fillId="2" borderId="3" xfId="8" applyNumberFormat="1" applyFont="1" applyFill="1" applyBorder="1" applyAlignment="1" applyProtection="1">
      <alignment horizontal="centerContinuous"/>
      <protection locked="0"/>
    </xf>
    <xf numFmtId="9" fontId="50" fillId="0" borderId="0" xfId="8" applyNumberFormat="1" applyFont="1" applyAlignment="1" applyProtection="1">
      <alignment horizontal="centerContinuous"/>
      <protection locked="0"/>
    </xf>
    <xf numFmtId="0" fontId="50" fillId="2" borderId="3" xfId="8" applyFont="1" applyFill="1" applyBorder="1" applyAlignment="1" applyProtection="1">
      <alignment horizontal="centerContinuous"/>
      <protection locked="0"/>
    </xf>
    <xf numFmtId="15" fontId="50" fillId="2" borderId="3" xfId="8" applyNumberFormat="1" applyFont="1" applyFill="1" applyBorder="1" applyAlignment="1" applyProtection="1">
      <alignment horizontal="centerContinuous"/>
      <protection locked="0"/>
    </xf>
    <xf numFmtId="0" fontId="51" fillId="0" borderId="0" xfId="8" applyFont="1" applyProtection="1">
      <protection locked="0"/>
    </xf>
    <xf numFmtId="0" fontId="52" fillId="0" borderId="0" xfId="8" applyFont="1" applyProtection="1">
      <protection locked="0"/>
    </xf>
    <xf numFmtId="0" fontId="48" fillId="0" borderId="0" xfId="8" applyFont="1" applyAlignment="1" applyProtection="1">
      <alignment horizontal="left"/>
      <protection locked="0"/>
    </xf>
    <xf numFmtId="15" fontId="48" fillId="0" borderId="0" xfId="8" applyNumberFormat="1" applyFont="1" applyAlignment="1" applyProtection="1">
      <alignment horizontal="centerContinuous"/>
      <protection locked="0"/>
    </xf>
    <xf numFmtId="0" fontId="53" fillId="0" borderId="0" xfId="8" applyFont="1" applyAlignment="1" applyProtection="1">
      <alignment horizontal="left"/>
      <protection locked="0"/>
    </xf>
    <xf numFmtId="0" fontId="51" fillId="0" borderId="13" xfId="8" applyFont="1" applyBorder="1" applyProtection="1">
      <protection locked="0"/>
    </xf>
    <xf numFmtId="0" fontId="52" fillId="0" borderId="13" xfId="8" applyFont="1" applyBorder="1" applyProtection="1">
      <protection locked="0"/>
    </xf>
    <xf numFmtId="0" fontId="46" fillId="0" borderId="13" xfId="8" applyFont="1" applyBorder="1" applyProtection="1">
      <protection locked="0"/>
    </xf>
    <xf numFmtId="0" fontId="46" fillId="0" borderId="21" xfId="8" applyFont="1" applyBorder="1" applyProtection="1">
      <protection locked="0"/>
    </xf>
    <xf numFmtId="0" fontId="0" fillId="0" borderId="0" xfId="0" applyAlignment="1" applyProtection="1">
      <alignment vertical="center"/>
      <protection locked="0"/>
    </xf>
    <xf numFmtId="0" fontId="55" fillId="0" borderId="23" xfId="8" applyFont="1" applyBorder="1" applyAlignment="1" applyProtection="1">
      <alignment horizontal="left"/>
      <protection locked="0"/>
    </xf>
    <xf numFmtId="0" fontId="55"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8" fillId="0" borderId="22" xfId="8" applyNumberFormat="1"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6" fillId="0" borderId="22" xfId="8" applyFont="1" applyBorder="1" applyAlignment="1" applyProtection="1">
      <alignment horizontal="centerContinuous"/>
      <protection locked="0"/>
    </xf>
    <xf numFmtId="0" fontId="52" fillId="0" borderId="22" xfId="8" applyFont="1" applyBorder="1" applyAlignment="1" applyProtection="1">
      <alignment horizontal="centerContinuous"/>
      <protection locked="0"/>
    </xf>
    <xf numFmtId="0" fontId="52" fillId="0" borderId="24" xfId="8" applyFont="1" applyBorder="1" applyAlignment="1" applyProtection="1">
      <alignment horizontal="centerContinuous"/>
      <protection locked="0"/>
    </xf>
    <xf numFmtId="0" fontId="27" fillId="0" borderId="20" xfId="8" applyFont="1" applyBorder="1" applyAlignment="1" applyProtection="1">
      <alignment horizontal="left"/>
      <protection locked="0"/>
    </xf>
    <xf numFmtId="0" fontId="27"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8" fillId="0" borderId="13" xfId="8" applyNumberFormat="1" applyFont="1" applyBorder="1" applyAlignment="1" applyProtection="1">
      <alignment horizontal="centerContinuous"/>
      <protection locked="0"/>
    </xf>
    <xf numFmtId="0" fontId="46" fillId="0" borderId="13" xfId="8" applyFont="1" applyBorder="1" applyAlignment="1" applyProtection="1">
      <alignment horizontal="centerContinuous"/>
      <protection locked="0"/>
    </xf>
    <xf numFmtId="0" fontId="46" fillId="0" borderId="21" xfId="8" applyFont="1" applyBorder="1" applyAlignment="1" applyProtection="1">
      <alignment horizontal="centerContinuous"/>
      <protection locked="0"/>
    </xf>
    <xf numFmtId="0" fontId="27" fillId="0" borderId="17" xfId="8" applyFont="1" applyBorder="1" applyAlignment="1" applyProtection="1">
      <alignment horizontal="left"/>
      <protection locked="0"/>
    </xf>
    <xf numFmtId="0" fontId="27" fillId="0" borderId="0" xfId="8" applyFont="1" applyAlignment="1" applyProtection="1">
      <alignment horizontal="centerContinuous"/>
      <protection locked="0"/>
    </xf>
    <xf numFmtId="0" fontId="55" fillId="0" borderId="0" xfId="8" applyFont="1" applyAlignment="1" applyProtection="1">
      <alignment horizontal="centerContinuous"/>
      <protection locked="0"/>
    </xf>
    <xf numFmtId="0" fontId="46" fillId="0" borderId="0" xfId="8" applyFont="1" applyAlignment="1" applyProtection="1">
      <alignment horizontal="centerContinuous"/>
      <protection locked="0"/>
    </xf>
    <xf numFmtId="0" fontId="46" fillId="0" borderId="19" xfId="8" applyFont="1" applyBorder="1" applyAlignment="1" applyProtection="1">
      <alignment horizontal="centerContinuous"/>
      <protection locked="0"/>
    </xf>
    <xf numFmtId="0" fontId="56" fillId="0" borderId="0" xfId="8" applyFont="1" applyAlignment="1" applyProtection="1">
      <alignment horizontal="right"/>
      <protection locked="0"/>
    </xf>
    <xf numFmtId="0" fontId="56" fillId="0" borderId="17" xfId="8" applyFont="1" applyBorder="1" applyAlignment="1" applyProtection="1">
      <alignment horizontal="left"/>
      <protection locked="0"/>
    </xf>
    <xf numFmtId="0" fontId="56" fillId="0" borderId="0" xfId="8" applyFont="1" applyAlignment="1" applyProtection="1">
      <alignment horizontal="left"/>
      <protection locked="0"/>
    </xf>
    <xf numFmtId="0" fontId="55" fillId="0" borderId="0" xfId="8" applyFont="1" applyAlignment="1" applyProtection="1">
      <alignment horizontal="left"/>
      <protection locked="0"/>
    </xf>
    <xf numFmtId="0" fontId="51" fillId="0" borderId="0" xfId="8" applyFont="1" applyAlignment="1" applyProtection="1">
      <alignment horizontal="left"/>
      <protection locked="0"/>
    </xf>
    <xf numFmtId="0" fontId="6"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9" fillId="0" borderId="17" xfId="0" applyFont="1" applyBorder="1" applyAlignment="1" applyProtection="1">
      <alignment horizontal="left"/>
      <protection locked="0"/>
    </xf>
    <xf numFmtId="0" fontId="49" fillId="0" borderId="0" xfId="0" applyFont="1" applyProtection="1">
      <protection locked="0"/>
    </xf>
    <xf numFmtId="0" fontId="8" fillId="0" borderId="19" xfId="0" applyFont="1" applyBorder="1" applyAlignment="1" applyProtection="1">
      <alignment horizontal="center"/>
      <protection locked="0"/>
    </xf>
    <xf numFmtId="0" fontId="0" fillId="0" borderId="11" xfId="0" applyBorder="1" applyProtection="1">
      <protection locked="0"/>
    </xf>
    <xf numFmtId="2" fontId="58" fillId="0" borderId="25" xfId="0" applyNumberFormat="1" applyFont="1" applyBorder="1" applyAlignment="1" applyProtection="1">
      <alignment horizontal="center"/>
      <protection locked="0"/>
    </xf>
    <xf numFmtId="0" fontId="16" fillId="0" borderId="13" xfId="0" applyFont="1" applyBorder="1" applyProtection="1">
      <protection locked="0"/>
    </xf>
    <xf numFmtId="0" fontId="5" fillId="0" borderId="13" xfId="0" applyFont="1" applyBorder="1" applyAlignment="1" applyProtection="1">
      <alignment horizontal="center"/>
      <protection locked="0"/>
    </xf>
    <xf numFmtId="0" fontId="8" fillId="0" borderId="13" xfId="3" applyBorder="1" applyProtection="1">
      <protection locked="0"/>
    </xf>
    <xf numFmtId="2" fontId="58" fillId="0" borderId="11" xfId="0" applyNumberFormat="1" applyFont="1" applyBorder="1" applyAlignment="1" applyProtection="1">
      <alignment horizontal="center"/>
      <protection locked="0"/>
    </xf>
    <xf numFmtId="0" fontId="0" fillId="0" borderId="26" xfId="0" applyBorder="1" applyProtection="1">
      <protection locked="0"/>
    </xf>
    <xf numFmtId="0" fontId="6" fillId="0" borderId="1" xfId="0" applyFont="1" applyBorder="1" applyProtection="1">
      <protection locked="0"/>
    </xf>
    <xf numFmtId="0" fontId="6" fillId="0" borderId="15" xfId="0" applyFont="1" applyBorder="1" applyProtection="1">
      <protection locked="0"/>
    </xf>
    <xf numFmtId="0" fontId="8" fillId="0" borderId="1" xfId="3" applyBorder="1" applyProtection="1">
      <protection locked="0"/>
    </xf>
    <xf numFmtId="0" fontId="8" fillId="0" borderId="27" xfId="3" applyBorder="1" applyProtection="1">
      <protection locked="0"/>
    </xf>
    <xf numFmtId="15" fontId="31" fillId="0" borderId="0" xfId="0" applyNumberFormat="1" applyFont="1" applyAlignment="1" applyProtection="1">
      <alignment horizontal="left"/>
      <protection locked="0"/>
    </xf>
    <xf numFmtId="0" fontId="11" fillId="2" borderId="14" xfId="7" applyFill="1" applyBorder="1" applyAlignment="1">
      <alignment horizontal="center"/>
    </xf>
    <xf numFmtId="0" fontId="16" fillId="2" borderId="14" xfId="7" applyFont="1" applyFill="1" applyBorder="1"/>
    <xf numFmtId="0" fontId="11" fillId="0" borderId="0" xfId="7" applyAlignment="1">
      <alignment horizontal="left"/>
    </xf>
    <xf numFmtId="0" fontId="11" fillId="0" borderId="0" xfId="7"/>
    <xf numFmtId="0" fontId="16" fillId="16" borderId="0" xfId="0" applyFont="1" applyFill="1" applyAlignment="1">
      <alignment horizontal="left"/>
    </xf>
    <xf numFmtId="0" fontId="16" fillId="16" borderId="0" xfId="0" applyFont="1" applyFill="1"/>
    <xf numFmtId="0" fontId="8" fillId="16" borderId="0" xfId="0" applyFont="1" applyFill="1"/>
    <xf numFmtId="167" fontId="16" fillId="0" borderId="0" xfId="0" applyNumberFormat="1" applyFont="1"/>
    <xf numFmtId="0" fontId="16" fillId="16" borderId="0" xfId="8" applyFont="1" applyFill="1" applyAlignment="1">
      <alignment horizontal="left"/>
    </xf>
    <xf numFmtId="0" fontId="12" fillId="16" borderId="0" xfId="0" applyFont="1" applyFill="1"/>
    <xf numFmtId="0" fontId="48" fillId="16" borderId="0" xfId="8" applyFont="1" applyFill="1"/>
    <xf numFmtId="1" fontId="57" fillId="2" borderId="3" xfId="6" applyFont="1" applyFill="1" applyBorder="1" applyAlignment="1">
      <alignment horizontal="center"/>
    </xf>
    <xf numFmtId="166" fontId="16" fillId="2" borderId="3" xfId="6" applyNumberFormat="1" applyFont="1" applyFill="1" applyBorder="1" applyAlignment="1">
      <alignment horizontal="center"/>
    </xf>
    <xf numFmtId="0" fontId="0" fillId="0" borderId="13" xfId="0" applyBorder="1"/>
    <xf numFmtId="0" fontId="36" fillId="0" borderId="0" xfId="3" applyFont="1" applyAlignment="1" applyProtection="1">
      <alignment horizontal="left"/>
      <protection locked="0"/>
    </xf>
    <xf numFmtId="0" fontId="14" fillId="16" borderId="18" xfId="0" applyFont="1" applyFill="1" applyBorder="1" applyAlignment="1">
      <alignment horizontal="center"/>
    </xf>
    <xf numFmtId="0" fontId="91"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23" fillId="0" borderId="0" xfId="1" applyFont="1" applyFill="1" applyBorder="1" applyProtection="1">
      <protection locked="0"/>
    </xf>
    <xf numFmtId="43" fontId="0" fillId="0" borderId="0" xfId="1" applyFont="1" applyProtection="1">
      <protection locked="0"/>
    </xf>
    <xf numFmtId="43" fontId="8" fillId="0" borderId="0" xfId="1" applyProtection="1">
      <protection locked="0"/>
    </xf>
    <xf numFmtId="43" fontId="16" fillId="18" borderId="9" xfId="1" applyFont="1" applyFill="1" applyBorder="1" applyProtection="1">
      <protection locked="0"/>
    </xf>
    <xf numFmtId="43" fontId="16" fillId="4" borderId="19" xfId="1" applyFont="1" applyFill="1" applyBorder="1" applyAlignment="1" applyProtection="1">
      <alignment horizontal="center"/>
      <protection locked="0"/>
    </xf>
    <xf numFmtId="39" fontId="23" fillId="0" borderId="3" xfId="1" applyNumberFormat="1" applyFont="1" applyFill="1" applyBorder="1" applyAlignment="1" applyProtection="1">
      <alignment horizontal="right"/>
      <protection locked="0"/>
    </xf>
    <xf numFmtId="2" fontId="58" fillId="0" borderId="19" xfId="0" applyNumberFormat="1" applyFont="1" applyBorder="1" applyAlignment="1" applyProtection="1">
      <alignment horizontal="center"/>
      <protection locked="0"/>
    </xf>
    <xf numFmtId="0" fontId="16" fillId="0" borderId="0" xfId="7" applyFont="1" applyAlignment="1" applyProtection="1">
      <alignment horizontal="right"/>
      <protection locked="0"/>
    </xf>
    <xf numFmtId="0" fontId="42" fillId="16" borderId="6" xfId="2" applyNumberFormat="1" applyFont="1" applyFill="1" applyBorder="1" applyAlignment="1" applyProtection="1">
      <alignment horizontal="center" vertical="center"/>
    </xf>
    <xf numFmtId="173" fontId="11" fillId="0" borderId="0" xfId="7" applyNumberFormat="1" applyProtection="1">
      <protection locked="0"/>
    </xf>
    <xf numFmtId="0" fontId="19" fillId="0" borderId="10" xfId="7" applyFont="1" applyBorder="1" applyAlignment="1" applyProtection="1">
      <alignment horizontal="center"/>
      <protection locked="0"/>
    </xf>
    <xf numFmtId="0" fontId="16" fillId="0" borderId="11" xfId="7" applyFont="1" applyBorder="1" applyAlignment="1" applyProtection="1">
      <alignment horizontal="center"/>
      <protection locked="0"/>
    </xf>
    <xf numFmtId="0" fontId="12" fillId="0" borderId="0" xfId="0" applyFont="1" applyAlignment="1" applyProtection="1">
      <alignment horizontal="center"/>
      <protection locked="0"/>
    </xf>
    <xf numFmtId="0" fontId="16"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6" fillId="0" borderId="17" xfId="0" applyNumberFormat="1" applyFont="1" applyBorder="1" applyAlignment="1" applyProtection="1">
      <alignment horizontal="center"/>
      <protection locked="0"/>
    </xf>
    <xf numFmtId="0" fontId="96" fillId="16" borderId="14" xfId="0" applyFont="1" applyFill="1" applyBorder="1"/>
    <xf numFmtId="0" fontId="96" fillId="16" borderId="16" xfId="0" applyFont="1" applyFill="1" applyBorder="1"/>
    <xf numFmtId="0" fontId="97" fillId="16" borderId="14" xfId="0" applyFont="1" applyFill="1" applyBorder="1"/>
    <xf numFmtId="0" fontId="0" fillId="0" borderId="0" xfId="0" applyAlignment="1">
      <alignment horizontal="center"/>
    </xf>
    <xf numFmtId="0" fontId="100" fillId="0" borderId="10" xfId="0" applyFont="1" applyBorder="1" applyAlignment="1">
      <alignment horizontal="center"/>
    </xf>
    <xf numFmtId="0" fontId="100" fillId="0" borderId="11" xfId="0" applyFont="1" applyBorder="1" applyAlignment="1">
      <alignment horizontal="center"/>
    </xf>
    <xf numFmtId="10" fontId="98" fillId="12" borderId="17" xfId="0" applyNumberFormat="1" applyFont="1" applyFill="1" applyBorder="1" applyAlignment="1" applyProtection="1">
      <alignment horizontal="center"/>
      <protection locked="0"/>
    </xf>
    <xf numFmtId="2" fontId="93" fillId="12" borderId="10" xfId="0" applyNumberFormat="1" applyFont="1" applyFill="1" applyBorder="1" applyAlignment="1" applyProtection="1">
      <alignment horizontal="center"/>
      <protection locked="0"/>
    </xf>
    <xf numFmtId="0" fontId="97" fillId="16" borderId="22" xfId="0" applyFont="1" applyFill="1" applyBorder="1"/>
    <xf numFmtId="0" fontId="96" fillId="16" borderId="22" xfId="0" applyFont="1" applyFill="1" applyBorder="1"/>
    <xf numFmtId="0" fontId="96" fillId="16" borderId="24" xfId="0" applyFont="1" applyFill="1" applyBorder="1"/>
    <xf numFmtId="0" fontId="97" fillId="14" borderId="14" xfId="0" applyFont="1" applyFill="1" applyBorder="1"/>
    <xf numFmtId="0" fontId="94" fillId="14" borderId="14" xfId="0" applyFont="1" applyFill="1" applyBorder="1"/>
    <xf numFmtId="0" fontId="99" fillId="16" borderId="10" xfId="7" applyFont="1" applyFill="1" applyBorder="1" applyAlignment="1" applyProtection="1">
      <alignment horizontal="center"/>
      <protection locked="0"/>
    </xf>
    <xf numFmtId="0" fontId="101" fillId="16" borderId="25" xfId="7" applyFont="1" applyFill="1" applyBorder="1" applyAlignment="1" applyProtection="1">
      <alignment horizontal="center"/>
      <protection locked="0"/>
    </xf>
    <xf numFmtId="0" fontId="44" fillId="0" borderId="0" xfId="7" applyFont="1" applyAlignment="1" applyProtection="1">
      <alignment vertical="top"/>
      <protection locked="0"/>
    </xf>
    <xf numFmtId="10" fontId="98" fillId="12" borderId="25" xfId="0" applyNumberFormat="1" applyFont="1" applyFill="1" applyBorder="1" applyAlignment="1" applyProtection="1">
      <alignment horizontal="center"/>
      <protection locked="0"/>
    </xf>
    <xf numFmtId="172" fontId="0" fillId="0" borderId="0" xfId="0" applyNumberFormat="1"/>
    <xf numFmtId="1" fontId="20" fillId="0" borderId="0" xfId="6" applyFont="1" applyProtection="1">
      <protection locked="0"/>
    </xf>
    <xf numFmtId="0" fontId="26" fillId="12" borderId="0" xfId="3" applyFont="1" applyFill="1" applyProtection="1">
      <protection locked="0"/>
    </xf>
    <xf numFmtId="0" fontId="29" fillId="12" borderId="0" xfId="3" applyFont="1" applyFill="1" applyProtection="1">
      <protection locked="0"/>
    </xf>
    <xf numFmtId="0" fontId="83" fillId="0" borderId="0" xfId="0" applyFont="1"/>
    <xf numFmtId="0" fontId="83" fillId="0" borderId="0" xfId="0" applyFont="1" applyProtection="1">
      <protection locked="0"/>
    </xf>
    <xf numFmtId="0" fontId="8" fillId="0" borderId="0" xfId="7" applyFont="1" applyAlignment="1">
      <alignment horizontal="centerContinuous" vertical="center"/>
    </xf>
    <xf numFmtId="0" fontId="86" fillId="0" borderId="0" xfId="2" applyNumberFormat="1" applyFont="1" applyFill="1" applyBorder="1" applyAlignment="1" applyProtection="1">
      <alignment horizontal="center"/>
    </xf>
    <xf numFmtId="2" fontId="17" fillId="16" borderId="0" xfId="4" applyNumberFormat="1" applyFont="1" applyFill="1" applyAlignment="1">
      <alignment horizontal="center"/>
    </xf>
    <xf numFmtId="1" fontId="17" fillId="16" borderId="0" xfId="4" applyFont="1" applyFill="1" applyAlignment="1">
      <alignment horizontal="center"/>
    </xf>
    <xf numFmtId="49" fontId="17" fillId="16" borderId="0" xfId="4" applyNumberFormat="1" applyFont="1" applyFill="1" applyAlignment="1">
      <alignment horizontal="center"/>
    </xf>
    <xf numFmtId="17" fontId="17" fillId="16" borderId="0" xfId="4" applyNumberFormat="1" applyFont="1" applyFill="1" applyAlignment="1">
      <alignment horizontal="center"/>
    </xf>
    <xf numFmtId="170" fontId="17" fillId="16" borderId="0" xfId="4" applyNumberFormat="1" applyFont="1" applyFill="1" applyAlignment="1">
      <alignment horizontal="center"/>
    </xf>
    <xf numFmtId="0" fontId="92" fillId="2" borderId="24" xfId="7" applyFont="1" applyFill="1" applyBorder="1" applyAlignment="1">
      <alignment horizontal="centerContinuous"/>
    </xf>
    <xf numFmtId="0" fontId="38" fillId="3" borderId="24" xfId="3" applyFont="1" applyFill="1" applyBorder="1" applyAlignment="1">
      <alignment horizontal="left"/>
    </xf>
    <xf numFmtId="0" fontId="38" fillId="4" borderId="19" xfId="3" applyFont="1" applyFill="1" applyBorder="1" applyAlignment="1">
      <alignment horizontal="left"/>
    </xf>
    <xf numFmtId="0" fontId="38" fillId="5" borderId="19" xfId="3" applyFont="1" applyFill="1" applyBorder="1" applyAlignment="1">
      <alignment horizontal="left"/>
    </xf>
    <xf numFmtId="0" fontId="38" fillId="6" borderId="19" xfId="3" applyFont="1" applyFill="1" applyBorder="1" applyAlignment="1">
      <alignment horizontal="left"/>
    </xf>
    <xf numFmtId="0" fontId="38" fillId="2" borderId="19" xfId="3" applyFont="1" applyFill="1" applyBorder="1" applyAlignment="1">
      <alignment horizontal="left"/>
    </xf>
    <xf numFmtId="0" fontId="38" fillId="7" borderId="19" xfId="3" applyFont="1" applyFill="1" applyBorder="1" applyAlignment="1">
      <alignment horizontal="left"/>
    </xf>
    <xf numFmtId="0" fontId="38" fillId="8" borderId="19" xfId="3" applyFont="1" applyFill="1" applyBorder="1" applyAlignment="1">
      <alignment horizontal="left"/>
    </xf>
    <xf numFmtId="0" fontId="38" fillId="9" borderId="19" xfId="3" applyFont="1" applyFill="1" applyBorder="1" applyAlignment="1">
      <alignment horizontal="left"/>
    </xf>
    <xf numFmtId="0" fontId="38" fillId="10" borderId="19" xfId="3" applyFont="1" applyFill="1" applyBorder="1" applyAlignment="1">
      <alignment horizontal="left"/>
    </xf>
    <xf numFmtId="0" fontId="38" fillId="11" borderId="19" xfId="3" applyFont="1" applyFill="1" applyBorder="1" applyAlignment="1">
      <alignment horizontal="left"/>
    </xf>
    <xf numFmtId="38" fontId="14" fillId="2" borderId="18" xfId="0" applyNumberFormat="1" applyFont="1" applyFill="1" applyBorder="1" applyAlignment="1">
      <alignment horizontal="center"/>
    </xf>
    <xf numFmtId="0" fontId="106" fillId="2" borderId="3" xfId="0" applyFont="1" applyFill="1" applyBorder="1" applyAlignment="1">
      <alignment horizontal="center"/>
    </xf>
    <xf numFmtId="1" fontId="30" fillId="0" borderId="13" xfId="6" applyFont="1" applyBorder="1" applyAlignment="1" applyProtection="1">
      <alignment horizontal="left"/>
      <protection locked="0"/>
    </xf>
    <xf numFmtId="0" fontId="0" fillId="2" borderId="0" xfId="0" applyFill="1"/>
    <xf numFmtId="43" fontId="16" fillId="0" borderId="0" xfId="1" applyFont="1" applyFill="1" applyBorder="1" applyAlignment="1" applyProtection="1">
      <alignment horizontal="right"/>
      <protection locked="0"/>
    </xf>
    <xf numFmtId="0" fontId="109" fillId="0" borderId="0" xfId="3" applyFont="1" applyAlignment="1">
      <alignment horizontal="center" vertical="center"/>
    </xf>
    <xf numFmtId="2" fontId="14" fillId="2" borderId="3" xfId="0" applyNumberFormat="1" applyFont="1" applyFill="1" applyBorder="1" applyAlignment="1">
      <alignment horizontal="center"/>
    </xf>
    <xf numFmtId="40" fontId="14" fillId="2" borderId="18" xfId="0" applyNumberFormat="1" applyFont="1" applyFill="1" applyBorder="1" applyAlignment="1">
      <alignment horizontal="center"/>
    </xf>
    <xf numFmtId="40" fontId="13" fillId="2" borderId="2" xfId="3" applyNumberFormat="1" applyFont="1" applyFill="1" applyBorder="1" applyAlignment="1">
      <alignment horizontal="center"/>
    </xf>
    <xf numFmtId="0" fontId="27" fillId="0" borderId="30" xfId="0" applyFont="1" applyBorder="1" applyAlignment="1" applyProtection="1">
      <alignment horizontal="center"/>
      <protection locked="0"/>
    </xf>
    <xf numFmtId="0" fontId="27" fillId="0" borderId="26" xfId="0" applyFont="1" applyBorder="1" applyAlignment="1" applyProtection="1">
      <alignment horizontal="center"/>
      <protection locked="0"/>
    </xf>
    <xf numFmtId="0" fontId="71" fillId="0" borderId="0" xfId="0" applyFont="1" applyAlignment="1" applyProtection="1">
      <alignment horizontal="center"/>
      <protection locked="0"/>
    </xf>
    <xf numFmtId="0" fontId="71" fillId="0" borderId="21" xfId="0" applyFont="1" applyBorder="1" applyAlignment="1" applyProtection="1">
      <alignment horizontal="center"/>
      <protection locked="0"/>
    </xf>
    <xf numFmtId="0" fontId="111" fillId="0" borderId="19" xfId="0" applyFont="1" applyBorder="1" applyAlignment="1" applyProtection="1">
      <alignment horizontal="center"/>
      <protection locked="0"/>
    </xf>
    <xf numFmtId="0" fontId="0" fillId="14" borderId="16" xfId="0" applyFill="1" applyBorder="1"/>
    <xf numFmtId="2" fontId="12" fillId="16" borderId="31" xfId="0" applyNumberFormat="1" applyFont="1" applyFill="1" applyBorder="1"/>
    <xf numFmtId="2" fontId="12" fillId="16" borderId="19" xfId="0" applyNumberFormat="1" applyFont="1" applyFill="1" applyBorder="1"/>
    <xf numFmtId="2" fontId="12" fillId="16" borderId="0" xfId="0" applyNumberFormat="1" applyFont="1" applyFill="1"/>
    <xf numFmtId="2" fontId="8" fillId="18" borderId="15" xfId="0" applyNumberFormat="1" applyFont="1" applyFill="1" applyBorder="1" applyAlignment="1">
      <alignment horizontal="right"/>
    </xf>
    <xf numFmtId="2" fontId="8" fillId="18" borderId="9" xfId="0" applyNumberFormat="1" applyFont="1" applyFill="1" applyBorder="1" applyAlignment="1">
      <alignment horizontal="right"/>
    </xf>
    <xf numFmtId="0" fontId="0" fillId="16" borderId="32" xfId="0" applyFill="1" applyBorder="1" applyAlignment="1">
      <alignment horizontal="left"/>
    </xf>
    <xf numFmtId="0" fontId="5" fillId="16" borderId="0" xfId="0" applyFont="1" applyFill="1" applyAlignment="1">
      <alignment horizontal="center"/>
    </xf>
    <xf numFmtId="0" fontId="17" fillId="0" borderId="0" xfId="3" applyFont="1" applyAlignment="1">
      <alignment horizontal="left"/>
    </xf>
    <xf numFmtId="0" fontId="12" fillId="0" borderId="0" xfId="7" applyFont="1"/>
    <xf numFmtId="0" fontId="23" fillId="0" borderId="0" xfId="7" applyFont="1"/>
    <xf numFmtId="49" fontId="83" fillId="0" borderId="0" xfId="2" applyNumberFormat="1" applyFont="1" applyFill="1" applyBorder="1" applyAlignment="1" applyProtection="1">
      <alignment horizontal="right"/>
      <protection locked="0"/>
    </xf>
    <xf numFmtId="49" fontId="113" fillId="0" borderId="0" xfId="2" applyNumberFormat="1" applyFont="1" applyFill="1" applyBorder="1" applyAlignment="1" applyProtection="1">
      <alignment horizontal="right" vertical="center"/>
    </xf>
    <xf numFmtId="0" fontId="114" fillId="0" borderId="0" xfId="0" applyFont="1" applyAlignment="1">
      <alignment horizontal="right"/>
    </xf>
    <xf numFmtId="0" fontId="97" fillId="2" borderId="3" xfId="7" applyFont="1" applyFill="1" applyBorder="1" applyAlignment="1">
      <alignment horizontal="center"/>
    </xf>
    <xf numFmtId="43" fontId="0" fillId="0" borderId="0" xfId="1" applyFont="1" applyAlignment="1" applyProtection="1">
      <alignment horizontal="right"/>
    </xf>
    <xf numFmtId="0" fontId="110" fillId="16" borderId="11" xfId="3" applyFont="1" applyFill="1" applyBorder="1" applyAlignment="1" applyProtection="1">
      <alignment horizontal="left" vertical="center"/>
      <protection locked="0"/>
    </xf>
    <xf numFmtId="0" fontId="118" fillId="16" borderId="6" xfId="3" applyFont="1" applyFill="1" applyBorder="1" applyAlignment="1">
      <alignment horizontal="center" vertical="center"/>
    </xf>
    <xf numFmtId="0" fontId="119" fillId="16" borderId="3" xfId="2" applyNumberFormat="1" applyFont="1" applyFill="1" applyBorder="1" applyAlignment="1" applyProtection="1">
      <alignment horizontal="center" vertical="center"/>
    </xf>
    <xf numFmtId="0" fontId="32" fillId="0" borderId="0" xfId="7" applyFont="1" applyAlignment="1" applyProtection="1">
      <alignment horizontal="left"/>
      <protection locked="0"/>
    </xf>
    <xf numFmtId="0" fontId="103" fillId="0" borderId="0" xfId="7" applyFont="1" applyAlignment="1">
      <alignment vertical="center"/>
    </xf>
    <xf numFmtId="0" fontId="115" fillId="2" borderId="18" xfId="7" applyFont="1" applyFill="1" applyBorder="1" applyAlignment="1">
      <alignment horizontal="right"/>
    </xf>
    <xf numFmtId="0" fontId="102" fillId="12" borderId="10" xfId="0" applyFont="1" applyFill="1" applyBorder="1" applyAlignment="1" applyProtection="1">
      <alignment horizontal="center"/>
      <protection locked="0"/>
    </xf>
    <xf numFmtId="0" fontId="88" fillId="2" borderId="16" xfId="3" applyFont="1" applyFill="1" applyBorder="1" applyAlignment="1">
      <alignment horizontal="left"/>
    </xf>
    <xf numFmtId="0" fontId="102" fillId="12" borderId="25" xfId="0" applyFont="1" applyFill="1" applyBorder="1" applyAlignment="1" applyProtection="1">
      <alignment horizontal="center"/>
      <protection locked="0"/>
    </xf>
    <xf numFmtId="0" fontId="102" fillId="12" borderId="11" xfId="0" applyFont="1" applyFill="1" applyBorder="1" applyAlignment="1" applyProtection="1">
      <alignment horizontal="center"/>
      <protection locked="0"/>
    </xf>
    <xf numFmtId="0" fontId="78" fillId="0" borderId="0" xfId="3" applyFont="1" applyAlignment="1">
      <alignment horizontal="right"/>
    </xf>
    <xf numFmtId="0" fontId="95" fillId="14" borderId="14" xfId="0" applyFont="1" applyFill="1" applyBorder="1"/>
    <xf numFmtId="0" fontId="95" fillId="14" borderId="16" xfId="0" applyFont="1" applyFill="1" applyBorder="1"/>
    <xf numFmtId="2" fontId="96" fillId="2" borderId="10" xfId="3" applyNumberFormat="1" applyFont="1" applyFill="1" applyBorder="1" applyAlignment="1">
      <alignment horizontal="center"/>
    </xf>
    <xf numFmtId="2" fontId="96" fillId="2" borderId="25" xfId="3" applyNumberFormat="1" applyFont="1" applyFill="1" applyBorder="1" applyAlignment="1">
      <alignment horizontal="center"/>
    </xf>
    <xf numFmtId="2" fontId="96" fillId="2" borderId="11" xfId="3" applyNumberFormat="1" applyFont="1" applyFill="1" applyBorder="1" applyAlignment="1">
      <alignment horizontal="center"/>
    </xf>
    <xf numFmtId="2" fontId="17" fillId="12" borderId="0" xfId="3" applyNumberFormat="1" applyFont="1" applyFill="1" applyAlignment="1">
      <alignment horizontal="center"/>
    </xf>
    <xf numFmtId="0" fontId="77" fillId="12" borderId="3" xfId="3" applyFont="1" applyFill="1" applyBorder="1" applyAlignment="1" applyProtection="1">
      <alignment horizontal="center"/>
      <protection locked="0"/>
    </xf>
    <xf numFmtId="43" fontId="16" fillId="17" borderId="19" xfId="1" applyFont="1" applyFill="1" applyBorder="1" applyAlignment="1" applyProtection="1">
      <alignment horizontal="center"/>
      <protection locked="0"/>
    </xf>
    <xf numFmtId="0" fontId="122" fillId="0" borderId="19" xfId="0" applyFont="1" applyBorder="1" applyAlignment="1" applyProtection="1">
      <alignment horizontal="center"/>
      <protection locked="0"/>
    </xf>
    <xf numFmtId="0" fontId="122" fillId="0" borderId="25" xfId="0" applyFont="1" applyBorder="1" applyAlignment="1" applyProtection="1">
      <alignment horizontal="center"/>
      <protection locked="0"/>
    </xf>
    <xf numFmtId="0" fontId="122" fillId="0" borderId="0" xfId="0" applyFont="1" applyAlignment="1" applyProtection="1">
      <alignment horizontal="center"/>
      <protection locked="0"/>
    </xf>
    <xf numFmtId="0" fontId="17" fillId="0" borderId="0" xfId="0" applyFont="1" applyProtection="1">
      <protection locked="0"/>
    </xf>
    <xf numFmtId="0" fontId="123" fillId="0" borderId="0" xfId="0" applyFont="1" applyAlignment="1" applyProtection="1">
      <alignment horizontal="center"/>
      <protection locked="0"/>
    </xf>
    <xf numFmtId="0" fontId="124" fillId="0" borderId="0" xfId="0" applyFont="1" applyAlignment="1" applyProtection="1">
      <alignment horizontal="center"/>
      <protection locked="0"/>
    </xf>
    <xf numFmtId="0" fontId="97" fillId="16" borderId="5" xfId="7" applyFont="1" applyFill="1" applyBorder="1" applyAlignment="1">
      <alignment horizontal="centerContinuous" vertical="center"/>
    </xf>
    <xf numFmtId="0" fontId="13" fillId="16" borderId="3" xfId="3" applyFont="1" applyFill="1" applyBorder="1" applyAlignment="1">
      <alignment horizontal="center"/>
    </xf>
    <xf numFmtId="0" fontId="39" fillId="16" borderId="4" xfId="0" applyFont="1" applyFill="1" applyBorder="1"/>
    <xf numFmtId="0" fontId="47" fillId="16" borderId="29" xfId="7" applyFont="1" applyFill="1" applyBorder="1" applyAlignment="1">
      <alignment horizontal="left" vertical="center"/>
    </xf>
    <xf numFmtId="0" fontId="0" fillId="16" borderId="29" xfId="0" applyFill="1" applyBorder="1"/>
    <xf numFmtId="0" fontId="104" fillId="16" borderId="29" xfId="7" applyFont="1" applyFill="1" applyBorder="1" applyAlignment="1">
      <alignment horizontal="center"/>
    </xf>
    <xf numFmtId="0" fontId="8" fillId="16" borderId="29" xfId="7" applyFont="1" applyFill="1" applyBorder="1" applyAlignment="1">
      <alignment horizontal="centerContinuous" vertical="center"/>
    </xf>
    <xf numFmtId="0" fontId="8" fillId="16" borderId="33" xfId="7" applyFont="1" applyFill="1" applyBorder="1" applyAlignment="1">
      <alignment horizontal="centerContinuous" vertical="center"/>
    </xf>
    <xf numFmtId="10" fontId="98" fillId="12" borderId="11" xfId="0" applyNumberFormat="1" applyFont="1" applyFill="1" applyBorder="1" applyAlignment="1" applyProtection="1">
      <alignment horizontal="center"/>
      <protection locked="0"/>
    </xf>
    <xf numFmtId="39" fontId="16" fillId="16" borderId="3" xfId="1" applyNumberFormat="1" applyFont="1" applyFill="1" applyBorder="1" applyAlignment="1" applyProtection="1">
      <alignment horizontal="right"/>
    </xf>
    <xf numFmtId="43" fontId="19" fillId="16" borderId="17" xfId="1" applyFont="1" applyFill="1" applyBorder="1" applyAlignment="1" applyProtection="1">
      <alignment horizontal="center"/>
    </xf>
    <xf numFmtId="43" fontId="19" fillId="16" borderId="0" xfId="1" applyFont="1" applyFill="1" applyBorder="1" applyAlignment="1" applyProtection="1">
      <alignment horizontal="center"/>
    </xf>
    <xf numFmtId="43" fontId="16" fillId="16" borderId="0" xfId="1" applyFont="1" applyFill="1" applyBorder="1" applyAlignment="1" applyProtection="1">
      <alignment horizontal="center"/>
    </xf>
    <xf numFmtId="43" fontId="16" fillId="0" borderId="0" xfId="1" applyFont="1" applyBorder="1" applyProtection="1"/>
    <xf numFmtId="174" fontId="19" fillId="16" borderId="0" xfId="1" applyNumberFormat="1" applyFont="1" applyFill="1" applyBorder="1" applyAlignment="1" applyProtection="1">
      <alignment horizontal="center"/>
    </xf>
    <xf numFmtId="0" fontId="125" fillId="0" borderId="0" xfId="0" applyFont="1" applyAlignment="1" applyProtection="1">
      <alignment horizontal="right"/>
      <protection locked="0"/>
    </xf>
    <xf numFmtId="10" fontId="16" fillId="16" borderId="3" xfId="0" applyNumberFormat="1" applyFont="1" applyFill="1" applyBorder="1" applyAlignment="1">
      <alignment horizontal="right" vertical="center"/>
    </xf>
    <xf numFmtId="39" fontId="19" fillId="16" borderId="3" xfId="1" applyNumberFormat="1" applyFont="1" applyFill="1" applyBorder="1" applyAlignment="1" applyProtection="1">
      <alignment horizontal="right"/>
    </xf>
    <xf numFmtId="0" fontId="126" fillId="0" borderId="0" xfId="0" applyFont="1" applyAlignment="1" applyProtection="1">
      <alignment horizontal="right" vertical="top"/>
      <protection locked="0"/>
    </xf>
    <xf numFmtId="10" fontId="127" fillId="16" borderId="18" xfId="7" applyNumberFormat="1" applyFont="1" applyFill="1" applyBorder="1" applyAlignment="1">
      <alignment horizontal="center"/>
    </xf>
    <xf numFmtId="10" fontId="127" fillId="16" borderId="23" xfId="7" applyNumberFormat="1" applyFont="1" applyFill="1" applyBorder="1" applyAlignment="1">
      <alignment horizontal="center"/>
    </xf>
    <xf numFmtId="10" fontId="128" fillId="14" borderId="18" xfId="7" applyNumberFormat="1" applyFont="1" applyFill="1" applyBorder="1" applyAlignment="1">
      <alignment horizontal="center"/>
    </xf>
    <xf numFmtId="2" fontId="128" fillId="14" borderId="18" xfId="7" applyNumberFormat="1" applyFont="1" applyFill="1" applyBorder="1" applyAlignment="1">
      <alignment horizontal="center"/>
    </xf>
    <xf numFmtId="0" fontId="83" fillId="0" borderId="1" xfId="0" applyFont="1" applyBorder="1" applyProtection="1">
      <protection locked="0"/>
    </xf>
    <xf numFmtId="14" fontId="62" fillId="0" borderId="0" xfId="7" applyNumberFormat="1" applyFont="1" applyAlignment="1" applyProtection="1">
      <alignment horizontal="center"/>
      <protection locked="0"/>
    </xf>
    <xf numFmtId="171" fontId="87" fillId="16" borderId="19" xfId="0" applyNumberFormat="1" applyFont="1" applyFill="1" applyBorder="1" applyAlignment="1" applyProtection="1">
      <alignment horizontal="center"/>
      <protection locked="0"/>
    </xf>
    <xf numFmtId="168" fontId="16" fillId="0" borderId="11" xfId="7" applyNumberFormat="1" applyFont="1" applyBorder="1" applyAlignment="1" applyProtection="1">
      <alignment horizontal="center"/>
      <protection locked="0"/>
    </xf>
    <xf numFmtId="39" fontId="131" fillId="0" borderId="16" xfId="1" applyNumberFormat="1" applyFont="1" applyFill="1" applyBorder="1" applyAlignment="1" applyProtection="1">
      <alignment horizontal="right"/>
    </xf>
    <xf numFmtId="39" fontId="131" fillId="0" borderId="18" xfId="1" applyNumberFormat="1" applyFont="1" applyFill="1" applyBorder="1" applyAlignment="1" applyProtection="1">
      <alignment horizontal="right"/>
    </xf>
    <xf numFmtId="0" fontId="132" fillId="0" borderId="14" xfId="7" applyFont="1" applyBorder="1" applyAlignment="1">
      <alignment horizontal="center"/>
    </xf>
    <xf numFmtId="40" fontId="26" fillId="2" borderId="14" xfId="7" applyNumberFormat="1" applyFont="1" applyFill="1" applyBorder="1" applyAlignment="1">
      <alignment horizontal="right"/>
    </xf>
    <xf numFmtId="40" fontId="26" fillId="2" borderId="16" xfId="7" applyNumberFormat="1" applyFont="1" applyFill="1" applyBorder="1" applyAlignment="1">
      <alignment horizontal="right"/>
    </xf>
    <xf numFmtId="14" fontId="62" fillId="0" borderId="0" xfId="7" applyNumberFormat="1" applyFont="1" applyAlignment="1" applyProtection="1">
      <alignment horizontal="right"/>
      <protection locked="0"/>
    </xf>
    <xf numFmtId="0" fontId="129" fillId="0" borderId="0" xfId="0" applyFont="1"/>
    <xf numFmtId="39" fontId="62" fillId="0" borderId="0" xfId="1" applyNumberFormat="1" applyFont="1" applyFill="1" applyBorder="1" applyAlignment="1" applyProtection="1">
      <alignment horizontal="right"/>
      <protection locked="0"/>
    </xf>
    <xf numFmtId="43" fontId="62" fillId="0" borderId="0" xfId="1" applyFont="1" applyFill="1" applyBorder="1" applyAlignment="1" applyProtection="1">
      <alignment horizontal="right"/>
      <protection locked="0"/>
    </xf>
    <xf numFmtId="43" fontId="62" fillId="0" borderId="0" xfId="1" applyFont="1" applyBorder="1" applyAlignment="1" applyProtection="1">
      <alignment horizontal="right"/>
      <protection locked="0"/>
    </xf>
    <xf numFmtId="175" fontId="19" fillId="16" borderId="3" xfId="1" applyNumberFormat="1" applyFont="1" applyFill="1" applyBorder="1" applyAlignment="1" applyProtection="1">
      <alignment horizontal="right"/>
    </xf>
    <xf numFmtId="168" fontId="130" fillId="16" borderId="3" xfId="7" applyNumberFormat="1" applyFont="1" applyFill="1" applyBorder="1" applyAlignment="1">
      <alignment horizontal="center"/>
    </xf>
    <xf numFmtId="0" fontId="16" fillId="0" borderId="1" xfId="3" applyFont="1" applyBorder="1"/>
    <xf numFmtId="0" fontId="118" fillId="16" borderId="25" xfId="0" applyFont="1" applyFill="1" applyBorder="1" applyAlignment="1">
      <alignment horizontal="center" vertical="center"/>
    </xf>
    <xf numFmtId="0" fontId="118" fillId="16" borderId="19" xfId="0" applyFont="1" applyFill="1" applyBorder="1" applyAlignment="1">
      <alignment horizontal="center" vertical="center"/>
    </xf>
    <xf numFmtId="0" fontId="118" fillId="16" borderId="6" xfId="0" applyFont="1" applyFill="1" applyBorder="1" applyAlignment="1">
      <alignment horizontal="right" vertical="center"/>
    </xf>
    <xf numFmtId="0" fontId="38" fillId="11" borderId="11" xfId="3" applyFont="1" applyFill="1" applyBorder="1" applyAlignment="1">
      <alignment horizontal="left"/>
    </xf>
    <xf numFmtId="0" fontId="115" fillId="2" borderId="23" xfId="7" applyFont="1" applyFill="1" applyBorder="1" applyAlignment="1">
      <alignment horizontal="center"/>
    </xf>
    <xf numFmtId="2" fontId="38" fillId="2" borderId="17" xfId="7" applyNumberFormat="1" applyFont="1" applyFill="1" applyBorder="1" applyAlignment="1">
      <alignment horizontal="center"/>
    </xf>
    <xf numFmtId="0" fontId="88" fillId="2" borderId="21" xfId="3" applyFont="1" applyFill="1" applyBorder="1" applyAlignment="1">
      <alignment horizontal="left"/>
    </xf>
    <xf numFmtId="0" fontId="17" fillId="0" borderId="40" xfId="0" applyFont="1" applyBorder="1" applyAlignment="1" applyProtection="1">
      <alignment horizontal="center"/>
      <protection locked="0"/>
    </xf>
    <xf numFmtId="4" fontId="23" fillId="12" borderId="41" xfId="0" applyNumberFormat="1" applyFont="1" applyFill="1" applyBorder="1" applyAlignment="1" applyProtection="1">
      <alignment horizontal="center"/>
      <protection locked="0"/>
    </xf>
    <xf numFmtId="0" fontId="13" fillId="2" borderId="23" xfId="3" applyFont="1" applyFill="1" applyBorder="1" applyAlignment="1">
      <alignment horizontal="center"/>
    </xf>
    <xf numFmtId="0" fontId="0" fillId="0" borderId="3" xfId="0" applyBorder="1" applyAlignment="1" applyProtection="1">
      <alignment horizontal="center"/>
      <protection locked="0"/>
    </xf>
    <xf numFmtId="0" fontId="81" fillId="14" borderId="3" xfId="0" applyFont="1" applyFill="1" applyBorder="1" applyAlignment="1" applyProtection="1">
      <alignment horizontal="center"/>
      <protection locked="0"/>
    </xf>
    <xf numFmtId="0" fontId="81" fillId="12" borderId="3" xfId="0" applyFont="1" applyFill="1" applyBorder="1" applyAlignment="1" applyProtection="1">
      <alignment horizontal="center"/>
      <protection locked="0"/>
    </xf>
    <xf numFmtId="0" fontId="81" fillId="0" borderId="3" xfId="0" applyFont="1" applyBorder="1" applyAlignment="1" applyProtection="1">
      <alignment horizontal="center"/>
      <protection locked="0"/>
    </xf>
    <xf numFmtId="0" fontId="12" fillId="18" borderId="3" xfId="0" applyFont="1" applyFill="1" applyBorder="1" applyProtection="1">
      <protection locked="0"/>
    </xf>
    <xf numFmtId="0" fontId="27" fillId="0" borderId="0" xfId="0" applyFont="1"/>
    <xf numFmtId="0" fontId="134" fillId="0" borderId="0" xfId="0" applyFont="1"/>
    <xf numFmtId="38" fontId="135" fillId="16" borderId="18" xfId="0" applyNumberFormat="1" applyFont="1" applyFill="1" applyBorder="1" applyAlignment="1">
      <alignment horizontal="center"/>
    </xf>
    <xf numFmtId="38" fontId="36" fillId="12" borderId="14" xfId="0" applyNumberFormat="1" applyFont="1" applyFill="1" applyBorder="1" applyAlignment="1" applyProtection="1">
      <alignment horizontal="center"/>
      <protection locked="0"/>
    </xf>
    <xf numFmtId="0" fontId="67" fillId="0" borderId="0" xfId="0" applyFont="1" applyProtection="1">
      <protection locked="0"/>
    </xf>
    <xf numFmtId="0" fontId="136" fillId="0" borderId="0" xfId="7" applyFont="1" applyProtection="1">
      <protection locked="0"/>
    </xf>
    <xf numFmtId="0" fontId="137" fillId="0" borderId="0" xfId="0" applyFont="1" applyProtection="1">
      <protection locked="0"/>
    </xf>
    <xf numFmtId="0" fontId="138" fillId="0" borderId="0" xfId="0" applyFont="1" applyProtection="1">
      <protection locked="0"/>
    </xf>
    <xf numFmtId="0" fontId="55" fillId="0" borderId="0" xfId="0" applyFont="1" applyProtection="1">
      <protection locked="0"/>
    </xf>
    <xf numFmtId="0" fontId="117" fillId="0" borderId="0" xfId="0" applyFont="1" applyAlignment="1">
      <alignment vertical="center"/>
    </xf>
    <xf numFmtId="2" fontId="17" fillId="12" borderId="0" xfId="3" applyNumberFormat="1" applyFont="1" applyFill="1" applyAlignment="1">
      <alignment horizontal="center" vertical="top"/>
    </xf>
    <xf numFmtId="2" fontId="36" fillId="2" borderId="0" xfId="3" applyNumberFormat="1" applyFont="1" applyFill="1" applyAlignment="1" applyProtection="1">
      <alignment horizontal="center" vertical="top"/>
      <protection locked="0"/>
    </xf>
    <xf numFmtId="0" fontId="0" fillId="2" borderId="0" xfId="0" applyFill="1" applyProtection="1">
      <protection locked="0"/>
    </xf>
    <xf numFmtId="0" fontId="54" fillId="0" borderId="0" xfId="0" applyFont="1" applyAlignment="1" applyProtection="1">
      <alignment horizontal="center"/>
      <protection locked="0"/>
    </xf>
    <xf numFmtId="0" fontId="140" fillId="0" borderId="0" xfId="3" applyFont="1" applyAlignment="1">
      <alignment horizontal="right" vertical="top"/>
    </xf>
    <xf numFmtId="0" fontId="140" fillId="0" borderId="0" xfId="7" applyFont="1" applyAlignment="1">
      <alignment horizontal="right"/>
    </xf>
    <xf numFmtId="0" fontId="140" fillId="0" borderId="0" xfId="3" applyFont="1" applyAlignment="1">
      <alignment horizontal="right"/>
    </xf>
    <xf numFmtId="0" fontId="141" fillId="0" borderId="0" xfId="0" applyFont="1" applyAlignment="1" applyProtection="1">
      <alignment horizontal="left"/>
      <protection locked="0"/>
    </xf>
    <xf numFmtId="0" fontId="142" fillId="0" borderId="0" xfId="0" applyFont="1" applyProtection="1">
      <protection locked="0"/>
    </xf>
    <xf numFmtId="2" fontId="17" fillId="16" borderId="6" xfId="0" applyNumberFormat="1" applyFont="1" applyFill="1" applyBorder="1" applyAlignment="1">
      <alignment horizontal="center" vertical="center"/>
    </xf>
    <xf numFmtId="49" fontId="143" fillId="16" borderId="20" xfId="0" applyNumberFormat="1" applyFont="1" applyFill="1" applyBorder="1" applyAlignment="1">
      <alignment horizontal="left"/>
    </xf>
    <xf numFmtId="40" fontId="16" fillId="0" borderId="3" xfId="1" applyNumberFormat="1" applyFont="1" applyFill="1" applyBorder="1" applyAlignment="1" applyProtection="1">
      <alignment horizontal="right"/>
      <protection locked="0"/>
    </xf>
    <xf numFmtId="40" fontId="144" fillId="0" borderId="3" xfId="1" applyNumberFormat="1" applyFont="1" applyFill="1" applyBorder="1" applyAlignment="1" applyProtection="1">
      <alignment horizontal="right"/>
      <protection locked="0"/>
    </xf>
    <xf numFmtId="176" fontId="16" fillId="0" borderId="3" xfId="1" applyNumberFormat="1" applyFont="1" applyFill="1" applyBorder="1" applyAlignment="1" applyProtection="1">
      <alignment horizontal="right"/>
      <protection locked="0"/>
    </xf>
    <xf numFmtId="177" fontId="16" fillId="0" borderId="3" xfId="1" applyNumberFormat="1" applyFont="1" applyFill="1" applyBorder="1" applyAlignment="1" applyProtection="1">
      <alignment horizontal="right"/>
      <protection locked="0"/>
    </xf>
    <xf numFmtId="178" fontId="16" fillId="0" borderId="3" xfId="1" applyNumberFormat="1" applyFont="1" applyFill="1" applyBorder="1" applyAlignment="1" applyProtection="1">
      <alignment horizontal="right"/>
      <protection locked="0"/>
    </xf>
    <xf numFmtId="4" fontId="11" fillId="13" borderId="0" xfId="6" applyNumberFormat="1" applyFont="1" applyFill="1" applyAlignment="1" applyProtection="1">
      <alignment horizontal="right"/>
      <protection locked="0"/>
    </xf>
    <xf numFmtId="4" fontId="11" fillId="4" borderId="0" xfId="3" applyNumberFormat="1" applyFont="1" applyFill="1" applyAlignment="1" applyProtection="1">
      <alignment horizontal="right"/>
      <protection locked="0"/>
    </xf>
    <xf numFmtId="4" fontId="11" fillId="5" borderId="0" xfId="3" applyNumberFormat="1" applyFont="1" applyFill="1" applyAlignment="1" applyProtection="1">
      <alignment horizontal="right"/>
      <protection locked="0"/>
    </xf>
    <xf numFmtId="4" fontId="11" fillId="6" borderId="0" xfId="3" applyNumberFormat="1" applyFont="1" applyFill="1" applyAlignment="1" applyProtection="1">
      <alignment horizontal="right"/>
      <protection locked="0"/>
    </xf>
    <xf numFmtId="4" fontId="11" fillId="2" borderId="0" xfId="3" applyNumberFormat="1" applyFont="1" applyFill="1" applyAlignment="1" applyProtection="1">
      <alignment horizontal="right"/>
      <protection locked="0"/>
    </xf>
    <xf numFmtId="4" fontId="11" fillId="7" borderId="0" xfId="3" applyNumberFormat="1" applyFont="1" applyFill="1" applyAlignment="1" applyProtection="1">
      <alignment horizontal="right"/>
      <protection locked="0"/>
    </xf>
    <xf numFmtId="4" fontId="16" fillId="8" borderId="0" xfId="3" applyNumberFormat="1" applyFont="1" applyFill="1" applyProtection="1">
      <protection locked="0"/>
    </xf>
    <xf numFmtId="4" fontId="23" fillId="2" borderId="1" xfId="3" applyNumberFormat="1" applyFont="1" applyFill="1" applyBorder="1" applyAlignment="1" applyProtection="1">
      <alignment horizontal="right"/>
      <protection locked="0"/>
    </xf>
    <xf numFmtId="4" fontId="16" fillId="13" borderId="12" xfId="6" applyNumberFormat="1" applyFont="1" applyFill="1" applyBorder="1" applyAlignment="1" applyProtection="1">
      <alignment horizontal="right"/>
      <protection locked="0"/>
    </xf>
    <xf numFmtId="4" fontId="16" fillId="7" borderId="12" xfId="3" applyNumberFormat="1" applyFont="1" applyFill="1" applyBorder="1" applyAlignment="1" applyProtection="1">
      <alignment horizontal="right"/>
      <protection locked="0"/>
    </xf>
    <xf numFmtId="4" fontId="16" fillId="6" borderId="12" xfId="3" applyNumberFormat="1" applyFont="1" applyFill="1" applyBorder="1" applyProtection="1">
      <protection locked="0"/>
    </xf>
    <xf numFmtId="4" fontId="19" fillId="3" borderId="8" xfId="3" applyNumberFormat="1" applyFont="1" applyFill="1" applyBorder="1" applyAlignment="1">
      <alignment horizontal="right"/>
    </xf>
    <xf numFmtId="4" fontId="19" fillId="3" borderId="9" xfId="3" applyNumberFormat="1" applyFont="1" applyFill="1" applyBorder="1" applyAlignment="1">
      <alignment horizontal="right"/>
    </xf>
    <xf numFmtId="0" fontId="145" fillId="16" borderId="19" xfId="0" applyFont="1" applyFill="1" applyBorder="1" applyAlignment="1">
      <alignment horizontal="left"/>
    </xf>
    <xf numFmtId="0" fontId="146" fillId="0" borderId="0" xfId="0" applyFont="1" applyAlignment="1" applyProtection="1">
      <alignment horizontal="left"/>
      <protection locked="0"/>
    </xf>
    <xf numFmtId="2" fontId="17" fillId="3" borderId="3" xfId="3" applyNumberFormat="1" applyFont="1" applyFill="1" applyBorder="1" applyAlignment="1" applyProtection="1">
      <alignment horizontal="center"/>
      <protection locked="0"/>
    </xf>
    <xf numFmtId="166" fontId="17" fillId="12" borderId="2" xfId="3" applyNumberFormat="1" applyFont="1" applyFill="1" applyBorder="1" applyAlignment="1" applyProtection="1">
      <alignment horizontal="center"/>
      <protection locked="0"/>
    </xf>
    <xf numFmtId="0" fontId="15" fillId="0" borderId="0" xfId="0" applyFont="1"/>
    <xf numFmtId="0" fontId="10" fillId="0" borderId="0" xfId="7" applyFont="1" applyAlignment="1">
      <alignment horizontal="right"/>
    </xf>
    <xf numFmtId="2" fontId="9" fillId="0" borderId="0" xfId="7" applyNumberFormat="1" applyFont="1"/>
    <xf numFmtId="0" fontId="13" fillId="0" borderId="0" xfId="7" applyFont="1" applyAlignment="1">
      <alignment horizontal="left"/>
    </xf>
    <xf numFmtId="0" fontId="9" fillId="0" borderId="0" xfId="7" applyFont="1" applyAlignment="1">
      <alignment horizontal="centerContinuous" vertical="center"/>
    </xf>
    <xf numFmtId="0" fontId="105" fillId="0" borderId="0" xfId="0" applyFont="1" applyAlignment="1">
      <alignment horizontal="right"/>
    </xf>
    <xf numFmtId="1" fontId="9" fillId="0" borderId="0" xfId="6" applyFont="1" applyAlignment="1">
      <alignment horizontal="center"/>
    </xf>
    <xf numFmtId="0" fontId="9" fillId="0" borderId="0" xfId="7" applyFont="1" applyAlignment="1">
      <alignment horizontal="centerContinuous"/>
    </xf>
    <xf numFmtId="0" fontId="9" fillId="0" borderId="0" xfId="7" applyFont="1"/>
    <xf numFmtId="0" fontId="10" fillId="0" borderId="0" xfId="3" applyFont="1" applyAlignment="1">
      <alignment horizontal="right"/>
    </xf>
    <xf numFmtId="1" fontId="9" fillId="0" borderId="0" xfId="6" applyFont="1"/>
    <xf numFmtId="0" fontId="59" fillId="0" borderId="0" xfId="0" applyFont="1"/>
    <xf numFmtId="0" fontId="13" fillId="0" borderId="0" xfId="2" applyNumberFormat="1" applyFont="1" applyBorder="1" applyAlignment="1" applyProtection="1"/>
    <xf numFmtId="14" fontId="13" fillId="0" borderId="0" xfId="7" applyNumberFormat="1" applyFont="1" applyAlignment="1">
      <alignment horizontal="left"/>
    </xf>
    <xf numFmtId="0" fontId="15" fillId="0" borderId="0" xfId="3" applyFont="1"/>
    <xf numFmtId="0" fontId="15" fillId="0" borderId="0" xfId="0" applyFont="1" applyAlignment="1">
      <alignment horizontal="centerContinuous"/>
    </xf>
    <xf numFmtId="0" fontId="10" fillId="0" borderId="0" xfId="2" applyNumberFormat="1" applyFont="1" applyBorder="1" applyAlignment="1" applyProtection="1">
      <alignment horizontal="centerContinuous"/>
    </xf>
    <xf numFmtId="0" fontId="59" fillId="2" borderId="29" xfId="0" applyFont="1" applyFill="1" applyBorder="1"/>
    <xf numFmtId="0" fontId="15" fillId="2" borderId="29" xfId="0" applyFont="1" applyFill="1" applyBorder="1"/>
    <xf numFmtId="2" fontId="9" fillId="2" borderId="29" xfId="7" applyNumberFormat="1" applyFont="1" applyFill="1" applyBorder="1"/>
    <xf numFmtId="0" fontId="15" fillId="2" borderId="29" xfId="7" applyFont="1" applyFill="1" applyBorder="1" applyAlignment="1">
      <alignment horizontal="centerContinuous" vertical="center"/>
    </xf>
    <xf numFmtId="0" fontId="9" fillId="2" borderId="29" xfId="7" applyFont="1" applyFill="1" applyBorder="1" applyAlignment="1">
      <alignment horizontal="centerContinuous"/>
    </xf>
    <xf numFmtId="0" fontId="60" fillId="2" borderId="29" xfId="2" applyNumberFormat="1" applyFont="1" applyFill="1" applyBorder="1" applyAlignment="1" applyProtection="1">
      <alignment horizontal="center"/>
    </xf>
    <xf numFmtId="0" fontId="64" fillId="2" borderId="29" xfId="2" applyNumberFormat="1" applyFont="1" applyFill="1" applyBorder="1" applyAlignment="1" applyProtection="1">
      <alignment horizontal="centerContinuous"/>
    </xf>
    <xf numFmtId="0" fontId="133" fillId="0" borderId="0" xfId="0" applyFont="1" applyAlignment="1">
      <alignment horizontal="center"/>
    </xf>
    <xf numFmtId="0" fontId="81" fillId="2" borderId="3" xfId="0" applyFont="1" applyFill="1" applyBorder="1" applyAlignment="1" applyProtection="1">
      <alignment horizontal="center"/>
      <protection locked="0"/>
    </xf>
    <xf numFmtId="0" fontId="82" fillId="0" borderId="3" xfId="0" applyFont="1" applyBorder="1" applyAlignment="1" applyProtection="1">
      <alignment horizontal="center"/>
      <protection locked="0"/>
    </xf>
    <xf numFmtId="4" fontId="16" fillId="9" borderId="0" xfId="3" applyNumberFormat="1" applyFont="1" applyFill="1" applyProtection="1">
      <protection locked="0"/>
    </xf>
    <xf numFmtId="4" fontId="16" fillId="10" borderId="0" xfId="3" applyNumberFormat="1" applyFont="1" applyFill="1" applyProtection="1">
      <protection locked="0"/>
    </xf>
    <xf numFmtId="4" fontId="16" fillId="11" borderId="0" xfId="3" applyNumberFormat="1" applyFont="1" applyFill="1" applyProtection="1">
      <protection locked="0"/>
    </xf>
    <xf numFmtId="49" fontId="143" fillId="16" borderId="20" xfId="0" applyNumberFormat="1" applyFont="1" applyFill="1" applyBorder="1" applyAlignment="1" applyProtection="1">
      <alignment horizontal="left"/>
      <protection locked="0"/>
    </xf>
    <xf numFmtId="0" fontId="18" fillId="0" borderId="0" xfId="0" applyFont="1" applyProtection="1">
      <protection locked="0"/>
    </xf>
    <xf numFmtId="0" fontId="11" fillId="0" borderId="0" xfId="0" applyFont="1" applyProtection="1">
      <protection locked="0"/>
    </xf>
    <xf numFmtId="2" fontId="16" fillId="14" borderId="3" xfId="3" applyNumberFormat="1" applyFont="1" applyFill="1" applyBorder="1" applyProtection="1">
      <protection locked="0"/>
    </xf>
    <xf numFmtId="1" fontId="66" fillId="0" borderId="0" xfId="0" applyNumberFormat="1" applyFont="1" applyProtection="1">
      <protection locked="0"/>
    </xf>
    <xf numFmtId="0" fontId="11" fillId="0" borderId="1" xfId="0" applyFont="1" applyBorder="1" applyProtection="1">
      <protection locked="0"/>
    </xf>
    <xf numFmtId="43" fontId="26" fillId="0" borderId="42" xfId="3" applyNumberFormat="1" applyFont="1" applyBorder="1"/>
    <xf numFmtId="43" fontId="19" fillId="0" borderId="1" xfId="1" applyFont="1" applyFill="1" applyBorder="1"/>
    <xf numFmtId="43" fontId="19" fillId="2" borderId="15" xfId="1" applyFont="1" applyFill="1" applyBorder="1"/>
    <xf numFmtId="168" fontId="149" fillId="0" borderId="3" xfId="7" applyNumberFormat="1" applyFont="1" applyBorder="1" applyAlignment="1">
      <alignment horizontal="right"/>
    </xf>
    <xf numFmtId="0" fontId="12" fillId="0" borderId="0" xfId="5" applyFont="1" applyAlignment="1">
      <alignment horizontal="center"/>
    </xf>
    <xf numFmtId="0" fontId="12" fillId="0" borderId="0" xfId="5" applyFont="1" applyAlignment="1" applyProtection="1">
      <alignment horizontal="center"/>
      <protection locked="0"/>
    </xf>
    <xf numFmtId="0" fontId="19" fillId="0" borderId="0" xfId="3" applyFont="1" applyAlignment="1">
      <alignment horizontal="center"/>
    </xf>
    <xf numFmtId="0" fontId="19" fillId="0" borderId="0" xfId="3" applyFont="1" applyAlignment="1">
      <alignment horizontal="left"/>
    </xf>
    <xf numFmtId="1" fontId="23" fillId="2" borderId="1" xfId="6" applyFont="1" applyFill="1" applyBorder="1" applyAlignment="1" applyProtection="1">
      <alignment horizontal="center"/>
      <protection locked="0"/>
    </xf>
    <xf numFmtId="1" fontId="19" fillId="0" borderId="0" xfId="6" applyFont="1" applyAlignment="1" applyProtection="1">
      <alignment horizontal="center" vertical="top"/>
      <protection locked="0"/>
    </xf>
    <xf numFmtId="0" fontId="19" fillId="0" borderId="43" xfId="3" applyFont="1" applyBorder="1" applyAlignment="1">
      <alignment horizontal="center"/>
    </xf>
    <xf numFmtId="0" fontId="16" fillId="0" borderId="0" xfId="3" applyFont="1" applyAlignment="1">
      <alignment horizontal="left"/>
    </xf>
    <xf numFmtId="0" fontId="17" fillId="0" borderId="23" xfId="3" applyFont="1" applyBorder="1" applyAlignment="1">
      <alignment horizontal="right"/>
    </xf>
    <xf numFmtId="0" fontId="17" fillId="0" borderId="22" xfId="3" applyFont="1" applyBorder="1" applyAlignment="1">
      <alignment horizontal="right"/>
    </xf>
    <xf numFmtId="0" fontId="19" fillId="0" borderId="44" xfId="3" applyFont="1" applyBorder="1" applyAlignment="1">
      <alignment horizontal="center"/>
    </xf>
    <xf numFmtId="1" fontId="11" fillId="0" borderId="0" xfId="10" applyFont="1" applyProtection="1">
      <protection locked="0"/>
    </xf>
    <xf numFmtId="1" fontId="19" fillId="0" borderId="0" xfId="10" applyFont="1" applyProtection="1">
      <protection locked="0"/>
    </xf>
    <xf numFmtId="2" fontId="11" fillId="0" borderId="0" xfId="10" applyNumberFormat="1" applyFont="1" applyProtection="1">
      <protection locked="0"/>
    </xf>
    <xf numFmtId="2" fontId="11" fillId="17" borderId="0" xfId="10" applyNumberFormat="1" applyFont="1" applyFill="1"/>
    <xf numFmtId="0" fontId="11" fillId="0" borderId="0" xfId="3" applyFont="1"/>
    <xf numFmtId="0" fontId="17" fillId="0" borderId="0" xfId="3" applyFont="1" applyAlignment="1">
      <alignment horizontal="center"/>
    </xf>
    <xf numFmtId="0" fontId="11" fillId="0" borderId="24" xfId="3" applyFont="1" applyBorder="1" applyAlignment="1">
      <alignment horizontal="right"/>
    </xf>
    <xf numFmtId="1" fontId="19" fillId="0" borderId="3" xfId="10" applyFont="1" applyBorder="1" applyAlignment="1" applyProtection="1">
      <alignment horizontal="center"/>
      <protection locked="0"/>
    </xf>
    <xf numFmtId="0" fontId="5" fillId="0" borderId="3" xfId="0" applyFont="1" applyBorder="1" applyAlignment="1">
      <alignment horizontal="center"/>
    </xf>
    <xf numFmtId="1" fontId="11" fillId="0" borderId="0" xfId="10" applyFont="1" applyAlignment="1" applyProtection="1">
      <alignment horizontal="center"/>
      <protection locked="0"/>
    </xf>
    <xf numFmtId="1" fontId="18" fillId="0" borderId="0" xfId="10" applyFont="1" applyAlignment="1" applyProtection="1">
      <alignment horizontal="left"/>
      <protection locked="0"/>
    </xf>
    <xf numFmtId="4" fontId="19" fillId="3" borderId="18" xfId="3" applyNumberFormat="1" applyFont="1" applyFill="1" applyBorder="1" applyAlignment="1">
      <alignment horizontal="right"/>
    </xf>
    <xf numFmtId="4" fontId="19" fillId="3" borderId="16" xfId="3" applyNumberFormat="1" applyFont="1" applyFill="1" applyBorder="1" applyAlignment="1">
      <alignment horizontal="right"/>
    </xf>
    <xf numFmtId="1" fontId="19" fillId="0" borderId="0" xfId="10" applyFont="1" applyAlignment="1" applyProtection="1">
      <alignment vertical="top"/>
      <protection locked="0"/>
    </xf>
    <xf numFmtId="2" fontId="19" fillId="0" borderId="0" xfId="10" applyNumberFormat="1" applyFont="1" applyProtection="1">
      <protection locked="0"/>
    </xf>
    <xf numFmtId="1" fontId="19" fillId="0" borderId="0" xfId="10" applyFont="1"/>
    <xf numFmtId="2" fontId="11" fillId="3" borderId="3" xfId="3" applyNumberFormat="1" applyFont="1" applyFill="1" applyBorder="1" applyAlignment="1">
      <alignment horizontal="center"/>
    </xf>
    <xf numFmtId="0" fontId="11" fillId="16" borderId="0" xfId="3" applyFont="1" applyFill="1"/>
    <xf numFmtId="4" fontId="17" fillId="3" borderId="3" xfId="3" applyNumberFormat="1" applyFont="1" applyFill="1" applyBorder="1" applyAlignment="1">
      <alignment horizontal="center"/>
    </xf>
    <xf numFmtId="2" fontId="19" fillId="3" borderId="3" xfId="3" applyNumberFormat="1" applyFont="1" applyFill="1" applyBorder="1" applyAlignment="1">
      <alignment horizontal="center"/>
    </xf>
    <xf numFmtId="2" fontId="11" fillId="0" borderId="20" xfId="3" applyNumberFormat="1" applyFont="1" applyBorder="1" applyAlignment="1">
      <alignment horizontal="right"/>
    </xf>
    <xf numFmtId="2" fontId="11" fillId="0" borderId="13" xfId="3" applyNumberFormat="1" applyFont="1" applyBorder="1" applyAlignment="1">
      <alignment horizontal="right"/>
    </xf>
    <xf numFmtId="2" fontId="11" fillId="2" borderId="21" xfId="3" applyNumberFormat="1" applyFont="1" applyFill="1" applyBorder="1" applyAlignment="1">
      <alignment horizontal="right"/>
    </xf>
    <xf numFmtId="2" fontId="11" fillId="13" borderId="0" xfId="10" applyNumberFormat="1" applyFont="1" applyFill="1"/>
    <xf numFmtId="1" fontId="11" fillId="0" borderId="8" xfId="10" applyFont="1" applyBorder="1" applyAlignment="1" applyProtection="1">
      <alignment horizontal="right"/>
      <protection locked="0"/>
    </xf>
    <xf numFmtId="2" fontId="11" fillId="0" borderId="9" xfId="10" applyNumberFormat="1" applyFont="1" applyBorder="1" applyAlignment="1" applyProtection="1">
      <alignment horizontal="left"/>
      <protection locked="0"/>
    </xf>
    <xf numFmtId="1" fontId="11" fillId="0" borderId="1" xfId="10" applyFont="1" applyBorder="1" applyProtection="1">
      <protection locked="0"/>
    </xf>
    <xf numFmtId="1" fontId="19" fillId="0" borderId="1" xfId="10" applyFont="1" applyBorder="1" applyProtection="1">
      <protection locked="0"/>
    </xf>
    <xf numFmtId="2" fontId="11" fillId="0" borderId="1" xfId="10" applyNumberFormat="1" applyFont="1" applyBorder="1" applyProtection="1">
      <protection locked="0"/>
    </xf>
    <xf numFmtId="1" fontId="11" fillId="0" borderId="1" xfId="10" applyFont="1" applyBorder="1"/>
    <xf numFmtId="166" fontId="11" fillId="0" borderId="1" xfId="10" applyNumberFormat="1" applyFont="1" applyBorder="1" applyProtection="1">
      <protection locked="0"/>
    </xf>
    <xf numFmtId="2" fontId="11" fillId="13" borderId="15" xfId="10" applyNumberFormat="1" applyFont="1" applyFill="1" applyBorder="1"/>
    <xf numFmtId="0" fontId="11" fillId="0" borderId="1" xfId="3" applyFont="1" applyBorder="1"/>
    <xf numFmtId="0" fontId="8" fillId="0" borderId="0" xfId="0" applyFont="1"/>
    <xf numFmtId="0" fontId="8" fillId="0" borderId="0" xfId="0" applyFont="1" applyProtection="1">
      <protection locked="0"/>
    </xf>
    <xf numFmtId="179" fontId="85" fillId="12" borderId="3" xfId="0" applyNumberFormat="1" applyFont="1" applyFill="1" applyBorder="1" applyAlignment="1" applyProtection="1">
      <alignment horizontal="center"/>
      <protection locked="0"/>
    </xf>
    <xf numFmtId="166" fontId="11" fillId="0" borderId="0" xfId="10" applyNumberFormat="1" applyFont="1" applyProtection="1">
      <protection locked="0"/>
    </xf>
    <xf numFmtId="1" fontId="11" fillId="0" borderId="0" xfId="3" applyNumberFormat="1" applyFont="1"/>
    <xf numFmtId="2" fontId="11" fillId="0" borderId="10" xfId="10" applyNumberFormat="1" applyFont="1" applyBorder="1" applyAlignment="1" applyProtection="1">
      <alignment horizontal="center"/>
      <protection locked="0"/>
    </xf>
    <xf numFmtId="1" fontId="19" fillId="0" borderId="0" xfId="10" applyFont="1" applyAlignment="1" applyProtection="1">
      <alignment horizontal="left"/>
      <protection locked="0"/>
    </xf>
    <xf numFmtId="171" fontId="17" fillId="0" borderId="0" xfId="3" applyNumberFormat="1" applyFont="1"/>
    <xf numFmtId="4" fontId="11" fillId="7" borderId="0" xfId="3" applyNumberFormat="1" applyFont="1" applyFill="1"/>
    <xf numFmtId="0" fontId="19" fillId="0" borderId="0" xfId="3" applyFont="1" applyAlignment="1">
      <alignment horizontal="right"/>
    </xf>
    <xf numFmtId="2" fontId="11" fillId="0" borderId="1" xfId="3" applyNumberFormat="1" applyFont="1" applyBorder="1"/>
    <xf numFmtId="0" fontId="22" fillId="0" borderId="1" xfId="3" applyFont="1" applyBorder="1" applyProtection="1">
      <protection locked="0"/>
    </xf>
    <xf numFmtId="0" fontId="154" fillId="0" borderId="0" xfId="0" applyFont="1"/>
    <xf numFmtId="0" fontId="154" fillId="16" borderId="0" xfId="0" applyFont="1" applyFill="1"/>
    <xf numFmtId="0" fontId="154" fillId="16" borderId="0" xfId="0" applyFont="1" applyFill="1" applyAlignment="1">
      <alignment horizontal="center"/>
    </xf>
    <xf numFmtId="0" fontId="155" fillId="16" borderId="0" xfId="0" applyFont="1" applyFill="1" applyAlignment="1">
      <alignment horizontal="center"/>
    </xf>
    <xf numFmtId="170" fontId="154" fillId="0" borderId="0" xfId="0" applyNumberFormat="1" applyFont="1"/>
    <xf numFmtId="2" fontId="154" fillId="3" borderId="0" xfId="0" applyNumberFormat="1" applyFont="1" applyFill="1"/>
    <xf numFmtId="2" fontId="154" fillId="0" borderId="0" xfId="0" applyNumberFormat="1" applyFont="1"/>
    <xf numFmtId="2" fontId="154" fillId="17" borderId="0" xfId="0" applyNumberFormat="1" applyFont="1" applyFill="1"/>
    <xf numFmtId="1" fontId="156" fillId="0" borderId="0" xfId="10" applyFont="1" applyAlignment="1" applyProtection="1">
      <alignment horizontal="left"/>
      <protection locked="0"/>
    </xf>
    <xf numFmtId="2" fontId="11" fillId="3" borderId="0" xfId="10" applyNumberFormat="1" applyFont="1" applyFill="1"/>
    <xf numFmtId="0" fontId="157" fillId="0" borderId="0" xfId="3" applyFont="1" applyProtection="1">
      <protection locked="0"/>
    </xf>
    <xf numFmtId="2" fontId="11" fillId="2" borderId="0" xfId="3" applyNumberFormat="1" applyFont="1" applyFill="1" applyAlignment="1" applyProtection="1">
      <alignment vertical="top"/>
      <protection locked="0"/>
    </xf>
    <xf numFmtId="2" fontId="19" fillId="14" borderId="3" xfId="10" applyNumberFormat="1" applyFont="1" applyFill="1" applyBorder="1" applyAlignment="1" applyProtection="1">
      <alignment horizontal="center" vertical="top"/>
      <protection locked="0"/>
    </xf>
    <xf numFmtId="1" fontId="11" fillId="0" borderId="0" xfId="10" applyFont="1" applyAlignment="1" applyProtection="1">
      <alignment horizontal="center" vertical="top"/>
      <protection locked="0"/>
    </xf>
    <xf numFmtId="1" fontId="66" fillId="0" borderId="0" xfId="10" applyFont="1" applyAlignment="1" applyProtection="1">
      <alignment horizontal="left" vertical="top"/>
      <protection locked="0"/>
    </xf>
    <xf numFmtId="1" fontId="18" fillId="0" borderId="0" xfId="10" applyFont="1" applyAlignment="1" applyProtection="1">
      <alignment vertical="top"/>
      <protection locked="0"/>
    </xf>
    <xf numFmtId="2" fontId="19" fillId="0" borderId="0" xfId="10" applyNumberFormat="1" applyFont="1" applyAlignment="1" applyProtection="1">
      <alignment vertical="top"/>
      <protection locked="0"/>
    </xf>
    <xf numFmtId="1" fontId="11" fillId="0" borderId="0" xfId="10" applyFont="1" applyAlignment="1" applyProtection="1">
      <alignment vertical="top"/>
      <protection locked="0"/>
    </xf>
    <xf numFmtId="2" fontId="19" fillId="3" borderId="0" xfId="3" applyNumberFormat="1" applyFont="1" applyFill="1" applyAlignment="1" applyProtection="1">
      <alignment vertical="top"/>
      <protection locked="0"/>
    </xf>
    <xf numFmtId="2" fontId="66" fillId="15" borderId="1" xfId="10" applyNumberFormat="1" applyFont="1" applyFill="1" applyBorder="1" applyAlignment="1">
      <alignment horizontal="right" vertical="top"/>
    </xf>
    <xf numFmtId="2" fontId="11" fillId="0" borderId="0" xfId="10" applyNumberFormat="1" applyFont="1" applyAlignment="1" applyProtection="1">
      <alignment horizontal="right" vertical="top"/>
      <protection locked="0"/>
    </xf>
    <xf numFmtId="1" fontId="17" fillId="0" borderId="1" xfId="10" applyFont="1" applyBorder="1" applyAlignment="1" applyProtection="1">
      <alignment horizontal="right"/>
      <protection locked="0"/>
    </xf>
    <xf numFmtId="1" fontId="11" fillId="0" borderId="1" xfId="10" applyFont="1" applyBorder="1" applyAlignment="1" applyProtection="1">
      <alignment horizontal="center"/>
      <protection locked="0"/>
    </xf>
    <xf numFmtId="2" fontId="69" fillId="3" borderId="15" xfId="10" applyNumberFormat="1" applyFont="1" applyFill="1" applyBorder="1" applyAlignment="1">
      <alignment horizontal="right"/>
    </xf>
    <xf numFmtId="1" fontId="11" fillId="0" borderId="1" xfId="10" applyFont="1" applyBorder="1" applyAlignment="1" applyProtection="1">
      <alignment horizontal="right"/>
      <protection locked="0"/>
    </xf>
    <xf numFmtId="0" fontId="0" fillId="3" borderId="0" xfId="0" applyFill="1"/>
    <xf numFmtId="1" fontId="11" fillId="3" borderId="0" xfId="10" applyFont="1" applyFill="1" applyProtection="1">
      <protection locked="0"/>
    </xf>
    <xf numFmtId="0" fontId="160" fillId="0" borderId="0" xfId="3" applyFont="1"/>
    <xf numFmtId="2" fontId="154" fillId="19" borderId="0" xfId="0" applyNumberFormat="1" applyFont="1" applyFill="1"/>
    <xf numFmtId="0" fontId="18" fillId="0" borderId="0" xfId="3" applyFont="1"/>
    <xf numFmtId="4" fontId="11" fillId="6" borderId="0" xfId="3" applyNumberFormat="1" applyFont="1" applyFill="1"/>
    <xf numFmtId="0" fontId="19" fillId="0" borderId="0" xfId="3" applyFont="1" applyAlignment="1" applyProtection="1">
      <alignment horizontal="center"/>
      <protection locked="0"/>
    </xf>
    <xf numFmtId="0" fontId="161" fillId="0" borderId="0" xfId="3" applyFont="1"/>
    <xf numFmtId="0" fontId="17" fillId="0" borderId="0" xfId="7" applyFont="1" applyProtection="1">
      <protection locked="0"/>
    </xf>
    <xf numFmtId="0" fontId="15" fillId="0" borderId="0" xfId="0" applyFont="1" applyAlignment="1" applyProtection="1">
      <alignment horizontal="center"/>
      <protection locked="0"/>
    </xf>
    <xf numFmtId="0" fontId="9" fillId="0" borderId="0" xfId="7" applyFont="1" applyAlignment="1" applyProtection="1">
      <alignment horizontal="center"/>
      <protection locked="0"/>
    </xf>
    <xf numFmtId="0" fontId="59" fillId="0" borderId="0" xfId="0" applyFont="1" applyAlignment="1" applyProtection="1">
      <alignment horizontal="center"/>
      <protection locked="0"/>
    </xf>
    <xf numFmtId="0" fontId="59" fillId="2" borderId="29" xfId="0" applyFont="1" applyFill="1" applyBorder="1" applyAlignment="1" applyProtection="1">
      <alignment horizontal="center"/>
      <protection locked="0"/>
    </xf>
    <xf numFmtId="0" fontId="16" fillId="0" borderId="0" xfId="3" applyFont="1" applyAlignment="1">
      <alignment horizontal="center"/>
    </xf>
    <xf numFmtId="0" fontId="161" fillId="0" borderId="0" xfId="3" applyFont="1" applyAlignment="1">
      <alignment horizontal="center"/>
    </xf>
    <xf numFmtId="0" fontId="154" fillId="0" borderId="0" xfId="0" applyFont="1" applyAlignment="1">
      <alignment horizontal="center"/>
    </xf>
    <xf numFmtId="0" fontId="11" fillId="0" borderId="0" xfId="3" applyFont="1" applyAlignment="1">
      <alignment horizontal="center"/>
    </xf>
    <xf numFmtId="174" fontId="46" fillId="0" borderId="0" xfId="8" applyNumberFormat="1" applyFont="1" applyProtection="1">
      <protection locked="0"/>
    </xf>
    <xf numFmtId="180" fontId="162" fillId="0" borderId="0" xfId="8" applyNumberFormat="1" applyFont="1" applyProtection="1">
      <protection locked="0"/>
    </xf>
    <xf numFmtId="0" fontId="161" fillId="0" borderId="0" xfId="3" applyFont="1" applyAlignment="1" applyProtection="1">
      <alignment horizontal="left"/>
      <protection locked="0"/>
    </xf>
    <xf numFmtId="0" fontId="161" fillId="0" borderId="0" xfId="3" applyFont="1" applyProtection="1">
      <protection locked="0"/>
    </xf>
    <xf numFmtId="0" fontId="158" fillId="0" borderId="0" xfId="3" applyFont="1" applyProtection="1">
      <protection locked="0"/>
    </xf>
    <xf numFmtId="0" fontId="159" fillId="0" borderId="0" xfId="3" applyFont="1" applyAlignment="1" applyProtection="1">
      <alignment horizontal="right"/>
      <protection locked="0"/>
    </xf>
    <xf numFmtId="0" fontId="158" fillId="0" borderId="0" xfId="11" applyFont="1" applyProtection="1">
      <protection locked="0"/>
    </xf>
    <xf numFmtId="0" fontId="165" fillId="0" borderId="0" xfId="3" applyFont="1" applyAlignment="1" applyProtection="1">
      <alignment horizontal="right"/>
      <protection locked="0"/>
    </xf>
    <xf numFmtId="0" fontId="158" fillId="0" borderId="0" xfId="3" applyFont="1" applyAlignment="1" applyProtection="1">
      <alignment horizontal="left"/>
      <protection locked="0"/>
    </xf>
    <xf numFmtId="0" fontId="158" fillId="0" borderId="13" xfId="3" applyFont="1" applyBorder="1" applyProtection="1">
      <protection locked="0"/>
    </xf>
    <xf numFmtId="0" fontId="158" fillId="0" borderId="13" xfId="11" applyFont="1" applyBorder="1" applyProtection="1">
      <protection locked="0"/>
    </xf>
    <xf numFmtId="0" fontId="161" fillId="0" borderId="13" xfId="3" applyFont="1" applyBorder="1" applyProtection="1">
      <protection locked="0"/>
    </xf>
    <xf numFmtId="0" fontId="159" fillId="0" borderId="0" xfId="11" applyFont="1" applyAlignment="1" applyProtection="1">
      <alignment horizontal="right"/>
      <protection locked="0"/>
    </xf>
    <xf numFmtId="15" fontId="158" fillId="0" borderId="0" xfId="11" applyNumberFormat="1" applyFont="1" applyProtection="1">
      <protection locked="0"/>
    </xf>
    <xf numFmtId="0" fontId="165" fillId="0" borderId="0" xfId="7" applyFont="1" applyAlignment="1" applyProtection="1">
      <alignment horizontal="right"/>
      <protection locked="0"/>
    </xf>
    <xf numFmtId="0" fontId="158" fillId="16" borderId="0" xfId="3" applyFont="1" applyFill="1" applyAlignment="1" applyProtection="1">
      <alignment horizontal="left"/>
      <protection locked="0"/>
    </xf>
    <xf numFmtId="0" fontId="165" fillId="0" borderId="0" xfId="11" applyFont="1" applyAlignment="1" applyProtection="1">
      <alignment horizontal="right"/>
      <protection locked="0"/>
    </xf>
    <xf numFmtId="0" fontId="166" fillId="0" borderId="0" xfId="3" applyFont="1" applyProtection="1">
      <protection locked="0"/>
    </xf>
    <xf numFmtId="0" fontId="166" fillId="0" borderId="0" xfId="3" applyFont="1" applyAlignment="1" applyProtection="1">
      <alignment horizontal="right"/>
      <protection locked="0"/>
    </xf>
    <xf numFmtId="4" fontId="158" fillId="16" borderId="0" xfId="1" applyNumberFormat="1" applyFont="1" applyFill="1" applyBorder="1" applyAlignment="1" applyProtection="1">
      <alignment horizontal="centerContinuous"/>
      <protection locked="0"/>
    </xf>
    <xf numFmtId="0" fontId="167" fillId="0" borderId="0" xfId="7" applyFont="1" applyAlignment="1" applyProtection="1">
      <alignment horizontal="left"/>
      <protection locked="0"/>
    </xf>
    <xf numFmtId="0" fontId="159" fillId="0" borderId="0" xfId="3" applyFont="1" applyAlignment="1" applyProtection="1">
      <alignment horizontal="left"/>
      <protection locked="0"/>
    </xf>
    <xf numFmtId="0" fontId="166" fillId="0" borderId="0" xfId="3" applyFont="1" applyAlignment="1" applyProtection="1">
      <alignment horizontal="left"/>
      <protection locked="0"/>
    </xf>
    <xf numFmtId="0" fontId="159" fillId="0" borderId="0" xfId="3" applyFont="1" applyProtection="1">
      <protection locked="0"/>
    </xf>
    <xf numFmtId="0" fontId="158" fillId="0" borderId="0" xfId="3" applyFont="1" applyAlignment="1" applyProtection="1">
      <alignment horizontal="center"/>
      <protection locked="0"/>
    </xf>
    <xf numFmtId="0" fontId="158" fillId="0" borderId="22" xfId="3" applyFont="1" applyBorder="1" applyProtection="1">
      <protection locked="0"/>
    </xf>
    <xf numFmtId="0" fontId="158" fillId="0" borderId="34" xfId="3" applyFont="1" applyBorder="1" applyProtection="1">
      <protection locked="0"/>
    </xf>
    <xf numFmtId="0" fontId="158" fillId="0" borderId="35" xfId="3" applyFont="1" applyBorder="1" applyProtection="1">
      <protection locked="0"/>
    </xf>
    <xf numFmtId="0" fontId="158" fillId="0" borderId="36" xfId="3" applyFont="1" applyBorder="1" applyProtection="1">
      <protection locked="0"/>
    </xf>
    <xf numFmtId="0" fontId="158" fillId="0" borderId="37" xfId="3" applyFont="1" applyBorder="1" applyProtection="1">
      <protection locked="0"/>
    </xf>
    <xf numFmtId="0" fontId="166" fillId="0" borderId="0" xfId="7" applyFont="1" applyAlignment="1" applyProtection="1">
      <alignment horizontal="left" vertical="center"/>
      <protection locked="0"/>
    </xf>
    <xf numFmtId="0" fontId="158" fillId="0" borderId="38" xfId="3" applyFont="1" applyBorder="1" applyProtection="1">
      <protection locked="0"/>
    </xf>
    <xf numFmtId="0" fontId="158" fillId="0" borderId="39" xfId="3" applyFont="1" applyBorder="1" applyProtection="1">
      <protection locked="0"/>
    </xf>
    <xf numFmtId="0" fontId="168" fillId="0" borderId="0" xfId="3" applyFont="1" applyAlignment="1" applyProtection="1">
      <alignment horizontal="left"/>
      <protection locked="0"/>
    </xf>
    <xf numFmtId="0" fontId="169" fillId="0" borderId="0" xfId="3" applyFont="1" applyProtection="1">
      <protection locked="0"/>
    </xf>
    <xf numFmtId="43" fontId="0" fillId="0" borderId="0" xfId="0" applyNumberFormat="1" applyProtection="1">
      <protection locked="0"/>
    </xf>
    <xf numFmtId="181" fontId="0" fillId="0" borderId="0" xfId="0" applyNumberFormat="1"/>
    <xf numFmtId="15" fontId="6" fillId="0" borderId="0" xfId="0" applyNumberFormat="1" applyFont="1" applyAlignment="1" applyProtection="1">
      <alignment horizontal="left"/>
      <protection locked="0"/>
    </xf>
    <xf numFmtId="2" fontId="205" fillId="0" borderId="0" xfId="0" applyNumberFormat="1" applyFont="1"/>
    <xf numFmtId="2" fontId="154" fillId="46" borderId="0" xfId="0" applyNumberFormat="1" applyFont="1" applyFill="1"/>
    <xf numFmtId="2" fontId="5" fillId="0" borderId="84" xfId="138" applyNumberFormat="1" applyFont="1" applyBorder="1" applyAlignment="1">
      <alignment horizontal="center" vertical="top"/>
    </xf>
    <xf numFmtId="0" fontId="5" fillId="0" borderId="84" xfId="138" applyFont="1" applyBorder="1" applyAlignment="1">
      <alignment horizontal="center" vertical="top"/>
    </xf>
    <xf numFmtId="4" fontId="5" fillId="0" borderId="84" xfId="138" applyNumberFormat="1" applyFont="1" applyBorder="1" applyAlignment="1">
      <alignment horizontal="center" vertical="top"/>
    </xf>
    <xf numFmtId="0" fontId="8" fillId="0" borderId="0" xfId="138"/>
    <xf numFmtId="2" fontId="206" fillId="0" borderId="11" xfId="138" applyNumberFormat="1" applyFont="1" applyBorder="1" applyAlignment="1">
      <alignment horizontal="center" vertical="top"/>
    </xf>
    <xf numFmtId="0" fontId="39" fillId="0" borderId="11" xfId="138" applyFont="1" applyBorder="1" applyAlignment="1">
      <alignment horizontal="left" vertical="top" indent="1"/>
    </xf>
    <xf numFmtId="0" fontId="32" fillId="0" borderId="11" xfId="138" applyFont="1" applyBorder="1" applyAlignment="1">
      <alignment horizontal="center" vertical="top"/>
    </xf>
    <xf numFmtId="4" fontId="5" fillId="0" borderId="11" xfId="138" applyNumberFormat="1" applyFont="1" applyBorder="1" applyAlignment="1">
      <alignment horizontal="center" vertical="top"/>
    </xf>
    <xf numFmtId="0" fontId="8" fillId="0" borderId="0" xfId="138" applyAlignment="1">
      <alignment vertical="top"/>
    </xf>
    <xf numFmtId="2" fontId="206" fillId="0" borderId="25" xfId="138" applyNumberFormat="1" applyFont="1" applyBorder="1" applyAlignment="1">
      <alignment horizontal="center" vertical="top" wrapText="1"/>
    </xf>
    <xf numFmtId="0" fontId="32" fillId="0" borderId="25" xfId="138" applyFont="1" applyBorder="1" applyAlignment="1">
      <alignment vertical="top" wrapText="1"/>
    </xf>
    <xf numFmtId="0" fontId="32" fillId="0" borderId="25" xfId="138" applyFont="1" applyBorder="1" applyAlignment="1">
      <alignment horizontal="center" vertical="top"/>
    </xf>
    <xf numFmtId="4" fontId="5" fillId="0" borderId="25" xfId="138" applyNumberFormat="1" applyFont="1" applyBorder="1" applyAlignment="1">
      <alignment horizontal="center" vertical="top"/>
    </xf>
    <xf numFmtId="2" fontId="5" fillId="0" borderId="25" xfId="138" applyNumberFormat="1" applyFont="1" applyBorder="1" applyAlignment="1">
      <alignment horizontal="center" vertical="top" wrapText="1"/>
    </xf>
    <xf numFmtId="1" fontId="5" fillId="0" borderId="25" xfId="138" applyNumberFormat="1" applyFont="1" applyBorder="1" applyAlignment="1">
      <alignment vertical="top" wrapText="1"/>
    </xf>
    <xf numFmtId="1" fontId="8" fillId="0" borderId="25" xfId="138" applyNumberFormat="1" applyBorder="1" applyAlignment="1">
      <alignment horizontal="center" vertical="top"/>
    </xf>
    <xf numFmtId="0" fontId="8" fillId="0" borderId="25" xfId="138" applyBorder="1" applyAlignment="1">
      <alignment horizontal="center" vertical="top"/>
    </xf>
    <xf numFmtId="4" fontId="8" fillId="0" borderId="25" xfId="138" applyNumberFormat="1" applyBorder="1" applyAlignment="1">
      <alignment horizontal="right" vertical="top"/>
    </xf>
    <xf numFmtId="0" fontId="8" fillId="0" borderId="0" xfId="138" applyAlignment="1">
      <alignment horizontal="left" vertical="top"/>
    </xf>
    <xf numFmtId="1" fontId="8" fillId="0" borderId="25" xfId="138" applyNumberFormat="1" applyBorder="1" applyAlignment="1">
      <alignment vertical="top" wrapText="1"/>
    </xf>
    <xf numFmtId="2" fontId="8" fillId="0" borderId="25" xfId="138" applyNumberFormat="1" applyBorder="1" applyAlignment="1">
      <alignment horizontal="center" vertical="top"/>
    </xf>
    <xf numFmtId="0" fontId="8" fillId="0" borderId="0" xfId="138" applyAlignment="1">
      <alignment horizontal="left"/>
    </xf>
    <xf numFmtId="1" fontId="8" fillId="0" borderId="25" xfId="138" applyNumberFormat="1" applyBorder="1" applyAlignment="1">
      <alignment horizontal="left" vertical="top" indent="1"/>
    </xf>
    <xf numFmtId="0" fontId="8" fillId="0" borderId="25" xfId="138" applyBorder="1" applyAlignment="1">
      <alignment horizontal="left" vertical="top" indent="1"/>
    </xf>
    <xf numFmtId="0" fontId="5" fillId="0" borderId="25" xfId="138" applyFont="1" applyBorder="1" applyAlignment="1">
      <alignment horizontal="right" vertical="top" indent="1"/>
    </xf>
    <xf numFmtId="0" fontId="8" fillId="0" borderId="25" xfId="138" applyBorder="1" applyAlignment="1">
      <alignment horizontal="right" vertical="top" indent="1"/>
    </xf>
    <xf numFmtId="2" fontId="8" fillId="0" borderId="11" xfId="138" applyNumberFormat="1" applyBorder="1" applyAlignment="1">
      <alignment horizontal="center" vertical="top"/>
    </xf>
    <xf numFmtId="1" fontId="207" fillId="0" borderId="11" xfId="138" applyNumberFormat="1" applyFont="1" applyBorder="1" applyAlignment="1">
      <alignment horizontal="left" vertical="top" indent="1"/>
    </xf>
    <xf numFmtId="1" fontId="8" fillId="0" borderId="11" xfId="138" applyNumberFormat="1" applyBorder="1" applyAlignment="1">
      <alignment horizontal="center" vertical="top"/>
    </xf>
    <xf numFmtId="4" fontId="8" fillId="0" borderId="11" xfId="138" applyNumberFormat="1" applyBorder="1" applyAlignment="1">
      <alignment horizontal="right" vertical="top"/>
    </xf>
    <xf numFmtId="2" fontId="67" fillId="0" borderId="83" xfId="138" applyNumberFormat="1" applyFont="1" applyBorder="1" applyAlignment="1">
      <alignment horizontal="center" vertical="top"/>
    </xf>
    <xf numFmtId="0" fontId="5" fillId="0" borderId="85" xfId="138" applyFont="1" applyBorder="1" applyAlignment="1">
      <alignment horizontal="right" vertical="top" indent="1"/>
    </xf>
    <xf numFmtId="0" fontId="8" fillId="16" borderId="83" xfId="138" applyFill="1" applyBorder="1" applyAlignment="1">
      <alignment horizontal="center" vertical="top"/>
    </xf>
    <xf numFmtId="0" fontId="5" fillId="16" borderId="86" xfId="138" applyFont="1" applyFill="1" applyBorder="1" applyAlignment="1">
      <alignment horizontal="right" vertical="top"/>
    </xf>
    <xf numFmtId="0" fontId="19" fillId="16" borderId="85" xfId="138" applyFont="1" applyFill="1" applyBorder="1" applyAlignment="1">
      <alignment horizontal="center" vertical="top"/>
    </xf>
    <xf numFmtId="4" fontId="5" fillId="0" borderId="3" xfId="138" applyNumberFormat="1" applyFont="1" applyBorder="1" applyAlignment="1">
      <alignment horizontal="right" vertical="top"/>
    </xf>
    <xf numFmtId="2" fontId="8" fillId="0" borderId="0" xfId="138" applyNumberFormat="1" applyAlignment="1">
      <alignment horizontal="center" vertical="top"/>
    </xf>
    <xf numFmtId="0" fontId="8" fillId="0" borderId="0" xfId="138" applyAlignment="1">
      <alignment horizontal="left" vertical="top" indent="1"/>
    </xf>
    <xf numFmtId="0" fontId="8" fillId="0" borderId="0" xfId="138" applyAlignment="1">
      <alignment horizontal="center" vertical="top"/>
    </xf>
    <xf numFmtId="4" fontId="8" fillId="0" borderId="0" xfId="138" applyNumberFormat="1" applyAlignment="1">
      <alignment vertical="top"/>
    </xf>
    <xf numFmtId="4" fontId="5" fillId="0" borderId="0" xfId="138" applyNumberFormat="1" applyFont="1" applyAlignment="1">
      <alignment vertical="top"/>
    </xf>
    <xf numFmtId="2" fontId="154" fillId="47" borderId="0" xfId="0" applyNumberFormat="1" applyFont="1" applyFill="1"/>
    <xf numFmtId="0" fontId="11" fillId="0" borderId="0" xfId="3" applyFont="1" applyAlignment="1" applyProtection="1">
      <alignment horizontal="center"/>
      <protection locked="0"/>
    </xf>
    <xf numFmtId="4" fontId="208" fillId="2" borderId="83" xfId="10" applyNumberFormat="1" applyFont="1" applyFill="1" applyBorder="1" applyAlignment="1">
      <alignment horizontal="right"/>
    </xf>
    <xf numFmtId="4" fontId="208" fillId="2" borderId="85" xfId="10" applyNumberFormat="1" applyFont="1" applyFill="1" applyBorder="1" applyAlignment="1">
      <alignment horizontal="right"/>
    </xf>
    <xf numFmtId="0" fontId="5" fillId="0" borderId="0" xfId="3" applyFont="1"/>
    <xf numFmtId="1" fontId="19" fillId="0" borderId="0" xfId="10" applyFont="1" applyAlignment="1">
      <alignment horizontal="center"/>
    </xf>
    <xf numFmtId="2" fontId="209" fillId="2" borderId="3" xfId="10" applyNumberFormat="1" applyFont="1" applyFill="1" applyBorder="1" applyAlignment="1">
      <alignment horizontal="center"/>
    </xf>
    <xf numFmtId="2" fontId="17" fillId="2" borderId="3" xfId="3" applyNumberFormat="1" applyFont="1" applyFill="1" applyBorder="1" applyAlignment="1" applyProtection="1">
      <alignment horizontal="center"/>
      <protection locked="0"/>
    </xf>
    <xf numFmtId="2" fontId="19" fillId="2" borderId="3" xfId="3" applyNumberFormat="1" applyFont="1" applyFill="1" applyBorder="1" applyAlignment="1" applyProtection="1">
      <alignment horizontal="center"/>
      <protection locked="0"/>
    </xf>
    <xf numFmtId="1" fontId="26" fillId="0" borderId="22" xfId="10" applyFont="1" applyBorder="1" applyAlignment="1" applyProtection="1">
      <alignment vertical="center"/>
      <protection locked="0"/>
    </xf>
    <xf numFmtId="1" fontId="26" fillId="0" borderId="22" xfId="10" applyFont="1" applyBorder="1" applyAlignment="1" applyProtection="1">
      <alignment horizontal="centerContinuous" vertical="center"/>
      <protection locked="0"/>
    </xf>
    <xf numFmtId="2" fontId="11" fillId="0" borderId="0" xfId="3" applyNumberFormat="1" applyFont="1" applyProtection="1">
      <protection locked="0"/>
    </xf>
    <xf numFmtId="1" fontId="26" fillId="0" borderId="13" xfId="10" applyFont="1" applyBorder="1" applyAlignment="1" applyProtection="1">
      <alignment vertical="center"/>
      <protection locked="0"/>
    </xf>
    <xf numFmtId="1" fontId="26" fillId="0" borderId="13" xfId="10" applyFont="1" applyBorder="1" applyAlignment="1" applyProtection="1">
      <alignment horizontal="centerContinuous" vertical="center"/>
      <protection locked="0"/>
    </xf>
    <xf numFmtId="1" fontId="19" fillId="0" borderId="87" xfId="10" applyFont="1" applyBorder="1" applyProtection="1">
      <protection locked="0"/>
    </xf>
    <xf numFmtId="2" fontId="210" fillId="0" borderId="88" xfId="3" applyNumberFormat="1" applyFont="1" applyBorder="1" applyAlignment="1">
      <alignment horizontal="right"/>
    </xf>
    <xf numFmtId="2" fontId="211" fillId="0" borderId="87" xfId="3" applyNumberFormat="1" applyFont="1" applyBorder="1" applyAlignment="1">
      <alignment horizontal="left"/>
    </xf>
    <xf numFmtId="1" fontId="11" fillId="0" borderId="87" xfId="10" applyFont="1" applyBorder="1" applyProtection="1">
      <protection locked="0"/>
    </xf>
    <xf numFmtId="2" fontId="11" fillId="0" borderId="87" xfId="10" applyNumberFormat="1" applyFont="1" applyBorder="1" applyProtection="1">
      <protection locked="0"/>
    </xf>
    <xf numFmtId="1" fontId="19" fillId="0" borderId="87" xfId="10" applyFont="1" applyBorder="1" applyAlignment="1">
      <alignment horizontal="center"/>
    </xf>
    <xf numFmtId="1" fontId="19" fillId="0" borderId="87" xfId="10" applyFont="1" applyBorder="1"/>
    <xf numFmtId="2" fontId="11" fillId="0" borderId="89" xfId="10" applyNumberFormat="1" applyFont="1" applyBorder="1" applyProtection="1">
      <protection locked="0"/>
    </xf>
    <xf numFmtId="2" fontId="11" fillId="0" borderId="89" xfId="3" applyNumberFormat="1" applyFont="1" applyBorder="1"/>
    <xf numFmtId="2" fontId="11" fillId="0" borderId="89" xfId="10" applyNumberFormat="1" applyFont="1" applyBorder="1"/>
    <xf numFmtId="0" fontId="11" fillId="48" borderId="83" xfId="3" applyFont="1" applyFill="1" applyBorder="1" applyProtection="1">
      <protection locked="0"/>
    </xf>
    <xf numFmtId="4" fontId="31" fillId="3" borderId="83" xfId="3" applyNumberFormat="1" applyFont="1" applyFill="1" applyBorder="1" applyAlignment="1">
      <alignment horizontal="right"/>
    </xf>
    <xf numFmtId="4" fontId="31" fillId="3" borderId="86" xfId="3" applyNumberFormat="1" applyFont="1" applyFill="1" applyBorder="1" applyAlignment="1">
      <alignment horizontal="right"/>
    </xf>
    <xf numFmtId="4" fontId="31" fillId="3" borderId="85" xfId="3" applyNumberFormat="1" applyFont="1" applyFill="1" applyBorder="1" applyAlignment="1">
      <alignment horizontal="right"/>
    </xf>
    <xf numFmtId="1" fontId="11" fillId="0" borderId="0" xfId="3" applyNumberFormat="1" applyFont="1" applyAlignment="1" applyProtection="1">
      <alignment horizontal="center"/>
      <protection locked="0"/>
    </xf>
    <xf numFmtId="1" fontId="19" fillId="0" borderId="90" xfId="10" applyFont="1" applyBorder="1" applyProtection="1">
      <protection locked="0"/>
    </xf>
    <xf numFmtId="1" fontId="11" fillId="0" borderId="90" xfId="10" applyFont="1" applyBorder="1" applyAlignment="1">
      <alignment horizontal="center"/>
    </xf>
    <xf numFmtId="0" fontId="212" fillId="0" borderId="0" xfId="3" applyFont="1" applyAlignment="1" applyProtection="1">
      <alignment horizontal="left"/>
      <protection locked="0"/>
    </xf>
    <xf numFmtId="17" fontId="11" fillId="0" borderId="0" xfId="3" applyNumberFormat="1" applyFont="1" applyAlignment="1" applyProtection="1">
      <alignment horizontal="center"/>
      <protection locked="0"/>
    </xf>
    <xf numFmtId="2" fontId="11" fillId="0" borderId="0" xfId="3" applyNumberFormat="1" applyFont="1" applyAlignment="1" applyProtection="1">
      <alignment horizontal="center"/>
      <protection locked="0"/>
    </xf>
    <xf numFmtId="2" fontId="11" fillId="3" borderId="0" xfId="3" applyNumberFormat="1" applyFont="1" applyFill="1"/>
    <xf numFmtId="1" fontId="11" fillId="0" borderId="83" xfId="10" applyFont="1" applyBorder="1" applyAlignment="1" applyProtection="1">
      <alignment horizontal="right"/>
      <protection locked="0"/>
    </xf>
    <xf numFmtId="2" fontId="11" fillId="0" borderId="85" xfId="10" applyNumberFormat="1" applyFont="1" applyBorder="1" applyAlignment="1" applyProtection="1">
      <alignment horizontal="left"/>
      <protection locked="0"/>
    </xf>
    <xf numFmtId="166" fontId="11" fillId="0" borderId="87" xfId="10" applyNumberFormat="1" applyFont="1" applyBorder="1" applyProtection="1">
      <protection locked="0"/>
    </xf>
    <xf numFmtId="1" fontId="11" fillId="0" borderId="87" xfId="10" applyFont="1" applyBorder="1" applyAlignment="1">
      <alignment horizontal="center"/>
    </xf>
    <xf numFmtId="166" fontId="11" fillId="0" borderId="89" xfId="10" applyNumberFormat="1" applyFont="1" applyBorder="1" applyProtection="1">
      <protection locked="0"/>
    </xf>
    <xf numFmtId="2" fontId="11" fillId="3" borderId="91" xfId="10" applyNumberFormat="1" applyFont="1" applyFill="1" applyBorder="1"/>
    <xf numFmtId="1" fontId="11" fillId="0" borderId="89" xfId="10" applyFont="1" applyBorder="1" applyProtection="1">
      <protection locked="0"/>
    </xf>
    <xf numFmtId="4" fontId="17" fillId="3" borderId="92" xfId="3" applyNumberFormat="1" applyFont="1" applyFill="1" applyBorder="1"/>
    <xf numFmtId="4" fontId="31" fillId="12" borderId="83" xfId="3" applyNumberFormat="1" applyFont="1" applyFill="1" applyBorder="1" applyAlignment="1">
      <alignment horizontal="right"/>
    </xf>
    <xf numFmtId="2" fontId="11" fillId="12" borderId="86" xfId="3" applyNumberFormat="1" applyFont="1" applyFill="1" applyBorder="1" applyProtection="1">
      <protection locked="0"/>
    </xf>
    <xf numFmtId="4" fontId="31" fillId="12" borderId="86" xfId="3" applyNumberFormat="1" applyFont="1" applyFill="1" applyBorder="1" applyAlignment="1">
      <alignment horizontal="right"/>
    </xf>
    <xf numFmtId="4" fontId="31" fillId="12" borderId="85" xfId="3" applyNumberFormat="1" applyFont="1" applyFill="1" applyBorder="1" applyAlignment="1">
      <alignment horizontal="right"/>
    </xf>
    <xf numFmtId="2" fontId="11" fillId="0" borderId="0" xfId="10" applyNumberFormat="1" applyFont="1"/>
    <xf numFmtId="1" fontId="11" fillId="0" borderId="0" xfId="0" applyNumberFormat="1" applyFont="1"/>
    <xf numFmtId="0" fontId="213" fillId="0" borderId="0" xfId="17403" applyFont="1" applyAlignment="1">
      <alignment horizontal="center" vertical="center"/>
    </xf>
    <xf numFmtId="191" fontId="215" fillId="0" borderId="0" xfId="17404" applyFont="1"/>
    <xf numFmtId="191" fontId="215" fillId="49" borderId="0" xfId="17404" applyFont="1" applyFill="1" applyAlignment="1">
      <alignment horizontal="center"/>
    </xf>
    <xf numFmtId="0" fontId="213" fillId="16" borderId="0" xfId="17403" applyFont="1" applyFill="1" applyAlignment="1">
      <alignment horizontal="center" vertical="center"/>
    </xf>
    <xf numFmtId="0" fontId="213" fillId="0" borderId="0" xfId="17403" applyFont="1" applyAlignment="1">
      <alignment horizontal="left" vertical="center"/>
    </xf>
    <xf numFmtId="0" fontId="216" fillId="0" borderId="0" xfId="17403" applyFont="1" applyAlignment="1">
      <alignment horizontal="center" vertical="center"/>
    </xf>
    <xf numFmtId="2" fontId="217" fillId="0" borderId="0" xfId="17403" applyNumberFormat="1" applyFont="1" applyAlignment="1">
      <alignment horizontal="center" vertical="center"/>
    </xf>
    <xf numFmtId="172" fontId="217" fillId="0" borderId="0" xfId="17403" applyNumberFormat="1" applyFont="1" applyAlignment="1">
      <alignment horizontal="center" vertical="center"/>
    </xf>
    <xf numFmtId="170" fontId="213" fillId="0" borderId="0" xfId="17403" applyNumberFormat="1" applyFont="1" applyAlignment="1">
      <alignment horizontal="center" vertical="center"/>
    </xf>
    <xf numFmtId="2" fontId="213" fillId="0" borderId="0" xfId="17403" applyNumberFormat="1" applyFont="1" applyAlignment="1">
      <alignment vertical="center"/>
    </xf>
    <xf numFmtId="0" fontId="213" fillId="0" borderId="0" xfId="17403" applyFont="1" applyAlignment="1">
      <alignment vertical="center"/>
    </xf>
    <xf numFmtId="1" fontId="19" fillId="0" borderId="89" xfId="10" applyFont="1" applyBorder="1" applyProtection="1">
      <protection locked="0"/>
    </xf>
    <xf numFmtId="4" fontId="17" fillId="4" borderId="92" xfId="3" applyNumberFormat="1" applyFont="1" applyFill="1" applyBorder="1"/>
    <xf numFmtId="0" fontId="11" fillId="2" borderId="3" xfId="3" applyFont="1" applyFill="1" applyBorder="1" applyProtection="1">
      <protection locked="0"/>
    </xf>
    <xf numFmtId="4" fontId="96" fillId="5" borderId="83" xfId="3" applyNumberFormat="1" applyFont="1" applyFill="1" applyBorder="1" applyAlignment="1">
      <alignment horizontal="left"/>
    </xf>
    <xf numFmtId="1" fontId="11" fillId="5" borderId="86" xfId="10" applyFont="1" applyFill="1" applyBorder="1" applyProtection="1">
      <protection locked="0"/>
    </xf>
    <xf numFmtId="4" fontId="31" fillId="5" borderId="86" xfId="3" applyNumberFormat="1" applyFont="1" applyFill="1" applyBorder="1" applyAlignment="1">
      <alignment horizontal="right"/>
    </xf>
    <xf numFmtId="4" fontId="31" fillId="50" borderId="85" xfId="3" applyNumberFormat="1" applyFont="1" applyFill="1" applyBorder="1" applyAlignment="1">
      <alignment horizontal="right"/>
    </xf>
    <xf numFmtId="1" fontId="19" fillId="0" borderId="93" xfId="10" applyFont="1" applyBorder="1" applyProtection="1">
      <protection locked="0"/>
    </xf>
    <xf numFmtId="0" fontId="218" fillId="16" borderId="0" xfId="17403" applyFont="1" applyFill="1" applyAlignment="1">
      <alignment horizontal="center" vertical="center"/>
    </xf>
    <xf numFmtId="1" fontId="66" fillId="0" borderId="0" xfId="10" applyFont="1" applyProtection="1">
      <protection locked="0"/>
    </xf>
    <xf numFmtId="2" fontId="19" fillId="0" borderId="0" xfId="3" applyNumberFormat="1" applyFont="1" applyAlignment="1">
      <alignment horizontal="right"/>
    </xf>
    <xf numFmtId="2" fontId="11" fillId="0" borderId="0" xfId="10" applyNumberFormat="1" applyFont="1" applyAlignment="1" applyProtection="1">
      <alignment horizontal="center"/>
      <protection locked="0"/>
    </xf>
    <xf numFmtId="0" fontId="11" fillId="0" borderId="89" xfId="3" applyFont="1" applyBorder="1"/>
    <xf numFmtId="1" fontId="11" fillId="0" borderId="89" xfId="10" applyFont="1" applyBorder="1" applyAlignment="1">
      <alignment horizontal="center"/>
    </xf>
    <xf numFmtId="4" fontId="17" fillId="5" borderId="92" xfId="3" applyNumberFormat="1" applyFont="1" applyFill="1" applyBorder="1"/>
    <xf numFmtId="1" fontId="96" fillId="2" borderId="22" xfId="10" applyFont="1" applyFill="1" applyBorder="1" applyAlignment="1" applyProtection="1">
      <alignment vertical="center"/>
      <protection locked="0"/>
    </xf>
    <xf numFmtId="0" fontId="11" fillId="2" borderId="0" xfId="3" applyFont="1" applyFill="1"/>
    <xf numFmtId="1" fontId="11" fillId="0" borderId="0" xfId="10" applyFont="1" applyAlignment="1">
      <alignment horizontal="center"/>
    </xf>
    <xf numFmtId="1" fontId="11" fillId="0" borderId="0" xfId="10" applyFont="1"/>
    <xf numFmtId="1" fontId="219" fillId="2" borderId="1" xfId="10" applyFont="1" applyFill="1" applyBorder="1" applyAlignment="1" applyProtection="1">
      <alignment horizontal="left" vertical="center"/>
      <protection locked="0"/>
    </xf>
    <xf numFmtId="0" fontId="11" fillId="2" borderId="1" xfId="3" applyFont="1" applyFill="1" applyBorder="1"/>
    <xf numFmtId="1" fontId="11" fillId="0" borderId="1" xfId="10" applyFont="1" applyBorder="1" applyAlignment="1">
      <alignment horizontal="center"/>
    </xf>
    <xf numFmtId="2" fontId="25" fillId="2" borderId="15" xfId="10" applyNumberFormat="1" applyFont="1" applyFill="1" applyBorder="1"/>
    <xf numFmtId="1" fontId="22" fillId="0" borderId="1" xfId="10" applyFont="1" applyBorder="1" applyProtection="1">
      <protection locked="0"/>
    </xf>
    <xf numFmtId="2" fontId="19" fillId="0" borderId="0" xfId="17405" applyNumberFormat="1" applyFont="1" applyProtection="1">
      <protection locked="0"/>
    </xf>
    <xf numFmtId="1" fontId="19" fillId="0" borderId="0" xfId="17405" applyFont="1" applyProtection="1">
      <protection locked="0"/>
    </xf>
    <xf numFmtId="1" fontId="19" fillId="2" borderId="0" xfId="17405" applyFont="1" applyFill="1" applyProtection="1">
      <protection locked="0"/>
    </xf>
    <xf numFmtId="17" fontId="19" fillId="2" borderId="0" xfId="17405" applyNumberFormat="1" applyFont="1" applyFill="1" applyProtection="1">
      <protection locked="0"/>
    </xf>
    <xf numFmtId="1" fontId="19" fillId="0" borderId="0" xfId="17405" applyFont="1" applyAlignment="1" applyProtection="1">
      <alignment horizontal="center"/>
      <protection locked="0"/>
    </xf>
    <xf numFmtId="2" fontId="66" fillId="0" borderId="0" xfId="17405" applyNumberFormat="1" applyFont="1"/>
    <xf numFmtId="2" fontId="11" fillId="3" borderId="0" xfId="17405" applyNumberFormat="1" applyFont="1" applyFill="1"/>
    <xf numFmtId="1" fontId="11" fillId="0" borderId="0" xfId="17405" applyFont="1" applyProtection="1">
      <protection locked="0"/>
    </xf>
    <xf numFmtId="0" fontId="11" fillId="0" borderId="0" xfId="0" applyFont="1"/>
    <xf numFmtId="1" fontId="11" fillId="0" borderId="0" xfId="17405" applyFont="1" applyAlignment="1" applyProtection="1">
      <alignment horizontal="right"/>
      <protection locked="0"/>
    </xf>
    <xf numFmtId="2" fontId="11" fillId="0" borderId="0" xfId="17405" applyNumberFormat="1" applyFont="1" applyProtection="1">
      <protection locked="0"/>
    </xf>
    <xf numFmtId="1" fontId="66" fillId="0" borderId="0" xfId="17405" applyFont="1" applyProtection="1">
      <protection locked="0"/>
    </xf>
    <xf numFmtId="1" fontId="11" fillId="2" borderId="0" xfId="17405" applyFont="1" applyFill="1" applyProtection="1">
      <protection locked="0"/>
    </xf>
    <xf numFmtId="17" fontId="11" fillId="2" borderId="0" xfId="17405" applyNumberFormat="1" applyFont="1" applyFill="1" applyProtection="1">
      <protection locked="0"/>
    </xf>
    <xf numFmtId="1" fontId="11" fillId="0" borderId="0" xfId="17405" applyFont="1" applyAlignment="1" applyProtection="1">
      <alignment horizontal="center"/>
      <protection locked="0"/>
    </xf>
    <xf numFmtId="2" fontId="66" fillId="3" borderId="0" xfId="17405" applyNumberFormat="1" applyFont="1" applyFill="1"/>
    <xf numFmtId="1" fontId="220" fillId="51" borderId="0" xfId="17405" applyFont="1" applyFill="1" applyAlignment="1" applyProtection="1">
      <alignment horizontal="center" vertical="center"/>
      <protection locked="0"/>
    </xf>
    <xf numFmtId="1" fontId="32" fillId="0" borderId="25" xfId="138" applyNumberFormat="1" applyFont="1" applyBorder="1" applyAlignment="1">
      <alignment vertical="top" wrapText="1"/>
    </xf>
    <xf numFmtId="4" fontId="5" fillId="0" borderId="84" xfId="138" applyNumberFormat="1" applyFont="1" applyBorder="1" applyAlignment="1">
      <alignment horizontal="center" vertical="top" wrapText="1"/>
    </xf>
    <xf numFmtId="4" fontId="19" fillId="16" borderId="85" xfId="138" applyNumberFormat="1" applyFont="1" applyFill="1" applyBorder="1" applyAlignment="1">
      <alignment horizontal="center" vertical="top"/>
    </xf>
    <xf numFmtId="4" fontId="19" fillId="3" borderId="83" xfId="3" applyNumberFormat="1" applyFont="1" applyFill="1" applyBorder="1" applyAlignment="1">
      <alignment horizontal="right"/>
    </xf>
    <xf numFmtId="4" fontId="19" fillId="3" borderId="85" xfId="3" applyNumberFormat="1" applyFont="1" applyFill="1" applyBorder="1" applyAlignment="1">
      <alignment horizontal="right"/>
    </xf>
    <xf numFmtId="0" fontId="163" fillId="0" borderId="0" xfId="3" applyFont="1" applyAlignment="1">
      <alignment horizontal="center"/>
    </xf>
    <xf numFmtId="0" fontId="164" fillId="0" borderId="0" xfId="3" applyFont="1" applyAlignment="1">
      <alignment horizontal="center"/>
    </xf>
    <xf numFmtId="0" fontId="139" fillId="0" borderId="0" xfId="0" applyFont="1" applyAlignment="1">
      <alignment horizontal="center"/>
    </xf>
    <xf numFmtId="0" fontId="17" fillId="0" borderId="17" xfId="0" applyFont="1" applyBorder="1" applyAlignment="1" applyProtection="1">
      <alignment horizontal="center"/>
      <protection locked="0"/>
    </xf>
    <xf numFmtId="0" fontId="17" fillId="0" borderId="0" xfId="0" applyFont="1" applyAlignment="1" applyProtection="1">
      <alignment horizontal="center"/>
      <protection locked="0"/>
    </xf>
    <xf numFmtId="0" fontId="47" fillId="0" borderId="23" xfId="8" applyFont="1" applyBorder="1" applyAlignment="1" applyProtection="1">
      <alignment horizontal="center"/>
      <protection locked="0"/>
    </xf>
    <xf numFmtId="0" fontId="47" fillId="0" borderId="22" xfId="8" applyFont="1" applyBorder="1" applyAlignment="1" applyProtection="1">
      <alignment horizontal="center"/>
      <protection locked="0"/>
    </xf>
    <xf numFmtId="0" fontId="47" fillId="0" borderId="24" xfId="8" applyFont="1" applyBorder="1" applyAlignment="1" applyProtection="1">
      <alignment horizontal="center"/>
      <protection locked="0"/>
    </xf>
    <xf numFmtId="0" fontId="27" fillId="0" borderId="20" xfId="8" applyFont="1" applyBorder="1" applyAlignment="1" applyProtection="1">
      <alignment horizontal="center" vertical="center"/>
      <protection locked="0"/>
    </xf>
    <xf numFmtId="0" fontId="27" fillId="0" borderId="13" xfId="8" applyFont="1" applyBorder="1" applyAlignment="1" applyProtection="1">
      <alignment horizontal="center" vertical="center"/>
      <protection locked="0"/>
    </xf>
    <xf numFmtId="0" fontId="27" fillId="0" borderId="0" xfId="8" applyFont="1" applyAlignment="1" applyProtection="1">
      <alignment horizontal="center" vertical="center"/>
      <protection locked="0"/>
    </xf>
    <xf numFmtId="0" fontId="27" fillId="0" borderId="19" xfId="8" applyFont="1" applyBorder="1" applyAlignment="1" applyProtection="1">
      <alignment horizontal="center" vertical="center"/>
      <protection locked="0"/>
    </xf>
    <xf numFmtId="0" fontId="36" fillId="0" borderId="0" xfId="3" applyFont="1" applyAlignment="1" applyProtection="1">
      <alignment horizontal="left"/>
      <protection locked="0"/>
    </xf>
    <xf numFmtId="0" fontId="55" fillId="0" borderId="0" xfId="8" applyFont="1" applyAlignment="1" applyProtection="1">
      <alignment horizontal="left"/>
      <protection locked="0"/>
    </xf>
    <xf numFmtId="0" fontId="117" fillId="0" borderId="14" xfId="0" applyFont="1" applyBorder="1" applyAlignment="1">
      <alignment horizontal="center" vertical="center"/>
    </xf>
    <xf numFmtId="0" fontId="116" fillId="0" borderId="0" xfId="0" applyFont="1" applyAlignment="1">
      <alignment horizontal="left" vertical="center"/>
    </xf>
    <xf numFmtId="0" fontId="17" fillId="0" borderId="0" xfId="3" applyFont="1" applyAlignment="1" applyProtection="1">
      <alignment horizontal="left" vertical="top" wrapText="1"/>
      <protection locked="0"/>
    </xf>
    <xf numFmtId="0" fontId="37" fillId="0" borderId="0" xfId="3" applyFont="1" applyAlignment="1" applyProtection="1">
      <alignment horizontal="left" vertical="top" wrapText="1"/>
      <protection locked="0"/>
    </xf>
    <xf numFmtId="0" fontId="121" fillId="0" borderId="0" xfId="0" applyFont="1" applyAlignment="1">
      <alignment horizontal="center"/>
    </xf>
    <xf numFmtId="0" fontId="112" fillId="7" borderId="0" xfId="7" applyFont="1" applyFill="1" applyAlignment="1">
      <alignment horizontal="center" vertical="top" wrapText="1"/>
    </xf>
    <xf numFmtId="1" fontId="18" fillId="0" borderId="0" xfId="10" applyFont="1" applyAlignment="1" applyProtection="1">
      <alignment horizontal="left" vertical="top" wrapText="1"/>
      <protection locked="0"/>
    </xf>
    <xf numFmtId="0" fontId="0" fillId="0" borderId="0" xfId="0" applyAlignment="1">
      <alignment vertical="top" wrapText="1"/>
    </xf>
  </cellXfs>
  <cellStyles count="17406">
    <cellStyle name="20% - Accent1 2" xfId="21" xr:uid="{6399DE74-D063-415D-868E-6E55D65A2559}"/>
    <cellStyle name="20% - Accent2 2" xfId="22" xr:uid="{2B45C5A1-F2FD-433C-863A-701AE3B7A0BB}"/>
    <cellStyle name="20% - Accent3 2" xfId="23" xr:uid="{23EA0F19-9A02-4B78-9C1E-2F8178A992F4}"/>
    <cellStyle name="20% - Accent4 2" xfId="24" xr:uid="{1C088AFC-F1F5-4E22-A5D4-811E1E6FEE5B}"/>
    <cellStyle name="20% - Accent5 2" xfId="25" xr:uid="{69A63987-A748-4D8E-AA25-F239BEE37BF0}"/>
    <cellStyle name="20% - Accent6 2" xfId="26" xr:uid="{AD9AFF0F-8D27-419B-9F63-9E0AD6B8B659}"/>
    <cellStyle name="20% - 强调文字颜色 1 2" xfId="27" xr:uid="{28CE5052-845B-4D49-8978-97F3668A53DC}"/>
    <cellStyle name="40% - Accent1 2" xfId="28" xr:uid="{254B5D0C-0568-429C-8ED4-C3AFAE36E818}"/>
    <cellStyle name="40% - Accent2 2" xfId="29" xr:uid="{32E0E312-2949-4949-BA5A-ED170A5913C8}"/>
    <cellStyle name="40% - Accent3 2" xfId="30" xr:uid="{9876AAD0-BA54-488F-B78A-9D874A864E4C}"/>
    <cellStyle name="40% - Accent4 2" xfId="31" xr:uid="{E5D5AD20-1D24-4644-82E2-D09D3E3A4AD5}"/>
    <cellStyle name="40% - Accent5 2" xfId="32" xr:uid="{758548C7-351F-43EC-BDF9-A5E2AFB6A461}"/>
    <cellStyle name="40% - Accent6 2" xfId="33" xr:uid="{50104414-8A44-4E60-BFBE-1F08693AE5A8}"/>
    <cellStyle name="60% - Accent1 2" xfId="34" xr:uid="{E156D5EF-8262-4539-B798-7FDD55634FE9}"/>
    <cellStyle name="60% - Accent2 2" xfId="35" xr:uid="{9E67F533-988B-4CCF-AF56-A27E43F016AA}"/>
    <cellStyle name="60% - Accent3 2" xfId="36" xr:uid="{C18E59E8-9DD4-42B1-9C08-FCF26575175A}"/>
    <cellStyle name="60% - Accent4 2" xfId="37" xr:uid="{34BB0740-6199-484B-8112-BAFA05D4DF29}"/>
    <cellStyle name="60% - Accent5 2" xfId="38" xr:uid="{D7ADF924-43A7-47BA-9606-32951901B836}"/>
    <cellStyle name="60% - Accent6 2" xfId="39" xr:uid="{B46CB968-31DB-4434-BDC2-03EBBAFC5064}"/>
    <cellStyle name="Accent1 2" xfId="40" xr:uid="{DD709B1D-3F7F-4288-A4A5-199CF2398BF5}"/>
    <cellStyle name="Accent2 2" xfId="41" xr:uid="{603031AE-A773-41FF-B98B-2C4F820BD20B}"/>
    <cellStyle name="Accent3 2" xfId="42" xr:uid="{A73410A4-FD9A-4BA7-BD03-CD84A6746D7C}"/>
    <cellStyle name="Accent4 2" xfId="43" xr:uid="{D9A146EE-540D-4F98-9A8B-25B3CD5E3E44}"/>
    <cellStyle name="Accent5 2" xfId="44" xr:uid="{6D71D06D-5920-4860-9708-626962D354FA}"/>
    <cellStyle name="Accent6 2" xfId="45" xr:uid="{A8F0ACB5-7F57-42B6-992E-F17F16841596}"/>
    <cellStyle name="Bad 2" xfId="46" xr:uid="{023C588C-8C3F-470B-8240-48EA265D696D}"/>
    <cellStyle name="Bad 3" xfId="8937" xr:uid="{9ED6740D-CB06-47BF-AA77-90E616AE102A}"/>
    <cellStyle name="Calculation 2" xfId="47" xr:uid="{D2FF0976-3D1B-4056-AD54-7A4188845B01}"/>
    <cellStyle name="Calculation 2 2" xfId="8938" xr:uid="{44C22D77-B498-4522-9395-DC5167A66662}"/>
    <cellStyle name="Calculation 2 2 2" xfId="8978" xr:uid="{9D94E9C5-5849-467A-AC87-67A446CCA8EE}"/>
    <cellStyle name="Calculation 2 2 3" xfId="8967" xr:uid="{B1D69850-26FE-45B5-8532-0B06DA4B61CB}"/>
    <cellStyle name="Calculation 2 2 4" xfId="17386" xr:uid="{02586DD3-44BA-464D-A31C-4E6C326CFABC}"/>
    <cellStyle name="Calculation 2 3" xfId="8939" xr:uid="{6917C63A-419D-43FC-A420-AF9177BAF0E6}"/>
    <cellStyle name="Calculation 2 3 2" xfId="8979" xr:uid="{36C559FD-D0C3-4988-B820-4EB3D8C4AFBB}"/>
    <cellStyle name="Calculation 2 3 3" xfId="8966" xr:uid="{BDCF817A-0744-4C62-9170-565E60F6D187}"/>
    <cellStyle name="Calculation 2 3 4" xfId="17387" xr:uid="{1069E8E5-3620-42AA-8470-7C3088373715}"/>
    <cellStyle name="Calculation 2 4" xfId="8969" xr:uid="{763CF035-D6BD-467C-AA5C-3263B7A43D91}"/>
    <cellStyle name="Calculation 2 5" xfId="8974" xr:uid="{D2A871DC-03F0-4EE3-B309-22B945CD6EA3}"/>
    <cellStyle name="Calculation 2 6" xfId="8995" xr:uid="{E8612959-5349-4CCE-ACF4-E354DCD2BCD3}"/>
    <cellStyle name="Check Cell 2" xfId="48" xr:uid="{B9DBA2BC-EBF9-459B-AAB0-B7AEC67ED610}"/>
    <cellStyle name="Comma" xfId="1" builtinId="3"/>
    <cellStyle name="Comma 2" xfId="49" xr:uid="{A969FF77-8B89-480C-8688-3FA41DE4568A}"/>
    <cellStyle name="Comma 2 2" xfId="50" xr:uid="{6A27E160-00CC-4C9F-918A-85647AB596DF}"/>
    <cellStyle name="Comma 2 2 2" xfId="51" xr:uid="{E5EF51EA-BBE5-4A4F-932D-B4A06FFBB13B}"/>
    <cellStyle name="Comma 2 2 2 2" xfId="52" xr:uid="{124D7A6E-F310-4102-B621-89B2B526A2E7}"/>
    <cellStyle name="Comma 2 2 2 2 2" xfId="8998" xr:uid="{0BF27297-0891-42DA-98DC-76C0C140AAD6}"/>
    <cellStyle name="Comma 2 2 2 3" xfId="53" xr:uid="{65C67540-F09E-4999-BBC2-AC02DB16A05C}"/>
    <cellStyle name="Comma 2 2 2 3 2" xfId="8999" xr:uid="{A2C02EC8-8382-48E7-90FA-D940DDEFBF27}"/>
    <cellStyle name="Comma 2 2 2 4" xfId="54" xr:uid="{B0722D11-6D95-41AF-8A19-6562D43B093C}"/>
    <cellStyle name="Comma 2 2 2 5" xfId="55" xr:uid="{645D39D7-8803-45BD-AC2A-ABE74F849750}"/>
    <cellStyle name="Comma 2 2 2 5 2" xfId="9000" xr:uid="{BC3058BF-6402-4CDD-AB80-9971676B5BFD}"/>
    <cellStyle name="Comma 2 2 2 6" xfId="56" xr:uid="{2A6FBBFA-EE35-4E9C-A6DF-C60496E10278}"/>
    <cellStyle name="Comma 2 2 2 7" xfId="8997" xr:uid="{244E1653-66E1-4648-90B2-08010DD2C0EF}"/>
    <cellStyle name="Comma 2 2 3" xfId="57" xr:uid="{1E049E96-4534-4B2A-A89B-8FA780CEE32B}"/>
    <cellStyle name="Comma 2 2 3 2" xfId="58" xr:uid="{E61B394A-EF3E-4A0C-B892-79A2942B36EE}"/>
    <cellStyle name="Comma 2 2 3 2 2" xfId="9002" xr:uid="{94A5611E-5900-45E4-A1BE-823C29361651}"/>
    <cellStyle name="Comma 2 2 3 3" xfId="59" xr:uid="{497C043D-0CD9-4AB7-B563-2BDC281A90C8}"/>
    <cellStyle name="Comma 2 2 3 3 2" xfId="9003" xr:uid="{AE329C0F-F772-433D-A623-83F9D0CE1FCF}"/>
    <cellStyle name="Comma 2 2 3 4" xfId="60" xr:uid="{AFC94CB3-5569-4108-8C59-B154E20E2C61}"/>
    <cellStyle name="Comma 2 2 3 5" xfId="61" xr:uid="{FC6F20C1-249C-430A-8E3B-60A960CF144C}"/>
    <cellStyle name="Comma 2 2 3 5 2" xfId="9004" xr:uid="{2B8961D9-645D-4B7C-A0BC-60A53B2D1F17}"/>
    <cellStyle name="Comma 2 2 3 6" xfId="62" xr:uid="{3642B5A2-88BE-45F1-8D42-2AFC684A6A17}"/>
    <cellStyle name="Comma 2 2 3 7" xfId="9001" xr:uid="{E652FD1D-33F0-47FA-8C10-BBD1460C0BDA}"/>
    <cellStyle name="Comma 2 2 4" xfId="63" xr:uid="{4A1DA9EE-AC77-4049-8372-67E1D5D2E50B}"/>
    <cellStyle name="Comma 2 2 4 2" xfId="64" xr:uid="{49F4B3B0-DE57-48F3-84B4-77747437D187}"/>
    <cellStyle name="Comma 2 2 4 3" xfId="65" xr:uid="{B309F23B-A7DF-494A-BFF5-A2B856C5E05D}"/>
    <cellStyle name="Comma 2 2 4 4" xfId="66" xr:uid="{CE365BC0-E7CF-49DA-9708-4FAF3AB950A2}"/>
    <cellStyle name="Comma 2 2 4 4 2" xfId="9005" xr:uid="{A2666909-9FDD-4D76-82EA-BB048D596597}"/>
    <cellStyle name="Comma 2 2 4 5" xfId="67" xr:uid="{28F9F850-D0EF-4085-A81F-B769D0BB0AF9}"/>
    <cellStyle name="Comma 2 2 5" xfId="68" xr:uid="{CAE3294E-185C-4841-A755-1A8F265301A6}"/>
    <cellStyle name="Comma 2 2 5 2" xfId="9006" xr:uid="{D0E0B73B-2152-4347-89AC-D1A2EF126159}"/>
    <cellStyle name="Comma 2 2 6" xfId="69" xr:uid="{925E34B4-4FBF-403D-B87E-11E4B83F76E2}"/>
    <cellStyle name="Comma 2 2 6 2" xfId="9007" xr:uid="{07941FE2-B9FA-413A-B2F1-CCC9A42FCAD8}"/>
    <cellStyle name="Comma 2 2 7" xfId="70" xr:uid="{6AE18A5A-FA36-4475-BCF8-53C19F1E167C}"/>
    <cellStyle name="Comma 2 2 8" xfId="8996" xr:uid="{C83DCAF5-E94C-413B-9381-48D471BBEE57}"/>
    <cellStyle name="Comma 2 3" xfId="71" xr:uid="{C105EB17-0D22-44D4-A4F5-098C6AAB2878}"/>
    <cellStyle name="Comma 2 3 2" xfId="72" xr:uid="{60BCE7A1-134E-4A5F-A068-0DB30C7BBBF1}"/>
    <cellStyle name="Comma 2 3 2 2" xfId="9009" xr:uid="{944A29B5-D46B-48E8-993E-13AFCFD6E09D}"/>
    <cellStyle name="Comma 2 3 3" xfId="73" xr:uid="{BA877025-61B1-4534-8B9A-31FF703712D1}"/>
    <cellStyle name="Comma 2 3 4" xfId="9008" xr:uid="{BF3B51D9-5428-4A89-A3F7-399F621ACCBD}"/>
    <cellStyle name="Comma 2 32" xfId="74" xr:uid="{DA1F0B84-908E-4A75-A9F0-2B923F10B4C1}"/>
    <cellStyle name="Comma 2 32 2" xfId="75" xr:uid="{B1ED8AEC-DFCF-4CF0-BC9E-48F0C5BC3021}"/>
    <cellStyle name="Comma 2 32 2 2" xfId="9011" xr:uid="{AAB9A8BF-DC4D-429F-A047-C47A6BC3EA3B}"/>
    <cellStyle name="Comma 2 32 3" xfId="9010" xr:uid="{0528B958-BB47-4EE3-89FF-F33CA81CECDA}"/>
    <cellStyle name="Comma 2 4" xfId="76" xr:uid="{8C153A6C-32E4-4B6F-A111-1F941DA454AE}"/>
    <cellStyle name="Comma 2 4 2" xfId="9012" xr:uid="{E5F5B279-CA01-4FEA-800E-CCD9669005C7}"/>
    <cellStyle name="Comma 3" xfId="77" xr:uid="{65548CB3-5113-4FA1-87BD-FFF4BECBF998}"/>
    <cellStyle name="Comma 3 2" xfId="78" xr:uid="{E44D86B9-6F5B-4D32-860F-16953923BB6A}"/>
    <cellStyle name="Comma 3 2 2" xfId="79" xr:uid="{3C08A94E-24B1-40C8-A760-9E892A6BF34F}"/>
    <cellStyle name="Comma 3 2 2 2" xfId="9015" xr:uid="{AB013999-01C9-40B1-8D00-1899F1C18DEF}"/>
    <cellStyle name="Comma 3 2 3" xfId="80" xr:uid="{A37EE727-1CD9-4822-B201-13F1F28F4546}"/>
    <cellStyle name="Comma 3 2 3 2" xfId="9016" xr:uid="{451A4C06-2107-4058-A0C1-5D3ABFD48AF2}"/>
    <cellStyle name="Comma 3 2 4" xfId="9014" xr:uid="{3B81BE36-3B79-48FC-989E-9721575BF545}"/>
    <cellStyle name="Comma 3 3" xfId="81" xr:uid="{4B8E72FC-A4E9-4C4F-97D1-C5F0D4C2F254}"/>
    <cellStyle name="Comma 3 3 2" xfId="82" xr:uid="{0A81D1B5-8682-45C8-A728-0A1E982CDBD2}"/>
    <cellStyle name="Comma 3 3 2 2" xfId="9018" xr:uid="{1901FB24-65D4-45BD-BC2F-0CD561007C41}"/>
    <cellStyle name="Comma 3 3 3" xfId="83" xr:uid="{D6C9FC33-8BDC-4C7E-955F-CE446F98225A}"/>
    <cellStyle name="Comma 3 3 3 2" xfId="9019" xr:uid="{083CD8F3-5648-4C0D-986D-6291A9E809BB}"/>
    <cellStyle name="Comma 3 3 4" xfId="9017" xr:uid="{BC8A7D6C-A20F-430E-BDD5-68F897926B19}"/>
    <cellStyle name="Comma 3 4" xfId="84" xr:uid="{D4A4552A-A766-4647-A03D-9DC7A57CE1B4}"/>
    <cellStyle name="Comma 3 4 2" xfId="9020" xr:uid="{90E05784-311E-41EA-B3F6-1A6A617E675E}"/>
    <cellStyle name="Comma 3 5" xfId="85" xr:uid="{3E57C508-94CD-45EA-8269-084606488A0E}"/>
    <cellStyle name="Comma 3 6" xfId="9013" xr:uid="{9C698F18-36BA-496D-A40B-E441DA587F05}"/>
    <cellStyle name="Comma 4" xfId="86" xr:uid="{76296B42-92FE-4FBA-A499-5C87A47E4076}"/>
    <cellStyle name="Comma 4 2" xfId="87" xr:uid="{957485A6-5421-4EFB-8740-571995C96A04}"/>
    <cellStyle name="Comma 4 2 2" xfId="88" xr:uid="{365DA699-17FF-4419-B100-9C3B8BB6F14C}"/>
    <cellStyle name="Comma 4 2 2 2" xfId="9023" xr:uid="{BFBA388C-352D-4332-8EE4-F813365845CF}"/>
    <cellStyle name="Comma 4 2 3" xfId="89" xr:uid="{6CD85FE7-024C-4065-A2C3-443E883F598B}"/>
    <cellStyle name="Comma 4 2 3 2" xfId="9024" xr:uid="{97A51BD1-5151-4271-B81E-97386D6F1AEC}"/>
    <cellStyle name="Comma 4 2 4" xfId="9022" xr:uid="{2ACF3C93-C0EF-4836-8023-B4BA347E16F7}"/>
    <cellStyle name="Comma 4 3" xfId="90" xr:uid="{882FAF20-7220-426F-9A76-A87243AB6660}"/>
    <cellStyle name="Comma 4 3 2" xfId="91" xr:uid="{A10B77E5-4F6A-438A-98B4-CDC5F91058B6}"/>
    <cellStyle name="Comma 4 3 2 2" xfId="9026" xr:uid="{F4C56574-8660-475B-96CE-461E2D463ED5}"/>
    <cellStyle name="Comma 4 3 3" xfId="92" xr:uid="{6CEB6743-3369-4D97-BBD2-144703510CF4}"/>
    <cellStyle name="Comma 4 3 3 2" xfId="9027" xr:uid="{27AF9504-FBD0-40BD-8C69-8FD941441F0C}"/>
    <cellStyle name="Comma 4 3 4" xfId="9025" xr:uid="{D5934B55-C3C8-4E59-8538-DEDD35BEC2C1}"/>
    <cellStyle name="Comma 4 4" xfId="93" xr:uid="{D17A7665-49ED-46FF-81E6-4B29588554DE}"/>
    <cellStyle name="Comma 4 4 2" xfId="9028" xr:uid="{B1977547-ED1B-483B-979E-9DD17E1549BE}"/>
    <cellStyle name="Comma 4 5" xfId="94" xr:uid="{76C16F6E-8D7A-4DB8-9243-5AEA109EDCCA}"/>
    <cellStyle name="Comma 4 5 2" xfId="9029" xr:uid="{735482D1-E124-4153-95BD-0443CC374DE8}"/>
    <cellStyle name="Comma 4 6" xfId="9021" xr:uid="{EC33B60F-83C0-40F8-8CD8-2B991DCF86B5}"/>
    <cellStyle name="Comma 5" xfId="95" xr:uid="{316493F1-EA0D-4129-9903-4B927FC83D8A}"/>
    <cellStyle name="Comma 5 2" xfId="96" xr:uid="{B69ED6C1-BDC6-4467-8C8D-4028D3984AF8}"/>
    <cellStyle name="Comma 5 2 2" xfId="9031" xr:uid="{577D35F6-DA58-47E0-938E-B8F13406328B}"/>
    <cellStyle name="Comma 5 3" xfId="97" xr:uid="{CB64DFBE-4D11-45A2-B8FB-00E7B937D111}"/>
    <cellStyle name="Comma 5 3 2" xfId="9032" xr:uid="{F4481C2E-BB22-4F80-817F-2E89D2D58264}"/>
    <cellStyle name="Comma 5 4" xfId="9030" xr:uid="{0C7D1234-8650-4399-9431-5F24423A5084}"/>
    <cellStyle name="Comma 6" xfId="98" xr:uid="{0A5B736B-3ABF-41D8-BE21-FF96E26595C1}"/>
    <cellStyle name="Comma 6 2" xfId="9033" xr:uid="{2029B94A-0D82-4933-964D-742E8E645760}"/>
    <cellStyle name="Comma 7" xfId="99" xr:uid="{524C5331-40E2-47AA-B601-7C727E65052A}"/>
    <cellStyle name="Comma 7 2" xfId="9034" xr:uid="{9DAD44B6-7E5C-40FA-9DF7-3D88464CB749}"/>
    <cellStyle name="Comma 8" xfId="100" xr:uid="{3E5EDB15-C481-4175-BAAA-B9C36617B440}"/>
    <cellStyle name="Currency 2" xfId="16" xr:uid="{F9670E1E-DF58-4BBC-AEFD-81D36C9B5C42}"/>
    <cellStyle name="Currency 2 10" xfId="101" xr:uid="{B011696E-A913-478D-8790-D10CD404ED04}"/>
    <cellStyle name="Currency 2 11" xfId="9035" xr:uid="{742AFBAB-43B9-411C-BB6B-14F85086F2F4}"/>
    <cellStyle name="Currency 2 2" xfId="18" xr:uid="{5121547C-EFF2-429D-9D0A-D670A6887C57}"/>
    <cellStyle name="Currency 2 2 2" xfId="103" xr:uid="{F57C5BDC-23C9-46E6-A27D-B5474B395FAA}"/>
    <cellStyle name="Currency 2 2 3" xfId="104" xr:uid="{5B0976FA-CD86-402C-8074-E1D51DF1827D}"/>
    <cellStyle name="Currency 2 2 4" xfId="105" xr:uid="{88B4457C-B1FC-4222-A515-52A0916DD827}"/>
    <cellStyle name="Currency 2 2 5" xfId="106" xr:uid="{4A8E88CF-44E8-437C-88F8-737B85CEAA22}"/>
    <cellStyle name="Currency 2 2 5 2" xfId="9037" xr:uid="{BFC3FF97-272F-4022-88D3-04B45C0283FB}"/>
    <cellStyle name="Currency 2 2 6" xfId="8940" xr:uid="{9607A18F-4554-4188-9678-7CCE49933E79}"/>
    <cellStyle name="Currency 2 2 6 2" xfId="17388" xr:uid="{FF471A3B-E9F7-41F4-AF6B-7828A8A53D38}"/>
    <cellStyle name="Currency 2 2 7" xfId="102" xr:uid="{F87D4E3B-602B-49F1-A4F0-6A3F61205FB4}"/>
    <cellStyle name="Currency 2 2 8" xfId="9036" xr:uid="{ED793BDE-DB98-4086-AC1F-FE31E359A305}"/>
    <cellStyle name="Currency 2 3" xfId="107" xr:uid="{C08BF69F-5FCA-4DB7-B611-0801D5AD30A9}"/>
    <cellStyle name="Currency 2 3 2" xfId="108" xr:uid="{47292E8B-3F2B-4B16-97B4-67D7379A8E49}"/>
    <cellStyle name="Currency 2 3 3" xfId="109" xr:uid="{29140514-A445-49D2-947D-C77194001231}"/>
    <cellStyle name="Currency 2 4" xfId="110" xr:uid="{E2F3DEE8-517B-43F6-B02A-59D01D066B2E}"/>
    <cellStyle name="Currency 2 4 2" xfId="9038" xr:uid="{A173C5E5-C847-4969-8C25-11959844216A}"/>
    <cellStyle name="Currency 2 5" xfId="111" xr:uid="{B58A4ECB-764B-46B8-A8F7-6C6BB69CCFA0}"/>
    <cellStyle name="Currency 2 5 2" xfId="112" xr:uid="{E59FA3FF-5840-497C-BE7F-11280B6419E7}"/>
    <cellStyle name="Currency 2 5 2 2" xfId="113" xr:uid="{98724D3A-336A-4A59-98D2-03F90733E5DF}"/>
    <cellStyle name="Currency 2 6" xfId="114" xr:uid="{6E3A4D6B-4F09-45F6-89AF-C175987245AF}"/>
    <cellStyle name="Currency 2 6 2" xfId="115" xr:uid="{04B31F48-54BA-4642-9829-2961C5930770}"/>
    <cellStyle name="Currency 2 6 3" xfId="116" xr:uid="{4762756E-AC49-4FF1-B1A4-D4DEA640B048}"/>
    <cellStyle name="Currency 2 6 4" xfId="117" xr:uid="{87A3A6EC-8E08-4424-9769-E284490987D7}"/>
    <cellStyle name="Currency 2 6 5" xfId="118" xr:uid="{DD2C0E51-5609-418B-92E2-B4FD35F14593}"/>
    <cellStyle name="Currency 2 6 5 2" xfId="9039" xr:uid="{F55D13D2-E4AF-4C66-8221-607C9A31A906}"/>
    <cellStyle name="Currency 2 7" xfId="119" xr:uid="{9C217A75-8F0D-4154-8F08-9217B22D18E3}"/>
    <cellStyle name="Currency 2 7 2" xfId="9040" xr:uid="{1C1DCA33-181C-4BEC-A2A6-C5C6E23BE4CD}"/>
    <cellStyle name="Currency 2 8" xfId="120" xr:uid="{9CC4B5F5-CE87-466E-A0EB-72D1EA0CD8C4}"/>
    <cellStyle name="Currency 2 9" xfId="121" xr:uid="{FCC6EF08-35B1-483A-B8AD-630BB0F2C938}"/>
    <cellStyle name="Currency 2 9 2" xfId="9041" xr:uid="{B9F6516C-14E5-4EB7-ACC9-4BD6C039D72A}"/>
    <cellStyle name="Currency 3" xfId="122" xr:uid="{8DAE9265-221C-4BB7-A7F3-46268E006CA6}"/>
    <cellStyle name="Currency 4" xfId="123" xr:uid="{6AB584E6-7212-4B0C-9913-EABD03777626}"/>
    <cellStyle name="Currency 4 2" xfId="9042" xr:uid="{08681268-D0C5-4120-8987-96725A91B344}"/>
    <cellStyle name="Currency 5" xfId="8941" xr:uid="{80E0F296-DBE0-4B3C-A6BC-8A0BD60842B6}"/>
    <cellStyle name="Currency 5 2" xfId="17389" xr:uid="{B69972E1-09CB-40C0-895A-976E41BEFA8F}"/>
    <cellStyle name="Currency_Estimate" xfId="2" xr:uid="{00000000-0005-0000-0000-000001000000}"/>
    <cellStyle name="Excel Built-in Normal" xfId="124" xr:uid="{94EEF0E1-8B19-43EE-8DA3-E78E4B2C18E3}"/>
    <cellStyle name="Explanatory Text 2" xfId="125" xr:uid="{825D6579-C943-4F2F-A6BA-3A97F9FE78DD}"/>
    <cellStyle name="Good 2" xfId="126" xr:uid="{33C65C6C-BF13-4682-A94B-E37DD0895809}"/>
    <cellStyle name="Good 3" xfId="8942" xr:uid="{DEDB7AEA-14C1-45BD-AE2B-C6F8F95F24CE}"/>
    <cellStyle name="Heading 1 2" xfId="127" xr:uid="{DC0292D0-CAF7-4237-A6B4-F468176071F7}"/>
    <cellStyle name="Heading 2 2" xfId="128" xr:uid="{4504DC35-43CE-4A54-ACDF-927985CFAA14}"/>
    <cellStyle name="Heading 3 2" xfId="129" xr:uid="{C06B2BCD-C6F2-4F9C-9EBF-D8ED76398E83}"/>
    <cellStyle name="Heading 4 2" xfId="130" xr:uid="{4EE8602B-E153-4E4D-9793-8F882330D396}"/>
    <cellStyle name="Hyperlink 2" xfId="131" xr:uid="{862A378F-BA55-4BB9-B21C-3AC1801DC21F}"/>
    <cellStyle name="Hyperlink 2 2" xfId="132" xr:uid="{3A8FA349-E09A-43DA-A305-BFD04FC17A1B}"/>
    <cellStyle name="Hyperlink 2 3" xfId="133" xr:uid="{846AA757-594A-4895-AD24-48F711ED9F5F}"/>
    <cellStyle name="Hyperlink 2 4" xfId="8943" xr:uid="{9D5FFA1E-2482-4AE1-9E2F-AB429C0BE82A}"/>
    <cellStyle name="Hyperlink 3" xfId="8944" xr:uid="{130C732B-2330-4AF7-8B3C-A16B5BDBD0BF}"/>
    <cellStyle name="Input 2" xfId="134" xr:uid="{738A0386-AD68-4E2B-A9D1-D987A7F7A4CA}"/>
    <cellStyle name="Input 2 2" xfId="8945" xr:uid="{574DE00E-FDCD-44B7-9484-F02DE9197D9C}"/>
    <cellStyle name="Input 2 2 2" xfId="8980" xr:uid="{95A91D27-0334-4D91-8C88-FAABB70980C9}"/>
    <cellStyle name="Input 2 2 3" xfId="8965" xr:uid="{315192FE-C7AC-4BEC-82E2-197940CC63CD}"/>
    <cellStyle name="Input 2 2 4" xfId="17390" xr:uid="{ED70DA4F-9B2D-4033-9247-877AB69B0234}"/>
    <cellStyle name="Input 2 3" xfId="8946" xr:uid="{5FC87779-7E51-41B0-B1A5-F37940D7C26A}"/>
    <cellStyle name="Input 2 3 2" xfId="8981" xr:uid="{624720BA-986A-46E4-873B-6B3074CA368E}"/>
    <cellStyle name="Input 2 3 3" xfId="8964" xr:uid="{40B6C50A-2D62-4326-AEEB-83D513CA2C03}"/>
    <cellStyle name="Input 2 3 4" xfId="17391" xr:uid="{8B01F537-2DB3-41D8-BA45-6919623FADF6}"/>
    <cellStyle name="Input 2 4" xfId="8972" xr:uid="{C1C23A88-946C-459F-B8AF-7E6EC198A23B}"/>
    <cellStyle name="Input 2 5" xfId="8973" xr:uid="{E9C26F42-667A-4D0E-AC2F-637E05716133}"/>
    <cellStyle name="Input 2 6" xfId="9043" xr:uid="{972413DC-9A87-4F42-AAC0-11F6D45585E9}"/>
    <cellStyle name="Linked Cell 2" xfId="135" xr:uid="{9FF015C0-3E73-423F-AB01-EEA54ED7C02C}"/>
    <cellStyle name="meny_BBITVR96" xfId="136" xr:uid="{257034EA-618C-44D7-AC08-A0F0554BB9EC}"/>
    <cellStyle name="Neutral 2" xfId="137" xr:uid="{9835A7E7-AF5B-47F3-8D00-C4C44AD4106A}"/>
    <cellStyle name="Neutral 3" xfId="8947" xr:uid="{DAF97790-A805-4D96-9686-1F00282C2B27}"/>
    <cellStyle name="Normal" xfId="0" builtinId="0"/>
    <cellStyle name="Normal 10" xfId="138" xr:uid="{37177DA5-F937-47DE-84D8-08BA216C796C}"/>
    <cellStyle name="Normal 10 2" xfId="139" xr:uid="{36051B8A-A92C-4D60-9263-9CC4CAAA6A5A}"/>
    <cellStyle name="Normal 10 2 2" xfId="8948" xr:uid="{CBC04057-7766-4D5B-8F7B-CEFD8565B19D}"/>
    <cellStyle name="Normal 10 2 2 2" xfId="17392" xr:uid="{BAFE6FDA-E9A6-4F44-ACB2-E94D5191A072}"/>
    <cellStyle name="Normal 10 3" xfId="140" xr:uid="{18656A95-2824-4FDC-B22C-CE7E611DD765}"/>
    <cellStyle name="Normal 10 3 2" xfId="141" xr:uid="{0B533121-F304-4866-971E-DDA6EAA79C6E}"/>
    <cellStyle name="Normal 10 3 2 2" xfId="9044" xr:uid="{393652B2-AFE0-40B3-B6D0-54E85037FA0A}"/>
    <cellStyle name="Normal 10 3 3" xfId="142" xr:uid="{D9E7C674-1A55-4070-B29D-918F0D4D4040}"/>
    <cellStyle name="Normal 10 3 4" xfId="143" xr:uid="{9B690127-7176-45D1-BAB1-C4EF07090CDC}"/>
    <cellStyle name="Normal 10 3 4 2" xfId="9045" xr:uid="{86E4855B-388B-40DD-AF3C-FC88A50A0FD4}"/>
    <cellStyle name="Normal 10 4" xfId="144" xr:uid="{796CC8ED-F649-4530-9FD7-5FA12EFCF788}"/>
    <cellStyle name="Normal 10 5" xfId="145" xr:uid="{1717AD29-51DB-4A98-84A7-B71DA08FB52F}"/>
    <cellStyle name="Normal 11" xfId="146" xr:uid="{77228983-EBDB-46D6-8225-C9542105E9F8}"/>
    <cellStyle name="Normal 11 2" xfId="147" xr:uid="{1C6AA957-78BE-4AA3-AABB-94EAF9AB4584}"/>
    <cellStyle name="Normal 11 2 2" xfId="148" xr:uid="{39EC8832-CB87-41B8-AC32-020A4D7D6C23}"/>
    <cellStyle name="Normal 11 2 3" xfId="149" xr:uid="{3AEDC49E-DE5C-4382-82AE-D0B36689D538}"/>
    <cellStyle name="Normal 11 2 4" xfId="150" xr:uid="{7CC52310-44CF-4ED8-BF2D-C5BFBC79B3E2}"/>
    <cellStyle name="Normal 11 3" xfId="151" xr:uid="{4D39347C-9CF9-4AC3-A07E-FF375B5387AA}"/>
    <cellStyle name="Normal 11 4" xfId="152" xr:uid="{1561F632-7E80-4843-BD0A-088A4315996C}"/>
    <cellStyle name="Normal 11 5" xfId="153" xr:uid="{96D44123-D875-4648-BAB2-8C6BE218C921}"/>
    <cellStyle name="Normal 11 6" xfId="154" xr:uid="{0F336821-7768-40C3-83C5-8517388EA4B4}"/>
    <cellStyle name="Normal 116" xfId="155" xr:uid="{73917880-DE0B-4ED4-88CB-8C70F787157C}"/>
    <cellStyle name="Normal 12" xfId="156" xr:uid="{6EB86375-97F1-4E52-9E58-8806BF17975F}"/>
    <cellStyle name="Normal 12 2" xfId="157" xr:uid="{EB8AE814-6A1A-47A8-A120-8F6C2EE900C8}"/>
    <cellStyle name="Normal 12 3" xfId="158" xr:uid="{7DF2CF6E-8514-41A4-B3C0-8BD4D7AD72A3}"/>
    <cellStyle name="Normal 12 4" xfId="159" xr:uid="{E68C2096-5E98-42C5-840A-A12B5854CAD5}"/>
    <cellStyle name="Normal 12 5" xfId="160" xr:uid="{963E1E34-F965-4A8E-B89C-C130DD19719B}"/>
    <cellStyle name="Normal 12 6" xfId="161" xr:uid="{8632A69F-AC65-4E74-BB33-BA747FD8D9E8}"/>
    <cellStyle name="Normal 12 6 2" xfId="9046" xr:uid="{118D5F2F-9F26-4EC1-86D8-FDD49BE24E06}"/>
    <cellStyle name="Normal 123" xfId="162" xr:uid="{4372E630-FBD9-43C5-B539-FDF06C8B2190}"/>
    <cellStyle name="Normal 123 2" xfId="163" xr:uid="{64457BF4-D4FB-4281-87D7-EA4E344DBB8B}"/>
    <cellStyle name="Normal 123 3" xfId="164" xr:uid="{DA3CC7F2-6B28-4B20-BEFC-A4B07D7CEA05}"/>
    <cellStyle name="Normal 123 4" xfId="165" xr:uid="{B178E9F1-744A-4BBD-AEAB-AEFD398C03F4}"/>
    <cellStyle name="Normal 13" xfId="166" xr:uid="{D7FAE941-45DC-485A-A67C-5609C7AC633C}"/>
    <cellStyle name="Normal 13 2" xfId="167" xr:uid="{9B76D12E-A985-4B17-8D9E-57A5C5AA1E6E}"/>
    <cellStyle name="Normal 13 3" xfId="168" xr:uid="{90D64DE7-2FB5-4F53-97E3-C1B14EDD709C}"/>
    <cellStyle name="Normal 13 4" xfId="169" xr:uid="{D504C4DB-3DA2-43CA-8999-D48C872E402F}"/>
    <cellStyle name="Normal 13 5" xfId="170" xr:uid="{F4AB9A08-79BD-48C5-A990-29E3596B2046}"/>
    <cellStyle name="Normal 13 6" xfId="171" xr:uid="{81BD843F-BE3A-40AA-8813-8AB38D545642}"/>
    <cellStyle name="Normal 13 6 2" xfId="9047" xr:uid="{1D37C848-FEF3-40B6-89A9-FCC1159EE854}"/>
    <cellStyle name="Normal 14" xfId="172" xr:uid="{2F1832F8-D4BD-4471-88FD-19C72E28686A}"/>
    <cellStyle name="Normal 14 2" xfId="173" xr:uid="{DCB205D3-CFC8-4216-814C-1F50DB9F301E}"/>
    <cellStyle name="Normal 14 3" xfId="174" xr:uid="{558F03CB-E3F5-45A3-B35B-51382FDE7B27}"/>
    <cellStyle name="Normal 14 4" xfId="175" xr:uid="{1BF12D5D-22C2-4E72-A1BB-3C65C5F32DA1}"/>
    <cellStyle name="Normal 14 4 2" xfId="9049" xr:uid="{7A55D9E2-B351-4A11-8A9F-F213F60FE030}"/>
    <cellStyle name="Normal 14 5" xfId="176" xr:uid="{9E9103C2-027C-4FD0-BAEE-25648958E5C3}"/>
    <cellStyle name="Normal 14 6" xfId="9048" xr:uid="{C038FA00-6EA9-4C24-90BB-DE502C48F683}"/>
    <cellStyle name="Normal 15" xfId="177" xr:uid="{536DB9D1-345E-4587-9CB6-84F03FD7B568}"/>
    <cellStyle name="Normal 15 2" xfId="178" xr:uid="{A53EA5BA-3540-4B2D-B4D3-444765C362BB}"/>
    <cellStyle name="Normal 15 3" xfId="179" xr:uid="{8D2A6B3D-8578-475E-8405-9FE8EC133B00}"/>
    <cellStyle name="Normal 16" xfId="180" xr:uid="{6C9C4B44-8723-40BA-B0CD-205CF5F3E9A9}"/>
    <cellStyle name="Normal 16 2" xfId="181" xr:uid="{6140FDDA-D98F-4258-990A-272675CEBCF7}"/>
    <cellStyle name="Normal 16 2 2" xfId="182" xr:uid="{21DA1803-A4E6-4522-B92C-FA88A315A4D7}"/>
    <cellStyle name="Normal 17" xfId="183" xr:uid="{1DB18EB6-60FC-4BFB-B62A-36636D40240A}"/>
    <cellStyle name="Normal 17 2" xfId="184" xr:uid="{F093FA6A-5BA9-45C5-8294-096C9A6C5C86}"/>
    <cellStyle name="Normal 17 3" xfId="8949" xr:uid="{90DC0409-BBFC-4518-8AC6-5117C05592A6}"/>
    <cellStyle name="Normal 177" xfId="185" xr:uid="{7CC43446-1B1D-4246-8DEE-8A57265CD0CF}"/>
    <cellStyle name="Normal 177 2" xfId="186" xr:uid="{722ABB45-A613-4FFB-8D09-48C712B45325}"/>
    <cellStyle name="Normal 177 3" xfId="187" xr:uid="{21782E19-43D9-44BA-9054-6838CE4BB2B4}"/>
    <cellStyle name="Normal 177 4" xfId="188" xr:uid="{87DCA245-2D08-4872-AF78-6D1FCFBE6040}"/>
    <cellStyle name="Normal 18" xfId="189" xr:uid="{B0D23237-137F-4D4A-9461-BF6C5AF8E601}"/>
    <cellStyle name="Normal 18 2" xfId="8950" xr:uid="{BC75EB67-ABEA-4B4F-91F5-A817D83819DE}"/>
    <cellStyle name="Normal 19" xfId="190" xr:uid="{F1D90CBD-611E-470C-810D-05B43BBD222F}"/>
    <cellStyle name="Normal 2" xfId="9" xr:uid="{00000000-0005-0000-0000-000003000000}"/>
    <cellStyle name="Normal 2 10" xfId="191" xr:uid="{FB65F633-C10E-43A8-A7BC-ABEED9A7B05F}"/>
    <cellStyle name="Normal 2 10 10" xfId="192" xr:uid="{60197E24-8503-441B-BA67-F5AAE1756768}"/>
    <cellStyle name="Normal 2 10 10 2" xfId="193" xr:uid="{0747CD91-44C5-4303-855B-7F44CF79D3BB}"/>
    <cellStyle name="Normal 2 10 10 2 2" xfId="194" xr:uid="{B77DD736-ED89-4607-8EED-1FC405573220}"/>
    <cellStyle name="Normal 2 10 10 2 2 2" xfId="9053" xr:uid="{9AFA9554-8FE1-477E-8E77-680269F83CF0}"/>
    <cellStyle name="Normal 2 10 10 2 3" xfId="195" xr:uid="{60BBFAF5-BB08-45F7-899D-73E66FCB1303}"/>
    <cellStyle name="Normal 2 10 10 2 3 2" xfId="9054" xr:uid="{F1B025EF-0BE0-4C3B-8350-FD2697FEF1A6}"/>
    <cellStyle name="Normal 2 10 10 2 4" xfId="9052" xr:uid="{2BC9FDFF-ACB4-44DD-9A87-974ECF8BDF64}"/>
    <cellStyle name="Normal 2 10 10 3" xfId="196" xr:uid="{8A02115B-0280-4801-8287-04BF4DBF1433}"/>
    <cellStyle name="Normal 2 10 10 3 2" xfId="9055" xr:uid="{F6494C06-895F-466B-ACCC-5FF108337FF0}"/>
    <cellStyle name="Normal 2 10 10 4" xfId="197" xr:uid="{2F3230FC-F81E-4F7D-BADE-533AE078EF71}"/>
    <cellStyle name="Normal 2 10 10 4 2" xfId="9056" xr:uid="{826FDA0C-6A11-48FF-B621-0B83CF637A33}"/>
    <cellStyle name="Normal 2 10 10 5" xfId="9051" xr:uid="{56AF6969-FE0B-410E-B1F5-B8A39CE2AEFA}"/>
    <cellStyle name="Normal 2 10 11" xfId="198" xr:uid="{B9BAF206-461D-4F59-AB36-6F468DBCBAC0}"/>
    <cellStyle name="Normal 2 10 11 2" xfId="199" xr:uid="{E7F9481C-EA0B-41CA-A223-B5959C77B7F3}"/>
    <cellStyle name="Normal 2 10 11 2 2" xfId="200" xr:uid="{B17A1570-8AEA-41B2-BAFE-8FE617E92AFF}"/>
    <cellStyle name="Normal 2 10 11 2 2 2" xfId="9059" xr:uid="{2D95A8E2-1973-4497-B860-1D4065165564}"/>
    <cellStyle name="Normal 2 10 11 2 3" xfId="201" xr:uid="{180A1882-DB9B-4C39-B238-990519861A47}"/>
    <cellStyle name="Normal 2 10 11 2 3 2" xfId="9060" xr:uid="{3D6DF699-D474-41F2-B1FB-ADB01BBAB9F1}"/>
    <cellStyle name="Normal 2 10 11 2 4" xfId="9058" xr:uid="{E58F2DF7-6BC2-4D9E-B86A-0247936E271D}"/>
    <cellStyle name="Normal 2 10 11 3" xfId="202" xr:uid="{A96FC0D7-668E-4917-B3EB-622C361A437D}"/>
    <cellStyle name="Normal 2 10 11 3 2" xfId="9061" xr:uid="{ECB54CBB-348B-445D-83D1-D9BF211880EA}"/>
    <cellStyle name="Normal 2 10 11 4" xfId="203" xr:uid="{AFCE8272-26B3-448E-845C-3C3FFD8A9497}"/>
    <cellStyle name="Normal 2 10 11 4 2" xfId="9062" xr:uid="{A470D354-B28A-4D5B-9EE0-3D22899D6D63}"/>
    <cellStyle name="Normal 2 10 11 5" xfId="9057" xr:uid="{D6525EB5-51CA-4AB0-9430-77B42BB5D8AA}"/>
    <cellStyle name="Normal 2 10 12" xfId="204" xr:uid="{A1BEED63-8448-4190-AAFC-BCC43BBFE95C}"/>
    <cellStyle name="Normal 2 10 12 2" xfId="205" xr:uid="{0DF92D88-0623-4550-BFAD-1DC320068532}"/>
    <cellStyle name="Normal 2 10 12 2 2" xfId="206" xr:uid="{8872E54B-25F5-4E79-85B4-914F03DBF2B2}"/>
    <cellStyle name="Normal 2 10 12 2 2 2" xfId="9065" xr:uid="{FB3BDB53-434C-40BB-B6C1-13E3645FC118}"/>
    <cellStyle name="Normal 2 10 12 2 3" xfId="207" xr:uid="{58075A91-B64E-4367-94A5-0BA9361A14FC}"/>
    <cellStyle name="Normal 2 10 12 2 3 2" xfId="9066" xr:uid="{77A928A7-9EFF-4344-9FD9-BD88EC1101F3}"/>
    <cellStyle name="Normal 2 10 12 2 4" xfId="9064" xr:uid="{6B146DD0-5CA1-42E2-AE54-023E691B9A16}"/>
    <cellStyle name="Normal 2 10 12 3" xfId="208" xr:uid="{2423ECED-5211-46CB-873E-23A3B573970F}"/>
    <cellStyle name="Normal 2 10 12 3 2" xfId="9067" xr:uid="{78DDEFFC-25BB-4CA4-A847-A3BF5CB9FC1A}"/>
    <cellStyle name="Normal 2 10 12 4" xfId="209" xr:uid="{E9193FDB-C11C-4EDD-9072-90DC0A380D0E}"/>
    <cellStyle name="Normal 2 10 12 4 2" xfId="9068" xr:uid="{61891804-E52D-422A-9DEB-CAA8F1B1DA6B}"/>
    <cellStyle name="Normal 2 10 12 5" xfId="9063" xr:uid="{D83C1895-7F97-451D-8DA2-67890966A975}"/>
    <cellStyle name="Normal 2 10 13" xfId="210" xr:uid="{319040AF-38DE-4D68-9D44-B7D66985A226}"/>
    <cellStyle name="Normal 2 10 13 2" xfId="211" xr:uid="{FA416D2A-F56C-4DE9-BFEE-A7F909300693}"/>
    <cellStyle name="Normal 2 10 13 2 2" xfId="212" xr:uid="{43C9489D-84E7-4924-B6BC-E07CA0EE0197}"/>
    <cellStyle name="Normal 2 10 13 2 2 2" xfId="9071" xr:uid="{58389977-2A7D-4FE2-97A9-BFC57B5DFD56}"/>
    <cellStyle name="Normal 2 10 13 2 3" xfId="213" xr:uid="{C5897BA5-87A5-4AA9-B178-1D978C2B809C}"/>
    <cellStyle name="Normal 2 10 13 2 3 2" xfId="9072" xr:uid="{6437D9FE-CC1E-483D-B1B6-519DA7D6E332}"/>
    <cellStyle name="Normal 2 10 13 2 4" xfId="9070" xr:uid="{3D930CD9-1E01-42DD-B5BE-DA3A80ABD811}"/>
    <cellStyle name="Normal 2 10 13 3" xfId="214" xr:uid="{441502CF-1991-4829-B961-1B48B42ECFFD}"/>
    <cellStyle name="Normal 2 10 13 3 2" xfId="9073" xr:uid="{65AA1EC1-60D7-44A8-8C6E-58EE9171D2F1}"/>
    <cellStyle name="Normal 2 10 13 4" xfId="215" xr:uid="{61CA763F-BBEF-4E2E-8BA2-470096038B25}"/>
    <cellStyle name="Normal 2 10 13 4 2" xfId="9074" xr:uid="{E2D89098-87B7-47DF-AFEA-53D9468C35D6}"/>
    <cellStyle name="Normal 2 10 13 5" xfId="9069" xr:uid="{F3D09910-C106-4436-97FE-C9BD3DE0476E}"/>
    <cellStyle name="Normal 2 10 14" xfId="216" xr:uid="{E0E3D18C-D6A7-4013-9C03-A5EFBCE2B627}"/>
    <cellStyle name="Normal 2 10 14 2" xfId="217" xr:uid="{666E9CA5-AF25-409E-996F-3DC21160AB6C}"/>
    <cellStyle name="Normal 2 10 14 2 2" xfId="218" xr:uid="{A56FEC8D-33C0-480A-AF7B-43CEB47518F5}"/>
    <cellStyle name="Normal 2 10 14 2 2 2" xfId="9077" xr:uid="{498BC4DD-3AF8-4847-9CDE-DC3326FA18B9}"/>
    <cellStyle name="Normal 2 10 14 2 3" xfId="219" xr:uid="{1237E660-2E5E-4888-A35D-762B0B0C38D2}"/>
    <cellStyle name="Normal 2 10 14 2 3 2" xfId="9078" xr:uid="{2E2A7AF1-AD71-45D9-8230-33E85AFE74CF}"/>
    <cellStyle name="Normal 2 10 14 2 4" xfId="9076" xr:uid="{99FFA5AF-92B3-41D2-A3E2-A2AD37C72EF0}"/>
    <cellStyle name="Normal 2 10 14 3" xfId="220" xr:uid="{8FF8BF07-8552-454F-8F39-B85D8BAA73BD}"/>
    <cellStyle name="Normal 2 10 14 3 2" xfId="9079" xr:uid="{D5AD2DB6-1C3D-4501-A8D5-74E69D426B01}"/>
    <cellStyle name="Normal 2 10 14 4" xfId="221" xr:uid="{8ED0272E-BFFF-4591-8FC8-7B13DEB1CAE8}"/>
    <cellStyle name="Normal 2 10 14 4 2" xfId="9080" xr:uid="{5AFBE748-0D0C-42D8-8FFF-E3F0F2FAFB24}"/>
    <cellStyle name="Normal 2 10 14 5" xfId="9075" xr:uid="{D4198721-F5D1-451B-82AD-F3D8D43274D6}"/>
    <cellStyle name="Normal 2 10 15" xfId="222" xr:uid="{4D0F141D-C9B5-4D7B-93AA-07BB2B16F06B}"/>
    <cellStyle name="Normal 2 10 15 2" xfId="223" xr:uid="{3D9A3C2E-6230-4B4E-8A7A-960692B7D251}"/>
    <cellStyle name="Normal 2 10 15 2 2" xfId="224" xr:uid="{4CB528B2-A954-4BD8-81FD-914C88A40DAA}"/>
    <cellStyle name="Normal 2 10 15 2 2 2" xfId="9083" xr:uid="{20DB7460-06DA-4CC5-A022-505059C622E0}"/>
    <cellStyle name="Normal 2 10 15 2 3" xfId="225" xr:uid="{982FA23A-6DB0-474F-B487-5120F5470F39}"/>
    <cellStyle name="Normal 2 10 15 2 3 2" xfId="9084" xr:uid="{8EFA94AE-7835-4385-B928-425F09C0E3D1}"/>
    <cellStyle name="Normal 2 10 15 2 4" xfId="9082" xr:uid="{9DC5DCCD-8DB3-4A55-842B-DD735A22D59C}"/>
    <cellStyle name="Normal 2 10 15 3" xfId="226" xr:uid="{1DB704EB-6401-4618-8E18-5C7B1A561813}"/>
    <cellStyle name="Normal 2 10 15 3 2" xfId="9085" xr:uid="{61363C17-85D8-446F-8C02-F32D4CBA85A7}"/>
    <cellStyle name="Normal 2 10 15 4" xfId="227" xr:uid="{C7565F39-4DC6-40A3-BFB7-39FD5D810171}"/>
    <cellStyle name="Normal 2 10 15 4 2" xfId="9086" xr:uid="{D35026F9-FBA8-4F47-B3AC-930863060C39}"/>
    <cellStyle name="Normal 2 10 15 5" xfId="9081" xr:uid="{035D278F-70C9-4106-8DF3-6BB78A79956B}"/>
    <cellStyle name="Normal 2 10 16" xfId="228" xr:uid="{FF056C9F-AB2D-4907-9D59-BA2048274626}"/>
    <cellStyle name="Normal 2 10 16 2" xfId="229" xr:uid="{38EBC878-6A77-4659-A496-5E2D98E72A96}"/>
    <cellStyle name="Normal 2 10 16 2 2" xfId="230" xr:uid="{0432E7F8-C326-4A65-963F-0DEBA9FCDEC5}"/>
    <cellStyle name="Normal 2 10 16 2 2 2" xfId="9089" xr:uid="{7C0FF80A-3340-4C74-92E6-FA4EFD8612B8}"/>
    <cellStyle name="Normal 2 10 16 2 3" xfId="231" xr:uid="{0F62BD6F-81D9-43B6-863B-B7E45F02C1B1}"/>
    <cellStyle name="Normal 2 10 16 2 3 2" xfId="9090" xr:uid="{305E807E-3E4E-46C7-8D29-424DE2DA42F0}"/>
    <cellStyle name="Normal 2 10 16 2 4" xfId="9088" xr:uid="{C24E7DF5-EB4D-468A-B384-119BCE9333AF}"/>
    <cellStyle name="Normal 2 10 16 3" xfId="232" xr:uid="{FB6D1C87-4457-40F4-9709-0EF30BBE1777}"/>
    <cellStyle name="Normal 2 10 16 3 2" xfId="9091" xr:uid="{FE0A40BA-F8DA-4122-8A7B-BF1062AFF6BE}"/>
    <cellStyle name="Normal 2 10 16 4" xfId="233" xr:uid="{C0B2AF14-4CDC-4B32-8817-A1A3E93B5744}"/>
    <cellStyle name="Normal 2 10 16 4 2" xfId="9092" xr:uid="{47768703-09EE-4E1E-AA3F-2B88C77130EB}"/>
    <cellStyle name="Normal 2 10 16 5" xfId="9087" xr:uid="{02B171A0-FBBF-4873-803A-6EDA5274FFFA}"/>
    <cellStyle name="Normal 2 10 17" xfId="234" xr:uid="{01CCBDFC-D95A-4DCF-8DA0-2CE0EC7A5BDB}"/>
    <cellStyle name="Normal 2 10 17 2" xfId="235" xr:uid="{D87D22B1-A20F-46E9-9CE0-B4A92E0BFF38}"/>
    <cellStyle name="Normal 2 10 17 2 2" xfId="236" xr:uid="{E7DFC92A-7DCA-4C78-8CCA-28B3F0F28E72}"/>
    <cellStyle name="Normal 2 10 17 2 2 2" xfId="9095" xr:uid="{6637624E-5DB3-4FAD-984F-0A2E17DA563D}"/>
    <cellStyle name="Normal 2 10 17 2 3" xfId="237" xr:uid="{32218B4B-5EEB-46AC-80BE-2CF3CDAF7455}"/>
    <cellStyle name="Normal 2 10 17 2 3 2" xfId="9096" xr:uid="{08723BB0-C946-4A71-BB5B-B5D748136D55}"/>
    <cellStyle name="Normal 2 10 17 2 4" xfId="9094" xr:uid="{C1433B58-15AE-424B-99E0-A85A49165009}"/>
    <cellStyle name="Normal 2 10 17 3" xfId="238" xr:uid="{81671037-43ED-4B32-A895-32C6440DE5EA}"/>
    <cellStyle name="Normal 2 10 17 3 2" xfId="9097" xr:uid="{F9B9151B-7471-4E43-AE59-CE81C400F527}"/>
    <cellStyle name="Normal 2 10 17 4" xfId="239" xr:uid="{F23FD621-3795-4B6D-BF18-BC289C61F62C}"/>
    <cellStyle name="Normal 2 10 17 4 2" xfId="9098" xr:uid="{FDD9C72E-C0AD-4C7C-84EF-B025488F72E6}"/>
    <cellStyle name="Normal 2 10 17 5" xfId="9093" xr:uid="{9F4C762B-AB66-4F06-AF9C-9B34BC990C1B}"/>
    <cellStyle name="Normal 2 10 18" xfId="240" xr:uid="{9AE3D6F8-4B4E-47B3-BED6-94409C2B1D3F}"/>
    <cellStyle name="Normal 2 10 18 2" xfId="241" xr:uid="{BC87A94F-6F9A-47B6-B80E-9E267D8E4A66}"/>
    <cellStyle name="Normal 2 10 18 2 2" xfId="242" xr:uid="{29A6ECBB-700F-4010-AB46-15B73EF40FC2}"/>
    <cellStyle name="Normal 2 10 18 2 2 2" xfId="9101" xr:uid="{E3B734C7-FC8E-4925-B03D-D83A9E8C1CF7}"/>
    <cellStyle name="Normal 2 10 18 2 3" xfId="243" xr:uid="{931A9FEC-AC4B-47D1-8561-952FC4A02F76}"/>
    <cellStyle name="Normal 2 10 18 2 3 2" xfId="9102" xr:uid="{FDC7A09B-20C9-41EB-A960-50C1EC52DAAF}"/>
    <cellStyle name="Normal 2 10 18 2 4" xfId="9100" xr:uid="{30383385-0E7F-422B-8D33-94D1F23D76E2}"/>
    <cellStyle name="Normal 2 10 18 3" xfId="244" xr:uid="{FD8F531B-E00A-4FA3-ABE8-0147A2CFF9B4}"/>
    <cellStyle name="Normal 2 10 18 3 2" xfId="9103" xr:uid="{8F9F9C1D-AD05-44F2-9257-74D18FF6A365}"/>
    <cellStyle name="Normal 2 10 18 4" xfId="245" xr:uid="{1664404F-7E49-4FC5-B979-7AE8594EA45D}"/>
    <cellStyle name="Normal 2 10 18 4 2" xfId="9104" xr:uid="{5E46A192-BD36-4D3B-953B-50959195AD00}"/>
    <cellStyle name="Normal 2 10 18 5" xfId="9099" xr:uid="{FD06DCA4-C9D0-4A08-B963-6DEDBD8C4040}"/>
    <cellStyle name="Normal 2 10 19" xfId="246" xr:uid="{5A5D45C5-C5BC-40DD-800C-E652932BA82F}"/>
    <cellStyle name="Normal 2 10 19 2" xfId="247" xr:uid="{E9DA5E4A-6B3C-4816-A070-0EE8B9FEFA09}"/>
    <cellStyle name="Normal 2 10 19 2 2" xfId="248" xr:uid="{B908E51C-8F98-4B52-BF4D-A7D4DD895110}"/>
    <cellStyle name="Normal 2 10 19 2 2 2" xfId="9107" xr:uid="{3BED582C-D978-456F-B9E2-54A6E4D6DB5C}"/>
    <cellStyle name="Normal 2 10 19 2 3" xfId="249" xr:uid="{3479F97B-5532-4E54-9D4C-C2EB36D64A6C}"/>
    <cellStyle name="Normal 2 10 19 2 3 2" xfId="9108" xr:uid="{691D8588-6638-4768-B8CB-7690CADD481E}"/>
    <cellStyle name="Normal 2 10 19 2 4" xfId="9106" xr:uid="{CE151E00-095A-4AE1-A3BD-476463B4CF68}"/>
    <cellStyle name="Normal 2 10 19 3" xfId="250" xr:uid="{7C2552DA-874B-4D03-951F-10201CC464FA}"/>
    <cellStyle name="Normal 2 10 19 3 2" xfId="9109" xr:uid="{2CEE0D9E-5D10-457C-AF03-D55560753E37}"/>
    <cellStyle name="Normal 2 10 19 4" xfId="251" xr:uid="{077D2D68-2900-4141-A666-FCB5B0CB9D5E}"/>
    <cellStyle name="Normal 2 10 19 4 2" xfId="9110" xr:uid="{90B39E2C-ECBC-421F-AA02-5E2081DBB738}"/>
    <cellStyle name="Normal 2 10 19 5" xfId="9105" xr:uid="{D2A86848-8D4B-46B9-BCE9-CD489068C204}"/>
    <cellStyle name="Normal 2 10 2" xfId="252" xr:uid="{3FA5B35E-B524-4517-8AAD-2CF925069A73}"/>
    <cellStyle name="Normal 2 10 2 2" xfId="253" xr:uid="{6602F91D-B092-4E90-B3E8-322F0D91841D}"/>
    <cellStyle name="Normal 2 10 2 2 2" xfId="254" xr:uid="{7EC4BB3A-708C-4AA4-AEE1-208969A02ADE}"/>
    <cellStyle name="Normal 2 10 2 2 2 2" xfId="9113" xr:uid="{2CCDB059-44F2-4ED9-AFCA-00F5C697C25B}"/>
    <cellStyle name="Normal 2 10 2 2 3" xfId="255" xr:uid="{04F8DE54-9695-4823-B946-909E3AC71003}"/>
    <cellStyle name="Normal 2 10 2 2 3 2" xfId="9114" xr:uid="{1E98F5D8-DB76-4711-8407-0E4E0587C84A}"/>
    <cellStyle name="Normal 2 10 2 2 4" xfId="9112" xr:uid="{53FB0E45-ACBE-467D-8BFC-F3DC6DC74BF5}"/>
    <cellStyle name="Normal 2 10 2 3" xfId="256" xr:uid="{97EC7A8A-7E87-43E9-B5F8-DB72ED693D75}"/>
    <cellStyle name="Normal 2 10 2 3 2" xfId="9115" xr:uid="{9F1A9987-1852-4D3A-95B2-9AE3F4A44537}"/>
    <cellStyle name="Normal 2 10 2 4" xfId="257" xr:uid="{A757F8CC-13CF-471B-B727-BB336832B7A9}"/>
    <cellStyle name="Normal 2 10 2 4 2" xfId="9116" xr:uid="{D6C9D91C-0AC4-4F11-8642-E4B6E0CB91AE}"/>
    <cellStyle name="Normal 2 10 2 5" xfId="9111" xr:uid="{AC7949BB-BD5C-4C00-8262-6460B7710456}"/>
    <cellStyle name="Normal 2 10 20" xfId="258" xr:uid="{CE27493A-F210-4B0D-8EBF-619BC001590A}"/>
    <cellStyle name="Normal 2 10 20 2" xfId="259" xr:uid="{E1C784A4-FFBA-46C9-B37E-F5231FEBECC0}"/>
    <cellStyle name="Normal 2 10 20 2 2" xfId="260" xr:uid="{8FC1CAC5-2491-4A63-B1B9-37A9AEDDB44C}"/>
    <cellStyle name="Normal 2 10 20 2 2 2" xfId="9119" xr:uid="{33730821-E515-4800-AC15-E0B5F6EA2CFC}"/>
    <cellStyle name="Normal 2 10 20 2 3" xfId="261" xr:uid="{2B99C1EF-662F-42DB-A992-908E47B2A7B4}"/>
    <cellStyle name="Normal 2 10 20 2 3 2" xfId="9120" xr:uid="{DC9855DC-2529-4BBC-B9B5-F998B0FDF98B}"/>
    <cellStyle name="Normal 2 10 20 2 4" xfId="9118" xr:uid="{E6F2F641-B147-4F66-97EE-AC3FDF3F03E0}"/>
    <cellStyle name="Normal 2 10 20 3" xfId="262" xr:uid="{116B678C-BCFD-40FC-A25F-386C259CE764}"/>
    <cellStyle name="Normal 2 10 20 3 2" xfId="9121" xr:uid="{E443E9F7-AE51-4F15-81F1-EE09BB945680}"/>
    <cellStyle name="Normal 2 10 20 4" xfId="263" xr:uid="{925F46E2-3141-4BF0-8D41-D502F1BBB31D}"/>
    <cellStyle name="Normal 2 10 20 4 2" xfId="9122" xr:uid="{9FCC23EC-2426-4CC4-8872-4D6CA83BB952}"/>
    <cellStyle name="Normal 2 10 20 5" xfId="9117" xr:uid="{0BC32954-2BAE-4086-8D10-2FA9256A6998}"/>
    <cellStyle name="Normal 2 10 21" xfId="264" xr:uid="{2F3EEF52-74DA-4CDF-AE93-F6395F21727A}"/>
    <cellStyle name="Normal 2 10 21 2" xfId="265" xr:uid="{907E5F84-A75C-409E-B170-8217A35AD7F3}"/>
    <cellStyle name="Normal 2 10 21 2 2" xfId="266" xr:uid="{B14680FE-222C-4F6F-B8F8-67040B330FF8}"/>
    <cellStyle name="Normal 2 10 21 2 2 2" xfId="9125" xr:uid="{E534230C-9869-4DF7-BE04-F491852F9CA6}"/>
    <cellStyle name="Normal 2 10 21 2 3" xfId="267" xr:uid="{2CCD6077-422B-4416-86C9-6BDDA2BA7081}"/>
    <cellStyle name="Normal 2 10 21 2 3 2" xfId="9126" xr:uid="{F5EE7050-D428-46CF-9179-16B79F1BC91C}"/>
    <cellStyle name="Normal 2 10 21 2 4" xfId="9124" xr:uid="{E9CCC3FE-F9E4-42ED-927C-9AA21B90621C}"/>
    <cellStyle name="Normal 2 10 21 3" xfId="268" xr:uid="{6CD307AE-E7EF-44B9-A5C6-05FD30B58F94}"/>
    <cellStyle name="Normal 2 10 21 3 2" xfId="9127" xr:uid="{1AEE23D0-830E-4A5D-B453-FFA05B916203}"/>
    <cellStyle name="Normal 2 10 21 4" xfId="269" xr:uid="{3559C36E-8F97-473A-A89C-4FD4D9874B17}"/>
    <cellStyle name="Normal 2 10 21 4 2" xfId="9128" xr:uid="{7312457B-770C-4E10-9243-58D3E663AFBA}"/>
    <cellStyle name="Normal 2 10 21 5" xfId="9123" xr:uid="{9528B8DD-04CA-4E31-B6C6-70D8DB504BCA}"/>
    <cellStyle name="Normal 2 10 22" xfId="270" xr:uid="{6C869B3A-F511-4CA8-861A-69CD274AE56F}"/>
    <cellStyle name="Normal 2 10 22 2" xfId="271" xr:uid="{4D48E859-086C-418A-8182-E5071D094376}"/>
    <cellStyle name="Normal 2 10 22 2 2" xfId="272" xr:uid="{F3C124D8-23CF-4C87-98CD-C84E7FFFC9B1}"/>
    <cellStyle name="Normal 2 10 22 2 2 2" xfId="9131" xr:uid="{FB469BCE-66DA-4080-8405-8837FA8D3317}"/>
    <cellStyle name="Normal 2 10 22 2 3" xfId="273" xr:uid="{0B0DDD18-2BC9-4EB6-BED9-5AFE42066AA7}"/>
    <cellStyle name="Normal 2 10 22 2 3 2" xfId="9132" xr:uid="{0740E1BC-6A7B-46DF-952C-4B433C2B2167}"/>
    <cellStyle name="Normal 2 10 22 2 4" xfId="9130" xr:uid="{3BA26873-9D3F-4AB8-97EF-DD7CD3E13D16}"/>
    <cellStyle name="Normal 2 10 22 3" xfId="274" xr:uid="{F59F0B23-E52F-4993-B3B0-E261B18B2599}"/>
    <cellStyle name="Normal 2 10 22 3 2" xfId="9133" xr:uid="{72D6164D-58A7-403C-A936-761D9578ED22}"/>
    <cellStyle name="Normal 2 10 22 4" xfId="275" xr:uid="{40AA0FAD-C008-4F55-847F-C4BBC1620505}"/>
    <cellStyle name="Normal 2 10 22 4 2" xfId="9134" xr:uid="{DAA1301F-B384-4A69-B6A2-D93E04DB2703}"/>
    <cellStyle name="Normal 2 10 22 5" xfId="9129" xr:uid="{F53F1F35-5BED-4972-AA14-675549580F93}"/>
    <cellStyle name="Normal 2 10 23" xfId="276" xr:uid="{0B8C62F7-3335-4075-A63C-20BF9C0A080E}"/>
    <cellStyle name="Normal 2 10 23 2" xfId="277" xr:uid="{69AB0433-B66D-41AB-8BEF-8CEBB239725F}"/>
    <cellStyle name="Normal 2 10 23 2 2" xfId="278" xr:uid="{66AD5A88-2F21-47B3-9C65-FCE696832312}"/>
    <cellStyle name="Normal 2 10 23 2 2 2" xfId="9137" xr:uid="{D4A338A1-0F36-436A-BF80-FD09800FB2CF}"/>
    <cellStyle name="Normal 2 10 23 2 3" xfId="279" xr:uid="{FF650BAF-CA96-40EC-8EC8-161BBADD34FC}"/>
    <cellStyle name="Normal 2 10 23 2 3 2" xfId="9138" xr:uid="{603526D2-AD22-499B-8871-5DF16BDC920A}"/>
    <cellStyle name="Normal 2 10 23 2 4" xfId="9136" xr:uid="{664BDAB4-60CE-45D6-93F5-B92E564EEF2D}"/>
    <cellStyle name="Normal 2 10 23 3" xfId="280" xr:uid="{EE229A29-6506-49B7-B53D-AA8BFF920E60}"/>
    <cellStyle name="Normal 2 10 23 3 2" xfId="9139" xr:uid="{A647FABA-7B0F-4478-A8C6-5298FDFD7C0D}"/>
    <cellStyle name="Normal 2 10 23 4" xfId="281" xr:uid="{4D121EB5-33B3-47C5-B3A8-C76D52F4EA67}"/>
    <cellStyle name="Normal 2 10 23 4 2" xfId="9140" xr:uid="{9DB15571-7482-470B-9E30-A80DF607CBEA}"/>
    <cellStyle name="Normal 2 10 23 5" xfId="9135" xr:uid="{0C54F1CC-366B-42C0-BA85-6B55F9C6470F}"/>
    <cellStyle name="Normal 2 10 24" xfId="282" xr:uid="{EFFA0FBA-A0F0-4E3A-B8DB-C044347355D2}"/>
    <cellStyle name="Normal 2 10 24 2" xfId="283" xr:uid="{B251C12E-8E70-4331-8DAD-60713FE81570}"/>
    <cellStyle name="Normal 2 10 24 2 2" xfId="284" xr:uid="{1443E3C2-C596-40AD-A5A8-29877FE5D69F}"/>
    <cellStyle name="Normal 2 10 24 2 2 2" xfId="9143" xr:uid="{B2D3F744-EF63-49D7-A143-7F920337E859}"/>
    <cellStyle name="Normal 2 10 24 2 3" xfId="285" xr:uid="{3CF56F23-F2F6-47A5-A953-EDAF292E7430}"/>
    <cellStyle name="Normal 2 10 24 2 3 2" xfId="9144" xr:uid="{5BBCE35B-4810-4130-8732-ACA57699FFAE}"/>
    <cellStyle name="Normal 2 10 24 2 4" xfId="9142" xr:uid="{A609F3EA-5813-4444-8587-9650FA3092FE}"/>
    <cellStyle name="Normal 2 10 24 3" xfId="286" xr:uid="{B6BC2D8C-9F06-4D08-A8A8-C6232D0BC88D}"/>
    <cellStyle name="Normal 2 10 24 3 2" xfId="9145" xr:uid="{D110D29A-2641-4012-B693-E1CA3E933B70}"/>
    <cellStyle name="Normal 2 10 24 4" xfId="287" xr:uid="{7933B7D6-28A9-47B8-AEE3-A50920BA55CD}"/>
    <cellStyle name="Normal 2 10 24 4 2" xfId="9146" xr:uid="{9CF9FB17-EC97-42EB-BD90-20BEFA6AC57A}"/>
    <cellStyle name="Normal 2 10 24 5" xfId="9141" xr:uid="{94C89D8D-B1A8-44CC-884E-DA8671A17C13}"/>
    <cellStyle name="Normal 2 10 25" xfId="288" xr:uid="{031265BC-D368-48F5-85D6-50F5E963CC01}"/>
    <cellStyle name="Normal 2 10 25 2" xfId="289" xr:uid="{A33B551C-348F-4464-8582-EC89D3D9C664}"/>
    <cellStyle name="Normal 2 10 25 2 2" xfId="290" xr:uid="{90C4C5A3-1046-45CC-8303-5FDB5B2AE623}"/>
    <cellStyle name="Normal 2 10 25 2 2 2" xfId="9149" xr:uid="{2557958A-615B-494A-B1A6-B0DA303BB97B}"/>
    <cellStyle name="Normal 2 10 25 2 3" xfId="291" xr:uid="{CC84119D-F9B6-49B2-AA2E-548D1C496B4F}"/>
    <cellStyle name="Normal 2 10 25 2 3 2" xfId="9150" xr:uid="{3C17E5B8-6CB2-42CF-9B33-CA319B6C825A}"/>
    <cellStyle name="Normal 2 10 25 2 4" xfId="9148" xr:uid="{27271181-2372-4721-9CC9-39C01D0ECCFA}"/>
    <cellStyle name="Normal 2 10 25 3" xfId="292" xr:uid="{C0FFD233-208D-4B18-A84C-021D8A958152}"/>
    <cellStyle name="Normal 2 10 25 3 2" xfId="9151" xr:uid="{26AD2AC8-5533-4DE3-A043-6F71E19C117E}"/>
    <cellStyle name="Normal 2 10 25 4" xfId="293" xr:uid="{BD3D52F9-B68F-4123-A2D8-E86D1EE14E0E}"/>
    <cellStyle name="Normal 2 10 25 4 2" xfId="9152" xr:uid="{01857EC7-F4CC-4D41-BB25-8BD110F882CB}"/>
    <cellStyle name="Normal 2 10 25 5" xfId="9147" xr:uid="{5F2B9F75-9747-4503-A73F-414B81D1B750}"/>
    <cellStyle name="Normal 2 10 26" xfId="294" xr:uid="{3E408D56-7A9E-4035-BF73-5B2695D52292}"/>
    <cellStyle name="Normal 2 10 26 2" xfId="295" xr:uid="{D6FB1ECC-B188-4A34-8DBC-6A6E17E7C0A5}"/>
    <cellStyle name="Normal 2 10 26 2 2" xfId="296" xr:uid="{EAA8D53C-A16F-442E-93F7-A05024FBBDC6}"/>
    <cellStyle name="Normal 2 10 26 2 2 2" xfId="9155" xr:uid="{87051D71-8E7A-4CF1-A0B1-94256DFDE964}"/>
    <cellStyle name="Normal 2 10 26 2 3" xfId="297" xr:uid="{ED626011-F395-4D57-AFA0-401FBE3B96D6}"/>
    <cellStyle name="Normal 2 10 26 2 3 2" xfId="9156" xr:uid="{32938C0F-4EB2-4B71-8F85-DE00B5B82FE6}"/>
    <cellStyle name="Normal 2 10 26 2 4" xfId="9154" xr:uid="{188CC7E7-81B7-4028-B269-A1FDE32F79AA}"/>
    <cellStyle name="Normal 2 10 26 3" xfId="298" xr:uid="{D776A49E-0EFF-4D79-84A6-E3117F0A2CA0}"/>
    <cellStyle name="Normal 2 10 26 3 2" xfId="9157" xr:uid="{315F61DA-03B6-4922-9078-3C520D237955}"/>
    <cellStyle name="Normal 2 10 26 4" xfId="299" xr:uid="{89D29BA6-DE41-48E2-99FB-B5BF9978CE78}"/>
    <cellStyle name="Normal 2 10 26 4 2" xfId="9158" xr:uid="{35F23F1A-8E50-453D-BD4F-2ADACB32E061}"/>
    <cellStyle name="Normal 2 10 26 5" xfId="9153" xr:uid="{AEF2F024-2347-4663-9924-E14CA58E3E33}"/>
    <cellStyle name="Normal 2 10 27" xfId="300" xr:uid="{B185A813-F303-4031-88BB-FA3143EFE9C2}"/>
    <cellStyle name="Normal 2 10 27 2" xfId="301" xr:uid="{D4859379-8365-493C-BEC2-8424C96473A5}"/>
    <cellStyle name="Normal 2 10 27 2 2" xfId="302" xr:uid="{63F2EB6F-636A-4374-9C1D-3A5F4A106E7C}"/>
    <cellStyle name="Normal 2 10 27 2 2 2" xfId="9161" xr:uid="{865B66CB-7350-4326-AA57-3908D35E2E59}"/>
    <cellStyle name="Normal 2 10 27 2 3" xfId="303" xr:uid="{E162810A-442F-412E-89CC-542683C345C4}"/>
    <cellStyle name="Normal 2 10 27 2 3 2" xfId="9162" xr:uid="{7B3143B6-B2DD-4758-AD9B-20BDEA660351}"/>
    <cellStyle name="Normal 2 10 27 2 4" xfId="9160" xr:uid="{0638230F-C43F-44D5-8FE9-259D652F6DA0}"/>
    <cellStyle name="Normal 2 10 27 3" xfId="304" xr:uid="{3B518D72-F683-4DE7-A630-57955599E9F2}"/>
    <cellStyle name="Normal 2 10 27 3 2" xfId="9163" xr:uid="{D848716F-E06B-4921-AAB8-BC3054B250C8}"/>
    <cellStyle name="Normal 2 10 27 4" xfId="305" xr:uid="{994E76C8-5114-4425-AF68-75A85D263EC6}"/>
    <cellStyle name="Normal 2 10 27 4 2" xfId="9164" xr:uid="{49F48F17-0A38-4D7F-A4A2-76E7FD144AA6}"/>
    <cellStyle name="Normal 2 10 27 5" xfId="9159" xr:uid="{7A2C9B41-F4C6-4EC7-A89A-C45C89677539}"/>
    <cellStyle name="Normal 2 10 28" xfId="306" xr:uid="{E8793309-4A20-45EE-8819-2C3162CC3C9C}"/>
    <cellStyle name="Normal 2 10 28 2" xfId="307" xr:uid="{860EA6F4-4FD2-4281-8440-137B7096E0F8}"/>
    <cellStyle name="Normal 2 10 28 2 2" xfId="308" xr:uid="{9BCD06D0-4ECE-462C-9541-BD2E4FB0A828}"/>
    <cellStyle name="Normal 2 10 28 2 2 2" xfId="9167" xr:uid="{EFFE8B7E-8295-4717-8A13-C02FEA9DB31E}"/>
    <cellStyle name="Normal 2 10 28 2 3" xfId="309" xr:uid="{4379D7DF-0B56-4090-9BC9-C761A1BB5F05}"/>
    <cellStyle name="Normal 2 10 28 2 3 2" xfId="9168" xr:uid="{CB447DE5-76CD-4C6F-B7CB-6ED0991C12A0}"/>
    <cellStyle name="Normal 2 10 28 2 4" xfId="9166" xr:uid="{FB21C0ED-8E25-4143-A91B-5E9FC4CFE773}"/>
    <cellStyle name="Normal 2 10 28 3" xfId="310" xr:uid="{9FE726DA-CB73-4B31-99AD-DE6232375F8F}"/>
    <cellStyle name="Normal 2 10 28 3 2" xfId="9169" xr:uid="{582AF5AD-B5F5-4570-B9CF-07D53A428CBB}"/>
    <cellStyle name="Normal 2 10 28 4" xfId="311" xr:uid="{768A4F8D-6E55-44E4-866F-86EEA86A8087}"/>
    <cellStyle name="Normal 2 10 28 4 2" xfId="9170" xr:uid="{1DAA8156-D4B7-44B1-9E9E-B15085DB89E2}"/>
    <cellStyle name="Normal 2 10 28 5" xfId="9165" xr:uid="{1F58C33E-39B2-4F7A-BB98-4F3A7756F6A1}"/>
    <cellStyle name="Normal 2 10 29" xfId="312" xr:uid="{89DCBE64-4C7D-4AF9-B5E0-98FC053B09D9}"/>
    <cellStyle name="Normal 2 10 29 2" xfId="313" xr:uid="{AB8F91FB-17C6-4317-A4A8-8C351C14DB2E}"/>
    <cellStyle name="Normal 2 10 29 2 2" xfId="314" xr:uid="{B1753B76-BACD-4B24-AEDC-B661573E0622}"/>
    <cellStyle name="Normal 2 10 29 2 2 2" xfId="9173" xr:uid="{11D57AEF-85A3-48B4-A3EE-73AAC9FAFA11}"/>
    <cellStyle name="Normal 2 10 29 2 3" xfId="315" xr:uid="{33B280AC-7B2D-42D7-BF6F-25BFF2336112}"/>
    <cellStyle name="Normal 2 10 29 2 3 2" xfId="9174" xr:uid="{1D47766F-C9E2-42FA-BE0B-7869E6E38F70}"/>
    <cellStyle name="Normal 2 10 29 2 4" xfId="9172" xr:uid="{EC8C30F0-9EF1-4C58-ADE0-E92AE8634044}"/>
    <cellStyle name="Normal 2 10 29 3" xfId="316" xr:uid="{3B2FA5CB-AE54-406A-85B5-69B0BC801F20}"/>
    <cellStyle name="Normal 2 10 29 3 2" xfId="9175" xr:uid="{E111850D-5AFF-4DEA-BE31-FE77A72E7439}"/>
    <cellStyle name="Normal 2 10 29 4" xfId="317" xr:uid="{C18AA200-8D38-4F46-A83E-D15AED36F502}"/>
    <cellStyle name="Normal 2 10 29 4 2" xfId="9176" xr:uid="{A7225649-3807-4F09-BDFD-B5B58BCA2F55}"/>
    <cellStyle name="Normal 2 10 29 5" xfId="9171" xr:uid="{E0CFD4B2-169B-4892-A933-A3BD4E3BBCB2}"/>
    <cellStyle name="Normal 2 10 3" xfId="318" xr:uid="{3E23104D-49FF-488C-8E9A-8415619E7EE7}"/>
    <cellStyle name="Normal 2 10 3 2" xfId="319" xr:uid="{59DCD806-9FCE-480C-B9A6-C300B6D8226B}"/>
    <cellStyle name="Normal 2 10 3 2 2" xfId="320" xr:uid="{0757F201-B59A-4766-8CDE-37EB8C0A22E9}"/>
    <cellStyle name="Normal 2 10 3 2 2 2" xfId="9179" xr:uid="{707857AC-1497-4557-8436-D6C7E5B456EF}"/>
    <cellStyle name="Normal 2 10 3 2 3" xfId="321" xr:uid="{E8DBDEB8-2F58-4E5D-BBE3-C82D72983D19}"/>
    <cellStyle name="Normal 2 10 3 2 3 2" xfId="9180" xr:uid="{364826DD-92A2-4F65-987B-092FD042804B}"/>
    <cellStyle name="Normal 2 10 3 2 4" xfId="9178" xr:uid="{4EE4D7DD-EDE2-40C6-B719-ED82C7D6572A}"/>
    <cellStyle name="Normal 2 10 3 3" xfId="322" xr:uid="{CD3763C7-31E0-4A69-BAE6-3314C617EC6C}"/>
    <cellStyle name="Normal 2 10 3 3 2" xfId="9181" xr:uid="{29E36E1A-6559-45E5-9841-EE5D7A6E36F4}"/>
    <cellStyle name="Normal 2 10 3 4" xfId="323" xr:uid="{F9335161-AD40-47A2-9901-586F234F12F4}"/>
    <cellStyle name="Normal 2 10 3 4 2" xfId="9182" xr:uid="{EE7C9076-5334-4F85-922A-DABFE001E715}"/>
    <cellStyle name="Normal 2 10 3 5" xfId="9177" xr:uid="{28718085-28A2-4452-8401-5E2C03D14D4D}"/>
    <cellStyle name="Normal 2 10 30" xfId="324" xr:uid="{8181049C-3406-455B-AAFB-843B3F414931}"/>
    <cellStyle name="Normal 2 10 30 2" xfId="325" xr:uid="{EC95E422-13BC-4BD9-BD6E-E7EABA34D7CB}"/>
    <cellStyle name="Normal 2 10 30 2 2" xfId="326" xr:uid="{2241E67B-F7C2-4022-BE10-9BD18AF12283}"/>
    <cellStyle name="Normal 2 10 30 2 2 2" xfId="9185" xr:uid="{45A9C728-AAD4-42C3-85B2-241186D83A15}"/>
    <cellStyle name="Normal 2 10 30 2 3" xfId="327" xr:uid="{7740B722-1239-4509-9DF5-D37F2D26B055}"/>
    <cellStyle name="Normal 2 10 30 2 3 2" xfId="9186" xr:uid="{5CE0B14F-CA07-47A3-9052-565E4930F002}"/>
    <cellStyle name="Normal 2 10 30 2 4" xfId="9184" xr:uid="{C767352B-0308-4101-B75F-A4AB6467C8D3}"/>
    <cellStyle name="Normal 2 10 30 3" xfId="328" xr:uid="{696391A0-2A6D-4668-A1A5-C5D18B1B5F1F}"/>
    <cellStyle name="Normal 2 10 30 3 2" xfId="9187" xr:uid="{3680B46B-9B47-446B-94CA-F85AB26ACBEC}"/>
    <cellStyle name="Normal 2 10 30 4" xfId="329" xr:uid="{C04CB9A2-4955-47EE-99EA-1F5F55417944}"/>
    <cellStyle name="Normal 2 10 30 4 2" xfId="9188" xr:uid="{EAC0A63A-DBC8-4FDA-A5B7-A4E083AD4AB9}"/>
    <cellStyle name="Normal 2 10 30 5" xfId="9183" xr:uid="{070FA201-0C0F-463D-9760-3439BD830111}"/>
    <cellStyle name="Normal 2 10 31" xfId="330" xr:uid="{DC1D16AD-5CDE-4594-8FF6-65D0E9898E8A}"/>
    <cellStyle name="Normal 2 10 31 2" xfId="331" xr:uid="{6BBF49EB-7354-478D-A40C-B171D4DF8466}"/>
    <cellStyle name="Normal 2 10 31 2 2" xfId="332" xr:uid="{EFA0D1D3-790E-4596-878D-C1F3DF3507E3}"/>
    <cellStyle name="Normal 2 10 31 2 2 2" xfId="9191" xr:uid="{7A99BDF7-2248-4679-B948-0D0E65F40D8E}"/>
    <cellStyle name="Normal 2 10 31 2 3" xfId="333" xr:uid="{2BB72228-6883-43C6-BA6F-768B8AFE4696}"/>
    <cellStyle name="Normal 2 10 31 2 3 2" xfId="9192" xr:uid="{F33C9B09-3A99-4901-806E-38C3FF0A31E4}"/>
    <cellStyle name="Normal 2 10 31 2 4" xfId="9190" xr:uid="{48E1FEDC-814C-452C-B795-506D9D401B2C}"/>
    <cellStyle name="Normal 2 10 31 3" xfId="334" xr:uid="{348EEBC7-E75A-4A29-A00C-F2486124EFE6}"/>
    <cellStyle name="Normal 2 10 31 3 2" xfId="9193" xr:uid="{5613FE4D-7979-42CD-A758-A3699091017F}"/>
    <cellStyle name="Normal 2 10 31 4" xfId="335" xr:uid="{62F624BE-9D85-4CE6-BE0D-7E93F351A1AA}"/>
    <cellStyle name="Normal 2 10 31 4 2" xfId="9194" xr:uid="{DA886C78-2B72-480F-B538-60E246784A78}"/>
    <cellStyle name="Normal 2 10 31 5" xfId="9189" xr:uid="{A6551EA3-A161-4616-B74F-8C16130558CA}"/>
    <cellStyle name="Normal 2 10 32" xfId="336" xr:uid="{5E276B61-0817-4F10-99B3-389E284B2E43}"/>
    <cellStyle name="Normal 2 10 32 2" xfId="337" xr:uid="{49E7FE5D-191B-4730-8431-F0B9A9DF88A2}"/>
    <cellStyle name="Normal 2 10 32 2 2" xfId="338" xr:uid="{1C7E7CA8-9CB9-4A03-9B4E-FD5BA771D0D5}"/>
    <cellStyle name="Normal 2 10 32 2 2 2" xfId="9197" xr:uid="{CF1746EF-AEC1-4D3A-B961-2575F0277DE8}"/>
    <cellStyle name="Normal 2 10 32 2 3" xfId="339" xr:uid="{700E2DA8-E822-4A79-9180-BB0B9C9A37D7}"/>
    <cellStyle name="Normal 2 10 32 2 3 2" xfId="9198" xr:uid="{CF28D6D5-3CEF-498D-8BF5-B2E62F8949CA}"/>
    <cellStyle name="Normal 2 10 32 2 4" xfId="9196" xr:uid="{93E0AD6E-5694-4F5D-9694-D9EEA9920F3B}"/>
    <cellStyle name="Normal 2 10 32 3" xfId="340" xr:uid="{19FECAF9-5C9F-4858-B366-80F7317E8EB6}"/>
    <cellStyle name="Normal 2 10 32 3 2" xfId="9199" xr:uid="{920B12A2-B0DB-4DD7-BDA6-82B939F3CA13}"/>
    <cellStyle name="Normal 2 10 32 4" xfId="341" xr:uid="{021B8476-C893-48C5-8365-88CFA4D6BB5D}"/>
    <cellStyle name="Normal 2 10 32 4 2" xfId="9200" xr:uid="{3B3F7A4C-00D8-4F17-8058-256FDBAB3C20}"/>
    <cellStyle name="Normal 2 10 32 5" xfId="9195" xr:uid="{19F642F1-552A-40EF-8357-0F9458AD4702}"/>
    <cellStyle name="Normal 2 10 33" xfId="342" xr:uid="{7A258E22-C37A-4779-B30A-1BAB9EEC3F7F}"/>
    <cellStyle name="Normal 2 10 33 2" xfId="343" xr:uid="{CF7D3721-08A6-4A5B-B3D5-300E65B4ADD3}"/>
    <cellStyle name="Normal 2 10 33 2 2" xfId="344" xr:uid="{D6D78763-C321-484B-80A0-1FFF02913F83}"/>
    <cellStyle name="Normal 2 10 33 2 2 2" xfId="9203" xr:uid="{B53DACE8-32AD-405C-8637-5499F2A65A4C}"/>
    <cellStyle name="Normal 2 10 33 2 3" xfId="345" xr:uid="{D9FF9557-509A-4C5E-9DF5-F54F30B07E42}"/>
    <cellStyle name="Normal 2 10 33 2 3 2" xfId="9204" xr:uid="{66DD3F24-2576-45DE-99FB-9EBEDD28CD5B}"/>
    <cellStyle name="Normal 2 10 33 2 4" xfId="9202" xr:uid="{0FC16112-60FC-4D12-B219-AD2622288F15}"/>
    <cellStyle name="Normal 2 10 33 3" xfId="346" xr:uid="{F8A4AA22-29BF-4C99-8069-97C57905BF20}"/>
    <cellStyle name="Normal 2 10 33 3 2" xfId="9205" xr:uid="{982B3D57-DF88-47F5-88FB-2A4619318CA2}"/>
    <cellStyle name="Normal 2 10 33 4" xfId="347" xr:uid="{92938107-D90E-450E-A5BF-E9868A370929}"/>
    <cellStyle name="Normal 2 10 33 4 2" xfId="9206" xr:uid="{C572FDBD-3262-41C9-BA28-23380FBF677E}"/>
    <cellStyle name="Normal 2 10 33 5" xfId="9201" xr:uid="{DC1F70AA-C83B-4A1D-940C-9E9E35B9998C}"/>
    <cellStyle name="Normal 2 10 34" xfId="348" xr:uid="{CA18A83E-D5B0-4640-9048-C125A0507989}"/>
    <cellStyle name="Normal 2 10 34 2" xfId="349" xr:uid="{2916AC58-756D-4019-A3A7-922C314F76AA}"/>
    <cellStyle name="Normal 2 10 34 2 2" xfId="350" xr:uid="{E258CE64-D949-4CAE-BEFA-9A895F3C693E}"/>
    <cellStyle name="Normal 2 10 34 2 2 2" xfId="9209" xr:uid="{072BC031-0680-4312-BCC3-48CBB6C1F59E}"/>
    <cellStyle name="Normal 2 10 34 2 3" xfId="351" xr:uid="{59B2FD2F-F667-405C-A820-64F453918112}"/>
    <cellStyle name="Normal 2 10 34 2 3 2" xfId="9210" xr:uid="{4C9AB9E3-7663-478A-B295-82C26311FBDE}"/>
    <cellStyle name="Normal 2 10 34 2 4" xfId="9208" xr:uid="{B8752D21-9531-4EA4-97AF-9E6F3F99C841}"/>
    <cellStyle name="Normal 2 10 34 3" xfId="352" xr:uid="{75C528ED-33A5-49A1-926D-C964CB02F076}"/>
    <cellStyle name="Normal 2 10 34 3 2" xfId="9211" xr:uid="{063E64E2-7E0C-42A1-A9C1-AC836BE802A5}"/>
    <cellStyle name="Normal 2 10 34 4" xfId="353" xr:uid="{228E81A4-2B48-4A94-92EE-07432082187F}"/>
    <cellStyle name="Normal 2 10 34 4 2" xfId="9212" xr:uid="{FD0FE936-935C-4306-A8B1-F735EAD6EFDF}"/>
    <cellStyle name="Normal 2 10 34 5" xfId="9207" xr:uid="{DC6969A8-5916-4182-B67F-F0490471B631}"/>
    <cellStyle name="Normal 2 10 35" xfId="354" xr:uid="{E9EC2DA0-36B0-4A42-A4FE-0A58ACD122D6}"/>
    <cellStyle name="Normal 2 10 35 2" xfId="355" xr:uid="{8EB01CC1-7C9F-4A1B-B5FC-C6074FDA59D1}"/>
    <cellStyle name="Normal 2 10 35 2 2" xfId="356" xr:uid="{7AC004DF-FA23-4BC7-9E13-8C719ECA45AD}"/>
    <cellStyle name="Normal 2 10 35 2 2 2" xfId="9215" xr:uid="{895791BC-5D6B-4CB6-B49D-7F796860EAB3}"/>
    <cellStyle name="Normal 2 10 35 2 3" xfId="357" xr:uid="{9FA655BB-D516-405C-9415-0EDFF21DAF75}"/>
    <cellStyle name="Normal 2 10 35 2 3 2" xfId="9216" xr:uid="{B6FABA2B-8C2D-428B-9750-E8E82E4CB511}"/>
    <cellStyle name="Normal 2 10 35 2 4" xfId="9214" xr:uid="{AB149FAE-9FE7-42BC-8CB7-5C4A63FFBCE8}"/>
    <cellStyle name="Normal 2 10 35 3" xfId="358" xr:uid="{28BA01A3-E09D-4B9F-B76B-B6193D6DE269}"/>
    <cellStyle name="Normal 2 10 35 3 2" xfId="9217" xr:uid="{F3D8251B-604A-44CD-8AE1-EA2E00E68B1B}"/>
    <cellStyle name="Normal 2 10 35 4" xfId="359" xr:uid="{18B0C680-E2D0-4C28-A2E8-A891F562DA6C}"/>
    <cellStyle name="Normal 2 10 35 4 2" xfId="9218" xr:uid="{7AA04B02-5789-4167-A00B-E16EE8E44A0F}"/>
    <cellStyle name="Normal 2 10 35 5" xfId="9213" xr:uid="{D6ED83F2-3A2C-405A-BAB1-04053C638491}"/>
    <cellStyle name="Normal 2 10 36" xfId="360" xr:uid="{364DEE9D-B7CB-4461-BAB0-32763A4F821C}"/>
    <cellStyle name="Normal 2 10 36 2" xfId="361" xr:uid="{B738BE6D-A2B1-4649-BCE0-4DC385C87BDE}"/>
    <cellStyle name="Normal 2 10 36 2 2" xfId="362" xr:uid="{D5959F45-4283-4DD5-A101-12B2EC0477DE}"/>
    <cellStyle name="Normal 2 10 36 2 2 2" xfId="9221" xr:uid="{8D92FFE5-57F5-488D-A4C6-EFF6E9265EE6}"/>
    <cellStyle name="Normal 2 10 36 2 3" xfId="363" xr:uid="{DE6D48DB-6DDB-430D-900D-7B986A990DD7}"/>
    <cellStyle name="Normal 2 10 36 2 3 2" xfId="9222" xr:uid="{F97468B3-80BD-47B1-9760-379B4ABE6080}"/>
    <cellStyle name="Normal 2 10 36 2 4" xfId="9220" xr:uid="{AFACCE52-525B-4FC4-A902-42B9F19495C6}"/>
    <cellStyle name="Normal 2 10 36 3" xfId="364" xr:uid="{B9CAA427-7B94-4D56-A892-41D2F331E8D6}"/>
    <cellStyle name="Normal 2 10 36 3 2" xfId="9223" xr:uid="{D16B373A-93AA-43C6-A956-A49DC59CCE9B}"/>
    <cellStyle name="Normal 2 10 36 4" xfId="365" xr:uid="{293430E9-2B94-40AE-BE22-12B024898994}"/>
    <cellStyle name="Normal 2 10 36 4 2" xfId="9224" xr:uid="{927027FD-0DAD-4F5B-AF74-342E6105D60C}"/>
    <cellStyle name="Normal 2 10 36 5" xfId="9219" xr:uid="{A1C260A1-8AC3-491D-BA4B-39B16922E8D0}"/>
    <cellStyle name="Normal 2 10 37" xfId="366" xr:uid="{565A8ED7-E868-4191-9680-AAC1613C7999}"/>
    <cellStyle name="Normal 2 10 37 2" xfId="367" xr:uid="{149F6EB6-85E7-4705-B167-38CD46B0B636}"/>
    <cellStyle name="Normal 2 10 37 2 2" xfId="368" xr:uid="{734992FA-6F29-4BC9-81EE-9AE809C0BD04}"/>
    <cellStyle name="Normal 2 10 37 2 2 2" xfId="9227" xr:uid="{3DD9DC1B-98EC-42FD-B0DC-6ADA256B1498}"/>
    <cellStyle name="Normal 2 10 37 2 3" xfId="369" xr:uid="{EA43C327-647D-4741-9DBB-913F7948AD8F}"/>
    <cellStyle name="Normal 2 10 37 2 3 2" xfId="9228" xr:uid="{B2833E07-4F33-4EFF-A70F-76D2AD13CE0F}"/>
    <cellStyle name="Normal 2 10 37 2 4" xfId="9226" xr:uid="{4CD709D2-96B4-4348-9C86-94BC21C28D8A}"/>
    <cellStyle name="Normal 2 10 37 3" xfId="370" xr:uid="{0AF0D12D-5C85-4446-8D44-970DB44E3BFE}"/>
    <cellStyle name="Normal 2 10 37 3 2" xfId="9229" xr:uid="{974863EF-6C1E-4367-B08A-2881A7183F61}"/>
    <cellStyle name="Normal 2 10 37 4" xfId="371" xr:uid="{0947EAC5-8D91-4270-9C46-C6C497B12E14}"/>
    <cellStyle name="Normal 2 10 37 4 2" xfId="9230" xr:uid="{14AA24AD-19DC-49FA-A962-27796A47F84A}"/>
    <cellStyle name="Normal 2 10 37 5" xfId="9225" xr:uid="{48EA8856-D9B2-48FD-AF13-A957D85490CF}"/>
    <cellStyle name="Normal 2 10 38" xfId="372" xr:uid="{89AC9D47-19DF-46BC-A5B1-4B1CC4190544}"/>
    <cellStyle name="Normal 2 10 38 2" xfId="373" xr:uid="{05F33C6B-845D-440F-9A80-B55582AB0406}"/>
    <cellStyle name="Normal 2 10 38 2 2" xfId="374" xr:uid="{409EA280-E8C3-4357-859E-4351629EF9DA}"/>
    <cellStyle name="Normal 2 10 38 2 2 2" xfId="9233" xr:uid="{A8C79D21-8FCF-448D-A1E6-E69B3DC65707}"/>
    <cellStyle name="Normal 2 10 38 2 3" xfId="375" xr:uid="{79F6C3A2-2446-44A2-81AF-DE09C9EDDA84}"/>
    <cellStyle name="Normal 2 10 38 2 3 2" xfId="9234" xr:uid="{DA3E7225-9B7B-42F5-9A59-296612189EB8}"/>
    <cellStyle name="Normal 2 10 38 2 4" xfId="9232" xr:uid="{4C2457D4-209A-43E8-B580-E1925CA49B1B}"/>
    <cellStyle name="Normal 2 10 38 3" xfId="376" xr:uid="{A891B273-CC0B-4FCE-8AE6-3BA7BDF13EFA}"/>
    <cellStyle name="Normal 2 10 38 3 2" xfId="9235" xr:uid="{0BE29FBA-ABE3-4CD2-9890-5C166ED458D4}"/>
    <cellStyle name="Normal 2 10 38 4" xfId="377" xr:uid="{29D6D276-B3F7-451C-BAFB-AF7736A939ED}"/>
    <cellStyle name="Normal 2 10 38 4 2" xfId="9236" xr:uid="{D1CB8700-A15D-4905-A7CB-F5A18F97609B}"/>
    <cellStyle name="Normal 2 10 38 5" xfId="9231" xr:uid="{FF586E25-83D8-4EB5-9598-8F12A66B4CA1}"/>
    <cellStyle name="Normal 2 10 39" xfId="378" xr:uid="{49130560-CA52-4A0C-89B6-24F07560484D}"/>
    <cellStyle name="Normal 2 10 39 2" xfId="379" xr:uid="{D29C09B1-A081-4E4A-AC19-1270D130B8FF}"/>
    <cellStyle name="Normal 2 10 39 2 2" xfId="380" xr:uid="{DA976383-6BEC-41C4-B712-EFB36B969817}"/>
    <cellStyle name="Normal 2 10 39 2 2 2" xfId="9239" xr:uid="{3B1880DB-DBE5-4641-82CD-4902B8E6E4F8}"/>
    <cellStyle name="Normal 2 10 39 2 3" xfId="381" xr:uid="{0853319C-0D4F-481F-80FE-E641431C001E}"/>
    <cellStyle name="Normal 2 10 39 2 3 2" xfId="9240" xr:uid="{B77F7B42-AD7C-4194-AAC1-2B850B4EC55A}"/>
    <cellStyle name="Normal 2 10 39 2 4" xfId="9238" xr:uid="{19ED24B7-8CF2-48EB-84A8-E37D9D00743A}"/>
    <cellStyle name="Normal 2 10 39 3" xfId="382" xr:uid="{40F2DBBE-4C0A-497C-A67C-7DB97D2DB6F8}"/>
    <cellStyle name="Normal 2 10 39 3 2" xfId="9241" xr:uid="{88AE06EA-5349-4E20-9C74-CA59E5664FB9}"/>
    <cellStyle name="Normal 2 10 39 4" xfId="383" xr:uid="{CEB6B8AB-2FCE-4F85-9702-3DDBB2634A4B}"/>
    <cellStyle name="Normal 2 10 39 4 2" xfId="9242" xr:uid="{981AE911-285A-4F92-BD07-51E20CE6AF99}"/>
    <cellStyle name="Normal 2 10 39 5" xfId="9237" xr:uid="{A0546222-310E-4888-BCA5-77B83DF91D30}"/>
    <cellStyle name="Normal 2 10 4" xfId="384" xr:uid="{6C3F9266-3A06-4B5C-A385-9129B244AB83}"/>
    <cellStyle name="Normal 2 10 4 2" xfId="385" xr:uid="{35759F5C-EF56-4457-B6E0-9BC84EAA0FA5}"/>
    <cellStyle name="Normal 2 10 4 2 2" xfId="386" xr:uid="{F49143AA-43CC-4CCA-BFCC-690323B9D5CB}"/>
    <cellStyle name="Normal 2 10 4 2 2 2" xfId="9245" xr:uid="{02E1D60D-4B22-48BB-A4C4-CBF7494F2FDD}"/>
    <cellStyle name="Normal 2 10 4 2 3" xfId="387" xr:uid="{46F82644-A9D7-4337-9FA8-BD1B1D90BB1F}"/>
    <cellStyle name="Normal 2 10 4 2 3 2" xfId="9246" xr:uid="{970D03F2-BBB9-4C0D-8757-B7A48CFA4EB8}"/>
    <cellStyle name="Normal 2 10 4 2 4" xfId="9244" xr:uid="{195F09CE-DB48-4055-B1AA-50DD807BE8E6}"/>
    <cellStyle name="Normal 2 10 4 3" xfId="388" xr:uid="{FCE66C55-FBBA-4581-BA9D-45FB38D46398}"/>
    <cellStyle name="Normal 2 10 4 3 2" xfId="9247" xr:uid="{2E2A724D-0738-4E7D-B643-67AF190E11A9}"/>
    <cellStyle name="Normal 2 10 4 4" xfId="389" xr:uid="{F51DA19D-C263-4C49-BA6E-EA7E70023F72}"/>
    <cellStyle name="Normal 2 10 4 4 2" xfId="9248" xr:uid="{81279EAB-FE1A-41DE-8130-4C1660A02810}"/>
    <cellStyle name="Normal 2 10 4 5" xfId="9243" xr:uid="{CBFA7E56-241E-4A15-8E1F-41B17AFB9222}"/>
    <cellStyle name="Normal 2 10 40" xfId="390" xr:uid="{58AB8ABC-E25C-46CE-BF53-6993791B8E7E}"/>
    <cellStyle name="Normal 2 10 40 2" xfId="391" xr:uid="{EB19C235-2C13-495D-9DE2-511AEE15B615}"/>
    <cellStyle name="Normal 2 10 40 2 2" xfId="392" xr:uid="{B82926E1-480F-4450-A219-979098879130}"/>
    <cellStyle name="Normal 2 10 40 2 2 2" xfId="9251" xr:uid="{C0D7DEB6-E4A3-4AAF-81A5-6F52AABFA901}"/>
    <cellStyle name="Normal 2 10 40 2 3" xfId="393" xr:uid="{2A75D8B9-A33D-467E-B5D1-FA22BA0E0FA6}"/>
    <cellStyle name="Normal 2 10 40 2 3 2" xfId="9252" xr:uid="{9264E5D5-B5AB-4417-A980-E9FC543132AF}"/>
    <cellStyle name="Normal 2 10 40 2 4" xfId="9250" xr:uid="{38921D36-DF2B-4D95-AD63-0C4D36299A5B}"/>
    <cellStyle name="Normal 2 10 40 3" xfId="394" xr:uid="{E241477C-FFE9-4F3B-A357-F165B3CC4DCF}"/>
    <cellStyle name="Normal 2 10 40 3 2" xfId="9253" xr:uid="{B2D47C35-D2D3-4E24-A88B-5B6DE9361A8F}"/>
    <cellStyle name="Normal 2 10 40 4" xfId="395" xr:uid="{2BC4405D-60D9-4D6E-A7BA-338CD4749275}"/>
    <cellStyle name="Normal 2 10 40 4 2" xfId="9254" xr:uid="{E9C70F97-E5B2-4CB2-99AF-38BBA620EC8D}"/>
    <cellStyle name="Normal 2 10 40 5" xfId="9249" xr:uid="{0672150E-E04B-48BF-956F-FC4441989ECD}"/>
    <cellStyle name="Normal 2 10 41" xfId="396" xr:uid="{72A7E92E-05F3-4D00-9C92-D3C0ABB4CE49}"/>
    <cellStyle name="Normal 2 10 41 2" xfId="397" xr:uid="{033A97A4-6416-4D7A-85BF-0A3BA45FFEB7}"/>
    <cellStyle name="Normal 2 10 41 2 2" xfId="398" xr:uid="{08920DEC-2CBF-497C-AF62-5895633439B4}"/>
    <cellStyle name="Normal 2 10 41 2 2 2" xfId="9257" xr:uid="{ED64EADC-615E-43B9-BA34-B5D2209F602E}"/>
    <cellStyle name="Normal 2 10 41 2 3" xfId="399" xr:uid="{ABC818A1-8F3C-417B-B01F-287CC76975E3}"/>
    <cellStyle name="Normal 2 10 41 2 3 2" xfId="9258" xr:uid="{3F1453C5-9F79-4D27-9C8D-7DA47B945228}"/>
    <cellStyle name="Normal 2 10 41 2 4" xfId="9256" xr:uid="{FAA90548-FDA9-4E2C-9812-98DB6F79B846}"/>
    <cellStyle name="Normal 2 10 41 3" xfId="400" xr:uid="{E4EB88DB-72DC-48FE-AD7D-34E8A5E653A8}"/>
    <cellStyle name="Normal 2 10 41 3 2" xfId="9259" xr:uid="{6DAFF5BD-AC69-4F28-A685-BA4A21A5F908}"/>
    <cellStyle name="Normal 2 10 41 4" xfId="401" xr:uid="{D8DBEB7B-83EF-4950-BB11-926BD542A03B}"/>
    <cellStyle name="Normal 2 10 41 4 2" xfId="9260" xr:uid="{457CDA17-7E11-4A8E-B0CA-335E250A51AE}"/>
    <cellStyle name="Normal 2 10 41 5" xfId="9255" xr:uid="{9B4D2D18-53DB-468F-BB09-4EC68F61ECF4}"/>
    <cellStyle name="Normal 2 10 42" xfId="402" xr:uid="{BC479DB6-CCCF-47AE-8735-A10E3F22A899}"/>
    <cellStyle name="Normal 2 10 42 2" xfId="403" xr:uid="{9BC86A26-8B21-4849-9580-F16C42C26A32}"/>
    <cellStyle name="Normal 2 10 42 2 2" xfId="404" xr:uid="{849C5A5F-A38B-454C-A43A-8B2A4A7BB4BA}"/>
    <cellStyle name="Normal 2 10 42 2 2 2" xfId="9263" xr:uid="{4024B116-9C34-4CAF-98A8-40F95548B38B}"/>
    <cellStyle name="Normal 2 10 42 2 3" xfId="405" xr:uid="{97F9A60F-28E9-424F-A5D8-F9ED1AAFAF20}"/>
    <cellStyle name="Normal 2 10 42 2 3 2" xfId="9264" xr:uid="{B0E8205A-90C9-47C0-844F-A2C59B9F7D46}"/>
    <cellStyle name="Normal 2 10 42 2 4" xfId="9262" xr:uid="{EBFB6933-F1DA-4D11-8B94-729E5A1AB783}"/>
    <cellStyle name="Normal 2 10 42 3" xfId="406" xr:uid="{7069C058-1C9C-4B08-B568-BB7CBFC5CCFA}"/>
    <cellStyle name="Normal 2 10 42 3 2" xfId="9265" xr:uid="{20EE84D5-B188-4168-AC39-4BFC7231644F}"/>
    <cellStyle name="Normal 2 10 42 4" xfId="407" xr:uid="{10A85BD5-6941-4F9E-8B99-4A4A47379A41}"/>
    <cellStyle name="Normal 2 10 42 4 2" xfId="9266" xr:uid="{2595FC81-2E78-49D6-86CD-375E45762BD7}"/>
    <cellStyle name="Normal 2 10 42 5" xfId="9261" xr:uid="{68415CF3-DC2E-490A-835C-D53AC1523385}"/>
    <cellStyle name="Normal 2 10 43" xfId="408" xr:uid="{DBCB28EA-0FF5-4DFB-A677-9E13B09E08F0}"/>
    <cellStyle name="Normal 2 10 43 2" xfId="409" xr:uid="{3A52AD05-8B7C-43C4-98DE-FBBF4F8D9488}"/>
    <cellStyle name="Normal 2 10 43 2 2" xfId="410" xr:uid="{FDE17942-99E0-492F-8FA9-0FE2C4C23DC4}"/>
    <cellStyle name="Normal 2 10 43 2 2 2" xfId="9269" xr:uid="{416D427A-2130-4713-8C4E-075070C5F812}"/>
    <cellStyle name="Normal 2 10 43 2 3" xfId="411" xr:uid="{7B2056C8-1904-44A1-8544-41B4A6F0FB6E}"/>
    <cellStyle name="Normal 2 10 43 2 3 2" xfId="9270" xr:uid="{1104DD1E-7AE7-419B-80E7-22DEEC261184}"/>
    <cellStyle name="Normal 2 10 43 2 4" xfId="9268" xr:uid="{249C2A22-B717-4A9F-8B76-B6BEB469C0FE}"/>
    <cellStyle name="Normal 2 10 43 3" xfId="412" xr:uid="{093CFDA8-741D-4E74-ABBB-0F5C084F6B1F}"/>
    <cellStyle name="Normal 2 10 43 3 2" xfId="9271" xr:uid="{C2E1E6B8-A1DE-4D36-B31B-F59D1E3E7C89}"/>
    <cellStyle name="Normal 2 10 43 4" xfId="413" xr:uid="{5D46D8B0-C7DA-465E-9691-454032BEE518}"/>
    <cellStyle name="Normal 2 10 43 4 2" xfId="9272" xr:uid="{0044CCE1-62D1-475D-A890-F3A72A182A21}"/>
    <cellStyle name="Normal 2 10 43 5" xfId="9267" xr:uid="{BA0BDE4D-FAA3-43F9-BD3D-4993B800AEF1}"/>
    <cellStyle name="Normal 2 10 44" xfId="414" xr:uid="{BA39A9AB-2338-4A7F-911A-EB525B67BA0A}"/>
    <cellStyle name="Normal 2 10 44 2" xfId="415" xr:uid="{9758E75C-04A3-489E-8F77-1684E81D6DAE}"/>
    <cellStyle name="Normal 2 10 44 2 2" xfId="9274" xr:uid="{2917DC3D-9100-4BDF-AADE-5DC643940C32}"/>
    <cellStyle name="Normal 2 10 44 3" xfId="416" xr:uid="{E44D4275-E4D7-4AED-ADFE-FD94B3F681F1}"/>
    <cellStyle name="Normal 2 10 44 3 2" xfId="9275" xr:uid="{A9FF3539-DA5C-435A-AE9F-D4262CC669D1}"/>
    <cellStyle name="Normal 2 10 44 4" xfId="9273" xr:uid="{BFE9075C-8897-49F5-B94A-A243773DC015}"/>
    <cellStyle name="Normal 2 10 45" xfId="417" xr:uid="{88B725B9-4B6A-444B-BC44-827C61C0B14F}"/>
    <cellStyle name="Normal 2 10 45 2" xfId="9276" xr:uid="{036C599D-6E5E-4990-9A3C-5994D6022FAE}"/>
    <cellStyle name="Normal 2 10 46" xfId="418" xr:uid="{ED5BDC7D-1B71-416C-921A-48E39F60EC45}"/>
    <cellStyle name="Normal 2 10 46 2" xfId="9277" xr:uid="{F6C1DE41-6AD1-4A6C-ABCF-BA29B6100F1E}"/>
    <cellStyle name="Normal 2 10 47" xfId="9050" xr:uid="{B248CF47-99B8-4A04-8BA9-59736098929F}"/>
    <cellStyle name="Normal 2 10 5" xfId="419" xr:uid="{C35C8523-6E9D-48C5-BF96-DFD99848F252}"/>
    <cellStyle name="Normal 2 10 5 2" xfId="420" xr:uid="{FEFFF9A8-DDA4-4EB3-8271-FD0A226DCF30}"/>
    <cellStyle name="Normal 2 10 5 2 2" xfId="421" xr:uid="{87AD102D-9FC1-4269-8BDC-4C697FBEB3DA}"/>
    <cellStyle name="Normal 2 10 5 2 2 2" xfId="9280" xr:uid="{01864635-227B-416B-AB3A-BE11D808F3E3}"/>
    <cellStyle name="Normal 2 10 5 2 3" xfId="422" xr:uid="{A15D1A6B-124D-4590-8C43-5FAA76E80FC5}"/>
    <cellStyle name="Normal 2 10 5 2 3 2" xfId="9281" xr:uid="{8258B899-D20B-45FA-8002-580A40262FAE}"/>
    <cellStyle name="Normal 2 10 5 2 4" xfId="9279" xr:uid="{FAA8AA17-B805-484D-918E-7EAD0746857E}"/>
    <cellStyle name="Normal 2 10 5 3" xfId="423" xr:uid="{8E96711E-3F9E-461A-B9A1-BDE007439653}"/>
    <cellStyle name="Normal 2 10 5 3 2" xfId="9282" xr:uid="{A12BF73D-1E78-45B4-A144-B9106FC1AB61}"/>
    <cellStyle name="Normal 2 10 5 4" xfId="424" xr:uid="{D4EBC8F2-B95C-4445-85E4-FDC753176CB0}"/>
    <cellStyle name="Normal 2 10 5 4 2" xfId="9283" xr:uid="{5F8C7819-886F-4706-80C1-5B5526FC0CD4}"/>
    <cellStyle name="Normal 2 10 5 5" xfId="9278" xr:uid="{26381C92-8398-4971-A007-0E78D55AA7E1}"/>
    <cellStyle name="Normal 2 10 6" xfId="425" xr:uid="{106835F3-7B98-42C8-943C-D346CCD7CA97}"/>
    <cellStyle name="Normal 2 10 6 2" xfId="426" xr:uid="{6CED7DCD-BAB2-44F6-B3EC-07D0142BAC21}"/>
    <cellStyle name="Normal 2 10 6 2 2" xfId="427" xr:uid="{50C36574-6CA1-4119-BA10-0DA7A77E0C13}"/>
    <cellStyle name="Normal 2 10 6 2 2 2" xfId="9286" xr:uid="{2456B88A-2CDD-4BC6-BEDB-5288CE00C956}"/>
    <cellStyle name="Normal 2 10 6 2 3" xfId="428" xr:uid="{869E24C0-883C-49C7-ADE5-200DC0F36816}"/>
    <cellStyle name="Normal 2 10 6 2 3 2" xfId="9287" xr:uid="{E897C266-7838-47EA-A4BA-A5439AF41D04}"/>
    <cellStyle name="Normal 2 10 6 2 4" xfId="9285" xr:uid="{3764B28C-CEEC-4F18-A451-B2E5C1CB8662}"/>
    <cellStyle name="Normal 2 10 6 3" xfId="429" xr:uid="{7410DC25-9C5B-4D08-B892-A1956F236238}"/>
    <cellStyle name="Normal 2 10 6 3 2" xfId="9288" xr:uid="{CE8C9D54-8C79-451E-8DCB-23E75653A315}"/>
    <cellStyle name="Normal 2 10 6 4" xfId="430" xr:uid="{52CCFE94-761D-47AC-A69A-1569AD9849B6}"/>
    <cellStyle name="Normal 2 10 6 4 2" xfId="9289" xr:uid="{FB587EB0-D951-495F-BE0E-389C4F7CA581}"/>
    <cellStyle name="Normal 2 10 6 5" xfId="9284" xr:uid="{CE1B6D1A-176F-4500-A742-2972C3EA10B9}"/>
    <cellStyle name="Normal 2 10 7" xfId="431" xr:uid="{68CFA913-4403-4E1C-9166-11CEFBE287A9}"/>
    <cellStyle name="Normal 2 10 7 2" xfId="432" xr:uid="{C25270ED-C6D8-43AC-BB66-240C0F9D4D0B}"/>
    <cellStyle name="Normal 2 10 7 2 2" xfId="433" xr:uid="{85BC9994-1A97-4EA4-8981-FA4D6E88206D}"/>
    <cellStyle name="Normal 2 10 7 2 2 2" xfId="9292" xr:uid="{7FEA2E73-DB97-4324-8AF5-34370377E33E}"/>
    <cellStyle name="Normal 2 10 7 2 3" xfId="434" xr:uid="{2FE4BEA2-0004-447F-9A7E-06AEA42CB198}"/>
    <cellStyle name="Normal 2 10 7 2 3 2" xfId="9293" xr:uid="{AA2DD44E-B4FD-4C42-B219-CEF926F0434C}"/>
    <cellStyle name="Normal 2 10 7 2 4" xfId="9291" xr:uid="{23012977-31E6-4751-943B-96F03DFC26DB}"/>
    <cellStyle name="Normal 2 10 7 3" xfId="435" xr:uid="{6301050A-D506-47D6-8AFB-16C46E3C781B}"/>
    <cellStyle name="Normal 2 10 7 3 2" xfId="9294" xr:uid="{187A09C4-B87C-4C41-90ED-0A978B6C2B59}"/>
    <cellStyle name="Normal 2 10 7 4" xfId="436" xr:uid="{2E533B6C-48F0-4AC9-ADDA-3A443928F176}"/>
    <cellStyle name="Normal 2 10 7 4 2" xfId="9295" xr:uid="{E8F33780-2A7A-4357-9463-85774EA1878E}"/>
    <cellStyle name="Normal 2 10 7 5" xfId="9290" xr:uid="{B97C0800-B621-4952-99AF-301F2CB8BA9C}"/>
    <cellStyle name="Normal 2 10 8" xfId="437" xr:uid="{C01B37B4-A82A-4C58-B2E5-CF984EAF44A2}"/>
    <cellStyle name="Normal 2 10 8 2" xfId="438" xr:uid="{2F3D51A3-3F48-4419-B395-04784E0072F4}"/>
    <cellStyle name="Normal 2 10 8 2 2" xfId="439" xr:uid="{C12C2440-6414-4D1D-B327-9D3ECCD71BA0}"/>
    <cellStyle name="Normal 2 10 8 2 2 2" xfId="9298" xr:uid="{D39F41E9-D8C6-48C9-B7F2-46AD09106F62}"/>
    <cellStyle name="Normal 2 10 8 2 3" xfId="440" xr:uid="{D99433EC-0689-4778-BCA9-2A2C0CFA96E2}"/>
    <cellStyle name="Normal 2 10 8 2 3 2" xfId="9299" xr:uid="{1EDD7D85-0E80-41C8-A66D-34433C777BBC}"/>
    <cellStyle name="Normal 2 10 8 2 4" xfId="9297" xr:uid="{263AFCE4-C989-4FE4-ACB2-CB083D27746A}"/>
    <cellStyle name="Normal 2 10 8 3" xfId="441" xr:uid="{BF1FE916-F6E0-4876-BB83-D87CE7234B1B}"/>
    <cellStyle name="Normal 2 10 8 3 2" xfId="9300" xr:uid="{A4903604-B9D7-4821-8FD8-A81E6D0AA00F}"/>
    <cellStyle name="Normal 2 10 8 4" xfId="442" xr:uid="{D991CEF1-3C49-4AED-83F3-1009690F8630}"/>
    <cellStyle name="Normal 2 10 8 4 2" xfId="9301" xr:uid="{15A8E75D-9E8B-436F-AD45-7F48C21E15E3}"/>
    <cellStyle name="Normal 2 10 8 5" xfId="9296" xr:uid="{8E260202-60CB-4BBA-BFA3-56C7167D127A}"/>
    <cellStyle name="Normal 2 10 9" xfId="443" xr:uid="{695A6AF0-F66A-45FF-882E-CBF6FAFEB6A7}"/>
    <cellStyle name="Normal 2 10 9 2" xfId="444" xr:uid="{7C41998A-797D-4949-879D-0D28A6F5127E}"/>
    <cellStyle name="Normal 2 10 9 2 2" xfId="445" xr:uid="{25DE4E77-511C-459E-A6A4-A046EC34A228}"/>
    <cellStyle name="Normal 2 10 9 2 2 2" xfId="9304" xr:uid="{7F3D2863-37DB-46D2-9F24-83FE3BDBF1D2}"/>
    <cellStyle name="Normal 2 10 9 2 3" xfId="446" xr:uid="{3F885D26-0094-48B5-945B-D4D0189145F2}"/>
    <cellStyle name="Normal 2 10 9 2 3 2" xfId="9305" xr:uid="{7E547685-F224-4079-92DC-C9222A136F9B}"/>
    <cellStyle name="Normal 2 10 9 2 4" xfId="9303" xr:uid="{5A5EB221-1268-47F2-A837-597F8B5918E9}"/>
    <cellStyle name="Normal 2 10 9 3" xfId="447" xr:uid="{CF386863-4979-488A-A27D-659E1EC34F95}"/>
    <cellStyle name="Normal 2 10 9 3 2" xfId="9306" xr:uid="{92D810BF-7D12-45DC-8A95-5FCBE4ADC79F}"/>
    <cellStyle name="Normal 2 10 9 4" xfId="448" xr:uid="{B9115DBA-723C-4440-99D2-FC5B8FF6EB54}"/>
    <cellStyle name="Normal 2 10 9 4 2" xfId="9307" xr:uid="{2B89F534-B35F-4504-99D5-5C075AD7463F}"/>
    <cellStyle name="Normal 2 10 9 5" xfId="9302" xr:uid="{99EB074F-2056-4679-8849-DA8A9F2CFE09}"/>
    <cellStyle name="Normal 2 11" xfId="449" xr:uid="{F373EE45-59BD-4178-9DED-0912EB8D11E6}"/>
    <cellStyle name="Normal 2 11 2" xfId="450" xr:uid="{ACF6CC4D-5464-46B0-BD25-8BC97E960814}"/>
    <cellStyle name="Normal 2 11 2 2" xfId="451" xr:uid="{9D95089F-910A-414D-AFF4-CB9FAC6CF426}"/>
    <cellStyle name="Normal 2 11 2 2 2" xfId="9310" xr:uid="{BD2D2C10-1DA2-4F6D-9D8D-996546E10F2C}"/>
    <cellStyle name="Normal 2 11 2 3" xfId="452" xr:uid="{9214EBFB-048C-42C9-A495-71CD0AAAC2BE}"/>
    <cellStyle name="Normal 2 11 2 3 2" xfId="9311" xr:uid="{4C647091-DF3C-4A82-88EF-F88130B13FC4}"/>
    <cellStyle name="Normal 2 11 2 4" xfId="9309" xr:uid="{0847902E-422A-4DE3-928C-6D5A4D2EA2B0}"/>
    <cellStyle name="Normal 2 11 3" xfId="453" xr:uid="{0D9A33C6-9D93-4A4E-8A85-4E78F417DB69}"/>
    <cellStyle name="Normal 2 11 3 2" xfId="9312" xr:uid="{357976EA-4E15-4D90-8812-B1C47A977237}"/>
    <cellStyle name="Normal 2 11 4" xfId="454" xr:uid="{5DA17AF0-1BBB-4FF5-8417-4589AA953091}"/>
    <cellStyle name="Normal 2 11 4 2" xfId="9313" xr:uid="{6BC9C373-796C-4165-98E3-82ECB6937A9E}"/>
    <cellStyle name="Normal 2 11 5" xfId="9308" xr:uid="{111182C9-15A4-498C-9D92-6FAF3EEA5F73}"/>
    <cellStyle name="Normal 2 12" xfId="455" xr:uid="{B2937B05-16A7-4A82-82D3-E48E94D88A21}"/>
    <cellStyle name="Normal 2 12 2" xfId="456" xr:uid="{5E34E4D3-20A3-4271-93BC-8BA70E285C34}"/>
    <cellStyle name="Normal 2 12 2 2" xfId="457" xr:uid="{9F137E45-47F0-4793-BE09-89E7A8D240EA}"/>
    <cellStyle name="Normal 2 12 2 2 2" xfId="9316" xr:uid="{0AD83B88-A1E7-4F53-BC2A-9EEA220FCBE2}"/>
    <cellStyle name="Normal 2 12 2 3" xfId="458" xr:uid="{446E4D8E-40CE-4241-9D6B-0EFC447590B9}"/>
    <cellStyle name="Normal 2 12 2 3 2" xfId="9317" xr:uid="{41C961FF-E8D6-40C5-8422-98109D24D21C}"/>
    <cellStyle name="Normal 2 12 2 4" xfId="9315" xr:uid="{DD28539F-006F-4E71-9BA2-6A0E4D4C3EA6}"/>
    <cellStyle name="Normal 2 12 3" xfId="459" xr:uid="{174B1A7C-C64C-459C-8DA1-E18319748BA0}"/>
    <cellStyle name="Normal 2 12 3 2" xfId="9318" xr:uid="{4162639B-28AD-45AC-937D-EFC7E00C9043}"/>
    <cellStyle name="Normal 2 12 4" xfId="460" xr:uid="{C2CA6670-9F52-4DE0-9028-6E6F5A77C3A3}"/>
    <cellStyle name="Normal 2 12 4 2" xfId="9319" xr:uid="{18DBCE67-4041-4F80-94FA-4E42FBDE7DBD}"/>
    <cellStyle name="Normal 2 12 5" xfId="9314" xr:uid="{69BA31B3-3E55-4C78-BE3F-687AD071E596}"/>
    <cellStyle name="Normal 2 13" xfId="461" xr:uid="{2912C5B8-9581-4050-A878-5DF0FB939DB3}"/>
    <cellStyle name="Normal 2 13 2" xfId="462" xr:uid="{44729006-866B-43A5-87BD-184064620083}"/>
    <cellStyle name="Normal 2 13 2 2" xfId="463" xr:uid="{94AD4A06-8FFD-4D98-AC10-87CB3810FFB1}"/>
    <cellStyle name="Normal 2 13 2 2 2" xfId="9322" xr:uid="{1BB3B48B-CC29-4959-8CE1-58788596EFD2}"/>
    <cellStyle name="Normal 2 13 2 3" xfId="464" xr:uid="{C9C301F1-6876-432E-856C-2C7C83259178}"/>
    <cellStyle name="Normal 2 13 2 3 2" xfId="9323" xr:uid="{8A60D699-5F3B-440D-AA6E-E9DA78905D59}"/>
    <cellStyle name="Normal 2 13 2 4" xfId="9321" xr:uid="{0CB9DD31-ACEB-4A9E-A825-3EE23E33EA60}"/>
    <cellStyle name="Normal 2 13 3" xfId="465" xr:uid="{7432E887-024D-4F1C-A22D-83257467ED2E}"/>
    <cellStyle name="Normal 2 13 3 2" xfId="9324" xr:uid="{691B4B33-5154-4B65-9E42-CE9B87933964}"/>
    <cellStyle name="Normal 2 13 4" xfId="466" xr:uid="{47D0D12A-47BB-42C3-8C91-DAD904B23D85}"/>
    <cellStyle name="Normal 2 13 4 2" xfId="9325" xr:uid="{A2999154-609B-414E-BFD0-AE6E2E3461A3}"/>
    <cellStyle name="Normal 2 13 5" xfId="9320" xr:uid="{B6040743-043C-4CE3-BBFC-E9491F7EB11E}"/>
    <cellStyle name="Normal 2 14" xfId="467" xr:uid="{B92FCCD8-F8E9-43A2-83CE-8FE1556EDB68}"/>
    <cellStyle name="Normal 2 14 2" xfId="468" xr:uid="{7D9CCDD2-E58A-4017-B222-7528DA5DF7F0}"/>
    <cellStyle name="Normal 2 14 2 2" xfId="469" xr:uid="{4C830862-5A03-49BC-AB2E-AE899BDB3A1E}"/>
    <cellStyle name="Normal 2 14 2 2 2" xfId="9328" xr:uid="{166DA933-AC92-4145-AC4B-533A4636DC33}"/>
    <cellStyle name="Normal 2 14 2 3" xfId="470" xr:uid="{CD3D3F8C-631B-4829-A870-391CB089DEBA}"/>
    <cellStyle name="Normal 2 14 2 3 2" xfId="9329" xr:uid="{F1BA70E6-04F5-4DB0-AA8F-771A3460D01D}"/>
    <cellStyle name="Normal 2 14 2 4" xfId="9327" xr:uid="{07CF1320-A9FC-48E9-978B-356CE792EA4A}"/>
    <cellStyle name="Normal 2 14 3" xfId="471" xr:uid="{2156B192-E6CA-4016-AA9B-137DD41FE5AA}"/>
    <cellStyle name="Normal 2 14 3 2" xfId="9330" xr:uid="{8E4373E0-8378-4467-8C6C-CD38064EFEB8}"/>
    <cellStyle name="Normal 2 14 4" xfId="472" xr:uid="{30AEDE6C-DEB5-452C-A816-85128A714A0E}"/>
    <cellStyle name="Normal 2 14 4 2" xfId="9331" xr:uid="{59681AD3-4E05-41A4-BC2E-7215C9D8102A}"/>
    <cellStyle name="Normal 2 14 5" xfId="9326" xr:uid="{14FEF455-0A36-4F8B-9E64-A992D80EAAE0}"/>
    <cellStyle name="Normal 2 15" xfId="473" xr:uid="{E80E04D2-7F33-44E0-BB0A-D5914A806236}"/>
    <cellStyle name="Normal 2 15 2" xfId="474" xr:uid="{305D5BA0-4869-4858-9EFF-38EF4C21B73D}"/>
    <cellStyle name="Normal 2 15 2 2" xfId="475" xr:uid="{F3AF4DA7-75D4-4BCE-99A5-6ADEF2622B42}"/>
    <cellStyle name="Normal 2 15 2 2 2" xfId="9334" xr:uid="{0CE0720E-3ACB-45F7-AC82-C709F05CE174}"/>
    <cellStyle name="Normal 2 15 2 3" xfId="476" xr:uid="{12382A84-FD0D-4EB4-B8F6-0AF81661FA84}"/>
    <cellStyle name="Normal 2 15 2 3 2" xfId="9335" xr:uid="{E77AB89F-431C-4B15-A9D2-BFEC865D9D97}"/>
    <cellStyle name="Normal 2 15 2 4" xfId="9333" xr:uid="{10A33AFF-CD6C-4A3B-887D-0A2A4312B73E}"/>
    <cellStyle name="Normal 2 15 3" xfId="477" xr:uid="{6A56FEBC-903F-4FD4-B5CB-8EA0FC9424D4}"/>
    <cellStyle name="Normal 2 15 3 2" xfId="9336" xr:uid="{C8FCD0FA-4045-475A-964C-90B9B4847406}"/>
    <cellStyle name="Normal 2 15 4" xfId="478" xr:uid="{B79CF892-D895-477B-A4FC-3121FD9A859F}"/>
    <cellStyle name="Normal 2 15 4 2" xfId="9337" xr:uid="{836D79C9-EC5D-4A50-85C4-B72353943353}"/>
    <cellStyle name="Normal 2 15 5" xfId="9332" xr:uid="{6CA36571-D903-4626-ADE8-375F6920528A}"/>
    <cellStyle name="Normal 2 16" xfId="479" xr:uid="{2A785045-FBA8-4AED-AAEF-AE9BBCE77D0C}"/>
    <cellStyle name="Normal 2 16 2" xfId="480" xr:uid="{C4CAF609-742D-4127-AD87-8C55E64482FF}"/>
    <cellStyle name="Normal 2 16 2 2" xfId="481" xr:uid="{43302D5A-2FE4-44F3-B5DF-C2BCE72D80A0}"/>
    <cellStyle name="Normal 2 16 2 2 2" xfId="9340" xr:uid="{9CFFCC89-E675-433E-BC48-294ECA07CAD5}"/>
    <cellStyle name="Normal 2 16 2 3" xfId="482" xr:uid="{2771DA69-DCE7-4923-A486-C657A528D36F}"/>
    <cellStyle name="Normal 2 16 2 3 2" xfId="9341" xr:uid="{C395D68F-AD0B-44BA-B7C8-CE6D501E9C8F}"/>
    <cellStyle name="Normal 2 16 2 4" xfId="9339" xr:uid="{DEE61989-9C69-4746-8096-0D74F3062C6F}"/>
    <cellStyle name="Normal 2 16 3" xfId="483" xr:uid="{6613DB62-755C-407E-A51D-12B871262208}"/>
    <cellStyle name="Normal 2 16 3 2" xfId="9342" xr:uid="{399EB758-8C0F-427F-89D7-640EECF74D92}"/>
    <cellStyle name="Normal 2 16 4" xfId="484" xr:uid="{1C9F4074-5583-4926-B997-FB240FB02904}"/>
    <cellStyle name="Normal 2 16 4 2" xfId="9343" xr:uid="{45E2B1F9-A56C-4D85-BCE8-B935E98FB11E}"/>
    <cellStyle name="Normal 2 16 5" xfId="9338" xr:uid="{CAC4CBC7-2DBE-47AA-914D-D5DA4F7F83F6}"/>
    <cellStyle name="Normal 2 17" xfId="485" xr:uid="{762CDD57-709E-4069-BEBC-008E84491F73}"/>
    <cellStyle name="Normal 2 17 2" xfId="486" xr:uid="{3B63C901-970E-4FDF-9E51-82D6111B6343}"/>
    <cellStyle name="Normal 2 17 2 2" xfId="487" xr:uid="{2A2EAB81-EFEC-4CFB-AEE6-1CF91B280668}"/>
    <cellStyle name="Normal 2 17 2 2 2" xfId="9346" xr:uid="{447B6E0A-4E05-443B-8233-9A9F7D52048D}"/>
    <cellStyle name="Normal 2 17 2 3" xfId="488" xr:uid="{BE97CD94-A207-407A-BC8E-1DB9D7015B60}"/>
    <cellStyle name="Normal 2 17 2 3 2" xfId="9347" xr:uid="{E51BCDC3-95B8-4F00-93CE-1D57DE8C8C69}"/>
    <cellStyle name="Normal 2 17 2 4" xfId="9345" xr:uid="{007CB39A-33F5-4242-95B3-1E322EECF11A}"/>
    <cellStyle name="Normal 2 17 3" xfId="489" xr:uid="{525A8DB5-54EA-462C-BBD9-513806AD5826}"/>
    <cellStyle name="Normal 2 17 3 2" xfId="9348" xr:uid="{C16DAEF0-D5B1-4748-87D7-16D9DD88C306}"/>
    <cellStyle name="Normal 2 17 4" xfId="490" xr:uid="{1DE723C0-766F-4C45-9910-4FE91B7DD337}"/>
    <cellStyle name="Normal 2 17 4 2" xfId="9349" xr:uid="{2FDDFCB6-B47B-49A2-B2F2-1C30AE4E3829}"/>
    <cellStyle name="Normal 2 17 5" xfId="9344" xr:uid="{4CAEE673-10C8-41F4-8A81-A45791D6BA1A}"/>
    <cellStyle name="Normal 2 18" xfId="491" xr:uid="{F7E8D4B7-3F57-48F4-B0CC-629CE19497BA}"/>
    <cellStyle name="Normal 2 18 2" xfId="492" xr:uid="{FEA1A392-6356-44B2-92D9-E74820445CA9}"/>
    <cellStyle name="Normal 2 18 2 2" xfId="493" xr:uid="{5E12472D-D577-4C2C-B84F-3943BC73B8DC}"/>
    <cellStyle name="Normal 2 18 2 2 2" xfId="9352" xr:uid="{82574E64-EA4A-4897-822E-2EEFA5F38F30}"/>
    <cellStyle name="Normal 2 18 2 3" xfId="494" xr:uid="{ADE1E72B-84EE-4EFF-B110-C22D5065589D}"/>
    <cellStyle name="Normal 2 18 2 3 2" xfId="9353" xr:uid="{C9F7298C-BB09-4FB4-8261-2D958DE97F62}"/>
    <cellStyle name="Normal 2 18 2 4" xfId="9351" xr:uid="{205080E5-6C16-464C-9655-7D53F1B0FE9E}"/>
    <cellStyle name="Normal 2 18 3" xfId="495" xr:uid="{4DC620EA-BC5F-47AC-A695-5EC3517C8BBF}"/>
    <cellStyle name="Normal 2 18 3 2" xfId="9354" xr:uid="{CF72D143-E707-413F-B166-E17CFF605295}"/>
    <cellStyle name="Normal 2 18 4" xfId="496" xr:uid="{58BF7AFE-E63A-4AFD-BDEB-6105F7F50D88}"/>
    <cellStyle name="Normal 2 18 4 2" xfId="9355" xr:uid="{DA4BA8B1-A18D-461B-A630-8CBC6D30DFC4}"/>
    <cellStyle name="Normal 2 18 5" xfId="9350" xr:uid="{163D1CA9-482E-4B22-8E49-1B2A66632DFA}"/>
    <cellStyle name="Normal 2 19" xfId="497" xr:uid="{2D88BE56-1007-4813-B586-B3C5108F7134}"/>
    <cellStyle name="Normal 2 19 2" xfId="498" xr:uid="{42FE016F-DEC4-4526-8626-05B65F3E6A31}"/>
    <cellStyle name="Normal 2 19 2 2" xfId="499" xr:uid="{47501533-58AF-4EFF-B037-106D804A8264}"/>
    <cellStyle name="Normal 2 19 2 2 2" xfId="9358" xr:uid="{43DE7F38-B429-489D-A902-F075C5AC882A}"/>
    <cellStyle name="Normal 2 19 2 3" xfId="500" xr:uid="{8054C43C-EF60-467F-81F6-DEDA5B2DFE78}"/>
    <cellStyle name="Normal 2 19 2 3 2" xfId="9359" xr:uid="{94A771B6-1561-4B19-BA4C-FE4B748E6FC2}"/>
    <cellStyle name="Normal 2 19 2 4" xfId="9357" xr:uid="{9760717C-3AE9-4BD2-A51A-6036FDBEE271}"/>
    <cellStyle name="Normal 2 19 3" xfId="501" xr:uid="{F4084CF0-610E-42F9-AEA6-22823FB1D577}"/>
    <cellStyle name="Normal 2 19 3 2" xfId="9360" xr:uid="{2EC47C36-BE46-4FD5-A83F-DB720C6C139F}"/>
    <cellStyle name="Normal 2 19 4" xfId="502" xr:uid="{76E4BCF3-FE26-415A-9E92-ACCC4BE7F0F4}"/>
    <cellStyle name="Normal 2 19 4 2" xfId="9361" xr:uid="{D362FA80-1D45-4DCD-AF79-6293C5EA76C6}"/>
    <cellStyle name="Normal 2 19 5" xfId="9356" xr:uid="{EDE2A8CB-0B66-440A-BEDC-15F791DC9588}"/>
    <cellStyle name="Normal 2 2" xfId="15" xr:uid="{A3FC42A9-8416-4A6B-B05F-C65E14962061}"/>
    <cellStyle name="Normal 2 2 10" xfId="504" xr:uid="{5122DF04-9511-4E7C-A098-B0FAB53BAB05}"/>
    <cellStyle name="Normal 2 2 10 2" xfId="505" xr:uid="{59505325-95D7-4684-B21C-F1E61E4B856F}"/>
    <cellStyle name="Normal 2 2 10 2 2" xfId="506" xr:uid="{046BD412-AF30-40E7-9EEE-928DCBE0BCC7}"/>
    <cellStyle name="Normal 2 2 10 2 2 2" xfId="9365" xr:uid="{6D6A4FD2-AC1D-4DD7-812B-9E5A383E4992}"/>
    <cellStyle name="Normal 2 2 10 2 3" xfId="507" xr:uid="{F420E701-19B5-4E31-8515-AE2B7C7F0D3C}"/>
    <cellStyle name="Normal 2 2 10 2 3 2" xfId="9366" xr:uid="{7D2D1D2D-171A-48F9-BB2A-3090D0FABFDA}"/>
    <cellStyle name="Normal 2 2 10 2 4" xfId="9364" xr:uid="{4E83C759-11C0-4153-BB8E-9682ECAB0AFF}"/>
    <cellStyle name="Normal 2 2 10 3" xfId="508" xr:uid="{01616046-2870-4DFA-A709-2291A1A426BC}"/>
    <cellStyle name="Normal 2 2 10 3 2" xfId="9367" xr:uid="{19F920D0-9C3C-4B83-8F38-E67836CF2034}"/>
    <cellStyle name="Normal 2 2 10 4" xfId="509" xr:uid="{B46C57F8-BB29-446F-BC80-D800BE428DA1}"/>
    <cellStyle name="Normal 2 2 10 4 2" xfId="9368" xr:uid="{B9D1B9D8-68F4-4243-B4BD-BA58905DD92B}"/>
    <cellStyle name="Normal 2 2 10 5" xfId="9363" xr:uid="{5884F53E-0847-42ED-BDB0-A8CF5C4CF14E}"/>
    <cellStyle name="Normal 2 2 11" xfId="510" xr:uid="{A32873D8-7CFC-4E9E-BFEE-7D94F4B94F20}"/>
    <cellStyle name="Normal 2 2 11 2" xfId="511" xr:uid="{FF71E40F-6545-45BA-93B2-A36CFCFEAF1C}"/>
    <cellStyle name="Normal 2 2 11 2 2" xfId="512" xr:uid="{E5D32FA2-6E06-4B96-ACB6-7B5D634496B6}"/>
    <cellStyle name="Normal 2 2 11 2 2 2" xfId="9371" xr:uid="{0EC5866E-19F3-42E9-AE63-8FBFB165C689}"/>
    <cellStyle name="Normal 2 2 11 2 3" xfId="513" xr:uid="{B8D5BC2C-5C83-4457-97B1-F1146822E6FA}"/>
    <cellStyle name="Normal 2 2 11 2 3 2" xfId="9372" xr:uid="{819C88AD-33D9-4DFA-A3E2-9ABFEE0B56F6}"/>
    <cellStyle name="Normal 2 2 11 2 4" xfId="9370" xr:uid="{E479106F-EC60-4D97-9FC0-E8C456529766}"/>
    <cellStyle name="Normal 2 2 11 3" xfId="514" xr:uid="{067400C8-7259-480B-A741-12FF30F54EA3}"/>
    <cellStyle name="Normal 2 2 11 3 2" xfId="9373" xr:uid="{1CDA784C-1BE6-4DE6-8A44-D78B249C1AFC}"/>
    <cellStyle name="Normal 2 2 11 4" xfId="515" xr:uid="{6AD50269-5824-466E-AF4B-FB9757DE1219}"/>
    <cellStyle name="Normal 2 2 11 4 2" xfId="9374" xr:uid="{BF98187C-B043-4553-B2BB-11BD28561DC4}"/>
    <cellStyle name="Normal 2 2 11 5" xfId="9369" xr:uid="{2E5D76EE-8D7F-44AB-B77F-594BC238749E}"/>
    <cellStyle name="Normal 2 2 12" xfId="516" xr:uid="{5E9A451C-48B0-498B-A352-36A5653E82C7}"/>
    <cellStyle name="Normal 2 2 12 2" xfId="517" xr:uid="{62F37502-177D-4B7C-8CBB-99D8EDD175C9}"/>
    <cellStyle name="Normal 2 2 12 2 2" xfId="518" xr:uid="{C71D35A9-8D5E-40B6-8944-E72266B931ED}"/>
    <cellStyle name="Normal 2 2 12 2 2 2" xfId="9377" xr:uid="{8E02335F-2630-4CEB-B040-A5BF15E272E4}"/>
    <cellStyle name="Normal 2 2 12 2 3" xfId="519" xr:uid="{EDA89791-EBA3-4F1A-B4FB-7EBF825001A7}"/>
    <cellStyle name="Normal 2 2 12 2 3 2" xfId="9378" xr:uid="{37EF27ED-91B9-4E4F-A06F-AB1DE3A05598}"/>
    <cellStyle name="Normal 2 2 12 2 4" xfId="9376" xr:uid="{9CE085BE-97FD-4E3B-B033-55BD0DE6463C}"/>
    <cellStyle name="Normal 2 2 12 3" xfId="520" xr:uid="{52FD62C8-755C-439C-86DC-C374C7A9EB4E}"/>
    <cellStyle name="Normal 2 2 12 3 2" xfId="9379" xr:uid="{02D82B34-485D-48BD-A4BA-1F4E39CA1912}"/>
    <cellStyle name="Normal 2 2 12 4" xfId="521" xr:uid="{926C6644-260F-49A7-A624-2BE7CE83CDBB}"/>
    <cellStyle name="Normal 2 2 12 4 2" xfId="9380" xr:uid="{A0F18AA9-71EB-4CF6-A744-51DB81ADB6C2}"/>
    <cellStyle name="Normal 2 2 12 5" xfId="9375" xr:uid="{1C67B757-C87C-42C4-A2F0-6994E8EE1F0B}"/>
    <cellStyle name="Normal 2 2 13" xfId="522" xr:uid="{6FBF512E-C166-457F-9DBC-1D59EA6E9577}"/>
    <cellStyle name="Normal 2 2 13 2" xfId="523" xr:uid="{55D8B16D-10BE-49F9-9DD1-7E0C4095658E}"/>
    <cellStyle name="Normal 2 2 13 2 2" xfId="524" xr:uid="{D9D81D61-C949-4F27-8C71-41DD9DED35BC}"/>
    <cellStyle name="Normal 2 2 13 2 2 2" xfId="9383" xr:uid="{E8BB2C37-96CD-4912-8A84-11DD2DDB91F6}"/>
    <cellStyle name="Normal 2 2 13 2 3" xfId="525" xr:uid="{2A979E0B-DAE3-4F6E-909C-E34A027B82CA}"/>
    <cellStyle name="Normal 2 2 13 2 3 2" xfId="9384" xr:uid="{BE02A35B-DD27-4DBD-ABB7-C41ECA6013F7}"/>
    <cellStyle name="Normal 2 2 13 2 4" xfId="9382" xr:uid="{A58BC708-7BDC-432F-9479-C20073001338}"/>
    <cellStyle name="Normal 2 2 13 3" xfId="526" xr:uid="{E8D608A7-8B0B-47B4-827C-4F7116CEC436}"/>
    <cellStyle name="Normal 2 2 13 3 2" xfId="9385" xr:uid="{A8C20D50-2C63-4BA5-90CC-D725B2E2A595}"/>
    <cellStyle name="Normal 2 2 13 4" xfId="527" xr:uid="{CE4120B5-1171-4E24-9A4F-80FAEFA75A76}"/>
    <cellStyle name="Normal 2 2 13 4 2" xfId="9386" xr:uid="{47EF1FC3-9B71-4ECD-A7A3-09C004344F84}"/>
    <cellStyle name="Normal 2 2 13 5" xfId="9381" xr:uid="{63C4D35A-AE32-4DB9-81CE-FEDF5B6713F7}"/>
    <cellStyle name="Normal 2 2 14" xfId="528" xr:uid="{CA1910A9-EA72-454E-9162-05CB34638332}"/>
    <cellStyle name="Normal 2 2 14 2" xfId="529" xr:uid="{3D2E8A65-A1F7-4ED3-895F-2334B34B692B}"/>
    <cellStyle name="Normal 2 2 14 2 2" xfId="530" xr:uid="{37F44FE6-6D52-471E-B662-7E937AC8C2D8}"/>
    <cellStyle name="Normal 2 2 14 2 2 2" xfId="9389" xr:uid="{E9956300-7002-4E07-9D6D-A2E1628EDB56}"/>
    <cellStyle name="Normal 2 2 14 2 3" xfId="531" xr:uid="{7D5FEA6D-C88F-437A-A9BA-3AF1F7DAEA7A}"/>
    <cellStyle name="Normal 2 2 14 2 3 2" xfId="9390" xr:uid="{847C93F9-4131-4759-B01F-B875B583CBAE}"/>
    <cellStyle name="Normal 2 2 14 2 4" xfId="9388" xr:uid="{F9A731CB-A32F-4ADF-8B81-DF11909EF8F0}"/>
    <cellStyle name="Normal 2 2 14 3" xfId="532" xr:uid="{889D5D3D-5794-41F8-9FC1-9DC979C1C530}"/>
    <cellStyle name="Normal 2 2 14 3 2" xfId="9391" xr:uid="{2CE4E014-B93A-4915-A29C-7524BD859865}"/>
    <cellStyle name="Normal 2 2 14 4" xfId="533" xr:uid="{D749FFE0-35FA-45E5-B9C0-A53B272355CC}"/>
    <cellStyle name="Normal 2 2 14 4 2" xfId="9392" xr:uid="{36B53363-3BC0-4AEE-90DF-3C3CE6D1F10F}"/>
    <cellStyle name="Normal 2 2 14 5" xfId="9387" xr:uid="{97F4A920-BEF0-4F86-984F-765998E706A2}"/>
    <cellStyle name="Normal 2 2 15" xfId="534" xr:uid="{2779AA91-8A18-4BBA-BC5E-8BC8DFF69219}"/>
    <cellStyle name="Normal 2 2 15 2" xfId="535" xr:uid="{7F58DBD3-6C9F-4DD1-912B-C38914F2C35D}"/>
    <cellStyle name="Normal 2 2 15 2 2" xfId="536" xr:uid="{B2CA3B41-F638-4A97-A9F1-404C989EA013}"/>
    <cellStyle name="Normal 2 2 15 2 2 2" xfId="9395" xr:uid="{56ECF421-3B7D-4096-986E-6C9BB2776B9A}"/>
    <cellStyle name="Normal 2 2 15 2 3" xfId="537" xr:uid="{137E2909-797D-4C2B-91E3-193C7A0A1E01}"/>
    <cellStyle name="Normal 2 2 15 2 3 2" xfId="9396" xr:uid="{4552567C-F666-4045-A98B-9ACBC872E568}"/>
    <cellStyle name="Normal 2 2 15 2 4" xfId="9394" xr:uid="{FD5DB00B-1CE1-4241-AB6C-548E628ACDBA}"/>
    <cellStyle name="Normal 2 2 15 3" xfId="538" xr:uid="{E62C9785-0FA8-4EAC-8E2A-924833065548}"/>
    <cellStyle name="Normal 2 2 15 3 2" xfId="9397" xr:uid="{91BA7C1B-AF1D-4461-85D1-4B223F5BEC03}"/>
    <cellStyle name="Normal 2 2 15 4" xfId="539" xr:uid="{B34626BF-21C7-483F-9CB9-45B8F96C79B0}"/>
    <cellStyle name="Normal 2 2 15 4 2" xfId="9398" xr:uid="{BD15615A-F42D-4370-A449-BB32122CC095}"/>
    <cellStyle name="Normal 2 2 15 5" xfId="9393" xr:uid="{C739CC9E-F62C-4036-9DD2-EC2F3CBABC35}"/>
    <cellStyle name="Normal 2 2 16" xfId="540" xr:uid="{840927D1-54F4-4C50-A7DF-4972BD99D167}"/>
    <cellStyle name="Normal 2 2 16 2" xfId="541" xr:uid="{9CB80A7C-C94E-4DF1-8FB3-EDC9CE90B9B8}"/>
    <cellStyle name="Normal 2 2 16 2 2" xfId="542" xr:uid="{E80476BF-84E3-4053-B3E0-D20A11913ECE}"/>
    <cellStyle name="Normal 2 2 16 2 2 2" xfId="9401" xr:uid="{96D48CAE-F4BA-4DF7-A47C-CD2F10DD0BCA}"/>
    <cellStyle name="Normal 2 2 16 2 3" xfId="543" xr:uid="{2B75FB90-1272-41CD-8EE7-4B742D13268D}"/>
    <cellStyle name="Normal 2 2 16 2 3 2" xfId="9402" xr:uid="{23E8FD5F-BD4C-4E7E-8DD3-2B43223E029A}"/>
    <cellStyle name="Normal 2 2 16 2 4" xfId="9400" xr:uid="{403D055A-EF6D-430D-A706-276AD50B2950}"/>
    <cellStyle name="Normal 2 2 16 3" xfId="544" xr:uid="{4942D44C-E6B0-4A39-B54B-F19C08C805D1}"/>
    <cellStyle name="Normal 2 2 16 3 2" xfId="9403" xr:uid="{32E61BFB-15C7-45C0-9486-0F3C74B4B1A0}"/>
    <cellStyle name="Normal 2 2 16 4" xfId="545" xr:uid="{24B6106A-9E93-42F4-9BE2-3460604C1B02}"/>
    <cellStyle name="Normal 2 2 16 4 2" xfId="9404" xr:uid="{62444127-97B9-46D0-869F-DBB575441AC8}"/>
    <cellStyle name="Normal 2 2 16 5" xfId="9399" xr:uid="{3B426BAF-A357-4491-B0E4-21FCFA035FB8}"/>
    <cellStyle name="Normal 2 2 17" xfId="546" xr:uid="{19C666E4-4850-4915-A800-9E63CBD38A56}"/>
    <cellStyle name="Normal 2 2 17 2" xfId="547" xr:uid="{FB973731-0A61-47E0-B521-1A0ABFFBC4E4}"/>
    <cellStyle name="Normal 2 2 17 2 2" xfId="548" xr:uid="{373954D4-3DBE-4556-BC07-A2C191DB8970}"/>
    <cellStyle name="Normal 2 2 17 2 2 2" xfId="9407" xr:uid="{D25BB042-713A-41DB-9108-935A08607A62}"/>
    <cellStyle name="Normal 2 2 17 2 3" xfId="549" xr:uid="{40C9196B-0E3F-49CE-B0DC-C4C6220AA8D3}"/>
    <cellStyle name="Normal 2 2 17 2 3 2" xfId="9408" xr:uid="{4CE16116-3E9C-450A-8F64-4612F0D0DB55}"/>
    <cellStyle name="Normal 2 2 17 2 4" xfId="9406" xr:uid="{9683403E-93E8-4511-9601-07077DAD431C}"/>
    <cellStyle name="Normal 2 2 17 3" xfId="550" xr:uid="{DFC8B143-FD4E-4BA0-A3B5-77C269677152}"/>
    <cellStyle name="Normal 2 2 17 3 2" xfId="9409" xr:uid="{04BB5F96-03EC-411D-993D-5941410A9169}"/>
    <cellStyle name="Normal 2 2 17 4" xfId="551" xr:uid="{01EE1586-C72B-41F2-89DD-4CD2107B5ED7}"/>
    <cellStyle name="Normal 2 2 17 4 2" xfId="9410" xr:uid="{CD9807FE-89E6-4071-9B16-A04D8392D804}"/>
    <cellStyle name="Normal 2 2 17 5" xfId="9405" xr:uid="{1CB64ADC-8A2B-4C70-87E4-CBE3B9090868}"/>
    <cellStyle name="Normal 2 2 18" xfId="552" xr:uid="{283D5790-2BD8-44D7-AEB4-6FC4DE4CFFE0}"/>
    <cellStyle name="Normal 2 2 18 2" xfId="553" xr:uid="{B53E1655-F327-488A-BC4E-B7CDED1CEAFD}"/>
    <cellStyle name="Normal 2 2 18 2 2" xfId="554" xr:uid="{93A0CC57-0487-4D7B-BB4B-20DB1195B47C}"/>
    <cellStyle name="Normal 2 2 18 2 2 2" xfId="9413" xr:uid="{7DBED85E-D186-4CA7-A0EB-AF772BF186B5}"/>
    <cellStyle name="Normal 2 2 18 2 3" xfId="555" xr:uid="{A88F4AD5-FE97-4D54-8587-9FD23B386A46}"/>
    <cellStyle name="Normal 2 2 18 2 3 2" xfId="9414" xr:uid="{6A82DCC1-EEA1-4559-A9EA-E33538AD0685}"/>
    <cellStyle name="Normal 2 2 18 2 4" xfId="9412" xr:uid="{DB7F96AC-E4C6-4B46-97F5-15ECB3AE5FA1}"/>
    <cellStyle name="Normal 2 2 18 3" xfId="556" xr:uid="{D5BD1EAC-FEB2-46C8-A6E5-A881B98D655A}"/>
    <cellStyle name="Normal 2 2 18 3 2" xfId="9415" xr:uid="{1ED9EB13-FAB9-4A63-919E-5010A7688049}"/>
    <cellStyle name="Normal 2 2 18 4" xfId="557" xr:uid="{748E6315-DF50-4666-8997-FA8CA8FA1C61}"/>
    <cellStyle name="Normal 2 2 18 4 2" xfId="9416" xr:uid="{C0FAB5D3-203E-4EC1-A756-B68AC9DF7CB1}"/>
    <cellStyle name="Normal 2 2 18 5" xfId="9411" xr:uid="{73A78F94-687F-42C8-AF2E-9FA3A1016AE0}"/>
    <cellStyle name="Normal 2 2 19" xfId="558" xr:uid="{767BC9B3-01C0-4978-907B-A10D3EAC1C33}"/>
    <cellStyle name="Normal 2 2 19 2" xfId="559" xr:uid="{45D38538-7A8B-4D86-8CAA-CED7ADBBA9E6}"/>
    <cellStyle name="Normal 2 2 19 2 2" xfId="560" xr:uid="{2034F24F-DD69-424C-8E9D-541DD7C19492}"/>
    <cellStyle name="Normal 2 2 19 2 2 2" xfId="9419" xr:uid="{35AC00D4-1E7C-4D29-AB94-BE381222D6D9}"/>
    <cellStyle name="Normal 2 2 19 2 3" xfId="561" xr:uid="{5B39A860-14A9-4D19-BEA0-39F0BAE99A10}"/>
    <cellStyle name="Normal 2 2 19 2 3 2" xfId="9420" xr:uid="{A9F18382-D2BB-4894-B695-54204179392C}"/>
    <cellStyle name="Normal 2 2 19 2 4" xfId="9418" xr:uid="{87128EBB-FE9C-4E4B-9A24-39E7A26CE9A2}"/>
    <cellStyle name="Normal 2 2 19 3" xfId="562" xr:uid="{17C7FEE5-D694-40FE-99FE-97AB28CBD697}"/>
    <cellStyle name="Normal 2 2 19 3 2" xfId="9421" xr:uid="{35D58A09-CCE1-474B-81C8-9487D438AFE4}"/>
    <cellStyle name="Normal 2 2 19 4" xfId="563" xr:uid="{B0FEBCCC-DA8E-495E-AF68-973D98A24C86}"/>
    <cellStyle name="Normal 2 2 19 4 2" xfId="9422" xr:uid="{708295BF-0AB4-4D58-A40F-D72383C62267}"/>
    <cellStyle name="Normal 2 2 19 5" xfId="9417" xr:uid="{4E46748D-229F-4283-A016-548D4D46AF7B}"/>
    <cellStyle name="Normal 2 2 2" xfId="564" xr:uid="{2AAA2088-3F1F-4F0C-8D29-A40287BB542C}"/>
    <cellStyle name="Normal 2 2 2 10" xfId="565" xr:uid="{64703E3D-31DB-43E0-8FB2-2C6A653F7039}"/>
    <cellStyle name="Normal 2 2 2 10 2" xfId="566" xr:uid="{A8C04995-3114-4642-980F-3A92D9DE70A1}"/>
    <cellStyle name="Normal 2 2 2 10 2 2" xfId="567" xr:uid="{F1C3F0A5-5BAD-470A-B4AF-2A3C4953CFC6}"/>
    <cellStyle name="Normal 2 2 2 10 2 2 2" xfId="9426" xr:uid="{61C57B26-F269-4DEB-BB8C-9C4255758C5D}"/>
    <cellStyle name="Normal 2 2 2 10 2 3" xfId="568" xr:uid="{C34F86D8-F913-4D1B-A21D-07225718CAF3}"/>
    <cellStyle name="Normal 2 2 2 10 2 3 2" xfId="9427" xr:uid="{11FBAEA0-D6BD-484E-B789-76B526DAC498}"/>
    <cellStyle name="Normal 2 2 2 10 2 4" xfId="9425" xr:uid="{066D2994-0264-499C-85AD-B054AE0C57ED}"/>
    <cellStyle name="Normal 2 2 2 10 3" xfId="569" xr:uid="{944242A3-8ACA-406A-8D2E-37610FE5EE76}"/>
    <cellStyle name="Normal 2 2 2 10 3 2" xfId="9428" xr:uid="{C5C23AF6-816A-430D-9D83-D0F46CD0420A}"/>
    <cellStyle name="Normal 2 2 2 10 4" xfId="570" xr:uid="{6C132D9F-3B82-4471-B382-73D398DCE4B4}"/>
    <cellStyle name="Normal 2 2 2 10 4 2" xfId="9429" xr:uid="{E76A6147-91F9-4910-85F7-44A77FAFC9E6}"/>
    <cellStyle name="Normal 2 2 2 10 5" xfId="9424" xr:uid="{250AB167-5CD9-4D44-B0C9-9ED5FDE3FEEE}"/>
    <cellStyle name="Normal 2 2 2 11" xfId="571" xr:uid="{CAA25480-C153-4D13-8296-F3164736E4AD}"/>
    <cellStyle name="Normal 2 2 2 11 2" xfId="572" xr:uid="{AB6FA454-F9AB-4F51-80AB-E21ED7D37895}"/>
    <cellStyle name="Normal 2 2 2 11 2 2" xfId="573" xr:uid="{C4011B45-3AFC-47EC-ABF8-66E1405AA969}"/>
    <cellStyle name="Normal 2 2 2 11 2 2 2" xfId="9432" xr:uid="{0C6F0621-095C-43D0-A36D-DADFD9415CF4}"/>
    <cellStyle name="Normal 2 2 2 11 2 3" xfId="574" xr:uid="{BED74F0C-75FB-4BA1-B1A4-4529CAD896D7}"/>
    <cellStyle name="Normal 2 2 2 11 2 3 2" xfId="9433" xr:uid="{3F98D193-673D-4894-B576-D12F47D2D9BF}"/>
    <cellStyle name="Normal 2 2 2 11 2 4" xfId="9431" xr:uid="{FEA7D71F-0FD7-460B-9709-91EE4CF79E92}"/>
    <cellStyle name="Normal 2 2 2 11 3" xfId="575" xr:uid="{B3EB03C7-618A-49B3-BF2B-9DF68E5AD290}"/>
    <cellStyle name="Normal 2 2 2 11 3 2" xfId="9434" xr:uid="{16DCAACA-0954-4BB4-83E5-8C43E8E815D4}"/>
    <cellStyle name="Normal 2 2 2 11 4" xfId="576" xr:uid="{F6C83692-7EAE-43E6-B615-D6C3C0F506F2}"/>
    <cellStyle name="Normal 2 2 2 11 4 2" xfId="9435" xr:uid="{1D51D604-F0D0-4113-AADB-B565F87A0389}"/>
    <cellStyle name="Normal 2 2 2 11 5" xfId="9430" xr:uid="{CF38B06C-B83B-4050-ADD6-3BE9635CDE88}"/>
    <cellStyle name="Normal 2 2 2 12" xfId="577" xr:uid="{C065CF02-2249-43DF-966F-10D3C96EF4DC}"/>
    <cellStyle name="Normal 2 2 2 12 2" xfId="578" xr:uid="{5D88C9D2-3716-486E-B8E5-8594C2C645B5}"/>
    <cellStyle name="Normal 2 2 2 12 2 2" xfId="579" xr:uid="{3EEF0020-7536-4B41-B059-494F6315D116}"/>
    <cellStyle name="Normal 2 2 2 12 2 2 2" xfId="9438" xr:uid="{CCC34430-1576-422A-B3E8-B77E554883B1}"/>
    <cellStyle name="Normal 2 2 2 12 2 3" xfId="580" xr:uid="{1241D812-65FE-4AED-8F17-60124D65C21E}"/>
    <cellStyle name="Normal 2 2 2 12 2 3 2" xfId="9439" xr:uid="{FE102235-720A-4837-AB7B-63692A878F5F}"/>
    <cellStyle name="Normal 2 2 2 12 2 4" xfId="9437" xr:uid="{AA86A865-94DC-4C31-B210-A19A7D2C6846}"/>
    <cellStyle name="Normal 2 2 2 12 3" xfId="581" xr:uid="{0F455B2E-B922-410F-8E5F-B6540A3A1633}"/>
    <cellStyle name="Normal 2 2 2 12 3 2" xfId="9440" xr:uid="{42A5034D-2667-428F-9407-021A8A340914}"/>
    <cellStyle name="Normal 2 2 2 12 4" xfId="582" xr:uid="{3603E5AB-7F04-489B-B582-BDE554EE7ACB}"/>
    <cellStyle name="Normal 2 2 2 12 4 2" xfId="9441" xr:uid="{39D8E7C4-3BAD-485C-8ADC-8E0C1244BDCC}"/>
    <cellStyle name="Normal 2 2 2 12 5" xfId="9436" xr:uid="{A12CDC06-2024-4001-A939-D7A41ED85818}"/>
    <cellStyle name="Normal 2 2 2 13" xfId="583" xr:uid="{414829FE-43F5-4A4D-8D41-D85163C4665B}"/>
    <cellStyle name="Normal 2 2 2 13 2" xfId="584" xr:uid="{A4828A40-0560-4C8E-907F-6385A50986DA}"/>
    <cellStyle name="Normal 2 2 2 13 2 2" xfId="585" xr:uid="{78CDD69E-4374-4A43-8230-519D87942B38}"/>
    <cellStyle name="Normal 2 2 2 13 2 2 2" xfId="9444" xr:uid="{735E142E-D358-4C96-BE6C-0A7B7ED5E57C}"/>
    <cellStyle name="Normal 2 2 2 13 2 3" xfId="586" xr:uid="{1712BFEA-8684-4C50-97C3-528E59914D94}"/>
    <cellStyle name="Normal 2 2 2 13 2 3 2" xfId="9445" xr:uid="{0476106D-E1F4-4404-AE5D-2FC3AE743D3A}"/>
    <cellStyle name="Normal 2 2 2 13 2 4" xfId="9443" xr:uid="{D51C4ADE-CB97-4AB9-B192-558EB6AB0CB9}"/>
    <cellStyle name="Normal 2 2 2 13 3" xfId="587" xr:uid="{A6ABBD84-09EA-4083-A639-CC7D722F025F}"/>
    <cellStyle name="Normal 2 2 2 13 3 2" xfId="9446" xr:uid="{2A11519C-E1B0-4169-A1EE-2D01B6415582}"/>
    <cellStyle name="Normal 2 2 2 13 4" xfId="588" xr:uid="{2A8901D9-905A-46FA-8CD0-DFF6171B675A}"/>
    <cellStyle name="Normal 2 2 2 13 4 2" xfId="9447" xr:uid="{5BEE2F4D-2BDD-419D-AE18-6E9601D6B61A}"/>
    <cellStyle name="Normal 2 2 2 13 5" xfId="9442" xr:uid="{58C7B143-A9E3-485F-A312-7314FBC60854}"/>
    <cellStyle name="Normal 2 2 2 14" xfId="589" xr:uid="{2B73681F-1E19-4CEE-B839-48B77085FD11}"/>
    <cellStyle name="Normal 2 2 2 14 2" xfId="590" xr:uid="{5C04D395-50BB-437C-A1C3-903576BF93C9}"/>
    <cellStyle name="Normal 2 2 2 14 2 2" xfId="591" xr:uid="{3C44688A-EEFC-4211-A7F4-B521C76C0201}"/>
    <cellStyle name="Normal 2 2 2 14 2 2 2" xfId="9450" xr:uid="{0B7D1027-E0AE-4EE9-B395-519C9C63B0EF}"/>
    <cellStyle name="Normal 2 2 2 14 2 3" xfId="592" xr:uid="{607706D7-B678-4B94-B00B-F1B19F181A2B}"/>
    <cellStyle name="Normal 2 2 2 14 2 3 2" xfId="9451" xr:uid="{F598AD83-157A-45F3-82C0-5F91B2DA0481}"/>
    <cellStyle name="Normal 2 2 2 14 2 4" xfId="9449" xr:uid="{3004D1F5-D1CF-4186-AAE6-15BEF3069C11}"/>
    <cellStyle name="Normal 2 2 2 14 3" xfId="593" xr:uid="{D397B797-5B4F-495E-A305-92571BF22209}"/>
    <cellStyle name="Normal 2 2 2 14 3 2" xfId="9452" xr:uid="{D9A958EC-61D7-410D-B1A5-141F02A797CE}"/>
    <cellStyle name="Normal 2 2 2 14 4" xfId="594" xr:uid="{B5C42D63-7B89-4CCA-AABC-4EBD919F4AB5}"/>
    <cellStyle name="Normal 2 2 2 14 4 2" xfId="9453" xr:uid="{83C54E01-0940-43B0-94ED-B705AA41C69B}"/>
    <cellStyle name="Normal 2 2 2 14 5" xfId="9448" xr:uid="{B79FF4D4-CF06-451F-BAF3-66D101D3EC1B}"/>
    <cellStyle name="Normal 2 2 2 15" xfId="595" xr:uid="{7F05FEB5-FE03-4B62-9D25-00814688EB94}"/>
    <cellStyle name="Normal 2 2 2 15 2" xfId="596" xr:uid="{91B3FCFE-458D-4A2A-BC60-1D3D84C0D1D3}"/>
    <cellStyle name="Normal 2 2 2 15 2 2" xfId="597" xr:uid="{26E2F4D4-2FAD-4165-BDF6-7F61648E0A85}"/>
    <cellStyle name="Normal 2 2 2 15 2 2 2" xfId="9456" xr:uid="{96F0E36B-DD33-4765-9AC2-BF58D16AD3EA}"/>
    <cellStyle name="Normal 2 2 2 15 2 3" xfId="598" xr:uid="{EE5EF82A-FD9D-413B-8D47-54EA80FD8260}"/>
    <cellStyle name="Normal 2 2 2 15 2 3 2" xfId="9457" xr:uid="{665E2F9C-BF12-4098-A196-229273DA5B8E}"/>
    <cellStyle name="Normal 2 2 2 15 2 4" xfId="9455" xr:uid="{4281CF47-E9EA-414A-902D-1EC75284456F}"/>
    <cellStyle name="Normal 2 2 2 15 3" xfId="599" xr:uid="{C9501D98-A4F7-4F49-8EB9-DDA95A9F862B}"/>
    <cellStyle name="Normal 2 2 2 15 3 2" xfId="9458" xr:uid="{2E8B3054-4E6C-43A9-891E-7E2B4725FA99}"/>
    <cellStyle name="Normal 2 2 2 15 4" xfId="600" xr:uid="{B981BAD7-730E-4BAC-A197-854859A303C0}"/>
    <cellStyle name="Normal 2 2 2 15 4 2" xfId="9459" xr:uid="{1991F67B-0FC7-49EA-B5F2-9923F0AE6813}"/>
    <cellStyle name="Normal 2 2 2 15 5" xfId="9454" xr:uid="{EB55EE98-496D-4627-A5D1-E1FCE095AF7A}"/>
    <cellStyle name="Normal 2 2 2 16" xfId="601" xr:uid="{2D986224-67A7-4881-8AAF-51972A79F693}"/>
    <cellStyle name="Normal 2 2 2 16 2" xfId="602" xr:uid="{0E34935B-46B6-4E2B-B7BD-CAC229AD6A0D}"/>
    <cellStyle name="Normal 2 2 2 16 2 2" xfId="603" xr:uid="{E13A0AC2-0554-41FE-901D-89C8F9948F82}"/>
    <cellStyle name="Normal 2 2 2 16 2 2 2" xfId="9462" xr:uid="{F8EEA9A2-72DD-46F0-A5A7-E307B41B34E4}"/>
    <cellStyle name="Normal 2 2 2 16 2 3" xfId="604" xr:uid="{E1BFCE01-24F2-4F67-B87F-8CC58754BC3D}"/>
    <cellStyle name="Normal 2 2 2 16 2 3 2" xfId="9463" xr:uid="{B6CE21E1-9C7B-40E1-963D-BDC012C829C5}"/>
    <cellStyle name="Normal 2 2 2 16 2 4" xfId="9461" xr:uid="{BBB13D6F-2086-4913-BC7D-006B407D75C7}"/>
    <cellStyle name="Normal 2 2 2 16 3" xfId="605" xr:uid="{B7067123-FFA5-4A34-B486-52C2EF7E6880}"/>
    <cellStyle name="Normal 2 2 2 16 3 2" xfId="9464" xr:uid="{17CF8A71-368C-4E6D-B6B3-43BA9B689CC7}"/>
    <cellStyle name="Normal 2 2 2 16 4" xfId="606" xr:uid="{4121FBF0-A401-4820-867E-A565B81F1D7E}"/>
    <cellStyle name="Normal 2 2 2 16 4 2" xfId="9465" xr:uid="{4EFC353C-CE08-4236-B706-A41008497D97}"/>
    <cellStyle name="Normal 2 2 2 16 5" xfId="9460" xr:uid="{C40D8656-9CCF-4390-8395-AC1A7579E577}"/>
    <cellStyle name="Normal 2 2 2 17" xfId="607" xr:uid="{3B93779E-B372-4088-AA3A-193AD847C539}"/>
    <cellStyle name="Normal 2 2 2 17 2" xfId="608" xr:uid="{A850ADD8-7ED2-443A-8AB6-5959B609ECBA}"/>
    <cellStyle name="Normal 2 2 2 17 2 2" xfId="609" xr:uid="{310BEBEB-2C6E-466B-BBEE-7F4F246A5F46}"/>
    <cellStyle name="Normal 2 2 2 17 2 2 2" xfId="9468" xr:uid="{D47B5325-C9A1-4B18-AE31-17F13569F73C}"/>
    <cellStyle name="Normal 2 2 2 17 2 3" xfId="610" xr:uid="{D60861BD-47CC-44EC-A207-89902C4D070A}"/>
    <cellStyle name="Normal 2 2 2 17 2 3 2" xfId="9469" xr:uid="{677E219E-35FA-43DA-A1EA-D7FC8BEDEDC2}"/>
    <cellStyle name="Normal 2 2 2 17 2 4" xfId="9467" xr:uid="{872A3C00-CCDD-4EF9-AD4B-368A3C99FE6E}"/>
    <cellStyle name="Normal 2 2 2 17 3" xfId="611" xr:uid="{80252724-6312-4B79-A320-307FC72BECD1}"/>
    <cellStyle name="Normal 2 2 2 17 3 2" xfId="9470" xr:uid="{22972FFD-03D7-44F9-A890-0D872E650F22}"/>
    <cellStyle name="Normal 2 2 2 17 4" xfId="612" xr:uid="{81E73BA7-B889-43A5-AABE-1AA3AE2C6D7B}"/>
    <cellStyle name="Normal 2 2 2 17 4 2" xfId="9471" xr:uid="{5A97D5A0-4E96-4FF6-BB2F-9373CEC388A3}"/>
    <cellStyle name="Normal 2 2 2 17 5" xfId="9466" xr:uid="{46A5726C-17FD-4CFF-A96C-58207837BD1C}"/>
    <cellStyle name="Normal 2 2 2 18" xfId="613" xr:uid="{D4D08772-7D9B-40E7-A560-CC843A022B27}"/>
    <cellStyle name="Normal 2 2 2 18 2" xfId="614" xr:uid="{79294258-4CB5-48F1-80A7-5B9E0AA70945}"/>
    <cellStyle name="Normal 2 2 2 18 2 2" xfId="615" xr:uid="{52AA99AE-01CB-4489-8AB1-248793B2D38A}"/>
    <cellStyle name="Normal 2 2 2 18 2 2 2" xfId="9474" xr:uid="{CC53182B-C7D4-4C16-8A63-65E167993C7E}"/>
    <cellStyle name="Normal 2 2 2 18 2 3" xfId="616" xr:uid="{D73E8FE4-B411-4D12-8256-8E341C1C1FFA}"/>
    <cellStyle name="Normal 2 2 2 18 2 3 2" xfId="9475" xr:uid="{7DAA5BCF-B0E0-4074-94BE-FA27FD11FB17}"/>
    <cellStyle name="Normal 2 2 2 18 2 4" xfId="9473" xr:uid="{54927249-1D25-4B5A-B921-E8B313EC7022}"/>
    <cellStyle name="Normal 2 2 2 18 3" xfId="617" xr:uid="{8B16DC96-6FF8-4E71-A059-C7DA63198765}"/>
    <cellStyle name="Normal 2 2 2 18 3 2" xfId="9476" xr:uid="{86DB09C3-3CD8-4CD0-A812-4309B855BE21}"/>
    <cellStyle name="Normal 2 2 2 18 4" xfId="618" xr:uid="{7EB95BB9-077F-4B0E-8CCE-248C593B78AF}"/>
    <cellStyle name="Normal 2 2 2 18 4 2" xfId="9477" xr:uid="{D1AF3328-6D91-4D3A-9D56-2B8850903603}"/>
    <cellStyle name="Normal 2 2 2 18 5" xfId="9472" xr:uid="{F5D13678-2367-45FE-A99B-3E20CCD2D48A}"/>
    <cellStyle name="Normal 2 2 2 19" xfId="619" xr:uid="{B7DED24B-4B5C-4E75-B5AA-B418EAF39C36}"/>
    <cellStyle name="Normal 2 2 2 19 2" xfId="620" xr:uid="{87BDEBF2-BAD5-41F7-A139-E79878DBF76F}"/>
    <cellStyle name="Normal 2 2 2 19 2 2" xfId="621" xr:uid="{16971228-7658-41A1-A4E8-DCDC0C4E6476}"/>
    <cellStyle name="Normal 2 2 2 19 2 2 2" xfId="9480" xr:uid="{66CA6DE3-42EF-477F-A2C1-82C11ED99B4C}"/>
    <cellStyle name="Normal 2 2 2 19 2 3" xfId="622" xr:uid="{5BB5DE04-199D-4621-B4DC-9874E4F5220F}"/>
    <cellStyle name="Normal 2 2 2 19 2 3 2" xfId="9481" xr:uid="{ED47247B-FC4E-41FF-A52F-1868A6D64176}"/>
    <cellStyle name="Normal 2 2 2 19 2 4" xfId="9479" xr:uid="{5DB4046C-04FC-4C50-B0ED-DFA5263ED3C3}"/>
    <cellStyle name="Normal 2 2 2 19 3" xfId="623" xr:uid="{D1A92A6F-95D1-40C5-89E2-C0106DBF86A1}"/>
    <cellStyle name="Normal 2 2 2 19 3 2" xfId="9482" xr:uid="{22481B5E-ED07-4B3A-833B-2928DAB124CC}"/>
    <cellStyle name="Normal 2 2 2 19 4" xfId="624" xr:uid="{1F25C573-B9BF-4BFD-AF56-71EF08BB9A1A}"/>
    <cellStyle name="Normal 2 2 2 19 4 2" xfId="9483" xr:uid="{3A4391BB-6B1D-471B-AFCD-DFA614D2D7E9}"/>
    <cellStyle name="Normal 2 2 2 19 5" xfId="9478" xr:uid="{B6B879AC-2251-4E2F-AE9B-BF77E6DC9C04}"/>
    <cellStyle name="Normal 2 2 2 2" xfId="625" xr:uid="{D8353A86-C799-48B5-A437-1D5DB2A21CA2}"/>
    <cellStyle name="Normal 2 2 2 2 2" xfId="626" xr:uid="{E70EB1EA-B877-4CA7-84B2-9574D15416D1}"/>
    <cellStyle name="Normal 2 2 2 2 2 2" xfId="627" xr:uid="{2134F055-8976-41C4-AC68-9D43D97B95B6}"/>
    <cellStyle name="Normal 2 2 2 2 2 2 2" xfId="9486" xr:uid="{586A9320-2BF7-48B3-B654-733AC42489E0}"/>
    <cellStyle name="Normal 2 2 2 2 2 3" xfId="628" xr:uid="{AA5ED01B-186E-4190-9B87-510351512D04}"/>
    <cellStyle name="Normal 2 2 2 2 2 3 2" xfId="9487" xr:uid="{BD2959DF-5A8B-4E95-9E0F-D750A3A75DB3}"/>
    <cellStyle name="Normal 2 2 2 2 2 4" xfId="9485" xr:uid="{85ACAA44-2EA0-48B6-B367-75C85AA6F84F}"/>
    <cellStyle name="Normal 2 2 2 2 3" xfId="629" xr:uid="{44F676A1-983F-4C5F-8C76-D8CA218F9BEB}"/>
    <cellStyle name="Normal 2 2 2 2 3 2" xfId="9488" xr:uid="{42A8E712-F0BD-4AD9-B8B1-3EA62C89A211}"/>
    <cellStyle name="Normal 2 2 2 2 4" xfId="630" xr:uid="{8A557C53-8D55-4130-92E1-65EC0CE2DE22}"/>
    <cellStyle name="Normal 2 2 2 2 4 2" xfId="9489" xr:uid="{6FC79EC2-7F3C-462D-8789-9D4BE74E07C3}"/>
    <cellStyle name="Normal 2 2 2 2 5" xfId="631" xr:uid="{B6841465-F648-4B1E-B57F-FCE82D12F98E}"/>
    <cellStyle name="Normal 2 2 2 2 6" xfId="632" xr:uid="{5934C876-C2B5-416C-A5E1-FB464ADE5B1A}"/>
    <cellStyle name="Normal 2 2 2 2 6 2" xfId="9490" xr:uid="{BBDBEF33-7311-4860-B318-97F47E68528A}"/>
    <cellStyle name="Normal 2 2 2 2 7" xfId="633" xr:uid="{C318F9A2-EA30-44E4-A4D4-60CA3D761FC2}"/>
    <cellStyle name="Normal 2 2 2 2 8" xfId="9484" xr:uid="{F05EA93D-0856-4448-881E-8BC99779642A}"/>
    <cellStyle name="Normal 2 2 2 20" xfId="634" xr:uid="{FFB5C013-92C7-4A52-B341-6E4130281EE1}"/>
    <cellStyle name="Normal 2 2 2 20 2" xfId="635" xr:uid="{3B372917-D533-4665-9FAD-988F309EF3DA}"/>
    <cellStyle name="Normal 2 2 2 20 2 2" xfId="636" xr:uid="{A4BD7976-F5BB-434B-96B5-25D7D4958A09}"/>
    <cellStyle name="Normal 2 2 2 20 2 2 2" xfId="9493" xr:uid="{168CBD1F-BFAB-43B2-AC0B-717FF934A13A}"/>
    <cellStyle name="Normal 2 2 2 20 2 3" xfId="637" xr:uid="{4CF0F3C0-DEC5-43D8-A4D6-8F569F9C30F8}"/>
    <cellStyle name="Normal 2 2 2 20 2 3 2" xfId="9494" xr:uid="{6EC588F8-9435-46A1-9E3C-B36AD4B8D933}"/>
    <cellStyle name="Normal 2 2 2 20 2 4" xfId="9492" xr:uid="{A9A1D18D-F51B-41BB-A3F5-EA6380AE39C4}"/>
    <cellStyle name="Normal 2 2 2 20 3" xfId="638" xr:uid="{6758B6B8-68D9-4641-84A6-52C381D56041}"/>
    <cellStyle name="Normal 2 2 2 20 3 2" xfId="9495" xr:uid="{AE0181CD-DD6B-41BE-88A4-D58B677B9D83}"/>
    <cellStyle name="Normal 2 2 2 20 4" xfId="639" xr:uid="{053EDDC1-C8A8-424A-A362-1234EB880E70}"/>
    <cellStyle name="Normal 2 2 2 20 4 2" xfId="9496" xr:uid="{720530A0-B7A3-4AE8-8C71-A00B88C56383}"/>
    <cellStyle name="Normal 2 2 2 20 5" xfId="9491" xr:uid="{AF42DE2C-8709-4624-B9C6-201FF1ABAFBC}"/>
    <cellStyle name="Normal 2 2 2 21" xfId="640" xr:uid="{9BE87B35-5A2B-44EF-B2AA-C5DBA085FC58}"/>
    <cellStyle name="Normal 2 2 2 21 2" xfId="641" xr:uid="{FC8C437F-7571-46A2-A076-290BFD4CEAF0}"/>
    <cellStyle name="Normal 2 2 2 21 2 2" xfId="642" xr:uid="{586241C8-50A7-4280-9B5F-CCB35C1B118B}"/>
    <cellStyle name="Normal 2 2 2 21 2 2 2" xfId="9499" xr:uid="{25D23B74-B39B-423A-990C-58D735DE22AB}"/>
    <cellStyle name="Normal 2 2 2 21 2 3" xfId="643" xr:uid="{79B860EA-95E3-448E-8526-143A2DC3C085}"/>
    <cellStyle name="Normal 2 2 2 21 2 3 2" xfId="9500" xr:uid="{35169BA7-3035-4A24-8030-AC4F8DF24A14}"/>
    <cellStyle name="Normal 2 2 2 21 2 4" xfId="9498" xr:uid="{C796DC2D-5E08-4EF8-8F86-9958979D62D6}"/>
    <cellStyle name="Normal 2 2 2 21 3" xfId="644" xr:uid="{D74BA01A-80B8-45BE-8ACA-4D126633BEF0}"/>
    <cellStyle name="Normal 2 2 2 21 3 2" xfId="9501" xr:uid="{51C64355-E742-4EEB-A84D-4DF4079D1F3A}"/>
    <cellStyle name="Normal 2 2 2 21 4" xfId="645" xr:uid="{EC5D03F9-8F14-4C7F-9F75-A85AA3C5620E}"/>
    <cellStyle name="Normal 2 2 2 21 4 2" xfId="9502" xr:uid="{4456B89C-4D59-4FE6-8676-8DB22943774C}"/>
    <cellStyle name="Normal 2 2 2 21 5" xfId="9497" xr:uid="{2D7B76B9-EC91-42D5-BD9E-22FBC15707B3}"/>
    <cellStyle name="Normal 2 2 2 22" xfId="646" xr:uid="{D306FD29-2925-446E-A1D2-B72A3DF10C69}"/>
    <cellStyle name="Normal 2 2 2 22 2" xfId="647" xr:uid="{3A709258-72F9-4113-B513-A4AAD0649E73}"/>
    <cellStyle name="Normal 2 2 2 22 2 2" xfId="648" xr:uid="{6BEF62A7-70AB-4824-9BF7-F57061817AFE}"/>
    <cellStyle name="Normal 2 2 2 22 2 2 2" xfId="9505" xr:uid="{D80EC498-2444-48B8-A188-1C8C2B74F103}"/>
    <cellStyle name="Normal 2 2 2 22 2 3" xfId="649" xr:uid="{D46BA805-B19B-40F0-BD44-C4E713AE66C4}"/>
    <cellStyle name="Normal 2 2 2 22 2 3 2" xfId="9506" xr:uid="{D0CF82C2-E21C-4C48-B46C-F0D1618712B1}"/>
    <cellStyle name="Normal 2 2 2 22 2 4" xfId="9504" xr:uid="{6DCF62E4-2E26-4343-9463-93B69067822F}"/>
    <cellStyle name="Normal 2 2 2 22 3" xfId="650" xr:uid="{FAB3A407-D42E-4CD8-8F7B-3F727DCF1459}"/>
    <cellStyle name="Normal 2 2 2 22 3 2" xfId="9507" xr:uid="{EA0E6338-8C58-4D7E-9970-6320A6BDD2C4}"/>
    <cellStyle name="Normal 2 2 2 22 4" xfId="651" xr:uid="{C8402F3D-6D3F-493C-8228-625836D9704A}"/>
    <cellStyle name="Normal 2 2 2 22 4 2" xfId="9508" xr:uid="{3B2E83E9-6C14-4104-9E9D-A659C1EFE493}"/>
    <cellStyle name="Normal 2 2 2 22 5" xfId="9503" xr:uid="{D850B9EE-F74E-4E59-A449-753A478A27B6}"/>
    <cellStyle name="Normal 2 2 2 23" xfId="652" xr:uid="{AEC58E27-095D-47CF-B389-9D792DD2CA3E}"/>
    <cellStyle name="Normal 2 2 2 23 2" xfId="653" xr:uid="{F6D14AB9-72F8-4782-AD4A-D442DAA8600C}"/>
    <cellStyle name="Normal 2 2 2 23 2 2" xfId="654" xr:uid="{EA3F034E-D19C-46C4-B7D8-F6EEA40BC54F}"/>
    <cellStyle name="Normal 2 2 2 23 2 2 2" xfId="9511" xr:uid="{CFA61EFD-CF8D-4A99-8925-D15E38BF34B2}"/>
    <cellStyle name="Normal 2 2 2 23 2 3" xfId="655" xr:uid="{48B36ED4-6488-4452-A1EE-2AA0F24F1ACC}"/>
    <cellStyle name="Normal 2 2 2 23 2 3 2" xfId="9512" xr:uid="{B52B2D67-51F7-40E7-A997-109A7B276E2F}"/>
    <cellStyle name="Normal 2 2 2 23 2 4" xfId="9510" xr:uid="{52F42ADC-6A26-4F86-A499-993F6BA5B666}"/>
    <cellStyle name="Normal 2 2 2 23 3" xfId="656" xr:uid="{A987F409-3F56-470A-B30A-BA8777A20073}"/>
    <cellStyle name="Normal 2 2 2 23 3 2" xfId="9513" xr:uid="{1C07FAB7-EC11-4171-9C28-0CC970DFCE4A}"/>
    <cellStyle name="Normal 2 2 2 23 4" xfId="657" xr:uid="{2AF53244-64B7-42CF-B2EC-649AC4558497}"/>
    <cellStyle name="Normal 2 2 2 23 4 2" xfId="9514" xr:uid="{1C0AFBF4-C8FF-4003-9507-F431BE799332}"/>
    <cellStyle name="Normal 2 2 2 23 5" xfId="9509" xr:uid="{21A566BF-98A5-4CD4-924E-800E5840FF1E}"/>
    <cellStyle name="Normal 2 2 2 24" xfId="658" xr:uid="{801E74B2-3309-4774-8CA4-92B97996AC98}"/>
    <cellStyle name="Normal 2 2 2 24 2" xfId="659" xr:uid="{E69EC604-E75C-4761-B00C-75A7AD9F389B}"/>
    <cellStyle name="Normal 2 2 2 24 2 2" xfId="660" xr:uid="{CAA9BAF0-1875-435C-BBC9-6223A70E98D2}"/>
    <cellStyle name="Normal 2 2 2 24 2 2 2" xfId="9517" xr:uid="{D28D6EC0-71A9-4CBE-853B-91A60FD6F83F}"/>
    <cellStyle name="Normal 2 2 2 24 2 3" xfId="661" xr:uid="{8D51CD6A-354A-4315-B73B-FF3DB82A4D7A}"/>
    <cellStyle name="Normal 2 2 2 24 2 3 2" xfId="9518" xr:uid="{3EC059ED-F118-4A21-8A63-4DED8E933E44}"/>
    <cellStyle name="Normal 2 2 2 24 2 4" xfId="9516" xr:uid="{AB6F9346-5C8B-45D8-87FF-E08D1D41A14E}"/>
    <cellStyle name="Normal 2 2 2 24 3" xfId="662" xr:uid="{1C0341CE-AA5B-4AAB-9C2D-B33F71E2F147}"/>
    <cellStyle name="Normal 2 2 2 24 3 2" xfId="9519" xr:uid="{9A1117DC-F40A-4C86-B186-C80FA598038D}"/>
    <cellStyle name="Normal 2 2 2 24 4" xfId="663" xr:uid="{2C367B1A-88DB-47CF-A8E7-22E4C3369F03}"/>
    <cellStyle name="Normal 2 2 2 24 4 2" xfId="9520" xr:uid="{D9C89493-7A60-48C3-A036-54F4AAC93AC8}"/>
    <cellStyle name="Normal 2 2 2 24 5" xfId="9515" xr:uid="{6580951D-83EC-46AE-93AA-8B3F17C118D8}"/>
    <cellStyle name="Normal 2 2 2 25" xfId="664" xr:uid="{3A7E0D44-0C33-4977-85A5-8F627690F43C}"/>
    <cellStyle name="Normal 2 2 2 25 2" xfId="665" xr:uid="{DA7B9FCD-858A-4246-97B8-2A3BB4E528A3}"/>
    <cellStyle name="Normal 2 2 2 25 2 2" xfId="666" xr:uid="{87756D82-4CB7-4483-832F-0C8485A28ADC}"/>
    <cellStyle name="Normal 2 2 2 25 2 2 2" xfId="9523" xr:uid="{F2CE9EFB-09CD-4BD9-B351-741B97AF8C44}"/>
    <cellStyle name="Normal 2 2 2 25 2 3" xfId="667" xr:uid="{50710951-E4A5-414B-9A6F-CE766CC06B70}"/>
    <cellStyle name="Normal 2 2 2 25 2 3 2" xfId="9524" xr:uid="{54456BA6-741B-452E-90BF-0FF6D45C3807}"/>
    <cellStyle name="Normal 2 2 2 25 2 4" xfId="9522" xr:uid="{F9A5928E-E5F3-470C-8925-DC518588DF96}"/>
    <cellStyle name="Normal 2 2 2 25 3" xfId="668" xr:uid="{880318DC-0236-419E-B06E-FC149475147B}"/>
    <cellStyle name="Normal 2 2 2 25 3 2" xfId="9525" xr:uid="{974C337D-8C3C-46DE-8615-B1B2E81F4DC2}"/>
    <cellStyle name="Normal 2 2 2 25 4" xfId="669" xr:uid="{EEDD305F-9800-462C-A70E-BD5B78B2A9EB}"/>
    <cellStyle name="Normal 2 2 2 25 4 2" xfId="9526" xr:uid="{E9197107-3F8A-4103-964E-024745A1F63E}"/>
    <cellStyle name="Normal 2 2 2 25 5" xfId="9521" xr:uid="{ABF8061D-0B8C-46F1-9267-31D3B7E70B7B}"/>
    <cellStyle name="Normal 2 2 2 26" xfId="670" xr:uid="{C312652E-1FE8-46E4-83B9-7C482D00C436}"/>
    <cellStyle name="Normal 2 2 2 26 2" xfId="671" xr:uid="{2C5C88B2-366A-48CD-9E68-94D83424C0F7}"/>
    <cellStyle name="Normal 2 2 2 26 2 2" xfId="672" xr:uid="{B12C9A8D-A832-4B4A-9C53-2BC3590FE26B}"/>
    <cellStyle name="Normal 2 2 2 26 2 2 2" xfId="9529" xr:uid="{AE90130E-C09A-485E-91B5-675C9CC03946}"/>
    <cellStyle name="Normal 2 2 2 26 2 3" xfId="673" xr:uid="{DCDA6876-51AA-42C0-9F5A-0D91AF49040E}"/>
    <cellStyle name="Normal 2 2 2 26 2 3 2" xfId="9530" xr:uid="{B65EF099-D045-40E3-9B53-277884D0B428}"/>
    <cellStyle name="Normal 2 2 2 26 2 4" xfId="9528" xr:uid="{51C58469-18DB-4ADC-9A74-7BBBD487C32A}"/>
    <cellStyle name="Normal 2 2 2 26 3" xfId="674" xr:uid="{2FA81DC5-244B-4A46-9010-0AF73D6E46DB}"/>
    <cellStyle name="Normal 2 2 2 26 3 2" xfId="9531" xr:uid="{311E536D-AC90-4F36-9791-4A692D0AD9FC}"/>
    <cellStyle name="Normal 2 2 2 26 4" xfId="675" xr:uid="{20910B93-F018-40C1-A232-2BD10BB414EE}"/>
    <cellStyle name="Normal 2 2 2 26 4 2" xfId="9532" xr:uid="{DFE7133B-125B-420F-851E-9EBE2B7271C1}"/>
    <cellStyle name="Normal 2 2 2 26 5" xfId="9527" xr:uid="{5388F57E-2C93-4FEB-9239-3DCD5DF600F0}"/>
    <cellStyle name="Normal 2 2 2 27" xfId="676" xr:uid="{46C8E3DE-D6D1-4D52-99D7-B53928C74BA4}"/>
    <cellStyle name="Normal 2 2 2 27 2" xfId="677" xr:uid="{F6C4C64E-4675-47B1-83BA-36581C99BFBD}"/>
    <cellStyle name="Normal 2 2 2 27 2 2" xfId="678" xr:uid="{BDA6DA4D-2866-4E9B-8382-B1F3B7F90871}"/>
    <cellStyle name="Normal 2 2 2 27 2 2 2" xfId="9535" xr:uid="{397B8E56-5A2A-4990-A9B8-0741CFE7D1D6}"/>
    <cellStyle name="Normal 2 2 2 27 2 3" xfId="679" xr:uid="{DAAE1CD5-0419-4F63-A3B7-3505E1BF8727}"/>
    <cellStyle name="Normal 2 2 2 27 2 3 2" xfId="9536" xr:uid="{B86B0948-9D33-49FA-BFE5-57DAB3EADFEC}"/>
    <cellStyle name="Normal 2 2 2 27 2 4" xfId="9534" xr:uid="{0BCD26A9-F965-4C2C-AA73-5779E747E325}"/>
    <cellStyle name="Normal 2 2 2 27 3" xfId="680" xr:uid="{CAD1CC18-8D10-41FE-8F49-E5A5C1A37E3D}"/>
    <cellStyle name="Normal 2 2 2 27 3 2" xfId="9537" xr:uid="{44C1B7AC-C6EA-409A-92D5-9325FEBDF131}"/>
    <cellStyle name="Normal 2 2 2 27 4" xfId="681" xr:uid="{9C952D17-0790-486B-8F18-B9BCE3751602}"/>
    <cellStyle name="Normal 2 2 2 27 4 2" xfId="9538" xr:uid="{9309FE01-2F9C-4CB9-986F-476AA47A5AD7}"/>
    <cellStyle name="Normal 2 2 2 27 5" xfId="9533" xr:uid="{C0ED0D23-02D5-45C6-9CE7-7FFFACB04429}"/>
    <cellStyle name="Normal 2 2 2 28" xfId="682" xr:uid="{3AD8A516-82D6-4CAE-9028-BF82BFF7CB96}"/>
    <cellStyle name="Normal 2 2 2 28 2" xfId="683" xr:uid="{396A3490-F232-41E1-9C31-C4C6D5755100}"/>
    <cellStyle name="Normal 2 2 2 28 2 2" xfId="684" xr:uid="{D6DB7377-A2FA-4358-9E3F-BFD75165F92C}"/>
    <cellStyle name="Normal 2 2 2 28 2 2 2" xfId="9541" xr:uid="{4A994F47-ADBB-404C-844B-069009ED9D46}"/>
    <cellStyle name="Normal 2 2 2 28 2 3" xfId="685" xr:uid="{5CD0D6B5-F5E5-4DFD-AF83-D5D8E176FE9E}"/>
    <cellStyle name="Normal 2 2 2 28 2 3 2" xfId="9542" xr:uid="{E12B4FCB-1FBD-42F2-8857-0AC3809C4003}"/>
    <cellStyle name="Normal 2 2 2 28 2 4" xfId="9540" xr:uid="{88F43599-3B52-4924-9DDB-3F24028CA09F}"/>
    <cellStyle name="Normal 2 2 2 28 3" xfId="686" xr:uid="{8310347F-53B2-4F8A-AEDD-E3724807F15E}"/>
    <cellStyle name="Normal 2 2 2 28 3 2" xfId="9543" xr:uid="{382FF3E0-4232-4D20-A53F-BF142F717D5B}"/>
    <cellStyle name="Normal 2 2 2 28 4" xfId="687" xr:uid="{A298F159-06FA-46B7-A456-A820F55B6793}"/>
    <cellStyle name="Normal 2 2 2 28 4 2" xfId="9544" xr:uid="{3605DCAE-DF6A-4A2B-ADAE-AA39E3E3C0A9}"/>
    <cellStyle name="Normal 2 2 2 28 5" xfId="9539" xr:uid="{F62071DA-DD12-46A9-A909-E7535339E412}"/>
    <cellStyle name="Normal 2 2 2 29" xfId="688" xr:uid="{9C0F428C-1167-4544-8D11-7C4263A6EBF2}"/>
    <cellStyle name="Normal 2 2 2 29 2" xfId="689" xr:uid="{76F05589-E7CC-44CB-8BC1-E4EDCE067579}"/>
    <cellStyle name="Normal 2 2 2 29 2 2" xfId="690" xr:uid="{B72AA7A7-A91E-4ADF-8AD9-818363B4EAD0}"/>
    <cellStyle name="Normal 2 2 2 29 2 2 2" xfId="9547" xr:uid="{C66373A7-1E41-4660-A521-3086DA5EC633}"/>
    <cellStyle name="Normal 2 2 2 29 2 3" xfId="691" xr:uid="{7B259C04-9A94-47E1-A6B2-8ED42BDEFA6F}"/>
    <cellStyle name="Normal 2 2 2 29 2 3 2" xfId="9548" xr:uid="{E1912679-B72B-494B-ABFB-30001A8B1AB6}"/>
    <cellStyle name="Normal 2 2 2 29 2 4" xfId="9546" xr:uid="{F2961EB0-95E8-4E24-B401-ACA789490F1F}"/>
    <cellStyle name="Normal 2 2 2 29 3" xfId="692" xr:uid="{4036FD5A-D98D-47DD-B96E-770005B86B76}"/>
    <cellStyle name="Normal 2 2 2 29 3 2" xfId="9549" xr:uid="{BD3C65B1-86AE-4421-868F-34D4150E461C}"/>
    <cellStyle name="Normal 2 2 2 29 4" xfId="693" xr:uid="{4DED130B-C809-4941-9BC5-8A1275D70401}"/>
    <cellStyle name="Normal 2 2 2 29 4 2" xfId="9550" xr:uid="{89C3EEE8-187B-43F7-9580-FDF27D5F9338}"/>
    <cellStyle name="Normal 2 2 2 29 5" xfId="9545" xr:uid="{D5F09843-15C8-467A-AC2E-CE3499914028}"/>
    <cellStyle name="Normal 2 2 2 3" xfId="694" xr:uid="{B8C51809-D95E-4FF4-80FC-E7F38B8AB200}"/>
    <cellStyle name="Normal 2 2 2 3 2" xfId="695" xr:uid="{4E4A15DF-3789-4E6A-9689-FB2586D19F8C}"/>
    <cellStyle name="Normal 2 2 2 3 2 2" xfId="696" xr:uid="{74C75932-167F-482A-875A-D15985363AF1}"/>
    <cellStyle name="Normal 2 2 2 3 2 2 2" xfId="9553" xr:uid="{CA50D117-9C01-47A2-A9C8-FA8779A2DE4C}"/>
    <cellStyle name="Normal 2 2 2 3 2 3" xfId="697" xr:uid="{144324C1-611F-423E-91A0-29ABF9274824}"/>
    <cellStyle name="Normal 2 2 2 3 2 3 2" xfId="9554" xr:uid="{8215AD49-B4AE-4763-9503-88AF5051F3B9}"/>
    <cellStyle name="Normal 2 2 2 3 2 4" xfId="9552" xr:uid="{0A9AA373-BBEB-42C8-B311-35EC8A3F59B9}"/>
    <cellStyle name="Normal 2 2 2 3 3" xfId="698" xr:uid="{9E307D05-4F0E-49B9-9CDE-EE697D987376}"/>
    <cellStyle name="Normal 2 2 2 3 3 2" xfId="9555" xr:uid="{8FBC9E1D-EEBE-4791-A398-2656C092C2BE}"/>
    <cellStyle name="Normal 2 2 2 3 4" xfId="699" xr:uid="{5E2CCD44-D63B-4ACE-A465-AE7C00C1CDC8}"/>
    <cellStyle name="Normal 2 2 2 3 4 2" xfId="9556" xr:uid="{EC74EB8D-2DAE-4422-8D12-058430D7B43E}"/>
    <cellStyle name="Normal 2 2 2 3 5" xfId="9551" xr:uid="{C1EEE2F8-AA91-42F8-9A87-783D6A50A39A}"/>
    <cellStyle name="Normal 2 2 2 30" xfId="700" xr:uid="{0A9F3F2F-8EEF-486E-B73D-1499F4A04E02}"/>
    <cellStyle name="Normal 2 2 2 30 2" xfId="701" xr:uid="{28C36E6E-4ED5-435A-A684-539B8CBED6A5}"/>
    <cellStyle name="Normal 2 2 2 30 2 2" xfId="702" xr:uid="{50B092B5-08AD-4376-BB7B-C9DA915904BA}"/>
    <cellStyle name="Normal 2 2 2 30 2 2 2" xfId="9559" xr:uid="{9C56F66E-90AA-4D08-8D4E-2878340E5D7D}"/>
    <cellStyle name="Normal 2 2 2 30 2 3" xfId="703" xr:uid="{D7CEBECA-F96C-4824-A8EB-2E001E610A0B}"/>
    <cellStyle name="Normal 2 2 2 30 2 3 2" xfId="9560" xr:uid="{428CE55D-BE42-4950-BFAF-4DD8BFEA0042}"/>
    <cellStyle name="Normal 2 2 2 30 2 4" xfId="9558" xr:uid="{81E39273-7CBF-455B-AFD9-48799AE0A815}"/>
    <cellStyle name="Normal 2 2 2 30 3" xfId="704" xr:uid="{65C802F0-19A7-4CFA-9883-BEACB8F32D53}"/>
    <cellStyle name="Normal 2 2 2 30 3 2" xfId="9561" xr:uid="{4D372042-4D7C-43F4-ACEE-7664E1708A05}"/>
    <cellStyle name="Normal 2 2 2 30 4" xfId="705" xr:uid="{408EE6CB-68FF-485C-AE81-A2C53ACE57E8}"/>
    <cellStyle name="Normal 2 2 2 30 4 2" xfId="9562" xr:uid="{E3A3785A-6A04-4B97-BAF6-11958C25F302}"/>
    <cellStyle name="Normal 2 2 2 30 5" xfId="9557" xr:uid="{8B0EA503-4329-4596-8CA0-988798A71CAE}"/>
    <cellStyle name="Normal 2 2 2 31" xfId="706" xr:uid="{1B2F52FE-2E52-4134-8633-A13A3E37076D}"/>
    <cellStyle name="Normal 2 2 2 31 2" xfId="707" xr:uid="{870CDEE1-8E65-42B8-966F-3BF0EB28FEA1}"/>
    <cellStyle name="Normal 2 2 2 31 2 2" xfId="708" xr:uid="{E7B3734C-232D-44DC-8323-C35719D8C83A}"/>
    <cellStyle name="Normal 2 2 2 31 2 2 2" xfId="9565" xr:uid="{D2E2FF7B-6CF6-4DD6-BD60-B4ECE9220BE1}"/>
    <cellStyle name="Normal 2 2 2 31 2 3" xfId="709" xr:uid="{36501924-2C5A-4EF0-B9C5-A654AEF6D2FF}"/>
    <cellStyle name="Normal 2 2 2 31 2 3 2" xfId="9566" xr:uid="{CA8325A9-ACDE-45DE-B076-B3044F62C755}"/>
    <cellStyle name="Normal 2 2 2 31 2 4" xfId="9564" xr:uid="{8AA84FF8-1F6F-4C15-888A-0ED286D0DE10}"/>
    <cellStyle name="Normal 2 2 2 31 3" xfId="710" xr:uid="{DCC3D543-FE6E-4E73-A7AD-82425E44AA83}"/>
    <cellStyle name="Normal 2 2 2 31 3 2" xfId="9567" xr:uid="{A6E951C3-C375-4D5F-823A-B48E9C71FAA0}"/>
    <cellStyle name="Normal 2 2 2 31 4" xfId="711" xr:uid="{220A4844-D9FE-45DD-85AD-988F46C04419}"/>
    <cellStyle name="Normal 2 2 2 31 4 2" xfId="9568" xr:uid="{2764EE85-5DC5-4952-85C4-EC7179D05178}"/>
    <cellStyle name="Normal 2 2 2 31 5" xfId="9563" xr:uid="{3A8F9850-755D-4BB3-9627-224EB26315CA}"/>
    <cellStyle name="Normal 2 2 2 32" xfId="712" xr:uid="{47C7500D-8836-447F-85E5-0B5D48C072BE}"/>
    <cellStyle name="Normal 2 2 2 32 2" xfId="713" xr:uid="{C59F654D-F7B2-4C45-AB31-1BBCFC08528B}"/>
    <cellStyle name="Normal 2 2 2 32 2 2" xfId="714" xr:uid="{D3458ACD-891E-4491-B7C0-91C07CA3FA49}"/>
    <cellStyle name="Normal 2 2 2 32 2 2 2" xfId="9571" xr:uid="{994C9BA7-FD1B-4CAE-AE57-9B6F76AE134F}"/>
    <cellStyle name="Normal 2 2 2 32 2 3" xfId="715" xr:uid="{4F0BD8E8-489B-4681-9632-4290E1965E65}"/>
    <cellStyle name="Normal 2 2 2 32 2 3 2" xfId="9572" xr:uid="{01FF6A4D-B21B-4CD5-AA29-49DBC69C96CD}"/>
    <cellStyle name="Normal 2 2 2 32 2 4" xfId="9570" xr:uid="{4B787C38-7AC8-4E61-AAA1-DB5CC985477D}"/>
    <cellStyle name="Normal 2 2 2 32 3" xfId="716" xr:uid="{A185EA8F-26F5-420A-B73F-765536B92310}"/>
    <cellStyle name="Normal 2 2 2 32 3 2" xfId="9573" xr:uid="{3789F3DF-391C-421C-9220-C2DC67815180}"/>
    <cellStyle name="Normal 2 2 2 32 4" xfId="717" xr:uid="{EE95F091-9C48-4BF9-9505-2ABA7B5A5B36}"/>
    <cellStyle name="Normal 2 2 2 32 4 2" xfId="9574" xr:uid="{B540DF0A-D8FC-4CAD-9A34-89BB1D0027D8}"/>
    <cellStyle name="Normal 2 2 2 32 5" xfId="9569" xr:uid="{3BC8BEDE-2ED3-497B-BA70-6EFB16C2F8A4}"/>
    <cellStyle name="Normal 2 2 2 33" xfId="718" xr:uid="{05A01D6F-D0F9-420D-8703-7A8E640FE9AC}"/>
    <cellStyle name="Normal 2 2 2 33 2" xfId="719" xr:uid="{B659911F-38D8-48D5-9449-98D0BAA4BA70}"/>
    <cellStyle name="Normal 2 2 2 33 2 2" xfId="720" xr:uid="{FB849743-93C7-4DB1-8FE1-3E4358D380CF}"/>
    <cellStyle name="Normal 2 2 2 33 2 2 2" xfId="9577" xr:uid="{91A08906-BD6A-4B45-8B0C-796DBB0ED4C1}"/>
    <cellStyle name="Normal 2 2 2 33 2 3" xfId="721" xr:uid="{6F5282E2-DB65-4777-A3FB-E9C68C186202}"/>
    <cellStyle name="Normal 2 2 2 33 2 3 2" xfId="9578" xr:uid="{B9F80EE6-AC89-4479-A41B-871B5F72968A}"/>
    <cellStyle name="Normal 2 2 2 33 2 4" xfId="9576" xr:uid="{40EE06A0-F4AD-45B5-92F9-339C4BC37815}"/>
    <cellStyle name="Normal 2 2 2 33 3" xfId="722" xr:uid="{E9A10D91-D869-4296-B654-C56BF3F62300}"/>
    <cellStyle name="Normal 2 2 2 33 3 2" xfId="9579" xr:uid="{FD767045-5A0B-4E2A-B616-2EA29A4848F3}"/>
    <cellStyle name="Normal 2 2 2 33 4" xfId="723" xr:uid="{6EA55502-5BA2-4A9D-8839-C0EB0BF56269}"/>
    <cellStyle name="Normal 2 2 2 33 4 2" xfId="9580" xr:uid="{508744B5-42E5-4DA5-9065-4EE2C82BD68F}"/>
    <cellStyle name="Normal 2 2 2 33 5" xfId="9575" xr:uid="{21C41F1A-D02D-4225-A29B-E1E698D92D21}"/>
    <cellStyle name="Normal 2 2 2 34" xfId="724" xr:uid="{4DAD9213-8E49-49A3-A1A4-10AD719AAB80}"/>
    <cellStyle name="Normal 2 2 2 34 2" xfId="725" xr:uid="{4E93B30E-A06A-456B-B0DE-AC9D704DF8B1}"/>
    <cellStyle name="Normal 2 2 2 34 2 2" xfId="726" xr:uid="{AEC4FA31-2AB6-4CB2-B1FA-25D756F51CDB}"/>
    <cellStyle name="Normal 2 2 2 34 2 2 2" xfId="9583" xr:uid="{2FFACB7B-5D6C-48A9-8529-349FA5BC2483}"/>
    <cellStyle name="Normal 2 2 2 34 2 3" xfId="727" xr:uid="{EA30DB88-53AD-4835-B96A-71DEC6BA85BC}"/>
    <cellStyle name="Normal 2 2 2 34 2 3 2" xfId="9584" xr:uid="{5E34F028-4031-4444-8265-D64D63BC231A}"/>
    <cellStyle name="Normal 2 2 2 34 2 4" xfId="9582" xr:uid="{7C5DB40E-2956-4579-86E9-C66E825B3FD7}"/>
    <cellStyle name="Normal 2 2 2 34 3" xfId="728" xr:uid="{908B0FF4-5B3D-4A13-B7A4-3AE20F8478C0}"/>
    <cellStyle name="Normal 2 2 2 34 3 2" xfId="9585" xr:uid="{EBB80E31-B8E3-4897-88BD-70A4A58348A4}"/>
    <cellStyle name="Normal 2 2 2 34 4" xfId="729" xr:uid="{C1F659E8-F6B4-4ABD-9998-ECA306624FA8}"/>
    <cellStyle name="Normal 2 2 2 34 4 2" xfId="9586" xr:uid="{DC3DE317-4D1E-42A8-9393-21B3A53C696C}"/>
    <cellStyle name="Normal 2 2 2 34 5" xfId="9581" xr:uid="{67CD2015-0467-44B4-8755-ABEEA7A27450}"/>
    <cellStyle name="Normal 2 2 2 35" xfId="730" xr:uid="{69294E41-432B-4A67-96D9-7BE3E22B2295}"/>
    <cellStyle name="Normal 2 2 2 35 2" xfId="731" xr:uid="{D6CA1889-F643-4CBE-A502-154A52A5A7DA}"/>
    <cellStyle name="Normal 2 2 2 35 2 2" xfId="732" xr:uid="{B6DCCA61-8882-47D6-B95B-AF03936D00CD}"/>
    <cellStyle name="Normal 2 2 2 35 2 2 2" xfId="9589" xr:uid="{1BDF8F28-3242-4D3D-82EF-3D7C47EFB8E7}"/>
    <cellStyle name="Normal 2 2 2 35 2 3" xfId="733" xr:uid="{BFD438D3-3D27-41EA-93B9-02EC459D541F}"/>
    <cellStyle name="Normal 2 2 2 35 2 3 2" xfId="9590" xr:uid="{BC6F6434-9275-4CD1-84F0-C36A2FA0D4AE}"/>
    <cellStyle name="Normal 2 2 2 35 2 4" xfId="9588" xr:uid="{2D2DDD92-9A70-4B22-A5F9-BB7A707239DA}"/>
    <cellStyle name="Normal 2 2 2 35 3" xfId="734" xr:uid="{BA5C3479-E85E-4F44-BD0D-B600268E4C3E}"/>
    <cellStyle name="Normal 2 2 2 35 3 2" xfId="9591" xr:uid="{AA3C8DE8-988A-4980-A757-42A261F50F4B}"/>
    <cellStyle name="Normal 2 2 2 35 4" xfId="735" xr:uid="{E6E36199-C450-4189-A78D-704D05601EEB}"/>
    <cellStyle name="Normal 2 2 2 35 4 2" xfId="9592" xr:uid="{CF68E9D2-EFA5-4A24-A2B6-72041DE2782F}"/>
    <cellStyle name="Normal 2 2 2 35 5" xfId="9587" xr:uid="{5950B6C1-30C4-44FA-8E71-F53B024ADA72}"/>
    <cellStyle name="Normal 2 2 2 36" xfId="736" xr:uid="{46FCF88F-FAB2-4D20-83DB-9C152F6A91D6}"/>
    <cellStyle name="Normal 2 2 2 36 2" xfId="737" xr:uid="{B7880F7B-AE21-4AA9-900E-9CD4990B2057}"/>
    <cellStyle name="Normal 2 2 2 36 2 2" xfId="738" xr:uid="{1AE5BC4B-0734-4903-87AC-39C68FC93F1A}"/>
    <cellStyle name="Normal 2 2 2 36 2 2 2" xfId="9595" xr:uid="{7DE5DCB4-855D-426C-862E-3804249669B4}"/>
    <cellStyle name="Normal 2 2 2 36 2 3" xfId="739" xr:uid="{7AFAAFC9-70BA-4111-AA14-4709996C7B83}"/>
    <cellStyle name="Normal 2 2 2 36 2 3 2" xfId="9596" xr:uid="{7A572E5A-46FD-4BC1-999C-D84A65C4AFEA}"/>
    <cellStyle name="Normal 2 2 2 36 2 4" xfId="9594" xr:uid="{823AA706-CB79-46A3-BC48-DAAD02C82D8C}"/>
    <cellStyle name="Normal 2 2 2 36 3" xfId="740" xr:uid="{3655EFA3-4B63-443E-86D3-7B08564AD425}"/>
    <cellStyle name="Normal 2 2 2 36 3 2" xfId="9597" xr:uid="{B2833036-110B-46C3-B5DE-AAFAA630BADF}"/>
    <cellStyle name="Normal 2 2 2 36 4" xfId="741" xr:uid="{A4A5F3E8-457D-4849-BE91-8DB038ABF773}"/>
    <cellStyle name="Normal 2 2 2 36 4 2" xfId="9598" xr:uid="{E025AF0D-B251-4838-92D4-0EEAA22A2948}"/>
    <cellStyle name="Normal 2 2 2 36 5" xfId="9593" xr:uid="{7C07340D-1936-45C7-830C-827953987E41}"/>
    <cellStyle name="Normal 2 2 2 37" xfId="742" xr:uid="{BE5AA465-06D4-4DF9-A74D-EA5E5379BB0C}"/>
    <cellStyle name="Normal 2 2 2 37 2" xfId="743" xr:uid="{A994C654-D885-4F71-9389-35ADC2A31480}"/>
    <cellStyle name="Normal 2 2 2 37 2 2" xfId="744" xr:uid="{1B523E36-E9AB-4412-BE95-D612A5CD8738}"/>
    <cellStyle name="Normal 2 2 2 37 2 2 2" xfId="9601" xr:uid="{4B238394-6858-407C-B9BD-76930896517D}"/>
    <cellStyle name="Normal 2 2 2 37 2 3" xfId="745" xr:uid="{87D49E02-75E6-4628-B976-BC246AAAD75F}"/>
    <cellStyle name="Normal 2 2 2 37 2 3 2" xfId="9602" xr:uid="{4EA6CDC6-EF66-4086-87FE-FFE1CE628A21}"/>
    <cellStyle name="Normal 2 2 2 37 2 4" xfId="9600" xr:uid="{8FBEB3A6-15F6-42A8-AFAA-E95064330BBC}"/>
    <cellStyle name="Normal 2 2 2 37 3" xfId="746" xr:uid="{A9F18EBE-6FA4-44F7-9DD0-02C162F4F5F5}"/>
    <cellStyle name="Normal 2 2 2 37 3 2" xfId="9603" xr:uid="{D97DF02D-5B88-4766-9F17-ADB661F1F568}"/>
    <cellStyle name="Normal 2 2 2 37 4" xfId="747" xr:uid="{59FD322D-DA64-4423-8DBE-1A216F69A5BF}"/>
    <cellStyle name="Normal 2 2 2 37 4 2" xfId="9604" xr:uid="{C7AC402A-52C4-465E-B9FD-69AD8311459A}"/>
    <cellStyle name="Normal 2 2 2 37 5" xfId="9599" xr:uid="{8F440496-5BB8-464B-8D4F-47050941ADA9}"/>
    <cellStyle name="Normal 2 2 2 38" xfId="748" xr:uid="{64503383-56AD-4A94-8AEC-7E7AEBE0EB06}"/>
    <cellStyle name="Normal 2 2 2 38 2" xfId="749" xr:uid="{4919E793-15DB-41E9-85E0-AEA96C7484F3}"/>
    <cellStyle name="Normal 2 2 2 38 2 2" xfId="750" xr:uid="{A4B97AED-EBDB-4EFE-B068-4F4E707FBA98}"/>
    <cellStyle name="Normal 2 2 2 38 2 2 2" xfId="9607" xr:uid="{C35FAC69-D040-414D-80BA-DE85C620DFBC}"/>
    <cellStyle name="Normal 2 2 2 38 2 3" xfId="751" xr:uid="{4454E738-F92C-42FC-9B39-179EC617E0D4}"/>
    <cellStyle name="Normal 2 2 2 38 2 3 2" xfId="9608" xr:uid="{38CF9F22-0547-4087-A7FF-7050A87D675D}"/>
    <cellStyle name="Normal 2 2 2 38 2 4" xfId="9606" xr:uid="{73360F44-74AB-44BA-8E91-BFB45B895662}"/>
    <cellStyle name="Normal 2 2 2 38 3" xfId="752" xr:uid="{BAD0BC22-B4CE-4DF3-8F99-E62A6B40B6D0}"/>
    <cellStyle name="Normal 2 2 2 38 3 2" xfId="9609" xr:uid="{90CCB3FC-4879-43D4-A9B2-0A6BB7F420FB}"/>
    <cellStyle name="Normal 2 2 2 38 4" xfId="753" xr:uid="{23552611-4597-4AF4-9B45-7A5B7A9E575E}"/>
    <cellStyle name="Normal 2 2 2 38 4 2" xfId="9610" xr:uid="{730E79E7-3430-451E-BE56-298A591E8015}"/>
    <cellStyle name="Normal 2 2 2 38 5" xfId="9605" xr:uid="{38574BA2-40D6-43D3-A984-8C11550D5B0E}"/>
    <cellStyle name="Normal 2 2 2 39" xfId="754" xr:uid="{186A4DD3-93F1-40CA-87AE-8665CA6ED3D2}"/>
    <cellStyle name="Normal 2 2 2 39 2" xfId="755" xr:uid="{DFCCA960-B6D4-4812-8FEB-F2AEF5304219}"/>
    <cellStyle name="Normal 2 2 2 39 2 2" xfId="756" xr:uid="{014D4548-E1C3-4CB3-ADCE-7E14AF5F3CF5}"/>
    <cellStyle name="Normal 2 2 2 39 2 2 2" xfId="9613" xr:uid="{1ED43E90-60B3-4670-8B37-3FA1230B7FDC}"/>
    <cellStyle name="Normal 2 2 2 39 2 3" xfId="757" xr:uid="{291E79D6-A162-46AB-87ED-CE505CEC5E09}"/>
    <cellStyle name="Normal 2 2 2 39 2 3 2" xfId="9614" xr:uid="{F1E6F065-AAF0-4012-A85E-8D713D6AB04E}"/>
    <cellStyle name="Normal 2 2 2 39 2 4" xfId="9612" xr:uid="{109F670B-2C5A-442F-8B56-4EE139E6ECF7}"/>
    <cellStyle name="Normal 2 2 2 39 3" xfId="758" xr:uid="{7A21F58A-901A-4940-A039-35A3D6C25A6D}"/>
    <cellStyle name="Normal 2 2 2 39 3 2" xfId="9615" xr:uid="{5B6FF832-3395-49F7-8E8C-77F3CCCF7F25}"/>
    <cellStyle name="Normal 2 2 2 39 4" xfId="759" xr:uid="{060E31E6-7C2D-4727-9EDD-5A484C075BD4}"/>
    <cellStyle name="Normal 2 2 2 39 4 2" xfId="9616" xr:uid="{00265114-ACAE-4D4D-838A-A54312062E2D}"/>
    <cellStyle name="Normal 2 2 2 39 5" xfId="9611" xr:uid="{DF70EEA9-7E4B-46BF-AD35-F8FCEB3B2F7E}"/>
    <cellStyle name="Normal 2 2 2 4" xfId="760" xr:uid="{1CB78642-13D0-4DF9-8741-BF0A5BF5CFB8}"/>
    <cellStyle name="Normal 2 2 2 4 2" xfId="761" xr:uid="{E35198AF-C73A-4073-B564-305FDF490D41}"/>
    <cellStyle name="Normal 2 2 2 4 2 2" xfId="762" xr:uid="{E97ED0E6-91F6-4871-9CD0-52297C874475}"/>
    <cellStyle name="Normal 2 2 2 4 2 2 2" xfId="9619" xr:uid="{82FB687D-7A11-4372-9387-115BFEE0CD20}"/>
    <cellStyle name="Normal 2 2 2 4 2 3" xfId="763" xr:uid="{0CDFEC8B-5933-47A4-9B3A-F324423624A1}"/>
    <cellStyle name="Normal 2 2 2 4 2 3 2" xfId="9620" xr:uid="{C50F98E5-3EFD-4A24-95C1-EA0C8DC884C4}"/>
    <cellStyle name="Normal 2 2 2 4 2 4" xfId="9618" xr:uid="{175C7FE2-0055-4A20-93DC-B484C6834CEC}"/>
    <cellStyle name="Normal 2 2 2 4 3" xfId="764" xr:uid="{BDE79715-A453-455C-BE5A-9FA5208B69D9}"/>
    <cellStyle name="Normal 2 2 2 4 3 2" xfId="9621" xr:uid="{89362DD9-E29C-47E7-9BB1-1F06A9A86A7B}"/>
    <cellStyle name="Normal 2 2 2 4 4" xfId="765" xr:uid="{69EC3CBE-9D60-4738-B362-093E782939E7}"/>
    <cellStyle name="Normal 2 2 2 4 4 2" xfId="9622" xr:uid="{90EEA06F-C87A-4A11-8A97-6CFC11AE35F8}"/>
    <cellStyle name="Normal 2 2 2 4 5" xfId="9617" xr:uid="{45071B48-2D5D-4424-8688-B019DEDF60F4}"/>
    <cellStyle name="Normal 2 2 2 40" xfId="766" xr:uid="{DBC873DB-4BDE-4CDE-BD5A-CEA1D061AEDA}"/>
    <cellStyle name="Normal 2 2 2 40 2" xfId="767" xr:uid="{9F7BE4D8-5C13-4947-B124-ED2FE3DAAE21}"/>
    <cellStyle name="Normal 2 2 2 40 2 2" xfId="768" xr:uid="{02D4184B-789C-4F41-928D-376322853FA5}"/>
    <cellStyle name="Normal 2 2 2 40 2 2 2" xfId="9625" xr:uid="{4A711655-52F7-48F1-9661-1C25DA96CD8A}"/>
    <cellStyle name="Normal 2 2 2 40 2 3" xfId="769" xr:uid="{0C01D52F-1B16-471E-8279-E62AA9C50F81}"/>
    <cellStyle name="Normal 2 2 2 40 2 3 2" xfId="9626" xr:uid="{4B553DC8-1138-4669-8A08-7199CB4C7BAB}"/>
    <cellStyle name="Normal 2 2 2 40 2 4" xfId="9624" xr:uid="{F81AE821-349C-490C-BE18-805BDF41BA30}"/>
    <cellStyle name="Normal 2 2 2 40 3" xfId="770" xr:uid="{1226E446-19C6-4A59-A16A-D6FCFB59922C}"/>
    <cellStyle name="Normal 2 2 2 40 3 2" xfId="9627" xr:uid="{4C40E7A0-E468-47C6-A3EC-FFCE393B4F4B}"/>
    <cellStyle name="Normal 2 2 2 40 4" xfId="771" xr:uid="{27BA5849-7100-4906-8117-3F995A2D35CF}"/>
    <cellStyle name="Normal 2 2 2 40 4 2" xfId="9628" xr:uid="{11285720-F217-4F4F-ABD8-4A976FD8A6D6}"/>
    <cellStyle name="Normal 2 2 2 40 5" xfId="9623" xr:uid="{6EDA8384-84CC-4C36-888F-13687A254429}"/>
    <cellStyle name="Normal 2 2 2 41" xfId="772" xr:uid="{26ABFA4E-0A56-4203-A784-BA7A68A77DAF}"/>
    <cellStyle name="Normal 2 2 2 41 2" xfId="773" xr:uid="{494D236B-9025-4ACC-8F50-F194AB255D26}"/>
    <cellStyle name="Normal 2 2 2 41 2 2" xfId="774" xr:uid="{DFC1768B-B66E-4B97-9C12-D0BCD070D4FE}"/>
    <cellStyle name="Normal 2 2 2 41 2 2 2" xfId="9631" xr:uid="{416E1076-5BFD-4985-86F2-E1989126CC84}"/>
    <cellStyle name="Normal 2 2 2 41 2 3" xfId="775" xr:uid="{C826478E-D7B9-4348-BAB4-DE6643442412}"/>
    <cellStyle name="Normal 2 2 2 41 2 3 2" xfId="9632" xr:uid="{856A2103-DCC2-446B-863E-4794295BC4E6}"/>
    <cellStyle name="Normal 2 2 2 41 2 4" xfId="9630" xr:uid="{C47E9F25-A9DD-4D85-881B-4EB1F32D6015}"/>
    <cellStyle name="Normal 2 2 2 41 3" xfId="776" xr:uid="{9F970C12-9060-4482-972F-886952E277AF}"/>
    <cellStyle name="Normal 2 2 2 41 3 2" xfId="9633" xr:uid="{A3EB3C76-A505-4886-B313-CB266373381A}"/>
    <cellStyle name="Normal 2 2 2 41 4" xfId="777" xr:uid="{72D8E955-A7E7-4B8D-9BC2-9179E99F4CF3}"/>
    <cellStyle name="Normal 2 2 2 41 4 2" xfId="9634" xr:uid="{CA540302-ABAD-4BBB-8CB2-E68F642D4247}"/>
    <cellStyle name="Normal 2 2 2 41 5" xfId="9629" xr:uid="{5210439D-E231-4504-9768-D7783C9B630D}"/>
    <cellStyle name="Normal 2 2 2 42" xfId="778" xr:uid="{CBEDE092-DF82-4FF4-93CA-D206B24CD9E1}"/>
    <cellStyle name="Normal 2 2 2 42 2" xfId="779" xr:uid="{33F5AC0F-EA60-450A-95E2-5D4F9018AB00}"/>
    <cellStyle name="Normal 2 2 2 42 2 2" xfId="780" xr:uid="{BFD3BE27-7FE9-44A3-AC46-7C56492AD62C}"/>
    <cellStyle name="Normal 2 2 2 42 2 2 2" xfId="9637" xr:uid="{35269492-2416-4D1E-B0D5-97DC423DE7C7}"/>
    <cellStyle name="Normal 2 2 2 42 2 3" xfId="781" xr:uid="{C79FEE0E-47FD-493D-A9B3-D2D48889E575}"/>
    <cellStyle name="Normal 2 2 2 42 2 3 2" xfId="9638" xr:uid="{89CC0EBA-4A1D-4FA7-BACB-33BF34E30291}"/>
    <cellStyle name="Normal 2 2 2 42 2 4" xfId="9636" xr:uid="{C8A2C679-1A29-45CA-8857-DF0918B9B9A3}"/>
    <cellStyle name="Normal 2 2 2 42 3" xfId="782" xr:uid="{37B30D27-1FDF-4973-97E7-6F3FC985314B}"/>
    <cellStyle name="Normal 2 2 2 42 3 2" xfId="9639" xr:uid="{6550796E-F65B-4D77-83A9-63050DE35505}"/>
    <cellStyle name="Normal 2 2 2 42 4" xfId="783" xr:uid="{8FB8C294-799C-4473-94D2-C6E72AD432CF}"/>
    <cellStyle name="Normal 2 2 2 42 4 2" xfId="9640" xr:uid="{E14218C6-D40A-4806-9DF5-12731201C1F2}"/>
    <cellStyle name="Normal 2 2 2 42 5" xfId="9635" xr:uid="{1F98C194-CB12-43FF-B499-FC6C5EFE1470}"/>
    <cellStyle name="Normal 2 2 2 43" xfId="784" xr:uid="{8F586196-DFF2-40A5-B60D-EF4A7AE9595B}"/>
    <cellStyle name="Normal 2 2 2 43 2" xfId="785" xr:uid="{0A600CCD-660B-4003-B6A2-544F78A397F5}"/>
    <cellStyle name="Normal 2 2 2 43 2 2" xfId="786" xr:uid="{D93FE081-06A6-4F94-A1DA-BC3137619632}"/>
    <cellStyle name="Normal 2 2 2 43 2 2 2" xfId="9643" xr:uid="{AAE8A3EA-AB02-4FA2-9B2F-7DC3A86F08EB}"/>
    <cellStyle name="Normal 2 2 2 43 2 3" xfId="787" xr:uid="{0A7FB601-851A-4F9F-B1E1-264AF66BBA1A}"/>
    <cellStyle name="Normal 2 2 2 43 2 3 2" xfId="9644" xr:uid="{D8A516A0-8123-4608-9D6D-DB963D6ABBE5}"/>
    <cellStyle name="Normal 2 2 2 43 2 4" xfId="9642" xr:uid="{FBE81F16-3AB8-473D-A074-E4FBE1861C67}"/>
    <cellStyle name="Normal 2 2 2 43 3" xfId="788" xr:uid="{B42E0242-EE1B-48FE-B783-E28BAF32097A}"/>
    <cellStyle name="Normal 2 2 2 43 3 2" xfId="9645" xr:uid="{7B096E76-BE6D-4178-95E4-175BFBA2778D}"/>
    <cellStyle name="Normal 2 2 2 43 4" xfId="789" xr:uid="{562377B0-F269-43DD-B2CE-1FABD98503E8}"/>
    <cellStyle name="Normal 2 2 2 43 4 2" xfId="9646" xr:uid="{212E8584-AC99-445A-AB65-C3E30990A5C2}"/>
    <cellStyle name="Normal 2 2 2 43 5" xfId="9641" xr:uid="{FF45009B-DAC5-48C5-9B00-36C42F2FB80E}"/>
    <cellStyle name="Normal 2 2 2 44" xfId="790" xr:uid="{56E98A6B-AEFF-423B-9ACC-6F76771F7A37}"/>
    <cellStyle name="Normal 2 2 2 44 2" xfId="791" xr:uid="{3F86725E-CC45-4626-8400-C42BD9C8F9BA}"/>
    <cellStyle name="Normal 2 2 2 44 2 2" xfId="9648" xr:uid="{E66BC840-0FE3-460F-AACB-943725B57353}"/>
    <cellStyle name="Normal 2 2 2 44 3" xfId="792" xr:uid="{38823743-E8E3-4512-8CCB-70BB3F07199E}"/>
    <cellStyle name="Normal 2 2 2 44 3 2" xfId="9649" xr:uid="{8509F1EE-7D05-4025-835B-9FA393A23E58}"/>
    <cellStyle name="Normal 2 2 2 44 4" xfId="9647" xr:uid="{0B4794C7-EE4C-4A70-8C8D-50DF2AEAE6F9}"/>
    <cellStyle name="Normal 2 2 2 45" xfId="793" xr:uid="{FE020E53-28BF-4D10-96E2-772A8B00126F}"/>
    <cellStyle name="Normal 2 2 2 45 2" xfId="9650" xr:uid="{F081F1AA-E624-4259-8F5D-FAEB3A52A7F1}"/>
    <cellStyle name="Normal 2 2 2 46" xfId="794" xr:uid="{C016CB97-D1CC-4D06-A243-711530DA8598}"/>
    <cellStyle name="Normal 2 2 2 46 2" xfId="9651" xr:uid="{F0A41F32-3FC3-429E-8DCC-199CE8D5088E}"/>
    <cellStyle name="Normal 2 2 2 47" xfId="795" xr:uid="{F60CBBA9-329D-4B9B-90C9-2827A7A4415F}"/>
    <cellStyle name="Normal 2 2 2 48" xfId="796" xr:uid="{369D194D-C45F-47E5-9BD1-15009DD6FF46}"/>
    <cellStyle name="Normal 2 2 2 49" xfId="797" xr:uid="{5A4D68DB-62E9-4D1D-BFEF-976461142870}"/>
    <cellStyle name="Normal 2 2 2 49 2" xfId="9652" xr:uid="{D5675052-7CE5-495B-A909-D260F8ECB2D5}"/>
    <cellStyle name="Normal 2 2 2 5" xfId="798" xr:uid="{57E8C15F-AF58-4BBA-952D-B11A26F98735}"/>
    <cellStyle name="Normal 2 2 2 5 2" xfId="799" xr:uid="{18943170-3AB1-440E-A6AC-ACE7FE210B07}"/>
    <cellStyle name="Normal 2 2 2 5 2 2" xfId="800" xr:uid="{A4CC5F20-CD30-484A-AD9A-AA7928D06B45}"/>
    <cellStyle name="Normal 2 2 2 5 2 2 2" xfId="9655" xr:uid="{8001B0B5-3CA3-41A7-A4D3-CF9E8D4C76EA}"/>
    <cellStyle name="Normal 2 2 2 5 2 3" xfId="801" xr:uid="{1C03B631-105E-4466-8DE4-41FD001521BF}"/>
    <cellStyle name="Normal 2 2 2 5 2 3 2" xfId="9656" xr:uid="{F3C0CCA8-245C-4DFA-8F2C-91A4641ADCC8}"/>
    <cellStyle name="Normal 2 2 2 5 2 4" xfId="9654" xr:uid="{C7D35F76-DF73-4D23-80B6-57181FBC9786}"/>
    <cellStyle name="Normal 2 2 2 5 3" xfId="802" xr:uid="{AF0CAAC8-4E84-4B4C-B40C-5CB17D9650D2}"/>
    <cellStyle name="Normal 2 2 2 5 3 2" xfId="9657" xr:uid="{CF1304BB-2D5E-4640-B8A5-0B0CF9113B78}"/>
    <cellStyle name="Normal 2 2 2 5 4" xfId="803" xr:uid="{FFF18B67-8B8B-4A2A-885A-BF438BB57E74}"/>
    <cellStyle name="Normal 2 2 2 5 4 2" xfId="9658" xr:uid="{B840E510-D15B-43F6-9960-6925CB8EF455}"/>
    <cellStyle name="Normal 2 2 2 5 5" xfId="9653" xr:uid="{6DFF686A-2F5E-496D-94FC-76A71273293D}"/>
    <cellStyle name="Normal 2 2 2 50" xfId="804" xr:uid="{555838CD-A586-47EC-8708-DB5C2ADB13BD}"/>
    <cellStyle name="Normal 2 2 2 51" xfId="9423" xr:uid="{8F21ACC0-B5AB-4D44-9821-F0893953F94C}"/>
    <cellStyle name="Normal 2 2 2 6" xfId="805" xr:uid="{E24B9E52-60B4-47F2-A83A-88C48FB0F55A}"/>
    <cellStyle name="Normal 2 2 2 6 2" xfId="806" xr:uid="{739DFF57-CF2C-437C-B362-FDE3B60AB42F}"/>
    <cellStyle name="Normal 2 2 2 6 2 2" xfId="807" xr:uid="{650C1BF0-0D3F-4E0B-AEF5-E14B6E660FF5}"/>
    <cellStyle name="Normal 2 2 2 6 2 2 2" xfId="9661" xr:uid="{2031B080-2AA5-4453-B346-F97316A55357}"/>
    <cellStyle name="Normal 2 2 2 6 2 3" xfId="808" xr:uid="{7A6B3BE1-79BB-4123-8AED-408E07610370}"/>
    <cellStyle name="Normal 2 2 2 6 2 3 2" xfId="9662" xr:uid="{DA99A493-17A4-4FAB-A01B-DCD6DB5267C1}"/>
    <cellStyle name="Normal 2 2 2 6 2 4" xfId="9660" xr:uid="{292D1F4B-7A3F-468C-8326-86DC46F3C721}"/>
    <cellStyle name="Normal 2 2 2 6 3" xfId="809" xr:uid="{BEE2514F-D3E7-43EB-89F7-E6C8F55C63FC}"/>
    <cellStyle name="Normal 2 2 2 6 3 2" xfId="9663" xr:uid="{4233D691-2B0A-4543-8430-A2A625907E07}"/>
    <cellStyle name="Normal 2 2 2 6 4" xfId="810" xr:uid="{38A018AC-D1E3-4187-B7A2-55711FB910E7}"/>
    <cellStyle name="Normal 2 2 2 6 4 2" xfId="9664" xr:uid="{E21B955C-74F2-4596-96C4-EED1C322F494}"/>
    <cellStyle name="Normal 2 2 2 6 5" xfId="9659" xr:uid="{1C217CE1-2815-4427-836E-9F6768C69FC2}"/>
    <cellStyle name="Normal 2 2 2 7" xfId="811" xr:uid="{624BCC62-A2FE-4E61-BC4E-7349B3C7AD78}"/>
    <cellStyle name="Normal 2 2 2 7 2" xfId="812" xr:uid="{812E22BD-2EC4-4C77-A94C-9B8D4AC96D2A}"/>
    <cellStyle name="Normal 2 2 2 7 2 2" xfId="813" xr:uid="{AE7CCFAE-9D23-4D0F-97DB-669DA7F75E8E}"/>
    <cellStyle name="Normal 2 2 2 7 2 2 2" xfId="9667" xr:uid="{1729759C-F2F9-42C4-BD99-4CEE4BB6C5F5}"/>
    <cellStyle name="Normal 2 2 2 7 2 3" xfId="814" xr:uid="{235ADAA8-4419-4A83-906C-2DFA9BCBB066}"/>
    <cellStyle name="Normal 2 2 2 7 2 3 2" xfId="9668" xr:uid="{B002FC35-48FE-40FF-A8D0-69B4DCEDDE40}"/>
    <cellStyle name="Normal 2 2 2 7 2 4" xfId="9666" xr:uid="{B78C95BA-DF5D-4B83-B1B2-5DC26DDBE76C}"/>
    <cellStyle name="Normal 2 2 2 7 3" xfId="815" xr:uid="{21B197AB-44C5-4C66-8A19-56C85209D186}"/>
    <cellStyle name="Normal 2 2 2 7 3 2" xfId="9669" xr:uid="{B8DBBB6F-93FF-44EF-9163-04A7155E60F0}"/>
    <cellStyle name="Normal 2 2 2 7 4" xfId="816" xr:uid="{AE5DED19-6B44-4EA2-8CF0-1EAE151B8E08}"/>
    <cellStyle name="Normal 2 2 2 7 4 2" xfId="9670" xr:uid="{ECB099E2-3A30-440D-BE7D-0E5C06D8CBC4}"/>
    <cellStyle name="Normal 2 2 2 7 5" xfId="9665" xr:uid="{F47F70EA-C342-4AFA-8800-4C31BC2F80D1}"/>
    <cellStyle name="Normal 2 2 2 8" xfId="817" xr:uid="{CE5665D7-25DA-48E4-A251-6438605B79D8}"/>
    <cellStyle name="Normal 2 2 2 8 2" xfId="818" xr:uid="{157C5165-B448-4450-ACD5-26686F0438DC}"/>
    <cellStyle name="Normal 2 2 2 8 2 2" xfId="819" xr:uid="{20B447A5-8AA8-44B5-B1B0-D32D3E2733B2}"/>
    <cellStyle name="Normal 2 2 2 8 2 2 2" xfId="9673" xr:uid="{1C8C69EF-C46F-426A-9074-F296F0B0DE1D}"/>
    <cellStyle name="Normal 2 2 2 8 2 3" xfId="820" xr:uid="{6CD3ECD5-E296-4184-96F0-BA23ACC797EC}"/>
    <cellStyle name="Normal 2 2 2 8 2 3 2" xfId="9674" xr:uid="{8560D032-3D59-49FF-AA66-C5157700A15A}"/>
    <cellStyle name="Normal 2 2 2 8 2 4" xfId="9672" xr:uid="{9BA5A99C-45A4-4406-AFC8-D456CDC0E739}"/>
    <cellStyle name="Normal 2 2 2 8 3" xfId="821" xr:uid="{562F194A-3BCF-4BB8-8B56-5B24E519C43C}"/>
    <cellStyle name="Normal 2 2 2 8 3 2" xfId="9675" xr:uid="{DFCA31EB-864C-466B-AA61-EFEE27B2ED41}"/>
    <cellStyle name="Normal 2 2 2 8 4" xfId="822" xr:uid="{38E0AC61-5891-4041-9814-EDAB8C321838}"/>
    <cellStyle name="Normal 2 2 2 8 4 2" xfId="9676" xr:uid="{A28A2A40-9FDE-4B10-B2F9-E7E960072AF0}"/>
    <cellStyle name="Normal 2 2 2 8 5" xfId="9671" xr:uid="{03578B7B-CEE9-4910-9EC4-98042D240CE0}"/>
    <cellStyle name="Normal 2 2 2 9" xfId="823" xr:uid="{EED3D5D2-619D-4773-85A2-F38017DC8778}"/>
    <cellStyle name="Normal 2 2 2 9 2" xfId="824" xr:uid="{E826C91C-6B8E-4FA7-9854-A302961B669F}"/>
    <cellStyle name="Normal 2 2 2 9 2 2" xfId="825" xr:uid="{DD1949B3-8A3A-4161-A9DD-F00140F6DF6E}"/>
    <cellStyle name="Normal 2 2 2 9 2 2 2" xfId="9679" xr:uid="{24C4B4F1-9503-490C-8894-0AB27E82FF84}"/>
    <cellStyle name="Normal 2 2 2 9 2 3" xfId="826" xr:uid="{ABB5C81C-EC39-48C9-87D6-2287758B3939}"/>
    <cellStyle name="Normal 2 2 2 9 2 3 2" xfId="9680" xr:uid="{62D0073C-63BE-4146-9638-0EFDEA945DF1}"/>
    <cellStyle name="Normal 2 2 2 9 2 4" xfId="9678" xr:uid="{7A53A60B-6800-4C33-A5AB-7FA47D706199}"/>
    <cellStyle name="Normal 2 2 2 9 3" xfId="827" xr:uid="{39E076FD-A59C-4B1A-8CDA-D34C28679AEC}"/>
    <cellStyle name="Normal 2 2 2 9 3 2" xfId="9681" xr:uid="{CFCC5390-443B-4985-B81E-18A3E965B61B}"/>
    <cellStyle name="Normal 2 2 2 9 4" xfId="828" xr:uid="{849476FE-DB72-4FD9-A062-3160BCA482AC}"/>
    <cellStyle name="Normal 2 2 2 9 4 2" xfId="9682" xr:uid="{E3DE7943-2D1C-4D1C-BCFD-C10613EAC28C}"/>
    <cellStyle name="Normal 2 2 2 9 5" xfId="9677" xr:uid="{6711E9F2-20A8-416E-881F-21CA51C26773}"/>
    <cellStyle name="Normal 2 2 20" xfId="829" xr:uid="{2D2BF709-A58E-4F19-BD79-416911DA608E}"/>
    <cellStyle name="Normal 2 2 20 2" xfId="830" xr:uid="{B1C0B859-E193-4561-926E-2A3BA2FA2493}"/>
    <cellStyle name="Normal 2 2 20 2 2" xfId="831" xr:uid="{042BF089-59B2-49E5-8D63-EA04F2A57F5D}"/>
    <cellStyle name="Normal 2 2 20 2 2 2" xfId="9685" xr:uid="{A170456E-75B0-4014-8324-5473D6D67399}"/>
    <cellStyle name="Normal 2 2 20 2 3" xfId="832" xr:uid="{B5FC086A-7C63-4100-9DC6-558890B0E91E}"/>
    <cellStyle name="Normal 2 2 20 2 3 2" xfId="9686" xr:uid="{5F6FF4AB-F251-450C-BC97-D3E142040BF0}"/>
    <cellStyle name="Normal 2 2 20 2 4" xfId="9684" xr:uid="{93759578-A769-4D6F-B68D-7AF8ADB226E2}"/>
    <cellStyle name="Normal 2 2 20 3" xfId="833" xr:uid="{59F2E958-3716-4782-A06B-5C9A28925FD4}"/>
    <cellStyle name="Normal 2 2 20 3 2" xfId="9687" xr:uid="{D01200E1-6B15-4D14-A2FB-4ECA604D6B41}"/>
    <cellStyle name="Normal 2 2 20 4" xfId="834" xr:uid="{0B1575E5-858E-4424-9FB0-1B15DFEBDF79}"/>
    <cellStyle name="Normal 2 2 20 4 2" xfId="9688" xr:uid="{2900163A-07B5-4F7E-BD1E-1E8C029818A8}"/>
    <cellStyle name="Normal 2 2 20 5" xfId="9683" xr:uid="{A5CB16E9-8957-4F85-B8FA-44EB001DCF97}"/>
    <cellStyle name="Normal 2 2 21" xfId="835" xr:uid="{C09CF1DA-2D63-4364-A900-88FB23127936}"/>
    <cellStyle name="Normal 2 2 21 2" xfId="836" xr:uid="{0E9D2B26-F042-4C3A-99B2-55537BA873D5}"/>
    <cellStyle name="Normal 2 2 21 2 2" xfId="837" xr:uid="{6BA8B4C6-65CD-4E35-83EA-D38319F80B4D}"/>
    <cellStyle name="Normal 2 2 21 2 2 2" xfId="9691" xr:uid="{AE183159-7E78-452B-994E-AB1AD39F6B40}"/>
    <cellStyle name="Normal 2 2 21 2 3" xfId="838" xr:uid="{2D2F1095-9400-4AF4-9382-227F22C215DE}"/>
    <cellStyle name="Normal 2 2 21 2 3 2" xfId="9692" xr:uid="{FF3BB522-89BA-4ECC-BD82-E33A6A5BF866}"/>
    <cellStyle name="Normal 2 2 21 2 4" xfId="9690" xr:uid="{55C4A914-7A8D-4255-B636-EA9B7C289481}"/>
    <cellStyle name="Normal 2 2 21 3" xfId="839" xr:uid="{3E005032-21A1-43EA-A304-38FBC3AF9E56}"/>
    <cellStyle name="Normal 2 2 21 3 2" xfId="9693" xr:uid="{CD4D627C-B043-480C-AC5B-1D06FB376E45}"/>
    <cellStyle name="Normal 2 2 21 4" xfId="840" xr:uid="{712EEFF8-0297-432E-921D-9EEF9BD696F8}"/>
    <cellStyle name="Normal 2 2 21 4 2" xfId="9694" xr:uid="{DFCBB214-24E5-41B9-B739-96870B5E7FA9}"/>
    <cellStyle name="Normal 2 2 21 5" xfId="9689" xr:uid="{AC89B4CE-A0DA-4130-8E62-D411469293B3}"/>
    <cellStyle name="Normal 2 2 22" xfId="841" xr:uid="{69233F9C-2470-4BE7-8A16-A955A9CA3BDF}"/>
    <cellStyle name="Normal 2 2 22 2" xfId="842" xr:uid="{E2B59239-9BF8-4870-976D-4CE8FFC35AA5}"/>
    <cellStyle name="Normal 2 2 22 2 2" xfId="843" xr:uid="{2F7141E1-DD73-4AA6-8D98-4224065CB364}"/>
    <cellStyle name="Normal 2 2 22 2 2 2" xfId="9697" xr:uid="{086BCC93-F48C-4D4F-B81F-1A3C0C1EA770}"/>
    <cellStyle name="Normal 2 2 22 2 3" xfId="844" xr:uid="{A2B4C0D1-6092-432D-8227-9E67BE75413D}"/>
    <cellStyle name="Normal 2 2 22 2 3 2" xfId="9698" xr:uid="{7EC96E05-C786-49D1-A191-3814554C4821}"/>
    <cellStyle name="Normal 2 2 22 2 4" xfId="9696" xr:uid="{C6FFAA5B-7759-4B93-92BB-2CB3579326C6}"/>
    <cellStyle name="Normal 2 2 22 3" xfId="845" xr:uid="{E308D00F-8D44-4EA4-8E99-FC961432A60B}"/>
    <cellStyle name="Normal 2 2 22 3 2" xfId="9699" xr:uid="{6F772DEC-65C7-4026-AA89-FF8EA0CE313F}"/>
    <cellStyle name="Normal 2 2 22 4" xfId="846" xr:uid="{9EBE0A84-D792-4A2E-97D2-4B458F26AF1B}"/>
    <cellStyle name="Normal 2 2 22 4 2" xfId="9700" xr:uid="{F5AA8476-0BCB-42E3-A85A-C3E30C7924BC}"/>
    <cellStyle name="Normal 2 2 22 5" xfId="9695" xr:uid="{BFCDF1D9-55BA-4A83-A2F9-3E557C10ADD2}"/>
    <cellStyle name="Normal 2 2 23" xfId="847" xr:uid="{A0CD8D59-E0BC-46A7-A7A4-17372DE2B205}"/>
    <cellStyle name="Normal 2 2 23 2" xfId="848" xr:uid="{FB180C6F-E6C8-49FC-B15C-190BA85EADF3}"/>
    <cellStyle name="Normal 2 2 23 2 2" xfId="849" xr:uid="{89574B84-4DCD-444B-B8B0-1FE2338DB1C4}"/>
    <cellStyle name="Normal 2 2 23 2 2 2" xfId="9703" xr:uid="{FE84A1B7-AF23-4D1E-BAC2-1BD62A9BE5EC}"/>
    <cellStyle name="Normal 2 2 23 2 3" xfId="850" xr:uid="{386687C9-9B10-4FD1-BEEC-3A10688BC81D}"/>
    <cellStyle name="Normal 2 2 23 2 3 2" xfId="9704" xr:uid="{5AF7B478-8CD9-4973-94D9-44EE0831F2E9}"/>
    <cellStyle name="Normal 2 2 23 2 4" xfId="9702" xr:uid="{2ADF470B-6C73-4DFF-848E-16DFC6DE9338}"/>
    <cellStyle name="Normal 2 2 23 3" xfId="851" xr:uid="{D728337B-211B-4B5D-84FA-94A8C490C822}"/>
    <cellStyle name="Normal 2 2 23 3 2" xfId="9705" xr:uid="{7EDF24D4-3927-49E0-98A8-668632C587BC}"/>
    <cellStyle name="Normal 2 2 23 4" xfId="852" xr:uid="{EC90F3F7-EC6C-4E8A-838F-E90EB0EEA051}"/>
    <cellStyle name="Normal 2 2 23 4 2" xfId="9706" xr:uid="{39C07704-8906-4ECA-A52E-2694B657AC96}"/>
    <cellStyle name="Normal 2 2 23 5" xfId="9701" xr:uid="{134B6475-FB60-40B9-BAB2-BE1070078F71}"/>
    <cellStyle name="Normal 2 2 24" xfId="853" xr:uid="{3B23B6A9-B4C8-419D-9AF6-BF923B946488}"/>
    <cellStyle name="Normal 2 2 24 2" xfId="854" xr:uid="{5347DF35-4E99-4E59-92C0-BDA445186879}"/>
    <cellStyle name="Normal 2 2 24 2 2" xfId="855" xr:uid="{0983A2E0-9E3A-4687-AE7F-10B43CE9DF67}"/>
    <cellStyle name="Normal 2 2 24 2 2 2" xfId="9709" xr:uid="{AECB43C3-1AF5-44BE-8D3E-FA10D5472EF3}"/>
    <cellStyle name="Normal 2 2 24 2 3" xfId="856" xr:uid="{7F1F87AC-38E2-4C2A-BE1D-053305D38953}"/>
    <cellStyle name="Normal 2 2 24 2 3 2" xfId="9710" xr:uid="{E49BC9E5-A831-4FCD-9229-E155013EE2BE}"/>
    <cellStyle name="Normal 2 2 24 2 4" xfId="9708" xr:uid="{4AA68CC6-CC35-45C4-B44C-283F3CA1DBBC}"/>
    <cellStyle name="Normal 2 2 24 3" xfId="857" xr:uid="{A9D141D0-BF03-43FA-AAA3-BB08E2B7F7F7}"/>
    <cellStyle name="Normal 2 2 24 3 2" xfId="9711" xr:uid="{1BFB6BFE-ABA9-45D0-A4CF-1D149EFBC9CF}"/>
    <cellStyle name="Normal 2 2 24 4" xfId="858" xr:uid="{939905C1-F3F7-4699-8695-AC3BA263CDE4}"/>
    <cellStyle name="Normal 2 2 24 4 2" xfId="9712" xr:uid="{F4F37BEE-57AB-4EFC-82F9-2059EE9818AC}"/>
    <cellStyle name="Normal 2 2 24 5" xfId="9707" xr:uid="{0B59FFC5-06EE-48DD-A088-5340938C556C}"/>
    <cellStyle name="Normal 2 2 25" xfId="859" xr:uid="{978CEA8A-B5B0-432F-880B-46FF42FF82B1}"/>
    <cellStyle name="Normal 2 2 25 2" xfId="860" xr:uid="{8BFEE908-CC1F-4C40-93B2-3926B058A54C}"/>
    <cellStyle name="Normal 2 2 25 2 2" xfId="861" xr:uid="{22158A03-5715-4FFA-BF66-DCD5F0478F3A}"/>
    <cellStyle name="Normal 2 2 25 2 2 2" xfId="9715" xr:uid="{549F2A74-EEAA-47E2-AC93-DA3C07F1BD7A}"/>
    <cellStyle name="Normal 2 2 25 2 3" xfId="862" xr:uid="{C010114D-BA97-41F3-9A9A-D66FA036E4B8}"/>
    <cellStyle name="Normal 2 2 25 2 3 2" xfId="9716" xr:uid="{7D5113FA-7DA8-4CE2-9724-4A73C08BE354}"/>
    <cellStyle name="Normal 2 2 25 2 4" xfId="9714" xr:uid="{D4733793-3352-47CC-9A0E-4E873E5A0C43}"/>
    <cellStyle name="Normal 2 2 25 3" xfId="863" xr:uid="{3213B2FB-4B88-47C5-8051-37FA5B5BDBD7}"/>
    <cellStyle name="Normal 2 2 25 3 2" xfId="9717" xr:uid="{B32BB4D6-CE8E-479F-92E8-6D7975B21FB6}"/>
    <cellStyle name="Normal 2 2 25 4" xfId="864" xr:uid="{AA833E0E-D5AD-45D6-8110-73D4FDFA32EA}"/>
    <cellStyle name="Normal 2 2 25 4 2" xfId="9718" xr:uid="{F304B69E-C051-42B5-A5BB-8C098CD49B61}"/>
    <cellStyle name="Normal 2 2 25 5" xfId="9713" xr:uid="{F54B959B-2BD9-4B46-B838-22529303BEC9}"/>
    <cellStyle name="Normal 2 2 26" xfId="865" xr:uid="{412DA8A5-6064-4342-A9E0-AC24EF0956E1}"/>
    <cellStyle name="Normal 2 2 26 2" xfId="866" xr:uid="{DBB79EC3-B5F8-451E-95B4-4C31DC91CE88}"/>
    <cellStyle name="Normal 2 2 26 2 2" xfId="867" xr:uid="{2398B68A-BEA0-4358-B278-E1AFFAAE67BC}"/>
    <cellStyle name="Normal 2 2 26 2 2 2" xfId="9721" xr:uid="{CA5CB623-0142-47A3-9149-3ED0563FE083}"/>
    <cellStyle name="Normal 2 2 26 2 3" xfId="868" xr:uid="{3CB939DD-06DD-49F1-BD68-EB7C22C5DE67}"/>
    <cellStyle name="Normal 2 2 26 2 3 2" xfId="9722" xr:uid="{5997CF7E-5908-4F40-88EC-F038354D90D5}"/>
    <cellStyle name="Normal 2 2 26 2 4" xfId="9720" xr:uid="{FF7FDD93-D19A-422D-8F88-F4BC0DCA4956}"/>
    <cellStyle name="Normal 2 2 26 3" xfId="869" xr:uid="{8C6E1897-CCA2-4B2B-B15E-3DA60FD03FDC}"/>
    <cellStyle name="Normal 2 2 26 3 2" xfId="9723" xr:uid="{AE9599F8-4F88-43B3-8FC9-1BF54F79A950}"/>
    <cellStyle name="Normal 2 2 26 4" xfId="870" xr:uid="{B2E5BDB4-A2B0-4500-A8BF-44828E2FF76B}"/>
    <cellStyle name="Normal 2 2 26 4 2" xfId="9724" xr:uid="{E0450890-B080-4C31-9553-BA7A54A2AF68}"/>
    <cellStyle name="Normal 2 2 26 5" xfId="9719" xr:uid="{97EA2D0C-FFED-4A22-B683-BECB0A8D30C5}"/>
    <cellStyle name="Normal 2 2 27" xfId="871" xr:uid="{EC83E6B2-1354-4E35-A41F-1AA0BEF56204}"/>
    <cellStyle name="Normal 2 2 27 2" xfId="872" xr:uid="{C15C2FFF-C2B8-496D-8803-C255E26B0B2D}"/>
    <cellStyle name="Normal 2 2 27 2 2" xfId="873" xr:uid="{38864B73-F0AB-47D4-977C-7D44BEF184A6}"/>
    <cellStyle name="Normal 2 2 27 2 2 2" xfId="9727" xr:uid="{AD94DDAF-B3B5-4D2C-AB6C-8242FCC6005C}"/>
    <cellStyle name="Normal 2 2 27 2 3" xfId="874" xr:uid="{A84CDB9A-3BF4-464A-B753-1C290251A1DD}"/>
    <cellStyle name="Normal 2 2 27 2 3 2" xfId="9728" xr:uid="{B284265B-4208-4194-9BBB-46BE76380700}"/>
    <cellStyle name="Normal 2 2 27 2 4" xfId="9726" xr:uid="{497FAB8C-7E6C-424F-AEED-E485031E0D48}"/>
    <cellStyle name="Normal 2 2 27 3" xfId="875" xr:uid="{0B96A475-DABC-43B6-AD98-5C14CB9085EC}"/>
    <cellStyle name="Normal 2 2 27 3 2" xfId="9729" xr:uid="{59245D00-E39A-4250-9240-80AE1CC1B031}"/>
    <cellStyle name="Normal 2 2 27 4" xfId="876" xr:uid="{7F8360F5-6FCF-47C9-9147-896F74AA0D6B}"/>
    <cellStyle name="Normal 2 2 27 4 2" xfId="9730" xr:uid="{82DF9A80-1B1F-42D3-AD62-123C5592A145}"/>
    <cellStyle name="Normal 2 2 27 5" xfId="9725" xr:uid="{E46DADF7-FE72-42AF-8419-C3720655F78A}"/>
    <cellStyle name="Normal 2 2 28" xfId="877" xr:uid="{8BEA61DD-47B7-4BEC-83AE-1CA1B93DCD3F}"/>
    <cellStyle name="Normal 2 2 28 2" xfId="878" xr:uid="{77C6071E-DAB7-490C-9887-FD4CC68F6A99}"/>
    <cellStyle name="Normal 2 2 28 2 2" xfId="879" xr:uid="{9AB6DAB8-A72C-4DCD-A459-0B618C5A55D8}"/>
    <cellStyle name="Normal 2 2 28 2 2 2" xfId="9733" xr:uid="{5F67D58F-375B-4A7D-BE6C-A6AB5617973B}"/>
    <cellStyle name="Normal 2 2 28 2 3" xfId="880" xr:uid="{C51CC161-0E5E-4561-A3E1-0D268F6845B5}"/>
    <cellStyle name="Normal 2 2 28 2 3 2" xfId="9734" xr:uid="{FA1BB85D-FEB3-4F72-8BF0-6DFFEF37F62D}"/>
    <cellStyle name="Normal 2 2 28 2 4" xfId="9732" xr:uid="{E4F0D6AB-B239-4905-BFA6-4CC6C9424D75}"/>
    <cellStyle name="Normal 2 2 28 3" xfId="881" xr:uid="{971804DE-DEBF-4B38-8F40-B3937FB2092D}"/>
    <cellStyle name="Normal 2 2 28 3 2" xfId="9735" xr:uid="{5946E9DD-22EC-4EAD-9B83-2C46768CDDA3}"/>
    <cellStyle name="Normal 2 2 28 4" xfId="882" xr:uid="{4C035B9A-6EB5-429F-B25B-71CFAED3D4C7}"/>
    <cellStyle name="Normal 2 2 28 4 2" xfId="9736" xr:uid="{67F9045E-6A11-4A88-8773-9CB7D5E6A643}"/>
    <cellStyle name="Normal 2 2 28 5" xfId="9731" xr:uid="{409DA3AE-3440-4422-B424-6AF9CF751719}"/>
    <cellStyle name="Normal 2 2 29" xfId="883" xr:uid="{020A852D-820B-40E3-9291-19E40BB4CCA0}"/>
    <cellStyle name="Normal 2 2 29 2" xfId="884" xr:uid="{F454FBEE-51D7-4688-8436-52EA2A5B6C0F}"/>
    <cellStyle name="Normal 2 2 29 2 2" xfId="885" xr:uid="{0CD3926C-6C23-4BC7-A657-8225BA2165C4}"/>
    <cellStyle name="Normal 2 2 29 2 2 2" xfId="9739" xr:uid="{A9415D2C-7B2D-4DFD-A653-DACB97CF15E3}"/>
    <cellStyle name="Normal 2 2 29 2 3" xfId="886" xr:uid="{0F48F111-9918-48AA-851A-F5E5CD1F1491}"/>
    <cellStyle name="Normal 2 2 29 2 3 2" xfId="9740" xr:uid="{F1709389-AF4D-48BD-B4F0-234089A09A58}"/>
    <cellStyle name="Normal 2 2 29 2 4" xfId="9738" xr:uid="{01992811-4D15-413F-A215-967173383AB3}"/>
    <cellStyle name="Normal 2 2 29 3" xfId="887" xr:uid="{D8A60DED-C034-402D-B018-1F398EAE0F3D}"/>
    <cellStyle name="Normal 2 2 29 3 2" xfId="9741" xr:uid="{8159AC34-113F-4D07-A1A7-B282313CE611}"/>
    <cellStyle name="Normal 2 2 29 4" xfId="888" xr:uid="{23AF6DE0-E068-4DAD-BF8E-A618E48FCA09}"/>
    <cellStyle name="Normal 2 2 29 4 2" xfId="9742" xr:uid="{CF37B385-53DA-4891-B1B8-AB35AF911235}"/>
    <cellStyle name="Normal 2 2 29 5" xfId="9737" xr:uid="{96B4421B-AEC7-451E-A576-FB7636CED7BF}"/>
    <cellStyle name="Normal 2 2 3" xfId="889" xr:uid="{DC0A73B1-5AC3-4B69-9F06-9851C02A48E7}"/>
    <cellStyle name="Normal 2 2 3 10" xfId="890" xr:uid="{433DE69B-39C0-4566-A992-5DCA81472BEE}"/>
    <cellStyle name="Normal 2 2 3 10 2" xfId="891" xr:uid="{C8C623D3-7236-43F2-BA1A-137010659BB0}"/>
    <cellStyle name="Normal 2 2 3 10 2 2" xfId="892" xr:uid="{6CB0777C-3664-4CF7-9EBF-0EA3C1BD2AC2}"/>
    <cellStyle name="Normal 2 2 3 10 2 2 2" xfId="9746" xr:uid="{AA7D4E06-C127-4BCD-A959-26121A0028F6}"/>
    <cellStyle name="Normal 2 2 3 10 2 3" xfId="893" xr:uid="{234FF536-C403-416B-935A-7DB37234C305}"/>
    <cellStyle name="Normal 2 2 3 10 2 3 2" xfId="9747" xr:uid="{252E1C97-F902-4EFF-BE39-DD99E41D838D}"/>
    <cellStyle name="Normal 2 2 3 10 2 4" xfId="9745" xr:uid="{C93E7808-F792-4CF7-A795-58A14FE6F2AC}"/>
    <cellStyle name="Normal 2 2 3 10 3" xfId="894" xr:uid="{F36CFAFE-4E93-43F0-825B-82E407117B7D}"/>
    <cellStyle name="Normal 2 2 3 10 3 2" xfId="9748" xr:uid="{4C112F6F-2633-4706-947F-FBA925D40AFC}"/>
    <cellStyle name="Normal 2 2 3 10 4" xfId="895" xr:uid="{FC9FC460-552D-4C81-8D02-5C0151EF1073}"/>
    <cellStyle name="Normal 2 2 3 10 4 2" xfId="9749" xr:uid="{5A5838F4-78FB-40E3-BCFF-49B3CBDF08A9}"/>
    <cellStyle name="Normal 2 2 3 10 5" xfId="9744" xr:uid="{4968062D-F030-44A4-B594-E405213E2E8D}"/>
    <cellStyle name="Normal 2 2 3 11" xfId="896" xr:uid="{7B0104E0-679A-444F-88E9-56F86FB00DBA}"/>
    <cellStyle name="Normal 2 2 3 11 2" xfId="897" xr:uid="{89876394-0F99-46EC-AF52-BDAB83E2A6CC}"/>
    <cellStyle name="Normal 2 2 3 11 2 2" xfId="898" xr:uid="{2C83F6BE-8561-4BFA-94CA-4BEEDAF67C3D}"/>
    <cellStyle name="Normal 2 2 3 11 2 2 2" xfId="9752" xr:uid="{5625C548-0094-44EC-BF78-1ADA410224CB}"/>
    <cellStyle name="Normal 2 2 3 11 2 3" xfId="899" xr:uid="{F8EEEB73-C002-4E55-8821-4845C1D5EEAC}"/>
    <cellStyle name="Normal 2 2 3 11 2 3 2" xfId="9753" xr:uid="{8B4A99F4-31B8-4196-9452-3DA13A30C2BA}"/>
    <cellStyle name="Normal 2 2 3 11 2 4" xfId="9751" xr:uid="{5FE2A141-75FF-490D-BB17-51435A10C405}"/>
    <cellStyle name="Normal 2 2 3 11 3" xfId="900" xr:uid="{BB89E1F4-826C-400D-AD4E-B93BBD8327F7}"/>
    <cellStyle name="Normal 2 2 3 11 3 2" xfId="9754" xr:uid="{F2B3CF1D-1E42-4EAE-9737-6D2FCB521876}"/>
    <cellStyle name="Normal 2 2 3 11 4" xfId="901" xr:uid="{E434B15C-B248-4898-B96B-E822D797B803}"/>
    <cellStyle name="Normal 2 2 3 11 4 2" xfId="9755" xr:uid="{1C2DAC94-97C6-4A81-B363-67C3089CFDFF}"/>
    <cellStyle name="Normal 2 2 3 11 5" xfId="9750" xr:uid="{3B1CC291-9247-4489-AE96-5E0C16D526D6}"/>
    <cellStyle name="Normal 2 2 3 12" xfId="902" xr:uid="{C7CF1588-8A0F-4B4F-A582-80EAC3AD26BD}"/>
    <cellStyle name="Normal 2 2 3 12 2" xfId="903" xr:uid="{DF24B2F5-33F2-4C84-82F2-5FB187AB2770}"/>
    <cellStyle name="Normal 2 2 3 12 2 2" xfId="904" xr:uid="{E6B127DA-5AA7-461D-8150-44D70CE84171}"/>
    <cellStyle name="Normal 2 2 3 12 2 2 2" xfId="9758" xr:uid="{85E2F8DB-0CC4-4A50-AFF0-6A888A6C2180}"/>
    <cellStyle name="Normal 2 2 3 12 2 3" xfId="905" xr:uid="{B1336A4C-FDBD-4D8F-A004-CC0B8BFA7248}"/>
    <cellStyle name="Normal 2 2 3 12 2 3 2" xfId="9759" xr:uid="{9FE2E5E4-55B5-4DCD-AC5A-0AF077B5D1C5}"/>
    <cellStyle name="Normal 2 2 3 12 2 4" xfId="9757" xr:uid="{A865489D-D6A6-4216-B1A7-78A92584A58C}"/>
    <cellStyle name="Normal 2 2 3 12 3" xfId="906" xr:uid="{D4579E5D-4793-4E89-8CB0-F2CF922044E4}"/>
    <cellStyle name="Normal 2 2 3 12 3 2" xfId="9760" xr:uid="{1F7BD918-D6DE-4ABC-A70E-0647F596F8CB}"/>
    <cellStyle name="Normal 2 2 3 12 4" xfId="907" xr:uid="{73EB9F4B-FF3B-4327-8EAF-89A465E2B5F1}"/>
    <cellStyle name="Normal 2 2 3 12 4 2" xfId="9761" xr:uid="{21EF1452-D4C3-462C-9E89-9CF7D91130EA}"/>
    <cellStyle name="Normal 2 2 3 12 5" xfId="9756" xr:uid="{349F4950-B15F-4755-8CAD-DCAA9384BA1C}"/>
    <cellStyle name="Normal 2 2 3 13" xfId="908" xr:uid="{F5368EB4-AA3F-4942-B762-0527C5038AFC}"/>
    <cellStyle name="Normal 2 2 3 13 2" xfId="909" xr:uid="{05BBBD8E-300B-4C88-8333-76F76E2860EE}"/>
    <cellStyle name="Normal 2 2 3 13 2 2" xfId="910" xr:uid="{0DDCAEF1-711C-4742-9049-1D32159D7349}"/>
    <cellStyle name="Normal 2 2 3 13 2 2 2" xfId="9764" xr:uid="{B0ADC682-FEF2-4F19-B379-37006D1086E9}"/>
    <cellStyle name="Normal 2 2 3 13 2 3" xfId="911" xr:uid="{803E0B5E-ABE5-4F98-AD0C-9CDE6665C731}"/>
    <cellStyle name="Normal 2 2 3 13 2 3 2" xfId="9765" xr:uid="{C16DE191-9752-4522-A31D-F1555CFB8057}"/>
    <cellStyle name="Normal 2 2 3 13 2 4" xfId="9763" xr:uid="{700AECE3-1833-4B50-870B-6117ABE9F452}"/>
    <cellStyle name="Normal 2 2 3 13 3" xfId="912" xr:uid="{23CD29F4-A917-4F04-A814-EED4F8281AB7}"/>
    <cellStyle name="Normal 2 2 3 13 3 2" xfId="9766" xr:uid="{63DBC5B0-F6AF-471E-B020-DA41488F4836}"/>
    <cellStyle name="Normal 2 2 3 13 4" xfId="913" xr:uid="{B3F31B8A-24FA-4CB7-82EE-D774D52E07C4}"/>
    <cellStyle name="Normal 2 2 3 13 4 2" xfId="9767" xr:uid="{24153C36-D5FE-4B3D-AE97-31597ED5DC2A}"/>
    <cellStyle name="Normal 2 2 3 13 5" xfId="9762" xr:uid="{EFB79AE0-967D-40E7-A027-7D5EE312C958}"/>
    <cellStyle name="Normal 2 2 3 14" xfId="914" xr:uid="{CD617BD5-A8AA-4FD9-9F98-FD9C5B6AC9F3}"/>
    <cellStyle name="Normal 2 2 3 14 2" xfId="915" xr:uid="{2AC60F39-779D-4DC6-AA7D-6154A46EC6AB}"/>
    <cellStyle name="Normal 2 2 3 14 2 2" xfId="916" xr:uid="{7F365945-840F-42DC-A034-E7EE1F273681}"/>
    <cellStyle name="Normal 2 2 3 14 2 2 2" xfId="9770" xr:uid="{F8D78CB5-135C-45F3-94A1-D28C1779AC50}"/>
    <cellStyle name="Normal 2 2 3 14 2 3" xfId="917" xr:uid="{95D675E4-180E-4394-85BC-3739A97E3532}"/>
    <cellStyle name="Normal 2 2 3 14 2 3 2" xfId="9771" xr:uid="{157F65BF-8272-4E07-BC4F-9760FC74AC93}"/>
    <cellStyle name="Normal 2 2 3 14 2 4" xfId="9769" xr:uid="{16A679A9-2898-43AA-9ADA-AE9554505B88}"/>
    <cellStyle name="Normal 2 2 3 14 3" xfId="918" xr:uid="{46BDB030-AC75-4E9A-BCBB-999901FE817E}"/>
    <cellStyle name="Normal 2 2 3 14 3 2" xfId="9772" xr:uid="{41AAC8D1-03D1-4FF6-BC51-DF1A651BD2AF}"/>
    <cellStyle name="Normal 2 2 3 14 4" xfId="919" xr:uid="{2899858B-CF9A-4D68-BABC-D8F3D83B9567}"/>
    <cellStyle name="Normal 2 2 3 14 4 2" xfId="9773" xr:uid="{3F70B533-F742-4D88-8799-A702E5E74E65}"/>
    <cellStyle name="Normal 2 2 3 14 5" xfId="9768" xr:uid="{436717AD-D129-4FF6-AB9F-05FDD7D799AB}"/>
    <cellStyle name="Normal 2 2 3 15" xfId="920" xr:uid="{427021FA-6496-4DC8-8C44-336347C5E265}"/>
    <cellStyle name="Normal 2 2 3 15 2" xfId="921" xr:uid="{C5D346B6-2460-493A-ADC8-930399C44890}"/>
    <cellStyle name="Normal 2 2 3 15 2 2" xfId="922" xr:uid="{CB275DC1-70B2-4799-9314-E8C296072263}"/>
    <cellStyle name="Normal 2 2 3 15 2 2 2" xfId="9776" xr:uid="{344011B0-B130-4136-91AD-C2F7FE84ADF3}"/>
    <cellStyle name="Normal 2 2 3 15 2 3" xfId="923" xr:uid="{03DD9E8D-425A-4643-9D9D-1E8180C38112}"/>
    <cellStyle name="Normal 2 2 3 15 2 3 2" xfId="9777" xr:uid="{0FA033CF-0973-4837-91D0-04837C255A6B}"/>
    <cellStyle name="Normal 2 2 3 15 2 4" xfId="9775" xr:uid="{EF456DD9-7BDC-4921-8124-4200EFBADF2C}"/>
    <cellStyle name="Normal 2 2 3 15 3" xfId="924" xr:uid="{E9CAAA8D-4CF0-48F7-A771-8F3AFC52CC36}"/>
    <cellStyle name="Normal 2 2 3 15 3 2" xfId="9778" xr:uid="{1ECD1B27-5A08-4FAD-A23A-FEF02CE846D8}"/>
    <cellStyle name="Normal 2 2 3 15 4" xfId="925" xr:uid="{DF131261-43C9-40E8-A689-36AC2818EA91}"/>
    <cellStyle name="Normal 2 2 3 15 4 2" xfId="9779" xr:uid="{600539B4-99A4-43F8-A6DB-18B778406B25}"/>
    <cellStyle name="Normal 2 2 3 15 5" xfId="9774" xr:uid="{AA43328D-F6E0-4865-8167-8539C2F84B26}"/>
    <cellStyle name="Normal 2 2 3 16" xfId="926" xr:uid="{C9CACC16-1E64-4CEA-9679-E79EBCA6011A}"/>
    <cellStyle name="Normal 2 2 3 16 2" xfId="927" xr:uid="{88BA58CB-9609-4561-873B-77626A1DB096}"/>
    <cellStyle name="Normal 2 2 3 16 2 2" xfId="928" xr:uid="{12C3BFD3-5B5A-4875-8873-4751E273E687}"/>
    <cellStyle name="Normal 2 2 3 16 2 2 2" xfId="9782" xr:uid="{191B067D-23EA-4838-8E77-D076D1809D80}"/>
    <cellStyle name="Normal 2 2 3 16 2 3" xfId="929" xr:uid="{227D591F-84B6-439A-B20A-770320C6F1BF}"/>
    <cellStyle name="Normal 2 2 3 16 2 3 2" xfId="9783" xr:uid="{A93AABE7-07E1-4AD2-9990-7847AAE11B71}"/>
    <cellStyle name="Normal 2 2 3 16 2 4" xfId="9781" xr:uid="{53257C55-AE9B-4E58-B443-1A9990969B99}"/>
    <cellStyle name="Normal 2 2 3 16 3" xfId="930" xr:uid="{2C9FE955-B007-427F-8B40-30B0A6844771}"/>
    <cellStyle name="Normal 2 2 3 16 3 2" xfId="9784" xr:uid="{5CED133A-17D2-41FD-8B19-008A42605867}"/>
    <cellStyle name="Normal 2 2 3 16 4" xfId="931" xr:uid="{5EC1491E-5103-469D-B1D5-40576F71BDCC}"/>
    <cellStyle name="Normal 2 2 3 16 4 2" xfId="9785" xr:uid="{0A21BD9F-F568-4E51-A9AA-0643DD670630}"/>
    <cellStyle name="Normal 2 2 3 16 5" xfId="9780" xr:uid="{987F326E-B03E-4A18-8D6D-41E2CB876C1E}"/>
    <cellStyle name="Normal 2 2 3 17" xfId="932" xr:uid="{780BB5EC-2E1D-4038-BD98-7FB2DAC54F21}"/>
    <cellStyle name="Normal 2 2 3 17 2" xfId="933" xr:uid="{A76D2B99-ED50-4BE1-9435-322E0F216286}"/>
    <cellStyle name="Normal 2 2 3 17 2 2" xfId="934" xr:uid="{FA64A7C7-346D-4BB3-B95F-7FF84023FF59}"/>
    <cellStyle name="Normal 2 2 3 17 2 2 2" xfId="9788" xr:uid="{88B870B1-2758-48A3-B0EF-87010BBD516F}"/>
    <cellStyle name="Normal 2 2 3 17 2 3" xfId="935" xr:uid="{A9451F77-7F7D-49DF-B5B2-8F1567E3ABF9}"/>
    <cellStyle name="Normal 2 2 3 17 2 3 2" xfId="9789" xr:uid="{96A032B4-DD4B-4936-A6B6-8ABAE8CCE498}"/>
    <cellStyle name="Normal 2 2 3 17 2 4" xfId="9787" xr:uid="{746FD210-47D8-42E3-BFD1-8C34B5325E31}"/>
    <cellStyle name="Normal 2 2 3 17 3" xfId="936" xr:uid="{714A2AF9-84C7-4B0C-ADAE-A95495283687}"/>
    <cellStyle name="Normal 2 2 3 17 3 2" xfId="9790" xr:uid="{AF6956C8-CE0A-4B15-AAF0-D512B3162459}"/>
    <cellStyle name="Normal 2 2 3 17 4" xfId="937" xr:uid="{AAF1E56B-1DEE-42FD-BBF4-9A521DB6A0D9}"/>
    <cellStyle name="Normal 2 2 3 17 4 2" xfId="9791" xr:uid="{14784A91-F0DC-410E-9FC7-F636C75EBE6D}"/>
    <cellStyle name="Normal 2 2 3 17 5" xfId="9786" xr:uid="{2A5DE1B6-5D74-454A-A195-207D76CB0705}"/>
    <cellStyle name="Normal 2 2 3 18" xfId="938" xr:uid="{4242C147-9A33-4860-8212-C5A8F37A4B1E}"/>
    <cellStyle name="Normal 2 2 3 18 2" xfId="939" xr:uid="{F9AF3E5D-9639-440F-A31E-2C2C01D69E46}"/>
    <cellStyle name="Normal 2 2 3 18 2 2" xfId="940" xr:uid="{294C4B79-24DE-4923-AC2D-0789D41A9C3F}"/>
    <cellStyle name="Normal 2 2 3 18 2 2 2" xfId="9794" xr:uid="{1E1C201E-507C-48DF-964E-FAB0457EA293}"/>
    <cellStyle name="Normal 2 2 3 18 2 3" xfId="941" xr:uid="{18682486-F19D-4CFD-BE88-09E5A5871902}"/>
    <cellStyle name="Normal 2 2 3 18 2 3 2" xfId="9795" xr:uid="{A95DAC9E-DF45-42DE-9054-F4D1C42195CD}"/>
    <cellStyle name="Normal 2 2 3 18 2 4" xfId="9793" xr:uid="{9145C08F-50AA-42E7-99D9-79C7BDCC2BF1}"/>
    <cellStyle name="Normal 2 2 3 18 3" xfId="942" xr:uid="{FF0D9DFF-65E7-4FA5-A3F5-AF41777B3084}"/>
    <cellStyle name="Normal 2 2 3 18 3 2" xfId="9796" xr:uid="{F77856BD-FA69-42CC-8BEB-CDA0B8F85A68}"/>
    <cellStyle name="Normal 2 2 3 18 4" xfId="943" xr:uid="{2B22363A-BDD9-4D09-8C63-5CEB1F8AE565}"/>
    <cellStyle name="Normal 2 2 3 18 4 2" xfId="9797" xr:uid="{5564A73C-53A8-477E-812B-01DC02AAF445}"/>
    <cellStyle name="Normal 2 2 3 18 5" xfId="9792" xr:uid="{0077CB15-2FD9-464D-951E-4BF1DC983514}"/>
    <cellStyle name="Normal 2 2 3 19" xfId="944" xr:uid="{6A75D4B1-EA14-4059-876B-06EC1FB2EBD9}"/>
    <cellStyle name="Normal 2 2 3 19 2" xfId="945" xr:uid="{D6F9D375-C1F7-499F-91EF-5306FE47DB14}"/>
    <cellStyle name="Normal 2 2 3 19 2 2" xfId="946" xr:uid="{4CB39F6E-7F25-431D-AD4E-DED709B94EB1}"/>
    <cellStyle name="Normal 2 2 3 19 2 2 2" xfId="9800" xr:uid="{83FB3D47-A0DB-464B-9113-C5F1EF30CCD9}"/>
    <cellStyle name="Normal 2 2 3 19 2 3" xfId="947" xr:uid="{C9C40C3B-575D-46E9-95F8-A4CD9F08DF96}"/>
    <cellStyle name="Normal 2 2 3 19 2 3 2" xfId="9801" xr:uid="{390EDEAD-ACF8-44EE-94CC-A167C35AA767}"/>
    <cellStyle name="Normal 2 2 3 19 2 4" xfId="9799" xr:uid="{ACC8AF98-9675-4BD7-9C47-8870FDE5233D}"/>
    <cellStyle name="Normal 2 2 3 19 3" xfId="948" xr:uid="{FBB681A2-052B-47B2-BC6A-3E10C834A835}"/>
    <cellStyle name="Normal 2 2 3 19 3 2" xfId="9802" xr:uid="{3715A642-7C0F-4194-B14C-8D184B81A790}"/>
    <cellStyle name="Normal 2 2 3 19 4" xfId="949" xr:uid="{884E6CE2-C6B5-47F7-BB01-65D451373DE3}"/>
    <cellStyle name="Normal 2 2 3 19 4 2" xfId="9803" xr:uid="{8F55BFAB-24CE-46AD-BD46-B8F3A642D425}"/>
    <cellStyle name="Normal 2 2 3 19 5" xfId="9798" xr:uid="{2DF18350-0514-4581-B01A-8ECAA8EE1E3B}"/>
    <cellStyle name="Normal 2 2 3 2" xfId="950" xr:uid="{FC0EE6D1-086F-4F07-AADB-49CE95E26EE2}"/>
    <cellStyle name="Normal 2 2 3 2 2" xfId="951" xr:uid="{2894CB67-7BB4-414D-AF07-7ABE4FA9A845}"/>
    <cellStyle name="Normal 2 2 3 2 2 2" xfId="952" xr:uid="{99666403-3D07-4794-B689-4B430A15FE40}"/>
    <cellStyle name="Normal 2 2 3 2 2 2 2" xfId="9806" xr:uid="{DF00BAED-A960-4741-BBC6-0550EF61B3FB}"/>
    <cellStyle name="Normal 2 2 3 2 2 3" xfId="953" xr:uid="{789CC225-97D7-424B-AA80-A45CD236E7A8}"/>
    <cellStyle name="Normal 2 2 3 2 2 3 2" xfId="9807" xr:uid="{E4F38DB7-933B-4D02-BC7B-6BE4822009FB}"/>
    <cellStyle name="Normal 2 2 3 2 2 4" xfId="9805" xr:uid="{3467F268-5D87-4700-AC1C-D4D2941864DD}"/>
    <cellStyle name="Normal 2 2 3 2 3" xfId="954" xr:uid="{38EF794C-F4C0-446F-8B76-F0DFE57C3D14}"/>
    <cellStyle name="Normal 2 2 3 2 3 2" xfId="9808" xr:uid="{B775F30E-2041-4858-B802-314A5EC01276}"/>
    <cellStyle name="Normal 2 2 3 2 4" xfId="955" xr:uid="{D4ACE03E-49FD-453C-B6CD-1DDCFAADF686}"/>
    <cellStyle name="Normal 2 2 3 2 4 2" xfId="9809" xr:uid="{87AB5935-BCD0-4C2F-AC98-3140D5AC017D}"/>
    <cellStyle name="Normal 2 2 3 2 5" xfId="956" xr:uid="{92DD6CBB-A02D-44F4-8A5E-FB3250553B8B}"/>
    <cellStyle name="Normal 2 2 3 2 6" xfId="957" xr:uid="{1F3F7AB2-5293-43E7-A926-350343A92F7D}"/>
    <cellStyle name="Normal 2 2 3 2 6 2" xfId="9810" xr:uid="{887F0346-37F5-4BBE-91A0-1D59F32615E8}"/>
    <cellStyle name="Normal 2 2 3 2 7" xfId="958" xr:uid="{5AAD7958-E10F-46C7-8EB9-4E2F9D342076}"/>
    <cellStyle name="Normal 2 2 3 2 8" xfId="9804" xr:uid="{9AF36652-C285-41F7-881D-769620E763B1}"/>
    <cellStyle name="Normal 2 2 3 20" xfId="959" xr:uid="{B4728107-929D-4881-9F7D-FBB851EE8142}"/>
    <cellStyle name="Normal 2 2 3 20 2" xfId="960" xr:uid="{1C4432E9-D222-4A1A-A8C7-3E1F28CBADDD}"/>
    <cellStyle name="Normal 2 2 3 20 2 2" xfId="961" xr:uid="{4CF12F02-386C-441A-9E97-51B44AD43659}"/>
    <cellStyle name="Normal 2 2 3 20 2 2 2" xfId="9813" xr:uid="{2D62E2BA-50D6-41C2-8952-594BE6B2E714}"/>
    <cellStyle name="Normal 2 2 3 20 2 3" xfId="962" xr:uid="{C6558227-FF13-41F0-BC62-F82DF44371FD}"/>
    <cellStyle name="Normal 2 2 3 20 2 3 2" xfId="9814" xr:uid="{CE29F92E-E523-4F4D-B738-80D29E136E99}"/>
    <cellStyle name="Normal 2 2 3 20 2 4" xfId="9812" xr:uid="{5C72829D-984C-4F64-B99C-03BEC7FED1AA}"/>
    <cellStyle name="Normal 2 2 3 20 3" xfId="963" xr:uid="{A77289E7-6DEF-433F-81A2-C2A4D38DC00D}"/>
    <cellStyle name="Normal 2 2 3 20 3 2" xfId="9815" xr:uid="{1CDCEC29-88E6-4BC9-BC3A-9F2F07499132}"/>
    <cellStyle name="Normal 2 2 3 20 4" xfId="964" xr:uid="{5220151B-CA40-4B64-9FA6-EA4902787997}"/>
    <cellStyle name="Normal 2 2 3 20 4 2" xfId="9816" xr:uid="{14D8EF3F-44D2-4C9C-8CA3-C1FB9DC1C153}"/>
    <cellStyle name="Normal 2 2 3 20 5" xfId="9811" xr:uid="{2420ED0A-56F6-43A7-BFEC-23695A8A35ED}"/>
    <cellStyle name="Normal 2 2 3 21" xfId="965" xr:uid="{56CC9795-E409-419A-B232-5B49945E5521}"/>
    <cellStyle name="Normal 2 2 3 21 2" xfId="966" xr:uid="{D49CA016-E758-4F87-A9BC-E49E14D2A9CD}"/>
    <cellStyle name="Normal 2 2 3 21 2 2" xfId="967" xr:uid="{969C7898-D5B3-4024-8CF4-4A02EC9B11B1}"/>
    <cellStyle name="Normal 2 2 3 21 2 2 2" xfId="9819" xr:uid="{B56F327B-0634-4102-9465-44C3DBBFCE73}"/>
    <cellStyle name="Normal 2 2 3 21 2 3" xfId="968" xr:uid="{8CA33000-82B3-4C63-A8F8-A9731DEAAAC6}"/>
    <cellStyle name="Normal 2 2 3 21 2 3 2" xfId="9820" xr:uid="{20B17718-DBAB-44DE-AE2A-3C34AD971A11}"/>
    <cellStyle name="Normal 2 2 3 21 2 4" xfId="9818" xr:uid="{98EB14CB-C045-46F9-B929-73F345375754}"/>
    <cellStyle name="Normal 2 2 3 21 3" xfId="969" xr:uid="{4D50FF72-5B86-45B5-B74D-CD14201EFB6D}"/>
    <cellStyle name="Normal 2 2 3 21 3 2" xfId="9821" xr:uid="{9AC2BF28-8E1C-46C7-8669-E7A312BBF79C}"/>
    <cellStyle name="Normal 2 2 3 21 4" xfId="970" xr:uid="{3AB1FDE9-290B-44E5-9666-9047F35C5F12}"/>
    <cellStyle name="Normal 2 2 3 21 4 2" xfId="9822" xr:uid="{F7245421-83BC-4C0B-944A-BC62658683AD}"/>
    <cellStyle name="Normal 2 2 3 21 5" xfId="9817" xr:uid="{6AB3EC82-0EC6-41B1-B537-3811FCA13025}"/>
    <cellStyle name="Normal 2 2 3 22" xfId="971" xr:uid="{5E2C47F4-2CAC-4DCC-AA11-291939A31033}"/>
    <cellStyle name="Normal 2 2 3 22 2" xfId="972" xr:uid="{CE5F08CE-2A96-4295-88CD-070591DFAC26}"/>
    <cellStyle name="Normal 2 2 3 22 2 2" xfId="973" xr:uid="{6356B2E7-55DC-4E6F-93AA-5DCE39B24C8A}"/>
    <cellStyle name="Normal 2 2 3 22 2 2 2" xfId="9825" xr:uid="{A0FE5ACD-96E5-4AA5-A230-E86D34306713}"/>
    <cellStyle name="Normal 2 2 3 22 2 3" xfId="974" xr:uid="{8EDD5055-3578-4568-95E9-B732555D797B}"/>
    <cellStyle name="Normal 2 2 3 22 2 3 2" xfId="9826" xr:uid="{4B56E346-5FC8-41E4-878E-FE1CDD69D3D5}"/>
    <cellStyle name="Normal 2 2 3 22 2 4" xfId="9824" xr:uid="{DFFA82E9-176F-4F5B-90E7-BF583C7CD195}"/>
    <cellStyle name="Normal 2 2 3 22 3" xfId="975" xr:uid="{3D457EF8-94F1-4396-B157-8C5877A00C85}"/>
    <cellStyle name="Normal 2 2 3 22 3 2" xfId="9827" xr:uid="{80C8F92A-0A2B-45E6-A39B-624C6ACE98B9}"/>
    <cellStyle name="Normal 2 2 3 22 4" xfId="976" xr:uid="{C2AD5CA2-4AC3-4BF8-A408-519D86EDFC67}"/>
    <cellStyle name="Normal 2 2 3 22 4 2" xfId="9828" xr:uid="{F5214835-910D-416A-ADD8-4E768B2CFABB}"/>
    <cellStyle name="Normal 2 2 3 22 5" xfId="9823" xr:uid="{1B656572-2827-403F-B377-A184037AE8A4}"/>
    <cellStyle name="Normal 2 2 3 23" xfId="977" xr:uid="{A082A4B8-4FB3-47EA-B988-4E2EE8BE3DDC}"/>
    <cellStyle name="Normal 2 2 3 23 2" xfId="978" xr:uid="{7E232D72-A561-4E13-8773-CABFCD6B4F6A}"/>
    <cellStyle name="Normal 2 2 3 23 2 2" xfId="979" xr:uid="{0554133E-E1EF-4577-BB05-D5C250CF58C5}"/>
    <cellStyle name="Normal 2 2 3 23 2 2 2" xfId="9831" xr:uid="{36836332-3F90-4BD1-ADF8-C977FC8D60C9}"/>
    <cellStyle name="Normal 2 2 3 23 2 3" xfId="980" xr:uid="{AEB60132-1970-42F9-9AFE-7A49C620BD1C}"/>
    <cellStyle name="Normal 2 2 3 23 2 3 2" xfId="9832" xr:uid="{3371F593-F932-4BA3-9BF0-0A1B86C39A9E}"/>
    <cellStyle name="Normal 2 2 3 23 2 4" xfId="9830" xr:uid="{6B2D7E55-6AA1-4DE6-896A-3ADD55FB3026}"/>
    <cellStyle name="Normal 2 2 3 23 3" xfId="981" xr:uid="{EAF9B5C9-418F-4ECA-9EEF-41F33D5A6442}"/>
    <cellStyle name="Normal 2 2 3 23 3 2" xfId="9833" xr:uid="{B248FB15-78DB-4F46-9804-FFB78F63974A}"/>
    <cellStyle name="Normal 2 2 3 23 4" xfId="982" xr:uid="{2204BBC4-C17C-48ED-84C0-86CAD70D03F1}"/>
    <cellStyle name="Normal 2 2 3 23 4 2" xfId="9834" xr:uid="{56C44918-CFE9-4E91-8444-5A26B23B41AA}"/>
    <cellStyle name="Normal 2 2 3 23 5" xfId="9829" xr:uid="{315D96DC-59E0-4AE3-BBD6-E60E17FF5E08}"/>
    <cellStyle name="Normal 2 2 3 24" xfId="983" xr:uid="{1BC9AC5F-6372-4824-A611-F3E16C484B05}"/>
    <cellStyle name="Normal 2 2 3 24 2" xfId="984" xr:uid="{ECBE3E7A-46FC-4E55-B915-020D1E0BCC22}"/>
    <cellStyle name="Normal 2 2 3 24 2 2" xfId="985" xr:uid="{900563E2-265B-4819-8C21-E7B42D7D84B8}"/>
    <cellStyle name="Normal 2 2 3 24 2 2 2" xfId="9837" xr:uid="{CAFD6BA6-6E7B-47BF-AC10-9178B1939357}"/>
    <cellStyle name="Normal 2 2 3 24 2 3" xfId="986" xr:uid="{8B77626E-AF8D-4061-8994-27C8A8406DFB}"/>
    <cellStyle name="Normal 2 2 3 24 2 3 2" xfId="9838" xr:uid="{91A3A35B-4942-4C70-8466-FA6C41772800}"/>
    <cellStyle name="Normal 2 2 3 24 2 4" xfId="9836" xr:uid="{3DE838AC-0224-4F9C-8ED2-7802C50F7662}"/>
    <cellStyle name="Normal 2 2 3 24 3" xfId="987" xr:uid="{D501390D-C11A-4B37-8DA7-AD23BCD856A8}"/>
    <cellStyle name="Normal 2 2 3 24 3 2" xfId="9839" xr:uid="{6E3A7A23-DC05-4354-AA87-80E942F6FF49}"/>
    <cellStyle name="Normal 2 2 3 24 4" xfId="988" xr:uid="{4402C59F-3F37-422E-AFD1-985D76431E44}"/>
    <cellStyle name="Normal 2 2 3 24 4 2" xfId="9840" xr:uid="{4AA66DC5-9A82-4E49-8655-5A6B4F60397A}"/>
    <cellStyle name="Normal 2 2 3 24 5" xfId="9835" xr:uid="{B628969D-EEC4-4A9B-A5D5-80A4AE4B0DE8}"/>
    <cellStyle name="Normal 2 2 3 25" xfId="989" xr:uid="{9C2F4BC3-9ED8-42DC-A9DE-6FA460B2F188}"/>
    <cellStyle name="Normal 2 2 3 25 2" xfId="990" xr:uid="{80056843-0B00-4979-BFD5-50BE435F76FA}"/>
    <cellStyle name="Normal 2 2 3 25 2 2" xfId="991" xr:uid="{2CAF7333-B1F4-41B5-9088-342AE8658AF7}"/>
    <cellStyle name="Normal 2 2 3 25 2 2 2" xfId="9843" xr:uid="{7C0DE80E-F13C-424E-B957-757DCB634B99}"/>
    <cellStyle name="Normal 2 2 3 25 2 3" xfId="992" xr:uid="{0EAFC0C6-3EEE-4514-88F2-90E5F6928FEC}"/>
    <cellStyle name="Normal 2 2 3 25 2 3 2" xfId="9844" xr:uid="{407FFD9D-9547-4001-9AC5-059612B5F2DE}"/>
    <cellStyle name="Normal 2 2 3 25 2 4" xfId="9842" xr:uid="{2734A844-7D7C-4077-90CE-9544EF302ACF}"/>
    <cellStyle name="Normal 2 2 3 25 3" xfId="993" xr:uid="{A0EA5D87-D44A-40ED-A922-665EDE7972E9}"/>
    <cellStyle name="Normal 2 2 3 25 3 2" xfId="9845" xr:uid="{6331A29D-4582-48AD-8E72-AFFFEF3A3075}"/>
    <cellStyle name="Normal 2 2 3 25 4" xfId="994" xr:uid="{23FEACEC-987A-4DEF-A372-808A976C0F39}"/>
    <cellStyle name="Normal 2 2 3 25 4 2" xfId="9846" xr:uid="{AC26A752-9463-4CF5-A381-D1E2DD9E392C}"/>
    <cellStyle name="Normal 2 2 3 25 5" xfId="9841" xr:uid="{8A9F0FBB-067D-4F3B-A3FB-6C18DA372D9E}"/>
    <cellStyle name="Normal 2 2 3 26" xfId="995" xr:uid="{368FF207-F6CC-43A2-A3F7-506566AA4083}"/>
    <cellStyle name="Normal 2 2 3 26 2" xfId="996" xr:uid="{71D057C3-4D78-4C4D-9FC2-ED4681649943}"/>
    <cellStyle name="Normal 2 2 3 26 2 2" xfId="997" xr:uid="{1361B442-8540-42A4-93F4-79920963D604}"/>
    <cellStyle name="Normal 2 2 3 26 2 2 2" xfId="9849" xr:uid="{9AFE1E16-C4FD-47DD-9FED-AF8E5ADBA458}"/>
    <cellStyle name="Normal 2 2 3 26 2 3" xfId="998" xr:uid="{5E0E5FC0-B4FA-4ACC-8DE7-FB37EFFF0E35}"/>
    <cellStyle name="Normal 2 2 3 26 2 3 2" xfId="9850" xr:uid="{F611CC8B-316A-444D-9D2C-AE1AC8FC4842}"/>
    <cellStyle name="Normal 2 2 3 26 2 4" xfId="9848" xr:uid="{46BF3B45-C260-47ED-A478-C2C77A0CBAFA}"/>
    <cellStyle name="Normal 2 2 3 26 3" xfId="999" xr:uid="{DF35273A-6C55-44CE-907F-6DE5877C54C3}"/>
    <cellStyle name="Normal 2 2 3 26 3 2" xfId="9851" xr:uid="{F0DA868E-A9DE-48C8-B5C8-544F45D27CA7}"/>
    <cellStyle name="Normal 2 2 3 26 4" xfId="1000" xr:uid="{8F3EB5CB-F1C0-4E4C-ACB7-E57665FF499A}"/>
    <cellStyle name="Normal 2 2 3 26 4 2" xfId="9852" xr:uid="{4F1FE3EC-3B73-45DF-B27E-71EB8F59C6FD}"/>
    <cellStyle name="Normal 2 2 3 26 5" xfId="9847" xr:uid="{4325B906-F924-402E-8A16-7238EDB05788}"/>
    <cellStyle name="Normal 2 2 3 27" xfId="1001" xr:uid="{C22B11A4-52D9-4797-9BF2-90E8D6ED3FD0}"/>
    <cellStyle name="Normal 2 2 3 27 2" xfId="1002" xr:uid="{8A450C09-4026-4A9E-B207-C7018E72F254}"/>
    <cellStyle name="Normal 2 2 3 27 2 2" xfId="1003" xr:uid="{8270731A-B617-49C4-9DDE-DB223A709424}"/>
    <cellStyle name="Normal 2 2 3 27 2 2 2" xfId="9855" xr:uid="{A8854D98-1BE9-41CA-9AB0-D81C20A5DA57}"/>
    <cellStyle name="Normal 2 2 3 27 2 3" xfId="1004" xr:uid="{7E2FE23F-0663-4FA6-810C-72827A642C49}"/>
    <cellStyle name="Normal 2 2 3 27 2 3 2" xfId="9856" xr:uid="{61AEA006-0444-4A1F-A055-38DD292A933B}"/>
    <cellStyle name="Normal 2 2 3 27 2 4" xfId="9854" xr:uid="{E8B98772-2887-4E5A-B7A3-5EA62F660FE8}"/>
    <cellStyle name="Normal 2 2 3 27 3" xfId="1005" xr:uid="{100137F5-68B1-4947-A351-65BE2C45F54B}"/>
    <cellStyle name="Normal 2 2 3 27 3 2" xfId="9857" xr:uid="{94F55664-3755-484E-AB21-FBEFEA398054}"/>
    <cellStyle name="Normal 2 2 3 27 4" xfId="1006" xr:uid="{F9AACCAD-1BC5-4C6E-A5C6-0514D08EFE19}"/>
    <cellStyle name="Normal 2 2 3 27 4 2" xfId="9858" xr:uid="{0FE15682-9942-4296-AB60-7B741118EBF0}"/>
    <cellStyle name="Normal 2 2 3 27 5" xfId="9853" xr:uid="{03F6160C-FD94-4C1D-9E2C-D27501CEA6A8}"/>
    <cellStyle name="Normal 2 2 3 28" xfId="1007" xr:uid="{3EC9A449-E2F6-457C-B56F-7AB7F8AFBAD6}"/>
    <cellStyle name="Normal 2 2 3 28 2" xfId="1008" xr:uid="{920F2426-A708-41C0-9265-64805A7C367F}"/>
    <cellStyle name="Normal 2 2 3 28 2 2" xfId="1009" xr:uid="{1CF7128B-488E-4F45-8C8E-7D934157B13E}"/>
    <cellStyle name="Normal 2 2 3 28 2 2 2" xfId="9861" xr:uid="{0D6B956E-C8D3-4621-8212-A2767D5A7D48}"/>
    <cellStyle name="Normal 2 2 3 28 2 3" xfId="1010" xr:uid="{CA693960-5E84-4249-84DE-6BF2016BD4AB}"/>
    <cellStyle name="Normal 2 2 3 28 2 3 2" xfId="9862" xr:uid="{FEDFA01E-89D7-47D8-A268-B2B6144A7B01}"/>
    <cellStyle name="Normal 2 2 3 28 2 4" xfId="9860" xr:uid="{F9A84832-B94E-45D5-B46F-343FE1002042}"/>
    <cellStyle name="Normal 2 2 3 28 3" xfId="1011" xr:uid="{06C2DECE-0C0B-4392-AECE-0B4857F09F18}"/>
    <cellStyle name="Normal 2 2 3 28 3 2" xfId="9863" xr:uid="{A9009DF3-A7DD-4B48-8438-A2FD911C865E}"/>
    <cellStyle name="Normal 2 2 3 28 4" xfId="1012" xr:uid="{62708375-6627-4DEB-8D85-5EFA2D511ADF}"/>
    <cellStyle name="Normal 2 2 3 28 4 2" xfId="9864" xr:uid="{AE77D597-7096-4842-985A-89E77C4EC863}"/>
    <cellStyle name="Normal 2 2 3 28 5" xfId="9859" xr:uid="{BC601C1A-A8C6-4AE0-9030-EF0645F0810B}"/>
    <cellStyle name="Normal 2 2 3 29" xfId="1013" xr:uid="{4F53B7D6-83BF-48EF-85C9-957D1454C253}"/>
    <cellStyle name="Normal 2 2 3 29 2" xfId="1014" xr:uid="{89295EA0-ED5A-49D4-8BCA-49B769143507}"/>
    <cellStyle name="Normal 2 2 3 29 2 2" xfId="1015" xr:uid="{9A5BAD7A-B1F5-493E-AD3D-6B0F9EF3903F}"/>
    <cellStyle name="Normal 2 2 3 29 2 2 2" xfId="9867" xr:uid="{3A1C0581-E420-4B8C-8446-E54271FADC49}"/>
    <cellStyle name="Normal 2 2 3 29 2 3" xfId="1016" xr:uid="{F53D4AE9-D21C-49B8-81EF-8FE57B9C8C44}"/>
    <cellStyle name="Normal 2 2 3 29 2 3 2" xfId="9868" xr:uid="{E43022CD-1347-41D4-B746-B6064D5FA2AA}"/>
    <cellStyle name="Normal 2 2 3 29 2 4" xfId="9866" xr:uid="{9F964875-3271-4A3A-BD44-3AB342957A4F}"/>
    <cellStyle name="Normal 2 2 3 29 3" xfId="1017" xr:uid="{496D75EF-1E7F-442A-A26A-72744A5F4D4D}"/>
    <cellStyle name="Normal 2 2 3 29 3 2" xfId="9869" xr:uid="{22E2D393-226E-4478-9907-A985AB586338}"/>
    <cellStyle name="Normal 2 2 3 29 4" xfId="1018" xr:uid="{6F1B6CC9-CBC2-4298-86AC-C124EBB5F3E3}"/>
    <cellStyle name="Normal 2 2 3 29 4 2" xfId="9870" xr:uid="{A3A913A5-C6E7-48CA-B0BD-BEDEBA639B62}"/>
    <cellStyle name="Normal 2 2 3 29 5" xfId="9865" xr:uid="{A97831C2-FE5F-47A8-9980-BDA373349817}"/>
    <cellStyle name="Normal 2 2 3 3" xfId="1019" xr:uid="{8C855132-C80E-44EA-AA88-3DDE86F09B0A}"/>
    <cellStyle name="Normal 2 2 3 3 2" xfId="1020" xr:uid="{7668DF06-2D87-450C-A67D-23F97BEDE8EB}"/>
    <cellStyle name="Normal 2 2 3 3 2 2" xfId="1021" xr:uid="{ABECEF28-0D82-4619-82A7-DC6943504324}"/>
    <cellStyle name="Normal 2 2 3 3 2 2 2" xfId="9873" xr:uid="{6A200AA4-D3DA-4A4E-90C8-AB82A5130BD9}"/>
    <cellStyle name="Normal 2 2 3 3 2 3" xfId="1022" xr:uid="{A86C3A9D-1FAD-4161-ADC7-2705045D89E3}"/>
    <cellStyle name="Normal 2 2 3 3 2 3 2" xfId="9874" xr:uid="{7B627F62-401C-4CD5-8DB6-746C7254D483}"/>
    <cellStyle name="Normal 2 2 3 3 2 4" xfId="9872" xr:uid="{5DF610EF-F040-4474-9865-2AFF7DCA09C6}"/>
    <cellStyle name="Normal 2 2 3 3 3" xfId="1023" xr:uid="{C5DCC3AE-0D73-4774-835F-4CDC6B6D5C61}"/>
    <cellStyle name="Normal 2 2 3 3 3 2" xfId="9875" xr:uid="{8B40535B-BFD0-4F42-8F01-144D87F74019}"/>
    <cellStyle name="Normal 2 2 3 3 4" xfId="1024" xr:uid="{CA1F35F5-86FF-4812-9DD3-71062376E16E}"/>
    <cellStyle name="Normal 2 2 3 3 4 2" xfId="9876" xr:uid="{A976B3F8-4B59-42ED-899A-C60AD8A2D8F2}"/>
    <cellStyle name="Normal 2 2 3 3 5" xfId="9871" xr:uid="{85EC6406-5962-4F1D-A1A8-9166A1575C6C}"/>
    <cellStyle name="Normal 2 2 3 30" xfId="1025" xr:uid="{EF16E499-F445-4739-BDB8-E89A6F202CE7}"/>
    <cellStyle name="Normal 2 2 3 30 2" xfId="1026" xr:uid="{8E2002CB-B3B7-41C1-BEF7-1A1F2CFCA703}"/>
    <cellStyle name="Normal 2 2 3 30 2 2" xfId="1027" xr:uid="{BEA646E1-E211-4E97-A48B-A22C60CDCBD2}"/>
    <cellStyle name="Normal 2 2 3 30 2 2 2" xfId="9879" xr:uid="{81F7EC46-1575-4965-B17A-385520912E5D}"/>
    <cellStyle name="Normal 2 2 3 30 2 3" xfId="1028" xr:uid="{A2BE26D9-40E7-41B8-874C-63C4B70F3C45}"/>
    <cellStyle name="Normal 2 2 3 30 2 3 2" xfId="9880" xr:uid="{41559C78-83C1-46DA-A00D-5778E138E71E}"/>
    <cellStyle name="Normal 2 2 3 30 2 4" xfId="9878" xr:uid="{50A17F6F-DB05-4D0E-B460-70DF94CDC005}"/>
    <cellStyle name="Normal 2 2 3 30 3" xfId="1029" xr:uid="{E31B4E78-C437-4D97-B3E3-AC8FE127DAA6}"/>
    <cellStyle name="Normal 2 2 3 30 3 2" xfId="9881" xr:uid="{F9990C4F-7ED6-45EC-8F29-570B2CC3E3ED}"/>
    <cellStyle name="Normal 2 2 3 30 4" xfId="1030" xr:uid="{A5986D21-59F0-4EE2-8879-AE3F331CC47B}"/>
    <cellStyle name="Normal 2 2 3 30 4 2" xfId="9882" xr:uid="{6C730FAE-CCEC-4C73-976E-CA723911F95E}"/>
    <cellStyle name="Normal 2 2 3 30 5" xfId="9877" xr:uid="{1BEC487C-1866-46EB-8DF3-19AE91E4D7FC}"/>
    <cellStyle name="Normal 2 2 3 31" xfId="1031" xr:uid="{FEC6EA28-0B14-495F-A013-35CE6AD7F2FB}"/>
    <cellStyle name="Normal 2 2 3 31 2" xfId="1032" xr:uid="{C6D652F2-2FC0-4B78-9C72-8A4225E46F51}"/>
    <cellStyle name="Normal 2 2 3 31 2 2" xfId="1033" xr:uid="{92243657-4A1F-408D-8D1A-DAEDC74B2119}"/>
    <cellStyle name="Normal 2 2 3 31 2 2 2" xfId="9885" xr:uid="{DF7F20C5-621C-491D-9471-FFE4B4B5B73D}"/>
    <cellStyle name="Normal 2 2 3 31 2 3" xfId="1034" xr:uid="{E941DF6B-C446-4890-AF32-E1B690890BCA}"/>
    <cellStyle name="Normal 2 2 3 31 2 3 2" xfId="9886" xr:uid="{4CB0003C-D935-4E42-A10B-C8E4CAA2EC02}"/>
    <cellStyle name="Normal 2 2 3 31 2 4" xfId="9884" xr:uid="{E1DAD648-F1FD-4BBA-A245-A4F5DC3612B6}"/>
    <cellStyle name="Normal 2 2 3 31 3" xfId="1035" xr:uid="{646357E1-8560-41A2-904B-3F8434D19345}"/>
    <cellStyle name="Normal 2 2 3 31 3 2" xfId="9887" xr:uid="{4BA1EE29-B209-4C6C-BA90-2DD9709BB993}"/>
    <cellStyle name="Normal 2 2 3 31 4" xfId="1036" xr:uid="{304C16E8-7F8D-487B-A383-4A229E4B96FD}"/>
    <cellStyle name="Normal 2 2 3 31 4 2" xfId="9888" xr:uid="{EC6807A6-4052-40E7-9FB2-2CA19EF404BC}"/>
    <cellStyle name="Normal 2 2 3 31 5" xfId="9883" xr:uid="{1064F2BA-0E88-47CC-8F8F-060A543F7D21}"/>
    <cellStyle name="Normal 2 2 3 32" xfId="1037" xr:uid="{14FDEE2F-D422-4FF5-A863-9315DC1E9E38}"/>
    <cellStyle name="Normal 2 2 3 32 2" xfId="1038" xr:uid="{F5C39620-EC31-4EB9-BD72-4CF2A81EF327}"/>
    <cellStyle name="Normal 2 2 3 32 2 2" xfId="1039" xr:uid="{33822847-50FD-4A32-B836-B2F8075D785A}"/>
    <cellStyle name="Normal 2 2 3 32 2 2 2" xfId="9891" xr:uid="{799CD31D-4B01-455D-8CFD-0EAB95DB7FF7}"/>
    <cellStyle name="Normal 2 2 3 32 2 3" xfId="1040" xr:uid="{C9A8384D-3715-4754-9EE0-B8CCD3056072}"/>
    <cellStyle name="Normal 2 2 3 32 2 3 2" xfId="9892" xr:uid="{C56737B8-BF62-4D9D-B70C-A0EEC07E8BC0}"/>
    <cellStyle name="Normal 2 2 3 32 2 4" xfId="9890" xr:uid="{4FB0F6A4-D00A-4A0C-A743-DA1FC1E04A13}"/>
    <cellStyle name="Normal 2 2 3 32 3" xfId="1041" xr:uid="{9953E87D-2FAE-4B91-8D4E-1F15C8D92FA4}"/>
    <cellStyle name="Normal 2 2 3 32 3 2" xfId="9893" xr:uid="{E2B47462-A07B-4181-A03C-72108E779265}"/>
    <cellStyle name="Normal 2 2 3 32 4" xfId="1042" xr:uid="{17789303-3A1B-40A9-AF28-F0635A4524D2}"/>
    <cellStyle name="Normal 2 2 3 32 4 2" xfId="9894" xr:uid="{B57FEE5E-F42E-46E2-AA99-C34BBEA9881A}"/>
    <cellStyle name="Normal 2 2 3 32 5" xfId="9889" xr:uid="{3F497B02-33BC-48F2-8097-DF65C555B0BC}"/>
    <cellStyle name="Normal 2 2 3 33" xfId="1043" xr:uid="{226E3C35-E2AB-48D8-81C0-BAF9B4E0AB3C}"/>
    <cellStyle name="Normal 2 2 3 33 2" xfId="1044" xr:uid="{B53B0E32-E74B-4347-B9C0-53E615B7E655}"/>
    <cellStyle name="Normal 2 2 3 33 2 2" xfId="1045" xr:uid="{1E694D44-0961-4733-B062-AE3F062F2ECC}"/>
    <cellStyle name="Normal 2 2 3 33 2 2 2" xfId="9897" xr:uid="{89D9E041-9286-42E6-AD8E-A94CF154A679}"/>
    <cellStyle name="Normal 2 2 3 33 2 3" xfId="1046" xr:uid="{A2BBA7A4-0E77-4805-A574-017C7E3C06E2}"/>
    <cellStyle name="Normal 2 2 3 33 2 3 2" xfId="9898" xr:uid="{26E07DD7-CE37-44BA-9AC1-7BF1FD3DBB1D}"/>
    <cellStyle name="Normal 2 2 3 33 2 4" xfId="9896" xr:uid="{997A94E6-AC29-4935-AB36-EB525E50BFDF}"/>
    <cellStyle name="Normal 2 2 3 33 3" xfId="1047" xr:uid="{F5675EDA-0AA3-4BE7-AAA3-6191C02827CF}"/>
    <cellStyle name="Normal 2 2 3 33 3 2" xfId="9899" xr:uid="{BE5E25C8-6A38-4467-9A0D-2057A38ACDC2}"/>
    <cellStyle name="Normal 2 2 3 33 4" xfId="1048" xr:uid="{4D15986F-762A-4A2C-86D9-83D78B5E235E}"/>
    <cellStyle name="Normal 2 2 3 33 4 2" xfId="9900" xr:uid="{ADBF5C23-3E8E-4031-8E19-51BF64E62FBD}"/>
    <cellStyle name="Normal 2 2 3 33 5" xfId="9895" xr:uid="{E98B4FE9-CECD-4AC2-AE54-2DE4D1C7C03D}"/>
    <cellStyle name="Normal 2 2 3 34" xfId="1049" xr:uid="{6A7D9A39-4E12-4D3F-9DC5-7BC5EE8E3023}"/>
    <cellStyle name="Normal 2 2 3 34 2" xfId="1050" xr:uid="{6437CDBA-A72F-46DA-87C7-7DE1D6DDD062}"/>
    <cellStyle name="Normal 2 2 3 34 2 2" xfId="1051" xr:uid="{A6993701-8426-48F7-8684-76A22589A12B}"/>
    <cellStyle name="Normal 2 2 3 34 2 2 2" xfId="9903" xr:uid="{3977CB74-FC3A-4B11-8EED-CC6630A5498A}"/>
    <cellStyle name="Normal 2 2 3 34 2 3" xfId="1052" xr:uid="{F16288F4-9B08-42C9-9A2A-C3A7555F3A97}"/>
    <cellStyle name="Normal 2 2 3 34 2 3 2" xfId="9904" xr:uid="{1A5F1F30-74A4-4EF1-8B1A-F84E05CE25ED}"/>
    <cellStyle name="Normal 2 2 3 34 2 4" xfId="9902" xr:uid="{C793B168-516B-49CB-83F8-1A2A9CA7F5AC}"/>
    <cellStyle name="Normal 2 2 3 34 3" xfId="1053" xr:uid="{E94E03D4-C3AB-41A3-AB08-304217F1B813}"/>
    <cellStyle name="Normal 2 2 3 34 3 2" xfId="9905" xr:uid="{658B7BCA-7B0B-4763-8018-24C7A60B7FEE}"/>
    <cellStyle name="Normal 2 2 3 34 4" xfId="1054" xr:uid="{D2C66B38-F507-4DAC-A8CC-2B98EB236DCA}"/>
    <cellStyle name="Normal 2 2 3 34 4 2" xfId="9906" xr:uid="{54A4B4BC-82CF-4619-96E7-4694BFE2BB42}"/>
    <cellStyle name="Normal 2 2 3 34 5" xfId="9901" xr:uid="{67A71E2D-D875-4929-9D16-E2DD3D3F7825}"/>
    <cellStyle name="Normal 2 2 3 35" xfId="1055" xr:uid="{8A8C930E-368D-457E-8B30-0396AA88987E}"/>
    <cellStyle name="Normal 2 2 3 35 2" xfId="1056" xr:uid="{EC6CBDAF-6259-4C43-BA58-C4FFD68F27E5}"/>
    <cellStyle name="Normal 2 2 3 35 2 2" xfId="1057" xr:uid="{4F699106-DF7D-454E-B6B7-AF38FBBA6D2B}"/>
    <cellStyle name="Normal 2 2 3 35 2 2 2" xfId="9909" xr:uid="{F57BFA16-8B3B-477D-A38F-625F7ADDC71D}"/>
    <cellStyle name="Normal 2 2 3 35 2 3" xfId="1058" xr:uid="{5CC10DF1-3002-4C3A-B727-0C488E520E85}"/>
    <cellStyle name="Normal 2 2 3 35 2 3 2" xfId="9910" xr:uid="{2B142331-1DE8-4316-8E54-2C8E93F3A03C}"/>
    <cellStyle name="Normal 2 2 3 35 2 4" xfId="9908" xr:uid="{51EA1969-004E-407C-80A8-5A80A9335F32}"/>
    <cellStyle name="Normal 2 2 3 35 3" xfId="1059" xr:uid="{C14AD4D7-A376-4E44-8BEF-7BAB510FA62A}"/>
    <cellStyle name="Normal 2 2 3 35 3 2" xfId="9911" xr:uid="{F9993BBD-8B51-4503-8FE8-4BD56AABFCE9}"/>
    <cellStyle name="Normal 2 2 3 35 4" xfId="1060" xr:uid="{77064E30-28E5-48D8-9578-205DE0C86C18}"/>
    <cellStyle name="Normal 2 2 3 35 4 2" xfId="9912" xr:uid="{1A3987E8-AF1C-45E1-A502-999C7C1BE933}"/>
    <cellStyle name="Normal 2 2 3 35 5" xfId="9907" xr:uid="{A9283810-CD0A-4334-8DF4-A5C1CB446302}"/>
    <cellStyle name="Normal 2 2 3 36" xfId="1061" xr:uid="{DFEDBE73-6DF2-4498-8513-44F1849FA13C}"/>
    <cellStyle name="Normal 2 2 3 36 2" xfId="1062" xr:uid="{8ACAA2AF-99DB-432B-9E3A-96B80A807F22}"/>
    <cellStyle name="Normal 2 2 3 36 2 2" xfId="1063" xr:uid="{9C1996BD-8CAF-4752-8317-11122F44C78E}"/>
    <cellStyle name="Normal 2 2 3 36 2 2 2" xfId="9915" xr:uid="{B0DCACF7-47EA-47F1-96C7-A464247CB0DD}"/>
    <cellStyle name="Normal 2 2 3 36 2 3" xfId="1064" xr:uid="{8221A338-570B-4EAD-B01A-EECF0A07322B}"/>
    <cellStyle name="Normal 2 2 3 36 2 3 2" xfId="9916" xr:uid="{F2D7FAC6-E19C-4EC2-B8FA-CE0B5E3ED53C}"/>
    <cellStyle name="Normal 2 2 3 36 2 4" xfId="9914" xr:uid="{AB9A0ECA-571E-47C7-9156-448CD89CB75C}"/>
    <cellStyle name="Normal 2 2 3 36 3" xfId="1065" xr:uid="{16ABDD78-304D-49A6-99D8-755C591E2A48}"/>
    <cellStyle name="Normal 2 2 3 36 3 2" xfId="9917" xr:uid="{ADFF03AD-2639-4617-A6F2-21862F0CE7A5}"/>
    <cellStyle name="Normal 2 2 3 36 4" xfId="1066" xr:uid="{0357B0FC-625D-48DC-85D7-1B4C662B92FB}"/>
    <cellStyle name="Normal 2 2 3 36 4 2" xfId="9918" xr:uid="{A9266134-3527-4D28-BEBD-811AF1E474B3}"/>
    <cellStyle name="Normal 2 2 3 36 5" xfId="9913" xr:uid="{95417CB0-F445-40CE-AABF-A2ABFEB7B442}"/>
    <cellStyle name="Normal 2 2 3 37" xfId="1067" xr:uid="{69B553F5-8505-41D3-A2DA-34C8ACBFF337}"/>
    <cellStyle name="Normal 2 2 3 37 2" xfId="1068" xr:uid="{CC82DC32-684B-4148-8AC9-E7644D4C0A1F}"/>
    <cellStyle name="Normal 2 2 3 37 2 2" xfId="1069" xr:uid="{B1A828F6-7CCD-4FD1-82D6-E12A9F77AD25}"/>
    <cellStyle name="Normal 2 2 3 37 2 2 2" xfId="9921" xr:uid="{121B6516-7DD9-461A-9FB6-51DD59B300AC}"/>
    <cellStyle name="Normal 2 2 3 37 2 3" xfId="1070" xr:uid="{EBAA291B-9698-4D3A-A098-6FA6772518FE}"/>
    <cellStyle name="Normal 2 2 3 37 2 3 2" xfId="9922" xr:uid="{07B010A4-BE2D-4546-99E3-7F6000AC0651}"/>
    <cellStyle name="Normal 2 2 3 37 2 4" xfId="9920" xr:uid="{E826A39F-1C61-4C86-A23D-6CFA8B82A301}"/>
    <cellStyle name="Normal 2 2 3 37 3" xfId="1071" xr:uid="{8704366C-6DC1-414F-9715-D133BC295F09}"/>
    <cellStyle name="Normal 2 2 3 37 3 2" xfId="9923" xr:uid="{DBE0E9C1-EFAD-4465-B47A-AC7F34F82B4B}"/>
    <cellStyle name="Normal 2 2 3 37 4" xfId="1072" xr:uid="{7304CFC9-C210-4733-A828-6E0BDF79980F}"/>
    <cellStyle name="Normal 2 2 3 37 4 2" xfId="9924" xr:uid="{BF306E48-E2FC-4675-BF93-8C8F2F3B7148}"/>
    <cellStyle name="Normal 2 2 3 37 5" xfId="9919" xr:uid="{0ED7ECCB-2431-42FD-8925-76AE639DBD14}"/>
    <cellStyle name="Normal 2 2 3 38" xfId="1073" xr:uid="{911BF373-51AB-4E47-8F8F-C4D2CCBC42AF}"/>
    <cellStyle name="Normal 2 2 3 38 2" xfId="1074" xr:uid="{E8D9F81B-53D6-4FF0-AAE8-82199A956F18}"/>
    <cellStyle name="Normal 2 2 3 38 2 2" xfId="1075" xr:uid="{52FE0B8F-1201-4159-8D7D-6DD6429401A5}"/>
    <cellStyle name="Normal 2 2 3 38 2 2 2" xfId="9927" xr:uid="{8C4D9913-B8BF-406F-B60A-518010395615}"/>
    <cellStyle name="Normal 2 2 3 38 2 3" xfId="1076" xr:uid="{A48B299B-1ACB-414C-8399-55352B902771}"/>
    <cellStyle name="Normal 2 2 3 38 2 3 2" xfId="9928" xr:uid="{B09138AA-772B-47C1-80CF-70DDA756755D}"/>
    <cellStyle name="Normal 2 2 3 38 2 4" xfId="9926" xr:uid="{4EB96B4B-4931-4EED-847B-0674F1CB3850}"/>
    <cellStyle name="Normal 2 2 3 38 3" xfId="1077" xr:uid="{2FC80F67-8DFA-45E1-A620-B7D4ED84C8D6}"/>
    <cellStyle name="Normal 2 2 3 38 3 2" xfId="9929" xr:uid="{E54848DF-A821-4C1C-84E0-7FF347CE7302}"/>
    <cellStyle name="Normal 2 2 3 38 4" xfId="1078" xr:uid="{FA5C72F8-1A15-44F1-BB1D-9FBDF64727C6}"/>
    <cellStyle name="Normal 2 2 3 38 4 2" xfId="9930" xr:uid="{342C6C31-5BF5-4EF6-967B-21ECE9526DAF}"/>
    <cellStyle name="Normal 2 2 3 38 5" xfId="9925" xr:uid="{5DBC69B3-BCFF-4743-93D4-56302864CF44}"/>
    <cellStyle name="Normal 2 2 3 39" xfId="1079" xr:uid="{3353D02C-06DD-49B8-A678-2D0E6E927B35}"/>
    <cellStyle name="Normal 2 2 3 39 2" xfId="1080" xr:uid="{6DB38ED0-DF24-4DC7-9F93-E4A02504C761}"/>
    <cellStyle name="Normal 2 2 3 39 2 2" xfId="1081" xr:uid="{40B267C1-EC6F-4F52-BEB0-2507C66226AD}"/>
    <cellStyle name="Normal 2 2 3 39 2 2 2" xfId="9933" xr:uid="{DF04A0C2-CF87-400D-94FE-421B96312DBA}"/>
    <cellStyle name="Normal 2 2 3 39 2 3" xfId="1082" xr:uid="{BBE08D53-2996-4AA5-8CA3-2E8F13B9132E}"/>
    <cellStyle name="Normal 2 2 3 39 2 3 2" xfId="9934" xr:uid="{283E4927-4A58-4E32-9915-79D0948D1F35}"/>
    <cellStyle name="Normal 2 2 3 39 2 4" xfId="9932" xr:uid="{C4E357D7-AECC-46FD-A709-24986D0574A5}"/>
    <cellStyle name="Normal 2 2 3 39 3" xfId="1083" xr:uid="{23221271-B45B-446A-83F4-9B507B4478EE}"/>
    <cellStyle name="Normal 2 2 3 39 3 2" xfId="9935" xr:uid="{38ED7EBF-5AD3-4D65-B5BB-B36B2D812A67}"/>
    <cellStyle name="Normal 2 2 3 39 4" xfId="1084" xr:uid="{AA4AD669-9FF7-43C5-B4EA-4C68859C9255}"/>
    <cellStyle name="Normal 2 2 3 39 4 2" xfId="9936" xr:uid="{C2AF5DCE-295D-43E6-9EF5-792C5A1503BE}"/>
    <cellStyle name="Normal 2 2 3 39 5" xfId="9931" xr:uid="{2F675630-AAF2-4D9D-A8FD-5A20B82E25C8}"/>
    <cellStyle name="Normal 2 2 3 4" xfId="1085" xr:uid="{E477ECEE-4B1C-4416-BA5A-CA36DC7BD1E3}"/>
    <cellStyle name="Normal 2 2 3 4 2" xfId="1086" xr:uid="{279943CF-EDB7-4E5A-BC8D-CC7ED2D66FFB}"/>
    <cellStyle name="Normal 2 2 3 4 2 2" xfId="1087" xr:uid="{2B2F99FC-F848-4E7A-8DF1-13361B2BB986}"/>
    <cellStyle name="Normal 2 2 3 4 2 2 2" xfId="9939" xr:uid="{79191E00-8C48-48D4-AE0F-7316A395EE8A}"/>
    <cellStyle name="Normal 2 2 3 4 2 3" xfId="1088" xr:uid="{3A681E06-8FCC-409A-B141-1871E2D90659}"/>
    <cellStyle name="Normal 2 2 3 4 2 3 2" xfId="9940" xr:uid="{A0816072-4F78-433A-8D1E-2BFB3C7DD028}"/>
    <cellStyle name="Normal 2 2 3 4 2 4" xfId="9938" xr:uid="{D1B64B49-197D-45A5-B99D-4EA6C5C9AD86}"/>
    <cellStyle name="Normal 2 2 3 4 3" xfId="1089" xr:uid="{EEB93CD6-48E3-4747-9D22-11BAE6B8E173}"/>
    <cellStyle name="Normal 2 2 3 4 3 2" xfId="9941" xr:uid="{4A00B4D5-0EF8-47B0-8FF2-91FB23295047}"/>
    <cellStyle name="Normal 2 2 3 4 4" xfId="1090" xr:uid="{B4BBC3E0-EF7E-457A-AFB8-06667F58E479}"/>
    <cellStyle name="Normal 2 2 3 4 4 2" xfId="9942" xr:uid="{31EA1C2F-5E30-4E29-95A9-5EEB9AAEC6BE}"/>
    <cellStyle name="Normal 2 2 3 4 5" xfId="9937" xr:uid="{21FC758F-B8D8-44B6-8109-2EDF2024D681}"/>
    <cellStyle name="Normal 2 2 3 40" xfId="1091" xr:uid="{2D07E6BB-C7BC-4913-8205-B9CFC936EE3C}"/>
    <cellStyle name="Normal 2 2 3 40 2" xfId="1092" xr:uid="{24559517-0CA6-4B04-9530-D0CEAB144C00}"/>
    <cellStyle name="Normal 2 2 3 40 2 2" xfId="1093" xr:uid="{8A3A48A5-394F-47AE-9DCF-C21A30D45FCB}"/>
    <cellStyle name="Normal 2 2 3 40 2 2 2" xfId="9945" xr:uid="{BDFDEED3-12B3-4553-999A-3C8F6AC2F3D2}"/>
    <cellStyle name="Normal 2 2 3 40 2 3" xfId="1094" xr:uid="{5209D959-2FB1-4D19-B9AD-8D58437383A8}"/>
    <cellStyle name="Normal 2 2 3 40 2 3 2" xfId="9946" xr:uid="{A33F171E-FA93-4B34-96D5-9691E0E35362}"/>
    <cellStyle name="Normal 2 2 3 40 2 4" xfId="9944" xr:uid="{74813522-0F4C-4798-AE29-969C832A35D2}"/>
    <cellStyle name="Normal 2 2 3 40 3" xfId="1095" xr:uid="{5371D3A6-91DD-4AAE-9506-56D53DACA15D}"/>
    <cellStyle name="Normal 2 2 3 40 3 2" xfId="9947" xr:uid="{73E3F102-5AF9-45EB-82E1-C2D6D8820F78}"/>
    <cellStyle name="Normal 2 2 3 40 4" xfId="1096" xr:uid="{1A7E8028-24E5-4043-860C-AC88CBB31B4A}"/>
    <cellStyle name="Normal 2 2 3 40 4 2" xfId="9948" xr:uid="{5ABF86D6-C279-42E5-9B18-E17D3496DF30}"/>
    <cellStyle name="Normal 2 2 3 40 5" xfId="9943" xr:uid="{0912DAF6-6F06-4E19-B452-C969FB854C2E}"/>
    <cellStyle name="Normal 2 2 3 41" xfId="1097" xr:uid="{2433A11A-1EBE-4E49-B157-546942E84AFD}"/>
    <cellStyle name="Normal 2 2 3 41 2" xfId="1098" xr:uid="{DD675C56-9ABE-4E12-AA6B-6C9DBB40B155}"/>
    <cellStyle name="Normal 2 2 3 41 2 2" xfId="1099" xr:uid="{21150047-2FD1-47CC-BF9D-3A049DAD3712}"/>
    <cellStyle name="Normal 2 2 3 41 2 2 2" xfId="9951" xr:uid="{BA653905-14B7-4CCC-A8FB-D7664BE9ACE0}"/>
    <cellStyle name="Normal 2 2 3 41 2 3" xfId="1100" xr:uid="{766A598D-6101-4279-8C02-41A10D5C546A}"/>
    <cellStyle name="Normal 2 2 3 41 2 3 2" xfId="9952" xr:uid="{30D8AE51-CFC5-43D3-B1E7-EB503CEBB8BB}"/>
    <cellStyle name="Normal 2 2 3 41 2 4" xfId="9950" xr:uid="{2D56E507-F72B-4CC6-9A65-F42B5240C850}"/>
    <cellStyle name="Normal 2 2 3 41 3" xfId="1101" xr:uid="{EF0D8E7D-E452-40B5-AC57-AC804209B478}"/>
    <cellStyle name="Normal 2 2 3 41 3 2" xfId="9953" xr:uid="{09889A03-DD85-4C23-8CD4-7BC372988A77}"/>
    <cellStyle name="Normal 2 2 3 41 4" xfId="1102" xr:uid="{1D67AF9D-38E9-4448-96D8-9CD8E48C3819}"/>
    <cellStyle name="Normal 2 2 3 41 4 2" xfId="9954" xr:uid="{0BAA8148-8409-4061-8E80-5DB1850F4ACC}"/>
    <cellStyle name="Normal 2 2 3 41 5" xfId="9949" xr:uid="{EF1D4FBD-39F5-4C9B-9D99-369AA303BB6C}"/>
    <cellStyle name="Normal 2 2 3 42" xfId="1103" xr:uid="{DF64FD6F-EAA7-4725-9653-B5D590404A08}"/>
    <cellStyle name="Normal 2 2 3 42 2" xfId="1104" xr:uid="{873C8D3A-8985-45A2-AED3-4786A4CBDBCB}"/>
    <cellStyle name="Normal 2 2 3 42 2 2" xfId="1105" xr:uid="{84E30849-605E-4E2B-BC74-612E9EAB05C5}"/>
    <cellStyle name="Normal 2 2 3 42 2 2 2" xfId="9957" xr:uid="{C9327D44-C6D4-4637-B83E-B0451A797534}"/>
    <cellStyle name="Normal 2 2 3 42 2 3" xfId="1106" xr:uid="{D8283E9F-4753-454A-9D34-FF2818F90B1F}"/>
    <cellStyle name="Normal 2 2 3 42 2 3 2" xfId="9958" xr:uid="{2967A34D-0E5F-4FE6-B1AD-CC96B7928C5A}"/>
    <cellStyle name="Normal 2 2 3 42 2 4" xfId="9956" xr:uid="{B8C501E0-E09F-4A4F-8EAB-54D970CE411E}"/>
    <cellStyle name="Normal 2 2 3 42 3" xfId="1107" xr:uid="{D1459D4F-5484-4FB1-AD2C-E213DE808CE0}"/>
    <cellStyle name="Normal 2 2 3 42 3 2" xfId="9959" xr:uid="{5AFEF6D2-6DC0-45A6-983F-2F39B7519C69}"/>
    <cellStyle name="Normal 2 2 3 42 4" xfId="1108" xr:uid="{3C5229A2-A52C-4C57-B0EE-48FB4FF39F8A}"/>
    <cellStyle name="Normal 2 2 3 42 4 2" xfId="9960" xr:uid="{EAB2CAC2-A9C2-40C9-B6B7-CE3E86F52DC2}"/>
    <cellStyle name="Normal 2 2 3 42 5" xfId="9955" xr:uid="{D0502BDD-DAF5-493F-9788-46DA6AA27F86}"/>
    <cellStyle name="Normal 2 2 3 43" xfId="1109" xr:uid="{F26CD796-A67D-493B-9EF4-C19B2867AA61}"/>
    <cellStyle name="Normal 2 2 3 43 2" xfId="1110" xr:uid="{024D3911-0197-4FC5-B656-96B8E615B6A9}"/>
    <cellStyle name="Normal 2 2 3 43 2 2" xfId="1111" xr:uid="{4C432944-ECA2-4938-9761-3BC63D3AA12B}"/>
    <cellStyle name="Normal 2 2 3 43 2 2 2" xfId="9963" xr:uid="{1A0BD175-5A9E-4BB0-8788-0F41231483AB}"/>
    <cellStyle name="Normal 2 2 3 43 2 3" xfId="1112" xr:uid="{EF2FB80D-BF5E-4D87-B720-89214BDA2806}"/>
    <cellStyle name="Normal 2 2 3 43 2 3 2" xfId="9964" xr:uid="{5B52EE4C-96CB-4A44-B186-3285A3B2F939}"/>
    <cellStyle name="Normal 2 2 3 43 2 4" xfId="9962" xr:uid="{F5B97D7B-3651-441E-905C-5A88345197DC}"/>
    <cellStyle name="Normal 2 2 3 43 3" xfId="1113" xr:uid="{1A312DDE-0137-4F02-8F4A-8C1FF8F53EE5}"/>
    <cellStyle name="Normal 2 2 3 43 3 2" xfId="9965" xr:uid="{AC47F038-6362-4F3F-9906-C7A8F3A3146C}"/>
    <cellStyle name="Normal 2 2 3 43 4" xfId="1114" xr:uid="{FCF0B95D-157B-4AA5-ACE6-E209C9B0CDB4}"/>
    <cellStyle name="Normal 2 2 3 43 4 2" xfId="9966" xr:uid="{8E849993-D2B4-415A-B614-1BCC7C87037D}"/>
    <cellStyle name="Normal 2 2 3 43 5" xfId="9961" xr:uid="{2D014E3C-C7FC-487B-B0E3-EA7C50AC586C}"/>
    <cellStyle name="Normal 2 2 3 44" xfId="1115" xr:uid="{B751A2C7-4C0A-4DB9-82C5-7048DEB50574}"/>
    <cellStyle name="Normal 2 2 3 44 2" xfId="1116" xr:uid="{BF1F3001-037B-4931-B1D9-B1B5DC2A3715}"/>
    <cellStyle name="Normal 2 2 3 44 2 2" xfId="9968" xr:uid="{9318015E-B1A3-48B0-ACAC-3D8F48910C68}"/>
    <cellStyle name="Normal 2 2 3 44 3" xfId="1117" xr:uid="{48B9CE57-D288-4822-92E8-FE7C6AA04709}"/>
    <cellStyle name="Normal 2 2 3 44 3 2" xfId="9969" xr:uid="{E354E598-D9FF-4F20-BF08-53A185949FFB}"/>
    <cellStyle name="Normal 2 2 3 44 4" xfId="9967" xr:uid="{00C9BFCE-B200-4E32-AA08-E20167D094CC}"/>
    <cellStyle name="Normal 2 2 3 45" xfId="1118" xr:uid="{C9365750-1C58-40EA-9E81-9C6738245D51}"/>
    <cellStyle name="Normal 2 2 3 45 2" xfId="9970" xr:uid="{B1A07477-ABB6-4B81-832C-3A914CC0F90F}"/>
    <cellStyle name="Normal 2 2 3 46" xfId="1119" xr:uid="{EA5CABC5-5A93-4CF1-8A30-DDD10202DDEA}"/>
    <cellStyle name="Normal 2 2 3 46 2" xfId="9971" xr:uid="{06720802-76B8-4DAD-B443-0A7E9D769474}"/>
    <cellStyle name="Normal 2 2 3 47" xfId="1120" xr:uid="{B16D25F5-91A2-401B-BD73-4A4E8EB29F16}"/>
    <cellStyle name="Normal 2 2 3 48" xfId="1121" xr:uid="{C5F96977-CDBB-40A4-A210-9ED5F8C1E671}"/>
    <cellStyle name="Normal 2 2 3 48 2" xfId="9972" xr:uid="{7CF94559-D352-42DD-9B43-6DE00A7BD3CE}"/>
    <cellStyle name="Normal 2 2 3 49" xfId="1122" xr:uid="{BE80FEDE-1431-4FE9-AE95-85E0A62FECE5}"/>
    <cellStyle name="Normal 2 2 3 5" xfId="1123" xr:uid="{F319B19A-91D7-49DB-98E6-49307AE20ACE}"/>
    <cellStyle name="Normal 2 2 3 5 2" xfId="1124" xr:uid="{18B95767-23E8-4B4C-915A-424F7486CAB3}"/>
    <cellStyle name="Normal 2 2 3 5 2 2" xfId="1125" xr:uid="{1C9E8F09-8A70-4E4C-B44E-E487FD9F1FA0}"/>
    <cellStyle name="Normal 2 2 3 5 2 2 2" xfId="9975" xr:uid="{FF1C2FAB-EDF9-40EB-9C66-1F3802334C8A}"/>
    <cellStyle name="Normal 2 2 3 5 2 3" xfId="1126" xr:uid="{0723EFEE-5A1A-4F31-A35F-CF34360DD48B}"/>
    <cellStyle name="Normal 2 2 3 5 2 3 2" xfId="9976" xr:uid="{35C7AD67-4FF8-4678-BC97-66E3D7137537}"/>
    <cellStyle name="Normal 2 2 3 5 2 4" xfId="9974" xr:uid="{2F095EEF-042A-43EA-9ECA-632765E75B26}"/>
    <cellStyle name="Normal 2 2 3 5 3" xfId="1127" xr:uid="{84B03B7F-2FDE-4150-BF7E-C6A474800CF9}"/>
    <cellStyle name="Normal 2 2 3 5 3 2" xfId="9977" xr:uid="{78D43DEA-A952-4CDD-A807-727E3DA0B923}"/>
    <cellStyle name="Normal 2 2 3 5 4" xfId="1128" xr:uid="{750D7F5A-FFC9-4061-ACAF-CD22EF96467F}"/>
    <cellStyle name="Normal 2 2 3 5 4 2" xfId="9978" xr:uid="{C031E281-D1BA-42BD-8C2F-F606356C4932}"/>
    <cellStyle name="Normal 2 2 3 5 5" xfId="9973" xr:uid="{7F0F2178-084A-43AA-889A-0B6BF9489E8D}"/>
    <cellStyle name="Normal 2 2 3 50" xfId="9743" xr:uid="{673C3575-DC43-48CA-B3A5-65263D0D9452}"/>
    <cellStyle name="Normal 2 2 3 6" xfId="1129" xr:uid="{6CAD3548-000B-456B-9622-67676BE20ECC}"/>
    <cellStyle name="Normal 2 2 3 6 2" xfId="1130" xr:uid="{18E63B71-1B87-4B90-9086-5C960DFD150C}"/>
    <cellStyle name="Normal 2 2 3 6 2 2" xfId="1131" xr:uid="{6A75EC33-A6DE-4B8E-B0BD-703A93921164}"/>
    <cellStyle name="Normal 2 2 3 6 2 2 2" xfId="9981" xr:uid="{4E68BED8-DBFA-450F-9CFB-E596AF9F1226}"/>
    <cellStyle name="Normal 2 2 3 6 2 3" xfId="1132" xr:uid="{480D90EF-121B-4E98-9E9F-286961BFF74B}"/>
    <cellStyle name="Normal 2 2 3 6 2 3 2" xfId="9982" xr:uid="{89A6E395-EFD1-4BE5-A6F7-EDC47844B674}"/>
    <cellStyle name="Normal 2 2 3 6 2 4" xfId="9980" xr:uid="{09074269-B4EB-4382-9503-F44BF9914B77}"/>
    <cellStyle name="Normal 2 2 3 6 3" xfId="1133" xr:uid="{D763775F-FDE7-4A9D-A5C2-267C25D77248}"/>
    <cellStyle name="Normal 2 2 3 6 3 2" xfId="9983" xr:uid="{B966605B-8925-4152-9A37-E9B79072CC2C}"/>
    <cellStyle name="Normal 2 2 3 6 4" xfId="1134" xr:uid="{EC775614-19EA-4AE0-BFCD-245452BFF1F6}"/>
    <cellStyle name="Normal 2 2 3 6 4 2" xfId="9984" xr:uid="{8E5FD534-8E74-4867-993C-1FA7224003EC}"/>
    <cellStyle name="Normal 2 2 3 6 5" xfId="9979" xr:uid="{AE61AAF8-22AB-4752-82BF-4136D68524ED}"/>
    <cellStyle name="Normal 2 2 3 7" xfId="1135" xr:uid="{13943D64-746B-4121-B5AD-F5D7D4D41D50}"/>
    <cellStyle name="Normal 2 2 3 7 2" xfId="1136" xr:uid="{C99A21C2-8477-4E2F-BAE0-3037C1675DE6}"/>
    <cellStyle name="Normal 2 2 3 7 2 2" xfId="1137" xr:uid="{DB879B79-8069-47A4-9258-A23A04560CC5}"/>
    <cellStyle name="Normal 2 2 3 7 2 2 2" xfId="9987" xr:uid="{02B56FBB-20F2-46D0-93AD-F29A4F934741}"/>
    <cellStyle name="Normal 2 2 3 7 2 3" xfId="1138" xr:uid="{556ACC8E-8378-4842-B475-C2AB945342B4}"/>
    <cellStyle name="Normal 2 2 3 7 2 3 2" xfId="9988" xr:uid="{85244650-D2F3-48EC-ADDC-871A13AFFF69}"/>
    <cellStyle name="Normal 2 2 3 7 2 4" xfId="9986" xr:uid="{583B8241-C745-483A-AC29-BC975A89F84A}"/>
    <cellStyle name="Normal 2 2 3 7 3" xfId="1139" xr:uid="{B5BE3524-C08F-43FC-9973-BBEFF198F8B1}"/>
    <cellStyle name="Normal 2 2 3 7 3 2" xfId="9989" xr:uid="{CB027CE9-EBE3-4B0F-BDEB-D3C90750DDC5}"/>
    <cellStyle name="Normal 2 2 3 7 4" xfId="1140" xr:uid="{7FD52279-0F2D-43F3-ABA1-B977F3A7F9B9}"/>
    <cellStyle name="Normal 2 2 3 7 4 2" xfId="9990" xr:uid="{7681C34A-B3A8-4723-B459-43805DF4F58A}"/>
    <cellStyle name="Normal 2 2 3 7 5" xfId="9985" xr:uid="{D1652DAD-0872-47D6-8822-DFE92DDBA684}"/>
    <cellStyle name="Normal 2 2 3 8" xfId="1141" xr:uid="{FDF4147A-6BF3-48B0-8A11-3BE433D050D3}"/>
    <cellStyle name="Normal 2 2 3 8 2" xfId="1142" xr:uid="{308CC7BC-F2E5-4379-8B59-D047649679E0}"/>
    <cellStyle name="Normal 2 2 3 8 2 2" xfId="1143" xr:uid="{99C3B004-859C-483C-96F7-1447D5A0F956}"/>
    <cellStyle name="Normal 2 2 3 8 2 2 2" xfId="9993" xr:uid="{87186CD1-80D8-4960-B168-BA378F06B1E9}"/>
    <cellStyle name="Normal 2 2 3 8 2 3" xfId="1144" xr:uid="{63ECBAD1-70D1-4BF7-9813-8E55C3908CC2}"/>
    <cellStyle name="Normal 2 2 3 8 2 3 2" xfId="9994" xr:uid="{0385532A-EB0A-4A6D-8F69-5FB48A7225A5}"/>
    <cellStyle name="Normal 2 2 3 8 2 4" xfId="9992" xr:uid="{59513539-8BFD-4304-B780-F9F1799A03E1}"/>
    <cellStyle name="Normal 2 2 3 8 3" xfId="1145" xr:uid="{91690FA1-9D86-4E9C-A12A-83F224672927}"/>
    <cellStyle name="Normal 2 2 3 8 3 2" xfId="9995" xr:uid="{29CF232C-4665-4B6E-80F7-78A376AAA6A2}"/>
    <cellStyle name="Normal 2 2 3 8 4" xfId="1146" xr:uid="{48381989-C05B-496C-8F45-3925202595DC}"/>
    <cellStyle name="Normal 2 2 3 8 4 2" xfId="9996" xr:uid="{BF8C95DA-FEA5-48B3-A81A-A2341FFB7151}"/>
    <cellStyle name="Normal 2 2 3 8 5" xfId="9991" xr:uid="{5F645CC1-78F7-436C-8B5D-12E3B5FAF221}"/>
    <cellStyle name="Normal 2 2 3 9" xfId="1147" xr:uid="{95BEF4F7-4709-486B-9101-C923C6753424}"/>
    <cellStyle name="Normal 2 2 3 9 2" xfId="1148" xr:uid="{16D59E7E-90AB-433D-BD1B-875FBBD3F4B4}"/>
    <cellStyle name="Normal 2 2 3 9 2 2" xfId="1149" xr:uid="{C74E3C29-6538-4E9F-ABC4-30A1095EEE3A}"/>
    <cellStyle name="Normal 2 2 3 9 2 2 2" xfId="9999" xr:uid="{DE5BBBAA-187B-4C1B-99FC-A92E6FBB5C1B}"/>
    <cellStyle name="Normal 2 2 3 9 2 3" xfId="1150" xr:uid="{8B3005B6-0AEC-4719-816A-F4A1C329B9B3}"/>
    <cellStyle name="Normal 2 2 3 9 2 3 2" xfId="10000" xr:uid="{6CC1EE06-C54A-4969-B61C-0E36BC522A4B}"/>
    <cellStyle name="Normal 2 2 3 9 2 4" xfId="9998" xr:uid="{EFD990A9-D2B2-4F85-A0C6-132008FA1D02}"/>
    <cellStyle name="Normal 2 2 3 9 3" xfId="1151" xr:uid="{D6DF5A1D-E372-447D-8AA9-DA4FAC354F62}"/>
    <cellStyle name="Normal 2 2 3 9 3 2" xfId="10001" xr:uid="{18755235-7743-4768-9A20-886075D82EB7}"/>
    <cellStyle name="Normal 2 2 3 9 4" xfId="1152" xr:uid="{CF5892E1-1B0B-4BBA-80DC-80F02936998E}"/>
    <cellStyle name="Normal 2 2 3 9 4 2" xfId="10002" xr:uid="{2A9DC183-F3FC-4E7C-8050-0D496847CC73}"/>
    <cellStyle name="Normal 2 2 3 9 5" xfId="9997" xr:uid="{16736999-C9A9-4A98-8583-D3679C6FBD2E}"/>
    <cellStyle name="Normal 2 2 30" xfId="1153" xr:uid="{C17236EE-49B1-439B-9B69-FCD6C95BE273}"/>
    <cellStyle name="Normal 2 2 30 2" xfId="1154" xr:uid="{D6374591-BCF9-43EB-8C78-DA5BCFC1DC14}"/>
    <cellStyle name="Normal 2 2 30 2 2" xfId="1155" xr:uid="{B5017791-9989-46DA-B085-4CE027DFF3C5}"/>
    <cellStyle name="Normal 2 2 30 2 2 2" xfId="10005" xr:uid="{4547A108-C3EC-48BA-81CF-D03D54756CCE}"/>
    <cellStyle name="Normal 2 2 30 2 3" xfId="1156" xr:uid="{0BB2A069-E7DD-492B-99A6-B5A29EA04541}"/>
    <cellStyle name="Normal 2 2 30 2 3 2" xfId="10006" xr:uid="{E5E80B8E-E2BE-4F27-B113-163CC9987CC0}"/>
    <cellStyle name="Normal 2 2 30 2 4" xfId="10004" xr:uid="{B60E7160-117E-46A9-9DD7-CD3C4976FBAC}"/>
    <cellStyle name="Normal 2 2 30 3" xfId="1157" xr:uid="{A577CAB8-BCC4-4F02-8ABA-E391404C5B6F}"/>
    <cellStyle name="Normal 2 2 30 3 2" xfId="10007" xr:uid="{936D25F3-A23E-424E-991F-A31D812B8430}"/>
    <cellStyle name="Normal 2 2 30 4" xfId="1158" xr:uid="{541598A3-D266-49AC-B968-00B67A1F64A8}"/>
    <cellStyle name="Normal 2 2 30 4 2" xfId="10008" xr:uid="{6271DA64-17C6-4FD9-AF81-1AFF2CD384F2}"/>
    <cellStyle name="Normal 2 2 30 5" xfId="10003" xr:uid="{D6606E60-21E7-44EE-B785-F25B5A5D6705}"/>
    <cellStyle name="Normal 2 2 31" xfId="1159" xr:uid="{B1CA5B2C-334A-402E-AA61-6B121D533C36}"/>
    <cellStyle name="Normal 2 2 31 2" xfId="1160" xr:uid="{58E8C808-9377-4E10-B983-7E4A9B479B24}"/>
    <cellStyle name="Normal 2 2 31 2 2" xfId="1161" xr:uid="{5B852145-24CD-4519-9F4C-89B80945DFBB}"/>
    <cellStyle name="Normal 2 2 31 2 2 2" xfId="10011" xr:uid="{77C95499-0714-406C-9BB9-D52B826F899D}"/>
    <cellStyle name="Normal 2 2 31 2 3" xfId="1162" xr:uid="{9D9C784F-DA94-4B9B-A101-490B6496504E}"/>
    <cellStyle name="Normal 2 2 31 2 3 2" xfId="10012" xr:uid="{B916A0D8-433F-4A6E-8282-065262EE5894}"/>
    <cellStyle name="Normal 2 2 31 2 4" xfId="10010" xr:uid="{026F761D-4B43-40C0-BD16-C08EE0CBBD70}"/>
    <cellStyle name="Normal 2 2 31 3" xfId="1163" xr:uid="{31FA62EA-FB35-43B3-AC9B-AB72F27F0808}"/>
    <cellStyle name="Normal 2 2 31 3 2" xfId="10013" xr:uid="{A62297B5-A77E-4FDF-8F42-A196C02B5C93}"/>
    <cellStyle name="Normal 2 2 31 4" xfId="1164" xr:uid="{16827BDD-FB07-4D00-BC26-543CEBA1B830}"/>
    <cellStyle name="Normal 2 2 31 4 2" xfId="10014" xr:uid="{4EEC0F6F-2249-4E5C-A2C4-FD4CAFCEB96D}"/>
    <cellStyle name="Normal 2 2 31 5" xfId="10009" xr:uid="{7CCA87EB-8D2E-4085-B2EE-9BB0C604D781}"/>
    <cellStyle name="Normal 2 2 32" xfId="1165" xr:uid="{90CFB2A0-7816-46A5-B991-CC6870C35D82}"/>
    <cellStyle name="Normal 2 2 32 2" xfId="1166" xr:uid="{1494570A-648D-4B16-8DC3-9FD80730098F}"/>
    <cellStyle name="Normal 2 2 32 2 2" xfId="1167" xr:uid="{75A67146-7065-47DF-874B-6EF40940731F}"/>
    <cellStyle name="Normal 2 2 32 2 2 2" xfId="10017" xr:uid="{C133450E-B756-42EA-9C15-3A15B405C5E5}"/>
    <cellStyle name="Normal 2 2 32 2 3" xfId="1168" xr:uid="{6E06F6CA-A160-4DC9-8861-9331FEE79E3C}"/>
    <cellStyle name="Normal 2 2 32 2 3 2" xfId="10018" xr:uid="{5E0D9A65-2147-44E5-B68A-A5F243EE0D71}"/>
    <cellStyle name="Normal 2 2 32 2 4" xfId="10016" xr:uid="{4037BE65-3771-40C9-9872-106AC0379915}"/>
    <cellStyle name="Normal 2 2 32 3" xfId="1169" xr:uid="{F4C4014C-35B4-46E0-8814-B2268FAE115C}"/>
    <cellStyle name="Normal 2 2 32 3 2" xfId="10019" xr:uid="{4AB435AE-C8A0-4087-8415-75E30DB885FC}"/>
    <cellStyle name="Normal 2 2 32 4" xfId="1170" xr:uid="{E398B66E-8121-48B8-A166-F2790AF89B5C}"/>
    <cellStyle name="Normal 2 2 32 4 2" xfId="10020" xr:uid="{0468CACB-973C-4AB0-A8CA-9E2620A2F905}"/>
    <cellStyle name="Normal 2 2 32 5" xfId="10015" xr:uid="{C98DBB77-602B-4CEC-B559-C125DE2749C6}"/>
    <cellStyle name="Normal 2 2 33" xfId="1171" xr:uid="{FB9BC7DB-C7A1-4B60-A078-A52E0E911B98}"/>
    <cellStyle name="Normal 2 2 33 2" xfId="1172" xr:uid="{029ABCDD-142A-4EEC-A95B-F70BEED43A6A}"/>
    <cellStyle name="Normal 2 2 33 2 2" xfId="1173" xr:uid="{C7EE356C-84C2-4BF1-B2B5-0F3BC7A74D71}"/>
    <cellStyle name="Normal 2 2 33 2 2 2" xfId="10023" xr:uid="{FD66BEEB-D6AD-4C0F-8936-1A86285EBC9E}"/>
    <cellStyle name="Normal 2 2 33 2 3" xfId="1174" xr:uid="{C3B1FEA0-4BFB-40CE-8F30-B8E4134EBE36}"/>
    <cellStyle name="Normal 2 2 33 2 3 2" xfId="10024" xr:uid="{EA9F4C4C-4C44-4CF3-9918-54A90981E5DC}"/>
    <cellStyle name="Normal 2 2 33 2 4" xfId="10022" xr:uid="{21B632B5-4A30-4009-B11D-87D3F5C08081}"/>
    <cellStyle name="Normal 2 2 33 3" xfId="1175" xr:uid="{BA26C9EA-751B-4923-9022-E51083CDCBFC}"/>
    <cellStyle name="Normal 2 2 33 3 2" xfId="10025" xr:uid="{C76E550F-BA3C-4BAB-A028-0C363E22FC0F}"/>
    <cellStyle name="Normal 2 2 33 4" xfId="1176" xr:uid="{4905B01E-67D7-4FC3-9FAB-F1670971E3BE}"/>
    <cellStyle name="Normal 2 2 33 4 2" xfId="10026" xr:uid="{97B896FA-3F17-4D83-A060-DC6E83AEABD7}"/>
    <cellStyle name="Normal 2 2 33 5" xfId="10021" xr:uid="{0F6B38A7-C73D-4293-9E53-0BE9A192DBDC}"/>
    <cellStyle name="Normal 2 2 34" xfId="1177" xr:uid="{329415CD-9598-4962-B85F-46A2632AE4E3}"/>
    <cellStyle name="Normal 2 2 34 2" xfId="1178" xr:uid="{AAF491BC-8CE7-402A-9914-D168A91D10A4}"/>
    <cellStyle name="Normal 2 2 34 2 2" xfId="1179" xr:uid="{4102E99E-C160-4B03-AE3A-038BFBA6BD08}"/>
    <cellStyle name="Normal 2 2 34 2 2 2" xfId="10029" xr:uid="{7AF978D9-0464-4F1A-961F-340736965DE3}"/>
    <cellStyle name="Normal 2 2 34 2 3" xfId="1180" xr:uid="{4820047C-6FF6-4943-8FE6-C5F897FD5CB5}"/>
    <cellStyle name="Normal 2 2 34 2 3 2" xfId="10030" xr:uid="{9671A408-7818-423F-BC5C-B6F74879FC2A}"/>
    <cellStyle name="Normal 2 2 34 2 4" xfId="10028" xr:uid="{FDCAA04A-5657-4CC6-A064-F585A38C2522}"/>
    <cellStyle name="Normal 2 2 34 3" xfId="1181" xr:uid="{6B102265-D26A-4AD3-8457-7FE81F60341C}"/>
    <cellStyle name="Normal 2 2 34 3 2" xfId="10031" xr:uid="{16B29780-6688-48D4-A120-6E54767445FD}"/>
    <cellStyle name="Normal 2 2 34 4" xfId="1182" xr:uid="{D5F05A46-6F6D-413A-BCAE-695A7FC1898D}"/>
    <cellStyle name="Normal 2 2 34 4 2" xfId="10032" xr:uid="{F4E62B2E-E058-4251-84C1-667882CA645D}"/>
    <cellStyle name="Normal 2 2 34 5" xfId="10027" xr:uid="{E7A7FE73-9D62-45E6-B8EA-0DC5B9D89FE5}"/>
    <cellStyle name="Normal 2 2 35" xfId="1183" xr:uid="{26950182-BB8D-4E14-B7DE-3FF30199E5C4}"/>
    <cellStyle name="Normal 2 2 35 2" xfId="1184" xr:uid="{2A5DF9B3-8593-4CD1-BA9A-052C445E663A}"/>
    <cellStyle name="Normal 2 2 35 2 2" xfId="1185" xr:uid="{78722AAB-1FB5-439F-BB76-A79F47D5AF8B}"/>
    <cellStyle name="Normal 2 2 35 2 2 2" xfId="10035" xr:uid="{B4988078-3926-4208-A4EF-D3FDBCD8B8B7}"/>
    <cellStyle name="Normal 2 2 35 2 3" xfId="1186" xr:uid="{E2718870-5818-4EF8-8511-2D18A804CC87}"/>
    <cellStyle name="Normal 2 2 35 2 3 2" xfId="10036" xr:uid="{5EAE8B8D-E1DC-4506-8B0F-ED9BB49984CB}"/>
    <cellStyle name="Normal 2 2 35 2 4" xfId="10034" xr:uid="{5277F280-5F8F-483A-A248-E07A9494A150}"/>
    <cellStyle name="Normal 2 2 35 3" xfId="1187" xr:uid="{D3E718E0-832A-4CB6-AD8E-74210A7D26C5}"/>
    <cellStyle name="Normal 2 2 35 3 2" xfId="10037" xr:uid="{7B00F94A-3A49-45E1-AFBD-E6627E802DA3}"/>
    <cellStyle name="Normal 2 2 35 4" xfId="1188" xr:uid="{D3C70B75-0F7E-4092-AB12-D2A110CCC002}"/>
    <cellStyle name="Normal 2 2 35 4 2" xfId="10038" xr:uid="{A34700C9-672A-4FD6-A79F-A67FDC6EF64E}"/>
    <cellStyle name="Normal 2 2 35 5" xfId="10033" xr:uid="{58321218-FE3E-451C-B736-FE2F24D2946D}"/>
    <cellStyle name="Normal 2 2 36" xfId="1189" xr:uid="{6580AD4C-7845-47DB-BC0F-6CE45A938E79}"/>
    <cellStyle name="Normal 2 2 36 2" xfId="1190" xr:uid="{5B715ED5-35A7-4C33-9572-AF845671A419}"/>
    <cellStyle name="Normal 2 2 36 2 2" xfId="1191" xr:uid="{9D7D5DF6-1E31-49BA-A078-86D1F95D33A1}"/>
    <cellStyle name="Normal 2 2 36 2 2 2" xfId="10041" xr:uid="{0B06E5AC-9E25-49CC-A0D3-710D9A151FD2}"/>
    <cellStyle name="Normal 2 2 36 2 3" xfId="1192" xr:uid="{C00911D2-7250-401A-A98B-E426DC51C1CC}"/>
    <cellStyle name="Normal 2 2 36 2 3 2" xfId="10042" xr:uid="{98B81750-DBC9-437F-9792-C6C8EEDB517D}"/>
    <cellStyle name="Normal 2 2 36 2 4" xfId="10040" xr:uid="{1C2F4F58-40E8-43AB-BC5E-15B3C5C5A5BE}"/>
    <cellStyle name="Normal 2 2 36 3" xfId="1193" xr:uid="{DB7C2057-3C99-4307-A310-9EB10523B503}"/>
    <cellStyle name="Normal 2 2 36 3 2" xfId="10043" xr:uid="{F3FE2F9E-19E3-4D95-A057-779A525F8FFB}"/>
    <cellStyle name="Normal 2 2 36 4" xfId="1194" xr:uid="{D6813346-7858-4BF7-9FB6-98F4731A85B2}"/>
    <cellStyle name="Normal 2 2 36 4 2" xfId="10044" xr:uid="{6DBAA05E-AEB0-4DF3-89ED-B6518781E624}"/>
    <cellStyle name="Normal 2 2 36 5" xfId="10039" xr:uid="{C46081F0-FE1B-4580-9FC4-5FF5FAC389C7}"/>
    <cellStyle name="Normal 2 2 37" xfId="1195" xr:uid="{DCE9E459-26A4-4AF0-B118-31149F582E33}"/>
    <cellStyle name="Normal 2 2 37 2" xfId="1196" xr:uid="{332A577A-C999-4025-BFA4-DA6B865E6333}"/>
    <cellStyle name="Normal 2 2 37 2 2" xfId="1197" xr:uid="{E99658C5-C846-41B9-8BAC-95462B3E3FA5}"/>
    <cellStyle name="Normal 2 2 37 2 2 2" xfId="10047" xr:uid="{50B71860-DC92-4600-9F22-A21F1200F853}"/>
    <cellStyle name="Normal 2 2 37 2 3" xfId="1198" xr:uid="{4ACDB837-831C-420C-B88E-8FAED07D702E}"/>
    <cellStyle name="Normal 2 2 37 2 3 2" xfId="10048" xr:uid="{06C4CE20-834D-4036-8DF9-87294ECA94CD}"/>
    <cellStyle name="Normal 2 2 37 2 4" xfId="10046" xr:uid="{62662F6B-A42C-48BB-8485-6FABFC8E0311}"/>
    <cellStyle name="Normal 2 2 37 3" xfId="1199" xr:uid="{78107477-18E3-4E87-85B5-4F75848D8C00}"/>
    <cellStyle name="Normal 2 2 37 3 2" xfId="10049" xr:uid="{F6A8C745-EC9D-4971-A9E6-08F1A251BE8D}"/>
    <cellStyle name="Normal 2 2 37 4" xfId="1200" xr:uid="{1C3B3B7C-D4CF-4A21-9924-1DFA58FB5242}"/>
    <cellStyle name="Normal 2 2 37 4 2" xfId="10050" xr:uid="{4EFA013A-5B44-493B-BD57-5C4C8927E6DE}"/>
    <cellStyle name="Normal 2 2 37 5" xfId="10045" xr:uid="{F01F6157-1880-4B45-BC63-53E5A1B91D96}"/>
    <cellStyle name="Normal 2 2 38" xfId="1201" xr:uid="{89C6852E-5AC6-447C-A874-75F93A7E101F}"/>
    <cellStyle name="Normal 2 2 38 2" xfId="1202" xr:uid="{DFD70012-13DF-4D56-9415-0E2B7573F203}"/>
    <cellStyle name="Normal 2 2 38 2 2" xfId="1203" xr:uid="{8AE180C7-D26E-4266-BE51-A97A3A464609}"/>
    <cellStyle name="Normal 2 2 38 2 2 2" xfId="10053" xr:uid="{077773A1-2B93-4D74-BAB6-BD30A2FDD122}"/>
    <cellStyle name="Normal 2 2 38 2 3" xfId="1204" xr:uid="{B6ECC919-3B12-453E-8013-B28C18923AC2}"/>
    <cellStyle name="Normal 2 2 38 2 3 2" xfId="10054" xr:uid="{B9F36D33-852C-4A18-81DD-841D87420E79}"/>
    <cellStyle name="Normal 2 2 38 2 4" xfId="10052" xr:uid="{A126E723-06E9-40AC-BE37-759F86CC7FF9}"/>
    <cellStyle name="Normal 2 2 38 3" xfId="1205" xr:uid="{00DC826D-36DC-4ADC-946B-CAB82EB12772}"/>
    <cellStyle name="Normal 2 2 38 3 2" xfId="10055" xr:uid="{5549443D-E2F5-46DD-B2E2-933A2BDC525D}"/>
    <cellStyle name="Normal 2 2 38 4" xfId="1206" xr:uid="{E0F71F67-E29D-4553-8D90-E15465E72161}"/>
    <cellStyle name="Normal 2 2 38 4 2" xfId="10056" xr:uid="{55F92246-3778-431A-886A-F437E659E00A}"/>
    <cellStyle name="Normal 2 2 38 5" xfId="10051" xr:uid="{10745EF6-3C8C-4245-8422-1C5119627276}"/>
    <cellStyle name="Normal 2 2 39" xfId="1207" xr:uid="{5C8A9A99-D68A-4595-B307-0AD0759E960B}"/>
    <cellStyle name="Normal 2 2 39 2" xfId="1208" xr:uid="{DEF8FEAB-A406-4350-B74F-C9A56F368EB2}"/>
    <cellStyle name="Normal 2 2 39 2 2" xfId="1209" xr:uid="{B2CA08B1-2F91-4076-822A-2A5910A1A02A}"/>
    <cellStyle name="Normal 2 2 39 2 2 2" xfId="10059" xr:uid="{F8FF0349-0DA8-42B8-A05A-895200778336}"/>
    <cellStyle name="Normal 2 2 39 2 3" xfId="1210" xr:uid="{B64B4DF6-037D-4B16-AFB1-AC74203D1E18}"/>
    <cellStyle name="Normal 2 2 39 2 3 2" xfId="10060" xr:uid="{E0541093-3C22-40D2-883F-D1C99A063696}"/>
    <cellStyle name="Normal 2 2 39 2 4" xfId="10058" xr:uid="{1C2F983F-0135-4419-B58F-38D8B5C0C6FA}"/>
    <cellStyle name="Normal 2 2 39 3" xfId="1211" xr:uid="{52337CE0-4140-438E-93A9-7FA0CA9050D8}"/>
    <cellStyle name="Normal 2 2 39 3 2" xfId="10061" xr:uid="{01CD2CFE-51C0-4644-A410-6DCA9729D04B}"/>
    <cellStyle name="Normal 2 2 39 4" xfId="1212" xr:uid="{5348E2ED-74A5-4382-9FBA-61DCAB4EE7DF}"/>
    <cellStyle name="Normal 2 2 39 4 2" xfId="10062" xr:uid="{3DD1C284-C335-422B-8B43-2E6685E21F40}"/>
    <cellStyle name="Normal 2 2 39 5" xfId="10057" xr:uid="{368248F1-C31C-47F5-9CB1-7D297A011682}"/>
    <cellStyle name="Normal 2 2 4" xfId="1213" xr:uid="{98152E22-D61E-44FB-ADC6-B6E6386ECA26}"/>
    <cellStyle name="Normal 2 2 4 10" xfId="1214" xr:uid="{5E12BF1A-073D-4178-9651-6657B50CD787}"/>
    <cellStyle name="Normal 2 2 4 10 2" xfId="1215" xr:uid="{646340BD-8B7E-4C8E-BBE6-47E8F789CF07}"/>
    <cellStyle name="Normal 2 2 4 10 2 2" xfId="1216" xr:uid="{ABC6132D-3DD1-45E2-99A3-BB76CAD5518B}"/>
    <cellStyle name="Normal 2 2 4 10 2 2 2" xfId="10066" xr:uid="{59F6DD1D-92DA-4B5C-A168-3493A67A63B5}"/>
    <cellStyle name="Normal 2 2 4 10 2 3" xfId="1217" xr:uid="{37A5B297-8BFD-4B16-8002-0AC7379C1EA3}"/>
    <cellStyle name="Normal 2 2 4 10 2 3 2" xfId="10067" xr:uid="{6A5E1A10-EB4B-4C2B-826B-59F09A05A295}"/>
    <cellStyle name="Normal 2 2 4 10 2 4" xfId="10065" xr:uid="{91484C42-A827-498D-A1C1-7FB0A8219E01}"/>
    <cellStyle name="Normal 2 2 4 10 3" xfId="1218" xr:uid="{71FA87E7-1305-421B-98E9-C2EEFAE685C5}"/>
    <cellStyle name="Normal 2 2 4 10 3 2" xfId="10068" xr:uid="{7216C319-F38D-43FE-AA91-71A3179F3494}"/>
    <cellStyle name="Normal 2 2 4 10 4" xfId="1219" xr:uid="{4691555B-D907-4372-9950-DD7E06D32850}"/>
    <cellStyle name="Normal 2 2 4 10 4 2" xfId="10069" xr:uid="{2EB67E93-D84B-46BF-83B1-E80B2F93AD00}"/>
    <cellStyle name="Normal 2 2 4 10 5" xfId="10064" xr:uid="{4CBBEA5F-FFCE-4272-A846-BD21DC158A6D}"/>
    <cellStyle name="Normal 2 2 4 11" xfId="1220" xr:uid="{22775182-69E6-4754-AC6C-0A771D534EEC}"/>
    <cellStyle name="Normal 2 2 4 11 2" xfId="1221" xr:uid="{EE78107D-6339-4315-9678-622875E02B6D}"/>
    <cellStyle name="Normal 2 2 4 11 2 2" xfId="1222" xr:uid="{EEB39BF0-0AC2-4444-BBD5-35F64F4B83EE}"/>
    <cellStyle name="Normal 2 2 4 11 2 2 2" xfId="10072" xr:uid="{A2D12008-A0EB-4DF0-A3CF-7A8E884C3340}"/>
    <cellStyle name="Normal 2 2 4 11 2 3" xfId="1223" xr:uid="{B37F15E3-F775-49EA-BCA7-EDF239FE412D}"/>
    <cellStyle name="Normal 2 2 4 11 2 3 2" xfId="10073" xr:uid="{077B61B2-DEC3-4D15-9848-91C71D328498}"/>
    <cellStyle name="Normal 2 2 4 11 2 4" xfId="10071" xr:uid="{280C63C6-F4C5-4A15-B049-E080B6EB871F}"/>
    <cellStyle name="Normal 2 2 4 11 3" xfId="1224" xr:uid="{72C75EED-D283-4FEB-9FA6-D1D86AC56C09}"/>
    <cellStyle name="Normal 2 2 4 11 3 2" xfId="10074" xr:uid="{D150E222-453B-4E7A-90AE-6883B2A474B3}"/>
    <cellStyle name="Normal 2 2 4 11 4" xfId="1225" xr:uid="{CD74DA1D-FEE3-44A0-9AFF-30C5BDC41BD0}"/>
    <cellStyle name="Normal 2 2 4 11 4 2" xfId="10075" xr:uid="{C67D8BF7-28C7-4A82-BB05-F8B5FB9E0F57}"/>
    <cellStyle name="Normal 2 2 4 11 5" xfId="10070" xr:uid="{1761860E-33B7-4690-9C24-A73BC4AB573C}"/>
    <cellStyle name="Normal 2 2 4 12" xfId="1226" xr:uid="{107E6B9B-2F15-4EF8-8DFB-85B05ADDC03F}"/>
    <cellStyle name="Normal 2 2 4 12 2" xfId="1227" xr:uid="{39F2F66D-E968-4004-87C7-FC1F7B3CECBC}"/>
    <cellStyle name="Normal 2 2 4 12 2 2" xfId="1228" xr:uid="{3440E7CA-B2F8-4A04-95FC-810F79EE0859}"/>
    <cellStyle name="Normal 2 2 4 12 2 2 2" xfId="10078" xr:uid="{72AD718E-09DA-4923-9CBC-9DC5950D0FB1}"/>
    <cellStyle name="Normal 2 2 4 12 2 3" xfId="1229" xr:uid="{ACE12C00-F906-4B7F-A9C2-1FC804E2B68F}"/>
    <cellStyle name="Normal 2 2 4 12 2 3 2" xfId="10079" xr:uid="{8C68BB82-434C-4F4D-8760-1C67A9648072}"/>
    <cellStyle name="Normal 2 2 4 12 2 4" xfId="10077" xr:uid="{E1EAE6B9-BCE8-4696-8A22-475015EF73C7}"/>
    <cellStyle name="Normal 2 2 4 12 3" xfId="1230" xr:uid="{FFA9D11D-E12F-4154-A2CB-4FAC23BD0D4D}"/>
    <cellStyle name="Normal 2 2 4 12 3 2" xfId="10080" xr:uid="{EE004F26-9BC0-47E8-A78F-0AB33CBF5058}"/>
    <cellStyle name="Normal 2 2 4 12 4" xfId="1231" xr:uid="{C39BCE19-07B1-490A-AACA-7769964D644F}"/>
    <cellStyle name="Normal 2 2 4 12 4 2" xfId="10081" xr:uid="{C41C263A-EA0A-4650-B2F5-338C0309E0CB}"/>
    <cellStyle name="Normal 2 2 4 12 5" xfId="10076" xr:uid="{F4FB8778-7058-4981-9946-7D3FDB52B878}"/>
    <cellStyle name="Normal 2 2 4 13" xfId="1232" xr:uid="{D1B7CC91-E62D-4076-BBC9-E7539408EC90}"/>
    <cellStyle name="Normal 2 2 4 13 2" xfId="1233" xr:uid="{C033EA4E-6F4E-4AF3-AC1C-A742785A0735}"/>
    <cellStyle name="Normal 2 2 4 13 2 2" xfId="1234" xr:uid="{92FE8F4A-8601-45A4-83EF-2E039E0773D5}"/>
    <cellStyle name="Normal 2 2 4 13 2 2 2" xfId="10084" xr:uid="{CED78F8F-6487-4983-A5A8-60ABDA18D48F}"/>
    <cellStyle name="Normal 2 2 4 13 2 3" xfId="1235" xr:uid="{469E0981-2855-44D4-965D-1CE29D2013A5}"/>
    <cellStyle name="Normal 2 2 4 13 2 3 2" xfId="10085" xr:uid="{005744DA-A667-453A-AE01-4D50287B80AA}"/>
    <cellStyle name="Normal 2 2 4 13 2 4" xfId="10083" xr:uid="{7472894A-D226-40CC-BEDC-EF8EAEE0FF11}"/>
    <cellStyle name="Normal 2 2 4 13 3" xfId="1236" xr:uid="{338D4E6B-157C-407C-87B6-2C00D48B85B3}"/>
    <cellStyle name="Normal 2 2 4 13 3 2" xfId="10086" xr:uid="{AF92BF76-74DC-467F-840F-021E68DFF191}"/>
    <cellStyle name="Normal 2 2 4 13 4" xfId="1237" xr:uid="{AAEDB13A-85EB-4A58-9E9E-12EC13D2561E}"/>
    <cellStyle name="Normal 2 2 4 13 4 2" xfId="10087" xr:uid="{A18F1E1E-6B7A-432C-9F87-6CB493AAC84C}"/>
    <cellStyle name="Normal 2 2 4 13 5" xfId="10082" xr:uid="{A6E2DCE2-3E22-492F-93AF-0A6247E185C4}"/>
    <cellStyle name="Normal 2 2 4 14" xfId="1238" xr:uid="{16538C0B-A3CB-42D2-AF1D-3CB361874D9D}"/>
    <cellStyle name="Normal 2 2 4 14 2" xfId="1239" xr:uid="{239B002C-BAF5-43B6-8F96-C2073BF0F0A9}"/>
    <cellStyle name="Normal 2 2 4 14 2 2" xfId="1240" xr:uid="{72E41D45-2510-47AA-B12E-5A9D9513C956}"/>
    <cellStyle name="Normal 2 2 4 14 2 2 2" xfId="10090" xr:uid="{C3D4C190-6343-403D-B0EA-04B21BD34E97}"/>
    <cellStyle name="Normal 2 2 4 14 2 3" xfId="1241" xr:uid="{D3D560AC-1658-454F-8EF2-FB97A2006305}"/>
    <cellStyle name="Normal 2 2 4 14 2 3 2" xfId="10091" xr:uid="{6649C310-FF34-44CB-A668-DBAE1BCA915B}"/>
    <cellStyle name="Normal 2 2 4 14 2 4" xfId="10089" xr:uid="{842093D0-5C39-41C2-BC3A-8995D7019867}"/>
    <cellStyle name="Normal 2 2 4 14 3" xfId="1242" xr:uid="{3C3B5C12-7BE8-44A4-A335-376F1A8CC7BD}"/>
    <cellStyle name="Normal 2 2 4 14 3 2" xfId="10092" xr:uid="{7FFAA7BA-6416-47B1-9325-44B16CFE2554}"/>
    <cellStyle name="Normal 2 2 4 14 4" xfId="1243" xr:uid="{68680478-4CA6-41C0-8C97-5E51FF8D772C}"/>
    <cellStyle name="Normal 2 2 4 14 4 2" xfId="10093" xr:uid="{D40A453C-725D-4EC7-85A0-A59D4E3CEE07}"/>
    <cellStyle name="Normal 2 2 4 14 5" xfId="10088" xr:uid="{61FD8F4E-74E9-469F-85D5-C4D275053A82}"/>
    <cellStyle name="Normal 2 2 4 15" xfId="1244" xr:uid="{735810EC-BC13-45D6-AEAA-ED172DF37B38}"/>
    <cellStyle name="Normal 2 2 4 15 2" xfId="1245" xr:uid="{EF905FC6-E36E-45B8-A940-44FF126ADB29}"/>
    <cellStyle name="Normal 2 2 4 15 2 2" xfId="1246" xr:uid="{22D3777A-137F-4743-867F-10EA314D3AC1}"/>
    <cellStyle name="Normal 2 2 4 15 2 2 2" xfId="10096" xr:uid="{7CE45701-5DDD-4621-8BE1-784613D2451C}"/>
    <cellStyle name="Normal 2 2 4 15 2 3" xfId="1247" xr:uid="{6E0D3FFE-F620-4544-AB3D-EF91D2B6A7E1}"/>
    <cellStyle name="Normal 2 2 4 15 2 3 2" xfId="10097" xr:uid="{B25253F1-44D2-44D4-B29A-D0F4CACED6EE}"/>
    <cellStyle name="Normal 2 2 4 15 2 4" xfId="10095" xr:uid="{BCFD84B4-6F11-4DE7-9C9E-9F87E40C69EB}"/>
    <cellStyle name="Normal 2 2 4 15 3" xfId="1248" xr:uid="{35C59470-FAD6-4846-BE3C-D8DC683AC733}"/>
    <cellStyle name="Normal 2 2 4 15 3 2" xfId="10098" xr:uid="{77A1D066-D713-46AD-8A29-96CA63870D59}"/>
    <cellStyle name="Normal 2 2 4 15 4" xfId="1249" xr:uid="{1E1E4C44-C86C-46EB-8D74-01AE90CD91BA}"/>
    <cellStyle name="Normal 2 2 4 15 4 2" xfId="10099" xr:uid="{1B1B58C1-40DD-4F46-AA67-4FC22A2C6472}"/>
    <cellStyle name="Normal 2 2 4 15 5" xfId="10094" xr:uid="{2B36D682-6FE6-4ABB-9B58-38A4820779E0}"/>
    <cellStyle name="Normal 2 2 4 16" xfId="1250" xr:uid="{14DD2A2A-F78F-4733-A35C-D3CD77C3BAE2}"/>
    <cellStyle name="Normal 2 2 4 16 2" xfId="1251" xr:uid="{AEC1BC5C-EF86-4A11-9A12-05B182710804}"/>
    <cellStyle name="Normal 2 2 4 16 2 2" xfId="1252" xr:uid="{D748EA2C-4D82-433B-93F0-450C216BC964}"/>
    <cellStyle name="Normal 2 2 4 16 2 2 2" xfId="10102" xr:uid="{CDCD85CD-70C6-4204-B8F3-49FF8B2D0388}"/>
    <cellStyle name="Normal 2 2 4 16 2 3" xfId="1253" xr:uid="{3C2C2580-0FAA-4F90-8519-A987E352FB9B}"/>
    <cellStyle name="Normal 2 2 4 16 2 3 2" xfId="10103" xr:uid="{3F1AD998-DACD-4BA1-9A35-738ECC328953}"/>
    <cellStyle name="Normal 2 2 4 16 2 4" xfId="10101" xr:uid="{6CF8A88F-8066-4645-87DE-080564531090}"/>
    <cellStyle name="Normal 2 2 4 16 3" xfId="1254" xr:uid="{5007C3A2-83D3-46F4-A1DA-52F6BECBAE04}"/>
    <cellStyle name="Normal 2 2 4 16 3 2" xfId="10104" xr:uid="{D36D277A-AE11-4CFB-8527-DE1D9A4DF979}"/>
    <cellStyle name="Normal 2 2 4 16 4" xfId="1255" xr:uid="{DBAA0735-F863-4D39-857F-DEFD988B4A64}"/>
    <cellStyle name="Normal 2 2 4 16 4 2" xfId="10105" xr:uid="{0A00F35B-D807-417E-934C-180D4FC45401}"/>
    <cellStyle name="Normal 2 2 4 16 5" xfId="10100" xr:uid="{3D5F32E1-483F-40C8-8743-23FD4C8B5029}"/>
    <cellStyle name="Normal 2 2 4 17" xfId="1256" xr:uid="{F05A04CB-4DDF-4D70-8903-7AE717BAD2E4}"/>
    <cellStyle name="Normal 2 2 4 17 2" xfId="1257" xr:uid="{2E7D7AF4-ED6A-449B-B114-C7B85CC036F8}"/>
    <cellStyle name="Normal 2 2 4 17 2 2" xfId="1258" xr:uid="{D7377FD3-1DE8-4FBC-9D26-377D3D5DB9D6}"/>
    <cellStyle name="Normal 2 2 4 17 2 2 2" xfId="10108" xr:uid="{6F5FDD99-9642-4C17-930A-D81461668F26}"/>
    <cellStyle name="Normal 2 2 4 17 2 3" xfId="1259" xr:uid="{021C7EC5-340A-4F85-AEF9-9943015F6E9C}"/>
    <cellStyle name="Normal 2 2 4 17 2 3 2" xfId="10109" xr:uid="{4D531AF1-2985-44E6-8C46-B0FE5995CF01}"/>
    <cellStyle name="Normal 2 2 4 17 2 4" xfId="10107" xr:uid="{58AB45B6-C8D8-4118-9E4D-2226A5CAF685}"/>
    <cellStyle name="Normal 2 2 4 17 3" xfId="1260" xr:uid="{9F3B2B6B-1DA0-4336-803C-7E07B550B683}"/>
    <cellStyle name="Normal 2 2 4 17 3 2" xfId="10110" xr:uid="{BF0576D4-4602-4CCD-A6EC-6D48E0B76136}"/>
    <cellStyle name="Normal 2 2 4 17 4" xfId="1261" xr:uid="{FEE9A46C-A012-4DE3-B490-58772EA0411E}"/>
    <cellStyle name="Normal 2 2 4 17 4 2" xfId="10111" xr:uid="{20B470B5-4CC5-4C43-BFC8-79300895901B}"/>
    <cellStyle name="Normal 2 2 4 17 5" xfId="10106" xr:uid="{50328864-482F-406D-A3DB-598DD977E87B}"/>
    <cellStyle name="Normal 2 2 4 18" xfId="1262" xr:uid="{BFB9BFAF-5520-4611-A7DC-68FA004169FB}"/>
    <cellStyle name="Normal 2 2 4 18 2" xfId="1263" xr:uid="{3DB8DCB5-4CCA-4CE6-87E3-7BA457D2003B}"/>
    <cellStyle name="Normal 2 2 4 18 2 2" xfId="1264" xr:uid="{F2973072-D295-4597-A75C-B27416619542}"/>
    <cellStyle name="Normal 2 2 4 18 2 2 2" xfId="10114" xr:uid="{4A6C2BCD-6A50-43D7-838F-C1D53A488387}"/>
    <cellStyle name="Normal 2 2 4 18 2 3" xfId="1265" xr:uid="{7D577EDE-F539-4640-8F7E-E0621D3F17E1}"/>
    <cellStyle name="Normal 2 2 4 18 2 3 2" xfId="10115" xr:uid="{ED137680-5CF2-4763-9875-9C882D77E3B9}"/>
    <cellStyle name="Normal 2 2 4 18 2 4" xfId="10113" xr:uid="{3B8293B2-5FD6-4433-B514-3079F5ABA0E5}"/>
    <cellStyle name="Normal 2 2 4 18 3" xfId="1266" xr:uid="{CD4F1128-3D21-4D2C-ACE6-CADFAE0B320E}"/>
    <cellStyle name="Normal 2 2 4 18 3 2" xfId="10116" xr:uid="{8EDC6B28-195C-46D5-B4FE-22FC9F676EE6}"/>
    <cellStyle name="Normal 2 2 4 18 4" xfId="1267" xr:uid="{2547AF9A-168C-4E3A-AF2D-774B89403702}"/>
    <cellStyle name="Normal 2 2 4 18 4 2" xfId="10117" xr:uid="{0202E349-6120-49C9-8FBE-18AB3C57C461}"/>
    <cellStyle name="Normal 2 2 4 18 5" xfId="10112" xr:uid="{72113E3A-ECD7-416A-A6BE-C0B239DBC842}"/>
    <cellStyle name="Normal 2 2 4 19" xfId="1268" xr:uid="{2DAD6E89-E309-4D5E-AE6A-DE134425C671}"/>
    <cellStyle name="Normal 2 2 4 19 2" xfId="1269" xr:uid="{1B8200D9-292B-4E81-B45A-1D26257E9FAF}"/>
    <cellStyle name="Normal 2 2 4 19 2 2" xfId="1270" xr:uid="{EDF072F2-54DB-42E1-9BC7-075A0D4D49E6}"/>
    <cellStyle name="Normal 2 2 4 19 2 2 2" xfId="10120" xr:uid="{8F98B09E-33F3-4D14-B4E6-EA0753F2EF15}"/>
    <cellStyle name="Normal 2 2 4 19 2 3" xfId="1271" xr:uid="{900E444C-74A7-46CB-9431-401CACE60DD2}"/>
    <cellStyle name="Normal 2 2 4 19 2 3 2" xfId="10121" xr:uid="{6FFBCF06-74E5-4CE6-B996-4EE40CD7BAF1}"/>
    <cellStyle name="Normal 2 2 4 19 2 4" xfId="10119" xr:uid="{2B64D0BF-7CFF-49FE-92D2-D7572972283C}"/>
    <cellStyle name="Normal 2 2 4 19 3" xfId="1272" xr:uid="{56F016C5-C316-465E-A56C-F9A0A954E962}"/>
    <cellStyle name="Normal 2 2 4 19 3 2" xfId="10122" xr:uid="{6474E865-AFB8-4D3C-8448-BB9F67864F1F}"/>
    <cellStyle name="Normal 2 2 4 19 4" xfId="1273" xr:uid="{E893685C-25CE-4EA9-8112-B3F6429B6AE7}"/>
    <cellStyle name="Normal 2 2 4 19 4 2" xfId="10123" xr:uid="{56ACFDFB-1329-4230-8D7A-A199A943A3D8}"/>
    <cellStyle name="Normal 2 2 4 19 5" xfId="10118" xr:uid="{7D248C35-3AAA-44D4-B8C8-774120A965C0}"/>
    <cellStyle name="Normal 2 2 4 2" xfId="1274" xr:uid="{9181E6AC-7ADB-4898-A92E-9E12DF4B8F59}"/>
    <cellStyle name="Normal 2 2 4 2 2" xfId="1275" xr:uid="{43661172-4F33-4141-ABA7-A6AB74004091}"/>
    <cellStyle name="Normal 2 2 4 2 2 2" xfId="1276" xr:uid="{2922D99E-DF4D-4577-A408-CA547BA4D563}"/>
    <cellStyle name="Normal 2 2 4 2 2 2 2" xfId="10126" xr:uid="{B3ECFB0F-DAE6-46EA-B004-85C48A6244E8}"/>
    <cellStyle name="Normal 2 2 4 2 2 3" xfId="1277" xr:uid="{89F951BD-D6C1-431B-A230-96F7F53E36C9}"/>
    <cellStyle name="Normal 2 2 4 2 2 3 2" xfId="10127" xr:uid="{8566C02C-19F8-4B19-A0D9-FF9926E58FC7}"/>
    <cellStyle name="Normal 2 2 4 2 2 4" xfId="10125" xr:uid="{7CF68DD1-CEE5-4E7D-9A29-3E77B605A09D}"/>
    <cellStyle name="Normal 2 2 4 2 3" xfId="1278" xr:uid="{1C1933CF-A858-4BEB-B8D8-E3255D970D61}"/>
    <cellStyle name="Normal 2 2 4 2 3 2" xfId="10128" xr:uid="{D894DDB1-41DC-4CB9-B592-87CF8ACD379C}"/>
    <cellStyle name="Normal 2 2 4 2 4" xfId="1279" xr:uid="{4EA279E8-E09F-4AE3-A347-44A60C2C625E}"/>
    <cellStyle name="Normal 2 2 4 2 4 2" xfId="10129" xr:uid="{8AE2E06B-7854-4870-98E5-A338F4F05A9B}"/>
    <cellStyle name="Normal 2 2 4 2 5" xfId="10124" xr:uid="{20B7051D-955E-4B4A-A259-474ADF89EA09}"/>
    <cellStyle name="Normal 2 2 4 20" xfId="1280" xr:uid="{7ADE3B00-3F37-4032-88D9-6AE9586B9912}"/>
    <cellStyle name="Normal 2 2 4 20 2" xfId="1281" xr:uid="{844FFE6A-69E8-4E8A-840B-7951CBCB0CC8}"/>
    <cellStyle name="Normal 2 2 4 20 2 2" xfId="1282" xr:uid="{E1744F96-F049-4335-986B-87D04EFB87F4}"/>
    <cellStyle name="Normal 2 2 4 20 2 2 2" xfId="10132" xr:uid="{1067AE34-882A-419C-B183-8F5A339FBE98}"/>
    <cellStyle name="Normal 2 2 4 20 2 3" xfId="1283" xr:uid="{5B516410-0F11-4769-9F21-AB814A1F73C9}"/>
    <cellStyle name="Normal 2 2 4 20 2 3 2" xfId="10133" xr:uid="{6C578140-F0E7-4D48-BB76-8E14D7242E17}"/>
    <cellStyle name="Normal 2 2 4 20 2 4" xfId="10131" xr:uid="{D3190CD2-8595-4202-9D3F-D4BF1728C3E1}"/>
    <cellStyle name="Normal 2 2 4 20 3" xfId="1284" xr:uid="{01AB1234-A11F-46C5-938E-41ED9C1A2378}"/>
    <cellStyle name="Normal 2 2 4 20 3 2" xfId="10134" xr:uid="{72F31843-FCBB-4952-A144-E0F48894289C}"/>
    <cellStyle name="Normal 2 2 4 20 4" xfId="1285" xr:uid="{C3B830D6-34D1-4F33-A006-E5E6D040F541}"/>
    <cellStyle name="Normal 2 2 4 20 4 2" xfId="10135" xr:uid="{85A59D45-C2FF-462C-A754-86A09D0CEE2A}"/>
    <cellStyle name="Normal 2 2 4 20 5" xfId="10130" xr:uid="{82E07785-9B96-47F3-81D1-E6C67803E11F}"/>
    <cellStyle name="Normal 2 2 4 21" xfId="1286" xr:uid="{203D69E9-0F4F-4439-98C7-6E6BB9BD3044}"/>
    <cellStyle name="Normal 2 2 4 21 2" xfId="1287" xr:uid="{AF18F113-931D-4522-8DC8-6CFA05059FEF}"/>
    <cellStyle name="Normal 2 2 4 21 2 2" xfId="1288" xr:uid="{45A18642-F352-404D-B282-4D4428A46FE7}"/>
    <cellStyle name="Normal 2 2 4 21 2 2 2" xfId="10138" xr:uid="{F148FD6E-66FE-46A2-B19D-7016270B8F20}"/>
    <cellStyle name="Normal 2 2 4 21 2 3" xfId="1289" xr:uid="{EA2E8E1B-2E3C-4C39-87CA-B0EF97C7D32F}"/>
    <cellStyle name="Normal 2 2 4 21 2 3 2" xfId="10139" xr:uid="{D6D531D2-C151-4B2B-89B8-66399A5D40EF}"/>
    <cellStyle name="Normal 2 2 4 21 2 4" xfId="10137" xr:uid="{82BEAD3B-A69F-4C23-A416-2908BB8528A2}"/>
    <cellStyle name="Normal 2 2 4 21 3" xfId="1290" xr:uid="{ED89D0F6-9DFF-4747-BDB3-62706C9C5426}"/>
    <cellStyle name="Normal 2 2 4 21 3 2" xfId="10140" xr:uid="{F37293B2-609D-46E5-B86A-5CE9ABFFD8C4}"/>
    <cellStyle name="Normal 2 2 4 21 4" xfId="1291" xr:uid="{DA32751D-211D-4EC8-886E-FC66A5FB2461}"/>
    <cellStyle name="Normal 2 2 4 21 4 2" xfId="10141" xr:uid="{11B29B2E-2B53-44E8-90D0-426D366E1B9C}"/>
    <cellStyle name="Normal 2 2 4 21 5" xfId="10136" xr:uid="{E2A68C26-538C-42EE-A296-B4E6F1E0899F}"/>
    <cellStyle name="Normal 2 2 4 22" xfId="1292" xr:uid="{5DE7AAC7-0817-4E51-8FEC-56A1DADC95A9}"/>
    <cellStyle name="Normal 2 2 4 22 2" xfId="1293" xr:uid="{43383BC5-15D4-4D4A-B2DA-439D202ED8F2}"/>
    <cellStyle name="Normal 2 2 4 22 2 2" xfId="1294" xr:uid="{0BF0B0DA-8426-478C-95DF-C6E0A122B41D}"/>
    <cellStyle name="Normal 2 2 4 22 2 2 2" xfId="10144" xr:uid="{FE4E261D-9D3D-460F-A954-775CA47CE4CB}"/>
    <cellStyle name="Normal 2 2 4 22 2 3" xfId="1295" xr:uid="{5CF212B1-8729-485F-AABD-DC01D9E13469}"/>
    <cellStyle name="Normal 2 2 4 22 2 3 2" xfId="10145" xr:uid="{4FB2AE62-2532-4F85-A3D6-DFA6CF82FD8F}"/>
    <cellStyle name="Normal 2 2 4 22 2 4" xfId="10143" xr:uid="{4696066A-5A13-420D-95ED-F5645012C970}"/>
    <cellStyle name="Normal 2 2 4 22 3" xfId="1296" xr:uid="{4EBAF95F-07BE-4D44-91F0-F1557AAD6C62}"/>
    <cellStyle name="Normal 2 2 4 22 3 2" xfId="10146" xr:uid="{ABA5A570-C27C-4994-B9BC-E7D91EE93504}"/>
    <cellStyle name="Normal 2 2 4 22 4" xfId="1297" xr:uid="{6592D435-2F5B-46AB-935F-4BAD24213DFD}"/>
    <cellStyle name="Normal 2 2 4 22 4 2" xfId="10147" xr:uid="{A2531320-7019-46D4-8983-3F0CD0B3CC0E}"/>
    <cellStyle name="Normal 2 2 4 22 5" xfId="10142" xr:uid="{5CAA200E-EEAB-4E7B-913F-938D3AE89217}"/>
    <cellStyle name="Normal 2 2 4 23" xfId="1298" xr:uid="{93C9DAE9-5B41-49D5-AEF8-F8F0269FC97E}"/>
    <cellStyle name="Normal 2 2 4 23 2" xfId="1299" xr:uid="{C7BBAB78-8C2E-4436-9D1F-19B495309964}"/>
    <cellStyle name="Normal 2 2 4 23 2 2" xfId="1300" xr:uid="{A4CB7D91-085D-4599-BA7E-F2F5A7231C5C}"/>
    <cellStyle name="Normal 2 2 4 23 2 2 2" xfId="10150" xr:uid="{7B931933-6053-463D-8371-8FEC3CAD7913}"/>
    <cellStyle name="Normal 2 2 4 23 2 3" xfId="1301" xr:uid="{4C522696-4043-47C7-A997-F9967359C5C1}"/>
    <cellStyle name="Normal 2 2 4 23 2 3 2" xfId="10151" xr:uid="{9191B4D3-043C-43F8-83B4-4EC44FC01A7F}"/>
    <cellStyle name="Normal 2 2 4 23 2 4" xfId="10149" xr:uid="{7ECA5E6B-A9C5-407A-BC12-56628C3DB241}"/>
    <cellStyle name="Normal 2 2 4 23 3" xfId="1302" xr:uid="{71019902-2CA7-411E-9AC6-BD89F0265A73}"/>
    <cellStyle name="Normal 2 2 4 23 3 2" xfId="10152" xr:uid="{53495396-906C-440D-B8A9-EB90A46E6927}"/>
    <cellStyle name="Normal 2 2 4 23 4" xfId="1303" xr:uid="{7A32A54A-5F32-408F-9E1E-14B0FFA580B1}"/>
    <cellStyle name="Normal 2 2 4 23 4 2" xfId="10153" xr:uid="{B5CE8EDD-3E27-4948-B694-1D438EDDD467}"/>
    <cellStyle name="Normal 2 2 4 23 5" xfId="10148" xr:uid="{F4D84603-60CD-42A3-AFD2-114602755F93}"/>
    <cellStyle name="Normal 2 2 4 24" xfId="1304" xr:uid="{30DEAC1F-F741-4EA8-83BA-832DEE164B1F}"/>
    <cellStyle name="Normal 2 2 4 24 2" xfId="1305" xr:uid="{EBD38283-18D3-439E-98FD-06CFBF65E065}"/>
    <cellStyle name="Normal 2 2 4 24 2 2" xfId="1306" xr:uid="{C1D90B6F-7385-40B3-913C-249CC176894B}"/>
    <cellStyle name="Normal 2 2 4 24 2 2 2" xfId="10156" xr:uid="{A1AB4AFC-0504-46FF-B3D7-B0F0B0347ED4}"/>
    <cellStyle name="Normal 2 2 4 24 2 3" xfId="1307" xr:uid="{C673376F-D20A-4622-9719-C959AF56B389}"/>
    <cellStyle name="Normal 2 2 4 24 2 3 2" xfId="10157" xr:uid="{85A73500-F7D4-43A5-A520-FD80A96857AA}"/>
    <cellStyle name="Normal 2 2 4 24 2 4" xfId="10155" xr:uid="{A9A089FC-D2EC-41D9-88CF-30734C0712DF}"/>
    <cellStyle name="Normal 2 2 4 24 3" xfId="1308" xr:uid="{34BD6BA9-6111-4C17-BD00-81976D12B6DD}"/>
    <cellStyle name="Normal 2 2 4 24 3 2" xfId="10158" xr:uid="{D341EC63-CF6A-4A9D-A044-7DB9E9F1B2D0}"/>
    <cellStyle name="Normal 2 2 4 24 4" xfId="1309" xr:uid="{B8C34CF7-F22B-4EC7-BE4A-0B445BBBD7D8}"/>
    <cellStyle name="Normal 2 2 4 24 4 2" xfId="10159" xr:uid="{CF704B06-4F31-4214-9824-EDCDC8C895F9}"/>
    <cellStyle name="Normal 2 2 4 24 5" xfId="10154" xr:uid="{73849AB9-3A5B-461A-9506-EB713B33677E}"/>
    <cellStyle name="Normal 2 2 4 25" xfId="1310" xr:uid="{7CE6D232-B778-4D3E-958F-CFFE0A647C29}"/>
    <cellStyle name="Normal 2 2 4 25 2" xfId="1311" xr:uid="{8828368F-1155-4E06-B8BC-24CFE4AEC5DC}"/>
    <cellStyle name="Normal 2 2 4 25 2 2" xfId="1312" xr:uid="{25B74C31-FDA4-4B17-A3E5-204A7497CB8A}"/>
    <cellStyle name="Normal 2 2 4 25 2 2 2" xfId="10162" xr:uid="{5E9F7392-C5BE-4742-B29F-057DC1ECF18C}"/>
    <cellStyle name="Normal 2 2 4 25 2 3" xfId="1313" xr:uid="{E25A56E2-31C9-48BB-AC83-E163EAF4D8D9}"/>
    <cellStyle name="Normal 2 2 4 25 2 3 2" xfId="10163" xr:uid="{E60AE054-BC54-4259-AEBA-F84ACD5BFF7C}"/>
    <cellStyle name="Normal 2 2 4 25 2 4" xfId="10161" xr:uid="{FFD0C63D-7A96-43AB-89CE-1096BBC7AC7B}"/>
    <cellStyle name="Normal 2 2 4 25 3" xfId="1314" xr:uid="{9B28A8A4-6A10-41C6-8444-9B953C71CBB3}"/>
    <cellStyle name="Normal 2 2 4 25 3 2" xfId="10164" xr:uid="{F4E8B372-256C-4C6F-AFDE-7F95E98B3B8F}"/>
    <cellStyle name="Normal 2 2 4 25 4" xfId="1315" xr:uid="{B6A9CD71-1E26-4478-9465-C530A4916DA2}"/>
    <cellStyle name="Normal 2 2 4 25 4 2" xfId="10165" xr:uid="{1D2C403E-A7DD-416B-906D-D542E71D7AB3}"/>
    <cellStyle name="Normal 2 2 4 25 5" xfId="10160" xr:uid="{17C1512C-98F3-414C-896C-D3C7C793CB1C}"/>
    <cellStyle name="Normal 2 2 4 26" xfId="1316" xr:uid="{EB5458FD-7CD3-4BF6-84F3-5C64520BCC69}"/>
    <cellStyle name="Normal 2 2 4 26 2" xfId="1317" xr:uid="{9C495706-314B-4076-B9FA-A0AA47DC2E48}"/>
    <cellStyle name="Normal 2 2 4 26 2 2" xfId="1318" xr:uid="{26775DC2-8030-4CE4-A696-58C72E1B28EC}"/>
    <cellStyle name="Normal 2 2 4 26 2 2 2" xfId="10168" xr:uid="{71EB9F13-9F64-4E87-B219-911DAD0A82A2}"/>
    <cellStyle name="Normal 2 2 4 26 2 3" xfId="1319" xr:uid="{D0C5F93D-AA2B-43F5-BC7E-951FD301EFF8}"/>
    <cellStyle name="Normal 2 2 4 26 2 3 2" xfId="10169" xr:uid="{2C742520-8001-46EF-BAC5-33BF63CE95C5}"/>
    <cellStyle name="Normal 2 2 4 26 2 4" xfId="10167" xr:uid="{45BFE83C-2C83-440A-A19F-4AB27FF581C9}"/>
    <cellStyle name="Normal 2 2 4 26 3" xfId="1320" xr:uid="{79CD6BAC-647C-467B-B97D-691C6D674AF7}"/>
    <cellStyle name="Normal 2 2 4 26 3 2" xfId="10170" xr:uid="{FE4080C5-0EEA-4A63-AD91-FD2DEE5DF897}"/>
    <cellStyle name="Normal 2 2 4 26 4" xfId="1321" xr:uid="{4B7B2078-C92A-4B99-B7B2-191CB06C56B8}"/>
    <cellStyle name="Normal 2 2 4 26 4 2" xfId="10171" xr:uid="{69F4C94D-09DC-4E68-B449-BA94404451DD}"/>
    <cellStyle name="Normal 2 2 4 26 5" xfId="10166" xr:uid="{D754BE02-6AE5-4226-8C3B-8965A5A54F79}"/>
    <cellStyle name="Normal 2 2 4 27" xfId="1322" xr:uid="{1E52BE61-56D9-4650-BF62-05C32F6185F2}"/>
    <cellStyle name="Normal 2 2 4 27 2" xfId="1323" xr:uid="{B066DFAD-BD0C-4E86-8297-C919D7BBD21A}"/>
    <cellStyle name="Normal 2 2 4 27 2 2" xfId="1324" xr:uid="{5785D1D3-3079-41C2-95C6-4602A0803144}"/>
    <cellStyle name="Normal 2 2 4 27 2 2 2" xfId="10174" xr:uid="{BF1B2D13-27F7-446E-A758-FB9C5AD689B4}"/>
    <cellStyle name="Normal 2 2 4 27 2 3" xfId="1325" xr:uid="{176C0B6F-0462-4C1F-9B42-29B1D0C85580}"/>
    <cellStyle name="Normal 2 2 4 27 2 3 2" xfId="10175" xr:uid="{0B4DE644-1098-4144-9732-652A22757190}"/>
    <cellStyle name="Normal 2 2 4 27 2 4" xfId="10173" xr:uid="{FE36DFBF-5F74-4DF2-B0D3-505B1BA83591}"/>
    <cellStyle name="Normal 2 2 4 27 3" xfId="1326" xr:uid="{47D1B2ED-852D-472D-9CF3-92A34E38E338}"/>
    <cellStyle name="Normal 2 2 4 27 3 2" xfId="10176" xr:uid="{36BC0FC2-17C2-4D34-8467-0FBC67DEC188}"/>
    <cellStyle name="Normal 2 2 4 27 4" xfId="1327" xr:uid="{818E136E-EA8F-488C-B9C9-95703BF77319}"/>
    <cellStyle name="Normal 2 2 4 27 4 2" xfId="10177" xr:uid="{D8DD9997-EC9C-49E4-9F65-FAB73C46457A}"/>
    <cellStyle name="Normal 2 2 4 27 5" xfId="10172" xr:uid="{7AC15409-3CB9-49C5-9A96-451ECD51DB50}"/>
    <cellStyle name="Normal 2 2 4 28" xfId="1328" xr:uid="{0DA8BF79-4A12-410F-9A48-3A7C1FF1295B}"/>
    <cellStyle name="Normal 2 2 4 28 2" xfId="1329" xr:uid="{2E230051-29C5-4E09-B5E9-8063234F352E}"/>
    <cellStyle name="Normal 2 2 4 28 2 2" xfId="1330" xr:uid="{B09500AA-4F9A-4A2F-9E5D-292312986298}"/>
    <cellStyle name="Normal 2 2 4 28 2 2 2" xfId="10180" xr:uid="{A3F1935B-494D-4B92-B833-6DFA179A8E07}"/>
    <cellStyle name="Normal 2 2 4 28 2 3" xfId="1331" xr:uid="{2D286DEA-0C5A-4117-BF2D-90BAA88B873D}"/>
    <cellStyle name="Normal 2 2 4 28 2 3 2" xfId="10181" xr:uid="{2B26BDCC-9E59-4D20-BAA1-636ADF6B3B2D}"/>
    <cellStyle name="Normal 2 2 4 28 2 4" xfId="10179" xr:uid="{FD3C4191-0CFE-42C9-BE5C-EE42AC67C439}"/>
    <cellStyle name="Normal 2 2 4 28 3" xfId="1332" xr:uid="{F2D07011-7FDC-4352-86FC-94B32D3790F3}"/>
    <cellStyle name="Normal 2 2 4 28 3 2" xfId="10182" xr:uid="{23597386-86BF-48BC-A275-5957BA981247}"/>
    <cellStyle name="Normal 2 2 4 28 4" xfId="1333" xr:uid="{48A351C9-E0DC-4B14-B945-9C597BF99D4F}"/>
    <cellStyle name="Normal 2 2 4 28 4 2" xfId="10183" xr:uid="{7BEA4911-1B64-4D41-9448-BDF8EBB14AF1}"/>
    <cellStyle name="Normal 2 2 4 28 5" xfId="10178" xr:uid="{0A0B03F3-E0E8-45A9-8E52-36E3DD71B677}"/>
    <cellStyle name="Normal 2 2 4 29" xfId="1334" xr:uid="{E02DABAE-DCD8-4644-8749-4706D4DB028E}"/>
    <cellStyle name="Normal 2 2 4 29 2" xfId="1335" xr:uid="{C40C7FDE-C957-4E28-9115-0186C1B8A4A1}"/>
    <cellStyle name="Normal 2 2 4 29 2 2" xfId="1336" xr:uid="{0DB0F426-011B-40BC-AD5D-59463166B259}"/>
    <cellStyle name="Normal 2 2 4 29 2 2 2" xfId="10186" xr:uid="{AA06A6FB-0A2D-4E9B-8985-94C66C60AB2C}"/>
    <cellStyle name="Normal 2 2 4 29 2 3" xfId="1337" xr:uid="{D5D83DF9-B4B2-4235-95E7-EA633DCF2DA6}"/>
    <cellStyle name="Normal 2 2 4 29 2 3 2" xfId="10187" xr:uid="{FF2B3049-35A3-4408-9CEE-0494422CD301}"/>
    <cellStyle name="Normal 2 2 4 29 2 4" xfId="10185" xr:uid="{A629B958-7115-4DEB-A253-B07E71B9C211}"/>
    <cellStyle name="Normal 2 2 4 29 3" xfId="1338" xr:uid="{73E236F2-073F-4D0F-A8A6-C2E233F34C2D}"/>
    <cellStyle name="Normal 2 2 4 29 3 2" xfId="10188" xr:uid="{799C5CCB-C70A-46CA-BE50-4AE6DC7F6E46}"/>
    <cellStyle name="Normal 2 2 4 29 4" xfId="1339" xr:uid="{DC7B0C41-3A2B-451E-BC1E-B032301B75E2}"/>
    <cellStyle name="Normal 2 2 4 29 4 2" xfId="10189" xr:uid="{E7A81670-E96E-44E6-AB9C-F2D4C6F5DBCA}"/>
    <cellStyle name="Normal 2 2 4 29 5" xfId="10184" xr:uid="{9D1E0F45-5E0D-45E1-A1D6-F383437CE563}"/>
    <cellStyle name="Normal 2 2 4 3" xfId="1340" xr:uid="{EB5ABEE6-08D3-49A7-944D-EFFDBA824FAF}"/>
    <cellStyle name="Normal 2 2 4 3 2" xfId="1341" xr:uid="{9D7D64E2-3C3B-479E-9B6F-87533FD45126}"/>
    <cellStyle name="Normal 2 2 4 3 2 2" xfId="1342" xr:uid="{8DEA279C-976A-4093-84B5-3319569C0417}"/>
    <cellStyle name="Normal 2 2 4 3 2 2 2" xfId="10192" xr:uid="{6E8478B7-A44D-4480-A3F0-36422D6C75BD}"/>
    <cellStyle name="Normal 2 2 4 3 2 3" xfId="1343" xr:uid="{61091B6A-428A-4078-8BBB-6E0C02C4794B}"/>
    <cellStyle name="Normal 2 2 4 3 2 3 2" xfId="10193" xr:uid="{3CC1561C-161D-4F07-B354-93A83B52FA75}"/>
    <cellStyle name="Normal 2 2 4 3 2 4" xfId="10191" xr:uid="{5439E41C-702C-4FA2-B2D4-2259E5E2C69E}"/>
    <cellStyle name="Normal 2 2 4 3 3" xfId="1344" xr:uid="{3F8DE822-70BF-4B14-82B4-EEA5B0CE38A4}"/>
    <cellStyle name="Normal 2 2 4 3 3 2" xfId="10194" xr:uid="{F29F35C0-7EA6-4D75-B9DD-49BC95ED8DF3}"/>
    <cellStyle name="Normal 2 2 4 3 4" xfId="1345" xr:uid="{4B68F90E-8075-4040-AA22-7E0B6F24FA4F}"/>
    <cellStyle name="Normal 2 2 4 3 4 2" xfId="10195" xr:uid="{E2E2F84A-7F45-47C1-8A85-EBFB6A7CBD71}"/>
    <cellStyle name="Normal 2 2 4 3 5" xfId="10190" xr:uid="{691DCC4A-4282-43C8-9627-2519B22B6059}"/>
    <cellStyle name="Normal 2 2 4 30" xfId="1346" xr:uid="{27A45BBC-4D7B-4446-8B53-B2BEB8195BB7}"/>
    <cellStyle name="Normal 2 2 4 30 2" xfId="1347" xr:uid="{E2288AC1-A43A-4792-865F-4B217D2D3E29}"/>
    <cellStyle name="Normal 2 2 4 30 2 2" xfId="1348" xr:uid="{E7575720-454B-4FA0-A20E-55F965A5527A}"/>
    <cellStyle name="Normal 2 2 4 30 2 2 2" xfId="10198" xr:uid="{B9CAF935-1C95-4739-AC87-F48AC46E8C28}"/>
    <cellStyle name="Normal 2 2 4 30 2 3" xfId="1349" xr:uid="{0CC38BA1-772D-4087-B358-6C2EEAD02A40}"/>
    <cellStyle name="Normal 2 2 4 30 2 3 2" xfId="10199" xr:uid="{22591B1B-176B-4564-B3ED-EC64DD7F9862}"/>
    <cellStyle name="Normal 2 2 4 30 2 4" xfId="10197" xr:uid="{AF12CA5E-597E-4716-A447-A17A11BBEFEB}"/>
    <cellStyle name="Normal 2 2 4 30 3" xfId="1350" xr:uid="{C3E94036-B6E4-46E5-BCDA-67958EAB0FF5}"/>
    <cellStyle name="Normal 2 2 4 30 3 2" xfId="10200" xr:uid="{3D5608AB-123C-472A-A42F-EF10E2CDECCE}"/>
    <cellStyle name="Normal 2 2 4 30 4" xfId="1351" xr:uid="{81F85B00-3346-4FF2-8963-D78A772699A2}"/>
    <cellStyle name="Normal 2 2 4 30 4 2" xfId="10201" xr:uid="{F70488C7-D8C1-424A-BA8F-6832AD66D2A4}"/>
    <cellStyle name="Normal 2 2 4 30 5" xfId="10196" xr:uid="{3630D60C-2E0E-4CF2-AC8C-BEB65B56A6E5}"/>
    <cellStyle name="Normal 2 2 4 31" xfId="1352" xr:uid="{50DA772D-EB11-46F9-829C-43014BC97B14}"/>
    <cellStyle name="Normal 2 2 4 31 2" xfId="1353" xr:uid="{C69EBC07-A853-449B-9A22-2A1DE74BB72A}"/>
    <cellStyle name="Normal 2 2 4 31 2 2" xfId="1354" xr:uid="{63A260F7-8575-41C2-8C12-AE39D4B518B4}"/>
    <cellStyle name="Normal 2 2 4 31 2 2 2" xfId="10204" xr:uid="{0389C000-1704-4D34-89ED-88A781AB7F14}"/>
    <cellStyle name="Normal 2 2 4 31 2 3" xfId="1355" xr:uid="{8D54EB34-84C7-4214-AEB4-232FA2D058AB}"/>
    <cellStyle name="Normal 2 2 4 31 2 3 2" xfId="10205" xr:uid="{BAF182E6-5846-43CB-8E53-D547380A94AC}"/>
    <cellStyle name="Normal 2 2 4 31 2 4" xfId="10203" xr:uid="{EE305970-D119-4996-AC05-5528B0672FF1}"/>
    <cellStyle name="Normal 2 2 4 31 3" xfId="1356" xr:uid="{36904BE6-E89B-4AC5-A5C3-D81DCB8D83DA}"/>
    <cellStyle name="Normal 2 2 4 31 3 2" xfId="10206" xr:uid="{9DB49415-34AF-4672-A7D1-3A4D906671A0}"/>
    <cellStyle name="Normal 2 2 4 31 4" xfId="1357" xr:uid="{B49C7EC4-1850-4CF5-B1C5-98C0DAD22A87}"/>
    <cellStyle name="Normal 2 2 4 31 4 2" xfId="10207" xr:uid="{71D75064-B788-4CD0-827E-4D27D24FA020}"/>
    <cellStyle name="Normal 2 2 4 31 5" xfId="10202" xr:uid="{9DACBA35-F988-4FA1-B08E-0922EA0FA2D7}"/>
    <cellStyle name="Normal 2 2 4 32" xfId="1358" xr:uid="{C39C8B4F-E047-4B81-9459-386902837378}"/>
    <cellStyle name="Normal 2 2 4 32 2" xfId="1359" xr:uid="{7183BF6E-96B0-479B-9724-53A6A660A4F1}"/>
    <cellStyle name="Normal 2 2 4 32 2 2" xfId="1360" xr:uid="{DD6E094D-C108-428B-BF98-566DB0B33848}"/>
    <cellStyle name="Normal 2 2 4 32 2 2 2" xfId="10210" xr:uid="{A41FAEAC-3AD9-4CC6-8E24-6334264579D0}"/>
    <cellStyle name="Normal 2 2 4 32 2 3" xfId="1361" xr:uid="{49080D0B-A7C5-4A4C-8E33-7AB89AE8AC03}"/>
    <cellStyle name="Normal 2 2 4 32 2 3 2" xfId="10211" xr:uid="{9E4123DA-ECA5-4C36-BEFB-856FA09DBCDF}"/>
    <cellStyle name="Normal 2 2 4 32 2 4" xfId="10209" xr:uid="{9AC59E71-9809-4201-8169-5782A4FAA3E8}"/>
    <cellStyle name="Normal 2 2 4 32 3" xfId="1362" xr:uid="{9A61C641-7416-4039-A9EC-3C485C08F14F}"/>
    <cellStyle name="Normal 2 2 4 32 3 2" xfId="10212" xr:uid="{AF1D5242-B415-423F-9920-32A671BA40A8}"/>
    <cellStyle name="Normal 2 2 4 32 4" xfId="1363" xr:uid="{D4289EA1-8183-44EF-B8AF-F06D76652FA3}"/>
    <cellStyle name="Normal 2 2 4 32 4 2" xfId="10213" xr:uid="{7FBCF4D7-72F0-4837-8515-738ABEBE81E9}"/>
    <cellStyle name="Normal 2 2 4 32 5" xfId="10208" xr:uid="{DE8B971E-8311-4344-B802-CAFA8E7D9046}"/>
    <cellStyle name="Normal 2 2 4 33" xfId="1364" xr:uid="{67C529D5-B673-48BF-A8C7-58BB2484C431}"/>
    <cellStyle name="Normal 2 2 4 33 2" xfId="1365" xr:uid="{40289F53-52FD-4C86-8813-72217046BA42}"/>
    <cellStyle name="Normal 2 2 4 33 2 2" xfId="1366" xr:uid="{6B58F2F6-EA0F-4A71-9166-F974D19A98AF}"/>
    <cellStyle name="Normal 2 2 4 33 2 2 2" xfId="10216" xr:uid="{4A60C1DA-BCAE-4375-A22A-D3FC683B6D59}"/>
    <cellStyle name="Normal 2 2 4 33 2 3" xfId="1367" xr:uid="{CD4B6684-DC74-42B0-A7D5-E1944116445C}"/>
    <cellStyle name="Normal 2 2 4 33 2 3 2" xfId="10217" xr:uid="{64A16CC0-141D-412A-925E-A2AA2B521E5B}"/>
    <cellStyle name="Normal 2 2 4 33 2 4" xfId="10215" xr:uid="{9D4CBDF7-C51C-4E63-93EB-1103473BA4C1}"/>
    <cellStyle name="Normal 2 2 4 33 3" xfId="1368" xr:uid="{855D6434-6F97-48AD-A78E-BA4F0187582F}"/>
    <cellStyle name="Normal 2 2 4 33 3 2" xfId="10218" xr:uid="{FE1469A9-951E-40E7-B219-57AE982A242C}"/>
    <cellStyle name="Normal 2 2 4 33 4" xfId="1369" xr:uid="{7B0BDA1F-4E5A-4900-B43D-3493791B750D}"/>
    <cellStyle name="Normal 2 2 4 33 4 2" xfId="10219" xr:uid="{0329C405-04C0-4FE9-9AB8-3F5EAB1734A1}"/>
    <cellStyle name="Normal 2 2 4 33 5" xfId="10214" xr:uid="{D9D0F63B-DBDE-482D-8098-368E317D6224}"/>
    <cellStyle name="Normal 2 2 4 34" xfId="1370" xr:uid="{DCD879EC-8735-4215-90A6-577054B4D842}"/>
    <cellStyle name="Normal 2 2 4 34 2" xfId="1371" xr:uid="{D56A3D37-2296-4FCF-9741-72F2EAB2CC90}"/>
    <cellStyle name="Normal 2 2 4 34 2 2" xfId="1372" xr:uid="{B03392F0-B775-4113-9618-8009484F5290}"/>
    <cellStyle name="Normal 2 2 4 34 2 2 2" xfId="10222" xr:uid="{BD7617A6-CD69-4529-9063-B1B61F0DC15A}"/>
    <cellStyle name="Normal 2 2 4 34 2 3" xfId="1373" xr:uid="{8AADDC77-CFD8-4062-82F6-CCA8349A3BC3}"/>
    <cellStyle name="Normal 2 2 4 34 2 3 2" xfId="10223" xr:uid="{685E247B-F6E6-41A7-A324-0F98A4098D04}"/>
    <cellStyle name="Normal 2 2 4 34 2 4" xfId="10221" xr:uid="{B6C2B581-4013-4276-8E77-427501FFE5F4}"/>
    <cellStyle name="Normal 2 2 4 34 3" xfId="1374" xr:uid="{7F6DE414-305E-4E82-BC68-F809B17017B8}"/>
    <cellStyle name="Normal 2 2 4 34 3 2" xfId="10224" xr:uid="{B6C2CC97-8158-47CA-BD5A-61419360A047}"/>
    <cellStyle name="Normal 2 2 4 34 4" xfId="1375" xr:uid="{C2480283-C922-435B-B1E7-E1E62BDD796E}"/>
    <cellStyle name="Normal 2 2 4 34 4 2" xfId="10225" xr:uid="{512E2A63-5A24-4DF1-98AF-07CD079419BC}"/>
    <cellStyle name="Normal 2 2 4 34 5" xfId="10220" xr:uid="{289B5A0D-C65D-4B04-9351-BFD0EBAA8A88}"/>
    <cellStyle name="Normal 2 2 4 35" xfId="1376" xr:uid="{F7040E1F-B177-4165-8ED8-869D5E0FE272}"/>
    <cellStyle name="Normal 2 2 4 35 2" xfId="1377" xr:uid="{8E933300-06B1-4FD6-9C0B-7A20E5E5C7F5}"/>
    <cellStyle name="Normal 2 2 4 35 2 2" xfId="1378" xr:uid="{D1B3F608-614D-49AE-BF5F-F517D9A52D66}"/>
    <cellStyle name="Normal 2 2 4 35 2 2 2" xfId="10228" xr:uid="{2934EFE5-05C4-469E-AF0E-7B0FE8DB47D9}"/>
    <cellStyle name="Normal 2 2 4 35 2 3" xfId="1379" xr:uid="{68ECF016-7A28-4F92-A7AD-E87CACEEF2C5}"/>
    <cellStyle name="Normal 2 2 4 35 2 3 2" xfId="10229" xr:uid="{9FA0AB22-2EAF-4065-94F8-647F0BEC9BF7}"/>
    <cellStyle name="Normal 2 2 4 35 2 4" xfId="10227" xr:uid="{D35DB084-9686-4BF7-9FC4-2F0F071AA2C7}"/>
    <cellStyle name="Normal 2 2 4 35 3" xfId="1380" xr:uid="{266A680A-7152-4356-8A54-C408CADA56B9}"/>
    <cellStyle name="Normal 2 2 4 35 3 2" xfId="10230" xr:uid="{F5D644E1-089A-4C23-B42C-800CB0DBE969}"/>
    <cellStyle name="Normal 2 2 4 35 4" xfId="1381" xr:uid="{4F0F2297-D4A3-48F1-9168-EEA1EAFDBDF9}"/>
    <cellStyle name="Normal 2 2 4 35 4 2" xfId="10231" xr:uid="{BEDB02B9-AB78-496E-A94F-3A63F5E7C0D7}"/>
    <cellStyle name="Normal 2 2 4 35 5" xfId="10226" xr:uid="{A375ED92-0992-40A5-A7AE-66EE2D16D360}"/>
    <cellStyle name="Normal 2 2 4 36" xfId="1382" xr:uid="{4A8C28AE-3D69-40BF-9619-0752E8CE2601}"/>
    <cellStyle name="Normal 2 2 4 36 2" xfId="1383" xr:uid="{B46D5EFD-4B6B-443D-B4AC-3F1EF2E98589}"/>
    <cellStyle name="Normal 2 2 4 36 2 2" xfId="1384" xr:uid="{50F85C90-A254-4EB8-8A61-0A2AFED9F4C6}"/>
    <cellStyle name="Normal 2 2 4 36 2 2 2" xfId="10234" xr:uid="{673C5047-9480-4A05-9C85-B057234847DC}"/>
    <cellStyle name="Normal 2 2 4 36 2 3" xfId="1385" xr:uid="{8F8DF5D8-27B5-464C-BF37-262DE7D464D7}"/>
    <cellStyle name="Normal 2 2 4 36 2 3 2" xfId="10235" xr:uid="{0DBC109A-6B6E-4A6E-A5D9-062A3057394E}"/>
    <cellStyle name="Normal 2 2 4 36 2 4" xfId="10233" xr:uid="{38C2C107-8514-4BCC-A5D6-055B322B7EA0}"/>
    <cellStyle name="Normal 2 2 4 36 3" xfId="1386" xr:uid="{12731C2A-F2A0-45EE-A7D5-87E0D1201B5B}"/>
    <cellStyle name="Normal 2 2 4 36 3 2" xfId="10236" xr:uid="{0A38B0AC-0BD2-45E1-B671-060B791FEA19}"/>
    <cellStyle name="Normal 2 2 4 36 4" xfId="1387" xr:uid="{82AD58A5-1D4C-42DB-8E89-EDCC98400CAC}"/>
    <cellStyle name="Normal 2 2 4 36 4 2" xfId="10237" xr:uid="{D6277DE7-D8FB-4034-B44C-5429B7031F71}"/>
    <cellStyle name="Normal 2 2 4 36 5" xfId="10232" xr:uid="{7D9A71D8-E2F8-4B7D-A849-C31664D9AA26}"/>
    <cellStyle name="Normal 2 2 4 37" xfId="1388" xr:uid="{D5AB292C-E6A6-4EC5-B8CB-19C1571D6413}"/>
    <cellStyle name="Normal 2 2 4 37 2" xfId="1389" xr:uid="{724BAE27-2F62-4C9C-8A8E-5B0C5D768866}"/>
    <cellStyle name="Normal 2 2 4 37 2 2" xfId="1390" xr:uid="{144895A1-960B-4C70-801F-B044A5C7D1D1}"/>
    <cellStyle name="Normal 2 2 4 37 2 2 2" xfId="10240" xr:uid="{1D07FAAC-4F4C-477C-8465-C8C17A24DD6E}"/>
    <cellStyle name="Normal 2 2 4 37 2 3" xfId="1391" xr:uid="{C6EA89A1-A711-4273-8974-84EBBF37301F}"/>
    <cellStyle name="Normal 2 2 4 37 2 3 2" xfId="10241" xr:uid="{5B4D9FB9-53C2-424C-A2DE-0008CE4AC8DF}"/>
    <cellStyle name="Normal 2 2 4 37 2 4" xfId="10239" xr:uid="{6C7F2316-F314-436C-BB1E-3876267D3107}"/>
    <cellStyle name="Normal 2 2 4 37 3" xfId="1392" xr:uid="{23DF64BA-9D77-486C-9CCA-525A43F083AB}"/>
    <cellStyle name="Normal 2 2 4 37 3 2" xfId="10242" xr:uid="{DBDCED3B-5BED-4C5D-BD7F-03B0E9CD62B3}"/>
    <cellStyle name="Normal 2 2 4 37 4" xfId="1393" xr:uid="{4F4B90EF-2316-4895-A557-ED2C0B6B40A4}"/>
    <cellStyle name="Normal 2 2 4 37 4 2" xfId="10243" xr:uid="{0929B012-DE5C-426F-BA79-89810F5AAF26}"/>
    <cellStyle name="Normal 2 2 4 37 5" xfId="10238" xr:uid="{D258C8E0-56B7-4EE1-AF42-20D794894ECE}"/>
    <cellStyle name="Normal 2 2 4 38" xfId="1394" xr:uid="{FD0698FB-54A1-418F-81FC-1A187EEA98B5}"/>
    <cellStyle name="Normal 2 2 4 38 2" xfId="1395" xr:uid="{E7DD81FB-7465-4241-A505-3A8B88228EFF}"/>
    <cellStyle name="Normal 2 2 4 38 2 2" xfId="1396" xr:uid="{4095F79B-3414-4874-B856-56B33727AD27}"/>
    <cellStyle name="Normal 2 2 4 38 2 2 2" xfId="10246" xr:uid="{B93809D3-B6C2-4187-8AD4-C73B40DD422D}"/>
    <cellStyle name="Normal 2 2 4 38 2 3" xfId="1397" xr:uid="{AA1C1C4B-4868-42C0-9DBD-4160ED28CC35}"/>
    <cellStyle name="Normal 2 2 4 38 2 3 2" xfId="10247" xr:uid="{00236C87-160E-4D57-9993-7167352CE545}"/>
    <cellStyle name="Normal 2 2 4 38 2 4" xfId="10245" xr:uid="{2E004470-1DCA-41C1-9548-31E6A0429528}"/>
    <cellStyle name="Normal 2 2 4 38 3" xfId="1398" xr:uid="{CF446D4D-E82D-4D1B-89A6-1D7E28513263}"/>
    <cellStyle name="Normal 2 2 4 38 3 2" xfId="10248" xr:uid="{39F533F4-5B6C-44B0-8267-4837CC6BB359}"/>
    <cellStyle name="Normal 2 2 4 38 4" xfId="1399" xr:uid="{E967DA25-5827-49DE-900E-E5D57C3711FD}"/>
    <cellStyle name="Normal 2 2 4 38 4 2" xfId="10249" xr:uid="{786CC3E8-143D-4891-83C8-8D2D24C20CAE}"/>
    <cellStyle name="Normal 2 2 4 38 5" xfId="10244" xr:uid="{1D11FBD6-9411-4C2D-8AA1-5138375E4DDF}"/>
    <cellStyle name="Normal 2 2 4 39" xfId="1400" xr:uid="{D65FB741-A403-44F1-B76B-6FED18936930}"/>
    <cellStyle name="Normal 2 2 4 39 2" xfId="1401" xr:uid="{32AD3059-2C33-4F15-B3C5-8627EF8CF0E0}"/>
    <cellStyle name="Normal 2 2 4 39 2 2" xfId="1402" xr:uid="{05960EC9-704E-4B16-81F6-A7F4DDA18AA2}"/>
    <cellStyle name="Normal 2 2 4 39 2 2 2" xfId="10252" xr:uid="{8A4DF45D-8306-44C7-B800-7F33E1E26C74}"/>
    <cellStyle name="Normal 2 2 4 39 2 3" xfId="1403" xr:uid="{4FF70A4F-2CC6-43C9-AD24-2B1FB9DFC40E}"/>
    <cellStyle name="Normal 2 2 4 39 2 3 2" xfId="10253" xr:uid="{5C19EB56-8BD6-4B1D-9317-D973D87E0C40}"/>
    <cellStyle name="Normal 2 2 4 39 2 4" xfId="10251" xr:uid="{8FDF012F-87AB-4CE6-95F3-8E693947E8CB}"/>
    <cellStyle name="Normal 2 2 4 39 3" xfId="1404" xr:uid="{A894F4E7-38F2-442C-9345-0BF59C8FF715}"/>
    <cellStyle name="Normal 2 2 4 39 3 2" xfId="10254" xr:uid="{B91DD720-9A42-4189-8112-79418C3685B8}"/>
    <cellStyle name="Normal 2 2 4 39 4" xfId="1405" xr:uid="{69F209F4-54D6-466D-BD78-6BE6BCD37C27}"/>
    <cellStyle name="Normal 2 2 4 39 4 2" xfId="10255" xr:uid="{854260DD-B784-47F0-9ABD-F28C9647098F}"/>
    <cellStyle name="Normal 2 2 4 39 5" xfId="10250" xr:uid="{6C5CBEE2-07ED-4CB6-A2C2-8016D7963326}"/>
    <cellStyle name="Normal 2 2 4 4" xfId="1406" xr:uid="{42B7F35B-E833-4EF0-BAE3-045017D6EDCD}"/>
    <cellStyle name="Normal 2 2 4 4 2" xfId="1407" xr:uid="{E0E17DC0-619E-4DF9-B6A7-77E0C9D172C6}"/>
    <cellStyle name="Normal 2 2 4 4 2 2" xfId="1408" xr:uid="{EAAA3409-2B79-47F5-8D96-BBFFB97EE896}"/>
    <cellStyle name="Normal 2 2 4 4 2 2 2" xfId="10258" xr:uid="{3FCACE51-BB69-46E4-A0CB-7C9E815861F2}"/>
    <cellStyle name="Normal 2 2 4 4 2 3" xfId="1409" xr:uid="{5DCB1A6F-A0AF-4611-A1A0-6F45799D6014}"/>
    <cellStyle name="Normal 2 2 4 4 2 3 2" xfId="10259" xr:uid="{AE069467-53F6-40AA-AE19-191B094F9A16}"/>
    <cellStyle name="Normal 2 2 4 4 2 4" xfId="10257" xr:uid="{104870C1-43E2-48EF-883F-CE9639B53C2B}"/>
    <cellStyle name="Normal 2 2 4 4 3" xfId="1410" xr:uid="{802A731D-5728-4D62-B02F-7052695764E9}"/>
    <cellStyle name="Normal 2 2 4 4 3 2" xfId="10260" xr:uid="{131FA4E5-56CA-4D5C-9023-D85E072C9775}"/>
    <cellStyle name="Normal 2 2 4 4 4" xfId="1411" xr:uid="{4AA85656-7081-4224-8367-7A550DC2635A}"/>
    <cellStyle name="Normal 2 2 4 4 4 2" xfId="10261" xr:uid="{524704AE-21B0-43A0-97B7-83AC21B06FC3}"/>
    <cellStyle name="Normal 2 2 4 4 5" xfId="10256" xr:uid="{66D5FCF1-5A30-4356-9808-15AEC79B9D33}"/>
    <cellStyle name="Normal 2 2 4 40" xfId="1412" xr:uid="{F1B4059F-9469-4381-8A8A-9745739470FA}"/>
    <cellStyle name="Normal 2 2 4 40 2" xfId="1413" xr:uid="{A093FBC8-2993-4F5F-91DE-B92146DBC165}"/>
    <cellStyle name="Normal 2 2 4 40 2 2" xfId="1414" xr:uid="{2401D030-E583-41BE-8EFB-4F8749BC64DC}"/>
    <cellStyle name="Normal 2 2 4 40 2 2 2" xfId="10264" xr:uid="{745D7B8E-0078-49FE-A9D2-D80A60FF4DAB}"/>
    <cellStyle name="Normal 2 2 4 40 2 3" xfId="1415" xr:uid="{5DC0DC7B-8B10-4A0F-A6CA-BAF761FE849E}"/>
    <cellStyle name="Normal 2 2 4 40 2 3 2" xfId="10265" xr:uid="{7BEBCD66-3506-4463-A9B2-2F7FE01171A2}"/>
    <cellStyle name="Normal 2 2 4 40 2 4" xfId="10263" xr:uid="{6D8663AD-2C91-427D-A223-984C7EFE9970}"/>
    <cellStyle name="Normal 2 2 4 40 3" xfId="1416" xr:uid="{E3F2D01F-CD84-4C6F-B69B-45FF8CDED5F1}"/>
    <cellStyle name="Normal 2 2 4 40 3 2" xfId="10266" xr:uid="{1C43A07F-7AEC-49CB-A13C-EA45511728AA}"/>
    <cellStyle name="Normal 2 2 4 40 4" xfId="1417" xr:uid="{F470E06C-1AFE-4DE6-B57F-8DF6BF26BF47}"/>
    <cellStyle name="Normal 2 2 4 40 4 2" xfId="10267" xr:uid="{5A35C446-CE46-4D0F-85BE-5263C562D77A}"/>
    <cellStyle name="Normal 2 2 4 40 5" xfId="10262" xr:uid="{1B4AC75E-A048-4100-A522-615B553142E6}"/>
    <cellStyle name="Normal 2 2 4 41" xfId="1418" xr:uid="{8762AB5F-7338-438D-AEA9-6791F793B385}"/>
    <cellStyle name="Normal 2 2 4 41 2" xfId="1419" xr:uid="{A7AC8AE5-7A44-428B-9352-4E0B9BC72CD9}"/>
    <cellStyle name="Normal 2 2 4 41 2 2" xfId="1420" xr:uid="{10C5D890-FB9C-452D-B314-AD326A9E415D}"/>
    <cellStyle name="Normal 2 2 4 41 2 2 2" xfId="10270" xr:uid="{E8B2846B-EE80-484F-ABB1-A77FC4BA2A2D}"/>
    <cellStyle name="Normal 2 2 4 41 2 3" xfId="1421" xr:uid="{ABC3238C-BAD3-4C0E-AC85-4B4AE22844D6}"/>
    <cellStyle name="Normal 2 2 4 41 2 3 2" xfId="10271" xr:uid="{A89AA432-7F22-4649-94FB-7CC90E7791F0}"/>
    <cellStyle name="Normal 2 2 4 41 2 4" xfId="10269" xr:uid="{F8F5F7FE-C001-417D-8B32-87A1F793695B}"/>
    <cellStyle name="Normal 2 2 4 41 3" xfId="1422" xr:uid="{4FCEBA10-16EE-4FFC-8E76-1C319F8DFC18}"/>
    <cellStyle name="Normal 2 2 4 41 3 2" xfId="10272" xr:uid="{9220C4D0-E8AA-46A8-918D-B2E0171EE238}"/>
    <cellStyle name="Normal 2 2 4 41 4" xfId="1423" xr:uid="{1D2FA024-4B28-4C87-AC89-3BF1C89B886A}"/>
    <cellStyle name="Normal 2 2 4 41 4 2" xfId="10273" xr:uid="{C89BA62A-548B-43F9-B1F3-4A5D9FD93230}"/>
    <cellStyle name="Normal 2 2 4 41 5" xfId="10268" xr:uid="{CE41475D-1DFD-42ED-880B-CFCDF6711105}"/>
    <cellStyle name="Normal 2 2 4 42" xfId="1424" xr:uid="{FB463CD4-4DAF-4B32-94F7-94E43E75BE12}"/>
    <cellStyle name="Normal 2 2 4 42 2" xfId="1425" xr:uid="{D8FC1265-FC3B-4963-BB8A-D6E6D02A11BA}"/>
    <cellStyle name="Normal 2 2 4 42 2 2" xfId="1426" xr:uid="{F58D27A1-BCEF-403A-BC1C-A64249C69A7A}"/>
    <cellStyle name="Normal 2 2 4 42 2 2 2" xfId="10276" xr:uid="{DBA6DBA7-4937-4EBF-A0A3-5AE9E5B95C88}"/>
    <cellStyle name="Normal 2 2 4 42 2 3" xfId="1427" xr:uid="{F8B3F844-7C6E-469E-B1E9-14F84684FEB6}"/>
    <cellStyle name="Normal 2 2 4 42 2 3 2" xfId="10277" xr:uid="{76DF479A-2875-4F26-B9CA-C35A3D4E0DB8}"/>
    <cellStyle name="Normal 2 2 4 42 2 4" xfId="10275" xr:uid="{28AF1B1D-2C49-4B74-BBBC-15010CB1FAE3}"/>
    <cellStyle name="Normal 2 2 4 42 3" xfId="1428" xr:uid="{12574723-B663-41C9-A957-508054FBA64D}"/>
    <cellStyle name="Normal 2 2 4 42 3 2" xfId="10278" xr:uid="{8619CEED-5215-4316-82E8-3D67224BA184}"/>
    <cellStyle name="Normal 2 2 4 42 4" xfId="1429" xr:uid="{E76E2222-6EAE-4B8D-8456-DAA055CC5AB1}"/>
    <cellStyle name="Normal 2 2 4 42 4 2" xfId="10279" xr:uid="{E7A5EB46-5DC3-452E-961C-0DA077DC8841}"/>
    <cellStyle name="Normal 2 2 4 42 5" xfId="10274" xr:uid="{17E39476-C74E-4E05-AE11-058935ED7B7B}"/>
    <cellStyle name="Normal 2 2 4 43" xfId="1430" xr:uid="{66BAE80E-84A6-4BC5-B890-3EBDCDD229C3}"/>
    <cellStyle name="Normal 2 2 4 43 2" xfId="1431" xr:uid="{55095A04-CA03-4C7A-B8B9-136931CA342D}"/>
    <cellStyle name="Normal 2 2 4 43 2 2" xfId="1432" xr:uid="{0CC6B506-B1F3-4A18-844C-93D835F48DF5}"/>
    <cellStyle name="Normal 2 2 4 43 2 2 2" xfId="10282" xr:uid="{F87D458A-2AB7-4852-B805-8B6DF0915F0A}"/>
    <cellStyle name="Normal 2 2 4 43 2 3" xfId="1433" xr:uid="{7074A021-5053-4AA9-9AF1-A950B3B312BB}"/>
    <cellStyle name="Normal 2 2 4 43 2 3 2" xfId="10283" xr:uid="{0EE36675-667A-46FE-BF0C-4F0AEDE4737A}"/>
    <cellStyle name="Normal 2 2 4 43 2 4" xfId="10281" xr:uid="{41B31908-D429-4625-926D-3C86B8421B68}"/>
    <cellStyle name="Normal 2 2 4 43 3" xfId="1434" xr:uid="{BF98E79D-7822-4C10-9796-37861799283F}"/>
    <cellStyle name="Normal 2 2 4 43 3 2" xfId="10284" xr:uid="{A835AA44-6ADF-41C5-B6DC-E4CE488D20DD}"/>
    <cellStyle name="Normal 2 2 4 43 4" xfId="1435" xr:uid="{594A0511-5266-4E18-8409-ECD87329485B}"/>
    <cellStyle name="Normal 2 2 4 43 4 2" xfId="10285" xr:uid="{583CD690-E1E7-4406-8F97-4BBE452727DF}"/>
    <cellStyle name="Normal 2 2 4 43 5" xfId="10280" xr:uid="{E0427961-4155-4DF2-9EF0-250B610A42B1}"/>
    <cellStyle name="Normal 2 2 4 44" xfId="1436" xr:uid="{72ADF565-3B73-49B5-84D2-F74747C89E6B}"/>
    <cellStyle name="Normal 2 2 4 44 2" xfId="1437" xr:uid="{D0F7D981-4137-4AC9-B70C-6FBA30D7F281}"/>
    <cellStyle name="Normal 2 2 4 44 2 2" xfId="10287" xr:uid="{DF763D45-ABC7-4CD8-A9AB-71E065983914}"/>
    <cellStyle name="Normal 2 2 4 44 3" xfId="1438" xr:uid="{007E37F1-60D1-4BAF-ADB9-98277530E11A}"/>
    <cellStyle name="Normal 2 2 4 44 3 2" xfId="10288" xr:uid="{2FB851E7-197C-43B1-8D9B-6BE63D962AF2}"/>
    <cellStyle name="Normal 2 2 4 44 4" xfId="10286" xr:uid="{EBDB7806-0F58-45C4-AF64-D9C91AF356ED}"/>
    <cellStyle name="Normal 2 2 4 45" xfId="1439" xr:uid="{B9472DC4-B5EC-4286-89A6-A2F850E1A411}"/>
    <cellStyle name="Normal 2 2 4 45 2" xfId="10289" xr:uid="{2DDF23F8-0A06-4194-959E-58535FE8C7DF}"/>
    <cellStyle name="Normal 2 2 4 46" xfId="1440" xr:uid="{07E8EFA1-67DF-4B65-B66B-B68A9EF4D0B0}"/>
    <cellStyle name="Normal 2 2 4 46 2" xfId="10290" xr:uid="{C1B62A4B-3947-4214-B9D3-33440256DAFB}"/>
    <cellStyle name="Normal 2 2 4 47" xfId="1441" xr:uid="{3D19F346-B85B-4389-BA27-FB07914BF21B}"/>
    <cellStyle name="Normal 2 2 4 48" xfId="1442" xr:uid="{0549E97B-B6FE-45C8-B684-71402C0A22FF}"/>
    <cellStyle name="Normal 2 2 4 48 2" xfId="10291" xr:uid="{3130AF5D-31EA-45E8-926A-01C7B566A5C4}"/>
    <cellStyle name="Normal 2 2 4 49" xfId="1443" xr:uid="{DDC6A539-3F2F-4E44-8E78-874E90D1D6F0}"/>
    <cellStyle name="Normal 2 2 4 5" xfId="1444" xr:uid="{2982927D-346C-43A5-A8E4-317A12D5AE16}"/>
    <cellStyle name="Normal 2 2 4 5 2" xfId="1445" xr:uid="{0216AAD1-C19B-4DE4-9977-E50CB1D6BF9D}"/>
    <cellStyle name="Normal 2 2 4 5 2 2" xfId="1446" xr:uid="{8C58066E-6CAC-4B17-8CE5-D714621F38F9}"/>
    <cellStyle name="Normal 2 2 4 5 2 2 2" xfId="10294" xr:uid="{629170F6-65D6-4DE7-8E1B-2B7F5F5D7E15}"/>
    <cellStyle name="Normal 2 2 4 5 2 3" xfId="1447" xr:uid="{A5357CEE-B0F0-4933-81CA-CD95467BEF93}"/>
    <cellStyle name="Normal 2 2 4 5 2 3 2" xfId="10295" xr:uid="{F7B636FF-719E-4E6D-B0E8-E9337DCA6F09}"/>
    <cellStyle name="Normal 2 2 4 5 2 4" xfId="10293" xr:uid="{F50A4966-9FD2-4309-B0AE-94FCC7425F36}"/>
    <cellStyle name="Normal 2 2 4 5 3" xfId="1448" xr:uid="{B4FFE302-1014-473D-8B8D-85198ADA5D5D}"/>
    <cellStyle name="Normal 2 2 4 5 3 2" xfId="10296" xr:uid="{52AD240D-912B-4487-A3BE-A0EE827A2D39}"/>
    <cellStyle name="Normal 2 2 4 5 4" xfId="1449" xr:uid="{D7F855BA-ECE8-44C6-AAE4-A9B8F43D40C8}"/>
    <cellStyle name="Normal 2 2 4 5 4 2" xfId="10297" xr:uid="{2A20042E-4C63-4E2D-ACB0-0EF8CCA03647}"/>
    <cellStyle name="Normal 2 2 4 5 5" xfId="10292" xr:uid="{2BAB0A80-F28B-4C92-8419-4D9D8D511DC4}"/>
    <cellStyle name="Normal 2 2 4 50" xfId="10063" xr:uid="{79175ADB-D4B1-453A-B134-0064C23CE752}"/>
    <cellStyle name="Normal 2 2 4 6" xfId="1450" xr:uid="{0D2663B1-A0B1-489F-A603-98F18B6E6982}"/>
    <cellStyle name="Normal 2 2 4 6 2" xfId="1451" xr:uid="{71602E1A-2B37-4B41-BC9D-3A0566ADA060}"/>
    <cellStyle name="Normal 2 2 4 6 2 2" xfId="1452" xr:uid="{F9E38B11-0B72-4757-B687-A53BAC156FFE}"/>
    <cellStyle name="Normal 2 2 4 6 2 2 2" xfId="10300" xr:uid="{70ABBA0C-A5FA-47E5-A7B3-7FD8490AE3B0}"/>
    <cellStyle name="Normal 2 2 4 6 2 3" xfId="1453" xr:uid="{B61D3E21-813F-42FB-8755-1547C57EF50E}"/>
    <cellStyle name="Normal 2 2 4 6 2 3 2" xfId="10301" xr:uid="{AAB97085-5698-419C-BED9-108841A59CA8}"/>
    <cellStyle name="Normal 2 2 4 6 2 4" xfId="10299" xr:uid="{23B58886-72F6-439A-A3B2-C7B45A0AC313}"/>
    <cellStyle name="Normal 2 2 4 6 3" xfId="1454" xr:uid="{E724E3C5-E366-46ED-9F5B-3AA5D07430A2}"/>
    <cellStyle name="Normal 2 2 4 6 3 2" xfId="10302" xr:uid="{9C86615F-0D19-4709-AD77-FFA4F43ECD6B}"/>
    <cellStyle name="Normal 2 2 4 6 4" xfId="1455" xr:uid="{FB91B7DC-6FCC-43C5-97E7-E5A0EC50A113}"/>
    <cellStyle name="Normal 2 2 4 6 4 2" xfId="10303" xr:uid="{B1BAA04A-61E3-47BD-9965-BA598919B9CE}"/>
    <cellStyle name="Normal 2 2 4 6 5" xfId="10298" xr:uid="{53BFE7BD-DFFF-478A-B53B-DAB626B6C8BB}"/>
    <cellStyle name="Normal 2 2 4 7" xfId="1456" xr:uid="{EECD5566-4F4F-4569-8A5F-2DCBC2237218}"/>
    <cellStyle name="Normal 2 2 4 7 2" xfId="1457" xr:uid="{9505A79C-4F89-4819-9694-CCCDD9282DD4}"/>
    <cellStyle name="Normal 2 2 4 7 2 2" xfId="1458" xr:uid="{F2CB0DF1-8582-4208-8843-F6041EA21AA2}"/>
    <cellStyle name="Normal 2 2 4 7 2 2 2" xfId="10306" xr:uid="{02C10656-2216-4CB1-A75A-6885A52CCCC5}"/>
    <cellStyle name="Normal 2 2 4 7 2 3" xfId="1459" xr:uid="{338FCD0D-0F0D-406D-98EE-9AFE42A22226}"/>
    <cellStyle name="Normal 2 2 4 7 2 3 2" xfId="10307" xr:uid="{0AA75EF8-B72D-47D1-BB20-D23D162EB96E}"/>
    <cellStyle name="Normal 2 2 4 7 2 4" xfId="10305" xr:uid="{6E5970B2-D01B-411C-82FB-25FFD9245036}"/>
    <cellStyle name="Normal 2 2 4 7 3" xfId="1460" xr:uid="{163D1056-5D75-466B-98BF-295A13E677F8}"/>
    <cellStyle name="Normal 2 2 4 7 3 2" xfId="10308" xr:uid="{034A7953-77D7-4397-A82A-594B64FC767F}"/>
    <cellStyle name="Normal 2 2 4 7 4" xfId="1461" xr:uid="{F40FCAE4-6BC8-4C24-9CFE-4DA4BDA43C11}"/>
    <cellStyle name="Normal 2 2 4 7 4 2" xfId="10309" xr:uid="{5D6B3D13-9F98-4A34-A82E-9CBF5F3F5074}"/>
    <cellStyle name="Normal 2 2 4 7 5" xfId="10304" xr:uid="{3712BA1B-0BF7-4284-B015-2F3DC4513B42}"/>
    <cellStyle name="Normal 2 2 4 8" xfId="1462" xr:uid="{5ECB58D6-FAD0-4AE2-9E4D-77AB590EC6BA}"/>
    <cellStyle name="Normal 2 2 4 8 2" xfId="1463" xr:uid="{CD1B405F-21DD-47F0-A1E2-BD7FF7521935}"/>
    <cellStyle name="Normal 2 2 4 8 2 2" xfId="1464" xr:uid="{999351D0-A0B1-4B70-9358-5CFD029E1EC9}"/>
    <cellStyle name="Normal 2 2 4 8 2 2 2" xfId="10312" xr:uid="{EA3FE0B1-DFF8-4DF0-9A85-1A9A9198A6F4}"/>
    <cellStyle name="Normal 2 2 4 8 2 3" xfId="1465" xr:uid="{C1779FFC-B1C1-4122-B651-1DCA73188309}"/>
    <cellStyle name="Normal 2 2 4 8 2 3 2" xfId="10313" xr:uid="{09DC37DE-C056-4005-B7BB-0D90F0A2535A}"/>
    <cellStyle name="Normal 2 2 4 8 2 4" xfId="10311" xr:uid="{6661ABF2-689A-422D-A370-DC7ADF5614A6}"/>
    <cellStyle name="Normal 2 2 4 8 3" xfId="1466" xr:uid="{6C914CA3-0A97-4BBC-87AE-1186D5B8DC92}"/>
    <cellStyle name="Normal 2 2 4 8 3 2" xfId="10314" xr:uid="{AF0B8917-37C6-4D4F-9832-CA89113C30D7}"/>
    <cellStyle name="Normal 2 2 4 8 4" xfId="1467" xr:uid="{04F25752-2866-454F-AB7F-26BE1EC36451}"/>
    <cellStyle name="Normal 2 2 4 8 4 2" xfId="10315" xr:uid="{66D57D55-85F2-4733-9FC8-24F1E3FD3576}"/>
    <cellStyle name="Normal 2 2 4 8 5" xfId="10310" xr:uid="{B3954B68-FFF1-429B-8563-A6D1235FBC11}"/>
    <cellStyle name="Normal 2 2 4 9" xfId="1468" xr:uid="{59BE299F-7651-45D2-8CA3-6E3AEEF85D8E}"/>
    <cellStyle name="Normal 2 2 4 9 2" xfId="1469" xr:uid="{744CAE39-E1E6-4353-B091-6AE0F6BF299D}"/>
    <cellStyle name="Normal 2 2 4 9 2 2" xfId="1470" xr:uid="{544B4832-7D3F-41BA-974A-8869010A2A93}"/>
    <cellStyle name="Normal 2 2 4 9 2 2 2" xfId="10318" xr:uid="{12BA56CC-A180-48A3-92D7-BCBFF5A25C5C}"/>
    <cellStyle name="Normal 2 2 4 9 2 3" xfId="1471" xr:uid="{F1AFCDDA-4738-43F8-91BC-7BE9FDA5FC29}"/>
    <cellStyle name="Normal 2 2 4 9 2 3 2" xfId="10319" xr:uid="{1B0959CA-2699-4BCA-B9AB-D6E12B672675}"/>
    <cellStyle name="Normal 2 2 4 9 2 4" xfId="10317" xr:uid="{1B3F5B46-8D0C-4581-936B-15B417D47E22}"/>
    <cellStyle name="Normal 2 2 4 9 3" xfId="1472" xr:uid="{F715D816-5360-4151-9AEF-485EE163140A}"/>
    <cellStyle name="Normal 2 2 4 9 3 2" xfId="10320" xr:uid="{3ACF6F98-263C-414A-9436-5F6323A18672}"/>
    <cellStyle name="Normal 2 2 4 9 4" xfId="1473" xr:uid="{6B1F17F5-B302-4B82-A445-9E5270A56AE5}"/>
    <cellStyle name="Normal 2 2 4 9 4 2" xfId="10321" xr:uid="{EE91BE02-F4B5-43EA-AA3D-8199C2FCD161}"/>
    <cellStyle name="Normal 2 2 4 9 5" xfId="10316" xr:uid="{CC2BB798-1144-4BCC-A3FC-2C964F275F4B}"/>
    <cellStyle name="Normal 2 2 40" xfId="1474" xr:uid="{70FCBF36-286C-4748-95E8-A50CAF4F8F71}"/>
    <cellStyle name="Normal 2 2 40 2" xfId="1475" xr:uid="{99CB288D-F924-493D-9FCE-133BB9EDB37D}"/>
    <cellStyle name="Normal 2 2 40 2 2" xfId="1476" xr:uid="{2814C17E-D527-479F-AD98-87A043768294}"/>
    <cellStyle name="Normal 2 2 40 2 2 2" xfId="10324" xr:uid="{13097654-97F2-47BD-BA17-8C4D21D52905}"/>
    <cellStyle name="Normal 2 2 40 2 3" xfId="1477" xr:uid="{918229D5-6FB7-4395-A77A-15335CA4B1A4}"/>
    <cellStyle name="Normal 2 2 40 2 3 2" xfId="10325" xr:uid="{BBC2045C-DB91-44AC-930C-347D7CB2C07E}"/>
    <cellStyle name="Normal 2 2 40 2 4" xfId="10323" xr:uid="{0599D53E-5E12-4518-993C-BF502C57AABA}"/>
    <cellStyle name="Normal 2 2 40 3" xfId="1478" xr:uid="{AE2CDDA7-1DAD-4F05-8101-0A1BDE530C08}"/>
    <cellStyle name="Normal 2 2 40 3 2" xfId="10326" xr:uid="{5905285C-BF7F-4A23-B2B5-A890DB802C0E}"/>
    <cellStyle name="Normal 2 2 40 4" xfId="1479" xr:uid="{36F108A5-4DFE-4001-A462-509870B4BC40}"/>
    <cellStyle name="Normal 2 2 40 4 2" xfId="10327" xr:uid="{6E8B81D7-6AC4-4764-87EA-DA193448107D}"/>
    <cellStyle name="Normal 2 2 40 5" xfId="10322" xr:uid="{D31EF0CF-C2BB-4D37-A97E-AA6E0993EFD4}"/>
    <cellStyle name="Normal 2 2 41" xfId="1480" xr:uid="{95451493-E944-4FB4-9344-69CB132DFA77}"/>
    <cellStyle name="Normal 2 2 41 2" xfId="1481" xr:uid="{E6EB31D8-5546-4E13-9F4F-4960FFBE0B14}"/>
    <cellStyle name="Normal 2 2 41 2 2" xfId="1482" xr:uid="{F7AE1C26-BEB8-44AF-A285-932C8130CB92}"/>
    <cellStyle name="Normal 2 2 41 2 2 2" xfId="10330" xr:uid="{EB565430-9293-4FB8-9080-14E507A5B770}"/>
    <cellStyle name="Normal 2 2 41 2 3" xfId="1483" xr:uid="{EB5E0C30-D472-476C-86F4-D87963F43340}"/>
    <cellStyle name="Normal 2 2 41 2 3 2" xfId="10331" xr:uid="{F561441E-C364-41BA-B6C8-AC112B6DE17C}"/>
    <cellStyle name="Normal 2 2 41 2 4" xfId="10329" xr:uid="{C69D176F-A7F0-45AB-8A12-3C0037688AF6}"/>
    <cellStyle name="Normal 2 2 41 3" xfId="1484" xr:uid="{18B8BE96-D116-489F-A75C-54A27DBD3C73}"/>
    <cellStyle name="Normal 2 2 41 3 2" xfId="10332" xr:uid="{DDBC4BBB-DE46-445E-B721-C68564F7FDA8}"/>
    <cellStyle name="Normal 2 2 41 4" xfId="1485" xr:uid="{63A04ED5-15F2-42C6-A3AC-5DE99D298D31}"/>
    <cellStyle name="Normal 2 2 41 4 2" xfId="10333" xr:uid="{AB07C542-6412-46B1-B7E7-4300910696F9}"/>
    <cellStyle name="Normal 2 2 41 5" xfId="10328" xr:uid="{E1B78B1B-5580-4EDD-8BEC-B08DD723DDDF}"/>
    <cellStyle name="Normal 2 2 42" xfId="1486" xr:uid="{6CF993AF-F230-466A-B50A-216CB360A4B5}"/>
    <cellStyle name="Normal 2 2 42 2" xfId="1487" xr:uid="{613C83B5-9B97-4BB2-B288-32C07F781218}"/>
    <cellStyle name="Normal 2 2 42 2 2" xfId="1488" xr:uid="{343B1FA9-015E-4E09-BA74-1EE3F1E8C571}"/>
    <cellStyle name="Normal 2 2 42 2 2 2" xfId="10336" xr:uid="{DBF2D221-E5B7-4D42-94D0-A893119F9DB4}"/>
    <cellStyle name="Normal 2 2 42 2 3" xfId="1489" xr:uid="{CCB02925-D46B-42DF-A97A-208263A5649F}"/>
    <cellStyle name="Normal 2 2 42 2 3 2" xfId="10337" xr:uid="{6C5138EE-99CC-46A6-9036-3D61C0291D8C}"/>
    <cellStyle name="Normal 2 2 42 2 4" xfId="10335" xr:uid="{C1FDA0BA-F27D-41B6-BB50-B5AFC838DC85}"/>
    <cellStyle name="Normal 2 2 42 3" xfId="1490" xr:uid="{7DB6C0C9-7E6C-477C-8220-304B12BFCC16}"/>
    <cellStyle name="Normal 2 2 42 3 2" xfId="10338" xr:uid="{C1943AFF-2D11-4759-A047-CF6F80B73780}"/>
    <cellStyle name="Normal 2 2 42 4" xfId="1491" xr:uid="{9F2AF95A-0952-4BF5-8E05-8BECE0415C6E}"/>
    <cellStyle name="Normal 2 2 42 4 2" xfId="10339" xr:uid="{21BFBEAD-8D9E-490C-9A8E-E51785E02499}"/>
    <cellStyle name="Normal 2 2 42 5" xfId="10334" xr:uid="{951CE11E-68B2-40CC-B235-77DFED7B5CDE}"/>
    <cellStyle name="Normal 2 2 43" xfId="1492" xr:uid="{A01E438F-54C1-460F-A470-147976F7046C}"/>
    <cellStyle name="Normal 2 2 43 2" xfId="1493" xr:uid="{4EE0C37B-D157-46D4-B7F2-7F7F5F99AF30}"/>
    <cellStyle name="Normal 2 2 43 2 2" xfId="1494" xr:uid="{F227622B-FD57-4564-8DEC-E81A91244A3B}"/>
    <cellStyle name="Normal 2 2 43 2 2 2" xfId="10342" xr:uid="{59099E35-9380-4DAA-B029-AC2FE88AD128}"/>
    <cellStyle name="Normal 2 2 43 2 3" xfId="1495" xr:uid="{CCA2B432-47B1-4E2E-8E7F-A0BD3CCD1151}"/>
    <cellStyle name="Normal 2 2 43 2 3 2" xfId="10343" xr:uid="{B156F964-BB46-4E36-9A84-6657C4AC61A6}"/>
    <cellStyle name="Normal 2 2 43 2 4" xfId="10341" xr:uid="{15562A2C-4513-4BE6-AC6D-D2CE3C4433A5}"/>
    <cellStyle name="Normal 2 2 43 3" xfId="1496" xr:uid="{FA72EEEA-6A4C-4F0F-A665-3699B8A355B6}"/>
    <cellStyle name="Normal 2 2 43 3 2" xfId="10344" xr:uid="{CED25C00-7778-4829-9925-6EC311DB5128}"/>
    <cellStyle name="Normal 2 2 43 4" xfId="1497" xr:uid="{B872BA02-B4A2-4DFC-9E6F-D48728B17736}"/>
    <cellStyle name="Normal 2 2 43 4 2" xfId="10345" xr:uid="{2F19D926-1019-499B-9C97-7489A17B7E24}"/>
    <cellStyle name="Normal 2 2 43 5" xfId="10340" xr:uid="{EA706A10-27E7-45E3-B355-40DF7EA2D5FD}"/>
    <cellStyle name="Normal 2 2 44" xfId="1498" xr:uid="{A0ECE95D-A820-49A1-B528-7FB266C432B6}"/>
    <cellStyle name="Normal 2 2 44 2" xfId="1499" xr:uid="{3D6C51D0-D0D1-4059-A2C6-846BB67F06BE}"/>
    <cellStyle name="Normal 2 2 44 2 2" xfId="1500" xr:uid="{6FADE721-1040-470B-8619-8BCD240F3C8B}"/>
    <cellStyle name="Normal 2 2 44 2 2 2" xfId="10348" xr:uid="{082DDF40-8B22-409F-858A-CA6A12DBA67A}"/>
    <cellStyle name="Normal 2 2 44 2 3" xfId="1501" xr:uid="{13DAFC88-A721-453F-A2AA-B2BE00827532}"/>
    <cellStyle name="Normal 2 2 44 2 3 2" xfId="10349" xr:uid="{DE1B8484-02AE-4004-BB7E-B183D1CFABE9}"/>
    <cellStyle name="Normal 2 2 44 2 4" xfId="10347" xr:uid="{D62CEA83-A8BA-45E7-8799-D072C6F80A98}"/>
    <cellStyle name="Normal 2 2 44 3" xfId="1502" xr:uid="{58E1063F-7A91-4B38-868C-04330516F180}"/>
    <cellStyle name="Normal 2 2 44 3 2" xfId="10350" xr:uid="{410D8BBE-6331-4B92-BCF5-E412582C6130}"/>
    <cellStyle name="Normal 2 2 44 4" xfId="1503" xr:uid="{A86B4836-81F0-46BD-ACD7-528C017924A8}"/>
    <cellStyle name="Normal 2 2 44 4 2" xfId="10351" xr:uid="{B4BD263F-C70F-4BDA-B184-137F97880F02}"/>
    <cellStyle name="Normal 2 2 44 5" xfId="10346" xr:uid="{E7EA046F-68C9-4260-AD1B-55F840305DF0}"/>
    <cellStyle name="Normal 2 2 45" xfId="1504" xr:uid="{E467A042-3E8B-4E4D-9021-2B6093074630}"/>
    <cellStyle name="Normal 2 2 45 2" xfId="1505" xr:uid="{13500E1C-2FE1-460D-9E9F-4CAAFD4C5C62}"/>
    <cellStyle name="Normal 2 2 45 2 2" xfId="1506" xr:uid="{49055931-FACC-46DC-AC38-AA4EA722A037}"/>
    <cellStyle name="Normal 2 2 45 2 2 2" xfId="10354" xr:uid="{BC3A1B75-57E6-467B-AECB-EC451061FB6D}"/>
    <cellStyle name="Normal 2 2 45 2 3" xfId="1507" xr:uid="{62B224E3-181A-4DDE-95A5-9F575F43F9D7}"/>
    <cellStyle name="Normal 2 2 45 2 3 2" xfId="10355" xr:uid="{3B00C272-13E0-4476-A43D-42212D9599FF}"/>
    <cellStyle name="Normal 2 2 45 2 4" xfId="10353" xr:uid="{2B5ADC0A-D8FF-4B02-9ED0-049E58EA2473}"/>
    <cellStyle name="Normal 2 2 45 3" xfId="1508" xr:uid="{A7DFDDA4-FEB2-4CC7-9BC8-63DB941C81B9}"/>
    <cellStyle name="Normal 2 2 45 3 2" xfId="10356" xr:uid="{6A9DAAAA-EAEE-4089-9124-933CF839A57E}"/>
    <cellStyle name="Normal 2 2 45 4" xfId="1509" xr:uid="{1C29D4BE-1D2D-4DE4-A1A7-990B10BEA6AD}"/>
    <cellStyle name="Normal 2 2 45 4 2" xfId="10357" xr:uid="{A5F5E80E-431A-4C6A-AFED-D745D2ECF4F8}"/>
    <cellStyle name="Normal 2 2 45 5" xfId="10352" xr:uid="{30D880DA-419C-4D31-A25E-92A4C921A26C}"/>
    <cellStyle name="Normal 2 2 46" xfId="1510" xr:uid="{89FE012B-7EBA-443A-B6D4-8A07710981D5}"/>
    <cellStyle name="Normal 2 2 46 2" xfId="1511" xr:uid="{4C894C14-2507-4513-A4AD-88031AAF7328}"/>
    <cellStyle name="Normal 2 2 46 2 2" xfId="1512" xr:uid="{D3110348-D963-4DEF-A435-19EAC3EF212C}"/>
    <cellStyle name="Normal 2 2 46 2 2 2" xfId="10360" xr:uid="{5026C575-0555-46AF-B7C0-24C2FC63A89D}"/>
    <cellStyle name="Normal 2 2 46 2 3" xfId="1513" xr:uid="{52864BA0-5D37-48E6-8D40-E8AD20D51CDD}"/>
    <cellStyle name="Normal 2 2 46 2 3 2" xfId="10361" xr:uid="{9D6AE170-9177-4C0F-8227-B074B852F9A7}"/>
    <cellStyle name="Normal 2 2 46 2 4" xfId="10359" xr:uid="{2D745892-CC81-48D5-B462-CAD963FA75B8}"/>
    <cellStyle name="Normal 2 2 46 3" xfId="1514" xr:uid="{8092D4E7-CAC7-481B-8F5B-9A4CCEC7E812}"/>
    <cellStyle name="Normal 2 2 46 3 2" xfId="10362" xr:uid="{75BE4926-E695-40E3-8503-62C990ACE7C5}"/>
    <cellStyle name="Normal 2 2 46 4" xfId="1515" xr:uid="{57661F64-0AB6-40B1-8619-9F588D105689}"/>
    <cellStyle name="Normal 2 2 46 4 2" xfId="10363" xr:uid="{4055B539-E5C6-4D46-8D87-6E64D74C95ED}"/>
    <cellStyle name="Normal 2 2 46 5" xfId="10358" xr:uid="{4115BDCB-E3A4-4B49-8F85-C4FF210F5EBC}"/>
    <cellStyle name="Normal 2 2 47" xfId="1516" xr:uid="{E787F594-B4B9-4966-80A7-869D4C235348}"/>
    <cellStyle name="Normal 2 2 47 2" xfId="1517" xr:uid="{00E249DD-C8A3-4C5C-A53D-BDF8BB3332FB}"/>
    <cellStyle name="Normal 2 2 47 2 2" xfId="1518" xr:uid="{2346A0A7-C099-4877-925D-29271627FCA8}"/>
    <cellStyle name="Normal 2 2 47 2 2 2" xfId="10366" xr:uid="{D21BDB32-DE2B-4A01-80A4-B9D9891FC63D}"/>
    <cellStyle name="Normal 2 2 47 2 3" xfId="1519" xr:uid="{A8F07CC5-7635-4B13-9CDD-3053BF2E2CCB}"/>
    <cellStyle name="Normal 2 2 47 2 3 2" xfId="10367" xr:uid="{D0B81257-ADEA-4FDA-9903-83B61CD71DEA}"/>
    <cellStyle name="Normal 2 2 47 2 4" xfId="10365" xr:uid="{5916268C-6947-4CCC-A900-D26197AEECBF}"/>
    <cellStyle name="Normal 2 2 47 3" xfId="1520" xr:uid="{5E324C1F-9F80-4597-8E0F-6D1E97EA7352}"/>
    <cellStyle name="Normal 2 2 47 3 2" xfId="10368" xr:uid="{D580F900-C28A-4CD1-8FC9-4BF4E9E99F51}"/>
    <cellStyle name="Normal 2 2 47 4" xfId="1521" xr:uid="{D1A77A11-740D-437D-9D62-89D43D60A2E8}"/>
    <cellStyle name="Normal 2 2 47 4 2" xfId="10369" xr:uid="{D6EFD0C5-6FF0-4A61-BBE8-5435AF84A834}"/>
    <cellStyle name="Normal 2 2 47 5" xfId="10364" xr:uid="{C769C73B-1BD2-4384-BBE7-3665B966DD0B}"/>
    <cellStyle name="Normal 2 2 48" xfId="1522" xr:uid="{C3D709CE-0D0A-49AD-8857-665FB019BD55}"/>
    <cellStyle name="Normal 2 2 48 2" xfId="1523" xr:uid="{D3B8C783-7874-4574-AC62-2CB1B5BCC878}"/>
    <cellStyle name="Normal 2 2 48 2 2" xfId="1524" xr:uid="{E530E3EC-EA00-472E-8D79-46AB79604786}"/>
    <cellStyle name="Normal 2 2 48 2 2 2" xfId="10372" xr:uid="{20C30FE0-977E-487D-976B-728E8FBC3091}"/>
    <cellStyle name="Normal 2 2 48 2 3" xfId="1525" xr:uid="{AC167CE0-A810-460D-B724-7B1180675C28}"/>
    <cellStyle name="Normal 2 2 48 2 3 2" xfId="10373" xr:uid="{50FE642C-6023-4228-85A8-2106C72AECCB}"/>
    <cellStyle name="Normal 2 2 48 2 4" xfId="10371" xr:uid="{15C0577F-310C-4F21-95A7-E765AD213EFE}"/>
    <cellStyle name="Normal 2 2 48 3" xfId="1526" xr:uid="{2EA30E62-2B4C-4E2F-A5BE-F3085FC67240}"/>
    <cellStyle name="Normal 2 2 48 3 2" xfId="10374" xr:uid="{2CBA91E7-60C9-438D-BEF5-6E6A594B33BA}"/>
    <cellStyle name="Normal 2 2 48 4" xfId="1527" xr:uid="{B2790A1C-42E6-4561-AF9E-122A4307F76C}"/>
    <cellStyle name="Normal 2 2 48 4 2" xfId="10375" xr:uid="{17BC3805-3C7D-44D2-965A-F3077DFB6842}"/>
    <cellStyle name="Normal 2 2 48 5" xfId="10370" xr:uid="{6C3825D3-65BF-493B-B222-5B035A15F669}"/>
    <cellStyle name="Normal 2 2 49" xfId="1528" xr:uid="{DC225E65-1418-4729-9866-33623EB45446}"/>
    <cellStyle name="Normal 2 2 49 2" xfId="1529" xr:uid="{B67EEE43-BA11-40C0-BA55-D395E5194BC9}"/>
    <cellStyle name="Normal 2 2 49 2 2" xfId="1530" xr:uid="{F4401BAF-59ED-4AA3-967D-334864177081}"/>
    <cellStyle name="Normal 2 2 49 2 2 2" xfId="10378" xr:uid="{70EA72F6-053E-4A6B-84F8-7EBF102603C1}"/>
    <cellStyle name="Normal 2 2 49 2 3" xfId="1531" xr:uid="{44D9C633-1DB5-4BD7-858C-BBA4DF64089F}"/>
    <cellStyle name="Normal 2 2 49 2 3 2" xfId="10379" xr:uid="{8C591DAE-2CE1-4B0A-9F63-B425BD6EEDCC}"/>
    <cellStyle name="Normal 2 2 49 2 4" xfId="10377" xr:uid="{2D228F34-0281-4C63-B781-7E2FE4A59BA9}"/>
    <cellStyle name="Normal 2 2 49 3" xfId="1532" xr:uid="{4D7355CA-040C-4866-9540-1243BC9738FA}"/>
    <cellStyle name="Normal 2 2 49 3 2" xfId="10380" xr:uid="{9D805310-A25E-4020-BBBA-321697E83E90}"/>
    <cellStyle name="Normal 2 2 49 4" xfId="1533" xr:uid="{1D70BB8B-D372-420F-A0EF-8531DB2D2703}"/>
    <cellStyle name="Normal 2 2 49 4 2" xfId="10381" xr:uid="{89DFD1B2-87A8-47D7-83AA-BF00843F74FC}"/>
    <cellStyle name="Normal 2 2 49 5" xfId="10376" xr:uid="{ECA71CA7-E94B-454C-ACBF-3A5C99545BDD}"/>
    <cellStyle name="Normal 2 2 5" xfId="1534" xr:uid="{4BB106B6-D4CE-4394-B293-A1D1531BAF27}"/>
    <cellStyle name="Normal 2 2 5 10" xfId="1535" xr:uid="{3BBD3C56-118A-4EA2-861D-01DF7AFC46AB}"/>
    <cellStyle name="Normal 2 2 5 10 2" xfId="1536" xr:uid="{BAE1A4EA-36C6-4CD0-9833-8CA265FEAD00}"/>
    <cellStyle name="Normal 2 2 5 10 2 2" xfId="1537" xr:uid="{66379A58-C9AA-4FD5-BC1B-ABAC4B07EB87}"/>
    <cellStyle name="Normal 2 2 5 10 2 2 2" xfId="10385" xr:uid="{8614F4AA-51D5-4E5B-ACE0-CE4FD22A974C}"/>
    <cellStyle name="Normal 2 2 5 10 2 3" xfId="1538" xr:uid="{7850085B-2188-438A-8734-BD512901EAF6}"/>
    <cellStyle name="Normal 2 2 5 10 2 3 2" xfId="10386" xr:uid="{CC20B941-676C-4851-BF06-7E1B23EBC78A}"/>
    <cellStyle name="Normal 2 2 5 10 2 4" xfId="10384" xr:uid="{821527D9-A7B2-482E-AF87-AFA8007455C1}"/>
    <cellStyle name="Normal 2 2 5 10 3" xfId="1539" xr:uid="{2CC88DBD-A111-4880-A3A8-3BC288667C55}"/>
    <cellStyle name="Normal 2 2 5 10 3 2" xfId="10387" xr:uid="{E7EEB3EF-E386-42BD-9DCC-CE349FBF6A42}"/>
    <cellStyle name="Normal 2 2 5 10 4" xfId="1540" xr:uid="{31F005AC-AD7E-4F9E-9451-948B79518B38}"/>
    <cellStyle name="Normal 2 2 5 10 4 2" xfId="10388" xr:uid="{22C2B1E7-EB56-4E7E-9D12-81B9B63A522F}"/>
    <cellStyle name="Normal 2 2 5 10 5" xfId="10383" xr:uid="{F2C6142B-20FA-4630-AFA6-B3D2221EE39A}"/>
    <cellStyle name="Normal 2 2 5 11" xfId="1541" xr:uid="{AA71ABBE-BD55-4756-88A6-E7FF2F08B9E3}"/>
    <cellStyle name="Normal 2 2 5 11 2" xfId="1542" xr:uid="{0E2EEF8E-27DC-41DB-9A45-A402FB9371BD}"/>
    <cellStyle name="Normal 2 2 5 11 2 2" xfId="1543" xr:uid="{7D096F0A-5BB8-4B69-9082-B332392316F4}"/>
    <cellStyle name="Normal 2 2 5 11 2 2 2" xfId="10391" xr:uid="{814C89DD-8596-4A07-B84C-DD114686A67E}"/>
    <cellStyle name="Normal 2 2 5 11 2 3" xfId="1544" xr:uid="{97ADE20A-76ED-4E89-A6EA-CAB0AB3394B2}"/>
    <cellStyle name="Normal 2 2 5 11 2 3 2" xfId="10392" xr:uid="{676295A0-96FC-4DF0-87D9-C2F8E21B4403}"/>
    <cellStyle name="Normal 2 2 5 11 2 4" xfId="10390" xr:uid="{ABF630D2-42F3-42C5-B801-43B363B91A72}"/>
    <cellStyle name="Normal 2 2 5 11 3" xfId="1545" xr:uid="{7DB5B337-FE06-4CE9-B5CC-4689B63A5442}"/>
    <cellStyle name="Normal 2 2 5 11 3 2" xfId="10393" xr:uid="{54041322-F591-4AFA-9939-F0A445D9228B}"/>
    <cellStyle name="Normal 2 2 5 11 4" xfId="1546" xr:uid="{8770CEB5-A02C-4D39-A0FE-334DDA420F04}"/>
    <cellStyle name="Normal 2 2 5 11 4 2" xfId="10394" xr:uid="{9C891B1C-C913-43C3-877A-628E53F7DA4A}"/>
    <cellStyle name="Normal 2 2 5 11 5" xfId="10389" xr:uid="{236C2DDE-3578-43D3-B92D-CE3188DC1CF6}"/>
    <cellStyle name="Normal 2 2 5 12" xfId="1547" xr:uid="{A159EFA5-9FDC-44D9-BCD9-4D7E5A6495E5}"/>
    <cellStyle name="Normal 2 2 5 12 2" xfId="1548" xr:uid="{F3C1543E-34F4-4CDC-B9A5-04AC4F9DD0C1}"/>
    <cellStyle name="Normal 2 2 5 12 2 2" xfId="1549" xr:uid="{F4C8AFEE-EE3F-45AE-B7EB-37CDD9FFAFBF}"/>
    <cellStyle name="Normal 2 2 5 12 2 2 2" xfId="10397" xr:uid="{5B1AE32E-2B6D-4B82-B93C-3D933E36EFEC}"/>
    <cellStyle name="Normal 2 2 5 12 2 3" xfId="1550" xr:uid="{6558B55D-AF9C-4535-97DA-4E6F36479710}"/>
    <cellStyle name="Normal 2 2 5 12 2 3 2" xfId="10398" xr:uid="{583D52CD-7C11-4118-AFAD-AC89D0E6950B}"/>
    <cellStyle name="Normal 2 2 5 12 2 4" xfId="10396" xr:uid="{C8AD1A47-CFEF-4FA0-8124-608D832E3E49}"/>
    <cellStyle name="Normal 2 2 5 12 3" xfId="1551" xr:uid="{F516DEBF-27EC-4976-A9C7-AD1797509B8F}"/>
    <cellStyle name="Normal 2 2 5 12 3 2" xfId="10399" xr:uid="{48B82219-E7EC-4BCA-BCC6-B7309B1002A0}"/>
    <cellStyle name="Normal 2 2 5 12 4" xfId="1552" xr:uid="{F2AE6515-4FE3-4B14-BB76-9AD0C66A596D}"/>
    <cellStyle name="Normal 2 2 5 12 4 2" xfId="10400" xr:uid="{ACEADC21-6420-4256-95A0-7A29C4548890}"/>
    <cellStyle name="Normal 2 2 5 12 5" xfId="10395" xr:uid="{ED54DFC9-C5BF-48E4-93FA-83DBC1560DDE}"/>
    <cellStyle name="Normal 2 2 5 13" xfId="1553" xr:uid="{5DE206EE-DFCD-4A22-95F8-6A414FFD3D53}"/>
    <cellStyle name="Normal 2 2 5 13 2" xfId="1554" xr:uid="{99DAFB4E-1196-442C-B01D-F7796044E355}"/>
    <cellStyle name="Normal 2 2 5 13 2 2" xfId="1555" xr:uid="{CFE8E113-868E-438B-BFC5-BB82B9B42BDE}"/>
    <cellStyle name="Normal 2 2 5 13 2 2 2" xfId="10403" xr:uid="{30C6BF9A-CAAA-425C-B358-F5D4AE2695C2}"/>
    <cellStyle name="Normal 2 2 5 13 2 3" xfId="1556" xr:uid="{DDECBEB6-97CC-4091-A722-314B774DC66F}"/>
    <cellStyle name="Normal 2 2 5 13 2 3 2" xfId="10404" xr:uid="{743EE26F-6668-4B61-92CA-14CCA093076C}"/>
    <cellStyle name="Normal 2 2 5 13 2 4" xfId="10402" xr:uid="{4B9A8335-A660-4EDA-BABB-56FBB05FB0E6}"/>
    <cellStyle name="Normal 2 2 5 13 3" xfId="1557" xr:uid="{BD52FF9C-7B64-4302-83A2-7D982081256F}"/>
    <cellStyle name="Normal 2 2 5 13 3 2" xfId="10405" xr:uid="{D3261CF4-ADD4-46E9-96E9-C386327F2449}"/>
    <cellStyle name="Normal 2 2 5 13 4" xfId="1558" xr:uid="{AAE34608-CA82-484E-BCB3-A6177E0920EA}"/>
    <cellStyle name="Normal 2 2 5 13 4 2" xfId="10406" xr:uid="{04450F80-AB62-4FEF-A321-FC57C5C0D58A}"/>
    <cellStyle name="Normal 2 2 5 13 5" xfId="10401" xr:uid="{528C8746-C2F3-48DF-BD83-B93F8CE27040}"/>
    <cellStyle name="Normal 2 2 5 14" xfId="1559" xr:uid="{4CEFDE4C-199B-40B4-984A-E06C4A626EEF}"/>
    <cellStyle name="Normal 2 2 5 14 2" xfId="1560" xr:uid="{AF889901-1FC7-470C-92F7-3EC38CD7B62D}"/>
    <cellStyle name="Normal 2 2 5 14 2 2" xfId="1561" xr:uid="{CCD6CBE0-EE21-4106-B3CC-7C7C21239B4B}"/>
    <cellStyle name="Normal 2 2 5 14 2 2 2" xfId="10409" xr:uid="{54493287-B6AB-4DC0-A09A-653D35F1C3DB}"/>
    <cellStyle name="Normal 2 2 5 14 2 3" xfId="1562" xr:uid="{747D8D46-3D5A-4D47-B86F-9E80D286E184}"/>
    <cellStyle name="Normal 2 2 5 14 2 3 2" xfId="10410" xr:uid="{F31C64B7-959E-448C-8616-B3AA47EEC21A}"/>
    <cellStyle name="Normal 2 2 5 14 2 4" xfId="10408" xr:uid="{3003CA9B-A02A-4651-AA2E-8180112AB4B9}"/>
    <cellStyle name="Normal 2 2 5 14 3" xfId="1563" xr:uid="{6BD0BCF7-5ABC-421F-B7D2-4D50E127D37D}"/>
    <cellStyle name="Normal 2 2 5 14 3 2" xfId="10411" xr:uid="{C5FA6FFD-4AF3-4F97-99A5-4ECFD5FDC05E}"/>
    <cellStyle name="Normal 2 2 5 14 4" xfId="1564" xr:uid="{C9F56723-BB01-4E9A-A31E-859AA7F34E12}"/>
    <cellStyle name="Normal 2 2 5 14 4 2" xfId="10412" xr:uid="{BFC74694-DD5F-4DBE-9028-3820D5BE2F39}"/>
    <cellStyle name="Normal 2 2 5 14 5" xfId="10407" xr:uid="{7F271087-E2F5-4AFF-BB8C-2381D5874522}"/>
    <cellStyle name="Normal 2 2 5 15" xfId="1565" xr:uid="{064BE580-AC42-4498-A09E-C534EFA03C87}"/>
    <cellStyle name="Normal 2 2 5 15 2" xfId="1566" xr:uid="{E0AFC9F4-9389-4B40-839D-661E5724A42B}"/>
    <cellStyle name="Normal 2 2 5 15 2 2" xfId="1567" xr:uid="{F6B476F8-9107-4D23-AD2F-0A22F19EEB84}"/>
    <cellStyle name="Normal 2 2 5 15 2 2 2" xfId="10415" xr:uid="{EE28D7A1-9FAE-4358-91D4-507881E4088B}"/>
    <cellStyle name="Normal 2 2 5 15 2 3" xfId="1568" xr:uid="{A60E3AE9-7104-42A7-9835-B31C68832156}"/>
    <cellStyle name="Normal 2 2 5 15 2 3 2" xfId="10416" xr:uid="{EC988E14-0DDF-4A33-8037-511D3800CAA7}"/>
    <cellStyle name="Normal 2 2 5 15 2 4" xfId="10414" xr:uid="{0517F7CA-1D70-4B64-8BCC-4F150CCCAA33}"/>
    <cellStyle name="Normal 2 2 5 15 3" xfId="1569" xr:uid="{E70F9D2B-2380-499A-ABC9-88D05B7F0A71}"/>
    <cellStyle name="Normal 2 2 5 15 3 2" xfId="10417" xr:uid="{BA607F61-7591-49DF-B706-31B46EEE29C5}"/>
    <cellStyle name="Normal 2 2 5 15 4" xfId="1570" xr:uid="{506DCF1D-A77E-4A14-816C-7AF925FF9A4B}"/>
    <cellStyle name="Normal 2 2 5 15 4 2" xfId="10418" xr:uid="{15BBA5D8-C0AA-4B74-8326-D3A6BF6B952F}"/>
    <cellStyle name="Normal 2 2 5 15 5" xfId="10413" xr:uid="{9E8EE937-17F2-4FCD-BD50-DE543A238AE6}"/>
    <cellStyle name="Normal 2 2 5 16" xfId="1571" xr:uid="{CD4ACAD1-1447-4A01-872B-CA39B166F238}"/>
    <cellStyle name="Normal 2 2 5 16 2" xfId="1572" xr:uid="{780AFF87-076E-4D6B-A660-D7A41EDBD46E}"/>
    <cellStyle name="Normal 2 2 5 16 2 2" xfId="1573" xr:uid="{9732F1E4-F67C-458D-9BE9-15EA7B35A0AE}"/>
    <cellStyle name="Normal 2 2 5 16 2 2 2" xfId="10421" xr:uid="{461DE6E2-EF77-4670-8190-4A0EB10CFF53}"/>
    <cellStyle name="Normal 2 2 5 16 2 3" xfId="1574" xr:uid="{D49536C8-A9E0-44AA-AF51-A8851B4C15AF}"/>
    <cellStyle name="Normal 2 2 5 16 2 3 2" xfId="10422" xr:uid="{B71BF38D-83C0-4405-A7CB-1FD15FF952AD}"/>
    <cellStyle name="Normal 2 2 5 16 2 4" xfId="10420" xr:uid="{6D8F8E61-33BC-4926-B97C-07345A4DDAAD}"/>
    <cellStyle name="Normal 2 2 5 16 3" xfId="1575" xr:uid="{B25730BC-5079-476A-A977-DA74F9FD3D35}"/>
    <cellStyle name="Normal 2 2 5 16 3 2" xfId="10423" xr:uid="{C035AB74-9C4D-40C3-B8D5-EBAA2B2AC655}"/>
    <cellStyle name="Normal 2 2 5 16 4" xfId="1576" xr:uid="{4520A66C-2BC6-4332-8DCF-15527B303E1E}"/>
    <cellStyle name="Normal 2 2 5 16 4 2" xfId="10424" xr:uid="{26D3FC64-0DD0-4E85-8FD1-0071B71DBBEB}"/>
    <cellStyle name="Normal 2 2 5 16 5" xfId="10419" xr:uid="{425C98B0-E5BE-4BF1-BF60-D9C66C63B6D2}"/>
    <cellStyle name="Normal 2 2 5 17" xfId="1577" xr:uid="{17DD5CD5-221A-48C5-8112-73190FBD5C75}"/>
    <cellStyle name="Normal 2 2 5 17 2" xfId="1578" xr:uid="{F57D80EB-082B-4E47-B2EA-C84C7F09179C}"/>
    <cellStyle name="Normal 2 2 5 17 2 2" xfId="1579" xr:uid="{08C40B1F-DAC6-487A-8F9C-33D27C63AD10}"/>
    <cellStyle name="Normal 2 2 5 17 2 2 2" xfId="10427" xr:uid="{7E6D615E-3754-48B7-9227-48D4B41A60A0}"/>
    <cellStyle name="Normal 2 2 5 17 2 3" xfId="1580" xr:uid="{2BADEEFF-8871-44A3-8C64-7D988D0FD1B5}"/>
    <cellStyle name="Normal 2 2 5 17 2 3 2" xfId="10428" xr:uid="{45DA0646-E67B-4E95-9EAA-0D597667B146}"/>
    <cellStyle name="Normal 2 2 5 17 2 4" xfId="10426" xr:uid="{81EF646E-6636-4D58-9EC8-1915F6B01D7A}"/>
    <cellStyle name="Normal 2 2 5 17 3" xfId="1581" xr:uid="{C0BF88E8-EE1D-47F7-8BB3-3265D0CFF3AC}"/>
    <cellStyle name="Normal 2 2 5 17 3 2" xfId="10429" xr:uid="{C98565E9-95A1-4325-9C5F-48C54B7D97C4}"/>
    <cellStyle name="Normal 2 2 5 17 4" xfId="1582" xr:uid="{BBB7AC25-AC69-433A-9B1E-553AB9A1FD9D}"/>
    <cellStyle name="Normal 2 2 5 17 4 2" xfId="10430" xr:uid="{D5CEB1C1-04A4-4076-90CD-960ED34FFA47}"/>
    <cellStyle name="Normal 2 2 5 17 5" xfId="10425" xr:uid="{70A53B4A-8049-48D4-82D9-E5E0BD86DC1C}"/>
    <cellStyle name="Normal 2 2 5 18" xfId="1583" xr:uid="{38ADF254-A31C-4E7D-B788-E677DDA076A4}"/>
    <cellStyle name="Normal 2 2 5 18 2" xfId="1584" xr:uid="{96B26244-1338-49E6-B4E3-759AAB860E9F}"/>
    <cellStyle name="Normal 2 2 5 18 2 2" xfId="1585" xr:uid="{6191C842-CA2C-44DD-B4E2-F5483DAEA172}"/>
    <cellStyle name="Normal 2 2 5 18 2 2 2" xfId="10433" xr:uid="{C1A472C7-564F-40CA-9310-3763587CDD60}"/>
    <cellStyle name="Normal 2 2 5 18 2 3" xfId="1586" xr:uid="{2BD9502C-43D5-457E-B15E-7F8421CEF16F}"/>
    <cellStyle name="Normal 2 2 5 18 2 3 2" xfId="10434" xr:uid="{BDEF1EFF-5753-48F3-819F-FF4DB64D79EB}"/>
    <cellStyle name="Normal 2 2 5 18 2 4" xfId="10432" xr:uid="{7C41D412-079D-4AD5-B6EF-F94FFBBC1F33}"/>
    <cellStyle name="Normal 2 2 5 18 3" xfId="1587" xr:uid="{FED5286C-8A6D-4896-94F8-7D318E0C7A25}"/>
    <cellStyle name="Normal 2 2 5 18 3 2" xfId="10435" xr:uid="{146128F2-321A-4816-BA47-DFC81F330604}"/>
    <cellStyle name="Normal 2 2 5 18 4" xfId="1588" xr:uid="{3AB3744C-276C-4460-B351-D20860C4F142}"/>
    <cellStyle name="Normal 2 2 5 18 4 2" xfId="10436" xr:uid="{4689AF6E-C6D9-493F-A3FE-DAFB55304982}"/>
    <cellStyle name="Normal 2 2 5 18 5" xfId="10431" xr:uid="{2BF924EE-3BFA-4EBB-B58D-6AA04236CECD}"/>
    <cellStyle name="Normal 2 2 5 19" xfId="1589" xr:uid="{48EB69FE-BFC6-425C-AD27-9D57C14C943F}"/>
    <cellStyle name="Normal 2 2 5 19 2" xfId="1590" xr:uid="{8A8DFC9E-D486-48F8-8E4C-96D359AFBB5A}"/>
    <cellStyle name="Normal 2 2 5 19 2 2" xfId="1591" xr:uid="{B352145C-2765-447D-A611-EED703A5DC19}"/>
    <cellStyle name="Normal 2 2 5 19 2 2 2" xfId="10439" xr:uid="{913B67C8-4D72-4957-8F37-3707162E4229}"/>
    <cellStyle name="Normal 2 2 5 19 2 3" xfId="1592" xr:uid="{8B69DE49-6DF1-4A7B-986E-31042D20D125}"/>
    <cellStyle name="Normal 2 2 5 19 2 3 2" xfId="10440" xr:uid="{6C734DC1-F1F0-4DC2-B9BF-DADA58A05204}"/>
    <cellStyle name="Normal 2 2 5 19 2 4" xfId="10438" xr:uid="{C7BD0F9C-E559-435B-ABFE-39D86B8591C9}"/>
    <cellStyle name="Normal 2 2 5 19 3" xfId="1593" xr:uid="{ED7C3E80-ECDA-4137-933D-109EF7D25277}"/>
    <cellStyle name="Normal 2 2 5 19 3 2" xfId="10441" xr:uid="{7FF536A8-E1BC-41DB-8831-FA52DB3338BE}"/>
    <cellStyle name="Normal 2 2 5 19 4" xfId="1594" xr:uid="{65A2CBDA-FEAC-4037-964A-DE18C07722DD}"/>
    <cellStyle name="Normal 2 2 5 19 4 2" xfId="10442" xr:uid="{AA06D62C-43AC-4807-8A11-BFCB8C8FBBD3}"/>
    <cellStyle name="Normal 2 2 5 19 5" xfId="10437" xr:uid="{499C2814-8DCD-42F5-B7FA-973E68D84FD0}"/>
    <cellStyle name="Normal 2 2 5 2" xfId="1595" xr:uid="{3C432BEC-8A74-46B1-BBA3-E1F1A0353D81}"/>
    <cellStyle name="Normal 2 2 5 2 2" xfId="1596" xr:uid="{66530E2D-6D09-461A-A059-F87781D7890F}"/>
    <cellStyle name="Normal 2 2 5 2 2 2" xfId="1597" xr:uid="{4E453161-0F20-4218-A0F6-9A77C13FE2CD}"/>
    <cellStyle name="Normal 2 2 5 2 2 2 2" xfId="10445" xr:uid="{4504D955-DD47-4A0A-968E-292C3AB14FBC}"/>
    <cellStyle name="Normal 2 2 5 2 2 3" xfId="1598" xr:uid="{177607F2-2CCD-4A83-86F3-07255BBD359A}"/>
    <cellStyle name="Normal 2 2 5 2 2 3 2" xfId="10446" xr:uid="{1D4EE8E9-549A-4F9F-91DD-97427BFF2420}"/>
    <cellStyle name="Normal 2 2 5 2 2 4" xfId="10444" xr:uid="{C8AE4B1D-BFCE-47BE-986A-040A81B7B958}"/>
    <cellStyle name="Normal 2 2 5 2 3" xfId="1599" xr:uid="{FD98E51A-9B39-445E-8BB5-FD0C779BE18B}"/>
    <cellStyle name="Normal 2 2 5 2 3 2" xfId="10447" xr:uid="{ABA04BEB-C620-4FCA-974E-D67E77BC06CA}"/>
    <cellStyle name="Normal 2 2 5 2 4" xfId="1600" xr:uid="{295ED8AA-AE06-46D1-B910-F9BAF7286768}"/>
    <cellStyle name="Normal 2 2 5 2 4 2" xfId="10448" xr:uid="{D6E3C4D2-71FF-4679-982D-24581C47F492}"/>
    <cellStyle name="Normal 2 2 5 2 5" xfId="10443" xr:uid="{C809E87F-86AF-482A-8D0C-CB713C641A45}"/>
    <cellStyle name="Normal 2 2 5 20" xfId="1601" xr:uid="{4F237316-40CD-4000-A230-7E652718E51F}"/>
    <cellStyle name="Normal 2 2 5 20 2" xfId="1602" xr:uid="{EFFF3889-909F-4BFE-994F-78CBE5E9B6B6}"/>
    <cellStyle name="Normal 2 2 5 20 2 2" xfId="1603" xr:uid="{B583E1F8-5502-4575-BC2A-4177DCFB631A}"/>
    <cellStyle name="Normal 2 2 5 20 2 2 2" xfId="10451" xr:uid="{35AF5CB7-1B03-4402-8FA0-B0DDA00F24A1}"/>
    <cellStyle name="Normal 2 2 5 20 2 3" xfId="1604" xr:uid="{B6F599AE-6C12-4575-B1DA-D98121E9907B}"/>
    <cellStyle name="Normal 2 2 5 20 2 3 2" xfId="10452" xr:uid="{7E867591-FC0C-417E-B76F-74E3D4F10863}"/>
    <cellStyle name="Normal 2 2 5 20 2 4" xfId="10450" xr:uid="{44BE6146-FA93-4130-8E1C-9FDE18E4E378}"/>
    <cellStyle name="Normal 2 2 5 20 3" xfId="1605" xr:uid="{0BD90E67-4E22-4EAE-A4CF-B1B6B2422344}"/>
    <cellStyle name="Normal 2 2 5 20 3 2" xfId="10453" xr:uid="{CAA5863A-5DB1-4EE9-8E00-43A6162917BD}"/>
    <cellStyle name="Normal 2 2 5 20 4" xfId="1606" xr:uid="{5569C67C-6642-49B8-B8D3-1F5C02B1DF4F}"/>
    <cellStyle name="Normal 2 2 5 20 4 2" xfId="10454" xr:uid="{0F523763-E4C5-4E30-95D3-8A68A1D5233C}"/>
    <cellStyle name="Normal 2 2 5 20 5" xfId="10449" xr:uid="{D3535454-2935-45DC-8EBC-12CC1153D728}"/>
    <cellStyle name="Normal 2 2 5 21" xfId="1607" xr:uid="{11E089E0-3B31-4F84-B62B-42C1CC5D85AF}"/>
    <cellStyle name="Normal 2 2 5 21 2" xfId="1608" xr:uid="{DDC8CA78-13AE-4FDF-A3EB-C5A0E2B9F691}"/>
    <cellStyle name="Normal 2 2 5 21 2 2" xfId="1609" xr:uid="{6DF1B316-4014-4395-BD18-1E2879ADD79B}"/>
    <cellStyle name="Normal 2 2 5 21 2 2 2" xfId="10457" xr:uid="{8BBC357B-2E92-49F2-BD67-998CB46FD105}"/>
    <cellStyle name="Normal 2 2 5 21 2 3" xfId="1610" xr:uid="{6C6DFF5F-D346-4147-8BF0-B029E4CB1307}"/>
    <cellStyle name="Normal 2 2 5 21 2 3 2" xfId="10458" xr:uid="{4029083E-9CC1-44FB-BAB4-2606D253D80A}"/>
    <cellStyle name="Normal 2 2 5 21 2 4" xfId="10456" xr:uid="{4054B439-E42F-47B3-AC39-9426BD716679}"/>
    <cellStyle name="Normal 2 2 5 21 3" xfId="1611" xr:uid="{557936F4-5522-40F0-B014-B642B5B481C5}"/>
    <cellStyle name="Normal 2 2 5 21 3 2" xfId="10459" xr:uid="{BD366993-5415-4EB2-8307-BE329C4A6CDB}"/>
    <cellStyle name="Normal 2 2 5 21 4" xfId="1612" xr:uid="{5D720CE3-5A05-47BD-AD5E-40A33FC1AD0A}"/>
    <cellStyle name="Normal 2 2 5 21 4 2" xfId="10460" xr:uid="{BBD83AEF-209E-4B74-8B85-D99FFC023629}"/>
    <cellStyle name="Normal 2 2 5 21 5" xfId="10455" xr:uid="{457FEAF6-8212-41ED-9D70-AAB58E515F01}"/>
    <cellStyle name="Normal 2 2 5 22" xfId="1613" xr:uid="{63BC2254-79BE-4E92-AD9A-4E938E15A4DC}"/>
    <cellStyle name="Normal 2 2 5 22 2" xfId="1614" xr:uid="{AF0CDFFD-571A-434F-9932-8A730C1BDF51}"/>
    <cellStyle name="Normal 2 2 5 22 2 2" xfId="1615" xr:uid="{D426D066-3679-4E61-84B0-4F5164046327}"/>
    <cellStyle name="Normal 2 2 5 22 2 2 2" xfId="10463" xr:uid="{1DA69F79-2FD9-459E-85D9-730772DD9CA7}"/>
    <cellStyle name="Normal 2 2 5 22 2 3" xfId="1616" xr:uid="{8287E327-B192-4BE2-A776-D028695F5C4A}"/>
    <cellStyle name="Normal 2 2 5 22 2 3 2" xfId="10464" xr:uid="{0FB57CB6-B3E4-46D9-BB4B-9D45F861BF0F}"/>
    <cellStyle name="Normal 2 2 5 22 2 4" xfId="10462" xr:uid="{67326C2C-E844-4E46-8B9C-A417395347F4}"/>
    <cellStyle name="Normal 2 2 5 22 3" xfId="1617" xr:uid="{F0020197-7D58-43FF-A90C-8621FD23C80D}"/>
    <cellStyle name="Normal 2 2 5 22 3 2" xfId="10465" xr:uid="{D1545DA7-4226-4742-835B-B44E2EE35E94}"/>
    <cellStyle name="Normal 2 2 5 22 4" xfId="1618" xr:uid="{E0425DC0-2A2E-4549-A79C-4302C7A12BCB}"/>
    <cellStyle name="Normal 2 2 5 22 4 2" xfId="10466" xr:uid="{FD4B0AFE-52B9-4C6C-8A66-38CAE8F2267C}"/>
    <cellStyle name="Normal 2 2 5 22 5" xfId="10461" xr:uid="{37FA0E8F-E669-4A6E-A80B-4A1A4B607035}"/>
    <cellStyle name="Normal 2 2 5 23" xfId="1619" xr:uid="{00787CB7-E81A-4E92-8C6F-FC63B5892829}"/>
    <cellStyle name="Normal 2 2 5 23 2" xfId="1620" xr:uid="{D36804A1-2386-41FF-940C-7D81A4B201F7}"/>
    <cellStyle name="Normal 2 2 5 23 2 2" xfId="1621" xr:uid="{9F2210CE-4107-40E6-9717-6ED0687EA883}"/>
    <cellStyle name="Normal 2 2 5 23 2 2 2" xfId="10469" xr:uid="{727F06B1-6AA4-4179-AB8B-3DB1B56CA3E8}"/>
    <cellStyle name="Normal 2 2 5 23 2 3" xfId="1622" xr:uid="{49EF1C2E-709E-4BD4-8B65-A5C6C2576642}"/>
    <cellStyle name="Normal 2 2 5 23 2 3 2" xfId="10470" xr:uid="{56DBA47B-8FBB-4F32-9D9B-1AA1DC332293}"/>
    <cellStyle name="Normal 2 2 5 23 2 4" xfId="10468" xr:uid="{25967D8E-F3F9-4A2F-9B2D-9F620D5F72A1}"/>
    <cellStyle name="Normal 2 2 5 23 3" xfId="1623" xr:uid="{FA43D0F1-AE6C-4144-B8E5-E7C1673D9F1E}"/>
    <cellStyle name="Normal 2 2 5 23 3 2" xfId="10471" xr:uid="{9C737CBC-616B-4877-9513-F58FE293B74C}"/>
    <cellStyle name="Normal 2 2 5 23 4" xfId="1624" xr:uid="{1D654140-539A-472C-A836-30BDF2CA9C71}"/>
    <cellStyle name="Normal 2 2 5 23 4 2" xfId="10472" xr:uid="{050211A9-6A97-4825-9135-FC949E3919DC}"/>
    <cellStyle name="Normal 2 2 5 23 5" xfId="10467" xr:uid="{5F5AFA3F-7707-4780-B684-0DE40E6BC084}"/>
    <cellStyle name="Normal 2 2 5 24" xfId="1625" xr:uid="{D0553979-A2ED-4937-9345-893895945EF2}"/>
    <cellStyle name="Normal 2 2 5 24 2" xfId="1626" xr:uid="{BA5DDE10-5DDA-491B-8CE3-2BAA1CE4B3AA}"/>
    <cellStyle name="Normal 2 2 5 24 2 2" xfId="1627" xr:uid="{7CFCF560-C0A5-4186-B083-2907C40F5438}"/>
    <cellStyle name="Normal 2 2 5 24 2 2 2" xfId="10475" xr:uid="{3731CA9C-FBD2-4644-9EE6-2ADAA25CD442}"/>
    <cellStyle name="Normal 2 2 5 24 2 3" xfId="1628" xr:uid="{278C925B-46D7-4FBF-AB9C-657286164C05}"/>
    <cellStyle name="Normal 2 2 5 24 2 3 2" xfId="10476" xr:uid="{B9BABCCB-C9B0-4756-B0E1-0C8526D83CC1}"/>
    <cellStyle name="Normal 2 2 5 24 2 4" xfId="10474" xr:uid="{829CC4F0-E6A7-4D68-BAEA-F280381BC03D}"/>
    <cellStyle name="Normal 2 2 5 24 3" xfId="1629" xr:uid="{897E334D-1CA5-4124-BC8E-0D75B77DA598}"/>
    <cellStyle name="Normal 2 2 5 24 3 2" xfId="10477" xr:uid="{38FBBD55-2DED-46AB-9914-67917D86EC78}"/>
    <cellStyle name="Normal 2 2 5 24 4" xfId="1630" xr:uid="{ADEC4CF7-4D4C-4052-BAD5-87D5917CA0ED}"/>
    <cellStyle name="Normal 2 2 5 24 4 2" xfId="10478" xr:uid="{DF5A1AD4-D263-42D6-9D57-D1B3DBD2D510}"/>
    <cellStyle name="Normal 2 2 5 24 5" xfId="10473" xr:uid="{8B94D1E3-1239-4EBE-BC60-250E7ABF4808}"/>
    <cellStyle name="Normal 2 2 5 25" xfId="1631" xr:uid="{A082380D-9D35-4C0E-B1DB-BAE40719DFAE}"/>
    <cellStyle name="Normal 2 2 5 25 2" xfId="1632" xr:uid="{FD19F8DB-4F4B-46C6-8E3C-8EEEAC06C3D2}"/>
    <cellStyle name="Normal 2 2 5 25 2 2" xfId="1633" xr:uid="{97A7D821-EB93-40C8-81CB-ED3561F5F2D1}"/>
    <cellStyle name="Normal 2 2 5 25 2 2 2" xfId="10481" xr:uid="{EC975E40-6709-4090-8807-4AB5487A492C}"/>
    <cellStyle name="Normal 2 2 5 25 2 3" xfId="1634" xr:uid="{C9D49F08-F660-4841-B000-4D932EF2F3CA}"/>
    <cellStyle name="Normal 2 2 5 25 2 3 2" xfId="10482" xr:uid="{C3D72744-9E30-4066-88AD-5B557299B13B}"/>
    <cellStyle name="Normal 2 2 5 25 2 4" xfId="10480" xr:uid="{87EB3DA8-A4A1-47CD-9625-DC3BDE066B30}"/>
    <cellStyle name="Normal 2 2 5 25 3" xfId="1635" xr:uid="{7151054C-A52E-40F7-9F5C-792225BFEFAC}"/>
    <cellStyle name="Normal 2 2 5 25 3 2" xfId="10483" xr:uid="{9A8C7ECD-4D34-4DD0-907A-FE995308B7E9}"/>
    <cellStyle name="Normal 2 2 5 25 4" xfId="1636" xr:uid="{EC44D4FA-A337-4680-8573-0658EDFB456D}"/>
    <cellStyle name="Normal 2 2 5 25 4 2" xfId="10484" xr:uid="{5340DBC1-6D8D-4923-849F-0290F33D4AD2}"/>
    <cellStyle name="Normal 2 2 5 25 5" xfId="10479" xr:uid="{54C53664-8B24-4B50-9940-C28819B7F6AA}"/>
    <cellStyle name="Normal 2 2 5 26" xfId="1637" xr:uid="{4AB6D7A0-5BDB-4D1C-B43D-151D240635FB}"/>
    <cellStyle name="Normal 2 2 5 26 2" xfId="1638" xr:uid="{DBD9064D-6633-49C9-BA14-E5E6E52CF349}"/>
    <cellStyle name="Normal 2 2 5 26 2 2" xfId="1639" xr:uid="{7466DFDF-33DB-4951-9B3B-046B20334759}"/>
    <cellStyle name="Normal 2 2 5 26 2 2 2" xfId="10487" xr:uid="{A1528205-CC59-454A-A4E3-E6F483876656}"/>
    <cellStyle name="Normal 2 2 5 26 2 3" xfId="1640" xr:uid="{81E70C13-C247-4BAA-A8DC-75811477EFAA}"/>
    <cellStyle name="Normal 2 2 5 26 2 3 2" xfId="10488" xr:uid="{55F06F64-4933-4761-AAAC-2220FC39E950}"/>
    <cellStyle name="Normal 2 2 5 26 2 4" xfId="10486" xr:uid="{195E26A1-54B4-4BF8-91A8-D7C7D9DDD646}"/>
    <cellStyle name="Normal 2 2 5 26 3" xfId="1641" xr:uid="{CF34A6A2-F69D-4C40-AAA9-57C297CD4415}"/>
    <cellStyle name="Normal 2 2 5 26 3 2" xfId="10489" xr:uid="{A2A49A4C-D64E-4728-BCD3-77AE6F0E62D4}"/>
    <cellStyle name="Normal 2 2 5 26 4" xfId="1642" xr:uid="{6D84164C-6AF6-4980-9BDB-53C075C16FD9}"/>
    <cellStyle name="Normal 2 2 5 26 4 2" xfId="10490" xr:uid="{5139A4F2-FCA9-4EC9-B125-36B3D0006D94}"/>
    <cellStyle name="Normal 2 2 5 26 5" xfId="10485" xr:uid="{F258724F-E80C-47C3-8158-42A6DE39885D}"/>
    <cellStyle name="Normal 2 2 5 27" xfId="1643" xr:uid="{07B20B59-22F6-4A9E-BFCB-2E029A2332E2}"/>
    <cellStyle name="Normal 2 2 5 27 2" xfId="1644" xr:uid="{A47C3CC1-E867-4D12-B824-B887E562300F}"/>
    <cellStyle name="Normal 2 2 5 27 2 2" xfId="1645" xr:uid="{7C097FE5-3C26-4457-911D-00A613EB756B}"/>
    <cellStyle name="Normal 2 2 5 27 2 2 2" xfId="10493" xr:uid="{C7348E64-522A-4139-B48E-68C055E349F1}"/>
    <cellStyle name="Normal 2 2 5 27 2 3" xfId="1646" xr:uid="{9271F24A-A81B-4C26-A2A7-E29094CCD267}"/>
    <cellStyle name="Normal 2 2 5 27 2 3 2" xfId="10494" xr:uid="{C002C2BF-23E1-430F-B454-23D15EB36E63}"/>
    <cellStyle name="Normal 2 2 5 27 2 4" xfId="10492" xr:uid="{5BC42412-3679-4797-8F87-BE07FA6A2155}"/>
    <cellStyle name="Normal 2 2 5 27 3" xfId="1647" xr:uid="{A8EB4995-EACC-4846-A6BD-1CC4D4CA87B3}"/>
    <cellStyle name="Normal 2 2 5 27 3 2" xfId="10495" xr:uid="{D48C67A0-049D-4BDF-87B5-6C65C134DD67}"/>
    <cellStyle name="Normal 2 2 5 27 4" xfId="1648" xr:uid="{2FBB6699-6555-462E-9A83-E9184DA0B31C}"/>
    <cellStyle name="Normal 2 2 5 27 4 2" xfId="10496" xr:uid="{9509A297-1353-45DA-8C32-B47F4C84E395}"/>
    <cellStyle name="Normal 2 2 5 27 5" xfId="10491" xr:uid="{0BFFA762-3A92-4BF8-971A-73BD4D947EC2}"/>
    <cellStyle name="Normal 2 2 5 28" xfId="1649" xr:uid="{01520C47-7296-4BBC-AFD2-0146C3AB2DFA}"/>
    <cellStyle name="Normal 2 2 5 28 2" xfId="1650" xr:uid="{A19F1B31-6915-4A66-83E0-82B31B4F1576}"/>
    <cellStyle name="Normal 2 2 5 28 2 2" xfId="1651" xr:uid="{ED06D592-5A5F-4810-AD76-28AF5F65FFFE}"/>
    <cellStyle name="Normal 2 2 5 28 2 2 2" xfId="10499" xr:uid="{3D2CFF61-A745-4626-B6E2-BDBA3BDAB747}"/>
    <cellStyle name="Normal 2 2 5 28 2 3" xfId="1652" xr:uid="{47872070-8971-42E7-92DF-A29C8ECE0DFE}"/>
    <cellStyle name="Normal 2 2 5 28 2 3 2" xfId="10500" xr:uid="{C5E84BF0-99F2-4027-AE8E-B3C5F246CB32}"/>
    <cellStyle name="Normal 2 2 5 28 2 4" xfId="10498" xr:uid="{3E258FD5-80E5-474B-95E2-371FF0B5454E}"/>
    <cellStyle name="Normal 2 2 5 28 3" xfId="1653" xr:uid="{71AF39D1-B6EF-4CC5-8960-D76193C29522}"/>
    <cellStyle name="Normal 2 2 5 28 3 2" xfId="10501" xr:uid="{F7D88D0E-FEBE-47F7-AC51-E36B48EDD21A}"/>
    <cellStyle name="Normal 2 2 5 28 4" xfId="1654" xr:uid="{5A8392CC-725B-4E7D-8CBC-04B750D5E967}"/>
    <cellStyle name="Normal 2 2 5 28 4 2" xfId="10502" xr:uid="{14AC4916-411A-4AD4-A150-5DA5EF73D739}"/>
    <cellStyle name="Normal 2 2 5 28 5" xfId="10497" xr:uid="{2C622A69-7A7E-4DB5-8636-995E4EDD8DF2}"/>
    <cellStyle name="Normal 2 2 5 29" xfId="1655" xr:uid="{9625180A-9891-4EE6-A078-4535A3A885CB}"/>
    <cellStyle name="Normal 2 2 5 29 2" xfId="1656" xr:uid="{A141301B-FACF-4E48-9FF0-A6BE83B6054B}"/>
    <cellStyle name="Normal 2 2 5 29 2 2" xfId="1657" xr:uid="{B725AC55-AE35-4FD9-B647-22224C6136ED}"/>
    <cellStyle name="Normal 2 2 5 29 2 2 2" xfId="10505" xr:uid="{D1523CC1-505D-4915-9693-D1A0AE7786C4}"/>
    <cellStyle name="Normal 2 2 5 29 2 3" xfId="1658" xr:uid="{A150A476-41E3-40D7-9B0C-6DB82C822C45}"/>
    <cellStyle name="Normal 2 2 5 29 2 3 2" xfId="10506" xr:uid="{FDC14E29-AF4C-45F3-8A97-12E8B327A127}"/>
    <cellStyle name="Normal 2 2 5 29 2 4" xfId="10504" xr:uid="{CFDE1905-C2E8-42E3-99F8-44E5BF7DF4A3}"/>
    <cellStyle name="Normal 2 2 5 29 3" xfId="1659" xr:uid="{80ED39E9-709C-43DB-98F0-775CD895F1A5}"/>
    <cellStyle name="Normal 2 2 5 29 3 2" xfId="10507" xr:uid="{9EAAC13F-6D97-4D71-9A16-C453E3F0963F}"/>
    <cellStyle name="Normal 2 2 5 29 4" xfId="1660" xr:uid="{875889FF-19C6-41FE-8718-13BCBEC3AC00}"/>
    <cellStyle name="Normal 2 2 5 29 4 2" xfId="10508" xr:uid="{62EECB47-9D27-42E7-A55A-ADABF32722F9}"/>
    <cellStyle name="Normal 2 2 5 29 5" xfId="10503" xr:uid="{74083D7F-4D57-4E4D-8730-E3AA526F1201}"/>
    <cellStyle name="Normal 2 2 5 3" xfId="1661" xr:uid="{74090FEC-BBB4-4DC9-A803-232191B30F10}"/>
    <cellStyle name="Normal 2 2 5 3 2" xfId="1662" xr:uid="{BA09E0E8-D971-4E98-84BC-4BA9CCA8D74E}"/>
    <cellStyle name="Normal 2 2 5 3 2 2" xfId="1663" xr:uid="{E5C5B422-6FAC-4729-896A-C438889A173D}"/>
    <cellStyle name="Normal 2 2 5 3 2 2 2" xfId="10511" xr:uid="{82CE21C3-0A08-431A-9D41-973721D8CA92}"/>
    <cellStyle name="Normal 2 2 5 3 2 3" xfId="1664" xr:uid="{020BF58E-3983-448F-AD26-EE85EF4EC570}"/>
    <cellStyle name="Normal 2 2 5 3 2 3 2" xfId="10512" xr:uid="{F004B44D-DB2E-435D-BF2D-EF957A5930BF}"/>
    <cellStyle name="Normal 2 2 5 3 2 4" xfId="10510" xr:uid="{635FA2DE-4920-43DE-97E3-7E3EFEF825DE}"/>
    <cellStyle name="Normal 2 2 5 3 3" xfId="1665" xr:uid="{AC232A28-9479-4820-9346-9DAD788D9A40}"/>
    <cellStyle name="Normal 2 2 5 3 3 2" xfId="10513" xr:uid="{1D7B3642-7F4E-4B59-94B5-9D8201549796}"/>
    <cellStyle name="Normal 2 2 5 3 4" xfId="1666" xr:uid="{C0A089ED-6072-434B-864D-1C45C3BE60C1}"/>
    <cellStyle name="Normal 2 2 5 3 4 2" xfId="10514" xr:uid="{26D04053-E3CD-404D-B5D2-3F06632CE745}"/>
    <cellStyle name="Normal 2 2 5 3 5" xfId="10509" xr:uid="{C5D743F9-411F-49E2-8B48-D910D575CB9F}"/>
    <cellStyle name="Normal 2 2 5 30" xfId="1667" xr:uid="{C5691E67-E602-47BE-A2A0-4A1CC4B16950}"/>
    <cellStyle name="Normal 2 2 5 30 2" xfId="1668" xr:uid="{7F5D40D7-F19B-4C28-86DF-ED9160CF0F3A}"/>
    <cellStyle name="Normal 2 2 5 30 2 2" xfId="1669" xr:uid="{2BF078DD-0907-42EA-9F3F-285AAD9CF7E9}"/>
    <cellStyle name="Normal 2 2 5 30 2 2 2" xfId="10517" xr:uid="{70C4FC12-A842-49EF-9574-6DA87AFD9BFA}"/>
    <cellStyle name="Normal 2 2 5 30 2 3" xfId="1670" xr:uid="{C452BABB-91EA-4772-8911-10FF3B419FAB}"/>
    <cellStyle name="Normal 2 2 5 30 2 3 2" xfId="10518" xr:uid="{2093BAAB-C4D8-429F-B102-296645DA48ED}"/>
    <cellStyle name="Normal 2 2 5 30 2 4" xfId="10516" xr:uid="{7711116E-B23A-43C8-876F-443D7B2D3CF7}"/>
    <cellStyle name="Normal 2 2 5 30 3" xfId="1671" xr:uid="{35346846-2FB9-47BA-9A87-50B7C530616F}"/>
    <cellStyle name="Normal 2 2 5 30 3 2" xfId="10519" xr:uid="{D389432E-5D31-4B8C-A0B7-5239A1F328DD}"/>
    <cellStyle name="Normal 2 2 5 30 4" xfId="1672" xr:uid="{C6912F5A-24E4-4323-B19B-81A9F112FC4B}"/>
    <cellStyle name="Normal 2 2 5 30 4 2" xfId="10520" xr:uid="{7F9F4F37-EE6A-405A-8AE4-4AF5380A6B57}"/>
    <cellStyle name="Normal 2 2 5 30 5" xfId="10515" xr:uid="{097A4665-748F-4D26-A173-856D6135045B}"/>
    <cellStyle name="Normal 2 2 5 31" xfId="1673" xr:uid="{3C852799-110C-484E-A2E2-D0C4BAB5ABB3}"/>
    <cellStyle name="Normal 2 2 5 31 2" xfId="1674" xr:uid="{430E75C3-C72C-47F8-AF54-E6B316B5AF1B}"/>
    <cellStyle name="Normal 2 2 5 31 2 2" xfId="1675" xr:uid="{A2374D0D-44E4-4C8B-B9EF-0321ED654DD8}"/>
    <cellStyle name="Normal 2 2 5 31 2 2 2" xfId="10523" xr:uid="{959E8E53-B057-4763-9DA4-E4F6C43BB6D6}"/>
    <cellStyle name="Normal 2 2 5 31 2 3" xfId="1676" xr:uid="{18EF1D8F-1121-4E58-9264-3AD513A59C03}"/>
    <cellStyle name="Normal 2 2 5 31 2 3 2" xfId="10524" xr:uid="{4AC28CD2-6CA6-40F0-A31A-B5F13F87063F}"/>
    <cellStyle name="Normal 2 2 5 31 2 4" xfId="10522" xr:uid="{36A408C9-74B1-47DB-B92E-A012F8AC7D7A}"/>
    <cellStyle name="Normal 2 2 5 31 3" xfId="1677" xr:uid="{B44CFD30-7C17-4CF0-819D-8773F5AE40AC}"/>
    <cellStyle name="Normal 2 2 5 31 3 2" xfId="10525" xr:uid="{ABA4AC19-4A03-403E-803A-AB38C8913FED}"/>
    <cellStyle name="Normal 2 2 5 31 4" xfId="1678" xr:uid="{E6EF61DE-0D46-4DD5-BC88-B26C29367168}"/>
    <cellStyle name="Normal 2 2 5 31 4 2" xfId="10526" xr:uid="{8D92DE46-10F0-495B-965A-4F332E895887}"/>
    <cellStyle name="Normal 2 2 5 31 5" xfId="10521" xr:uid="{B9000303-0D46-433F-83E4-E8654E71D65B}"/>
    <cellStyle name="Normal 2 2 5 32" xfId="1679" xr:uid="{4BAA10FE-4608-4E74-9338-09153600EFC0}"/>
    <cellStyle name="Normal 2 2 5 32 2" xfId="1680" xr:uid="{A218C0B3-FD1E-43A3-82F8-C16634BAA321}"/>
    <cellStyle name="Normal 2 2 5 32 2 2" xfId="1681" xr:uid="{6F9E9BEB-922A-4376-9722-1FAD3596C274}"/>
    <cellStyle name="Normal 2 2 5 32 2 2 2" xfId="10529" xr:uid="{017A74DF-1CBA-46E5-8B65-B4B9650584EE}"/>
    <cellStyle name="Normal 2 2 5 32 2 3" xfId="1682" xr:uid="{775EA02D-F380-4476-BBB3-9A41F0732382}"/>
    <cellStyle name="Normal 2 2 5 32 2 3 2" xfId="10530" xr:uid="{74D9703F-5BFB-4077-B988-DD08B7F96DF5}"/>
    <cellStyle name="Normal 2 2 5 32 2 4" xfId="10528" xr:uid="{B1C7B0C7-8B56-4A48-B6D4-0DC3A18A9918}"/>
    <cellStyle name="Normal 2 2 5 32 3" xfId="1683" xr:uid="{295224CE-D27C-4C7F-AAB1-7A2117F3A6A8}"/>
    <cellStyle name="Normal 2 2 5 32 3 2" xfId="10531" xr:uid="{5C9AA8F4-9C26-419A-ADD9-4281FE1872B4}"/>
    <cellStyle name="Normal 2 2 5 32 4" xfId="1684" xr:uid="{9593C730-8C00-4C06-943E-E5996E5F0CE6}"/>
    <cellStyle name="Normal 2 2 5 32 4 2" xfId="10532" xr:uid="{AB58E89D-B0CD-4198-9E75-E202D2C30BEB}"/>
    <cellStyle name="Normal 2 2 5 32 5" xfId="10527" xr:uid="{738560D4-3A7E-44F1-80D3-BDB8C7FC6E09}"/>
    <cellStyle name="Normal 2 2 5 33" xfId="1685" xr:uid="{CEBCE45C-31CB-4B53-809C-C4FBD717832D}"/>
    <cellStyle name="Normal 2 2 5 33 2" xfId="1686" xr:uid="{89DF5FDE-0C3C-4582-95C3-38C3DC015EAF}"/>
    <cellStyle name="Normal 2 2 5 33 2 2" xfId="1687" xr:uid="{ED054460-26AF-4BB1-9C13-BA716F7FD9BC}"/>
    <cellStyle name="Normal 2 2 5 33 2 2 2" xfId="10535" xr:uid="{72940AF7-FFC0-4729-8A65-BBEFA83EBD86}"/>
    <cellStyle name="Normal 2 2 5 33 2 3" xfId="1688" xr:uid="{97C47B0A-D9C4-4E23-BA1F-504CCEE9841B}"/>
    <cellStyle name="Normal 2 2 5 33 2 3 2" xfId="10536" xr:uid="{D818CFB1-FCB8-41AD-99D2-56EED1F9E340}"/>
    <cellStyle name="Normal 2 2 5 33 2 4" xfId="10534" xr:uid="{AF39D3BE-C4E0-4BE5-A8B8-714D4C8C1EF9}"/>
    <cellStyle name="Normal 2 2 5 33 3" xfId="1689" xr:uid="{0CF4579C-C6E6-4DA8-A43A-FE220FE54608}"/>
    <cellStyle name="Normal 2 2 5 33 3 2" xfId="10537" xr:uid="{48824686-19D0-4EEB-9CC5-5AA95E4FBE9B}"/>
    <cellStyle name="Normal 2 2 5 33 4" xfId="1690" xr:uid="{EC600B1B-6AC2-427E-9CD8-E15FAB73B2FE}"/>
    <cellStyle name="Normal 2 2 5 33 4 2" xfId="10538" xr:uid="{BA891155-395F-45E1-9802-56BAC9A9CE49}"/>
    <cellStyle name="Normal 2 2 5 33 5" xfId="10533" xr:uid="{49352B10-92AE-467A-84FE-FA0BEE84CD18}"/>
    <cellStyle name="Normal 2 2 5 34" xfId="1691" xr:uid="{1A680A21-44B7-49EC-BBD9-71B5E6880A03}"/>
    <cellStyle name="Normal 2 2 5 34 2" xfId="1692" xr:uid="{0EBEF014-6C18-443C-8578-71EFFE957D1D}"/>
    <cellStyle name="Normal 2 2 5 34 2 2" xfId="1693" xr:uid="{152DCA69-5A92-40D4-A0B1-1EDBE1F8077E}"/>
    <cellStyle name="Normal 2 2 5 34 2 2 2" xfId="10541" xr:uid="{3F306444-E088-49D6-9CED-5031023142F1}"/>
    <cellStyle name="Normal 2 2 5 34 2 3" xfId="1694" xr:uid="{DDB5D662-BEA7-452B-89EC-25763CEB1D64}"/>
    <cellStyle name="Normal 2 2 5 34 2 3 2" xfId="10542" xr:uid="{6DAA82BA-113B-477A-94AE-953783D76E28}"/>
    <cellStyle name="Normal 2 2 5 34 2 4" xfId="10540" xr:uid="{388BF2EE-BEBA-4325-9DA2-FD3004CD8FE1}"/>
    <cellStyle name="Normal 2 2 5 34 3" xfId="1695" xr:uid="{6B1674F4-9C81-47D7-9146-AA0AFA5EE37A}"/>
    <cellStyle name="Normal 2 2 5 34 3 2" xfId="10543" xr:uid="{6EC27C9C-A817-43F7-845E-07D53214E623}"/>
    <cellStyle name="Normal 2 2 5 34 4" xfId="1696" xr:uid="{85F8034F-6E56-4F55-8010-62E06067AD4A}"/>
    <cellStyle name="Normal 2 2 5 34 4 2" xfId="10544" xr:uid="{79016BA2-F8C5-4129-A887-A3D09CF90ECF}"/>
    <cellStyle name="Normal 2 2 5 34 5" xfId="10539" xr:uid="{28052662-9B77-4B52-81E7-57D890819B7C}"/>
    <cellStyle name="Normal 2 2 5 35" xfId="1697" xr:uid="{A9F76742-0AF0-49EE-A402-544FD1F4CBD3}"/>
    <cellStyle name="Normal 2 2 5 35 2" xfId="1698" xr:uid="{6FCB25A1-2C63-4AD4-952E-BB60412D4E1E}"/>
    <cellStyle name="Normal 2 2 5 35 2 2" xfId="1699" xr:uid="{C9C3FAA1-D144-46DD-BE9B-869608DEEE63}"/>
    <cellStyle name="Normal 2 2 5 35 2 2 2" xfId="10547" xr:uid="{061B648A-39A6-47CB-9DC3-F67D1664CAF9}"/>
    <cellStyle name="Normal 2 2 5 35 2 3" xfId="1700" xr:uid="{55B019BE-297F-4A3C-8C5B-616F16B26DF0}"/>
    <cellStyle name="Normal 2 2 5 35 2 3 2" xfId="10548" xr:uid="{294C1324-00D0-48C6-8DE8-FBB0F5882BA8}"/>
    <cellStyle name="Normal 2 2 5 35 2 4" xfId="10546" xr:uid="{505AF344-A202-4B77-A804-C7D649EAE0C8}"/>
    <cellStyle name="Normal 2 2 5 35 3" xfId="1701" xr:uid="{A4FF70C2-AA7C-4904-B4BD-96558994032C}"/>
    <cellStyle name="Normal 2 2 5 35 3 2" xfId="10549" xr:uid="{EDDDFCDA-748A-4CBF-9672-95ED5A2D384B}"/>
    <cellStyle name="Normal 2 2 5 35 4" xfId="1702" xr:uid="{A47DD60D-04C1-4989-97DD-6B8F3768E4E8}"/>
    <cellStyle name="Normal 2 2 5 35 4 2" xfId="10550" xr:uid="{8A5A2245-E3E1-453C-BEAA-C69D80D6B8B0}"/>
    <cellStyle name="Normal 2 2 5 35 5" xfId="10545" xr:uid="{723BBF12-BFF8-460D-AC5A-FD34C21B4A96}"/>
    <cellStyle name="Normal 2 2 5 36" xfId="1703" xr:uid="{DA17C40E-EDC9-42BA-8ABD-1003D52E99FC}"/>
    <cellStyle name="Normal 2 2 5 36 2" xfId="1704" xr:uid="{38E70EC2-F730-4FF0-9762-ABA20961301B}"/>
    <cellStyle name="Normal 2 2 5 36 2 2" xfId="1705" xr:uid="{50022992-2E2B-4826-AE79-46D62A097BDF}"/>
    <cellStyle name="Normal 2 2 5 36 2 2 2" xfId="10553" xr:uid="{0D148239-75EF-443A-A580-FC232B87E7BC}"/>
    <cellStyle name="Normal 2 2 5 36 2 3" xfId="1706" xr:uid="{990524A3-2414-4C68-8F7F-0A74EAEFEA30}"/>
    <cellStyle name="Normal 2 2 5 36 2 3 2" xfId="10554" xr:uid="{FABA0795-9852-4E8D-A89F-E369758A7DE1}"/>
    <cellStyle name="Normal 2 2 5 36 2 4" xfId="10552" xr:uid="{1C111E5C-3BCD-4C39-9C09-C4F844E7CC5C}"/>
    <cellStyle name="Normal 2 2 5 36 3" xfId="1707" xr:uid="{30551596-34AA-4BCC-B5CA-77FFA0B5CD2A}"/>
    <cellStyle name="Normal 2 2 5 36 3 2" xfId="10555" xr:uid="{9F2E7A01-D72D-4144-8A70-22207A133947}"/>
    <cellStyle name="Normal 2 2 5 36 4" xfId="1708" xr:uid="{B4101840-0F48-43CD-8B12-DD8024974A45}"/>
    <cellStyle name="Normal 2 2 5 36 4 2" xfId="10556" xr:uid="{2A7F0B2E-1B5A-4B5C-9394-123853319945}"/>
    <cellStyle name="Normal 2 2 5 36 5" xfId="10551" xr:uid="{031BB828-7696-466A-8944-E3F77B6D6866}"/>
    <cellStyle name="Normal 2 2 5 37" xfId="1709" xr:uid="{5E6CBA15-F8CB-4ECD-85EA-EFEB8A08F69C}"/>
    <cellStyle name="Normal 2 2 5 37 2" xfId="1710" xr:uid="{9F42EB8A-7B07-4651-9336-4DAE32F2F441}"/>
    <cellStyle name="Normal 2 2 5 37 2 2" xfId="1711" xr:uid="{4C26CBE1-424A-4BC2-90D6-76A7F275475F}"/>
    <cellStyle name="Normal 2 2 5 37 2 2 2" xfId="10559" xr:uid="{0CBC013C-2B90-48B7-85E1-835E4E85F7FD}"/>
    <cellStyle name="Normal 2 2 5 37 2 3" xfId="1712" xr:uid="{9FED6F42-8819-437D-89D3-0911075527AA}"/>
    <cellStyle name="Normal 2 2 5 37 2 3 2" xfId="10560" xr:uid="{751BF0A8-FE52-4FDE-BA53-DF62CBF17F0E}"/>
    <cellStyle name="Normal 2 2 5 37 2 4" xfId="10558" xr:uid="{CD7DF088-1F27-454B-AE7A-2807987A6243}"/>
    <cellStyle name="Normal 2 2 5 37 3" xfId="1713" xr:uid="{BABA95E0-BDB6-4DF1-850B-86730FD20C14}"/>
    <cellStyle name="Normal 2 2 5 37 3 2" xfId="10561" xr:uid="{4B259AF4-5CD9-4C37-A856-F21BB7FD7A64}"/>
    <cellStyle name="Normal 2 2 5 37 4" xfId="1714" xr:uid="{DDEDA157-254F-4C8B-99FA-E192B9E19A5E}"/>
    <cellStyle name="Normal 2 2 5 37 4 2" xfId="10562" xr:uid="{3CD6A7B6-0CB0-4390-BF5E-300AD2675740}"/>
    <cellStyle name="Normal 2 2 5 37 5" xfId="10557" xr:uid="{8BD2450A-7AE3-4D4B-B3F7-F246EFEE98E0}"/>
    <cellStyle name="Normal 2 2 5 38" xfId="1715" xr:uid="{3DA9BE24-A3D5-477D-8601-EB873978C249}"/>
    <cellStyle name="Normal 2 2 5 38 2" xfId="1716" xr:uid="{A0DBCC4C-54C0-4C78-960F-1FE8EFBE6F3E}"/>
    <cellStyle name="Normal 2 2 5 38 2 2" xfId="1717" xr:uid="{BCA9B7C1-5569-4F27-9304-4BE6B18DAF8F}"/>
    <cellStyle name="Normal 2 2 5 38 2 2 2" xfId="10565" xr:uid="{570D269E-F706-4E57-B300-A126D1924A1E}"/>
    <cellStyle name="Normal 2 2 5 38 2 3" xfId="1718" xr:uid="{58D73C7A-3EB8-480E-9034-EE381735EBF0}"/>
    <cellStyle name="Normal 2 2 5 38 2 3 2" xfId="10566" xr:uid="{5A4BBBA8-C4EC-4B32-9375-EF02C09D3B21}"/>
    <cellStyle name="Normal 2 2 5 38 2 4" xfId="10564" xr:uid="{C163C481-E4D9-4FED-8BA2-86E57519F61B}"/>
    <cellStyle name="Normal 2 2 5 38 3" xfId="1719" xr:uid="{E76BEE59-6B07-497E-A4E3-50C8911C1E2D}"/>
    <cellStyle name="Normal 2 2 5 38 3 2" xfId="10567" xr:uid="{CDB8DBCC-BE05-4AF2-B6C5-F55C7FB86528}"/>
    <cellStyle name="Normal 2 2 5 38 4" xfId="1720" xr:uid="{87F20950-3BA8-4843-B385-7605A6C02B53}"/>
    <cellStyle name="Normal 2 2 5 38 4 2" xfId="10568" xr:uid="{66BE3736-39AD-4A96-A7C3-C03EF6CFD4AF}"/>
    <cellStyle name="Normal 2 2 5 38 5" xfId="10563" xr:uid="{E4531994-882A-49A4-99E4-317AD8274422}"/>
    <cellStyle name="Normal 2 2 5 39" xfId="1721" xr:uid="{562CBF89-1A07-4104-BE98-E13388ABBEB6}"/>
    <cellStyle name="Normal 2 2 5 39 2" xfId="1722" xr:uid="{E59AAC2F-3BE2-42B4-8660-74A5D77C9CFB}"/>
    <cellStyle name="Normal 2 2 5 39 2 2" xfId="1723" xr:uid="{D27EEE8C-12F3-4CF3-92AE-31F60B3FA73C}"/>
    <cellStyle name="Normal 2 2 5 39 2 2 2" xfId="10571" xr:uid="{359E3481-D695-453D-A3E6-E85E0AEB5553}"/>
    <cellStyle name="Normal 2 2 5 39 2 3" xfId="1724" xr:uid="{DDBB9D26-319D-4564-A6F2-E12F23A7C6CD}"/>
    <cellStyle name="Normal 2 2 5 39 2 3 2" xfId="10572" xr:uid="{5BB82250-B117-4AB6-B5B7-1CA8406DBE9B}"/>
    <cellStyle name="Normal 2 2 5 39 2 4" xfId="10570" xr:uid="{186E9E1D-49E6-4440-B1BF-3D67C755A028}"/>
    <cellStyle name="Normal 2 2 5 39 3" xfId="1725" xr:uid="{B58E7122-0C83-4DC5-8A21-E03E129909E7}"/>
    <cellStyle name="Normal 2 2 5 39 3 2" xfId="10573" xr:uid="{9306A931-7D89-49B9-B3E9-19F0492FF38D}"/>
    <cellStyle name="Normal 2 2 5 39 4" xfId="1726" xr:uid="{912BFB49-FB51-4B4E-A42E-A765B7754CA3}"/>
    <cellStyle name="Normal 2 2 5 39 4 2" xfId="10574" xr:uid="{57A6E62D-7FEF-4EE7-8BFE-5BD97A829891}"/>
    <cellStyle name="Normal 2 2 5 39 5" xfId="10569" xr:uid="{B60A6146-58FF-4E06-9DE1-E283236FF730}"/>
    <cellStyle name="Normal 2 2 5 4" xfId="1727" xr:uid="{868DE573-FE66-4208-BC3B-201E2040D8A1}"/>
    <cellStyle name="Normal 2 2 5 4 2" xfId="1728" xr:uid="{2155C04F-5618-4E41-B76D-D83278D2DBD4}"/>
    <cellStyle name="Normal 2 2 5 4 2 2" xfId="1729" xr:uid="{AFAA2FF2-5B76-4BE2-9D1E-23A1F0544041}"/>
    <cellStyle name="Normal 2 2 5 4 2 2 2" xfId="10577" xr:uid="{32162F4B-4DA0-4EFD-8B0A-F40C56938CE1}"/>
    <cellStyle name="Normal 2 2 5 4 2 3" xfId="1730" xr:uid="{C2338C78-E5C1-4545-BADE-D96473F6DC04}"/>
    <cellStyle name="Normal 2 2 5 4 2 3 2" xfId="10578" xr:uid="{B2B07AFC-1E17-40EC-B8D1-EBEFC7167405}"/>
    <cellStyle name="Normal 2 2 5 4 2 4" xfId="10576" xr:uid="{30A16F7F-4693-4748-9B99-147EE78B16F9}"/>
    <cellStyle name="Normal 2 2 5 4 3" xfId="1731" xr:uid="{189E0C99-D6D0-40E1-89CC-96E52E9F94D0}"/>
    <cellStyle name="Normal 2 2 5 4 3 2" xfId="10579" xr:uid="{5EAAD272-4A7A-433D-BA4D-F2E4499CED6A}"/>
    <cellStyle name="Normal 2 2 5 4 4" xfId="1732" xr:uid="{692C40EE-EF9C-442F-B27F-5B78E82D496B}"/>
    <cellStyle name="Normal 2 2 5 4 4 2" xfId="10580" xr:uid="{773F2D7C-3A07-4D68-974C-990E90C34697}"/>
    <cellStyle name="Normal 2 2 5 4 5" xfId="10575" xr:uid="{9D41D8F9-6266-4006-88AD-E5841CA14EF4}"/>
    <cellStyle name="Normal 2 2 5 40" xfId="1733" xr:uid="{41791CAC-3315-40BE-9654-F2DC4EF1BA14}"/>
    <cellStyle name="Normal 2 2 5 40 2" xfId="1734" xr:uid="{1CE39FF3-4967-4023-8471-1408E37174A4}"/>
    <cellStyle name="Normal 2 2 5 40 2 2" xfId="1735" xr:uid="{8BD500C9-F60A-4569-A507-BE28ED2851A6}"/>
    <cellStyle name="Normal 2 2 5 40 2 2 2" xfId="10583" xr:uid="{272A9456-75EC-4427-8861-F0E121AD8652}"/>
    <cellStyle name="Normal 2 2 5 40 2 3" xfId="1736" xr:uid="{45900AE8-A50B-4E02-8AD2-E2BC25402986}"/>
    <cellStyle name="Normal 2 2 5 40 2 3 2" xfId="10584" xr:uid="{816A269A-283B-4E38-BCF4-1115E9337ECE}"/>
    <cellStyle name="Normal 2 2 5 40 2 4" xfId="10582" xr:uid="{599809E6-49FB-480A-AEEB-CF0CFF9284F7}"/>
    <cellStyle name="Normal 2 2 5 40 3" xfId="1737" xr:uid="{C20E327A-4FCC-4E0A-8E63-58C7EA4447EC}"/>
    <cellStyle name="Normal 2 2 5 40 3 2" xfId="10585" xr:uid="{7637D42C-2501-4FD1-9F6D-9C8E0A322F5E}"/>
    <cellStyle name="Normal 2 2 5 40 4" xfId="1738" xr:uid="{3C81D8BB-4DE8-497F-9A86-765E6161E32B}"/>
    <cellStyle name="Normal 2 2 5 40 4 2" xfId="10586" xr:uid="{834DF715-F152-4006-B1AF-53CCD2E6E7B5}"/>
    <cellStyle name="Normal 2 2 5 40 5" xfId="10581" xr:uid="{F754A43D-4195-4BE9-98B2-62816210120D}"/>
    <cellStyle name="Normal 2 2 5 41" xfId="1739" xr:uid="{8AA87D24-1291-4006-B926-C764550CF00E}"/>
    <cellStyle name="Normal 2 2 5 41 2" xfId="1740" xr:uid="{BB210625-7400-4DF4-A02D-A118ED4A0223}"/>
    <cellStyle name="Normal 2 2 5 41 2 2" xfId="1741" xr:uid="{B21705CB-F657-4E9E-BF4D-57E00533B35B}"/>
    <cellStyle name="Normal 2 2 5 41 2 2 2" xfId="10589" xr:uid="{CC5968E5-17CD-4674-8F6B-04813FA7BCEA}"/>
    <cellStyle name="Normal 2 2 5 41 2 3" xfId="1742" xr:uid="{783D99D8-3354-4C23-813F-DB9FF01DB72F}"/>
    <cellStyle name="Normal 2 2 5 41 2 3 2" xfId="10590" xr:uid="{99E07558-51DE-4F0B-BC3E-249C1163FC4D}"/>
    <cellStyle name="Normal 2 2 5 41 2 4" xfId="10588" xr:uid="{3099CD41-9266-4DF1-BD9C-6EC8B74BD82E}"/>
    <cellStyle name="Normal 2 2 5 41 3" xfId="1743" xr:uid="{1B5BB524-D3CB-4601-94DE-C87987D0A951}"/>
    <cellStyle name="Normal 2 2 5 41 3 2" xfId="10591" xr:uid="{495DE656-FAB5-444C-A18C-E07772502C2E}"/>
    <cellStyle name="Normal 2 2 5 41 4" xfId="1744" xr:uid="{6EDF3AC5-D37C-42E2-AEBD-9B0DC69F901B}"/>
    <cellStyle name="Normal 2 2 5 41 4 2" xfId="10592" xr:uid="{C26B17F2-739E-4584-AF0C-59DD7D0BD7C2}"/>
    <cellStyle name="Normal 2 2 5 41 5" xfId="10587" xr:uid="{3B93D03C-7A29-4140-9FF0-D5C7B50EEBB2}"/>
    <cellStyle name="Normal 2 2 5 42" xfId="1745" xr:uid="{3DB3A072-1981-4F1A-B1C6-547ED0ED178D}"/>
    <cellStyle name="Normal 2 2 5 42 2" xfId="1746" xr:uid="{D4D5F0D9-22C0-4145-926D-D467033A048B}"/>
    <cellStyle name="Normal 2 2 5 42 2 2" xfId="1747" xr:uid="{20CB7BCC-C556-42F7-9C30-D8C5C5CC416D}"/>
    <cellStyle name="Normal 2 2 5 42 2 2 2" xfId="10595" xr:uid="{6D15F4F3-2477-4065-9E59-609909501087}"/>
    <cellStyle name="Normal 2 2 5 42 2 3" xfId="1748" xr:uid="{2ABBD9F8-79EB-451B-994C-CD60E3DA9533}"/>
    <cellStyle name="Normal 2 2 5 42 2 3 2" xfId="10596" xr:uid="{4D3507AB-3907-4982-B100-20A0252A318A}"/>
    <cellStyle name="Normal 2 2 5 42 2 4" xfId="10594" xr:uid="{3EA6A017-C895-4D39-9598-D0D0B9C5932D}"/>
    <cellStyle name="Normal 2 2 5 42 3" xfId="1749" xr:uid="{F3BD134F-2C3A-4C57-9125-EBDF36FF67AC}"/>
    <cellStyle name="Normal 2 2 5 42 3 2" xfId="10597" xr:uid="{863FF1A9-32D0-4373-AE64-A574ACF3318C}"/>
    <cellStyle name="Normal 2 2 5 42 4" xfId="1750" xr:uid="{23F8DEC4-C5AF-4549-80AD-AE93C5F7E771}"/>
    <cellStyle name="Normal 2 2 5 42 4 2" xfId="10598" xr:uid="{5941DDE5-0EF1-4A82-B7B1-897F591B9A69}"/>
    <cellStyle name="Normal 2 2 5 42 5" xfId="10593" xr:uid="{B8DB7C3F-A43E-4422-80A5-9F1492C1DBCE}"/>
    <cellStyle name="Normal 2 2 5 43" xfId="1751" xr:uid="{EFB595D3-9804-40F7-A5AD-36E3D0B5310B}"/>
    <cellStyle name="Normal 2 2 5 43 2" xfId="1752" xr:uid="{14ADCBA9-D7B8-4897-8A9D-F5FFB31C8127}"/>
    <cellStyle name="Normal 2 2 5 43 2 2" xfId="1753" xr:uid="{D5CFDEAB-EFA1-4F5D-B673-599ACA2D70D3}"/>
    <cellStyle name="Normal 2 2 5 43 2 2 2" xfId="10601" xr:uid="{D86D335B-2B67-437C-80BD-2F2F0CD34E5C}"/>
    <cellStyle name="Normal 2 2 5 43 2 3" xfId="1754" xr:uid="{FAF079BB-B726-4FC4-B255-B1C5D287B176}"/>
    <cellStyle name="Normal 2 2 5 43 2 3 2" xfId="10602" xr:uid="{F82DB6CB-1DDE-4E09-BB8B-E525C89F05A3}"/>
    <cellStyle name="Normal 2 2 5 43 2 4" xfId="10600" xr:uid="{D67813B1-84D3-47F0-9FD2-3CE239C8EFC9}"/>
    <cellStyle name="Normal 2 2 5 43 3" xfId="1755" xr:uid="{88ABC99B-E963-46D3-B14C-0DFFE151817D}"/>
    <cellStyle name="Normal 2 2 5 43 3 2" xfId="10603" xr:uid="{F76026D1-6E1F-4757-9E54-0DDB79CF2E36}"/>
    <cellStyle name="Normal 2 2 5 43 4" xfId="1756" xr:uid="{3E3E5E9F-B866-4EF3-817F-AB7A63618C58}"/>
    <cellStyle name="Normal 2 2 5 43 4 2" xfId="10604" xr:uid="{96AD16D2-D82D-456E-9228-F1D7DD8A4D9F}"/>
    <cellStyle name="Normal 2 2 5 43 5" xfId="10599" xr:uid="{5E25F59C-E551-4E02-8C33-DC2FAB275B77}"/>
    <cellStyle name="Normal 2 2 5 44" xfId="1757" xr:uid="{CFA5A00E-2A35-44E1-B53E-ADFC25393B5A}"/>
    <cellStyle name="Normal 2 2 5 44 2" xfId="1758" xr:uid="{0B0E6970-DBAE-4BD2-AEBD-E925D08F5775}"/>
    <cellStyle name="Normal 2 2 5 44 2 2" xfId="10606" xr:uid="{7EEF394A-8A6A-4C3C-BBF2-31A08C6F94FF}"/>
    <cellStyle name="Normal 2 2 5 44 3" xfId="1759" xr:uid="{D872D81F-3E15-4A54-82A6-255F21F5BB90}"/>
    <cellStyle name="Normal 2 2 5 44 3 2" xfId="10607" xr:uid="{82739C53-2DC7-4371-93B2-6CC004FC4651}"/>
    <cellStyle name="Normal 2 2 5 44 4" xfId="10605" xr:uid="{C0476597-CC6A-4050-BD65-8E4A94556DBC}"/>
    <cellStyle name="Normal 2 2 5 45" xfId="1760" xr:uid="{ECB25F21-55E8-46CA-A995-E8325CB4B1F9}"/>
    <cellStyle name="Normal 2 2 5 45 2" xfId="10608" xr:uid="{3D0CB0A1-2508-401C-8FB8-28A4EE3E095D}"/>
    <cellStyle name="Normal 2 2 5 46" xfId="1761" xr:uid="{AD62FCF8-6FBC-454A-A11F-40DBE769708F}"/>
    <cellStyle name="Normal 2 2 5 46 2" xfId="10609" xr:uid="{5D797196-CABC-4107-90F8-D559BB7E0C5B}"/>
    <cellStyle name="Normal 2 2 5 47" xfId="10382" xr:uid="{B84E66DF-2743-4D00-AD64-661DFBE302AF}"/>
    <cellStyle name="Normal 2 2 5 5" xfId="1762" xr:uid="{8C27D01A-F87A-416E-90E0-D5FDBC89FE1B}"/>
    <cellStyle name="Normal 2 2 5 5 2" xfId="1763" xr:uid="{ED409ABD-25A3-4F52-8B56-2D7A8274AC8C}"/>
    <cellStyle name="Normal 2 2 5 5 2 2" xfId="1764" xr:uid="{343B17AB-1D48-45C4-AFDD-3C0890C5DC72}"/>
    <cellStyle name="Normal 2 2 5 5 2 2 2" xfId="10612" xr:uid="{6027E53D-6B34-4B1F-A06A-4A4BE7D97EB5}"/>
    <cellStyle name="Normal 2 2 5 5 2 3" xfId="1765" xr:uid="{F9B81DFD-D0D1-4C46-8ADB-114BAAFA3236}"/>
    <cellStyle name="Normal 2 2 5 5 2 3 2" xfId="10613" xr:uid="{6E07EEA5-DB50-4E8C-8303-211E7C19C70D}"/>
    <cellStyle name="Normal 2 2 5 5 2 4" xfId="10611" xr:uid="{2902FE20-8931-439E-B5EC-9A13DFFA4C65}"/>
    <cellStyle name="Normal 2 2 5 5 3" xfId="1766" xr:uid="{BACB522D-CA74-4C68-9124-A21287DF102A}"/>
    <cellStyle name="Normal 2 2 5 5 3 2" xfId="10614" xr:uid="{A6D24ADB-9F9A-41EF-B9FF-8205BBC97B13}"/>
    <cellStyle name="Normal 2 2 5 5 4" xfId="1767" xr:uid="{93224287-2D9B-440E-B6F7-1D6BFB30B544}"/>
    <cellStyle name="Normal 2 2 5 5 4 2" xfId="10615" xr:uid="{EED18161-5949-4AA3-9621-49FA80FCB9D2}"/>
    <cellStyle name="Normal 2 2 5 5 5" xfId="10610" xr:uid="{EC0BFC4C-D70C-4A41-AB13-B457F87576B7}"/>
    <cellStyle name="Normal 2 2 5 6" xfId="1768" xr:uid="{DD6ED809-3AAD-4F7A-89D2-6D4B911DF910}"/>
    <cellStyle name="Normal 2 2 5 6 2" xfId="1769" xr:uid="{B57EA791-7C8B-49CE-B113-F617BEBF4E64}"/>
    <cellStyle name="Normal 2 2 5 6 2 2" xfId="1770" xr:uid="{7010EFC5-63FC-4F9D-A87A-E51CC626DFA0}"/>
    <cellStyle name="Normal 2 2 5 6 2 2 2" xfId="10618" xr:uid="{34D08545-71B2-4459-A3D0-AA91484BA644}"/>
    <cellStyle name="Normal 2 2 5 6 2 3" xfId="1771" xr:uid="{AD1F6B58-45F9-4D0C-A8FD-EC902790EF54}"/>
    <cellStyle name="Normal 2 2 5 6 2 3 2" xfId="10619" xr:uid="{CACCC7D3-AC0B-4F16-A6F4-6AA59735D6DF}"/>
    <cellStyle name="Normal 2 2 5 6 2 4" xfId="10617" xr:uid="{A1B51E8B-8514-4806-BA41-CD893CDEA01D}"/>
    <cellStyle name="Normal 2 2 5 6 3" xfId="1772" xr:uid="{DE4E05F6-069F-49BA-91C1-F926A4E5DCA4}"/>
    <cellStyle name="Normal 2 2 5 6 3 2" xfId="10620" xr:uid="{5CB3BB95-075E-4C99-A6AC-120DDA909EB2}"/>
    <cellStyle name="Normal 2 2 5 6 4" xfId="1773" xr:uid="{44D8B15D-0EDC-4AA6-A3FC-FCD0EDDA1135}"/>
    <cellStyle name="Normal 2 2 5 6 4 2" xfId="10621" xr:uid="{7E3B70F0-022E-46D1-A5B2-809F4F1B51DC}"/>
    <cellStyle name="Normal 2 2 5 6 5" xfId="10616" xr:uid="{500A32DF-D12D-4113-A65C-FE9B4ACC6EC0}"/>
    <cellStyle name="Normal 2 2 5 7" xfId="1774" xr:uid="{470FCF84-4305-4F90-87EA-3CAD1722661D}"/>
    <cellStyle name="Normal 2 2 5 7 2" xfId="1775" xr:uid="{1E7D199F-8177-4918-A38B-AE66DE6BE7E4}"/>
    <cellStyle name="Normal 2 2 5 7 2 2" xfId="1776" xr:uid="{1696EA6C-E05B-402B-98CE-5AA226051519}"/>
    <cellStyle name="Normal 2 2 5 7 2 2 2" xfId="10624" xr:uid="{117EDDC2-EFF6-46BB-BE2B-0E596E8A67F7}"/>
    <cellStyle name="Normal 2 2 5 7 2 3" xfId="1777" xr:uid="{A492FD9D-8E3F-4FEA-A513-9E2F4185CC97}"/>
    <cellStyle name="Normal 2 2 5 7 2 3 2" xfId="10625" xr:uid="{556763B9-7006-4DF9-9103-5ECF6708D1B5}"/>
    <cellStyle name="Normal 2 2 5 7 2 4" xfId="10623" xr:uid="{C5F86599-6618-401E-9967-6127DB730297}"/>
    <cellStyle name="Normal 2 2 5 7 3" xfId="1778" xr:uid="{3EDF4458-6C33-4499-8F05-AE56B20193AE}"/>
    <cellStyle name="Normal 2 2 5 7 3 2" xfId="10626" xr:uid="{6B6D7062-A394-4F38-8545-7606DB29CBA8}"/>
    <cellStyle name="Normal 2 2 5 7 4" xfId="1779" xr:uid="{EFB5ED3D-578C-44A4-9436-3F2C3021C79D}"/>
    <cellStyle name="Normal 2 2 5 7 4 2" xfId="10627" xr:uid="{01665CCC-59E0-4020-8B64-9391C2A4EF8A}"/>
    <cellStyle name="Normal 2 2 5 7 5" xfId="10622" xr:uid="{447EE865-5AFA-47E5-9C44-ADF28A7B3C99}"/>
    <cellStyle name="Normal 2 2 5 8" xfId="1780" xr:uid="{83D703B2-C98E-4367-8231-AB7EF69BAF8B}"/>
    <cellStyle name="Normal 2 2 5 8 2" xfId="1781" xr:uid="{0C76AC29-064F-48D7-9D9E-9FCD9ECF4E37}"/>
    <cellStyle name="Normal 2 2 5 8 2 2" xfId="1782" xr:uid="{4E16CAC4-E121-4A36-9A06-22BA86EF5316}"/>
    <cellStyle name="Normal 2 2 5 8 2 2 2" xfId="10630" xr:uid="{039B6F69-ABBC-4A86-AA27-12A6979750D2}"/>
    <cellStyle name="Normal 2 2 5 8 2 3" xfId="1783" xr:uid="{932617BB-BA91-438E-8D04-0AA938942FFC}"/>
    <cellStyle name="Normal 2 2 5 8 2 3 2" xfId="10631" xr:uid="{C978968A-B1BD-443F-A767-F441985812B4}"/>
    <cellStyle name="Normal 2 2 5 8 2 4" xfId="10629" xr:uid="{A08549D6-9EE2-45F8-8D01-0B95FB1BBEF3}"/>
    <cellStyle name="Normal 2 2 5 8 3" xfId="1784" xr:uid="{F90C8F0A-B9C2-4BA8-B69B-9D0F42558AFC}"/>
    <cellStyle name="Normal 2 2 5 8 3 2" xfId="10632" xr:uid="{819315F6-CAF0-411E-A954-3E85ACA5B6E8}"/>
    <cellStyle name="Normal 2 2 5 8 4" xfId="1785" xr:uid="{2415C0B5-0A9B-441D-8CFD-CD22B401A536}"/>
    <cellStyle name="Normal 2 2 5 8 4 2" xfId="10633" xr:uid="{227683C9-B8C1-4BAE-8100-92B1D6F2C9A7}"/>
    <cellStyle name="Normal 2 2 5 8 5" xfId="10628" xr:uid="{CF62084B-BE13-46C9-9C7D-F183F30D6FAF}"/>
    <cellStyle name="Normal 2 2 5 9" xfId="1786" xr:uid="{84818A7F-0EFD-4FB5-88AB-13E066550D40}"/>
    <cellStyle name="Normal 2 2 5 9 2" xfId="1787" xr:uid="{16342DB0-F702-42D2-9CFB-08B621D34AAF}"/>
    <cellStyle name="Normal 2 2 5 9 2 2" xfId="1788" xr:uid="{50969DA7-BBE7-450E-B6AA-613E539BDA30}"/>
    <cellStyle name="Normal 2 2 5 9 2 2 2" xfId="10636" xr:uid="{7DCE163E-5083-44EA-BEFA-F8D5FF40A81B}"/>
    <cellStyle name="Normal 2 2 5 9 2 3" xfId="1789" xr:uid="{35123FF2-72EE-4A1C-A485-05F93610B023}"/>
    <cellStyle name="Normal 2 2 5 9 2 3 2" xfId="10637" xr:uid="{5F8D24F3-22B3-4F5F-8B1F-851A4944C00B}"/>
    <cellStyle name="Normal 2 2 5 9 2 4" xfId="10635" xr:uid="{FA399F25-B0F5-4C3F-8531-DD467802D9D3}"/>
    <cellStyle name="Normal 2 2 5 9 3" xfId="1790" xr:uid="{26032A7B-FF07-4B7F-A8F5-E32AA723F654}"/>
    <cellStyle name="Normal 2 2 5 9 3 2" xfId="10638" xr:uid="{0F85BD39-CB1C-4B77-A8A3-655C6AC0D1A8}"/>
    <cellStyle name="Normal 2 2 5 9 4" xfId="1791" xr:uid="{8A838E57-40EA-437E-858F-C81A28D34CF8}"/>
    <cellStyle name="Normal 2 2 5 9 4 2" xfId="10639" xr:uid="{D1803937-A154-4602-BC4D-F5F0454F6832}"/>
    <cellStyle name="Normal 2 2 5 9 5" xfId="10634" xr:uid="{6D2893D1-651C-4D8A-9480-BF61BD6C143C}"/>
    <cellStyle name="Normal 2 2 50" xfId="1792" xr:uid="{47421B6E-63C2-4A61-ACD3-84B4266EE8AC}"/>
    <cellStyle name="Normal 2 2 50 2" xfId="1793" xr:uid="{09FDF8F9-1EB7-48E6-824C-26F72643CCE2}"/>
    <cellStyle name="Normal 2 2 50 2 2" xfId="1794" xr:uid="{34E51986-535F-41C7-87D2-FBA483470517}"/>
    <cellStyle name="Normal 2 2 50 2 2 2" xfId="10642" xr:uid="{4BE09994-9ED6-4E4D-9C2D-7DA9FA878B9B}"/>
    <cellStyle name="Normal 2 2 50 2 3" xfId="1795" xr:uid="{60941BB9-C739-495B-B2F6-C47CE080FDEB}"/>
    <cellStyle name="Normal 2 2 50 2 3 2" xfId="10643" xr:uid="{140C779B-2CF0-41B5-B9D4-3633F5E4E1AD}"/>
    <cellStyle name="Normal 2 2 50 2 4" xfId="10641" xr:uid="{CCABDFED-9EE3-4891-BC38-AC8D7FFB6CB9}"/>
    <cellStyle name="Normal 2 2 50 3" xfId="1796" xr:uid="{C6682351-A53C-4C13-AEA0-3D9C37FBB540}"/>
    <cellStyle name="Normal 2 2 50 3 2" xfId="10644" xr:uid="{6E44C927-0080-478F-ABBC-A8A3B76BCCEB}"/>
    <cellStyle name="Normal 2 2 50 4" xfId="1797" xr:uid="{0F504E0F-8F0E-458A-B32A-00285733AED9}"/>
    <cellStyle name="Normal 2 2 50 4 2" xfId="10645" xr:uid="{77785FAC-C7AB-4EF8-8D93-186BCE49047C}"/>
    <cellStyle name="Normal 2 2 50 5" xfId="10640" xr:uid="{84F10EB0-C466-46C3-B245-EADECA320A31}"/>
    <cellStyle name="Normal 2 2 51" xfId="1798" xr:uid="{0488F351-9A65-4BFA-98E9-8B9980A9D817}"/>
    <cellStyle name="Normal 2 2 51 2" xfId="1799" xr:uid="{0A76FAF5-CB2D-4F0E-A4B9-543B669693B0}"/>
    <cellStyle name="Normal 2 2 51 2 2" xfId="1800" xr:uid="{3D1944F1-4275-412A-9E74-6734EB32F1F5}"/>
    <cellStyle name="Normal 2 2 51 2 2 2" xfId="10648" xr:uid="{ECB1714E-D8BA-458D-B430-A7369B7A4070}"/>
    <cellStyle name="Normal 2 2 51 2 3" xfId="1801" xr:uid="{24FC37AE-E8CA-469F-BE91-C7DF6C06F720}"/>
    <cellStyle name="Normal 2 2 51 2 3 2" xfId="10649" xr:uid="{93A3897E-7946-4952-B693-F1D8C1A72853}"/>
    <cellStyle name="Normal 2 2 51 2 4" xfId="10647" xr:uid="{40D61113-F2C8-4154-80F2-B61017A4296F}"/>
    <cellStyle name="Normal 2 2 51 3" xfId="1802" xr:uid="{49A3BC88-B50A-42B2-B743-D9C80C94C7B5}"/>
    <cellStyle name="Normal 2 2 51 3 2" xfId="10650" xr:uid="{5EAD631C-BDF3-4955-903E-FB8CA3D867EF}"/>
    <cellStyle name="Normal 2 2 51 4" xfId="1803" xr:uid="{BA5C6DE0-BF30-4EA4-AA25-FC8F17C67E07}"/>
    <cellStyle name="Normal 2 2 51 4 2" xfId="10651" xr:uid="{A65EECAB-02F5-42D5-8C1E-5DAF97B7AB7C}"/>
    <cellStyle name="Normal 2 2 51 5" xfId="10646" xr:uid="{3FDC6CDC-AE2F-46F7-A24D-204685E021C8}"/>
    <cellStyle name="Normal 2 2 52" xfId="1804" xr:uid="{B04022DC-A78E-45A7-8B0F-22405485042F}"/>
    <cellStyle name="Normal 2 2 52 2" xfId="1805" xr:uid="{C6F01B1D-6811-43E6-8264-C56ADE3EBA82}"/>
    <cellStyle name="Normal 2 2 52 2 2" xfId="1806" xr:uid="{F6BD20C5-1968-434A-AB81-CFB9F46357F4}"/>
    <cellStyle name="Normal 2 2 52 2 2 2" xfId="10654" xr:uid="{84D56A7C-A243-4F27-9F6C-2FB9A1B285C3}"/>
    <cellStyle name="Normal 2 2 52 2 3" xfId="1807" xr:uid="{B0489D9D-E596-47C5-A783-C41A4CD2FD47}"/>
    <cellStyle name="Normal 2 2 52 2 3 2" xfId="10655" xr:uid="{E4F53B16-4CB9-433A-A3BB-0CEA3E5C5F35}"/>
    <cellStyle name="Normal 2 2 52 2 4" xfId="10653" xr:uid="{908B5998-0092-462F-91CA-48ECFD7A9867}"/>
    <cellStyle name="Normal 2 2 52 3" xfId="1808" xr:uid="{A7A79A9C-2CC6-42DD-B98F-921C11DD59BE}"/>
    <cellStyle name="Normal 2 2 52 3 2" xfId="10656" xr:uid="{7207DCDD-C213-41D3-8024-1F88D7148D77}"/>
    <cellStyle name="Normal 2 2 52 4" xfId="1809" xr:uid="{5389362E-20E9-4436-9F52-3AAF100D7194}"/>
    <cellStyle name="Normal 2 2 52 4 2" xfId="10657" xr:uid="{95575AC3-C49A-4916-A279-BFEB55BB8FB1}"/>
    <cellStyle name="Normal 2 2 52 5" xfId="10652" xr:uid="{C59EAE15-8C55-4387-A72C-D60F4D91C9D9}"/>
    <cellStyle name="Normal 2 2 53" xfId="1810" xr:uid="{7587B179-F43A-4DD4-998B-CC2F8ABE758B}"/>
    <cellStyle name="Normal 2 2 53 2" xfId="1811" xr:uid="{887FA0A1-1811-407C-87AD-4BB35D7905DF}"/>
    <cellStyle name="Normal 2 2 53 2 2" xfId="1812" xr:uid="{B6BD0632-7996-4347-BC7A-91FB2FD3CB91}"/>
    <cellStyle name="Normal 2 2 53 2 2 2" xfId="10660" xr:uid="{59ACD969-CC80-4C85-9AEC-45E4997B777E}"/>
    <cellStyle name="Normal 2 2 53 2 3" xfId="1813" xr:uid="{02322A36-D339-451C-A4DD-1E54B5289FB6}"/>
    <cellStyle name="Normal 2 2 53 2 3 2" xfId="10661" xr:uid="{984F3E19-A7A1-4444-BA59-5BA99BAF4B40}"/>
    <cellStyle name="Normal 2 2 53 2 4" xfId="10659" xr:uid="{515C7869-EC98-4681-96D5-DFE04EC8FC24}"/>
    <cellStyle name="Normal 2 2 53 3" xfId="1814" xr:uid="{86585B8C-6471-4ABF-AD69-66FB4531DC88}"/>
    <cellStyle name="Normal 2 2 53 3 2" xfId="10662" xr:uid="{FDA489DD-9253-499E-9DFC-E166D32713DD}"/>
    <cellStyle name="Normal 2 2 53 4" xfId="1815" xr:uid="{807ADD55-3683-4A56-9409-839C931730AE}"/>
    <cellStyle name="Normal 2 2 53 4 2" xfId="10663" xr:uid="{77259CEB-BA60-4165-B350-A889B12EA613}"/>
    <cellStyle name="Normal 2 2 53 5" xfId="10658" xr:uid="{204A4B03-6B09-4F5E-A53C-BED39D37631A}"/>
    <cellStyle name="Normal 2 2 54" xfId="1816" xr:uid="{4FFE71FE-8CE3-40E9-A661-E1EA6C196E64}"/>
    <cellStyle name="Normal 2 2 54 2" xfId="1817" xr:uid="{71EE2095-A01E-4323-8E4C-D04E23A2FE3E}"/>
    <cellStyle name="Normal 2 2 54 2 2" xfId="1818" xr:uid="{0102D822-3D70-46E0-B906-54354E0EC125}"/>
    <cellStyle name="Normal 2 2 54 2 2 2" xfId="10666" xr:uid="{47328A04-910D-4546-9B8F-429E69E38839}"/>
    <cellStyle name="Normal 2 2 54 2 3" xfId="1819" xr:uid="{ACA0A8E8-FD17-4CA2-99DC-C6757CB12F3E}"/>
    <cellStyle name="Normal 2 2 54 2 3 2" xfId="10667" xr:uid="{2ACA1D03-CB6E-4A69-A6DB-05B9A47A0670}"/>
    <cellStyle name="Normal 2 2 54 2 4" xfId="10665" xr:uid="{967F3EE1-2AFA-42D9-BBC0-36DF40731E40}"/>
    <cellStyle name="Normal 2 2 54 3" xfId="1820" xr:uid="{68C7A18C-D06A-46A9-86A7-E846DBDEE37B}"/>
    <cellStyle name="Normal 2 2 54 3 2" xfId="10668" xr:uid="{00D0571E-5E8C-49F2-A699-1BD44FC93349}"/>
    <cellStyle name="Normal 2 2 54 4" xfId="1821" xr:uid="{55A1B256-001B-457A-8931-D2B33525749D}"/>
    <cellStyle name="Normal 2 2 54 4 2" xfId="10669" xr:uid="{666F4816-64FA-4F66-9CC4-4F2BC2B03CA6}"/>
    <cellStyle name="Normal 2 2 54 5" xfId="10664" xr:uid="{DD71945F-F4AD-482E-91A5-8F95C96DD1DD}"/>
    <cellStyle name="Normal 2 2 55" xfId="1822" xr:uid="{8E41EEE6-70DD-4BAA-AFD1-05051B6E59CB}"/>
    <cellStyle name="Normal 2 2 55 2" xfId="1823" xr:uid="{9FE6D8DF-C3E5-4FB9-853B-FB4DF1858595}"/>
    <cellStyle name="Normal 2 2 55 2 2" xfId="1824" xr:uid="{206F379C-A683-41AE-9A32-688283496B5D}"/>
    <cellStyle name="Normal 2 2 55 2 2 2" xfId="10672" xr:uid="{8391F570-4C80-4711-A488-C4D6F3F83C18}"/>
    <cellStyle name="Normal 2 2 55 2 3" xfId="1825" xr:uid="{72196C76-A056-49A1-B24E-7CC1A6312E18}"/>
    <cellStyle name="Normal 2 2 55 2 3 2" xfId="10673" xr:uid="{1DB529A6-D301-4B78-91C9-E7980B465C46}"/>
    <cellStyle name="Normal 2 2 55 2 4" xfId="10671" xr:uid="{492FFEAD-39CD-4A3C-BEE8-3D76A29B9F03}"/>
    <cellStyle name="Normal 2 2 55 3" xfId="1826" xr:uid="{C4B81128-9D70-486C-9C40-85C5E1B01B66}"/>
    <cellStyle name="Normal 2 2 55 3 2" xfId="10674" xr:uid="{F9E91127-6127-41A4-B475-EEE43389C619}"/>
    <cellStyle name="Normal 2 2 55 4" xfId="1827" xr:uid="{A0F26BDD-0C07-4283-9DF2-D1365733031A}"/>
    <cellStyle name="Normal 2 2 55 4 2" xfId="10675" xr:uid="{A434EAA7-1420-451C-89B4-3CF85F16322D}"/>
    <cellStyle name="Normal 2 2 55 5" xfId="10670" xr:uid="{F2B84F4E-0DFD-4B5A-8AF8-0826C03EA3BF}"/>
    <cellStyle name="Normal 2 2 56" xfId="1828" xr:uid="{92DAA5CD-ABD3-4114-B124-91F35689270E}"/>
    <cellStyle name="Normal 2 2 56 2" xfId="1829" xr:uid="{B14882AC-EA7C-4C4D-A61A-2ACE50E82FF4}"/>
    <cellStyle name="Normal 2 2 56 2 2" xfId="1830" xr:uid="{A8D6D824-0388-48C5-9E8B-5E246648A050}"/>
    <cellStyle name="Normal 2 2 56 2 2 2" xfId="10678" xr:uid="{31C4E03F-A381-4703-9512-FE2547C52913}"/>
    <cellStyle name="Normal 2 2 56 2 3" xfId="1831" xr:uid="{7854C5F6-8C9F-4A1F-B8D0-7E7C80F8B3A9}"/>
    <cellStyle name="Normal 2 2 56 2 3 2" xfId="10679" xr:uid="{11A38448-8FD2-4FB3-8526-31C64FE1307D}"/>
    <cellStyle name="Normal 2 2 56 2 4" xfId="10677" xr:uid="{317B395A-2D6F-4FE8-9E44-656B242C6049}"/>
    <cellStyle name="Normal 2 2 56 3" xfId="1832" xr:uid="{7556EBF3-358C-4A87-B748-AD163EDD8FB4}"/>
    <cellStyle name="Normal 2 2 56 3 2" xfId="10680" xr:uid="{BC8CD907-69BC-46D6-8A05-085A7DE8F0B9}"/>
    <cellStyle name="Normal 2 2 56 4" xfId="1833" xr:uid="{FECBA8CD-D4AF-4E9E-88A4-6B65F1ABF63F}"/>
    <cellStyle name="Normal 2 2 56 4 2" xfId="10681" xr:uid="{5C3F232B-4673-4677-A0FF-3658B0CB1550}"/>
    <cellStyle name="Normal 2 2 56 5" xfId="10676" xr:uid="{771C7E74-605F-4905-B61C-5D89C2AAE8A1}"/>
    <cellStyle name="Normal 2 2 57" xfId="1834" xr:uid="{E2C81AC0-806B-4104-9728-30EABC9C125F}"/>
    <cellStyle name="Normal 2 2 57 2" xfId="1835" xr:uid="{22EEC464-D8EA-43EE-913D-10A19753690D}"/>
    <cellStyle name="Normal 2 2 57 2 2" xfId="1836" xr:uid="{C877CA39-7C58-40E9-A999-78EE251B898B}"/>
    <cellStyle name="Normal 2 2 57 2 2 2" xfId="10684" xr:uid="{9DBBC448-3145-4BC2-B92C-B6D8E05304DF}"/>
    <cellStyle name="Normal 2 2 57 2 3" xfId="1837" xr:uid="{0226DF3B-79C2-4437-B2DF-2E05972A910C}"/>
    <cellStyle name="Normal 2 2 57 2 3 2" xfId="10685" xr:uid="{39CB1D7C-37C8-4955-B459-B7645A57F3F7}"/>
    <cellStyle name="Normal 2 2 57 2 4" xfId="10683" xr:uid="{9EE3C2B6-7F2A-4581-8EDE-34F25AA63E6F}"/>
    <cellStyle name="Normal 2 2 57 3" xfId="1838" xr:uid="{9C0205BD-B9E8-4949-AA8D-23944F141007}"/>
    <cellStyle name="Normal 2 2 57 3 2" xfId="10686" xr:uid="{C5694E7B-221C-48DF-9326-7B8F28DB166E}"/>
    <cellStyle name="Normal 2 2 57 4" xfId="1839" xr:uid="{0BD49A2D-7BAB-4AC4-8B35-ABAE9C7BDB77}"/>
    <cellStyle name="Normal 2 2 57 4 2" xfId="10687" xr:uid="{725881A8-98E3-46D6-B4D5-C72FF3445665}"/>
    <cellStyle name="Normal 2 2 57 5" xfId="10682" xr:uid="{5241C225-2294-4A53-8557-3888AB0CE5F2}"/>
    <cellStyle name="Normal 2 2 58" xfId="1840" xr:uid="{672AC17F-F54D-4D74-B111-BEB10029CC19}"/>
    <cellStyle name="Normal 2 2 58 2" xfId="1841" xr:uid="{8BC13A59-FCC2-4DA8-82E0-7B1260B7E267}"/>
    <cellStyle name="Normal 2 2 58 2 2" xfId="1842" xr:uid="{A726DABF-9883-4804-9AC4-4DA67DB69362}"/>
    <cellStyle name="Normal 2 2 58 2 2 2" xfId="10690" xr:uid="{C78E7248-3232-4B9D-9B9F-B220E1248407}"/>
    <cellStyle name="Normal 2 2 58 2 3" xfId="1843" xr:uid="{ED07D388-0519-4A44-BE35-1BA056C51D81}"/>
    <cellStyle name="Normal 2 2 58 2 3 2" xfId="10691" xr:uid="{87224D6D-08A4-40D0-BF50-BDD0FB2F71AD}"/>
    <cellStyle name="Normal 2 2 58 2 4" xfId="10689" xr:uid="{8AC6A1A3-AFEA-481E-9E29-C8F08F0A0B36}"/>
    <cellStyle name="Normal 2 2 58 3" xfId="1844" xr:uid="{8651317F-BF41-40E6-99EA-73BE8501F6E9}"/>
    <cellStyle name="Normal 2 2 58 3 2" xfId="10692" xr:uid="{F97A1079-D480-4C02-9C64-036810A2D8C1}"/>
    <cellStyle name="Normal 2 2 58 4" xfId="1845" xr:uid="{E8E0AA99-E7D8-479B-B8D5-73624627626A}"/>
    <cellStyle name="Normal 2 2 58 4 2" xfId="10693" xr:uid="{F0DDCF93-D998-43F8-A5B4-668171E71880}"/>
    <cellStyle name="Normal 2 2 58 5" xfId="10688" xr:uid="{D707E2F5-CD8F-4DD9-A11B-E72E396FABB4}"/>
    <cellStyle name="Normal 2 2 59" xfId="1846" xr:uid="{6756A829-6CCB-4D90-A145-A5A5B9D70760}"/>
    <cellStyle name="Normal 2 2 59 2" xfId="1847" xr:uid="{F26F67C5-45B0-4209-BCA7-7F809984C25C}"/>
    <cellStyle name="Normal 2 2 59 2 2" xfId="1848" xr:uid="{F5FA4E68-BE6A-45A1-8713-3DBD1B32AD9A}"/>
    <cellStyle name="Normal 2 2 59 2 2 2" xfId="10696" xr:uid="{40F6B2B3-3CE7-4819-A386-F4C69B7FC93E}"/>
    <cellStyle name="Normal 2 2 59 2 3" xfId="1849" xr:uid="{8B97FA16-8925-4A2F-8C41-33EB454CF3EE}"/>
    <cellStyle name="Normal 2 2 59 2 3 2" xfId="10697" xr:uid="{134562AD-CD02-4054-9B7F-6423D2A013AE}"/>
    <cellStyle name="Normal 2 2 59 2 4" xfId="10695" xr:uid="{D3FA0015-A5DF-4391-87EA-3FBB02858D1E}"/>
    <cellStyle name="Normal 2 2 59 3" xfId="1850" xr:uid="{C834CE33-9486-484E-B571-9ED7574BFB30}"/>
    <cellStyle name="Normal 2 2 59 3 2" xfId="10698" xr:uid="{520FA87D-DD83-48F8-B4E3-682340BF2BB8}"/>
    <cellStyle name="Normal 2 2 59 4" xfId="1851" xr:uid="{E4F3A879-1CF1-4FBD-9471-97FCC1B46415}"/>
    <cellStyle name="Normal 2 2 59 4 2" xfId="10699" xr:uid="{C30A6FFB-1008-4027-94D9-02DF96857491}"/>
    <cellStyle name="Normal 2 2 59 5" xfId="10694" xr:uid="{769F57E1-4F26-4861-8CE9-BA6EB41171C6}"/>
    <cellStyle name="Normal 2 2 6" xfId="1852" xr:uid="{14E26D18-F556-476F-B7AC-44FCB2B74FA6}"/>
    <cellStyle name="Normal 2 2 6 2" xfId="1853" xr:uid="{FEFC4A08-BBD6-4D76-A428-68CADC0761A0}"/>
    <cellStyle name="Normal 2 2 6 2 2" xfId="1854" xr:uid="{26BBA7ED-477B-4507-8087-04512E124CB4}"/>
    <cellStyle name="Normal 2 2 6 2 2 2" xfId="10702" xr:uid="{49FB5852-5B8E-4156-97E4-07517412A817}"/>
    <cellStyle name="Normal 2 2 6 2 3" xfId="1855" xr:uid="{E7939E42-C62E-4F55-B99F-484420DBD488}"/>
    <cellStyle name="Normal 2 2 6 2 3 2" xfId="10703" xr:uid="{248A796D-98CC-4B37-91FC-15F4A3DE0AAE}"/>
    <cellStyle name="Normal 2 2 6 2 4" xfId="10701" xr:uid="{4D868E01-BC9E-4E90-A84A-627F266A428A}"/>
    <cellStyle name="Normal 2 2 6 3" xfId="1856" xr:uid="{82B96109-AEBA-42E0-8F05-1587CF01C18E}"/>
    <cellStyle name="Normal 2 2 6 3 2" xfId="10704" xr:uid="{1C25EF05-C7DB-4FAB-A0E3-491BF6B61822}"/>
    <cellStyle name="Normal 2 2 6 4" xfId="1857" xr:uid="{2A8617BF-D3B7-4C9E-BF80-9D871BFBE5F6}"/>
    <cellStyle name="Normal 2 2 6 4 2" xfId="10705" xr:uid="{1BFCD3D5-B0B9-4514-8192-9EC8765C24B1}"/>
    <cellStyle name="Normal 2 2 6 5" xfId="10700" xr:uid="{7791C845-79C7-49A5-938F-42D3E8D7B5C6}"/>
    <cellStyle name="Normal 2 2 60" xfId="1858" xr:uid="{C43DC8C2-B0F5-4F0E-AB9A-A85D016740D2}"/>
    <cellStyle name="Normal 2 2 60 2" xfId="1859" xr:uid="{9E293633-267F-4A11-BC1F-4AAFB1DAB9D0}"/>
    <cellStyle name="Normal 2 2 60 2 2" xfId="1860" xr:uid="{F606094C-F5A4-49CB-8841-6B11458921F1}"/>
    <cellStyle name="Normal 2 2 60 2 2 2" xfId="10708" xr:uid="{76EB516F-85FA-4F6F-9691-D3FC02272022}"/>
    <cellStyle name="Normal 2 2 60 2 3" xfId="1861" xr:uid="{674B8B45-1EBE-45B9-AD46-B42F02086A15}"/>
    <cellStyle name="Normal 2 2 60 2 3 2" xfId="10709" xr:uid="{31EC1B9C-D817-4377-B786-D75DEB2ECA91}"/>
    <cellStyle name="Normal 2 2 60 2 4" xfId="10707" xr:uid="{142BD776-CE03-4965-ACD3-F64E7F30844B}"/>
    <cellStyle name="Normal 2 2 60 3" xfId="1862" xr:uid="{2F17EFF6-396C-4F00-B680-082029C3919D}"/>
    <cellStyle name="Normal 2 2 60 3 2" xfId="10710" xr:uid="{3555E4EF-09A9-4C62-830E-A84619CDCEDB}"/>
    <cellStyle name="Normal 2 2 60 4" xfId="1863" xr:uid="{DB0A13A2-E91E-4FE7-832A-984FA1D9461C}"/>
    <cellStyle name="Normal 2 2 60 4 2" xfId="10711" xr:uid="{E105C2E1-073C-465C-ABBF-335FDF51AAB1}"/>
    <cellStyle name="Normal 2 2 60 5" xfId="10706" xr:uid="{6ABF2CBD-3B0C-483D-831A-5CE8CF843330}"/>
    <cellStyle name="Normal 2 2 61" xfId="1864" xr:uid="{64E6E9A4-8FDA-4060-8DF1-5842A2B3632F}"/>
    <cellStyle name="Normal 2 2 61 2" xfId="1865" xr:uid="{C8526415-B057-474F-9565-72588764C1F0}"/>
    <cellStyle name="Normal 2 2 61 2 2" xfId="10713" xr:uid="{5A7F7F4D-80A2-4EB8-9FD7-AEECFB5045B7}"/>
    <cellStyle name="Normal 2 2 61 3" xfId="1866" xr:uid="{84512A8A-AA98-4C42-B885-C09E0E86CDBC}"/>
    <cellStyle name="Normal 2 2 61 3 2" xfId="10714" xr:uid="{28BA26CB-35B8-43C2-AF46-6D4F8A4731E2}"/>
    <cellStyle name="Normal 2 2 61 4" xfId="10712" xr:uid="{6BEA0CD6-26D6-4E11-964E-F31043029097}"/>
    <cellStyle name="Normal 2 2 62" xfId="1867" xr:uid="{8E802734-D341-4332-95C0-5701A47B61E8}"/>
    <cellStyle name="Normal 2 2 62 2" xfId="10715" xr:uid="{F2B02B36-B274-4596-A13C-DE49408A145A}"/>
    <cellStyle name="Normal 2 2 63" xfId="1868" xr:uid="{41903531-BD70-46B7-955D-10D4F5D153E6}"/>
    <cellStyle name="Normal 2 2 63 2" xfId="10716" xr:uid="{A576830A-1B4B-4D2E-9892-6F1637B1B2BC}"/>
    <cellStyle name="Normal 2 2 64" xfId="1869" xr:uid="{E15A416B-64B5-4EF6-80FF-3D13FD7AE0BE}"/>
    <cellStyle name="Normal 2 2 65" xfId="503" xr:uid="{CEBE11B4-5FD5-4D3C-BD95-6432E63225E3}"/>
    <cellStyle name="Normal 2 2 66" xfId="9362" xr:uid="{5E06DBB8-0CAE-439F-8442-78878BF76897}"/>
    <cellStyle name="Normal 2 2 7" xfId="1870" xr:uid="{6982B912-9036-4E65-A92F-3C015BBBB65C}"/>
    <cellStyle name="Normal 2 2 7 2" xfId="1871" xr:uid="{63D798DC-8DBF-4DD1-917D-68FF90305477}"/>
    <cellStyle name="Normal 2 2 7 2 2" xfId="1872" xr:uid="{8479DF58-219F-4E3F-8DF1-C78BA349966B}"/>
    <cellStyle name="Normal 2 2 7 2 2 2" xfId="10719" xr:uid="{B4748AED-8EDD-47FC-AA11-6F8885503022}"/>
    <cellStyle name="Normal 2 2 7 2 3" xfId="1873" xr:uid="{DC75E7D1-60C0-48EC-8C72-A130CBDD1712}"/>
    <cellStyle name="Normal 2 2 7 2 3 2" xfId="10720" xr:uid="{90BD9002-53C5-4C46-AC4D-078EFF6CD80F}"/>
    <cellStyle name="Normal 2 2 7 2 4" xfId="10718" xr:uid="{725332B5-9128-4A68-9C50-60EB547FABCC}"/>
    <cellStyle name="Normal 2 2 7 3" xfId="1874" xr:uid="{9620B3C5-9F02-4031-8E92-CE3D67890354}"/>
    <cellStyle name="Normal 2 2 7 3 2" xfId="10721" xr:uid="{EB2CAB5E-7874-4132-9E0F-8345BD3B5E66}"/>
    <cellStyle name="Normal 2 2 7 4" xfId="1875" xr:uid="{4FA9087C-6B91-44C5-81F4-6E91C707BDF6}"/>
    <cellStyle name="Normal 2 2 7 4 2" xfId="10722" xr:uid="{B5E4215D-8B31-4EEE-8AB0-E2B5A35C71FE}"/>
    <cellStyle name="Normal 2 2 7 5" xfId="10717" xr:uid="{8B92F3C3-2107-4C0C-84CF-655468CC785D}"/>
    <cellStyle name="Normal 2 2 8" xfId="1876" xr:uid="{1C6DC7E8-4656-4C0D-ACD5-AB3ADF78B845}"/>
    <cellStyle name="Normal 2 2 8 2" xfId="1877" xr:uid="{FB2CC9BE-51C7-48BD-B96B-1ECCEF5BA22E}"/>
    <cellStyle name="Normal 2 2 8 2 2" xfId="1878" xr:uid="{E1B8D9FD-F9B2-43AD-BF4E-00B3D8EF6F4E}"/>
    <cellStyle name="Normal 2 2 8 2 2 2" xfId="10725" xr:uid="{BD61CE75-F4F9-4B4B-A0A7-774398219DD0}"/>
    <cellStyle name="Normal 2 2 8 2 3" xfId="1879" xr:uid="{B9D1F633-56D5-41F6-9C8C-A818B8FC1765}"/>
    <cellStyle name="Normal 2 2 8 2 3 2" xfId="10726" xr:uid="{D22CACFA-4760-4BD8-A246-B7600C3535F1}"/>
    <cellStyle name="Normal 2 2 8 2 4" xfId="10724" xr:uid="{CE10E7AF-EA02-4966-9717-162FF6277AE3}"/>
    <cellStyle name="Normal 2 2 8 3" xfId="1880" xr:uid="{57F3C94A-E6D5-4226-BE1F-18D29D1266C5}"/>
    <cellStyle name="Normal 2 2 8 3 2" xfId="10727" xr:uid="{93A65C4E-1E25-4CAC-BB1A-E7A1FCF3805E}"/>
    <cellStyle name="Normal 2 2 8 4" xfId="1881" xr:uid="{C53D4DFD-2992-45FB-B0D3-B70C2B296B11}"/>
    <cellStyle name="Normal 2 2 8 4 2" xfId="10728" xr:uid="{66A47B92-2939-4C69-98B0-CC680FC3163C}"/>
    <cellStyle name="Normal 2 2 8 5" xfId="10723" xr:uid="{D85A103E-98B2-47DF-B383-502D1307044B}"/>
    <cellStyle name="Normal 2 2 9" xfId="1882" xr:uid="{814FF854-4149-4FD0-8ECF-6D92051C700D}"/>
    <cellStyle name="Normal 2 2 9 2" xfId="1883" xr:uid="{2DFD2F54-E3C1-432C-8D03-99E764AB0AAA}"/>
    <cellStyle name="Normal 2 2 9 2 2" xfId="1884" xr:uid="{183CBB24-E090-4BF2-BEF0-9BAC783A9B19}"/>
    <cellStyle name="Normal 2 2 9 2 2 2" xfId="10731" xr:uid="{45FB91F6-3528-4CDF-98CC-6A8B1C63B71F}"/>
    <cellStyle name="Normal 2 2 9 2 3" xfId="1885" xr:uid="{0EB844F1-D6DD-462F-BECE-53AB4B2CCCE8}"/>
    <cellStyle name="Normal 2 2 9 2 3 2" xfId="10732" xr:uid="{48539167-4809-4CB1-88B5-F9692699F948}"/>
    <cellStyle name="Normal 2 2 9 2 4" xfId="10730" xr:uid="{9A2FD491-444E-495E-8C4B-D57C1440E338}"/>
    <cellStyle name="Normal 2 2 9 3" xfId="1886" xr:uid="{43EDB155-9169-4E10-ACFA-AAF9740ED515}"/>
    <cellStyle name="Normal 2 2 9 3 2" xfId="10733" xr:uid="{C09E1BF2-A966-4AD0-A75A-3DEE58ED956A}"/>
    <cellStyle name="Normal 2 2 9 4" xfId="1887" xr:uid="{4A155674-9FA7-41DF-8EB9-E4C0A4CC458B}"/>
    <cellStyle name="Normal 2 2 9 4 2" xfId="10734" xr:uid="{BAA88ACF-7ED7-431B-87D9-9876D0F9BC69}"/>
    <cellStyle name="Normal 2 2 9 5" xfId="10729" xr:uid="{E58A0299-57CE-44B7-98EC-5F19392F6A9C}"/>
    <cellStyle name="Normal 2 20" xfId="1888" xr:uid="{98F7A1E8-4712-4CCC-BCF2-CFA52B21A4B0}"/>
    <cellStyle name="Normal 2 20 2" xfId="1889" xr:uid="{422ECE38-A83F-4834-A346-EEB0A8084C38}"/>
    <cellStyle name="Normal 2 20 2 2" xfId="1890" xr:uid="{63489911-6196-45F4-A88E-6BCB7658228F}"/>
    <cellStyle name="Normal 2 20 2 2 2" xfId="10737" xr:uid="{692F582A-90CC-45D1-9749-64B861D2E8B7}"/>
    <cellStyle name="Normal 2 20 2 3" xfId="1891" xr:uid="{91D6C822-3193-494A-BF9C-A3C8A17EA827}"/>
    <cellStyle name="Normal 2 20 2 3 2" xfId="10738" xr:uid="{120EC62B-DF06-45BB-A488-6C31076AD827}"/>
    <cellStyle name="Normal 2 20 2 4" xfId="10736" xr:uid="{88726010-D310-40DF-9FBF-B514943D0FB0}"/>
    <cellStyle name="Normal 2 20 3" xfId="1892" xr:uid="{B4E85C7F-FEEB-4E03-8774-53E860150DEA}"/>
    <cellStyle name="Normal 2 20 3 2" xfId="10739" xr:uid="{14D0D99C-2BE1-44A4-91E7-AF5F76F51AC6}"/>
    <cellStyle name="Normal 2 20 4" xfId="1893" xr:uid="{98D641DB-3700-4921-8833-0F41F03AF4A4}"/>
    <cellStyle name="Normal 2 20 4 2" xfId="10740" xr:uid="{149DE1A5-D018-4CAF-A069-99D7891F8B95}"/>
    <cellStyle name="Normal 2 20 5" xfId="10735" xr:uid="{701CFA7F-C45A-4631-9D4C-939C8B664F4E}"/>
    <cellStyle name="Normal 2 21" xfId="1894" xr:uid="{54AA6619-EB25-4D03-A73C-3FF06C1C7958}"/>
    <cellStyle name="Normal 2 21 2" xfId="1895" xr:uid="{B2E3C5AF-963F-48A1-B0F2-958F3F4B8DBC}"/>
    <cellStyle name="Normal 2 21 2 2" xfId="1896" xr:uid="{419B60EE-E61E-49BF-9FC2-D2DC3595BCDD}"/>
    <cellStyle name="Normal 2 21 2 2 2" xfId="10743" xr:uid="{D58760B9-F312-4B1D-98E3-5B187BE4FDCB}"/>
    <cellStyle name="Normal 2 21 2 3" xfId="1897" xr:uid="{7C42017A-A776-493A-8ECE-5265036261D7}"/>
    <cellStyle name="Normal 2 21 2 3 2" xfId="10744" xr:uid="{5D935741-4BA6-4323-B75C-F75AAEB7EA2E}"/>
    <cellStyle name="Normal 2 21 2 4" xfId="10742" xr:uid="{7BA3F981-3A9F-4AEB-A5BB-02622C53C032}"/>
    <cellStyle name="Normal 2 21 3" xfId="1898" xr:uid="{76F8C346-9FB3-47C1-9E06-87BAACECCA8F}"/>
    <cellStyle name="Normal 2 21 3 2" xfId="10745" xr:uid="{71088872-95EA-42A1-9EC4-4CF9C02CB374}"/>
    <cellStyle name="Normal 2 21 4" xfId="1899" xr:uid="{E2C7FAC8-2269-449F-9847-98C09B89644D}"/>
    <cellStyle name="Normal 2 21 4 2" xfId="10746" xr:uid="{420F92FC-995D-46C3-9275-8B38FE80D460}"/>
    <cellStyle name="Normal 2 21 5" xfId="10741" xr:uid="{8AB5D6BF-1381-4F75-85C9-E9143A09EB5E}"/>
    <cellStyle name="Normal 2 22" xfId="1900" xr:uid="{B630897C-71FB-4EB7-A69D-2AF42F2C1292}"/>
    <cellStyle name="Normal 2 22 2" xfId="1901" xr:uid="{68283243-9923-4E0B-856F-6421CFEB6A69}"/>
    <cellStyle name="Normal 2 22 2 2" xfId="1902" xr:uid="{D59F4181-5FC7-4956-824C-2B62C4AAA002}"/>
    <cellStyle name="Normal 2 22 2 2 2" xfId="10749" xr:uid="{781F4489-9A31-4B54-AE29-C58668BC06C2}"/>
    <cellStyle name="Normal 2 22 2 3" xfId="1903" xr:uid="{59EF64AF-AFAE-46A1-BC13-0C625505F865}"/>
    <cellStyle name="Normal 2 22 2 3 2" xfId="10750" xr:uid="{8176CF6A-CCAD-4286-A4AA-38B1A0B74BE8}"/>
    <cellStyle name="Normal 2 22 2 4" xfId="10748" xr:uid="{AFD73583-7BDA-40C7-89DE-DA911B0E5368}"/>
    <cellStyle name="Normal 2 22 3" xfId="1904" xr:uid="{1F927535-689B-4981-80BB-F012BF416240}"/>
    <cellStyle name="Normal 2 22 3 2" xfId="10751" xr:uid="{604ADAF0-7DE7-4E94-982D-440943B893C3}"/>
    <cellStyle name="Normal 2 22 4" xfId="1905" xr:uid="{7C07897C-F9B1-4758-953C-CA57A6FCA573}"/>
    <cellStyle name="Normal 2 22 4 2" xfId="10752" xr:uid="{D14CBBF8-AC0B-4ACF-8F81-BC03E4660A4F}"/>
    <cellStyle name="Normal 2 22 5" xfId="10747" xr:uid="{37A44E70-E806-4574-91EF-EEF5F28CE94C}"/>
    <cellStyle name="Normal 2 23" xfId="1906" xr:uid="{5E82707F-A555-42CF-8736-6F89606E5098}"/>
    <cellStyle name="Normal 2 23 2" xfId="1907" xr:uid="{52632AD1-B5AC-4359-B84C-ED6B346033A3}"/>
    <cellStyle name="Normal 2 23 2 2" xfId="1908" xr:uid="{DCA5F161-AB78-4D7C-A56A-AC5ECF2FF874}"/>
    <cellStyle name="Normal 2 23 2 2 2" xfId="10755" xr:uid="{E48190CF-1909-40B4-953D-E349224B2068}"/>
    <cellStyle name="Normal 2 23 2 3" xfId="1909" xr:uid="{3FCC8F9B-94FE-4742-B9D6-2256F23D1BD2}"/>
    <cellStyle name="Normal 2 23 2 3 2" xfId="10756" xr:uid="{DE447C05-53A0-4FCB-AD33-1B1C44D506A9}"/>
    <cellStyle name="Normal 2 23 2 4" xfId="10754" xr:uid="{64E9AACE-7BAA-4979-9005-0212D1DDFA3E}"/>
    <cellStyle name="Normal 2 23 3" xfId="1910" xr:uid="{2078B845-C3E1-49DA-8DF1-94C69AA528CE}"/>
    <cellStyle name="Normal 2 23 3 2" xfId="10757" xr:uid="{149020F5-1590-433B-816D-E7380248033A}"/>
    <cellStyle name="Normal 2 23 4" xfId="1911" xr:uid="{569B8C48-90AF-4A91-9679-F9A972475410}"/>
    <cellStyle name="Normal 2 23 4 2" xfId="10758" xr:uid="{D1A65E98-FCAB-41C2-B725-C36064F1F487}"/>
    <cellStyle name="Normal 2 23 5" xfId="10753" xr:uid="{4D03BC03-5530-499D-9958-B511C4335B33}"/>
    <cellStyle name="Normal 2 24" xfId="1912" xr:uid="{10E1DCCC-C023-4019-974F-A02669BFC756}"/>
    <cellStyle name="Normal 2 24 2" xfId="1913" xr:uid="{5E39CC91-088F-49AF-980E-3C1B0257868D}"/>
    <cellStyle name="Normal 2 24 2 2" xfId="1914" xr:uid="{DA88382F-0754-47E9-8E64-D9DA46E3D2B2}"/>
    <cellStyle name="Normal 2 24 2 2 2" xfId="10761" xr:uid="{304F155F-0BA9-4E87-AD4E-E65AC763633A}"/>
    <cellStyle name="Normal 2 24 2 3" xfId="1915" xr:uid="{46CB9A9C-939C-4438-936E-B2843D46D6F8}"/>
    <cellStyle name="Normal 2 24 2 3 2" xfId="10762" xr:uid="{7FF01DC2-2573-431D-A0CF-D4146119A45C}"/>
    <cellStyle name="Normal 2 24 2 4" xfId="10760" xr:uid="{81BC0CB3-0465-45EC-8F80-D367C1A1097A}"/>
    <cellStyle name="Normal 2 24 3" xfId="1916" xr:uid="{8B029220-6C4E-44C1-9D8C-70363B1FD166}"/>
    <cellStyle name="Normal 2 24 3 2" xfId="10763" xr:uid="{6DBBE64C-3836-4A1F-9A44-860213447D4A}"/>
    <cellStyle name="Normal 2 24 4" xfId="1917" xr:uid="{6CAD8530-0DC1-4F22-9226-3CDEDB759BAE}"/>
    <cellStyle name="Normal 2 24 4 2" xfId="10764" xr:uid="{F35F12EA-0734-4C6E-B3D4-3E1E0D7DEDD0}"/>
    <cellStyle name="Normal 2 24 5" xfId="10759" xr:uid="{AEB1689C-0692-4CEE-B076-65541C175A54}"/>
    <cellStyle name="Normal 2 25" xfId="1918" xr:uid="{A74C886E-3829-4E34-94AE-180F0FE1B80F}"/>
    <cellStyle name="Normal 2 25 2" xfId="1919" xr:uid="{9179B26D-6922-499D-A9AC-D5B17AF279A0}"/>
    <cellStyle name="Normal 2 25 2 2" xfId="1920" xr:uid="{078CD6E3-51C8-4C4B-AA0C-1E4746F39653}"/>
    <cellStyle name="Normal 2 25 2 2 2" xfId="10767" xr:uid="{11E56808-6D2E-42DF-896A-6AA8EBD58E3D}"/>
    <cellStyle name="Normal 2 25 2 3" xfId="1921" xr:uid="{67D84145-A7D5-4F30-AB56-46C7D62C0A2D}"/>
    <cellStyle name="Normal 2 25 2 3 2" xfId="10768" xr:uid="{1085C9B7-05D3-45B6-B302-D2249742AB55}"/>
    <cellStyle name="Normal 2 25 2 4" xfId="10766" xr:uid="{72682F21-D10C-4312-B0FD-2CB8DAB296CF}"/>
    <cellStyle name="Normal 2 25 3" xfId="1922" xr:uid="{06938B25-24D2-401C-8958-F4E302C0E4F4}"/>
    <cellStyle name="Normal 2 25 3 2" xfId="10769" xr:uid="{059843A9-021A-435B-A584-3F4E881E7717}"/>
    <cellStyle name="Normal 2 25 4" xfId="1923" xr:uid="{E776291B-36CF-4266-976B-835684CEE755}"/>
    <cellStyle name="Normal 2 25 4 2" xfId="10770" xr:uid="{05119B38-9DDD-4B02-A636-00D12898652E}"/>
    <cellStyle name="Normal 2 25 5" xfId="10765" xr:uid="{45B48BA2-5C70-4403-9836-EC643699EE39}"/>
    <cellStyle name="Normal 2 26" xfId="1924" xr:uid="{8A12D7E2-AFFD-4486-947A-1EC8E1E35BE0}"/>
    <cellStyle name="Normal 2 26 2" xfId="1925" xr:uid="{8A1AF5C2-1E6C-4C27-85DF-AC483CFE45E0}"/>
    <cellStyle name="Normal 2 26 2 2" xfId="1926" xr:uid="{7A8A74C4-4E1F-4501-8622-8F8DDCA1788F}"/>
    <cellStyle name="Normal 2 26 2 2 2" xfId="10773" xr:uid="{EB27097F-28C1-4B18-88C6-6AB0200D0F74}"/>
    <cellStyle name="Normal 2 26 2 3" xfId="1927" xr:uid="{45D8DF95-BC9C-463C-A4F2-2738BCEDB8FC}"/>
    <cellStyle name="Normal 2 26 2 3 2" xfId="10774" xr:uid="{6E042A4E-6F25-4659-866C-277CB38FB385}"/>
    <cellStyle name="Normal 2 26 2 4" xfId="10772" xr:uid="{1F3EF7E7-B0D4-453A-B902-FD7A26ACA175}"/>
    <cellStyle name="Normal 2 26 3" xfId="1928" xr:uid="{C1CA07C1-78FC-4A48-8EAC-0A2A78745D1E}"/>
    <cellStyle name="Normal 2 26 3 2" xfId="10775" xr:uid="{FF61E432-5D54-47F4-83F4-178D6CB3D9BC}"/>
    <cellStyle name="Normal 2 26 4" xfId="1929" xr:uid="{4FD162F1-922A-44A0-8DDD-070A2BD6A401}"/>
    <cellStyle name="Normal 2 26 4 2" xfId="10776" xr:uid="{F6D87653-FA93-42B1-8DF4-B2A0A719600A}"/>
    <cellStyle name="Normal 2 26 5" xfId="10771" xr:uid="{ABD40166-90FB-483B-9961-2CE6874A43B7}"/>
    <cellStyle name="Normal 2 27" xfId="1930" xr:uid="{1EF33F32-BC03-48E0-A348-6DA9D3225B09}"/>
    <cellStyle name="Normal 2 27 2" xfId="1931" xr:uid="{17C774D3-56C0-430C-B10C-759508D81474}"/>
    <cellStyle name="Normal 2 27 2 2" xfId="1932" xr:uid="{92637F55-C0C7-4343-91A7-E8845245ACE1}"/>
    <cellStyle name="Normal 2 27 2 2 2" xfId="10779" xr:uid="{59049050-400A-42F2-814F-9AC737E5E337}"/>
    <cellStyle name="Normal 2 27 2 3" xfId="1933" xr:uid="{5DEACB60-F418-41C0-BFC9-03FCF050F386}"/>
    <cellStyle name="Normal 2 27 2 3 2" xfId="10780" xr:uid="{5FBA9DA5-2379-43B8-B7C2-2D351592C26C}"/>
    <cellStyle name="Normal 2 27 2 4" xfId="10778" xr:uid="{CC6AE340-E1B1-440C-BD40-A4304AAC6E30}"/>
    <cellStyle name="Normal 2 27 3" xfId="1934" xr:uid="{0C3EEEC7-6409-40CE-909D-66998582D580}"/>
    <cellStyle name="Normal 2 27 3 2" xfId="10781" xr:uid="{11786481-C5F0-4A53-A8A7-51E3D7BC02D7}"/>
    <cellStyle name="Normal 2 27 4" xfId="1935" xr:uid="{D04B4AF7-4935-4605-92E5-5FB71DCABFBE}"/>
    <cellStyle name="Normal 2 27 4 2" xfId="10782" xr:uid="{2EECBDB1-6E1B-4D86-8F92-5AD28753EE19}"/>
    <cellStyle name="Normal 2 27 5" xfId="10777" xr:uid="{C5D5DBED-0513-4318-84A7-ED101B65AD12}"/>
    <cellStyle name="Normal 2 28" xfId="1936" xr:uid="{9D184FBF-F103-446C-82EF-CC8CC709DC91}"/>
    <cellStyle name="Normal 2 28 2" xfId="1937" xr:uid="{241F3215-2C2C-4134-B452-87C2D650623D}"/>
    <cellStyle name="Normal 2 28 2 2" xfId="1938" xr:uid="{1D324375-DF1A-42E9-8444-7F41F541C2BA}"/>
    <cellStyle name="Normal 2 28 2 2 2" xfId="10785" xr:uid="{3D29F3C4-CD84-446F-A9C0-F208818E4C7D}"/>
    <cellStyle name="Normal 2 28 2 3" xfId="1939" xr:uid="{E6803326-A23F-438F-8332-7417FF5A178E}"/>
    <cellStyle name="Normal 2 28 2 3 2" xfId="10786" xr:uid="{3B967F35-9CAE-4645-9C39-A4853C7A105E}"/>
    <cellStyle name="Normal 2 28 2 4" xfId="10784" xr:uid="{7F728CE6-2E57-40E4-ABF9-8FAA1B357DA2}"/>
    <cellStyle name="Normal 2 28 3" xfId="1940" xr:uid="{40ADB900-6F8D-4718-B704-E3F735D69C6B}"/>
    <cellStyle name="Normal 2 28 3 2" xfId="10787" xr:uid="{A8CD8095-FF9F-4232-95A2-7937DB3FBE18}"/>
    <cellStyle name="Normal 2 28 4" xfId="1941" xr:uid="{3FF5E580-C30B-4E42-A6F9-7EF3046E1C1A}"/>
    <cellStyle name="Normal 2 28 4 2" xfId="10788" xr:uid="{2DF06F0C-1C9E-4DBB-BCFB-CAF625C48C5B}"/>
    <cellStyle name="Normal 2 28 5" xfId="10783" xr:uid="{82451C40-C5B2-40BE-A22A-784EF24FA01F}"/>
    <cellStyle name="Normal 2 29" xfId="1942" xr:uid="{81F8A3AD-7F5F-45C0-B7FB-310EC77C82A4}"/>
    <cellStyle name="Normal 2 29 2" xfId="1943" xr:uid="{EFDCF4B7-2EB2-46C9-86E2-63D65A60EADC}"/>
    <cellStyle name="Normal 2 29 2 2" xfId="1944" xr:uid="{FB3EE65D-EB3D-4862-8A04-2A62174B2CB4}"/>
    <cellStyle name="Normal 2 29 2 2 2" xfId="10791" xr:uid="{026E7835-E128-4573-B829-BD4FB7966594}"/>
    <cellStyle name="Normal 2 29 2 3" xfId="1945" xr:uid="{6355295F-A9D9-46A8-AA06-2F35ED64546B}"/>
    <cellStyle name="Normal 2 29 2 3 2" xfId="10792" xr:uid="{A34350F3-2E6B-4DDA-A501-726815C46421}"/>
    <cellStyle name="Normal 2 29 2 4" xfId="10790" xr:uid="{DD785061-AFE2-401D-9282-76AE02436E0D}"/>
    <cellStyle name="Normal 2 29 3" xfId="1946" xr:uid="{520B40AF-0F3C-4642-AF7B-6D24F5D440A4}"/>
    <cellStyle name="Normal 2 29 3 2" xfId="10793" xr:uid="{0FDC9C43-AA51-4028-AD1A-C32840B98EF5}"/>
    <cellStyle name="Normal 2 29 4" xfId="1947" xr:uid="{77797C1B-172E-4475-A808-A4CDB04BEA65}"/>
    <cellStyle name="Normal 2 29 4 2" xfId="10794" xr:uid="{73CB6E18-E778-447F-9CE3-09702509DF29}"/>
    <cellStyle name="Normal 2 29 5" xfId="10789" xr:uid="{C5DC0BBA-6BDB-498A-BEF4-7789E50395BC}"/>
    <cellStyle name="Normal 2 3" xfId="1948" xr:uid="{B650296A-AD19-42CA-8A76-1F92BCBB29B6}"/>
    <cellStyle name="Normal 2 3 10" xfId="1949" xr:uid="{208D8FC7-2EF7-417D-967A-AE92BC4EE05E}"/>
    <cellStyle name="Normal 2 3 10 2" xfId="1950" xr:uid="{7810573C-5ABA-4E46-BBC0-1757BBD337AB}"/>
    <cellStyle name="Normal 2 3 10 2 2" xfId="1951" xr:uid="{9F3D7B0D-F1A6-4001-830B-943416D371E7}"/>
    <cellStyle name="Normal 2 3 10 2 2 2" xfId="10798" xr:uid="{28E7E65D-1561-45F8-A208-8BE4AEA20575}"/>
    <cellStyle name="Normal 2 3 10 2 3" xfId="1952" xr:uid="{51C0111E-1B93-4652-B41E-01515175420E}"/>
    <cellStyle name="Normal 2 3 10 2 3 2" xfId="10799" xr:uid="{DBC16F49-B4FA-49E4-9F3F-51F58C803385}"/>
    <cellStyle name="Normal 2 3 10 2 4" xfId="10797" xr:uid="{ADDC6ED0-3D02-44DF-8D2D-491AFAC51FD6}"/>
    <cellStyle name="Normal 2 3 10 3" xfId="1953" xr:uid="{AC073139-0F6F-499F-8D0C-848DC9070035}"/>
    <cellStyle name="Normal 2 3 10 3 2" xfId="10800" xr:uid="{09E2E1CB-C8C7-4C8D-87FE-4680B9D8B894}"/>
    <cellStyle name="Normal 2 3 10 4" xfId="1954" xr:uid="{9CFC15F9-71F2-4E5C-A077-0991F28440F8}"/>
    <cellStyle name="Normal 2 3 10 4 2" xfId="10801" xr:uid="{FD2728A2-7124-4C1C-835E-BC94E788B1ED}"/>
    <cellStyle name="Normal 2 3 10 5" xfId="10796" xr:uid="{3C8D2D23-9D10-41F4-BA4F-660595E043F3}"/>
    <cellStyle name="Normal 2 3 11" xfId="1955" xr:uid="{6A6CB712-92A1-4824-9811-07C89EA5FD54}"/>
    <cellStyle name="Normal 2 3 11 2" xfId="1956" xr:uid="{532D71A3-A2E6-4D41-A553-27AF91AEB77D}"/>
    <cellStyle name="Normal 2 3 11 2 2" xfId="1957" xr:uid="{302D2E69-AAA2-4351-961A-51207127E41E}"/>
    <cellStyle name="Normal 2 3 11 2 2 2" xfId="10804" xr:uid="{ADD041D0-AA83-43CF-A3A5-C994F7F9DD40}"/>
    <cellStyle name="Normal 2 3 11 2 3" xfId="1958" xr:uid="{ED30942C-75DA-4F1F-B96A-7851D288748B}"/>
    <cellStyle name="Normal 2 3 11 2 3 2" xfId="10805" xr:uid="{06CD7ED6-81CE-46CC-BC14-1116E7AE8ACD}"/>
    <cellStyle name="Normal 2 3 11 2 4" xfId="10803" xr:uid="{9F4FB0CD-7865-4FC2-A38B-31225A46D063}"/>
    <cellStyle name="Normal 2 3 11 3" xfId="1959" xr:uid="{D9DDCBF4-10C4-4DE0-80E5-658DD0848E75}"/>
    <cellStyle name="Normal 2 3 11 3 2" xfId="10806" xr:uid="{7C50356B-6ED3-4AAE-B334-C1B93D7B2518}"/>
    <cellStyle name="Normal 2 3 11 4" xfId="1960" xr:uid="{6A841920-ADA5-4497-9099-D612B0FF712B}"/>
    <cellStyle name="Normal 2 3 11 4 2" xfId="10807" xr:uid="{8D9BF1DB-AC59-4ACA-BAF9-D06111F3E827}"/>
    <cellStyle name="Normal 2 3 11 5" xfId="10802" xr:uid="{DAEB4E2C-0F0A-472E-AA8D-24297F389DA7}"/>
    <cellStyle name="Normal 2 3 12" xfId="1961" xr:uid="{F71C2515-8463-4A6F-9955-26323B4AAF87}"/>
    <cellStyle name="Normal 2 3 12 2" xfId="1962" xr:uid="{5235EA4C-6DAD-48AF-8585-E0DBAB76F965}"/>
    <cellStyle name="Normal 2 3 12 2 2" xfId="1963" xr:uid="{70A28C4C-5B6B-4FC8-A3F0-64182F565CE0}"/>
    <cellStyle name="Normal 2 3 12 2 2 2" xfId="10810" xr:uid="{DCC8508E-E6D2-4557-A92A-25384AB3A9F7}"/>
    <cellStyle name="Normal 2 3 12 2 3" xfId="1964" xr:uid="{CBC94972-CA95-4F40-B488-A4D5B816137B}"/>
    <cellStyle name="Normal 2 3 12 2 3 2" xfId="10811" xr:uid="{753657CD-0844-43CB-9FC6-902E5C88208A}"/>
    <cellStyle name="Normal 2 3 12 2 4" xfId="10809" xr:uid="{3851254E-4656-476F-9DE0-85911D845B89}"/>
    <cellStyle name="Normal 2 3 12 3" xfId="1965" xr:uid="{A78705E6-66B9-4F92-BA09-A229A7C07FB4}"/>
    <cellStyle name="Normal 2 3 12 3 2" xfId="10812" xr:uid="{1CE745A4-F154-4230-908F-CAC50CA241F6}"/>
    <cellStyle name="Normal 2 3 12 4" xfId="1966" xr:uid="{8CCC8856-A66C-4B29-8B13-504D1C678CBC}"/>
    <cellStyle name="Normal 2 3 12 4 2" xfId="10813" xr:uid="{3DFDEB8F-20E2-4B96-82B2-72799A4C8994}"/>
    <cellStyle name="Normal 2 3 12 5" xfId="10808" xr:uid="{C9D66E57-D9E7-41DE-AD5C-DF21CE5B5375}"/>
    <cellStyle name="Normal 2 3 13" xfId="1967" xr:uid="{A48AD740-95A5-4631-A560-C4EB153F8285}"/>
    <cellStyle name="Normal 2 3 13 2" xfId="1968" xr:uid="{79343432-D399-401D-8B85-589815A76A87}"/>
    <cellStyle name="Normal 2 3 13 2 2" xfId="1969" xr:uid="{B45E58E6-C0E8-4067-8C4F-87B7DCA5A88F}"/>
    <cellStyle name="Normal 2 3 13 2 2 2" xfId="10816" xr:uid="{C97A47F0-DBEC-4662-9022-995E9DDC50CC}"/>
    <cellStyle name="Normal 2 3 13 2 3" xfId="1970" xr:uid="{B7547003-9D8C-457A-AD44-5219714057E1}"/>
    <cellStyle name="Normal 2 3 13 2 3 2" xfId="10817" xr:uid="{E7A93B29-2A69-4E81-8E3C-D23751A2D36D}"/>
    <cellStyle name="Normal 2 3 13 2 4" xfId="10815" xr:uid="{8B189091-80D1-410A-9ABE-C12318E7C3D4}"/>
    <cellStyle name="Normal 2 3 13 3" xfId="1971" xr:uid="{80A2D5B5-9137-4917-AAAF-57A1E9EE9097}"/>
    <cellStyle name="Normal 2 3 13 3 2" xfId="10818" xr:uid="{76781262-03F2-48C9-9323-9668DD70469F}"/>
    <cellStyle name="Normal 2 3 13 4" xfId="1972" xr:uid="{26752462-A5FF-49B5-8F5D-E26E466795FF}"/>
    <cellStyle name="Normal 2 3 13 4 2" xfId="10819" xr:uid="{579349EB-5B41-4A96-8F06-471022B54424}"/>
    <cellStyle name="Normal 2 3 13 5" xfId="10814" xr:uid="{9DE44CB0-6A2F-42B1-87A1-DDBF34DB9182}"/>
    <cellStyle name="Normal 2 3 14" xfId="1973" xr:uid="{E8413342-AA37-46AE-B181-AF34422CBAF5}"/>
    <cellStyle name="Normal 2 3 14 2" xfId="1974" xr:uid="{A873F119-7EA7-4C5A-BD0A-2C880A04DCAA}"/>
    <cellStyle name="Normal 2 3 14 2 2" xfId="1975" xr:uid="{DF42A459-7F71-4A3F-B5C7-FB894244564B}"/>
    <cellStyle name="Normal 2 3 14 2 2 2" xfId="10822" xr:uid="{391718AC-E927-4DE6-848D-25EF80929801}"/>
    <cellStyle name="Normal 2 3 14 2 3" xfId="1976" xr:uid="{D4EACB7D-81FE-4201-9903-50516080BCB6}"/>
    <cellStyle name="Normal 2 3 14 2 3 2" xfId="10823" xr:uid="{F086C96B-3774-4190-936D-E47CCD54DB34}"/>
    <cellStyle name="Normal 2 3 14 2 4" xfId="10821" xr:uid="{02C8BE25-ADC2-4413-B5FF-8BF034FDFBB4}"/>
    <cellStyle name="Normal 2 3 14 3" xfId="1977" xr:uid="{D9AC33F4-5958-40FB-A377-7378F057C1A3}"/>
    <cellStyle name="Normal 2 3 14 3 2" xfId="10824" xr:uid="{E2FAA6B1-B6B3-4B33-ACA8-57E5D0D4C92D}"/>
    <cellStyle name="Normal 2 3 14 4" xfId="1978" xr:uid="{26611A23-CF2A-48AC-BBA8-FE8A8414337F}"/>
    <cellStyle name="Normal 2 3 14 4 2" xfId="10825" xr:uid="{6E99B1FC-8A8D-463B-8FD0-B3CC8887F406}"/>
    <cellStyle name="Normal 2 3 14 5" xfId="10820" xr:uid="{6E1C078E-9F4C-470B-A96C-627D6B4B38A3}"/>
    <cellStyle name="Normal 2 3 15" xfId="1979" xr:uid="{4D876384-DA9A-405B-831A-08EAE6F8BAE6}"/>
    <cellStyle name="Normal 2 3 15 2" xfId="1980" xr:uid="{F68444A4-E131-44E2-BB93-07E10A971756}"/>
    <cellStyle name="Normal 2 3 15 2 2" xfId="1981" xr:uid="{E3EF9C7E-56C1-41FE-A26F-0848FC9F682E}"/>
    <cellStyle name="Normal 2 3 15 2 2 2" xfId="10828" xr:uid="{7D5C5F35-BF24-442E-8C78-937B8E38B1FE}"/>
    <cellStyle name="Normal 2 3 15 2 3" xfId="1982" xr:uid="{C6A81EC3-C7D7-400B-A269-961507A5D4E8}"/>
    <cellStyle name="Normal 2 3 15 2 3 2" xfId="10829" xr:uid="{0873BEBF-FF26-464A-9B9F-6ED697A39E8F}"/>
    <cellStyle name="Normal 2 3 15 2 4" xfId="10827" xr:uid="{DDD836BB-52CC-4DB2-A87D-6AE710B8DF2A}"/>
    <cellStyle name="Normal 2 3 15 3" xfId="1983" xr:uid="{9C1797B6-805C-48B5-9972-582A288DB9A4}"/>
    <cellStyle name="Normal 2 3 15 3 2" xfId="10830" xr:uid="{7DE191B7-6E45-45B0-9AB4-50A79C32EFAA}"/>
    <cellStyle name="Normal 2 3 15 4" xfId="1984" xr:uid="{C3EDFA5B-9D6A-4F01-B47D-49ACA7F62833}"/>
    <cellStyle name="Normal 2 3 15 4 2" xfId="10831" xr:uid="{AD85190D-5AA2-4038-B861-37249AF28CB4}"/>
    <cellStyle name="Normal 2 3 15 5" xfId="10826" xr:uid="{83FC3B72-9806-4DEC-9A8D-9BF9C34F319E}"/>
    <cellStyle name="Normal 2 3 16" xfId="1985" xr:uid="{2806ECBF-66ED-461B-8547-45430C48B702}"/>
    <cellStyle name="Normal 2 3 16 2" xfId="1986" xr:uid="{CD02E7AB-3DA7-4799-9636-A5902D08BEC8}"/>
    <cellStyle name="Normal 2 3 16 2 2" xfId="1987" xr:uid="{1BA3E35A-7457-4A65-B1B7-C423F16D1222}"/>
    <cellStyle name="Normal 2 3 16 2 2 2" xfId="10834" xr:uid="{D324B777-153B-44FB-922D-48C87E960B39}"/>
    <cellStyle name="Normal 2 3 16 2 3" xfId="1988" xr:uid="{94831C4B-6C6D-4950-AE5A-EBEA3190C70B}"/>
    <cellStyle name="Normal 2 3 16 2 3 2" xfId="10835" xr:uid="{CC287AB5-5F1E-423C-B8F0-64A62D9D7832}"/>
    <cellStyle name="Normal 2 3 16 2 4" xfId="10833" xr:uid="{92A6A301-9CD2-4210-8A10-3A7DD68ABD07}"/>
    <cellStyle name="Normal 2 3 16 3" xfId="1989" xr:uid="{3BD032F9-E7CD-470F-B8CE-ABE994A5840D}"/>
    <cellStyle name="Normal 2 3 16 3 2" xfId="10836" xr:uid="{EAF89E70-36FA-4EF6-8600-A784404F4859}"/>
    <cellStyle name="Normal 2 3 16 4" xfId="1990" xr:uid="{C50D3F8E-E3B9-4C18-80E3-CCC6878C99F8}"/>
    <cellStyle name="Normal 2 3 16 4 2" xfId="10837" xr:uid="{A8E8944C-8759-4268-9283-E1D541B07578}"/>
    <cellStyle name="Normal 2 3 16 5" xfId="10832" xr:uid="{1464DCD2-2A17-4ABD-9F90-679A57115BFA}"/>
    <cellStyle name="Normal 2 3 17" xfId="1991" xr:uid="{00E6E293-C295-443C-8E1B-5AA938FD4356}"/>
    <cellStyle name="Normal 2 3 17 2" xfId="1992" xr:uid="{CF0E3268-CDA5-43C8-ABC7-CA15C93FA9E6}"/>
    <cellStyle name="Normal 2 3 17 2 2" xfId="1993" xr:uid="{A64B4191-874D-4621-AFFB-42449E353C72}"/>
    <cellStyle name="Normal 2 3 17 2 2 2" xfId="10840" xr:uid="{1579CBAD-C9CC-465B-AEDB-0458C877306C}"/>
    <cellStyle name="Normal 2 3 17 2 3" xfId="1994" xr:uid="{3DEF954C-11D0-4A74-9383-38804C7F763C}"/>
    <cellStyle name="Normal 2 3 17 2 3 2" xfId="10841" xr:uid="{E25C8A42-0584-4EB2-8096-7CBB0ADCC727}"/>
    <cellStyle name="Normal 2 3 17 2 4" xfId="10839" xr:uid="{F850B05B-3CDC-4E46-8748-090BEE88E5BF}"/>
    <cellStyle name="Normal 2 3 17 3" xfId="1995" xr:uid="{90B63C93-9334-4B0B-B8E1-03C8876ECE4D}"/>
    <cellStyle name="Normal 2 3 17 3 2" xfId="10842" xr:uid="{10E8D810-E76A-4948-815D-8AE7B82DD6B3}"/>
    <cellStyle name="Normal 2 3 17 4" xfId="1996" xr:uid="{BBDD00D9-2D17-4185-B006-F2C13DCA5F64}"/>
    <cellStyle name="Normal 2 3 17 4 2" xfId="10843" xr:uid="{1158427D-7E52-48F5-8D48-D6BD8A4884E2}"/>
    <cellStyle name="Normal 2 3 17 5" xfId="10838" xr:uid="{4DE82937-8762-4B52-94AE-613C6F2811C3}"/>
    <cellStyle name="Normal 2 3 18" xfId="1997" xr:uid="{2691048E-63FE-4491-9361-EEA40E40734D}"/>
    <cellStyle name="Normal 2 3 18 2" xfId="1998" xr:uid="{7F72BE5C-8DA9-451C-BB05-C5A0408B0948}"/>
    <cellStyle name="Normal 2 3 18 2 2" xfId="1999" xr:uid="{ADCA4197-53E0-46BD-A624-452087DAE169}"/>
    <cellStyle name="Normal 2 3 18 2 2 2" xfId="10846" xr:uid="{283E26F7-E0C8-49F2-9B8A-CD87961FFD3A}"/>
    <cellStyle name="Normal 2 3 18 2 3" xfId="2000" xr:uid="{D3703851-3B3C-4340-BA5D-400E86ABFBF1}"/>
    <cellStyle name="Normal 2 3 18 2 3 2" xfId="10847" xr:uid="{3E16FB95-7FFD-4516-99F1-7BDC3F5CA2C9}"/>
    <cellStyle name="Normal 2 3 18 2 4" xfId="10845" xr:uid="{3523E19C-DB94-4A1A-A2F4-31D4AB8EE0E5}"/>
    <cellStyle name="Normal 2 3 18 3" xfId="2001" xr:uid="{C041653D-759E-480E-BD68-60A543C0750C}"/>
    <cellStyle name="Normal 2 3 18 3 2" xfId="10848" xr:uid="{BB483416-69D2-4665-B078-E76C66CB3776}"/>
    <cellStyle name="Normal 2 3 18 4" xfId="2002" xr:uid="{5A1847B3-6CF8-4DB6-B79F-FACD244A5BBF}"/>
    <cellStyle name="Normal 2 3 18 4 2" xfId="10849" xr:uid="{386DD4D6-AA90-4628-BAF9-5D1C48F14D2E}"/>
    <cellStyle name="Normal 2 3 18 5" xfId="10844" xr:uid="{6EB965C3-D53A-456C-A501-3A23F9BA07AE}"/>
    <cellStyle name="Normal 2 3 19" xfId="2003" xr:uid="{B8027734-1D14-4B6E-828E-97ACF622219C}"/>
    <cellStyle name="Normal 2 3 19 2" xfId="2004" xr:uid="{AA279305-504C-402E-844F-A9707D62CDBC}"/>
    <cellStyle name="Normal 2 3 19 2 2" xfId="2005" xr:uid="{9354C48C-3BC4-48AC-B44F-937AB4A667CC}"/>
    <cellStyle name="Normal 2 3 19 2 2 2" xfId="10852" xr:uid="{0CA3D07F-7343-4E61-9542-E3F76AF1431F}"/>
    <cellStyle name="Normal 2 3 19 2 3" xfId="2006" xr:uid="{F671C498-352D-4B14-93ED-781C7BA007F8}"/>
    <cellStyle name="Normal 2 3 19 2 3 2" xfId="10853" xr:uid="{FC8A7042-7F1F-4955-BDC6-70DE07B9E665}"/>
    <cellStyle name="Normal 2 3 19 2 4" xfId="10851" xr:uid="{1DF37E75-7687-4160-A4AF-B3FF46755969}"/>
    <cellStyle name="Normal 2 3 19 3" xfId="2007" xr:uid="{70F7D3D6-B865-407B-9B62-5D80C9F18F1E}"/>
    <cellStyle name="Normal 2 3 19 3 2" xfId="10854" xr:uid="{DA62CF70-0730-47B5-8FD5-58DED80AAD21}"/>
    <cellStyle name="Normal 2 3 19 4" xfId="2008" xr:uid="{CAA68A8E-48E0-4578-9D94-DE12559CBB30}"/>
    <cellStyle name="Normal 2 3 19 4 2" xfId="10855" xr:uid="{30355661-BF2A-4A35-8191-986AB81E3FF2}"/>
    <cellStyle name="Normal 2 3 19 5" xfId="10850" xr:uid="{F693E187-65B2-4F0E-8858-C7C8908F0CF8}"/>
    <cellStyle name="Normal 2 3 2" xfId="2009" xr:uid="{91450560-01A3-4313-8E0C-CCAE322DB110}"/>
    <cellStyle name="Normal 2 3 2 10" xfId="2010" xr:uid="{FE00E643-F46C-4747-A3C6-26E1E19BF64B}"/>
    <cellStyle name="Normal 2 3 2 10 2" xfId="2011" xr:uid="{90429ECE-0FD3-4259-91B6-5521504D9D50}"/>
    <cellStyle name="Normal 2 3 2 10 2 2" xfId="2012" xr:uid="{49C5EB70-70BA-4FA1-878D-40740825B07E}"/>
    <cellStyle name="Normal 2 3 2 10 2 2 2" xfId="10859" xr:uid="{3FEEA001-690F-46CA-AB32-FDA522112AD7}"/>
    <cellStyle name="Normal 2 3 2 10 2 3" xfId="2013" xr:uid="{F3B10A77-92F7-4202-8865-F5270F18928A}"/>
    <cellStyle name="Normal 2 3 2 10 2 3 2" xfId="10860" xr:uid="{BCCA0022-7705-4247-A778-EAE35D1BF76B}"/>
    <cellStyle name="Normal 2 3 2 10 2 4" xfId="10858" xr:uid="{6846E807-A1B7-421E-9810-9529702EAE6F}"/>
    <cellStyle name="Normal 2 3 2 10 3" xfId="2014" xr:uid="{A846BD36-07AD-4D75-B3D5-930D4C570106}"/>
    <cellStyle name="Normal 2 3 2 10 3 2" xfId="10861" xr:uid="{13C17FED-CB13-4641-8E27-2A9F5F8D878E}"/>
    <cellStyle name="Normal 2 3 2 10 4" xfId="2015" xr:uid="{82F116A7-63A3-4C28-8E9B-3422D2179F36}"/>
    <cellStyle name="Normal 2 3 2 10 4 2" xfId="10862" xr:uid="{4D1BFC5A-EC72-40DB-8EFC-6F94EEDE2442}"/>
    <cellStyle name="Normal 2 3 2 10 5" xfId="10857" xr:uid="{E5C86BB8-C10B-4B34-9DC1-9ACE16F32B5B}"/>
    <cellStyle name="Normal 2 3 2 11" xfId="2016" xr:uid="{3C8161C6-909F-4475-B718-055CBB8BB4F3}"/>
    <cellStyle name="Normal 2 3 2 11 2" xfId="2017" xr:uid="{6954DF9A-3442-4869-B8A0-7A4C71E416E2}"/>
    <cellStyle name="Normal 2 3 2 11 2 2" xfId="2018" xr:uid="{76DC9E4D-A18D-4D9E-ABCD-7182A2606497}"/>
    <cellStyle name="Normal 2 3 2 11 2 2 2" xfId="10865" xr:uid="{3B465DB1-825C-416A-8561-EDB5D7BBC4B0}"/>
    <cellStyle name="Normal 2 3 2 11 2 3" xfId="2019" xr:uid="{F904D395-61B7-4365-AF90-D115A4E564FE}"/>
    <cellStyle name="Normal 2 3 2 11 2 3 2" xfId="10866" xr:uid="{4732D624-69AC-4108-BA01-AF0B64E7418F}"/>
    <cellStyle name="Normal 2 3 2 11 2 4" xfId="10864" xr:uid="{AAEA135F-EA1E-4642-830A-8F27ACDC4D36}"/>
    <cellStyle name="Normal 2 3 2 11 3" xfId="2020" xr:uid="{3618C5D6-E3A1-4E99-AD23-2A2EB1251F74}"/>
    <cellStyle name="Normal 2 3 2 11 3 2" xfId="10867" xr:uid="{AE553E15-A012-4B2F-AE4C-1D5CABD9983F}"/>
    <cellStyle name="Normal 2 3 2 11 4" xfId="2021" xr:uid="{5BDA0649-CB3A-4772-9495-C031E24C65DA}"/>
    <cellStyle name="Normal 2 3 2 11 4 2" xfId="10868" xr:uid="{FF0A50FD-6F4B-4E4F-AEF0-0982955A12A3}"/>
    <cellStyle name="Normal 2 3 2 11 5" xfId="10863" xr:uid="{FC716266-5014-4E19-8B45-B29D94EEDD75}"/>
    <cellStyle name="Normal 2 3 2 12" xfId="2022" xr:uid="{262E7C54-1AC6-412C-9DF1-A5A0173CFE65}"/>
    <cellStyle name="Normal 2 3 2 12 2" xfId="2023" xr:uid="{562E718C-084F-4B3A-B61F-6C1F6D43EB72}"/>
    <cellStyle name="Normal 2 3 2 12 2 2" xfId="2024" xr:uid="{BE56A9C8-B122-4EFD-B5B2-3810D0E223F9}"/>
    <cellStyle name="Normal 2 3 2 12 2 2 2" xfId="10871" xr:uid="{4671B06B-502C-47DF-91F7-91C488EC5BB9}"/>
    <cellStyle name="Normal 2 3 2 12 2 3" xfId="2025" xr:uid="{EC5DD806-5F08-4EDA-BFC4-C30BD861DB37}"/>
    <cellStyle name="Normal 2 3 2 12 2 3 2" xfId="10872" xr:uid="{D11F9EF3-DBC5-4D36-BFE1-1D776BC1B098}"/>
    <cellStyle name="Normal 2 3 2 12 2 4" xfId="10870" xr:uid="{0C5AE5DE-441C-4BD9-8845-3D37F35CD089}"/>
    <cellStyle name="Normal 2 3 2 12 3" xfId="2026" xr:uid="{543FDB27-C6EE-461A-89A4-C614FCE91554}"/>
    <cellStyle name="Normal 2 3 2 12 3 2" xfId="10873" xr:uid="{A8213106-7E8D-4F18-B5B9-637A527EDEF4}"/>
    <cellStyle name="Normal 2 3 2 12 4" xfId="2027" xr:uid="{204EB995-A8CC-44CC-A246-FD700018245C}"/>
    <cellStyle name="Normal 2 3 2 12 4 2" xfId="10874" xr:uid="{AACCF6E3-9C7C-46BC-A43B-276E7459AD04}"/>
    <cellStyle name="Normal 2 3 2 12 5" xfId="10869" xr:uid="{7E4AD339-6AA2-47A9-9711-0FD99EEA7266}"/>
    <cellStyle name="Normal 2 3 2 13" xfId="2028" xr:uid="{F82366FD-E6B1-488C-90AB-E181A1938F36}"/>
    <cellStyle name="Normal 2 3 2 13 2" xfId="2029" xr:uid="{C8C65BC2-07BC-4D33-9BE7-6158A407FFCC}"/>
    <cellStyle name="Normal 2 3 2 13 2 2" xfId="2030" xr:uid="{5A24D672-75DC-49B5-946A-63D40A5638A3}"/>
    <cellStyle name="Normal 2 3 2 13 2 2 2" xfId="10877" xr:uid="{84E5ACDC-B2EE-4B83-8E19-B769F63FE20E}"/>
    <cellStyle name="Normal 2 3 2 13 2 3" xfId="2031" xr:uid="{A1B880E5-1F37-434A-A0DA-B68B32D2FB88}"/>
    <cellStyle name="Normal 2 3 2 13 2 3 2" xfId="10878" xr:uid="{F85CCA89-F817-4A75-9163-2A6DABE30182}"/>
    <cellStyle name="Normal 2 3 2 13 2 4" xfId="10876" xr:uid="{8528C83C-EA29-44DA-A16B-7E34E679D3B3}"/>
    <cellStyle name="Normal 2 3 2 13 3" xfId="2032" xr:uid="{E7F1F564-FA82-4171-BE18-D5F6228F8D6F}"/>
    <cellStyle name="Normal 2 3 2 13 3 2" xfId="10879" xr:uid="{32AC8AF0-C7A8-49B4-B665-39890AD34C3D}"/>
    <cellStyle name="Normal 2 3 2 13 4" xfId="2033" xr:uid="{16E520BA-6C65-42EB-847A-7C9C569581D6}"/>
    <cellStyle name="Normal 2 3 2 13 4 2" xfId="10880" xr:uid="{36275D7C-AE15-40BD-B4CE-3E09B407AC58}"/>
    <cellStyle name="Normal 2 3 2 13 5" xfId="10875" xr:uid="{E08EF667-3AF8-4223-924D-2ECB5CE03BB9}"/>
    <cellStyle name="Normal 2 3 2 14" xfId="2034" xr:uid="{EF67697F-0EC6-4C60-B8F1-515D29051146}"/>
    <cellStyle name="Normal 2 3 2 14 2" xfId="2035" xr:uid="{B8DC80AB-0230-4869-AA97-25018DB2764A}"/>
    <cellStyle name="Normal 2 3 2 14 2 2" xfId="2036" xr:uid="{F490DEA2-7F50-4C33-957B-1318147085AE}"/>
    <cellStyle name="Normal 2 3 2 14 2 2 2" xfId="10883" xr:uid="{CA6E7304-D25A-4830-B10A-84CBD18BB990}"/>
    <cellStyle name="Normal 2 3 2 14 2 3" xfId="2037" xr:uid="{154B6330-BD31-4F7F-B86F-F9B19057E411}"/>
    <cellStyle name="Normal 2 3 2 14 2 3 2" xfId="10884" xr:uid="{B6880E82-61D6-4974-9F30-2333F9C16C3C}"/>
    <cellStyle name="Normal 2 3 2 14 2 4" xfId="10882" xr:uid="{DC0A896D-B0FE-45EE-A550-EEBB5A159817}"/>
    <cellStyle name="Normal 2 3 2 14 3" xfId="2038" xr:uid="{9371B0EF-E36F-49F4-AE83-A5423BF1B689}"/>
    <cellStyle name="Normal 2 3 2 14 3 2" xfId="10885" xr:uid="{8848EB23-907D-4F9A-A7E7-9E90F5EB1954}"/>
    <cellStyle name="Normal 2 3 2 14 4" xfId="2039" xr:uid="{EA52DDF0-1F09-4934-82B3-4C28B3769FD5}"/>
    <cellStyle name="Normal 2 3 2 14 4 2" xfId="10886" xr:uid="{24209037-7AA0-414A-83AC-5EF7C7A6C97C}"/>
    <cellStyle name="Normal 2 3 2 14 5" xfId="10881" xr:uid="{1990C0C9-9BAA-4F1A-B2D7-B24F9038AB02}"/>
    <cellStyle name="Normal 2 3 2 15" xfId="2040" xr:uid="{CDBA4C44-7F12-4CAC-BAD6-C5152A05052D}"/>
    <cellStyle name="Normal 2 3 2 15 2" xfId="2041" xr:uid="{3A233631-C999-414D-80DC-2B9D3CCC8404}"/>
    <cellStyle name="Normal 2 3 2 15 2 2" xfId="2042" xr:uid="{538FB573-40FE-4D16-B092-C2737C867CC0}"/>
    <cellStyle name="Normal 2 3 2 15 2 2 2" xfId="10889" xr:uid="{5A97B014-BB23-4CFD-B858-4DBACB0DD5ED}"/>
    <cellStyle name="Normal 2 3 2 15 2 3" xfId="2043" xr:uid="{85E49652-7050-4ABC-B7F2-039259AE988E}"/>
    <cellStyle name="Normal 2 3 2 15 2 3 2" xfId="10890" xr:uid="{23CE2FE7-5D4B-4BA4-AE56-EC291AE05720}"/>
    <cellStyle name="Normal 2 3 2 15 2 4" xfId="10888" xr:uid="{3C87BA81-F097-4109-8919-32EA78C507B8}"/>
    <cellStyle name="Normal 2 3 2 15 3" xfId="2044" xr:uid="{537F9167-167A-432A-B42F-C0387A138D63}"/>
    <cellStyle name="Normal 2 3 2 15 3 2" xfId="10891" xr:uid="{1402787D-A6B3-41C3-BC32-D5515470DFBC}"/>
    <cellStyle name="Normal 2 3 2 15 4" xfId="2045" xr:uid="{99EA468B-F05A-4A04-9232-9B50C29A8283}"/>
    <cellStyle name="Normal 2 3 2 15 4 2" xfId="10892" xr:uid="{9994DA68-17EF-493F-A469-20F39D3A5413}"/>
    <cellStyle name="Normal 2 3 2 15 5" xfId="10887" xr:uid="{2EA6767B-33E5-498C-B9CF-CCE462BC74B4}"/>
    <cellStyle name="Normal 2 3 2 16" xfId="2046" xr:uid="{B5CCD772-1B32-419A-85F7-2EE567ED36E2}"/>
    <cellStyle name="Normal 2 3 2 16 2" xfId="2047" xr:uid="{7CD32172-10F3-4DC3-968F-5CEF000EB5A2}"/>
    <cellStyle name="Normal 2 3 2 16 2 2" xfId="2048" xr:uid="{EC183058-9AB8-4B74-9387-85FAAAEEE19F}"/>
    <cellStyle name="Normal 2 3 2 16 2 2 2" xfId="10895" xr:uid="{37359573-B0B0-4D7B-A45A-0FDD3B2D6C4C}"/>
    <cellStyle name="Normal 2 3 2 16 2 3" xfId="2049" xr:uid="{9CDBCD74-3FE8-4771-B30D-B95CF2416D61}"/>
    <cellStyle name="Normal 2 3 2 16 2 3 2" xfId="10896" xr:uid="{6130B13F-9DF8-40C7-B2A1-C68CA95746D2}"/>
    <cellStyle name="Normal 2 3 2 16 2 4" xfId="10894" xr:uid="{C82E57B1-C6A2-489E-A8E3-325D480662C2}"/>
    <cellStyle name="Normal 2 3 2 16 3" xfId="2050" xr:uid="{17C5DEF4-0B5A-4405-8711-8E31D4488F0A}"/>
    <cellStyle name="Normal 2 3 2 16 3 2" xfId="10897" xr:uid="{ADA4AE7D-4A91-4F4B-B4D4-633579F97D91}"/>
    <cellStyle name="Normal 2 3 2 16 4" xfId="2051" xr:uid="{A0D4545C-B6F8-426C-A526-B3C05991B2F7}"/>
    <cellStyle name="Normal 2 3 2 16 4 2" xfId="10898" xr:uid="{419DEDD1-D1E7-4406-BE93-96F360F02DE4}"/>
    <cellStyle name="Normal 2 3 2 16 5" xfId="10893" xr:uid="{85FFE284-29CF-492E-9286-ED703F5061E8}"/>
    <cellStyle name="Normal 2 3 2 17" xfId="2052" xr:uid="{AA504123-36EE-4672-ACA9-09CD63F14FEF}"/>
    <cellStyle name="Normal 2 3 2 17 2" xfId="2053" xr:uid="{1B00D3A5-11B7-4C91-98A6-B3EB6CA632E7}"/>
    <cellStyle name="Normal 2 3 2 17 2 2" xfId="2054" xr:uid="{640188B3-EBF7-4904-8C0B-DFF007DD2B03}"/>
    <cellStyle name="Normal 2 3 2 17 2 2 2" xfId="10901" xr:uid="{FA438950-656D-4A83-B3F2-F551110E4C1B}"/>
    <cellStyle name="Normal 2 3 2 17 2 3" xfId="2055" xr:uid="{9AD440D7-8FDA-496D-9901-D4EEE546FD9E}"/>
    <cellStyle name="Normal 2 3 2 17 2 3 2" xfId="10902" xr:uid="{EF9EB40A-F72D-4945-B845-CE2DEEFC4C5E}"/>
    <cellStyle name="Normal 2 3 2 17 2 4" xfId="10900" xr:uid="{D9A5DB99-5E45-4E06-B4E0-10DB4EFB314F}"/>
    <cellStyle name="Normal 2 3 2 17 3" xfId="2056" xr:uid="{F593329B-4073-4F67-80AC-C340F58973FE}"/>
    <cellStyle name="Normal 2 3 2 17 3 2" xfId="10903" xr:uid="{F673A785-B157-4E43-AF17-CD93A5FBFA8D}"/>
    <cellStyle name="Normal 2 3 2 17 4" xfId="2057" xr:uid="{2D28E375-A3B2-4849-BF34-643BB854C2DF}"/>
    <cellStyle name="Normal 2 3 2 17 4 2" xfId="10904" xr:uid="{10278262-5F16-4CE2-BFEB-D68EBBF2D305}"/>
    <cellStyle name="Normal 2 3 2 17 5" xfId="10899" xr:uid="{2A88A527-89C4-4EA7-8D04-CEF09A601A86}"/>
    <cellStyle name="Normal 2 3 2 18" xfId="2058" xr:uid="{8B8D77EE-95E9-4315-879B-9DDEEC56DCCD}"/>
    <cellStyle name="Normal 2 3 2 18 2" xfId="2059" xr:uid="{A6FDD0F7-6699-464A-9F61-432519EB13DC}"/>
    <cellStyle name="Normal 2 3 2 18 2 2" xfId="2060" xr:uid="{6FF9FB00-276E-481D-98DA-4D28BC595D0C}"/>
    <cellStyle name="Normal 2 3 2 18 2 2 2" xfId="10907" xr:uid="{8E4F1EF5-42E8-499D-B6AC-F7249011D98C}"/>
    <cellStyle name="Normal 2 3 2 18 2 3" xfId="2061" xr:uid="{8E63233A-85DE-4E1F-9EAE-F69FBFB977C9}"/>
    <cellStyle name="Normal 2 3 2 18 2 3 2" xfId="10908" xr:uid="{A3062549-4C17-413B-9F2C-8768DD2B4E38}"/>
    <cellStyle name="Normal 2 3 2 18 2 4" xfId="10906" xr:uid="{8AE07E80-E9C8-4897-AB69-425D42FA3438}"/>
    <cellStyle name="Normal 2 3 2 18 3" xfId="2062" xr:uid="{9B7293F9-6B32-45C1-8AD6-5B76B6E076C5}"/>
    <cellStyle name="Normal 2 3 2 18 3 2" xfId="10909" xr:uid="{1C9131C9-00E1-4C18-976E-618F63D676EF}"/>
    <cellStyle name="Normal 2 3 2 18 4" xfId="2063" xr:uid="{29A1FAAA-250D-401B-9972-27825C8243A4}"/>
    <cellStyle name="Normal 2 3 2 18 4 2" xfId="10910" xr:uid="{A910F938-DD7C-4DBE-96C8-7FB0A3566015}"/>
    <cellStyle name="Normal 2 3 2 18 5" xfId="10905" xr:uid="{CC1A7C96-D48C-455F-B0EF-B664D3B89FC1}"/>
    <cellStyle name="Normal 2 3 2 19" xfId="2064" xr:uid="{B3EA8ACA-051F-4F2F-B62C-0ED7CC9B8082}"/>
    <cellStyle name="Normal 2 3 2 19 2" xfId="2065" xr:uid="{E5D9BB66-7DB0-48AA-B22F-EC6642894B87}"/>
    <cellStyle name="Normal 2 3 2 19 2 2" xfId="2066" xr:uid="{182AF4B1-8154-4F2B-9906-062509C8913A}"/>
    <cellStyle name="Normal 2 3 2 19 2 2 2" xfId="10913" xr:uid="{8B4F11E9-A2B3-4097-B2DD-3FDBFC06E853}"/>
    <cellStyle name="Normal 2 3 2 19 2 3" xfId="2067" xr:uid="{353251BB-2FA2-44E9-9444-CEEF51F6171B}"/>
    <cellStyle name="Normal 2 3 2 19 2 3 2" xfId="10914" xr:uid="{EF61EB92-5A73-4965-A5F0-82C0E13B1301}"/>
    <cellStyle name="Normal 2 3 2 19 2 4" xfId="10912" xr:uid="{38DD33DB-762A-4E73-BE69-91859864FB5F}"/>
    <cellStyle name="Normal 2 3 2 19 3" xfId="2068" xr:uid="{1284050F-A958-4D9C-9F51-D6AC9793464A}"/>
    <cellStyle name="Normal 2 3 2 19 3 2" xfId="10915" xr:uid="{3B4BD7A7-B057-4D8A-A5C8-ECD0976FA60E}"/>
    <cellStyle name="Normal 2 3 2 19 4" xfId="2069" xr:uid="{41080E28-F9D3-4D8D-B7B2-A9C364BC7C3E}"/>
    <cellStyle name="Normal 2 3 2 19 4 2" xfId="10916" xr:uid="{DC3C4B71-A6AF-4C7B-BA13-D0F64112553F}"/>
    <cellStyle name="Normal 2 3 2 19 5" xfId="10911" xr:uid="{151E65C5-2C11-48B5-AF32-0A673ACDD13E}"/>
    <cellStyle name="Normal 2 3 2 2" xfId="2070" xr:uid="{D7A338F5-442D-47A0-AEDF-038DD995ECA5}"/>
    <cellStyle name="Normal 2 3 2 2 2" xfId="2071" xr:uid="{DC410E40-5517-44DA-B7C0-26F6B5E17A36}"/>
    <cellStyle name="Normal 2 3 2 2 2 2" xfId="2072" xr:uid="{E2191377-CDF8-4BD2-9646-BCEA4C3B63B4}"/>
    <cellStyle name="Normal 2 3 2 2 2 2 2" xfId="10919" xr:uid="{EFB02899-4138-4738-91D3-804A554FB46A}"/>
    <cellStyle name="Normal 2 3 2 2 2 3" xfId="2073" xr:uid="{45320771-47E7-4792-8519-2C075BC09614}"/>
    <cellStyle name="Normal 2 3 2 2 2 3 2" xfId="10920" xr:uid="{6229CB3B-6EF8-4D7B-87F9-660891661960}"/>
    <cellStyle name="Normal 2 3 2 2 2 4" xfId="10918" xr:uid="{95AC1DC1-5CAF-42EF-BB03-C458CFC6CCB3}"/>
    <cellStyle name="Normal 2 3 2 2 3" xfId="2074" xr:uid="{4FDC06B1-0E4B-4A8A-9D6F-2D19945EB6AC}"/>
    <cellStyle name="Normal 2 3 2 2 3 2" xfId="10921" xr:uid="{FA4995DF-439B-4585-9BF5-CA0B0C385CD9}"/>
    <cellStyle name="Normal 2 3 2 2 4" xfId="2075" xr:uid="{36ECB60E-3BDC-4E89-91AD-231643569BF9}"/>
    <cellStyle name="Normal 2 3 2 2 4 2" xfId="10922" xr:uid="{947B2E7E-8211-48AE-AE0E-BB88643CB9A3}"/>
    <cellStyle name="Normal 2 3 2 2 5" xfId="10917" xr:uid="{0B3D6BA6-B201-49F1-9544-7692A6A70288}"/>
    <cellStyle name="Normal 2 3 2 20" xfId="2076" xr:uid="{7AB63534-BB10-46C3-874C-CBA6963BFE02}"/>
    <cellStyle name="Normal 2 3 2 20 2" xfId="2077" xr:uid="{E969145C-C10D-4D88-AFB0-563C47C38F55}"/>
    <cellStyle name="Normal 2 3 2 20 2 2" xfId="2078" xr:uid="{7153D9CA-A8C4-4AB6-8DC5-898D13E27D82}"/>
    <cellStyle name="Normal 2 3 2 20 2 2 2" xfId="10925" xr:uid="{CF593073-2C7B-47D3-97E2-06D06D394BF2}"/>
    <cellStyle name="Normal 2 3 2 20 2 3" xfId="2079" xr:uid="{90D39707-27D9-4E6C-BE51-44C0873B7754}"/>
    <cellStyle name="Normal 2 3 2 20 2 3 2" xfId="10926" xr:uid="{E92475A8-925A-4A5A-92E2-B8B5437D7F65}"/>
    <cellStyle name="Normal 2 3 2 20 2 4" xfId="10924" xr:uid="{30DC763E-092A-4A3B-A41A-5AC3E5A199BA}"/>
    <cellStyle name="Normal 2 3 2 20 3" xfId="2080" xr:uid="{682E1551-C199-4AE7-A6E3-DBF55A64316F}"/>
    <cellStyle name="Normal 2 3 2 20 3 2" xfId="10927" xr:uid="{6CA4C9D1-B3AB-4906-966D-ADA92D05BAAB}"/>
    <cellStyle name="Normal 2 3 2 20 4" xfId="2081" xr:uid="{F16E07A4-B4F5-44CA-9469-B443AD292E69}"/>
    <cellStyle name="Normal 2 3 2 20 4 2" xfId="10928" xr:uid="{A10CE5EB-F050-4FEC-A9E1-59E9B9055DE6}"/>
    <cellStyle name="Normal 2 3 2 20 5" xfId="10923" xr:uid="{65F9ECC6-705D-4D77-930F-97AA0E2629D5}"/>
    <cellStyle name="Normal 2 3 2 21" xfId="2082" xr:uid="{1229BE20-CF60-43F9-9C12-286A9DC15C41}"/>
    <cellStyle name="Normal 2 3 2 21 2" xfId="2083" xr:uid="{BB93B85E-4A39-42D6-A0BB-5774A55BD28A}"/>
    <cellStyle name="Normal 2 3 2 21 2 2" xfId="2084" xr:uid="{EEBE8DA0-4241-44B3-92F3-F91C3B791A3A}"/>
    <cellStyle name="Normal 2 3 2 21 2 2 2" xfId="10931" xr:uid="{2043518F-383E-46D2-AAA3-9A47615E7015}"/>
    <cellStyle name="Normal 2 3 2 21 2 3" xfId="2085" xr:uid="{FF724C4F-58A4-43D9-A03B-F0B0AF933208}"/>
    <cellStyle name="Normal 2 3 2 21 2 3 2" xfId="10932" xr:uid="{CEE8FB31-9C9B-4629-BF40-D5D1E700F8B7}"/>
    <cellStyle name="Normal 2 3 2 21 2 4" xfId="10930" xr:uid="{723AE492-A76C-4C69-A6AB-528C983464E9}"/>
    <cellStyle name="Normal 2 3 2 21 3" xfId="2086" xr:uid="{D8FAF761-4C63-45A5-897E-BA2ECDD7F7AF}"/>
    <cellStyle name="Normal 2 3 2 21 3 2" xfId="10933" xr:uid="{1C6DACDF-34C5-44EC-B1C3-78D63E0FC516}"/>
    <cellStyle name="Normal 2 3 2 21 4" xfId="2087" xr:uid="{1B77A8B3-B5CE-4A5A-936E-B65DD1A7670A}"/>
    <cellStyle name="Normal 2 3 2 21 4 2" xfId="10934" xr:uid="{3CDA52B1-C4D5-4173-9F2E-DA3A4BDF6D68}"/>
    <cellStyle name="Normal 2 3 2 21 5" xfId="10929" xr:uid="{3A4DDA4B-6F9E-4812-A6DA-1FB4C017DC5E}"/>
    <cellStyle name="Normal 2 3 2 22" xfId="2088" xr:uid="{F091E5B6-6097-453E-BAE9-5EE827361DC1}"/>
    <cellStyle name="Normal 2 3 2 22 2" xfId="2089" xr:uid="{B1002751-376A-463C-A768-7126A318602F}"/>
    <cellStyle name="Normal 2 3 2 22 2 2" xfId="2090" xr:uid="{F0C0F870-0841-4DF1-8BCC-13450FCD09C5}"/>
    <cellStyle name="Normal 2 3 2 22 2 2 2" xfId="10937" xr:uid="{E8827486-F008-4FDB-BC50-9E9DC0AB3F44}"/>
    <cellStyle name="Normal 2 3 2 22 2 3" xfId="2091" xr:uid="{DF187E48-57FC-477B-91E2-0D58C4825503}"/>
    <cellStyle name="Normal 2 3 2 22 2 3 2" xfId="10938" xr:uid="{6F747F20-E18F-4094-9EC9-9634670BC8E5}"/>
    <cellStyle name="Normal 2 3 2 22 2 4" xfId="10936" xr:uid="{486F6D29-A15D-43E5-836A-8CC52CF57623}"/>
    <cellStyle name="Normal 2 3 2 22 3" xfId="2092" xr:uid="{E08967B6-3E50-4DD2-AE45-C0544061820E}"/>
    <cellStyle name="Normal 2 3 2 22 3 2" xfId="10939" xr:uid="{C9C7EE5F-BFE5-4841-9354-AD1A503B7121}"/>
    <cellStyle name="Normal 2 3 2 22 4" xfId="2093" xr:uid="{996A9680-A32C-43AF-AA59-21EF6C623BFE}"/>
    <cellStyle name="Normal 2 3 2 22 4 2" xfId="10940" xr:uid="{3B35A67F-FFB9-4E9F-8CE0-C7DF9AF4291B}"/>
    <cellStyle name="Normal 2 3 2 22 5" xfId="10935" xr:uid="{F51526BC-A64E-4334-86C6-18EBF374EBC4}"/>
    <cellStyle name="Normal 2 3 2 23" xfId="2094" xr:uid="{1B8B5816-7D86-46F7-80BE-0B3B561879E5}"/>
    <cellStyle name="Normal 2 3 2 23 2" xfId="2095" xr:uid="{9DDB8E3E-FB3A-4BAF-81CA-03BFCF99E666}"/>
    <cellStyle name="Normal 2 3 2 23 2 2" xfId="2096" xr:uid="{BA444E57-EDAE-4F33-A0BF-12906E47C7A0}"/>
    <cellStyle name="Normal 2 3 2 23 2 2 2" xfId="10943" xr:uid="{4438B9D4-045E-40EB-A15A-AD8DA08C111A}"/>
    <cellStyle name="Normal 2 3 2 23 2 3" xfId="2097" xr:uid="{FCA8F86B-8279-4937-82EB-22FCB3356CD3}"/>
    <cellStyle name="Normal 2 3 2 23 2 3 2" xfId="10944" xr:uid="{0FE8C46C-3FE1-4307-8046-D05A4A2F0CC5}"/>
    <cellStyle name="Normal 2 3 2 23 2 4" xfId="10942" xr:uid="{2E331673-49BE-4ECF-B818-7D5B895981E6}"/>
    <cellStyle name="Normal 2 3 2 23 3" xfId="2098" xr:uid="{2D334647-ED78-432C-B979-235C3FEF268D}"/>
    <cellStyle name="Normal 2 3 2 23 3 2" xfId="10945" xr:uid="{784640F4-06D6-4CDA-933F-213CCCA7114D}"/>
    <cellStyle name="Normal 2 3 2 23 4" xfId="2099" xr:uid="{0B9E4592-200C-4D43-BE99-1B535032E8AC}"/>
    <cellStyle name="Normal 2 3 2 23 4 2" xfId="10946" xr:uid="{D34A853D-0D26-41D4-8EEE-E1092F52A330}"/>
    <cellStyle name="Normal 2 3 2 23 5" xfId="10941" xr:uid="{5E89DD4A-750B-4A82-A316-58EBBACA4D9C}"/>
    <cellStyle name="Normal 2 3 2 24" xfId="2100" xr:uid="{803B5578-CFCE-431E-BF5D-6FE225992022}"/>
    <cellStyle name="Normal 2 3 2 24 2" xfId="2101" xr:uid="{25579E90-1C3E-4002-9335-84323C202400}"/>
    <cellStyle name="Normal 2 3 2 24 2 2" xfId="2102" xr:uid="{2294000A-F7DA-4AF4-8D9A-C212F73E090A}"/>
    <cellStyle name="Normal 2 3 2 24 2 2 2" xfId="10949" xr:uid="{6755A52B-9D2B-46C6-93D9-FBDF55B1189D}"/>
    <cellStyle name="Normal 2 3 2 24 2 3" xfId="2103" xr:uid="{E6435F98-2CD8-421C-A88D-CDE690308599}"/>
    <cellStyle name="Normal 2 3 2 24 2 3 2" xfId="10950" xr:uid="{2CCDCDF8-D4D0-428C-B3E2-C5A172368D89}"/>
    <cellStyle name="Normal 2 3 2 24 2 4" xfId="10948" xr:uid="{9BCF84C4-1156-4536-A86A-4407E5E83DF7}"/>
    <cellStyle name="Normal 2 3 2 24 3" xfId="2104" xr:uid="{A11A552D-8D29-4DB9-9049-0EB88566A0FD}"/>
    <cellStyle name="Normal 2 3 2 24 3 2" xfId="10951" xr:uid="{4B6E3485-65ED-4237-91B9-3B0F9AA8D2CD}"/>
    <cellStyle name="Normal 2 3 2 24 4" xfId="2105" xr:uid="{39B78441-7877-401D-A495-3EC3D154E231}"/>
    <cellStyle name="Normal 2 3 2 24 4 2" xfId="10952" xr:uid="{D5FB9C30-F93D-46F4-A517-004161A9F091}"/>
    <cellStyle name="Normal 2 3 2 24 5" xfId="10947" xr:uid="{CF03827E-5B3D-455D-9F95-836CC3847C8E}"/>
    <cellStyle name="Normal 2 3 2 25" xfId="2106" xr:uid="{53EBEBFB-E61A-4C26-92C1-C34CE15364C8}"/>
    <cellStyle name="Normal 2 3 2 25 2" xfId="2107" xr:uid="{CA449BB9-02D9-41D6-97A6-F98E325AAA3D}"/>
    <cellStyle name="Normal 2 3 2 25 2 2" xfId="2108" xr:uid="{638EAE00-475F-4A41-BA3C-B36208E5E007}"/>
    <cellStyle name="Normal 2 3 2 25 2 2 2" xfId="10955" xr:uid="{A6EFB828-E4E8-4AAA-BE0C-3816812D1C79}"/>
    <cellStyle name="Normal 2 3 2 25 2 3" xfId="2109" xr:uid="{8331B87D-5B50-44B1-87D9-0567AF13F05A}"/>
    <cellStyle name="Normal 2 3 2 25 2 3 2" xfId="10956" xr:uid="{419D7E22-3E69-4885-895A-5097947DE32D}"/>
    <cellStyle name="Normal 2 3 2 25 2 4" xfId="10954" xr:uid="{66AB8194-98CA-476F-A397-63F21E56083C}"/>
    <cellStyle name="Normal 2 3 2 25 3" xfId="2110" xr:uid="{9B374BCE-8E7E-45B7-9736-3C3CFAF8D701}"/>
    <cellStyle name="Normal 2 3 2 25 3 2" xfId="10957" xr:uid="{F238E5BA-6F1C-4935-A8BC-9D484B1A584D}"/>
    <cellStyle name="Normal 2 3 2 25 4" xfId="2111" xr:uid="{7AA7D855-8D93-4D2A-B86E-D65633D0DBBB}"/>
    <cellStyle name="Normal 2 3 2 25 4 2" xfId="10958" xr:uid="{19202502-F433-420D-A61F-7A9C76043F1C}"/>
    <cellStyle name="Normal 2 3 2 25 5" xfId="10953" xr:uid="{51444AA0-2028-467F-A38B-DCA1C22A8412}"/>
    <cellStyle name="Normal 2 3 2 26" xfId="2112" xr:uid="{947480FB-34B0-4376-A53D-CC7990B28B1E}"/>
    <cellStyle name="Normal 2 3 2 26 2" xfId="2113" xr:uid="{0382D3A6-8373-41E1-8526-7E3886833067}"/>
    <cellStyle name="Normal 2 3 2 26 2 2" xfId="2114" xr:uid="{1FEB3DB5-FCFD-45F1-A2E2-0CB915ACA442}"/>
    <cellStyle name="Normal 2 3 2 26 2 2 2" xfId="10961" xr:uid="{DB911764-69D5-4598-82E0-8DD9DA3EC3EE}"/>
    <cellStyle name="Normal 2 3 2 26 2 3" xfId="2115" xr:uid="{4BACBE86-70FC-48D7-A9B2-577DFC5CF044}"/>
    <cellStyle name="Normal 2 3 2 26 2 3 2" xfId="10962" xr:uid="{4073E1F4-AC2C-4E00-AC27-EF3889C49075}"/>
    <cellStyle name="Normal 2 3 2 26 2 4" xfId="10960" xr:uid="{B2D425D7-8C59-4FF9-A615-9D6F44C86342}"/>
    <cellStyle name="Normal 2 3 2 26 3" xfId="2116" xr:uid="{69C855C4-90B2-40F0-8763-5067FCF12616}"/>
    <cellStyle name="Normal 2 3 2 26 3 2" xfId="10963" xr:uid="{EF5C5DAE-42FB-4331-AF40-E3A27536CF98}"/>
    <cellStyle name="Normal 2 3 2 26 4" xfId="2117" xr:uid="{5FE31AEB-DC64-494F-9DFC-F533E57DC83E}"/>
    <cellStyle name="Normal 2 3 2 26 4 2" xfId="10964" xr:uid="{B7F1FDE3-73F3-487B-A6AC-7721FB1B9AD9}"/>
    <cellStyle name="Normal 2 3 2 26 5" xfId="10959" xr:uid="{A8AA64B0-55E3-4335-84EB-78AAE0E8051C}"/>
    <cellStyle name="Normal 2 3 2 27" xfId="2118" xr:uid="{7482BE5D-9CF7-4847-8795-7EF2294530C0}"/>
    <cellStyle name="Normal 2 3 2 27 2" xfId="2119" xr:uid="{C9B8C3C5-93B7-4875-8F8E-082747147F31}"/>
    <cellStyle name="Normal 2 3 2 27 2 2" xfId="2120" xr:uid="{FA57F1A5-E810-4EC0-B03F-EFEF44802888}"/>
    <cellStyle name="Normal 2 3 2 27 2 2 2" xfId="10967" xr:uid="{F4800310-32BF-49C4-814A-5E3D53C30815}"/>
    <cellStyle name="Normal 2 3 2 27 2 3" xfId="2121" xr:uid="{AFE8161E-70E1-4718-9E98-F1DA6BA2F95F}"/>
    <cellStyle name="Normal 2 3 2 27 2 3 2" xfId="10968" xr:uid="{2E6E3443-AA50-4FCC-9F04-5CE00C01C746}"/>
    <cellStyle name="Normal 2 3 2 27 2 4" xfId="10966" xr:uid="{CAFBF008-3D61-47AD-B5D2-AD57D5A2143B}"/>
    <cellStyle name="Normal 2 3 2 27 3" xfId="2122" xr:uid="{6EBC437B-BA84-49C7-920E-3F31A65DAD1C}"/>
    <cellStyle name="Normal 2 3 2 27 3 2" xfId="10969" xr:uid="{C8849082-2B34-4A2E-B847-33C7381CC404}"/>
    <cellStyle name="Normal 2 3 2 27 4" xfId="2123" xr:uid="{965A465A-5BBC-4BD5-980E-255F4C062CC8}"/>
    <cellStyle name="Normal 2 3 2 27 4 2" xfId="10970" xr:uid="{1B8D5B20-84AB-4E34-921E-73AA3AFAE15F}"/>
    <cellStyle name="Normal 2 3 2 27 5" xfId="10965" xr:uid="{DEE1190D-A506-472F-A450-E8D4E9DAB78B}"/>
    <cellStyle name="Normal 2 3 2 28" xfId="2124" xr:uid="{CD3B5EC1-2C2F-4458-A081-1FE0B6F8C1FC}"/>
    <cellStyle name="Normal 2 3 2 28 2" xfId="2125" xr:uid="{27354E36-2897-4841-ACD4-0D4B93229303}"/>
    <cellStyle name="Normal 2 3 2 28 2 2" xfId="2126" xr:uid="{78D9506C-B3D8-4FC9-92AA-E4B45E6825F1}"/>
    <cellStyle name="Normal 2 3 2 28 2 2 2" xfId="10973" xr:uid="{44A491CA-0146-4CB2-8902-FDB307476C65}"/>
    <cellStyle name="Normal 2 3 2 28 2 3" xfId="2127" xr:uid="{86EE1C88-CED3-4D1E-B073-E15DDC610B97}"/>
    <cellStyle name="Normal 2 3 2 28 2 3 2" xfId="10974" xr:uid="{A0173E91-4FAB-471E-A447-FF0FCE9A47BD}"/>
    <cellStyle name="Normal 2 3 2 28 2 4" xfId="10972" xr:uid="{BE56E816-FB2B-4B09-83B8-3F9FB52F9779}"/>
    <cellStyle name="Normal 2 3 2 28 3" xfId="2128" xr:uid="{67F05650-DE41-484E-86E9-72EF8AF962D9}"/>
    <cellStyle name="Normal 2 3 2 28 3 2" xfId="10975" xr:uid="{5F488255-E1B2-4F29-B069-09DBD3A95360}"/>
    <cellStyle name="Normal 2 3 2 28 4" xfId="2129" xr:uid="{46E7A529-0152-4A74-9925-65C570E14AD3}"/>
    <cellStyle name="Normal 2 3 2 28 4 2" xfId="10976" xr:uid="{26303C0D-CBFD-4D7E-9947-999433647341}"/>
    <cellStyle name="Normal 2 3 2 28 5" xfId="10971" xr:uid="{BFAD4922-BF43-4605-8698-5B0EDB89941F}"/>
    <cellStyle name="Normal 2 3 2 29" xfId="2130" xr:uid="{728F4E19-67C3-43D8-938B-02F70A2476AE}"/>
    <cellStyle name="Normal 2 3 2 29 2" xfId="2131" xr:uid="{9FA94E41-CA95-4B6C-9B09-83BCF3B5072A}"/>
    <cellStyle name="Normal 2 3 2 29 2 2" xfId="2132" xr:uid="{437CAC50-F36E-4A55-A99B-701C2B0AB994}"/>
    <cellStyle name="Normal 2 3 2 29 2 2 2" xfId="10979" xr:uid="{10CBC24D-6917-4548-97AC-96E1364DF148}"/>
    <cellStyle name="Normal 2 3 2 29 2 3" xfId="2133" xr:uid="{34D2EACE-E832-4FB5-BCA7-45D2A8F1CC22}"/>
    <cellStyle name="Normal 2 3 2 29 2 3 2" xfId="10980" xr:uid="{B69FF2C7-1AEE-4A8B-AC0C-A9ECD904F92D}"/>
    <cellStyle name="Normal 2 3 2 29 2 4" xfId="10978" xr:uid="{B49A6518-6933-4CBD-904D-A6C0FE77FEFA}"/>
    <cellStyle name="Normal 2 3 2 29 3" xfId="2134" xr:uid="{D739406E-F2D4-45FE-BDDD-726E5D31562D}"/>
    <cellStyle name="Normal 2 3 2 29 3 2" xfId="10981" xr:uid="{77A56A25-21CE-496C-AC71-A88190D54C1C}"/>
    <cellStyle name="Normal 2 3 2 29 4" xfId="2135" xr:uid="{090CC83E-C2D0-4D31-B1B2-15E75079437A}"/>
    <cellStyle name="Normal 2 3 2 29 4 2" xfId="10982" xr:uid="{01473E32-F3EB-4461-884C-7D319064B8CF}"/>
    <cellStyle name="Normal 2 3 2 29 5" xfId="10977" xr:uid="{616607D4-A7CD-4906-B378-DFDC02F842C5}"/>
    <cellStyle name="Normal 2 3 2 3" xfId="2136" xr:uid="{923AE627-9B0C-4376-890C-33D178AFDFCF}"/>
    <cellStyle name="Normal 2 3 2 3 2" xfId="2137" xr:uid="{6291647F-3658-4B5B-81C2-CE138DF41FD2}"/>
    <cellStyle name="Normal 2 3 2 3 2 2" xfId="2138" xr:uid="{B6214D6E-9F39-4D6F-A505-91261A06243C}"/>
    <cellStyle name="Normal 2 3 2 3 2 2 2" xfId="10985" xr:uid="{3B5F4BD2-724E-42AE-A44E-68CA949A1DE8}"/>
    <cellStyle name="Normal 2 3 2 3 2 3" xfId="2139" xr:uid="{78117F95-23F0-4720-9D00-BC758DBCC4DE}"/>
    <cellStyle name="Normal 2 3 2 3 2 3 2" xfId="10986" xr:uid="{96BC7985-21B4-4242-AC04-89F06D8FCF70}"/>
    <cellStyle name="Normal 2 3 2 3 2 4" xfId="10984" xr:uid="{0BBCBF44-B47E-4253-AF37-907E57ABFB18}"/>
    <cellStyle name="Normal 2 3 2 3 3" xfId="2140" xr:uid="{A66DDAD6-F3FE-4AFB-A51F-CBD8B79C39B3}"/>
    <cellStyle name="Normal 2 3 2 3 3 2" xfId="10987" xr:uid="{D0E1E4C2-2320-461A-8460-B55A95ABA707}"/>
    <cellStyle name="Normal 2 3 2 3 4" xfId="2141" xr:uid="{C3B4EC8A-BFB3-4AD8-957A-545410B0B267}"/>
    <cellStyle name="Normal 2 3 2 3 4 2" xfId="10988" xr:uid="{3FDE9AF4-AFA8-4B8D-AFA6-86DF20B081E9}"/>
    <cellStyle name="Normal 2 3 2 3 5" xfId="10983" xr:uid="{6AB42916-C635-481D-974B-8F5540EED585}"/>
    <cellStyle name="Normal 2 3 2 30" xfId="2142" xr:uid="{CF51257D-5388-4C79-A173-DBEE1D66230C}"/>
    <cellStyle name="Normal 2 3 2 30 2" xfId="2143" xr:uid="{F80CF808-D828-4E92-843E-5A9DE10966D7}"/>
    <cellStyle name="Normal 2 3 2 30 2 2" xfId="2144" xr:uid="{441DB8B0-9C29-4A92-9BA0-770A5D4BDF81}"/>
    <cellStyle name="Normal 2 3 2 30 2 2 2" xfId="10991" xr:uid="{DF59605E-FEAC-4719-BD53-9EFB080E653C}"/>
    <cellStyle name="Normal 2 3 2 30 2 3" xfId="2145" xr:uid="{C902789D-F295-436D-9B90-456D636B4718}"/>
    <cellStyle name="Normal 2 3 2 30 2 3 2" xfId="10992" xr:uid="{03912918-0C94-42C0-87C0-8723F059B15B}"/>
    <cellStyle name="Normal 2 3 2 30 2 4" xfId="10990" xr:uid="{CF7D0A37-C145-4857-883D-E26047868F66}"/>
    <cellStyle name="Normal 2 3 2 30 3" xfId="2146" xr:uid="{EE1AD5B3-A86B-48A5-BF71-861D8DC7305F}"/>
    <cellStyle name="Normal 2 3 2 30 3 2" xfId="10993" xr:uid="{210F3F6D-4A13-46DC-AC4D-D7A92B0B12D5}"/>
    <cellStyle name="Normal 2 3 2 30 4" xfId="2147" xr:uid="{741FB7A8-4602-490E-B3D0-39E73D48AB34}"/>
    <cellStyle name="Normal 2 3 2 30 4 2" xfId="10994" xr:uid="{FD32E03D-E930-4CA8-B8D3-7D878BC71DB2}"/>
    <cellStyle name="Normal 2 3 2 30 5" xfId="10989" xr:uid="{E4659E37-97DF-4CFE-AC9B-BE42F05D71E8}"/>
    <cellStyle name="Normal 2 3 2 31" xfId="2148" xr:uid="{3042107D-202B-4D0F-B58A-878D316992B2}"/>
    <cellStyle name="Normal 2 3 2 31 2" xfId="2149" xr:uid="{2A2E3A8B-5AFD-45D1-9F26-3F6363BD6E91}"/>
    <cellStyle name="Normal 2 3 2 31 2 2" xfId="2150" xr:uid="{ADC598B0-8520-42CB-8D73-65840283FF33}"/>
    <cellStyle name="Normal 2 3 2 31 2 2 2" xfId="10997" xr:uid="{E19FE749-5036-48CB-96BD-8877A240D6A1}"/>
    <cellStyle name="Normal 2 3 2 31 2 3" xfId="2151" xr:uid="{515C1782-E088-4467-B367-69B6C0F9FB18}"/>
    <cellStyle name="Normal 2 3 2 31 2 3 2" xfId="10998" xr:uid="{A822F3B6-124D-4EA4-8CC9-7B71D7F7536D}"/>
    <cellStyle name="Normal 2 3 2 31 2 4" xfId="10996" xr:uid="{B133E2D5-AF42-47A4-8E61-EE0854BDE232}"/>
    <cellStyle name="Normal 2 3 2 31 3" xfId="2152" xr:uid="{58FC67D3-F4D8-436A-803F-8F4496968DF7}"/>
    <cellStyle name="Normal 2 3 2 31 3 2" xfId="10999" xr:uid="{3A05B411-B31C-4ED2-A95B-35293926958E}"/>
    <cellStyle name="Normal 2 3 2 31 4" xfId="2153" xr:uid="{87E75AB5-6075-43CE-BAD3-5439F51F97AA}"/>
    <cellStyle name="Normal 2 3 2 31 4 2" xfId="11000" xr:uid="{80E5D75C-72D5-473C-AE35-D3E59ACCC0F5}"/>
    <cellStyle name="Normal 2 3 2 31 5" xfId="10995" xr:uid="{2E4BE854-B372-44CC-9AF4-667556E85D44}"/>
    <cellStyle name="Normal 2 3 2 32" xfId="2154" xr:uid="{0C976C87-CA3A-445D-B6A9-D1D3D6ECFDEA}"/>
    <cellStyle name="Normal 2 3 2 32 2" xfId="2155" xr:uid="{10F27A35-1C92-4092-B635-2DD708CB55BB}"/>
    <cellStyle name="Normal 2 3 2 32 2 2" xfId="2156" xr:uid="{31024D28-C379-44F6-B4B0-E3C202A3BBFF}"/>
    <cellStyle name="Normal 2 3 2 32 2 2 2" xfId="11003" xr:uid="{6C8C1A59-37FB-481C-9656-EDBFC8B933BC}"/>
    <cellStyle name="Normal 2 3 2 32 2 3" xfId="2157" xr:uid="{D7903F03-23C1-4A29-9E01-DA7ECB10FB31}"/>
    <cellStyle name="Normal 2 3 2 32 2 3 2" xfId="11004" xr:uid="{7D93066F-E294-4043-A089-0488E0243C8D}"/>
    <cellStyle name="Normal 2 3 2 32 2 4" xfId="11002" xr:uid="{731A08EA-5E10-4F72-BB24-262B30C10319}"/>
    <cellStyle name="Normal 2 3 2 32 3" xfId="2158" xr:uid="{4232A357-E904-4EDA-8C82-C35B0A8BFF5B}"/>
    <cellStyle name="Normal 2 3 2 32 3 2" xfId="11005" xr:uid="{7D94B564-72FF-4EE7-A308-E2C9209B94BF}"/>
    <cellStyle name="Normal 2 3 2 32 4" xfId="2159" xr:uid="{2ECA59E3-426E-4BCF-8FF3-1B8A9B15A1F0}"/>
    <cellStyle name="Normal 2 3 2 32 4 2" xfId="11006" xr:uid="{50C98B74-2CC6-429F-90D7-086BA75D2C2B}"/>
    <cellStyle name="Normal 2 3 2 32 5" xfId="11001" xr:uid="{AC272CD9-BBE7-48EB-A5CD-29591E606064}"/>
    <cellStyle name="Normal 2 3 2 33" xfId="2160" xr:uid="{F0FEED0E-14AE-46DA-90E1-880C9B6CDA91}"/>
    <cellStyle name="Normal 2 3 2 33 2" xfId="2161" xr:uid="{16F2C3DC-D590-4DF9-8F88-C5AE883F8803}"/>
    <cellStyle name="Normal 2 3 2 33 2 2" xfId="2162" xr:uid="{05BC7F1A-2DFD-4BC2-87DE-14E85A313C3B}"/>
    <cellStyle name="Normal 2 3 2 33 2 2 2" xfId="11009" xr:uid="{B49B9460-A53B-4547-A1EE-E1DAF6878609}"/>
    <cellStyle name="Normal 2 3 2 33 2 3" xfId="2163" xr:uid="{8D9ACBEA-616A-4CFC-8E39-3BEDC7017AD0}"/>
    <cellStyle name="Normal 2 3 2 33 2 3 2" xfId="11010" xr:uid="{23DBBFC0-29EE-4D5D-A778-E415BAC9D544}"/>
    <cellStyle name="Normal 2 3 2 33 2 4" xfId="11008" xr:uid="{38352F89-DDA6-4765-A887-03F95467C79B}"/>
    <cellStyle name="Normal 2 3 2 33 3" xfId="2164" xr:uid="{7AB81E6D-7AD0-4ED2-A9AC-B95B5D1BD324}"/>
    <cellStyle name="Normal 2 3 2 33 3 2" xfId="11011" xr:uid="{47590454-6BE3-4B36-87AF-0589A6C38994}"/>
    <cellStyle name="Normal 2 3 2 33 4" xfId="2165" xr:uid="{697D83F2-0F6F-4CE2-9EE7-028EE7662978}"/>
    <cellStyle name="Normal 2 3 2 33 4 2" xfId="11012" xr:uid="{366E4749-B478-4280-BA31-46DADE6C0531}"/>
    <cellStyle name="Normal 2 3 2 33 5" xfId="11007" xr:uid="{30A07CB6-577F-4B3D-83D1-3D92B59278E8}"/>
    <cellStyle name="Normal 2 3 2 34" xfId="2166" xr:uid="{E19CE636-5DBB-4401-949C-848CA21761CE}"/>
    <cellStyle name="Normal 2 3 2 34 2" xfId="2167" xr:uid="{E811312E-0E91-4DE2-A0C6-31FB33CFD442}"/>
    <cellStyle name="Normal 2 3 2 34 2 2" xfId="2168" xr:uid="{C41052CC-578B-4B42-AAAA-95A407FC1C0B}"/>
    <cellStyle name="Normal 2 3 2 34 2 2 2" xfId="11015" xr:uid="{6E7EA3EE-D39F-48E2-82C1-362A12C6B207}"/>
    <cellStyle name="Normal 2 3 2 34 2 3" xfId="2169" xr:uid="{CCA5185A-DBCC-48A8-9DF3-44FCB803B834}"/>
    <cellStyle name="Normal 2 3 2 34 2 3 2" xfId="11016" xr:uid="{15521DBB-BE31-4B73-8B91-276B30B559AC}"/>
    <cellStyle name="Normal 2 3 2 34 2 4" xfId="11014" xr:uid="{B8182C86-E05C-4CAD-9CC5-9125E57F4C9B}"/>
    <cellStyle name="Normal 2 3 2 34 3" xfId="2170" xr:uid="{DF26182D-2F8C-4B53-9B20-3B18ECA7EC46}"/>
    <cellStyle name="Normal 2 3 2 34 3 2" xfId="11017" xr:uid="{B6ACCD70-D096-46C6-A8FE-6536CDE0326D}"/>
    <cellStyle name="Normal 2 3 2 34 4" xfId="2171" xr:uid="{F9DBBAD1-D0C2-47AF-84E9-8758CBA56B0A}"/>
    <cellStyle name="Normal 2 3 2 34 4 2" xfId="11018" xr:uid="{2849F9FD-C412-439F-B36E-1838FA57B30A}"/>
    <cellStyle name="Normal 2 3 2 34 5" xfId="11013" xr:uid="{0FAC3304-95CF-407E-A845-2D85BB87AC0A}"/>
    <cellStyle name="Normal 2 3 2 35" xfId="2172" xr:uid="{DFD97912-1651-4482-AAC5-EFFA254E132E}"/>
    <cellStyle name="Normal 2 3 2 35 2" xfId="2173" xr:uid="{2B7536C7-269D-4D1D-9C24-5F6028C077F1}"/>
    <cellStyle name="Normal 2 3 2 35 2 2" xfId="2174" xr:uid="{C49957C4-7090-43BB-A409-356588349BDE}"/>
    <cellStyle name="Normal 2 3 2 35 2 2 2" xfId="11021" xr:uid="{E9569D65-5737-45F3-9736-D934289A6602}"/>
    <cellStyle name="Normal 2 3 2 35 2 3" xfId="2175" xr:uid="{0FC114CA-716B-4689-8373-31FE55CF3118}"/>
    <cellStyle name="Normal 2 3 2 35 2 3 2" xfId="11022" xr:uid="{1637818A-43C4-4E57-8952-5A7D25CA67E9}"/>
    <cellStyle name="Normal 2 3 2 35 2 4" xfId="11020" xr:uid="{044BBB26-78AE-411C-B26C-76C95623C38D}"/>
    <cellStyle name="Normal 2 3 2 35 3" xfId="2176" xr:uid="{065167A8-422C-485E-B4A8-484D61DD4311}"/>
    <cellStyle name="Normal 2 3 2 35 3 2" xfId="11023" xr:uid="{50B017A1-666D-40BB-AE67-B8C11F552BC3}"/>
    <cellStyle name="Normal 2 3 2 35 4" xfId="2177" xr:uid="{C04E1EEA-587B-4E91-A6D6-A9953E32E710}"/>
    <cellStyle name="Normal 2 3 2 35 4 2" xfId="11024" xr:uid="{7FE05FBD-8015-40A0-A8B7-C0BDA7202D25}"/>
    <cellStyle name="Normal 2 3 2 35 5" xfId="11019" xr:uid="{5BC52B1E-B9E5-4824-8160-D11F841F0E03}"/>
    <cellStyle name="Normal 2 3 2 36" xfId="2178" xr:uid="{39315141-9A7F-4175-9853-6C2627DFEFA8}"/>
    <cellStyle name="Normal 2 3 2 36 2" xfId="2179" xr:uid="{65E8A0C0-F344-4090-9716-2EBEB6C9B8EC}"/>
    <cellStyle name="Normal 2 3 2 36 2 2" xfId="2180" xr:uid="{834EDB9D-DC24-4269-9F55-40906081EDF4}"/>
    <cellStyle name="Normal 2 3 2 36 2 2 2" xfId="11027" xr:uid="{BCB3B825-6202-46EC-B167-83F87F23E88B}"/>
    <cellStyle name="Normal 2 3 2 36 2 3" xfId="2181" xr:uid="{91F3A3E8-1040-493B-8FF5-525B5CB8E6CF}"/>
    <cellStyle name="Normal 2 3 2 36 2 3 2" xfId="11028" xr:uid="{5FB81A63-FDC2-4166-937A-97CA246A52A0}"/>
    <cellStyle name="Normal 2 3 2 36 2 4" xfId="11026" xr:uid="{88DA5D59-0A9D-40A6-99E6-548F0CBA1680}"/>
    <cellStyle name="Normal 2 3 2 36 3" xfId="2182" xr:uid="{B20C2C1D-9FD8-4381-8F1E-7929B89AB226}"/>
    <cellStyle name="Normal 2 3 2 36 3 2" xfId="11029" xr:uid="{373B7BA3-EF69-4FDF-8A64-6850626F2DD6}"/>
    <cellStyle name="Normal 2 3 2 36 4" xfId="2183" xr:uid="{B0457131-633E-433E-9D02-68457AF7FE10}"/>
    <cellStyle name="Normal 2 3 2 36 4 2" xfId="11030" xr:uid="{9673DEE4-7B3E-4E8B-826B-279799ADA865}"/>
    <cellStyle name="Normal 2 3 2 36 5" xfId="11025" xr:uid="{9B74C4EE-4793-484C-8250-BBDC88D0312F}"/>
    <cellStyle name="Normal 2 3 2 37" xfId="2184" xr:uid="{3D9DBC3D-F16F-4EA1-A9CF-47B56DE3566C}"/>
    <cellStyle name="Normal 2 3 2 37 2" xfId="2185" xr:uid="{46715071-486D-4434-9E83-C3214D474B51}"/>
    <cellStyle name="Normal 2 3 2 37 2 2" xfId="2186" xr:uid="{6B8A13BF-080A-46AF-B0EB-659D112AB552}"/>
    <cellStyle name="Normal 2 3 2 37 2 2 2" xfId="11033" xr:uid="{4161CB05-422A-42C2-890D-E83BA92692B1}"/>
    <cellStyle name="Normal 2 3 2 37 2 3" xfId="2187" xr:uid="{95484C1E-1604-41C7-9A3D-EC89218ABA92}"/>
    <cellStyle name="Normal 2 3 2 37 2 3 2" xfId="11034" xr:uid="{D63FDDF8-2750-4071-8AA4-9B07A3D5E5F5}"/>
    <cellStyle name="Normal 2 3 2 37 2 4" xfId="11032" xr:uid="{F70A8264-FF89-410D-B5D2-76354A1E38A5}"/>
    <cellStyle name="Normal 2 3 2 37 3" xfId="2188" xr:uid="{99C84DBB-4ECC-468C-BD48-01BCC0F6BD42}"/>
    <cellStyle name="Normal 2 3 2 37 3 2" xfId="11035" xr:uid="{66AE5E64-1ADF-4600-A04C-05482EA0C2CA}"/>
    <cellStyle name="Normal 2 3 2 37 4" xfId="2189" xr:uid="{CBD1AC21-87FD-4D01-86FA-CCF08A9E755B}"/>
    <cellStyle name="Normal 2 3 2 37 4 2" xfId="11036" xr:uid="{40331330-B4A1-4699-8B85-1059A782DA10}"/>
    <cellStyle name="Normal 2 3 2 37 5" xfId="11031" xr:uid="{C1F1D59B-A81A-46F0-9E72-8DDCB317B705}"/>
    <cellStyle name="Normal 2 3 2 38" xfId="2190" xr:uid="{F4A65E79-2780-4B9B-88F0-DA66F0A1894F}"/>
    <cellStyle name="Normal 2 3 2 38 2" xfId="2191" xr:uid="{F0FA398E-892E-48A8-A238-93C5A1C8E0A3}"/>
    <cellStyle name="Normal 2 3 2 38 2 2" xfId="2192" xr:uid="{CED23A5D-B775-45C4-915D-14F960B562DD}"/>
    <cellStyle name="Normal 2 3 2 38 2 2 2" xfId="11039" xr:uid="{FF9EC124-25D5-4E46-869D-176CDA5DE552}"/>
    <cellStyle name="Normal 2 3 2 38 2 3" xfId="2193" xr:uid="{193452E1-4919-4BCB-AC90-0E151E5601ED}"/>
    <cellStyle name="Normal 2 3 2 38 2 3 2" xfId="11040" xr:uid="{3C1C4164-4E8E-4A99-AEEE-E019D1F72F70}"/>
    <cellStyle name="Normal 2 3 2 38 2 4" xfId="11038" xr:uid="{133D4E0F-F1B6-43B2-9002-F4BADB0E5CD3}"/>
    <cellStyle name="Normal 2 3 2 38 3" xfId="2194" xr:uid="{A610E5D7-BDE7-47B3-8830-A4F6AAC344F5}"/>
    <cellStyle name="Normal 2 3 2 38 3 2" xfId="11041" xr:uid="{BBEC61A0-76EA-4FC9-B18D-3886133AE630}"/>
    <cellStyle name="Normal 2 3 2 38 4" xfId="2195" xr:uid="{32266E6E-6364-41AE-871F-3940AFBCF59A}"/>
    <cellStyle name="Normal 2 3 2 38 4 2" xfId="11042" xr:uid="{55453051-5200-444D-8B56-A6B9FAB87511}"/>
    <cellStyle name="Normal 2 3 2 38 5" xfId="11037" xr:uid="{D84C564D-BC61-47CF-B2F9-3303B0BBF6C0}"/>
    <cellStyle name="Normal 2 3 2 39" xfId="2196" xr:uid="{174DA8FF-8BD7-4C35-BAAD-31DDCE84EE70}"/>
    <cellStyle name="Normal 2 3 2 39 2" xfId="2197" xr:uid="{193EF3B9-2098-472F-95D7-EA347ACD56BF}"/>
    <cellStyle name="Normal 2 3 2 39 2 2" xfId="2198" xr:uid="{0F22085C-E4E5-4AD2-879F-62DE34C0F9FE}"/>
    <cellStyle name="Normal 2 3 2 39 2 2 2" xfId="11045" xr:uid="{BB410659-900F-4D3C-8424-74471B8FC9B5}"/>
    <cellStyle name="Normal 2 3 2 39 2 3" xfId="2199" xr:uid="{4B6E4CE2-EA96-4DDC-9E67-BAC787D1FF1C}"/>
    <cellStyle name="Normal 2 3 2 39 2 3 2" xfId="11046" xr:uid="{236B12BE-20F8-4E94-9A35-C4178C35ABC5}"/>
    <cellStyle name="Normal 2 3 2 39 2 4" xfId="11044" xr:uid="{41BE918D-8E87-4CF4-A554-01894372915C}"/>
    <cellStyle name="Normal 2 3 2 39 3" xfId="2200" xr:uid="{FC256FAB-0D0D-446B-BFDC-0073D849D236}"/>
    <cellStyle name="Normal 2 3 2 39 3 2" xfId="11047" xr:uid="{5EA5BFA5-F55A-407D-B50A-7A3C11935056}"/>
    <cellStyle name="Normal 2 3 2 39 4" xfId="2201" xr:uid="{C0DA03E3-B70A-4737-BCB2-8AF18A3D7614}"/>
    <cellStyle name="Normal 2 3 2 39 4 2" xfId="11048" xr:uid="{E80A29DE-5699-49CB-8AC6-265DA42B0FC9}"/>
    <cellStyle name="Normal 2 3 2 39 5" xfId="11043" xr:uid="{C99C2DC1-EF10-43A2-BC6F-C6C16A45AF95}"/>
    <cellStyle name="Normal 2 3 2 4" xfId="2202" xr:uid="{66C07CCD-6D85-4801-9607-BFEE8E3E33E8}"/>
    <cellStyle name="Normal 2 3 2 4 2" xfId="2203" xr:uid="{A9E9049B-3B21-4FF9-8F21-BECEF9D9470F}"/>
    <cellStyle name="Normal 2 3 2 4 2 2" xfId="2204" xr:uid="{B45C8ED9-CF5E-406C-98C1-9AD45B53FD23}"/>
    <cellStyle name="Normal 2 3 2 4 2 2 2" xfId="11051" xr:uid="{171D58A5-2915-42E5-B2D1-7CEFB5A4632F}"/>
    <cellStyle name="Normal 2 3 2 4 2 3" xfId="2205" xr:uid="{44987F70-D841-4035-8B50-3841232E1F16}"/>
    <cellStyle name="Normal 2 3 2 4 2 3 2" xfId="11052" xr:uid="{D3D54747-4315-4FB9-8D46-B82A244B50E2}"/>
    <cellStyle name="Normal 2 3 2 4 2 4" xfId="11050" xr:uid="{F8A5A46F-52C9-4212-AEDB-5E5399F4068B}"/>
    <cellStyle name="Normal 2 3 2 4 3" xfId="2206" xr:uid="{93676161-D45F-4EFB-84E0-616F38AF3112}"/>
    <cellStyle name="Normal 2 3 2 4 3 2" xfId="11053" xr:uid="{E688B202-00BD-41DB-91D4-3CBC659C44AB}"/>
    <cellStyle name="Normal 2 3 2 4 4" xfId="2207" xr:uid="{306925CC-1CBF-488B-88C0-A640974B3F59}"/>
    <cellStyle name="Normal 2 3 2 4 4 2" xfId="11054" xr:uid="{7D18EFEC-3BAC-4E13-9515-4DBB4D1F3829}"/>
    <cellStyle name="Normal 2 3 2 4 5" xfId="11049" xr:uid="{F0331DDC-1F3A-4DAB-A6F0-BE0522E40D27}"/>
    <cellStyle name="Normal 2 3 2 40" xfId="2208" xr:uid="{D6A25D10-F2C7-4B0F-8DFB-2EBE79016495}"/>
    <cellStyle name="Normal 2 3 2 40 2" xfId="2209" xr:uid="{FDCC5E19-6B33-415B-9462-E7FF5C535BF8}"/>
    <cellStyle name="Normal 2 3 2 40 2 2" xfId="2210" xr:uid="{9B8416D5-37E4-4E57-BE50-F2F86F7BC5CD}"/>
    <cellStyle name="Normal 2 3 2 40 2 2 2" xfId="11057" xr:uid="{27C79F9F-0350-44C7-BF5C-F32D01B6A363}"/>
    <cellStyle name="Normal 2 3 2 40 2 3" xfId="2211" xr:uid="{1583440E-D031-41CA-88CB-F5B8AD791951}"/>
    <cellStyle name="Normal 2 3 2 40 2 3 2" xfId="11058" xr:uid="{6986D769-04CC-4899-AD25-B264AF11881B}"/>
    <cellStyle name="Normal 2 3 2 40 2 4" xfId="11056" xr:uid="{AB4D5B68-6832-40E1-AD57-D3C9CA41318E}"/>
    <cellStyle name="Normal 2 3 2 40 3" xfId="2212" xr:uid="{405744CD-1435-44DA-BFED-3C18FF9EC922}"/>
    <cellStyle name="Normal 2 3 2 40 3 2" xfId="11059" xr:uid="{3BB3C6EE-9D8E-4582-BB0B-84D18CE8F57B}"/>
    <cellStyle name="Normal 2 3 2 40 4" xfId="2213" xr:uid="{9FCA6C82-4B76-4A28-AEE3-84C226C7ECE1}"/>
    <cellStyle name="Normal 2 3 2 40 4 2" xfId="11060" xr:uid="{DBD4D8E3-EBDD-45F7-B297-9AAAD951AC8B}"/>
    <cellStyle name="Normal 2 3 2 40 5" xfId="11055" xr:uid="{A2A34EC8-203D-48B1-8648-4347F26C7B65}"/>
    <cellStyle name="Normal 2 3 2 41" xfId="2214" xr:uid="{49AAE3FA-1313-4C5A-9A73-BE65C2EB6418}"/>
    <cellStyle name="Normal 2 3 2 41 2" xfId="2215" xr:uid="{E25CF4F7-57F3-48F5-93D8-B9CA1B04E058}"/>
    <cellStyle name="Normal 2 3 2 41 2 2" xfId="2216" xr:uid="{CC31019B-FA45-4F83-BAA5-B52D207F30BA}"/>
    <cellStyle name="Normal 2 3 2 41 2 2 2" xfId="11063" xr:uid="{3B8E6ECF-A440-46A4-BB51-F34BAB21B13A}"/>
    <cellStyle name="Normal 2 3 2 41 2 3" xfId="2217" xr:uid="{BC10A9D2-C7B5-4E30-8B9E-F4EB745B66D7}"/>
    <cellStyle name="Normal 2 3 2 41 2 3 2" xfId="11064" xr:uid="{4F8A2D3B-E9FA-4217-8D19-13D00C66E133}"/>
    <cellStyle name="Normal 2 3 2 41 2 4" xfId="11062" xr:uid="{BE736A82-1C06-4B64-91F5-9B20E56BEEB2}"/>
    <cellStyle name="Normal 2 3 2 41 3" xfId="2218" xr:uid="{DE695584-D321-49EB-B39D-7C27337D91BC}"/>
    <cellStyle name="Normal 2 3 2 41 3 2" xfId="11065" xr:uid="{3B28D6B9-986E-4383-B797-2073EE85FF9E}"/>
    <cellStyle name="Normal 2 3 2 41 4" xfId="2219" xr:uid="{16ACC166-0FE3-4E8D-A753-9B0B03073C3D}"/>
    <cellStyle name="Normal 2 3 2 41 4 2" xfId="11066" xr:uid="{8F63E8F5-786E-4025-9EA5-6D42EC6FC0F7}"/>
    <cellStyle name="Normal 2 3 2 41 5" xfId="11061" xr:uid="{015B0FCD-9C3A-4123-8437-8EF257F62ED8}"/>
    <cellStyle name="Normal 2 3 2 42" xfId="2220" xr:uid="{FEDF839D-BFA7-4DA7-8506-096B348833EE}"/>
    <cellStyle name="Normal 2 3 2 42 2" xfId="2221" xr:uid="{09ECC7CD-D959-459E-A8CA-BD2D64611CFE}"/>
    <cellStyle name="Normal 2 3 2 42 2 2" xfId="2222" xr:uid="{906459F6-CA9C-431D-8ADB-AB7A6A7FB809}"/>
    <cellStyle name="Normal 2 3 2 42 2 2 2" xfId="11069" xr:uid="{C7F0B150-B37E-4906-BC6D-261C21AA315B}"/>
    <cellStyle name="Normal 2 3 2 42 2 3" xfId="2223" xr:uid="{13494CC8-926E-4AAC-A641-E6482F4234D4}"/>
    <cellStyle name="Normal 2 3 2 42 2 3 2" xfId="11070" xr:uid="{C233436D-4843-429A-8219-CD50FE5F15EE}"/>
    <cellStyle name="Normal 2 3 2 42 2 4" xfId="11068" xr:uid="{BFB3A8FA-4AEB-4849-BA60-44D0E5E3FE0F}"/>
    <cellStyle name="Normal 2 3 2 42 3" xfId="2224" xr:uid="{0C86C803-23A2-4908-B932-32E991AD3153}"/>
    <cellStyle name="Normal 2 3 2 42 3 2" xfId="11071" xr:uid="{6ECE4E64-A418-442B-A8A5-A2A5E1A83C5D}"/>
    <cellStyle name="Normal 2 3 2 42 4" xfId="2225" xr:uid="{288F334E-18A2-496E-83C2-E04EC572F8EA}"/>
    <cellStyle name="Normal 2 3 2 42 4 2" xfId="11072" xr:uid="{83953E28-630D-4FFA-AF69-94F68F743C08}"/>
    <cellStyle name="Normal 2 3 2 42 5" xfId="11067" xr:uid="{80796DF6-31AB-4D1C-964C-FDCA38E81DD0}"/>
    <cellStyle name="Normal 2 3 2 43" xfId="2226" xr:uid="{E44837DD-0E2C-471E-B26D-D0800979664F}"/>
    <cellStyle name="Normal 2 3 2 43 2" xfId="2227" xr:uid="{75974752-5027-4956-8E68-E3ABC189CF23}"/>
    <cellStyle name="Normal 2 3 2 43 2 2" xfId="2228" xr:uid="{DAF319D0-7F9A-4154-865B-3189644A1420}"/>
    <cellStyle name="Normal 2 3 2 43 2 2 2" xfId="11075" xr:uid="{31A8FC2A-EFEC-4ED1-93A4-E21F31E11D97}"/>
    <cellStyle name="Normal 2 3 2 43 2 3" xfId="2229" xr:uid="{2571A48E-436D-4C2D-A20B-1250ADF9C6D2}"/>
    <cellStyle name="Normal 2 3 2 43 2 3 2" xfId="11076" xr:uid="{D348789F-E921-4A61-8820-46C92CA83F76}"/>
    <cellStyle name="Normal 2 3 2 43 2 4" xfId="11074" xr:uid="{A9EA2689-73E7-4D7D-B86C-3056E882BBD7}"/>
    <cellStyle name="Normal 2 3 2 43 3" xfId="2230" xr:uid="{9217ACB4-24A7-42F1-929D-4E8FACBA6418}"/>
    <cellStyle name="Normal 2 3 2 43 3 2" xfId="11077" xr:uid="{B8E281D5-2A94-4458-A68D-2CE3EAC79661}"/>
    <cellStyle name="Normal 2 3 2 43 4" xfId="2231" xr:uid="{BCC10087-3BF1-43A5-8DBB-AA01D6D196F1}"/>
    <cellStyle name="Normal 2 3 2 43 4 2" xfId="11078" xr:uid="{BDACA1C8-113E-4EC8-B2D6-830A63E8427B}"/>
    <cellStyle name="Normal 2 3 2 43 5" xfId="11073" xr:uid="{18287E7B-C6D2-408E-8F57-F8ABBCA5061B}"/>
    <cellStyle name="Normal 2 3 2 44" xfId="2232" xr:uid="{73EFCD49-E52C-4A4B-857B-7D6A38ED1A02}"/>
    <cellStyle name="Normal 2 3 2 44 2" xfId="2233" xr:uid="{8F97D7C0-8A61-4535-B966-9369D72317AE}"/>
    <cellStyle name="Normal 2 3 2 44 2 2" xfId="11080" xr:uid="{1CD5FF2B-A2D5-4EDE-A4E0-20D7328B0D5D}"/>
    <cellStyle name="Normal 2 3 2 44 3" xfId="2234" xr:uid="{E23B9DA0-CE37-4108-AF5D-7AC2271C525D}"/>
    <cellStyle name="Normal 2 3 2 44 3 2" xfId="11081" xr:uid="{48763849-4251-4495-8D1A-024791B31FF2}"/>
    <cellStyle name="Normal 2 3 2 44 4" xfId="11079" xr:uid="{85814CBB-1E5D-4356-A002-01278387FAFF}"/>
    <cellStyle name="Normal 2 3 2 45" xfId="2235" xr:uid="{D6315E49-37B9-46BB-A599-EB8C98554BF3}"/>
    <cellStyle name="Normal 2 3 2 45 2" xfId="11082" xr:uid="{A9600078-A5FE-4922-B5A7-3A7D227BFD12}"/>
    <cellStyle name="Normal 2 3 2 46" xfId="2236" xr:uid="{9F610576-BC3B-4B0E-ACDB-14F7899F7DE5}"/>
    <cellStyle name="Normal 2 3 2 46 2" xfId="11083" xr:uid="{25A9CCAE-DC67-4547-824F-A7E935680764}"/>
    <cellStyle name="Normal 2 3 2 47" xfId="10856" xr:uid="{85DC0E25-F40F-49A7-B421-D30D06811941}"/>
    <cellStyle name="Normal 2 3 2 5" xfId="2237" xr:uid="{6A65CB0B-24F6-44D9-934F-1D6B37FC5D9D}"/>
    <cellStyle name="Normal 2 3 2 5 2" xfId="2238" xr:uid="{1DDFB218-2A9B-46A2-BC6E-73E65EAC384E}"/>
    <cellStyle name="Normal 2 3 2 5 2 2" xfId="2239" xr:uid="{34749115-BBF8-4246-8EF7-9A39CD540CD2}"/>
    <cellStyle name="Normal 2 3 2 5 2 2 2" xfId="11086" xr:uid="{794DF8C4-5517-4041-B18B-FF5467150D4C}"/>
    <cellStyle name="Normal 2 3 2 5 2 3" xfId="2240" xr:uid="{91722B65-A800-4683-A384-ED50D2BD7405}"/>
    <cellStyle name="Normal 2 3 2 5 2 3 2" xfId="11087" xr:uid="{254FED05-7C51-4C1F-9D73-01066F0355BD}"/>
    <cellStyle name="Normal 2 3 2 5 2 4" xfId="11085" xr:uid="{69F12581-48D7-4EAD-A957-6A554B6F2172}"/>
    <cellStyle name="Normal 2 3 2 5 3" xfId="2241" xr:uid="{A4CD6130-1359-446F-BB83-BFE7FE384392}"/>
    <cellStyle name="Normal 2 3 2 5 3 2" xfId="11088" xr:uid="{7A439A07-9801-414D-AAD6-6EF351FDC740}"/>
    <cellStyle name="Normal 2 3 2 5 4" xfId="2242" xr:uid="{3EAB140E-C3A5-448B-AF5F-15AC7A6F8A83}"/>
    <cellStyle name="Normal 2 3 2 5 4 2" xfId="11089" xr:uid="{613EBF8E-1C29-488C-B1EB-DD04C9B304A8}"/>
    <cellStyle name="Normal 2 3 2 5 5" xfId="11084" xr:uid="{55FE4B03-49E5-438E-B67F-21783A8DB904}"/>
    <cellStyle name="Normal 2 3 2 6" xfId="2243" xr:uid="{BACA78BC-2423-4A5E-BE73-36143BBEF04D}"/>
    <cellStyle name="Normal 2 3 2 6 2" xfId="2244" xr:uid="{F96C4961-EBDC-4B83-A964-1D6547E74477}"/>
    <cellStyle name="Normal 2 3 2 6 2 2" xfId="2245" xr:uid="{E6D806C7-8F64-472B-BEC9-B12BBED21126}"/>
    <cellStyle name="Normal 2 3 2 6 2 2 2" xfId="11092" xr:uid="{31248943-A0D2-43FA-8557-800C400FDD29}"/>
    <cellStyle name="Normal 2 3 2 6 2 3" xfId="2246" xr:uid="{74254358-046C-4920-BA7A-4B7B2B3A4B28}"/>
    <cellStyle name="Normal 2 3 2 6 2 3 2" xfId="11093" xr:uid="{B6982CAB-E4FD-49B6-B757-EBA04CB540E8}"/>
    <cellStyle name="Normal 2 3 2 6 2 4" xfId="11091" xr:uid="{E1865036-7ADB-4B00-A4F2-6B6DD83FE3F4}"/>
    <cellStyle name="Normal 2 3 2 6 3" xfId="2247" xr:uid="{74FDEF40-7834-4392-8C27-852DF67F5655}"/>
    <cellStyle name="Normal 2 3 2 6 3 2" xfId="11094" xr:uid="{F5674E7B-C1CA-4862-AA24-EE5BA50DEB66}"/>
    <cellStyle name="Normal 2 3 2 6 4" xfId="2248" xr:uid="{4579F898-F494-46E2-8490-A496B4F0A23C}"/>
    <cellStyle name="Normal 2 3 2 6 4 2" xfId="11095" xr:uid="{E5379FED-468E-421A-ADA6-D567AD909FC1}"/>
    <cellStyle name="Normal 2 3 2 6 5" xfId="11090" xr:uid="{7DB35C07-C674-4498-A8D6-19BB1820E3A3}"/>
    <cellStyle name="Normal 2 3 2 7" xfId="2249" xr:uid="{C266517F-EA13-4B44-AC07-DD346AFCDD4C}"/>
    <cellStyle name="Normal 2 3 2 7 2" xfId="2250" xr:uid="{2E7DB8F8-1ECD-4E0E-AB61-829B3EDD062F}"/>
    <cellStyle name="Normal 2 3 2 7 2 2" xfId="2251" xr:uid="{E7FC46A9-B779-487D-8B89-2E464A9E316C}"/>
    <cellStyle name="Normal 2 3 2 7 2 2 2" xfId="11098" xr:uid="{C1119B82-BE5C-49C6-B27C-1CE7595B6C99}"/>
    <cellStyle name="Normal 2 3 2 7 2 3" xfId="2252" xr:uid="{21CE8D4A-ADB1-4148-833E-3292BC59E58F}"/>
    <cellStyle name="Normal 2 3 2 7 2 3 2" xfId="11099" xr:uid="{89FFDF53-8DCE-4BE6-8CB8-F1B4A5147E88}"/>
    <cellStyle name="Normal 2 3 2 7 2 4" xfId="11097" xr:uid="{DFE3E9F3-9490-48A8-96C3-BDDC76F5F03A}"/>
    <cellStyle name="Normal 2 3 2 7 3" xfId="2253" xr:uid="{CE9D6C93-837F-404E-9966-8A2F0019002A}"/>
    <cellStyle name="Normal 2 3 2 7 3 2" xfId="11100" xr:uid="{B7D4BC43-754C-4A70-874C-0121F45E91DC}"/>
    <cellStyle name="Normal 2 3 2 7 4" xfId="2254" xr:uid="{211C71C9-F43F-4759-9793-2FC4F9118D37}"/>
    <cellStyle name="Normal 2 3 2 7 4 2" xfId="11101" xr:uid="{D9BC397A-2D5A-4052-846D-8D8E38B62721}"/>
    <cellStyle name="Normal 2 3 2 7 5" xfId="11096" xr:uid="{1ABE265B-3D51-4170-9CDF-7A887FEAB454}"/>
    <cellStyle name="Normal 2 3 2 8" xfId="2255" xr:uid="{D729E47B-B0B1-4EB7-BB9A-1126DF239C51}"/>
    <cellStyle name="Normal 2 3 2 8 2" xfId="2256" xr:uid="{3A674182-F30F-4EA7-B4EE-6E676BA3E6F2}"/>
    <cellStyle name="Normal 2 3 2 8 2 2" xfId="2257" xr:uid="{7156112E-B2A9-4E1F-B68B-380BA22C92EF}"/>
    <cellStyle name="Normal 2 3 2 8 2 2 2" xfId="11104" xr:uid="{66431732-AFD0-4C62-869B-285170864176}"/>
    <cellStyle name="Normal 2 3 2 8 2 3" xfId="2258" xr:uid="{5FCCC5FA-A7E1-4CEB-B168-426923FA6473}"/>
    <cellStyle name="Normal 2 3 2 8 2 3 2" xfId="11105" xr:uid="{A79C3FAA-D339-4465-A055-78FCC304008A}"/>
    <cellStyle name="Normal 2 3 2 8 2 4" xfId="11103" xr:uid="{05C822B6-347D-416C-BE7D-FF4CD56F89FC}"/>
    <cellStyle name="Normal 2 3 2 8 3" xfId="2259" xr:uid="{3389D299-E1AA-42EA-9CB7-700AF42652A4}"/>
    <cellStyle name="Normal 2 3 2 8 3 2" xfId="11106" xr:uid="{C55D3B54-EA87-45B2-8927-A5D24F31DE7C}"/>
    <cellStyle name="Normal 2 3 2 8 4" xfId="2260" xr:uid="{EE2D2E50-8531-479F-9844-3B6557A73417}"/>
    <cellStyle name="Normal 2 3 2 8 4 2" xfId="11107" xr:uid="{3CBC3BC3-1F3F-4251-9597-14A448EA33B0}"/>
    <cellStyle name="Normal 2 3 2 8 5" xfId="11102" xr:uid="{9A4340A8-1B7E-4041-803F-2CC4ED816859}"/>
    <cellStyle name="Normal 2 3 2 9" xfId="2261" xr:uid="{40BD725B-5450-4C23-A4A7-3D939A89723E}"/>
    <cellStyle name="Normal 2 3 2 9 2" xfId="2262" xr:uid="{1C3235A2-4AE7-47D1-8456-BD93453361D6}"/>
    <cellStyle name="Normal 2 3 2 9 2 2" xfId="2263" xr:uid="{43E0BDD5-0D1D-4E8D-9255-29514E850BCA}"/>
    <cellStyle name="Normal 2 3 2 9 2 2 2" xfId="11110" xr:uid="{0F8B8258-C608-460A-AD1B-4EF2137752DC}"/>
    <cellStyle name="Normal 2 3 2 9 2 3" xfId="2264" xr:uid="{A9BE3CF1-65FD-4087-9806-55AA8867B50E}"/>
    <cellStyle name="Normal 2 3 2 9 2 3 2" xfId="11111" xr:uid="{54B29278-D584-4182-B3D3-223AC299BF5C}"/>
    <cellStyle name="Normal 2 3 2 9 2 4" xfId="11109" xr:uid="{29766BDA-CBB1-43DE-AAD4-2AEDDCD38DF5}"/>
    <cellStyle name="Normal 2 3 2 9 3" xfId="2265" xr:uid="{AF248C59-298F-4743-BC35-A0339F930E43}"/>
    <cellStyle name="Normal 2 3 2 9 3 2" xfId="11112" xr:uid="{2A1FE51B-40C2-4BFC-B7B0-0F2C2521EB2F}"/>
    <cellStyle name="Normal 2 3 2 9 4" xfId="2266" xr:uid="{82AFF455-F76F-4D14-8D36-A78E7B6194D3}"/>
    <cellStyle name="Normal 2 3 2 9 4 2" xfId="11113" xr:uid="{52F973DE-9481-41FF-9DCC-4987EBD18890}"/>
    <cellStyle name="Normal 2 3 2 9 5" xfId="11108" xr:uid="{9111E022-665F-4C4B-B5D8-E2DD2C208A8E}"/>
    <cellStyle name="Normal 2 3 20" xfId="2267" xr:uid="{AE79D693-BFC0-46DC-BE48-49E5A2350E70}"/>
    <cellStyle name="Normal 2 3 20 2" xfId="2268" xr:uid="{BB41D5F5-8BF4-4833-8EA8-B20FB8A94F66}"/>
    <cellStyle name="Normal 2 3 20 2 2" xfId="2269" xr:uid="{AF000605-7B70-4F7D-A870-32D5EE185EC0}"/>
    <cellStyle name="Normal 2 3 20 2 2 2" xfId="11116" xr:uid="{FB9E934D-EDA0-4D80-AA40-8420E8EE61D7}"/>
    <cellStyle name="Normal 2 3 20 2 3" xfId="2270" xr:uid="{4DAEDACA-B051-4D46-ADE3-8677FE1F1BD4}"/>
    <cellStyle name="Normal 2 3 20 2 3 2" xfId="11117" xr:uid="{B8E077F0-2848-4244-B5A5-97D63D01764C}"/>
    <cellStyle name="Normal 2 3 20 2 4" xfId="11115" xr:uid="{A70B596E-6754-4E59-A345-E502A7393E8F}"/>
    <cellStyle name="Normal 2 3 20 3" xfId="2271" xr:uid="{EFDE7411-B864-4732-9822-A847792B8A64}"/>
    <cellStyle name="Normal 2 3 20 3 2" xfId="11118" xr:uid="{1C459F23-FCC0-4111-BFBD-350D9563A2C9}"/>
    <cellStyle name="Normal 2 3 20 4" xfId="2272" xr:uid="{15899AA0-C564-4C88-8F26-95677AC0DCA7}"/>
    <cellStyle name="Normal 2 3 20 4 2" xfId="11119" xr:uid="{4040E4E9-1496-4F12-9F78-CBE368486DCB}"/>
    <cellStyle name="Normal 2 3 20 5" xfId="11114" xr:uid="{87848449-5540-467B-AAAF-A3802B776A72}"/>
    <cellStyle name="Normal 2 3 21" xfId="2273" xr:uid="{2DA46C93-5138-4865-8505-03ABE57D78F7}"/>
    <cellStyle name="Normal 2 3 21 2" xfId="2274" xr:uid="{7D813715-C63A-473C-82F8-4364D1829632}"/>
    <cellStyle name="Normal 2 3 21 2 2" xfId="2275" xr:uid="{9B3B8B49-F407-4DCE-897B-A260EEAA67BC}"/>
    <cellStyle name="Normal 2 3 21 2 2 2" xfId="11122" xr:uid="{957FFAD2-1756-4823-B482-0D06625E16AE}"/>
    <cellStyle name="Normal 2 3 21 2 3" xfId="2276" xr:uid="{FE180045-EB62-45BC-9F01-557215ED8B5A}"/>
    <cellStyle name="Normal 2 3 21 2 3 2" xfId="11123" xr:uid="{FED30F5B-91B8-4D01-91D8-C8760701FCA0}"/>
    <cellStyle name="Normal 2 3 21 2 4" xfId="11121" xr:uid="{233FF265-87DA-479B-93BB-484D9631ECFB}"/>
    <cellStyle name="Normal 2 3 21 3" xfId="2277" xr:uid="{29C206FA-72CF-4534-8EEE-E69A0099C657}"/>
    <cellStyle name="Normal 2 3 21 3 2" xfId="11124" xr:uid="{EE570F82-F147-4312-8612-CA102385080B}"/>
    <cellStyle name="Normal 2 3 21 4" xfId="2278" xr:uid="{883810BD-D60C-4CA7-823C-67E310FD43FB}"/>
    <cellStyle name="Normal 2 3 21 4 2" xfId="11125" xr:uid="{DADC52B8-5D84-4D30-8A25-8FA825F2BEDC}"/>
    <cellStyle name="Normal 2 3 21 5" xfId="11120" xr:uid="{59105A48-0C90-4C3D-AFF9-278375F897CC}"/>
    <cellStyle name="Normal 2 3 22" xfId="2279" xr:uid="{2B3F4897-C5B2-4C3B-BBAA-1B7DB0A474FD}"/>
    <cellStyle name="Normal 2 3 22 2" xfId="2280" xr:uid="{B2808FC9-2FE6-48A2-9D01-21C43D62011C}"/>
    <cellStyle name="Normal 2 3 22 2 2" xfId="2281" xr:uid="{CE66E3AD-C7FE-427A-8D50-372EBB319F99}"/>
    <cellStyle name="Normal 2 3 22 2 2 2" xfId="11128" xr:uid="{2EA62078-659C-42B6-BA79-A408D22D8582}"/>
    <cellStyle name="Normal 2 3 22 2 3" xfId="2282" xr:uid="{8B9CFA45-A1F3-4D72-8826-CB2603578663}"/>
    <cellStyle name="Normal 2 3 22 2 3 2" xfId="11129" xr:uid="{A15C00AD-E7F6-49D2-8072-6D38317ABFCC}"/>
    <cellStyle name="Normal 2 3 22 2 4" xfId="11127" xr:uid="{5057ACD6-A159-40CF-B78C-2798C8E12377}"/>
    <cellStyle name="Normal 2 3 22 3" xfId="2283" xr:uid="{7724FCB5-61A0-4646-972D-0ED42F4EF2A7}"/>
    <cellStyle name="Normal 2 3 22 3 2" xfId="11130" xr:uid="{5A6E8D30-7841-4B06-996B-AC9406F0883E}"/>
    <cellStyle name="Normal 2 3 22 4" xfId="2284" xr:uid="{5ACCE0A3-3CCE-436B-BE39-05E1BFFB944B}"/>
    <cellStyle name="Normal 2 3 22 4 2" xfId="11131" xr:uid="{2F85842E-1E17-4B37-9BA9-9AA5E030CE71}"/>
    <cellStyle name="Normal 2 3 22 5" xfId="11126" xr:uid="{65C8D266-339B-429B-9462-0D73D1F9F7DA}"/>
    <cellStyle name="Normal 2 3 23" xfId="2285" xr:uid="{5215AAE3-FDF3-4CC6-BB5B-4DCC2E731BDA}"/>
    <cellStyle name="Normal 2 3 23 2" xfId="2286" xr:uid="{3AE109FF-F6B7-42C0-8A6F-A35003AC68A2}"/>
    <cellStyle name="Normal 2 3 23 2 2" xfId="2287" xr:uid="{9E09453E-E20E-4E2C-B843-2F923F23FA4E}"/>
    <cellStyle name="Normal 2 3 23 2 2 2" xfId="11134" xr:uid="{FA018FCB-CE61-4AEC-8346-462EBF595642}"/>
    <cellStyle name="Normal 2 3 23 2 3" xfId="2288" xr:uid="{AB6861AF-DCAF-4B6B-8894-F421FCD15379}"/>
    <cellStyle name="Normal 2 3 23 2 3 2" xfId="11135" xr:uid="{1407EBF6-2232-4EDC-946A-613F32811405}"/>
    <cellStyle name="Normal 2 3 23 2 4" xfId="11133" xr:uid="{C0BC94D9-8917-4CF2-BE09-1562E6E8F797}"/>
    <cellStyle name="Normal 2 3 23 3" xfId="2289" xr:uid="{2A12D8DB-F97A-41E8-B8F7-2EA909D49860}"/>
    <cellStyle name="Normal 2 3 23 3 2" xfId="11136" xr:uid="{5EFEE758-202B-433B-98B4-B6BDE4C40C1C}"/>
    <cellStyle name="Normal 2 3 23 4" xfId="2290" xr:uid="{8876852D-7D0D-4085-9555-DA36C32DBAE9}"/>
    <cellStyle name="Normal 2 3 23 4 2" xfId="11137" xr:uid="{3FFDAC12-71B3-434B-9321-6323B68E9BEC}"/>
    <cellStyle name="Normal 2 3 23 5" xfId="11132" xr:uid="{1CAE0071-01BC-41DB-9C7F-2D053BDF31F9}"/>
    <cellStyle name="Normal 2 3 24" xfId="2291" xr:uid="{7CA09030-AE14-43DD-BDF2-B5141C329C07}"/>
    <cellStyle name="Normal 2 3 24 2" xfId="2292" xr:uid="{52B8140D-C8C3-41ED-84C5-DE5B2F79AF1A}"/>
    <cellStyle name="Normal 2 3 24 2 2" xfId="2293" xr:uid="{74EBEF7E-964E-4128-B6FB-81049DAA886C}"/>
    <cellStyle name="Normal 2 3 24 2 2 2" xfId="11140" xr:uid="{978B9236-15ED-4216-8CD0-B1395B213A80}"/>
    <cellStyle name="Normal 2 3 24 2 3" xfId="2294" xr:uid="{D897A4F8-F5B1-436C-86B1-1212F8ED297B}"/>
    <cellStyle name="Normal 2 3 24 2 3 2" xfId="11141" xr:uid="{A019D113-5C35-4284-B1A3-3438E695C6DC}"/>
    <cellStyle name="Normal 2 3 24 2 4" xfId="11139" xr:uid="{764231E8-BC6A-44AF-B5D1-9FEAC4EAB590}"/>
    <cellStyle name="Normal 2 3 24 3" xfId="2295" xr:uid="{700600DF-A1E7-4275-B892-2D316883FE82}"/>
    <cellStyle name="Normal 2 3 24 3 2" xfId="11142" xr:uid="{E0D5D595-73F3-4442-882C-BC33F3CA87D2}"/>
    <cellStyle name="Normal 2 3 24 4" xfId="2296" xr:uid="{50005365-07BB-4483-91A2-72F5DC116C87}"/>
    <cellStyle name="Normal 2 3 24 4 2" xfId="11143" xr:uid="{C548A69F-E7BD-4D3A-A464-4952A1E8C7CD}"/>
    <cellStyle name="Normal 2 3 24 5" xfId="11138" xr:uid="{75BBBF7C-175A-4261-87F1-DFD8C5BC56A7}"/>
    <cellStyle name="Normal 2 3 25" xfId="2297" xr:uid="{2876DB59-31B5-415C-923C-74E6DAC91477}"/>
    <cellStyle name="Normal 2 3 25 2" xfId="2298" xr:uid="{38762393-4482-4610-93F3-68B4F567DE4D}"/>
    <cellStyle name="Normal 2 3 25 2 2" xfId="2299" xr:uid="{694AD0F6-A024-4EB9-9953-BD87AE46A34D}"/>
    <cellStyle name="Normal 2 3 25 2 2 2" xfId="11146" xr:uid="{F1318644-7A7D-4CAF-BC5C-283A68C6BB3C}"/>
    <cellStyle name="Normal 2 3 25 2 3" xfId="2300" xr:uid="{A3FC5CAF-169B-47EC-9961-169CBBBB84D8}"/>
    <cellStyle name="Normal 2 3 25 2 3 2" xfId="11147" xr:uid="{1FB3F51C-D4F8-4137-ADEA-D9C811F3AEC4}"/>
    <cellStyle name="Normal 2 3 25 2 4" xfId="11145" xr:uid="{E4F8CD82-5C20-48E7-82C8-E5406F5AC747}"/>
    <cellStyle name="Normal 2 3 25 3" xfId="2301" xr:uid="{AEEA1444-646B-4C43-BAA0-E681BB7E5B0A}"/>
    <cellStyle name="Normal 2 3 25 3 2" xfId="11148" xr:uid="{2B0DD17B-1EF1-451E-90BC-16BA6740AE1C}"/>
    <cellStyle name="Normal 2 3 25 4" xfId="2302" xr:uid="{EB2978A9-8600-473F-A8B3-396540F39CFA}"/>
    <cellStyle name="Normal 2 3 25 4 2" xfId="11149" xr:uid="{83974E8F-1100-4DC4-A28C-1F690D16F012}"/>
    <cellStyle name="Normal 2 3 25 5" xfId="11144" xr:uid="{AF572C0B-A19E-437F-9663-C9CA3B3F5EE9}"/>
    <cellStyle name="Normal 2 3 26" xfId="2303" xr:uid="{7FF0862E-26D6-40CD-B342-E0A98AB51604}"/>
    <cellStyle name="Normal 2 3 26 2" xfId="2304" xr:uid="{524CB28E-D5C1-482D-A564-86DF59683650}"/>
    <cellStyle name="Normal 2 3 26 2 2" xfId="2305" xr:uid="{58D988A5-A8AA-4D9F-BFB3-A1F9D208BED2}"/>
    <cellStyle name="Normal 2 3 26 2 2 2" xfId="11152" xr:uid="{AAFEDB87-2949-4344-A7D5-8417E3DD3E8D}"/>
    <cellStyle name="Normal 2 3 26 2 3" xfId="2306" xr:uid="{53AAD7E6-26D7-4275-905C-D1FA33035101}"/>
    <cellStyle name="Normal 2 3 26 2 3 2" xfId="11153" xr:uid="{60E6A6C7-9667-41B3-AD91-28650423233F}"/>
    <cellStyle name="Normal 2 3 26 2 4" xfId="11151" xr:uid="{3180580B-D780-4AC0-9D1D-745EC9042D10}"/>
    <cellStyle name="Normal 2 3 26 3" xfId="2307" xr:uid="{9675C73E-663B-4C4A-A169-D75AD4F084E9}"/>
    <cellStyle name="Normal 2 3 26 3 2" xfId="11154" xr:uid="{9C636F2E-D614-4B71-A56A-92A0C174E64B}"/>
    <cellStyle name="Normal 2 3 26 4" xfId="2308" xr:uid="{94A03BAC-F460-420D-AA5B-7B58842FD857}"/>
    <cellStyle name="Normal 2 3 26 4 2" xfId="11155" xr:uid="{E3C29CF3-9447-40A9-8DC9-499B11E6D924}"/>
    <cellStyle name="Normal 2 3 26 5" xfId="11150" xr:uid="{1E2B2800-E849-4CEA-A95F-1590A87C00F6}"/>
    <cellStyle name="Normal 2 3 27" xfId="2309" xr:uid="{380395A9-E147-428C-8660-57E112C6B5D3}"/>
    <cellStyle name="Normal 2 3 27 2" xfId="2310" xr:uid="{637B44BF-A954-470F-AB33-40488FC23171}"/>
    <cellStyle name="Normal 2 3 27 2 2" xfId="2311" xr:uid="{5254C0C4-F2D6-44A8-A126-210BC4A5BBF1}"/>
    <cellStyle name="Normal 2 3 27 2 2 2" xfId="11158" xr:uid="{E3FB4EBB-C07E-4AAB-8862-398567547117}"/>
    <cellStyle name="Normal 2 3 27 2 3" xfId="2312" xr:uid="{2BEA9517-E73F-44CD-981E-E6E1C086CF30}"/>
    <cellStyle name="Normal 2 3 27 2 3 2" xfId="11159" xr:uid="{50A8EE20-C035-4FAE-8ECE-FFB75D78EC01}"/>
    <cellStyle name="Normal 2 3 27 2 4" xfId="11157" xr:uid="{6C7A0DB7-8DD9-4523-B0AB-ED397AD10E1B}"/>
    <cellStyle name="Normal 2 3 27 3" xfId="2313" xr:uid="{466FE6F9-F370-48FE-88DE-92270B30A25B}"/>
    <cellStyle name="Normal 2 3 27 3 2" xfId="11160" xr:uid="{F4D53D85-F5BD-4908-882A-10CBCCCD4DF6}"/>
    <cellStyle name="Normal 2 3 27 4" xfId="2314" xr:uid="{B70D2358-561E-4C0B-BCF4-7850B410E419}"/>
    <cellStyle name="Normal 2 3 27 4 2" xfId="11161" xr:uid="{653BFBE4-F376-4158-B458-D42FDDDE4629}"/>
    <cellStyle name="Normal 2 3 27 5" xfId="11156" xr:uid="{3417EFC0-31B1-49DF-9E90-1117F3D720FC}"/>
    <cellStyle name="Normal 2 3 28" xfId="2315" xr:uid="{F4473F9B-C151-4759-A284-6B8FBA1BD1B5}"/>
    <cellStyle name="Normal 2 3 28 2" xfId="2316" xr:uid="{10B63569-8170-4927-9078-B4D1B0F3AB16}"/>
    <cellStyle name="Normal 2 3 28 2 2" xfId="2317" xr:uid="{AA08589F-7009-4E62-9FA4-083F122D0674}"/>
    <cellStyle name="Normal 2 3 28 2 2 2" xfId="11164" xr:uid="{84AB33BD-7398-4BA9-8C80-797BE689D6C3}"/>
    <cellStyle name="Normal 2 3 28 2 3" xfId="2318" xr:uid="{47CEE6E4-E050-4D63-B85A-9529BCD51A22}"/>
    <cellStyle name="Normal 2 3 28 2 3 2" xfId="11165" xr:uid="{42F3DEB9-4566-4F71-8D04-03F7F893C2B3}"/>
    <cellStyle name="Normal 2 3 28 2 4" xfId="11163" xr:uid="{E49221C9-6C85-47F7-BA34-52262676B31A}"/>
    <cellStyle name="Normal 2 3 28 3" xfId="2319" xr:uid="{ECB3BC63-F8CD-45F8-92F9-67978C3EF340}"/>
    <cellStyle name="Normal 2 3 28 3 2" xfId="11166" xr:uid="{B826FB5A-54EF-40BC-92CF-58E73BE6EE5F}"/>
    <cellStyle name="Normal 2 3 28 4" xfId="2320" xr:uid="{2A010DDA-5E09-48E6-B571-DC7962BC7D57}"/>
    <cellStyle name="Normal 2 3 28 4 2" xfId="11167" xr:uid="{FDE94A9D-8104-45B3-ACEA-DFD8F8434502}"/>
    <cellStyle name="Normal 2 3 28 5" xfId="11162" xr:uid="{B3E4C1AA-6938-4EAC-8940-70A74F6F54F2}"/>
    <cellStyle name="Normal 2 3 29" xfId="2321" xr:uid="{1BAC5D41-AE7D-4577-9A36-CB3966E1BE52}"/>
    <cellStyle name="Normal 2 3 29 2" xfId="2322" xr:uid="{291E858C-E912-43C8-BD21-3797825D6A32}"/>
    <cellStyle name="Normal 2 3 29 2 2" xfId="2323" xr:uid="{CDE86DC3-F14F-4258-9436-1FB6FBA4FC40}"/>
    <cellStyle name="Normal 2 3 29 2 2 2" xfId="11170" xr:uid="{1FEEB211-5843-4104-917C-029A3586BD90}"/>
    <cellStyle name="Normal 2 3 29 2 3" xfId="2324" xr:uid="{D7F505A8-19ED-41B3-83B7-BE1EA33DC49A}"/>
    <cellStyle name="Normal 2 3 29 2 3 2" xfId="11171" xr:uid="{043207B2-4AA1-4826-AC0F-EDB00801E36F}"/>
    <cellStyle name="Normal 2 3 29 2 4" xfId="11169" xr:uid="{2E35DBA2-E960-4EC9-924E-A5A92256D733}"/>
    <cellStyle name="Normal 2 3 29 3" xfId="2325" xr:uid="{5D191605-A817-41D8-9887-3634BB2BF026}"/>
    <cellStyle name="Normal 2 3 29 3 2" xfId="11172" xr:uid="{447759BC-5580-44F5-B2B4-95D54312CF07}"/>
    <cellStyle name="Normal 2 3 29 4" xfId="2326" xr:uid="{89E35ACF-FC15-4AD3-B57D-90DF7C8C1525}"/>
    <cellStyle name="Normal 2 3 29 4 2" xfId="11173" xr:uid="{BDE533F2-97EE-4F4F-BF36-26EE218858CC}"/>
    <cellStyle name="Normal 2 3 29 5" xfId="11168" xr:uid="{3C3C21C8-728C-48DB-AADB-41D8A8360E9C}"/>
    <cellStyle name="Normal 2 3 3" xfId="2327" xr:uid="{CF716D64-CE05-4A64-A120-9059D5F486E4}"/>
    <cellStyle name="Normal 2 3 3 10" xfId="2328" xr:uid="{1EB783F7-64D3-4F75-9B9F-B4FFC1B0136F}"/>
    <cellStyle name="Normal 2 3 3 10 2" xfId="2329" xr:uid="{E54174DA-ED85-42B0-B7C3-0471753FF325}"/>
    <cellStyle name="Normal 2 3 3 10 2 2" xfId="2330" xr:uid="{17EC4B1E-89B8-40BB-AE1D-BAC1F4E47257}"/>
    <cellStyle name="Normal 2 3 3 10 2 2 2" xfId="11177" xr:uid="{E2E3F587-C765-4A80-9758-0956B4DADA67}"/>
    <cellStyle name="Normal 2 3 3 10 2 3" xfId="2331" xr:uid="{8A9ACFAB-8C66-4B0E-A9DA-4CA51FF7EF44}"/>
    <cellStyle name="Normal 2 3 3 10 2 3 2" xfId="11178" xr:uid="{114D91FC-277F-468E-A6BE-90A9D709FD15}"/>
    <cellStyle name="Normal 2 3 3 10 2 4" xfId="11176" xr:uid="{2D196059-B846-4BE6-B987-EAC2E8B7FF47}"/>
    <cellStyle name="Normal 2 3 3 10 3" xfId="2332" xr:uid="{D3868ED5-0F28-4AB4-95F2-9F45B385F3CB}"/>
    <cellStyle name="Normal 2 3 3 10 3 2" xfId="11179" xr:uid="{7D510058-04C7-411B-9A46-66FB9B20E45B}"/>
    <cellStyle name="Normal 2 3 3 10 4" xfId="2333" xr:uid="{3CF44F6B-62C6-43BB-A04F-DD0EBE90A55E}"/>
    <cellStyle name="Normal 2 3 3 10 4 2" xfId="11180" xr:uid="{0E0763BB-BF7B-45B6-8191-157E8655C034}"/>
    <cellStyle name="Normal 2 3 3 10 5" xfId="11175" xr:uid="{37F81D75-C696-4638-BF7A-824EE2A40E41}"/>
    <cellStyle name="Normal 2 3 3 11" xfId="2334" xr:uid="{14C39F59-B3E0-45C3-A753-6F445BBBA2AA}"/>
    <cellStyle name="Normal 2 3 3 11 2" xfId="2335" xr:uid="{88E45563-D49D-46DA-B2DA-A3C04E8CF1A0}"/>
    <cellStyle name="Normal 2 3 3 11 2 2" xfId="2336" xr:uid="{3AE13DFC-91EC-4812-A5E7-C854A2F5B2C9}"/>
    <cellStyle name="Normal 2 3 3 11 2 2 2" xfId="11183" xr:uid="{5B085F92-6254-429B-9860-E8350BC4058A}"/>
    <cellStyle name="Normal 2 3 3 11 2 3" xfId="2337" xr:uid="{57757CEB-2B60-45CD-AA3B-D04C427AD0A7}"/>
    <cellStyle name="Normal 2 3 3 11 2 3 2" xfId="11184" xr:uid="{16FE858B-03B1-4B45-B964-3B3541F83A44}"/>
    <cellStyle name="Normal 2 3 3 11 2 4" xfId="11182" xr:uid="{85DB9BB0-7BDA-4F36-8211-0F80878B4382}"/>
    <cellStyle name="Normal 2 3 3 11 3" xfId="2338" xr:uid="{FE3FF3CB-FCDC-4A06-BBE9-9EA9BC49F3C1}"/>
    <cellStyle name="Normal 2 3 3 11 3 2" xfId="11185" xr:uid="{9ED030DA-881B-47C6-8CF0-FD93790F8866}"/>
    <cellStyle name="Normal 2 3 3 11 4" xfId="2339" xr:uid="{B376323C-5AF2-4349-BFEB-516A27740EFD}"/>
    <cellStyle name="Normal 2 3 3 11 4 2" xfId="11186" xr:uid="{E6DED60F-DD2F-43C2-8339-71EFF8EF00BE}"/>
    <cellStyle name="Normal 2 3 3 11 5" xfId="11181" xr:uid="{4B737684-9B06-4B8E-8480-99F873C1166E}"/>
    <cellStyle name="Normal 2 3 3 12" xfId="2340" xr:uid="{5D558893-91B3-4DD6-BDDB-111AC7D4F514}"/>
    <cellStyle name="Normal 2 3 3 12 2" xfId="2341" xr:uid="{0B1FE9C4-49A7-4A3F-9B1E-F6BF621FD3A9}"/>
    <cellStyle name="Normal 2 3 3 12 2 2" xfId="2342" xr:uid="{08BE63C3-06BC-4322-AE89-F9673DC395DD}"/>
    <cellStyle name="Normal 2 3 3 12 2 2 2" xfId="11189" xr:uid="{760C80A1-E636-46CB-876B-EAA295087829}"/>
    <cellStyle name="Normal 2 3 3 12 2 3" xfId="2343" xr:uid="{15483F6A-0CB4-4A2B-8B78-AD0879FCFE99}"/>
    <cellStyle name="Normal 2 3 3 12 2 3 2" xfId="11190" xr:uid="{92FF1DA8-5FBF-4957-8791-145AEB8DFF40}"/>
    <cellStyle name="Normal 2 3 3 12 2 4" xfId="11188" xr:uid="{7E0867C8-D3E2-450C-949C-E61DB4B50913}"/>
    <cellStyle name="Normal 2 3 3 12 3" xfId="2344" xr:uid="{78223B3A-BD17-4CCA-B103-70E7F67F4FF7}"/>
    <cellStyle name="Normal 2 3 3 12 3 2" xfId="11191" xr:uid="{E19DE212-AD00-40C5-A47E-5EBF5F17BD3E}"/>
    <cellStyle name="Normal 2 3 3 12 4" xfId="2345" xr:uid="{70712864-3950-4E8C-985B-7181DA421016}"/>
    <cellStyle name="Normal 2 3 3 12 4 2" xfId="11192" xr:uid="{9CBCCF2C-804F-4B99-AF24-2D55DFE2C8A9}"/>
    <cellStyle name="Normal 2 3 3 12 5" xfId="11187" xr:uid="{BBB88774-C21A-4EB9-96BD-37D0A3AB5210}"/>
    <cellStyle name="Normal 2 3 3 13" xfId="2346" xr:uid="{19DEC0A5-524C-4E10-9990-CFABD98B5D09}"/>
    <cellStyle name="Normal 2 3 3 13 2" xfId="2347" xr:uid="{518FEF9B-8EE8-4654-89C0-E55F2836A02D}"/>
    <cellStyle name="Normal 2 3 3 13 2 2" xfId="2348" xr:uid="{1577F7C5-09DF-465E-BFC2-D62A692829F3}"/>
    <cellStyle name="Normal 2 3 3 13 2 2 2" xfId="11195" xr:uid="{596E433F-3078-43FA-8DC9-D0D90CF8C41F}"/>
    <cellStyle name="Normal 2 3 3 13 2 3" xfId="2349" xr:uid="{11B83B37-24A3-40AE-AE41-22B5EFB96B55}"/>
    <cellStyle name="Normal 2 3 3 13 2 3 2" xfId="11196" xr:uid="{6BE8223E-1EC3-46FE-9E5D-570C7FB3B5AD}"/>
    <cellStyle name="Normal 2 3 3 13 2 4" xfId="11194" xr:uid="{0747E5C5-DBF0-4054-94FB-D2A87E3D459C}"/>
    <cellStyle name="Normal 2 3 3 13 3" xfId="2350" xr:uid="{17FB59E8-B465-41D5-B1D0-23B850ABD1F8}"/>
    <cellStyle name="Normal 2 3 3 13 3 2" xfId="11197" xr:uid="{26A8A134-6ED1-4541-B6E3-8C0698731DD3}"/>
    <cellStyle name="Normal 2 3 3 13 4" xfId="2351" xr:uid="{7DD061C0-25C1-49B0-9E4B-822F851E5C84}"/>
    <cellStyle name="Normal 2 3 3 13 4 2" xfId="11198" xr:uid="{814C82FE-A00E-449B-88CB-90459E4C5351}"/>
    <cellStyle name="Normal 2 3 3 13 5" xfId="11193" xr:uid="{549CCB0F-9A96-4E79-9569-A617EB07A915}"/>
    <cellStyle name="Normal 2 3 3 14" xfId="2352" xr:uid="{76547D4F-2E19-4E9F-9872-90143C138120}"/>
    <cellStyle name="Normal 2 3 3 14 2" xfId="2353" xr:uid="{A0ECE533-2196-4BC9-B2C4-6835819F4A64}"/>
    <cellStyle name="Normal 2 3 3 14 2 2" xfId="2354" xr:uid="{E5F7F797-060A-46BC-89BE-2A414E66BE16}"/>
    <cellStyle name="Normal 2 3 3 14 2 2 2" xfId="11201" xr:uid="{81CC610E-7FA8-4EAA-817F-4B76E375CB4E}"/>
    <cellStyle name="Normal 2 3 3 14 2 3" xfId="2355" xr:uid="{951DC24F-860B-4113-8B4E-DBE9224CE154}"/>
    <cellStyle name="Normal 2 3 3 14 2 3 2" xfId="11202" xr:uid="{FF94BA3E-B45F-45D0-8B26-FB3A223D5B76}"/>
    <cellStyle name="Normal 2 3 3 14 2 4" xfId="11200" xr:uid="{B47E11DF-408A-4AC9-B329-B6622BBBA0A0}"/>
    <cellStyle name="Normal 2 3 3 14 3" xfId="2356" xr:uid="{BD4ADA3C-C917-4F2D-B20C-29FEB0DB0C70}"/>
    <cellStyle name="Normal 2 3 3 14 3 2" xfId="11203" xr:uid="{5E3FE19B-E018-4295-AA13-AD8C3936D4EE}"/>
    <cellStyle name="Normal 2 3 3 14 4" xfId="2357" xr:uid="{E964A840-8EE0-44AB-BBDB-3924E671517B}"/>
    <cellStyle name="Normal 2 3 3 14 4 2" xfId="11204" xr:uid="{1E9284B6-8790-4D3E-9829-52476FC0D91C}"/>
    <cellStyle name="Normal 2 3 3 14 5" xfId="11199" xr:uid="{A93EB512-D8E3-4E2A-8154-914839FBC715}"/>
    <cellStyle name="Normal 2 3 3 15" xfId="2358" xr:uid="{619F8421-4D22-48F7-BBFA-1E356DAE9579}"/>
    <cellStyle name="Normal 2 3 3 15 2" xfId="2359" xr:uid="{0067E56F-7D63-402B-BE36-7FE06F982529}"/>
    <cellStyle name="Normal 2 3 3 15 2 2" xfId="2360" xr:uid="{945A6507-7E60-4144-95F0-2036A2B9D43C}"/>
    <cellStyle name="Normal 2 3 3 15 2 2 2" xfId="11207" xr:uid="{6847E893-325F-4209-81BA-449E9E194531}"/>
    <cellStyle name="Normal 2 3 3 15 2 3" xfId="2361" xr:uid="{5B35A47D-56E0-45BF-AD2D-B067EE820685}"/>
    <cellStyle name="Normal 2 3 3 15 2 3 2" xfId="11208" xr:uid="{496B2CEB-56C9-4C00-AD42-6FB259DC052D}"/>
    <cellStyle name="Normal 2 3 3 15 2 4" xfId="11206" xr:uid="{F90FD61E-DE5B-42D2-96B4-7FBA1E7D8F2B}"/>
    <cellStyle name="Normal 2 3 3 15 3" xfId="2362" xr:uid="{D50A2E46-AFDE-4AB6-891A-2E4BC9D15A39}"/>
    <cellStyle name="Normal 2 3 3 15 3 2" xfId="11209" xr:uid="{97DCCB96-00FE-4D81-B86D-E0D7430B10C2}"/>
    <cellStyle name="Normal 2 3 3 15 4" xfId="2363" xr:uid="{E28867AC-8836-45A1-9DE3-EC9D94339A18}"/>
    <cellStyle name="Normal 2 3 3 15 4 2" xfId="11210" xr:uid="{CC7F5C01-55CE-425C-988B-AF8B728AEF5D}"/>
    <cellStyle name="Normal 2 3 3 15 5" xfId="11205" xr:uid="{3DF4F710-3860-44D9-8F48-B68536C22904}"/>
    <cellStyle name="Normal 2 3 3 16" xfId="2364" xr:uid="{9D5F6974-7BA9-49AB-83E1-C32C466D7ED9}"/>
    <cellStyle name="Normal 2 3 3 16 2" xfId="2365" xr:uid="{83314939-0953-4777-A00A-16939F159D8D}"/>
    <cellStyle name="Normal 2 3 3 16 2 2" xfId="2366" xr:uid="{06A6DC22-7367-4101-8D6D-05EB951A3521}"/>
    <cellStyle name="Normal 2 3 3 16 2 2 2" xfId="11213" xr:uid="{ED4443B4-FB9E-474B-BB10-02762D4DA6A6}"/>
    <cellStyle name="Normal 2 3 3 16 2 3" xfId="2367" xr:uid="{7DD8B679-850D-4A49-9566-1D2924C3CD29}"/>
    <cellStyle name="Normal 2 3 3 16 2 3 2" xfId="11214" xr:uid="{7D84DA8D-EE1D-4A06-B2DE-6294E31C74AD}"/>
    <cellStyle name="Normal 2 3 3 16 2 4" xfId="11212" xr:uid="{E4CC1E20-F527-485A-BACE-1B42359C3631}"/>
    <cellStyle name="Normal 2 3 3 16 3" xfId="2368" xr:uid="{33818DED-945C-48A5-9BAF-CE64072EFA6E}"/>
    <cellStyle name="Normal 2 3 3 16 3 2" xfId="11215" xr:uid="{77AFB121-80F0-4758-AD6F-EFD56545EFC6}"/>
    <cellStyle name="Normal 2 3 3 16 4" xfId="2369" xr:uid="{EF6D2DE8-277D-4DC8-B2ED-BA2DC49FD7D0}"/>
    <cellStyle name="Normal 2 3 3 16 4 2" xfId="11216" xr:uid="{178EE5C1-368E-48F0-AF6B-E22AD7E4863C}"/>
    <cellStyle name="Normal 2 3 3 16 5" xfId="11211" xr:uid="{C23C5C4F-A7B4-431B-B045-4936835B4E81}"/>
    <cellStyle name="Normal 2 3 3 17" xfId="2370" xr:uid="{FFAC6684-5C45-4DC6-8906-5B9986FFAE90}"/>
    <cellStyle name="Normal 2 3 3 17 2" xfId="2371" xr:uid="{8E0521D1-21C2-4C0A-87B2-A9AAE782BB87}"/>
    <cellStyle name="Normal 2 3 3 17 2 2" xfId="2372" xr:uid="{E0969BA5-32CA-4EE0-AC2F-CD470CE52334}"/>
    <cellStyle name="Normal 2 3 3 17 2 2 2" xfId="11219" xr:uid="{FE13CF36-AAA2-4244-8E35-6F34B137E9D4}"/>
    <cellStyle name="Normal 2 3 3 17 2 3" xfId="2373" xr:uid="{71113ED0-60C1-46C7-9581-B880C805FC98}"/>
    <cellStyle name="Normal 2 3 3 17 2 3 2" xfId="11220" xr:uid="{835FC303-3E30-4974-9FC9-2047ED20F4B1}"/>
    <cellStyle name="Normal 2 3 3 17 2 4" xfId="11218" xr:uid="{63FC56D3-CE33-4990-938C-BF8858379211}"/>
    <cellStyle name="Normal 2 3 3 17 3" xfId="2374" xr:uid="{8D1559D3-5F26-4529-893A-EA00FB035440}"/>
    <cellStyle name="Normal 2 3 3 17 3 2" xfId="11221" xr:uid="{71052ECC-8718-4867-8D2A-521E0F8C3CBB}"/>
    <cellStyle name="Normal 2 3 3 17 4" xfId="2375" xr:uid="{5AA551CC-6B63-4F82-8D92-3E35909E80AC}"/>
    <cellStyle name="Normal 2 3 3 17 4 2" xfId="11222" xr:uid="{785AD142-F8F5-459D-BE46-51DA67AEBFCF}"/>
    <cellStyle name="Normal 2 3 3 17 5" xfId="11217" xr:uid="{3E61641E-1110-46C5-8455-E8DA67022D09}"/>
    <cellStyle name="Normal 2 3 3 18" xfId="2376" xr:uid="{CFF791EB-8971-4340-A40C-3CCAEF036051}"/>
    <cellStyle name="Normal 2 3 3 18 2" xfId="2377" xr:uid="{5E082E0B-FF68-4592-9B49-AEC47FC1EADB}"/>
    <cellStyle name="Normal 2 3 3 18 2 2" xfId="2378" xr:uid="{8567ED14-E8FE-4DEC-9C6B-BA69D585A9AD}"/>
    <cellStyle name="Normal 2 3 3 18 2 2 2" xfId="11225" xr:uid="{F41526B6-857F-487A-AEB7-8DB5B0FD5263}"/>
    <cellStyle name="Normal 2 3 3 18 2 3" xfId="2379" xr:uid="{39CB31B2-D34E-438F-B349-F998CDB68A48}"/>
    <cellStyle name="Normal 2 3 3 18 2 3 2" xfId="11226" xr:uid="{2134BABC-4C3E-464A-BBFC-7F59975C6724}"/>
    <cellStyle name="Normal 2 3 3 18 2 4" xfId="11224" xr:uid="{00B7059A-0638-4BE2-A516-12A4C0DD2739}"/>
    <cellStyle name="Normal 2 3 3 18 3" xfId="2380" xr:uid="{FF32A131-A0D9-48C0-AE50-75C097534B55}"/>
    <cellStyle name="Normal 2 3 3 18 3 2" xfId="11227" xr:uid="{963777F3-568B-4135-958B-4AE0790B49D1}"/>
    <cellStyle name="Normal 2 3 3 18 4" xfId="2381" xr:uid="{0944265A-2A73-45A6-A5EC-C4431595FD1F}"/>
    <cellStyle name="Normal 2 3 3 18 4 2" xfId="11228" xr:uid="{1EBE9CA6-6AE4-4BFB-ADAB-7D8420CE4224}"/>
    <cellStyle name="Normal 2 3 3 18 5" xfId="11223" xr:uid="{725F17F2-23D4-4E89-B7AF-ABE15FCCBE9C}"/>
    <cellStyle name="Normal 2 3 3 19" xfId="2382" xr:uid="{B0440D2A-04C7-49C7-BEAF-4D707CECA9DB}"/>
    <cellStyle name="Normal 2 3 3 19 2" xfId="2383" xr:uid="{3754C481-732A-4256-8CC8-B324098ACA5D}"/>
    <cellStyle name="Normal 2 3 3 19 2 2" xfId="2384" xr:uid="{09FFC391-36F1-47A9-8C49-7F672AAFDB33}"/>
    <cellStyle name="Normal 2 3 3 19 2 2 2" xfId="11231" xr:uid="{C6D394DC-6764-4480-B094-079862928107}"/>
    <cellStyle name="Normal 2 3 3 19 2 3" xfId="2385" xr:uid="{9D0AB44F-D733-4ED4-9948-D59EFDFB36A4}"/>
    <cellStyle name="Normal 2 3 3 19 2 3 2" xfId="11232" xr:uid="{2CC56338-0C77-4300-9B11-989BA1E5A4A9}"/>
    <cellStyle name="Normal 2 3 3 19 2 4" xfId="11230" xr:uid="{EA6EDFA0-4726-4A42-B596-38FB75F4C5C0}"/>
    <cellStyle name="Normal 2 3 3 19 3" xfId="2386" xr:uid="{3E592DE7-EBCF-4C1A-B047-E3BA5C3F09F1}"/>
    <cellStyle name="Normal 2 3 3 19 3 2" xfId="11233" xr:uid="{84F9F290-3CC5-4F7C-AA3B-F93107E86726}"/>
    <cellStyle name="Normal 2 3 3 19 4" xfId="2387" xr:uid="{80391F14-439A-4731-A82B-80D374B112A8}"/>
    <cellStyle name="Normal 2 3 3 19 4 2" xfId="11234" xr:uid="{25905960-54EA-48AD-9D96-DC1299FE9248}"/>
    <cellStyle name="Normal 2 3 3 19 5" xfId="11229" xr:uid="{F89A92A8-9F69-44AA-AD42-68806340A062}"/>
    <cellStyle name="Normal 2 3 3 2" xfId="2388" xr:uid="{0AAB615D-FE82-4B11-B1E3-F7ABFBA59C98}"/>
    <cellStyle name="Normal 2 3 3 2 2" xfId="2389" xr:uid="{47F8D3CE-690E-4D4F-99FD-5C2C44B7A0F1}"/>
    <cellStyle name="Normal 2 3 3 2 2 2" xfId="2390" xr:uid="{93191F80-B12E-4878-8D08-E18BBDA0F0E3}"/>
    <cellStyle name="Normal 2 3 3 2 2 2 2" xfId="11237" xr:uid="{0316D6C8-3B7A-46FE-95C0-699AD659A7C0}"/>
    <cellStyle name="Normal 2 3 3 2 2 3" xfId="2391" xr:uid="{E4F8DA9F-5BC5-4DA5-A0D3-8FB45E805A19}"/>
    <cellStyle name="Normal 2 3 3 2 2 3 2" xfId="11238" xr:uid="{0B52024E-2676-455E-AEC8-4146B7CDA9D1}"/>
    <cellStyle name="Normal 2 3 3 2 2 4" xfId="11236" xr:uid="{A47FE360-5872-4F4C-9C89-0F817A8E8FB9}"/>
    <cellStyle name="Normal 2 3 3 2 3" xfId="2392" xr:uid="{35CEA2D7-03BF-4FC8-8480-7A0DF4C80429}"/>
    <cellStyle name="Normal 2 3 3 2 3 2" xfId="11239" xr:uid="{0A87D25D-FE8B-48F2-85CC-CBB1C3E9633E}"/>
    <cellStyle name="Normal 2 3 3 2 4" xfId="2393" xr:uid="{74574D96-9C7D-43AD-AF80-655FBCD79D4B}"/>
    <cellStyle name="Normal 2 3 3 2 4 2" xfId="11240" xr:uid="{56F5D695-ED79-4377-A3B6-44FDCB1EE3B5}"/>
    <cellStyle name="Normal 2 3 3 2 5" xfId="11235" xr:uid="{D2D9ADC6-4F89-4E71-9DE9-A783E84C4C73}"/>
    <cellStyle name="Normal 2 3 3 20" xfId="2394" xr:uid="{E11A5CCB-F564-48CB-8F0E-6F37C1F2CC59}"/>
    <cellStyle name="Normal 2 3 3 20 2" xfId="2395" xr:uid="{5365933D-07C5-4B18-B1F5-DC7841935972}"/>
    <cellStyle name="Normal 2 3 3 20 2 2" xfId="2396" xr:uid="{2F160BE9-0BE2-466D-85EC-8F1077E41F64}"/>
    <cellStyle name="Normal 2 3 3 20 2 2 2" xfId="11243" xr:uid="{ACBF9B8A-C5E3-43F6-AED8-EF3F4D519542}"/>
    <cellStyle name="Normal 2 3 3 20 2 3" xfId="2397" xr:uid="{9480EEC6-8524-4F4B-A34A-E00C2A69F3B4}"/>
    <cellStyle name="Normal 2 3 3 20 2 3 2" xfId="11244" xr:uid="{46FB937B-FEA5-423E-A16F-CF9CAB975D23}"/>
    <cellStyle name="Normal 2 3 3 20 2 4" xfId="11242" xr:uid="{0F9FCF84-F2A7-4C9F-9656-E954BF930454}"/>
    <cellStyle name="Normal 2 3 3 20 3" xfId="2398" xr:uid="{DEF3ACCD-6738-4901-AB07-F12728788D33}"/>
    <cellStyle name="Normal 2 3 3 20 3 2" xfId="11245" xr:uid="{A5E3EE08-A968-4C32-BE24-C5C5C6FECED7}"/>
    <cellStyle name="Normal 2 3 3 20 4" xfId="2399" xr:uid="{2AC712C4-E87F-4769-BB27-2965E873A930}"/>
    <cellStyle name="Normal 2 3 3 20 4 2" xfId="11246" xr:uid="{B1F6ED86-6ECA-464E-B999-13336CF30F9F}"/>
    <cellStyle name="Normal 2 3 3 20 5" xfId="11241" xr:uid="{70C38AAC-C660-4118-A059-61A387A22620}"/>
    <cellStyle name="Normal 2 3 3 21" xfId="2400" xr:uid="{E39B8AEC-7CD5-45E3-8BCA-A3CF32786CE8}"/>
    <cellStyle name="Normal 2 3 3 21 2" xfId="2401" xr:uid="{638D5F9A-2488-4C1F-A519-2379995FCD37}"/>
    <cellStyle name="Normal 2 3 3 21 2 2" xfId="2402" xr:uid="{2064C14D-E8D6-4111-A7DF-00D60EBF7907}"/>
    <cellStyle name="Normal 2 3 3 21 2 2 2" xfId="11249" xr:uid="{2DF9153E-C5A6-4DE6-B581-05EA6EE86419}"/>
    <cellStyle name="Normal 2 3 3 21 2 3" xfId="2403" xr:uid="{F98318FB-7191-43F6-86C8-FEB245E06055}"/>
    <cellStyle name="Normal 2 3 3 21 2 3 2" xfId="11250" xr:uid="{B25AF7E0-C559-4A4C-A91A-B8D6C4E93DDC}"/>
    <cellStyle name="Normal 2 3 3 21 2 4" xfId="11248" xr:uid="{8C0591AB-A88F-4A82-B4F4-15011B7050C9}"/>
    <cellStyle name="Normal 2 3 3 21 3" xfId="2404" xr:uid="{09F66433-7B1D-4B4D-8920-04CADD6C21BE}"/>
    <cellStyle name="Normal 2 3 3 21 3 2" xfId="11251" xr:uid="{EE6F8A71-F1A8-4972-894D-66B19FDD7870}"/>
    <cellStyle name="Normal 2 3 3 21 4" xfId="2405" xr:uid="{DBA944CC-50C2-4F94-BEBD-7EAF0931D0BB}"/>
    <cellStyle name="Normal 2 3 3 21 4 2" xfId="11252" xr:uid="{94532A0C-C386-4DC5-B417-2BD23FAD5265}"/>
    <cellStyle name="Normal 2 3 3 21 5" xfId="11247" xr:uid="{FD11675D-5092-49A8-8C8B-AF0DA74B28AD}"/>
    <cellStyle name="Normal 2 3 3 22" xfId="2406" xr:uid="{C3B0E4BD-09FA-4D56-A418-12B4A1CF6507}"/>
    <cellStyle name="Normal 2 3 3 22 2" xfId="2407" xr:uid="{0BB7134F-0937-49A9-98C1-93710D9D6A7D}"/>
    <cellStyle name="Normal 2 3 3 22 2 2" xfId="2408" xr:uid="{35D4CCE2-F745-43D8-ABDB-559285FA7F99}"/>
    <cellStyle name="Normal 2 3 3 22 2 2 2" xfId="11255" xr:uid="{E20D20FD-9190-4B85-AB9D-AFC5DC962ED0}"/>
    <cellStyle name="Normal 2 3 3 22 2 3" xfId="2409" xr:uid="{9AC1F9D8-775F-4F29-9CDE-58EE7F920D9F}"/>
    <cellStyle name="Normal 2 3 3 22 2 3 2" xfId="11256" xr:uid="{E4C6933C-A4F6-482D-80D4-5454851C5355}"/>
    <cellStyle name="Normal 2 3 3 22 2 4" xfId="11254" xr:uid="{E7C9FE8E-EC92-4CF2-A35A-5C3CAA64D9E2}"/>
    <cellStyle name="Normal 2 3 3 22 3" xfId="2410" xr:uid="{8DD0EC38-1CC2-4AAE-A78B-ED8D17AECB7F}"/>
    <cellStyle name="Normal 2 3 3 22 3 2" xfId="11257" xr:uid="{BDAB7B73-2F19-4A80-A92E-8D689666E1C7}"/>
    <cellStyle name="Normal 2 3 3 22 4" xfId="2411" xr:uid="{065A1AFB-760B-4D56-80BE-02097BE29943}"/>
    <cellStyle name="Normal 2 3 3 22 4 2" xfId="11258" xr:uid="{E128FA38-3B82-42D7-94FB-F2D86D269C7E}"/>
    <cellStyle name="Normal 2 3 3 22 5" xfId="11253" xr:uid="{79C4A52E-A37B-4387-B6CE-1908DC1C165F}"/>
    <cellStyle name="Normal 2 3 3 23" xfId="2412" xr:uid="{C1C07BE3-EA61-4277-9AD8-B0BE05BF9074}"/>
    <cellStyle name="Normal 2 3 3 23 2" xfId="2413" xr:uid="{03C86A38-91B7-49DE-9FFE-CA04166D33E5}"/>
    <cellStyle name="Normal 2 3 3 23 2 2" xfId="2414" xr:uid="{FFB71600-7D84-426E-809D-F4BDB3AC8FE4}"/>
    <cellStyle name="Normal 2 3 3 23 2 2 2" xfId="11261" xr:uid="{58085A88-411B-4BDD-833E-783D461ACFE1}"/>
    <cellStyle name="Normal 2 3 3 23 2 3" xfId="2415" xr:uid="{703098F5-3554-4725-B84E-51412AB9F0AE}"/>
    <cellStyle name="Normal 2 3 3 23 2 3 2" xfId="11262" xr:uid="{1BCDB76D-EEC7-474D-ABCC-468E5EF4AA37}"/>
    <cellStyle name="Normal 2 3 3 23 2 4" xfId="11260" xr:uid="{D0A6650C-C846-4A46-82DD-94CC2DC59468}"/>
    <cellStyle name="Normal 2 3 3 23 3" xfId="2416" xr:uid="{C3084B95-7925-4DB4-A929-C3BAA92E5833}"/>
    <cellStyle name="Normal 2 3 3 23 3 2" xfId="11263" xr:uid="{F578AEDE-A41D-4892-8EA6-28B4BA11FFC1}"/>
    <cellStyle name="Normal 2 3 3 23 4" xfId="2417" xr:uid="{80EE80C0-7AA3-4B67-A5A3-139A4377E54C}"/>
    <cellStyle name="Normal 2 3 3 23 4 2" xfId="11264" xr:uid="{394D3DB7-EBDC-4DDD-BF51-45F1D278E59E}"/>
    <cellStyle name="Normal 2 3 3 23 5" xfId="11259" xr:uid="{3B86D2F1-C930-4F5B-A1AA-327E07501976}"/>
    <cellStyle name="Normal 2 3 3 24" xfId="2418" xr:uid="{7F4F0323-18F3-4783-8CBD-047A2200F6F7}"/>
    <cellStyle name="Normal 2 3 3 24 2" xfId="2419" xr:uid="{F82AE6D3-C5EC-418A-9243-00078DB195F2}"/>
    <cellStyle name="Normal 2 3 3 24 2 2" xfId="2420" xr:uid="{B5CA3ABF-1149-4B93-971E-68E7E471A24F}"/>
    <cellStyle name="Normal 2 3 3 24 2 2 2" xfId="11267" xr:uid="{2197353C-9F81-4881-881E-EEA71758EBA6}"/>
    <cellStyle name="Normal 2 3 3 24 2 3" xfId="2421" xr:uid="{EA2E5F39-B92A-404C-A872-82D0E3260199}"/>
    <cellStyle name="Normal 2 3 3 24 2 3 2" xfId="11268" xr:uid="{9C1AECEA-83FB-4E98-BEDE-BF94C41FE9ED}"/>
    <cellStyle name="Normal 2 3 3 24 2 4" xfId="11266" xr:uid="{1601AC34-CA49-4F91-90DE-60B0FD98C465}"/>
    <cellStyle name="Normal 2 3 3 24 3" xfId="2422" xr:uid="{1CFCD21A-84F3-49BA-8DA7-ED3D90996351}"/>
    <cellStyle name="Normal 2 3 3 24 3 2" xfId="11269" xr:uid="{36E0DA7C-32C9-4447-9E46-A9D6B3DE88FE}"/>
    <cellStyle name="Normal 2 3 3 24 4" xfId="2423" xr:uid="{CDC644C8-4CFF-47A5-90F0-A441759D83FC}"/>
    <cellStyle name="Normal 2 3 3 24 4 2" xfId="11270" xr:uid="{07678D8E-A890-4008-BFEC-1285829CFF56}"/>
    <cellStyle name="Normal 2 3 3 24 5" xfId="11265" xr:uid="{416C9F7A-093F-461A-AB23-6B400EA68A0A}"/>
    <cellStyle name="Normal 2 3 3 25" xfId="2424" xr:uid="{3B96BF2F-736F-4190-862C-429CB74F28FB}"/>
    <cellStyle name="Normal 2 3 3 25 2" xfId="2425" xr:uid="{0E81D2C3-24DE-43A0-A977-C4BD3678CBEE}"/>
    <cellStyle name="Normal 2 3 3 25 2 2" xfId="2426" xr:uid="{BAE3B77B-7822-4C9C-9BA5-9DBCA8131710}"/>
    <cellStyle name="Normal 2 3 3 25 2 2 2" xfId="11273" xr:uid="{936023C2-3BE6-4B8D-B3B8-D6B9751423A4}"/>
    <cellStyle name="Normal 2 3 3 25 2 3" xfId="2427" xr:uid="{8D7EF8F0-0C7B-490B-9195-4E4FE606F44F}"/>
    <cellStyle name="Normal 2 3 3 25 2 3 2" xfId="11274" xr:uid="{CCA68061-EB24-47EB-876C-0956EA8E49EC}"/>
    <cellStyle name="Normal 2 3 3 25 2 4" xfId="11272" xr:uid="{63411431-2576-4C57-AC5B-36AAB42D5A36}"/>
    <cellStyle name="Normal 2 3 3 25 3" xfId="2428" xr:uid="{F4BB2324-AFAA-4524-BCE9-D6ACFA90965B}"/>
    <cellStyle name="Normal 2 3 3 25 3 2" xfId="11275" xr:uid="{52625794-F83A-47A3-A059-DCD9F6F1524A}"/>
    <cellStyle name="Normal 2 3 3 25 4" xfId="2429" xr:uid="{D10AC1E1-1B67-4309-9B8A-8BD1CCD0B040}"/>
    <cellStyle name="Normal 2 3 3 25 4 2" xfId="11276" xr:uid="{BDD12DBA-5F3E-4889-AF2E-E6B0D55E5C65}"/>
    <cellStyle name="Normal 2 3 3 25 5" xfId="11271" xr:uid="{CAD0F9D7-4B58-4DF5-9850-D9457426531C}"/>
    <cellStyle name="Normal 2 3 3 26" xfId="2430" xr:uid="{FA073A0F-A3B4-46B2-9D30-852F2506686D}"/>
    <cellStyle name="Normal 2 3 3 26 2" xfId="2431" xr:uid="{7B48EC35-6B8F-427E-8256-4B1C475CB2BE}"/>
    <cellStyle name="Normal 2 3 3 26 2 2" xfId="2432" xr:uid="{3F40D051-C5EA-4388-BB89-5F92EAEA9750}"/>
    <cellStyle name="Normal 2 3 3 26 2 2 2" xfId="11279" xr:uid="{6BF090CF-45D9-40AF-AD01-DEFA4180001E}"/>
    <cellStyle name="Normal 2 3 3 26 2 3" xfId="2433" xr:uid="{D14563B7-6D2D-4362-8A85-63CF7B9F8D99}"/>
    <cellStyle name="Normal 2 3 3 26 2 3 2" xfId="11280" xr:uid="{EC3577C0-38D6-4CC5-AF62-1DF90F9A8E48}"/>
    <cellStyle name="Normal 2 3 3 26 2 4" xfId="11278" xr:uid="{DD356310-1A68-4259-9EFC-3BF36E564028}"/>
    <cellStyle name="Normal 2 3 3 26 3" xfId="2434" xr:uid="{DAB101AE-EF03-4A77-AFF8-216DE3EAC0E7}"/>
    <cellStyle name="Normal 2 3 3 26 3 2" xfId="11281" xr:uid="{D9ABBC00-8E08-4EC4-99C5-9E2A8991F43C}"/>
    <cellStyle name="Normal 2 3 3 26 4" xfId="2435" xr:uid="{03F3A74E-71F4-4CF5-B367-5A6CE53A01AB}"/>
    <cellStyle name="Normal 2 3 3 26 4 2" xfId="11282" xr:uid="{D123741A-EFE5-4FDE-845B-D3424283714F}"/>
    <cellStyle name="Normal 2 3 3 26 5" xfId="11277" xr:uid="{87A1A293-527F-40E1-8120-70CA3EEFBB46}"/>
    <cellStyle name="Normal 2 3 3 27" xfId="2436" xr:uid="{A2F8862C-2172-4793-8DCE-AF6B3E52320E}"/>
    <cellStyle name="Normal 2 3 3 27 2" xfId="2437" xr:uid="{9B990A8A-1B1A-4A9C-84EF-0B2AE563FBD9}"/>
    <cellStyle name="Normal 2 3 3 27 2 2" xfId="2438" xr:uid="{4A67139D-2E91-4ACB-B6A8-83BBA5864ACE}"/>
    <cellStyle name="Normal 2 3 3 27 2 2 2" xfId="11285" xr:uid="{EEDAFB27-18F0-4AA6-AE84-73BA7915F478}"/>
    <cellStyle name="Normal 2 3 3 27 2 3" xfId="2439" xr:uid="{1987B2F7-60F9-45EF-BA8B-3D12256E9E7B}"/>
    <cellStyle name="Normal 2 3 3 27 2 3 2" xfId="11286" xr:uid="{26CCCF58-25A6-40FE-9AEF-5DFFFE48B3FF}"/>
    <cellStyle name="Normal 2 3 3 27 2 4" xfId="11284" xr:uid="{DF669FD2-3D53-4F30-9222-1A0DE66E483E}"/>
    <cellStyle name="Normal 2 3 3 27 3" xfId="2440" xr:uid="{BB14CF32-2AB9-4D4A-900F-2C17B084FAAE}"/>
    <cellStyle name="Normal 2 3 3 27 3 2" xfId="11287" xr:uid="{467A61F9-A9AA-414D-8C5C-6F710A09F210}"/>
    <cellStyle name="Normal 2 3 3 27 4" xfId="2441" xr:uid="{C67F790B-C479-41C4-9A7F-8C83E881E6FD}"/>
    <cellStyle name="Normal 2 3 3 27 4 2" xfId="11288" xr:uid="{EAEAC3B0-580F-4D55-8472-72D03FC19F84}"/>
    <cellStyle name="Normal 2 3 3 27 5" xfId="11283" xr:uid="{98A1FFBE-A9B9-4678-B96B-5B039FA773BC}"/>
    <cellStyle name="Normal 2 3 3 28" xfId="2442" xr:uid="{79F4B87C-D5C3-4E51-8215-2052CE7D73CF}"/>
    <cellStyle name="Normal 2 3 3 28 2" xfId="2443" xr:uid="{16523EAE-5C45-41E8-96C4-5C933F5C4BBA}"/>
    <cellStyle name="Normal 2 3 3 28 2 2" xfId="2444" xr:uid="{C083B24E-8577-41A7-A808-A6816A1F2A9D}"/>
    <cellStyle name="Normal 2 3 3 28 2 2 2" xfId="11291" xr:uid="{CC2BBF18-9608-41C1-8361-7FBDC69ADE9D}"/>
    <cellStyle name="Normal 2 3 3 28 2 3" xfId="2445" xr:uid="{C7396C62-B533-4802-A0A1-6B7361BE5FA7}"/>
    <cellStyle name="Normal 2 3 3 28 2 3 2" xfId="11292" xr:uid="{068DB431-93D7-4AC2-8C4E-5F2352D1DB13}"/>
    <cellStyle name="Normal 2 3 3 28 2 4" xfId="11290" xr:uid="{4871EAF7-D8B6-495D-BFFB-8BFE85EF471C}"/>
    <cellStyle name="Normal 2 3 3 28 3" xfId="2446" xr:uid="{A014E44A-28AA-42F6-8DF5-CFF17FD4FC17}"/>
    <cellStyle name="Normal 2 3 3 28 3 2" xfId="11293" xr:uid="{2F62C6B4-4D8A-4FBE-99C5-C902C4DC0F61}"/>
    <cellStyle name="Normal 2 3 3 28 4" xfId="2447" xr:uid="{824A6B4A-6110-419A-8FE4-B39D4BA804F5}"/>
    <cellStyle name="Normal 2 3 3 28 4 2" xfId="11294" xr:uid="{D4D31E38-B1F0-43DE-9D0B-B2D172F9A6DD}"/>
    <cellStyle name="Normal 2 3 3 28 5" xfId="11289" xr:uid="{D6EA5707-30F3-4726-81C6-8770D36F0950}"/>
    <cellStyle name="Normal 2 3 3 29" xfId="2448" xr:uid="{947DE2E9-359E-4534-9B9F-8D3D5941BD55}"/>
    <cellStyle name="Normal 2 3 3 29 2" xfId="2449" xr:uid="{4BB15077-DA31-4FCB-A272-F23CA848D00C}"/>
    <cellStyle name="Normal 2 3 3 29 2 2" xfId="2450" xr:uid="{35E7ABF4-3ECA-4108-BEE3-912B32B292D4}"/>
    <cellStyle name="Normal 2 3 3 29 2 2 2" xfId="11297" xr:uid="{A02DE42D-DAC4-490F-865E-8D975EB4F5F2}"/>
    <cellStyle name="Normal 2 3 3 29 2 3" xfId="2451" xr:uid="{A91B646B-D1A5-4668-B633-9B1DCECD2A23}"/>
    <cellStyle name="Normal 2 3 3 29 2 3 2" xfId="11298" xr:uid="{21DCA3D2-CFB0-4D8C-9BEB-89DE2E5AC5ED}"/>
    <cellStyle name="Normal 2 3 3 29 2 4" xfId="11296" xr:uid="{87ED35FC-9CB9-46CF-874D-29BBE7F5780C}"/>
    <cellStyle name="Normal 2 3 3 29 3" xfId="2452" xr:uid="{B75A67F0-85CB-472C-A274-AC6D8A5E8DD8}"/>
    <cellStyle name="Normal 2 3 3 29 3 2" xfId="11299" xr:uid="{FB9492B7-33EF-44D7-93FA-FA9D519B121D}"/>
    <cellStyle name="Normal 2 3 3 29 4" xfId="2453" xr:uid="{495F0EF8-DB81-425D-BCE9-85F4B6D3FAB0}"/>
    <cellStyle name="Normal 2 3 3 29 4 2" xfId="11300" xr:uid="{417FC32E-A31E-4534-8347-FF5CF2E58DE6}"/>
    <cellStyle name="Normal 2 3 3 29 5" xfId="11295" xr:uid="{0C26497A-6B76-447C-95A7-40E437E39480}"/>
    <cellStyle name="Normal 2 3 3 3" xfId="2454" xr:uid="{7ED063CF-4565-4794-B506-E5369ADCFFE2}"/>
    <cellStyle name="Normal 2 3 3 3 2" xfId="2455" xr:uid="{ACBD1BEE-AAA7-4878-9C46-A2E315771840}"/>
    <cellStyle name="Normal 2 3 3 3 2 2" xfId="2456" xr:uid="{A621FA35-FA59-4EE2-9E9B-DDA797349D3F}"/>
    <cellStyle name="Normal 2 3 3 3 2 2 2" xfId="11303" xr:uid="{60A163D9-80BC-4AD9-836D-F5558D8F1D0E}"/>
    <cellStyle name="Normal 2 3 3 3 2 3" xfId="2457" xr:uid="{0A7078B0-96C5-4A08-83C1-13B7D7BB8A0D}"/>
    <cellStyle name="Normal 2 3 3 3 2 3 2" xfId="11304" xr:uid="{019983A3-8209-4F41-A669-CFF71F6767D3}"/>
    <cellStyle name="Normal 2 3 3 3 2 4" xfId="11302" xr:uid="{D77CD4D8-6C96-4835-AC39-2804389B7C52}"/>
    <cellStyle name="Normal 2 3 3 3 3" xfId="2458" xr:uid="{366EF54C-E983-4F1C-B7D0-4E07AFE872FB}"/>
    <cellStyle name="Normal 2 3 3 3 3 2" xfId="11305" xr:uid="{F8A1BE88-2ECF-437D-B2BC-010F3684BD0E}"/>
    <cellStyle name="Normal 2 3 3 3 4" xfId="2459" xr:uid="{8B36BD07-8837-46EE-B002-92BEAED019C4}"/>
    <cellStyle name="Normal 2 3 3 3 4 2" xfId="11306" xr:uid="{A50A5515-8532-4E9D-9031-877F2A9879EB}"/>
    <cellStyle name="Normal 2 3 3 3 5" xfId="11301" xr:uid="{EC166770-73A5-454D-B619-F84F930CE46E}"/>
    <cellStyle name="Normal 2 3 3 30" xfId="2460" xr:uid="{0B87396F-0F39-4715-A39D-403D6476AA3B}"/>
    <cellStyle name="Normal 2 3 3 30 2" xfId="2461" xr:uid="{F51DA0D9-D86B-46A8-9DC7-F48E159125C7}"/>
    <cellStyle name="Normal 2 3 3 30 2 2" xfId="2462" xr:uid="{2979DC38-D6FD-45C3-BCA0-CEAA5AB25308}"/>
    <cellStyle name="Normal 2 3 3 30 2 2 2" xfId="11309" xr:uid="{7CC33F29-0464-47BD-BB4A-D1459A8CEF13}"/>
    <cellStyle name="Normal 2 3 3 30 2 3" xfId="2463" xr:uid="{C92008FB-9D61-48B0-83E0-5F6130FC9B96}"/>
    <cellStyle name="Normal 2 3 3 30 2 3 2" xfId="11310" xr:uid="{44B9B617-E4A7-45C9-B69F-7B3830824760}"/>
    <cellStyle name="Normal 2 3 3 30 2 4" xfId="11308" xr:uid="{7594E9F6-2FE0-410B-8370-44A512B6B65D}"/>
    <cellStyle name="Normal 2 3 3 30 3" xfId="2464" xr:uid="{2A359B94-69CC-46C7-AD35-56A57C1662E9}"/>
    <cellStyle name="Normal 2 3 3 30 3 2" xfId="11311" xr:uid="{1AE14FD4-5348-4521-9E6B-2C22BAE33D3E}"/>
    <cellStyle name="Normal 2 3 3 30 4" xfId="2465" xr:uid="{9E6EAB2B-8CA9-48F8-B951-94B213D50EFA}"/>
    <cellStyle name="Normal 2 3 3 30 4 2" xfId="11312" xr:uid="{2528C332-E411-4BBF-A8F9-681C071F03E2}"/>
    <cellStyle name="Normal 2 3 3 30 5" xfId="11307" xr:uid="{35B94EE4-BF25-48A3-A455-D87A5BE24C00}"/>
    <cellStyle name="Normal 2 3 3 31" xfId="2466" xr:uid="{D70957DD-D17B-42F7-ADF1-C9072D4FF40D}"/>
    <cellStyle name="Normal 2 3 3 31 2" xfId="2467" xr:uid="{5F840C56-3761-4531-8145-8FB71177EBB4}"/>
    <cellStyle name="Normal 2 3 3 31 2 2" xfId="2468" xr:uid="{BEF184ED-6109-460A-BCF7-86BF65EE51A5}"/>
    <cellStyle name="Normal 2 3 3 31 2 2 2" xfId="11315" xr:uid="{C6CF301E-9DCF-4EFF-9396-FA9579BFDD05}"/>
    <cellStyle name="Normal 2 3 3 31 2 3" xfId="2469" xr:uid="{557BE6A4-1131-4FAE-BD77-25D4A0015286}"/>
    <cellStyle name="Normal 2 3 3 31 2 3 2" xfId="11316" xr:uid="{C503B5BC-4053-4639-9CAE-FE3FC678F163}"/>
    <cellStyle name="Normal 2 3 3 31 2 4" xfId="11314" xr:uid="{3B55A9F3-A659-405B-9CA6-E9CADB6D7986}"/>
    <cellStyle name="Normal 2 3 3 31 3" xfId="2470" xr:uid="{B3213B73-05D9-420B-A2D9-4CE431893D1C}"/>
    <cellStyle name="Normal 2 3 3 31 3 2" xfId="11317" xr:uid="{7BAED776-44C5-44D0-9F61-59B1323FC7EF}"/>
    <cellStyle name="Normal 2 3 3 31 4" xfId="2471" xr:uid="{A5997BBF-288C-47A4-B147-D47C614FC2AE}"/>
    <cellStyle name="Normal 2 3 3 31 4 2" xfId="11318" xr:uid="{B4C5DEBB-F979-4EAE-A0AE-57093639FEA6}"/>
    <cellStyle name="Normal 2 3 3 31 5" xfId="11313" xr:uid="{8B3F691A-C5FE-4AD7-B13D-283254DFF306}"/>
    <cellStyle name="Normal 2 3 3 32" xfId="2472" xr:uid="{3A917052-5665-4974-B1BA-8DAE2D5D985A}"/>
    <cellStyle name="Normal 2 3 3 32 2" xfId="2473" xr:uid="{9065ABB7-4843-40CA-921C-445BCCC266FF}"/>
    <cellStyle name="Normal 2 3 3 32 2 2" xfId="2474" xr:uid="{CC918160-7D9B-42B4-878B-CB6154243AC9}"/>
    <cellStyle name="Normal 2 3 3 32 2 2 2" xfId="11321" xr:uid="{EC61B5C7-8889-48E6-BC56-C88166118F59}"/>
    <cellStyle name="Normal 2 3 3 32 2 3" xfId="2475" xr:uid="{B992D5F9-99C8-4998-9787-273664FE4EAE}"/>
    <cellStyle name="Normal 2 3 3 32 2 3 2" xfId="11322" xr:uid="{3C743820-5E3E-485A-A3DC-7B9B135C2D80}"/>
    <cellStyle name="Normal 2 3 3 32 2 4" xfId="11320" xr:uid="{1134D857-58F2-48C0-B333-615878CC9699}"/>
    <cellStyle name="Normal 2 3 3 32 3" xfId="2476" xr:uid="{BE2EE017-D697-4793-B92C-233E552E1314}"/>
    <cellStyle name="Normal 2 3 3 32 3 2" xfId="11323" xr:uid="{D6F0A4C3-C951-471F-BFE3-FB5ECD61ED14}"/>
    <cellStyle name="Normal 2 3 3 32 4" xfId="2477" xr:uid="{CDBD537A-59D9-4703-B2E6-CA06F3A3228A}"/>
    <cellStyle name="Normal 2 3 3 32 4 2" xfId="11324" xr:uid="{C02B968B-B7FC-4B58-B5C4-0535D15007F6}"/>
    <cellStyle name="Normal 2 3 3 32 5" xfId="11319" xr:uid="{0D4D5244-7DC8-4E7F-B0E9-E544F65B889C}"/>
    <cellStyle name="Normal 2 3 3 33" xfId="2478" xr:uid="{D46CD3D5-A29A-48DB-B123-5C7AD4056D4B}"/>
    <cellStyle name="Normal 2 3 3 33 2" xfId="2479" xr:uid="{8B38713B-8545-436E-8803-D34E133C2962}"/>
    <cellStyle name="Normal 2 3 3 33 2 2" xfId="2480" xr:uid="{3693896B-55D6-4BAE-883F-A6AFBE13D2C0}"/>
    <cellStyle name="Normal 2 3 3 33 2 2 2" xfId="11327" xr:uid="{0252A111-5402-41F9-8598-BC487C2FE410}"/>
    <cellStyle name="Normal 2 3 3 33 2 3" xfId="2481" xr:uid="{BA39985A-9DE6-4223-913F-DAEE7565828D}"/>
    <cellStyle name="Normal 2 3 3 33 2 3 2" xfId="11328" xr:uid="{202C70C1-C33B-4BF9-8800-A52CD8AD3261}"/>
    <cellStyle name="Normal 2 3 3 33 2 4" xfId="11326" xr:uid="{D1611D18-DE75-4741-987D-4323420AB416}"/>
    <cellStyle name="Normal 2 3 3 33 3" xfId="2482" xr:uid="{F1232FC7-BF6A-4CE1-AD86-7F9234C1D107}"/>
    <cellStyle name="Normal 2 3 3 33 3 2" xfId="11329" xr:uid="{D2953F29-BD84-4F6B-BCCB-0005173692F2}"/>
    <cellStyle name="Normal 2 3 3 33 4" xfId="2483" xr:uid="{9D198810-7193-4FAC-B41A-10381BDF288A}"/>
    <cellStyle name="Normal 2 3 3 33 4 2" xfId="11330" xr:uid="{F59398AD-7E73-46DC-8EF8-2466B3D77C91}"/>
    <cellStyle name="Normal 2 3 3 33 5" xfId="11325" xr:uid="{1B23A00F-8992-41D0-AB9D-10B4FCE55485}"/>
    <cellStyle name="Normal 2 3 3 34" xfId="2484" xr:uid="{77BD118F-FCF6-4D3B-ACD9-4EE8CAAFC92E}"/>
    <cellStyle name="Normal 2 3 3 34 2" xfId="2485" xr:uid="{5D03EA70-3662-4F6B-B50B-19C7C338BEBF}"/>
    <cellStyle name="Normal 2 3 3 34 2 2" xfId="2486" xr:uid="{9166A266-7C8E-4119-89A8-28B43BB00D8E}"/>
    <cellStyle name="Normal 2 3 3 34 2 2 2" xfId="11333" xr:uid="{BCABE696-A26B-4DF1-8548-D37AE9C42CF6}"/>
    <cellStyle name="Normal 2 3 3 34 2 3" xfId="2487" xr:uid="{878DB54E-7595-4963-9B14-3D9B5958D6C0}"/>
    <cellStyle name="Normal 2 3 3 34 2 3 2" xfId="11334" xr:uid="{E3D1F496-BE28-45FD-B23B-7CCD8D38E8D9}"/>
    <cellStyle name="Normal 2 3 3 34 2 4" xfId="11332" xr:uid="{AB89C3B5-7BFE-4145-95CF-5CBA45C87F1A}"/>
    <cellStyle name="Normal 2 3 3 34 3" xfId="2488" xr:uid="{39AFD2F2-57CA-4230-B126-E5571AD9BCF0}"/>
    <cellStyle name="Normal 2 3 3 34 3 2" xfId="11335" xr:uid="{C09BFEE0-7709-431C-8B2F-3CF1B3BAD2E6}"/>
    <cellStyle name="Normal 2 3 3 34 4" xfId="2489" xr:uid="{D0DB1282-258F-43EA-B36F-25AFCC3A53A4}"/>
    <cellStyle name="Normal 2 3 3 34 4 2" xfId="11336" xr:uid="{174D1E96-71E8-45CA-B8EC-66E574831BE1}"/>
    <cellStyle name="Normal 2 3 3 34 5" xfId="11331" xr:uid="{32E78406-3ED0-4779-B58C-721CC9DEC84E}"/>
    <cellStyle name="Normal 2 3 3 35" xfId="2490" xr:uid="{38AE2942-B2F5-4854-8C96-817435BBC73E}"/>
    <cellStyle name="Normal 2 3 3 35 2" xfId="2491" xr:uid="{0762343B-620C-4642-9F3D-27A144B04258}"/>
    <cellStyle name="Normal 2 3 3 35 2 2" xfId="2492" xr:uid="{4C2FB563-D028-48B4-9862-D5F0774BF959}"/>
    <cellStyle name="Normal 2 3 3 35 2 2 2" xfId="11339" xr:uid="{28E300B3-3070-4214-BFB7-AF092736D89F}"/>
    <cellStyle name="Normal 2 3 3 35 2 3" xfId="2493" xr:uid="{CA11E755-8095-4F54-8CBA-844158C6BA2D}"/>
    <cellStyle name="Normal 2 3 3 35 2 3 2" xfId="11340" xr:uid="{0CADE9E4-CC34-4E47-98C3-BC135DC766A9}"/>
    <cellStyle name="Normal 2 3 3 35 2 4" xfId="11338" xr:uid="{FA1FB9DD-F2A9-4B6F-80B7-F43CE55078DC}"/>
    <cellStyle name="Normal 2 3 3 35 3" xfId="2494" xr:uid="{7B001DEB-4557-44F3-AE9D-6C166AFD0F96}"/>
    <cellStyle name="Normal 2 3 3 35 3 2" xfId="11341" xr:uid="{A2BFA788-BFF0-4181-8CDF-346E0BE6DD7C}"/>
    <cellStyle name="Normal 2 3 3 35 4" xfId="2495" xr:uid="{38A0087F-693D-4CB9-A092-C0FA701066B6}"/>
    <cellStyle name="Normal 2 3 3 35 4 2" xfId="11342" xr:uid="{A59F6314-2514-4BCD-8A7A-68C9C5E4430D}"/>
    <cellStyle name="Normal 2 3 3 35 5" xfId="11337" xr:uid="{03F016B8-A7D3-4F90-ADA5-522DFC3873B0}"/>
    <cellStyle name="Normal 2 3 3 36" xfId="2496" xr:uid="{987ECDDC-920E-4E2C-A940-EB0A31C72ED0}"/>
    <cellStyle name="Normal 2 3 3 36 2" xfId="2497" xr:uid="{9A4474C3-8489-430F-A630-74CAE8ACD685}"/>
    <cellStyle name="Normal 2 3 3 36 2 2" xfId="2498" xr:uid="{5A2ECFB6-DCE5-4BE6-8236-31C3C25BE11D}"/>
    <cellStyle name="Normal 2 3 3 36 2 2 2" xfId="11345" xr:uid="{2163524A-88DC-4D11-AC4B-39715C4FC4A1}"/>
    <cellStyle name="Normal 2 3 3 36 2 3" xfId="2499" xr:uid="{0CA602B9-FF84-48D5-AACE-7BED89D0B43C}"/>
    <cellStyle name="Normal 2 3 3 36 2 3 2" xfId="11346" xr:uid="{5E0B341E-8C6B-435C-A2EE-5116D9AE6046}"/>
    <cellStyle name="Normal 2 3 3 36 2 4" xfId="11344" xr:uid="{32B0CC13-9BCC-4748-A3FC-A2F7C00A5800}"/>
    <cellStyle name="Normal 2 3 3 36 3" xfId="2500" xr:uid="{03A6E8EC-AC08-4E90-ADEB-FACFFD13D9D1}"/>
    <cellStyle name="Normal 2 3 3 36 3 2" xfId="11347" xr:uid="{7C622068-BFD7-4C2E-B901-BA11CFBAB39C}"/>
    <cellStyle name="Normal 2 3 3 36 4" xfId="2501" xr:uid="{2DDDC2CC-BBD1-418A-B4C6-5DBF5B22F063}"/>
    <cellStyle name="Normal 2 3 3 36 4 2" xfId="11348" xr:uid="{F5CCD129-DF43-4606-B1A0-D22743165DAE}"/>
    <cellStyle name="Normal 2 3 3 36 5" xfId="11343" xr:uid="{BEA1A2A6-4667-4923-8DF9-5A3BE1F22B1A}"/>
    <cellStyle name="Normal 2 3 3 37" xfId="2502" xr:uid="{1D46EF2C-BDC2-43E4-8E5A-EEE6D76EF103}"/>
    <cellStyle name="Normal 2 3 3 37 2" xfId="2503" xr:uid="{2E5DC8FC-76C0-4F9C-9599-7365FAB5B8F1}"/>
    <cellStyle name="Normal 2 3 3 37 2 2" xfId="2504" xr:uid="{23AF7BA5-7488-418C-B0E9-0746F739C942}"/>
    <cellStyle name="Normal 2 3 3 37 2 2 2" xfId="11351" xr:uid="{44B80BAA-600E-4DEF-A2C3-434EFE385C91}"/>
    <cellStyle name="Normal 2 3 3 37 2 3" xfId="2505" xr:uid="{A03459A3-E4ED-4915-9B8C-C20E332B868D}"/>
    <cellStyle name="Normal 2 3 3 37 2 3 2" xfId="11352" xr:uid="{617838A3-F247-44B7-8109-766DAA369BAE}"/>
    <cellStyle name="Normal 2 3 3 37 2 4" xfId="11350" xr:uid="{3903BE1F-246E-4255-BA65-A4C46F4035F9}"/>
    <cellStyle name="Normal 2 3 3 37 3" xfId="2506" xr:uid="{FDEB641B-00DA-4F6A-ABA1-0842A394E1C9}"/>
    <cellStyle name="Normal 2 3 3 37 3 2" xfId="11353" xr:uid="{1CBAE00B-F0DD-4BD9-B71C-52C305D5E1B1}"/>
    <cellStyle name="Normal 2 3 3 37 4" xfId="2507" xr:uid="{CF3086AC-9FDF-4894-A913-CFBF62E135FD}"/>
    <cellStyle name="Normal 2 3 3 37 4 2" xfId="11354" xr:uid="{6038B98B-1E31-4080-BB84-1C5024B027E3}"/>
    <cellStyle name="Normal 2 3 3 37 5" xfId="11349" xr:uid="{0EFD9D2C-AFF7-44DD-BE6C-758F5E66C9D5}"/>
    <cellStyle name="Normal 2 3 3 38" xfId="2508" xr:uid="{AF835B1E-398F-4E85-9205-07703E7B11ED}"/>
    <cellStyle name="Normal 2 3 3 38 2" xfId="2509" xr:uid="{AF83D126-0DDD-48F3-B934-1D347BA1FC02}"/>
    <cellStyle name="Normal 2 3 3 38 2 2" xfId="2510" xr:uid="{2C946473-5E2F-4B95-8A83-33BFCAAA4D34}"/>
    <cellStyle name="Normal 2 3 3 38 2 2 2" xfId="11357" xr:uid="{9EF569D8-E150-46BF-8CA7-0146C00112A9}"/>
    <cellStyle name="Normal 2 3 3 38 2 3" xfId="2511" xr:uid="{CC621D67-5CA8-4D95-9E77-62C585952F83}"/>
    <cellStyle name="Normal 2 3 3 38 2 3 2" xfId="11358" xr:uid="{5630B198-C100-422E-B5A3-7B1909C39DB7}"/>
    <cellStyle name="Normal 2 3 3 38 2 4" xfId="11356" xr:uid="{C05FD29F-5947-4314-B777-676CFCEBA17B}"/>
    <cellStyle name="Normal 2 3 3 38 3" xfId="2512" xr:uid="{869FD760-34B9-43ED-AF75-4FF980CC663E}"/>
    <cellStyle name="Normal 2 3 3 38 3 2" xfId="11359" xr:uid="{143CF72D-4B36-4D1C-B364-297094FD27A1}"/>
    <cellStyle name="Normal 2 3 3 38 4" xfId="2513" xr:uid="{2B46AD19-B246-408E-88F5-E9C216BECA08}"/>
    <cellStyle name="Normal 2 3 3 38 4 2" xfId="11360" xr:uid="{0BF276AC-96CD-44C9-9AAC-B58DCAB2288E}"/>
    <cellStyle name="Normal 2 3 3 38 5" xfId="11355" xr:uid="{E946CAB8-B893-47C6-8EDC-C2CC0E205D1E}"/>
    <cellStyle name="Normal 2 3 3 39" xfId="2514" xr:uid="{621C44FB-36D7-4E20-B634-CC822559B2D4}"/>
    <cellStyle name="Normal 2 3 3 39 2" xfId="2515" xr:uid="{6388E5A0-5875-4CB7-B13B-CEF5531C1FEA}"/>
    <cellStyle name="Normal 2 3 3 39 2 2" xfId="2516" xr:uid="{54645182-A495-4E81-81E4-D354B757CD97}"/>
    <cellStyle name="Normal 2 3 3 39 2 2 2" xfId="11363" xr:uid="{4B26AC24-93CF-49DC-B42D-02C8FE7EBBAB}"/>
    <cellStyle name="Normal 2 3 3 39 2 3" xfId="2517" xr:uid="{C1BDB19E-BA8D-4F0A-AB0E-E43DDB504BC2}"/>
    <cellStyle name="Normal 2 3 3 39 2 3 2" xfId="11364" xr:uid="{262AF182-0C80-4950-A74C-962593206D73}"/>
    <cellStyle name="Normal 2 3 3 39 2 4" xfId="11362" xr:uid="{0DE5B875-EB17-4393-87B8-939BD448BDFD}"/>
    <cellStyle name="Normal 2 3 3 39 3" xfId="2518" xr:uid="{8E3B29BA-D46E-419A-85E4-D53E97D43261}"/>
    <cellStyle name="Normal 2 3 3 39 3 2" xfId="11365" xr:uid="{94A66B73-D99D-43BE-B639-32D72A658352}"/>
    <cellStyle name="Normal 2 3 3 39 4" xfId="2519" xr:uid="{9D663B4E-EE18-4CBC-8AE0-50A314FCC15F}"/>
    <cellStyle name="Normal 2 3 3 39 4 2" xfId="11366" xr:uid="{66FCA739-47BF-41CA-9023-4DF86D092743}"/>
    <cellStyle name="Normal 2 3 3 39 5" xfId="11361" xr:uid="{53B3C607-0003-4D90-8452-A6E477866630}"/>
    <cellStyle name="Normal 2 3 3 4" xfId="2520" xr:uid="{32FF7383-B1BF-4493-9802-3C506F7AB57F}"/>
    <cellStyle name="Normal 2 3 3 4 2" xfId="2521" xr:uid="{81578B0E-5E5B-4810-BF12-27C09279ED1D}"/>
    <cellStyle name="Normal 2 3 3 4 2 2" xfId="2522" xr:uid="{5DAEFECB-1E42-44BA-94CA-5888489D8FD7}"/>
    <cellStyle name="Normal 2 3 3 4 2 2 2" xfId="11369" xr:uid="{32F30549-C405-483C-9A16-63D000D8E1B6}"/>
    <cellStyle name="Normal 2 3 3 4 2 3" xfId="2523" xr:uid="{F524B2D0-867A-4CE0-80D5-643AE402A403}"/>
    <cellStyle name="Normal 2 3 3 4 2 3 2" xfId="11370" xr:uid="{F80EF9FD-132D-4FCC-BFAA-90C93D7B5974}"/>
    <cellStyle name="Normal 2 3 3 4 2 4" xfId="11368" xr:uid="{7D537571-7771-4882-89FA-1E6CF0FEDD12}"/>
    <cellStyle name="Normal 2 3 3 4 3" xfId="2524" xr:uid="{E2A4A93A-0FF6-4B6B-A70A-48638949CE3E}"/>
    <cellStyle name="Normal 2 3 3 4 3 2" xfId="11371" xr:uid="{4A9A6B6F-7F5F-40CF-968B-B997FDCB7AF4}"/>
    <cellStyle name="Normal 2 3 3 4 4" xfId="2525" xr:uid="{03A4D6FE-DC3E-4D9E-A283-4316C391EF2D}"/>
    <cellStyle name="Normal 2 3 3 4 4 2" xfId="11372" xr:uid="{ADF39453-34F9-4910-8436-E4C38E2766D7}"/>
    <cellStyle name="Normal 2 3 3 4 5" xfId="11367" xr:uid="{1B5991ED-5D26-4DD7-9C05-744DBCAF8A44}"/>
    <cellStyle name="Normal 2 3 3 40" xfId="2526" xr:uid="{53A8183C-8E13-416D-BCC9-22E8380B3E9A}"/>
    <cellStyle name="Normal 2 3 3 40 2" xfId="2527" xr:uid="{E507218E-BD4F-4F6D-84EE-39B19587DE15}"/>
    <cellStyle name="Normal 2 3 3 40 2 2" xfId="2528" xr:uid="{CE109427-640D-42CE-94BF-8ADCA214F56C}"/>
    <cellStyle name="Normal 2 3 3 40 2 2 2" xfId="11375" xr:uid="{C81E7A5C-C08F-4513-A2C9-9B4BB3BD130E}"/>
    <cellStyle name="Normal 2 3 3 40 2 3" xfId="2529" xr:uid="{1E9D3E58-11EF-410E-90AB-3D7B29DE3B5A}"/>
    <cellStyle name="Normal 2 3 3 40 2 3 2" xfId="11376" xr:uid="{EC8407C4-407E-4FE3-9732-FEEBBF7B4239}"/>
    <cellStyle name="Normal 2 3 3 40 2 4" xfId="11374" xr:uid="{A69D95D2-BFD2-4F75-8EED-2916F8F3F7AB}"/>
    <cellStyle name="Normal 2 3 3 40 3" xfId="2530" xr:uid="{C8009D16-4FFD-4391-B65F-F171522276D5}"/>
    <cellStyle name="Normal 2 3 3 40 3 2" xfId="11377" xr:uid="{127BCAB5-77D6-44B7-AD1D-C85EEFE124F2}"/>
    <cellStyle name="Normal 2 3 3 40 4" xfId="2531" xr:uid="{C12921E8-B253-4E62-9EF0-48513E19C421}"/>
    <cellStyle name="Normal 2 3 3 40 4 2" xfId="11378" xr:uid="{A3A675A7-B254-44C2-A9C6-695E5CE42027}"/>
    <cellStyle name="Normal 2 3 3 40 5" xfId="11373" xr:uid="{91BBD000-1FDE-4076-85A3-211DC1CD9838}"/>
    <cellStyle name="Normal 2 3 3 41" xfId="2532" xr:uid="{7C1F0F56-BDC7-4964-8F68-7CD878A4704D}"/>
    <cellStyle name="Normal 2 3 3 41 2" xfId="2533" xr:uid="{2027FB1B-C624-4932-9309-E4528F9ED55B}"/>
    <cellStyle name="Normal 2 3 3 41 2 2" xfId="2534" xr:uid="{D219BE2E-D78E-4DBA-A202-B761C36750C6}"/>
    <cellStyle name="Normal 2 3 3 41 2 2 2" xfId="11381" xr:uid="{C206E839-C849-43EA-B7B6-5BBF69759DAA}"/>
    <cellStyle name="Normal 2 3 3 41 2 3" xfId="2535" xr:uid="{4F01FCB8-4701-4197-B40E-0A0846D72768}"/>
    <cellStyle name="Normal 2 3 3 41 2 3 2" xfId="11382" xr:uid="{A10EC886-36A0-4A9C-8C99-D4030665F762}"/>
    <cellStyle name="Normal 2 3 3 41 2 4" xfId="11380" xr:uid="{28B47265-1303-419F-8986-FAFC68CAD8FD}"/>
    <cellStyle name="Normal 2 3 3 41 3" xfId="2536" xr:uid="{8821F186-4DA4-4114-8F35-A64CEF359E4D}"/>
    <cellStyle name="Normal 2 3 3 41 3 2" xfId="11383" xr:uid="{B1C59D7C-4AAC-403F-91C6-5ED3530F3CE4}"/>
    <cellStyle name="Normal 2 3 3 41 4" xfId="2537" xr:uid="{DCE0C9BA-7791-471F-AC70-69BAF60E1048}"/>
    <cellStyle name="Normal 2 3 3 41 4 2" xfId="11384" xr:uid="{2CD907C7-8998-4B2A-9265-90C85BC68AEA}"/>
    <cellStyle name="Normal 2 3 3 41 5" xfId="11379" xr:uid="{2A0BD460-225E-4AAC-BAF3-31DF31A0AE78}"/>
    <cellStyle name="Normal 2 3 3 42" xfId="2538" xr:uid="{D208F157-3BA4-44BA-9FBE-05C6C8487528}"/>
    <cellStyle name="Normal 2 3 3 42 2" xfId="2539" xr:uid="{7C1EDC92-AB2B-4785-9D08-F74E02F4A4C1}"/>
    <cellStyle name="Normal 2 3 3 42 2 2" xfId="2540" xr:uid="{1C97E3C3-B22A-4546-B11C-F05E521D4636}"/>
    <cellStyle name="Normal 2 3 3 42 2 2 2" xfId="11387" xr:uid="{7AB7C6C4-D258-4FE8-A65F-E6B252F14451}"/>
    <cellStyle name="Normal 2 3 3 42 2 3" xfId="2541" xr:uid="{D604B38B-065E-41B3-B38B-E2A419C0B022}"/>
    <cellStyle name="Normal 2 3 3 42 2 3 2" xfId="11388" xr:uid="{274C2856-3248-4865-92B2-697DD659EFA1}"/>
    <cellStyle name="Normal 2 3 3 42 2 4" xfId="11386" xr:uid="{FA8CFD8B-B73B-49CF-B91D-CC81E061EFD8}"/>
    <cellStyle name="Normal 2 3 3 42 3" xfId="2542" xr:uid="{A215B193-86A8-430F-8AA9-3B7642E70D92}"/>
    <cellStyle name="Normal 2 3 3 42 3 2" xfId="11389" xr:uid="{4FBF6F78-B145-472C-8D6A-CF82D4D120F8}"/>
    <cellStyle name="Normal 2 3 3 42 4" xfId="2543" xr:uid="{236B4F9B-76F5-48E2-A569-092FD117913E}"/>
    <cellStyle name="Normal 2 3 3 42 4 2" xfId="11390" xr:uid="{55B7FC6B-4F4C-4E3E-ACF8-C3B7317458F7}"/>
    <cellStyle name="Normal 2 3 3 42 5" xfId="11385" xr:uid="{311FE211-1282-46B1-9F46-AF9A029106CA}"/>
    <cellStyle name="Normal 2 3 3 43" xfId="2544" xr:uid="{F5C0A80A-1318-472B-9E18-E472C653E906}"/>
    <cellStyle name="Normal 2 3 3 43 2" xfId="2545" xr:uid="{13CFADC8-F175-46E6-9448-E9B0DB8F9FD5}"/>
    <cellStyle name="Normal 2 3 3 43 2 2" xfId="2546" xr:uid="{5FDE159B-CA04-4E17-9641-44C18D95EF33}"/>
    <cellStyle name="Normal 2 3 3 43 2 2 2" xfId="11393" xr:uid="{1C461B37-CCEE-46FA-B2C3-BF48BF548EB6}"/>
    <cellStyle name="Normal 2 3 3 43 2 3" xfId="2547" xr:uid="{2E4F513E-498C-4286-BE60-66EC9E0FB068}"/>
    <cellStyle name="Normal 2 3 3 43 2 3 2" xfId="11394" xr:uid="{09C391A6-0615-4299-BBB3-4CFD96F2048A}"/>
    <cellStyle name="Normal 2 3 3 43 2 4" xfId="11392" xr:uid="{F223D825-7B3F-468D-BEF1-ABE1E657A7D8}"/>
    <cellStyle name="Normal 2 3 3 43 3" xfId="2548" xr:uid="{1A9D1D08-F7FB-47F9-9423-3EE3393B83EB}"/>
    <cellStyle name="Normal 2 3 3 43 3 2" xfId="11395" xr:uid="{790D79A1-CFC1-4C7B-98AF-B0FC9D73CFA5}"/>
    <cellStyle name="Normal 2 3 3 43 4" xfId="2549" xr:uid="{3A964A80-5CB1-4EA7-BF7B-79E8A1D5A54D}"/>
    <cellStyle name="Normal 2 3 3 43 4 2" xfId="11396" xr:uid="{CED6C97D-D39B-42F1-B5BD-76EB597C7B44}"/>
    <cellStyle name="Normal 2 3 3 43 5" xfId="11391" xr:uid="{9E3C4BF6-F995-4B5E-9B64-013C82DFDB88}"/>
    <cellStyle name="Normal 2 3 3 44" xfId="2550" xr:uid="{F605D96B-1B89-4572-8EC3-0CB46C61C3AE}"/>
    <cellStyle name="Normal 2 3 3 44 2" xfId="2551" xr:uid="{09C0C908-03E0-4F66-823E-DC73EFD333CF}"/>
    <cellStyle name="Normal 2 3 3 44 2 2" xfId="11398" xr:uid="{ACE4EE07-0A65-4C00-A539-6F7512C76BF1}"/>
    <cellStyle name="Normal 2 3 3 44 3" xfId="2552" xr:uid="{BACDF546-368E-4003-A590-25A9CD0BE4DA}"/>
    <cellStyle name="Normal 2 3 3 44 3 2" xfId="11399" xr:uid="{F2A9CC7A-F558-41CF-A2C0-2CDFA8E40A35}"/>
    <cellStyle name="Normal 2 3 3 44 4" xfId="11397" xr:uid="{2D2D5D39-C600-444F-88D4-ECC854979EAB}"/>
    <cellStyle name="Normal 2 3 3 45" xfId="2553" xr:uid="{82CF4907-A74D-48E5-B64E-CEF8253E10B7}"/>
    <cellStyle name="Normal 2 3 3 45 2" xfId="11400" xr:uid="{F12E89B3-80A5-4E72-95CE-8EE025616D7A}"/>
    <cellStyle name="Normal 2 3 3 46" xfId="2554" xr:uid="{4B51314F-9873-434B-87E0-01E0390A757C}"/>
    <cellStyle name="Normal 2 3 3 46 2" xfId="11401" xr:uid="{D8E9B546-5192-4272-9D1B-70768109A868}"/>
    <cellStyle name="Normal 2 3 3 47" xfId="2555" xr:uid="{8ED13AF9-BDA6-4FE4-ABAF-9DD98A6F8F7A}"/>
    <cellStyle name="Normal 2 3 3 48" xfId="2556" xr:uid="{3ADDA4E3-175E-4309-8F40-43274DF83DAF}"/>
    <cellStyle name="Normal 2 3 3 49" xfId="11174" xr:uid="{C3E134A3-6697-45EF-8BAC-9A7CF1A4F754}"/>
    <cellStyle name="Normal 2 3 3 5" xfId="2557" xr:uid="{FAE2F8A7-CE84-4AD8-9BAD-8E7821234EC9}"/>
    <cellStyle name="Normal 2 3 3 5 2" xfId="2558" xr:uid="{1C964A41-CEAE-4FC1-BB18-75091BC124B3}"/>
    <cellStyle name="Normal 2 3 3 5 2 2" xfId="2559" xr:uid="{A2F26BA5-C2CA-43DB-A4FD-0A6E0D3BED04}"/>
    <cellStyle name="Normal 2 3 3 5 2 2 2" xfId="11404" xr:uid="{0873DF01-BA26-45A1-8F67-725462817715}"/>
    <cellStyle name="Normal 2 3 3 5 2 3" xfId="2560" xr:uid="{B5625405-E1C0-4B3C-9D4B-B68A86F42CCE}"/>
    <cellStyle name="Normal 2 3 3 5 2 3 2" xfId="11405" xr:uid="{3E802670-593C-4824-9C33-6456B6E6579B}"/>
    <cellStyle name="Normal 2 3 3 5 2 4" xfId="11403" xr:uid="{305885E1-BE47-4D9E-AACB-B3509808DCE3}"/>
    <cellStyle name="Normal 2 3 3 5 3" xfId="2561" xr:uid="{EB81EB5D-DFFE-428E-B986-91E53C9D6C5A}"/>
    <cellStyle name="Normal 2 3 3 5 3 2" xfId="11406" xr:uid="{6E100737-A86F-4ABC-BA7E-4B3725B92E78}"/>
    <cellStyle name="Normal 2 3 3 5 4" xfId="2562" xr:uid="{4880B2CE-62B3-493D-8AC2-ADD93460A6C3}"/>
    <cellStyle name="Normal 2 3 3 5 4 2" xfId="11407" xr:uid="{C1080FEA-6884-46B1-80DD-4559D8C0F5EB}"/>
    <cellStyle name="Normal 2 3 3 5 5" xfId="11402" xr:uid="{ED93DCEA-3243-4776-B3C2-D9683396DF44}"/>
    <cellStyle name="Normal 2 3 3 6" xfId="2563" xr:uid="{47F0CF7A-AF44-4B66-971C-513B909F2FD5}"/>
    <cellStyle name="Normal 2 3 3 6 2" xfId="2564" xr:uid="{653D6C02-EA76-48A4-B2D5-E7AEAB7E5779}"/>
    <cellStyle name="Normal 2 3 3 6 2 2" xfId="2565" xr:uid="{E18EC3E8-5FCC-47F8-BF8B-B1F2FE7A78C2}"/>
    <cellStyle name="Normal 2 3 3 6 2 2 2" xfId="11410" xr:uid="{E2D729D7-9237-403F-98A6-C7793535D606}"/>
    <cellStyle name="Normal 2 3 3 6 2 3" xfId="2566" xr:uid="{CC1C771B-AED9-4D84-A5D4-DE378EF28E90}"/>
    <cellStyle name="Normal 2 3 3 6 2 3 2" xfId="11411" xr:uid="{73FCFDE4-41F2-41C3-8BFF-4EE244658CF4}"/>
    <cellStyle name="Normal 2 3 3 6 2 4" xfId="11409" xr:uid="{EDE5953C-03B5-4DB5-9133-057A007A77E7}"/>
    <cellStyle name="Normal 2 3 3 6 3" xfId="2567" xr:uid="{50AAEB78-99B7-4F11-A2E6-523CDCEE264B}"/>
    <cellStyle name="Normal 2 3 3 6 3 2" xfId="11412" xr:uid="{9510BCDD-CD26-4882-A212-53D76E136FC3}"/>
    <cellStyle name="Normal 2 3 3 6 4" xfId="2568" xr:uid="{F97303B7-65ED-491C-A14F-4BA9331D8192}"/>
    <cellStyle name="Normal 2 3 3 6 4 2" xfId="11413" xr:uid="{CE16F9E1-4489-4545-AC15-D7F32B47ABD4}"/>
    <cellStyle name="Normal 2 3 3 6 5" xfId="11408" xr:uid="{415DB777-8257-4E92-A723-FE649C390F45}"/>
    <cellStyle name="Normal 2 3 3 7" xfId="2569" xr:uid="{6ECB8B2B-696A-4B11-9E5B-D61097B94926}"/>
    <cellStyle name="Normal 2 3 3 7 2" xfId="2570" xr:uid="{DDCFCF38-D0D5-4C06-8254-97D2AF086947}"/>
    <cellStyle name="Normal 2 3 3 7 2 2" xfId="2571" xr:uid="{F57748EB-B549-4B07-A85F-77E0D3D1D3C0}"/>
    <cellStyle name="Normal 2 3 3 7 2 2 2" xfId="11416" xr:uid="{63FCF313-8F3E-4D2E-B465-FF3B6554779B}"/>
    <cellStyle name="Normal 2 3 3 7 2 3" xfId="2572" xr:uid="{3B5B89AB-8F4F-4211-ADED-54B72268A5A2}"/>
    <cellStyle name="Normal 2 3 3 7 2 3 2" xfId="11417" xr:uid="{1855E167-41B1-46B6-9C33-E63462596170}"/>
    <cellStyle name="Normal 2 3 3 7 2 4" xfId="11415" xr:uid="{69D57478-F817-4120-B1F6-B3A1FF74F3C9}"/>
    <cellStyle name="Normal 2 3 3 7 3" xfId="2573" xr:uid="{A9525A22-F1C3-4FDC-8AC1-B5F52D0CBEF3}"/>
    <cellStyle name="Normal 2 3 3 7 3 2" xfId="11418" xr:uid="{B13EC913-D5F4-4E8D-8D10-EA087A881C21}"/>
    <cellStyle name="Normal 2 3 3 7 4" xfId="2574" xr:uid="{700E593F-1329-4DFE-97A8-1421676805FC}"/>
    <cellStyle name="Normal 2 3 3 7 4 2" xfId="11419" xr:uid="{2E62C604-7A7A-492C-9AF0-69C7772CB9A3}"/>
    <cellStyle name="Normal 2 3 3 7 5" xfId="11414" xr:uid="{757BD260-30FF-490F-B267-3CF4DE89AED3}"/>
    <cellStyle name="Normal 2 3 3 8" xfId="2575" xr:uid="{65DD7247-112F-4339-974C-A5DDD802165D}"/>
    <cellStyle name="Normal 2 3 3 8 2" xfId="2576" xr:uid="{8A428B37-BAB6-470F-A37D-559F759D0F60}"/>
    <cellStyle name="Normal 2 3 3 8 2 2" xfId="2577" xr:uid="{BC331625-3FD9-4F57-908B-86AE8C90ACD0}"/>
    <cellStyle name="Normal 2 3 3 8 2 2 2" xfId="11422" xr:uid="{611C2247-6486-4A23-B33F-EB04494858C7}"/>
    <cellStyle name="Normal 2 3 3 8 2 3" xfId="2578" xr:uid="{526533D0-A351-4E53-A3E5-2563CA5CDF68}"/>
    <cellStyle name="Normal 2 3 3 8 2 3 2" xfId="11423" xr:uid="{50A2E831-4E8B-4451-B594-25C610D85C84}"/>
    <cellStyle name="Normal 2 3 3 8 2 4" xfId="11421" xr:uid="{E8A09115-ACC3-49DA-B150-8C317A861609}"/>
    <cellStyle name="Normal 2 3 3 8 3" xfId="2579" xr:uid="{F5FE99FE-F310-47AB-8710-B65AAE7356C0}"/>
    <cellStyle name="Normal 2 3 3 8 3 2" xfId="11424" xr:uid="{07C2B5F1-527D-481C-9DF1-113390C352B0}"/>
    <cellStyle name="Normal 2 3 3 8 4" xfId="2580" xr:uid="{8BF34A2B-727E-47A7-A20D-9BF802886015}"/>
    <cellStyle name="Normal 2 3 3 8 4 2" xfId="11425" xr:uid="{70A1AD45-FADA-4590-A9E1-1E7AE11E27D0}"/>
    <cellStyle name="Normal 2 3 3 8 5" xfId="11420" xr:uid="{0E7BADE0-C841-430C-ACE8-583C55AFA786}"/>
    <cellStyle name="Normal 2 3 3 9" xfId="2581" xr:uid="{A3031F2F-1BB6-4167-9DCE-0C469F03879B}"/>
    <cellStyle name="Normal 2 3 3 9 2" xfId="2582" xr:uid="{ED19293A-A776-476B-8186-81F535B9EED5}"/>
    <cellStyle name="Normal 2 3 3 9 2 2" xfId="2583" xr:uid="{F13EED94-3BE1-4756-A632-FE2FCFDCD902}"/>
    <cellStyle name="Normal 2 3 3 9 2 2 2" xfId="11428" xr:uid="{2D3B05DB-FA36-4FB2-A39E-1B204D507883}"/>
    <cellStyle name="Normal 2 3 3 9 2 3" xfId="2584" xr:uid="{A6124CAC-4296-4029-B82F-F3D13127884F}"/>
    <cellStyle name="Normal 2 3 3 9 2 3 2" xfId="11429" xr:uid="{B7B8955D-29B5-4FFE-BD19-EF241693AAC6}"/>
    <cellStyle name="Normal 2 3 3 9 2 4" xfId="11427" xr:uid="{76B7C5F5-4807-49A5-BAEB-5CA0AD0CEE40}"/>
    <cellStyle name="Normal 2 3 3 9 3" xfId="2585" xr:uid="{B6872F2E-9402-4E43-B95C-59FB761158F4}"/>
    <cellStyle name="Normal 2 3 3 9 3 2" xfId="11430" xr:uid="{321137E8-91F4-46F4-8122-6229DDB04689}"/>
    <cellStyle name="Normal 2 3 3 9 4" xfId="2586" xr:uid="{823D5A52-A1E4-4221-BBBA-C0A85B29D7A9}"/>
    <cellStyle name="Normal 2 3 3 9 4 2" xfId="11431" xr:uid="{F7040AC8-80F2-4BFE-8E9B-0BB0225881D0}"/>
    <cellStyle name="Normal 2 3 3 9 5" xfId="11426" xr:uid="{62D0C9FC-D93F-458D-AF3A-42C9B574C7A1}"/>
    <cellStyle name="Normal 2 3 30" xfId="2587" xr:uid="{678B4A23-2EC6-41E7-AF89-D4C60EC43ED0}"/>
    <cellStyle name="Normal 2 3 30 2" xfId="2588" xr:uid="{79A2E677-302D-468D-8957-9DE26B9AD336}"/>
    <cellStyle name="Normal 2 3 30 2 2" xfId="2589" xr:uid="{F29D6C3D-90D3-4338-8DE2-321905886245}"/>
    <cellStyle name="Normal 2 3 30 2 2 2" xfId="11434" xr:uid="{9256C58F-9BB8-4C2A-9D11-939B2B94DAE4}"/>
    <cellStyle name="Normal 2 3 30 2 3" xfId="2590" xr:uid="{A1DC6D46-256C-480C-9079-21A9FE0D278E}"/>
    <cellStyle name="Normal 2 3 30 2 3 2" xfId="11435" xr:uid="{DA37BE4A-42C1-4029-8955-DC0FC93907DB}"/>
    <cellStyle name="Normal 2 3 30 2 4" xfId="11433" xr:uid="{DC373747-D0C0-4CF1-97F8-C9A8A6DA7D08}"/>
    <cellStyle name="Normal 2 3 30 3" xfId="2591" xr:uid="{A1AD0022-BC60-459B-AF52-4964D2B0B893}"/>
    <cellStyle name="Normal 2 3 30 3 2" xfId="11436" xr:uid="{5F3E3468-054E-4B11-9372-67B72430B3EE}"/>
    <cellStyle name="Normal 2 3 30 4" xfId="2592" xr:uid="{AD5F9CC2-9CE6-4547-B4A4-D69C60FBC793}"/>
    <cellStyle name="Normal 2 3 30 4 2" xfId="11437" xr:uid="{A4D6F852-443C-46CE-92F2-A6CD6E30E161}"/>
    <cellStyle name="Normal 2 3 30 5" xfId="11432" xr:uid="{0A001A2E-3FE1-4F53-89E0-6D24903C7549}"/>
    <cellStyle name="Normal 2 3 31" xfId="2593" xr:uid="{449E0897-1C56-4927-B60F-916474AD57B2}"/>
    <cellStyle name="Normal 2 3 31 2" xfId="2594" xr:uid="{48BCC1A7-580D-4658-8145-16279912A28A}"/>
    <cellStyle name="Normal 2 3 31 2 2" xfId="2595" xr:uid="{82DDCD79-E81C-42EB-A73D-8CBC9CBE7C0C}"/>
    <cellStyle name="Normal 2 3 31 2 2 2" xfId="11440" xr:uid="{A6711005-7206-4DDD-94B5-33EE306F7D97}"/>
    <cellStyle name="Normal 2 3 31 2 3" xfId="2596" xr:uid="{ACE9D715-70D8-47E1-84B5-1751322E3353}"/>
    <cellStyle name="Normal 2 3 31 2 3 2" xfId="11441" xr:uid="{5EE134D9-EB49-4DBF-8C06-4F1AB3786A64}"/>
    <cellStyle name="Normal 2 3 31 2 4" xfId="11439" xr:uid="{7A3D20A6-E540-45C0-A9EF-A185E4CF7AE0}"/>
    <cellStyle name="Normal 2 3 31 3" xfId="2597" xr:uid="{BDCA675F-DC87-48FF-B2D2-C5C616B8CDE7}"/>
    <cellStyle name="Normal 2 3 31 3 2" xfId="11442" xr:uid="{D986D0F4-DE46-4E66-9622-6F6C1FD1FAD3}"/>
    <cellStyle name="Normal 2 3 31 4" xfId="2598" xr:uid="{7FEB6FD5-7EB1-42D7-B67B-F0F0317BCB66}"/>
    <cellStyle name="Normal 2 3 31 4 2" xfId="11443" xr:uid="{A3239A4A-AD65-4FEE-8D60-B29A3E335EA3}"/>
    <cellStyle name="Normal 2 3 31 5" xfId="11438" xr:uid="{0DE3B0AA-9823-4D1D-B02D-CF454560903D}"/>
    <cellStyle name="Normal 2 3 32" xfId="2599" xr:uid="{13D6E8BB-8FDF-4A59-A6A2-9B1CE48FC20C}"/>
    <cellStyle name="Normal 2 3 32 2" xfId="2600" xr:uid="{B20A6463-3D50-4564-8325-53C80F85320A}"/>
    <cellStyle name="Normal 2 3 32 2 2" xfId="2601" xr:uid="{61F65FC0-B8FD-4297-A3DC-F3AEFC970636}"/>
    <cellStyle name="Normal 2 3 32 2 2 2" xfId="11446" xr:uid="{187A2AE4-5B13-4B93-A29B-202FBC055450}"/>
    <cellStyle name="Normal 2 3 32 2 3" xfId="2602" xr:uid="{E28157CA-3A2B-4E5C-A07A-64333309CA0F}"/>
    <cellStyle name="Normal 2 3 32 2 3 2" xfId="11447" xr:uid="{9E3892A1-2FA3-400F-A6C2-47985AD988AC}"/>
    <cellStyle name="Normal 2 3 32 2 4" xfId="11445" xr:uid="{3319F1CA-4ABB-48F4-B960-8EF341537E0A}"/>
    <cellStyle name="Normal 2 3 32 3" xfId="2603" xr:uid="{735C000E-DE57-4D28-9480-16E1433A83FE}"/>
    <cellStyle name="Normal 2 3 32 3 2" xfId="11448" xr:uid="{B8A2FA6E-9397-41E0-B189-CF6C9A07FEA7}"/>
    <cellStyle name="Normal 2 3 32 4" xfId="2604" xr:uid="{8BB295CB-95C4-497F-9D98-FBF28996D446}"/>
    <cellStyle name="Normal 2 3 32 4 2" xfId="11449" xr:uid="{99706086-D920-42C8-AB3B-746FD54A1F76}"/>
    <cellStyle name="Normal 2 3 32 5" xfId="11444" xr:uid="{8A95A522-977F-4D0A-A767-AF65DE09EDC4}"/>
    <cellStyle name="Normal 2 3 33" xfId="2605" xr:uid="{7FEBE44E-8479-4847-A8D3-C3EBC6113ED0}"/>
    <cellStyle name="Normal 2 3 33 2" xfId="2606" xr:uid="{2A0568BF-ABFD-4CF0-897E-5F12C3AB56CF}"/>
    <cellStyle name="Normal 2 3 33 2 2" xfId="2607" xr:uid="{3F0B7FAF-7089-4204-B345-87A9E11E94EF}"/>
    <cellStyle name="Normal 2 3 33 2 2 2" xfId="11452" xr:uid="{DF65DBD6-DE7D-42B7-AC26-20FAFD063B83}"/>
    <cellStyle name="Normal 2 3 33 2 3" xfId="2608" xr:uid="{B542647E-AF79-482F-8035-E9F60733D8DF}"/>
    <cellStyle name="Normal 2 3 33 2 3 2" xfId="11453" xr:uid="{196B22E2-FF5F-464F-84EC-DC58D3A8ECCA}"/>
    <cellStyle name="Normal 2 3 33 2 4" xfId="11451" xr:uid="{F9E92A64-4CBF-40B5-AEDF-7DEF6AAFC55D}"/>
    <cellStyle name="Normal 2 3 33 3" xfId="2609" xr:uid="{147CE43F-A20F-45E7-AAA5-BDE00320206A}"/>
    <cellStyle name="Normal 2 3 33 3 2" xfId="11454" xr:uid="{75D1AEC7-A756-4184-B4F1-F632F7859480}"/>
    <cellStyle name="Normal 2 3 33 4" xfId="2610" xr:uid="{3FBEE85A-75F4-4651-96E4-12FC972273A2}"/>
    <cellStyle name="Normal 2 3 33 4 2" xfId="11455" xr:uid="{C0A7A522-4C75-452D-9ED4-11E8C595293D}"/>
    <cellStyle name="Normal 2 3 33 5" xfId="11450" xr:uid="{095C934D-2579-4EEE-8089-BF4AEE083295}"/>
    <cellStyle name="Normal 2 3 34" xfId="2611" xr:uid="{F5A9F584-C0E3-44AC-97B7-D099EEFAED71}"/>
    <cellStyle name="Normal 2 3 34 2" xfId="2612" xr:uid="{4095B810-C51F-4C61-8DA8-5AD3F4D6BE7D}"/>
    <cellStyle name="Normal 2 3 34 2 2" xfId="2613" xr:uid="{301944C8-FDAA-4A4B-B0F3-D8B75559590E}"/>
    <cellStyle name="Normal 2 3 34 2 2 2" xfId="11458" xr:uid="{B1071D92-753F-48C6-AB71-C90EBE115CBF}"/>
    <cellStyle name="Normal 2 3 34 2 3" xfId="2614" xr:uid="{A40DEBC7-9029-4645-8F91-7695D1E4BA20}"/>
    <cellStyle name="Normal 2 3 34 2 3 2" xfId="11459" xr:uid="{6906A449-A729-4F11-BD51-C73F1A3B56F2}"/>
    <cellStyle name="Normal 2 3 34 2 4" xfId="11457" xr:uid="{B751DCBE-8715-4BA7-B3CB-91740F71E8EF}"/>
    <cellStyle name="Normal 2 3 34 3" xfId="2615" xr:uid="{0EFD59D3-9EC3-49B7-90C1-6DC0195222A0}"/>
    <cellStyle name="Normal 2 3 34 3 2" xfId="11460" xr:uid="{37AF4EB8-488D-47F5-8C18-5DCA16F51A78}"/>
    <cellStyle name="Normal 2 3 34 4" xfId="2616" xr:uid="{7D4C71D3-CC4A-42E7-BA90-A05A0DE9D711}"/>
    <cellStyle name="Normal 2 3 34 4 2" xfId="11461" xr:uid="{62844D15-A4BA-41EB-8EC1-4686F7C51C29}"/>
    <cellStyle name="Normal 2 3 34 5" xfId="11456" xr:uid="{E632E933-FB03-4A3D-BFD0-843312CF3381}"/>
    <cellStyle name="Normal 2 3 35" xfId="2617" xr:uid="{99CD8B44-265E-4222-9D23-DC85B544F144}"/>
    <cellStyle name="Normal 2 3 35 2" xfId="2618" xr:uid="{7AA1C360-0AED-4461-B9D8-535748705720}"/>
    <cellStyle name="Normal 2 3 35 2 2" xfId="2619" xr:uid="{5B008E00-BADD-401F-BD14-C2EA0334E953}"/>
    <cellStyle name="Normal 2 3 35 2 2 2" xfId="11464" xr:uid="{1D06A3D4-5966-44E4-A719-5DD04C28E57C}"/>
    <cellStyle name="Normal 2 3 35 2 3" xfId="2620" xr:uid="{015B541C-D3BA-41D4-9687-D85AC56B3917}"/>
    <cellStyle name="Normal 2 3 35 2 3 2" xfId="11465" xr:uid="{82B69A21-1B2F-472B-B243-449CF5A117E8}"/>
    <cellStyle name="Normal 2 3 35 2 4" xfId="11463" xr:uid="{85FF9F09-94E3-4E6C-A8C2-5735C13393E4}"/>
    <cellStyle name="Normal 2 3 35 3" xfId="2621" xr:uid="{807D8BFC-673D-4BA1-ADC5-01F905EFBE2F}"/>
    <cellStyle name="Normal 2 3 35 3 2" xfId="11466" xr:uid="{6B8E074C-474A-4E35-900C-814FA2212C90}"/>
    <cellStyle name="Normal 2 3 35 4" xfId="2622" xr:uid="{785C5F67-F718-4CDD-B70E-40661B97BE45}"/>
    <cellStyle name="Normal 2 3 35 4 2" xfId="11467" xr:uid="{3A57CD9A-E0BF-4FF4-AC6D-5E1C938BDFD1}"/>
    <cellStyle name="Normal 2 3 35 5" xfId="11462" xr:uid="{F87FA1FE-F453-4C3A-82E9-9E7C9FB39334}"/>
    <cellStyle name="Normal 2 3 36" xfId="2623" xr:uid="{15AE4430-47F6-42F8-8221-0C703652E720}"/>
    <cellStyle name="Normal 2 3 36 2" xfId="2624" xr:uid="{5A11854C-6D16-4884-BBB0-B0594E6888A2}"/>
    <cellStyle name="Normal 2 3 36 2 2" xfId="2625" xr:uid="{1EB83A15-CB62-4B15-ADD3-8B94779B1C10}"/>
    <cellStyle name="Normal 2 3 36 2 2 2" xfId="11470" xr:uid="{85B555BA-4260-484A-8E62-36205A5A3341}"/>
    <cellStyle name="Normal 2 3 36 2 3" xfId="2626" xr:uid="{31197C56-396F-4716-A36B-C99017B9B158}"/>
    <cellStyle name="Normal 2 3 36 2 3 2" xfId="11471" xr:uid="{AB55CFD9-9B59-4EB6-AD09-6A5C7992009B}"/>
    <cellStyle name="Normal 2 3 36 2 4" xfId="11469" xr:uid="{020F83A4-F220-4C27-B809-A9462D942619}"/>
    <cellStyle name="Normal 2 3 36 3" xfId="2627" xr:uid="{76F6CE01-2BA0-4B9C-AB4A-7B715978A66D}"/>
    <cellStyle name="Normal 2 3 36 3 2" xfId="11472" xr:uid="{5CBD0D16-E4CF-4D90-BEB0-BE34DC815EC0}"/>
    <cellStyle name="Normal 2 3 36 4" xfId="2628" xr:uid="{1544D0BA-0538-4E23-8ED3-76889E53A549}"/>
    <cellStyle name="Normal 2 3 36 4 2" xfId="11473" xr:uid="{5A2A41BB-4386-4A15-83D0-FC46F6E1DEDC}"/>
    <cellStyle name="Normal 2 3 36 5" xfId="11468" xr:uid="{69AE1FBB-9690-490C-8428-124657527C87}"/>
    <cellStyle name="Normal 2 3 37" xfId="2629" xr:uid="{27A1E3A9-3D7E-45F3-AA57-FCC35C539CB4}"/>
    <cellStyle name="Normal 2 3 37 2" xfId="2630" xr:uid="{940061BC-868F-48BF-9984-28173E793601}"/>
    <cellStyle name="Normal 2 3 37 2 2" xfId="2631" xr:uid="{85FE7C4D-6C93-4B16-B008-00F48FE2521F}"/>
    <cellStyle name="Normal 2 3 37 2 2 2" xfId="11476" xr:uid="{46C818AE-0A42-4D90-BC4E-2437357484B1}"/>
    <cellStyle name="Normal 2 3 37 2 3" xfId="2632" xr:uid="{1B7786EA-AA61-4A10-A23D-555958356A0F}"/>
    <cellStyle name="Normal 2 3 37 2 3 2" xfId="11477" xr:uid="{39297447-97B0-489B-B2ED-58091DDA4523}"/>
    <cellStyle name="Normal 2 3 37 2 4" xfId="11475" xr:uid="{9E53BBD0-1578-43E7-BE1A-96575458379C}"/>
    <cellStyle name="Normal 2 3 37 3" xfId="2633" xr:uid="{729554EF-CABD-49AF-B7BD-0AAEC981793C}"/>
    <cellStyle name="Normal 2 3 37 3 2" xfId="11478" xr:uid="{4DB8D5B5-693B-4E03-B33A-72530963EB10}"/>
    <cellStyle name="Normal 2 3 37 4" xfId="2634" xr:uid="{D8AE9A03-DDFB-40E9-BF96-FC1736313F21}"/>
    <cellStyle name="Normal 2 3 37 4 2" xfId="11479" xr:uid="{9821CC05-35E7-46D1-9A00-C3C22AF16FBD}"/>
    <cellStyle name="Normal 2 3 37 5" xfId="11474" xr:uid="{470A1BB5-3DAC-43BB-93AC-AD3D2C21B725}"/>
    <cellStyle name="Normal 2 3 38" xfId="2635" xr:uid="{7B102A7A-62DB-411A-8C6C-AA58C1127DDD}"/>
    <cellStyle name="Normal 2 3 38 2" xfId="2636" xr:uid="{54F78A88-6E88-451F-9F26-E9F33C2C9154}"/>
    <cellStyle name="Normal 2 3 38 2 2" xfId="2637" xr:uid="{B6954296-3C72-4F1A-9232-43ADC571408E}"/>
    <cellStyle name="Normal 2 3 38 2 2 2" xfId="11482" xr:uid="{2F3FE90D-B908-4881-8342-ECE9D32EA5AF}"/>
    <cellStyle name="Normal 2 3 38 2 3" xfId="2638" xr:uid="{5059F092-850D-404A-983B-6617BC32C360}"/>
    <cellStyle name="Normal 2 3 38 2 3 2" xfId="11483" xr:uid="{7FCCDF5B-05B1-471A-B624-A7BB1973FDE3}"/>
    <cellStyle name="Normal 2 3 38 2 4" xfId="11481" xr:uid="{71FA7C4B-C562-4D1F-9310-62C4DCD1EC35}"/>
    <cellStyle name="Normal 2 3 38 3" xfId="2639" xr:uid="{3B26CDFF-4B36-45F8-B672-6A3075AA4075}"/>
    <cellStyle name="Normal 2 3 38 3 2" xfId="11484" xr:uid="{28857FD7-432A-4E1F-A5EA-FE3FED727AAB}"/>
    <cellStyle name="Normal 2 3 38 4" xfId="2640" xr:uid="{289B57FC-A2B8-4A7F-A393-4C40D393F6DB}"/>
    <cellStyle name="Normal 2 3 38 4 2" xfId="11485" xr:uid="{2DF2634F-20B2-454F-8AF5-2EBC47E807DB}"/>
    <cellStyle name="Normal 2 3 38 5" xfId="11480" xr:uid="{15AAE20B-0675-43B4-8379-EBDF3EF333AF}"/>
    <cellStyle name="Normal 2 3 39" xfId="2641" xr:uid="{9E571239-4420-47BD-85E9-2019FB1597DC}"/>
    <cellStyle name="Normal 2 3 39 2" xfId="2642" xr:uid="{B32FCE27-032C-4347-9DC4-22EB85C78C34}"/>
    <cellStyle name="Normal 2 3 39 2 2" xfId="2643" xr:uid="{8425536B-D1D0-4952-AB01-BC362CCFEB17}"/>
    <cellStyle name="Normal 2 3 39 2 2 2" xfId="11488" xr:uid="{8CDF6512-9E98-4ECE-98F9-6380EF8195B4}"/>
    <cellStyle name="Normal 2 3 39 2 3" xfId="2644" xr:uid="{30D2FA79-913E-4752-B162-7100EA0F9CD8}"/>
    <cellStyle name="Normal 2 3 39 2 3 2" xfId="11489" xr:uid="{6513C983-5DD3-4441-A65D-98295519B8F1}"/>
    <cellStyle name="Normal 2 3 39 2 4" xfId="11487" xr:uid="{D05F39FA-04F3-4296-B2BE-AAB63EE1051D}"/>
    <cellStyle name="Normal 2 3 39 3" xfId="2645" xr:uid="{5A586D81-29E2-4F25-839E-F3BA805EFD27}"/>
    <cellStyle name="Normal 2 3 39 3 2" xfId="11490" xr:uid="{B4F05E4E-CD87-4E0A-93E7-B504481072AB}"/>
    <cellStyle name="Normal 2 3 39 4" xfId="2646" xr:uid="{84154589-1522-446F-907F-25F8A6012DAC}"/>
    <cellStyle name="Normal 2 3 39 4 2" xfId="11491" xr:uid="{D5FCAFBE-0F42-4C40-B19A-415B737DDBF7}"/>
    <cellStyle name="Normal 2 3 39 5" xfId="11486" xr:uid="{BA9F7324-E22A-4FD3-A607-49140F5B3E75}"/>
    <cellStyle name="Normal 2 3 4" xfId="2647" xr:uid="{1D5D1ECA-A7A5-43DE-9AC5-3699EBA5D171}"/>
    <cellStyle name="Normal 2 3 4 10" xfId="2648" xr:uid="{02FB0FD9-5788-4198-A0AB-68C248537F24}"/>
    <cellStyle name="Normal 2 3 4 10 2" xfId="2649" xr:uid="{51A3AC10-BADA-49D9-9B42-6A696FF98F14}"/>
    <cellStyle name="Normal 2 3 4 10 2 2" xfId="2650" xr:uid="{5A9FFF2B-B364-4262-8AAD-CD46DF04D6B2}"/>
    <cellStyle name="Normal 2 3 4 10 2 2 2" xfId="11495" xr:uid="{B56EE2D0-9709-4E70-899F-8E89A1539845}"/>
    <cellStyle name="Normal 2 3 4 10 2 3" xfId="2651" xr:uid="{6EF9DE7C-7FCF-4861-B3EB-66C48A8D11A9}"/>
    <cellStyle name="Normal 2 3 4 10 2 3 2" xfId="11496" xr:uid="{F41CF3BF-AFEE-4964-BFE6-718A703E39B7}"/>
    <cellStyle name="Normal 2 3 4 10 2 4" xfId="11494" xr:uid="{553A31D3-DDCB-471F-A0A2-0AD284D9A41A}"/>
    <cellStyle name="Normal 2 3 4 10 3" xfId="2652" xr:uid="{4EBC635D-152F-49EC-814D-52B59F7148BA}"/>
    <cellStyle name="Normal 2 3 4 10 3 2" xfId="11497" xr:uid="{5F431B54-332D-4362-A3F9-572675DFA3C1}"/>
    <cellStyle name="Normal 2 3 4 10 4" xfId="2653" xr:uid="{F8C3EFA1-D103-4B34-9622-0D2609867099}"/>
    <cellStyle name="Normal 2 3 4 10 4 2" xfId="11498" xr:uid="{042A0219-1511-42BF-B855-BBD922F65163}"/>
    <cellStyle name="Normal 2 3 4 10 5" xfId="11493" xr:uid="{FED814E4-6739-4CC1-BE57-DB45B74104FE}"/>
    <cellStyle name="Normal 2 3 4 11" xfId="2654" xr:uid="{8191E03F-8DF6-4770-B7F3-668F9BBEC7BF}"/>
    <cellStyle name="Normal 2 3 4 11 2" xfId="2655" xr:uid="{1FA8804F-B0EB-4A13-89E7-E56B8C079F1F}"/>
    <cellStyle name="Normal 2 3 4 11 2 2" xfId="2656" xr:uid="{39484C3B-7863-44A1-9875-EE6A2D967860}"/>
    <cellStyle name="Normal 2 3 4 11 2 2 2" xfId="11501" xr:uid="{BAB902BE-B11C-4757-BADA-3B917F10B974}"/>
    <cellStyle name="Normal 2 3 4 11 2 3" xfId="2657" xr:uid="{90FB947B-D9F5-49E2-B84E-9002425D3A98}"/>
    <cellStyle name="Normal 2 3 4 11 2 3 2" xfId="11502" xr:uid="{2D25B9F5-52CA-41E7-8144-B381E4FF44AB}"/>
    <cellStyle name="Normal 2 3 4 11 2 4" xfId="11500" xr:uid="{29B0957D-32CA-43B9-852B-622F8C6F24E1}"/>
    <cellStyle name="Normal 2 3 4 11 3" xfId="2658" xr:uid="{6DBE6499-4919-4E04-B69E-5BE1C5FA3B68}"/>
    <cellStyle name="Normal 2 3 4 11 3 2" xfId="11503" xr:uid="{71D78D67-EF43-46E7-9350-C31D0D34C35E}"/>
    <cellStyle name="Normal 2 3 4 11 4" xfId="2659" xr:uid="{EB8C1B68-75D8-4960-A7A9-441194491C0F}"/>
    <cellStyle name="Normal 2 3 4 11 4 2" xfId="11504" xr:uid="{0EE9ECF3-1D20-45F0-B5C0-9F14809A64C5}"/>
    <cellStyle name="Normal 2 3 4 11 5" xfId="11499" xr:uid="{7137FA6C-327A-42ED-9BCE-2CCE61E72FBF}"/>
    <cellStyle name="Normal 2 3 4 12" xfId="2660" xr:uid="{2C0762D5-B023-441B-B0BE-200C2D301F7E}"/>
    <cellStyle name="Normal 2 3 4 12 2" xfId="2661" xr:uid="{B6736A2E-65F1-4835-9286-D96BE7FE488A}"/>
    <cellStyle name="Normal 2 3 4 12 2 2" xfId="2662" xr:uid="{C207C594-DFBC-4FFB-8E6B-B1BA950BA632}"/>
    <cellStyle name="Normal 2 3 4 12 2 2 2" xfId="11507" xr:uid="{B94D4114-8BCC-4814-BD7D-21FE9E2AA609}"/>
    <cellStyle name="Normal 2 3 4 12 2 3" xfId="2663" xr:uid="{C888D177-063C-407B-865D-E33385A6522E}"/>
    <cellStyle name="Normal 2 3 4 12 2 3 2" xfId="11508" xr:uid="{8FBE65A6-F93E-4391-A2CC-E21AEFEEC5E1}"/>
    <cellStyle name="Normal 2 3 4 12 2 4" xfId="11506" xr:uid="{180C9F33-1E4A-471A-8AA6-F5EA6E76923B}"/>
    <cellStyle name="Normal 2 3 4 12 3" xfId="2664" xr:uid="{CAECC568-E9F7-4812-B82D-1981F17A2BC7}"/>
    <cellStyle name="Normal 2 3 4 12 3 2" xfId="11509" xr:uid="{A772F333-198A-4A2E-ADC2-4196AE6F317E}"/>
    <cellStyle name="Normal 2 3 4 12 4" xfId="2665" xr:uid="{16B764BA-D7DA-45EE-8151-84B48E543832}"/>
    <cellStyle name="Normal 2 3 4 12 4 2" xfId="11510" xr:uid="{82BA6673-A8CA-4939-86C5-9057ADABCEEC}"/>
    <cellStyle name="Normal 2 3 4 12 5" xfId="11505" xr:uid="{533CAC9F-60C3-45E4-B58C-C16D2A83FA71}"/>
    <cellStyle name="Normal 2 3 4 13" xfId="2666" xr:uid="{D40EB8D9-7671-4B54-B071-6AE5BBC65D39}"/>
    <cellStyle name="Normal 2 3 4 13 2" xfId="2667" xr:uid="{B147750A-EAED-4FC9-8FD2-C69AD1D9499D}"/>
    <cellStyle name="Normal 2 3 4 13 2 2" xfId="2668" xr:uid="{44472D1F-91DB-4A0C-833C-14C464C6755D}"/>
    <cellStyle name="Normal 2 3 4 13 2 2 2" xfId="11513" xr:uid="{E788B53B-AAA8-4E64-AAD8-9227D5CFB383}"/>
    <cellStyle name="Normal 2 3 4 13 2 3" xfId="2669" xr:uid="{AB5B0B3E-DB14-40BF-9460-779A02906C2D}"/>
    <cellStyle name="Normal 2 3 4 13 2 3 2" xfId="11514" xr:uid="{B386D6FE-3F1E-4A10-B98C-96446DB8E9E6}"/>
    <cellStyle name="Normal 2 3 4 13 2 4" xfId="11512" xr:uid="{AA69340E-B7BB-40CA-A37A-A3225657190D}"/>
    <cellStyle name="Normal 2 3 4 13 3" xfId="2670" xr:uid="{6FAE417D-9260-48B5-8C4D-8A9C6E55EC72}"/>
    <cellStyle name="Normal 2 3 4 13 3 2" xfId="11515" xr:uid="{BDECB31A-9398-4208-A58F-7B494226C1C6}"/>
    <cellStyle name="Normal 2 3 4 13 4" xfId="2671" xr:uid="{51FE7898-359D-4AD3-8D30-8483D3D4403A}"/>
    <cellStyle name="Normal 2 3 4 13 4 2" xfId="11516" xr:uid="{410FFF7E-E3F2-436A-8DEA-6B07A5543583}"/>
    <cellStyle name="Normal 2 3 4 13 5" xfId="11511" xr:uid="{26502D70-5EF5-4836-AE19-F2E19DC831C7}"/>
    <cellStyle name="Normal 2 3 4 14" xfId="2672" xr:uid="{CB1AC822-43E6-4B66-9D17-4593C353D298}"/>
    <cellStyle name="Normal 2 3 4 14 2" xfId="2673" xr:uid="{2AE27233-C0C7-4CCB-AA85-A2C5908E731C}"/>
    <cellStyle name="Normal 2 3 4 14 2 2" xfId="2674" xr:uid="{0C933D86-D84F-4ED4-95BD-053FA7835FC4}"/>
    <cellStyle name="Normal 2 3 4 14 2 2 2" xfId="11519" xr:uid="{4F88667D-A1C3-4946-BEC2-A804552140B2}"/>
    <cellStyle name="Normal 2 3 4 14 2 3" xfId="2675" xr:uid="{11860371-8EF5-4642-9F22-4DB5D46F1940}"/>
    <cellStyle name="Normal 2 3 4 14 2 3 2" xfId="11520" xr:uid="{7DA9D5C5-543C-4E62-8EB3-2387A1DC7BB5}"/>
    <cellStyle name="Normal 2 3 4 14 2 4" xfId="11518" xr:uid="{85E0CFCF-3E42-438D-ABDA-0004FC4BD24B}"/>
    <cellStyle name="Normal 2 3 4 14 3" xfId="2676" xr:uid="{AA54C8C8-08F5-42CB-8242-F80B2D29AE7C}"/>
    <cellStyle name="Normal 2 3 4 14 3 2" xfId="11521" xr:uid="{C33371D3-0C0C-4226-8D8E-8B1EC446BCCD}"/>
    <cellStyle name="Normal 2 3 4 14 4" xfId="2677" xr:uid="{4AB03FA1-154B-4AB6-9768-A6D5F320C404}"/>
    <cellStyle name="Normal 2 3 4 14 4 2" xfId="11522" xr:uid="{2E8569C4-D1A6-48AE-BFE9-13B3FD4A3C8D}"/>
    <cellStyle name="Normal 2 3 4 14 5" xfId="11517" xr:uid="{819FB41B-180C-4016-BC3E-B97DDF0ECBE8}"/>
    <cellStyle name="Normal 2 3 4 15" xfId="2678" xr:uid="{FFB2AE4A-4AE2-4BD8-8D86-3900E506BD0D}"/>
    <cellStyle name="Normal 2 3 4 15 2" xfId="2679" xr:uid="{904EF11E-AD20-4980-8599-088573661D43}"/>
    <cellStyle name="Normal 2 3 4 15 2 2" xfId="2680" xr:uid="{B50B41C2-DBA2-46EC-978F-216FFB70FB82}"/>
    <cellStyle name="Normal 2 3 4 15 2 2 2" xfId="11525" xr:uid="{2B4F2958-4977-4B95-9034-626C580D4718}"/>
    <cellStyle name="Normal 2 3 4 15 2 3" xfId="2681" xr:uid="{7EA2E05A-0504-41CE-AB2B-6CB3343668C4}"/>
    <cellStyle name="Normal 2 3 4 15 2 3 2" xfId="11526" xr:uid="{4BA18E1A-C4B4-4F49-961A-BB48A74B9465}"/>
    <cellStyle name="Normal 2 3 4 15 2 4" xfId="11524" xr:uid="{0C92A8AF-688D-4461-8ECA-268DA8EBE36B}"/>
    <cellStyle name="Normal 2 3 4 15 3" xfId="2682" xr:uid="{484989C9-9143-4FEE-8ECF-34459970EDFC}"/>
    <cellStyle name="Normal 2 3 4 15 3 2" xfId="11527" xr:uid="{4B89ED63-3963-4A11-AAE4-A0170F15C879}"/>
    <cellStyle name="Normal 2 3 4 15 4" xfId="2683" xr:uid="{ADEDA43C-289A-458E-AC0E-D4152C209DF5}"/>
    <cellStyle name="Normal 2 3 4 15 4 2" xfId="11528" xr:uid="{A5281D4C-E89D-4391-A4E2-04D21149AF02}"/>
    <cellStyle name="Normal 2 3 4 15 5" xfId="11523" xr:uid="{4A3B3060-90A8-4127-8401-C3EB95091220}"/>
    <cellStyle name="Normal 2 3 4 16" xfId="2684" xr:uid="{9FECBC6D-248C-4443-B197-BF544FBA5D50}"/>
    <cellStyle name="Normal 2 3 4 16 2" xfId="2685" xr:uid="{FAE52D18-2B51-4F91-B42D-1F394FDD8886}"/>
    <cellStyle name="Normal 2 3 4 16 2 2" xfId="2686" xr:uid="{259FB798-DA53-4606-B750-1B0A7A35ACB9}"/>
    <cellStyle name="Normal 2 3 4 16 2 2 2" xfId="11531" xr:uid="{371E0217-22B4-4712-A6A8-CDF8B8A3FF4F}"/>
    <cellStyle name="Normal 2 3 4 16 2 3" xfId="2687" xr:uid="{996B79EF-FE7C-4658-8370-E59092041270}"/>
    <cellStyle name="Normal 2 3 4 16 2 3 2" xfId="11532" xr:uid="{19850342-3249-40D1-82B9-9C1884E5360D}"/>
    <cellStyle name="Normal 2 3 4 16 2 4" xfId="11530" xr:uid="{54E5B853-430E-4AE5-B368-FCDE8227AE8C}"/>
    <cellStyle name="Normal 2 3 4 16 3" xfId="2688" xr:uid="{C2BE99EE-2B9D-4FF7-A9E2-FD1EB66B2EC6}"/>
    <cellStyle name="Normal 2 3 4 16 3 2" xfId="11533" xr:uid="{8532E9F6-699A-4D4D-AC19-1923B1D86ECE}"/>
    <cellStyle name="Normal 2 3 4 16 4" xfId="2689" xr:uid="{6555EDE9-7FC7-458E-9C01-236393B7BDE6}"/>
    <cellStyle name="Normal 2 3 4 16 4 2" xfId="11534" xr:uid="{E898EA3C-CDD8-4BCC-AFA4-6E4D8BA4C915}"/>
    <cellStyle name="Normal 2 3 4 16 5" xfId="11529" xr:uid="{460DCFD8-1362-4610-B0C1-9224AAB19FC0}"/>
    <cellStyle name="Normal 2 3 4 17" xfId="2690" xr:uid="{5B5926E3-5029-4380-A2F6-5DD46ED2A610}"/>
    <cellStyle name="Normal 2 3 4 17 2" xfId="2691" xr:uid="{3F9C1CE3-A77A-4517-8B47-968756F3AD67}"/>
    <cellStyle name="Normal 2 3 4 17 2 2" xfId="2692" xr:uid="{78441FC1-3C1B-4217-938A-9925AD5C8C80}"/>
    <cellStyle name="Normal 2 3 4 17 2 2 2" xfId="11537" xr:uid="{7C9DE38B-19A9-4B55-A47E-5713D729A0EB}"/>
    <cellStyle name="Normal 2 3 4 17 2 3" xfId="2693" xr:uid="{A62E1FE2-20D5-452A-8172-A7A9966E3901}"/>
    <cellStyle name="Normal 2 3 4 17 2 3 2" xfId="11538" xr:uid="{9739EE89-160B-4875-BD8B-E726D9543AC6}"/>
    <cellStyle name="Normal 2 3 4 17 2 4" xfId="11536" xr:uid="{BF8F72C8-907B-4C28-A0FA-F0AA1C33B8C5}"/>
    <cellStyle name="Normal 2 3 4 17 3" xfId="2694" xr:uid="{D1A160D8-A4DA-412C-8B7F-67A876E25E2F}"/>
    <cellStyle name="Normal 2 3 4 17 3 2" xfId="11539" xr:uid="{66F51E9D-747D-4F39-A3E3-20D3FEB7587C}"/>
    <cellStyle name="Normal 2 3 4 17 4" xfId="2695" xr:uid="{F4D5D886-77A4-4683-BDD1-ADF4E799D94A}"/>
    <cellStyle name="Normal 2 3 4 17 4 2" xfId="11540" xr:uid="{C97EDE1B-E6FE-4F73-A637-4858A8E5CCE8}"/>
    <cellStyle name="Normal 2 3 4 17 5" xfId="11535" xr:uid="{CD4D61A6-A514-456A-9BE9-429E002D1EDF}"/>
    <cellStyle name="Normal 2 3 4 18" xfId="2696" xr:uid="{8662B10B-DB61-48A9-B3F4-E533085CB833}"/>
    <cellStyle name="Normal 2 3 4 18 2" xfId="2697" xr:uid="{4F320C69-948C-4647-8015-BB3328CBC013}"/>
    <cellStyle name="Normal 2 3 4 18 2 2" xfId="2698" xr:uid="{4D512FD2-627D-412B-BF55-F71DC9E2B67B}"/>
    <cellStyle name="Normal 2 3 4 18 2 2 2" xfId="11543" xr:uid="{A47951E3-E12F-4231-8F1E-8D0760CD80FD}"/>
    <cellStyle name="Normal 2 3 4 18 2 3" xfId="2699" xr:uid="{F29233C7-E1EC-40EE-B82E-53340DE81C97}"/>
    <cellStyle name="Normal 2 3 4 18 2 3 2" xfId="11544" xr:uid="{7E103C1A-5607-48CF-B6C7-3007BB9518C5}"/>
    <cellStyle name="Normal 2 3 4 18 2 4" xfId="11542" xr:uid="{25A74CFF-8C4F-4626-977F-3A946DAE717F}"/>
    <cellStyle name="Normal 2 3 4 18 3" xfId="2700" xr:uid="{90609C06-B9FA-4844-98D6-4A7264243B69}"/>
    <cellStyle name="Normal 2 3 4 18 3 2" xfId="11545" xr:uid="{36D0692A-59C9-44E3-BD10-895A3052E385}"/>
    <cellStyle name="Normal 2 3 4 18 4" xfId="2701" xr:uid="{57DA2FD5-4D43-4211-9544-D3AFC214880F}"/>
    <cellStyle name="Normal 2 3 4 18 4 2" xfId="11546" xr:uid="{E171E275-B40D-4A41-84E7-59A780D86356}"/>
    <cellStyle name="Normal 2 3 4 18 5" xfId="11541" xr:uid="{3843B8DF-2022-4C61-9B5B-600188A40551}"/>
    <cellStyle name="Normal 2 3 4 19" xfId="2702" xr:uid="{E227460F-4DEB-4918-A383-8C153031EB46}"/>
    <cellStyle name="Normal 2 3 4 19 2" xfId="2703" xr:uid="{DFB1D55C-11F7-466F-985D-AD80D0D4A531}"/>
    <cellStyle name="Normal 2 3 4 19 2 2" xfId="2704" xr:uid="{6D466A5F-2139-4279-8319-4B89E74F3AD7}"/>
    <cellStyle name="Normal 2 3 4 19 2 2 2" xfId="11549" xr:uid="{2CFAF29F-247A-49DA-8EFB-3B77BAC61D86}"/>
    <cellStyle name="Normal 2 3 4 19 2 3" xfId="2705" xr:uid="{00093029-0448-4DB3-9B9A-066CC16955CE}"/>
    <cellStyle name="Normal 2 3 4 19 2 3 2" xfId="11550" xr:uid="{B84FF9CE-5118-4B7C-8ED8-4D84736C2CCF}"/>
    <cellStyle name="Normal 2 3 4 19 2 4" xfId="11548" xr:uid="{C434FDAB-0C70-4623-B9B2-CB15D0E2BBA8}"/>
    <cellStyle name="Normal 2 3 4 19 3" xfId="2706" xr:uid="{EE254EF3-E2B6-41AF-9ECC-23B966B67157}"/>
    <cellStyle name="Normal 2 3 4 19 3 2" xfId="11551" xr:uid="{E72972C3-C2E7-412C-9107-580AA290CD9B}"/>
    <cellStyle name="Normal 2 3 4 19 4" xfId="2707" xr:uid="{93B948AC-C12C-4276-83A5-2CCDB0860A0F}"/>
    <cellStyle name="Normal 2 3 4 19 4 2" xfId="11552" xr:uid="{84B47C67-E1AC-4937-AB84-072DCC6FCDBB}"/>
    <cellStyle name="Normal 2 3 4 19 5" xfId="11547" xr:uid="{5159D309-3CA6-4830-8821-54F195541A13}"/>
    <cellStyle name="Normal 2 3 4 2" xfId="2708" xr:uid="{02DD5CBF-9C79-470F-8F12-ED4197C36448}"/>
    <cellStyle name="Normal 2 3 4 2 2" xfId="2709" xr:uid="{8853D9D2-3EC8-429E-B0F7-5753C4CAEA0F}"/>
    <cellStyle name="Normal 2 3 4 2 2 2" xfId="2710" xr:uid="{8818486C-BF22-44AC-AEAF-81B2733CECE6}"/>
    <cellStyle name="Normal 2 3 4 2 2 2 2" xfId="11555" xr:uid="{F7B970AA-6466-4F18-B763-2244BC1AAE41}"/>
    <cellStyle name="Normal 2 3 4 2 2 3" xfId="2711" xr:uid="{DA1F153A-9CBC-4CF8-9B8C-6D82D22A4F6A}"/>
    <cellStyle name="Normal 2 3 4 2 2 3 2" xfId="11556" xr:uid="{39FDF537-E28B-4510-8208-398B1CF1EA49}"/>
    <cellStyle name="Normal 2 3 4 2 2 4" xfId="11554" xr:uid="{B34D4739-18C5-437C-9E47-B7DC8A209CC8}"/>
    <cellStyle name="Normal 2 3 4 2 3" xfId="2712" xr:uid="{BEF48B23-3149-44C6-B1E3-2D997CB86F47}"/>
    <cellStyle name="Normal 2 3 4 2 3 2" xfId="11557" xr:uid="{A87AB355-C6C0-4F11-8C08-5AEC2A95FAE0}"/>
    <cellStyle name="Normal 2 3 4 2 4" xfId="2713" xr:uid="{DC78D501-9152-4676-BD52-25DD9DBDA9B1}"/>
    <cellStyle name="Normal 2 3 4 2 4 2" xfId="11558" xr:uid="{F2829998-CB3A-4DE6-8139-2E9877FAEB7A}"/>
    <cellStyle name="Normal 2 3 4 2 5" xfId="11553" xr:uid="{AC1908FA-E71F-4423-BE10-C7829D3EA096}"/>
    <cellStyle name="Normal 2 3 4 20" xfId="2714" xr:uid="{57F45B75-88CA-4340-870D-6272A5CA3928}"/>
    <cellStyle name="Normal 2 3 4 20 2" xfId="2715" xr:uid="{294E8FCF-F6D0-4A6E-AD5B-A1637F9BAEFC}"/>
    <cellStyle name="Normal 2 3 4 20 2 2" xfId="2716" xr:uid="{0E01CAF5-9C50-4D46-8D6E-2064652987CD}"/>
    <cellStyle name="Normal 2 3 4 20 2 2 2" xfId="11561" xr:uid="{8200BC93-6C04-4473-ADB3-769D4E27573C}"/>
    <cellStyle name="Normal 2 3 4 20 2 3" xfId="2717" xr:uid="{1E473993-A6ED-4201-A7C3-9EB05AF66DFF}"/>
    <cellStyle name="Normal 2 3 4 20 2 3 2" xfId="11562" xr:uid="{46ECA02D-2628-49D1-A616-99D50E917BB4}"/>
    <cellStyle name="Normal 2 3 4 20 2 4" xfId="11560" xr:uid="{5A87CA21-9595-42F3-8D87-5DC5E66A6904}"/>
    <cellStyle name="Normal 2 3 4 20 3" xfId="2718" xr:uid="{D6D83343-5B0C-463E-8E97-AA4564281A14}"/>
    <cellStyle name="Normal 2 3 4 20 3 2" xfId="11563" xr:uid="{EEABD461-DB24-475D-8D41-D40831469EE6}"/>
    <cellStyle name="Normal 2 3 4 20 4" xfId="2719" xr:uid="{9C2DD984-0DCC-4EFC-9F72-A147EA540B24}"/>
    <cellStyle name="Normal 2 3 4 20 4 2" xfId="11564" xr:uid="{3DE7B86C-1783-441B-BCEC-C1B4363EAB8F}"/>
    <cellStyle name="Normal 2 3 4 20 5" xfId="11559" xr:uid="{64E0CF0C-96F2-47DC-99E2-F208853D3141}"/>
    <cellStyle name="Normal 2 3 4 21" xfId="2720" xr:uid="{0A840010-FC40-4F42-8343-F6875439E34D}"/>
    <cellStyle name="Normal 2 3 4 21 2" xfId="2721" xr:uid="{05583C78-4BC9-4E50-855F-E9403F61A332}"/>
    <cellStyle name="Normal 2 3 4 21 2 2" xfId="2722" xr:uid="{1A474FDD-7678-4E95-B727-984192540820}"/>
    <cellStyle name="Normal 2 3 4 21 2 2 2" xfId="11567" xr:uid="{376980FF-A03B-4F3A-BCB4-D14D2E38F46A}"/>
    <cellStyle name="Normal 2 3 4 21 2 3" xfId="2723" xr:uid="{4CA3F337-48DC-4E5B-8F8A-E5271295F617}"/>
    <cellStyle name="Normal 2 3 4 21 2 3 2" xfId="11568" xr:uid="{5B02E243-88A4-401D-A0AE-E8815C487561}"/>
    <cellStyle name="Normal 2 3 4 21 2 4" xfId="11566" xr:uid="{89448227-18BC-4505-9C51-4C2BA005E87B}"/>
    <cellStyle name="Normal 2 3 4 21 3" xfId="2724" xr:uid="{8931E051-D369-4840-B718-47F099D26F82}"/>
    <cellStyle name="Normal 2 3 4 21 3 2" xfId="11569" xr:uid="{457991CE-2A87-4FC0-81A6-420097DA430E}"/>
    <cellStyle name="Normal 2 3 4 21 4" xfId="2725" xr:uid="{BE5BECCF-A3BC-4729-9D6D-1AF1D46212AD}"/>
    <cellStyle name="Normal 2 3 4 21 4 2" xfId="11570" xr:uid="{B330C8AF-0A4B-4A12-B719-0C29AAD09F2C}"/>
    <cellStyle name="Normal 2 3 4 21 5" xfId="11565" xr:uid="{759C0B26-DF0D-4792-B36A-FF2ADD228377}"/>
    <cellStyle name="Normal 2 3 4 22" xfId="2726" xr:uid="{169D6B44-A196-4DCE-8957-88BA0E3D5EBD}"/>
    <cellStyle name="Normal 2 3 4 22 2" xfId="2727" xr:uid="{7BABBCAF-0BDA-4567-8711-421A076F390E}"/>
    <cellStyle name="Normal 2 3 4 22 2 2" xfId="2728" xr:uid="{BBBB9E41-B52C-4151-A820-D9C49036A600}"/>
    <cellStyle name="Normal 2 3 4 22 2 2 2" xfId="11573" xr:uid="{3DF7943C-D598-4A09-9998-D82D4576663F}"/>
    <cellStyle name="Normal 2 3 4 22 2 3" xfId="2729" xr:uid="{840D4482-6945-41BE-A3CF-D0851C03E4D4}"/>
    <cellStyle name="Normal 2 3 4 22 2 3 2" xfId="11574" xr:uid="{FEF5255B-3A53-4525-9B21-CD164132685A}"/>
    <cellStyle name="Normal 2 3 4 22 2 4" xfId="11572" xr:uid="{4A9AE6C3-04C2-4920-8023-0B68828437E9}"/>
    <cellStyle name="Normal 2 3 4 22 3" xfId="2730" xr:uid="{259CE1CD-3DC2-4893-ABB3-D4F6A07338B6}"/>
    <cellStyle name="Normal 2 3 4 22 3 2" xfId="11575" xr:uid="{6B420637-C89F-46E3-A1AE-0B6B9BBA05A8}"/>
    <cellStyle name="Normal 2 3 4 22 4" xfId="2731" xr:uid="{29992AAB-5E41-4D0A-AC8D-CD6B431BAC8C}"/>
    <cellStyle name="Normal 2 3 4 22 4 2" xfId="11576" xr:uid="{AECF4FE1-FA98-4F91-9E0C-F5D2F8E7B8F1}"/>
    <cellStyle name="Normal 2 3 4 22 5" xfId="11571" xr:uid="{42A82388-2179-40FF-9C4A-5A8D19E9A424}"/>
    <cellStyle name="Normal 2 3 4 23" xfId="2732" xr:uid="{A8FE5DD4-BA39-4D10-944E-BD41A0BCBF57}"/>
    <cellStyle name="Normal 2 3 4 23 2" xfId="2733" xr:uid="{6F4E67AE-9102-4ED5-8BB6-FB1B28067231}"/>
    <cellStyle name="Normal 2 3 4 23 2 2" xfId="2734" xr:uid="{9D281237-B573-42B8-9732-5D15E63DB718}"/>
    <cellStyle name="Normal 2 3 4 23 2 2 2" xfId="11579" xr:uid="{0A624F04-690D-4166-849F-AF6CDB0839B4}"/>
    <cellStyle name="Normal 2 3 4 23 2 3" xfId="2735" xr:uid="{0DB1B45C-5B6C-41D5-815D-1F7CCF48D23D}"/>
    <cellStyle name="Normal 2 3 4 23 2 3 2" xfId="11580" xr:uid="{C12EEAD8-40ED-40F3-B36F-D4A12C88CE46}"/>
    <cellStyle name="Normal 2 3 4 23 2 4" xfId="11578" xr:uid="{007F97A5-AFC3-46A0-8E03-3226C270BC2C}"/>
    <cellStyle name="Normal 2 3 4 23 3" xfId="2736" xr:uid="{EF4116C9-CAF1-4833-B977-35E3AC2B70A3}"/>
    <cellStyle name="Normal 2 3 4 23 3 2" xfId="11581" xr:uid="{E090E448-BFFB-4BCA-ADC5-4B85BBD1D417}"/>
    <cellStyle name="Normal 2 3 4 23 4" xfId="2737" xr:uid="{FC39D984-2CBF-4390-AADA-2ACDC1B4AEDD}"/>
    <cellStyle name="Normal 2 3 4 23 4 2" xfId="11582" xr:uid="{880C12C0-5468-4D2F-A567-8E26E4FA605D}"/>
    <cellStyle name="Normal 2 3 4 23 5" xfId="11577" xr:uid="{AFA12273-2269-4ECC-B5E3-611336170B29}"/>
    <cellStyle name="Normal 2 3 4 24" xfId="2738" xr:uid="{E9A5B28F-0FD2-482F-8D94-A380614DF081}"/>
    <cellStyle name="Normal 2 3 4 24 2" xfId="2739" xr:uid="{D3857054-7879-4F0C-A152-FAF8DF38A5C6}"/>
    <cellStyle name="Normal 2 3 4 24 2 2" xfId="2740" xr:uid="{14E1916C-A5BC-4F89-9A19-D296EC7FD357}"/>
    <cellStyle name="Normal 2 3 4 24 2 2 2" xfId="11585" xr:uid="{1DEE9C9B-D4CB-4DAB-81E6-059CCD74744C}"/>
    <cellStyle name="Normal 2 3 4 24 2 3" xfId="2741" xr:uid="{04BCBA62-DF73-448C-9F84-ADF2475423C1}"/>
    <cellStyle name="Normal 2 3 4 24 2 3 2" xfId="11586" xr:uid="{E54E01EE-155C-47D4-AC84-D858CEABFD46}"/>
    <cellStyle name="Normal 2 3 4 24 2 4" xfId="11584" xr:uid="{993EA389-6E96-45EE-898E-9CDD1E25E443}"/>
    <cellStyle name="Normal 2 3 4 24 3" xfId="2742" xr:uid="{92108B66-2604-46E7-93C7-6D116A323488}"/>
    <cellStyle name="Normal 2 3 4 24 3 2" xfId="11587" xr:uid="{8DB70E8A-2A58-4420-80C2-4F29C0FF64B6}"/>
    <cellStyle name="Normal 2 3 4 24 4" xfId="2743" xr:uid="{5438301B-3040-4D9F-A886-FBB3412E74CA}"/>
    <cellStyle name="Normal 2 3 4 24 4 2" xfId="11588" xr:uid="{E70A7757-B76C-4643-BD72-60DA2AF22610}"/>
    <cellStyle name="Normal 2 3 4 24 5" xfId="11583" xr:uid="{BA1E5FD5-9A86-420E-8F7A-096D04A06682}"/>
    <cellStyle name="Normal 2 3 4 25" xfId="2744" xr:uid="{8C7ECE6C-EA9D-453E-9B18-3258F6AD454D}"/>
    <cellStyle name="Normal 2 3 4 25 2" xfId="2745" xr:uid="{904B3251-D01E-422C-A4D9-92BEB9863269}"/>
    <cellStyle name="Normal 2 3 4 25 2 2" xfId="2746" xr:uid="{42CD73D6-C918-4CE1-AFC8-F2FFBADFBE2F}"/>
    <cellStyle name="Normal 2 3 4 25 2 2 2" xfId="11591" xr:uid="{7268C58A-071E-4E98-973A-7CED555D76BD}"/>
    <cellStyle name="Normal 2 3 4 25 2 3" xfId="2747" xr:uid="{770E6AFB-7A57-4A3F-BF7F-47C52FB01A21}"/>
    <cellStyle name="Normal 2 3 4 25 2 3 2" xfId="11592" xr:uid="{29ACA35F-A806-417E-9F3C-FBE89BF42B6F}"/>
    <cellStyle name="Normal 2 3 4 25 2 4" xfId="11590" xr:uid="{16389C1B-F227-48E4-9C66-0051400D7AE8}"/>
    <cellStyle name="Normal 2 3 4 25 3" xfId="2748" xr:uid="{E1A074DD-40BC-4DA4-8139-ADB2DDB825B5}"/>
    <cellStyle name="Normal 2 3 4 25 3 2" xfId="11593" xr:uid="{547D3D40-701B-4B82-B450-50F142EC6FC8}"/>
    <cellStyle name="Normal 2 3 4 25 4" xfId="2749" xr:uid="{795A0482-2FF0-47DD-9029-317D1410BCDC}"/>
    <cellStyle name="Normal 2 3 4 25 4 2" xfId="11594" xr:uid="{29DA0A62-64B4-4123-871E-CE700BA2460C}"/>
    <cellStyle name="Normal 2 3 4 25 5" xfId="11589" xr:uid="{8C39DFAC-8C2E-4566-A2BA-41CA5A22989C}"/>
    <cellStyle name="Normal 2 3 4 26" xfId="2750" xr:uid="{09BB3440-EEB9-48B0-B3B8-0FF9CB1A3AFA}"/>
    <cellStyle name="Normal 2 3 4 26 2" xfId="2751" xr:uid="{8DB0E0A8-A96B-4852-8FE4-F3BE5C9C0188}"/>
    <cellStyle name="Normal 2 3 4 26 2 2" xfId="2752" xr:uid="{2D196324-E510-4D9B-9745-1F8D6189C2EA}"/>
    <cellStyle name="Normal 2 3 4 26 2 2 2" xfId="11597" xr:uid="{0E936645-B46A-42D7-B520-03B23C963810}"/>
    <cellStyle name="Normal 2 3 4 26 2 3" xfId="2753" xr:uid="{730EF174-4932-41F8-9786-DFF64AE03006}"/>
    <cellStyle name="Normal 2 3 4 26 2 3 2" xfId="11598" xr:uid="{A081F972-C365-465C-AEC5-4CEEA35D4FF4}"/>
    <cellStyle name="Normal 2 3 4 26 2 4" xfId="11596" xr:uid="{9365E4E9-9547-490A-94EF-44FE37614C43}"/>
    <cellStyle name="Normal 2 3 4 26 3" xfId="2754" xr:uid="{8D354108-E1AE-4E42-AEE3-FA0908845218}"/>
    <cellStyle name="Normal 2 3 4 26 3 2" xfId="11599" xr:uid="{5996D021-2A94-4D3A-BF36-1DB154707B7B}"/>
    <cellStyle name="Normal 2 3 4 26 4" xfId="2755" xr:uid="{68AC84C5-53AD-4166-8E8B-2F8D6192D697}"/>
    <cellStyle name="Normal 2 3 4 26 4 2" xfId="11600" xr:uid="{1C8279E9-CB4A-4420-94F2-7D5620B6781F}"/>
    <cellStyle name="Normal 2 3 4 26 5" xfId="11595" xr:uid="{4BF34030-C666-4246-82A8-CC00DECC353A}"/>
    <cellStyle name="Normal 2 3 4 27" xfId="2756" xr:uid="{C36C47FD-366E-46FA-95CF-90922AE01FDA}"/>
    <cellStyle name="Normal 2 3 4 27 2" xfId="2757" xr:uid="{9B6FBAB4-401F-4698-91DC-6925932BABCB}"/>
    <cellStyle name="Normal 2 3 4 27 2 2" xfId="2758" xr:uid="{4C6AB177-E19B-404F-BCE3-9391344C36EC}"/>
    <cellStyle name="Normal 2 3 4 27 2 2 2" xfId="11603" xr:uid="{304ABEA5-7098-42B0-84F5-57F4FD3417C6}"/>
    <cellStyle name="Normal 2 3 4 27 2 3" xfId="2759" xr:uid="{D5061CB2-1D38-4623-B35E-EFD0B712DF0F}"/>
    <cellStyle name="Normal 2 3 4 27 2 3 2" xfId="11604" xr:uid="{448CDB42-61C8-4BB7-89AF-B7B01A2527F9}"/>
    <cellStyle name="Normal 2 3 4 27 2 4" xfId="11602" xr:uid="{5978C083-7042-40E3-B5A1-8C5C92313E20}"/>
    <cellStyle name="Normal 2 3 4 27 3" xfId="2760" xr:uid="{BA8C8691-5C76-46A4-9052-FC7001778E48}"/>
    <cellStyle name="Normal 2 3 4 27 3 2" xfId="11605" xr:uid="{02637B1C-BFCB-4258-8DCE-84679C0ABB7F}"/>
    <cellStyle name="Normal 2 3 4 27 4" xfId="2761" xr:uid="{D5DC37C0-84C4-40B4-AC14-62A55E927077}"/>
    <cellStyle name="Normal 2 3 4 27 4 2" xfId="11606" xr:uid="{D41C51BF-AB4F-40D3-AC4A-E926C65915B2}"/>
    <cellStyle name="Normal 2 3 4 27 5" xfId="11601" xr:uid="{7B4B48F7-0EE1-46A5-9453-02BDD45B22E7}"/>
    <cellStyle name="Normal 2 3 4 28" xfId="2762" xr:uid="{1C137249-B0A9-4C2F-AA62-2A497F6B51FE}"/>
    <cellStyle name="Normal 2 3 4 28 2" xfId="2763" xr:uid="{7B3D464B-1A90-426F-B38B-0358AEB0A04E}"/>
    <cellStyle name="Normal 2 3 4 28 2 2" xfId="2764" xr:uid="{7F3EDCE2-5A65-4640-8918-D8FAA2B48327}"/>
    <cellStyle name="Normal 2 3 4 28 2 2 2" xfId="11609" xr:uid="{3E37F4D8-4CAA-4795-AB60-28317D7ACE7E}"/>
    <cellStyle name="Normal 2 3 4 28 2 3" xfId="2765" xr:uid="{17F61F6F-9410-4102-B792-AB590BBAFF5D}"/>
    <cellStyle name="Normal 2 3 4 28 2 3 2" xfId="11610" xr:uid="{C160858B-D3CB-4148-B696-39A136008008}"/>
    <cellStyle name="Normal 2 3 4 28 2 4" xfId="11608" xr:uid="{4D14019F-D046-488B-8E1E-6C4A10F5BD60}"/>
    <cellStyle name="Normal 2 3 4 28 3" xfId="2766" xr:uid="{1B6FD7ED-0E12-48FB-8B9A-30621CE3D449}"/>
    <cellStyle name="Normal 2 3 4 28 3 2" xfId="11611" xr:uid="{4231F934-D695-46C5-A1FA-DA06A1911705}"/>
    <cellStyle name="Normal 2 3 4 28 4" xfId="2767" xr:uid="{DFEE32AF-EF33-435E-87A2-CD8291A90FAC}"/>
    <cellStyle name="Normal 2 3 4 28 4 2" xfId="11612" xr:uid="{99480AEA-B497-469E-9761-79415628817C}"/>
    <cellStyle name="Normal 2 3 4 28 5" xfId="11607" xr:uid="{5E2263CA-ABE8-4DD0-842D-22E5C82F0516}"/>
    <cellStyle name="Normal 2 3 4 29" xfId="2768" xr:uid="{16101F24-5442-4F2B-8881-0BC4956968B5}"/>
    <cellStyle name="Normal 2 3 4 29 2" xfId="2769" xr:uid="{4F759BA5-980F-47E9-A24B-2D98E50308C8}"/>
    <cellStyle name="Normal 2 3 4 29 2 2" xfId="2770" xr:uid="{FFA8CC13-9247-4BA4-9F50-FC39329FCF38}"/>
    <cellStyle name="Normal 2 3 4 29 2 2 2" xfId="11615" xr:uid="{A8CEE1EA-D5E5-4A80-85BD-B5CF570D819A}"/>
    <cellStyle name="Normal 2 3 4 29 2 3" xfId="2771" xr:uid="{DE0B4101-2083-4AB4-A549-36DF5284DB32}"/>
    <cellStyle name="Normal 2 3 4 29 2 3 2" xfId="11616" xr:uid="{E866873E-3520-4204-B46C-C3EFD608771D}"/>
    <cellStyle name="Normal 2 3 4 29 2 4" xfId="11614" xr:uid="{A45B4CAA-8486-4B0C-8FDF-A7DA210BA5CE}"/>
    <cellStyle name="Normal 2 3 4 29 3" xfId="2772" xr:uid="{226972A0-AE19-49A8-8C4A-F8FA2B8091DD}"/>
    <cellStyle name="Normal 2 3 4 29 3 2" xfId="11617" xr:uid="{425E08CB-11CF-471A-9BD4-4E766E675209}"/>
    <cellStyle name="Normal 2 3 4 29 4" xfId="2773" xr:uid="{8B22547C-089C-4427-8454-0C6FB88BD390}"/>
    <cellStyle name="Normal 2 3 4 29 4 2" xfId="11618" xr:uid="{25AA6D65-1D23-4C22-9E75-C22D30304BBA}"/>
    <cellStyle name="Normal 2 3 4 29 5" xfId="11613" xr:uid="{BA569946-3B58-4ACA-862E-C69FC12A8858}"/>
    <cellStyle name="Normal 2 3 4 3" xfId="2774" xr:uid="{E317E662-3786-4862-BD03-7E6652A0F062}"/>
    <cellStyle name="Normal 2 3 4 3 2" xfId="2775" xr:uid="{6FA5FE8E-1382-4723-BB1D-6524B5B2EFF0}"/>
    <cellStyle name="Normal 2 3 4 3 2 2" xfId="2776" xr:uid="{913EEEE3-9CAF-4E96-9737-5C8097C8E1FC}"/>
    <cellStyle name="Normal 2 3 4 3 2 2 2" xfId="11621" xr:uid="{11D5DA53-608E-4A6F-80BD-3982475EB484}"/>
    <cellStyle name="Normal 2 3 4 3 2 3" xfId="2777" xr:uid="{0747D9F5-FF84-4013-BC1A-A1291E1D2E21}"/>
    <cellStyle name="Normal 2 3 4 3 2 3 2" xfId="11622" xr:uid="{96BAEFEA-DAB4-437C-9D46-ADD5A38D98AD}"/>
    <cellStyle name="Normal 2 3 4 3 2 4" xfId="11620" xr:uid="{F65684BD-AF8A-4F01-AC62-5A568ED3AD05}"/>
    <cellStyle name="Normal 2 3 4 3 3" xfId="2778" xr:uid="{6CE7006D-1CD3-4B6E-BB4C-881805960248}"/>
    <cellStyle name="Normal 2 3 4 3 3 2" xfId="11623" xr:uid="{DA2279A0-6B7D-4593-A544-D1C31423BF84}"/>
    <cellStyle name="Normal 2 3 4 3 4" xfId="2779" xr:uid="{4B68AE97-9B21-47AC-9B32-60BF057FAEE5}"/>
    <cellStyle name="Normal 2 3 4 3 4 2" xfId="11624" xr:uid="{2FA11256-9CFE-4229-9D39-4A9B34732ACC}"/>
    <cellStyle name="Normal 2 3 4 3 5" xfId="11619" xr:uid="{4F6D0CFF-825E-4EAA-B9A3-BCC214BB5BDC}"/>
    <cellStyle name="Normal 2 3 4 30" xfId="2780" xr:uid="{D4E94F68-00E7-48E2-A427-8F8A9E89DB4B}"/>
    <cellStyle name="Normal 2 3 4 30 2" xfId="2781" xr:uid="{08709FB8-3DB5-4EAA-B4E5-76B0AFAC940F}"/>
    <cellStyle name="Normal 2 3 4 30 2 2" xfId="2782" xr:uid="{2B10515A-5087-4453-8E2F-5BF8D04E4320}"/>
    <cellStyle name="Normal 2 3 4 30 2 2 2" xfId="11627" xr:uid="{BC41284D-23F3-447D-8F98-0F10F5F8E108}"/>
    <cellStyle name="Normal 2 3 4 30 2 3" xfId="2783" xr:uid="{0A82C118-7A1C-442F-B825-9CEFBB7F4439}"/>
    <cellStyle name="Normal 2 3 4 30 2 3 2" xfId="11628" xr:uid="{93B50A91-3150-4DEA-980A-9F24EB1B2608}"/>
    <cellStyle name="Normal 2 3 4 30 2 4" xfId="11626" xr:uid="{76559A7D-8C15-4AA8-909F-B777D53B3AFE}"/>
    <cellStyle name="Normal 2 3 4 30 3" xfId="2784" xr:uid="{B2C33518-E411-495B-A3A6-C6F986AE95B0}"/>
    <cellStyle name="Normal 2 3 4 30 3 2" xfId="11629" xr:uid="{08E55F49-519B-4A80-9BAB-F76510179B44}"/>
    <cellStyle name="Normal 2 3 4 30 4" xfId="2785" xr:uid="{2E908F2B-535E-4473-90A9-B5D046A16AD7}"/>
    <cellStyle name="Normal 2 3 4 30 4 2" xfId="11630" xr:uid="{217C03CE-8B2E-4F58-87A6-A8991358D274}"/>
    <cellStyle name="Normal 2 3 4 30 5" xfId="11625" xr:uid="{F6969EAC-44DA-4003-BFB2-FEC1AC8E2B2B}"/>
    <cellStyle name="Normal 2 3 4 31" xfId="2786" xr:uid="{2EBF5AAA-7931-43FA-BC54-354F07517FCF}"/>
    <cellStyle name="Normal 2 3 4 31 2" xfId="2787" xr:uid="{C6B6814C-2D1B-4CF5-8FFD-1E3FF6C50524}"/>
    <cellStyle name="Normal 2 3 4 31 2 2" xfId="2788" xr:uid="{73D61B18-9F3C-4235-9923-FA216A40E727}"/>
    <cellStyle name="Normal 2 3 4 31 2 2 2" xfId="11633" xr:uid="{CC9979DC-D0EB-4A39-8A09-42F37F96E2AC}"/>
    <cellStyle name="Normal 2 3 4 31 2 3" xfId="2789" xr:uid="{4DB36E73-36B0-4478-9E63-61552DA36C2A}"/>
    <cellStyle name="Normal 2 3 4 31 2 3 2" xfId="11634" xr:uid="{468A5C26-E5C7-47FD-A449-1FDAD7D7D44B}"/>
    <cellStyle name="Normal 2 3 4 31 2 4" xfId="11632" xr:uid="{61D6F343-5AE9-4F1F-B636-718BA85826D0}"/>
    <cellStyle name="Normal 2 3 4 31 3" xfId="2790" xr:uid="{872EC3ED-71E0-4352-A7A8-3DEAC68AC55E}"/>
    <cellStyle name="Normal 2 3 4 31 3 2" xfId="11635" xr:uid="{54453758-CF13-4591-BE0F-122F30D0BB43}"/>
    <cellStyle name="Normal 2 3 4 31 4" xfId="2791" xr:uid="{592A5CE8-F546-4B21-A0BD-A0B8A264767D}"/>
    <cellStyle name="Normal 2 3 4 31 4 2" xfId="11636" xr:uid="{03D62BDC-2C96-4B32-B4D6-4234747D3760}"/>
    <cellStyle name="Normal 2 3 4 31 5" xfId="11631" xr:uid="{20F08C73-F0AA-4568-80C9-CD80ECE5AF2E}"/>
    <cellStyle name="Normal 2 3 4 32" xfId="2792" xr:uid="{A304B596-B2EE-40A0-97AC-21ED28D9D6C6}"/>
    <cellStyle name="Normal 2 3 4 32 2" xfId="2793" xr:uid="{B632AF90-A52C-4449-AF1C-94DFD694F7AC}"/>
    <cellStyle name="Normal 2 3 4 32 2 2" xfId="2794" xr:uid="{95A09879-B0D8-47FB-893A-52BE44FC2562}"/>
    <cellStyle name="Normal 2 3 4 32 2 2 2" xfId="11639" xr:uid="{33F9804C-A63C-4282-99B2-2F3F9D514715}"/>
    <cellStyle name="Normal 2 3 4 32 2 3" xfId="2795" xr:uid="{18758034-85F6-400D-BDB2-547099C02E61}"/>
    <cellStyle name="Normal 2 3 4 32 2 3 2" xfId="11640" xr:uid="{332CAD70-5978-46DB-A011-1E523226E5AB}"/>
    <cellStyle name="Normal 2 3 4 32 2 4" xfId="11638" xr:uid="{C3550854-24EB-4576-B27E-DD800D53C077}"/>
    <cellStyle name="Normal 2 3 4 32 3" xfId="2796" xr:uid="{296D8D8C-7589-498D-B817-70E8F29A3864}"/>
    <cellStyle name="Normal 2 3 4 32 3 2" xfId="11641" xr:uid="{D3001F04-6B12-45EE-B4AE-48A82577E8D4}"/>
    <cellStyle name="Normal 2 3 4 32 4" xfId="2797" xr:uid="{C8AD275C-3D61-48C2-BBFF-26FE41F4631E}"/>
    <cellStyle name="Normal 2 3 4 32 4 2" xfId="11642" xr:uid="{64EB2269-490D-48AF-AB94-51391FB3E9E9}"/>
    <cellStyle name="Normal 2 3 4 32 5" xfId="11637" xr:uid="{3F97DB9C-A037-463A-9E4E-3DE7FAA0EDC9}"/>
    <cellStyle name="Normal 2 3 4 33" xfId="2798" xr:uid="{CBA49C28-A42D-4A59-9C86-C4C936852DFD}"/>
    <cellStyle name="Normal 2 3 4 33 2" xfId="2799" xr:uid="{D93D989F-0136-4D66-9C0A-FFF9F6FFE63E}"/>
    <cellStyle name="Normal 2 3 4 33 2 2" xfId="2800" xr:uid="{CC429254-DB0D-4E84-97F6-04FB993A9A98}"/>
    <cellStyle name="Normal 2 3 4 33 2 2 2" xfId="11645" xr:uid="{B751CB7F-9B79-4D83-8416-FECD6448DCC8}"/>
    <cellStyle name="Normal 2 3 4 33 2 3" xfId="2801" xr:uid="{C34CCD01-99C9-49EB-9B52-33BEAA589CF9}"/>
    <cellStyle name="Normal 2 3 4 33 2 3 2" xfId="11646" xr:uid="{6EFF8B08-987F-4C07-8080-5F15B89C9730}"/>
    <cellStyle name="Normal 2 3 4 33 2 4" xfId="11644" xr:uid="{FC8AABD9-83A6-4ECF-AC4A-26C31204A9BC}"/>
    <cellStyle name="Normal 2 3 4 33 3" xfId="2802" xr:uid="{D3E98BAA-107C-45B9-9119-4257DCAD078A}"/>
    <cellStyle name="Normal 2 3 4 33 3 2" xfId="11647" xr:uid="{F2A87EF2-6F71-4F59-B89F-AFC8A9B8CCC2}"/>
    <cellStyle name="Normal 2 3 4 33 4" xfId="2803" xr:uid="{0A2471F1-D8CE-4C3F-9398-BE338725FEF2}"/>
    <cellStyle name="Normal 2 3 4 33 4 2" xfId="11648" xr:uid="{A16D6D8C-3EC8-4AD7-A622-52E6CCD16F91}"/>
    <cellStyle name="Normal 2 3 4 33 5" xfId="11643" xr:uid="{9FDB1F7D-F79E-4DF6-8FE1-292F1B842248}"/>
    <cellStyle name="Normal 2 3 4 34" xfId="2804" xr:uid="{656ED061-DC5D-474A-905F-705E35245878}"/>
    <cellStyle name="Normal 2 3 4 34 2" xfId="2805" xr:uid="{B03625B0-8A01-421F-B2B6-8B120D5264A8}"/>
    <cellStyle name="Normal 2 3 4 34 2 2" xfId="2806" xr:uid="{5071B7BD-3686-491D-817F-2ED668233D72}"/>
    <cellStyle name="Normal 2 3 4 34 2 2 2" xfId="11651" xr:uid="{535D9B6E-0C64-4DBC-B416-45259CCA6C50}"/>
    <cellStyle name="Normal 2 3 4 34 2 3" xfId="2807" xr:uid="{65B9EAE7-6054-40D2-B48C-578B038A4AF3}"/>
    <cellStyle name="Normal 2 3 4 34 2 3 2" xfId="11652" xr:uid="{E0E78739-D418-4580-86C3-0258DE162FD4}"/>
    <cellStyle name="Normal 2 3 4 34 2 4" xfId="11650" xr:uid="{FE3F64F1-CF4B-41DA-8267-CA7494F8E70D}"/>
    <cellStyle name="Normal 2 3 4 34 3" xfId="2808" xr:uid="{A755BB96-5AA8-4C2D-AF85-1048043FFBE3}"/>
    <cellStyle name="Normal 2 3 4 34 3 2" xfId="11653" xr:uid="{F0A878C4-C10E-4010-A24C-C711B90BFB0E}"/>
    <cellStyle name="Normal 2 3 4 34 4" xfId="2809" xr:uid="{32B8C44E-27B1-421A-9F31-619E1BEA2BF9}"/>
    <cellStyle name="Normal 2 3 4 34 4 2" xfId="11654" xr:uid="{1904EB37-F80F-4401-81B4-CC3D40D4C1D2}"/>
    <cellStyle name="Normal 2 3 4 34 5" xfId="11649" xr:uid="{9D75250F-63C1-468A-AC26-59CC2C9F390C}"/>
    <cellStyle name="Normal 2 3 4 35" xfId="2810" xr:uid="{C02E08EE-1CC5-48CC-8C15-23847D363DAE}"/>
    <cellStyle name="Normal 2 3 4 35 2" xfId="2811" xr:uid="{FAA370A6-3241-4F22-B300-0A8BF9D68D48}"/>
    <cellStyle name="Normal 2 3 4 35 2 2" xfId="2812" xr:uid="{4EC7E7FD-8941-4A17-AF1D-E15E1E589794}"/>
    <cellStyle name="Normal 2 3 4 35 2 2 2" xfId="11657" xr:uid="{3EA6B5B7-BBBA-46A0-983B-B5E564A7DBC9}"/>
    <cellStyle name="Normal 2 3 4 35 2 3" xfId="2813" xr:uid="{F2610624-A311-4C32-BA70-4DEA725CF7F5}"/>
    <cellStyle name="Normal 2 3 4 35 2 3 2" xfId="11658" xr:uid="{22AFAC18-5786-4FC4-B3F8-751F9CA51CF8}"/>
    <cellStyle name="Normal 2 3 4 35 2 4" xfId="11656" xr:uid="{6D5B757F-05B8-4AD3-B93C-424C40CD1321}"/>
    <cellStyle name="Normal 2 3 4 35 3" xfId="2814" xr:uid="{667EC22A-BA73-438B-A22B-7EE4CDCF5B53}"/>
    <cellStyle name="Normal 2 3 4 35 3 2" xfId="11659" xr:uid="{0158876F-487B-4CF5-92F7-A54FBFDA6BFD}"/>
    <cellStyle name="Normal 2 3 4 35 4" xfId="2815" xr:uid="{F9538A2F-0062-4206-A442-09B36804204D}"/>
    <cellStyle name="Normal 2 3 4 35 4 2" xfId="11660" xr:uid="{5CCC6863-351F-4C17-9F1D-C78E01C30AF3}"/>
    <cellStyle name="Normal 2 3 4 35 5" xfId="11655" xr:uid="{FF7AC66F-D496-42C0-9AC9-14C425EBE3D2}"/>
    <cellStyle name="Normal 2 3 4 36" xfId="2816" xr:uid="{F13B89B0-5380-4B0B-BB41-ED091B56530F}"/>
    <cellStyle name="Normal 2 3 4 36 2" xfId="2817" xr:uid="{D0D1EB7A-BD5F-47B9-AB32-1830332B067E}"/>
    <cellStyle name="Normal 2 3 4 36 2 2" xfId="2818" xr:uid="{0BBE1DF8-680E-46DF-8E63-9876D2B651A8}"/>
    <cellStyle name="Normal 2 3 4 36 2 2 2" xfId="11663" xr:uid="{BED9FB60-91F0-4021-9B3B-FD5006A377FA}"/>
    <cellStyle name="Normal 2 3 4 36 2 3" xfId="2819" xr:uid="{51BD1526-9FFE-4A7B-9827-EA08BCE47C53}"/>
    <cellStyle name="Normal 2 3 4 36 2 3 2" xfId="11664" xr:uid="{E353D892-D69A-4E75-85B9-C46950A417FF}"/>
    <cellStyle name="Normal 2 3 4 36 2 4" xfId="11662" xr:uid="{8838CAB3-488D-4DE1-BFBE-C3DAF0C40F14}"/>
    <cellStyle name="Normal 2 3 4 36 3" xfId="2820" xr:uid="{E6BC73E9-BAA5-4335-B33A-403F7B793EBF}"/>
    <cellStyle name="Normal 2 3 4 36 3 2" xfId="11665" xr:uid="{FF5C7ED6-DDF4-4D63-96F4-5D10F6164DBD}"/>
    <cellStyle name="Normal 2 3 4 36 4" xfId="2821" xr:uid="{D3CC0B60-E597-4608-91C8-EB8301A1002C}"/>
    <cellStyle name="Normal 2 3 4 36 4 2" xfId="11666" xr:uid="{E24D1CA0-84BD-4D5F-813B-A3530B7310FA}"/>
    <cellStyle name="Normal 2 3 4 36 5" xfId="11661" xr:uid="{3327C554-0B2D-4FE8-81CA-216842089BA9}"/>
    <cellStyle name="Normal 2 3 4 37" xfId="2822" xr:uid="{DD391EDD-B635-421A-98BA-BD2B7B7AAC5F}"/>
    <cellStyle name="Normal 2 3 4 37 2" xfId="2823" xr:uid="{06C5C75B-5445-4112-BB1C-146B3B4DDA76}"/>
    <cellStyle name="Normal 2 3 4 37 2 2" xfId="2824" xr:uid="{CF64E77F-9491-43CD-A52E-9D490162DBB3}"/>
    <cellStyle name="Normal 2 3 4 37 2 2 2" xfId="11669" xr:uid="{BBDC1F27-276E-4BC6-B383-86DF7BBEA523}"/>
    <cellStyle name="Normal 2 3 4 37 2 3" xfId="2825" xr:uid="{B8BAECDF-88D9-4120-9775-834D14A8D239}"/>
    <cellStyle name="Normal 2 3 4 37 2 3 2" xfId="11670" xr:uid="{66B8F353-9E9D-4E9E-A595-7B738A952D16}"/>
    <cellStyle name="Normal 2 3 4 37 2 4" xfId="11668" xr:uid="{CCCD92D1-1161-4A36-A3E1-D9234EFBE9A5}"/>
    <cellStyle name="Normal 2 3 4 37 3" xfId="2826" xr:uid="{799703A4-9DA3-456F-8B12-6511D7CC1C54}"/>
    <cellStyle name="Normal 2 3 4 37 3 2" xfId="11671" xr:uid="{E41F6111-DA3E-4C07-A4F4-584259C7C44D}"/>
    <cellStyle name="Normal 2 3 4 37 4" xfId="2827" xr:uid="{6C6EF53C-6D00-4321-9157-9A70F5B58CBC}"/>
    <cellStyle name="Normal 2 3 4 37 4 2" xfId="11672" xr:uid="{423BD733-EC3C-4CCB-9B4F-2B9AB96913EA}"/>
    <cellStyle name="Normal 2 3 4 37 5" xfId="11667" xr:uid="{33C83F27-C874-469E-AE4A-C7B239EFD399}"/>
    <cellStyle name="Normal 2 3 4 38" xfId="2828" xr:uid="{ABB3C73A-7B51-4E4E-888E-04F0D68CF246}"/>
    <cellStyle name="Normal 2 3 4 38 2" xfId="2829" xr:uid="{ADB0571D-EFB3-49AA-BC91-64DD719FD629}"/>
    <cellStyle name="Normal 2 3 4 38 2 2" xfId="2830" xr:uid="{86D065C1-18C4-4F1D-836B-3486465F486F}"/>
    <cellStyle name="Normal 2 3 4 38 2 2 2" xfId="11675" xr:uid="{7F3E78E0-D269-4B40-94DB-41A56184511B}"/>
    <cellStyle name="Normal 2 3 4 38 2 3" xfId="2831" xr:uid="{E61C486F-1F96-4179-B4E3-38A949443CC5}"/>
    <cellStyle name="Normal 2 3 4 38 2 3 2" xfId="11676" xr:uid="{9A21B914-B199-4998-9270-F9E244A2C76C}"/>
    <cellStyle name="Normal 2 3 4 38 2 4" xfId="11674" xr:uid="{541F63FD-FACA-4E1A-997A-31FC6F73105B}"/>
    <cellStyle name="Normal 2 3 4 38 3" xfId="2832" xr:uid="{7E30EDB6-55F0-4543-9148-A781072E3C6F}"/>
    <cellStyle name="Normal 2 3 4 38 3 2" xfId="11677" xr:uid="{40E978A1-F9EC-4948-BF7C-AC075B5F234E}"/>
    <cellStyle name="Normal 2 3 4 38 4" xfId="2833" xr:uid="{475A2E59-BEBF-4262-BF89-467BE31C29FC}"/>
    <cellStyle name="Normal 2 3 4 38 4 2" xfId="11678" xr:uid="{E965AFB8-6FE4-44AB-9823-0A3199757B48}"/>
    <cellStyle name="Normal 2 3 4 38 5" xfId="11673" xr:uid="{272FB34D-3C84-4EA6-8D4E-3F46CE174C99}"/>
    <cellStyle name="Normal 2 3 4 39" xfId="2834" xr:uid="{D778E18E-74B1-4BCA-9958-BDCFE430A896}"/>
    <cellStyle name="Normal 2 3 4 39 2" xfId="2835" xr:uid="{D48A1D9D-C5F0-4322-89F2-C1522E57ECC0}"/>
    <cellStyle name="Normal 2 3 4 39 2 2" xfId="2836" xr:uid="{DCD6D75B-8608-448F-B3A5-698D10C19358}"/>
    <cellStyle name="Normal 2 3 4 39 2 2 2" xfId="11681" xr:uid="{92E66B54-B0B5-4438-8AD0-843BC3FE8440}"/>
    <cellStyle name="Normal 2 3 4 39 2 3" xfId="2837" xr:uid="{92AA13C4-8D38-4E21-8F24-445DAFBDE44C}"/>
    <cellStyle name="Normal 2 3 4 39 2 3 2" xfId="11682" xr:uid="{C3017E4B-5F2B-421E-9694-19B90DCF8C27}"/>
    <cellStyle name="Normal 2 3 4 39 2 4" xfId="11680" xr:uid="{3EC995B0-EE67-42F7-98B9-F3E5E196F590}"/>
    <cellStyle name="Normal 2 3 4 39 3" xfId="2838" xr:uid="{93CC2821-099C-42EB-84C0-A15F566B994A}"/>
    <cellStyle name="Normal 2 3 4 39 3 2" xfId="11683" xr:uid="{09BE00B8-CACA-4A53-B037-9B776AB03F08}"/>
    <cellStyle name="Normal 2 3 4 39 4" xfId="2839" xr:uid="{50E61B2F-2227-40C3-A221-14292878DF92}"/>
    <cellStyle name="Normal 2 3 4 39 4 2" xfId="11684" xr:uid="{E2EAAEA7-8E04-4139-84E8-1F1AA8C36621}"/>
    <cellStyle name="Normal 2 3 4 39 5" xfId="11679" xr:uid="{7A960CBB-20F0-4C69-B4D3-03AC8AE21C9B}"/>
    <cellStyle name="Normal 2 3 4 4" xfId="2840" xr:uid="{A8DACC05-A053-4E5D-984C-EC4E228ACDCB}"/>
    <cellStyle name="Normal 2 3 4 4 2" xfId="2841" xr:uid="{C154A7B3-B016-4462-A3A0-30468BB820B2}"/>
    <cellStyle name="Normal 2 3 4 4 2 2" xfId="2842" xr:uid="{1B18B694-114E-48A0-B99C-1529F5ADD569}"/>
    <cellStyle name="Normal 2 3 4 4 2 2 2" xfId="11687" xr:uid="{35A1BCE0-384D-4C48-A11A-A73416DC8329}"/>
    <cellStyle name="Normal 2 3 4 4 2 3" xfId="2843" xr:uid="{B4E0CB2F-C3FF-4647-92FC-4FF8765AE412}"/>
    <cellStyle name="Normal 2 3 4 4 2 3 2" xfId="11688" xr:uid="{6A5AD1FA-6E1B-4095-BD78-1E73AFD9270F}"/>
    <cellStyle name="Normal 2 3 4 4 2 4" xfId="11686" xr:uid="{FCA63FCD-D905-4477-97EF-6800B40EE7AA}"/>
    <cellStyle name="Normal 2 3 4 4 3" xfId="2844" xr:uid="{2370D932-ACF2-4B29-87E1-7707AFD988AC}"/>
    <cellStyle name="Normal 2 3 4 4 3 2" xfId="11689" xr:uid="{017171B1-5CFD-4D09-8655-140FC19EF1E5}"/>
    <cellStyle name="Normal 2 3 4 4 4" xfId="2845" xr:uid="{5FF6642E-A154-49D6-97F9-FE005EE535B5}"/>
    <cellStyle name="Normal 2 3 4 4 4 2" xfId="11690" xr:uid="{00C4B1C2-9B19-4CCC-A5B1-66D9B84E0D47}"/>
    <cellStyle name="Normal 2 3 4 4 5" xfId="11685" xr:uid="{DD71228A-018C-4B0F-9F6B-A9D81E9DF22F}"/>
    <cellStyle name="Normal 2 3 4 40" xfId="2846" xr:uid="{A171A4EF-8A9F-4594-92F3-460BD37A9EF2}"/>
    <cellStyle name="Normal 2 3 4 40 2" xfId="2847" xr:uid="{E276BE81-9A3D-4FE8-9760-D6A4CC6DDC7F}"/>
    <cellStyle name="Normal 2 3 4 40 2 2" xfId="2848" xr:uid="{60FE043F-A00C-4EBF-9302-1493CC66A72F}"/>
    <cellStyle name="Normal 2 3 4 40 2 2 2" xfId="11693" xr:uid="{F18D5BC8-0611-4170-833E-11E723AA5FEB}"/>
    <cellStyle name="Normal 2 3 4 40 2 3" xfId="2849" xr:uid="{4E83FA5C-3C10-48FD-B995-C8B50A6629CE}"/>
    <cellStyle name="Normal 2 3 4 40 2 3 2" xfId="11694" xr:uid="{4E0D3BA4-D4B4-44E3-BA41-564108B5D939}"/>
    <cellStyle name="Normal 2 3 4 40 2 4" xfId="11692" xr:uid="{6C03E91B-DA71-4EA4-A8A3-B65141D41964}"/>
    <cellStyle name="Normal 2 3 4 40 3" xfId="2850" xr:uid="{D9636A91-4D98-480A-A7BF-6414B0437012}"/>
    <cellStyle name="Normal 2 3 4 40 3 2" xfId="11695" xr:uid="{658C89FE-DEFE-4F99-8C85-AD5F2139DAB8}"/>
    <cellStyle name="Normal 2 3 4 40 4" xfId="2851" xr:uid="{441BEF23-0E5D-4F91-A7CF-3EE52F04F18B}"/>
    <cellStyle name="Normal 2 3 4 40 4 2" xfId="11696" xr:uid="{720F40E8-AA17-486E-887D-CFB904913AE7}"/>
    <cellStyle name="Normal 2 3 4 40 5" xfId="11691" xr:uid="{EBDA916C-0FD0-430F-897C-87EE2F79E883}"/>
    <cellStyle name="Normal 2 3 4 41" xfId="2852" xr:uid="{21E5D34D-B3DA-407B-A24D-D2B4E0CC62F2}"/>
    <cellStyle name="Normal 2 3 4 41 2" xfId="2853" xr:uid="{3E22AEFD-308A-429B-BA42-C62D8C0B718A}"/>
    <cellStyle name="Normal 2 3 4 41 2 2" xfId="2854" xr:uid="{018B13C4-220A-4CC4-BDAB-0E3BD498038E}"/>
    <cellStyle name="Normal 2 3 4 41 2 2 2" xfId="11699" xr:uid="{B17E675D-8363-496D-AE43-87EB1EDC4626}"/>
    <cellStyle name="Normal 2 3 4 41 2 3" xfId="2855" xr:uid="{DACBAA7D-8610-4C32-90DF-AD387B3FCCE9}"/>
    <cellStyle name="Normal 2 3 4 41 2 3 2" xfId="11700" xr:uid="{588857CA-656E-444E-BD85-5E92D321568D}"/>
    <cellStyle name="Normal 2 3 4 41 2 4" xfId="11698" xr:uid="{FD72FF0B-5767-4979-8D61-9AB919ABB1F5}"/>
    <cellStyle name="Normal 2 3 4 41 3" xfId="2856" xr:uid="{DE271EF1-BBC5-4284-8828-F2DF040F8221}"/>
    <cellStyle name="Normal 2 3 4 41 3 2" xfId="11701" xr:uid="{D78F01FB-B384-40BE-B78B-178E51BBABE0}"/>
    <cellStyle name="Normal 2 3 4 41 4" xfId="2857" xr:uid="{79437657-7904-4E43-B742-C9A2658CD7A3}"/>
    <cellStyle name="Normal 2 3 4 41 4 2" xfId="11702" xr:uid="{0127D8E9-1C0C-4FCA-B6B5-667D97522BF8}"/>
    <cellStyle name="Normal 2 3 4 41 5" xfId="11697" xr:uid="{ABC7BA1E-7196-4077-86F2-D16CAABB40DC}"/>
    <cellStyle name="Normal 2 3 4 42" xfId="2858" xr:uid="{22360F40-1E78-4751-BC5F-6279ABFA3D3D}"/>
    <cellStyle name="Normal 2 3 4 42 2" xfId="2859" xr:uid="{314EA4D8-C801-45FA-81BE-045DE5D648AF}"/>
    <cellStyle name="Normal 2 3 4 42 2 2" xfId="2860" xr:uid="{F0C62DB2-8B61-46BC-B243-771D2E387FC5}"/>
    <cellStyle name="Normal 2 3 4 42 2 2 2" xfId="11705" xr:uid="{62EE6941-FB0D-46F1-B221-4073834C11E9}"/>
    <cellStyle name="Normal 2 3 4 42 2 3" xfId="2861" xr:uid="{8BDEE862-9288-45ED-8F13-BF43E962ED6D}"/>
    <cellStyle name="Normal 2 3 4 42 2 3 2" xfId="11706" xr:uid="{75051E3E-40F1-46B0-A8FA-32DC4F7A6C16}"/>
    <cellStyle name="Normal 2 3 4 42 2 4" xfId="11704" xr:uid="{ACB2F320-528D-4860-88DA-EBCA2CC3FE0B}"/>
    <cellStyle name="Normal 2 3 4 42 3" xfId="2862" xr:uid="{B9EEAA3F-5335-498A-A2D2-04D3636D70B5}"/>
    <cellStyle name="Normal 2 3 4 42 3 2" xfId="11707" xr:uid="{809EC19E-6D66-4809-969F-25D30DBCFE14}"/>
    <cellStyle name="Normal 2 3 4 42 4" xfId="2863" xr:uid="{18BC37B4-0E09-4C36-828A-87FABDCDD9BB}"/>
    <cellStyle name="Normal 2 3 4 42 4 2" xfId="11708" xr:uid="{1FCD4845-EC42-400D-8B69-CDD4CD21FAFD}"/>
    <cellStyle name="Normal 2 3 4 42 5" xfId="11703" xr:uid="{F930DE5D-325D-4270-A900-1C48C13C3358}"/>
    <cellStyle name="Normal 2 3 4 43" xfId="2864" xr:uid="{12F6D010-D391-42E4-A72A-E15BE4A7A16A}"/>
    <cellStyle name="Normal 2 3 4 43 2" xfId="2865" xr:uid="{37EA213D-63BE-4BBE-A603-89BF59F90C36}"/>
    <cellStyle name="Normal 2 3 4 43 2 2" xfId="2866" xr:uid="{5068E48A-E68E-4306-A941-3EC0BB4C5DF2}"/>
    <cellStyle name="Normal 2 3 4 43 2 2 2" xfId="11711" xr:uid="{AA442739-BC32-4797-8680-E52B4058771B}"/>
    <cellStyle name="Normal 2 3 4 43 2 3" xfId="2867" xr:uid="{8CA64526-FF5F-407C-9E1F-5FCDA373311C}"/>
    <cellStyle name="Normal 2 3 4 43 2 3 2" xfId="11712" xr:uid="{168901F1-D132-494C-A041-51579531943F}"/>
    <cellStyle name="Normal 2 3 4 43 2 4" xfId="11710" xr:uid="{3B0BF87F-D610-439E-A8A7-49288AF5CCB7}"/>
    <cellStyle name="Normal 2 3 4 43 3" xfId="2868" xr:uid="{58043268-FDD1-4F8E-B751-AB12C04A2361}"/>
    <cellStyle name="Normal 2 3 4 43 3 2" xfId="11713" xr:uid="{3BCC01DA-53C9-4E12-87AE-343B36D98492}"/>
    <cellStyle name="Normal 2 3 4 43 4" xfId="2869" xr:uid="{7DD14DBD-9126-447D-BC45-F6F62E8CE71A}"/>
    <cellStyle name="Normal 2 3 4 43 4 2" xfId="11714" xr:uid="{365DCCC7-2633-4636-97AC-8BC8F74C3BB9}"/>
    <cellStyle name="Normal 2 3 4 43 5" xfId="11709" xr:uid="{3A60A3DD-E6C5-4C80-BBD8-A2A589167DE7}"/>
    <cellStyle name="Normal 2 3 4 44" xfId="2870" xr:uid="{22529015-350F-4BC4-9C73-140D3ABD75C4}"/>
    <cellStyle name="Normal 2 3 4 44 2" xfId="2871" xr:uid="{F4243005-E5FB-4EAB-9CA6-E32D56E03BD3}"/>
    <cellStyle name="Normal 2 3 4 44 2 2" xfId="11716" xr:uid="{F942B563-406E-45D4-A540-4A5B94338685}"/>
    <cellStyle name="Normal 2 3 4 44 3" xfId="2872" xr:uid="{8EDD675C-DB58-4F90-8123-936B1D59010F}"/>
    <cellStyle name="Normal 2 3 4 44 3 2" xfId="11717" xr:uid="{4077ED64-0910-4893-9BC0-2276CFD6EB8F}"/>
    <cellStyle name="Normal 2 3 4 44 4" xfId="11715" xr:uid="{9F105917-AF97-4450-9B57-E042AA8D420B}"/>
    <cellStyle name="Normal 2 3 4 45" xfId="2873" xr:uid="{D6858958-9F23-49BE-B9B1-40744055DDA1}"/>
    <cellStyle name="Normal 2 3 4 45 2" xfId="11718" xr:uid="{01356781-A147-4B08-9540-CD510B4F252A}"/>
    <cellStyle name="Normal 2 3 4 46" xfId="2874" xr:uid="{6BF13549-3C2A-4CD1-A1A6-FF2E98647431}"/>
    <cellStyle name="Normal 2 3 4 46 2" xfId="11719" xr:uid="{2867E4BD-06D5-45C6-9CE4-8117FA7E8D08}"/>
    <cellStyle name="Normal 2 3 4 47" xfId="2875" xr:uid="{158E3FE9-35F6-41B3-9521-A91BE9751778}"/>
    <cellStyle name="Normal 2 3 4 48" xfId="2876" xr:uid="{A6BD8F08-EB70-4874-AADA-4058003FF050}"/>
    <cellStyle name="Normal 2 3 4 49" xfId="11492" xr:uid="{45705ECA-5D58-4074-AC30-42D17B1311F1}"/>
    <cellStyle name="Normal 2 3 4 5" xfId="2877" xr:uid="{F3E1E969-3A1E-441E-912A-52C8BF3AEAD5}"/>
    <cellStyle name="Normal 2 3 4 5 2" xfId="2878" xr:uid="{0316799B-7A07-4486-8302-C8C44BCA2F81}"/>
    <cellStyle name="Normal 2 3 4 5 2 2" xfId="2879" xr:uid="{9F2819DF-6AFA-4EDD-B941-C75233DB4006}"/>
    <cellStyle name="Normal 2 3 4 5 2 2 2" xfId="11722" xr:uid="{E5147CE7-79B2-43D7-848B-72A3C0EA2D87}"/>
    <cellStyle name="Normal 2 3 4 5 2 3" xfId="2880" xr:uid="{ED205F2C-7F91-4677-9B61-6A8FD1C68690}"/>
    <cellStyle name="Normal 2 3 4 5 2 3 2" xfId="11723" xr:uid="{3E919354-EFC7-4F14-9776-EFF6916706B2}"/>
    <cellStyle name="Normal 2 3 4 5 2 4" xfId="11721" xr:uid="{C8873C61-D821-4D71-BD6D-EFFD01756F0E}"/>
    <cellStyle name="Normal 2 3 4 5 3" xfId="2881" xr:uid="{93E7B391-6912-46CB-BDBD-BCDB0B06D6E4}"/>
    <cellStyle name="Normal 2 3 4 5 3 2" xfId="11724" xr:uid="{6580C5FE-BA3F-426D-AF66-88FD82DF3962}"/>
    <cellStyle name="Normal 2 3 4 5 4" xfId="2882" xr:uid="{F41424EC-04CE-4F52-AAFC-C4A4F0C3CC31}"/>
    <cellStyle name="Normal 2 3 4 5 4 2" xfId="11725" xr:uid="{E9BA6FC5-C4D3-43D0-AC45-63C497AFFA58}"/>
    <cellStyle name="Normal 2 3 4 5 5" xfId="11720" xr:uid="{C31AFAF9-DD83-426A-B84E-9DEDB2273D5E}"/>
    <cellStyle name="Normal 2 3 4 6" xfId="2883" xr:uid="{0B75FA8F-4EC6-4C59-899F-E9CF29628C49}"/>
    <cellStyle name="Normal 2 3 4 6 2" xfId="2884" xr:uid="{16982D94-8315-4DF2-849F-4EA723DFC4F8}"/>
    <cellStyle name="Normal 2 3 4 6 2 2" xfId="2885" xr:uid="{AA1EEB70-D3FD-4CED-A5B7-DF2506740731}"/>
    <cellStyle name="Normal 2 3 4 6 2 2 2" xfId="11728" xr:uid="{D57A8461-661F-4229-AB83-49C0DEE61C83}"/>
    <cellStyle name="Normal 2 3 4 6 2 3" xfId="2886" xr:uid="{1F5D155E-ED3B-4824-B35D-5B4EA4BE8C2F}"/>
    <cellStyle name="Normal 2 3 4 6 2 3 2" xfId="11729" xr:uid="{56B06933-42A3-4827-907E-2E7CB13699A6}"/>
    <cellStyle name="Normal 2 3 4 6 2 4" xfId="11727" xr:uid="{DD381189-0802-4E1D-B789-5F26820B4E1C}"/>
    <cellStyle name="Normal 2 3 4 6 3" xfId="2887" xr:uid="{D520BD8F-E573-4DCA-A06A-1AFDF5CFF551}"/>
    <cellStyle name="Normal 2 3 4 6 3 2" xfId="11730" xr:uid="{483053A7-8371-41D2-8F5C-37A5E27FCDBB}"/>
    <cellStyle name="Normal 2 3 4 6 4" xfId="2888" xr:uid="{E9E68B0F-F897-4CF1-8FFC-4406755BC48B}"/>
    <cellStyle name="Normal 2 3 4 6 4 2" xfId="11731" xr:uid="{2A1AEAD9-EE94-4D46-86F7-B95C9A1802BE}"/>
    <cellStyle name="Normal 2 3 4 6 5" xfId="11726" xr:uid="{228397FC-DFC3-4CCC-A89B-2E7F64CD289E}"/>
    <cellStyle name="Normal 2 3 4 7" xfId="2889" xr:uid="{39FFDFD2-0BAE-451A-BA88-97F7DE238818}"/>
    <cellStyle name="Normal 2 3 4 7 2" xfId="2890" xr:uid="{4EB4258D-1A81-417C-BCB0-C2CBFBA52D2D}"/>
    <cellStyle name="Normal 2 3 4 7 2 2" xfId="2891" xr:uid="{F1612E10-1D99-4B3A-BD20-4E0826B8DB5A}"/>
    <cellStyle name="Normal 2 3 4 7 2 2 2" xfId="11734" xr:uid="{351178AA-1920-4F9C-838C-C6629FC10FB8}"/>
    <cellStyle name="Normal 2 3 4 7 2 3" xfId="2892" xr:uid="{239C2ED6-8898-4BE9-A1A1-5E68FF059BD5}"/>
    <cellStyle name="Normal 2 3 4 7 2 3 2" xfId="11735" xr:uid="{F13AD14A-F07F-4F4E-B7CC-67B062CEA4E3}"/>
    <cellStyle name="Normal 2 3 4 7 2 4" xfId="11733" xr:uid="{E08FFB1A-9676-41F1-9425-F810575E5928}"/>
    <cellStyle name="Normal 2 3 4 7 3" xfId="2893" xr:uid="{B1C0029D-9B48-4344-9739-0FA81A66DE63}"/>
    <cellStyle name="Normal 2 3 4 7 3 2" xfId="11736" xr:uid="{D19F7FFD-0274-418B-B2BB-BE2FA38E44FA}"/>
    <cellStyle name="Normal 2 3 4 7 4" xfId="2894" xr:uid="{BAA4DD1D-7452-4DAE-AEF1-01E9D31371A6}"/>
    <cellStyle name="Normal 2 3 4 7 4 2" xfId="11737" xr:uid="{82A1616B-D006-4A7E-8DC4-C405E0F75A59}"/>
    <cellStyle name="Normal 2 3 4 7 5" xfId="11732" xr:uid="{281200EF-EB17-4D70-87A3-9EE11BF6CC13}"/>
    <cellStyle name="Normal 2 3 4 8" xfId="2895" xr:uid="{E6739858-034F-4694-9DFA-9627765B5355}"/>
    <cellStyle name="Normal 2 3 4 8 2" xfId="2896" xr:uid="{45474BEF-ECAF-41B0-B7DC-CD0C988EA6CF}"/>
    <cellStyle name="Normal 2 3 4 8 2 2" xfId="2897" xr:uid="{11DA51EF-6684-44A5-8F1D-810A198FB813}"/>
    <cellStyle name="Normal 2 3 4 8 2 2 2" xfId="11740" xr:uid="{5B5D97DE-CEA4-4634-B3E7-E0AEC759DE9B}"/>
    <cellStyle name="Normal 2 3 4 8 2 3" xfId="2898" xr:uid="{4212C7B1-FC16-4EEA-B308-38521971DA87}"/>
    <cellStyle name="Normal 2 3 4 8 2 3 2" xfId="11741" xr:uid="{1AD4DB57-9703-4397-BA0A-977CA6D6D27D}"/>
    <cellStyle name="Normal 2 3 4 8 2 4" xfId="11739" xr:uid="{62D9C3C5-A71C-4A01-80F6-63FA79219FB3}"/>
    <cellStyle name="Normal 2 3 4 8 3" xfId="2899" xr:uid="{C79EE657-6666-4149-BBAB-CE08C4D27EEA}"/>
    <cellStyle name="Normal 2 3 4 8 3 2" xfId="11742" xr:uid="{213896D5-D06F-4CAC-AF0E-2444D1C8C6A5}"/>
    <cellStyle name="Normal 2 3 4 8 4" xfId="2900" xr:uid="{92C0A396-0610-4E39-9F51-2C6A4257CE44}"/>
    <cellStyle name="Normal 2 3 4 8 4 2" xfId="11743" xr:uid="{166023B2-E3C0-446F-9828-4C81E4BF355D}"/>
    <cellStyle name="Normal 2 3 4 8 5" xfId="11738" xr:uid="{76154C68-0873-4079-BFC6-29628DF21BA9}"/>
    <cellStyle name="Normal 2 3 4 9" xfId="2901" xr:uid="{3619AAE8-FECB-4906-92E8-60C0CDAF8A0C}"/>
    <cellStyle name="Normal 2 3 4 9 2" xfId="2902" xr:uid="{F02D84D4-ECCA-41F1-8E6D-E78590C41E38}"/>
    <cellStyle name="Normal 2 3 4 9 2 2" xfId="2903" xr:uid="{41F2A20F-56DE-426A-8345-793BD46757CB}"/>
    <cellStyle name="Normal 2 3 4 9 2 2 2" xfId="11746" xr:uid="{2885ED01-0A66-43F1-B6F5-737F05AE1E58}"/>
    <cellStyle name="Normal 2 3 4 9 2 3" xfId="2904" xr:uid="{122A53EF-F107-454E-8C9C-F22D65D1D19F}"/>
    <cellStyle name="Normal 2 3 4 9 2 3 2" xfId="11747" xr:uid="{17B9C0AB-69BB-4C22-9A6E-DA5FF97F8587}"/>
    <cellStyle name="Normal 2 3 4 9 2 4" xfId="11745" xr:uid="{5A8F0AA9-99E4-4A0A-A0A5-858B17FE47CA}"/>
    <cellStyle name="Normal 2 3 4 9 3" xfId="2905" xr:uid="{DD68B6DA-6984-4A2A-8501-60A29E8D5023}"/>
    <cellStyle name="Normal 2 3 4 9 3 2" xfId="11748" xr:uid="{543BA7D9-9C10-45DA-8D35-25CEF27D7DAD}"/>
    <cellStyle name="Normal 2 3 4 9 4" xfId="2906" xr:uid="{26AB7966-556E-4194-890C-AF79F4AC2631}"/>
    <cellStyle name="Normal 2 3 4 9 4 2" xfId="11749" xr:uid="{351F23C8-6FE7-4EF8-91A5-38D8A7BF5FF5}"/>
    <cellStyle name="Normal 2 3 4 9 5" xfId="11744" xr:uid="{86D520D3-0339-4F2A-88FA-73CD87C8B0EB}"/>
    <cellStyle name="Normal 2 3 40" xfId="2907" xr:uid="{240458F9-40F2-4D50-AA8D-C54888BA73CF}"/>
    <cellStyle name="Normal 2 3 40 2" xfId="2908" xr:uid="{77E6D3E3-0ACC-4A81-A679-0C9AD24EA740}"/>
    <cellStyle name="Normal 2 3 40 2 2" xfId="2909" xr:uid="{4C614C17-795F-4868-96B0-7018B82BC532}"/>
    <cellStyle name="Normal 2 3 40 2 2 2" xfId="11752" xr:uid="{03C8C6C4-C485-4BE1-AC1E-FBD01BBD6231}"/>
    <cellStyle name="Normal 2 3 40 2 3" xfId="2910" xr:uid="{D312AF55-1DF4-4C21-9C9C-1EE0F248473A}"/>
    <cellStyle name="Normal 2 3 40 2 3 2" xfId="11753" xr:uid="{AA84C61B-C0A1-455F-B4EE-0CE75149BF98}"/>
    <cellStyle name="Normal 2 3 40 2 4" xfId="11751" xr:uid="{D6D2B797-7600-4B22-A023-F7C76B90CDA2}"/>
    <cellStyle name="Normal 2 3 40 3" xfId="2911" xr:uid="{0DA63F25-66BD-411D-BEA2-0455252D3901}"/>
    <cellStyle name="Normal 2 3 40 3 2" xfId="11754" xr:uid="{66E32A9F-9C3A-405A-8AE1-F0866F72B23F}"/>
    <cellStyle name="Normal 2 3 40 4" xfId="2912" xr:uid="{ECE146AF-241C-408F-B471-57FFAA8CA801}"/>
    <cellStyle name="Normal 2 3 40 4 2" xfId="11755" xr:uid="{2F8FE523-D130-4E73-9541-AB96A561E6B6}"/>
    <cellStyle name="Normal 2 3 40 5" xfId="11750" xr:uid="{772733E2-AB45-4057-8147-DB1D51391417}"/>
    <cellStyle name="Normal 2 3 41" xfId="2913" xr:uid="{3FC29BD8-B6FC-47ED-BF07-B06E856FFFED}"/>
    <cellStyle name="Normal 2 3 41 2" xfId="2914" xr:uid="{F0269342-29F1-4885-9065-AB9157EA3F57}"/>
    <cellStyle name="Normal 2 3 41 2 2" xfId="2915" xr:uid="{667A4A19-1269-4F3C-8C5E-B1A5460064D4}"/>
    <cellStyle name="Normal 2 3 41 2 2 2" xfId="11758" xr:uid="{DE50A187-C7C8-4503-8028-8B74921AB953}"/>
    <cellStyle name="Normal 2 3 41 2 3" xfId="2916" xr:uid="{AF389788-211F-418D-81CA-AEC8D381414F}"/>
    <cellStyle name="Normal 2 3 41 2 3 2" xfId="11759" xr:uid="{4C2455FA-1BBC-4E50-A0CE-EE7781A997E7}"/>
    <cellStyle name="Normal 2 3 41 2 4" xfId="11757" xr:uid="{E957C676-6488-47B3-A173-4C1F52E6D1A6}"/>
    <cellStyle name="Normal 2 3 41 3" xfId="2917" xr:uid="{F488A67D-6465-4E6D-B0FC-F2D1AA0418CC}"/>
    <cellStyle name="Normal 2 3 41 3 2" xfId="11760" xr:uid="{F62528D4-A818-4DE7-A5E8-4DA23512B53E}"/>
    <cellStyle name="Normal 2 3 41 4" xfId="2918" xr:uid="{DBDDCB0B-9C9C-4721-A561-FC0F7F20D7BA}"/>
    <cellStyle name="Normal 2 3 41 4 2" xfId="11761" xr:uid="{00F57D3B-1DE1-435C-9F72-AA921B6A6626}"/>
    <cellStyle name="Normal 2 3 41 5" xfId="11756" xr:uid="{CDC5C9F3-2DB1-4BFD-AA9D-C275F1EDDC9A}"/>
    <cellStyle name="Normal 2 3 42" xfId="2919" xr:uid="{F3EEA137-A02C-43DD-BE91-86BC92A3F82C}"/>
    <cellStyle name="Normal 2 3 42 2" xfId="2920" xr:uid="{B2AD8E86-23D8-4CA4-A95B-4A2FCA4E6F92}"/>
    <cellStyle name="Normal 2 3 42 2 2" xfId="2921" xr:uid="{ADB65948-16AF-4C58-8EAA-498D60F363BA}"/>
    <cellStyle name="Normal 2 3 42 2 2 2" xfId="11764" xr:uid="{27CEDF1E-3B9C-48B2-AAC7-BD2D0416B615}"/>
    <cellStyle name="Normal 2 3 42 2 3" xfId="2922" xr:uid="{FD2E6F01-1780-4876-83B9-4BB22F614507}"/>
    <cellStyle name="Normal 2 3 42 2 3 2" xfId="11765" xr:uid="{091FA6D7-6D61-4D4D-95B4-8D2FCB97386C}"/>
    <cellStyle name="Normal 2 3 42 2 4" xfId="11763" xr:uid="{81053E7E-2154-4AF7-AEF9-FCFD0A6280B1}"/>
    <cellStyle name="Normal 2 3 42 3" xfId="2923" xr:uid="{3CEC324C-A1B9-4A89-937A-2B33FDE78D92}"/>
    <cellStyle name="Normal 2 3 42 3 2" xfId="11766" xr:uid="{40814210-87D3-426D-A66E-17DBE9A23210}"/>
    <cellStyle name="Normal 2 3 42 4" xfId="2924" xr:uid="{5819B43A-5050-4F3F-93CA-CECA1FD79E2A}"/>
    <cellStyle name="Normal 2 3 42 4 2" xfId="11767" xr:uid="{2C497570-A12B-40CA-A90D-B43471036288}"/>
    <cellStyle name="Normal 2 3 42 5" xfId="11762" xr:uid="{0DC266A4-3C1C-4A2D-8C7B-02A48366A247}"/>
    <cellStyle name="Normal 2 3 43" xfId="2925" xr:uid="{1A6CA37B-7C0C-4D82-B6B9-66A29111DBEB}"/>
    <cellStyle name="Normal 2 3 43 2" xfId="2926" xr:uid="{4C9C86E5-B663-4037-B5A3-D1C096B8C363}"/>
    <cellStyle name="Normal 2 3 43 2 2" xfId="2927" xr:uid="{BF1A2CF6-F7B1-41A6-8798-D83D95446D72}"/>
    <cellStyle name="Normal 2 3 43 2 2 2" xfId="11770" xr:uid="{0EDFA8B4-C988-47A8-8DB5-79E3BB3FBBD1}"/>
    <cellStyle name="Normal 2 3 43 2 3" xfId="2928" xr:uid="{D23ACA7C-A9AC-4003-92F5-655B9E4ADF27}"/>
    <cellStyle name="Normal 2 3 43 2 3 2" xfId="11771" xr:uid="{09D4ADC3-8781-4E13-8AA1-27DC9B1F8C47}"/>
    <cellStyle name="Normal 2 3 43 2 4" xfId="11769" xr:uid="{8E7C7AD3-39E5-4B1E-B133-47E8DFE5DF89}"/>
    <cellStyle name="Normal 2 3 43 3" xfId="2929" xr:uid="{8B7ED7F8-4574-4D7F-AAB9-D10629EF13C9}"/>
    <cellStyle name="Normal 2 3 43 3 2" xfId="11772" xr:uid="{32447EE2-D335-4122-B3BD-CF12D8C6D60F}"/>
    <cellStyle name="Normal 2 3 43 4" xfId="2930" xr:uid="{81BC4C44-8878-47DD-A6FB-A1F43B4C578F}"/>
    <cellStyle name="Normal 2 3 43 4 2" xfId="11773" xr:uid="{CF2BEC29-C711-494B-8527-1052164CA241}"/>
    <cellStyle name="Normal 2 3 43 5" xfId="11768" xr:uid="{943C464D-C6B7-42CB-AF8E-BBCE39438EF4}"/>
    <cellStyle name="Normal 2 3 44" xfId="2931" xr:uid="{99F8F914-27E4-49A5-B80E-ED2CEA019DCF}"/>
    <cellStyle name="Normal 2 3 44 2" xfId="2932" xr:uid="{FCE0E390-A36A-4EB6-B8CB-8366AD20DB6D}"/>
    <cellStyle name="Normal 2 3 44 2 2" xfId="2933" xr:uid="{EDAAC7D9-0C49-4F26-9B93-0312A337FAE3}"/>
    <cellStyle name="Normal 2 3 44 2 2 2" xfId="11776" xr:uid="{0848727F-B41C-43F3-B740-86BF1E1454AB}"/>
    <cellStyle name="Normal 2 3 44 2 3" xfId="2934" xr:uid="{4307DBE4-D3C7-4EB4-847B-412EF3659292}"/>
    <cellStyle name="Normal 2 3 44 2 3 2" xfId="11777" xr:uid="{D4E156BC-5058-4457-B2F0-DDF6963C3F7A}"/>
    <cellStyle name="Normal 2 3 44 2 4" xfId="11775" xr:uid="{8F589253-5B5E-46D5-8250-63C03E3D11E1}"/>
    <cellStyle name="Normal 2 3 44 3" xfId="2935" xr:uid="{10EAC2FE-F181-4414-A9A3-D350473B4382}"/>
    <cellStyle name="Normal 2 3 44 3 2" xfId="11778" xr:uid="{B7406237-CB96-4550-A463-547F058F393A}"/>
    <cellStyle name="Normal 2 3 44 4" xfId="2936" xr:uid="{51569768-EF10-4F6A-A347-4630CBD7BABA}"/>
    <cellStyle name="Normal 2 3 44 4 2" xfId="11779" xr:uid="{15E18DC8-4176-4928-A9A6-722925B5C4D1}"/>
    <cellStyle name="Normal 2 3 44 5" xfId="11774" xr:uid="{45CE44F8-A7B4-443E-973F-FCCEB8FB5AF2}"/>
    <cellStyle name="Normal 2 3 45" xfId="2937" xr:uid="{56FE3F5D-D59B-4B52-BA12-6B3EA04D217D}"/>
    <cellStyle name="Normal 2 3 45 2" xfId="2938" xr:uid="{08D68365-88AB-45E0-A168-C71CD7B93B6C}"/>
    <cellStyle name="Normal 2 3 45 2 2" xfId="2939" xr:uid="{819424B9-34A7-445E-96EC-F934076BE480}"/>
    <cellStyle name="Normal 2 3 45 2 2 2" xfId="11782" xr:uid="{2D3C99C4-86A7-42D2-A14F-67E8227A1683}"/>
    <cellStyle name="Normal 2 3 45 2 3" xfId="2940" xr:uid="{D84D50C1-DE2B-4D2D-BB63-7DFCE38A7748}"/>
    <cellStyle name="Normal 2 3 45 2 3 2" xfId="11783" xr:uid="{6A5608F9-70B1-47C3-A47F-BA72304B03B9}"/>
    <cellStyle name="Normal 2 3 45 2 4" xfId="11781" xr:uid="{EEF546A9-6AD5-4B22-89B2-525574ECE0CE}"/>
    <cellStyle name="Normal 2 3 45 3" xfId="2941" xr:uid="{75CC53A6-0A3C-409A-9D9C-5CE44DB44BFC}"/>
    <cellStyle name="Normal 2 3 45 3 2" xfId="11784" xr:uid="{03E492C5-8B08-41CC-BAD5-BB97045E66A2}"/>
    <cellStyle name="Normal 2 3 45 4" xfId="2942" xr:uid="{A1E42FA5-1B9B-4304-B0B2-EBE990A78047}"/>
    <cellStyle name="Normal 2 3 45 4 2" xfId="11785" xr:uid="{524CC8F4-EA67-4C72-8A0E-1695DE414559}"/>
    <cellStyle name="Normal 2 3 45 5" xfId="11780" xr:uid="{D5CD43F1-551F-4868-A597-5EB7FA072BFE}"/>
    <cellStyle name="Normal 2 3 46" xfId="2943" xr:uid="{AB16C09E-7B6A-43F1-9EF1-EFF5F02F7384}"/>
    <cellStyle name="Normal 2 3 46 2" xfId="2944" xr:uid="{988FBA09-8AF7-4C9D-BBBC-6237BE05EB18}"/>
    <cellStyle name="Normal 2 3 46 2 2" xfId="2945" xr:uid="{4D1F2A8C-C6AD-486C-9EC5-0D5500812A8C}"/>
    <cellStyle name="Normal 2 3 46 2 2 2" xfId="11788" xr:uid="{F81BB0FE-3E22-4D6E-91C9-9FA917148E9B}"/>
    <cellStyle name="Normal 2 3 46 2 3" xfId="2946" xr:uid="{6B03FC47-F64B-4140-97A5-41ABEFB3AC6C}"/>
    <cellStyle name="Normal 2 3 46 2 3 2" xfId="11789" xr:uid="{BA0E492A-05CF-4A3F-9CF4-AD4E87F7EE8D}"/>
    <cellStyle name="Normal 2 3 46 2 4" xfId="11787" xr:uid="{A3147A84-AF59-4BE8-87BF-1C3CAD1B6A7D}"/>
    <cellStyle name="Normal 2 3 46 3" xfId="2947" xr:uid="{B961D62D-F9A4-4A5E-AD11-C2FC94004DA7}"/>
    <cellStyle name="Normal 2 3 46 3 2" xfId="11790" xr:uid="{5A7F7FFA-C51B-4646-9F8A-4FCE5C34019E}"/>
    <cellStyle name="Normal 2 3 46 4" xfId="2948" xr:uid="{067B03F1-4DEA-497E-9412-A8CADA18F7B0}"/>
    <cellStyle name="Normal 2 3 46 4 2" xfId="11791" xr:uid="{DB8E7F43-BD49-4F33-AEE1-5108DBE5F8D4}"/>
    <cellStyle name="Normal 2 3 46 5" xfId="11786" xr:uid="{3E9874D5-437A-4B09-9253-D9A9F3979756}"/>
    <cellStyle name="Normal 2 3 47" xfId="2949" xr:uid="{24E81245-9CEC-467C-8CA6-E4CE3D983733}"/>
    <cellStyle name="Normal 2 3 47 2" xfId="2950" xr:uid="{C6B1CCF2-4445-48E7-8018-20FF31557370}"/>
    <cellStyle name="Normal 2 3 47 2 2" xfId="2951" xr:uid="{42611C86-A1C4-4E53-B493-4729C22AAE25}"/>
    <cellStyle name="Normal 2 3 47 2 2 2" xfId="11794" xr:uid="{671F969A-F446-494D-883D-5DCD5C935DCD}"/>
    <cellStyle name="Normal 2 3 47 2 3" xfId="2952" xr:uid="{29CB5B56-E4B0-4715-9E1C-E303DF3475F1}"/>
    <cellStyle name="Normal 2 3 47 2 3 2" xfId="11795" xr:uid="{5565F38D-64E2-42A0-B091-532CDB6FA4AA}"/>
    <cellStyle name="Normal 2 3 47 2 4" xfId="11793" xr:uid="{0AE40935-A1C8-4AC7-B0DD-9EBA124DEF48}"/>
    <cellStyle name="Normal 2 3 47 3" xfId="2953" xr:uid="{36821666-B214-4545-AC54-161C4EC47731}"/>
    <cellStyle name="Normal 2 3 47 3 2" xfId="11796" xr:uid="{86BB5E70-03D3-479C-BCCF-A9661C1DFC0E}"/>
    <cellStyle name="Normal 2 3 47 4" xfId="2954" xr:uid="{5BD51653-8E40-4E59-944D-511975193C78}"/>
    <cellStyle name="Normal 2 3 47 4 2" xfId="11797" xr:uid="{35C9B8BA-C0E5-493A-AB4D-F9965C988039}"/>
    <cellStyle name="Normal 2 3 47 5" xfId="11792" xr:uid="{64BCE41C-4F95-4476-9594-1F47E27AE201}"/>
    <cellStyle name="Normal 2 3 48" xfId="2955" xr:uid="{CAA20717-CC3D-4A26-95B1-1E2451165447}"/>
    <cellStyle name="Normal 2 3 48 2" xfId="2956" xr:uid="{62A6B045-7833-4BEF-A477-37310A937A45}"/>
    <cellStyle name="Normal 2 3 48 2 2" xfId="2957" xr:uid="{1252A5AA-16A6-475D-901C-18DBEFD70F00}"/>
    <cellStyle name="Normal 2 3 48 2 2 2" xfId="11800" xr:uid="{82875CE7-E52D-4B63-B3FD-03DFD4B30740}"/>
    <cellStyle name="Normal 2 3 48 2 3" xfId="2958" xr:uid="{B67C0B6F-7598-4692-B883-D372B0E53678}"/>
    <cellStyle name="Normal 2 3 48 2 3 2" xfId="11801" xr:uid="{D7340E42-138F-4237-9317-995311445A6E}"/>
    <cellStyle name="Normal 2 3 48 2 4" xfId="11799" xr:uid="{B4D23CA8-51DC-47A3-9FB0-223FB6F27ED8}"/>
    <cellStyle name="Normal 2 3 48 3" xfId="2959" xr:uid="{07BCCEB7-371E-4559-AB04-D38897CD82CD}"/>
    <cellStyle name="Normal 2 3 48 3 2" xfId="11802" xr:uid="{CA55EAA6-95D4-4C95-A24C-05D75AC3866F}"/>
    <cellStyle name="Normal 2 3 48 4" xfId="2960" xr:uid="{898C8DCB-8A45-4319-8A93-9F02E4972B6A}"/>
    <cellStyle name="Normal 2 3 48 4 2" xfId="11803" xr:uid="{2CDFCA94-4E3E-4973-8FBE-87BE38D165D9}"/>
    <cellStyle name="Normal 2 3 48 5" xfId="11798" xr:uid="{A31DB343-E247-4CE2-BED8-82E5C53D829F}"/>
    <cellStyle name="Normal 2 3 49" xfId="2961" xr:uid="{B338E6C5-9D87-490E-B171-0CAE94FB3EEE}"/>
    <cellStyle name="Normal 2 3 49 2" xfId="2962" xr:uid="{A6DE79C5-AC00-40A5-9D01-2FBF5C7874BD}"/>
    <cellStyle name="Normal 2 3 49 2 2" xfId="2963" xr:uid="{A63F6160-3653-4625-94CE-249BC86473CB}"/>
    <cellStyle name="Normal 2 3 49 2 2 2" xfId="11806" xr:uid="{9CAA3F1C-0E8C-4F17-899D-E8556D464BEF}"/>
    <cellStyle name="Normal 2 3 49 2 3" xfId="2964" xr:uid="{8E9A9FD9-464D-472A-AC19-AB16548B8ACE}"/>
    <cellStyle name="Normal 2 3 49 2 3 2" xfId="11807" xr:uid="{A5DAAC32-9155-41F4-96A8-B71142761033}"/>
    <cellStyle name="Normal 2 3 49 2 4" xfId="11805" xr:uid="{847EF182-6642-455B-B4B0-94CDFB8B72F4}"/>
    <cellStyle name="Normal 2 3 49 3" xfId="2965" xr:uid="{8C10B9CE-E0EC-437B-8390-643EB468C66A}"/>
    <cellStyle name="Normal 2 3 49 3 2" xfId="11808" xr:uid="{AD661E22-D973-42E4-B301-68BDA99E234F}"/>
    <cellStyle name="Normal 2 3 49 4" xfId="2966" xr:uid="{1EE0313C-C2E0-43C0-94F1-EDCE2397747B}"/>
    <cellStyle name="Normal 2 3 49 4 2" xfId="11809" xr:uid="{F0F0CCF1-D330-4CA7-AF48-BCE48F135F57}"/>
    <cellStyle name="Normal 2 3 49 5" xfId="11804" xr:uid="{831E3AD0-C618-4E55-92E4-9B19FBBA1A65}"/>
    <cellStyle name="Normal 2 3 5" xfId="2967" xr:uid="{A1A2AEF1-17BD-4AC4-B655-A8C5F08BB1F2}"/>
    <cellStyle name="Normal 2 3 5 10" xfId="2968" xr:uid="{2DA27578-DA45-490A-A1CA-D0A1AB0F0CFA}"/>
    <cellStyle name="Normal 2 3 5 10 2" xfId="2969" xr:uid="{D6AE8356-A39D-4AA8-89B5-09EAC6A880BC}"/>
    <cellStyle name="Normal 2 3 5 10 2 2" xfId="2970" xr:uid="{0C8A3A28-87C0-43A3-8527-EE376740A08C}"/>
    <cellStyle name="Normal 2 3 5 10 2 2 2" xfId="11813" xr:uid="{591BB8E6-ED65-4CB0-BBA6-FD941A6E720C}"/>
    <cellStyle name="Normal 2 3 5 10 2 3" xfId="2971" xr:uid="{D1D34D37-3B87-42F1-B40A-D99E7A05792E}"/>
    <cellStyle name="Normal 2 3 5 10 2 3 2" xfId="11814" xr:uid="{469F6A2A-DA7C-48D9-82E4-9DBB47086C73}"/>
    <cellStyle name="Normal 2 3 5 10 2 4" xfId="11812" xr:uid="{F291504B-E4FE-42B0-88FA-F4990094C74E}"/>
    <cellStyle name="Normal 2 3 5 10 3" xfId="2972" xr:uid="{7F7523C8-0A53-4986-811A-0545AAC09C34}"/>
    <cellStyle name="Normal 2 3 5 10 3 2" xfId="11815" xr:uid="{9847CEEC-6BF1-4BC3-850B-3047DE9F78D7}"/>
    <cellStyle name="Normal 2 3 5 10 4" xfId="2973" xr:uid="{E6E0B5CE-B814-4C4C-AC34-FB84DD8B89BC}"/>
    <cellStyle name="Normal 2 3 5 10 4 2" xfId="11816" xr:uid="{1B054FC2-7BFA-4E53-811A-A9F6AF514F6C}"/>
    <cellStyle name="Normal 2 3 5 10 5" xfId="11811" xr:uid="{38992831-F124-4338-B2FC-2F4A5FEFC5CD}"/>
    <cellStyle name="Normal 2 3 5 11" xfId="2974" xr:uid="{98E1B3B1-6B34-4B76-B15D-09E79A8F6FD2}"/>
    <cellStyle name="Normal 2 3 5 11 2" xfId="2975" xr:uid="{41A12C09-BBDC-4ED1-B8CE-A5F51F3B4206}"/>
    <cellStyle name="Normal 2 3 5 11 2 2" xfId="2976" xr:uid="{9AAAB3D3-603B-446B-BD5C-2339EAC76841}"/>
    <cellStyle name="Normal 2 3 5 11 2 2 2" xfId="11819" xr:uid="{19E4E09A-B42C-4D26-8D77-7526C4E45579}"/>
    <cellStyle name="Normal 2 3 5 11 2 3" xfId="2977" xr:uid="{81F52A00-AD24-470A-AE6A-B94C860C5130}"/>
    <cellStyle name="Normal 2 3 5 11 2 3 2" xfId="11820" xr:uid="{B336744E-608B-4BF4-BC7C-5407284D4F25}"/>
    <cellStyle name="Normal 2 3 5 11 2 4" xfId="11818" xr:uid="{0FDB290D-1A2B-48A3-9769-A67F4E1F6671}"/>
    <cellStyle name="Normal 2 3 5 11 3" xfId="2978" xr:uid="{74025981-5BDD-4984-A8B0-ACF90D22DB92}"/>
    <cellStyle name="Normal 2 3 5 11 3 2" xfId="11821" xr:uid="{34765144-4682-420B-A8AC-4D6DE9395B57}"/>
    <cellStyle name="Normal 2 3 5 11 4" xfId="2979" xr:uid="{D0831C60-5FD5-4ED0-AB31-8DB58CD13AAF}"/>
    <cellStyle name="Normal 2 3 5 11 4 2" xfId="11822" xr:uid="{CE427DCC-33EB-4902-A6E4-84B80D233E52}"/>
    <cellStyle name="Normal 2 3 5 11 5" xfId="11817" xr:uid="{03A3A14F-C09E-4F92-BA14-2EE47E6D6380}"/>
    <cellStyle name="Normal 2 3 5 12" xfId="2980" xr:uid="{4F488A63-4F20-45F8-A359-1C9F9F5F7300}"/>
    <cellStyle name="Normal 2 3 5 12 2" xfId="2981" xr:uid="{99145171-6A8D-4AF5-ACE5-94993EEABDF7}"/>
    <cellStyle name="Normal 2 3 5 12 2 2" xfId="2982" xr:uid="{5BF57A5C-F20B-4A62-8FFD-68C9CEFE0D95}"/>
    <cellStyle name="Normal 2 3 5 12 2 2 2" xfId="11825" xr:uid="{106DCDC5-9D49-4B31-9096-8E03A29F50D3}"/>
    <cellStyle name="Normal 2 3 5 12 2 3" xfId="2983" xr:uid="{CF553A13-E647-4374-BE92-4529D98542F2}"/>
    <cellStyle name="Normal 2 3 5 12 2 3 2" xfId="11826" xr:uid="{14F648CA-3FE0-4940-9D05-25FC8D28071F}"/>
    <cellStyle name="Normal 2 3 5 12 2 4" xfId="11824" xr:uid="{8E18CB9E-C9F4-42DC-9557-5E00C9E55862}"/>
    <cellStyle name="Normal 2 3 5 12 3" xfId="2984" xr:uid="{FC295992-5699-4C2E-BFD3-6E51D645FACE}"/>
    <cellStyle name="Normal 2 3 5 12 3 2" xfId="11827" xr:uid="{B99AAAD7-2A83-48B9-B4CC-32896DA1B802}"/>
    <cellStyle name="Normal 2 3 5 12 4" xfId="2985" xr:uid="{E3A375A9-79FD-4732-B20C-5F25907D1F06}"/>
    <cellStyle name="Normal 2 3 5 12 4 2" xfId="11828" xr:uid="{7C9034E9-66B6-4007-90C6-AA90F66644EB}"/>
    <cellStyle name="Normal 2 3 5 12 5" xfId="11823" xr:uid="{74C3A1E4-365F-4DC9-92FF-711EE0FDFC12}"/>
    <cellStyle name="Normal 2 3 5 13" xfId="2986" xr:uid="{D531C082-E85D-49DF-B98A-89D0B2D478A5}"/>
    <cellStyle name="Normal 2 3 5 13 2" xfId="2987" xr:uid="{D46D6EA8-247B-4446-A16E-CB5CA3E58DE0}"/>
    <cellStyle name="Normal 2 3 5 13 2 2" xfId="2988" xr:uid="{72379A02-1138-4B0C-BCA1-6994EA6EE422}"/>
    <cellStyle name="Normal 2 3 5 13 2 2 2" xfId="11831" xr:uid="{FF4CC491-8750-41F7-88C2-DB9B47AE5F1B}"/>
    <cellStyle name="Normal 2 3 5 13 2 3" xfId="2989" xr:uid="{41E20072-B6E2-4160-92E9-9CFA44F40FFD}"/>
    <cellStyle name="Normal 2 3 5 13 2 3 2" xfId="11832" xr:uid="{653176C9-73A2-4B91-A04A-10AE0ADAB217}"/>
    <cellStyle name="Normal 2 3 5 13 2 4" xfId="11830" xr:uid="{5BA792B4-F258-4156-976F-7AD4DC6D14BC}"/>
    <cellStyle name="Normal 2 3 5 13 3" xfId="2990" xr:uid="{6378CC74-01B5-49F0-9189-DF162FDEA0B7}"/>
    <cellStyle name="Normal 2 3 5 13 3 2" xfId="11833" xr:uid="{828308ED-25D4-40FE-A954-99D3D0A5B4B8}"/>
    <cellStyle name="Normal 2 3 5 13 4" xfId="2991" xr:uid="{3078BFA0-1E82-4F17-BBBF-6159C13819BC}"/>
    <cellStyle name="Normal 2 3 5 13 4 2" xfId="11834" xr:uid="{AAC3051C-D1E2-415B-9B4A-99B574496124}"/>
    <cellStyle name="Normal 2 3 5 13 5" xfId="11829" xr:uid="{FBEBEB9D-BB4A-4778-A505-06499CE4F08E}"/>
    <cellStyle name="Normal 2 3 5 14" xfId="2992" xr:uid="{6CB75294-15A1-46BF-ADA0-17DB8D0F26B9}"/>
    <cellStyle name="Normal 2 3 5 14 2" xfId="2993" xr:uid="{89253BD8-A0EB-4744-B1A7-DCAB99EE28E2}"/>
    <cellStyle name="Normal 2 3 5 14 2 2" xfId="2994" xr:uid="{C5F45657-8616-4361-B06B-F5FE8F18B3D6}"/>
    <cellStyle name="Normal 2 3 5 14 2 2 2" xfId="11837" xr:uid="{74E357C8-E32F-4A72-8DBD-EC59A942D57F}"/>
    <cellStyle name="Normal 2 3 5 14 2 3" xfId="2995" xr:uid="{F3A26857-8030-4A54-B63A-3F5BB817CA7F}"/>
    <cellStyle name="Normal 2 3 5 14 2 3 2" xfId="11838" xr:uid="{D3290834-5C9E-4570-959E-27A972310FCA}"/>
    <cellStyle name="Normal 2 3 5 14 2 4" xfId="11836" xr:uid="{89530AC3-F6E2-4CE8-8E93-70FE1CB43CA0}"/>
    <cellStyle name="Normal 2 3 5 14 3" xfId="2996" xr:uid="{897AB385-37C8-4ED9-86F1-92A586DD39D0}"/>
    <cellStyle name="Normal 2 3 5 14 3 2" xfId="11839" xr:uid="{A1C8FA42-32BA-45D1-897E-0C3A8A25E71D}"/>
    <cellStyle name="Normal 2 3 5 14 4" xfId="2997" xr:uid="{8388247E-39A2-43EB-A85D-1E44B034AC8F}"/>
    <cellStyle name="Normal 2 3 5 14 4 2" xfId="11840" xr:uid="{1D3E38F1-7B81-469A-BEF0-ACDF2A8D1FDA}"/>
    <cellStyle name="Normal 2 3 5 14 5" xfId="11835" xr:uid="{A32ACF46-325E-470F-B2E8-A6B1CF95D6F0}"/>
    <cellStyle name="Normal 2 3 5 15" xfId="2998" xr:uid="{028272CB-18E4-499F-B4AB-66D9C52BB3D3}"/>
    <cellStyle name="Normal 2 3 5 15 2" xfId="2999" xr:uid="{088F1916-72A9-42CE-A457-C443751C2884}"/>
    <cellStyle name="Normal 2 3 5 15 2 2" xfId="3000" xr:uid="{30CCF5CF-1DE3-4B69-9CA1-C87C05A283B2}"/>
    <cellStyle name="Normal 2 3 5 15 2 2 2" xfId="11843" xr:uid="{1AD9B239-5AD5-4246-ABA1-6E0BCB0007A5}"/>
    <cellStyle name="Normal 2 3 5 15 2 3" xfId="3001" xr:uid="{E86B3831-FD92-4C69-B52B-473709804C29}"/>
    <cellStyle name="Normal 2 3 5 15 2 3 2" xfId="11844" xr:uid="{666953A3-65D0-4AA4-8A3D-ED4A6F1C1960}"/>
    <cellStyle name="Normal 2 3 5 15 2 4" xfId="11842" xr:uid="{A1330678-9944-4EF2-920D-CAB00F42661B}"/>
    <cellStyle name="Normal 2 3 5 15 3" xfId="3002" xr:uid="{B2B4C499-D9B6-4928-A241-B08DCFAA4805}"/>
    <cellStyle name="Normal 2 3 5 15 3 2" xfId="11845" xr:uid="{7956A8E9-6E16-42B7-847C-38B147453821}"/>
    <cellStyle name="Normal 2 3 5 15 4" xfId="3003" xr:uid="{770A34E2-C3C7-4EB9-B7F9-8104DE56037D}"/>
    <cellStyle name="Normal 2 3 5 15 4 2" xfId="11846" xr:uid="{3342A124-B637-4C7E-9B98-69EEF0665499}"/>
    <cellStyle name="Normal 2 3 5 15 5" xfId="11841" xr:uid="{6A4F5A0C-D17D-4DAC-9E76-23023E7960A2}"/>
    <cellStyle name="Normal 2 3 5 16" xfId="3004" xr:uid="{604F8549-2BD9-493C-8FE2-D4215D46733A}"/>
    <cellStyle name="Normal 2 3 5 16 2" xfId="3005" xr:uid="{70509F2E-7EEB-4B4E-B55C-398D3F6874FB}"/>
    <cellStyle name="Normal 2 3 5 16 2 2" xfId="3006" xr:uid="{54A5F032-CCB3-4080-89FD-A72AF54732AE}"/>
    <cellStyle name="Normal 2 3 5 16 2 2 2" xfId="11849" xr:uid="{D0ECD1B1-C54F-4178-9A1D-EE73181D4382}"/>
    <cellStyle name="Normal 2 3 5 16 2 3" xfId="3007" xr:uid="{B5349617-AA50-4D23-AFAC-605E810892F9}"/>
    <cellStyle name="Normal 2 3 5 16 2 3 2" xfId="11850" xr:uid="{265DB0B1-EB66-420F-ADBA-21DAECEEE6AC}"/>
    <cellStyle name="Normal 2 3 5 16 2 4" xfId="11848" xr:uid="{A3D1B389-E9D2-4DE5-8A00-CF61B509D1A6}"/>
    <cellStyle name="Normal 2 3 5 16 3" xfId="3008" xr:uid="{297470AF-5B38-4832-B225-9FA923AAD9C9}"/>
    <cellStyle name="Normal 2 3 5 16 3 2" xfId="11851" xr:uid="{7C3AE42A-9E73-46A8-BAE1-7D29FD18E5EF}"/>
    <cellStyle name="Normal 2 3 5 16 4" xfId="3009" xr:uid="{83495386-9059-441E-B7A2-77E3C151834C}"/>
    <cellStyle name="Normal 2 3 5 16 4 2" xfId="11852" xr:uid="{70BF26FC-9DC5-4CCE-9603-96D5E8BAB060}"/>
    <cellStyle name="Normal 2 3 5 16 5" xfId="11847" xr:uid="{EEEBFB56-3ED3-4067-859A-6DAA3061FB17}"/>
    <cellStyle name="Normal 2 3 5 17" xfId="3010" xr:uid="{1C51F6B7-22D6-4319-AE29-5E1710200A33}"/>
    <cellStyle name="Normal 2 3 5 17 2" xfId="3011" xr:uid="{DDCF9495-D135-4FBF-8D7C-AE30F7756459}"/>
    <cellStyle name="Normal 2 3 5 17 2 2" xfId="3012" xr:uid="{AF3612CC-DF87-4B18-A9D5-36CCF261F653}"/>
    <cellStyle name="Normal 2 3 5 17 2 2 2" xfId="11855" xr:uid="{84211CA4-A97C-4111-ABCD-D92E9E748E95}"/>
    <cellStyle name="Normal 2 3 5 17 2 3" xfId="3013" xr:uid="{855B3F1B-5E2C-449C-92EF-2B61F89DF248}"/>
    <cellStyle name="Normal 2 3 5 17 2 3 2" xfId="11856" xr:uid="{9805FCC7-5B18-42BE-AA78-480424CC5FF2}"/>
    <cellStyle name="Normal 2 3 5 17 2 4" xfId="11854" xr:uid="{6003E1CD-C985-4AD3-A594-F4F3C109BBC2}"/>
    <cellStyle name="Normal 2 3 5 17 3" xfId="3014" xr:uid="{0D5BB798-F864-467F-8862-F63E8598A95A}"/>
    <cellStyle name="Normal 2 3 5 17 3 2" xfId="11857" xr:uid="{93307CE9-6146-4637-976C-94863CD32A0C}"/>
    <cellStyle name="Normal 2 3 5 17 4" xfId="3015" xr:uid="{77D141BA-3FDA-4108-98DD-7143B7546B8B}"/>
    <cellStyle name="Normal 2 3 5 17 4 2" xfId="11858" xr:uid="{6023FF7E-2027-4A06-A1E0-1AB09C6F5EF5}"/>
    <cellStyle name="Normal 2 3 5 17 5" xfId="11853" xr:uid="{FD173CE7-DAA2-4FC5-8A0A-ECB819B33A04}"/>
    <cellStyle name="Normal 2 3 5 18" xfId="3016" xr:uid="{5704A0E6-6B3B-4488-A4F7-B08E6AA65158}"/>
    <cellStyle name="Normal 2 3 5 18 2" xfId="3017" xr:uid="{4631BFB3-3B8D-4A44-B994-7EE7B321B446}"/>
    <cellStyle name="Normal 2 3 5 18 2 2" xfId="3018" xr:uid="{FBEF5269-9AE8-432A-B762-9F5386E9FAB7}"/>
    <cellStyle name="Normal 2 3 5 18 2 2 2" xfId="11861" xr:uid="{F905B4F1-881D-4CD1-A8B2-570BA4DA5C66}"/>
    <cellStyle name="Normal 2 3 5 18 2 3" xfId="3019" xr:uid="{09538B7D-6603-4D7D-A10E-5EFD002BA312}"/>
    <cellStyle name="Normal 2 3 5 18 2 3 2" xfId="11862" xr:uid="{F5A88C33-C01F-4ECA-8F43-85565A9CF153}"/>
    <cellStyle name="Normal 2 3 5 18 2 4" xfId="11860" xr:uid="{E73626D4-624F-48DE-B14B-C2708FAEB159}"/>
    <cellStyle name="Normal 2 3 5 18 3" xfId="3020" xr:uid="{875C099C-F472-42B8-B4C2-D777529193EB}"/>
    <cellStyle name="Normal 2 3 5 18 3 2" xfId="11863" xr:uid="{185198CE-114B-4D2E-9BFF-636A81977E75}"/>
    <cellStyle name="Normal 2 3 5 18 4" xfId="3021" xr:uid="{D33A5AF2-A30B-48D7-A3D1-2DFD92F1EC2B}"/>
    <cellStyle name="Normal 2 3 5 18 4 2" xfId="11864" xr:uid="{D3867FDA-DFB3-42A3-835A-8FDA911245E7}"/>
    <cellStyle name="Normal 2 3 5 18 5" xfId="11859" xr:uid="{59D9E1B9-36C9-4AAE-BEEF-0E47BCC3B565}"/>
    <cellStyle name="Normal 2 3 5 19" xfId="3022" xr:uid="{A7F49A16-FA60-4D3C-B638-B458AB9DA7FC}"/>
    <cellStyle name="Normal 2 3 5 19 2" xfId="3023" xr:uid="{393515A5-893A-4DF0-9CFF-AC383508E394}"/>
    <cellStyle name="Normal 2 3 5 19 2 2" xfId="3024" xr:uid="{D702615D-2F24-43E1-9D36-6F5397768DF8}"/>
    <cellStyle name="Normal 2 3 5 19 2 2 2" xfId="11867" xr:uid="{9B3F8CD8-6D05-4DC3-96AD-2438DEF2658E}"/>
    <cellStyle name="Normal 2 3 5 19 2 3" xfId="3025" xr:uid="{CF9EBC3B-5C2E-414C-A55D-2E8BB12983A2}"/>
    <cellStyle name="Normal 2 3 5 19 2 3 2" xfId="11868" xr:uid="{491F9194-75BF-448B-ACF4-B410A07B78F5}"/>
    <cellStyle name="Normal 2 3 5 19 2 4" xfId="11866" xr:uid="{739025EA-51EB-4212-986A-763F35EA606F}"/>
    <cellStyle name="Normal 2 3 5 19 3" xfId="3026" xr:uid="{B0E437F0-FA2C-4BC3-8CFC-6E67AF1BD247}"/>
    <cellStyle name="Normal 2 3 5 19 3 2" xfId="11869" xr:uid="{52AAF710-0E5A-4A80-96F1-DC51C8F255C8}"/>
    <cellStyle name="Normal 2 3 5 19 4" xfId="3027" xr:uid="{288332FC-E3C5-4892-A0D4-F1A8EEAD0A1F}"/>
    <cellStyle name="Normal 2 3 5 19 4 2" xfId="11870" xr:uid="{EF72E658-9BC7-404F-AC40-C21D3A43495F}"/>
    <cellStyle name="Normal 2 3 5 19 5" xfId="11865" xr:uid="{3E35D948-C973-49DD-8B73-B103E4117A93}"/>
    <cellStyle name="Normal 2 3 5 2" xfId="3028" xr:uid="{6DCE08FA-0D76-4348-BD9F-D82A8B862DEC}"/>
    <cellStyle name="Normal 2 3 5 2 2" xfId="3029" xr:uid="{CF4A022B-40CD-492D-ACF0-E9CAC5035F6A}"/>
    <cellStyle name="Normal 2 3 5 2 2 2" xfId="3030" xr:uid="{F870255E-E774-4834-A362-96EB0B66AE05}"/>
    <cellStyle name="Normal 2 3 5 2 2 2 2" xfId="11873" xr:uid="{0C862413-01D3-480D-9EF8-37CDC9BE75C4}"/>
    <cellStyle name="Normal 2 3 5 2 2 3" xfId="3031" xr:uid="{16A1E333-A41C-4CAD-819E-AE42412E8F96}"/>
    <cellStyle name="Normal 2 3 5 2 2 3 2" xfId="11874" xr:uid="{77438BBC-140C-481E-9A20-42EA1D133938}"/>
    <cellStyle name="Normal 2 3 5 2 2 4" xfId="11872" xr:uid="{8CE08D9D-46EC-4FEA-8958-509BE3093212}"/>
    <cellStyle name="Normal 2 3 5 2 3" xfId="3032" xr:uid="{3FC6BD77-9E52-4807-B5B8-D924598CE59A}"/>
    <cellStyle name="Normal 2 3 5 2 3 2" xfId="11875" xr:uid="{7DE4A26B-B711-4F72-A678-0D446A520744}"/>
    <cellStyle name="Normal 2 3 5 2 4" xfId="3033" xr:uid="{91C74C55-6EFA-4A53-8325-32FB4A761C7F}"/>
    <cellStyle name="Normal 2 3 5 2 4 2" xfId="11876" xr:uid="{9D62561F-52C8-4B4A-BA32-EB86D9A9A2F1}"/>
    <cellStyle name="Normal 2 3 5 2 5" xfId="11871" xr:uid="{C08D3437-E50E-4FAB-9FF9-3C57B394B281}"/>
    <cellStyle name="Normal 2 3 5 20" xfId="3034" xr:uid="{938BB891-63ED-4280-8587-C2705C6D84EC}"/>
    <cellStyle name="Normal 2 3 5 20 2" xfId="3035" xr:uid="{B245F7A3-BDB5-45FE-8D6F-16316D6EA331}"/>
    <cellStyle name="Normal 2 3 5 20 2 2" xfId="3036" xr:uid="{1BB156F9-0A0B-46B1-9AC7-A81BADF97668}"/>
    <cellStyle name="Normal 2 3 5 20 2 2 2" xfId="11879" xr:uid="{7BF2F8C1-9A43-40D6-A465-75B78018148C}"/>
    <cellStyle name="Normal 2 3 5 20 2 3" xfId="3037" xr:uid="{F8E020CA-E051-4E23-908F-30DB663321CE}"/>
    <cellStyle name="Normal 2 3 5 20 2 3 2" xfId="11880" xr:uid="{45E72169-FBED-492B-88A5-99063B6C71B4}"/>
    <cellStyle name="Normal 2 3 5 20 2 4" xfId="11878" xr:uid="{3CF3993A-C18B-4A6F-8DFE-E0EB0ACBA1EC}"/>
    <cellStyle name="Normal 2 3 5 20 3" xfId="3038" xr:uid="{BE683D2F-9B39-458B-8765-9B7EEE2EC3C6}"/>
    <cellStyle name="Normal 2 3 5 20 3 2" xfId="11881" xr:uid="{656E7213-FD3C-45BB-A6B0-0EA07222D877}"/>
    <cellStyle name="Normal 2 3 5 20 4" xfId="3039" xr:uid="{0289C69B-D6C3-42F6-AF68-369843DC1E46}"/>
    <cellStyle name="Normal 2 3 5 20 4 2" xfId="11882" xr:uid="{F2A6DAE8-5165-4260-91A3-74B21C1FCF80}"/>
    <cellStyle name="Normal 2 3 5 20 5" xfId="11877" xr:uid="{28B55FF6-766C-4C0D-B10E-89F5474CD1AB}"/>
    <cellStyle name="Normal 2 3 5 21" xfId="3040" xr:uid="{59E01A6F-42CF-4455-AA90-7E45063FA61B}"/>
    <cellStyle name="Normal 2 3 5 21 2" xfId="3041" xr:uid="{E089498A-C070-42B3-B160-06639A984D1C}"/>
    <cellStyle name="Normal 2 3 5 21 2 2" xfId="3042" xr:uid="{88A6E3F2-2F9E-40CF-9105-9AAA42FE03AA}"/>
    <cellStyle name="Normal 2 3 5 21 2 2 2" xfId="11885" xr:uid="{66FA35E5-33E3-4C2E-84CE-50F6C4589C60}"/>
    <cellStyle name="Normal 2 3 5 21 2 3" xfId="3043" xr:uid="{06C13C60-CB50-4A06-96C9-7F16E12DF17F}"/>
    <cellStyle name="Normal 2 3 5 21 2 3 2" xfId="11886" xr:uid="{FF4006FD-A221-4B27-BF00-FCA46EB8662B}"/>
    <cellStyle name="Normal 2 3 5 21 2 4" xfId="11884" xr:uid="{7CD48BF1-5BA6-4087-8FF6-2D0903B35642}"/>
    <cellStyle name="Normal 2 3 5 21 3" xfId="3044" xr:uid="{35E34834-A22C-479E-B05A-4054FAE659BE}"/>
    <cellStyle name="Normal 2 3 5 21 3 2" xfId="11887" xr:uid="{61FA3AB5-867D-4B0B-8E90-1F1680C0C75A}"/>
    <cellStyle name="Normal 2 3 5 21 4" xfId="3045" xr:uid="{476FCDC9-A711-442B-AAA9-AF708FE6BC1E}"/>
    <cellStyle name="Normal 2 3 5 21 4 2" xfId="11888" xr:uid="{82908560-C9AB-4395-84C6-0DB7190A19BF}"/>
    <cellStyle name="Normal 2 3 5 21 5" xfId="11883" xr:uid="{3F35E7C9-438E-441C-89A7-E2CCC189317B}"/>
    <cellStyle name="Normal 2 3 5 22" xfId="3046" xr:uid="{1547E416-08BC-4A79-9F1F-11B89AF570C1}"/>
    <cellStyle name="Normal 2 3 5 22 2" xfId="3047" xr:uid="{128FCE77-6DF4-4C86-A26B-6A4CC0ADEF99}"/>
    <cellStyle name="Normal 2 3 5 22 2 2" xfId="3048" xr:uid="{5D99D558-6119-42ED-B3F8-09088FAE8C75}"/>
    <cellStyle name="Normal 2 3 5 22 2 2 2" xfId="11891" xr:uid="{EDF525AF-D91C-4F4B-AF5A-8CB8D8489F4F}"/>
    <cellStyle name="Normal 2 3 5 22 2 3" xfId="3049" xr:uid="{4755FC25-1115-4299-AA32-3CA24E82A48D}"/>
    <cellStyle name="Normal 2 3 5 22 2 3 2" xfId="11892" xr:uid="{D4D0D3DB-758B-4593-BD95-CEA0E4D60A68}"/>
    <cellStyle name="Normal 2 3 5 22 2 4" xfId="11890" xr:uid="{90C9B895-C48C-478E-BB6A-45AC0BECCE6F}"/>
    <cellStyle name="Normal 2 3 5 22 3" xfId="3050" xr:uid="{07F20ACA-6E78-4AC0-88E8-644AAEB7E1A7}"/>
    <cellStyle name="Normal 2 3 5 22 3 2" xfId="11893" xr:uid="{B8B19B3A-5933-43C1-9EF3-E66C64A5399B}"/>
    <cellStyle name="Normal 2 3 5 22 4" xfId="3051" xr:uid="{3FE3317E-B419-4B68-B33A-18D43E19FAA6}"/>
    <cellStyle name="Normal 2 3 5 22 4 2" xfId="11894" xr:uid="{4E5FEB46-CD83-47C5-BE23-3D12A04EE91E}"/>
    <cellStyle name="Normal 2 3 5 22 5" xfId="11889" xr:uid="{B8C062B9-781F-4160-8B7E-2232346D20A0}"/>
    <cellStyle name="Normal 2 3 5 23" xfId="3052" xr:uid="{7A8DC735-80E8-42E6-95A7-7FBFC9CE60B0}"/>
    <cellStyle name="Normal 2 3 5 23 2" xfId="3053" xr:uid="{3E1A5DDE-BE43-4FCA-A47A-9C97975C1EC7}"/>
    <cellStyle name="Normal 2 3 5 23 2 2" xfId="3054" xr:uid="{49D088F7-C380-4AA5-8F44-7B6A60EBA04B}"/>
    <cellStyle name="Normal 2 3 5 23 2 2 2" xfId="11897" xr:uid="{E019DBBF-065A-40E4-81EF-A9DA69E30665}"/>
    <cellStyle name="Normal 2 3 5 23 2 3" xfId="3055" xr:uid="{857E381A-899C-485F-9554-F512D98E8656}"/>
    <cellStyle name="Normal 2 3 5 23 2 3 2" xfId="11898" xr:uid="{1AE31CB5-FF1B-42E9-91B5-0BB60D08F6C5}"/>
    <cellStyle name="Normal 2 3 5 23 2 4" xfId="11896" xr:uid="{2B401E30-6557-4BA5-A61C-3BFB477C449F}"/>
    <cellStyle name="Normal 2 3 5 23 3" xfId="3056" xr:uid="{A727C020-ED65-4A0A-8713-A1F8FA6F2D8B}"/>
    <cellStyle name="Normal 2 3 5 23 3 2" xfId="11899" xr:uid="{9CD137BF-9F59-4A94-BA76-49779A1D1D25}"/>
    <cellStyle name="Normal 2 3 5 23 4" xfId="3057" xr:uid="{18559CF2-A180-42E1-B46F-B406C4513701}"/>
    <cellStyle name="Normal 2 3 5 23 4 2" xfId="11900" xr:uid="{4E53C6EA-8650-41EF-A70C-DFB127C6509C}"/>
    <cellStyle name="Normal 2 3 5 23 5" xfId="11895" xr:uid="{F011CD5F-FCC4-4C5E-9F0E-D857059D9357}"/>
    <cellStyle name="Normal 2 3 5 24" xfId="3058" xr:uid="{614FA370-3F8B-40DA-953C-E50534A991D2}"/>
    <cellStyle name="Normal 2 3 5 24 2" xfId="3059" xr:uid="{CF67ECEE-B372-428A-BD05-2128626A7DBA}"/>
    <cellStyle name="Normal 2 3 5 24 2 2" xfId="3060" xr:uid="{A26E9E36-EB32-4B72-827A-F822526FE7D4}"/>
    <cellStyle name="Normal 2 3 5 24 2 2 2" xfId="11903" xr:uid="{E005E301-9BD8-4674-91D3-26D49DC3303B}"/>
    <cellStyle name="Normal 2 3 5 24 2 3" xfId="3061" xr:uid="{03C59580-2EA2-4FE4-835C-2F783B20BA4B}"/>
    <cellStyle name="Normal 2 3 5 24 2 3 2" xfId="11904" xr:uid="{03F9D238-7266-4FB0-B81B-79939B736F84}"/>
    <cellStyle name="Normal 2 3 5 24 2 4" xfId="11902" xr:uid="{A06D22EA-6B2F-439D-9BF1-C65814D17955}"/>
    <cellStyle name="Normal 2 3 5 24 3" xfId="3062" xr:uid="{0EB92EDF-BF35-4A28-9DEB-CB711B5854C0}"/>
    <cellStyle name="Normal 2 3 5 24 3 2" xfId="11905" xr:uid="{5DAED3A4-85A6-4556-B52C-5AC8C0BD221D}"/>
    <cellStyle name="Normal 2 3 5 24 4" xfId="3063" xr:uid="{5D3FDA29-C57C-4FB7-90BB-27C97F68895D}"/>
    <cellStyle name="Normal 2 3 5 24 4 2" xfId="11906" xr:uid="{DEAADC47-111C-4B7C-BE7E-EE7276FC7055}"/>
    <cellStyle name="Normal 2 3 5 24 5" xfId="11901" xr:uid="{924C83EB-3C90-401E-BD82-77D7B327A7DA}"/>
    <cellStyle name="Normal 2 3 5 25" xfId="3064" xr:uid="{93DA8141-0CC8-4BE4-BF3D-08FC6E1EA2B5}"/>
    <cellStyle name="Normal 2 3 5 25 2" xfId="3065" xr:uid="{192ECDC6-6E5D-4960-ADFD-FE6DAA241426}"/>
    <cellStyle name="Normal 2 3 5 25 2 2" xfId="3066" xr:uid="{E8062951-5166-4083-AF80-DA52096EB39B}"/>
    <cellStyle name="Normal 2 3 5 25 2 2 2" xfId="11909" xr:uid="{0038C6C2-2D5B-49E7-917A-F0F6793B3083}"/>
    <cellStyle name="Normal 2 3 5 25 2 3" xfId="3067" xr:uid="{EF2FE6BB-DDC3-4EE1-B430-27835D2A2D33}"/>
    <cellStyle name="Normal 2 3 5 25 2 3 2" xfId="11910" xr:uid="{044F8200-9A0B-4983-A0A9-A34FDEB095D8}"/>
    <cellStyle name="Normal 2 3 5 25 2 4" xfId="11908" xr:uid="{7850B564-C263-4359-B820-A7CFAD2DC199}"/>
    <cellStyle name="Normal 2 3 5 25 3" xfId="3068" xr:uid="{7A81FE7E-1A90-4E6F-8390-FB2E0D93E4D2}"/>
    <cellStyle name="Normal 2 3 5 25 3 2" xfId="11911" xr:uid="{424F41F9-F4C8-4795-A558-BA49DF5B2A2E}"/>
    <cellStyle name="Normal 2 3 5 25 4" xfId="3069" xr:uid="{23B57ED9-C1D5-42E0-A1D0-2E1CA7B5E002}"/>
    <cellStyle name="Normal 2 3 5 25 4 2" xfId="11912" xr:uid="{AA131791-D608-4CC4-9310-80A82CDE4470}"/>
    <cellStyle name="Normal 2 3 5 25 5" xfId="11907" xr:uid="{5E8B9220-3693-4714-9BD9-8012614E90BE}"/>
    <cellStyle name="Normal 2 3 5 26" xfId="3070" xr:uid="{CDD6CE65-D37B-4EB0-BE52-56B0794F8659}"/>
    <cellStyle name="Normal 2 3 5 26 2" xfId="3071" xr:uid="{84624315-55A7-4320-A5C8-27DA54DC2C05}"/>
    <cellStyle name="Normal 2 3 5 26 2 2" xfId="3072" xr:uid="{20F1BF3B-37EB-481F-B264-B794070093D9}"/>
    <cellStyle name="Normal 2 3 5 26 2 2 2" xfId="11915" xr:uid="{FBBCCB15-FA8E-440F-8EBB-71498D38A971}"/>
    <cellStyle name="Normal 2 3 5 26 2 3" xfId="3073" xr:uid="{8E330F33-3710-4206-9AF8-4CD1D90C987A}"/>
    <cellStyle name="Normal 2 3 5 26 2 3 2" xfId="11916" xr:uid="{AEC26924-6257-42EB-865D-747EE7B4A6FC}"/>
    <cellStyle name="Normal 2 3 5 26 2 4" xfId="11914" xr:uid="{A3FC91EA-5B2D-4B3F-8E79-E7F06647B01E}"/>
    <cellStyle name="Normal 2 3 5 26 3" xfId="3074" xr:uid="{82F7358D-958A-455D-B2BA-68E306EB58F4}"/>
    <cellStyle name="Normal 2 3 5 26 3 2" xfId="11917" xr:uid="{4F6C81DB-F292-4065-8EAA-1D7186BE89B8}"/>
    <cellStyle name="Normal 2 3 5 26 4" xfId="3075" xr:uid="{29E70A91-B50B-4F85-844F-6C48C4E31680}"/>
    <cellStyle name="Normal 2 3 5 26 4 2" xfId="11918" xr:uid="{68A696CD-8161-45B8-8C5E-46EE66E59D94}"/>
    <cellStyle name="Normal 2 3 5 26 5" xfId="11913" xr:uid="{98CCD460-B885-4CED-8CA7-31E3AB2BCF22}"/>
    <cellStyle name="Normal 2 3 5 27" xfId="3076" xr:uid="{6E782B92-D7CF-40B7-A22B-0AF0A7091847}"/>
    <cellStyle name="Normal 2 3 5 27 2" xfId="3077" xr:uid="{3CD2B0C8-AFEA-49C9-8F2C-1B2E5789A95C}"/>
    <cellStyle name="Normal 2 3 5 27 2 2" xfId="3078" xr:uid="{02E43AFD-7DAE-4ED4-B910-92D549861F54}"/>
    <cellStyle name="Normal 2 3 5 27 2 2 2" xfId="11921" xr:uid="{6F47F0FA-6B0A-45BB-8E5E-5C6EB7F364B9}"/>
    <cellStyle name="Normal 2 3 5 27 2 3" xfId="3079" xr:uid="{F3E72FE4-9235-48BB-9C37-7AB5F658F529}"/>
    <cellStyle name="Normal 2 3 5 27 2 3 2" xfId="11922" xr:uid="{C7DB74C9-A31E-479D-8651-841D74B71CAB}"/>
    <cellStyle name="Normal 2 3 5 27 2 4" xfId="11920" xr:uid="{8B8276DC-DACD-478B-8EBB-4561F27B54D2}"/>
    <cellStyle name="Normal 2 3 5 27 3" xfId="3080" xr:uid="{763A4D80-4B9D-4A78-AAB1-E714555CDDE8}"/>
    <cellStyle name="Normal 2 3 5 27 3 2" xfId="11923" xr:uid="{AF7DA578-48A7-4968-AD9A-0087C714F1D2}"/>
    <cellStyle name="Normal 2 3 5 27 4" xfId="3081" xr:uid="{3B115EAD-E08A-413A-BA06-49B515A3D9C1}"/>
    <cellStyle name="Normal 2 3 5 27 4 2" xfId="11924" xr:uid="{C77EE4C4-C341-41FC-A374-C8216B9CDB09}"/>
    <cellStyle name="Normal 2 3 5 27 5" xfId="11919" xr:uid="{A4C81D85-2EF9-4010-B70E-92ED3E3BEF32}"/>
    <cellStyle name="Normal 2 3 5 28" xfId="3082" xr:uid="{4728F2F5-5069-4AFB-ACF7-38AF4BB95EE0}"/>
    <cellStyle name="Normal 2 3 5 28 2" xfId="3083" xr:uid="{1BB17D27-D679-405D-A8D0-0FE0BAB61B63}"/>
    <cellStyle name="Normal 2 3 5 28 2 2" xfId="3084" xr:uid="{499E109C-2DE2-45ED-AE90-0FB91614E8B0}"/>
    <cellStyle name="Normal 2 3 5 28 2 2 2" xfId="11927" xr:uid="{EA24F9D8-1A3F-4039-A986-367EBC11D2B2}"/>
    <cellStyle name="Normal 2 3 5 28 2 3" xfId="3085" xr:uid="{68C85D6A-13E2-4D1F-9AA1-075AD2113A6B}"/>
    <cellStyle name="Normal 2 3 5 28 2 3 2" xfId="11928" xr:uid="{7B6F5F74-F460-4CC7-BC8E-10FDA848DBB9}"/>
    <cellStyle name="Normal 2 3 5 28 2 4" xfId="11926" xr:uid="{C1B68C09-D574-4A47-B2F7-51B76DBB457E}"/>
    <cellStyle name="Normal 2 3 5 28 3" xfId="3086" xr:uid="{4D51F500-2E35-4BFB-BFA3-D976372775CA}"/>
    <cellStyle name="Normal 2 3 5 28 3 2" xfId="11929" xr:uid="{8749C7F8-4731-450A-AD2F-CF65D099DE1B}"/>
    <cellStyle name="Normal 2 3 5 28 4" xfId="3087" xr:uid="{D4FBAF1C-2DD1-41F3-B2B4-8B8735447F47}"/>
    <cellStyle name="Normal 2 3 5 28 4 2" xfId="11930" xr:uid="{A475814D-E2E1-4712-A87A-1A01D1D109AA}"/>
    <cellStyle name="Normal 2 3 5 28 5" xfId="11925" xr:uid="{A553138E-1985-4294-BF21-EFB08789181F}"/>
    <cellStyle name="Normal 2 3 5 29" xfId="3088" xr:uid="{F013C861-908A-46EB-AB7E-04E44AF9E1F4}"/>
    <cellStyle name="Normal 2 3 5 29 2" xfId="3089" xr:uid="{BA39C04D-3AEB-4C0D-8DD8-3CF07D037DB5}"/>
    <cellStyle name="Normal 2 3 5 29 2 2" xfId="3090" xr:uid="{9C1BBA41-F36E-44F0-ADE9-4295DF6B4EDC}"/>
    <cellStyle name="Normal 2 3 5 29 2 2 2" xfId="11933" xr:uid="{2C2577DB-AC39-4838-85B2-E11505D20DDA}"/>
    <cellStyle name="Normal 2 3 5 29 2 3" xfId="3091" xr:uid="{AFB84848-6FF9-46A0-9F29-14C69A111D95}"/>
    <cellStyle name="Normal 2 3 5 29 2 3 2" xfId="11934" xr:uid="{8F45698D-1C7D-43CE-A731-80B8FC9F8524}"/>
    <cellStyle name="Normal 2 3 5 29 2 4" xfId="11932" xr:uid="{DFB056CB-A1F7-4986-8213-303138498CE4}"/>
    <cellStyle name="Normal 2 3 5 29 3" xfId="3092" xr:uid="{A247F6D8-0B02-426F-9F37-2734306759F2}"/>
    <cellStyle name="Normal 2 3 5 29 3 2" xfId="11935" xr:uid="{72BAD324-D107-48E5-892A-2F6DDD7182DD}"/>
    <cellStyle name="Normal 2 3 5 29 4" xfId="3093" xr:uid="{CB40F8E8-301D-4194-B3FB-02CC8BE2DA76}"/>
    <cellStyle name="Normal 2 3 5 29 4 2" xfId="11936" xr:uid="{F1EA4A61-861A-407B-B730-9CE4A3DD31A0}"/>
    <cellStyle name="Normal 2 3 5 29 5" xfId="11931" xr:uid="{7150B08E-8673-4E70-A09F-D938624EC3D6}"/>
    <cellStyle name="Normal 2 3 5 3" xfId="3094" xr:uid="{84800601-AD32-4396-B05B-699170070664}"/>
    <cellStyle name="Normal 2 3 5 3 2" xfId="3095" xr:uid="{E4C1750F-3B7D-449D-B83F-8B0268AE416E}"/>
    <cellStyle name="Normal 2 3 5 3 2 2" xfId="3096" xr:uid="{84AA7002-5F24-44F0-ACE4-4BFD4AA27AE4}"/>
    <cellStyle name="Normal 2 3 5 3 2 2 2" xfId="11939" xr:uid="{7ED2CAE8-8BDC-49A0-B3AE-1EC846E46D89}"/>
    <cellStyle name="Normal 2 3 5 3 2 3" xfId="3097" xr:uid="{EB1A4E60-4F41-4772-840E-8D100B2B79B0}"/>
    <cellStyle name="Normal 2 3 5 3 2 3 2" xfId="11940" xr:uid="{CC795013-AA97-4775-9FA0-63DF76A981BF}"/>
    <cellStyle name="Normal 2 3 5 3 2 4" xfId="11938" xr:uid="{CC98C970-2CD9-4D77-A005-AB18620F841F}"/>
    <cellStyle name="Normal 2 3 5 3 3" xfId="3098" xr:uid="{3CFEBE3C-6A10-4E99-8FFB-8297B92CD9FD}"/>
    <cellStyle name="Normal 2 3 5 3 3 2" xfId="11941" xr:uid="{70FE499D-F113-4485-AAE0-A996C843E2B2}"/>
    <cellStyle name="Normal 2 3 5 3 4" xfId="3099" xr:uid="{31ECA8A7-483E-4243-A696-178AC5AE128D}"/>
    <cellStyle name="Normal 2 3 5 3 4 2" xfId="11942" xr:uid="{7BBA47FD-0168-407E-9EA4-648434AE4677}"/>
    <cellStyle name="Normal 2 3 5 3 5" xfId="11937" xr:uid="{594E85E8-8B9C-45AC-AC5C-49D6A16940F6}"/>
    <cellStyle name="Normal 2 3 5 30" xfId="3100" xr:uid="{36772B03-D927-445E-8968-08306052A990}"/>
    <cellStyle name="Normal 2 3 5 30 2" xfId="3101" xr:uid="{7B933FA2-2D1B-4B97-9EBC-3B479B1DE6EF}"/>
    <cellStyle name="Normal 2 3 5 30 2 2" xfId="3102" xr:uid="{C8A31C38-4756-4B68-B463-0E71ED434E88}"/>
    <cellStyle name="Normal 2 3 5 30 2 2 2" xfId="11945" xr:uid="{16053F7B-BE22-40EF-A2B6-507136277939}"/>
    <cellStyle name="Normal 2 3 5 30 2 3" xfId="3103" xr:uid="{08A959FD-29BB-4B07-B128-628F84275570}"/>
    <cellStyle name="Normal 2 3 5 30 2 3 2" xfId="11946" xr:uid="{221E5660-5698-4F6F-B897-99DE3DCA437C}"/>
    <cellStyle name="Normal 2 3 5 30 2 4" xfId="11944" xr:uid="{6A5C0D0F-EB4A-4FD1-9CAC-22DD0D50A52E}"/>
    <cellStyle name="Normal 2 3 5 30 3" xfId="3104" xr:uid="{64A22D16-2F70-4B56-82F1-893B908B62F8}"/>
    <cellStyle name="Normal 2 3 5 30 3 2" xfId="11947" xr:uid="{DB065371-4A7F-4322-A529-7ACD791D65A8}"/>
    <cellStyle name="Normal 2 3 5 30 4" xfId="3105" xr:uid="{0BEA2075-C3F1-49F2-9302-194CEF972630}"/>
    <cellStyle name="Normal 2 3 5 30 4 2" xfId="11948" xr:uid="{96939C4F-F985-4749-865A-F325DC3E8111}"/>
    <cellStyle name="Normal 2 3 5 30 5" xfId="11943" xr:uid="{EE67550C-20BB-46DB-AA25-4FE21F17BF15}"/>
    <cellStyle name="Normal 2 3 5 31" xfId="3106" xr:uid="{6D420461-19CA-42A8-8CEB-68A66D1C440B}"/>
    <cellStyle name="Normal 2 3 5 31 2" xfId="3107" xr:uid="{1DFA91E6-9A5F-426C-BF1B-868F0B613B20}"/>
    <cellStyle name="Normal 2 3 5 31 2 2" xfId="3108" xr:uid="{68C1B31D-643A-474F-987F-AD2F85734B45}"/>
    <cellStyle name="Normal 2 3 5 31 2 2 2" xfId="11951" xr:uid="{E3A02005-4E60-4ABF-AC23-2A9E5C087350}"/>
    <cellStyle name="Normal 2 3 5 31 2 3" xfId="3109" xr:uid="{76FB8227-0CD6-4823-8E6D-959445A7B193}"/>
    <cellStyle name="Normal 2 3 5 31 2 3 2" xfId="11952" xr:uid="{EA350F87-706F-4292-915B-217CE58B60CF}"/>
    <cellStyle name="Normal 2 3 5 31 2 4" xfId="11950" xr:uid="{8AE3D4ED-8398-42AD-973B-25803566A98A}"/>
    <cellStyle name="Normal 2 3 5 31 3" xfId="3110" xr:uid="{D24954D5-7D30-4DE1-BA0D-668B5DAF3F3C}"/>
    <cellStyle name="Normal 2 3 5 31 3 2" xfId="11953" xr:uid="{5620F971-A58C-4B48-9ACC-1FD1A9E5E9EC}"/>
    <cellStyle name="Normal 2 3 5 31 4" xfId="3111" xr:uid="{955EB431-8588-4B40-AFEF-ED2846DC8DE8}"/>
    <cellStyle name="Normal 2 3 5 31 4 2" xfId="11954" xr:uid="{1DF650AA-EE03-4F1C-816B-EFDA5B591332}"/>
    <cellStyle name="Normal 2 3 5 31 5" xfId="11949" xr:uid="{34591C79-FBB4-4EA9-9D08-B2E7B3E1CCEE}"/>
    <cellStyle name="Normal 2 3 5 32" xfId="3112" xr:uid="{2EDC9B11-F42C-4B3E-9CC4-B9D219849534}"/>
    <cellStyle name="Normal 2 3 5 32 2" xfId="3113" xr:uid="{779C95FA-9F57-4715-A974-94494DEE1663}"/>
    <cellStyle name="Normal 2 3 5 32 2 2" xfId="3114" xr:uid="{CAF19DD2-8665-421A-8389-FF6F5D62BD82}"/>
    <cellStyle name="Normal 2 3 5 32 2 2 2" xfId="11957" xr:uid="{7C762365-227B-41C0-A6AF-C2531C6A677D}"/>
    <cellStyle name="Normal 2 3 5 32 2 3" xfId="3115" xr:uid="{966FB0A2-3B80-440A-A4AE-EB216DD39295}"/>
    <cellStyle name="Normal 2 3 5 32 2 3 2" xfId="11958" xr:uid="{88B4C029-88FC-4110-BC83-6770CAE285A6}"/>
    <cellStyle name="Normal 2 3 5 32 2 4" xfId="11956" xr:uid="{A3BE3918-C4E8-4769-B32D-C3B4DA4D864D}"/>
    <cellStyle name="Normal 2 3 5 32 3" xfId="3116" xr:uid="{1DBEDEFD-896B-4783-A8B2-0CD53129B0D5}"/>
    <cellStyle name="Normal 2 3 5 32 3 2" xfId="11959" xr:uid="{1748E20A-618A-4F65-9290-696FE5D3214F}"/>
    <cellStyle name="Normal 2 3 5 32 4" xfId="3117" xr:uid="{07BA24DD-C247-42FA-976A-4EDA3DAFA24B}"/>
    <cellStyle name="Normal 2 3 5 32 4 2" xfId="11960" xr:uid="{A6EC1A2E-7F31-4951-B44F-1F1832A759D8}"/>
    <cellStyle name="Normal 2 3 5 32 5" xfId="11955" xr:uid="{F2439D42-9061-48CA-958E-E8F7601B553B}"/>
    <cellStyle name="Normal 2 3 5 33" xfId="3118" xr:uid="{C938A245-A2BD-4986-8029-3E6417491827}"/>
    <cellStyle name="Normal 2 3 5 33 2" xfId="3119" xr:uid="{7A47B56B-4995-4A4F-B02A-EDA43ADD112C}"/>
    <cellStyle name="Normal 2 3 5 33 2 2" xfId="3120" xr:uid="{0AC2502A-7B5F-4F1F-A340-6FA3D4C50429}"/>
    <cellStyle name="Normal 2 3 5 33 2 2 2" xfId="11963" xr:uid="{CF0462F1-6259-4E9D-A929-99B71E57C0B9}"/>
    <cellStyle name="Normal 2 3 5 33 2 3" xfId="3121" xr:uid="{2AF09C43-12C4-4855-9226-0A1FA9A088C8}"/>
    <cellStyle name="Normal 2 3 5 33 2 3 2" xfId="11964" xr:uid="{C6E37953-C115-4AA7-97BB-8AE8F712D986}"/>
    <cellStyle name="Normal 2 3 5 33 2 4" xfId="11962" xr:uid="{3C7E7D12-0B27-4BA0-A4F1-9746ED109F7E}"/>
    <cellStyle name="Normal 2 3 5 33 3" xfId="3122" xr:uid="{F5236B08-949E-4205-B798-EA81D3243EF2}"/>
    <cellStyle name="Normal 2 3 5 33 3 2" xfId="11965" xr:uid="{179B3FE7-CA06-4ABE-BCE0-A93E76054836}"/>
    <cellStyle name="Normal 2 3 5 33 4" xfId="3123" xr:uid="{655D5BB6-DCC2-4B7F-8E88-AD01F23493E1}"/>
    <cellStyle name="Normal 2 3 5 33 4 2" xfId="11966" xr:uid="{81892C1D-3A5D-4644-9812-FB5F7402AFFD}"/>
    <cellStyle name="Normal 2 3 5 33 5" xfId="11961" xr:uid="{1FB932F8-654E-4FC7-B5F9-5DBFEB87230E}"/>
    <cellStyle name="Normal 2 3 5 34" xfId="3124" xr:uid="{02E2DA2F-8DC3-4B23-9F0B-861FC832EE57}"/>
    <cellStyle name="Normal 2 3 5 34 2" xfId="3125" xr:uid="{49AAFBC7-153E-49AE-B715-0F115E643F76}"/>
    <cellStyle name="Normal 2 3 5 34 2 2" xfId="3126" xr:uid="{46C26572-FF40-43A0-A255-EAE042D0A3E7}"/>
    <cellStyle name="Normal 2 3 5 34 2 2 2" xfId="11969" xr:uid="{AE08E888-1DC1-4557-96AB-3A4F1577953F}"/>
    <cellStyle name="Normal 2 3 5 34 2 3" xfId="3127" xr:uid="{AC06A706-4B9E-46EF-9097-FAE5A6F08D76}"/>
    <cellStyle name="Normal 2 3 5 34 2 3 2" xfId="11970" xr:uid="{93C4E346-8162-4854-9BDA-779FF5339BB3}"/>
    <cellStyle name="Normal 2 3 5 34 2 4" xfId="11968" xr:uid="{2C6D2020-A750-40EA-9130-B976AF19162F}"/>
    <cellStyle name="Normal 2 3 5 34 3" xfId="3128" xr:uid="{C7803830-7721-4C80-9269-DE4E49FC5C37}"/>
    <cellStyle name="Normal 2 3 5 34 3 2" xfId="11971" xr:uid="{B441150A-C0C9-4C83-B750-FE3A1A71BE7E}"/>
    <cellStyle name="Normal 2 3 5 34 4" xfId="3129" xr:uid="{3BD8BDD8-5D23-45B0-994E-99D9812218F1}"/>
    <cellStyle name="Normal 2 3 5 34 4 2" xfId="11972" xr:uid="{CD396825-FE6B-41F3-947E-DC8884CEA296}"/>
    <cellStyle name="Normal 2 3 5 34 5" xfId="11967" xr:uid="{647DC3C9-EE29-4634-9102-94ABD60B322D}"/>
    <cellStyle name="Normal 2 3 5 35" xfId="3130" xr:uid="{50D2E8E0-E8B8-498A-9851-13288DF6F151}"/>
    <cellStyle name="Normal 2 3 5 35 2" xfId="3131" xr:uid="{56DA5A5A-4209-4CF9-B66C-99C00A7E9022}"/>
    <cellStyle name="Normal 2 3 5 35 2 2" xfId="3132" xr:uid="{975068CC-5DC9-4FD9-80D6-6B042C5509AC}"/>
    <cellStyle name="Normal 2 3 5 35 2 2 2" xfId="11975" xr:uid="{EA825413-4DC4-4A20-A08F-0FF5AC03B7A6}"/>
    <cellStyle name="Normal 2 3 5 35 2 3" xfId="3133" xr:uid="{620420AC-81FC-459C-BE64-B6968BED9F9C}"/>
    <cellStyle name="Normal 2 3 5 35 2 3 2" xfId="11976" xr:uid="{57E9A1AB-4FBC-4C67-8D94-FEE9BBE3E8D9}"/>
    <cellStyle name="Normal 2 3 5 35 2 4" xfId="11974" xr:uid="{55641268-9B66-42A7-AB15-9A0662B4E8AC}"/>
    <cellStyle name="Normal 2 3 5 35 3" xfId="3134" xr:uid="{FDB518D9-3428-46FF-A4C3-7E6F34A3532E}"/>
    <cellStyle name="Normal 2 3 5 35 3 2" xfId="11977" xr:uid="{ADE2BE1B-9961-47F7-97D2-2CC55F061742}"/>
    <cellStyle name="Normal 2 3 5 35 4" xfId="3135" xr:uid="{BD5CB577-4374-4DA4-B25B-EFC2968B0315}"/>
    <cellStyle name="Normal 2 3 5 35 4 2" xfId="11978" xr:uid="{67904F49-41EC-4CE2-B231-1DB0F890661C}"/>
    <cellStyle name="Normal 2 3 5 35 5" xfId="11973" xr:uid="{058EA39E-B0AF-4BE9-B8B3-BF8CCE628905}"/>
    <cellStyle name="Normal 2 3 5 36" xfId="3136" xr:uid="{31123239-2DBD-488F-918C-EE842145EC0F}"/>
    <cellStyle name="Normal 2 3 5 36 2" xfId="3137" xr:uid="{9793797A-0412-4C85-A131-1E462F263457}"/>
    <cellStyle name="Normal 2 3 5 36 2 2" xfId="3138" xr:uid="{BAE1BACF-FE43-44EB-A2C1-6BBA798C28E5}"/>
    <cellStyle name="Normal 2 3 5 36 2 2 2" xfId="11981" xr:uid="{4A3D23E9-0BFB-4932-9ABF-A51FA8CF2BCC}"/>
    <cellStyle name="Normal 2 3 5 36 2 3" xfId="3139" xr:uid="{8098FA4F-D58C-4E6B-910D-F6CC3CAD40FE}"/>
    <cellStyle name="Normal 2 3 5 36 2 3 2" xfId="11982" xr:uid="{E45CCFCF-49A9-47AB-BE0F-BCF407CB0D27}"/>
    <cellStyle name="Normal 2 3 5 36 2 4" xfId="11980" xr:uid="{63D02CF3-6BE9-4877-8766-D59C8187E61C}"/>
    <cellStyle name="Normal 2 3 5 36 3" xfId="3140" xr:uid="{9A5CBC5D-9B82-4BDC-B1B4-61D76A379959}"/>
    <cellStyle name="Normal 2 3 5 36 3 2" xfId="11983" xr:uid="{CA5F0028-EC99-4723-A25C-C483B0F4E9BC}"/>
    <cellStyle name="Normal 2 3 5 36 4" xfId="3141" xr:uid="{287F7BE6-3C6A-41D5-8A6F-3BB486D2006A}"/>
    <cellStyle name="Normal 2 3 5 36 4 2" xfId="11984" xr:uid="{5CFBE8D9-754B-44E2-9D38-47101E357A8D}"/>
    <cellStyle name="Normal 2 3 5 36 5" xfId="11979" xr:uid="{AC26049E-BA09-41EC-93E8-BF0F8ADE0BB2}"/>
    <cellStyle name="Normal 2 3 5 37" xfId="3142" xr:uid="{5AB5FB9D-5613-4D87-9ECD-43205B1EE361}"/>
    <cellStyle name="Normal 2 3 5 37 2" xfId="3143" xr:uid="{B2FA0BF5-2C43-4EFE-8212-DC1CFDC949A0}"/>
    <cellStyle name="Normal 2 3 5 37 2 2" xfId="3144" xr:uid="{8AE1500C-B0B9-4939-A092-6742D11F4C26}"/>
    <cellStyle name="Normal 2 3 5 37 2 2 2" xfId="11987" xr:uid="{86D9FF4B-4967-45E7-BA63-F25BA2FFA74E}"/>
    <cellStyle name="Normal 2 3 5 37 2 3" xfId="3145" xr:uid="{5E483425-8C95-48DC-BCB7-47FD31F85AB2}"/>
    <cellStyle name="Normal 2 3 5 37 2 3 2" xfId="11988" xr:uid="{6AEADF68-1F8B-4FC9-B766-9324A0F80DE5}"/>
    <cellStyle name="Normal 2 3 5 37 2 4" xfId="11986" xr:uid="{F6EC24AE-D26A-41A1-B208-15031EEF8463}"/>
    <cellStyle name="Normal 2 3 5 37 3" xfId="3146" xr:uid="{A04FC044-C4C5-4E8B-A6BE-134045811715}"/>
    <cellStyle name="Normal 2 3 5 37 3 2" xfId="11989" xr:uid="{8EF8726E-C4FA-4083-9584-9431BCA772E6}"/>
    <cellStyle name="Normal 2 3 5 37 4" xfId="3147" xr:uid="{0F0E5453-7F72-4F03-99FF-6AB20050DE83}"/>
    <cellStyle name="Normal 2 3 5 37 4 2" xfId="11990" xr:uid="{C52DB4FB-7844-4471-A595-C8B0E7E23480}"/>
    <cellStyle name="Normal 2 3 5 37 5" xfId="11985" xr:uid="{AE34DC88-34A7-4863-87E8-F8BF7F2012D6}"/>
    <cellStyle name="Normal 2 3 5 38" xfId="3148" xr:uid="{27990031-FEF1-4668-8CD4-4BC504294E39}"/>
    <cellStyle name="Normal 2 3 5 38 2" xfId="3149" xr:uid="{C2612368-C0AA-45A9-A1C5-396006B7C641}"/>
    <cellStyle name="Normal 2 3 5 38 2 2" xfId="3150" xr:uid="{5EE5DB1F-E848-4039-A7E8-D2CDB4E2850F}"/>
    <cellStyle name="Normal 2 3 5 38 2 2 2" xfId="11993" xr:uid="{CAEB2D72-23CE-4A3A-A7B9-37F26BEFD359}"/>
    <cellStyle name="Normal 2 3 5 38 2 3" xfId="3151" xr:uid="{A41A882F-3C04-46BA-9882-507DDB4F93F6}"/>
    <cellStyle name="Normal 2 3 5 38 2 3 2" xfId="11994" xr:uid="{50486430-2626-4CFE-8F8D-34B9DA757414}"/>
    <cellStyle name="Normal 2 3 5 38 2 4" xfId="11992" xr:uid="{5C2E6F5A-DEEC-4C47-B38E-B7AACC7EF549}"/>
    <cellStyle name="Normal 2 3 5 38 3" xfId="3152" xr:uid="{AA39A3A8-7BBF-4540-A59D-110244A2C9C1}"/>
    <cellStyle name="Normal 2 3 5 38 3 2" xfId="11995" xr:uid="{4BC81588-F7B7-47D5-A98C-0690CD3BBE3E}"/>
    <cellStyle name="Normal 2 3 5 38 4" xfId="3153" xr:uid="{8BCCB91D-FE63-4F12-A084-59E7D0D38724}"/>
    <cellStyle name="Normal 2 3 5 38 4 2" xfId="11996" xr:uid="{E2713C7A-9282-46D0-9241-7B9C4C97B07E}"/>
    <cellStyle name="Normal 2 3 5 38 5" xfId="11991" xr:uid="{5EE81F9E-A4CE-453E-91C9-246728A9D463}"/>
    <cellStyle name="Normal 2 3 5 39" xfId="3154" xr:uid="{984CC14C-D088-4497-B1F3-DB40334D4A15}"/>
    <cellStyle name="Normal 2 3 5 39 2" xfId="3155" xr:uid="{6F561A98-4BA2-4146-9DF1-8A59877062AD}"/>
    <cellStyle name="Normal 2 3 5 39 2 2" xfId="3156" xr:uid="{EC296858-8767-4AF6-920D-9D37F97EEBBD}"/>
    <cellStyle name="Normal 2 3 5 39 2 2 2" xfId="11999" xr:uid="{47E53E20-EC64-48B2-87FB-4EDF9D6FFE51}"/>
    <cellStyle name="Normal 2 3 5 39 2 3" xfId="3157" xr:uid="{EE5FF92C-FDE2-4067-A2C9-E6F1828C8B5C}"/>
    <cellStyle name="Normal 2 3 5 39 2 3 2" xfId="12000" xr:uid="{EA2E55E3-0CE6-4925-AC7D-4D1140CCD09F}"/>
    <cellStyle name="Normal 2 3 5 39 2 4" xfId="11998" xr:uid="{F7538001-D246-4DE9-9824-0CBE9AC2EA45}"/>
    <cellStyle name="Normal 2 3 5 39 3" xfId="3158" xr:uid="{902DDD9E-B324-4BE3-8A8E-9654C3368581}"/>
    <cellStyle name="Normal 2 3 5 39 3 2" xfId="12001" xr:uid="{8C45E909-87C4-4A44-8DEB-E9D2BE4355F7}"/>
    <cellStyle name="Normal 2 3 5 39 4" xfId="3159" xr:uid="{A26433E7-C496-43D7-AF7B-6D02391D14FA}"/>
    <cellStyle name="Normal 2 3 5 39 4 2" xfId="12002" xr:uid="{2D111DD4-1767-4FCF-9A8B-5C7D1D3CDD7D}"/>
    <cellStyle name="Normal 2 3 5 39 5" xfId="11997" xr:uid="{FC460E71-A49D-48A0-8738-6168FEB348C8}"/>
    <cellStyle name="Normal 2 3 5 4" xfId="3160" xr:uid="{2F78BA79-CF9E-4C0C-ACCA-60C33189BD9A}"/>
    <cellStyle name="Normal 2 3 5 4 2" xfId="3161" xr:uid="{66D67F16-6AA9-47A6-BF74-D0D029A3044F}"/>
    <cellStyle name="Normal 2 3 5 4 2 2" xfId="3162" xr:uid="{D8751AE8-48F6-4328-B411-8153796456AE}"/>
    <cellStyle name="Normal 2 3 5 4 2 2 2" xfId="12005" xr:uid="{EDF59B34-B673-44A3-A11A-236FB9516CA8}"/>
    <cellStyle name="Normal 2 3 5 4 2 3" xfId="3163" xr:uid="{2D58E66B-62EC-4F7E-94FE-B3377EE37834}"/>
    <cellStyle name="Normal 2 3 5 4 2 3 2" xfId="12006" xr:uid="{DC029ED4-76DA-4D00-B4F9-1F980953A005}"/>
    <cellStyle name="Normal 2 3 5 4 2 4" xfId="12004" xr:uid="{9238AA59-A1E7-4DCA-B1C9-EFAA419CC8D1}"/>
    <cellStyle name="Normal 2 3 5 4 3" xfId="3164" xr:uid="{537BA5B0-4D15-4A56-91D4-7F68EB1F11A5}"/>
    <cellStyle name="Normal 2 3 5 4 3 2" xfId="12007" xr:uid="{F4BEADA4-1F0B-41FB-8CFB-84FD0C78741B}"/>
    <cellStyle name="Normal 2 3 5 4 4" xfId="3165" xr:uid="{B59FE97C-E973-4D06-8258-8394A4F4B090}"/>
    <cellStyle name="Normal 2 3 5 4 4 2" xfId="12008" xr:uid="{9A8BFD26-824D-4371-8368-BB4155FA1F96}"/>
    <cellStyle name="Normal 2 3 5 4 5" xfId="12003" xr:uid="{E6C8E8E0-DE89-46CB-9DBD-D03F9CB254FF}"/>
    <cellStyle name="Normal 2 3 5 40" xfId="3166" xr:uid="{7E57424C-81A2-4B0A-A600-9B0AD0DB6360}"/>
    <cellStyle name="Normal 2 3 5 40 2" xfId="3167" xr:uid="{376BA7A7-2E1C-4240-B62D-B08952808BEE}"/>
    <cellStyle name="Normal 2 3 5 40 2 2" xfId="3168" xr:uid="{46F0F627-A903-4F3D-B9AE-AF7187616FC8}"/>
    <cellStyle name="Normal 2 3 5 40 2 2 2" xfId="12011" xr:uid="{166182BD-DD18-4A96-A0C9-8184BC24D234}"/>
    <cellStyle name="Normal 2 3 5 40 2 3" xfId="3169" xr:uid="{7E9EBFF0-BF86-4018-BBC0-05C23561343F}"/>
    <cellStyle name="Normal 2 3 5 40 2 3 2" xfId="12012" xr:uid="{BE5A97AC-1AA9-4F12-88CF-721819397EB7}"/>
    <cellStyle name="Normal 2 3 5 40 2 4" xfId="12010" xr:uid="{9B46634B-BC18-43A4-8842-B2FE4B780202}"/>
    <cellStyle name="Normal 2 3 5 40 3" xfId="3170" xr:uid="{F04A03C3-2B9A-466D-AAD2-72C507C7D8FD}"/>
    <cellStyle name="Normal 2 3 5 40 3 2" xfId="12013" xr:uid="{E73E99B5-F2F7-4718-AAD2-58E06D4D1310}"/>
    <cellStyle name="Normal 2 3 5 40 4" xfId="3171" xr:uid="{11A7BF2F-D344-4954-9CD4-599191DA5926}"/>
    <cellStyle name="Normal 2 3 5 40 4 2" xfId="12014" xr:uid="{EDEC9F68-BFF2-4CD6-9DB3-DA5715A97416}"/>
    <cellStyle name="Normal 2 3 5 40 5" xfId="12009" xr:uid="{69F833E1-852F-4CC3-AD2E-1BBD9CA2072A}"/>
    <cellStyle name="Normal 2 3 5 41" xfId="3172" xr:uid="{24A3A79F-9D70-4A42-8871-AE9DE30B64E1}"/>
    <cellStyle name="Normal 2 3 5 41 2" xfId="3173" xr:uid="{792A76D7-811D-4FFA-A82E-366D56CC6E7A}"/>
    <cellStyle name="Normal 2 3 5 41 2 2" xfId="3174" xr:uid="{1E2CC585-6408-4DAC-A3B1-B11323FE3C24}"/>
    <cellStyle name="Normal 2 3 5 41 2 2 2" xfId="12017" xr:uid="{9DAC346A-F56D-415F-BE8C-06081A212F37}"/>
    <cellStyle name="Normal 2 3 5 41 2 3" xfId="3175" xr:uid="{E1453146-7610-41AC-8884-3202CF339AD3}"/>
    <cellStyle name="Normal 2 3 5 41 2 3 2" xfId="12018" xr:uid="{98E50202-CFDB-487C-8E92-2B50F5650108}"/>
    <cellStyle name="Normal 2 3 5 41 2 4" xfId="12016" xr:uid="{92CD8A7C-6DA3-43CB-AEC9-7922B33E54DD}"/>
    <cellStyle name="Normal 2 3 5 41 3" xfId="3176" xr:uid="{3A847C4C-AC25-445D-9890-97CBE3F17BEC}"/>
    <cellStyle name="Normal 2 3 5 41 3 2" xfId="12019" xr:uid="{DE2744E9-D763-4BBC-B427-91DF1DE08D74}"/>
    <cellStyle name="Normal 2 3 5 41 4" xfId="3177" xr:uid="{BB18DD56-6D9C-4D08-8DE5-9E995E404D68}"/>
    <cellStyle name="Normal 2 3 5 41 4 2" xfId="12020" xr:uid="{B668E6DB-CFAB-4725-9DBD-2A8D5B0335AA}"/>
    <cellStyle name="Normal 2 3 5 41 5" xfId="12015" xr:uid="{366EEE40-722B-4091-856F-DCD37F8022EB}"/>
    <cellStyle name="Normal 2 3 5 42" xfId="3178" xr:uid="{D8067E75-2F69-4133-ADD4-E047549C45B9}"/>
    <cellStyle name="Normal 2 3 5 42 2" xfId="3179" xr:uid="{98DB9755-544C-43BA-954D-CFAE456D4839}"/>
    <cellStyle name="Normal 2 3 5 42 2 2" xfId="3180" xr:uid="{CAC798E9-1411-4990-AF70-E67EA95FE319}"/>
    <cellStyle name="Normal 2 3 5 42 2 2 2" xfId="12023" xr:uid="{1206FEF7-0E1D-4986-AED2-0F83808B6DA8}"/>
    <cellStyle name="Normal 2 3 5 42 2 3" xfId="3181" xr:uid="{B935EC8B-60DA-468F-A147-B74B9E961D75}"/>
    <cellStyle name="Normal 2 3 5 42 2 3 2" xfId="12024" xr:uid="{015A795B-F62F-4F81-8CA6-184287B2B7BD}"/>
    <cellStyle name="Normal 2 3 5 42 2 4" xfId="12022" xr:uid="{DEC77E14-3B73-4265-9E7D-BA7CF0E21EBE}"/>
    <cellStyle name="Normal 2 3 5 42 3" xfId="3182" xr:uid="{A4FE038B-DA4E-4421-A8F5-940BBBAC10FC}"/>
    <cellStyle name="Normal 2 3 5 42 3 2" xfId="12025" xr:uid="{4C0E13C9-BE07-4EA9-84A9-CCCF6346FF1A}"/>
    <cellStyle name="Normal 2 3 5 42 4" xfId="3183" xr:uid="{F98E7F1D-D99D-44C6-AEEC-99E51ACE1AF2}"/>
    <cellStyle name="Normal 2 3 5 42 4 2" xfId="12026" xr:uid="{B8A99A07-6081-4DAB-BF19-C56DB9707267}"/>
    <cellStyle name="Normal 2 3 5 42 5" xfId="12021" xr:uid="{5B2B0BFE-09E6-4907-956B-6AEDDBFFE5A2}"/>
    <cellStyle name="Normal 2 3 5 43" xfId="3184" xr:uid="{6502AB55-33D7-4006-9BF0-51FDCEB81F94}"/>
    <cellStyle name="Normal 2 3 5 43 2" xfId="3185" xr:uid="{0A89DBE2-DB28-4C81-846D-B6D8BC70BBCB}"/>
    <cellStyle name="Normal 2 3 5 43 2 2" xfId="3186" xr:uid="{78452CE6-A88F-40D2-8097-C205AC55727A}"/>
    <cellStyle name="Normal 2 3 5 43 2 2 2" xfId="12029" xr:uid="{C14D9796-2EF1-4A87-AA63-787E68DE6E75}"/>
    <cellStyle name="Normal 2 3 5 43 2 3" xfId="3187" xr:uid="{2DC8AA6F-2669-4AA5-B567-778F04C78739}"/>
    <cellStyle name="Normal 2 3 5 43 2 3 2" xfId="12030" xr:uid="{A27D5660-464E-4BE3-BC81-11EEA127FB45}"/>
    <cellStyle name="Normal 2 3 5 43 2 4" xfId="12028" xr:uid="{7AC0CB1A-7CFD-4636-83D3-2A5FD9E29D9A}"/>
    <cellStyle name="Normal 2 3 5 43 3" xfId="3188" xr:uid="{FF92375F-599A-49AE-8ACA-198279E87202}"/>
    <cellStyle name="Normal 2 3 5 43 3 2" xfId="12031" xr:uid="{A7DE7DAA-7DE6-4731-8491-F02992B9E502}"/>
    <cellStyle name="Normal 2 3 5 43 4" xfId="3189" xr:uid="{05B7B660-B1C5-4A9E-A875-35FF4CC608BC}"/>
    <cellStyle name="Normal 2 3 5 43 4 2" xfId="12032" xr:uid="{AC3A2E9C-5C8F-4BE4-B333-D366BB8985C2}"/>
    <cellStyle name="Normal 2 3 5 43 5" xfId="12027" xr:uid="{C3AEF722-BC2A-49A5-B478-BB0C55D3D78A}"/>
    <cellStyle name="Normal 2 3 5 44" xfId="3190" xr:uid="{B210EE17-AC9D-4562-9912-84D116C57052}"/>
    <cellStyle name="Normal 2 3 5 44 2" xfId="3191" xr:uid="{D23130D7-DD99-4016-8805-7ED120776DAE}"/>
    <cellStyle name="Normal 2 3 5 44 2 2" xfId="12034" xr:uid="{CA323D2A-BD6A-4AC7-A54F-9AF19E541E78}"/>
    <cellStyle name="Normal 2 3 5 44 3" xfId="3192" xr:uid="{E288B043-AE3A-4A0B-A2D5-D8941864230D}"/>
    <cellStyle name="Normal 2 3 5 44 3 2" xfId="12035" xr:uid="{5CCC3B71-32E0-426F-8276-F679A3C53DA5}"/>
    <cellStyle name="Normal 2 3 5 44 4" xfId="12033" xr:uid="{422366D9-5305-4710-A397-EF74F01F6D2C}"/>
    <cellStyle name="Normal 2 3 5 45" xfId="3193" xr:uid="{D5926FA6-424A-43B3-B11F-D1791E59B61D}"/>
    <cellStyle name="Normal 2 3 5 45 2" xfId="12036" xr:uid="{F3E4AE07-1F6D-49D2-8999-ECDA7ACB62FE}"/>
    <cellStyle name="Normal 2 3 5 46" xfId="3194" xr:uid="{2DBD44E5-5BF1-4EAC-9190-3EE42B403001}"/>
    <cellStyle name="Normal 2 3 5 46 2" xfId="12037" xr:uid="{CCA0A321-899D-4779-8887-14633543A967}"/>
    <cellStyle name="Normal 2 3 5 47" xfId="11810" xr:uid="{76AE91BF-A354-4AED-AEB7-E58B90782090}"/>
    <cellStyle name="Normal 2 3 5 5" xfId="3195" xr:uid="{710108A2-B926-4939-A7D9-E8688D6E5A54}"/>
    <cellStyle name="Normal 2 3 5 5 2" xfId="3196" xr:uid="{D64D4925-7F19-484A-9D78-5184C2D5932E}"/>
    <cellStyle name="Normal 2 3 5 5 2 2" xfId="3197" xr:uid="{982DB585-9CED-423F-AE83-A4CFAEEC4877}"/>
    <cellStyle name="Normal 2 3 5 5 2 2 2" xfId="12040" xr:uid="{4DFDFB0E-4D8E-42A2-8063-594A17647950}"/>
    <cellStyle name="Normal 2 3 5 5 2 3" xfId="3198" xr:uid="{97D218CC-BFA8-4621-A48F-E8AA0DECBFAC}"/>
    <cellStyle name="Normal 2 3 5 5 2 3 2" xfId="12041" xr:uid="{3961EDB1-89D5-4105-A900-82115E90F3F1}"/>
    <cellStyle name="Normal 2 3 5 5 2 4" xfId="12039" xr:uid="{B88E8817-CB09-492E-9988-573014E4AAB6}"/>
    <cellStyle name="Normal 2 3 5 5 3" xfId="3199" xr:uid="{AC389EC7-2161-445E-8CF6-57E27F10D500}"/>
    <cellStyle name="Normal 2 3 5 5 3 2" xfId="12042" xr:uid="{6383BD3A-19A6-47E9-9BD8-E6B8C699646C}"/>
    <cellStyle name="Normal 2 3 5 5 4" xfId="3200" xr:uid="{1A63A9FE-C768-4DD7-843E-6D288ED623B0}"/>
    <cellStyle name="Normal 2 3 5 5 4 2" xfId="12043" xr:uid="{EC785CF5-7519-4C5B-93CC-B9FD0126B91A}"/>
    <cellStyle name="Normal 2 3 5 5 5" xfId="12038" xr:uid="{AAC9482E-465A-4E54-8955-47F10D19F583}"/>
    <cellStyle name="Normal 2 3 5 6" xfId="3201" xr:uid="{F1861613-76F0-4491-929E-90D3ADA7ABD9}"/>
    <cellStyle name="Normal 2 3 5 6 2" xfId="3202" xr:uid="{AAE56A29-5D21-4597-AC1E-D5743A916F8A}"/>
    <cellStyle name="Normal 2 3 5 6 2 2" xfId="3203" xr:uid="{AC6E92A5-35AE-4F4F-85B7-4849C958A822}"/>
    <cellStyle name="Normal 2 3 5 6 2 2 2" xfId="12046" xr:uid="{F6E1953F-A3C0-46DC-9A0A-71A0485F583D}"/>
    <cellStyle name="Normal 2 3 5 6 2 3" xfId="3204" xr:uid="{3E94E41C-993B-44CC-AAE1-C9FE13AFF71B}"/>
    <cellStyle name="Normal 2 3 5 6 2 3 2" xfId="12047" xr:uid="{CB0B0D6A-DC97-4F1E-A7B7-D2E5B6929BFE}"/>
    <cellStyle name="Normal 2 3 5 6 2 4" xfId="12045" xr:uid="{8D25A019-481E-482A-AD3B-D51473C50353}"/>
    <cellStyle name="Normal 2 3 5 6 3" xfId="3205" xr:uid="{4519CD05-C6C2-4727-ABE5-A59B547E4A02}"/>
    <cellStyle name="Normal 2 3 5 6 3 2" xfId="12048" xr:uid="{5CC6E188-6834-4D5C-858B-ED6A7567CF90}"/>
    <cellStyle name="Normal 2 3 5 6 4" xfId="3206" xr:uid="{3FB25E3E-AB5E-4D0C-AAB2-0254257E06E5}"/>
    <cellStyle name="Normal 2 3 5 6 4 2" xfId="12049" xr:uid="{CA2A8CF6-0052-4D14-B91C-F288D1744A5F}"/>
    <cellStyle name="Normal 2 3 5 6 5" xfId="12044" xr:uid="{A4BC3F3B-9322-486E-AB4C-355F9C97918E}"/>
    <cellStyle name="Normal 2 3 5 7" xfId="3207" xr:uid="{BF266274-F581-488D-B2B3-96F5B5FA1479}"/>
    <cellStyle name="Normal 2 3 5 7 2" xfId="3208" xr:uid="{653AFB3F-7749-4B49-A55C-14FA88E2A3B8}"/>
    <cellStyle name="Normal 2 3 5 7 2 2" xfId="3209" xr:uid="{DD02326B-9E70-4531-B33D-AF2996FC1861}"/>
    <cellStyle name="Normal 2 3 5 7 2 2 2" xfId="12052" xr:uid="{C3162803-DB4F-4731-ADE7-67574E471DCD}"/>
    <cellStyle name="Normal 2 3 5 7 2 3" xfId="3210" xr:uid="{706B69FA-90DB-43E1-9A97-441D1B5B933F}"/>
    <cellStyle name="Normal 2 3 5 7 2 3 2" xfId="12053" xr:uid="{04A23C80-79CB-43DC-ADF4-5B05182F1DC5}"/>
    <cellStyle name="Normal 2 3 5 7 2 4" xfId="12051" xr:uid="{58DF41A2-4EC2-41DE-84A8-A7B309466525}"/>
    <cellStyle name="Normal 2 3 5 7 3" xfId="3211" xr:uid="{4B995B47-996A-43C9-877C-83F145C61EDB}"/>
    <cellStyle name="Normal 2 3 5 7 3 2" xfId="12054" xr:uid="{48E592E6-0BED-4F7F-8171-3E10C0C35644}"/>
    <cellStyle name="Normal 2 3 5 7 4" xfId="3212" xr:uid="{8773A84D-1E91-41E8-AC68-B4622A2F13FC}"/>
    <cellStyle name="Normal 2 3 5 7 4 2" xfId="12055" xr:uid="{90B01788-A49B-4BB0-A8DC-25167968131E}"/>
    <cellStyle name="Normal 2 3 5 7 5" xfId="12050" xr:uid="{1F0B6486-968C-4885-8884-06245212CDC1}"/>
    <cellStyle name="Normal 2 3 5 8" xfId="3213" xr:uid="{972AB3E2-91E8-4860-98B1-7A3434099E4E}"/>
    <cellStyle name="Normal 2 3 5 8 2" xfId="3214" xr:uid="{7D8A63C5-5706-433A-A6BD-3A08DF96216C}"/>
    <cellStyle name="Normal 2 3 5 8 2 2" xfId="3215" xr:uid="{5DA839F7-D918-4F17-AAB7-D64AC1FD6249}"/>
    <cellStyle name="Normal 2 3 5 8 2 2 2" xfId="12058" xr:uid="{AEEBD28A-C2B3-440B-88A7-5149B77FE8A8}"/>
    <cellStyle name="Normal 2 3 5 8 2 3" xfId="3216" xr:uid="{2D16F0CE-7900-4CDC-B66C-D7F625CD1685}"/>
    <cellStyle name="Normal 2 3 5 8 2 3 2" xfId="12059" xr:uid="{0BD36374-207A-44E2-9425-274DA4DB4FD5}"/>
    <cellStyle name="Normal 2 3 5 8 2 4" xfId="12057" xr:uid="{6AA0FCCF-F1F1-4A3C-A456-6966030742B5}"/>
    <cellStyle name="Normal 2 3 5 8 3" xfId="3217" xr:uid="{2DB0D1B8-E04D-4BBD-9A40-EC4B8A81142E}"/>
    <cellStyle name="Normal 2 3 5 8 3 2" xfId="12060" xr:uid="{FCD4B8C4-7B96-4C1B-B557-35B7F383533E}"/>
    <cellStyle name="Normal 2 3 5 8 4" xfId="3218" xr:uid="{C25A56D8-6881-48CB-B85D-489C68B13F65}"/>
    <cellStyle name="Normal 2 3 5 8 4 2" xfId="12061" xr:uid="{D767C9AB-2FE5-41C1-AFE9-AF7BA5E3266B}"/>
    <cellStyle name="Normal 2 3 5 8 5" xfId="12056" xr:uid="{E4E9FBD0-DC66-4485-BD85-C06F55865D12}"/>
    <cellStyle name="Normal 2 3 5 9" xfId="3219" xr:uid="{E8790F0E-0FFD-4D9B-91FD-AA39B118CE8A}"/>
    <cellStyle name="Normal 2 3 5 9 2" xfId="3220" xr:uid="{C08F0A3A-F859-480E-BCEE-5D025B0A0ED9}"/>
    <cellStyle name="Normal 2 3 5 9 2 2" xfId="3221" xr:uid="{61D37595-B3A5-4C7E-8C82-377F46124FCF}"/>
    <cellStyle name="Normal 2 3 5 9 2 2 2" xfId="12064" xr:uid="{AD210D40-2297-4A34-A915-888F042FF460}"/>
    <cellStyle name="Normal 2 3 5 9 2 3" xfId="3222" xr:uid="{5D50FD36-60FA-4F42-A149-E9FB8E1D9EB4}"/>
    <cellStyle name="Normal 2 3 5 9 2 3 2" xfId="12065" xr:uid="{3BCC277E-FA10-41F8-A8E4-2629FFDAB4B0}"/>
    <cellStyle name="Normal 2 3 5 9 2 4" xfId="12063" xr:uid="{7A46EFCB-92DE-4A72-9507-6A9865802A5D}"/>
    <cellStyle name="Normal 2 3 5 9 3" xfId="3223" xr:uid="{7F96B79D-4684-49CA-87AB-B18D4FE64D95}"/>
    <cellStyle name="Normal 2 3 5 9 3 2" xfId="12066" xr:uid="{4164A63E-967E-42EA-BF00-D5963C8D89C2}"/>
    <cellStyle name="Normal 2 3 5 9 4" xfId="3224" xr:uid="{5CA093BA-4CBF-4EA0-A127-C57B18804C49}"/>
    <cellStyle name="Normal 2 3 5 9 4 2" xfId="12067" xr:uid="{B102EB91-D2B9-4410-8C95-6C55B7EF54F9}"/>
    <cellStyle name="Normal 2 3 5 9 5" xfId="12062" xr:uid="{D41E995A-7053-4A34-ACA4-3565324974AF}"/>
    <cellStyle name="Normal 2 3 50" xfId="3225" xr:uid="{26228BB2-DD32-4CAD-93C2-7AF033D28B7C}"/>
    <cellStyle name="Normal 2 3 50 2" xfId="3226" xr:uid="{8D6C046F-89ED-4C3B-B4B0-6585BF512D9A}"/>
    <cellStyle name="Normal 2 3 50 2 2" xfId="3227" xr:uid="{3D933D62-59A7-43DC-99CC-F25E9C9FECEB}"/>
    <cellStyle name="Normal 2 3 50 2 2 2" xfId="12070" xr:uid="{29CCE50B-C61C-4EF7-9A6C-57DC0D43BBD2}"/>
    <cellStyle name="Normal 2 3 50 2 3" xfId="3228" xr:uid="{65BD7BAA-9F91-4885-B152-B65E95EF3E41}"/>
    <cellStyle name="Normal 2 3 50 2 3 2" xfId="12071" xr:uid="{32588A1A-451C-43AD-A6D1-1292D469AC56}"/>
    <cellStyle name="Normal 2 3 50 2 4" xfId="12069" xr:uid="{51278C55-5130-40C5-AB58-15CA11FCC279}"/>
    <cellStyle name="Normal 2 3 50 3" xfId="3229" xr:uid="{70A925FD-13F4-430B-870D-AB57541ECF44}"/>
    <cellStyle name="Normal 2 3 50 3 2" xfId="12072" xr:uid="{6D380F12-757F-4423-98B2-9FC6E8007253}"/>
    <cellStyle name="Normal 2 3 50 4" xfId="3230" xr:uid="{1E8F8793-581A-4B65-B958-33D872239B4E}"/>
    <cellStyle name="Normal 2 3 50 4 2" xfId="12073" xr:uid="{48FFFEC9-655C-418C-9C05-1854DCF31F16}"/>
    <cellStyle name="Normal 2 3 50 5" xfId="12068" xr:uid="{FA523660-7CBE-40CF-81E5-62EDF72277C9}"/>
    <cellStyle name="Normal 2 3 51" xfId="3231" xr:uid="{A4724E83-175B-4F94-80DB-A9331E9F2875}"/>
    <cellStyle name="Normal 2 3 51 2" xfId="3232" xr:uid="{F7FC125C-AC9A-4000-90C9-170D549B7F3C}"/>
    <cellStyle name="Normal 2 3 51 2 2" xfId="3233" xr:uid="{5C6486FA-0D9F-4E2B-9A6D-E3F35F1840D0}"/>
    <cellStyle name="Normal 2 3 51 2 2 2" xfId="12076" xr:uid="{8EAC0647-CF36-4553-91D5-B8C5D59CB78C}"/>
    <cellStyle name="Normal 2 3 51 2 3" xfId="3234" xr:uid="{2FC1260F-74A5-494E-9C1E-413EAD5292AD}"/>
    <cellStyle name="Normal 2 3 51 2 3 2" xfId="12077" xr:uid="{3EE9A999-161E-4E90-B219-395CADDDE9C1}"/>
    <cellStyle name="Normal 2 3 51 2 4" xfId="12075" xr:uid="{9B24A8FC-2A77-445B-8674-D79296814E0C}"/>
    <cellStyle name="Normal 2 3 51 3" xfId="3235" xr:uid="{E36E95B0-8CEA-4485-8486-49B64E748863}"/>
    <cellStyle name="Normal 2 3 51 3 2" xfId="12078" xr:uid="{FD3173B9-0129-452B-90E0-877736DF4167}"/>
    <cellStyle name="Normal 2 3 51 4" xfId="3236" xr:uid="{BC6F6990-4104-474B-86B6-E12234B51657}"/>
    <cellStyle name="Normal 2 3 51 4 2" xfId="12079" xr:uid="{A8134ABB-8501-4B19-88BE-9BE1A3238D22}"/>
    <cellStyle name="Normal 2 3 51 5" xfId="12074" xr:uid="{1F06222B-4F34-4FF3-ADC1-0CE381D4CEF6}"/>
    <cellStyle name="Normal 2 3 52" xfId="3237" xr:uid="{5924A9BA-31D3-44E8-B8EF-935487050A30}"/>
    <cellStyle name="Normal 2 3 52 2" xfId="3238" xr:uid="{DA9B9CA2-76E0-420F-A891-953A77CE8CBB}"/>
    <cellStyle name="Normal 2 3 52 2 2" xfId="3239" xr:uid="{41A7746C-87B0-40CF-B30D-7133D08A8B66}"/>
    <cellStyle name="Normal 2 3 52 2 2 2" xfId="12082" xr:uid="{1023A0DB-6B97-42A6-99D0-09CBCD869B1F}"/>
    <cellStyle name="Normal 2 3 52 2 3" xfId="3240" xr:uid="{07642C2F-F8AC-4A3A-A0AF-22DE9E3205FC}"/>
    <cellStyle name="Normal 2 3 52 2 3 2" xfId="12083" xr:uid="{05E92BA7-549C-4CC6-ACA0-8422B382DBD8}"/>
    <cellStyle name="Normal 2 3 52 2 4" xfId="12081" xr:uid="{5DB72781-FCE4-40E8-AC92-31B0B6FCC1FE}"/>
    <cellStyle name="Normal 2 3 52 3" xfId="3241" xr:uid="{D283F1F3-C694-4213-AAFC-1D32AB905745}"/>
    <cellStyle name="Normal 2 3 52 3 2" xfId="12084" xr:uid="{0F4AD96C-FB2E-435D-9E6F-9C68565A1337}"/>
    <cellStyle name="Normal 2 3 52 4" xfId="3242" xr:uid="{6748CB47-B9F0-46F2-B636-4DA8001E8E04}"/>
    <cellStyle name="Normal 2 3 52 4 2" xfId="12085" xr:uid="{7CCC0497-9416-40CD-B6E1-7EEA476C7FC6}"/>
    <cellStyle name="Normal 2 3 52 5" xfId="12080" xr:uid="{A9144CC2-6563-4D4B-887F-4D4D53E68E43}"/>
    <cellStyle name="Normal 2 3 53" xfId="3243" xr:uid="{FA70F0B4-C35A-469A-9368-7AAE88EEC8AC}"/>
    <cellStyle name="Normal 2 3 53 2" xfId="3244" xr:uid="{42A5A2CA-E65A-44A1-89C9-916F61E580F9}"/>
    <cellStyle name="Normal 2 3 53 2 2" xfId="3245" xr:uid="{C1785836-383A-4DDB-A69C-27FD5553F62D}"/>
    <cellStyle name="Normal 2 3 53 2 2 2" xfId="12088" xr:uid="{AD34FCBC-2327-4243-8F02-70E98FCEEBC6}"/>
    <cellStyle name="Normal 2 3 53 2 3" xfId="3246" xr:uid="{286F31B8-E30B-46A2-B8EC-7407175B2074}"/>
    <cellStyle name="Normal 2 3 53 2 3 2" xfId="12089" xr:uid="{BFFE4D5A-4468-48C3-A531-15F7E2A0F79C}"/>
    <cellStyle name="Normal 2 3 53 2 4" xfId="12087" xr:uid="{DF87809F-DDF2-4924-AE7C-9618A4C5A886}"/>
    <cellStyle name="Normal 2 3 53 3" xfId="3247" xr:uid="{6B5338A0-8861-4C7F-898E-952174C8575B}"/>
    <cellStyle name="Normal 2 3 53 3 2" xfId="12090" xr:uid="{316A36CE-D3B4-4DF1-BD07-0869DFCD2CF6}"/>
    <cellStyle name="Normal 2 3 53 4" xfId="3248" xr:uid="{33B1F466-8D1A-43BE-B9F6-1C18C25ED454}"/>
    <cellStyle name="Normal 2 3 53 4 2" xfId="12091" xr:uid="{4C3EF6F5-F759-45B8-B1AD-D00CFF4E5864}"/>
    <cellStyle name="Normal 2 3 53 5" xfId="12086" xr:uid="{DC1E79CD-52D1-4899-9C91-D2F9CB92795A}"/>
    <cellStyle name="Normal 2 3 54" xfId="3249" xr:uid="{4BCBEC55-E148-44C0-BC7E-99860E00E676}"/>
    <cellStyle name="Normal 2 3 54 2" xfId="3250" xr:uid="{2A3C09BF-1E08-494E-8C2D-8FC1C6F32C16}"/>
    <cellStyle name="Normal 2 3 54 2 2" xfId="3251" xr:uid="{A5A9DA3E-3382-4719-9E38-68F26CDE8AB1}"/>
    <cellStyle name="Normal 2 3 54 2 2 2" xfId="12094" xr:uid="{FCAA7850-6D3B-4E4C-8AB2-631F7C162007}"/>
    <cellStyle name="Normal 2 3 54 2 3" xfId="3252" xr:uid="{50F1F605-CE9E-41EC-804C-A52F8970E755}"/>
    <cellStyle name="Normal 2 3 54 2 3 2" xfId="12095" xr:uid="{20517AC8-1EDA-40CB-882B-236EB8C51CDB}"/>
    <cellStyle name="Normal 2 3 54 2 4" xfId="12093" xr:uid="{796E36B3-1ED2-4844-8435-DECA0E8224E3}"/>
    <cellStyle name="Normal 2 3 54 3" xfId="3253" xr:uid="{9CE878E3-ADA6-41D1-8861-B50E6281106A}"/>
    <cellStyle name="Normal 2 3 54 3 2" xfId="12096" xr:uid="{8C47EE27-923A-445D-8C82-33D8DBE8A787}"/>
    <cellStyle name="Normal 2 3 54 4" xfId="3254" xr:uid="{6131CCE4-6FCD-4144-B4FD-5DE0B8D6EBD8}"/>
    <cellStyle name="Normal 2 3 54 4 2" xfId="12097" xr:uid="{A86C494E-2922-4B80-BF84-4D43B8723A19}"/>
    <cellStyle name="Normal 2 3 54 5" xfId="12092" xr:uid="{A145CAAC-4CA5-438E-9E5F-3A756C933231}"/>
    <cellStyle name="Normal 2 3 55" xfId="3255" xr:uid="{9453CF0E-329D-413A-858A-24D7FF9A0C21}"/>
    <cellStyle name="Normal 2 3 55 2" xfId="3256" xr:uid="{0215FC4C-BC11-4999-936C-81238738BEED}"/>
    <cellStyle name="Normal 2 3 55 2 2" xfId="3257" xr:uid="{D0206FDC-0FA6-4F75-9885-DD348DD9AA2A}"/>
    <cellStyle name="Normal 2 3 55 2 2 2" xfId="12100" xr:uid="{CD210416-73FE-4252-B597-45656C44EE34}"/>
    <cellStyle name="Normal 2 3 55 2 3" xfId="3258" xr:uid="{A561A644-621C-4EEF-A159-F9BAB3A75DB3}"/>
    <cellStyle name="Normal 2 3 55 2 3 2" xfId="12101" xr:uid="{8CBAD883-100B-40FA-A6FE-B88E0274308A}"/>
    <cellStyle name="Normal 2 3 55 2 4" xfId="12099" xr:uid="{D1E7C58F-EECA-40D5-A958-80B6C619E955}"/>
    <cellStyle name="Normal 2 3 55 3" xfId="3259" xr:uid="{2F5931AC-0A42-452C-AFDA-D31F6C98385E}"/>
    <cellStyle name="Normal 2 3 55 3 2" xfId="12102" xr:uid="{39D571AE-6ADA-432E-8BC9-62D2C2ECFA04}"/>
    <cellStyle name="Normal 2 3 55 4" xfId="3260" xr:uid="{1C33C756-ACB8-496E-8419-164009BCEBE8}"/>
    <cellStyle name="Normal 2 3 55 4 2" xfId="12103" xr:uid="{6206AF13-9DF3-410C-AD43-330E3B5AAC21}"/>
    <cellStyle name="Normal 2 3 55 5" xfId="12098" xr:uid="{42BC26C5-4AFF-44AC-93ED-9608E81D2F1C}"/>
    <cellStyle name="Normal 2 3 56" xfId="3261" xr:uid="{ABF8902B-AE6E-4306-B075-BB1775DC050D}"/>
    <cellStyle name="Normal 2 3 56 2" xfId="3262" xr:uid="{409CCAF7-8C43-40BA-98FC-4412D90233D6}"/>
    <cellStyle name="Normal 2 3 56 2 2" xfId="3263" xr:uid="{926A975F-4C03-4E4C-ABFD-DE72214C8995}"/>
    <cellStyle name="Normal 2 3 56 2 2 2" xfId="12106" xr:uid="{A53327D2-337E-4F98-804D-1E12A81AA071}"/>
    <cellStyle name="Normal 2 3 56 2 3" xfId="3264" xr:uid="{0567698D-5A16-488C-B2FE-4DC58CA76264}"/>
    <cellStyle name="Normal 2 3 56 2 3 2" xfId="12107" xr:uid="{238E39C4-A919-45FD-89DF-52E9E80C46FE}"/>
    <cellStyle name="Normal 2 3 56 2 4" xfId="12105" xr:uid="{CB9DE862-67A6-4B84-A8D8-92E4A9946BBC}"/>
    <cellStyle name="Normal 2 3 56 3" xfId="3265" xr:uid="{E3262448-C8E9-4B35-AC15-86A76EFCFB12}"/>
    <cellStyle name="Normal 2 3 56 3 2" xfId="12108" xr:uid="{7B4A258B-82C1-4B3E-912C-9268D54CB363}"/>
    <cellStyle name="Normal 2 3 56 4" xfId="3266" xr:uid="{25A7C07C-5F33-4597-8B15-0136E3BFB870}"/>
    <cellStyle name="Normal 2 3 56 4 2" xfId="12109" xr:uid="{C6795748-6393-4D3C-88C9-5FC737B2822E}"/>
    <cellStyle name="Normal 2 3 56 5" xfId="12104" xr:uid="{5D815990-56D4-4FB8-8AF2-63BE0E212A72}"/>
    <cellStyle name="Normal 2 3 57" xfId="3267" xr:uid="{0BA387AD-C146-404E-AB8A-8F453A45BF02}"/>
    <cellStyle name="Normal 2 3 57 2" xfId="3268" xr:uid="{3328BD66-1AE1-474E-B40C-E4AC3A88F231}"/>
    <cellStyle name="Normal 2 3 57 2 2" xfId="3269" xr:uid="{10CDECFC-8EA1-4446-A25F-7C832DF12102}"/>
    <cellStyle name="Normal 2 3 57 2 2 2" xfId="12112" xr:uid="{5EF19C27-EBDA-4DB5-B8D2-5FDE4F435F49}"/>
    <cellStyle name="Normal 2 3 57 2 3" xfId="3270" xr:uid="{F68D91BF-2627-4B0C-85B3-70F9185C0ECD}"/>
    <cellStyle name="Normal 2 3 57 2 3 2" xfId="12113" xr:uid="{895BF028-7F2B-4DCD-8351-1F2282445EA6}"/>
    <cellStyle name="Normal 2 3 57 2 4" xfId="12111" xr:uid="{F625DD41-2834-4FED-AEA5-8A00B9C42433}"/>
    <cellStyle name="Normal 2 3 57 3" xfId="3271" xr:uid="{B8CE99CD-314B-421E-A20A-7721BFABF699}"/>
    <cellStyle name="Normal 2 3 57 3 2" xfId="12114" xr:uid="{974DAD49-9520-416C-B238-584484B4E6F7}"/>
    <cellStyle name="Normal 2 3 57 4" xfId="3272" xr:uid="{D7C48368-54C6-49BF-A980-D4CDBBF4387D}"/>
    <cellStyle name="Normal 2 3 57 4 2" xfId="12115" xr:uid="{4921993D-DDDA-400B-8B6D-AA61B2128ECA}"/>
    <cellStyle name="Normal 2 3 57 5" xfId="12110" xr:uid="{E008DAD6-8A5B-4FD8-A09E-C01A06C36047}"/>
    <cellStyle name="Normal 2 3 58" xfId="3273" xr:uid="{C10008E9-1972-48A9-83BF-FEC908B2997A}"/>
    <cellStyle name="Normal 2 3 58 2" xfId="3274" xr:uid="{384EC018-9458-420E-B339-CD0EFB2C9EF7}"/>
    <cellStyle name="Normal 2 3 58 2 2" xfId="3275" xr:uid="{880FEFDB-216B-442E-8556-CD6B9AF70581}"/>
    <cellStyle name="Normal 2 3 58 2 2 2" xfId="12118" xr:uid="{BA89E132-4222-4C00-BE3A-A6E0513ADE71}"/>
    <cellStyle name="Normal 2 3 58 2 3" xfId="3276" xr:uid="{CAFD3525-7DF2-4289-8B04-77EE8EBEA4EC}"/>
    <cellStyle name="Normal 2 3 58 2 3 2" xfId="12119" xr:uid="{B0ACCC62-F011-46F3-A232-20EB4E55C67C}"/>
    <cellStyle name="Normal 2 3 58 2 4" xfId="12117" xr:uid="{A5B8F168-E998-4373-9D6C-B3F5A97E537A}"/>
    <cellStyle name="Normal 2 3 58 3" xfId="3277" xr:uid="{D00777E8-D845-45DF-A4E7-A6935A2F79E6}"/>
    <cellStyle name="Normal 2 3 58 3 2" xfId="12120" xr:uid="{A78F2641-E10B-446E-B1AF-24851776242E}"/>
    <cellStyle name="Normal 2 3 58 4" xfId="3278" xr:uid="{ECFA9887-5704-4B98-AF24-53BF9A144262}"/>
    <cellStyle name="Normal 2 3 58 4 2" xfId="12121" xr:uid="{43741C15-CE45-4C0D-BD03-DD03C9886EA0}"/>
    <cellStyle name="Normal 2 3 58 5" xfId="12116" xr:uid="{DDC63EFA-CEE1-4295-8E17-FBF2FB37137F}"/>
    <cellStyle name="Normal 2 3 59" xfId="3279" xr:uid="{DD82953C-CAAC-41FD-9268-D0776EB04D34}"/>
    <cellStyle name="Normal 2 3 59 2" xfId="3280" xr:uid="{3954D4C0-F3D1-4F69-BF91-6B179945FE98}"/>
    <cellStyle name="Normal 2 3 59 2 2" xfId="3281" xr:uid="{654DE16F-5405-47D4-9E32-A98FED0F242A}"/>
    <cellStyle name="Normal 2 3 59 2 2 2" xfId="12124" xr:uid="{8CC459AE-20C5-4BAF-B329-8A7EE3089DCB}"/>
    <cellStyle name="Normal 2 3 59 2 3" xfId="3282" xr:uid="{ECB76990-BCDA-4D2D-A838-0B6BC2C65C9B}"/>
    <cellStyle name="Normal 2 3 59 2 3 2" xfId="12125" xr:uid="{D34BC020-9B7C-41F2-833E-BF8AA121E8A1}"/>
    <cellStyle name="Normal 2 3 59 2 4" xfId="12123" xr:uid="{E175A90F-48C8-444F-BC95-C4D6AEB1A95F}"/>
    <cellStyle name="Normal 2 3 59 3" xfId="3283" xr:uid="{69047933-872F-44FD-BC32-65F78CA7F01A}"/>
    <cellStyle name="Normal 2 3 59 3 2" xfId="12126" xr:uid="{C91C2131-EC62-410E-9EA2-FF8A08382568}"/>
    <cellStyle name="Normal 2 3 59 4" xfId="3284" xr:uid="{FAB7AEC3-96AB-4277-BBCB-2078C55A7B43}"/>
    <cellStyle name="Normal 2 3 59 4 2" xfId="12127" xr:uid="{E230CA2D-E4ED-468F-A543-5CD5D1D149B3}"/>
    <cellStyle name="Normal 2 3 59 5" xfId="12122" xr:uid="{126220B7-226D-4181-8987-DD94E5275A9F}"/>
    <cellStyle name="Normal 2 3 6" xfId="3285" xr:uid="{77CAAEA0-1B9C-4354-8A9E-C2A2F47EF5B1}"/>
    <cellStyle name="Normal 2 3 6 2" xfId="3286" xr:uid="{FFD0E64D-6636-4549-8FF4-F0E6D2DB0DD8}"/>
    <cellStyle name="Normal 2 3 6 2 2" xfId="3287" xr:uid="{8D5B407E-FD8E-4EE6-ACE3-71F4B33DBBB0}"/>
    <cellStyle name="Normal 2 3 6 2 2 2" xfId="12130" xr:uid="{D6764A73-B9C4-4163-9542-4DF89CB1F0A6}"/>
    <cellStyle name="Normal 2 3 6 2 3" xfId="3288" xr:uid="{0E448075-F7F1-4A45-87FF-BD706B72DEE5}"/>
    <cellStyle name="Normal 2 3 6 2 3 2" xfId="12131" xr:uid="{8DDFA183-9C98-4693-9DBC-1A144E3A11EA}"/>
    <cellStyle name="Normal 2 3 6 2 4" xfId="12129" xr:uid="{C1E9D88C-6770-4188-82BC-96349EF20A78}"/>
    <cellStyle name="Normal 2 3 6 3" xfId="3289" xr:uid="{7AABB04B-CC2D-45DD-B3E1-783C31844788}"/>
    <cellStyle name="Normal 2 3 6 3 2" xfId="12132" xr:uid="{DB203E5A-012A-4646-8161-7095452F7354}"/>
    <cellStyle name="Normal 2 3 6 4" xfId="3290" xr:uid="{C7389750-FB85-4443-AF8C-F374A8CE0195}"/>
    <cellStyle name="Normal 2 3 6 4 2" xfId="12133" xr:uid="{D9B6CD0D-1582-43F8-9070-2ACC0C6A2A74}"/>
    <cellStyle name="Normal 2 3 6 5" xfId="12128" xr:uid="{A133E968-CEDA-4901-B185-F1F18234178D}"/>
    <cellStyle name="Normal 2 3 60" xfId="3291" xr:uid="{73EC634C-F2BA-4900-A388-5D80CA2386B3}"/>
    <cellStyle name="Normal 2 3 60 2" xfId="3292" xr:uid="{0F6FEC65-7430-4A35-A723-39736491C405}"/>
    <cellStyle name="Normal 2 3 60 2 2" xfId="3293" xr:uid="{679633AA-23CE-4CF9-8E0E-3E01F6590729}"/>
    <cellStyle name="Normal 2 3 60 2 2 2" xfId="12136" xr:uid="{2BAA4FA3-68A7-462E-B81D-4060EC1082CF}"/>
    <cellStyle name="Normal 2 3 60 2 3" xfId="3294" xr:uid="{9763B386-F083-404F-A144-1858ED56284B}"/>
    <cellStyle name="Normal 2 3 60 2 3 2" xfId="12137" xr:uid="{E3104652-26DF-4E08-950F-1B86E9AE73A1}"/>
    <cellStyle name="Normal 2 3 60 2 4" xfId="12135" xr:uid="{015AD46A-5F43-4900-B8A9-CFEA21713FA8}"/>
    <cellStyle name="Normal 2 3 60 3" xfId="3295" xr:uid="{5884D8C1-A5FA-4C41-BD16-3D65064B2526}"/>
    <cellStyle name="Normal 2 3 60 3 2" xfId="12138" xr:uid="{6CCC2DDA-722B-4B61-B24A-5595799448A6}"/>
    <cellStyle name="Normal 2 3 60 4" xfId="3296" xr:uid="{2CC8E6AF-C1BC-4FDA-9980-D7DC955C2C0B}"/>
    <cellStyle name="Normal 2 3 60 4 2" xfId="12139" xr:uid="{9B7034AE-D93E-4E85-88FB-C2EF8DDD892E}"/>
    <cellStyle name="Normal 2 3 60 5" xfId="12134" xr:uid="{4E7FD7D1-5FCB-4B59-B692-BC347D336913}"/>
    <cellStyle name="Normal 2 3 61" xfId="3297" xr:uid="{FC48CB78-59FF-4AAD-9EF2-111D58BA1ABE}"/>
    <cellStyle name="Normal 2 3 61 2" xfId="3298" xr:uid="{F3405D8E-AC6D-4B2F-9103-B8F61B781581}"/>
    <cellStyle name="Normal 2 3 61 2 2" xfId="12141" xr:uid="{7E433A38-5EC4-458B-88A8-C6245FF479DA}"/>
    <cellStyle name="Normal 2 3 61 3" xfId="3299" xr:uid="{EB23FD5C-3D12-46BE-9D96-EE064D577AD8}"/>
    <cellStyle name="Normal 2 3 61 3 2" xfId="12142" xr:uid="{58EFB528-72BE-4BDE-B63D-E046A8F558AE}"/>
    <cellStyle name="Normal 2 3 61 4" xfId="12140" xr:uid="{4241E52D-443F-4503-847E-04EBC14AD149}"/>
    <cellStyle name="Normal 2 3 62" xfId="3300" xr:uid="{652B39A6-58AC-40A3-B3A6-EADC9DF309AC}"/>
    <cellStyle name="Normal 2 3 62 2" xfId="12143" xr:uid="{9BEBF306-0F60-4878-9EB4-B4B19B8586E7}"/>
    <cellStyle name="Normal 2 3 63" xfId="3301" xr:uid="{281210E2-1A68-494E-BC7A-B03A1157D709}"/>
    <cellStyle name="Normal 2 3 63 2" xfId="12144" xr:uid="{70BF0CB9-2E31-4FAA-83CC-A9845E607025}"/>
    <cellStyle name="Normal 2 3 64" xfId="3302" xr:uid="{B2DEBFD6-3286-44A4-8B67-E704758876A8}"/>
    <cellStyle name="Normal 2 3 65" xfId="3303" xr:uid="{2986BA9E-11CA-4EEC-A8CA-D8EB2AE569F0}"/>
    <cellStyle name="Normal 2 3 65 2" xfId="3304" xr:uid="{DB5835C9-36B0-4CD1-941A-6F3D25A70C85}"/>
    <cellStyle name="Normal 2 3 65 2 2" xfId="12145" xr:uid="{19926A46-6FEA-42F2-B513-561864FDE1B1}"/>
    <cellStyle name="Normal 2 3 65 3" xfId="3305" xr:uid="{28E6F24B-61B6-4662-B4AA-A2C78EB033B9}"/>
    <cellStyle name="Normal 2 3 66" xfId="10795" xr:uid="{FD4991BC-219B-4190-8BC5-EA38B9D55A17}"/>
    <cellStyle name="Normal 2 3 7" xfId="3306" xr:uid="{AEE7D51F-7C48-4ACB-82D8-759886F03027}"/>
    <cellStyle name="Normal 2 3 7 2" xfId="3307" xr:uid="{BE06753C-FD7D-4DA5-8BD0-D0EFFA2CF2FE}"/>
    <cellStyle name="Normal 2 3 7 2 2" xfId="3308" xr:uid="{088E25B8-CB5F-4F8C-8D41-A34B06608320}"/>
    <cellStyle name="Normal 2 3 7 2 2 2" xfId="12148" xr:uid="{7D28AA5E-7D76-49DB-9809-3F7F26ABB615}"/>
    <cellStyle name="Normal 2 3 7 2 3" xfId="3309" xr:uid="{F2FC2B3A-2DC0-4632-9D82-255CB42DBDCF}"/>
    <cellStyle name="Normal 2 3 7 2 3 2" xfId="12149" xr:uid="{43C3C761-59BF-40A8-99DA-A0BC36AA25C5}"/>
    <cellStyle name="Normal 2 3 7 2 4" xfId="12147" xr:uid="{970B6440-080E-4044-8931-B138C242D404}"/>
    <cellStyle name="Normal 2 3 7 3" xfId="3310" xr:uid="{A191A6B0-8199-4461-9050-806BC0FAB47F}"/>
    <cellStyle name="Normal 2 3 7 3 2" xfId="12150" xr:uid="{4A6515F3-9C47-40FC-82B2-98ABE9F4D6E6}"/>
    <cellStyle name="Normal 2 3 7 4" xfId="3311" xr:uid="{823A1759-A7D5-494D-B360-23B42C3D44FF}"/>
    <cellStyle name="Normal 2 3 7 4 2" xfId="12151" xr:uid="{A48B1528-FE8D-44D0-97E4-F04FD527EC1B}"/>
    <cellStyle name="Normal 2 3 7 5" xfId="12146" xr:uid="{099011F6-7DF8-47E1-9F14-DB090812A719}"/>
    <cellStyle name="Normal 2 3 8" xfId="3312" xr:uid="{B4C35ED0-E166-4A25-8A7E-8E7E293F052E}"/>
    <cellStyle name="Normal 2 3 8 2" xfId="3313" xr:uid="{BCA5C566-4936-4B58-9DE5-0557A90F9DB8}"/>
    <cellStyle name="Normal 2 3 8 2 2" xfId="3314" xr:uid="{934E6D72-3B5E-4095-A951-61776C29055B}"/>
    <cellStyle name="Normal 2 3 8 2 2 2" xfId="12154" xr:uid="{9C7118C0-E1BE-4072-8790-C8BCF685F688}"/>
    <cellStyle name="Normal 2 3 8 2 3" xfId="3315" xr:uid="{7408416A-6A2F-4859-B12C-A2BE273B7557}"/>
    <cellStyle name="Normal 2 3 8 2 3 2" xfId="12155" xr:uid="{87D37B2F-584D-4A61-AB09-D16884F849D7}"/>
    <cellStyle name="Normal 2 3 8 2 4" xfId="12153" xr:uid="{F0930AC6-05C7-4306-BA8B-28A9114887C6}"/>
    <cellStyle name="Normal 2 3 8 3" xfId="3316" xr:uid="{A3895C9E-38DB-4D65-8221-54FC7070DE71}"/>
    <cellStyle name="Normal 2 3 8 3 2" xfId="12156" xr:uid="{B2BF50E8-3560-4B20-88C3-D42AC8322108}"/>
    <cellStyle name="Normal 2 3 8 4" xfId="3317" xr:uid="{27F91C3C-8E99-4565-A4D1-BDEF6D3992D1}"/>
    <cellStyle name="Normal 2 3 8 4 2" xfId="12157" xr:uid="{5096223D-10A2-4E10-B314-E7F0E9A8F7E3}"/>
    <cellStyle name="Normal 2 3 8 5" xfId="3318" xr:uid="{58B4F23A-FA8B-414C-83B9-AC4CA24CAA4F}"/>
    <cellStyle name="Normal 2 3 8 6" xfId="3319" xr:uid="{BBCCD95B-CE56-4106-A45C-1B36EC4B391C}"/>
    <cellStyle name="Normal 2 3 8 6 2" xfId="12158" xr:uid="{156E95A0-E002-4D21-88AE-E352E12CC473}"/>
    <cellStyle name="Normal 2 3 8 7" xfId="3320" xr:uid="{FF00D344-83E2-4761-9A22-2DE3843786AD}"/>
    <cellStyle name="Normal 2 3 8 8" xfId="12152" xr:uid="{2962635B-F325-46E6-93FE-61FF09AA25B4}"/>
    <cellStyle name="Normal 2 3 9" xfId="3321" xr:uid="{913C6374-7F0B-4D43-870F-84A5FE80413F}"/>
    <cellStyle name="Normal 2 3 9 2" xfId="3322" xr:uid="{1FC1C2CA-A5DC-43F0-AA42-B1BCE71E9A75}"/>
    <cellStyle name="Normal 2 3 9 2 2" xfId="3323" xr:uid="{37FE905B-C69E-4F4C-887A-F3E4F70B074E}"/>
    <cellStyle name="Normal 2 3 9 2 2 2" xfId="12161" xr:uid="{376891A7-BA32-4D03-A0A0-CB4DFDE30F57}"/>
    <cellStyle name="Normal 2 3 9 2 3" xfId="3324" xr:uid="{DB32888F-134D-4C3A-87E1-C04F223BED17}"/>
    <cellStyle name="Normal 2 3 9 2 3 2" xfId="12162" xr:uid="{3FFA0556-4E86-426E-B2CF-02D873AE1C49}"/>
    <cellStyle name="Normal 2 3 9 2 4" xfId="12160" xr:uid="{1EA32C47-2590-4DDF-A750-52DFE4A566CF}"/>
    <cellStyle name="Normal 2 3 9 3" xfId="3325" xr:uid="{A8BD288B-1D9A-4F03-8AFE-1EC8F9178035}"/>
    <cellStyle name="Normal 2 3 9 3 2" xfId="12163" xr:uid="{F223B0EE-D9D0-489E-A2C3-19BE98F276EF}"/>
    <cellStyle name="Normal 2 3 9 4" xfId="3326" xr:uid="{DC9ABDA6-3E62-48F6-A4E6-768EA498310A}"/>
    <cellStyle name="Normal 2 3 9 4 2" xfId="12164" xr:uid="{2954B0E4-321C-495B-AA9B-E7D6FA04C439}"/>
    <cellStyle name="Normal 2 3 9 5" xfId="12159" xr:uid="{074C7BEB-7AE3-44C2-A232-AC19E34EE918}"/>
    <cellStyle name="Normal 2 30" xfId="3327" xr:uid="{EDB1C0A7-25E0-43E3-8CE4-835F6D7199A8}"/>
    <cellStyle name="Normal 2 30 2" xfId="3328" xr:uid="{36909422-F73E-4688-BC9B-70E71700E18B}"/>
    <cellStyle name="Normal 2 30 2 2" xfId="3329" xr:uid="{90714BF1-6C30-4A95-A35F-3D0007F6DF9D}"/>
    <cellStyle name="Normal 2 30 2 2 2" xfId="12167" xr:uid="{C0C34C8F-64CE-43F1-9F11-CE8304F6E459}"/>
    <cellStyle name="Normal 2 30 2 3" xfId="3330" xr:uid="{7B370857-9362-49F8-9A1B-2061231A6FFA}"/>
    <cellStyle name="Normal 2 30 2 3 2" xfId="12168" xr:uid="{DDE65B29-F148-455A-9976-36FE3A169829}"/>
    <cellStyle name="Normal 2 30 2 4" xfId="12166" xr:uid="{014595A9-2CFC-4ACD-9076-89A0450F5E42}"/>
    <cellStyle name="Normal 2 30 3" xfId="3331" xr:uid="{1777F6C1-01FC-44D5-9F93-FD4A54E9A1EB}"/>
    <cellStyle name="Normal 2 30 3 2" xfId="12169" xr:uid="{4C749007-13AB-45AB-AF21-F1DA2F347B22}"/>
    <cellStyle name="Normal 2 30 4" xfId="3332" xr:uid="{F53D64DC-0A87-446E-B984-4B5E2993ED8E}"/>
    <cellStyle name="Normal 2 30 4 2" xfId="12170" xr:uid="{1EB049DD-4D3B-49E6-99D0-6D42D32FBDCE}"/>
    <cellStyle name="Normal 2 30 5" xfId="12165" xr:uid="{EE9DC94B-4FEF-4B9A-BF6C-8E109121D2B9}"/>
    <cellStyle name="Normal 2 31" xfId="3333" xr:uid="{6F3DFC5B-81B0-4841-86D6-06C057E51B47}"/>
    <cellStyle name="Normal 2 31 2" xfId="3334" xr:uid="{C349AF98-2581-4CC3-BB58-715B8E3561BA}"/>
    <cellStyle name="Normal 2 31 2 2" xfId="3335" xr:uid="{CC37CC0F-DA2B-4951-BE9C-0FC4545C5F27}"/>
    <cellStyle name="Normal 2 31 2 2 2" xfId="12173" xr:uid="{E59644F7-417F-4904-8AB5-F268F6C0849E}"/>
    <cellStyle name="Normal 2 31 2 3" xfId="3336" xr:uid="{C2D526D8-4F5A-4681-888D-49ACA7D6092D}"/>
    <cellStyle name="Normal 2 31 2 3 2" xfId="12174" xr:uid="{E15B989D-E4D4-416B-BAF0-E5F96F645A58}"/>
    <cellStyle name="Normal 2 31 2 4" xfId="12172" xr:uid="{812D47AF-1320-4E12-865E-C373A79C2BEC}"/>
    <cellStyle name="Normal 2 31 3" xfId="3337" xr:uid="{2A67C983-1A30-455C-9FA2-77E1E6010EF9}"/>
    <cellStyle name="Normal 2 31 3 2" xfId="12175" xr:uid="{9CC9A229-BDFE-4604-8CB1-DE9EBACC90F0}"/>
    <cellStyle name="Normal 2 31 4" xfId="3338" xr:uid="{10CD20AF-51F4-4278-9A09-262503BAF398}"/>
    <cellStyle name="Normal 2 31 4 2" xfId="12176" xr:uid="{4E6E6694-DC45-44B8-817A-F254E2462018}"/>
    <cellStyle name="Normal 2 31 5" xfId="12171" xr:uid="{4C271E47-8CF2-4D8A-B172-12BEF648838B}"/>
    <cellStyle name="Normal 2 32" xfId="3339" xr:uid="{918376AF-05CF-4F0A-8B46-29942F41C41E}"/>
    <cellStyle name="Normal 2 32 2" xfId="3340" xr:uid="{B1E2EBB9-E1F0-4584-971F-D4A11C6FC9D9}"/>
    <cellStyle name="Normal 2 32 2 2" xfId="3341" xr:uid="{ADC43F72-C03F-4012-B11C-63F224FD10A1}"/>
    <cellStyle name="Normal 2 32 2 2 2" xfId="12179" xr:uid="{67F0FCAE-5008-474C-AF4A-4A287D88D78E}"/>
    <cellStyle name="Normal 2 32 2 3" xfId="3342" xr:uid="{966ADE95-B093-40A6-B267-CA24A36B33FE}"/>
    <cellStyle name="Normal 2 32 2 3 2" xfId="12180" xr:uid="{2B70D8CE-4397-492F-B938-84CB6B7FDB9E}"/>
    <cellStyle name="Normal 2 32 2 4" xfId="12178" xr:uid="{A558D2C9-F298-4678-AC87-916BE4AD52B3}"/>
    <cellStyle name="Normal 2 32 3" xfId="3343" xr:uid="{D07F7223-92EF-4695-80D5-5C7A0B363E9C}"/>
    <cellStyle name="Normal 2 32 3 2" xfId="12181" xr:uid="{2DF284E0-8599-4E6E-AEA3-AC542F88EDBB}"/>
    <cellStyle name="Normal 2 32 4" xfId="3344" xr:uid="{737DF497-03B4-4E69-8671-F82C6AB98FC2}"/>
    <cellStyle name="Normal 2 32 4 2" xfId="12182" xr:uid="{BB862F42-725C-43A9-B80D-B119F0B49876}"/>
    <cellStyle name="Normal 2 32 5" xfId="12177" xr:uid="{A67E5586-7343-46A5-9486-5E1AA9F415C7}"/>
    <cellStyle name="Normal 2 33" xfId="3345" xr:uid="{AB446BE7-9B11-4569-877F-B1CD6617BB06}"/>
    <cellStyle name="Normal 2 33 2" xfId="3346" xr:uid="{69AE6C28-B69B-48C5-8957-F30E377152B8}"/>
    <cellStyle name="Normal 2 33 2 2" xfId="3347" xr:uid="{8BBFD867-CD55-49E5-BF41-535584E75F86}"/>
    <cellStyle name="Normal 2 33 2 2 2" xfId="12185" xr:uid="{BFB04366-A5B0-4484-B640-CA332B183D7C}"/>
    <cellStyle name="Normal 2 33 2 3" xfId="3348" xr:uid="{E9A1758A-8ECF-4EAA-8141-4CF2E7A819C8}"/>
    <cellStyle name="Normal 2 33 2 3 2" xfId="12186" xr:uid="{EA574A55-6EDD-432A-BE22-D954AC72B68F}"/>
    <cellStyle name="Normal 2 33 2 4" xfId="12184" xr:uid="{A020493C-3AE3-4D2A-9FA5-F7D67101A80D}"/>
    <cellStyle name="Normal 2 33 3" xfId="3349" xr:uid="{7558C6A7-6794-46C8-850C-964970B1DFDE}"/>
    <cellStyle name="Normal 2 33 3 2" xfId="12187" xr:uid="{BF981549-813F-4AE0-9D05-DA9712C8E4CD}"/>
    <cellStyle name="Normal 2 33 4" xfId="3350" xr:uid="{06A18CE7-CA54-46EA-AC13-98F8DF071D20}"/>
    <cellStyle name="Normal 2 33 4 2" xfId="12188" xr:uid="{5B1787EF-2779-44B9-A61D-4D0E962A75D3}"/>
    <cellStyle name="Normal 2 33 5" xfId="12183" xr:uid="{ECF9EFBF-143D-41A5-81BA-3B98621C2597}"/>
    <cellStyle name="Normal 2 34" xfId="3351" xr:uid="{404C83E5-EFFE-41DF-8E67-A6FAE0DA8796}"/>
    <cellStyle name="Normal 2 34 2" xfId="3352" xr:uid="{B8258A88-C64A-422A-BE61-7CA692438846}"/>
    <cellStyle name="Normal 2 34 2 2" xfId="3353" xr:uid="{D667F3D7-F759-429C-8999-6787334863DE}"/>
    <cellStyle name="Normal 2 34 2 2 2" xfId="12191" xr:uid="{49C1B2AE-169B-410B-B9D2-2782F54282FF}"/>
    <cellStyle name="Normal 2 34 2 3" xfId="3354" xr:uid="{F7074AF9-A2DC-4A11-9C74-6439BAA4E4CC}"/>
    <cellStyle name="Normal 2 34 2 3 2" xfId="12192" xr:uid="{F0795976-181A-44AF-BDE8-210269CD18B8}"/>
    <cellStyle name="Normal 2 34 2 4" xfId="12190" xr:uid="{0FC3951F-96C3-4314-B4D0-05F4AEFC201F}"/>
    <cellStyle name="Normal 2 34 3" xfId="3355" xr:uid="{AFA6B6D9-10BD-480C-A44C-A3066F7C3B1C}"/>
    <cellStyle name="Normal 2 34 3 2" xfId="12193" xr:uid="{2EF92991-F675-460B-9B06-2381A7C35D93}"/>
    <cellStyle name="Normal 2 34 4" xfId="3356" xr:uid="{AB8EE6DA-CBE0-4E54-996A-F6046F5ECA4F}"/>
    <cellStyle name="Normal 2 34 4 2" xfId="12194" xr:uid="{E5E2C078-A406-4F12-B15E-00B2569B050F}"/>
    <cellStyle name="Normal 2 34 5" xfId="12189" xr:uid="{A593F016-7DCF-4C57-905F-6565381A63EA}"/>
    <cellStyle name="Normal 2 35" xfId="3357" xr:uid="{6A621C7E-8A79-410E-9A61-876856D1F7C7}"/>
    <cellStyle name="Normal 2 35 2" xfId="3358" xr:uid="{AFF9F9A6-64CB-4C57-8A43-50EECA9E123E}"/>
    <cellStyle name="Normal 2 35 2 2" xfId="3359" xr:uid="{0746CB67-A83D-4912-ACE1-113CEB60242D}"/>
    <cellStyle name="Normal 2 35 2 2 2" xfId="12197" xr:uid="{A63DECFD-F5B5-4BCF-96FF-E9068B9B4722}"/>
    <cellStyle name="Normal 2 35 2 3" xfId="3360" xr:uid="{AAA00E7D-B647-40B1-94F2-75888D614F03}"/>
    <cellStyle name="Normal 2 35 2 3 2" xfId="12198" xr:uid="{9C7C6332-7675-479B-9B6B-DFF322D1919A}"/>
    <cellStyle name="Normal 2 35 2 4" xfId="12196" xr:uid="{077DA49C-7946-429B-918A-C69A0F199D6F}"/>
    <cellStyle name="Normal 2 35 3" xfId="3361" xr:uid="{FB805AEB-0564-4FF1-A036-895CC5F01AC8}"/>
    <cellStyle name="Normal 2 35 3 2" xfId="12199" xr:uid="{D8BE8B39-7EF4-4B6E-8D1D-2616ADE9B3F6}"/>
    <cellStyle name="Normal 2 35 4" xfId="3362" xr:uid="{BE79B103-DB04-4282-9036-B461C0EC56D0}"/>
    <cellStyle name="Normal 2 35 4 2" xfId="12200" xr:uid="{ADFA3077-1AC4-490F-B2CE-ECF9B8A712B9}"/>
    <cellStyle name="Normal 2 35 5" xfId="12195" xr:uid="{0B983F24-3160-4FBE-BCB9-E123BA378DAE}"/>
    <cellStyle name="Normal 2 36" xfId="3363" xr:uid="{ED8D3D65-0875-4064-920E-C585F60B069B}"/>
    <cellStyle name="Normal 2 36 2" xfId="3364" xr:uid="{EEA881C5-B016-4165-A517-F7DE76176141}"/>
    <cellStyle name="Normal 2 36 2 2" xfId="3365" xr:uid="{4E2EE004-EDCE-4972-A827-D4988F151701}"/>
    <cellStyle name="Normal 2 36 2 2 2" xfId="12203" xr:uid="{48CAA364-2E61-4ADD-BDCB-B23AFD8AC502}"/>
    <cellStyle name="Normal 2 36 2 3" xfId="3366" xr:uid="{6583B3CF-4D53-4272-9B54-9DB297B16A25}"/>
    <cellStyle name="Normal 2 36 2 3 2" xfId="12204" xr:uid="{5593EE21-A3F2-4DCD-8878-89CE90475975}"/>
    <cellStyle name="Normal 2 36 2 4" xfId="12202" xr:uid="{39DD8B1C-CE21-4271-8294-5299D45D77D3}"/>
    <cellStyle name="Normal 2 36 3" xfId="3367" xr:uid="{CCF741E1-787A-4422-B3D7-73FE22A9E8AC}"/>
    <cellStyle name="Normal 2 36 3 2" xfId="12205" xr:uid="{8960CC12-406D-4D59-B9C2-34D8FA2B5047}"/>
    <cellStyle name="Normal 2 36 4" xfId="3368" xr:uid="{ECD6A988-B521-461E-919E-4324A850A4D1}"/>
    <cellStyle name="Normal 2 36 4 2" xfId="12206" xr:uid="{95D2F97F-3431-4F65-98E5-4F2208C14450}"/>
    <cellStyle name="Normal 2 36 5" xfId="12201" xr:uid="{0652576D-4BBD-476F-8199-E1A04067955A}"/>
    <cellStyle name="Normal 2 37" xfId="3369" xr:uid="{688013EE-BD85-418D-8E8C-98F65C400A52}"/>
    <cellStyle name="Normal 2 37 2" xfId="3370" xr:uid="{D0C04FAF-4E18-4680-83EE-7E712EA6D2A0}"/>
    <cellStyle name="Normal 2 37 2 2" xfId="3371" xr:uid="{5C56A88A-37B9-4F62-856F-FA19E2A28E8F}"/>
    <cellStyle name="Normal 2 37 2 2 2" xfId="12209" xr:uid="{64268E45-FE40-4B19-8C09-2F6CFC228194}"/>
    <cellStyle name="Normal 2 37 2 3" xfId="3372" xr:uid="{AA7CA17F-C2D5-4B50-AE80-5DAA616A6403}"/>
    <cellStyle name="Normal 2 37 2 3 2" xfId="12210" xr:uid="{5E1CF0FD-162D-4C41-ACA8-A975A74ED9F2}"/>
    <cellStyle name="Normal 2 37 2 4" xfId="12208" xr:uid="{E8E16E1B-ED9B-4D00-B4D5-CB6F2326E501}"/>
    <cellStyle name="Normal 2 37 3" xfId="3373" xr:uid="{311353F0-36E2-4675-8EFF-8C0C1209F46A}"/>
    <cellStyle name="Normal 2 37 3 2" xfId="12211" xr:uid="{7051652B-E3A5-4811-AB88-B0C154F14CFC}"/>
    <cellStyle name="Normal 2 37 4" xfId="3374" xr:uid="{D1B9A413-1DDF-4FC1-B4F3-9E6F07982348}"/>
    <cellStyle name="Normal 2 37 4 2" xfId="12212" xr:uid="{877AABFF-DE39-4CBB-8087-C82E7098D3EF}"/>
    <cellStyle name="Normal 2 37 5" xfId="12207" xr:uid="{7A05E847-5F87-4F06-AF6D-0CD0EBE2D371}"/>
    <cellStyle name="Normal 2 38" xfId="3375" xr:uid="{44DBE3A9-FEE6-4DB3-81AD-D388340551A3}"/>
    <cellStyle name="Normal 2 38 2" xfId="3376" xr:uid="{09DC8807-ADE6-4015-B093-C783D129454F}"/>
    <cellStyle name="Normal 2 38 2 2" xfId="3377" xr:uid="{D71809CF-DBEA-4F16-AB2B-9D1BA8EB5D21}"/>
    <cellStyle name="Normal 2 38 2 2 2" xfId="12215" xr:uid="{F5A1483F-32CA-4018-8955-1BBDD30254F2}"/>
    <cellStyle name="Normal 2 38 2 3" xfId="3378" xr:uid="{C8BC9F68-3C2C-43F2-82D3-8DC1863D7257}"/>
    <cellStyle name="Normal 2 38 2 3 2" xfId="12216" xr:uid="{DF928188-89F7-4CF8-9091-7DEFEE234AB2}"/>
    <cellStyle name="Normal 2 38 2 4" xfId="12214" xr:uid="{B3593F60-0F4A-4293-AEEA-F3AA22A45D30}"/>
    <cellStyle name="Normal 2 38 3" xfId="3379" xr:uid="{D0F279FF-AE1A-4ED4-A0B6-6CE9F34B648F}"/>
    <cellStyle name="Normal 2 38 3 2" xfId="12217" xr:uid="{7738D4DC-D0A6-451E-9406-8F4695A8AE18}"/>
    <cellStyle name="Normal 2 38 4" xfId="3380" xr:uid="{D3FA1F5A-CF7F-42C0-BF15-B7D7ADB97CC7}"/>
    <cellStyle name="Normal 2 38 4 2" xfId="12218" xr:uid="{8CB44FED-F72D-4E54-A23A-585767BA886D}"/>
    <cellStyle name="Normal 2 38 5" xfId="12213" xr:uid="{E22D228E-73E4-4047-97E6-C04EE8D7D4D2}"/>
    <cellStyle name="Normal 2 39" xfId="3381" xr:uid="{E30BCF1B-F028-494B-A914-38F0CFD573DB}"/>
    <cellStyle name="Normal 2 39 2" xfId="3382" xr:uid="{890EBD63-C7FE-478C-B20F-676B519084DE}"/>
    <cellStyle name="Normal 2 39 2 2" xfId="3383" xr:uid="{FD2E53EF-589C-42F7-ADFB-9605DAE77F16}"/>
    <cellStyle name="Normal 2 39 2 2 2" xfId="12221" xr:uid="{ECE87B77-2142-4A17-BD6B-F0E61CF56A50}"/>
    <cellStyle name="Normal 2 39 2 3" xfId="3384" xr:uid="{7111ECE9-7304-4753-8F48-68BF80C6719D}"/>
    <cellStyle name="Normal 2 39 2 3 2" xfId="12222" xr:uid="{DCD0AF4D-D8B0-4E0F-98FC-5AD649C2549E}"/>
    <cellStyle name="Normal 2 39 2 4" xfId="12220" xr:uid="{AA828883-623E-4B91-86BA-7DA8A2035B98}"/>
    <cellStyle name="Normal 2 39 3" xfId="3385" xr:uid="{096A3284-D9E3-4356-B1D1-3700534FEAB0}"/>
    <cellStyle name="Normal 2 39 3 2" xfId="12223" xr:uid="{4D8F21B1-2CE6-48D2-94C1-02A740901867}"/>
    <cellStyle name="Normal 2 39 4" xfId="3386" xr:uid="{488DBC7E-9795-43D5-9271-774F2F4558CB}"/>
    <cellStyle name="Normal 2 39 4 2" xfId="12224" xr:uid="{ACE005CE-CA55-4F81-BEDB-EDD59ADAD400}"/>
    <cellStyle name="Normal 2 39 5" xfId="12219" xr:uid="{3496A454-FC09-4D80-9D44-1A51EBB4CCA9}"/>
    <cellStyle name="Normal 2 4" xfId="3387" xr:uid="{37CF28F1-912D-49F1-AABC-B3E8CAF03D48}"/>
    <cellStyle name="Normal 2 4 10" xfId="3388" xr:uid="{23506E7A-18F2-466B-9765-75F38E105058}"/>
    <cellStyle name="Normal 2 4 10 2" xfId="3389" xr:uid="{7F268165-D707-44C0-B5DE-A4AC85B519F7}"/>
    <cellStyle name="Normal 2 4 10 2 2" xfId="3390" xr:uid="{570C7AFF-B721-48AC-8267-B460D816A542}"/>
    <cellStyle name="Normal 2 4 10 2 2 2" xfId="12228" xr:uid="{DCC52FC7-1324-4938-A14E-4E112283FB7F}"/>
    <cellStyle name="Normal 2 4 10 2 3" xfId="3391" xr:uid="{516C1B63-7252-402B-8F2D-0712B2D78F2D}"/>
    <cellStyle name="Normal 2 4 10 2 3 2" xfId="12229" xr:uid="{B4EAE135-1303-43D4-8B37-124BEA2A4154}"/>
    <cellStyle name="Normal 2 4 10 2 4" xfId="12227" xr:uid="{970C4A7C-1D90-4E85-9143-212E8E5B30BA}"/>
    <cellStyle name="Normal 2 4 10 3" xfId="3392" xr:uid="{07CDFAAA-9A40-42CB-A642-8BC0072A8C5A}"/>
    <cellStyle name="Normal 2 4 10 3 2" xfId="12230" xr:uid="{795D5939-B2B7-4251-9FBD-8E96F236AA51}"/>
    <cellStyle name="Normal 2 4 10 4" xfId="3393" xr:uid="{A67B7EDF-A54D-4B84-A5B0-548B8677C32A}"/>
    <cellStyle name="Normal 2 4 10 4 2" xfId="12231" xr:uid="{346B7D3C-97DF-48B0-9079-91C60C389F22}"/>
    <cellStyle name="Normal 2 4 10 5" xfId="12226" xr:uid="{D9AC58C9-213E-41FE-8DBE-F3ACAC3D4F89}"/>
    <cellStyle name="Normal 2 4 11" xfId="3394" xr:uid="{80F31B38-18E8-4AA7-8A46-D1325B0D676B}"/>
    <cellStyle name="Normal 2 4 11 2" xfId="3395" xr:uid="{CC23E9DA-B43C-4E69-B807-AA18F0BF5A6E}"/>
    <cellStyle name="Normal 2 4 11 2 2" xfId="3396" xr:uid="{C005E0F3-C724-4227-B791-65EF6F34A30E}"/>
    <cellStyle name="Normal 2 4 11 2 2 2" xfId="12234" xr:uid="{778DCE7D-D0E3-4DC2-8AD9-7B185DC34CA4}"/>
    <cellStyle name="Normal 2 4 11 2 3" xfId="3397" xr:uid="{7D58EA90-15B7-4B18-818C-26948EBCC1E1}"/>
    <cellStyle name="Normal 2 4 11 2 3 2" xfId="12235" xr:uid="{A436BDD3-A145-47C1-89E4-7875718E9F51}"/>
    <cellStyle name="Normal 2 4 11 2 4" xfId="12233" xr:uid="{7030296C-0BD5-4D91-AB14-058B6BE1787D}"/>
    <cellStyle name="Normal 2 4 11 3" xfId="3398" xr:uid="{50A185D8-2364-40EC-BF58-0B72CE64726B}"/>
    <cellStyle name="Normal 2 4 11 3 2" xfId="12236" xr:uid="{5E86271C-A6BA-46DC-A7DE-CD08CEDEBE6C}"/>
    <cellStyle name="Normal 2 4 11 4" xfId="3399" xr:uid="{BBA79D35-EB0E-4A13-8FB7-F9A4A06B02BF}"/>
    <cellStyle name="Normal 2 4 11 4 2" xfId="12237" xr:uid="{C8B22CAF-581A-4245-BEAE-8FD6B9214B0D}"/>
    <cellStyle name="Normal 2 4 11 5" xfId="12232" xr:uid="{A2E7DCD8-507B-4C50-A631-F27ADF6B01DE}"/>
    <cellStyle name="Normal 2 4 12" xfId="3400" xr:uid="{FB67AE57-93F0-4946-873D-BCA8BC30A7ED}"/>
    <cellStyle name="Normal 2 4 12 2" xfId="3401" xr:uid="{D0C0715C-3803-4F31-8706-5AD5457A2B1B}"/>
    <cellStyle name="Normal 2 4 12 2 2" xfId="3402" xr:uid="{34592F92-CDF1-4979-834F-A5EBD1FC8FD4}"/>
    <cellStyle name="Normal 2 4 12 2 2 2" xfId="12240" xr:uid="{77633D22-7449-4F89-9108-B84F7A8A3A66}"/>
    <cellStyle name="Normal 2 4 12 2 3" xfId="3403" xr:uid="{01494DFB-A63D-459A-A07B-49B55D1B7C81}"/>
    <cellStyle name="Normal 2 4 12 2 3 2" xfId="12241" xr:uid="{C7AFDB79-DBCF-4D9D-AC75-DBCF20EA6AED}"/>
    <cellStyle name="Normal 2 4 12 2 4" xfId="12239" xr:uid="{79711F1D-2778-4C1D-BDB4-DFF14BB000AC}"/>
    <cellStyle name="Normal 2 4 12 3" xfId="3404" xr:uid="{1B3603E6-DB8E-4AA4-B1BF-026C1805FCFA}"/>
    <cellStyle name="Normal 2 4 12 3 2" xfId="12242" xr:uid="{BE3EC795-BA35-4969-A3C0-A503C10AB54F}"/>
    <cellStyle name="Normal 2 4 12 4" xfId="3405" xr:uid="{A19C55F9-DBD2-4DD2-B89A-19BA9832EE60}"/>
    <cellStyle name="Normal 2 4 12 4 2" xfId="12243" xr:uid="{DEE25A56-1C83-4C69-8168-CF6C39D7ABFA}"/>
    <cellStyle name="Normal 2 4 12 5" xfId="12238" xr:uid="{B9E88815-144B-439D-80D3-DFE37D6F0ABD}"/>
    <cellStyle name="Normal 2 4 13" xfId="3406" xr:uid="{6A306535-AC3F-4118-8E3F-E398BFC0B336}"/>
    <cellStyle name="Normal 2 4 13 2" xfId="3407" xr:uid="{A4C3B464-A8C7-43D6-8153-F7C9646E52B1}"/>
    <cellStyle name="Normal 2 4 13 2 2" xfId="3408" xr:uid="{73A1AF96-5939-449B-8F39-FBA9F77C3A76}"/>
    <cellStyle name="Normal 2 4 13 2 2 2" xfId="12246" xr:uid="{DAC2CC45-1DF4-4561-AA2B-2A76076DCBD2}"/>
    <cellStyle name="Normal 2 4 13 2 3" xfId="3409" xr:uid="{3758129A-FFEB-42A2-8C55-4C7F17D2922C}"/>
    <cellStyle name="Normal 2 4 13 2 3 2" xfId="12247" xr:uid="{D80852F1-9744-4038-A900-C162A788C6BD}"/>
    <cellStyle name="Normal 2 4 13 2 4" xfId="12245" xr:uid="{058AC12A-F37B-44EE-99D6-50A76D65B434}"/>
    <cellStyle name="Normal 2 4 13 3" xfId="3410" xr:uid="{F7F279E8-A1CE-4C9D-8EAE-9589836E16D9}"/>
    <cellStyle name="Normal 2 4 13 3 2" xfId="12248" xr:uid="{5C2CE09A-B75E-427E-B81A-C9723700AD2C}"/>
    <cellStyle name="Normal 2 4 13 4" xfId="3411" xr:uid="{065C7798-A781-4355-BA16-45DE3E6B74EB}"/>
    <cellStyle name="Normal 2 4 13 4 2" xfId="12249" xr:uid="{1F7F428B-5CFE-4E48-A4DB-66C191FC64BD}"/>
    <cellStyle name="Normal 2 4 13 5" xfId="12244" xr:uid="{5D17F39C-C318-46D3-8962-762FD99C3BF6}"/>
    <cellStyle name="Normal 2 4 14" xfId="3412" xr:uid="{41A72ACC-B3A8-4799-988C-60206A7A6281}"/>
    <cellStyle name="Normal 2 4 14 2" xfId="3413" xr:uid="{9E723A4C-0652-45EA-ADAF-D9481E7785ED}"/>
    <cellStyle name="Normal 2 4 14 2 2" xfId="3414" xr:uid="{80D9F7E4-A420-4365-BDF7-A6BF5D2FC173}"/>
    <cellStyle name="Normal 2 4 14 2 2 2" xfId="12252" xr:uid="{4B3E7DAC-71E8-4CDB-B89D-DC080777A42F}"/>
    <cellStyle name="Normal 2 4 14 2 3" xfId="3415" xr:uid="{977B7B95-9960-4FA6-85A0-B8184A443407}"/>
    <cellStyle name="Normal 2 4 14 2 3 2" xfId="12253" xr:uid="{71295778-D2B4-4103-9A6D-69D09A7E9156}"/>
    <cellStyle name="Normal 2 4 14 2 4" xfId="12251" xr:uid="{A100C6D5-2B7C-443F-AA12-89AB1CC80361}"/>
    <cellStyle name="Normal 2 4 14 3" xfId="3416" xr:uid="{46A0F952-C6DB-44F0-B9FD-156D0A28CD69}"/>
    <cellStyle name="Normal 2 4 14 3 2" xfId="12254" xr:uid="{3B56414D-F5E5-4E96-B163-1DC5650C9514}"/>
    <cellStyle name="Normal 2 4 14 4" xfId="3417" xr:uid="{FC71F4C8-BEEC-492E-BFA8-0812C251F852}"/>
    <cellStyle name="Normal 2 4 14 4 2" xfId="12255" xr:uid="{BD9304BF-0573-4069-B739-BCE134C6D652}"/>
    <cellStyle name="Normal 2 4 14 5" xfId="12250" xr:uid="{9AA30FFC-53F8-4E55-95B0-C14E19AAB4E1}"/>
    <cellStyle name="Normal 2 4 15" xfId="3418" xr:uid="{4D11132F-4E83-4B05-9541-18832092B9B0}"/>
    <cellStyle name="Normal 2 4 15 2" xfId="3419" xr:uid="{D6ABD913-3DFB-4E87-9476-37D1D01CE78A}"/>
    <cellStyle name="Normal 2 4 15 2 2" xfId="3420" xr:uid="{00557B81-C3F2-46FC-9FC1-CD3163E94296}"/>
    <cellStyle name="Normal 2 4 15 2 2 2" xfId="12258" xr:uid="{E9A007F3-E47B-4730-8475-F7E4D5E96004}"/>
    <cellStyle name="Normal 2 4 15 2 3" xfId="3421" xr:uid="{0AE42233-598D-4669-B51B-A9240BB6A082}"/>
    <cellStyle name="Normal 2 4 15 2 3 2" xfId="12259" xr:uid="{DDEF16CF-6AA5-4242-86C7-EDB835984103}"/>
    <cellStyle name="Normal 2 4 15 2 4" xfId="12257" xr:uid="{35667DD0-0F3E-4A0B-9F12-C2593AC7FFD4}"/>
    <cellStyle name="Normal 2 4 15 3" xfId="3422" xr:uid="{614A5BDF-50E2-4745-B395-C5B8B82BAF79}"/>
    <cellStyle name="Normal 2 4 15 3 2" xfId="12260" xr:uid="{7D6B9C24-8B6A-4B88-A838-1A3235D3EFA4}"/>
    <cellStyle name="Normal 2 4 15 4" xfId="3423" xr:uid="{10D1D12A-FD61-48E9-8BA7-D57EBD722645}"/>
    <cellStyle name="Normal 2 4 15 4 2" xfId="12261" xr:uid="{9B5B4BBB-BAF9-453A-BC45-44A843AB0E0C}"/>
    <cellStyle name="Normal 2 4 15 5" xfId="12256" xr:uid="{B8A2873C-AA00-4DF4-80DA-7213F5AC4825}"/>
    <cellStyle name="Normal 2 4 16" xfId="3424" xr:uid="{4B364E5D-3F2B-4B94-86B9-B477A6E808BA}"/>
    <cellStyle name="Normal 2 4 16 2" xfId="3425" xr:uid="{8B4F091B-5FDD-43D2-A089-3446563B39DD}"/>
    <cellStyle name="Normal 2 4 16 2 2" xfId="3426" xr:uid="{B9B8089A-AD08-4101-A3E6-A098DC11D6A1}"/>
    <cellStyle name="Normal 2 4 16 2 2 2" xfId="12264" xr:uid="{54AF29F2-82BA-4A77-A850-60BE6C49CCD0}"/>
    <cellStyle name="Normal 2 4 16 2 3" xfId="3427" xr:uid="{863B1B84-77CD-4396-A015-9560CA1CE12D}"/>
    <cellStyle name="Normal 2 4 16 2 3 2" xfId="12265" xr:uid="{733E27D4-BC13-4912-81CA-C91B31BF70BC}"/>
    <cellStyle name="Normal 2 4 16 2 4" xfId="12263" xr:uid="{5DA638EC-D7F7-4831-A176-226BFB48002A}"/>
    <cellStyle name="Normal 2 4 16 3" xfId="3428" xr:uid="{0D7863B6-4F99-4678-A251-44E793CEBD33}"/>
    <cellStyle name="Normal 2 4 16 3 2" xfId="12266" xr:uid="{6719570C-7EA1-4691-A61E-29E6137F41BC}"/>
    <cellStyle name="Normal 2 4 16 4" xfId="3429" xr:uid="{D27D1A6B-6ABA-4E9C-9BB0-33958D25E70E}"/>
    <cellStyle name="Normal 2 4 16 4 2" xfId="12267" xr:uid="{31033494-B479-4CA6-989F-68BDA8E049D2}"/>
    <cellStyle name="Normal 2 4 16 5" xfId="12262" xr:uid="{DCCE6420-4C8D-4F4F-BAC3-E04F7CECEF5F}"/>
    <cellStyle name="Normal 2 4 17" xfId="3430" xr:uid="{C4D5595A-3AE0-4C07-8F9C-090BF52BE28E}"/>
    <cellStyle name="Normal 2 4 17 2" xfId="3431" xr:uid="{8A5A1C0F-E730-4523-8EA6-F666180E6B30}"/>
    <cellStyle name="Normal 2 4 17 2 2" xfId="3432" xr:uid="{21DEF0A5-D8C0-4C64-AEFD-8A904210D9F8}"/>
    <cellStyle name="Normal 2 4 17 2 2 2" xfId="12270" xr:uid="{1318F04E-6921-4931-BD88-D30C9F67E1CE}"/>
    <cellStyle name="Normal 2 4 17 2 3" xfId="3433" xr:uid="{51AE2F2B-9F9A-4D11-920B-3F774E79F8DB}"/>
    <cellStyle name="Normal 2 4 17 2 3 2" xfId="12271" xr:uid="{CC1E4F38-3ACB-472F-A37A-25982F11253E}"/>
    <cellStyle name="Normal 2 4 17 2 4" xfId="12269" xr:uid="{A996F7C5-96C0-4EE1-9526-2A319E668CE3}"/>
    <cellStyle name="Normal 2 4 17 3" xfId="3434" xr:uid="{2CF2B493-4D7C-4746-B33E-6312152062BF}"/>
    <cellStyle name="Normal 2 4 17 3 2" xfId="12272" xr:uid="{4C714BDD-8552-46B3-9E9D-C0DE98E86448}"/>
    <cellStyle name="Normal 2 4 17 4" xfId="3435" xr:uid="{210F4850-A524-42B8-93BF-473D36C2F86C}"/>
    <cellStyle name="Normal 2 4 17 4 2" xfId="12273" xr:uid="{C1212C08-7456-488A-89B0-DCFEA6105A1B}"/>
    <cellStyle name="Normal 2 4 17 5" xfId="12268" xr:uid="{71DF24C5-AA56-4CDD-819F-9E696CFC58CF}"/>
    <cellStyle name="Normal 2 4 18" xfId="3436" xr:uid="{8C87BB6C-296F-4935-9C10-1E1D5480A832}"/>
    <cellStyle name="Normal 2 4 18 2" xfId="3437" xr:uid="{6532FA1D-A45E-42F9-A54D-8C765E1917FF}"/>
    <cellStyle name="Normal 2 4 18 2 2" xfId="3438" xr:uid="{1C520F32-A66A-4B1D-B364-C78A94D680E5}"/>
    <cellStyle name="Normal 2 4 18 2 2 2" xfId="12276" xr:uid="{829753B9-DB27-49DD-AB9F-DB491D827326}"/>
    <cellStyle name="Normal 2 4 18 2 3" xfId="3439" xr:uid="{31021B04-AEF4-4033-824D-AA18242E85B7}"/>
    <cellStyle name="Normal 2 4 18 2 3 2" xfId="12277" xr:uid="{5061777C-5C45-409F-8541-F165AA6E5F2D}"/>
    <cellStyle name="Normal 2 4 18 2 4" xfId="12275" xr:uid="{FDB8CD4C-6D2C-406F-B3A7-166D0EE1FC0B}"/>
    <cellStyle name="Normal 2 4 18 3" xfId="3440" xr:uid="{8B1CD9C5-D7AB-4466-8A0E-261BF6F5ECAD}"/>
    <cellStyle name="Normal 2 4 18 3 2" xfId="12278" xr:uid="{B4DC3396-E1F5-44B5-98AD-EC4522D73E58}"/>
    <cellStyle name="Normal 2 4 18 4" xfId="3441" xr:uid="{AE497D61-5CFB-48FB-804F-AEF9603B60A9}"/>
    <cellStyle name="Normal 2 4 18 4 2" xfId="12279" xr:uid="{69CD431C-EE3D-4736-BFB2-67E145D764BE}"/>
    <cellStyle name="Normal 2 4 18 5" xfId="12274" xr:uid="{9FE4BE0A-299A-4E27-95E7-E34318A17CE4}"/>
    <cellStyle name="Normal 2 4 19" xfId="3442" xr:uid="{7C758F66-32AF-47CB-AB84-7D7F879BEBF1}"/>
    <cellStyle name="Normal 2 4 19 2" xfId="3443" xr:uid="{D989EBBA-1AE8-40A3-B286-EB4EE554F3AB}"/>
    <cellStyle name="Normal 2 4 19 2 2" xfId="3444" xr:uid="{AD2D967A-C669-488E-B90D-DF220427D18A}"/>
    <cellStyle name="Normal 2 4 19 2 2 2" xfId="12282" xr:uid="{F9B22D4E-E5A1-4578-9672-DACF58E4B456}"/>
    <cellStyle name="Normal 2 4 19 2 3" xfId="3445" xr:uid="{558AD250-5072-4078-BC61-03104F3DA00F}"/>
    <cellStyle name="Normal 2 4 19 2 3 2" xfId="12283" xr:uid="{373C850E-8D4F-47DD-BC7D-201B37F65413}"/>
    <cellStyle name="Normal 2 4 19 2 4" xfId="12281" xr:uid="{8FE881E9-FA67-4B19-96A9-C7D160741FF1}"/>
    <cellStyle name="Normal 2 4 19 3" xfId="3446" xr:uid="{0119F1D1-6B35-4F6B-957B-B8AF7B884D49}"/>
    <cellStyle name="Normal 2 4 19 3 2" xfId="12284" xr:uid="{99710915-29CE-45DB-BB07-83BE39B80B1A}"/>
    <cellStyle name="Normal 2 4 19 4" xfId="3447" xr:uid="{7EFF9136-87D9-46E5-B58B-62034EE66561}"/>
    <cellStyle name="Normal 2 4 19 4 2" xfId="12285" xr:uid="{FE9B7964-DF30-487B-90B2-526B7FEE6734}"/>
    <cellStyle name="Normal 2 4 19 5" xfId="12280" xr:uid="{22752A9A-DC34-42EC-B763-910A99CE490F}"/>
    <cellStyle name="Normal 2 4 2" xfId="3448" xr:uid="{D157BCE3-7C5F-4DB7-8A5F-6C290BA00C5A}"/>
    <cellStyle name="Normal 2 4 2 10" xfId="3449" xr:uid="{D7DD15A3-B937-43B0-998F-2D16F72E16FA}"/>
    <cellStyle name="Normal 2 4 2 10 2" xfId="3450" xr:uid="{5FD7E464-8965-4788-B6DE-047AEF6DA0D5}"/>
    <cellStyle name="Normal 2 4 2 10 2 2" xfId="3451" xr:uid="{D13E39E4-24E1-4E0D-9D2E-2B5EFE511C41}"/>
    <cellStyle name="Normal 2 4 2 10 2 2 2" xfId="12289" xr:uid="{90828BBE-EB46-4668-8881-8E5133C51C7B}"/>
    <cellStyle name="Normal 2 4 2 10 2 3" xfId="3452" xr:uid="{6F9D4727-7833-4E06-8F04-86F48B96A102}"/>
    <cellStyle name="Normal 2 4 2 10 2 3 2" xfId="12290" xr:uid="{0678D694-6D54-4A06-A83A-31B2F40022DC}"/>
    <cellStyle name="Normal 2 4 2 10 2 4" xfId="12288" xr:uid="{E45AB257-6785-4CC9-9255-E4AD1AD119FD}"/>
    <cellStyle name="Normal 2 4 2 10 3" xfId="3453" xr:uid="{F41BF361-81A3-4047-96B0-15A58E136D26}"/>
    <cellStyle name="Normal 2 4 2 10 3 2" xfId="12291" xr:uid="{39FAF918-4FE8-44A2-A4D3-09AD25A7E3E4}"/>
    <cellStyle name="Normal 2 4 2 10 4" xfId="3454" xr:uid="{14B031E2-0D95-4340-AD33-C7254D5474C8}"/>
    <cellStyle name="Normal 2 4 2 10 4 2" xfId="12292" xr:uid="{D6B5E78D-B5A0-41CD-8003-CDD9E594388A}"/>
    <cellStyle name="Normal 2 4 2 10 5" xfId="12287" xr:uid="{A55042EA-7490-4ADC-8E8A-B73A79854A67}"/>
    <cellStyle name="Normal 2 4 2 11" xfId="3455" xr:uid="{B6CFF179-0FFA-4903-B87E-0B724BC6CA47}"/>
    <cellStyle name="Normal 2 4 2 11 2" xfId="3456" xr:uid="{18B72C0C-5A49-4BB5-98D2-33CE0CDDB1E7}"/>
    <cellStyle name="Normal 2 4 2 11 2 2" xfId="3457" xr:uid="{FF8F6083-0F71-4EFE-887D-050A9FD2A93E}"/>
    <cellStyle name="Normal 2 4 2 11 2 2 2" xfId="12295" xr:uid="{7D524280-9FBB-4FE0-8076-A2759293566D}"/>
    <cellStyle name="Normal 2 4 2 11 2 3" xfId="3458" xr:uid="{A10245E0-1F63-4AF9-B3C7-8DDBF916EA82}"/>
    <cellStyle name="Normal 2 4 2 11 2 3 2" xfId="12296" xr:uid="{1DC9DD64-27AE-4C64-BDF5-95973E1F6C5E}"/>
    <cellStyle name="Normal 2 4 2 11 2 4" xfId="12294" xr:uid="{58234EA5-09C4-44DF-9A98-2779A99E98E5}"/>
    <cellStyle name="Normal 2 4 2 11 3" xfId="3459" xr:uid="{56B859C2-5F9D-4AB0-AF42-B3EB9A64FFB8}"/>
    <cellStyle name="Normal 2 4 2 11 3 2" xfId="12297" xr:uid="{3E0CBB44-F33B-43B3-A18D-388451EE10A7}"/>
    <cellStyle name="Normal 2 4 2 11 4" xfId="3460" xr:uid="{B7D0E835-ED8E-4EC3-8C2A-1391CDF15F7C}"/>
    <cellStyle name="Normal 2 4 2 11 4 2" xfId="12298" xr:uid="{1366543A-4C77-4D15-A267-BBF97ED2BC2B}"/>
    <cellStyle name="Normal 2 4 2 11 5" xfId="12293" xr:uid="{36331D10-D54B-4309-A97E-80D6EE4145E7}"/>
    <cellStyle name="Normal 2 4 2 12" xfId="3461" xr:uid="{54FD97DE-FBBB-4A5D-92D6-A36E305DA01A}"/>
    <cellStyle name="Normal 2 4 2 12 2" xfId="3462" xr:uid="{9A70C37B-2432-4E14-AB7C-8A3020309798}"/>
    <cellStyle name="Normal 2 4 2 12 2 2" xfId="3463" xr:uid="{A519F004-95C3-4057-96F6-8A240AA50548}"/>
    <cellStyle name="Normal 2 4 2 12 2 2 2" xfId="12301" xr:uid="{667DFE4D-F40F-46DF-8433-5AED401465B2}"/>
    <cellStyle name="Normal 2 4 2 12 2 3" xfId="3464" xr:uid="{3D5D4A63-1665-4C38-A99C-F1610C97860D}"/>
    <cellStyle name="Normal 2 4 2 12 2 3 2" xfId="12302" xr:uid="{9E878E69-916A-4D13-85B4-A69994EC4C5C}"/>
    <cellStyle name="Normal 2 4 2 12 2 4" xfId="12300" xr:uid="{E074372C-81B3-4402-A5E1-6A1491FAF686}"/>
    <cellStyle name="Normal 2 4 2 12 3" xfId="3465" xr:uid="{6E078658-06E8-4E8D-B16B-BE005A06622B}"/>
    <cellStyle name="Normal 2 4 2 12 3 2" xfId="12303" xr:uid="{C6287F02-D577-4BE1-B1FF-2CE5E88810A6}"/>
    <cellStyle name="Normal 2 4 2 12 4" xfId="3466" xr:uid="{402D3F7F-561F-41D9-955C-69176E3DC55C}"/>
    <cellStyle name="Normal 2 4 2 12 4 2" xfId="12304" xr:uid="{E77EBB46-B976-47B3-B372-1F70CE1D7B3F}"/>
    <cellStyle name="Normal 2 4 2 12 5" xfId="12299" xr:uid="{7F6D902D-6401-444E-8169-35943744CCF1}"/>
    <cellStyle name="Normal 2 4 2 13" xfId="3467" xr:uid="{4E0DE835-7103-4891-B96E-FC9F0DECCB25}"/>
    <cellStyle name="Normal 2 4 2 13 2" xfId="3468" xr:uid="{B9D1C5C4-C98D-46F5-82DD-EAFD5029FB37}"/>
    <cellStyle name="Normal 2 4 2 13 2 2" xfId="3469" xr:uid="{B9C18456-A927-42B4-8B24-BF50D266D55A}"/>
    <cellStyle name="Normal 2 4 2 13 2 2 2" xfId="12307" xr:uid="{8D9F8C9F-A8C7-4D2F-8DCD-FFE732B26818}"/>
    <cellStyle name="Normal 2 4 2 13 2 3" xfId="3470" xr:uid="{1D8C5539-EF93-4825-8BFB-83553FBD5AEE}"/>
    <cellStyle name="Normal 2 4 2 13 2 3 2" xfId="12308" xr:uid="{462D7C38-DCDE-487D-97A8-1866AEE9E0B1}"/>
    <cellStyle name="Normal 2 4 2 13 2 4" xfId="12306" xr:uid="{2934C3DC-C872-405E-B872-F56D68C65803}"/>
    <cellStyle name="Normal 2 4 2 13 3" xfId="3471" xr:uid="{6A98CFCC-0511-4EC2-80C2-BB6613439BF5}"/>
    <cellStyle name="Normal 2 4 2 13 3 2" xfId="12309" xr:uid="{338E6206-80D7-4478-BB0E-250447A65F47}"/>
    <cellStyle name="Normal 2 4 2 13 4" xfId="3472" xr:uid="{40B8F124-BFF5-4636-AB9C-3A5D9B804851}"/>
    <cellStyle name="Normal 2 4 2 13 4 2" xfId="12310" xr:uid="{8DF525F6-7363-46D7-BF37-D87735DE1F0C}"/>
    <cellStyle name="Normal 2 4 2 13 5" xfId="12305" xr:uid="{0464D117-153B-46C1-87A0-C471DD592D10}"/>
    <cellStyle name="Normal 2 4 2 14" xfId="3473" xr:uid="{F1D5844C-E2EE-4FB9-94DB-2BB2F09FFACB}"/>
    <cellStyle name="Normal 2 4 2 14 2" xfId="3474" xr:uid="{0C6E78E8-1DA9-4434-A1E1-B71378DD2489}"/>
    <cellStyle name="Normal 2 4 2 14 2 2" xfId="3475" xr:uid="{41799AAC-2272-4D39-A5A8-30B363E0E36C}"/>
    <cellStyle name="Normal 2 4 2 14 2 2 2" xfId="12313" xr:uid="{AEAA83CD-506B-401D-8D31-DF82AEBD186F}"/>
    <cellStyle name="Normal 2 4 2 14 2 3" xfId="3476" xr:uid="{529FC739-522C-4DA1-97AB-AA18A49E4B55}"/>
    <cellStyle name="Normal 2 4 2 14 2 3 2" xfId="12314" xr:uid="{74ABE95A-64C6-4FC7-9EE1-0E2F02D4ACE1}"/>
    <cellStyle name="Normal 2 4 2 14 2 4" xfId="12312" xr:uid="{AD359E87-FDCD-4A26-A985-C497E1533307}"/>
    <cellStyle name="Normal 2 4 2 14 3" xfId="3477" xr:uid="{82F96E37-A0BE-4189-8B36-2CE174FA6D4A}"/>
    <cellStyle name="Normal 2 4 2 14 3 2" xfId="12315" xr:uid="{99D28D97-F04F-4592-B5BF-13E702B225E5}"/>
    <cellStyle name="Normal 2 4 2 14 4" xfId="3478" xr:uid="{BEF94CB0-13F3-4B45-92CC-D923BDBBCD77}"/>
    <cellStyle name="Normal 2 4 2 14 4 2" xfId="12316" xr:uid="{58A7C6A5-56D9-485F-8019-E5AAB7E44FCE}"/>
    <cellStyle name="Normal 2 4 2 14 5" xfId="12311" xr:uid="{8F47327A-1816-4A6D-81F9-92B991A41965}"/>
    <cellStyle name="Normal 2 4 2 15" xfId="3479" xr:uid="{C1ECA452-B827-4EF1-A20C-0A0D7A6EC53F}"/>
    <cellStyle name="Normal 2 4 2 15 2" xfId="3480" xr:uid="{E73CBCB9-B6CB-4FEF-92CB-12C44A6722B2}"/>
    <cellStyle name="Normal 2 4 2 15 2 2" xfId="3481" xr:uid="{9571F012-60B5-4EA0-8F5E-A759CD911431}"/>
    <cellStyle name="Normal 2 4 2 15 2 2 2" xfId="12319" xr:uid="{70AD0AD4-B04F-4C5E-8440-B0F6D58F3FF9}"/>
    <cellStyle name="Normal 2 4 2 15 2 3" xfId="3482" xr:uid="{59FC68BD-6E65-4A0B-8D39-2AFAFD836A94}"/>
    <cellStyle name="Normal 2 4 2 15 2 3 2" xfId="12320" xr:uid="{2CDFEBCF-5287-4A55-8DBA-A7634E99C9E2}"/>
    <cellStyle name="Normal 2 4 2 15 2 4" xfId="12318" xr:uid="{9D202C09-F167-4D88-80E8-EE51B4A3D3FC}"/>
    <cellStyle name="Normal 2 4 2 15 3" xfId="3483" xr:uid="{5E9CA005-6A96-4E56-A1F2-0E51D76397CA}"/>
    <cellStyle name="Normal 2 4 2 15 3 2" xfId="12321" xr:uid="{A7BFD828-976C-48D9-94CE-2BB586A09A7E}"/>
    <cellStyle name="Normal 2 4 2 15 4" xfId="3484" xr:uid="{7692EB98-85D1-4A1C-8DF4-77391C510286}"/>
    <cellStyle name="Normal 2 4 2 15 4 2" xfId="12322" xr:uid="{2A52F908-755B-4C08-83F7-D25CF12815D5}"/>
    <cellStyle name="Normal 2 4 2 15 5" xfId="12317" xr:uid="{A494BA2F-6CF4-45D2-BD52-6202B21FD57A}"/>
    <cellStyle name="Normal 2 4 2 16" xfId="3485" xr:uid="{2233BCFA-FF24-4FEF-BE42-467FD72911E2}"/>
    <cellStyle name="Normal 2 4 2 16 2" xfId="3486" xr:uid="{247133FE-FCB9-4589-A7F3-A8C7CD99CB5D}"/>
    <cellStyle name="Normal 2 4 2 16 2 2" xfId="3487" xr:uid="{3EAF0E05-C311-4102-A38E-13B55967C243}"/>
    <cellStyle name="Normal 2 4 2 16 2 2 2" xfId="12325" xr:uid="{622F3DD4-F272-4173-9420-477CCB8A5ACA}"/>
    <cellStyle name="Normal 2 4 2 16 2 3" xfId="3488" xr:uid="{90DB426B-F15F-4065-B6B2-54911A55E0D2}"/>
    <cellStyle name="Normal 2 4 2 16 2 3 2" xfId="12326" xr:uid="{EA7382E4-434B-47FB-A16F-61F0F8136E48}"/>
    <cellStyle name="Normal 2 4 2 16 2 4" xfId="12324" xr:uid="{4AFFF606-8AEC-493B-BAE0-C954221FF166}"/>
    <cellStyle name="Normal 2 4 2 16 3" xfId="3489" xr:uid="{5C7C6CCC-0BB6-4509-8286-F3885672A13F}"/>
    <cellStyle name="Normal 2 4 2 16 3 2" xfId="12327" xr:uid="{95879C3B-3C50-4F7E-B87A-9596BC0CDBCF}"/>
    <cellStyle name="Normal 2 4 2 16 4" xfId="3490" xr:uid="{66C1B882-C3FD-486F-B34C-75B1FA777FC3}"/>
    <cellStyle name="Normal 2 4 2 16 4 2" xfId="12328" xr:uid="{8EA51062-4D7E-422F-ADB4-B7D586C701EC}"/>
    <cellStyle name="Normal 2 4 2 16 5" xfId="12323" xr:uid="{9D224210-26D5-4971-8FA7-A3346CDE02C3}"/>
    <cellStyle name="Normal 2 4 2 17" xfId="3491" xr:uid="{4C560E2D-286B-4E01-A9ED-06567F786F4C}"/>
    <cellStyle name="Normal 2 4 2 17 2" xfId="3492" xr:uid="{1B78D0CA-8809-4419-B934-C6BCFB482244}"/>
    <cellStyle name="Normal 2 4 2 17 2 2" xfId="3493" xr:uid="{81224C94-387F-42BE-A484-1030B45B10CB}"/>
    <cellStyle name="Normal 2 4 2 17 2 2 2" xfId="12331" xr:uid="{EAE44FCE-1A86-4726-96E9-375FF0829861}"/>
    <cellStyle name="Normal 2 4 2 17 2 3" xfId="3494" xr:uid="{05CCDB88-266A-43C8-B1F0-6B1F70E00134}"/>
    <cellStyle name="Normal 2 4 2 17 2 3 2" xfId="12332" xr:uid="{F7E145CF-B887-4B12-A72F-DFFBFD4CD0EA}"/>
    <cellStyle name="Normal 2 4 2 17 2 4" xfId="12330" xr:uid="{DEBE3445-2484-4694-AC20-50D7FFB2A847}"/>
    <cellStyle name="Normal 2 4 2 17 3" xfId="3495" xr:uid="{903C01B7-3486-49A6-812C-A81BFDFEBBA6}"/>
    <cellStyle name="Normal 2 4 2 17 3 2" xfId="12333" xr:uid="{E5B66661-6FF3-4C0E-B4A5-EBB1EE76F3B9}"/>
    <cellStyle name="Normal 2 4 2 17 4" xfId="3496" xr:uid="{C10DE8E6-98DE-4F76-9110-B013BEE9781E}"/>
    <cellStyle name="Normal 2 4 2 17 4 2" xfId="12334" xr:uid="{6C1D26D9-9E31-4AD6-9192-48D114B459B8}"/>
    <cellStyle name="Normal 2 4 2 17 5" xfId="12329" xr:uid="{A4092E8A-A7E1-4694-9913-875B9312BC5B}"/>
    <cellStyle name="Normal 2 4 2 18" xfId="3497" xr:uid="{3AEBBF18-4E48-40B1-B0D7-CA09004EFCB5}"/>
    <cellStyle name="Normal 2 4 2 18 2" xfId="3498" xr:uid="{44E5F8D6-1B76-43C8-A9FF-611CB9DACEF3}"/>
    <cellStyle name="Normal 2 4 2 18 2 2" xfId="3499" xr:uid="{5BE4167B-5422-47E9-BAE0-A46725387966}"/>
    <cellStyle name="Normal 2 4 2 18 2 2 2" xfId="12337" xr:uid="{777C2FD6-DCA0-41C0-9967-46CD966DA598}"/>
    <cellStyle name="Normal 2 4 2 18 2 3" xfId="3500" xr:uid="{43C5507D-94AB-4E6E-908C-D01862CCD162}"/>
    <cellStyle name="Normal 2 4 2 18 2 3 2" xfId="12338" xr:uid="{34FDE556-E6C8-4550-B00B-4B9C44C827AF}"/>
    <cellStyle name="Normal 2 4 2 18 2 4" xfId="12336" xr:uid="{00ACD2FD-DA86-4232-B7D2-8FB0731FF61B}"/>
    <cellStyle name="Normal 2 4 2 18 3" xfId="3501" xr:uid="{26E6DA1A-5796-4271-BEEF-7E38288CD7D9}"/>
    <cellStyle name="Normal 2 4 2 18 3 2" xfId="12339" xr:uid="{F507EE0B-A378-4E62-9F7B-ED6B3EAA935F}"/>
    <cellStyle name="Normal 2 4 2 18 4" xfId="3502" xr:uid="{349B0B21-1E47-4FEB-8213-EE14AA969838}"/>
    <cellStyle name="Normal 2 4 2 18 4 2" xfId="12340" xr:uid="{CC416838-9FEF-4076-A029-A3AB6203C387}"/>
    <cellStyle name="Normal 2 4 2 18 5" xfId="12335" xr:uid="{865E2855-5753-4C5E-8602-4B02A59C6DCF}"/>
    <cellStyle name="Normal 2 4 2 19" xfId="3503" xr:uid="{4E515B9E-2AF5-4067-AE1A-0DA6E96F7377}"/>
    <cellStyle name="Normal 2 4 2 19 2" xfId="3504" xr:uid="{90FFCFBD-C032-4A98-A7DC-DFF064665428}"/>
    <cellStyle name="Normal 2 4 2 19 2 2" xfId="3505" xr:uid="{5A86F140-E3A3-4C12-89C6-A2F579E44188}"/>
    <cellStyle name="Normal 2 4 2 19 2 2 2" xfId="12343" xr:uid="{77E12696-674A-440E-A8B0-F7689C819A8F}"/>
    <cellStyle name="Normal 2 4 2 19 2 3" xfId="3506" xr:uid="{D1BA8DC1-A3E5-4FEB-9461-C43EA881B2AD}"/>
    <cellStyle name="Normal 2 4 2 19 2 3 2" xfId="12344" xr:uid="{92AEA8FE-FBDB-4A32-9BA1-929C7DE37371}"/>
    <cellStyle name="Normal 2 4 2 19 2 4" xfId="12342" xr:uid="{1BF45C12-D6FE-4740-B1E1-20B855FE7F01}"/>
    <cellStyle name="Normal 2 4 2 19 3" xfId="3507" xr:uid="{D3C45937-9814-4491-8948-84506AB1F21F}"/>
    <cellStyle name="Normal 2 4 2 19 3 2" xfId="12345" xr:uid="{15FA1BBB-85A2-4834-9F7B-86F75D8833E5}"/>
    <cellStyle name="Normal 2 4 2 19 4" xfId="3508" xr:uid="{40D838AD-B479-4427-BC30-19ED6C215864}"/>
    <cellStyle name="Normal 2 4 2 19 4 2" xfId="12346" xr:uid="{AC66F576-BD18-4E61-B168-2131ABB7F997}"/>
    <cellStyle name="Normal 2 4 2 19 5" xfId="12341" xr:uid="{9D062FF2-1B7E-4B26-915B-F105F93A51C7}"/>
    <cellStyle name="Normal 2 4 2 2" xfId="3509" xr:uid="{E067BDB8-7017-476A-9593-C513F978862D}"/>
    <cellStyle name="Normal 2 4 2 2 2" xfId="3510" xr:uid="{AD3061D9-0994-4660-A757-BEECA0DF3C3B}"/>
    <cellStyle name="Normal 2 4 2 2 2 2" xfId="3511" xr:uid="{AB0223FE-F00E-4E5A-A76C-6EBF4F6684FD}"/>
    <cellStyle name="Normal 2 4 2 2 2 2 2" xfId="12349" xr:uid="{0F7BD989-B6AA-488A-91C4-7154ED1058E3}"/>
    <cellStyle name="Normal 2 4 2 2 2 3" xfId="3512" xr:uid="{56CC8915-9942-46F1-B90A-9889F42C48F4}"/>
    <cellStyle name="Normal 2 4 2 2 2 3 2" xfId="12350" xr:uid="{9D3532ED-5D29-40FA-ACAA-C80E7618D34C}"/>
    <cellStyle name="Normal 2 4 2 2 2 4" xfId="12348" xr:uid="{C0130C72-5433-429C-82EB-6F1131691B3F}"/>
    <cellStyle name="Normal 2 4 2 2 3" xfId="3513" xr:uid="{FEBDC981-106F-4BF8-9DA4-7CC142399CA5}"/>
    <cellStyle name="Normal 2 4 2 2 3 2" xfId="12351" xr:uid="{028BBD11-2DB8-4B3C-9DCA-147D450FE517}"/>
    <cellStyle name="Normal 2 4 2 2 4" xfId="3514" xr:uid="{96C53DBA-0756-40A7-92A0-6BD1640B8643}"/>
    <cellStyle name="Normal 2 4 2 2 4 2" xfId="12352" xr:uid="{FB63B093-2C00-487D-AD55-38633A5B031B}"/>
    <cellStyle name="Normal 2 4 2 2 5" xfId="3515" xr:uid="{CA1C64C1-7BE4-43A5-BBA7-444B987FB13B}"/>
    <cellStyle name="Normal 2 4 2 2 6" xfId="3516" xr:uid="{FA694F3F-7C5B-403F-8246-3035C82BBC3D}"/>
    <cellStyle name="Normal 2 4 2 2 6 2" xfId="12353" xr:uid="{7F71A4FD-C190-491A-85DE-FFD05BDEEA51}"/>
    <cellStyle name="Normal 2 4 2 2 7" xfId="3517" xr:uid="{00D51DCA-BCE8-4FDA-A6AE-B49EA5DCCDCD}"/>
    <cellStyle name="Normal 2 4 2 2 8" xfId="12347" xr:uid="{DF3A9047-86B7-4644-B5E9-CA48D91414CB}"/>
    <cellStyle name="Normal 2 4 2 20" xfId="3518" xr:uid="{D540E7FC-30D4-496D-AE92-3CA4B5B9C36D}"/>
    <cellStyle name="Normal 2 4 2 20 2" xfId="3519" xr:uid="{C557A6E6-EC27-4FB3-80AA-558DCD71AF02}"/>
    <cellStyle name="Normal 2 4 2 20 2 2" xfId="3520" xr:uid="{7DEB2390-AB1E-40AC-9570-31CFD7319078}"/>
    <cellStyle name="Normal 2 4 2 20 2 2 2" xfId="12356" xr:uid="{ACB1B36D-2DE3-4F37-9786-11F3138493E8}"/>
    <cellStyle name="Normal 2 4 2 20 2 3" xfId="3521" xr:uid="{42632678-C937-42B4-84A0-87465040B5F8}"/>
    <cellStyle name="Normal 2 4 2 20 2 3 2" xfId="12357" xr:uid="{793ADE77-17F2-419A-A397-40BC600F7671}"/>
    <cellStyle name="Normal 2 4 2 20 2 4" xfId="12355" xr:uid="{378AFC0E-2683-4FDB-9A0C-745FA45B51B6}"/>
    <cellStyle name="Normal 2 4 2 20 3" xfId="3522" xr:uid="{E2FD7161-ABB7-4247-9D1B-AD12EA43E621}"/>
    <cellStyle name="Normal 2 4 2 20 3 2" xfId="12358" xr:uid="{5810B771-CC7A-4181-B994-FE922EF2BF13}"/>
    <cellStyle name="Normal 2 4 2 20 4" xfId="3523" xr:uid="{8504F6EC-7920-4B3F-ACEF-3BA7F828346E}"/>
    <cellStyle name="Normal 2 4 2 20 4 2" xfId="12359" xr:uid="{E9D0B631-C4E6-4514-8214-84A186EB3EEA}"/>
    <cellStyle name="Normal 2 4 2 20 5" xfId="12354" xr:uid="{AB153C18-8A3F-45A6-8EF7-06FE705D1B02}"/>
    <cellStyle name="Normal 2 4 2 21" xfId="3524" xr:uid="{5A768423-0EB5-4B18-87F1-942E48F70766}"/>
    <cellStyle name="Normal 2 4 2 21 2" xfId="3525" xr:uid="{486A14A1-DEEB-4747-BFF8-ECE93C2C0776}"/>
    <cellStyle name="Normal 2 4 2 21 2 2" xfId="3526" xr:uid="{EDF86EA4-1666-47D4-99A0-79418A2FE467}"/>
    <cellStyle name="Normal 2 4 2 21 2 2 2" xfId="12362" xr:uid="{3659A6A2-5DF5-4283-B0F7-846AAAE6A134}"/>
    <cellStyle name="Normal 2 4 2 21 2 3" xfId="3527" xr:uid="{56A3809D-691F-452F-BCF6-E9D427CF93DD}"/>
    <cellStyle name="Normal 2 4 2 21 2 3 2" xfId="12363" xr:uid="{64863397-064C-4295-8784-D256FF8164B9}"/>
    <cellStyle name="Normal 2 4 2 21 2 4" xfId="12361" xr:uid="{404E4D8B-21AD-451E-9279-26CA20F9496F}"/>
    <cellStyle name="Normal 2 4 2 21 3" xfId="3528" xr:uid="{163C63AD-417B-4811-94BC-2250D15518A7}"/>
    <cellStyle name="Normal 2 4 2 21 3 2" xfId="12364" xr:uid="{3F161648-866D-442E-93E0-17692AD385C1}"/>
    <cellStyle name="Normal 2 4 2 21 4" xfId="3529" xr:uid="{41FCBD21-F5D8-4501-A710-F66D38731DFA}"/>
    <cellStyle name="Normal 2 4 2 21 4 2" xfId="12365" xr:uid="{5E07B5B6-8231-4BF3-8104-8712DDF0844E}"/>
    <cellStyle name="Normal 2 4 2 21 5" xfId="12360" xr:uid="{13198D06-44B5-4DBE-B20B-D8A89E3B7689}"/>
    <cellStyle name="Normal 2 4 2 22" xfId="3530" xr:uid="{C44F7D9A-F60E-46F2-8736-41B530E17A4E}"/>
    <cellStyle name="Normal 2 4 2 22 2" xfId="3531" xr:uid="{2B08F91E-845D-4F5F-B5FB-C1E770C84305}"/>
    <cellStyle name="Normal 2 4 2 22 2 2" xfId="3532" xr:uid="{3F7C38C5-3E9F-47C6-855C-5E9BB5E87F59}"/>
    <cellStyle name="Normal 2 4 2 22 2 2 2" xfId="12368" xr:uid="{8C3A8BB9-E798-483E-90F4-2E29F26BE17F}"/>
    <cellStyle name="Normal 2 4 2 22 2 3" xfId="3533" xr:uid="{D809C1CF-AC44-4249-950D-558482F14475}"/>
    <cellStyle name="Normal 2 4 2 22 2 3 2" xfId="12369" xr:uid="{D8A947C1-8432-4AAE-BC54-6DDCE21D91CB}"/>
    <cellStyle name="Normal 2 4 2 22 2 4" xfId="12367" xr:uid="{1B930CAA-0FF4-44E7-9542-66CDADFBE00E}"/>
    <cellStyle name="Normal 2 4 2 22 3" xfId="3534" xr:uid="{3279A845-F7D7-4E3F-8C83-3149E4426ADA}"/>
    <cellStyle name="Normal 2 4 2 22 3 2" xfId="12370" xr:uid="{45FACDF9-6878-44B3-86E0-50978F74C0A1}"/>
    <cellStyle name="Normal 2 4 2 22 4" xfId="3535" xr:uid="{9A4C995E-A3C5-4F70-ACBC-E97045AFC671}"/>
    <cellStyle name="Normal 2 4 2 22 4 2" xfId="12371" xr:uid="{EB14BAE8-3660-478B-AFFA-BA0473AF9CBA}"/>
    <cellStyle name="Normal 2 4 2 22 5" xfId="12366" xr:uid="{24E12945-0F49-477B-B53B-23EF44C5AA75}"/>
    <cellStyle name="Normal 2 4 2 23" xfId="3536" xr:uid="{ED5A6517-194C-4F09-A0E7-E24C3BC6932C}"/>
    <cellStyle name="Normal 2 4 2 23 2" xfId="3537" xr:uid="{01659A05-3B3A-43F5-A85B-BFA4065D6CBE}"/>
    <cellStyle name="Normal 2 4 2 23 2 2" xfId="3538" xr:uid="{37C83C2D-411E-4173-A767-FACDE228D6AF}"/>
    <cellStyle name="Normal 2 4 2 23 2 2 2" xfId="12374" xr:uid="{15C6E1D9-4E4D-44E8-A743-40FA103445CC}"/>
    <cellStyle name="Normal 2 4 2 23 2 3" xfId="3539" xr:uid="{F064FCF7-6304-4F86-AEAD-7386A5C709FF}"/>
    <cellStyle name="Normal 2 4 2 23 2 3 2" xfId="12375" xr:uid="{AB56D596-55AC-4FCF-8B13-C9E0D9766E31}"/>
    <cellStyle name="Normal 2 4 2 23 2 4" xfId="12373" xr:uid="{D31E237D-8AAC-4A24-B0F0-ECB2D4EACAEB}"/>
    <cellStyle name="Normal 2 4 2 23 3" xfId="3540" xr:uid="{4779A502-15FE-412C-A317-F38128196087}"/>
    <cellStyle name="Normal 2 4 2 23 3 2" xfId="12376" xr:uid="{29F76F5F-82B9-4798-9A3F-052C3713ECCD}"/>
    <cellStyle name="Normal 2 4 2 23 4" xfId="3541" xr:uid="{64942115-0FED-42B1-B9CE-6D6C3F8A93A6}"/>
    <cellStyle name="Normal 2 4 2 23 4 2" xfId="12377" xr:uid="{6CA39D7F-76CF-4A41-A5EA-F3BAE0C4236C}"/>
    <cellStyle name="Normal 2 4 2 23 5" xfId="12372" xr:uid="{0C3169A4-FCE8-441D-BDD3-D6D73C01C37A}"/>
    <cellStyle name="Normal 2 4 2 24" xfId="3542" xr:uid="{7D5A1EDC-6E58-4EB1-B7E9-E6F7201AA51E}"/>
    <cellStyle name="Normal 2 4 2 24 2" xfId="3543" xr:uid="{CD879906-440B-4377-A51C-2A923394329D}"/>
    <cellStyle name="Normal 2 4 2 24 2 2" xfId="3544" xr:uid="{FA34E8E5-8728-4DC4-A953-7A58F8401C91}"/>
    <cellStyle name="Normal 2 4 2 24 2 2 2" xfId="12380" xr:uid="{E5866AD4-1D37-4F5E-A00D-B62630B02FC7}"/>
    <cellStyle name="Normal 2 4 2 24 2 3" xfId="3545" xr:uid="{8DC9DA39-3DFF-4257-B114-27B492B43519}"/>
    <cellStyle name="Normal 2 4 2 24 2 3 2" xfId="12381" xr:uid="{40C906BD-5E4A-423C-93AB-BBD59E2A4BE7}"/>
    <cellStyle name="Normal 2 4 2 24 2 4" xfId="12379" xr:uid="{5E1DAF1F-D17C-491A-B5EA-FD11BAFC4F6C}"/>
    <cellStyle name="Normal 2 4 2 24 3" xfId="3546" xr:uid="{D1039EB4-48A7-4AAD-9090-CA266273BE2B}"/>
    <cellStyle name="Normal 2 4 2 24 3 2" xfId="12382" xr:uid="{2AF15BB1-796C-4899-AF7B-7BF8867DD8CC}"/>
    <cellStyle name="Normal 2 4 2 24 4" xfId="3547" xr:uid="{2B850642-A289-4D47-9111-B9B8E030ADBC}"/>
    <cellStyle name="Normal 2 4 2 24 4 2" xfId="12383" xr:uid="{3CCE541E-C1EF-4FA0-B850-9103580114B3}"/>
    <cellStyle name="Normal 2 4 2 24 5" xfId="12378" xr:uid="{98BAD404-945B-4E6A-83E0-12A4519F9D4C}"/>
    <cellStyle name="Normal 2 4 2 25" xfId="3548" xr:uid="{C7E29AE5-77AA-4C0F-A1DA-270450766C74}"/>
    <cellStyle name="Normal 2 4 2 25 2" xfId="3549" xr:uid="{36878524-D5E1-4B11-9D2D-AC4141484F1E}"/>
    <cellStyle name="Normal 2 4 2 25 2 2" xfId="3550" xr:uid="{E13D0F0C-F705-4387-831D-1046D96295EB}"/>
    <cellStyle name="Normal 2 4 2 25 2 2 2" xfId="12386" xr:uid="{7B76E8D5-8DB3-4295-BA72-F20983CBAF8C}"/>
    <cellStyle name="Normal 2 4 2 25 2 3" xfId="3551" xr:uid="{6DACBEDC-E650-486F-8AE7-2B23C251723A}"/>
    <cellStyle name="Normal 2 4 2 25 2 3 2" xfId="12387" xr:uid="{20DE6D0C-6EEB-47CC-8569-AB72F84E833A}"/>
    <cellStyle name="Normal 2 4 2 25 2 4" xfId="12385" xr:uid="{11DA8879-980F-4B06-BD36-136049FDA3ED}"/>
    <cellStyle name="Normal 2 4 2 25 3" xfId="3552" xr:uid="{61BE3C54-7E17-4218-B340-213D7B73062D}"/>
    <cellStyle name="Normal 2 4 2 25 3 2" xfId="12388" xr:uid="{8206E4D4-3C2B-4B2D-BFFB-6853C3819840}"/>
    <cellStyle name="Normal 2 4 2 25 4" xfId="3553" xr:uid="{CE077731-609B-4C09-8BCF-9214E4B81314}"/>
    <cellStyle name="Normal 2 4 2 25 4 2" xfId="12389" xr:uid="{D545375C-FB7D-43BF-BAE5-FFCBC41234AB}"/>
    <cellStyle name="Normal 2 4 2 25 5" xfId="12384" xr:uid="{9CAECE7E-2403-4F44-8EF0-9AD9EE5ED986}"/>
    <cellStyle name="Normal 2 4 2 26" xfId="3554" xr:uid="{C099F19F-6249-4151-8270-5EDAE8A662FA}"/>
    <cellStyle name="Normal 2 4 2 26 2" xfId="3555" xr:uid="{1B6607AE-A5D0-4FFE-B7BE-0F51E5FF6A45}"/>
    <cellStyle name="Normal 2 4 2 26 2 2" xfId="3556" xr:uid="{DEE04996-E190-4084-B928-B7D6E796A19C}"/>
    <cellStyle name="Normal 2 4 2 26 2 2 2" xfId="12392" xr:uid="{CF7C2AAB-3BC3-41DF-B8C9-9803D9A57823}"/>
    <cellStyle name="Normal 2 4 2 26 2 3" xfId="3557" xr:uid="{3F50B6E7-C00C-4C4E-AB18-1C007246CDAA}"/>
    <cellStyle name="Normal 2 4 2 26 2 3 2" xfId="12393" xr:uid="{3CBC99DC-AE5E-4ACE-ABEE-7145E1AA5FC8}"/>
    <cellStyle name="Normal 2 4 2 26 2 4" xfId="12391" xr:uid="{5A2C8FBF-A8FA-42E1-945B-3E070B776CBF}"/>
    <cellStyle name="Normal 2 4 2 26 3" xfId="3558" xr:uid="{5E61FB2B-139F-4610-8149-FF1E7818DE9D}"/>
    <cellStyle name="Normal 2 4 2 26 3 2" xfId="12394" xr:uid="{7B753BFD-2A64-4CB6-AAF5-353578A584E9}"/>
    <cellStyle name="Normal 2 4 2 26 4" xfId="3559" xr:uid="{795EE6A0-E918-4E3A-944B-FAA9E4197EA3}"/>
    <cellStyle name="Normal 2 4 2 26 4 2" xfId="12395" xr:uid="{6836A8E0-5D9D-4C18-B323-F6470F8FA26F}"/>
    <cellStyle name="Normal 2 4 2 26 5" xfId="12390" xr:uid="{9D3DB4E1-BE33-48A2-B91E-E6A5DEC61841}"/>
    <cellStyle name="Normal 2 4 2 27" xfId="3560" xr:uid="{BBFB2ECC-025A-4324-BB84-86B381D064CA}"/>
    <cellStyle name="Normal 2 4 2 27 2" xfId="3561" xr:uid="{C5D8A060-E534-42CE-AF8C-7DF75FEA787C}"/>
    <cellStyle name="Normal 2 4 2 27 2 2" xfId="3562" xr:uid="{5CCF6FEB-8CF9-469A-9D4A-9330158D5D72}"/>
    <cellStyle name="Normal 2 4 2 27 2 2 2" xfId="12398" xr:uid="{A72B34C3-E812-4BC2-A8AB-026656E9186D}"/>
    <cellStyle name="Normal 2 4 2 27 2 3" xfId="3563" xr:uid="{8F70092C-8697-4352-956F-0CABC3727CD0}"/>
    <cellStyle name="Normal 2 4 2 27 2 3 2" xfId="12399" xr:uid="{1D6060E9-A70F-4257-A4AA-6D888DA58CE5}"/>
    <cellStyle name="Normal 2 4 2 27 2 4" xfId="12397" xr:uid="{530AEEEA-924F-4DA2-8BAC-8CA4429CB874}"/>
    <cellStyle name="Normal 2 4 2 27 3" xfId="3564" xr:uid="{05B13272-E862-4A3F-87D5-CD0E0D2A113E}"/>
    <cellStyle name="Normal 2 4 2 27 3 2" xfId="12400" xr:uid="{1536B9C5-4F72-40CE-8790-75CC7CCBBE73}"/>
    <cellStyle name="Normal 2 4 2 27 4" xfId="3565" xr:uid="{FB161C3A-EDD9-4A31-9811-277D3B011C28}"/>
    <cellStyle name="Normal 2 4 2 27 4 2" xfId="12401" xr:uid="{0E50200B-F7EC-4CF9-AD29-065C42A8921F}"/>
    <cellStyle name="Normal 2 4 2 27 5" xfId="12396" xr:uid="{713A65B9-416B-4279-9955-40BE94C39024}"/>
    <cellStyle name="Normal 2 4 2 28" xfId="3566" xr:uid="{3A1AB6DA-5737-4D8B-AB7A-D9572F8431B8}"/>
    <cellStyle name="Normal 2 4 2 28 2" xfId="3567" xr:uid="{2BCEAB0D-B983-47BF-BA35-6AFF66961926}"/>
    <cellStyle name="Normal 2 4 2 28 2 2" xfId="3568" xr:uid="{331BEC8E-2066-4156-B09B-3BEF4BFAA35A}"/>
    <cellStyle name="Normal 2 4 2 28 2 2 2" xfId="12404" xr:uid="{8073A3F8-7387-42F7-AC07-0094E95296CD}"/>
    <cellStyle name="Normal 2 4 2 28 2 3" xfId="3569" xr:uid="{F3F5B115-CD62-4082-B864-5830EFD9B537}"/>
    <cellStyle name="Normal 2 4 2 28 2 3 2" xfId="12405" xr:uid="{9B2FED52-B8C3-482B-A507-75A708E3F5E3}"/>
    <cellStyle name="Normal 2 4 2 28 2 4" xfId="12403" xr:uid="{8D4AAC21-6248-43C6-8831-A7116B90B64B}"/>
    <cellStyle name="Normal 2 4 2 28 3" xfId="3570" xr:uid="{7B3B685B-D928-419B-86DB-6E006C53F1E5}"/>
    <cellStyle name="Normal 2 4 2 28 3 2" xfId="12406" xr:uid="{1B7E0876-5E47-4E4B-8C9D-307123FE410B}"/>
    <cellStyle name="Normal 2 4 2 28 4" xfId="3571" xr:uid="{9A951496-5CF2-42E0-AEEC-F2E864538F01}"/>
    <cellStyle name="Normal 2 4 2 28 4 2" xfId="12407" xr:uid="{C132F2D2-8EF6-4900-B8AA-174A850DFF98}"/>
    <cellStyle name="Normal 2 4 2 28 5" xfId="12402" xr:uid="{41966474-D208-4848-ACF5-70FE89F57070}"/>
    <cellStyle name="Normal 2 4 2 29" xfId="3572" xr:uid="{0E3DFDAE-4E43-451A-A849-FD80929B4332}"/>
    <cellStyle name="Normal 2 4 2 29 2" xfId="3573" xr:uid="{FDEF8E71-C5C7-4854-99F5-910339F519AD}"/>
    <cellStyle name="Normal 2 4 2 29 2 2" xfId="3574" xr:uid="{1CCB7670-5A3A-463F-B422-7433B993D577}"/>
    <cellStyle name="Normal 2 4 2 29 2 2 2" xfId="12410" xr:uid="{AE810C38-06F9-4E17-90B2-1601CF73DD46}"/>
    <cellStyle name="Normal 2 4 2 29 2 3" xfId="3575" xr:uid="{29FD767B-452C-472A-AF77-8E06F6F1FC3B}"/>
    <cellStyle name="Normal 2 4 2 29 2 3 2" xfId="12411" xr:uid="{43EB2EB0-3259-4530-BE3A-5CE34A91D724}"/>
    <cellStyle name="Normal 2 4 2 29 2 4" xfId="12409" xr:uid="{B74738AD-3E95-449B-9B74-01F80D96576F}"/>
    <cellStyle name="Normal 2 4 2 29 3" xfId="3576" xr:uid="{CF7A265E-B897-4738-8CE7-D37AF04A4273}"/>
    <cellStyle name="Normal 2 4 2 29 3 2" xfId="12412" xr:uid="{98FF31D5-0816-4283-872D-82DFFE279003}"/>
    <cellStyle name="Normal 2 4 2 29 4" xfId="3577" xr:uid="{04E914DF-CB21-4B10-BD49-A966E167B2A4}"/>
    <cellStyle name="Normal 2 4 2 29 4 2" xfId="12413" xr:uid="{B14DF805-4988-4F54-85CF-1F79F90830B6}"/>
    <cellStyle name="Normal 2 4 2 29 5" xfId="12408" xr:uid="{52E83406-1FF1-40FB-AEAF-824419B90B43}"/>
    <cellStyle name="Normal 2 4 2 3" xfId="3578" xr:uid="{433C1670-F713-428A-8074-B43FC637507E}"/>
    <cellStyle name="Normal 2 4 2 3 2" xfId="3579" xr:uid="{A812D2DE-7E57-448D-851F-C4294060D22D}"/>
    <cellStyle name="Normal 2 4 2 3 2 2" xfId="3580" xr:uid="{C809C736-DC02-4371-AB0C-44D93AC3F285}"/>
    <cellStyle name="Normal 2 4 2 3 2 2 2" xfId="12416" xr:uid="{F058A084-8C9C-4CE2-B1C8-433002BB9687}"/>
    <cellStyle name="Normal 2 4 2 3 2 3" xfId="3581" xr:uid="{4D0A53A3-C920-4AD0-AE2A-78B69468F3E3}"/>
    <cellStyle name="Normal 2 4 2 3 2 3 2" xfId="12417" xr:uid="{4B0A49EB-79F9-4B3C-B21E-857672147B5A}"/>
    <cellStyle name="Normal 2 4 2 3 2 4" xfId="12415" xr:uid="{DD896486-D627-4689-859D-08613DB62AED}"/>
    <cellStyle name="Normal 2 4 2 3 3" xfId="3582" xr:uid="{970727F9-5EBB-48F9-BCCB-C6ED0245E198}"/>
    <cellStyle name="Normal 2 4 2 3 3 2" xfId="12418" xr:uid="{85919C39-4BB9-4E93-BE56-8F36D453F92C}"/>
    <cellStyle name="Normal 2 4 2 3 4" xfId="3583" xr:uid="{B2EC67CA-81A0-473B-85E8-E928F8EF0C8E}"/>
    <cellStyle name="Normal 2 4 2 3 4 2" xfId="12419" xr:uid="{8E5E14B7-7777-4D96-8AC6-609BB6F645A9}"/>
    <cellStyle name="Normal 2 4 2 3 5" xfId="12414" xr:uid="{B6749945-A72F-4424-ABC6-B7FDA4830725}"/>
    <cellStyle name="Normal 2 4 2 30" xfId="3584" xr:uid="{3C618E0C-A633-41A1-9954-037B6E2CEBFD}"/>
    <cellStyle name="Normal 2 4 2 30 2" xfId="3585" xr:uid="{BB57D5B4-12EC-445C-A4F4-D83A1F8A3577}"/>
    <cellStyle name="Normal 2 4 2 30 2 2" xfId="3586" xr:uid="{FB1DD237-C319-4363-B5AE-EBDD3A8C44A0}"/>
    <cellStyle name="Normal 2 4 2 30 2 2 2" xfId="12422" xr:uid="{A943EE3B-0BD7-425C-AF3E-3411671B8805}"/>
    <cellStyle name="Normal 2 4 2 30 2 3" xfId="3587" xr:uid="{23F92CF3-2BED-4CBC-9146-F6738D3E4569}"/>
    <cellStyle name="Normal 2 4 2 30 2 3 2" xfId="12423" xr:uid="{94EB9B89-A2AD-4070-BAFA-10DAE385FD46}"/>
    <cellStyle name="Normal 2 4 2 30 2 4" xfId="12421" xr:uid="{DF0A6CFC-9131-4241-B5C6-457D78B2F534}"/>
    <cellStyle name="Normal 2 4 2 30 3" xfId="3588" xr:uid="{6370E673-EF4E-44BE-B2CC-4AFBCD6F5F7B}"/>
    <cellStyle name="Normal 2 4 2 30 3 2" xfId="12424" xr:uid="{F25DB98B-8562-4449-A894-E0EBCEFFC6AF}"/>
    <cellStyle name="Normal 2 4 2 30 4" xfId="3589" xr:uid="{EFE38150-56F6-4A99-A8F2-13E5620C2A97}"/>
    <cellStyle name="Normal 2 4 2 30 4 2" xfId="12425" xr:uid="{797B823C-A655-43BF-A94A-C0705DB23B08}"/>
    <cellStyle name="Normal 2 4 2 30 5" xfId="12420" xr:uid="{08CCC4D5-97AA-491E-8996-C5327285EB27}"/>
    <cellStyle name="Normal 2 4 2 31" xfId="3590" xr:uid="{C8A0159B-77F4-4624-ABDB-B0645215FF4A}"/>
    <cellStyle name="Normal 2 4 2 31 2" xfId="3591" xr:uid="{1A7656E0-71BB-412F-9CF8-D0CB4FC5DFA9}"/>
    <cellStyle name="Normal 2 4 2 31 2 2" xfId="3592" xr:uid="{A68340BD-BA0F-4B8D-972B-90E068272B28}"/>
    <cellStyle name="Normal 2 4 2 31 2 2 2" xfId="12428" xr:uid="{9EEE61CA-76DB-4130-B2BA-501BB8F2A813}"/>
    <cellStyle name="Normal 2 4 2 31 2 3" xfId="3593" xr:uid="{E34B45B0-C410-4A26-A06F-6B0EC737A71F}"/>
    <cellStyle name="Normal 2 4 2 31 2 3 2" xfId="12429" xr:uid="{8B09B0CF-1EC5-4977-866B-A4DA12D2FB7B}"/>
    <cellStyle name="Normal 2 4 2 31 2 4" xfId="12427" xr:uid="{7C71F8DB-F540-42DF-9A02-56C3366F696B}"/>
    <cellStyle name="Normal 2 4 2 31 3" xfId="3594" xr:uid="{0C6F8441-F258-4CB6-9EBC-CF1A6324FF8F}"/>
    <cellStyle name="Normal 2 4 2 31 3 2" xfId="12430" xr:uid="{0F43F003-1ABF-4AC1-9098-7044496DA7D6}"/>
    <cellStyle name="Normal 2 4 2 31 4" xfId="3595" xr:uid="{2C417375-5DD1-4449-9E0A-0DF6CE80B8BD}"/>
    <cellStyle name="Normal 2 4 2 31 4 2" xfId="12431" xr:uid="{D7507C25-3AF8-458C-A933-DDE24B86C4FA}"/>
    <cellStyle name="Normal 2 4 2 31 5" xfId="12426" xr:uid="{3998194B-5FD4-4DF7-B8BA-C0AAB470154F}"/>
    <cellStyle name="Normal 2 4 2 32" xfId="3596" xr:uid="{C008CA1A-4CDB-46C1-A480-1A65633DE099}"/>
    <cellStyle name="Normal 2 4 2 32 2" xfId="3597" xr:uid="{F0A5B46C-EF82-4E2D-9A1D-B6657555B681}"/>
    <cellStyle name="Normal 2 4 2 32 2 2" xfId="3598" xr:uid="{A94A1973-012C-4C0C-A3D9-745B957C7DF7}"/>
    <cellStyle name="Normal 2 4 2 32 2 2 2" xfId="12434" xr:uid="{2A00D7EA-95C1-4987-A79C-8181B1005509}"/>
    <cellStyle name="Normal 2 4 2 32 2 3" xfId="3599" xr:uid="{0DDC0C06-5690-4EB5-8C19-50737898231F}"/>
    <cellStyle name="Normal 2 4 2 32 2 3 2" xfId="12435" xr:uid="{5F4424AF-14F3-41FB-82A8-15BFFA937D2F}"/>
    <cellStyle name="Normal 2 4 2 32 2 4" xfId="12433" xr:uid="{D7E144AA-5812-49B2-824F-D76A9836B11D}"/>
    <cellStyle name="Normal 2 4 2 32 3" xfId="3600" xr:uid="{49ADEFE1-837C-4E86-92FA-462452E71208}"/>
    <cellStyle name="Normal 2 4 2 32 3 2" xfId="12436" xr:uid="{7F3E96F2-DB3B-422D-801B-0568680FC754}"/>
    <cellStyle name="Normal 2 4 2 32 4" xfId="3601" xr:uid="{6FA11B54-8893-4DC4-BF53-46FF48EED58F}"/>
    <cellStyle name="Normal 2 4 2 32 4 2" xfId="12437" xr:uid="{A7253A68-57EB-48EF-A0E7-4753B114A12A}"/>
    <cellStyle name="Normal 2 4 2 32 5" xfId="12432" xr:uid="{5305658C-93EC-4FAA-9570-6883AAF98BC3}"/>
    <cellStyle name="Normal 2 4 2 33" xfId="3602" xr:uid="{D9ECC9C0-A2A6-4DC7-824B-E592D4FBB9A5}"/>
    <cellStyle name="Normal 2 4 2 33 2" xfId="3603" xr:uid="{FC42F5E5-B7FC-44AC-8CB0-46021EF2AD17}"/>
    <cellStyle name="Normal 2 4 2 33 2 2" xfId="3604" xr:uid="{71A52AB4-F8C7-4F91-99FB-BB7E02443F5C}"/>
    <cellStyle name="Normal 2 4 2 33 2 2 2" xfId="12440" xr:uid="{23867646-BF88-4A92-81B9-EBEC1781C6C9}"/>
    <cellStyle name="Normal 2 4 2 33 2 3" xfId="3605" xr:uid="{7EAE2C58-CABB-4B1B-9997-19B20DFDE8C0}"/>
    <cellStyle name="Normal 2 4 2 33 2 3 2" xfId="12441" xr:uid="{8997EDF7-B31D-4DDC-AF83-039C51EEE62C}"/>
    <cellStyle name="Normal 2 4 2 33 2 4" xfId="12439" xr:uid="{58A4DF9E-4ED5-4F3E-BD4F-446F7A8EAFA5}"/>
    <cellStyle name="Normal 2 4 2 33 3" xfId="3606" xr:uid="{EE235B00-CDDB-4740-83C3-480E55EB223E}"/>
    <cellStyle name="Normal 2 4 2 33 3 2" xfId="12442" xr:uid="{46F2ACCF-46AE-4DA4-8AD5-489C28123258}"/>
    <cellStyle name="Normal 2 4 2 33 4" xfId="3607" xr:uid="{196E8326-07BD-4E6A-8BAA-7B25FFCFAB9F}"/>
    <cellStyle name="Normal 2 4 2 33 4 2" xfId="12443" xr:uid="{87ABCC82-CEC7-4122-889F-53F83F93EDAA}"/>
    <cellStyle name="Normal 2 4 2 33 5" xfId="12438" xr:uid="{7A853852-C48E-4E46-80DF-5EE5AD8B5622}"/>
    <cellStyle name="Normal 2 4 2 34" xfId="3608" xr:uid="{64616944-F62E-4B96-8A9E-CE99F2BEC891}"/>
    <cellStyle name="Normal 2 4 2 34 2" xfId="3609" xr:uid="{548AE942-1897-4502-A046-830CE01E7DA8}"/>
    <cellStyle name="Normal 2 4 2 34 2 2" xfId="3610" xr:uid="{D98451A0-7395-435E-98E1-1F5CC42BE269}"/>
    <cellStyle name="Normal 2 4 2 34 2 2 2" xfId="12446" xr:uid="{69DD3A49-2573-470A-B74F-E1B226D72B7A}"/>
    <cellStyle name="Normal 2 4 2 34 2 3" xfId="3611" xr:uid="{9FDB73CC-EDDB-4C26-8FD7-B91197B7F13A}"/>
    <cellStyle name="Normal 2 4 2 34 2 3 2" xfId="12447" xr:uid="{28849AE3-55E3-4B56-B8EF-18C531251975}"/>
    <cellStyle name="Normal 2 4 2 34 2 4" xfId="12445" xr:uid="{888D0214-2B31-4DE3-B377-A7DC6E4006D4}"/>
    <cellStyle name="Normal 2 4 2 34 3" xfId="3612" xr:uid="{3E179347-7CBD-49D8-AC3B-9506E9D136A2}"/>
    <cellStyle name="Normal 2 4 2 34 3 2" xfId="12448" xr:uid="{A4B2AD97-DF16-44FE-95F6-EAECA5AEE560}"/>
    <cellStyle name="Normal 2 4 2 34 4" xfId="3613" xr:uid="{A19807AB-C1D4-4B9D-B514-EB6AB8F4B78E}"/>
    <cellStyle name="Normal 2 4 2 34 4 2" xfId="12449" xr:uid="{70BD539A-3CDD-4346-B124-335518196039}"/>
    <cellStyle name="Normal 2 4 2 34 5" xfId="12444" xr:uid="{11D5EDE2-F0B8-4A66-AEE4-6A94491A7C67}"/>
    <cellStyle name="Normal 2 4 2 35" xfId="3614" xr:uid="{D0C5A8A7-4D93-4869-91A7-0401028B0577}"/>
    <cellStyle name="Normal 2 4 2 35 2" xfId="3615" xr:uid="{6DDEA350-220A-4361-B51A-4F9BF4F20337}"/>
    <cellStyle name="Normal 2 4 2 35 2 2" xfId="3616" xr:uid="{2E93EBAC-DD8F-4A99-9CF0-DB2972AECFD3}"/>
    <cellStyle name="Normal 2 4 2 35 2 2 2" xfId="12452" xr:uid="{1A514DA0-2AC5-4281-B944-6F8F36C64124}"/>
    <cellStyle name="Normal 2 4 2 35 2 3" xfId="3617" xr:uid="{C056FEE5-2CE1-41D6-AFA2-FC86BEA08EE0}"/>
    <cellStyle name="Normal 2 4 2 35 2 3 2" xfId="12453" xr:uid="{4EF42208-7F2F-42FF-8D57-5EB95EB03C19}"/>
    <cellStyle name="Normal 2 4 2 35 2 4" xfId="12451" xr:uid="{DFF8B63A-4C0A-47C2-AD62-E3DB84F7DF8E}"/>
    <cellStyle name="Normal 2 4 2 35 3" xfId="3618" xr:uid="{0F1ACAD0-2F05-4497-87D5-9232BA8242F3}"/>
    <cellStyle name="Normal 2 4 2 35 3 2" xfId="12454" xr:uid="{B33A4A24-4727-4DDF-952F-188D251D0D53}"/>
    <cellStyle name="Normal 2 4 2 35 4" xfId="3619" xr:uid="{3F11B443-176B-43AB-BE0E-32C1B6457946}"/>
    <cellStyle name="Normal 2 4 2 35 4 2" xfId="12455" xr:uid="{E5D611FB-0E93-44BC-B143-05FEAE3C3E96}"/>
    <cellStyle name="Normal 2 4 2 35 5" xfId="12450" xr:uid="{5A648802-3150-4D1D-A320-879A4FDA9E47}"/>
    <cellStyle name="Normal 2 4 2 36" xfId="3620" xr:uid="{AD118695-25B0-4BF7-94AB-B70846277405}"/>
    <cellStyle name="Normal 2 4 2 36 2" xfId="3621" xr:uid="{99015182-A826-4551-A50E-2E343F141456}"/>
    <cellStyle name="Normal 2 4 2 36 2 2" xfId="3622" xr:uid="{F78CF7F2-6435-4525-8312-56ADB72773AF}"/>
    <cellStyle name="Normal 2 4 2 36 2 2 2" xfId="12458" xr:uid="{65180023-3E6E-4D71-A0B0-A72261053A0D}"/>
    <cellStyle name="Normal 2 4 2 36 2 3" xfId="3623" xr:uid="{92391B4A-FE5A-4541-97E3-F7D2C65EA8C3}"/>
    <cellStyle name="Normal 2 4 2 36 2 3 2" xfId="12459" xr:uid="{D1236251-DC5D-40FC-AABC-88A4878F1C2B}"/>
    <cellStyle name="Normal 2 4 2 36 2 4" xfId="12457" xr:uid="{96463D41-8C35-45B0-9735-B1C88FAAFE4C}"/>
    <cellStyle name="Normal 2 4 2 36 3" xfId="3624" xr:uid="{8C1467C3-65C1-488B-B69C-EE8B57F7D12A}"/>
    <cellStyle name="Normal 2 4 2 36 3 2" xfId="12460" xr:uid="{4B04594D-8AA8-4E29-B25B-D86DF645DF68}"/>
    <cellStyle name="Normal 2 4 2 36 4" xfId="3625" xr:uid="{C5AB4AE3-D350-4D3C-B046-137D89054A70}"/>
    <cellStyle name="Normal 2 4 2 36 4 2" xfId="12461" xr:uid="{AAA05F8E-7EEE-43F3-8D4B-796DA24241EA}"/>
    <cellStyle name="Normal 2 4 2 36 5" xfId="12456" xr:uid="{CE508065-FEE4-490C-98DD-91A559790199}"/>
    <cellStyle name="Normal 2 4 2 37" xfId="3626" xr:uid="{32CF8E7C-6FDE-433D-86A9-FF3AAEFBAC85}"/>
    <cellStyle name="Normal 2 4 2 37 2" xfId="3627" xr:uid="{18F5456B-6BE2-4E76-BA73-286DB22D5296}"/>
    <cellStyle name="Normal 2 4 2 37 2 2" xfId="3628" xr:uid="{361B3585-7BA4-491D-AA38-015A039A8E58}"/>
    <cellStyle name="Normal 2 4 2 37 2 2 2" xfId="12464" xr:uid="{94513E5B-A500-4A63-8A98-A4F3704B5BB6}"/>
    <cellStyle name="Normal 2 4 2 37 2 3" xfId="3629" xr:uid="{27C7F885-0954-42CC-80E7-1D516012F446}"/>
    <cellStyle name="Normal 2 4 2 37 2 3 2" xfId="12465" xr:uid="{6AF77760-5FE2-4A67-9E43-4182CE605646}"/>
    <cellStyle name="Normal 2 4 2 37 2 4" xfId="12463" xr:uid="{34776782-29DB-4B9A-95A7-AE6B5AEB502D}"/>
    <cellStyle name="Normal 2 4 2 37 3" xfId="3630" xr:uid="{729ECD67-32B5-440E-BB4E-5A7E99614D69}"/>
    <cellStyle name="Normal 2 4 2 37 3 2" xfId="12466" xr:uid="{CBDFF5E1-9E17-4797-BAC3-49714C9833AD}"/>
    <cellStyle name="Normal 2 4 2 37 4" xfId="3631" xr:uid="{4A9E61A4-55B9-4BDB-AE4D-F40BD5AD7C71}"/>
    <cellStyle name="Normal 2 4 2 37 4 2" xfId="12467" xr:uid="{9A7CAE81-AAAF-4D5D-B2A3-9A4F729E03E0}"/>
    <cellStyle name="Normal 2 4 2 37 5" xfId="12462" xr:uid="{03DE4035-E6FF-4140-AB79-A1C26FA320F9}"/>
    <cellStyle name="Normal 2 4 2 38" xfId="3632" xr:uid="{08D51470-0F17-4B25-831C-63591703F9E4}"/>
    <cellStyle name="Normal 2 4 2 38 2" xfId="3633" xr:uid="{50FF4EEA-3F1A-486A-8D43-8F4F89D9C37E}"/>
    <cellStyle name="Normal 2 4 2 38 2 2" xfId="3634" xr:uid="{67C5690C-0F1C-4970-8980-32E471E993D9}"/>
    <cellStyle name="Normal 2 4 2 38 2 2 2" xfId="12470" xr:uid="{E561DAAB-2934-4365-94FE-AB74962760D4}"/>
    <cellStyle name="Normal 2 4 2 38 2 3" xfId="3635" xr:uid="{9C1E098E-AA39-4A22-A482-EABFA7D57FC0}"/>
    <cellStyle name="Normal 2 4 2 38 2 3 2" xfId="12471" xr:uid="{9B10AD38-E975-4F0A-92EE-18CA6AA79984}"/>
    <cellStyle name="Normal 2 4 2 38 2 4" xfId="12469" xr:uid="{1D978178-CC03-4A29-9A18-B43F5672FF1D}"/>
    <cellStyle name="Normal 2 4 2 38 3" xfId="3636" xr:uid="{2D4803B0-47DF-437E-989D-953BE76C4B9A}"/>
    <cellStyle name="Normal 2 4 2 38 3 2" xfId="12472" xr:uid="{751716D7-56CF-431A-A85F-39A6388E45AC}"/>
    <cellStyle name="Normal 2 4 2 38 4" xfId="3637" xr:uid="{70584517-9B40-40F7-A7F0-552462D544AF}"/>
    <cellStyle name="Normal 2 4 2 38 4 2" xfId="12473" xr:uid="{6D73A4C6-00A3-4F27-B447-77DCA3F5248F}"/>
    <cellStyle name="Normal 2 4 2 38 5" xfId="12468" xr:uid="{1B3B8576-4DB4-47DF-8A97-F2744E722294}"/>
    <cellStyle name="Normal 2 4 2 39" xfId="3638" xr:uid="{286BF2E3-2871-440D-A8A3-AB57BDD9AFDC}"/>
    <cellStyle name="Normal 2 4 2 39 2" xfId="3639" xr:uid="{7BE59946-2437-4592-9A84-14F6568E9BFB}"/>
    <cellStyle name="Normal 2 4 2 39 2 2" xfId="3640" xr:uid="{AB30CC17-6C13-425A-828E-2C588245F5D8}"/>
    <cellStyle name="Normal 2 4 2 39 2 2 2" xfId="12476" xr:uid="{5DEA2740-0907-45AB-9DAE-479E7CDF1E53}"/>
    <cellStyle name="Normal 2 4 2 39 2 3" xfId="3641" xr:uid="{5F3F5D53-3D7C-4552-B4A1-E36A91F555CE}"/>
    <cellStyle name="Normal 2 4 2 39 2 3 2" xfId="12477" xr:uid="{89A90DC1-E6E4-4DD2-B99E-FDA701898F99}"/>
    <cellStyle name="Normal 2 4 2 39 2 4" xfId="12475" xr:uid="{C220A891-6FF0-4A89-8C61-E256CD96B42A}"/>
    <cellStyle name="Normal 2 4 2 39 3" xfId="3642" xr:uid="{DD15ACFA-9DC9-4B79-995E-CBCAC83CD41D}"/>
    <cellStyle name="Normal 2 4 2 39 3 2" xfId="12478" xr:uid="{92A6563F-3AD7-4E84-93B4-96B43654030C}"/>
    <cellStyle name="Normal 2 4 2 39 4" xfId="3643" xr:uid="{0E54197A-73CE-430B-9C60-6D57076F72B1}"/>
    <cellStyle name="Normal 2 4 2 39 4 2" xfId="12479" xr:uid="{80714C66-BD4A-4838-BF4B-B992365F6438}"/>
    <cellStyle name="Normal 2 4 2 39 5" xfId="12474" xr:uid="{CA04DB05-D9A8-4F99-96AD-8D7CF33A4FC4}"/>
    <cellStyle name="Normal 2 4 2 4" xfId="3644" xr:uid="{E7F78553-D990-4CAB-8C5E-A5204F541188}"/>
    <cellStyle name="Normal 2 4 2 4 2" xfId="3645" xr:uid="{CB37967F-060B-4555-9360-E25CF864D982}"/>
    <cellStyle name="Normal 2 4 2 4 2 2" xfId="3646" xr:uid="{77956337-CD92-4BA5-A6E9-49F22DCD79E2}"/>
    <cellStyle name="Normal 2 4 2 4 2 2 2" xfId="12482" xr:uid="{A88F97C2-D037-453E-AC2B-FE583CC833F0}"/>
    <cellStyle name="Normal 2 4 2 4 2 3" xfId="3647" xr:uid="{776BBB9D-A38E-4F0C-BB65-6807516DEAF5}"/>
    <cellStyle name="Normal 2 4 2 4 2 3 2" xfId="12483" xr:uid="{DF140851-EDE8-44AC-B798-0E7608E03040}"/>
    <cellStyle name="Normal 2 4 2 4 2 4" xfId="12481" xr:uid="{E5906DBF-0543-4D37-AA3D-8B027A511F97}"/>
    <cellStyle name="Normal 2 4 2 4 3" xfId="3648" xr:uid="{9DC79D6D-BD2C-4080-ACFE-9DC731BBB5F6}"/>
    <cellStyle name="Normal 2 4 2 4 3 2" xfId="12484" xr:uid="{3028EA7B-3B46-408C-9DA3-4B8BD6F08DAF}"/>
    <cellStyle name="Normal 2 4 2 4 4" xfId="3649" xr:uid="{21885728-DBB3-4C41-8F00-0A030B0580F1}"/>
    <cellStyle name="Normal 2 4 2 4 4 2" xfId="12485" xr:uid="{44DCD7AB-E8DA-4A7F-A41F-048E5FED4842}"/>
    <cellStyle name="Normal 2 4 2 4 5" xfId="12480" xr:uid="{9BFBFEE4-8659-4787-96AF-92B2A40F3F00}"/>
    <cellStyle name="Normal 2 4 2 40" xfId="3650" xr:uid="{F3E6FD4C-8D12-461D-A620-14BF6B937216}"/>
    <cellStyle name="Normal 2 4 2 40 2" xfId="3651" xr:uid="{E1FC679B-F002-4732-A294-8790645D0223}"/>
    <cellStyle name="Normal 2 4 2 40 2 2" xfId="3652" xr:uid="{75AE135C-4FD4-4069-A79B-6092DDFC5FF8}"/>
    <cellStyle name="Normal 2 4 2 40 2 2 2" xfId="12488" xr:uid="{12BB6FB4-A817-435F-A1FC-AF4847C70C82}"/>
    <cellStyle name="Normal 2 4 2 40 2 3" xfId="3653" xr:uid="{DF2E23E5-97D7-417A-950D-0392D7B17A77}"/>
    <cellStyle name="Normal 2 4 2 40 2 3 2" xfId="12489" xr:uid="{04B7A867-4892-405E-8662-EF77E70FECD4}"/>
    <cellStyle name="Normal 2 4 2 40 2 4" xfId="12487" xr:uid="{06D8E728-1EBE-42B2-A55F-862322092291}"/>
    <cellStyle name="Normal 2 4 2 40 3" xfId="3654" xr:uid="{1C6EADBB-F83E-4098-A907-BDF730A58271}"/>
    <cellStyle name="Normal 2 4 2 40 3 2" xfId="12490" xr:uid="{F282A138-A26F-4137-90E7-DD04C96718FC}"/>
    <cellStyle name="Normal 2 4 2 40 4" xfId="3655" xr:uid="{569C1724-712A-4ED8-B2DE-D85A572A8CFF}"/>
    <cellStyle name="Normal 2 4 2 40 4 2" xfId="12491" xr:uid="{BA51C0DA-5C6B-4C9C-BFD8-E7068BDAE279}"/>
    <cellStyle name="Normal 2 4 2 40 5" xfId="12486" xr:uid="{9C22F042-1E21-4284-9097-4F5742C93006}"/>
    <cellStyle name="Normal 2 4 2 41" xfId="3656" xr:uid="{EF08E6BB-A80F-4494-80BA-26AA27F727C0}"/>
    <cellStyle name="Normal 2 4 2 41 2" xfId="3657" xr:uid="{087B4D9F-0090-4A74-8771-DAD4B7DC6AE5}"/>
    <cellStyle name="Normal 2 4 2 41 2 2" xfId="3658" xr:uid="{AF454094-6D86-4FD0-9503-F224C7D20C8B}"/>
    <cellStyle name="Normal 2 4 2 41 2 2 2" xfId="12494" xr:uid="{FB159B43-95D2-4AE8-8FA7-AD13A5211C3F}"/>
    <cellStyle name="Normal 2 4 2 41 2 3" xfId="3659" xr:uid="{F889857C-816F-42B4-8BA5-6F16D3F2ABAD}"/>
    <cellStyle name="Normal 2 4 2 41 2 3 2" xfId="12495" xr:uid="{306E8E14-B751-49F2-B637-F9AE1CE59CAF}"/>
    <cellStyle name="Normal 2 4 2 41 2 4" xfId="12493" xr:uid="{8A39A6FE-C5D4-434A-A328-275B776EC5E7}"/>
    <cellStyle name="Normal 2 4 2 41 3" xfId="3660" xr:uid="{A38FFBA1-0B47-4F4C-9017-01519B231416}"/>
    <cellStyle name="Normal 2 4 2 41 3 2" xfId="12496" xr:uid="{40668F92-651B-49D0-8D38-D54CE3A02457}"/>
    <cellStyle name="Normal 2 4 2 41 4" xfId="3661" xr:uid="{114631A1-35B0-4613-9020-A700EF6B796D}"/>
    <cellStyle name="Normal 2 4 2 41 4 2" xfId="12497" xr:uid="{3FED69D2-B5F3-4B68-9A01-501DFAB9544F}"/>
    <cellStyle name="Normal 2 4 2 41 5" xfId="12492" xr:uid="{024955CD-B3A5-4821-A6B2-D3B7715830DA}"/>
    <cellStyle name="Normal 2 4 2 42" xfId="3662" xr:uid="{DC128F25-B816-4965-933D-86E90BA95A3E}"/>
    <cellStyle name="Normal 2 4 2 42 2" xfId="3663" xr:uid="{EF04507C-4347-4523-9BA6-85A115921383}"/>
    <cellStyle name="Normal 2 4 2 42 2 2" xfId="3664" xr:uid="{85D3B94D-FD9B-413B-88E9-D643218575D7}"/>
    <cellStyle name="Normal 2 4 2 42 2 2 2" xfId="12500" xr:uid="{ABD27ED5-B855-46DC-9FAD-5512910BF3ED}"/>
    <cellStyle name="Normal 2 4 2 42 2 3" xfId="3665" xr:uid="{084CA94E-C802-422B-A645-F0CDCA336819}"/>
    <cellStyle name="Normal 2 4 2 42 2 3 2" xfId="12501" xr:uid="{E3796FA8-89C8-4082-8BCA-348D89BEEDAC}"/>
    <cellStyle name="Normal 2 4 2 42 2 4" xfId="12499" xr:uid="{0742FF5A-0156-461C-8801-0E9A6C15E116}"/>
    <cellStyle name="Normal 2 4 2 42 3" xfId="3666" xr:uid="{9A5A091E-E79A-475B-B128-3079C4CEED65}"/>
    <cellStyle name="Normal 2 4 2 42 3 2" xfId="12502" xr:uid="{3D21CF4E-BAE7-4954-8F1E-679AD8F90B36}"/>
    <cellStyle name="Normal 2 4 2 42 4" xfId="3667" xr:uid="{7B2B1C0E-5AD7-4B6E-8F29-FC49C41E5BFD}"/>
    <cellStyle name="Normal 2 4 2 42 4 2" xfId="12503" xr:uid="{A6F1CF47-8FC1-4B2D-A622-20565E1C0C7D}"/>
    <cellStyle name="Normal 2 4 2 42 5" xfId="12498" xr:uid="{C6466280-2150-470F-8222-8EFC00F37684}"/>
    <cellStyle name="Normal 2 4 2 43" xfId="3668" xr:uid="{EB980056-F94A-4258-A3E4-C42C41344CA0}"/>
    <cellStyle name="Normal 2 4 2 43 2" xfId="3669" xr:uid="{FB14206D-4B4C-48B4-84D0-C2984BD6E7B2}"/>
    <cellStyle name="Normal 2 4 2 43 2 2" xfId="3670" xr:uid="{D450EC70-0EEB-44DE-ABFB-F6DBADCE4350}"/>
    <cellStyle name="Normal 2 4 2 43 2 2 2" xfId="12506" xr:uid="{7D73B761-5F8D-4DCD-ADEA-8EBC35764DCA}"/>
    <cellStyle name="Normal 2 4 2 43 2 3" xfId="3671" xr:uid="{A51AEBF0-5398-4EBA-9A04-ECCEFF87987F}"/>
    <cellStyle name="Normal 2 4 2 43 2 3 2" xfId="12507" xr:uid="{784FA4C0-4B9E-4823-B82B-AAE5D14413F6}"/>
    <cellStyle name="Normal 2 4 2 43 2 4" xfId="12505" xr:uid="{740E2196-B952-40D1-B06F-5159A6C501DF}"/>
    <cellStyle name="Normal 2 4 2 43 3" xfId="3672" xr:uid="{1C748BD4-5D50-4A8F-9C9F-6D41B0969190}"/>
    <cellStyle name="Normal 2 4 2 43 3 2" xfId="12508" xr:uid="{733BEE4C-303D-4684-910A-50B284A4C1D1}"/>
    <cellStyle name="Normal 2 4 2 43 4" xfId="3673" xr:uid="{FA999A6E-E98E-49EE-9C22-C38746EAD87A}"/>
    <cellStyle name="Normal 2 4 2 43 4 2" xfId="12509" xr:uid="{503939D8-33DA-4AD5-94A8-645EBD72BFD5}"/>
    <cellStyle name="Normal 2 4 2 43 5" xfId="12504" xr:uid="{730EA01E-B805-4583-B305-D3C49FF7469C}"/>
    <cellStyle name="Normal 2 4 2 44" xfId="3674" xr:uid="{D8574D65-2084-4F2A-86DA-26BA4C753785}"/>
    <cellStyle name="Normal 2 4 2 44 2" xfId="3675" xr:uid="{3BFFA2C2-70FA-492A-92C7-6D37092DDEF0}"/>
    <cellStyle name="Normal 2 4 2 44 2 2" xfId="12511" xr:uid="{CA06782F-A407-4E6A-9B34-29F09BEF775B}"/>
    <cellStyle name="Normal 2 4 2 44 3" xfId="3676" xr:uid="{FB64CDB8-FE4D-4606-83A4-77D4DBC978FC}"/>
    <cellStyle name="Normal 2 4 2 44 3 2" xfId="12512" xr:uid="{41A16734-0141-4471-9243-117874658DA1}"/>
    <cellStyle name="Normal 2 4 2 44 4" xfId="12510" xr:uid="{9BD6EF68-7DD3-419E-895F-3C4B7BCCD7E8}"/>
    <cellStyle name="Normal 2 4 2 45" xfId="3677" xr:uid="{EB933709-D1DF-40D4-875F-0ABD57BE227D}"/>
    <cellStyle name="Normal 2 4 2 45 2" xfId="12513" xr:uid="{C267513C-95F7-41CF-ABC4-3249A973D823}"/>
    <cellStyle name="Normal 2 4 2 46" xfId="3678" xr:uid="{BA398595-7C94-428B-AEF8-F306717F6577}"/>
    <cellStyle name="Normal 2 4 2 46 2" xfId="12514" xr:uid="{CF429758-B100-4647-9E99-950D608243F4}"/>
    <cellStyle name="Normal 2 4 2 47" xfId="3679" xr:uid="{3EB72BBC-5BA2-4CBF-9CCD-2618B0C25FE8}"/>
    <cellStyle name="Normal 2 4 2 48" xfId="3680" xr:uid="{87C1F208-3408-4676-B7A7-6D129FC45516}"/>
    <cellStyle name="Normal 2 4 2 48 2" xfId="12515" xr:uid="{8879A223-3B6C-4468-B075-FA6FB1D39950}"/>
    <cellStyle name="Normal 2 4 2 49" xfId="3681" xr:uid="{6109506A-86C6-4042-B7E4-BE47BAD5AB3C}"/>
    <cellStyle name="Normal 2 4 2 5" xfId="3682" xr:uid="{25BA0CE0-7939-428F-9860-713852209533}"/>
    <cellStyle name="Normal 2 4 2 5 2" xfId="3683" xr:uid="{4E6C5AEE-48FB-43B9-AC59-FB0B36F7775D}"/>
    <cellStyle name="Normal 2 4 2 5 2 2" xfId="3684" xr:uid="{F87411E9-30B2-41E1-BE42-A29D5B8F9C9B}"/>
    <cellStyle name="Normal 2 4 2 5 2 2 2" xfId="12518" xr:uid="{B8D85958-F86E-4E1F-8E76-762829964BD7}"/>
    <cellStyle name="Normal 2 4 2 5 2 3" xfId="3685" xr:uid="{AE04245A-B182-498F-9C9F-01571D4C67BA}"/>
    <cellStyle name="Normal 2 4 2 5 2 3 2" xfId="12519" xr:uid="{DFF95741-B433-4A68-8F34-5A3D432DAFF0}"/>
    <cellStyle name="Normal 2 4 2 5 2 4" xfId="12517" xr:uid="{57D595AB-13F9-41E0-B41B-EE79A2FAA5FF}"/>
    <cellStyle name="Normal 2 4 2 5 3" xfId="3686" xr:uid="{E3854FC9-795E-4946-BF98-5CA23ECF26A2}"/>
    <cellStyle name="Normal 2 4 2 5 3 2" xfId="12520" xr:uid="{73B7135F-255E-4682-ADC3-C641920B031D}"/>
    <cellStyle name="Normal 2 4 2 5 4" xfId="3687" xr:uid="{947B5532-148A-4FB4-93DE-5951EB5F50D7}"/>
    <cellStyle name="Normal 2 4 2 5 4 2" xfId="12521" xr:uid="{7DDF0E6C-D852-468C-ADCF-84831F44BBD6}"/>
    <cellStyle name="Normal 2 4 2 5 5" xfId="12516" xr:uid="{DBC5A9CF-2EA5-49E5-8C3D-A1A8AA93009A}"/>
    <cellStyle name="Normal 2 4 2 50" xfId="12286" xr:uid="{4D794A4C-5E4F-47DC-A40E-C62448F5D2FD}"/>
    <cellStyle name="Normal 2 4 2 6" xfId="3688" xr:uid="{F70C611B-5807-4E63-A5F0-76FA6506006A}"/>
    <cellStyle name="Normal 2 4 2 6 2" xfId="3689" xr:uid="{5D3B686C-F7EB-4960-9436-D7BC389C0CC2}"/>
    <cellStyle name="Normal 2 4 2 6 2 2" xfId="3690" xr:uid="{7F20CB86-8067-4AC9-BDC8-8976E1B98440}"/>
    <cellStyle name="Normal 2 4 2 6 2 2 2" xfId="12524" xr:uid="{E6D14F44-9015-4ABB-94FE-8E822C488D70}"/>
    <cellStyle name="Normal 2 4 2 6 2 3" xfId="3691" xr:uid="{0BA721D8-8FF2-4F22-842E-3E3B618705CB}"/>
    <cellStyle name="Normal 2 4 2 6 2 3 2" xfId="12525" xr:uid="{125B8595-8E2E-4D36-A1A3-0A0524CBF387}"/>
    <cellStyle name="Normal 2 4 2 6 2 4" xfId="12523" xr:uid="{40B69A68-1C26-4962-9461-84F82054C929}"/>
    <cellStyle name="Normal 2 4 2 6 3" xfId="3692" xr:uid="{F70329E9-D6CF-40D9-A9F3-2687DEB54EE6}"/>
    <cellStyle name="Normal 2 4 2 6 3 2" xfId="12526" xr:uid="{1CC56FAE-FDB3-48CE-B74C-4A44C3E2E725}"/>
    <cellStyle name="Normal 2 4 2 6 4" xfId="3693" xr:uid="{2FC631C5-BD32-49CE-A740-789C18D588B3}"/>
    <cellStyle name="Normal 2 4 2 6 4 2" xfId="12527" xr:uid="{FBAC1DB6-4611-454E-855A-4D39F0A52466}"/>
    <cellStyle name="Normal 2 4 2 6 5" xfId="12522" xr:uid="{F8DB04E1-778A-4F16-83D0-8213FAA3E1CB}"/>
    <cellStyle name="Normal 2 4 2 7" xfId="3694" xr:uid="{422EE60A-9529-492D-B57B-F81DD09715A8}"/>
    <cellStyle name="Normal 2 4 2 7 2" xfId="3695" xr:uid="{F0D29350-B6A1-415E-A70B-17D0A014B2CA}"/>
    <cellStyle name="Normal 2 4 2 7 2 2" xfId="3696" xr:uid="{52ABD8FB-C952-428C-A0A4-F31AF7796BB3}"/>
    <cellStyle name="Normal 2 4 2 7 2 2 2" xfId="12530" xr:uid="{4E8213E2-FAAC-49EC-9496-F20963F225E8}"/>
    <cellStyle name="Normal 2 4 2 7 2 3" xfId="3697" xr:uid="{E6CBCCA9-305D-408E-84EA-A0FED9F8173E}"/>
    <cellStyle name="Normal 2 4 2 7 2 3 2" xfId="12531" xr:uid="{F75F3282-F69C-4CE4-9D14-21AD14FA3CA3}"/>
    <cellStyle name="Normal 2 4 2 7 2 4" xfId="12529" xr:uid="{5DD8AB26-6E6E-4CC1-83F7-9E417663F574}"/>
    <cellStyle name="Normal 2 4 2 7 3" xfId="3698" xr:uid="{8ACD4320-2212-436E-8BB3-C44C424ED03D}"/>
    <cellStyle name="Normal 2 4 2 7 3 2" xfId="12532" xr:uid="{87E8EC7D-A296-4CB7-BB0D-F6B83B33D421}"/>
    <cellStyle name="Normal 2 4 2 7 4" xfId="3699" xr:uid="{DF4459C6-4692-4F76-BB4F-785BCBD4CCD6}"/>
    <cellStyle name="Normal 2 4 2 7 4 2" xfId="12533" xr:uid="{71A11973-A85F-44BA-A286-1D2F833B882F}"/>
    <cellStyle name="Normal 2 4 2 7 5" xfId="12528" xr:uid="{8891BEB0-9837-46D8-905D-8D5C833F7F61}"/>
    <cellStyle name="Normal 2 4 2 8" xfId="3700" xr:uid="{D229D6CC-D57F-4C3A-8FEF-857EF99D0AE1}"/>
    <cellStyle name="Normal 2 4 2 8 2" xfId="3701" xr:uid="{AA8789E5-1520-4156-AF53-D42591E0822D}"/>
    <cellStyle name="Normal 2 4 2 8 2 2" xfId="3702" xr:uid="{D5BB3A47-7339-435B-A962-1C5B7AD5182D}"/>
    <cellStyle name="Normal 2 4 2 8 2 2 2" xfId="12536" xr:uid="{49DFFA48-4981-4A26-A85F-7CB6EE940F99}"/>
    <cellStyle name="Normal 2 4 2 8 2 3" xfId="3703" xr:uid="{18E01E24-F09C-4898-9B0F-8F99EAE466D2}"/>
    <cellStyle name="Normal 2 4 2 8 2 3 2" xfId="12537" xr:uid="{17678ABC-3F3F-41E3-B850-D0557CC7022F}"/>
    <cellStyle name="Normal 2 4 2 8 2 4" xfId="12535" xr:uid="{3911959B-FA5B-4060-8B5C-393D9712875C}"/>
    <cellStyle name="Normal 2 4 2 8 3" xfId="3704" xr:uid="{ACC8C86B-7F15-4A1A-A8A3-5D5779C8DEF9}"/>
    <cellStyle name="Normal 2 4 2 8 3 2" xfId="12538" xr:uid="{385781D7-1A67-4428-954D-66D8D68C3612}"/>
    <cellStyle name="Normal 2 4 2 8 4" xfId="3705" xr:uid="{4BBE9AF8-B2B1-466F-B1C4-5F353B981231}"/>
    <cellStyle name="Normal 2 4 2 8 4 2" xfId="12539" xr:uid="{095446BB-D7E2-4A22-9444-FC3E05CE918B}"/>
    <cellStyle name="Normal 2 4 2 8 5" xfId="12534" xr:uid="{8819BE3C-7567-470E-8319-8CF3BE6B1AD4}"/>
    <cellStyle name="Normal 2 4 2 9" xfId="3706" xr:uid="{D638AF29-4A25-450A-84B4-246557157E57}"/>
    <cellStyle name="Normal 2 4 2 9 2" xfId="3707" xr:uid="{6824C972-5FA9-4BBB-8F71-AABE0C0C1E3B}"/>
    <cellStyle name="Normal 2 4 2 9 2 2" xfId="3708" xr:uid="{5E2A21ED-7088-4FDE-AA7F-267F23C163BE}"/>
    <cellStyle name="Normal 2 4 2 9 2 2 2" xfId="12542" xr:uid="{6D9D5D83-597B-43EE-8664-4E767A75EB0F}"/>
    <cellStyle name="Normal 2 4 2 9 2 3" xfId="3709" xr:uid="{976A437E-48B5-4BB3-9508-E4AAAE6DBB60}"/>
    <cellStyle name="Normal 2 4 2 9 2 3 2" xfId="12543" xr:uid="{92746C2D-3FAE-4294-B77D-EDC70E23B18A}"/>
    <cellStyle name="Normal 2 4 2 9 2 4" xfId="12541" xr:uid="{92492564-B667-4A5C-8BC6-B54BACE2CC46}"/>
    <cellStyle name="Normal 2 4 2 9 3" xfId="3710" xr:uid="{2175EDAD-3BC3-49F5-B844-329F16383FF1}"/>
    <cellStyle name="Normal 2 4 2 9 3 2" xfId="12544" xr:uid="{E620F037-B480-4E89-A47F-D726155792BC}"/>
    <cellStyle name="Normal 2 4 2 9 4" xfId="3711" xr:uid="{A3279180-E663-4EB6-A6B9-952E190B570B}"/>
    <cellStyle name="Normal 2 4 2 9 4 2" xfId="12545" xr:uid="{97AD2B10-96E2-4956-AEB4-468FCD0472A0}"/>
    <cellStyle name="Normal 2 4 2 9 5" xfId="12540" xr:uid="{609422CD-0086-402F-A0AC-495837303C0D}"/>
    <cellStyle name="Normal 2 4 20" xfId="3712" xr:uid="{C745E0A4-3E3F-4828-9F2F-08EA6206958A}"/>
    <cellStyle name="Normal 2 4 20 2" xfId="3713" xr:uid="{AB873E5E-8E62-4CDC-897C-6090AF67FF75}"/>
    <cellStyle name="Normal 2 4 20 2 2" xfId="3714" xr:uid="{4A0847EA-A786-41E8-A9A1-277048A71FE2}"/>
    <cellStyle name="Normal 2 4 20 2 2 2" xfId="12548" xr:uid="{FE783109-9722-49D9-8B1C-C0C2EE894846}"/>
    <cellStyle name="Normal 2 4 20 2 3" xfId="3715" xr:uid="{67F730DE-0563-4586-9E7A-0A135965D02A}"/>
    <cellStyle name="Normal 2 4 20 2 3 2" xfId="12549" xr:uid="{2377BABE-1C47-4A22-AC71-1D90620B43D6}"/>
    <cellStyle name="Normal 2 4 20 2 4" xfId="12547" xr:uid="{A77E9369-5EC4-4DD3-B1CA-266E13E4B454}"/>
    <cellStyle name="Normal 2 4 20 3" xfId="3716" xr:uid="{D1A66CF0-DFC3-4063-967B-0C42500E9F68}"/>
    <cellStyle name="Normal 2 4 20 3 2" xfId="12550" xr:uid="{718447A8-836A-4248-A57C-9FE1EC792DD2}"/>
    <cellStyle name="Normal 2 4 20 4" xfId="3717" xr:uid="{C3E2B0D4-2B48-4E09-AC1C-33EC2A7BA6BE}"/>
    <cellStyle name="Normal 2 4 20 4 2" xfId="12551" xr:uid="{ECF802B8-1A3E-4EA6-B749-3885E21CBE1D}"/>
    <cellStyle name="Normal 2 4 20 5" xfId="12546" xr:uid="{0FA394F0-0150-480F-9632-2646F41CA02B}"/>
    <cellStyle name="Normal 2 4 21" xfId="3718" xr:uid="{450870E3-D7A2-428F-9053-1DDEC1D08E24}"/>
    <cellStyle name="Normal 2 4 21 2" xfId="3719" xr:uid="{7C812439-D29A-426A-82D2-A98463F7D35A}"/>
    <cellStyle name="Normal 2 4 21 2 2" xfId="3720" xr:uid="{785EF403-90BD-4582-931B-2A308968C557}"/>
    <cellStyle name="Normal 2 4 21 2 2 2" xfId="12554" xr:uid="{A7AA7748-21F8-4685-A9DD-0EC10EA61FBA}"/>
    <cellStyle name="Normal 2 4 21 2 3" xfId="3721" xr:uid="{B52E9536-D304-45A6-AB05-BAFEF39554DC}"/>
    <cellStyle name="Normal 2 4 21 2 3 2" xfId="12555" xr:uid="{8CBB5287-F16C-49AA-AC79-12E2A9E917FA}"/>
    <cellStyle name="Normal 2 4 21 2 4" xfId="12553" xr:uid="{94453813-AAFC-4048-9017-6B2A08301B49}"/>
    <cellStyle name="Normal 2 4 21 3" xfId="3722" xr:uid="{18647747-F5C7-453A-A74B-9B7C86A9AAF8}"/>
    <cellStyle name="Normal 2 4 21 3 2" xfId="12556" xr:uid="{A899856E-1E2D-4F68-8FC4-D95AB8D4222A}"/>
    <cellStyle name="Normal 2 4 21 4" xfId="3723" xr:uid="{46366F0F-4B87-40B3-8946-8673DABBDD26}"/>
    <cellStyle name="Normal 2 4 21 4 2" xfId="12557" xr:uid="{83B58984-BC57-4BBF-A65D-739491DD3961}"/>
    <cellStyle name="Normal 2 4 21 5" xfId="12552" xr:uid="{72B3DC97-D9CA-4E48-BF5E-FEF8C884A430}"/>
    <cellStyle name="Normal 2 4 22" xfId="3724" xr:uid="{DD05F183-6280-46C3-9FEF-8B1E188B8D99}"/>
    <cellStyle name="Normal 2 4 22 2" xfId="3725" xr:uid="{C44F16C5-B795-44DD-8BD4-0F65778C7D43}"/>
    <cellStyle name="Normal 2 4 22 2 2" xfId="3726" xr:uid="{0F4BBED1-0311-48D8-9799-6EEDDB4E36C7}"/>
    <cellStyle name="Normal 2 4 22 2 2 2" xfId="12560" xr:uid="{85228A28-0116-4A77-B3B8-14ABF9195F70}"/>
    <cellStyle name="Normal 2 4 22 2 3" xfId="3727" xr:uid="{E938AE5E-B1A8-4264-A429-9E6DDF5A055A}"/>
    <cellStyle name="Normal 2 4 22 2 3 2" xfId="12561" xr:uid="{A2B10DEF-16C2-4B9C-8F50-A7DD44534422}"/>
    <cellStyle name="Normal 2 4 22 2 4" xfId="12559" xr:uid="{91B1051E-7D6E-4B78-8E1E-78EAF5F743B5}"/>
    <cellStyle name="Normal 2 4 22 3" xfId="3728" xr:uid="{44D7AC95-A6F0-41FE-AB69-4C146C5C5BA6}"/>
    <cellStyle name="Normal 2 4 22 3 2" xfId="12562" xr:uid="{1F0FD412-7873-4ACC-8D50-A28CF6E48F27}"/>
    <cellStyle name="Normal 2 4 22 4" xfId="3729" xr:uid="{82087224-D44F-44ED-ABB6-A940DD020AED}"/>
    <cellStyle name="Normal 2 4 22 4 2" xfId="12563" xr:uid="{887EE486-977B-478B-BBAE-56C06DB6CFD8}"/>
    <cellStyle name="Normal 2 4 22 5" xfId="12558" xr:uid="{61F55DEB-32A2-4BBE-A54A-33BAB7AECC82}"/>
    <cellStyle name="Normal 2 4 23" xfId="3730" xr:uid="{786E3043-B618-4B3C-BB26-CC1BD01EEDFB}"/>
    <cellStyle name="Normal 2 4 23 2" xfId="3731" xr:uid="{63B5FEAF-8EBB-4E5E-8970-546FA4BAE1E6}"/>
    <cellStyle name="Normal 2 4 23 2 2" xfId="3732" xr:uid="{83A585A9-0A6F-4903-9104-AB58C2062007}"/>
    <cellStyle name="Normal 2 4 23 2 2 2" xfId="12566" xr:uid="{59760AD4-5385-4B72-8E8E-61FB87672709}"/>
    <cellStyle name="Normal 2 4 23 2 3" xfId="3733" xr:uid="{96331D82-B728-4B44-99DB-9C4037AE302B}"/>
    <cellStyle name="Normal 2 4 23 2 3 2" xfId="12567" xr:uid="{A3DB9BF8-2B91-481C-9143-4F7A7E13AF6A}"/>
    <cellStyle name="Normal 2 4 23 2 4" xfId="12565" xr:uid="{28E22EC3-9067-48BF-A08A-D62E7204E643}"/>
    <cellStyle name="Normal 2 4 23 3" xfId="3734" xr:uid="{1B680D95-6AAB-4F8E-A38B-65B482D4EF49}"/>
    <cellStyle name="Normal 2 4 23 3 2" xfId="12568" xr:uid="{8E9AC1BA-E9D9-48D8-9FFD-59B39E596885}"/>
    <cellStyle name="Normal 2 4 23 4" xfId="3735" xr:uid="{E70D85C0-6B4F-4640-8000-5A64D0C85608}"/>
    <cellStyle name="Normal 2 4 23 4 2" xfId="12569" xr:uid="{D9CBDA52-544D-4EFE-8DA7-D9093D275950}"/>
    <cellStyle name="Normal 2 4 23 5" xfId="12564" xr:uid="{FCA6F699-7E78-4CD8-9963-F9D3117BA446}"/>
    <cellStyle name="Normal 2 4 24" xfId="3736" xr:uid="{D7D7A6E0-8632-4357-AB6F-50099690A3ED}"/>
    <cellStyle name="Normal 2 4 24 2" xfId="3737" xr:uid="{26BF6CBC-E281-4869-98BE-2E9FF29F4804}"/>
    <cellStyle name="Normal 2 4 24 2 2" xfId="3738" xr:uid="{0DFCEAB2-C5E6-4A92-B3CE-638407529C93}"/>
    <cellStyle name="Normal 2 4 24 2 2 2" xfId="12572" xr:uid="{4E37E8B4-FE59-4FA2-8A8A-160922F25D96}"/>
    <cellStyle name="Normal 2 4 24 2 3" xfId="3739" xr:uid="{7CC8FB47-D638-4F38-8F7E-506F466D29D7}"/>
    <cellStyle name="Normal 2 4 24 2 3 2" xfId="12573" xr:uid="{9A37E82E-F939-45A7-8A49-47B0A50D3556}"/>
    <cellStyle name="Normal 2 4 24 2 4" xfId="12571" xr:uid="{FCB04590-A8DD-4C99-8BB2-32C0793F7CD4}"/>
    <cellStyle name="Normal 2 4 24 3" xfId="3740" xr:uid="{4C9C5138-B3A5-4361-8262-9061F749FEFA}"/>
    <cellStyle name="Normal 2 4 24 3 2" xfId="12574" xr:uid="{27A52C44-53B0-4EF1-AFAC-B8CCC580E13C}"/>
    <cellStyle name="Normal 2 4 24 4" xfId="3741" xr:uid="{4C3E3AD9-AC25-4C64-A6DB-DEB0499F9FF9}"/>
    <cellStyle name="Normal 2 4 24 4 2" xfId="12575" xr:uid="{038EF66E-0EDD-4B65-9CA8-A760E3282FC1}"/>
    <cellStyle name="Normal 2 4 24 5" xfId="12570" xr:uid="{BA229B69-CAF2-4452-9201-C0E6D82A52E3}"/>
    <cellStyle name="Normal 2 4 25" xfId="3742" xr:uid="{CA67D9B0-5279-4850-AEDF-61622DE0AE68}"/>
    <cellStyle name="Normal 2 4 25 2" xfId="3743" xr:uid="{E535AFB3-8A16-4634-8013-FD3CDFECB64D}"/>
    <cellStyle name="Normal 2 4 25 2 2" xfId="3744" xr:uid="{95911A5D-18BD-4FC4-9858-FAD6FE50B999}"/>
    <cellStyle name="Normal 2 4 25 2 2 2" xfId="12578" xr:uid="{F49B8BB6-B824-441C-9417-F0E4EE40FA89}"/>
    <cellStyle name="Normal 2 4 25 2 3" xfId="3745" xr:uid="{4C58F27E-8D0E-4A35-8A9D-164C474F7BF8}"/>
    <cellStyle name="Normal 2 4 25 2 3 2" xfId="12579" xr:uid="{DB1A7914-0986-4CE9-ACE5-936F7B072E6F}"/>
    <cellStyle name="Normal 2 4 25 2 4" xfId="12577" xr:uid="{AEF70656-064E-43C2-AC1F-9CB2D0BF775F}"/>
    <cellStyle name="Normal 2 4 25 3" xfId="3746" xr:uid="{D6F933B6-0195-4CF8-91CC-187C7D4315BA}"/>
    <cellStyle name="Normal 2 4 25 3 2" xfId="12580" xr:uid="{574339F3-579B-4E53-BDD4-4FB7B74659F5}"/>
    <cellStyle name="Normal 2 4 25 4" xfId="3747" xr:uid="{C68DFDCA-25E8-4FEE-97F4-5605C6DFD714}"/>
    <cellStyle name="Normal 2 4 25 4 2" xfId="12581" xr:uid="{58DA27EE-DD4D-4C8A-919F-9EC741E551D2}"/>
    <cellStyle name="Normal 2 4 25 5" xfId="12576" xr:uid="{41363554-3BAC-42FB-9789-B8CD7EFEF748}"/>
    <cellStyle name="Normal 2 4 26" xfId="3748" xr:uid="{E29EBFEC-7854-4FE2-8FB3-529FE6ED0B77}"/>
    <cellStyle name="Normal 2 4 26 2" xfId="3749" xr:uid="{74BDD484-7216-41F4-94A4-5EE0DA52ABDD}"/>
    <cellStyle name="Normal 2 4 26 2 2" xfId="3750" xr:uid="{B440E81F-AE51-4400-B2A4-E1D1B8F7ED4E}"/>
    <cellStyle name="Normal 2 4 26 2 2 2" xfId="12584" xr:uid="{8D0BE862-B257-4334-B76C-729FFDA357CC}"/>
    <cellStyle name="Normal 2 4 26 2 3" xfId="3751" xr:uid="{3C958F56-90EF-45A8-91AE-E9ABEAD6FDE8}"/>
    <cellStyle name="Normal 2 4 26 2 3 2" xfId="12585" xr:uid="{99EEBF02-1C9D-4BAF-B2E5-67CA2A5869ED}"/>
    <cellStyle name="Normal 2 4 26 2 4" xfId="12583" xr:uid="{1E1B9A98-5B57-4F31-A1CD-CA38D4539E11}"/>
    <cellStyle name="Normal 2 4 26 3" xfId="3752" xr:uid="{F9429CC5-D623-4969-ACE7-E9787D439725}"/>
    <cellStyle name="Normal 2 4 26 3 2" xfId="12586" xr:uid="{89FA90AD-AA2E-4860-B16A-9FCD3EC74163}"/>
    <cellStyle name="Normal 2 4 26 4" xfId="3753" xr:uid="{A24241DA-F9DB-4DA7-AA98-493522C5CF84}"/>
    <cellStyle name="Normal 2 4 26 4 2" xfId="12587" xr:uid="{E9B05F43-D6AF-4D16-9401-ADA08B367B75}"/>
    <cellStyle name="Normal 2 4 26 5" xfId="12582" xr:uid="{5913E75E-37EF-4C6C-80CF-728A729217F1}"/>
    <cellStyle name="Normal 2 4 27" xfId="3754" xr:uid="{91CFAE3F-A1AE-4E13-BCC9-93CA0BD97119}"/>
    <cellStyle name="Normal 2 4 27 2" xfId="3755" xr:uid="{5385DB34-7BEB-4807-BC1F-A15A346D6A6F}"/>
    <cellStyle name="Normal 2 4 27 2 2" xfId="3756" xr:uid="{C8FA8D46-2D68-408A-B872-C588E85F6D14}"/>
    <cellStyle name="Normal 2 4 27 2 2 2" xfId="12590" xr:uid="{54AAF1BC-586A-434C-B1AC-E2A4EDF73E72}"/>
    <cellStyle name="Normal 2 4 27 2 3" xfId="3757" xr:uid="{612BB08C-3508-4560-AD64-37B2E319BD0D}"/>
    <cellStyle name="Normal 2 4 27 2 3 2" xfId="12591" xr:uid="{D9810578-F6DE-421A-8F9B-482F62CB7EB1}"/>
    <cellStyle name="Normal 2 4 27 2 4" xfId="12589" xr:uid="{24D76BA1-AA69-4C86-921C-62B836A59FBE}"/>
    <cellStyle name="Normal 2 4 27 3" xfId="3758" xr:uid="{985C4C31-CDA0-40FE-905D-B53A011170F8}"/>
    <cellStyle name="Normal 2 4 27 3 2" xfId="12592" xr:uid="{8607C982-A81C-4327-B6C8-40A28291F449}"/>
    <cellStyle name="Normal 2 4 27 4" xfId="3759" xr:uid="{6824AE36-2BAD-48A5-AB39-7A48C83D1E2C}"/>
    <cellStyle name="Normal 2 4 27 4 2" xfId="12593" xr:uid="{465DF048-4E03-4663-BD2F-19875B6A975B}"/>
    <cellStyle name="Normal 2 4 27 5" xfId="12588" xr:uid="{6A51B8C6-D17D-4E0A-B235-9F6DACA4BB5E}"/>
    <cellStyle name="Normal 2 4 28" xfId="3760" xr:uid="{0B8FC0F8-29D8-47A5-9085-FACB48E2DD2C}"/>
    <cellStyle name="Normal 2 4 28 2" xfId="3761" xr:uid="{E1CCFF07-3B38-4C43-915A-9E21C7160250}"/>
    <cellStyle name="Normal 2 4 28 2 2" xfId="3762" xr:uid="{F8A282EE-B119-4439-96F9-6CB51065EC51}"/>
    <cellStyle name="Normal 2 4 28 2 2 2" xfId="12596" xr:uid="{DB3FDB97-99E3-4327-83F0-072C425F0880}"/>
    <cellStyle name="Normal 2 4 28 2 3" xfId="3763" xr:uid="{AB81B3FC-44B5-4D7E-8E75-76CEC145393B}"/>
    <cellStyle name="Normal 2 4 28 2 3 2" xfId="12597" xr:uid="{DE4BD030-28DE-4391-A98D-E87EE5DB8B9D}"/>
    <cellStyle name="Normal 2 4 28 2 4" xfId="12595" xr:uid="{6630BFE3-37F5-4DFF-9377-2C1840748900}"/>
    <cellStyle name="Normal 2 4 28 3" xfId="3764" xr:uid="{B4F4AC0F-566D-463E-849A-BA9346864408}"/>
    <cellStyle name="Normal 2 4 28 3 2" xfId="12598" xr:uid="{1D8E1F11-FB82-4C57-A320-E8313BE41161}"/>
    <cellStyle name="Normal 2 4 28 4" xfId="3765" xr:uid="{052D63E3-EAE3-466C-8AAF-D15ADDEC7B77}"/>
    <cellStyle name="Normal 2 4 28 4 2" xfId="12599" xr:uid="{8E1F4278-412F-40EF-8EB7-57DCC1CAED3D}"/>
    <cellStyle name="Normal 2 4 28 5" xfId="12594" xr:uid="{412E11E8-0186-4C72-A8FB-08BA26AFF477}"/>
    <cellStyle name="Normal 2 4 29" xfId="3766" xr:uid="{8AB11621-862F-40B5-9156-412BF3B7A4A7}"/>
    <cellStyle name="Normal 2 4 29 2" xfId="3767" xr:uid="{27538EA2-3198-4DD7-AB46-23189A468322}"/>
    <cellStyle name="Normal 2 4 29 2 2" xfId="3768" xr:uid="{A0E4D306-11F4-41BA-A8BF-419DCC300D3E}"/>
    <cellStyle name="Normal 2 4 29 2 2 2" xfId="12602" xr:uid="{CB82B47B-926F-44FC-8134-4D5E634380A7}"/>
    <cellStyle name="Normal 2 4 29 2 3" xfId="3769" xr:uid="{4BA14052-D47B-47A6-9907-D798841E4F1F}"/>
    <cellStyle name="Normal 2 4 29 2 3 2" xfId="12603" xr:uid="{2814D0F6-CEB7-42B9-8A38-68FC99C65C2F}"/>
    <cellStyle name="Normal 2 4 29 2 4" xfId="12601" xr:uid="{020786F2-689B-4296-80DA-F5A4553F5FF9}"/>
    <cellStyle name="Normal 2 4 29 3" xfId="3770" xr:uid="{C93BEFF0-493E-4001-9C5B-D402232A8A9C}"/>
    <cellStyle name="Normal 2 4 29 3 2" xfId="12604" xr:uid="{7AB27783-C045-4B0A-A1D6-88490C12FFDF}"/>
    <cellStyle name="Normal 2 4 29 4" xfId="3771" xr:uid="{2A5E3BF2-A1C2-445E-B278-A39FEA5172A8}"/>
    <cellStyle name="Normal 2 4 29 4 2" xfId="12605" xr:uid="{37AC728D-F8FA-4062-AB98-647647539A27}"/>
    <cellStyle name="Normal 2 4 29 5" xfId="12600" xr:uid="{68419E98-E5A3-4332-894F-465221F48AB5}"/>
    <cellStyle name="Normal 2 4 3" xfId="3772" xr:uid="{7BF37448-C75E-4D75-A296-14C47E96B0B3}"/>
    <cellStyle name="Normal 2 4 3 10" xfId="3773" xr:uid="{F0FD6A59-AA33-4AE4-9CE8-2612094E8895}"/>
    <cellStyle name="Normal 2 4 3 10 2" xfId="3774" xr:uid="{6F8ED203-E196-4326-A588-0202E41B4E15}"/>
    <cellStyle name="Normal 2 4 3 10 2 2" xfId="3775" xr:uid="{B4907A5E-B640-4455-948E-426D7810C875}"/>
    <cellStyle name="Normal 2 4 3 10 2 2 2" xfId="12609" xr:uid="{6E031A66-833C-4F37-A8DD-17438C9B4739}"/>
    <cellStyle name="Normal 2 4 3 10 2 3" xfId="3776" xr:uid="{75EFF079-720F-4A81-BC58-C36EB1C1EB98}"/>
    <cellStyle name="Normal 2 4 3 10 2 3 2" xfId="12610" xr:uid="{90F4F33C-A5D3-4293-9597-B22935E4CAC4}"/>
    <cellStyle name="Normal 2 4 3 10 2 4" xfId="12608" xr:uid="{D756532B-329D-434B-9C59-64BC4B885760}"/>
    <cellStyle name="Normal 2 4 3 10 3" xfId="3777" xr:uid="{4FDDC1FC-8603-43DE-B631-BDD080A0CF30}"/>
    <cellStyle name="Normal 2 4 3 10 3 2" xfId="12611" xr:uid="{F8B38D99-51AC-40AF-9FEB-086CD1BE0E37}"/>
    <cellStyle name="Normal 2 4 3 10 4" xfId="3778" xr:uid="{50B4E4EA-F422-4253-8837-6F070A3C7B98}"/>
    <cellStyle name="Normal 2 4 3 10 4 2" xfId="12612" xr:uid="{4799D436-DC14-4196-896F-CF674E27AE02}"/>
    <cellStyle name="Normal 2 4 3 10 5" xfId="12607" xr:uid="{9C5B0C12-2F8F-4337-AAF3-E575B337631B}"/>
    <cellStyle name="Normal 2 4 3 11" xfId="3779" xr:uid="{FA726B64-F8FA-4A7C-BB33-7EC0946F854D}"/>
    <cellStyle name="Normal 2 4 3 11 2" xfId="3780" xr:uid="{BF350423-8BA8-469C-A531-5E19A4AAFAEC}"/>
    <cellStyle name="Normal 2 4 3 11 2 2" xfId="3781" xr:uid="{D5C61567-99FD-4A47-B27A-EAA9CF591528}"/>
    <cellStyle name="Normal 2 4 3 11 2 2 2" xfId="12615" xr:uid="{149BA5B1-6D18-4A26-894F-5BCC7075BA2F}"/>
    <cellStyle name="Normal 2 4 3 11 2 3" xfId="3782" xr:uid="{3BB3C802-6219-4352-A005-35EA9FCFB5A8}"/>
    <cellStyle name="Normal 2 4 3 11 2 3 2" xfId="12616" xr:uid="{B541C872-EA23-4C9C-A167-1C92068C734C}"/>
    <cellStyle name="Normal 2 4 3 11 2 4" xfId="12614" xr:uid="{1279893B-CF0F-4424-9290-6985293147FB}"/>
    <cellStyle name="Normal 2 4 3 11 3" xfId="3783" xr:uid="{DB490B2E-1FFB-4CDE-BD6B-986984630CD6}"/>
    <cellStyle name="Normal 2 4 3 11 3 2" xfId="12617" xr:uid="{856D89D9-C50C-4D4D-9037-FB1C6AAF716B}"/>
    <cellStyle name="Normal 2 4 3 11 4" xfId="3784" xr:uid="{DCC087A9-BD3B-43BD-BC93-7B6070553375}"/>
    <cellStyle name="Normal 2 4 3 11 4 2" xfId="12618" xr:uid="{39FE834C-62D9-4398-AAA6-CDE9FA09BCC8}"/>
    <cellStyle name="Normal 2 4 3 11 5" xfId="12613" xr:uid="{53AF0879-86B9-436B-8B54-1B3F9CDB6F88}"/>
    <cellStyle name="Normal 2 4 3 12" xfId="3785" xr:uid="{BD726BD5-FCFF-45F2-93B3-F00242FB89D1}"/>
    <cellStyle name="Normal 2 4 3 12 2" xfId="3786" xr:uid="{9FFE4EF8-3A05-465C-8284-D7904AE85ED9}"/>
    <cellStyle name="Normal 2 4 3 12 2 2" xfId="3787" xr:uid="{80F58F0A-BE5E-48F0-BE1E-15A28FDA709B}"/>
    <cellStyle name="Normal 2 4 3 12 2 2 2" xfId="12621" xr:uid="{B1D0957C-5CEE-4CEE-B715-1A605BE5CC03}"/>
    <cellStyle name="Normal 2 4 3 12 2 3" xfId="3788" xr:uid="{B5051717-DAFC-408F-A79B-957B2652BAA7}"/>
    <cellStyle name="Normal 2 4 3 12 2 3 2" xfId="12622" xr:uid="{98FFF7CF-339E-4C1D-A0AA-436B6835E0EC}"/>
    <cellStyle name="Normal 2 4 3 12 2 4" xfId="12620" xr:uid="{08FEE404-37EA-4F89-B93F-B17886D0215C}"/>
    <cellStyle name="Normal 2 4 3 12 3" xfId="3789" xr:uid="{86243E21-D782-4014-9BA9-556A4CE405B5}"/>
    <cellStyle name="Normal 2 4 3 12 3 2" xfId="12623" xr:uid="{EC2A8868-ECF8-4D0B-A1F1-AD08DE1936DC}"/>
    <cellStyle name="Normal 2 4 3 12 4" xfId="3790" xr:uid="{6D2F00FB-3EF2-4424-A173-85A854DDCD2A}"/>
    <cellStyle name="Normal 2 4 3 12 4 2" xfId="12624" xr:uid="{005057E5-F46F-4FCA-BF3B-03D903B4A0A5}"/>
    <cellStyle name="Normal 2 4 3 12 5" xfId="12619" xr:uid="{687C639A-7A5E-4D99-97D8-C2E8F4D3F1AE}"/>
    <cellStyle name="Normal 2 4 3 13" xfId="3791" xr:uid="{52D5B6D6-EE3A-45E5-A0C1-362177CC9144}"/>
    <cellStyle name="Normal 2 4 3 13 2" xfId="3792" xr:uid="{09E3F8E6-273D-48F0-95A3-74F337979318}"/>
    <cellStyle name="Normal 2 4 3 13 2 2" xfId="3793" xr:uid="{9E40DF3B-556A-4BC3-848D-417C2DB2DE6D}"/>
    <cellStyle name="Normal 2 4 3 13 2 2 2" xfId="12627" xr:uid="{1AC73417-D354-40F2-9960-671ABF6BD9F5}"/>
    <cellStyle name="Normal 2 4 3 13 2 3" xfId="3794" xr:uid="{02114BB4-896B-4C30-A6EA-BA6215E71C25}"/>
    <cellStyle name="Normal 2 4 3 13 2 3 2" xfId="12628" xr:uid="{1F1FAD58-39DE-49C2-A7CC-68FD2630C8D5}"/>
    <cellStyle name="Normal 2 4 3 13 2 4" xfId="12626" xr:uid="{BE1C1241-7D48-4D86-8FC6-F44303A88547}"/>
    <cellStyle name="Normal 2 4 3 13 3" xfId="3795" xr:uid="{959E0409-F72D-4B75-B9FC-9A0043312B02}"/>
    <cellStyle name="Normal 2 4 3 13 3 2" xfId="12629" xr:uid="{0023E147-7454-4BF7-9244-F7F09B41E10B}"/>
    <cellStyle name="Normal 2 4 3 13 4" xfId="3796" xr:uid="{4E03E578-5AD6-41EB-AF52-9814E8F07C04}"/>
    <cellStyle name="Normal 2 4 3 13 4 2" xfId="12630" xr:uid="{5BE88671-251A-4379-9BD9-57F1E2740C4C}"/>
    <cellStyle name="Normal 2 4 3 13 5" xfId="12625" xr:uid="{447EDE71-4185-42C1-96C6-EE0621975673}"/>
    <cellStyle name="Normal 2 4 3 14" xfId="3797" xr:uid="{35B380C6-45E2-4043-85A0-5022B6785D38}"/>
    <cellStyle name="Normal 2 4 3 14 2" xfId="3798" xr:uid="{622B73EC-0A9D-421C-9582-82F8E3D7B4FE}"/>
    <cellStyle name="Normal 2 4 3 14 2 2" xfId="3799" xr:uid="{82E7E3DA-3FB1-4332-9676-DBB09AFA2A5B}"/>
    <cellStyle name="Normal 2 4 3 14 2 2 2" xfId="12633" xr:uid="{6DB1B1E9-141E-4D27-9197-48C4EA72DEA3}"/>
    <cellStyle name="Normal 2 4 3 14 2 3" xfId="3800" xr:uid="{EA6FAF39-C68B-4312-B713-F6255D43FA7C}"/>
    <cellStyle name="Normal 2 4 3 14 2 3 2" xfId="12634" xr:uid="{C6018338-C9E9-47E0-A92B-E6A20909383E}"/>
    <cellStyle name="Normal 2 4 3 14 2 4" xfId="12632" xr:uid="{16C5B4A5-4DD2-4B16-81E8-7B2A2B26B507}"/>
    <cellStyle name="Normal 2 4 3 14 3" xfId="3801" xr:uid="{8E6BD1DB-1947-441B-9CA6-C9290F36BC80}"/>
    <cellStyle name="Normal 2 4 3 14 3 2" xfId="12635" xr:uid="{62EF199E-5E1F-4839-8739-2EA9D72425A1}"/>
    <cellStyle name="Normal 2 4 3 14 4" xfId="3802" xr:uid="{FE387D10-CF9B-429C-8A37-170DFB55B7D2}"/>
    <cellStyle name="Normal 2 4 3 14 4 2" xfId="12636" xr:uid="{EF51D52F-0120-41F1-9D71-59905B7D190E}"/>
    <cellStyle name="Normal 2 4 3 14 5" xfId="12631" xr:uid="{74941668-8391-41F5-ADAF-6363FD67B996}"/>
    <cellStyle name="Normal 2 4 3 15" xfId="3803" xr:uid="{289FA83D-F03F-4E31-8212-4470D8E4C304}"/>
    <cellStyle name="Normal 2 4 3 15 2" xfId="3804" xr:uid="{604677BC-3F70-4AF1-8888-3BE8EEFDE297}"/>
    <cellStyle name="Normal 2 4 3 15 2 2" xfId="3805" xr:uid="{69F90DD5-319F-4A2F-B650-9C57D5CC39C1}"/>
    <cellStyle name="Normal 2 4 3 15 2 2 2" xfId="12639" xr:uid="{7C8F3FA6-455C-4648-A89B-A664BF2909FE}"/>
    <cellStyle name="Normal 2 4 3 15 2 3" xfId="3806" xr:uid="{27F1447E-2193-4078-9E93-48C4F69E60E7}"/>
    <cellStyle name="Normal 2 4 3 15 2 3 2" xfId="12640" xr:uid="{9931CD3D-C622-45C8-82D1-B8FF0EF00B05}"/>
    <cellStyle name="Normal 2 4 3 15 2 4" xfId="12638" xr:uid="{C544D3E5-E00E-4EA3-8B3D-EA9B31E1BAB7}"/>
    <cellStyle name="Normal 2 4 3 15 3" xfId="3807" xr:uid="{40041670-F96D-4C41-AE4C-33E45E5014FC}"/>
    <cellStyle name="Normal 2 4 3 15 3 2" xfId="12641" xr:uid="{B6C6CAB1-C1E6-42A1-9A3C-617979F63439}"/>
    <cellStyle name="Normal 2 4 3 15 4" xfId="3808" xr:uid="{69736C3E-A060-46A5-BA54-2E7B228CC37C}"/>
    <cellStyle name="Normal 2 4 3 15 4 2" xfId="12642" xr:uid="{1A75C253-80F5-48AB-8750-949D8966BCE2}"/>
    <cellStyle name="Normal 2 4 3 15 5" xfId="12637" xr:uid="{9414BFCF-B28A-4ED3-B75E-D572B9CAC998}"/>
    <cellStyle name="Normal 2 4 3 16" xfId="3809" xr:uid="{F846BB4F-93BE-4876-A418-E6F95D9D82F3}"/>
    <cellStyle name="Normal 2 4 3 16 2" xfId="3810" xr:uid="{723CC177-31EB-472F-B315-39144FF6230A}"/>
    <cellStyle name="Normal 2 4 3 16 2 2" xfId="3811" xr:uid="{BE8C46F8-EE12-471B-ADD1-8297436B863C}"/>
    <cellStyle name="Normal 2 4 3 16 2 2 2" xfId="12645" xr:uid="{BB195362-A327-4CD3-AF3C-55E92F8349D2}"/>
    <cellStyle name="Normal 2 4 3 16 2 3" xfId="3812" xr:uid="{A36CA374-EE4A-43A9-93A4-9CE07F02103A}"/>
    <cellStyle name="Normal 2 4 3 16 2 3 2" xfId="12646" xr:uid="{5261F09A-8554-4301-B68A-10D1945FB4D2}"/>
    <cellStyle name="Normal 2 4 3 16 2 4" xfId="12644" xr:uid="{1BFBA9F2-59AE-42F4-899C-725836435C1E}"/>
    <cellStyle name="Normal 2 4 3 16 3" xfId="3813" xr:uid="{978A5CBA-D69F-4DDE-ADE3-08ACE61D63D2}"/>
    <cellStyle name="Normal 2 4 3 16 3 2" xfId="12647" xr:uid="{017BC947-9C07-4EEB-AE48-C03DA9465A70}"/>
    <cellStyle name="Normal 2 4 3 16 4" xfId="3814" xr:uid="{1B173EBA-6F24-42FB-8F60-CD7EF846EFF0}"/>
    <cellStyle name="Normal 2 4 3 16 4 2" xfId="12648" xr:uid="{90F8FD7B-8605-42E2-97F5-F7DB5CB69157}"/>
    <cellStyle name="Normal 2 4 3 16 5" xfId="12643" xr:uid="{CA1CB945-EC7F-46E1-949B-3E0909D78120}"/>
    <cellStyle name="Normal 2 4 3 17" xfId="3815" xr:uid="{003A2CA8-97B4-43B5-8338-AFA2D2E4D466}"/>
    <cellStyle name="Normal 2 4 3 17 2" xfId="3816" xr:uid="{20255839-B267-4496-B003-955CB71926E1}"/>
    <cellStyle name="Normal 2 4 3 17 2 2" xfId="3817" xr:uid="{270334C6-247B-4B16-B55F-0DF5815D83B6}"/>
    <cellStyle name="Normal 2 4 3 17 2 2 2" xfId="12651" xr:uid="{984752E0-46E9-45F6-9F22-B2445056C91D}"/>
    <cellStyle name="Normal 2 4 3 17 2 3" xfId="3818" xr:uid="{7C5AFEA1-CE53-4ADE-909F-28175BC79B9A}"/>
    <cellStyle name="Normal 2 4 3 17 2 3 2" xfId="12652" xr:uid="{EAA96017-FED3-40EB-B5C7-94AE7BAB8C88}"/>
    <cellStyle name="Normal 2 4 3 17 2 4" xfId="12650" xr:uid="{5193666A-EDF3-4832-AE12-7D48B25F7ECF}"/>
    <cellStyle name="Normal 2 4 3 17 3" xfId="3819" xr:uid="{C7E59330-615F-4AAD-86F2-AF8FEEB6DD5A}"/>
    <cellStyle name="Normal 2 4 3 17 3 2" xfId="12653" xr:uid="{64BB969D-C232-4994-BBBE-E55B83684142}"/>
    <cellStyle name="Normal 2 4 3 17 4" xfId="3820" xr:uid="{EFAB24D6-6B3B-4BEB-A771-83142034C1E1}"/>
    <cellStyle name="Normal 2 4 3 17 4 2" xfId="12654" xr:uid="{D43B1826-5696-4F3F-9686-77FD3B8B3B81}"/>
    <cellStyle name="Normal 2 4 3 17 5" xfId="12649" xr:uid="{DF309161-43D2-4A26-A980-F8FA81B7AEE2}"/>
    <cellStyle name="Normal 2 4 3 18" xfId="3821" xr:uid="{771D4E45-C467-46D9-9937-B2C773B18482}"/>
    <cellStyle name="Normal 2 4 3 18 2" xfId="3822" xr:uid="{477FA569-4F07-479E-A9BD-0D4B96CFB398}"/>
    <cellStyle name="Normal 2 4 3 18 2 2" xfId="3823" xr:uid="{CA88030D-A171-4F72-8828-000EE5B94A03}"/>
    <cellStyle name="Normal 2 4 3 18 2 2 2" xfId="12657" xr:uid="{BB93A41C-F84A-45D4-BDA9-DA2D80A74B86}"/>
    <cellStyle name="Normal 2 4 3 18 2 3" xfId="3824" xr:uid="{0966A188-84B8-4D68-80AD-3773D3D0B4FE}"/>
    <cellStyle name="Normal 2 4 3 18 2 3 2" xfId="12658" xr:uid="{4F1E9B4D-DACC-4021-8542-5C46F074F0D1}"/>
    <cellStyle name="Normal 2 4 3 18 2 4" xfId="12656" xr:uid="{3B80B51B-4092-4252-8668-1BE7E6815EA4}"/>
    <cellStyle name="Normal 2 4 3 18 3" xfId="3825" xr:uid="{703FB0EE-5B7B-47A7-A0CE-13D2A154BFF3}"/>
    <cellStyle name="Normal 2 4 3 18 3 2" xfId="12659" xr:uid="{B863ECB0-FDF7-42B5-BA10-E09BA75DCC20}"/>
    <cellStyle name="Normal 2 4 3 18 4" xfId="3826" xr:uid="{F71C763C-AB70-4FAB-86EC-4A788157B6D0}"/>
    <cellStyle name="Normal 2 4 3 18 4 2" xfId="12660" xr:uid="{F9A00606-EA7A-47E7-8F11-459B4927A7FE}"/>
    <cellStyle name="Normal 2 4 3 18 5" xfId="12655" xr:uid="{EDF93CD7-B31D-44C7-B075-B53DDA4A4D56}"/>
    <cellStyle name="Normal 2 4 3 19" xfId="3827" xr:uid="{08F11078-1494-405C-850D-997427CB0477}"/>
    <cellStyle name="Normal 2 4 3 19 2" xfId="3828" xr:uid="{27E6D3EE-E2DF-46E6-BA37-83B0CE3BC452}"/>
    <cellStyle name="Normal 2 4 3 19 2 2" xfId="3829" xr:uid="{EFDE338C-B106-4A1A-817D-D6067DAB8C1F}"/>
    <cellStyle name="Normal 2 4 3 19 2 2 2" xfId="12663" xr:uid="{E67BA796-29F2-4E6D-86F3-40F5DE999DFA}"/>
    <cellStyle name="Normal 2 4 3 19 2 3" xfId="3830" xr:uid="{F2AD6CC8-87D5-40BE-A0F2-22F952FD11D9}"/>
    <cellStyle name="Normal 2 4 3 19 2 3 2" xfId="12664" xr:uid="{1C516A2C-D27A-4CAA-9C10-569F71511A94}"/>
    <cellStyle name="Normal 2 4 3 19 2 4" xfId="12662" xr:uid="{AAA9F879-3214-44C1-9D0F-61985D1AD1CF}"/>
    <cellStyle name="Normal 2 4 3 19 3" xfId="3831" xr:uid="{D8A3A238-EA32-434D-B6AA-EF583651C67F}"/>
    <cellStyle name="Normal 2 4 3 19 3 2" xfId="12665" xr:uid="{993CAA01-594F-4C12-8AFB-9808F28E285D}"/>
    <cellStyle name="Normal 2 4 3 19 4" xfId="3832" xr:uid="{D3689CA3-A87A-4D67-AB89-5F4215B64E9E}"/>
    <cellStyle name="Normal 2 4 3 19 4 2" xfId="12666" xr:uid="{2344838B-4C83-47DB-B503-646AF55972BD}"/>
    <cellStyle name="Normal 2 4 3 19 5" xfId="12661" xr:uid="{C4AA36A3-CC5B-4D69-95EB-9DEB0EDC1FBC}"/>
    <cellStyle name="Normal 2 4 3 2" xfId="3833" xr:uid="{DD48383A-5D58-4AB7-8B2C-E838CBA4B5E3}"/>
    <cellStyle name="Normal 2 4 3 2 2" xfId="3834" xr:uid="{024AD30D-3256-4837-AD20-2EEC305D96A8}"/>
    <cellStyle name="Normal 2 4 3 2 2 2" xfId="3835" xr:uid="{DFC39491-305F-44EF-84F2-4AEE8BB130FF}"/>
    <cellStyle name="Normal 2 4 3 2 2 2 2" xfId="12669" xr:uid="{B378EC42-CE11-4E15-9AA0-ACBCB5CB41C5}"/>
    <cellStyle name="Normal 2 4 3 2 2 3" xfId="3836" xr:uid="{04957EB5-8144-4E21-9255-25296D27BB79}"/>
    <cellStyle name="Normal 2 4 3 2 2 3 2" xfId="12670" xr:uid="{2E7DEC4D-8434-4895-A2CE-BA7D4610E35D}"/>
    <cellStyle name="Normal 2 4 3 2 2 4" xfId="12668" xr:uid="{A90D85F6-A7AB-4228-8471-85D7CF219FFC}"/>
    <cellStyle name="Normal 2 4 3 2 3" xfId="3837" xr:uid="{DDFA5E42-6F9B-4E7A-AA78-8E5E844F6A5D}"/>
    <cellStyle name="Normal 2 4 3 2 3 2" xfId="12671" xr:uid="{05A6578E-EB2C-4C12-9101-666D44FD7599}"/>
    <cellStyle name="Normal 2 4 3 2 4" xfId="3838" xr:uid="{5EFDD369-CFC6-4839-B4DC-A80AF2E96274}"/>
    <cellStyle name="Normal 2 4 3 2 4 2" xfId="12672" xr:uid="{CC91B0BE-C8A6-46A0-A495-96D25AE47B7A}"/>
    <cellStyle name="Normal 2 4 3 2 5" xfId="12667" xr:uid="{A55DC9AC-55AC-455C-B6EA-9268DDBEE281}"/>
    <cellStyle name="Normal 2 4 3 20" xfId="3839" xr:uid="{2B644492-60A3-4A61-A2D4-CAE83672A3BD}"/>
    <cellStyle name="Normal 2 4 3 20 2" xfId="3840" xr:uid="{22CC7428-5888-4063-852A-558C26415C3A}"/>
    <cellStyle name="Normal 2 4 3 20 2 2" xfId="3841" xr:uid="{68ADFFDD-6AAB-4D1E-B60C-F6C74763BEBB}"/>
    <cellStyle name="Normal 2 4 3 20 2 2 2" xfId="12675" xr:uid="{249BE580-09C3-4C6E-801D-24A26A696D41}"/>
    <cellStyle name="Normal 2 4 3 20 2 3" xfId="3842" xr:uid="{4B218548-DB0F-4D07-A77A-8151C7129D16}"/>
    <cellStyle name="Normal 2 4 3 20 2 3 2" xfId="12676" xr:uid="{1C44CE49-8129-4450-AD68-E757828FF4C2}"/>
    <cellStyle name="Normal 2 4 3 20 2 4" xfId="12674" xr:uid="{497D7CB5-2E74-4287-B228-B7C4DCDF6534}"/>
    <cellStyle name="Normal 2 4 3 20 3" xfId="3843" xr:uid="{900153D2-0D68-4CFE-B26F-028300EEF510}"/>
    <cellStyle name="Normal 2 4 3 20 3 2" xfId="12677" xr:uid="{39F8737A-74BD-4C5C-8526-5A189C834016}"/>
    <cellStyle name="Normal 2 4 3 20 4" xfId="3844" xr:uid="{6E98CE63-165D-4C31-8EB2-71946E64D89B}"/>
    <cellStyle name="Normal 2 4 3 20 4 2" xfId="12678" xr:uid="{20DC30EC-5968-4600-854B-5A1EFA3C107B}"/>
    <cellStyle name="Normal 2 4 3 20 5" xfId="12673" xr:uid="{3C4A4BC2-16AE-4BE2-ADE2-A3872E588FB3}"/>
    <cellStyle name="Normal 2 4 3 21" xfId="3845" xr:uid="{43E0DBEB-595C-4805-82E0-C38E9EF1D960}"/>
    <cellStyle name="Normal 2 4 3 21 2" xfId="3846" xr:uid="{6EA32C6D-BA1B-4423-8AE7-623244DD3F1A}"/>
    <cellStyle name="Normal 2 4 3 21 2 2" xfId="3847" xr:uid="{301C0757-576C-4001-A23A-D328F39EE605}"/>
    <cellStyle name="Normal 2 4 3 21 2 2 2" xfId="12681" xr:uid="{B9D4855C-EFE3-4410-AD6F-5DF67AABEE35}"/>
    <cellStyle name="Normal 2 4 3 21 2 3" xfId="3848" xr:uid="{27148CB4-7A2D-4682-986F-06ED0F6BC276}"/>
    <cellStyle name="Normal 2 4 3 21 2 3 2" xfId="12682" xr:uid="{A83F6957-DC94-4E8A-9E8B-9FD1291EE0DA}"/>
    <cellStyle name="Normal 2 4 3 21 2 4" xfId="12680" xr:uid="{DFB15D54-5953-435B-9399-EAAE99749301}"/>
    <cellStyle name="Normal 2 4 3 21 3" xfId="3849" xr:uid="{E484B877-25C6-4BFB-9999-25542121577A}"/>
    <cellStyle name="Normal 2 4 3 21 3 2" xfId="12683" xr:uid="{37C83364-459B-4AD0-85B4-B3DABF10A3EA}"/>
    <cellStyle name="Normal 2 4 3 21 4" xfId="3850" xr:uid="{B7C20B1D-81E6-4EE4-92A0-54CC4C157AD6}"/>
    <cellStyle name="Normal 2 4 3 21 4 2" xfId="12684" xr:uid="{93C40DC1-D4DB-480C-A92E-5DEC55CF046D}"/>
    <cellStyle name="Normal 2 4 3 21 5" xfId="12679" xr:uid="{C45AA1EB-C69D-4EBC-914A-3AB3B1B1E249}"/>
    <cellStyle name="Normal 2 4 3 22" xfId="3851" xr:uid="{C6908AE4-21A6-4C44-8EB4-436A843BBCB6}"/>
    <cellStyle name="Normal 2 4 3 22 2" xfId="3852" xr:uid="{5B1562D3-B075-4C82-9826-4E29BA9E29FE}"/>
    <cellStyle name="Normal 2 4 3 22 2 2" xfId="3853" xr:uid="{347E07CD-D450-43CF-931E-0A6EDA8D004F}"/>
    <cellStyle name="Normal 2 4 3 22 2 2 2" xfId="12687" xr:uid="{18884EF5-03BD-4200-B381-13374171F0A1}"/>
    <cellStyle name="Normal 2 4 3 22 2 3" xfId="3854" xr:uid="{1EC690C0-6912-417F-A6CD-AFE62CC3209B}"/>
    <cellStyle name="Normal 2 4 3 22 2 3 2" xfId="12688" xr:uid="{E262BB5E-F080-4DEB-8116-0B98DA32D65D}"/>
    <cellStyle name="Normal 2 4 3 22 2 4" xfId="12686" xr:uid="{5BB19C52-7E32-476E-93DD-4F38E0AD246E}"/>
    <cellStyle name="Normal 2 4 3 22 3" xfId="3855" xr:uid="{C851EAD5-6CA1-4584-8430-BC99BB2BF095}"/>
    <cellStyle name="Normal 2 4 3 22 3 2" xfId="12689" xr:uid="{2DA642CA-5CB8-4AC9-A63D-28B8B128FFFE}"/>
    <cellStyle name="Normal 2 4 3 22 4" xfId="3856" xr:uid="{BC911FC6-37A6-4BC9-9A94-64D9CEB43A94}"/>
    <cellStyle name="Normal 2 4 3 22 4 2" xfId="12690" xr:uid="{00E2EBD9-8BA6-4FFB-B982-7033E32039F5}"/>
    <cellStyle name="Normal 2 4 3 22 5" xfId="12685" xr:uid="{5E7078EB-DCDD-4D8A-9073-B1CB48E19134}"/>
    <cellStyle name="Normal 2 4 3 23" xfId="3857" xr:uid="{6F952794-5382-4B62-928A-6220E14D9A82}"/>
    <cellStyle name="Normal 2 4 3 23 2" xfId="3858" xr:uid="{05F01616-36B9-4F09-9732-FC9787332A7A}"/>
    <cellStyle name="Normal 2 4 3 23 2 2" xfId="3859" xr:uid="{4C71D38B-4903-43E8-9976-0B0DD75EC2A4}"/>
    <cellStyle name="Normal 2 4 3 23 2 2 2" xfId="12693" xr:uid="{4BCDD77B-E19C-4934-B6E2-809B15B6F28E}"/>
    <cellStyle name="Normal 2 4 3 23 2 3" xfId="3860" xr:uid="{C37FE967-3568-49E0-A1C7-E6D12B4FC224}"/>
    <cellStyle name="Normal 2 4 3 23 2 3 2" xfId="12694" xr:uid="{2B13EBE8-6FE9-43DF-8C0C-F5A9EE7C0202}"/>
    <cellStyle name="Normal 2 4 3 23 2 4" xfId="12692" xr:uid="{8F6C9ADF-A268-4C98-A870-02FFDE36527C}"/>
    <cellStyle name="Normal 2 4 3 23 3" xfId="3861" xr:uid="{7ED3F294-BC8D-4483-AF69-8003266DD24D}"/>
    <cellStyle name="Normal 2 4 3 23 3 2" xfId="12695" xr:uid="{FC6F7E45-186C-4DF6-9D18-4A1F4355F210}"/>
    <cellStyle name="Normal 2 4 3 23 4" xfId="3862" xr:uid="{3FAA9199-13C8-41DC-9A0E-0CAC7250ECB8}"/>
    <cellStyle name="Normal 2 4 3 23 4 2" xfId="12696" xr:uid="{24ED27A2-AC7A-4926-8176-88266DEBBBC1}"/>
    <cellStyle name="Normal 2 4 3 23 5" xfId="12691" xr:uid="{56971421-7B64-4406-AB04-E9172E77A4A1}"/>
    <cellStyle name="Normal 2 4 3 24" xfId="3863" xr:uid="{3164FAE1-6848-42F1-89A5-DE07E2468A70}"/>
    <cellStyle name="Normal 2 4 3 24 2" xfId="3864" xr:uid="{DFE44BA3-3FCE-4CC8-9B0C-B67DE9BDB218}"/>
    <cellStyle name="Normal 2 4 3 24 2 2" xfId="3865" xr:uid="{B8AB7A0A-1AC2-4AAC-8696-580C4B9DC5EC}"/>
    <cellStyle name="Normal 2 4 3 24 2 2 2" xfId="12699" xr:uid="{38A8D2A6-A9C6-4CFA-BEFE-25E063A235DB}"/>
    <cellStyle name="Normal 2 4 3 24 2 3" xfId="3866" xr:uid="{115F074F-D155-4DE7-AAEA-8F132154F4EA}"/>
    <cellStyle name="Normal 2 4 3 24 2 3 2" xfId="12700" xr:uid="{4FE9422E-2F53-41EB-BE4D-939FA1FDB15E}"/>
    <cellStyle name="Normal 2 4 3 24 2 4" xfId="12698" xr:uid="{7C113F5B-623F-47E4-95EE-FBD64BD6F026}"/>
    <cellStyle name="Normal 2 4 3 24 3" xfId="3867" xr:uid="{D0E9C128-325C-44C3-B71D-D6394CFD57DD}"/>
    <cellStyle name="Normal 2 4 3 24 3 2" xfId="12701" xr:uid="{6CE595D8-4530-4231-83BF-0F08A5BCC264}"/>
    <cellStyle name="Normal 2 4 3 24 4" xfId="3868" xr:uid="{60DC6A5F-B400-4762-A8A8-D441FC9C285F}"/>
    <cellStyle name="Normal 2 4 3 24 4 2" xfId="12702" xr:uid="{5F38BC87-30DD-43F2-BF91-E34E46ED5802}"/>
    <cellStyle name="Normal 2 4 3 24 5" xfId="12697" xr:uid="{3EBF7709-5C8A-4E16-9E3C-A4C9D2293381}"/>
    <cellStyle name="Normal 2 4 3 25" xfId="3869" xr:uid="{C42ED5D9-8C14-4BBC-BE87-FA340E826A69}"/>
    <cellStyle name="Normal 2 4 3 25 2" xfId="3870" xr:uid="{EF18D4BE-79FF-4DAA-B555-5AD22E9DDBCB}"/>
    <cellStyle name="Normal 2 4 3 25 2 2" xfId="3871" xr:uid="{B8596455-9F7D-479B-9D5F-6C733044DE1D}"/>
    <cellStyle name="Normal 2 4 3 25 2 2 2" xfId="12705" xr:uid="{2EE05DAD-27A5-42AD-9C19-0750082AE847}"/>
    <cellStyle name="Normal 2 4 3 25 2 3" xfId="3872" xr:uid="{7E9B9185-4F53-4B25-984C-D1278B218205}"/>
    <cellStyle name="Normal 2 4 3 25 2 3 2" xfId="12706" xr:uid="{BAF08DF9-7139-43AF-93B1-59D14999055F}"/>
    <cellStyle name="Normal 2 4 3 25 2 4" xfId="12704" xr:uid="{381C05D8-FB28-4A89-9C8C-91DD225EF3DA}"/>
    <cellStyle name="Normal 2 4 3 25 3" xfId="3873" xr:uid="{AD0B34CB-78A1-4CA3-80ED-B6DD107C3891}"/>
    <cellStyle name="Normal 2 4 3 25 3 2" xfId="12707" xr:uid="{60F15C87-57E0-4B96-9762-4F8E2297B2F3}"/>
    <cellStyle name="Normal 2 4 3 25 4" xfId="3874" xr:uid="{83340811-39A2-446E-8ED4-C7DE4CB2F249}"/>
    <cellStyle name="Normal 2 4 3 25 4 2" xfId="12708" xr:uid="{A61F9EE8-1C20-424D-ACAE-A2E8D3F47FC3}"/>
    <cellStyle name="Normal 2 4 3 25 5" xfId="12703" xr:uid="{AF343236-2A12-49E2-B796-4BC6A4BB9421}"/>
    <cellStyle name="Normal 2 4 3 26" xfId="3875" xr:uid="{3E6E7F14-500E-430D-8ECA-3267C2B2A3DB}"/>
    <cellStyle name="Normal 2 4 3 26 2" xfId="3876" xr:uid="{B369423B-AA37-4883-8C1D-5EBB393BF7BA}"/>
    <cellStyle name="Normal 2 4 3 26 2 2" xfId="3877" xr:uid="{F617951C-3861-4099-A967-58C99B1607C7}"/>
    <cellStyle name="Normal 2 4 3 26 2 2 2" xfId="12711" xr:uid="{8E3CA3F3-D1BD-40DF-B215-40C9F167D3F6}"/>
    <cellStyle name="Normal 2 4 3 26 2 3" xfId="3878" xr:uid="{F9B6EA90-BB6B-4BAC-BEC7-65F870CCABC6}"/>
    <cellStyle name="Normal 2 4 3 26 2 3 2" xfId="12712" xr:uid="{5D30200A-F8F5-4672-B54F-0E7A5440CA4F}"/>
    <cellStyle name="Normal 2 4 3 26 2 4" xfId="12710" xr:uid="{97122031-6D81-445F-BA27-BB3606994C6B}"/>
    <cellStyle name="Normal 2 4 3 26 3" xfId="3879" xr:uid="{A7DE20C8-7369-454E-9B54-DC214C93D964}"/>
    <cellStyle name="Normal 2 4 3 26 3 2" xfId="12713" xr:uid="{7DBA8053-CD12-4E2C-9D43-63E020D973C9}"/>
    <cellStyle name="Normal 2 4 3 26 4" xfId="3880" xr:uid="{B87CBB9B-69D3-4BC8-A7B2-14C64A41444D}"/>
    <cellStyle name="Normal 2 4 3 26 4 2" xfId="12714" xr:uid="{F031E082-FE05-4059-AED5-260D84EF5420}"/>
    <cellStyle name="Normal 2 4 3 26 5" xfId="12709" xr:uid="{76FEEACD-2961-4747-9BDC-51CC0EDD1D16}"/>
    <cellStyle name="Normal 2 4 3 27" xfId="3881" xr:uid="{C70E039B-0E68-49FA-8124-E695A8230716}"/>
    <cellStyle name="Normal 2 4 3 27 2" xfId="3882" xr:uid="{FD3D1D02-80F1-4572-9E7C-DDCF12CEF8F4}"/>
    <cellStyle name="Normal 2 4 3 27 2 2" xfId="3883" xr:uid="{7C9313BA-1EDA-4DEE-8AC5-DB9D43AE1A71}"/>
    <cellStyle name="Normal 2 4 3 27 2 2 2" xfId="12717" xr:uid="{7A2F6462-D3DC-4F50-B625-5857F89DCBC2}"/>
    <cellStyle name="Normal 2 4 3 27 2 3" xfId="3884" xr:uid="{9143F50F-84DF-42F8-BED8-834EA9CA9A75}"/>
    <cellStyle name="Normal 2 4 3 27 2 3 2" xfId="12718" xr:uid="{CA887658-472E-44CD-B6EE-BB1EB55F0C61}"/>
    <cellStyle name="Normal 2 4 3 27 2 4" xfId="12716" xr:uid="{F4D09B86-F73D-499F-A67A-D925BFC6880F}"/>
    <cellStyle name="Normal 2 4 3 27 3" xfId="3885" xr:uid="{C128E5A9-7B75-4929-8750-276099DF66A0}"/>
    <cellStyle name="Normal 2 4 3 27 3 2" xfId="12719" xr:uid="{993EBC6A-B883-4A45-863D-A875A7B3CFCB}"/>
    <cellStyle name="Normal 2 4 3 27 4" xfId="3886" xr:uid="{E7528AF0-E2DC-4572-BFB8-16083312C396}"/>
    <cellStyle name="Normal 2 4 3 27 4 2" xfId="12720" xr:uid="{1E4AFA1F-CA67-4E54-B1EA-9C4F374DE442}"/>
    <cellStyle name="Normal 2 4 3 27 5" xfId="12715" xr:uid="{C6596BA4-EBA2-4C87-9101-5A72410F18A5}"/>
    <cellStyle name="Normal 2 4 3 28" xfId="3887" xr:uid="{D7E30354-C2B3-40DD-AE13-B1DA77130489}"/>
    <cellStyle name="Normal 2 4 3 28 2" xfId="3888" xr:uid="{4665B7E5-01CB-4B8A-879D-CB9BB0C1560E}"/>
    <cellStyle name="Normal 2 4 3 28 2 2" xfId="3889" xr:uid="{30661C76-584A-4A5C-B7A4-0E5EBC67A0E4}"/>
    <cellStyle name="Normal 2 4 3 28 2 2 2" xfId="12723" xr:uid="{7A648EA0-EF7B-4900-B0C3-BB1D94799546}"/>
    <cellStyle name="Normal 2 4 3 28 2 3" xfId="3890" xr:uid="{3B17BEFF-B3EA-421B-93F8-7E8DA679FCED}"/>
    <cellStyle name="Normal 2 4 3 28 2 3 2" xfId="12724" xr:uid="{31BB92DD-6219-4863-8200-9B3E921F67D1}"/>
    <cellStyle name="Normal 2 4 3 28 2 4" xfId="12722" xr:uid="{54337F9B-7AA1-4249-B525-FBBBDB774AE9}"/>
    <cellStyle name="Normal 2 4 3 28 3" xfId="3891" xr:uid="{6C7BF1DD-A913-43F7-B80D-362F33E56FBB}"/>
    <cellStyle name="Normal 2 4 3 28 3 2" xfId="12725" xr:uid="{8173AC2B-258F-4E08-B2B2-F540E88C774F}"/>
    <cellStyle name="Normal 2 4 3 28 4" xfId="3892" xr:uid="{31C02F4F-A2B6-4082-A6E3-DAE87428F65F}"/>
    <cellStyle name="Normal 2 4 3 28 4 2" xfId="12726" xr:uid="{B626ED05-234F-4201-B559-FA3187CD15DE}"/>
    <cellStyle name="Normal 2 4 3 28 5" xfId="12721" xr:uid="{B33AEEEE-520B-4E6F-B4CE-50DBB1F98038}"/>
    <cellStyle name="Normal 2 4 3 29" xfId="3893" xr:uid="{59DC65C9-C9A0-419D-AD13-1191D2B1DFE1}"/>
    <cellStyle name="Normal 2 4 3 29 2" xfId="3894" xr:uid="{B323AEE9-ED71-4FA0-B44E-5E978C8FC271}"/>
    <cellStyle name="Normal 2 4 3 29 2 2" xfId="3895" xr:uid="{FAB44508-B429-422C-833A-5AE06088E4E8}"/>
    <cellStyle name="Normal 2 4 3 29 2 2 2" xfId="12729" xr:uid="{BDC3D238-626A-46EA-80C8-E8A722C5B4ED}"/>
    <cellStyle name="Normal 2 4 3 29 2 3" xfId="3896" xr:uid="{BBA83CD2-EAA6-4DB3-ADA5-BA24E1AA7FB8}"/>
    <cellStyle name="Normal 2 4 3 29 2 3 2" xfId="12730" xr:uid="{4D4BDD22-A9C0-45B3-8D81-63A8875B5D3F}"/>
    <cellStyle name="Normal 2 4 3 29 2 4" xfId="12728" xr:uid="{B206DEDA-34A2-4FFC-8BAA-35DD4B48C15A}"/>
    <cellStyle name="Normal 2 4 3 29 3" xfId="3897" xr:uid="{364CDC0F-92A3-49FF-9A35-4CE403EEDE07}"/>
    <cellStyle name="Normal 2 4 3 29 3 2" xfId="12731" xr:uid="{61513BEC-1E9C-4951-86CC-5F08AC339B11}"/>
    <cellStyle name="Normal 2 4 3 29 4" xfId="3898" xr:uid="{32D16482-CFCA-434A-B526-51B62169C2A8}"/>
    <cellStyle name="Normal 2 4 3 29 4 2" xfId="12732" xr:uid="{1CB3BCE0-3677-4635-9129-5BE7C41F8641}"/>
    <cellStyle name="Normal 2 4 3 29 5" xfId="12727" xr:uid="{BB69A9D4-99D5-4A51-A06F-AFFD6E9E86CD}"/>
    <cellStyle name="Normal 2 4 3 3" xfId="3899" xr:uid="{03BEDAF9-8BFB-4458-A8B6-173FCCFDF38A}"/>
    <cellStyle name="Normal 2 4 3 3 2" xfId="3900" xr:uid="{010172C2-D947-436E-BBE9-0F40838B23B3}"/>
    <cellStyle name="Normal 2 4 3 3 2 2" xfId="3901" xr:uid="{70C584E9-1D00-488C-8E84-A8C8B668BBF0}"/>
    <cellStyle name="Normal 2 4 3 3 2 2 2" xfId="12735" xr:uid="{312AFC6F-69EE-4B14-80F8-2693F14D63CD}"/>
    <cellStyle name="Normal 2 4 3 3 2 3" xfId="3902" xr:uid="{08FBE1DD-76D4-44EC-AAAB-B4E03E2B23CE}"/>
    <cellStyle name="Normal 2 4 3 3 2 3 2" xfId="12736" xr:uid="{8B30CB10-B24B-43C2-AFE8-5AF013800FC6}"/>
    <cellStyle name="Normal 2 4 3 3 2 4" xfId="12734" xr:uid="{D5815927-F773-4946-AD2C-24EC3AE8BBB3}"/>
    <cellStyle name="Normal 2 4 3 3 3" xfId="3903" xr:uid="{07CFA022-20D0-4BA2-9E7A-4D3457061B9E}"/>
    <cellStyle name="Normal 2 4 3 3 3 2" xfId="12737" xr:uid="{5DA66A94-978B-451B-ABE1-5489A7C597E0}"/>
    <cellStyle name="Normal 2 4 3 3 4" xfId="3904" xr:uid="{30B222FD-A195-4D7A-B741-539BD5A7B94C}"/>
    <cellStyle name="Normal 2 4 3 3 4 2" xfId="12738" xr:uid="{D11360AD-06E7-47E3-A960-6A69ACDD3D94}"/>
    <cellStyle name="Normal 2 4 3 3 5" xfId="12733" xr:uid="{220C3A07-04FE-4164-8D0B-5B84007EB2F3}"/>
    <cellStyle name="Normal 2 4 3 30" xfId="3905" xr:uid="{C7DECE5E-24C5-4EA9-B5AB-40731B2F53D8}"/>
    <cellStyle name="Normal 2 4 3 30 2" xfId="3906" xr:uid="{4E352FBC-EF73-41BB-B24E-D6F1F5080A45}"/>
    <cellStyle name="Normal 2 4 3 30 2 2" xfId="3907" xr:uid="{7964FAA8-2E8F-4724-8CFF-02FEBD592A49}"/>
    <cellStyle name="Normal 2 4 3 30 2 2 2" xfId="12741" xr:uid="{CBFB42BB-F581-45B9-A801-423023DBE1DF}"/>
    <cellStyle name="Normal 2 4 3 30 2 3" xfId="3908" xr:uid="{9E0151E9-58B6-4835-83B3-8FCC3C3EC2BE}"/>
    <cellStyle name="Normal 2 4 3 30 2 3 2" xfId="12742" xr:uid="{BF79A374-B8B2-4521-BA8B-A9452C0CA720}"/>
    <cellStyle name="Normal 2 4 3 30 2 4" xfId="12740" xr:uid="{F3A4B8AE-8655-4F78-AC7A-E836B008B371}"/>
    <cellStyle name="Normal 2 4 3 30 3" xfId="3909" xr:uid="{8042E365-FEA2-4D0B-A6C0-CC5CACCBEBAB}"/>
    <cellStyle name="Normal 2 4 3 30 3 2" xfId="12743" xr:uid="{B20442CD-BEE2-4898-B958-64E6C56D5DB0}"/>
    <cellStyle name="Normal 2 4 3 30 4" xfId="3910" xr:uid="{C2A7C3CC-3C0A-490B-AB36-ACF1DF3D34BE}"/>
    <cellStyle name="Normal 2 4 3 30 4 2" xfId="12744" xr:uid="{78E3A89D-7864-427B-8EF5-3BD439507207}"/>
    <cellStyle name="Normal 2 4 3 30 5" xfId="12739" xr:uid="{8453A3B1-3641-4FF3-90EB-42F14777E22A}"/>
    <cellStyle name="Normal 2 4 3 31" xfId="3911" xr:uid="{B2E12BC8-3AB4-465F-B122-D8AC5B38FA62}"/>
    <cellStyle name="Normal 2 4 3 31 2" xfId="3912" xr:uid="{59330FFE-5456-4C74-865A-1B69ABF1B6B9}"/>
    <cellStyle name="Normal 2 4 3 31 2 2" xfId="3913" xr:uid="{583ABC42-4128-4F2F-BC06-B26C0C49B718}"/>
    <cellStyle name="Normal 2 4 3 31 2 2 2" xfId="12747" xr:uid="{E2F917E2-6D89-4A57-8798-3BCD7109A7B9}"/>
    <cellStyle name="Normal 2 4 3 31 2 3" xfId="3914" xr:uid="{269CCEC9-B556-41C0-BF35-240711ECC755}"/>
    <cellStyle name="Normal 2 4 3 31 2 3 2" xfId="12748" xr:uid="{90F13A4A-C943-4A20-815D-99961FE1B69C}"/>
    <cellStyle name="Normal 2 4 3 31 2 4" xfId="12746" xr:uid="{2CC68065-2B6B-40F7-BC15-F5A07360E43D}"/>
    <cellStyle name="Normal 2 4 3 31 3" xfId="3915" xr:uid="{7E9EB5B2-E108-4CC3-ACA6-114BCD4EF2B8}"/>
    <cellStyle name="Normal 2 4 3 31 3 2" xfId="12749" xr:uid="{B46ADC50-34DE-4554-BE59-06D4140492D8}"/>
    <cellStyle name="Normal 2 4 3 31 4" xfId="3916" xr:uid="{7A000655-BC9E-4710-91F8-24C1E1A4389E}"/>
    <cellStyle name="Normal 2 4 3 31 4 2" xfId="12750" xr:uid="{387B4C79-5F77-4BD7-9E1D-771453AA3CA3}"/>
    <cellStyle name="Normal 2 4 3 31 5" xfId="12745" xr:uid="{1A525E11-934E-4B8D-BAED-4273B4990B0B}"/>
    <cellStyle name="Normal 2 4 3 32" xfId="3917" xr:uid="{B76DD525-C59C-46E2-8DB1-12D2D5B98397}"/>
    <cellStyle name="Normal 2 4 3 32 2" xfId="3918" xr:uid="{F6AB340E-8DA6-4A71-ABC4-459A5776FFA0}"/>
    <cellStyle name="Normal 2 4 3 32 2 2" xfId="3919" xr:uid="{8A94A8D3-EA52-40ED-85D6-60687A33DA60}"/>
    <cellStyle name="Normal 2 4 3 32 2 2 2" xfId="12753" xr:uid="{0425C9C3-EE96-4996-A2CB-A539A7410A4B}"/>
    <cellStyle name="Normal 2 4 3 32 2 3" xfId="3920" xr:uid="{94C76C88-65A8-48C2-A31D-F37789C24321}"/>
    <cellStyle name="Normal 2 4 3 32 2 3 2" xfId="12754" xr:uid="{5FB1DAD8-D57B-4816-BD90-60787F67386D}"/>
    <cellStyle name="Normal 2 4 3 32 2 4" xfId="12752" xr:uid="{FD61114D-4F48-45A4-A5DB-3FDED160B8EF}"/>
    <cellStyle name="Normal 2 4 3 32 3" xfId="3921" xr:uid="{05ADF2B2-51BE-451D-AAB4-116E5B8D53A8}"/>
    <cellStyle name="Normal 2 4 3 32 3 2" xfId="12755" xr:uid="{02F5A55C-2D64-44D0-A64A-3BEED4885D68}"/>
    <cellStyle name="Normal 2 4 3 32 4" xfId="3922" xr:uid="{61173518-46E0-443A-912B-BDA6D3DA6871}"/>
    <cellStyle name="Normal 2 4 3 32 4 2" xfId="12756" xr:uid="{C2EF35F2-E8BF-4510-99BE-CB50479A47B5}"/>
    <cellStyle name="Normal 2 4 3 32 5" xfId="12751" xr:uid="{28DE49C3-FF0C-43FD-AA1D-CB8A305776B7}"/>
    <cellStyle name="Normal 2 4 3 33" xfId="3923" xr:uid="{7C9BDFA9-0C10-49BE-8F41-6EAAFE1097EA}"/>
    <cellStyle name="Normal 2 4 3 33 2" xfId="3924" xr:uid="{A0ADAFEA-26E7-457F-ADA8-42388C89C83D}"/>
    <cellStyle name="Normal 2 4 3 33 2 2" xfId="3925" xr:uid="{CD7CC36E-7EDD-4983-A556-C39DC1C688E8}"/>
    <cellStyle name="Normal 2 4 3 33 2 2 2" xfId="12759" xr:uid="{C7EF5B05-0377-4E39-BCEB-9D216A65EC3E}"/>
    <cellStyle name="Normal 2 4 3 33 2 3" xfId="3926" xr:uid="{76703512-2776-4446-AAEE-9D7AB705A655}"/>
    <cellStyle name="Normal 2 4 3 33 2 3 2" xfId="12760" xr:uid="{0921DF52-1CE3-40C1-B38E-70E956A368B8}"/>
    <cellStyle name="Normal 2 4 3 33 2 4" xfId="12758" xr:uid="{0A777ABC-F0D7-4A9B-BAA2-84D976FF1DEA}"/>
    <cellStyle name="Normal 2 4 3 33 3" xfId="3927" xr:uid="{44B5F30C-6164-479A-A312-8AF34272D83D}"/>
    <cellStyle name="Normal 2 4 3 33 3 2" xfId="12761" xr:uid="{0066168F-E7E0-4357-8BC2-A76077A1892A}"/>
    <cellStyle name="Normal 2 4 3 33 4" xfId="3928" xr:uid="{0376F393-1311-44D3-8BCE-1C8D7B5AC77E}"/>
    <cellStyle name="Normal 2 4 3 33 4 2" xfId="12762" xr:uid="{8A4F18FC-38C6-47C4-A187-AF1739168348}"/>
    <cellStyle name="Normal 2 4 3 33 5" xfId="12757" xr:uid="{3FF94509-0F6C-4CE9-A7B8-53C52EC45963}"/>
    <cellStyle name="Normal 2 4 3 34" xfId="3929" xr:uid="{5B4314A9-A846-429C-BD2E-724A253019A9}"/>
    <cellStyle name="Normal 2 4 3 34 2" xfId="3930" xr:uid="{A78146CD-A60D-47C6-B5F5-E0C12D2D6E64}"/>
    <cellStyle name="Normal 2 4 3 34 2 2" xfId="3931" xr:uid="{32132C18-5CF7-40AE-B21A-B59F2D3D56A8}"/>
    <cellStyle name="Normal 2 4 3 34 2 2 2" xfId="12765" xr:uid="{B4CB6107-3BAA-44D2-8C30-2B2E9C65B002}"/>
    <cellStyle name="Normal 2 4 3 34 2 3" xfId="3932" xr:uid="{2E81A672-FA5F-4986-8477-FE9073C42586}"/>
    <cellStyle name="Normal 2 4 3 34 2 3 2" xfId="12766" xr:uid="{59436190-88C9-414A-80A0-0E1260F8EB6A}"/>
    <cellStyle name="Normal 2 4 3 34 2 4" xfId="12764" xr:uid="{AE3CA5E9-8962-4F21-B044-F6799FF91B11}"/>
    <cellStyle name="Normal 2 4 3 34 3" xfId="3933" xr:uid="{FDCB4A69-744C-432C-8B3D-078895FD042F}"/>
    <cellStyle name="Normal 2 4 3 34 3 2" xfId="12767" xr:uid="{8307AC48-B0F6-4D33-A27E-C5206DA34195}"/>
    <cellStyle name="Normal 2 4 3 34 4" xfId="3934" xr:uid="{A542EC81-C6CB-4392-9D6D-EFF8EEC611AA}"/>
    <cellStyle name="Normal 2 4 3 34 4 2" xfId="12768" xr:uid="{D81AB205-3C9F-4AD9-8793-DD84A4A35B3A}"/>
    <cellStyle name="Normal 2 4 3 34 5" xfId="12763" xr:uid="{B09B8604-2C65-45B9-8FEE-5C149BA2C47F}"/>
    <cellStyle name="Normal 2 4 3 35" xfId="3935" xr:uid="{189BDEDF-2381-4FB4-802A-B92A2BF5D026}"/>
    <cellStyle name="Normal 2 4 3 35 2" xfId="3936" xr:uid="{B6282C4C-C062-48C7-8B6A-AE4DC56B5FBB}"/>
    <cellStyle name="Normal 2 4 3 35 2 2" xfId="3937" xr:uid="{F178D4C0-C99C-44A2-A565-AFBCFAB3810E}"/>
    <cellStyle name="Normal 2 4 3 35 2 2 2" xfId="12771" xr:uid="{653DFA2E-6B2E-4415-938A-7DBECC7B3B2B}"/>
    <cellStyle name="Normal 2 4 3 35 2 3" xfId="3938" xr:uid="{A2CA8197-0200-47B6-8798-55756A9862FA}"/>
    <cellStyle name="Normal 2 4 3 35 2 3 2" xfId="12772" xr:uid="{F643BCE4-E695-4FB5-892F-E2B19624A87E}"/>
    <cellStyle name="Normal 2 4 3 35 2 4" xfId="12770" xr:uid="{11A45A30-0A85-4360-BC60-9F1B3C36243C}"/>
    <cellStyle name="Normal 2 4 3 35 3" xfId="3939" xr:uid="{77AE6B30-A1FA-4E2A-A7BC-46B81D33F9C5}"/>
    <cellStyle name="Normal 2 4 3 35 3 2" xfId="12773" xr:uid="{DB2CC04A-17BB-444E-9D09-4210F0AE66FE}"/>
    <cellStyle name="Normal 2 4 3 35 4" xfId="3940" xr:uid="{1F4A7F7D-386B-4AA6-AAA8-961E1263EED7}"/>
    <cellStyle name="Normal 2 4 3 35 4 2" xfId="12774" xr:uid="{D8D89AA7-57B8-4F69-9E46-07DEB1FAEC36}"/>
    <cellStyle name="Normal 2 4 3 35 5" xfId="12769" xr:uid="{C45061BB-40AE-4550-A23C-C87FF15E38F4}"/>
    <cellStyle name="Normal 2 4 3 36" xfId="3941" xr:uid="{41AF676B-B779-4891-ACA6-84050EFCFA09}"/>
    <cellStyle name="Normal 2 4 3 36 2" xfId="3942" xr:uid="{94D9138F-6452-4F40-8971-69826E3DBFB0}"/>
    <cellStyle name="Normal 2 4 3 36 2 2" xfId="3943" xr:uid="{A2275B75-79D1-4658-B349-2FEE24FBBC98}"/>
    <cellStyle name="Normal 2 4 3 36 2 2 2" xfId="12777" xr:uid="{1F3FD465-B8F9-4A96-91CB-DF7AFF2D9EB0}"/>
    <cellStyle name="Normal 2 4 3 36 2 3" xfId="3944" xr:uid="{6A4DCF71-A9FC-410D-9A54-A7C132641D33}"/>
    <cellStyle name="Normal 2 4 3 36 2 3 2" xfId="12778" xr:uid="{256967BF-486A-4EF0-A2B5-1419B52D9D83}"/>
    <cellStyle name="Normal 2 4 3 36 2 4" xfId="12776" xr:uid="{9F8341F8-E1E1-47CC-A87A-749019EE2875}"/>
    <cellStyle name="Normal 2 4 3 36 3" xfId="3945" xr:uid="{42EFB02B-0BCA-49D6-B08A-431EB4031832}"/>
    <cellStyle name="Normal 2 4 3 36 3 2" xfId="12779" xr:uid="{ABDB6446-F7FE-4A71-89EA-B31CA1169C40}"/>
    <cellStyle name="Normal 2 4 3 36 4" xfId="3946" xr:uid="{EBF49E18-670B-4350-9923-6AC895F498DA}"/>
    <cellStyle name="Normal 2 4 3 36 4 2" xfId="12780" xr:uid="{8722CC99-E1F8-4981-A12F-4C41CD7ECEDB}"/>
    <cellStyle name="Normal 2 4 3 36 5" xfId="12775" xr:uid="{D3FEFDDE-2CBE-4C55-80AA-A6DF7EE763CE}"/>
    <cellStyle name="Normal 2 4 3 37" xfId="3947" xr:uid="{100CA398-4F2B-477D-B0A4-055AE08B6CC1}"/>
    <cellStyle name="Normal 2 4 3 37 2" xfId="3948" xr:uid="{3DCF575D-0D05-4B0D-8173-FD20C2ADC4B3}"/>
    <cellStyle name="Normal 2 4 3 37 2 2" xfId="3949" xr:uid="{642D86AB-99A4-496B-97D6-9E982FC51471}"/>
    <cellStyle name="Normal 2 4 3 37 2 2 2" xfId="12783" xr:uid="{3A661D05-AE30-4B08-8F29-F86A79DBFA3E}"/>
    <cellStyle name="Normal 2 4 3 37 2 3" xfId="3950" xr:uid="{37B8A024-7C93-499B-B32E-1CC8123B8299}"/>
    <cellStyle name="Normal 2 4 3 37 2 3 2" xfId="12784" xr:uid="{03743847-5750-41F0-B487-44F83E27DFE0}"/>
    <cellStyle name="Normal 2 4 3 37 2 4" xfId="12782" xr:uid="{6781ECDE-7F5C-4D66-BB64-A06EF128BC2F}"/>
    <cellStyle name="Normal 2 4 3 37 3" xfId="3951" xr:uid="{D74C3681-F3E5-4DAB-97BE-49DD8E65DEBA}"/>
    <cellStyle name="Normal 2 4 3 37 3 2" xfId="12785" xr:uid="{E156C306-9D2E-477E-A858-6E4CDBD8FAFB}"/>
    <cellStyle name="Normal 2 4 3 37 4" xfId="3952" xr:uid="{0C05E4E3-B6FA-4413-AEC9-A4304C2E4968}"/>
    <cellStyle name="Normal 2 4 3 37 4 2" xfId="12786" xr:uid="{B529EC81-DD61-4240-ADB8-0F588D4FE398}"/>
    <cellStyle name="Normal 2 4 3 37 5" xfId="12781" xr:uid="{42F1A8E8-F0D1-4D0C-BBF6-1A6711B9861E}"/>
    <cellStyle name="Normal 2 4 3 38" xfId="3953" xr:uid="{94A8A952-4960-4418-BF05-8B5F4D67766D}"/>
    <cellStyle name="Normal 2 4 3 38 2" xfId="3954" xr:uid="{14D4A050-FEC5-4088-8174-9F4A78C9AEC8}"/>
    <cellStyle name="Normal 2 4 3 38 2 2" xfId="3955" xr:uid="{F7A0960B-3060-48E7-A5E4-D43DC8BBC86D}"/>
    <cellStyle name="Normal 2 4 3 38 2 2 2" xfId="12789" xr:uid="{16A906AD-B5CE-4867-B323-1E9C4F9CDC86}"/>
    <cellStyle name="Normal 2 4 3 38 2 3" xfId="3956" xr:uid="{45DDF9B1-0EA8-465E-B1B0-88D429A7C4AD}"/>
    <cellStyle name="Normal 2 4 3 38 2 3 2" xfId="12790" xr:uid="{AC0FBE8E-2048-43A1-9D43-C19ECBE1F448}"/>
    <cellStyle name="Normal 2 4 3 38 2 4" xfId="12788" xr:uid="{23646239-10A2-43A5-8903-8F75947FF88D}"/>
    <cellStyle name="Normal 2 4 3 38 3" xfId="3957" xr:uid="{B0A4871B-492B-4A30-9BE3-3977DCA707C4}"/>
    <cellStyle name="Normal 2 4 3 38 3 2" xfId="12791" xr:uid="{7EEE0A39-E2BC-40CF-B076-BF9CBC41C506}"/>
    <cellStyle name="Normal 2 4 3 38 4" xfId="3958" xr:uid="{0C9FE287-D19A-420F-BB7B-39F77AD2166B}"/>
    <cellStyle name="Normal 2 4 3 38 4 2" xfId="12792" xr:uid="{E5E4CC91-4ADA-4EA6-9D31-42A6067BD52F}"/>
    <cellStyle name="Normal 2 4 3 38 5" xfId="12787" xr:uid="{FC7CE000-CF34-42FF-A3A3-04DFFB6C5D02}"/>
    <cellStyle name="Normal 2 4 3 39" xfId="3959" xr:uid="{11F4B298-E2DE-419B-BFA2-819F68B396B5}"/>
    <cellStyle name="Normal 2 4 3 39 2" xfId="3960" xr:uid="{BEB169C6-F8AB-4067-AE9B-849CD4DC6E46}"/>
    <cellStyle name="Normal 2 4 3 39 2 2" xfId="3961" xr:uid="{EB0C2BF7-0E0C-4F91-A03A-97A7D16E244E}"/>
    <cellStyle name="Normal 2 4 3 39 2 2 2" xfId="12795" xr:uid="{0DB647EB-1B5E-4A4C-BFB0-1EDC5FAE0CA8}"/>
    <cellStyle name="Normal 2 4 3 39 2 3" xfId="3962" xr:uid="{72EBC9D5-6DF5-46D7-AEA9-85B73A78C1AF}"/>
    <cellStyle name="Normal 2 4 3 39 2 3 2" xfId="12796" xr:uid="{59FC946B-34F5-44AC-AD3E-6C60685FB1A9}"/>
    <cellStyle name="Normal 2 4 3 39 2 4" xfId="12794" xr:uid="{E06002C5-9571-47D9-8F4D-728265DDF5C6}"/>
    <cellStyle name="Normal 2 4 3 39 3" xfId="3963" xr:uid="{5DBA52B3-CD0D-486B-83F1-6B0471EBC721}"/>
    <cellStyle name="Normal 2 4 3 39 3 2" xfId="12797" xr:uid="{4E81F34F-151F-4FB7-A966-5BE36575F5DF}"/>
    <cellStyle name="Normal 2 4 3 39 4" xfId="3964" xr:uid="{3AFD2154-80AD-46D2-A8A3-87DA6759EA72}"/>
    <cellStyle name="Normal 2 4 3 39 4 2" xfId="12798" xr:uid="{CD64A899-0C0C-46BC-9D71-34112A57134F}"/>
    <cellStyle name="Normal 2 4 3 39 5" xfId="12793" xr:uid="{F62F98AA-395A-4750-B879-235A7C6922F9}"/>
    <cellStyle name="Normal 2 4 3 4" xfId="3965" xr:uid="{5124D21C-0583-4B19-A717-0D4D1AB50C85}"/>
    <cellStyle name="Normal 2 4 3 4 2" xfId="3966" xr:uid="{25417B9B-DAB6-44F4-A1F0-A24FF47B1486}"/>
    <cellStyle name="Normal 2 4 3 4 2 2" xfId="3967" xr:uid="{200D8880-FB2F-4C83-BBBD-4A4041BC0BE2}"/>
    <cellStyle name="Normal 2 4 3 4 2 2 2" xfId="12801" xr:uid="{FC09869E-3478-4B67-84B2-452D02CB9319}"/>
    <cellStyle name="Normal 2 4 3 4 2 3" xfId="3968" xr:uid="{280840CC-D3B3-4657-882D-65FD93D94F17}"/>
    <cellStyle name="Normal 2 4 3 4 2 3 2" xfId="12802" xr:uid="{885006E4-2B80-4B4D-A06F-4A6E0B3A828E}"/>
    <cellStyle name="Normal 2 4 3 4 2 4" xfId="12800" xr:uid="{674351EF-203D-4A1F-8800-44B25198DF75}"/>
    <cellStyle name="Normal 2 4 3 4 3" xfId="3969" xr:uid="{4D97F858-9305-42A2-902A-CBAAB5D7EC48}"/>
    <cellStyle name="Normal 2 4 3 4 3 2" xfId="12803" xr:uid="{0CEA371F-A226-446C-B0F4-F303DA8B1B10}"/>
    <cellStyle name="Normal 2 4 3 4 4" xfId="3970" xr:uid="{873ACF79-BA63-48DB-9B08-B43F8A0F608D}"/>
    <cellStyle name="Normal 2 4 3 4 4 2" xfId="12804" xr:uid="{6A14BE7B-E3C2-4F45-987F-68F8E3117D82}"/>
    <cellStyle name="Normal 2 4 3 4 5" xfId="12799" xr:uid="{D21AD8D0-A642-40A7-A3AD-15180BB74520}"/>
    <cellStyle name="Normal 2 4 3 40" xfId="3971" xr:uid="{39BDDEBC-05A8-4A98-A549-79C270656F91}"/>
    <cellStyle name="Normal 2 4 3 40 2" xfId="3972" xr:uid="{2F86B988-039E-41E6-8C06-1A920028F682}"/>
    <cellStyle name="Normal 2 4 3 40 2 2" xfId="3973" xr:uid="{190E7CA7-27EC-48AC-8E99-94EF760D1BA5}"/>
    <cellStyle name="Normal 2 4 3 40 2 2 2" xfId="12807" xr:uid="{F77036FA-0061-41AB-98DC-A3C0E21C92F0}"/>
    <cellStyle name="Normal 2 4 3 40 2 3" xfId="3974" xr:uid="{F4D31E2A-6FAA-4BB2-8469-640320281159}"/>
    <cellStyle name="Normal 2 4 3 40 2 3 2" xfId="12808" xr:uid="{8725B6EA-AD17-4F82-9935-7D68CCD30A71}"/>
    <cellStyle name="Normal 2 4 3 40 2 4" xfId="12806" xr:uid="{B361A8D3-C9ED-4AFB-B6AA-548C7F68EC6B}"/>
    <cellStyle name="Normal 2 4 3 40 3" xfId="3975" xr:uid="{1FAA7351-09B0-4075-8242-D4D06ADC93FE}"/>
    <cellStyle name="Normal 2 4 3 40 3 2" xfId="12809" xr:uid="{CAF4AE91-8652-4478-B080-B8D2FFF32388}"/>
    <cellStyle name="Normal 2 4 3 40 4" xfId="3976" xr:uid="{DB911311-4FF5-4822-BCCA-C54294BF9287}"/>
    <cellStyle name="Normal 2 4 3 40 4 2" xfId="12810" xr:uid="{8DC5FF36-B73F-4F53-8BC8-AE57EE838FD1}"/>
    <cellStyle name="Normal 2 4 3 40 5" xfId="12805" xr:uid="{1DE472CB-B93E-4661-88A1-069FA0014B3F}"/>
    <cellStyle name="Normal 2 4 3 41" xfId="3977" xr:uid="{ACF23CA2-0DE3-4A97-B521-39E38AA071F2}"/>
    <cellStyle name="Normal 2 4 3 41 2" xfId="3978" xr:uid="{AD0AC7C0-F924-4544-ABFD-DB97B1A390E6}"/>
    <cellStyle name="Normal 2 4 3 41 2 2" xfId="3979" xr:uid="{DDB91401-68B0-49D3-9F0D-C84E16C95E52}"/>
    <cellStyle name="Normal 2 4 3 41 2 2 2" xfId="12813" xr:uid="{198D2793-4E7A-470F-A395-CCCAED6DED26}"/>
    <cellStyle name="Normal 2 4 3 41 2 3" xfId="3980" xr:uid="{41C49D83-EBA0-4714-9852-989F34CB1C61}"/>
    <cellStyle name="Normal 2 4 3 41 2 3 2" xfId="12814" xr:uid="{1AA2B238-F8AA-410B-894F-F7280FA4C102}"/>
    <cellStyle name="Normal 2 4 3 41 2 4" xfId="12812" xr:uid="{8DD1E1EF-5DAD-4CDA-9338-94A5EB057FD1}"/>
    <cellStyle name="Normal 2 4 3 41 3" xfId="3981" xr:uid="{3488CE9E-4D8C-4CDE-A886-B8008EA4CF10}"/>
    <cellStyle name="Normal 2 4 3 41 3 2" xfId="12815" xr:uid="{B4CFF69E-022E-49B9-A0CC-049D9BB413C9}"/>
    <cellStyle name="Normal 2 4 3 41 4" xfId="3982" xr:uid="{5454ED4B-0A0F-4660-8C5C-639D8047AAA7}"/>
    <cellStyle name="Normal 2 4 3 41 4 2" xfId="12816" xr:uid="{0DEF2A1B-7A7A-4D79-BB72-FE89CAF71D60}"/>
    <cellStyle name="Normal 2 4 3 41 5" xfId="12811" xr:uid="{2912FE3F-86F8-4DAB-B297-B70C82B6936A}"/>
    <cellStyle name="Normal 2 4 3 42" xfId="3983" xr:uid="{4E47AAF1-3686-4C96-9F90-9C5F65BFAB6B}"/>
    <cellStyle name="Normal 2 4 3 42 2" xfId="3984" xr:uid="{77C3CD44-81D7-4295-9A31-6C9BE4D492D7}"/>
    <cellStyle name="Normal 2 4 3 42 2 2" xfId="3985" xr:uid="{DEB485B0-E2E1-46A0-A3F7-F8FC95CD01A2}"/>
    <cellStyle name="Normal 2 4 3 42 2 2 2" xfId="12819" xr:uid="{A33CAD02-3844-4724-9161-35FD7F45F8E7}"/>
    <cellStyle name="Normal 2 4 3 42 2 3" xfId="3986" xr:uid="{808E9B16-6B49-41DA-941E-D8CBD4B54FE4}"/>
    <cellStyle name="Normal 2 4 3 42 2 3 2" xfId="12820" xr:uid="{4AD5E8BC-AB2E-43C1-9E1A-D5DB62CCF7A2}"/>
    <cellStyle name="Normal 2 4 3 42 2 4" xfId="12818" xr:uid="{B3601513-DB6B-4977-B6D7-7D5FD85FF5FC}"/>
    <cellStyle name="Normal 2 4 3 42 3" xfId="3987" xr:uid="{F72E312A-6F56-404A-8FE6-7F5915E94592}"/>
    <cellStyle name="Normal 2 4 3 42 3 2" xfId="12821" xr:uid="{16A80589-3600-4CD6-AFEC-F620D15434B6}"/>
    <cellStyle name="Normal 2 4 3 42 4" xfId="3988" xr:uid="{3409791F-21EA-446E-A648-41BBDA623F68}"/>
    <cellStyle name="Normal 2 4 3 42 4 2" xfId="12822" xr:uid="{336C8D1A-6317-4690-A07E-D5DD07293699}"/>
    <cellStyle name="Normal 2 4 3 42 5" xfId="12817" xr:uid="{068B1D26-C938-48C5-A5A2-799EC2DE04D4}"/>
    <cellStyle name="Normal 2 4 3 43" xfId="3989" xr:uid="{335C634B-CEB8-42EE-B5BA-8F7916D39C3D}"/>
    <cellStyle name="Normal 2 4 3 43 2" xfId="3990" xr:uid="{387B9397-5224-4C56-9E6B-E8A056C8E822}"/>
    <cellStyle name="Normal 2 4 3 43 2 2" xfId="3991" xr:uid="{0665D52B-B866-4391-B45D-324E02D8932D}"/>
    <cellStyle name="Normal 2 4 3 43 2 2 2" xfId="12825" xr:uid="{488659A5-2266-4A18-AC91-B57EA9762646}"/>
    <cellStyle name="Normal 2 4 3 43 2 3" xfId="3992" xr:uid="{5333AA04-CCF3-4148-BDFD-10EA90FC205A}"/>
    <cellStyle name="Normal 2 4 3 43 2 3 2" xfId="12826" xr:uid="{4457A130-A2A4-46EF-B289-E4D37408578A}"/>
    <cellStyle name="Normal 2 4 3 43 2 4" xfId="12824" xr:uid="{7B1E1150-797B-4C15-9D9C-02E3D99B81CB}"/>
    <cellStyle name="Normal 2 4 3 43 3" xfId="3993" xr:uid="{416FC034-D9C8-40F2-95A6-2BED957D0B93}"/>
    <cellStyle name="Normal 2 4 3 43 3 2" xfId="12827" xr:uid="{0D8C2FEF-8E8F-403E-8AA0-5B09D54EB053}"/>
    <cellStyle name="Normal 2 4 3 43 4" xfId="3994" xr:uid="{76F6ED1B-15AA-4CE3-9A2C-AB351654012A}"/>
    <cellStyle name="Normal 2 4 3 43 4 2" xfId="12828" xr:uid="{059D5706-26A2-4BFD-94E8-EA8C4A620207}"/>
    <cellStyle name="Normal 2 4 3 43 5" xfId="12823" xr:uid="{602C66CC-5673-4803-A9D8-7CD0FC82A3BF}"/>
    <cellStyle name="Normal 2 4 3 44" xfId="3995" xr:uid="{3BF54560-9E8A-4E4D-9C64-3870FCEF4FBE}"/>
    <cellStyle name="Normal 2 4 3 44 2" xfId="3996" xr:uid="{D2EFD823-B09B-4219-AA27-F9A653307660}"/>
    <cellStyle name="Normal 2 4 3 44 2 2" xfId="12830" xr:uid="{B88D8049-B490-4BFA-AF89-93260DC0C037}"/>
    <cellStyle name="Normal 2 4 3 44 3" xfId="3997" xr:uid="{6AD2C9DB-B5B8-4734-BE3D-187D32F375C1}"/>
    <cellStyle name="Normal 2 4 3 44 3 2" xfId="12831" xr:uid="{3935AE38-250B-4F08-9B53-6EE97C5B54AF}"/>
    <cellStyle name="Normal 2 4 3 44 4" xfId="12829" xr:uid="{CDB5510E-7EEF-4DDE-8202-91DE77171599}"/>
    <cellStyle name="Normal 2 4 3 45" xfId="3998" xr:uid="{EBDA343B-713B-45AA-B815-E2B3A62AFDB4}"/>
    <cellStyle name="Normal 2 4 3 45 2" xfId="12832" xr:uid="{1E377AEC-E354-438B-AC20-EF62E958B061}"/>
    <cellStyle name="Normal 2 4 3 46" xfId="3999" xr:uid="{D14EFA3F-3BA3-4252-B5AA-F11F5B53AB3D}"/>
    <cellStyle name="Normal 2 4 3 46 2" xfId="12833" xr:uid="{7EC7965A-7BCC-48F2-A3CF-7C23F89CD970}"/>
    <cellStyle name="Normal 2 4 3 47" xfId="4000" xr:uid="{D7B88571-23F1-48B2-8B83-24B50042BD42}"/>
    <cellStyle name="Normal 2 4 3 48" xfId="4001" xr:uid="{14F36B97-43BC-41C0-98A4-BC613395F72D}"/>
    <cellStyle name="Normal 2 4 3 48 2" xfId="12834" xr:uid="{66047D49-2A12-48EC-B2D0-B6ED0B30D313}"/>
    <cellStyle name="Normal 2 4 3 49" xfId="4002" xr:uid="{444B8509-92CF-410F-8DDD-F6D53E4D9730}"/>
    <cellStyle name="Normal 2 4 3 5" xfId="4003" xr:uid="{9CCB61E5-68C4-4806-B220-41FA57AECD0C}"/>
    <cellStyle name="Normal 2 4 3 5 2" xfId="4004" xr:uid="{B0A39BE3-203D-4AFC-A626-59036CF32EC9}"/>
    <cellStyle name="Normal 2 4 3 5 2 2" xfId="4005" xr:uid="{D55D6BF6-CE0B-4C7D-8332-02D23EC34999}"/>
    <cellStyle name="Normal 2 4 3 5 2 2 2" xfId="12837" xr:uid="{B0B788FF-C319-4A13-8EB4-C52538A018E7}"/>
    <cellStyle name="Normal 2 4 3 5 2 3" xfId="4006" xr:uid="{44D50969-DF7C-4594-BFA5-025E5D5B24D2}"/>
    <cellStyle name="Normal 2 4 3 5 2 3 2" xfId="12838" xr:uid="{9E2F914C-71D7-4CFE-B121-FC28113DDB17}"/>
    <cellStyle name="Normal 2 4 3 5 2 4" xfId="12836" xr:uid="{BE15A9F8-E74F-4428-B3F4-FE0926EDE839}"/>
    <cellStyle name="Normal 2 4 3 5 3" xfId="4007" xr:uid="{BCB05A2D-C0DE-4B5C-9E20-D2E46B7A7925}"/>
    <cellStyle name="Normal 2 4 3 5 3 2" xfId="12839" xr:uid="{404BAB7A-7BED-4C3D-A5F1-AFBA07E91253}"/>
    <cellStyle name="Normal 2 4 3 5 4" xfId="4008" xr:uid="{EEBE126E-7559-4C89-8CC2-2E3085264F0A}"/>
    <cellStyle name="Normal 2 4 3 5 4 2" xfId="12840" xr:uid="{C57955D0-BBDD-45BF-B778-F7D47AC3DEB3}"/>
    <cellStyle name="Normal 2 4 3 5 5" xfId="12835" xr:uid="{95655B21-B802-4B80-9F2D-052BA23065B7}"/>
    <cellStyle name="Normal 2 4 3 50" xfId="12606" xr:uid="{267CAD32-B18C-4B54-AB16-67837B72BC09}"/>
    <cellStyle name="Normal 2 4 3 6" xfId="4009" xr:uid="{D2FAE7CE-D397-442D-A755-8E5CC04B798C}"/>
    <cellStyle name="Normal 2 4 3 6 2" xfId="4010" xr:uid="{FFB14393-8ACD-4309-9F42-CDD90764EE9E}"/>
    <cellStyle name="Normal 2 4 3 6 2 2" xfId="4011" xr:uid="{644C597E-5E34-40BB-AC28-D9BA19E37CED}"/>
    <cellStyle name="Normal 2 4 3 6 2 2 2" xfId="12843" xr:uid="{FB2E0F72-FF20-41C4-AD50-645FABD329C4}"/>
    <cellStyle name="Normal 2 4 3 6 2 3" xfId="4012" xr:uid="{D4E55705-AA3F-40CE-B613-477F6628E811}"/>
    <cellStyle name="Normal 2 4 3 6 2 3 2" xfId="12844" xr:uid="{7A03EE68-7AB2-4D21-A532-B77CE7BC03A2}"/>
    <cellStyle name="Normal 2 4 3 6 2 4" xfId="12842" xr:uid="{C6F2EE11-6BA3-4826-8CF5-F8C68680704F}"/>
    <cellStyle name="Normal 2 4 3 6 3" xfId="4013" xr:uid="{392C1DD2-C67D-4099-9972-FB8C286678EC}"/>
    <cellStyle name="Normal 2 4 3 6 3 2" xfId="12845" xr:uid="{E46519DF-45BF-4DBB-A2CA-A6588E7F8656}"/>
    <cellStyle name="Normal 2 4 3 6 4" xfId="4014" xr:uid="{C78FD14C-F9B5-4C76-B4E8-467D0AB323E5}"/>
    <cellStyle name="Normal 2 4 3 6 4 2" xfId="12846" xr:uid="{2D97AB45-1913-44A7-B827-2F8ABF56924E}"/>
    <cellStyle name="Normal 2 4 3 6 5" xfId="12841" xr:uid="{FD601C19-17C4-4B0A-8C97-B71F6239EC33}"/>
    <cellStyle name="Normal 2 4 3 7" xfId="4015" xr:uid="{87F9BBF8-1F3D-47D8-9C26-BB493889978F}"/>
    <cellStyle name="Normal 2 4 3 7 2" xfId="4016" xr:uid="{3996C822-9E83-49B3-9582-72C47431FAE9}"/>
    <cellStyle name="Normal 2 4 3 7 2 2" xfId="4017" xr:uid="{21A30BAA-8C55-4CC0-8121-063A835579A3}"/>
    <cellStyle name="Normal 2 4 3 7 2 2 2" xfId="12849" xr:uid="{4DB04C64-163C-47C1-8584-06673438029A}"/>
    <cellStyle name="Normal 2 4 3 7 2 3" xfId="4018" xr:uid="{2FD95CDA-54F1-431A-B625-9CA814F61149}"/>
    <cellStyle name="Normal 2 4 3 7 2 3 2" xfId="12850" xr:uid="{6B44CE53-7726-4E00-B60C-296460172A34}"/>
    <cellStyle name="Normal 2 4 3 7 2 4" xfId="12848" xr:uid="{71FF0767-AC73-45A9-AE89-49196C88EF34}"/>
    <cellStyle name="Normal 2 4 3 7 3" xfId="4019" xr:uid="{9CC0109D-28EE-4D09-924C-24842968D7A7}"/>
    <cellStyle name="Normal 2 4 3 7 3 2" xfId="12851" xr:uid="{EFC112E7-2137-4B70-92D6-884B8A5230FE}"/>
    <cellStyle name="Normal 2 4 3 7 4" xfId="4020" xr:uid="{D64B6B7C-105B-451C-BA76-7DFD8A1CEEAB}"/>
    <cellStyle name="Normal 2 4 3 7 4 2" xfId="12852" xr:uid="{E83964BF-53C1-41DC-885B-1B8D09A8AEBE}"/>
    <cellStyle name="Normal 2 4 3 7 5" xfId="12847" xr:uid="{9C37AFCF-2F5B-4B21-87D5-6403A603E15F}"/>
    <cellStyle name="Normal 2 4 3 8" xfId="4021" xr:uid="{25378E8A-E14B-48C8-9B93-CD543830565F}"/>
    <cellStyle name="Normal 2 4 3 8 2" xfId="4022" xr:uid="{4413880D-E3D7-4F59-9870-AF49E19D6CDE}"/>
    <cellStyle name="Normal 2 4 3 8 2 2" xfId="4023" xr:uid="{710AD14B-AD95-428D-AC17-42A670B175CB}"/>
    <cellStyle name="Normal 2 4 3 8 2 2 2" xfId="12855" xr:uid="{E76034E8-44E4-4AA5-809C-26DA45EE66A9}"/>
    <cellStyle name="Normal 2 4 3 8 2 3" xfId="4024" xr:uid="{7CCBED9A-F6B0-4674-9004-3D410CF6450E}"/>
    <cellStyle name="Normal 2 4 3 8 2 3 2" xfId="12856" xr:uid="{6BE6C3CA-CF59-42F1-919E-3D82FE7368C9}"/>
    <cellStyle name="Normal 2 4 3 8 2 4" xfId="12854" xr:uid="{4226067C-79DB-4382-AC2E-F65F10621C67}"/>
    <cellStyle name="Normal 2 4 3 8 3" xfId="4025" xr:uid="{BECC3D2B-0982-436A-B264-D02BFB0B8DBB}"/>
    <cellStyle name="Normal 2 4 3 8 3 2" xfId="12857" xr:uid="{960765A7-C4BB-40A4-897A-191126BCC248}"/>
    <cellStyle name="Normal 2 4 3 8 4" xfId="4026" xr:uid="{22CA8BE5-7DC4-4115-8CAF-53FCB99DF91C}"/>
    <cellStyle name="Normal 2 4 3 8 4 2" xfId="12858" xr:uid="{4385F9C4-1ACA-4862-89A6-64A2B9A56E0D}"/>
    <cellStyle name="Normal 2 4 3 8 5" xfId="12853" xr:uid="{44AB77BD-319B-41F0-8904-9CF577E2FD33}"/>
    <cellStyle name="Normal 2 4 3 9" xfId="4027" xr:uid="{59C706CF-A1D2-4D48-8932-8C8FE7E51129}"/>
    <cellStyle name="Normal 2 4 3 9 2" xfId="4028" xr:uid="{03723A7E-8E70-4C37-AC08-055E3849F3FD}"/>
    <cellStyle name="Normal 2 4 3 9 2 2" xfId="4029" xr:uid="{51BB69FC-FE1F-410C-BA70-EF6B1AA6DB9B}"/>
    <cellStyle name="Normal 2 4 3 9 2 2 2" xfId="12861" xr:uid="{42F32E87-568E-4AB1-B9DD-0791C918712D}"/>
    <cellStyle name="Normal 2 4 3 9 2 3" xfId="4030" xr:uid="{16E5D08E-58D1-433C-A5FF-62CA197BB3AD}"/>
    <cellStyle name="Normal 2 4 3 9 2 3 2" xfId="12862" xr:uid="{BCCF2AAA-EF4E-47C1-8B1A-FC4C98F9F48A}"/>
    <cellStyle name="Normal 2 4 3 9 2 4" xfId="12860" xr:uid="{CAA0A1A8-38A3-4B2A-A1BB-4F8FA2217421}"/>
    <cellStyle name="Normal 2 4 3 9 3" xfId="4031" xr:uid="{502A412F-2A2D-4CC9-A8BF-4F9ABEE645E7}"/>
    <cellStyle name="Normal 2 4 3 9 3 2" xfId="12863" xr:uid="{472BE974-2D19-440D-A062-0E1EB0FFEEF7}"/>
    <cellStyle name="Normal 2 4 3 9 4" xfId="4032" xr:uid="{9E232A7B-C632-4504-8DD2-F207BC04F40D}"/>
    <cellStyle name="Normal 2 4 3 9 4 2" xfId="12864" xr:uid="{1FBB4A79-4B68-481A-9702-36D3148131BF}"/>
    <cellStyle name="Normal 2 4 3 9 5" xfId="12859" xr:uid="{9BF87D09-60D5-453E-BE91-8DD6A1132B49}"/>
    <cellStyle name="Normal 2 4 30" xfId="4033" xr:uid="{9DC68080-C980-4FFF-A598-707107B00247}"/>
    <cellStyle name="Normal 2 4 30 2" xfId="4034" xr:uid="{03E2BB4E-4C5F-4271-84BA-FE4C672BE1BA}"/>
    <cellStyle name="Normal 2 4 30 2 2" xfId="4035" xr:uid="{7DB4C311-362E-4441-8610-5A49CDA0CC9C}"/>
    <cellStyle name="Normal 2 4 30 2 2 2" xfId="12867" xr:uid="{2CFF3BA8-66F7-470D-8082-D789EBDE3C42}"/>
    <cellStyle name="Normal 2 4 30 2 3" xfId="4036" xr:uid="{30146FBB-B463-4AF2-BAB5-31F563C16F91}"/>
    <cellStyle name="Normal 2 4 30 2 3 2" xfId="12868" xr:uid="{FFEB9BDB-90A8-4EC4-8BF1-EDC100A0F32D}"/>
    <cellStyle name="Normal 2 4 30 2 4" xfId="12866" xr:uid="{D76874CE-48A6-43FF-A6F3-CB93C65D9CE0}"/>
    <cellStyle name="Normal 2 4 30 3" xfId="4037" xr:uid="{035FE74C-6522-4EA2-A7C0-CBD9318F525B}"/>
    <cellStyle name="Normal 2 4 30 3 2" xfId="12869" xr:uid="{DA1B95D1-DF5A-42F6-8A1A-2DAB6265B63A}"/>
    <cellStyle name="Normal 2 4 30 4" xfId="4038" xr:uid="{BF0ADA17-24DB-4051-93C1-9E33EB364EC6}"/>
    <cellStyle name="Normal 2 4 30 4 2" xfId="12870" xr:uid="{F34E0BA7-D827-40AF-ADBF-64F3470F5F86}"/>
    <cellStyle name="Normal 2 4 30 5" xfId="12865" xr:uid="{C0B9DA84-C5F3-47B7-8317-1560EB4900F2}"/>
    <cellStyle name="Normal 2 4 31" xfId="4039" xr:uid="{B124B8D2-BBEE-4A47-A3A1-CC78515EA276}"/>
    <cellStyle name="Normal 2 4 31 2" xfId="4040" xr:uid="{A1D0BD53-8CE3-4568-862E-F3428677BFD3}"/>
    <cellStyle name="Normal 2 4 31 2 2" xfId="4041" xr:uid="{2C26F039-7237-4BD4-AB29-F10BD99192FE}"/>
    <cellStyle name="Normal 2 4 31 2 2 2" xfId="12873" xr:uid="{CE01A0E6-2863-4591-AEE9-E77B7AA4E445}"/>
    <cellStyle name="Normal 2 4 31 2 3" xfId="4042" xr:uid="{FFB79C71-5AB9-4184-9A05-C7166307584F}"/>
    <cellStyle name="Normal 2 4 31 2 3 2" xfId="12874" xr:uid="{31BD95C0-5445-4BEA-ACBC-C8D659DA07A0}"/>
    <cellStyle name="Normal 2 4 31 2 4" xfId="12872" xr:uid="{3140B049-78E7-498E-8BFD-BEB216B29C2D}"/>
    <cellStyle name="Normal 2 4 31 3" xfId="4043" xr:uid="{F75CE63A-59BB-4DFA-9E56-A0CDA8E99D4E}"/>
    <cellStyle name="Normal 2 4 31 3 2" xfId="12875" xr:uid="{0079A246-7C7E-4B53-B843-3C832016AF15}"/>
    <cellStyle name="Normal 2 4 31 4" xfId="4044" xr:uid="{7198472B-1F23-423F-86E7-AE44E6367F18}"/>
    <cellStyle name="Normal 2 4 31 4 2" xfId="12876" xr:uid="{225EF706-F52B-4285-973F-D18205799CCF}"/>
    <cellStyle name="Normal 2 4 31 5" xfId="12871" xr:uid="{17BD3D4E-C1F6-4729-A337-80AF9C4B577D}"/>
    <cellStyle name="Normal 2 4 32" xfId="4045" xr:uid="{1655885D-6575-4A02-A19E-36D52A5ADE7D}"/>
    <cellStyle name="Normal 2 4 32 2" xfId="4046" xr:uid="{E6495613-20B6-4FED-AF8D-4BAC9F8843E4}"/>
    <cellStyle name="Normal 2 4 32 2 2" xfId="4047" xr:uid="{CB8F7505-CDF1-4383-AB4A-625C00A9D895}"/>
    <cellStyle name="Normal 2 4 32 2 2 2" xfId="12879" xr:uid="{D6F0868B-5FA9-46A6-A5F6-60582484EBDC}"/>
    <cellStyle name="Normal 2 4 32 2 3" xfId="4048" xr:uid="{B801E315-6019-4583-85D2-30851E626200}"/>
    <cellStyle name="Normal 2 4 32 2 3 2" xfId="12880" xr:uid="{5A635DD3-7A97-47A6-BD97-C299DC7BD8B6}"/>
    <cellStyle name="Normal 2 4 32 2 4" xfId="12878" xr:uid="{F54F3109-83BA-4A45-9858-5449949A8C8E}"/>
    <cellStyle name="Normal 2 4 32 3" xfId="4049" xr:uid="{B30D9573-BB10-4563-B2FD-E60BE37EB3B9}"/>
    <cellStyle name="Normal 2 4 32 3 2" xfId="12881" xr:uid="{8BE47A23-26BE-40D1-AFB9-E110423576CE}"/>
    <cellStyle name="Normal 2 4 32 4" xfId="4050" xr:uid="{2AA369B6-E9FE-45F4-9322-7E7D074F07D7}"/>
    <cellStyle name="Normal 2 4 32 4 2" xfId="12882" xr:uid="{03863E52-005B-4794-918D-573212D64E07}"/>
    <cellStyle name="Normal 2 4 32 5" xfId="12877" xr:uid="{C3CD5D3C-A065-4EC0-8219-0A4DE414FEEF}"/>
    <cellStyle name="Normal 2 4 33" xfId="4051" xr:uid="{3250B9F7-A05E-4873-BE83-4234E6092763}"/>
    <cellStyle name="Normal 2 4 33 2" xfId="4052" xr:uid="{5E353F01-F1E4-4050-9FD2-BD83E82C6163}"/>
    <cellStyle name="Normal 2 4 33 2 2" xfId="4053" xr:uid="{E39090FF-8C35-4087-931C-CF22627D742C}"/>
    <cellStyle name="Normal 2 4 33 2 2 2" xfId="12885" xr:uid="{4B885A06-FB1A-4DD6-8D31-7AC6D8900FBB}"/>
    <cellStyle name="Normal 2 4 33 2 3" xfId="4054" xr:uid="{8C4F2240-CDDA-4F0A-836F-6F5C5C88B2A7}"/>
    <cellStyle name="Normal 2 4 33 2 3 2" xfId="12886" xr:uid="{0C09F431-9092-41E7-8198-FFB53F14DF0B}"/>
    <cellStyle name="Normal 2 4 33 2 4" xfId="12884" xr:uid="{B13B1C8F-C988-4EB2-AAB9-D06E596683E6}"/>
    <cellStyle name="Normal 2 4 33 3" xfId="4055" xr:uid="{1D323120-9BF3-4EB6-8204-1544FFF6C42B}"/>
    <cellStyle name="Normal 2 4 33 3 2" xfId="12887" xr:uid="{7055E1AB-6ADE-4BFE-A47B-90E037FDBD5A}"/>
    <cellStyle name="Normal 2 4 33 4" xfId="4056" xr:uid="{41FBB1D7-3975-42AA-945D-37938D92F20F}"/>
    <cellStyle name="Normal 2 4 33 4 2" xfId="12888" xr:uid="{405C4B28-14D8-41B1-A76B-CF4BAB28DCE5}"/>
    <cellStyle name="Normal 2 4 33 5" xfId="12883" xr:uid="{8B54081F-30E7-4811-A729-8774AA62559F}"/>
    <cellStyle name="Normal 2 4 34" xfId="4057" xr:uid="{7C76DF5A-7406-4A2A-9C17-6838F479ACD9}"/>
    <cellStyle name="Normal 2 4 34 2" xfId="4058" xr:uid="{834DCE50-B3BD-43FE-9F85-F1456D7F73D2}"/>
    <cellStyle name="Normal 2 4 34 2 2" xfId="4059" xr:uid="{1D1F02D5-4A96-4D1E-9598-97C238C71C79}"/>
    <cellStyle name="Normal 2 4 34 2 2 2" xfId="12891" xr:uid="{77001537-5282-4CA5-9037-A946762011FA}"/>
    <cellStyle name="Normal 2 4 34 2 3" xfId="4060" xr:uid="{AB326973-F7DA-455A-A749-37F53B5CAC53}"/>
    <cellStyle name="Normal 2 4 34 2 3 2" xfId="12892" xr:uid="{700C4A97-8DDE-4F6E-8125-4FA65FB9CC37}"/>
    <cellStyle name="Normal 2 4 34 2 4" xfId="12890" xr:uid="{AA716D62-6E26-498F-805A-0C6C1414CEC1}"/>
    <cellStyle name="Normal 2 4 34 3" xfId="4061" xr:uid="{5B81129F-6FBF-44EE-8E81-A6A36926755C}"/>
    <cellStyle name="Normal 2 4 34 3 2" xfId="12893" xr:uid="{B7791139-3FCD-4ED7-8660-C396E1B9444E}"/>
    <cellStyle name="Normal 2 4 34 4" xfId="4062" xr:uid="{D4113599-8B7F-4A5F-A1F1-4F5C6DD9D1BB}"/>
    <cellStyle name="Normal 2 4 34 4 2" xfId="12894" xr:uid="{7B26403B-42A1-4728-89C9-B079F1C1A340}"/>
    <cellStyle name="Normal 2 4 34 5" xfId="12889" xr:uid="{3139B08C-AF93-471A-A39B-F8A55EE820E6}"/>
    <cellStyle name="Normal 2 4 35" xfId="4063" xr:uid="{DBC20870-8D3D-45D2-8864-D5BE9E9738F8}"/>
    <cellStyle name="Normal 2 4 35 2" xfId="4064" xr:uid="{C4501386-F4D9-4050-A85F-4D15FCF120C5}"/>
    <cellStyle name="Normal 2 4 35 2 2" xfId="4065" xr:uid="{01CECE1F-F627-4DAF-9BFD-3A293AD71CC4}"/>
    <cellStyle name="Normal 2 4 35 2 2 2" xfId="12897" xr:uid="{CCC8C85A-331C-42D6-98AF-43CC35E49C28}"/>
    <cellStyle name="Normal 2 4 35 2 3" xfId="4066" xr:uid="{4872770D-257F-49B8-8816-F1F1EB814AE4}"/>
    <cellStyle name="Normal 2 4 35 2 3 2" xfId="12898" xr:uid="{F1AFB6D5-C232-409A-8A98-F9F953ED71FC}"/>
    <cellStyle name="Normal 2 4 35 2 4" xfId="12896" xr:uid="{FC2B5AE7-18DF-4371-8CB3-DF5813090006}"/>
    <cellStyle name="Normal 2 4 35 3" xfId="4067" xr:uid="{49B2B770-B3B1-4200-B60F-9C4676EC1FB6}"/>
    <cellStyle name="Normal 2 4 35 3 2" xfId="12899" xr:uid="{B26DB196-7ED9-4707-B5E2-E7F3294DBAAB}"/>
    <cellStyle name="Normal 2 4 35 4" xfId="4068" xr:uid="{5ABD0A03-4F05-4A27-A07F-DCF052376433}"/>
    <cellStyle name="Normal 2 4 35 4 2" xfId="12900" xr:uid="{DD878073-7E4F-41ED-A872-3BB5E24ED8AA}"/>
    <cellStyle name="Normal 2 4 35 5" xfId="12895" xr:uid="{2F261AD7-47DB-49BD-B0F9-55B09DAA5BEC}"/>
    <cellStyle name="Normal 2 4 36" xfId="4069" xr:uid="{98DDE72B-9CF7-452D-A64A-5E0CC0AAAC7F}"/>
    <cellStyle name="Normal 2 4 36 2" xfId="4070" xr:uid="{C1209FCF-48C0-45D4-BDF8-9C817D6E6B3C}"/>
    <cellStyle name="Normal 2 4 36 2 2" xfId="4071" xr:uid="{1DE218B5-28EA-4878-8CEE-9581A8C3EF96}"/>
    <cellStyle name="Normal 2 4 36 2 2 2" xfId="12903" xr:uid="{F10D1E70-1356-4D7A-92A5-76580ED1BD4F}"/>
    <cellStyle name="Normal 2 4 36 2 3" xfId="4072" xr:uid="{6C73ED70-35EC-4484-A29A-C55B438416A3}"/>
    <cellStyle name="Normal 2 4 36 2 3 2" xfId="12904" xr:uid="{41BB5EE8-73E2-43D9-9A36-F3351F3B57ED}"/>
    <cellStyle name="Normal 2 4 36 2 4" xfId="12902" xr:uid="{F1C02ECE-AE46-4648-928B-E4C0D412B1B4}"/>
    <cellStyle name="Normal 2 4 36 3" xfId="4073" xr:uid="{7A43E3D7-9E6E-43DC-8518-FECEE2042EAC}"/>
    <cellStyle name="Normal 2 4 36 3 2" xfId="12905" xr:uid="{D98CDB13-A699-4CA0-B3CC-0DE7D568802B}"/>
    <cellStyle name="Normal 2 4 36 4" xfId="4074" xr:uid="{5B4C03C6-E13D-4DEA-A31E-75CAD4EEF67D}"/>
    <cellStyle name="Normal 2 4 36 4 2" xfId="12906" xr:uid="{7035F947-0CBA-47ED-8AA5-9DF7C6BA5075}"/>
    <cellStyle name="Normal 2 4 36 5" xfId="12901" xr:uid="{A7D1935C-35DA-4F04-B70E-D8ECD4ED27C4}"/>
    <cellStyle name="Normal 2 4 37" xfId="4075" xr:uid="{3E198492-5EBE-497E-8FA6-B6BC92FAC230}"/>
    <cellStyle name="Normal 2 4 37 2" xfId="4076" xr:uid="{E2303E77-2308-4D4D-8A2F-A19BFC18F998}"/>
    <cellStyle name="Normal 2 4 37 2 2" xfId="4077" xr:uid="{DF176441-1438-48BE-8395-8328E98C44F1}"/>
    <cellStyle name="Normal 2 4 37 2 2 2" xfId="12909" xr:uid="{960F08FA-3B5A-4A6D-887F-382189EDF283}"/>
    <cellStyle name="Normal 2 4 37 2 3" xfId="4078" xr:uid="{F7D69D70-648F-4222-970C-8B08ED9E03C6}"/>
    <cellStyle name="Normal 2 4 37 2 3 2" xfId="12910" xr:uid="{37C19011-F038-472D-9377-A6826B8B0F09}"/>
    <cellStyle name="Normal 2 4 37 2 4" xfId="12908" xr:uid="{4D29063E-8129-4FD6-9F42-571707968726}"/>
    <cellStyle name="Normal 2 4 37 3" xfId="4079" xr:uid="{6B7F3B9F-2882-44F9-B030-10DCACEE3886}"/>
    <cellStyle name="Normal 2 4 37 3 2" xfId="12911" xr:uid="{B4272C10-77A4-4E6C-90F2-65049165ED15}"/>
    <cellStyle name="Normal 2 4 37 4" xfId="4080" xr:uid="{792ACFA6-3B16-44A8-AF0D-528A5A3739E9}"/>
    <cellStyle name="Normal 2 4 37 4 2" xfId="12912" xr:uid="{9E5F877B-6D7D-4556-BDBC-984FE85019FD}"/>
    <cellStyle name="Normal 2 4 37 5" xfId="12907" xr:uid="{7220D3D3-77FF-4BF2-91E2-AF11AECC8A1C}"/>
    <cellStyle name="Normal 2 4 38" xfId="4081" xr:uid="{60EF1939-207D-4902-96E9-3DA8B816CAE2}"/>
    <cellStyle name="Normal 2 4 38 2" xfId="4082" xr:uid="{A6C36AFD-1A46-450E-B5CC-16BE39F05E5A}"/>
    <cellStyle name="Normal 2 4 38 2 2" xfId="4083" xr:uid="{2488ED79-844B-4020-BD9F-DACE482BDD24}"/>
    <cellStyle name="Normal 2 4 38 2 2 2" xfId="12915" xr:uid="{3622A03A-EEA2-43B2-9A91-F0937583DBEC}"/>
    <cellStyle name="Normal 2 4 38 2 3" xfId="4084" xr:uid="{ABAD495D-62C1-4FF7-976B-66CC2199EB05}"/>
    <cellStyle name="Normal 2 4 38 2 3 2" xfId="12916" xr:uid="{B4250957-EAE8-4DE2-A0E1-C4953F392D3B}"/>
    <cellStyle name="Normal 2 4 38 2 4" xfId="12914" xr:uid="{2E6F2B3B-1D4D-456B-88EE-864C764A1946}"/>
    <cellStyle name="Normal 2 4 38 3" xfId="4085" xr:uid="{5BFE33A4-6CCC-4228-98E8-091E080301B7}"/>
    <cellStyle name="Normal 2 4 38 3 2" xfId="12917" xr:uid="{8568D9A6-AEB8-45E5-8EE0-73ABFA185610}"/>
    <cellStyle name="Normal 2 4 38 4" xfId="4086" xr:uid="{45DA1895-D976-4813-A993-7E1918F11819}"/>
    <cellStyle name="Normal 2 4 38 4 2" xfId="12918" xr:uid="{CC387381-A294-4EE2-B2C9-7E1E2ADB1FD9}"/>
    <cellStyle name="Normal 2 4 38 5" xfId="12913" xr:uid="{6263BDEB-BBC1-44A1-B09A-87590FE5BCB9}"/>
    <cellStyle name="Normal 2 4 39" xfId="4087" xr:uid="{4D05BB5B-F41B-4383-AC8A-C9CE5ECD490F}"/>
    <cellStyle name="Normal 2 4 39 2" xfId="4088" xr:uid="{69E9A173-E2B0-4AFE-BF83-464C3B56C620}"/>
    <cellStyle name="Normal 2 4 39 2 2" xfId="4089" xr:uid="{A39F1969-9520-4CB1-BDE0-E5F6A12DB9B4}"/>
    <cellStyle name="Normal 2 4 39 2 2 2" xfId="12921" xr:uid="{452B2546-F1A5-46A8-85CA-A4F2A1DCE26F}"/>
    <cellStyle name="Normal 2 4 39 2 3" xfId="4090" xr:uid="{049A7ED3-F65B-4A13-AED1-1D82158A0C1C}"/>
    <cellStyle name="Normal 2 4 39 2 3 2" xfId="12922" xr:uid="{CD607464-FECE-4013-AE77-EF31841D722B}"/>
    <cellStyle name="Normal 2 4 39 2 4" xfId="12920" xr:uid="{874FCCAE-5A6E-4924-B204-58B65B372504}"/>
    <cellStyle name="Normal 2 4 39 3" xfId="4091" xr:uid="{0725C274-86FD-4381-8D01-97135E8A8776}"/>
    <cellStyle name="Normal 2 4 39 3 2" xfId="12923" xr:uid="{BEA6F594-0F4B-4D01-BE4A-3F220DF4EA24}"/>
    <cellStyle name="Normal 2 4 39 4" xfId="4092" xr:uid="{B7B6D95C-916A-4F2A-8E7F-0C6899A6D7F2}"/>
    <cellStyle name="Normal 2 4 39 4 2" xfId="12924" xr:uid="{BBA0C588-1825-4C6E-BBD1-289DA369E1FC}"/>
    <cellStyle name="Normal 2 4 39 5" xfId="12919" xr:uid="{783855E5-3D1E-45AE-BE16-89220813A465}"/>
    <cellStyle name="Normal 2 4 4" xfId="4093" xr:uid="{8DF8CBB8-A780-423E-85D0-823B73568680}"/>
    <cellStyle name="Normal 2 4 4 10" xfId="4094" xr:uid="{FEF5DAB6-6E28-4946-AA48-EFB4B5CF11F0}"/>
    <cellStyle name="Normal 2 4 4 10 2" xfId="4095" xr:uid="{E11E3605-9D21-4825-BDAC-428FDA2D1DC2}"/>
    <cellStyle name="Normal 2 4 4 10 2 2" xfId="4096" xr:uid="{7F796E58-E2B7-444A-A667-A44105686C12}"/>
    <cellStyle name="Normal 2 4 4 10 2 2 2" xfId="12928" xr:uid="{67BF7FA1-E4A5-45C5-AC49-498235318CAA}"/>
    <cellStyle name="Normal 2 4 4 10 2 3" xfId="4097" xr:uid="{496031C1-1DEF-4887-A2D1-781EB402C8D5}"/>
    <cellStyle name="Normal 2 4 4 10 2 3 2" xfId="12929" xr:uid="{F71CEEBD-CED5-4320-85D6-55672C61D5A9}"/>
    <cellStyle name="Normal 2 4 4 10 2 4" xfId="12927" xr:uid="{FBC3B454-2A70-4D00-8569-A0973FB84491}"/>
    <cellStyle name="Normal 2 4 4 10 3" xfId="4098" xr:uid="{CE23CC9B-9420-4D86-99F5-2132ADAA9D2F}"/>
    <cellStyle name="Normal 2 4 4 10 3 2" xfId="12930" xr:uid="{6CCE6718-149F-4F69-A626-0BC03E82B96C}"/>
    <cellStyle name="Normal 2 4 4 10 4" xfId="4099" xr:uid="{720E1173-42A3-4485-BA6C-0ED49164C739}"/>
    <cellStyle name="Normal 2 4 4 10 4 2" xfId="12931" xr:uid="{BB5FE033-44CA-46B1-9884-63287B85C7F1}"/>
    <cellStyle name="Normal 2 4 4 10 5" xfId="12926" xr:uid="{570A80E1-970D-4599-9CE7-1CA5EB836F37}"/>
    <cellStyle name="Normal 2 4 4 11" xfId="4100" xr:uid="{21030AEC-17CB-4068-BEC3-82158F4A0F6E}"/>
    <cellStyle name="Normal 2 4 4 11 2" xfId="4101" xr:uid="{742703CF-5C9A-4073-BFE0-3E86A7D9744C}"/>
    <cellStyle name="Normal 2 4 4 11 2 2" xfId="4102" xr:uid="{3345A3F2-3644-48C4-B5E4-85A9016A4561}"/>
    <cellStyle name="Normal 2 4 4 11 2 2 2" xfId="12934" xr:uid="{B59BFC1D-E0EC-4550-8CD0-05F294A218FF}"/>
    <cellStyle name="Normal 2 4 4 11 2 3" xfId="4103" xr:uid="{6BAA9169-E154-4AF8-B9D6-907E16AF7CE5}"/>
    <cellStyle name="Normal 2 4 4 11 2 3 2" xfId="12935" xr:uid="{BD9C1899-5823-4D08-91EF-7A6055B1BDD7}"/>
    <cellStyle name="Normal 2 4 4 11 2 4" xfId="12933" xr:uid="{CBF5DF93-B0F4-4F05-A4CF-B1EE61AA0CF7}"/>
    <cellStyle name="Normal 2 4 4 11 3" xfId="4104" xr:uid="{BA781651-2815-4AA4-8A20-72E12229036D}"/>
    <cellStyle name="Normal 2 4 4 11 3 2" xfId="12936" xr:uid="{911F4C40-D715-45B3-806A-7BBFB587E4EB}"/>
    <cellStyle name="Normal 2 4 4 11 4" xfId="4105" xr:uid="{FB269806-1ADD-4B4D-9329-936BB18A271B}"/>
    <cellStyle name="Normal 2 4 4 11 4 2" xfId="12937" xr:uid="{D1B343FE-967F-4B40-9D79-25E570590C93}"/>
    <cellStyle name="Normal 2 4 4 11 5" xfId="12932" xr:uid="{E267A4BE-7DC3-41B1-9E33-BD6E6B4BE418}"/>
    <cellStyle name="Normal 2 4 4 12" xfId="4106" xr:uid="{9E2CF605-5504-4CDA-90DF-3D06F7756B1C}"/>
    <cellStyle name="Normal 2 4 4 12 2" xfId="4107" xr:uid="{56C8CBC5-F9BC-4A2B-8037-F17A8510A8E1}"/>
    <cellStyle name="Normal 2 4 4 12 2 2" xfId="4108" xr:uid="{BEBD4C8A-7C66-4702-A382-7B63E2AEE326}"/>
    <cellStyle name="Normal 2 4 4 12 2 2 2" xfId="12940" xr:uid="{8466C601-5C46-4F1C-8004-6E404B59F53D}"/>
    <cellStyle name="Normal 2 4 4 12 2 3" xfId="4109" xr:uid="{B54079AE-FB18-412B-BD11-CE4B46C04167}"/>
    <cellStyle name="Normal 2 4 4 12 2 3 2" xfId="12941" xr:uid="{E570DF02-CC85-4CFC-80A3-56437C9ED6B8}"/>
    <cellStyle name="Normal 2 4 4 12 2 4" xfId="12939" xr:uid="{1E909345-7AA0-4540-87AB-1A8696DFD8C9}"/>
    <cellStyle name="Normal 2 4 4 12 3" xfId="4110" xr:uid="{4B569C09-3150-48A7-8C35-6A948CC7E0DC}"/>
    <cellStyle name="Normal 2 4 4 12 3 2" xfId="12942" xr:uid="{6C4379AE-321B-4B54-959C-434DBB2F99B0}"/>
    <cellStyle name="Normal 2 4 4 12 4" xfId="4111" xr:uid="{74D72190-BD2B-491F-8DA4-266D2032CDC9}"/>
    <cellStyle name="Normal 2 4 4 12 4 2" xfId="12943" xr:uid="{18C1C948-09ED-436F-A6E6-708A458D4083}"/>
    <cellStyle name="Normal 2 4 4 12 5" xfId="12938" xr:uid="{22DCBD95-7B46-4F2A-933D-9469CAC6916A}"/>
    <cellStyle name="Normal 2 4 4 13" xfId="4112" xr:uid="{C02B77AC-9098-4A50-B3AA-DCD69A026DBB}"/>
    <cellStyle name="Normal 2 4 4 13 2" xfId="4113" xr:uid="{A539A53A-AD53-4885-91E7-6618B31F4594}"/>
    <cellStyle name="Normal 2 4 4 13 2 2" xfId="4114" xr:uid="{4DD2AFB1-A56A-4B93-B90E-C2CFC5C04ED0}"/>
    <cellStyle name="Normal 2 4 4 13 2 2 2" xfId="12946" xr:uid="{16090A11-7F45-4BC4-BE6D-61B1970C487D}"/>
    <cellStyle name="Normal 2 4 4 13 2 3" xfId="4115" xr:uid="{455D3D92-64F2-44CE-A088-491B7AF6C6D7}"/>
    <cellStyle name="Normal 2 4 4 13 2 3 2" xfId="12947" xr:uid="{21D91D8C-2817-419D-8B59-DF323649919E}"/>
    <cellStyle name="Normal 2 4 4 13 2 4" xfId="12945" xr:uid="{3B895846-15DC-4991-A455-437C5797E329}"/>
    <cellStyle name="Normal 2 4 4 13 3" xfId="4116" xr:uid="{59666EBF-7ECF-4A4D-85FB-1B200E470AC8}"/>
    <cellStyle name="Normal 2 4 4 13 3 2" xfId="12948" xr:uid="{6A550F10-20F9-4E67-86A1-FD7B89490CC2}"/>
    <cellStyle name="Normal 2 4 4 13 4" xfId="4117" xr:uid="{FD3D41B2-57F4-4E64-8946-59019A7AAA50}"/>
    <cellStyle name="Normal 2 4 4 13 4 2" xfId="12949" xr:uid="{FBF6ADBB-F4A6-4C5D-95B0-CA7BF5AFB9EB}"/>
    <cellStyle name="Normal 2 4 4 13 5" xfId="12944" xr:uid="{69F719BE-DBB0-46D2-A783-EA2F84FA4AE3}"/>
    <cellStyle name="Normal 2 4 4 14" xfId="4118" xr:uid="{89EB7633-F3F6-4440-82B3-FB69951938F2}"/>
    <cellStyle name="Normal 2 4 4 14 2" xfId="4119" xr:uid="{2CC35962-D2BA-48D2-AC42-7B82BB9610FC}"/>
    <cellStyle name="Normal 2 4 4 14 2 2" xfId="4120" xr:uid="{FF51B6F6-0DA3-400B-8580-733BE9F282E9}"/>
    <cellStyle name="Normal 2 4 4 14 2 2 2" xfId="12952" xr:uid="{4AFB96F6-2005-4603-9C2D-A83C0185CF50}"/>
    <cellStyle name="Normal 2 4 4 14 2 3" xfId="4121" xr:uid="{5EFCBF08-8CDA-42DC-8B3A-C0D33469C815}"/>
    <cellStyle name="Normal 2 4 4 14 2 3 2" xfId="12953" xr:uid="{AD6444C1-439E-46C6-9CFE-E75A439856AD}"/>
    <cellStyle name="Normal 2 4 4 14 2 4" xfId="12951" xr:uid="{C3BB04EB-85B2-4BD2-A593-38858E266C87}"/>
    <cellStyle name="Normal 2 4 4 14 3" xfId="4122" xr:uid="{3EEC20AB-9124-47F8-ADCB-7D9262F10862}"/>
    <cellStyle name="Normal 2 4 4 14 3 2" xfId="12954" xr:uid="{C795CE0F-FD8E-46D2-93F0-8948423C4BAC}"/>
    <cellStyle name="Normal 2 4 4 14 4" xfId="4123" xr:uid="{5FB024FC-AF4C-427A-968A-A867D1C3D95F}"/>
    <cellStyle name="Normal 2 4 4 14 4 2" xfId="12955" xr:uid="{5BA617CB-0ADF-443F-8754-4BA3106434A0}"/>
    <cellStyle name="Normal 2 4 4 14 5" xfId="12950" xr:uid="{F6FA6CCB-BC34-4B51-8662-7B1F6AC30D4E}"/>
    <cellStyle name="Normal 2 4 4 15" xfId="4124" xr:uid="{759D5B2C-4D2B-457F-8AC8-67E5E03269DB}"/>
    <cellStyle name="Normal 2 4 4 15 2" xfId="4125" xr:uid="{AFC694B1-CE43-4392-A6DC-D6BF278E24A2}"/>
    <cellStyle name="Normal 2 4 4 15 2 2" xfId="4126" xr:uid="{14D1DD6E-D853-450A-AAAC-7AC7991C9BFE}"/>
    <cellStyle name="Normal 2 4 4 15 2 2 2" xfId="12958" xr:uid="{AF790071-C924-45AD-AB1C-E16E81F18924}"/>
    <cellStyle name="Normal 2 4 4 15 2 3" xfId="4127" xr:uid="{CF827B93-F821-4C3F-834D-A32D9E7A55CC}"/>
    <cellStyle name="Normal 2 4 4 15 2 3 2" xfId="12959" xr:uid="{B5DBEAA5-F0C3-4876-BDAB-B04E16D43263}"/>
    <cellStyle name="Normal 2 4 4 15 2 4" xfId="12957" xr:uid="{49BAD882-85F6-472C-8618-9ADD4F94888F}"/>
    <cellStyle name="Normal 2 4 4 15 3" xfId="4128" xr:uid="{FE5E9937-EE54-40A0-9A33-ED8FB3185BD9}"/>
    <cellStyle name="Normal 2 4 4 15 3 2" xfId="12960" xr:uid="{404C4BC0-68DA-44F9-A966-2DE1DE999109}"/>
    <cellStyle name="Normal 2 4 4 15 4" xfId="4129" xr:uid="{56B9A2F9-CF59-4770-AAD4-4B154B63054B}"/>
    <cellStyle name="Normal 2 4 4 15 4 2" xfId="12961" xr:uid="{B5D11394-9880-4C3C-8DC2-096E3492FF01}"/>
    <cellStyle name="Normal 2 4 4 15 5" xfId="12956" xr:uid="{E1687375-9DBD-4EB6-97D8-DC12DF3F79F3}"/>
    <cellStyle name="Normal 2 4 4 16" xfId="4130" xr:uid="{1268A4B9-1C90-4227-8499-784966725191}"/>
    <cellStyle name="Normal 2 4 4 16 2" xfId="4131" xr:uid="{95E617C6-C2E0-47FA-AB9F-D42925B9D8D9}"/>
    <cellStyle name="Normal 2 4 4 16 2 2" xfId="4132" xr:uid="{BF1D2F09-1098-4BEA-A173-D48CA4AA2331}"/>
    <cellStyle name="Normal 2 4 4 16 2 2 2" xfId="12964" xr:uid="{EB7DC4F2-079E-4389-9266-BCED5BE4663F}"/>
    <cellStyle name="Normal 2 4 4 16 2 3" xfId="4133" xr:uid="{42174D57-E530-4558-A668-4EB89D285C3B}"/>
    <cellStyle name="Normal 2 4 4 16 2 3 2" xfId="12965" xr:uid="{CD3BEB17-5A64-408F-A30D-401FB6B1E3A5}"/>
    <cellStyle name="Normal 2 4 4 16 2 4" xfId="12963" xr:uid="{C0023E14-223E-4806-A39C-1937844A1A37}"/>
    <cellStyle name="Normal 2 4 4 16 3" xfId="4134" xr:uid="{6389986E-6A87-4FA5-A0F4-07FFC02B9A67}"/>
    <cellStyle name="Normal 2 4 4 16 3 2" xfId="12966" xr:uid="{17A194CD-A634-4514-8C0F-F0D363446A3A}"/>
    <cellStyle name="Normal 2 4 4 16 4" xfId="4135" xr:uid="{33704008-5538-472D-84AD-E91063AB1DC7}"/>
    <cellStyle name="Normal 2 4 4 16 4 2" xfId="12967" xr:uid="{35CA8464-9E24-45F3-8F3C-C3739DFF5A82}"/>
    <cellStyle name="Normal 2 4 4 16 5" xfId="12962" xr:uid="{4423CE7C-5420-4E61-94C8-E00E89343F17}"/>
    <cellStyle name="Normal 2 4 4 17" xfId="4136" xr:uid="{DC170389-C503-4929-A16E-413056DE4482}"/>
    <cellStyle name="Normal 2 4 4 17 2" xfId="4137" xr:uid="{B10D1EC0-869D-487C-9BC9-19EACF5C019D}"/>
    <cellStyle name="Normal 2 4 4 17 2 2" xfId="4138" xr:uid="{D974EDD8-075E-42E2-B12F-A6B1479CC7C5}"/>
    <cellStyle name="Normal 2 4 4 17 2 2 2" xfId="12970" xr:uid="{D2F3D005-3331-44DA-853C-A9074B98D0A3}"/>
    <cellStyle name="Normal 2 4 4 17 2 3" xfId="4139" xr:uid="{AB273E19-BD3E-44AC-84BC-F63FBDD94AAE}"/>
    <cellStyle name="Normal 2 4 4 17 2 3 2" xfId="12971" xr:uid="{8E0992CD-3A1D-471D-B6A0-7BC22934B0B8}"/>
    <cellStyle name="Normal 2 4 4 17 2 4" xfId="12969" xr:uid="{AFBA6D5F-F175-4583-AF5F-C1255BD7D1E1}"/>
    <cellStyle name="Normal 2 4 4 17 3" xfId="4140" xr:uid="{DD57AC6F-65DA-4500-AA7C-16E7D4631529}"/>
    <cellStyle name="Normal 2 4 4 17 3 2" xfId="12972" xr:uid="{CF2A18A5-6398-4983-B04A-61755616D94A}"/>
    <cellStyle name="Normal 2 4 4 17 4" xfId="4141" xr:uid="{0E7FB342-1488-468F-8F2E-B12ACCEA00C0}"/>
    <cellStyle name="Normal 2 4 4 17 4 2" xfId="12973" xr:uid="{D3D023FF-FA74-41D4-AE41-30D55D860C68}"/>
    <cellStyle name="Normal 2 4 4 17 5" xfId="12968" xr:uid="{134CF356-5013-45D0-AF65-8FEDF925652C}"/>
    <cellStyle name="Normal 2 4 4 18" xfId="4142" xr:uid="{37D78390-C9F7-4EA3-9131-6EEBDC6C3257}"/>
    <cellStyle name="Normal 2 4 4 18 2" xfId="4143" xr:uid="{0CB015C7-B357-45B5-922B-8B66C38309D9}"/>
    <cellStyle name="Normal 2 4 4 18 2 2" xfId="4144" xr:uid="{82DFFE7E-98EE-4D1B-890D-8ADFA074621E}"/>
    <cellStyle name="Normal 2 4 4 18 2 2 2" xfId="12976" xr:uid="{885B0E14-0DB0-481F-9B47-C4CB5E3ECA72}"/>
    <cellStyle name="Normal 2 4 4 18 2 3" xfId="4145" xr:uid="{85714B27-65BF-46B3-8E6D-6C8F68B98398}"/>
    <cellStyle name="Normal 2 4 4 18 2 3 2" xfId="12977" xr:uid="{2A412DFC-7907-4B55-87BF-6748671F309A}"/>
    <cellStyle name="Normal 2 4 4 18 2 4" xfId="12975" xr:uid="{D9D71B7B-432D-411F-9864-8DB5744D96AA}"/>
    <cellStyle name="Normal 2 4 4 18 3" xfId="4146" xr:uid="{DB9293DF-1D52-4276-A2D0-66AFC122A164}"/>
    <cellStyle name="Normal 2 4 4 18 3 2" xfId="12978" xr:uid="{5EEFA0F4-31E7-4374-82A9-B44D891BF570}"/>
    <cellStyle name="Normal 2 4 4 18 4" xfId="4147" xr:uid="{A36759D2-1968-40F8-8B27-A294DD8C59F7}"/>
    <cellStyle name="Normal 2 4 4 18 4 2" xfId="12979" xr:uid="{B68984DF-0B29-43C4-A64D-022657C80540}"/>
    <cellStyle name="Normal 2 4 4 18 5" xfId="12974" xr:uid="{0B1A1175-8678-41DD-9797-2EB9EE157372}"/>
    <cellStyle name="Normal 2 4 4 19" xfId="4148" xr:uid="{B462CF21-6A0C-49CF-ADA9-FCD653011C7C}"/>
    <cellStyle name="Normal 2 4 4 19 2" xfId="4149" xr:uid="{B107DF60-A322-4005-84FE-62BD0BC399F1}"/>
    <cellStyle name="Normal 2 4 4 19 2 2" xfId="4150" xr:uid="{D5129D00-B1B7-43EC-9404-CE7540F58CA0}"/>
    <cellStyle name="Normal 2 4 4 19 2 2 2" xfId="12982" xr:uid="{EDC3F7E1-7AF0-43FB-BCB9-6038F475CE68}"/>
    <cellStyle name="Normal 2 4 4 19 2 3" xfId="4151" xr:uid="{717053BD-FABD-4F8E-A5C7-140C7D25289C}"/>
    <cellStyle name="Normal 2 4 4 19 2 3 2" xfId="12983" xr:uid="{311DCB99-6AB9-4E85-8968-C14FA5619050}"/>
    <cellStyle name="Normal 2 4 4 19 2 4" xfId="12981" xr:uid="{391415AD-9AE1-4EDE-9895-F9963BF0BF24}"/>
    <cellStyle name="Normal 2 4 4 19 3" xfId="4152" xr:uid="{DE762667-5033-4642-993D-2B8438813006}"/>
    <cellStyle name="Normal 2 4 4 19 3 2" xfId="12984" xr:uid="{1F6A20AB-0619-451D-A7CC-FDCC782FF69A}"/>
    <cellStyle name="Normal 2 4 4 19 4" xfId="4153" xr:uid="{ACB0CA61-AEEB-4C43-8A27-EEA67CBF6B59}"/>
    <cellStyle name="Normal 2 4 4 19 4 2" xfId="12985" xr:uid="{E5DDA7B7-66AD-4FDA-8460-8873BB9F5388}"/>
    <cellStyle name="Normal 2 4 4 19 5" xfId="12980" xr:uid="{4793CCD3-40C1-414A-8CBD-1B6E2EEF10B1}"/>
    <cellStyle name="Normal 2 4 4 2" xfId="4154" xr:uid="{0C192AEA-54A9-48A4-99D8-AA2CBBA1510C}"/>
    <cellStyle name="Normal 2 4 4 2 2" xfId="4155" xr:uid="{408CDD04-568A-4ADE-942B-A479DFCF9441}"/>
    <cellStyle name="Normal 2 4 4 2 2 2" xfId="4156" xr:uid="{AD552EF9-F721-4801-800A-9D2B00C03E97}"/>
    <cellStyle name="Normal 2 4 4 2 2 2 2" xfId="12988" xr:uid="{7B0655EB-961B-46DF-94DB-BF4CE71E251A}"/>
    <cellStyle name="Normal 2 4 4 2 2 3" xfId="4157" xr:uid="{5144DD53-7550-4CE9-BC05-E9892C5F40F1}"/>
    <cellStyle name="Normal 2 4 4 2 2 3 2" xfId="12989" xr:uid="{A1166757-0A92-42B3-BA7B-944808C8FCCF}"/>
    <cellStyle name="Normal 2 4 4 2 2 4" xfId="12987" xr:uid="{7066CBAF-FA09-4B7E-91EF-3A9D0521917D}"/>
    <cellStyle name="Normal 2 4 4 2 3" xfId="4158" xr:uid="{C9E6C9F6-726F-4A99-B4E4-49FC35B3A952}"/>
    <cellStyle name="Normal 2 4 4 2 3 2" xfId="12990" xr:uid="{BDB85224-91DB-4F84-A1C8-FB6F68AE2BF2}"/>
    <cellStyle name="Normal 2 4 4 2 4" xfId="4159" xr:uid="{0C401B28-6005-4B84-8C07-82A28250E361}"/>
    <cellStyle name="Normal 2 4 4 2 4 2" xfId="12991" xr:uid="{53E478DE-7AC9-4498-BD04-A2751EE99FA0}"/>
    <cellStyle name="Normal 2 4 4 2 5" xfId="12986" xr:uid="{A01DEB26-065B-4D84-9362-0A2179025C64}"/>
    <cellStyle name="Normal 2 4 4 20" xfId="4160" xr:uid="{5FA46A80-5568-4CBD-B2FE-1CC418B120A3}"/>
    <cellStyle name="Normal 2 4 4 20 2" xfId="4161" xr:uid="{6350139B-EF92-4BFB-A8D1-E3571CB76E9F}"/>
    <cellStyle name="Normal 2 4 4 20 2 2" xfId="4162" xr:uid="{1906D913-A208-45EF-A6D7-606E7EFAB858}"/>
    <cellStyle name="Normal 2 4 4 20 2 2 2" xfId="12994" xr:uid="{8A7E9F2C-5A6F-4792-A420-6646D8F3E34E}"/>
    <cellStyle name="Normal 2 4 4 20 2 3" xfId="4163" xr:uid="{D1744DBD-2400-4076-BA78-7E3A31C7607F}"/>
    <cellStyle name="Normal 2 4 4 20 2 3 2" xfId="12995" xr:uid="{4552C129-9276-4AAA-ADC0-07940B549569}"/>
    <cellStyle name="Normal 2 4 4 20 2 4" xfId="12993" xr:uid="{AFBDEBE4-0B86-4FC5-BE31-978CA4AD7A28}"/>
    <cellStyle name="Normal 2 4 4 20 3" xfId="4164" xr:uid="{C94F4C8A-1398-4DFF-AEEB-7F9F4107A605}"/>
    <cellStyle name="Normal 2 4 4 20 3 2" xfId="12996" xr:uid="{80167B0E-8485-4346-8AF9-38E179F422A8}"/>
    <cellStyle name="Normal 2 4 4 20 4" xfId="4165" xr:uid="{8975AD87-8855-4441-9B8F-960E1536C2FF}"/>
    <cellStyle name="Normal 2 4 4 20 4 2" xfId="12997" xr:uid="{03FFB82B-E041-415B-9868-7AD0DE7E19BD}"/>
    <cellStyle name="Normal 2 4 4 20 5" xfId="12992" xr:uid="{691A20EE-DBDC-4159-8A51-7F8376324223}"/>
    <cellStyle name="Normal 2 4 4 21" xfId="4166" xr:uid="{D8925C17-9852-48CD-A961-3414F30514E5}"/>
    <cellStyle name="Normal 2 4 4 21 2" xfId="4167" xr:uid="{F7B4A963-73D7-4698-AFB4-DD4F5F5E0448}"/>
    <cellStyle name="Normal 2 4 4 21 2 2" xfId="4168" xr:uid="{55CB971C-FD89-4FAB-B206-748BC5805DFE}"/>
    <cellStyle name="Normal 2 4 4 21 2 2 2" xfId="13000" xr:uid="{AB449E0D-BEE7-4072-83BD-779E730C6976}"/>
    <cellStyle name="Normal 2 4 4 21 2 3" xfId="4169" xr:uid="{65839693-FD9E-4C81-A2F9-F0FF5CC204E5}"/>
    <cellStyle name="Normal 2 4 4 21 2 3 2" xfId="13001" xr:uid="{63474726-9B86-4B0B-A9F9-EDEFE46D566C}"/>
    <cellStyle name="Normal 2 4 4 21 2 4" xfId="12999" xr:uid="{6B4246B2-F49D-4ED9-965E-58670F6B7644}"/>
    <cellStyle name="Normal 2 4 4 21 3" xfId="4170" xr:uid="{D96F4607-469A-46AA-8A57-FECC95DD004E}"/>
    <cellStyle name="Normal 2 4 4 21 3 2" xfId="13002" xr:uid="{8A26ACE3-1BF6-4829-A38E-E52708D6C3C8}"/>
    <cellStyle name="Normal 2 4 4 21 4" xfId="4171" xr:uid="{B50FE900-4316-4ED1-ABB2-848F9DD84AD7}"/>
    <cellStyle name="Normal 2 4 4 21 4 2" xfId="13003" xr:uid="{9CCED479-69F9-4929-8D06-D12A430F1CB5}"/>
    <cellStyle name="Normal 2 4 4 21 5" xfId="12998" xr:uid="{FE072D98-3BED-46DC-BE47-4E582599114E}"/>
    <cellStyle name="Normal 2 4 4 22" xfId="4172" xr:uid="{86D47D40-C29A-4744-871D-58FD062144BA}"/>
    <cellStyle name="Normal 2 4 4 22 2" xfId="4173" xr:uid="{2EEE234C-08AC-4680-8AD9-BB6D15193D1F}"/>
    <cellStyle name="Normal 2 4 4 22 2 2" xfId="4174" xr:uid="{BEDD2C5E-1846-4411-9FCC-0AA92C91C377}"/>
    <cellStyle name="Normal 2 4 4 22 2 2 2" xfId="13006" xr:uid="{20BE960D-C312-4604-A7B7-4AF557406FD0}"/>
    <cellStyle name="Normal 2 4 4 22 2 3" xfId="4175" xr:uid="{4294B1CD-5AED-4F02-B97F-7B0E6283754A}"/>
    <cellStyle name="Normal 2 4 4 22 2 3 2" xfId="13007" xr:uid="{6F0A5369-50D6-4C9D-9C49-4C9E0B815E09}"/>
    <cellStyle name="Normal 2 4 4 22 2 4" xfId="13005" xr:uid="{0ED317E2-A1AE-476C-8911-0B88A0799027}"/>
    <cellStyle name="Normal 2 4 4 22 3" xfId="4176" xr:uid="{EE19E084-59E6-4DC1-AF29-98E3DBEF2963}"/>
    <cellStyle name="Normal 2 4 4 22 3 2" xfId="13008" xr:uid="{B48189FA-0946-410A-87F6-CC542C7865FF}"/>
    <cellStyle name="Normal 2 4 4 22 4" xfId="4177" xr:uid="{B552DE38-82EB-48BB-9A48-EBCCB8A485E3}"/>
    <cellStyle name="Normal 2 4 4 22 4 2" xfId="13009" xr:uid="{24630C4A-7B1A-4FD4-AA60-494694B6826D}"/>
    <cellStyle name="Normal 2 4 4 22 5" xfId="13004" xr:uid="{EA848B1C-D2ED-4A67-8C78-90B536A0AA81}"/>
    <cellStyle name="Normal 2 4 4 23" xfId="4178" xr:uid="{1589AA3D-5C69-4354-B5E7-FA2CB5EBE8AB}"/>
    <cellStyle name="Normal 2 4 4 23 2" xfId="4179" xr:uid="{938F9C84-0231-4F9E-9801-4CFB2F5C3F85}"/>
    <cellStyle name="Normal 2 4 4 23 2 2" xfId="4180" xr:uid="{302909E0-58AA-448D-9BDC-F9A1A1A90CE7}"/>
    <cellStyle name="Normal 2 4 4 23 2 2 2" xfId="13012" xr:uid="{2D4255F0-A815-4EFA-AA35-DC3D2E0EAD1A}"/>
    <cellStyle name="Normal 2 4 4 23 2 3" xfId="4181" xr:uid="{78109078-C963-4609-B7E4-417BE6D5464A}"/>
    <cellStyle name="Normal 2 4 4 23 2 3 2" xfId="13013" xr:uid="{374B932F-9FB5-496E-A4B3-C9B2751E5687}"/>
    <cellStyle name="Normal 2 4 4 23 2 4" xfId="13011" xr:uid="{5B2BF48E-D1F3-48FF-BCE3-41AC33804886}"/>
    <cellStyle name="Normal 2 4 4 23 3" xfId="4182" xr:uid="{ED56B572-DF05-4A43-9B42-06B9092979C2}"/>
    <cellStyle name="Normal 2 4 4 23 3 2" xfId="13014" xr:uid="{DA44F629-0F66-46FB-9052-EFE0CF3A85A5}"/>
    <cellStyle name="Normal 2 4 4 23 4" xfId="4183" xr:uid="{76963B73-5D44-43BC-82EB-AF9919F8D5A1}"/>
    <cellStyle name="Normal 2 4 4 23 4 2" xfId="13015" xr:uid="{7E287B4B-B088-4247-804C-F0674CF5772D}"/>
    <cellStyle name="Normal 2 4 4 23 5" xfId="13010" xr:uid="{388BA095-F610-4BCA-8C7A-E2D21871717E}"/>
    <cellStyle name="Normal 2 4 4 24" xfId="4184" xr:uid="{71ECBBAD-42DB-4B1D-8408-DB44EB265E8F}"/>
    <cellStyle name="Normal 2 4 4 24 2" xfId="4185" xr:uid="{90FACC05-E73E-4893-910C-FBAE8431C35B}"/>
    <cellStyle name="Normal 2 4 4 24 2 2" xfId="4186" xr:uid="{3545A5E5-384F-4C99-B274-7EE3F8EF2C6C}"/>
    <cellStyle name="Normal 2 4 4 24 2 2 2" xfId="13018" xr:uid="{709A04B4-E0CD-42C2-9DDC-6B4A539CC81F}"/>
    <cellStyle name="Normal 2 4 4 24 2 3" xfId="4187" xr:uid="{8DA9CEC5-1AA4-4B0D-8AFE-3736CDA65760}"/>
    <cellStyle name="Normal 2 4 4 24 2 3 2" xfId="13019" xr:uid="{42F6848B-ADA2-4C16-8466-EBEA8C2B086C}"/>
    <cellStyle name="Normal 2 4 4 24 2 4" xfId="13017" xr:uid="{095BB71E-B1AA-4C64-AFA7-91DB92AF6D8F}"/>
    <cellStyle name="Normal 2 4 4 24 3" xfId="4188" xr:uid="{530CAC4F-560D-4920-82CC-194606DD2668}"/>
    <cellStyle name="Normal 2 4 4 24 3 2" xfId="13020" xr:uid="{F865EB02-C304-4669-B48F-79D547505E1E}"/>
    <cellStyle name="Normal 2 4 4 24 4" xfId="4189" xr:uid="{F8429BDA-B777-4984-92B8-C6F24C360912}"/>
    <cellStyle name="Normal 2 4 4 24 4 2" xfId="13021" xr:uid="{A8376BF3-556F-4DCB-B8F5-CFBC6B6E2D36}"/>
    <cellStyle name="Normal 2 4 4 24 5" xfId="13016" xr:uid="{2170A6BE-82F5-49DE-A419-F55A4FA77936}"/>
    <cellStyle name="Normal 2 4 4 25" xfId="4190" xr:uid="{5C22815C-FDAC-48D1-846A-7EC719A13182}"/>
    <cellStyle name="Normal 2 4 4 25 2" xfId="4191" xr:uid="{72D817B7-C0FE-4AFE-9470-84B2AF603540}"/>
    <cellStyle name="Normal 2 4 4 25 2 2" xfId="4192" xr:uid="{960B98EA-3493-43B5-A05D-1D2EAAEA8373}"/>
    <cellStyle name="Normal 2 4 4 25 2 2 2" xfId="13024" xr:uid="{51CB15B5-E0BC-4B82-9B62-604371C4BB2B}"/>
    <cellStyle name="Normal 2 4 4 25 2 3" xfId="4193" xr:uid="{8430D8B4-B206-4CB2-AA4C-3A1D65E4C924}"/>
    <cellStyle name="Normal 2 4 4 25 2 3 2" xfId="13025" xr:uid="{E77FDFA3-8955-4411-A229-A2D54859A876}"/>
    <cellStyle name="Normal 2 4 4 25 2 4" xfId="13023" xr:uid="{A6871C23-4A07-496D-9EF2-EC4DAAA87E89}"/>
    <cellStyle name="Normal 2 4 4 25 3" xfId="4194" xr:uid="{8E2E3229-1B50-4BEC-8B90-5C65FF9F13AD}"/>
    <cellStyle name="Normal 2 4 4 25 3 2" xfId="13026" xr:uid="{E9A442F0-89F9-420C-8432-1E99BD1313DB}"/>
    <cellStyle name="Normal 2 4 4 25 4" xfId="4195" xr:uid="{9CD9C1FD-A4FF-4697-AE5B-022C2416E64C}"/>
    <cellStyle name="Normal 2 4 4 25 4 2" xfId="13027" xr:uid="{91BB3B03-F0DE-4052-87BE-0292EF3C9CDB}"/>
    <cellStyle name="Normal 2 4 4 25 5" xfId="13022" xr:uid="{94DD5E68-BF26-433E-A44E-EC2B562F62D8}"/>
    <cellStyle name="Normal 2 4 4 26" xfId="4196" xr:uid="{30CF9DE0-DE01-405B-8943-B5FF6FBB7DC1}"/>
    <cellStyle name="Normal 2 4 4 26 2" xfId="4197" xr:uid="{F2BF5A34-3533-4E88-BA6F-9FFAA6D1C29F}"/>
    <cellStyle name="Normal 2 4 4 26 2 2" xfId="4198" xr:uid="{E8D4609A-36D9-40EC-9C9A-ADB37C6C0FDF}"/>
    <cellStyle name="Normal 2 4 4 26 2 2 2" xfId="13030" xr:uid="{C6551A4C-4C91-4A78-B315-847793B906AD}"/>
    <cellStyle name="Normal 2 4 4 26 2 3" xfId="4199" xr:uid="{27DC8C86-93BC-4FA0-B553-27114D7ECA20}"/>
    <cellStyle name="Normal 2 4 4 26 2 3 2" xfId="13031" xr:uid="{89DABC29-9083-49C2-8B1C-6F38C1CC3D7C}"/>
    <cellStyle name="Normal 2 4 4 26 2 4" xfId="13029" xr:uid="{2FB58284-DC9E-48C9-B280-A318B2BF7876}"/>
    <cellStyle name="Normal 2 4 4 26 3" xfId="4200" xr:uid="{DB8EA3F4-CD1C-4D7F-BF6D-EA14F061B65F}"/>
    <cellStyle name="Normal 2 4 4 26 3 2" xfId="13032" xr:uid="{3CAC403B-E22D-44A2-8A19-62D493124216}"/>
    <cellStyle name="Normal 2 4 4 26 4" xfId="4201" xr:uid="{9E7CB2ED-7780-49FD-A963-16C52E95F77B}"/>
    <cellStyle name="Normal 2 4 4 26 4 2" xfId="13033" xr:uid="{CB1C147A-95D7-4CF7-B6DD-36B38BAF48B9}"/>
    <cellStyle name="Normal 2 4 4 26 5" xfId="13028" xr:uid="{39F298A2-0BC8-459A-8E3C-0C57D26B4D7D}"/>
    <cellStyle name="Normal 2 4 4 27" xfId="4202" xr:uid="{B14929C1-15AB-4A73-9ECF-B0590DE58E1E}"/>
    <cellStyle name="Normal 2 4 4 27 2" xfId="4203" xr:uid="{B25BFFF1-E331-4CC9-899E-670CC2EE0D01}"/>
    <cellStyle name="Normal 2 4 4 27 2 2" xfId="4204" xr:uid="{06A9C1F7-93AE-4C12-989A-CC080217E8E6}"/>
    <cellStyle name="Normal 2 4 4 27 2 2 2" xfId="13036" xr:uid="{C98D638F-C7A4-43BD-8AEC-4EB28209D337}"/>
    <cellStyle name="Normal 2 4 4 27 2 3" xfId="4205" xr:uid="{C73C813A-7F41-48A0-A6A6-B6EEA23F85A8}"/>
    <cellStyle name="Normal 2 4 4 27 2 3 2" xfId="13037" xr:uid="{67039025-44EC-4BF3-A74D-4B7C006C91C2}"/>
    <cellStyle name="Normal 2 4 4 27 2 4" xfId="13035" xr:uid="{25F2DBF5-4319-45BB-A424-CF2ACE42D499}"/>
    <cellStyle name="Normal 2 4 4 27 3" xfId="4206" xr:uid="{35C1063B-B33C-4BF9-AB2E-7100777086E1}"/>
    <cellStyle name="Normal 2 4 4 27 3 2" xfId="13038" xr:uid="{FE74A7B1-333F-4454-B9A0-A7FCD83A4022}"/>
    <cellStyle name="Normal 2 4 4 27 4" xfId="4207" xr:uid="{1299FA47-1B64-4022-885E-744EF561C32E}"/>
    <cellStyle name="Normal 2 4 4 27 4 2" xfId="13039" xr:uid="{967C89D8-A7C4-4CF7-B834-F2525FCFB9EF}"/>
    <cellStyle name="Normal 2 4 4 27 5" xfId="13034" xr:uid="{7ABA3088-D794-4299-85FE-F8C30B398FB6}"/>
    <cellStyle name="Normal 2 4 4 28" xfId="4208" xr:uid="{21215028-11EC-49F8-8E02-44018C8D41DB}"/>
    <cellStyle name="Normal 2 4 4 28 2" xfId="4209" xr:uid="{E2BB95EE-BF02-4DD9-A252-867714D21544}"/>
    <cellStyle name="Normal 2 4 4 28 2 2" xfId="4210" xr:uid="{9DAF5FE5-4BA7-4BCE-952A-17B3E90A2F93}"/>
    <cellStyle name="Normal 2 4 4 28 2 2 2" xfId="13042" xr:uid="{B0536552-858E-4453-8D8B-33C1CD8498E5}"/>
    <cellStyle name="Normal 2 4 4 28 2 3" xfId="4211" xr:uid="{BE1A693F-FBB8-4FAB-B1D1-DCD0B465EFD0}"/>
    <cellStyle name="Normal 2 4 4 28 2 3 2" xfId="13043" xr:uid="{21E3D12D-1F00-49A3-9E7E-76A027413130}"/>
    <cellStyle name="Normal 2 4 4 28 2 4" xfId="13041" xr:uid="{6895FE5A-98EC-4D8D-AF95-5A875014DD8E}"/>
    <cellStyle name="Normal 2 4 4 28 3" xfId="4212" xr:uid="{229D5FB7-A47C-4AD1-BEEF-6958D921E6DD}"/>
    <cellStyle name="Normal 2 4 4 28 3 2" xfId="13044" xr:uid="{F9037378-F270-4E2E-9CEA-63A4A54B4FDB}"/>
    <cellStyle name="Normal 2 4 4 28 4" xfId="4213" xr:uid="{4878EC16-F52A-4F60-AB6E-8D3A95D39E12}"/>
    <cellStyle name="Normal 2 4 4 28 4 2" xfId="13045" xr:uid="{194566A4-F9F8-4426-A060-0D40E48DC42C}"/>
    <cellStyle name="Normal 2 4 4 28 5" xfId="13040" xr:uid="{629C3866-5CE9-4E1D-A203-8E66D87EA1BC}"/>
    <cellStyle name="Normal 2 4 4 29" xfId="4214" xr:uid="{E283F72B-3727-4EAB-863A-08464029A0C8}"/>
    <cellStyle name="Normal 2 4 4 29 2" xfId="4215" xr:uid="{8BEA0E9F-3E88-405B-8676-5B0951EB1AAE}"/>
    <cellStyle name="Normal 2 4 4 29 2 2" xfId="4216" xr:uid="{07C1F925-1BD3-4DBD-8B4D-50C78092AB3D}"/>
    <cellStyle name="Normal 2 4 4 29 2 2 2" xfId="13048" xr:uid="{5E5853EF-F59F-4515-8A38-1122155C70EC}"/>
    <cellStyle name="Normal 2 4 4 29 2 3" xfId="4217" xr:uid="{52F3DFC8-9818-44FB-AC56-C6210DA951E6}"/>
    <cellStyle name="Normal 2 4 4 29 2 3 2" xfId="13049" xr:uid="{FC236DB5-3DE8-482E-86FD-4E659E676F39}"/>
    <cellStyle name="Normal 2 4 4 29 2 4" xfId="13047" xr:uid="{6573E4BF-6A8C-434D-B4DF-CB9A36CC7A37}"/>
    <cellStyle name="Normal 2 4 4 29 3" xfId="4218" xr:uid="{E7C186FD-C188-4E8C-B55D-CAB2D55783F4}"/>
    <cellStyle name="Normal 2 4 4 29 3 2" xfId="13050" xr:uid="{179AA522-6DE7-4F11-823B-E35A82C4EECA}"/>
    <cellStyle name="Normal 2 4 4 29 4" xfId="4219" xr:uid="{D51AB090-5BD3-4117-A590-FFBC71AFC57A}"/>
    <cellStyle name="Normal 2 4 4 29 4 2" xfId="13051" xr:uid="{AB77EDBC-58EB-4AE2-9584-3E8A71C61BE7}"/>
    <cellStyle name="Normal 2 4 4 29 5" xfId="13046" xr:uid="{3CEF99F9-9347-4FA6-A94B-BE9A4B7C0A2F}"/>
    <cellStyle name="Normal 2 4 4 3" xfId="4220" xr:uid="{758E6BE7-6223-425A-86C7-15C870F0A4DA}"/>
    <cellStyle name="Normal 2 4 4 3 2" xfId="4221" xr:uid="{4AFEBF74-EA48-4E5A-92AE-487C190EF5D9}"/>
    <cellStyle name="Normal 2 4 4 3 2 2" xfId="4222" xr:uid="{05D779A6-504C-485D-9C8D-5A5E2A892488}"/>
    <cellStyle name="Normal 2 4 4 3 2 2 2" xfId="13054" xr:uid="{25990D88-D0A6-4551-B607-D661E8BFBD4C}"/>
    <cellStyle name="Normal 2 4 4 3 2 3" xfId="4223" xr:uid="{0F3BACC1-764B-43EB-BDDD-6C7962D3F5B3}"/>
    <cellStyle name="Normal 2 4 4 3 2 3 2" xfId="13055" xr:uid="{FA7EB788-1477-41A2-9D97-2F26813B1EDD}"/>
    <cellStyle name="Normal 2 4 4 3 2 4" xfId="13053" xr:uid="{9D0F6D45-9D0F-4802-9194-A59A616A9C09}"/>
    <cellStyle name="Normal 2 4 4 3 3" xfId="4224" xr:uid="{142CD344-1E54-42D1-A4AE-55BBCCE22F86}"/>
    <cellStyle name="Normal 2 4 4 3 3 2" xfId="13056" xr:uid="{A71FA31F-2176-4415-9205-169C46D07377}"/>
    <cellStyle name="Normal 2 4 4 3 4" xfId="4225" xr:uid="{D18A69D8-F41A-44C1-BCF7-7B03CFD0C3A3}"/>
    <cellStyle name="Normal 2 4 4 3 4 2" xfId="13057" xr:uid="{C7E15B65-E21B-419A-A6AB-6CB915C433B6}"/>
    <cellStyle name="Normal 2 4 4 3 5" xfId="13052" xr:uid="{7FDE6F62-459F-4000-A71B-16651FDC7959}"/>
    <cellStyle name="Normal 2 4 4 30" xfId="4226" xr:uid="{D1A16F3E-44C0-4940-B643-D51D97793B9A}"/>
    <cellStyle name="Normal 2 4 4 30 2" xfId="4227" xr:uid="{4BFB9327-3E5B-4D36-BFF2-48DA37AC0269}"/>
    <cellStyle name="Normal 2 4 4 30 2 2" xfId="4228" xr:uid="{38777175-B0D6-44CA-B1A7-A71B70368B07}"/>
    <cellStyle name="Normal 2 4 4 30 2 2 2" xfId="13060" xr:uid="{E8290F71-871B-4098-A90A-7F9850F95A83}"/>
    <cellStyle name="Normal 2 4 4 30 2 3" xfId="4229" xr:uid="{F0A7600F-2B5B-4CE6-B359-2ECC5E365FA0}"/>
    <cellStyle name="Normal 2 4 4 30 2 3 2" xfId="13061" xr:uid="{9A8BD506-A848-4211-A99D-A906E933213F}"/>
    <cellStyle name="Normal 2 4 4 30 2 4" xfId="13059" xr:uid="{B7FF6DC0-E8B6-404C-AD3A-C8E56873F7B3}"/>
    <cellStyle name="Normal 2 4 4 30 3" xfId="4230" xr:uid="{39F161D2-F911-43D7-913B-C8891A308D29}"/>
    <cellStyle name="Normal 2 4 4 30 3 2" xfId="13062" xr:uid="{17A9CEBF-9A90-40D8-886F-04831AB4C06E}"/>
    <cellStyle name="Normal 2 4 4 30 4" xfId="4231" xr:uid="{2F6CDE8E-5397-4FED-9BDD-22E2A9C66CFF}"/>
    <cellStyle name="Normal 2 4 4 30 4 2" xfId="13063" xr:uid="{E1BA7EF6-D6ED-4DA6-A994-51B8FF9DE54D}"/>
    <cellStyle name="Normal 2 4 4 30 5" xfId="13058" xr:uid="{E759D29F-94DB-4AF3-9459-6C19464FD405}"/>
    <cellStyle name="Normal 2 4 4 31" xfId="4232" xr:uid="{DD9B2A5C-78DF-491D-B15D-F1A634BD9A94}"/>
    <cellStyle name="Normal 2 4 4 31 2" xfId="4233" xr:uid="{99DB6C0E-DBF4-4DCB-8E9B-71A0043E6506}"/>
    <cellStyle name="Normal 2 4 4 31 2 2" xfId="4234" xr:uid="{63E6778A-F511-4446-8485-20974E8724AE}"/>
    <cellStyle name="Normal 2 4 4 31 2 2 2" xfId="13066" xr:uid="{E80E9A31-DB69-47B6-B0EC-E19539475039}"/>
    <cellStyle name="Normal 2 4 4 31 2 3" xfId="4235" xr:uid="{9BFC68FB-46AE-4532-A92B-7BBD17245EAE}"/>
    <cellStyle name="Normal 2 4 4 31 2 3 2" xfId="13067" xr:uid="{B6BA7633-ACD7-4D0B-AFC6-854169763ED1}"/>
    <cellStyle name="Normal 2 4 4 31 2 4" xfId="13065" xr:uid="{92E31785-CDE7-4E9D-831E-385988E116FC}"/>
    <cellStyle name="Normal 2 4 4 31 3" xfId="4236" xr:uid="{B58CBFAF-B35A-4B31-B8FD-469CB8109B71}"/>
    <cellStyle name="Normal 2 4 4 31 3 2" xfId="13068" xr:uid="{053AE905-04E0-4906-A695-0E63E32E0B68}"/>
    <cellStyle name="Normal 2 4 4 31 4" xfId="4237" xr:uid="{9AED50AC-6E64-4A28-8AD6-6D0CCB81FEFA}"/>
    <cellStyle name="Normal 2 4 4 31 4 2" xfId="13069" xr:uid="{6FA672C2-6621-4A2E-AC7E-786DDFE8AADF}"/>
    <cellStyle name="Normal 2 4 4 31 5" xfId="13064" xr:uid="{E0E27AA3-8189-4B62-A74E-618138564AE2}"/>
    <cellStyle name="Normal 2 4 4 32" xfId="4238" xr:uid="{65A2A247-6DD6-46A5-B6AE-8C3DFD7B64F7}"/>
    <cellStyle name="Normal 2 4 4 32 2" xfId="4239" xr:uid="{EEDF2940-FEC5-4722-A0ED-18715DD3D4C2}"/>
    <cellStyle name="Normal 2 4 4 32 2 2" xfId="4240" xr:uid="{611DCDAB-AE1C-43AB-979E-8584D917803A}"/>
    <cellStyle name="Normal 2 4 4 32 2 2 2" xfId="13072" xr:uid="{C027B0A4-8D17-4D29-87D4-8B180B26451B}"/>
    <cellStyle name="Normal 2 4 4 32 2 3" xfId="4241" xr:uid="{6B83E2FD-A523-4C71-800E-5CDA0488C7E7}"/>
    <cellStyle name="Normal 2 4 4 32 2 3 2" xfId="13073" xr:uid="{AB458E78-B7CE-4FC3-BCF8-E45AFF917DB4}"/>
    <cellStyle name="Normal 2 4 4 32 2 4" xfId="13071" xr:uid="{FA6EA145-06EA-4634-911E-A4EB615741B9}"/>
    <cellStyle name="Normal 2 4 4 32 3" xfId="4242" xr:uid="{3AAF4477-10DA-4442-864C-C1FCF6D8B541}"/>
    <cellStyle name="Normal 2 4 4 32 3 2" xfId="13074" xr:uid="{01D76616-99BA-427F-A651-D7B606823F78}"/>
    <cellStyle name="Normal 2 4 4 32 4" xfId="4243" xr:uid="{EBE5AC72-C8A0-4520-8E5B-18DC75A93942}"/>
    <cellStyle name="Normal 2 4 4 32 4 2" xfId="13075" xr:uid="{C9593023-6AB5-40A2-97BF-2FD752BB5CC3}"/>
    <cellStyle name="Normal 2 4 4 32 5" xfId="13070" xr:uid="{136DEF8F-CC58-45AB-86A9-71C507300057}"/>
    <cellStyle name="Normal 2 4 4 33" xfId="4244" xr:uid="{2513BFFE-8DD2-4B0C-9491-543E70EF05DC}"/>
    <cellStyle name="Normal 2 4 4 33 2" xfId="4245" xr:uid="{7C658C72-6AD6-4410-85A6-DDBD8E71800A}"/>
    <cellStyle name="Normal 2 4 4 33 2 2" xfId="4246" xr:uid="{88A60290-D941-463E-94CA-CBE0E3FD29E2}"/>
    <cellStyle name="Normal 2 4 4 33 2 2 2" xfId="13078" xr:uid="{8E2A52C5-616F-4B3E-A3F0-0CE196FF44F3}"/>
    <cellStyle name="Normal 2 4 4 33 2 3" xfId="4247" xr:uid="{582A5D8C-2C72-4360-8782-926806925EC2}"/>
    <cellStyle name="Normal 2 4 4 33 2 3 2" xfId="13079" xr:uid="{BC042348-8736-4BB3-94C0-61A90B1D7A3A}"/>
    <cellStyle name="Normal 2 4 4 33 2 4" xfId="13077" xr:uid="{79A6165A-B11C-4C6E-98B6-E26FD8CE68AC}"/>
    <cellStyle name="Normal 2 4 4 33 3" xfId="4248" xr:uid="{C5851541-C5AB-4C11-9739-328EB76E2E63}"/>
    <cellStyle name="Normal 2 4 4 33 3 2" xfId="13080" xr:uid="{AB7A5CAA-30E6-4D70-B8F9-4CE82EB4332E}"/>
    <cellStyle name="Normal 2 4 4 33 4" xfId="4249" xr:uid="{9C94019A-AC0C-4BD7-95D8-DE1F0DD61845}"/>
    <cellStyle name="Normal 2 4 4 33 4 2" xfId="13081" xr:uid="{2E4F4656-3753-4FC7-A6C3-8BEAA58949FD}"/>
    <cellStyle name="Normal 2 4 4 33 5" xfId="13076" xr:uid="{66F87A12-8582-4B63-BFC3-AF8AD76A624D}"/>
    <cellStyle name="Normal 2 4 4 34" xfId="4250" xr:uid="{C2A2613B-C218-4E18-9975-B89B046B8C19}"/>
    <cellStyle name="Normal 2 4 4 34 2" xfId="4251" xr:uid="{DFFCCEE3-5903-409B-A3A5-1E212CD32D09}"/>
    <cellStyle name="Normal 2 4 4 34 2 2" xfId="4252" xr:uid="{BFB888A0-A162-4122-A057-B961250A4EED}"/>
    <cellStyle name="Normal 2 4 4 34 2 2 2" xfId="13084" xr:uid="{AA2768EF-020A-4907-8C42-F3E6212312D5}"/>
    <cellStyle name="Normal 2 4 4 34 2 3" xfId="4253" xr:uid="{2594EF34-7CEC-4723-92EC-826887C109BB}"/>
    <cellStyle name="Normal 2 4 4 34 2 3 2" xfId="13085" xr:uid="{1C400E35-5030-4E80-B77F-3F23DE8BCE63}"/>
    <cellStyle name="Normal 2 4 4 34 2 4" xfId="13083" xr:uid="{990C4CD1-BDAD-41F2-8A5F-EE3E246EA004}"/>
    <cellStyle name="Normal 2 4 4 34 3" xfId="4254" xr:uid="{F9200E1A-F78E-4400-ADEE-457E46290385}"/>
    <cellStyle name="Normal 2 4 4 34 3 2" xfId="13086" xr:uid="{5A827DE8-8685-4097-9C81-2D662DE40C51}"/>
    <cellStyle name="Normal 2 4 4 34 4" xfId="4255" xr:uid="{0DAD97D0-991B-4484-AFE9-888C1826AC2D}"/>
    <cellStyle name="Normal 2 4 4 34 4 2" xfId="13087" xr:uid="{7B561547-CBD6-4860-9029-098A60630A27}"/>
    <cellStyle name="Normal 2 4 4 34 5" xfId="13082" xr:uid="{F4D4E079-68F0-472D-8894-A0E3A3BFED42}"/>
    <cellStyle name="Normal 2 4 4 35" xfId="4256" xr:uid="{2424B98E-81B7-4103-B236-8C958DBE647E}"/>
    <cellStyle name="Normal 2 4 4 35 2" xfId="4257" xr:uid="{31911E4D-40A5-4A77-AF4A-977144167ABA}"/>
    <cellStyle name="Normal 2 4 4 35 2 2" xfId="4258" xr:uid="{B0C786C2-FB8D-4701-B9A9-818CF867419C}"/>
    <cellStyle name="Normal 2 4 4 35 2 2 2" xfId="13090" xr:uid="{E523B4E3-0B69-44E3-B3BD-A94AB0FA6738}"/>
    <cellStyle name="Normal 2 4 4 35 2 3" xfId="4259" xr:uid="{8492D821-95F6-4AE5-BAB7-3743869E637B}"/>
    <cellStyle name="Normal 2 4 4 35 2 3 2" xfId="13091" xr:uid="{5F788232-F5B6-4A47-8CD4-DFE55C637E84}"/>
    <cellStyle name="Normal 2 4 4 35 2 4" xfId="13089" xr:uid="{483205CD-FC4C-4163-A1F9-DC5218A26036}"/>
    <cellStyle name="Normal 2 4 4 35 3" xfId="4260" xr:uid="{E8C79C78-0AE3-442C-8F86-2E6739382920}"/>
    <cellStyle name="Normal 2 4 4 35 3 2" xfId="13092" xr:uid="{8E584A4D-1FD0-416C-85F5-E509F9A4A6F9}"/>
    <cellStyle name="Normal 2 4 4 35 4" xfId="4261" xr:uid="{FC5CB92F-D822-4766-985D-880BEA278A75}"/>
    <cellStyle name="Normal 2 4 4 35 4 2" xfId="13093" xr:uid="{7C19E505-5832-4CAF-A3F2-D81EED91A745}"/>
    <cellStyle name="Normal 2 4 4 35 5" xfId="13088" xr:uid="{66F9DE40-3A3E-4C25-9BD6-A89EC074120E}"/>
    <cellStyle name="Normal 2 4 4 36" xfId="4262" xr:uid="{C18DE2B3-0BD7-4BA7-B161-C2DC0D0FB78D}"/>
    <cellStyle name="Normal 2 4 4 36 2" xfId="4263" xr:uid="{1ED82986-901E-4DB1-A6CE-5BF47FAC0631}"/>
    <cellStyle name="Normal 2 4 4 36 2 2" xfId="4264" xr:uid="{BCC75846-6C1A-49E2-BCF4-2D23587FF36B}"/>
    <cellStyle name="Normal 2 4 4 36 2 2 2" xfId="13096" xr:uid="{DE79C4F1-A45E-4178-9EBB-C88ED839EBCE}"/>
    <cellStyle name="Normal 2 4 4 36 2 3" xfId="4265" xr:uid="{6C8C90DB-C9D4-4F22-A3F1-1BE25CB91D5A}"/>
    <cellStyle name="Normal 2 4 4 36 2 3 2" xfId="13097" xr:uid="{5C50732C-7298-4610-90FC-3F99DB157511}"/>
    <cellStyle name="Normal 2 4 4 36 2 4" xfId="13095" xr:uid="{6AF08BC0-64F9-420B-B749-CC9B82E94149}"/>
    <cellStyle name="Normal 2 4 4 36 3" xfId="4266" xr:uid="{4201DAC6-F671-4B23-B204-CD4F1D915171}"/>
    <cellStyle name="Normal 2 4 4 36 3 2" xfId="13098" xr:uid="{F2C070AF-16E5-406B-80DE-C0175FAEC88B}"/>
    <cellStyle name="Normal 2 4 4 36 4" xfId="4267" xr:uid="{86A15D21-6769-46B8-BE60-913A5C1F35A6}"/>
    <cellStyle name="Normal 2 4 4 36 4 2" xfId="13099" xr:uid="{90BD5C90-F623-441B-BA59-8371077DC18D}"/>
    <cellStyle name="Normal 2 4 4 36 5" xfId="13094" xr:uid="{A6DCA658-C690-414A-AE2D-8709BBBCA624}"/>
    <cellStyle name="Normal 2 4 4 37" xfId="4268" xr:uid="{E0C0987A-F232-43EE-AB9B-F642FFAC91F6}"/>
    <cellStyle name="Normal 2 4 4 37 2" xfId="4269" xr:uid="{B507DA09-5C76-409C-AED6-5BAAA72C4710}"/>
    <cellStyle name="Normal 2 4 4 37 2 2" xfId="4270" xr:uid="{E064AB03-8F02-49E3-9153-66FE9C50AA3E}"/>
    <cellStyle name="Normal 2 4 4 37 2 2 2" xfId="13102" xr:uid="{D6F3E97F-2017-466D-A177-8B0BAED15AB2}"/>
    <cellStyle name="Normal 2 4 4 37 2 3" xfId="4271" xr:uid="{F7E16008-59AC-40D3-9B4B-25063714C679}"/>
    <cellStyle name="Normal 2 4 4 37 2 3 2" xfId="13103" xr:uid="{D53F20A9-3D9C-4A9F-9BD2-3E866391C6A3}"/>
    <cellStyle name="Normal 2 4 4 37 2 4" xfId="13101" xr:uid="{14A63FA9-1D2F-4399-8168-92FF91BFA75F}"/>
    <cellStyle name="Normal 2 4 4 37 3" xfId="4272" xr:uid="{46D457C9-E2F5-43D6-9740-34D719CD2ED8}"/>
    <cellStyle name="Normal 2 4 4 37 3 2" xfId="13104" xr:uid="{1D847569-DB3F-481F-8B0C-129AE3486A2D}"/>
    <cellStyle name="Normal 2 4 4 37 4" xfId="4273" xr:uid="{DF9B6190-F69D-4504-8D92-F4723DE67F96}"/>
    <cellStyle name="Normal 2 4 4 37 4 2" xfId="13105" xr:uid="{D6F4E7D3-C657-45C3-B82E-1B96AE1D7E6F}"/>
    <cellStyle name="Normal 2 4 4 37 5" xfId="13100" xr:uid="{0D8DFD97-6065-4FF3-A1E4-15E89BDF0F49}"/>
    <cellStyle name="Normal 2 4 4 38" xfId="4274" xr:uid="{0B9BF2DD-C472-4A53-82A0-D6D3A1500B06}"/>
    <cellStyle name="Normal 2 4 4 38 2" xfId="4275" xr:uid="{6991FFBB-87DB-417C-9D16-5637E1DFE64B}"/>
    <cellStyle name="Normal 2 4 4 38 2 2" xfId="4276" xr:uid="{FEC3051D-F27F-4417-8E61-17A13EBDCC61}"/>
    <cellStyle name="Normal 2 4 4 38 2 2 2" xfId="13108" xr:uid="{AB20D6E0-54CE-4D23-B8C6-3940775AF4AC}"/>
    <cellStyle name="Normal 2 4 4 38 2 3" xfId="4277" xr:uid="{156D3293-E74B-4135-A50A-EAE5FF3154CA}"/>
    <cellStyle name="Normal 2 4 4 38 2 3 2" xfId="13109" xr:uid="{BD9CDD9B-7AAA-4896-9783-02F428A03776}"/>
    <cellStyle name="Normal 2 4 4 38 2 4" xfId="13107" xr:uid="{4CA8C183-AA1D-4B37-B514-FDDB41AF44A4}"/>
    <cellStyle name="Normal 2 4 4 38 3" xfId="4278" xr:uid="{8B52CF96-1865-4585-A104-F022D166C06F}"/>
    <cellStyle name="Normal 2 4 4 38 3 2" xfId="13110" xr:uid="{B0643751-1304-463B-B584-8B6BF0E3D356}"/>
    <cellStyle name="Normal 2 4 4 38 4" xfId="4279" xr:uid="{46BB0034-362C-4997-8629-ECC2684E8804}"/>
    <cellStyle name="Normal 2 4 4 38 4 2" xfId="13111" xr:uid="{B46FB32E-8FD5-4F30-89ED-15B93AB9201B}"/>
    <cellStyle name="Normal 2 4 4 38 5" xfId="13106" xr:uid="{408ADF6F-30DD-4D1F-9FA9-0EBB9B84511B}"/>
    <cellStyle name="Normal 2 4 4 39" xfId="4280" xr:uid="{51766C79-BE44-4E97-A1BE-AC8918C82C1E}"/>
    <cellStyle name="Normal 2 4 4 39 2" xfId="4281" xr:uid="{26A39DB6-EE11-4586-9CB5-1F4F2EA95930}"/>
    <cellStyle name="Normal 2 4 4 39 2 2" xfId="4282" xr:uid="{6B75DF4C-A995-456E-93A5-0391FFF86297}"/>
    <cellStyle name="Normal 2 4 4 39 2 2 2" xfId="13114" xr:uid="{2B257B42-F91D-44FF-9C34-ED056E138A95}"/>
    <cellStyle name="Normal 2 4 4 39 2 3" xfId="4283" xr:uid="{FCBC3986-88E1-409D-9C5E-224DBC201F55}"/>
    <cellStyle name="Normal 2 4 4 39 2 3 2" xfId="13115" xr:uid="{F179D3C3-814F-445E-836A-81E10672309E}"/>
    <cellStyle name="Normal 2 4 4 39 2 4" xfId="13113" xr:uid="{39E8E71A-7CF5-4B02-A873-8F2835E25E99}"/>
    <cellStyle name="Normal 2 4 4 39 3" xfId="4284" xr:uid="{6ACE2CDA-268A-4AEC-9D93-B10004276926}"/>
    <cellStyle name="Normal 2 4 4 39 3 2" xfId="13116" xr:uid="{BAAAF816-DDBF-451B-8A90-80BC19BD72F8}"/>
    <cellStyle name="Normal 2 4 4 39 4" xfId="4285" xr:uid="{0EE54320-7FF7-4D05-8E07-B8BF2600ADF6}"/>
    <cellStyle name="Normal 2 4 4 39 4 2" xfId="13117" xr:uid="{96880135-FD73-4E62-AE20-A6968A13CEA2}"/>
    <cellStyle name="Normal 2 4 4 39 5" xfId="13112" xr:uid="{0658924D-97C2-4C26-8E5B-FD99F273821F}"/>
    <cellStyle name="Normal 2 4 4 4" xfId="4286" xr:uid="{693B362E-636E-4762-8DD8-ECC669FBB727}"/>
    <cellStyle name="Normal 2 4 4 4 2" xfId="4287" xr:uid="{C61DC95E-3A85-4F73-A5EB-DF0AED784E77}"/>
    <cellStyle name="Normal 2 4 4 4 2 2" xfId="4288" xr:uid="{82A7B728-E539-4382-9DDF-248AF59C9DD2}"/>
    <cellStyle name="Normal 2 4 4 4 2 2 2" xfId="13120" xr:uid="{FBF48FCA-3AF3-422A-BE2F-6CFE76007273}"/>
    <cellStyle name="Normal 2 4 4 4 2 3" xfId="4289" xr:uid="{2755D1F1-A229-4F70-B6AB-8B17CFBEC80B}"/>
    <cellStyle name="Normal 2 4 4 4 2 3 2" xfId="13121" xr:uid="{CE0E4072-3F4E-45D7-AB05-14936E31AE87}"/>
    <cellStyle name="Normal 2 4 4 4 2 4" xfId="13119" xr:uid="{08B40372-57B6-456F-89A8-F0435E98FF45}"/>
    <cellStyle name="Normal 2 4 4 4 3" xfId="4290" xr:uid="{B231D0F2-8C73-49FE-8536-0631CCDDCDC4}"/>
    <cellStyle name="Normal 2 4 4 4 3 2" xfId="13122" xr:uid="{4F4A4845-2216-483D-886C-94169100DAF8}"/>
    <cellStyle name="Normal 2 4 4 4 4" xfId="4291" xr:uid="{6CF46FCC-EFF9-40FE-BAD9-AB2999DE2819}"/>
    <cellStyle name="Normal 2 4 4 4 4 2" xfId="13123" xr:uid="{A4C46702-BB64-48EE-BB67-4F665A29EB80}"/>
    <cellStyle name="Normal 2 4 4 4 5" xfId="13118" xr:uid="{F6F60166-7D68-4C3D-8EFB-B797ACFF3519}"/>
    <cellStyle name="Normal 2 4 4 40" xfId="4292" xr:uid="{CF00E3E3-DA1E-47B5-B7D9-4F1F817FB2F1}"/>
    <cellStyle name="Normal 2 4 4 40 2" xfId="4293" xr:uid="{D848F508-33C7-4082-9FAB-EC3F8BB11012}"/>
    <cellStyle name="Normal 2 4 4 40 2 2" xfId="4294" xr:uid="{64DFD169-23B2-483D-9A85-CBDCDECD79DC}"/>
    <cellStyle name="Normal 2 4 4 40 2 2 2" xfId="13126" xr:uid="{63520CCE-6B49-4DF9-8A89-9A5A3170B16E}"/>
    <cellStyle name="Normal 2 4 4 40 2 3" xfId="4295" xr:uid="{2F968401-C2BA-4D13-A6DC-FCE22864764A}"/>
    <cellStyle name="Normal 2 4 4 40 2 3 2" xfId="13127" xr:uid="{031FEE3E-9409-4F0A-AA8C-DD32DD3C3705}"/>
    <cellStyle name="Normal 2 4 4 40 2 4" xfId="13125" xr:uid="{7FA2E24E-B651-4E79-8A77-8766F19E403D}"/>
    <cellStyle name="Normal 2 4 4 40 3" xfId="4296" xr:uid="{54AEB820-A903-4AC4-B312-B13F37CE0AFC}"/>
    <cellStyle name="Normal 2 4 4 40 3 2" xfId="13128" xr:uid="{779D721B-48B8-4716-A909-AD284EA898B1}"/>
    <cellStyle name="Normal 2 4 4 40 4" xfId="4297" xr:uid="{4FD01960-4F93-426D-B341-65381F8F2C94}"/>
    <cellStyle name="Normal 2 4 4 40 4 2" xfId="13129" xr:uid="{C37CC4BD-C52B-40BA-BE61-3905764E6C07}"/>
    <cellStyle name="Normal 2 4 4 40 5" xfId="13124" xr:uid="{7B6BC259-D20D-47B8-8F24-131FE182F1F4}"/>
    <cellStyle name="Normal 2 4 4 41" xfId="4298" xr:uid="{AA8EE941-A281-444D-A4A2-BB9E924C6F68}"/>
    <cellStyle name="Normal 2 4 4 41 2" xfId="4299" xr:uid="{8D196BD9-EC57-4465-A141-BEEDEE4CB0EC}"/>
    <cellStyle name="Normal 2 4 4 41 2 2" xfId="4300" xr:uid="{BDCAF810-A796-452F-B914-F8821F4E5EDE}"/>
    <cellStyle name="Normal 2 4 4 41 2 2 2" xfId="13132" xr:uid="{009D60F4-5FBC-4424-981D-D3AE031C5379}"/>
    <cellStyle name="Normal 2 4 4 41 2 3" xfId="4301" xr:uid="{0E6C3411-3CDC-4A6B-9529-07D6B91C2E32}"/>
    <cellStyle name="Normal 2 4 4 41 2 3 2" xfId="13133" xr:uid="{E24319B5-7BE6-4C53-A9DC-DC9F81B93267}"/>
    <cellStyle name="Normal 2 4 4 41 2 4" xfId="13131" xr:uid="{33B67461-ED5F-48C3-B763-C45C1FC60B78}"/>
    <cellStyle name="Normal 2 4 4 41 3" xfId="4302" xr:uid="{941896E5-7A97-4051-8593-35A13A346420}"/>
    <cellStyle name="Normal 2 4 4 41 3 2" xfId="13134" xr:uid="{4CC4E4B5-1CF2-4432-9E8D-1424B4084D3C}"/>
    <cellStyle name="Normal 2 4 4 41 4" xfId="4303" xr:uid="{3C0FB959-904E-4873-92F9-9CC2287B925D}"/>
    <cellStyle name="Normal 2 4 4 41 4 2" xfId="13135" xr:uid="{44D00F8E-9F84-4D94-A5DE-726C77F0890E}"/>
    <cellStyle name="Normal 2 4 4 41 5" xfId="13130" xr:uid="{D0133CAF-2296-48AC-B1A0-C03C8128BC30}"/>
    <cellStyle name="Normal 2 4 4 42" xfId="4304" xr:uid="{60CCC0BC-6E16-4D6F-977E-9843B05E1567}"/>
    <cellStyle name="Normal 2 4 4 42 2" xfId="4305" xr:uid="{466EFF6B-689A-496E-9890-E8C7AB7E943F}"/>
    <cellStyle name="Normal 2 4 4 42 2 2" xfId="4306" xr:uid="{A9C2D9EA-F58C-482C-BE79-D94BB7A24CEE}"/>
    <cellStyle name="Normal 2 4 4 42 2 2 2" xfId="13138" xr:uid="{3A8E218B-B398-4D30-AE6D-18D2060390CE}"/>
    <cellStyle name="Normal 2 4 4 42 2 3" xfId="4307" xr:uid="{3507F00E-DEDE-4C1B-BDB7-40790A6B54C1}"/>
    <cellStyle name="Normal 2 4 4 42 2 3 2" xfId="13139" xr:uid="{6C1F9ED2-885D-44E1-AFCB-BA7B2A01C354}"/>
    <cellStyle name="Normal 2 4 4 42 2 4" xfId="13137" xr:uid="{0BB296C2-676E-493F-AFFC-3537904CA963}"/>
    <cellStyle name="Normal 2 4 4 42 3" xfId="4308" xr:uid="{B1A10CA0-B994-4120-BAA3-9267C6E11B81}"/>
    <cellStyle name="Normal 2 4 4 42 3 2" xfId="13140" xr:uid="{BA62458D-0B17-40FF-9295-7FAE0FEDFB55}"/>
    <cellStyle name="Normal 2 4 4 42 4" xfId="4309" xr:uid="{923CC8FE-438C-45AD-B3A8-416EDBC385DE}"/>
    <cellStyle name="Normal 2 4 4 42 4 2" xfId="13141" xr:uid="{D1FC1A59-2528-49BD-B8D9-73C6FF5F5D14}"/>
    <cellStyle name="Normal 2 4 4 42 5" xfId="13136" xr:uid="{ED1A7A1C-CF8D-4674-A8EC-8907D84AA20C}"/>
    <cellStyle name="Normal 2 4 4 43" xfId="4310" xr:uid="{8E197DEA-0FA5-4581-973F-0FE048B4339D}"/>
    <cellStyle name="Normal 2 4 4 43 2" xfId="4311" xr:uid="{3C1B4C2F-5511-442C-A606-4C653CA5DBB7}"/>
    <cellStyle name="Normal 2 4 4 43 2 2" xfId="4312" xr:uid="{B910D71F-C808-4A19-9E2B-1FAACEB94C01}"/>
    <cellStyle name="Normal 2 4 4 43 2 2 2" xfId="13144" xr:uid="{C1196ED0-64BB-4BB8-8DBC-8B6A5DAE4C5C}"/>
    <cellStyle name="Normal 2 4 4 43 2 3" xfId="4313" xr:uid="{1238E6C4-95E6-4847-ADE3-C2B36B5FD8D2}"/>
    <cellStyle name="Normal 2 4 4 43 2 3 2" xfId="13145" xr:uid="{EF2873CC-09E2-4E6D-B508-EAADF3869058}"/>
    <cellStyle name="Normal 2 4 4 43 2 4" xfId="13143" xr:uid="{AD0C44A5-585B-49A9-B64C-8F81A86AE98F}"/>
    <cellStyle name="Normal 2 4 4 43 3" xfId="4314" xr:uid="{C524E067-5707-4C78-BBA3-4EADB13A9CD7}"/>
    <cellStyle name="Normal 2 4 4 43 3 2" xfId="13146" xr:uid="{B5ED8B18-4D39-4B7F-B1FF-3B5DE3961D89}"/>
    <cellStyle name="Normal 2 4 4 43 4" xfId="4315" xr:uid="{995C1ED2-1BF3-4D61-B98A-9354C1EE46AD}"/>
    <cellStyle name="Normal 2 4 4 43 4 2" xfId="13147" xr:uid="{75608402-74EE-433B-8264-EE08D8887542}"/>
    <cellStyle name="Normal 2 4 4 43 5" xfId="13142" xr:uid="{8D62EFE2-9D9A-4067-B69C-199E8BB6331F}"/>
    <cellStyle name="Normal 2 4 4 44" xfId="4316" xr:uid="{DF77AEC0-2EA8-40BB-AB90-7B57AA0EC58A}"/>
    <cellStyle name="Normal 2 4 4 44 2" xfId="4317" xr:uid="{4D81BF44-0F14-41CA-8BE4-E66DB6CA4BF6}"/>
    <cellStyle name="Normal 2 4 4 44 2 2" xfId="13149" xr:uid="{D342AE17-A1BC-45E4-A9B2-6C259E979338}"/>
    <cellStyle name="Normal 2 4 4 44 3" xfId="4318" xr:uid="{796E15EE-F062-4CED-A1C7-2FA68CE9EAE2}"/>
    <cellStyle name="Normal 2 4 4 44 3 2" xfId="13150" xr:uid="{2C4D1CB0-6675-4858-8C18-5B7B43557592}"/>
    <cellStyle name="Normal 2 4 4 44 4" xfId="13148" xr:uid="{D26761B2-1A24-4155-B56D-7D0DDE151845}"/>
    <cellStyle name="Normal 2 4 4 45" xfId="4319" xr:uid="{0AD81558-7AC5-472A-B1EB-3D520CBCA211}"/>
    <cellStyle name="Normal 2 4 4 45 2" xfId="13151" xr:uid="{85279FBC-029C-4DCA-A313-6092940DA9ED}"/>
    <cellStyle name="Normal 2 4 4 46" xfId="4320" xr:uid="{1AE66F03-9337-4E07-AB9D-CA11B6612A2F}"/>
    <cellStyle name="Normal 2 4 4 46 2" xfId="13152" xr:uid="{326B48B6-002D-42FB-9156-9D60BC7A44FA}"/>
    <cellStyle name="Normal 2 4 4 47" xfId="12925" xr:uid="{1B8611EC-94FA-4D13-AB79-3EF169E933B8}"/>
    <cellStyle name="Normal 2 4 4 5" xfId="4321" xr:uid="{74A85BC5-7A61-4145-AB4F-F31F01BDAC40}"/>
    <cellStyle name="Normal 2 4 4 5 2" xfId="4322" xr:uid="{1FCF6086-B9FC-4FDD-A033-DC40343C0A10}"/>
    <cellStyle name="Normal 2 4 4 5 2 2" xfId="4323" xr:uid="{7D0E6F27-4FEA-4137-BE31-3EEE8C4B10AC}"/>
    <cellStyle name="Normal 2 4 4 5 2 2 2" xfId="13155" xr:uid="{137321B9-D6CA-4455-BA29-18A3F089A445}"/>
    <cellStyle name="Normal 2 4 4 5 2 3" xfId="4324" xr:uid="{44E4775C-BF91-40A0-A92F-7D46E9810F57}"/>
    <cellStyle name="Normal 2 4 4 5 2 3 2" xfId="13156" xr:uid="{81752EA8-E547-46C0-85A8-1C5C15CC0CF6}"/>
    <cellStyle name="Normal 2 4 4 5 2 4" xfId="13154" xr:uid="{BDD0B7D4-1166-4A67-B1CA-760B1963A515}"/>
    <cellStyle name="Normal 2 4 4 5 3" xfId="4325" xr:uid="{35D94F82-48AA-4AA9-A117-7ACDBF97EF80}"/>
    <cellStyle name="Normal 2 4 4 5 3 2" xfId="13157" xr:uid="{6C29696E-8BCD-44D5-9FEB-4F1D333A90C7}"/>
    <cellStyle name="Normal 2 4 4 5 4" xfId="4326" xr:uid="{57840E9A-C5A0-4A34-8A90-F0A3692AB053}"/>
    <cellStyle name="Normal 2 4 4 5 4 2" xfId="13158" xr:uid="{D44E4441-0B77-429E-B9A3-DFEF9519D414}"/>
    <cellStyle name="Normal 2 4 4 5 5" xfId="13153" xr:uid="{CF12DC70-45EE-4761-86CF-0344646AE252}"/>
    <cellStyle name="Normal 2 4 4 6" xfId="4327" xr:uid="{C36DCC47-07DB-4EDE-B1C0-7E1566562354}"/>
    <cellStyle name="Normal 2 4 4 6 2" xfId="4328" xr:uid="{C55CCED7-6925-46E1-A3A9-1D3FEB3BBB22}"/>
    <cellStyle name="Normal 2 4 4 6 2 2" xfId="4329" xr:uid="{147EDEF7-6E85-4330-A2C3-44D15995E933}"/>
    <cellStyle name="Normal 2 4 4 6 2 2 2" xfId="13161" xr:uid="{EBCB367D-1DDA-4DFC-8E87-6D0FF219C835}"/>
    <cellStyle name="Normal 2 4 4 6 2 3" xfId="4330" xr:uid="{BB8DC9C6-4F5B-4EA8-BE0A-D119F34E4C30}"/>
    <cellStyle name="Normal 2 4 4 6 2 3 2" xfId="13162" xr:uid="{E5265B5E-F283-4D91-B057-3635F10FE31F}"/>
    <cellStyle name="Normal 2 4 4 6 2 4" xfId="13160" xr:uid="{9FB3BF03-BB26-4DF7-BEA8-B3BD0D964178}"/>
    <cellStyle name="Normal 2 4 4 6 3" xfId="4331" xr:uid="{F772868C-0A18-42DA-A6E6-77EADF274C54}"/>
    <cellStyle name="Normal 2 4 4 6 3 2" xfId="13163" xr:uid="{C601B7CE-4C9A-4AFF-BA9E-CE28388FC818}"/>
    <cellStyle name="Normal 2 4 4 6 4" xfId="4332" xr:uid="{FFCB506C-059F-4033-9455-8694EC9D055A}"/>
    <cellStyle name="Normal 2 4 4 6 4 2" xfId="13164" xr:uid="{31366466-BD31-469A-9BD9-061CD5D843B4}"/>
    <cellStyle name="Normal 2 4 4 6 5" xfId="13159" xr:uid="{FCEEA7E4-D3BE-4BD6-929B-8D82C470AAA2}"/>
    <cellStyle name="Normal 2 4 4 7" xfId="4333" xr:uid="{5ECCE362-6A0B-43AC-B130-0E7D4928EF71}"/>
    <cellStyle name="Normal 2 4 4 7 2" xfId="4334" xr:uid="{CC9F73A8-207D-47FA-8563-951B9335A1CE}"/>
    <cellStyle name="Normal 2 4 4 7 2 2" xfId="4335" xr:uid="{98C124BB-B9FF-4130-B9FB-0B0BB5D3CDF4}"/>
    <cellStyle name="Normal 2 4 4 7 2 2 2" xfId="13167" xr:uid="{CE317128-0726-4D35-B8F1-89BFAEB304F6}"/>
    <cellStyle name="Normal 2 4 4 7 2 3" xfId="4336" xr:uid="{302B67C6-CAA4-46BD-9F09-C4FC8A959117}"/>
    <cellStyle name="Normal 2 4 4 7 2 3 2" xfId="13168" xr:uid="{FE4382B8-51F4-4923-B2B0-18343BB0E40B}"/>
    <cellStyle name="Normal 2 4 4 7 2 4" xfId="13166" xr:uid="{BADD7310-2F9F-447C-AB75-58BB11A4506B}"/>
    <cellStyle name="Normal 2 4 4 7 3" xfId="4337" xr:uid="{6E945DE6-0273-4DA9-B663-3DBCFDA1C339}"/>
    <cellStyle name="Normal 2 4 4 7 3 2" xfId="13169" xr:uid="{76D72805-29A0-4AAA-8927-9ECA712338D5}"/>
    <cellStyle name="Normal 2 4 4 7 4" xfId="4338" xr:uid="{2416DACF-2CBB-43FE-BB8D-4D5854CA2FEA}"/>
    <cellStyle name="Normal 2 4 4 7 4 2" xfId="13170" xr:uid="{D54DD885-C5B8-46DD-AD32-132D7722CC5C}"/>
    <cellStyle name="Normal 2 4 4 7 5" xfId="13165" xr:uid="{0032FD94-C4C0-40BA-8F2A-9DA5ADDB5D7B}"/>
    <cellStyle name="Normal 2 4 4 8" xfId="4339" xr:uid="{6482B5EC-40FE-4F28-A765-1FCD56FCF7E8}"/>
    <cellStyle name="Normal 2 4 4 8 2" xfId="4340" xr:uid="{05283333-C2E9-4CFB-B22F-F0D5A3613F1B}"/>
    <cellStyle name="Normal 2 4 4 8 2 2" xfId="4341" xr:uid="{527AE44B-AE38-4056-BD95-0279E51CB94E}"/>
    <cellStyle name="Normal 2 4 4 8 2 2 2" xfId="13173" xr:uid="{0675F80C-CF01-4C66-9AA8-EA5A757B6AC1}"/>
    <cellStyle name="Normal 2 4 4 8 2 3" xfId="4342" xr:uid="{791E74AF-83ED-45D6-9B9A-DCA4A8D57346}"/>
    <cellStyle name="Normal 2 4 4 8 2 3 2" xfId="13174" xr:uid="{17DD32C3-4835-47C4-942F-B9D568467F35}"/>
    <cellStyle name="Normal 2 4 4 8 2 4" xfId="13172" xr:uid="{CBA8EC4C-46B1-48DE-B3E1-EFAC883CD858}"/>
    <cellStyle name="Normal 2 4 4 8 3" xfId="4343" xr:uid="{0F4DBE7F-7401-4595-815E-729963ADC3E7}"/>
    <cellStyle name="Normal 2 4 4 8 3 2" xfId="13175" xr:uid="{F826F446-EA57-4ADD-A325-27B96B52A51F}"/>
    <cellStyle name="Normal 2 4 4 8 4" xfId="4344" xr:uid="{1A61073E-C038-4208-AD7D-428E844030C5}"/>
    <cellStyle name="Normal 2 4 4 8 4 2" xfId="13176" xr:uid="{7EFD4AD8-EAAE-40F5-BFC8-B81475BAFADF}"/>
    <cellStyle name="Normal 2 4 4 8 5" xfId="13171" xr:uid="{D6DE2B59-7B6C-4DF4-80B0-F6D087386503}"/>
    <cellStyle name="Normal 2 4 4 9" xfId="4345" xr:uid="{41F2BBBB-7572-4D44-964C-072980E365D2}"/>
    <cellStyle name="Normal 2 4 4 9 2" xfId="4346" xr:uid="{CF0CAD3D-610D-4C55-86EF-5A138DD0FA0C}"/>
    <cellStyle name="Normal 2 4 4 9 2 2" xfId="4347" xr:uid="{475B5483-BC68-460A-BD0E-166AAE4B4306}"/>
    <cellStyle name="Normal 2 4 4 9 2 2 2" xfId="13179" xr:uid="{7462F8EB-B2FA-49D8-8C7F-763B9EDC4F3D}"/>
    <cellStyle name="Normal 2 4 4 9 2 3" xfId="4348" xr:uid="{BEF6726D-32DD-4539-8355-28BD1196A950}"/>
    <cellStyle name="Normal 2 4 4 9 2 3 2" xfId="13180" xr:uid="{3F64C3CB-206E-422B-81F8-D5B27DD6D8A5}"/>
    <cellStyle name="Normal 2 4 4 9 2 4" xfId="13178" xr:uid="{A0705485-5E77-4C3A-8575-7635B9757955}"/>
    <cellStyle name="Normal 2 4 4 9 3" xfId="4349" xr:uid="{B65BE8D5-57E4-4096-A2DE-C51AF128E7CA}"/>
    <cellStyle name="Normal 2 4 4 9 3 2" xfId="13181" xr:uid="{FABFF5A7-4752-4FC5-B0AB-B848AE1D1DAC}"/>
    <cellStyle name="Normal 2 4 4 9 4" xfId="4350" xr:uid="{D3045D1F-E6F6-4004-97BE-A002FB782191}"/>
    <cellStyle name="Normal 2 4 4 9 4 2" xfId="13182" xr:uid="{9DAB3FE4-FA2C-40FF-B876-D42B118CADBF}"/>
    <cellStyle name="Normal 2 4 4 9 5" xfId="13177" xr:uid="{94224B68-DF99-4CE1-87BC-830CCF17306B}"/>
    <cellStyle name="Normal 2 4 40" xfId="4351" xr:uid="{2737F9D7-AFC7-47FA-8479-732EAA6A8C17}"/>
    <cellStyle name="Normal 2 4 40 2" xfId="4352" xr:uid="{DCF678DD-F65C-4D18-A9A2-401F9D973573}"/>
    <cellStyle name="Normal 2 4 40 2 2" xfId="4353" xr:uid="{B89ED369-A1BC-4566-A088-7B5A942042F7}"/>
    <cellStyle name="Normal 2 4 40 2 2 2" xfId="13185" xr:uid="{CE4E59AA-A2D1-4B2C-97E7-36D3344056F0}"/>
    <cellStyle name="Normal 2 4 40 2 3" xfId="4354" xr:uid="{020D93B9-654E-44D4-B7D3-2F35E4F5967C}"/>
    <cellStyle name="Normal 2 4 40 2 3 2" xfId="13186" xr:uid="{BCD0C33C-B427-42A1-8710-B943DBA5EDF3}"/>
    <cellStyle name="Normal 2 4 40 2 4" xfId="13184" xr:uid="{04004E47-E509-47BE-B682-5C9839E84A1E}"/>
    <cellStyle name="Normal 2 4 40 3" xfId="4355" xr:uid="{5A5AA994-C23C-44A0-BC2E-2059ABB7AB25}"/>
    <cellStyle name="Normal 2 4 40 3 2" xfId="13187" xr:uid="{D7A8BDEC-730C-4A5A-8ADD-06A554705E39}"/>
    <cellStyle name="Normal 2 4 40 4" xfId="4356" xr:uid="{44B121D9-A203-4F28-A5A6-E5254B7B21D7}"/>
    <cellStyle name="Normal 2 4 40 4 2" xfId="13188" xr:uid="{77CBD52B-C579-47F7-B5E6-1973B8B7D466}"/>
    <cellStyle name="Normal 2 4 40 5" xfId="13183" xr:uid="{217352EE-8B56-4B6D-9D71-F379C16B7AC1}"/>
    <cellStyle name="Normal 2 4 41" xfId="4357" xr:uid="{941C1CEF-B525-4749-82F6-AF36F6BFD020}"/>
    <cellStyle name="Normal 2 4 41 2" xfId="4358" xr:uid="{73BB2307-B4F9-41C7-89DC-2E83D28B2EA3}"/>
    <cellStyle name="Normal 2 4 41 2 2" xfId="4359" xr:uid="{B48CFB9A-287C-4EA0-85AB-F427DCED8041}"/>
    <cellStyle name="Normal 2 4 41 2 2 2" xfId="13191" xr:uid="{A36D5340-E6ED-46A0-A45D-6C0D34ACEBE3}"/>
    <cellStyle name="Normal 2 4 41 2 3" xfId="4360" xr:uid="{0A29AC53-6265-4226-A534-23A963B1E5CA}"/>
    <cellStyle name="Normal 2 4 41 2 3 2" xfId="13192" xr:uid="{3F3605A2-3203-437D-994D-BE0BC4CF3D05}"/>
    <cellStyle name="Normal 2 4 41 2 4" xfId="13190" xr:uid="{D3699791-E170-4A9B-B0ED-3526A003298C}"/>
    <cellStyle name="Normal 2 4 41 3" xfId="4361" xr:uid="{BD675E41-023F-4538-BE7B-AD372E308037}"/>
    <cellStyle name="Normal 2 4 41 3 2" xfId="13193" xr:uid="{970A089A-A2C8-4096-AE93-ABE89A576E73}"/>
    <cellStyle name="Normal 2 4 41 4" xfId="4362" xr:uid="{6E8B6B97-BCAD-4224-884F-3A103D4D5657}"/>
    <cellStyle name="Normal 2 4 41 4 2" xfId="13194" xr:uid="{AB4FB550-4086-4E29-A05B-45E5B2BAED9D}"/>
    <cellStyle name="Normal 2 4 41 5" xfId="13189" xr:uid="{B479B336-92FB-47D6-B198-D6A7F5AB7390}"/>
    <cellStyle name="Normal 2 4 42" xfId="4363" xr:uid="{CF1E6117-1BC7-40FF-BE48-312F2A2656E6}"/>
    <cellStyle name="Normal 2 4 42 2" xfId="4364" xr:uid="{3D7F896B-AB82-4137-A4F8-234104FDBE6F}"/>
    <cellStyle name="Normal 2 4 42 2 2" xfId="4365" xr:uid="{5E4122D3-7BF7-4BA2-9C4A-045730C96548}"/>
    <cellStyle name="Normal 2 4 42 2 2 2" xfId="13197" xr:uid="{8513815F-371E-46F9-948B-2F751E996959}"/>
    <cellStyle name="Normal 2 4 42 2 3" xfId="4366" xr:uid="{E6897BF9-01BC-46D1-AB03-26A60797A32B}"/>
    <cellStyle name="Normal 2 4 42 2 3 2" xfId="13198" xr:uid="{A4F07A97-84CD-404F-8F74-E3A836FF6772}"/>
    <cellStyle name="Normal 2 4 42 2 4" xfId="13196" xr:uid="{201C359B-E2D5-43FB-86EF-3A465AEC0757}"/>
    <cellStyle name="Normal 2 4 42 3" xfId="4367" xr:uid="{592B8C0B-4096-4519-8527-86479389BD4E}"/>
    <cellStyle name="Normal 2 4 42 3 2" xfId="13199" xr:uid="{A8E7D27B-05EA-4864-9738-1DCA6200C975}"/>
    <cellStyle name="Normal 2 4 42 4" xfId="4368" xr:uid="{1ACF8FD1-4712-45B0-AB07-84E4946EBB4F}"/>
    <cellStyle name="Normal 2 4 42 4 2" xfId="13200" xr:uid="{DEE0F0F2-AFE4-4571-8164-C51CD56AC231}"/>
    <cellStyle name="Normal 2 4 42 5" xfId="13195" xr:uid="{4025A70E-8745-475E-9E29-F7F49AA7C62F}"/>
    <cellStyle name="Normal 2 4 43" xfId="4369" xr:uid="{9D4E240C-CC43-41D3-BD7E-B2B072D1F6EF}"/>
    <cellStyle name="Normal 2 4 43 2" xfId="4370" xr:uid="{D136CA5E-5EEF-4AF9-9305-74AC2A2E903B}"/>
    <cellStyle name="Normal 2 4 43 2 2" xfId="4371" xr:uid="{DD4BBC41-BE6F-4782-B855-D4677DDAE362}"/>
    <cellStyle name="Normal 2 4 43 2 2 2" xfId="13203" xr:uid="{09887EC3-B57E-459F-82AB-62787BA6143A}"/>
    <cellStyle name="Normal 2 4 43 2 3" xfId="4372" xr:uid="{C3A3A4C6-135B-41C7-9333-C7EA7FCBC5B5}"/>
    <cellStyle name="Normal 2 4 43 2 3 2" xfId="13204" xr:uid="{C5306389-8230-44DF-AB86-9128D2050648}"/>
    <cellStyle name="Normal 2 4 43 2 4" xfId="13202" xr:uid="{800163F3-0BF0-41CA-BD6C-513B1D0D781B}"/>
    <cellStyle name="Normal 2 4 43 3" xfId="4373" xr:uid="{8C8A6618-0D11-41F2-BBD0-844318157016}"/>
    <cellStyle name="Normal 2 4 43 3 2" xfId="13205" xr:uid="{AF8936AD-DB52-4A81-A256-5D9945C3D13D}"/>
    <cellStyle name="Normal 2 4 43 4" xfId="4374" xr:uid="{D1A62B22-AAEA-4832-83D1-08564F16D92A}"/>
    <cellStyle name="Normal 2 4 43 4 2" xfId="13206" xr:uid="{E31742E8-EBB1-4251-B023-6195833B6B79}"/>
    <cellStyle name="Normal 2 4 43 5" xfId="13201" xr:uid="{D56335FE-7DB8-48A8-82D1-3DE6FBB568C9}"/>
    <cellStyle name="Normal 2 4 44" xfId="4375" xr:uid="{CE11A490-28F8-4FB9-A852-3A5E122843E0}"/>
    <cellStyle name="Normal 2 4 44 2" xfId="4376" xr:uid="{F7C64012-BE41-4EF7-B4B8-136A9DDC1245}"/>
    <cellStyle name="Normal 2 4 44 2 2" xfId="4377" xr:uid="{4C140D0C-94C7-42B9-87C1-CD117AF87161}"/>
    <cellStyle name="Normal 2 4 44 2 2 2" xfId="13209" xr:uid="{BFEF07F5-BC29-42FB-A508-CE98170F87E2}"/>
    <cellStyle name="Normal 2 4 44 2 3" xfId="4378" xr:uid="{E71E8BE9-2CDE-4A66-A43A-756AE7C9F41D}"/>
    <cellStyle name="Normal 2 4 44 2 3 2" xfId="13210" xr:uid="{E9C7A0EB-6152-435A-B4E0-3276B7A650C7}"/>
    <cellStyle name="Normal 2 4 44 2 4" xfId="13208" xr:uid="{3C96855A-C3AB-43BA-A4A7-B29CFD787AF9}"/>
    <cellStyle name="Normal 2 4 44 3" xfId="4379" xr:uid="{BF8F1453-EE1F-438A-970C-97AB3FBDF7CA}"/>
    <cellStyle name="Normal 2 4 44 3 2" xfId="13211" xr:uid="{55AD7544-0FB4-4BFD-8B25-BB01FFA74562}"/>
    <cellStyle name="Normal 2 4 44 4" xfId="4380" xr:uid="{AA990ED0-AA51-495D-A31B-66E633477F4F}"/>
    <cellStyle name="Normal 2 4 44 4 2" xfId="13212" xr:uid="{D774A27D-D309-4F8E-8C4D-FC4574730A89}"/>
    <cellStyle name="Normal 2 4 44 5" xfId="13207" xr:uid="{30EE33E4-69F8-4214-B2BC-9F401C564D00}"/>
    <cellStyle name="Normal 2 4 45" xfId="4381" xr:uid="{6069594E-C02D-4D3F-87EA-96FC33249F5F}"/>
    <cellStyle name="Normal 2 4 45 2" xfId="4382" xr:uid="{E7411362-C7B6-4A85-9629-FAADDD76EAE9}"/>
    <cellStyle name="Normal 2 4 45 2 2" xfId="4383" xr:uid="{D08169E2-3046-4FD2-B2B8-91A8841A3B94}"/>
    <cellStyle name="Normal 2 4 45 2 2 2" xfId="13215" xr:uid="{78500AAF-0102-4F66-8142-3E31C6FE443E}"/>
    <cellStyle name="Normal 2 4 45 2 3" xfId="4384" xr:uid="{C1B43646-8CA4-47A2-A7A9-FEA3CA9BBEA9}"/>
    <cellStyle name="Normal 2 4 45 2 3 2" xfId="13216" xr:uid="{14DE1A6E-C10F-43C7-9579-E52721665DD6}"/>
    <cellStyle name="Normal 2 4 45 2 4" xfId="13214" xr:uid="{48FAD20E-466F-475E-BBEC-EC1E259D2D7D}"/>
    <cellStyle name="Normal 2 4 45 3" xfId="4385" xr:uid="{BBB45D38-5016-4B78-9920-EB39FA137C71}"/>
    <cellStyle name="Normal 2 4 45 3 2" xfId="13217" xr:uid="{59BD80A6-5818-404D-86B4-7B9BBE346F24}"/>
    <cellStyle name="Normal 2 4 45 4" xfId="4386" xr:uid="{A8F1C0F1-B621-432D-8BD8-A06685EA97DB}"/>
    <cellStyle name="Normal 2 4 45 4 2" xfId="13218" xr:uid="{C276D98D-2F01-4E4F-910E-7DF4C7EA1689}"/>
    <cellStyle name="Normal 2 4 45 5" xfId="13213" xr:uid="{1A6CDE1B-C4DD-463F-A4DE-5C775A4B47F1}"/>
    <cellStyle name="Normal 2 4 46" xfId="4387" xr:uid="{AA29F3FA-C3BE-4384-9631-655472D06D46}"/>
    <cellStyle name="Normal 2 4 46 2" xfId="4388" xr:uid="{A96C67B0-6D38-4B11-8E85-CDD47C1905BB}"/>
    <cellStyle name="Normal 2 4 46 2 2" xfId="4389" xr:uid="{8690FD88-E3E0-447B-9770-0A1AD943C362}"/>
    <cellStyle name="Normal 2 4 46 2 2 2" xfId="13221" xr:uid="{0495F8AA-73D1-4DAE-81D9-F7DC58DC2B09}"/>
    <cellStyle name="Normal 2 4 46 2 3" xfId="4390" xr:uid="{22E20EF4-B166-46BA-9071-5FDBE8C9AADF}"/>
    <cellStyle name="Normal 2 4 46 2 3 2" xfId="13222" xr:uid="{3E6E3D08-F368-43C8-B316-B6E03861C7B2}"/>
    <cellStyle name="Normal 2 4 46 2 4" xfId="13220" xr:uid="{11DEE42C-EB79-4716-ADFD-6C75C0E3D252}"/>
    <cellStyle name="Normal 2 4 46 3" xfId="4391" xr:uid="{F2C7A858-6274-44F5-B105-B99432954201}"/>
    <cellStyle name="Normal 2 4 46 3 2" xfId="13223" xr:uid="{D1E6331E-2BDE-4F93-A8FE-5C8B7A5882F3}"/>
    <cellStyle name="Normal 2 4 46 4" xfId="4392" xr:uid="{D07B0C52-10B9-4FA1-81FB-8C0B2BB259AB}"/>
    <cellStyle name="Normal 2 4 46 4 2" xfId="13224" xr:uid="{32C532F7-B80A-4754-A2B9-C695A77F14E8}"/>
    <cellStyle name="Normal 2 4 46 5" xfId="13219" xr:uid="{01461968-CC59-4AEE-B91D-6713B287652C}"/>
    <cellStyle name="Normal 2 4 47" xfId="4393" xr:uid="{82A8C7DA-7260-4DC2-A12E-AE435647FC34}"/>
    <cellStyle name="Normal 2 4 47 2" xfId="4394" xr:uid="{5FF34518-648B-4C5D-A76A-B6A4B9DBB104}"/>
    <cellStyle name="Normal 2 4 47 2 2" xfId="4395" xr:uid="{598BF29F-9C82-4396-AAE7-C0814A1CA2DC}"/>
    <cellStyle name="Normal 2 4 47 2 2 2" xfId="13227" xr:uid="{C7E0E5FF-E5A5-4ECF-A6D9-08E57EC9370F}"/>
    <cellStyle name="Normal 2 4 47 2 3" xfId="4396" xr:uid="{40E53596-CFF5-4F47-AB86-C1309E57CB43}"/>
    <cellStyle name="Normal 2 4 47 2 3 2" xfId="13228" xr:uid="{DEC65D55-691C-46F2-990C-DE57A84CBD3B}"/>
    <cellStyle name="Normal 2 4 47 2 4" xfId="13226" xr:uid="{6A3F26A3-9348-4308-B7C3-148FA7F16278}"/>
    <cellStyle name="Normal 2 4 47 3" xfId="4397" xr:uid="{C7E863E8-0365-4288-BF6A-E7FE3F1784CC}"/>
    <cellStyle name="Normal 2 4 47 3 2" xfId="13229" xr:uid="{A2C034F9-E888-4247-A686-77A5B7543E87}"/>
    <cellStyle name="Normal 2 4 47 4" xfId="4398" xr:uid="{FA907EB3-BA11-4D6A-808D-8440626EFCB0}"/>
    <cellStyle name="Normal 2 4 47 4 2" xfId="13230" xr:uid="{4B545F5E-8592-4CCA-97A6-450DCD35181B}"/>
    <cellStyle name="Normal 2 4 47 5" xfId="13225" xr:uid="{7D3F8C45-7440-4E1C-BFDB-5D09FC9498B8}"/>
    <cellStyle name="Normal 2 4 48" xfId="4399" xr:uid="{09EE129F-619A-4280-81FC-68E8B99A70D3}"/>
    <cellStyle name="Normal 2 4 48 2" xfId="4400" xr:uid="{56D8EC39-7DF0-40F9-A6C2-D94D2E010736}"/>
    <cellStyle name="Normal 2 4 48 2 2" xfId="4401" xr:uid="{DB067683-0954-405B-A0C5-16CDB031E7CA}"/>
    <cellStyle name="Normal 2 4 48 2 2 2" xfId="13233" xr:uid="{4F2EEC9D-3563-45BB-8979-85EB0AE609E9}"/>
    <cellStyle name="Normal 2 4 48 2 3" xfId="4402" xr:uid="{CF0C6121-477E-4910-A727-DEEED40A52E6}"/>
    <cellStyle name="Normal 2 4 48 2 3 2" xfId="13234" xr:uid="{3A7133AF-5DB4-48E8-ADE0-D21C9CF343B9}"/>
    <cellStyle name="Normal 2 4 48 2 4" xfId="13232" xr:uid="{5B060CA4-9E81-4FF0-B389-CF6F0A613C5A}"/>
    <cellStyle name="Normal 2 4 48 3" xfId="4403" xr:uid="{32C4354C-10D4-4681-A047-EFD8AA3B3F9C}"/>
    <cellStyle name="Normal 2 4 48 3 2" xfId="13235" xr:uid="{03BD9348-CB8C-493E-BE67-18516F028BF8}"/>
    <cellStyle name="Normal 2 4 48 4" xfId="4404" xr:uid="{34258B3C-DBF0-4353-9ED1-0662E50E43A2}"/>
    <cellStyle name="Normal 2 4 48 4 2" xfId="13236" xr:uid="{8EA6E67E-565A-47D4-96A6-FB79D429FC42}"/>
    <cellStyle name="Normal 2 4 48 5" xfId="13231" xr:uid="{E9FDC26A-5197-4299-B319-56DC76405745}"/>
    <cellStyle name="Normal 2 4 49" xfId="4405" xr:uid="{53EEE062-431A-4820-AF92-3EC640FEA135}"/>
    <cellStyle name="Normal 2 4 49 2" xfId="4406" xr:uid="{925E48C1-50DB-44B4-8D1F-64B3DAC1C137}"/>
    <cellStyle name="Normal 2 4 49 2 2" xfId="4407" xr:uid="{E6CCC073-3BB7-4FFE-B2E4-FFDFB54D021C}"/>
    <cellStyle name="Normal 2 4 49 2 2 2" xfId="13239" xr:uid="{4167372F-831F-4087-A899-72DE4741F340}"/>
    <cellStyle name="Normal 2 4 49 2 3" xfId="4408" xr:uid="{D0AC136B-7F17-46E8-A85E-17F07491607B}"/>
    <cellStyle name="Normal 2 4 49 2 3 2" xfId="13240" xr:uid="{D6E215B1-9DE5-45EB-9BAE-1C5541F7217F}"/>
    <cellStyle name="Normal 2 4 49 2 4" xfId="13238" xr:uid="{716D948E-626D-4D62-BF99-38B41910BC6B}"/>
    <cellStyle name="Normal 2 4 49 3" xfId="4409" xr:uid="{7483B9BF-B06A-4451-80E0-08D5D2E333A3}"/>
    <cellStyle name="Normal 2 4 49 3 2" xfId="13241" xr:uid="{2F6996E6-A73E-45F7-840A-A6C36D3D9BED}"/>
    <cellStyle name="Normal 2 4 49 4" xfId="4410" xr:uid="{50795844-BEC4-41ED-866F-E44BDC870727}"/>
    <cellStyle name="Normal 2 4 49 4 2" xfId="13242" xr:uid="{2E93EC9A-93D6-48B4-9898-5CC7D884EA9C}"/>
    <cellStyle name="Normal 2 4 49 5" xfId="13237" xr:uid="{1DD78463-F658-4978-9C0D-6AC7537C4670}"/>
    <cellStyle name="Normal 2 4 5" xfId="4411" xr:uid="{F21347B9-FF92-4303-9960-1A18FF6D8540}"/>
    <cellStyle name="Normal 2 4 5 10" xfId="4412" xr:uid="{68EC6A15-31C4-42F4-BF8D-F60D80553CAD}"/>
    <cellStyle name="Normal 2 4 5 10 2" xfId="4413" xr:uid="{D3E1A85C-F475-4A37-B928-80A6A5596418}"/>
    <cellStyle name="Normal 2 4 5 10 2 2" xfId="4414" xr:uid="{AC05EABB-CF96-4442-AF83-924C0A3225D2}"/>
    <cellStyle name="Normal 2 4 5 10 2 2 2" xfId="13246" xr:uid="{FA5066FD-AA16-412A-A6A3-965093DB7206}"/>
    <cellStyle name="Normal 2 4 5 10 2 3" xfId="4415" xr:uid="{57A3258A-4F11-483B-8AEC-05D15759B207}"/>
    <cellStyle name="Normal 2 4 5 10 2 3 2" xfId="13247" xr:uid="{05B9AD12-D052-42BE-A8D7-399AACA31F02}"/>
    <cellStyle name="Normal 2 4 5 10 2 4" xfId="13245" xr:uid="{A8D22FAB-AA3F-4D8C-AE83-BCE68ADD7CAF}"/>
    <cellStyle name="Normal 2 4 5 10 3" xfId="4416" xr:uid="{869EAF98-8FCA-493A-98CC-E8CECDD7A436}"/>
    <cellStyle name="Normal 2 4 5 10 3 2" xfId="13248" xr:uid="{018E62B9-25E4-46E7-9D53-876D97870431}"/>
    <cellStyle name="Normal 2 4 5 10 4" xfId="4417" xr:uid="{E8532091-4E0A-4E34-84B1-44AC8D1D64CB}"/>
    <cellStyle name="Normal 2 4 5 10 4 2" xfId="13249" xr:uid="{626D29BB-BF15-4C63-9233-2B228047E83A}"/>
    <cellStyle name="Normal 2 4 5 10 5" xfId="13244" xr:uid="{395D5749-3EF2-48D6-9608-8A3DCCFE6EE4}"/>
    <cellStyle name="Normal 2 4 5 11" xfId="4418" xr:uid="{4E175FA6-6ABA-48C8-8446-57D80C383B8A}"/>
    <cellStyle name="Normal 2 4 5 11 2" xfId="4419" xr:uid="{BB2F0C44-8155-407B-8CD7-FE7D49DF0473}"/>
    <cellStyle name="Normal 2 4 5 11 2 2" xfId="4420" xr:uid="{8FD1AC2D-2314-44CF-B6FC-A89F8426F661}"/>
    <cellStyle name="Normal 2 4 5 11 2 2 2" xfId="13252" xr:uid="{BB765A8D-67D9-4BC0-9D0C-4EC79AF2CD51}"/>
    <cellStyle name="Normal 2 4 5 11 2 3" xfId="4421" xr:uid="{F8845C96-0F7D-4A21-B849-2E89F1F6239C}"/>
    <cellStyle name="Normal 2 4 5 11 2 3 2" xfId="13253" xr:uid="{7BC74D74-D8BE-4185-B31A-65D8745A5B79}"/>
    <cellStyle name="Normal 2 4 5 11 2 4" xfId="13251" xr:uid="{EBFB6175-371F-496D-83A2-21229A5C309E}"/>
    <cellStyle name="Normal 2 4 5 11 3" xfId="4422" xr:uid="{D6762186-0BA1-43C7-AAD0-9AA5B4CB97C3}"/>
    <cellStyle name="Normal 2 4 5 11 3 2" xfId="13254" xr:uid="{941C7287-E9DC-40D8-9D41-9962D1F501F5}"/>
    <cellStyle name="Normal 2 4 5 11 4" xfId="4423" xr:uid="{D0D995AE-4F08-4470-9049-573B3BDF1263}"/>
    <cellStyle name="Normal 2 4 5 11 4 2" xfId="13255" xr:uid="{82A9E470-104E-431C-9C6A-2C0CD521F3B0}"/>
    <cellStyle name="Normal 2 4 5 11 5" xfId="13250" xr:uid="{0B62C2A8-5A57-47CB-9F2A-EDB4162AA2D9}"/>
    <cellStyle name="Normal 2 4 5 12" xfId="4424" xr:uid="{D8E77838-39FA-4FC6-9B54-258568270F14}"/>
    <cellStyle name="Normal 2 4 5 12 2" xfId="4425" xr:uid="{ECABF712-8FAE-46C8-81EA-A5DDBB2EE0FD}"/>
    <cellStyle name="Normal 2 4 5 12 2 2" xfId="4426" xr:uid="{A786B2C6-3D80-46E5-AC8C-B5B7ACC52AAD}"/>
    <cellStyle name="Normal 2 4 5 12 2 2 2" xfId="13258" xr:uid="{6B959105-A60B-4468-A6AB-BC67CD9CE5ED}"/>
    <cellStyle name="Normal 2 4 5 12 2 3" xfId="4427" xr:uid="{DC0526A8-A471-43E3-83FE-F3929F65F2FC}"/>
    <cellStyle name="Normal 2 4 5 12 2 3 2" xfId="13259" xr:uid="{A1300DAF-1C10-4C9D-A893-964190CD03F0}"/>
    <cellStyle name="Normal 2 4 5 12 2 4" xfId="13257" xr:uid="{A5687FB8-22E0-4E13-BDB0-03EEB3639BBD}"/>
    <cellStyle name="Normal 2 4 5 12 3" xfId="4428" xr:uid="{99FCA0D3-0C9A-46FA-A0F7-54B916EBA827}"/>
    <cellStyle name="Normal 2 4 5 12 3 2" xfId="13260" xr:uid="{A2B216D9-E8D0-4C34-8D66-8B5C9DE4DC35}"/>
    <cellStyle name="Normal 2 4 5 12 4" xfId="4429" xr:uid="{553689D5-96C7-406B-A659-48EC284356E0}"/>
    <cellStyle name="Normal 2 4 5 12 4 2" xfId="13261" xr:uid="{A8070966-8C44-4CD4-B410-AB3BD9B431CD}"/>
    <cellStyle name="Normal 2 4 5 12 5" xfId="13256" xr:uid="{D843BD47-44D2-4E2C-8421-FCDA2FC37596}"/>
    <cellStyle name="Normal 2 4 5 13" xfId="4430" xr:uid="{51CD3B04-9C16-4AA1-AE42-0B801A2F885A}"/>
    <cellStyle name="Normal 2 4 5 13 2" xfId="4431" xr:uid="{8F1E57CC-77FC-4791-8D7B-591347D2BBA1}"/>
    <cellStyle name="Normal 2 4 5 13 2 2" xfId="4432" xr:uid="{1388639E-F86F-4317-95A2-686A647D9EC6}"/>
    <cellStyle name="Normal 2 4 5 13 2 2 2" xfId="13264" xr:uid="{89C84670-9D1C-47D8-A3E8-81903C49505F}"/>
    <cellStyle name="Normal 2 4 5 13 2 3" xfId="4433" xr:uid="{51249C51-CF0B-4A2F-A1C8-2B922E3AFD18}"/>
    <cellStyle name="Normal 2 4 5 13 2 3 2" xfId="13265" xr:uid="{D8F2E952-FE7A-4566-86C1-D6B263CFC444}"/>
    <cellStyle name="Normal 2 4 5 13 2 4" xfId="13263" xr:uid="{E54C8277-49F8-4BE2-BCE7-246163453BEE}"/>
    <cellStyle name="Normal 2 4 5 13 3" xfId="4434" xr:uid="{14A7BFFC-26E7-407E-AA5D-BC3A10586DD9}"/>
    <cellStyle name="Normal 2 4 5 13 3 2" xfId="13266" xr:uid="{97F28A18-2861-4CD5-8D32-E14B16267E4B}"/>
    <cellStyle name="Normal 2 4 5 13 4" xfId="4435" xr:uid="{D37313E7-D817-47D7-9840-35B3F5A2C14E}"/>
    <cellStyle name="Normal 2 4 5 13 4 2" xfId="13267" xr:uid="{1B1109CB-17F3-40A6-B48C-FF071516846E}"/>
    <cellStyle name="Normal 2 4 5 13 5" xfId="13262" xr:uid="{02F9D6F1-02B8-44A9-8D04-8127861CC320}"/>
    <cellStyle name="Normal 2 4 5 14" xfId="4436" xr:uid="{92DC0147-1F8B-4870-BD75-B8E8DBBDEBBC}"/>
    <cellStyle name="Normal 2 4 5 14 2" xfId="4437" xr:uid="{0CDBD70C-ACBC-4D2F-8123-C88C2A3A83E3}"/>
    <cellStyle name="Normal 2 4 5 14 2 2" xfId="4438" xr:uid="{82EE3A1A-046A-42BA-91D6-53B29547BC81}"/>
    <cellStyle name="Normal 2 4 5 14 2 2 2" xfId="13270" xr:uid="{B8D41366-57DF-4607-B857-7BEC7AF9EDAC}"/>
    <cellStyle name="Normal 2 4 5 14 2 3" xfId="4439" xr:uid="{05464385-B96C-4BC2-AB1B-3C9563381133}"/>
    <cellStyle name="Normal 2 4 5 14 2 3 2" xfId="13271" xr:uid="{24E0048D-9201-472A-B919-852045C5577F}"/>
    <cellStyle name="Normal 2 4 5 14 2 4" xfId="13269" xr:uid="{12E985EF-08F8-46A9-99AF-6D81E9A35A91}"/>
    <cellStyle name="Normal 2 4 5 14 3" xfId="4440" xr:uid="{9D94402D-5494-46A5-B5A6-1FD5A01C8D6C}"/>
    <cellStyle name="Normal 2 4 5 14 3 2" xfId="13272" xr:uid="{06C4E54E-D3C9-4A95-B65B-6E1D8B5B0DA1}"/>
    <cellStyle name="Normal 2 4 5 14 4" xfId="4441" xr:uid="{F6310D7D-DF05-4803-AFF4-3F4E83EDDCA1}"/>
    <cellStyle name="Normal 2 4 5 14 4 2" xfId="13273" xr:uid="{EFD092F5-8E71-4724-90B6-A0E9FAB8A781}"/>
    <cellStyle name="Normal 2 4 5 14 5" xfId="13268" xr:uid="{076BC3DF-5198-412E-9216-3C8CB0EC8FEA}"/>
    <cellStyle name="Normal 2 4 5 15" xfId="4442" xr:uid="{FDFFBC32-EB5C-4242-95D7-8E882D659F16}"/>
    <cellStyle name="Normal 2 4 5 15 2" xfId="4443" xr:uid="{68F8066C-1ABB-4DEE-8DD3-89B777A1846C}"/>
    <cellStyle name="Normal 2 4 5 15 2 2" xfId="4444" xr:uid="{FEA6422E-0647-4A92-BEEA-F8F7FF18202F}"/>
    <cellStyle name="Normal 2 4 5 15 2 2 2" xfId="13276" xr:uid="{CC5A50A2-F459-43F8-859C-2AEF0EDCBEA8}"/>
    <cellStyle name="Normal 2 4 5 15 2 3" xfId="4445" xr:uid="{D12D5A5B-2669-482E-806F-344EE7E73D85}"/>
    <cellStyle name="Normal 2 4 5 15 2 3 2" xfId="13277" xr:uid="{0E914B10-AC20-4D6D-898B-1E90BBFEA4F2}"/>
    <cellStyle name="Normal 2 4 5 15 2 4" xfId="13275" xr:uid="{C90C2505-0385-435B-AE6B-D9B274DA200B}"/>
    <cellStyle name="Normal 2 4 5 15 3" xfId="4446" xr:uid="{B032D8DF-3DD7-407B-962E-87A4758763F5}"/>
    <cellStyle name="Normal 2 4 5 15 3 2" xfId="13278" xr:uid="{891DAB1A-8CF0-4428-AAF3-4ED646BE7DCC}"/>
    <cellStyle name="Normal 2 4 5 15 4" xfId="4447" xr:uid="{CA019561-8139-4FE8-BED5-E324358A0431}"/>
    <cellStyle name="Normal 2 4 5 15 4 2" xfId="13279" xr:uid="{EDDC72CB-5019-48A5-A480-7CF22EA999BF}"/>
    <cellStyle name="Normal 2 4 5 15 5" xfId="13274" xr:uid="{45F5E921-F334-4A79-9BE4-1BDD06EAB6F2}"/>
    <cellStyle name="Normal 2 4 5 16" xfId="4448" xr:uid="{AF223D1A-C558-49AD-9384-D9D62181548B}"/>
    <cellStyle name="Normal 2 4 5 16 2" xfId="4449" xr:uid="{AAD87048-7EF4-4609-B7CB-3D86C94DD21E}"/>
    <cellStyle name="Normal 2 4 5 16 2 2" xfId="4450" xr:uid="{229635B9-EAE5-4D8D-BABE-69AF5A1FA1F4}"/>
    <cellStyle name="Normal 2 4 5 16 2 2 2" xfId="13282" xr:uid="{0FFA55B7-E99A-4830-9744-1DE455950FCA}"/>
    <cellStyle name="Normal 2 4 5 16 2 3" xfId="4451" xr:uid="{51F44B5F-F8E2-46F7-9132-B8CB44B96712}"/>
    <cellStyle name="Normal 2 4 5 16 2 3 2" xfId="13283" xr:uid="{C2F8C7EA-A805-426C-943A-EEA14D1F2009}"/>
    <cellStyle name="Normal 2 4 5 16 2 4" xfId="13281" xr:uid="{5734C316-1B96-48B4-B305-39FF58F162CF}"/>
    <cellStyle name="Normal 2 4 5 16 3" xfId="4452" xr:uid="{42FA8A34-E82B-4533-9570-2D381981CF35}"/>
    <cellStyle name="Normal 2 4 5 16 3 2" xfId="13284" xr:uid="{7C122639-2D48-45BC-9883-0C3030904657}"/>
    <cellStyle name="Normal 2 4 5 16 4" xfId="4453" xr:uid="{9CAC1731-3A06-467F-8D69-2C4A5715AD6E}"/>
    <cellStyle name="Normal 2 4 5 16 4 2" xfId="13285" xr:uid="{43286131-FF79-4D07-97B1-9F3DEEE6D251}"/>
    <cellStyle name="Normal 2 4 5 16 5" xfId="13280" xr:uid="{93128002-B60D-4310-876F-6C81DAC1A26A}"/>
    <cellStyle name="Normal 2 4 5 17" xfId="4454" xr:uid="{6B1EFE08-3ADF-4B84-BAB4-036D20F2D845}"/>
    <cellStyle name="Normal 2 4 5 17 2" xfId="4455" xr:uid="{EA700801-B073-4820-95DB-BAAF580F1CF0}"/>
    <cellStyle name="Normal 2 4 5 17 2 2" xfId="4456" xr:uid="{05D52038-5029-4EAD-9041-8F515855CCBD}"/>
    <cellStyle name="Normal 2 4 5 17 2 2 2" xfId="13288" xr:uid="{6C668B27-EA66-4A8B-A009-280ADB2C0829}"/>
    <cellStyle name="Normal 2 4 5 17 2 3" xfId="4457" xr:uid="{53D44735-CED8-4F0A-830D-C276F2E4E026}"/>
    <cellStyle name="Normal 2 4 5 17 2 3 2" xfId="13289" xr:uid="{593E910A-9196-4829-AB31-73507A82CF04}"/>
    <cellStyle name="Normal 2 4 5 17 2 4" xfId="13287" xr:uid="{93530C1F-84A9-4CCD-9F9B-B46614570ADF}"/>
    <cellStyle name="Normal 2 4 5 17 3" xfId="4458" xr:uid="{F8BED52D-7444-466F-B0FB-EC4798E1EACC}"/>
    <cellStyle name="Normal 2 4 5 17 3 2" xfId="13290" xr:uid="{D645D774-581F-4A57-93F2-4CC8D1503374}"/>
    <cellStyle name="Normal 2 4 5 17 4" xfId="4459" xr:uid="{1F5AA217-924E-490E-A8E4-BFD0258466BD}"/>
    <cellStyle name="Normal 2 4 5 17 4 2" xfId="13291" xr:uid="{FCEB51DA-B0EE-4E19-A287-57171F064BB9}"/>
    <cellStyle name="Normal 2 4 5 17 5" xfId="13286" xr:uid="{C9805FBA-D3CC-4C99-881D-F3963281701A}"/>
    <cellStyle name="Normal 2 4 5 18" xfId="4460" xr:uid="{EEBED28D-B6D3-4179-89BE-DFDFF3E8C092}"/>
    <cellStyle name="Normal 2 4 5 18 2" xfId="4461" xr:uid="{7049B8D9-9E96-44C8-AE60-C929EDA141EE}"/>
    <cellStyle name="Normal 2 4 5 18 2 2" xfId="4462" xr:uid="{BDCEE337-B63E-4339-8510-20787F03D6FD}"/>
    <cellStyle name="Normal 2 4 5 18 2 2 2" xfId="13294" xr:uid="{63F6FAF3-2897-49A8-9BAE-824345A99856}"/>
    <cellStyle name="Normal 2 4 5 18 2 3" xfId="4463" xr:uid="{7F9BE5BD-BC94-43EF-9070-E650068DF686}"/>
    <cellStyle name="Normal 2 4 5 18 2 3 2" xfId="13295" xr:uid="{61B3B5E3-82AC-40D5-BF6B-C13351FBBF2B}"/>
    <cellStyle name="Normal 2 4 5 18 2 4" xfId="13293" xr:uid="{40687507-8BEC-4522-A789-221B4C3E6178}"/>
    <cellStyle name="Normal 2 4 5 18 3" xfId="4464" xr:uid="{4571ED49-3CE8-4961-9A86-CB0BF1639DD7}"/>
    <cellStyle name="Normal 2 4 5 18 3 2" xfId="13296" xr:uid="{5568BCDC-633F-4683-98BE-6EB24329F762}"/>
    <cellStyle name="Normal 2 4 5 18 4" xfId="4465" xr:uid="{E212F824-03DF-4118-A3E5-499F4C9F9577}"/>
    <cellStyle name="Normal 2 4 5 18 4 2" xfId="13297" xr:uid="{CC9DF648-5421-4BAE-AF5B-AB4E029ACF18}"/>
    <cellStyle name="Normal 2 4 5 18 5" xfId="13292" xr:uid="{54E54DA2-17E1-40A0-8CE4-B9D49AC21910}"/>
    <cellStyle name="Normal 2 4 5 19" xfId="4466" xr:uid="{8DA166F1-63F8-48FE-BA57-170243961C84}"/>
    <cellStyle name="Normal 2 4 5 19 2" xfId="4467" xr:uid="{DC6D3F97-6E6D-4EC9-8E58-B0E86DB1A5FF}"/>
    <cellStyle name="Normal 2 4 5 19 2 2" xfId="4468" xr:uid="{AB6AD545-A3A0-4D6B-ACA7-765EE126574F}"/>
    <cellStyle name="Normal 2 4 5 19 2 2 2" xfId="13300" xr:uid="{8FB3D369-07BA-49FF-8E52-4D8682C1A77B}"/>
    <cellStyle name="Normal 2 4 5 19 2 3" xfId="4469" xr:uid="{F58E2DDD-334C-46FF-956B-06E9909B77D4}"/>
    <cellStyle name="Normal 2 4 5 19 2 3 2" xfId="13301" xr:uid="{9F6D14C6-62EB-41CD-88A3-9B32E333EE8B}"/>
    <cellStyle name="Normal 2 4 5 19 2 4" xfId="13299" xr:uid="{3CBEE0AC-9465-4F27-A173-18378E3699F7}"/>
    <cellStyle name="Normal 2 4 5 19 3" xfId="4470" xr:uid="{F4148758-1C71-4D6B-BDD3-BA949F4DDF6A}"/>
    <cellStyle name="Normal 2 4 5 19 3 2" xfId="13302" xr:uid="{F72CB903-6731-4A64-8872-6D0124F99064}"/>
    <cellStyle name="Normal 2 4 5 19 4" xfId="4471" xr:uid="{825FAA31-FE48-48B1-A84B-4B6AB0D95A2C}"/>
    <cellStyle name="Normal 2 4 5 19 4 2" xfId="13303" xr:uid="{8092C903-5031-4E34-9A43-8BFCE800CF7F}"/>
    <cellStyle name="Normal 2 4 5 19 5" xfId="13298" xr:uid="{6561D21A-9A6C-430E-B46F-DF7C6106742B}"/>
    <cellStyle name="Normal 2 4 5 2" xfId="4472" xr:uid="{A2C313B4-6126-4A34-BD99-AD233BCC5961}"/>
    <cellStyle name="Normal 2 4 5 2 2" xfId="4473" xr:uid="{18496CC6-AB7A-42CB-913E-4BB3BC97E765}"/>
    <cellStyle name="Normal 2 4 5 2 2 2" xfId="4474" xr:uid="{7A98DF36-8873-4537-A647-0401C86346A1}"/>
    <cellStyle name="Normal 2 4 5 2 2 2 2" xfId="13306" xr:uid="{ACBD11B6-D409-40F3-984E-11CE30747FA4}"/>
    <cellStyle name="Normal 2 4 5 2 2 3" xfId="4475" xr:uid="{1715A80E-D7D6-4D59-BEC9-821B36F51725}"/>
    <cellStyle name="Normal 2 4 5 2 2 3 2" xfId="13307" xr:uid="{F1C5066D-3B03-4684-A052-79A7D9FB796F}"/>
    <cellStyle name="Normal 2 4 5 2 2 4" xfId="13305" xr:uid="{96ABA5D3-4C23-4888-B886-7ADC4BDD4D5E}"/>
    <cellStyle name="Normal 2 4 5 2 3" xfId="4476" xr:uid="{D0650A14-EBCB-4AA7-A86B-BBA945B403DC}"/>
    <cellStyle name="Normal 2 4 5 2 3 2" xfId="13308" xr:uid="{05706711-4AFB-4011-80AB-9320946C418A}"/>
    <cellStyle name="Normal 2 4 5 2 4" xfId="4477" xr:uid="{BA617078-194B-42E4-BBB4-0D76D2E4AA58}"/>
    <cellStyle name="Normal 2 4 5 2 4 2" xfId="13309" xr:uid="{7A6CBFCF-3CFC-4B1B-AE12-CFE53D9CE583}"/>
    <cellStyle name="Normal 2 4 5 2 5" xfId="13304" xr:uid="{63CFECF8-9A51-430B-9480-E4C792F1D1C9}"/>
    <cellStyle name="Normal 2 4 5 20" xfId="4478" xr:uid="{CF21420D-24B1-4EB3-95E6-F6BB8CF93F72}"/>
    <cellStyle name="Normal 2 4 5 20 2" xfId="4479" xr:uid="{CED01317-4519-4928-BF3B-8E9930C63732}"/>
    <cellStyle name="Normal 2 4 5 20 2 2" xfId="4480" xr:uid="{80F62491-1360-4973-AEB9-E972956E5A5D}"/>
    <cellStyle name="Normal 2 4 5 20 2 2 2" xfId="13312" xr:uid="{66DC93D8-7F8E-4A72-A08F-C5CA303798E9}"/>
    <cellStyle name="Normal 2 4 5 20 2 3" xfId="4481" xr:uid="{0CCD3C50-CA5B-4886-84DF-CC5CBA31AEBD}"/>
    <cellStyle name="Normal 2 4 5 20 2 3 2" xfId="13313" xr:uid="{AC88A974-34CB-4B93-B325-B35BA13A7C40}"/>
    <cellStyle name="Normal 2 4 5 20 2 4" xfId="13311" xr:uid="{283E4734-F54D-4663-9ACD-CCCB4D1E39F1}"/>
    <cellStyle name="Normal 2 4 5 20 3" xfId="4482" xr:uid="{33AD9C77-E316-43E7-898D-65078C8AA0C0}"/>
    <cellStyle name="Normal 2 4 5 20 3 2" xfId="13314" xr:uid="{E18969EE-48E4-4827-B70C-ACD1441FA3E6}"/>
    <cellStyle name="Normal 2 4 5 20 4" xfId="4483" xr:uid="{9B0B8A7A-477C-4B9D-9A83-4F26E5116C4D}"/>
    <cellStyle name="Normal 2 4 5 20 4 2" xfId="13315" xr:uid="{111CB8F9-C89F-487B-B241-B9147844FE70}"/>
    <cellStyle name="Normal 2 4 5 20 5" xfId="13310" xr:uid="{4B33E0B2-4572-4E98-94E8-874DB4DFE3B4}"/>
    <cellStyle name="Normal 2 4 5 21" xfId="4484" xr:uid="{BC24252D-D731-4110-848E-4959AB6AE20D}"/>
    <cellStyle name="Normal 2 4 5 21 2" xfId="4485" xr:uid="{C8E6BD5F-C331-4026-A37B-1B9081D58396}"/>
    <cellStyle name="Normal 2 4 5 21 2 2" xfId="4486" xr:uid="{D908774A-A22D-4EF6-ABCD-460892CDD378}"/>
    <cellStyle name="Normal 2 4 5 21 2 2 2" xfId="13318" xr:uid="{75C32AE9-C484-448D-9E9E-5AF0D71B47B6}"/>
    <cellStyle name="Normal 2 4 5 21 2 3" xfId="4487" xr:uid="{8A6B0374-6CDC-4467-B78C-21A66DBBBB09}"/>
    <cellStyle name="Normal 2 4 5 21 2 3 2" xfId="13319" xr:uid="{B54BFAF7-7F5F-4BA5-B447-E17E17238141}"/>
    <cellStyle name="Normal 2 4 5 21 2 4" xfId="13317" xr:uid="{DE1501DE-A4F2-464D-BB10-AC327A331DAF}"/>
    <cellStyle name="Normal 2 4 5 21 3" xfId="4488" xr:uid="{7B9D6859-B594-4F53-8017-4D05126EF587}"/>
    <cellStyle name="Normal 2 4 5 21 3 2" xfId="13320" xr:uid="{00739EBA-B203-49D2-BE57-3848566F4C8A}"/>
    <cellStyle name="Normal 2 4 5 21 4" xfId="4489" xr:uid="{47227525-F8F2-41D7-9275-5A65417642F5}"/>
    <cellStyle name="Normal 2 4 5 21 4 2" xfId="13321" xr:uid="{0CF40411-22A7-42A6-B449-342F7A05AF26}"/>
    <cellStyle name="Normal 2 4 5 21 5" xfId="13316" xr:uid="{08970877-83E0-4A14-B73A-59477B304476}"/>
    <cellStyle name="Normal 2 4 5 22" xfId="4490" xr:uid="{FA254830-65FF-4110-96FF-575F2337559C}"/>
    <cellStyle name="Normal 2 4 5 22 2" xfId="4491" xr:uid="{C4D24965-720D-41BD-9FC6-897A0B481FE6}"/>
    <cellStyle name="Normal 2 4 5 22 2 2" xfId="4492" xr:uid="{5A453E18-E4C4-4064-902B-0AA05FC6801D}"/>
    <cellStyle name="Normal 2 4 5 22 2 2 2" xfId="13324" xr:uid="{29C255FA-1762-420A-93FC-519865630EC1}"/>
    <cellStyle name="Normal 2 4 5 22 2 3" xfId="4493" xr:uid="{50530AB2-E8EF-425A-B2DC-1474B864FC87}"/>
    <cellStyle name="Normal 2 4 5 22 2 3 2" xfId="13325" xr:uid="{0F82F8E0-B97C-4680-B0D9-911B53F5F047}"/>
    <cellStyle name="Normal 2 4 5 22 2 4" xfId="13323" xr:uid="{3903D6E9-790D-4AA3-AAD7-B02DFBDA4DFB}"/>
    <cellStyle name="Normal 2 4 5 22 3" xfId="4494" xr:uid="{211E241D-3B51-4D37-9740-D10465800D1A}"/>
    <cellStyle name="Normal 2 4 5 22 3 2" xfId="13326" xr:uid="{5F7D8F86-D365-4290-B39B-D24CAA06BA71}"/>
    <cellStyle name="Normal 2 4 5 22 4" xfId="4495" xr:uid="{D4312F9A-D2E3-452D-B8D9-C8B9BE311BCC}"/>
    <cellStyle name="Normal 2 4 5 22 4 2" xfId="13327" xr:uid="{42A9732C-0625-4A4B-98C4-963DB4DE505F}"/>
    <cellStyle name="Normal 2 4 5 22 5" xfId="13322" xr:uid="{C2DDD06F-6067-4780-B028-839C14F841A4}"/>
    <cellStyle name="Normal 2 4 5 23" xfId="4496" xr:uid="{2A5675E6-70BC-4616-8948-0A16B05CB4CC}"/>
    <cellStyle name="Normal 2 4 5 23 2" xfId="4497" xr:uid="{E6831493-FCE6-4362-BFD9-F8301AD53C84}"/>
    <cellStyle name="Normal 2 4 5 23 2 2" xfId="4498" xr:uid="{D49E80FF-D73D-4B4F-9CA5-1CD8FD9CA56E}"/>
    <cellStyle name="Normal 2 4 5 23 2 2 2" xfId="13330" xr:uid="{E9926B9D-1426-4BC3-B67F-4D4FA7E1656A}"/>
    <cellStyle name="Normal 2 4 5 23 2 3" xfId="4499" xr:uid="{CCBAE7E9-ECCE-4869-BB1F-62E98144CE0B}"/>
    <cellStyle name="Normal 2 4 5 23 2 3 2" xfId="13331" xr:uid="{D94FF5CA-6341-431D-8D0C-042E6AD77551}"/>
    <cellStyle name="Normal 2 4 5 23 2 4" xfId="13329" xr:uid="{2B6ECFC0-F51A-4C52-A204-2D899994653A}"/>
    <cellStyle name="Normal 2 4 5 23 3" xfId="4500" xr:uid="{CDEBA341-B334-4DFC-8287-40793C52FCB9}"/>
    <cellStyle name="Normal 2 4 5 23 3 2" xfId="13332" xr:uid="{296FF825-8DE2-4F22-B801-C44EF27601AC}"/>
    <cellStyle name="Normal 2 4 5 23 4" xfId="4501" xr:uid="{0BF896F7-1665-4983-8B7A-FE8CE451B1E8}"/>
    <cellStyle name="Normal 2 4 5 23 4 2" xfId="13333" xr:uid="{B997A03D-88FE-4819-A296-A9196EF2D0CE}"/>
    <cellStyle name="Normal 2 4 5 23 5" xfId="13328" xr:uid="{71E87F18-07D9-4570-AC55-49C31B845061}"/>
    <cellStyle name="Normal 2 4 5 24" xfId="4502" xr:uid="{A0C8166E-26FE-46CE-9C34-3AB68B54504A}"/>
    <cellStyle name="Normal 2 4 5 24 2" xfId="4503" xr:uid="{7AF0563B-8B69-44A4-8188-06E70EEB4C63}"/>
    <cellStyle name="Normal 2 4 5 24 2 2" xfId="4504" xr:uid="{1CF5A5AB-9E13-407D-89B4-D47CAC3F37F3}"/>
    <cellStyle name="Normal 2 4 5 24 2 2 2" xfId="13336" xr:uid="{7D34359B-B7DF-47AE-AB27-15E35D3A55A6}"/>
    <cellStyle name="Normal 2 4 5 24 2 3" xfId="4505" xr:uid="{1C179DD9-15D6-4DAE-A306-F2F14C759166}"/>
    <cellStyle name="Normal 2 4 5 24 2 3 2" xfId="13337" xr:uid="{B87209C3-46EE-4860-87EE-414C89F1EAC9}"/>
    <cellStyle name="Normal 2 4 5 24 2 4" xfId="13335" xr:uid="{0E21D742-BF75-4B16-BE28-286FED03591E}"/>
    <cellStyle name="Normal 2 4 5 24 3" xfId="4506" xr:uid="{595EF088-44A5-44EF-95AA-DF837B92BE48}"/>
    <cellStyle name="Normal 2 4 5 24 3 2" xfId="13338" xr:uid="{89E4DE51-3646-4167-9ABA-1E503E3C7F2C}"/>
    <cellStyle name="Normal 2 4 5 24 4" xfId="4507" xr:uid="{AE8673D9-3CE4-408C-A543-44B0672AA5ED}"/>
    <cellStyle name="Normal 2 4 5 24 4 2" xfId="13339" xr:uid="{049CA625-8682-4020-91BD-8B68F94A7CCF}"/>
    <cellStyle name="Normal 2 4 5 24 5" xfId="13334" xr:uid="{590EE1BC-3ECF-4D98-A05B-513E2771528C}"/>
    <cellStyle name="Normal 2 4 5 25" xfId="4508" xr:uid="{D54D32E3-4707-43E5-863B-238A81FBEC8C}"/>
    <cellStyle name="Normal 2 4 5 25 2" xfId="4509" xr:uid="{99E51BBE-BB1B-4889-B6B3-8B4C6F6C38E7}"/>
    <cellStyle name="Normal 2 4 5 25 2 2" xfId="4510" xr:uid="{A599EFF0-C549-48BD-97B1-D01E38DC27DA}"/>
    <cellStyle name="Normal 2 4 5 25 2 2 2" xfId="13342" xr:uid="{19DC3D3F-ED02-43BE-B756-EAF23DFCCB9F}"/>
    <cellStyle name="Normal 2 4 5 25 2 3" xfId="4511" xr:uid="{69D02595-CA9A-4CCB-A8BB-39D9341146E1}"/>
    <cellStyle name="Normal 2 4 5 25 2 3 2" xfId="13343" xr:uid="{21E514D1-BCC4-4A2F-9AB3-C48C5E9B9849}"/>
    <cellStyle name="Normal 2 4 5 25 2 4" xfId="13341" xr:uid="{4734BB3B-A20E-4B21-A620-F3A6FC6FD80F}"/>
    <cellStyle name="Normal 2 4 5 25 3" xfId="4512" xr:uid="{CE83247F-C8BE-4248-A147-E1AB04A8E36B}"/>
    <cellStyle name="Normal 2 4 5 25 3 2" xfId="13344" xr:uid="{1C508521-13E7-4DCE-AA57-6D38AE1EC46E}"/>
    <cellStyle name="Normal 2 4 5 25 4" xfId="4513" xr:uid="{E6EDCCEC-A1B4-4C99-AD82-A19B529D28F6}"/>
    <cellStyle name="Normal 2 4 5 25 4 2" xfId="13345" xr:uid="{C5D43D59-2E0D-4F95-B6A8-125E2E4A57C2}"/>
    <cellStyle name="Normal 2 4 5 25 5" xfId="13340" xr:uid="{A922C4A7-D333-4AE2-9A1B-B8F8499A5758}"/>
    <cellStyle name="Normal 2 4 5 26" xfId="4514" xr:uid="{E8C13A8F-98A9-46FA-AC97-6D52BE7F59C1}"/>
    <cellStyle name="Normal 2 4 5 26 2" xfId="4515" xr:uid="{8185BDB1-C1AB-453D-822E-13548FFA1296}"/>
    <cellStyle name="Normal 2 4 5 26 2 2" xfId="4516" xr:uid="{08F34EBB-4CE2-4A9C-8127-44ABF0FB5EC1}"/>
    <cellStyle name="Normal 2 4 5 26 2 2 2" xfId="13348" xr:uid="{95279C05-8C1E-4C8C-82E7-4417C91C5B51}"/>
    <cellStyle name="Normal 2 4 5 26 2 3" xfId="4517" xr:uid="{245B1597-57BD-4506-B731-40F9FEC3C5E6}"/>
    <cellStyle name="Normal 2 4 5 26 2 3 2" xfId="13349" xr:uid="{97B60855-9087-4762-BBA3-DCF2D8DD09ED}"/>
    <cellStyle name="Normal 2 4 5 26 2 4" xfId="13347" xr:uid="{F6E5957C-9B9A-4B0F-8F22-C0A5B7B7E610}"/>
    <cellStyle name="Normal 2 4 5 26 3" xfId="4518" xr:uid="{7E6626FB-A58A-4C95-8147-1DA0272450A6}"/>
    <cellStyle name="Normal 2 4 5 26 3 2" xfId="13350" xr:uid="{0E160C4A-5190-4799-AC58-5B1ECF085667}"/>
    <cellStyle name="Normal 2 4 5 26 4" xfId="4519" xr:uid="{CEABF976-9D62-4DAD-996A-31A377D71656}"/>
    <cellStyle name="Normal 2 4 5 26 4 2" xfId="13351" xr:uid="{BDFD8E85-2A3B-431A-BC98-89C60072F6B7}"/>
    <cellStyle name="Normal 2 4 5 26 5" xfId="13346" xr:uid="{286FCD44-F5FD-4182-910B-B7E3EB5A0A6D}"/>
    <cellStyle name="Normal 2 4 5 27" xfId="4520" xr:uid="{5B8A47F7-F1A4-4550-8E85-76A36FC54682}"/>
    <cellStyle name="Normal 2 4 5 27 2" xfId="4521" xr:uid="{993DAAF7-0DC0-46E4-8495-A292922C2CBE}"/>
    <cellStyle name="Normal 2 4 5 27 2 2" xfId="4522" xr:uid="{605C2A2D-B038-4A64-AFCB-FB6B7AEF729E}"/>
    <cellStyle name="Normal 2 4 5 27 2 2 2" xfId="13354" xr:uid="{4575EE2F-686E-493B-99A1-ACC817528853}"/>
    <cellStyle name="Normal 2 4 5 27 2 3" xfId="4523" xr:uid="{5CDD48A2-FBF8-4CF0-9ED0-8A79F19E954D}"/>
    <cellStyle name="Normal 2 4 5 27 2 3 2" xfId="13355" xr:uid="{83DB5855-0589-49DF-B371-A703569307EA}"/>
    <cellStyle name="Normal 2 4 5 27 2 4" xfId="13353" xr:uid="{B76764B5-4A43-404A-B560-19C4E8458A4D}"/>
    <cellStyle name="Normal 2 4 5 27 3" xfId="4524" xr:uid="{1C3D74A3-0AA0-4772-AE8E-A94AF1E401C7}"/>
    <cellStyle name="Normal 2 4 5 27 3 2" xfId="13356" xr:uid="{A50653BC-6166-40D6-8AAE-6603AB8674A0}"/>
    <cellStyle name="Normal 2 4 5 27 4" xfId="4525" xr:uid="{2A868D83-7E16-4383-BB79-70CAB38CFE2A}"/>
    <cellStyle name="Normal 2 4 5 27 4 2" xfId="13357" xr:uid="{419A3BEC-FF8D-4250-96CC-901C567BF1C0}"/>
    <cellStyle name="Normal 2 4 5 27 5" xfId="13352" xr:uid="{7507FBF7-2313-45D2-84DE-0AF2E66209F4}"/>
    <cellStyle name="Normal 2 4 5 28" xfId="4526" xr:uid="{E66C5BE7-2FC9-4DD3-A705-526502C2DE1C}"/>
    <cellStyle name="Normal 2 4 5 28 2" xfId="4527" xr:uid="{3EFD7791-3CE0-4BF1-A04D-EB101EA5E335}"/>
    <cellStyle name="Normal 2 4 5 28 2 2" xfId="4528" xr:uid="{CD98A34A-6BBA-4914-910B-D979065901D2}"/>
    <cellStyle name="Normal 2 4 5 28 2 2 2" xfId="13360" xr:uid="{96F2A3DC-C623-45BF-B023-20D6ED050FEF}"/>
    <cellStyle name="Normal 2 4 5 28 2 3" xfId="4529" xr:uid="{90948B09-9692-431D-B66D-382A055D8F43}"/>
    <cellStyle name="Normal 2 4 5 28 2 3 2" xfId="13361" xr:uid="{3410C2C0-2131-49CE-9BF2-7A9BAAD6967F}"/>
    <cellStyle name="Normal 2 4 5 28 2 4" xfId="13359" xr:uid="{D322A69E-EB8B-4B05-A8B4-B5822CDDE286}"/>
    <cellStyle name="Normal 2 4 5 28 3" xfId="4530" xr:uid="{78FE658C-0755-4A6D-ABBF-6B51453090A2}"/>
    <cellStyle name="Normal 2 4 5 28 3 2" xfId="13362" xr:uid="{6C1915BB-7C6B-43BB-AD49-8CFF4743975E}"/>
    <cellStyle name="Normal 2 4 5 28 4" xfId="4531" xr:uid="{09762A13-17B6-4527-95D6-FD3E96E35788}"/>
    <cellStyle name="Normal 2 4 5 28 4 2" xfId="13363" xr:uid="{4D316368-6726-43E3-B732-E63BCD41D1FC}"/>
    <cellStyle name="Normal 2 4 5 28 5" xfId="13358" xr:uid="{8C11329A-7A44-4AAB-85A7-D2A35DEE499F}"/>
    <cellStyle name="Normal 2 4 5 29" xfId="4532" xr:uid="{585A63F5-4B29-4391-A88E-7BBCB1D107AD}"/>
    <cellStyle name="Normal 2 4 5 29 2" xfId="4533" xr:uid="{53B89A7D-3EE7-4480-981E-80B1F82281E9}"/>
    <cellStyle name="Normal 2 4 5 29 2 2" xfId="4534" xr:uid="{5F66BE86-7D47-4C16-B9D6-100B7B4716E8}"/>
    <cellStyle name="Normal 2 4 5 29 2 2 2" xfId="13366" xr:uid="{ECAC9619-F0AF-4997-8849-A49B1F724DCA}"/>
    <cellStyle name="Normal 2 4 5 29 2 3" xfId="4535" xr:uid="{B85600FF-0B41-4007-B53B-FD59979ED240}"/>
    <cellStyle name="Normal 2 4 5 29 2 3 2" xfId="13367" xr:uid="{74E78B7A-76C7-4715-BE60-8757A445E0EE}"/>
    <cellStyle name="Normal 2 4 5 29 2 4" xfId="13365" xr:uid="{5180C115-C7F4-4FE3-8418-8F838A7D5B75}"/>
    <cellStyle name="Normal 2 4 5 29 3" xfId="4536" xr:uid="{82D354E8-2EE1-47D7-A63F-533140FF02C3}"/>
    <cellStyle name="Normal 2 4 5 29 3 2" xfId="13368" xr:uid="{54529F6E-2EC5-40DB-B578-92CD64DE1BF4}"/>
    <cellStyle name="Normal 2 4 5 29 4" xfId="4537" xr:uid="{7AE16378-10C8-471C-9044-C708B301D2B3}"/>
    <cellStyle name="Normal 2 4 5 29 4 2" xfId="13369" xr:uid="{F850B656-4C72-4889-AD03-C78D21741E5E}"/>
    <cellStyle name="Normal 2 4 5 29 5" xfId="13364" xr:uid="{3D98E945-8FA4-4167-845F-49395D87B0E5}"/>
    <cellStyle name="Normal 2 4 5 3" xfId="4538" xr:uid="{05C8638C-266D-4E07-ABEE-F6143A8FDB5B}"/>
    <cellStyle name="Normal 2 4 5 3 2" xfId="4539" xr:uid="{76FE8FCC-CA4C-4167-8915-1F3179FA9325}"/>
    <cellStyle name="Normal 2 4 5 3 2 2" xfId="4540" xr:uid="{FD37697F-D16D-4767-8D94-359F121332C4}"/>
    <cellStyle name="Normal 2 4 5 3 2 2 2" xfId="13372" xr:uid="{A1A5D3CB-A64C-4185-A931-264EF52D7898}"/>
    <cellStyle name="Normal 2 4 5 3 2 3" xfId="4541" xr:uid="{9EB2E7E0-D3B4-482A-BCB4-94899D7A46DA}"/>
    <cellStyle name="Normal 2 4 5 3 2 3 2" xfId="13373" xr:uid="{1898B4A8-92C0-4709-9181-C2AA32FCC06F}"/>
    <cellStyle name="Normal 2 4 5 3 2 4" xfId="13371" xr:uid="{7467B2DE-D25E-4682-8F12-A199E8CEEC43}"/>
    <cellStyle name="Normal 2 4 5 3 3" xfId="4542" xr:uid="{075342B4-5C6F-40CA-9BC6-D32D142C2F9F}"/>
    <cellStyle name="Normal 2 4 5 3 3 2" xfId="13374" xr:uid="{0542AFD1-2D1D-4AD1-BE86-438675894867}"/>
    <cellStyle name="Normal 2 4 5 3 4" xfId="4543" xr:uid="{BB61F00A-BBAD-493E-9AF5-86B0AA8BDB0B}"/>
    <cellStyle name="Normal 2 4 5 3 4 2" xfId="13375" xr:uid="{7D0069B3-9E51-4180-B782-B97D376A9271}"/>
    <cellStyle name="Normal 2 4 5 3 5" xfId="13370" xr:uid="{8D804AFF-94C9-4587-BA98-E33FDCD04C44}"/>
    <cellStyle name="Normal 2 4 5 30" xfId="4544" xr:uid="{0644A99E-7EC9-4192-A75B-2760E8633746}"/>
    <cellStyle name="Normal 2 4 5 30 2" xfId="4545" xr:uid="{2867A301-B80D-4B41-8968-4820FC859B21}"/>
    <cellStyle name="Normal 2 4 5 30 2 2" xfId="4546" xr:uid="{AC312EA5-CAD2-484D-982B-84452B7B6F6C}"/>
    <cellStyle name="Normal 2 4 5 30 2 2 2" xfId="13378" xr:uid="{5EDB3B3E-1B83-45FD-820E-2780EC7F9A4D}"/>
    <cellStyle name="Normal 2 4 5 30 2 3" xfId="4547" xr:uid="{31BD0BED-DDE7-4451-AB48-1EAF57AFCC79}"/>
    <cellStyle name="Normal 2 4 5 30 2 3 2" xfId="13379" xr:uid="{847D6B4C-0098-4405-9D8C-035A053E0AEF}"/>
    <cellStyle name="Normal 2 4 5 30 2 4" xfId="13377" xr:uid="{0D17E654-C7B6-43D5-B79F-5F60CD9007E5}"/>
    <cellStyle name="Normal 2 4 5 30 3" xfId="4548" xr:uid="{E6C185B7-F475-4B40-9996-E379B6CF0177}"/>
    <cellStyle name="Normal 2 4 5 30 3 2" xfId="13380" xr:uid="{E64FF701-52E9-4660-9212-2149A7D7DA78}"/>
    <cellStyle name="Normal 2 4 5 30 4" xfId="4549" xr:uid="{07634939-0D70-4337-966A-D0C96AA1725E}"/>
    <cellStyle name="Normal 2 4 5 30 4 2" xfId="13381" xr:uid="{340AE61C-1B87-45E2-8670-6C0302A7785F}"/>
    <cellStyle name="Normal 2 4 5 30 5" xfId="13376" xr:uid="{F4926F47-CE92-4175-A467-05CBF3836E1B}"/>
    <cellStyle name="Normal 2 4 5 31" xfId="4550" xr:uid="{EEED862C-D83C-404D-BF7D-F4DC839CDF1C}"/>
    <cellStyle name="Normal 2 4 5 31 2" xfId="4551" xr:uid="{49FC8165-0E79-4587-9C47-CA94FCDDD906}"/>
    <cellStyle name="Normal 2 4 5 31 2 2" xfId="4552" xr:uid="{A4EF0AD4-F199-4442-9D9F-82778EBEFD9F}"/>
    <cellStyle name="Normal 2 4 5 31 2 2 2" xfId="13384" xr:uid="{378E75AC-C38F-4B2F-AD42-982FDD5ED091}"/>
    <cellStyle name="Normal 2 4 5 31 2 3" xfId="4553" xr:uid="{E09043BC-1337-4D00-88D5-125D735CB295}"/>
    <cellStyle name="Normal 2 4 5 31 2 3 2" xfId="13385" xr:uid="{5BFE54D2-CB9A-406B-9D30-3D9632C07062}"/>
    <cellStyle name="Normal 2 4 5 31 2 4" xfId="13383" xr:uid="{FC8883DA-5A62-4CF9-97BD-FB0A5D284781}"/>
    <cellStyle name="Normal 2 4 5 31 3" xfId="4554" xr:uid="{657CEB3F-A55F-49C3-88EA-199130AF21DE}"/>
    <cellStyle name="Normal 2 4 5 31 3 2" xfId="13386" xr:uid="{969F2CEC-201A-40CA-BE44-6EC9BDEB7631}"/>
    <cellStyle name="Normal 2 4 5 31 4" xfId="4555" xr:uid="{008F2CB1-3F05-42A1-B82C-98F111088BCF}"/>
    <cellStyle name="Normal 2 4 5 31 4 2" xfId="13387" xr:uid="{086E60F6-EE01-40A1-8B3E-8860CEBCD035}"/>
    <cellStyle name="Normal 2 4 5 31 5" xfId="13382" xr:uid="{17E19B53-F2A1-4B62-A6AE-6E1080FDAEF4}"/>
    <cellStyle name="Normal 2 4 5 32" xfId="4556" xr:uid="{83B2C3D1-CB7E-4FD1-8638-32B8F55E2666}"/>
    <cellStyle name="Normal 2 4 5 32 2" xfId="4557" xr:uid="{584A2A11-65FE-464A-B748-5FE19043CDD0}"/>
    <cellStyle name="Normal 2 4 5 32 2 2" xfId="4558" xr:uid="{DAAFAA88-ACE8-473B-A741-75CD774B780B}"/>
    <cellStyle name="Normal 2 4 5 32 2 2 2" xfId="13390" xr:uid="{1FDB2250-15AA-4319-9685-468BF25D22BC}"/>
    <cellStyle name="Normal 2 4 5 32 2 3" xfId="4559" xr:uid="{299B6D14-EF90-4EF1-8A12-F645C95C6692}"/>
    <cellStyle name="Normal 2 4 5 32 2 3 2" xfId="13391" xr:uid="{870A85D7-BB6E-4CAD-8397-D6048F39F444}"/>
    <cellStyle name="Normal 2 4 5 32 2 4" xfId="13389" xr:uid="{EAC0F089-9B4F-4B35-BCA9-FBE2EA3EF68B}"/>
    <cellStyle name="Normal 2 4 5 32 3" xfId="4560" xr:uid="{B2C42804-4ADA-430C-B1F6-E66053B25077}"/>
    <cellStyle name="Normal 2 4 5 32 3 2" xfId="13392" xr:uid="{10F04121-9BEB-497D-9475-3E252B204037}"/>
    <cellStyle name="Normal 2 4 5 32 4" xfId="4561" xr:uid="{D24C04E4-8FB7-4190-9739-59550781DA9A}"/>
    <cellStyle name="Normal 2 4 5 32 4 2" xfId="13393" xr:uid="{A730384F-FCAF-438A-AB59-FF72EC2B4F42}"/>
    <cellStyle name="Normal 2 4 5 32 5" xfId="13388" xr:uid="{6817C9EF-DDE1-4B70-A3BD-230F0CF8D00F}"/>
    <cellStyle name="Normal 2 4 5 33" xfId="4562" xr:uid="{B9B9C11E-361F-4C98-A95D-C60739520A87}"/>
    <cellStyle name="Normal 2 4 5 33 2" xfId="4563" xr:uid="{4DE8DABF-9137-46A9-8796-3BB1BDAD2297}"/>
    <cellStyle name="Normal 2 4 5 33 2 2" xfId="4564" xr:uid="{5EF48C8E-C0E8-4250-89F8-28E9950552FB}"/>
    <cellStyle name="Normal 2 4 5 33 2 2 2" xfId="13396" xr:uid="{B451592C-CAE8-41DF-AB90-8C31E00BD6C1}"/>
    <cellStyle name="Normal 2 4 5 33 2 3" xfId="4565" xr:uid="{A3449854-8DD8-42DA-AF2C-DF195A753F01}"/>
    <cellStyle name="Normal 2 4 5 33 2 3 2" xfId="13397" xr:uid="{ECDDE06A-21D7-42A8-BB24-A5466177923C}"/>
    <cellStyle name="Normal 2 4 5 33 2 4" xfId="13395" xr:uid="{F071BA3F-8747-473F-9153-0BB7797F64FA}"/>
    <cellStyle name="Normal 2 4 5 33 3" xfId="4566" xr:uid="{8471A3B4-A331-4E50-90B5-AB431C0D94EA}"/>
    <cellStyle name="Normal 2 4 5 33 3 2" xfId="13398" xr:uid="{ED13EB52-DF6E-44AE-B1A2-153650F7D700}"/>
    <cellStyle name="Normal 2 4 5 33 4" xfId="4567" xr:uid="{17D65463-7AED-487E-BC76-EE1E80EB2B95}"/>
    <cellStyle name="Normal 2 4 5 33 4 2" xfId="13399" xr:uid="{87E719D1-E3ED-44A1-AFE0-5BD24573E09C}"/>
    <cellStyle name="Normal 2 4 5 33 5" xfId="13394" xr:uid="{C813B06A-8F59-4F8E-A107-92FA25AFBE05}"/>
    <cellStyle name="Normal 2 4 5 34" xfId="4568" xr:uid="{821FBAED-9C52-499F-AF08-6D1F739767D6}"/>
    <cellStyle name="Normal 2 4 5 34 2" xfId="4569" xr:uid="{F1CBD513-D850-414E-95B8-1F2797D33A4D}"/>
    <cellStyle name="Normal 2 4 5 34 2 2" xfId="4570" xr:uid="{C9D81206-DD0B-4008-B6EF-EAC8C09C7F29}"/>
    <cellStyle name="Normal 2 4 5 34 2 2 2" xfId="13402" xr:uid="{330BE5A1-DBC1-41C2-9A08-55343C9C189C}"/>
    <cellStyle name="Normal 2 4 5 34 2 3" xfId="4571" xr:uid="{BB62AFB7-17D8-4F71-99D1-4E37A14DB8A9}"/>
    <cellStyle name="Normal 2 4 5 34 2 3 2" xfId="13403" xr:uid="{C1AA370E-05BD-4178-9FFB-6CEDDFFA92FC}"/>
    <cellStyle name="Normal 2 4 5 34 2 4" xfId="13401" xr:uid="{14F3FC13-11A3-4A12-9F1E-B89EE261CC21}"/>
    <cellStyle name="Normal 2 4 5 34 3" xfId="4572" xr:uid="{FEA80CEA-CAAC-47A6-8B3C-D598AC1A1C3C}"/>
    <cellStyle name="Normal 2 4 5 34 3 2" xfId="13404" xr:uid="{0B3C504F-D490-4A6D-8325-211BDF411510}"/>
    <cellStyle name="Normal 2 4 5 34 4" xfId="4573" xr:uid="{92BA5D21-1346-4D00-ACA7-E91A707DB7DB}"/>
    <cellStyle name="Normal 2 4 5 34 4 2" xfId="13405" xr:uid="{4888D340-815D-402B-BB48-195C9D4E2669}"/>
    <cellStyle name="Normal 2 4 5 34 5" xfId="13400" xr:uid="{78C8F03A-F0B3-4AF0-A97D-040453EA05C3}"/>
    <cellStyle name="Normal 2 4 5 35" xfId="4574" xr:uid="{342B0A62-0B0D-4C5B-82FF-61678D10A71B}"/>
    <cellStyle name="Normal 2 4 5 35 2" xfId="4575" xr:uid="{A02A50B2-43E7-48A3-B92B-8224D2737018}"/>
    <cellStyle name="Normal 2 4 5 35 2 2" xfId="4576" xr:uid="{0C69818B-C3A2-4E66-8A0E-B10E2D4939F3}"/>
    <cellStyle name="Normal 2 4 5 35 2 2 2" xfId="13408" xr:uid="{272AD5A1-89C2-43BB-A57C-FB7E72E6DA32}"/>
    <cellStyle name="Normal 2 4 5 35 2 3" xfId="4577" xr:uid="{F1B66498-F087-46FA-AC28-073C7DC89FF4}"/>
    <cellStyle name="Normal 2 4 5 35 2 3 2" xfId="13409" xr:uid="{F53D8E24-B815-4DBA-8265-9B5FE8286D0F}"/>
    <cellStyle name="Normal 2 4 5 35 2 4" xfId="13407" xr:uid="{4F23C208-387A-49E9-A2D1-9EFB3DF9B78D}"/>
    <cellStyle name="Normal 2 4 5 35 3" xfId="4578" xr:uid="{4B8C539B-651E-4E4D-BC80-0AE89EBFA129}"/>
    <cellStyle name="Normal 2 4 5 35 3 2" xfId="13410" xr:uid="{F4C32C93-1390-4C98-B2BF-72D34AAF0101}"/>
    <cellStyle name="Normal 2 4 5 35 4" xfId="4579" xr:uid="{30153606-58B8-4A30-982E-5186AE0A5958}"/>
    <cellStyle name="Normal 2 4 5 35 4 2" xfId="13411" xr:uid="{9B99D7A9-2E15-4ECF-A01B-7C8E1DA1AF18}"/>
    <cellStyle name="Normal 2 4 5 35 5" xfId="13406" xr:uid="{90A282DE-5A53-4EA0-A980-82A8B5669A7A}"/>
    <cellStyle name="Normal 2 4 5 36" xfId="4580" xr:uid="{2A2E6480-5E06-431A-8536-682F6CDF5810}"/>
    <cellStyle name="Normal 2 4 5 36 2" xfId="4581" xr:uid="{A84C339B-BF06-416D-9C04-A8C1B91FD2FF}"/>
    <cellStyle name="Normal 2 4 5 36 2 2" xfId="4582" xr:uid="{B400CA86-BCCE-453E-A72F-59575CB14D9A}"/>
    <cellStyle name="Normal 2 4 5 36 2 2 2" xfId="13414" xr:uid="{FB4D7542-F100-4440-B74F-7DD1C05016E0}"/>
    <cellStyle name="Normal 2 4 5 36 2 3" xfId="4583" xr:uid="{803A8640-5A93-4631-AE7E-1DF96EBF103E}"/>
    <cellStyle name="Normal 2 4 5 36 2 3 2" xfId="13415" xr:uid="{CDB3D689-7985-453A-9F97-9FA0BE23BECF}"/>
    <cellStyle name="Normal 2 4 5 36 2 4" xfId="13413" xr:uid="{F52F2682-BA5C-4C88-999C-A90BC9F4524D}"/>
    <cellStyle name="Normal 2 4 5 36 3" xfId="4584" xr:uid="{53D0EAAB-0BAC-4467-9AD3-BCACFDB19AEC}"/>
    <cellStyle name="Normal 2 4 5 36 3 2" xfId="13416" xr:uid="{AF28CB37-D2B1-4480-9B2A-2F62EFC36400}"/>
    <cellStyle name="Normal 2 4 5 36 4" xfId="4585" xr:uid="{0B8749A2-8C5F-4273-997E-0D13BDF2CA69}"/>
    <cellStyle name="Normal 2 4 5 36 4 2" xfId="13417" xr:uid="{C7F723C3-64E0-4E16-A871-E798221ED90F}"/>
    <cellStyle name="Normal 2 4 5 36 5" xfId="13412" xr:uid="{41D0F43F-35EA-49E2-A458-BA86A7E4E826}"/>
    <cellStyle name="Normal 2 4 5 37" xfId="4586" xr:uid="{DA54C45E-8B04-42B1-901D-6756E616FEE6}"/>
    <cellStyle name="Normal 2 4 5 37 2" xfId="4587" xr:uid="{64AAA201-6374-4FFB-B5E8-A7179DDAE08D}"/>
    <cellStyle name="Normal 2 4 5 37 2 2" xfId="4588" xr:uid="{019C0775-EFA7-4A3C-90BB-63C08C71C1D1}"/>
    <cellStyle name="Normal 2 4 5 37 2 2 2" xfId="13420" xr:uid="{E65EE7FA-6ACB-4326-8CF4-C3FEE6F83766}"/>
    <cellStyle name="Normal 2 4 5 37 2 3" xfId="4589" xr:uid="{7FFF51C1-0E15-4840-9C97-B9903EF96368}"/>
    <cellStyle name="Normal 2 4 5 37 2 3 2" xfId="13421" xr:uid="{56A025B0-2B16-4323-8F7B-F0344105C441}"/>
    <cellStyle name="Normal 2 4 5 37 2 4" xfId="13419" xr:uid="{438A9EB7-FC0E-46EE-8D86-99D2F0262392}"/>
    <cellStyle name="Normal 2 4 5 37 3" xfId="4590" xr:uid="{BFA1F3B1-1BF9-4C43-BD47-90D27051EB71}"/>
    <cellStyle name="Normal 2 4 5 37 3 2" xfId="13422" xr:uid="{6A2E3886-6FC1-4E96-8538-BCED59BBCB9C}"/>
    <cellStyle name="Normal 2 4 5 37 4" xfId="4591" xr:uid="{C4A0BE4B-589E-44E7-AE0C-B174EBE31229}"/>
    <cellStyle name="Normal 2 4 5 37 4 2" xfId="13423" xr:uid="{394F9519-AACF-4684-9D09-7EBFDF987154}"/>
    <cellStyle name="Normal 2 4 5 37 5" xfId="13418" xr:uid="{7BCBF791-AE61-4AF2-BCF7-557098AD46CB}"/>
    <cellStyle name="Normal 2 4 5 38" xfId="4592" xr:uid="{A36F937D-E4F3-4D03-B74A-E938DC661808}"/>
    <cellStyle name="Normal 2 4 5 38 2" xfId="4593" xr:uid="{30C6FA0B-3FFC-4526-889F-62A5787794B6}"/>
    <cellStyle name="Normal 2 4 5 38 2 2" xfId="4594" xr:uid="{0013BC91-8663-4907-9FF7-477371AB32C1}"/>
    <cellStyle name="Normal 2 4 5 38 2 2 2" xfId="13426" xr:uid="{BA09EEAA-2E15-47D2-A64F-712C6D215C40}"/>
    <cellStyle name="Normal 2 4 5 38 2 3" xfId="4595" xr:uid="{2DEE39C4-DC73-43B9-B78E-0CE2F1C4414B}"/>
    <cellStyle name="Normal 2 4 5 38 2 3 2" xfId="13427" xr:uid="{1E8AF3DE-EAD9-41D8-998F-56E34C1B910A}"/>
    <cellStyle name="Normal 2 4 5 38 2 4" xfId="13425" xr:uid="{3A46ECFD-B83F-4299-8223-B819DFA140BC}"/>
    <cellStyle name="Normal 2 4 5 38 3" xfId="4596" xr:uid="{D821DD0B-3939-4376-9404-D1F8D71A2D5B}"/>
    <cellStyle name="Normal 2 4 5 38 3 2" xfId="13428" xr:uid="{6355D28E-9133-4F5F-82D1-D0343BF2F5DC}"/>
    <cellStyle name="Normal 2 4 5 38 4" xfId="4597" xr:uid="{2B852F44-31C6-4EE3-B23E-48941D6BC054}"/>
    <cellStyle name="Normal 2 4 5 38 4 2" xfId="13429" xr:uid="{417365A1-1CFC-48A2-80BF-6AAF915565DC}"/>
    <cellStyle name="Normal 2 4 5 38 5" xfId="13424" xr:uid="{4E7701E2-2D42-4BFF-8B54-39FD7D07E030}"/>
    <cellStyle name="Normal 2 4 5 39" xfId="4598" xr:uid="{82FA4256-C99B-4F5A-9CCF-D0780B1B027A}"/>
    <cellStyle name="Normal 2 4 5 39 2" xfId="4599" xr:uid="{5692B8F1-8260-4F62-A9AE-5D17BC06E79D}"/>
    <cellStyle name="Normal 2 4 5 39 2 2" xfId="4600" xr:uid="{117726CF-D54D-4754-95C9-08C4273764B8}"/>
    <cellStyle name="Normal 2 4 5 39 2 2 2" xfId="13432" xr:uid="{87BA2C4B-451D-418A-B8F4-968FE69AA241}"/>
    <cellStyle name="Normal 2 4 5 39 2 3" xfId="4601" xr:uid="{310FB024-D974-431D-A943-EA632EE01AEF}"/>
    <cellStyle name="Normal 2 4 5 39 2 3 2" xfId="13433" xr:uid="{FEA5332A-5A82-412E-9957-14E0BB41AA53}"/>
    <cellStyle name="Normal 2 4 5 39 2 4" xfId="13431" xr:uid="{E478B9AB-C7CE-4398-B172-272142541993}"/>
    <cellStyle name="Normal 2 4 5 39 3" xfId="4602" xr:uid="{6738A04A-644A-4BDE-951D-1D47225610D3}"/>
    <cellStyle name="Normal 2 4 5 39 3 2" xfId="13434" xr:uid="{8B920937-B2D2-4431-A8B7-B3FCDAAF1EF4}"/>
    <cellStyle name="Normal 2 4 5 39 4" xfId="4603" xr:uid="{9265C7F1-B9AD-4CD4-B53E-239C9AE2A332}"/>
    <cellStyle name="Normal 2 4 5 39 4 2" xfId="13435" xr:uid="{10229263-9B09-435E-822B-09674DAD70B6}"/>
    <cellStyle name="Normal 2 4 5 39 5" xfId="13430" xr:uid="{A9C18AD2-A75F-4432-8126-170F14ED05C3}"/>
    <cellStyle name="Normal 2 4 5 4" xfId="4604" xr:uid="{B85DD56F-BE33-4EA4-A252-32B9E84660E0}"/>
    <cellStyle name="Normal 2 4 5 4 2" xfId="4605" xr:uid="{5E894603-5858-484D-9572-1762BB39DBD3}"/>
    <cellStyle name="Normal 2 4 5 4 2 2" xfId="4606" xr:uid="{4C4ED47E-DA72-40F9-8317-9E3DF33F3814}"/>
    <cellStyle name="Normal 2 4 5 4 2 2 2" xfId="13438" xr:uid="{242D8C65-CA05-45AA-A108-CF26328F2801}"/>
    <cellStyle name="Normal 2 4 5 4 2 3" xfId="4607" xr:uid="{A06F7FAF-4616-4796-A4EF-2313B25E789D}"/>
    <cellStyle name="Normal 2 4 5 4 2 3 2" xfId="13439" xr:uid="{5926E8FC-C5E9-4261-BC5E-C0E36766E18A}"/>
    <cellStyle name="Normal 2 4 5 4 2 4" xfId="13437" xr:uid="{118AC8FD-C37C-432F-83FF-662C4F6B180E}"/>
    <cellStyle name="Normal 2 4 5 4 3" xfId="4608" xr:uid="{961F5139-4C91-41BD-A657-5C8EAD742BE8}"/>
    <cellStyle name="Normal 2 4 5 4 3 2" xfId="13440" xr:uid="{81DCCDFB-A4E1-4699-8DA3-E6B36014A86B}"/>
    <cellStyle name="Normal 2 4 5 4 4" xfId="4609" xr:uid="{7AD5BDCD-0D23-4409-A6CB-43796AA462B9}"/>
    <cellStyle name="Normal 2 4 5 4 4 2" xfId="13441" xr:uid="{923C895D-3090-4210-9FC9-CEE2CB32F6E5}"/>
    <cellStyle name="Normal 2 4 5 4 5" xfId="13436" xr:uid="{5C85A43D-045C-4829-BBE0-F8BFACA7C7A3}"/>
    <cellStyle name="Normal 2 4 5 40" xfId="4610" xr:uid="{2DCDA152-9752-4954-B83F-5BAD48445F64}"/>
    <cellStyle name="Normal 2 4 5 40 2" xfId="4611" xr:uid="{39257990-F8C4-4D39-B46C-3F546296791F}"/>
    <cellStyle name="Normal 2 4 5 40 2 2" xfId="4612" xr:uid="{00B95AB0-397C-498F-B813-33D6387CB3E2}"/>
    <cellStyle name="Normal 2 4 5 40 2 2 2" xfId="13444" xr:uid="{34C7FF96-A826-4E8C-B1D5-2566DD79AC77}"/>
    <cellStyle name="Normal 2 4 5 40 2 3" xfId="4613" xr:uid="{8E580A0C-5890-4C78-9BEE-3F6C1F0E4AE3}"/>
    <cellStyle name="Normal 2 4 5 40 2 3 2" xfId="13445" xr:uid="{E2848804-F4DE-4E3B-9B1A-02FABBA5B26B}"/>
    <cellStyle name="Normal 2 4 5 40 2 4" xfId="13443" xr:uid="{DDCDB777-5762-462F-9985-05889031E779}"/>
    <cellStyle name="Normal 2 4 5 40 3" xfId="4614" xr:uid="{CFC72365-5EFD-4A14-AB3E-721F8039F5CF}"/>
    <cellStyle name="Normal 2 4 5 40 3 2" xfId="13446" xr:uid="{CEAA94D8-3FAE-4292-B145-35F61C6E2CCD}"/>
    <cellStyle name="Normal 2 4 5 40 4" xfId="4615" xr:uid="{5A72201F-BC0D-4017-A9CD-882E641E4F8C}"/>
    <cellStyle name="Normal 2 4 5 40 4 2" xfId="13447" xr:uid="{5BA93902-4F98-4ACB-8AC3-044A9F038F64}"/>
    <cellStyle name="Normal 2 4 5 40 5" xfId="13442" xr:uid="{A0D4A779-01E0-4239-A9E7-1893866F1ECA}"/>
    <cellStyle name="Normal 2 4 5 41" xfId="4616" xr:uid="{CF104D95-16A3-4C12-A6AE-4183551AD778}"/>
    <cellStyle name="Normal 2 4 5 41 2" xfId="4617" xr:uid="{7C653E3A-9FD3-486A-917D-1FC31BD77910}"/>
    <cellStyle name="Normal 2 4 5 41 2 2" xfId="4618" xr:uid="{91C3F641-90DC-463D-910B-C28B513F2C6E}"/>
    <cellStyle name="Normal 2 4 5 41 2 2 2" xfId="13450" xr:uid="{659722EF-67AD-4B8B-8B17-70F5066C4187}"/>
    <cellStyle name="Normal 2 4 5 41 2 3" xfId="4619" xr:uid="{0344C183-A566-4020-BE51-D5E4F33BCDA4}"/>
    <cellStyle name="Normal 2 4 5 41 2 3 2" xfId="13451" xr:uid="{349EBDB8-253A-4B46-A3C4-37A3685CDD6E}"/>
    <cellStyle name="Normal 2 4 5 41 2 4" xfId="13449" xr:uid="{DC910785-C94C-48FA-9B7A-069753D6843E}"/>
    <cellStyle name="Normal 2 4 5 41 3" xfId="4620" xr:uid="{EE4363C5-3218-484C-8CC4-AC2F7F05D6BA}"/>
    <cellStyle name="Normal 2 4 5 41 3 2" xfId="13452" xr:uid="{9AE5B46D-6233-41E9-8152-BF6E31DF5C04}"/>
    <cellStyle name="Normal 2 4 5 41 4" xfId="4621" xr:uid="{76090619-6967-46CB-B0BD-972CE750C6B4}"/>
    <cellStyle name="Normal 2 4 5 41 4 2" xfId="13453" xr:uid="{9535DEEE-247D-4698-A744-AC2997A93E0A}"/>
    <cellStyle name="Normal 2 4 5 41 5" xfId="13448" xr:uid="{8BCEB133-953C-4B00-BDF5-3E99AFFB1A8B}"/>
    <cellStyle name="Normal 2 4 5 42" xfId="4622" xr:uid="{AA338713-30F8-450C-A708-0AE6FCA4D971}"/>
    <cellStyle name="Normal 2 4 5 42 2" xfId="4623" xr:uid="{E72F0ECB-35A2-40E4-8109-162FC0190401}"/>
    <cellStyle name="Normal 2 4 5 42 2 2" xfId="4624" xr:uid="{80BBBEE4-9C33-473D-8610-0A6D7C00313F}"/>
    <cellStyle name="Normal 2 4 5 42 2 2 2" xfId="13456" xr:uid="{18AD23B1-0CB0-48B8-B444-4C8D7D525EB8}"/>
    <cellStyle name="Normal 2 4 5 42 2 3" xfId="4625" xr:uid="{0A3E9B57-B66D-455B-A71B-BC2361881F22}"/>
    <cellStyle name="Normal 2 4 5 42 2 3 2" xfId="13457" xr:uid="{A9C33916-18F8-4CE3-9AE6-23B74DD6004F}"/>
    <cellStyle name="Normal 2 4 5 42 2 4" xfId="13455" xr:uid="{8D776FF1-E8A3-49D2-842C-F0C6DA48B55D}"/>
    <cellStyle name="Normal 2 4 5 42 3" xfId="4626" xr:uid="{1EBFB65E-E4E0-429E-90D9-488BD581127E}"/>
    <cellStyle name="Normal 2 4 5 42 3 2" xfId="13458" xr:uid="{9A6EE375-45B5-4842-AF88-3043B75A03A0}"/>
    <cellStyle name="Normal 2 4 5 42 4" xfId="4627" xr:uid="{BC6AB2E8-3BFD-41ED-B976-D97C6980CBF8}"/>
    <cellStyle name="Normal 2 4 5 42 4 2" xfId="13459" xr:uid="{740F629E-05E1-41C5-8282-DADA55F1E78F}"/>
    <cellStyle name="Normal 2 4 5 42 5" xfId="13454" xr:uid="{C975B6F8-0810-4E00-9136-CCAA0BF4FC0F}"/>
    <cellStyle name="Normal 2 4 5 43" xfId="4628" xr:uid="{5CDA3C9B-A7DB-47E6-826F-1B75EFA86508}"/>
    <cellStyle name="Normal 2 4 5 43 2" xfId="4629" xr:uid="{61176ED1-F350-4B9C-BF8F-4EE789F1F748}"/>
    <cellStyle name="Normal 2 4 5 43 2 2" xfId="4630" xr:uid="{5200A240-9667-48C3-AD7E-F9588D164280}"/>
    <cellStyle name="Normal 2 4 5 43 2 2 2" xfId="13462" xr:uid="{E35A11ED-A1A8-4EDF-9057-B87C58D21A4E}"/>
    <cellStyle name="Normal 2 4 5 43 2 3" xfId="4631" xr:uid="{66ABB116-5B65-47F4-BBE8-62D772C80293}"/>
    <cellStyle name="Normal 2 4 5 43 2 3 2" xfId="13463" xr:uid="{67203CA2-41D2-45EF-9E65-99C504E41808}"/>
    <cellStyle name="Normal 2 4 5 43 2 4" xfId="13461" xr:uid="{EE0E3205-8040-45DD-B3BC-77A2DDA0A023}"/>
    <cellStyle name="Normal 2 4 5 43 3" xfId="4632" xr:uid="{A85E2E90-1022-497F-B155-1CCA79BB7290}"/>
    <cellStyle name="Normal 2 4 5 43 3 2" xfId="13464" xr:uid="{9E2BFC2A-8DC5-4BBD-AB5F-24D69121337C}"/>
    <cellStyle name="Normal 2 4 5 43 4" xfId="4633" xr:uid="{AF026078-3CB8-40AA-B052-4E30C5DE007D}"/>
    <cellStyle name="Normal 2 4 5 43 4 2" xfId="13465" xr:uid="{DB1ACD08-A48D-4C85-BD0A-32D980DBD474}"/>
    <cellStyle name="Normal 2 4 5 43 5" xfId="13460" xr:uid="{52D267A6-AE43-4CDE-99B6-515B58DCCD78}"/>
    <cellStyle name="Normal 2 4 5 44" xfId="4634" xr:uid="{25C0D624-C868-4C1B-82E2-7A24C000F9A8}"/>
    <cellStyle name="Normal 2 4 5 44 2" xfId="4635" xr:uid="{BA06CFFA-763A-4E23-8057-EDE9481CA588}"/>
    <cellStyle name="Normal 2 4 5 44 2 2" xfId="13467" xr:uid="{5486F4A6-F52B-498C-A784-E408206B8C98}"/>
    <cellStyle name="Normal 2 4 5 44 3" xfId="4636" xr:uid="{3114B85C-CC9B-4332-9211-632D1119D4EF}"/>
    <cellStyle name="Normal 2 4 5 44 3 2" xfId="13468" xr:uid="{B94D7B77-63E4-4424-9E97-79FB6D7F8CBF}"/>
    <cellStyle name="Normal 2 4 5 44 4" xfId="13466" xr:uid="{832A81D2-4EE8-44C3-8BA1-F815D63EBE00}"/>
    <cellStyle name="Normal 2 4 5 45" xfId="4637" xr:uid="{C2048507-E69C-489C-9460-A82644FD9E3E}"/>
    <cellStyle name="Normal 2 4 5 45 2" xfId="13469" xr:uid="{FF2144E5-9BD0-4699-86C1-330AC9E9548E}"/>
    <cellStyle name="Normal 2 4 5 46" xfId="4638" xr:uid="{5E31E173-AE80-4126-986E-3C2F70EA5CB8}"/>
    <cellStyle name="Normal 2 4 5 46 2" xfId="13470" xr:uid="{CA8ADF61-CE97-452F-AAD5-49EA471FC6E7}"/>
    <cellStyle name="Normal 2 4 5 47" xfId="13243" xr:uid="{F01944E4-32B8-4DA8-8FEF-7BA394C04332}"/>
    <cellStyle name="Normal 2 4 5 5" xfId="4639" xr:uid="{83B07A83-1D4E-4384-ADEB-0B3C84D2BC66}"/>
    <cellStyle name="Normal 2 4 5 5 2" xfId="4640" xr:uid="{FD5B1A6C-EF1B-45F9-A681-4DE65CE0520B}"/>
    <cellStyle name="Normal 2 4 5 5 2 2" xfId="4641" xr:uid="{0E28970E-714D-44F9-A38A-6DCC633B4D0D}"/>
    <cellStyle name="Normal 2 4 5 5 2 2 2" xfId="13473" xr:uid="{1442F094-5D68-4F3A-966E-8B83DD03AD8F}"/>
    <cellStyle name="Normal 2 4 5 5 2 3" xfId="4642" xr:uid="{37A952B2-E209-4065-9C46-F5986760D2FA}"/>
    <cellStyle name="Normal 2 4 5 5 2 3 2" xfId="13474" xr:uid="{70E4B4AD-496C-4DED-B4E4-7447C1D3272F}"/>
    <cellStyle name="Normal 2 4 5 5 2 4" xfId="13472" xr:uid="{491BBD8A-0D31-4371-AB5E-822E9A4C50AA}"/>
    <cellStyle name="Normal 2 4 5 5 3" xfId="4643" xr:uid="{30B4885E-0125-444D-9B11-8B7B1B6EB732}"/>
    <cellStyle name="Normal 2 4 5 5 3 2" xfId="13475" xr:uid="{4D0231E7-E775-4BE4-8F84-AEECF2F7FE41}"/>
    <cellStyle name="Normal 2 4 5 5 4" xfId="4644" xr:uid="{29A85877-13DC-474A-96EB-113CED71A72D}"/>
    <cellStyle name="Normal 2 4 5 5 4 2" xfId="13476" xr:uid="{D5A9ACCC-816F-4717-8E8A-571DB13B451B}"/>
    <cellStyle name="Normal 2 4 5 5 5" xfId="13471" xr:uid="{7069E79F-5120-4C8B-A94E-12D4789BE7ED}"/>
    <cellStyle name="Normal 2 4 5 6" xfId="4645" xr:uid="{76E9839F-AD8C-4D51-B170-4D859F6B4A68}"/>
    <cellStyle name="Normal 2 4 5 6 2" xfId="4646" xr:uid="{FD9F1194-B2FD-40E8-99E6-AC3F7EFAE997}"/>
    <cellStyle name="Normal 2 4 5 6 2 2" xfId="4647" xr:uid="{FDA46058-FED8-45D1-855E-1F4214269545}"/>
    <cellStyle name="Normal 2 4 5 6 2 2 2" xfId="13479" xr:uid="{37D4E742-7BAE-43E9-B3AA-FB3C3969D934}"/>
    <cellStyle name="Normal 2 4 5 6 2 3" xfId="4648" xr:uid="{1D25C43C-1876-4921-92EA-C6AEBBAC7B98}"/>
    <cellStyle name="Normal 2 4 5 6 2 3 2" xfId="13480" xr:uid="{456F7F19-E49C-44B5-97A3-821C42F5926B}"/>
    <cellStyle name="Normal 2 4 5 6 2 4" xfId="13478" xr:uid="{07ADCA4D-75D3-484E-A14C-14DB63682C17}"/>
    <cellStyle name="Normal 2 4 5 6 3" xfId="4649" xr:uid="{22360AC9-2F85-4B8A-B944-09FEBC2D3C4F}"/>
    <cellStyle name="Normal 2 4 5 6 3 2" xfId="13481" xr:uid="{4E371E73-95D7-4815-A6A6-59E9378FD1CD}"/>
    <cellStyle name="Normal 2 4 5 6 4" xfId="4650" xr:uid="{B928431D-FBDF-48B8-BF7A-08465A7504D3}"/>
    <cellStyle name="Normal 2 4 5 6 4 2" xfId="13482" xr:uid="{4376A9CE-9028-4558-86B4-0B488938A4E0}"/>
    <cellStyle name="Normal 2 4 5 6 5" xfId="13477" xr:uid="{BBED0EF8-708F-4B2D-916A-6AC1BF3DD827}"/>
    <cellStyle name="Normal 2 4 5 7" xfId="4651" xr:uid="{BD365822-6BBE-4368-9DED-81A42FB132B2}"/>
    <cellStyle name="Normal 2 4 5 7 2" xfId="4652" xr:uid="{7EA0F9CB-4ACA-47C1-91C5-952B8F77714C}"/>
    <cellStyle name="Normal 2 4 5 7 2 2" xfId="4653" xr:uid="{992A7ECF-91F2-4EBB-9E90-ADA5DA1B790E}"/>
    <cellStyle name="Normal 2 4 5 7 2 2 2" xfId="13485" xr:uid="{5867983F-7571-4568-B281-FBB9CB0C11BE}"/>
    <cellStyle name="Normal 2 4 5 7 2 3" xfId="4654" xr:uid="{52203762-F742-47EE-9897-44703E041511}"/>
    <cellStyle name="Normal 2 4 5 7 2 3 2" xfId="13486" xr:uid="{10936BC9-0320-4451-9B8E-69E6D5A434C0}"/>
    <cellStyle name="Normal 2 4 5 7 2 4" xfId="13484" xr:uid="{D93EC8AE-DA1A-4B8D-91FB-A0FDFDA69F2B}"/>
    <cellStyle name="Normal 2 4 5 7 3" xfId="4655" xr:uid="{1895187F-1895-46EF-AFA1-D020120CC006}"/>
    <cellStyle name="Normal 2 4 5 7 3 2" xfId="13487" xr:uid="{FEBBC63E-FE8A-46A8-B141-519E14E0D0A1}"/>
    <cellStyle name="Normal 2 4 5 7 4" xfId="4656" xr:uid="{E7DA0672-2485-4D3D-8274-29CC2118072F}"/>
    <cellStyle name="Normal 2 4 5 7 4 2" xfId="13488" xr:uid="{5D01E8FC-BD4A-40D2-A139-0B30EBADC4B2}"/>
    <cellStyle name="Normal 2 4 5 7 5" xfId="13483" xr:uid="{1B5BBFFE-25FF-40DD-82E2-1ECDAB30269C}"/>
    <cellStyle name="Normal 2 4 5 8" xfId="4657" xr:uid="{95DA771A-5949-4EFC-85B8-A58D6F0329A3}"/>
    <cellStyle name="Normal 2 4 5 8 2" xfId="4658" xr:uid="{797013BF-353C-46FD-A125-0597E38B3CF3}"/>
    <cellStyle name="Normal 2 4 5 8 2 2" xfId="4659" xr:uid="{842AA774-AF58-4A4C-AFF0-54818D28A8BC}"/>
    <cellStyle name="Normal 2 4 5 8 2 2 2" xfId="13491" xr:uid="{5AF1DE60-75B6-427F-9F2A-0F71CFBFAEE1}"/>
    <cellStyle name="Normal 2 4 5 8 2 3" xfId="4660" xr:uid="{39218ED4-1184-427B-B143-7D971D05FC76}"/>
    <cellStyle name="Normal 2 4 5 8 2 3 2" xfId="13492" xr:uid="{9FC18D49-53E9-438B-B118-A6558DA3158C}"/>
    <cellStyle name="Normal 2 4 5 8 2 4" xfId="13490" xr:uid="{715242F6-AFE4-4471-AC97-CED0D8848945}"/>
    <cellStyle name="Normal 2 4 5 8 3" xfId="4661" xr:uid="{E279B096-70D5-4D6B-98E7-EE82B92B3DEE}"/>
    <cellStyle name="Normal 2 4 5 8 3 2" xfId="13493" xr:uid="{D3587B3E-A520-44B3-AAC8-7E5CB07CD29B}"/>
    <cellStyle name="Normal 2 4 5 8 4" xfId="4662" xr:uid="{E182EBAB-96E8-4DB2-98D7-60B4A422BFB7}"/>
    <cellStyle name="Normal 2 4 5 8 4 2" xfId="13494" xr:uid="{1EFAA454-87BE-4B02-9807-3C6574A9E9E6}"/>
    <cellStyle name="Normal 2 4 5 8 5" xfId="13489" xr:uid="{D284D1C1-E0D4-4DA8-968F-4B15EE17422A}"/>
    <cellStyle name="Normal 2 4 5 9" xfId="4663" xr:uid="{3016ADC8-69D5-47CE-83FE-600CA0C509A5}"/>
    <cellStyle name="Normal 2 4 5 9 2" xfId="4664" xr:uid="{0E376150-19A0-48B4-A394-6BCB3BA9A498}"/>
    <cellStyle name="Normal 2 4 5 9 2 2" xfId="4665" xr:uid="{9959A317-CC39-4FC4-B949-8551BAC8444F}"/>
    <cellStyle name="Normal 2 4 5 9 2 2 2" xfId="13497" xr:uid="{FA7A3E5F-A875-4EFF-B88B-5B2CC83A8F42}"/>
    <cellStyle name="Normal 2 4 5 9 2 3" xfId="4666" xr:uid="{6BB462EE-256F-4C53-81B6-C966BF3A6DD1}"/>
    <cellStyle name="Normal 2 4 5 9 2 3 2" xfId="13498" xr:uid="{163B37C4-CA7C-4D1F-99A7-970DDD01BCCE}"/>
    <cellStyle name="Normal 2 4 5 9 2 4" xfId="13496" xr:uid="{1A4CC592-5533-4893-831C-6AF8400CB603}"/>
    <cellStyle name="Normal 2 4 5 9 3" xfId="4667" xr:uid="{C206731A-904B-4F00-B039-ABDF0ECCF1A8}"/>
    <cellStyle name="Normal 2 4 5 9 3 2" xfId="13499" xr:uid="{5F257750-479A-4EFC-93B5-E04D7FDB1CD7}"/>
    <cellStyle name="Normal 2 4 5 9 4" xfId="4668" xr:uid="{B32438C6-2154-4E93-B303-4ABC0D7EE419}"/>
    <cellStyle name="Normal 2 4 5 9 4 2" xfId="13500" xr:uid="{325AF36F-3F83-4097-9E33-D5BCDB50532E}"/>
    <cellStyle name="Normal 2 4 5 9 5" xfId="13495" xr:uid="{9B45F8AB-9459-4E31-B1C2-9092DA58F2C1}"/>
    <cellStyle name="Normal 2 4 50" xfId="4669" xr:uid="{AB2079C3-F852-4905-9872-F31EF234A07F}"/>
    <cellStyle name="Normal 2 4 50 2" xfId="4670" xr:uid="{D9C420D6-00D4-474F-8CAD-ECDA260C573D}"/>
    <cellStyle name="Normal 2 4 50 2 2" xfId="4671" xr:uid="{2A1008F5-DE94-4060-B8AB-A90F72F0D11D}"/>
    <cellStyle name="Normal 2 4 50 2 2 2" xfId="13503" xr:uid="{1910BEF9-C6DA-4A34-B0A2-69E197A0E3E7}"/>
    <cellStyle name="Normal 2 4 50 2 3" xfId="4672" xr:uid="{551629EA-2E22-421C-B90E-5B5A0E50158E}"/>
    <cellStyle name="Normal 2 4 50 2 3 2" xfId="13504" xr:uid="{133C3A12-2DD8-47EA-A3A2-37B72971762F}"/>
    <cellStyle name="Normal 2 4 50 2 4" xfId="13502" xr:uid="{EB716474-0FA1-43F2-BEFF-C280A55273F2}"/>
    <cellStyle name="Normal 2 4 50 3" xfId="4673" xr:uid="{580A16F3-43BB-4676-B9B4-C6A3DE9DC926}"/>
    <cellStyle name="Normal 2 4 50 3 2" xfId="13505" xr:uid="{C0A0156B-A46F-435D-BF0C-0DE6A4CC46BB}"/>
    <cellStyle name="Normal 2 4 50 4" xfId="4674" xr:uid="{31E803C1-E765-469A-AB11-4E4BB15E936F}"/>
    <cellStyle name="Normal 2 4 50 4 2" xfId="13506" xr:uid="{065256B7-ACD9-42E3-99BF-124F60C3F859}"/>
    <cellStyle name="Normal 2 4 50 5" xfId="13501" xr:uid="{4AC1CC3A-FBE0-4453-A468-8240C4A8A0B5}"/>
    <cellStyle name="Normal 2 4 51" xfId="4675" xr:uid="{32B96B81-8CB7-4647-82FE-3D1C489DEE1E}"/>
    <cellStyle name="Normal 2 4 51 2" xfId="4676" xr:uid="{0D810323-693E-473D-829D-E72491BD83D8}"/>
    <cellStyle name="Normal 2 4 51 2 2" xfId="4677" xr:uid="{DFDF4401-BF87-4D7B-9AA4-519527F2DFE3}"/>
    <cellStyle name="Normal 2 4 51 2 2 2" xfId="13509" xr:uid="{B8A60213-F001-4F8C-A80D-B67FDF2AEA47}"/>
    <cellStyle name="Normal 2 4 51 2 3" xfId="4678" xr:uid="{5A66258A-B893-49B9-8BE1-194220A074F3}"/>
    <cellStyle name="Normal 2 4 51 2 3 2" xfId="13510" xr:uid="{CD26BD8B-425C-4944-B24D-04D5B11B11B9}"/>
    <cellStyle name="Normal 2 4 51 2 4" xfId="13508" xr:uid="{950913B3-C5E8-4B6F-9000-F0C82BFDC452}"/>
    <cellStyle name="Normal 2 4 51 3" xfId="4679" xr:uid="{2B708896-A4F6-40E2-B58A-34EAAB48A4BC}"/>
    <cellStyle name="Normal 2 4 51 3 2" xfId="13511" xr:uid="{C1288F26-1C5D-434F-AA59-C2C914F7CE8B}"/>
    <cellStyle name="Normal 2 4 51 4" xfId="4680" xr:uid="{8C14221D-8CF8-4B75-81B6-0C5AF5C96EA9}"/>
    <cellStyle name="Normal 2 4 51 4 2" xfId="13512" xr:uid="{75C670E9-8076-481B-97DB-4E29797024A6}"/>
    <cellStyle name="Normal 2 4 51 5" xfId="13507" xr:uid="{4CE5D907-9B15-4007-8240-CF0590615B8D}"/>
    <cellStyle name="Normal 2 4 52" xfId="4681" xr:uid="{DAA6E27E-0B6D-4A78-885F-6C350F467FD5}"/>
    <cellStyle name="Normal 2 4 52 2" xfId="4682" xr:uid="{1B0F9434-BEBB-4B6E-90A2-4FE72A8C8269}"/>
    <cellStyle name="Normal 2 4 52 2 2" xfId="4683" xr:uid="{08AB0BAA-496A-4F71-A55D-FED409F52EAA}"/>
    <cellStyle name="Normal 2 4 52 2 2 2" xfId="13515" xr:uid="{BD384413-C56B-4CFB-8EDA-F9B5F9784986}"/>
    <cellStyle name="Normal 2 4 52 2 3" xfId="4684" xr:uid="{9EE5EE59-FD0E-41CC-9034-9F6AA9DA6198}"/>
    <cellStyle name="Normal 2 4 52 2 3 2" xfId="13516" xr:uid="{61C9C307-2649-467D-9F08-A4D94A5709FD}"/>
    <cellStyle name="Normal 2 4 52 2 4" xfId="13514" xr:uid="{6B74BC9D-C949-48A0-A38A-F1D9CE442A38}"/>
    <cellStyle name="Normal 2 4 52 3" xfId="4685" xr:uid="{0F3CB882-3AD1-46DD-81ED-5C1C6B2B1411}"/>
    <cellStyle name="Normal 2 4 52 3 2" xfId="13517" xr:uid="{791DFD3E-B6EF-4ED4-ADEE-B285CEBFFA1C}"/>
    <cellStyle name="Normal 2 4 52 4" xfId="4686" xr:uid="{71D988F8-0DF9-4BA9-B133-C3CBFE90DFC2}"/>
    <cellStyle name="Normal 2 4 52 4 2" xfId="13518" xr:uid="{B0A41E84-6163-40ED-BCAC-3F1588218313}"/>
    <cellStyle name="Normal 2 4 52 5" xfId="13513" xr:uid="{DBA41F0B-3115-4B31-972E-E4FB1BF2E071}"/>
    <cellStyle name="Normal 2 4 53" xfId="4687" xr:uid="{91FAD30A-B64F-466F-A33B-54FA7017C045}"/>
    <cellStyle name="Normal 2 4 53 2" xfId="4688" xr:uid="{7C76DF99-0873-4E8F-8376-E35A06EFB05F}"/>
    <cellStyle name="Normal 2 4 53 2 2" xfId="4689" xr:uid="{1B50AFB4-8F5B-405A-ADEC-F69788E38EC2}"/>
    <cellStyle name="Normal 2 4 53 2 2 2" xfId="13521" xr:uid="{AE0E506B-2C29-4E89-AA6A-A2662D8EDC93}"/>
    <cellStyle name="Normal 2 4 53 2 3" xfId="4690" xr:uid="{38E38B6E-242A-4052-8D52-D53319B167CC}"/>
    <cellStyle name="Normal 2 4 53 2 3 2" xfId="13522" xr:uid="{C0C78B07-6A96-4DE4-9581-3EFCE03CB855}"/>
    <cellStyle name="Normal 2 4 53 2 4" xfId="13520" xr:uid="{AA350810-7C14-4162-AEFC-11514CFF7983}"/>
    <cellStyle name="Normal 2 4 53 3" xfId="4691" xr:uid="{34D8FDB4-FF30-437B-8C06-E392B2F02FF0}"/>
    <cellStyle name="Normal 2 4 53 3 2" xfId="13523" xr:uid="{80ADFD58-854C-462C-B2E9-6B86053EBAB9}"/>
    <cellStyle name="Normal 2 4 53 4" xfId="4692" xr:uid="{DFB199AC-600A-4116-B03F-0B279B98C166}"/>
    <cellStyle name="Normal 2 4 53 4 2" xfId="13524" xr:uid="{B4C77C0A-CF23-4143-B7F0-671455A8324A}"/>
    <cellStyle name="Normal 2 4 53 5" xfId="13519" xr:uid="{A21443C4-FD37-45D6-AE53-39CF01281187}"/>
    <cellStyle name="Normal 2 4 54" xfId="4693" xr:uid="{ADD783E1-1A22-450E-8501-1BF6CE282591}"/>
    <cellStyle name="Normal 2 4 54 2" xfId="4694" xr:uid="{5AAD64D5-289E-459F-A580-69D36958FBD1}"/>
    <cellStyle name="Normal 2 4 54 2 2" xfId="4695" xr:uid="{77152DB3-A554-4946-8FFB-BAC2ECEF2030}"/>
    <cellStyle name="Normal 2 4 54 2 2 2" xfId="13527" xr:uid="{B7AA1FF3-EBDB-45ED-B8D3-BCB563DC920B}"/>
    <cellStyle name="Normal 2 4 54 2 3" xfId="4696" xr:uid="{787A87DD-04FA-47C1-87B4-D7CEDCD3AEEF}"/>
    <cellStyle name="Normal 2 4 54 2 3 2" xfId="13528" xr:uid="{4F837AE1-4A37-44C4-830B-CB1FF212CF53}"/>
    <cellStyle name="Normal 2 4 54 2 4" xfId="13526" xr:uid="{3A5EB40A-89E8-4151-A6F2-114122DE88C6}"/>
    <cellStyle name="Normal 2 4 54 3" xfId="4697" xr:uid="{9BB2991B-9CE2-4C86-A939-D2EB1CB470B9}"/>
    <cellStyle name="Normal 2 4 54 3 2" xfId="13529" xr:uid="{80645DEB-95A5-4332-BF00-1683602324A5}"/>
    <cellStyle name="Normal 2 4 54 4" xfId="4698" xr:uid="{8ACA8A5A-34FF-4883-8350-B206D9E546CB}"/>
    <cellStyle name="Normal 2 4 54 4 2" xfId="13530" xr:uid="{4DC8D46B-C53A-4174-A363-B94AEC441DBE}"/>
    <cellStyle name="Normal 2 4 54 5" xfId="13525" xr:uid="{8FD4E4E5-A6D0-4135-8162-87E426B0C85A}"/>
    <cellStyle name="Normal 2 4 55" xfId="4699" xr:uid="{C561A595-25B3-4E3B-8C8A-8069F21C93C2}"/>
    <cellStyle name="Normal 2 4 55 2" xfId="4700" xr:uid="{657B5B48-2C6B-4DE9-A67C-FAD2F0D5F16E}"/>
    <cellStyle name="Normal 2 4 55 2 2" xfId="4701" xr:uid="{C5996B06-04C3-49D0-97AD-02AFF93D3638}"/>
    <cellStyle name="Normal 2 4 55 2 2 2" xfId="13533" xr:uid="{D044BBF2-0E64-471D-8B33-1F3371ADCD90}"/>
    <cellStyle name="Normal 2 4 55 2 3" xfId="4702" xr:uid="{F8068194-98D0-4E4C-AB01-58D5056AC1DA}"/>
    <cellStyle name="Normal 2 4 55 2 3 2" xfId="13534" xr:uid="{D0DA4711-8257-4B6C-9B48-CBEF12DE35E8}"/>
    <cellStyle name="Normal 2 4 55 2 4" xfId="13532" xr:uid="{1285E0DF-9922-401E-9690-6E38D314629B}"/>
    <cellStyle name="Normal 2 4 55 3" xfId="4703" xr:uid="{AB389C00-9A6B-4B58-BE55-CF127AD7C824}"/>
    <cellStyle name="Normal 2 4 55 3 2" xfId="13535" xr:uid="{B17E5BA7-D463-436A-8118-70C6CE7CF77D}"/>
    <cellStyle name="Normal 2 4 55 4" xfId="4704" xr:uid="{398D1542-5F43-40EB-817F-548A392C1742}"/>
    <cellStyle name="Normal 2 4 55 4 2" xfId="13536" xr:uid="{4A3E617B-1D14-4BC1-BB27-948F5558C40B}"/>
    <cellStyle name="Normal 2 4 55 5" xfId="13531" xr:uid="{E1134CB9-9BA9-447E-AC78-74D9E2C2EAC3}"/>
    <cellStyle name="Normal 2 4 56" xfId="4705" xr:uid="{11DE38ED-4A5C-4064-AFDE-91169C171998}"/>
    <cellStyle name="Normal 2 4 56 2" xfId="4706" xr:uid="{E81C7734-FF94-4B3F-92B8-D336992B9A10}"/>
    <cellStyle name="Normal 2 4 56 2 2" xfId="4707" xr:uid="{8C6B419C-1A98-4F80-8378-0728EDB24EA8}"/>
    <cellStyle name="Normal 2 4 56 2 2 2" xfId="13539" xr:uid="{D5632242-A5E4-4836-841A-22C2ED727885}"/>
    <cellStyle name="Normal 2 4 56 2 3" xfId="4708" xr:uid="{260E12D8-5952-46F2-B409-F4BE238D89ED}"/>
    <cellStyle name="Normal 2 4 56 2 3 2" xfId="13540" xr:uid="{03481E79-8B2D-4FC5-B459-10BA7A8A1A70}"/>
    <cellStyle name="Normal 2 4 56 2 4" xfId="13538" xr:uid="{31AD066D-4A01-41D2-A630-54B5DC1243D8}"/>
    <cellStyle name="Normal 2 4 56 3" xfId="4709" xr:uid="{4F51F42E-835B-4D3F-9179-F4AA02BE360B}"/>
    <cellStyle name="Normal 2 4 56 3 2" xfId="13541" xr:uid="{0DBE92A0-1177-4F6D-B8B9-A0B191FF5BC2}"/>
    <cellStyle name="Normal 2 4 56 4" xfId="4710" xr:uid="{9D654EB3-8A70-4C3E-BF78-9F2F57E7646C}"/>
    <cellStyle name="Normal 2 4 56 4 2" xfId="13542" xr:uid="{94A6C639-5E76-47DB-8792-54E4DEA6E637}"/>
    <cellStyle name="Normal 2 4 56 5" xfId="13537" xr:uid="{6B26CAB8-9602-4825-B05E-04A1E9021BA9}"/>
    <cellStyle name="Normal 2 4 57" xfId="4711" xr:uid="{5E5B3D6D-9A60-487A-B028-6D6BCD7BDE88}"/>
    <cellStyle name="Normal 2 4 57 2" xfId="4712" xr:uid="{85A98A52-0EF2-4F34-8BBA-080871604DB9}"/>
    <cellStyle name="Normal 2 4 57 2 2" xfId="4713" xr:uid="{0A6B8969-F468-4A85-B0BE-0BEEA9EF968C}"/>
    <cellStyle name="Normal 2 4 57 2 2 2" xfId="13545" xr:uid="{F88FEBF0-3025-40D5-8ED1-2ABB4B992F20}"/>
    <cellStyle name="Normal 2 4 57 2 3" xfId="4714" xr:uid="{D4D48858-DBCA-4FF7-9FC5-343B19E70B3E}"/>
    <cellStyle name="Normal 2 4 57 2 3 2" xfId="13546" xr:uid="{B19F22F0-0258-4017-BF83-02771ED2FADD}"/>
    <cellStyle name="Normal 2 4 57 2 4" xfId="13544" xr:uid="{FD5085E7-E456-429B-9A45-4FEB47BFB8E6}"/>
    <cellStyle name="Normal 2 4 57 3" xfId="4715" xr:uid="{05373668-64D2-40D9-B9E6-C35BCC0E9969}"/>
    <cellStyle name="Normal 2 4 57 3 2" xfId="13547" xr:uid="{C2E36AE1-0EC8-4A81-BEB5-1035B5FFD99C}"/>
    <cellStyle name="Normal 2 4 57 4" xfId="4716" xr:uid="{AAC39C7F-DBEE-43F2-BED1-0B2091BCA541}"/>
    <cellStyle name="Normal 2 4 57 4 2" xfId="13548" xr:uid="{1A211C29-96D1-48A7-8D73-7109151BC59F}"/>
    <cellStyle name="Normal 2 4 57 5" xfId="13543" xr:uid="{336CE582-1FA4-4425-866B-F5C057040750}"/>
    <cellStyle name="Normal 2 4 58" xfId="4717" xr:uid="{BE04AEEF-3503-4932-BAF9-8592088871F8}"/>
    <cellStyle name="Normal 2 4 58 2" xfId="4718" xr:uid="{273EDAEB-2F75-4A5B-B1F5-F55400079B84}"/>
    <cellStyle name="Normal 2 4 58 2 2" xfId="4719" xr:uid="{9D8A4830-7A28-402C-8679-DB2A9E3BD4F5}"/>
    <cellStyle name="Normal 2 4 58 2 2 2" xfId="13551" xr:uid="{39BC531A-A1A3-40D6-832A-CCAA9BE7E5EC}"/>
    <cellStyle name="Normal 2 4 58 2 3" xfId="4720" xr:uid="{4BE29F4D-478F-407C-A855-B5759A9A0013}"/>
    <cellStyle name="Normal 2 4 58 2 3 2" xfId="13552" xr:uid="{CB2F3420-DE28-4771-A96C-3BBAE5FF0AA4}"/>
    <cellStyle name="Normal 2 4 58 2 4" xfId="13550" xr:uid="{65F3105C-0CFB-40AF-9B5C-A117ED1BA48B}"/>
    <cellStyle name="Normal 2 4 58 3" xfId="4721" xr:uid="{815CD2BB-8C05-4888-B129-01F0B8015908}"/>
    <cellStyle name="Normal 2 4 58 3 2" xfId="13553" xr:uid="{CCAD3587-F08B-4A94-AB35-6F3F089E7656}"/>
    <cellStyle name="Normal 2 4 58 4" xfId="4722" xr:uid="{BE8DA469-215F-45E4-A1DB-238B00607D7C}"/>
    <cellStyle name="Normal 2 4 58 4 2" xfId="13554" xr:uid="{B80ACB1B-37EC-460C-A03D-BF94E9D2C0CF}"/>
    <cellStyle name="Normal 2 4 58 5" xfId="13549" xr:uid="{9D7D352C-96CF-444C-930B-2E82269880E1}"/>
    <cellStyle name="Normal 2 4 59" xfId="4723" xr:uid="{9A7FD7B1-863D-4560-99AC-234038B41488}"/>
    <cellStyle name="Normal 2 4 59 2" xfId="4724" xr:uid="{83ECF0F7-49A3-4791-8D87-1FD7DB42BBF4}"/>
    <cellStyle name="Normal 2 4 59 2 2" xfId="4725" xr:uid="{BB1B49C9-9773-4863-AFF4-B4E242573C7A}"/>
    <cellStyle name="Normal 2 4 59 2 2 2" xfId="13557" xr:uid="{9BA5EA19-5AA8-4BFF-A748-3715CA855626}"/>
    <cellStyle name="Normal 2 4 59 2 3" xfId="4726" xr:uid="{731D654F-856C-4A19-A9B6-FCD76D750178}"/>
    <cellStyle name="Normal 2 4 59 2 3 2" xfId="13558" xr:uid="{24EA9066-00B7-4D38-B450-E9A808D1F73B}"/>
    <cellStyle name="Normal 2 4 59 2 4" xfId="13556" xr:uid="{DCAE31C9-6D59-452D-8D87-ECF0F3EB7F99}"/>
    <cellStyle name="Normal 2 4 59 3" xfId="4727" xr:uid="{94B56273-0B0B-4D13-B9B2-EEF8CA971218}"/>
    <cellStyle name="Normal 2 4 59 3 2" xfId="13559" xr:uid="{BA7AE492-5EDC-4C5D-A531-A097F09C02D6}"/>
    <cellStyle name="Normal 2 4 59 4" xfId="4728" xr:uid="{ED69F1AF-C16F-4C37-8FA1-1572CF10677D}"/>
    <cellStyle name="Normal 2 4 59 4 2" xfId="13560" xr:uid="{08C69634-58BB-42B6-9851-AD8009ADEF7E}"/>
    <cellStyle name="Normal 2 4 59 5" xfId="13555" xr:uid="{005BE40E-ED6A-44D6-87BE-A7C3F8E02529}"/>
    <cellStyle name="Normal 2 4 6" xfId="4729" xr:uid="{4E840908-F31E-4C94-82A1-7695D98476BC}"/>
    <cellStyle name="Normal 2 4 6 2" xfId="4730" xr:uid="{AB721161-0A6B-4671-93AC-B0AADC599F02}"/>
    <cellStyle name="Normal 2 4 6 2 2" xfId="4731" xr:uid="{5AA40624-BB7B-48F6-A43B-B781E28DF05F}"/>
    <cellStyle name="Normal 2 4 6 2 2 2" xfId="13563" xr:uid="{02086B38-6F6D-431C-9BF1-D58224A8FC53}"/>
    <cellStyle name="Normal 2 4 6 2 3" xfId="4732" xr:uid="{F2ED43EF-0E3D-4DED-8D91-6FE4DAA0999D}"/>
    <cellStyle name="Normal 2 4 6 2 3 2" xfId="13564" xr:uid="{E99FC1C2-E3FE-4248-B613-44D112F32D94}"/>
    <cellStyle name="Normal 2 4 6 2 4" xfId="13562" xr:uid="{69521675-A249-40C5-AC09-D75FD89A5957}"/>
    <cellStyle name="Normal 2 4 6 3" xfId="4733" xr:uid="{61C52AEB-B479-4570-90F2-9EC7B0530145}"/>
    <cellStyle name="Normal 2 4 6 3 2" xfId="13565" xr:uid="{207D1667-B7DC-49CF-860D-7BDF813866D0}"/>
    <cellStyle name="Normal 2 4 6 4" xfId="4734" xr:uid="{6F522135-10FF-4F8B-8EC9-BDFD6C474E3F}"/>
    <cellStyle name="Normal 2 4 6 4 2" xfId="13566" xr:uid="{47BD3314-F8B1-4FE1-A5BD-6C2722862056}"/>
    <cellStyle name="Normal 2 4 6 5" xfId="13561" xr:uid="{A13D74E4-415F-4B9B-93F5-7C5B5D317831}"/>
    <cellStyle name="Normal 2 4 60" xfId="4735" xr:uid="{DB37C75B-4035-42C3-BE00-36BBCA670FD1}"/>
    <cellStyle name="Normal 2 4 60 2" xfId="4736" xr:uid="{3FCBB49B-F8C4-47DC-AA37-D15B7C7B9832}"/>
    <cellStyle name="Normal 2 4 60 2 2" xfId="4737" xr:uid="{3091C131-B085-461F-AD3A-04286770A797}"/>
    <cellStyle name="Normal 2 4 60 2 2 2" xfId="13569" xr:uid="{0DE32E6E-0945-4B1E-8E28-0BA64915CA88}"/>
    <cellStyle name="Normal 2 4 60 2 3" xfId="4738" xr:uid="{498D1F9B-0CF9-44C5-BAEC-BFDF205E3478}"/>
    <cellStyle name="Normal 2 4 60 2 3 2" xfId="13570" xr:uid="{B23C0649-B2DF-45AD-BF8B-E63C33A137AD}"/>
    <cellStyle name="Normal 2 4 60 2 4" xfId="13568" xr:uid="{79252887-DDBD-4B15-AAB4-BCBC31D9A28C}"/>
    <cellStyle name="Normal 2 4 60 3" xfId="4739" xr:uid="{2107EFF5-0A74-4770-B650-51433D6FF771}"/>
    <cellStyle name="Normal 2 4 60 3 2" xfId="13571" xr:uid="{45849977-5F98-4183-AD4B-07ADDCE04861}"/>
    <cellStyle name="Normal 2 4 60 4" xfId="4740" xr:uid="{13EC6A53-3898-467C-A6A6-41671BA82E6E}"/>
    <cellStyle name="Normal 2 4 60 4 2" xfId="13572" xr:uid="{135CBE05-9100-4F8F-BC72-19C92BDEAEAE}"/>
    <cellStyle name="Normal 2 4 60 5" xfId="13567" xr:uid="{4F27CAD4-B996-430A-B718-D1D5C86E42CD}"/>
    <cellStyle name="Normal 2 4 61" xfId="4741" xr:uid="{DD39AB54-2BFD-46D4-81D7-E2068B0B97F2}"/>
    <cellStyle name="Normal 2 4 61 2" xfId="4742" xr:uid="{CFD8303A-F66D-4306-BFBC-CECB648475FA}"/>
    <cellStyle name="Normal 2 4 61 2 2" xfId="13574" xr:uid="{08DBBF7A-01D0-4F02-91C0-3D67D5B1DAB3}"/>
    <cellStyle name="Normal 2 4 61 3" xfId="4743" xr:uid="{741F910C-34B6-4099-8FEC-1F17097A8189}"/>
    <cellStyle name="Normal 2 4 61 3 2" xfId="13575" xr:uid="{F8B87E7A-8201-4DE0-8190-99B4728B6D9F}"/>
    <cellStyle name="Normal 2 4 61 4" xfId="13573" xr:uid="{81D92033-8FE6-462A-AF92-57B000EB16AE}"/>
    <cellStyle name="Normal 2 4 62" xfId="4744" xr:uid="{80525FB6-00DE-4218-B368-DB2428CD6E7D}"/>
    <cellStyle name="Normal 2 4 62 2" xfId="13576" xr:uid="{E62690D9-5F27-4549-8BC4-4E3DA2FD8736}"/>
    <cellStyle name="Normal 2 4 63" xfId="4745" xr:uid="{61631A19-C1DE-4792-AB09-69C63943F383}"/>
    <cellStyle name="Normal 2 4 63 2" xfId="13577" xr:uid="{D1D86591-3167-4ADF-8309-5B80351D22E3}"/>
    <cellStyle name="Normal 2 4 64" xfId="4746" xr:uid="{6556842D-BE29-4F49-B755-C7D7B6EEF771}"/>
    <cellStyle name="Normal 2 4 65" xfId="4747" xr:uid="{2D943059-0376-49B9-91E2-DE8F0641EE91}"/>
    <cellStyle name="Normal 2 4 65 2" xfId="13578" xr:uid="{B7083686-D163-4017-83E7-845DA11BDD63}"/>
    <cellStyle name="Normal 2 4 66" xfId="4748" xr:uid="{47333B7B-B2AE-41A7-A60D-11FAA36EE092}"/>
    <cellStyle name="Normal 2 4 67" xfId="12225" xr:uid="{21468B9A-E466-4DDB-9D88-F43E0ACC9E92}"/>
    <cellStyle name="Normal 2 4 7" xfId="4749" xr:uid="{D344F193-A44E-4CA1-81B1-C2B7B12DEE14}"/>
    <cellStyle name="Normal 2 4 7 2" xfId="4750" xr:uid="{507D9F68-938A-4620-ABF1-D5F17E874928}"/>
    <cellStyle name="Normal 2 4 7 2 2" xfId="4751" xr:uid="{6D9916C0-57B1-4322-A11E-D7A4B818B5B9}"/>
    <cellStyle name="Normal 2 4 7 2 2 2" xfId="13581" xr:uid="{8A371845-7253-4978-99A6-39E775B057D1}"/>
    <cellStyle name="Normal 2 4 7 2 3" xfId="4752" xr:uid="{A8139A22-EF72-473F-8035-3E8393080552}"/>
    <cellStyle name="Normal 2 4 7 2 3 2" xfId="13582" xr:uid="{2525D59B-E267-412F-9165-02C27CF67096}"/>
    <cellStyle name="Normal 2 4 7 2 4" xfId="13580" xr:uid="{089EE2C6-4C3D-438B-93BD-F3208EC21313}"/>
    <cellStyle name="Normal 2 4 7 3" xfId="4753" xr:uid="{140097D9-391A-41E2-9464-B311856B5FD3}"/>
    <cellStyle name="Normal 2 4 7 3 2" xfId="13583" xr:uid="{7CE71915-F4C0-42D6-9B42-E74FFE3FA8D3}"/>
    <cellStyle name="Normal 2 4 7 4" xfId="4754" xr:uid="{C37F774B-6CF0-4AAF-B3E4-686A4EFFBB00}"/>
    <cellStyle name="Normal 2 4 7 4 2" xfId="13584" xr:uid="{BEAB8134-03A1-4EEC-99D4-E8EA034990F6}"/>
    <cellStyle name="Normal 2 4 7 5" xfId="13579" xr:uid="{DA1E864E-92C8-42C3-A08D-E212B8FA1D4C}"/>
    <cellStyle name="Normal 2 4 8" xfId="4755" xr:uid="{48CB0AA6-0AF2-4DC8-B847-E4EFD1DA5442}"/>
    <cellStyle name="Normal 2 4 8 2" xfId="4756" xr:uid="{7983099A-BD58-4BCD-A494-A519DD23CA1F}"/>
    <cellStyle name="Normal 2 4 8 2 2" xfId="4757" xr:uid="{471A6301-3DE2-429E-90D6-14E431FA35F2}"/>
    <cellStyle name="Normal 2 4 8 2 2 2" xfId="13587" xr:uid="{2F131654-676A-410D-993B-2B9E4C9065BB}"/>
    <cellStyle name="Normal 2 4 8 2 3" xfId="4758" xr:uid="{AEF0F2E6-ABD8-4451-B500-43FF5F7CA634}"/>
    <cellStyle name="Normal 2 4 8 2 3 2" xfId="13588" xr:uid="{B2EDFEDB-3044-4743-A51E-99DC541F3A8D}"/>
    <cellStyle name="Normal 2 4 8 2 4" xfId="13586" xr:uid="{7EC2ACC2-CFB6-405D-A1F0-FE594937807E}"/>
    <cellStyle name="Normal 2 4 8 3" xfId="4759" xr:uid="{652A14F8-B862-4176-B7ED-EA0629275A20}"/>
    <cellStyle name="Normal 2 4 8 3 2" xfId="13589" xr:uid="{F6C98243-40DA-4F09-BF09-C84F7F727896}"/>
    <cellStyle name="Normal 2 4 8 4" xfId="4760" xr:uid="{CDF72E97-98FE-439F-BEEF-34BC3205DF20}"/>
    <cellStyle name="Normal 2 4 8 4 2" xfId="13590" xr:uid="{6F9C56B0-3987-47CC-83B6-F42637E11EA9}"/>
    <cellStyle name="Normal 2 4 8 5" xfId="13585" xr:uid="{3FB03CF5-54D1-48D6-95F1-D32D4AD86C26}"/>
    <cellStyle name="Normal 2 4 9" xfId="4761" xr:uid="{93EC3011-22A2-4BD2-8660-CE928FB173B5}"/>
    <cellStyle name="Normal 2 4 9 2" xfId="4762" xr:uid="{93F6EA75-9009-4917-B91D-882FBDC6090F}"/>
    <cellStyle name="Normal 2 4 9 2 2" xfId="4763" xr:uid="{3A136E27-6406-4C1A-AFC4-3D50BB67EDBD}"/>
    <cellStyle name="Normal 2 4 9 2 2 2" xfId="13593" xr:uid="{0D1A439C-3499-49CB-939D-93E77299705C}"/>
    <cellStyle name="Normal 2 4 9 2 3" xfId="4764" xr:uid="{A64C54C3-DFD9-4D7F-8606-A0470D2792DA}"/>
    <cellStyle name="Normal 2 4 9 2 3 2" xfId="13594" xr:uid="{330E40AF-77EC-432B-B393-076407C6C219}"/>
    <cellStyle name="Normal 2 4 9 2 4" xfId="13592" xr:uid="{CCF90608-61BD-4D72-BA93-BA0848C54173}"/>
    <cellStyle name="Normal 2 4 9 3" xfId="4765" xr:uid="{20D440F2-A15B-426E-801F-003C586B3B17}"/>
    <cellStyle name="Normal 2 4 9 3 2" xfId="13595" xr:uid="{8D0796F6-BAEA-4B11-8C3A-2A0A259C7D07}"/>
    <cellStyle name="Normal 2 4 9 4" xfId="4766" xr:uid="{9558B8FA-52A8-459B-809E-953D6C4D2846}"/>
    <cellStyle name="Normal 2 4 9 4 2" xfId="13596" xr:uid="{AD4155C6-FC59-474A-BD18-5567BF52DB40}"/>
    <cellStyle name="Normal 2 4 9 5" xfId="13591" xr:uid="{887091A8-229B-47D6-8CD6-5AE558EF4B13}"/>
    <cellStyle name="Normal 2 40" xfId="4767" xr:uid="{29A97F0A-7129-49B4-A979-736FABEA2FA7}"/>
    <cellStyle name="Normal 2 40 2" xfId="4768" xr:uid="{1C9A595D-4D13-4E5A-893E-0AFD1DD84F9D}"/>
    <cellStyle name="Normal 2 40 2 2" xfId="4769" xr:uid="{1A6BB3A4-AAC1-4FB4-A1C5-77900ED415DA}"/>
    <cellStyle name="Normal 2 40 2 2 2" xfId="13599" xr:uid="{3F7EB7B7-8231-49BB-8209-A988202876C0}"/>
    <cellStyle name="Normal 2 40 2 3" xfId="4770" xr:uid="{319517B3-94C9-496E-BB43-E54E37FB8914}"/>
    <cellStyle name="Normal 2 40 2 3 2" xfId="13600" xr:uid="{4BEBE841-CEEA-4FFA-B36F-F775400FE196}"/>
    <cellStyle name="Normal 2 40 2 4" xfId="13598" xr:uid="{B1ADADDD-AA00-4886-9119-E71FF370A94F}"/>
    <cellStyle name="Normal 2 40 3" xfId="4771" xr:uid="{FC9FC533-B8D9-4048-ABBB-AA40B6D7929E}"/>
    <cellStyle name="Normal 2 40 3 2" xfId="13601" xr:uid="{90249C6C-7487-4EDA-B71F-22D693153B84}"/>
    <cellStyle name="Normal 2 40 4" xfId="4772" xr:uid="{2EB278BE-2154-4D91-8D51-DADFA1B4E455}"/>
    <cellStyle name="Normal 2 40 4 2" xfId="13602" xr:uid="{43DB1AAA-DEC2-4D8A-BB44-E9B82EE662BF}"/>
    <cellStyle name="Normal 2 40 5" xfId="13597" xr:uid="{CD84B2FB-837A-4B57-911B-CD1AA7526099}"/>
    <cellStyle name="Normal 2 41" xfId="4773" xr:uid="{2E12F1CB-63AE-4793-87A6-6189D38EC6F6}"/>
    <cellStyle name="Normal 2 41 2" xfId="4774" xr:uid="{208E0487-6B88-4C6C-AED0-EBBD509D1C7F}"/>
    <cellStyle name="Normal 2 41 2 2" xfId="4775" xr:uid="{8A140377-6D0B-4956-A332-EBBB19DA1E8F}"/>
    <cellStyle name="Normal 2 41 2 2 2" xfId="13605" xr:uid="{A1BDA578-C31C-40E5-8721-245146B7D4E9}"/>
    <cellStyle name="Normal 2 41 2 3" xfId="4776" xr:uid="{7B22EA70-1DB7-4E22-9030-25D562FEF9DC}"/>
    <cellStyle name="Normal 2 41 2 3 2" xfId="13606" xr:uid="{F3FF00CA-EC5F-4346-A54A-4D303B019AF4}"/>
    <cellStyle name="Normal 2 41 2 4" xfId="13604" xr:uid="{B96D2907-4AF7-4932-800E-C0B3C5E64158}"/>
    <cellStyle name="Normal 2 41 3" xfId="4777" xr:uid="{B04C1F14-CA9A-4C83-9289-D501860FFAB5}"/>
    <cellStyle name="Normal 2 41 3 2" xfId="13607" xr:uid="{82F4A828-65F4-4244-A41B-B17F9C20DA14}"/>
    <cellStyle name="Normal 2 41 4" xfId="4778" xr:uid="{9FBD0FA6-6056-4244-826F-C95B24551EC8}"/>
    <cellStyle name="Normal 2 41 4 2" xfId="13608" xr:uid="{7693AE6B-CFC7-4433-8414-3D2F7C151610}"/>
    <cellStyle name="Normal 2 41 5" xfId="13603" xr:uid="{AD886CE9-FDC3-4DE5-B905-66D1FCD26CA6}"/>
    <cellStyle name="Normal 2 42" xfId="4779" xr:uid="{FEA6836E-6AC3-4F3B-92B4-11811D8029A3}"/>
    <cellStyle name="Normal 2 42 2" xfId="4780" xr:uid="{8E70A90E-11FB-45D3-944C-0948C566836A}"/>
    <cellStyle name="Normal 2 42 2 2" xfId="4781" xr:uid="{BFC448C7-E56A-4650-847B-92586188CBAD}"/>
    <cellStyle name="Normal 2 42 2 2 2" xfId="13611" xr:uid="{A14F2907-87F5-4688-B515-4DC657D298C8}"/>
    <cellStyle name="Normal 2 42 2 3" xfId="4782" xr:uid="{D59FFA51-21A5-44ED-B744-B1807EDDCE88}"/>
    <cellStyle name="Normal 2 42 2 3 2" xfId="13612" xr:uid="{7993F164-6E1D-4B87-9C96-8BD241474A0F}"/>
    <cellStyle name="Normal 2 42 2 4" xfId="13610" xr:uid="{1EDC46FD-9F6B-4CAC-B1B4-DD70030D928F}"/>
    <cellStyle name="Normal 2 42 3" xfId="4783" xr:uid="{9359ADEB-5C9B-4F06-A991-8B7343A878E2}"/>
    <cellStyle name="Normal 2 42 3 2" xfId="13613" xr:uid="{3E625587-7108-41AC-9F3A-C714D3FFD55C}"/>
    <cellStyle name="Normal 2 42 4" xfId="4784" xr:uid="{B50C2DDD-BCE5-44BA-BC8C-EBA3FA1976AD}"/>
    <cellStyle name="Normal 2 42 4 2" xfId="13614" xr:uid="{ECA5A947-8C98-4623-9BE8-264D87111997}"/>
    <cellStyle name="Normal 2 42 5" xfId="13609" xr:uid="{3A10359C-FB35-40B5-974C-01106BBBB84B}"/>
    <cellStyle name="Normal 2 43" xfId="4785" xr:uid="{7750321D-B3EB-4671-8253-B6BA10990788}"/>
    <cellStyle name="Normal 2 43 2" xfId="4786" xr:uid="{972BCEF9-05E8-4235-BDED-4D84925F74FD}"/>
    <cellStyle name="Normal 2 43 2 2" xfId="4787" xr:uid="{17B782CD-E97C-4819-8182-DC0E42CD028F}"/>
    <cellStyle name="Normal 2 43 2 2 2" xfId="13617" xr:uid="{031319D4-BF3F-45AE-B111-EAB269CB6C9B}"/>
    <cellStyle name="Normal 2 43 2 3" xfId="4788" xr:uid="{B5C654D8-B713-43B7-84D0-21239639F3F3}"/>
    <cellStyle name="Normal 2 43 2 3 2" xfId="13618" xr:uid="{6EFC365D-E123-41C1-AB40-FAC885DFC13C}"/>
    <cellStyle name="Normal 2 43 2 4" xfId="13616" xr:uid="{C42220D9-9DD6-44DD-80CA-557D135EF80E}"/>
    <cellStyle name="Normal 2 43 3" xfId="4789" xr:uid="{5B72600D-D1DD-4A0E-9F15-FA845236AD04}"/>
    <cellStyle name="Normal 2 43 3 2" xfId="13619" xr:uid="{4E881756-D75D-4F12-861C-DAEB0B80865F}"/>
    <cellStyle name="Normal 2 43 4" xfId="4790" xr:uid="{0BCA0469-F5D5-471D-B685-E19E6B878DC7}"/>
    <cellStyle name="Normal 2 43 4 2" xfId="13620" xr:uid="{9CD7BD52-E13D-42F8-9C7D-F6163E1A1479}"/>
    <cellStyle name="Normal 2 43 5" xfId="13615" xr:uid="{1765BB3A-15B0-48BA-92A0-E86E2AA704C0}"/>
    <cellStyle name="Normal 2 44" xfId="4791" xr:uid="{37687E20-7356-4CC3-BE28-B3F6E7B760C6}"/>
    <cellStyle name="Normal 2 44 2" xfId="4792" xr:uid="{A522A350-73EB-42B6-8BCC-7EBB57342ED3}"/>
    <cellStyle name="Normal 2 44 2 2" xfId="4793" xr:uid="{36346FA4-347E-471C-AE8F-5D01006E6613}"/>
    <cellStyle name="Normal 2 44 2 2 2" xfId="13623" xr:uid="{C495A918-4F0A-4BAE-881A-4DB78518F71D}"/>
    <cellStyle name="Normal 2 44 2 3" xfId="4794" xr:uid="{DB4B5C63-6273-4B06-8473-EF2E6C3BE22D}"/>
    <cellStyle name="Normal 2 44 2 3 2" xfId="13624" xr:uid="{A44EABED-0FE2-4330-BF47-2BC0B54D5FA6}"/>
    <cellStyle name="Normal 2 44 2 4" xfId="13622" xr:uid="{FE4D8028-087E-42C1-9376-593DDAAEC79A}"/>
    <cellStyle name="Normal 2 44 3" xfId="4795" xr:uid="{69000909-DD03-4912-8305-7B094E9ABBEB}"/>
    <cellStyle name="Normal 2 44 3 2" xfId="13625" xr:uid="{BF73851D-95A3-4A18-9849-5B7BED15FB5B}"/>
    <cellStyle name="Normal 2 44 4" xfId="4796" xr:uid="{98277ED9-01F4-49E0-8BB6-BEB1E9250C65}"/>
    <cellStyle name="Normal 2 44 4 2" xfId="13626" xr:uid="{25CD129A-FC03-4601-A387-AE818C979E58}"/>
    <cellStyle name="Normal 2 44 5" xfId="13621" xr:uid="{4AE1AF7C-F599-41B1-B5AC-6E59CE0E69AC}"/>
    <cellStyle name="Normal 2 45" xfId="4797" xr:uid="{E1422F9D-F596-4588-89A4-CBA305D2365B}"/>
    <cellStyle name="Normal 2 45 2" xfId="4798" xr:uid="{453B15B3-B19E-47F3-898B-697CD2719FF4}"/>
    <cellStyle name="Normal 2 45 2 2" xfId="4799" xr:uid="{C114FA72-B80C-47B7-8EA3-4DF4BEDC042C}"/>
    <cellStyle name="Normal 2 45 2 2 2" xfId="13629" xr:uid="{5088A69D-FAD7-4A00-9A76-98D7AFB2DC49}"/>
    <cellStyle name="Normal 2 45 2 3" xfId="4800" xr:uid="{46C03C05-35DA-4DF1-8F38-6B08B03C65ED}"/>
    <cellStyle name="Normal 2 45 2 3 2" xfId="13630" xr:uid="{E6D23FA5-8891-42AC-82F4-B6AAEA18637A}"/>
    <cellStyle name="Normal 2 45 2 4" xfId="13628" xr:uid="{EE07D2A1-087F-4A57-9BDB-92A61537D5A3}"/>
    <cellStyle name="Normal 2 45 3" xfId="4801" xr:uid="{9F73AAFF-A84A-4BAD-A674-312AD8AE2FC9}"/>
    <cellStyle name="Normal 2 45 3 2" xfId="13631" xr:uid="{864CC228-7167-4C6F-B2E6-AD001D008E4B}"/>
    <cellStyle name="Normal 2 45 4" xfId="4802" xr:uid="{DD44441E-496E-44D4-832D-AD3975E7CFF0}"/>
    <cellStyle name="Normal 2 45 4 2" xfId="13632" xr:uid="{13201C5B-12E8-40AA-9959-7EB3EF2420A5}"/>
    <cellStyle name="Normal 2 45 5" xfId="13627" xr:uid="{BB3AD182-9564-4DD0-9E17-90199B2C9BCF}"/>
    <cellStyle name="Normal 2 46" xfId="4803" xr:uid="{56346279-CC3B-4DB7-A843-34BAE909D2A3}"/>
    <cellStyle name="Normal 2 46 2" xfId="4804" xr:uid="{DC3C1C9A-BC29-47EE-80F1-54D05D9AD884}"/>
    <cellStyle name="Normal 2 46 2 2" xfId="4805" xr:uid="{24C38E05-E380-4352-897D-202FC74EF5E7}"/>
    <cellStyle name="Normal 2 46 2 2 2" xfId="13635" xr:uid="{BAE23E4E-26A3-4FAA-A838-594DCA72AEA7}"/>
    <cellStyle name="Normal 2 46 2 3" xfId="4806" xr:uid="{59FC8878-1DEF-4300-B037-30B3B913C3C0}"/>
    <cellStyle name="Normal 2 46 2 3 2" xfId="13636" xr:uid="{FFE1C1ED-D5FD-465C-8799-BC4C3CBA2AF2}"/>
    <cellStyle name="Normal 2 46 2 4" xfId="13634" xr:uid="{1D59D70E-311D-43EE-AC43-CD56FBD83DDE}"/>
    <cellStyle name="Normal 2 46 3" xfId="4807" xr:uid="{2D993948-3678-4CA3-B9B1-96E617D9D40F}"/>
    <cellStyle name="Normal 2 46 3 2" xfId="13637" xr:uid="{70AFAA26-4ABB-4950-B0AD-C39BC021BB33}"/>
    <cellStyle name="Normal 2 46 4" xfId="4808" xr:uid="{876DD65E-7D8F-4795-BDDC-7EC17B7F125D}"/>
    <cellStyle name="Normal 2 46 4 2" xfId="13638" xr:uid="{98F29F1A-9812-4430-9153-9702DDBD92A5}"/>
    <cellStyle name="Normal 2 46 5" xfId="13633" xr:uid="{4A54755A-04D0-45F4-A6AE-0913D2B8E771}"/>
    <cellStyle name="Normal 2 47" xfId="4809" xr:uid="{BF6AC086-47FF-4039-9151-FA398F9097F9}"/>
    <cellStyle name="Normal 2 47 2" xfId="4810" xr:uid="{3A162133-3E6B-4B8F-B370-74215F8BEA1A}"/>
    <cellStyle name="Normal 2 47 2 2" xfId="4811" xr:uid="{C19D0E8E-DF72-4862-971C-D8CC485BB680}"/>
    <cellStyle name="Normal 2 47 2 2 2" xfId="13641" xr:uid="{82A5A985-2BF9-4E15-B96A-F756A774DCD3}"/>
    <cellStyle name="Normal 2 47 2 3" xfId="4812" xr:uid="{5DA98E2C-F1AC-4A33-BA7A-A038C7C4A7DB}"/>
    <cellStyle name="Normal 2 47 2 3 2" xfId="13642" xr:uid="{CB436CD3-02EA-4AAF-92E8-9C4CE096F971}"/>
    <cellStyle name="Normal 2 47 2 4" xfId="13640" xr:uid="{B0D03FC2-883E-45FF-851E-4F78C37A042B}"/>
    <cellStyle name="Normal 2 47 3" xfId="4813" xr:uid="{BAE2561A-AF05-40FF-85FE-2708523E76B8}"/>
    <cellStyle name="Normal 2 47 3 2" xfId="13643" xr:uid="{0BB73500-FDAB-4F83-82EA-45CEF2577F85}"/>
    <cellStyle name="Normal 2 47 4" xfId="4814" xr:uid="{B46AD5E2-F6D2-43D1-9F2C-CA8F7A624998}"/>
    <cellStyle name="Normal 2 47 4 2" xfId="13644" xr:uid="{F94F95FF-F85F-4E1C-A70B-9F9CBE2ABE26}"/>
    <cellStyle name="Normal 2 47 5" xfId="13639" xr:uid="{DA98F6D2-6A09-490A-9111-DA088A21EBA2}"/>
    <cellStyle name="Normal 2 48" xfId="4815" xr:uid="{3D66DE96-8BD9-4FC0-94E7-6A3BFE2B0874}"/>
    <cellStyle name="Normal 2 48 2" xfId="4816" xr:uid="{AD718EE1-B131-4CE5-9E32-924F107E4CD5}"/>
    <cellStyle name="Normal 2 48 2 2" xfId="4817" xr:uid="{97AB12C6-7349-4083-B4BE-9DFC328488F5}"/>
    <cellStyle name="Normal 2 48 2 2 2" xfId="13647" xr:uid="{E8069D69-0AA9-4D8E-8DF8-56B196420422}"/>
    <cellStyle name="Normal 2 48 2 3" xfId="4818" xr:uid="{5152EF93-D755-42C7-B006-9B92635FE392}"/>
    <cellStyle name="Normal 2 48 2 3 2" xfId="13648" xr:uid="{3316BE5C-3B96-4E3E-900E-2C6D3C3A45C5}"/>
    <cellStyle name="Normal 2 48 2 4" xfId="13646" xr:uid="{C9E027C1-210F-424B-A147-2EAB46DE1BB3}"/>
    <cellStyle name="Normal 2 48 3" xfId="4819" xr:uid="{B7AE8A33-0918-43C8-8E1A-9DD7A0491A74}"/>
    <cellStyle name="Normal 2 48 3 2" xfId="13649" xr:uid="{ED106B2A-03B9-49F1-A460-76C88483D329}"/>
    <cellStyle name="Normal 2 48 4" xfId="4820" xr:uid="{1E48B00E-DDE0-4E8F-81D7-0CA63CC95835}"/>
    <cellStyle name="Normal 2 48 4 2" xfId="13650" xr:uid="{1ADF7F3D-563C-4175-B11D-751381BCFA4C}"/>
    <cellStyle name="Normal 2 48 5" xfId="13645" xr:uid="{0560E120-0067-4DC9-A990-36524F604900}"/>
    <cellStyle name="Normal 2 49" xfId="4821" xr:uid="{6A63FB4C-A34A-4DCF-BD4D-BE4E8A3D75CE}"/>
    <cellStyle name="Normal 2 49 2" xfId="4822" xr:uid="{061FC58C-DF12-4760-8064-1FF892FFBDC0}"/>
    <cellStyle name="Normal 2 49 2 2" xfId="4823" xr:uid="{01F05CC0-08A4-417A-B95F-4EC98AF65AD5}"/>
    <cellStyle name="Normal 2 49 2 2 2" xfId="13653" xr:uid="{1BCE319F-B5C8-4FEC-A157-77497BA9DEED}"/>
    <cellStyle name="Normal 2 49 2 3" xfId="4824" xr:uid="{8BB794AF-8603-44E4-88C7-DC0D846B5CC0}"/>
    <cellStyle name="Normal 2 49 2 3 2" xfId="13654" xr:uid="{65126799-039E-4CCE-A733-BA9F9813957B}"/>
    <cellStyle name="Normal 2 49 2 4" xfId="13652" xr:uid="{1E7EDCB0-B2BA-404A-82CE-9EE56CB9CAB8}"/>
    <cellStyle name="Normal 2 49 3" xfId="4825" xr:uid="{714AC786-1D37-4742-9DD6-AAA7267B0FC3}"/>
    <cellStyle name="Normal 2 49 3 2" xfId="13655" xr:uid="{F227C0D2-831C-42D4-AF48-88E5DD1C078D}"/>
    <cellStyle name="Normal 2 49 4" xfId="4826" xr:uid="{00ACE846-7138-4F21-A0DE-D2155D750218}"/>
    <cellStyle name="Normal 2 49 4 2" xfId="13656" xr:uid="{22B4DFA7-E614-4879-83FD-DBFB443BF12B}"/>
    <cellStyle name="Normal 2 49 5" xfId="13651" xr:uid="{BADEE54A-B21E-4CD8-B6DE-B2311988139D}"/>
    <cellStyle name="Normal 2 5" xfId="4827" xr:uid="{B22154B0-C3BE-4CAA-9D28-FAE2A8AEC2BA}"/>
    <cellStyle name="Normal 2 5 10" xfId="4828" xr:uid="{35B4D224-6891-47F8-A95A-4CBBB860938F}"/>
    <cellStyle name="Normal 2 5 10 2" xfId="4829" xr:uid="{735462DC-EE87-454D-A943-F69DD95C5729}"/>
    <cellStyle name="Normal 2 5 10 2 2" xfId="4830" xr:uid="{5350D42E-00DD-4A4F-B3AC-F6CCBFFCDE89}"/>
    <cellStyle name="Normal 2 5 10 2 2 2" xfId="13660" xr:uid="{2256FF06-379D-419C-86A3-AD7C75200478}"/>
    <cellStyle name="Normal 2 5 10 2 3" xfId="4831" xr:uid="{0F868E13-810A-4A27-A3FF-F0618374376C}"/>
    <cellStyle name="Normal 2 5 10 2 3 2" xfId="13661" xr:uid="{12E84CF8-1AC5-4C1D-A5EE-6C6943CE42AA}"/>
    <cellStyle name="Normal 2 5 10 2 4" xfId="13659" xr:uid="{032A2A6C-5C10-4A6F-9A44-2D75A9F0F3F6}"/>
    <cellStyle name="Normal 2 5 10 3" xfId="4832" xr:uid="{BBE62689-6CDE-46AE-B5F2-64157F59466C}"/>
    <cellStyle name="Normal 2 5 10 3 2" xfId="13662" xr:uid="{FB53F9A2-3B60-4FBD-9D82-BEAACEB43C2A}"/>
    <cellStyle name="Normal 2 5 10 4" xfId="4833" xr:uid="{2D5FB83F-12C8-467C-ACB1-E8AF1EE8AC7E}"/>
    <cellStyle name="Normal 2 5 10 4 2" xfId="13663" xr:uid="{F1BEADDA-EC86-4A7D-9B63-8BBF2E6CE5B2}"/>
    <cellStyle name="Normal 2 5 10 5" xfId="13658" xr:uid="{6B4AB796-B84C-41DB-A84A-BC771092041B}"/>
    <cellStyle name="Normal 2 5 11" xfId="4834" xr:uid="{7A4F916C-1FA6-4B00-9482-D33622C4A893}"/>
    <cellStyle name="Normal 2 5 11 2" xfId="4835" xr:uid="{AC5EF7E2-D349-4307-8C2C-450C09ADDEEA}"/>
    <cellStyle name="Normal 2 5 11 2 2" xfId="4836" xr:uid="{A8D4E4A1-EAAF-4512-9CD1-17657940098F}"/>
    <cellStyle name="Normal 2 5 11 2 2 2" xfId="13666" xr:uid="{21915593-EE1A-4BB1-BAFD-466414B6F2D2}"/>
    <cellStyle name="Normal 2 5 11 2 3" xfId="4837" xr:uid="{BE1F1224-56E9-423B-BCE3-A1A2132FCDBF}"/>
    <cellStyle name="Normal 2 5 11 2 3 2" xfId="13667" xr:uid="{E692F4F9-E1E3-4D3A-9162-3E7B666684E1}"/>
    <cellStyle name="Normal 2 5 11 2 4" xfId="13665" xr:uid="{CA160258-8F93-4530-9C55-9D1DA2310323}"/>
    <cellStyle name="Normal 2 5 11 3" xfId="4838" xr:uid="{195C11EB-BB0C-4AF5-B83A-18D1FE228C82}"/>
    <cellStyle name="Normal 2 5 11 3 2" xfId="13668" xr:uid="{6CD0308B-0EA2-4FC9-90B1-303D8837217C}"/>
    <cellStyle name="Normal 2 5 11 4" xfId="4839" xr:uid="{4532B309-E1ED-4ED8-92D0-509B3FBAE621}"/>
    <cellStyle name="Normal 2 5 11 4 2" xfId="13669" xr:uid="{74CA3EF5-6004-4D6D-BD78-BA219BBACAEF}"/>
    <cellStyle name="Normal 2 5 11 5" xfId="13664" xr:uid="{AD84A2B3-23A0-4674-91A7-7B2542209FF0}"/>
    <cellStyle name="Normal 2 5 12" xfId="4840" xr:uid="{437A7749-57F3-4085-93F1-A7DFC2B30CA0}"/>
    <cellStyle name="Normal 2 5 12 2" xfId="4841" xr:uid="{91060D7D-B24C-47C1-8584-358566BEF1C8}"/>
    <cellStyle name="Normal 2 5 12 2 2" xfId="4842" xr:uid="{02578A65-48FC-4B3D-AFD3-7A28D223ED6A}"/>
    <cellStyle name="Normal 2 5 12 2 2 2" xfId="13672" xr:uid="{27DB8F00-AD28-463C-BE9A-C18121813E24}"/>
    <cellStyle name="Normal 2 5 12 2 3" xfId="4843" xr:uid="{AC3C521A-4E09-4871-96D0-8B17068E5618}"/>
    <cellStyle name="Normal 2 5 12 2 3 2" xfId="13673" xr:uid="{DC8FBCAA-D06B-47D9-BB96-968CBDC01033}"/>
    <cellStyle name="Normal 2 5 12 2 4" xfId="13671" xr:uid="{7A59C48D-F8F2-41B4-8A81-5484951A4F4D}"/>
    <cellStyle name="Normal 2 5 12 3" xfId="4844" xr:uid="{6EBA235D-E1FB-40ED-A55D-8521AB0DED5E}"/>
    <cellStyle name="Normal 2 5 12 3 2" xfId="13674" xr:uid="{66DD80BD-6CB9-4E6F-843C-BA8803545884}"/>
    <cellStyle name="Normal 2 5 12 4" xfId="4845" xr:uid="{B35FBD92-9453-48C3-8D37-71F09845C4D6}"/>
    <cellStyle name="Normal 2 5 12 4 2" xfId="13675" xr:uid="{8372FAAD-8B35-4DCC-BFF5-E8F587EC62EF}"/>
    <cellStyle name="Normal 2 5 12 5" xfId="13670" xr:uid="{1BCB6518-BFF7-4C7A-95E7-1EE28106A6A8}"/>
    <cellStyle name="Normal 2 5 13" xfId="4846" xr:uid="{FC7D4BB0-299E-4555-9D6B-5E5790C45AC6}"/>
    <cellStyle name="Normal 2 5 13 2" xfId="4847" xr:uid="{3F844F29-61C6-41D4-80C7-1F3D0D601A66}"/>
    <cellStyle name="Normal 2 5 13 2 2" xfId="4848" xr:uid="{D8F1290A-6F64-4463-86A6-83D17B3E1796}"/>
    <cellStyle name="Normal 2 5 13 2 2 2" xfId="13678" xr:uid="{C07BA04D-C00B-4C87-91EA-4A619A6759B1}"/>
    <cellStyle name="Normal 2 5 13 2 3" xfId="4849" xr:uid="{1BAC9872-C3A9-4FF1-87DD-DB3D30F9E384}"/>
    <cellStyle name="Normal 2 5 13 2 3 2" xfId="13679" xr:uid="{7D6D6D06-565F-49CB-B04B-3098EBFCAB5C}"/>
    <cellStyle name="Normal 2 5 13 2 4" xfId="13677" xr:uid="{5BE8F9FA-65D0-4B4E-92AD-6E4662E27068}"/>
    <cellStyle name="Normal 2 5 13 3" xfId="4850" xr:uid="{4AF249F6-4FDA-4FB7-96ED-4A5C64DEE1EA}"/>
    <cellStyle name="Normal 2 5 13 3 2" xfId="13680" xr:uid="{93527D7A-4446-403E-858F-4FC93AFBA150}"/>
    <cellStyle name="Normal 2 5 13 4" xfId="4851" xr:uid="{3CE012D6-31ED-4630-B81D-37DB8B4AD78E}"/>
    <cellStyle name="Normal 2 5 13 4 2" xfId="13681" xr:uid="{92EB375D-4D92-4863-A7FD-CC714C3A6783}"/>
    <cellStyle name="Normal 2 5 13 5" xfId="13676" xr:uid="{C5FF42C3-9BDE-4D18-9B82-5ED0B4511C66}"/>
    <cellStyle name="Normal 2 5 14" xfId="4852" xr:uid="{ED71207A-FBCC-4998-8591-57D0C98E76EA}"/>
    <cellStyle name="Normal 2 5 14 2" xfId="4853" xr:uid="{28D35ABD-EC92-4DF2-9F8C-BDE1530AB7EE}"/>
    <cellStyle name="Normal 2 5 14 2 2" xfId="4854" xr:uid="{3A7F5972-347A-4142-918A-BB38002F128C}"/>
    <cellStyle name="Normal 2 5 14 2 2 2" xfId="13684" xr:uid="{ADD692A3-90D6-4D26-AF56-25AC749ADD0B}"/>
    <cellStyle name="Normal 2 5 14 2 3" xfId="4855" xr:uid="{F377B74A-6D54-4FA7-BAD1-2C3E9810856C}"/>
    <cellStyle name="Normal 2 5 14 2 3 2" xfId="13685" xr:uid="{CA6AB271-DFC9-4756-B2DF-0718AA498A5A}"/>
    <cellStyle name="Normal 2 5 14 2 4" xfId="13683" xr:uid="{28B5949A-874A-4FD5-9957-3B6076708380}"/>
    <cellStyle name="Normal 2 5 14 3" xfId="4856" xr:uid="{80FBCD61-58C9-470E-93D8-531E72050CEF}"/>
    <cellStyle name="Normal 2 5 14 3 2" xfId="13686" xr:uid="{0A4C8B31-2B88-4FDF-BF6E-C118CFA38905}"/>
    <cellStyle name="Normal 2 5 14 4" xfId="4857" xr:uid="{FA7C9F07-3193-453A-B48A-FA8BFD687B89}"/>
    <cellStyle name="Normal 2 5 14 4 2" xfId="13687" xr:uid="{22D03A35-200B-4C7B-95C0-399F305E7128}"/>
    <cellStyle name="Normal 2 5 14 5" xfId="13682" xr:uid="{FF015D15-02F7-423C-91A0-4CD75864447B}"/>
    <cellStyle name="Normal 2 5 15" xfId="4858" xr:uid="{9D78DE27-D019-47F9-B8D7-5D9219F97EB2}"/>
    <cellStyle name="Normal 2 5 15 2" xfId="4859" xr:uid="{696367D8-98FB-4173-9A51-46C141337F11}"/>
    <cellStyle name="Normal 2 5 15 2 2" xfId="4860" xr:uid="{9E0B49B8-E95F-4DF6-A5EC-1D65349E94CA}"/>
    <cellStyle name="Normal 2 5 15 2 2 2" xfId="13690" xr:uid="{4FF870B1-8E38-419E-B16C-7A2920865490}"/>
    <cellStyle name="Normal 2 5 15 2 3" xfId="4861" xr:uid="{7C850C12-04DE-4537-AE70-22B31A9BE4C5}"/>
    <cellStyle name="Normal 2 5 15 2 3 2" xfId="13691" xr:uid="{9E349B32-C5F4-4CEA-8F44-4172B88E804B}"/>
    <cellStyle name="Normal 2 5 15 2 4" xfId="13689" xr:uid="{95B86DC3-2818-4BA6-AE6B-53DFCE63A1B4}"/>
    <cellStyle name="Normal 2 5 15 3" xfId="4862" xr:uid="{4B36B267-AF9B-4138-8FD9-8CFC6194C4E3}"/>
    <cellStyle name="Normal 2 5 15 3 2" xfId="13692" xr:uid="{BE9547B6-13CD-46AC-86F6-33D6D72059A7}"/>
    <cellStyle name="Normal 2 5 15 4" xfId="4863" xr:uid="{C9CA82A3-95CA-4232-AB5E-59459C5C09A5}"/>
    <cellStyle name="Normal 2 5 15 4 2" xfId="13693" xr:uid="{8B377CF2-5155-4F5A-88C4-95DD22A08560}"/>
    <cellStyle name="Normal 2 5 15 5" xfId="13688" xr:uid="{BC5DF98C-5E0A-4CBC-96B4-B63A48EB4965}"/>
    <cellStyle name="Normal 2 5 16" xfId="4864" xr:uid="{BAB6B652-5F76-4B39-BEB3-F7D123A1ED50}"/>
    <cellStyle name="Normal 2 5 16 2" xfId="4865" xr:uid="{0C252CBA-1AF7-49F5-A94F-856786D5D636}"/>
    <cellStyle name="Normal 2 5 16 2 2" xfId="4866" xr:uid="{2C0E25D6-2B41-4FBF-93A7-FCDB2818B8F6}"/>
    <cellStyle name="Normal 2 5 16 2 2 2" xfId="13696" xr:uid="{7ED9A934-9331-4C01-AAF2-5D6E6C429B49}"/>
    <cellStyle name="Normal 2 5 16 2 3" xfId="4867" xr:uid="{0F93A271-14FF-48C3-AFF1-C224A9564DB2}"/>
    <cellStyle name="Normal 2 5 16 2 3 2" xfId="13697" xr:uid="{F808BB99-9877-41A3-BAF0-E95394B7AF45}"/>
    <cellStyle name="Normal 2 5 16 2 4" xfId="13695" xr:uid="{FE4DA091-99F2-4F1C-93AD-93B690C60C33}"/>
    <cellStyle name="Normal 2 5 16 3" xfId="4868" xr:uid="{D59043C3-6746-4451-A9E0-586192243613}"/>
    <cellStyle name="Normal 2 5 16 3 2" xfId="13698" xr:uid="{08981FD8-9F81-4323-A5F2-63D3AA9D9041}"/>
    <cellStyle name="Normal 2 5 16 4" xfId="4869" xr:uid="{D20A9807-460A-49C8-B724-F12CFF49C973}"/>
    <cellStyle name="Normal 2 5 16 4 2" xfId="13699" xr:uid="{4625F734-0CB4-4D41-9BAF-53BAAC0B88A3}"/>
    <cellStyle name="Normal 2 5 16 5" xfId="13694" xr:uid="{3231B5E2-8337-4DD9-8351-FE340E140667}"/>
    <cellStyle name="Normal 2 5 17" xfId="4870" xr:uid="{1F6321EC-0B56-45E5-AC0B-C8F575CFFBE7}"/>
    <cellStyle name="Normal 2 5 17 2" xfId="4871" xr:uid="{8D37AE03-8D5F-403E-97FE-32E77B654772}"/>
    <cellStyle name="Normal 2 5 17 2 2" xfId="4872" xr:uid="{BE0E69A4-D15F-4C47-BE5C-6576CA5C95BA}"/>
    <cellStyle name="Normal 2 5 17 2 2 2" xfId="13702" xr:uid="{A8B24148-1583-4259-ABCC-3E0FBF9CAF71}"/>
    <cellStyle name="Normal 2 5 17 2 3" xfId="4873" xr:uid="{18D3079C-1054-4ACD-8977-1B2BE5B3FC4F}"/>
    <cellStyle name="Normal 2 5 17 2 3 2" xfId="13703" xr:uid="{7365CF32-EF76-428E-9BDD-EF1D2D18C786}"/>
    <cellStyle name="Normal 2 5 17 2 4" xfId="13701" xr:uid="{1FD79D48-0899-4EBF-97CA-1AC9F740ABFF}"/>
    <cellStyle name="Normal 2 5 17 3" xfId="4874" xr:uid="{355684A9-6F87-4C4F-A556-5940F388E610}"/>
    <cellStyle name="Normal 2 5 17 3 2" xfId="13704" xr:uid="{9501D27B-7ED2-40C2-BF75-00E3C9F4DD10}"/>
    <cellStyle name="Normal 2 5 17 4" xfId="4875" xr:uid="{BEC51257-C008-4451-B27C-632A2342F703}"/>
    <cellStyle name="Normal 2 5 17 4 2" xfId="13705" xr:uid="{C477C866-78DF-4A39-B259-FD67C3AD4F3C}"/>
    <cellStyle name="Normal 2 5 17 5" xfId="13700" xr:uid="{882AE3A9-AF77-4B21-B29E-B200C983BD64}"/>
    <cellStyle name="Normal 2 5 18" xfId="4876" xr:uid="{75313EE0-6B2F-48B2-B537-1F38AC516933}"/>
    <cellStyle name="Normal 2 5 18 2" xfId="4877" xr:uid="{543CDED7-729A-4D44-A3D2-DF405F07BFDB}"/>
    <cellStyle name="Normal 2 5 18 2 2" xfId="4878" xr:uid="{3AA4597D-C801-48FD-B726-336DB5B47B51}"/>
    <cellStyle name="Normal 2 5 18 2 2 2" xfId="13708" xr:uid="{5402F980-CF13-4286-92E0-56DF50E7EDE1}"/>
    <cellStyle name="Normal 2 5 18 2 3" xfId="4879" xr:uid="{85C16BD9-31AB-42B7-AF15-5DFCFF8F57D6}"/>
    <cellStyle name="Normal 2 5 18 2 3 2" xfId="13709" xr:uid="{0F79DF7D-6DDA-4677-BDF2-31878976BB55}"/>
    <cellStyle name="Normal 2 5 18 2 4" xfId="13707" xr:uid="{592C52C5-FCB4-4515-B660-8B0915753661}"/>
    <cellStyle name="Normal 2 5 18 3" xfId="4880" xr:uid="{5C0E9F75-5106-46F2-B10D-9D11B968EEE3}"/>
    <cellStyle name="Normal 2 5 18 3 2" xfId="13710" xr:uid="{CE092099-8B7F-4D33-A730-E835E12467C3}"/>
    <cellStyle name="Normal 2 5 18 4" xfId="4881" xr:uid="{692ACC76-C1B2-4FF8-8AC0-AD3C987F41A8}"/>
    <cellStyle name="Normal 2 5 18 4 2" xfId="13711" xr:uid="{37B77B9F-32C8-43D4-9392-A6CBE8C77A83}"/>
    <cellStyle name="Normal 2 5 18 5" xfId="13706" xr:uid="{41FB9F04-D2CD-41A6-B575-49AAC8A7CBB8}"/>
    <cellStyle name="Normal 2 5 19" xfId="4882" xr:uid="{1F5E0666-F0BC-4A9D-BB7F-9A574088795E}"/>
    <cellStyle name="Normal 2 5 19 2" xfId="4883" xr:uid="{19BB9E53-BC9A-421E-AECE-3AA601501BD1}"/>
    <cellStyle name="Normal 2 5 19 2 2" xfId="4884" xr:uid="{E90E0C8F-84FD-419E-9740-0ED4494A8E45}"/>
    <cellStyle name="Normal 2 5 19 2 2 2" xfId="13714" xr:uid="{BAE2180F-2858-474A-AF47-519FFB839121}"/>
    <cellStyle name="Normal 2 5 19 2 3" xfId="4885" xr:uid="{132D99A0-F10B-49B9-BB67-103B47F3FDBA}"/>
    <cellStyle name="Normal 2 5 19 2 3 2" xfId="13715" xr:uid="{E4A8F0AD-9592-4F51-A2A0-E207962247A4}"/>
    <cellStyle name="Normal 2 5 19 2 4" xfId="13713" xr:uid="{F9610698-7CDD-4C9B-8BBE-4B8635771B76}"/>
    <cellStyle name="Normal 2 5 19 3" xfId="4886" xr:uid="{37B7CF8D-D82D-449B-814C-98085961EAFB}"/>
    <cellStyle name="Normal 2 5 19 3 2" xfId="13716" xr:uid="{3EC2161D-89E8-4093-A315-A4B7FB80D779}"/>
    <cellStyle name="Normal 2 5 19 4" xfId="4887" xr:uid="{0F588C8C-ADFA-4984-9549-66F5B8DEC22C}"/>
    <cellStyle name="Normal 2 5 19 4 2" xfId="13717" xr:uid="{CC5FE6E7-BC8B-4DDB-84C6-FA372F32FC98}"/>
    <cellStyle name="Normal 2 5 19 5" xfId="13712" xr:uid="{C7EDB7A0-5D87-4872-A18D-F7F767FF1AD1}"/>
    <cellStyle name="Normal 2 5 2" xfId="4888" xr:uid="{8FCD68A3-895A-42D3-A7FE-750E92E78FA1}"/>
    <cellStyle name="Normal 2 5 2 10" xfId="4889" xr:uid="{25607CDA-E869-4916-8ED9-139E23357314}"/>
    <cellStyle name="Normal 2 5 2 10 2" xfId="4890" xr:uid="{106E019C-D4B2-4D65-BF36-F6BE97A07407}"/>
    <cellStyle name="Normal 2 5 2 10 2 2" xfId="4891" xr:uid="{0028C54E-FF7F-4C67-BBEA-942BDB0BCEF8}"/>
    <cellStyle name="Normal 2 5 2 10 2 2 2" xfId="13721" xr:uid="{246AA8A5-AC33-4871-8B54-841F9E445B8C}"/>
    <cellStyle name="Normal 2 5 2 10 2 3" xfId="4892" xr:uid="{F113A1DB-9D2A-49F1-9F66-8CF879D0B9DA}"/>
    <cellStyle name="Normal 2 5 2 10 2 3 2" xfId="13722" xr:uid="{8C79A368-9C3C-4241-A179-4DC8481B4324}"/>
    <cellStyle name="Normal 2 5 2 10 2 4" xfId="13720" xr:uid="{302BAD09-CA2F-4486-A6A7-9695B943B96B}"/>
    <cellStyle name="Normal 2 5 2 10 3" xfId="4893" xr:uid="{A8E6B24D-28E1-4A41-B3AC-19A17C4882B9}"/>
    <cellStyle name="Normal 2 5 2 10 3 2" xfId="13723" xr:uid="{B07F089A-9537-4DDC-B2BA-58936E30EB5F}"/>
    <cellStyle name="Normal 2 5 2 10 4" xfId="4894" xr:uid="{85A05E05-6B14-40E6-A5B1-13F5DA4FE486}"/>
    <cellStyle name="Normal 2 5 2 10 4 2" xfId="13724" xr:uid="{2D5DB3BA-2677-414B-AB57-B527318890A1}"/>
    <cellStyle name="Normal 2 5 2 10 5" xfId="13719" xr:uid="{756010EC-B179-4198-86C4-F39613157D48}"/>
    <cellStyle name="Normal 2 5 2 11" xfId="4895" xr:uid="{69414075-8BF1-4A24-9DD0-E14A86DA2269}"/>
    <cellStyle name="Normal 2 5 2 11 2" xfId="4896" xr:uid="{CD3D279B-EB2A-4632-B51B-EB27DDC99477}"/>
    <cellStyle name="Normal 2 5 2 11 2 2" xfId="4897" xr:uid="{205CCA8A-A388-481A-A07E-636BB9243813}"/>
    <cellStyle name="Normal 2 5 2 11 2 2 2" xfId="13727" xr:uid="{454AE300-5F66-464E-BF1B-A10B9CF200C7}"/>
    <cellStyle name="Normal 2 5 2 11 2 3" xfId="4898" xr:uid="{206A5397-7893-43B4-9A24-C4B9974BBC3D}"/>
    <cellStyle name="Normal 2 5 2 11 2 3 2" xfId="13728" xr:uid="{3626A821-2F75-4BC9-B0C8-08B747469662}"/>
    <cellStyle name="Normal 2 5 2 11 2 4" xfId="13726" xr:uid="{F11105C5-5396-4BBA-B6C0-8327C7F36E3F}"/>
    <cellStyle name="Normal 2 5 2 11 3" xfId="4899" xr:uid="{826A7BBA-3B9A-4793-AAD8-0D461ACFB627}"/>
    <cellStyle name="Normal 2 5 2 11 3 2" xfId="13729" xr:uid="{EC245578-4F7A-49C9-AE8D-FCFBC1DFBBA2}"/>
    <cellStyle name="Normal 2 5 2 11 4" xfId="4900" xr:uid="{3116B8DC-34C6-4892-82AA-D7EA449CD6D3}"/>
    <cellStyle name="Normal 2 5 2 11 4 2" xfId="13730" xr:uid="{09797523-BE0B-4920-A4F5-FC1080191872}"/>
    <cellStyle name="Normal 2 5 2 11 5" xfId="13725" xr:uid="{BD5A9BB8-0163-47D7-BC1E-B55F083342CC}"/>
    <cellStyle name="Normal 2 5 2 12" xfId="4901" xr:uid="{881DE99E-CB5E-40B1-BFBA-7773FA9A1C0E}"/>
    <cellStyle name="Normal 2 5 2 12 2" xfId="4902" xr:uid="{9627AE2D-7897-4764-B886-E38BE7AB4AB0}"/>
    <cellStyle name="Normal 2 5 2 12 2 2" xfId="4903" xr:uid="{2A9376F2-B2DB-43AD-B18C-03CDA9DFB3BB}"/>
    <cellStyle name="Normal 2 5 2 12 2 2 2" xfId="13733" xr:uid="{131E8236-0B7A-425E-A2F8-1B378EF8096C}"/>
    <cellStyle name="Normal 2 5 2 12 2 3" xfId="4904" xr:uid="{4711661D-CE78-40A3-AE0B-3FF11E4AB1E8}"/>
    <cellStyle name="Normal 2 5 2 12 2 3 2" xfId="13734" xr:uid="{BB209AEC-F1E6-4F88-ADE8-7BAC278E85EB}"/>
    <cellStyle name="Normal 2 5 2 12 2 4" xfId="13732" xr:uid="{0B44F70E-03A9-4665-B951-01367E7449AE}"/>
    <cellStyle name="Normal 2 5 2 12 3" xfId="4905" xr:uid="{68538AF0-C835-4141-92D0-A901D745474A}"/>
    <cellStyle name="Normal 2 5 2 12 3 2" xfId="13735" xr:uid="{566691D7-3386-4826-91CD-A685814F28B0}"/>
    <cellStyle name="Normal 2 5 2 12 4" xfId="4906" xr:uid="{550B26ED-B78E-4ECF-86EB-1E7EC33D472C}"/>
    <cellStyle name="Normal 2 5 2 12 4 2" xfId="13736" xr:uid="{A46B44B3-2B86-49E9-81BA-6052CC1C9068}"/>
    <cellStyle name="Normal 2 5 2 12 5" xfId="13731" xr:uid="{708A0C5E-E81C-4830-B3B2-D567AB6521B7}"/>
    <cellStyle name="Normal 2 5 2 13" xfId="4907" xr:uid="{B060FDBE-29FD-4E1C-972C-1DEDC82325C2}"/>
    <cellStyle name="Normal 2 5 2 13 2" xfId="4908" xr:uid="{AAACC35B-7492-4E2C-AB25-AD2F9113EEBE}"/>
    <cellStyle name="Normal 2 5 2 13 2 2" xfId="4909" xr:uid="{0CC9CF3F-1B97-47D0-9187-DDD7A76756B6}"/>
    <cellStyle name="Normal 2 5 2 13 2 2 2" xfId="13739" xr:uid="{D30D7D22-E3D3-4B0F-A1E2-1E8B06ECD4AF}"/>
    <cellStyle name="Normal 2 5 2 13 2 3" xfId="4910" xr:uid="{803DAE75-0D0A-42B1-927A-2C9FB7C19C2D}"/>
    <cellStyle name="Normal 2 5 2 13 2 3 2" xfId="13740" xr:uid="{735537F6-1235-4F79-9DDD-66A0BE60A5C2}"/>
    <cellStyle name="Normal 2 5 2 13 2 4" xfId="13738" xr:uid="{7BA4312A-DF01-4557-A323-82A6C6BB43C2}"/>
    <cellStyle name="Normal 2 5 2 13 3" xfId="4911" xr:uid="{0D9F32E1-C6A4-4345-813D-496C4C353266}"/>
    <cellStyle name="Normal 2 5 2 13 3 2" xfId="13741" xr:uid="{5ADBE735-D26C-4FCA-8838-DB175295D2C7}"/>
    <cellStyle name="Normal 2 5 2 13 4" xfId="4912" xr:uid="{FB2C7919-B568-4E47-810C-570FBE1F97CA}"/>
    <cellStyle name="Normal 2 5 2 13 4 2" xfId="13742" xr:uid="{BB748BC0-F0EF-4376-BD32-66D8FDDCA792}"/>
    <cellStyle name="Normal 2 5 2 13 5" xfId="13737" xr:uid="{39CC722E-70B5-4D8E-83A1-D6DB0CDEBC4C}"/>
    <cellStyle name="Normal 2 5 2 14" xfId="4913" xr:uid="{ECD6A2E2-81F9-4592-8230-61568EC81A83}"/>
    <cellStyle name="Normal 2 5 2 14 2" xfId="4914" xr:uid="{1015C7FA-968B-42B8-9BEB-F9901C7070D1}"/>
    <cellStyle name="Normal 2 5 2 14 2 2" xfId="4915" xr:uid="{A596642B-6AE9-44BC-BBB3-EC39B08B216F}"/>
    <cellStyle name="Normal 2 5 2 14 2 2 2" xfId="13745" xr:uid="{F470CFA3-5310-4494-86B3-185E23BBEA10}"/>
    <cellStyle name="Normal 2 5 2 14 2 3" xfId="4916" xr:uid="{2C97AB2C-34D6-4FAF-A13F-B2BCCAACA4EC}"/>
    <cellStyle name="Normal 2 5 2 14 2 3 2" xfId="13746" xr:uid="{083F6F46-9FE5-4290-B053-C2F31AD65CB7}"/>
    <cellStyle name="Normal 2 5 2 14 2 4" xfId="13744" xr:uid="{8B384867-BE9D-4015-A7C6-B9053116E79E}"/>
    <cellStyle name="Normal 2 5 2 14 3" xfId="4917" xr:uid="{79315774-5C44-4193-929A-7A39BF552420}"/>
    <cellStyle name="Normal 2 5 2 14 3 2" xfId="13747" xr:uid="{F7DF07D3-2483-411A-81BE-BD5306C43181}"/>
    <cellStyle name="Normal 2 5 2 14 4" xfId="4918" xr:uid="{3C80848F-8B92-4818-B856-2F9CBABF0443}"/>
    <cellStyle name="Normal 2 5 2 14 4 2" xfId="13748" xr:uid="{777511C7-56B4-4E65-AA6E-1162687CCA41}"/>
    <cellStyle name="Normal 2 5 2 14 5" xfId="13743" xr:uid="{20B523F4-FCB7-4FAE-9C35-5C837F4C6B1E}"/>
    <cellStyle name="Normal 2 5 2 15" xfId="4919" xr:uid="{AABD1108-15E6-4F9E-964F-E686091EBEE2}"/>
    <cellStyle name="Normal 2 5 2 15 2" xfId="4920" xr:uid="{FBB055BB-9467-4E39-BD3F-FF7AC380D17F}"/>
    <cellStyle name="Normal 2 5 2 15 2 2" xfId="4921" xr:uid="{8E03E4F2-6A86-4592-967E-BE83721B90CC}"/>
    <cellStyle name="Normal 2 5 2 15 2 2 2" xfId="13751" xr:uid="{A09231A7-13E9-4D4D-ACA3-1B9C98148E82}"/>
    <cellStyle name="Normal 2 5 2 15 2 3" xfId="4922" xr:uid="{05B46715-A042-4DEB-AE04-E382061E8D33}"/>
    <cellStyle name="Normal 2 5 2 15 2 3 2" xfId="13752" xr:uid="{1278B697-ADF3-47A5-B727-A99EE0CB1147}"/>
    <cellStyle name="Normal 2 5 2 15 2 4" xfId="13750" xr:uid="{E246D85B-4615-4743-BAB8-D85A7EF6D376}"/>
    <cellStyle name="Normal 2 5 2 15 3" xfId="4923" xr:uid="{A687E506-05AF-42DD-A123-1F1E4C726709}"/>
    <cellStyle name="Normal 2 5 2 15 3 2" xfId="13753" xr:uid="{B2328BD9-E66F-47F6-BA8D-A009D7C65C0F}"/>
    <cellStyle name="Normal 2 5 2 15 4" xfId="4924" xr:uid="{EAD1DC7A-74EE-4510-BFF8-F39F543BCF9F}"/>
    <cellStyle name="Normal 2 5 2 15 4 2" xfId="13754" xr:uid="{DB41A4DE-D8FC-441F-9DCE-71EA135D624F}"/>
    <cellStyle name="Normal 2 5 2 15 5" xfId="13749" xr:uid="{622BB8BA-5565-49C0-B57C-C1D74401B048}"/>
    <cellStyle name="Normal 2 5 2 16" xfId="4925" xr:uid="{8E9D4E37-7F97-4818-B8E0-DB45CED33E6A}"/>
    <cellStyle name="Normal 2 5 2 16 2" xfId="4926" xr:uid="{349B3731-6197-4745-B4E7-D06DC46870A5}"/>
    <cellStyle name="Normal 2 5 2 16 2 2" xfId="4927" xr:uid="{F277A969-CB73-4DC4-91E6-316A7F4121D2}"/>
    <cellStyle name="Normal 2 5 2 16 2 2 2" xfId="13757" xr:uid="{6ECB91FF-10DD-4804-AD6A-221586BA3D7B}"/>
    <cellStyle name="Normal 2 5 2 16 2 3" xfId="4928" xr:uid="{4AE09AC7-1698-4D91-B3AC-F237BA8EC986}"/>
    <cellStyle name="Normal 2 5 2 16 2 3 2" xfId="13758" xr:uid="{6AC524B2-DB1D-4B4C-86C7-1B363A2A179E}"/>
    <cellStyle name="Normal 2 5 2 16 2 4" xfId="13756" xr:uid="{1F71CB14-D4F5-4399-82DD-27C095797569}"/>
    <cellStyle name="Normal 2 5 2 16 3" xfId="4929" xr:uid="{A6581F0F-CA27-4EAE-B3D7-10B2E6056EAD}"/>
    <cellStyle name="Normal 2 5 2 16 3 2" xfId="13759" xr:uid="{8C5F79DD-97AE-4D03-AFFD-062BBB8CAC05}"/>
    <cellStyle name="Normal 2 5 2 16 4" xfId="4930" xr:uid="{6A343B69-8310-4416-A0ED-0BA2D4775EAA}"/>
    <cellStyle name="Normal 2 5 2 16 4 2" xfId="13760" xr:uid="{F22F17D8-B9DF-41F1-BD49-FF2A06412D17}"/>
    <cellStyle name="Normal 2 5 2 16 5" xfId="13755" xr:uid="{339286DD-2332-43E1-9881-2D02A2EAF32B}"/>
    <cellStyle name="Normal 2 5 2 17" xfId="4931" xr:uid="{82740F07-92F5-462D-B69A-9B93D7CFF400}"/>
    <cellStyle name="Normal 2 5 2 17 2" xfId="4932" xr:uid="{CB9C1BD6-C7FC-4151-9C47-0E9939DCD5A9}"/>
    <cellStyle name="Normal 2 5 2 17 2 2" xfId="4933" xr:uid="{EBF82046-685E-4AC5-A7EE-F0FD6A83BEA1}"/>
    <cellStyle name="Normal 2 5 2 17 2 2 2" xfId="13763" xr:uid="{57794398-52F6-488C-995F-D9641D328A06}"/>
    <cellStyle name="Normal 2 5 2 17 2 3" xfId="4934" xr:uid="{C3C5078A-D650-4BB3-8FED-F2C6F4D6ACDE}"/>
    <cellStyle name="Normal 2 5 2 17 2 3 2" xfId="13764" xr:uid="{D1C3E902-DBAC-4B8E-9F15-1315B5D73B4C}"/>
    <cellStyle name="Normal 2 5 2 17 2 4" xfId="13762" xr:uid="{F158518B-13AE-414A-9A3A-95BDBE4BEF8B}"/>
    <cellStyle name="Normal 2 5 2 17 3" xfId="4935" xr:uid="{9871D01B-F104-43AE-9B49-A35F1C7AA93F}"/>
    <cellStyle name="Normal 2 5 2 17 3 2" xfId="13765" xr:uid="{51D3A2CD-106B-4969-A603-E374433B5767}"/>
    <cellStyle name="Normal 2 5 2 17 4" xfId="4936" xr:uid="{9779A6CF-5421-4672-8EE9-E1FE60BDD910}"/>
    <cellStyle name="Normal 2 5 2 17 4 2" xfId="13766" xr:uid="{1DEDE5BA-979D-4B90-938E-BB938992C523}"/>
    <cellStyle name="Normal 2 5 2 17 5" xfId="13761" xr:uid="{22C171EA-B0BD-49B5-B814-4146D0189BD7}"/>
    <cellStyle name="Normal 2 5 2 18" xfId="4937" xr:uid="{09B06680-025F-4554-9BE5-A7CE9E6B44D5}"/>
    <cellStyle name="Normal 2 5 2 18 2" xfId="4938" xr:uid="{B7EDB373-1EEA-4569-81C0-65433CB7063F}"/>
    <cellStyle name="Normal 2 5 2 18 2 2" xfId="4939" xr:uid="{E5B81E9A-766D-4455-B706-E18252862108}"/>
    <cellStyle name="Normal 2 5 2 18 2 2 2" xfId="13769" xr:uid="{E4F573C0-7FC7-4CFB-9679-217EA18AFCAC}"/>
    <cellStyle name="Normal 2 5 2 18 2 3" xfId="4940" xr:uid="{61F1DB68-783E-4C33-8358-ABC28A891859}"/>
    <cellStyle name="Normal 2 5 2 18 2 3 2" xfId="13770" xr:uid="{9F1DE111-44B1-47E3-AED6-378D32D96356}"/>
    <cellStyle name="Normal 2 5 2 18 2 4" xfId="13768" xr:uid="{7D46F21E-E3C1-409A-AE62-7D805FFF031C}"/>
    <cellStyle name="Normal 2 5 2 18 3" xfId="4941" xr:uid="{5024061A-6F66-4A72-B5DF-D74B14C9F080}"/>
    <cellStyle name="Normal 2 5 2 18 3 2" xfId="13771" xr:uid="{C01406A4-A9E0-4D75-892B-EF8839843666}"/>
    <cellStyle name="Normal 2 5 2 18 4" xfId="4942" xr:uid="{F5E49D47-E1D9-4A95-B38D-68C7EF00C77B}"/>
    <cellStyle name="Normal 2 5 2 18 4 2" xfId="13772" xr:uid="{E1B7E782-E245-4B43-A149-48316144AC43}"/>
    <cellStyle name="Normal 2 5 2 18 5" xfId="13767" xr:uid="{BE3B1515-15A6-40CD-BFDD-4CC1ABA9387F}"/>
    <cellStyle name="Normal 2 5 2 19" xfId="4943" xr:uid="{29004D3B-1AD5-466E-BCA2-BB4E51B0718D}"/>
    <cellStyle name="Normal 2 5 2 19 2" xfId="4944" xr:uid="{67FD5DE7-C58E-4E62-8DE4-3A7DB169642A}"/>
    <cellStyle name="Normal 2 5 2 19 2 2" xfId="4945" xr:uid="{0D38DAAA-7408-45A6-9D9E-4B95F750170E}"/>
    <cellStyle name="Normal 2 5 2 19 2 2 2" xfId="13775" xr:uid="{79B165CC-A16B-480A-8DB7-337D2FA9A2F7}"/>
    <cellStyle name="Normal 2 5 2 19 2 3" xfId="4946" xr:uid="{38A00945-66F4-46E5-836B-0F5A5EEC8717}"/>
    <cellStyle name="Normal 2 5 2 19 2 3 2" xfId="13776" xr:uid="{5195E816-E0E5-40B9-BDB4-5C663CAC7AAA}"/>
    <cellStyle name="Normal 2 5 2 19 2 4" xfId="13774" xr:uid="{1698588F-A19A-4682-9743-383B90433B14}"/>
    <cellStyle name="Normal 2 5 2 19 3" xfId="4947" xr:uid="{70AA1F11-82F5-49F1-907B-8B1BD546A6C4}"/>
    <cellStyle name="Normal 2 5 2 19 3 2" xfId="13777" xr:uid="{F8E843D5-DE41-43D7-94A6-D55BC6AD94BA}"/>
    <cellStyle name="Normal 2 5 2 19 4" xfId="4948" xr:uid="{498BDA41-82B0-4477-9C86-3E51C3D0760F}"/>
    <cellStyle name="Normal 2 5 2 19 4 2" xfId="13778" xr:uid="{5B63960F-D4E0-4D3A-AD5B-D59812B8798D}"/>
    <cellStyle name="Normal 2 5 2 19 5" xfId="13773" xr:uid="{A3721616-736C-4A70-A0D7-9CEAB28F373B}"/>
    <cellStyle name="Normal 2 5 2 2" xfId="4949" xr:uid="{DDF6EE07-EECF-4B2D-8D57-0DF39A82C8C4}"/>
    <cellStyle name="Normal 2 5 2 2 2" xfId="4950" xr:uid="{9FD01D59-572E-4129-B08B-DAAA5C3CE982}"/>
    <cellStyle name="Normal 2 5 2 2 2 2" xfId="4951" xr:uid="{728F051C-658C-4D23-8B18-594EE445F095}"/>
    <cellStyle name="Normal 2 5 2 2 2 2 2" xfId="13781" xr:uid="{A4E53529-CAD2-489E-8CF5-12066AE7433A}"/>
    <cellStyle name="Normal 2 5 2 2 2 3" xfId="4952" xr:uid="{A6E6EE01-CBF4-491E-90A1-8B55655F7EDA}"/>
    <cellStyle name="Normal 2 5 2 2 2 3 2" xfId="13782" xr:uid="{DDC9F63A-8589-4706-A7FC-D0B44EE0FBED}"/>
    <cellStyle name="Normal 2 5 2 2 2 4" xfId="13780" xr:uid="{CFF6C130-D86B-4766-906A-708A8EB4B360}"/>
    <cellStyle name="Normal 2 5 2 2 3" xfId="4953" xr:uid="{FFE73C05-E889-4437-B47A-B09F321356CF}"/>
    <cellStyle name="Normal 2 5 2 2 3 2" xfId="13783" xr:uid="{004CAB89-5A1F-4C33-8595-791723A5E078}"/>
    <cellStyle name="Normal 2 5 2 2 4" xfId="4954" xr:uid="{8B0D709D-07AE-4FBC-B441-9316DE5204BB}"/>
    <cellStyle name="Normal 2 5 2 2 4 2" xfId="13784" xr:uid="{A24449EB-9968-4912-B5AC-BD12743FA900}"/>
    <cellStyle name="Normal 2 5 2 2 5" xfId="13779" xr:uid="{0D191F17-5BC8-48BE-BB23-A05A23FDB8F2}"/>
    <cellStyle name="Normal 2 5 2 20" xfId="4955" xr:uid="{63C5996E-1A24-4BE2-928B-6EB9298830E5}"/>
    <cellStyle name="Normal 2 5 2 20 2" xfId="4956" xr:uid="{40703A1B-3AAA-4929-AA06-0EFB98237443}"/>
    <cellStyle name="Normal 2 5 2 20 2 2" xfId="4957" xr:uid="{37BCDDF0-7EA7-49F7-8DB6-4470619A2F45}"/>
    <cellStyle name="Normal 2 5 2 20 2 2 2" xfId="13787" xr:uid="{B16A54F5-0BD7-4788-822D-89A2812AA9EC}"/>
    <cellStyle name="Normal 2 5 2 20 2 3" xfId="4958" xr:uid="{287A4A43-8A13-4FEB-8A6B-F95E6E227619}"/>
    <cellStyle name="Normal 2 5 2 20 2 3 2" xfId="13788" xr:uid="{22379E8C-F34B-4402-A8FE-5D78C8EC5D2E}"/>
    <cellStyle name="Normal 2 5 2 20 2 4" xfId="13786" xr:uid="{BE527803-76CF-4C02-991D-8555322548FC}"/>
    <cellStyle name="Normal 2 5 2 20 3" xfId="4959" xr:uid="{DFD72B7C-823F-489F-A550-F1C35996B6DE}"/>
    <cellStyle name="Normal 2 5 2 20 3 2" xfId="13789" xr:uid="{0B87860F-BA4E-4E7E-8CD8-C8D3DADAC912}"/>
    <cellStyle name="Normal 2 5 2 20 4" xfId="4960" xr:uid="{13826FAD-07CF-4104-9412-7ACB1E58B1AD}"/>
    <cellStyle name="Normal 2 5 2 20 4 2" xfId="13790" xr:uid="{AC321B2B-7BF7-4063-A6A3-A0AF297901B8}"/>
    <cellStyle name="Normal 2 5 2 20 5" xfId="13785" xr:uid="{D121EAB9-310E-4C67-8B68-8F6A96E15816}"/>
    <cellStyle name="Normal 2 5 2 21" xfId="4961" xr:uid="{F6C2E727-F2B9-4DDF-8AAB-5E25C7C62470}"/>
    <cellStyle name="Normal 2 5 2 21 2" xfId="4962" xr:uid="{39C56145-9818-479C-8244-4AE38F61A686}"/>
    <cellStyle name="Normal 2 5 2 21 2 2" xfId="4963" xr:uid="{3E5F454D-2C63-47D2-B3AA-F1B395CDD5D8}"/>
    <cellStyle name="Normal 2 5 2 21 2 2 2" xfId="13793" xr:uid="{DA57F07F-9F44-4983-A10A-CA440BCD7F43}"/>
    <cellStyle name="Normal 2 5 2 21 2 3" xfId="4964" xr:uid="{A7011059-92B7-4CD0-9355-A1C6BBA77D67}"/>
    <cellStyle name="Normal 2 5 2 21 2 3 2" xfId="13794" xr:uid="{E3045EAC-A1DA-41EC-9CF5-9B6A252203FD}"/>
    <cellStyle name="Normal 2 5 2 21 2 4" xfId="13792" xr:uid="{D76E40EF-08F9-4B69-9879-CA97869CE184}"/>
    <cellStyle name="Normal 2 5 2 21 3" xfId="4965" xr:uid="{34D0F878-7D5A-4E5D-B73B-873D3D3D024B}"/>
    <cellStyle name="Normal 2 5 2 21 3 2" xfId="13795" xr:uid="{4101F2F0-883D-4E41-B1D8-C10DEE89004A}"/>
    <cellStyle name="Normal 2 5 2 21 4" xfId="4966" xr:uid="{40CCF58B-FAA8-4C4A-A95F-C396A82B6539}"/>
    <cellStyle name="Normal 2 5 2 21 4 2" xfId="13796" xr:uid="{50B317EB-B991-4CF2-AC9E-AA8DCBAD3E11}"/>
    <cellStyle name="Normal 2 5 2 21 5" xfId="13791" xr:uid="{B76EC397-53C8-4612-89D3-85D698E2AE0D}"/>
    <cellStyle name="Normal 2 5 2 22" xfId="4967" xr:uid="{7D345778-40B5-424C-A1CD-D751EA260CC3}"/>
    <cellStyle name="Normal 2 5 2 22 2" xfId="4968" xr:uid="{5ED314D6-195D-4123-8B82-C3F23487E7BB}"/>
    <cellStyle name="Normal 2 5 2 22 2 2" xfId="4969" xr:uid="{8AD2C450-3BEC-4E4A-8E57-043954C1F928}"/>
    <cellStyle name="Normal 2 5 2 22 2 2 2" xfId="13799" xr:uid="{2DC38E5E-C665-4C3E-A4D9-E1F8F84E5FA8}"/>
    <cellStyle name="Normal 2 5 2 22 2 3" xfId="4970" xr:uid="{9DB9939C-4F9B-4691-88E5-50E077CF2E47}"/>
    <cellStyle name="Normal 2 5 2 22 2 3 2" xfId="13800" xr:uid="{9C71E7EF-608F-4213-A915-264C301EA674}"/>
    <cellStyle name="Normal 2 5 2 22 2 4" xfId="13798" xr:uid="{A909BF01-BE4C-404E-9CE6-91FBD9841765}"/>
    <cellStyle name="Normal 2 5 2 22 3" xfId="4971" xr:uid="{CD6FE703-49EE-491A-A2E1-37F399D25EF5}"/>
    <cellStyle name="Normal 2 5 2 22 3 2" xfId="13801" xr:uid="{96315268-9C88-4CCE-95FA-0CB605A90D1B}"/>
    <cellStyle name="Normal 2 5 2 22 4" xfId="4972" xr:uid="{08060126-73AE-45DA-9F12-8F543236975A}"/>
    <cellStyle name="Normal 2 5 2 22 4 2" xfId="13802" xr:uid="{7993FCF1-2D06-45DD-BE04-487BE1720993}"/>
    <cellStyle name="Normal 2 5 2 22 5" xfId="13797" xr:uid="{B4E05C18-0CAD-48C5-81FF-A72432A72209}"/>
    <cellStyle name="Normal 2 5 2 23" xfId="4973" xr:uid="{DEBDC971-0E38-465E-A27E-FF0C4E6B3A10}"/>
    <cellStyle name="Normal 2 5 2 23 2" xfId="4974" xr:uid="{0AD68EFE-F5A3-4865-B83B-4DBB1CAB064F}"/>
    <cellStyle name="Normal 2 5 2 23 2 2" xfId="4975" xr:uid="{1E9178F5-50AD-4113-8939-FA3DEE2E1ADB}"/>
    <cellStyle name="Normal 2 5 2 23 2 2 2" xfId="13805" xr:uid="{737962CB-B352-4BC6-8E32-E5DBA0679F06}"/>
    <cellStyle name="Normal 2 5 2 23 2 3" xfId="4976" xr:uid="{96C20837-FF74-4314-BA32-AB22E93CBBAB}"/>
    <cellStyle name="Normal 2 5 2 23 2 3 2" xfId="13806" xr:uid="{25BF98D5-B0A3-4844-B16C-F16ED8C8B748}"/>
    <cellStyle name="Normal 2 5 2 23 2 4" xfId="13804" xr:uid="{92E6CCE6-44B0-453A-B69B-153B60228695}"/>
    <cellStyle name="Normal 2 5 2 23 3" xfId="4977" xr:uid="{A851AE38-127D-4E71-A7C1-761118914BFE}"/>
    <cellStyle name="Normal 2 5 2 23 3 2" xfId="13807" xr:uid="{045D6158-6D85-4E6C-BA00-C6C4555F0B67}"/>
    <cellStyle name="Normal 2 5 2 23 4" xfId="4978" xr:uid="{EAB27201-4C8B-4A3C-8102-1F1BF1F0C1A4}"/>
    <cellStyle name="Normal 2 5 2 23 4 2" xfId="13808" xr:uid="{E2AD46E3-C566-48BE-A42F-0ADB51FFF170}"/>
    <cellStyle name="Normal 2 5 2 23 5" xfId="13803" xr:uid="{329EB728-E428-452F-9DD1-E677E551E9BF}"/>
    <cellStyle name="Normal 2 5 2 24" xfId="4979" xr:uid="{A8A19A0D-6CCE-46EB-A04B-66BF6862C73D}"/>
    <cellStyle name="Normal 2 5 2 24 2" xfId="4980" xr:uid="{91C5F9B7-46C4-4012-BDE8-5D7D5B3C1E62}"/>
    <cellStyle name="Normal 2 5 2 24 2 2" xfId="4981" xr:uid="{0A402019-D98E-4A4C-AABE-4B6632E8EF11}"/>
    <cellStyle name="Normal 2 5 2 24 2 2 2" xfId="13811" xr:uid="{D741D3F9-DD55-43C9-A6D6-696505626068}"/>
    <cellStyle name="Normal 2 5 2 24 2 3" xfId="4982" xr:uid="{52E457BD-DE13-48AD-9888-5CF88B62F032}"/>
    <cellStyle name="Normal 2 5 2 24 2 3 2" xfId="13812" xr:uid="{8777C0A0-7F17-4B2B-8B1B-DF9907B2FECD}"/>
    <cellStyle name="Normal 2 5 2 24 2 4" xfId="13810" xr:uid="{2A03DA80-54C9-4DE8-9BB7-8A77AF38BAEE}"/>
    <cellStyle name="Normal 2 5 2 24 3" xfId="4983" xr:uid="{A66B8586-2FF1-42D3-B557-CB43C2256B93}"/>
    <cellStyle name="Normal 2 5 2 24 3 2" xfId="13813" xr:uid="{B537761A-6966-43F5-BDF0-BB8FE1A5AE2F}"/>
    <cellStyle name="Normal 2 5 2 24 4" xfId="4984" xr:uid="{9206DD0D-BE77-49DD-8FD3-FB6F58A3A900}"/>
    <cellStyle name="Normal 2 5 2 24 4 2" xfId="13814" xr:uid="{9A24CEB7-935C-496D-B372-3B903DB7FA88}"/>
    <cellStyle name="Normal 2 5 2 24 5" xfId="13809" xr:uid="{DDDEB685-6E95-4D09-BBD9-57BED1DE5FAC}"/>
    <cellStyle name="Normal 2 5 2 25" xfId="4985" xr:uid="{E87311C6-2649-49E6-9E80-8CC74ADE5A56}"/>
    <cellStyle name="Normal 2 5 2 25 2" xfId="4986" xr:uid="{F5FAE1C5-0FF9-4EB1-A9EA-6274DB2B776D}"/>
    <cellStyle name="Normal 2 5 2 25 2 2" xfId="4987" xr:uid="{A52607F7-57A9-4683-8083-4874D37CFBC6}"/>
    <cellStyle name="Normal 2 5 2 25 2 2 2" xfId="13817" xr:uid="{27DA4E09-DED6-4629-A469-9C210D5D913B}"/>
    <cellStyle name="Normal 2 5 2 25 2 3" xfId="4988" xr:uid="{2BA0A0E3-5157-45D1-A15C-16CE2B39655A}"/>
    <cellStyle name="Normal 2 5 2 25 2 3 2" xfId="13818" xr:uid="{5DCFBB8D-3412-4BDA-B73C-F2C650F4A064}"/>
    <cellStyle name="Normal 2 5 2 25 2 4" xfId="13816" xr:uid="{B1D87590-676F-4902-B406-727F2ACF754E}"/>
    <cellStyle name="Normal 2 5 2 25 3" xfId="4989" xr:uid="{93871F2F-3B28-4C78-9601-8BFAEBB954EC}"/>
    <cellStyle name="Normal 2 5 2 25 3 2" xfId="13819" xr:uid="{31D60F10-7507-4D06-BD3B-B200FBF5D203}"/>
    <cellStyle name="Normal 2 5 2 25 4" xfId="4990" xr:uid="{23816613-2946-4ACC-BDA8-9DA4EEA1F8C7}"/>
    <cellStyle name="Normal 2 5 2 25 4 2" xfId="13820" xr:uid="{1D2A4428-8A65-458F-A83B-283EB3A0FF8C}"/>
    <cellStyle name="Normal 2 5 2 25 5" xfId="13815" xr:uid="{662A4157-D104-4605-BCB6-692CFCAB7D74}"/>
    <cellStyle name="Normal 2 5 2 26" xfId="4991" xr:uid="{64A81982-E882-41AF-B88A-CFC82CA1FD8A}"/>
    <cellStyle name="Normal 2 5 2 26 2" xfId="4992" xr:uid="{E1559720-7584-4E9A-9C23-284A16F92159}"/>
    <cellStyle name="Normal 2 5 2 26 2 2" xfId="4993" xr:uid="{855F07FE-9FE7-4B98-B2A4-648CAF6D504D}"/>
    <cellStyle name="Normal 2 5 2 26 2 2 2" xfId="13823" xr:uid="{2DB5C598-7106-4D9A-8E93-B39FD39C6D5B}"/>
    <cellStyle name="Normal 2 5 2 26 2 3" xfId="4994" xr:uid="{C028E3FE-A8FB-4AF3-AA7E-26E8B4CC03EC}"/>
    <cellStyle name="Normal 2 5 2 26 2 3 2" xfId="13824" xr:uid="{CF668EE2-E751-4A65-9D71-13C8D8504783}"/>
    <cellStyle name="Normal 2 5 2 26 2 4" xfId="13822" xr:uid="{5052BABD-D685-4E66-9E79-A30F32870A4C}"/>
    <cellStyle name="Normal 2 5 2 26 3" xfId="4995" xr:uid="{93346AE5-2CE5-4ACE-94AB-C615DEBF07E5}"/>
    <cellStyle name="Normal 2 5 2 26 3 2" xfId="13825" xr:uid="{8DAEA303-FFB2-42E7-960F-8A3021DE7DB3}"/>
    <cellStyle name="Normal 2 5 2 26 4" xfId="4996" xr:uid="{3D7221CA-446B-4127-85B2-12A98EAA4C38}"/>
    <cellStyle name="Normal 2 5 2 26 4 2" xfId="13826" xr:uid="{63D1BAE3-AACD-46C8-9913-A62B402FCDB7}"/>
    <cellStyle name="Normal 2 5 2 26 5" xfId="13821" xr:uid="{E5FEC1B5-D9B5-4B24-AEEF-3CCCA8178594}"/>
    <cellStyle name="Normal 2 5 2 27" xfId="4997" xr:uid="{A7811891-32EE-4907-BF5E-6C8E48D1DC7D}"/>
    <cellStyle name="Normal 2 5 2 27 2" xfId="4998" xr:uid="{1ED0A455-63B3-4211-BDAA-63C3878E0E9D}"/>
    <cellStyle name="Normal 2 5 2 27 2 2" xfId="4999" xr:uid="{5D8C64BF-F338-41EC-A6E7-840CDEC5E084}"/>
    <cellStyle name="Normal 2 5 2 27 2 2 2" xfId="13829" xr:uid="{F2BC86E2-3027-437F-BBE0-0DC3466759E5}"/>
    <cellStyle name="Normal 2 5 2 27 2 3" xfId="5000" xr:uid="{4ECB26AC-4DAE-4A9B-BB94-15278D2AF435}"/>
    <cellStyle name="Normal 2 5 2 27 2 3 2" xfId="13830" xr:uid="{59FBA039-1AA3-461C-BA57-499829FDC268}"/>
    <cellStyle name="Normal 2 5 2 27 2 4" xfId="13828" xr:uid="{C5E08187-C86F-4D00-BE18-F88ADC4EC8AE}"/>
    <cellStyle name="Normal 2 5 2 27 3" xfId="5001" xr:uid="{C082716E-2D0E-4226-BD56-52AA8B0E5A01}"/>
    <cellStyle name="Normal 2 5 2 27 3 2" xfId="13831" xr:uid="{8E065247-7A53-4593-B4F1-68D090F5F3A9}"/>
    <cellStyle name="Normal 2 5 2 27 4" xfId="5002" xr:uid="{303F10DE-834C-4F0E-88EB-C25085C6E160}"/>
    <cellStyle name="Normal 2 5 2 27 4 2" xfId="13832" xr:uid="{F65E94C3-F067-41EC-A944-A4F309B2D16A}"/>
    <cellStyle name="Normal 2 5 2 27 5" xfId="13827" xr:uid="{1FED8241-AC2C-4396-95FF-DCC22F4D98B2}"/>
    <cellStyle name="Normal 2 5 2 28" xfId="5003" xr:uid="{0BF2EB8D-E06A-4C1F-BE32-A3362EBE7C6E}"/>
    <cellStyle name="Normal 2 5 2 28 2" xfId="5004" xr:uid="{817CB600-57C0-48CF-9363-FAAD30D2DE42}"/>
    <cellStyle name="Normal 2 5 2 28 2 2" xfId="5005" xr:uid="{61A83050-22B7-4BC0-93D5-10BDDE0463C6}"/>
    <cellStyle name="Normal 2 5 2 28 2 2 2" xfId="13835" xr:uid="{7C332C0A-5636-476C-B8FF-81F67FB697D3}"/>
    <cellStyle name="Normal 2 5 2 28 2 3" xfId="5006" xr:uid="{AE30E744-4298-49AF-A176-7B3BDE96072A}"/>
    <cellStyle name="Normal 2 5 2 28 2 3 2" xfId="13836" xr:uid="{A0217D22-26F8-4FD7-B477-290FB33966A5}"/>
    <cellStyle name="Normal 2 5 2 28 2 4" xfId="13834" xr:uid="{A6C22CC5-9F63-4C50-A80C-6C8E0CFF2E25}"/>
    <cellStyle name="Normal 2 5 2 28 3" xfId="5007" xr:uid="{FF6C6FD9-ED8E-4F4D-BDC5-ABD759EEF2B9}"/>
    <cellStyle name="Normal 2 5 2 28 3 2" xfId="13837" xr:uid="{F2AF2019-C1B2-4125-B007-EA304A53C58A}"/>
    <cellStyle name="Normal 2 5 2 28 4" xfId="5008" xr:uid="{A55C8DCE-3ED1-4EDC-8A5E-1DF9F3BB8708}"/>
    <cellStyle name="Normal 2 5 2 28 4 2" xfId="13838" xr:uid="{A5732B82-ABBB-4A87-8479-6B8F72341355}"/>
    <cellStyle name="Normal 2 5 2 28 5" xfId="13833" xr:uid="{4E4CDD4C-5F04-46C2-8F4A-FF037B7E5062}"/>
    <cellStyle name="Normal 2 5 2 29" xfId="5009" xr:uid="{AF6DE6DF-536E-4E28-A603-C42536A18E64}"/>
    <cellStyle name="Normal 2 5 2 29 2" xfId="5010" xr:uid="{B1B6E03F-63AF-4BC3-ACD9-D0A08D9642CE}"/>
    <cellStyle name="Normal 2 5 2 29 2 2" xfId="5011" xr:uid="{5034B082-FD79-42A3-9A78-85755E7F34BD}"/>
    <cellStyle name="Normal 2 5 2 29 2 2 2" xfId="13841" xr:uid="{E43719D9-BC00-43ED-8F50-F84C85DE8367}"/>
    <cellStyle name="Normal 2 5 2 29 2 3" xfId="5012" xr:uid="{439F5753-9D4D-49B7-AF6C-2BFC7FB43247}"/>
    <cellStyle name="Normal 2 5 2 29 2 3 2" xfId="13842" xr:uid="{16FFF66F-F6A7-4E5C-9F3B-9E1AD753BA97}"/>
    <cellStyle name="Normal 2 5 2 29 2 4" xfId="13840" xr:uid="{9848C844-5EA5-4F9E-B3FA-046523F38C97}"/>
    <cellStyle name="Normal 2 5 2 29 3" xfId="5013" xr:uid="{B1688B6E-0B91-4E4D-B014-46DC92C84C00}"/>
    <cellStyle name="Normal 2 5 2 29 3 2" xfId="13843" xr:uid="{9E38A9CA-FD68-4301-9BE9-799ABA679E8A}"/>
    <cellStyle name="Normal 2 5 2 29 4" xfId="5014" xr:uid="{C099D2EC-1F68-4379-98DB-6780713C8D4E}"/>
    <cellStyle name="Normal 2 5 2 29 4 2" xfId="13844" xr:uid="{7A65D111-5E70-4C00-B6BC-A812F59C6C17}"/>
    <cellStyle name="Normal 2 5 2 29 5" xfId="13839" xr:uid="{F52C9737-9FDC-45F7-B8BE-931A510F7600}"/>
    <cellStyle name="Normal 2 5 2 3" xfId="5015" xr:uid="{DCC2BBEE-927C-4B2F-B57E-8BD86224BB75}"/>
    <cellStyle name="Normal 2 5 2 3 2" xfId="5016" xr:uid="{AC22CB1B-DC33-4F0E-8EB6-93C1317A2681}"/>
    <cellStyle name="Normal 2 5 2 3 2 2" xfId="5017" xr:uid="{8E91E67E-183A-4C60-B652-B0CE6AE7B2A2}"/>
    <cellStyle name="Normal 2 5 2 3 2 2 2" xfId="13847" xr:uid="{8D9427F5-698F-4A66-92ED-02EAAC663C73}"/>
    <cellStyle name="Normal 2 5 2 3 2 3" xfId="5018" xr:uid="{B7E01D0C-C4F1-4A8A-A4CD-CA011AC35430}"/>
    <cellStyle name="Normal 2 5 2 3 2 3 2" xfId="13848" xr:uid="{177F9FF6-AB40-4EE4-ADD9-109DBB41AE4D}"/>
    <cellStyle name="Normal 2 5 2 3 2 4" xfId="13846" xr:uid="{FE361153-EFAF-4DFB-B043-41DFFCB4B443}"/>
    <cellStyle name="Normal 2 5 2 3 3" xfId="5019" xr:uid="{317A5EE1-F8FF-4A4E-AF34-59876DBE0744}"/>
    <cellStyle name="Normal 2 5 2 3 3 2" xfId="13849" xr:uid="{962490D7-01A0-45B3-BE0C-2C03D856B3D4}"/>
    <cellStyle name="Normal 2 5 2 3 4" xfId="5020" xr:uid="{A8F23E4A-1C29-4635-B9D3-3C72AC58885D}"/>
    <cellStyle name="Normal 2 5 2 3 4 2" xfId="13850" xr:uid="{B652C2A9-12B1-4E33-A524-3BAE89DCD919}"/>
    <cellStyle name="Normal 2 5 2 3 5" xfId="13845" xr:uid="{E54E7293-99E8-48A7-AB0B-8DD87C534D6E}"/>
    <cellStyle name="Normal 2 5 2 30" xfId="5021" xr:uid="{4BA84E66-CC13-48FE-9D68-2793015780B4}"/>
    <cellStyle name="Normal 2 5 2 30 2" xfId="5022" xr:uid="{263346AC-9FC7-4B73-8BD2-3F9C80EBFBAE}"/>
    <cellStyle name="Normal 2 5 2 30 2 2" xfId="5023" xr:uid="{2016F2E9-8C23-4F59-BEB5-049DD2646BBE}"/>
    <cellStyle name="Normal 2 5 2 30 2 2 2" xfId="13853" xr:uid="{36FE071A-FC61-4ACE-8818-0CE7E5EA5BAE}"/>
    <cellStyle name="Normal 2 5 2 30 2 3" xfId="5024" xr:uid="{BD8F824F-D43F-4C33-A86F-4398591D3D8D}"/>
    <cellStyle name="Normal 2 5 2 30 2 3 2" xfId="13854" xr:uid="{25A6D32C-DC55-4AE7-9712-E833EBA91B17}"/>
    <cellStyle name="Normal 2 5 2 30 2 4" xfId="13852" xr:uid="{0AC794C0-F07B-4D59-A0C4-EA8DF94CCE89}"/>
    <cellStyle name="Normal 2 5 2 30 3" xfId="5025" xr:uid="{938A68A2-A0DE-4F7E-8C25-E89D11CADBD1}"/>
    <cellStyle name="Normal 2 5 2 30 3 2" xfId="13855" xr:uid="{1BAB6487-93AE-4675-9D15-7A36B041ACDB}"/>
    <cellStyle name="Normal 2 5 2 30 4" xfId="5026" xr:uid="{A0CB6D5A-62DB-4F2C-822A-D405A488FC89}"/>
    <cellStyle name="Normal 2 5 2 30 4 2" xfId="13856" xr:uid="{7121CADE-B785-4163-B169-CAEE10F74A69}"/>
    <cellStyle name="Normal 2 5 2 30 5" xfId="13851" xr:uid="{F58A3767-074C-4FB6-B65E-27ECEA7637A5}"/>
    <cellStyle name="Normal 2 5 2 31" xfId="5027" xr:uid="{E1F798F0-6409-4D54-8916-13E15282ED6E}"/>
    <cellStyle name="Normal 2 5 2 31 2" xfId="5028" xr:uid="{A2DFAD19-3564-4C39-89A0-40FAD9086F85}"/>
    <cellStyle name="Normal 2 5 2 31 2 2" xfId="5029" xr:uid="{10CD62DB-5652-4687-B5DC-04AE8E7CEA57}"/>
    <cellStyle name="Normal 2 5 2 31 2 2 2" xfId="13859" xr:uid="{A9805FE3-54B1-4830-8F36-288945CC36A4}"/>
    <cellStyle name="Normal 2 5 2 31 2 3" xfId="5030" xr:uid="{D8CE4E3F-659F-4AE7-8CAF-A8F769176BD4}"/>
    <cellStyle name="Normal 2 5 2 31 2 3 2" xfId="13860" xr:uid="{A267647C-5A5C-4844-A144-B98B3C9FE011}"/>
    <cellStyle name="Normal 2 5 2 31 2 4" xfId="13858" xr:uid="{585E5F16-F265-47E3-AF3C-5293D2351C80}"/>
    <cellStyle name="Normal 2 5 2 31 3" xfId="5031" xr:uid="{5FE7441E-F4E9-443C-8E39-CEB7101B119D}"/>
    <cellStyle name="Normal 2 5 2 31 3 2" xfId="13861" xr:uid="{5732F4E8-D193-434E-96F9-79B2D6976E66}"/>
    <cellStyle name="Normal 2 5 2 31 4" xfId="5032" xr:uid="{2636C805-357C-4BAD-9934-4A0B1C0DB6BF}"/>
    <cellStyle name="Normal 2 5 2 31 4 2" xfId="13862" xr:uid="{48B8738E-A069-4D3F-9177-E5EE539F8B6B}"/>
    <cellStyle name="Normal 2 5 2 31 5" xfId="13857" xr:uid="{7C322E20-C3EC-4F42-B47E-0DAC884733F9}"/>
    <cellStyle name="Normal 2 5 2 32" xfId="5033" xr:uid="{970F02AF-2ADB-4032-B078-7FAD0CB8ACB4}"/>
    <cellStyle name="Normal 2 5 2 32 2" xfId="5034" xr:uid="{89BB6AD8-A703-43EE-BA82-771B263421D8}"/>
    <cellStyle name="Normal 2 5 2 32 2 2" xfId="5035" xr:uid="{45DC342C-573E-46C5-BA3F-96C72F433676}"/>
    <cellStyle name="Normal 2 5 2 32 2 2 2" xfId="13865" xr:uid="{3EDA1622-B0E8-4019-B35D-875C4B90FB55}"/>
    <cellStyle name="Normal 2 5 2 32 2 3" xfId="5036" xr:uid="{33333726-B2DA-44B3-8CE6-895F426EEBAF}"/>
    <cellStyle name="Normal 2 5 2 32 2 3 2" xfId="13866" xr:uid="{5E9F73B0-A6E4-4FC8-A5B8-0A55EAF2FDD2}"/>
    <cellStyle name="Normal 2 5 2 32 2 4" xfId="13864" xr:uid="{33903727-1D63-4F93-8357-9C750AAA053B}"/>
    <cellStyle name="Normal 2 5 2 32 3" xfId="5037" xr:uid="{69EF83AB-9F20-4189-8A0B-84A45FC92C89}"/>
    <cellStyle name="Normal 2 5 2 32 3 2" xfId="13867" xr:uid="{C31F4A9D-78DC-4442-896A-8D283030FCB4}"/>
    <cellStyle name="Normal 2 5 2 32 4" xfId="5038" xr:uid="{57BD5C76-7C19-437C-BC85-059E991BC2DD}"/>
    <cellStyle name="Normal 2 5 2 32 4 2" xfId="13868" xr:uid="{8466E441-E85B-4158-A98D-0FAA445C6658}"/>
    <cellStyle name="Normal 2 5 2 32 5" xfId="13863" xr:uid="{3AF5488F-1EE9-45ED-97C4-A9A46E9996D7}"/>
    <cellStyle name="Normal 2 5 2 33" xfId="5039" xr:uid="{B316B5E2-F0C8-4716-BA6C-338127134245}"/>
    <cellStyle name="Normal 2 5 2 33 2" xfId="5040" xr:uid="{E16F866A-43FF-4975-9679-009594BBCFB9}"/>
    <cellStyle name="Normal 2 5 2 33 2 2" xfId="5041" xr:uid="{9AD90787-0CBC-408A-A111-6E23193CD812}"/>
    <cellStyle name="Normal 2 5 2 33 2 2 2" xfId="13871" xr:uid="{C08CAD6E-8EEA-4A7B-938A-18B8231C03BA}"/>
    <cellStyle name="Normal 2 5 2 33 2 3" xfId="5042" xr:uid="{6D3E971B-6C32-4FC9-A801-47E3EFB654A1}"/>
    <cellStyle name="Normal 2 5 2 33 2 3 2" xfId="13872" xr:uid="{A961C24E-84B9-4C20-A988-3A465CD0523D}"/>
    <cellStyle name="Normal 2 5 2 33 2 4" xfId="13870" xr:uid="{19BA5B9A-931F-4970-B9F3-666E8892DFCB}"/>
    <cellStyle name="Normal 2 5 2 33 3" xfId="5043" xr:uid="{14A058EE-E927-461D-9E8E-9C14F4955F88}"/>
    <cellStyle name="Normal 2 5 2 33 3 2" xfId="13873" xr:uid="{E220E4C5-FAD3-47CD-A68B-158FD08D6645}"/>
    <cellStyle name="Normal 2 5 2 33 4" xfId="5044" xr:uid="{0BFA784F-9AFA-4C08-A228-AD1FEC741831}"/>
    <cellStyle name="Normal 2 5 2 33 4 2" xfId="13874" xr:uid="{488D7B96-5821-4F92-90BA-1245BA57D0EE}"/>
    <cellStyle name="Normal 2 5 2 33 5" xfId="13869" xr:uid="{B5917355-3F37-4A97-8070-33EC1849F478}"/>
    <cellStyle name="Normal 2 5 2 34" xfId="5045" xr:uid="{9D40AE13-0C23-443B-9298-52BD17D151CF}"/>
    <cellStyle name="Normal 2 5 2 34 2" xfId="5046" xr:uid="{BF5274AF-7FDA-44A0-83C7-415D26A7E5AF}"/>
    <cellStyle name="Normal 2 5 2 34 2 2" xfId="5047" xr:uid="{6474F318-35A0-4A0A-9108-43B345F9402C}"/>
    <cellStyle name="Normal 2 5 2 34 2 2 2" xfId="13877" xr:uid="{99140075-D375-4178-A8D4-AFF08CB544CC}"/>
    <cellStyle name="Normal 2 5 2 34 2 3" xfId="5048" xr:uid="{E30D00D1-C0BB-42F7-A503-A859107F886F}"/>
    <cellStyle name="Normal 2 5 2 34 2 3 2" xfId="13878" xr:uid="{61B9C0D0-6198-4FF6-A53A-D20C754B3F4D}"/>
    <cellStyle name="Normal 2 5 2 34 2 4" xfId="13876" xr:uid="{CFC69355-B979-4768-BE92-E614BF02AEA6}"/>
    <cellStyle name="Normal 2 5 2 34 3" xfId="5049" xr:uid="{A129CE36-750F-4C73-9E1A-79FE4230B113}"/>
    <cellStyle name="Normal 2 5 2 34 3 2" xfId="13879" xr:uid="{88C07200-0CD9-44A7-A93B-A262EFEF99E6}"/>
    <cellStyle name="Normal 2 5 2 34 4" xfId="5050" xr:uid="{A939A3F6-EB66-45C4-8C8F-41BDC2371A52}"/>
    <cellStyle name="Normal 2 5 2 34 4 2" xfId="13880" xr:uid="{36551A5C-5266-4BC3-9383-A6BC72D437A8}"/>
    <cellStyle name="Normal 2 5 2 34 5" xfId="13875" xr:uid="{5E48CCFE-01D9-4342-BE24-BFC027D4D96A}"/>
    <cellStyle name="Normal 2 5 2 35" xfId="5051" xr:uid="{23980A1B-A0D5-40C6-9580-7972DAE9BD17}"/>
    <cellStyle name="Normal 2 5 2 35 2" xfId="5052" xr:uid="{9F6007EF-3693-4ECF-8056-5C44F6CB7EC4}"/>
    <cellStyle name="Normal 2 5 2 35 2 2" xfId="5053" xr:uid="{A62A3283-2B44-417B-84D4-1A6194BB1A6F}"/>
    <cellStyle name="Normal 2 5 2 35 2 2 2" xfId="13883" xr:uid="{05F66C0F-D565-40AF-A406-202D55E558DB}"/>
    <cellStyle name="Normal 2 5 2 35 2 3" xfId="5054" xr:uid="{4DCB8899-7707-4AAC-8E89-B5CDDA9C14A4}"/>
    <cellStyle name="Normal 2 5 2 35 2 3 2" xfId="13884" xr:uid="{F28C385B-530B-4B5F-A817-FB0A638744FA}"/>
    <cellStyle name="Normal 2 5 2 35 2 4" xfId="13882" xr:uid="{78D0166E-62A8-45D4-8C51-9FAD28DDB5C3}"/>
    <cellStyle name="Normal 2 5 2 35 3" xfId="5055" xr:uid="{7EA19A05-16F0-40A8-98C1-82177B528A7C}"/>
    <cellStyle name="Normal 2 5 2 35 3 2" xfId="13885" xr:uid="{EE58D73F-B602-4CC4-8021-CB8221347590}"/>
    <cellStyle name="Normal 2 5 2 35 4" xfId="5056" xr:uid="{B21AA8B2-AAA2-4A24-8F4D-E740E55CE2F4}"/>
    <cellStyle name="Normal 2 5 2 35 4 2" xfId="13886" xr:uid="{F87E2E4D-465A-403C-A4E3-560025C7FA6F}"/>
    <cellStyle name="Normal 2 5 2 35 5" xfId="13881" xr:uid="{36CCE747-88EF-4AA9-8957-625E68674F78}"/>
    <cellStyle name="Normal 2 5 2 36" xfId="5057" xr:uid="{09F11681-ADAE-461D-B985-EA2970286D96}"/>
    <cellStyle name="Normal 2 5 2 36 2" xfId="5058" xr:uid="{2B2B7CC9-F714-431C-9E19-1FD359881482}"/>
    <cellStyle name="Normal 2 5 2 36 2 2" xfId="5059" xr:uid="{71E5B50D-E06A-41AB-8027-8DB122210F0F}"/>
    <cellStyle name="Normal 2 5 2 36 2 2 2" xfId="13889" xr:uid="{08DD3398-8FF3-4D60-BF13-9C03ECBB2705}"/>
    <cellStyle name="Normal 2 5 2 36 2 3" xfId="5060" xr:uid="{8355D0D1-0F51-494F-B2A4-B3E6A549D85A}"/>
    <cellStyle name="Normal 2 5 2 36 2 3 2" xfId="13890" xr:uid="{BFD41E4A-E222-4613-AE52-450E0E8A3B36}"/>
    <cellStyle name="Normal 2 5 2 36 2 4" xfId="13888" xr:uid="{A6321719-D38C-41FC-88EA-F1EBD215808C}"/>
    <cellStyle name="Normal 2 5 2 36 3" xfId="5061" xr:uid="{A6797911-8051-45BB-9C87-FC400314DB2F}"/>
    <cellStyle name="Normal 2 5 2 36 3 2" xfId="13891" xr:uid="{0A9DA84E-7E48-4565-BA27-32A097DB9FDF}"/>
    <cellStyle name="Normal 2 5 2 36 4" xfId="5062" xr:uid="{E924BE78-E17A-442C-B581-9B408B3D0472}"/>
    <cellStyle name="Normal 2 5 2 36 4 2" xfId="13892" xr:uid="{DEAB726F-467E-484C-939D-0C43ED55EAD7}"/>
    <cellStyle name="Normal 2 5 2 36 5" xfId="13887" xr:uid="{B6D81A6E-8359-42AB-9185-9A6FA84C69C0}"/>
    <cellStyle name="Normal 2 5 2 37" xfId="5063" xr:uid="{74967C27-C113-44BD-93FE-9A0BA4F3CD0D}"/>
    <cellStyle name="Normal 2 5 2 37 2" xfId="5064" xr:uid="{4D0DCA78-70C4-4753-BC6C-4BC88BF99310}"/>
    <cellStyle name="Normal 2 5 2 37 2 2" xfId="5065" xr:uid="{C903261C-B563-4805-A2BC-B7DD731C8491}"/>
    <cellStyle name="Normal 2 5 2 37 2 2 2" xfId="13895" xr:uid="{40F941CA-4BE4-4BC5-BF67-AB5313997745}"/>
    <cellStyle name="Normal 2 5 2 37 2 3" xfId="5066" xr:uid="{ABFC5E00-A870-44AA-8247-434EC3B97D29}"/>
    <cellStyle name="Normal 2 5 2 37 2 3 2" xfId="13896" xr:uid="{42C8FFBA-4287-4F24-BC86-741C24F6BCFD}"/>
    <cellStyle name="Normal 2 5 2 37 2 4" xfId="13894" xr:uid="{38C6523C-EC4B-4232-B410-540A1CE1E07B}"/>
    <cellStyle name="Normal 2 5 2 37 3" xfId="5067" xr:uid="{9FB501A2-38BF-488B-8270-B4629993C297}"/>
    <cellStyle name="Normal 2 5 2 37 3 2" xfId="13897" xr:uid="{7A04AD5F-830A-4584-93EE-BD0DBA58F287}"/>
    <cellStyle name="Normal 2 5 2 37 4" xfId="5068" xr:uid="{5DF6AD42-4549-425E-8A92-BBB1DF027EA9}"/>
    <cellStyle name="Normal 2 5 2 37 4 2" xfId="13898" xr:uid="{320D734E-09B7-4811-8315-D7BDAE449E0F}"/>
    <cellStyle name="Normal 2 5 2 37 5" xfId="13893" xr:uid="{DD5DA422-874D-436F-BEF6-28FF2F2C1D32}"/>
    <cellStyle name="Normal 2 5 2 38" xfId="5069" xr:uid="{6090A374-1235-45AD-8968-3AF48FDCD8E8}"/>
    <cellStyle name="Normal 2 5 2 38 2" xfId="5070" xr:uid="{8B3207F9-1610-4860-8BAB-59F32C4A82F7}"/>
    <cellStyle name="Normal 2 5 2 38 2 2" xfId="5071" xr:uid="{62C21603-2CA5-4EB0-AF55-9907154F8183}"/>
    <cellStyle name="Normal 2 5 2 38 2 2 2" xfId="13901" xr:uid="{B1329826-9A56-4BAF-911F-9C3C7B67553A}"/>
    <cellStyle name="Normal 2 5 2 38 2 3" xfId="5072" xr:uid="{1C85AF70-1580-403C-B7A9-8A67316BF683}"/>
    <cellStyle name="Normal 2 5 2 38 2 3 2" xfId="13902" xr:uid="{C5766651-AE18-4D65-B0F3-C1480BF82284}"/>
    <cellStyle name="Normal 2 5 2 38 2 4" xfId="13900" xr:uid="{83DA4405-37FC-4600-8577-DD0293E67BCF}"/>
    <cellStyle name="Normal 2 5 2 38 3" xfId="5073" xr:uid="{22EF19F2-0C51-4BD3-A399-DCA63752FF2F}"/>
    <cellStyle name="Normal 2 5 2 38 3 2" xfId="13903" xr:uid="{C9A8B7D6-EE6F-4944-A2BD-12F77AB37649}"/>
    <cellStyle name="Normal 2 5 2 38 4" xfId="5074" xr:uid="{4A703B34-BE25-4948-BAA9-D527F7269015}"/>
    <cellStyle name="Normal 2 5 2 38 4 2" xfId="13904" xr:uid="{1C93A258-BA5A-4139-A1DF-7B3A9757E963}"/>
    <cellStyle name="Normal 2 5 2 38 5" xfId="13899" xr:uid="{3D2392F5-25AF-479D-BFE7-91F5EB0CE7F0}"/>
    <cellStyle name="Normal 2 5 2 39" xfId="5075" xr:uid="{DED75F31-15FF-4608-81E3-33125DE5B1C3}"/>
    <cellStyle name="Normal 2 5 2 39 2" xfId="5076" xr:uid="{0D0DAE8A-B3B1-4EF5-8CE9-C9327C1B8A78}"/>
    <cellStyle name="Normal 2 5 2 39 2 2" xfId="5077" xr:uid="{F05CD678-B153-48C3-A6CA-5282026887BC}"/>
    <cellStyle name="Normal 2 5 2 39 2 2 2" xfId="13907" xr:uid="{15ACDC0F-B55A-47B5-97C7-0E8900CE1D62}"/>
    <cellStyle name="Normal 2 5 2 39 2 3" xfId="5078" xr:uid="{9A4AF0D1-9A57-44F0-ABD8-548AE707A71C}"/>
    <cellStyle name="Normal 2 5 2 39 2 3 2" xfId="13908" xr:uid="{7A5E7352-4599-4366-8DBB-920357A14B07}"/>
    <cellStyle name="Normal 2 5 2 39 2 4" xfId="13906" xr:uid="{D8261F53-F930-4F30-A595-81E2928A4B60}"/>
    <cellStyle name="Normal 2 5 2 39 3" xfId="5079" xr:uid="{EF0F1D7A-BB20-45C5-A297-5FB26DCCA4E5}"/>
    <cellStyle name="Normal 2 5 2 39 3 2" xfId="13909" xr:uid="{1DE74485-F25E-428C-9809-50AE0F5ECCF1}"/>
    <cellStyle name="Normal 2 5 2 39 4" xfId="5080" xr:uid="{5DB4A3FB-8D81-4AEE-800F-9754CBE8CEAA}"/>
    <cellStyle name="Normal 2 5 2 39 4 2" xfId="13910" xr:uid="{FF4F2BB7-A65A-4F3E-91AA-580C6B5D50E4}"/>
    <cellStyle name="Normal 2 5 2 39 5" xfId="13905" xr:uid="{67E81E8D-65C5-4B0C-8CB3-C09598D67828}"/>
    <cellStyle name="Normal 2 5 2 4" xfId="5081" xr:uid="{86B9607D-A461-4CEB-B27C-89CD1E5BC0EA}"/>
    <cellStyle name="Normal 2 5 2 4 2" xfId="5082" xr:uid="{EBE67A09-2C41-4BA0-B80E-F5EB78689B82}"/>
    <cellStyle name="Normal 2 5 2 4 2 2" xfId="5083" xr:uid="{1F94063C-5692-439D-808F-93E8BD3CED50}"/>
    <cellStyle name="Normal 2 5 2 4 2 2 2" xfId="13913" xr:uid="{AEEF5621-6BA1-46B3-80D0-6DD3FA50A8CD}"/>
    <cellStyle name="Normal 2 5 2 4 2 3" xfId="5084" xr:uid="{E91898DE-BAE1-40C2-9BFC-958F6401A235}"/>
    <cellStyle name="Normal 2 5 2 4 2 3 2" xfId="13914" xr:uid="{C5B1B501-62EB-4FF8-B039-613F511424B6}"/>
    <cellStyle name="Normal 2 5 2 4 2 4" xfId="13912" xr:uid="{C9E5AD4E-F3C8-4352-BE6A-2F6C0D014353}"/>
    <cellStyle name="Normal 2 5 2 4 3" xfId="5085" xr:uid="{BBA45D95-707A-4B68-A420-94926447C92E}"/>
    <cellStyle name="Normal 2 5 2 4 3 2" xfId="13915" xr:uid="{B555A4D4-3A87-4E97-9976-11D3BCBD4290}"/>
    <cellStyle name="Normal 2 5 2 4 4" xfId="5086" xr:uid="{97497800-684B-40E1-9273-67609D1645B0}"/>
    <cellStyle name="Normal 2 5 2 4 4 2" xfId="13916" xr:uid="{2FC7C197-D8F7-46C4-83DE-923DDB40D0FB}"/>
    <cellStyle name="Normal 2 5 2 4 5" xfId="13911" xr:uid="{FD443F45-7340-47C3-BE0A-F7E2492DF50C}"/>
    <cellStyle name="Normal 2 5 2 40" xfId="5087" xr:uid="{A1F305D0-3A51-4B96-8B92-43D8C271993F}"/>
    <cellStyle name="Normal 2 5 2 40 2" xfId="5088" xr:uid="{F577DC93-B691-46B3-8C94-B17C8F41A6A8}"/>
    <cellStyle name="Normal 2 5 2 40 2 2" xfId="5089" xr:uid="{1FB88DC2-D901-4A12-BFA4-120C3CCD9FCA}"/>
    <cellStyle name="Normal 2 5 2 40 2 2 2" xfId="13919" xr:uid="{E7FEA05E-4C53-4EB6-83C4-4AFB01A2A6A7}"/>
    <cellStyle name="Normal 2 5 2 40 2 3" xfId="5090" xr:uid="{121F2963-195F-47F4-8F22-5F9B51C1C2A5}"/>
    <cellStyle name="Normal 2 5 2 40 2 3 2" xfId="13920" xr:uid="{308E813A-CCCD-4411-A155-8061B51E139D}"/>
    <cellStyle name="Normal 2 5 2 40 2 4" xfId="13918" xr:uid="{EE732C09-9A47-48F3-9E12-C074ABFB4C8A}"/>
    <cellStyle name="Normal 2 5 2 40 3" xfId="5091" xr:uid="{E1B58EB4-DF7A-4981-AE65-4DFC1DA567BC}"/>
    <cellStyle name="Normal 2 5 2 40 3 2" xfId="13921" xr:uid="{ABA6EEAD-7E2E-40EF-8E90-8BD705A15008}"/>
    <cellStyle name="Normal 2 5 2 40 4" xfId="5092" xr:uid="{AC213A53-4B7E-4797-A533-2157EAB94591}"/>
    <cellStyle name="Normal 2 5 2 40 4 2" xfId="13922" xr:uid="{BB566815-A29A-4A26-8E6C-BA8C5A19A6FF}"/>
    <cellStyle name="Normal 2 5 2 40 5" xfId="13917" xr:uid="{61979A07-7A92-48F5-A5B5-A2A5BBF83CF1}"/>
    <cellStyle name="Normal 2 5 2 41" xfId="5093" xr:uid="{0B3D67CF-F434-48D3-B3CC-1D14E3352074}"/>
    <cellStyle name="Normal 2 5 2 41 2" xfId="5094" xr:uid="{B00E17A9-52C6-47D0-BE7D-882E9CBE9DBF}"/>
    <cellStyle name="Normal 2 5 2 41 2 2" xfId="5095" xr:uid="{3BB1FBA9-383C-4F24-A831-49303FCFF6B8}"/>
    <cellStyle name="Normal 2 5 2 41 2 2 2" xfId="13925" xr:uid="{ACFE82C0-CE48-4DAE-BEB9-ACDAF82E6B4A}"/>
    <cellStyle name="Normal 2 5 2 41 2 3" xfId="5096" xr:uid="{162ACFCC-E1F8-4A14-9369-BBEA55FA62F9}"/>
    <cellStyle name="Normal 2 5 2 41 2 3 2" xfId="13926" xr:uid="{0FC21111-8C96-4605-929D-F2C52E898770}"/>
    <cellStyle name="Normal 2 5 2 41 2 4" xfId="13924" xr:uid="{61F8BD6F-6AC1-4C65-A771-204ADE0E6721}"/>
    <cellStyle name="Normal 2 5 2 41 3" xfId="5097" xr:uid="{FFA1E932-75A0-456C-8EB2-E6AA130F3F01}"/>
    <cellStyle name="Normal 2 5 2 41 3 2" xfId="13927" xr:uid="{E5A116E9-D896-4598-B036-5A3B2E24184F}"/>
    <cellStyle name="Normal 2 5 2 41 4" xfId="5098" xr:uid="{40F6307C-FC3F-41A5-AA66-F35224B18535}"/>
    <cellStyle name="Normal 2 5 2 41 4 2" xfId="13928" xr:uid="{3321917E-3B9F-456D-9C8D-AE635C8A38B1}"/>
    <cellStyle name="Normal 2 5 2 41 5" xfId="13923" xr:uid="{520BD4BB-A326-4BF0-8067-5BFAAC161357}"/>
    <cellStyle name="Normal 2 5 2 42" xfId="5099" xr:uid="{52D4DF61-C4DF-43D7-A414-DC0B42A3688F}"/>
    <cellStyle name="Normal 2 5 2 42 2" xfId="5100" xr:uid="{399C6467-D5E9-45D1-9AA0-6A5DC4072923}"/>
    <cellStyle name="Normal 2 5 2 42 2 2" xfId="5101" xr:uid="{B11C3922-4ED4-4A96-BCF8-C1F99986E340}"/>
    <cellStyle name="Normal 2 5 2 42 2 2 2" xfId="13931" xr:uid="{C19210B9-184F-4922-B062-19CB4427BDDB}"/>
    <cellStyle name="Normal 2 5 2 42 2 3" xfId="5102" xr:uid="{94FDFAAC-5729-4142-99F0-0F3CFC6D5809}"/>
    <cellStyle name="Normal 2 5 2 42 2 3 2" xfId="13932" xr:uid="{61DD0A75-43FF-4323-A3C7-14C626119F0D}"/>
    <cellStyle name="Normal 2 5 2 42 2 4" xfId="13930" xr:uid="{65FF507D-D27E-4FDA-A55C-956232F770A6}"/>
    <cellStyle name="Normal 2 5 2 42 3" xfId="5103" xr:uid="{3682052A-ADE8-4651-85C6-257093B841E9}"/>
    <cellStyle name="Normal 2 5 2 42 3 2" xfId="13933" xr:uid="{D2422BBC-53EF-4302-8B18-8C017BE3DC30}"/>
    <cellStyle name="Normal 2 5 2 42 4" xfId="5104" xr:uid="{5064983D-41AA-4A64-92B8-4F96D2ECA6EF}"/>
    <cellStyle name="Normal 2 5 2 42 4 2" xfId="13934" xr:uid="{D8252945-7DD4-4D6F-9F40-0B60712C0C4E}"/>
    <cellStyle name="Normal 2 5 2 42 5" xfId="13929" xr:uid="{27E9CA49-FF87-4099-B2BA-09190F10E6CA}"/>
    <cellStyle name="Normal 2 5 2 43" xfId="5105" xr:uid="{7D8174A4-06B9-4BE6-A092-17D4E6AE72E0}"/>
    <cellStyle name="Normal 2 5 2 43 2" xfId="5106" xr:uid="{2A30EFF5-22EA-42BE-AF72-91AA44092EC9}"/>
    <cellStyle name="Normal 2 5 2 43 2 2" xfId="5107" xr:uid="{45336F4F-01FD-43B3-BAF1-77DFE0A06211}"/>
    <cellStyle name="Normal 2 5 2 43 2 2 2" xfId="13937" xr:uid="{86A1E7F2-92A5-4520-9A16-C3812B756954}"/>
    <cellStyle name="Normal 2 5 2 43 2 3" xfId="5108" xr:uid="{3DDA2B4B-F37A-43C5-9D5A-783F9648FC3B}"/>
    <cellStyle name="Normal 2 5 2 43 2 3 2" xfId="13938" xr:uid="{274D048B-F578-4D9C-B760-98CE49E74456}"/>
    <cellStyle name="Normal 2 5 2 43 2 4" xfId="13936" xr:uid="{F9A11F3F-6A1B-400A-B05F-31EAED5CE61B}"/>
    <cellStyle name="Normal 2 5 2 43 3" xfId="5109" xr:uid="{1A76BCB8-C45C-4044-AB1F-DA903FD49F55}"/>
    <cellStyle name="Normal 2 5 2 43 3 2" xfId="13939" xr:uid="{DEF07229-F5BF-45A0-BA05-0DCB15B756AE}"/>
    <cellStyle name="Normal 2 5 2 43 4" xfId="5110" xr:uid="{0E82EFC2-06A5-4F69-A665-DED82D160F0A}"/>
    <cellStyle name="Normal 2 5 2 43 4 2" xfId="13940" xr:uid="{A3BFC67A-FC95-4519-862A-83B8EBD44F01}"/>
    <cellStyle name="Normal 2 5 2 43 5" xfId="13935" xr:uid="{D363DDCB-8972-49B5-810C-88DA11B1B169}"/>
    <cellStyle name="Normal 2 5 2 44" xfId="5111" xr:uid="{DD7B5FFC-341B-40BC-8C8A-E007543B3968}"/>
    <cellStyle name="Normal 2 5 2 44 2" xfId="5112" xr:uid="{868170DE-6E48-48AB-BF1B-EB5F0A9C9443}"/>
    <cellStyle name="Normal 2 5 2 44 2 2" xfId="13942" xr:uid="{D10CB93C-B66B-4264-AB34-FE6EDF16BA90}"/>
    <cellStyle name="Normal 2 5 2 44 3" xfId="5113" xr:uid="{D4FFA7B3-7363-46D8-806D-788CBB333572}"/>
    <cellStyle name="Normal 2 5 2 44 3 2" xfId="13943" xr:uid="{AB1E6E47-EB29-4C26-9A17-ADF2F539C731}"/>
    <cellStyle name="Normal 2 5 2 44 4" xfId="13941" xr:uid="{60026AC4-1E98-46E4-9F1F-7C6A044C74F3}"/>
    <cellStyle name="Normal 2 5 2 45" xfId="5114" xr:uid="{A8799D7E-2B17-4D21-93E4-AB4BA260BA45}"/>
    <cellStyle name="Normal 2 5 2 45 2" xfId="13944" xr:uid="{3BC7D915-18A7-4124-89B2-0A0562976FBB}"/>
    <cellStyle name="Normal 2 5 2 46" xfId="5115" xr:uid="{ADC17CE0-BB2B-48D3-BAB1-1D7BECFE313E}"/>
    <cellStyle name="Normal 2 5 2 46 2" xfId="13945" xr:uid="{E9E0B93D-DD6D-4AE7-BC92-B8D791FA67EF}"/>
    <cellStyle name="Normal 2 5 2 47" xfId="13718" xr:uid="{105BB5A9-DD71-43F8-9DA2-0AAF51E095DE}"/>
    <cellStyle name="Normal 2 5 2 5" xfId="5116" xr:uid="{6EAA770F-A76D-4506-93D8-39BB01D5B89C}"/>
    <cellStyle name="Normal 2 5 2 5 2" xfId="5117" xr:uid="{6CBFD637-0DFE-4FA7-BA33-3556CF612E44}"/>
    <cellStyle name="Normal 2 5 2 5 2 2" xfId="5118" xr:uid="{B1F00B0C-B3FE-45FC-A1F6-ACADE2386596}"/>
    <cellStyle name="Normal 2 5 2 5 2 2 2" xfId="13948" xr:uid="{D7184D65-BAD6-4E7A-910C-B5BE8C24A832}"/>
    <cellStyle name="Normal 2 5 2 5 2 3" xfId="5119" xr:uid="{1CEB8772-17EC-4A72-93C9-2D47C4BDEEB7}"/>
    <cellStyle name="Normal 2 5 2 5 2 3 2" xfId="13949" xr:uid="{FABB7363-B4D4-4435-A720-789E111F32E5}"/>
    <cellStyle name="Normal 2 5 2 5 2 4" xfId="13947" xr:uid="{A0D02BED-EBDA-4916-851A-83BD1EE731EB}"/>
    <cellStyle name="Normal 2 5 2 5 3" xfId="5120" xr:uid="{938B1694-F4FF-4788-AD53-3481B5BF6AFB}"/>
    <cellStyle name="Normal 2 5 2 5 3 2" xfId="13950" xr:uid="{BE3C9003-B95D-43BE-B7E5-AB36262791AD}"/>
    <cellStyle name="Normal 2 5 2 5 4" xfId="5121" xr:uid="{1DE6FD35-6E80-4AAC-B2ED-7AC23EF4193A}"/>
    <cellStyle name="Normal 2 5 2 5 4 2" xfId="13951" xr:uid="{0E79A8E7-28DA-40F5-B6B5-6E1D68B98882}"/>
    <cellStyle name="Normal 2 5 2 5 5" xfId="13946" xr:uid="{333A11BD-D594-44F9-92DA-3F5E67C27600}"/>
    <cellStyle name="Normal 2 5 2 6" xfId="5122" xr:uid="{DC9B78C1-685C-4421-8697-5DC762C72D2B}"/>
    <cellStyle name="Normal 2 5 2 6 2" xfId="5123" xr:uid="{C6D8FBE5-D18F-4895-A655-3C5DFEF38527}"/>
    <cellStyle name="Normal 2 5 2 6 2 2" xfId="5124" xr:uid="{BD836A39-98B2-476E-8970-F908C3F19188}"/>
    <cellStyle name="Normal 2 5 2 6 2 2 2" xfId="13954" xr:uid="{FE6EE57C-3CAF-43FF-9A32-3D9D8DD217A2}"/>
    <cellStyle name="Normal 2 5 2 6 2 3" xfId="5125" xr:uid="{05A47494-2B5C-4BA9-8229-33D579735789}"/>
    <cellStyle name="Normal 2 5 2 6 2 3 2" xfId="13955" xr:uid="{0CFF7B4A-982D-4A30-BF8B-DBC2A6EF31EF}"/>
    <cellStyle name="Normal 2 5 2 6 2 4" xfId="13953" xr:uid="{06F82647-81DA-420F-9F26-1EF47A021D73}"/>
    <cellStyle name="Normal 2 5 2 6 3" xfId="5126" xr:uid="{DA3FF612-2402-4044-B661-F53FE2315916}"/>
    <cellStyle name="Normal 2 5 2 6 3 2" xfId="13956" xr:uid="{5376638C-0345-40CD-B034-2DAC3AE73272}"/>
    <cellStyle name="Normal 2 5 2 6 4" xfId="5127" xr:uid="{49C64224-1DDF-4367-8E67-175DACF547FC}"/>
    <cellStyle name="Normal 2 5 2 6 4 2" xfId="13957" xr:uid="{D1CAAE30-C393-4E10-BDE6-CFB8468AF8BF}"/>
    <cellStyle name="Normal 2 5 2 6 5" xfId="13952" xr:uid="{A135EC1E-0527-45EA-8EA8-C0EEE528755C}"/>
    <cellStyle name="Normal 2 5 2 7" xfId="5128" xr:uid="{87DBBC61-742E-431D-9848-B04FB74AA63C}"/>
    <cellStyle name="Normal 2 5 2 7 2" xfId="5129" xr:uid="{4634BF44-1243-47EE-ACC7-424C191BC832}"/>
    <cellStyle name="Normal 2 5 2 7 2 2" xfId="5130" xr:uid="{67F9C4DF-5C6B-41BD-84CE-40027DE88526}"/>
    <cellStyle name="Normal 2 5 2 7 2 2 2" xfId="13960" xr:uid="{F7BB00D7-4CE1-4164-8E16-9C83A9A9AD4E}"/>
    <cellStyle name="Normal 2 5 2 7 2 3" xfId="5131" xr:uid="{77B74CB0-26A6-4C9D-911F-874CACBCA224}"/>
    <cellStyle name="Normal 2 5 2 7 2 3 2" xfId="13961" xr:uid="{5FC6D198-4ABD-4EC7-B816-74BF491BAC4B}"/>
    <cellStyle name="Normal 2 5 2 7 2 4" xfId="13959" xr:uid="{92C611C4-679A-4E92-9890-9BEC8A5F5AC5}"/>
    <cellStyle name="Normal 2 5 2 7 3" xfId="5132" xr:uid="{1BE9AEE5-342A-4AB1-AAA4-BE342515C4F4}"/>
    <cellStyle name="Normal 2 5 2 7 3 2" xfId="13962" xr:uid="{E86A8B60-D93F-4550-AB78-EE52292E600A}"/>
    <cellStyle name="Normal 2 5 2 7 4" xfId="5133" xr:uid="{3B19A8C2-F054-4CE7-9064-C4AFC0ECBFB3}"/>
    <cellStyle name="Normal 2 5 2 7 4 2" xfId="13963" xr:uid="{995E40F6-5779-4F52-BC98-85E11A1EB770}"/>
    <cellStyle name="Normal 2 5 2 7 5" xfId="13958" xr:uid="{731BAD81-7565-4037-B643-AEF335FFC4D7}"/>
    <cellStyle name="Normal 2 5 2 8" xfId="5134" xr:uid="{C70ADAEF-CF2C-4215-AD75-F8A0EB3FE93E}"/>
    <cellStyle name="Normal 2 5 2 8 2" xfId="5135" xr:uid="{9A98599C-58D3-41E2-ADDF-5EFC50AC7260}"/>
    <cellStyle name="Normal 2 5 2 8 2 2" xfId="5136" xr:uid="{B331DC68-298B-4E09-B9E2-9CA5316328BB}"/>
    <cellStyle name="Normal 2 5 2 8 2 2 2" xfId="13966" xr:uid="{1A0AD712-56B3-405D-BB51-2E72C6FF2D02}"/>
    <cellStyle name="Normal 2 5 2 8 2 3" xfId="5137" xr:uid="{F442515D-722D-4CC7-B82D-DD841C3C2AC5}"/>
    <cellStyle name="Normal 2 5 2 8 2 3 2" xfId="13967" xr:uid="{3485B204-283D-4C84-82B2-E5BDE3452FBC}"/>
    <cellStyle name="Normal 2 5 2 8 2 4" xfId="13965" xr:uid="{30DE9B75-EA7E-4C9B-94B6-44598FF537AD}"/>
    <cellStyle name="Normal 2 5 2 8 3" xfId="5138" xr:uid="{39359B6E-ED18-4E73-BFE8-EBEED1183625}"/>
    <cellStyle name="Normal 2 5 2 8 3 2" xfId="13968" xr:uid="{89FA611F-1E43-4500-B806-549058DB3AF0}"/>
    <cellStyle name="Normal 2 5 2 8 4" xfId="5139" xr:uid="{D591B460-1BC6-4FE4-BF20-A917E1C4582D}"/>
    <cellStyle name="Normal 2 5 2 8 4 2" xfId="13969" xr:uid="{33A25994-3A9E-4EF2-8BFE-3E0AEED07BE6}"/>
    <cellStyle name="Normal 2 5 2 8 5" xfId="13964" xr:uid="{78FA8AF6-9FAC-4D04-BE18-46A56C81472F}"/>
    <cellStyle name="Normal 2 5 2 9" xfId="5140" xr:uid="{D5CAF604-13E9-4B26-B903-1E0FC5FE3704}"/>
    <cellStyle name="Normal 2 5 2 9 2" xfId="5141" xr:uid="{7AC5DC36-869A-413A-85E7-EF53B183AA35}"/>
    <cellStyle name="Normal 2 5 2 9 2 2" xfId="5142" xr:uid="{197FFD22-3783-435B-AD0B-65EBA9CCBA3F}"/>
    <cellStyle name="Normal 2 5 2 9 2 2 2" xfId="13972" xr:uid="{F746ADCC-3BED-4F9D-ACC0-F098CDA9F54C}"/>
    <cellStyle name="Normal 2 5 2 9 2 3" xfId="5143" xr:uid="{34B1A9C7-86D2-4454-967F-22425D6A688E}"/>
    <cellStyle name="Normal 2 5 2 9 2 3 2" xfId="13973" xr:uid="{7E5F7B11-55E0-4867-8F64-55C4AAA7FE4A}"/>
    <cellStyle name="Normal 2 5 2 9 2 4" xfId="13971" xr:uid="{515A8627-D2FA-4594-93AF-17CFD495B671}"/>
    <cellStyle name="Normal 2 5 2 9 3" xfId="5144" xr:uid="{FEBE52B5-01B8-4D13-BAF3-5DDDAE6A56F1}"/>
    <cellStyle name="Normal 2 5 2 9 3 2" xfId="13974" xr:uid="{A08696F0-0207-4330-8CDF-00F82FC5E486}"/>
    <cellStyle name="Normal 2 5 2 9 4" xfId="5145" xr:uid="{7F0E9309-6C38-417E-B25C-4133A18B6E1A}"/>
    <cellStyle name="Normal 2 5 2 9 4 2" xfId="13975" xr:uid="{B47CA509-6F16-49FE-9220-C38206A1442B}"/>
    <cellStyle name="Normal 2 5 2 9 5" xfId="13970" xr:uid="{EFD5231A-AE74-4C3D-9FF4-B156C9BAC73B}"/>
    <cellStyle name="Normal 2 5 20" xfId="5146" xr:uid="{E3B32901-7B11-4CA0-B0EE-52BAADEE315E}"/>
    <cellStyle name="Normal 2 5 20 2" xfId="5147" xr:uid="{D1FEA24D-72FD-4857-BDFD-F1091F2A5C33}"/>
    <cellStyle name="Normal 2 5 20 2 2" xfId="5148" xr:uid="{E114B1AC-96E5-42F7-9BC6-05EAC8F0B224}"/>
    <cellStyle name="Normal 2 5 20 2 2 2" xfId="13978" xr:uid="{B7D8BF0C-55AF-4BFD-83DD-F7968FDD5852}"/>
    <cellStyle name="Normal 2 5 20 2 3" xfId="5149" xr:uid="{2DEA1AFE-4EA6-4045-AA78-2BE2E8831062}"/>
    <cellStyle name="Normal 2 5 20 2 3 2" xfId="13979" xr:uid="{8FB1530C-93E3-4271-8F08-6B27CA1B8922}"/>
    <cellStyle name="Normal 2 5 20 2 4" xfId="13977" xr:uid="{94FDEB2B-A37E-4782-9183-A1A98C6BC4FD}"/>
    <cellStyle name="Normal 2 5 20 3" xfId="5150" xr:uid="{6C6C8127-5BC6-4CA5-8564-08A2B394112F}"/>
    <cellStyle name="Normal 2 5 20 3 2" xfId="13980" xr:uid="{2E1EF0C0-C3BD-4B18-ABDA-77A401E8C8B4}"/>
    <cellStyle name="Normal 2 5 20 4" xfId="5151" xr:uid="{EDE8B254-710F-4C8A-B1C0-864CEB2E004E}"/>
    <cellStyle name="Normal 2 5 20 4 2" xfId="13981" xr:uid="{FC95DFC4-BD39-4367-9889-29C9835B0E65}"/>
    <cellStyle name="Normal 2 5 20 5" xfId="13976" xr:uid="{291C9539-EB16-416F-AA2B-543211F76A0F}"/>
    <cellStyle name="Normal 2 5 21" xfId="5152" xr:uid="{CA7D346D-9FF9-412D-BD79-A71380BEF4D6}"/>
    <cellStyle name="Normal 2 5 21 2" xfId="5153" xr:uid="{9084BAA3-3AB5-419F-B4FE-F1C5F97AB129}"/>
    <cellStyle name="Normal 2 5 21 2 2" xfId="5154" xr:uid="{88B590BE-D21F-423F-B39B-84CFF2DE1B62}"/>
    <cellStyle name="Normal 2 5 21 2 2 2" xfId="13984" xr:uid="{0EB71515-8A10-4DE5-8222-05AFAD744831}"/>
    <cellStyle name="Normal 2 5 21 2 3" xfId="5155" xr:uid="{889B7157-8AAE-4508-A978-A497DD9963BA}"/>
    <cellStyle name="Normal 2 5 21 2 3 2" xfId="13985" xr:uid="{0CFA5758-45D8-4A03-AE5C-CACCC2703F32}"/>
    <cellStyle name="Normal 2 5 21 2 4" xfId="13983" xr:uid="{9D058C92-7DE7-4232-BD45-0385A58B8A8A}"/>
    <cellStyle name="Normal 2 5 21 3" xfId="5156" xr:uid="{21F84C37-B21D-4C4C-B520-9AD8DA2955D6}"/>
    <cellStyle name="Normal 2 5 21 3 2" xfId="13986" xr:uid="{FE7994D2-FE26-4D83-B65D-E3117BF8483C}"/>
    <cellStyle name="Normal 2 5 21 4" xfId="5157" xr:uid="{A7983DF4-704B-432A-B0FA-A3DE79F034CD}"/>
    <cellStyle name="Normal 2 5 21 4 2" xfId="13987" xr:uid="{22BB1CB9-5350-422B-A6F8-11B821406757}"/>
    <cellStyle name="Normal 2 5 21 5" xfId="13982" xr:uid="{74B4E2DE-3CA4-4B96-B4BA-C29196E35ABF}"/>
    <cellStyle name="Normal 2 5 22" xfId="5158" xr:uid="{EA388388-9417-4DAE-9EF5-8A088E8BC51C}"/>
    <cellStyle name="Normal 2 5 22 2" xfId="5159" xr:uid="{B5E08023-0C8A-425F-A8C9-877AD36DD568}"/>
    <cellStyle name="Normal 2 5 22 2 2" xfId="5160" xr:uid="{6A9C85C1-A766-4877-B058-26838570A606}"/>
    <cellStyle name="Normal 2 5 22 2 2 2" xfId="13990" xr:uid="{82970C59-51B8-4656-9782-01CFC7E1466A}"/>
    <cellStyle name="Normal 2 5 22 2 3" xfId="5161" xr:uid="{DE5BF3D7-C37C-404F-AD24-6ECBB5C88C16}"/>
    <cellStyle name="Normal 2 5 22 2 3 2" xfId="13991" xr:uid="{3558AA2B-2E7F-4BC1-BA34-3A2D80E6B921}"/>
    <cellStyle name="Normal 2 5 22 2 4" xfId="13989" xr:uid="{B4CF3575-8F7F-49E9-9C20-83B6B7CC7461}"/>
    <cellStyle name="Normal 2 5 22 3" xfId="5162" xr:uid="{02B030CF-7002-4EC1-81BC-B3AD9302F8FB}"/>
    <cellStyle name="Normal 2 5 22 3 2" xfId="13992" xr:uid="{D43948EE-6FBD-4BF5-B334-CBFC6FB74BEE}"/>
    <cellStyle name="Normal 2 5 22 4" xfId="5163" xr:uid="{33C9D247-C7B2-4229-9836-75B41F8E08ED}"/>
    <cellStyle name="Normal 2 5 22 4 2" xfId="13993" xr:uid="{D53EB4EC-CB77-4F1D-AD17-6B19B6237D02}"/>
    <cellStyle name="Normal 2 5 22 5" xfId="13988" xr:uid="{83321535-7C8B-4F12-A6B9-83A73F563CB3}"/>
    <cellStyle name="Normal 2 5 23" xfId="5164" xr:uid="{DD8A33FB-CDDB-4E87-A136-0A5D679BA3C8}"/>
    <cellStyle name="Normal 2 5 23 2" xfId="5165" xr:uid="{F1BC10C1-DA7F-47A7-8DF2-317D22F7E00E}"/>
    <cellStyle name="Normal 2 5 23 2 2" xfId="5166" xr:uid="{2FD581C9-A42C-463B-B424-E6D0B5189FB2}"/>
    <cellStyle name="Normal 2 5 23 2 2 2" xfId="13996" xr:uid="{7E22CDC1-1C9B-4286-AE35-58B9DF64DA1C}"/>
    <cellStyle name="Normal 2 5 23 2 3" xfId="5167" xr:uid="{0104D402-90AC-4ABB-BD4E-E1E4087372BD}"/>
    <cellStyle name="Normal 2 5 23 2 3 2" xfId="13997" xr:uid="{96AC2BE6-2607-4A52-86A2-6C1E84C7BE92}"/>
    <cellStyle name="Normal 2 5 23 2 4" xfId="13995" xr:uid="{8ECDDDE2-EFC1-4B1B-B99D-F38183EEB5A7}"/>
    <cellStyle name="Normal 2 5 23 3" xfId="5168" xr:uid="{35B88CF7-1072-4C05-BF64-F7E9835B6070}"/>
    <cellStyle name="Normal 2 5 23 3 2" xfId="13998" xr:uid="{7F15D56E-DFBC-4EC5-9593-1803C7D27BE5}"/>
    <cellStyle name="Normal 2 5 23 4" xfId="5169" xr:uid="{CAD96250-B61F-4A14-9CA0-BAF4FCF70C62}"/>
    <cellStyle name="Normal 2 5 23 4 2" xfId="13999" xr:uid="{98DCBE49-BD2E-442B-A72E-E9FA41A8592B}"/>
    <cellStyle name="Normal 2 5 23 5" xfId="13994" xr:uid="{0626F2C9-9AEA-4254-B312-673063DFD358}"/>
    <cellStyle name="Normal 2 5 24" xfId="5170" xr:uid="{C65A050C-6D02-4926-BCF1-90AE9DBC9F31}"/>
    <cellStyle name="Normal 2 5 24 2" xfId="5171" xr:uid="{E8A36E09-3811-4C90-8524-79104BACE24C}"/>
    <cellStyle name="Normal 2 5 24 2 2" xfId="5172" xr:uid="{EC68DDD8-FF2B-4A2C-AE8C-45B7CC68B33A}"/>
    <cellStyle name="Normal 2 5 24 2 2 2" xfId="14002" xr:uid="{96D39BA4-3AC7-4B71-A19B-C5AEA797FD67}"/>
    <cellStyle name="Normal 2 5 24 2 3" xfId="5173" xr:uid="{0A6CA5A4-B068-4B6D-8336-445E4CDEB28A}"/>
    <cellStyle name="Normal 2 5 24 2 3 2" xfId="14003" xr:uid="{99C190EC-6909-4E5A-B344-DAE70D8573EF}"/>
    <cellStyle name="Normal 2 5 24 2 4" xfId="14001" xr:uid="{3B29E078-C31C-46CF-8994-3016778AB7E2}"/>
    <cellStyle name="Normal 2 5 24 3" xfId="5174" xr:uid="{1B3EC3BF-7870-47BD-A527-74BEE0E10152}"/>
    <cellStyle name="Normal 2 5 24 3 2" xfId="14004" xr:uid="{D50A1C90-C309-42DE-8EFA-057914FCC480}"/>
    <cellStyle name="Normal 2 5 24 4" xfId="5175" xr:uid="{339873A8-E024-4A83-A174-5CAEFBBF1D52}"/>
    <cellStyle name="Normal 2 5 24 4 2" xfId="14005" xr:uid="{F3EF847C-351D-46FC-BE5F-985246AFEA36}"/>
    <cellStyle name="Normal 2 5 24 5" xfId="14000" xr:uid="{4AFF5ACD-F94D-4E0D-91FC-20391876D684}"/>
    <cellStyle name="Normal 2 5 25" xfId="5176" xr:uid="{F5E0FB90-F6F9-4615-8FA2-F9C34F4EDB0B}"/>
    <cellStyle name="Normal 2 5 25 2" xfId="5177" xr:uid="{04CF964D-EC8D-435E-9BC1-4647F492C3D5}"/>
    <cellStyle name="Normal 2 5 25 2 2" xfId="5178" xr:uid="{5BEADB5B-830E-412A-A190-8EF92DB94699}"/>
    <cellStyle name="Normal 2 5 25 2 2 2" xfId="14008" xr:uid="{131575AA-0546-44F0-8CB3-5130DAF6BA84}"/>
    <cellStyle name="Normal 2 5 25 2 3" xfId="5179" xr:uid="{595B884A-7ADD-4A3B-9C09-616C0F641AA0}"/>
    <cellStyle name="Normal 2 5 25 2 3 2" xfId="14009" xr:uid="{FD41B3C0-CDEC-4381-8CA2-8AD9264C77DA}"/>
    <cellStyle name="Normal 2 5 25 2 4" xfId="14007" xr:uid="{2C4FA0CB-36D6-4194-8136-44EA53DF6BEC}"/>
    <cellStyle name="Normal 2 5 25 3" xfId="5180" xr:uid="{F2F9AED6-87D0-4921-993E-2D6ADF6468E5}"/>
    <cellStyle name="Normal 2 5 25 3 2" xfId="14010" xr:uid="{BE0BD89F-21AB-4337-8296-41124662976F}"/>
    <cellStyle name="Normal 2 5 25 4" xfId="5181" xr:uid="{9EA3EF45-62C0-4914-9259-015FCA4C5C78}"/>
    <cellStyle name="Normal 2 5 25 4 2" xfId="14011" xr:uid="{322CD062-498C-4DA2-B129-BF94F0194489}"/>
    <cellStyle name="Normal 2 5 25 5" xfId="14006" xr:uid="{7698B3E4-4BFC-4C68-90DD-FCD70B007979}"/>
    <cellStyle name="Normal 2 5 26" xfId="5182" xr:uid="{CA9CEA96-9C9F-4302-BD11-1CA4BDA5F189}"/>
    <cellStyle name="Normal 2 5 26 2" xfId="5183" xr:uid="{CC3112B2-07A7-404F-9A0B-1ACB3A620B96}"/>
    <cellStyle name="Normal 2 5 26 2 2" xfId="5184" xr:uid="{24A83976-D28C-4442-8FBA-D512D9C9A11E}"/>
    <cellStyle name="Normal 2 5 26 2 2 2" xfId="14014" xr:uid="{35C1C387-7B10-4871-88E1-29910EA87479}"/>
    <cellStyle name="Normal 2 5 26 2 3" xfId="5185" xr:uid="{611E4822-7492-49D6-82B0-D5F854916650}"/>
    <cellStyle name="Normal 2 5 26 2 3 2" xfId="14015" xr:uid="{722FD8F3-73B3-4E79-BBD7-A3CB7B90EB0E}"/>
    <cellStyle name="Normal 2 5 26 2 4" xfId="14013" xr:uid="{4E4A7630-77EE-4666-9C7B-7354E787F857}"/>
    <cellStyle name="Normal 2 5 26 3" xfId="5186" xr:uid="{E2943E8C-93AF-45E9-832A-0A0242A46D3B}"/>
    <cellStyle name="Normal 2 5 26 3 2" xfId="14016" xr:uid="{45E135A9-A8A4-464F-8BF3-4EA0B1077339}"/>
    <cellStyle name="Normal 2 5 26 4" xfId="5187" xr:uid="{3A7F8F11-106B-405C-9B24-E78F10259E26}"/>
    <cellStyle name="Normal 2 5 26 4 2" xfId="14017" xr:uid="{B9E57B26-BBA5-4E6E-BC88-0217C2188ACC}"/>
    <cellStyle name="Normal 2 5 26 5" xfId="14012" xr:uid="{F6EE885E-47C9-4727-9C0D-0832AAA8FF77}"/>
    <cellStyle name="Normal 2 5 27" xfId="5188" xr:uid="{183D423D-BB28-49E5-8192-EE1BD600E734}"/>
    <cellStyle name="Normal 2 5 27 2" xfId="5189" xr:uid="{06E6E518-B647-4BCE-98AF-AA529E46FD8F}"/>
    <cellStyle name="Normal 2 5 27 2 2" xfId="5190" xr:uid="{83F517D8-8FA1-4991-81D2-41C8FBA2DFAE}"/>
    <cellStyle name="Normal 2 5 27 2 2 2" xfId="14020" xr:uid="{AF4A2D3A-0573-4636-8CC5-137E469BCEFB}"/>
    <cellStyle name="Normal 2 5 27 2 3" xfId="5191" xr:uid="{D43C6E15-B47F-4D17-9D7D-654EF6F48E16}"/>
    <cellStyle name="Normal 2 5 27 2 3 2" xfId="14021" xr:uid="{72B2C87F-5D0E-4C6E-A00A-56295F6EAB19}"/>
    <cellStyle name="Normal 2 5 27 2 4" xfId="14019" xr:uid="{B39EFE28-FCCB-472B-9B99-C832FB3A4B66}"/>
    <cellStyle name="Normal 2 5 27 3" xfId="5192" xr:uid="{99F16798-404C-46FE-900A-7EB79EB66393}"/>
    <cellStyle name="Normal 2 5 27 3 2" xfId="14022" xr:uid="{3C7DA15B-AD25-4635-B8FA-D873D16321A5}"/>
    <cellStyle name="Normal 2 5 27 4" xfId="5193" xr:uid="{E08AFAF6-A574-4764-952C-3A747C4A4E50}"/>
    <cellStyle name="Normal 2 5 27 4 2" xfId="14023" xr:uid="{D6C953FA-C453-48DA-B372-D804A7D584D0}"/>
    <cellStyle name="Normal 2 5 27 5" xfId="14018" xr:uid="{F74BA76D-A515-4A08-91F3-7AC49C8F607A}"/>
    <cellStyle name="Normal 2 5 28" xfId="5194" xr:uid="{F1488F7C-E89E-475B-9827-97C417E0B4AE}"/>
    <cellStyle name="Normal 2 5 28 2" xfId="5195" xr:uid="{9F55F387-8FB1-405E-8AB1-C3C6E286A273}"/>
    <cellStyle name="Normal 2 5 28 2 2" xfId="5196" xr:uid="{A1689D3B-BBF3-4B77-AE82-BEAD2655076A}"/>
    <cellStyle name="Normal 2 5 28 2 2 2" xfId="14026" xr:uid="{7AF76548-8504-4617-9CF5-6FDE7776B9D6}"/>
    <cellStyle name="Normal 2 5 28 2 3" xfId="5197" xr:uid="{B12AB171-2FB2-4E05-8466-E09177BCF69A}"/>
    <cellStyle name="Normal 2 5 28 2 3 2" xfId="14027" xr:uid="{F22E1221-E660-4FFD-9792-DC10713F3BFF}"/>
    <cellStyle name="Normal 2 5 28 2 4" xfId="14025" xr:uid="{C0152DB8-04F9-4408-9F29-04E5E03984FE}"/>
    <cellStyle name="Normal 2 5 28 3" xfId="5198" xr:uid="{9E55DBD5-2DAB-46A4-8B8A-62509558B191}"/>
    <cellStyle name="Normal 2 5 28 3 2" xfId="14028" xr:uid="{24D6428A-E1FA-4ACE-889F-E94A1C19E628}"/>
    <cellStyle name="Normal 2 5 28 4" xfId="5199" xr:uid="{3E2D61FD-E79E-4300-B694-42A7FED4F9DF}"/>
    <cellStyle name="Normal 2 5 28 4 2" xfId="14029" xr:uid="{706142FB-606D-4866-810C-0C9A89857EFB}"/>
    <cellStyle name="Normal 2 5 28 5" xfId="14024" xr:uid="{B323FF8F-1840-4886-9AFB-B91EB4ABF1C4}"/>
    <cellStyle name="Normal 2 5 29" xfId="5200" xr:uid="{4D683A54-1FBD-412B-80C0-3AC8FF715D39}"/>
    <cellStyle name="Normal 2 5 29 2" xfId="5201" xr:uid="{59EC2098-E365-4BF6-9AA4-69A1EA946BBA}"/>
    <cellStyle name="Normal 2 5 29 2 2" xfId="5202" xr:uid="{A1E829AD-EDB2-4DEB-8616-5BCDA9B85072}"/>
    <cellStyle name="Normal 2 5 29 2 2 2" xfId="14032" xr:uid="{99FEC6AF-EDAF-47FD-9723-4936A6DF5CDA}"/>
    <cellStyle name="Normal 2 5 29 2 3" xfId="5203" xr:uid="{CCD7E5DA-5969-41D6-8FD4-6B53F86BD5BC}"/>
    <cellStyle name="Normal 2 5 29 2 3 2" xfId="14033" xr:uid="{241E36A1-387C-47D5-8F4D-A4B787FFCF0A}"/>
    <cellStyle name="Normal 2 5 29 2 4" xfId="14031" xr:uid="{DBB04CD6-398A-4669-84EB-58FF4F1EBDC8}"/>
    <cellStyle name="Normal 2 5 29 3" xfId="5204" xr:uid="{C8B96A81-5C0C-45BF-BA0C-3A14D1827674}"/>
    <cellStyle name="Normal 2 5 29 3 2" xfId="14034" xr:uid="{85EFC20F-F63C-4107-906A-5DC5C4F43E6E}"/>
    <cellStyle name="Normal 2 5 29 4" xfId="5205" xr:uid="{DF8A5459-FF78-4B02-9079-C26EA92EE461}"/>
    <cellStyle name="Normal 2 5 29 4 2" xfId="14035" xr:uid="{D4C3BE09-9CC6-468F-9A6C-61D5B130A967}"/>
    <cellStyle name="Normal 2 5 29 5" xfId="14030" xr:uid="{6CF3AF84-37B3-43B9-8EA5-AAE5E09BDDD2}"/>
    <cellStyle name="Normal 2 5 3" xfId="5206" xr:uid="{BE33C9C1-E1BA-490E-97E6-D99D35496DC8}"/>
    <cellStyle name="Normal 2 5 3 10" xfId="5207" xr:uid="{5D1151E7-EAA1-4B82-8CF0-8CE86074DCB5}"/>
    <cellStyle name="Normal 2 5 3 10 2" xfId="5208" xr:uid="{B5886114-7C1E-4670-BCA5-2968884E6354}"/>
    <cellStyle name="Normal 2 5 3 10 2 2" xfId="5209" xr:uid="{BC4874D7-6B69-4766-8BC0-A727614F21C1}"/>
    <cellStyle name="Normal 2 5 3 10 2 2 2" xfId="14039" xr:uid="{B4D6CE78-273C-45D4-81D7-CB178639AB8A}"/>
    <cellStyle name="Normal 2 5 3 10 2 3" xfId="5210" xr:uid="{481BE0E4-AC70-450B-91C8-61C315D20ED7}"/>
    <cellStyle name="Normal 2 5 3 10 2 3 2" xfId="14040" xr:uid="{185F6D7B-2B9E-45EC-B20E-322ADB5E8974}"/>
    <cellStyle name="Normal 2 5 3 10 2 4" xfId="14038" xr:uid="{FCECF4DF-1E26-490C-AFB2-68F4D0DD9C7B}"/>
    <cellStyle name="Normal 2 5 3 10 3" xfId="5211" xr:uid="{A36A9D55-E1DD-4CA0-958E-3A3B6BD23C19}"/>
    <cellStyle name="Normal 2 5 3 10 3 2" xfId="14041" xr:uid="{F1B7E645-FA14-44FF-B33D-488B0BE8B8A1}"/>
    <cellStyle name="Normal 2 5 3 10 4" xfId="5212" xr:uid="{46E0BCB8-AEB5-414C-9B14-7128C2A6582E}"/>
    <cellStyle name="Normal 2 5 3 10 4 2" xfId="14042" xr:uid="{389ABD4A-BB92-4B3B-8DD7-AF905AB43EC5}"/>
    <cellStyle name="Normal 2 5 3 10 5" xfId="14037" xr:uid="{62893739-80AE-43E8-8FC9-978DEECDC676}"/>
    <cellStyle name="Normal 2 5 3 11" xfId="5213" xr:uid="{A8D95F86-C586-43AE-9B86-E503355AD159}"/>
    <cellStyle name="Normal 2 5 3 11 2" xfId="5214" xr:uid="{26F18DF5-32A8-41E6-84E5-3C6EB073C396}"/>
    <cellStyle name="Normal 2 5 3 11 2 2" xfId="5215" xr:uid="{DE5DE019-351B-4BE8-A888-0AE60C5719FB}"/>
    <cellStyle name="Normal 2 5 3 11 2 2 2" xfId="14045" xr:uid="{53C237F5-356E-4D58-96DD-A54B5B734B53}"/>
    <cellStyle name="Normal 2 5 3 11 2 3" xfId="5216" xr:uid="{A8E5C5B8-F3F4-4CE2-A669-CF2F5EC93DCC}"/>
    <cellStyle name="Normal 2 5 3 11 2 3 2" xfId="14046" xr:uid="{84D9A553-DA2D-4DD6-B324-4152729F38A7}"/>
    <cellStyle name="Normal 2 5 3 11 2 4" xfId="14044" xr:uid="{395D0826-AB5B-4C16-B04C-52031002130C}"/>
    <cellStyle name="Normal 2 5 3 11 3" xfId="5217" xr:uid="{E626AA57-F9A0-4092-8122-7F5B71C1B72B}"/>
    <cellStyle name="Normal 2 5 3 11 3 2" xfId="14047" xr:uid="{C27C19DB-A6B8-47D7-AD27-BEA82691DE79}"/>
    <cellStyle name="Normal 2 5 3 11 4" xfId="5218" xr:uid="{4D906C36-3B5B-4DFA-A4DD-FC6E1B95C069}"/>
    <cellStyle name="Normal 2 5 3 11 4 2" xfId="14048" xr:uid="{5A62E11B-E380-4904-ADA4-4BA098CA90CD}"/>
    <cellStyle name="Normal 2 5 3 11 5" xfId="14043" xr:uid="{BDC4B30C-D3DF-438D-B984-8BA9E0215A28}"/>
    <cellStyle name="Normal 2 5 3 12" xfId="5219" xr:uid="{AEA2E6DF-EE0D-45F9-BD58-CC6AC7B5990C}"/>
    <cellStyle name="Normal 2 5 3 12 2" xfId="5220" xr:uid="{98E65557-311D-46C6-9CEF-D11042862D1F}"/>
    <cellStyle name="Normal 2 5 3 12 2 2" xfId="5221" xr:uid="{AA01CA8D-1CBE-4F37-95DE-B5B530AA5B62}"/>
    <cellStyle name="Normal 2 5 3 12 2 2 2" xfId="14051" xr:uid="{4FD072FA-2770-4AA4-8E25-931345288E5C}"/>
    <cellStyle name="Normal 2 5 3 12 2 3" xfId="5222" xr:uid="{A802983D-67B4-4C02-A54B-1D87653A5D09}"/>
    <cellStyle name="Normal 2 5 3 12 2 3 2" xfId="14052" xr:uid="{5BF0FB11-0B41-46B4-83C9-59E7EEACCB38}"/>
    <cellStyle name="Normal 2 5 3 12 2 4" xfId="14050" xr:uid="{8F77D680-11AF-4F82-8BA2-B6C7CCEF4775}"/>
    <cellStyle name="Normal 2 5 3 12 3" xfId="5223" xr:uid="{12F1A020-A08C-433C-8633-BE7E5CE4A2F8}"/>
    <cellStyle name="Normal 2 5 3 12 3 2" xfId="14053" xr:uid="{357103B6-BA9A-4ED6-847A-68BB7184C99B}"/>
    <cellStyle name="Normal 2 5 3 12 4" xfId="5224" xr:uid="{55C90C14-056E-4F15-85B5-3EA58F3D9AB4}"/>
    <cellStyle name="Normal 2 5 3 12 4 2" xfId="14054" xr:uid="{A3B9CF69-4EAC-4813-B722-C09DE110BD90}"/>
    <cellStyle name="Normal 2 5 3 12 5" xfId="14049" xr:uid="{69338129-D227-401A-A866-AAC1213DB947}"/>
    <cellStyle name="Normal 2 5 3 13" xfId="5225" xr:uid="{6CA4D0AD-676E-4256-B09C-59A7AB1CBE82}"/>
    <cellStyle name="Normal 2 5 3 13 2" xfId="5226" xr:uid="{086144A4-48CC-44E0-B400-A0BFC1DC5BA6}"/>
    <cellStyle name="Normal 2 5 3 13 2 2" xfId="5227" xr:uid="{17120498-87CE-4821-A4D0-F1C7C9B30304}"/>
    <cellStyle name="Normal 2 5 3 13 2 2 2" xfId="14057" xr:uid="{2E1081BF-E0ED-45DE-A750-6F87B28B42DC}"/>
    <cellStyle name="Normal 2 5 3 13 2 3" xfId="5228" xr:uid="{B379F622-CF7D-44DA-848B-F417A6C53AB8}"/>
    <cellStyle name="Normal 2 5 3 13 2 3 2" xfId="14058" xr:uid="{1A84EB21-66D1-40A1-8F59-2E4B68C92A02}"/>
    <cellStyle name="Normal 2 5 3 13 2 4" xfId="14056" xr:uid="{B72E27F3-3FE6-4D10-B24D-907BB698B5F8}"/>
    <cellStyle name="Normal 2 5 3 13 3" xfId="5229" xr:uid="{AA2360C7-667A-44EB-98F7-15C912BA9126}"/>
    <cellStyle name="Normal 2 5 3 13 3 2" xfId="14059" xr:uid="{626BD30F-AD18-41CE-B5B4-7C1A3D5D3362}"/>
    <cellStyle name="Normal 2 5 3 13 4" xfId="5230" xr:uid="{903A55CC-DEBA-45A7-B642-79766D74689B}"/>
    <cellStyle name="Normal 2 5 3 13 4 2" xfId="14060" xr:uid="{3925A5C1-FF05-470F-A753-0D8944E2F61C}"/>
    <cellStyle name="Normal 2 5 3 13 5" xfId="14055" xr:uid="{7B5EC973-0006-449A-8982-DFEF32971978}"/>
    <cellStyle name="Normal 2 5 3 14" xfId="5231" xr:uid="{EA22D0EA-8530-4718-8099-5557D7C4DB5C}"/>
    <cellStyle name="Normal 2 5 3 14 2" xfId="5232" xr:uid="{F0595AD1-AF56-45AA-8EBE-EBFF6C82B5A1}"/>
    <cellStyle name="Normal 2 5 3 14 2 2" xfId="5233" xr:uid="{087E3F41-B007-49F2-8F22-C391E8F7AFDC}"/>
    <cellStyle name="Normal 2 5 3 14 2 2 2" xfId="14063" xr:uid="{4A268F51-EE8A-4D77-A7B4-F955F87D4367}"/>
    <cellStyle name="Normal 2 5 3 14 2 3" xfId="5234" xr:uid="{9754096E-5911-4BE6-A41B-522750097598}"/>
    <cellStyle name="Normal 2 5 3 14 2 3 2" xfId="14064" xr:uid="{C1060782-A678-4EDF-BC30-4D1CF1D9F7E6}"/>
    <cellStyle name="Normal 2 5 3 14 2 4" xfId="14062" xr:uid="{7F2D6B9D-EAEC-47A4-8D7A-DF252C1ACFE1}"/>
    <cellStyle name="Normal 2 5 3 14 3" xfId="5235" xr:uid="{37541285-54E7-409E-80CC-E0FCB4D29A54}"/>
    <cellStyle name="Normal 2 5 3 14 3 2" xfId="14065" xr:uid="{61098775-0986-41C7-9541-E617E8A899A2}"/>
    <cellStyle name="Normal 2 5 3 14 4" xfId="5236" xr:uid="{BB7F29BD-E89A-4089-904C-CBA62475E75F}"/>
    <cellStyle name="Normal 2 5 3 14 4 2" xfId="14066" xr:uid="{D4F45AB3-9E51-44EA-ACB0-558A29DD132F}"/>
    <cellStyle name="Normal 2 5 3 14 5" xfId="14061" xr:uid="{7F30FCF8-6AB9-497D-B444-1C5615C00EBE}"/>
    <cellStyle name="Normal 2 5 3 15" xfId="5237" xr:uid="{519FEBBB-44E1-43B2-8E97-F2421489EE60}"/>
    <cellStyle name="Normal 2 5 3 15 2" xfId="5238" xr:uid="{F36C5582-2159-45A9-B624-C4E41C195F30}"/>
    <cellStyle name="Normal 2 5 3 15 2 2" xfId="5239" xr:uid="{C0E92114-8688-49AC-887B-73D72E0D71F6}"/>
    <cellStyle name="Normal 2 5 3 15 2 2 2" xfId="14069" xr:uid="{8FA38E59-6884-498E-9BBC-8A4F1E257872}"/>
    <cellStyle name="Normal 2 5 3 15 2 3" xfId="5240" xr:uid="{4411D2A6-EAC7-4911-A624-481EE0FA4E90}"/>
    <cellStyle name="Normal 2 5 3 15 2 3 2" xfId="14070" xr:uid="{F360BEBC-ECAB-45AB-8EE5-1C5DF4A77B7F}"/>
    <cellStyle name="Normal 2 5 3 15 2 4" xfId="14068" xr:uid="{DD19F0E1-CC7F-4204-8B43-E1C7B471D931}"/>
    <cellStyle name="Normal 2 5 3 15 3" xfId="5241" xr:uid="{CEE3BF5A-47CC-4E22-9A56-0528A7A62A68}"/>
    <cellStyle name="Normal 2 5 3 15 3 2" xfId="14071" xr:uid="{F26771C6-7CA4-4CB0-94AA-7CAEA6E5C9C2}"/>
    <cellStyle name="Normal 2 5 3 15 4" xfId="5242" xr:uid="{950221BC-ED1E-49C5-A12F-D093EF5D4303}"/>
    <cellStyle name="Normal 2 5 3 15 4 2" xfId="14072" xr:uid="{BEE1C715-85D5-4F53-B885-55D8224933A3}"/>
    <cellStyle name="Normal 2 5 3 15 5" xfId="14067" xr:uid="{F19EBC3C-839D-48F9-B01E-20A578558827}"/>
    <cellStyle name="Normal 2 5 3 16" xfId="5243" xr:uid="{57E66A47-83DC-4290-AB83-6A5613594491}"/>
    <cellStyle name="Normal 2 5 3 16 2" xfId="5244" xr:uid="{CF77F757-2469-477E-80D6-96AA04E559A9}"/>
    <cellStyle name="Normal 2 5 3 16 2 2" xfId="5245" xr:uid="{BB1C5326-FB17-4D50-A5B0-4E40E960FA1A}"/>
    <cellStyle name="Normal 2 5 3 16 2 2 2" xfId="14075" xr:uid="{1490542D-2EB8-4395-AB35-BF6BFE3D692D}"/>
    <cellStyle name="Normal 2 5 3 16 2 3" xfId="5246" xr:uid="{E257570D-E276-4ADB-9756-A7FC5CD42969}"/>
    <cellStyle name="Normal 2 5 3 16 2 3 2" xfId="14076" xr:uid="{68794E51-90F9-431D-A0DA-1A8522A0FF57}"/>
    <cellStyle name="Normal 2 5 3 16 2 4" xfId="14074" xr:uid="{C045237D-B002-4450-8E53-864B2981EAAD}"/>
    <cellStyle name="Normal 2 5 3 16 3" xfId="5247" xr:uid="{F45439CA-3826-4CE2-BEF8-5AD1E95C03CB}"/>
    <cellStyle name="Normal 2 5 3 16 3 2" xfId="14077" xr:uid="{17D61955-B959-4834-84B1-79145FE62999}"/>
    <cellStyle name="Normal 2 5 3 16 4" xfId="5248" xr:uid="{42DE33E0-5395-4C15-AA58-45A1998FB5EB}"/>
    <cellStyle name="Normal 2 5 3 16 4 2" xfId="14078" xr:uid="{A7B9305E-B313-4BAB-A4CF-BDC595FC5B7B}"/>
    <cellStyle name="Normal 2 5 3 16 5" xfId="14073" xr:uid="{0A72743D-4228-41B6-A0C5-229A0E6ED6A0}"/>
    <cellStyle name="Normal 2 5 3 17" xfId="5249" xr:uid="{F6822B01-BD88-4D49-9030-45A9E9C40C04}"/>
    <cellStyle name="Normal 2 5 3 17 2" xfId="5250" xr:uid="{EF0BCD1F-A5D5-439F-B0C9-E707A1705B9D}"/>
    <cellStyle name="Normal 2 5 3 17 2 2" xfId="5251" xr:uid="{DB048774-AE18-4711-8C34-91E1B41BA5BB}"/>
    <cellStyle name="Normal 2 5 3 17 2 2 2" xfId="14081" xr:uid="{607CB624-D768-4B47-88C2-14699C4FDE83}"/>
    <cellStyle name="Normal 2 5 3 17 2 3" xfId="5252" xr:uid="{027CF1C5-95B3-46D0-9F7B-50C5FFBC0B1C}"/>
    <cellStyle name="Normal 2 5 3 17 2 3 2" xfId="14082" xr:uid="{F4A3BF87-4F69-480F-BD58-EE52BAE67212}"/>
    <cellStyle name="Normal 2 5 3 17 2 4" xfId="14080" xr:uid="{6E186690-BB25-4227-8253-64451A88067A}"/>
    <cellStyle name="Normal 2 5 3 17 3" xfId="5253" xr:uid="{ADBB51A0-0901-48E2-ADFC-0FA279396CF0}"/>
    <cellStyle name="Normal 2 5 3 17 3 2" xfId="14083" xr:uid="{CD46464D-C524-4A7C-AD9E-3E1729A50590}"/>
    <cellStyle name="Normal 2 5 3 17 4" xfId="5254" xr:uid="{952B87B3-7802-41B7-810B-C43F41164EF4}"/>
    <cellStyle name="Normal 2 5 3 17 4 2" xfId="14084" xr:uid="{D496F516-160E-4767-973D-490BEB3C031C}"/>
    <cellStyle name="Normal 2 5 3 17 5" xfId="14079" xr:uid="{E779524A-FD41-4DE5-A3B0-C26627E50C27}"/>
    <cellStyle name="Normal 2 5 3 18" xfId="5255" xr:uid="{D984C2EB-FD64-4F7D-9F87-459E6FF6F895}"/>
    <cellStyle name="Normal 2 5 3 18 2" xfId="5256" xr:uid="{C1E55F49-9B54-482C-8318-19A117F970BC}"/>
    <cellStyle name="Normal 2 5 3 18 2 2" xfId="5257" xr:uid="{52DC3DFB-9E76-4E9F-ACC3-8BB37CBDB015}"/>
    <cellStyle name="Normal 2 5 3 18 2 2 2" xfId="14087" xr:uid="{0AA161AB-74ED-4E82-82F2-A214B64DCF54}"/>
    <cellStyle name="Normal 2 5 3 18 2 3" xfId="5258" xr:uid="{F96AEE18-135F-4E04-9C70-33C744F28618}"/>
    <cellStyle name="Normal 2 5 3 18 2 3 2" xfId="14088" xr:uid="{3EF96BB5-1995-46B8-B101-D12D0BAC876E}"/>
    <cellStyle name="Normal 2 5 3 18 2 4" xfId="14086" xr:uid="{550BE391-4BE4-4B28-8C2F-6A4F003ED8AF}"/>
    <cellStyle name="Normal 2 5 3 18 3" xfId="5259" xr:uid="{89DF0CB7-F5E9-4304-B009-4D207C32E056}"/>
    <cellStyle name="Normal 2 5 3 18 3 2" xfId="14089" xr:uid="{E38FF9CB-CA39-4594-9685-AD18C44BAC0B}"/>
    <cellStyle name="Normal 2 5 3 18 4" xfId="5260" xr:uid="{8EB48EF1-D600-45E1-8798-F7A4A0DE6F23}"/>
    <cellStyle name="Normal 2 5 3 18 4 2" xfId="14090" xr:uid="{C3372952-5407-4786-ADF9-A75682A67EB6}"/>
    <cellStyle name="Normal 2 5 3 18 5" xfId="14085" xr:uid="{83A3B2EA-1C15-4492-9FB6-85E20C9DC2C0}"/>
    <cellStyle name="Normal 2 5 3 19" xfId="5261" xr:uid="{BE5246AB-05A7-426D-A59E-B13372D86FD8}"/>
    <cellStyle name="Normal 2 5 3 19 2" xfId="5262" xr:uid="{0573EECA-5CB0-4FFF-B8CD-A4479D101A8B}"/>
    <cellStyle name="Normal 2 5 3 19 2 2" xfId="5263" xr:uid="{496B9770-57D2-4EA9-9838-DD684D1CE88C}"/>
    <cellStyle name="Normal 2 5 3 19 2 2 2" xfId="14093" xr:uid="{86870F82-5FD4-4A46-A273-5BA288BAA5EC}"/>
    <cellStyle name="Normal 2 5 3 19 2 3" xfId="5264" xr:uid="{720A692D-AC2B-4DA2-AD70-784E191D19D5}"/>
    <cellStyle name="Normal 2 5 3 19 2 3 2" xfId="14094" xr:uid="{D2818345-2C77-4A1C-91C3-78FEC2382F36}"/>
    <cellStyle name="Normal 2 5 3 19 2 4" xfId="14092" xr:uid="{C0AD7ED9-3434-4F11-A5C2-C6C29AB18AB2}"/>
    <cellStyle name="Normal 2 5 3 19 3" xfId="5265" xr:uid="{73C31713-4567-4944-AE32-B42E668E115C}"/>
    <cellStyle name="Normal 2 5 3 19 3 2" xfId="14095" xr:uid="{E51B48C7-3399-4F0D-B349-2A73E2ACFF99}"/>
    <cellStyle name="Normal 2 5 3 19 4" xfId="5266" xr:uid="{E82235E1-E32C-4C0E-9CEC-EBB63E22FBB6}"/>
    <cellStyle name="Normal 2 5 3 19 4 2" xfId="14096" xr:uid="{6B05E015-D46B-4BAA-9E2C-F7285A2ECC83}"/>
    <cellStyle name="Normal 2 5 3 19 5" xfId="14091" xr:uid="{793F060A-71C0-40C8-8EA5-61B6A8498706}"/>
    <cellStyle name="Normal 2 5 3 2" xfId="5267" xr:uid="{68B15C25-8949-4907-AD28-30906AEA69D9}"/>
    <cellStyle name="Normal 2 5 3 2 2" xfId="5268" xr:uid="{2C0404FA-CF5F-46E3-9847-59BAB84C5239}"/>
    <cellStyle name="Normal 2 5 3 2 2 2" xfId="5269" xr:uid="{632B907C-98F3-4082-9829-C4A453E95010}"/>
    <cellStyle name="Normal 2 5 3 2 2 2 2" xfId="14099" xr:uid="{11E092C9-2C41-4AAC-8545-6F252793D0A8}"/>
    <cellStyle name="Normal 2 5 3 2 2 3" xfId="5270" xr:uid="{7145A339-BB54-492B-B84B-AD2F682CA9F5}"/>
    <cellStyle name="Normal 2 5 3 2 2 3 2" xfId="14100" xr:uid="{CACBCBF5-E9D2-430D-8595-06B8CB46E962}"/>
    <cellStyle name="Normal 2 5 3 2 2 4" xfId="14098" xr:uid="{93FA4D2F-4340-448D-A53A-6C4B5F2690D7}"/>
    <cellStyle name="Normal 2 5 3 2 3" xfId="5271" xr:uid="{C6325E62-2604-46EB-8E21-400047377CBF}"/>
    <cellStyle name="Normal 2 5 3 2 3 2" xfId="14101" xr:uid="{23AE79C5-7480-4261-BA55-988AAA66022C}"/>
    <cellStyle name="Normal 2 5 3 2 4" xfId="5272" xr:uid="{485BB2BF-E0B3-4C57-A934-96D511EA1FC5}"/>
    <cellStyle name="Normal 2 5 3 2 4 2" xfId="14102" xr:uid="{27EC69CF-4858-41BE-B8D7-B1460B9E2869}"/>
    <cellStyle name="Normal 2 5 3 2 5" xfId="14097" xr:uid="{90638B0A-1D8B-482B-B3A6-090949C7BB8C}"/>
    <cellStyle name="Normal 2 5 3 20" xfId="5273" xr:uid="{11629C62-D771-4BB8-8463-BF27A4FA1459}"/>
    <cellStyle name="Normal 2 5 3 20 2" xfId="5274" xr:uid="{B485AFE4-029C-4A7F-A80D-CAE74149B880}"/>
    <cellStyle name="Normal 2 5 3 20 2 2" xfId="5275" xr:uid="{5E319CB5-F48B-483A-BA61-7D8D965CE44C}"/>
    <cellStyle name="Normal 2 5 3 20 2 2 2" xfId="14105" xr:uid="{DE9AE45C-8235-451A-B1C4-5B099F056B66}"/>
    <cellStyle name="Normal 2 5 3 20 2 3" xfId="5276" xr:uid="{96B9620B-6AFD-43E7-93AC-088582ED7BC2}"/>
    <cellStyle name="Normal 2 5 3 20 2 3 2" xfId="14106" xr:uid="{3E3DEF20-5F20-4EF9-9F33-7AE18C1EE616}"/>
    <cellStyle name="Normal 2 5 3 20 2 4" xfId="14104" xr:uid="{69CE0672-0836-484D-93F7-F90664FB75ED}"/>
    <cellStyle name="Normal 2 5 3 20 3" xfId="5277" xr:uid="{08591903-FDBE-4C84-AB84-53B1D17CF11D}"/>
    <cellStyle name="Normal 2 5 3 20 3 2" xfId="14107" xr:uid="{A8326AFF-2526-4FCD-A944-C5266F555076}"/>
    <cellStyle name="Normal 2 5 3 20 4" xfId="5278" xr:uid="{B9B9C42B-BA9A-4F2A-A8E3-351131E2EFF5}"/>
    <cellStyle name="Normal 2 5 3 20 4 2" xfId="14108" xr:uid="{FA9DCEE2-F3B0-47D3-B618-0AC25AFE668F}"/>
    <cellStyle name="Normal 2 5 3 20 5" xfId="14103" xr:uid="{C101ED10-6DED-418D-866E-5C098E2E56CB}"/>
    <cellStyle name="Normal 2 5 3 21" xfId="5279" xr:uid="{CA508E15-33E8-4AAA-B6A4-9A046D1943AA}"/>
    <cellStyle name="Normal 2 5 3 21 2" xfId="5280" xr:uid="{05177941-7E54-4DD9-B567-ACBA94BBBC3A}"/>
    <cellStyle name="Normal 2 5 3 21 2 2" xfId="5281" xr:uid="{40F49094-F801-438A-9CD3-EEDDBB0FA390}"/>
    <cellStyle name="Normal 2 5 3 21 2 2 2" xfId="14111" xr:uid="{318F27EC-5636-4AA4-AB36-F7E20A2844D8}"/>
    <cellStyle name="Normal 2 5 3 21 2 3" xfId="5282" xr:uid="{131F761C-1B90-4880-8139-BB0FABB3DDAF}"/>
    <cellStyle name="Normal 2 5 3 21 2 3 2" xfId="14112" xr:uid="{7D439AA4-B072-4CFC-8E44-E3B6E4AB0ED3}"/>
    <cellStyle name="Normal 2 5 3 21 2 4" xfId="14110" xr:uid="{2A29492F-33DC-4177-BB8B-BEB1957FF2FC}"/>
    <cellStyle name="Normal 2 5 3 21 3" xfId="5283" xr:uid="{384DFB37-671A-4A5A-BEC9-86F735552D09}"/>
    <cellStyle name="Normal 2 5 3 21 3 2" xfId="14113" xr:uid="{A77CEBCB-D96A-40C4-A301-16F88EF7C2B6}"/>
    <cellStyle name="Normal 2 5 3 21 4" xfId="5284" xr:uid="{D09F80D0-864E-4AB6-8278-57737BAC703D}"/>
    <cellStyle name="Normal 2 5 3 21 4 2" xfId="14114" xr:uid="{31AA05C7-5B15-4E56-8A58-3868F778EC46}"/>
    <cellStyle name="Normal 2 5 3 21 5" xfId="14109" xr:uid="{BBA84A77-21F4-4771-A3BD-0A72C09DF294}"/>
    <cellStyle name="Normal 2 5 3 22" xfId="5285" xr:uid="{77EFF733-E82E-4E8C-A0FC-83CCC1084B00}"/>
    <cellStyle name="Normal 2 5 3 22 2" xfId="5286" xr:uid="{5E416D34-06E0-48CC-8B28-B27F68BFCEFD}"/>
    <cellStyle name="Normal 2 5 3 22 2 2" xfId="5287" xr:uid="{06F4E772-7F6A-49C7-8700-42AEBCC1E05C}"/>
    <cellStyle name="Normal 2 5 3 22 2 2 2" xfId="14117" xr:uid="{0331A5BB-6681-40D6-A07D-E7656AC6144E}"/>
    <cellStyle name="Normal 2 5 3 22 2 3" xfId="5288" xr:uid="{C0866986-A683-459D-B614-42D3A1ADB699}"/>
    <cellStyle name="Normal 2 5 3 22 2 3 2" xfId="14118" xr:uid="{F61D5339-F985-4C31-8714-1D926C6E8294}"/>
    <cellStyle name="Normal 2 5 3 22 2 4" xfId="14116" xr:uid="{2663BDAB-C0BD-45E1-A982-758FC1077A81}"/>
    <cellStyle name="Normal 2 5 3 22 3" xfId="5289" xr:uid="{D1940641-2703-474F-B0FF-347B9104E31C}"/>
    <cellStyle name="Normal 2 5 3 22 3 2" xfId="14119" xr:uid="{6594F9E6-0D3D-43C3-9A10-A585707B33A5}"/>
    <cellStyle name="Normal 2 5 3 22 4" xfId="5290" xr:uid="{EC314180-2B88-465D-8B76-FF1A08EAE57D}"/>
    <cellStyle name="Normal 2 5 3 22 4 2" xfId="14120" xr:uid="{612E0DDC-7C7C-477E-8346-713987F69AA0}"/>
    <cellStyle name="Normal 2 5 3 22 5" xfId="14115" xr:uid="{DACE956D-1A8D-4C57-9EBF-6AF11A020242}"/>
    <cellStyle name="Normal 2 5 3 23" xfId="5291" xr:uid="{0B533693-BA07-4A55-9F21-A29463ECA35F}"/>
    <cellStyle name="Normal 2 5 3 23 2" xfId="5292" xr:uid="{11DC120B-3B00-4FA8-9B5F-68411AC9B9AB}"/>
    <cellStyle name="Normal 2 5 3 23 2 2" xfId="5293" xr:uid="{5DD6EFD8-1E0A-4502-AD80-981C6E2EE54E}"/>
    <cellStyle name="Normal 2 5 3 23 2 2 2" xfId="14123" xr:uid="{C2CDC40A-0852-45D3-AA17-F590E3D38C10}"/>
    <cellStyle name="Normal 2 5 3 23 2 3" xfId="5294" xr:uid="{5382F6D7-0786-4E00-97A2-6B24C15F3D13}"/>
    <cellStyle name="Normal 2 5 3 23 2 3 2" xfId="14124" xr:uid="{87D94C51-9E71-4027-BFD9-5730243F8869}"/>
    <cellStyle name="Normal 2 5 3 23 2 4" xfId="14122" xr:uid="{5584D552-49C8-4697-B06B-39500B84AB12}"/>
    <cellStyle name="Normal 2 5 3 23 3" xfId="5295" xr:uid="{EF8D6BAD-B910-49B6-BAE7-72E7A25C5DCA}"/>
    <cellStyle name="Normal 2 5 3 23 3 2" xfId="14125" xr:uid="{D9FDC942-FCC6-42BC-B18E-1DFAD91F1FB2}"/>
    <cellStyle name="Normal 2 5 3 23 4" xfId="5296" xr:uid="{03799A20-C7DD-4985-8738-BDBD0DF38C9C}"/>
    <cellStyle name="Normal 2 5 3 23 4 2" xfId="14126" xr:uid="{349026B8-112C-4CD4-92EC-3E711ED79EDC}"/>
    <cellStyle name="Normal 2 5 3 23 5" xfId="14121" xr:uid="{753C7DDF-A502-414C-B236-ABD7573D89FA}"/>
    <cellStyle name="Normal 2 5 3 24" xfId="5297" xr:uid="{6876AD3D-9148-49DD-B2C7-72EDF626E5E1}"/>
    <cellStyle name="Normal 2 5 3 24 2" xfId="5298" xr:uid="{82BC0142-DF1E-4773-B00D-F64796A4A25C}"/>
    <cellStyle name="Normal 2 5 3 24 2 2" xfId="5299" xr:uid="{D3AC1EBE-4F8F-4F87-9B04-C7B3421578D3}"/>
    <cellStyle name="Normal 2 5 3 24 2 2 2" xfId="14129" xr:uid="{19E6557E-A5CB-441F-B960-3F859B92F841}"/>
    <cellStyle name="Normal 2 5 3 24 2 3" xfId="5300" xr:uid="{CB40BF4D-2CCB-4F60-BCD3-23BD37E9DDBA}"/>
    <cellStyle name="Normal 2 5 3 24 2 3 2" xfId="14130" xr:uid="{64F4889A-C30A-4F8D-A472-787F806ADBC5}"/>
    <cellStyle name="Normal 2 5 3 24 2 4" xfId="14128" xr:uid="{F9C051CC-F835-48F6-9120-A12F4B038FEB}"/>
    <cellStyle name="Normal 2 5 3 24 3" xfId="5301" xr:uid="{5A973307-0DE3-4AAF-A821-AC8D3CA19745}"/>
    <cellStyle name="Normal 2 5 3 24 3 2" xfId="14131" xr:uid="{330B8A9F-76E4-4866-9212-8494AEEC64AA}"/>
    <cellStyle name="Normal 2 5 3 24 4" xfId="5302" xr:uid="{49FC8D15-257F-422A-884B-2BD1CB62732E}"/>
    <cellStyle name="Normal 2 5 3 24 4 2" xfId="14132" xr:uid="{8342A4A4-2B79-443D-B295-D599F0CD9463}"/>
    <cellStyle name="Normal 2 5 3 24 5" xfId="14127" xr:uid="{99C3C8DD-1942-43D4-A31B-EAE27987D369}"/>
    <cellStyle name="Normal 2 5 3 25" xfId="5303" xr:uid="{61228808-CD33-4FB5-80F3-94E8F878187E}"/>
    <cellStyle name="Normal 2 5 3 25 2" xfId="5304" xr:uid="{210B796C-0B21-471F-A579-AF09FCED46A0}"/>
    <cellStyle name="Normal 2 5 3 25 2 2" xfId="5305" xr:uid="{4F0E5CEF-DA14-48A3-AE98-E039084892AB}"/>
    <cellStyle name="Normal 2 5 3 25 2 2 2" xfId="14135" xr:uid="{306E7585-E610-4514-80C7-2FE245A02B0D}"/>
    <cellStyle name="Normal 2 5 3 25 2 3" xfId="5306" xr:uid="{ECC6523E-F78F-4BCB-B8B8-1DF19E691311}"/>
    <cellStyle name="Normal 2 5 3 25 2 3 2" xfId="14136" xr:uid="{698871D7-1A0B-48ED-9EB5-CE4BB92F4D87}"/>
    <cellStyle name="Normal 2 5 3 25 2 4" xfId="14134" xr:uid="{E7B51C01-5FA9-40EC-892D-AE9C31C7F915}"/>
    <cellStyle name="Normal 2 5 3 25 3" xfId="5307" xr:uid="{FEEFFABC-36DC-430E-A509-3B81B1975141}"/>
    <cellStyle name="Normal 2 5 3 25 3 2" xfId="14137" xr:uid="{7BD12C4E-AF69-4620-BF7E-7D80A9C4FC79}"/>
    <cellStyle name="Normal 2 5 3 25 4" xfId="5308" xr:uid="{0D338D48-1816-4E4F-9AA5-34524EFF2D2F}"/>
    <cellStyle name="Normal 2 5 3 25 4 2" xfId="14138" xr:uid="{F159CA7D-A94D-49EE-A835-0DBBF6535F9A}"/>
    <cellStyle name="Normal 2 5 3 25 5" xfId="14133" xr:uid="{E534DDDA-469B-4745-8A3D-93F9D7ADFF73}"/>
    <cellStyle name="Normal 2 5 3 26" xfId="5309" xr:uid="{DDBA2C6F-E5E6-4790-B253-824C95C4017D}"/>
    <cellStyle name="Normal 2 5 3 26 2" xfId="5310" xr:uid="{D9D7A2A2-77ED-4C28-8884-2A30B37D5F8C}"/>
    <cellStyle name="Normal 2 5 3 26 2 2" xfId="5311" xr:uid="{04FB9CFD-448E-494D-8000-6CEC0BF7A4FB}"/>
    <cellStyle name="Normal 2 5 3 26 2 2 2" xfId="14141" xr:uid="{815E991D-732E-449F-BBF6-FA83B7D7977C}"/>
    <cellStyle name="Normal 2 5 3 26 2 3" xfId="5312" xr:uid="{557D7A31-0ED6-433A-9C6F-7535BB78308A}"/>
    <cellStyle name="Normal 2 5 3 26 2 3 2" xfId="14142" xr:uid="{65E4FA31-62E6-4A77-A707-909908021639}"/>
    <cellStyle name="Normal 2 5 3 26 2 4" xfId="14140" xr:uid="{A0E2408C-4346-435A-85A0-5BC6566CB008}"/>
    <cellStyle name="Normal 2 5 3 26 3" xfId="5313" xr:uid="{FE76B898-2BD8-4498-8030-F5FACDCD57DC}"/>
    <cellStyle name="Normal 2 5 3 26 3 2" xfId="14143" xr:uid="{FC76A055-6B0D-474F-87A7-FF84C6E466F1}"/>
    <cellStyle name="Normal 2 5 3 26 4" xfId="5314" xr:uid="{F8AB3A87-2DD1-42A3-AF18-EE5F56C115B6}"/>
    <cellStyle name="Normal 2 5 3 26 4 2" xfId="14144" xr:uid="{F993438D-99F4-44A5-8F3C-E85AE03ED625}"/>
    <cellStyle name="Normal 2 5 3 26 5" xfId="14139" xr:uid="{1026851B-1A91-4C10-B102-D949119FBD4E}"/>
    <cellStyle name="Normal 2 5 3 27" xfId="5315" xr:uid="{5075700C-2C42-46E7-8D8A-6842882388B8}"/>
    <cellStyle name="Normal 2 5 3 27 2" xfId="5316" xr:uid="{C4E48632-B07B-47C6-8F75-B97AF2D864F6}"/>
    <cellStyle name="Normal 2 5 3 27 2 2" xfId="5317" xr:uid="{054DA693-40A9-45CC-8BC7-D2EB621B3322}"/>
    <cellStyle name="Normal 2 5 3 27 2 2 2" xfId="14147" xr:uid="{B4BFAEAE-C5F6-48FF-8E5A-330A8AA40E03}"/>
    <cellStyle name="Normal 2 5 3 27 2 3" xfId="5318" xr:uid="{08BE3338-1B86-4EB0-8ED9-68F6638F790F}"/>
    <cellStyle name="Normal 2 5 3 27 2 3 2" xfId="14148" xr:uid="{D4BBDE11-FC6D-4F7D-96FC-101578FBA082}"/>
    <cellStyle name="Normal 2 5 3 27 2 4" xfId="14146" xr:uid="{049549F1-71B4-495F-B61D-4C7B1CD9BA83}"/>
    <cellStyle name="Normal 2 5 3 27 3" xfId="5319" xr:uid="{485442C2-7956-4EDE-AC29-49A9E5EA6C08}"/>
    <cellStyle name="Normal 2 5 3 27 3 2" xfId="14149" xr:uid="{FCB99369-B0A9-4F11-AB42-AEEFD15E8165}"/>
    <cellStyle name="Normal 2 5 3 27 4" xfId="5320" xr:uid="{DD8B1CA9-45AE-4F4C-8097-533B853DB1D9}"/>
    <cellStyle name="Normal 2 5 3 27 4 2" xfId="14150" xr:uid="{21076653-DCB8-422F-BC0D-46627E023FC8}"/>
    <cellStyle name="Normal 2 5 3 27 5" xfId="14145" xr:uid="{8C0447E6-4639-44DB-B30A-6FF1FF073FA8}"/>
    <cellStyle name="Normal 2 5 3 28" xfId="5321" xr:uid="{37A1A182-D764-40CA-BAFA-5E84A5D40898}"/>
    <cellStyle name="Normal 2 5 3 28 2" xfId="5322" xr:uid="{701D46AB-13E6-41F1-BF24-EAE4C2E8BE69}"/>
    <cellStyle name="Normal 2 5 3 28 2 2" xfId="5323" xr:uid="{CB32B8DF-FB99-4A2C-A3F4-DB3BE9A442A7}"/>
    <cellStyle name="Normal 2 5 3 28 2 2 2" xfId="14153" xr:uid="{C9E7B7BA-0990-43B3-8996-C37D88D47FEC}"/>
    <cellStyle name="Normal 2 5 3 28 2 3" xfId="5324" xr:uid="{28DF316E-56A3-447B-90C5-30A1BB112422}"/>
    <cellStyle name="Normal 2 5 3 28 2 3 2" xfId="14154" xr:uid="{1FFFE383-D621-43DB-95CF-2F51EA8A4C79}"/>
    <cellStyle name="Normal 2 5 3 28 2 4" xfId="14152" xr:uid="{533E8EDB-473F-45F9-850C-51B1B0E6A65A}"/>
    <cellStyle name="Normal 2 5 3 28 3" xfId="5325" xr:uid="{B90CA18F-5753-420B-BD64-C6B88DD597D3}"/>
    <cellStyle name="Normal 2 5 3 28 3 2" xfId="14155" xr:uid="{5D3EF1B4-D8E6-4ACC-9AC7-30A142B5DCE9}"/>
    <cellStyle name="Normal 2 5 3 28 4" xfId="5326" xr:uid="{54780F2B-74D6-4D6E-A8D4-1C1F67B0DDCD}"/>
    <cellStyle name="Normal 2 5 3 28 4 2" xfId="14156" xr:uid="{D4C4BAE3-E117-4894-8553-BDF642A1565E}"/>
    <cellStyle name="Normal 2 5 3 28 5" xfId="14151" xr:uid="{DA87EE32-BB84-49AE-8268-E719FC3FA06E}"/>
    <cellStyle name="Normal 2 5 3 29" xfId="5327" xr:uid="{DB567DDF-A811-4344-B4DF-6F428D63B105}"/>
    <cellStyle name="Normal 2 5 3 29 2" xfId="5328" xr:uid="{687D9B2B-4E79-44A8-B816-67A1588C62B3}"/>
    <cellStyle name="Normal 2 5 3 29 2 2" xfId="5329" xr:uid="{9674C481-B5CD-48B0-A182-A19E8103EABE}"/>
    <cellStyle name="Normal 2 5 3 29 2 2 2" xfId="14159" xr:uid="{63029A1A-D038-43BF-B470-672D4C26381A}"/>
    <cellStyle name="Normal 2 5 3 29 2 3" xfId="5330" xr:uid="{D5D6F7CD-B4B0-4117-AD57-1AFD06A7B925}"/>
    <cellStyle name="Normal 2 5 3 29 2 3 2" xfId="14160" xr:uid="{812703D3-B00E-4DEE-90CB-6C2099450022}"/>
    <cellStyle name="Normal 2 5 3 29 2 4" xfId="14158" xr:uid="{CC7090B2-7306-4AD9-BD1E-A4C9B4B27792}"/>
    <cellStyle name="Normal 2 5 3 29 3" xfId="5331" xr:uid="{DDACD462-6F89-451E-8C95-326A7AA22CC6}"/>
    <cellStyle name="Normal 2 5 3 29 3 2" xfId="14161" xr:uid="{AC4B7656-7E79-4187-A9D4-6E578A573D0A}"/>
    <cellStyle name="Normal 2 5 3 29 4" xfId="5332" xr:uid="{4432C10E-1A17-454F-B3C2-D0C9B8D0A968}"/>
    <cellStyle name="Normal 2 5 3 29 4 2" xfId="14162" xr:uid="{35726A3B-3397-4D64-AB84-8FEE1E8715F4}"/>
    <cellStyle name="Normal 2 5 3 29 5" xfId="14157" xr:uid="{F5A9E75C-753D-41C9-9793-CF98F105F336}"/>
    <cellStyle name="Normal 2 5 3 3" xfId="5333" xr:uid="{5F1118D8-3033-44AD-81F4-008EBA2F79FE}"/>
    <cellStyle name="Normal 2 5 3 3 2" xfId="5334" xr:uid="{D9B68AF3-73E6-40D7-B103-6C145370A818}"/>
    <cellStyle name="Normal 2 5 3 3 2 2" xfId="5335" xr:uid="{43C00714-2F5B-4F89-9368-7521CB56C5CB}"/>
    <cellStyle name="Normal 2 5 3 3 2 2 2" xfId="14165" xr:uid="{1723D624-3551-436D-A0C5-2012C342D336}"/>
    <cellStyle name="Normal 2 5 3 3 2 3" xfId="5336" xr:uid="{2FF19DC1-68C2-4111-8EAC-4EBC25AE3BE2}"/>
    <cellStyle name="Normal 2 5 3 3 2 3 2" xfId="14166" xr:uid="{C94D9505-D021-4884-A795-06736867AEAC}"/>
    <cellStyle name="Normal 2 5 3 3 2 4" xfId="14164" xr:uid="{CDE8F36C-3D0F-407D-ADC2-84CEC061E009}"/>
    <cellStyle name="Normal 2 5 3 3 3" xfId="5337" xr:uid="{2D34C2D6-9958-4825-A6B9-78A21DF87EA8}"/>
    <cellStyle name="Normal 2 5 3 3 3 2" xfId="14167" xr:uid="{3D0FC543-2948-49CB-93A0-73429C9D4E5D}"/>
    <cellStyle name="Normal 2 5 3 3 4" xfId="5338" xr:uid="{235E0558-023D-460B-97BD-5F4D60898977}"/>
    <cellStyle name="Normal 2 5 3 3 4 2" xfId="14168" xr:uid="{04EC2D24-2044-41D3-A644-8E492B2B8A96}"/>
    <cellStyle name="Normal 2 5 3 3 5" xfId="14163" xr:uid="{3268365F-FD40-43C2-A25C-F685C974CC82}"/>
    <cellStyle name="Normal 2 5 3 30" xfId="5339" xr:uid="{FC0C95C1-55C1-48F5-A28E-B94A93D02A2E}"/>
    <cellStyle name="Normal 2 5 3 30 2" xfId="5340" xr:uid="{B7CCFE0D-0FFB-4E61-ABE7-C75580F6CA49}"/>
    <cellStyle name="Normal 2 5 3 30 2 2" xfId="5341" xr:uid="{CA78AFD7-126B-4F1D-A7FA-7B28D37CC022}"/>
    <cellStyle name="Normal 2 5 3 30 2 2 2" xfId="14171" xr:uid="{CE3F7CF0-E904-4219-983D-724B419621CF}"/>
    <cellStyle name="Normal 2 5 3 30 2 3" xfId="5342" xr:uid="{460C8B28-C416-4F1D-99BF-7090810EF417}"/>
    <cellStyle name="Normal 2 5 3 30 2 3 2" xfId="14172" xr:uid="{45891A32-2904-4F4B-BA3D-12304946914F}"/>
    <cellStyle name="Normal 2 5 3 30 2 4" xfId="14170" xr:uid="{4DD65DCF-0854-4BC1-BACF-E226546EE08A}"/>
    <cellStyle name="Normal 2 5 3 30 3" xfId="5343" xr:uid="{D1B9D0A2-FFE9-496F-8544-D2205F1A181E}"/>
    <cellStyle name="Normal 2 5 3 30 3 2" xfId="14173" xr:uid="{D3C65BAF-BB60-4BB7-843A-E45AC34F0D1D}"/>
    <cellStyle name="Normal 2 5 3 30 4" xfId="5344" xr:uid="{00436DC9-DCA6-48D3-B35E-08C1520D93DD}"/>
    <cellStyle name="Normal 2 5 3 30 4 2" xfId="14174" xr:uid="{7FEE9BC1-CA19-4858-8C73-BA1CA8F15F7A}"/>
    <cellStyle name="Normal 2 5 3 30 5" xfId="14169" xr:uid="{2A9BE8B8-60F0-49D3-96E6-2FC61C0E7B09}"/>
    <cellStyle name="Normal 2 5 3 31" xfId="5345" xr:uid="{88FDAC11-0A5F-4D55-9730-E568F1E61552}"/>
    <cellStyle name="Normal 2 5 3 31 2" xfId="5346" xr:uid="{A01E4BF2-FA51-44DB-A5D5-2C03E7D30999}"/>
    <cellStyle name="Normal 2 5 3 31 2 2" xfId="5347" xr:uid="{85CE71B4-4874-40E0-9027-85E4A1072942}"/>
    <cellStyle name="Normal 2 5 3 31 2 2 2" xfId="14177" xr:uid="{23F18818-ADD4-40CF-B8AA-286D317C32CF}"/>
    <cellStyle name="Normal 2 5 3 31 2 3" xfId="5348" xr:uid="{DA76C4B9-E881-4983-849E-82750B593DB2}"/>
    <cellStyle name="Normal 2 5 3 31 2 3 2" xfId="14178" xr:uid="{3E43FAC6-A657-4A92-8DF0-483F5DC89C89}"/>
    <cellStyle name="Normal 2 5 3 31 2 4" xfId="14176" xr:uid="{0046BB66-5708-49A2-98E9-F9865A4CFCF5}"/>
    <cellStyle name="Normal 2 5 3 31 3" xfId="5349" xr:uid="{6B757FD6-A5AA-49CA-9EF9-AB9B8B15DA2F}"/>
    <cellStyle name="Normal 2 5 3 31 3 2" xfId="14179" xr:uid="{9F1489AA-B784-40FC-8C75-13379FFAE29D}"/>
    <cellStyle name="Normal 2 5 3 31 4" xfId="5350" xr:uid="{39479214-80A4-49AB-8AE8-41AD262F9B15}"/>
    <cellStyle name="Normal 2 5 3 31 4 2" xfId="14180" xr:uid="{B7D1C285-6B68-426D-A07D-596D94D4722D}"/>
    <cellStyle name="Normal 2 5 3 31 5" xfId="14175" xr:uid="{CDD8FCF6-596B-4C90-BB75-587BB4887418}"/>
    <cellStyle name="Normal 2 5 3 32" xfId="5351" xr:uid="{0093F85D-2348-4579-BFFA-529986865A2B}"/>
    <cellStyle name="Normal 2 5 3 32 2" xfId="5352" xr:uid="{6B0328AE-23F1-4AE6-A1BE-5A0FBCCC450E}"/>
    <cellStyle name="Normal 2 5 3 32 2 2" xfId="5353" xr:uid="{4029A64E-5FC5-4A51-AF27-FD006E0526D6}"/>
    <cellStyle name="Normal 2 5 3 32 2 2 2" xfId="14183" xr:uid="{9DA430E4-1851-4F1B-A1D3-EBC1A75BF834}"/>
    <cellStyle name="Normal 2 5 3 32 2 3" xfId="5354" xr:uid="{D724D561-309C-4D56-8FA9-9F7BBA909EAB}"/>
    <cellStyle name="Normal 2 5 3 32 2 3 2" xfId="14184" xr:uid="{9D1B7B34-F67F-43E8-9979-78F6E364E950}"/>
    <cellStyle name="Normal 2 5 3 32 2 4" xfId="14182" xr:uid="{F8F66C5C-C70C-45A2-83DF-1776436F207C}"/>
    <cellStyle name="Normal 2 5 3 32 3" xfId="5355" xr:uid="{171A8E45-5D96-41BA-BDB6-447E1176DE1B}"/>
    <cellStyle name="Normal 2 5 3 32 3 2" xfId="14185" xr:uid="{41283DBE-D254-43C5-A81A-298A0D348233}"/>
    <cellStyle name="Normal 2 5 3 32 4" xfId="5356" xr:uid="{AD6B101E-AC03-48F2-992D-7BE260695DE6}"/>
    <cellStyle name="Normal 2 5 3 32 4 2" xfId="14186" xr:uid="{5B406C0F-0A19-47AE-9FEC-FCEA5F935BEE}"/>
    <cellStyle name="Normal 2 5 3 32 5" xfId="14181" xr:uid="{3C2F5614-2005-4C75-A8AE-2A1930DA9C7C}"/>
    <cellStyle name="Normal 2 5 3 33" xfId="5357" xr:uid="{02F20702-1176-4F7E-BDA7-EAB0D57E6348}"/>
    <cellStyle name="Normal 2 5 3 33 2" xfId="5358" xr:uid="{BD0B5042-ED7A-45E9-83BC-8454A707A3DF}"/>
    <cellStyle name="Normal 2 5 3 33 2 2" xfId="5359" xr:uid="{6105046F-86C4-40EB-B4B4-6B6E6656D801}"/>
    <cellStyle name="Normal 2 5 3 33 2 2 2" xfId="14189" xr:uid="{576658DB-B309-40E6-A804-FED1CA70D664}"/>
    <cellStyle name="Normal 2 5 3 33 2 3" xfId="5360" xr:uid="{512F89BA-A978-416C-94D0-227E0F57C8B9}"/>
    <cellStyle name="Normal 2 5 3 33 2 3 2" xfId="14190" xr:uid="{FC91C614-1360-45C1-8B78-61C5EEE2C5A8}"/>
    <cellStyle name="Normal 2 5 3 33 2 4" xfId="14188" xr:uid="{B00F4B66-8131-4626-8C71-6F11B5317841}"/>
    <cellStyle name="Normal 2 5 3 33 3" xfId="5361" xr:uid="{7264D225-390F-4669-A415-598ED2E29CBE}"/>
    <cellStyle name="Normal 2 5 3 33 3 2" xfId="14191" xr:uid="{9293303E-FC37-4FC0-9582-FFDDA46A677B}"/>
    <cellStyle name="Normal 2 5 3 33 4" xfId="5362" xr:uid="{060A753F-8D5A-456B-9644-23387D965F99}"/>
    <cellStyle name="Normal 2 5 3 33 4 2" xfId="14192" xr:uid="{35E13E19-89ED-41BF-9B4B-24BC63B321D0}"/>
    <cellStyle name="Normal 2 5 3 33 5" xfId="14187" xr:uid="{7863BC24-B218-4D74-98CD-19582B03BD4A}"/>
    <cellStyle name="Normal 2 5 3 34" xfId="5363" xr:uid="{0EB69C55-7F03-4EBE-9B41-286B4275930D}"/>
    <cellStyle name="Normal 2 5 3 34 2" xfId="5364" xr:uid="{36E87C19-338C-44D9-9400-B83295588100}"/>
    <cellStyle name="Normal 2 5 3 34 2 2" xfId="5365" xr:uid="{A4C326B6-59DE-49B9-9B12-9AA436F6524D}"/>
    <cellStyle name="Normal 2 5 3 34 2 2 2" xfId="14195" xr:uid="{E032F5D2-C1A6-4F7C-9D4A-2B80CFA22646}"/>
    <cellStyle name="Normal 2 5 3 34 2 3" xfId="5366" xr:uid="{2D419153-A864-4ADE-B2CE-399391156A1D}"/>
    <cellStyle name="Normal 2 5 3 34 2 3 2" xfId="14196" xr:uid="{35E87F28-8799-4B7F-AF02-B6FB2040160A}"/>
    <cellStyle name="Normal 2 5 3 34 2 4" xfId="14194" xr:uid="{5ED57946-D22D-4032-BBDC-F690D7F6BC4C}"/>
    <cellStyle name="Normal 2 5 3 34 3" xfId="5367" xr:uid="{B8C6CF62-61CE-4F41-889B-0612DF61594A}"/>
    <cellStyle name="Normal 2 5 3 34 3 2" xfId="14197" xr:uid="{D59B1372-552E-4179-A8A9-1E1B42841542}"/>
    <cellStyle name="Normal 2 5 3 34 4" xfId="5368" xr:uid="{A3F0998C-E2C4-4F30-990F-CA73712B7DB2}"/>
    <cellStyle name="Normal 2 5 3 34 4 2" xfId="14198" xr:uid="{5FA50D1A-7E35-4491-A21D-61F532BA059D}"/>
    <cellStyle name="Normal 2 5 3 34 5" xfId="14193" xr:uid="{EE0D45A6-3160-4712-B99E-9D94C6CCD8AF}"/>
    <cellStyle name="Normal 2 5 3 35" xfId="5369" xr:uid="{3F85DEDC-F70D-46FF-8A63-F12CC053412E}"/>
    <cellStyle name="Normal 2 5 3 35 2" xfId="5370" xr:uid="{61BC18F7-C3D4-480C-B8A7-579B0B91BC29}"/>
    <cellStyle name="Normal 2 5 3 35 2 2" xfId="5371" xr:uid="{8B97F36F-29E1-43BF-9B75-8187682C4B30}"/>
    <cellStyle name="Normal 2 5 3 35 2 2 2" xfId="14201" xr:uid="{A3448887-7F76-4E37-9849-0553C171B322}"/>
    <cellStyle name="Normal 2 5 3 35 2 3" xfId="5372" xr:uid="{399D8917-69ED-4404-AC37-F55A88941CAC}"/>
    <cellStyle name="Normal 2 5 3 35 2 3 2" xfId="14202" xr:uid="{6375A679-AB3B-4127-8D16-538BED2C66E6}"/>
    <cellStyle name="Normal 2 5 3 35 2 4" xfId="14200" xr:uid="{499C2F8A-69D3-4740-9397-82AFCA72412E}"/>
    <cellStyle name="Normal 2 5 3 35 3" xfId="5373" xr:uid="{3D9C0ABA-2B83-4145-B4A7-7198A79FF6E3}"/>
    <cellStyle name="Normal 2 5 3 35 3 2" xfId="14203" xr:uid="{C1EE4A83-183D-4C83-B697-294C8E47F01C}"/>
    <cellStyle name="Normal 2 5 3 35 4" xfId="5374" xr:uid="{D8FD72B0-A52D-45B5-AB8F-4353EF517375}"/>
    <cellStyle name="Normal 2 5 3 35 4 2" xfId="14204" xr:uid="{2230C13E-539E-452E-9CDA-551849EFB7B9}"/>
    <cellStyle name="Normal 2 5 3 35 5" xfId="14199" xr:uid="{C33CDB65-7249-4D86-9374-F5E94E3AEE24}"/>
    <cellStyle name="Normal 2 5 3 36" xfId="5375" xr:uid="{8E8226BD-095E-45E5-ABA4-A57842FAB003}"/>
    <cellStyle name="Normal 2 5 3 36 2" xfId="5376" xr:uid="{8531A935-45F5-43DE-B696-8F2C667703CE}"/>
    <cellStyle name="Normal 2 5 3 36 2 2" xfId="5377" xr:uid="{A62DA804-27B2-452D-9C36-8E3E8DC8A1FE}"/>
    <cellStyle name="Normal 2 5 3 36 2 2 2" xfId="14207" xr:uid="{0F841963-C23B-4374-826F-DADC62A0C05F}"/>
    <cellStyle name="Normal 2 5 3 36 2 3" xfId="5378" xr:uid="{2A428BBA-4E86-47B5-809C-D53B8DAEA930}"/>
    <cellStyle name="Normal 2 5 3 36 2 3 2" xfId="14208" xr:uid="{8DC248FD-FD72-4CCB-9AD1-E9A3CDDE0DBA}"/>
    <cellStyle name="Normal 2 5 3 36 2 4" xfId="14206" xr:uid="{678A0D4E-DC60-42AD-B890-FE09298FE6BD}"/>
    <cellStyle name="Normal 2 5 3 36 3" xfId="5379" xr:uid="{244A5946-DDAA-456F-8116-52858B051DF8}"/>
    <cellStyle name="Normal 2 5 3 36 3 2" xfId="14209" xr:uid="{851B930E-EC62-4A6C-BFB2-E45B2AB0A9D8}"/>
    <cellStyle name="Normal 2 5 3 36 4" xfId="5380" xr:uid="{4BB76A10-4D33-4FDE-8E96-966F370F3A4E}"/>
    <cellStyle name="Normal 2 5 3 36 4 2" xfId="14210" xr:uid="{5BF58D24-116D-490A-8A1B-F1DB33952080}"/>
    <cellStyle name="Normal 2 5 3 36 5" xfId="14205" xr:uid="{5E0FEFC0-4E31-461E-9F76-C7DF10E9997B}"/>
    <cellStyle name="Normal 2 5 3 37" xfId="5381" xr:uid="{BBE67D49-EE44-4911-9E51-7B20671DF67D}"/>
    <cellStyle name="Normal 2 5 3 37 2" xfId="5382" xr:uid="{D3856445-5C3A-4702-88E6-00B328B8F813}"/>
    <cellStyle name="Normal 2 5 3 37 2 2" xfId="5383" xr:uid="{99E48F32-FD11-49B8-B1C5-3295CDC8AF47}"/>
    <cellStyle name="Normal 2 5 3 37 2 2 2" xfId="14213" xr:uid="{39ECF927-B206-4548-85D1-E061A8F04916}"/>
    <cellStyle name="Normal 2 5 3 37 2 3" xfId="5384" xr:uid="{7C412B72-1BA7-4622-8230-97FAAE5047AC}"/>
    <cellStyle name="Normal 2 5 3 37 2 3 2" xfId="14214" xr:uid="{52514311-75E4-4587-8416-7F849850ECF9}"/>
    <cellStyle name="Normal 2 5 3 37 2 4" xfId="14212" xr:uid="{3B0DEFA5-0BAC-4C1E-AEFB-56A32184FA68}"/>
    <cellStyle name="Normal 2 5 3 37 3" xfId="5385" xr:uid="{FD3167C7-2940-4192-8CC0-CCD1AD046309}"/>
    <cellStyle name="Normal 2 5 3 37 3 2" xfId="14215" xr:uid="{36F47D01-F68A-493C-AB9E-21E254F20F45}"/>
    <cellStyle name="Normal 2 5 3 37 4" xfId="5386" xr:uid="{530C5CA3-2B23-40C2-ABFA-C63856CA3BE7}"/>
    <cellStyle name="Normal 2 5 3 37 4 2" xfId="14216" xr:uid="{D6069C7A-8EC9-47B3-8DA6-C588AD8B4724}"/>
    <cellStyle name="Normal 2 5 3 37 5" xfId="14211" xr:uid="{A42AD094-8A81-4BA2-92BC-5923B8C4EC93}"/>
    <cellStyle name="Normal 2 5 3 38" xfId="5387" xr:uid="{B1734676-F00B-47B1-BD87-362CE350D12C}"/>
    <cellStyle name="Normal 2 5 3 38 2" xfId="5388" xr:uid="{FFAC9615-5DE2-42DC-80B1-EA19C6957024}"/>
    <cellStyle name="Normal 2 5 3 38 2 2" xfId="5389" xr:uid="{210803AB-1FA5-4138-8C9F-01468CDF62C1}"/>
    <cellStyle name="Normal 2 5 3 38 2 2 2" xfId="14219" xr:uid="{2A875A2D-E81D-4876-9FF2-02D8754D21B9}"/>
    <cellStyle name="Normal 2 5 3 38 2 3" xfId="5390" xr:uid="{D468A237-86CE-40BE-8C7A-FB7252512A00}"/>
    <cellStyle name="Normal 2 5 3 38 2 3 2" xfId="14220" xr:uid="{9D9818D0-67E3-4FC8-832F-81330040A9B8}"/>
    <cellStyle name="Normal 2 5 3 38 2 4" xfId="14218" xr:uid="{1A199BA9-9449-44FF-9137-0E16AAE7B902}"/>
    <cellStyle name="Normal 2 5 3 38 3" xfId="5391" xr:uid="{5C9ACA94-7219-4E02-B96A-889B2FAB13B3}"/>
    <cellStyle name="Normal 2 5 3 38 3 2" xfId="14221" xr:uid="{726432FD-5B60-4012-ACF6-58E4B8C95331}"/>
    <cellStyle name="Normal 2 5 3 38 4" xfId="5392" xr:uid="{A414B6B2-6DB7-405C-B551-CD22F577BE17}"/>
    <cellStyle name="Normal 2 5 3 38 4 2" xfId="14222" xr:uid="{5889A42F-E194-443F-B0E5-055BE34F2290}"/>
    <cellStyle name="Normal 2 5 3 38 5" xfId="14217" xr:uid="{CE6BEF1B-0739-42B5-9DAC-B582151C524C}"/>
    <cellStyle name="Normal 2 5 3 39" xfId="5393" xr:uid="{38F399F4-D9F8-4D55-B135-0E15A13156F2}"/>
    <cellStyle name="Normal 2 5 3 39 2" xfId="5394" xr:uid="{44F2C0BF-7824-4F0E-B314-6B427B5F4D14}"/>
    <cellStyle name="Normal 2 5 3 39 2 2" xfId="5395" xr:uid="{18A34287-6C86-4489-A656-6C7516C0FCED}"/>
    <cellStyle name="Normal 2 5 3 39 2 2 2" xfId="14225" xr:uid="{4472DE7E-C218-42FC-9E59-209111446E6D}"/>
    <cellStyle name="Normal 2 5 3 39 2 3" xfId="5396" xr:uid="{BF606476-C9EE-48CD-ACA3-C22C023E60FB}"/>
    <cellStyle name="Normal 2 5 3 39 2 3 2" xfId="14226" xr:uid="{D977E641-89BC-43B8-89EA-27977AB3C483}"/>
    <cellStyle name="Normal 2 5 3 39 2 4" xfId="14224" xr:uid="{D1F19665-86DE-4768-BF6E-66FDA4F5BB1B}"/>
    <cellStyle name="Normal 2 5 3 39 3" xfId="5397" xr:uid="{6F90668D-FAEA-493E-991D-F35DB747E57A}"/>
    <cellStyle name="Normal 2 5 3 39 3 2" xfId="14227" xr:uid="{1E95F988-5189-4434-8FE7-5378BA1AD433}"/>
    <cellStyle name="Normal 2 5 3 39 4" xfId="5398" xr:uid="{ABEEA94A-6D0A-4DE2-B817-36C8473CE900}"/>
    <cellStyle name="Normal 2 5 3 39 4 2" xfId="14228" xr:uid="{ACA52CDE-48E5-4B9B-A368-A136A32C130B}"/>
    <cellStyle name="Normal 2 5 3 39 5" xfId="14223" xr:uid="{2DA6E692-7862-4C27-A015-858CED8B644A}"/>
    <cellStyle name="Normal 2 5 3 4" xfId="5399" xr:uid="{E941CE67-CBBC-4CCB-BA45-857B218A9DFF}"/>
    <cellStyle name="Normal 2 5 3 4 2" xfId="5400" xr:uid="{7255F4CD-FEEB-4B7B-85DD-E01180292D25}"/>
    <cellStyle name="Normal 2 5 3 4 2 2" xfId="5401" xr:uid="{EC0DB982-CB5C-4CB6-A058-413A07BC3008}"/>
    <cellStyle name="Normal 2 5 3 4 2 2 2" xfId="14231" xr:uid="{494B43DF-5756-4C73-91EB-98F623390EFA}"/>
    <cellStyle name="Normal 2 5 3 4 2 3" xfId="5402" xr:uid="{6EB45297-3541-450C-9F6F-DD47391834DA}"/>
    <cellStyle name="Normal 2 5 3 4 2 3 2" xfId="14232" xr:uid="{83F8CBBB-E3E4-4007-BD5A-87304E56446E}"/>
    <cellStyle name="Normal 2 5 3 4 2 4" xfId="14230" xr:uid="{FBBC5260-4834-4A35-A561-8DBE56992655}"/>
    <cellStyle name="Normal 2 5 3 4 3" xfId="5403" xr:uid="{16694C91-9C2A-408B-AAE0-1D13C3C900B7}"/>
    <cellStyle name="Normal 2 5 3 4 3 2" xfId="14233" xr:uid="{F26C36FB-77B0-42C4-B300-E99B44EC092E}"/>
    <cellStyle name="Normal 2 5 3 4 4" xfId="5404" xr:uid="{49E02F2D-2FF8-4085-BB13-1EFEC78E544E}"/>
    <cellStyle name="Normal 2 5 3 4 4 2" xfId="14234" xr:uid="{252A6AEB-9C4E-410F-A694-9ECA6E7B9F1B}"/>
    <cellStyle name="Normal 2 5 3 4 5" xfId="14229" xr:uid="{C49408D6-9BA3-4D2A-B296-FD5DF31E7AE3}"/>
    <cellStyle name="Normal 2 5 3 40" xfId="5405" xr:uid="{DE851E71-4CAD-4D04-B238-667C9B26EA1D}"/>
    <cellStyle name="Normal 2 5 3 40 2" xfId="5406" xr:uid="{AAA9CC25-BCA5-45E5-BC22-992AAFCD07BA}"/>
    <cellStyle name="Normal 2 5 3 40 2 2" xfId="5407" xr:uid="{191C85FB-9557-4256-8B33-5D4F4A3BC812}"/>
    <cellStyle name="Normal 2 5 3 40 2 2 2" xfId="14237" xr:uid="{2F739F2C-FCC9-4911-BF7B-A21C265E0CCC}"/>
    <cellStyle name="Normal 2 5 3 40 2 3" xfId="5408" xr:uid="{1305514B-7CAF-4523-99C3-BA89C7E6C0E8}"/>
    <cellStyle name="Normal 2 5 3 40 2 3 2" xfId="14238" xr:uid="{E7C733F6-C81D-4EB6-B884-AB70DDB4E5BC}"/>
    <cellStyle name="Normal 2 5 3 40 2 4" xfId="14236" xr:uid="{03CF65BA-FEDA-4A22-A17B-E8429C7ADB84}"/>
    <cellStyle name="Normal 2 5 3 40 3" xfId="5409" xr:uid="{ECFE1858-0DE0-465D-8AE3-D5BCE806FE90}"/>
    <cellStyle name="Normal 2 5 3 40 3 2" xfId="14239" xr:uid="{71424B8B-49C4-4DC5-A8DB-D6D4BF6E47ED}"/>
    <cellStyle name="Normal 2 5 3 40 4" xfId="5410" xr:uid="{68CDCFAD-667C-4841-BDDE-DEF007F414F6}"/>
    <cellStyle name="Normal 2 5 3 40 4 2" xfId="14240" xr:uid="{CBAC7942-D349-40FD-A8E5-0808008C38EE}"/>
    <cellStyle name="Normal 2 5 3 40 5" xfId="14235" xr:uid="{DE4731E5-973C-4281-A521-18AD1A4CA7F0}"/>
    <cellStyle name="Normal 2 5 3 41" xfId="5411" xr:uid="{EBA0668D-D3C2-4BA9-8876-FBDD1BF5E2A8}"/>
    <cellStyle name="Normal 2 5 3 41 2" xfId="5412" xr:uid="{831D41FD-5077-4D43-9F84-2C352F99D485}"/>
    <cellStyle name="Normal 2 5 3 41 2 2" xfId="5413" xr:uid="{CE985C9E-A7F3-481B-B847-CA94EAEE453F}"/>
    <cellStyle name="Normal 2 5 3 41 2 2 2" xfId="14243" xr:uid="{214193BD-B63E-4CC8-A982-B59D16CCE297}"/>
    <cellStyle name="Normal 2 5 3 41 2 3" xfId="5414" xr:uid="{876E4579-8AA3-477A-88F0-1DA42CF127CF}"/>
    <cellStyle name="Normal 2 5 3 41 2 3 2" xfId="14244" xr:uid="{693AC961-6CCA-4DC1-858E-B052BCE6438F}"/>
    <cellStyle name="Normal 2 5 3 41 2 4" xfId="14242" xr:uid="{DBE6F5D8-4F2C-4C1A-A89C-4616CE4C46BA}"/>
    <cellStyle name="Normal 2 5 3 41 3" xfId="5415" xr:uid="{6999A980-6F02-45C8-AB18-06D56C40C49B}"/>
    <cellStyle name="Normal 2 5 3 41 3 2" xfId="14245" xr:uid="{740F8878-F8F2-4DC7-A88B-00AEE072872B}"/>
    <cellStyle name="Normal 2 5 3 41 4" xfId="5416" xr:uid="{83585949-50A4-439D-B523-502C7B14D644}"/>
    <cellStyle name="Normal 2 5 3 41 4 2" xfId="14246" xr:uid="{46EEE416-665C-47C1-9F13-B8298D329208}"/>
    <cellStyle name="Normal 2 5 3 41 5" xfId="14241" xr:uid="{A4EE2D0C-5C10-4E9D-9789-316B006AFD1D}"/>
    <cellStyle name="Normal 2 5 3 42" xfId="5417" xr:uid="{CB90EECE-FFD0-4E3D-9030-EA578F68D219}"/>
    <cellStyle name="Normal 2 5 3 42 2" xfId="5418" xr:uid="{9EB33930-113C-4EEB-9F21-B96A71E61918}"/>
    <cellStyle name="Normal 2 5 3 42 2 2" xfId="5419" xr:uid="{9E0384BA-3308-4D30-A9DC-7F57BCA41A59}"/>
    <cellStyle name="Normal 2 5 3 42 2 2 2" xfId="14249" xr:uid="{E06C41A6-F01D-4A14-8288-9408FA41E8F8}"/>
    <cellStyle name="Normal 2 5 3 42 2 3" xfId="5420" xr:uid="{EAD4BD55-30B3-48A2-8631-B581A934C54D}"/>
    <cellStyle name="Normal 2 5 3 42 2 3 2" xfId="14250" xr:uid="{05517BE1-935C-4083-A265-4DE2466838B9}"/>
    <cellStyle name="Normal 2 5 3 42 2 4" xfId="14248" xr:uid="{1A057601-E80C-4578-96E6-8CC632FEDB2B}"/>
    <cellStyle name="Normal 2 5 3 42 3" xfId="5421" xr:uid="{5167CBAF-5FB8-4D39-93AF-FA6941C462BA}"/>
    <cellStyle name="Normal 2 5 3 42 3 2" xfId="14251" xr:uid="{468345AF-2122-4DEE-9D97-962D2BF4C818}"/>
    <cellStyle name="Normal 2 5 3 42 4" xfId="5422" xr:uid="{FBB52A43-A7E0-44AA-8A8E-713DD98702AB}"/>
    <cellStyle name="Normal 2 5 3 42 4 2" xfId="14252" xr:uid="{813121E6-4732-4913-B4AD-E06C961AEA31}"/>
    <cellStyle name="Normal 2 5 3 42 5" xfId="14247" xr:uid="{7C7C381E-DAE2-4E18-9795-2256170F407A}"/>
    <cellStyle name="Normal 2 5 3 43" xfId="5423" xr:uid="{069731E6-E8CE-4313-BEE3-03C9238EDC48}"/>
    <cellStyle name="Normal 2 5 3 43 2" xfId="5424" xr:uid="{7F259A1E-8E7D-4739-ABC9-28B828B554F6}"/>
    <cellStyle name="Normal 2 5 3 43 2 2" xfId="5425" xr:uid="{A92D0041-F43D-47CC-B0E6-8B9EF743D363}"/>
    <cellStyle name="Normal 2 5 3 43 2 2 2" xfId="14255" xr:uid="{CCBA3299-24F6-4350-B096-EDDB2682477E}"/>
    <cellStyle name="Normal 2 5 3 43 2 3" xfId="5426" xr:uid="{6CF11E93-B07A-408F-83BE-4672EAEDCC08}"/>
    <cellStyle name="Normal 2 5 3 43 2 3 2" xfId="14256" xr:uid="{467027D5-776C-4BBD-B112-90EDF2013D02}"/>
    <cellStyle name="Normal 2 5 3 43 2 4" xfId="14254" xr:uid="{3C1BC0BD-6001-4C26-82BB-AD5D5B51B61D}"/>
    <cellStyle name="Normal 2 5 3 43 3" xfId="5427" xr:uid="{99880C27-54C3-4C7A-83C6-3FD5DD2A0725}"/>
    <cellStyle name="Normal 2 5 3 43 3 2" xfId="14257" xr:uid="{6A820123-8372-47C8-8E62-4C9E0188E34E}"/>
    <cellStyle name="Normal 2 5 3 43 4" xfId="5428" xr:uid="{BB74980B-4E33-4ED4-9A02-A485046A9E12}"/>
    <cellStyle name="Normal 2 5 3 43 4 2" xfId="14258" xr:uid="{E3E5020A-C965-46DB-AEB2-F17B7C5C6A21}"/>
    <cellStyle name="Normal 2 5 3 43 5" xfId="14253" xr:uid="{C0927270-EB51-4F5C-98F2-12309D959FCF}"/>
    <cellStyle name="Normal 2 5 3 44" xfId="5429" xr:uid="{E94C697D-4B4C-4FE5-970C-C2FEB21A6475}"/>
    <cellStyle name="Normal 2 5 3 44 2" xfId="5430" xr:uid="{5CBE8570-0F1D-463D-AF34-A6ED221E4221}"/>
    <cellStyle name="Normal 2 5 3 44 2 2" xfId="14260" xr:uid="{A1DB8E0D-CD25-4299-BB70-8C4033C7458E}"/>
    <cellStyle name="Normal 2 5 3 44 3" xfId="5431" xr:uid="{D50C11A8-4C15-45E1-83FD-94DBED904DD7}"/>
    <cellStyle name="Normal 2 5 3 44 3 2" xfId="14261" xr:uid="{1E63C09A-4AC7-4A32-BA79-1F391001A31C}"/>
    <cellStyle name="Normal 2 5 3 44 4" xfId="14259" xr:uid="{E8AAC77F-0719-4E7F-98EB-1101B245BB85}"/>
    <cellStyle name="Normal 2 5 3 45" xfId="5432" xr:uid="{A1B02C3B-AE14-4F9E-9499-F192A07036E5}"/>
    <cellStyle name="Normal 2 5 3 45 2" xfId="14262" xr:uid="{C034BC03-D6E8-47D6-A5F0-28954C1CCDFC}"/>
    <cellStyle name="Normal 2 5 3 46" xfId="5433" xr:uid="{D821710D-975B-49EC-A7B9-4550CF8E3B52}"/>
    <cellStyle name="Normal 2 5 3 46 2" xfId="14263" xr:uid="{CA29EB5C-0C79-418A-B0A4-B79BDBD447BB}"/>
    <cellStyle name="Normal 2 5 3 47" xfId="14036" xr:uid="{74CFA089-B95B-43FC-84DF-E09ACE7035A1}"/>
    <cellStyle name="Normal 2 5 3 5" xfId="5434" xr:uid="{633FA41D-20A1-4D97-BB67-6EBA83C6DB11}"/>
    <cellStyle name="Normal 2 5 3 5 2" xfId="5435" xr:uid="{3F5DBAD6-BDDE-437D-AEEC-5617EE246247}"/>
    <cellStyle name="Normal 2 5 3 5 2 2" xfId="5436" xr:uid="{8387D4A6-D07D-4652-B0EA-36567262C6AA}"/>
    <cellStyle name="Normal 2 5 3 5 2 2 2" xfId="14266" xr:uid="{E1C912CF-C1CA-4009-B571-BC8988236D58}"/>
    <cellStyle name="Normal 2 5 3 5 2 3" xfId="5437" xr:uid="{96262030-4E83-4C07-8880-825E90117115}"/>
    <cellStyle name="Normal 2 5 3 5 2 3 2" xfId="14267" xr:uid="{1DF0A062-A04D-4707-9F18-012B7EED7FCE}"/>
    <cellStyle name="Normal 2 5 3 5 2 4" xfId="14265" xr:uid="{B15FB2F8-2E17-4028-B06F-736E26ACA912}"/>
    <cellStyle name="Normal 2 5 3 5 3" xfId="5438" xr:uid="{A3A904AA-7967-47F8-85F5-DB65E33CFB34}"/>
    <cellStyle name="Normal 2 5 3 5 3 2" xfId="14268" xr:uid="{C575EDA1-88F3-4755-923E-FEC3920C4B5F}"/>
    <cellStyle name="Normal 2 5 3 5 4" xfId="5439" xr:uid="{1997D3FB-C2ED-4B81-BE0F-F3919E27E585}"/>
    <cellStyle name="Normal 2 5 3 5 4 2" xfId="14269" xr:uid="{353946CE-D768-4406-AC43-8F06CE3237EE}"/>
    <cellStyle name="Normal 2 5 3 5 5" xfId="14264" xr:uid="{389F3893-5506-4F46-AB6A-8E09F08DB962}"/>
    <cellStyle name="Normal 2 5 3 6" xfId="5440" xr:uid="{B0EA59A0-A18E-475C-8CD6-792917E1FEC2}"/>
    <cellStyle name="Normal 2 5 3 6 2" xfId="5441" xr:uid="{5B4CCBE8-054A-43D3-B6F5-1ACC3B3C2397}"/>
    <cellStyle name="Normal 2 5 3 6 2 2" xfId="5442" xr:uid="{E99AB0B1-9D1C-421A-B78A-D779DE71F8C3}"/>
    <cellStyle name="Normal 2 5 3 6 2 2 2" xfId="14272" xr:uid="{2C2C9E9A-E76E-4F42-970E-BC34F58A7F6E}"/>
    <cellStyle name="Normal 2 5 3 6 2 3" xfId="5443" xr:uid="{A33D196B-56A0-42AD-BF61-0BF5C2523512}"/>
    <cellStyle name="Normal 2 5 3 6 2 3 2" xfId="14273" xr:uid="{015BD72E-639A-4228-A579-B6DB189D0F4C}"/>
    <cellStyle name="Normal 2 5 3 6 2 4" xfId="14271" xr:uid="{902C19B4-3364-4B6E-8B5D-BD7E2F5FAB4F}"/>
    <cellStyle name="Normal 2 5 3 6 3" xfId="5444" xr:uid="{5B52B544-675A-4BF1-A95A-EC161CA139FF}"/>
    <cellStyle name="Normal 2 5 3 6 3 2" xfId="14274" xr:uid="{AAC78741-5F11-4E4E-9C48-369B9B9C7EB3}"/>
    <cellStyle name="Normal 2 5 3 6 4" xfId="5445" xr:uid="{22A56521-FB19-49F5-B2C2-457A32039658}"/>
    <cellStyle name="Normal 2 5 3 6 4 2" xfId="14275" xr:uid="{153ABE2D-BF71-4F8A-921A-EC397240B07C}"/>
    <cellStyle name="Normal 2 5 3 6 5" xfId="14270" xr:uid="{FF52306A-12C6-4D7C-BA30-8C16ECF2B1B2}"/>
    <cellStyle name="Normal 2 5 3 7" xfId="5446" xr:uid="{95A4B424-B6AC-490F-9566-84A720DE32EF}"/>
    <cellStyle name="Normal 2 5 3 7 2" xfId="5447" xr:uid="{B1DAD320-B9BF-4284-9C51-B36830B0E0EA}"/>
    <cellStyle name="Normal 2 5 3 7 2 2" xfId="5448" xr:uid="{F9A653FA-1CAA-495C-A40F-9023C66992D9}"/>
    <cellStyle name="Normal 2 5 3 7 2 2 2" xfId="14278" xr:uid="{BD5BA105-486A-4218-8A04-60626C278095}"/>
    <cellStyle name="Normal 2 5 3 7 2 3" xfId="5449" xr:uid="{FB490C14-5B6B-4374-8F6B-329C098CB901}"/>
    <cellStyle name="Normal 2 5 3 7 2 3 2" xfId="14279" xr:uid="{FF0E7107-585B-47D2-AEE8-D3BC5FA3383A}"/>
    <cellStyle name="Normal 2 5 3 7 2 4" xfId="14277" xr:uid="{F25B7DBE-893E-4CFD-B72A-ACA90997CE54}"/>
    <cellStyle name="Normal 2 5 3 7 3" xfId="5450" xr:uid="{EC8ACCC8-BA1D-4453-807F-399CA847A6DF}"/>
    <cellStyle name="Normal 2 5 3 7 3 2" xfId="14280" xr:uid="{13A7EFDF-FC64-4ADB-83F9-59E6112A890C}"/>
    <cellStyle name="Normal 2 5 3 7 4" xfId="5451" xr:uid="{B6520760-7D85-43BA-B0D4-DA2265A7F280}"/>
    <cellStyle name="Normal 2 5 3 7 4 2" xfId="14281" xr:uid="{1DB0D3AE-DFB0-46F2-8ADC-1374AC79E9A1}"/>
    <cellStyle name="Normal 2 5 3 7 5" xfId="14276" xr:uid="{C84526D4-9074-4DC0-A1C5-43CF467FA4FC}"/>
    <cellStyle name="Normal 2 5 3 8" xfId="5452" xr:uid="{225FB2BD-DB86-4DAC-85B4-65FD76C0BDC3}"/>
    <cellStyle name="Normal 2 5 3 8 2" xfId="5453" xr:uid="{031075C9-5AF8-426A-9637-6750D0534775}"/>
    <cellStyle name="Normal 2 5 3 8 2 2" xfId="5454" xr:uid="{962CA7CC-9650-40D5-AA93-CC0D22C44940}"/>
    <cellStyle name="Normal 2 5 3 8 2 2 2" xfId="14284" xr:uid="{C78A5FB1-D3CC-4398-9681-B7543F8F95DE}"/>
    <cellStyle name="Normal 2 5 3 8 2 3" xfId="5455" xr:uid="{A12629AB-35DB-4C47-A60B-B388A7E1AE22}"/>
    <cellStyle name="Normal 2 5 3 8 2 3 2" xfId="14285" xr:uid="{626ACFB2-9F4B-4341-8ABC-3D827663BBD8}"/>
    <cellStyle name="Normal 2 5 3 8 2 4" xfId="14283" xr:uid="{B8326387-5D4D-4ABD-871C-EFC8D1CA7C15}"/>
    <cellStyle name="Normal 2 5 3 8 3" xfId="5456" xr:uid="{4F268FEA-C553-4033-9506-16FA6E52F9E6}"/>
    <cellStyle name="Normal 2 5 3 8 3 2" xfId="14286" xr:uid="{E36A7811-BF35-4A4C-811D-E12F15DD891A}"/>
    <cellStyle name="Normal 2 5 3 8 4" xfId="5457" xr:uid="{1783E40B-BD35-490C-A2C4-6836393130FD}"/>
    <cellStyle name="Normal 2 5 3 8 4 2" xfId="14287" xr:uid="{C651B6A6-4E98-4299-BD73-E55117629496}"/>
    <cellStyle name="Normal 2 5 3 8 5" xfId="14282" xr:uid="{171C39B4-6057-4A0B-BD83-82FDF0043F02}"/>
    <cellStyle name="Normal 2 5 3 9" xfId="5458" xr:uid="{EB9FD9EB-A45E-4700-989A-B3BD3BF33DDA}"/>
    <cellStyle name="Normal 2 5 3 9 2" xfId="5459" xr:uid="{151EADF0-F872-4840-BBA6-7B5B94E1A96B}"/>
    <cellStyle name="Normal 2 5 3 9 2 2" xfId="5460" xr:uid="{BF8A1B67-B5D7-498E-A147-8DD204E4480F}"/>
    <cellStyle name="Normal 2 5 3 9 2 2 2" xfId="14290" xr:uid="{E20397AF-53DF-47D0-BAFB-5F4B5D9BE023}"/>
    <cellStyle name="Normal 2 5 3 9 2 3" xfId="5461" xr:uid="{EB831E51-B4C3-4A1C-8F22-791CFBAFEFF1}"/>
    <cellStyle name="Normal 2 5 3 9 2 3 2" xfId="14291" xr:uid="{B3B14FE7-C1A2-4063-9FDC-DB970B2C50DA}"/>
    <cellStyle name="Normal 2 5 3 9 2 4" xfId="14289" xr:uid="{80B8C1F1-71F1-47A4-BC50-850FF558FB3A}"/>
    <cellStyle name="Normal 2 5 3 9 3" xfId="5462" xr:uid="{21B4A274-E762-40DD-BDC5-7568E2145560}"/>
    <cellStyle name="Normal 2 5 3 9 3 2" xfId="14292" xr:uid="{EFD8D951-E4BB-4411-9185-20D1B444FEF0}"/>
    <cellStyle name="Normal 2 5 3 9 4" xfId="5463" xr:uid="{52860ED9-4980-4004-A622-2C35D8664D72}"/>
    <cellStyle name="Normal 2 5 3 9 4 2" xfId="14293" xr:uid="{3918F07C-3D35-4C2F-9C83-E4FA59A28EFE}"/>
    <cellStyle name="Normal 2 5 3 9 5" xfId="14288" xr:uid="{6977F3E5-6072-4E7E-8B28-1450A9E5B9D7}"/>
    <cellStyle name="Normal 2 5 30" xfId="5464" xr:uid="{A16D8C5A-BAC7-4E00-84A6-21A9CFAF6C9D}"/>
    <cellStyle name="Normal 2 5 30 2" xfId="5465" xr:uid="{31F02096-E201-45CB-ABE2-089673E8C376}"/>
    <cellStyle name="Normal 2 5 30 2 2" xfId="5466" xr:uid="{3F91949E-6DFB-469B-A638-7FE653A0E923}"/>
    <cellStyle name="Normal 2 5 30 2 2 2" xfId="14296" xr:uid="{9A4D70B9-43DD-4EA8-9F8F-AEE343C771E5}"/>
    <cellStyle name="Normal 2 5 30 2 3" xfId="5467" xr:uid="{9D1FB8B6-730B-450B-8312-F215A3B5021D}"/>
    <cellStyle name="Normal 2 5 30 2 3 2" xfId="14297" xr:uid="{281D2590-0934-40D9-AE5D-6721787E7FDF}"/>
    <cellStyle name="Normal 2 5 30 2 4" xfId="14295" xr:uid="{254AE68F-D753-4B90-820B-37B02FAF5945}"/>
    <cellStyle name="Normal 2 5 30 3" xfId="5468" xr:uid="{E7C3476E-CE1D-4C7C-86C4-7C19160A5B21}"/>
    <cellStyle name="Normal 2 5 30 3 2" xfId="14298" xr:uid="{07E5B901-1EA3-4432-9A1C-C19751F517FE}"/>
    <cellStyle name="Normal 2 5 30 4" xfId="5469" xr:uid="{3D094FB0-3276-43D7-B0EA-2A410E9534DC}"/>
    <cellStyle name="Normal 2 5 30 4 2" xfId="14299" xr:uid="{8CB11AE8-AA1C-4356-A7D1-7C32CEDAE1D6}"/>
    <cellStyle name="Normal 2 5 30 5" xfId="14294" xr:uid="{4D7C899D-1EC1-40CD-93C6-A825071C727D}"/>
    <cellStyle name="Normal 2 5 31" xfId="5470" xr:uid="{44E754EF-F518-43A4-B24B-0B4B7BD2DE4B}"/>
    <cellStyle name="Normal 2 5 31 2" xfId="5471" xr:uid="{8150A5D9-D3D6-45D5-855F-FE1F58EBEF37}"/>
    <cellStyle name="Normal 2 5 31 2 2" xfId="5472" xr:uid="{E3AE6BCD-57E5-47E4-9110-65EC6A7C8B0F}"/>
    <cellStyle name="Normal 2 5 31 2 2 2" xfId="14302" xr:uid="{6F38AB7F-03B9-47E4-B084-0B60FA7FE15F}"/>
    <cellStyle name="Normal 2 5 31 2 3" xfId="5473" xr:uid="{3A79A407-6945-4370-A1D7-8DFDCA125A7D}"/>
    <cellStyle name="Normal 2 5 31 2 3 2" xfId="14303" xr:uid="{85614622-1066-4BAF-B309-1FE25AAD5EF9}"/>
    <cellStyle name="Normal 2 5 31 2 4" xfId="14301" xr:uid="{F17B277F-A3E5-4E8C-BAD3-F5D392D837B8}"/>
    <cellStyle name="Normal 2 5 31 3" xfId="5474" xr:uid="{B9BD3E96-7F20-40AE-B8ED-7C42F6EE156E}"/>
    <cellStyle name="Normal 2 5 31 3 2" xfId="14304" xr:uid="{D1376C30-9665-4FF5-AAB8-243D85EF4A94}"/>
    <cellStyle name="Normal 2 5 31 4" xfId="5475" xr:uid="{CBC92A69-678B-4746-AE2D-6F9EB66BB359}"/>
    <cellStyle name="Normal 2 5 31 4 2" xfId="14305" xr:uid="{CF1C01BD-4D94-4C4C-B848-E640C86601D8}"/>
    <cellStyle name="Normal 2 5 31 5" xfId="14300" xr:uid="{811B9B1C-E8EE-44DC-BEA7-ED063A947E05}"/>
    <cellStyle name="Normal 2 5 32" xfId="5476" xr:uid="{80BB65DB-2CB8-40E7-BDDA-F0C0EF74EF64}"/>
    <cellStyle name="Normal 2 5 32 2" xfId="5477" xr:uid="{3A423EAA-751E-4AE7-8E7E-3A086AFE90ED}"/>
    <cellStyle name="Normal 2 5 32 2 2" xfId="5478" xr:uid="{DD38C9AD-0598-47C0-9FA4-694296E3888B}"/>
    <cellStyle name="Normal 2 5 32 2 2 2" xfId="14308" xr:uid="{DBB926EA-7616-4B04-9B31-7AF71A36B880}"/>
    <cellStyle name="Normal 2 5 32 2 3" xfId="5479" xr:uid="{F65E1CA7-A799-4757-97DF-799A0CA3A800}"/>
    <cellStyle name="Normal 2 5 32 2 3 2" xfId="14309" xr:uid="{913CA702-2687-48A5-A7FB-CE9C8684A16E}"/>
    <cellStyle name="Normal 2 5 32 2 4" xfId="14307" xr:uid="{0C99F331-7AD8-4521-80DD-01305B23B9F8}"/>
    <cellStyle name="Normal 2 5 32 3" xfId="5480" xr:uid="{D0E4107B-1B2F-480F-AE75-209632F5E2EE}"/>
    <cellStyle name="Normal 2 5 32 3 2" xfId="14310" xr:uid="{8F8A7853-5AD4-4FE0-809A-CFB15888363A}"/>
    <cellStyle name="Normal 2 5 32 4" xfId="5481" xr:uid="{78C51D52-0434-4519-B5C4-3B6972208C21}"/>
    <cellStyle name="Normal 2 5 32 4 2" xfId="14311" xr:uid="{B1C5462E-65E9-46CC-966E-41A7038AB5FA}"/>
    <cellStyle name="Normal 2 5 32 5" xfId="14306" xr:uid="{52CF11D2-336E-409C-8977-B558159F3069}"/>
    <cellStyle name="Normal 2 5 33" xfId="5482" xr:uid="{97A346D6-1E30-4F97-AA90-9EAEBB3268CE}"/>
    <cellStyle name="Normal 2 5 33 2" xfId="5483" xr:uid="{9270B519-AAA4-4473-BE41-B36F98951E36}"/>
    <cellStyle name="Normal 2 5 33 2 2" xfId="5484" xr:uid="{A9DBA583-1AB6-4202-8E6B-D9D47E0A755F}"/>
    <cellStyle name="Normal 2 5 33 2 2 2" xfId="14314" xr:uid="{D99F105A-7E44-46DD-8049-A93951E657A6}"/>
    <cellStyle name="Normal 2 5 33 2 3" xfId="5485" xr:uid="{6756471F-B760-4F85-B45C-DC7779485437}"/>
    <cellStyle name="Normal 2 5 33 2 3 2" xfId="14315" xr:uid="{D63A25FD-43D3-455D-8AD5-82F104D4A401}"/>
    <cellStyle name="Normal 2 5 33 2 4" xfId="14313" xr:uid="{617ECC77-D143-47B1-8687-C7597FC9303A}"/>
    <cellStyle name="Normal 2 5 33 3" xfId="5486" xr:uid="{7B3170AE-289B-43DA-8DF6-63742105296E}"/>
    <cellStyle name="Normal 2 5 33 3 2" xfId="14316" xr:uid="{DF855850-04D4-4C58-9C8B-ECB64CB46217}"/>
    <cellStyle name="Normal 2 5 33 4" xfId="5487" xr:uid="{3329EAA1-CF99-4307-A14A-37EE8F23037D}"/>
    <cellStyle name="Normal 2 5 33 4 2" xfId="14317" xr:uid="{2DAE6794-0FED-493E-9898-06587D4D042E}"/>
    <cellStyle name="Normal 2 5 33 5" xfId="14312" xr:uid="{A2C7AADD-AACC-4E19-864C-7F27F0FEA321}"/>
    <cellStyle name="Normal 2 5 34" xfId="5488" xr:uid="{909DBC74-815F-4ED6-B75D-E0EA2F2DF2CF}"/>
    <cellStyle name="Normal 2 5 34 2" xfId="5489" xr:uid="{F29589AA-AC9E-475C-953E-59FFF35B914D}"/>
    <cellStyle name="Normal 2 5 34 2 2" xfId="5490" xr:uid="{19967F7D-ECE6-49A3-8477-7EF522DE5BA4}"/>
    <cellStyle name="Normal 2 5 34 2 2 2" xfId="14320" xr:uid="{79560E8D-2B26-4278-A62C-52F0C16AC3D7}"/>
    <cellStyle name="Normal 2 5 34 2 3" xfId="5491" xr:uid="{2DEFBEE4-51BF-4A69-B849-2D0B958AB91E}"/>
    <cellStyle name="Normal 2 5 34 2 3 2" xfId="14321" xr:uid="{3AE3E532-C3CA-4586-9641-AA48B5236080}"/>
    <cellStyle name="Normal 2 5 34 2 4" xfId="14319" xr:uid="{88001383-F9C3-4398-9A32-E7B5744E81F6}"/>
    <cellStyle name="Normal 2 5 34 3" xfId="5492" xr:uid="{C0BF25BE-38C7-451D-B1BD-DA86385A1F60}"/>
    <cellStyle name="Normal 2 5 34 3 2" xfId="14322" xr:uid="{DCA22A63-B848-4F05-AD65-36C86892C0CC}"/>
    <cellStyle name="Normal 2 5 34 4" xfId="5493" xr:uid="{332C677C-0BF7-427C-A122-AEA05280731A}"/>
    <cellStyle name="Normal 2 5 34 4 2" xfId="14323" xr:uid="{6D7467EC-DF87-41CD-A5B0-D4E4B7B6FCA5}"/>
    <cellStyle name="Normal 2 5 34 5" xfId="14318" xr:uid="{163812FF-825A-4B19-8AFC-BE6480E76217}"/>
    <cellStyle name="Normal 2 5 35" xfId="5494" xr:uid="{5C994700-0DD9-4A3A-AAB0-D667DA68AE43}"/>
    <cellStyle name="Normal 2 5 35 2" xfId="5495" xr:uid="{DBF39969-1CC1-44E0-8B1D-3538A2684CCD}"/>
    <cellStyle name="Normal 2 5 35 2 2" xfId="5496" xr:uid="{07B854DD-0557-490D-914C-AB117E249561}"/>
    <cellStyle name="Normal 2 5 35 2 2 2" xfId="14326" xr:uid="{35E12008-5F30-4C65-9D75-5448A47A11B8}"/>
    <cellStyle name="Normal 2 5 35 2 3" xfId="5497" xr:uid="{BFDD7BF6-92C6-4C55-831B-FAB96B604D4C}"/>
    <cellStyle name="Normal 2 5 35 2 3 2" xfId="14327" xr:uid="{64264B18-8F7F-45F8-8A9D-34B92CB9254F}"/>
    <cellStyle name="Normal 2 5 35 2 4" xfId="14325" xr:uid="{6E0308FB-467C-42A0-9DCD-99CF77625939}"/>
    <cellStyle name="Normal 2 5 35 3" xfId="5498" xr:uid="{66AD9DE0-6E14-4AF0-9EE2-D1692300296B}"/>
    <cellStyle name="Normal 2 5 35 3 2" xfId="14328" xr:uid="{11A84B71-CB06-404F-AD13-5A14B5BE8B76}"/>
    <cellStyle name="Normal 2 5 35 4" xfId="5499" xr:uid="{3FBD7592-42FE-4B3C-9CD2-93079A7BED5E}"/>
    <cellStyle name="Normal 2 5 35 4 2" xfId="14329" xr:uid="{3F7A252A-3F93-4E50-A58B-25501C5C72B1}"/>
    <cellStyle name="Normal 2 5 35 5" xfId="14324" xr:uid="{E4C4F01E-4832-4D8B-AA99-F8CD592A273D}"/>
    <cellStyle name="Normal 2 5 36" xfId="5500" xr:uid="{78F3039B-4B8B-43D1-B316-B7796BD95B32}"/>
    <cellStyle name="Normal 2 5 36 2" xfId="5501" xr:uid="{57B6727B-92DD-436F-8B0D-9DD5720ED509}"/>
    <cellStyle name="Normal 2 5 36 2 2" xfId="5502" xr:uid="{E8331BB4-C807-4185-B0B0-07E2E9BE6D96}"/>
    <cellStyle name="Normal 2 5 36 2 2 2" xfId="14332" xr:uid="{F01B61DC-E151-4AB3-BFE4-C7B0E5112199}"/>
    <cellStyle name="Normal 2 5 36 2 3" xfId="5503" xr:uid="{D8E91336-2ABB-46F1-9C62-20B1377C5537}"/>
    <cellStyle name="Normal 2 5 36 2 3 2" xfId="14333" xr:uid="{7A328038-36D0-4582-A9C0-6B4591BCCB65}"/>
    <cellStyle name="Normal 2 5 36 2 4" xfId="14331" xr:uid="{50D936D0-A447-4796-B10F-454E507CE639}"/>
    <cellStyle name="Normal 2 5 36 3" xfId="5504" xr:uid="{EC9A9F43-CD93-46C9-B765-8532874395D8}"/>
    <cellStyle name="Normal 2 5 36 3 2" xfId="14334" xr:uid="{7E369EFF-CFB0-4508-BF04-C31D35837CFF}"/>
    <cellStyle name="Normal 2 5 36 4" xfId="5505" xr:uid="{CDB2A08A-7390-4D70-98D4-C08289F63D53}"/>
    <cellStyle name="Normal 2 5 36 4 2" xfId="14335" xr:uid="{0087DC1A-39E0-4B06-B844-351D12136509}"/>
    <cellStyle name="Normal 2 5 36 5" xfId="14330" xr:uid="{05119889-9FDF-4E5A-9E2D-D0D2746FCED7}"/>
    <cellStyle name="Normal 2 5 37" xfId="5506" xr:uid="{08ECEC70-0751-46B1-802C-9FCA8090250B}"/>
    <cellStyle name="Normal 2 5 37 2" xfId="5507" xr:uid="{D396817A-2C9A-4CB8-8EB6-FBC53B62A76B}"/>
    <cellStyle name="Normal 2 5 37 2 2" xfId="5508" xr:uid="{1AF5D5DC-891E-4E84-873F-4ED46E07B729}"/>
    <cellStyle name="Normal 2 5 37 2 2 2" xfId="14338" xr:uid="{8A0559C9-92C0-4F5E-8227-28AA0BE12137}"/>
    <cellStyle name="Normal 2 5 37 2 3" xfId="5509" xr:uid="{AF4F1F4F-FB89-4F78-A307-51F0156946EE}"/>
    <cellStyle name="Normal 2 5 37 2 3 2" xfId="14339" xr:uid="{45C57A88-0FA3-4D73-80CF-13F46E877167}"/>
    <cellStyle name="Normal 2 5 37 2 4" xfId="14337" xr:uid="{68E0072F-3719-4E47-A837-FC44F2A0A2CC}"/>
    <cellStyle name="Normal 2 5 37 3" xfId="5510" xr:uid="{E7260EBD-7353-4750-9A5E-93A66827FB26}"/>
    <cellStyle name="Normal 2 5 37 3 2" xfId="14340" xr:uid="{AC807C22-50D0-4C2A-943D-D98816C511B9}"/>
    <cellStyle name="Normal 2 5 37 4" xfId="5511" xr:uid="{2A5D89C6-A739-4E82-A4D4-8BB2E14146EE}"/>
    <cellStyle name="Normal 2 5 37 4 2" xfId="14341" xr:uid="{0F847C26-A0AB-4E8C-8039-095659D7B594}"/>
    <cellStyle name="Normal 2 5 37 5" xfId="14336" xr:uid="{B63FD930-34ED-45B1-B9D9-33BF8AE24A0F}"/>
    <cellStyle name="Normal 2 5 38" xfId="5512" xr:uid="{64FA17A8-633B-42DB-A42C-710436C3F58D}"/>
    <cellStyle name="Normal 2 5 38 2" xfId="5513" xr:uid="{7D04DFA0-79D1-4371-8FC5-945ED9C861EA}"/>
    <cellStyle name="Normal 2 5 38 2 2" xfId="5514" xr:uid="{81878540-7101-4844-994D-778C27303427}"/>
    <cellStyle name="Normal 2 5 38 2 2 2" xfId="14344" xr:uid="{003CC60F-6F15-4810-9437-01A6ABDA13EB}"/>
    <cellStyle name="Normal 2 5 38 2 3" xfId="5515" xr:uid="{FED5CD47-272A-4BC4-B758-0C5B0AB8074D}"/>
    <cellStyle name="Normal 2 5 38 2 3 2" xfId="14345" xr:uid="{92336B3F-72B2-40A9-915A-E84D4ED05436}"/>
    <cellStyle name="Normal 2 5 38 2 4" xfId="14343" xr:uid="{33659732-BC37-4279-8139-38346AE94B08}"/>
    <cellStyle name="Normal 2 5 38 3" xfId="5516" xr:uid="{F0D956D7-C5A3-4FD0-861B-09057CEDB92C}"/>
    <cellStyle name="Normal 2 5 38 3 2" xfId="14346" xr:uid="{0C91BB1B-2197-4150-8A98-B1E4DC0F2593}"/>
    <cellStyle name="Normal 2 5 38 4" xfId="5517" xr:uid="{24A49CC4-1628-4E21-8643-ACDAD553EB73}"/>
    <cellStyle name="Normal 2 5 38 4 2" xfId="14347" xr:uid="{7F9E752E-F29D-451B-80EB-C692D4904B01}"/>
    <cellStyle name="Normal 2 5 38 5" xfId="14342" xr:uid="{F9355565-F100-4DCB-A6F5-E244913876BE}"/>
    <cellStyle name="Normal 2 5 39" xfId="5518" xr:uid="{E1F3692F-76AA-47E2-9D15-83EAD3092746}"/>
    <cellStyle name="Normal 2 5 39 2" xfId="5519" xr:uid="{1340449E-55FC-4087-AD5B-E6D634543C12}"/>
    <cellStyle name="Normal 2 5 39 2 2" xfId="5520" xr:uid="{6F83A61A-AEFF-4C4F-9C08-7CF93352E22F}"/>
    <cellStyle name="Normal 2 5 39 2 2 2" xfId="14350" xr:uid="{3749CC5F-109E-4DAA-8B78-4DD8B8C49C98}"/>
    <cellStyle name="Normal 2 5 39 2 3" xfId="5521" xr:uid="{67ECDDEA-1051-4A38-97C7-B78B9EB026A3}"/>
    <cellStyle name="Normal 2 5 39 2 3 2" xfId="14351" xr:uid="{90F8935E-881C-4F14-BBAB-67EF789AED9E}"/>
    <cellStyle name="Normal 2 5 39 2 4" xfId="14349" xr:uid="{755B3BC7-F3BB-4882-99B3-10BA9B0AC854}"/>
    <cellStyle name="Normal 2 5 39 3" xfId="5522" xr:uid="{1D4E0928-5453-4DD0-BADF-154F71AC058E}"/>
    <cellStyle name="Normal 2 5 39 3 2" xfId="14352" xr:uid="{ED96BEA2-1B62-4147-ACF8-5761AA0901E3}"/>
    <cellStyle name="Normal 2 5 39 4" xfId="5523" xr:uid="{BCAA6FAA-3BEA-4441-B416-09305D364E3D}"/>
    <cellStyle name="Normal 2 5 39 4 2" xfId="14353" xr:uid="{A534FE1D-411A-472E-A446-5725EBF9E365}"/>
    <cellStyle name="Normal 2 5 39 5" xfId="14348" xr:uid="{13F95154-6045-4013-9D86-4E762F683259}"/>
    <cellStyle name="Normal 2 5 4" xfId="5524" xr:uid="{DECB908F-695F-4EC1-9C87-91687A26A0C0}"/>
    <cellStyle name="Normal 2 5 4 10" xfId="5525" xr:uid="{EE3FBCC5-D5BB-4138-9937-3277C5265671}"/>
    <cellStyle name="Normal 2 5 4 10 2" xfId="5526" xr:uid="{9B6AF83E-B252-4EBD-BED4-445466CA2071}"/>
    <cellStyle name="Normal 2 5 4 10 2 2" xfId="5527" xr:uid="{38D8D8A2-9679-4E43-9CBB-83898F8C8246}"/>
    <cellStyle name="Normal 2 5 4 10 2 2 2" xfId="14357" xr:uid="{988B1F77-741E-497A-8645-805D946DE9FD}"/>
    <cellStyle name="Normal 2 5 4 10 2 3" xfId="5528" xr:uid="{D81C0A5D-5F84-4821-A03A-F3D36C4D5DDB}"/>
    <cellStyle name="Normal 2 5 4 10 2 3 2" xfId="14358" xr:uid="{B6D48632-9F11-4E84-A860-53927A91A911}"/>
    <cellStyle name="Normal 2 5 4 10 2 4" xfId="14356" xr:uid="{7A1FB14E-73E6-41F1-9E33-750E9E540079}"/>
    <cellStyle name="Normal 2 5 4 10 3" xfId="5529" xr:uid="{1F1CD3A3-F402-496D-B4A6-2869CA322789}"/>
    <cellStyle name="Normal 2 5 4 10 3 2" xfId="14359" xr:uid="{1AC4898B-5EA4-4BC6-B20B-42F01207A5A8}"/>
    <cellStyle name="Normal 2 5 4 10 4" xfId="5530" xr:uid="{6C94936B-208B-4D57-8F14-975FFD5A3FB3}"/>
    <cellStyle name="Normal 2 5 4 10 4 2" xfId="14360" xr:uid="{C4A671FE-B125-482D-BDA4-415C03F36521}"/>
    <cellStyle name="Normal 2 5 4 10 5" xfId="14355" xr:uid="{AF8D82A7-121D-4310-B29E-777EE0AB7182}"/>
    <cellStyle name="Normal 2 5 4 11" xfId="5531" xr:uid="{0A8DB077-9331-476F-BE71-60564083D0CB}"/>
    <cellStyle name="Normal 2 5 4 11 2" xfId="5532" xr:uid="{69FF9C0E-2168-47ED-B013-0F970B1268E0}"/>
    <cellStyle name="Normal 2 5 4 11 2 2" xfId="5533" xr:uid="{20C44E6F-D2CE-4E52-BC3A-F62C263C2581}"/>
    <cellStyle name="Normal 2 5 4 11 2 2 2" xfId="14363" xr:uid="{FC271B7E-CE73-4C99-871E-9D8B94644049}"/>
    <cellStyle name="Normal 2 5 4 11 2 3" xfId="5534" xr:uid="{1E43C1ED-2906-4E42-9658-DCDF967CC093}"/>
    <cellStyle name="Normal 2 5 4 11 2 3 2" xfId="14364" xr:uid="{D49A66F1-5FC4-4D19-9744-3580DBBACCA1}"/>
    <cellStyle name="Normal 2 5 4 11 2 4" xfId="14362" xr:uid="{5E5580F7-C24B-4101-B799-213FF959E955}"/>
    <cellStyle name="Normal 2 5 4 11 3" xfId="5535" xr:uid="{FA53A7AE-2AC2-4A1A-BD34-19A2D446EAC8}"/>
    <cellStyle name="Normal 2 5 4 11 3 2" xfId="14365" xr:uid="{6952D576-5F69-4EE6-ADCA-30560D3D9E28}"/>
    <cellStyle name="Normal 2 5 4 11 4" xfId="5536" xr:uid="{C05AC77C-DAAE-4D2F-954F-B043D2479CF7}"/>
    <cellStyle name="Normal 2 5 4 11 4 2" xfId="14366" xr:uid="{7FF00A8D-E40A-4245-B0E2-D75D43110744}"/>
    <cellStyle name="Normal 2 5 4 11 5" xfId="14361" xr:uid="{841371F9-E41B-401C-A519-8C994C494E19}"/>
    <cellStyle name="Normal 2 5 4 12" xfId="5537" xr:uid="{802F91F7-3E64-4178-923C-2A316CC1D117}"/>
    <cellStyle name="Normal 2 5 4 12 2" xfId="5538" xr:uid="{BC284C75-FF2A-4EC6-AB8A-4B2E0DB4D580}"/>
    <cellStyle name="Normal 2 5 4 12 2 2" xfId="5539" xr:uid="{05470B4A-46D2-4E8D-B8B0-922D9825B2F1}"/>
    <cellStyle name="Normal 2 5 4 12 2 2 2" xfId="14369" xr:uid="{0BE38FE8-E52E-4EF2-B0CE-78BD5BB4A46F}"/>
    <cellStyle name="Normal 2 5 4 12 2 3" xfId="5540" xr:uid="{0A1D0C02-135A-484F-A4CE-6087C56CED38}"/>
    <cellStyle name="Normal 2 5 4 12 2 3 2" xfId="14370" xr:uid="{041940E2-2A2A-4626-9263-3EF2D879A774}"/>
    <cellStyle name="Normal 2 5 4 12 2 4" xfId="14368" xr:uid="{D6863BAC-776F-4B60-866A-F0D59B885AA7}"/>
    <cellStyle name="Normal 2 5 4 12 3" xfId="5541" xr:uid="{9B1306E9-352C-4A60-A06B-FE84D98734EC}"/>
    <cellStyle name="Normal 2 5 4 12 3 2" xfId="14371" xr:uid="{87F372A1-DEDE-4A51-B5F6-573A4717BBD4}"/>
    <cellStyle name="Normal 2 5 4 12 4" xfId="5542" xr:uid="{9FD985C2-6692-4201-B1B8-1472C541D5F7}"/>
    <cellStyle name="Normal 2 5 4 12 4 2" xfId="14372" xr:uid="{8F574FF8-7965-4627-AB10-3420C3607E46}"/>
    <cellStyle name="Normal 2 5 4 12 5" xfId="14367" xr:uid="{E6B2D45A-214A-4FBF-9EAE-F31A89D9BD8A}"/>
    <cellStyle name="Normal 2 5 4 13" xfId="5543" xr:uid="{399290DC-064D-42EB-B6F5-625EAEB56A42}"/>
    <cellStyle name="Normal 2 5 4 13 2" xfId="5544" xr:uid="{86FB15AC-5D10-4538-8919-454851C04A86}"/>
    <cellStyle name="Normal 2 5 4 13 2 2" xfId="5545" xr:uid="{ABA91EBB-E137-4EE7-A592-6D47F0A9FD0B}"/>
    <cellStyle name="Normal 2 5 4 13 2 2 2" xfId="14375" xr:uid="{8DA32E7F-71CE-4F04-A617-BA4C1188B428}"/>
    <cellStyle name="Normal 2 5 4 13 2 3" xfId="5546" xr:uid="{28CF1022-4315-4C33-83F5-DCB36184BF3E}"/>
    <cellStyle name="Normal 2 5 4 13 2 3 2" xfId="14376" xr:uid="{052B0324-22D1-4D69-A5DA-4430E35A066E}"/>
    <cellStyle name="Normal 2 5 4 13 2 4" xfId="14374" xr:uid="{5F1D6E0C-5B57-400D-8AF8-7FBE59799998}"/>
    <cellStyle name="Normal 2 5 4 13 3" xfId="5547" xr:uid="{04B398B2-8BF3-4674-94D2-C4A5720B813F}"/>
    <cellStyle name="Normal 2 5 4 13 3 2" xfId="14377" xr:uid="{2449EB74-963E-4995-B1CA-CD476A68977D}"/>
    <cellStyle name="Normal 2 5 4 13 4" xfId="5548" xr:uid="{E8AF12E8-CA6E-4243-AB74-7FCFC177A9F0}"/>
    <cellStyle name="Normal 2 5 4 13 4 2" xfId="14378" xr:uid="{C1965F2E-7B17-422E-8C6D-610884B795FA}"/>
    <cellStyle name="Normal 2 5 4 13 5" xfId="14373" xr:uid="{1E13C4B4-3930-4E18-8C07-C28289ED4EB1}"/>
    <cellStyle name="Normal 2 5 4 14" xfId="5549" xr:uid="{74F8351C-DD78-40C2-91F0-50F1DEB7FCB3}"/>
    <cellStyle name="Normal 2 5 4 14 2" xfId="5550" xr:uid="{2F0C7C36-9AD6-43EE-954B-5CCDC2747E77}"/>
    <cellStyle name="Normal 2 5 4 14 2 2" xfId="5551" xr:uid="{0933D4C8-C7EC-47F0-B413-4F69912A31AE}"/>
    <cellStyle name="Normal 2 5 4 14 2 2 2" xfId="14381" xr:uid="{AA63B4AA-B65F-417D-BD67-204F08F6C360}"/>
    <cellStyle name="Normal 2 5 4 14 2 3" xfId="5552" xr:uid="{AD54377B-FCF5-48E6-9BDD-5E212E8D2C80}"/>
    <cellStyle name="Normal 2 5 4 14 2 3 2" xfId="14382" xr:uid="{D540E593-1ECC-4A14-A5E8-AC254A1CCB5F}"/>
    <cellStyle name="Normal 2 5 4 14 2 4" xfId="14380" xr:uid="{BB5FBF00-D465-453F-9290-9F477CB62720}"/>
    <cellStyle name="Normal 2 5 4 14 3" xfId="5553" xr:uid="{77B426BD-C953-4762-8358-B00E0322E942}"/>
    <cellStyle name="Normal 2 5 4 14 3 2" xfId="14383" xr:uid="{AD05FC37-C1AA-4EDC-852D-CACA5953A61F}"/>
    <cellStyle name="Normal 2 5 4 14 4" xfId="5554" xr:uid="{5F915660-3C31-427B-9B0D-83BBB5BB4375}"/>
    <cellStyle name="Normal 2 5 4 14 4 2" xfId="14384" xr:uid="{6D7AD05D-F885-448F-82BB-03244E5E8BEE}"/>
    <cellStyle name="Normal 2 5 4 14 5" xfId="14379" xr:uid="{613D5EC1-4639-4C31-88A6-FD18DB1399DB}"/>
    <cellStyle name="Normal 2 5 4 15" xfId="5555" xr:uid="{AA6D9903-7CD4-47E6-92D2-DE10091BD348}"/>
    <cellStyle name="Normal 2 5 4 15 2" xfId="5556" xr:uid="{ECC476E1-2D11-41B7-9936-15A355B4EBCD}"/>
    <cellStyle name="Normal 2 5 4 15 2 2" xfId="5557" xr:uid="{19ABD3FD-A1BB-4378-8D1E-4712C2531ACB}"/>
    <cellStyle name="Normal 2 5 4 15 2 2 2" xfId="14387" xr:uid="{BCB7D52F-DA83-4F3E-B6AE-6B74F06570F7}"/>
    <cellStyle name="Normal 2 5 4 15 2 3" xfId="5558" xr:uid="{75E1D613-F4BD-4536-A117-8E153E94B878}"/>
    <cellStyle name="Normal 2 5 4 15 2 3 2" xfId="14388" xr:uid="{444785EC-8F95-4133-936C-D9B3FE6928E6}"/>
    <cellStyle name="Normal 2 5 4 15 2 4" xfId="14386" xr:uid="{646FE7E4-BADA-411C-850C-CD6698E4C326}"/>
    <cellStyle name="Normal 2 5 4 15 3" xfId="5559" xr:uid="{EB0ECCFD-A2CC-4C6E-9515-4965763B090D}"/>
    <cellStyle name="Normal 2 5 4 15 3 2" xfId="14389" xr:uid="{A8470C59-75AC-45E2-AE6D-63FF2F936935}"/>
    <cellStyle name="Normal 2 5 4 15 4" xfId="5560" xr:uid="{A6F1E66F-69A6-484B-B06C-AE52B69AC3BD}"/>
    <cellStyle name="Normal 2 5 4 15 4 2" xfId="14390" xr:uid="{8984DFD1-3C0B-4F81-A9D3-D8C1A9A9C56B}"/>
    <cellStyle name="Normal 2 5 4 15 5" xfId="14385" xr:uid="{3BCA7038-66BE-4257-88D8-906D0427F1B5}"/>
    <cellStyle name="Normal 2 5 4 16" xfId="5561" xr:uid="{CDFBB44C-CD9A-4809-9379-C709026AB125}"/>
    <cellStyle name="Normal 2 5 4 16 2" xfId="5562" xr:uid="{C8E84686-4515-47F3-871E-16BF128B8B3F}"/>
    <cellStyle name="Normal 2 5 4 16 2 2" xfId="5563" xr:uid="{F4518340-2BF1-4E55-B968-401298ABE3EE}"/>
    <cellStyle name="Normal 2 5 4 16 2 2 2" xfId="14393" xr:uid="{E2154192-0D1D-4EBE-AD2D-D028BD7949B6}"/>
    <cellStyle name="Normal 2 5 4 16 2 3" xfId="5564" xr:uid="{7C5814FE-D9C8-4AF3-8F43-0443DD018626}"/>
    <cellStyle name="Normal 2 5 4 16 2 3 2" xfId="14394" xr:uid="{6DCDB59E-A349-40F8-9933-CB1BE0369FBA}"/>
    <cellStyle name="Normal 2 5 4 16 2 4" xfId="14392" xr:uid="{53FC8619-E237-4E20-B261-EA2C52722D90}"/>
    <cellStyle name="Normal 2 5 4 16 3" xfId="5565" xr:uid="{61F72452-EB07-4A13-A6F5-DCBBA2F58D12}"/>
    <cellStyle name="Normal 2 5 4 16 3 2" xfId="14395" xr:uid="{6198973C-3712-4564-8D9C-2F19B556FB9B}"/>
    <cellStyle name="Normal 2 5 4 16 4" xfId="5566" xr:uid="{6AD18301-94AF-4234-9F3B-235FF967AD9B}"/>
    <cellStyle name="Normal 2 5 4 16 4 2" xfId="14396" xr:uid="{80876ED5-7F81-4BF5-AC18-CDA5408CC7EE}"/>
    <cellStyle name="Normal 2 5 4 16 5" xfId="14391" xr:uid="{7C54CA66-6461-4FEC-AE39-AB7D8AC50789}"/>
    <cellStyle name="Normal 2 5 4 17" xfId="5567" xr:uid="{39D57410-3EB0-41ED-A8C4-5B095D08790E}"/>
    <cellStyle name="Normal 2 5 4 17 2" xfId="5568" xr:uid="{4923B5D8-7F71-421E-8BE9-34ECAA8B7255}"/>
    <cellStyle name="Normal 2 5 4 17 2 2" xfId="5569" xr:uid="{5448C5BD-4700-499D-B618-8E834B865674}"/>
    <cellStyle name="Normal 2 5 4 17 2 2 2" xfId="14399" xr:uid="{1325FE73-947F-454B-B077-2D51598859E6}"/>
    <cellStyle name="Normal 2 5 4 17 2 3" xfId="5570" xr:uid="{E9C4096C-052D-46CE-B52B-4FD559477BEA}"/>
    <cellStyle name="Normal 2 5 4 17 2 3 2" xfId="14400" xr:uid="{8C5A0ECC-2729-4306-A1FD-0713DB298A4C}"/>
    <cellStyle name="Normal 2 5 4 17 2 4" xfId="14398" xr:uid="{996971D5-855B-47FD-93A5-1A593AC8308A}"/>
    <cellStyle name="Normal 2 5 4 17 3" xfId="5571" xr:uid="{7CA0F50D-FD79-4C00-90FF-2D2F3021CE12}"/>
    <cellStyle name="Normal 2 5 4 17 3 2" xfId="14401" xr:uid="{A9E3B72B-DAFF-4786-95A0-DB5D03DD6EC0}"/>
    <cellStyle name="Normal 2 5 4 17 4" xfId="5572" xr:uid="{0E42C698-AE27-4F57-8A6E-BF388F54570F}"/>
    <cellStyle name="Normal 2 5 4 17 4 2" xfId="14402" xr:uid="{6C2AA72A-4229-4F49-ABF0-3ABA0F3BB224}"/>
    <cellStyle name="Normal 2 5 4 17 5" xfId="14397" xr:uid="{D54B2F79-9B6D-466A-8539-4982DEBE43E8}"/>
    <cellStyle name="Normal 2 5 4 18" xfId="5573" xr:uid="{0A669E8E-C0E9-455E-AF4A-8DE71F28F2B6}"/>
    <cellStyle name="Normal 2 5 4 18 2" xfId="5574" xr:uid="{2C392DCF-8C4E-4E5E-BAE2-97391516BDF0}"/>
    <cellStyle name="Normal 2 5 4 18 2 2" xfId="5575" xr:uid="{CA042232-5FE8-4516-98F0-F78E1D3B7E4D}"/>
    <cellStyle name="Normal 2 5 4 18 2 2 2" xfId="14405" xr:uid="{26B63DF3-6813-4270-8595-9559B08F2E73}"/>
    <cellStyle name="Normal 2 5 4 18 2 3" xfId="5576" xr:uid="{186F7967-5658-4D67-9FF5-84EA653BCB33}"/>
    <cellStyle name="Normal 2 5 4 18 2 3 2" xfId="14406" xr:uid="{34C8C96A-133E-40FE-A6E4-7E846AA6423F}"/>
    <cellStyle name="Normal 2 5 4 18 2 4" xfId="14404" xr:uid="{88AED3F6-1C35-4F2E-9985-DB9CDCB9A63D}"/>
    <cellStyle name="Normal 2 5 4 18 3" xfId="5577" xr:uid="{766D13ED-31A1-4898-A507-01EA2665B8BF}"/>
    <cellStyle name="Normal 2 5 4 18 3 2" xfId="14407" xr:uid="{AFABFBBE-3960-461A-8C4F-CC48724E754E}"/>
    <cellStyle name="Normal 2 5 4 18 4" xfId="5578" xr:uid="{742AB05A-7AD3-4DE1-88C4-3E4CA8296ADC}"/>
    <cellStyle name="Normal 2 5 4 18 4 2" xfId="14408" xr:uid="{E8A1505E-51D4-4B9F-9515-466B1A855176}"/>
    <cellStyle name="Normal 2 5 4 18 5" xfId="14403" xr:uid="{13081849-B140-4D07-9C40-A08AEEDC3564}"/>
    <cellStyle name="Normal 2 5 4 19" xfId="5579" xr:uid="{EA50CCC6-321B-4BFD-87B3-7B46471B3138}"/>
    <cellStyle name="Normal 2 5 4 19 2" xfId="5580" xr:uid="{14CA730C-4AF5-46E9-8920-804D5D6222C2}"/>
    <cellStyle name="Normal 2 5 4 19 2 2" xfId="5581" xr:uid="{AF5CD0AC-1269-4DA5-BA48-C9A7B41C4AA8}"/>
    <cellStyle name="Normal 2 5 4 19 2 2 2" xfId="14411" xr:uid="{F29020DD-3D1D-4324-9351-D7CF73AB3F82}"/>
    <cellStyle name="Normal 2 5 4 19 2 3" xfId="5582" xr:uid="{3A43F199-2C3D-458B-87DD-C0B5C0701DE4}"/>
    <cellStyle name="Normal 2 5 4 19 2 3 2" xfId="14412" xr:uid="{60F83B48-E295-45E4-A2C8-8DB0B18D7F13}"/>
    <cellStyle name="Normal 2 5 4 19 2 4" xfId="14410" xr:uid="{66F9A38D-1C39-43B5-909D-2927A4B0FAA9}"/>
    <cellStyle name="Normal 2 5 4 19 3" xfId="5583" xr:uid="{EAEAA07A-35B7-4419-AA22-BE5C02949C5B}"/>
    <cellStyle name="Normal 2 5 4 19 3 2" xfId="14413" xr:uid="{3644D02D-A3FC-42DB-98A2-5C23A802DA85}"/>
    <cellStyle name="Normal 2 5 4 19 4" xfId="5584" xr:uid="{21E16767-E823-4E1D-93D0-E64009C7CB4F}"/>
    <cellStyle name="Normal 2 5 4 19 4 2" xfId="14414" xr:uid="{465B58B3-5AE4-498A-9C54-0B9CE53131B4}"/>
    <cellStyle name="Normal 2 5 4 19 5" xfId="14409" xr:uid="{3CEA1131-96F8-46FF-9396-7200E22E7D6C}"/>
    <cellStyle name="Normal 2 5 4 2" xfId="5585" xr:uid="{5F30D058-C4E0-4B46-B8FF-E196CCCC0AC5}"/>
    <cellStyle name="Normal 2 5 4 2 2" xfId="5586" xr:uid="{D2717E8A-24F9-4E69-94BC-42B63B434705}"/>
    <cellStyle name="Normal 2 5 4 2 2 2" xfId="5587" xr:uid="{FBA8E020-1B6D-40B0-9B99-E120A8DAA1A0}"/>
    <cellStyle name="Normal 2 5 4 2 2 2 2" xfId="14417" xr:uid="{26BBCF42-AA31-41AD-AE65-20FA8D807F02}"/>
    <cellStyle name="Normal 2 5 4 2 2 3" xfId="5588" xr:uid="{AA0E2F72-EEC0-4C7D-8FF1-A170073EFF38}"/>
    <cellStyle name="Normal 2 5 4 2 2 3 2" xfId="14418" xr:uid="{8C457F88-3F61-44A3-91C1-1F883752EA4D}"/>
    <cellStyle name="Normal 2 5 4 2 2 4" xfId="14416" xr:uid="{5388E826-B58F-4E20-A047-47AB9877EDB8}"/>
    <cellStyle name="Normal 2 5 4 2 3" xfId="5589" xr:uid="{505079F7-D1AE-4C7C-98A9-D817D0F492C5}"/>
    <cellStyle name="Normal 2 5 4 2 3 2" xfId="14419" xr:uid="{74A2B47C-4AC3-412E-8E48-B603630D4EED}"/>
    <cellStyle name="Normal 2 5 4 2 4" xfId="5590" xr:uid="{AB8C3EBA-C6B9-4FFF-A5D1-342915B4F024}"/>
    <cellStyle name="Normal 2 5 4 2 4 2" xfId="14420" xr:uid="{C07CA66D-BBE0-40DC-8DC7-5AAD18A894A2}"/>
    <cellStyle name="Normal 2 5 4 2 5" xfId="14415" xr:uid="{F600B263-C4E7-4B1C-8A0F-1A6F18CF2F16}"/>
    <cellStyle name="Normal 2 5 4 20" xfId="5591" xr:uid="{1C7FE80F-52BA-42BE-8344-CB2E932911EF}"/>
    <cellStyle name="Normal 2 5 4 20 2" xfId="5592" xr:uid="{5E54600B-D1F9-4F8C-9CF1-C456EF2E4374}"/>
    <cellStyle name="Normal 2 5 4 20 2 2" xfId="5593" xr:uid="{BFF353D8-A01B-4468-A4A5-92F362FC0391}"/>
    <cellStyle name="Normal 2 5 4 20 2 2 2" xfId="14423" xr:uid="{9E6C41CE-B1BB-498F-9B81-CD019A94E329}"/>
    <cellStyle name="Normal 2 5 4 20 2 3" xfId="5594" xr:uid="{722C9D25-E8E6-4EBB-AFF4-63C2E584AC7C}"/>
    <cellStyle name="Normal 2 5 4 20 2 3 2" xfId="14424" xr:uid="{ADD977BB-709C-4F5C-A50A-C430D5C75B0E}"/>
    <cellStyle name="Normal 2 5 4 20 2 4" xfId="14422" xr:uid="{6FDE9D92-84AA-4D0E-AE43-143E5830437C}"/>
    <cellStyle name="Normal 2 5 4 20 3" xfId="5595" xr:uid="{7FB92F97-C0DC-47A3-B6C5-C7716E2AF539}"/>
    <cellStyle name="Normal 2 5 4 20 3 2" xfId="14425" xr:uid="{636949EA-4012-4404-9607-59CFB0AFBF17}"/>
    <cellStyle name="Normal 2 5 4 20 4" xfId="5596" xr:uid="{180C6473-A473-48AC-A5D9-4D29F9128C8A}"/>
    <cellStyle name="Normal 2 5 4 20 4 2" xfId="14426" xr:uid="{83E9EACA-D744-4E85-AFD0-1E1F3DC386B4}"/>
    <cellStyle name="Normal 2 5 4 20 5" xfId="14421" xr:uid="{E84BBDF9-00D8-4044-9D37-520DB107ECED}"/>
    <cellStyle name="Normal 2 5 4 21" xfId="5597" xr:uid="{578E2F9D-C4EE-4B50-AFF8-D4AD3AE9004E}"/>
    <cellStyle name="Normal 2 5 4 21 2" xfId="5598" xr:uid="{C4B5DE41-F886-42A3-B2EE-1CE32C342BE2}"/>
    <cellStyle name="Normal 2 5 4 21 2 2" xfId="5599" xr:uid="{9F631552-B429-42E2-B30B-66C0AC4F8D75}"/>
    <cellStyle name="Normal 2 5 4 21 2 2 2" xfId="14429" xr:uid="{15C61774-A609-4C13-B186-06E42F2E8AAC}"/>
    <cellStyle name="Normal 2 5 4 21 2 3" xfId="5600" xr:uid="{95E0060B-4EE3-44D0-822B-96D20BCA2F8D}"/>
    <cellStyle name="Normal 2 5 4 21 2 3 2" xfId="14430" xr:uid="{3934D538-99D1-4CF3-A30B-340818202C4E}"/>
    <cellStyle name="Normal 2 5 4 21 2 4" xfId="14428" xr:uid="{B894763B-2F07-4308-9FE2-9A6D6849BAE0}"/>
    <cellStyle name="Normal 2 5 4 21 3" xfId="5601" xr:uid="{72C28F99-FD96-4FF3-94EE-3D8679DC82D0}"/>
    <cellStyle name="Normal 2 5 4 21 3 2" xfId="14431" xr:uid="{6E59762D-0004-4608-9008-E4BAE618E0D3}"/>
    <cellStyle name="Normal 2 5 4 21 4" xfId="5602" xr:uid="{34FC2D47-51E9-4887-B27B-2F5EA223E274}"/>
    <cellStyle name="Normal 2 5 4 21 4 2" xfId="14432" xr:uid="{1276E735-D8C2-421C-BA4D-64935AC4F921}"/>
    <cellStyle name="Normal 2 5 4 21 5" xfId="14427" xr:uid="{43C663F3-6875-4F77-BEC5-8BE052F7443E}"/>
    <cellStyle name="Normal 2 5 4 22" xfId="5603" xr:uid="{55F6486D-87C2-486E-ABD5-4BD28F13CF20}"/>
    <cellStyle name="Normal 2 5 4 22 2" xfId="5604" xr:uid="{6CAC9F0F-F67E-42BD-B07E-C39A3780F439}"/>
    <cellStyle name="Normal 2 5 4 22 2 2" xfId="5605" xr:uid="{5660C4DC-6E33-4B17-9B5A-ABEFED2C4BA0}"/>
    <cellStyle name="Normal 2 5 4 22 2 2 2" xfId="14435" xr:uid="{203798B8-AA19-416A-BF84-D508235EC39A}"/>
    <cellStyle name="Normal 2 5 4 22 2 3" xfId="5606" xr:uid="{159D44BE-AF47-452C-8462-C2FDB0D79E5B}"/>
    <cellStyle name="Normal 2 5 4 22 2 3 2" xfId="14436" xr:uid="{72091C4C-D077-479A-B556-44F4672B5DC3}"/>
    <cellStyle name="Normal 2 5 4 22 2 4" xfId="14434" xr:uid="{C9EA238F-4CF9-4454-A67A-60E984DD2344}"/>
    <cellStyle name="Normal 2 5 4 22 3" xfId="5607" xr:uid="{CA41548B-058F-4314-8A59-4CADA06042AD}"/>
    <cellStyle name="Normal 2 5 4 22 3 2" xfId="14437" xr:uid="{7755F7E6-104A-41EB-A095-92D06579BFC1}"/>
    <cellStyle name="Normal 2 5 4 22 4" xfId="5608" xr:uid="{7D592611-0A60-4B4D-B2CE-A1166107CFA9}"/>
    <cellStyle name="Normal 2 5 4 22 4 2" xfId="14438" xr:uid="{89B05F14-5420-43DE-B1F8-DE52E4CB9A43}"/>
    <cellStyle name="Normal 2 5 4 22 5" xfId="14433" xr:uid="{198E527D-9968-4901-AA59-0217884622F8}"/>
    <cellStyle name="Normal 2 5 4 23" xfId="5609" xr:uid="{77A61F93-9CE0-4456-89BB-0C25546DFC80}"/>
    <cellStyle name="Normal 2 5 4 23 2" xfId="5610" xr:uid="{CA934CB7-984B-4059-A424-7954D13B33B0}"/>
    <cellStyle name="Normal 2 5 4 23 2 2" xfId="5611" xr:uid="{3BA22929-4F7C-4E7F-859E-D76382715F1F}"/>
    <cellStyle name="Normal 2 5 4 23 2 2 2" xfId="14441" xr:uid="{1899922D-D9F7-4645-B00B-1DCAF9CDA744}"/>
    <cellStyle name="Normal 2 5 4 23 2 3" xfId="5612" xr:uid="{BB05223A-2845-4930-85CC-B817C7411AE1}"/>
    <cellStyle name="Normal 2 5 4 23 2 3 2" xfId="14442" xr:uid="{58C088E8-486D-4AE4-9A26-8925C3C980C8}"/>
    <cellStyle name="Normal 2 5 4 23 2 4" xfId="14440" xr:uid="{80B6EC82-BFA6-4A61-85B2-8CEDBCF509E1}"/>
    <cellStyle name="Normal 2 5 4 23 3" xfId="5613" xr:uid="{53BC69E1-0C40-4075-8D7B-B9EB15CF44EF}"/>
    <cellStyle name="Normal 2 5 4 23 3 2" xfId="14443" xr:uid="{69DD5323-5312-4EB7-82A8-A1470A3C19AF}"/>
    <cellStyle name="Normal 2 5 4 23 4" xfId="5614" xr:uid="{BCDFC0FD-9085-4574-A0A1-7F476A8AE74A}"/>
    <cellStyle name="Normal 2 5 4 23 4 2" xfId="14444" xr:uid="{B84078EB-34A2-4533-93A3-258F53E6E599}"/>
    <cellStyle name="Normal 2 5 4 23 5" xfId="14439" xr:uid="{FF3B9498-2A87-449B-8E0B-0CFFFFA9C8AE}"/>
    <cellStyle name="Normal 2 5 4 24" xfId="5615" xr:uid="{A3253165-61E8-4B6F-B32B-FB3A25E6AEEF}"/>
    <cellStyle name="Normal 2 5 4 24 2" xfId="5616" xr:uid="{EC0D7F00-F99D-47E6-8856-23931BDC3443}"/>
    <cellStyle name="Normal 2 5 4 24 2 2" xfId="5617" xr:uid="{1643DF11-220A-4359-9040-9E3EC945855B}"/>
    <cellStyle name="Normal 2 5 4 24 2 2 2" xfId="14447" xr:uid="{FAACE43C-91F8-4ACF-BF8B-6F593E2E94BC}"/>
    <cellStyle name="Normal 2 5 4 24 2 3" xfId="5618" xr:uid="{6A8D36F8-CB82-4745-A709-B849142F8233}"/>
    <cellStyle name="Normal 2 5 4 24 2 3 2" xfId="14448" xr:uid="{AA06A488-1768-44E1-AEC8-B4A3598DBB78}"/>
    <cellStyle name="Normal 2 5 4 24 2 4" xfId="14446" xr:uid="{E2A86A1E-F6C0-4C8E-A6DE-1CF6B6C2FDE6}"/>
    <cellStyle name="Normal 2 5 4 24 3" xfId="5619" xr:uid="{D06A5489-E8B8-4755-83BD-E4A8D98B05DA}"/>
    <cellStyle name="Normal 2 5 4 24 3 2" xfId="14449" xr:uid="{F946B933-D3AE-4233-9943-5F8D5A1FD267}"/>
    <cellStyle name="Normal 2 5 4 24 4" xfId="5620" xr:uid="{B3A4A677-E558-4C22-9BA2-1DCD47699A17}"/>
    <cellStyle name="Normal 2 5 4 24 4 2" xfId="14450" xr:uid="{027DE117-31BC-4E32-8D20-284A86790ABF}"/>
    <cellStyle name="Normal 2 5 4 24 5" xfId="14445" xr:uid="{27C36169-A35B-44F8-8C65-3C6ED4B73789}"/>
    <cellStyle name="Normal 2 5 4 25" xfId="5621" xr:uid="{C40A05F2-57D3-492B-8F40-EDA82A1F1BB3}"/>
    <cellStyle name="Normal 2 5 4 25 2" xfId="5622" xr:uid="{1BF57D7A-66BA-4DEF-8417-8E17559CC34E}"/>
    <cellStyle name="Normal 2 5 4 25 2 2" xfId="5623" xr:uid="{08B61074-8010-41F6-85C0-82253F7EA006}"/>
    <cellStyle name="Normal 2 5 4 25 2 2 2" xfId="14453" xr:uid="{BD244DBE-9640-4370-BCD9-3E110FB62F64}"/>
    <cellStyle name="Normal 2 5 4 25 2 3" xfId="5624" xr:uid="{7E89C49C-97EB-43E7-B8F6-8197E5A40226}"/>
    <cellStyle name="Normal 2 5 4 25 2 3 2" xfId="14454" xr:uid="{1BD2DC8F-E14B-4809-983C-8FDE5ED1B5BA}"/>
    <cellStyle name="Normal 2 5 4 25 2 4" xfId="14452" xr:uid="{08E4A92B-098F-4476-BCE0-39C5D57A9CFE}"/>
    <cellStyle name="Normal 2 5 4 25 3" xfId="5625" xr:uid="{BDC0F9BA-473E-48FC-AF5E-8E571EF63CCC}"/>
    <cellStyle name="Normal 2 5 4 25 3 2" xfId="14455" xr:uid="{1FD67237-B869-4C9E-90C0-AC37B98842F9}"/>
    <cellStyle name="Normal 2 5 4 25 4" xfId="5626" xr:uid="{7474041F-65F6-4C60-9083-3D4B2B4CCA3E}"/>
    <cellStyle name="Normal 2 5 4 25 4 2" xfId="14456" xr:uid="{492256FF-BD13-4685-96F6-E329F95259D2}"/>
    <cellStyle name="Normal 2 5 4 25 5" xfId="14451" xr:uid="{F54648EF-2CDB-4D62-BFA5-18AEDF7D54CA}"/>
    <cellStyle name="Normal 2 5 4 26" xfId="5627" xr:uid="{37E52BD7-8501-4CE6-8F0B-BF65FA4289F1}"/>
    <cellStyle name="Normal 2 5 4 26 2" xfId="5628" xr:uid="{DB02D3D3-605E-4DEB-B06B-F41A70799458}"/>
    <cellStyle name="Normal 2 5 4 26 2 2" xfId="5629" xr:uid="{9DDFF2C9-2512-44EF-A732-2DADC9945BC2}"/>
    <cellStyle name="Normal 2 5 4 26 2 2 2" xfId="14459" xr:uid="{C57842A5-68D0-41D6-A49B-680010F7088F}"/>
    <cellStyle name="Normal 2 5 4 26 2 3" xfId="5630" xr:uid="{4704B3A6-791F-4014-9EF0-6BB324742CD7}"/>
    <cellStyle name="Normal 2 5 4 26 2 3 2" xfId="14460" xr:uid="{BD364B28-59BA-4853-830C-91DE58A7FB5A}"/>
    <cellStyle name="Normal 2 5 4 26 2 4" xfId="14458" xr:uid="{BB737AC1-07FD-4B2B-98FD-CCF24D3ACE62}"/>
    <cellStyle name="Normal 2 5 4 26 3" xfId="5631" xr:uid="{5221FFB9-86A1-4AFB-BB83-C0E2A86A4221}"/>
    <cellStyle name="Normal 2 5 4 26 3 2" xfId="14461" xr:uid="{E1722A8A-3E9C-44BD-ABC5-004F1380D050}"/>
    <cellStyle name="Normal 2 5 4 26 4" xfId="5632" xr:uid="{98D92EA5-9798-45FB-8912-87B1B1933395}"/>
    <cellStyle name="Normal 2 5 4 26 4 2" xfId="14462" xr:uid="{69EA637A-BBCB-4072-A2DA-B73764170EAA}"/>
    <cellStyle name="Normal 2 5 4 26 5" xfId="14457" xr:uid="{11CA5CA3-9906-4F44-8F3B-C23611A649A5}"/>
    <cellStyle name="Normal 2 5 4 27" xfId="5633" xr:uid="{7A08D129-3CF7-4912-A436-B65E2B993399}"/>
    <cellStyle name="Normal 2 5 4 27 2" xfId="5634" xr:uid="{E822C895-17D6-405E-9764-BC5DA8F54504}"/>
    <cellStyle name="Normal 2 5 4 27 2 2" xfId="5635" xr:uid="{DAB342D1-AB10-477C-A4E9-3289A7CEF34D}"/>
    <cellStyle name="Normal 2 5 4 27 2 2 2" xfId="14465" xr:uid="{6EC39E63-5986-4360-BC90-E730105A8740}"/>
    <cellStyle name="Normal 2 5 4 27 2 3" xfId="5636" xr:uid="{622B2017-1DD7-43D9-9C98-6BECAC9C1F37}"/>
    <cellStyle name="Normal 2 5 4 27 2 3 2" xfId="14466" xr:uid="{56AE7253-E821-4F73-9F15-435E24D9E0C7}"/>
    <cellStyle name="Normal 2 5 4 27 2 4" xfId="14464" xr:uid="{688B3B52-2D54-4A3C-931E-7B499719AB7D}"/>
    <cellStyle name="Normal 2 5 4 27 3" xfId="5637" xr:uid="{36AFCFDB-07C2-4808-80F7-DDD906935EF6}"/>
    <cellStyle name="Normal 2 5 4 27 3 2" xfId="14467" xr:uid="{35F5CB60-7FBB-4BE6-ABDC-E5BDC07D05DA}"/>
    <cellStyle name="Normal 2 5 4 27 4" xfId="5638" xr:uid="{30F10E4B-52FD-48C3-BEEC-5EBFA7277134}"/>
    <cellStyle name="Normal 2 5 4 27 4 2" xfId="14468" xr:uid="{9409DF2A-9248-4272-B126-6C9ADE9D6FD0}"/>
    <cellStyle name="Normal 2 5 4 27 5" xfId="14463" xr:uid="{A496EEF0-475A-4B79-AF9D-B163020E03C0}"/>
    <cellStyle name="Normal 2 5 4 28" xfId="5639" xr:uid="{1EB87F83-3A0D-4C40-9D6F-94D82EDCBB63}"/>
    <cellStyle name="Normal 2 5 4 28 2" xfId="5640" xr:uid="{871DEA2E-6BE4-4278-A570-7EE79F3E521C}"/>
    <cellStyle name="Normal 2 5 4 28 2 2" xfId="5641" xr:uid="{A26F32FC-9CB3-4B54-BB6A-80F5CAF84BA0}"/>
    <cellStyle name="Normal 2 5 4 28 2 2 2" xfId="14471" xr:uid="{1E203D2E-1606-4009-83F4-528CA2B4DEA0}"/>
    <cellStyle name="Normal 2 5 4 28 2 3" xfId="5642" xr:uid="{5B417807-0899-4FF6-A234-5CFD985543AC}"/>
    <cellStyle name="Normal 2 5 4 28 2 3 2" xfId="14472" xr:uid="{2289C90E-00BA-4007-830F-9222C54F3215}"/>
    <cellStyle name="Normal 2 5 4 28 2 4" xfId="14470" xr:uid="{CCE3F6EE-2750-40E3-BA8A-53A3C4D41377}"/>
    <cellStyle name="Normal 2 5 4 28 3" xfId="5643" xr:uid="{0CA6090F-02F5-4049-945C-6C4708F43768}"/>
    <cellStyle name="Normal 2 5 4 28 3 2" xfId="14473" xr:uid="{AA25064E-6C11-4467-8E5D-20309EFA349D}"/>
    <cellStyle name="Normal 2 5 4 28 4" xfId="5644" xr:uid="{529B6230-B82C-4DBB-AB75-BE3608C9AA45}"/>
    <cellStyle name="Normal 2 5 4 28 4 2" xfId="14474" xr:uid="{63722084-8343-4203-841A-54A1E1FB1F31}"/>
    <cellStyle name="Normal 2 5 4 28 5" xfId="14469" xr:uid="{9863C23B-910F-4654-A879-A8814B6ECFE2}"/>
    <cellStyle name="Normal 2 5 4 29" xfId="5645" xr:uid="{F2A7FAB8-599D-4F60-B391-A217A4C8B484}"/>
    <cellStyle name="Normal 2 5 4 29 2" xfId="5646" xr:uid="{DC53D78C-3C31-4AE0-93DB-4A9DEBA5B715}"/>
    <cellStyle name="Normal 2 5 4 29 2 2" xfId="5647" xr:uid="{F21E2E3B-145A-44F2-9692-14277FF81ACC}"/>
    <cellStyle name="Normal 2 5 4 29 2 2 2" xfId="14477" xr:uid="{E0B0CAE7-89DA-430D-9D61-64046585BBB0}"/>
    <cellStyle name="Normal 2 5 4 29 2 3" xfId="5648" xr:uid="{7F86CAD3-E3EE-43A5-80F0-222EB6EA37D3}"/>
    <cellStyle name="Normal 2 5 4 29 2 3 2" xfId="14478" xr:uid="{1DF3EA63-56E4-4E4B-8DE5-9731A8C559F9}"/>
    <cellStyle name="Normal 2 5 4 29 2 4" xfId="14476" xr:uid="{E21A0CB4-5655-4C1E-B0A6-80B650A55603}"/>
    <cellStyle name="Normal 2 5 4 29 3" xfId="5649" xr:uid="{67F92F78-625D-4E98-B998-490EC6854760}"/>
    <cellStyle name="Normal 2 5 4 29 3 2" xfId="14479" xr:uid="{F05D5B68-5430-4453-8D50-5AB5C777624C}"/>
    <cellStyle name="Normal 2 5 4 29 4" xfId="5650" xr:uid="{6AE7A927-16B1-47A9-9314-70134B6AA9AC}"/>
    <cellStyle name="Normal 2 5 4 29 4 2" xfId="14480" xr:uid="{D2BDBFF6-40A4-4550-981F-53B341CE6249}"/>
    <cellStyle name="Normal 2 5 4 29 5" xfId="14475" xr:uid="{468CF994-C27B-4076-886B-70B695D28DFB}"/>
    <cellStyle name="Normal 2 5 4 3" xfId="5651" xr:uid="{3A718DEF-4AD0-4F9F-AB5B-42F98ACCD38A}"/>
    <cellStyle name="Normal 2 5 4 3 2" xfId="5652" xr:uid="{688079D6-8ED4-4EE7-A695-23A2948DAB34}"/>
    <cellStyle name="Normal 2 5 4 3 2 2" xfId="5653" xr:uid="{1838BDBE-8485-45E7-8F22-A8FC72129A45}"/>
    <cellStyle name="Normal 2 5 4 3 2 2 2" xfId="14483" xr:uid="{82FA8D11-7FAF-4F7E-B10E-E1467CEE8275}"/>
    <cellStyle name="Normal 2 5 4 3 2 3" xfId="5654" xr:uid="{250E629A-0D89-4EF2-B11B-7CF7F139637E}"/>
    <cellStyle name="Normal 2 5 4 3 2 3 2" xfId="14484" xr:uid="{6E2020A8-858A-41B1-BF61-1AF8BE61C8A1}"/>
    <cellStyle name="Normal 2 5 4 3 2 4" xfId="14482" xr:uid="{DCCF36C9-AF1D-46D9-9FA3-FC3EB26017E7}"/>
    <cellStyle name="Normal 2 5 4 3 3" xfId="5655" xr:uid="{5A189F63-D321-45ED-8C0E-3542C018FB45}"/>
    <cellStyle name="Normal 2 5 4 3 3 2" xfId="14485" xr:uid="{B3C02083-4A26-460A-B41F-33841969E262}"/>
    <cellStyle name="Normal 2 5 4 3 4" xfId="5656" xr:uid="{F1ADBFED-BEBA-4CEC-BD88-B2C186E0E03F}"/>
    <cellStyle name="Normal 2 5 4 3 4 2" xfId="14486" xr:uid="{CC2BF90D-1A61-4DCC-AABC-D4A118A1EA1F}"/>
    <cellStyle name="Normal 2 5 4 3 5" xfId="14481" xr:uid="{56CBF313-E34E-4785-9C84-24ADFFD7667F}"/>
    <cellStyle name="Normal 2 5 4 30" xfId="5657" xr:uid="{FA70D9A8-D37C-4DD3-93E8-38DDC6A43A54}"/>
    <cellStyle name="Normal 2 5 4 30 2" xfId="5658" xr:uid="{93C92AE1-A762-479F-83B9-D09E648AEB1A}"/>
    <cellStyle name="Normal 2 5 4 30 2 2" xfId="5659" xr:uid="{1B668A52-68EC-408B-A58F-C2E775105037}"/>
    <cellStyle name="Normal 2 5 4 30 2 2 2" xfId="14489" xr:uid="{E7347FB3-3CC3-455D-AEB6-6FB78CFBDBC4}"/>
    <cellStyle name="Normal 2 5 4 30 2 3" xfId="5660" xr:uid="{0D47BB64-5EC0-4443-8735-F45998B2FA76}"/>
    <cellStyle name="Normal 2 5 4 30 2 3 2" xfId="14490" xr:uid="{03DDFB4C-8D53-4FA3-8692-B643512146CF}"/>
    <cellStyle name="Normal 2 5 4 30 2 4" xfId="14488" xr:uid="{673D9FE4-C726-40B8-8AE8-14DC2EFFA4EE}"/>
    <cellStyle name="Normal 2 5 4 30 3" xfId="5661" xr:uid="{505D91CD-73D5-4896-94DB-0132D9F9124C}"/>
    <cellStyle name="Normal 2 5 4 30 3 2" xfId="14491" xr:uid="{A10C3FBB-8E14-41C6-B186-0A41543F2320}"/>
    <cellStyle name="Normal 2 5 4 30 4" xfId="5662" xr:uid="{04463D26-E80F-4219-9224-C15A52B26A8E}"/>
    <cellStyle name="Normal 2 5 4 30 4 2" xfId="14492" xr:uid="{EDB5CD21-E251-4F71-8272-66EF590D8025}"/>
    <cellStyle name="Normal 2 5 4 30 5" xfId="14487" xr:uid="{96E37EE1-046E-401A-AF40-235A27A9D95F}"/>
    <cellStyle name="Normal 2 5 4 31" xfId="5663" xr:uid="{79C40671-67DF-4110-8287-3B2B5BF08FE4}"/>
    <cellStyle name="Normal 2 5 4 31 2" xfId="5664" xr:uid="{9CEA5096-E5A4-49F4-9E76-7959B3610835}"/>
    <cellStyle name="Normal 2 5 4 31 2 2" xfId="5665" xr:uid="{B5D669DB-EF65-40FA-A988-98E5FD85E843}"/>
    <cellStyle name="Normal 2 5 4 31 2 2 2" xfId="14495" xr:uid="{6BC4E225-CD0D-4AB9-BD16-E3A395CF9B0B}"/>
    <cellStyle name="Normal 2 5 4 31 2 3" xfId="5666" xr:uid="{6C40A79A-C165-400F-86A0-6F82EA08A7A5}"/>
    <cellStyle name="Normal 2 5 4 31 2 3 2" xfId="14496" xr:uid="{3FD7C85E-187D-4A12-966E-8D8544A1857E}"/>
    <cellStyle name="Normal 2 5 4 31 2 4" xfId="14494" xr:uid="{8D79DCE4-E994-4BEA-9EDD-783655D663D0}"/>
    <cellStyle name="Normal 2 5 4 31 3" xfId="5667" xr:uid="{ABB1621B-DB6F-4D24-856B-3B0A2DBD04E5}"/>
    <cellStyle name="Normal 2 5 4 31 3 2" xfId="14497" xr:uid="{0163D559-E39D-44E1-85DD-0B97C8AADD53}"/>
    <cellStyle name="Normal 2 5 4 31 4" xfId="5668" xr:uid="{F32A711F-FAEA-43F1-AA38-E91A4A95D334}"/>
    <cellStyle name="Normal 2 5 4 31 4 2" xfId="14498" xr:uid="{D21D5403-68BA-47FE-914D-6540DEA19BF6}"/>
    <cellStyle name="Normal 2 5 4 31 5" xfId="14493" xr:uid="{04F8C33A-74C6-43C7-9BBA-7EC2F6E49826}"/>
    <cellStyle name="Normal 2 5 4 32" xfId="5669" xr:uid="{8A588F2D-C368-4355-8980-9D6A9B221434}"/>
    <cellStyle name="Normal 2 5 4 32 2" xfId="5670" xr:uid="{EB4D2147-2804-455A-85C5-1F2B771E744D}"/>
    <cellStyle name="Normal 2 5 4 32 2 2" xfId="5671" xr:uid="{927A6E1F-D89A-4D83-B1CF-F7B9142ABA06}"/>
    <cellStyle name="Normal 2 5 4 32 2 2 2" xfId="14501" xr:uid="{88142E49-36C5-49E2-8F91-B3BB5E71876A}"/>
    <cellStyle name="Normal 2 5 4 32 2 3" xfId="5672" xr:uid="{ABD3A836-CCE3-4EB1-A516-05E7A6771D3D}"/>
    <cellStyle name="Normal 2 5 4 32 2 3 2" xfId="14502" xr:uid="{184FC863-EF79-410A-A13F-83C8DF835A2D}"/>
    <cellStyle name="Normal 2 5 4 32 2 4" xfId="14500" xr:uid="{EB83E2E1-FAC4-460C-972C-0B5BF48FB676}"/>
    <cellStyle name="Normal 2 5 4 32 3" xfId="5673" xr:uid="{D1B19834-E776-43CE-851A-36F58081664F}"/>
    <cellStyle name="Normal 2 5 4 32 3 2" xfId="14503" xr:uid="{13654039-B4E9-4D84-936F-9957A615E0C5}"/>
    <cellStyle name="Normal 2 5 4 32 4" xfId="5674" xr:uid="{49708C63-F700-40F2-8F0E-4941813C4C39}"/>
    <cellStyle name="Normal 2 5 4 32 4 2" xfId="14504" xr:uid="{A947E73B-4410-4A5A-8626-2E2C0388D845}"/>
    <cellStyle name="Normal 2 5 4 32 5" xfId="14499" xr:uid="{EE7D12D8-1612-4295-B03A-491600621DE9}"/>
    <cellStyle name="Normal 2 5 4 33" xfId="5675" xr:uid="{7DE44598-2CC9-4A9B-9A77-225766814670}"/>
    <cellStyle name="Normal 2 5 4 33 2" xfId="5676" xr:uid="{8584A987-B242-44B0-92E9-B943EB104B48}"/>
    <cellStyle name="Normal 2 5 4 33 2 2" xfId="5677" xr:uid="{CC97F565-1965-44A8-894E-626AE3EEF2B6}"/>
    <cellStyle name="Normal 2 5 4 33 2 2 2" xfId="14507" xr:uid="{829EBE8E-2C6B-49BB-9825-E63AAD2FB38F}"/>
    <cellStyle name="Normal 2 5 4 33 2 3" xfId="5678" xr:uid="{F849A2D3-16F0-4CC7-A843-298D1FDB4468}"/>
    <cellStyle name="Normal 2 5 4 33 2 3 2" xfId="14508" xr:uid="{1FC9AA9A-204B-4EBF-A7EF-914DF60BB8E2}"/>
    <cellStyle name="Normal 2 5 4 33 2 4" xfId="14506" xr:uid="{8CC12C47-D75F-4244-B94F-F3E2C2D5CD14}"/>
    <cellStyle name="Normal 2 5 4 33 3" xfId="5679" xr:uid="{715DEF5A-C3D5-40EF-AB82-B7291CEEEBA7}"/>
    <cellStyle name="Normal 2 5 4 33 3 2" xfId="14509" xr:uid="{F1F60F04-8B96-449D-B31F-3DCFF959D458}"/>
    <cellStyle name="Normal 2 5 4 33 4" xfId="5680" xr:uid="{E717CCEF-1D41-4717-AD1C-148B341F33EB}"/>
    <cellStyle name="Normal 2 5 4 33 4 2" xfId="14510" xr:uid="{BA693615-946C-4237-A17B-BB4132BDE92D}"/>
    <cellStyle name="Normal 2 5 4 33 5" xfId="14505" xr:uid="{EFC7E4BB-4A58-430E-9DBE-C897E7BFC301}"/>
    <cellStyle name="Normal 2 5 4 34" xfId="5681" xr:uid="{F08655FC-A10C-498C-8756-3022782EDEFB}"/>
    <cellStyle name="Normal 2 5 4 34 2" xfId="5682" xr:uid="{14C1AEC9-4F85-4FD9-890C-3C50ECAEA2AF}"/>
    <cellStyle name="Normal 2 5 4 34 2 2" xfId="5683" xr:uid="{D71C4E85-D237-4741-A055-0BA387A460AD}"/>
    <cellStyle name="Normal 2 5 4 34 2 2 2" xfId="14513" xr:uid="{B9BE1DA1-1145-4BFD-BC90-5C3150768B26}"/>
    <cellStyle name="Normal 2 5 4 34 2 3" xfId="5684" xr:uid="{752BAC0F-E338-46D4-9CE3-CB60CE28C88A}"/>
    <cellStyle name="Normal 2 5 4 34 2 3 2" xfId="14514" xr:uid="{07DA4676-78B6-44E9-A789-5D1490352AF6}"/>
    <cellStyle name="Normal 2 5 4 34 2 4" xfId="14512" xr:uid="{D32FD5BA-D4BD-4639-9459-F6C4DF09D5DA}"/>
    <cellStyle name="Normal 2 5 4 34 3" xfId="5685" xr:uid="{03541FD5-C9D5-41CC-9196-18DC6EE33C18}"/>
    <cellStyle name="Normal 2 5 4 34 3 2" xfId="14515" xr:uid="{9CDE3158-F9D2-4AC3-B558-F9F570110599}"/>
    <cellStyle name="Normal 2 5 4 34 4" xfId="5686" xr:uid="{F7669458-DB4E-44FB-94C7-5F1ED94A2D18}"/>
    <cellStyle name="Normal 2 5 4 34 4 2" xfId="14516" xr:uid="{90602886-1575-4298-A158-3A6B91391163}"/>
    <cellStyle name="Normal 2 5 4 34 5" xfId="14511" xr:uid="{29DCD499-E7FA-45AF-AA30-D230858B1B9E}"/>
    <cellStyle name="Normal 2 5 4 35" xfId="5687" xr:uid="{A7AA459F-F717-476B-BB09-B0AF16253260}"/>
    <cellStyle name="Normal 2 5 4 35 2" xfId="5688" xr:uid="{4660B95A-3F21-4750-B79A-E9612CE77AE1}"/>
    <cellStyle name="Normal 2 5 4 35 2 2" xfId="5689" xr:uid="{4686F914-8F05-45B9-98EF-0C87FDD7BCE5}"/>
    <cellStyle name="Normal 2 5 4 35 2 2 2" xfId="14519" xr:uid="{DB6C0C1B-5104-4A7B-AB27-2D0F3D80655B}"/>
    <cellStyle name="Normal 2 5 4 35 2 3" xfId="5690" xr:uid="{65F979BE-BFB5-4FD7-BD20-2108A0E7E609}"/>
    <cellStyle name="Normal 2 5 4 35 2 3 2" xfId="14520" xr:uid="{3C67725D-5D18-4A68-A190-25CD2FBAE4E6}"/>
    <cellStyle name="Normal 2 5 4 35 2 4" xfId="14518" xr:uid="{CAD991E1-8A11-4920-AE5B-A9C8B5FC744B}"/>
    <cellStyle name="Normal 2 5 4 35 3" xfId="5691" xr:uid="{855FBBE8-A856-449A-9478-531AA8A18790}"/>
    <cellStyle name="Normal 2 5 4 35 3 2" xfId="14521" xr:uid="{982D9838-4014-4376-A4F2-728B5C2B5DE9}"/>
    <cellStyle name="Normal 2 5 4 35 4" xfId="5692" xr:uid="{41E49B0E-EAF4-41F2-8CDB-4B4BFEE39CBB}"/>
    <cellStyle name="Normal 2 5 4 35 4 2" xfId="14522" xr:uid="{81094DB7-ADA9-4962-8D1A-1FD3EA523C61}"/>
    <cellStyle name="Normal 2 5 4 35 5" xfId="14517" xr:uid="{29687F90-E9DC-4C6F-8866-60F797560AD6}"/>
    <cellStyle name="Normal 2 5 4 36" xfId="5693" xr:uid="{5FB2D9EB-49DD-4B59-9DAE-4FDB7DB4F3AD}"/>
    <cellStyle name="Normal 2 5 4 36 2" xfId="5694" xr:uid="{B3E06536-1962-4C7A-A5C6-09AD348076FF}"/>
    <cellStyle name="Normal 2 5 4 36 2 2" xfId="5695" xr:uid="{342F6DF7-C543-42DB-BAA5-464A19C42DD2}"/>
    <cellStyle name="Normal 2 5 4 36 2 2 2" xfId="14525" xr:uid="{CEF9CA4C-ECC4-4CEE-BB64-DB679357A554}"/>
    <cellStyle name="Normal 2 5 4 36 2 3" xfId="5696" xr:uid="{A705F4EE-2FD7-4963-832F-0C1047A8DB13}"/>
    <cellStyle name="Normal 2 5 4 36 2 3 2" xfId="14526" xr:uid="{02542792-EE4B-46AA-A8AA-DF65C1818A17}"/>
    <cellStyle name="Normal 2 5 4 36 2 4" xfId="14524" xr:uid="{0282A84C-FF3C-4A14-8DDB-FCB6E3F7FF56}"/>
    <cellStyle name="Normal 2 5 4 36 3" xfId="5697" xr:uid="{25897EE2-EB38-4B44-BCC1-6C07E1A47EE2}"/>
    <cellStyle name="Normal 2 5 4 36 3 2" xfId="14527" xr:uid="{137291EE-BE68-42C2-BEAC-F07D338A519B}"/>
    <cellStyle name="Normal 2 5 4 36 4" xfId="5698" xr:uid="{AFFBA177-05CC-42A1-81DB-113AE4856820}"/>
    <cellStyle name="Normal 2 5 4 36 4 2" xfId="14528" xr:uid="{D3AA7509-5B12-4717-8311-2659B4ED7146}"/>
    <cellStyle name="Normal 2 5 4 36 5" xfId="14523" xr:uid="{EC6D17EC-98F2-455A-9E54-D1F4B791A724}"/>
    <cellStyle name="Normal 2 5 4 37" xfId="5699" xr:uid="{C67C9252-33B3-4EE2-B649-2C8118B451DA}"/>
    <cellStyle name="Normal 2 5 4 37 2" xfId="5700" xr:uid="{49C8F511-5D7E-4834-97D5-CCA176511581}"/>
    <cellStyle name="Normal 2 5 4 37 2 2" xfId="5701" xr:uid="{4364084E-9C30-4CBA-80AA-7483371F93C3}"/>
    <cellStyle name="Normal 2 5 4 37 2 2 2" xfId="14531" xr:uid="{8C62FC3C-33D2-454B-B1B4-B9CCCBC95C96}"/>
    <cellStyle name="Normal 2 5 4 37 2 3" xfId="5702" xr:uid="{A9877E3D-70BE-49CD-A6C4-484CBA41EAA4}"/>
    <cellStyle name="Normal 2 5 4 37 2 3 2" xfId="14532" xr:uid="{699584D5-26E4-42CB-B30B-6F21B0A201B0}"/>
    <cellStyle name="Normal 2 5 4 37 2 4" xfId="14530" xr:uid="{001D8455-4896-4ECB-AC4F-750CFC61F8C5}"/>
    <cellStyle name="Normal 2 5 4 37 3" xfId="5703" xr:uid="{272420A0-D34A-4068-8BFF-DF3341401F02}"/>
    <cellStyle name="Normal 2 5 4 37 3 2" xfId="14533" xr:uid="{98140760-1BA9-4F7C-9BCE-797AD876465A}"/>
    <cellStyle name="Normal 2 5 4 37 4" xfId="5704" xr:uid="{D4C4D9F7-6CC4-41E2-B767-D094BBEBB843}"/>
    <cellStyle name="Normal 2 5 4 37 4 2" xfId="14534" xr:uid="{09EB25B7-EC79-4BF1-8C14-B7689813503C}"/>
    <cellStyle name="Normal 2 5 4 37 5" xfId="14529" xr:uid="{720E510D-70F4-4F80-9BEB-B4E229309D7F}"/>
    <cellStyle name="Normal 2 5 4 38" xfId="5705" xr:uid="{C996AE3A-5FF2-43F2-B019-C3DA9E961A59}"/>
    <cellStyle name="Normal 2 5 4 38 2" xfId="5706" xr:uid="{656E5DA8-366E-4B1D-ADE9-8CC79B08C7F5}"/>
    <cellStyle name="Normal 2 5 4 38 2 2" xfId="5707" xr:uid="{73F092EB-8A4C-41C8-9ADF-FEEDEC624734}"/>
    <cellStyle name="Normal 2 5 4 38 2 2 2" xfId="14537" xr:uid="{A50FD766-3309-49C7-82AB-D2F421F68AD7}"/>
    <cellStyle name="Normal 2 5 4 38 2 3" xfId="5708" xr:uid="{0ADA1D6F-A961-49D9-AB05-BC7B28E04ABE}"/>
    <cellStyle name="Normal 2 5 4 38 2 3 2" xfId="14538" xr:uid="{948D2095-F6F6-42C3-9CF1-453E094DAB70}"/>
    <cellStyle name="Normal 2 5 4 38 2 4" xfId="14536" xr:uid="{71540A20-B970-4997-A169-A995B70E5CF0}"/>
    <cellStyle name="Normal 2 5 4 38 3" xfId="5709" xr:uid="{8FC3EF66-AD18-4DE8-87EF-BCB1A9558194}"/>
    <cellStyle name="Normal 2 5 4 38 3 2" xfId="14539" xr:uid="{F2CED671-AAFC-4100-8B5F-80C7D4152E12}"/>
    <cellStyle name="Normal 2 5 4 38 4" xfId="5710" xr:uid="{957882BF-BADC-41C2-86FE-EE534B23AB5B}"/>
    <cellStyle name="Normal 2 5 4 38 4 2" xfId="14540" xr:uid="{5060B17C-EAEC-4C19-BB83-6DE76384C134}"/>
    <cellStyle name="Normal 2 5 4 38 5" xfId="14535" xr:uid="{1EAEF41C-2391-4EFB-ADB7-1BC758133648}"/>
    <cellStyle name="Normal 2 5 4 39" xfId="5711" xr:uid="{BB7B9DF8-A99E-4C8A-A4FB-3C09A0E9BE49}"/>
    <cellStyle name="Normal 2 5 4 39 2" xfId="5712" xr:uid="{7B184ACF-1AF5-449B-BFCD-E0FEB2DE2EBD}"/>
    <cellStyle name="Normal 2 5 4 39 2 2" xfId="5713" xr:uid="{08A28EE7-8043-47DC-B871-289847568161}"/>
    <cellStyle name="Normal 2 5 4 39 2 2 2" xfId="14543" xr:uid="{87FC5E14-A4D6-40F2-858E-DDF8B25FB649}"/>
    <cellStyle name="Normal 2 5 4 39 2 3" xfId="5714" xr:uid="{B35140EE-3976-4E52-B37C-D653E51ABFD1}"/>
    <cellStyle name="Normal 2 5 4 39 2 3 2" xfId="14544" xr:uid="{B89ED8D7-9450-4B08-87C3-87423541E38A}"/>
    <cellStyle name="Normal 2 5 4 39 2 4" xfId="14542" xr:uid="{F3D5AE6E-7F5E-4FC7-B84E-0299A6AE4F08}"/>
    <cellStyle name="Normal 2 5 4 39 3" xfId="5715" xr:uid="{DCCDAD82-86BF-4647-94BB-5F98BFF04AD6}"/>
    <cellStyle name="Normal 2 5 4 39 3 2" xfId="14545" xr:uid="{39C05794-6438-46C4-AA84-A34CFFCBF540}"/>
    <cellStyle name="Normal 2 5 4 39 4" xfId="5716" xr:uid="{AED8193C-DF1E-4062-825D-573CD596D8B7}"/>
    <cellStyle name="Normal 2 5 4 39 4 2" xfId="14546" xr:uid="{F42FBEDD-797B-4483-8AAB-97E5BF7E5D63}"/>
    <cellStyle name="Normal 2 5 4 39 5" xfId="14541" xr:uid="{822793FF-1DA2-48FC-9197-3C26C538E6B6}"/>
    <cellStyle name="Normal 2 5 4 4" xfId="5717" xr:uid="{D8C5A548-8504-441F-8F5D-D44F13F28CD6}"/>
    <cellStyle name="Normal 2 5 4 4 2" xfId="5718" xr:uid="{B125135B-C843-4834-AEE8-7401D3ED23DB}"/>
    <cellStyle name="Normal 2 5 4 4 2 2" xfId="5719" xr:uid="{68EB95AB-B60E-40CC-84D8-1E72090B255A}"/>
    <cellStyle name="Normal 2 5 4 4 2 2 2" xfId="14549" xr:uid="{7A49CB3E-39F9-48B2-91BE-4864A27C5927}"/>
    <cellStyle name="Normal 2 5 4 4 2 3" xfId="5720" xr:uid="{72FD1702-DEA8-46AF-B7A1-3403D5AE896B}"/>
    <cellStyle name="Normal 2 5 4 4 2 3 2" xfId="14550" xr:uid="{8124B302-76FA-4C3E-BC3B-7B85250CE32C}"/>
    <cellStyle name="Normal 2 5 4 4 2 4" xfId="14548" xr:uid="{719AA83D-AE89-4A7D-8C16-16DC55D8A0AC}"/>
    <cellStyle name="Normal 2 5 4 4 3" xfId="5721" xr:uid="{BC75BF27-C1D0-4641-B865-CE8841B87E63}"/>
    <cellStyle name="Normal 2 5 4 4 3 2" xfId="14551" xr:uid="{A68D7C38-5639-44E8-92E6-A725CEF6EF4B}"/>
    <cellStyle name="Normal 2 5 4 4 4" xfId="5722" xr:uid="{6CB486DC-9583-41CE-8ABD-C119A84FB16C}"/>
    <cellStyle name="Normal 2 5 4 4 4 2" xfId="14552" xr:uid="{23FD47A1-D867-4282-85B8-9C362693A298}"/>
    <cellStyle name="Normal 2 5 4 4 5" xfId="14547" xr:uid="{D9C7C1C0-84DD-4237-A91D-422BC0A92AB8}"/>
    <cellStyle name="Normal 2 5 4 40" xfId="5723" xr:uid="{81E8E5FF-39EC-467A-8035-0676722EB25C}"/>
    <cellStyle name="Normal 2 5 4 40 2" xfId="5724" xr:uid="{C55B3401-E760-46C1-8DF5-4E75404BDB12}"/>
    <cellStyle name="Normal 2 5 4 40 2 2" xfId="5725" xr:uid="{ED868441-4132-42A6-871C-C4B181C1AFFB}"/>
    <cellStyle name="Normal 2 5 4 40 2 2 2" xfId="14555" xr:uid="{BF3FB16F-6B46-4FD9-B191-7EC64C80FBC3}"/>
    <cellStyle name="Normal 2 5 4 40 2 3" xfId="5726" xr:uid="{90C0FB0C-A5D2-4E30-B55A-B2E563FD6ED8}"/>
    <cellStyle name="Normal 2 5 4 40 2 3 2" xfId="14556" xr:uid="{E852E8B3-E604-4723-B4F7-0FDDB4FC0DD4}"/>
    <cellStyle name="Normal 2 5 4 40 2 4" xfId="14554" xr:uid="{AFB3364C-7574-45A5-BD5E-79A374495463}"/>
    <cellStyle name="Normal 2 5 4 40 3" xfId="5727" xr:uid="{56F11A7F-9751-4096-BBF7-812ADE996CE2}"/>
    <cellStyle name="Normal 2 5 4 40 3 2" xfId="14557" xr:uid="{73FCDD3B-9314-4091-9EBC-454F63589ECC}"/>
    <cellStyle name="Normal 2 5 4 40 4" xfId="5728" xr:uid="{682A5D8D-6659-4581-AF37-D5A0CAA5C6E3}"/>
    <cellStyle name="Normal 2 5 4 40 4 2" xfId="14558" xr:uid="{B1A450A3-C033-4D24-8339-DF9BDB3F85A4}"/>
    <cellStyle name="Normal 2 5 4 40 5" xfId="14553" xr:uid="{E33805F3-A20A-466A-81EC-9E0946143605}"/>
    <cellStyle name="Normal 2 5 4 41" xfId="5729" xr:uid="{D7587804-A010-469C-ADEE-1380A342C0D7}"/>
    <cellStyle name="Normal 2 5 4 41 2" xfId="5730" xr:uid="{E4712330-104D-41EB-BECF-ABCF3F1D1C32}"/>
    <cellStyle name="Normal 2 5 4 41 2 2" xfId="5731" xr:uid="{1220729C-300A-4CF1-B1D0-7EF716BFF83A}"/>
    <cellStyle name="Normal 2 5 4 41 2 2 2" xfId="14561" xr:uid="{32888E64-ED27-49BD-B52E-A2A39B21021F}"/>
    <cellStyle name="Normal 2 5 4 41 2 3" xfId="5732" xr:uid="{F4297C20-E728-433B-81E0-14C022196FCB}"/>
    <cellStyle name="Normal 2 5 4 41 2 3 2" xfId="14562" xr:uid="{015191E4-BEE2-412F-883E-BBE7D6205431}"/>
    <cellStyle name="Normal 2 5 4 41 2 4" xfId="14560" xr:uid="{226766B0-BD0A-495C-AB8D-804880A654D6}"/>
    <cellStyle name="Normal 2 5 4 41 3" xfId="5733" xr:uid="{41F31F26-2069-40E2-87A8-228D333AFBC7}"/>
    <cellStyle name="Normal 2 5 4 41 3 2" xfId="14563" xr:uid="{DA6913BE-CFFD-435E-BAD5-F01D5F84724C}"/>
    <cellStyle name="Normal 2 5 4 41 4" xfId="5734" xr:uid="{9E3A8D85-BC61-481C-98DB-B25D3871F757}"/>
    <cellStyle name="Normal 2 5 4 41 4 2" xfId="14564" xr:uid="{740622B5-31A8-4F49-91DE-3FEB1678F2B7}"/>
    <cellStyle name="Normal 2 5 4 41 5" xfId="14559" xr:uid="{09ADF0F9-186C-414B-8DC0-A834EAB4FF82}"/>
    <cellStyle name="Normal 2 5 4 42" xfId="5735" xr:uid="{2805CDD4-15B3-4780-A7DE-C28966B54855}"/>
    <cellStyle name="Normal 2 5 4 42 2" xfId="5736" xr:uid="{2CE7FE2A-95A7-4211-86D6-3BD302594901}"/>
    <cellStyle name="Normal 2 5 4 42 2 2" xfId="5737" xr:uid="{8ABF347F-1AD6-4C64-9BB2-2F3775E2CBF5}"/>
    <cellStyle name="Normal 2 5 4 42 2 2 2" xfId="14567" xr:uid="{93436FAA-E615-4753-99EC-C967AB7B884D}"/>
    <cellStyle name="Normal 2 5 4 42 2 3" xfId="5738" xr:uid="{3A9F4C8A-E34D-4942-9434-C59AF89611B0}"/>
    <cellStyle name="Normal 2 5 4 42 2 3 2" xfId="14568" xr:uid="{243E8FDD-282B-4148-BB31-16CF945F1BFD}"/>
    <cellStyle name="Normal 2 5 4 42 2 4" xfId="14566" xr:uid="{A04982B7-A921-4DB3-A659-11EDEA07743F}"/>
    <cellStyle name="Normal 2 5 4 42 3" xfId="5739" xr:uid="{4433227C-218F-4F77-806A-B4E95D832F9E}"/>
    <cellStyle name="Normal 2 5 4 42 3 2" xfId="14569" xr:uid="{D823C86A-7A2D-4560-9389-AE95F87B3FE1}"/>
    <cellStyle name="Normal 2 5 4 42 4" xfId="5740" xr:uid="{531FA9E4-757A-48BD-9864-42A39DB429A4}"/>
    <cellStyle name="Normal 2 5 4 42 4 2" xfId="14570" xr:uid="{F15F9C81-5345-4BD4-89AF-F035D57CCFC3}"/>
    <cellStyle name="Normal 2 5 4 42 5" xfId="14565" xr:uid="{096ED9B5-9B4E-4A69-B7E3-BA0075C5E93C}"/>
    <cellStyle name="Normal 2 5 4 43" xfId="5741" xr:uid="{E261DC5C-5A64-460A-843E-AA2FE69B4D75}"/>
    <cellStyle name="Normal 2 5 4 43 2" xfId="5742" xr:uid="{80815A22-4DFE-4C4F-8FFA-2ACF9EC4786A}"/>
    <cellStyle name="Normal 2 5 4 43 2 2" xfId="5743" xr:uid="{B23AB1B5-FD40-42CC-A9A3-641296BF6983}"/>
    <cellStyle name="Normal 2 5 4 43 2 2 2" xfId="14573" xr:uid="{032F2CCD-2F50-4497-BFBD-81BC0B6CC2F7}"/>
    <cellStyle name="Normal 2 5 4 43 2 3" xfId="5744" xr:uid="{83E9D1B4-1BA8-4DA0-A31B-BBB2C591CB47}"/>
    <cellStyle name="Normal 2 5 4 43 2 3 2" xfId="14574" xr:uid="{F902FF90-393B-4D35-9592-5CFD04471590}"/>
    <cellStyle name="Normal 2 5 4 43 2 4" xfId="14572" xr:uid="{366120A8-B0C5-4251-A7A4-02F52F3ABC8C}"/>
    <cellStyle name="Normal 2 5 4 43 3" xfId="5745" xr:uid="{32FE3EF2-06AF-4AD7-AF8E-32EB6C491025}"/>
    <cellStyle name="Normal 2 5 4 43 3 2" xfId="14575" xr:uid="{A14131E4-449E-4D55-88C0-DA5B8F51B236}"/>
    <cellStyle name="Normal 2 5 4 43 4" xfId="5746" xr:uid="{D3C38570-94FD-4B21-AC61-1929EB5080C4}"/>
    <cellStyle name="Normal 2 5 4 43 4 2" xfId="14576" xr:uid="{97D2B24C-C38F-4E7F-9D00-9FAA0595A202}"/>
    <cellStyle name="Normal 2 5 4 43 5" xfId="14571" xr:uid="{3D72B766-7982-4E4D-A20A-5633AC311EEC}"/>
    <cellStyle name="Normal 2 5 4 44" xfId="5747" xr:uid="{5DA8F657-AEB0-407A-8DDC-4B58C58CF722}"/>
    <cellStyle name="Normal 2 5 4 44 2" xfId="5748" xr:uid="{87DE36BC-2481-4B8B-9220-A5199531A2BA}"/>
    <cellStyle name="Normal 2 5 4 44 2 2" xfId="14578" xr:uid="{6FB1D910-F3B4-465E-A8AA-99852F653949}"/>
    <cellStyle name="Normal 2 5 4 44 3" xfId="5749" xr:uid="{A34D066B-5972-4BBB-B229-F577B46463F6}"/>
    <cellStyle name="Normal 2 5 4 44 3 2" xfId="14579" xr:uid="{F9DD63F0-0585-4F40-8B71-BE3549BEB15E}"/>
    <cellStyle name="Normal 2 5 4 44 4" xfId="14577" xr:uid="{8C62D36C-9F64-4031-9280-F7C831530C55}"/>
    <cellStyle name="Normal 2 5 4 45" xfId="5750" xr:uid="{5BFFF22A-EB46-445E-82EA-6D25C9B0DA92}"/>
    <cellStyle name="Normal 2 5 4 45 2" xfId="14580" xr:uid="{E02A3A74-D40C-4BE5-A0D7-AD03C5BE6685}"/>
    <cellStyle name="Normal 2 5 4 46" xfId="5751" xr:uid="{E9521538-98B8-4ED7-B9DD-E342E4F74B8E}"/>
    <cellStyle name="Normal 2 5 4 46 2" xfId="14581" xr:uid="{9055B88B-2B08-489F-9A0F-5D9945E36ACB}"/>
    <cellStyle name="Normal 2 5 4 47" xfId="14354" xr:uid="{732FA14C-5E0E-49C2-AD87-461E31DF4D35}"/>
    <cellStyle name="Normal 2 5 4 5" xfId="5752" xr:uid="{9E04BC9E-6826-4FA2-BCF1-F57EF8FEFE2F}"/>
    <cellStyle name="Normal 2 5 4 5 2" xfId="5753" xr:uid="{797DD172-EBF0-461C-966D-94F87B88CCB6}"/>
    <cellStyle name="Normal 2 5 4 5 2 2" xfId="5754" xr:uid="{EE744BD9-5A22-4DFB-8DEC-441FD1A11634}"/>
    <cellStyle name="Normal 2 5 4 5 2 2 2" xfId="14584" xr:uid="{4EC240BA-D2DA-453C-A9D7-D7BE6156DFE7}"/>
    <cellStyle name="Normal 2 5 4 5 2 3" xfId="5755" xr:uid="{A22C040A-203F-4967-832C-4E41689A9D1B}"/>
    <cellStyle name="Normal 2 5 4 5 2 3 2" xfId="14585" xr:uid="{DC4149DF-F4EF-4BE8-8141-13C8F60B65A5}"/>
    <cellStyle name="Normal 2 5 4 5 2 4" xfId="14583" xr:uid="{020129EC-B8C3-4916-A929-D85AD2580947}"/>
    <cellStyle name="Normal 2 5 4 5 3" xfId="5756" xr:uid="{F7767ABA-72D6-4324-9CE9-8AE3CCF520FD}"/>
    <cellStyle name="Normal 2 5 4 5 3 2" xfId="14586" xr:uid="{16DE8965-6BD3-49F0-9FA7-F8CBCA15FE63}"/>
    <cellStyle name="Normal 2 5 4 5 4" xfId="5757" xr:uid="{0088CAB6-4917-49C4-8F6A-A4B94A2EE079}"/>
    <cellStyle name="Normal 2 5 4 5 4 2" xfId="14587" xr:uid="{E31EB179-5D1D-410C-AC6B-0AA3125CEFE4}"/>
    <cellStyle name="Normal 2 5 4 5 5" xfId="14582" xr:uid="{8D448D02-D5FD-47ED-AE30-A4C82271DE18}"/>
    <cellStyle name="Normal 2 5 4 6" xfId="5758" xr:uid="{2BF2C51C-5C93-4526-889C-8E99AABAD781}"/>
    <cellStyle name="Normal 2 5 4 6 2" xfId="5759" xr:uid="{22309B0F-E9B9-49F7-BB8A-ACC754475531}"/>
    <cellStyle name="Normal 2 5 4 6 2 2" xfId="5760" xr:uid="{5792DA8D-26B2-4EEA-8D94-4F23843BE3CD}"/>
    <cellStyle name="Normal 2 5 4 6 2 2 2" xfId="14590" xr:uid="{8E810EEA-B67E-40A5-A020-A0FC658C61F9}"/>
    <cellStyle name="Normal 2 5 4 6 2 3" xfId="5761" xr:uid="{D09494BE-3292-4E0C-A9E9-BC03647F4CCA}"/>
    <cellStyle name="Normal 2 5 4 6 2 3 2" xfId="14591" xr:uid="{FF6C3EF5-E782-4B9B-A2FC-0494C7D4BCB0}"/>
    <cellStyle name="Normal 2 5 4 6 2 4" xfId="14589" xr:uid="{67F9E602-A3B3-4462-8421-E887243BFA5A}"/>
    <cellStyle name="Normal 2 5 4 6 3" xfId="5762" xr:uid="{38EE9819-3864-4117-990B-E3BFCF6B83F6}"/>
    <cellStyle name="Normal 2 5 4 6 3 2" xfId="14592" xr:uid="{4A2F104F-67BA-4EBD-A8C3-F312323F2591}"/>
    <cellStyle name="Normal 2 5 4 6 4" xfId="5763" xr:uid="{C249D292-23A1-4B7A-97AD-1D0F7DDDBC3C}"/>
    <cellStyle name="Normal 2 5 4 6 4 2" xfId="14593" xr:uid="{99B0DD5F-3ADC-49A0-8373-FD0FF7438D6A}"/>
    <cellStyle name="Normal 2 5 4 6 5" xfId="14588" xr:uid="{57344347-A543-4288-9AFE-79CDAE8D1217}"/>
    <cellStyle name="Normal 2 5 4 7" xfId="5764" xr:uid="{4C8CA2CD-92F4-4B39-BCE7-F18A8E969546}"/>
    <cellStyle name="Normal 2 5 4 7 2" xfId="5765" xr:uid="{6759F97B-6054-4757-B845-C734E696F6AA}"/>
    <cellStyle name="Normal 2 5 4 7 2 2" xfId="5766" xr:uid="{78549C9A-D6F9-47F3-9016-A8A812F753FC}"/>
    <cellStyle name="Normal 2 5 4 7 2 2 2" xfId="14596" xr:uid="{D5F62290-2301-478B-90E5-75FEC0E56E56}"/>
    <cellStyle name="Normal 2 5 4 7 2 3" xfId="5767" xr:uid="{27F69ADA-0B8B-430B-945E-C19F05194A6C}"/>
    <cellStyle name="Normal 2 5 4 7 2 3 2" xfId="14597" xr:uid="{3F7D0ED2-A5DA-483A-A0C9-A900707F159D}"/>
    <cellStyle name="Normal 2 5 4 7 2 4" xfId="14595" xr:uid="{29080AC2-A100-46D5-9E8E-35CBA67C99EC}"/>
    <cellStyle name="Normal 2 5 4 7 3" xfId="5768" xr:uid="{DDAA15AB-E487-4257-AE93-D6AE84CB5F0C}"/>
    <cellStyle name="Normal 2 5 4 7 3 2" xfId="14598" xr:uid="{A3721A97-CED3-42D7-BC91-AD8226DA6F6C}"/>
    <cellStyle name="Normal 2 5 4 7 4" xfId="5769" xr:uid="{870A1618-8561-4F4C-B479-AD90CA210532}"/>
    <cellStyle name="Normal 2 5 4 7 4 2" xfId="14599" xr:uid="{22B544B1-BC20-4746-8C95-CA1D1C22A51A}"/>
    <cellStyle name="Normal 2 5 4 7 5" xfId="14594" xr:uid="{9C0012F4-0C84-44D8-A563-9A09B39CD15B}"/>
    <cellStyle name="Normal 2 5 4 8" xfId="5770" xr:uid="{3B81F6CB-6B26-42F5-90C4-05DEA7330325}"/>
    <cellStyle name="Normal 2 5 4 8 2" xfId="5771" xr:uid="{FDBE681F-E533-424D-8464-42BEEE38B65C}"/>
    <cellStyle name="Normal 2 5 4 8 2 2" xfId="5772" xr:uid="{DF5B5E7D-B888-4623-A999-AEE71D67C3A8}"/>
    <cellStyle name="Normal 2 5 4 8 2 2 2" xfId="14602" xr:uid="{2FB1A98F-AA47-4514-981F-604A36B6ABA1}"/>
    <cellStyle name="Normal 2 5 4 8 2 3" xfId="5773" xr:uid="{571C0C74-5910-45C9-A9C2-0C4BA9A5E2CF}"/>
    <cellStyle name="Normal 2 5 4 8 2 3 2" xfId="14603" xr:uid="{6F20DD61-A57F-4CED-8602-AF6D9C678AE9}"/>
    <cellStyle name="Normal 2 5 4 8 2 4" xfId="14601" xr:uid="{90794D08-11B3-4CC1-8ACA-D7FE96A5CE0C}"/>
    <cellStyle name="Normal 2 5 4 8 3" xfId="5774" xr:uid="{D2E84082-E81C-40C3-9B21-0FA54A27CE5A}"/>
    <cellStyle name="Normal 2 5 4 8 3 2" xfId="14604" xr:uid="{D260370F-ABF8-49D2-B928-7C78813E8C97}"/>
    <cellStyle name="Normal 2 5 4 8 4" xfId="5775" xr:uid="{7D37716C-4714-4EC9-B0B6-5E93F514B855}"/>
    <cellStyle name="Normal 2 5 4 8 4 2" xfId="14605" xr:uid="{726DDB7D-D27E-4107-B61F-23080AB0F5ED}"/>
    <cellStyle name="Normal 2 5 4 8 5" xfId="14600" xr:uid="{92DCB007-58B7-453C-9A3C-F9A8F602C7E2}"/>
    <cellStyle name="Normal 2 5 4 9" xfId="5776" xr:uid="{2F715578-C0FA-4384-B88F-68018EA1B779}"/>
    <cellStyle name="Normal 2 5 4 9 2" xfId="5777" xr:uid="{B52BF42F-AE48-482A-B7CD-A78870A6F90C}"/>
    <cellStyle name="Normal 2 5 4 9 2 2" xfId="5778" xr:uid="{7B4C12F1-D8A3-40C1-BF34-C8964A96893D}"/>
    <cellStyle name="Normal 2 5 4 9 2 2 2" xfId="14608" xr:uid="{7600EEE6-1D84-4D19-9698-DC9F5F024C03}"/>
    <cellStyle name="Normal 2 5 4 9 2 3" xfId="5779" xr:uid="{D4EC61DF-099A-4294-8D12-184F9E5FBDDE}"/>
    <cellStyle name="Normal 2 5 4 9 2 3 2" xfId="14609" xr:uid="{D4C556D5-653E-4569-AE99-71A525D31F40}"/>
    <cellStyle name="Normal 2 5 4 9 2 4" xfId="14607" xr:uid="{05C80285-5F29-478F-8AFC-5C34A45144AE}"/>
    <cellStyle name="Normal 2 5 4 9 3" xfId="5780" xr:uid="{1BE28996-C543-478C-9AC1-F68197EFEF1D}"/>
    <cellStyle name="Normal 2 5 4 9 3 2" xfId="14610" xr:uid="{84025B1D-A256-4D6C-9125-C76002D8110E}"/>
    <cellStyle name="Normal 2 5 4 9 4" xfId="5781" xr:uid="{E73101F5-3111-46C9-BEC9-F4AAAA3FCFAD}"/>
    <cellStyle name="Normal 2 5 4 9 4 2" xfId="14611" xr:uid="{54E0FE11-CAF3-4FC7-80CA-3853B3153725}"/>
    <cellStyle name="Normal 2 5 4 9 5" xfId="14606" xr:uid="{8C9382CE-8A8F-457D-B8D4-BB5DC843E2F0}"/>
    <cellStyle name="Normal 2 5 40" xfId="5782" xr:uid="{AA5AC28B-329B-42C8-9F70-4E108BDA8B75}"/>
    <cellStyle name="Normal 2 5 40 2" xfId="5783" xr:uid="{FFF8B4D4-F19C-4552-AE26-FAEAE1AD71F6}"/>
    <cellStyle name="Normal 2 5 40 2 2" xfId="5784" xr:uid="{B152FA71-DC70-41BE-8657-F41EC52E789A}"/>
    <cellStyle name="Normal 2 5 40 2 2 2" xfId="14614" xr:uid="{59A162D5-A128-4AC2-9C6A-FC8598ED67B8}"/>
    <cellStyle name="Normal 2 5 40 2 3" xfId="5785" xr:uid="{354854FB-058A-4996-B1EE-D88CA0752D3C}"/>
    <cellStyle name="Normal 2 5 40 2 3 2" xfId="14615" xr:uid="{6BE07EB9-B3FE-48EC-92BF-B67E07228427}"/>
    <cellStyle name="Normal 2 5 40 2 4" xfId="14613" xr:uid="{F4531C6F-43A7-4F07-8FB4-B0FBD7FFF4A4}"/>
    <cellStyle name="Normal 2 5 40 3" xfId="5786" xr:uid="{AAA4E9A7-F9D4-40D8-8688-C599B2DF7C5F}"/>
    <cellStyle name="Normal 2 5 40 3 2" xfId="14616" xr:uid="{7DE71535-51A6-4EFF-A048-C4B9B2CB0CD2}"/>
    <cellStyle name="Normal 2 5 40 4" xfId="5787" xr:uid="{38717083-EF18-4803-81F0-1EEB7F4F6D82}"/>
    <cellStyle name="Normal 2 5 40 4 2" xfId="14617" xr:uid="{2F9B17DF-2892-408F-A875-10E21BBFEF87}"/>
    <cellStyle name="Normal 2 5 40 5" xfId="14612" xr:uid="{10367767-159A-431B-9F03-CAEE9360660B}"/>
    <cellStyle name="Normal 2 5 41" xfId="5788" xr:uid="{60FC5395-38CB-492F-B9DE-4911861C0339}"/>
    <cellStyle name="Normal 2 5 41 2" xfId="5789" xr:uid="{CFEC31FC-4DF7-4D4C-A40B-44350D7D2D95}"/>
    <cellStyle name="Normal 2 5 41 2 2" xfId="5790" xr:uid="{0185B3C6-1857-4DE3-B697-BFE7492ECCB8}"/>
    <cellStyle name="Normal 2 5 41 2 2 2" xfId="14620" xr:uid="{5527C213-5A2E-445A-B126-E5E128491CBE}"/>
    <cellStyle name="Normal 2 5 41 2 3" xfId="5791" xr:uid="{BFBA8F7C-C331-4030-AF2D-D5A45D4D5B8D}"/>
    <cellStyle name="Normal 2 5 41 2 3 2" xfId="14621" xr:uid="{9F47F812-1350-44F4-9349-865007613655}"/>
    <cellStyle name="Normal 2 5 41 2 4" xfId="14619" xr:uid="{DBB58797-EB1F-4313-B964-4F08CABB1B55}"/>
    <cellStyle name="Normal 2 5 41 3" xfId="5792" xr:uid="{D90D8E4B-0AA0-4E7E-87A1-52DCDAB10134}"/>
    <cellStyle name="Normal 2 5 41 3 2" xfId="14622" xr:uid="{98A093BD-12ED-4D16-A7D3-F7094F5747B8}"/>
    <cellStyle name="Normal 2 5 41 4" xfId="5793" xr:uid="{78B7D8F5-78BA-4605-B541-6DD763411546}"/>
    <cellStyle name="Normal 2 5 41 4 2" xfId="14623" xr:uid="{C894BDBD-EE0B-48A8-A168-CE1DBC618038}"/>
    <cellStyle name="Normal 2 5 41 5" xfId="14618" xr:uid="{30A46670-72A9-4074-9858-C103160CDCF5}"/>
    <cellStyle name="Normal 2 5 42" xfId="5794" xr:uid="{6EA06127-3EF2-4D5C-AA4E-29E3B359853A}"/>
    <cellStyle name="Normal 2 5 42 2" xfId="5795" xr:uid="{3299729C-E7C3-4979-B2AD-60D58B2F3289}"/>
    <cellStyle name="Normal 2 5 42 2 2" xfId="5796" xr:uid="{0C533819-A781-4296-9D36-42B3D9056179}"/>
    <cellStyle name="Normal 2 5 42 2 2 2" xfId="14626" xr:uid="{AA5F2AAA-D65C-44C1-BD90-38720D61E672}"/>
    <cellStyle name="Normal 2 5 42 2 3" xfId="5797" xr:uid="{71ADC3AA-48E2-49F6-88DB-0701614E16A8}"/>
    <cellStyle name="Normal 2 5 42 2 3 2" xfId="14627" xr:uid="{FD2A3B7B-6294-4270-B3CC-63AAE75BD770}"/>
    <cellStyle name="Normal 2 5 42 2 4" xfId="14625" xr:uid="{4A53FF62-F770-4ACE-B7CD-F80A5451EA82}"/>
    <cellStyle name="Normal 2 5 42 3" xfId="5798" xr:uid="{25C8C455-8088-4184-BD85-5A3EF7A0593B}"/>
    <cellStyle name="Normal 2 5 42 3 2" xfId="14628" xr:uid="{75DB7BB2-30C8-48F9-B32C-FDBBED8C3104}"/>
    <cellStyle name="Normal 2 5 42 4" xfId="5799" xr:uid="{E6633063-8DF8-4B0F-95C9-18D958789A6C}"/>
    <cellStyle name="Normal 2 5 42 4 2" xfId="14629" xr:uid="{3F8C9408-2864-45EB-B446-776663BD97CC}"/>
    <cellStyle name="Normal 2 5 42 5" xfId="14624" xr:uid="{C9784520-CE3B-49AF-BE4B-49667E96D71D}"/>
    <cellStyle name="Normal 2 5 43" xfId="5800" xr:uid="{E61A343F-1957-451F-810A-03F1D7D29571}"/>
    <cellStyle name="Normal 2 5 43 2" xfId="5801" xr:uid="{0DA2907A-6962-4062-B890-CE766162EACD}"/>
    <cellStyle name="Normal 2 5 43 2 2" xfId="5802" xr:uid="{D18694F8-8764-43EA-958C-83E8D9A3B913}"/>
    <cellStyle name="Normal 2 5 43 2 2 2" xfId="14632" xr:uid="{DC941E6B-92C5-4F6C-8035-FBE62E3876B1}"/>
    <cellStyle name="Normal 2 5 43 2 3" xfId="5803" xr:uid="{F749A486-5D61-4C5E-B9A5-D3C1CB61764D}"/>
    <cellStyle name="Normal 2 5 43 2 3 2" xfId="14633" xr:uid="{C92B7946-10B7-4C01-8C82-8C6C88A3F2A8}"/>
    <cellStyle name="Normal 2 5 43 2 4" xfId="14631" xr:uid="{0F8B9E7D-5D8C-41B7-9370-3ACF62CCDBBE}"/>
    <cellStyle name="Normal 2 5 43 3" xfId="5804" xr:uid="{E469E38C-92AE-4308-BB2D-7472F0B97F28}"/>
    <cellStyle name="Normal 2 5 43 3 2" xfId="14634" xr:uid="{47C32C27-6B64-4F1E-A765-42E65B5D2D19}"/>
    <cellStyle name="Normal 2 5 43 4" xfId="5805" xr:uid="{7BE98AB6-4628-4103-A2DB-1D77F0758448}"/>
    <cellStyle name="Normal 2 5 43 4 2" xfId="14635" xr:uid="{194AA94E-7D9B-4D17-9859-B6C2E19B88E8}"/>
    <cellStyle name="Normal 2 5 43 5" xfId="14630" xr:uid="{282923C8-2E6B-4374-8606-F2AF46DEF514}"/>
    <cellStyle name="Normal 2 5 44" xfId="5806" xr:uid="{B9BAF3B6-6F5D-4141-B40E-EA67862707AB}"/>
    <cellStyle name="Normal 2 5 44 2" xfId="5807" xr:uid="{7DF46421-98CA-4BE5-84FB-B10E1E54A2AC}"/>
    <cellStyle name="Normal 2 5 44 2 2" xfId="5808" xr:uid="{2892470A-4BF1-4D9E-9D85-2426519FBD22}"/>
    <cellStyle name="Normal 2 5 44 2 2 2" xfId="14638" xr:uid="{6FFB4814-33E3-41FB-BBA7-6BEC72B16C81}"/>
    <cellStyle name="Normal 2 5 44 2 3" xfId="5809" xr:uid="{FB181F8B-4FC0-4619-8B1F-5FEDF48F7189}"/>
    <cellStyle name="Normal 2 5 44 2 3 2" xfId="14639" xr:uid="{01D88CAF-EA7E-4CD7-84A5-572F515FAC30}"/>
    <cellStyle name="Normal 2 5 44 2 4" xfId="14637" xr:uid="{96E666A3-E9E0-4DB0-83FA-BB67C875E2FC}"/>
    <cellStyle name="Normal 2 5 44 3" xfId="5810" xr:uid="{CBD56CAA-942F-4AC2-8655-F93B14949539}"/>
    <cellStyle name="Normal 2 5 44 3 2" xfId="14640" xr:uid="{653AF331-A3A3-4064-83A5-CC62E2F05DFA}"/>
    <cellStyle name="Normal 2 5 44 4" xfId="5811" xr:uid="{4F0C2985-A250-400C-A70D-91DA8381A1F4}"/>
    <cellStyle name="Normal 2 5 44 4 2" xfId="14641" xr:uid="{11F412A1-D81D-4549-ADBB-979800858FBF}"/>
    <cellStyle name="Normal 2 5 44 5" xfId="14636" xr:uid="{2579A63D-A255-4D83-9CE2-9185F4A013BC}"/>
    <cellStyle name="Normal 2 5 45" xfId="5812" xr:uid="{D3FD01E0-B4CD-465C-8687-BFD006AC7A20}"/>
    <cellStyle name="Normal 2 5 45 2" xfId="5813" xr:uid="{83626931-86AA-44C0-AB68-3B74C267B15E}"/>
    <cellStyle name="Normal 2 5 45 2 2" xfId="5814" xr:uid="{493BDB94-B152-4792-9148-8E048DA500C0}"/>
    <cellStyle name="Normal 2 5 45 2 2 2" xfId="14644" xr:uid="{0ABFD09B-6B3B-4E1E-88C8-72CA7742B239}"/>
    <cellStyle name="Normal 2 5 45 2 3" xfId="5815" xr:uid="{C371E3D1-31F0-4D58-B397-B109D228C6C5}"/>
    <cellStyle name="Normal 2 5 45 2 3 2" xfId="14645" xr:uid="{9ABC9CC9-FC8E-4591-BC8A-48F5A37D4B26}"/>
    <cellStyle name="Normal 2 5 45 2 4" xfId="14643" xr:uid="{24A317FF-3FCA-48A7-A3F7-16626D14E958}"/>
    <cellStyle name="Normal 2 5 45 3" xfId="5816" xr:uid="{1B428D27-84B2-4073-A0F0-B46D3367818D}"/>
    <cellStyle name="Normal 2 5 45 3 2" xfId="14646" xr:uid="{D788C860-B372-4051-9CCF-0A0BAC65C518}"/>
    <cellStyle name="Normal 2 5 45 4" xfId="5817" xr:uid="{77695E4A-2235-491D-9992-87F1352A8D36}"/>
    <cellStyle name="Normal 2 5 45 4 2" xfId="14647" xr:uid="{A746D375-3DEB-44FB-B559-3A785C7BAEBF}"/>
    <cellStyle name="Normal 2 5 45 5" xfId="14642" xr:uid="{38E4FA90-D9FC-488E-9B95-321147DCCB68}"/>
    <cellStyle name="Normal 2 5 46" xfId="5818" xr:uid="{2EBC1D03-E3B5-4838-A2B5-A16E4D649EEA}"/>
    <cellStyle name="Normal 2 5 46 2" xfId="5819" xr:uid="{DA7E6C96-5B92-43F3-8B51-F29EB87BCD88}"/>
    <cellStyle name="Normal 2 5 46 2 2" xfId="5820" xr:uid="{8ACA0811-2509-4B2F-B60A-ABF89246B946}"/>
    <cellStyle name="Normal 2 5 46 2 2 2" xfId="14650" xr:uid="{F473BEF6-DDFC-4213-9109-37EAFAC5565F}"/>
    <cellStyle name="Normal 2 5 46 2 3" xfId="5821" xr:uid="{DF47C065-925D-46BF-8D1B-77FED5F5F592}"/>
    <cellStyle name="Normal 2 5 46 2 3 2" xfId="14651" xr:uid="{81B80865-BF03-47EB-9F26-C9D4A0023B0B}"/>
    <cellStyle name="Normal 2 5 46 2 4" xfId="14649" xr:uid="{58FC3883-B1D1-4F0F-871B-A1B3D67C1C60}"/>
    <cellStyle name="Normal 2 5 46 3" xfId="5822" xr:uid="{3C9CB92E-8C06-4B93-8F4D-DFDA71CE64C8}"/>
    <cellStyle name="Normal 2 5 46 3 2" xfId="14652" xr:uid="{2E7C0766-B025-4E5A-820F-AB5212E234B3}"/>
    <cellStyle name="Normal 2 5 46 4" xfId="5823" xr:uid="{366B8DAF-CFC9-47A6-8E7C-C7B802A48B45}"/>
    <cellStyle name="Normal 2 5 46 4 2" xfId="14653" xr:uid="{3BB0CC14-BB37-4F6E-B595-0BF878845CF6}"/>
    <cellStyle name="Normal 2 5 46 5" xfId="14648" xr:uid="{E50788EB-12C2-4E7D-9F63-342366AC466F}"/>
    <cellStyle name="Normal 2 5 47" xfId="5824" xr:uid="{26814B98-C61F-41E6-B91A-41D2B18C85AD}"/>
    <cellStyle name="Normal 2 5 47 2" xfId="5825" xr:uid="{D5AA783B-3D19-468D-86AB-2D733628BFCF}"/>
    <cellStyle name="Normal 2 5 47 2 2" xfId="5826" xr:uid="{AE2E8A1D-74F7-48EC-A1F2-5390FF14B00E}"/>
    <cellStyle name="Normal 2 5 47 2 2 2" xfId="14656" xr:uid="{248DF5AF-14A6-469E-9C8A-C654CA000105}"/>
    <cellStyle name="Normal 2 5 47 2 3" xfId="5827" xr:uid="{96224B0A-D502-432E-A86A-E65260F19992}"/>
    <cellStyle name="Normal 2 5 47 2 3 2" xfId="14657" xr:uid="{FCB795A5-F698-4926-96CD-2EFD227C51EA}"/>
    <cellStyle name="Normal 2 5 47 2 4" xfId="14655" xr:uid="{E06B881B-452C-4F33-ACD4-1BAF1320292C}"/>
    <cellStyle name="Normal 2 5 47 3" xfId="5828" xr:uid="{9B3DC845-94CE-4171-A013-FD0CCB7BD325}"/>
    <cellStyle name="Normal 2 5 47 3 2" xfId="14658" xr:uid="{1D11A710-8ACE-41FF-AB37-A7506DAAF785}"/>
    <cellStyle name="Normal 2 5 47 4" xfId="5829" xr:uid="{933F1F4E-758E-4B5D-8016-EBF3E34E0383}"/>
    <cellStyle name="Normal 2 5 47 4 2" xfId="14659" xr:uid="{BB415EC3-F3D7-43A8-9E30-A07F725C6174}"/>
    <cellStyle name="Normal 2 5 47 5" xfId="14654" xr:uid="{C6BEA7A9-A678-484A-8A03-A93400F873C8}"/>
    <cellStyle name="Normal 2 5 48" xfId="5830" xr:uid="{DDF27535-0BEE-4DE3-9216-356446CF3C14}"/>
    <cellStyle name="Normal 2 5 48 2" xfId="5831" xr:uid="{FB5AA97F-D8DA-4D29-A0F6-B7F05A29728A}"/>
    <cellStyle name="Normal 2 5 48 2 2" xfId="5832" xr:uid="{5EB4A00D-DBF3-4DDC-A1C5-A6D46608D559}"/>
    <cellStyle name="Normal 2 5 48 2 2 2" xfId="14662" xr:uid="{1CD1C89E-CC2D-460C-838E-6691A9D382AF}"/>
    <cellStyle name="Normal 2 5 48 2 3" xfId="5833" xr:uid="{2121DA9E-1576-4A31-9F54-42BD3C095D5B}"/>
    <cellStyle name="Normal 2 5 48 2 3 2" xfId="14663" xr:uid="{96A409EA-60AD-4F3B-8D7D-B5C307231460}"/>
    <cellStyle name="Normal 2 5 48 2 4" xfId="14661" xr:uid="{9FBA8791-9232-43CE-8295-5F45E6FE786C}"/>
    <cellStyle name="Normal 2 5 48 3" xfId="5834" xr:uid="{358114D6-871F-418A-8C54-C91CCBD4DCFE}"/>
    <cellStyle name="Normal 2 5 48 3 2" xfId="14664" xr:uid="{848612ED-7F0F-4956-91C3-F2392B64E64B}"/>
    <cellStyle name="Normal 2 5 48 4" xfId="5835" xr:uid="{231DE67B-80DD-45F6-9DD7-8D8F58B8FAAF}"/>
    <cellStyle name="Normal 2 5 48 4 2" xfId="14665" xr:uid="{AFD586DC-1247-47F4-9401-E63FD1619E20}"/>
    <cellStyle name="Normal 2 5 48 5" xfId="14660" xr:uid="{F77AEE45-2B1F-4AAE-9C5A-A43239EC58A4}"/>
    <cellStyle name="Normal 2 5 49" xfId="5836" xr:uid="{03CE051A-02BD-4219-A2F8-82B153F65412}"/>
    <cellStyle name="Normal 2 5 49 2" xfId="5837" xr:uid="{AB2E7557-2FF3-4ADD-B16E-E6AE28F33471}"/>
    <cellStyle name="Normal 2 5 49 2 2" xfId="5838" xr:uid="{5580EC16-1AF4-4472-ACA3-872ADCDDFAB6}"/>
    <cellStyle name="Normal 2 5 49 2 2 2" xfId="14668" xr:uid="{ABF8D5DA-CB47-4041-AB23-0537593DE0FF}"/>
    <cellStyle name="Normal 2 5 49 2 3" xfId="5839" xr:uid="{71D91E09-8065-406A-B413-3D60DE019B9D}"/>
    <cellStyle name="Normal 2 5 49 2 3 2" xfId="14669" xr:uid="{40364DE2-8AF6-478D-BAEB-FD299F0FC815}"/>
    <cellStyle name="Normal 2 5 49 2 4" xfId="14667" xr:uid="{EED5013C-B6CB-4EA3-810E-D5F06F9F9424}"/>
    <cellStyle name="Normal 2 5 49 3" xfId="5840" xr:uid="{98FDD053-E1AD-480F-8755-7148048089E2}"/>
    <cellStyle name="Normal 2 5 49 3 2" xfId="14670" xr:uid="{319D9AE9-DB0D-475F-87D0-B625EC7CFEEB}"/>
    <cellStyle name="Normal 2 5 49 4" xfId="5841" xr:uid="{ECBB0C43-5CF8-486A-BF20-F39C8B64C182}"/>
    <cellStyle name="Normal 2 5 49 4 2" xfId="14671" xr:uid="{9547BA30-05F3-4F3C-BF64-D4DF3AA84629}"/>
    <cellStyle name="Normal 2 5 49 5" xfId="14666" xr:uid="{F9574C95-93BE-48B6-8087-943113DB8E4A}"/>
    <cellStyle name="Normal 2 5 5" xfId="5842" xr:uid="{C0968599-EEFB-4A24-941D-75EE769091CF}"/>
    <cellStyle name="Normal 2 5 5 10" xfId="5843" xr:uid="{007C312C-EF9D-47E0-B957-3A00A4F4C4D8}"/>
    <cellStyle name="Normal 2 5 5 10 2" xfId="5844" xr:uid="{6AFDF66C-D413-4414-95F4-F1BB2910647D}"/>
    <cellStyle name="Normal 2 5 5 10 2 2" xfId="5845" xr:uid="{0BD8AD6E-6E04-4C58-8D61-76326ECB4B39}"/>
    <cellStyle name="Normal 2 5 5 10 2 2 2" xfId="14675" xr:uid="{0B28A3EF-1FAE-47AD-B537-294D02FF65FD}"/>
    <cellStyle name="Normal 2 5 5 10 2 3" xfId="5846" xr:uid="{8C5D4672-BE0B-44F3-897B-79C5E50AF511}"/>
    <cellStyle name="Normal 2 5 5 10 2 3 2" xfId="14676" xr:uid="{2DD7698A-6F89-4D43-B232-80D023AF39B8}"/>
    <cellStyle name="Normal 2 5 5 10 2 4" xfId="14674" xr:uid="{B4C91343-0392-42D1-9C30-212273A21BC4}"/>
    <cellStyle name="Normal 2 5 5 10 3" xfId="5847" xr:uid="{18485D54-3040-4E4C-85B1-BCB67884D0A4}"/>
    <cellStyle name="Normal 2 5 5 10 3 2" xfId="14677" xr:uid="{B4E146C2-F558-42B4-B7B6-2C9A6960AE88}"/>
    <cellStyle name="Normal 2 5 5 10 4" xfId="5848" xr:uid="{C7A35511-60E1-4A99-81AC-EF945AA3B461}"/>
    <cellStyle name="Normal 2 5 5 10 4 2" xfId="14678" xr:uid="{3ADB64E3-0CE9-4F1D-B902-418B72812E8A}"/>
    <cellStyle name="Normal 2 5 5 10 5" xfId="14673" xr:uid="{DBC9437C-D68D-46DF-9283-DD2BE1AB4D60}"/>
    <cellStyle name="Normal 2 5 5 11" xfId="5849" xr:uid="{2365E89A-1D74-4444-9E57-03174F165780}"/>
    <cellStyle name="Normal 2 5 5 11 2" xfId="5850" xr:uid="{5EF10E3A-26AC-4B4D-A2A9-D20D9DFF3C13}"/>
    <cellStyle name="Normal 2 5 5 11 2 2" xfId="5851" xr:uid="{5EA20EED-9687-470B-B704-BB4CA4E83E27}"/>
    <cellStyle name="Normal 2 5 5 11 2 2 2" xfId="14681" xr:uid="{7717BEDF-ED89-43E8-8269-301B2C2B0BB2}"/>
    <cellStyle name="Normal 2 5 5 11 2 3" xfId="5852" xr:uid="{15CACD46-D09A-4FB0-A571-354C961A7F23}"/>
    <cellStyle name="Normal 2 5 5 11 2 3 2" xfId="14682" xr:uid="{3ADDD6E6-3BF1-4CEC-8E4A-1A9465D54379}"/>
    <cellStyle name="Normal 2 5 5 11 2 4" xfId="14680" xr:uid="{79837201-D958-4256-B187-4B15ECB40F8C}"/>
    <cellStyle name="Normal 2 5 5 11 3" xfId="5853" xr:uid="{5F206E9B-B4C6-4760-924C-F61D6F96D5A3}"/>
    <cellStyle name="Normal 2 5 5 11 3 2" xfId="14683" xr:uid="{79A05A9E-EE90-4683-8B3D-654AE2DC6F0E}"/>
    <cellStyle name="Normal 2 5 5 11 4" xfId="5854" xr:uid="{73FD2D72-1A48-4A2C-B4CC-29DF1AA96358}"/>
    <cellStyle name="Normal 2 5 5 11 4 2" xfId="14684" xr:uid="{DC82BEC8-F09B-4B4C-BB63-5022A48D53CD}"/>
    <cellStyle name="Normal 2 5 5 11 5" xfId="14679" xr:uid="{CFE05E9C-013B-4A80-9E81-10A4F03766C9}"/>
    <cellStyle name="Normal 2 5 5 12" xfId="5855" xr:uid="{1941AA6F-DF57-4A94-9939-9B2DFF90330B}"/>
    <cellStyle name="Normal 2 5 5 12 2" xfId="5856" xr:uid="{75FE69DB-2976-4F86-AC42-3E72F6E6B19D}"/>
    <cellStyle name="Normal 2 5 5 12 2 2" xfId="5857" xr:uid="{CAC547D1-6FA3-4D13-B3CB-631F404A3885}"/>
    <cellStyle name="Normal 2 5 5 12 2 2 2" xfId="14687" xr:uid="{304AC706-D33F-4827-BDD8-0F06C1C3ED69}"/>
    <cellStyle name="Normal 2 5 5 12 2 3" xfId="5858" xr:uid="{DC7C4229-23B5-423E-B017-19B3009502B9}"/>
    <cellStyle name="Normal 2 5 5 12 2 3 2" xfId="14688" xr:uid="{EC42CEE2-3246-49CD-A423-4D32240F9E53}"/>
    <cellStyle name="Normal 2 5 5 12 2 4" xfId="14686" xr:uid="{5286EE6E-9AA6-472B-8879-25AAB23A9B30}"/>
    <cellStyle name="Normal 2 5 5 12 3" xfId="5859" xr:uid="{4EB0FE40-14DC-4710-B7B4-C32F7CA17D94}"/>
    <cellStyle name="Normal 2 5 5 12 3 2" xfId="14689" xr:uid="{945AB3AE-C782-457C-A63F-C4A6F40CEE50}"/>
    <cellStyle name="Normal 2 5 5 12 4" xfId="5860" xr:uid="{6A733014-6ABA-4C5A-B5EC-49D6B7D7135B}"/>
    <cellStyle name="Normal 2 5 5 12 4 2" xfId="14690" xr:uid="{F33A850F-F144-42C3-954B-DF1A39E0F63C}"/>
    <cellStyle name="Normal 2 5 5 12 5" xfId="14685" xr:uid="{4ABA8EEE-637A-4B1E-A2E5-D5622ADB9A62}"/>
    <cellStyle name="Normal 2 5 5 13" xfId="5861" xr:uid="{E9A161CD-ADA3-4AD4-8771-58C365705503}"/>
    <cellStyle name="Normal 2 5 5 13 2" xfId="5862" xr:uid="{10C901E5-0819-483A-A418-9B5938041E94}"/>
    <cellStyle name="Normal 2 5 5 13 2 2" xfId="5863" xr:uid="{FAC8B3BC-FB2D-4CFF-AA93-6A9672BA8291}"/>
    <cellStyle name="Normal 2 5 5 13 2 2 2" xfId="14693" xr:uid="{06BF0C6E-9E6D-42F0-93DD-C4596E2A9D97}"/>
    <cellStyle name="Normal 2 5 5 13 2 3" xfId="5864" xr:uid="{13F69DC4-5DBC-49D0-A3ED-C89C504413AA}"/>
    <cellStyle name="Normal 2 5 5 13 2 3 2" xfId="14694" xr:uid="{C0F2F702-B85D-4098-A36D-07D07B1978B5}"/>
    <cellStyle name="Normal 2 5 5 13 2 4" xfId="14692" xr:uid="{ABFC9668-1365-4963-B1AC-C10DA28935A9}"/>
    <cellStyle name="Normal 2 5 5 13 3" xfId="5865" xr:uid="{E197F27E-BA3E-4DC3-98FF-5DCAB1F32D7B}"/>
    <cellStyle name="Normal 2 5 5 13 3 2" xfId="14695" xr:uid="{66987585-1776-462B-89D8-36261876ABB5}"/>
    <cellStyle name="Normal 2 5 5 13 4" xfId="5866" xr:uid="{E0C68D18-AEC6-4380-8CD7-083A32F8EDF5}"/>
    <cellStyle name="Normal 2 5 5 13 4 2" xfId="14696" xr:uid="{7DBD0E23-9267-47B9-873A-D89D8F27D5B2}"/>
    <cellStyle name="Normal 2 5 5 13 5" xfId="14691" xr:uid="{F39AA065-CD6A-4B40-9244-A171C1E56AA3}"/>
    <cellStyle name="Normal 2 5 5 14" xfId="5867" xr:uid="{FB34B050-008E-452B-B8A5-CEDF3E9D706B}"/>
    <cellStyle name="Normal 2 5 5 14 2" xfId="5868" xr:uid="{06B97DF6-0E10-4778-927B-2C3AEA49E927}"/>
    <cellStyle name="Normal 2 5 5 14 2 2" xfId="5869" xr:uid="{FFDEE52B-764E-43A3-BB3D-29C23BC91F92}"/>
    <cellStyle name="Normal 2 5 5 14 2 2 2" xfId="14699" xr:uid="{1E129059-D08F-4907-87FA-422C41714E6B}"/>
    <cellStyle name="Normal 2 5 5 14 2 3" xfId="5870" xr:uid="{E20F5CD6-598E-4209-909E-07FA242C8B35}"/>
    <cellStyle name="Normal 2 5 5 14 2 3 2" xfId="14700" xr:uid="{A4E07455-1922-4C2A-AA0E-110D1C183A68}"/>
    <cellStyle name="Normal 2 5 5 14 2 4" xfId="14698" xr:uid="{652AF3DE-2A32-4ADB-A5A7-087CDC33407E}"/>
    <cellStyle name="Normal 2 5 5 14 3" xfId="5871" xr:uid="{D1E4BB06-4CF7-408E-9104-D650CA9B2AB6}"/>
    <cellStyle name="Normal 2 5 5 14 3 2" xfId="14701" xr:uid="{E85200F6-F60D-427B-BF8D-DCE60F49A1F1}"/>
    <cellStyle name="Normal 2 5 5 14 4" xfId="5872" xr:uid="{4B6C56BE-9FF3-41A2-9266-4E418DE4836C}"/>
    <cellStyle name="Normal 2 5 5 14 4 2" xfId="14702" xr:uid="{F3A81AAF-FDFD-4E09-8B4A-31E0029DB227}"/>
    <cellStyle name="Normal 2 5 5 14 5" xfId="14697" xr:uid="{360FC613-3955-4510-BB95-87AA74FCD7FD}"/>
    <cellStyle name="Normal 2 5 5 15" xfId="5873" xr:uid="{57323AF0-7680-4772-A896-17A5D458778D}"/>
    <cellStyle name="Normal 2 5 5 15 2" xfId="5874" xr:uid="{5F0ED57D-E58D-49FB-83CF-671BE94B9169}"/>
    <cellStyle name="Normal 2 5 5 15 2 2" xfId="5875" xr:uid="{09AB14BA-A600-4962-A5E4-B5D77BCE6A0C}"/>
    <cellStyle name="Normal 2 5 5 15 2 2 2" xfId="14705" xr:uid="{9B7AAA7A-4AC0-4426-A3BA-AE98C6870112}"/>
    <cellStyle name="Normal 2 5 5 15 2 3" xfId="5876" xr:uid="{4C201159-F713-4FCF-940A-8A7E873F3A77}"/>
    <cellStyle name="Normal 2 5 5 15 2 3 2" xfId="14706" xr:uid="{0F6F831A-FA13-4CDA-86D1-93ECC3552C55}"/>
    <cellStyle name="Normal 2 5 5 15 2 4" xfId="14704" xr:uid="{5E9C1D99-1DDA-4FBF-8475-F136AD350057}"/>
    <cellStyle name="Normal 2 5 5 15 3" xfId="5877" xr:uid="{534669B1-7670-4DC2-B31C-B66D9476D955}"/>
    <cellStyle name="Normal 2 5 5 15 3 2" xfId="14707" xr:uid="{728C04D5-795F-4A5C-9BE6-A1E66C27000A}"/>
    <cellStyle name="Normal 2 5 5 15 4" xfId="5878" xr:uid="{26C809C7-BAE6-46EC-8523-43674EE2F08F}"/>
    <cellStyle name="Normal 2 5 5 15 4 2" xfId="14708" xr:uid="{46A293D1-DA4E-4CB3-BAA2-F50E4ABF2948}"/>
    <cellStyle name="Normal 2 5 5 15 5" xfId="14703" xr:uid="{8C072749-2981-45D7-9D0A-4FB51987B498}"/>
    <cellStyle name="Normal 2 5 5 16" xfId="5879" xr:uid="{A1FDAFB5-0D02-4796-AF47-035A28F2C2D9}"/>
    <cellStyle name="Normal 2 5 5 16 2" xfId="5880" xr:uid="{3B0641B6-13B7-43EE-9535-081D524020AC}"/>
    <cellStyle name="Normal 2 5 5 16 2 2" xfId="5881" xr:uid="{DB72F8A1-5DCB-4959-A497-7301E37FAEC2}"/>
    <cellStyle name="Normal 2 5 5 16 2 2 2" xfId="14711" xr:uid="{612CB2FF-8310-4681-B968-47B7E1BA40EB}"/>
    <cellStyle name="Normal 2 5 5 16 2 3" xfId="5882" xr:uid="{E8567F74-CA88-4361-937D-E13B994757F7}"/>
    <cellStyle name="Normal 2 5 5 16 2 3 2" xfId="14712" xr:uid="{7267A3A6-0B07-43FD-9561-CC2E65AD6E2C}"/>
    <cellStyle name="Normal 2 5 5 16 2 4" xfId="14710" xr:uid="{6DD1B3C5-4CC1-430A-85E9-A29A8038A1C1}"/>
    <cellStyle name="Normal 2 5 5 16 3" xfId="5883" xr:uid="{24719CD7-6EE9-40DE-953B-65E85143B021}"/>
    <cellStyle name="Normal 2 5 5 16 3 2" xfId="14713" xr:uid="{CB901D03-72F8-4CB3-AF0D-38A3E15379D1}"/>
    <cellStyle name="Normal 2 5 5 16 4" xfId="5884" xr:uid="{394F6F7C-9F08-4DA3-A53F-A30DEA2D1760}"/>
    <cellStyle name="Normal 2 5 5 16 4 2" xfId="14714" xr:uid="{97E733E2-CBE4-40B8-8D20-E599B1803A78}"/>
    <cellStyle name="Normal 2 5 5 16 5" xfId="14709" xr:uid="{8FD9F4DF-5806-4F11-BFA3-C4A5CDB38B07}"/>
    <cellStyle name="Normal 2 5 5 17" xfId="5885" xr:uid="{720062B2-B918-4D0B-BDAD-085D3B0CC2B7}"/>
    <cellStyle name="Normal 2 5 5 17 2" xfId="5886" xr:uid="{F6BB0C48-3FA6-47C6-9F17-07643F0D5F48}"/>
    <cellStyle name="Normal 2 5 5 17 2 2" xfId="5887" xr:uid="{9A21B454-E620-464A-BA9D-2B2824BE88AA}"/>
    <cellStyle name="Normal 2 5 5 17 2 2 2" xfId="14717" xr:uid="{E9727A9E-23E0-47EC-B1D4-7C0697AA050E}"/>
    <cellStyle name="Normal 2 5 5 17 2 3" xfId="5888" xr:uid="{0E40D87C-6164-47F9-A4AE-2520BAA19050}"/>
    <cellStyle name="Normal 2 5 5 17 2 3 2" xfId="14718" xr:uid="{A3B0E920-67DC-492A-A2C2-741E31D28663}"/>
    <cellStyle name="Normal 2 5 5 17 2 4" xfId="14716" xr:uid="{62B91A4E-2E7F-48C3-8715-6D7F3C231EE2}"/>
    <cellStyle name="Normal 2 5 5 17 3" xfId="5889" xr:uid="{0921E10B-71D4-4044-88DB-B0A8CD06352C}"/>
    <cellStyle name="Normal 2 5 5 17 3 2" xfId="14719" xr:uid="{FC904B94-B643-4DD3-844D-34E00A762EE3}"/>
    <cellStyle name="Normal 2 5 5 17 4" xfId="5890" xr:uid="{ED401911-AC06-4D78-AA5B-0066FDD1A3F1}"/>
    <cellStyle name="Normal 2 5 5 17 4 2" xfId="14720" xr:uid="{E95C0737-5F00-4E5A-878E-E77B307ED125}"/>
    <cellStyle name="Normal 2 5 5 17 5" xfId="14715" xr:uid="{39B3F73F-BF4A-4463-8954-AC58435C4091}"/>
    <cellStyle name="Normal 2 5 5 18" xfId="5891" xr:uid="{D98EDD64-5B83-442D-B656-4E4CF25F79CB}"/>
    <cellStyle name="Normal 2 5 5 18 2" xfId="5892" xr:uid="{6DBAE51E-917B-4AE6-80E3-AD3137BFAF44}"/>
    <cellStyle name="Normal 2 5 5 18 2 2" xfId="5893" xr:uid="{8F278411-1880-4426-99B7-ED0C76EE2B39}"/>
    <cellStyle name="Normal 2 5 5 18 2 2 2" xfId="14723" xr:uid="{50F7183A-8750-4DCD-AA0D-8112D0496209}"/>
    <cellStyle name="Normal 2 5 5 18 2 3" xfId="5894" xr:uid="{49F637E4-C9ED-4D6A-877F-8899BE46A805}"/>
    <cellStyle name="Normal 2 5 5 18 2 3 2" xfId="14724" xr:uid="{B2B46313-5FFC-4CB2-AFCC-EFF92D15B3B5}"/>
    <cellStyle name="Normal 2 5 5 18 2 4" xfId="14722" xr:uid="{D9ED0A2C-F705-4318-8EB2-0426C5EDF562}"/>
    <cellStyle name="Normal 2 5 5 18 3" xfId="5895" xr:uid="{FCD345F9-7876-473A-A028-94AD20115D82}"/>
    <cellStyle name="Normal 2 5 5 18 3 2" xfId="14725" xr:uid="{AB444F85-54D1-42F6-90CA-A5AC5E07155C}"/>
    <cellStyle name="Normal 2 5 5 18 4" xfId="5896" xr:uid="{AD146FB7-8567-41CF-8BC3-B2DEDF5FA2E3}"/>
    <cellStyle name="Normal 2 5 5 18 4 2" xfId="14726" xr:uid="{4BAB6DE2-8306-4F10-800E-3A9CF14DD401}"/>
    <cellStyle name="Normal 2 5 5 18 5" xfId="14721" xr:uid="{8800EF36-29E0-4346-8905-03307E4D1DA1}"/>
    <cellStyle name="Normal 2 5 5 19" xfId="5897" xr:uid="{D53328FE-D881-4D57-9A76-E9D0349D237F}"/>
    <cellStyle name="Normal 2 5 5 19 2" xfId="5898" xr:uid="{20CD806B-D388-4347-9E09-207BAA4CD12C}"/>
    <cellStyle name="Normal 2 5 5 19 2 2" xfId="5899" xr:uid="{A6AEB8F7-A616-4A70-B70C-4247804BBF45}"/>
    <cellStyle name="Normal 2 5 5 19 2 2 2" xfId="14729" xr:uid="{9D2C04A4-809D-4DFB-A3A3-EA2F9123E680}"/>
    <cellStyle name="Normal 2 5 5 19 2 3" xfId="5900" xr:uid="{A1944505-6F42-4576-A235-8503B2EAA667}"/>
    <cellStyle name="Normal 2 5 5 19 2 3 2" xfId="14730" xr:uid="{4F26A168-F0DB-4E25-8666-87443555CD02}"/>
    <cellStyle name="Normal 2 5 5 19 2 4" xfId="14728" xr:uid="{4DB91D75-CFCD-4B6D-98E0-88A4AEEFFDD5}"/>
    <cellStyle name="Normal 2 5 5 19 3" xfId="5901" xr:uid="{1DBFC9DC-8D51-4BF7-9B8D-BAA507430323}"/>
    <cellStyle name="Normal 2 5 5 19 3 2" xfId="14731" xr:uid="{5A37A6D7-DFB8-4814-822F-25B4F4D2FA7B}"/>
    <cellStyle name="Normal 2 5 5 19 4" xfId="5902" xr:uid="{69AEB1A8-069D-4CF7-97E6-18F9CB891A81}"/>
    <cellStyle name="Normal 2 5 5 19 4 2" xfId="14732" xr:uid="{AD2C4C64-883D-413C-8F97-18B0C7961DC5}"/>
    <cellStyle name="Normal 2 5 5 19 5" xfId="14727" xr:uid="{199E9D60-50F1-4211-9DAD-EF1461F81BFE}"/>
    <cellStyle name="Normal 2 5 5 2" xfId="5903" xr:uid="{7BCF9A05-E238-4F91-AECE-5D32A35C8843}"/>
    <cellStyle name="Normal 2 5 5 2 2" xfId="5904" xr:uid="{F16C7BB5-3121-410B-8E61-07177A9D9D36}"/>
    <cellStyle name="Normal 2 5 5 2 2 2" xfId="5905" xr:uid="{939968DD-086C-46E3-8891-A652A66E3C3F}"/>
    <cellStyle name="Normal 2 5 5 2 2 2 2" xfId="14735" xr:uid="{E00A57A3-E514-41AD-9623-C00BC8A6AA5B}"/>
    <cellStyle name="Normal 2 5 5 2 2 3" xfId="5906" xr:uid="{C8F307D3-1AA1-4751-9B02-BA9E0EDB1901}"/>
    <cellStyle name="Normal 2 5 5 2 2 3 2" xfId="14736" xr:uid="{96B20831-670E-4962-B813-C5572D36740B}"/>
    <cellStyle name="Normal 2 5 5 2 2 4" xfId="14734" xr:uid="{96F5AC06-794D-4610-AF9F-7C1AD9AAEF59}"/>
    <cellStyle name="Normal 2 5 5 2 3" xfId="5907" xr:uid="{5142578A-3416-49CF-BB84-E282BDD58A11}"/>
    <cellStyle name="Normal 2 5 5 2 3 2" xfId="14737" xr:uid="{F8A70CC9-AF47-456A-A566-7F0F5D4CDFC1}"/>
    <cellStyle name="Normal 2 5 5 2 4" xfId="5908" xr:uid="{F3868860-C213-4861-BD7F-5329E96F1E35}"/>
    <cellStyle name="Normal 2 5 5 2 4 2" xfId="14738" xr:uid="{E5016E5B-6E44-48D3-BD0C-CD48A89D8B81}"/>
    <cellStyle name="Normal 2 5 5 2 5" xfId="14733" xr:uid="{D5FB4A3C-663D-4BD6-B2EF-117D97D7B3AD}"/>
    <cellStyle name="Normal 2 5 5 20" xfId="5909" xr:uid="{77E1C247-367E-4FC3-8977-50AE287B05B3}"/>
    <cellStyle name="Normal 2 5 5 20 2" xfId="5910" xr:uid="{BE874C0C-CC3B-4D91-8ADA-FAE50419D491}"/>
    <cellStyle name="Normal 2 5 5 20 2 2" xfId="5911" xr:uid="{88CB8B33-CBC7-47AC-A40F-E6957E03CC1B}"/>
    <cellStyle name="Normal 2 5 5 20 2 2 2" xfId="14741" xr:uid="{F7366372-961D-491C-AE66-28D08502563F}"/>
    <cellStyle name="Normal 2 5 5 20 2 3" xfId="5912" xr:uid="{33989749-C186-4E97-A9EB-1603EC08B256}"/>
    <cellStyle name="Normal 2 5 5 20 2 3 2" xfId="14742" xr:uid="{35293193-5660-48F5-B61F-EC128172E936}"/>
    <cellStyle name="Normal 2 5 5 20 2 4" xfId="14740" xr:uid="{D9C2C2E1-CCF2-4675-8423-DC3700F3A6DB}"/>
    <cellStyle name="Normal 2 5 5 20 3" xfId="5913" xr:uid="{93A50BDA-75AB-4EC3-A60D-3C0E74DF3B7E}"/>
    <cellStyle name="Normal 2 5 5 20 3 2" xfId="14743" xr:uid="{62F11EBA-827D-4C4F-B4F8-C1B8D8EE8540}"/>
    <cellStyle name="Normal 2 5 5 20 4" xfId="5914" xr:uid="{39DCA1C6-5834-4C05-88DE-F7ACE6C26A4C}"/>
    <cellStyle name="Normal 2 5 5 20 4 2" xfId="14744" xr:uid="{12E78BA9-61DD-495B-B6F8-36F5789C6633}"/>
    <cellStyle name="Normal 2 5 5 20 5" xfId="14739" xr:uid="{A124D0CA-AD83-4C3F-8297-53E826772CF0}"/>
    <cellStyle name="Normal 2 5 5 21" xfId="5915" xr:uid="{9D8E3115-78FE-4329-9090-D3C1891492A6}"/>
    <cellStyle name="Normal 2 5 5 21 2" xfId="5916" xr:uid="{48B75C0F-0FC3-4EDE-BEFA-4D9D5984B834}"/>
    <cellStyle name="Normal 2 5 5 21 2 2" xfId="5917" xr:uid="{4C67FB8F-68E9-43E6-816D-BB7347CFFC09}"/>
    <cellStyle name="Normal 2 5 5 21 2 2 2" xfId="14747" xr:uid="{C093C336-AC47-4D7F-954B-BFA6F91B2279}"/>
    <cellStyle name="Normal 2 5 5 21 2 3" xfId="5918" xr:uid="{7FCE1ABA-3A4A-4E8C-9181-104791AA3745}"/>
    <cellStyle name="Normal 2 5 5 21 2 3 2" xfId="14748" xr:uid="{FF8AE6C2-23FC-43D4-BCB5-D52362F8E93D}"/>
    <cellStyle name="Normal 2 5 5 21 2 4" xfId="14746" xr:uid="{13F6213A-92F1-4106-BBBA-053B0828239A}"/>
    <cellStyle name="Normal 2 5 5 21 3" xfId="5919" xr:uid="{2594F82C-16C6-4F1C-8369-0EB78BF7FFB4}"/>
    <cellStyle name="Normal 2 5 5 21 3 2" xfId="14749" xr:uid="{A745018C-C737-4C10-8FA6-6ED688563BDA}"/>
    <cellStyle name="Normal 2 5 5 21 4" xfId="5920" xr:uid="{46A48D40-9DA6-46E8-B71A-6A1243290674}"/>
    <cellStyle name="Normal 2 5 5 21 4 2" xfId="14750" xr:uid="{3380C435-4FFE-4942-9163-6278DE8FCC06}"/>
    <cellStyle name="Normal 2 5 5 21 5" xfId="14745" xr:uid="{3954C830-771A-43A9-B652-AF1CC0A5FA2B}"/>
    <cellStyle name="Normal 2 5 5 22" xfId="5921" xr:uid="{F831BD32-ABCB-4694-B6CA-9943CFD5B68C}"/>
    <cellStyle name="Normal 2 5 5 22 2" xfId="5922" xr:uid="{69F85C91-A984-443D-A39A-A1861A324BD4}"/>
    <cellStyle name="Normal 2 5 5 22 2 2" xfId="5923" xr:uid="{79DB2CD8-A91F-43E3-AE4B-778A99274A06}"/>
    <cellStyle name="Normal 2 5 5 22 2 2 2" xfId="14753" xr:uid="{20C8B1D1-B7B4-487C-A38F-30432CAEC1F9}"/>
    <cellStyle name="Normal 2 5 5 22 2 3" xfId="5924" xr:uid="{E8528590-8BB1-4AA4-A9B1-2702EDDE557D}"/>
    <cellStyle name="Normal 2 5 5 22 2 3 2" xfId="14754" xr:uid="{15407DF2-D570-441A-A84B-BA6BEFF28225}"/>
    <cellStyle name="Normal 2 5 5 22 2 4" xfId="14752" xr:uid="{DFD95E0B-9756-4371-A884-426EF810C940}"/>
    <cellStyle name="Normal 2 5 5 22 3" xfId="5925" xr:uid="{4AA93D49-327E-4F4D-AC08-037E866E7F36}"/>
    <cellStyle name="Normal 2 5 5 22 3 2" xfId="14755" xr:uid="{8A2C50BD-4159-4E91-BAE3-B780F65F1C80}"/>
    <cellStyle name="Normal 2 5 5 22 4" xfId="5926" xr:uid="{C00BCD42-7D06-46B8-A12A-0F84BDB86E08}"/>
    <cellStyle name="Normal 2 5 5 22 4 2" xfId="14756" xr:uid="{B2D41AA4-8B38-4E76-8DBB-3A077B2341B8}"/>
    <cellStyle name="Normal 2 5 5 22 5" xfId="14751" xr:uid="{942D0165-8A32-4137-B077-2672ADC7165E}"/>
    <cellStyle name="Normal 2 5 5 23" xfId="5927" xr:uid="{91F70334-97D0-4CAB-8F01-D36F7393252F}"/>
    <cellStyle name="Normal 2 5 5 23 2" xfId="5928" xr:uid="{8EC36356-F441-4AA4-B7BA-4F4722F22B33}"/>
    <cellStyle name="Normal 2 5 5 23 2 2" xfId="5929" xr:uid="{76C6F743-F75F-483C-B805-5840E31A785C}"/>
    <cellStyle name="Normal 2 5 5 23 2 2 2" xfId="14759" xr:uid="{4BFAD0B6-DABC-4729-A09A-C3263971C2CC}"/>
    <cellStyle name="Normal 2 5 5 23 2 3" xfId="5930" xr:uid="{5532D595-1798-41BE-B8F1-59C7B9814A2E}"/>
    <cellStyle name="Normal 2 5 5 23 2 3 2" xfId="14760" xr:uid="{8D6633F5-3470-42A2-B4BB-1CC472C8AF4E}"/>
    <cellStyle name="Normal 2 5 5 23 2 4" xfId="14758" xr:uid="{36A7B7CA-9F65-4A4A-8915-45C806A0D397}"/>
    <cellStyle name="Normal 2 5 5 23 3" xfId="5931" xr:uid="{47203DE5-779D-4458-98CD-8E920B3763E9}"/>
    <cellStyle name="Normal 2 5 5 23 3 2" xfId="14761" xr:uid="{0D5C48B6-B038-4F70-A0C7-F0E5342489A3}"/>
    <cellStyle name="Normal 2 5 5 23 4" xfId="5932" xr:uid="{069E66E8-97ED-4151-B804-1F1DBA583768}"/>
    <cellStyle name="Normal 2 5 5 23 4 2" xfId="14762" xr:uid="{623A16A0-9B1F-459F-9ED5-FEA8AA8B6F8A}"/>
    <cellStyle name="Normal 2 5 5 23 5" xfId="14757" xr:uid="{FA77033B-E09A-46F6-AF63-FDBEF63DD6F1}"/>
    <cellStyle name="Normal 2 5 5 24" xfId="5933" xr:uid="{3A2C418C-D1B1-45BF-964B-C6FE8785F226}"/>
    <cellStyle name="Normal 2 5 5 24 2" xfId="5934" xr:uid="{0FB13410-78D2-4A5C-924E-B532EAE8F08A}"/>
    <cellStyle name="Normal 2 5 5 24 2 2" xfId="5935" xr:uid="{AE1BFB50-62E2-411A-AFF7-3568E3507E39}"/>
    <cellStyle name="Normal 2 5 5 24 2 2 2" xfId="14765" xr:uid="{99F3563C-33AC-4AB4-A785-C447DD458B98}"/>
    <cellStyle name="Normal 2 5 5 24 2 3" xfId="5936" xr:uid="{B26F19C0-3567-4D88-948E-D7902C8E6603}"/>
    <cellStyle name="Normal 2 5 5 24 2 3 2" xfId="14766" xr:uid="{45DE31EF-95DB-463E-89EB-C7BB3EE7CA24}"/>
    <cellStyle name="Normal 2 5 5 24 2 4" xfId="14764" xr:uid="{8D2EBAB4-F35C-43C4-9819-91184B6A1F61}"/>
    <cellStyle name="Normal 2 5 5 24 3" xfId="5937" xr:uid="{BDD8732B-79C9-407E-AB8A-99D1767795E1}"/>
    <cellStyle name="Normal 2 5 5 24 3 2" xfId="14767" xr:uid="{05B6B4BA-8528-485E-8C4F-C07493BACD3D}"/>
    <cellStyle name="Normal 2 5 5 24 4" xfId="5938" xr:uid="{EAE668DC-F2BE-4D28-AD9A-EA2234D111A0}"/>
    <cellStyle name="Normal 2 5 5 24 4 2" xfId="14768" xr:uid="{9E431B59-106B-4CDA-94D0-4BA032B94B4E}"/>
    <cellStyle name="Normal 2 5 5 24 5" xfId="14763" xr:uid="{D701DFE6-4B5D-42C8-ACC3-0DE1A80772AC}"/>
    <cellStyle name="Normal 2 5 5 25" xfId="5939" xr:uid="{553D1BF0-24F0-486B-9913-4E49D85DE4A9}"/>
    <cellStyle name="Normal 2 5 5 25 2" xfId="5940" xr:uid="{CD613280-1915-4B0F-9D4D-B30F44EC8554}"/>
    <cellStyle name="Normal 2 5 5 25 2 2" xfId="5941" xr:uid="{1E43AF6C-ACD5-4983-90D8-52CF90DB46E7}"/>
    <cellStyle name="Normal 2 5 5 25 2 2 2" xfId="14771" xr:uid="{DB72B825-A943-4DD2-B909-05CF1AB224C4}"/>
    <cellStyle name="Normal 2 5 5 25 2 3" xfId="5942" xr:uid="{1FA34C1A-6C0C-4320-9F8F-7237BC008462}"/>
    <cellStyle name="Normal 2 5 5 25 2 3 2" xfId="14772" xr:uid="{FFAC124E-CAEC-48E0-BC96-10AF089BE25F}"/>
    <cellStyle name="Normal 2 5 5 25 2 4" xfId="14770" xr:uid="{78336FFA-52F6-441A-A5CD-91116594C3A1}"/>
    <cellStyle name="Normal 2 5 5 25 3" xfId="5943" xr:uid="{FED6ADFB-BE7F-4265-B7B8-48B63BB03764}"/>
    <cellStyle name="Normal 2 5 5 25 3 2" xfId="14773" xr:uid="{DA69EC43-DEBA-422E-B3FD-0B6593E0DBF8}"/>
    <cellStyle name="Normal 2 5 5 25 4" xfId="5944" xr:uid="{FDF41B38-DBF4-44F1-A8D4-6EE2D998F737}"/>
    <cellStyle name="Normal 2 5 5 25 4 2" xfId="14774" xr:uid="{34D5C8BF-1236-4415-A1B8-13BBD4737856}"/>
    <cellStyle name="Normal 2 5 5 25 5" xfId="14769" xr:uid="{D738521F-21E4-4A02-B902-2C723A5FA824}"/>
    <cellStyle name="Normal 2 5 5 26" xfId="5945" xr:uid="{68D97888-DECC-483F-BD60-EC7B55F9F31F}"/>
    <cellStyle name="Normal 2 5 5 26 2" xfId="5946" xr:uid="{DF8E090D-4FDB-4E7D-B963-ADCB1D5F20B3}"/>
    <cellStyle name="Normal 2 5 5 26 2 2" xfId="5947" xr:uid="{63FA909E-7D19-4428-B628-EB70810DF30A}"/>
    <cellStyle name="Normal 2 5 5 26 2 2 2" xfId="14777" xr:uid="{9A81F8A1-FFCC-4F7F-AA79-FA64D13A5BA3}"/>
    <cellStyle name="Normal 2 5 5 26 2 3" xfId="5948" xr:uid="{66D98091-B7CA-4AE2-A968-65AB3D851E47}"/>
    <cellStyle name="Normal 2 5 5 26 2 3 2" xfId="14778" xr:uid="{04A5708A-5987-4A07-B479-78482A69693A}"/>
    <cellStyle name="Normal 2 5 5 26 2 4" xfId="14776" xr:uid="{82358827-CC9A-4B1B-B6E7-32874576ADC4}"/>
    <cellStyle name="Normal 2 5 5 26 3" xfId="5949" xr:uid="{48D22933-5193-446E-9E08-BDD5152C350F}"/>
    <cellStyle name="Normal 2 5 5 26 3 2" xfId="14779" xr:uid="{E95365B4-7483-441E-89FB-F3C5615D5132}"/>
    <cellStyle name="Normal 2 5 5 26 4" xfId="5950" xr:uid="{8CC5F9ED-D770-4BDD-BC05-F55413C5ED31}"/>
    <cellStyle name="Normal 2 5 5 26 4 2" xfId="14780" xr:uid="{D59E01EF-7BC5-4911-9802-8B2E9690849F}"/>
    <cellStyle name="Normal 2 5 5 26 5" xfId="14775" xr:uid="{872039B8-B52C-49AA-9C16-3438DEE6B8C0}"/>
    <cellStyle name="Normal 2 5 5 27" xfId="5951" xr:uid="{409CA5FA-867E-4C29-9AF1-11751BDA55C6}"/>
    <cellStyle name="Normal 2 5 5 27 2" xfId="5952" xr:uid="{640BEADD-47F6-45DE-B354-4E3C6EF661D7}"/>
    <cellStyle name="Normal 2 5 5 27 2 2" xfId="5953" xr:uid="{F7A45367-665F-4280-A3C1-C82B25A95E80}"/>
    <cellStyle name="Normal 2 5 5 27 2 2 2" xfId="14783" xr:uid="{762C71B7-42D6-42A7-B0DA-823DDD8DE271}"/>
    <cellStyle name="Normal 2 5 5 27 2 3" xfId="5954" xr:uid="{6B7DCFD3-9199-49EA-8F97-C36417D87724}"/>
    <cellStyle name="Normal 2 5 5 27 2 3 2" xfId="14784" xr:uid="{ABC9956B-F37A-4B19-9D65-5044E213CF1A}"/>
    <cellStyle name="Normal 2 5 5 27 2 4" xfId="14782" xr:uid="{1DFFC30A-88B9-4C39-A690-E303DACCA7C6}"/>
    <cellStyle name="Normal 2 5 5 27 3" xfId="5955" xr:uid="{20657B6D-C42B-4D74-8E36-8C1C95D48E16}"/>
    <cellStyle name="Normal 2 5 5 27 3 2" xfId="14785" xr:uid="{03902A91-B668-4425-B055-EA8BD66C9BA9}"/>
    <cellStyle name="Normal 2 5 5 27 4" xfId="5956" xr:uid="{031837E0-4823-4076-AA49-089B1041752B}"/>
    <cellStyle name="Normal 2 5 5 27 4 2" xfId="14786" xr:uid="{25AB1A24-1EA3-4D31-A441-3ACC95897255}"/>
    <cellStyle name="Normal 2 5 5 27 5" xfId="14781" xr:uid="{D84104EA-CFF1-4D50-8C58-4FA33B6A5BE7}"/>
    <cellStyle name="Normal 2 5 5 28" xfId="5957" xr:uid="{A2E70BA5-F03D-4B54-B7CE-138E7AE38CAA}"/>
    <cellStyle name="Normal 2 5 5 28 2" xfId="5958" xr:uid="{94607286-DC90-428D-85AC-73980B73C31E}"/>
    <cellStyle name="Normal 2 5 5 28 2 2" xfId="5959" xr:uid="{99B9C75A-B381-4FC1-84FB-4C4C6AC455CD}"/>
    <cellStyle name="Normal 2 5 5 28 2 2 2" xfId="14789" xr:uid="{3BA27A61-B82F-4A6C-951D-EBA38062B836}"/>
    <cellStyle name="Normal 2 5 5 28 2 3" xfId="5960" xr:uid="{63F686CC-4B46-47DF-811A-86888DA94A11}"/>
    <cellStyle name="Normal 2 5 5 28 2 3 2" xfId="14790" xr:uid="{FDBE88E8-3082-49FF-99FF-8A3DE718D719}"/>
    <cellStyle name="Normal 2 5 5 28 2 4" xfId="14788" xr:uid="{2E13D512-472A-4EED-85B2-445D358A3C77}"/>
    <cellStyle name="Normal 2 5 5 28 3" xfId="5961" xr:uid="{372D528B-BC03-4B0B-AA91-292B1946712A}"/>
    <cellStyle name="Normal 2 5 5 28 3 2" xfId="14791" xr:uid="{848E7420-0C3F-4E52-BCD2-534028E9E45D}"/>
    <cellStyle name="Normal 2 5 5 28 4" xfId="5962" xr:uid="{6F42DE78-2DF3-4512-9B81-DA81E24743FC}"/>
    <cellStyle name="Normal 2 5 5 28 4 2" xfId="14792" xr:uid="{856532AE-0B45-4AA0-8CD5-1F3FA48C46C4}"/>
    <cellStyle name="Normal 2 5 5 28 5" xfId="14787" xr:uid="{60EDE440-5BC0-4795-A097-122F71105B6A}"/>
    <cellStyle name="Normal 2 5 5 29" xfId="5963" xr:uid="{E6826D03-19BB-4990-B55D-96E433A47784}"/>
    <cellStyle name="Normal 2 5 5 29 2" xfId="5964" xr:uid="{F2F346B7-A0B2-4E87-8E67-CB340DB93AFA}"/>
    <cellStyle name="Normal 2 5 5 29 2 2" xfId="5965" xr:uid="{B03D7713-040E-4A1D-8506-43D83F7AACB7}"/>
    <cellStyle name="Normal 2 5 5 29 2 2 2" xfId="14795" xr:uid="{17BAEF51-1F8A-4548-B8D1-A00828785045}"/>
    <cellStyle name="Normal 2 5 5 29 2 3" xfId="5966" xr:uid="{DE794F50-868A-4355-81AE-6065852BEE15}"/>
    <cellStyle name="Normal 2 5 5 29 2 3 2" xfId="14796" xr:uid="{F1229A78-D795-4171-AE41-1BED2DFE3192}"/>
    <cellStyle name="Normal 2 5 5 29 2 4" xfId="14794" xr:uid="{AAFC9A0E-5B1D-43AC-9819-34B63249B522}"/>
    <cellStyle name="Normal 2 5 5 29 3" xfId="5967" xr:uid="{93552579-8EB3-41D6-B7F7-291D74CE39CC}"/>
    <cellStyle name="Normal 2 5 5 29 3 2" xfId="14797" xr:uid="{F1F68FAA-9DAB-48E1-BDA5-8FD35D142AD9}"/>
    <cellStyle name="Normal 2 5 5 29 4" xfId="5968" xr:uid="{A77D46CF-F92C-4FA2-A373-225CE997A66C}"/>
    <cellStyle name="Normal 2 5 5 29 4 2" xfId="14798" xr:uid="{38CD78F1-BA24-497B-96CA-6B4321532AD5}"/>
    <cellStyle name="Normal 2 5 5 29 5" xfId="14793" xr:uid="{719B3F1E-9CA9-4C29-AD5C-41ACF1C4A47A}"/>
    <cellStyle name="Normal 2 5 5 3" xfId="5969" xr:uid="{BB5CAE02-F0A0-40EA-994B-6523C1313D95}"/>
    <cellStyle name="Normal 2 5 5 3 2" xfId="5970" xr:uid="{AF425F88-1A0A-4F83-8AE3-520DC08B710F}"/>
    <cellStyle name="Normal 2 5 5 3 2 2" xfId="5971" xr:uid="{8DDB4B72-FAEA-412B-83EE-228BF38F012A}"/>
    <cellStyle name="Normal 2 5 5 3 2 2 2" xfId="14801" xr:uid="{5FECF5CD-E6B8-4DA1-885D-6A72D458B630}"/>
    <cellStyle name="Normal 2 5 5 3 2 3" xfId="5972" xr:uid="{26AEA3CE-C720-421D-BD10-5278E51A14F7}"/>
    <cellStyle name="Normal 2 5 5 3 2 3 2" xfId="14802" xr:uid="{12A54757-D825-42F6-936D-4DD847EEF13F}"/>
    <cellStyle name="Normal 2 5 5 3 2 4" xfId="14800" xr:uid="{C64BCBC4-E4E2-4216-B2EB-569A3E7C5863}"/>
    <cellStyle name="Normal 2 5 5 3 3" xfId="5973" xr:uid="{6465EA4C-F1AA-4415-8ACC-185407EF8A12}"/>
    <cellStyle name="Normal 2 5 5 3 3 2" xfId="14803" xr:uid="{5763FF91-D31D-4709-8D7D-6E7815658A7B}"/>
    <cellStyle name="Normal 2 5 5 3 4" xfId="5974" xr:uid="{B0DC16D4-34B4-43B8-935C-9D8C992BC56F}"/>
    <cellStyle name="Normal 2 5 5 3 4 2" xfId="14804" xr:uid="{167D6EB9-68D3-49BE-BE96-ACC02A8642FA}"/>
    <cellStyle name="Normal 2 5 5 3 5" xfId="14799" xr:uid="{C37B92FD-2D88-400F-972D-D918578CA046}"/>
    <cellStyle name="Normal 2 5 5 30" xfId="5975" xr:uid="{B8E70C51-CDC3-466B-B811-EF2BFD4350B6}"/>
    <cellStyle name="Normal 2 5 5 30 2" xfId="5976" xr:uid="{52DD8B4D-73ED-4328-B509-CA0087D6794C}"/>
    <cellStyle name="Normal 2 5 5 30 2 2" xfId="5977" xr:uid="{100764A6-289E-4A6B-9DB6-AB7278207096}"/>
    <cellStyle name="Normal 2 5 5 30 2 2 2" xfId="14807" xr:uid="{ACBBE409-290B-463E-B76E-857306E7E799}"/>
    <cellStyle name="Normal 2 5 5 30 2 3" xfId="5978" xr:uid="{8B3A7FEF-D550-4109-B240-104937698DC6}"/>
    <cellStyle name="Normal 2 5 5 30 2 3 2" xfId="14808" xr:uid="{13FD24B9-E00E-4397-9C7E-A5988CF591EA}"/>
    <cellStyle name="Normal 2 5 5 30 2 4" xfId="14806" xr:uid="{EE418DB0-5825-428E-9175-C1DFEEB16CDB}"/>
    <cellStyle name="Normal 2 5 5 30 3" xfId="5979" xr:uid="{112A1FBA-BC28-4B60-AB68-E72542AD14D4}"/>
    <cellStyle name="Normal 2 5 5 30 3 2" xfId="14809" xr:uid="{C9BD8647-8419-4DA4-A15B-A7B625E3D316}"/>
    <cellStyle name="Normal 2 5 5 30 4" xfId="5980" xr:uid="{2C4FBF24-F715-4412-AF69-EBCCDB6B3FD5}"/>
    <cellStyle name="Normal 2 5 5 30 4 2" xfId="14810" xr:uid="{2910BB9B-ED86-42B2-A681-C750CA131E14}"/>
    <cellStyle name="Normal 2 5 5 30 5" xfId="14805" xr:uid="{E107892C-B9C7-4718-B84D-5B08C8D037CE}"/>
    <cellStyle name="Normal 2 5 5 31" xfId="5981" xr:uid="{2B267D05-5438-4D98-B0EB-4601BFFBD2B8}"/>
    <cellStyle name="Normal 2 5 5 31 2" xfId="5982" xr:uid="{5552E063-E639-4480-88D5-DCCF4DCB1ADF}"/>
    <cellStyle name="Normal 2 5 5 31 2 2" xfId="5983" xr:uid="{48CA34F6-A50A-4476-82A0-35E410097E94}"/>
    <cellStyle name="Normal 2 5 5 31 2 2 2" xfId="14813" xr:uid="{ECF4DBD4-4FCD-4E24-AB7A-BC3B90DC68D2}"/>
    <cellStyle name="Normal 2 5 5 31 2 3" xfId="5984" xr:uid="{F1A3AD13-095C-433D-B717-7614DC4F4258}"/>
    <cellStyle name="Normal 2 5 5 31 2 3 2" xfId="14814" xr:uid="{0765BAC2-BCFA-490C-AFC8-269A03B99816}"/>
    <cellStyle name="Normal 2 5 5 31 2 4" xfId="14812" xr:uid="{4977FF34-3C33-4B63-A3DF-9D9AB1C2DFA7}"/>
    <cellStyle name="Normal 2 5 5 31 3" xfId="5985" xr:uid="{92C8D58B-BDF3-4AF3-8494-93E02EE3F10D}"/>
    <cellStyle name="Normal 2 5 5 31 3 2" xfId="14815" xr:uid="{F57475FA-6FAF-47B2-9159-2ABEF21B02B4}"/>
    <cellStyle name="Normal 2 5 5 31 4" xfId="5986" xr:uid="{2C8A4297-8E6F-4F5A-B341-D6DB3AC09332}"/>
    <cellStyle name="Normal 2 5 5 31 4 2" xfId="14816" xr:uid="{952AD20A-0787-4E37-8FD7-5F500A319039}"/>
    <cellStyle name="Normal 2 5 5 31 5" xfId="14811" xr:uid="{7937F6BA-6CAF-43AD-9A0A-11740EC9F811}"/>
    <cellStyle name="Normal 2 5 5 32" xfId="5987" xr:uid="{12FFDAE5-AECF-4926-B25F-24A14AC87837}"/>
    <cellStyle name="Normal 2 5 5 32 2" xfId="5988" xr:uid="{5C63DC03-4378-47EC-88AD-2F551BCBBB3B}"/>
    <cellStyle name="Normal 2 5 5 32 2 2" xfId="5989" xr:uid="{FBE7E813-47E7-4BD0-8014-D09742F9093D}"/>
    <cellStyle name="Normal 2 5 5 32 2 2 2" xfId="14819" xr:uid="{97D8FA52-91B0-4BA2-8717-074DEBB8D4C3}"/>
    <cellStyle name="Normal 2 5 5 32 2 3" xfId="5990" xr:uid="{C0285691-837D-418F-A93D-82F4740562B6}"/>
    <cellStyle name="Normal 2 5 5 32 2 3 2" xfId="14820" xr:uid="{DDFBF167-FC52-43BD-AD64-769344DC3A90}"/>
    <cellStyle name="Normal 2 5 5 32 2 4" xfId="14818" xr:uid="{39EA9420-EAB7-463F-A317-F8C1A4B33CAF}"/>
    <cellStyle name="Normal 2 5 5 32 3" xfId="5991" xr:uid="{CBB7EB39-A49C-42DF-BE3D-D56C2A675D16}"/>
    <cellStyle name="Normal 2 5 5 32 3 2" xfId="14821" xr:uid="{1E4FB11F-03A1-4F47-8F28-C5530C2114D1}"/>
    <cellStyle name="Normal 2 5 5 32 4" xfId="5992" xr:uid="{83B54889-7E65-4769-AE30-5D2CECF2E384}"/>
    <cellStyle name="Normal 2 5 5 32 4 2" xfId="14822" xr:uid="{C12AE140-7FD0-4994-92F1-017AD10F04CE}"/>
    <cellStyle name="Normal 2 5 5 32 5" xfId="14817" xr:uid="{5F03E0B7-D0C7-417E-804C-B07643BB9FCD}"/>
    <cellStyle name="Normal 2 5 5 33" xfId="5993" xr:uid="{B9EE559F-3866-402E-8EBB-730C65CAFEC6}"/>
    <cellStyle name="Normal 2 5 5 33 2" xfId="5994" xr:uid="{D2BE0410-A3C0-4981-82BE-BB6360616E01}"/>
    <cellStyle name="Normal 2 5 5 33 2 2" xfId="5995" xr:uid="{D6B32155-0C61-4E19-BC19-7D9E570A7936}"/>
    <cellStyle name="Normal 2 5 5 33 2 2 2" xfId="14825" xr:uid="{8E705852-289E-47D1-99D9-15641C8AE510}"/>
    <cellStyle name="Normal 2 5 5 33 2 3" xfId="5996" xr:uid="{3AA7EA60-C9FF-43F8-A3EA-004E219566B4}"/>
    <cellStyle name="Normal 2 5 5 33 2 3 2" xfId="14826" xr:uid="{D1C7C8A8-6490-4ECE-BD30-15CFBEBE64CB}"/>
    <cellStyle name="Normal 2 5 5 33 2 4" xfId="14824" xr:uid="{F913F991-BF19-40EB-936E-21C53180282D}"/>
    <cellStyle name="Normal 2 5 5 33 3" xfId="5997" xr:uid="{5CBE88D8-B6C9-4C59-9EF7-E53D096678DA}"/>
    <cellStyle name="Normal 2 5 5 33 3 2" xfId="14827" xr:uid="{88C739D2-C6AB-4325-BD33-553C951B2BA8}"/>
    <cellStyle name="Normal 2 5 5 33 4" xfId="5998" xr:uid="{FEF23804-BE0D-4011-902E-A27D2F5B6F91}"/>
    <cellStyle name="Normal 2 5 5 33 4 2" xfId="14828" xr:uid="{FFA04834-DCAC-4F24-9A8C-07CAC89CE7D9}"/>
    <cellStyle name="Normal 2 5 5 33 5" xfId="14823" xr:uid="{5C48274D-E3F6-4787-976D-4FFFC3FDD010}"/>
    <cellStyle name="Normal 2 5 5 34" xfId="5999" xr:uid="{FE43FC0A-6E68-41D9-9EE5-C02E6EE344EB}"/>
    <cellStyle name="Normal 2 5 5 34 2" xfId="6000" xr:uid="{DF42202D-71F6-40E0-88B5-72065AA28B21}"/>
    <cellStyle name="Normal 2 5 5 34 2 2" xfId="6001" xr:uid="{DDBE951A-46C8-4B69-BEFB-028AE8093390}"/>
    <cellStyle name="Normal 2 5 5 34 2 2 2" xfId="14831" xr:uid="{2933A1A3-5877-4DA7-9A74-59CAB62DB168}"/>
    <cellStyle name="Normal 2 5 5 34 2 3" xfId="6002" xr:uid="{F9354D3C-E6CD-4A3A-A286-DC374AB2BCB5}"/>
    <cellStyle name="Normal 2 5 5 34 2 3 2" xfId="14832" xr:uid="{C15CD652-18AC-46B4-B507-89F1D220D765}"/>
    <cellStyle name="Normal 2 5 5 34 2 4" xfId="14830" xr:uid="{339E0B4D-371E-4C3B-9CCD-BE7F7BEC9049}"/>
    <cellStyle name="Normal 2 5 5 34 3" xfId="6003" xr:uid="{EBF76B0B-6AB4-48FE-8130-05EF3DCD0C2A}"/>
    <cellStyle name="Normal 2 5 5 34 3 2" xfId="14833" xr:uid="{4D2273FC-DB54-42BE-A16A-682E29D70BA2}"/>
    <cellStyle name="Normal 2 5 5 34 4" xfId="6004" xr:uid="{F0BBF9A6-16D0-4CA5-9B73-6EFA65404AD8}"/>
    <cellStyle name="Normal 2 5 5 34 4 2" xfId="14834" xr:uid="{73C97367-8B2A-4994-8B3E-4B30AE4BBF10}"/>
    <cellStyle name="Normal 2 5 5 34 5" xfId="14829" xr:uid="{80E40F67-6968-4881-AB83-89FAFE0B7239}"/>
    <cellStyle name="Normal 2 5 5 35" xfId="6005" xr:uid="{65F380C0-DE1A-432F-980A-61F59778EC52}"/>
    <cellStyle name="Normal 2 5 5 35 2" xfId="6006" xr:uid="{5C0AFBB1-2211-4541-A255-29AA8C692E14}"/>
    <cellStyle name="Normal 2 5 5 35 2 2" xfId="6007" xr:uid="{2BF8B0F0-B800-4970-90CD-F907432E64FC}"/>
    <cellStyle name="Normal 2 5 5 35 2 2 2" xfId="14837" xr:uid="{D84F5117-8279-41C4-958F-117332C1CBFF}"/>
    <cellStyle name="Normal 2 5 5 35 2 3" xfId="6008" xr:uid="{E66420C8-36FD-40F3-A4D1-2D98D250F732}"/>
    <cellStyle name="Normal 2 5 5 35 2 3 2" xfId="14838" xr:uid="{61A8263B-41FA-4E0A-B503-C24681B72C72}"/>
    <cellStyle name="Normal 2 5 5 35 2 4" xfId="14836" xr:uid="{5ECE866E-DE8F-4E37-BA7A-17224E9DB564}"/>
    <cellStyle name="Normal 2 5 5 35 3" xfId="6009" xr:uid="{068A1F4F-C954-4D94-BDDB-0BEFE785F0AD}"/>
    <cellStyle name="Normal 2 5 5 35 3 2" xfId="14839" xr:uid="{8B88C281-50D0-4FBD-8191-FD4396FAB46E}"/>
    <cellStyle name="Normal 2 5 5 35 4" xfId="6010" xr:uid="{2AA33C62-6CFB-4E4C-A1B6-4A1860C9C2C1}"/>
    <cellStyle name="Normal 2 5 5 35 4 2" xfId="14840" xr:uid="{A5B923C0-6A42-4742-A24A-9E148C7F41A1}"/>
    <cellStyle name="Normal 2 5 5 35 5" xfId="14835" xr:uid="{E0DD1299-A727-400A-BBC6-0CA20363C265}"/>
    <cellStyle name="Normal 2 5 5 36" xfId="6011" xr:uid="{E06F80CA-BF75-4AC9-ACAD-CBA6F8FE5BAA}"/>
    <cellStyle name="Normal 2 5 5 36 2" xfId="6012" xr:uid="{4079B20F-7740-44A5-B262-5290443AC3EE}"/>
    <cellStyle name="Normal 2 5 5 36 2 2" xfId="6013" xr:uid="{17E02C45-1CF6-41BE-BAEA-FC67E1293110}"/>
    <cellStyle name="Normal 2 5 5 36 2 2 2" xfId="14843" xr:uid="{2E7882CF-0380-4C2B-896B-FF20C1091A7C}"/>
    <cellStyle name="Normal 2 5 5 36 2 3" xfId="6014" xr:uid="{84967AD9-8912-4777-8A11-BB0385F16848}"/>
    <cellStyle name="Normal 2 5 5 36 2 3 2" xfId="14844" xr:uid="{026EE8FB-DA43-4254-98D2-3A97B0602C73}"/>
    <cellStyle name="Normal 2 5 5 36 2 4" xfId="14842" xr:uid="{C06051D3-433A-4923-A6BC-6DE4A9818C81}"/>
    <cellStyle name="Normal 2 5 5 36 3" xfId="6015" xr:uid="{A19A4806-3E1A-4F9C-87E0-F9D88D77CBEC}"/>
    <cellStyle name="Normal 2 5 5 36 3 2" xfId="14845" xr:uid="{D3ADCA80-BAD9-479C-9D52-31E998F3A782}"/>
    <cellStyle name="Normal 2 5 5 36 4" xfId="6016" xr:uid="{689FF5F4-AA1B-4754-9271-8A5D8A6918DE}"/>
    <cellStyle name="Normal 2 5 5 36 4 2" xfId="14846" xr:uid="{DEF5C35E-6662-4CEB-AD46-D3D9916E425A}"/>
    <cellStyle name="Normal 2 5 5 36 5" xfId="14841" xr:uid="{F0C72704-125F-4EA6-AD23-4DA213580470}"/>
    <cellStyle name="Normal 2 5 5 37" xfId="6017" xr:uid="{54C4177B-DB48-476D-970B-0A48853E9202}"/>
    <cellStyle name="Normal 2 5 5 37 2" xfId="6018" xr:uid="{B5EC08E0-2698-49CB-971F-B48D47B790E9}"/>
    <cellStyle name="Normal 2 5 5 37 2 2" xfId="6019" xr:uid="{A8218331-20E2-4638-9C76-9EF3C4A4AD8C}"/>
    <cellStyle name="Normal 2 5 5 37 2 2 2" xfId="14849" xr:uid="{59587C26-7F76-4836-9ED5-EB71B3D0B945}"/>
    <cellStyle name="Normal 2 5 5 37 2 3" xfId="6020" xr:uid="{F20DE4D1-97C5-424A-A9D1-F20077E20F76}"/>
    <cellStyle name="Normal 2 5 5 37 2 3 2" xfId="14850" xr:uid="{AA08FAF7-78B1-4460-A71F-2E29F7696A47}"/>
    <cellStyle name="Normal 2 5 5 37 2 4" xfId="14848" xr:uid="{BE487B14-B3DB-41BE-84AF-3B362E05E0D4}"/>
    <cellStyle name="Normal 2 5 5 37 3" xfId="6021" xr:uid="{48451736-BAC9-4D99-8294-3E5263B1AD14}"/>
    <cellStyle name="Normal 2 5 5 37 3 2" xfId="14851" xr:uid="{DA397D7A-D6A7-46B9-BCBB-154526A8B00E}"/>
    <cellStyle name="Normal 2 5 5 37 4" xfId="6022" xr:uid="{42921BC1-E713-4476-978F-BF5DAB7A5BC3}"/>
    <cellStyle name="Normal 2 5 5 37 4 2" xfId="14852" xr:uid="{8E47362B-9F2B-4DDB-8F9F-5161605FBF33}"/>
    <cellStyle name="Normal 2 5 5 37 5" xfId="14847" xr:uid="{DFB23911-6A04-4DCE-A726-783E1AACB722}"/>
    <cellStyle name="Normal 2 5 5 38" xfId="6023" xr:uid="{00B4FD70-A9CC-4251-92D2-8BDE39C6C886}"/>
    <cellStyle name="Normal 2 5 5 38 2" xfId="6024" xr:uid="{CA0BEC7B-FEC9-4B9C-BFD4-708792526ED1}"/>
    <cellStyle name="Normal 2 5 5 38 2 2" xfId="6025" xr:uid="{78D3DA13-69AA-47A1-B1B1-5F560A03CE94}"/>
    <cellStyle name="Normal 2 5 5 38 2 2 2" xfId="14855" xr:uid="{6FE39AF0-AC8E-4ECD-9CE3-40EF4284AECF}"/>
    <cellStyle name="Normal 2 5 5 38 2 3" xfId="6026" xr:uid="{015249B7-5FD5-4884-B304-00DB9980F1B8}"/>
    <cellStyle name="Normal 2 5 5 38 2 3 2" xfId="14856" xr:uid="{EE00DBE7-5036-4D1C-9AF3-05A1C5AE249B}"/>
    <cellStyle name="Normal 2 5 5 38 2 4" xfId="14854" xr:uid="{6F14943E-7AA7-4B71-B7E5-E9B8D29E1FC4}"/>
    <cellStyle name="Normal 2 5 5 38 3" xfId="6027" xr:uid="{2CCAC4AA-3568-42EF-ADD5-B6E2B3348EBB}"/>
    <cellStyle name="Normal 2 5 5 38 3 2" xfId="14857" xr:uid="{37BADD2D-C859-4FB4-ACD7-D4B9C422ED21}"/>
    <cellStyle name="Normal 2 5 5 38 4" xfId="6028" xr:uid="{2965E845-F9E5-417D-AE2C-507D4AF196AD}"/>
    <cellStyle name="Normal 2 5 5 38 4 2" xfId="14858" xr:uid="{B4F8787D-BC01-4CB8-97A1-505EA09B9CB7}"/>
    <cellStyle name="Normal 2 5 5 38 5" xfId="14853" xr:uid="{E7C2C40A-9DF1-4C78-9A2C-F1D7D343A8F9}"/>
    <cellStyle name="Normal 2 5 5 39" xfId="6029" xr:uid="{9EFC2BE0-2972-47BA-87AF-661558A04B27}"/>
    <cellStyle name="Normal 2 5 5 39 2" xfId="6030" xr:uid="{03C959B3-73B7-4EFF-BA3F-CD54FB1E6E4A}"/>
    <cellStyle name="Normal 2 5 5 39 2 2" xfId="6031" xr:uid="{9B82DA3C-45CD-44F4-BBDE-9E71B7896479}"/>
    <cellStyle name="Normal 2 5 5 39 2 2 2" xfId="14861" xr:uid="{0E1620BB-FB08-4E64-9F22-A53FEE252854}"/>
    <cellStyle name="Normal 2 5 5 39 2 3" xfId="6032" xr:uid="{7B52F26E-8175-4AD0-A83F-D3E38FD8A93A}"/>
    <cellStyle name="Normal 2 5 5 39 2 3 2" xfId="14862" xr:uid="{3A8F33C0-032B-42D6-87B6-C190AB2B8CE4}"/>
    <cellStyle name="Normal 2 5 5 39 2 4" xfId="14860" xr:uid="{2FAC01ED-53F5-4EC1-9031-1721DCB21762}"/>
    <cellStyle name="Normal 2 5 5 39 3" xfId="6033" xr:uid="{45EC7F77-1E67-4665-A7F4-EA5EC6101D44}"/>
    <cellStyle name="Normal 2 5 5 39 3 2" xfId="14863" xr:uid="{DF39F757-27BF-461D-8DD8-02817CA69666}"/>
    <cellStyle name="Normal 2 5 5 39 4" xfId="6034" xr:uid="{D54E870F-7226-43A2-8454-6836187AA32B}"/>
    <cellStyle name="Normal 2 5 5 39 4 2" xfId="14864" xr:uid="{EC1D7092-0065-4DD4-9C4D-D616DB2A5301}"/>
    <cellStyle name="Normal 2 5 5 39 5" xfId="14859" xr:uid="{3144265B-02A2-45A2-B883-8F3CF7E93F7E}"/>
    <cellStyle name="Normal 2 5 5 4" xfId="6035" xr:uid="{63F4E962-6E3A-41D4-AF25-FCBB73EC6B51}"/>
    <cellStyle name="Normal 2 5 5 4 2" xfId="6036" xr:uid="{E05E05F6-9E89-46D7-A7C4-6F9C083D9B85}"/>
    <cellStyle name="Normal 2 5 5 4 2 2" xfId="6037" xr:uid="{6638D25B-BBB2-436B-A5F1-529470CB63EB}"/>
    <cellStyle name="Normal 2 5 5 4 2 2 2" xfId="14867" xr:uid="{B2C4E782-898A-4F22-93A0-A45886F46EA1}"/>
    <cellStyle name="Normal 2 5 5 4 2 3" xfId="6038" xr:uid="{985AD219-9A4E-4481-B405-CACD576D5F7C}"/>
    <cellStyle name="Normal 2 5 5 4 2 3 2" xfId="14868" xr:uid="{969D36D3-BB7F-4981-97A0-98A889F689AA}"/>
    <cellStyle name="Normal 2 5 5 4 2 4" xfId="14866" xr:uid="{0FE6B38F-CAFA-459A-A5A6-7AB5175C1D9F}"/>
    <cellStyle name="Normal 2 5 5 4 3" xfId="6039" xr:uid="{770AF707-9931-43AA-BB05-548196693190}"/>
    <cellStyle name="Normal 2 5 5 4 3 2" xfId="14869" xr:uid="{9DDA6ED0-CB0A-4A28-8C78-1D367A81BF5F}"/>
    <cellStyle name="Normal 2 5 5 4 4" xfId="6040" xr:uid="{86B1F344-C273-4A39-914A-069C425791F0}"/>
    <cellStyle name="Normal 2 5 5 4 4 2" xfId="14870" xr:uid="{C0F0391B-1058-4070-B28E-D0C799BE310B}"/>
    <cellStyle name="Normal 2 5 5 4 5" xfId="14865" xr:uid="{15D3BD06-8F7F-45B6-913A-31FF1A4A67CB}"/>
    <cellStyle name="Normal 2 5 5 40" xfId="6041" xr:uid="{371DE44C-FD94-48DB-A063-B5D88D7C672C}"/>
    <cellStyle name="Normal 2 5 5 40 2" xfId="6042" xr:uid="{4541FAE5-C6F7-4F99-ACCA-07270E5D80D9}"/>
    <cellStyle name="Normal 2 5 5 40 2 2" xfId="6043" xr:uid="{4A0E0800-41D1-44D1-B0F7-2D0BACD013C4}"/>
    <cellStyle name="Normal 2 5 5 40 2 2 2" xfId="14873" xr:uid="{43F5A5DB-6FCB-4773-BA12-4DA29978C2CB}"/>
    <cellStyle name="Normal 2 5 5 40 2 3" xfId="6044" xr:uid="{5BFA5EE2-5321-4BC8-B418-0C387948206D}"/>
    <cellStyle name="Normal 2 5 5 40 2 3 2" xfId="14874" xr:uid="{BEFD125A-FD4E-4370-BBCF-05EFCFA4B0A1}"/>
    <cellStyle name="Normal 2 5 5 40 2 4" xfId="14872" xr:uid="{A82BEDCC-7678-41DC-9381-FD9A38596805}"/>
    <cellStyle name="Normal 2 5 5 40 3" xfId="6045" xr:uid="{D670516F-0577-42FA-9C7B-2E337DB76FD2}"/>
    <cellStyle name="Normal 2 5 5 40 3 2" xfId="14875" xr:uid="{5EE5E8DC-23B4-4073-99BA-01318BF655D5}"/>
    <cellStyle name="Normal 2 5 5 40 4" xfId="6046" xr:uid="{A25C6F2C-E9B8-4C70-8B40-D32A1E4FDDAE}"/>
    <cellStyle name="Normal 2 5 5 40 4 2" xfId="14876" xr:uid="{50548CFE-D45A-48A6-9E34-630FB35DC765}"/>
    <cellStyle name="Normal 2 5 5 40 5" xfId="14871" xr:uid="{B23B7C59-A7BE-4307-A78C-238570E0587F}"/>
    <cellStyle name="Normal 2 5 5 41" xfId="6047" xr:uid="{44FC1C58-1293-4CCB-BE79-61230D2F9961}"/>
    <cellStyle name="Normal 2 5 5 41 2" xfId="6048" xr:uid="{778C6A92-3607-4A6A-9AC0-62E13603B986}"/>
    <cellStyle name="Normal 2 5 5 41 2 2" xfId="6049" xr:uid="{D86F753B-36F6-4B3B-B4A2-81FCB2AABF1E}"/>
    <cellStyle name="Normal 2 5 5 41 2 2 2" xfId="14879" xr:uid="{56B16411-FD28-46FA-94C8-B07B0A719430}"/>
    <cellStyle name="Normal 2 5 5 41 2 3" xfId="6050" xr:uid="{B23CDD23-A2C4-41E2-94A2-3AA1F9A98A3F}"/>
    <cellStyle name="Normal 2 5 5 41 2 3 2" xfId="14880" xr:uid="{CEA6BB02-D327-4D25-B1A3-65E730342C7D}"/>
    <cellStyle name="Normal 2 5 5 41 2 4" xfId="14878" xr:uid="{87BB6F6F-CE5D-4EC0-870D-2931A8EEB2A2}"/>
    <cellStyle name="Normal 2 5 5 41 3" xfId="6051" xr:uid="{E6B66675-B480-472C-958E-E0120A02B267}"/>
    <cellStyle name="Normal 2 5 5 41 3 2" xfId="14881" xr:uid="{9ABC3805-8DEA-44BB-84DD-B6F29C648193}"/>
    <cellStyle name="Normal 2 5 5 41 4" xfId="6052" xr:uid="{6AE2E48E-322E-4FD1-B6D8-1C5559161F68}"/>
    <cellStyle name="Normal 2 5 5 41 4 2" xfId="14882" xr:uid="{68A33CF5-AD31-4D1A-8C07-F56FA0582A4D}"/>
    <cellStyle name="Normal 2 5 5 41 5" xfId="14877" xr:uid="{BDC7FBEF-0979-426A-B8EA-C2ED9DA2DD6F}"/>
    <cellStyle name="Normal 2 5 5 42" xfId="6053" xr:uid="{D1D7F155-7F4F-451E-9A37-B43D4A3C0EE7}"/>
    <cellStyle name="Normal 2 5 5 42 2" xfId="6054" xr:uid="{C16E727F-864B-4F7B-827E-7DF2A7C655A2}"/>
    <cellStyle name="Normal 2 5 5 42 2 2" xfId="6055" xr:uid="{E1C870F4-0C18-4500-BAAC-FC6D109535F9}"/>
    <cellStyle name="Normal 2 5 5 42 2 2 2" xfId="14885" xr:uid="{4B1878D0-BF9D-439A-99D4-091D3781EAB1}"/>
    <cellStyle name="Normal 2 5 5 42 2 3" xfId="6056" xr:uid="{7344305B-DD79-4479-9974-4CC3DA6C2D8E}"/>
    <cellStyle name="Normal 2 5 5 42 2 3 2" xfId="14886" xr:uid="{0E31F7EB-4990-4B33-A308-3405FD092432}"/>
    <cellStyle name="Normal 2 5 5 42 2 4" xfId="14884" xr:uid="{AB43F2EC-1D6D-4FCA-918E-43FD09135641}"/>
    <cellStyle name="Normal 2 5 5 42 3" xfId="6057" xr:uid="{42AC873D-2BF0-4CF4-8E87-5232FFBB25A0}"/>
    <cellStyle name="Normal 2 5 5 42 3 2" xfId="14887" xr:uid="{FBE1AE31-3F44-4F04-8428-207A52354C33}"/>
    <cellStyle name="Normal 2 5 5 42 4" xfId="6058" xr:uid="{2C198C15-2D67-44F9-ADD6-822D6ADE5BE7}"/>
    <cellStyle name="Normal 2 5 5 42 4 2" xfId="14888" xr:uid="{5D34CF15-56C9-47BD-9514-611AC5496012}"/>
    <cellStyle name="Normal 2 5 5 42 5" xfId="14883" xr:uid="{2038B391-75B5-434C-92FE-18FB6514F5FC}"/>
    <cellStyle name="Normal 2 5 5 43" xfId="6059" xr:uid="{5791BF7C-F9F5-4DD6-9E27-E98E0EC48E7B}"/>
    <cellStyle name="Normal 2 5 5 43 2" xfId="6060" xr:uid="{A634536A-A422-4BD8-8025-FC1E39E25DAA}"/>
    <cellStyle name="Normal 2 5 5 43 2 2" xfId="6061" xr:uid="{D1446A33-0D87-4544-B4AE-A009F9434CA9}"/>
    <cellStyle name="Normal 2 5 5 43 2 2 2" xfId="14891" xr:uid="{AFE21D2B-CE7B-462D-9F7F-245B5EF92CF5}"/>
    <cellStyle name="Normal 2 5 5 43 2 3" xfId="6062" xr:uid="{4BB63C29-67BF-4B0B-8CC6-0DDFBA5AB6C3}"/>
    <cellStyle name="Normal 2 5 5 43 2 3 2" xfId="14892" xr:uid="{48EBE25F-984E-4D7B-A77D-A253BC4B8E69}"/>
    <cellStyle name="Normal 2 5 5 43 2 4" xfId="14890" xr:uid="{2DDC8F75-C54E-4DCA-BA0B-B6D700F43B1F}"/>
    <cellStyle name="Normal 2 5 5 43 3" xfId="6063" xr:uid="{3269DB92-5332-4F43-8488-175296627EE6}"/>
    <cellStyle name="Normal 2 5 5 43 3 2" xfId="14893" xr:uid="{4A5160B1-A0EB-430B-8AE9-39DA2EB5D62F}"/>
    <cellStyle name="Normal 2 5 5 43 4" xfId="6064" xr:uid="{BAFC9FF5-2972-428D-B2FA-BFA62092F7F5}"/>
    <cellStyle name="Normal 2 5 5 43 4 2" xfId="14894" xr:uid="{1E0144C0-B130-41A1-B688-458799417290}"/>
    <cellStyle name="Normal 2 5 5 43 5" xfId="14889" xr:uid="{C47A6432-0F81-496A-A055-504D84149E52}"/>
    <cellStyle name="Normal 2 5 5 44" xfId="6065" xr:uid="{8964CB1E-9A04-4E19-B4A7-54143B66798D}"/>
    <cellStyle name="Normal 2 5 5 44 2" xfId="6066" xr:uid="{A3DAF8A8-C04D-48C9-BA01-F6C785FA29E7}"/>
    <cellStyle name="Normal 2 5 5 44 2 2" xfId="14896" xr:uid="{8369BB83-BC40-4006-B524-8AE1CE13DBCE}"/>
    <cellStyle name="Normal 2 5 5 44 3" xfId="6067" xr:uid="{97EB4705-4694-4A5E-B3B8-29B3B837C5E5}"/>
    <cellStyle name="Normal 2 5 5 44 3 2" xfId="14897" xr:uid="{4B6F9B4C-EE8A-41A4-A3FE-3AF929CDDFF2}"/>
    <cellStyle name="Normal 2 5 5 44 4" xfId="14895" xr:uid="{9320605E-B692-40C4-8938-6384196312F7}"/>
    <cellStyle name="Normal 2 5 5 45" xfId="6068" xr:uid="{9DE2B643-975D-43F4-9034-F9C3B3F7BF71}"/>
    <cellStyle name="Normal 2 5 5 45 2" xfId="14898" xr:uid="{50D9191B-8DA8-420B-911D-25A23A05391A}"/>
    <cellStyle name="Normal 2 5 5 46" xfId="6069" xr:uid="{96E2BF1A-F2C6-4407-A929-8441F5E3CC1E}"/>
    <cellStyle name="Normal 2 5 5 46 2" xfId="14899" xr:uid="{482631DD-68B3-4AA5-AA1B-AFBA890AA7AD}"/>
    <cellStyle name="Normal 2 5 5 47" xfId="14672" xr:uid="{6A90BC79-4755-42EA-BF3F-DE1A3FEA6651}"/>
    <cellStyle name="Normal 2 5 5 5" xfId="6070" xr:uid="{1A4C8D75-3367-4583-87E2-27F822DCF5D5}"/>
    <cellStyle name="Normal 2 5 5 5 2" xfId="6071" xr:uid="{0239D096-584B-45B7-8154-6A6E01A6D5F5}"/>
    <cellStyle name="Normal 2 5 5 5 2 2" xfId="6072" xr:uid="{C3975038-9DC3-4D99-BA07-ADB8B00822D3}"/>
    <cellStyle name="Normal 2 5 5 5 2 2 2" xfId="14902" xr:uid="{F2990557-8B25-414D-96C3-134DCB253A9C}"/>
    <cellStyle name="Normal 2 5 5 5 2 3" xfId="6073" xr:uid="{A3D91AC7-1731-4C59-B4F6-6BEFAB1F41DD}"/>
    <cellStyle name="Normal 2 5 5 5 2 3 2" xfId="14903" xr:uid="{FD0A6E0B-35F6-48DB-A8EA-D816892915F7}"/>
    <cellStyle name="Normal 2 5 5 5 2 4" xfId="14901" xr:uid="{359C5F8C-00AD-4236-AB21-F2F0D5EBFED8}"/>
    <cellStyle name="Normal 2 5 5 5 3" xfId="6074" xr:uid="{B34B5F66-C41A-4740-858E-0251D9D36F05}"/>
    <cellStyle name="Normal 2 5 5 5 3 2" xfId="14904" xr:uid="{456E43BC-8026-480E-89C2-76263EE6CB14}"/>
    <cellStyle name="Normal 2 5 5 5 4" xfId="6075" xr:uid="{F86B71A8-DDB2-4F8E-9C0A-ACFE8AA573F5}"/>
    <cellStyle name="Normal 2 5 5 5 4 2" xfId="14905" xr:uid="{2FA9EB1E-B501-45F5-8734-5C5AC2FECFCD}"/>
    <cellStyle name="Normal 2 5 5 5 5" xfId="14900" xr:uid="{7279E969-FA5B-4417-B112-729B47AFDBA2}"/>
    <cellStyle name="Normal 2 5 5 6" xfId="6076" xr:uid="{8ABEF98E-FAD7-49D9-9DF4-6EF1CFDF8840}"/>
    <cellStyle name="Normal 2 5 5 6 2" xfId="6077" xr:uid="{66DC955E-3D2B-405E-88D8-0466D61C5F8B}"/>
    <cellStyle name="Normal 2 5 5 6 2 2" xfId="6078" xr:uid="{E2FCF8C6-F9D2-4EE1-AE74-FA29EEA55C9C}"/>
    <cellStyle name="Normal 2 5 5 6 2 2 2" xfId="14908" xr:uid="{351E0BDF-21BE-4737-B41C-0F17AFD474B0}"/>
    <cellStyle name="Normal 2 5 5 6 2 3" xfId="6079" xr:uid="{1CC7212E-0DE6-4EA2-9024-1FBE413FDE14}"/>
    <cellStyle name="Normal 2 5 5 6 2 3 2" xfId="14909" xr:uid="{1FE5AD94-AC07-4433-ACF4-B0FDD1759444}"/>
    <cellStyle name="Normal 2 5 5 6 2 4" xfId="14907" xr:uid="{03E8FEEF-F8FA-43D9-B003-FC1B35C53062}"/>
    <cellStyle name="Normal 2 5 5 6 3" xfId="6080" xr:uid="{B99E0060-475E-4241-9502-1F91B72A38B6}"/>
    <cellStyle name="Normal 2 5 5 6 3 2" xfId="14910" xr:uid="{6EBECD24-85CB-4B37-BABD-DCACAE36B033}"/>
    <cellStyle name="Normal 2 5 5 6 4" xfId="6081" xr:uid="{805BE07C-5E7A-46D7-A0D6-45D2E91EA299}"/>
    <cellStyle name="Normal 2 5 5 6 4 2" xfId="14911" xr:uid="{065432DE-D567-4FA8-B6C3-FDF21B2C7047}"/>
    <cellStyle name="Normal 2 5 5 6 5" xfId="14906" xr:uid="{64C80C88-4B9F-4C5E-8034-40620E852198}"/>
    <cellStyle name="Normal 2 5 5 7" xfId="6082" xr:uid="{DC444518-0489-4B23-AC33-829A43B0629A}"/>
    <cellStyle name="Normal 2 5 5 7 2" xfId="6083" xr:uid="{84444DB6-600D-404C-9444-CC5854117AF8}"/>
    <cellStyle name="Normal 2 5 5 7 2 2" xfId="6084" xr:uid="{5A6999E2-9DFC-4667-8F1E-DB7E724E60A6}"/>
    <cellStyle name="Normal 2 5 5 7 2 2 2" xfId="14914" xr:uid="{9B9A6B21-6886-4B0B-86E9-83C94936F770}"/>
    <cellStyle name="Normal 2 5 5 7 2 3" xfId="6085" xr:uid="{C8F964D6-4041-4451-B674-34A36FC93920}"/>
    <cellStyle name="Normal 2 5 5 7 2 3 2" xfId="14915" xr:uid="{15A29247-7B38-4B73-81E5-36F1776F04F6}"/>
    <cellStyle name="Normal 2 5 5 7 2 4" xfId="14913" xr:uid="{C1024469-1E57-4881-A89D-11C82EB887A0}"/>
    <cellStyle name="Normal 2 5 5 7 3" xfId="6086" xr:uid="{4E8F408B-0961-43F7-A448-50408EDB53A4}"/>
    <cellStyle name="Normal 2 5 5 7 3 2" xfId="14916" xr:uid="{D8B60E69-FCF3-4A2D-B236-5F0575CAEFFC}"/>
    <cellStyle name="Normal 2 5 5 7 4" xfId="6087" xr:uid="{684A5A1C-B6E9-40E5-BA0E-7962F7813065}"/>
    <cellStyle name="Normal 2 5 5 7 4 2" xfId="14917" xr:uid="{8B00396B-13E4-4112-A758-0E1B5730A29A}"/>
    <cellStyle name="Normal 2 5 5 7 5" xfId="14912" xr:uid="{5072899C-1C7E-43D4-854F-48586768D54D}"/>
    <cellStyle name="Normal 2 5 5 8" xfId="6088" xr:uid="{E1D4F4CC-44BA-4343-9475-EC32845D5A9C}"/>
    <cellStyle name="Normal 2 5 5 8 2" xfId="6089" xr:uid="{DE0632A3-B7B9-4885-8ADD-556C3B511584}"/>
    <cellStyle name="Normal 2 5 5 8 2 2" xfId="6090" xr:uid="{0E0E368E-AB00-42ED-8F4F-F4E0D6B476E0}"/>
    <cellStyle name="Normal 2 5 5 8 2 2 2" xfId="14920" xr:uid="{DBD407DC-279F-413D-93BA-25612AA7E9EC}"/>
    <cellStyle name="Normal 2 5 5 8 2 3" xfId="6091" xr:uid="{B6F1CB3C-BCFC-434C-B934-00438323FEF5}"/>
    <cellStyle name="Normal 2 5 5 8 2 3 2" xfId="14921" xr:uid="{EFA85ECB-C8F6-4DDC-8F82-403BCEB8D951}"/>
    <cellStyle name="Normal 2 5 5 8 2 4" xfId="14919" xr:uid="{73B1A6A3-8462-431B-81A7-4C453C5F9AB0}"/>
    <cellStyle name="Normal 2 5 5 8 3" xfId="6092" xr:uid="{0A4B5A4B-8473-4B60-AA09-D4F0E7DA2F72}"/>
    <cellStyle name="Normal 2 5 5 8 3 2" xfId="14922" xr:uid="{8294AA2D-8379-4210-931C-5F7188E7A997}"/>
    <cellStyle name="Normal 2 5 5 8 4" xfId="6093" xr:uid="{E0EEDEDE-E8C0-4CE7-BCB5-9DD9B4C9B7C8}"/>
    <cellStyle name="Normal 2 5 5 8 4 2" xfId="14923" xr:uid="{22087862-6B78-4EC0-98CA-055577753589}"/>
    <cellStyle name="Normal 2 5 5 8 5" xfId="14918" xr:uid="{339A94AA-B212-4311-8BFA-574AADF5B7FC}"/>
    <cellStyle name="Normal 2 5 5 9" xfId="6094" xr:uid="{FFD61304-C45E-48E9-BDF4-7CED2375A455}"/>
    <cellStyle name="Normal 2 5 5 9 2" xfId="6095" xr:uid="{B8FDB44E-8656-42C8-9DE9-7B93F1F289C3}"/>
    <cellStyle name="Normal 2 5 5 9 2 2" xfId="6096" xr:uid="{8F65F55C-7BBB-4554-8FD1-E6C77116D569}"/>
    <cellStyle name="Normal 2 5 5 9 2 2 2" xfId="14926" xr:uid="{41EBA0F6-D788-4473-BD85-A93E7F55F9B0}"/>
    <cellStyle name="Normal 2 5 5 9 2 3" xfId="6097" xr:uid="{8EBE3805-B7B8-4FD6-813C-2FDB905051F3}"/>
    <cellStyle name="Normal 2 5 5 9 2 3 2" xfId="14927" xr:uid="{17B03E21-E3D9-4045-8FB0-19A53646CB4E}"/>
    <cellStyle name="Normal 2 5 5 9 2 4" xfId="14925" xr:uid="{1DDAA317-DBA2-4EE8-B99C-6EB83C62800C}"/>
    <cellStyle name="Normal 2 5 5 9 3" xfId="6098" xr:uid="{81CF1825-27C3-4AD3-AF31-4A8145936332}"/>
    <cellStyle name="Normal 2 5 5 9 3 2" xfId="14928" xr:uid="{5FA43CE1-7241-469B-B9E1-1989F7448ECF}"/>
    <cellStyle name="Normal 2 5 5 9 4" xfId="6099" xr:uid="{DB984D68-C938-491C-9D16-DBC65223DDF5}"/>
    <cellStyle name="Normal 2 5 5 9 4 2" xfId="14929" xr:uid="{FCF84C20-F252-4DBE-93AF-6A350561C03B}"/>
    <cellStyle name="Normal 2 5 5 9 5" xfId="14924" xr:uid="{847ED9E7-5C1E-4E66-A081-18B606DC9382}"/>
    <cellStyle name="Normal 2 5 50" xfId="6100" xr:uid="{27962B2C-6106-4761-AF3D-2AC84EE5E5BE}"/>
    <cellStyle name="Normal 2 5 50 2" xfId="6101" xr:uid="{0653B0BC-A302-4481-A64F-CD1E098D1BBE}"/>
    <cellStyle name="Normal 2 5 50 2 2" xfId="6102" xr:uid="{4C1DFF5D-3AC8-4EB5-904B-535AE76797A6}"/>
    <cellStyle name="Normal 2 5 50 2 2 2" xfId="14932" xr:uid="{189F7EE9-8A0D-443E-803B-4F5396AA654F}"/>
    <cellStyle name="Normal 2 5 50 2 3" xfId="6103" xr:uid="{A85C8C70-7C92-4AB9-8AEC-BDFF9652E520}"/>
    <cellStyle name="Normal 2 5 50 2 3 2" xfId="14933" xr:uid="{E30BB89A-C22D-4DF0-B692-D05324131C9B}"/>
    <cellStyle name="Normal 2 5 50 2 4" xfId="14931" xr:uid="{F4CE1E8F-DF26-476F-86F3-1008A8FBEC08}"/>
    <cellStyle name="Normal 2 5 50 3" xfId="6104" xr:uid="{0E2F7894-9426-4030-AA0F-0937BB689833}"/>
    <cellStyle name="Normal 2 5 50 3 2" xfId="14934" xr:uid="{D3E0859A-F022-4AF3-819E-E89D0B0465F9}"/>
    <cellStyle name="Normal 2 5 50 4" xfId="6105" xr:uid="{B000BF8E-9E53-45B9-93E3-07C9C8E00B7C}"/>
    <cellStyle name="Normal 2 5 50 4 2" xfId="14935" xr:uid="{288E9DB9-A4BC-4B71-B57E-3DAC2EB334E2}"/>
    <cellStyle name="Normal 2 5 50 5" xfId="14930" xr:uid="{7EC87509-3D41-4A1C-9CB6-A8E09D3D82D5}"/>
    <cellStyle name="Normal 2 5 51" xfId="6106" xr:uid="{06BA3101-CD78-454C-AE66-71AA1CEA05C7}"/>
    <cellStyle name="Normal 2 5 51 2" xfId="6107" xr:uid="{2CD0FF4D-E299-49BB-98C3-6F89F5CA56C0}"/>
    <cellStyle name="Normal 2 5 51 2 2" xfId="6108" xr:uid="{1D8AE226-47A2-4116-8F06-7DE681B10D6C}"/>
    <cellStyle name="Normal 2 5 51 2 2 2" xfId="14938" xr:uid="{32076ADE-FD0F-440D-98B2-4FED163545C2}"/>
    <cellStyle name="Normal 2 5 51 2 3" xfId="6109" xr:uid="{106593B3-AED6-4A27-A8C2-0F301AFE82F8}"/>
    <cellStyle name="Normal 2 5 51 2 3 2" xfId="14939" xr:uid="{F755BFD3-65C7-423B-B9AC-0CD06E43234D}"/>
    <cellStyle name="Normal 2 5 51 2 4" xfId="14937" xr:uid="{92C58B8F-28EF-403A-B984-8940E8D8A2DF}"/>
    <cellStyle name="Normal 2 5 51 3" xfId="6110" xr:uid="{1F039769-3A37-4707-9A1D-ED0940487554}"/>
    <cellStyle name="Normal 2 5 51 3 2" xfId="14940" xr:uid="{327F54DD-B4AD-4428-ABAB-9DDA88FCBA03}"/>
    <cellStyle name="Normal 2 5 51 4" xfId="6111" xr:uid="{B28E5947-652D-4A16-BC45-801769D22B8F}"/>
    <cellStyle name="Normal 2 5 51 4 2" xfId="14941" xr:uid="{B22609BE-7EF2-499A-8B05-55C9A1E77627}"/>
    <cellStyle name="Normal 2 5 51 5" xfId="14936" xr:uid="{393BA341-E184-4515-A37D-7F465E0CCB6C}"/>
    <cellStyle name="Normal 2 5 52" xfId="6112" xr:uid="{17FF64C2-5A8E-4B94-9077-9FA6D0684461}"/>
    <cellStyle name="Normal 2 5 52 2" xfId="6113" xr:uid="{7AA415A8-31BD-4E76-BDDC-838A05BA56C8}"/>
    <cellStyle name="Normal 2 5 52 2 2" xfId="6114" xr:uid="{8DB25314-3712-4007-A651-2A6D9DBA50D9}"/>
    <cellStyle name="Normal 2 5 52 2 2 2" xfId="14944" xr:uid="{974A7D6F-EB56-41A2-B082-AEE96ACB2783}"/>
    <cellStyle name="Normal 2 5 52 2 3" xfId="6115" xr:uid="{B72939A1-31B0-4A45-9BAF-A3AAC75FB597}"/>
    <cellStyle name="Normal 2 5 52 2 3 2" xfId="14945" xr:uid="{4688B74B-EF71-4030-B37D-080E92198BB1}"/>
    <cellStyle name="Normal 2 5 52 2 4" xfId="14943" xr:uid="{152E521C-AD3C-46B8-9D3D-8768FC80E633}"/>
    <cellStyle name="Normal 2 5 52 3" xfId="6116" xr:uid="{523B69CF-56BA-4946-B50F-088F76F0999D}"/>
    <cellStyle name="Normal 2 5 52 3 2" xfId="14946" xr:uid="{D85066E9-CBCE-4A8D-BF27-CC00707D4D05}"/>
    <cellStyle name="Normal 2 5 52 4" xfId="6117" xr:uid="{3BCE0B7B-875A-45D8-99DB-8F2BBC7050F1}"/>
    <cellStyle name="Normal 2 5 52 4 2" xfId="14947" xr:uid="{26B7AC86-D1D1-445A-AB17-287DCA95671D}"/>
    <cellStyle name="Normal 2 5 52 5" xfId="14942" xr:uid="{3331543D-718A-49BF-8D53-07DC11C1F2C1}"/>
    <cellStyle name="Normal 2 5 53" xfId="6118" xr:uid="{B1B5F90B-DCA5-4EA6-91BE-C14D2AAAC1BB}"/>
    <cellStyle name="Normal 2 5 53 2" xfId="6119" xr:uid="{E4392900-3DDC-4601-ABEB-D9071A1DBED2}"/>
    <cellStyle name="Normal 2 5 53 2 2" xfId="6120" xr:uid="{A83AC148-E756-4419-ABEB-FE8D3DA6FCE1}"/>
    <cellStyle name="Normal 2 5 53 2 2 2" xfId="14950" xr:uid="{865FC845-B1B6-4A65-8310-0A18B1FB5E44}"/>
    <cellStyle name="Normal 2 5 53 2 3" xfId="6121" xr:uid="{31C48EFE-0729-4404-A9B0-DFE35DEE2F0D}"/>
    <cellStyle name="Normal 2 5 53 2 3 2" xfId="14951" xr:uid="{4C155CBB-17DD-432A-8897-731E14ED7F54}"/>
    <cellStyle name="Normal 2 5 53 2 4" xfId="14949" xr:uid="{4715FF4D-841E-4EEE-969E-7ADEB9BED610}"/>
    <cellStyle name="Normal 2 5 53 3" xfId="6122" xr:uid="{BCB85AA1-B1B6-4F95-8858-40760BE566F2}"/>
    <cellStyle name="Normal 2 5 53 3 2" xfId="14952" xr:uid="{B48281C5-F627-4340-A45C-85253AA04441}"/>
    <cellStyle name="Normal 2 5 53 4" xfId="6123" xr:uid="{B7415DD3-559C-4EB8-AD40-AACC884BEA99}"/>
    <cellStyle name="Normal 2 5 53 4 2" xfId="14953" xr:uid="{E8F394FA-84E7-4A06-8DE4-9E62147C54F5}"/>
    <cellStyle name="Normal 2 5 53 5" xfId="14948" xr:uid="{57CD36B0-19C6-4BA8-B747-E2B6E403FD78}"/>
    <cellStyle name="Normal 2 5 54" xfId="6124" xr:uid="{1E76190B-BC0B-4E62-AF45-7F73837D346C}"/>
    <cellStyle name="Normal 2 5 54 2" xfId="6125" xr:uid="{B5EEA048-1984-46B4-B8DD-9C5EE59AF4E4}"/>
    <cellStyle name="Normal 2 5 54 2 2" xfId="6126" xr:uid="{D66B1321-BF02-4722-A01B-AC65817E9C37}"/>
    <cellStyle name="Normal 2 5 54 2 2 2" xfId="14956" xr:uid="{33FF2296-9E45-47AC-855D-E3285B78C6CA}"/>
    <cellStyle name="Normal 2 5 54 2 3" xfId="6127" xr:uid="{D643BF15-6B24-47F1-996B-1B905BBB185D}"/>
    <cellStyle name="Normal 2 5 54 2 3 2" xfId="14957" xr:uid="{D811EBF1-E53F-4D0F-B74A-3D1983B59E33}"/>
    <cellStyle name="Normal 2 5 54 2 4" xfId="14955" xr:uid="{654EA054-5943-4F22-9B01-B217EF67A677}"/>
    <cellStyle name="Normal 2 5 54 3" xfId="6128" xr:uid="{71DAE38A-3CD2-42AB-95E8-176EF166D464}"/>
    <cellStyle name="Normal 2 5 54 3 2" xfId="14958" xr:uid="{4048B694-A641-4A32-8182-7A2BF68DC06D}"/>
    <cellStyle name="Normal 2 5 54 4" xfId="6129" xr:uid="{8127FE74-757C-442C-BD03-EE083AC05275}"/>
    <cellStyle name="Normal 2 5 54 4 2" xfId="14959" xr:uid="{934A79EB-B6CB-426F-929C-6E59F313648C}"/>
    <cellStyle name="Normal 2 5 54 5" xfId="14954" xr:uid="{30379074-183C-46C8-AE52-D43721D4BB37}"/>
    <cellStyle name="Normal 2 5 55" xfId="6130" xr:uid="{DF84BD2B-4F0D-482F-93E0-DF6EBD0401A9}"/>
    <cellStyle name="Normal 2 5 55 2" xfId="6131" xr:uid="{9FBE7B0A-F3AE-49AD-AA4E-2DEFB66F01E9}"/>
    <cellStyle name="Normal 2 5 55 2 2" xfId="6132" xr:uid="{3F6E553F-2538-4D24-9523-573955880898}"/>
    <cellStyle name="Normal 2 5 55 2 2 2" xfId="14962" xr:uid="{33870710-1B94-4D46-9B78-4676E7ADB95F}"/>
    <cellStyle name="Normal 2 5 55 2 3" xfId="6133" xr:uid="{FF63949A-7425-425B-ACB8-19D2C06796E4}"/>
    <cellStyle name="Normal 2 5 55 2 3 2" xfId="14963" xr:uid="{E4C3DDA9-7132-44AB-8B08-49008023D0A1}"/>
    <cellStyle name="Normal 2 5 55 2 4" xfId="14961" xr:uid="{20C78332-1D3A-4A5C-80CF-6CCB9E94E30A}"/>
    <cellStyle name="Normal 2 5 55 3" xfId="6134" xr:uid="{DFA2BA77-E4F3-4421-9878-7CDF650A7CAF}"/>
    <cellStyle name="Normal 2 5 55 3 2" xfId="14964" xr:uid="{437D0885-DCB2-4E10-AE09-8AEB284BC09B}"/>
    <cellStyle name="Normal 2 5 55 4" xfId="6135" xr:uid="{EBB77C69-DB7B-4455-AC63-74F51C5E23C8}"/>
    <cellStyle name="Normal 2 5 55 4 2" xfId="14965" xr:uid="{B7E7E3AB-D2C0-47B1-ACCE-F88C923AD74E}"/>
    <cellStyle name="Normal 2 5 55 5" xfId="14960" xr:uid="{FEB1E702-8143-4893-A0DD-6598FAFCCED8}"/>
    <cellStyle name="Normal 2 5 56" xfId="6136" xr:uid="{CDF81051-7761-4E38-B7AF-0A653BB41DF8}"/>
    <cellStyle name="Normal 2 5 56 2" xfId="6137" xr:uid="{59095062-6CD2-4763-A573-B20E3239AF1F}"/>
    <cellStyle name="Normal 2 5 56 2 2" xfId="6138" xr:uid="{F40EDDFC-BD26-4BBB-8D50-AD9E28EA0E6B}"/>
    <cellStyle name="Normal 2 5 56 2 2 2" xfId="14968" xr:uid="{FDFCC711-D803-46CE-8229-F3964CA6CFB5}"/>
    <cellStyle name="Normal 2 5 56 2 3" xfId="6139" xr:uid="{4D5D8A18-A23A-422E-B271-FF37AE8E8322}"/>
    <cellStyle name="Normal 2 5 56 2 3 2" xfId="14969" xr:uid="{522E4FF9-D162-43D5-8D26-DBF8EE1071BD}"/>
    <cellStyle name="Normal 2 5 56 2 4" xfId="14967" xr:uid="{7231931D-562B-489E-B287-5CC083BF458B}"/>
    <cellStyle name="Normal 2 5 56 3" xfId="6140" xr:uid="{83F370C0-4404-4E86-9A1C-978D6B67B4C0}"/>
    <cellStyle name="Normal 2 5 56 3 2" xfId="14970" xr:uid="{EEC59C40-284E-48E5-8944-DC9BFA122864}"/>
    <cellStyle name="Normal 2 5 56 4" xfId="6141" xr:uid="{433204F6-5BAD-4ECD-94B4-6AC77CA8349B}"/>
    <cellStyle name="Normal 2 5 56 4 2" xfId="14971" xr:uid="{0C4EF6FB-5F32-4E8C-ACF5-D5CA9D8A8CC9}"/>
    <cellStyle name="Normal 2 5 56 5" xfId="14966" xr:uid="{7C435927-364B-4805-9535-653C1504E494}"/>
    <cellStyle name="Normal 2 5 57" xfId="6142" xr:uid="{6F3E5E58-6D33-4CD4-98A8-D45B7E0F0A42}"/>
    <cellStyle name="Normal 2 5 57 2" xfId="6143" xr:uid="{6D9C6C53-974A-4793-9551-B740CA04275E}"/>
    <cellStyle name="Normal 2 5 57 2 2" xfId="6144" xr:uid="{94CD31CB-89F9-4AB6-8326-4235C81DDB03}"/>
    <cellStyle name="Normal 2 5 57 2 2 2" xfId="14974" xr:uid="{BEB4F893-66D0-4CB3-9184-339ED4AEFBAA}"/>
    <cellStyle name="Normal 2 5 57 2 3" xfId="6145" xr:uid="{9D20E3B2-4D3D-4678-AD29-78E48E2C10E4}"/>
    <cellStyle name="Normal 2 5 57 2 3 2" xfId="14975" xr:uid="{1CB6EAFD-8FD3-4301-A56A-AB7882F22904}"/>
    <cellStyle name="Normal 2 5 57 2 4" xfId="14973" xr:uid="{1D3C49CA-B6C0-400A-996F-18BFB7B7E539}"/>
    <cellStyle name="Normal 2 5 57 3" xfId="6146" xr:uid="{49D9AE03-0215-47FC-9B7A-BBF4EECE0E53}"/>
    <cellStyle name="Normal 2 5 57 3 2" xfId="14976" xr:uid="{67536408-5AD1-43ED-9B63-20152DCD5ED1}"/>
    <cellStyle name="Normal 2 5 57 4" xfId="6147" xr:uid="{840E53B7-F7DB-486D-A383-F5433D68A368}"/>
    <cellStyle name="Normal 2 5 57 4 2" xfId="14977" xr:uid="{0F741089-7A9A-4C21-837A-CE2091F9717C}"/>
    <cellStyle name="Normal 2 5 57 5" xfId="14972" xr:uid="{074214D7-5C61-4A67-979D-DD1E9A0EB7B6}"/>
    <cellStyle name="Normal 2 5 58" xfId="6148" xr:uid="{A405B724-A910-4B2B-99E5-829BE0E74742}"/>
    <cellStyle name="Normal 2 5 58 2" xfId="6149" xr:uid="{28448778-C361-4514-8A6F-31F985BE275B}"/>
    <cellStyle name="Normal 2 5 58 2 2" xfId="6150" xr:uid="{6825ED59-6CEA-4F73-8428-5FEDD67BE234}"/>
    <cellStyle name="Normal 2 5 58 2 2 2" xfId="14980" xr:uid="{D712ECC8-F6F2-4B2B-817D-6C6B2E34F990}"/>
    <cellStyle name="Normal 2 5 58 2 3" xfId="6151" xr:uid="{D448802B-708B-4AF4-86DF-27184992669B}"/>
    <cellStyle name="Normal 2 5 58 2 3 2" xfId="14981" xr:uid="{891B8B61-927A-467E-912A-98EF92FC5C2C}"/>
    <cellStyle name="Normal 2 5 58 2 4" xfId="14979" xr:uid="{48C70038-5B1D-4754-AC13-240D05822D93}"/>
    <cellStyle name="Normal 2 5 58 3" xfId="6152" xr:uid="{BC880118-63A1-47CE-8A64-BE447574EC73}"/>
    <cellStyle name="Normal 2 5 58 3 2" xfId="14982" xr:uid="{0B1E2293-2600-4571-8D2F-78789650CDC6}"/>
    <cellStyle name="Normal 2 5 58 4" xfId="6153" xr:uid="{A9801059-93C4-4CCC-B4DE-34B394BEF47F}"/>
    <cellStyle name="Normal 2 5 58 4 2" xfId="14983" xr:uid="{A0BA4956-35E9-4EF4-8293-6E2767453C8C}"/>
    <cellStyle name="Normal 2 5 58 5" xfId="14978" xr:uid="{89435C6A-1812-4C6B-B08C-C724D456706C}"/>
    <cellStyle name="Normal 2 5 59" xfId="6154" xr:uid="{C82C4685-646D-48D3-B4CB-129396074040}"/>
    <cellStyle name="Normal 2 5 59 2" xfId="6155" xr:uid="{F46DD909-AA6B-4625-A164-885BCDBF830F}"/>
    <cellStyle name="Normal 2 5 59 2 2" xfId="6156" xr:uid="{1E03F44E-A515-496F-B0EA-3A86F2847A8A}"/>
    <cellStyle name="Normal 2 5 59 2 2 2" xfId="14986" xr:uid="{954EED23-54A4-4053-98AF-CE0CF2467A8A}"/>
    <cellStyle name="Normal 2 5 59 2 3" xfId="6157" xr:uid="{AD566504-8439-4764-ABF3-5CF5C0D2906B}"/>
    <cellStyle name="Normal 2 5 59 2 3 2" xfId="14987" xr:uid="{232EDE83-C3C7-4B68-939F-10A38AFC57F3}"/>
    <cellStyle name="Normal 2 5 59 2 4" xfId="14985" xr:uid="{A5FB12EB-854E-425A-8E49-D91E3A4750F1}"/>
    <cellStyle name="Normal 2 5 59 3" xfId="6158" xr:uid="{88390536-EFB4-4841-9758-2124A46909DF}"/>
    <cellStyle name="Normal 2 5 59 3 2" xfId="14988" xr:uid="{83913BB3-CD2D-4292-A408-DD66892F111A}"/>
    <cellStyle name="Normal 2 5 59 4" xfId="6159" xr:uid="{6713BB45-D2C3-46CF-A999-CFA547B2D037}"/>
    <cellStyle name="Normal 2 5 59 4 2" xfId="14989" xr:uid="{34C20D45-B9E4-4CB4-B739-FF5CAB1D58CD}"/>
    <cellStyle name="Normal 2 5 59 5" xfId="14984" xr:uid="{81CB7101-1930-4107-9052-AA3BA5E3F50F}"/>
    <cellStyle name="Normal 2 5 6" xfId="6160" xr:uid="{620DDA6E-D998-415E-B44D-AD0D852F45F5}"/>
    <cellStyle name="Normal 2 5 6 2" xfId="6161" xr:uid="{81D511F7-D327-49AE-A9DD-8245B2BEDE96}"/>
    <cellStyle name="Normal 2 5 6 2 2" xfId="6162" xr:uid="{69C583F7-A6D2-4C72-8020-7B1356FDCB31}"/>
    <cellStyle name="Normal 2 5 6 2 2 2" xfId="14992" xr:uid="{CB0110CF-50CE-4E26-ABF1-5165458FF035}"/>
    <cellStyle name="Normal 2 5 6 2 3" xfId="6163" xr:uid="{D23A9EDB-7570-430A-A85D-785A07927A26}"/>
    <cellStyle name="Normal 2 5 6 2 3 2" xfId="14993" xr:uid="{DE98B7D8-7B2E-4B1A-92CF-7B9329F8CB70}"/>
    <cellStyle name="Normal 2 5 6 2 4" xfId="14991" xr:uid="{406DF9BC-F8CB-4DA2-9752-997882422751}"/>
    <cellStyle name="Normal 2 5 6 3" xfId="6164" xr:uid="{9EDC1BF9-4481-41A4-81E4-0CE58D3667E7}"/>
    <cellStyle name="Normal 2 5 6 3 2" xfId="14994" xr:uid="{1CF83B2E-4601-4700-B22D-41E9416DB9C7}"/>
    <cellStyle name="Normal 2 5 6 4" xfId="6165" xr:uid="{BDEF4956-EF2B-433C-8F23-631C7D91398B}"/>
    <cellStyle name="Normal 2 5 6 4 2" xfId="14995" xr:uid="{13B43A2F-78DA-4FE6-B479-3C5634D1CFEB}"/>
    <cellStyle name="Normal 2 5 6 5" xfId="14990" xr:uid="{160BAF46-D57C-4F08-BB2B-67504C5922DE}"/>
    <cellStyle name="Normal 2 5 60" xfId="6166" xr:uid="{F159613F-8AC0-4866-B746-814951F26E1E}"/>
    <cellStyle name="Normal 2 5 60 2" xfId="6167" xr:uid="{6F25C145-C9F3-477E-AB17-67C178CDA500}"/>
    <cellStyle name="Normal 2 5 60 2 2" xfId="6168" xr:uid="{5F402255-7B19-429F-A137-C6C8853B5690}"/>
    <cellStyle name="Normal 2 5 60 2 2 2" xfId="14998" xr:uid="{0C5824CF-DA85-4E51-ADE7-B90334B0EC72}"/>
    <cellStyle name="Normal 2 5 60 2 3" xfId="6169" xr:uid="{6A13269A-25BE-4DCA-A223-B607EA83C9A0}"/>
    <cellStyle name="Normal 2 5 60 2 3 2" xfId="14999" xr:uid="{EA7BC1DA-3A28-493C-82A7-CE125F68749C}"/>
    <cellStyle name="Normal 2 5 60 2 4" xfId="14997" xr:uid="{BD066DD0-7459-40CC-A607-7261AD403813}"/>
    <cellStyle name="Normal 2 5 60 3" xfId="6170" xr:uid="{E0E7E43F-AB91-43EB-B11D-3892FD515119}"/>
    <cellStyle name="Normal 2 5 60 3 2" xfId="15000" xr:uid="{60E0838B-C973-4D44-B31B-3D9CF6B91944}"/>
    <cellStyle name="Normal 2 5 60 4" xfId="6171" xr:uid="{AAEC5C4A-1A0A-49A1-8B97-D215EA9F0A41}"/>
    <cellStyle name="Normal 2 5 60 4 2" xfId="15001" xr:uid="{8E4A0BCE-2ADB-48A1-A8E6-1CD3EF00EDFB}"/>
    <cellStyle name="Normal 2 5 60 5" xfId="14996" xr:uid="{F8205A0F-36E9-4755-85A4-B21C5640D8B5}"/>
    <cellStyle name="Normal 2 5 61" xfId="6172" xr:uid="{AF41550F-77C6-4B35-98BF-DE6B15F91CE7}"/>
    <cellStyle name="Normal 2 5 61 2" xfId="6173" xr:uid="{24A732F0-D72F-4158-B2B6-3885997ACB52}"/>
    <cellStyle name="Normal 2 5 61 2 2" xfId="15003" xr:uid="{CDB926FD-31BD-4F2E-8520-43B2B9EA035C}"/>
    <cellStyle name="Normal 2 5 61 3" xfId="6174" xr:uid="{D4CE92AF-58CF-402D-A44E-A905A14006AD}"/>
    <cellStyle name="Normal 2 5 61 3 2" xfId="15004" xr:uid="{32F8506F-91B5-470A-8197-87C943067EB9}"/>
    <cellStyle name="Normal 2 5 61 4" xfId="15002" xr:uid="{D1AB5723-BDC1-487F-B916-F9C708DC2E06}"/>
    <cellStyle name="Normal 2 5 62" xfId="6175" xr:uid="{31D85AA0-3E23-430C-97C0-D4BB3B1E445A}"/>
    <cellStyle name="Normal 2 5 62 2" xfId="15005" xr:uid="{57FCCA98-CD7A-43B6-AD0D-6355107D4BBE}"/>
    <cellStyle name="Normal 2 5 63" xfId="6176" xr:uid="{52C7957C-701B-4A08-AB68-090E916264B6}"/>
    <cellStyle name="Normal 2 5 63 2" xfId="15006" xr:uid="{48FF75A5-D8A8-46F9-B949-A992D04541DB}"/>
    <cellStyle name="Normal 2 5 64" xfId="6177" xr:uid="{ADB84F9A-5785-4C70-B2AE-FBCAD7C2EC60}"/>
    <cellStyle name="Normal 2 5 65" xfId="6178" xr:uid="{FE50B8AD-1DDF-430C-B64F-7461E6A2F4A5}"/>
    <cellStyle name="Normal 2 5 65 2" xfId="15007" xr:uid="{6D903F39-7F2C-44B2-A8A7-18118A82945F}"/>
    <cellStyle name="Normal 2 5 66" xfId="6179" xr:uid="{A5CD33B2-6A5C-4661-B1EC-9CFC7808E807}"/>
    <cellStyle name="Normal 2 5 67" xfId="13657" xr:uid="{9EE6628C-75DF-4E16-AC6E-BFB0BB79870C}"/>
    <cellStyle name="Normal 2 5 7" xfId="6180" xr:uid="{6011C2D1-AAEA-44A6-B28B-3778A1914BAB}"/>
    <cellStyle name="Normal 2 5 7 2" xfId="6181" xr:uid="{F14A5DC7-4039-46AA-8583-45D173503995}"/>
    <cellStyle name="Normal 2 5 7 2 2" xfId="6182" xr:uid="{6EC173DB-2676-4D87-B8CE-4BEFE8B76A13}"/>
    <cellStyle name="Normal 2 5 7 2 2 2" xfId="15010" xr:uid="{A7E2AF77-79F5-4F4E-991E-C45FB29FD181}"/>
    <cellStyle name="Normal 2 5 7 2 3" xfId="6183" xr:uid="{6072C332-6370-4392-9F5A-9F39A959EE3E}"/>
    <cellStyle name="Normal 2 5 7 2 3 2" xfId="15011" xr:uid="{93DB0CC9-0E2C-42AF-AC41-8D35365EC540}"/>
    <cellStyle name="Normal 2 5 7 2 4" xfId="15009" xr:uid="{11E80BDA-0FA0-4335-B8F9-EF728D424B66}"/>
    <cellStyle name="Normal 2 5 7 3" xfId="6184" xr:uid="{A0E48743-54E8-4112-B7A2-6A4E54093766}"/>
    <cellStyle name="Normal 2 5 7 3 2" xfId="15012" xr:uid="{813DCB12-D136-4AA8-9DE4-4E481AA48A88}"/>
    <cellStyle name="Normal 2 5 7 4" xfId="6185" xr:uid="{367183A0-215E-40AD-A784-C13F304BBE12}"/>
    <cellStyle name="Normal 2 5 7 4 2" xfId="15013" xr:uid="{BDE5AE34-2D12-4C19-A1BB-3B5BDCF1E11D}"/>
    <cellStyle name="Normal 2 5 7 5" xfId="15008" xr:uid="{709F68F7-15EF-41A4-8C9D-7179E6F23AE4}"/>
    <cellStyle name="Normal 2 5 8" xfId="6186" xr:uid="{15F13172-603B-43E1-8FD4-D60D432F9E2F}"/>
    <cellStyle name="Normal 2 5 8 2" xfId="6187" xr:uid="{A3C420AC-F649-4257-9F6E-B9BF73F1617E}"/>
    <cellStyle name="Normal 2 5 8 2 2" xfId="6188" xr:uid="{DF7221A2-AF2B-418A-9748-D49066C33596}"/>
    <cellStyle name="Normal 2 5 8 2 2 2" xfId="15016" xr:uid="{9D59C488-9170-4E86-8F1E-BA862F4DEB62}"/>
    <cellStyle name="Normal 2 5 8 2 3" xfId="6189" xr:uid="{E9523E69-D3F1-4750-9EA3-CABEC9A5B698}"/>
    <cellStyle name="Normal 2 5 8 2 3 2" xfId="15017" xr:uid="{94FCDE0C-1E48-4C86-9DD8-0B554E4E2CBA}"/>
    <cellStyle name="Normal 2 5 8 2 4" xfId="15015" xr:uid="{2235C193-8CBD-4007-84AB-CABA02873BDF}"/>
    <cellStyle name="Normal 2 5 8 3" xfId="6190" xr:uid="{747B1715-9FC2-47D6-A021-A2535B78B89A}"/>
    <cellStyle name="Normal 2 5 8 3 2" xfId="15018" xr:uid="{EE8B07B1-A4AD-4424-A284-7304AD57F1E4}"/>
    <cellStyle name="Normal 2 5 8 4" xfId="6191" xr:uid="{E6E81DAD-60F6-4124-9B55-C7C4703831E3}"/>
    <cellStyle name="Normal 2 5 8 4 2" xfId="15019" xr:uid="{3EE91678-1591-42E7-B0BA-A02EE31385A6}"/>
    <cellStyle name="Normal 2 5 8 5" xfId="15014" xr:uid="{B230B734-66E8-4181-A533-E5268C1339E4}"/>
    <cellStyle name="Normal 2 5 9" xfId="6192" xr:uid="{84E6524A-A2B9-4550-B376-F20234DBEDA6}"/>
    <cellStyle name="Normal 2 5 9 2" xfId="6193" xr:uid="{22233E2B-3E24-4FCA-BD99-38617960E60F}"/>
    <cellStyle name="Normal 2 5 9 2 2" xfId="6194" xr:uid="{B7CBCA34-9449-4408-B7F5-99C85D95B7CF}"/>
    <cellStyle name="Normal 2 5 9 2 2 2" xfId="15022" xr:uid="{27F30B8B-48EA-4072-88C4-C97399860462}"/>
    <cellStyle name="Normal 2 5 9 2 3" xfId="6195" xr:uid="{4160E39C-5D1A-4969-926B-6C3E0048F865}"/>
    <cellStyle name="Normal 2 5 9 2 3 2" xfId="15023" xr:uid="{E8578813-64C6-4A03-ABE8-056229B8512C}"/>
    <cellStyle name="Normal 2 5 9 2 4" xfId="15021" xr:uid="{136FE46F-62D3-45F5-A8CA-78C1E973F657}"/>
    <cellStyle name="Normal 2 5 9 3" xfId="6196" xr:uid="{C5DA1D53-54C2-43E1-A007-7A736FAFCE7B}"/>
    <cellStyle name="Normal 2 5 9 3 2" xfId="15024" xr:uid="{BFCEB23A-BF44-41D8-856F-E91CC9E8FDAB}"/>
    <cellStyle name="Normal 2 5 9 4" xfId="6197" xr:uid="{E8CB5F25-ADE0-43FA-837D-1404DF125701}"/>
    <cellStyle name="Normal 2 5 9 4 2" xfId="15025" xr:uid="{1A62E7DB-175D-4A08-BE7F-C07643ADDEEF}"/>
    <cellStyle name="Normal 2 5 9 5" xfId="15020" xr:uid="{DA8DD9C1-60A8-4378-825B-515DB163F46A}"/>
    <cellStyle name="Normal 2 50" xfId="6198" xr:uid="{714A33F1-B588-4C4E-B8D4-0D6CBBB42F09}"/>
    <cellStyle name="Normal 2 50 2" xfId="6199" xr:uid="{E41CC3F3-EAF2-4FD5-8EE9-E445FBC07DAC}"/>
    <cellStyle name="Normal 2 50 2 2" xfId="6200" xr:uid="{AABEB84D-1487-43FD-8A5C-A960363AF2E4}"/>
    <cellStyle name="Normal 2 50 2 2 2" xfId="15028" xr:uid="{67CB48B6-9AA4-4820-A1A7-47A52A66583D}"/>
    <cellStyle name="Normal 2 50 2 3" xfId="6201" xr:uid="{81EB3673-5EDE-4F23-AEA3-0BC53CD94121}"/>
    <cellStyle name="Normal 2 50 2 3 2" xfId="15029" xr:uid="{95E509F9-824E-4A2E-9F04-0511CF63E51E}"/>
    <cellStyle name="Normal 2 50 2 4" xfId="15027" xr:uid="{456C94C3-88DB-48AB-A2B0-6D97F40D9024}"/>
    <cellStyle name="Normal 2 50 3" xfId="6202" xr:uid="{4531C881-B2D1-4F3C-8A16-81A011D4063D}"/>
    <cellStyle name="Normal 2 50 3 2" xfId="15030" xr:uid="{CD7EF107-041E-4BA5-8A47-0AE99AF540C0}"/>
    <cellStyle name="Normal 2 50 4" xfId="6203" xr:uid="{A76E0B7B-57EF-4A25-9F3B-9E93B0C77308}"/>
    <cellStyle name="Normal 2 50 4 2" xfId="15031" xr:uid="{2C545DA2-F36F-4FE0-BC8E-0A85FB0F58D0}"/>
    <cellStyle name="Normal 2 50 5" xfId="15026" xr:uid="{F76DEC05-EB53-4B19-8E67-99C0C85659F4}"/>
    <cellStyle name="Normal 2 51" xfId="6204" xr:uid="{A4B3073D-9347-4ABA-A076-1EEAA02829FB}"/>
    <cellStyle name="Normal 2 51 2" xfId="6205" xr:uid="{84EFA101-F05A-4A1C-8A08-EB57408D03EC}"/>
    <cellStyle name="Normal 2 51 2 2" xfId="6206" xr:uid="{5B6E77D5-F671-4BA7-8804-2F3CDAF69292}"/>
    <cellStyle name="Normal 2 51 2 2 2" xfId="15034" xr:uid="{B3B96CE0-D649-4663-961F-79DBE17343A0}"/>
    <cellStyle name="Normal 2 51 2 3" xfId="6207" xr:uid="{52FED907-8F59-4A9F-973A-22ABAB0EC83A}"/>
    <cellStyle name="Normal 2 51 2 3 2" xfId="15035" xr:uid="{87C8DA62-12F4-4EF4-BBCB-900457F81034}"/>
    <cellStyle name="Normal 2 51 2 4" xfId="15033" xr:uid="{FDBAB03D-8EFF-4EC7-8AD2-E1C15811F983}"/>
    <cellStyle name="Normal 2 51 3" xfId="6208" xr:uid="{0EA1360F-B904-43D4-9D9E-54E4FEEA5B3D}"/>
    <cellStyle name="Normal 2 51 3 2" xfId="15036" xr:uid="{56A29893-1482-4E60-A2F7-3E2A16A0585D}"/>
    <cellStyle name="Normal 2 51 4" xfId="6209" xr:uid="{546958DC-72A5-4261-8C17-1C178151CF3F}"/>
    <cellStyle name="Normal 2 51 4 2" xfId="15037" xr:uid="{F0B27642-FE35-4CC1-BB2E-C5D4E284A4BE}"/>
    <cellStyle name="Normal 2 51 5" xfId="15032" xr:uid="{B2466853-A5EB-4EAC-A56B-82E14B40AE66}"/>
    <cellStyle name="Normal 2 52" xfId="6210" xr:uid="{514B7270-B3B9-46C9-B431-C5FB82ACF5B4}"/>
    <cellStyle name="Normal 2 52 2" xfId="6211" xr:uid="{4B04F792-AF4F-4C48-8A76-DDFAE825AEAA}"/>
    <cellStyle name="Normal 2 52 2 2" xfId="6212" xr:uid="{463B4108-ED89-4B0B-91ED-96F6F9BECCF0}"/>
    <cellStyle name="Normal 2 52 2 2 2" xfId="15040" xr:uid="{212B6DEA-613A-4B61-810B-562BE1340583}"/>
    <cellStyle name="Normal 2 52 2 3" xfId="6213" xr:uid="{BC172EF6-545D-41D1-9BF2-05B333874BD3}"/>
    <cellStyle name="Normal 2 52 2 3 2" xfId="15041" xr:uid="{3267DDC0-9726-4B9B-8E9D-F9DDC29DD28E}"/>
    <cellStyle name="Normal 2 52 2 4" xfId="15039" xr:uid="{E88EF26A-40AF-4401-8836-63BE19FC1B76}"/>
    <cellStyle name="Normal 2 52 3" xfId="6214" xr:uid="{F2F94B78-35DA-4580-8EBF-BCCD1890D6BF}"/>
    <cellStyle name="Normal 2 52 3 2" xfId="15042" xr:uid="{92BE6215-8E71-41ED-9394-BE76EA8B5043}"/>
    <cellStyle name="Normal 2 52 4" xfId="6215" xr:uid="{C42E15CD-B7F6-4659-9A67-B6A751EDBA01}"/>
    <cellStyle name="Normal 2 52 4 2" xfId="15043" xr:uid="{F3D71E94-05A4-4712-8A33-D6EE86C1505A}"/>
    <cellStyle name="Normal 2 52 5" xfId="15038" xr:uid="{F8241AB1-7134-4A73-A3F7-9089F2CE0B72}"/>
    <cellStyle name="Normal 2 53" xfId="6216" xr:uid="{F37B3E78-9013-4593-88E1-9748654BB6D3}"/>
    <cellStyle name="Normal 2 53 2" xfId="6217" xr:uid="{65CFCA73-A005-41CA-B1CF-F1E1B71C9B36}"/>
    <cellStyle name="Normal 2 53 2 2" xfId="6218" xr:uid="{E283BFC0-1E4A-49CA-9199-43646051940F}"/>
    <cellStyle name="Normal 2 53 2 2 2" xfId="15046" xr:uid="{D14609A3-E21C-4E51-A8CA-E8F98A78A27E}"/>
    <cellStyle name="Normal 2 53 2 3" xfId="6219" xr:uid="{657BEC9B-4405-4FC7-B6CA-4AE89A375371}"/>
    <cellStyle name="Normal 2 53 2 3 2" xfId="15047" xr:uid="{EC94D330-EEF8-4009-A378-27AA1B2E581F}"/>
    <cellStyle name="Normal 2 53 2 4" xfId="15045" xr:uid="{3FBADBAD-82D4-4A51-A7EF-09D39DBEE140}"/>
    <cellStyle name="Normal 2 53 3" xfId="6220" xr:uid="{CA563355-BD5C-448D-993F-56441E835FFA}"/>
    <cellStyle name="Normal 2 53 3 2" xfId="15048" xr:uid="{FC392EB0-F503-477B-BF00-A596B8FCAFB1}"/>
    <cellStyle name="Normal 2 53 4" xfId="6221" xr:uid="{8D82D281-5688-469B-9214-2048C747B21E}"/>
    <cellStyle name="Normal 2 53 4 2" xfId="15049" xr:uid="{ACEF270C-DE48-470E-A123-2D34A5170CC8}"/>
    <cellStyle name="Normal 2 53 5" xfId="15044" xr:uid="{EA8BB69C-DA85-4794-9442-8DB70BFB35F2}"/>
    <cellStyle name="Normal 2 54" xfId="6222" xr:uid="{50895CEA-139A-4FF3-9C5B-EC02E53AEE11}"/>
    <cellStyle name="Normal 2 54 2" xfId="6223" xr:uid="{891CE04D-D80C-493B-A7A9-09265CA7CB01}"/>
    <cellStyle name="Normal 2 54 2 2" xfId="6224" xr:uid="{E9D37D96-7A90-461E-B2F0-A313D5C210E2}"/>
    <cellStyle name="Normal 2 54 2 2 2" xfId="15052" xr:uid="{88F74C35-247C-4B23-BAF1-AB67BD8FFF14}"/>
    <cellStyle name="Normal 2 54 2 3" xfId="6225" xr:uid="{33F2B84E-1BFA-4449-A943-8C982D182005}"/>
    <cellStyle name="Normal 2 54 2 3 2" xfId="15053" xr:uid="{F513F62E-E698-46BD-8004-5A44AFDD53F1}"/>
    <cellStyle name="Normal 2 54 2 4" xfId="15051" xr:uid="{E02323E2-8CA9-49BB-990D-ED3225A9B220}"/>
    <cellStyle name="Normal 2 54 3" xfId="6226" xr:uid="{9B726F2F-0E38-45D9-9775-42FDA3182C45}"/>
    <cellStyle name="Normal 2 54 3 2" xfId="15054" xr:uid="{F3DD0D43-3879-45FB-9AC4-9364ED9D8318}"/>
    <cellStyle name="Normal 2 54 4" xfId="6227" xr:uid="{AB01FA1B-B164-495A-BEB6-6B0DC2519619}"/>
    <cellStyle name="Normal 2 54 4 2" xfId="15055" xr:uid="{FD1D7617-EDF1-43C4-A909-E5ADC0745D6D}"/>
    <cellStyle name="Normal 2 54 5" xfId="15050" xr:uid="{F75851D5-F1FA-4660-906B-8D4DF9073F3D}"/>
    <cellStyle name="Normal 2 55" xfId="6228" xr:uid="{0F448076-BCF4-493C-A180-A15A857FC482}"/>
    <cellStyle name="Normal 2 55 2" xfId="6229" xr:uid="{C4DD690E-8181-4914-BB0F-810126FC4A18}"/>
    <cellStyle name="Normal 2 55 2 2" xfId="6230" xr:uid="{84D3A5F2-A542-42C7-846A-BB60FC1A687B}"/>
    <cellStyle name="Normal 2 55 2 2 2" xfId="15058" xr:uid="{B0B2F067-EF2C-4718-9F45-50DFBAE87918}"/>
    <cellStyle name="Normal 2 55 2 3" xfId="6231" xr:uid="{10F94F21-6141-43B0-9E7C-94CC5C9BE168}"/>
    <cellStyle name="Normal 2 55 2 3 2" xfId="15059" xr:uid="{E35C26A0-16C0-431A-91FA-86136C2D941F}"/>
    <cellStyle name="Normal 2 55 2 4" xfId="15057" xr:uid="{F97260A9-A3A0-45B3-904B-4353F982B39E}"/>
    <cellStyle name="Normal 2 55 3" xfId="6232" xr:uid="{4F9FB9D7-30C3-46DF-95B8-F8D314992BB9}"/>
    <cellStyle name="Normal 2 55 3 2" xfId="15060" xr:uid="{8D475327-0557-4C2F-9D40-FC176D96F759}"/>
    <cellStyle name="Normal 2 55 4" xfId="6233" xr:uid="{2CCF09CB-2CAF-4E5B-BB47-E1A9E6291F62}"/>
    <cellStyle name="Normal 2 55 4 2" xfId="15061" xr:uid="{075A828E-0922-401C-B0E9-BA53333B3AE1}"/>
    <cellStyle name="Normal 2 55 5" xfId="15056" xr:uid="{E14077ED-9CE2-47C2-96A6-09AD4B5A3023}"/>
    <cellStyle name="Normal 2 56" xfId="6234" xr:uid="{388DC521-00A2-48CE-B191-A37A7D717897}"/>
    <cellStyle name="Normal 2 56 2" xfId="6235" xr:uid="{8341DEA8-BB20-4466-836E-2EE87316AC36}"/>
    <cellStyle name="Normal 2 56 2 2" xfId="6236" xr:uid="{01F5F8FF-8DCE-4791-A9A9-074219FFC473}"/>
    <cellStyle name="Normal 2 56 2 2 2" xfId="15064" xr:uid="{8C2A73D5-A823-4475-A740-3A994F23E674}"/>
    <cellStyle name="Normal 2 56 2 3" xfId="6237" xr:uid="{F41934F1-586E-4FCE-9FC0-D8ADC6CC4E4F}"/>
    <cellStyle name="Normal 2 56 2 3 2" xfId="15065" xr:uid="{F82F6C48-7868-47BF-B5D6-48D6C17C988D}"/>
    <cellStyle name="Normal 2 56 2 4" xfId="15063" xr:uid="{53E0AE43-3DC1-4DF3-B209-1917F1BF6E6E}"/>
    <cellStyle name="Normal 2 56 3" xfId="6238" xr:uid="{891C47A0-CB0B-42E0-931C-761570256689}"/>
    <cellStyle name="Normal 2 56 3 2" xfId="15066" xr:uid="{D43ED23E-2682-4694-9152-6572A513116E}"/>
    <cellStyle name="Normal 2 56 4" xfId="6239" xr:uid="{6611E572-68B4-41BC-8CB7-C554470E1A94}"/>
    <cellStyle name="Normal 2 56 4 2" xfId="15067" xr:uid="{2F9DB87D-5FE8-4179-87C9-966FB13EC46B}"/>
    <cellStyle name="Normal 2 56 5" xfId="15062" xr:uid="{6863CF07-07C3-41B2-A927-2B8CF152D0AB}"/>
    <cellStyle name="Normal 2 57" xfId="6240" xr:uid="{C1A64057-28A6-4BAD-B852-2F6D73008B4C}"/>
    <cellStyle name="Normal 2 57 2" xfId="6241" xr:uid="{58359DAF-8820-4DF4-8119-906E01D2E2FE}"/>
    <cellStyle name="Normal 2 57 2 2" xfId="6242" xr:uid="{2DE868CB-5E79-41D9-956C-4C6456A0268E}"/>
    <cellStyle name="Normal 2 57 2 2 2" xfId="15070" xr:uid="{947FECA7-6CD3-40C7-995C-5FD42466AAE7}"/>
    <cellStyle name="Normal 2 57 2 3" xfId="6243" xr:uid="{34B128BD-496B-44FB-98F6-E53070A517CC}"/>
    <cellStyle name="Normal 2 57 2 3 2" xfId="15071" xr:uid="{1E5A8F67-0E67-40BA-8B8E-64FAE5DEA677}"/>
    <cellStyle name="Normal 2 57 2 4" xfId="15069" xr:uid="{3D60C6C8-0B96-4C86-BDA2-C35A382DA4FD}"/>
    <cellStyle name="Normal 2 57 3" xfId="6244" xr:uid="{A0157755-598D-4394-9771-7C7CCCC2AFD5}"/>
    <cellStyle name="Normal 2 57 3 2" xfId="15072" xr:uid="{CB4F1CBF-6662-4835-B385-DDAEFF94FCCB}"/>
    <cellStyle name="Normal 2 57 4" xfId="6245" xr:uid="{1D9260F0-F2B9-4E61-8ED5-867C1821A7E9}"/>
    <cellStyle name="Normal 2 57 4 2" xfId="15073" xr:uid="{11560D1B-0C8E-44C1-BCDB-8508647E5597}"/>
    <cellStyle name="Normal 2 57 5" xfId="15068" xr:uid="{77FDB96E-EC3F-4FCC-9D41-FD9E0B5D4B80}"/>
    <cellStyle name="Normal 2 58" xfId="6246" xr:uid="{8B1F161A-1CCF-4139-A739-FE356447A371}"/>
    <cellStyle name="Normal 2 58 2" xfId="6247" xr:uid="{D9991FE7-E7B7-475A-926B-704F1AE5D796}"/>
    <cellStyle name="Normal 2 58 2 2" xfId="6248" xr:uid="{2F2E8C49-23DC-4D4B-8F80-09523C8414A4}"/>
    <cellStyle name="Normal 2 58 2 2 2" xfId="15076" xr:uid="{7FCA4351-3A3E-499A-8E5D-33955573A5AC}"/>
    <cellStyle name="Normal 2 58 2 3" xfId="6249" xr:uid="{3503A790-38E2-4DB5-8CCF-6D65594D7B41}"/>
    <cellStyle name="Normal 2 58 2 3 2" xfId="15077" xr:uid="{F831ED64-4E6E-4DB7-B5D6-9F5C6314844D}"/>
    <cellStyle name="Normal 2 58 2 4" xfId="15075" xr:uid="{2ACBC35F-5422-4DA0-A8D8-7E78E7A42855}"/>
    <cellStyle name="Normal 2 58 3" xfId="6250" xr:uid="{C8CA1672-6678-450D-9D37-8EE79383DC32}"/>
    <cellStyle name="Normal 2 58 3 2" xfId="15078" xr:uid="{4670D4A3-F382-4D5F-941C-4C9D240C34D8}"/>
    <cellStyle name="Normal 2 58 4" xfId="6251" xr:uid="{9248D63D-E248-4B69-8536-EF9DB2C5CCAE}"/>
    <cellStyle name="Normal 2 58 4 2" xfId="15079" xr:uid="{51F964FA-D701-4B60-90B2-EF7203788730}"/>
    <cellStyle name="Normal 2 58 5" xfId="15074" xr:uid="{9743EBD3-C8EA-4826-BAA9-0C94A7C35127}"/>
    <cellStyle name="Normal 2 59" xfId="6252" xr:uid="{F7C36FF5-241A-4430-92BB-E26F5E9D3819}"/>
    <cellStyle name="Normal 2 59 2" xfId="6253" xr:uid="{2F5250B2-B3D5-41DE-AE86-BE2DC89680A9}"/>
    <cellStyle name="Normal 2 59 2 2" xfId="6254" xr:uid="{31BD4CA5-8E66-4CA5-8BA2-D820C346162B}"/>
    <cellStyle name="Normal 2 59 2 2 2" xfId="15082" xr:uid="{713D788A-9E93-46A5-BBC4-FCC81B6FE67D}"/>
    <cellStyle name="Normal 2 59 2 3" xfId="6255" xr:uid="{D017624E-C91C-4C00-A522-445AF27F36BA}"/>
    <cellStyle name="Normal 2 59 2 3 2" xfId="15083" xr:uid="{F7767A09-87EC-425F-91A1-824DAF0A0A8A}"/>
    <cellStyle name="Normal 2 59 2 4" xfId="15081" xr:uid="{16242B2D-56DB-463B-902C-A38E068D5E8A}"/>
    <cellStyle name="Normal 2 59 3" xfId="6256" xr:uid="{5F9CE85E-20F3-494B-93DC-6E05641A6CED}"/>
    <cellStyle name="Normal 2 59 3 2" xfId="15084" xr:uid="{F7106778-BEC0-4315-B0BC-E71D83C89322}"/>
    <cellStyle name="Normal 2 59 4" xfId="6257" xr:uid="{43C2CD5E-DBBB-4401-806F-5ED82A53C46A}"/>
    <cellStyle name="Normal 2 59 4 2" xfId="15085" xr:uid="{AD7FF85B-03FE-4A24-BCAD-22134568D05D}"/>
    <cellStyle name="Normal 2 59 5" xfId="15080" xr:uid="{140C7D57-91BF-4765-9993-A6F065712F14}"/>
    <cellStyle name="Normal 2 6" xfId="6258" xr:uid="{4B24B113-09AA-454C-9308-97E047BE4EBB}"/>
    <cellStyle name="Normal 2 6 10" xfId="6259" xr:uid="{CEF9CEBB-CA64-489E-8064-D5B850651500}"/>
    <cellStyle name="Normal 2 6 10 2" xfId="6260" xr:uid="{B68E96B3-F7AF-4B05-8D5D-FAFAD57546AA}"/>
    <cellStyle name="Normal 2 6 10 2 2" xfId="6261" xr:uid="{D6F92E7E-6C53-4F74-91AA-DACB63EED5C6}"/>
    <cellStyle name="Normal 2 6 10 2 2 2" xfId="15089" xr:uid="{CB618714-E3C5-4349-A62D-26158257C9C8}"/>
    <cellStyle name="Normal 2 6 10 2 3" xfId="6262" xr:uid="{A5523997-B3E5-45BC-BBAB-D4BC62CCEB88}"/>
    <cellStyle name="Normal 2 6 10 2 3 2" xfId="15090" xr:uid="{DA57B634-34F1-4CDB-A90B-F09CF42D9F71}"/>
    <cellStyle name="Normal 2 6 10 2 4" xfId="15088" xr:uid="{5FB55899-4BEA-4816-AE2C-9FF010E6CECE}"/>
    <cellStyle name="Normal 2 6 10 3" xfId="6263" xr:uid="{18F72214-3EEA-463D-917B-98370951314D}"/>
    <cellStyle name="Normal 2 6 10 3 2" xfId="15091" xr:uid="{8222CF86-D093-4AD9-BA0C-7550E56A386F}"/>
    <cellStyle name="Normal 2 6 10 4" xfId="6264" xr:uid="{2ADD1EE1-7C90-47DB-AF42-EAD280A6D80A}"/>
    <cellStyle name="Normal 2 6 10 4 2" xfId="15092" xr:uid="{F4AFF7D9-23E9-44FA-B0E4-AB607ADA6DEF}"/>
    <cellStyle name="Normal 2 6 10 5" xfId="15087" xr:uid="{9FD15020-C851-4A3D-B1AA-6F57E6810A4A}"/>
    <cellStyle name="Normal 2 6 11" xfId="6265" xr:uid="{313E70C9-3A32-4756-BED3-09CA7F6815F0}"/>
    <cellStyle name="Normal 2 6 11 2" xfId="6266" xr:uid="{9D6F97BE-9A7B-4ECD-98DD-0353E1AAECD3}"/>
    <cellStyle name="Normal 2 6 11 2 2" xfId="6267" xr:uid="{6C2E95ED-E846-4278-B668-89D50D44579A}"/>
    <cellStyle name="Normal 2 6 11 2 2 2" xfId="15095" xr:uid="{3DB8411C-2D9E-4471-9FE1-27C5E7BE4B96}"/>
    <cellStyle name="Normal 2 6 11 2 3" xfId="6268" xr:uid="{8072100E-53D0-4CFD-87B7-C6C7A2BD64EB}"/>
    <cellStyle name="Normal 2 6 11 2 3 2" xfId="15096" xr:uid="{ACBAC993-92A1-4DD3-8B62-B753EB0FA83F}"/>
    <cellStyle name="Normal 2 6 11 2 4" xfId="15094" xr:uid="{2A19CC50-BD31-4DB2-9F7E-EBA0ABEE4283}"/>
    <cellStyle name="Normal 2 6 11 3" xfId="6269" xr:uid="{3A0896A3-676F-4A34-961D-0EE70AC91389}"/>
    <cellStyle name="Normal 2 6 11 3 2" xfId="15097" xr:uid="{1AB8AF20-6BB9-4A75-971C-23F432E5BCA8}"/>
    <cellStyle name="Normal 2 6 11 4" xfId="6270" xr:uid="{2D73DCDC-C8E9-41FF-BC5B-9D237EA0DCBA}"/>
    <cellStyle name="Normal 2 6 11 4 2" xfId="15098" xr:uid="{7F2DA7AC-D33B-4B5F-A892-6DAA2A21003C}"/>
    <cellStyle name="Normal 2 6 11 5" xfId="15093" xr:uid="{87539BA6-69A2-4BC3-9FB2-22F8120FF40E}"/>
    <cellStyle name="Normal 2 6 12" xfId="6271" xr:uid="{8944BAA8-8836-4140-98DE-EEF660AC3CFD}"/>
    <cellStyle name="Normal 2 6 12 2" xfId="6272" xr:uid="{13266F63-6A85-4BE3-BA91-29A7B0225930}"/>
    <cellStyle name="Normal 2 6 12 2 2" xfId="6273" xr:uid="{781675C1-9343-4BEA-9C49-A3941C3F7A46}"/>
    <cellStyle name="Normal 2 6 12 2 2 2" xfId="15101" xr:uid="{061B38BD-CF6B-46A7-9907-CF90C3EEAB93}"/>
    <cellStyle name="Normal 2 6 12 2 3" xfId="6274" xr:uid="{85447C3B-4A7D-4D3D-8CB0-3C855ED49462}"/>
    <cellStyle name="Normal 2 6 12 2 3 2" xfId="15102" xr:uid="{47765D17-CF79-4E06-A8E5-8608243EB37F}"/>
    <cellStyle name="Normal 2 6 12 2 4" xfId="15100" xr:uid="{923C71DE-6071-4156-8210-289D5D8BD386}"/>
    <cellStyle name="Normal 2 6 12 3" xfId="6275" xr:uid="{D7F34C85-D4BE-4BDE-BCD0-5DF43AFBD3CD}"/>
    <cellStyle name="Normal 2 6 12 3 2" xfId="15103" xr:uid="{7730D2B3-4791-4AC1-B2E7-51FAAE93D7E8}"/>
    <cellStyle name="Normal 2 6 12 4" xfId="6276" xr:uid="{B21BB413-2B99-414F-A7DB-24ABC91CFA6F}"/>
    <cellStyle name="Normal 2 6 12 4 2" xfId="15104" xr:uid="{56150F0A-DB80-4763-9FCA-CEFAB8C6C339}"/>
    <cellStyle name="Normal 2 6 12 5" xfId="15099" xr:uid="{07F77302-9507-43E4-871F-EF13083B5465}"/>
    <cellStyle name="Normal 2 6 13" xfId="6277" xr:uid="{7C80C0A0-7D83-4FD9-B23A-82BCD614782B}"/>
    <cellStyle name="Normal 2 6 13 2" xfId="6278" xr:uid="{FBBA712B-EA12-4A79-912F-3CAC1E5D8DC8}"/>
    <cellStyle name="Normal 2 6 13 2 2" xfId="6279" xr:uid="{92409929-9FF9-43C0-B6E3-66EDF3E2CC2A}"/>
    <cellStyle name="Normal 2 6 13 2 2 2" xfId="15107" xr:uid="{37D2FEB8-EF71-49D7-AFB1-0E82DA80D6BB}"/>
    <cellStyle name="Normal 2 6 13 2 3" xfId="6280" xr:uid="{CF65715F-D74A-4FDD-A61A-AE1838E56AA9}"/>
    <cellStyle name="Normal 2 6 13 2 3 2" xfId="15108" xr:uid="{2FBAE7B1-0B99-4CD4-AD3B-40A3A8441668}"/>
    <cellStyle name="Normal 2 6 13 2 4" xfId="15106" xr:uid="{B8F417E6-0AD4-401E-8E26-8A734F3A9E0F}"/>
    <cellStyle name="Normal 2 6 13 3" xfId="6281" xr:uid="{83B09990-CE68-4C3C-9BAE-826F74A2F992}"/>
    <cellStyle name="Normal 2 6 13 3 2" xfId="15109" xr:uid="{FAC2DD1D-A9AE-445A-A968-28E46A9E9184}"/>
    <cellStyle name="Normal 2 6 13 4" xfId="6282" xr:uid="{0F5D6D59-9068-4B81-A348-A7AF864FFB59}"/>
    <cellStyle name="Normal 2 6 13 4 2" xfId="15110" xr:uid="{6C4DCFAD-D34F-49C3-AFB6-E5FFEC16CB9B}"/>
    <cellStyle name="Normal 2 6 13 5" xfId="15105" xr:uid="{A0D4BB48-3B1C-4E6F-8164-996005DA6A09}"/>
    <cellStyle name="Normal 2 6 14" xfId="6283" xr:uid="{1EB3318D-93E4-41D4-818A-F4A58C14FE55}"/>
    <cellStyle name="Normal 2 6 14 2" xfId="6284" xr:uid="{50656E5C-5FA0-4D12-A35E-8796D8DF993F}"/>
    <cellStyle name="Normal 2 6 14 2 2" xfId="6285" xr:uid="{67AB5C93-6241-4BD5-B62C-71DA5CD27B68}"/>
    <cellStyle name="Normal 2 6 14 2 2 2" xfId="15113" xr:uid="{3E6340EA-E0E5-49FE-8545-E683E7249BB9}"/>
    <cellStyle name="Normal 2 6 14 2 3" xfId="6286" xr:uid="{7BF0DBF5-53DA-4DDB-99D5-FBA10C0C8391}"/>
    <cellStyle name="Normal 2 6 14 2 3 2" xfId="15114" xr:uid="{1A10EAFD-2114-4214-8799-9AC54232077D}"/>
    <cellStyle name="Normal 2 6 14 2 4" xfId="15112" xr:uid="{C3AAD6C3-BCC6-459F-A9D2-5B145101F317}"/>
    <cellStyle name="Normal 2 6 14 3" xfId="6287" xr:uid="{A29124B9-902B-494F-AEFC-6A3D122D92A8}"/>
    <cellStyle name="Normal 2 6 14 3 2" xfId="15115" xr:uid="{D8AC6690-CDBF-4AAB-9D94-687B31F5E067}"/>
    <cellStyle name="Normal 2 6 14 4" xfId="6288" xr:uid="{7E60A93A-7794-4925-8A56-DC27E0F259DE}"/>
    <cellStyle name="Normal 2 6 14 4 2" xfId="15116" xr:uid="{C7BB39EC-35ED-4FE2-BCD1-0FC3D6B1E84D}"/>
    <cellStyle name="Normal 2 6 14 5" xfId="15111" xr:uid="{1B30CC08-76C1-4BCB-8CC2-1F8227572CB9}"/>
    <cellStyle name="Normal 2 6 15" xfId="6289" xr:uid="{3FC54584-FC0B-47B4-A08C-1DC68CDB5105}"/>
    <cellStyle name="Normal 2 6 15 2" xfId="6290" xr:uid="{7F2E2320-2484-4689-93C3-D4D5221CAE99}"/>
    <cellStyle name="Normal 2 6 15 2 2" xfId="6291" xr:uid="{9C2514F5-AAA9-4202-816E-A84903AC5A97}"/>
    <cellStyle name="Normal 2 6 15 2 2 2" xfId="15119" xr:uid="{A9658DFC-2B31-4626-87CE-4B60FF332945}"/>
    <cellStyle name="Normal 2 6 15 2 3" xfId="6292" xr:uid="{A1DBA3A2-D92C-4D0F-9FC0-11C93345EFEE}"/>
    <cellStyle name="Normal 2 6 15 2 3 2" xfId="15120" xr:uid="{AE68E9BC-1AC9-4684-BE0B-EAC681D390D6}"/>
    <cellStyle name="Normal 2 6 15 2 4" xfId="15118" xr:uid="{BC479BEC-7ECF-4ABD-B3ED-6C20FC8912F9}"/>
    <cellStyle name="Normal 2 6 15 3" xfId="6293" xr:uid="{391DD498-6430-425A-AFFC-AFB6B00F963F}"/>
    <cellStyle name="Normal 2 6 15 3 2" xfId="15121" xr:uid="{34AF0CC7-CDCF-4CF3-A10D-E71CF776C87C}"/>
    <cellStyle name="Normal 2 6 15 4" xfId="6294" xr:uid="{941EBD69-3A00-4018-B6D5-7E3CEC818C25}"/>
    <cellStyle name="Normal 2 6 15 4 2" xfId="15122" xr:uid="{B1262274-328A-4E48-B3C0-726CD77D2FA0}"/>
    <cellStyle name="Normal 2 6 15 5" xfId="15117" xr:uid="{FE52C788-E19A-4232-8B40-F2600ECB84AE}"/>
    <cellStyle name="Normal 2 6 16" xfId="6295" xr:uid="{E17D9982-356B-41FD-B869-30831CB6126B}"/>
    <cellStyle name="Normal 2 6 16 2" xfId="6296" xr:uid="{9B75CC11-63BA-4680-90AE-2124BC5B756B}"/>
    <cellStyle name="Normal 2 6 16 2 2" xfId="6297" xr:uid="{656C6DF3-1E9E-45A2-A7DE-56870FCB7CF0}"/>
    <cellStyle name="Normal 2 6 16 2 2 2" xfId="15125" xr:uid="{290F61B5-4265-48C5-B340-D8511844F319}"/>
    <cellStyle name="Normal 2 6 16 2 3" xfId="6298" xr:uid="{559BCC48-6E2F-4767-A5D1-8F125CBE5BE6}"/>
    <cellStyle name="Normal 2 6 16 2 3 2" xfId="15126" xr:uid="{1C3D90B7-E19B-4168-B0E0-02EE64F27D70}"/>
    <cellStyle name="Normal 2 6 16 2 4" xfId="15124" xr:uid="{F5A6F8D8-FA13-41AF-879F-98AF2B899856}"/>
    <cellStyle name="Normal 2 6 16 3" xfId="6299" xr:uid="{08AF9E08-8100-48AD-80CB-9334320D3884}"/>
    <cellStyle name="Normal 2 6 16 3 2" xfId="15127" xr:uid="{525E721B-464A-4D20-9C1F-E3FF42E8CCE1}"/>
    <cellStyle name="Normal 2 6 16 4" xfId="6300" xr:uid="{2595DE13-7F03-4A8F-BF3A-F6BEDEFE2BD0}"/>
    <cellStyle name="Normal 2 6 16 4 2" xfId="15128" xr:uid="{3BDF94F8-53E3-49DE-967F-B45D8F013E27}"/>
    <cellStyle name="Normal 2 6 16 5" xfId="15123" xr:uid="{14760B66-7BCF-43D6-B714-81398D39C2D1}"/>
    <cellStyle name="Normal 2 6 17" xfId="6301" xr:uid="{80E316AB-A264-4AB7-9B7A-A91E59D3E868}"/>
    <cellStyle name="Normal 2 6 17 2" xfId="6302" xr:uid="{79FBC6E2-41B3-456C-A4A2-CA577092ED36}"/>
    <cellStyle name="Normal 2 6 17 2 2" xfId="6303" xr:uid="{674B56F0-35BC-4E3A-BD1D-F17B3E69FB99}"/>
    <cellStyle name="Normal 2 6 17 2 2 2" xfId="15131" xr:uid="{4E0230EB-5F04-4687-A24E-C1C404E68C6B}"/>
    <cellStyle name="Normal 2 6 17 2 3" xfId="6304" xr:uid="{8568CE71-0E8A-4600-B1B6-5FC0F9E740D2}"/>
    <cellStyle name="Normal 2 6 17 2 3 2" xfId="15132" xr:uid="{10DDCB4B-3EF1-4C0C-90C5-34653EDBC16A}"/>
    <cellStyle name="Normal 2 6 17 2 4" xfId="15130" xr:uid="{9CB98C2B-19F1-4811-8490-73C1E0940938}"/>
    <cellStyle name="Normal 2 6 17 3" xfId="6305" xr:uid="{30803D19-95A8-4419-ADAF-C7C91F928624}"/>
    <cellStyle name="Normal 2 6 17 3 2" xfId="15133" xr:uid="{B70E8A93-5E7C-47BA-85EE-E55A35A61E49}"/>
    <cellStyle name="Normal 2 6 17 4" xfId="6306" xr:uid="{301DB2AA-C310-4264-AFFB-2ADB42D057C8}"/>
    <cellStyle name="Normal 2 6 17 4 2" xfId="15134" xr:uid="{EB3E6F23-226A-4382-B74B-17506CB09089}"/>
    <cellStyle name="Normal 2 6 17 5" xfId="15129" xr:uid="{3BBFCB0A-07D7-47D4-9C77-57042CBBCC1A}"/>
    <cellStyle name="Normal 2 6 18" xfId="6307" xr:uid="{5DF7FF4F-C527-49A4-93F3-8FD8165B01EB}"/>
    <cellStyle name="Normal 2 6 18 2" xfId="6308" xr:uid="{E207776C-CA8B-4A0B-B8C1-459A5D049E39}"/>
    <cellStyle name="Normal 2 6 18 2 2" xfId="6309" xr:uid="{ABF4D57F-7727-4F23-9C5B-9457DE06A20E}"/>
    <cellStyle name="Normal 2 6 18 2 2 2" xfId="15137" xr:uid="{493EEB30-F552-4CFA-BDE0-E99ABF98849D}"/>
    <cellStyle name="Normal 2 6 18 2 3" xfId="6310" xr:uid="{AECC32BF-EC59-45B5-AAE0-C762B62A8635}"/>
    <cellStyle name="Normal 2 6 18 2 3 2" xfId="15138" xr:uid="{1B6D5A42-BC89-4AAA-8AA7-94DA8025AFA1}"/>
    <cellStyle name="Normal 2 6 18 2 4" xfId="15136" xr:uid="{9177E7A8-623C-482D-8FCA-134EC2A69943}"/>
    <cellStyle name="Normal 2 6 18 3" xfId="6311" xr:uid="{AE919CB7-1521-4022-9F37-A497D6189C69}"/>
    <cellStyle name="Normal 2 6 18 3 2" xfId="15139" xr:uid="{F2038ECD-FD7D-4830-80E9-A0F6E938B843}"/>
    <cellStyle name="Normal 2 6 18 4" xfId="6312" xr:uid="{BF498210-B20E-4F14-9648-96135569B3E0}"/>
    <cellStyle name="Normal 2 6 18 4 2" xfId="15140" xr:uid="{A4B0FCAF-C003-49B0-98A4-BCF59DF87895}"/>
    <cellStyle name="Normal 2 6 18 5" xfId="15135" xr:uid="{5C6879E4-8975-4264-BB0D-7352A88C4222}"/>
    <cellStyle name="Normal 2 6 19" xfId="6313" xr:uid="{1AFBE36F-3EF0-4132-91D2-F246382989FE}"/>
    <cellStyle name="Normal 2 6 19 2" xfId="6314" xr:uid="{A311DCAB-3EA0-4696-BA4F-05EF0A911A23}"/>
    <cellStyle name="Normal 2 6 19 2 2" xfId="6315" xr:uid="{FA376F4F-9732-47A8-A18F-0BF408E5D6C3}"/>
    <cellStyle name="Normal 2 6 19 2 2 2" xfId="15143" xr:uid="{8E248F20-E15E-4373-80BD-E1D983EF3460}"/>
    <cellStyle name="Normal 2 6 19 2 3" xfId="6316" xr:uid="{E8228C47-E4A1-46CA-BDDF-45A8A5B6B130}"/>
    <cellStyle name="Normal 2 6 19 2 3 2" xfId="15144" xr:uid="{3CE3D79D-1B87-4C48-BC08-A927DA41EDFC}"/>
    <cellStyle name="Normal 2 6 19 2 4" xfId="15142" xr:uid="{A11F33AD-D1F8-4E28-AEF8-8BF2D47361CF}"/>
    <cellStyle name="Normal 2 6 19 3" xfId="6317" xr:uid="{2F360AC4-E6F8-446F-A038-A4AE0AB9CD30}"/>
    <cellStyle name="Normal 2 6 19 3 2" xfId="15145" xr:uid="{8B17BBFF-36F6-40C8-9F6B-7E45D4EE2D04}"/>
    <cellStyle name="Normal 2 6 19 4" xfId="6318" xr:uid="{8282A73D-DF7E-41B1-A52C-19631AD732D2}"/>
    <cellStyle name="Normal 2 6 19 4 2" xfId="15146" xr:uid="{DA775FE3-B10C-452A-B72C-6983C4E79D2C}"/>
    <cellStyle name="Normal 2 6 19 5" xfId="15141" xr:uid="{1FFDD885-2909-4091-B5AE-0D8872B4BBA1}"/>
    <cellStyle name="Normal 2 6 2" xfId="6319" xr:uid="{33F7A267-2B03-4FC5-B272-2AA50D8F804B}"/>
    <cellStyle name="Normal 2 6 2 10" xfId="6320" xr:uid="{7C812432-F12D-4B8D-B204-86ABF8AA150A}"/>
    <cellStyle name="Normal 2 6 2 10 2" xfId="6321" xr:uid="{73E47ED2-3F39-4AFB-9245-62D3A1A92196}"/>
    <cellStyle name="Normal 2 6 2 10 2 2" xfId="6322" xr:uid="{59431630-111A-42F9-85BF-F84F55B80D59}"/>
    <cellStyle name="Normal 2 6 2 10 2 2 2" xfId="15150" xr:uid="{1CBD5592-4780-4688-AA64-4281C9B69C60}"/>
    <cellStyle name="Normal 2 6 2 10 2 3" xfId="6323" xr:uid="{3BD0CE9A-4840-4096-9A29-D23B4CA43236}"/>
    <cellStyle name="Normal 2 6 2 10 2 3 2" xfId="15151" xr:uid="{B5609FF4-EDA8-49FB-8C9C-59DEC3EFEAAF}"/>
    <cellStyle name="Normal 2 6 2 10 2 4" xfId="15149" xr:uid="{9C92E298-5B68-4252-B716-9482B2E07951}"/>
    <cellStyle name="Normal 2 6 2 10 3" xfId="6324" xr:uid="{19FDA5AB-3B11-43F7-A4DC-C7C3AD78ED25}"/>
    <cellStyle name="Normal 2 6 2 10 3 2" xfId="15152" xr:uid="{B9951411-9F8E-490B-A474-7623DE53514C}"/>
    <cellStyle name="Normal 2 6 2 10 4" xfId="6325" xr:uid="{A7D79FCC-E838-489F-BB97-72308A5A0757}"/>
    <cellStyle name="Normal 2 6 2 10 4 2" xfId="15153" xr:uid="{26BB2867-19E0-40D3-8CC7-92D850C61AE1}"/>
    <cellStyle name="Normal 2 6 2 10 5" xfId="15148" xr:uid="{FCF7BC1F-13E4-4D47-BEA7-3E657006DFE6}"/>
    <cellStyle name="Normal 2 6 2 11" xfId="6326" xr:uid="{A207ED49-049A-4461-83CF-387D615EAC3A}"/>
    <cellStyle name="Normal 2 6 2 11 2" xfId="6327" xr:uid="{8A230D4D-FF89-4BD7-B83F-B6D0C33A3446}"/>
    <cellStyle name="Normal 2 6 2 11 2 2" xfId="6328" xr:uid="{A4F7CAD3-A8CA-4ABE-BC9D-B9B33D913A31}"/>
    <cellStyle name="Normal 2 6 2 11 2 2 2" xfId="15156" xr:uid="{15A3F0E4-B6FA-4136-956A-87B7FC580631}"/>
    <cellStyle name="Normal 2 6 2 11 2 3" xfId="6329" xr:uid="{E9A722C8-8FD6-4FBB-9DC8-F29CEA4F5D59}"/>
    <cellStyle name="Normal 2 6 2 11 2 3 2" xfId="15157" xr:uid="{3D40F190-8819-47E0-8DDA-9312374B9803}"/>
    <cellStyle name="Normal 2 6 2 11 2 4" xfId="15155" xr:uid="{B6C6A0EE-4AA8-4BEA-B805-34AAFF380A2A}"/>
    <cellStyle name="Normal 2 6 2 11 3" xfId="6330" xr:uid="{AC0C039E-49DD-497A-82EE-CC8EE84AD694}"/>
    <cellStyle name="Normal 2 6 2 11 3 2" xfId="15158" xr:uid="{90032E56-650E-46EB-868F-44DFEF322DD3}"/>
    <cellStyle name="Normal 2 6 2 11 4" xfId="6331" xr:uid="{DAE26EA5-77A7-4B4B-B287-1123AB29FD22}"/>
    <cellStyle name="Normal 2 6 2 11 4 2" xfId="15159" xr:uid="{C1E1673D-0599-43CA-95B4-98A60CFC0892}"/>
    <cellStyle name="Normal 2 6 2 11 5" xfId="15154" xr:uid="{20D18FAE-5398-4CEB-82D2-A7D8FEA46530}"/>
    <cellStyle name="Normal 2 6 2 12" xfId="6332" xr:uid="{91198EF7-B1A2-4DF7-8D55-14E5B5A3FA89}"/>
    <cellStyle name="Normal 2 6 2 12 2" xfId="6333" xr:uid="{06601E46-F480-41D6-85B3-F858E5984223}"/>
    <cellStyle name="Normal 2 6 2 12 2 2" xfId="6334" xr:uid="{F874F7C2-C51E-4C93-9D05-E01F79918D5E}"/>
    <cellStyle name="Normal 2 6 2 12 2 2 2" xfId="15162" xr:uid="{7FB26F8F-92AA-41CF-91E3-FFA11FE4648A}"/>
    <cellStyle name="Normal 2 6 2 12 2 3" xfId="6335" xr:uid="{9BC6A25E-35FD-477B-9E55-A5AD9820CA22}"/>
    <cellStyle name="Normal 2 6 2 12 2 3 2" xfId="15163" xr:uid="{FCF2F555-95E1-48AA-892A-FB63C73B90DB}"/>
    <cellStyle name="Normal 2 6 2 12 2 4" xfId="15161" xr:uid="{A3F897E6-7E4D-4073-BE90-240C2E68012B}"/>
    <cellStyle name="Normal 2 6 2 12 3" xfId="6336" xr:uid="{B7E98F56-CBA4-47E5-9901-B03B8B924B1B}"/>
    <cellStyle name="Normal 2 6 2 12 3 2" xfId="15164" xr:uid="{16BF7DB6-EBAF-47F2-AC8F-B8BE4F9419BC}"/>
    <cellStyle name="Normal 2 6 2 12 4" xfId="6337" xr:uid="{E65CB615-4406-42BE-A67C-4388402B5A73}"/>
    <cellStyle name="Normal 2 6 2 12 4 2" xfId="15165" xr:uid="{26524BD9-19D0-4599-B9CA-D05336D90E95}"/>
    <cellStyle name="Normal 2 6 2 12 5" xfId="15160" xr:uid="{2375D928-FCFA-47F0-80AA-C5E0BFD3D9D3}"/>
    <cellStyle name="Normal 2 6 2 13" xfId="6338" xr:uid="{3AF07584-54B3-43B1-8B70-6B757EED8FF5}"/>
    <cellStyle name="Normal 2 6 2 13 2" xfId="6339" xr:uid="{548D31C0-2D8E-4193-9974-632B878753CC}"/>
    <cellStyle name="Normal 2 6 2 13 2 2" xfId="6340" xr:uid="{039208A0-220F-4D03-8B5E-66CCE14F4017}"/>
    <cellStyle name="Normal 2 6 2 13 2 2 2" xfId="15168" xr:uid="{E45D1216-784F-41D2-A245-EFF54474F7A6}"/>
    <cellStyle name="Normal 2 6 2 13 2 3" xfId="6341" xr:uid="{02CEAECD-636C-486E-B5ED-623F5D5D0EA4}"/>
    <cellStyle name="Normal 2 6 2 13 2 3 2" xfId="15169" xr:uid="{7B290372-1FCC-40CF-A188-7B3046559EF6}"/>
    <cellStyle name="Normal 2 6 2 13 2 4" xfId="15167" xr:uid="{BFF2A854-1E99-471D-AAB4-DA1AB39B4525}"/>
    <cellStyle name="Normal 2 6 2 13 3" xfId="6342" xr:uid="{CCDDF31E-75D6-44E5-9765-9B059FA2477A}"/>
    <cellStyle name="Normal 2 6 2 13 3 2" xfId="15170" xr:uid="{186894E8-7747-4404-84C8-1E9FFEB3E6D0}"/>
    <cellStyle name="Normal 2 6 2 13 4" xfId="6343" xr:uid="{77ADF8C0-3F16-4E4C-9289-E31BAB99C2A2}"/>
    <cellStyle name="Normal 2 6 2 13 4 2" xfId="15171" xr:uid="{EF80169C-3985-4304-A60F-B1FAC2270323}"/>
    <cellStyle name="Normal 2 6 2 13 5" xfId="15166" xr:uid="{391DF06B-F8F9-47A8-B647-72CEAEA37CB0}"/>
    <cellStyle name="Normal 2 6 2 14" xfId="6344" xr:uid="{981CF297-E727-4E04-AEED-A78242DBB1DE}"/>
    <cellStyle name="Normal 2 6 2 14 2" xfId="6345" xr:uid="{3242A5A9-0B18-40A7-9AF5-2447220D2579}"/>
    <cellStyle name="Normal 2 6 2 14 2 2" xfId="6346" xr:uid="{594CEAF3-283D-4F60-82DD-93037CBA3EA9}"/>
    <cellStyle name="Normal 2 6 2 14 2 2 2" xfId="15174" xr:uid="{6CBF030E-D826-4029-8353-5C95A0315A64}"/>
    <cellStyle name="Normal 2 6 2 14 2 3" xfId="6347" xr:uid="{D4FD3EFC-E9A5-42C6-94F7-A6C5AC2C607D}"/>
    <cellStyle name="Normal 2 6 2 14 2 3 2" xfId="15175" xr:uid="{112E0495-59A5-479F-B06C-5C7CEFDC5D42}"/>
    <cellStyle name="Normal 2 6 2 14 2 4" xfId="15173" xr:uid="{A3AB4A0C-5892-4C0A-8FED-D79B62792B36}"/>
    <cellStyle name="Normal 2 6 2 14 3" xfId="6348" xr:uid="{63FF8133-F142-4FFC-9E96-EA6C1B70B22B}"/>
    <cellStyle name="Normal 2 6 2 14 3 2" xfId="15176" xr:uid="{69F4F801-D6E2-4DF0-A28F-98722BC58168}"/>
    <cellStyle name="Normal 2 6 2 14 4" xfId="6349" xr:uid="{AEABF9BA-3ADB-4EFB-81CB-E8087FDD44D0}"/>
    <cellStyle name="Normal 2 6 2 14 4 2" xfId="15177" xr:uid="{192AFDC3-BC44-430C-8F01-380CDB83297B}"/>
    <cellStyle name="Normal 2 6 2 14 5" xfId="15172" xr:uid="{40B94386-59B3-4A98-9FC3-FDD354A0CEC4}"/>
    <cellStyle name="Normal 2 6 2 15" xfId="6350" xr:uid="{99CB1005-FB22-41FD-A38E-7E7C4BAEBCE6}"/>
    <cellStyle name="Normal 2 6 2 15 2" xfId="6351" xr:uid="{CEE9D306-E7AF-40C6-A813-F211A023DB5B}"/>
    <cellStyle name="Normal 2 6 2 15 2 2" xfId="6352" xr:uid="{625FD85F-82A7-467E-B8A9-08137BE37291}"/>
    <cellStyle name="Normal 2 6 2 15 2 2 2" xfId="15180" xr:uid="{985FD816-3058-432B-B2CB-4B864098D65E}"/>
    <cellStyle name="Normal 2 6 2 15 2 3" xfId="6353" xr:uid="{45E4C176-BAFB-444C-9DA4-62B2AD1DE5F7}"/>
    <cellStyle name="Normal 2 6 2 15 2 3 2" xfId="15181" xr:uid="{BF8DCED3-BF24-4B49-9C83-D8860E89717F}"/>
    <cellStyle name="Normal 2 6 2 15 2 4" xfId="15179" xr:uid="{46EEAC26-0C8B-4191-A1F5-863EF9076FF3}"/>
    <cellStyle name="Normal 2 6 2 15 3" xfId="6354" xr:uid="{8489A590-629F-4125-ACB6-8D58C44397C1}"/>
    <cellStyle name="Normal 2 6 2 15 3 2" xfId="15182" xr:uid="{2AFE0743-4DBA-4736-B238-FD509AC41EAF}"/>
    <cellStyle name="Normal 2 6 2 15 4" xfId="6355" xr:uid="{D88AA37B-2D4D-4EDD-A4F0-59733BD0545D}"/>
    <cellStyle name="Normal 2 6 2 15 4 2" xfId="15183" xr:uid="{6CA4A25F-BCC2-4768-8D31-F89A25178602}"/>
    <cellStyle name="Normal 2 6 2 15 5" xfId="15178" xr:uid="{479658F2-DF21-44AA-A5D3-FB4A2E7BE71A}"/>
    <cellStyle name="Normal 2 6 2 16" xfId="6356" xr:uid="{073EA729-438C-445F-88BE-25474FD510FC}"/>
    <cellStyle name="Normal 2 6 2 16 2" xfId="6357" xr:uid="{7EE463AC-B3AF-46C9-ACEE-7E0134098ED6}"/>
    <cellStyle name="Normal 2 6 2 16 2 2" xfId="6358" xr:uid="{1A205C64-0506-4873-A03F-D2C7D45D99F3}"/>
    <cellStyle name="Normal 2 6 2 16 2 2 2" xfId="15186" xr:uid="{24AC87B7-2348-4B71-99B9-287777E70EE3}"/>
    <cellStyle name="Normal 2 6 2 16 2 3" xfId="6359" xr:uid="{D86561D2-E6F2-4CF7-A4B6-D2D758BC7847}"/>
    <cellStyle name="Normal 2 6 2 16 2 3 2" xfId="15187" xr:uid="{FB9A4CC6-A759-4B61-83A5-35B988D0D9F9}"/>
    <cellStyle name="Normal 2 6 2 16 2 4" xfId="15185" xr:uid="{6A9AB094-B2B3-4F3F-AE97-B05B2D31283A}"/>
    <cellStyle name="Normal 2 6 2 16 3" xfId="6360" xr:uid="{F4D39572-1432-4F8B-BB52-D67C41AE47A7}"/>
    <cellStyle name="Normal 2 6 2 16 3 2" xfId="15188" xr:uid="{DF65549F-7F16-43D0-99E7-A55322A88E04}"/>
    <cellStyle name="Normal 2 6 2 16 4" xfId="6361" xr:uid="{A0787142-6100-4F0E-968D-591F6CA275B3}"/>
    <cellStyle name="Normal 2 6 2 16 4 2" xfId="15189" xr:uid="{2B0F3172-50A9-4CF3-832A-9EE99D80F77B}"/>
    <cellStyle name="Normal 2 6 2 16 5" xfId="15184" xr:uid="{6F6E39D5-3861-47D4-A591-E9CD0E508030}"/>
    <cellStyle name="Normal 2 6 2 17" xfId="6362" xr:uid="{252CD3D7-49FD-44CE-B9DE-D620E8258D97}"/>
    <cellStyle name="Normal 2 6 2 17 2" xfId="6363" xr:uid="{3B2BD6FA-255A-43BE-BE1A-BA8AC73B2265}"/>
    <cellStyle name="Normal 2 6 2 17 2 2" xfId="6364" xr:uid="{3B16EDE0-B254-4C5E-9775-57EC182E4E76}"/>
    <cellStyle name="Normal 2 6 2 17 2 2 2" xfId="15192" xr:uid="{B476A0F4-9077-40D7-9103-8AE43843DEC5}"/>
    <cellStyle name="Normal 2 6 2 17 2 3" xfId="6365" xr:uid="{9F19232C-9D4E-4796-9DAC-3A608F8FF615}"/>
    <cellStyle name="Normal 2 6 2 17 2 3 2" xfId="15193" xr:uid="{6EA0429A-0A5D-4020-B879-CA4A9C02137F}"/>
    <cellStyle name="Normal 2 6 2 17 2 4" xfId="15191" xr:uid="{2893518B-CF91-496A-8364-A09FA61D039E}"/>
    <cellStyle name="Normal 2 6 2 17 3" xfId="6366" xr:uid="{91CDED6B-334F-46EA-8707-654D2549AC82}"/>
    <cellStyle name="Normal 2 6 2 17 3 2" xfId="15194" xr:uid="{93F33386-863C-4693-AD61-F1CE8EBAE475}"/>
    <cellStyle name="Normal 2 6 2 17 4" xfId="6367" xr:uid="{8022B186-30C9-4852-9EE2-100B5C336915}"/>
    <cellStyle name="Normal 2 6 2 17 4 2" xfId="15195" xr:uid="{00C440A1-AA11-4000-947C-DD5F405EB7D2}"/>
    <cellStyle name="Normal 2 6 2 17 5" xfId="15190" xr:uid="{82F31DC6-38A6-4288-90B6-021CB40FB174}"/>
    <cellStyle name="Normal 2 6 2 18" xfId="6368" xr:uid="{26242A2A-EEBD-499D-BCC0-CFD4A51AD4A2}"/>
    <cellStyle name="Normal 2 6 2 18 2" xfId="6369" xr:uid="{57399245-B077-45E9-B2DE-9B8D61149D48}"/>
    <cellStyle name="Normal 2 6 2 18 2 2" xfId="6370" xr:uid="{A7CDAA98-8A22-4B25-AC7D-F5949247A820}"/>
    <cellStyle name="Normal 2 6 2 18 2 2 2" xfId="15198" xr:uid="{19C1E588-70BF-417A-BE93-F598BEB7484F}"/>
    <cellStyle name="Normal 2 6 2 18 2 3" xfId="6371" xr:uid="{02821CAA-B191-4E97-8ECA-CC3D7BECED38}"/>
    <cellStyle name="Normal 2 6 2 18 2 3 2" xfId="15199" xr:uid="{3396FB2C-06B1-430A-9710-8F65E41A550E}"/>
    <cellStyle name="Normal 2 6 2 18 2 4" xfId="15197" xr:uid="{DD496C95-818D-403D-ABD1-A64A138CBAA8}"/>
    <cellStyle name="Normal 2 6 2 18 3" xfId="6372" xr:uid="{1C407787-392A-40FD-B3B4-F13D89F3DB4A}"/>
    <cellStyle name="Normal 2 6 2 18 3 2" xfId="15200" xr:uid="{545B8B32-E69F-4F00-9599-48743427CBE9}"/>
    <cellStyle name="Normal 2 6 2 18 4" xfId="6373" xr:uid="{7DAC8040-4CFD-4556-B3FC-763E905433B9}"/>
    <cellStyle name="Normal 2 6 2 18 4 2" xfId="15201" xr:uid="{358789DD-7221-4DB9-8790-21DD51C28E69}"/>
    <cellStyle name="Normal 2 6 2 18 5" xfId="15196" xr:uid="{A3ED8DDE-83DE-4A18-AB02-0DE0D53ED466}"/>
    <cellStyle name="Normal 2 6 2 19" xfId="6374" xr:uid="{C7BD7085-DB00-4AA1-B0AD-6610EE6ED87E}"/>
    <cellStyle name="Normal 2 6 2 19 2" xfId="6375" xr:uid="{455B0431-01B5-4669-A558-F1F39EE7F2EC}"/>
    <cellStyle name="Normal 2 6 2 19 2 2" xfId="6376" xr:uid="{F2DD9B88-CDED-470F-B467-017FAB0E2230}"/>
    <cellStyle name="Normal 2 6 2 19 2 2 2" xfId="15204" xr:uid="{64166844-9F2B-41AF-ABEE-810A42FDD0AF}"/>
    <cellStyle name="Normal 2 6 2 19 2 3" xfId="6377" xr:uid="{1413080E-9C0A-4124-8A16-BAD4D122C507}"/>
    <cellStyle name="Normal 2 6 2 19 2 3 2" xfId="15205" xr:uid="{3EF2751F-D3CE-4960-9562-554020251D9A}"/>
    <cellStyle name="Normal 2 6 2 19 2 4" xfId="15203" xr:uid="{A7CEE41E-0280-43DE-A323-CE0316966E83}"/>
    <cellStyle name="Normal 2 6 2 19 3" xfId="6378" xr:uid="{B429380E-2CA2-4F0C-941A-72C334504445}"/>
    <cellStyle name="Normal 2 6 2 19 3 2" xfId="15206" xr:uid="{331C4268-360B-4947-952C-B555CA646F2B}"/>
    <cellStyle name="Normal 2 6 2 19 4" xfId="6379" xr:uid="{E8001157-C465-4F0C-8422-383B78F238EA}"/>
    <cellStyle name="Normal 2 6 2 19 4 2" xfId="15207" xr:uid="{DEEA0FD0-DFCF-4F96-AC62-93DF6D7F11B5}"/>
    <cellStyle name="Normal 2 6 2 19 5" xfId="15202" xr:uid="{0BA8ACAD-6517-49C4-99ED-A58C8AC9A7D2}"/>
    <cellStyle name="Normal 2 6 2 2" xfId="6380" xr:uid="{4C72727D-FB8D-49CD-B2DB-6D234D0B6045}"/>
    <cellStyle name="Normal 2 6 2 2 2" xfId="6381" xr:uid="{BFA2771D-88E2-475D-94D0-AA86F4387A35}"/>
    <cellStyle name="Normal 2 6 2 2 2 2" xfId="6382" xr:uid="{46DA70A9-0DDB-476B-8E81-5C3247E2E1D8}"/>
    <cellStyle name="Normal 2 6 2 2 2 2 2" xfId="15210" xr:uid="{A4A6658E-6B8E-4E00-BE39-4DE8050C23EB}"/>
    <cellStyle name="Normal 2 6 2 2 2 3" xfId="6383" xr:uid="{E4E1162D-5DB7-438B-BC4A-BFF445BFD7C3}"/>
    <cellStyle name="Normal 2 6 2 2 2 3 2" xfId="15211" xr:uid="{E404CB82-A149-4E39-B045-E836328EE1D7}"/>
    <cellStyle name="Normal 2 6 2 2 2 4" xfId="15209" xr:uid="{1442CA18-7B43-4D21-9F08-43C2435C58AE}"/>
    <cellStyle name="Normal 2 6 2 2 3" xfId="6384" xr:uid="{A13F314D-CEAB-43FD-90A8-7307CC06F3FE}"/>
    <cellStyle name="Normal 2 6 2 2 3 2" xfId="15212" xr:uid="{B75B9F4E-7131-4CE1-9C21-BE8AD3ABA5D8}"/>
    <cellStyle name="Normal 2 6 2 2 4" xfId="6385" xr:uid="{14CFE5A7-3A18-41C0-B94F-0E25330419CC}"/>
    <cellStyle name="Normal 2 6 2 2 4 2" xfId="15213" xr:uid="{45B8CB0F-0A5A-4B73-A7CE-C408CCF7C0A2}"/>
    <cellStyle name="Normal 2 6 2 2 5" xfId="15208" xr:uid="{057D86B6-BACA-459C-88A9-28BDA03C5B08}"/>
    <cellStyle name="Normal 2 6 2 20" xfId="6386" xr:uid="{EFEAE934-0BF6-471F-88DF-7B87D0961292}"/>
    <cellStyle name="Normal 2 6 2 20 2" xfId="6387" xr:uid="{0B184E68-95A2-44BF-A3C6-DB4EF82A21E0}"/>
    <cellStyle name="Normal 2 6 2 20 2 2" xfId="6388" xr:uid="{3637B952-3AE8-42B4-A116-9F78385383B0}"/>
    <cellStyle name="Normal 2 6 2 20 2 2 2" xfId="15216" xr:uid="{88760071-2EDE-414C-B3CC-E976EA8B7D24}"/>
    <cellStyle name="Normal 2 6 2 20 2 3" xfId="6389" xr:uid="{14DF5428-FC73-4B32-AE5E-8685A9E4B024}"/>
    <cellStyle name="Normal 2 6 2 20 2 3 2" xfId="15217" xr:uid="{B142FB4D-861A-4FE5-838C-CDE2304770D2}"/>
    <cellStyle name="Normal 2 6 2 20 2 4" xfId="15215" xr:uid="{1B44C8F7-D7CC-4592-B845-A2661445F249}"/>
    <cellStyle name="Normal 2 6 2 20 3" xfId="6390" xr:uid="{E8A0E550-2F70-4DFC-ADC1-FC3927D7F292}"/>
    <cellStyle name="Normal 2 6 2 20 3 2" xfId="15218" xr:uid="{BB6EA73D-F981-48A6-B5D5-134198A7840B}"/>
    <cellStyle name="Normal 2 6 2 20 4" xfId="6391" xr:uid="{EEA87FC9-7220-4359-BCA4-C0A8D0428E57}"/>
    <cellStyle name="Normal 2 6 2 20 4 2" xfId="15219" xr:uid="{1D660398-0F6F-42A3-9B11-56657D73A328}"/>
    <cellStyle name="Normal 2 6 2 20 5" xfId="15214" xr:uid="{012EB094-C99D-4BD0-8C43-8FC71A88AF1E}"/>
    <cellStyle name="Normal 2 6 2 21" xfId="6392" xr:uid="{5450CF7C-E192-4349-8C1B-E474469E9E48}"/>
    <cellStyle name="Normal 2 6 2 21 2" xfId="6393" xr:uid="{8B2F2C2F-3D45-4E6C-B695-05893B8C4238}"/>
    <cellStyle name="Normal 2 6 2 21 2 2" xfId="6394" xr:uid="{B93DFD41-BBD4-4C22-98E1-32D13B110686}"/>
    <cellStyle name="Normal 2 6 2 21 2 2 2" xfId="15222" xr:uid="{6BE4C58D-6AA6-4EF5-97EB-CDEC24091F1C}"/>
    <cellStyle name="Normal 2 6 2 21 2 3" xfId="6395" xr:uid="{683230EA-E2CF-4401-8F2F-8A2BCFB9AF94}"/>
    <cellStyle name="Normal 2 6 2 21 2 3 2" xfId="15223" xr:uid="{0BD5A104-0A52-4BB0-B59E-BA41729EFA83}"/>
    <cellStyle name="Normal 2 6 2 21 2 4" xfId="15221" xr:uid="{F9366818-E5FA-4E57-84EB-71ADEBCA5BD8}"/>
    <cellStyle name="Normal 2 6 2 21 3" xfId="6396" xr:uid="{D39E8E12-0007-4DA4-A412-3375465C6299}"/>
    <cellStyle name="Normal 2 6 2 21 3 2" xfId="15224" xr:uid="{4C5EAE9D-C4B6-4478-907B-355D1F933166}"/>
    <cellStyle name="Normal 2 6 2 21 4" xfId="6397" xr:uid="{122B90A5-AEE9-4D52-8E34-C01B816D494D}"/>
    <cellStyle name="Normal 2 6 2 21 4 2" xfId="15225" xr:uid="{F7C57ABD-61D6-48EC-87B5-A7A4D1DE29D5}"/>
    <cellStyle name="Normal 2 6 2 21 5" xfId="15220" xr:uid="{75FDC72D-2836-46F0-8009-A3573310090B}"/>
    <cellStyle name="Normal 2 6 2 22" xfId="6398" xr:uid="{9B681A8F-60B2-45E7-8FB4-BBFAFABF63B7}"/>
    <cellStyle name="Normal 2 6 2 22 2" xfId="6399" xr:uid="{A20323C2-EA22-488E-BBB3-8B8C0CA5563B}"/>
    <cellStyle name="Normal 2 6 2 22 2 2" xfId="6400" xr:uid="{A0FC69EA-EB87-4F3D-9ECC-487A6FBD09B1}"/>
    <cellStyle name="Normal 2 6 2 22 2 2 2" xfId="15228" xr:uid="{852C5574-65DD-4151-A565-7F6E21B20EC3}"/>
    <cellStyle name="Normal 2 6 2 22 2 3" xfId="6401" xr:uid="{968239C1-72AE-4F03-AE07-DFAA04B0A538}"/>
    <cellStyle name="Normal 2 6 2 22 2 3 2" xfId="15229" xr:uid="{E4D275F6-412E-4465-A0D0-5DCA8A7765FE}"/>
    <cellStyle name="Normal 2 6 2 22 2 4" xfId="15227" xr:uid="{9A19420C-F92D-47D7-8282-D046DF7711E7}"/>
    <cellStyle name="Normal 2 6 2 22 3" xfId="6402" xr:uid="{6BD01256-8C41-4965-8D09-1C67DEF4B135}"/>
    <cellStyle name="Normal 2 6 2 22 3 2" xfId="15230" xr:uid="{22D6BC4E-C0A6-4720-9D86-80F1F6824AC3}"/>
    <cellStyle name="Normal 2 6 2 22 4" xfId="6403" xr:uid="{610CFF40-1A85-4B13-B349-C38DA7555457}"/>
    <cellStyle name="Normal 2 6 2 22 4 2" xfId="15231" xr:uid="{6176D79B-61EF-43FB-8047-0FABE42B4E27}"/>
    <cellStyle name="Normal 2 6 2 22 5" xfId="15226" xr:uid="{7086489E-88C3-44C4-B22C-F7F420AD4847}"/>
    <cellStyle name="Normal 2 6 2 23" xfId="6404" xr:uid="{9E7C3AF9-8776-424C-A931-6BC8A93B7E8E}"/>
    <cellStyle name="Normal 2 6 2 23 2" xfId="6405" xr:uid="{F187FC32-172C-4D37-B2FE-C4D8AF389270}"/>
    <cellStyle name="Normal 2 6 2 23 2 2" xfId="6406" xr:uid="{1D053DF7-9363-4791-9321-36E0D72491AC}"/>
    <cellStyle name="Normal 2 6 2 23 2 2 2" xfId="15234" xr:uid="{C5C3A569-3FC1-433B-A5D6-2777DE0DE808}"/>
    <cellStyle name="Normal 2 6 2 23 2 3" xfId="6407" xr:uid="{94583C3A-B114-4773-A2AB-E121FD9C5BDE}"/>
    <cellStyle name="Normal 2 6 2 23 2 3 2" xfId="15235" xr:uid="{409724E5-6B95-4DDE-8E19-87A06797FBA0}"/>
    <cellStyle name="Normal 2 6 2 23 2 4" xfId="15233" xr:uid="{41828E68-6559-4F5D-AFD2-E4B716C8192F}"/>
    <cellStyle name="Normal 2 6 2 23 3" xfId="6408" xr:uid="{2000DFA2-157F-46E6-BC3C-E23988D514CE}"/>
    <cellStyle name="Normal 2 6 2 23 3 2" xfId="15236" xr:uid="{E85EB4DF-AB46-407E-9BFF-E31F680DFEC2}"/>
    <cellStyle name="Normal 2 6 2 23 4" xfId="6409" xr:uid="{8E704448-5C44-4FC3-A08F-170C83E62C9D}"/>
    <cellStyle name="Normal 2 6 2 23 4 2" xfId="15237" xr:uid="{3B8BCB12-D0E1-4BC3-A36F-539BA3226CC5}"/>
    <cellStyle name="Normal 2 6 2 23 5" xfId="15232" xr:uid="{27D9E7B3-6C16-4408-9839-62240CFFED4B}"/>
    <cellStyle name="Normal 2 6 2 24" xfId="6410" xr:uid="{631B7FD2-D466-4C01-BCE1-C2141F985069}"/>
    <cellStyle name="Normal 2 6 2 24 2" xfId="6411" xr:uid="{59A38B76-92C8-4777-ADC7-D65722330A9A}"/>
    <cellStyle name="Normal 2 6 2 24 2 2" xfId="6412" xr:uid="{4D0405BB-DC47-4535-A365-BC1709E67390}"/>
    <cellStyle name="Normal 2 6 2 24 2 2 2" xfId="15240" xr:uid="{DF4C23FD-5D19-4D83-97AF-C9721F80815D}"/>
    <cellStyle name="Normal 2 6 2 24 2 3" xfId="6413" xr:uid="{B210EE38-258C-47E5-B3D6-2EC338813AD4}"/>
    <cellStyle name="Normal 2 6 2 24 2 3 2" xfId="15241" xr:uid="{7CC0FF93-A7FB-492B-96B4-D58DCB77D94C}"/>
    <cellStyle name="Normal 2 6 2 24 2 4" xfId="15239" xr:uid="{82BB1C35-16AB-480D-814A-B708E72C7A18}"/>
    <cellStyle name="Normal 2 6 2 24 3" xfId="6414" xr:uid="{34C80E8D-67E7-480B-B695-004516C5F38B}"/>
    <cellStyle name="Normal 2 6 2 24 3 2" xfId="15242" xr:uid="{1B8DE491-8C76-4F60-87AF-8A772C8CAB7A}"/>
    <cellStyle name="Normal 2 6 2 24 4" xfId="6415" xr:uid="{AE9ED5DC-32D1-4C9E-AF75-03E99F48FCB0}"/>
    <cellStyle name="Normal 2 6 2 24 4 2" xfId="15243" xr:uid="{56E8045A-CB41-419A-8D5D-E2304E0AAC68}"/>
    <cellStyle name="Normal 2 6 2 24 5" xfId="15238" xr:uid="{93256756-7050-4F7C-B52E-A95570843DD2}"/>
    <cellStyle name="Normal 2 6 2 25" xfId="6416" xr:uid="{37CBE4E1-251C-41B3-86AE-7777C373AC24}"/>
    <cellStyle name="Normal 2 6 2 25 2" xfId="6417" xr:uid="{4A79F2BA-4559-4B7C-88CE-B7B0FD5B98F2}"/>
    <cellStyle name="Normal 2 6 2 25 2 2" xfId="6418" xr:uid="{CEB76397-BC0D-4608-BACE-E41DBE4E1AA1}"/>
    <cellStyle name="Normal 2 6 2 25 2 2 2" xfId="15246" xr:uid="{3673E52D-B2FD-44A4-A86A-3E471C6CCA3A}"/>
    <cellStyle name="Normal 2 6 2 25 2 3" xfId="6419" xr:uid="{08AF6CA5-05A4-42A0-9A0E-0D1CC08627D5}"/>
    <cellStyle name="Normal 2 6 2 25 2 3 2" xfId="15247" xr:uid="{F2FF4635-8019-4088-8092-63DE3B61BF24}"/>
    <cellStyle name="Normal 2 6 2 25 2 4" xfId="15245" xr:uid="{5D207024-D125-4A72-99C0-C2FBD765E4CB}"/>
    <cellStyle name="Normal 2 6 2 25 3" xfId="6420" xr:uid="{81CFCD6A-6DAB-4548-A756-09F50E269437}"/>
    <cellStyle name="Normal 2 6 2 25 3 2" xfId="15248" xr:uid="{ABECF7D1-8DFF-456C-A28C-97CA6D843896}"/>
    <cellStyle name="Normal 2 6 2 25 4" xfId="6421" xr:uid="{AC8F1699-550E-442B-8B31-0F6CC083FB71}"/>
    <cellStyle name="Normal 2 6 2 25 4 2" xfId="15249" xr:uid="{8959546D-F382-4C64-A185-45C657CBDB03}"/>
    <cellStyle name="Normal 2 6 2 25 5" xfId="15244" xr:uid="{5F1E65A3-7D0E-4446-8953-945943C44C38}"/>
    <cellStyle name="Normal 2 6 2 26" xfId="6422" xr:uid="{E0673A00-A6EE-4B11-A62D-FE4145B0BEE7}"/>
    <cellStyle name="Normal 2 6 2 26 2" xfId="6423" xr:uid="{EC66FCF1-27CE-49DA-9181-8F2330F7EF64}"/>
    <cellStyle name="Normal 2 6 2 26 2 2" xfId="6424" xr:uid="{52ED713D-276D-474E-9B2E-EC3A774C7DC3}"/>
    <cellStyle name="Normal 2 6 2 26 2 2 2" xfId="15252" xr:uid="{0C3EB4EF-007C-41BB-A858-BC5B7709C1B3}"/>
    <cellStyle name="Normal 2 6 2 26 2 3" xfId="6425" xr:uid="{0C5672D0-D3E9-4AB6-9E4E-F8A57B7BE0ED}"/>
    <cellStyle name="Normal 2 6 2 26 2 3 2" xfId="15253" xr:uid="{32E6C656-DF0A-4371-9822-A99E2055555B}"/>
    <cellStyle name="Normal 2 6 2 26 2 4" xfId="15251" xr:uid="{C52139C3-3471-4007-8DF5-D99AC0D49498}"/>
    <cellStyle name="Normal 2 6 2 26 3" xfId="6426" xr:uid="{943F89BC-5C0D-4C99-9563-0B0D4BC09646}"/>
    <cellStyle name="Normal 2 6 2 26 3 2" xfId="15254" xr:uid="{0A0EA494-316B-4A54-A066-7932BCE80309}"/>
    <cellStyle name="Normal 2 6 2 26 4" xfId="6427" xr:uid="{C56D56AA-30FB-4DAC-92BF-912FE72BAFC6}"/>
    <cellStyle name="Normal 2 6 2 26 4 2" xfId="15255" xr:uid="{C098D59D-712C-4868-8602-CF4B1697AB45}"/>
    <cellStyle name="Normal 2 6 2 26 5" xfId="15250" xr:uid="{8EBA8115-C654-4A03-9E58-3051C4FF969B}"/>
    <cellStyle name="Normal 2 6 2 27" xfId="6428" xr:uid="{322C0EE2-A788-4174-8FE8-6D534FADD8E5}"/>
    <cellStyle name="Normal 2 6 2 27 2" xfId="6429" xr:uid="{8AD4427C-9AB5-41B4-8EC1-73AA74E89CCD}"/>
    <cellStyle name="Normal 2 6 2 27 2 2" xfId="6430" xr:uid="{77C7E1A7-CF8E-4835-BA0A-50FE5B15019A}"/>
    <cellStyle name="Normal 2 6 2 27 2 2 2" xfId="15258" xr:uid="{9DFD80B1-8CB6-49C9-BDE2-D68820E22E02}"/>
    <cellStyle name="Normal 2 6 2 27 2 3" xfId="6431" xr:uid="{BCFE6685-FB45-4E18-8E79-FC4EB605E5F7}"/>
    <cellStyle name="Normal 2 6 2 27 2 3 2" xfId="15259" xr:uid="{9B44B692-18D3-42C3-AD03-25329AB1C598}"/>
    <cellStyle name="Normal 2 6 2 27 2 4" xfId="15257" xr:uid="{0563ACF2-0217-44AD-82B0-5F3AE8C2C2F6}"/>
    <cellStyle name="Normal 2 6 2 27 3" xfId="6432" xr:uid="{B96365E9-5445-4548-8ED3-6B063BA186CC}"/>
    <cellStyle name="Normal 2 6 2 27 3 2" xfId="15260" xr:uid="{2B480C3A-6D9F-40D8-9F24-78797CB1BF22}"/>
    <cellStyle name="Normal 2 6 2 27 4" xfId="6433" xr:uid="{FD9DBE1D-D6F2-4750-92A2-F32CD56BB3ED}"/>
    <cellStyle name="Normal 2 6 2 27 4 2" xfId="15261" xr:uid="{C3E001F5-92BC-4A36-99B9-FDF52CD4EC6E}"/>
    <cellStyle name="Normal 2 6 2 27 5" xfId="15256" xr:uid="{487E1CB0-6C07-4E79-B7C4-4DB66057E99C}"/>
    <cellStyle name="Normal 2 6 2 28" xfId="6434" xr:uid="{9E3B2A0C-4869-4484-A209-94229DA848DF}"/>
    <cellStyle name="Normal 2 6 2 28 2" xfId="6435" xr:uid="{B8A4D7C4-74EA-48A6-A5ED-EBCD96D76885}"/>
    <cellStyle name="Normal 2 6 2 28 2 2" xfId="6436" xr:uid="{D593D154-14DF-4FE1-9C94-EF19FB966488}"/>
    <cellStyle name="Normal 2 6 2 28 2 2 2" xfId="15264" xr:uid="{1CB6F0D9-5A56-48B7-8C91-B180A8080A76}"/>
    <cellStyle name="Normal 2 6 2 28 2 3" xfId="6437" xr:uid="{F65F9BC3-113A-41C9-8DE1-1044FF5FC0CB}"/>
    <cellStyle name="Normal 2 6 2 28 2 3 2" xfId="15265" xr:uid="{60D4748B-71D2-4204-8B12-A40E55F799DF}"/>
    <cellStyle name="Normal 2 6 2 28 2 4" xfId="15263" xr:uid="{42BB8EC5-1549-42B4-BC97-119C04890D96}"/>
    <cellStyle name="Normal 2 6 2 28 3" xfId="6438" xr:uid="{CC2BBCF5-DEAD-4F13-B4EB-0BF1FB1986F5}"/>
    <cellStyle name="Normal 2 6 2 28 3 2" xfId="15266" xr:uid="{79DED8A3-5F28-4BC6-919D-757C11E6236C}"/>
    <cellStyle name="Normal 2 6 2 28 4" xfId="6439" xr:uid="{11EA593F-A4BA-4A71-B7B7-D902A7F68B0F}"/>
    <cellStyle name="Normal 2 6 2 28 4 2" xfId="15267" xr:uid="{EACEAB75-9D63-4D16-87EB-D18BE112160B}"/>
    <cellStyle name="Normal 2 6 2 28 5" xfId="15262" xr:uid="{FD7184FA-CDA6-4546-B6BE-1593C8AA642F}"/>
    <cellStyle name="Normal 2 6 2 29" xfId="6440" xr:uid="{4146B347-9D48-487B-986D-36EEA418A969}"/>
    <cellStyle name="Normal 2 6 2 29 2" xfId="6441" xr:uid="{0B124FB0-723A-4137-AE7D-398112072FDA}"/>
    <cellStyle name="Normal 2 6 2 29 2 2" xfId="6442" xr:uid="{6F3078FD-5F43-45D3-9C08-E0935E34DD00}"/>
    <cellStyle name="Normal 2 6 2 29 2 2 2" xfId="15270" xr:uid="{A1DB8C3B-19EA-4D64-BC07-0020C2E4BF12}"/>
    <cellStyle name="Normal 2 6 2 29 2 3" xfId="6443" xr:uid="{66537EA3-E7B9-497D-BC01-0677ABDAF5D2}"/>
    <cellStyle name="Normal 2 6 2 29 2 3 2" xfId="15271" xr:uid="{4A2B1113-11F8-4743-B835-FD22449252E7}"/>
    <cellStyle name="Normal 2 6 2 29 2 4" xfId="15269" xr:uid="{99E3A9B3-C352-4C97-975E-9527FE907DCF}"/>
    <cellStyle name="Normal 2 6 2 29 3" xfId="6444" xr:uid="{A75F74ED-6AD4-4186-AE36-386C2D31A1B6}"/>
    <cellStyle name="Normal 2 6 2 29 3 2" xfId="15272" xr:uid="{F12CA273-4C15-4B18-BDA5-F00543F85C46}"/>
    <cellStyle name="Normal 2 6 2 29 4" xfId="6445" xr:uid="{1F43F6DE-3EA4-4129-BFA3-E5A23ACC407C}"/>
    <cellStyle name="Normal 2 6 2 29 4 2" xfId="15273" xr:uid="{E73AE7DC-B5B7-4118-98A8-34EBBF308F8B}"/>
    <cellStyle name="Normal 2 6 2 29 5" xfId="15268" xr:uid="{493A16E8-F8D3-46C7-9933-04B0573F7FA1}"/>
    <cellStyle name="Normal 2 6 2 3" xfId="6446" xr:uid="{C19A6433-3C87-40C8-9931-E8EF2B9AACBB}"/>
    <cellStyle name="Normal 2 6 2 3 2" xfId="6447" xr:uid="{94BD7FBA-933F-404B-9AB9-9522CF895C39}"/>
    <cellStyle name="Normal 2 6 2 3 2 2" xfId="6448" xr:uid="{7080E11B-469C-43CD-ACD7-EF9855761193}"/>
    <cellStyle name="Normal 2 6 2 3 2 2 2" xfId="15276" xr:uid="{1757833C-E594-4202-B00D-BED8DD215152}"/>
    <cellStyle name="Normal 2 6 2 3 2 3" xfId="6449" xr:uid="{D0F0672D-ECDC-4AC3-A574-E01421FB9260}"/>
    <cellStyle name="Normal 2 6 2 3 2 3 2" xfId="15277" xr:uid="{6F4FF850-288B-4935-AD7D-9DADE1E027D7}"/>
    <cellStyle name="Normal 2 6 2 3 2 4" xfId="15275" xr:uid="{5173DC0A-DEFB-479F-BF73-B4F66B596379}"/>
    <cellStyle name="Normal 2 6 2 3 3" xfId="6450" xr:uid="{3230F54B-BA75-48E0-B86A-2F29F2D5CD47}"/>
    <cellStyle name="Normal 2 6 2 3 3 2" xfId="15278" xr:uid="{BBCA404D-B1E7-4070-A58C-ED5254B469A1}"/>
    <cellStyle name="Normal 2 6 2 3 4" xfId="6451" xr:uid="{0F8508D1-7394-4C5D-9121-51FF0713ACF5}"/>
    <cellStyle name="Normal 2 6 2 3 4 2" xfId="15279" xr:uid="{EFE0CE9B-B5BF-4C08-BAF1-E61FBE9430AB}"/>
    <cellStyle name="Normal 2 6 2 3 5" xfId="15274" xr:uid="{7787E7AD-9BF5-4893-8FAE-65DBCDA4B405}"/>
    <cellStyle name="Normal 2 6 2 30" xfId="6452" xr:uid="{970C578A-6CB7-42D1-AC07-247BD1433EAD}"/>
    <cellStyle name="Normal 2 6 2 30 2" xfId="6453" xr:uid="{FAD52F89-B0B4-4D80-A8AF-8098E741EE8C}"/>
    <cellStyle name="Normal 2 6 2 30 2 2" xfId="6454" xr:uid="{25661815-4AD0-4248-8176-1AC992AC0157}"/>
    <cellStyle name="Normal 2 6 2 30 2 2 2" xfId="15282" xr:uid="{F3C9EAA1-B80A-485C-AF29-20778570B059}"/>
    <cellStyle name="Normal 2 6 2 30 2 3" xfId="6455" xr:uid="{70D30649-E6B7-417F-A824-6AC0EC3EAA76}"/>
    <cellStyle name="Normal 2 6 2 30 2 3 2" xfId="15283" xr:uid="{5FBCB5CE-0E53-40B9-82AD-3B3E663D983A}"/>
    <cellStyle name="Normal 2 6 2 30 2 4" xfId="15281" xr:uid="{86907B54-FAFF-4BBF-98CF-ECB891359FB8}"/>
    <cellStyle name="Normal 2 6 2 30 3" xfId="6456" xr:uid="{14939495-C6E7-4EE8-9364-63CAFA58AC87}"/>
    <cellStyle name="Normal 2 6 2 30 3 2" xfId="15284" xr:uid="{D11E0DAE-DCAD-4FA1-925B-5ACC296FE093}"/>
    <cellStyle name="Normal 2 6 2 30 4" xfId="6457" xr:uid="{256C135A-E157-4A79-B4B5-58D5C717775A}"/>
    <cellStyle name="Normal 2 6 2 30 4 2" xfId="15285" xr:uid="{7900E332-0821-4808-87E8-529773BA45B9}"/>
    <cellStyle name="Normal 2 6 2 30 5" xfId="15280" xr:uid="{4E576CCC-AFEB-4AD2-B521-0543E2C08DDE}"/>
    <cellStyle name="Normal 2 6 2 31" xfId="6458" xr:uid="{FC38D4B6-A955-44D5-BDCC-F46C5382F955}"/>
    <cellStyle name="Normal 2 6 2 31 2" xfId="6459" xr:uid="{0E888852-3986-4C5F-9063-7ED6229E8F8A}"/>
    <cellStyle name="Normal 2 6 2 31 2 2" xfId="6460" xr:uid="{745FCEBA-1DA0-4DA5-BD13-2B6DF01B6710}"/>
    <cellStyle name="Normal 2 6 2 31 2 2 2" xfId="15288" xr:uid="{74AE6ACB-AD8A-4CAA-8E1C-EA1A339F8BA3}"/>
    <cellStyle name="Normal 2 6 2 31 2 3" xfId="6461" xr:uid="{2A724DBE-A94C-4925-9E8A-8F764472B507}"/>
    <cellStyle name="Normal 2 6 2 31 2 3 2" xfId="15289" xr:uid="{6A6769CD-4616-4695-B0F5-E70130306086}"/>
    <cellStyle name="Normal 2 6 2 31 2 4" xfId="15287" xr:uid="{66D1723E-F2E0-422E-97AF-C065AF3F99CD}"/>
    <cellStyle name="Normal 2 6 2 31 3" xfId="6462" xr:uid="{DE2FC828-40CC-4AC6-9ACC-4DBCCDF56B63}"/>
    <cellStyle name="Normal 2 6 2 31 3 2" xfId="15290" xr:uid="{2968F953-E7EC-4C29-90C5-B19D244C2994}"/>
    <cellStyle name="Normal 2 6 2 31 4" xfId="6463" xr:uid="{7460DE72-DBEB-476A-9A53-3058E32F84D2}"/>
    <cellStyle name="Normal 2 6 2 31 4 2" xfId="15291" xr:uid="{703714E4-32C2-4B0D-96AA-502CBA8CB41F}"/>
    <cellStyle name="Normal 2 6 2 31 5" xfId="15286" xr:uid="{F9B3885E-2A6C-4552-8B6E-B9E0BA0DF9F8}"/>
    <cellStyle name="Normal 2 6 2 32" xfId="6464" xr:uid="{ABCA8228-9608-4017-A093-EF91096C31D4}"/>
    <cellStyle name="Normal 2 6 2 32 2" xfId="6465" xr:uid="{0B2DF131-9746-4775-8058-BE565BB0F36B}"/>
    <cellStyle name="Normal 2 6 2 32 2 2" xfId="6466" xr:uid="{8D164D5B-58E0-435C-B9C3-498EEC72DFAA}"/>
    <cellStyle name="Normal 2 6 2 32 2 2 2" xfId="15294" xr:uid="{3C6745C7-8D01-47FB-8AFB-DCCF1366B0E8}"/>
    <cellStyle name="Normal 2 6 2 32 2 3" xfId="6467" xr:uid="{931D4E9F-D8A5-4EB8-A721-C0D919C4C969}"/>
    <cellStyle name="Normal 2 6 2 32 2 3 2" xfId="15295" xr:uid="{F99396F1-F6EF-41F9-9B28-1E28234197EE}"/>
    <cellStyle name="Normal 2 6 2 32 2 4" xfId="15293" xr:uid="{F39F3192-71D9-453C-A093-22E38D28CA4F}"/>
    <cellStyle name="Normal 2 6 2 32 3" xfId="6468" xr:uid="{357E646A-4E72-4904-A1A0-4884300DC223}"/>
    <cellStyle name="Normal 2 6 2 32 3 2" xfId="15296" xr:uid="{99D8C17F-6D9C-48F2-845C-F485A63836F4}"/>
    <cellStyle name="Normal 2 6 2 32 4" xfId="6469" xr:uid="{1BE3F550-AAE9-46F7-831D-8FE073ED27FF}"/>
    <cellStyle name="Normal 2 6 2 32 4 2" xfId="15297" xr:uid="{73163FDE-2875-45FE-90DE-4E8A61CCB080}"/>
    <cellStyle name="Normal 2 6 2 32 5" xfId="15292" xr:uid="{060B5AFC-9C52-41B1-AD7C-301721E12B25}"/>
    <cellStyle name="Normal 2 6 2 33" xfId="6470" xr:uid="{923F73E2-9D4D-4A38-A518-59C4B90450C6}"/>
    <cellStyle name="Normal 2 6 2 33 2" xfId="6471" xr:uid="{E0F77BBC-48AD-4439-9DBC-4702A85C332E}"/>
    <cellStyle name="Normal 2 6 2 33 2 2" xfId="6472" xr:uid="{61A889EF-8D35-4249-9FDD-90E1263C439F}"/>
    <cellStyle name="Normal 2 6 2 33 2 2 2" xfId="15300" xr:uid="{17C92747-8517-40B3-B27A-60F114C2BC9E}"/>
    <cellStyle name="Normal 2 6 2 33 2 3" xfId="6473" xr:uid="{C8C7BA8E-9B06-46F9-8D76-827F295567E5}"/>
    <cellStyle name="Normal 2 6 2 33 2 3 2" xfId="15301" xr:uid="{0640FBB8-5BD3-4E28-9DA3-63DA1FDA8620}"/>
    <cellStyle name="Normal 2 6 2 33 2 4" xfId="15299" xr:uid="{03CCB5CB-7C40-49FF-A833-3D88101F4C62}"/>
    <cellStyle name="Normal 2 6 2 33 3" xfId="6474" xr:uid="{E1B331E2-C36C-4C4F-9A2E-1AD3F1456D05}"/>
    <cellStyle name="Normal 2 6 2 33 3 2" xfId="15302" xr:uid="{D8D92F62-16D6-4E51-AED9-5090FAEE707F}"/>
    <cellStyle name="Normal 2 6 2 33 4" xfId="6475" xr:uid="{1A4F3C12-F4DE-4A77-8E68-9BFB2EBBDC2E}"/>
    <cellStyle name="Normal 2 6 2 33 4 2" xfId="15303" xr:uid="{1F4306B1-4815-417B-9E04-71876321834D}"/>
    <cellStyle name="Normal 2 6 2 33 5" xfId="15298" xr:uid="{CE1B73C2-AEF1-4273-8C50-ED462747BA77}"/>
    <cellStyle name="Normal 2 6 2 34" xfId="6476" xr:uid="{FC3E4AE9-C50E-48B7-A78E-B8E48EDC5B7A}"/>
    <cellStyle name="Normal 2 6 2 34 2" xfId="6477" xr:uid="{3654D127-183D-4071-AA32-7FDF2EB6D56B}"/>
    <cellStyle name="Normal 2 6 2 34 2 2" xfId="6478" xr:uid="{3E2B8FEE-6436-4557-BAE5-ED2959FD75CE}"/>
    <cellStyle name="Normal 2 6 2 34 2 2 2" xfId="15306" xr:uid="{D72F3733-63A8-4BBA-8ABF-F8A7248E039D}"/>
    <cellStyle name="Normal 2 6 2 34 2 3" xfId="6479" xr:uid="{1FD186C0-360A-42BD-8FC5-60D80194F911}"/>
    <cellStyle name="Normal 2 6 2 34 2 3 2" xfId="15307" xr:uid="{B5B33799-D332-4BFC-8FE5-B63535C18CFE}"/>
    <cellStyle name="Normal 2 6 2 34 2 4" xfId="15305" xr:uid="{870D27A3-58A7-48E7-AE73-794AC9EB91D4}"/>
    <cellStyle name="Normal 2 6 2 34 3" xfId="6480" xr:uid="{B0126DF3-D2B0-4406-A5F4-D42F12FCCB1B}"/>
    <cellStyle name="Normal 2 6 2 34 3 2" xfId="15308" xr:uid="{E8AD48CC-123C-408E-AB69-39F47B08122B}"/>
    <cellStyle name="Normal 2 6 2 34 4" xfId="6481" xr:uid="{E45C364A-F749-4926-A9B4-262AB18F50FE}"/>
    <cellStyle name="Normal 2 6 2 34 4 2" xfId="15309" xr:uid="{E9AFECA8-BDD8-494A-B604-86C69DCFD390}"/>
    <cellStyle name="Normal 2 6 2 34 5" xfId="15304" xr:uid="{321C88C6-56A6-4B44-BBD0-DDDFA72AABC7}"/>
    <cellStyle name="Normal 2 6 2 35" xfId="6482" xr:uid="{F0208BB1-BF12-4E83-886A-E371B702E7D8}"/>
    <cellStyle name="Normal 2 6 2 35 2" xfId="6483" xr:uid="{5E7891A6-F6A4-46C0-88DE-7B70299C5718}"/>
    <cellStyle name="Normal 2 6 2 35 2 2" xfId="6484" xr:uid="{7D9D54C1-3C96-4015-AC60-3656B214F858}"/>
    <cellStyle name="Normal 2 6 2 35 2 2 2" xfId="15312" xr:uid="{624262C3-7646-44E2-8877-92D00B9F29E6}"/>
    <cellStyle name="Normal 2 6 2 35 2 3" xfId="6485" xr:uid="{2CEEBD2C-558F-4447-8C52-7421264DC36C}"/>
    <cellStyle name="Normal 2 6 2 35 2 3 2" xfId="15313" xr:uid="{87A671AD-F327-4225-B658-828B94481699}"/>
    <cellStyle name="Normal 2 6 2 35 2 4" xfId="15311" xr:uid="{91B59C33-B88D-45AA-8708-D4AAB2A25029}"/>
    <cellStyle name="Normal 2 6 2 35 3" xfId="6486" xr:uid="{4940EF4B-59F6-4687-BAE1-2C7795D9029F}"/>
    <cellStyle name="Normal 2 6 2 35 3 2" xfId="15314" xr:uid="{305B00BA-69A1-49BF-8FF3-A898D33AF17C}"/>
    <cellStyle name="Normal 2 6 2 35 4" xfId="6487" xr:uid="{4AD76421-54C1-4CB4-88B9-7E135A4671C0}"/>
    <cellStyle name="Normal 2 6 2 35 4 2" xfId="15315" xr:uid="{4E03AF49-C693-421B-8D8A-2CB70F509995}"/>
    <cellStyle name="Normal 2 6 2 35 5" xfId="15310" xr:uid="{9A744630-AB51-404F-BA74-763931AF7C0C}"/>
    <cellStyle name="Normal 2 6 2 36" xfId="6488" xr:uid="{12AF07E6-ECC0-44E9-8B7E-9EE53907DCA5}"/>
    <cellStyle name="Normal 2 6 2 36 2" xfId="6489" xr:uid="{BB1A6840-E026-4935-87DE-04A170FD857C}"/>
    <cellStyle name="Normal 2 6 2 36 2 2" xfId="6490" xr:uid="{051D4E52-C342-44DF-93D6-83F2D7A34058}"/>
    <cellStyle name="Normal 2 6 2 36 2 2 2" xfId="15318" xr:uid="{3719E965-1C6E-4C76-ACBE-5FF2CAB138B5}"/>
    <cellStyle name="Normal 2 6 2 36 2 3" xfId="6491" xr:uid="{2F4F4D16-7580-4DF0-8751-227344A5582F}"/>
    <cellStyle name="Normal 2 6 2 36 2 3 2" xfId="15319" xr:uid="{5BAE8D27-1A4F-4108-9550-F4B932622907}"/>
    <cellStyle name="Normal 2 6 2 36 2 4" xfId="15317" xr:uid="{39D0B297-1EEE-4492-8A93-9905F7080C49}"/>
    <cellStyle name="Normal 2 6 2 36 3" xfId="6492" xr:uid="{9C6EE15E-E8E2-4BE9-A003-4063EAC4AE3E}"/>
    <cellStyle name="Normal 2 6 2 36 3 2" xfId="15320" xr:uid="{C6D5B3E7-7BE1-4EA9-A3B4-D3B9C54D495C}"/>
    <cellStyle name="Normal 2 6 2 36 4" xfId="6493" xr:uid="{F09FC9C7-C763-47C0-9251-39983A3D53EA}"/>
    <cellStyle name="Normal 2 6 2 36 4 2" xfId="15321" xr:uid="{0875B5EC-6454-4788-84AB-85C21EB0B08A}"/>
    <cellStyle name="Normal 2 6 2 36 5" xfId="15316" xr:uid="{311F8944-A508-4CDE-A382-8FE3C9A9B2F6}"/>
    <cellStyle name="Normal 2 6 2 37" xfId="6494" xr:uid="{C4E6ECCD-15FD-4FEC-845F-52120745B13E}"/>
    <cellStyle name="Normal 2 6 2 37 2" xfId="6495" xr:uid="{5DCAE934-FEDC-4D41-8304-07D97922874B}"/>
    <cellStyle name="Normal 2 6 2 37 2 2" xfId="6496" xr:uid="{D5F35074-6E64-4151-94D8-4293B31789F5}"/>
    <cellStyle name="Normal 2 6 2 37 2 2 2" xfId="15324" xr:uid="{0A812A4A-F5CF-4734-B61D-D01EF5F24A3C}"/>
    <cellStyle name="Normal 2 6 2 37 2 3" xfId="6497" xr:uid="{EF9AB0F4-1474-4BD1-AFE5-9A3231D6B7A6}"/>
    <cellStyle name="Normal 2 6 2 37 2 3 2" xfId="15325" xr:uid="{5F9937FF-BC3D-4FE4-AC46-4D653E4D3CF7}"/>
    <cellStyle name="Normal 2 6 2 37 2 4" xfId="15323" xr:uid="{9E6A0F15-35FC-45D8-AC5B-BDE169BD1EB8}"/>
    <cellStyle name="Normal 2 6 2 37 3" xfId="6498" xr:uid="{880DE71C-6BAB-4C5A-A5BC-A85A2F6305A5}"/>
    <cellStyle name="Normal 2 6 2 37 3 2" xfId="15326" xr:uid="{9E6B3F95-B696-45F1-BFFB-E3BEBF2B04D5}"/>
    <cellStyle name="Normal 2 6 2 37 4" xfId="6499" xr:uid="{F1659598-D807-4B73-A04E-13219F1C70A1}"/>
    <cellStyle name="Normal 2 6 2 37 4 2" xfId="15327" xr:uid="{B16B834E-230E-4502-8A43-8D1B668A897D}"/>
    <cellStyle name="Normal 2 6 2 37 5" xfId="15322" xr:uid="{5E54F7B5-BE9A-4CD0-B5EE-57BA523F2FEA}"/>
    <cellStyle name="Normal 2 6 2 38" xfId="6500" xr:uid="{8F9E11B2-DAF3-4EEC-AE18-60CF3BF1C506}"/>
    <cellStyle name="Normal 2 6 2 38 2" xfId="6501" xr:uid="{C287258B-88D1-48B1-A2B6-823CE76B8BE5}"/>
    <cellStyle name="Normal 2 6 2 38 2 2" xfId="6502" xr:uid="{95C9D074-433F-48BB-8BEB-13B35EA7A377}"/>
    <cellStyle name="Normal 2 6 2 38 2 2 2" xfId="15330" xr:uid="{128B4F2A-8301-45ED-A5DA-350360FC7244}"/>
    <cellStyle name="Normal 2 6 2 38 2 3" xfId="6503" xr:uid="{5E08B944-C4D8-4CAF-8574-7E993E3A4636}"/>
    <cellStyle name="Normal 2 6 2 38 2 3 2" xfId="15331" xr:uid="{76BDC035-A519-462C-8428-443546109EBA}"/>
    <cellStyle name="Normal 2 6 2 38 2 4" xfId="15329" xr:uid="{BBC64724-6FF0-46A2-8537-72D7F5CFC971}"/>
    <cellStyle name="Normal 2 6 2 38 3" xfId="6504" xr:uid="{3F73B118-60AF-4833-B4F4-8BF7CB704E74}"/>
    <cellStyle name="Normal 2 6 2 38 3 2" xfId="15332" xr:uid="{96F09338-D904-41E2-A16C-7E891BAE867B}"/>
    <cellStyle name="Normal 2 6 2 38 4" xfId="6505" xr:uid="{7E8DE018-989F-4FC7-8D92-2402AC0D3020}"/>
    <cellStyle name="Normal 2 6 2 38 4 2" xfId="15333" xr:uid="{323EBBDE-82EE-4B11-BED8-4868E4D884F2}"/>
    <cellStyle name="Normal 2 6 2 38 5" xfId="15328" xr:uid="{722B9A56-C068-49D5-B6A3-BE3D08ABB85C}"/>
    <cellStyle name="Normal 2 6 2 39" xfId="6506" xr:uid="{093FDBDD-8753-4712-B890-50ABFD92042A}"/>
    <cellStyle name="Normal 2 6 2 39 2" xfId="6507" xr:uid="{3710FD94-9963-4F3F-B853-D2393C6CF9CE}"/>
    <cellStyle name="Normal 2 6 2 39 2 2" xfId="6508" xr:uid="{5213BDE0-F5FF-4724-B3BA-ACD1933AA075}"/>
    <cellStyle name="Normal 2 6 2 39 2 2 2" xfId="15336" xr:uid="{5B187ECC-73C2-463E-9617-CA457A356B28}"/>
    <cellStyle name="Normal 2 6 2 39 2 3" xfId="6509" xr:uid="{8F968FD2-52A8-4D05-8009-2C0BDDF35814}"/>
    <cellStyle name="Normal 2 6 2 39 2 3 2" xfId="15337" xr:uid="{9A021849-3B34-40D5-8F30-FF4891EA998D}"/>
    <cellStyle name="Normal 2 6 2 39 2 4" xfId="15335" xr:uid="{BC9923E9-BB74-4B3A-8B84-5D368628D199}"/>
    <cellStyle name="Normal 2 6 2 39 3" xfId="6510" xr:uid="{DC00FFFE-8EC8-42F3-B7E7-932CAA029707}"/>
    <cellStyle name="Normal 2 6 2 39 3 2" xfId="15338" xr:uid="{8BA88EFA-CCF4-4333-8EBF-9B30FD450EDF}"/>
    <cellStyle name="Normal 2 6 2 39 4" xfId="6511" xr:uid="{48A7AC58-B58F-4AE7-8186-471A85218A2F}"/>
    <cellStyle name="Normal 2 6 2 39 4 2" xfId="15339" xr:uid="{3820256C-754C-40B0-AB20-1CBD55970D00}"/>
    <cellStyle name="Normal 2 6 2 39 5" xfId="15334" xr:uid="{5C98CD0F-12B0-497A-A340-5F22C5AAEF28}"/>
    <cellStyle name="Normal 2 6 2 4" xfId="6512" xr:uid="{DB1C4619-A4C3-431C-B0D9-F2B7C5D07402}"/>
    <cellStyle name="Normal 2 6 2 4 2" xfId="6513" xr:uid="{8EEE7975-AB04-4F66-AC86-F27D44669941}"/>
    <cellStyle name="Normal 2 6 2 4 2 2" xfId="6514" xr:uid="{00E1FB8A-EE62-4E77-8478-DA560BCC3D85}"/>
    <cellStyle name="Normal 2 6 2 4 2 2 2" xfId="15342" xr:uid="{740BD5D5-5B76-4A81-8874-561925ED3E05}"/>
    <cellStyle name="Normal 2 6 2 4 2 3" xfId="6515" xr:uid="{0AFE0FB3-CA70-4878-AC18-056E3EF2227A}"/>
    <cellStyle name="Normal 2 6 2 4 2 3 2" xfId="15343" xr:uid="{EECE5487-DBF7-49C2-A7CD-246FA8864C5A}"/>
    <cellStyle name="Normal 2 6 2 4 2 4" xfId="15341" xr:uid="{44A75777-E0BA-4BF2-BE5C-D160B3F18A51}"/>
    <cellStyle name="Normal 2 6 2 4 3" xfId="6516" xr:uid="{8534BDB6-DA3F-4382-BE4A-F085436DDFCF}"/>
    <cellStyle name="Normal 2 6 2 4 3 2" xfId="15344" xr:uid="{B970449A-0784-4BB8-AEDA-F267FEB8A02A}"/>
    <cellStyle name="Normal 2 6 2 4 4" xfId="6517" xr:uid="{C1DF64D5-8B99-4755-AE01-74FCE6F6B8FB}"/>
    <cellStyle name="Normal 2 6 2 4 4 2" xfId="15345" xr:uid="{D35705AD-80C5-45D4-A672-CFC39B44E1BD}"/>
    <cellStyle name="Normal 2 6 2 4 5" xfId="15340" xr:uid="{8F4B07BF-1F6B-430C-80C7-CFEF9705896A}"/>
    <cellStyle name="Normal 2 6 2 40" xfId="6518" xr:uid="{81A0A0C3-1A25-4A8B-A44E-24E3EEC5C47A}"/>
    <cellStyle name="Normal 2 6 2 40 2" xfId="6519" xr:uid="{55847A27-1343-4D92-ADE2-82B711D2037C}"/>
    <cellStyle name="Normal 2 6 2 40 2 2" xfId="6520" xr:uid="{28187F4D-A42B-4963-8A7D-A801E17ED6B7}"/>
    <cellStyle name="Normal 2 6 2 40 2 2 2" xfId="15348" xr:uid="{B12F9937-DF07-416F-BEFB-114E5E5CB990}"/>
    <cellStyle name="Normal 2 6 2 40 2 3" xfId="6521" xr:uid="{6B3F3B31-2611-4B16-9C49-14D973A81E43}"/>
    <cellStyle name="Normal 2 6 2 40 2 3 2" xfId="15349" xr:uid="{94851334-F83A-4F10-BBDF-86A21360DF47}"/>
    <cellStyle name="Normal 2 6 2 40 2 4" xfId="15347" xr:uid="{B8D2E086-5823-4653-A273-AABAF4BCAAFA}"/>
    <cellStyle name="Normal 2 6 2 40 3" xfId="6522" xr:uid="{F6A8152F-E8AF-4137-B851-153BDCC31DA4}"/>
    <cellStyle name="Normal 2 6 2 40 3 2" xfId="15350" xr:uid="{1DEFD0F8-96EC-4B06-8CB4-06FDCF7528D7}"/>
    <cellStyle name="Normal 2 6 2 40 4" xfId="6523" xr:uid="{E0D6F86B-8595-42A2-886F-8754A68D5A64}"/>
    <cellStyle name="Normal 2 6 2 40 4 2" xfId="15351" xr:uid="{5F133ACB-EED8-4630-94E3-36CCD65BEFF7}"/>
    <cellStyle name="Normal 2 6 2 40 5" xfId="15346" xr:uid="{05464243-BF00-4A89-A3B0-752D0C6C600D}"/>
    <cellStyle name="Normal 2 6 2 41" xfId="6524" xr:uid="{6BE17C5C-864F-4D90-A01F-E43477961D40}"/>
    <cellStyle name="Normal 2 6 2 41 2" xfId="6525" xr:uid="{20B0D2FF-6A53-4311-98AD-4CAD5B9C45D3}"/>
    <cellStyle name="Normal 2 6 2 41 2 2" xfId="6526" xr:uid="{568D2633-B0AA-4889-A312-C19E22EEECD9}"/>
    <cellStyle name="Normal 2 6 2 41 2 2 2" xfId="15354" xr:uid="{55985C2D-65E2-463D-B77D-6B3CC06BA660}"/>
    <cellStyle name="Normal 2 6 2 41 2 3" xfId="6527" xr:uid="{A6CB84E7-90F2-4C2B-97E4-220F9C7C7845}"/>
    <cellStyle name="Normal 2 6 2 41 2 3 2" xfId="15355" xr:uid="{3A8B036B-4478-4F5A-9F87-B9EA10D8D1C7}"/>
    <cellStyle name="Normal 2 6 2 41 2 4" xfId="15353" xr:uid="{D07B5364-A9EC-4986-B4FA-96F1B00BE368}"/>
    <cellStyle name="Normal 2 6 2 41 3" xfId="6528" xr:uid="{69FE7B5D-EA28-4DAE-9D31-2854BBD15E06}"/>
    <cellStyle name="Normal 2 6 2 41 3 2" xfId="15356" xr:uid="{CDAE04D6-3F6F-4240-BBBD-E2504137B873}"/>
    <cellStyle name="Normal 2 6 2 41 4" xfId="6529" xr:uid="{7C516474-4406-45D2-BF71-D1BA6759E12B}"/>
    <cellStyle name="Normal 2 6 2 41 4 2" xfId="15357" xr:uid="{7021048A-602F-4B8D-A7A5-2292BBBFDBD0}"/>
    <cellStyle name="Normal 2 6 2 41 5" xfId="15352" xr:uid="{CD8E2DCE-05F2-4FBD-902F-DB427693E749}"/>
    <cellStyle name="Normal 2 6 2 42" xfId="6530" xr:uid="{D3C99BD5-377D-4930-92DC-424BD0A405D8}"/>
    <cellStyle name="Normal 2 6 2 42 2" xfId="6531" xr:uid="{34886493-CB58-4AA5-8485-D5CA4376DD9C}"/>
    <cellStyle name="Normal 2 6 2 42 2 2" xfId="6532" xr:uid="{0D994C9F-7259-4BB7-92BE-4A9ECC5312F1}"/>
    <cellStyle name="Normal 2 6 2 42 2 2 2" xfId="15360" xr:uid="{842388B0-3E0F-49FC-951A-72B3A803E677}"/>
    <cellStyle name="Normal 2 6 2 42 2 3" xfId="6533" xr:uid="{7B362CE3-9170-481F-A612-367C07B6C454}"/>
    <cellStyle name="Normal 2 6 2 42 2 3 2" xfId="15361" xr:uid="{BA7519B1-FF65-4249-980C-4194EBCD6D12}"/>
    <cellStyle name="Normal 2 6 2 42 2 4" xfId="15359" xr:uid="{362163AC-8CC9-40B4-98AD-857C5F230960}"/>
    <cellStyle name="Normal 2 6 2 42 3" xfId="6534" xr:uid="{E0106255-A692-4B65-A726-0BA5347A510D}"/>
    <cellStyle name="Normal 2 6 2 42 3 2" xfId="15362" xr:uid="{61CEF30B-ECEB-49F1-B86D-2773A88F1480}"/>
    <cellStyle name="Normal 2 6 2 42 4" xfId="6535" xr:uid="{D390F042-9C9A-40BD-A675-94AE2EFA062A}"/>
    <cellStyle name="Normal 2 6 2 42 4 2" xfId="15363" xr:uid="{3D2D55A1-AB07-49CE-81AE-6BF71ABE32EB}"/>
    <cellStyle name="Normal 2 6 2 42 5" xfId="15358" xr:uid="{4D249015-FC86-4E6E-835F-834FD0743F6E}"/>
    <cellStyle name="Normal 2 6 2 43" xfId="6536" xr:uid="{41DFAA28-9F49-4E2C-89BC-26374FA0EE22}"/>
    <cellStyle name="Normal 2 6 2 43 2" xfId="6537" xr:uid="{4AD9DAFF-A732-4D1F-9C7D-983230EE52A3}"/>
    <cellStyle name="Normal 2 6 2 43 2 2" xfId="6538" xr:uid="{27329EE6-C0AC-4578-9A80-DF4AD96C785A}"/>
    <cellStyle name="Normal 2 6 2 43 2 2 2" xfId="15366" xr:uid="{1A9886AA-94B7-4B50-B784-850C3B3DDBB4}"/>
    <cellStyle name="Normal 2 6 2 43 2 3" xfId="6539" xr:uid="{F220565C-D6AA-47C5-AF9A-947BC0705457}"/>
    <cellStyle name="Normal 2 6 2 43 2 3 2" xfId="15367" xr:uid="{EFB86AED-4E39-4E70-A0A9-56E9E259977E}"/>
    <cellStyle name="Normal 2 6 2 43 2 4" xfId="15365" xr:uid="{CD42E377-42DB-4D08-ACE5-F4209CE7F09E}"/>
    <cellStyle name="Normal 2 6 2 43 3" xfId="6540" xr:uid="{F135B919-35AE-48CE-A463-5A63D0AB2352}"/>
    <cellStyle name="Normal 2 6 2 43 3 2" xfId="15368" xr:uid="{3C7F7E4A-CA92-412C-A85D-B6841BE9FF46}"/>
    <cellStyle name="Normal 2 6 2 43 4" xfId="6541" xr:uid="{5AB1FA5F-D378-40EB-B801-413ABF3004FD}"/>
    <cellStyle name="Normal 2 6 2 43 4 2" xfId="15369" xr:uid="{41C59C5B-E49E-4FF1-AFF9-DDDEB2262D29}"/>
    <cellStyle name="Normal 2 6 2 43 5" xfId="15364" xr:uid="{C54F090F-0EA7-4B93-8989-346A1187C1AE}"/>
    <cellStyle name="Normal 2 6 2 44" xfId="6542" xr:uid="{14A6D39E-A11D-4E83-82C9-E5B329E174D1}"/>
    <cellStyle name="Normal 2 6 2 44 2" xfId="6543" xr:uid="{53F54D86-678C-4C23-AADE-E565D1BEBAB2}"/>
    <cellStyle name="Normal 2 6 2 44 2 2" xfId="15371" xr:uid="{C21EA80F-9FA8-4367-B112-2CBBE95944B3}"/>
    <cellStyle name="Normal 2 6 2 44 3" xfId="6544" xr:uid="{EFB11449-34E7-4302-8E63-E59C38C1098F}"/>
    <cellStyle name="Normal 2 6 2 44 3 2" xfId="15372" xr:uid="{0A3AEAEE-0B3E-42DE-8580-6328B8A70E1D}"/>
    <cellStyle name="Normal 2 6 2 44 4" xfId="15370" xr:uid="{CFA3F818-6DF7-4D09-B520-C964F91965C7}"/>
    <cellStyle name="Normal 2 6 2 45" xfId="6545" xr:uid="{FBE9A019-79A2-419E-8079-67F326980E79}"/>
    <cellStyle name="Normal 2 6 2 45 2" xfId="15373" xr:uid="{5DF12EBD-F69A-44B6-82E0-2EE471D1FD15}"/>
    <cellStyle name="Normal 2 6 2 46" xfId="6546" xr:uid="{3C2DA0F3-9E24-4052-8114-4BFBAF74296C}"/>
    <cellStyle name="Normal 2 6 2 46 2" xfId="15374" xr:uid="{D62517B3-2889-46B4-90F1-35EAFD15A321}"/>
    <cellStyle name="Normal 2 6 2 47" xfId="15147" xr:uid="{252FBB1B-3A57-4026-B2BE-2218B508B689}"/>
    <cellStyle name="Normal 2 6 2 5" xfId="6547" xr:uid="{DBF1E41E-51F9-4553-8738-8319831A9D42}"/>
    <cellStyle name="Normal 2 6 2 5 2" xfId="6548" xr:uid="{B84C076B-B722-461F-A86B-4064D6118E8C}"/>
    <cellStyle name="Normal 2 6 2 5 2 2" xfId="6549" xr:uid="{5F5B961D-2B93-42AC-A0B1-7D5064D28835}"/>
    <cellStyle name="Normal 2 6 2 5 2 2 2" xfId="15377" xr:uid="{2D29C833-6D45-4E95-BCF5-851181667A06}"/>
    <cellStyle name="Normal 2 6 2 5 2 3" xfId="6550" xr:uid="{56707840-218F-4896-B139-DCBDA2760780}"/>
    <cellStyle name="Normal 2 6 2 5 2 3 2" xfId="15378" xr:uid="{0EF7347F-42AD-492F-B5F4-FB8FEC85434A}"/>
    <cellStyle name="Normal 2 6 2 5 2 4" xfId="15376" xr:uid="{99F4386C-E932-4151-8457-E4A11FAC13BC}"/>
    <cellStyle name="Normal 2 6 2 5 3" xfId="6551" xr:uid="{314C37C8-2EFE-4022-8076-3CECBE66CD43}"/>
    <cellStyle name="Normal 2 6 2 5 3 2" xfId="15379" xr:uid="{06C28E2A-2128-4E68-A38D-51F3EA7A4A59}"/>
    <cellStyle name="Normal 2 6 2 5 4" xfId="6552" xr:uid="{BE8751D6-466C-4B63-8C88-1C8A3BF67EC3}"/>
    <cellStyle name="Normal 2 6 2 5 4 2" xfId="15380" xr:uid="{C85F98F2-3959-444C-9A26-AA01E5DF4C26}"/>
    <cellStyle name="Normal 2 6 2 5 5" xfId="15375" xr:uid="{A4200716-91B3-4607-83B4-8A5DA9835DAD}"/>
    <cellStyle name="Normal 2 6 2 6" xfId="6553" xr:uid="{184D6098-5E4D-4FB7-8C76-1078A1AB97E4}"/>
    <cellStyle name="Normal 2 6 2 6 2" xfId="6554" xr:uid="{B1F1CAA8-9116-4356-840D-B4DF68030A71}"/>
    <cellStyle name="Normal 2 6 2 6 2 2" xfId="6555" xr:uid="{58131D44-B779-49E8-B090-58C3C6BFEEC5}"/>
    <cellStyle name="Normal 2 6 2 6 2 2 2" xfId="15383" xr:uid="{8FBF71E1-6F8B-4FBD-9A73-DC8A2F203CFB}"/>
    <cellStyle name="Normal 2 6 2 6 2 3" xfId="6556" xr:uid="{0D872F6D-A6B9-4E2A-86E7-F38528A2AE81}"/>
    <cellStyle name="Normal 2 6 2 6 2 3 2" xfId="15384" xr:uid="{169B38D1-7A85-4135-85A8-3EB655736B35}"/>
    <cellStyle name="Normal 2 6 2 6 2 4" xfId="15382" xr:uid="{E2A2456E-BDA3-411E-A2BC-BAE41CDD2091}"/>
    <cellStyle name="Normal 2 6 2 6 3" xfId="6557" xr:uid="{8EA72E15-A3A7-4A44-84D9-4B1B9009D7E4}"/>
    <cellStyle name="Normal 2 6 2 6 3 2" xfId="15385" xr:uid="{FC735C34-9425-4E2B-A034-11CEC4D8B8EB}"/>
    <cellStyle name="Normal 2 6 2 6 4" xfId="6558" xr:uid="{E9D61D3A-D455-4F66-BF46-5925621239B8}"/>
    <cellStyle name="Normal 2 6 2 6 4 2" xfId="15386" xr:uid="{B7172D2C-4D11-4FC4-98D0-A73DF88CB99A}"/>
    <cellStyle name="Normal 2 6 2 6 5" xfId="15381" xr:uid="{E5A5FBDF-6D60-4BE6-B3BD-2DE7BD898909}"/>
    <cellStyle name="Normal 2 6 2 7" xfId="6559" xr:uid="{A540A82D-53E3-4F47-8708-34160BACF6C9}"/>
    <cellStyle name="Normal 2 6 2 7 2" xfId="6560" xr:uid="{B7572B5B-34D0-4D04-AF6B-FC3CA6E0C076}"/>
    <cellStyle name="Normal 2 6 2 7 2 2" xfId="6561" xr:uid="{A0835A66-490F-409F-85FF-0329B7CC4C45}"/>
    <cellStyle name="Normal 2 6 2 7 2 2 2" xfId="15389" xr:uid="{F4F1FF08-F416-4EB0-B734-56AC49328B9D}"/>
    <cellStyle name="Normal 2 6 2 7 2 3" xfId="6562" xr:uid="{6379954B-F7D4-4978-AEA9-A7229333AEAB}"/>
    <cellStyle name="Normal 2 6 2 7 2 3 2" xfId="15390" xr:uid="{48C34E67-CD80-4DE8-AA5E-679ED021AE9A}"/>
    <cellStyle name="Normal 2 6 2 7 2 4" xfId="15388" xr:uid="{5EB74B51-8B1B-4112-B132-F0C9FEF6AB76}"/>
    <cellStyle name="Normal 2 6 2 7 3" xfId="6563" xr:uid="{804B47AB-AF5C-4EF2-8BDD-AF759CEF3FF1}"/>
    <cellStyle name="Normal 2 6 2 7 3 2" xfId="15391" xr:uid="{59733978-86BE-47FA-9D93-1FBAA7FE4B11}"/>
    <cellStyle name="Normal 2 6 2 7 4" xfId="6564" xr:uid="{0E06DA44-2045-40EE-80DE-EA1A0FB103BB}"/>
    <cellStyle name="Normal 2 6 2 7 4 2" xfId="15392" xr:uid="{BF1CC2F4-514D-4A3F-B00E-3A350EBF4B04}"/>
    <cellStyle name="Normal 2 6 2 7 5" xfId="15387" xr:uid="{111DA812-47AB-41AF-B814-E44EBE66B5FE}"/>
    <cellStyle name="Normal 2 6 2 8" xfId="6565" xr:uid="{2A429647-8A02-468F-8602-810C2A0DD6F5}"/>
    <cellStyle name="Normal 2 6 2 8 2" xfId="6566" xr:uid="{A4F71C62-4562-4A16-A911-FA9BE059F28E}"/>
    <cellStyle name="Normal 2 6 2 8 2 2" xfId="6567" xr:uid="{6A90657B-F77E-406E-B94D-853D9C393F79}"/>
    <cellStyle name="Normal 2 6 2 8 2 2 2" xfId="15395" xr:uid="{387D4C6A-9CB3-4B21-BB64-375EE5287506}"/>
    <cellStyle name="Normal 2 6 2 8 2 3" xfId="6568" xr:uid="{409915FD-4B04-4460-A509-9CD489D778AF}"/>
    <cellStyle name="Normal 2 6 2 8 2 3 2" xfId="15396" xr:uid="{C96C1DD0-6913-4DCC-9E53-25FD69FBE1F4}"/>
    <cellStyle name="Normal 2 6 2 8 2 4" xfId="15394" xr:uid="{F4E73F73-38F1-466D-BDC7-3BF2BF60590E}"/>
    <cellStyle name="Normal 2 6 2 8 3" xfId="6569" xr:uid="{C34689A1-93F5-4496-9400-256531A35CC7}"/>
    <cellStyle name="Normal 2 6 2 8 3 2" xfId="15397" xr:uid="{AAC0B385-B90C-4546-8974-05AED1A47232}"/>
    <cellStyle name="Normal 2 6 2 8 4" xfId="6570" xr:uid="{394C293E-FF64-44B8-9E8F-35DA7A6FFCEE}"/>
    <cellStyle name="Normal 2 6 2 8 4 2" xfId="15398" xr:uid="{3DDED9D8-EEBA-4373-B864-123B90B83739}"/>
    <cellStyle name="Normal 2 6 2 8 5" xfId="15393" xr:uid="{94CD854B-74E8-4F4D-A2C2-FFC08F65091A}"/>
    <cellStyle name="Normal 2 6 2 9" xfId="6571" xr:uid="{2BE6BB54-A667-4431-8A9D-334D4A4929F2}"/>
    <cellStyle name="Normal 2 6 2 9 2" xfId="6572" xr:uid="{5F333895-6EF8-4648-9AA8-532076EAD4A9}"/>
    <cellStyle name="Normal 2 6 2 9 2 2" xfId="6573" xr:uid="{5A2A8839-56BA-4AC4-8FB0-656B51E61AE8}"/>
    <cellStyle name="Normal 2 6 2 9 2 2 2" xfId="15401" xr:uid="{0039F05B-4EEC-49D3-BEF6-89E8EAEEB54C}"/>
    <cellStyle name="Normal 2 6 2 9 2 3" xfId="6574" xr:uid="{8B60F973-5E25-4C54-9375-E71DBFB459F8}"/>
    <cellStyle name="Normal 2 6 2 9 2 3 2" xfId="15402" xr:uid="{EF2EC914-E94A-4473-A71D-83E71346BCB4}"/>
    <cellStyle name="Normal 2 6 2 9 2 4" xfId="15400" xr:uid="{2460580A-78E8-4015-BFCE-D5D10FB50654}"/>
    <cellStyle name="Normal 2 6 2 9 3" xfId="6575" xr:uid="{5CD5B38D-949C-4633-AE3D-AA13D3D32CF2}"/>
    <cellStyle name="Normal 2 6 2 9 3 2" xfId="15403" xr:uid="{D145FDF4-B4AF-4728-8B10-888684136B3F}"/>
    <cellStyle name="Normal 2 6 2 9 4" xfId="6576" xr:uid="{9D1D54DE-46DF-40CF-803B-9C45E0E138EA}"/>
    <cellStyle name="Normal 2 6 2 9 4 2" xfId="15404" xr:uid="{5D1C8AF6-0A15-4672-815F-ED57CE5AC805}"/>
    <cellStyle name="Normal 2 6 2 9 5" xfId="15399" xr:uid="{CB9D9728-0E5C-44E9-B8E9-E4F0E4842053}"/>
    <cellStyle name="Normal 2 6 20" xfId="6577" xr:uid="{DFBB291E-8C33-46E1-9D76-C9ECCD851B2D}"/>
    <cellStyle name="Normal 2 6 20 2" xfId="6578" xr:uid="{76EECECB-F37A-4C8E-98B1-B343C8D54B17}"/>
    <cellStyle name="Normal 2 6 20 2 2" xfId="6579" xr:uid="{3FB8A7F5-50DD-49AD-95E4-FAD045B30435}"/>
    <cellStyle name="Normal 2 6 20 2 2 2" xfId="15407" xr:uid="{98EB7394-1E88-4276-A154-3FA9AB6AFDA1}"/>
    <cellStyle name="Normal 2 6 20 2 3" xfId="6580" xr:uid="{C8739BC4-F2A5-4C66-B924-06151AB66B39}"/>
    <cellStyle name="Normal 2 6 20 2 3 2" xfId="15408" xr:uid="{5F09D0DB-DBEE-487C-B0A6-FEA6A9A87C9B}"/>
    <cellStyle name="Normal 2 6 20 2 4" xfId="15406" xr:uid="{7BA269C1-E772-4524-8C25-3E216905517F}"/>
    <cellStyle name="Normal 2 6 20 3" xfId="6581" xr:uid="{C60366E1-E899-49C9-8FDD-CD50D5359666}"/>
    <cellStyle name="Normal 2 6 20 3 2" xfId="15409" xr:uid="{B7CAB879-5931-432D-AEC6-99C4D7CEF219}"/>
    <cellStyle name="Normal 2 6 20 4" xfId="6582" xr:uid="{8CC88D94-E17A-4207-B486-3CE15A987FAC}"/>
    <cellStyle name="Normal 2 6 20 4 2" xfId="15410" xr:uid="{D8636F39-F53F-433F-A245-65D56C82DC49}"/>
    <cellStyle name="Normal 2 6 20 5" xfId="15405" xr:uid="{2711E86E-A0AB-4484-A9F7-7D0946B31511}"/>
    <cellStyle name="Normal 2 6 21" xfId="6583" xr:uid="{93FA0D8C-162C-4B35-8210-E8CDB549EC78}"/>
    <cellStyle name="Normal 2 6 21 2" xfId="6584" xr:uid="{7588E3E0-1365-42B3-B2D7-C24BBEDC2C76}"/>
    <cellStyle name="Normal 2 6 21 2 2" xfId="6585" xr:uid="{05BD313A-3920-47B1-B76E-17985FCF4C7F}"/>
    <cellStyle name="Normal 2 6 21 2 2 2" xfId="15413" xr:uid="{D1F87DCF-988B-4A41-A24D-500A48A6FAA1}"/>
    <cellStyle name="Normal 2 6 21 2 3" xfId="6586" xr:uid="{CE077E11-9B25-4A69-8A83-240DF27806C0}"/>
    <cellStyle name="Normal 2 6 21 2 3 2" xfId="15414" xr:uid="{E4469813-30E5-4018-B5A8-8518F55EBE3F}"/>
    <cellStyle name="Normal 2 6 21 2 4" xfId="15412" xr:uid="{FFFD4502-39B4-4EA5-A948-26C9B2BF50F9}"/>
    <cellStyle name="Normal 2 6 21 3" xfId="6587" xr:uid="{4F38B21A-3548-4CBA-A6D1-3AE1EC4249DE}"/>
    <cellStyle name="Normal 2 6 21 3 2" xfId="15415" xr:uid="{82F754E9-DCEE-4B08-AE00-41A429A5506C}"/>
    <cellStyle name="Normal 2 6 21 4" xfId="6588" xr:uid="{C6B6BE0C-E1AA-45C6-8966-3B5786C619B1}"/>
    <cellStyle name="Normal 2 6 21 4 2" xfId="15416" xr:uid="{BD60C850-808F-48AE-9F49-CAFA2B2096D1}"/>
    <cellStyle name="Normal 2 6 21 5" xfId="15411" xr:uid="{5672143F-436B-44A7-A282-02BB0C91E030}"/>
    <cellStyle name="Normal 2 6 22" xfId="6589" xr:uid="{8B14B6A9-7554-46C1-A019-12B57595AB43}"/>
    <cellStyle name="Normal 2 6 22 2" xfId="6590" xr:uid="{641DF00D-D6DD-4415-BBC5-DC1FE61913FF}"/>
    <cellStyle name="Normal 2 6 22 2 2" xfId="6591" xr:uid="{E35703EE-7D1E-4E4F-97FB-96C92DF7916F}"/>
    <cellStyle name="Normal 2 6 22 2 2 2" xfId="15419" xr:uid="{2CCE797E-7C7A-4B5A-905F-95611344A1F4}"/>
    <cellStyle name="Normal 2 6 22 2 3" xfId="6592" xr:uid="{28F49EC8-F0BB-4CA4-96EA-8EABB4CAF392}"/>
    <cellStyle name="Normal 2 6 22 2 3 2" xfId="15420" xr:uid="{0FF04BCF-C080-4B20-8E10-4354297CAB5C}"/>
    <cellStyle name="Normal 2 6 22 2 4" xfId="15418" xr:uid="{6EAA25A7-A353-4B3F-A920-5BE7FDA49E85}"/>
    <cellStyle name="Normal 2 6 22 3" xfId="6593" xr:uid="{69BD5C26-7566-4862-8E75-D00C420ADCD1}"/>
    <cellStyle name="Normal 2 6 22 3 2" xfId="15421" xr:uid="{1F9E292D-CB59-451F-A596-F5EC17674423}"/>
    <cellStyle name="Normal 2 6 22 4" xfId="6594" xr:uid="{314E2363-C375-431E-98FC-44B305DA5844}"/>
    <cellStyle name="Normal 2 6 22 4 2" xfId="15422" xr:uid="{2A24C918-83ED-463C-98D0-42FE1B9FEEFF}"/>
    <cellStyle name="Normal 2 6 22 5" xfId="15417" xr:uid="{AC864622-A851-424A-814F-B89CE25BFE1D}"/>
    <cellStyle name="Normal 2 6 23" xfId="6595" xr:uid="{89366FAB-B0D9-49DE-8FE4-69A6829DFCD9}"/>
    <cellStyle name="Normal 2 6 23 2" xfId="6596" xr:uid="{8FCF8B2B-3B84-42E6-8305-F82674A08EB6}"/>
    <cellStyle name="Normal 2 6 23 2 2" xfId="6597" xr:uid="{83EF2590-394F-45B1-8F97-1702F9F343A1}"/>
    <cellStyle name="Normal 2 6 23 2 2 2" xfId="15425" xr:uid="{805B4280-5FA3-4030-9F66-BA2BC7397914}"/>
    <cellStyle name="Normal 2 6 23 2 3" xfId="6598" xr:uid="{1661D862-3417-4F07-A8C2-50F86DA7C251}"/>
    <cellStyle name="Normal 2 6 23 2 3 2" xfId="15426" xr:uid="{72D1EDB5-C96E-4592-80A5-B13A45864B99}"/>
    <cellStyle name="Normal 2 6 23 2 4" xfId="15424" xr:uid="{517998C8-C89D-4370-B525-647964C6DDE9}"/>
    <cellStyle name="Normal 2 6 23 3" xfId="6599" xr:uid="{BB5618FE-A800-423D-B343-E5EB66E48906}"/>
    <cellStyle name="Normal 2 6 23 3 2" xfId="15427" xr:uid="{44193A68-55CA-4A4F-AB05-67021F5E4685}"/>
    <cellStyle name="Normal 2 6 23 4" xfId="6600" xr:uid="{3785177F-9558-4704-B93A-950D5BD101C0}"/>
    <cellStyle name="Normal 2 6 23 4 2" xfId="15428" xr:uid="{CF8E5FB3-D251-4250-885B-CCDA572DDCD5}"/>
    <cellStyle name="Normal 2 6 23 5" xfId="15423" xr:uid="{7C60F09C-7945-472C-9212-A72439B46122}"/>
    <cellStyle name="Normal 2 6 24" xfId="6601" xr:uid="{8CF6A74D-E983-48A6-9685-DE2A5B133745}"/>
    <cellStyle name="Normal 2 6 24 2" xfId="6602" xr:uid="{E8A74488-643F-4FAD-A29A-98385417E88C}"/>
    <cellStyle name="Normal 2 6 24 2 2" xfId="6603" xr:uid="{367988C1-2AE7-474A-8E2C-D9006521C38E}"/>
    <cellStyle name="Normal 2 6 24 2 2 2" xfId="15431" xr:uid="{224F0320-04F9-4CEC-A519-F4C4C894C442}"/>
    <cellStyle name="Normal 2 6 24 2 3" xfId="6604" xr:uid="{E6605107-DA47-4420-8DC7-3FB83812361A}"/>
    <cellStyle name="Normal 2 6 24 2 3 2" xfId="15432" xr:uid="{6775C02E-35CB-49F8-9A32-4F21C298A290}"/>
    <cellStyle name="Normal 2 6 24 2 4" xfId="15430" xr:uid="{76C05E9C-5433-479A-9661-4FD63373A068}"/>
    <cellStyle name="Normal 2 6 24 3" xfId="6605" xr:uid="{8B854CB2-8D1A-4141-975B-C33EAE4995C3}"/>
    <cellStyle name="Normal 2 6 24 3 2" xfId="15433" xr:uid="{DAE82459-350C-46BD-B39A-B84730608F8D}"/>
    <cellStyle name="Normal 2 6 24 4" xfId="6606" xr:uid="{95AD23B5-BF43-4046-84FC-47EEEFC381EC}"/>
    <cellStyle name="Normal 2 6 24 4 2" xfId="15434" xr:uid="{E7390FE2-E37C-4CCA-823B-99ABCB572580}"/>
    <cellStyle name="Normal 2 6 24 5" xfId="15429" xr:uid="{4DCC1848-7D4B-42C5-BAB9-FF5B6001104C}"/>
    <cellStyle name="Normal 2 6 25" xfId="6607" xr:uid="{80CF6834-6394-4197-A4DA-4E090E1BF71B}"/>
    <cellStyle name="Normal 2 6 25 2" xfId="6608" xr:uid="{6C614BFB-C916-4191-B886-27B4188F12E4}"/>
    <cellStyle name="Normal 2 6 25 2 2" xfId="6609" xr:uid="{1C4510B0-6370-4DF8-95AA-887B17F11A54}"/>
    <cellStyle name="Normal 2 6 25 2 2 2" xfId="15437" xr:uid="{E4387DCC-C6F9-4DFA-BB2E-C7945714FE1D}"/>
    <cellStyle name="Normal 2 6 25 2 3" xfId="6610" xr:uid="{8FD33AD5-F185-4930-BC69-873A2ED8463B}"/>
    <cellStyle name="Normal 2 6 25 2 3 2" xfId="15438" xr:uid="{CC1496A8-0CAD-4655-9178-969CDA396A9E}"/>
    <cellStyle name="Normal 2 6 25 2 4" xfId="15436" xr:uid="{85091A0F-8329-4DDF-BD77-EE34828E91EA}"/>
    <cellStyle name="Normal 2 6 25 3" xfId="6611" xr:uid="{9A919191-6D04-4921-8CD5-22CAB5E19BE9}"/>
    <cellStyle name="Normal 2 6 25 3 2" xfId="15439" xr:uid="{E6246D70-4231-43C7-B424-841B2567C7EA}"/>
    <cellStyle name="Normal 2 6 25 4" xfId="6612" xr:uid="{BF3099E7-083C-45B0-B405-6E576BC96BD8}"/>
    <cellStyle name="Normal 2 6 25 4 2" xfId="15440" xr:uid="{A415D27C-BE77-408D-8E5F-79DFCE5A4F25}"/>
    <cellStyle name="Normal 2 6 25 5" xfId="15435" xr:uid="{4631A1F2-387D-48C0-9FA1-4B385A1ADC3C}"/>
    <cellStyle name="Normal 2 6 26" xfId="6613" xr:uid="{E1753508-C1DD-4F36-A8D0-76A32475C3FE}"/>
    <cellStyle name="Normal 2 6 26 2" xfId="6614" xr:uid="{5FA90C4D-56F7-4FC2-B616-756C881B072A}"/>
    <cellStyle name="Normal 2 6 26 2 2" xfId="6615" xr:uid="{08A02B3C-1369-4AB7-9721-C580037F216B}"/>
    <cellStyle name="Normal 2 6 26 2 2 2" xfId="15443" xr:uid="{080B51FE-A750-4585-85ED-31723F6019FA}"/>
    <cellStyle name="Normal 2 6 26 2 3" xfId="6616" xr:uid="{A75C0AED-53FA-4B55-8AD6-C4EBA122D3A7}"/>
    <cellStyle name="Normal 2 6 26 2 3 2" xfId="15444" xr:uid="{EFACBE5F-BD7A-47E7-B3D1-DC6AA49D4D24}"/>
    <cellStyle name="Normal 2 6 26 2 4" xfId="15442" xr:uid="{FE80C4FC-1342-4091-9E28-825C8D84E59B}"/>
    <cellStyle name="Normal 2 6 26 3" xfId="6617" xr:uid="{58B48DAF-2270-4F30-A10D-3AACF1F78BAB}"/>
    <cellStyle name="Normal 2 6 26 3 2" xfId="15445" xr:uid="{C84ABF57-900C-4CE3-8F9F-3100992F1117}"/>
    <cellStyle name="Normal 2 6 26 4" xfId="6618" xr:uid="{64338385-6821-4A24-8BE1-7FD406126300}"/>
    <cellStyle name="Normal 2 6 26 4 2" xfId="15446" xr:uid="{8BD3EE31-01A5-48BB-9DD7-7CBB46C0D4C1}"/>
    <cellStyle name="Normal 2 6 26 5" xfId="15441" xr:uid="{AA6291AF-1639-43C3-93C2-E0E523C7F515}"/>
    <cellStyle name="Normal 2 6 27" xfId="6619" xr:uid="{C9626E6A-277B-4401-9DD3-16AE9622EF84}"/>
    <cellStyle name="Normal 2 6 27 2" xfId="6620" xr:uid="{010B5D0E-CACF-4936-BBA7-BC0568120666}"/>
    <cellStyle name="Normal 2 6 27 2 2" xfId="6621" xr:uid="{DFE79683-3E68-4FE0-9F67-4596BB24FFCC}"/>
    <cellStyle name="Normal 2 6 27 2 2 2" xfId="15449" xr:uid="{74FF97A3-4596-43E3-9723-8712173CF29F}"/>
    <cellStyle name="Normal 2 6 27 2 3" xfId="6622" xr:uid="{F4B4CA60-C260-4146-8B34-380DD8EC7F18}"/>
    <cellStyle name="Normal 2 6 27 2 3 2" xfId="15450" xr:uid="{E86A3B16-887B-47C6-A2C5-0C7E41D73847}"/>
    <cellStyle name="Normal 2 6 27 2 4" xfId="15448" xr:uid="{AFBE9614-D25C-4001-B076-CAB022ABE114}"/>
    <cellStyle name="Normal 2 6 27 3" xfId="6623" xr:uid="{4F97467E-2108-4AE3-B831-1115C6C75C37}"/>
    <cellStyle name="Normal 2 6 27 3 2" xfId="15451" xr:uid="{84BB2B32-B02D-417C-A455-41FE17713A41}"/>
    <cellStyle name="Normal 2 6 27 4" xfId="6624" xr:uid="{4772F119-E286-4960-9742-4DF68ECD820C}"/>
    <cellStyle name="Normal 2 6 27 4 2" xfId="15452" xr:uid="{6BC6C65A-3D92-4F55-B7C6-2CBBB8853048}"/>
    <cellStyle name="Normal 2 6 27 5" xfId="15447" xr:uid="{FF472BB9-D2E5-4912-921A-13189E30F84F}"/>
    <cellStyle name="Normal 2 6 28" xfId="6625" xr:uid="{33A27BFA-D1AD-4839-A40D-B77ECFB8F759}"/>
    <cellStyle name="Normal 2 6 28 2" xfId="6626" xr:uid="{0DCABDAA-7FC4-49E7-92AA-7AD9A3604021}"/>
    <cellStyle name="Normal 2 6 28 2 2" xfId="6627" xr:uid="{8B731180-A11F-4F8F-90BD-2BCF20F352A4}"/>
    <cellStyle name="Normal 2 6 28 2 2 2" xfId="15455" xr:uid="{27CD2C17-97B8-44B3-B818-0A811FA88D60}"/>
    <cellStyle name="Normal 2 6 28 2 3" xfId="6628" xr:uid="{B632E00E-EE72-4D2D-B799-B4EA86558399}"/>
    <cellStyle name="Normal 2 6 28 2 3 2" xfId="15456" xr:uid="{B2316BDA-9C56-4848-8EBC-93BDF8E54CCC}"/>
    <cellStyle name="Normal 2 6 28 2 4" xfId="15454" xr:uid="{69E43AA4-9AA1-42E6-94A5-6156007F0EDF}"/>
    <cellStyle name="Normal 2 6 28 3" xfId="6629" xr:uid="{D5109B5D-0388-42DE-AD47-916CC8D177B6}"/>
    <cellStyle name="Normal 2 6 28 3 2" xfId="15457" xr:uid="{CAFD2871-6F50-4671-8F94-486B1EBC92BD}"/>
    <cellStyle name="Normal 2 6 28 4" xfId="6630" xr:uid="{34B5F9DF-5E9D-4891-BDE0-54367BA8342E}"/>
    <cellStyle name="Normal 2 6 28 4 2" xfId="15458" xr:uid="{298DEEA4-6C99-47CD-BABF-D54BAF11B1C3}"/>
    <cellStyle name="Normal 2 6 28 5" xfId="15453" xr:uid="{6D91441C-E17D-495C-A0FD-975F3A877AE0}"/>
    <cellStyle name="Normal 2 6 29" xfId="6631" xr:uid="{5827A476-78EB-4C70-911D-BA326F76C5D2}"/>
    <cellStyle name="Normal 2 6 29 2" xfId="6632" xr:uid="{57A7BD1B-43D5-4767-A249-A758B8FC4854}"/>
    <cellStyle name="Normal 2 6 29 2 2" xfId="6633" xr:uid="{C11E9AB4-D7A8-402D-9E48-5E450F8F8A57}"/>
    <cellStyle name="Normal 2 6 29 2 2 2" xfId="15461" xr:uid="{AE5B8665-3EFD-42BA-9605-6F626DA08BFF}"/>
    <cellStyle name="Normal 2 6 29 2 3" xfId="6634" xr:uid="{2F7AF6DF-848A-4A0D-9A0B-58B33435ABBB}"/>
    <cellStyle name="Normal 2 6 29 2 3 2" xfId="15462" xr:uid="{8D729058-E7A0-47FF-BB93-2BB207CD6E36}"/>
    <cellStyle name="Normal 2 6 29 2 4" xfId="15460" xr:uid="{5D9FD68F-7FF6-453E-9DFB-F8083D2DF976}"/>
    <cellStyle name="Normal 2 6 29 3" xfId="6635" xr:uid="{C13BF4B9-46C1-4D0A-A34A-E310DA0C53C5}"/>
    <cellStyle name="Normal 2 6 29 3 2" xfId="15463" xr:uid="{E08F9990-B191-4F62-AF3A-61A48F66A1BE}"/>
    <cellStyle name="Normal 2 6 29 4" xfId="6636" xr:uid="{54C94258-5482-4B82-BB9C-8DCFBE90187E}"/>
    <cellStyle name="Normal 2 6 29 4 2" xfId="15464" xr:uid="{7A77A77F-E3EF-49B3-B15A-937F459B864C}"/>
    <cellStyle name="Normal 2 6 29 5" xfId="15459" xr:uid="{528E18E3-8660-4CF4-A082-3406F28AF33C}"/>
    <cellStyle name="Normal 2 6 3" xfId="6637" xr:uid="{DD3FA9BA-C199-43AE-8BCC-2996CDD71522}"/>
    <cellStyle name="Normal 2 6 3 10" xfId="6638" xr:uid="{FE0B258B-699F-4058-84BC-6E8EE338824C}"/>
    <cellStyle name="Normal 2 6 3 10 2" xfId="6639" xr:uid="{19351E22-8EEE-4113-AD9A-BB95507C41D7}"/>
    <cellStyle name="Normal 2 6 3 10 2 2" xfId="6640" xr:uid="{D1DAE130-AF4A-415D-B84D-74EDA9FA9885}"/>
    <cellStyle name="Normal 2 6 3 10 2 2 2" xfId="15468" xr:uid="{E292E783-719A-4619-A4CF-D1E7065D1533}"/>
    <cellStyle name="Normal 2 6 3 10 2 3" xfId="6641" xr:uid="{517D8733-68C9-4A4C-B8E3-6DADAAE44FE4}"/>
    <cellStyle name="Normal 2 6 3 10 2 3 2" xfId="15469" xr:uid="{820E2158-C366-445F-872F-05928900BC65}"/>
    <cellStyle name="Normal 2 6 3 10 2 4" xfId="15467" xr:uid="{2D5EF35F-C245-4B7E-A412-CEF1D7275A2E}"/>
    <cellStyle name="Normal 2 6 3 10 3" xfId="6642" xr:uid="{7E9B311E-6811-4701-8BF1-F9DE36FEBE26}"/>
    <cellStyle name="Normal 2 6 3 10 3 2" xfId="15470" xr:uid="{DE4D3318-2F03-4145-BD94-E5A6F28535F0}"/>
    <cellStyle name="Normal 2 6 3 10 4" xfId="6643" xr:uid="{6A732783-2541-4902-B4F9-9A20BADA3C9C}"/>
    <cellStyle name="Normal 2 6 3 10 4 2" xfId="15471" xr:uid="{AE82A7CA-799D-4F9B-B347-BCF906CBB33A}"/>
    <cellStyle name="Normal 2 6 3 10 5" xfId="15466" xr:uid="{7B63CEA6-1E6F-4DF4-ACF7-0330A78CD74A}"/>
    <cellStyle name="Normal 2 6 3 11" xfId="6644" xr:uid="{6EBB533B-4E36-4A77-AB5D-2537F24699AB}"/>
    <cellStyle name="Normal 2 6 3 11 2" xfId="6645" xr:uid="{4403AC3F-3AE3-480C-9DB2-A79566D85D1B}"/>
    <cellStyle name="Normal 2 6 3 11 2 2" xfId="6646" xr:uid="{AAC773D5-55FE-496D-BEE1-AEDCF245592F}"/>
    <cellStyle name="Normal 2 6 3 11 2 2 2" xfId="15474" xr:uid="{1C91562B-2A73-4B90-AAB6-58C8C37DFF35}"/>
    <cellStyle name="Normal 2 6 3 11 2 3" xfId="6647" xr:uid="{4888EA37-2427-43A8-A11D-07E161B691CE}"/>
    <cellStyle name="Normal 2 6 3 11 2 3 2" xfId="15475" xr:uid="{3696E70D-D147-4FF2-9CFA-7A982DE1EB01}"/>
    <cellStyle name="Normal 2 6 3 11 2 4" xfId="15473" xr:uid="{585A1126-860C-40EA-962F-338D5FB3E662}"/>
    <cellStyle name="Normal 2 6 3 11 3" xfId="6648" xr:uid="{FFD24BA2-0F24-49C4-A762-099ED27AB18F}"/>
    <cellStyle name="Normal 2 6 3 11 3 2" xfId="15476" xr:uid="{D4F64311-8F2C-4C0B-841F-6FF17832E791}"/>
    <cellStyle name="Normal 2 6 3 11 4" xfId="6649" xr:uid="{69F11A3B-8AA7-4452-9DCC-3799916BF207}"/>
    <cellStyle name="Normal 2 6 3 11 4 2" xfId="15477" xr:uid="{6FC12681-EF6E-4983-8F3E-9159481BDB83}"/>
    <cellStyle name="Normal 2 6 3 11 5" xfId="15472" xr:uid="{A8270BE9-92EE-4206-8631-0D2337A64EDF}"/>
    <cellStyle name="Normal 2 6 3 12" xfId="6650" xr:uid="{1C3B3697-783B-4899-A343-79295E7B80DC}"/>
    <cellStyle name="Normal 2 6 3 12 2" xfId="6651" xr:uid="{98C5FB16-9A8E-4873-B00A-0BAFF35CA525}"/>
    <cellStyle name="Normal 2 6 3 12 2 2" xfId="6652" xr:uid="{B9982D96-B196-4FF6-B007-25AAFF5B79EF}"/>
    <cellStyle name="Normal 2 6 3 12 2 2 2" xfId="15480" xr:uid="{C6FB05D2-7D43-4F92-81EC-FCF2DFE4BF0F}"/>
    <cellStyle name="Normal 2 6 3 12 2 3" xfId="6653" xr:uid="{51588858-981C-450E-946E-8DC3BE6E49C2}"/>
    <cellStyle name="Normal 2 6 3 12 2 3 2" xfId="15481" xr:uid="{ED71ECC0-1CD4-4FC3-8E08-52B1046AD459}"/>
    <cellStyle name="Normal 2 6 3 12 2 4" xfId="15479" xr:uid="{BF3B68F9-7F93-4925-8C94-81F79604707A}"/>
    <cellStyle name="Normal 2 6 3 12 3" xfId="6654" xr:uid="{F363D0A0-C5EC-411D-89EE-BDD19EEB0A86}"/>
    <cellStyle name="Normal 2 6 3 12 3 2" xfId="15482" xr:uid="{D4BFAD2C-3BEB-409A-BE1F-5E46375D739D}"/>
    <cellStyle name="Normal 2 6 3 12 4" xfId="6655" xr:uid="{601F7122-CBE1-42FF-87BD-0193B27A03F3}"/>
    <cellStyle name="Normal 2 6 3 12 4 2" xfId="15483" xr:uid="{CBE29445-6775-46FB-8005-0FE59B715CF3}"/>
    <cellStyle name="Normal 2 6 3 12 5" xfId="15478" xr:uid="{138D872D-EEFD-4658-949C-AA948DA65E1B}"/>
    <cellStyle name="Normal 2 6 3 13" xfId="6656" xr:uid="{EAA2CFD0-0D9F-41EA-BEA0-249E78227BA5}"/>
    <cellStyle name="Normal 2 6 3 13 2" xfId="6657" xr:uid="{C9756172-B6B6-4AA2-B9CC-0B3493E4C5A1}"/>
    <cellStyle name="Normal 2 6 3 13 2 2" xfId="6658" xr:uid="{E9F2EAE9-1B59-481E-A27C-869E8F2FD03D}"/>
    <cellStyle name="Normal 2 6 3 13 2 2 2" xfId="15486" xr:uid="{0B0ADBD5-5CDA-4F50-9B87-66AB77A7DD80}"/>
    <cellStyle name="Normal 2 6 3 13 2 3" xfId="6659" xr:uid="{43CDA9A5-BFE7-47B3-A35F-A2BD8DFA1827}"/>
    <cellStyle name="Normal 2 6 3 13 2 3 2" xfId="15487" xr:uid="{87058B7A-B33C-4905-AB87-33811EEABF4F}"/>
    <cellStyle name="Normal 2 6 3 13 2 4" xfId="15485" xr:uid="{CBE48383-0E98-4521-9A39-0CE02DF96F41}"/>
    <cellStyle name="Normal 2 6 3 13 3" xfId="6660" xr:uid="{F1DDF89C-F487-4943-BE09-248F8859BD7F}"/>
    <cellStyle name="Normal 2 6 3 13 3 2" xfId="15488" xr:uid="{9D8843B2-A2AE-4D1B-8236-C8B881A3EC1D}"/>
    <cellStyle name="Normal 2 6 3 13 4" xfId="6661" xr:uid="{D9E8C9E1-C296-414D-BC2F-4780D1BBC4BC}"/>
    <cellStyle name="Normal 2 6 3 13 4 2" xfId="15489" xr:uid="{060E2790-F5A3-4C4D-A360-CE690860A9C8}"/>
    <cellStyle name="Normal 2 6 3 13 5" xfId="15484" xr:uid="{D5B26EFA-80DF-4BE9-A2CB-D999CD87FF14}"/>
    <cellStyle name="Normal 2 6 3 14" xfId="6662" xr:uid="{B9ABFB60-E5D7-487D-8EC8-9A3594563616}"/>
    <cellStyle name="Normal 2 6 3 14 2" xfId="6663" xr:uid="{40CC8883-39B6-4061-95F1-04F6B6909795}"/>
    <cellStyle name="Normal 2 6 3 14 2 2" xfId="6664" xr:uid="{5062A414-5B10-4690-9C25-6EBF2B4B292F}"/>
    <cellStyle name="Normal 2 6 3 14 2 2 2" xfId="15492" xr:uid="{017E02F2-5E05-43DB-A7CC-70999E923B7B}"/>
    <cellStyle name="Normal 2 6 3 14 2 3" xfId="6665" xr:uid="{02E7B52B-1F7D-4863-9A74-55FC73B8A632}"/>
    <cellStyle name="Normal 2 6 3 14 2 3 2" xfId="15493" xr:uid="{266C66BC-6385-4DFD-BAC3-6F16BFBC61A3}"/>
    <cellStyle name="Normal 2 6 3 14 2 4" xfId="15491" xr:uid="{DC69002F-9834-4DB9-A12D-CDA0AB8A0ED9}"/>
    <cellStyle name="Normal 2 6 3 14 3" xfId="6666" xr:uid="{C94C2BE9-B026-4663-BC08-0B449C6FC9C8}"/>
    <cellStyle name="Normal 2 6 3 14 3 2" xfId="15494" xr:uid="{1105BFC7-E27B-4ADD-9C00-29931CAFD6CE}"/>
    <cellStyle name="Normal 2 6 3 14 4" xfId="6667" xr:uid="{B008AB91-37C4-4BE2-9F2B-548C7815A923}"/>
    <cellStyle name="Normal 2 6 3 14 4 2" xfId="15495" xr:uid="{35A7412B-4B9B-4DDD-9253-DC2995B59B52}"/>
    <cellStyle name="Normal 2 6 3 14 5" xfId="15490" xr:uid="{04D10B54-54B5-49C9-8A1A-839BA6EBFBFB}"/>
    <cellStyle name="Normal 2 6 3 15" xfId="6668" xr:uid="{59C0F748-9827-4BB7-8B7C-3026AB29CBDE}"/>
    <cellStyle name="Normal 2 6 3 15 2" xfId="6669" xr:uid="{7CD5BEB8-054C-4D7A-B19E-406788DC1945}"/>
    <cellStyle name="Normal 2 6 3 15 2 2" xfId="6670" xr:uid="{6FA28E1C-895B-45DF-9871-12585E73065A}"/>
    <cellStyle name="Normal 2 6 3 15 2 2 2" xfId="15498" xr:uid="{A2E37181-1F08-43FE-80D4-F08CE2CD171D}"/>
    <cellStyle name="Normal 2 6 3 15 2 3" xfId="6671" xr:uid="{880FEEB9-F6F1-4B9B-9A16-D673F99A876C}"/>
    <cellStyle name="Normal 2 6 3 15 2 3 2" xfId="15499" xr:uid="{6FBCACA0-1F42-4629-8DC4-97845AE747C5}"/>
    <cellStyle name="Normal 2 6 3 15 2 4" xfId="15497" xr:uid="{DDDD0249-1CE0-4BB1-91A0-85AD03F61655}"/>
    <cellStyle name="Normal 2 6 3 15 3" xfId="6672" xr:uid="{CED97E86-9B2A-4812-8097-7184226FF85F}"/>
    <cellStyle name="Normal 2 6 3 15 3 2" xfId="15500" xr:uid="{6F321BDC-5C5C-4635-8ADD-768A6E1B2155}"/>
    <cellStyle name="Normal 2 6 3 15 4" xfId="6673" xr:uid="{CAC83155-1541-4409-98CE-C20F3EA06AE6}"/>
    <cellStyle name="Normal 2 6 3 15 4 2" xfId="15501" xr:uid="{6BF43671-CCBA-4FF5-BB15-F3A24AD7362D}"/>
    <cellStyle name="Normal 2 6 3 15 5" xfId="15496" xr:uid="{333CC7E3-2328-46F8-8942-69214A036B83}"/>
    <cellStyle name="Normal 2 6 3 16" xfId="6674" xr:uid="{071685C4-15D8-44A0-9F5A-0DB71AD1376E}"/>
    <cellStyle name="Normal 2 6 3 16 2" xfId="6675" xr:uid="{E8296224-DFE3-4DC6-97DB-5231011DF85D}"/>
    <cellStyle name="Normal 2 6 3 16 2 2" xfId="6676" xr:uid="{0ACC655F-2679-476E-807A-295FADA1CAE0}"/>
    <cellStyle name="Normal 2 6 3 16 2 2 2" xfId="15504" xr:uid="{C59EAC05-86AA-4AF7-875A-B587A15A1744}"/>
    <cellStyle name="Normal 2 6 3 16 2 3" xfId="6677" xr:uid="{3D9787F7-4C5A-4103-8BD7-8182BD2FFBCF}"/>
    <cellStyle name="Normal 2 6 3 16 2 3 2" xfId="15505" xr:uid="{F5CA99AE-DA9A-4F76-8B1B-2D70F4DC916D}"/>
    <cellStyle name="Normal 2 6 3 16 2 4" xfId="15503" xr:uid="{D370F719-135A-4FC8-B854-132C83EA2D2C}"/>
    <cellStyle name="Normal 2 6 3 16 3" xfId="6678" xr:uid="{5FBCA472-738A-41A8-BD22-03B48A75EF56}"/>
    <cellStyle name="Normal 2 6 3 16 3 2" xfId="15506" xr:uid="{13410E24-53E2-4047-9132-9E04F269D0E8}"/>
    <cellStyle name="Normal 2 6 3 16 4" xfId="6679" xr:uid="{181057BA-432B-4B58-92E3-FC20817C6623}"/>
    <cellStyle name="Normal 2 6 3 16 4 2" xfId="15507" xr:uid="{208A333F-D8DE-4939-B2AD-2AD14D9A65C9}"/>
    <cellStyle name="Normal 2 6 3 16 5" xfId="15502" xr:uid="{A0126FC2-A1AB-4520-9207-D724B3E13CAB}"/>
    <cellStyle name="Normal 2 6 3 17" xfId="6680" xr:uid="{981C123C-CBFB-4F6E-B296-C7D876DCB0A6}"/>
    <cellStyle name="Normal 2 6 3 17 2" xfId="6681" xr:uid="{1D334AB7-B484-4962-81F8-0941A40C1A84}"/>
    <cellStyle name="Normal 2 6 3 17 2 2" xfId="6682" xr:uid="{7DC335FD-3D8E-47FF-BD9A-EB6DBE4728DD}"/>
    <cellStyle name="Normal 2 6 3 17 2 2 2" xfId="15510" xr:uid="{F6137DB1-F947-4A58-8091-41B478406E4A}"/>
    <cellStyle name="Normal 2 6 3 17 2 3" xfId="6683" xr:uid="{C8AF25F9-2FA3-4E29-9FD3-2EF67E7FF1B1}"/>
    <cellStyle name="Normal 2 6 3 17 2 3 2" xfId="15511" xr:uid="{C7C7D8C5-AE88-4D12-8443-6424FC4CC786}"/>
    <cellStyle name="Normal 2 6 3 17 2 4" xfId="15509" xr:uid="{ABDD095F-8E58-4EF7-9858-DAC49AB6E912}"/>
    <cellStyle name="Normal 2 6 3 17 3" xfId="6684" xr:uid="{55A71DF6-1DD7-48DF-8A7C-FC33F3D2BE2F}"/>
    <cellStyle name="Normal 2 6 3 17 3 2" xfId="15512" xr:uid="{63BAFB18-A161-459C-B68A-55054B91D4B2}"/>
    <cellStyle name="Normal 2 6 3 17 4" xfId="6685" xr:uid="{3976E02C-D9E7-45BF-AC4F-888196F17F6A}"/>
    <cellStyle name="Normal 2 6 3 17 4 2" xfId="15513" xr:uid="{99A55465-48D4-4AAF-A7A8-9C9FFADF66C5}"/>
    <cellStyle name="Normal 2 6 3 17 5" xfId="15508" xr:uid="{08CF5F46-41AD-4722-81F8-EE120D0AFD71}"/>
    <cellStyle name="Normal 2 6 3 18" xfId="6686" xr:uid="{C5B46ECF-8CC3-41BC-BA99-C6083449A28D}"/>
    <cellStyle name="Normal 2 6 3 18 2" xfId="6687" xr:uid="{0E404F97-F876-4B2E-A3E2-FC7E07B4C675}"/>
    <cellStyle name="Normal 2 6 3 18 2 2" xfId="6688" xr:uid="{E6B1EBCA-1666-4945-9C3C-7120B5B4E793}"/>
    <cellStyle name="Normal 2 6 3 18 2 2 2" xfId="15516" xr:uid="{FC895513-C9BD-4795-B5C9-41CB14B0CDB0}"/>
    <cellStyle name="Normal 2 6 3 18 2 3" xfId="6689" xr:uid="{10505F8F-A84E-46F0-9126-97508FAAB84C}"/>
    <cellStyle name="Normal 2 6 3 18 2 3 2" xfId="15517" xr:uid="{6A51CE76-BAEA-4721-927D-9ED5E0978867}"/>
    <cellStyle name="Normal 2 6 3 18 2 4" xfId="15515" xr:uid="{E35397AC-3826-47DE-8609-AB5CBDE2176D}"/>
    <cellStyle name="Normal 2 6 3 18 3" xfId="6690" xr:uid="{EC793B0A-49D4-495B-AC72-901AA7198ED5}"/>
    <cellStyle name="Normal 2 6 3 18 3 2" xfId="15518" xr:uid="{CD8B79CF-0C1A-4BC0-A805-F868AE9AB443}"/>
    <cellStyle name="Normal 2 6 3 18 4" xfId="6691" xr:uid="{5F9E4331-C165-46FA-847E-BD54C384BCEE}"/>
    <cellStyle name="Normal 2 6 3 18 4 2" xfId="15519" xr:uid="{332A90C0-75D3-43AB-BDA7-75F3783054B4}"/>
    <cellStyle name="Normal 2 6 3 18 5" xfId="15514" xr:uid="{78DD984B-73CB-421A-A2EC-D97DEB01C9C0}"/>
    <cellStyle name="Normal 2 6 3 19" xfId="6692" xr:uid="{738F3139-AAAC-4386-BE19-BEC034F16E97}"/>
    <cellStyle name="Normal 2 6 3 19 2" xfId="6693" xr:uid="{E254EA8C-F4DE-4E37-A71D-38673153AEF7}"/>
    <cellStyle name="Normal 2 6 3 19 2 2" xfId="6694" xr:uid="{48E3B74F-D68A-4220-A065-40C9D08600A0}"/>
    <cellStyle name="Normal 2 6 3 19 2 2 2" xfId="15522" xr:uid="{39838AB7-03B9-4B58-A175-D6CA2CEEDB0D}"/>
    <cellStyle name="Normal 2 6 3 19 2 3" xfId="6695" xr:uid="{92E5D9DC-7727-4C58-B51B-A3BB5166A771}"/>
    <cellStyle name="Normal 2 6 3 19 2 3 2" xfId="15523" xr:uid="{5F370A91-8170-4629-AC17-0DA02669BC22}"/>
    <cellStyle name="Normal 2 6 3 19 2 4" xfId="15521" xr:uid="{DB0A1035-49AA-4EFC-A917-2BA2207C67AE}"/>
    <cellStyle name="Normal 2 6 3 19 3" xfId="6696" xr:uid="{6718D355-2601-4A98-8112-C42C5ACC70F8}"/>
    <cellStyle name="Normal 2 6 3 19 3 2" xfId="15524" xr:uid="{70386C7A-7231-4AFD-8A00-65B5A3830211}"/>
    <cellStyle name="Normal 2 6 3 19 4" xfId="6697" xr:uid="{0DF8D610-2C0C-46C6-90A2-C0E9F4ADEED2}"/>
    <cellStyle name="Normal 2 6 3 19 4 2" xfId="15525" xr:uid="{3920BEFF-883D-4293-86C8-9D8999AB4942}"/>
    <cellStyle name="Normal 2 6 3 19 5" xfId="15520" xr:uid="{ACD48478-986F-4F90-ACB4-E5DBEE5BBE55}"/>
    <cellStyle name="Normal 2 6 3 2" xfId="6698" xr:uid="{221C58F8-03DA-4941-941A-45429C946A7F}"/>
    <cellStyle name="Normal 2 6 3 2 2" xfId="6699" xr:uid="{592DCF91-377D-4EBD-A4D5-174DB9D1E5B7}"/>
    <cellStyle name="Normal 2 6 3 2 2 2" xfId="6700" xr:uid="{BEF8F54F-9B26-4632-BE58-6688A00DE76B}"/>
    <cellStyle name="Normal 2 6 3 2 2 2 2" xfId="15528" xr:uid="{BC14AF29-30CF-4683-B782-6CF0BA031920}"/>
    <cellStyle name="Normal 2 6 3 2 2 3" xfId="6701" xr:uid="{D104D4A0-27CC-4A0D-BD26-DF9EE97A36B3}"/>
    <cellStyle name="Normal 2 6 3 2 2 3 2" xfId="15529" xr:uid="{74ED2804-5507-475E-B2BA-E8078E264C25}"/>
    <cellStyle name="Normal 2 6 3 2 2 4" xfId="15527" xr:uid="{6C8C170A-38CA-453E-985A-B718E8456BD0}"/>
    <cellStyle name="Normal 2 6 3 2 3" xfId="6702" xr:uid="{AF4E2F0D-BEAD-4AEE-AEBD-2E8C00A17973}"/>
    <cellStyle name="Normal 2 6 3 2 3 2" xfId="15530" xr:uid="{CBF8DAC5-7226-46B8-95AC-DC47D121BB09}"/>
    <cellStyle name="Normal 2 6 3 2 4" xfId="6703" xr:uid="{DD40E986-FBB9-4CE3-BB8D-B89CB70AF4D8}"/>
    <cellStyle name="Normal 2 6 3 2 4 2" xfId="15531" xr:uid="{27ABC543-DB58-44E6-980D-C1BC353B9657}"/>
    <cellStyle name="Normal 2 6 3 2 5" xfId="15526" xr:uid="{E3413E4D-DA3F-4C99-9D2D-A2E921948001}"/>
    <cellStyle name="Normal 2 6 3 20" xfId="6704" xr:uid="{3D899023-4A2E-4C60-A76A-E85A7438D674}"/>
    <cellStyle name="Normal 2 6 3 20 2" xfId="6705" xr:uid="{674D78C1-2550-4356-B740-E855C4E3E55C}"/>
    <cellStyle name="Normal 2 6 3 20 2 2" xfId="6706" xr:uid="{0940C4DD-C4C2-481F-882B-723161B7999C}"/>
    <cellStyle name="Normal 2 6 3 20 2 2 2" xfId="15534" xr:uid="{E07A105B-93C8-40F8-90EF-0B6050D8F526}"/>
    <cellStyle name="Normal 2 6 3 20 2 3" xfId="6707" xr:uid="{FCDC6FF8-7809-44CB-9D65-3D292BE38B43}"/>
    <cellStyle name="Normal 2 6 3 20 2 3 2" xfId="15535" xr:uid="{A267946F-F25D-4830-ACC0-6A09817176AD}"/>
    <cellStyle name="Normal 2 6 3 20 2 4" xfId="15533" xr:uid="{48EBA8FF-F839-48B6-A990-9856BCEE88E5}"/>
    <cellStyle name="Normal 2 6 3 20 3" xfId="6708" xr:uid="{CBB390A2-F1C0-4376-80B7-08E6ADBFA11A}"/>
    <cellStyle name="Normal 2 6 3 20 3 2" xfId="15536" xr:uid="{3F3CEDB7-F277-4060-9040-CF232483C337}"/>
    <cellStyle name="Normal 2 6 3 20 4" xfId="6709" xr:uid="{96EE4F79-AEAC-4C3D-B1EA-936C05C7CC00}"/>
    <cellStyle name="Normal 2 6 3 20 4 2" xfId="15537" xr:uid="{E7B06ACA-F669-4BBC-A056-806829EDDD2C}"/>
    <cellStyle name="Normal 2 6 3 20 5" xfId="15532" xr:uid="{99CDBA0E-6D5D-4C5E-8BF3-F83E95013477}"/>
    <cellStyle name="Normal 2 6 3 21" xfId="6710" xr:uid="{3061028B-DFE7-4F03-A307-CCC142C339FD}"/>
    <cellStyle name="Normal 2 6 3 21 2" xfId="6711" xr:uid="{F6FC8017-9AF1-4A3C-9C30-68EE2D7466FF}"/>
    <cellStyle name="Normal 2 6 3 21 2 2" xfId="6712" xr:uid="{359C659B-ADC8-43D4-8D7E-C19BB887B1A6}"/>
    <cellStyle name="Normal 2 6 3 21 2 2 2" xfId="15540" xr:uid="{0A4C1618-66E2-4DF7-A970-CCC7599FFDB8}"/>
    <cellStyle name="Normal 2 6 3 21 2 3" xfId="6713" xr:uid="{848412CF-F7B7-4A39-ABCD-3FF5939E76D0}"/>
    <cellStyle name="Normal 2 6 3 21 2 3 2" xfId="15541" xr:uid="{2D03B716-B2C9-40A3-A2B3-0730C2C34056}"/>
    <cellStyle name="Normal 2 6 3 21 2 4" xfId="15539" xr:uid="{FD35096F-EDA0-4415-8EB8-CBC41421E89C}"/>
    <cellStyle name="Normal 2 6 3 21 3" xfId="6714" xr:uid="{8B369D31-606A-4E2B-A74C-605853766D00}"/>
    <cellStyle name="Normal 2 6 3 21 3 2" xfId="15542" xr:uid="{65688C31-84D4-4766-9566-31EE64C86E56}"/>
    <cellStyle name="Normal 2 6 3 21 4" xfId="6715" xr:uid="{4C49DEC4-D76E-421B-934C-451107DF3A80}"/>
    <cellStyle name="Normal 2 6 3 21 4 2" xfId="15543" xr:uid="{3DED923C-CFCA-4C48-86CC-1703D0F22325}"/>
    <cellStyle name="Normal 2 6 3 21 5" xfId="15538" xr:uid="{5ABECE3B-DBF2-4516-9C05-794AF37B26F7}"/>
    <cellStyle name="Normal 2 6 3 22" xfId="6716" xr:uid="{7571F7C0-D055-417A-B1EA-B6A7C8CDCD52}"/>
    <cellStyle name="Normal 2 6 3 22 2" xfId="6717" xr:uid="{0BD11022-9D37-4112-8179-EC11D9E26C4A}"/>
    <cellStyle name="Normal 2 6 3 22 2 2" xfId="6718" xr:uid="{980D1CDE-3780-4C21-B666-934498DC33F4}"/>
    <cellStyle name="Normal 2 6 3 22 2 2 2" xfId="15546" xr:uid="{464BE075-F3E2-4D98-ABAB-2E493F987B5C}"/>
    <cellStyle name="Normal 2 6 3 22 2 3" xfId="6719" xr:uid="{85EA0F7D-1A83-47C8-A52C-D0FCA26A8002}"/>
    <cellStyle name="Normal 2 6 3 22 2 3 2" xfId="15547" xr:uid="{C1DAA897-B4BB-4239-BF04-AEFB285B2B4D}"/>
    <cellStyle name="Normal 2 6 3 22 2 4" xfId="15545" xr:uid="{F9278F7B-1305-4F6B-AFFF-722C836C0BF7}"/>
    <cellStyle name="Normal 2 6 3 22 3" xfId="6720" xr:uid="{65F3200B-6B76-4DFC-9908-0596F0C6617F}"/>
    <cellStyle name="Normal 2 6 3 22 3 2" xfId="15548" xr:uid="{E14D5252-F01A-4A43-9529-83444FEED001}"/>
    <cellStyle name="Normal 2 6 3 22 4" xfId="6721" xr:uid="{7F152841-B113-475E-941B-803335A1F614}"/>
    <cellStyle name="Normal 2 6 3 22 4 2" xfId="15549" xr:uid="{D50F88A2-9819-4262-9424-8F297FAF6603}"/>
    <cellStyle name="Normal 2 6 3 22 5" xfId="15544" xr:uid="{0D9867FB-1621-47F7-A151-EF54CDF07498}"/>
    <cellStyle name="Normal 2 6 3 23" xfId="6722" xr:uid="{5A1CCD5E-25FC-4B7C-A01B-BF75E1F45AB4}"/>
    <cellStyle name="Normal 2 6 3 23 2" xfId="6723" xr:uid="{A7217529-B3E3-4AD3-9B2F-B3C5B0033C7F}"/>
    <cellStyle name="Normal 2 6 3 23 2 2" xfId="6724" xr:uid="{22647B80-9C54-463A-B9C1-5693DD5350ED}"/>
    <cellStyle name="Normal 2 6 3 23 2 2 2" xfId="15552" xr:uid="{3F48FFFE-587A-471A-87B5-EC1E6D12B583}"/>
    <cellStyle name="Normal 2 6 3 23 2 3" xfId="6725" xr:uid="{66E0D5DC-64EB-49C7-867D-065DA7EA05BF}"/>
    <cellStyle name="Normal 2 6 3 23 2 3 2" xfId="15553" xr:uid="{EC9F3C1A-A3AD-453D-93E7-98175A09AB33}"/>
    <cellStyle name="Normal 2 6 3 23 2 4" xfId="15551" xr:uid="{DC700A48-8D0D-410C-85FA-D910263E06E4}"/>
    <cellStyle name="Normal 2 6 3 23 3" xfId="6726" xr:uid="{0664D44F-1D12-4B37-8F37-896C00BDB1B2}"/>
    <cellStyle name="Normal 2 6 3 23 3 2" xfId="15554" xr:uid="{63153903-6C79-43F1-A234-15C25321D7B4}"/>
    <cellStyle name="Normal 2 6 3 23 4" xfId="6727" xr:uid="{53DA607B-645D-4E7C-A4F3-647A844310F0}"/>
    <cellStyle name="Normal 2 6 3 23 4 2" xfId="15555" xr:uid="{58C60034-034B-49CF-A027-BEADEF8564AD}"/>
    <cellStyle name="Normal 2 6 3 23 5" xfId="15550" xr:uid="{06C3D974-349A-48FB-B482-9CA1960DD919}"/>
    <cellStyle name="Normal 2 6 3 24" xfId="6728" xr:uid="{32A7788C-7C16-4F08-93B4-6EAA192FF5A0}"/>
    <cellStyle name="Normal 2 6 3 24 2" xfId="6729" xr:uid="{350DFFDE-7FCB-4B87-896B-0751935CA582}"/>
    <cellStyle name="Normal 2 6 3 24 2 2" xfId="6730" xr:uid="{51FBAC1B-E069-41EE-8DC5-4BEB21880DEB}"/>
    <cellStyle name="Normal 2 6 3 24 2 2 2" xfId="15558" xr:uid="{335D9CDF-55C2-4656-AAEB-D37D0C9EA9BA}"/>
    <cellStyle name="Normal 2 6 3 24 2 3" xfId="6731" xr:uid="{103E7A76-C4FC-4A9B-9A2F-773EB85D1E41}"/>
    <cellStyle name="Normal 2 6 3 24 2 3 2" xfId="15559" xr:uid="{4D08CC51-E899-4621-AB43-42B84BBD3342}"/>
    <cellStyle name="Normal 2 6 3 24 2 4" xfId="15557" xr:uid="{0AD5CA58-3448-419F-B149-8F2EFB0D2CB6}"/>
    <cellStyle name="Normal 2 6 3 24 3" xfId="6732" xr:uid="{5249BE0F-6B2E-44CE-B583-5AD668EC96CC}"/>
    <cellStyle name="Normal 2 6 3 24 3 2" xfId="15560" xr:uid="{D10ADB27-91E7-4B72-A563-47A19B2EC300}"/>
    <cellStyle name="Normal 2 6 3 24 4" xfId="6733" xr:uid="{68C29AF8-972C-4717-BA3D-79A6841957B7}"/>
    <cellStyle name="Normal 2 6 3 24 4 2" xfId="15561" xr:uid="{44B8CFD9-26D5-4B26-8D47-251AC0D82A83}"/>
    <cellStyle name="Normal 2 6 3 24 5" xfId="15556" xr:uid="{9C1178F0-DF33-40C0-9E3E-A06F525B3616}"/>
    <cellStyle name="Normal 2 6 3 25" xfId="6734" xr:uid="{CED26DCE-D6A1-48EB-8B8B-90B99FA808F3}"/>
    <cellStyle name="Normal 2 6 3 25 2" xfId="6735" xr:uid="{5AB97242-D22E-4973-AFF2-A157A96451CB}"/>
    <cellStyle name="Normal 2 6 3 25 2 2" xfId="6736" xr:uid="{D2EA476F-E2A3-4223-B0D4-D16FA5F3C00D}"/>
    <cellStyle name="Normal 2 6 3 25 2 2 2" xfId="15564" xr:uid="{48D61036-BB69-4B32-BD2C-466B6187923A}"/>
    <cellStyle name="Normal 2 6 3 25 2 3" xfId="6737" xr:uid="{2E9DC84F-9965-4BD6-9483-9E6FBAEE003D}"/>
    <cellStyle name="Normal 2 6 3 25 2 3 2" xfId="15565" xr:uid="{0AAD296B-819A-41A4-8D73-517C4558DFA1}"/>
    <cellStyle name="Normal 2 6 3 25 2 4" xfId="15563" xr:uid="{4D958EBC-102D-457E-893A-8DC143AA6FCF}"/>
    <cellStyle name="Normal 2 6 3 25 3" xfId="6738" xr:uid="{5790947F-D713-47F6-9C02-BDE696964F8F}"/>
    <cellStyle name="Normal 2 6 3 25 3 2" xfId="15566" xr:uid="{85F6880D-6032-4BA2-AB5B-5B88B64F89BB}"/>
    <cellStyle name="Normal 2 6 3 25 4" xfId="6739" xr:uid="{1EC90E79-ED94-428A-8646-29E1A31717E1}"/>
    <cellStyle name="Normal 2 6 3 25 4 2" xfId="15567" xr:uid="{EED8AE04-7C8D-447F-B22B-8920636746C0}"/>
    <cellStyle name="Normal 2 6 3 25 5" xfId="15562" xr:uid="{F5418B12-E86C-4DF9-9F4E-A2245D858A33}"/>
    <cellStyle name="Normal 2 6 3 26" xfId="6740" xr:uid="{F17584D1-D9F2-40B4-9446-4DF9429FD0F3}"/>
    <cellStyle name="Normal 2 6 3 26 2" xfId="6741" xr:uid="{93119919-1069-4CAB-8131-668538FBED18}"/>
    <cellStyle name="Normal 2 6 3 26 2 2" xfId="6742" xr:uid="{BFA621B0-329E-460D-8C69-593A5F590BFF}"/>
    <cellStyle name="Normal 2 6 3 26 2 2 2" xfId="15570" xr:uid="{9ADEA910-7CA5-4E74-B70F-11C765BAB1D1}"/>
    <cellStyle name="Normal 2 6 3 26 2 3" xfId="6743" xr:uid="{0EAB76CC-ED89-4993-A0EF-C2B0598F55CD}"/>
    <cellStyle name="Normal 2 6 3 26 2 3 2" xfId="15571" xr:uid="{8E65D7BD-A39C-4ACF-AF82-6B7B5EFD6A97}"/>
    <cellStyle name="Normal 2 6 3 26 2 4" xfId="15569" xr:uid="{5913644D-E9C8-47B2-B65D-022559B2E386}"/>
    <cellStyle name="Normal 2 6 3 26 3" xfId="6744" xr:uid="{EDBDC54C-6EAF-4D5C-B766-3297B8F195D0}"/>
    <cellStyle name="Normal 2 6 3 26 3 2" xfId="15572" xr:uid="{B4F93F6B-01E0-4FE8-9B5D-64462D31D58B}"/>
    <cellStyle name="Normal 2 6 3 26 4" xfId="6745" xr:uid="{13CBACE1-086A-484C-8217-74C0ED7DD398}"/>
    <cellStyle name="Normal 2 6 3 26 4 2" xfId="15573" xr:uid="{2CAF25B4-784A-40B7-B586-EAFD193BA339}"/>
    <cellStyle name="Normal 2 6 3 26 5" xfId="15568" xr:uid="{D6F89AE9-25B8-46D8-BB9C-DA3D4917FC5D}"/>
    <cellStyle name="Normal 2 6 3 27" xfId="6746" xr:uid="{CDECD54A-F420-4DC5-89C4-7C7A3392FAD4}"/>
    <cellStyle name="Normal 2 6 3 27 2" xfId="6747" xr:uid="{4B8A5925-E8C3-434A-9949-18C1579ACBE1}"/>
    <cellStyle name="Normal 2 6 3 27 2 2" xfId="6748" xr:uid="{E7560017-9018-4DCA-9945-E6B2D1F86AC8}"/>
    <cellStyle name="Normal 2 6 3 27 2 2 2" xfId="15576" xr:uid="{5F7A5EBE-DAE3-4DBD-AF83-BC60F207C089}"/>
    <cellStyle name="Normal 2 6 3 27 2 3" xfId="6749" xr:uid="{2226CE67-46CA-4736-AE96-53D23801C43C}"/>
    <cellStyle name="Normal 2 6 3 27 2 3 2" xfId="15577" xr:uid="{DD040E6A-925B-4357-A19F-510075C2F5FC}"/>
    <cellStyle name="Normal 2 6 3 27 2 4" xfId="15575" xr:uid="{3580BE9A-D15B-46DD-873A-9CC30BD6F87A}"/>
    <cellStyle name="Normal 2 6 3 27 3" xfId="6750" xr:uid="{6D8BFD5C-DF05-46C0-9C1D-4397172C61F8}"/>
    <cellStyle name="Normal 2 6 3 27 3 2" xfId="15578" xr:uid="{43FD68E4-0437-48C3-8551-577C9D544490}"/>
    <cellStyle name="Normal 2 6 3 27 4" xfId="6751" xr:uid="{40374C47-C99A-4C3F-AA28-52A7D6F2BFB0}"/>
    <cellStyle name="Normal 2 6 3 27 4 2" xfId="15579" xr:uid="{8DB609B3-320E-4BFF-BB8A-9F996A3C812B}"/>
    <cellStyle name="Normal 2 6 3 27 5" xfId="15574" xr:uid="{93BAE593-35A0-43F5-9DF5-7CF6C57CA50C}"/>
    <cellStyle name="Normal 2 6 3 28" xfId="6752" xr:uid="{145CF28F-0050-4F76-96CD-50B1E6E50708}"/>
    <cellStyle name="Normal 2 6 3 28 2" xfId="6753" xr:uid="{C3626CF6-13BA-4B24-AA25-36DE95D63113}"/>
    <cellStyle name="Normal 2 6 3 28 2 2" xfId="6754" xr:uid="{8B9219EB-B53C-4A63-874D-493A14389720}"/>
    <cellStyle name="Normal 2 6 3 28 2 2 2" xfId="15582" xr:uid="{11EC3122-3116-4AC3-86A1-ACA3C1952430}"/>
    <cellStyle name="Normal 2 6 3 28 2 3" xfId="6755" xr:uid="{C6572C10-16C6-49E7-94A9-056879EFDF30}"/>
    <cellStyle name="Normal 2 6 3 28 2 3 2" xfId="15583" xr:uid="{61116D61-89FC-48EF-BDD6-CA60A068752A}"/>
    <cellStyle name="Normal 2 6 3 28 2 4" xfId="15581" xr:uid="{4BCEA70F-EE86-49DD-9FDB-A3CB138186FA}"/>
    <cellStyle name="Normal 2 6 3 28 3" xfId="6756" xr:uid="{15C663E4-077E-43D8-815A-2097DE61B3D1}"/>
    <cellStyle name="Normal 2 6 3 28 3 2" xfId="15584" xr:uid="{14B7A598-6F5A-4A17-9B2D-354FEBE51D41}"/>
    <cellStyle name="Normal 2 6 3 28 4" xfId="6757" xr:uid="{E470118F-CF10-4595-84F1-C661363B825A}"/>
    <cellStyle name="Normal 2 6 3 28 4 2" xfId="15585" xr:uid="{B401E262-2E9D-4AEE-ADFB-B38D127BC2E3}"/>
    <cellStyle name="Normal 2 6 3 28 5" xfId="15580" xr:uid="{1931CB38-ADB7-4A01-9457-8DFFB22A3BAA}"/>
    <cellStyle name="Normal 2 6 3 29" xfId="6758" xr:uid="{1E20D600-7B46-43E4-A05E-DF9EC7C2800F}"/>
    <cellStyle name="Normal 2 6 3 29 2" xfId="6759" xr:uid="{FEE4470F-BF7D-4096-B9D0-2B22E39C365E}"/>
    <cellStyle name="Normal 2 6 3 29 2 2" xfId="6760" xr:uid="{53FA7AE8-94FD-4BB0-B432-BB7D0EC93D39}"/>
    <cellStyle name="Normal 2 6 3 29 2 2 2" xfId="15588" xr:uid="{B61AF111-2B66-48EA-A5B8-297181B5DD99}"/>
    <cellStyle name="Normal 2 6 3 29 2 3" xfId="6761" xr:uid="{C59C1983-2443-474F-94A5-5E91855140D7}"/>
    <cellStyle name="Normal 2 6 3 29 2 3 2" xfId="15589" xr:uid="{4758909B-11C7-48D8-BEE1-11BBC1515E79}"/>
    <cellStyle name="Normal 2 6 3 29 2 4" xfId="15587" xr:uid="{C010A149-F7D3-44B1-927F-3768F6E912AB}"/>
    <cellStyle name="Normal 2 6 3 29 3" xfId="6762" xr:uid="{7593F0AF-780C-45E7-A0D5-46F36AC47F06}"/>
    <cellStyle name="Normal 2 6 3 29 3 2" xfId="15590" xr:uid="{678240FD-0BA5-46D3-BEBC-6EB0D7B287CC}"/>
    <cellStyle name="Normal 2 6 3 29 4" xfId="6763" xr:uid="{90389861-258C-4A1A-8733-4C6A9219CD9A}"/>
    <cellStyle name="Normal 2 6 3 29 4 2" xfId="15591" xr:uid="{0F41B2C4-054B-492A-89FD-08AC0FE226E6}"/>
    <cellStyle name="Normal 2 6 3 29 5" xfId="15586" xr:uid="{179FD154-32D2-407D-87B6-E683249A318C}"/>
    <cellStyle name="Normal 2 6 3 3" xfId="6764" xr:uid="{DC28AEF4-DD25-4571-86D1-49D53FDEF3C9}"/>
    <cellStyle name="Normal 2 6 3 3 2" xfId="6765" xr:uid="{121E7906-F207-4AFC-96CD-72E5187ED271}"/>
    <cellStyle name="Normal 2 6 3 3 2 2" xfId="6766" xr:uid="{0F2D3B12-D393-46F3-9043-C78E5928E12C}"/>
    <cellStyle name="Normal 2 6 3 3 2 2 2" xfId="15594" xr:uid="{6A73AD4B-930B-409C-B768-A520ED950E07}"/>
    <cellStyle name="Normal 2 6 3 3 2 3" xfId="6767" xr:uid="{247EEB33-F440-4E55-A883-A02AF65C5D95}"/>
    <cellStyle name="Normal 2 6 3 3 2 3 2" xfId="15595" xr:uid="{50199D03-8419-4470-886A-F8E9E17B7F62}"/>
    <cellStyle name="Normal 2 6 3 3 2 4" xfId="15593" xr:uid="{4301EA13-E3E9-4E63-848A-1BB07B181AD7}"/>
    <cellStyle name="Normal 2 6 3 3 3" xfId="6768" xr:uid="{F3FAD308-B261-4BBE-B233-52F6394BB6F5}"/>
    <cellStyle name="Normal 2 6 3 3 3 2" xfId="15596" xr:uid="{6FA9AB53-C9F1-46A7-B30A-2F33D6361272}"/>
    <cellStyle name="Normal 2 6 3 3 4" xfId="6769" xr:uid="{2FEA8438-3B56-443D-83A9-8E39BEA4FA84}"/>
    <cellStyle name="Normal 2 6 3 3 4 2" xfId="15597" xr:uid="{A955B646-B18C-4857-8A4A-71F62C7A6F4A}"/>
    <cellStyle name="Normal 2 6 3 3 5" xfId="15592" xr:uid="{D187B705-911A-4D58-B669-14B71B8E737E}"/>
    <cellStyle name="Normal 2 6 3 30" xfId="6770" xr:uid="{A90D4B2A-0640-4E19-96D7-BA5B51268DC5}"/>
    <cellStyle name="Normal 2 6 3 30 2" xfId="6771" xr:uid="{0418CB95-F587-4F98-81D3-759DC94DA2A1}"/>
    <cellStyle name="Normal 2 6 3 30 2 2" xfId="6772" xr:uid="{54A9F71B-723F-4603-AAF8-8DD8DD4C3099}"/>
    <cellStyle name="Normal 2 6 3 30 2 2 2" xfId="15600" xr:uid="{1181271C-2990-40B7-9665-D25830E3A2EA}"/>
    <cellStyle name="Normal 2 6 3 30 2 3" xfId="6773" xr:uid="{D352BCB8-C10E-4ADA-95DB-AEF4DB78DB08}"/>
    <cellStyle name="Normal 2 6 3 30 2 3 2" xfId="15601" xr:uid="{D3AC2DFC-9DE5-4098-B0BD-F335380BB7F3}"/>
    <cellStyle name="Normal 2 6 3 30 2 4" xfId="15599" xr:uid="{61E1AD91-E13B-4329-B6A8-E7B2F0348287}"/>
    <cellStyle name="Normal 2 6 3 30 3" xfId="6774" xr:uid="{7E23C5F9-6486-4085-AB8C-22327A2A4190}"/>
    <cellStyle name="Normal 2 6 3 30 3 2" xfId="15602" xr:uid="{B0D6903B-6315-4E3C-8964-3DC638079734}"/>
    <cellStyle name="Normal 2 6 3 30 4" xfId="6775" xr:uid="{3477E5B6-20FE-41E8-97FB-E5591371B5CE}"/>
    <cellStyle name="Normal 2 6 3 30 4 2" xfId="15603" xr:uid="{63EB5AA5-2A01-4008-87EB-B081960752A1}"/>
    <cellStyle name="Normal 2 6 3 30 5" xfId="15598" xr:uid="{F22C9F19-0E02-470F-A916-472A216F3174}"/>
    <cellStyle name="Normal 2 6 3 31" xfId="6776" xr:uid="{65AFB1D0-4902-4513-B425-777C55AE5D1B}"/>
    <cellStyle name="Normal 2 6 3 31 2" xfId="6777" xr:uid="{854B4EAF-30C6-49FA-A37A-D97381863566}"/>
    <cellStyle name="Normal 2 6 3 31 2 2" xfId="6778" xr:uid="{D0FC8153-9ABE-4B94-9C96-E8EB6B1F35E4}"/>
    <cellStyle name="Normal 2 6 3 31 2 2 2" xfId="15606" xr:uid="{FE8B0354-573F-498B-9DFB-6AE58EB65CD5}"/>
    <cellStyle name="Normal 2 6 3 31 2 3" xfId="6779" xr:uid="{47EFDC9B-5FD7-45F0-8E96-49CA77CF3B3B}"/>
    <cellStyle name="Normal 2 6 3 31 2 3 2" xfId="15607" xr:uid="{E250D678-B8F7-4213-8DB8-95C3C395F65A}"/>
    <cellStyle name="Normal 2 6 3 31 2 4" xfId="15605" xr:uid="{5F00849D-D897-4B8E-AF2B-EC0B0125DC1A}"/>
    <cellStyle name="Normal 2 6 3 31 3" xfId="6780" xr:uid="{04073D1D-3AF0-455C-A2F5-F297FB9E2BB9}"/>
    <cellStyle name="Normal 2 6 3 31 3 2" xfId="15608" xr:uid="{A66BAF32-FBFA-4ADE-ACD5-73B14590786C}"/>
    <cellStyle name="Normal 2 6 3 31 4" xfId="6781" xr:uid="{BFB4E0A5-0D10-4C08-BF2D-843BE5EBCFB3}"/>
    <cellStyle name="Normal 2 6 3 31 4 2" xfId="15609" xr:uid="{824296F0-1C31-4A6A-A036-CC0C83BCA341}"/>
    <cellStyle name="Normal 2 6 3 31 5" xfId="15604" xr:uid="{C2F14DFD-5A8A-48B6-A3F8-C962FFD3085C}"/>
    <cellStyle name="Normal 2 6 3 32" xfId="6782" xr:uid="{EDC8CBA3-502A-4CD4-BF30-89FA939E4775}"/>
    <cellStyle name="Normal 2 6 3 32 2" xfId="6783" xr:uid="{19EEC22D-C25A-42F2-B91C-3644A855DACA}"/>
    <cellStyle name="Normal 2 6 3 32 2 2" xfId="6784" xr:uid="{272FA7D5-54E0-4E93-9740-6A0AA9F56C52}"/>
    <cellStyle name="Normal 2 6 3 32 2 2 2" xfId="15612" xr:uid="{491C3FC2-9EBB-4275-8D3E-02C8FF23B09C}"/>
    <cellStyle name="Normal 2 6 3 32 2 3" xfId="6785" xr:uid="{495415E3-E11D-4F43-9E89-EB920A3DD377}"/>
    <cellStyle name="Normal 2 6 3 32 2 3 2" xfId="15613" xr:uid="{C9FF2AE2-D841-42B6-8F75-F75744B2C031}"/>
    <cellStyle name="Normal 2 6 3 32 2 4" xfId="15611" xr:uid="{6331C0F2-0270-48EA-883C-F627309C569B}"/>
    <cellStyle name="Normal 2 6 3 32 3" xfId="6786" xr:uid="{8F52F951-26F5-453F-B274-E525265C0567}"/>
    <cellStyle name="Normal 2 6 3 32 3 2" xfId="15614" xr:uid="{AFF89B45-F2F1-4330-977F-04CA08BDD49B}"/>
    <cellStyle name="Normal 2 6 3 32 4" xfId="6787" xr:uid="{FA24A997-C814-4BE7-BD02-5FCBC228D987}"/>
    <cellStyle name="Normal 2 6 3 32 4 2" xfId="15615" xr:uid="{D724B34F-1B05-4030-9862-BF7C67C755B8}"/>
    <cellStyle name="Normal 2 6 3 32 5" xfId="15610" xr:uid="{D3CC3D07-924D-45B6-84FF-387DB8892449}"/>
    <cellStyle name="Normal 2 6 3 33" xfId="6788" xr:uid="{6279AE5B-2E8A-4030-BBE2-B1A3C2DE8D7D}"/>
    <cellStyle name="Normal 2 6 3 33 2" xfId="6789" xr:uid="{42C7E449-4CD6-4E25-B652-231B29B85DFE}"/>
    <cellStyle name="Normal 2 6 3 33 2 2" xfId="6790" xr:uid="{6BE616B3-D8EB-4F93-8D44-8021C0DABF17}"/>
    <cellStyle name="Normal 2 6 3 33 2 2 2" xfId="15618" xr:uid="{537C18F1-5BD9-461A-8A79-F7B7986E696E}"/>
    <cellStyle name="Normal 2 6 3 33 2 3" xfId="6791" xr:uid="{D5CBBCB1-10BA-40C8-A72D-62EB74A4EFA3}"/>
    <cellStyle name="Normal 2 6 3 33 2 3 2" xfId="15619" xr:uid="{10C53395-15F1-4642-AF7A-4701FA77FF4A}"/>
    <cellStyle name="Normal 2 6 3 33 2 4" xfId="15617" xr:uid="{DE27DF47-163B-4962-82FB-9F0E3F82295A}"/>
    <cellStyle name="Normal 2 6 3 33 3" xfId="6792" xr:uid="{0E157E14-B073-4F86-AAB1-AE45856A7139}"/>
    <cellStyle name="Normal 2 6 3 33 3 2" xfId="15620" xr:uid="{68EB3245-DC4C-44DA-9806-0A71A13C9B88}"/>
    <cellStyle name="Normal 2 6 3 33 4" xfId="6793" xr:uid="{1CB96A4B-B28E-4B04-936F-F941973FC04F}"/>
    <cellStyle name="Normal 2 6 3 33 4 2" xfId="15621" xr:uid="{D2F82776-7304-4857-80CD-9CAEFEC27872}"/>
    <cellStyle name="Normal 2 6 3 33 5" xfId="15616" xr:uid="{8318B3A7-E47E-4203-AD83-3769F1782F17}"/>
    <cellStyle name="Normal 2 6 3 34" xfId="6794" xr:uid="{26B92730-C698-4EE0-869E-B774D792D77E}"/>
    <cellStyle name="Normal 2 6 3 34 2" xfId="6795" xr:uid="{A5415601-5DB1-4359-8505-055242363ADF}"/>
    <cellStyle name="Normal 2 6 3 34 2 2" xfId="6796" xr:uid="{758F6AFE-B069-4C6D-A2C3-AA8432F19718}"/>
    <cellStyle name="Normal 2 6 3 34 2 2 2" xfId="15624" xr:uid="{FA9060E7-77AF-440D-8994-5349BF5F5DAB}"/>
    <cellStyle name="Normal 2 6 3 34 2 3" xfId="6797" xr:uid="{7EFCCA86-E80B-475B-A85F-525F5936382E}"/>
    <cellStyle name="Normal 2 6 3 34 2 3 2" xfId="15625" xr:uid="{D2AB5514-A35A-4BA1-B552-75E7E52ACEB1}"/>
    <cellStyle name="Normal 2 6 3 34 2 4" xfId="15623" xr:uid="{BF85616D-5707-4AC2-9727-1E55256C886A}"/>
    <cellStyle name="Normal 2 6 3 34 3" xfId="6798" xr:uid="{392786F4-7CDC-435B-A5C9-609552F0EAB8}"/>
    <cellStyle name="Normal 2 6 3 34 3 2" xfId="15626" xr:uid="{4206B624-1DE4-4CE9-8203-C0EB27E0F095}"/>
    <cellStyle name="Normal 2 6 3 34 4" xfId="6799" xr:uid="{2D20F5C9-A7A2-4BF8-B890-614F4C040984}"/>
    <cellStyle name="Normal 2 6 3 34 4 2" xfId="15627" xr:uid="{0D4CFF6F-2340-43E8-831E-E44A738895D6}"/>
    <cellStyle name="Normal 2 6 3 34 5" xfId="15622" xr:uid="{711523BD-4FC5-4DB4-9895-75AE3B911F28}"/>
    <cellStyle name="Normal 2 6 3 35" xfId="6800" xr:uid="{4B8759E9-6D27-45CB-96E7-6D8F91026579}"/>
    <cellStyle name="Normal 2 6 3 35 2" xfId="6801" xr:uid="{3EA95398-48F0-4513-B4A8-2E8FDC60F419}"/>
    <cellStyle name="Normal 2 6 3 35 2 2" xfId="6802" xr:uid="{2E536109-0B61-4647-BBAC-DB9EE2400796}"/>
    <cellStyle name="Normal 2 6 3 35 2 2 2" xfId="15630" xr:uid="{1C01E14A-7229-45BC-A308-DE68C8C0FFC6}"/>
    <cellStyle name="Normal 2 6 3 35 2 3" xfId="6803" xr:uid="{5442A4E7-D264-47B6-B182-AB92181A51C0}"/>
    <cellStyle name="Normal 2 6 3 35 2 3 2" xfId="15631" xr:uid="{481F45E1-1CE2-45B1-9590-B30F8E2ADD10}"/>
    <cellStyle name="Normal 2 6 3 35 2 4" xfId="15629" xr:uid="{87427845-66A6-418C-9A8C-54FCEF32F884}"/>
    <cellStyle name="Normal 2 6 3 35 3" xfId="6804" xr:uid="{8581D45B-D62C-479C-B89F-2CCD0E39DE0D}"/>
    <cellStyle name="Normal 2 6 3 35 3 2" xfId="15632" xr:uid="{56C752A1-C145-4474-A636-BD77BFA86A52}"/>
    <cellStyle name="Normal 2 6 3 35 4" xfId="6805" xr:uid="{96E3D1C8-2E02-45A1-AC4F-90950851F44E}"/>
    <cellStyle name="Normal 2 6 3 35 4 2" xfId="15633" xr:uid="{AC0DE24A-66EA-4CDF-BBC6-9904888B9B23}"/>
    <cellStyle name="Normal 2 6 3 35 5" xfId="15628" xr:uid="{B87D0192-8CE2-461B-AAB1-A80485D5B407}"/>
    <cellStyle name="Normal 2 6 3 36" xfId="6806" xr:uid="{1376520D-CAA9-45C6-8689-00B6FAFAC28B}"/>
    <cellStyle name="Normal 2 6 3 36 2" xfId="6807" xr:uid="{B4ADAAD0-C27A-46D9-B906-DE5922F9C956}"/>
    <cellStyle name="Normal 2 6 3 36 2 2" xfId="6808" xr:uid="{83061687-9458-4D90-BEB3-8373F2F1A1A1}"/>
    <cellStyle name="Normal 2 6 3 36 2 2 2" xfId="15636" xr:uid="{F658DE55-7345-4EF4-A81B-0319233A99F5}"/>
    <cellStyle name="Normal 2 6 3 36 2 3" xfId="6809" xr:uid="{20E8793A-DE42-4E2C-8517-C6E408B97FF6}"/>
    <cellStyle name="Normal 2 6 3 36 2 3 2" xfId="15637" xr:uid="{1B689B24-9955-4082-B901-0A36F2468ACE}"/>
    <cellStyle name="Normal 2 6 3 36 2 4" xfId="15635" xr:uid="{DAF4D101-E9F5-48AF-AC73-005ED037A0AC}"/>
    <cellStyle name="Normal 2 6 3 36 3" xfId="6810" xr:uid="{632FFF04-3F24-4D38-8E12-D312F70FA89A}"/>
    <cellStyle name="Normal 2 6 3 36 3 2" xfId="15638" xr:uid="{6DE2CB46-B0D6-46D4-B071-DBD3FC9E06A4}"/>
    <cellStyle name="Normal 2 6 3 36 4" xfId="6811" xr:uid="{6A89AE2A-3C87-4D3B-9F59-2DAEEF113882}"/>
    <cellStyle name="Normal 2 6 3 36 4 2" xfId="15639" xr:uid="{55B712B3-7F98-438C-81E3-2C89C8C2CEAF}"/>
    <cellStyle name="Normal 2 6 3 36 5" xfId="15634" xr:uid="{7721D6D9-EF26-40DC-88FF-86129657C5AF}"/>
    <cellStyle name="Normal 2 6 3 37" xfId="6812" xr:uid="{2C82758D-2E48-452D-995A-49784BB1149F}"/>
    <cellStyle name="Normal 2 6 3 37 2" xfId="6813" xr:uid="{E566C07C-5F1D-4623-9CF4-58B05E892F52}"/>
    <cellStyle name="Normal 2 6 3 37 2 2" xfId="6814" xr:uid="{75113694-668E-4783-A8E6-E61627A6A457}"/>
    <cellStyle name="Normal 2 6 3 37 2 2 2" xfId="15642" xr:uid="{751AD313-442B-4240-8B5B-73F333BEDE39}"/>
    <cellStyle name="Normal 2 6 3 37 2 3" xfId="6815" xr:uid="{C39A5B76-AD31-4E6B-BA6B-0DE3AB3704C6}"/>
    <cellStyle name="Normal 2 6 3 37 2 3 2" xfId="15643" xr:uid="{A16F6F06-A481-4FF0-8FFD-393BAC533CDE}"/>
    <cellStyle name="Normal 2 6 3 37 2 4" xfId="15641" xr:uid="{14F11F13-3D57-470E-83AD-CE7E1325CEC8}"/>
    <cellStyle name="Normal 2 6 3 37 3" xfId="6816" xr:uid="{FBE97460-0D75-485B-BFC4-E80F6002D2C8}"/>
    <cellStyle name="Normal 2 6 3 37 3 2" xfId="15644" xr:uid="{9E7027AD-4646-42AC-B710-8DB0ACFCE19C}"/>
    <cellStyle name="Normal 2 6 3 37 4" xfId="6817" xr:uid="{FED5E70F-38D3-4264-8513-17F0FD362D1B}"/>
    <cellStyle name="Normal 2 6 3 37 4 2" xfId="15645" xr:uid="{B4AC9B21-D69E-47BA-86FE-F5575B117085}"/>
    <cellStyle name="Normal 2 6 3 37 5" xfId="15640" xr:uid="{5FB95FF6-2868-42DB-AA6A-50F3F16711A1}"/>
    <cellStyle name="Normal 2 6 3 38" xfId="6818" xr:uid="{9644E66C-8274-4DAF-B90A-B143EB5B1350}"/>
    <cellStyle name="Normal 2 6 3 38 2" xfId="6819" xr:uid="{8688B131-ECE3-4945-A8C6-EA9AB6D00964}"/>
    <cellStyle name="Normal 2 6 3 38 2 2" xfId="6820" xr:uid="{553F7707-CD92-45E0-B68A-D3816E393E1B}"/>
    <cellStyle name="Normal 2 6 3 38 2 2 2" xfId="15648" xr:uid="{D5E0DF6C-2584-4132-887F-A2B17E944C71}"/>
    <cellStyle name="Normal 2 6 3 38 2 3" xfId="6821" xr:uid="{FED11E8D-C059-4F19-BD63-8C0BDBA6A53E}"/>
    <cellStyle name="Normal 2 6 3 38 2 3 2" xfId="15649" xr:uid="{1B154113-D08F-4D02-85B4-5892D368CE0D}"/>
    <cellStyle name="Normal 2 6 3 38 2 4" xfId="15647" xr:uid="{AE191E14-4480-46C9-A116-6DDFD06C628B}"/>
    <cellStyle name="Normal 2 6 3 38 3" xfId="6822" xr:uid="{708CE3C2-C4FC-4B8F-BAD9-1F03EE097397}"/>
    <cellStyle name="Normal 2 6 3 38 3 2" xfId="15650" xr:uid="{B636BDFB-F56E-46CF-BDFD-D29E760F1E8E}"/>
    <cellStyle name="Normal 2 6 3 38 4" xfId="6823" xr:uid="{F7C149CE-5587-4145-92FC-6A274BB47F0D}"/>
    <cellStyle name="Normal 2 6 3 38 4 2" xfId="15651" xr:uid="{4B1674BD-642E-431C-8C60-08DFA0163C13}"/>
    <cellStyle name="Normal 2 6 3 38 5" xfId="15646" xr:uid="{4077A093-9532-4CA6-B910-CA38B767E6F7}"/>
    <cellStyle name="Normal 2 6 3 39" xfId="6824" xr:uid="{601A5A98-A979-4A40-BC3F-96D2645E4EE5}"/>
    <cellStyle name="Normal 2 6 3 39 2" xfId="6825" xr:uid="{0AFB76C6-C452-4FB5-BAD1-E098ED4822A1}"/>
    <cellStyle name="Normal 2 6 3 39 2 2" xfId="6826" xr:uid="{DDF6EBFD-164C-4995-96F7-FE9BA58F2CBC}"/>
    <cellStyle name="Normal 2 6 3 39 2 2 2" xfId="15654" xr:uid="{3D64F50D-8922-4893-8C2D-F32FC58EC57A}"/>
    <cellStyle name="Normal 2 6 3 39 2 3" xfId="6827" xr:uid="{A97C9620-CD0E-432F-8494-1CC8C23E5B19}"/>
    <cellStyle name="Normal 2 6 3 39 2 3 2" xfId="15655" xr:uid="{7A9DC1B3-7922-4151-BF73-862F65689CD8}"/>
    <cellStyle name="Normal 2 6 3 39 2 4" xfId="15653" xr:uid="{9C602E2C-F64F-49CF-BC6C-99813EB6F05A}"/>
    <cellStyle name="Normal 2 6 3 39 3" xfId="6828" xr:uid="{D1AAA9B6-0D0B-423D-8A12-D2986CC9CC20}"/>
    <cellStyle name="Normal 2 6 3 39 3 2" xfId="15656" xr:uid="{D68381DE-BD4D-45A5-A3B7-9518DE13D784}"/>
    <cellStyle name="Normal 2 6 3 39 4" xfId="6829" xr:uid="{CA34BE55-0640-4295-9AE8-00B14532C8DB}"/>
    <cellStyle name="Normal 2 6 3 39 4 2" xfId="15657" xr:uid="{DAC144BE-8A7B-42A9-B816-B6F6B54B85C3}"/>
    <cellStyle name="Normal 2 6 3 39 5" xfId="15652" xr:uid="{1A892FA3-3E9C-424C-B897-9D30325AA84C}"/>
    <cellStyle name="Normal 2 6 3 4" xfId="6830" xr:uid="{3479E101-A084-4DF2-BC9D-79859AE84DC1}"/>
    <cellStyle name="Normal 2 6 3 4 2" xfId="6831" xr:uid="{8F742919-E51E-4F0D-9B71-103145DB0494}"/>
    <cellStyle name="Normal 2 6 3 4 2 2" xfId="6832" xr:uid="{DBC30DF5-3C0D-4A16-91D9-7A30DE0B351C}"/>
    <cellStyle name="Normal 2 6 3 4 2 2 2" xfId="15660" xr:uid="{9D710B4C-6DF9-4FCA-92F5-95D574E3B23D}"/>
    <cellStyle name="Normal 2 6 3 4 2 3" xfId="6833" xr:uid="{90B17E22-6164-40D3-9306-704E911CC8BD}"/>
    <cellStyle name="Normal 2 6 3 4 2 3 2" xfId="15661" xr:uid="{F198F680-E363-4B18-A1EB-C1E8A853674A}"/>
    <cellStyle name="Normal 2 6 3 4 2 4" xfId="15659" xr:uid="{84B8CBF3-3695-479D-995E-AF60E14994DD}"/>
    <cellStyle name="Normal 2 6 3 4 3" xfId="6834" xr:uid="{C837E389-7617-45EA-BCBF-D12191B41342}"/>
    <cellStyle name="Normal 2 6 3 4 3 2" xfId="15662" xr:uid="{4D7A9BC8-7D9C-43CA-9410-77DE2F0284CB}"/>
    <cellStyle name="Normal 2 6 3 4 4" xfId="6835" xr:uid="{635626F2-A665-4745-B432-B013C4BFEF4E}"/>
    <cellStyle name="Normal 2 6 3 4 4 2" xfId="15663" xr:uid="{2E50FFF7-856F-499A-BAEC-D7C47B8C19A7}"/>
    <cellStyle name="Normal 2 6 3 4 5" xfId="15658" xr:uid="{C07D3F03-2F2D-4AD3-B4EC-A9F10B85600C}"/>
    <cellStyle name="Normal 2 6 3 40" xfId="6836" xr:uid="{6AB9D529-9A90-4C5E-9898-44A07BE61DBA}"/>
    <cellStyle name="Normal 2 6 3 40 2" xfId="6837" xr:uid="{713A4406-7CD0-4F0B-BC21-7A3E583A2C07}"/>
    <cellStyle name="Normal 2 6 3 40 2 2" xfId="6838" xr:uid="{2A5DC0A4-C657-4676-8E7B-8435DEC0A02C}"/>
    <cellStyle name="Normal 2 6 3 40 2 2 2" xfId="15666" xr:uid="{4D88933D-B1A1-49FC-8EBC-52F25DC442BE}"/>
    <cellStyle name="Normal 2 6 3 40 2 3" xfId="6839" xr:uid="{4993628F-B23C-4C4C-9BAC-FE1C4CB8418D}"/>
    <cellStyle name="Normal 2 6 3 40 2 3 2" xfId="15667" xr:uid="{CBE770BF-864D-4514-B597-1FAF85B536F3}"/>
    <cellStyle name="Normal 2 6 3 40 2 4" xfId="15665" xr:uid="{6F411FD7-3149-4EA3-918E-1913F54BA120}"/>
    <cellStyle name="Normal 2 6 3 40 3" xfId="6840" xr:uid="{E424B38D-0F7B-43E9-8941-3F83670962D2}"/>
    <cellStyle name="Normal 2 6 3 40 3 2" xfId="15668" xr:uid="{4D0E894D-CEC7-41D8-8B21-6B044C12F58A}"/>
    <cellStyle name="Normal 2 6 3 40 4" xfId="6841" xr:uid="{1428B7F4-B769-4185-A85C-1F3E8F224046}"/>
    <cellStyle name="Normal 2 6 3 40 4 2" xfId="15669" xr:uid="{85096C91-8471-4E45-8895-BAB92F9B6F8C}"/>
    <cellStyle name="Normal 2 6 3 40 5" xfId="15664" xr:uid="{8F6EC680-BF18-460F-A40B-62A06A1408C4}"/>
    <cellStyle name="Normal 2 6 3 41" xfId="6842" xr:uid="{A5483AE3-0243-4041-BC06-4BDD389D6380}"/>
    <cellStyle name="Normal 2 6 3 41 2" xfId="6843" xr:uid="{8E8A5FAE-F976-4FB3-B085-8BD908D78374}"/>
    <cellStyle name="Normal 2 6 3 41 2 2" xfId="6844" xr:uid="{CA3A1F43-AE21-49FA-8F23-EDCBE7E96FC2}"/>
    <cellStyle name="Normal 2 6 3 41 2 2 2" xfId="15672" xr:uid="{9B341376-3BA7-47CB-AEDD-040404C30695}"/>
    <cellStyle name="Normal 2 6 3 41 2 3" xfId="6845" xr:uid="{AF9BEE2A-F518-46AC-AF21-EB9B125A87E3}"/>
    <cellStyle name="Normal 2 6 3 41 2 3 2" xfId="15673" xr:uid="{A9132331-94BE-46D9-B791-65B10141D6C9}"/>
    <cellStyle name="Normal 2 6 3 41 2 4" xfId="15671" xr:uid="{5ED8095B-AB7A-4077-86A6-4DB01237B0A9}"/>
    <cellStyle name="Normal 2 6 3 41 3" xfId="6846" xr:uid="{C08A8EE8-CD91-44DF-857A-EDE0585BCA6B}"/>
    <cellStyle name="Normal 2 6 3 41 3 2" xfId="15674" xr:uid="{70491CA6-18CD-42B4-9DC9-6C7365003DCA}"/>
    <cellStyle name="Normal 2 6 3 41 4" xfId="6847" xr:uid="{74F58CA3-7A22-47A1-B9E6-9E59EF66832C}"/>
    <cellStyle name="Normal 2 6 3 41 4 2" xfId="15675" xr:uid="{229487EE-2525-4498-B859-367FEF827CBB}"/>
    <cellStyle name="Normal 2 6 3 41 5" xfId="15670" xr:uid="{6E008D1F-0360-4634-B7C8-275E0E427BE6}"/>
    <cellStyle name="Normal 2 6 3 42" xfId="6848" xr:uid="{7B5B368E-9AB7-4170-9BB8-38E179663DF9}"/>
    <cellStyle name="Normal 2 6 3 42 2" xfId="6849" xr:uid="{64D7F33D-FDE8-4D35-A1F8-DD4F86DF12C8}"/>
    <cellStyle name="Normal 2 6 3 42 2 2" xfId="6850" xr:uid="{F7EB0F9F-8701-4825-96EF-3BC27ABA4BB4}"/>
    <cellStyle name="Normal 2 6 3 42 2 2 2" xfId="15678" xr:uid="{65685FFD-4897-47C3-AFBD-1D3087656728}"/>
    <cellStyle name="Normal 2 6 3 42 2 3" xfId="6851" xr:uid="{0D3A1AC0-CA83-40E3-9E2D-ED0EE9D24F0B}"/>
    <cellStyle name="Normal 2 6 3 42 2 3 2" xfId="15679" xr:uid="{9C82F835-A57D-440B-93F4-CA005718C3DE}"/>
    <cellStyle name="Normal 2 6 3 42 2 4" xfId="15677" xr:uid="{E86DE421-B90F-4EA4-B28C-44A5D48EAA8C}"/>
    <cellStyle name="Normal 2 6 3 42 3" xfId="6852" xr:uid="{11D1DD80-EB28-400C-BD76-2B982920C70F}"/>
    <cellStyle name="Normal 2 6 3 42 3 2" xfId="15680" xr:uid="{22FF9731-7CCF-468E-84B9-5BA04B41EB76}"/>
    <cellStyle name="Normal 2 6 3 42 4" xfId="6853" xr:uid="{2F58AFC3-8271-4120-8407-D20B869A2138}"/>
    <cellStyle name="Normal 2 6 3 42 4 2" xfId="15681" xr:uid="{CEA028E7-8BBC-4DC6-AF85-C07A8102A257}"/>
    <cellStyle name="Normal 2 6 3 42 5" xfId="15676" xr:uid="{55A534B0-4CA6-45D0-A915-C3B8E435D75D}"/>
    <cellStyle name="Normal 2 6 3 43" xfId="6854" xr:uid="{507C8E48-6C0C-4DF6-919D-D6A4C6C32831}"/>
    <cellStyle name="Normal 2 6 3 43 2" xfId="6855" xr:uid="{00E472E2-685E-42C7-A736-73806D9E458C}"/>
    <cellStyle name="Normal 2 6 3 43 2 2" xfId="6856" xr:uid="{A6470FDB-874D-49C8-B7B5-356779A4E4C3}"/>
    <cellStyle name="Normal 2 6 3 43 2 2 2" xfId="15684" xr:uid="{1A319C82-B8C7-44C4-8E42-8211D19FDF48}"/>
    <cellStyle name="Normal 2 6 3 43 2 3" xfId="6857" xr:uid="{30DBE501-6B3A-454E-BEF1-89A56CF192BA}"/>
    <cellStyle name="Normal 2 6 3 43 2 3 2" xfId="15685" xr:uid="{5093556E-7A0D-4F8B-AE5E-20DE9641A494}"/>
    <cellStyle name="Normal 2 6 3 43 2 4" xfId="15683" xr:uid="{D4678C5F-21DD-4FB0-9599-5400D3368806}"/>
    <cellStyle name="Normal 2 6 3 43 3" xfId="6858" xr:uid="{C6DBF5D1-CCE9-4E5F-B904-993406EAED14}"/>
    <cellStyle name="Normal 2 6 3 43 3 2" xfId="15686" xr:uid="{7F09EEC4-F14D-44E3-88DC-81939B5F6835}"/>
    <cellStyle name="Normal 2 6 3 43 4" xfId="6859" xr:uid="{D4EDD49A-26E1-4E20-9702-AD8CA6F7FE6A}"/>
    <cellStyle name="Normal 2 6 3 43 4 2" xfId="15687" xr:uid="{F6AE5B78-8F93-40CF-B044-AEB51E0215B5}"/>
    <cellStyle name="Normal 2 6 3 43 5" xfId="15682" xr:uid="{3069CD3D-D27D-4C9A-AC1B-186071462F90}"/>
    <cellStyle name="Normal 2 6 3 44" xfId="6860" xr:uid="{CFE07822-672E-4858-B729-29BDF8F0E8AF}"/>
    <cellStyle name="Normal 2 6 3 44 2" xfId="6861" xr:uid="{76494F05-B79A-4FC4-B592-DA1C7AB3B010}"/>
    <cellStyle name="Normal 2 6 3 44 2 2" xfId="15689" xr:uid="{C8FCA325-3F0C-4156-AB7D-38558C3BA866}"/>
    <cellStyle name="Normal 2 6 3 44 3" xfId="6862" xr:uid="{36E3BD9C-A308-42CF-8E1C-086A4FA14D46}"/>
    <cellStyle name="Normal 2 6 3 44 3 2" xfId="15690" xr:uid="{362ACF8A-165C-47B8-A69D-AB265C3E8B3B}"/>
    <cellStyle name="Normal 2 6 3 44 4" xfId="15688" xr:uid="{BE9A925D-51DD-412F-B2AA-832DF29F7A77}"/>
    <cellStyle name="Normal 2 6 3 45" xfId="6863" xr:uid="{7CDA0FA0-1619-46FE-907D-222D873435DA}"/>
    <cellStyle name="Normal 2 6 3 45 2" xfId="15691" xr:uid="{853B0D31-32A7-4992-ABA5-0F3CF73D43FE}"/>
    <cellStyle name="Normal 2 6 3 46" xfId="6864" xr:uid="{08585691-A88E-4011-89AE-01E24994D79C}"/>
    <cellStyle name="Normal 2 6 3 46 2" xfId="15692" xr:uid="{C6788394-1CF2-4D32-933B-F2CAC37625DA}"/>
    <cellStyle name="Normal 2 6 3 47" xfId="15465" xr:uid="{E3DFD60A-8EE7-40B8-BBEB-F0BF9AF5E870}"/>
    <cellStyle name="Normal 2 6 3 5" xfId="6865" xr:uid="{9B6F79B1-1FFE-4D56-A19C-A33EDC51AC75}"/>
    <cellStyle name="Normal 2 6 3 5 2" xfId="6866" xr:uid="{5F37FD14-2FB9-4B0D-A204-67228683DD23}"/>
    <cellStyle name="Normal 2 6 3 5 2 2" xfId="6867" xr:uid="{B6C3F657-4232-40C6-8E9B-C7651AA568C8}"/>
    <cellStyle name="Normal 2 6 3 5 2 2 2" xfId="15695" xr:uid="{503EA114-5B3B-408C-88AF-722D6E8E0A77}"/>
    <cellStyle name="Normal 2 6 3 5 2 3" xfId="6868" xr:uid="{E4FF0712-8F56-4152-8CBD-E94409DC00D2}"/>
    <cellStyle name="Normal 2 6 3 5 2 3 2" xfId="15696" xr:uid="{38F4C12B-42B2-4887-836B-7910FC2C69B6}"/>
    <cellStyle name="Normal 2 6 3 5 2 4" xfId="15694" xr:uid="{A67E3CCF-F8F6-4DF8-95E7-45232B896E55}"/>
    <cellStyle name="Normal 2 6 3 5 3" xfId="6869" xr:uid="{7B926E3A-18AE-4C0E-B136-E6B179E7D156}"/>
    <cellStyle name="Normal 2 6 3 5 3 2" xfId="15697" xr:uid="{2476C65C-6481-49F6-8C59-4DCE2650C0B8}"/>
    <cellStyle name="Normal 2 6 3 5 4" xfId="6870" xr:uid="{E50AD986-97ED-4DCE-97CF-01B10621E500}"/>
    <cellStyle name="Normal 2 6 3 5 4 2" xfId="15698" xr:uid="{EAA69710-9472-416E-9720-D246A4E76309}"/>
    <cellStyle name="Normal 2 6 3 5 5" xfId="15693" xr:uid="{93C7777F-A359-4D95-9B08-CC98D4DA5D7D}"/>
    <cellStyle name="Normal 2 6 3 6" xfId="6871" xr:uid="{8F724EC2-CA72-432B-89A6-BC712848D23A}"/>
    <cellStyle name="Normal 2 6 3 6 2" xfId="6872" xr:uid="{2B7839C4-B0D2-435A-A853-5EE143EC884D}"/>
    <cellStyle name="Normal 2 6 3 6 2 2" xfId="6873" xr:uid="{B16C4108-2546-4DBE-BC32-8963121D66DF}"/>
    <cellStyle name="Normal 2 6 3 6 2 2 2" xfId="15701" xr:uid="{64085053-C451-477E-80CA-CF5EE5041540}"/>
    <cellStyle name="Normal 2 6 3 6 2 3" xfId="6874" xr:uid="{887FDC73-D771-40A6-B1A6-858F7AB6EE65}"/>
    <cellStyle name="Normal 2 6 3 6 2 3 2" xfId="15702" xr:uid="{F6C0FB7D-8633-4AC9-8454-E831F327C878}"/>
    <cellStyle name="Normal 2 6 3 6 2 4" xfId="15700" xr:uid="{16E9FEB0-95B7-4631-80F8-5607B6C3C939}"/>
    <cellStyle name="Normal 2 6 3 6 3" xfId="6875" xr:uid="{0D7E62CF-6D4C-4672-ACAB-4545EC5C3338}"/>
    <cellStyle name="Normal 2 6 3 6 3 2" xfId="15703" xr:uid="{A8F55E5C-54BE-4388-964A-9A2326894632}"/>
    <cellStyle name="Normal 2 6 3 6 4" xfId="6876" xr:uid="{E31929B3-72EB-46DB-BD8F-349E1EAB8737}"/>
    <cellStyle name="Normal 2 6 3 6 4 2" xfId="15704" xr:uid="{95DC218B-4EEA-4344-9966-5B4FB4EF9788}"/>
    <cellStyle name="Normal 2 6 3 6 5" xfId="15699" xr:uid="{3495EAEB-0330-4E14-883E-FB1C82797FEA}"/>
    <cellStyle name="Normal 2 6 3 7" xfId="6877" xr:uid="{3CA0737B-5D4C-4DC7-B0DC-966CF128AC76}"/>
    <cellStyle name="Normal 2 6 3 7 2" xfId="6878" xr:uid="{42179781-B997-465D-BD1F-BFAD1A39671F}"/>
    <cellStyle name="Normal 2 6 3 7 2 2" xfId="6879" xr:uid="{9DD46671-BB71-4B57-BD73-1BE19F489B6C}"/>
    <cellStyle name="Normal 2 6 3 7 2 2 2" xfId="15707" xr:uid="{D4C97AA8-2CB2-4A69-8C4E-4E18A22699F7}"/>
    <cellStyle name="Normal 2 6 3 7 2 3" xfId="6880" xr:uid="{DCBF1EA6-C8CF-4815-BC38-ABB176D40411}"/>
    <cellStyle name="Normal 2 6 3 7 2 3 2" xfId="15708" xr:uid="{ED5BE280-FD7B-4EC8-820D-732FA6BFC5E3}"/>
    <cellStyle name="Normal 2 6 3 7 2 4" xfId="15706" xr:uid="{4A07A140-2F9E-4D8F-B59A-5F90659C2BA7}"/>
    <cellStyle name="Normal 2 6 3 7 3" xfId="6881" xr:uid="{E98393BC-EC4C-4757-A1D5-F2ADA9302910}"/>
    <cellStyle name="Normal 2 6 3 7 3 2" xfId="15709" xr:uid="{BDFFA3E9-A2D7-4750-AD8D-75A6245399DA}"/>
    <cellStyle name="Normal 2 6 3 7 4" xfId="6882" xr:uid="{EC6283A0-1B69-427B-947C-6464BEF9607D}"/>
    <cellStyle name="Normal 2 6 3 7 4 2" xfId="15710" xr:uid="{775D20BF-69AA-42F8-8601-15BB746AB78F}"/>
    <cellStyle name="Normal 2 6 3 7 5" xfId="15705" xr:uid="{EE58C96E-990C-4F43-B43F-32BB716D8ED1}"/>
    <cellStyle name="Normal 2 6 3 8" xfId="6883" xr:uid="{482FA1FE-62D9-4470-AD13-AAE04FD3C718}"/>
    <cellStyle name="Normal 2 6 3 8 2" xfId="6884" xr:uid="{54999F42-C485-4231-8ED9-B4138D784B74}"/>
    <cellStyle name="Normal 2 6 3 8 2 2" xfId="6885" xr:uid="{632F5BB7-A362-4B1D-95CB-FE9BB0C5BB35}"/>
    <cellStyle name="Normal 2 6 3 8 2 2 2" xfId="15713" xr:uid="{2E905C13-378C-4977-AD7A-CE51400BF99A}"/>
    <cellStyle name="Normal 2 6 3 8 2 3" xfId="6886" xr:uid="{0A38FF92-FA08-4B95-8BF0-EA6C12F4BB04}"/>
    <cellStyle name="Normal 2 6 3 8 2 3 2" xfId="15714" xr:uid="{363CE41E-DD70-4E5A-8EBC-48C9095B73BF}"/>
    <cellStyle name="Normal 2 6 3 8 2 4" xfId="15712" xr:uid="{501EAFAD-611A-486A-891E-669081E1CA7F}"/>
    <cellStyle name="Normal 2 6 3 8 3" xfId="6887" xr:uid="{A3A48B8F-4101-45D2-92EB-49C2DCBE1D5E}"/>
    <cellStyle name="Normal 2 6 3 8 3 2" xfId="15715" xr:uid="{14A68A3B-34B9-45BA-A071-06764BA48EB6}"/>
    <cellStyle name="Normal 2 6 3 8 4" xfId="6888" xr:uid="{FB13CC9D-AA5B-4FD2-A704-BB3938883D4E}"/>
    <cellStyle name="Normal 2 6 3 8 4 2" xfId="15716" xr:uid="{8D398DCB-F09B-42AB-B8C9-10B5437B4311}"/>
    <cellStyle name="Normal 2 6 3 8 5" xfId="15711" xr:uid="{28F91576-A2FB-4184-959E-EC6F09ADFA05}"/>
    <cellStyle name="Normal 2 6 3 9" xfId="6889" xr:uid="{10E69AFA-AD8E-412E-A87C-C6B90F907F8E}"/>
    <cellStyle name="Normal 2 6 3 9 2" xfId="6890" xr:uid="{040D53A4-A9D0-4FC1-8119-86267B77DCAF}"/>
    <cellStyle name="Normal 2 6 3 9 2 2" xfId="6891" xr:uid="{BD70E552-0020-46EA-9652-3B9FA6DFF3B9}"/>
    <cellStyle name="Normal 2 6 3 9 2 2 2" xfId="15719" xr:uid="{9A54C4D4-C2E2-4A68-B12E-688C59E01B51}"/>
    <cellStyle name="Normal 2 6 3 9 2 3" xfId="6892" xr:uid="{3B522715-CE96-408E-A99B-825784465980}"/>
    <cellStyle name="Normal 2 6 3 9 2 3 2" xfId="15720" xr:uid="{EC65DE4F-D1F5-4F38-90E0-E0D755965949}"/>
    <cellStyle name="Normal 2 6 3 9 2 4" xfId="15718" xr:uid="{3AC58481-E52A-4AB6-BFE4-155CFF178E64}"/>
    <cellStyle name="Normal 2 6 3 9 3" xfId="6893" xr:uid="{C9726757-54A5-481F-85A8-95678F7A713B}"/>
    <cellStyle name="Normal 2 6 3 9 3 2" xfId="15721" xr:uid="{13DCAC0A-7500-4868-A9B9-3E0216DE46EF}"/>
    <cellStyle name="Normal 2 6 3 9 4" xfId="6894" xr:uid="{F4362A8A-8F40-4C17-99E5-8DADC3D2D0B2}"/>
    <cellStyle name="Normal 2 6 3 9 4 2" xfId="15722" xr:uid="{6D3D3B58-AA96-4A6B-8C72-F2E1BFD552DE}"/>
    <cellStyle name="Normal 2 6 3 9 5" xfId="15717" xr:uid="{C3616CFC-67B3-4665-8963-BFAEF748B78A}"/>
    <cellStyle name="Normal 2 6 30" xfId="6895" xr:uid="{B5A63FF1-AC9B-438F-A4FC-EEF89198A72E}"/>
    <cellStyle name="Normal 2 6 30 2" xfId="6896" xr:uid="{F801E9C1-D462-4EB2-AE76-AAB4C8E47B90}"/>
    <cellStyle name="Normal 2 6 30 2 2" xfId="6897" xr:uid="{C4F58899-EFA2-4CDE-BE59-378485939A85}"/>
    <cellStyle name="Normal 2 6 30 2 2 2" xfId="15725" xr:uid="{CEADC825-81B4-4974-B3C6-730A1C4EC930}"/>
    <cellStyle name="Normal 2 6 30 2 3" xfId="6898" xr:uid="{C76189FE-4C96-400A-8269-7C665161E447}"/>
    <cellStyle name="Normal 2 6 30 2 3 2" xfId="15726" xr:uid="{599757D7-3A51-4133-BFAE-C2C952C5C080}"/>
    <cellStyle name="Normal 2 6 30 2 4" xfId="15724" xr:uid="{B4E59A10-A973-4427-9360-9B58D9CBDD65}"/>
    <cellStyle name="Normal 2 6 30 3" xfId="6899" xr:uid="{8B30122F-0DB8-4735-A82D-4AA3554FA14E}"/>
    <cellStyle name="Normal 2 6 30 3 2" xfId="15727" xr:uid="{B4BD36BA-C76C-4700-880C-05FBEBDF60FD}"/>
    <cellStyle name="Normal 2 6 30 4" xfId="6900" xr:uid="{ED28BA1D-4402-4C8D-A8CF-03C08996D418}"/>
    <cellStyle name="Normal 2 6 30 4 2" xfId="15728" xr:uid="{907F4CE7-9A4A-4A23-8F78-336C635909BE}"/>
    <cellStyle name="Normal 2 6 30 5" xfId="15723" xr:uid="{0203E476-C780-46D3-B730-5AD1AAF92F9B}"/>
    <cellStyle name="Normal 2 6 31" xfId="6901" xr:uid="{8C473F86-1B07-4DEF-BA1F-C45365ABB1CF}"/>
    <cellStyle name="Normal 2 6 31 2" xfId="6902" xr:uid="{88EE817C-1D2F-40B1-B648-5CBD868C1081}"/>
    <cellStyle name="Normal 2 6 31 2 2" xfId="6903" xr:uid="{AC1D7FE7-5672-4F20-9DDA-83965E32D761}"/>
    <cellStyle name="Normal 2 6 31 2 2 2" xfId="15731" xr:uid="{A04B5B1D-0BC0-4D1E-8EEB-36D5C378F048}"/>
    <cellStyle name="Normal 2 6 31 2 3" xfId="6904" xr:uid="{14FE6724-A7C1-40CD-9F70-8EB8E4D3D234}"/>
    <cellStyle name="Normal 2 6 31 2 3 2" xfId="15732" xr:uid="{014BCFEA-4F28-4EC4-9500-1D18AA76B45D}"/>
    <cellStyle name="Normal 2 6 31 2 4" xfId="15730" xr:uid="{5EC40CFB-C266-4F6F-BA2F-3832480F9904}"/>
    <cellStyle name="Normal 2 6 31 3" xfId="6905" xr:uid="{D72DAC4B-76CA-44E6-9869-681C7AE377C0}"/>
    <cellStyle name="Normal 2 6 31 3 2" xfId="15733" xr:uid="{F1BA71A1-7F31-40C2-B85B-AEDAA020165E}"/>
    <cellStyle name="Normal 2 6 31 4" xfId="6906" xr:uid="{EBD5FBF3-D61F-407D-8E71-83687CED59D1}"/>
    <cellStyle name="Normal 2 6 31 4 2" xfId="15734" xr:uid="{2E27FBE8-F096-430C-B624-12B594758BCA}"/>
    <cellStyle name="Normal 2 6 31 5" xfId="15729" xr:uid="{1BB9687F-E973-4F5F-BC1E-17974A26F836}"/>
    <cellStyle name="Normal 2 6 32" xfId="6907" xr:uid="{241EA5BE-7E4B-4BBE-A018-FB0BA57DB808}"/>
    <cellStyle name="Normal 2 6 32 2" xfId="6908" xr:uid="{CB6BA33A-2A52-4CDA-8663-B610EC7AC08C}"/>
    <cellStyle name="Normal 2 6 32 2 2" xfId="6909" xr:uid="{B920CEEE-F0B5-4BBC-8232-64018D74A9AE}"/>
    <cellStyle name="Normal 2 6 32 2 2 2" xfId="15737" xr:uid="{933E5C95-A06A-4B52-A908-B5CBA2FE3F65}"/>
    <cellStyle name="Normal 2 6 32 2 3" xfId="6910" xr:uid="{93E63A7B-F81D-4565-AF69-59C4DE60B71B}"/>
    <cellStyle name="Normal 2 6 32 2 3 2" xfId="15738" xr:uid="{C854D5C7-65C6-4C03-865C-C0B4A6135E86}"/>
    <cellStyle name="Normal 2 6 32 2 4" xfId="15736" xr:uid="{6634CAA0-DE1B-4F7B-A93F-421185B9F141}"/>
    <cellStyle name="Normal 2 6 32 3" xfId="6911" xr:uid="{5B58AF0E-2CEC-44B4-98D0-923D8CADAC57}"/>
    <cellStyle name="Normal 2 6 32 3 2" xfId="15739" xr:uid="{866A4B2B-C241-4EE7-955B-6C83170791D1}"/>
    <cellStyle name="Normal 2 6 32 4" xfId="6912" xr:uid="{223BD675-39F9-419F-A157-39C1FD08CEA0}"/>
    <cellStyle name="Normal 2 6 32 4 2" xfId="15740" xr:uid="{B22F79F2-267A-42A6-85BD-13AEE2F4D350}"/>
    <cellStyle name="Normal 2 6 32 5" xfId="15735" xr:uid="{14229469-89A8-4DC1-93F5-D73C7FCC46EB}"/>
    <cellStyle name="Normal 2 6 33" xfId="6913" xr:uid="{8601FA97-2446-4606-A8FC-107AE0119914}"/>
    <cellStyle name="Normal 2 6 33 2" xfId="6914" xr:uid="{A5B01450-5D85-4291-B5C1-AA5B2B7039FA}"/>
    <cellStyle name="Normal 2 6 33 2 2" xfId="6915" xr:uid="{8008FBF3-F368-478A-BC96-032730DF8B35}"/>
    <cellStyle name="Normal 2 6 33 2 2 2" xfId="15743" xr:uid="{B62CBB7B-A6F5-4B54-8220-B877D35EFB7B}"/>
    <cellStyle name="Normal 2 6 33 2 3" xfId="6916" xr:uid="{0EE36890-7DDB-4790-A2BB-84C959D74676}"/>
    <cellStyle name="Normal 2 6 33 2 3 2" xfId="15744" xr:uid="{294980D0-02E5-480F-A978-E982307E2187}"/>
    <cellStyle name="Normal 2 6 33 2 4" xfId="15742" xr:uid="{63A8FBCD-9F6B-4258-AD2D-46CF2887FD6A}"/>
    <cellStyle name="Normal 2 6 33 3" xfId="6917" xr:uid="{C569A14A-0A2C-4A38-B857-4D2EF1D6490C}"/>
    <cellStyle name="Normal 2 6 33 3 2" xfId="15745" xr:uid="{2AA05FA7-DCC2-438A-8357-377E91447E4E}"/>
    <cellStyle name="Normal 2 6 33 4" xfId="6918" xr:uid="{24C66489-BB69-46A7-95DF-4B0A0172DD2B}"/>
    <cellStyle name="Normal 2 6 33 4 2" xfId="15746" xr:uid="{EC163265-8789-48ED-97CB-0405B41104C1}"/>
    <cellStyle name="Normal 2 6 33 5" xfId="15741" xr:uid="{EFD2995C-7864-4297-99AF-F1D406D130ED}"/>
    <cellStyle name="Normal 2 6 34" xfId="6919" xr:uid="{C15099D1-C712-4D0B-9E07-832892F36FCA}"/>
    <cellStyle name="Normal 2 6 34 2" xfId="6920" xr:uid="{D732417D-7DBF-416C-9CFD-289AC41F653A}"/>
    <cellStyle name="Normal 2 6 34 2 2" xfId="6921" xr:uid="{D85F0B6A-C852-463B-ADDE-66B2F38CFA6A}"/>
    <cellStyle name="Normal 2 6 34 2 2 2" xfId="15749" xr:uid="{4FC3BE1E-ACA4-4D85-8997-04E91F5FB4FC}"/>
    <cellStyle name="Normal 2 6 34 2 3" xfId="6922" xr:uid="{98730698-575F-4D6F-90D7-CD81C1E2BE12}"/>
    <cellStyle name="Normal 2 6 34 2 3 2" xfId="15750" xr:uid="{446D76DC-2512-4C7C-A9E0-0C751E3BDDF8}"/>
    <cellStyle name="Normal 2 6 34 2 4" xfId="15748" xr:uid="{CAA6C5CD-F2BB-47AC-B32D-A817CADA0894}"/>
    <cellStyle name="Normal 2 6 34 3" xfId="6923" xr:uid="{AB102923-8F00-4873-8A0B-36BBCC6F596C}"/>
    <cellStyle name="Normal 2 6 34 3 2" xfId="15751" xr:uid="{411B1E4C-C572-4ED8-ADC4-81C2F631E8A1}"/>
    <cellStyle name="Normal 2 6 34 4" xfId="6924" xr:uid="{512542C7-F934-47DD-B573-A85BBCD64D4C}"/>
    <cellStyle name="Normal 2 6 34 4 2" xfId="15752" xr:uid="{2C765815-C60E-4D19-9051-48D5389B16C5}"/>
    <cellStyle name="Normal 2 6 34 5" xfId="15747" xr:uid="{4DCAE796-194B-4BA0-980A-5EFD055629E0}"/>
    <cellStyle name="Normal 2 6 35" xfId="6925" xr:uid="{0D27AF28-9BC3-469A-81EB-E1C71CDDDBBC}"/>
    <cellStyle name="Normal 2 6 35 2" xfId="6926" xr:uid="{10F62982-AEA8-48AC-9B06-C8568827EF66}"/>
    <cellStyle name="Normal 2 6 35 2 2" xfId="6927" xr:uid="{D37057B7-37E4-418F-B0AF-EDFCC7FB6364}"/>
    <cellStyle name="Normal 2 6 35 2 2 2" xfId="15755" xr:uid="{90514051-2D7D-4BBC-BCF4-124336C8E3C3}"/>
    <cellStyle name="Normal 2 6 35 2 3" xfId="6928" xr:uid="{D6FAEFCB-9DF5-49C6-AC9F-5DDFD0DA9EA0}"/>
    <cellStyle name="Normal 2 6 35 2 3 2" xfId="15756" xr:uid="{7A5BD876-7894-429E-9C73-5DA705EDAC49}"/>
    <cellStyle name="Normal 2 6 35 2 4" xfId="15754" xr:uid="{0DDC2D06-6903-4B7B-80C3-86CCCFD096F2}"/>
    <cellStyle name="Normal 2 6 35 3" xfId="6929" xr:uid="{6DEDAECD-D739-47DF-9F4C-447D037C1C4F}"/>
    <cellStyle name="Normal 2 6 35 3 2" xfId="15757" xr:uid="{82B0FB34-F11A-475B-B8CD-6A8707E0BD2E}"/>
    <cellStyle name="Normal 2 6 35 4" xfId="6930" xr:uid="{730D0F62-9297-4D54-ADEB-B7C3D6699898}"/>
    <cellStyle name="Normal 2 6 35 4 2" xfId="15758" xr:uid="{9948D04C-85F2-491C-8A9A-03BF6EEE9BE5}"/>
    <cellStyle name="Normal 2 6 35 5" xfId="15753" xr:uid="{7D47D03B-D678-4386-9871-750A385889D7}"/>
    <cellStyle name="Normal 2 6 36" xfId="6931" xr:uid="{F356BECD-6A16-4112-86C1-21B7E31629AD}"/>
    <cellStyle name="Normal 2 6 36 2" xfId="6932" xr:uid="{73E08E03-89C8-4D6D-A457-AFA8E297A4C9}"/>
    <cellStyle name="Normal 2 6 36 2 2" xfId="6933" xr:uid="{BE89478A-0F81-4842-9CC8-F4FF03E75F63}"/>
    <cellStyle name="Normal 2 6 36 2 2 2" xfId="15761" xr:uid="{963BC85A-399B-48BE-AB01-1DFC51188DF4}"/>
    <cellStyle name="Normal 2 6 36 2 3" xfId="6934" xr:uid="{1F3870F8-4A84-45B6-B82A-C1C64D6BFAC2}"/>
    <cellStyle name="Normal 2 6 36 2 3 2" xfId="15762" xr:uid="{12BFFD99-F553-4E11-8332-9BC60391604D}"/>
    <cellStyle name="Normal 2 6 36 2 4" xfId="15760" xr:uid="{C31CB3B5-1982-4CCD-AA40-32B086EE316D}"/>
    <cellStyle name="Normal 2 6 36 3" xfId="6935" xr:uid="{F767D12B-D411-4880-B29F-7F6BFB024A7D}"/>
    <cellStyle name="Normal 2 6 36 3 2" xfId="15763" xr:uid="{14D6DFC7-8010-473A-8C30-8A82A2AAF757}"/>
    <cellStyle name="Normal 2 6 36 4" xfId="6936" xr:uid="{52E2783B-C4A2-49F5-9860-10CBA2AC2F0A}"/>
    <cellStyle name="Normal 2 6 36 4 2" xfId="15764" xr:uid="{4BA950E7-4270-4926-962D-33105DC04151}"/>
    <cellStyle name="Normal 2 6 36 5" xfId="15759" xr:uid="{F3351407-0A51-4318-86BC-3D8E53068DBA}"/>
    <cellStyle name="Normal 2 6 37" xfId="6937" xr:uid="{EAE6415B-A3A7-4AC0-94DA-9934285DC341}"/>
    <cellStyle name="Normal 2 6 37 2" xfId="6938" xr:uid="{F498EE55-E971-4E44-948A-AFB47ADC90DD}"/>
    <cellStyle name="Normal 2 6 37 2 2" xfId="6939" xr:uid="{D3D7A207-24F1-4837-AEAA-02CA5E586B9B}"/>
    <cellStyle name="Normal 2 6 37 2 2 2" xfId="15767" xr:uid="{AC4F5014-826A-4029-9699-81D29810F7D6}"/>
    <cellStyle name="Normal 2 6 37 2 3" xfId="6940" xr:uid="{0C9A2053-758B-4C8D-85B0-4BC273616855}"/>
    <cellStyle name="Normal 2 6 37 2 3 2" xfId="15768" xr:uid="{D9210851-FB8D-4D48-AA2C-466A4ECE6FCD}"/>
    <cellStyle name="Normal 2 6 37 2 4" xfId="15766" xr:uid="{CBB0F9CC-128D-4D8A-8B5B-D2EA63C74FAF}"/>
    <cellStyle name="Normal 2 6 37 3" xfId="6941" xr:uid="{CE1BA014-F876-4CE0-8832-2B13DBC0C31D}"/>
    <cellStyle name="Normal 2 6 37 3 2" xfId="15769" xr:uid="{23DCBD91-0B2E-49CA-804F-D7F3D1A73DFC}"/>
    <cellStyle name="Normal 2 6 37 4" xfId="6942" xr:uid="{B34A208E-A671-4517-AADD-027B6D381100}"/>
    <cellStyle name="Normal 2 6 37 4 2" xfId="15770" xr:uid="{1855503D-3884-410E-B8CB-6ECF8181B54F}"/>
    <cellStyle name="Normal 2 6 37 5" xfId="15765" xr:uid="{D22C75E7-EC24-4974-BC3C-E4D9CD7E732F}"/>
    <cellStyle name="Normal 2 6 38" xfId="6943" xr:uid="{78223E80-F78A-4926-BFFF-E9F42A229012}"/>
    <cellStyle name="Normal 2 6 38 2" xfId="6944" xr:uid="{B8994A13-DCB3-4845-B9AD-F355212BB0F9}"/>
    <cellStyle name="Normal 2 6 38 2 2" xfId="6945" xr:uid="{61C23EC4-4D69-4EEE-97C4-6CB8E2BB823C}"/>
    <cellStyle name="Normal 2 6 38 2 2 2" xfId="15773" xr:uid="{F9D6FA8B-16DA-4470-B204-DC0E5DCD9A9D}"/>
    <cellStyle name="Normal 2 6 38 2 3" xfId="6946" xr:uid="{02C4DD8E-D96C-4A90-AA2C-A7C054B9E421}"/>
    <cellStyle name="Normal 2 6 38 2 3 2" xfId="15774" xr:uid="{3916BC7B-A6EF-4388-B882-9E1664E6A6F6}"/>
    <cellStyle name="Normal 2 6 38 2 4" xfId="15772" xr:uid="{56050ED0-E757-44CF-A068-340C68C9222A}"/>
    <cellStyle name="Normal 2 6 38 3" xfId="6947" xr:uid="{38ED31D8-BAC9-4E13-99F0-47FF6D075624}"/>
    <cellStyle name="Normal 2 6 38 3 2" xfId="15775" xr:uid="{79EE5EAE-D133-4812-8B58-619526581AD7}"/>
    <cellStyle name="Normal 2 6 38 4" xfId="6948" xr:uid="{D7A00F1B-92D1-487C-96EC-A16E15C75A5D}"/>
    <cellStyle name="Normal 2 6 38 4 2" xfId="15776" xr:uid="{4E268DC5-04A7-4115-8D30-1A8C855CB0BE}"/>
    <cellStyle name="Normal 2 6 38 5" xfId="15771" xr:uid="{8CE20F59-DADF-4CE3-B4B7-11AF123D8F6B}"/>
    <cellStyle name="Normal 2 6 39" xfId="6949" xr:uid="{206B3AA4-2757-4657-92DA-4F7EA4D19AC8}"/>
    <cellStyle name="Normal 2 6 39 2" xfId="6950" xr:uid="{3E6B1A50-CFE2-4EE7-879E-6A876EFDBF65}"/>
    <cellStyle name="Normal 2 6 39 2 2" xfId="6951" xr:uid="{056D51E7-EB8E-4D12-8DB8-F4E61A19A353}"/>
    <cellStyle name="Normal 2 6 39 2 2 2" xfId="15779" xr:uid="{33D91095-FBFA-4C68-BA5F-1D64558F377A}"/>
    <cellStyle name="Normal 2 6 39 2 3" xfId="6952" xr:uid="{EE923672-27B0-4130-9944-F4BA0CAE8C57}"/>
    <cellStyle name="Normal 2 6 39 2 3 2" xfId="15780" xr:uid="{A8300C4E-8FFF-4F00-8142-08F094301BF0}"/>
    <cellStyle name="Normal 2 6 39 2 4" xfId="15778" xr:uid="{82843D2F-98C5-49DF-BC86-BA7583A409E8}"/>
    <cellStyle name="Normal 2 6 39 3" xfId="6953" xr:uid="{60C8EA86-57B7-454E-A016-FB8BD3F516B8}"/>
    <cellStyle name="Normal 2 6 39 3 2" xfId="15781" xr:uid="{966BF02F-D0B3-47E1-804F-FCAC0B5D2FBD}"/>
    <cellStyle name="Normal 2 6 39 4" xfId="6954" xr:uid="{04AEF46F-2069-4B7A-8C47-A5A568C92D5F}"/>
    <cellStyle name="Normal 2 6 39 4 2" xfId="15782" xr:uid="{A9C9361D-1FDE-44E2-B235-E38EB250BF38}"/>
    <cellStyle name="Normal 2 6 39 5" xfId="15777" xr:uid="{28E29C88-853C-48B7-B9D4-6B85772293B2}"/>
    <cellStyle name="Normal 2 6 4" xfId="6955" xr:uid="{FCEC2204-78B0-4F55-B29C-65428ED8A834}"/>
    <cellStyle name="Normal 2 6 4 10" xfId="6956" xr:uid="{12BFBEA8-F824-45AB-BF33-5E25C26DCC4F}"/>
    <cellStyle name="Normal 2 6 4 10 2" xfId="6957" xr:uid="{419059D3-DB0F-41AA-9EB6-2BD0E8F771FC}"/>
    <cellStyle name="Normal 2 6 4 10 2 2" xfId="6958" xr:uid="{25E9B995-E84D-45FA-818A-0956DE815623}"/>
    <cellStyle name="Normal 2 6 4 10 2 2 2" xfId="15786" xr:uid="{58C8FB07-9A03-4660-B985-06272FA39780}"/>
    <cellStyle name="Normal 2 6 4 10 2 3" xfId="6959" xr:uid="{5CB576C0-23AE-41B6-9F3B-D36C4B5234CF}"/>
    <cellStyle name="Normal 2 6 4 10 2 3 2" xfId="15787" xr:uid="{F9D212C2-8764-4C41-913C-DDAB8F8A244C}"/>
    <cellStyle name="Normal 2 6 4 10 2 4" xfId="15785" xr:uid="{712FD38A-26F9-4753-A37D-64C83CB7086C}"/>
    <cellStyle name="Normal 2 6 4 10 3" xfId="6960" xr:uid="{2E6B5C8B-29BA-48EB-995F-451FDCA82B82}"/>
    <cellStyle name="Normal 2 6 4 10 3 2" xfId="15788" xr:uid="{36ED11F6-01A1-4630-9ACF-25A7F60A5BDB}"/>
    <cellStyle name="Normal 2 6 4 10 4" xfId="6961" xr:uid="{CF3E24F4-EEA2-4DB4-B2C5-A54121E1684B}"/>
    <cellStyle name="Normal 2 6 4 10 4 2" xfId="15789" xr:uid="{91F28F92-F0C2-4224-8134-64D810186AE4}"/>
    <cellStyle name="Normal 2 6 4 10 5" xfId="15784" xr:uid="{905B30F4-3066-4155-BAC1-EE4249AEF4B5}"/>
    <cellStyle name="Normal 2 6 4 11" xfId="6962" xr:uid="{C29D68B6-477D-4026-AAE8-4D020C78FC78}"/>
    <cellStyle name="Normal 2 6 4 11 2" xfId="6963" xr:uid="{E6706387-E8A4-4FE5-8E87-2DAED4C220EA}"/>
    <cellStyle name="Normal 2 6 4 11 2 2" xfId="6964" xr:uid="{F23AD650-7FB0-47FA-A34B-790A232D70E6}"/>
    <cellStyle name="Normal 2 6 4 11 2 2 2" xfId="15792" xr:uid="{38F5C454-CEE8-4CA5-BB21-8D512EC52D19}"/>
    <cellStyle name="Normal 2 6 4 11 2 3" xfId="6965" xr:uid="{8AA35918-563E-4D6F-8888-0A3A67FB79A6}"/>
    <cellStyle name="Normal 2 6 4 11 2 3 2" xfId="15793" xr:uid="{63B4808D-1FCE-4C17-A6C6-755B3E9B8EE9}"/>
    <cellStyle name="Normal 2 6 4 11 2 4" xfId="15791" xr:uid="{833837FC-92B3-475E-AC58-F93211D3C98D}"/>
    <cellStyle name="Normal 2 6 4 11 3" xfId="6966" xr:uid="{484EBC5C-B7C8-492F-8093-1BA59062B84B}"/>
    <cellStyle name="Normal 2 6 4 11 3 2" xfId="15794" xr:uid="{06DF5B99-EDD5-4349-9FEC-18F3BFBBB562}"/>
    <cellStyle name="Normal 2 6 4 11 4" xfId="6967" xr:uid="{C49545EE-470B-48D3-A5A7-5A162DC042A7}"/>
    <cellStyle name="Normal 2 6 4 11 4 2" xfId="15795" xr:uid="{5F4545BD-BA79-4EB8-BADF-005C7F129C25}"/>
    <cellStyle name="Normal 2 6 4 11 5" xfId="15790" xr:uid="{982F3D5E-C754-46B7-9728-81BF38DA6F1D}"/>
    <cellStyle name="Normal 2 6 4 12" xfId="6968" xr:uid="{46F9568A-6510-456C-847C-6EA1229B2EB6}"/>
    <cellStyle name="Normal 2 6 4 12 2" xfId="6969" xr:uid="{A547F956-F388-40B0-AD7E-469A4CAB50AB}"/>
    <cellStyle name="Normal 2 6 4 12 2 2" xfId="6970" xr:uid="{00C63E94-05DC-4E8B-AD6E-88958975F42B}"/>
    <cellStyle name="Normal 2 6 4 12 2 2 2" xfId="15798" xr:uid="{7D04BF41-CA09-4AE5-B923-F12BF3EEDF88}"/>
    <cellStyle name="Normal 2 6 4 12 2 3" xfId="6971" xr:uid="{256C749F-1DD1-4CDB-8221-839108E5CD9D}"/>
    <cellStyle name="Normal 2 6 4 12 2 3 2" xfId="15799" xr:uid="{36EA63E0-04BE-4719-AEBF-24CAD8E867A0}"/>
    <cellStyle name="Normal 2 6 4 12 2 4" xfId="15797" xr:uid="{8EDEEBFB-FD13-4D00-A81C-0C6ED4165442}"/>
    <cellStyle name="Normal 2 6 4 12 3" xfId="6972" xr:uid="{031EC545-60EC-4BF3-AC0A-E774665B6C5A}"/>
    <cellStyle name="Normal 2 6 4 12 3 2" xfId="15800" xr:uid="{81BF7990-3144-4E78-912D-C53866AC3786}"/>
    <cellStyle name="Normal 2 6 4 12 4" xfId="6973" xr:uid="{CC8534D7-4CCE-45E1-9A48-DF49488E9995}"/>
    <cellStyle name="Normal 2 6 4 12 4 2" xfId="15801" xr:uid="{F25EF336-2E9C-46DE-A14E-A52580587D61}"/>
    <cellStyle name="Normal 2 6 4 12 5" xfId="15796" xr:uid="{20455293-697D-4590-971A-B96EB3BC2021}"/>
    <cellStyle name="Normal 2 6 4 13" xfId="6974" xr:uid="{0F0ABDB4-71E4-45DE-B1E1-928D39C89ABE}"/>
    <cellStyle name="Normal 2 6 4 13 2" xfId="6975" xr:uid="{CA3BB98B-51E0-4987-8D7C-34070AC05FD0}"/>
    <cellStyle name="Normal 2 6 4 13 2 2" xfId="6976" xr:uid="{D0AA1255-0097-40E1-AEFD-9681AEC26AF4}"/>
    <cellStyle name="Normal 2 6 4 13 2 2 2" xfId="15804" xr:uid="{500CD63F-8A14-4F97-B95E-9F1DFF172487}"/>
    <cellStyle name="Normal 2 6 4 13 2 3" xfId="6977" xr:uid="{B930688C-D0E8-4C70-812D-4A762EB44BE9}"/>
    <cellStyle name="Normal 2 6 4 13 2 3 2" xfId="15805" xr:uid="{8EB6CA3A-8D27-4F88-8E94-8A6506F2B29A}"/>
    <cellStyle name="Normal 2 6 4 13 2 4" xfId="15803" xr:uid="{2ED62E7F-9FAA-4BED-82AE-EF92F4770619}"/>
    <cellStyle name="Normal 2 6 4 13 3" xfId="6978" xr:uid="{B41AD716-D6DC-48C4-9F06-74C3386F436A}"/>
    <cellStyle name="Normal 2 6 4 13 3 2" xfId="15806" xr:uid="{A8B9F47A-39F7-4A24-839C-3FAEF8298399}"/>
    <cellStyle name="Normal 2 6 4 13 4" xfId="6979" xr:uid="{29812EB3-4ED6-49D2-8F69-EEC5FDA35F8D}"/>
    <cellStyle name="Normal 2 6 4 13 4 2" xfId="15807" xr:uid="{BDBDD038-8AFB-4046-A890-E68A80A324F8}"/>
    <cellStyle name="Normal 2 6 4 13 5" xfId="15802" xr:uid="{AB21EC69-A6E2-4C30-8402-E53762297367}"/>
    <cellStyle name="Normal 2 6 4 14" xfId="6980" xr:uid="{BE79D124-DA20-4CFD-B8FB-8617690F42F7}"/>
    <cellStyle name="Normal 2 6 4 14 2" xfId="6981" xr:uid="{F7E29CE4-CA26-410E-8915-5EE14E6BE309}"/>
    <cellStyle name="Normal 2 6 4 14 2 2" xfId="6982" xr:uid="{84B5514C-7238-495B-B3DB-E9CBE302D8F6}"/>
    <cellStyle name="Normal 2 6 4 14 2 2 2" xfId="15810" xr:uid="{67E2461E-22BC-413F-BE2A-D12025D2A134}"/>
    <cellStyle name="Normal 2 6 4 14 2 3" xfId="6983" xr:uid="{12681E3F-0546-42D5-AE9C-28051466C485}"/>
    <cellStyle name="Normal 2 6 4 14 2 3 2" xfId="15811" xr:uid="{912B164D-91A8-46AE-970E-B1D5955F6D5F}"/>
    <cellStyle name="Normal 2 6 4 14 2 4" xfId="15809" xr:uid="{FA56D002-3087-4BF4-9995-5E10C993EB3C}"/>
    <cellStyle name="Normal 2 6 4 14 3" xfId="6984" xr:uid="{C062DBAB-F938-441B-8F41-194E29B90210}"/>
    <cellStyle name="Normal 2 6 4 14 3 2" xfId="15812" xr:uid="{C6D8DC8E-D6AD-43BC-BDEA-4938482C2BA4}"/>
    <cellStyle name="Normal 2 6 4 14 4" xfId="6985" xr:uid="{0537A04C-AEA1-4114-B9AE-CB52084C3015}"/>
    <cellStyle name="Normal 2 6 4 14 4 2" xfId="15813" xr:uid="{DF83A6BA-CFAD-42F7-96F4-AB1766B2EEC5}"/>
    <cellStyle name="Normal 2 6 4 14 5" xfId="15808" xr:uid="{C355677D-B347-4A3C-83F2-9E0A567A5709}"/>
    <cellStyle name="Normal 2 6 4 15" xfId="6986" xr:uid="{826355F9-2941-44F7-BF96-B82A42381E35}"/>
    <cellStyle name="Normal 2 6 4 15 2" xfId="6987" xr:uid="{82BDA078-21F1-4BD2-BC55-DCA96676F3CA}"/>
    <cellStyle name="Normal 2 6 4 15 2 2" xfId="6988" xr:uid="{88D7AB9E-FEF7-4B4B-883E-25DD93EC1F7D}"/>
    <cellStyle name="Normal 2 6 4 15 2 2 2" xfId="15816" xr:uid="{C683DA98-F501-425B-81C8-EF86580B596C}"/>
    <cellStyle name="Normal 2 6 4 15 2 3" xfId="6989" xr:uid="{550A6A21-1D5D-4286-806B-034BEAFE3745}"/>
    <cellStyle name="Normal 2 6 4 15 2 3 2" xfId="15817" xr:uid="{BD3F395F-7620-484B-B017-967B737ACEFA}"/>
    <cellStyle name="Normal 2 6 4 15 2 4" xfId="15815" xr:uid="{B502538C-CD21-42F5-97FF-59B8E44BE1B2}"/>
    <cellStyle name="Normal 2 6 4 15 3" xfId="6990" xr:uid="{7D9F606F-0638-4731-900D-9F4736A485AA}"/>
    <cellStyle name="Normal 2 6 4 15 3 2" xfId="15818" xr:uid="{7CC46C9C-E0D0-4B4A-8FC8-4B1050DD5038}"/>
    <cellStyle name="Normal 2 6 4 15 4" xfId="6991" xr:uid="{96D95E64-2AA1-4598-935A-1ED1AB4B0E0B}"/>
    <cellStyle name="Normal 2 6 4 15 4 2" xfId="15819" xr:uid="{594A0D2A-B211-4A88-9820-994268BF03AF}"/>
    <cellStyle name="Normal 2 6 4 15 5" xfId="15814" xr:uid="{3A4217F4-A29D-46D5-B187-7DFBA5AF83E4}"/>
    <cellStyle name="Normal 2 6 4 16" xfId="6992" xr:uid="{AED30917-862C-4192-B787-48C24BFDF14D}"/>
    <cellStyle name="Normal 2 6 4 16 2" xfId="6993" xr:uid="{1B63E837-7559-461B-9D12-57CB917C7FFB}"/>
    <cellStyle name="Normal 2 6 4 16 2 2" xfId="6994" xr:uid="{F5552031-D94D-41C6-81D4-9E4C77704CA6}"/>
    <cellStyle name="Normal 2 6 4 16 2 2 2" xfId="15822" xr:uid="{A5A37826-B525-4BA2-9ECB-805620C1F91B}"/>
    <cellStyle name="Normal 2 6 4 16 2 3" xfId="6995" xr:uid="{D4709556-E285-462B-945C-A29F92AF9F19}"/>
    <cellStyle name="Normal 2 6 4 16 2 3 2" xfId="15823" xr:uid="{A65AFD4E-9956-47A6-972F-4B5D5CD1CE00}"/>
    <cellStyle name="Normal 2 6 4 16 2 4" xfId="15821" xr:uid="{8C762D96-C994-4649-BF4B-551C100B2B09}"/>
    <cellStyle name="Normal 2 6 4 16 3" xfId="6996" xr:uid="{850CE416-ADE4-4D49-B97F-38283C588514}"/>
    <cellStyle name="Normal 2 6 4 16 3 2" xfId="15824" xr:uid="{F1DE300F-23A2-458A-808E-00C9219166DA}"/>
    <cellStyle name="Normal 2 6 4 16 4" xfId="6997" xr:uid="{CE5E20B7-545C-4C43-A5F5-F07BF2780230}"/>
    <cellStyle name="Normal 2 6 4 16 4 2" xfId="15825" xr:uid="{6308AB78-7E7A-471D-92DC-26669F92F337}"/>
    <cellStyle name="Normal 2 6 4 16 5" xfId="15820" xr:uid="{F5A31D65-85C1-4D93-AE72-9B0D28F19BA1}"/>
    <cellStyle name="Normal 2 6 4 17" xfId="6998" xr:uid="{666DEF10-BAD6-4E55-B89F-C697BB17A8EC}"/>
    <cellStyle name="Normal 2 6 4 17 2" xfId="6999" xr:uid="{97EF8EE6-E129-474A-A305-C33819274B4A}"/>
    <cellStyle name="Normal 2 6 4 17 2 2" xfId="7000" xr:uid="{F85EFB9A-E358-4074-9026-C05DE5E1DF84}"/>
    <cellStyle name="Normal 2 6 4 17 2 2 2" xfId="15828" xr:uid="{DCA96D5A-6FDB-455C-BCE0-A79AA0DEC71A}"/>
    <cellStyle name="Normal 2 6 4 17 2 3" xfId="7001" xr:uid="{181F6429-6D88-4F86-B8A8-413E29FEF8E1}"/>
    <cellStyle name="Normal 2 6 4 17 2 3 2" xfId="15829" xr:uid="{E861162B-FE3C-4951-B787-C24579AAB970}"/>
    <cellStyle name="Normal 2 6 4 17 2 4" xfId="15827" xr:uid="{5EA096A8-D2CF-446C-8E0A-D8EF9A611EBE}"/>
    <cellStyle name="Normal 2 6 4 17 3" xfId="7002" xr:uid="{4F3BB4AD-08F5-4237-8DFA-FD9BFAB43A4D}"/>
    <cellStyle name="Normal 2 6 4 17 3 2" xfId="15830" xr:uid="{47C70A12-7F62-4A05-B851-7C22F1723D2D}"/>
    <cellStyle name="Normal 2 6 4 17 4" xfId="7003" xr:uid="{AB926F30-9EBD-4394-A1C8-0A1DF6994B32}"/>
    <cellStyle name="Normal 2 6 4 17 4 2" xfId="15831" xr:uid="{E0C01451-FAF1-4332-BB9E-CEDB11E7C540}"/>
    <cellStyle name="Normal 2 6 4 17 5" xfId="15826" xr:uid="{EE45F9EC-B5E9-4A84-AC9E-D0AB1DCD837D}"/>
    <cellStyle name="Normal 2 6 4 18" xfId="7004" xr:uid="{050DCC26-0C11-44F4-969F-6D5A3D42801B}"/>
    <cellStyle name="Normal 2 6 4 18 2" xfId="7005" xr:uid="{19606122-B0B1-4D1D-B05E-C1886362401F}"/>
    <cellStyle name="Normal 2 6 4 18 2 2" xfId="7006" xr:uid="{BF4A5ADF-FD11-4BEE-87AC-8550C9C5EA0D}"/>
    <cellStyle name="Normal 2 6 4 18 2 2 2" xfId="15834" xr:uid="{B98B5F31-5CC0-4338-925D-9F000301FF64}"/>
    <cellStyle name="Normal 2 6 4 18 2 3" xfId="7007" xr:uid="{5E12725B-7044-4D8C-B1CD-D78AEB2FEBC7}"/>
    <cellStyle name="Normal 2 6 4 18 2 3 2" xfId="15835" xr:uid="{AB7EDF84-61A6-4C1C-84D3-B079AF3083A0}"/>
    <cellStyle name="Normal 2 6 4 18 2 4" xfId="15833" xr:uid="{73F93DC1-D194-4DD8-996E-D484ACE13871}"/>
    <cellStyle name="Normal 2 6 4 18 3" xfId="7008" xr:uid="{D22B4926-88DA-4FE7-B898-7BF8E50D8316}"/>
    <cellStyle name="Normal 2 6 4 18 3 2" xfId="15836" xr:uid="{E8E068B2-6428-4439-A245-421BD2594BC7}"/>
    <cellStyle name="Normal 2 6 4 18 4" xfId="7009" xr:uid="{C91F9F8A-F2BF-44EE-9537-070F33493BD2}"/>
    <cellStyle name="Normal 2 6 4 18 4 2" xfId="15837" xr:uid="{AFEB65E5-79EC-4366-9C4B-6C21CC2F545B}"/>
    <cellStyle name="Normal 2 6 4 18 5" xfId="15832" xr:uid="{F093B842-756C-4D91-BE46-B9676F4C51EA}"/>
    <cellStyle name="Normal 2 6 4 19" xfId="7010" xr:uid="{96BEC742-9EAA-4396-95FC-A249E7440DF9}"/>
    <cellStyle name="Normal 2 6 4 19 2" xfId="7011" xr:uid="{47E3E705-CC68-42BC-AEDE-2A8956E492F0}"/>
    <cellStyle name="Normal 2 6 4 19 2 2" xfId="7012" xr:uid="{92583DF0-70AB-489A-810B-A068DA895537}"/>
    <cellStyle name="Normal 2 6 4 19 2 2 2" xfId="15840" xr:uid="{DE1599CF-57FA-461C-81A2-FEF75CAD63FB}"/>
    <cellStyle name="Normal 2 6 4 19 2 3" xfId="7013" xr:uid="{30A02389-4545-4CE8-ABA4-E836F8775E61}"/>
    <cellStyle name="Normal 2 6 4 19 2 3 2" xfId="15841" xr:uid="{F1B1C0B5-F74A-4293-876F-3B89958F79B6}"/>
    <cellStyle name="Normal 2 6 4 19 2 4" xfId="15839" xr:uid="{861F7313-0568-41E3-BDD5-033FBB71C370}"/>
    <cellStyle name="Normal 2 6 4 19 3" xfId="7014" xr:uid="{025D8887-A617-451A-A643-709A7C8CD2F6}"/>
    <cellStyle name="Normal 2 6 4 19 3 2" xfId="15842" xr:uid="{4E9453D1-AF74-4C5C-9E67-45544BA90555}"/>
    <cellStyle name="Normal 2 6 4 19 4" xfId="7015" xr:uid="{69EDE4EA-E5C8-4B52-906D-AB4A3E510146}"/>
    <cellStyle name="Normal 2 6 4 19 4 2" xfId="15843" xr:uid="{22EE948F-C0D6-4A06-AB95-17ECB932346A}"/>
    <cellStyle name="Normal 2 6 4 19 5" xfId="15838" xr:uid="{31563682-A4C4-4E63-AAE8-0FB1854B0241}"/>
    <cellStyle name="Normal 2 6 4 2" xfId="7016" xr:uid="{CE946CD4-2AE4-427A-B0F0-7BAA9AA57BEB}"/>
    <cellStyle name="Normal 2 6 4 2 2" xfId="7017" xr:uid="{C8EE7833-261E-43B1-B3D8-EAF3BBD550C2}"/>
    <cellStyle name="Normal 2 6 4 2 2 2" xfId="7018" xr:uid="{51793CD6-E4D8-4ED9-A549-AE1757B57EAA}"/>
    <cellStyle name="Normal 2 6 4 2 2 2 2" xfId="15846" xr:uid="{45DE9744-6448-4375-8633-BA9C23BA2E34}"/>
    <cellStyle name="Normal 2 6 4 2 2 3" xfId="7019" xr:uid="{D2B9F3B0-CAFD-4E76-A639-F0E2B768D302}"/>
    <cellStyle name="Normal 2 6 4 2 2 3 2" xfId="15847" xr:uid="{FA6954A3-AA6D-437B-AA38-5618ADC320CF}"/>
    <cellStyle name="Normal 2 6 4 2 2 4" xfId="15845" xr:uid="{A6A6C7FC-C875-4B27-BCEC-B568F97BC079}"/>
    <cellStyle name="Normal 2 6 4 2 3" xfId="7020" xr:uid="{3696CED4-8AD5-43AC-BA76-2586A2DBAAFE}"/>
    <cellStyle name="Normal 2 6 4 2 3 2" xfId="15848" xr:uid="{6774E1CF-7472-408D-8F58-6F13B73185D1}"/>
    <cellStyle name="Normal 2 6 4 2 4" xfId="7021" xr:uid="{78DD1B43-595D-4806-AD24-D3C6E0E6FF56}"/>
    <cellStyle name="Normal 2 6 4 2 4 2" xfId="15849" xr:uid="{60CB1CBE-C696-42C5-9159-47D834C57F35}"/>
    <cellStyle name="Normal 2 6 4 2 5" xfId="15844" xr:uid="{8A867894-CB7C-4B06-8670-AA38A7B1A736}"/>
    <cellStyle name="Normal 2 6 4 20" xfId="7022" xr:uid="{52A940BC-969A-4ED8-82A8-5E4AFBEB5337}"/>
    <cellStyle name="Normal 2 6 4 20 2" xfId="7023" xr:uid="{F90A156C-8242-4A13-97DC-32B67D25177E}"/>
    <cellStyle name="Normal 2 6 4 20 2 2" xfId="7024" xr:uid="{10D686A8-1704-4180-846C-3240A7951328}"/>
    <cellStyle name="Normal 2 6 4 20 2 2 2" xfId="15852" xr:uid="{5280D4F5-6C65-4B2C-B320-8BDBE209739F}"/>
    <cellStyle name="Normal 2 6 4 20 2 3" xfId="7025" xr:uid="{BB8B4890-FDA4-4F1B-BCA0-51ACA6C58066}"/>
    <cellStyle name="Normal 2 6 4 20 2 3 2" xfId="15853" xr:uid="{AA4C072E-791C-4B15-98AE-2DEA49A2AFCC}"/>
    <cellStyle name="Normal 2 6 4 20 2 4" xfId="15851" xr:uid="{72125906-FD74-4391-8782-29D4B8823323}"/>
    <cellStyle name="Normal 2 6 4 20 3" xfId="7026" xr:uid="{B45BFAD1-5EB6-4FBE-A375-33C88B508A6E}"/>
    <cellStyle name="Normal 2 6 4 20 3 2" xfId="15854" xr:uid="{AC4DF581-295B-407F-891D-443407CA568D}"/>
    <cellStyle name="Normal 2 6 4 20 4" xfId="7027" xr:uid="{CAC36325-6955-4515-8294-560A81A3C356}"/>
    <cellStyle name="Normal 2 6 4 20 4 2" xfId="15855" xr:uid="{5DE8AF60-057C-4E14-8A53-64BE3AF5B837}"/>
    <cellStyle name="Normal 2 6 4 20 5" xfId="15850" xr:uid="{1F7CD4BC-D2F2-4FEA-91E9-A91DA2C71A8F}"/>
    <cellStyle name="Normal 2 6 4 21" xfId="7028" xr:uid="{A253A55F-2F1C-46D6-8924-3558284594E8}"/>
    <cellStyle name="Normal 2 6 4 21 2" xfId="7029" xr:uid="{3FE68CD4-409C-495B-9493-0DB9F16DD928}"/>
    <cellStyle name="Normal 2 6 4 21 2 2" xfId="7030" xr:uid="{497DBF99-F20B-40CA-8AA7-F5D7961E9780}"/>
    <cellStyle name="Normal 2 6 4 21 2 2 2" xfId="15858" xr:uid="{B6BC2C1E-635E-4A0F-92E4-BBCEB1B14F87}"/>
    <cellStyle name="Normal 2 6 4 21 2 3" xfId="7031" xr:uid="{B5F70478-35B5-4996-B827-FF2A5A109CF6}"/>
    <cellStyle name="Normal 2 6 4 21 2 3 2" xfId="15859" xr:uid="{BF0086E6-C045-48CE-892D-7A125A355C65}"/>
    <cellStyle name="Normal 2 6 4 21 2 4" xfId="15857" xr:uid="{5665EE44-D666-48FF-8326-9FAACDADD0A2}"/>
    <cellStyle name="Normal 2 6 4 21 3" xfId="7032" xr:uid="{EC127A46-7516-4B6E-A30F-4C515715C66C}"/>
    <cellStyle name="Normal 2 6 4 21 3 2" xfId="15860" xr:uid="{61214340-69F5-4FA8-8603-EF9B21E0350A}"/>
    <cellStyle name="Normal 2 6 4 21 4" xfId="7033" xr:uid="{C5652530-F003-43ED-8AB3-D3BC6F8DC674}"/>
    <cellStyle name="Normal 2 6 4 21 4 2" xfId="15861" xr:uid="{679BF9C9-C7E6-4893-B89B-30FA00B405F4}"/>
    <cellStyle name="Normal 2 6 4 21 5" xfId="15856" xr:uid="{15315299-FBF4-4C29-9044-74FCF8B6D7BC}"/>
    <cellStyle name="Normal 2 6 4 22" xfId="7034" xr:uid="{21320754-A171-4C37-8FDC-1345A06E50F4}"/>
    <cellStyle name="Normal 2 6 4 22 2" xfId="7035" xr:uid="{AF2F0D7C-3393-4902-9BB4-CEE9C9431CC7}"/>
    <cellStyle name="Normal 2 6 4 22 2 2" xfId="7036" xr:uid="{77626874-E07C-4AEA-A950-8D1321D4B0E5}"/>
    <cellStyle name="Normal 2 6 4 22 2 2 2" xfId="15864" xr:uid="{6475BDA1-652F-467C-A63A-81792CE1FDB5}"/>
    <cellStyle name="Normal 2 6 4 22 2 3" xfId="7037" xr:uid="{795AC539-BBC7-41C8-992C-6E8B53839EC0}"/>
    <cellStyle name="Normal 2 6 4 22 2 3 2" xfId="15865" xr:uid="{B06E9EDE-69FC-4AFE-8328-0EB575E43AF9}"/>
    <cellStyle name="Normal 2 6 4 22 2 4" xfId="15863" xr:uid="{27871C6E-A8C1-4245-8C19-8809DC592C78}"/>
    <cellStyle name="Normal 2 6 4 22 3" xfId="7038" xr:uid="{FDFFFCDE-A1C2-400E-B607-DCBD4EB4DFB9}"/>
    <cellStyle name="Normal 2 6 4 22 3 2" xfId="15866" xr:uid="{42F88AF6-0909-42BE-A518-1E93019CA314}"/>
    <cellStyle name="Normal 2 6 4 22 4" xfId="7039" xr:uid="{21915A22-E846-4969-B244-62EFA554842C}"/>
    <cellStyle name="Normal 2 6 4 22 4 2" xfId="15867" xr:uid="{08E08A37-AB9B-4D4C-BE73-81EE41B714B7}"/>
    <cellStyle name="Normal 2 6 4 22 5" xfId="15862" xr:uid="{D000CD36-AF9C-44F6-8C84-7615D0C50B2E}"/>
    <cellStyle name="Normal 2 6 4 23" xfId="7040" xr:uid="{ECF03968-5BE3-4D0E-AE53-2B04B08F0CD4}"/>
    <cellStyle name="Normal 2 6 4 23 2" xfId="7041" xr:uid="{DDA18DDC-1529-440F-ABE2-A9033656BBB7}"/>
    <cellStyle name="Normal 2 6 4 23 2 2" xfId="7042" xr:uid="{39B9B26F-255B-456B-A3A9-9D7EBC3681B8}"/>
    <cellStyle name="Normal 2 6 4 23 2 2 2" xfId="15870" xr:uid="{AA6C9952-11FB-4B20-90BC-E2374847977F}"/>
    <cellStyle name="Normal 2 6 4 23 2 3" xfId="7043" xr:uid="{03F50FCD-C3A2-49E0-8A52-17E512862D22}"/>
    <cellStyle name="Normal 2 6 4 23 2 3 2" xfId="15871" xr:uid="{B444C52C-6D36-45D2-BB73-26BBDC5B2A10}"/>
    <cellStyle name="Normal 2 6 4 23 2 4" xfId="15869" xr:uid="{3A0A5F0F-4400-4C5A-961F-44FBCE064F04}"/>
    <cellStyle name="Normal 2 6 4 23 3" xfId="7044" xr:uid="{4DF1217F-69DE-4E9B-AD23-45E92064765E}"/>
    <cellStyle name="Normal 2 6 4 23 3 2" xfId="15872" xr:uid="{FE62BBD8-2ECB-4EF4-9522-9CC543CC3E0D}"/>
    <cellStyle name="Normal 2 6 4 23 4" xfId="7045" xr:uid="{34EA6BA1-2EDE-4882-86AA-1A79E0EC90A4}"/>
    <cellStyle name="Normal 2 6 4 23 4 2" xfId="15873" xr:uid="{5D9C0EB3-5CB7-4635-A407-93C0AB0E264C}"/>
    <cellStyle name="Normal 2 6 4 23 5" xfId="15868" xr:uid="{4F2CE9D1-C16D-45F7-9EF8-997F1243C42E}"/>
    <cellStyle name="Normal 2 6 4 24" xfId="7046" xr:uid="{1D862302-A03D-4E8A-8E36-A02A7BB7EF90}"/>
    <cellStyle name="Normal 2 6 4 24 2" xfId="7047" xr:uid="{D6FE36D0-5231-40C6-B3B1-2F78B74A11C3}"/>
    <cellStyle name="Normal 2 6 4 24 2 2" xfId="7048" xr:uid="{514B0CCE-7056-49AF-89F7-08C7D23CF2DB}"/>
    <cellStyle name="Normal 2 6 4 24 2 2 2" xfId="15876" xr:uid="{A6F44E87-7A3D-4BB0-8DD1-86903EBE3A55}"/>
    <cellStyle name="Normal 2 6 4 24 2 3" xfId="7049" xr:uid="{369CAA8D-98A7-473D-BEE1-2A573FCA1BCA}"/>
    <cellStyle name="Normal 2 6 4 24 2 3 2" xfId="15877" xr:uid="{AEF44EE3-FA3F-49AB-9DF9-97A95CD4A248}"/>
    <cellStyle name="Normal 2 6 4 24 2 4" xfId="15875" xr:uid="{89B937BB-156F-4414-AC4A-45073655FEBE}"/>
    <cellStyle name="Normal 2 6 4 24 3" xfId="7050" xr:uid="{468541A0-B6EA-472F-BD5F-3711C33E6D9C}"/>
    <cellStyle name="Normal 2 6 4 24 3 2" xfId="15878" xr:uid="{3F12DE4D-4DFA-4949-8FE0-725FAAEC3CDD}"/>
    <cellStyle name="Normal 2 6 4 24 4" xfId="7051" xr:uid="{B634B5B1-96D8-44A7-8599-2880A6F329A0}"/>
    <cellStyle name="Normal 2 6 4 24 4 2" xfId="15879" xr:uid="{41CE7758-250F-408F-95B5-267A7AD3583C}"/>
    <cellStyle name="Normal 2 6 4 24 5" xfId="15874" xr:uid="{53C952FD-960F-4759-8125-F6494AC0D4A3}"/>
    <cellStyle name="Normal 2 6 4 25" xfId="7052" xr:uid="{01A6825D-DE31-4050-AA5D-660675B40A7D}"/>
    <cellStyle name="Normal 2 6 4 25 2" xfId="7053" xr:uid="{75554D16-58D4-4AE5-915E-7B4970348065}"/>
    <cellStyle name="Normal 2 6 4 25 2 2" xfId="7054" xr:uid="{2401FC7C-C48F-4D5D-9226-BFCBD056FF5D}"/>
    <cellStyle name="Normal 2 6 4 25 2 2 2" xfId="15882" xr:uid="{3C4186EB-5A4C-436A-8D73-F06B0560491F}"/>
    <cellStyle name="Normal 2 6 4 25 2 3" xfId="7055" xr:uid="{6D346F24-D8AB-4B40-A18D-4AFBA295243A}"/>
    <cellStyle name="Normal 2 6 4 25 2 3 2" xfId="15883" xr:uid="{031447EC-DDDA-4F5A-A68E-847CE7358B0B}"/>
    <cellStyle name="Normal 2 6 4 25 2 4" xfId="15881" xr:uid="{C7876E49-80C1-4BF3-BC33-1AE0A76B7017}"/>
    <cellStyle name="Normal 2 6 4 25 3" xfId="7056" xr:uid="{8602C436-8634-4FED-9D06-719FDFE8EB75}"/>
    <cellStyle name="Normal 2 6 4 25 3 2" xfId="15884" xr:uid="{C6BFD5B2-6C2B-4285-AA48-A706E7F4B98A}"/>
    <cellStyle name="Normal 2 6 4 25 4" xfId="7057" xr:uid="{77306EDB-005A-4E05-B0B1-22DE51A4B61E}"/>
    <cellStyle name="Normal 2 6 4 25 4 2" xfId="15885" xr:uid="{9A9F2FEA-1487-4BEF-BD64-98BA4C5FE4FA}"/>
    <cellStyle name="Normal 2 6 4 25 5" xfId="15880" xr:uid="{F58CEEFD-0649-4331-92DD-64A3BA3E2DE0}"/>
    <cellStyle name="Normal 2 6 4 26" xfId="7058" xr:uid="{01964628-F599-4BBD-A577-0CF30F629768}"/>
    <cellStyle name="Normal 2 6 4 26 2" xfId="7059" xr:uid="{1FE59812-2A51-4E5F-A171-8CB6C484CD99}"/>
    <cellStyle name="Normal 2 6 4 26 2 2" xfId="7060" xr:uid="{DD0A0D71-091E-41E7-AA44-121182F161A2}"/>
    <cellStyle name="Normal 2 6 4 26 2 2 2" xfId="15888" xr:uid="{01372727-96EE-408C-8EBF-DBED0A4F55FC}"/>
    <cellStyle name="Normal 2 6 4 26 2 3" xfId="7061" xr:uid="{B5531B44-0622-45E4-8CC3-59EC20EFD89F}"/>
    <cellStyle name="Normal 2 6 4 26 2 3 2" xfId="15889" xr:uid="{D0D53E23-52C9-4F23-BD8A-292393F7E8CE}"/>
    <cellStyle name="Normal 2 6 4 26 2 4" xfId="15887" xr:uid="{4B5AC754-10AD-4B78-A2B5-FC5F772C1FA8}"/>
    <cellStyle name="Normal 2 6 4 26 3" xfId="7062" xr:uid="{9762400E-B6C3-47DD-97B4-A8021217E6BB}"/>
    <cellStyle name="Normal 2 6 4 26 3 2" xfId="15890" xr:uid="{F80FA50B-9BA0-403E-AF5D-2C0306DA1E1D}"/>
    <cellStyle name="Normal 2 6 4 26 4" xfId="7063" xr:uid="{6A50763E-C3AE-4BF7-9D1C-36C4906BC901}"/>
    <cellStyle name="Normal 2 6 4 26 4 2" xfId="15891" xr:uid="{F6303EB2-560D-4C01-B5EF-26C6CBAFAF22}"/>
    <cellStyle name="Normal 2 6 4 26 5" xfId="15886" xr:uid="{D11113ED-DCA8-4B36-B36C-C8516DBA1B4E}"/>
    <cellStyle name="Normal 2 6 4 27" xfId="7064" xr:uid="{3EBE1D2A-B4DA-48BA-9755-86C43D176128}"/>
    <cellStyle name="Normal 2 6 4 27 2" xfId="7065" xr:uid="{3BF3BB13-3FFD-42CE-AD94-0A5E93099F35}"/>
    <cellStyle name="Normal 2 6 4 27 2 2" xfId="7066" xr:uid="{FB3F8E59-572D-4023-8E77-A45926928345}"/>
    <cellStyle name="Normal 2 6 4 27 2 2 2" xfId="15894" xr:uid="{B639A3DE-6F95-4BB5-9040-DCF12CC4FCAC}"/>
    <cellStyle name="Normal 2 6 4 27 2 3" xfId="7067" xr:uid="{1E8C7CB1-704F-447B-921E-C9CF0DEDE00C}"/>
    <cellStyle name="Normal 2 6 4 27 2 3 2" xfId="15895" xr:uid="{C8296F77-3C2A-4328-AB84-F2F43926E5D3}"/>
    <cellStyle name="Normal 2 6 4 27 2 4" xfId="15893" xr:uid="{13E2F7E4-8D65-4517-87B0-C2DB7E8B2817}"/>
    <cellStyle name="Normal 2 6 4 27 3" xfId="7068" xr:uid="{C0C131CC-90D9-43B5-A81B-0B8955857845}"/>
    <cellStyle name="Normal 2 6 4 27 3 2" xfId="15896" xr:uid="{1D526515-32FD-4367-A385-E77755738662}"/>
    <cellStyle name="Normal 2 6 4 27 4" xfId="7069" xr:uid="{2783E1DE-8A50-476D-A1DF-209669CE8B51}"/>
    <cellStyle name="Normal 2 6 4 27 4 2" xfId="15897" xr:uid="{B3719AFF-EA0F-402F-90DB-E4064427DB1A}"/>
    <cellStyle name="Normal 2 6 4 27 5" xfId="15892" xr:uid="{4C5A1E1C-27E8-4E19-9FF0-14319863ADD7}"/>
    <cellStyle name="Normal 2 6 4 28" xfId="7070" xr:uid="{1FECB4DD-D603-40EA-8D3A-BA22EF71DF6F}"/>
    <cellStyle name="Normal 2 6 4 28 2" xfId="7071" xr:uid="{9E977AE0-91BF-42C9-9139-3B8AE6E133A6}"/>
    <cellStyle name="Normal 2 6 4 28 2 2" xfId="7072" xr:uid="{3F3A9125-B0E7-4B4D-8FE4-C51DE3DFC8F1}"/>
    <cellStyle name="Normal 2 6 4 28 2 2 2" xfId="15900" xr:uid="{3DD60792-335A-4A7E-833D-F2E1AC1EB2A5}"/>
    <cellStyle name="Normal 2 6 4 28 2 3" xfId="7073" xr:uid="{38DA26FD-BE13-467C-8A37-50EFBCAD5DF5}"/>
    <cellStyle name="Normal 2 6 4 28 2 3 2" xfId="15901" xr:uid="{69ADF1F3-DD02-4269-BA36-4585ED454B59}"/>
    <cellStyle name="Normal 2 6 4 28 2 4" xfId="15899" xr:uid="{06CD9AE6-F460-43FE-B4FF-823206552E3C}"/>
    <cellStyle name="Normal 2 6 4 28 3" xfId="7074" xr:uid="{A927181C-973A-47AF-84D4-D983D47BD768}"/>
    <cellStyle name="Normal 2 6 4 28 3 2" xfId="15902" xr:uid="{55387690-70E0-4EB6-B0BE-1C8E95F98FA8}"/>
    <cellStyle name="Normal 2 6 4 28 4" xfId="7075" xr:uid="{7AF9C454-85DE-4946-89F7-112463EA0DE2}"/>
    <cellStyle name="Normal 2 6 4 28 4 2" xfId="15903" xr:uid="{76EE807E-F33E-4575-9119-D0FA1580C8C3}"/>
    <cellStyle name="Normal 2 6 4 28 5" xfId="15898" xr:uid="{771075B2-A1B1-48D5-B12B-5109E063C4CB}"/>
    <cellStyle name="Normal 2 6 4 29" xfId="7076" xr:uid="{82507CAF-E498-4BC6-80F7-8638E4D3F41A}"/>
    <cellStyle name="Normal 2 6 4 29 2" xfId="7077" xr:uid="{2E8702B9-FF8B-441F-8D67-630A21BEB657}"/>
    <cellStyle name="Normal 2 6 4 29 2 2" xfId="7078" xr:uid="{99BFFA76-2713-4864-A7E5-87264B2F306C}"/>
    <cellStyle name="Normal 2 6 4 29 2 2 2" xfId="15906" xr:uid="{30AF2385-7D17-41FA-AD91-13AE7C6B2B7F}"/>
    <cellStyle name="Normal 2 6 4 29 2 3" xfId="7079" xr:uid="{A778EA46-64A4-4CF0-B848-FB44ECA93D00}"/>
    <cellStyle name="Normal 2 6 4 29 2 3 2" xfId="15907" xr:uid="{7137F0CD-E327-43EA-B5DE-B5311970CAFD}"/>
    <cellStyle name="Normal 2 6 4 29 2 4" xfId="15905" xr:uid="{658C5D7D-E6EA-497B-9F21-7FA20C92C133}"/>
    <cellStyle name="Normal 2 6 4 29 3" xfId="7080" xr:uid="{63B59136-2CCC-4F77-A2E1-5E2E9EF5B570}"/>
    <cellStyle name="Normal 2 6 4 29 3 2" xfId="15908" xr:uid="{8A2FB9A5-C857-4FB1-8097-D0710A717917}"/>
    <cellStyle name="Normal 2 6 4 29 4" xfId="7081" xr:uid="{103AD610-1AD5-4FB0-A7D6-E875A723C5DC}"/>
    <cellStyle name="Normal 2 6 4 29 4 2" xfId="15909" xr:uid="{A26BC819-B875-4F18-9447-08F69AC5BBBB}"/>
    <cellStyle name="Normal 2 6 4 29 5" xfId="15904" xr:uid="{D1035CBB-09A8-4B32-9DD4-FC03907B3437}"/>
    <cellStyle name="Normal 2 6 4 3" xfId="7082" xr:uid="{567C843E-970E-4160-9E30-B0B07C41C2CC}"/>
    <cellStyle name="Normal 2 6 4 3 2" xfId="7083" xr:uid="{4636E1AD-CEE5-40E2-B8C1-2D172D59AE88}"/>
    <cellStyle name="Normal 2 6 4 3 2 2" xfId="7084" xr:uid="{E06D06A8-0386-470A-AE73-21C52058AE05}"/>
    <cellStyle name="Normal 2 6 4 3 2 2 2" xfId="15912" xr:uid="{135AC90F-1341-4FF8-97D3-EB904D66F91F}"/>
    <cellStyle name="Normal 2 6 4 3 2 3" xfId="7085" xr:uid="{0E9CA3A8-2D80-40EF-AD79-2098758288D8}"/>
    <cellStyle name="Normal 2 6 4 3 2 3 2" xfId="15913" xr:uid="{7D41AA04-248A-42EA-B369-8259CE62CC27}"/>
    <cellStyle name="Normal 2 6 4 3 2 4" xfId="15911" xr:uid="{F199EE52-605A-429F-B1E3-937C2ACD0767}"/>
    <cellStyle name="Normal 2 6 4 3 3" xfId="7086" xr:uid="{3F99022F-F0DC-40DD-94A1-530C9695DD24}"/>
    <cellStyle name="Normal 2 6 4 3 3 2" xfId="15914" xr:uid="{5F04E2C4-BE72-4602-9133-61F9563E2941}"/>
    <cellStyle name="Normal 2 6 4 3 4" xfId="7087" xr:uid="{8BB8A2C3-E4BE-42E3-9B87-7D40A0B61E37}"/>
    <cellStyle name="Normal 2 6 4 3 4 2" xfId="15915" xr:uid="{95B9E1AF-E275-4FF0-A9C9-A73AFF689C3A}"/>
    <cellStyle name="Normal 2 6 4 3 5" xfId="15910" xr:uid="{B51D0FD6-8A4B-4A85-89EA-620BCCFD1124}"/>
    <cellStyle name="Normal 2 6 4 30" xfId="7088" xr:uid="{56C86F0F-35D3-4CEE-94E7-8B3A6E0A87C0}"/>
    <cellStyle name="Normal 2 6 4 30 2" xfId="7089" xr:uid="{F419A7B9-3C3C-4A4B-9108-ED2474F862CB}"/>
    <cellStyle name="Normal 2 6 4 30 2 2" xfId="7090" xr:uid="{A4A21B14-E5C3-40ED-8CB0-9D77300197A0}"/>
    <cellStyle name="Normal 2 6 4 30 2 2 2" xfId="15918" xr:uid="{405F61B6-9630-48DF-90A0-88F5C4C32DF1}"/>
    <cellStyle name="Normal 2 6 4 30 2 3" xfId="7091" xr:uid="{3DD0FA83-C8D1-400E-B13F-D951C45D903A}"/>
    <cellStyle name="Normal 2 6 4 30 2 3 2" xfId="15919" xr:uid="{BFDD4BAB-242F-4BF3-88E4-F64135512648}"/>
    <cellStyle name="Normal 2 6 4 30 2 4" xfId="15917" xr:uid="{4A4E7671-15E9-43C8-8C42-DBBE21A933D6}"/>
    <cellStyle name="Normal 2 6 4 30 3" xfId="7092" xr:uid="{0CF21BFB-89F9-49F8-ABC5-FF1F4F9111CF}"/>
    <cellStyle name="Normal 2 6 4 30 3 2" xfId="15920" xr:uid="{90FA9639-8BD5-4AA5-B9F5-9EB36FC08646}"/>
    <cellStyle name="Normal 2 6 4 30 4" xfId="7093" xr:uid="{3F7162DA-5B53-4331-82E8-5B033C89E57E}"/>
    <cellStyle name="Normal 2 6 4 30 4 2" xfId="15921" xr:uid="{BF5DA0B7-AC0A-4F51-98EF-5D0E7A56A443}"/>
    <cellStyle name="Normal 2 6 4 30 5" xfId="15916" xr:uid="{9768C7CE-A641-49DC-9B6C-9329ADDF05FE}"/>
    <cellStyle name="Normal 2 6 4 31" xfId="7094" xr:uid="{77EADBB4-F0F2-45B3-85FA-C4BB56E5477E}"/>
    <cellStyle name="Normal 2 6 4 31 2" xfId="7095" xr:uid="{29B19C88-5787-4F30-BAD0-01D6B7A728AD}"/>
    <cellStyle name="Normal 2 6 4 31 2 2" xfId="7096" xr:uid="{8FA9344D-F289-4830-8BFB-77CD91E93396}"/>
    <cellStyle name="Normal 2 6 4 31 2 2 2" xfId="15924" xr:uid="{F0D1A66F-B71D-49C9-BF64-64FDA5A0C8F5}"/>
    <cellStyle name="Normal 2 6 4 31 2 3" xfId="7097" xr:uid="{C6CEE772-5296-4A4D-9155-08635FE690B4}"/>
    <cellStyle name="Normal 2 6 4 31 2 3 2" xfId="15925" xr:uid="{A83146EF-1A7C-4918-BA18-B1F989CE450D}"/>
    <cellStyle name="Normal 2 6 4 31 2 4" xfId="15923" xr:uid="{322AAC12-1AEF-4656-9DC5-F3E4686AD241}"/>
    <cellStyle name="Normal 2 6 4 31 3" xfId="7098" xr:uid="{236F93F5-7F9E-4700-85DD-3132803BB0D7}"/>
    <cellStyle name="Normal 2 6 4 31 3 2" xfId="15926" xr:uid="{407AB9B8-47E7-4D5D-9AEC-44AC13163D18}"/>
    <cellStyle name="Normal 2 6 4 31 4" xfId="7099" xr:uid="{071E90BE-A1FB-4691-9CE0-797BBA4D8F16}"/>
    <cellStyle name="Normal 2 6 4 31 4 2" xfId="15927" xr:uid="{17264624-3C71-4D13-B126-12E45CAB4DC7}"/>
    <cellStyle name="Normal 2 6 4 31 5" xfId="15922" xr:uid="{A2CF60A6-47DE-41E2-BCB5-59C6B2847A94}"/>
    <cellStyle name="Normal 2 6 4 32" xfId="7100" xr:uid="{C2F96C5A-A908-4908-9A3C-9D5DFA2487B5}"/>
    <cellStyle name="Normal 2 6 4 32 2" xfId="7101" xr:uid="{96C53882-C66C-4D55-B7D3-6D55B76173A1}"/>
    <cellStyle name="Normal 2 6 4 32 2 2" xfId="7102" xr:uid="{D0684578-8F91-4948-860C-310FC411A13D}"/>
    <cellStyle name="Normal 2 6 4 32 2 2 2" xfId="15930" xr:uid="{AC9150AA-BD8C-4724-9003-070B1E30EF06}"/>
    <cellStyle name="Normal 2 6 4 32 2 3" xfId="7103" xr:uid="{3F0801A4-41C1-4637-9888-3FEFB98AEE77}"/>
    <cellStyle name="Normal 2 6 4 32 2 3 2" xfId="15931" xr:uid="{EC5E2A0C-A7DD-4CD2-B224-9558D33B3F95}"/>
    <cellStyle name="Normal 2 6 4 32 2 4" xfId="15929" xr:uid="{F4EC3926-CF52-4B8A-8C82-B816E32CD7FE}"/>
    <cellStyle name="Normal 2 6 4 32 3" xfId="7104" xr:uid="{F72D74F8-0E24-4DD4-B9B7-4CCEADE5E6D0}"/>
    <cellStyle name="Normal 2 6 4 32 3 2" xfId="15932" xr:uid="{68B2C76B-85A5-4251-9071-7585B7F31BCD}"/>
    <cellStyle name="Normal 2 6 4 32 4" xfId="7105" xr:uid="{EDAD1B2C-A14E-4D7F-9544-78BC79DD2713}"/>
    <cellStyle name="Normal 2 6 4 32 4 2" xfId="15933" xr:uid="{D422896B-B58B-4533-9611-ACC3BB0C6F8F}"/>
    <cellStyle name="Normal 2 6 4 32 5" xfId="15928" xr:uid="{A17C9B8C-04D3-4F75-8AA2-8503A7715EA4}"/>
    <cellStyle name="Normal 2 6 4 33" xfId="7106" xr:uid="{7BAB0D32-AB24-4918-AE10-00331503C308}"/>
    <cellStyle name="Normal 2 6 4 33 2" xfId="7107" xr:uid="{87F14345-1F84-4412-84CF-B2CD26BE6B35}"/>
    <cellStyle name="Normal 2 6 4 33 2 2" xfId="7108" xr:uid="{674ACC86-BE1D-4F5F-8375-8DCFF035922B}"/>
    <cellStyle name="Normal 2 6 4 33 2 2 2" xfId="15936" xr:uid="{DD7C0F57-C056-4CD4-899A-2E9E0E9DD785}"/>
    <cellStyle name="Normal 2 6 4 33 2 3" xfId="7109" xr:uid="{97C49A95-B592-4FE4-AB19-C6D3551D7C77}"/>
    <cellStyle name="Normal 2 6 4 33 2 3 2" xfId="15937" xr:uid="{EF414AF3-B597-45AE-AB63-D30DFC4A0EFF}"/>
    <cellStyle name="Normal 2 6 4 33 2 4" xfId="15935" xr:uid="{3186AB8B-42AC-426E-9634-CDC3B2BAE947}"/>
    <cellStyle name="Normal 2 6 4 33 3" xfId="7110" xr:uid="{F5F0F871-5BCE-46F7-8B3E-980F372845FB}"/>
    <cellStyle name="Normal 2 6 4 33 3 2" xfId="15938" xr:uid="{657EF773-279C-4E2D-8936-8D8AF1C591FA}"/>
    <cellStyle name="Normal 2 6 4 33 4" xfId="7111" xr:uid="{D3884B17-4C0D-4893-BAD4-8E3AB528EBF8}"/>
    <cellStyle name="Normal 2 6 4 33 4 2" xfId="15939" xr:uid="{D288F0A4-61BD-4837-8190-8752B1B8D910}"/>
    <cellStyle name="Normal 2 6 4 33 5" xfId="15934" xr:uid="{4C7DBB1B-E787-4BF5-AB31-1B0AB91824A2}"/>
    <cellStyle name="Normal 2 6 4 34" xfId="7112" xr:uid="{7426FADC-755D-40F5-84A6-127A5A2066E6}"/>
    <cellStyle name="Normal 2 6 4 34 2" xfId="7113" xr:uid="{6507C81A-643E-41BA-A197-06E1B4DCDA55}"/>
    <cellStyle name="Normal 2 6 4 34 2 2" xfId="7114" xr:uid="{8945215E-B24A-479E-A858-622739E00ECB}"/>
    <cellStyle name="Normal 2 6 4 34 2 2 2" xfId="15942" xr:uid="{D2039102-D8A0-43FE-82E3-D549AD4528E8}"/>
    <cellStyle name="Normal 2 6 4 34 2 3" xfId="7115" xr:uid="{83E8BE79-E922-4F13-BBE4-FAF452A34550}"/>
    <cellStyle name="Normal 2 6 4 34 2 3 2" xfId="15943" xr:uid="{85E2560A-26D3-41DB-9C27-F2543F195223}"/>
    <cellStyle name="Normal 2 6 4 34 2 4" xfId="15941" xr:uid="{16852975-66A4-4E19-9521-6E92809524DF}"/>
    <cellStyle name="Normal 2 6 4 34 3" xfId="7116" xr:uid="{8C81C6F7-0908-44CD-A489-568F8326DD56}"/>
    <cellStyle name="Normal 2 6 4 34 3 2" xfId="15944" xr:uid="{8601ACFB-8B36-49F7-B22E-45FB64D244AE}"/>
    <cellStyle name="Normal 2 6 4 34 4" xfId="7117" xr:uid="{9762455B-031B-4433-A8AF-1E6909040A62}"/>
    <cellStyle name="Normal 2 6 4 34 4 2" xfId="15945" xr:uid="{EB53995E-835A-4BC8-A326-09789B935B7B}"/>
    <cellStyle name="Normal 2 6 4 34 5" xfId="15940" xr:uid="{5B935340-522C-4EC0-A199-953C8A510D0D}"/>
    <cellStyle name="Normal 2 6 4 35" xfId="7118" xr:uid="{64E55DB7-7C5F-4C7B-ABCD-D2BDF2116E63}"/>
    <cellStyle name="Normal 2 6 4 35 2" xfId="7119" xr:uid="{76F8D99D-C85F-433C-B802-85FE6FD8C80B}"/>
    <cellStyle name="Normal 2 6 4 35 2 2" xfId="7120" xr:uid="{65B9DEB6-F469-4E78-B2FF-FB0CF69D056C}"/>
    <cellStyle name="Normal 2 6 4 35 2 2 2" xfId="15948" xr:uid="{F067C229-217E-4C67-84ED-104C4659211D}"/>
    <cellStyle name="Normal 2 6 4 35 2 3" xfId="7121" xr:uid="{58976C2C-1151-47E5-9B88-3DE2E8D05530}"/>
    <cellStyle name="Normal 2 6 4 35 2 3 2" xfId="15949" xr:uid="{034ACE11-0309-4ACE-B7C1-3512635350CA}"/>
    <cellStyle name="Normal 2 6 4 35 2 4" xfId="15947" xr:uid="{AD4B6D44-6AA4-47FD-A9B0-28F845B31A63}"/>
    <cellStyle name="Normal 2 6 4 35 3" xfId="7122" xr:uid="{CF743295-9C88-43C8-BE7D-8A35BFEFA161}"/>
    <cellStyle name="Normal 2 6 4 35 3 2" xfId="15950" xr:uid="{71640F7A-006C-4739-AE67-AF558DD7FB37}"/>
    <cellStyle name="Normal 2 6 4 35 4" xfId="7123" xr:uid="{B7E4ECFA-75CD-4D15-9927-11A92B6EA19A}"/>
    <cellStyle name="Normal 2 6 4 35 4 2" xfId="15951" xr:uid="{5323868B-0D54-4F92-B7CE-32270FC29181}"/>
    <cellStyle name="Normal 2 6 4 35 5" xfId="15946" xr:uid="{51589A27-F7A6-4E05-BF32-F4E2F95E0BD9}"/>
    <cellStyle name="Normal 2 6 4 36" xfId="7124" xr:uid="{B7277100-8C26-4806-9FC8-838916619F7D}"/>
    <cellStyle name="Normal 2 6 4 36 2" xfId="7125" xr:uid="{5C7F7F92-0A92-454D-910F-8E2E56CEDB65}"/>
    <cellStyle name="Normal 2 6 4 36 2 2" xfId="7126" xr:uid="{3257548E-6D12-4100-8B29-313BBDEDFAB0}"/>
    <cellStyle name="Normal 2 6 4 36 2 2 2" xfId="15954" xr:uid="{82FF199F-355A-4099-97E3-DBBD199C05BB}"/>
    <cellStyle name="Normal 2 6 4 36 2 3" xfId="7127" xr:uid="{83EC5959-5A2F-41D7-B700-3AF484973C65}"/>
    <cellStyle name="Normal 2 6 4 36 2 3 2" xfId="15955" xr:uid="{8F293127-FE74-47A3-ACA7-02A50A2198B8}"/>
    <cellStyle name="Normal 2 6 4 36 2 4" xfId="15953" xr:uid="{304F6D28-27CD-4DE8-B307-0F1E8D42A834}"/>
    <cellStyle name="Normal 2 6 4 36 3" xfId="7128" xr:uid="{5485C918-2876-4E38-AD96-DC949ECD43CF}"/>
    <cellStyle name="Normal 2 6 4 36 3 2" xfId="15956" xr:uid="{3670E7F1-6FD2-4E13-BA84-55DDDAC2F187}"/>
    <cellStyle name="Normal 2 6 4 36 4" xfId="7129" xr:uid="{103A6205-DA35-475D-89C1-D3899B2E8E3B}"/>
    <cellStyle name="Normal 2 6 4 36 4 2" xfId="15957" xr:uid="{A2055CC3-4F4C-4DF1-A695-751A3B74B522}"/>
    <cellStyle name="Normal 2 6 4 36 5" xfId="15952" xr:uid="{F377D203-4E9B-470C-97E5-569E45D7854D}"/>
    <cellStyle name="Normal 2 6 4 37" xfId="7130" xr:uid="{B81E7F46-C02E-43BE-85A2-A5CE4DDB2CEC}"/>
    <cellStyle name="Normal 2 6 4 37 2" xfId="7131" xr:uid="{7643F27C-F1AF-4A48-8BAF-D3E48A370BEE}"/>
    <cellStyle name="Normal 2 6 4 37 2 2" xfId="7132" xr:uid="{1BA872DA-CCAF-47E1-945F-BC732FB5CA12}"/>
    <cellStyle name="Normal 2 6 4 37 2 2 2" xfId="15960" xr:uid="{C085B0E3-E019-48BF-937C-77E96CD906F6}"/>
    <cellStyle name="Normal 2 6 4 37 2 3" xfId="7133" xr:uid="{9F600720-34C0-4A6F-B19E-5B2E1BE7FC49}"/>
    <cellStyle name="Normal 2 6 4 37 2 3 2" xfId="15961" xr:uid="{C374627C-FD1B-4AA0-AD12-97EE6A38E1BF}"/>
    <cellStyle name="Normal 2 6 4 37 2 4" xfId="15959" xr:uid="{3028F7BB-C8A0-4B4C-883F-E5EAA653B9C2}"/>
    <cellStyle name="Normal 2 6 4 37 3" xfId="7134" xr:uid="{8EFC14EA-773F-4652-9F20-6185787F1842}"/>
    <cellStyle name="Normal 2 6 4 37 3 2" xfId="15962" xr:uid="{4D80D02C-992E-436F-ACD6-A4A9CD302D5D}"/>
    <cellStyle name="Normal 2 6 4 37 4" xfId="7135" xr:uid="{C3383836-7533-44F4-A52A-3306FA7405DD}"/>
    <cellStyle name="Normal 2 6 4 37 4 2" xfId="15963" xr:uid="{28C9B1FC-9384-4CCA-AB33-555EE6065643}"/>
    <cellStyle name="Normal 2 6 4 37 5" xfId="15958" xr:uid="{43E073F0-BD04-4554-9FA1-4690DDD234E3}"/>
    <cellStyle name="Normal 2 6 4 38" xfId="7136" xr:uid="{FAEEBAA2-6556-47BD-B98B-3C09D8C4E8CC}"/>
    <cellStyle name="Normal 2 6 4 38 2" xfId="7137" xr:uid="{FFB55565-2B92-40F4-A501-ED73436740A6}"/>
    <cellStyle name="Normal 2 6 4 38 2 2" xfId="7138" xr:uid="{31F090EF-A5F2-460E-9034-C20296EF03D5}"/>
    <cellStyle name="Normal 2 6 4 38 2 2 2" xfId="15966" xr:uid="{6DA81080-7FEF-4280-A7A4-F6BA53FF7C49}"/>
    <cellStyle name="Normal 2 6 4 38 2 3" xfId="7139" xr:uid="{92B78A71-E7F4-4444-8F55-6532149BC4B0}"/>
    <cellStyle name="Normal 2 6 4 38 2 3 2" xfId="15967" xr:uid="{1FA7B5D8-A21F-4D3D-8F09-2BD407E78D59}"/>
    <cellStyle name="Normal 2 6 4 38 2 4" xfId="15965" xr:uid="{CF224D86-501E-46B6-A398-23C1C120DBC5}"/>
    <cellStyle name="Normal 2 6 4 38 3" xfId="7140" xr:uid="{2D233EED-C005-4A46-B377-E05DBA676B5A}"/>
    <cellStyle name="Normal 2 6 4 38 3 2" xfId="15968" xr:uid="{235E0281-3218-463D-B330-63FC09230FC9}"/>
    <cellStyle name="Normal 2 6 4 38 4" xfId="7141" xr:uid="{5CE07936-1D9B-4F7F-845D-E8A5D29829D2}"/>
    <cellStyle name="Normal 2 6 4 38 4 2" xfId="15969" xr:uid="{EF9B9DB8-D110-4F3F-BC40-45158D7FAB4D}"/>
    <cellStyle name="Normal 2 6 4 38 5" xfId="15964" xr:uid="{47E8E07C-455F-4D5B-A6B7-ACA263835509}"/>
    <cellStyle name="Normal 2 6 4 39" xfId="7142" xr:uid="{3F937822-CFF8-4415-B1AA-6C239469AD74}"/>
    <cellStyle name="Normal 2 6 4 39 2" xfId="7143" xr:uid="{82B8B4F1-6E9B-4662-A36F-5BAAB367318A}"/>
    <cellStyle name="Normal 2 6 4 39 2 2" xfId="7144" xr:uid="{1BE41245-4F03-4E07-B7B9-4B08AF8128DC}"/>
    <cellStyle name="Normal 2 6 4 39 2 2 2" xfId="15972" xr:uid="{7B9A0975-55BC-4B11-937F-553D9C810E9A}"/>
    <cellStyle name="Normal 2 6 4 39 2 3" xfId="7145" xr:uid="{0745E025-CE51-41C4-AB59-14B420D57228}"/>
    <cellStyle name="Normal 2 6 4 39 2 3 2" xfId="15973" xr:uid="{7DAE009D-BB10-4C04-9A80-0AFA20299EAD}"/>
    <cellStyle name="Normal 2 6 4 39 2 4" xfId="15971" xr:uid="{8C86C240-C65E-43C0-9026-016C5319149A}"/>
    <cellStyle name="Normal 2 6 4 39 3" xfId="7146" xr:uid="{D4A925A1-9B8B-46E8-8B17-8EE41ECE4E0F}"/>
    <cellStyle name="Normal 2 6 4 39 3 2" xfId="15974" xr:uid="{EDB08636-C125-44CD-A45A-56A4F953F42C}"/>
    <cellStyle name="Normal 2 6 4 39 4" xfId="7147" xr:uid="{1995A477-8DFF-428F-9098-32FE2C36B817}"/>
    <cellStyle name="Normal 2 6 4 39 4 2" xfId="15975" xr:uid="{1F73852B-9941-44DE-B32D-5F6BDC5A66D6}"/>
    <cellStyle name="Normal 2 6 4 39 5" xfId="15970" xr:uid="{E3FB1632-1E79-4478-A454-9DC230DF848D}"/>
    <cellStyle name="Normal 2 6 4 4" xfId="7148" xr:uid="{9BE1F65F-ACD8-4F4A-BB21-56D66423C6F3}"/>
    <cellStyle name="Normal 2 6 4 4 2" xfId="7149" xr:uid="{F3676FFA-0561-4F7B-9D61-631CC58942AF}"/>
    <cellStyle name="Normal 2 6 4 4 2 2" xfId="7150" xr:uid="{C0B59A35-2A82-47B4-A747-FDC10DC57CEC}"/>
    <cellStyle name="Normal 2 6 4 4 2 2 2" xfId="15978" xr:uid="{CABD1184-563C-4BD5-A3A0-D1CD854C4F95}"/>
    <cellStyle name="Normal 2 6 4 4 2 3" xfId="7151" xr:uid="{3ACCD674-AD24-45D3-850A-0371394236EE}"/>
    <cellStyle name="Normal 2 6 4 4 2 3 2" xfId="15979" xr:uid="{EF332127-0935-4CED-B198-50B74E800551}"/>
    <cellStyle name="Normal 2 6 4 4 2 4" xfId="15977" xr:uid="{B7031439-4DE7-462F-BA2D-DE8F5C8AA718}"/>
    <cellStyle name="Normal 2 6 4 4 3" xfId="7152" xr:uid="{73E70775-6EA1-4999-9A6D-0DD951DA7F35}"/>
    <cellStyle name="Normal 2 6 4 4 3 2" xfId="15980" xr:uid="{6D961900-F136-4B40-9AF0-4806712181E0}"/>
    <cellStyle name="Normal 2 6 4 4 4" xfId="7153" xr:uid="{E5DA572F-7703-4C0C-8BA7-FBA458AADCB3}"/>
    <cellStyle name="Normal 2 6 4 4 4 2" xfId="15981" xr:uid="{EF9ED65B-A23B-456F-A165-6039ABADB9EE}"/>
    <cellStyle name="Normal 2 6 4 4 5" xfId="15976" xr:uid="{687B33CB-E596-4EFC-B811-19E175E50F85}"/>
    <cellStyle name="Normal 2 6 4 40" xfId="7154" xr:uid="{873E4E7E-A04D-41AD-98B6-B649947479FF}"/>
    <cellStyle name="Normal 2 6 4 40 2" xfId="7155" xr:uid="{A608760F-623B-4AAA-95F6-ECBD49F91E45}"/>
    <cellStyle name="Normal 2 6 4 40 2 2" xfId="7156" xr:uid="{252FCFB4-747A-4E3A-B33C-09EF0296F531}"/>
    <cellStyle name="Normal 2 6 4 40 2 2 2" xfId="15984" xr:uid="{EAF9D0DC-736E-452E-9543-99C3603A5F75}"/>
    <cellStyle name="Normal 2 6 4 40 2 3" xfId="7157" xr:uid="{A655DF50-ACAD-43CF-AEC4-5EA37997336B}"/>
    <cellStyle name="Normal 2 6 4 40 2 3 2" xfId="15985" xr:uid="{0E52EB6C-65EB-448B-9677-D57B1C6173C7}"/>
    <cellStyle name="Normal 2 6 4 40 2 4" xfId="15983" xr:uid="{CF35B55F-AB9C-4747-B0BC-452C3D2072C6}"/>
    <cellStyle name="Normal 2 6 4 40 3" xfId="7158" xr:uid="{69077381-02AC-4F16-A835-04F70AC31E68}"/>
    <cellStyle name="Normal 2 6 4 40 3 2" xfId="15986" xr:uid="{CCB7ACA0-C320-4BD7-BFA0-89FC5F4D57C7}"/>
    <cellStyle name="Normal 2 6 4 40 4" xfId="7159" xr:uid="{B47485DC-194D-4E4A-A742-3EB1E0C02701}"/>
    <cellStyle name="Normal 2 6 4 40 4 2" xfId="15987" xr:uid="{BC687C03-E0E0-4A6B-AD9C-7B450327BBD5}"/>
    <cellStyle name="Normal 2 6 4 40 5" xfId="15982" xr:uid="{DFB8C3C9-F5A6-4F27-AAE2-BAB0CD19D066}"/>
    <cellStyle name="Normal 2 6 4 41" xfId="7160" xr:uid="{801CD858-7F34-44A8-BB8F-E0CD9F0093EF}"/>
    <cellStyle name="Normal 2 6 4 41 2" xfId="7161" xr:uid="{E7208211-423F-454E-A314-5F8387BAB816}"/>
    <cellStyle name="Normal 2 6 4 41 2 2" xfId="7162" xr:uid="{B18E5F13-BBAE-4446-8C71-869B40C80F42}"/>
    <cellStyle name="Normal 2 6 4 41 2 2 2" xfId="15990" xr:uid="{158E7299-F3E5-4B11-855B-D073824994F9}"/>
    <cellStyle name="Normal 2 6 4 41 2 3" xfId="7163" xr:uid="{3632E2D4-E072-49F9-BBE4-C3E543F93A97}"/>
    <cellStyle name="Normal 2 6 4 41 2 3 2" xfId="15991" xr:uid="{A6AB373F-4A77-4DD4-B76C-F1F530BBD31B}"/>
    <cellStyle name="Normal 2 6 4 41 2 4" xfId="15989" xr:uid="{DD28D52B-EBF5-4F6D-9B14-7DC0852756C7}"/>
    <cellStyle name="Normal 2 6 4 41 3" xfId="7164" xr:uid="{B4EFF5F2-8319-4584-9B3B-18DB03D5A4E5}"/>
    <cellStyle name="Normal 2 6 4 41 3 2" xfId="15992" xr:uid="{56AEC2A2-ACE1-4D8A-A11A-E2D47582E8D7}"/>
    <cellStyle name="Normal 2 6 4 41 4" xfId="7165" xr:uid="{68E45C37-84EC-4752-AEAA-DD22155FAF5B}"/>
    <cellStyle name="Normal 2 6 4 41 4 2" xfId="15993" xr:uid="{133F04D7-95C6-4C87-B4EF-FD9300ADDF4D}"/>
    <cellStyle name="Normal 2 6 4 41 5" xfId="15988" xr:uid="{86100FB7-688E-4F60-A49D-282267E822E1}"/>
    <cellStyle name="Normal 2 6 4 42" xfId="7166" xr:uid="{F209D829-B5B6-4BF3-B47B-B78D8F6E1D5A}"/>
    <cellStyle name="Normal 2 6 4 42 2" xfId="7167" xr:uid="{A213F676-A55C-457B-AC1B-6A01F0BAE88D}"/>
    <cellStyle name="Normal 2 6 4 42 2 2" xfId="7168" xr:uid="{1D8990BD-B233-49C6-94DE-BD6C7CA178B9}"/>
    <cellStyle name="Normal 2 6 4 42 2 2 2" xfId="15996" xr:uid="{4255CCE3-B3CF-4CA0-876F-42142E935532}"/>
    <cellStyle name="Normal 2 6 4 42 2 3" xfId="7169" xr:uid="{24EAD070-DE1C-4A5D-87C1-4374ACF5CC8A}"/>
    <cellStyle name="Normal 2 6 4 42 2 3 2" xfId="15997" xr:uid="{CB651848-6EEC-4187-BDB4-C5BF9ABC9F40}"/>
    <cellStyle name="Normal 2 6 4 42 2 4" xfId="15995" xr:uid="{3320002F-D8AD-4FB2-B3DC-524C62A481D5}"/>
    <cellStyle name="Normal 2 6 4 42 3" xfId="7170" xr:uid="{B19C7EEA-D06A-4861-B999-46ECD04DAA9D}"/>
    <cellStyle name="Normal 2 6 4 42 3 2" xfId="15998" xr:uid="{9B6A669D-CC6A-4F20-8728-07B500189568}"/>
    <cellStyle name="Normal 2 6 4 42 4" xfId="7171" xr:uid="{FC94A6CC-23B7-4E27-A2E0-D2C13E120169}"/>
    <cellStyle name="Normal 2 6 4 42 4 2" xfId="15999" xr:uid="{0DD67828-6022-4A21-A176-69A7DF9694BC}"/>
    <cellStyle name="Normal 2 6 4 42 5" xfId="15994" xr:uid="{3AA9E784-3397-4571-BD80-708E21F0C245}"/>
    <cellStyle name="Normal 2 6 4 43" xfId="7172" xr:uid="{A385096E-42B6-4BEC-884D-461A059AC0B6}"/>
    <cellStyle name="Normal 2 6 4 43 2" xfId="7173" xr:uid="{5D327811-C2D5-4557-9911-020989EB771F}"/>
    <cellStyle name="Normal 2 6 4 43 2 2" xfId="7174" xr:uid="{76769D03-1CA5-43BC-BF42-09C27BE1F94B}"/>
    <cellStyle name="Normal 2 6 4 43 2 2 2" xfId="16002" xr:uid="{19CA7AFB-1E81-42DF-941C-97547DEE54FB}"/>
    <cellStyle name="Normal 2 6 4 43 2 3" xfId="7175" xr:uid="{5085CB3E-3F69-4E9A-BC6D-3C21E8B75CE6}"/>
    <cellStyle name="Normal 2 6 4 43 2 3 2" xfId="16003" xr:uid="{D1C7AA85-E6FA-4F9D-B995-F6590038449B}"/>
    <cellStyle name="Normal 2 6 4 43 2 4" xfId="16001" xr:uid="{45A8A2F2-07B9-4C83-B1D0-E2AA587BC438}"/>
    <cellStyle name="Normal 2 6 4 43 3" xfId="7176" xr:uid="{D07BD0ED-0FA3-4BC4-8821-672EE5B4D8C3}"/>
    <cellStyle name="Normal 2 6 4 43 3 2" xfId="16004" xr:uid="{7AC3F9C1-25A8-4BE3-A090-75D9837B9470}"/>
    <cellStyle name="Normal 2 6 4 43 4" xfId="7177" xr:uid="{11D6093C-5EAA-4858-8905-3857421B4EDD}"/>
    <cellStyle name="Normal 2 6 4 43 4 2" xfId="16005" xr:uid="{2EA9B256-C99A-419A-993C-0C890B129088}"/>
    <cellStyle name="Normal 2 6 4 43 5" xfId="16000" xr:uid="{CEBA98DF-54C7-46E2-AA8F-F2E6BF9BEE8B}"/>
    <cellStyle name="Normal 2 6 4 44" xfId="7178" xr:uid="{D9C7E57C-D7F3-429D-AAFD-8E295C79B9F2}"/>
    <cellStyle name="Normal 2 6 4 44 2" xfId="7179" xr:uid="{174EE438-E0A0-4BDF-9FED-2B6B7ECD23BA}"/>
    <cellStyle name="Normal 2 6 4 44 2 2" xfId="16007" xr:uid="{55E735AA-D346-46D7-9BF8-621EC65A0D8F}"/>
    <cellStyle name="Normal 2 6 4 44 3" xfId="7180" xr:uid="{937839C6-A373-44FE-8C69-BADBFF95CD10}"/>
    <cellStyle name="Normal 2 6 4 44 3 2" xfId="16008" xr:uid="{D42D0B25-3983-4022-8755-0978A1068CAF}"/>
    <cellStyle name="Normal 2 6 4 44 4" xfId="16006" xr:uid="{02A5F6FF-EC44-4F23-A10E-37E24C6783F4}"/>
    <cellStyle name="Normal 2 6 4 45" xfId="7181" xr:uid="{E31C8EE9-996F-4B84-A375-B886D6193527}"/>
    <cellStyle name="Normal 2 6 4 45 2" xfId="16009" xr:uid="{976F51EC-ADC4-4689-B1A9-D845483813F5}"/>
    <cellStyle name="Normal 2 6 4 46" xfId="7182" xr:uid="{46669112-E2CE-4CC2-AB07-BA5D45503909}"/>
    <cellStyle name="Normal 2 6 4 46 2" xfId="16010" xr:uid="{82FB364A-ADC6-4807-B8E1-9B059F85B47C}"/>
    <cellStyle name="Normal 2 6 4 47" xfId="15783" xr:uid="{33A0EFED-FADF-42FD-86C3-D40DBFDF3E0F}"/>
    <cellStyle name="Normal 2 6 4 5" xfId="7183" xr:uid="{4B7B5B66-BFF3-4FD4-A2D4-B13066969228}"/>
    <cellStyle name="Normal 2 6 4 5 2" xfId="7184" xr:uid="{D4FA0952-4C18-4CEF-B24A-702966BC087C}"/>
    <cellStyle name="Normal 2 6 4 5 2 2" xfId="7185" xr:uid="{F57F3D9B-6165-4FAB-B760-EA6D8E7FB855}"/>
    <cellStyle name="Normal 2 6 4 5 2 2 2" xfId="16013" xr:uid="{733C7B4A-A705-463B-9E59-05F3FF83D831}"/>
    <cellStyle name="Normal 2 6 4 5 2 3" xfId="7186" xr:uid="{F4BA01DB-F0DB-40AF-B829-F225208A21C6}"/>
    <cellStyle name="Normal 2 6 4 5 2 3 2" xfId="16014" xr:uid="{B04F4B7B-6A41-4157-8608-E8280988028F}"/>
    <cellStyle name="Normal 2 6 4 5 2 4" xfId="16012" xr:uid="{1ABA4682-09C6-415D-AC9A-84F734959C5B}"/>
    <cellStyle name="Normal 2 6 4 5 3" xfId="7187" xr:uid="{AE2E6A5B-4926-40F4-BE6F-27B03ABC7533}"/>
    <cellStyle name="Normal 2 6 4 5 3 2" xfId="16015" xr:uid="{F854039F-DFC8-4842-A13B-189CBBEAE6DB}"/>
    <cellStyle name="Normal 2 6 4 5 4" xfId="7188" xr:uid="{277E13E9-7E2C-4A6B-9B9B-7AD698552977}"/>
    <cellStyle name="Normal 2 6 4 5 4 2" xfId="16016" xr:uid="{10BD7BD1-C726-4196-8667-57687521353B}"/>
    <cellStyle name="Normal 2 6 4 5 5" xfId="16011" xr:uid="{0124BD21-2141-4550-987B-70F387EF746C}"/>
    <cellStyle name="Normal 2 6 4 6" xfId="7189" xr:uid="{4D32B6F9-1BA7-4E23-A101-F3AC53B14E71}"/>
    <cellStyle name="Normal 2 6 4 6 2" xfId="7190" xr:uid="{7CE30003-8D9D-4F45-9DCE-3BD9C10BAC54}"/>
    <cellStyle name="Normal 2 6 4 6 2 2" xfId="7191" xr:uid="{B5515297-FAA8-40CC-8CE8-748009486EC0}"/>
    <cellStyle name="Normal 2 6 4 6 2 2 2" xfId="16019" xr:uid="{EF1DF075-F8FE-4097-B4D4-A59608B6F08E}"/>
    <cellStyle name="Normal 2 6 4 6 2 3" xfId="7192" xr:uid="{FEAFA662-0ABE-4EC9-A1A2-B1FD212CA65C}"/>
    <cellStyle name="Normal 2 6 4 6 2 3 2" xfId="16020" xr:uid="{B58D4977-BAF3-47CD-8224-9664EAA82393}"/>
    <cellStyle name="Normal 2 6 4 6 2 4" xfId="16018" xr:uid="{BEAE24C3-BA97-4F2D-AE60-C6AFB16C4258}"/>
    <cellStyle name="Normal 2 6 4 6 3" xfId="7193" xr:uid="{D9709432-6BD9-4A10-A6FF-9622A6F9330E}"/>
    <cellStyle name="Normal 2 6 4 6 3 2" xfId="16021" xr:uid="{BD9FF90B-71EC-49E2-BD3F-1187FCFD4E8C}"/>
    <cellStyle name="Normal 2 6 4 6 4" xfId="7194" xr:uid="{FBE5F517-9F79-4E1B-A32A-5C1BA626FB86}"/>
    <cellStyle name="Normal 2 6 4 6 4 2" xfId="16022" xr:uid="{C2778228-A286-4236-8296-61A18270CC9D}"/>
    <cellStyle name="Normal 2 6 4 6 5" xfId="16017" xr:uid="{9728B712-78DA-43CA-BFE5-3813DAE27216}"/>
    <cellStyle name="Normal 2 6 4 7" xfId="7195" xr:uid="{1A78C032-F3CE-4F37-933F-7F8B7B296027}"/>
    <cellStyle name="Normal 2 6 4 7 2" xfId="7196" xr:uid="{7BD2E9EB-A04E-41E2-A64C-21797E8AC63A}"/>
    <cellStyle name="Normal 2 6 4 7 2 2" xfId="7197" xr:uid="{F414A9F0-C98B-4F92-B5FE-685D34CE723F}"/>
    <cellStyle name="Normal 2 6 4 7 2 2 2" xfId="16025" xr:uid="{C1CF0693-74A2-4B62-9D69-B759663386B9}"/>
    <cellStyle name="Normal 2 6 4 7 2 3" xfId="7198" xr:uid="{AAF2577E-0671-490E-98E8-DC9AD2B1BBF0}"/>
    <cellStyle name="Normal 2 6 4 7 2 3 2" xfId="16026" xr:uid="{2C1C0CFE-747C-43D7-838A-FA45401001D4}"/>
    <cellStyle name="Normal 2 6 4 7 2 4" xfId="16024" xr:uid="{5BC1A5D2-EFBB-44A6-A889-7BD7AF23D35F}"/>
    <cellStyle name="Normal 2 6 4 7 3" xfId="7199" xr:uid="{CA8CFF68-9D15-490D-ADF3-956438CCCA31}"/>
    <cellStyle name="Normal 2 6 4 7 3 2" xfId="16027" xr:uid="{DBC63E70-F60A-4296-841E-77234DB7664B}"/>
    <cellStyle name="Normal 2 6 4 7 4" xfId="7200" xr:uid="{BE15E115-04C2-45B1-ABC4-9C08AFDB4192}"/>
    <cellStyle name="Normal 2 6 4 7 4 2" xfId="16028" xr:uid="{A2F33010-A0D3-4E63-872C-D1576D74E611}"/>
    <cellStyle name="Normal 2 6 4 7 5" xfId="16023" xr:uid="{E6CC1FD2-F2C4-4653-A2FA-B28E14AD653F}"/>
    <cellStyle name="Normal 2 6 4 8" xfId="7201" xr:uid="{3748AD49-1407-4597-AB97-CA9467EEBD15}"/>
    <cellStyle name="Normal 2 6 4 8 2" xfId="7202" xr:uid="{3297A768-7A28-4F42-84CB-AAE3D5F598F1}"/>
    <cellStyle name="Normal 2 6 4 8 2 2" xfId="7203" xr:uid="{7A6392B6-6604-4163-A218-EE6DD6A35DA7}"/>
    <cellStyle name="Normal 2 6 4 8 2 2 2" xfId="16031" xr:uid="{2CE6DBE5-EDF7-444B-B993-C02E04BD99AB}"/>
    <cellStyle name="Normal 2 6 4 8 2 3" xfId="7204" xr:uid="{48BD46BD-06A8-41FE-B827-A35FDA807342}"/>
    <cellStyle name="Normal 2 6 4 8 2 3 2" xfId="16032" xr:uid="{545663A3-9D07-4008-ABC0-ADFBCAE02CE4}"/>
    <cellStyle name="Normal 2 6 4 8 2 4" xfId="16030" xr:uid="{EBACE7EE-A630-4D24-85BE-9428D592494D}"/>
    <cellStyle name="Normal 2 6 4 8 3" xfId="7205" xr:uid="{8519AAF9-2043-4E3F-A68B-65702AF9F0DF}"/>
    <cellStyle name="Normal 2 6 4 8 3 2" xfId="16033" xr:uid="{E541334E-873C-4820-90C8-E0F7C3C84DA0}"/>
    <cellStyle name="Normal 2 6 4 8 4" xfId="7206" xr:uid="{7DBD1F9D-8853-4797-9158-D0D2EEE4FE6E}"/>
    <cellStyle name="Normal 2 6 4 8 4 2" xfId="16034" xr:uid="{E55494EB-2A31-4F05-B1DB-D42DDB0B67AA}"/>
    <cellStyle name="Normal 2 6 4 8 5" xfId="16029" xr:uid="{FC5C39DC-4032-4537-92AE-845248F7CF90}"/>
    <cellStyle name="Normal 2 6 4 9" xfId="7207" xr:uid="{65E76909-C44F-4710-A079-A1EB54D81760}"/>
    <cellStyle name="Normal 2 6 4 9 2" xfId="7208" xr:uid="{685AA607-A39E-4C6B-9395-E9E97926FEDD}"/>
    <cellStyle name="Normal 2 6 4 9 2 2" xfId="7209" xr:uid="{475E0B83-6A31-4676-A918-58E6F795B14E}"/>
    <cellStyle name="Normal 2 6 4 9 2 2 2" xfId="16037" xr:uid="{FED65B0A-A262-4065-A374-7C732B5A3BD9}"/>
    <cellStyle name="Normal 2 6 4 9 2 3" xfId="7210" xr:uid="{CB97AB13-DEC1-4D5B-8D68-9A2E4938D240}"/>
    <cellStyle name="Normal 2 6 4 9 2 3 2" xfId="16038" xr:uid="{737AB3DC-B6EB-4E1A-B82D-13656B1753F2}"/>
    <cellStyle name="Normal 2 6 4 9 2 4" xfId="16036" xr:uid="{E45ADF31-91A4-4374-973C-505FDC81400F}"/>
    <cellStyle name="Normal 2 6 4 9 3" xfId="7211" xr:uid="{294CED85-7300-418A-9F69-98B86A92F940}"/>
    <cellStyle name="Normal 2 6 4 9 3 2" xfId="16039" xr:uid="{C3D54F30-764E-4EEA-B9F3-AA4855A43DDE}"/>
    <cellStyle name="Normal 2 6 4 9 4" xfId="7212" xr:uid="{DE8B9DD2-1AB1-4994-B695-158EF0312372}"/>
    <cellStyle name="Normal 2 6 4 9 4 2" xfId="16040" xr:uid="{4DC624B3-99E2-49BC-90BE-C3C87AAD5AC5}"/>
    <cellStyle name="Normal 2 6 4 9 5" xfId="16035" xr:uid="{ADABD4E3-C85C-4D9C-AD1A-99B2A74AF5D2}"/>
    <cellStyle name="Normal 2 6 40" xfId="7213" xr:uid="{6038E04F-8365-4CB6-895C-49E0325CB871}"/>
    <cellStyle name="Normal 2 6 40 2" xfId="7214" xr:uid="{53896F65-4D95-45B1-B28B-5FC0F4FA9A62}"/>
    <cellStyle name="Normal 2 6 40 2 2" xfId="7215" xr:uid="{A57E2605-89D1-4F3C-AF44-31B4406664D2}"/>
    <cellStyle name="Normal 2 6 40 2 2 2" xfId="16043" xr:uid="{08078547-2D8F-4A91-8E11-FA5ADBF8E356}"/>
    <cellStyle name="Normal 2 6 40 2 3" xfId="7216" xr:uid="{AB2A3710-03C8-4539-8456-6C50B6F88767}"/>
    <cellStyle name="Normal 2 6 40 2 3 2" xfId="16044" xr:uid="{B4F994ED-21A1-4041-B24F-160D085895C6}"/>
    <cellStyle name="Normal 2 6 40 2 4" xfId="16042" xr:uid="{2E7D821A-4AA6-4399-A003-C902897FAC9B}"/>
    <cellStyle name="Normal 2 6 40 3" xfId="7217" xr:uid="{B604BC12-4E7C-4B39-A3B3-3C876385DE90}"/>
    <cellStyle name="Normal 2 6 40 3 2" xfId="16045" xr:uid="{DAB5E443-C899-459B-ADE5-D1A149FAF3CF}"/>
    <cellStyle name="Normal 2 6 40 4" xfId="7218" xr:uid="{0A121CB8-A38F-47F0-BF4C-3C6CBAE47C2E}"/>
    <cellStyle name="Normal 2 6 40 4 2" xfId="16046" xr:uid="{5410610F-7ACF-424F-9E4C-BD1D9893D7E3}"/>
    <cellStyle name="Normal 2 6 40 5" xfId="16041" xr:uid="{A7599F5F-23DB-4E5F-85EF-F44255C53721}"/>
    <cellStyle name="Normal 2 6 41" xfId="7219" xr:uid="{F0932A98-F4CD-420F-A0AA-0471E1554591}"/>
    <cellStyle name="Normal 2 6 41 2" xfId="7220" xr:uid="{6844E3C0-F6B8-48FE-907F-EB9760684AA4}"/>
    <cellStyle name="Normal 2 6 41 2 2" xfId="7221" xr:uid="{F73D550E-F3BA-4507-8197-DE9176730269}"/>
    <cellStyle name="Normal 2 6 41 2 2 2" xfId="16049" xr:uid="{C518E753-5DE6-4443-BC43-84AEC521AC14}"/>
    <cellStyle name="Normal 2 6 41 2 3" xfId="7222" xr:uid="{A4E39ACC-E287-470D-93EA-CBD6B2FEFF28}"/>
    <cellStyle name="Normal 2 6 41 2 3 2" xfId="16050" xr:uid="{887A111F-558F-4C85-931A-9BD2354FCC5C}"/>
    <cellStyle name="Normal 2 6 41 2 4" xfId="16048" xr:uid="{5EF3AB59-EE9E-4994-AEFB-CC5B4BAA64CE}"/>
    <cellStyle name="Normal 2 6 41 3" xfId="7223" xr:uid="{4A284C5C-F3C2-478D-93DF-8C0CA72C437C}"/>
    <cellStyle name="Normal 2 6 41 3 2" xfId="16051" xr:uid="{2AF17A96-DC04-4D02-BB74-AC27E54CCC17}"/>
    <cellStyle name="Normal 2 6 41 4" xfId="7224" xr:uid="{FE04A16B-6E0F-47A7-A416-E74EFADDA3F8}"/>
    <cellStyle name="Normal 2 6 41 4 2" xfId="16052" xr:uid="{3ACAC461-32B1-4C7C-958C-8D26E5515597}"/>
    <cellStyle name="Normal 2 6 41 5" xfId="16047" xr:uid="{122C5810-03C5-4CB4-995F-39ED8F0C40E5}"/>
    <cellStyle name="Normal 2 6 42" xfId="7225" xr:uid="{B1DA9AF5-D0D5-41AB-9082-6300C05E0607}"/>
    <cellStyle name="Normal 2 6 42 2" xfId="7226" xr:uid="{F13854E5-E62C-46A7-867A-035536F80357}"/>
    <cellStyle name="Normal 2 6 42 2 2" xfId="7227" xr:uid="{87A96743-DD5B-460B-A959-2764528D7FE7}"/>
    <cellStyle name="Normal 2 6 42 2 2 2" xfId="16055" xr:uid="{3FD8F915-0FEF-412C-90D0-6F15FDA50F63}"/>
    <cellStyle name="Normal 2 6 42 2 3" xfId="7228" xr:uid="{4F468016-DFBF-4111-8C3D-3ED39D298F3C}"/>
    <cellStyle name="Normal 2 6 42 2 3 2" xfId="16056" xr:uid="{0E436DE2-0FBC-4EE5-9311-10C6E47D2E47}"/>
    <cellStyle name="Normal 2 6 42 2 4" xfId="16054" xr:uid="{DDDCC7BF-6CB7-428E-B8AC-6ECBBF9247C6}"/>
    <cellStyle name="Normal 2 6 42 3" xfId="7229" xr:uid="{44EAD681-AEFA-4B24-984E-17FBAC0D8958}"/>
    <cellStyle name="Normal 2 6 42 3 2" xfId="16057" xr:uid="{4223AA87-79A6-4330-AD1A-3FA2613F1A01}"/>
    <cellStyle name="Normal 2 6 42 4" xfId="7230" xr:uid="{180F2F6F-4E75-4616-84CC-82A178194197}"/>
    <cellStyle name="Normal 2 6 42 4 2" xfId="16058" xr:uid="{BBFC8111-1E11-4F95-A269-903F3456734F}"/>
    <cellStyle name="Normal 2 6 42 5" xfId="16053" xr:uid="{C00EA33A-B81F-42C5-A0FB-03CAF2964887}"/>
    <cellStyle name="Normal 2 6 43" xfId="7231" xr:uid="{174E3D17-FA85-4781-9E86-04CDB00BF1DB}"/>
    <cellStyle name="Normal 2 6 43 2" xfId="7232" xr:uid="{F49D41AF-5144-45D8-9F76-7EE712E81850}"/>
    <cellStyle name="Normal 2 6 43 2 2" xfId="7233" xr:uid="{4BFE829D-D210-4342-84A7-CAFBC2CE6CB3}"/>
    <cellStyle name="Normal 2 6 43 2 2 2" xfId="16061" xr:uid="{5AA093D6-0E58-4BA7-99F3-89D9147D076B}"/>
    <cellStyle name="Normal 2 6 43 2 3" xfId="7234" xr:uid="{5B232F4A-D75D-4B0C-A20D-F180A97F43AB}"/>
    <cellStyle name="Normal 2 6 43 2 3 2" xfId="16062" xr:uid="{C7F0FDD1-4B51-411C-A8A6-8D735A3E3F80}"/>
    <cellStyle name="Normal 2 6 43 2 4" xfId="16060" xr:uid="{BE685A6E-8FD5-441F-93CF-E3E459D691D7}"/>
    <cellStyle name="Normal 2 6 43 3" xfId="7235" xr:uid="{B429130E-6EC2-47F9-AFA1-97C5F04BEBE8}"/>
    <cellStyle name="Normal 2 6 43 3 2" xfId="16063" xr:uid="{89D3644F-3472-4653-A0E8-231EDE4E954C}"/>
    <cellStyle name="Normal 2 6 43 4" xfId="7236" xr:uid="{EA7AC9EE-BB6D-4E05-BE7C-BC3E591E8E6D}"/>
    <cellStyle name="Normal 2 6 43 4 2" xfId="16064" xr:uid="{14C8C70D-47FB-4584-8905-1B107FA31EBE}"/>
    <cellStyle name="Normal 2 6 43 5" xfId="16059" xr:uid="{6CD954FD-8652-40DB-BF61-421A298B3CF3}"/>
    <cellStyle name="Normal 2 6 44" xfId="7237" xr:uid="{6D7245FB-34A1-491C-91E9-DFCDFEB241B9}"/>
    <cellStyle name="Normal 2 6 44 2" xfId="7238" xr:uid="{FFEBF677-B6A1-40BB-A7AB-732DA31102B6}"/>
    <cellStyle name="Normal 2 6 44 2 2" xfId="7239" xr:uid="{D734E630-950D-4DB4-AE8D-125437E556CF}"/>
    <cellStyle name="Normal 2 6 44 2 2 2" xfId="16067" xr:uid="{63FC298D-DD84-42A5-8ED7-45C2FD22B535}"/>
    <cellStyle name="Normal 2 6 44 2 3" xfId="7240" xr:uid="{A0374A40-514E-499E-8B0D-982BC194E52A}"/>
    <cellStyle name="Normal 2 6 44 2 3 2" xfId="16068" xr:uid="{88656CBB-B2BB-42A9-8C77-A2F3B4AC1ABC}"/>
    <cellStyle name="Normal 2 6 44 2 4" xfId="16066" xr:uid="{DB449F76-8338-4B72-8671-C3404A30AC74}"/>
    <cellStyle name="Normal 2 6 44 3" xfId="7241" xr:uid="{ED8D9A5A-B4EB-4CC6-BD7F-2D883733359F}"/>
    <cellStyle name="Normal 2 6 44 3 2" xfId="16069" xr:uid="{3CBEAB02-B21C-4878-97C7-C75E48491D22}"/>
    <cellStyle name="Normal 2 6 44 4" xfId="7242" xr:uid="{0D0E9F17-9E68-4ABE-95DA-8A6F59F728B7}"/>
    <cellStyle name="Normal 2 6 44 4 2" xfId="16070" xr:uid="{6986A06F-484E-4768-AB58-9AF301A748AB}"/>
    <cellStyle name="Normal 2 6 44 5" xfId="16065" xr:uid="{6DE35FE2-E162-410E-BF43-A96DC671D50A}"/>
    <cellStyle name="Normal 2 6 45" xfId="7243" xr:uid="{B4042AC1-90D1-4BCF-AF90-4153B1D6DCD8}"/>
    <cellStyle name="Normal 2 6 45 2" xfId="7244" xr:uid="{649BB705-65C0-45D3-ABC6-7E63D6499BFD}"/>
    <cellStyle name="Normal 2 6 45 2 2" xfId="7245" xr:uid="{182A8F58-A316-47DF-9C97-A4C823B7A3FF}"/>
    <cellStyle name="Normal 2 6 45 2 2 2" xfId="16073" xr:uid="{4F1A0BE0-7CA2-4364-9180-A07A9257D293}"/>
    <cellStyle name="Normal 2 6 45 2 3" xfId="7246" xr:uid="{17EFD537-9018-4AD0-8341-C6179DD69559}"/>
    <cellStyle name="Normal 2 6 45 2 3 2" xfId="16074" xr:uid="{D6C3202B-E871-4643-BF13-642DDDD68E7D}"/>
    <cellStyle name="Normal 2 6 45 2 4" xfId="16072" xr:uid="{A6CE4736-FBAB-4A1A-8EED-CBC159B14896}"/>
    <cellStyle name="Normal 2 6 45 3" xfId="7247" xr:uid="{4680DEA3-73EA-42CC-B793-EBB2302C7BD8}"/>
    <cellStyle name="Normal 2 6 45 3 2" xfId="16075" xr:uid="{B496FCCD-11ED-4083-B032-338DFD6148EF}"/>
    <cellStyle name="Normal 2 6 45 4" xfId="7248" xr:uid="{4878E9E6-CE08-48EC-8F17-E18F5F2F1147}"/>
    <cellStyle name="Normal 2 6 45 4 2" xfId="16076" xr:uid="{3D3C20DA-E8A7-4911-B9B8-DBAEAB5B1FBB}"/>
    <cellStyle name="Normal 2 6 45 5" xfId="16071" xr:uid="{D0696D31-B25B-468B-A9EB-8E023F04C95C}"/>
    <cellStyle name="Normal 2 6 46" xfId="7249" xr:uid="{10259CE0-7822-4E74-9E1C-30063E505DAC}"/>
    <cellStyle name="Normal 2 6 46 2" xfId="7250" xr:uid="{BD946DE3-89FA-47F6-864D-A72ACED547E9}"/>
    <cellStyle name="Normal 2 6 46 2 2" xfId="7251" xr:uid="{1203DABC-DE79-4BDB-A80A-4947A1403095}"/>
    <cellStyle name="Normal 2 6 46 2 2 2" xfId="16079" xr:uid="{1D453D14-869B-4B69-9E7B-ADD77F08A352}"/>
    <cellStyle name="Normal 2 6 46 2 3" xfId="7252" xr:uid="{E3F408C3-FFD2-46E8-8A88-96A8E851E76E}"/>
    <cellStyle name="Normal 2 6 46 2 3 2" xfId="16080" xr:uid="{11A5796A-88D9-4FD7-A8D5-EB7ECE1462E9}"/>
    <cellStyle name="Normal 2 6 46 2 4" xfId="16078" xr:uid="{235BDEF1-A128-4EE3-A1F4-961758251C08}"/>
    <cellStyle name="Normal 2 6 46 3" xfId="7253" xr:uid="{D086119B-42D9-452D-BE72-EB1C86287BD8}"/>
    <cellStyle name="Normal 2 6 46 3 2" xfId="16081" xr:uid="{83568BD6-698A-428B-8DDF-208BCEC62511}"/>
    <cellStyle name="Normal 2 6 46 4" xfId="7254" xr:uid="{FB4D9B8B-629B-4277-9051-8A18A88B770C}"/>
    <cellStyle name="Normal 2 6 46 4 2" xfId="16082" xr:uid="{1DE75E06-8A0E-4AF4-A83E-55DAB0C0934E}"/>
    <cellStyle name="Normal 2 6 46 5" xfId="16077" xr:uid="{AC106CF1-4248-4FB4-9BF1-CC14E466918B}"/>
    <cellStyle name="Normal 2 6 47" xfId="7255" xr:uid="{F78FC59B-D6BF-432A-8229-A7CC08FD0F8D}"/>
    <cellStyle name="Normal 2 6 47 2" xfId="7256" xr:uid="{340714F5-AEBB-4D1E-8CE9-35E999B275A6}"/>
    <cellStyle name="Normal 2 6 47 2 2" xfId="7257" xr:uid="{CF3AFF56-00B7-479C-B62B-A830C5AAC725}"/>
    <cellStyle name="Normal 2 6 47 2 2 2" xfId="16085" xr:uid="{E205BA69-CD45-475D-8267-52909BBAA1C5}"/>
    <cellStyle name="Normal 2 6 47 2 3" xfId="7258" xr:uid="{BB281602-261D-4512-869D-627AC8E2253C}"/>
    <cellStyle name="Normal 2 6 47 2 3 2" xfId="16086" xr:uid="{DB81FED7-CB6B-4268-892F-4D1FA00BBF24}"/>
    <cellStyle name="Normal 2 6 47 2 4" xfId="16084" xr:uid="{8AD14C10-F07B-4AB8-8BBA-6220C0ABEB0A}"/>
    <cellStyle name="Normal 2 6 47 3" xfId="7259" xr:uid="{0E0320EA-1C33-4189-AF13-2564B9993B73}"/>
    <cellStyle name="Normal 2 6 47 3 2" xfId="16087" xr:uid="{AAD27DAD-6320-4484-B022-A1A10F4F975B}"/>
    <cellStyle name="Normal 2 6 47 4" xfId="7260" xr:uid="{016265F3-12C1-4295-BD5B-6843BED188E4}"/>
    <cellStyle name="Normal 2 6 47 4 2" xfId="16088" xr:uid="{BB19E779-E811-4897-8F77-63BF51D39C7B}"/>
    <cellStyle name="Normal 2 6 47 5" xfId="16083" xr:uid="{2011039F-7232-492E-9CA3-41F0C1FD432C}"/>
    <cellStyle name="Normal 2 6 48" xfId="7261" xr:uid="{E7CBA641-2F7C-4B4E-82B8-306EF46622E3}"/>
    <cellStyle name="Normal 2 6 48 2" xfId="7262" xr:uid="{4F43FE7B-0142-4347-A3B3-8CEA9FD0EE99}"/>
    <cellStyle name="Normal 2 6 48 2 2" xfId="7263" xr:uid="{11BDAAF1-81EE-4482-B63B-10005080505B}"/>
    <cellStyle name="Normal 2 6 48 2 2 2" xfId="16091" xr:uid="{4B078D77-09EC-4695-86CA-0DD4B0BA3151}"/>
    <cellStyle name="Normal 2 6 48 2 3" xfId="7264" xr:uid="{6100EDFA-7B9D-4651-9BC0-F9C20F0C6689}"/>
    <cellStyle name="Normal 2 6 48 2 3 2" xfId="16092" xr:uid="{B0B48353-1F35-4A4C-8F41-2B010E423E9A}"/>
    <cellStyle name="Normal 2 6 48 2 4" xfId="16090" xr:uid="{E7DA8FAE-4900-4572-A9E3-66ECC49A209F}"/>
    <cellStyle name="Normal 2 6 48 3" xfId="7265" xr:uid="{0F174998-3B37-4704-836D-B688F776A3CC}"/>
    <cellStyle name="Normal 2 6 48 3 2" xfId="16093" xr:uid="{725B4074-B2B7-43C4-8D50-5DA5E94E9094}"/>
    <cellStyle name="Normal 2 6 48 4" xfId="7266" xr:uid="{ABB84419-FB6F-41AB-B488-C16FDBEE1B71}"/>
    <cellStyle name="Normal 2 6 48 4 2" xfId="16094" xr:uid="{782D5849-A1F9-470F-8309-D115D9216941}"/>
    <cellStyle name="Normal 2 6 48 5" xfId="16089" xr:uid="{01651C91-D800-4172-8FAD-5343EB7AFD52}"/>
    <cellStyle name="Normal 2 6 49" xfId="7267" xr:uid="{A6C9E7E0-B489-4241-B893-AC9CC91F424A}"/>
    <cellStyle name="Normal 2 6 49 2" xfId="7268" xr:uid="{B4BA988D-A03D-4D48-AE87-32EF236BEF86}"/>
    <cellStyle name="Normal 2 6 49 2 2" xfId="7269" xr:uid="{1CC2FAA3-5610-4542-B6F7-A4DBE0769223}"/>
    <cellStyle name="Normal 2 6 49 2 2 2" xfId="16097" xr:uid="{F2A9B4A0-8E1F-45DA-A584-8DBFC60E9E9E}"/>
    <cellStyle name="Normal 2 6 49 2 3" xfId="7270" xr:uid="{897CBA59-1325-452E-A3F3-E27EB09ABCE5}"/>
    <cellStyle name="Normal 2 6 49 2 3 2" xfId="16098" xr:uid="{28976273-3A72-4BDB-9E07-B258D9CBB9F7}"/>
    <cellStyle name="Normal 2 6 49 2 4" xfId="16096" xr:uid="{C3A7505F-CF6D-48CA-A603-DC4AAEB8220F}"/>
    <cellStyle name="Normal 2 6 49 3" xfId="7271" xr:uid="{4D6D7AEA-8DEE-4845-9DB6-1DA9BE832542}"/>
    <cellStyle name="Normal 2 6 49 3 2" xfId="16099" xr:uid="{A72F69D7-3FAD-475E-8463-5A515BBB02FD}"/>
    <cellStyle name="Normal 2 6 49 4" xfId="7272" xr:uid="{DDEF58C3-84D3-4C7E-B08B-D9F86391D676}"/>
    <cellStyle name="Normal 2 6 49 4 2" xfId="16100" xr:uid="{B06E0474-4974-40F2-9F1B-CC56CF711A77}"/>
    <cellStyle name="Normal 2 6 49 5" xfId="16095" xr:uid="{91521FC4-3E0D-4CF7-9D3D-9BF3DBC9D521}"/>
    <cellStyle name="Normal 2 6 5" xfId="7273" xr:uid="{C7166ACC-306E-43DC-9DFA-DAD57FBA648C}"/>
    <cellStyle name="Normal 2 6 5 10" xfId="7274" xr:uid="{1086AEDF-709B-4D89-83A4-437ABA8EBD06}"/>
    <cellStyle name="Normal 2 6 5 10 2" xfId="7275" xr:uid="{24E8CE08-C3A2-40A8-A98F-642919181514}"/>
    <cellStyle name="Normal 2 6 5 10 2 2" xfId="7276" xr:uid="{1FB730F4-089C-47D2-8222-DAADCF6C9B4E}"/>
    <cellStyle name="Normal 2 6 5 10 2 2 2" xfId="16104" xr:uid="{3AEA0031-B9DE-442C-9937-65C4E3C1F0B9}"/>
    <cellStyle name="Normal 2 6 5 10 2 3" xfId="7277" xr:uid="{7203A1AA-F910-4709-BEA3-4974CF2B611D}"/>
    <cellStyle name="Normal 2 6 5 10 2 3 2" xfId="16105" xr:uid="{04A87079-CF20-4661-B84F-EEA378E7FFB5}"/>
    <cellStyle name="Normal 2 6 5 10 2 4" xfId="16103" xr:uid="{61342FC3-D1B6-4F99-9CA0-6B861F567C4D}"/>
    <cellStyle name="Normal 2 6 5 10 3" xfId="7278" xr:uid="{FA3A0EF1-4460-4720-9451-240A2DCAA54C}"/>
    <cellStyle name="Normal 2 6 5 10 3 2" xfId="16106" xr:uid="{B156B9B3-708C-4A1E-BB23-A9B55E71BB83}"/>
    <cellStyle name="Normal 2 6 5 10 4" xfId="7279" xr:uid="{BFB10F62-0896-4D65-A3E5-2E4674E58A15}"/>
    <cellStyle name="Normal 2 6 5 10 4 2" xfId="16107" xr:uid="{58E7A9F5-CA62-4333-82DA-895B7548806C}"/>
    <cellStyle name="Normal 2 6 5 10 5" xfId="16102" xr:uid="{52C26E4A-CDA4-43B2-814B-D140EED043B2}"/>
    <cellStyle name="Normal 2 6 5 11" xfId="7280" xr:uid="{E53C744C-CAEC-43F7-8892-EA34C22E6BEE}"/>
    <cellStyle name="Normal 2 6 5 11 2" xfId="7281" xr:uid="{51090DDD-6C6C-4226-9130-95AE59E2F4D3}"/>
    <cellStyle name="Normal 2 6 5 11 2 2" xfId="7282" xr:uid="{B371058D-D6C5-4F14-A4F9-DFBE5F0C4578}"/>
    <cellStyle name="Normal 2 6 5 11 2 2 2" xfId="16110" xr:uid="{48AF3AB4-C317-4A29-9C2B-7F8C0D898724}"/>
    <cellStyle name="Normal 2 6 5 11 2 3" xfId="7283" xr:uid="{2F31216A-EB51-4F95-A808-6B85C322D5CA}"/>
    <cellStyle name="Normal 2 6 5 11 2 3 2" xfId="16111" xr:uid="{4F54BE6A-5B04-436D-8D35-6EB969B63357}"/>
    <cellStyle name="Normal 2 6 5 11 2 4" xfId="16109" xr:uid="{7E1F9A96-A80D-49E9-B913-BF1E2917EB4C}"/>
    <cellStyle name="Normal 2 6 5 11 3" xfId="7284" xr:uid="{2A2058FF-D45F-4797-B315-EF83E27171FC}"/>
    <cellStyle name="Normal 2 6 5 11 3 2" xfId="16112" xr:uid="{7624E090-2895-4D11-9FD1-676C2C0166FD}"/>
    <cellStyle name="Normal 2 6 5 11 4" xfId="7285" xr:uid="{73E3BDE3-9C58-40EB-8C35-DA82C6ED797F}"/>
    <cellStyle name="Normal 2 6 5 11 4 2" xfId="16113" xr:uid="{AC0787EA-CA9F-46C4-9A39-17CDECC35160}"/>
    <cellStyle name="Normal 2 6 5 11 5" xfId="16108" xr:uid="{66A70162-D3C5-4582-A2C5-10F367F6E8F4}"/>
    <cellStyle name="Normal 2 6 5 12" xfId="7286" xr:uid="{74D2436C-457D-4B54-BE61-9CF378E323B2}"/>
    <cellStyle name="Normal 2 6 5 12 2" xfId="7287" xr:uid="{85E34999-2A50-4E21-8FA6-905F9C26BA6D}"/>
    <cellStyle name="Normal 2 6 5 12 2 2" xfId="7288" xr:uid="{458145F6-DFBF-4BF6-A6A1-945CDE127DF3}"/>
    <cellStyle name="Normal 2 6 5 12 2 2 2" xfId="16116" xr:uid="{C043FD0F-A2FE-4952-A5DE-D69092CB688F}"/>
    <cellStyle name="Normal 2 6 5 12 2 3" xfId="7289" xr:uid="{F80D83B0-1055-461F-A4C3-487551FA1889}"/>
    <cellStyle name="Normal 2 6 5 12 2 3 2" xfId="16117" xr:uid="{48BEBB83-CB88-4554-80BD-AAAA9739CDA6}"/>
    <cellStyle name="Normal 2 6 5 12 2 4" xfId="16115" xr:uid="{D1D95D16-C94B-4A7F-A4A0-689B524F40FA}"/>
    <cellStyle name="Normal 2 6 5 12 3" xfId="7290" xr:uid="{693DF839-C695-42BF-B890-F2D681DFD5A3}"/>
    <cellStyle name="Normal 2 6 5 12 3 2" xfId="16118" xr:uid="{786D9A37-8639-408D-B589-2AC45FD50489}"/>
    <cellStyle name="Normal 2 6 5 12 4" xfId="7291" xr:uid="{20B66341-C903-4E00-AD0E-69446CEC6DC0}"/>
    <cellStyle name="Normal 2 6 5 12 4 2" xfId="16119" xr:uid="{A1872E23-1566-4E65-A5A8-8DF280328427}"/>
    <cellStyle name="Normal 2 6 5 12 5" xfId="16114" xr:uid="{49B05286-7002-4C36-AD8E-5C8B77C74F59}"/>
    <cellStyle name="Normal 2 6 5 13" xfId="7292" xr:uid="{32133A9B-FFB7-42EB-BC54-D05AE3BFD875}"/>
    <cellStyle name="Normal 2 6 5 13 2" xfId="7293" xr:uid="{81927F31-3F05-4FE2-8737-5AB28D693781}"/>
    <cellStyle name="Normal 2 6 5 13 2 2" xfId="7294" xr:uid="{138C0635-B0B3-45D0-8E2B-6C7C84FCEC69}"/>
    <cellStyle name="Normal 2 6 5 13 2 2 2" xfId="16122" xr:uid="{07BE1DA7-E490-4A73-8FA0-F9A84545B8E1}"/>
    <cellStyle name="Normal 2 6 5 13 2 3" xfId="7295" xr:uid="{DED2BF50-7E47-492D-8C8C-9A67F57F5DB6}"/>
    <cellStyle name="Normal 2 6 5 13 2 3 2" xfId="16123" xr:uid="{E4113C69-B9B6-4C1E-BE5F-A59BCC263F5E}"/>
    <cellStyle name="Normal 2 6 5 13 2 4" xfId="16121" xr:uid="{752B626D-2328-4DD2-9328-9016DA70F8A3}"/>
    <cellStyle name="Normal 2 6 5 13 3" xfId="7296" xr:uid="{B1890F4E-5479-43E7-872C-C29C3D2FAA22}"/>
    <cellStyle name="Normal 2 6 5 13 3 2" xfId="16124" xr:uid="{39D2D963-6379-4FAB-A1E3-70D5C4AA3400}"/>
    <cellStyle name="Normal 2 6 5 13 4" xfId="7297" xr:uid="{D30D26E2-90F8-474C-B68E-970C694EBA0C}"/>
    <cellStyle name="Normal 2 6 5 13 4 2" xfId="16125" xr:uid="{AEFD66B2-1493-44AC-BB86-DF6F50BEFD1C}"/>
    <cellStyle name="Normal 2 6 5 13 5" xfId="16120" xr:uid="{1B0A4ED3-27AD-43F6-86BB-D1F55AA7385F}"/>
    <cellStyle name="Normal 2 6 5 14" xfId="7298" xr:uid="{58FFE57F-7679-4857-9E2E-DECA0350D68A}"/>
    <cellStyle name="Normal 2 6 5 14 2" xfId="7299" xr:uid="{BED2B153-ED65-41FB-BF00-C782B879A5D5}"/>
    <cellStyle name="Normal 2 6 5 14 2 2" xfId="7300" xr:uid="{4B693C00-1E3C-4E10-9E87-E522A16C2FF9}"/>
    <cellStyle name="Normal 2 6 5 14 2 2 2" xfId="16128" xr:uid="{F038163C-6EBF-423D-B273-29AF23467580}"/>
    <cellStyle name="Normal 2 6 5 14 2 3" xfId="7301" xr:uid="{748A4F99-0126-4E2E-9827-82DA53D09FC1}"/>
    <cellStyle name="Normal 2 6 5 14 2 3 2" xfId="16129" xr:uid="{BAEF6E79-6C65-484A-BFC4-1A866B891254}"/>
    <cellStyle name="Normal 2 6 5 14 2 4" xfId="16127" xr:uid="{21A8B4A2-B27A-417A-A8F8-9226A3E3E246}"/>
    <cellStyle name="Normal 2 6 5 14 3" xfId="7302" xr:uid="{F0D5CB5C-48BA-4DD5-8095-7DB226DE8741}"/>
    <cellStyle name="Normal 2 6 5 14 3 2" xfId="16130" xr:uid="{2D4C8391-346D-45CD-8997-6FBC36F84735}"/>
    <cellStyle name="Normal 2 6 5 14 4" xfId="7303" xr:uid="{E44AE655-D435-40CA-A7C0-E23D1F3B9B75}"/>
    <cellStyle name="Normal 2 6 5 14 4 2" xfId="16131" xr:uid="{56AD16B1-2CCA-4AD0-A8EF-F3BCEE69F8D4}"/>
    <cellStyle name="Normal 2 6 5 14 5" xfId="16126" xr:uid="{489505A0-9AAE-4517-8D9B-85CA1B36EC1D}"/>
    <cellStyle name="Normal 2 6 5 15" xfId="7304" xr:uid="{2CC3B419-EFC4-4836-BD48-C78AC73A2908}"/>
    <cellStyle name="Normal 2 6 5 15 2" xfId="7305" xr:uid="{2848C9BC-7478-4215-AB2C-C6089413548B}"/>
    <cellStyle name="Normal 2 6 5 15 2 2" xfId="7306" xr:uid="{E4F1FF23-39AC-41EC-8E0D-B27EFD7245F2}"/>
    <cellStyle name="Normal 2 6 5 15 2 2 2" xfId="16134" xr:uid="{4CBCD655-1A75-4A75-8A0A-86A61C48B302}"/>
    <cellStyle name="Normal 2 6 5 15 2 3" xfId="7307" xr:uid="{9C87D45C-1DF8-4AE5-BC02-4AF43B450AD7}"/>
    <cellStyle name="Normal 2 6 5 15 2 3 2" xfId="16135" xr:uid="{170D4580-3569-4021-941E-B802D72251CD}"/>
    <cellStyle name="Normal 2 6 5 15 2 4" xfId="16133" xr:uid="{CACB3A63-ED74-421E-AD98-02930E3C0079}"/>
    <cellStyle name="Normal 2 6 5 15 3" xfId="7308" xr:uid="{9CE3DE23-6EED-4E5C-8024-FF4CDFDAF9C6}"/>
    <cellStyle name="Normal 2 6 5 15 3 2" xfId="16136" xr:uid="{7F42ED0E-E3CD-43D7-A52B-89FBDE55FBEB}"/>
    <cellStyle name="Normal 2 6 5 15 4" xfId="7309" xr:uid="{5996A793-1DA0-4507-88AA-D9F24D02D06D}"/>
    <cellStyle name="Normal 2 6 5 15 4 2" xfId="16137" xr:uid="{6B22C503-C204-46EA-B54E-C330ECA0CA2E}"/>
    <cellStyle name="Normal 2 6 5 15 5" xfId="16132" xr:uid="{5F186AF3-BCE2-4472-97D8-C85ADD0617EB}"/>
    <cellStyle name="Normal 2 6 5 16" xfId="7310" xr:uid="{0B50E7E2-8996-484F-8F8E-1F314506D00C}"/>
    <cellStyle name="Normal 2 6 5 16 2" xfId="7311" xr:uid="{2F9EEDFA-14DA-4CB6-A746-AE6EF1AF646C}"/>
    <cellStyle name="Normal 2 6 5 16 2 2" xfId="7312" xr:uid="{5078D246-C385-49E4-9D91-0FD7D1BEFCE6}"/>
    <cellStyle name="Normal 2 6 5 16 2 2 2" xfId="16140" xr:uid="{25E03EB7-1352-4BAE-B7CF-A9836C9FA3A2}"/>
    <cellStyle name="Normal 2 6 5 16 2 3" xfId="7313" xr:uid="{93A006B4-5B53-4B15-9F52-41C6FA3DF216}"/>
    <cellStyle name="Normal 2 6 5 16 2 3 2" xfId="16141" xr:uid="{87338C4B-94FB-441C-9AB2-C69C3B133563}"/>
    <cellStyle name="Normal 2 6 5 16 2 4" xfId="16139" xr:uid="{C9817CF5-0F22-4DBA-A5BB-F01654DBB821}"/>
    <cellStyle name="Normal 2 6 5 16 3" xfId="7314" xr:uid="{17CA2FCE-D0D7-49A5-BB9C-14DF1A78EB14}"/>
    <cellStyle name="Normal 2 6 5 16 3 2" xfId="16142" xr:uid="{02F478E0-5B59-476A-946E-506E6525AA06}"/>
    <cellStyle name="Normal 2 6 5 16 4" xfId="7315" xr:uid="{8C6F1ECD-A421-4792-9C29-2F8B2C43E13E}"/>
    <cellStyle name="Normal 2 6 5 16 4 2" xfId="16143" xr:uid="{428744D6-7EF5-4D9D-BEAD-82CF7EA85C4B}"/>
    <cellStyle name="Normal 2 6 5 16 5" xfId="16138" xr:uid="{C2795C93-BFB8-4C48-B20E-73227947F16D}"/>
    <cellStyle name="Normal 2 6 5 17" xfId="7316" xr:uid="{47D5B3D1-8398-4C88-AF4B-24BFBB7F9E7B}"/>
    <cellStyle name="Normal 2 6 5 17 2" xfId="7317" xr:uid="{6035A123-B31B-49BE-8B3F-48FE146902F7}"/>
    <cellStyle name="Normal 2 6 5 17 2 2" xfId="7318" xr:uid="{FADFC71C-516C-497B-8FAB-4B93B63B4F00}"/>
    <cellStyle name="Normal 2 6 5 17 2 2 2" xfId="16146" xr:uid="{4DD22B87-4E80-4B4E-ABF1-94AFA0CE363A}"/>
    <cellStyle name="Normal 2 6 5 17 2 3" xfId="7319" xr:uid="{B2CE9CF4-0449-4555-9A62-21E753DD2A6C}"/>
    <cellStyle name="Normal 2 6 5 17 2 3 2" xfId="16147" xr:uid="{187898FC-F909-4656-8663-B63DC82976E7}"/>
    <cellStyle name="Normal 2 6 5 17 2 4" xfId="16145" xr:uid="{04F02F68-CCCC-4889-8017-A1AA7063E4D7}"/>
    <cellStyle name="Normal 2 6 5 17 3" xfId="7320" xr:uid="{D415D126-B7DA-47B8-BC55-CA2017C08D42}"/>
    <cellStyle name="Normal 2 6 5 17 3 2" xfId="16148" xr:uid="{E07CBA66-FDA0-49F9-AFE6-AF6A565C96B2}"/>
    <cellStyle name="Normal 2 6 5 17 4" xfId="7321" xr:uid="{0EF193E5-60B8-4C4D-A00A-E1B2C2F1560C}"/>
    <cellStyle name="Normal 2 6 5 17 4 2" xfId="16149" xr:uid="{508B3E2B-FB5E-434D-8D52-56668A9AA360}"/>
    <cellStyle name="Normal 2 6 5 17 5" xfId="16144" xr:uid="{2FF1CF4D-4733-42D8-822E-0F618335CC14}"/>
    <cellStyle name="Normal 2 6 5 18" xfId="7322" xr:uid="{88CF8926-8C05-4D15-A055-4D5D687CEC5A}"/>
    <cellStyle name="Normal 2 6 5 18 2" xfId="7323" xr:uid="{14216E00-67E6-46CE-BCFB-B401CF439E68}"/>
    <cellStyle name="Normal 2 6 5 18 2 2" xfId="7324" xr:uid="{FEC84963-8D03-44B6-A0B8-F81D68F51772}"/>
    <cellStyle name="Normal 2 6 5 18 2 2 2" xfId="16152" xr:uid="{4E84AD7D-4474-49AB-929D-479036EDBFBC}"/>
    <cellStyle name="Normal 2 6 5 18 2 3" xfId="7325" xr:uid="{454FFACB-7CA4-4CD4-B282-960490F15A85}"/>
    <cellStyle name="Normal 2 6 5 18 2 3 2" xfId="16153" xr:uid="{D19464CB-090B-4F3F-A1DB-904E39528C8F}"/>
    <cellStyle name="Normal 2 6 5 18 2 4" xfId="16151" xr:uid="{EF219FEE-C717-477E-A361-E620B178290A}"/>
    <cellStyle name="Normal 2 6 5 18 3" xfId="7326" xr:uid="{308F050E-1137-4DA7-91F4-9C9FFA0B18AE}"/>
    <cellStyle name="Normal 2 6 5 18 3 2" xfId="16154" xr:uid="{5ECB8BB1-FF5A-4C35-B6CE-73F9A5405E52}"/>
    <cellStyle name="Normal 2 6 5 18 4" xfId="7327" xr:uid="{2AE0B18D-7F00-448D-A1B4-1EAB76FF3768}"/>
    <cellStyle name="Normal 2 6 5 18 4 2" xfId="16155" xr:uid="{E71EF2DA-4434-4348-B0F3-A686C5CE15E3}"/>
    <cellStyle name="Normal 2 6 5 18 5" xfId="16150" xr:uid="{7135CD93-7355-43B7-AD2C-4B3A6FDA2FF3}"/>
    <cellStyle name="Normal 2 6 5 19" xfId="7328" xr:uid="{A44F4D5F-12A5-4444-82B3-02336F3C4D9C}"/>
    <cellStyle name="Normal 2 6 5 19 2" xfId="7329" xr:uid="{DB01BD65-92AE-4CB0-B921-5FE1E1FDDF5A}"/>
    <cellStyle name="Normal 2 6 5 19 2 2" xfId="7330" xr:uid="{3EB013D9-04CC-4013-8339-4F0064B5FCDA}"/>
    <cellStyle name="Normal 2 6 5 19 2 2 2" xfId="16158" xr:uid="{E75C11D5-BB69-4910-B6A7-51D04D5B19F2}"/>
    <cellStyle name="Normal 2 6 5 19 2 3" xfId="7331" xr:uid="{C5B6C608-5D17-41C0-8D0B-4022D14C9623}"/>
    <cellStyle name="Normal 2 6 5 19 2 3 2" xfId="16159" xr:uid="{9E48A297-6AD4-4528-BB3A-7C1DA62EB4FC}"/>
    <cellStyle name="Normal 2 6 5 19 2 4" xfId="16157" xr:uid="{2BE3991B-25EB-42F3-8447-9B5FC1BA499E}"/>
    <cellStyle name="Normal 2 6 5 19 3" xfId="7332" xr:uid="{3B5F1574-0D5C-4D2C-A39C-06F384A808D4}"/>
    <cellStyle name="Normal 2 6 5 19 3 2" xfId="16160" xr:uid="{2D8A49C2-61EF-4A24-9924-CD3DE52EDB69}"/>
    <cellStyle name="Normal 2 6 5 19 4" xfId="7333" xr:uid="{1A484AF7-3707-47B7-A930-EFA922495809}"/>
    <cellStyle name="Normal 2 6 5 19 4 2" xfId="16161" xr:uid="{3C76779A-6E3D-4CD4-8B61-88FE1B429A4F}"/>
    <cellStyle name="Normal 2 6 5 19 5" xfId="16156" xr:uid="{017AC931-938E-4396-B350-0991CAE92B08}"/>
    <cellStyle name="Normal 2 6 5 2" xfId="7334" xr:uid="{74F8CEDF-8C92-43B4-A7B6-7D284939E7D2}"/>
    <cellStyle name="Normal 2 6 5 2 2" xfId="7335" xr:uid="{A2D0DCCB-A180-4F22-95C4-67801FF351AA}"/>
    <cellStyle name="Normal 2 6 5 2 2 2" xfId="7336" xr:uid="{524A0428-5C74-4AAB-8890-021FBD4803D7}"/>
    <cellStyle name="Normal 2 6 5 2 2 2 2" xfId="16164" xr:uid="{16220E74-5D3D-4883-AB87-8E0FE4AC5A26}"/>
    <cellStyle name="Normal 2 6 5 2 2 3" xfId="7337" xr:uid="{7300DDA9-9897-40E6-BE3E-035A409FADCE}"/>
    <cellStyle name="Normal 2 6 5 2 2 3 2" xfId="16165" xr:uid="{E3975258-4BB9-4F00-842E-7CF953F3D8D8}"/>
    <cellStyle name="Normal 2 6 5 2 2 4" xfId="16163" xr:uid="{DA290A56-FAF0-41A9-87BC-3E4427323712}"/>
    <cellStyle name="Normal 2 6 5 2 3" xfId="7338" xr:uid="{FC230DFB-837E-410B-898F-AE3F4D9AAB59}"/>
    <cellStyle name="Normal 2 6 5 2 3 2" xfId="16166" xr:uid="{6B92D672-F39E-4259-89B7-214323650E90}"/>
    <cellStyle name="Normal 2 6 5 2 4" xfId="7339" xr:uid="{BEA9485C-7B36-4AD8-89E3-65A76A6F774F}"/>
    <cellStyle name="Normal 2 6 5 2 4 2" xfId="16167" xr:uid="{62E12025-5529-4CB4-B752-E585AE24F3A1}"/>
    <cellStyle name="Normal 2 6 5 2 5" xfId="16162" xr:uid="{549767C5-6084-4406-91B7-24FF2E5D051A}"/>
    <cellStyle name="Normal 2 6 5 20" xfId="7340" xr:uid="{1C6351BD-20B7-4F7E-9DBC-3627C8BD4F12}"/>
    <cellStyle name="Normal 2 6 5 20 2" xfId="7341" xr:uid="{EF23554E-EDE1-475D-8B8F-E2D7BD8D83CA}"/>
    <cellStyle name="Normal 2 6 5 20 2 2" xfId="7342" xr:uid="{B8D0C265-8EF6-465C-BF7A-FCEB911D9045}"/>
    <cellStyle name="Normal 2 6 5 20 2 2 2" xfId="16170" xr:uid="{1283FCF6-D0E0-4CEB-A082-1E42244A63C5}"/>
    <cellStyle name="Normal 2 6 5 20 2 3" xfId="7343" xr:uid="{45C79910-070E-45E7-99F9-CCA147467F7D}"/>
    <cellStyle name="Normal 2 6 5 20 2 3 2" xfId="16171" xr:uid="{AE2FCA6D-ECDC-41C4-BDEE-401E3FA204D3}"/>
    <cellStyle name="Normal 2 6 5 20 2 4" xfId="16169" xr:uid="{47958D40-A2DD-44C6-BCB6-BC9AEB7BF290}"/>
    <cellStyle name="Normal 2 6 5 20 3" xfId="7344" xr:uid="{9983B8B1-6E49-45C1-A712-9F1F82495204}"/>
    <cellStyle name="Normal 2 6 5 20 3 2" xfId="16172" xr:uid="{883FA076-EB9C-43BD-BA13-AD251F5BB698}"/>
    <cellStyle name="Normal 2 6 5 20 4" xfId="7345" xr:uid="{A6B79A5D-E5F4-4B62-94F0-D1D250034068}"/>
    <cellStyle name="Normal 2 6 5 20 4 2" xfId="16173" xr:uid="{C8D78643-CC67-492C-9961-DE8558D0D0E3}"/>
    <cellStyle name="Normal 2 6 5 20 5" xfId="16168" xr:uid="{C72E976B-8D05-4152-BE9E-7F3905D82210}"/>
    <cellStyle name="Normal 2 6 5 21" xfId="7346" xr:uid="{4B07580C-8ED5-4B5F-B357-F77A4562C3E0}"/>
    <cellStyle name="Normal 2 6 5 21 2" xfId="7347" xr:uid="{CE191BE6-C6D9-4C17-B494-DF4C057E6094}"/>
    <cellStyle name="Normal 2 6 5 21 2 2" xfId="7348" xr:uid="{1BE87FA8-7B61-43BC-BF36-D9756BCA5CB7}"/>
    <cellStyle name="Normal 2 6 5 21 2 2 2" xfId="16176" xr:uid="{7CE7B9EA-7483-44D6-B4DC-13EAEB585B94}"/>
    <cellStyle name="Normal 2 6 5 21 2 3" xfId="7349" xr:uid="{A5DCCA3F-71C0-4F70-9C9B-B34B77FD5244}"/>
    <cellStyle name="Normal 2 6 5 21 2 3 2" xfId="16177" xr:uid="{FCF5E056-72CE-47CD-BB26-DEEEC6A0DD01}"/>
    <cellStyle name="Normal 2 6 5 21 2 4" xfId="16175" xr:uid="{6FC1E719-47CD-4591-A1A9-124914EEC950}"/>
    <cellStyle name="Normal 2 6 5 21 3" xfId="7350" xr:uid="{C127C2D0-6FE5-4440-832D-0EB7B074EDDB}"/>
    <cellStyle name="Normal 2 6 5 21 3 2" xfId="16178" xr:uid="{818F5C38-AE3B-446C-8448-5FE36805E213}"/>
    <cellStyle name="Normal 2 6 5 21 4" xfId="7351" xr:uid="{78B515D6-C1E3-4E93-A12B-EC0CE40C76F2}"/>
    <cellStyle name="Normal 2 6 5 21 4 2" xfId="16179" xr:uid="{3E56B8BD-C04C-4278-9DA1-0850F64F61FE}"/>
    <cellStyle name="Normal 2 6 5 21 5" xfId="16174" xr:uid="{2EFA90DA-4A7E-45FB-B3BF-35F6BD153697}"/>
    <cellStyle name="Normal 2 6 5 22" xfId="7352" xr:uid="{E159FF5E-DBF7-4542-9F63-ACE2D83E61B9}"/>
    <cellStyle name="Normal 2 6 5 22 2" xfId="7353" xr:uid="{4520F08B-B661-4B11-A742-48FBC7A6C928}"/>
    <cellStyle name="Normal 2 6 5 22 2 2" xfId="7354" xr:uid="{5BFA14B2-7519-44A4-AEE3-F7F0F5DF9D33}"/>
    <cellStyle name="Normal 2 6 5 22 2 2 2" xfId="16182" xr:uid="{5788B32F-48B2-49B4-8C8A-EEADCBCF055E}"/>
    <cellStyle name="Normal 2 6 5 22 2 3" xfId="7355" xr:uid="{F30C9DAB-9E36-44A9-A669-1053D1E431C4}"/>
    <cellStyle name="Normal 2 6 5 22 2 3 2" xfId="16183" xr:uid="{5FEBB603-4355-4F52-BDC0-87EC2BDCD084}"/>
    <cellStyle name="Normal 2 6 5 22 2 4" xfId="16181" xr:uid="{3987D65A-D57F-4973-AF79-7DE379287936}"/>
    <cellStyle name="Normal 2 6 5 22 3" xfId="7356" xr:uid="{9BFE404B-37C2-4DC3-AA91-F62A2998BB98}"/>
    <cellStyle name="Normal 2 6 5 22 3 2" xfId="16184" xr:uid="{9AB930AD-C918-4C67-B231-2104F39F72B0}"/>
    <cellStyle name="Normal 2 6 5 22 4" xfId="7357" xr:uid="{79BAF2A8-74A5-4D1B-BCEB-6BBBA1B9F666}"/>
    <cellStyle name="Normal 2 6 5 22 4 2" xfId="16185" xr:uid="{C893BA90-C1FD-4A38-B455-F729CEA43673}"/>
    <cellStyle name="Normal 2 6 5 22 5" xfId="16180" xr:uid="{313FDB64-DFB5-4915-A1A3-7874DE51D707}"/>
    <cellStyle name="Normal 2 6 5 23" xfId="7358" xr:uid="{670B03A4-773D-4CA0-8804-52402DA67304}"/>
    <cellStyle name="Normal 2 6 5 23 2" xfId="7359" xr:uid="{11A026CF-231C-44A1-B8CF-3199E83379D2}"/>
    <cellStyle name="Normal 2 6 5 23 2 2" xfId="7360" xr:uid="{BD7AED5F-B6E6-4753-92EE-B064FFC24FED}"/>
    <cellStyle name="Normal 2 6 5 23 2 2 2" xfId="16188" xr:uid="{11D39A83-0A98-4039-9906-00086A939C82}"/>
    <cellStyle name="Normal 2 6 5 23 2 3" xfId="7361" xr:uid="{DCCC6ABF-2A89-429F-9BA9-08D91A65EA82}"/>
    <cellStyle name="Normal 2 6 5 23 2 3 2" xfId="16189" xr:uid="{D0641B56-6631-46F1-BEFD-2216AC38EA59}"/>
    <cellStyle name="Normal 2 6 5 23 2 4" xfId="16187" xr:uid="{8580FBFD-A3AB-4F33-A864-8DE551853526}"/>
    <cellStyle name="Normal 2 6 5 23 3" xfId="7362" xr:uid="{5C658123-E83F-4ADB-A22B-7B6C1922D93D}"/>
    <cellStyle name="Normal 2 6 5 23 3 2" xfId="16190" xr:uid="{687B3149-9492-4EA7-8AB5-8D9218A881BE}"/>
    <cellStyle name="Normal 2 6 5 23 4" xfId="7363" xr:uid="{48CBEA39-119D-4CC0-9EBB-62072569842D}"/>
    <cellStyle name="Normal 2 6 5 23 4 2" xfId="16191" xr:uid="{B5C57205-B661-4E2A-B9F7-853397E7B8A4}"/>
    <cellStyle name="Normal 2 6 5 23 5" xfId="16186" xr:uid="{F2726229-3FBC-4401-ADD0-946C77B64180}"/>
    <cellStyle name="Normal 2 6 5 24" xfId="7364" xr:uid="{03D84CB3-5C22-4A24-834F-DCB78094B7CC}"/>
    <cellStyle name="Normal 2 6 5 24 2" xfId="7365" xr:uid="{85FA8779-1746-4139-81BA-5115AB8852D8}"/>
    <cellStyle name="Normal 2 6 5 24 2 2" xfId="7366" xr:uid="{530FF905-4C59-4FA1-A25F-18005E6D55E9}"/>
    <cellStyle name="Normal 2 6 5 24 2 2 2" xfId="16194" xr:uid="{0B8F72E6-E9EB-4748-AF60-3D1031FF8A7B}"/>
    <cellStyle name="Normal 2 6 5 24 2 3" xfId="7367" xr:uid="{861A8447-4E87-4A79-83C6-5FCDD74F6FCB}"/>
    <cellStyle name="Normal 2 6 5 24 2 3 2" xfId="16195" xr:uid="{D1082D44-9035-498B-8231-FE86EAA5CA07}"/>
    <cellStyle name="Normal 2 6 5 24 2 4" xfId="16193" xr:uid="{075950BA-FDD2-43F9-970C-52559F0E2438}"/>
    <cellStyle name="Normal 2 6 5 24 3" xfId="7368" xr:uid="{C116F4B3-9E0F-4F79-ABFB-95E49CF4EB09}"/>
    <cellStyle name="Normal 2 6 5 24 3 2" xfId="16196" xr:uid="{81A864CE-D1C2-4499-AF99-66EAF7E1A1C1}"/>
    <cellStyle name="Normal 2 6 5 24 4" xfId="7369" xr:uid="{830137BA-7839-4F70-8738-C3962C53762E}"/>
    <cellStyle name="Normal 2 6 5 24 4 2" xfId="16197" xr:uid="{A6D6742A-68C7-4F95-B882-90319CCF1160}"/>
    <cellStyle name="Normal 2 6 5 24 5" xfId="16192" xr:uid="{C9781A23-9EBE-488B-A4C2-7349901A0C9F}"/>
    <cellStyle name="Normal 2 6 5 25" xfId="7370" xr:uid="{FDC14886-365B-460C-A5D0-5ECA0D25BDB4}"/>
    <cellStyle name="Normal 2 6 5 25 2" xfId="7371" xr:uid="{AF3FA695-B11F-40C8-B0B3-E724AB73752A}"/>
    <cellStyle name="Normal 2 6 5 25 2 2" xfId="7372" xr:uid="{566C4B7C-0EF9-4C1D-8EF9-E18C3B0EF867}"/>
    <cellStyle name="Normal 2 6 5 25 2 2 2" xfId="16200" xr:uid="{D4268D4D-DE7C-4752-949D-7E7761B4E0CB}"/>
    <cellStyle name="Normal 2 6 5 25 2 3" xfId="7373" xr:uid="{EBFDE020-1D5A-4A93-85C1-FE62CBA292F0}"/>
    <cellStyle name="Normal 2 6 5 25 2 3 2" xfId="16201" xr:uid="{B2D57ECE-382E-45DE-B174-46E3C57AD681}"/>
    <cellStyle name="Normal 2 6 5 25 2 4" xfId="16199" xr:uid="{2BB82549-06A7-442F-A5F4-DE72191A98BA}"/>
    <cellStyle name="Normal 2 6 5 25 3" xfId="7374" xr:uid="{E6BDF9C4-63CC-4278-86FD-56C4410F21E2}"/>
    <cellStyle name="Normal 2 6 5 25 3 2" xfId="16202" xr:uid="{31D465FE-ECB5-40D2-A66C-ADD5FC308F52}"/>
    <cellStyle name="Normal 2 6 5 25 4" xfId="7375" xr:uid="{7B52DA81-06C0-4E46-A2DE-081C776893CE}"/>
    <cellStyle name="Normal 2 6 5 25 4 2" xfId="16203" xr:uid="{4BA25FC4-F322-4308-A48B-2C195EE641E6}"/>
    <cellStyle name="Normal 2 6 5 25 5" xfId="16198" xr:uid="{F5EB29BF-10DF-40D9-98BA-7717EC2C1846}"/>
    <cellStyle name="Normal 2 6 5 26" xfId="7376" xr:uid="{1A2FBA1F-F7FC-4D84-8D33-4BF43284EEB6}"/>
    <cellStyle name="Normal 2 6 5 26 2" xfId="7377" xr:uid="{AA25B864-E72D-461C-B95C-477738C0CA65}"/>
    <cellStyle name="Normal 2 6 5 26 2 2" xfId="7378" xr:uid="{5D6526F6-8CB6-48BB-BC15-B26878A12655}"/>
    <cellStyle name="Normal 2 6 5 26 2 2 2" xfId="16206" xr:uid="{BC5C04C6-D136-45F6-B272-08D261F57FA9}"/>
    <cellStyle name="Normal 2 6 5 26 2 3" xfId="7379" xr:uid="{AFC68383-5825-44E7-9F1C-808978AF2E24}"/>
    <cellStyle name="Normal 2 6 5 26 2 3 2" xfId="16207" xr:uid="{D31F3352-5CF2-4A7E-ACD6-FC9B75BAE1A5}"/>
    <cellStyle name="Normal 2 6 5 26 2 4" xfId="16205" xr:uid="{8A4D23D9-A38A-475E-BE8B-E3F57603C013}"/>
    <cellStyle name="Normal 2 6 5 26 3" xfId="7380" xr:uid="{F4150037-767F-43FB-AF05-3C16FEBD3DB0}"/>
    <cellStyle name="Normal 2 6 5 26 3 2" xfId="16208" xr:uid="{B0A329B0-057B-44D3-95F7-349ABFFEEAFA}"/>
    <cellStyle name="Normal 2 6 5 26 4" xfId="7381" xr:uid="{EF584D5B-7F29-41A3-BF90-7B603E0EC4AF}"/>
    <cellStyle name="Normal 2 6 5 26 4 2" xfId="16209" xr:uid="{5D77B109-E049-4A2B-9E8B-4E6458F3AA92}"/>
    <cellStyle name="Normal 2 6 5 26 5" xfId="16204" xr:uid="{537128E4-09E1-47B9-B93D-9B372C930771}"/>
    <cellStyle name="Normal 2 6 5 27" xfId="7382" xr:uid="{5DE50523-C91E-48B8-BFCB-67F701368A50}"/>
    <cellStyle name="Normal 2 6 5 27 2" xfId="7383" xr:uid="{2A83C3EF-BD62-4F18-BDAF-29BD1B3E6E31}"/>
    <cellStyle name="Normal 2 6 5 27 2 2" xfId="7384" xr:uid="{BCF29664-5020-4625-9518-04333FBD6899}"/>
    <cellStyle name="Normal 2 6 5 27 2 2 2" xfId="16212" xr:uid="{6D222DDB-6342-4D72-B205-D8148B86EE60}"/>
    <cellStyle name="Normal 2 6 5 27 2 3" xfId="7385" xr:uid="{304B1B06-A1AB-4845-AD50-70E980B253A0}"/>
    <cellStyle name="Normal 2 6 5 27 2 3 2" xfId="16213" xr:uid="{49A05F79-0D66-4F34-BC28-7C91EF71F41A}"/>
    <cellStyle name="Normal 2 6 5 27 2 4" xfId="16211" xr:uid="{9D41DE79-B122-4F38-BF34-1BF8CA76F03B}"/>
    <cellStyle name="Normal 2 6 5 27 3" xfId="7386" xr:uid="{B39412B5-E563-4095-A292-D571E4A90C81}"/>
    <cellStyle name="Normal 2 6 5 27 3 2" xfId="16214" xr:uid="{BD96C848-1437-43E5-B47F-8A19AA988093}"/>
    <cellStyle name="Normal 2 6 5 27 4" xfId="7387" xr:uid="{F2EDAACE-3C4C-4C43-B1DF-D51B711CADA4}"/>
    <cellStyle name="Normal 2 6 5 27 4 2" xfId="16215" xr:uid="{61741175-2338-4CB6-AF51-9CF19ED3DDD9}"/>
    <cellStyle name="Normal 2 6 5 27 5" xfId="16210" xr:uid="{D996C17F-7200-4D82-8E09-0A1A403C5C7A}"/>
    <cellStyle name="Normal 2 6 5 28" xfId="7388" xr:uid="{A8194B5A-B26C-4588-9F8F-80E29FAFCD9B}"/>
    <cellStyle name="Normal 2 6 5 28 2" xfId="7389" xr:uid="{47EC1DC7-2732-4409-ACD8-EA4DE2DA17F3}"/>
    <cellStyle name="Normal 2 6 5 28 2 2" xfId="7390" xr:uid="{C7E30E8C-868F-4519-86E8-1FEDA0880722}"/>
    <cellStyle name="Normal 2 6 5 28 2 2 2" xfId="16218" xr:uid="{AFDDDE87-CFCD-48BB-AE2C-8B085E48C794}"/>
    <cellStyle name="Normal 2 6 5 28 2 3" xfId="7391" xr:uid="{443B911A-7538-4386-9CF5-ECBB9AAE5DF3}"/>
    <cellStyle name="Normal 2 6 5 28 2 3 2" xfId="16219" xr:uid="{DA962F36-4CCC-49EC-9EC5-A790B7AD2516}"/>
    <cellStyle name="Normal 2 6 5 28 2 4" xfId="16217" xr:uid="{F595746E-4E83-4C0A-9E2F-39A287FDAC9B}"/>
    <cellStyle name="Normal 2 6 5 28 3" xfId="7392" xr:uid="{B36C96B3-C02B-46C0-9AEA-8B8D89A9387D}"/>
    <cellStyle name="Normal 2 6 5 28 3 2" xfId="16220" xr:uid="{99E88695-FF57-450B-85C4-E66806F7D166}"/>
    <cellStyle name="Normal 2 6 5 28 4" xfId="7393" xr:uid="{6A8882C0-76EC-4D85-AB32-53226991B918}"/>
    <cellStyle name="Normal 2 6 5 28 4 2" xfId="16221" xr:uid="{3FA1CB7B-47DF-4C18-A79A-B796BB25AD5F}"/>
    <cellStyle name="Normal 2 6 5 28 5" xfId="16216" xr:uid="{4613305E-8F45-478C-BA77-AB6840BCEFA6}"/>
    <cellStyle name="Normal 2 6 5 29" xfId="7394" xr:uid="{1F160843-AAB3-45F8-AC9B-125BB5BBB4F4}"/>
    <cellStyle name="Normal 2 6 5 29 2" xfId="7395" xr:uid="{8F5B126D-111C-4CD8-806B-FDC108F8B340}"/>
    <cellStyle name="Normal 2 6 5 29 2 2" xfId="7396" xr:uid="{5324CF4F-7A7A-4721-B03B-4AAAF6E8DD00}"/>
    <cellStyle name="Normal 2 6 5 29 2 2 2" xfId="16224" xr:uid="{7DED6B00-15E1-42D6-AD9A-D537F15CC9E9}"/>
    <cellStyle name="Normal 2 6 5 29 2 3" xfId="7397" xr:uid="{D84DA098-8EDB-4884-B1A3-436545612E99}"/>
    <cellStyle name="Normal 2 6 5 29 2 3 2" xfId="16225" xr:uid="{E136199F-E175-472B-9FC4-70E250F5F2C0}"/>
    <cellStyle name="Normal 2 6 5 29 2 4" xfId="16223" xr:uid="{93F4A378-7159-450D-A61A-1F9250B6293B}"/>
    <cellStyle name="Normal 2 6 5 29 3" xfId="7398" xr:uid="{E505859C-F486-4F64-9F74-CEBB17FB574C}"/>
    <cellStyle name="Normal 2 6 5 29 3 2" xfId="16226" xr:uid="{ACE8598D-3BEC-498E-AD72-94511F17C93B}"/>
    <cellStyle name="Normal 2 6 5 29 4" xfId="7399" xr:uid="{2C7CF242-53FB-4BD2-B32C-FF9472A1DF10}"/>
    <cellStyle name="Normal 2 6 5 29 4 2" xfId="16227" xr:uid="{2A5EE01C-248E-4788-B5FA-694CA4DBBCFE}"/>
    <cellStyle name="Normal 2 6 5 29 5" xfId="16222" xr:uid="{48363F5A-730F-4370-9723-2627B9E9738E}"/>
    <cellStyle name="Normal 2 6 5 3" xfId="7400" xr:uid="{677F0F34-69A1-4006-98F1-7AD548FA33F6}"/>
    <cellStyle name="Normal 2 6 5 3 2" xfId="7401" xr:uid="{6E7C5A4B-7B20-49C7-B5BF-8816C5C5D0DD}"/>
    <cellStyle name="Normal 2 6 5 3 2 2" xfId="7402" xr:uid="{D07B44D8-8EC9-457F-82F6-207B36B85F6A}"/>
    <cellStyle name="Normal 2 6 5 3 2 2 2" xfId="16230" xr:uid="{5902292B-0165-425F-9791-26FD7F889F72}"/>
    <cellStyle name="Normal 2 6 5 3 2 3" xfId="7403" xr:uid="{710F448D-F814-4252-98D4-80355908E940}"/>
    <cellStyle name="Normal 2 6 5 3 2 3 2" xfId="16231" xr:uid="{989FA730-0B48-40BF-8710-EFAF75190A5B}"/>
    <cellStyle name="Normal 2 6 5 3 2 4" xfId="16229" xr:uid="{C0F10D88-B161-499B-AAB8-5A17D2D01DDC}"/>
    <cellStyle name="Normal 2 6 5 3 3" xfId="7404" xr:uid="{E7FE16BD-2337-418B-ACCD-5EB1365ADBEE}"/>
    <cellStyle name="Normal 2 6 5 3 3 2" xfId="16232" xr:uid="{CDAC8360-7FF2-4D9A-996C-2A067960B721}"/>
    <cellStyle name="Normal 2 6 5 3 4" xfId="7405" xr:uid="{26FEFE23-5014-4578-84DA-D3AB470D14D7}"/>
    <cellStyle name="Normal 2 6 5 3 4 2" xfId="16233" xr:uid="{E6A1CAFB-3C92-4E6C-B175-20BC4D08AB6E}"/>
    <cellStyle name="Normal 2 6 5 3 5" xfId="16228" xr:uid="{5BA1667D-5768-4E2E-96B2-36A6026F2023}"/>
    <cellStyle name="Normal 2 6 5 30" xfId="7406" xr:uid="{B2EEE295-D73D-411D-97CD-89C572E7CA89}"/>
    <cellStyle name="Normal 2 6 5 30 2" xfId="7407" xr:uid="{B4C18B41-CDD1-4ECE-BE91-941456F5C70A}"/>
    <cellStyle name="Normal 2 6 5 30 2 2" xfId="7408" xr:uid="{30372094-F8EC-4A95-A070-1F7111E94944}"/>
    <cellStyle name="Normal 2 6 5 30 2 2 2" xfId="16236" xr:uid="{20FF5E95-246B-4400-A5A1-339CD28BC608}"/>
    <cellStyle name="Normal 2 6 5 30 2 3" xfId="7409" xr:uid="{3D87E4D8-80AF-4E09-93B5-8DFF187E4396}"/>
    <cellStyle name="Normal 2 6 5 30 2 3 2" xfId="16237" xr:uid="{585D871C-D3A4-44CD-B7DD-C844D9D5B735}"/>
    <cellStyle name="Normal 2 6 5 30 2 4" xfId="16235" xr:uid="{D491C101-1632-4745-9120-ADCFA96FBADB}"/>
    <cellStyle name="Normal 2 6 5 30 3" xfId="7410" xr:uid="{030ACA9A-6CBF-4BEA-8D0E-FB48F3ED3A9F}"/>
    <cellStyle name="Normal 2 6 5 30 3 2" xfId="16238" xr:uid="{8C9A1C84-3136-405A-B2BC-E9F9A832F479}"/>
    <cellStyle name="Normal 2 6 5 30 4" xfId="7411" xr:uid="{FC19D979-334D-4BC5-82E5-33A3828C92A5}"/>
    <cellStyle name="Normal 2 6 5 30 4 2" xfId="16239" xr:uid="{2AFD0551-21A9-425E-9251-4B3065ED74B1}"/>
    <cellStyle name="Normal 2 6 5 30 5" xfId="16234" xr:uid="{87761ECA-7B88-4364-80E1-5494E9268EE2}"/>
    <cellStyle name="Normal 2 6 5 31" xfId="7412" xr:uid="{DB35D393-CA25-4CD6-BFEB-2EAC8EAB078F}"/>
    <cellStyle name="Normal 2 6 5 31 2" xfId="7413" xr:uid="{4E3E60CC-7486-4E56-AF83-26D7101026E1}"/>
    <cellStyle name="Normal 2 6 5 31 2 2" xfId="7414" xr:uid="{BE7FB360-9B46-490F-843D-61AC361D0737}"/>
    <cellStyle name="Normal 2 6 5 31 2 2 2" xfId="16242" xr:uid="{AF9B9B2A-FC55-4004-84AB-52C46608EFF7}"/>
    <cellStyle name="Normal 2 6 5 31 2 3" xfId="7415" xr:uid="{BB23E5EE-FA18-4B8D-8B6A-10CF3041F809}"/>
    <cellStyle name="Normal 2 6 5 31 2 3 2" xfId="16243" xr:uid="{0D01C566-0517-460B-9250-910A04F57AC2}"/>
    <cellStyle name="Normal 2 6 5 31 2 4" xfId="16241" xr:uid="{0C222FB2-8C2B-439E-9A38-BE43CBB14766}"/>
    <cellStyle name="Normal 2 6 5 31 3" xfId="7416" xr:uid="{9A151611-1CC4-48D1-869D-F497F3023E38}"/>
    <cellStyle name="Normal 2 6 5 31 3 2" xfId="16244" xr:uid="{99E8E3F7-99C1-4A9C-AD05-62FCC80022A9}"/>
    <cellStyle name="Normal 2 6 5 31 4" xfId="7417" xr:uid="{BC57B0FB-6364-4D4E-991F-58B6B752F891}"/>
    <cellStyle name="Normal 2 6 5 31 4 2" xfId="16245" xr:uid="{0BC05D62-1267-4105-A645-43DE92190B62}"/>
    <cellStyle name="Normal 2 6 5 31 5" xfId="16240" xr:uid="{DB70947C-9C09-42B1-9D8F-E5B174870B1A}"/>
    <cellStyle name="Normal 2 6 5 32" xfId="7418" xr:uid="{B08E385A-9C7A-431A-94DA-4BB38ECF693F}"/>
    <cellStyle name="Normal 2 6 5 32 2" xfId="7419" xr:uid="{97F68E70-9AA8-416A-A35C-8823D5FDCF56}"/>
    <cellStyle name="Normal 2 6 5 32 2 2" xfId="7420" xr:uid="{66FD32AB-D0BF-48AC-AA7A-0A4A49161D51}"/>
    <cellStyle name="Normal 2 6 5 32 2 2 2" xfId="16248" xr:uid="{B8D5A0C5-B46B-48C1-A695-CBE8802F35EB}"/>
    <cellStyle name="Normal 2 6 5 32 2 3" xfId="7421" xr:uid="{204EEA07-844B-471E-A0E5-C5A7C470A6A6}"/>
    <cellStyle name="Normal 2 6 5 32 2 3 2" xfId="16249" xr:uid="{1E7419DB-0BAC-4CA6-AA4E-48C8A216ED5A}"/>
    <cellStyle name="Normal 2 6 5 32 2 4" xfId="16247" xr:uid="{46177890-2788-4F65-AC13-98DD6CDEE309}"/>
    <cellStyle name="Normal 2 6 5 32 3" xfId="7422" xr:uid="{F62C9097-D2A2-481F-8CE0-7B5279236AA7}"/>
    <cellStyle name="Normal 2 6 5 32 3 2" xfId="16250" xr:uid="{9722D863-B69C-4885-B71D-9911FCE27C4A}"/>
    <cellStyle name="Normal 2 6 5 32 4" xfId="7423" xr:uid="{1EC2897C-3C57-48BE-8877-8EB78DC1F500}"/>
    <cellStyle name="Normal 2 6 5 32 4 2" xfId="16251" xr:uid="{02ADED25-EC73-4F9E-8111-8D156AA35ACD}"/>
    <cellStyle name="Normal 2 6 5 32 5" xfId="16246" xr:uid="{7BED3991-96DE-487A-96DA-5496D22787DE}"/>
    <cellStyle name="Normal 2 6 5 33" xfId="7424" xr:uid="{D1EC616C-66A1-4CDC-B249-52756A194B59}"/>
    <cellStyle name="Normal 2 6 5 33 2" xfId="7425" xr:uid="{F7DA176F-8F43-40B5-ABB0-209B2658065A}"/>
    <cellStyle name="Normal 2 6 5 33 2 2" xfId="7426" xr:uid="{CB779F42-37D9-4968-A82D-18DFD8175323}"/>
    <cellStyle name="Normal 2 6 5 33 2 2 2" xfId="16254" xr:uid="{F160C765-0AAB-4DAE-A04A-C15D385EBD9E}"/>
    <cellStyle name="Normal 2 6 5 33 2 3" xfId="7427" xr:uid="{C9AF8F75-3A10-430A-9B2B-8F2728E20A50}"/>
    <cellStyle name="Normal 2 6 5 33 2 3 2" xfId="16255" xr:uid="{D6F41FDE-5F62-4264-B01D-2C3316173C43}"/>
    <cellStyle name="Normal 2 6 5 33 2 4" xfId="16253" xr:uid="{2F31203A-9145-4602-A3D7-8BBC353A2671}"/>
    <cellStyle name="Normal 2 6 5 33 3" xfId="7428" xr:uid="{3984F856-C43E-45DD-B384-A8C7237E8F77}"/>
    <cellStyle name="Normal 2 6 5 33 3 2" xfId="16256" xr:uid="{D0CCEB0B-6E9F-4E05-AFD0-47C4D5B0C701}"/>
    <cellStyle name="Normal 2 6 5 33 4" xfId="7429" xr:uid="{3ACB8CA9-1645-4185-9E4B-9F60D10FA37D}"/>
    <cellStyle name="Normal 2 6 5 33 4 2" xfId="16257" xr:uid="{012906C6-0371-41AD-A4E8-35F1332A351B}"/>
    <cellStyle name="Normal 2 6 5 33 5" xfId="16252" xr:uid="{B1F84E2D-0620-4312-B04C-2D935887D0B4}"/>
    <cellStyle name="Normal 2 6 5 34" xfId="7430" xr:uid="{46DC3A18-61BF-4A36-8C1F-A7D2C4AECE64}"/>
    <cellStyle name="Normal 2 6 5 34 2" xfId="7431" xr:uid="{F847B00D-76CC-43B9-8B5F-C46FC3CFFE20}"/>
    <cellStyle name="Normal 2 6 5 34 2 2" xfId="7432" xr:uid="{C14F73FA-78F0-4B20-8414-523039C18F45}"/>
    <cellStyle name="Normal 2 6 5 34 2 2 2" xfId="16260" xr:uid="{AA97F107-122E-42EE-9C5F-B7DFBA125D68}"/>
    <cellStyle name="Normal 2 6 5 34 2 3" xfId="7433" xr:uid="{E64CC72B-79E0-4383-8B8C-5FF4E4B33880}"/>
    <cellStyle name="Normal 2 6 5 34 2 3 2" xfId="16261" xr:uid="{65FB01B2-324F-4997-993D-D788B5AC8E22}"/>
    <cellStyle name="Normal 2 6 5 34 2 4" xfId="16259" xr:uid="{C38B0FB7-CF9A-484B-A9C4-D782D4AC9040}"/>
    <cellStyle name="Normal 2 6 5 34 3" xfId="7434" xr:uid="{11F7FA94-6D2A-49B4-BC02-DB133FBFE130}"/>
    <cellStyle name="Normal 2 6 5 34 3 2" xfId="16262" xr:uid="{B641BB2E-06D3-46E0-A439-0CFC8A03A444}"/>
    <cellStyle name="Normal 2 6 5 34 4" xfId="7435" xr:uid="{F8397A28-FE15-4DD7-A545-59BCC9E57A5A}"/>
    <cellStyle name="Normal 2 6 5 34 4 2" xfId="16263" xr:uid="{FC64E951-4FE6-4CC7-97CD-04C500309B59}"/>
    <cellStyle name="Normal 2 6 5 34 5" xfId="16258" xr:uid="{967AAF72-50EC-467D-8A04-253FB5EF149F}"/>
    <cellStyle name="Normal 2 6 5 35" xfId="7436" xr:uid="{93199D56-2B0A-4BEA-A2A2-6A60DAFC9F5B}"/>
    <cellStyle name="Normal 2 6 5 35 2" xfId="7437" xr:uid="{555C4B30-85E6-414C-9057-5B795F9222E5}"/>
    <cellStyle name="Normal 2 6 5 35 2 2" xfId="7438" xr:uid="{8A71D1A7-70D8-4995-AD8C-F5F9D3EAE035}"/>
    <cellStyle name="Normal 2 6 5 35 2 2 2" xfId="16266" xr:uid="{8DD077E4-8355-4F61-BCB3-0E980DB8B371}"/>
    <cellStyle name="Normal 2 6 5 35 2 3" xfId="7439" xr:uid="{97ED3972-A947-4EF6-A34E-CE92EEC70881}"/>
    <cellStyle name="Normal 2 6 5 35 2 3 2" xfId="16267" xr:uid="{D6E18383-CA3C-4D6C-A950-79ECC3BD2585}"/>
    <cellStyle name="Normal 2 6 5 35 2 4" xfId="16265" xr:uid="{47DD3595-8E4A-413A-BB5F-87BD130F3D6A}"/>
    <cellStyle name="Normal 2 6 5 35 3" xfId="7440" xr:uid="{ED3073BA-C388-492B-8F06-2986000EDF2E}"/>
    <cellStyle name="Normal 2 6 5 35 3 2" xfId="16268" xr:uid="{E75214E4-14ED-4248-B4C6-D076CBDF5AAE}"/>
    <cellStyle name="Normal 2 6 5 35 4" xfId="7441" xr:uid="{D2555801-B6C9-4DA8-AFF6-90CF19C29AFC}"/>
    <cellStyle name="Normal 2 6 5 35 4 2" xfId="16269" xr:uid="{A682A34E-0ABA-4268-82F5-23FEF1FD958B}"/>
    <cellStyle name="Normal 2 6 5 35 5" xfId="16264" xr:uid="{587B0C1B-3A73-43AF-93B7-822140451319}"/>
    <cellStyle name="Normal 2 6 5 36" xfId="7442" xr:uid="{30F1C1FC-6259-460D-AE0D-A9B56ADE953A}"/>
    <cellStyle name="Normal 2 6 5 36 2" xfId="7443" xr:uid="{D656FB4E-C08E-4A43-B6E8-6A68358C0D50}"/>
    <cellStyle name="Normal 2 6 5 36 2 2" xfId="7444" xr:uid="{BF947C43-EF99-4DEE-AD69-45A76B1488BC}"/>
    <cellStyle name="Normal 2 6 5 36 2 2 2" xfId="16272" xr:uid="{566FDC08-BE49-44E3-9DA6-B5DFEFD49F10}"/>
    <cellStyle name="Normal 2 6 5 36 2 3" xfId="7445" xr:uid="{D4B62C34-003F-4ABE-897F-E4A1D7CCE4C2}"/>
    <cellStyle name="Normal 2 6 5 36 2 3 2" xfId="16273" xr:uid="{047D79B5-A7A5-40F0-B972-EA2351CD8E35}"/>
    <cellStyle name="Normal 2 6 5 36 2 4" xfId="16271" xr:uid="{917C73CC-C123-426A-AB5F-77F1D266DB53}"/>
    <cellStyle name="Normal 2 6 5 36 3" xfId="7446" xr:uid="{08BB6746-C3BD-4B46-9909-D9D612292542}"/>
    <cellStyle name="Normal 2 6 5 36 3 2" xfId="16274" xr:uid="{A1121864-4672-41B9-A723-7465D8079AEA}"/>
    <cellStyle name="Normal 2 6 5 36 4" xfId="7447" xr:uid="{6532CE3B-6777-4261-A391-E8105A70F55C}"/>
    <cellStyle name="Normal 2 6 5 36 4 2" xfId="16275" xr:uid="{7E49657D-EC81-4FFC-9FB7-FC3E3FC707B5}"/>
    <cellStyle name="Normal 2 6 5 36 5" xfId="16270" xr:uid="{8AC4E275-7799-43F0-BC13-2A8B4A7107E9}"/>
    <cellStyle name="Normal 2 6 5 37" xfId="7448" xr:uid="{6A0FB05B-CB7C-4F39-877C-133B936D8177}"/>
    <cellStyle name="Normal 2 6 5 37 2" xfId="7449" xr:uid="{EF70797F-5DAF-4B4A-A848-56A9DCA87043}"/>
    <cellStyle name="Normal 2 6 5 37 2 2" xfId="7450" xr:uid="{D815CADC-9A6F-4A50-A405-9FEC1E8FE28A}"/>
    <cellStyle name="Normal 2 6 5 37 2 2 2" xfId="16278" xr:uid="{AD08C0E0-B15E-4A3C-AA9E-510E847C6049}"/>
    <cellStyle name="Normal 2 6 5 37 2 3" xfId="7451" xr:uid="{A2CEE03F-6035-4164-9EF8-7DE5C611BE02}"/>
    <cellStyle name="Normal 2 6 5 37 2 3 2" xfId="16279" xr:uid="{A2D6CAC5-78DF-4CC1-A35F-2673D0CF4D18}"/>
    <cellStyle name="Normal 2 6 5 37 2 4" xfId="16277" xr:uid="{3EFBDE85-2033-4C79-B873-C8FE5887B869}"/>
    <cellStyle name="Normal 2 6 5 37 3" xfId="7452" xr:uid="{9E4069C1-F559-4CC0-8FE5-6AB2F597C966}"/>
    <cellStyle name="Normal 2 6 5 37 3 2" xfId="16280" xr:uid="{2EA540AD-2348-42AF-91F1-184DE013C9ED}"/>
    <cellStyle name="Normal 2 6 5 37 4" xfId="7453" xr:uid="{0AFD27F4-F71A-44C8-9569-B7EA2749960C}"/>
    <cellStyle name="Normal 2 6 5 37 4 2" xfId="16281" xr:uid="{D93D1350-A022-444D-BB41-D249BE3A1E90}"/>
    <cellStyle name="Normal 2 6 5 37 5" xfId="16276" xr:uid="{05853B9A-8BD6-43AC-98A8-AB3721D8712B}"/>
    <cellStyle name="Normal 2 6 5 38" xfId="7454" xr:uid="{5BBC286A-9AA5-40CE-ABB0-96C15CBC68BA}"/>
    <cellStyle name="Normal 2 6 5 38 2" xfId="7455" xr:uid="{156FF5B3-029E-4D77-946A-ADC14D3707C8}"/>
    <cellStyle name="Normal 2 6 5 38 2 2" xfId="7456" xr:uid="{364B1505-166D-4FEC-81EE-79170C3A1C95}"/>
    <cellStyle name="Normal 2 6 5 38 2 2 2" xfId="16284" xr:uid="{12EE9321-A32B-4645-ACAE-87185392A369}"/>
    <cellStyle name="Normal 2 6 5 38 2 3" xfId="7457" xr:uid="{2F3172C7-111B-4D8E-96DE-D67B20428673}"/>
    <cellStyle name="Normal 2 6 5 38 2 3 2" xfId="16285" xr:uid="{7C500AEC-BA61-4FFD-89DA-B58EE4A3710C}"/>
    <cellStyle name="Normal 2 6 5 38 2 4" xfId="16283" xr:uid="{74BD77E5-751F-4C4F-A551-69705124381A}"/>
    <cellStyle name="Normal 2 6 5 38 3" xfId="7458" xr:uid="{22E53AA8-61BF-4A5D-B015-5828F228CE94}"/>
    <cellStyle name="Normal 2 6 5 38 3 2" xfId="16286" xr:uid="{9B38C3F4-46D2-4E6D-B6EA-36064C3EA522}"/>
    <cellStyle name="Normal 2 6 5 38 4" xfId="7459" xr:uid="{3444DFF4-53EC-49E9-B942-F5726CE52A52}"/>
    <cellStyle name="Normal 2 6 5 38 4 2" xfId="16287" xr:uid="{6E8A3338-D57B-4374-8E66-02391F0119CD}"/>
    <cellStyle name="Normal 2 6 5 38 5" xfId="16282" xr:uid="{A39AEE0F-776A-4A1F-91EF-9153327784DC}"/>
    <cellStyle name="Normal 2 6 5 39" xfId="7460" xr:uid="{15AD058C-B0EF-44F8-943F-DEAC42D8D2A4}"/>
    <cellStyle name="Normal 2 6 5 39 2" xfId="7461" xr:uid="{1A82DE94-B719-4DC5-B4E2-4CA52860BB9F}"/>
    <cellStyle name="Normal 2 6 5 39 2 2" xfId="7462" xr:uid="{4FEF56E4-141F-4FFB-8768-15F4718E213E}"/>
    <cellStyle name="Normal 2 6 5 39 2 2 2" xfId="16290" xr:uid="{B8382954-F9BB-4A81-A955-5644D7F3B4C0}"/>
    <cellStyle name="Normal 2 6 5 39 2 3" xfId="7463" xr:uid="{A014178B-497C-4B5D-A807-0911F0DBEE63}"/>
    <cellStyle name="Normal 2 6 5 39 2 3 2" xfId="16291" xr:uid="{FCC99668-ACC2-4600-BE03-45DB4B4DDC6C}"/>
    <cellStyle name="Normal 2 6 5 39 2 4" xfId="16289" xr:uid="{BF90B796-B233-48BE-BF98-169AA9952B37}"/>
    <cellStyle name="Normal 2 6 5 39 3" xfId="7464" xr:uid="{224FCD4E-E66C-46D3-9006-221D2D52F784}"/>
    <cellStyle name="Normal 2 6 5 39 3 2" xfId="16292" xr:uid="{FE3E30DB-B79A-4969-B9AC-9B0F757FC9FF}"/>
    <cellStyle name="Normal 2 6 5 39 4" xfId="7465" xr:uid="{27014BA7-8860-4E7D-9E3C-A03D84727CD8}"/>
    <cellStyle name="Normal 2 6 5 39 4 2" xfId="16293" xr:uid="{D0693E21-8679-4F08-B40C-1EFA5DF352B4}"/>
    <cellStyle name="Normal 2 6 5 39 5" xfId="16288" xr:uid="{3EF611FA-CA72-45F9-AAEC-9B64A57E286F}"/>
    <cellStyle name="Normal 2 6 5 4" xfId="7466" xr:uid="{60FB28E4-DCF8-400B-91E9-54A35CF093A3}"/>
    <cellStyle name="Normal 2 6 5 4 2" xfId="7467" xr:uid="{738CFB11-3F9B-4146-B668-C21CD502588D}"/>
    <cellStyle name="Normal 2 6 5 4 2 2" xfId="7468" xr:uid="{72932CD4-3761-4CCA-BC22-ACB9AD1A7137}"/>
    <cellStyle name="Normal 2 6 5 4 2 2 2" xfId="16296" xr:uid="{BF1E4291-BBBF-44EE-995F-BF89DC98D9E8}"/>
    <cellStyle name="Normal 2 6 5 4 2 3" xfId="7469" xr:uid="{FAAEB8C7-57DF-46E4-92AB-4F3AF42FCEB7}"/>
    <cellStyle name="Normal 2 6 5 4 2 3 2" xfId="16297" xr:uid="{528A8293-876C-4949-94D9-A8549E40A9E7}"/>
    <cellStyle name="Normal 2 6 5 4 2 4" xfId="16295" xr:uid="{44A4CAC7-00AE-4C11-86CE-BE11CDF023A6}"/>
    <cellStyle name="Normal 2 6 5 4 3" xfId="7470" xr:uid="{C38EEB68-30E1-4953-9785-FC9A585162CB}"/>
    <cellStyle name="Normal 2 6 5 4 3 2" xfId="16298" xr:uid="{C6518E9E-9893-4310-9FFC-13D2209AC0EF}"/>
    <cellStyle name="Normal 2 6 5 4 4" xfId="7471" xr:uid="{ACC6A45B-0212-478B-85A7-44EDAABB8D33}"/>
    <cellStyle name="Normal 2 6 5 4 4 2" xfId="16299" xr:uid="{42BDCDC2-26ED-406F-A3DE-1C612537D6B4}"/>
    <cellStyle name="Normal 2 6 5 4 5" xfId="16294" xr:uid="{C10E2BFE-5EF7-4FD0-933F-4E5A1CC486CF}"/>
    <cellStyle name="Normal 2 6 5 40" xfId="7472" xr:uid="{50A32B3F-F3C7-46E1-A014-8C072950A849}"/>
    <cellStyle name="Normal 2 6 5 40 2" xfId="7473" xr:uid="{DC8CF3D3-80A6-45B8-948E-C049B6A95341}"/>
    <cellStyle name="Normal 2 6 5 40 2 2" xfId="7474" xr:uid="{F7834C0F-E364-4AA4-B090-5C0FACEBB423}"/>
    <cellStyle name="Normal 2 6 5 40 2 2 2" xfId="16302" xr:uid="{291551E1-C732-4B9C-8B7A-131EC4F4BEB9}"/>
    <cellStyle name="Normal 2 6 5 40 2 3" xfId="7475" xr:uid="{5503E8F5-2CFA-4533-8DBE-E8EF4DE84174}"/>
    <cellStyle name="Normal 2 6 5 40 2 3 2" xfId="16303" xr:uid="{2145B947-189F-4A82-B482-DFC45A7617EC}"/>
    <cellStyle name="Normal 2 6 5 40 2 4" xfId="16301" xr:uid="{62D351FD-3A00-4B2A-B514-AF63CE26FCF2}"/>
    <cellStyle name="Normal 2 6 5 40 3" xfId="7476" xr:uid="{79978618-9C35-4244-A405-37C9BFAB9A2B}"/>
    <cellStyle name="Normal 2 6 5 40 3 2" xfId="16304" xr:uid="{502AE24D-5427-48F1-B5A3-C23E7792ABAB}"/>
    <cellStyle name="Normal 2 6 5 40 4" xfId="7477" xr:uid="{87FACEAA-4FB2-41CD-87CC-619FF47FF9C7}"/>
    <cellStyle name="Normal 2 6 5 40 4 2" xfId="16305" xr:uid="{DD23721E-DD46-4507-84F6-6EED2E69A522}"/>
    <cellStyle name="Normal 2 6 5 40 5" xfId="16300" xr:uid="{40004A0C-155C-4D76-BD14-3744C45DB632}"/>
    <cellStyle name="Normal 2 6 5 41" xfId="7478" xr:uid="{05379150-707B-4172-B343-897776E78AB6}"/>
    <cellStyle name="Normal 2 6 5 41 2" xfId="7479" xr:uid="{F50EC4AF-337E-4ABB-9993-3403CB4B2E93}"/>
    <cellStyle name="Normal 2 6 5 41 2 2" xfId="7480" xr:uid="{E5658D77-8B8C-40AF-A8BE-F54FF0C023A3}"/>
    <cellStyle name="Normal 2 6 5 41 2 2 2" xfId="16308" xr:uid="{5A5F6DE1-29F4-453C-BC8C-FAF6B758B7B1}"/>
    <cellStyle name="Normal 2 6 5 41 2 3" xfId="7481" xr:uid="{3030A352-96ED-48B5-8368-16E78BD02511}"/>
    <cellStyle name="Normal 2 6 5 41 2 3 2" xfId="16309" xr:uid="{DA1BDADD-8E80-46FD-9892-96FC5062F44A}"/>
    <cellStyle name="Normal 2 6 5 41 2 4" xfId="16307" xr:uid="{3533F845-6668-4616-ADDF-231CDF97E681}"/>
    <cellStyle name="Normal 2 6 5 41 3" xfId="7482" xr:uid="{57B58A55-EFAA-4AA1-942A-D3B71920E3D6}"/>
    <cellStyle name="Normal 2 6 5 41 3 2" xfId="16310" xr:uid="{8A59E5A7-E595-4DB4-B065-C1FE9DA7494B}"/>
    <cellStyle name="Normal 2 6 5 41 4" xfId="7483" xr:uid="{F0FB1FE8-37FA-422C-B700-C89C39CFDA42}"/>
    <cellStyle name="Normal 2 6 5 41 4 2" xfId="16311" xr:uid="{2A73A1A9-E6AB-40E8-87BF-143E9B87699C}"/>
    <cellStyle name="Normal 2 6 5 41 5" xfId="16306" xr:uid="{E51669DB-E2F2-44B6-8C5D-72B15BD4E10F}"/>
    <cellStyle name="Normal 2 6 5 42" xfId="7484" xr:uid="{EEB99C99-D416-4EF7-8E40-819A9FEB3AA1}"/>
    <cellStyle name="Normal 2 6 5 42 2" xfId="7485" xr:uid="{D12B5DAF-F2E2-49FD-A2A4-EA0953298D42}"/>
    <cellStyle name="Normal 2 6 5 42 2 2" xfId="7486" xr:uid="{E36F5412-2452-44EF-8F21-E30DF7F880DE}"/>
    <cellStyle name="Normal 2 6 5 42 2 2 2" xfId="16314" xr:uid="{495C45EA-99F9-4072-87E4-3C6B692CF278}"/>
    <cellStyle name="Normal 2 6 5 42 2 3" xfId="7487" xr:uid="{ACD60730-9E4A-4A78-8E57-FC554C958A8B}"/>
    <cellStyle name="Normal 2 6 5 42 2 3 2" xfId="16315" xr:uid="{25AB1C87-ABAA-49C3-BB87-DDE917A45D48}"/>
    <cellStyle name="Normal 2 6 5 42 2 4" xfId="16313" xr:uid="{A180A306-2036-46BE-8643-8246F21C9658}"/>
    <cellStyle name="Normal 2 6 5 42 3" xfId="7488" xr:uid="{9C42E7C8-E2D7-4960-9B00-C17F9C324CD3}"/>
    <cellStyle name="Normal 2 6 5 42 3 2" xfId="16316" xr:uid="{E0658E7F-1257-4465-88B5-DCDE03738475}"/>
    <cellStyle name="Normal 2 6 5 42 4" xfId="7489" xr:uid="{D66BD144-BD7D-42B0-A0F1-E7624924F74D}"/>
    <cellStyle name="Normal 2 6 5 42 4 2" xfId="16317" xr:uid="{F073C949-14D6-4884-8D47-6D45D2676272}"/>
    <cellStyle name="Normal 2 6 5 42 5" xfId="16312" xr:uid="{18F7E1C1-CA0C-495C-8C50-3366AE161D07}"/>
    <cellStyle name="Normal 2 6 5 43" xfId="7490" xr:uid="{3609D33C-0958-4DBD-AB8E-EC222BBA2AA0}"/>
    <cellStyle name="Normal 2 6 5 43 2" xfId="7491" xr:uid="{DDB5829E-37D9-4BC9-8F10-878D49028608}"/>
    <cellStyle name="Normal 2 6 5 43 2 2" xfId="7492" xr:uid="{FB067819-1701-446A-8358-3C245647973F}"/>
    <cellStyle name="Normal 2 6 5 43 2 2 2" xfId="16320" xr:uid="{0BB83036-B86B-412F-A7FE-9351F79E5EA8}"/>
    <cellStyle name="Normal 2 6 5 43 2 3" xfId="7493" xr:uid="{1F7520A3-6401-4B10-9365-4C2832328B38}"/>
    <cellStyle name="Normal 2 6 5 43 2 3 2" xfId="16321" xr:uid="{5A6C31CA-7025-44BB-B196-C76D2F0834E4}"/>
    <cellStyle name="Normal 2 6 5 43 2 4" xfId="16319" xr:uid="{C5A36A10-1584-442B-9C8D-A7F3F2A850AC}"/>
    <cellStyle name="Normal 2 6 5 43 3" xfId="7494" xr:uid="{FC1080A1-1A42-47D5-8140-3D2CDF066D7F}"/>
    <cellStyle name="Normal 2 6 5 43 3 2" xfId="16322" xr:uid="{3742CE75-BF71-4288-975F-1CDEFDE3734A}"/>
    <cellStyle name="Normal 2 6 5 43 4" xfId="7495" xr:uid="{27D06079-A1FA-4BCC-ADDA-A3F67EB8AF04}"/>
    <cellStyle name="Normal 2 6 5 43 4 2" xfId="16323" xr:uid="{FFF598F8-C973-4347-AF43-543DDA11A3D2}"/>
    <cellStyle name="Normal 2 6 5 43 5" xfId="16318" xr:uid="{D035E4F6-23E5-4421-BAB1-25844D7B6F38}"/>
    <cellStyle name="Normal 2 6 5 44" xfId="7496" xr:uid="{CA5CCE9D-F592-4A8A-BACC-28FF01C56CAA}"/>
    <cellStyle name="Normal 2 6 5 44 2" xfId="7497" xr:uid="{2934B952-9C24-4AF2-87A7-45A2EA2A812B}"/>
    <cellStyle name="Normal 2 6 5 44 2 2" xfId="16325" xr:uid="{EEE47F97-AAF2-417B-9581-A6736A163234}"/>
    <cellStyle name="Normal 2 6 5 44 3" xfId="7498" xr:uid="{684858C0-0B0E-4293-9274-C294BEAB7283}"/>
    <cellStyle name="Normal 2 6 5 44 3 2" xfId="16326" xr:uid="{5EA88005-ABFF-4689-A709-DED16CDE2CF9}"/>
    <cellStyle name="Normal 2 6 5 44 4" xfId="16324" xr:uid="{D2348F35-0FCE-4596-AABA-B2056896A934}"/>
    <cellStyle name="Normal 2 6 5 45" xfId="7499" xr:uid="{6A97CAFE-884E-4B57-B8C7-C36A99A0080B}"/>
    <cellStyle name="Normal 2 6 5 45 2" xfId="16327" xr:uid="{37E80359-40B2-4995-990D-74E76CA39030}"/>
    <cellStyle name="Normal 2 6 5 46" xfId="7500" xr:uid="{A1C5E661-D46A-430E-82F4-6FAB69A518CD}"/>
    <cellStyle name="Normal 2 6 5 46 2" xfId="16328" xr:uid="{1ACBC1BB-132C-48F1-A5FB-24624CA73997}"/>
    <cellStyle name="Normal 2 6 5 47" xfId="16101" xr:uid="{5AF2E72F-1C56-423C-85B1-FAF10097E78C}"/>
    <cellStyle name="Normal 2 6 5 5" xfId="7501" xr:uid="{BE8B904E-4A90-472B-B47D-125539D76B76}"/>
    <cellStyle name="Normal 2 6 5 5 2" xfId="7502" xr:uid="{1449D839-5D29-4D29-BE42-047DDF3D472B}"/>
    <cellStyle name="Normal 2 6 5 5 2 2" xfId="7503" xr:uid="{56AFE2C3-759F-4202-92DE-2441D36A10A7}"/>
    <cellStyle name="Normal 2 6 5 5 2 2 2" xfId="16331" xr:uid="{5CDD4E28-619A-4678-BB46-E53A23D59B4D}"/>
    <cellStyle name="Normal 2 6 5 5 2 3" xfId="7504" xr:uid="{BEF98F48-E14E-439E-8EE9-121FC2E80A3E}"/>
    <cellStyle name="Normal 2 6 5 5 2 3 2" xfId="16332" xr:uid="{971A0B5A-0C53-48D9-A749-BAAC21BA2901}"/>
    <cellStyle name="Normal 2 6 5 5 2 4" xfId="16330" xr:uid="{E79943AB-5D87-46D2-AC32-15CCC48B3DA5}"/>
    <cellStyle name="Normal 2 6 5 5 3" xfId="7505" xr:uid="{12D1DF23-4980-4179-A070-F3AC047AB91C}"/>
    <cellStyle name="Normal 2 6 5 5 3 2" xfId="16333" xr:uid="{1E63EDB3-D164-445B-8F7C-FD32FB45D013}"/>
    <cellStyle name="Normal 2 6 5 5 4" xfId="7506" xr:uid="{3B3325CE-9199-49BA-A691-260B3BE7D244}"/>
    <cellStyle name="Normal 2 6 5 5 4 2" xfId="16334" xr:uid="{C9B8979D-706D-445B-9761-B3EA917708DA}"/>
    <cellStyle name="Normal 2 6 5 5 5" xfId="16329" xr:uid="{98978B15-7AA3-4D7A-B5D9-2207D9082157}"/>
    <cellStyle name="Normal 2 6 5 6" xfId="7507" xr:uid="{FB4AD4C2-D5FC-43AD-8420-5C03793908FF}"/>
    <cellStyle name="Normal 2 6 5 6 2" xfId="7508" xr:uid="{5D22A292-6C1C-46F7-BD61-76741C237D80}"/>
    <cellStyle name="Normal 2 6 5 6 2 2" xfId="7509" xr:uid="{43626CC4-4B86-4668-9B31-A0ADA3632F34}"/>
    <cellStyle name="Normal 2 6 5 6 2 2 2" xfId="16337" xr:uid="{5E6386E0-185E-43E1-98C5-1EBE31E148C5}"/>
    <cellStyle name="Normal 2 6 5 6 2 3" xfId="7510" xr:uid="{66354441-74EE-4142-BC96-7E9FD61978BC}"/>
    <cellStyle name="Normal 2 6 5 6 2 3 2" xfId="16338" xr:uid="{50A39EC2-1DCE-4C24-B7CE-E2401E6FA256}"/>
    <cellStyle name="Normal 2 6 5 6 2 4" xfId="16336" xr:uid="{227CC1F4-FA36-4EC8-B90A-1B354E825F42}"/>
    <cellStyle name="Normal 2 6 5 6 3" xfId="7511" xr:uid="{610949A5-654C-4756-A302-BED782DBEB0A}"/>
    <cellStyle name="Normal 2 6 5 6 3 2" xfId="16339" xr:uid="{A13357E7-A28A-430D-BF9D-719E7BECABB3}"/>
    <cellStyle name="Normal 2 6 5 6 4" xfId="7512" xr:uid="{9589751D-7CA1-428C-9B86-69CC61F94D12}"/>
    <cellStyle name="Normal 2 6 5 6 4 2" xfId="16340" xr:uid="{4FC22B77-0F6C-4703-9A73-E7EAACD86E9E}"/>
    <cellStyle name="Normal 2 6 5 6 5" xfId="16335" xr:uid="{D0B0FDE7-0637-4E4E-8C28-193AB2A03565}"/>
    <cellStyle name="Normal 2 6 5 7" xfId="7513" xr:uid="{12F19E00-C293-4FAC-B012-47B5321088B9}"/>
    <cellStyle name="Normal 2 6 5 7 2" xfId="7514" xr:uid="{57C31347-F4AA-44BB-9AB9-BC876F8D8106}"/>
    <cellStyle name="Normal 2 6 5 7 2 2" xfId="7515" xr:uid="{CCC9C2D2-EC71-4BCD-AB10-6F198A0E3AE2}"/>
    <cellStyle name="Normal 2 6 5 7 2 2 2" xfId="16343" xr:uid="{A7F0FE60-3D37-422A-BF55-44739F8E7436}"/>
    <cellStyle name="Normal 2 6 5 7 2 3" xfId="7516" xr:uid="{3586E95D-AF30-4959-8DC0-8E44473111DE}"/>
    <cellStyle name="Normal 2 6 5 7 2 3 2" xfId="16344" xr:uid="{007B500C-6843-443A-8BBA-685D43A75B8F}"/>
    <cellStyle name="Normal 2 6 5 7 2 4" xfId="16342" xr:uid="{F522DC9E-3822-4DA9-9E7B-2996E653EC71}"/>
    <cellStyle name="Normal 2 6 5 7 3" xfId="7517" xr:uid="{AED2CCC7-EDC9-4553-A664-19D7A4809A23}"/>
    <cellStyle name="Normal 2 6 5 7 3 2" xfId="16345" xr:uid="{C123EA37-3202-4451-8BDE-E6767E76A8FF}"/>
    <cellStyle name="Normal 2 6 5 7 4" xfId="7518" xr:uid="{1BFB70FB-07DD-48C2-8175-3403D76FF2E1}"/>
    <cellStyle name="Normal 2 6 5 7 4 2" xfId="16346" xr:uid="{6A4F79C5-5987-4B15-A765-57B87C232FFC}"/>
    <cellStyle name="Normal 2 6 5 7 5" xfId="16341" xr:uid="{BB5897CB-560C-4D5F-BDCD-9BD1972A31CE}"/>
    <cellStyle name="Normal 2 6 5 8" xfId="7519" xr:uid="{B89393F7-FFAB-4401-9C0A-C45D3C595190}"/>
    <cellStyle name="Normal 2 6 5 8 2" xfId="7520" xr:uid="{A3138F50-5EB1-428A-80C7-57114556DDD9}"/>
    <cellStyle name="Normal 2 6 5 8 2 2" xfId="7521" xr:uid="{BEB1219C-B3FC-4A35-A711-517F89BF35DB}"/>
    <cellStyle name="Normal 2 6 5 8 2 2 2" xfId="16349" xr:uid="{01B8EC68-75EF-4F55-8771-1088904F492F}"/>
    <cellStyle name="Normal 2 6 5 8 2 3" xfId="7522" xr:uid="{10D25875-077E-4530-8BF6-9B70A3D2D5DC}"/>
    <cellStyle name="Normal 2 6 5 8 2 3 2" xfId="16350" xr:uid="{582C7A35-D9E4-4CDE-A8C2-B386891DEFE0}"/>
    <cellStyle name="Normal 2 6 5 8 2 4" xfId="16348" xr:uid="{9A5787CF-EFB4-4006-827A-656AC8546BC6}"/>
    <cellStyle name="Normal 2 6 5 8 3" xfId="7523" xr:uid="{57AC3E3C-16B1-44D8-928F-EEB24FAB8995}"/>
    <cellStyle name="Normal 2 6 5 8 3 2" xfId="16351" xr:uid="{E03A229C-11ED-4A49-8CB2-1E9A4EACEF11}"/>
    <cellStyle name="Normal 2 6 5 8 4" xfId="7524" xr:uid="{C076EBCA-3DE5-4743-B99F-1522F4541EA3}"/>
    <cellStyle name="Normal 2 6 5 8 4 2" xfId="16352" xr:uid="{DEF6D24C-3BD7-41BB-9BB9-C5A99988C545}"/>
    <cellStyle name="Normal 2 6 5 8 5" xfId="16347" xr:uid="{ABC7697E-029D-46D2-B29C-B81D80463F9B}"/>
    <cellStyle name="Normal 2 6 5 9" xfId="7525" xr:uid="{FD86F03A-26A8-48E8-AFCE-D2891ECE7DB9}"/>
    <cellStyle name="Normal 2 6 5 9 2" xfId="7526" xr:uid="{4BB6E5B4-FEBE-4348-824B-D87B04F39236}"/>
    <cellStyle name="Normal 2 6 5 9 2 2" xfId="7527" xr:uid="{1F77D0A9-1EBF-4DA4-ACA8-B4112877D87C}"/>
    <cellStyle name="Normal 2 6 5 9 2 2 2" xfId="16355" xr:uid="{8C5C4706-ACF3-436E-B4D9-400BBD94140D}"/>
    <cellStyle name="Normal 2 6 5 9 2 3" xfId="7528" xr:uid="{BF0A58B2-5F8D-48E8-BA55-A0EBD187D1B6}"/>
    <cellStyle name="Normal 2 6 5 9 2 3 2" xfId="16356" xr:uid="{5502C30E-8948-4F76-839D-738E1F73E1B4}"/>
    <cellStyle name="Normal 2 6 5 9 2 4" xfId="16354" xr:uid="{08BC21A3-805C-4A0E-8C1C-8E3375E04D48}"/>
    <cellStyle name="Normal 2 6 5 9 3" xfId="7529" xr:uid="{C88EDD96-C473-4080-A2FE-CEA8FA1C8BA9}"/>
    <cellStyle name="Normal 2 6 5 9 3 2" xfId="16357" xr:uid="{952F43F5-C076-4F20-AAC7-236F16D0BB73}"/>
    <cellStyle name="Normal 2 6 5 9 4" xfId="7530" xr:uid="{27D74473-251F-4E1D-8A0A-06396C6EE425}"/>
    <cellStyle name="Normal 2 6 5 9 4 2" xfId="16358" xr:uid="{AF03F0E5-5B3A-46EE-AFD1-30A5CDDE4AC3}"/>
    <cellStyle name="Normal 2 6 5 9 5" xfId="16353" xr:uid="{EED22451-E1F8-41E1-A7A8-D453F9115CA0}"/>
    <cellStyle name="Normal 2 6 50" xfId="7531" xr:uid="{07D95B7A-7069-4ED1-A120-451B1C9537A7}"/>
    <cellStyle name="Normal 2 6 50 2" xfId="7532" xr:uid="{8113DC53-5AA7-48ED-AD17-BE73B231129A}"/>
    <cellStyle name="Normal 2 6 50 2 2" xfId="7533" xr:uid="{DF18E648-09F9-4B58-A26A-B3DEB6E27724}"/>
    <cellStyle name="Normal 2 6 50 2 2 2" xfId="16361" xr:uid="{05B2C85F-0DD1-47DC-BC4F-9C5C7BCA8D10}"/>
    <cellStyle name="Normal 2 6 50 2 3" xfId="7534" xr:uid="{403AA429-61C2-4A5B-945F-D804ECFA10B1}"/>
    <cellStyle name="Normal 2 6 50 2 3 2" xfId="16362" xr:uid="{B1742FFE-3A8F-4435-A926-6388FA131512}"/>
    <cellStyle name="Normal 2 6 50 2 4" xfId="16360" xr:uid="{2168870E-606F-485B-8296-D818ABB54D40}"/>
    <cellStyle name="Normal 2 6 50 3" xfId="7535" xr:uid="{44406564-C934-4DD7-B711-E882D68155AE}"/>
    <cellStyle name="Normal 2 6 50 3 2" xfId="16363" xr:uid="{1A244412-8446-414F-95CA-94DA2CA2040D}"/>
    <cellStyle name="Normal 2 6 50 4" xfId="7536" xr:uid="{5364F86F-2220-434C-B6EA-207484327EA5}"/>
    <cellStyle name="Normal 2 6 50 4 2" xfId="16364" xr:uid="{2D300E52-7C75-42F2-A7C6-4029A1B44B9F}"/>
    <cellStyle name="Normal 2 6 50 5" xfId="16359" xr:uid="{C606E859-9835-43AA-9136-8687CEDC5CC0}"/>
    <cellStyle name="Normal 2 6 51" xfId="7537" xr:uid="{951BAF97-F4D5-4EBC-A953-CD7D2A00C2A7}"/>
    <cellStyle name="Normal 2 6 51 2" xfId="7538" xr:uid="{6820FEEA-18AD-4845-8145-CE61F924EF1A}"/>
    <cellStyle name="Normal 2 6 51 2 2" xfId="7539" xr:uid="{A0942948-E493-4825-B0F5-7C5D6C93CDB3}"/>
    <cellStyle name="Normal 2 6 51 2 2 2" xfId="16367" xr:uid="{F2611609-138A-4530-9727-DD1AE82553BC}"/>
    <cellStyle name="Normal 2 6 51 2 3" xfId="7540" xr:uid="{FC5DABE6-A3C3-42D5-A78F-2C878D49F964}"/>
    <cellStyle name="Normal 2 6 51 2 3 2" xfId="16368" xr:uid="{1469D6D9-FE5D-4408-8109-62D7C11C381F}"/>
    <cellStyle name="Normal 2 6 51 2 4" xfId="16366" xr:uid="{2F0A38ED-D068-4E6F-9AC4-258D8EFB6EA7}"/>
    <cellStyle name="Normal 2 6 51 3" xfId="7541" xr:uid="{53EF1011-EA66-42C0-970D-ED6E626AB2C6}"/>
    <cellStyle name="Normal 2 6 51 3 2" xfId="16369" xr:uid="{AD794C7F-08C7-434F-A4CF-A876D8DA8B2A}"/>
    <cellStyle name="Normal 2 6 51 4" xfId="7542" xr:uid="{BC2564E7-660D-436B-BA40-20D65365794B}"/>
    <cellStyle name="Normal 2 6 51 4 2" xfId="16370" xr:uid="{98FFD598-0935-47CB-9C52-2A512BC69E15}"/>
    <cellStyle name="Normal 2 6 51 5" xfId="16365" xr:uid="{7509702D-FC35-4E4D-956E-01D0A2C4C971}"/>
    <cellStyle name="Normal 2 6 52" xfId="7543" xr:uid="{BE4953D1-3F10-442D-B62F-57B23D127767}"/>
    <cellStyle name="Normal 2 6 52 2" xfId="7544" xr:uid="{ADBAC4B2-5B28-415A-B23E-0ADCF791E4A8}"/>
    <cellStyle name="Normal 2 6 52 2 2" xfId="7545" xr:uid="{5E53E276-EAD1-4390-BFED-69C92966A008}"/>
    <cellStyle name="Normal 2 6 52 2 2 2" xfId="16373" xr:uid="{F9039251-B365-479A-943E-9322DEC803D7}"/>
    <cellStyle name="Normal 2 6 52 2 3" xfId="7546" xr:uid="{79F61B5B-4E5E-430F-8BFF-46AF65BE687F}"/>
    <cellStyle name="Normal 2 6 52 2 3 2" xfId="16374" xr:uid="{E42CC0A4-F460-4C13-954F-629CC03BFD19}"/>
    <cellStyle name="Normal 2 6 52 2 4" xfId="16372" xr:uid="{92C401DA-E990-4862-BFCA-DE00E75C4229}"/>
    <cellStyle name="Normal 2 6 52 3" xfId="7547" xr:uid="{83FC43F9-23D7-4CA9-ABC5-A6D5A3D7BC2D}"/>
    <cellStyle name="Normal 2 6 52 3 2" xfId="16375" xr:uid="{46FB0D57-9A91-4569-8B20-B2E220A96128}"/>
    <cellStyle name="Normal 2 6 52 4" xfId="7548" xr:uid="{84787627-278A-432C-A47D-00D9AF891E50}"/>
    <cellStyle name="Normal 2 6 52 4 2" xfId="16376" xr:uid="{B7233DF9-A6A3-46DF-8E43-117BFDF26DCE}"/>
    <cellStyle name="Normal 2 6 52 5" xfId="16371" xr:uid="{9B9E6DFD-8B7E-45D9-8EB0-A53FF9E8B407}"/>
    <cellStyle name="Normal 2 6 53" xfId="7549" xr:uid="{67BB8EED-0EDD-470A-AB14-A950D71C4386}"/>
    <cellStyle name="Normal 2 6 53 2" xfId="7550" xr:uid="{5D410D02-C424-4750-8B78-9CC5E1AD67C1}"/>
    <cellStyle name="Normal 2 6 53 2 2" xfId="7551" xr:uid="{18D7E26E-2003-4DF3-AE98-05ACB76522ED}"/>
    <cellStyle name="Normal 2 6 53 2 2 2" xfId="16379" xr:uid="{5BD7F9DD-FB17-414B-A459-AD7D121325D6}"/>
    <cellStyle name="Normal 2 6 53 2 3" xfId="7552" xr:uid="{CF3C9DD4-CF13-47C4-ADDE-165D572AAD5A}"/>
    <cellStyle name="Normal 2 6 53 2 3 2" xfId="16380" xr:uid="{8F331028-03A2-4FF3-9677-4AFD73392523}"/>
    <cellStyle name="Normal 2 6 53 2 4" xfId="16378" xr:uid="{1A804965-0C0C-4C4D-BDA4-9EB9991E08C4}"/>
    <cellStyle name="Normal 2 6 53 3" xfId="7553" xr:uid="{380A51C4-B6BD-4AFF-89F7-A99530C49B6B}"/>
    <cellStyle name="Normal 2 6 53 3 2" xfId="16381" xr:uid="{437E04F9-2665-4D8D-BAD8-250F6C54F7B1}"/>
    <cellStyle name="Normal 2 6 53 4" xfId="7554" xr:uid="{C41CC605-6A17-4839-A1B3-2A3C5A5BC79E}"/>
    <cellStyle name="Normal 2 6 53 4 2" xfId="16382" xr:uid="{4B9ACDE8-7A10-44E4-B969-099241B3AB07}"/>
    <cellStyle name="Normal 2 6 53 5" xfId="16377" xr:uid="{1E22693A-3806-480E-8629-3712473C1AED}"/>
    <cellStyle name="Normal 2 6 54" xfId="7555" xr:uid="{89C2A050-DC5F-4B95-A6D7-EB244FD4294C}"/>
    <cellStyle name="Normal 2 6 54 2" xfId="7556" xr:uid="{43DE1731-7936-4F29-9872-E361A701199F}"/>
    <cellStyle name="Normal 2 6 54 2 2" xfId="7557" xr:uid="{6D645CD1-DDD9-46AD-8001-CA380D7AD377}"/>
    <cellStyle name="Normal 2 6 54 2 2 2" xfId="16385" xr:uid="{A62925B4-6638-4C78-85A9-A184E4518386}"/>
    <cellStyle name="Normal 2 6 54 2 3" xfId="7558" xr:uid="{022FE1A0-0895-4FAC-BEA2-262FEB071487}"/>
    <cellStyle name="Normal 2 6 54 2 3 2" xfId="16386" xr:uid="{C51FC233-3DCA-478D-AA46-B83EA5EFEC29}"/>
    <cellStyle name="Normal 2 6 54 2 4" xfId="16384" xr:uid="{AA5A00A5-C26E-4504-85C9-A31EBAB71C5D}"/>
    <cellStyle name="Normal 2 6 54 3" xfId="7559" xr:uid="{B130B2E8-CCB5-4CB1-AE2D-3358C6106653}"/>
    <cellStyle name="Normal 2 6 54 3 2" xfId="16387" xr:uid="{01266FA4-1081-4373-BC82-C188A5107110}"/>
    <cellStyle name="Normal 2 6 54 4" xfId="7560" xr:uid="{DE2E2D11-4B30-4D49-9B91-4D50E9B030FF}"/>
    <cellStyle name="Normal 2 6 54 4 2" xfId="16388" xr:uid="{A9817BA9-BE10-4EA4-87F0-BB4FDDCED609}"/>
    <cellStyle name="Normal 2 6 54 5" xfId="16383" xr:uid="{D5C2B4C0-B28D-4E0B-B9B1-781DF9C3C5E6}"/>
    <cellStyle name="Normal 2 6 55" xfId="7561" xr:uid="{C94D74A8-9464-43AA-85B3-B8033C685B37}"/>
    <cellStyle name="Normal 2 6 55 2" xfId="7562" xr:uid="{ABCD0FBB-27F6-4D66-88DB-5641A64065DA}"/>
    <cellStyle name="Normal 2 6 55 2 2" xfId="7563" xr:uid="{4CFFB28F-2D60-406C-9486-1FCDE5993C0F}"/>
    <cellStyle name="Normal 2 6 55 2 2 2" xfId="16391" xr:uid="{7C2F7C9D-8309-458E-8C2F-BAB70762FDA7}"/>
    <cellStyle name="Normal 2 6 55 2 3" xfId="7564" xr:uid="{5AFC9206-F801-4438-B480-FC754156ECC5}"/>
    <cellStyle name="Normal 2 6 55 2 3 2" xfId="16392" xr:uid="{1D7A0ECD-814B-4F6D-8EFB-C40F0A936AD1}"/>
    <cellStyle name="Normal 2 6 55 2 4" xfId="16390" xr:uid="{1E950CF1-A888-497D-B566-8F7DCED6B62F}"/>
    <cellStyle name="Normal 2 6 55 3" xfId="7565" xr:uid="{B1240F21-1EEC-4895-8769-78D203EFDABB}"/>
    <cellStyle name="Normal 2 6 55 3 2" xfId="16393" xr:uid="{9EFF78DD-0450-4191-B6B4-2E071B76E610}"/>
    <cellStyle name="Normal 2 6 55 4" xfId="7566" xr:uid="{E0BE2742-12CB-449F-8D31-02D773230A42}"/>
    <cellStyle name="Normal 2 6 55 4 2" xfId="16394" xr:uid="{BEDB9ABC-7AC2-4A79-9E86-0663941D33C7}"/>
    <cellStyle name="Normal 2 6 55 5" xfId="16389" xr:uid="{C8E5C207-CD58-415E-AE81-D56FAB2E7CC6}"/>
    <cellStyle name="Normal 2 6 56" xfId="7567" xr:uid="{196B66DE-6E10-4570-B67D-128C0566B1F5}"/>
    <cellStyle name="Normal 2 6 56 2" xfId="7568" xr:uid="{AF25ECF1-81CD-40CA-9A95-75C6772CF8AE}"/>
    <cellStyle name="Normal 2 6 56 2 2" xfId="7569" xr:uid="{59B1B87B-1856-443D-B234-8184F237CC10}"/>
    <cellStyle name="Normal 2 6 56 2 2 2" xfId="16397" xr:uid="{552408CD-E3A7-429A-9981-4A15CBF16F5A}"/>
    <cellStyle name="Normal 2 6 56 2 3" xfId="7570" xr:uid="{A2C94F8C-B282-4F66-9FE5-39D98F61629B}"/>
    <cellStyle name="Normal 2 6 56 2 3 2" xfId="16398" xr:uid="{5BCB3EDB-B2E2-4FFE-A312-CCB56D1815EE}"/>
    <cellStyle name="Normal 2 6 56 2 4" xfId="16396" xr:uid="{32194442-9596-4B41-B397-A9C5045C7AD5}"/>
    <cellStyle name="Normal 2 6 56 3" xfId="7571" xr:uid="{B64A38F3-4F6F-42EC-AC8E-40231756E820}"/>
    <cellStyle name="Normal 2 6 56 3 2" xfId="16399" xr:uid="{2F9D887F-BA68-461C-B5D5-976BE71C5C5D}"/>
    <cellStyle name="Normal 2 6 56 4" xfId="7572" xr:uid="{12D2148C-7521-4D2A-9416-29876699464E}"/>
    <cellStyle name="Normal 2 6 56 4 2" xfId="16400" xr:uid="{1CDA5FB6-B391-4CD7-95E1-01F1B22E3935}"/>
    <cellStyle name="Normal 2 6 56 5" xfId="16395" xr:uid="{5D607620-BCF5-48BB-B40F-F26799B6896A}"/>
    <cellStyle name="Normal 2 6 57" xfId="7573" xr:uid="{0618869F-17A3-4115-98B7-76A9329E0154}"/>
    <cellStyle name="Normal 2 6 57 2" xfId="7574" xr:uid="{7AB3912B-1E93-4A20-B389-8C47DAB80C4D}"/>
    <cellStyle name="Normal 2 6 57 2 2" xfId="7575" xr:uid="{CF5A6A92-4580-4C19-BCD6-BBCDF2BEE441}"/>
    <cellStyle name="Normal 2 6 57 2 2 2" xfId="16403" xr:uid="{B8F14B2C-E661-44BE-B5AB-99EF37BD00CC}"/>
    <cellStyle name="Normal 2 6 57 2 3" xfId="7576" xr:uid="{51F54B24-C2E3-4755-9F15-F02C08C8757F}"/>
    <cellStyle name="Normal 2 6 57 2 3 2" xfId="16404" xr:uid="{DADF6EAF-502E-40E4-8DBF-2133C12D85EA}"/>
    <cellStyle name="Normal 2 6 57 2 4" xfId="16402" xr:uid="{005FF1D2-9C05-491F-8A1D-43EF8DA35681}"/>
    <cellStyle name="Normal 2 6 57 3" xfId="7577" xr:uid="{CF8E9E3E-DC04-4394-8F6D-728B2C5FCC60}"/>
    <cellStyle name="Normal 2 6 57 3 2" xfId="16405" xr:uid="{4EB3FEF2-065A-4DD8-BFF8-C3159C2E66DD}"/>
    <cellStyle name="Normal 2 6 57 4" xfId="7578" xr:uid="{D9D36380-BFAB-4A7B-8873-17F09579C0C9}"/>
    <cellStyle name="Normal 2 6 57 4 2" xfId="16406" xr:uid="{24D69032-0154-4703-AF67-68AB89422C0D}"/>
    <cellStyle name="Normal 2 6 57 5" xfId="16401" xr:uid="{33BB303B-69B9-4D2A-9604-DEF0052DC3C7}"/>
    <cellStyle name="Normal 2 6 58" xfId="7579" xr:uid="{56D59875-DB10-4E10-9B00-B006741D28A9}"/>
    <cellStyle name="Normal 2 6 58 2" xfId="7580" xr:uid="{32A29B73-8985-4759-9C29-982EC4BF2B65}"/>
    <cellStyle name="Normal 2 6 58 2 2" xfId="7581" xr:uid="{22326D60-6608-433A-8C65-6FF295A61440}"/>
    <cellStyle name="Normal 2 6 58 2 2 2" xfId="16409" xr:uid="{BB44BF87-F8A3-4DD7-AEA5-042FABDAC1E8}"/>
    <cellStyle name="Normal 2 6 58 2 3" xfId="7582" xr:uid="{E347EA04-FAC1-41C9-B7BD-2D4583F7168F}"/>
    <cellStyle name="Normal 2 6 58 2 3 2" xfId="16410" xr:uid="{85366A44-60A7-4DB0-9BBE-CEFBB60BEB2F}"/>
    <cellStyle name="Normal 2 6 58 2 4" xfId="16408" xr:uid="{78CC0185-EAC1-44D3-A5ED-43B64FD3117B}"/>
    <cellStyle name="Normal 2 6 58 3" xfId="7583" xr:uid="{02E1B1E6-7C4A-4D8D-9585-3E4B23B8A522}"/>
    <cellStyle name="Normal 2 6 58 3 2" xfId="16411" xr:uid="{47ED1CD1-0CC5-4DD9-9DA0-B546D0C6E454}"/>
    <cellStyle name="Normal 2 6 58 4" xfId="7584" xr:uid="{22251B85-9AEF-4DD8-878E-47905D2B27D6}"/>
    <cellStyle name="Normal 2 6 58 4 2" xfId="16412" xr:uid="{9B3AB35B-C217-4D74-9365-AE68F307A122}"/>
    <cellStyle name="Normal 2 6 58 5" xfId="16407" xr:uid="{6120C0A0-4FB1-4CC2-92C0-1D6B77AAD0C1}"/>
    <cellStyle name="Normal 2 6 59" xfId="7585" xr:uid="{A8B978D2-971C-41F4-941A-3E510C118B18}"/>
    <cellStyle name="Normal 2 6 59 2" xfId="7586" xr:uid="{FBB63CF2-3F10-4657-9F0E-00FB2877F76B}"/>
    <cellStyle name="Normal 2 6 59 2 2" xfId="7587" xr:uid="{DE1B61D4-A96A-4408-89D0-1B4E24D51A68}"/>
    <cellStyle name="Normal 2 6 59 2 2 2" xfId="16415" xr:uid="{4BC4A88C-E503-49B2-A7A4-AEC85960069C}"/>
    <cellStyle name="Normal 2 6 59 2 3" xfId="7588" xr:uid="{2A562157-D946-4E75-933B-77BCC9BB9A79}"/>
    <cellStyle name="Normal 2 6 59 2 3 2" xfId="16416" xr:uid="{C997D6C0-C7A9-406E-B5AE-1E5DD34B6199}"/>
    <cellStyle name="Normal 2 6 59 2 4" xfId="16414" xr:uid="{B44C90E6-8A15-4044-AA40-00E7E86A388F}"/>
    <cellStyle name="Normal 2 6 59 3" xfId="7589" xr:uid="{C8B05B19-CD16-4E69-BAF6-FD6AFC9330F8}"/>
    <cellStyle name="Normal 2 6 59 3 2" xfId="16417" xr:uid="{4EDF52A6-14FE-480A-8C4F-15A03DB305F3}"/>
    <cellStyle name="Normal 2 6 59 4" xfId="7590" xr:uid="{E9F38B86-AC2F-4BA8-9382-A9C6BBA28AF4}"/>
    <cellStyle name="Normal 2 6 59 4 2" xfId="16418" xr:uid="{8D600484-A459-4E8C-85C1-97C49C6D9024}"/>
    <cellStyle name="Normal 2 6 59 5" xfId="16413" xr:uid="{8E20F9FD-FF59-4FB8-A10E-6B01726185D4}"/>
    <cellStyle name="Normal 2 6 6" xfId="7591" xr:uid="{25A29340-6951-4A81-9526-C6EC65E2089E}"/>
    <cellStyle name="Normal 2 6 6 2" xfId="7592" xr:uid="{8BE4B253-23B1-4AC5-8993-EAC6A5F4D45F}"/>
    <cellStyle name="Normal 2 6 6 2 2" xfId="7593" xr:uid="{DD2F91A1-800D-4778-A466-725B3A780B74}"/>
    <cellStyle name="Normal 2 6 6 2 2 2" xfId="16421" xr:uid="{EA15FCBD-15F0-480C-876A-6935A6AD63FE}"/>
    <cellStyle name="Normal 2 6 6 2 3" xfId="7594" xr:uid="{783EBB1B-78AF-425F-B9CB-D342ADBE0D6C}"/>
    <cellStyle name="Normal 2 6 6 2 3 2" xfId="16422" xr:uid="{4360049C-ADA8-4F25-B783-557ECBA72A76}"/>
    <cellStyle name="Normal 2 6 6 2 4" xfId="16420" xr:uid="{B2469F01-8FE0-4755-B879-D283A2F7BDD8}"/>
    <cellStyle name="Normal 2 6 6 3" xfId="7595" xr:uid="{03B5ED8A-A725-49D3-A740-E395A3E4532E}"/>
    <cellStyle name="Normal 2 6 6 3 2" xfId="16423" xr:uid="{575389B2-282B-4C61-A5B8-22562F259232}"/>
    <cellStyle name="Normal 2 6 6 4" xfId="7596" xr:uid="{856C53CD-6195-417E-8BC8-9DEBD56C59DC}"/>
    <cellStyle name="Normal 2 6 6 4 2" xfId="16424" xr:uid="{D762806D-F27D-4278-82F8-281D42B4846E}"/>
    <cellStyle name="Normal 2 6 6 5" xfId="16419" xr:uid="{5FFE90CE-70E5-495C-B9EB-E285D60D468F}"/>
    <cellStyle name="Normal 2 6 60" xfId="7597" xr:uid="{7A7F70F0-E0DF-4CE4-894C-4B21879EEB9B}"/>
    <cellStyle name="Normal 2 6 60 2" xfId="7598" xr:uid="{3017614A-FC2D-4931-92AE-A515FC4E47FA}"/>
    <cellStyle name="Normal 2 6 60 2 2" xfId="7599" xr:uid="{68BC15BC-43E0-4316-988D-80280058F70B}"/>
    <cellStyle name="Normal 2 6 60 2 2 2" xfId="16427" xr:uid="{2D1E1571-A303-462C-8256-B802E4660531}"/>
    <cellStyle name="Normal 2 6 60 2 3" xfId="7600" xr:uid="{7CFCB8CA-DB1E-4153-A917-FEA2A0C58E01}"/>
    <cellStyle name="Normal 2 6 60 2 3 2" xfId="16428" xr:uid="{2EC378AA-CC2C-4D83-97A0-A9A46BD823F1}"/>
    <cellStyle name="Normal 2 6 60 2 4" xfId="16426" xr:uid="{CF00F97C-F6B1-44A3-A18C-B3EBCDA85681}"/>
    <cellStyle name="Normal 2 6 60 3" xfId="7601" xr:uid="{DDD9DB3E-39CF-4628-8E4B-83AC36038E38}"/>
    <cellStyle name="Normal 2 6 60 3 2" xfId="16429" xr:uid="{31EE132B-397B-48BD-B5E0-A83B9679AD62}"/>
    <cellStyle name="Normal 2 6 60 4" xfId="7602" xr:uid="{CFCD53FB-C4A6-4998-A9DF-FBEA14ADD395}"/>
    <cellStyle name="Normal 2 6 60 4 2" xfId="16430" xr:uid="{EE5B0D61-7F85-4CD0-8B52-9DDC6CBEBB28}"/>
    <cellStyle name="Normal 2 6 60 5" xfId="16425" xr:uid="{15164207-8B42-4751-BDEE-FFC48AE92B12}"/>
    <cellStyle name="Normal 2 6 61" xfId="7603" xr:uid="{CC0C21AF-A567-4D47-A76A-6782AF03A43B}"/>
    <cellStyle name="Normal 2 6 61 2" xfId="7604" xr:uid="{429DEB6F-3537-4C4D-9CDF-FB3DE0ABDDB0}"/>
    <cellStyle name="Normal 2 6 61 2 2" xfId="16432" xr:uid="{94A2F8AD-6DD1-472B-8A07-9258DB0FD970}"/>
    <cellStyle name="Normal 2 6 61 3" xfId="7605" xr:uid="{AB6FBEB8-3269-462E-9709-553A16CC6C3D}"/>
    <cellStyle name="Normal 2 6 61 3 2" xfId="16433" xr:uid="{D3D3874F-899A-4B76-84C6-74B85C7F0A6F}"/>
    <cellStyle name="Normal 2 6 61 4" xfId="16431" xr:uid="{0C6366BB-6461-4367-B77D-0F12900430AD}"/>
    <cellStyle name="Normal 2 6 62" xfId="7606" xr:uid="{9774C432-2FBA-424F-BC60-145F7B306A62}"/>
    <cellStyle name="Normal 2 6 62 2" xfId="16434" xr:uid="{6C71B3C2-A84F-4C54-AEDD-347FDEEF227E}"/>
    <cellStyle name="Normal 2 6 63" xfId="7607" xr:uid="{D0B6FA77-0094-40A0-8C58-AB3145F49478}"/>
    <cellStyle name="Normal 2 6 63 2" xfId="16435" xr:uid="{2F590F23-BA44-4F7F-827D-A2F943782273}"/>
    <cellStyle name="Normal 2 6 64" xfId="15086" xr:uid="{79A3FD51-F045-4F30-9F0B-39EEAB8D7588}"/>
    <cellStyle name="Normal 2 6 7" xfId="7608" xr:uid="{0DBBA242-7122-43A9-8881-F4A0D30A8B8A}"/>
    <cellStyle name="Normal 2 6 7 2" xfId="7609" xr:uid="{CD6C1131-3E82-4B25-8C40-0F0679403FB2}"/>
    <cellStyle name="Normal 2 6 7 2 2" xfId="7610" xr:uid="{A98AA487-B705-49C7-80D3-0D8FCB200D2D}"/>
    <cellStyle name="Normal 2 6 7 2 2 2" xfId="16438" xr:uid="{9A439519-5728-440E-AA8D-A86CF821D4A8}"/>
    <cellStyle name="Normal 2 6 7 2 3" xfId="7611" xr:uid="{406DF739-E4AF-4222-93EB-22CC2E11ACE4}"/>
    <cellStyle name="Normal 2 6 7 2 3 2" xfId="16439" xr:uid="{534A6849-221A-46E0-B453-3FE06DD8C7FD}"/>
    <cellStyle name="Normal 2 6 7 2 4" xfId="16437" xr:uid="{0CBA6BDC-5F98-434E-87CC-93557E4F0D35}"/>
    <cellStyle name="Normal 2 6 7 3" xfId="7612" xr:uid="{1900A1E9-9A26-4E38-95B8-1672BBD06730}"/>
    <cellStyle name="Normal 2 6 7 3 2" xfId="16440" xr:uid="{CDFB751B-390E-4311-8215-0FCB9072E545}"/>
    <cellStyle name="Normal 2 6 7 4" xfId="7613" xr:uid="{D718EA84-439B-4AB6-9A05-457AE09A6BF0}"/>
    <cellStyle name="Normal 2 6 7 4 2" xfId="16441" xr:uid="{32531AA3-EB7F-465B-BF51-480A6C275BFB}"/>
    <cellStyle name="Normal 2 6 7 5" xfId="16436" xr:uid="{554395DC-13C9-4BAF-A7BB-B4F0C0917777}"/>
    <cellStyle name="Normal 2 6 8" xfId="7614" xr:uid="{2ED60351-D256-4BE4-8996-089897D2AECA}"/>
    <cellStyle name="Normal 2 6 8 2" xfId="7615" xr:uid="{CEDFD782-EE0F-4BE1-BF10-2756BFE7E2E9}"/>
    <cellStyle name="Normal 2 6 8 2 2" xfId="7616" xr:uid="{015FC502-E925-475A-AFD8-885538D24633}"/>
    <cellStyle name="Normal 2 6 8 2 2 2" xfId="16444" xr:uid="{61C22C83-EAA1-45D6-AA0B-CA1D4DFB93B7}"/>
    <cellStyle name="Normal 2 6 8 2 3" xfId="7617" xr:uid="{365302B6-60F1-4F43-A8A4-595E8F65647D}"/>
    <cellStyle name="Normal 2 6 8 2 3 2" xfId="16445" xr:uid="{0D10C3A0-3C17-4AAD-B2E6-123EBFD3C94A}"/>
    <cellStyle name="Normal 2 6 8 2 4" xfId="16443" xr:uid="{576FB55B-9F06-43E6-AFA9-209CCE27E9B4}"/>
    <cellStyle name="Normal 2 6 8 3" xfId="7618" xr:uid="{62CC163C-E91A-4521-9BC9-9977FF2B0DF1}"/>
    <cellStyle name="Normal 2 6 8 3 2" xfId="16446" xr:uid="{CB20336F-8359-4AD7-AA7E-06CED6FA0917}"/>
    <cellStyle name="Normal 2 6 8 4" xfId="7619" xr:uid="{0B195950-E97C-4221-B411-DFD04DB6D296}"/>
    <cellStyle name="Normal 2 6 8 4 2" xfId="16447" xr:uid="{F708F21E-4D3F-49B5-ADCA-434D40EE3240}"/>
    <cellStyle name="Normal 2 6 8 5" xfId="16442" xr:uid="{A90EAC22-FF0D-4114-89E1-C8BA7952193A}"/>
    <cellStyle name="Normal 2 6 9" xfId="7620" xr:uid="{0E8065D9-49D4-427A-8BD8-38DD06A2BC33}"/>
    <cellStyle name="Normal 2 6 9 2" xfId="7621" xr:uid="{1901742F-16F9-42BD-A8CE-572BE7E7B860}"/>
    <cellStyle name="Normal 2 6 9 2 2" xfId="7622" xr:uid="{990F74D9-FA20-4703-9697-47A02B14DF5B}"/>
    <cellStyle name="Normal 2 6 9 2 2 2" xfId="16450" xr:uid="{589B04D1-8F68-4730-85C8-DCA8A8A88635}"/>
    <cellStyle name="Normal 2 6 9 2 3" xfId="7623" xr:uid="{F82FAA0C-9F6F-46BE-840B-3F28FD6961B1}"/>
    <cellStyle name="Normal 2 6 9 2 3 2" xfId="16451" xr:uid="{E1C07DB9-CDBA-4644-ADA9-151BA5D3E990}"/>
    <cellStyle name="Normal 2 6 9 2 4" xfId="16449" xr:uid="{488DAFA9-ED1A-437B-AB62-06B5453291EA}"/>
    <cellStyle name="Normal 2 6 9 3" xfId="7624" xr:uid="{712602F2-A3C3-46C3-A383-19AD1E3ED686}"/>
    <cellStyle name="Normal 2 6 9 3 2" xfId="16452" xr:uid="{9CC8C5B0-650A-457C-A95A-0166E7D01862}"/>
    <cellStyle name="Normal 2 6 9 4" xfId="7625" xr:uid="{1277F114-7BD6-4DFE-9195-F12AA0891956}"/>
    <cellStyle name="Normal 2 6 9 4 2" xfId="16453" xr:uid="{159C724C-79E2-4100-90ED-85C5A4A73363}"/>
    <cellStyle name="Normal 2 6 9 5" xfId="16448" xr:uid="{219C0972-9242-4FD4-BC53-13B039A09C2B}"/>
    <cellStyle name="Normal 2 60" xfId="7626" xr:uid="{643C0B1C-1965-4E2B-BDC9-BE4B4B3004E3}"/>
    <cellStyle name="Normal 2 60 2" xfId="7627" xr:uid="{9AA28DEE-7677-4CFB-BFD7-B2C558299707}"/>
    <cellStyle name="Normal 2 60 2 2" xfId="7628" xr:uid="{A984BDF9-8100-483E-A30F-14311CE89AA8}"/>
    <cellStyle name="Normal 2 60 2 2 2" xfId="16456" xr:uid="{A5228BB6-54CF-4C5C-88AD-260C516DDEE8}"/>
    <cellStyle name="Normal 2 60 2 3" xfId="7629" xr:uid="{BBB36859-4C42-4D83-868C-89EBAC15319C}"/>
    <cellStyle name="Normal 2 60 2 3 2" xfId="16457" xr:uid="{BA07A106-1C20-43E9-9B32-266520D4AD09}"/>
    <cellStyle name="Normal 2 60 2 4" xfId="16455" xr:uid="{85606005-D0B2-428E-9392-20BD50364B3C}"/>
    <cellStyle name="Normal 2 60 3" xfId="7630" xr:uid="{5D05B0B5-A076-4CF2-8110-4DE3E00A1A19}"/>
    <cellStyle name="Normal 2 60 3 2" xfId="16458" xr:uid="{D0A7DB61-B082-4F58-B0FC-D7796D7DF663}"/>
    <cellStyle name="Normal 2 60 4" xfId="7631" xr:uid="{1981C945-E73B-468D-8A30-03E4D8253F9B}"/>
    <cellStyle name="Normal 2 60 4 2" xfId="16459" xr:uid="{05D6FF42-2F9E-4A41-8FF8-8E25E8DC604B}"/>
    <cellStyle name="Normal 2 60 5" xfId="16454" xr:uid="{D3A5608E-C724-4E2A-9584-FAD9B52B26F4}"/>
    <cellStyle name="Normal 2 61" xfId="7632" xr:uid="{7C9CCAAF-B876-4EC6-940A-74E832B01B1A}"/>
    <cellStyle name="Normal 2 61 2" xfId="7633" xr:uid="{BC6E8F24-AE03-4B2C-B9AA-A6DDBDEED42F}"/>
    <cellStyle name="Normal 2 61 2 2" xfId="7634" xr:uid="{79C7693B-1637-4765-839F-89E0ACFAF254}"/>
    <cellStyle name="Normal 2 61 2 2 2" xfId="16462" xr:uid="{9A097910-592A-4F58-829E-738411E4B6D7}"/>
    <cellStyle name="Normal 2 61 2 3" xfId="7635" xr:uid="{6F85F5C8-8ABE-4E84-8AB9-9B69273AE8E8}"/>
    <cellStyle name="Normal 2 61 2 3 2" xfId="16463" xr:uid="{B61559F6-7203-4A49-92A2-C380C50D4805}"/>
    <cellStyle name="Normal 2 61 2 4" xfId="16461" xr:uid="{40892F6F-1D7E-40CC-8CBA-08D0BF813432}"/>
    <cellStyle name="Normal 2 61 3" xfId="7636" xr:uid="{B3246587-26AA-489B-B780-473991547C90}"/>
    <cellStyle name="Normal 2 61 3 2" xfId="16464" xr:uid="{8351A9EB-E390-4D20-A30D-AFF017CC1A67}"/>
    <cellStyle name="Normal 2 61 4" xfId="7637" xr:uid="{5441FA67-A148-4C7E-866C-82D1DAA9F5E8}"/>
    <cellStyle name="Normal 2 61 4 2" xfId="16465" xr:uid="{AE2A3975-6133-40B8-8EE4-F1FF022DD53B}"/>
    <cellStyle name="Normal 2 61 5" xfId="16460" xr:uid="{2B2CE011-98F1-466B-BD8A-23FDFC651E40}"/>
    <cellStyle name="Normal 2 62" xfId="7638" xr:uid="{075BCD7A-30C1-460D-BBF7-1BAA9FEF164E}"/>
    <cellStyle name="Normal 2 62 2" xfId="7639" xr:uid="{156FE60C-CEC2-4172-8369-FE0904B4027C}"/>
    <cellStyle name="Normal 2 62 2 2" xfId="7640" xr:uid="{640C85E3-4BCE-4EB3-9352-403FF319722B}"/>
    <cellStyle name="Normal 2 62 2 2 2" xfId="16468" xr:uid="{B980C10E-9E05-4CCD-8F56-DA058F47EC4A}"/>
    <cellStyle name="Normal 2 62 2 3" xfId="7641" xr:uid="{C1648674-E060-4C10-9D86-CAC3925D4E03}"/>
    <cellStyle name="Normal 2 62 2 3 2" xfId="16469" xr:uid="{1D924814-77FB-4B96-924F-DF59BDA44FC7}"/>
    <cellStyle name="Normal 2 62 2 4" xfId="16467" xr:uid="{EA90CF27-7307-4000-A3C4-61B9D00B7E49}"/>
    <cellStyle name="Normal 2 62 3" xfId="7642" xr:uid="{81101A0F-826B-4CFC-9213-6963B6FA146C}"/>
    <cellStyle name="Normal 2 62 3 2" xfId="16470" xr:uid="{8AF6F9C8-362A-410F-82FB-A7C62AEF814E}"/>
    <cellStyle name="Normal 2 62 4" xfId="7643" xr:uid="{1D6294CC-217D-42B1-A322-033B5FAEE208}"/>
    <cellStyle name="Normal 2 62 4 2" xfId="16471" xr:uid="{F2798CFC-CCA5-4F0F-BDA3-5D19E5D8E46A}"/>
    <cellStyle name="Normal 2 62 5" xfId="16466" xr:uid="{72804F2B-7E28-47E4-9CE6-C8F92A093445}"/>
    <cellStyle name="Normal 2 63" xfId="7644" xr:uid="{C4AB3F92-5194-41E9-8C3F-B2D49F850616}"/>
    <cellStyle name="Normal 2 63 2" xfId="7645" xr:uid="{F5980CBB-E626-4F8F-90C1-CAFCC2D481CF}"/>
    <cellStyle name="Normal 2 63 2 2" xfId="7646" xr:uid="{F8533E59-4D10-4B82-ADBC-5E1F4135EB07}"/>
    <cellStyle name="Normal 2 63 2 2 2" xfId="16474" xr:uid="{E41B5FE1-A46C-4C5C-9AA4-A00C93B4B8F0}"/>
    <cellStyle name="Normal 2 63 2 3" xfId="7647" xr:uid="{4ADD3554-638A-4440-B620-FD5DC1D9FC9B}"/>
    <cellStyle name="Normal 2 63 2 3 2" xfId="16475" xr:uid="{BECCD01E-9921-46F7-A4F3-7821667E9E08}"/>
    <cellStyle name="Normal 2 63 2 4" xfId="16473" xr:uid="{BE11D0DA-D82C-4059-A337-DB37F9B144F6}"/>
    <cellStyle name="Normal 2 63 3" xfId="7648" xr:uid="{DD3FF128-D059-4479-900D-D8727496EC45}"/>
    <cellStyle name="Normal 2 63 3 2" xfId="16476" xr:uid="{D21A5A0E-2638-4933-A044-174856C58B33}"/>
    <cellStyle name="Normal 2 63 4" xfId="7649" xr:uid="{6ACCFC7A-D788-46D5-8566-04B721E71C5C}"/>
    <cellStyle name="Normal 2 63 4 2" xfId="16477" xr:uid="{3BE82ABE-0D88-4375-9756-4F13D64EDB3C}"/>
    <cellStyle name="Normal 2 63 5" xfId="16472" xr:uid="{66BB9B7B-9260-4BBC-8297-6F978804C8C6}"/>
    <cellStyle name="Normal 2 64" xfId="7650" xr:uid="{A24017B2-25A0-4FE8-80E0-C22A26A5F37F}"/>
    <cellStyle name="Normal 2 64 2" xfId="7651" xr:uid="{4B9D7992-6728-475E-BD64-269690F4C751}"/>
    <cellStyle name="Normal 2 64 2 2" xfId="7652" xr:uid="{DACC5776-9B5A-41DA-A5A0-8AEBE309537F}"/>
    <cellStyle name="Normal 2 64 2 2 2" xfId="16480" xr:uid="{26C5B505-BB8D-490C-863C-992D8A893736}"/>
    <cellStyle name="Normal 2 64 2 3" xfId="7653" xr:uid="{01439F95-1E98-4A7D-BB70-F2F5D043C247}"/>
    <cellStyle name="Normal 2 64 2 3 2" xfId="16481" xr:uid="{253C0B7A-1A72-45C3-8100-1EC7B61CE9AB}"/>
    <cellStyle name="Normal 2 64 2 4" xfId="16479" xr:uid="{D1558FAE-B138-4026-9A90-1811F8666825}"/>
    <cellStyle name="Normal 2 64 3" xfId="7654" xr:uid="{95416972-F841-4CA9-984D-52E1F130F9EF}"/>
    <cellStyle name="Normal 2 64 3 2" xfId="16482" xr:uid="{75818AD9-3E62-4D14-A332-056C362252A9}"/>
    <cellStyle name="Normal 2 64 4" xfId="7655" xr:uid="{9A8A15D5-0B69-4C39-B9A5-B149872E9D50}"/>
    <cellStyle name="Normal 2 64 4 2" xfId="16483" xr:uid="{02C96EB8-C172-485B-81B6-CC32C9F2561C}"/>
    <cellStyle name="Normal 2 64 5" xfId="16478" xr:uid="{7910D633-A199-4390-9BAB-4AD98DC7E712}"/>
    <cellStyle name="Normal 2 65" xfId="7656" xr:uid="{E34A3FDF-BFD1-456D-9DCA-048C0765ABF7}"/>
    <cellStyle name="Normal 2 65 2" xfId="7657" xr:uid="{DAF7980A-2199-43BD-9B54-8E423E9F3F9D}"/>
    <cellStyle name="Normal 2 65 2 2" xfId="7658" xr:uid="{22F88BFD-F63F-4B99-91A2-CE393455CA3E}"/>
    <cellStyle name="Normal 2 65 2 2 2" xfId="16486" xr:uid="{DA82C098-79C8-46E4-93D3-3496336B25DA}"/>
    <cellStyle name="Normal 2 65 2 3" xfId="7659" xr:uid="{9E0ACFB3-7541-437A-AA77-00D4F529926A}"/>
    <cellStyle name="Normal 2 65 2 3 2" xfId="16487" xr:uid="{47075AEC-03D5-4FCF-B1AA-80757B491115}"/>
    <cellStyle name="Normal 2 65 2 4" xfId="16485" xr:uid="{A15147BF-63B2-4EFE-917A-70C6552ABD28}"/>
    <cellStyle name="Normal 2 65 3" xfId="7660" xr:uid="{3C21CBAC-C002-48BD-B775-2B5400777A34}"/>
    <cellStyle name="Normal 2 65 3 2" xfId="16488" xr:uid="{C1C59678-ED20-49CB-BF2F-77D7EB5AAFAC}"/>
    <cellStyle name="Normal 2 65 4" xfId="7661" xr:uid="{B8EBE658-0B65-49E9-8B4A-0EB99C776FAA}"/>
    <cellStyle name="Normal 2 65 4 2" xfId="16489" xr:uid="{FB10C37E-3EFF-4D46-BE2E-11A492E68F71}"/>
    <cellStyle name="Normal 2 65 5" xfId="16484" xr:uid="{A3B58FCC-C429-401C-9D03-630F05D05698}"/>
    <cellStyle name="Normal 2 66" xfId="7662" xr:uid="{56857967-5B2F-41F1-B1EB-2C9BF1D5FF8C}"/>
    <cellStyle name="Normal 2 66 2" xfId="7663" xr:uid="{2FA547CF-2EA0-48F5-B255-FBC669FD8566}"/>
    <cellStyle name="Normal 2 66 2 2" xfId="16491" xr:uid="{74BF4107-047C-4531-9CA2-EF362C269A7B}"/>
    <cellStyle name="Normal 2 66 3" xfId="7664" xr:uid="{8E8C2907-26BB-45D3-ADF6-3CA8E2A2FA6A}"/>
    <cellStyle name="Normal 2 66 3 2" xfId="16492" xr:uid="{31662FB9-EB59-4FA5-B6A1-003E6283100B}"/>
    <cellStyle name="Normal 2 66 4" xfId="16490" xr:uid="{077C4FEF-7539-4BF8-9AEF-07E1B3ECEA4E}"/>
    <cellStyle name="Normal 2 67" xfId="7665" xr:uid="{BA021A67-C019-45D0-967B-35A2586CAF2B}"/>
    <cellStyle name="Normal 2 67 2" xfId="16493" xr:uid="{D1EF54ED-93C4-42EA-8AB7-938711E3C7F6}"/>
    <cellStyle name="Normal 2 68" xfId="7666" xr:uid="{D8979CD6-DD05-40AC-ACC4-01F2E2D3F5F1}"/>
    <cellStyle name="Normal 2 68 2" xfId="7667" xr:uid="{64E5F3BC-0DFF-4C0D-A054-A3EF3FC145F4}"/>
    <cellStyle name="Normal 2 68 2 2" xfId="16494" xr:uid="{65AE68FA-62C3-48D9-9213-38C9CDAF8BDB}"/>
    <cellStyle name="Normal 2 69" xfId="7668" xr:uid="{89F95FC1-CE42-46D7-9326-A0735BBC303A}"/>
    <cellStyle name="Normal 2 7" xfId="7669" xr:uid="{6744AEEA-3165-4A0E-B2F8-D2EB4278BBE5}"/>
    <cellStyle name="Normal 2 7 10" xfId="7670" xr:uid="{3D61C7F5-7C50-4DFB-903F-94F22698DA35}"/>
    <cellStyle name="Normal 2 7 10 2" xfId="7671" xr:uid="{DA32CC62-75DB-42D5-AF58-87744C488410}"/>
    <cellStyle name="Normal 2 7 10 2 2" xfId="7672" xr:uid="{A1BE3C03-F5DA-455D-AA8F-E50DBD517189}"/>
    <cellStyle name="Normal 2 7 10 2 2 2" xfId="16498" xr:uid="{4BBAE494-8361-4187-A751-43891CDAA095}"/>
    <cellStyle name="Normal 2 7 10 2 3" xfId="7673" xr:uid="{893E5202-8765-400F-9E56-179496CB40E1}"/>
    <cellStyle name="Normal 2 7 10 2 3 2" xfId="16499" xr:uid="{84CF9ADC-D3CF-4BFA-886E-425642467F63}"/>
    <cellStyle name="Normal 2 7 10 2 4" xfId="16497" xr:uid="{38BC2B6D-EC0B-44DB-A4C4-167B1CF2850F}"/>
    <cellStyle name="Normal 2 7 10 3" xfId="7674" xr:uid="{91D4C234-4BA6-4CE2-9624-C6950DCEEAC7}"/>
    <cellStyle name="Normal 2 7 10 3 2" xfId="16500" xr:uid="{75EB730D-8202-4077-9392-1085F28A1A40}"/>
    <cellStyle name="Normal 2 7 10 4" xfId="7675" xr:uid="{8C131AEC-113F-4C7B-A8CF-3D18BAC506CA}"/>
    <cellStyle name="Normal 2 7 10 4 2" xfId="16501" xr:uid="{25070213-2B4D-49EF-ABC6-FB0C0922538F}"/>
    <cellStyle name="Normal 2 7 10 5" xfId="16496" xr:uid="{294AC75D-FDD8-455D-A452-9F56BCCB5973}"/>
    <cellStyle name="Normal 2 7 11" xfId="7676" xr:uid="{F537CD7A-DC1A-46C3-91DD-4B9DE6E3A527}"/>
    <cellStyle name="Normal 2 7 11 2" xfId="7677" xr:uid="{C575DE6E-B339-48A3-82DE-3A42917FBCFA}"/>
    <cellStyle name="Normal 2 7 11 2 2" xfId="7678" xr:uid="{14A65393-6D9B-429B-A519-7994F9C307EB}"/>
    <cellStyle name="Normal 2 7 11 2 2 2" xfId="16504" xr:uid="{8156E71D-7D45-4C68-BEDE-8D2291D525C4}"/>
    <cellStyle name="Normal 2 7 11 2 3" xfId="7679" xr:uid="{0732B103-28D7-4C72-88B4-4B22DB846262}"/>
    <cellStyle name="Normal 2 7 11 2 3 2" xfId="16505" xr:uid="{B1421E5F-F12B-41C6-8DE3-C747301A5966}"/>
    <cellStyle name="Normal 2 7 11 2 4" xfId="16503" xr:uid="{5847EBE9-74AA-4BF6-BCC4-61D505224EBF}"/>
    <cellStyle name="Normal 2 7 11 3" xfId="7680" xr:uid="{02A24A57-0E81-4264-878A-455B4C40C5A7}"/>
    <cellStyle name="Normal 2 7 11 3 2" xfId="16506" xr:uid="{088C7DB6-0C15-4381-B30B-52BBD5F87950}"/>
    <cellStyle name="Normal 2 7 11 4" xfId="7681" xr:uid="{329524C0-D9CB-4E44-BDD1-D1B1B88EF767}"/>
    <cellStyle name="Normal 2 7 11 4 2" xfId="16507" xr:uid="{D65B7BFA-F3C2-458A-B8F3-8DA58302A8DC}"/>
    <cellStyle name="Normal 2 7 11 5" xfId="16502" xr:uid="{200328FC-8701-4340-8B5A-73E20798CBB0}"/>
    <cellStyle name="Normal 2 7 12" xfId="7682" xr:uid="{15C0BCB1-5AA0-41F9-B6A0-A21AE48A5302}"/>
    <cellStyle name="Normal 2 7 12 2" xfId="7683" xr:uid="{297CEECD-A38F-4625-B785-46EC133AF633}"/>
    <cellStyle name="Normal 2 7 12 2 2" xfId="7684" xr:uid="{C2011902-4B67-4E31-ADA0-F5F6ABD0D1D8}"/>
    <cellStyle name="Normal 2 7 12 2 2 2" xfId="16510" xr:uid="{6B73DC3E-741F-4EA6-891C-D27E65BC9ABD}"/>
    <cellStyle name="Normal 2 7 12 2 3" xfId="7685" xr:uid="{865FC9AB-C6F3-479F-8ACA-9794FD9C249E}"/>
    <cellStyle name="Normal 2 7 12 2 3 2" xfId="16511" xr:uid="{9F06AF9B-DFAC-4AC5-A063-410745A9E5BD}"/>
    <cellStyle name="Normal 2 7 12 2 4" xfId="16509" xr:uid="{4E4E76AA-DA53-4896-AC30-BEE583F45B0E}"/>
    <cellStyle name="Normal 2 7 12 3" xfId="7686" xr:uid="{DE9AF503-5687-47FD-ACEF-F7BC46A0EDF0}"/>
    <cellStyle name="Normal 2 7 12 3 2" xfId="16512" xr:uid="{09D7146D-07B4-430D-9C4A-50BBE1790B45}"/>
    <cellStyle name="Normal 2 7 12 4" xfId="7687" xr:uid="{86C57AC4-AB74-4D6B-A77D-2B9AF1910871}"/>
    <cellStyle name="Normal 2 7 12 4 2" xfId="16513" xr:uid="{14A07AD3-63B5-45F1-BDF9-90AC8FE06266}"/>
    <cellStyle name="Normal 2 7 12 5" xfId="16508" xr:uid="{9CF83A7B-E147-4C42-B055-519D3888E416}"/>
    <cellStyle name="Normal 2 7 13" xfId="7688" xr:uid="{B17E16E7-F45D-44F2-BC58-6D0BC9A020B3}"/>
    <cellStyle name="Normal 2 7 13 2" xfId="7689" xr:uid="{4F8806D1-6FCE-4C4E-9262-BEED5FBA058A}"/>
    <cellStyle name="Normal 2 7 13 2 2" xfId="7690" xr:uid="{77F91906-11DD-45A7-89AF-F0E34A32CEC7}"/>
    <cellStyle name="Normal 2 7 13 2 2 2" xfId="16516" xr:uid="{F37B22B4-45B3-4F17-8ED8-F991F1018C0A}"/>
    <cellStyle name="Normal 2 7 13 2 3" xfId="7691" xr:uid="{0CA12BCB-A491-45EE-A37A-36351BEBE228}"/>
    <cellStyle name="Normal 2 7 13 2 3 2" xfId="16517" xr:uid="{F3A0FAF1-9B4D-4F51-946A-2F63B41DF8F5}"/>
    <cellStyle name="Normal 2 7 13 2 4" xfId="16515" xr:uid="{E143FD92-DE1A-4EB4-81E7-85B3583FE691}"/>
    <cellStyle name="Normal 2 7 13 3" xfId="7692" xr:uid="{09725279-A7C4-4F9C-8C6B-3E5CA1DF7D59}"/>
    <cellStyle name="Normal 2 7 13 3 2" xfId="16518" xr:uid="{AD23063B-4D1D-4DEE-91B4-5448BDA8F3D2}"/>
    <cellStyle name="Normal 2 7 13 4" xfId="7693" xr:uid="{7E038061-C4B1-4DB2-8A5F-E16B52A38A79}"/>
    <cellStyle name="Normal 2 7 13 4 2" xfId="16519" xr:uid="{E4564280-0DAA-430D-85D2-8EC4937B35AF}"/>
    <cellStyle name="Normal 2 7 13 5" xfId="16514" xr:uid="{8A0C78AE-D5A8-4DD5-AED2-F15169FCDD4A}"/>
    <cellStyle name="Normal 2 7 14" xfId="7694" xr:uid="{043F9F5D-67F3-4DB9-96CD-902376241877}"/>
    <cellStyle name="Normal 2 7 14 2" xfId="7695" xr:uid="{F49F7E45-2B5B-4A9E-BB6B-D1E712D7136C}"/>
    <cellStyle name="Normal 2 7 14 2 2" xfId="7696" xr:uid="{48665E85-FA05-4C66-9AC1-46105637F4C5}"/>
    <cellStyle name="Normal 2 7 14 2 2 2" xfId="16522" xr:uid="{16470EB6-4668-4047-A885-C1723319FDAE}"/>
    <cellStyle name="Normal 2 7 14 2 3" xfId="7697" xr:uid="{2B38D392-CCD6-4863-A60F-A5663606E80B}"/>
    <cellStyle name="Normal 2 7 14 2 3 2" xfId="16523" xr:uid="{FDDB3DDD-78C5-4B63-8395-1661927D907F}"/>
    <cellStyle name="Normal 2 7 14 2 4" xfId="16521" xr:uid="{950358AA-3F07-4B64-8B4B-ADF948F9681B}"/>
    <cellStyle name="Normal 2 7 14 3" xfId="7698" xr:uid="{151A5F51-FECC-4A0B-BF78-E2A6EB3B74F2}"/>
    <cellStyle name="Normal 2 7 14 3 2" xfId="16524" xr:uid="{09D37DCA-63E9-4017-9815-282B7F3FD7AD}"/>
    <cellStyle name="Normal 2 7 14 4" xfId="7699" xr:uid="{06FB91DD-8A08-439F-87D5-514E7F9C44FD}"/>
    <cellStyle name="Normal 2 7 14 4 2" xfId="16525" xr:uid="{23E2C0F6-F576-4B71-95D6-E7E23EAB759F}"/>
    <cellStyle name="Normal 2 7 14 5" xfId="16520" xr:uid="{D3DF3CCC-543C-4954-B437-3E1F7DE07670}"/>
    <cellStyle name="Normal 2 7 15" xfId="7700" xr:uid="{E247E516-64D7-40B9-A7C5-E8D6F6F8209E}"/>
    <cellStyle name="Normal 2 7 15 2" xfId="7701" xr:uid="{A15CB63B-2D74-4A6A-87C1-C69B75A8F03E}"/>
    <cellStyle name="Normal 2 7 15 2 2" xfId="7702" xr:uid="{1D10F69F-00AB-4F24-BF77-CC9D8E5DF21D}"/>
    <cellStyle name="Normal 2 7 15 2 2 2" xfId="16528" xr:uid="{966744C9-1FB3-4D0E-9A2F-E06BF0D40A3B}"/>
    <cellStyle name="Normal 2 7 15 2 3" xfId="7703" xr:uid="{A486A4D3-FDEB-4D27-B324-D5C032FC2D82}"/>
    <cellStyle name="Normal 2 7 15 2 3 2" xfId="16529" xr:uid="{1F50632C-56F8-4A2D-9BD1-5702E2F945F8}"/>
    <cellStyle name="Normal 2 7 15 2 4" xfId="16527" xr:uid="{0CC18EC1-B120-4157-BEFC-3E3322A40AE8}"/>
    <cellStyle name="Normal 2 7 15 3" xfId="7704" xr:uid="{B06B0334-6062-4D35-BED9-199652FBD60B}"/>
    <cellStyle name="Normal 2 7 15 3 2" xfId="16530" xr:uid="{46EDD65D-186C-46E0-B00F-EDA41DDBCCD5}"/>
    <cellStyle name="Normal 2 7 15 4" xfId="7705" xr:uid="{1026A7C0-7B58-45A2-9EFC-26D87B1DEE7B}"/>
    <cellStyle name="Normal 2 7 15 4 2" xfId="16531" xr:uid="{FA6BDDE6-6F53-465A-A6F8-F2DE425D88F0}"/>
    <cellStyle name="Normal 2 7 15 5" xfId="16526" xr:uid="{796C001D-9BDF-4E14-97E2-1A548913FD73}"/>
    <cellStyle name="Normal 2 7 16" xfId="7706" xr:uid="{63FAF05D-6AD3-4952-A240-6F905E813504}"/>
    <cellStyle name="Normal 2 7 16 2" xfId="7707" xr:uid="{3D5EFD8E-E4B1-4093-B078-67EC22244A98}"/>
    <cellStyle name="Normal 2 7 16 2 2" xfId="7708" xr:uid="{3B588FF6-6D03-44D8-8443-0CEA5D6EDBDD}"/>
    <cellStyle name="Normal 2 7 16 2 2 2" xfId="16534" xr:uid="{8E0380B5-8511-4EE9-B215-080E9BAA3497}"/>
    <cellStyle name="Normal 2 7 16 2 3" xfId="7709" xr:uid="{2636E723-764A-44D4-8937-D516D27F767A}"/>
    <cellStyle name="Normal 2 7 16 2 3 2" xfId="16535" xr:uid="{2BDC46AC-48A7-487C-98B2-157E16DDA147}"/>
    <cellStyle name="Normal 2 7 16 2 4" xfId="16533" xr:uid="{3C398500-943B-44E5-B204-FDB6B8CBE5C4}"/>
    <cellStyle name="Normal 2 7 16 3" xfId="7710" xr:uid="{8A55F55B-BB66-4BF9-AEBE-4CC96422A0F2}"/>
    <cellStyle name="Normal 2 7 16 3 2" xfId="16536" xr:uid="{FDECA8D6-84A2-4A46-83CD-171962611F4B}"/>
    <cellStyle name="Normal 2 7 16 4" xfId="7711" xr:uid="{545FA29D-AED7-473C-AB69-890606C6C7A5}"/>
    <cellStyle name="Normal 2 7 16 4 2" xfId="16537" xr:uid="{3733DBA3-E8C5-451E-BC65-8A7C4F5542D7}"/>
    <cellStyle name="Normal 2 7 16 5" xfId="16532" xr:uid="{140BF93A-11D7-411E-8BD6-3ED8719A1F28}"/>
    <cellStyle name="Normal 2 7 17" xfId="7712" xr:uid="{2FA90043-598B-4A46-8670-75BB9EBEA16D}"/>
    <cellStyle name="Normal 2 7 17 2" xfId="7713" xr:uid="{BEE3D94D-70E5-42C9-A5F1-5D37731D3077}"/>
    <cellStyle name="Normal 2 7 17 2 2" xfId="7714" xr:uid="{B0C373B4-7571-4052-BFB5-709BDE13C312}"/>
    <cellStyle name="Normal 2 7 17 2 2 2" xfId="16540" xr:uid="{6E48EE4A-B348-46E4-B5AA-9E38B8869737}"/>
    <cellStyle name="Normal 2 7 17 2 3" xfId="7715" xr:uid="{4CE803DE-FA32-4CBA-86FD-0F44E77846D9}"/>
    <cellStyle name="Normal 2 7 17 2 3 2" xfId="16541" xr:uid="{01E353E9-7C74-41EE-8848-C55D98373CBC}"/>
    <cellStyle name="Normal 2 7 17 2 4" xfId="16539" xr:uid="{27888A6C-9D4D-458F-9F8B-EF982478EFAC}"/>
    <cellStyle name="Normal 2 7 17 3" xfId="7716" xr:uid="{2F439023-31F1-4837-8125-F3A1BD564D90}"/>
    <cellStyle name="Normal 2 7 17 3 2" xfId="16542" xr:uid="{E8D35B15-5A34-41F4-9491-592D40942604}"/>
    <cellStyle name="Normal 2 7 17 4" xfId="7717" xr:uid="{07A1DA77-3E62-457C-8860-27A7F0EED328}"/>
    <cellStyle name="Normal 2 7 17 4 2" xfId="16543" xr:uid="{5E6E6B53-8904-4B20-B19E-DEC6EAF83A99}"/>
    <cellStyle name="Normal 2 7 17 5" xfId="16538" xr:uid="{B241CF6B-97B4-466D-B82E-57F4737574D2}"/>
    <cellStyle name="Normal 2 7 18" xfId="7718" xr:uid="{3FF97C23-EBCD-428B-B32C-7DB82DDD451E}"/>
    <cellStyle name="Normal 2 7 18 2" xfId="7719" xr:uid="{C0242820-27B9-4BE8-B5DF-7260491F213B}"/>
    <cellStyle name="Normal 2 7 18 2 2" xfId="7720" xr:uid="{2C1D63A3-9AA2-4B41-911B-B3A07C88ECC7}"/>
    <cellStyle name="Normal 2 7 18 2 2 2" xfId="16546" xr:uid="{DCC0A769-06BA-4534-9BAD-276198B83F81}"/>
    <cellStyle name="Normal 2 7 18 2 3" xfId="7721" xr:uid="{5EA255F6-4627-4654-AB69-12709C27C9D8}"/>
    <cellStyle name="Normal 2 7 18 2 3 2" xfId="16547" xr:uid="{FD56C28E-B12A-4535-A25A-845F7C835F99}"/>
    <cellStyle name="Normal 2 7 18 2 4" xfId="16545" xr:uid="{2C949385-11D8-4D71-9AAA-7E89B5319216}"/>
    <cellStyle name="Normal 2 7 18 3" xfId="7722" xr:uid="{8517D98A-D116-4D8A-A91E-E9796E03ADF7}"/>
    <cellStyle name="Normal 2 7 18 3 2" xfId="16548" xr:uid="{BCA23912-A83A-4594-B792-376A2913ACA8}"/>
    <cellStyle name="Normal 2 7 18 4" xfId="7723" xr:uid="{2DFDCF77-78CE-44D7-AECC-4CF64B8ACAAE}"/>
    <cellStyle name="Normal 2 7 18 4 2" xfId="16549" xr:uid="{CA88551B-7662-4D76-BD67-EE765FEBC662}"/>
    <cellStyle name="Normal 2 7 18 5" xfId="16544" xr:uid="{0ED56CFB-5878-4B12-8240-B54E1959C838}"/>
    <cellStyle name="Normal 2 7 19" xfId="7724" xr:uid="{B6760065-7070-4AAF-9A42-281FD9E8D668}"/>
    <cellStyle name="Normal 2 7 19 2" xfId="7725" xr:uid="{69937804-626F-40B5-80CA-EF475783C85D}"/>
    <cellStyle name="Normal 2 7 19 2 2" xfId="7726" xr:uid="{BC52D778-16FB-492D-8AE3-ABE9D0957CDA}"/>
    <cellStyle name="Normal 2 7 19 2 2 2" xfId="16552" xr:uid="{46276F12-1A7E-449C-AD7D-17237E75768D}"/>
    <cellStyle name="Normal 2 7 19 2 3" xfId="7727" xr:uid="{03C1C351-9462-4444-9705-0EC228A2459E}"/>
    <cellStyle name="Normal 2 7 19 2 3 2" xfId="16553" xr:uid="{176397A6-9729-4415-91FC-7436E59D85EE}"/>
    <cellStyle name="Normal 2 7 19 2 4" xfId="16551" xr:uid="{52943F7C-4088-4B82-9DA3-76DC410F4190}"/>
    <cellStyle name="Normal 2 7 19 3" xfId="7728" xr:uid="{0579A761-471B-4C23-B198-F681534C9990}"/>
    <cellStyle name="Normal 2 7 19 3 2" xfId="16554" xr:uid="{FF1A31FF-1538-40ED-89D6-FEC3CCBEAA86}"/>
    <cellStyle name="Normal 2 7 19 4" xfId="7729" xr:uid="{76DC42F8-B20D-4A27-A520-9C8C5E045445}"/>
    <cellStyle name="Normal 2 7 19 4 2" xfId="16555" xr:uid="{B7B6BB41-239E-47EC-8445-47F115E7A7F3}"/>
    <cellStyle name="Normal 2 7 19 5" xfId="16550" xr:uid="{E0D15121-6DC3-4FD3-9845-BE076E7F6014}"/>
    <cellStyle name="Normal 2 7 2" xfId="7730" xr:uid="{E2690CB1-ACA2-498F-A0C7-8E45805D677F}"/>
    <cellStyle name="Normal 2 7 2 10" xfId="7731" xr:uid="{C41AABE0-B8F0-422C-830B-94A1BB9449E6}"/>
    <cellStyle name="Normal 2 7 2 10 2" xfId="7732" xr:uid="{98C8B862-BF98-4C87-9011-CA492FB4EDC1}"/>
    <cellStyle name="Normal 2 7 2 10 3" xfId="7733" xr:uid="{9FC122C1-D65D-470C-9384-A1297AE9C653}"/>
    <cellStyle name="Normal 2 7 2 10 4" xfId="7734" xr:uid="{75BDF98B-32EA-48C7-965B-A4FE5F2C1C7A}"/>
    <cellStyle name="Normal 2 7 2 11" xfId="7735" xr:uid="{4F32BFBF-873D-4C20-BE86-53B5F15C6F58}"/>
    <cellStyle name="Normal 2 7 2 11 2" xfId="7736" xr:uid="{A69871BA-BA1C-4BAE-9BFD-CECABB567091}"/>
    <cellStyle name="Normal 2 7 2 11 3" xfId="7737" xr:uid="{5BE869BA-C331-4BA9-B299-869837B96783}"/>
    <cellStyle name="Normal 2 7 2 11 4" xfId="7738" xr:uid="{999CC685-667F-4FCB-B40F-EBBFEFA2F157}"/>
    <cellStyle name="Normal 2 7 2 12" xfId="7739" xr:uid="{58BFC57C-1E94-4083-AD52-CEB6179F59AF}"/>
    <cellStyle name="Normal 2 7 2 12 2" xfId="7740" xr:uid="{3F185454-7E04-4702-8B47-C865D8267CD8}"/>
    <cellStyle name="Normal 2 7 2 12 3" xfId="7741" xr:uid="{8512F936-0A5E-412A-8BC9-7AEEC243B554}"/>
    <cellStyle name="Normal 2 7 2 12 4" xfId="7742" xr:uid="{19C9BA84-B30C-40DE-85AD-70227608CD4F}"/>
    <cellStyle name="Normal 2 7 2 13" xfId="7743" xr:uid="{EA6C3CF3-0F3F-4A4F-8230-961A2FF37171}"/>
    <cellStyle name="Normal 2 7 2 13 2" xfId="7744" xr:uid="{74B1E3B3-DB30-4373-BEE9-F7446D7C1712}"/>
    <cellStyle name="Normal 2 7 2 13 3" xfId="7745" xr:uid="{BDFCBA05-05E5-488F-9EDA-95AC3876D95D}"/>
    <cellStyle name="Normal 2 7 2 13 4" xfId="7746" xr:uid="{B0E506DD-28CB-470E-97A8-C3C0E562BEFD}"/>
    <cellStyle name="Normal 2 7 2 14" xfId="7747" xr:uid="{2903DCC4-7B5B-4F6A-985B-C7AA29E52913}"/>
    <cellStyle name="Normal 2 7 2 14 2" xfId="7748" xr:uid="{890246EA-C411-4E05-8BDC-673DF3E7231D}"/>
    <cellStyle name="Normal 2 7 2 14 3" xfId="7749" xr:uid="{6B15766B-53EB-498F-A15C-4A8B8B9AFF14}"/>
    <cellStyle name="Normal 2 7 2 14 4" xfId="7750" xr:uid="{8756035D-E4AC-44B6-ADF1-2C21D7AAF5F5}"/>
    <cellStyle name="Normal 2 7 2 15" xfId="7751" xr:uid="{D85BBE91-5180-4BC7-8E75-8A8BE911E6DB}"/>
    <cellStyle name="Normal 2 7 2 15 2" xfId="7752" xr:uid="{938BE48C-A2F6-41B2-BA3F-E975F0826B25}"/>
    <cellStyle name="Normal 2 7 2 15 3" xfId="7753" xr:uid="{27557321-3514-4002-871F-594A6E8844A0}"/>
    <cellStyle name="Normal 2 7 2 15 4" xfId="7754" xr:uid="{B054982D-C49F-40A7-8FF7-AFB0ACE7709D}"/>
    <cellStyle name="Normal 2 7 2 16" xfId="7755" xr:uid="{6E24333A-0D94-4E1E-9831-5294D53B6B95}"/>
    <cellStyle name="Normal 2 7 2 16 2" xfId="7756" xr:uid="{CA0DAA9E-4E70-45BE-892E-D094D0B6BFBC}"/>
    <cellStyle name="Normal 2 7 2 16 3" xfId="7757" xr:uid="{6F32E886-8442-4838-AEEB-79CB25D2C3B3}"/>
    <cellStyle name="Normal 2 7 2 16 4" xfId="7758" xr:uid="{F45F2730-0A95-4AC7-977F-586FDF210107}"/>
    <cellStyle name="Normal 2 7 2 17" xfId="7759" xr:uid="{F7F962D8-B22D-43C9-BFF4-120921B09503}"/>
    <cellStyle name="Normal 2 7 2 17 2" xfId="7760" xr:uid="{9CDC8F24-5DCB-4628-9D68-509F21EF12A3}"/>
    <cellStyle name="Normal 2 7 2 17 3" xfId="7761" xr:uid="{181BA65D-01D2-47DB-9619-7463CAA1D677}"/>
    <cellStyle name="Normal 2 7 2 17 4" xfId="7762" xr:uid="{A4FBB2A8-BB9D-4A49-B0E7-C25195CC1B3D}"/>
    <cellStyle name="Normal 2 7 2 18" xfId="7763" xr:uid="{EB5FBC6E-3A8F-4BD6-877C-3D1C7A32EDF9}"/>
    <cellStyle name="Normal 2 7 2 18 2" xfId="7764" xr:uid="{767F20F6-D7DA-491B-B06A-72174A03973C}"/>
    <cellStyle name="Normal 2 7 2 18 3" xfId="7765" xr:uid="{5D603825-EC21-47FE-93C3-B845A1889394}"/>
    <cellStyle name="Normal 2 7 2 18 4" xfId="7766" xr:uid="{369B9C00-C9B9-48D3-9E0A-28E7C44E7CE0}"/>
    <cellStyle name="Normal 2 7 2 19" xfId="7767" xr:uid="{50B00712-807F-402C-A66A-5C06D19D2BC8}"/>
    <cellStyle name="Normal 2 7 2 19 2" xfId="7768" xr:uid="{C1264A99-3B4E-4450-8030-F078A71A017D}"/>
    <cellStyle name="Normal 2 7 2 19 3" xfId="7769" xr:uid="{9899098B-BA99-47A3-A1AC-C0B6EA443158}"/>
    <cellStyle name="Normal 2 7 2 19 4" xfId="7770" xr:uid="{6BBC3709-DD72-49D3-836E-231238303F32}"/>
    <cellStyle name="Normal 2 7 2 2" xfId="7771" xr:uid="{9EEC8B23-BA10-4B83-82E3-57FCDC5486D4}"/>
    <cellStyle name="Normal 2 7 2 2 2" xfId="7772" xr:uid="{9DB349B0-EBD3-45B7-9CFD-819AA0A13A8D}"/>
    <cellStyle name="Normal 2 7 2 2 3" xfId="7773" xr:uid="{76A894CA-0002-4AF6-B9A7-A2D90BB636F5}"/>
    <cellStyle name="Normal 2 7 2 2 4" xfId="7774" xr:uid="{A19DD589-467B-4C46-A2A2-05C590C330F6}"/>
    <cellStyle name="Normal 2 7 2 20" xfId="7775" xr:uid="{6251E632-98E4-4D6D-A363-C3F2CEFDAF0A}"/>
    <cellStyle name="Normal 2 7 2 20 2" xfId="7776" xr:uid="{BDD79E52-B2F9-4441-AD50-55A3F632329D}"/>
    <cellStyle name="Normal 2 7 2 20 3" xfId="7777" xr:uid="{C6EEA32A-E35A-4D62-8506-A4B3EB7EF0A4}"/>
    <cellStyle name="Normal 2 7 2 20 4" xfId="7778" xr:uid="{7F5B1ECB-4AC6-4D90-BACE-2D2B052B9940}"/>
    <cellStyle name="Normal 2 7 2 21" xfId="7779" xr:uid="{80004432-464F-4DCF-B6D6-1C288E695B8C}"/>
    <cellStyle name="Normal 2 7 2 21 2" xfId="7780" xr:uid="{A9DC56DF-514F-4D52-BEDA-DBFD0D0A78FC}"/>
    <cellStyle name="Normal 2 7 2 21 3" xfId="7781" xr:uid="{88FF832D-351F-47F6-B6C0-F79BF575978D}"/>
    <cellStyle name="Normal 2 7 2 21 4" xfId="7782" xr:uid="{06222EEA-ED08-4E2E-ADFE-C25B8E94BC19}"/>
    <cellStyle name="Normal 2 7 2 22" xfId="7783" xr:uid="{16EE60DB-5379-46C4-BF8B-DBDB5E289997}"/>
    <cellStyle name="Normal 2 7 2 22 2" xfId="7784" xr:uid="{D2B7CCE3-2671-4050-9334-993253F96886}"/>
    <cellStyle name="Normal 2 7 2 22 3" xfId="7785" xr:uid="{17F544EE-FD43-4C33-81C8-39B1C16E694B}"/>
    <cellStyle name="Normal 2 7 2 22 4" xfId="7786" xr:uid="{3E33425D-6D80-4D16-ADCD-469F11DA35BD}"/>
    <cellStyle name="Normal 2 7 2 23" xfId="7787" xr:uid="{26D8F27D-05B5-4E7F-99FF-3811757CF3D7}"/>
    <cellStyle name="Normal 2 7 2 23 2" xfId="7788" xr:uid="{6E1799EC-61D1-4F37-8DDF-899846D078C7}"/>
    <cellStyle name="Normal 2 7 2 23 3" xfId="7789" xr:uid="{592470ED-8B40-4A92-8DD3-0F685FBE7D63}"/>
    <cellStyle name="Normal 2 7 2 23 4" xfId="7790" xr:uid="{DEDD51F1-D2B6-4FA6-A0E2-7D5CB5717891}"/>
    <cellStyle name="Normal 2 7 2 24" xfId="7791" xr:uid="{53CFA325-ECC9-4029-B79C-97EB226BAED2}"/>
    <cellStyle name="Normal 2 7 2 24 2" xfId="7792" xr:uid="{308EF365-BABA-4494-A54A-16A88B9D9A05}"/>
    <cellStyle name="Normal 2 7 2 24 3" xfId="7793" xr:uid="{27694E94-C112-411A-BE63-F2FD44D0683A}"/>
    <cellStyle name="Normal 2 7 2 24 4" xfId="7794" xr:uid="{F88A83C7-FEA3-4ED3-917D-4376F153CD8E}"/>
    <cellStyle name="Normal 2 7 2 25" xfId="7795" xr:uid="{738AC88E-06B7-4501-A0E0-D55A7ED32FA7}"/>
    <cellStyle name="Normal 2 7 2 25 2" xfId="7796" xr:uid="{D508A266-72CB-45CA-A7D4-CD378F1E78C7}"/>
    <cellStyle name="Normal 2 7 2 25 3" xfId="7797" xr:uid="{0934EF38-40A1-46FA-AB44-30D2A78B75A7}"/>
    <cellStyle name="Normal 2 7 2 25 4" xfId="7798" xr:uid="{CCAF9CC8-5088-4445-BF69-6F743972A5D8}"/>
    <cellStyle name="Normal 2 7 2 26" xfId="7799" xr:uid="{B23BD779-C58D-4721-B6AF-865A78AF1FA6}"/>
    <cellStyle name="Normal 2 7 2 26 2" xfId="7800" xr:uid="{51F68A49-22DC-416D-9B5F-E97B9BDC3015}"/>
    <cellStyle name="Normal 2 7 2 26 3" xfId="7801" xr:uid="{B380F26A-51EB-45DC-9BD2-BAB848455F75}"/>
    <cellStyle name="Normal 2 7 2 26 4" xfId="7802" xr:uid="{59E834F5-55DE-4467-A1AC-1E945F8117B1}"/>
    <cellStyle name="Normal 2 7 2 27" xfId="7803" xr:uid="{B6F97702-8B9A-42F6-957F-ACB7EA6E35B8}"/>
    <cellStyle name="Normal 2 7 2 27 2" xfId="7804" xr:uid="{87E3BA7C-B420-4579-B55D-3829DD749DF1}"/>
    <cellStyle name="Normal 2 7 2 27 3" xfId="7805" xr:uid="{73B32283-A3FF-4FCA-8AB7-931A7A8835CC}"/>
    <cellStyle name="Normal 2 7 2 27 4" xfId="7806" xr:uid="{E693B7A7-EDF8-4A49-B9D8-DC849970B766}"/>
    <cellStyle name="Normal 2 7 2 28" xfId="7807" xr:uid="{5435428D-5705-4DB7-9355-AD6668207C75}"/>
    <cellStyle name="Normal 2 7 2 28 2" xfId="7808" xr:uid="{C45DA8F7-A500-457E-AB58-21E51205C9F2}"/>
    <cellStyle name="Normal 2 7 2 28 3" xfId="7809" xr:uid="{CE5726AA-E780-44E7-A7B0-A539A2728BDD}"/>
    <cellStyle name="Normal 2 7 2 28 4" xfId="7810" xr:uid="{13D77BCD-409A-4EBD-B067-04B3A11D2532}"/>
    <cellStyle name="Normal 2 7 2 29" xfId="7811" xr:uid="{57483D79-6A5E-4EC7-8E9B-84AC1982017D}"/>
    <cellStyle name="Normal 2 7 2 29 2" xfId="7812" xr:uid="{A20999AB-0644-4C01-94A7-332A3A8422E9}"/>
    <cellStyle name="Normal 2 7 2 29 3" xfId="7813" xr:uid="{C45F9647-3002-4F3D-91A4-DA52F3658DF9}"/>
    <cellStyle name="Normal 2 7 2 29 4" xfId="7814" xr:uid="{2E7E3DB5-679A-42C0-9B98-203775DF1420}"/>
    <cellStyle name="Normal 2 7 2 3" xfId="7815" xr:uid="{2F97138C-17A3-4DB6-B735-6975B9C7D1A2}"/>
    <cellStyle name="Normal 2 7 2 3 2" xfId="7816" xr:uid="{2F52E91D-505A-4717-9B2C-F9FBE49E7893}"/>
    <cellStyle name="Normal 2 7 2 3 3" xfId="7817" xr:uid="{005F3E90-794C-48CD-8F04-B557EBF73C15}"/>
    <cellStyle name="Normal 2 7 2 3 4" xfId="7818" xr:uid="{FCC8F201-86B8-4137-8628-3A29E75DB63A}"/>
    <cellStyle name="Normal 2 7 2 30" xfId="7819" xr:uid="{0CDB0DB1-6A90-4B62-BC4F-88003ED4D5FB}"/>
    <cellStyle name="Normal 2 7 2 30 2" xfId="7820" xr:uid="{AA49F3E4-3078-4D40-B919-6012A6A9A4B2}"/>
    <cellStyle name="Normal 2 7 2 30 3" xfId="7821" xr:uid="{4629F4C5-75C7-46F0-92B6-8F21675277B0}"/>
    <cellStyle name="Normal 2 7 2 30 4" xfId="7822" xr:uid="{5BC685F6-B133-49AE-B4AE-07E90771C229}"/>
    <cellStyle name="Normal 2 7 2 31" xfId="7823" xr:uid="{3661B485-E490-47A4-ACBE-62534D878048}"/>
    <cellStyle name="Normal 2 7 2 31 2" xfId="7824" xr:uid="{5F0CD7A3-5D9D-4024-8546-6FA009A6D4E8}"/>
    <cellStyle name="Normal 2 7 2 31 3" xfId="7825" xr:uid="{216B3776-D390-4D41-ACEE-82BCCC238319}"/>
    <cellStyle name="Normal 2 7 2 31 4" xfId="7826" xr:uid="{80E1680C-C1EB-4BE7-959D-299EDB942C85}"/>
    <cellStyle name="Normal 2 7 2 32" xfId="7827" xr:uid="{B233C551-FF79-436C-99EF-D69ED6209446}"/>
    <cellStyle name="Normal 2 7 2 32 2" xfId="7828" xr:uid="{09CED846-24E3-4D7D-9086-57DACB43D2E8}"/>
    <cellStyle name="Normal 2 7 2 32 3" xfId="7829" xr:uid="{525E68BA-8005-4DE5-9172-3B31C25F85ED}"/>
    <cellStyle name="Normal 2 7 2 32 4" xfId="7830" xr:uid="{BCB03272-97DB-4D67-9F7B-95148BA832DF}"/>
    <cellStyle name="Normal 2 7 2 33" xfId="7831" xr:uid="{BDFA3AD5-4EFE-438D-8884-2DD06E5FD6C5}"/>
    <cellStyle name="Normal 2 7 2 33 2" xfId="7832" xr:uid="{2A53D3D4-0EC7-43FF-920A-1C3515332FEB}"/>
    <cellStyle name="Normal 2 7 2 33 3" xfId="7833" xr:uid="{8D9F4553-8068-41DA-BE3D-15343072AD81}"/>
    <cellStyle name="Normal 2 7 2 33 4" xfId="7834" xr:uid="{594C7C96-39BF-4797-8D07-98558C13B2D8}"/>
    <cellStyle name="Normal 2 7 2 34" xfId="7835" xr:uid="{5AABDEB0-659F-4257-847C-E11719D23A6F}"/>
    <cellStyle name="Normal 2 7 2 34 2" xfId="7836" xr:uid="{2E605524-F79B-4DD7-ABA9-CCE2E19D529C}"/>
    <cellStyle name="Normal 2 7 2 34 3" xfId="7837" xr:uid="{F090E382-E316-4A74-B3BC-6F8507497965}"/>
    <cellStyle name="Normal 2 7 2 34 4" xfId="7838" xr:uid="{C4FDB758-B989-4C48-B007-7257A9CE8ACF}"/>
    <cellStyle name="Normal 2 7 2 35" xfId="7839" xr:uid="{9A33C2A9-C297-4FE8-9A32-39A060D11F3A}"/>
    <cellStyle name="Normal 2 7 2 35 2" xfId="7840" xr:uid="{37364F10-6E7B-4ADF-AB6C-E65A9933437B}"/>
    <cellStyle name="Normal 2 7 2 35 3" xfId="7841" xr:uid="{416B8624-C4EE-4776-A0F1-E25330387F18}"/>
    <cellStyle name="Normal 2 7 2 35 4" xfId="7842" xr:uid="{00AE4BDB-CC45-4A1E-8759-2ACC860FA2EC}"/>
    <cellStyle name="Normal 2 7 2 36" xfId="7843" xr:uid="{97024A78-E0F6-4A8E-8296-3FABAFA4337A}"/>
    <cellStyle name="Normal 2 7 2 36 2" xfId="7844" xr:uid="{73E7DD55-EA7B-4DE1-BE95-21AEAC17D06E}"/>
    <cellStyle name="Normal 2 7 2 36 3" xfId="7845" xr:uid="{230738B8-98DF-4D94-8587-3651928351AF}"/>
    <cellStyle name="Normal 2 7 2 36 4" xfId="7846" xr:uid="{0508BFFE-B775-4A4B-B156-85EEB90A4CAF}"/>
    <cellStyle name="Normal 2 7 2 37" xfId="7847" xr:uid="{28798627-2089-44DC-BA4E-CC2D4ECBA7A2}"/>
    <cellStyle name="Normal 2 7 2 37 2" xfId="7848" xr:uid="{1CA436C1-AC25-47E7-858A-7769AAEC80A3}"/>
    <cellStyle name="Normal 2 7 2 37 3" xfId="7849" xr:uid="{82E4EC01-3A5A-4DB5-8F85-91920E9B2660}"/>
    <cellStyle name="Normal 2 7 2 37 4" xfId="7850" xr:uid="{B8747530-8688-45E2-B055-02DD22A2F809}"/>
    <cellStyle name="Normal 2 7 2 38" xfId="7851" xr:uid="{B6CA6E09-F860-455E-82F2-4145D4C64931}"/>
    <cellStyle name="Normal 2 7 2 38 2" xfId="7852" xr:uid="{B707610E-75B8-4EA5-B996-7597376757F4}"/>
    <cellStyle name="Normal 2 7 2 38 3" xfId="7853" xr:uid="{A98C5BDF-7E0D-4FFD-BA7A-7D8E64D3626C}"/>
    <cellStyle name="Normal 2 7 2 38 4" xfId="7854" xr:uid="{0BB9F2DD-F85C-4A4D-AEB4-85EBD7CE6EA6}"/>
    <cellStyle name="Normal 2 7 2 39" xfId="7855" xr:uid="{8D9B3AB7-B5F3-4823-935B-2278BE237269}"/>
    <cellStyle name="Normal 2 7 2 39 2" xfId="7856" xr:uid="{C42C4A2B-07B5-4437-927D-338B69AAA9B0}"/>
    <cellStyle name="Normal 2 7 2 39 3" xfId="7857" xr:uid="{07566784-C01B-4DBD-A677-A420AEA1B5ED}"/>
    <cellStyle name="Normal 2 7 2 39 4" xfId="7858" xr:uid="{FE458422-B576-4A34-9A26-D0C432D199FE}"/>
    <cellStyle name="Normal 2 7 2 4" xfId="7859" xr:uid="{F466D3E6-767F-46CB-9C62-B6046D7FAFBC}"/>
    <cellStyle name="Normal 2 7 2 4 2" xfId="7860" xr:uid="{A891208C-1AAF-47C6-95CA-D452162CD5FB}"/>
    <cellStyle name="Normal 2 7 2 4 3" xfId="7861" xr:uid="{2FF3BE10-AFD1-44E8-A56C-224953928D24}"/>
    <cellStyle name="Normal 2 7 2 4 4" xfId="7862" xr:uid="{FB90E13A-6738-4653-B77F-1FDCBBC5B828}"/>
    <cellStyle name="Normal 2 7 2 40" xfId="7863" xr:uid="{85527D93-A33B-473B-9836-4D03B33CC12E}"/>
    <cellStyle name="Normal 2 7 2 40 2" xfId="7864" xr:uid="{C2AE6FBD-DE9F-4AE1-80CA-A248102C4842}"/>
    <cellStyle name="Normal 2 7 2 40 3" xfId="7865" xr:uid="{18E2A457-2A82-48CF-BE29-549892579DEA}"/>
    <cellStyle name="Normal 2 7 2 40 4" xfId="7866" xr:uid="{CF3DD673-C49E-4CB9-84B8-EC55C58710CA}"/>
    <cellStyle name="Normal 2 7 2 41" xfId="7867" xr:uid="{3E75EEFB-C496-4599-8196-A409B566B8DA}"/>
    <cellStyle name="Normal 2 7 2 41 2" xfId="7868" xr:uid="{3AC56F79-D546-495A-AE33-1935780802D1}"/>
    <cellStyle name="Normal 2 7 2 41 3" xfId="7869" xr:uid="{7F77081E-6935-4382-A536-909C2BB251D5}"/>
    <cellStyle name="Normal 2 7 2 41 4" xfId="7870" xr:uid="{18F30EE0-4F5A-4404-9A50-579F7EE1499B}"/>
    <cellStyle name="Normal 2 7 2 42" xfId="7871" xr:uid="{4E64E731-FBB6-4BDB-94B0-261294722742}"/>
    <cellStyle name="Normal 2 7 2 42 2" xfId="7872" xr:uid="{E11084C9-6A95-4853-9CA7-7DE1554E431D}"/>
    <cellStyle name="Normal 2 7 2 42 3" xfId="7873" xr:uid="{5BED8E5B-87D0-41BD-962A-BE5A3CBF1EB4}"/>
    <cellStyle name="Normal 2 7 2 42 4" xfId="7874" xr:uid="{CAE1C1A7-E38A-4C04-9596-8C124F7D5120}"/>
    <cellStyle name="Normal 2 7 2 43" xfId="7875" xr:uid="{D9D9A1F4-4F1D-4F18-BDF9-E5B813B2953F}"/>
    <cellStyle name="Normal 2 7 2 43 2" xfId="7876" xr:uid="{4611F8DD-F98E-4F25-915A-2AB19146AD51}"/>
    <cellStyle name="Normal 2 7 2 43 3" xfId="7877" xr:uid="{347C12C1-F639-45B2-BD9B-6CA0CCD6D3ED}"/>
    <cellStyle name="Normal 2 7 2 43 4" xfId="7878" xr:uid="{83B17A1B-B65F-4EB2-B31A-E249FF9DA8D1}"/>
    <cellStyle name="Normal 2 7 2 44" xfId="7879" xr:uid="{51DCBCF8-5E6F-46C0-847B-C700987F7152}"/>
    <cellStyle name="Normal 2 7 2 44 2" xfId="7880" xr:uid="{47A6B9F2-F6F1-4F82-B00F-65EFBBCDF396}"/>
    <cellStyle name="Normal 2 7 2 44 3" xfId="7881" xr:uid="{3F3A04DC-1CD6-4CBD-AEC6-4B76C93B0DC3}"/>
    <cellStyle name="Normal 2 7 2 44 4" xfId="7882" xr:uid="{43EE92E2-CC52-4BE5-A508-B455D9EC13A3}"/>
    <cellStyle name="Normal 2 7 2 45" xfId="7883" xr:uid="{6A8301A7-CEFE-467D-892C-C5E03E99D173}"/>
    <cellStyle name="Normal 2 7 2 45 2" xfId="7884" xr:uid="{3ADB95BA-558D-4F52-9EAD-EFF9A7F4419E}"/>
    <cellStyle name="Normal 2 7 2 45 3" xfId="7885" xr:uid="{B5F48201-02C1-4309-8508-5FE9EE809523}"/>
    <cellStyle name="Normal 2 7 2 45 4" xfId="7886" xr:uid="{12A88DDA-1CD4-4FE3-ACE5-723BEED7F6F1}"/>
    <cellStyle name="Normal 2 7 2 46" xfId="7887" xr:uid="{4279F288-0672-4138-A6C5-CFEBB0ECBF4A}"/>
    <cellStyle name="Normal 2 7 2 46 2" xfId="7888" xr:uid="{3097F472-A734-452A-BFB1-90D31F391A6D}"/>
    <cellStyle name="Normal 2 7 2 46 3" xfId="7889" xr:uid="{F3BA8A80-E543-444B-8161-B7B3D3B1F38F}"/>
    <cellStyle name="Normal 2 7 2 46 4" xfId="7890" xr:uid="{203D1FC6-2567-40B3-A560-A5B398491818}"/>
    <cellStyle name="Normal 2 7 2 47" xfId="7891" xr:uid="{79EB948C-365B-4EC2-9992-B5543408397B}"/>
    <cellStyle name="Normal 2 7 2 47 2" xfId="7892" xr:uid="{9789C25F-7F9D-4F12-990C-30FA992605C0}"/>
    <cellStyle name="Normal 2 7 2 47 3" xfId="7893" xr:uid="{4EE02A83-A974-43B7-832F-8EFF2D305E13}"/>
    <cellStyle name="Normal 2 7 2 47 4" xfId="7894" xr:uid="{297EB2AD-0D5E-4087-9131-5560AC986B81}"/>
    <cellStyle name="Normal 2 7 2 48" xfId="7895" xr:uid="{904266F8-AC65-4B44-8A82-2FC822676D1D}"/>
    <cellStyle name="Normal 2 7 2 48 2" xfId="7896" xr:uid="{ACB291FA-534C-4029-831D-848CB9D5D3B1}"/>
    <cellStyle name="Normal 2 7 2 48 3" xfId="7897" xr:uid="{62E1DC49-6CC1-47BD-8447-1632CD0AEEED}"/>
    <cellStyle name="Normal 2 7 2 48 4" xfId="7898" xr:uid="{FBA91DB4-E846-42A1-A613-65D7271F3182}"/>
    <cellStyle name="Normal 2 7 2 49" xfId="7899" xr:uid="{B133016E-1367-443F-A879-A1EE7249536D}"/>
    <cellStyle name="Normal 2 7 2 49 2" xfId="7900" xr:uid="{FE6FFE62-E6EE-4D23-A6FF-3528EDA4DC64}"/>
    <cellStyle name="Normal 2 7 2 49 3" xfId="7901" xr:uid="{2DDDC32A-2C13-4321-AE24-68599D0D0616}"/>
    <cellStyle name="Normal 2 7 2 49 4" xfId="7902" xr:uid="{D28878AF-7409-428F-83CB-8114378A2C06}"/>
    <cellStyle name="Normal 2 7 2 5" xfId="7903" xr:uid="{B8368689-3C97-4929-B862-969C2F1680F9}"/>
    <cellStyle name="Normal 2 7 2 5 2" xfId="7904" xr:uid="{B3518BDB-5317-4ABA-AFB8-F73ED05A88AA}"/>
    <cellStyle name="Normal 2 7 2 5 3" xfId="7905" xr:uid="{DAE04C35-AFF8-483E-8946-221319DE2E8C}"/>
    <cellStyle name="Normal 2 7 2 5 4" xfId="7906" xr:uid="{9370CB6F-3EBC-45AE-90E6-F4027C9FB893}"/>
    <cellStyle name="Normal 2 7 2 50" xfId="7907" xr:uid="{4CC6E438-40C8-4CE6-9FF7-F51461C62679}"/>
    <cellStyle name="Normal 2 7 2 50 2" xfId="7908" xr:uid="{DC622C1D-2B2B-4EF3-8A42-E03B23DB381D}"/>
    <cellStyle name="Normal 2 7 2 50 3" xfId="7909" xr:uid="{D8763F30-8CFA-4B29-944B-25B5A1661ACF}"/>
    <cellStyle name="Normal 2 7 2 50 4" xfId="7910" xr:uid="{E5966BED-3FCD-45F1-AA41-1D3E7CE53EAF}"/>
    <cellStyle name="Normal 2 7 2 51" xfId="7911" xr:uid="{9DA4F0E0-D18E-4B0F-9120-CDF28EEA0D41}"/>
    <cellStyle name="Normal 2 7 2 51 2" xfId="7912" xr:uid="{685EDEA6-6D74-4099-A4E7-D7466E042712}"/>
    <cellStyle name="Normal 2 7 2 51 3" xfId="7913" xr:uid="{15AA6A70-BFAD-4D27-97BC-8FA9C43460E7}"/>
    <cellStyle name="Normal 2 7 2 51 4" xfId="7914" xr:uid="{6B5B538C-337D-44E4-A8AE-F6EBACA0BF6E}"/>
    <cellStyle name="Normal 2 7 2 52" xfId="7915" xr:uid="{82B42C34-4E8B-4EB5-AC4A-CBB84EB6090E}"/>
    <cellStyle name="Normal 2 7 2 52 2" xfId="7916" xr:uid="{80009960-E8C9-4793-B766-0672A1C0D10E}"/>
    <cellStyle name="Normal 2 7 2 52 3" xfId="7917" xr:uid="{0FF44D24-2FB6-44D6-8189-36ACC898E705}"/>
    <cellStyle name="Normal 2 7 2 52 4" xfId="7918" xr:uid="{AE83C749-6783-41ED-B76B-240FE827738C}"/>
    <cellStyle name="Normal 2 7 2 53" xfId="7919" xr:uid="{D0E351C9-C43A-43F5-8D0E-CF1FC1346E62}"/>
    <cellStyle name="Normal 2 7 2 53 2" xfId="7920" xr:uid="{18F7C2EE-1373-453D-9559-9F811872906F}"/>
    <cellStyle name="Normal 2 7 2 53 3" xfId="7921" xr:uid="{D2090ABF-F9DD-42BA-9DDE-C9E1C500AE11}"/>
    <cellStyle name="Normal 2 7 2 53 4" xfId="7922" xr:uid="{90823D66-D5F4-476C-898A-DE8F3789C14B}"/>
    <cellStyle name="Normal 2 7 2 54" xfId="7923" xr:uid="{C0709A47-7DBB-4CAC-892E-943E2534F6B1}"/>
    <cellStyle name="Normal 2 7 2 54 2" xfId="7924" xr:uid="{A2F446EF-E9F7-4E0A-B00A-EA1D009FE60E}"/>
    <cellStyle name="Normal 2 7 2 54 3" xfId="7925" xr:uid="{C8331133-DC5C-42C9-9424-EFA6B70BEB89}"/>
    <cellStyle name="Normal 2 7 2 54 4" xfId="7926" xr:uid="{AD44B9D2-8805-4990-B9FD-6A57EA6D341B}"/>
    <cellStyle name="Normal 2 7 2 55" xfId="7927" xr:uid="{FA10DD10-EF72-4C43-9CE5-15BBC750C7D4}"/>
    <cellStyle name="Normal 2 7 2 55 2" xfId="7928" xr:uid="{ADD41015-48D1-49E6-B1F4-87997DD9FD4B}"/>
    <cellStyle name="Normal 2 7 2 55 3" xfId="7929" xr:uid="{5B3AC175-E71D-4337-8749-2F01D7AE7544}"/>
    <cellStyle name="Normal 2 7 2 55 4" xfId="7930" xr:uid="{BF910518-076E-41C6-A0AD-9E53D1B316A1}"/>
    <cellStyle name="Normal 2 7 2 56" xfId="7931" xr:uid="{7BB4CDF5-CB3D-4C2F-B350-C30441CE54B7}"/>
    <cellStyle name="Normal 2 7 2 56 2" xfId="7932" xr:uid="{6DAAE88E-0490-489A-826F-E1F8565E7E19}"/>
    <cellStyle name="Normal 2 7 2 56 3" xfId="7933" xr:uid="{C63F5EB9-6306-4352-BE0A-C007CFF56947}"/>
    <cellStyle name="Normal 2 7 2 56 4" xfId="7934" xr:uid="{5B41D71A-737B-49FD-ABDD-101407DD115F}"/>
    <cellStyle name="Normal 2 7 2 57" xfId="7935" xr:uid="{ACF641EF-308B-4825-B9FB-AFD53DCC6243}"/>
    <cellStyle name="Normal 2 7 2 57 2" xfId="7936" xr:uid="{5ACDB8E0-684E-4A32-BCE3-94DD5D257D49}"/>
    <cellStyle name="Normal 2 7 2 57 3" xfId="7937" xr:uid="{57A994BF-96C8-4AF3-BF56-F5CC7421A9AC}"/>
    <cellStyle name="Normal 2 7 2 57 4" xfId="7938" xr:uid="{8CF80D56-179C-432D-A704-6986853F0B48}"/>
    <cellStyle name="Normal 2 7 2 58" xfId="7939" xr:uid="{9729C03C-3038-47F6-9BC9-C64D1DCC5D4B}"/>
    <cellStyle name="Normal 2 7 2 59" xfId="7940" xr:uid="{743BCAB1-E590-4C08-B1AF-8471F166EA22}"/>
    <cellStyle name="Normal 2 7 2 6" xfId="7941" xr:uid="{73DEF4D8-AADD-4DDD-B2D1-99C6D012487C}"/>
    <cellStyle name="Normal 2 7 2 6 2" xfId="7942" xr:uid="{F9849EB7-19D5-4EAA-9B39-5D1472C8E7CB}"/>
    <cellStyle name="Normal 2 7 2 6 3" xfId="7943" xr:uid="{2D159B0B-0EA0-4440-A219-596512A784A5}"/>
    <cellStyle name="Normal 2 7 2 6 4" xfId="7944" xr:uid="{70B838F5-B6EF-4915-BBBD-587DE9ECE5A1}"/>
    <cellStyle name="Normal 2 7 2 60" xfId="7945" xr:uid="{4FAC0D14-60E8-481F-87FF-1B69EF87613F}"/>
    <cellStyle name="Normal 2 7 2 7" xfId="7946" xr:uid="{4583391A-56B7-4FD0-899D-68B881FEF5AB}"/>
    <cellStyle name="Normal 2 7 2 7 2" xfId="7947" xr:uid="{E1C3F8B7-145C-423C-A194-EAB722930919}"/>
    <cellStyle name="Normal 2 7 2 7 3" xfId="7948" xr:uid="{347502F2-844C-4215-8A04-F7FEE20F7B34}"/>
    <cellStyle name="Normal 2 7 2 7 4" xfId="7949" xr:uid="{0198C726-85F1-49BF-9095-76E61B28DE67}"/>
    <cellStyle name="Normal 2 7 2 8" xfId="7950" xr:uid="{65272610-0843-49A5-9F2B-83E98EDC9A01}"/>
    <cellStyle name="Normal 2 7 2 8 2" xfId="7951" xr:uid="{92318433-679E-48BA-ACE8-5059CF3CDC6A}"/>
    <cellStyle name="Normal 2 7 2 8 3" xfId="7952" xr:uid="{0836EFBF-1A3F-499B-A7E8-BC207B49E8C4}"/>
    <cellStyle name="Normal 2 7 2 8 4" xfId="7953" xr:uid="{AF4CE847-973D-4E07-A9A8-C246D5B6A421}"/>
    <cellStyle name="Normal 2 7 2 9" xfId="7954" xr:uid="{2207FE40-D4EF-4255-977E-C046A683A9F0}"/>
    <cellStyle name="Normal 2 7 2 9 2" xfId="7955" xr:uid="{0B295EDD-C7F8-4476-A06D-4975EF9731E7}"/>
    <cellStyle name="Normal 2 7 2 9 3" xfId="7956" xr:uid="{71851E62-4CD4-44A8-9C21-A0A819CC67ED}"/>
    <cellStyle name="Normal 2 7 2 9 4" xfId="7957" xr:uid="{2C50B22F-BF49-4795-BA13-D1860C53D838}"/>
    <cellStyle name="Normal 2 7 20" xfId="7958" xr:uid="{E64F8DB8-EDD0-45C3-8741-6BA7D730F0CE}"/>
    <cellStyle name="Normal 2 7 20 2" xfId="7959" xr:uid="{C70C8A86-F2C9-40F5-A419-CF76316894EF}"/>
    <cellStyle name="Normal 2 7 20 2 2" xfId="7960" xr:uid="{DC32F3D8-B782-44B7-88CB-C100289C2D43}"/>
    <cellStyle name="Normal 2 7 20 2 2 2" xfId="16558" xr:uid="{3BF767C1-B3FD-4E1B-8B89-F645A259B1AE}"/>
    <cellStyle name="Normal 2 7 20 2 3" xfId="7961" xr:uid="{DF345577-ACFD-44C2-B39A-6BA40A5E5086}"/>
    <cellStyle name="Normal 2 7 20 2 3 2" xfId="16559" xr:uid="{FF03A73A-4379-43E1-99E0-A9EB7D203BF2}"/>
    <cellStyle name="Normal 2 7 20 2 4" xfId="16557" xr:uid="{461C9C5C-56E3-469C-ABD7-75B71E99AF96}"/>
    <cellStyle name="Normal 2 7 20 3" xfId="7962" xr:uid="{F3D2BDDD-E3A3-4B6B-94C3-59D9E93BC941}"/>
    <cellStyle name="Normal 2 7 20 3 2" xfId="16560" xr:uid="{B9D7F8C5-EC63-4376-937F-5CF76744FE01}"/>
    <cellStyle name="Normal 2 7 20 4" xfId="7963" xr:uid="{449DB06D-4104-481E-9433-359F5FBE1929}"/>
    <cellStyle name="Normal 2 7 20 4 2" xfId="16561" xr:uid="{01876D79-2736-4D2B-8ADF-6A21CCA60963}"/>
    <cellStyle name="Normal 2 7 20 5" xfId="16556" xr:uid="{5C3D6F5A-D7A0-4A79-A4A4-9D1770710A66}"/>
    <cellStyle name="Normal 2 7 21" xfId="7964" xr:uid="{D6457CB5-0DB0-46D2-B458-FD29CA9B1F52}"/>
    <cellStyle name="Normal 2 7 21 2" xfId="7965" xr:uid="{38D6767E-1E5B-4F98-B109-73373078C95E}"/>
    <cellStyle name="Normal 2 7 21 2 2" xfId="7966" xr:uid="{68A6A5AA-1F70-4B50-BBD0-4E2DD2D85987}"/>
    <cellStyle name="Normal 2 7 21 2 2 2" xfId="16564" xr:uid="{F533A5BB-814F-4953-8403-A2AA35843BC8}"/>
    <cellStyle name="Normal 2 7 21 2 3" xfId="7967" xr:uid="{6C06AA8C-2BE5-434D-BC23-C353577403B8}"/>
    <cellStyle name="Normal 2 7 21 2 3 2" xfId="16565" xr:uid="{4FAF5BA1-1F58-4245-9EA4-261D6BCDD9E8}"/>
    <cellStyle name="Normal 2 7 21 2 4" xfId="16563" xr:uid="{278F76FF-8954-4AB1-A088-A1B4D546FBCC}"/>
    <cellStyle name="Normal 2 7 21 3" xfId="7968" xr:uid="{97D72C58-3042-41F5-AC89-FF43143F5AB5}"/>
    <cellStyle name="Normal 2 7 21 3 2" xfId="16566" xr:uid="{FA7D295C-3D81-4723-989F-3303BF4608B9}"/>
    <cellStyle name="Normal 2 7 21 4" xfId="7969" xr:uid="{46593F44-2875-42FB-B186-F7A27AD1C057}"/>
    <cellStyle name="Normal 2 7 21 4 2" xfId="16567" xr:uid="{9379DD9A-8CF6-43F0-83E8-379546050FE3}"/>
    <cellStyle name="Normal 2 7 21 5" xfId="16562" xr:uid="{07865E0D-AF59-421E-BBB6-54F91A505E49}"/>
    <cellStyle name="Normal 2 7 22" xfId="7970" xr:uid="{05B24701-7026-4917-A87F-829FBB36B5EC}"/>
    <cellStyle name="Normal 2 7 22 2" xfId="7971" xr:uid="{556343BD-9E4F-4252-8C3F-AA84C7F46BF8}"/>
    <cellStyle name="Normal 2 7 22 2 2" xfId="7972" xr:uid="{9BBC0D3A-CAEF-44E4-B8D9-4AAA2D43CF3E}"/>
    <cellStyle name="Normal 2 7 22 2 2 2" xfId="16570" xr:uid="{5F16266E-F482-4615-9507-1CD6BDD22931}"/>
    <cellStyle name="Normal 2 7 22 2 3" xfId="7973" xr:uid="{F773890E-EFED-439D-8C8A-CBA04BBB5D53}"/>
    <cellStyle name="Normal 2 7 22 2 3 2" xfId="16571" xr:uid="{1E583BB9-566E-4C1A-848C-DC8DB1DBC815}"/>
    <cellStyle name="Normal 2 7 22 2 4" xfId="16569" xr:uid="{1ADCA44A-715A-4B6D-B46B-7832E095F173}"/>
    <cellStyle name="Normal 2 7 22 3" xfId="7974" xr:uid="{ED3BCA5B-263C-4319-87A3-C644334C1983}"/>
    <cellStyle name="Normal 2 7 22 3 2" xfId="16572" xr:uid="{2E060F50-9A10-43CF-B7DA-EFB7CE83C00A}"/>
    <cellStyle name="Normal 2 7 22 4" xfId="7975" xr:uid="{54A99B3E-6B6D-43B3-898A-22CDE34C7366}"/>
    <cellStyle name="Normal 2 7 22 4 2" xfId="16573" xr:uid="{6774A893-C35C-4014-9C61-FB8AAF6DE119}"/>
    <cellStyle name="Normal 2 7 22 5" xfId="16568" xr:uid="{E54D186F-9391-437B-8611-6C14A9B2A5DC}"/>
    <cellStyle name="Normal 2 7 23" xfId="7976" xr:uid="{7D7B663B-9675-4CD3-A287-438D079A1A83}"/>
    <cellStyle name="Normal 2 7 23 2" xfId="7977" xr:uid="{7E4D8951-5AD7-429B-9DA9-B32839657F0E}"/>
    <cellStyle name="Normal 2 7 23 2 2" xfId="7978" xr:uid="{8303E091-A66C-4474-B39A-4E0ABC5459D8}"/>
    <cellStyle name="Normal 2 7 23 2 2 2" xfId="16576" xr:uid="{7D23E76B-D3F8-40A7-BC21-5BD4F579268A}"/>
    <cellStyle name="Normal 2 7 23 2 3" xfId="7979" xr:uid="{B474F709-A100-41C9-83C3-29335AB50BE6}"/>
    <cellStyle name="Normal 2 7 23 2 3 2" xfId="16577" xr:uid="{3B2B0151-BBF3-4A23-A612-24593B11EBA4}"/>
    <cellStyle name="Normal 2 7 23 2 4" xfId="16575" xr:uid="{538DAAC1-CA50-4424-B632-AC199E833A5F}"/>
    <cellStyle name="Normal 2 7 23 3" xfId="7980" xr:uid="{D7905235-2C7F-4454-8AE6-787AC6EE7D89}"/>
    <cellStyle name="Normal 2 7 23 3 2" xfId="16578" xr:uid="{1A152288-EA56-4969-B5C1-4460F3827CB0}"/>
    <cellStyle name="Normal 2 7 23 4" xfId="7981" xr:uid="{DF476AA3-8555-44B4-8513-E1DB6AE0B550}"/>
    <cellStyle name="Normal 2 7 23 4 2" xfId="16579" xr:uid="{B04DC083-62AC-413D-A845-E6A55EE38E21}"/>
    <cellStyle name="Normal 2 7 23 5" xfId="16574" xr:uid="{13C0943E-3E24-4312-B0F4-39DFAAC1B13F}"/>
    <cellStyle name="Normal 2 7 24" xfId="7982" xr:uid="{FB489968-A1C7-4B88-A00A-E801D3110727}"/>
    <cellStyle name="Normal 2 7 24 2" xfId="7983" xr:uid="{B795CFE8-D2C2-4196-BA9D-4A7BFE1EEC0E}"/>
    <cellStyle name="Normal 2 7 24 2 2" xfId="7984" xr:uid="{01C38F8F-0FEE-4FBF-AAEA-AAD4A649675F}"/>
    <cellStyle name="Normal 2 7 24 2 2 2" xfId="16582" xr:uid="{8A702815-D2A1-42C4-87D5-746670FB1A2F}"/>
    <cellStyle name="Normal 2 7 24 2 3" xfId="7985" xr:uid="{1688C5D7-3FC1-4A9C-87B2-73A13889E167}"/>
    <cellStyle name="Normal 2 7 24 2 3 2" xfId="16583" xr:uid="{42BF049F-9F30-4CED-B709-748D65F7D965}"/>
    <cellStyle name="Normal 2 7 24 2 4" xfId="16581" xr:uid="{5E7B3AE9-F161-483A-8309-8206A0DDA5B8}"/>
    <cellStyle name="Normal 2 7 24 3" xfId="7986" xr:uid="{48DE157A-C69C-4E93-96FF-FD4AABA49823}"/>
    <cellStyle name="Normal 2 7 24 3 2" xfId="16584" xr:uid="{92127DD6-072A-4C7D-83DF-4ADB00C7B5C4}"/>
    <cellStyle name="Normal 2 7 24 4" xfId="7987" xr:uid="{AAA559CB-03E2-4649-A55C-2E2CEF904FFB}"/>
    <cellStyle name="Normal 2 7 24 4 2" xfId="16585" xr:uid="{4796317D-882F-4E37-ABA7-73DBA2533806}"/>
    <cellStyle name="Normal 2 7 24 5" xfId="16580" xr:uid="{D6CE13E8-4CAB-45B7-AA97-E456F4B86ACA}"/>
    <cellStyle name="Normal 2 7 25" xfId="7988" xr:uid="{15028F04-342F-45A1-8D83-268C1BBDF16A}"/>
    <cellStyle name="Normal 2 7 25 2" xfId="7989" xr:uid="{01B346EA-6571-440A-A890-6F0AD8F2B89C}"/>
    <cellStyle name="Normal 2 7 25 2 2" xfId="7990" xr:uid="{711A4DE6-6C9D-475A-BB53-8B8CD98597AE}"/>
    <cellStyle name="Normal 2 7 25 2 2 2" xfId="16588" xr:uid="{AF71F3BD-2FE5-4074-997B-ED958B10CE99}"/>
    <cellStyle name="Normal 2 7 25 2 3" xfId="7991" xr:uid="{1EDFCFF1-FF6F-486E-BEE0-E7F1FD14B401}"/>
    <cellStyle name="Normal 2 7 25 2 3 2" xfId="16589" xr:uid="{927D773F-9FEA-4E3C-8BCF-4CE9EDED4C1F}"/>
    <cellStyle name="Normal 2 7 25 2 4" xfId="16587" xr:uid="{92319CF5-A965-4A1B-9FF0-74BE0743D3B1}"/>
    <cellStyle name="Normal 2 7 25 3" xfId="7992" xr:uid="{BF8AC585-3FF2-4D3B-8031-02B2F5759C0A}"/>
    <cellStyle name="Normal 2 7 25 3 2" xfId="16590" xr:uid="{0EB99553-1007-49FC-BC94-487443A45804}"/>
    <cellStyle name="Normal 2 7 25 4" xfId="7993" xr:uid="{3F942861-695D-4611-ACF8-B1B9691D615D}"/>
    <cellStyle name="Normal 2 7 25 4 2" xfId="16591" xr:uid="{F5C2564D-93F8-4B62-A97A-DB0580E83236}"/>
    <cellStyle name="Normal 2 7 25 5" xfId="16586" xr:uid="{FC84108B-B2BF-4333-BAA4-2240E2B8AD60}"/>
    <cellStyle name="Normal 2 7 26" xfId="7994" xr:uid="{F5CE2028-DC51-4FF0-BB13-4FBBF1FA36B8}"/>
    <cellStyle name="Normal 2 7 26 2" xfId="7995" xr:uid="{8AC3BCB5-15E6-41A0-B2A6-8A236FEA579F}"/>
    <cellStyle name="Normal 2 7 26 2 2" xfId="7996" xr:uid="{F79CE397-C5CE-49EA-AFB9-B39731A1C1A0}"/>
    <cellStyle name="Normal 2 7 26 2 2 2" xfId="16594" xr:uid="{7FEEC270-ECBE-4B74-B5E9-CF74C6018616}"/>
    <cellStyle name="Normal 2 7 26 2 3" xfId="7997" xr:uid="{C6DF664F-51FA-49BB-A686-8FE45748B45D}"/>
    <cellStyle name="Normal 2 7 26 2 3 2" xfId="16595" xr:uid="{F52AFD4B-0B0F-4E3C-84C9-BACE5B960EF0}"/>
    <cellStyle name="Normal 2 7 26 2 4" xfId="16593" xr:uid="{0F8ACF5F-536A-417B-9180-B46AFB572E5F}"/>
    <cellStyle name="Normal 2 7 26 3" xfId="7998" xr:uid="{E87014FF-2625-4E0D-91C0-C27664B56DD5}"/>
    <cellStyle name="Normal 2 7 26 3 2" xfId="16596" xr:uid="{D0BF42A2-6DC3-4B8D-BCF3-4D7FFF120C7B}"/>
    <cellStyle name="Normal 2 7 26 4" xfId="7999" xr:uid="{F4222CFE-D96D-4EB8-BF11-B93C19124170}"/>
    <cellStyle name="Normal 2 7 26 4 2" xfId="16597" xr:uid="{0BE16A57-FCDD-4FE6-BD40-B7C0907289D6}"/>
    <cellStyle name="Normal 2 7 26 5" xfId="16592" xr:uid="{ECC41231-EDD2-4284-8FA7-D18AC83CD121}"/>
    <cellStyle name="Normal 2 7 27" xfId="8000" xr:uid="{C7504D52-53B0-4D44-A714-C901DAD89F63}"/>
    <cellStyle name="Normal 2 7 27 2" xfId="8001" xr:uid="{07197B80-0600-481F-BB6B-F262D6F757F3}"/>
    <cellStyle name="Normal 2 7 27 2 2" xfId="8002" xr:uid="{34963F9E-2D11-40CE-ABC2-9AA78FF15442}"/>
    <cellStyle name="Normal 2 7 27 2 2 2" xfId="16600" xr:uid="{6B0E3725-75D2-4E2B-ADC6-A7E5758AD6F4}"/>
    <cellStyle name="Normal 2 7 27 2 3" xfId="8003" xr:uid="{F6D20915-1838-46EB-B6AC-9027331658C0}"/>
    <cellStyle name="Normal 2 7 27 2 3 2" xfId="16601" xr:uid="{27328132-84F2-4293-8215-551DBCF05F25}"/>
    <cellStyle name="Normal 2 7 27 2 4" xfId="16599" xr:uid="{D2E0E7AB-6A97-49D8-B6F1-E4C7969DD7E4}"/>
    <cellStyle name="Normal 2 7 27 3" xfId="8004" xr:uid="{E51F350A-79BF-4FD3-B4B2-838111253F84}"/>
    <cellStyle name="Normal 2 7 27 3 2" xfId="16602" xr:uid="{DBC8A0D0-3122-44DA-A09D-4433D08C4CE1}"/>
    <cellStyle name="Normal 2 7 27 4" xfId="8005" xr:uid="{D63A1830-EADA-4FD5-9564-890873C973B9}"/>
    <cellStyle name="Normal 2 7 27 4 2" xfId="16603" xr:uid="{B931A098-F2C6-419E-B255-91F0E84C8002}"/>
    <cellStyle name="Normal 2 7 27 5" xfId="16598" xr:uid="{9D89E43E-4FC5-4D8C-A80E-760ADCC19D51}"/>
    <cellStyle name="Normal 2 7 28" xfId="8006" xr:uid="{131910F0-8AF0-4DCA-BB13-4957E8E4B13C}"/>
    <cellStyle name="Normal 2 7 28 2" xfId="8007" xr:uid="{99DF96F4-00CA-4110-9DA2-68316E44227E}"/>
    <cellStyle name="Normal 2 7 28 2 2" xfId="8008" xr:uid="{6AA0CA20-4366-4CB0-A510-3868DA29DE4C}"/>
    <cellStyle name="Normal 2 7 28 2 2 2" xfId="16606" xr:uid="{3A3D233A-7A83-46E4-A7F6-AB99295631F6}"/>
    <cellStyle name="Normal 2 7 28 2 3" xfId="8009" xr:uid="{D9D004DC-2984-4A59-90CA-89A44F905086}"/>
    <cellStyle name="Normal 2 7 28 2 3 2" xfId="16607" xr:uid="{DD58B507-A2B1-46BD-8586-CEBF2DB0F4C6}"/>
    <cellStyle name="Normal 2 7 28 2 4" xfId="16605" xr:uid="{C8A02526-6CE3-4078-9119-9BC36EC007E9}"/>
    <cellStyle name="Normal 2 7 28 3" xfId="8010" xr:uid="{8F3E3B87-AD36-4015-8A13-369D7553F7E1}"/>
    <cellStyle name="Normal 2 7 28 3 2" xfId="16608" xr:uid="{EB5491B0-EEC7-43DD-9C4D-4C8B62DD5343}"/>
    <cellStyle name="Normal 2 7 28 4" xfId="8011" xr:uid="{F57C5F02-69E0-4BFD-9E7A-1B976E4634FA}"/>
    <cellStyle name="Normal 2 7 28 4 2" xfId="16609" xr:uid="{E6BE28F0-CD7F-4E1A-B78B-E11D4A3FD8D2}"/>
    <cellStyle name="Normal 2 7 28 5" xfId="16604" xr:uid="{1CFC5F68-0B1C-42B8-8DE4-8B90CD6F7116}"/>
    <cellStyle name="Normal 2 7 29" xfId="8012" xr:uid="{8DFCCF9C-BEA1-4E9C-80BD-9384275ED26F}"/>
    <cellStyle name="Normal 2 7 29 2" xfId="8013" xr:uid="{3DE202D4-B6C5-43AE-88E2-BA52875EB5EF}"/>
    <cellStyle name="Normal 2 7 29 2 2" xfId="8014" xr:uid="{36706A84-DE34-4441-B225-CC7CB3BC8890}"/>
    <cellStyle name="Normal 2 7 29 2 2 2" xfId="16612" xr:uid="{AB08B32B-BF65-4F39-8001-E9DDD5DD0809}"/>
    <cellStyle name="Normal 2 7 29 2 3" xfId="8015" xr:uid="{3674D4BB-B703-46F8-9F17-8D427F93FBFC}"/>
    <cellStyle name="Normal 2 7 29 2 3 2" xfId="16613" xr:uid="{13C73DC0-77A8-42C6-AC96-6D431EAAA89A}"/>
    <cellStyle name="Normal 2 7 29 2 4" xfId="16611" xr:uid="{4BFA376A-4C72-4D1F-97F3-EE864BDAEDC6}"/>
    <cellStyle name="Normal 2 7 29 3" xfId="8016" xr:uid="{3476F762-724E-4546-BF29-789CFD853D48}"/>
    <cellStyle name="Normal 2 7 29 3 2" xfId="16614" xr:uid="{F1F5668C-967E-4988-BC1A-3D8A21ADC9AD}"/>
    <cellStyle name="Normal 2 7 29 4" xfId="8017" xr:uid="{2B838CB0-2207-4FBF-A776-D5CEE64B7D50}"/>
    <cellStyle name="Normal 2 7 29 4 2" xfId="16615" xr:uid="{30B5B501-21ED-4AA1-9A4A-70B05CE22EE3}"/>
    <cellStyle name="Normal 2 7 29 5" xfId="16610" xr:uid="{04C41C32-FF15-499A-9287-8726BF2DADA3}"/>
    <cellStyle name="Normal 2 7 3" xfId="8018" xr:uid="{BDD229BF-9A28-45AE-8998-47CD4E17D23E}"/>
    <cellStyle name="Normal 2 7 3 2" xfId="8019" xr:uid="{61A7B13C-7E8E-4C26-9756-9BCE497EE9C2}"/>
    <cellStyle name="Normal 2 7 3 3" xfId="8020" xr:uid="{9AE64575-011D-4F8F-B91D-D375FB8E65AD}"/>
    <cellStyle name="Normal 2 7 3 4" xfId="8021" xr:uid="{6EF65CB6-E011-4CF3-987A-16A125AE87D8}"/>
    <cellStyle name="Normal 2 7 30" xfId="8022" xr:uid="{D09A8619-DF7B-4588-95FB-571BF94F1F94}"/>
    <cellStyle name="Normal 2 7 30 2" xfId="8023" xr:uid="{2A16548E-4C8A-4627-9382-8C912B90B4F6}"/>
    <cellStyle name="Normal 2 7 30 2 2" xfId="8024" xr:uid="{927B71C0-6341-4E34-A486-6189DF21221C}"/>
    <cellStyle name="Normal 2 7 30 2 2 2" xfId="16618" xr:uid="{222CC60B-4E52-40FD-A913-0241A65766D5}"/>
    <cellStyle name="Normal 2 7 30 2 3" xfId="8025" xr:uid="{613BDC60-EFE7-458E-95E1-EE349A85C42C}"/>
    <cellStyle name="Normal 2 7 30 2 3 2" xfId="16619" xr:uid="{2BCCB10F-2680-4BCB-9F7B-B5CE5B3B1847}"/>
    <cellStyle name="Normal 2 7 30 2 4" xfId="16617" xr:uid="{BF98574B-0ED5-4850-BC83-647425AC30AD}"/>
    <cellStyle name="Normal 2 7 30 3" xfId="8026" xr:uid="{0A67E3F1-6A5F-4DC3-9EF0-5A277709D1D0}"/>
    <cellStyle name="Normal 2 7 30 3 2" xfId="16620" xr:uid="{081CE985-6D85-4F98-8608-86AD8FDE0FC3}"/>
    <cellStyle name="Normal 2 7 30 4" xfId="8027" xr:uid="{76615293-2B88-44C3-B78C-5D07344E2F7F}"/>
    <cellStyle name="Normal 2 7 30 4 2" xfId="16621" xr:uid="{8AB60C5B-74B8-458F-B854-9D76472735CE}"/>
    <cellStyle name="Normal 2 7 30 5" xfId="16616" xr:uid="{ECBF462A-D853-4607-BC88-F2311445639E}"/>
    <cellStyle name="Normal 2 7 31" xfId="8028" xr:uid="{2C6CD63F-A4BA-444E-BE4E-251C98A415DE}"/>
    <cellStyle name="Normal 2 7 31 2" xfId="8029" xr:uid="{30D09E6D-173C-4496-B32B-AA13167A0D79}"/>
    <cellStyle name="Normal 2 7 31 2 2" xfId="8030" xr:uid="{68F46F7B-5FA9-4086-B9D8-22F7B67AFD2A}"/>
    <cellStyle name="Normal 2 7 31 2 2 2" xfId="16624" xr:uid="{87CE157B-5D64-45E3-B2C6-6247613F1201}"/>
    <cellStyle name="Normal 2 7 31 2 3" xfId="8031" xr:uid="{40097A0D-D051-49AD-AAA5-C7C4D57666D6}"/>
    <cellStyle name="Normal 2 7 31 2 3 2" xfId="16625" xr:uid="{5B8F68FD-D616-46A4-B7C2-4C4BCF9B15B5}"/>
    <cellStyle name="Normal 2 7 31 2 4" xfId="16623" xr:uid="{5EA64149-BA23-4526-B19A-EF63C03A2014}"/>
    <cellStyle name="Normal 2 7 31 3" xfId="8032" xr:uid="{0F3476F0-F2B1-43FA-BB4E-529EBEB1B1FD}"/>
    <cellStyle name="Normal 2 7 31 3 2" xfId="16626" xr:uid="{B164845A-934E-408D-B034-AFE2E944A346}"/>
    <cellStyle name="Normal 2 7 31 4" xfId="8033" xr:uid="{2CCE5A4A-D31E-497E-8CDF-F6D10E9DFD06}"/>
    <cellStyle name="Normal 2 7 31 4 2" xfId="16627" xr:uid="{55B3929C-4A93-404A-A44A-574A41924951}"/>
    <cellStyle name="Normal 2 7 31 5" xfId="16622" xr:uid="{5042778B-F3B8-4DCA-9E7A-75D7A200841F}"/>
    <cellStyle name="Normal 2 7 32" xfId="8034" xr:uid="{95DE4643-417B-488D-AE21-2E54813F6003}"/>
    <cellStyle name="Normal 2 7 32 2" xfId="8035" xr:uid="{345CB5BC-9202-4C5E-89E7-B25AFBFB8EF6}"/>
    <cellStyle name="Normal 2 7 32 2 2" xfId="8036" xr:uid="{206DB231-9598-4EFB-B756-9F8CA692672C}"/>
    <cellStyle name="Normal 2 7 32 2 2 2" xfId="16630" xr:uid="{9950D303-28B9-4704-89F2-D2909C6AB1D5}"/>
    <cellStyle name="Normal 2 7 32 2 3" xfId="8037" xr:uid="{A6EFC2DA-3169-4EDE-8FD4-96DECB6E8817}"/>
    <cellStyle name="Normal 2 7 32 2 3 2" xfId="16631" xr:uid="{A1CFE967-2436-46C2-8F62-33E781CFEC74}"/>
    <cellStyle name="Normal 2 7 32 2 4" xfId="16629" xr:uid="{FC3CB8F1-E640-427B-BDBE-49EA651EE883}"/>
    <cellStyle name="Normal 2 7 32 3" xfId="8038" xr:uid="{2845BAC0-D8FE-4CE5-AFD2-D82EEA4C93D6}"/>
    <cellStyle name="Normal 2 7 32 3 2" xfId="16632" xr:uid="{752B8060-871B-4173-81B3-D0F52DE67003}"/>
    <cellStyle name="Normal 2 7 32 4" xfId="8039" xr:uid="{6CECE15E-C704-4869-9F95-9E931D4EE5BC}"/>
    <cellStyle name="Normal 2 7 32 4 2" xfId="16633" xr:uid="{9AF37F1A-1174-4E7B-9904-1D4CB82F9D14}"/>
    <cellStyle name="Normal 2 7 32 5" xfId="16628" xr:uid="{1D198685-B293-4754-80E9-81226F91939B}"/>
    <cellStyle name="Normal 2 7 33" xfId="8040" xr:uid="{9F6A165E-FCE2-4BF7-8B4C-CDA862748A04}"/>
    <cellStyle name="Normal 2 7 33 2" xfId="8041" xr:uid="{D3D819AC-A306-43A1-8437-3FC4A9F2DDD5}"/>
    <cellStyle name="Normal 2 7 33 2 2" xfId="8042" xr:uid="{5DE99FE8-AD56-4205-B390-DB6F39B90D37}"/>
    <cellStyle name="Normal 2 7 33 2 2 2" xfId="16636" xr:uid="{0EA7791A-F02A-49BA-AE08-E11EBD5BED0E}"/>
    <cellStyle name="Normal 2 7 33 2 3" xfId="8043" xr:uid="{BEDCF017-DB26-4193-A563-EE755C5F6F7A}"/>
    <cellStyle name="Normal 2 7 33 2 3 2" xfId="16637" xr:uid="{A0D393C7-D732-41A4-8DE1-67B34C6042D2}"/>
    <cellStyle name="Normal 2 7 33 2 4" xfId="16635" xr:uid="{0C7F44B4-E48E-4C5D-8B8B-45AEA18FDAA5}"/>
    <cellStyle name="Normal 2 7 33 3" xfId="8044" xr:uid="{26225F1E-59C2-4485-927B-185952BE5F39}"/>
    <cellStyle name="Normal 2 7 33 3 2" xfId="16638" xr:uid="{09D723C8-3168-49EC-871C-E1084C5FB366}"/>
    <cellStyle name="Normal 2 7 33 4" xfId="8045" xr:uid="{CBFABC55-57D8-435A-9493-E97E353CCBFC}"/>
    <cellStyle name="Normal 2 7 33 4 2" xfId="16639" xr:uid="{1A689B18-3347-4425-B482-D8920C6557D1}"/>
    <cellStyle name="Normal 2 7 33 5" xfId="16634" xr:uid="{8D1A7BEE-38AC-4817-8A89-A2F1738F029B}"/>
    <cellStyle name="Normal 2 7 34" xfId="8046" xr:uid="{56A0B9F3-9E9E-4DD1-8634-274C6D949705}"/>
    <cellStyle name="Normal 2 7 34 2" xfId="8047" xr:uid="{D22FA004-27B1-4A4A-925B-0CB3B7E9C013}"/>
    <cellStyle name="Normal 2 7 34 2 2" xfId="8048" xr:uid="{2494AE29-1CF9-4911-A454-8B43A6F4302A}"/>
    <cellStyle name="Normal 2 7 34 2 2 2" xfId="16642" xr:uid="{D3286AD6-62F4-47D1-ACDC-92A79DC3D479}"/>
    <cellStyle name="Normal 2 7 34 2 3" xfId="8049" xr:uid="{CCAD4271-6DFD-471A-87AD-D5C0F340BA63}"/>
    <cellStyle name="Normal 2 7 34 2 3 2" xfId="16643" xr:uid="{00DE00DF-3EBD-49C8-A447-B1EB6A70C789}"/>
    <cellStyle name="Normal 2 7 34 2 4" xfId="16641" xr:uid="{536867C6-D665-4B46-8C12-19A4FA53C9F5}"/>
    <cellStyle name="Normal 2 7 34 3" xfId="8050" xr:uid="{F78E3657-24AD-4BF8-86E7-8E69065A9938}"/>
    <cellStyle name="Normal 2 7 34 3 2" xfId="16644" xr:uid="{0E8FF6A3-3FF8-45FC-B497-2AA1BFBA0723}"/>
    <cellStyle name="Normal 2 7 34 4" xfId="8051" xr:uid="{A0CEA48B-36C4-4309-BB3B-DFE5CFBFFF13}"/>
    <cellStyle name="Normal 2 7 34 4 2" xfId="16645" xr:uid="{771A7C32-015E-4B31-8EA1-F0A1B1BA478C}"/>
    <cellStyle name="Normal 2 7 34 5" xfId="16640" xr:uid="{6125BD55-0B6D-4200-82B3-2BB2991CCD87}"/>
    <cellStyle name="Normal 2 7 35" xfId="8052" xr:uid="{774D71E2-5F44-4FA3-887A-D792AFF665C4}"/>
    <cellStyle name="Normal 2 7 35 2" xfId="8053" xr:uid="{38338EDA-BAAF-4351-B5BB-4DE0D8F970AC}"/>
    <cellStyle name="Normal 2 7 35 2 2" xfId="8054" xr:uid="{59AEBB3C-A6B6-4D77-A286-3DC85542E6AC}"/>
    <cellStyle name="Normal 2 7 35 2 2 2" xfId="16648" xr:uid="{FC6E1152-3F27-489E-8E63-A43C1509A3E6}"/>
    <cellStyle name="Normal 2 7 35 2 3" xfId="8055" xr:uid="{02F6FD4C-C491-4C75-B1B5-7D4377BF816D}"/>
    <cellStyle name="Normal 2 7 35 2 3 2" xfId="16649" xr:uid="{82787606-75DA-42A9-A706-E95E6755F293}"/>
    <cellStyle name="Normal 2 7 35 2 4" xfId="16647" xr:uid="{8C9AAA3F-F0AD-447A-9B26-84514EB06339}"/>
    <cellStyle name="Normal 2 7 35 3" xfId="8056" xr:uid="{B19F411D-EC7F-4F14-9A0E-C08CF850B588}"/>
    <cellStyle name="Normal 2 7 35 3 2" xfId="16650" xr:uid="{9819A924-A2A1-44A9-857C-4E83A60DD034}"/>
    <cellStyle name="Normal 2 7 35 4" xfId="8057" xr:uid="{D584020F-E83C-400B-AC98-5A6582414B26}"/>
    <cellStyle name="Normal 2 7 35 4 2" xfId="16651" xr:uid="{6B31E63D-1C2E-4119-B46C-4CBEED7C4511}"/>
    <cellStyle name="Normal 2 7 35 5" xfId="16646" xr:uid="{CB58AEAE-9CC8-478A-BF65-CF4DF8309AF7}"/>
    <cellStyle name="Normal 2 7 36" xfId="8058" xr:uid="{356D5BF6-29BF-4CC1-B31A-156BB5F3F052}"/>
    <cellStyle name="Normal 2 7 36 2" xfId="8059" xr:uid="{7468EE94-F726-4D1E-A44A-660EF4097D6D}"/>
    <cellStyle name="Normal 2 7 36 2 2" xfId="8060" xr:uid="{A84DBF6F-9387-4DCF-90B2-147DD70C4A7D}"/>
    <cellStyle name="Normal 2 7 36 2 2 2" xfId="16654" xr:uid="{04F30FE7-E230-4A0A-B808-78FE329725EF}"/>
    <cellStyle name="Normal 2 7 36 2 3" xfId="8061" xr:uid="{D0ECC536-7A59-4771-B394-F801670E1368}"/>
    <cellStyle name="Normal 2 7 36 2 3 2" xfId="16655" xr:uid="{68B30E3E-8ECF-4BCC-9CE0-0411E9344F33}"/>
    <cellStyle name="Normal 2 7 36 2 4" xfId="16653" xr:uid="{8B8B070C-817D-42CC-98D3-64EC5C7AEF67}"/>
    <cellStyle name="Normal 2 7 36 3" xfId="8062" xr:uid="{1025BCDD-FB5F-4FF4-8850-63BA769324B9}"/>
    <cellStyle name="Normal 2 7 36 3 2" xfId="16656" xr:uid="{1AB23BF1-2A59-45D4-84EB-1FB30CD9BB90}"/>
    <cellStyle name="Normal 2 7 36 4" xfId="8063" xr:uid="{2E3DE5B5-6D81-48F9-A469-76076AD5132D}"/>
    <cellStyle name="Normal 2 7 36 4 2" xfId="16657" xr:uid="{DEB1F740-75A3-4599-9F68-FD5DCBBBFB5E}"/>
    <cellStyle name="Normal 2 7 36 5" xfId="16652" xr:uid="{A135B362-720A-4330-A980-6368C00C76A0}"/>
    <cellStyle name="Normal 2 7 37" xfId="8064" xr:uid="{EADCAD67-24A8-4324-8BE6-E048CD7CDE73}"/>
    <cellStyle name="Normal 2 7 37 2" xfId="8065" xr:uid="{70E6B6B6-F61C-436A-B8FB-1357D947E3BF}"/>
    <cellStyle name="Normal 2 7 37 2 2" xfId="8066" xr:uid="{02E35741-2303-435D-8729-E1A14F71CC2F}"/>
    <cellStyle name="Normal 2 7 37 2 2 2" xfId="16660" xr:uid="{62474FDC-BD4A-4002-9575-78B2EAE4DAE1}"/>
    <cellStyle name="Normal 2 7 37 2 3" xfId="8067" xr:uid="{BCF436C6-068B-42BF-991F-F9D058D2A0AC}"/>
    <cellStyle name="Normal 2 7 37 2 3 2" xfId="16661" xr:uid="{E05DBB01-2591-4A78-9ED0-A35908313DF8}"/>
    <cellStyle name="Normal 2 7 37 2 4" xfId="16659" xr:uid="{3AAC9321-D69D-42E5-ABBA-6DA24AE5BD74}"/>
    <cellStyle name="Normal 2 7 37 3" xfId="8068" xr:uid="{08860B1E-D56D-4067-8B07-3444C33A91F1}"/>
    <cellStyle name="Normal 2 7 37 3 2" xfId="16662" xr:uid="{0D3A1D5B-5DEE-41CB-A9F9-1D3CE9F31CD8}"/>
    <cellStyle name="Normal 2 7 37 4" xfId="8069" xr:uid="{6E961146-7376-4212-82E2-B3BD65052FBC}"/>
    <cellStyle name="Normal 2 7 37 4 2" xfId="16663" xr:uid="{5EC31CC3-A8CF-41B3-920A-ED29DC4412F7}"/>
    <cellStyle name="Normal 2 7 37 5" xfId="16658" xr:uid="{DBF4E6DD-7155-4F62-9057-4DBE1D3CEE87}"/>
    <cellStyle name="Normal 2 7 38" xfId="8070" xr:uid="{2D4E1640-259C-4AF7-A825-C0DE94C3CAB5}"/>
    <cellStyle name="Normal 2 7 38 2" xfId="8071" xr:uid="{15965756-7D67-4099-9588-2EEC95DA1085}"/>
    <cellStyle name="Normal 2 7 38 2 2" xfId="8072" xr:uid="{54DAA3ED-6AE5-4FBD-9E97-759F929D9A96}"/>
    <cellStyle name="Normal 2 7 38 2 2 2" xfId="16666" xr:uid="{09322085-F3A3-4839-9714-C9AB83483518}"/>
    <cellStyle name="Normal 2 7 38 2 3" xfId="8073" xr:uid="{EFC597A1-BA40-403D-B477-C72334AB77B5}"/>
    <cellStyle name="Normal 2 7 38 2 3 2" xfId="16667" xr:uid="{CB85ABB2-BF06-4986-A63A-F9C0DAFB1AAC}"/>
    <cellStyle name="Normal 2 7 38 2 4" xfId="16665" xr:uid="{6D06375B-A65F-4F9E-BF59-D870B838132D}"/>
    <cellStyle name="Normal 2 7 38 3" xfId="8074" xr:uid="{236AC16D-7C6A-4D8B-B22B-8BC3A3DD5BA8}"/>
    <cellStyle name="Normal 2 7 38 3 2" xfId="16668" xr:uid="{28ABBFEC-C3E6-4057-A967-3B5ACECEC6C7}"/>
    <cellStyle name="Normal 2 7 38 4" xfId="8075" xr:uid="{A60765EE-B214-45C1-96D0-7C0C5D6C66DB}"/>
    <cellStyle name="Normal 2 7 38 4 2" xfId="16669" xr:uid="{876DEA2D-07CB-4211-90F3-BE356D770EB2}"/>
    <cellStyle name="Normal 2 7 38 5" xfId="16664" xr:uid="{98A9FB59-A3BD-49ED-BF54-1A6ED6DECBB9}"/>
    <cellStyle name="Normal 2 7 39" xfId="8076" xr:uid="{67892708-1C24-455C-AA26-987921EAB58B}"/>
    <cellStyle name="Normal 2 7 39 2" xfId="8077" xr:uid="{7945479C-FE84-4FA9-85D6-EF9E494559DB}"/>
    <cellStyle name="Normal 2 7 39 2 2" xfId="8078" xr:uid="{F3110221-2069-4EF1-B633-B78CAAF4DE67}"/>
    <cellStyle name="Normal 2 7 39 2 2 2" xfId="16672" xr:uid="{58382036-A88C-4D2D-AD89-A6ED8216F13A}"/>
    <cellStyle name="Normal 2 7 39 2 3" xfId="8079" xr:uid="{8ADEFAF8-C515-4654-9C21-AEF3F348F5C1}"/>
    <cellStyle name="Normal 2 7 39 2 3 2" xfId="16673" xr:uid="{C1C137F4-F4F1-4595-855A-635244F684D0}"/>
    <cellStyle name="Normal 2 7 39 2 4" xfId="16671" xr:uid="{9F3AB2DD-5629-42AC-8466-08C6FAAB6A67}"/>
    <cellStyle name="Normal 2 7 39 3" xfId="8080" xr:uid="{A417AA52-6FDB-498C-9ACD-0EA635C54688}"/>
    <cellStyle name="Normal 2 7 39 3 2" xfId="16674" xr:uid="{C4DA201D-0DD6-47F2-A41C-7BB5717E30B0}"/>
    <cellStyle name="Normal 2 7 39 4" xfId="8081" xr:uid="{DBC8F049-35CE-4003-8F24-842C520B69E6}"/>
    <cellStyle name="Normal 2 7 39 4 2" xfId="16675" xr:uid="{C0709F46-7BEE-4CDC-A3B6-3AB23122E293}"/>
    <cellStyle name="Normal 2 7 39 5" xfId="16670" xr:uid="{0D2B689C-49BF-4948-9BB2-247E300A6F8E}"/>
    <cellStyle name="Normal 2 7 4" xfId="8082" xr:uid="{5AA6966D-51D3-4E19-A684-3F6C3251B2D2}"/>
    <cellStyle name="Normal 2 7 4 2" xfId="8083" xr:uid="{B8F1F2BE-3F9D-4166-827F-98B1A096DD19}"/>
    <cellStyle name="Normal 2 7 4 3" xfId="8084" xr:uid="{8C25FC15-76BE-46DB-8FBA-AE7776EDDCF2}"/>
    <cellStyle name="Normal 2 7 4 4" xfId="8085" xr:uid="{99969925-4F67-4B23-ACF0-757BA56AF55A}"/>
    <cellStyle name="Normal 2 7 40" xfId="8086" xr:uid="{73FE895F-5C6A-4DA3-BA30-14E878A54B0F}"/>
    <cellStyle name="Normal 2 7 40 2" xfId="8087" xr:uid="{B52BF950-812E-4A64-8CC3-EAB34BD16F64}"/>
    <cellStyle name="Normal 2 7 40 2 2" xfId="8088" xr:uid="{EA0FECCD-59DF-47CC-BAD3-E5C043BC0A85}"/>
    <cellStyle name="Normal 2 7 40 2 2 2" xfId="16678" xr:uid="{91A23E5D-7E34-4F2F-811A-2CA5D756CC4B}"/>
    <cellStyle name="Normal 2 7 40 2 3" xfId="8089" xr:uid="{19A19422-7F02-446D-8CF4-52CD4BEB18C7}"/>
    <cellStyle name="Normal 2 7 40 2 3 2" xfId="16679" xr:uid="{56719B67-655D-4176-90F8-EB30A969E673}"/>
    <cellStyle name="Normal 2 7 40 2 4" xfId="16677" xr:uid="{F8EE8CD1-F72D-46B6-98D9-C68B21D28ADA}"/>
    <cellStyle name="Normal 2 7 40 3" xfId="8090" xr:uid="{D19050BF-99AB-4C49-A9BA-D68C4BFDD4DF}"/>
    <cellStyle name="Normal 2 7 40 3 2" xfId="16680" xr:uid="{31F07DA8-4176-4120-8FF4-480175DD82FE}"/>
    <cellStyle name="Normal 2 7 40 4" xfId="8091" xr:uid="{05D2257A-29A8-46FD-9EF6-DB1B4EBC182A}"/>
    <cellStyle name="Normal 2 7 40 4 2" xfId="16681" xr:uid="{5906828C-AC73-4C95-ACA7-DB983CC8A1D7}"/>
    <cellStyle name="Normal 2 7 40 5" xfId="16676" xr:uid="{0547FD54-B9E0-418B-BFE2-5F59EDBBED31}"/>
    <cellStyle name="Normal 2 7 41" xfId="8092" xr:uid="{EE317E1A-27B3-414E-A028-8D16B37AEE08}"/>
    <cellStyle name="Normal 2 7 41 2" xfId="8093" xr:uid="{FC437416-1D58-4259-AB48-8F957F84CE5B}"/>
    <cellStyle name="Normal 2 7 41 2 2" xfId="8094" xr:uid="{3BA4E35E-F093-4AE7-A1B0-24FFD4CC6D6E}"/>
    <cellStyle name="Normal 2 7 41 2 2 2" xfId="16684" xr:uid="{430D2E42-70CF-446F-BEA4-07BB2C3D53E7}"/>
    <cellStyle name="Normal 2 7 41 2 3" xfId="8095" xr:uid="{DDF590E6-5E0A-4AE6-8070-066A66BD2432}"/>
    <cellStyle name="Normal 2 7 41 2 3 2" xfId="16685" xr:uid="{BD1C6DD0-DE0D-4BBB-BB1C-52CA65E157BA}"/>
    <cellStyle name="Normal 2 7 41 2 4" xfId="16683" xr:uid="{C5067A73-28AF-461A-B64E-4E7FC18C0C9A}"/>
    <cellStyle name="Normal 2 7 41 3" xfId="8096" xr:uid="{7617C530-FB07-4B59-A96D-27B82A3AF051}"/>
    <cellStyle name="Normal 2 7 41 3 2" xfId="16686" xr:uid="{AEA1296C-88A7-42C7-AD61-9A23C9E95A71}"/>
    <cellStyle name="Normal 2 7 41 4" xfId="8097" xr:uid="{2A4E756C-EF9E-467C-AB1C-B873B1856DB0}"/>
    <cellStyle name="Normal 2 7 41 4 2" xfId="16687" xr:uid="{D6956155-45D7-4806-8104-733468B646DE}"/>
    <cellStyle name="Normal 2 7 41 5" xfId="16682" xr:uid="{B6F4C643-4B07-4778-A3B3-0A002D2056C2}"/>
    <cellStyle name="Normal 2 7 42" xfId="8098" xr:uid="{F3E55426-06B9-4EA0-9006-E8EE029C46BB}"/>
    <cellStyle name="Normal 2 7 42 2" xfId="8099" xr:uid="{E60CAB9F-F95C-4632-9826-37042DADD076}"/>
    <cellStyle name="Normal 2 7 42 2 2" xfId="8100" xr:uid="{7C00F472-A793-486F-BEDD-3D5EA3ED9590}"/>
    <cellStyle name="Normal 2 7 42 2 2 2" xfId="16690" xr:uid="{AA624B88-115A-41AE-89EE-278D37EF0D03}"/>
    <cellStyle name="Normal 2 7 42 2 3" xfId="8101" xr:uid="{2C4FE5C4-A45B-4A3E-8271-3B2954224DA4}"/>
    <cellStyle name="Normal 2 7 42 2 3 2" xfId="16691" xr:uid="{5F81E5A0-AB36-475A-A96F-0AD1A0E194B7}"/>
    <cellStyle name="Normal 2 7 42 2 4" xfId="16689" xr:uid="{57A9CB9B-688E-4516-87C7-8DA62FF8DED9}"/>
    <cellStyle name="Normal 2 7 42 3" xfId="8102" xr:uid="{D15AA079-62AB-4EB1-9918-E45F228DDB23}"/>
    <cellStyle name="Normal 2 7 42 3 2" xfId="16692" xr:uid="{199ABC0B-95A4-4347-8758-AE14DA56CB75}"/>
    <cellStyle name="Normal 2 7 42 4" xfId="8103" xr:uid="{AA2BDF86-6FE5-4BF1-A6A8-4ACC507E0AA1}"/>
    <cellStyle name="Normal 2 7 42 4 2" xfId="16693" xr:uid="{31D4328F-B486-4B0A-822F-2DBB6CA456CD}"/>
    <cellStyle name="Normal 2 7 42 5" xfId="16688" xr:uid="{A1437F6A-B72B-4D25-81FC-0B8AB5CCA098}"/>
    <cellStyle name="Normal 2 7 43" xfId="8104" xr:uid="{1B3981D2-449F-48D7-AA7F-C120F6D61F57}"/>
    <cellStyle name="Normal 2 7 43 2" xfId="8105" xr:uid="{F8214934-EB4F-4DAF-B6C1-B08D65613F93}"/>
    <cellStyle name="Normal 2 7 43 2 2" xfId="8106" xr:uid="{A022E252-F120-4E96-A233-C59AFF3FF4CE}"/>
    <cellStyle name="Normal 2 7 43 2 2 2" xfId="16696" xr:uid="{0D445D46-B926-4A78-AD4D-1C41811D5187}"/>
    <cellStyle name="Normal 2 7 43 2 3" xfId="8107" xr:uid="{75BE031C-7E57-4C9C-8BB1-052502386288}"/>
    <cellStyle name="Normal 2 7 43 2 3 2" xfId="16697" xr:uid="{965A98BB-0181-4FD7-AD72-186AC6736ED3}"/>
    <cellStyle name="Normal 2 7 43 2 4" xfId="16695" xr:uid="{5D840254-912A-4376-A696-92F41DAB6AE7}"/>
    <cellStyle name="Normal 2 7 43 3" xfId="8108" xr:uid="{2FEEE3AB-7A2B-41ED-8691-782E80DA9278}"/>
    <cellStyle name="Normal 2 7 43 3 2" xfId="16698" xr:uid="{A2C55249-4E8F-40DD-ACB7-8AD83A123B52}"/>
    <cellStyle name="Normal 2 7 43 4" xfId="8109" xr:uid="{7FBFB905-C7C0-4106-AB34-0F7492225C9D}"/>
    <cellStyle name="Normal 2 7 43 4 2" xfId="16699" xr:uid="{BFC984E0-E1A3-45A7-AE47-88F399BEBC16}"/>
    <cellStyle name="Normal 2 7 43 5" xfId="16694" xr:uid="{DF59E1B5-E837-4F11-B9A3-7E4B25EDF5BB}"/>
    <cellStyle name="Normal 2 7 44" xfId="8110" xr:uid="{9E8838CF-1890-47B9-94C7-2A57FCD1C351}"/>
    <cellStyle name="Normal 2 7 44 2" xfId="8111" xr:uid="{BF1FB92C-6F83-4599-9845-82824653F2B2}"/>
    <cellStyle name="Normal 2 7 44 2 2" xfId="8112" xr:uid="{5AF58891-B4D6-4351-AB84-868F9BFFEE09}"/>
    <cellStyle name="Normal 2 7 44 2 2 2" xfId="16702" xr:uid="{827E6BC6-9E30-4B35-915A-891A736FD98D}"/>
    <cellStyle name="Normal 2 7 44 2 3" xfId="8113" xr:uid="{ABE83DEC-4BA0-4C01-A15D-FFAA626237B4}"/>
    <cellStyle name="Normal 2 7 44 2 3 2" xfId="16703" xr:uid="{14E54287-4A16-49E4-9F17-5ED36081B641}"/>
    <cellStyle name="Normal 2 7 44 2 4" xfId="16701" xr:uid="{D50804F6-0463-4A58-9BCC-B1E6B43FA238}"/>
    <cellStyle name="Normal 2 7 44 3" xfId="8114" xr:uid="{08371B26-D70B-4FDC-A801-F3AEDFC5A7AE}"/>
    <cellStyle name="Normal 2 7 44 3 2" xfId="16704" xr:uid="{CABAA28D-D2C1-4863-855C-7CEBBCC77C1C}"/>
    <cellStyle name="Normal 2 7 44 4" xfId="8115" xr:uid="{803DFEEA-6AA7-41CD-98E2-7662B56AEE14}"/>
    <cellStyle name="Normal 2 7 44 4 2" xfId="16705" xr:uid="{50089D06-5E5C-4059-AC9A-84FAF71ECB27}"/>
    <cellStyle name="Normal 2 7 44 5" xfId="16700" xr:uid="{C1E59AEE-9260-4A02-8E2A-B5F8AF58AB70}"/>
    <cellStyle name="Normal 2 7 45" xfId="8116" xr:uid="{10C8E185-6EA7-4718-9537-C8E968AE60A3}"/>
    <cellStyle name="Normal 2 7 45 2" xfId="8117" xr:uid="{602585BA-A346-4B92-ACA1-86E63C4A9EB8}"/>
    <cellStyle name="Normal 2 7 45 2 2" xfId="8118" xr:uid="{FC2C8EB6-A333-41BD-9A5C-E6E1FDFAFFDE}"/>
    <cellStyle name="Normal 2 7 45 2 2 2" xfId="16708" xr:uid="{45470944-D29F-474C-9007-1429F3D60013}"/>
    <cellStyle name="Normal 2 7 45 2 3" xfId="8119" xr:uid="{71931758-3474-47DC-AE4D-AE365B4696B8}"/>
    <cellStyle name="Normal 2 7 45 2 3 2" xfId="16709" xr:uid="{92B1D2EE-17AE-44AB-AAF7-1F2E1FD19623}"/>
    <cellStyle name="Normal 2 7 45 2 4" xfId="16707" xr:uid="{034733D2-58DB-4350-A75A-CC5C14D14ED0}"/>
    <cellStyle name="Normal 2 7 45 3" xfId="8120" xr:uid="{93A1679D-8D14-4538-B458-62FA6A947321}"/>
    <cellStyle name="Normal 2 7 45 3 2" xfId="16710" xr:uid="{2EE603F2-EEF6-4A85-9C28-784CC0450768}"/>
    <cellStyle name="Normal 2 7 45 4" xfId="8121" xr:uid="{3C351EA0-ACF7-448B-BF50-746A4B617B3B}"/>
    <cellStyle name="Normal 2 7 45 4 2" xfId="16711" xr:uid="{B4143D4C-2368-473E-80AB-42A1FAF41142}"/>
    <cellStyle name="Normal 2 7 45 5" xfId="16706" xr:uid="{C154DDCC-72A2-4C89-A1B8-B3933D3DF420}"/>
    <cellStyle name="Normal 2 7 46" xfId="8122" xr:uid="{DDB2CDFF-69D4-460E-8679-207A47988995}"/>
    <cellStyle name="Normal 2 7 46 2" xfId="8123" xr:uid="{4C7F2E6B-CBF4-4F61-A379-98A3F1FAF887}"/>
    <cellStyle name="Normal 2 7 46 2 2" xfId="8124" xr:uid="{ECC6A79F-162E-47A9-BD25-8EEED382C460}"/>
    <cellStyle name="Normal 2 7 46 2 2 2" xfId="16714" xr:uid="{FC7AC060-416F-4F51-B146-D74DEF9DADC4}"/>
    <cellStyle name="Normal 2 7 46 2 3" xfId="8125" xr:uid="{BAE9E94D-B03E-4E31-91DF-7F2067101FE8}"/>
    <cellStyle name="Normal 2 7 46 2 3 2" xfId="16715" xr:uid="{3D3A3B60-0DC2-4814-8A64-46E9BC77E101}"/>
    <cellStyle name="Normal 2 7 46 2 4" xfId="16713" xr:uid="{BF9B951C-9DEF-4122-8C9A-5A0D2316A5F1}"/>
    <cellStyle name="Normal 2 7 46 3" xfId="8126" xr:uid="{A35E0F51-6158-4DEA-90B2-034844BEA579}"/>
    <cellStyle name="Normal 2 7 46 3 2" xfId="16716" xr:uid="{59C49E5C-BC2D-4D07-B672-6450016FA3F4}"/>
    <cellStyle name="Normal 2 7 46 4" xfId="8127" xr:uid="{DC776DCD-AA79-4CDD-A40F-ED084752C51A}"/>
    <cellStyle name="Normal 2 7 46 4 2" xfId="16717" xr:uid="{237DEC7B-A443-4B66-BC76-7F5AB249314D}"/>
    <cellStyle name="Normal 2 7 46 5" xfId="16712" xr:uid="{932B4583-F4C1-4319-9228-F3E351EF5619}"/>
    <cellStyle name="Normal 2 7 47" xfId="8128" xr:uid="{48E8EF80-EE86-4C73-AB91-6B9D8C7CAA40}"/>
    <cellStyle name="Normal 2 7 47 2" xfId="8129" xr:uid="{9B2FA02A-7A86-4EFD-9932-8D6972CF3172}"/>
    <cellStyle name="Normal 2 7 47 2 2" xfId="8130" xr:uid="{E9528310-874E-4F1E-8442-17013D132281}"/>
    <cellStyle name="Normal 2 7 47 2 2 2" xfId="16720" xr:uid="{A0B7D332-C10D-462A-80E6-CC7B3BA65652}"/>
    <cellStyle name="Normal 2 7 47 2 3" xfId="8131" xr:uid="{CEC091FD-E906-4C92-8A02-20DCE6034C92}"/>
    <cellStyle name="Normal 2 7 47 2 3 2" xfId="16721" xr:uid="{B4924A2A-02F6-4181-9AD3-1C67C7661ACB}"/>
    <cellStyle name="Normal 2 7 47 2 4" xfId="16719" xr:uid="{E1B4B12E-90E6-4768-A2EB-58D51BEBD9FB}"/>
    <cellStyle name="Normal 2 7 47 3" xfId="8132" xr:uid="{DCC863E3-8658-47BF-A784-C47589ADE2BE}"/>
    <cellStyle name="Normal 2 7 47 3 2" xfId="16722" xr:uid="{436C5AC1-B9B9-48B1-85D5-AD73509E1336}"/>
    <cellStyle name="Normal 2 7 47 4" xfId="8133" xr:uid="{9DAF21F9-8F32-49B5-AB24-92B9BE58AD8F}"/>
    <cellStyle name="Normal 2 7 47 4 2" xfId="16723" xr:uid="{B71CBCBE-0261-4A61-A6AC-F685BD19A700}"/>
    <cellStyle name="Normal 2 7 47 5" xfId="16718" xr:uid="{13F37C34-165C-4AC2-ABB0-8B0EC27ADAC2}"/>
    <cellStyle name="Normal 2 7 48" xfId="8134" xr:uid="{8FABA49C-999F-4E99-B483-6B434A43671C}"/>
    <cellStyle name="Normal 2 7 48 2" xfId="8135" xr:uid="{CADC5E1A-7E63-4D1C-95AB-9920A5CD6AD7}"/>
    <cellStyle name="Normal 2 7 48 2 2" xfId="8136" xr:uid="{1799A680-7940-4879-971B-1F83EEF77F3D}"/>
    <cellStyle name="Normal 2 7 48 2 2 2" xfId="16726" xr:uid="{3F92BB1C-C843-4F92-8ECE-CAB5B807F2EA}"/>
    <cellStyle name="Normal 2 7 48 2 3" xfId="8137" xr:uid="{80CAB799-8B1C-4EC2-8DA2-96BC250AC7F0}"/>
    <cellStyle name="Normal 2 7 48 2 3 2" xfId="16727" xr:uid="{85CD7C54-12FC-4AB3-89E0-7EB08F286383}"/>
    <cellStyle name="Normal 2 7 48 2 4" xfId="16725" xr:uid="{7B2447F9-723D-47C3-B331-C4539C856D41}"/>
    <cellStyle name="Normal 2 7 48 3" xfId="8138" xr:uid="{4746B736-1B12-4958-B92D-2E206A990F9D}"/>
    <cellStyle name="Normal 2 7 48 3 2" xfId="16728" xr:uid="{D2ABAC01-ED61-4D49-857C-D46EB6033730}"/>
    <cellStyle name="Normal 2 7 48 4" xfId="8139" xr:uid="{3EA2EF68-7A20-459E-9B21-90638D07230F}"/>
    <cellStyle name="Normal 2 7 48 4 2" xfId="16729" xr:uid="{B353D331-D11D-4EEC-B125-2126735AAE75}"/>
    <cellStyle name="Normal 2 7 48 5" xfId="16724" xr:uid="{7698270A-0EE0-41FC-9903-F95B3598AF59}"/>
    <cellStyle name="Normal 2 7 49" xfId="8140" xr:uid="{B6472C9B-CA36-42FE-8321-E024838C2F17}"/>
    <cellStyle name="Normal 2 7 49 2" xfId="8141" xr:uid="{BDED53F7-1489-4382-8DD6-0EBFF4F9571B}"/>
    <cellStyle name="Normal 2 7 49 2 2" xfId="8142" xr:uid="{C42AAC48-155C-4D2B-AF66-29DDE71AC756}"/>
    <cellStyle name="Normal 2 7 49 2 2 2" xfId="16732" xr:uid="{989E99FB-4C51-439F-84A6-C54067BB697C}"/>
    <cellStyle name="Normal 2 7 49 2 3" xfId="8143" xr:uid="{3C4118C3-56F9-49CB-B760-5CBEAAC332F2}"/>
    <cellStyle name="Normal 2 7 49 2 3 2" xfId="16733" xr:uid="{58688EA4-0199-417E-8E37-3EEFA65069E8}"/>
    <cellStyle name="Normal 2 7 49 2 4" xfId="16731" xr:uid="{454160F3-C5EE-4B4E-9F76-29FD7595350E}"/>
    <cellStyle name="Normal 2 7 49 3" xfId="8144" xr:uid="{FDE98CD2-A7E7-4885-A68C-656864048651}"/>
    <cellStyle name="Normal 2 7 49 3 2" xfId="16734" xr:uid="{417B8C34-49A2-4075-9C6A-966975CE2ED3}"/>
    <cellStyle name="Normal 2 7 49 4" xfId="8145" xr:uid="{FC652678-D2D5-4E34-80EC-D283227BEC5D}"/>
    <cellStyle name="Normal 2 7 49 4 2" xfId="16735" xr:uid="{94DE6C84-3280-413B-9FED-E73D5F37CBD6}"/>
    <cellStyle name="Normal 2 7 49 5" xfId="16730" xr:uid="{D1427931-3E6E-453A-94C3-5499DEC9F476}"/>
    <cellStyle name="Normal 2 7 5" xfId="8146" xr:uid="{BC787CA0-761D-4756-B366-6FF8B4A54F24}"/>
    <cellStyle name="Normal 2 7 5 2" xfId="8147" xr:uid="{E0F7E4BD-23F4-48D3-B329-7CB3CDCE5A2D}"/>
    <cellStyle name="Normal 2 7 5 3" xfId="8148" xr:uid="{B000A53A-779B-4FAC-AC7C-049891320479}"/>
    <cellStyle name="Normal 2 7 5 4" xfId="8149" xr:uid="{7C19ACE4-374B-4A3C-AF08-C431605FDA00}"/>
    <cellStyle name="Normal 2 7 50" xfId="8150" xr:uid="{58A549D3-91A4-47DF-98D5-A59823D369AC}"/>
    <cellStyle name="Normal 2 7 50 2" xfId="8151" xr:uid="{6F712C8E-8B87-4851-ADC5-2F07E12E01D0}"/>
    <cellStyle name="Normal 2 7 50 2 2" xfId="8152" xr:uid="{F96AE349-B365-4DBF-AAA7-F8390A35F256}"/>
    <cellStyle name="Normal 2 7 50 2 2 2" xfId="16738" xr:uid="{818E775A-31BA-40E5-9BEE-D687E0E75B77}"/>
    <cellStyle name="Normal 2 7 50 2 3" xfId="8153" xr:uid="{D07DD978-302B-41E5-9F2B-93BCB8F74362}"/>
    <cellStyle name="Normal 2 7 50 2 3 2" xfId="16739" xr:uid="{C021F06D-F415-4B7A-9B6E-6F7CE2E388A5}"/>
    <cellStyle name="Normal 2 7 50 2 4" xfId="16737" xr:uid="{1FABC9BF-A592-46C2-B3E5-88CF07F119BA}"/>
    <cellStyle name="Normal 2 7 50 3" xfId="8154" xr:uid="{52527D02-78FC-4B5D-A187-37DEBA6AC9BE}"/>
    <cellStyle name="Normal 2 7 50 3 2" xfId="16740" xr:uid="{81761F50-9F33-4497-8D8E-1922917D6D8F}"/>
    <cellStyle name="Normal 2 7 50 4" xfId="8155" xr:uid="{A82D2F1B-F3F6-4956-BC75-DDC2A86B6FFC}"/>
    <cellStyle name="Normal 2 7 50 4 2" xfId="16741" xr:uid="{CE7C6DB5-FD49-4A60-B0D7-E6D57D7DA1F7}"/>
    <cellStyle name="Normal 2 7 50 5" xfId="16736" xr:uid="{D030E16E-4C1A-4845-874D-04882DF6B1E2}"/>
    <cellStyle name="Normal 2 7 51" xfId="8156" xr:uid="{34A0713A-F89F-4142-9380-BF006D4EBE52}"/>
    <cellStyle name="Normal 2 7 51 2" xfId="8157" xr:uid="{07B0097B-C758-4C59-AF7C-D8BF9A18E8A4}"/>
    <cellStyle name="Normal 2 7 51 2 2" xfId="8158" xr:uid="{322F081C-103B-4AB1-87FA-B9C06F470B1F}"/>
    <cellStyle name="Normal 2 7 51 2 2 2" xfId="16744" xr:uid="{8B97390B-5761-4525-B4CB-098C658AAF18}"/>
    <cellStyle name="Normal 2 7 51 2 3" xfId="8159" xr:uid="{A1823CD9-9430-4710-85C0-DECC44998428}"/>
    <cellStyle name="Normal 2 7 51 2 3 2" xfId="16745" xr:uid="{DF25FA8D-7E73-48E7-993C-D10310CCE9C9}"/>
    <cellStyle name="Normal 2 7 51 2 4" xfId="16743" xr:uid="{FCD25729-6261-47F2-9C57-78837BD71A29}"/>
    <cellStyle name="Normal 2 7 51 3" xfId="8160" xr:uid="{1345577E-4563-48E3-AB5F-B98F1464DB0B}"/>
    <cellStyle name="Normal 2 7 51 3 2" xfId="16746" xr:uid="{5154F297-A69C-418E-B49D-1FC6D6B5BEA3}"/>
    <cellStyle name="Normal 2 7 51 4" xfId="8161" xr:uid="{B75BE926-3BFB-4BE6-B50B-D6D8F970D684}"/>
    <cellStyle name="Normal 2 7 51 4 2" xfId="16747" xr:uid="{4039B661-4228-41A3-A210-6B18F2FF5E83}"/>
    <cellStyle name="Normal 2 7 51 5" xfId="16742" xr:uid="{7445DCA3-5AC6-4480-BA5C-EF4778D23249}"/>
    <cellStyle name="Normal 2 7 52" xfId="8162" xr:uid="{719157EC-88AE-4C21-9D7F-EC6F2917E58A}"/>
    <cellStyle name="Normal 2 7 52 2" xfId="8163" xr:uid="{318F6305-BEA3-478B-AEFF-A309D608A9A7}"/>
    <cellStyle name="Normal 2 7 52 2 2" xfId="8164" xr:uid="{A29798EB-01B4-47FE-A845-6B542DEBDB87}"/>
    <cellStyle name="Normal 2 7 52 2 2 2" xfId="16750" xr:uid="{C50C08D6-445A-412E-AC0E-3B784F8C32BF}"/>
    <cellStyle name="Normal 2 7 52 2 3" xfId="8165" xr:uid="{26285879-DEE1-48FD-92EB-E5F89CDA06C1}"/>
    <cellStyle name="Normal 2 7 52 2 3 2" xfId="16751" xr:uid="{2D103440-C51A-47C6-8A22-A32BE66157EC}"/>
    <cellStyle name="Normal 2 7 52 2 4" xfId="16749" xr:uid="{6F541DC4-67D8-46F9-A326-1FB5E1FD75F5}"/>
    <cellStyle name="Normal 2 7 52 3" xfId="8166" xr:uid="{7C20A913-2AFA-4BA8-B67A-70D02DEED5D0}"/>
    <cellStyle name="Normal 2 7 52 3 2" xfId="16752" xr:uid="{D2EB9AFC-23E5-4312-8392-220E249426FE}"/>
    <cellStyle name="Normal 2 7 52 4" xfId="8167" xr:uid="{1706CB4B-4F6A-4980-931D-AC677229EEA6}"/>
    <cellStyle name="Normal 2 7 52 4 2" xfId="16753" xr:uid="{C66EC083-DC98-41AA-A7FD-9F2909C6A823}"/>
    <cellStyle name="Normal 2 7 52 5" xfId="16748" xr:uid="{FF2D6187-9289-4E9E-A72C-7A324C7FCC01}"/>
    <cellStyle name="Normal 2 7 53" xfId="8168" xr:uid="{D5518179-FFF5-47A8-B885-6F8B1AC7903E}"/>
    <cellStyle name="Normal 2 7 53 2" xfId="8169" xr:uid="{47A6D7D4-58BF-4428-AE33-681D8B98DCD8}"/>
    <cellStyle name="Normal 2 7 53 2 2" xfId="8170" xr:uid="{70AE04B7-0C8E-462D-80DC-177E3FA1AA3D}"/>
    <cellStyle name="Normal 2 7 53 2 2 2" xfId="16756" xr:uid="{7A1B78C0-20DC-45DC-8B60-B80EA9448A01}"/>
    <cellStyle name="Normal 2 7 53 2 3" xfId="8171" xr:uid="{F76980DC-DA2B-48E1-9165-59042436F043}"/>
    <cellStyle name="Normal 2 7 53 2 3 2" xfId="16757" xr:uid="{0E5FF544-69FE-4687-B128-D5CCB69BE1B2}"/>
    <cellStyle name="Normal 2 7 53 2 4" xfId="16755" xr:uid="{1F206904-D3F9-4C7B-91FF-748C63998931}"/>
    <cellStyle name="Normal 2 7 53 3" xfId="8172" xr:uid="{6E0BB77A-E496-43EE-A9A6-4D126CA7CD64}"/>
    <cellStyle name="Normal 2 7 53 3 2" xfId="16758" xr:uid="{6745635D-2149-4BD9-8A5E-4BC11DD69101}"/>
    <cellStyle name="Normal 2 7 53 4" xfId="8173" xr:uid="{66C119D4-9A84-481E-B46D-107AFCE15C51}"/>
    <cellStyle name="Normal 2 7 53 4 2" xfId="16759" xr:uid="{E152C97F-3AD3-4946-A903-F6514AB06247}"/>
    <cellStyle name="Normal 2 7 53 5" xfId="16754" xr:uid="{37AF4DB7-3418-4111-A36A-8D0BB98C898D}"/>
    <cellStyle name="Normal 2 7 54" xfId="8174" xr:uid="{B5D9809C-C228-42C8-B059-5ACC04DAA425}"/>
    <cellStyle name="Normal 2 7 54 2" xfId="8175" xr:uid="{A1BD2035-C053-4D1D-9CB2-83653C35A502}"/>
    <cellStyle name="Normal 2 7 54 2 2" xfId="8176" xr:uid="{800F6A32-1EB9-4E58-BE8A-862315352C2F}"/>
    <cellStyle name="Normal 2 7 54 2 2 2" xfId="16762" xr:uid="{5D5BD26F-67D7-4667-93B8-8A1A9BE04174}"/>
    <cellStyle name="Normal 2 7 54 2 3" xfId="8177" xr:uid="{667DF592-2262-4A49-A908-68D20C806A04}"/>
    <cellStyle name="Normal 2 7 54 2 3 2" xfId="16763" xr:uid="{55FC9472-CB92-44C2-BD31-79FA78F0BA61}"/>
    <cellStyle name="Normal 2 7 54 2 4" xfId="16761" xr:uid="{C68C0494-6622-4A35-8D03-3992CD895F33}"/>
    <cellStyle name="Normal 2 7 54 3" xfId="8178" xr:uid="{B13B0884-2633-48FE-9C44-C9A9C94F1561}"/>
    <cellStyle name="Normal 2 7 54 3 2" xfId="16764" xr:uid="{9E8EE919-04E6-4519-B3F4-CBEF0777777D}"/>
    <cellStyle name="Normal 2 7 54 4" xfId="8179" xr:uid="{99B1F173-C5C3-4058-84C1-2886978EB05C}"/>
    <cellStyle name="Normal 2 7 54 4 2" xfId="16765" xr:uid="{F922681E-C468-47C1-B7D5-9FBEA92730B1}"/>
    <cellStyle name="Normal 2 7 54 5" xfId="16760" xr:uid="{C3EA2F86-D3A8-4E92-B21A-B0A3D0CB3093}"/>
    <cellStyle name="Normal 2 7 55" xfId="8180" xr:uid="{801207B8-159B-49F1-89A3-FB9A046C996A}"/>
    <cellStyle name="Normal 2 7 55 2" xfId="8181" xr:uid="{7926CF02-B868-4EBC-94DA-9A58A6582608}"/>
    <cellStyle name="Normal 2 7 55 2 2" xfId="8182" xr:uid="{B304B426-4792-4C9A-9A3A-E841197BF26B}"/>
    <cellStyle name="Normal 2 7 55 2 2 2" xfId="16768" xr:uid="{875CC128-8340-4810-9584-66F388077012}"/>
    <cellStyle name="Normal 2 7 55 2 3" xfId="8183" xr:uid="{4F159455-04FA-4EE3-A7A7-0B0605B2795F}"/>
    <cellStyle name="Normal 2 7 55 2 3 2" xfId="16769" xr:uid="{ADD1639E-0D5C-4BED-ADAD-617BDA3524AC}"/>
    <cellStyle name="Normal 2 7 55 2 4" xfId="16767" xr:uid="{E49A05A6-5CEE-453D-B698-DA1201223A19}"/>
    <cellStyle name="Normal 2 7 55 3" xfId="8184" xr:uid="{D3C712FD-3121-497C-90C3-FA9BF7E4E461}"/>
    <cellStyle name="Normal 2 7 55 3 2" xfId="16770" xr:uid="{25D20702-A82B-499A-96DC-0502FCEF8CC0}"/>
    <cellStyle name="Normal 2 7 55 4" xfId="8185" xr:uid="{228ABD6C-4D10-48B1-AA0F-B22DBBE4DC43}"/>
    <cellStyle name="Normal 2 7 55 4 2" xfId="16771" xr:uid="{E35226A0-FBDE-471E-9207-33E925FD1690}"/>
    <cellStyle name="Normal 2 7 55 5" xfId="16766" xr:uid="{A50658F7-2A1E-4C97-BBED-4A554C31731D}"/>
    <cellStyle name="Normal 2 7 56" xfId="8186" xr:uid="{C063895E-411D-45FA-95F2-9C49C49B63EC}"/>
    <cellStyle name="Normal 2 7 56 2" xfId="8187" xr:uid="{0A1D211B-C2BD-4B60-B20A-17EA31E69EA5}"/>
    <cellStyle name="Normal 2 7 56 2 2" xfId="8188" xr:uid="{C932F41E-3BEA-4EDB-AE0A-60A2645F6770}"/>
    <cellStyle name="Normal 2 7 56 2 2 2" xfId="16774" xr:uid="{C0036AA0-5A78-42DA-900F-D544AC8E8BC2}"/>
    <cellStyle name="Normal 2 7 56 2 3" xfId="8189" xr:uid="{17D3B02E-EE51-49B2-8409-25443E7511F9}"/>
    <cellStyle name="Normal 2 7 56 2 3 2" xfId="16775" xr:uid="{6D8BDFA6-8C01-4FA3-8151-DEE2DD9BB2A5}"/>
    <cellStyle name="Normal 2 7 56 2 4" xfId="16773" xr:uid="{379EA32D-86CA-401A-AED5-A3371A001097}"/>
    <cellStyle name="Normal 2 7 56 3" xfId="8190" xr:uid="{AAB00AD0-0429-4835-B283-B9EEBA2177CF}"/>
    <cellStyle name="Normal 2 7 56 3 2" xfId="16776" xr:uid="{4C0E790A-FD2E-4169-9DF8-C0A42F0633AF}"/>
    <cellStyle name="Normal 2 7 56 4" xfId="8191" xr:uid="{E57741A3-9B64-469A-81B6-CE299E529BF8}"/>
    <cellStyle name="Normal 2 7 56 4 2" xfId="16777" xr:uid="{FE2FFF75-FB26-49DD-B93B-5954B015CDD9}"/>
    <cellStyle name="Normal 2 7 56 5" xfId="16772" xr:uid="{781B803A-69FE-43CE-A93C-C12C734A55BB}"/>
    <cellStyle name="Normal 2 7 57" xfId="8192" xr:uid="{DA4E8726-18CF-4A14-8817-85802AB19DEF}"/>
    <cellStyle name="Normal 2 7 57 2" xfId="8193" xr:uid="{B2F4A12D-77F6-4863-B258-D79DB47A28A7}"/>
    <cellStyle name="Normal 2 7 57 2 2" xfId="8194" xr:uid="{139AC213-2DFE-47E7-9FA9-526AF7AA63DD}"/>
    <cellStyle name="Normal 2 7 57 2 2 2" xfId="16780" xr:uid="{FCDECAF6-FB05-4F2F-A11A-2DD53FE8E1DF}"/>
    <cellStyle name="Normal 2 7 57 2 3" xfId="8195" xr:uid="{CF8DAF1A-938C-4CB1-92FE-352EC2D533D8}"/>
    <cellStyle name="Normal 2 7 57 2 3 2" xfId="16781" xr:uid="{0C21F318-EBF2-4F62-8675-51C93F7A722C}"/>
    <cellStyle name="Normal 2 7 57 2 4" xfId="16779" xr:uid="{EB38AB9F-E56F-4971-BB23-AF24097CA637}"/>
    <cellStyle name="Normal 2 7 57 3" xfId="8196" xr:uid="{8C165399-F755-4481-9E0D-9A9DAC24B0F2}"/>
    <cellStyle name="Normal 2 7 57 3 2" xfId="16782" xr:uid="{266042E0-AD7F-4D02-B8F3-632CCCFA2F00}"/>
    <cellStyle name="Normal 2 7 57 4" xfId="8197" xr:uid="{125D743C-DDFF-49D1-B9E3-9F853E18D236}"/>
    <cellStyle name="Normal 2 7 57 4 2" xfId="16783" xr:uid="{BA3552F3-C09D-4232-B5FC-AD6D034D2BDC}"/>
    <cellStyle name="Normal 2 7 57 5" xfId="16778" xr:uid="{1B652B5A-535F-45AA-BDB8-0791D9DAB822}"/>
    <cellStyle name="Normal 2 7 58" xfId="8198" xr:uid="{B5EAD8E2-9F07-4C6C-8E65-E76E44663357}"/>
    <cellStyle name="Normal 2 7 58 2" xfId="8199" xr:uid="{6759E818-950F-454B-94EA-96F08854D21F}"/>
    <cellStyle name="Normal 2 7 58 2 2" xfId="8200" xr:uid="{953AD7D1-7049-4D35-AA9A-06A96044A4D7}"/>
    <cellStyle name="Normal 2 7 58 2 2 2" xfId="16786" xr:uid="{7728B1D5-2631-4B0D-BC29-6EB8D2F862F0}"/>
    <cellStyle name="Normal 2 7 58 2 3" xfId="8201" xr:uid="{9DC98F21-BD14-4BB6-BCE3-A3492860B021}"/>
    <cellStyle name="Normal 2 7 58 2 3 2" xfId="16787" xr:uid="{5F80C1E1-FC17-477F-B9D7-1B96C58EEB20}"/>
    <cellStyle name="Normal 2 7 58 2 4" xfId="16785" xr:uid="{3D2F96BA-6239-4524-AE5E-97D80C81525B}"/>
    <cellStyle name="Normal 2 7 58 3" xfId="8202" xr:uid="{6FFA9734-56E7-4E0B-9036-5B2DBEBE71BA}"/>
    <cellStyle name="Normal 2 7 58 3 2" xfId="16788" xr:uid="{E56CA506-F0F9-4873-AA63-D19282FAB7F0}"/>
    <cellStyle name="Normal 2 7 58 4" xfId="8203" xr:uid="{69A38590-A692-44AE-8191-8F97FAE69E87}"/>
    <cellStyle name="Normal 2 7 58 4 2" xfId="16789" xr:uid="{89B7E53C-E3D0-4620-B827-B3ED9E87DCB3}"/>
    <cellStyle name="Normal 2 7 58 5" xfId="16784" xr:uid="{C8962651-828B-49C4-AAA3-6D4EC4512FCA}"/>
    <cellStyle name="Normal 2 7 59" xfId="8204" xr:uid="{2E5A28B2-3ECF-4018-8C7D-5608FD9DEF52}"/>
    <cellStyle name="Normal 2 7 59 2" xfId="8205" xr:uid="{6C70F55F-E866-4761-8D2D-38A66892E452}"/>
    <cellStyle name="Normal 2 7 59 2 2" xfId="8206" xr:uid="{E5D19336-7944-41BD-9B66-981B5B2A0A28}"/>
    <cellStyle name="Normal 2 7 59 2 2 2" xfId="16792" xr:uid="{AB61C9A7-FF07-4FFC-86F0-F6F62F59CC4E}"/>
    <cellStyle name="Normal 2 7 59 2 3" xfId="8207" xr:uid="{53BB4504-03D0-400D-94EF-B663A160E89B}"/>
    <cellStyle name="Normal 2 7 59 2 3 2" xfId="16793" xr:uid="{4E4EDAC0-2F78-4587-9D77-06655B2492CD}"/>
    <cellStyle name="Normal 2 7 59 2 4" xfId="16791" xr:uid="{9A34DFA5-F977-4369-8559-53F42B99596E}"/>
    <cellStyle name="Normal 2 7 59 3" xfId="8208" xr:uid="{9688FDBE-C709-47D9-9767-53ED48654D75}"/>
    <cellStyle name="Normal 2 7 59 3 2" xfId="16794" xr:uid="{6E8E8F85-F1E5-4DA9-BA22-A0FA0F8B4917}"/>
    <cellStyle name="Normal 2 7 59 4" xfId="8209" xr:uid="{D34C1222-A97E-4D2E-BA67-A441E258428D}"/>
    <cellStyle name="Normal 2 7 59 4 2" xfId="16795" xr:uid="{52805F4E-95AF-4F05-A3D1-A8C3F2DE5BD4}"/>
    <cellStyle name="Normal 2 7 59 5" xfId="16790" xr:uid="{CA1A90D1-DEA4-4D14-A822-F5A5EBB0A3E8}"/>
    <cellStyle name="Normal 2 7 6" xfId="8210" xr:uid="{00B028E6-3EE3-46F6-9140-C952190A92A4}"/>
    <cellStyle name="Normal 2 7 6 2" xfId="8211" xr:uid="{2563DF07-AFEC-47CA-82F7-F1B2240F5CE4}"/>
    <cellStyle name="Normal 2 7 6 3" xfId="8212" xr:uid="{1C18E2B6-ADCD-41B5-B314-C2ABE630DEE1}"/>
    <cellStyle name="Normal 2 7 6 4" xfId="8213" xr:uid="{79160FFA-5783-4096-AE35-DA29EDBAAECC}"/>
    <cellStyle name="Normal 2 7 60" xfId="8214" xr:uid="{ECB47DA9-28FC-4AE1-A576-26C33452193B}"/>
    <cellStyle name="Normal 2 7 60 2" xfId="8215" xr:uid="{78035480-84C9-490B-89E8-A429AE795DDA}"/>
    <cellStyle name="Normal 2 7 60 2 2" xfId="8216" xr:uid="{7D766136-EBE5-45DC-AC58-2B4A7F162C01}"/>
    <cellStyle name="Normal 2 7 60 2 2 2" xfId="16798" xr:uid="{01522472-B798-4F17-A91E-E447ACAC5502}"/>
    <cellStyle name="Normal 2 7 60 2 3" xfId="8217" xr:uid="{CAF65C1A-D1E6-4AAF-8232-052CC63B2C7B}"/>
    <cellStyle name="Normal 2 7 60 2 3 2" xfId="16799" xr:uid="{B8063C56-E28A-4A0D-A6F5-BAD4535DF54F}"/>
    <cellStyle name="Normal 2 7 60 2 4" xfId="16797" xr:uid="{8F3EFE23-6EEB-4235-BF41-E36B61119ADB}"/>
    <cellStyle name="Normal 2 7 60 3" xfId="8218" xr:uid="{7D253EBE-283D-4B64-9CAC-11D33B78F8A5}"/>
    <cellStyle name="Normal 2 7 60 3 2" xfId="16800" xr:uid="{8CAEF9CF-394E-4408-8661-905C4B624260}"/>
    <cellStyle name="Normal 2 7 60 4" xfId="8219" xr:uid="{1FDA8D11-3888-4993-B43A-60278AF554B5}"/>
    <cellStyle name="Normal 2 7 60 4 2" xfId="16801" xr:uid="{CFA87741-E2D1-468E-8536-6FD9A105B1F3}"/>
    <cellStyle name="Normal 2 7 60 5" xfId="16796" xr:uid="{93066AA3-0075-428B-8244-6CFF16A8304F}"/>
    <cellStyle name="Normal 2 7 61" xfId="8220" xr:uid="{75F0FE10-2DF1-4714-95AF-9756908D42E1}"/>
    <cellStyle name="Normal 2 7 61 2" xfId="8221" xr:uid="{55D5555E-EBAF-47DC-9B8B-1ED02404601F}"/>
    <cellStyle name="Normal 2 7 61 2 2" xfId="16803" xr:uid="{4E0E32C7-76C2-445D-8289-988479A8C918}"/>
    <cellStyle name="Normal 2 7 61 3" xfId="8222" xr:uid="{7C53B171-B695-46FE-A9E5-E860B125F6DC}"/>
    <cellStyle name="Normal 2 7 61 3 2" xfId="16804" xr:uid="{5D8ECE29-193F-45BA-8C47-193FA6E6226B}"/>
    <cellStyle name="Normal 2 7 61 4" xfId="16802" xr:uid="{6367D0EA-51F5-45ED-B1E8-894B6762919C}"/>
    <cellStyle name="Normal 2 7 62" xfId="8223" xr:uid="{2F4F812B-C0C3-4CBD-BA23-B66D69F1313B}"/>
    <cellStyle name="Normal 2 7 62 2" xfId="16805" xr:uid="{16002A42-F236-4447-B3B2-E1340B43BE0B}"/>
    <cellStyle name="Normal 2 7 63" xfId="8224" xr:uid="{F0E41B9D-D0BF-42EA-9B76-EBF242CB7C84}"/>
    <cellStyle name="Normal 2 7 63 2" xfId="16806" xr:uid="{11FCE803-ECC4-48F5-BF28-5019E06F4ED6}"/>
    <cellStyle name="Normal 2 7 64" xfId="16495" xr:uid="{ACF80A39-8978-4D83-B663-A39482ABEBE5}"/>
    <cellStyle name="Normal 2 7 7" xfId="8225" xr:uid="{E3D876A5-E0C4-4BA8-8961-20E23AD82427}"/>
    <cellStyle name="Normal 2 7 7 2" xfId="8226" xr:uid="{769167CE-0D5B-46AF-AE0A-ED4D602C417A}"/>
    <cellStyle name="Normal 2 7 7 3" xfId="8227" xr:uid="{8F74C1DE-DF31-49EF-9EB8-8AD2744C3F0A}"/>
    <cellStyle name="Normal 2 7 7 4" xfId="8228" xr:uid="{8F799787-4D83-4C99-9ED3-8513B9D011AA}"/>
    <cellStyle name="Normal 2 7 8" xfId="8229" xr:uid="{622940C2-B680-437B-A782-2ADA2DD9B29C}"/>
    <cellStyle name="Normal 2 7 8 2" xfId="8230" xr:uid="{472AC3BB-01BD-43BB-94A4-9670E797C972}"/>
    <cellStyle name="Normal 2 7 8 3" xfId="8231" xr:uid="{459CACFD-6FA9-4469-ACA3-E57791D6AA90}"/>
    <cellStyle name="Normal 2 7 8 4" xfId="8232" xr:uid="{B714FB66-BBF7-4BB0-9E3D-E3C18C1FC24D}"/>
    <cellStyle name="Normal 2 7 9" xfId="8233" xr:uid="{9E486190-878A-4BF4-A00F-072AF71E8913}"/>
    <cellStyle name="Normal 2 7 9 2" xfId="8234" xr:uid="{47C8645E-9CFB-4E74-9C78-F2646539703A}"/>
    <cellStyle name="Normal 2 7 9 3" xfId="8235" xr:uid="{00C04080-824F-4387-8179-AA11396EB962}"/>
    <cellStyle name="Normal 2 7 9 4" xfId="8236" xr:uid="{FD9CF86E-CBDC-4546-9C06-DD39034DF884}"/>
    <cellStyle name="Normal 2 8" xfId="8237" xr:uid="{0785BCEB-4E74-439A-8675-9F3536A13210}"/>
    <cellStyle name="Normal 2 8 10" xfId="8238" xr:uid="{B57B0811-F37D-434A-82DE-951FAD09DBC8}"/>
    <cellStyle name="Normal 2 8 10 2" xfId="8239" xr:uid="{DB54EBA5-5C9D-4FC5-8B5C-C2C7C91B2263}"/>
    <cellStyle name="Normal 2 8 10 2 2" xfId="8240" xr:uid="{9FC674CB-0ECA-4508-83C6-F6ACDD5F7F8A}"/>
    <cellStyle name="Normal 2 8 10 2 2 2" xfId="16810" xr:uid="{71C0822A-0B27-4610-AC1E-E43ADEF63604}"/>
    <cellStyle name="Normal 2 8 10 2 3" xfId="8241" xr:uid="{F03375D0-398F-4A9B-988E-C453B59BE8F1}"/>
    <cellStyle name="Normal 2 8 10 2 3 2" xfId="16811" xr:uid="{DC1B25B4-99D4-4EA0-881C-CFF4CFE280A2}"/>
    <cellStyle name="Normal 2 8 10 2 4" xfId="16809" xr:uid="{85261B8C-6E4E-4697-A9E7-8298277AAD37}"/>
    <cellStyle name="Normal 2 8 10 3" xfId="8242" xr:uid="{DC33DAB8-DBB4-4B8E-9CEF-10A6272526B8}"/>
    <cellStyle name="Normal 2 8 10 3 2" xfId="16812" xr:uid="{C85C658B-11BB-4357-B8E9-F109CA869FB8}"/>
    <cellStyle name="Normal 2 8 10 4" xfId="8243" xr:uid="{55C98E3A-A742-42B6-B8DF-4E9A622FBF14}"/>
    <cellStyle name="Normal 2 8 10 4 2" xfId="16813" xr:uid="{E513831B-3B83-4FA3-B36C-55155634C493}"/>
    <cellStyle name="Normal 2 8 10 5" xfId="16808" xr:uid="{3AD8CF6A-4D75-4C30-8515-26D5D3816E93}"/>
    <cellStyle name="Normal 2 8 11" xfId="8244" xr:uid="{5F2265DC-7064-4D7C-AA1F-34E29AE0D87E}"/>
    <cellStyle name="Normal 2 8 11 2" xfId="8245" xr:uid="{F762E33E-BF64-42B6-ACFB-7F0BFB00F009}"/>
    <cellStyle name="Normal 2 8 11 2 2" xfId="8246" xr:uid="{6DA190DF-A7C4-4B99-9689-09205D2C0E31}"/>
    <cellStyle name="Normal 2 8 11 2 2 2" xfId="16816" xr:uid="{2C5D5CF5-ED53-4CA0-A791-E558003CAF16}"/>
    <cellStyle name="Normal 2 8 11 2 3" xfId="8247" xr:uid="{10779A08-EEDD-437F-A919-070B3B34A209}"/>
    <cellStyle name="Normal 2 8 11 2 3 2" xfId="16817" xr:uid="{A33B2E8A-4B8E-4B6C-AC80-B20905E611D2}"/>
    <cellStyle name="Normal 2 8 11 2 4" xfId="16815" xr:uid="{4A011C55-B778-42A3-BC07-6CF360B1553C}"/>
    <cellStyle name="Normal 2 8 11 3" xfId="8248" xr:uid="{F303D2B7-1EDC-44DC-A980-0F6D2304C04C}"/>
    <cellStyle name="Normal 2 8 11 3 2" xfId="16818" xr:uid="{7E13D281-3CAC-4293-8019-C8D0DBF50367}"/>
    <cellStyle name="Normal 2 8 11 4" xfId="8249" xr:uid="{25068C77-5EDD-43D8-9FD3-0DB5B0FD6CDF}"/>
    <cellStyle name="Normal 2 8 11 4 2" xfId="16819" xr:uid="{3D55A310-70C6-450E-975A-B9B9F59B7B26}"/>
    <cellStyle name="Normal 2 8 11 5" xfId="16814" xr:uid="{81981957-9BAC-42E6-8C49-FCD71635D1AC}"/>
    <cellStyle name="Normal 2 8 12" xfId="8250" xr:uid="{152D4C5D-3081-41E8-A3EC-5EBEA4E6A42D}"/>
    <cellStyle name="Normal 2 8 12 2" xfId="8251" xr:uid="{BA10BC23-DA02-4263-B917-5BC211ABFB40}"/>
    <cellStyle name="Normal 2 8 12 2 2" xfId="8252" xr:uid="{9717BA03-1403-477E-BBD8-B97E29730579}"/>
    <cellStyle name="Normal 2 8 12 2 2 2" xfId="16822" xr:uid="{86FD593D-AB53-4F05-B422-6B3860E31B52}"/>
    <cellStyle name="Normal 2 8 12 2 3" xfId="8253" xr:uid="{A54B61D9-73D6-41C1-A710-22CB71EE06C1}"/>
    <cellStyle name="Normal 2 8 12 2 3 2" xfId="16823" xr:uid="{FABC63C5-E8B5-4E6D-9B69-5D4D5D6F0065}"/>
    <cellStyle name="Normal 2 8 12 2 4" xfId="16821" xr:uid="{FD034F5C-90B4-48DF-A491-F1AFD8B6BD4D}"/>
    <cellStyle name="Normal 2 8 12 3" xfId="8254" xr:uid="{B145E032-2A2E-4423-B1AC-30A3D495A546}"/>
    <cellStyle name="Normal 2 8 12 3 2" xfId="16824" xr:uid="{5B145BC8-EB76-47B6-9EF6-7B79953A1FD6}"/>
    <cellStyle name="Normal 2 8 12 4" xfId="8255" xr:uid="{D1668DA6-DB82-4BF9-BE40-A165C5041135}"/>
    <cellStyle name="Normal 2 8 12 4 2" xfId="16825" xr:uid="{6AEF23A1-48A4-4190-AC91-972D2EB5EFC0}"/>
    <cellStyle name="Normal 2 8 12 5" xfId="16820" xr:uid="{098C603F-17F1-4318-9750-8332BCFD5B4B}"/>
    <cellStyle name="Normal 2 8 13" xfId="8256" xr:uid="{7A678095-E9DC-4BF4-89ED-260E08FE5C50}"/>
    <cellStyle name="Normal 2 8 13 2" xfId="8257" xr:uid="{25CCE1BD-5A35-4D5A-906B-842236922F76}"/>
    <cellStyle name="Normal 2 8 13 2 2" xfId="8258" xr:uid="{59A6FBE4-44FD-40A2-8676-D781AECBD071}"/>
    <cellStyle name="Normal 2 8 13 2 2 2" xfId="16828" xr:uid="{841DAE4F-7B1F-4C7C-AA84-10B1F388BDF1}"/>
    <cellStyle name="Normal 2 8 13 2 3" xfId="8259" xr:uid="{9280AA88-5CF1-4364-9B4F-EB5D01A4D6CF}"/>
    <cellStyle name="Normal 2 8 13 2 3 2" xfId="16829" xr:uid="{38D3C653-A53A-4B97-8D9D-B5DFBE733C32}"/>
    <cellStyle name="Normal 2 8 13 2 4" xfId="16827" xr:uid="{43AF4DA9-F463-463A-89B9-C375DC9D4B21}"/>
    <cellStyle name="Normal 2 8 13 3" xfId="8260" xr:uid="{5B27A418-ED8A-457D-8961-10A6A789A7F3}"/>
    <cellStyle name="Normal 2 8 13 3 2" xfId="16830" xr:uid="{79DEF204-96EF-4378-8F07-45A3BFD93C06}"/>
    <cellStyle name="Normal 2 8 13 4" xfId="8261" xr:uid="{1A7C27C7-D955-4EDB-8500-EFA4A3AC8DE7}"/>
    <cellStyle name="Normal 2 8 13 4 2" xfId="16831" xr:uid="{BAD5EA38-FCC7-49F5-B295-05915582E6D5}"/>
    <cellStyle name="Normal 2 8 13 5" xfId="16826" xr:uid="{438A9FFA-20C0-488C-ADDB-63809982BA87}"/>
    <cellStyle name="Normal 2 8 14" xfId="8262" xr:uid="{3CF146BB-FE55-48A1-8ADC-CCF66CC3946C}"/>
    <cellStyle name="Normal 2 8 14 2" xfId="8263" xr:uid="{E950FD6E-FBB4-4C70-90CA-BDB641BD3DF1}"/>
    <cellStyle name="Normal 2 8 14 2 2" xfId="8264" xr:uid="{42BAB57F-3E52-4E2E-A5BB-C68BD359CAB8}"/>
    <cellStyle name="Normal 2 8 14 2 2 2" xfId="16834" xr:uid="{4D02A157-85F7-4065-ADE8-9A10326F7DAA}"/>
    <cellStyle name="Normal 2 8 14 2 3" xfId="8265" xr:uid="{AA2A92F4-23F7-497F-B109-5B346B4172C5}"/>
    <cellStyle name="Normal 2 8 14 2 3 2" xfId="16835" xr:uid="{9C5A724F-D721-4847-80DB-4828A660DB00}"/>
    <cellStyle name="Normal 2 8 14 2 4" xfId="16833" xr:uid="{923A8FDD-65AF-4FA1-A0EF-EBC88341849C}"/>
    <cellStyle name="Normal 2 8 14 3" xfId="8266" xr:uid="{3461D672-7DE3-4A7E-BBD1-E8AE3C9DF423}"/>
    <cellStyle name="Normal 2 8 14 3 2" xfId="16836" xr:uid="{FB28A22C-0203-42DA-86BB-EBD2A396BD63}"/>
    <cellStyle name="Normal 2 8 14 4" xfId="8267" xr:uid="{680C1FCF-B3F3-4D06-B737-B9D289D5B59E}"/>
    <cellStyle name="Normal 2 8 14 4 2" xfId="16837" xr:uid="{8701B627-E172-4356-A01F-EE00769F0627}"/>
    <cellStyle name="Normal 2 8 14 5" xfId="16832" xr:uid="{349F6A37-703D-4A22-9984-ACED3E708BF6}"/>
    <cellStyle name="Normal 2 8 15" xfId="8268" xr:uid="{7F728117-96FE-46D5-AB9C-E2FBE59A92CE}"/>
    <cellStyle name="Normal 2 8 15 2" xfId="8269" xr:uid="{6022C3CD-7CE0-4918-8555-5BBC06313A5A}"/>
    <cellStyle name="Normal 2 8 15 2 2" xfId="8270" xr:uid="{3653B693-14C5-48B7-9222-D108806D825F}"/>
    <cellStyle name="Normal 2 8 15 2 2 2" xfId="16840" xr:uid="{5342B0C3-8325-47DB-9E75-17A78F4C57AA}"/>
    <cellStyle name="Normal 2 8 15 2 3" xfId="8271" xr:uid="{B9452F90-6DAA-44B4-A897-AF565F1411D7}"/>
    <cellStyle name="Normal 2 8 15 2 3 2" xfId="16841" xr:uid="{2D2B2F38-FBBD-41B8-808D-C86615C44539}"/>
    <cellStyle name="Normal 2 8 15 2 4" xfId="16839" xr:uid="{B17099E5-2D35-42FE-8793-B26668288791}"/>
    <cellStyle name="Normal 2 8 15 3" xfId="8272" xr:uid="{D844D085-65F0-497C-A540-C643888E2C6D}"/>
    <cellStyle name="Normal 2 8 15 3 2" xfId="16842" xr:uid="{72AEEB40-914C-4A31-84D1-9605C0F2DD60}"/>
    <cellStyle name="Normal 2 8 15 4" xfId="8273" xr:uid="{C78B44A9-FA0D-407A-BBEC-C40001D0E81D}"/>
    <cellStyle name="Normal 2 8 15 4 2" xfId="16843" xr:uid="{9326B49F-337E-43DE-A498-DF923372A4D3}"/>
    <cellStyle name="Normal 2 8 15 5" xfId="16838" xr:uid="{D5FA528B-8396-40C7-B004-67B994C17F47}"/>
    <cellStyle name="Normal 2 8 16" xfId="8274" xr:uid="{58EBECFE-F6A6-401B-86EF-4821E7E21608}"/>
    <cellStyle name="Normal 2 8 16 2" xfId="8275" xr:uid="{BD55390D-63BC-4273-937B-71B6A001C29A}"/>
    <cellStyle name="Normal 2 8 16 2 2" xfId="8276" xr:uid="{8073013F-94B3-4ABF-A002-B68199D81349}"/>
    <cellStyle name="Normal 2 8 16 2 2 2" xfId="16846" xr:uid="{1C96A300-1064-4283-AAD6-007D86E2D050}"/>
    <cellStyle name="Normal 2 8 16 2 3" xfId="8277" xr:uid="{269AB1FB-361D-4F4F-A82E-2E72038B85DF}"/>
    <cellStyle name="Normal 2 8 16 2 3 2" xfId="16847" xr:uid="{E1D3D1FE-CE3B-4A87-B8D3-C1EBB31F0A2A}"/>
    <cellStyle name="Normal 2 8 16 2 4" xfId="16845" xr:uid="{F34877AE-A622-4CFA-B0FC-9D9A6757C94A}"/>
    <cellStyle name="Normal 2 8 16 3" xfId="8278" xr:uid="{9164F279-DD82-474D-A5B5-6B21C414118E}"/>
    <cellStyle name="Normal 2 8 16 3 2" xfId="16848" xr:uid="{E36582C6-8792-49A2-AB03-8319549AD5BA}"/>
    <cellStyle name="Normal 2 8 16 4" xfId="8279" xr:uid="{0AD78A8C-E2AC-4DCD-A52E-50BCB67FF3F7}"/>
    <cellStyle name="Normal 2 8 16 4 2" xfId="16849" xr:uid="{212B6026-A04C-4BC6-B4E8-1A50981C6115}"/>
    <cellStyle name="Normal 2 8 16 5" xfId="16844" xr:uid="{22A1DA57-E6D2-480A-9D19-AD783F5EBA21}"/>
    <cellStyle name="Normal 2 8 17" xfId="8280" xr:uid="{8FC04851-23B1-4E13-B966-84647A68470B}"/>
    <cellStyle name="Normal 2 8 17 2" xfId="8281" xr:uid="{5057DE4D-5C64-46FB-AE8B-5EB8A531B78C}"/>
    <cellStyle name="Normal 2 8 17 2 2" xfId="8282" xr:uid="{81067B4D-22BB-4063-857B-6275C79DD81C}"/>
    <cellStyle name="Normal 2 8 17 2 2 2" xfId="16852" xr:uid="{42F827B5-6A02-4030-AE04-1F5AE58CC795}"/>
    <cellStyle name="Normal 2 8 17 2 3" xfId="8283" xr:uid="{670DC369-450F-43DF-8085-89A4519DFE43}"/>
    <cellStyle name="Normal 2 8 17 2 3 2" xfId="16853" xr:uid="{D222289B-11A9-4B5F-AF90-2970C81DAE0C}"/>
    <cellStyle name="Normal 2 8 17 2 4" xfId="16851" xr:uid="{8464C1CF-5816-4C58-BD10-C607B816D694}"/>
    <cellStyle name="Normal 2 8 17 3" xfId="8284" xr:uid="{D92A8212-50D4-44FF-B9ED-6673A59A3CC4}"/>
    <cellStyle name="Normal 2 8 17 3 2" xfId="16854" xr:uid="{08391A6E-D528-45CE-91D7-EB25D31F0F5B}"/>
    <cellStyle name="Normal 2 8 17 4" xfId="8285" xr:uid="{D3378332-974B-46AD-A4EC-1E85E8BDABE1}"/>
    <cellStyle name="Normal 2 8 17 4 2" xfId="16855" xr:uid="{853C69E4-252C-4BF1-A031-3C06066F705D}"/>
    <cellStyle name="Normal 2 8 17 5" xfId="16850" xr:uid="{5A2164DF-BA00-420E-A4A9-F8DEF191596A}"/>
    <cellStyle name="Normal 2 8 18" xfId="8286" xr:uid="{52871618-6BCB-431C-93DC-4BC6EDF64B4A}"/>
    <cellStyle name="Normal 2 8 18 2" xfId="8287" xr:uid="{D51B6A6E-CD7A-46F0-8730-09366484CF02}"/>
    <cellStyle name="Normal 2 8 18 2 2" xfId="8288" xr:uid="{85EDA402-F44E-488B-A15C-230BBF3C15DD}"/>
    <cellStyle name="Normal 2 8 18 2 2 2" xfId="16858" xr:uid="{D6A68FD7-DB5A-440C-A2D4-A46443BC49A2}"/>
    <cellStyle name="Normal 2 8 18 2 3" xfId="8289" xr:uid="{9E1F82C4-6516-4CE8-B2A0-CD285C081EBD}"/>
    <cellStyle name="Normal 2 8 18 2 3 2" xfId="16859" xr:uid="{4212A73F-B899-4965-A370-1393B8C5D294}"/>
    <cellStyle name="Normal 2 8 18 2 4" xfId="16857" xr:uid="{C118CB80-A063-4695-93C9-F39A70599327}"/>
    <cellStyle name="Normal 2 8 18 3" xfId="8290" xr:uid="{BB5C1E68-D47F-4DFE-BB7C-4949D858F788}"/>
    <cellStyle name="Normal 2 8 18 3 2" xfId="16860" xr:uid="{C8CD1C65-B89C-4478-A73B-3CD8B1C41234}"/>
    <cellStyle name="Normal 2 8 18 4" xfId="8291" xr:uid="{D36C4958-AB9D-4944-A02C-3A3E1AB753AD}"/>
    <cellStyle name="Normal 2 8 18 4 2" xfId="16861" xr:uid="{4BD7A83A-1B73-44FF-A6F0-481CECD47642}"/>
    <cellStyle name="Normal 2 8 18 5" xfId="16856" xr:uid="{8AE8D15E-0303-462F-84E7-9205F0EF8AAF}"/>
    <cellStyle name="Normal 2 8 19" xfId="8292" xr:uid="{DB0F6863-1856-4F0D-9797-0202086028B6}"/>
    <cellStyle name="Normal 2 8 19 2" xfId="8293" xr:uid="{471BF163-7E04-4E0F-A047-ECCA91523FF9}"/>
    <cellStyle name="Normal 2 8 19 2 2" xfId="8294" xr:uid="{9AC22262-7A02-4046-B79F-3CB71D75EC41}"/>
    <cellStyle name="Normal 2 8 19 2 2 2" xfId="16864" xr:uid="{629AA1A3-1435-4DA3-8DE0-2C3F40C276D7}"/>
    <cellStyle name="Normal 2 8 19 2 3" xfId="8295" xr:uid="{76643D58-987D-4153-B587-33CB1A4C1B3E}"/>
    <cellStyle name="Normal 2 8 19 2 3 2" xfId="16865" xr:uid="{37A4F537-447E-456D-88EE-F54744984497}"/>
    <cellStyle name="Normal 2 8 19 2 4" xfId="16863" xr:uid="{E7A64235-4AE3-4C25-848D-17D208CE88C3}"/>
    <cellStyle name="Normal 2 8 19 3" xfId="8296" xr:uid="{9648FEE1-179A-4F4C-B0CD-5CA34A696841}"/>
    <cellStyle name="Normal 2 8 19 3 2" xfId="16866" xr:uid="{5343BF21-ED40-4CE9-A305-7C751D73317A}"/>
    <cellStyle name="Normal 2 8 19 4" xfId="8297" xr:uid="{C6179F5C-646E-4CA3-9AA8-8205B1FAD6B0}"/>
    <cellStyle name="Normal 2 8 19 4 2" xfId="16867" xr:uid="{05C46068-0B20-4FED-B453-6CBF34E9F876}"/>
    <cellStyle name="Normal 2 8 19 5" xfId="16862" xr:uid="{12113AB6-E44A-400D-A66F-01820A7E8C30}"/>
    <cellStyle name="Normal 2 8 2" xfId="8298" xr:uid="{48BB52A8-1F37-4504-BDF4-F591275A546F}"/>
    <cellStyle name="Normal 2 8 2 2" xfId="8299" xr:uid="{63FB1AFD-49B6-4182-9689-71360E8D0851}"/>
    <cellStyle name="Normal 2 8 2 2 2" xfId="8300" xr:uid="{2C705FBE-959F-4AC6-BA5F-3B567CC0DD91}"/>
    <cellStyle name="Normal 2 8 2 2 2 2" xfId="16870" xr:uid="{4C3C5DF1-C8E3-4D6D-B2EC-7D06AB3E284E}"/>
    <cellStyle name="Normal 2 8 2 2 3" xfId="8301" xr:uid="{AF80427D-5F51-4BCD-84D9-71BCAF7B1A03}"/>
    <cellStyle name="Normal 2 8 2 2 3 2" xfId="16871" xr:uid="{0B9589C2-418F-402B-8C8B-913976DFAA60}"/>
    <cellStyle name="Normal 2 8 2 2 4" xfId="16869" xr:uid="{9C6D7F5A-5EC2-4E64-B0FF-4712D511C675}"/>
    <cellStyle name="Normal 2 8 2 3" xfId="8302" xr:uid="{17AD03DA-18C3-48E0-B675-453E0F7E962B}"/>
    <cellStyle name="Normal 2 8 2 3 2" xfId="16872" xr:uid="{FC73A3CB-5661-4ABB-BBF8-667C16B64C51}"/>
    <cellStyle name="Normal 2 8 2 4" xfId="8303" xr:uid="{B07BCDAD-0CCE-4F70-BAA4-7A26113185B2}"/>
    <cellStyle name="Normal 2 8 2 4 2" xfId="16873" xr:uid="{21EC4B53-54C9-442E-8686-B7C03184CAE5}"/>
    <cellStyle name="Normal 2 8 2 5" xfId="16868" xr:uid="{9927AA26-C2B1-4C1F-809B-23D287AB8105}"/>
    <cellStyle name="Normal 2 8 20" xfId="8304" xr:uid="{5B1A3928-D0BF-40BF-BBAA-18CAC8964517}"/>
    <cellStyle name="Normal 2 8 20 2" xfId="8305" xr:uid="{3B667FA8-0302-4DF1-A671-2D5F5C512916}"/>
    <cellStyle name="Normal 2 8 20 2 2" xfId="8306" xr:uid="{F88BA7DE-7B46-4A28-8F6B-EC4023FA7B34}"/>
    <cellStyle name="Normal 2 8 20 2 2 2" xfId="16876" xr:uid="{DC146311-34B5-4E0A-8335-0FE4EF9C1E3A}"/>
    <cellStyle name="Normal 2 8 20 2 3" xfId="8307" xr:uid="{6DE67F41-57D8-4E97-820E-BA22E62633F2}"/>
    <cellStyle name="Normal 2 8 20 2 3 2" xfId="16877" xr:uid="{D94BCA65-3506-418A-9277-B41B002F615B}"/>
    <cellStyle name="Normal 2 8 20 2 4" xfId="16875" xr:uid="{EE3EF89B-BBBA-4E18-84CF-D06D33D83155}"/>
    <cellStyle name="Normal 2 8 20 3" xfId="8308" xr:uid="{3E6FD8F8-8B8B-4F31-9DAA-1C767B5204FF}"/>
    <cellStyle name="Normal 2 8 20 3 2" xfId="16878" xr:uid="{00EA08F5-5335-406B-8962-0A20509C49F7}"/>
    <cellStyle name="Normal 2 8 20 4" xfId="8309" xr:uid="{B6F2BE2A-45BB-49B0-A2DB-5C8855E0C3EF}"/>
    <cellStyle name="Normal 2 8 20 4 2" xfId="16879" xr:uid="{4BB0346B-E668-4D00-9714-73B3679AA9CD}"/>
    <cellStyle name="Normal 2 8 20 5" xfId="16874" xr:uid="{CE122EFB-08BD-434F-B781-EDB4DCD96FC0}"/>
    <cellStyle name="Normal 2 8 21" xfId="8310" xr:uid="{BBAE910A-4CA3-4D4D-B86F-D19CAE3EFCDE}"/>
    <cellStyle name="Normal 2 8 21 2" xfId="8311" xr:uid="{25BBF07F-99B3-46D0-B43E-60C0CDE57638}"/>
    <cellStyle name="Normal 2 8 21 2 2" xfId="8312" xr:uid="{569A08D2-E028-4C67-B72D-F2C4F59DBE42}"/>
    <cellStyle name="Normal 2 8 21 2 2 2" xfId="16882" xr:uid="{AAFA878E-247B-4946-B7B4-5A7A5DA0BC2B}"/>
    <cellStyle name="Normal 2 8 21 2 3" xfId="8313" xr:uid="{9533BE2B-CEB2-46DE-A40C-5AF022FF5DE3}"/>
    <cellStyle name="Normal 2 8 21 2 3 2" xfId="16883" xr:uid="{15C1D427-3C94-4D01-ACE3-263F8919330D}"/>
    <cellStyle name="Normal 2 8 21 2 4" xfId="16881" xr:uid="{AE6C8E5F-EB9F-49A1-ADD9-9F7CC6855917}"/>
    <cellStyle name="Normal 2 8 21 3" xfId="8314" xr:uid="{62BB11D0-F181-499F-B176-F28F9BACDEAA}"/>
    <cellStyle name="Normal 2 8 21 3 2" xfId="16884" xr:uid="{E74B7353-9D13-4E78-B603-7F8AFA60D418}"/>
    <cellStyle name="Normal 2 8 21 4" xfId="8315" xr:uid="{D21841B2-1678-4377-BBE4-22918EAC285A}"/>
    <cellStyle name="Normal 2 8 21 4 2" xfId="16885" xr:uid="{D3FC7136-8EAD-44ED-827C-EA7EBF23C7BF}"/>
    <cellStyle name="Normal 2 8 21 5" xfId="16880" xr:uid="{532FE0C6-356C-47A9-A47F-3CBBDDFEDDAB}"/>
    <cellStyle name="Normal 2 8 22" xfId="8316" xr:uid="{E808A44C-DC4B-4281-8394-F2899C49CBF6}"/>
    <cellStyle name="Normal 2 8 22 2" xfId="8317" xr:uid="{66C84881-8767-4A9E-BA63-B5DF63B9A77D}"/>
    <cellStyle name="Normal 2 8 22 2 2" xfId="8318" xr:uid="{086C57E6-FDC1-4D22-A964-3CD5386E1BFC}"/>
    <cellStyle name="Normal 2 8 22 2 2 2" xfId="16888" xr:uid="{66F7D024-182A-40E0-9D97-75D22798EF86}"/>
    <cellStyle name="Normal 2 8 22 2 3" xfId="8319" xr:uid="{90831963-C331-4CF8-8050-466CB196337A}"/>
    <cellStyle name="Normal 2 8 22 2 3 2" xfId="16889" xr:uid="{C1E1398A-DEDF-462C-82D9-D8F970F213B3}"/>
    <cellStyle name="Normal 2 8 22 2 4" xfId="16887" xr:uid="{2F7DC04F-1218-4401-821B-794034E2EEE9}"/>
    <cellStyle name="Normal 2 8 22 3" xfId="8320" xr:uid="{A3ABE664-2699-4E3A-9D01-A33ECD1810E3}"/>
    <cellStyle name="Normal 2 8 22 3 2" xfId="16890" xr:uid="{EC25AFE5-5906-4F98-9B2D-86615A5D547C}"/>
    <cellStyle name="Normal 2 8 22 4" xfId="8321" xr:uid="{580229C7-C442-4CC2-9200-146426730AB6}"/>
    <cellStyle name="Normal 2 8 22 4 2" xfId="16891" xr:uid="{F1B558F0-9E65-4BBF-96BF-88450CA3F967}"/>
    <cellStyle name="Normal 2 8 22 5" xfId="16886" xr:uid="{A6F9BD82-B9D6-4A2A-9BFD-B7E054E2133A}"/>
    <cellStyle name="Normal 2 8 23" xfId="8322" xr:uid="{25D02CC7-9E5D-4128-AC81-72F195BBFCEE}"/>
    <cellStyle name="Normal 2 8 23 2" xfId="8323" xr:uid="{028B2E27-B82E-4306-9078-C9F144950818}"/>
    <cellStyle name="Normal 2 8 23 2 2" xfId="8324" xr:uid="{D21E127B-5F8D-4D45-8397-19AEF15C3F6C}"/>
    <cellStyle name="Normal 2 8 23 2 2 2" xfId="16894" xr:uid="{5D8B327B-920A-406F-A134-041AC9F41D44}"/>
    <cellStyle name="Normal 2 8 23 2 3" xfId="8325" xr:uid="{03C372D1-AB01-44B7-9370-59540346A0E7}"/>
    <cellStyle name="Normal 2 8 23 2 3 2" xfId="16895" xr:uid="{DB7F8496-13EC-46C4-8887-97D88CFE94FC}"/>
    <cellStyle name="Normal 2 8 23 2 4" xfId="16893" xr:uid="{B6629AF4-1665-4023-8B9F-D30427F9B692}"/>
    <cellStyle name="Normal 2 8 23 3" xfId="8326" xr:uid="{72BFEA5F-6AB9-436A-B5B6-152A16258D01}"/>
    <cellStyle name="Normal 2 8 23 3 2" xfId="16896" xr:uid="{A88B13E1-7000-4EF7-AF0E-86475750DA7D}"/>
    <cellStyle name="Normal 2 8 23 4" xfId="8327" xr:uid="{AD9D5549-F095-480F-9CFF-A003CFCA1B15}"/>
    <cellStyle name="Normal 2 8 23 4 2" xfId="16897" xr:uid="{CE033824-1C8D-4D9C-A624-0743F03B66EC}"/>
    <cellStyle name="Normal 2 8 23 5" xfId="16892" xr:uid="{2934811C-7591-4B1F-A85F-5188EFBF94EA}"/>
    <cellStyle name="Normal 2 8 24" xfId="8328" xr:uid="{83A86A32-436C-4542-9B76-281B0FB480EA}"/>
    <cellStyle name="Normal 2 8 24 2" xfId="8329" xr:uid="{0EF4D7FB-1935-473F-BE77-C7694AACDB33}"/>
    <cellStyle name="Normal 2 8 24 2 2" xfId="8330" xr:uid="{5EB61587-D91B-47AF-83C7-EA7E3E58B9D8}"/>
    <cellStyle name="Normal 2 8 24 2 2 2" xfId="16900" xr:uid="{96F4EF9C-6A3B-4970-B335-C2EB7FACE6FF}"/>
    <cellStyle name="Normal 2 8 24 2 3" xfId="8331" xr:uid="{F4328274-5198-4C2E-BCA7-9C23EBD44D73}"/>
    <cellStyle name="Normal 2 8 24 2 3 2" xfId="16901" xr:uid="{3214F8E5-7E46-49DE-A8A1-A9C6284C740B}"/>
    <cellStyle name="Normal 2 8 24 2 4" xfId="16899" xr:uid="{4DFF131D-2BF4-44CE-B671-0E9166CBEEA9}"/>
    <cellStyle name="Normal 2 8 24 3" xfId="8332" xr:uid="{6A43E489-9EC8-4E67-9202-09C5F129D988}"/>
    <cellStyle name="Normal 2 8 24 3 2" xfId="16902" xr:uid="{1C57FE47-6162-4998-A736-4F5757F48E86}"/>
    <cellStyle name="Normal 2 8 24 4" xfId="8333" xr:uid="{275D7875-2095-4CAF-8463-2DDDB1E49065}"/>
    <cellStyle name="Normal 2 8 24 4 2" xfId="16903" xr:uid="{43DD8763-8524-4184-8AAF-99128BE0D6D0}"/>
    <cellStyle name="Normal 2 8 24 5" xfId="16898" xr:uid="{F6FFFC18-4185-4284-B946-EDC2A7B50607}"/>
    <cellStyle name="Normal 2 8 25" xfId="8334" xr:uid="{1FF9ABA9-35B9-4C2B-BD31-D4E3A7C43113}"/>
    <cellStyle name="Normal 2 8 25 2" xfId="8335" xr:uid="{EE39E9C7-664C-49FD-A612-C87386530E83}"/>
    <cellStyle name="Normal 2 8 25 2 2" xfId="8336" xr:uid="{8994BDD5-7157-4734-8244-9E959DCE1A53}"/>
    <cellStyle name="Normal 2 8 25 2 2 2" xfId="16906" xr:uid="{51CD5817-2468-48FD-AB77-5EF04A5C7F2B}"/>
    <cellStyle name="Normal 2 8 25 2 3" xfId="8337" xr:uid="{6986BB19-6A3B-4F8B-8116-4B07A4B45340}"/>
    <cellStyle name="Normal 2 8 25 2 3 2" xfId="16907" xr:uid="{806A13D4-FD72-40C1-87AA-2491EA470371}"/>
    <cellStyle name="Normal 2 8 25 2 4" xfId="16905" xr:uid="{CE77C296-4B10-45D2-A3DB-512103F74D0A}"/>
    <cellStyle name="Normal 2 8 25 3" xfId="8338" xr:uid="{E0AA4EE5-2BA1-4AED-A9AE-DD1C948265C5}"/>
    <cellStyle name="Normal 2 8 25 3 2" xfId="16908" xr:uid="{BF3157D2-6137-486A-AF68-5854913FFFEF}"/>
    <cellStyle name="Normal 2 8 25 4" xfId="8339" xr:uid="{2821A6D7-65D0-43C3-B7BA-54A621227069}"/>
    <cellStyle name="Normal 2 8 25 4 2" xfId="16909" xr:uid="{2C7775AE-474F-4769-8ADC-66B46DA8C25C}"/>
    <cellStyle name="Normal 2 8 25 5" xfId="16904" xr:uid="{B2BFA899-1DE2-47E9-8A46-04164C57060E}"/>
    <cellStyle name="Normal 2 8 26" xfId="8340" xr:uid="{280215F0-56B6-42C6-9393-F87A23A67670}"/>
    <cellStyle name="Normal 2 8 26 2" xfId="8341" xr:uid="{6FC9226A-3F5C-499A-82BF-8C04ACA0746E}"/>
    <cellStyle name="Normal 2 8 26 2 2" xfId="8342" xr:uid="{9EBB9CDE-5629-4613-856F-53992CC9A592}"/>
    <cellStyle name="Normal 2 8 26 2 2 2" xfId="16912" xr:uid="{4115345C-F972-45E7-B167-45EF4F11187B}"/>
    <cellStyle name="Normal 2 8 26 2 3" xfId="8343" xr:uid="{6B30C2F1-1D5D-4DED-BA42-65503B5CFD39}"/>
    <cellStyle name="Normal 2 8 26 2 3 2" xfId="16913" xr:uid="{B982B50A-091E-40A5-AC30-EE35BA036508}"/>
    <cellStyle name="Normal 2 8 26 2 4" xfId="16911" xr:uid="{774B2A28-D28A-40C5-86D0-26FEC41B438F}"/>
    <cellStyle name="Normal 2 8 26 3" xfId="8344" xr:uid="{0840E10E-298A-42C6-BDB9-71B28A146FBE}"/>
    <cellStyle name="Normal 2 8 26 3 2" xfId="16914" xr:uid="{E2304292-883B-4D04-A269-6CDA16F7A70A}"/>
    <cellStyle name="Normal 2 8 26 4" xfId="8345" xr:uid="{928579BE-9EB6-4380-81E8-E012B68C4635}"/>
    <cellStyle name="Normal 2 8 26 4 2" xfId="16915" xr:uid="{373C3B21-4FDE-43EC-A81F-0A832298600F}"/>
    <cellStyle name="Normal 2 8 26 5" xfId="16910" xr:uid="{08F6440B-C83F-4F89-8CDF-EDC092944887}"/>
    <cellStyle name="Normal 2 8 27" xfId="8346" xr:uid="{854E90C0-6E08-43C7-99B4-B4845512D608}"/>
    <cellStyle name="Normal 2 8 27 2" xfId="8347" xr:uid="{2477E910-04C0-462F-8EE8-53739B559943}"/>
    <cellStyle name="Normal 2 8 27 2 2" xfId="8348" xr:uid="{841E5FDC-A681-47AC-B86C-7A3794CA852C}"/>
    <cellStyle name="Normal 2 8 27 2 2 2" xfId="16918" xr:uid="{79EC66AA-9A07-4637-B0A4-637224D57E29}"/>
    <cellStyle name="Normal 2 8 27 2 3" xfId="8349" xr:uid="{2FA1A896-1D9A-437F-BEFD-78F8A6F3541A}"/>
    <cellStyle name="Normal 2 8 27 2 3 2" xfId="16919" xr:uid="{302DFDD0-26C7-4973-8181-FC612CECBB0A}"/>
    <cellStyle name="Normal 2 8 27 2 4" xfId="16917" xr:uid="{2659A060-5C5F-43CC-AD4C-62A2E59030F9}"/>
    <cellStyle name="Normal 2 8 27 3" xfId="8350" xr:uid="{EF796631-ED54-4E45-9CEA-3E4F2A6071BF}"/>
    <cellStyle name="Normal 2 8 27 3 2" xfId="16920" xr:uid="{EBF63CB2-CD95-461A-B5B9-D86E2ECBA5F9}"/>
    <cellStyle name="Normal 2 8 27 4" xfId="8351" xr:uid="{B8A5E047-5FA9-4232-AAAB-85A0CE27351C}"/>
    <cellStyle name="Normal 2 8 27 4 2" xfId="16921" xr:uid="{A05C9E44-3F19-4986-91F7-C586318979BC}"/>
    <cellStyle name="Normal 2 8 27 5" xfId="16916" xr:uid="{549E7ED3-AF2A-4FD6-9621-66D221F3858E}"/>
    <cellStyle name="Normal 2 8 28" xfId="8352" xr:uid="{CCDA1229-8885-43F8-B4BD-EBE7BF8CAD7F}"/>
    <cellStyle name="Normal 2 8 28 2" xfId="8353" xr:uid="{7A622BC1-A6B6-46F4-ACBB-E94034A22E65}"/>
    <cellStyle name="Normal 2 8 28 2 2" xfId="8354" xr:uid="{725626DE-6AA7-4253-A334-06460D0AF5D6}"/>
    <cellStyle name="Normal 2 8 28 2 2 2" xfId="16924" xr:uid="{BF402621-0207-4C0F-97DA-EC0A299BF6C2}"/>
    <cellStyle name="Normal 2 8 28 2 3" xfId="8355" xr:uid="{1352C60C-AA31-4112-891A-A61C19D1A38A}"/>
    <cellStyle name="Normal 2 8 28 2 3 2" xfId="16925" xr:uid="{E71A1138-B804-45EA-BE66-F9EAC9E25F34}"/>
    <cellStyle name="Normal 2 8 28 2 4" xfId="16923" xr:uid="{5C84EB80-360D-470B-94F5-DEEA9E0B44CC}"/>
    <cellStyle name="Normal 2 8 28 3" xfId="8356" xr:uid="{115F03D6-40DC-4CB6-BDF0-A4532E9628DF}"/>
    <cellStyle name="Normal 2 8 28 3 2" xfId="16926" xr:uid="{E518CE41-4917-4C01-9898-4E6379A6D339}"/>
    <cellStyle name="Normal 2 8 28 4" xfId="8357" xr:uid="{6B27C6A9-C494-4AA0-BCD4-4EEBB618F5D4}"/>
    <cellStyle name="Normal 2 8 28 4 2" xfId="16927" xr:uid="{7C818AB0-EF93-4ED2-A806-A045F0E870A6}"/>
    <cellStyle name="Normal 2 8 28 5" xfId="16922" xr:uid="{7B3FFDC8-A6D4-49C7-80C7-A64EBD0BD75E}"/>
    <cellStyle name="Normal 2 8 29" xfId="8358" xr:uid="{C99EA09B-1626-47D6-9DF2-E948A5331CD3}"/>
    <cellStyle name="Normal 2 8 29 2" xfId="8359" xr:uid="{3352FD2C-2E05-4DBF-9007-C8C265711F18}"/>
    <cellStyle name="Normal 2 8 29 2 2" xfId="8360" xr:uid="{36990A70-F24C-45AC-BA3F-5AEED335D381}"/>
    <cellStyle name="Normal 2 8 29 2 2 2" xfId="16930" xr:uid="{B49F3178-6476-40A8-AC22-056F895D5406}"/>
    <cellStyle name="Normal 2 8 29 2 3" xfId="8361" xr:uid="{6571D4B8-C0B8-4FC7-9CD6-42A3DEA37A70}"/>
    <cellStyle name="Normal 2 8 29 2 3 2" xfId="16931" xr:uid="{B33A1DDC-4552-468E-AF33-C62E207DFBD5}"/>
    <cellStyle name="Normal 2 8 29 2 4" xfId="16929" xr:uid="{796F3F6A-F46E-45FA-A1B3-1DD0B11F245B}"/>
    <cellStyle name="Normal 2 8 29 3" xfId="8362" xr:uid="{F1F79580-05AD-41D4-AE53-B7E3561F4D35}"/>
    <cellStyle name="Normal 2 8 29 3 2" xfId="16932" xr:uid="{67CD02BE-E3AF-4B4C-977F-9BCC52E6F89B}"/>
    <cellStyle name="Normal 2 8 29 4" xfId="8363" xr:uid="{C6A5C691-F173-49CE-A70B-0FA088C0E586}"/>
    <cellStyle name="Normal 2 8 29 4 2" xfId="16933" xr:uid="{406B81A0-D526-4402-AD02-15D13A5A4A18}"/>
    <cellStyle name="Normal 2 8 29 5" xfId="16928" xr:uid="{5203C319-4290-43BD-A7D6-E5D6B2D7F160}"/>
    <cellStyle name="Normal 2 8 3" xfId="8364" xr:uid="{D210FD2D-C765-43C5-8F5F-FD0FE7E32685}"/>
    <cellStyle name="Normal 2 8 3 2" xfId="8365" xr:uid="{339BD324-87A8-4DEC-B390-325D5B85D027}"/>
    <cellStyle name="Normal 2 8 3 2 2" xfId="8366" xr:uid="{63AA3183-DFFE-459A-A371-3DED52670C92}"/>
    <cellStyle name="Normal 2 8 3 2 2 2" xfId="16936" xr:uid="{99435D76-459F-4E28-844E-A8E32C567432}"/>
    <cellStyle name="Normal 2 8 3 2 3" xfId="8367" xr:uid="{B4E3394E-0798-4755-BF05-FDAF4EFFB7C2}"/>
    <cellStyle name="Normal 2 8 3 2 3 2" xfId="16937" xr:uid="{B0ACA234-6A9D-4260-9DB0-1C2043E1BD94}"/>
    <cellStyle name="Normal 2 8 3 2 4" xfId="16935" xr:uid="{EAFFCD4B-C2A6-4785-970D-47AE6800CCA8}"/>
    <cellStyle name="Normal 2 8 3 3" xfId="8368" xr:uid="{ED922605-DA57-4198-84A1-5462F5018B6F}"/>
    <cellStyle name="Normal 2 8 3 3 2" xfId="16938" xr:uid="{CF4E4266-3851-4A97-AF03-F7B9BF2E7F1E}"/>
    <cellStyle name="Normal 2 8 3 4" xfId="8369" xr:uid="{3B5696BF-953C-4B5C-9675-984520AC06BD}"/>
    <cellStyle name="Normal 2 8 3 4 2" xfId="16939" xr:uid="{0BCDED2F-A68B-4685-8EC5-B6ACE677D3E0}"/>
    <cellStyle name="Normal 2 8 3 5" xfId="16934" xr:uid="{96F84339-6F18-4533-BAE3-271B64DA4A60}"/>
    <cellStyle name="Normal 2 8 30" xfId="8370" xr:uid="{5A55789B-E9A2-4FB1-9878-AA825737A23D}"/>
    <cellStyle name="Normal 2 8 30 2" xfId="8371" xr:uid="{CD89F307-89A0-4527-A070-3141125DA052}"/>
    <cellStyle name="Normal 2 8 30 2 2" xfId="8372" xr:uid="{3D4D74D2-5684-4696-9D8F-35EC8D13C5B2}"/>
    <cellStyle name="Normal 2 8 30 2 2 2" xfId="16942" xr:uid="{582ABCE2-F9EF-4970-BE41-4BAC7FBBBD4B}"/>
    <cellStyle name="Normal 2 8 30 2 3" xfId="8373" xr:uid="{05430F1E-901D-4F83-94C9-98E2D7168B29}"/>
    <cellStyle name="Normal 2 8 30 2 3 2" xfId="16943" xr:uid="{94ECCB0B-E8DF-44CD-ACC8-FEF1ABBE04AA}"/>
    <cellStyle name="Normal 2 8 30 2 4" xfId="16941" xr:uid="{1DC3DE99-8B8A-4166-A672-1BF8AC577FD1}"/>
    <cellStyle name="Normal 2 8 30 3" xfId="8374" xr:uid="{3316E692-B31B-4A53-97DE-807AE7F92CD2}"/>
    <cellStyle name="Normal 2 8 30 3 2" xfId="16944" xr:uid="{6458695E-915A-4FCB-9CD1-9753F3278E61}"/>
    <cellStyle name="Normal 2 8 30 4" xfId="8375" xr:uid="{CD438D21-2EF7-4C3B-B523-90F08499A409}"/>
    <cellStyle name="Normal 2 8 30 4 2" xfId="16945" xr:uid="{A2F3358F-9B9F-4F6D-86A6-28A5255F0E48}"/>
    <cellStyle name="Normal 2 8 30 5" xfId="16940" xr:uid="{430B6FCA-37DD-432C-A695-C605E2AD02CA}"/>
    <cellStyle name="Normal 2 8 31" xfId="8376" xr:uid="{38B524D3-5723-4B60-8991-707EBDDC46C4}"/>
    <cellStyle name="Normal 2 8 31 2" xfId="8377" xr:uid="{0703F978-3689-4892-BB33-3702FE5AA022}"/>
    <cellStyle name="Normal 2 8 31 2 2" xfId="8378" xr:uid="{A6684FCF-AECE-4F8A-8D28-5573C5CE85B5}"/>
    <cellStyle name="Normal 2 8 31 2 2 2" xfId="16948" xr:uid="{AE3C5FFE-EE11-494E-B957-330E14A822E6}"/>
    <cellStyle name="Normal 2 8 31 2 3" xfId="8379" xr:uid="{1DFEE6EF-1F80-4DC8-98A8-12183091BE8B}"/>
    <cellStyle name="Normal 2 8 31 2 3 2" xfId="16949" xr:uid="{1B91DEAA-2548-4689-94B8-C2EC56E14B25}"/>
    <cellStyle name="Normal 2 8 31 2 4" xfId="16947" xr:uid="{ED71D138-C9C6-4032-BE6F-2A03C350B38C}"/>
    <cellStyle name="Normal 2 8 31 3" xfId="8380" xr:uid="{E3B5A7D3-E383-4799-94E5-996FC09130D5}"/>
    <cellStyle name="Normal 2 8 31 3 2" xfId="16950" xr:uid="{49AD28AB-2BCC-459B-9232-329CCF46971C}"/>
    <cellStyle name="Normal 2 8 31 4" xfId="8381" xr:uid="{1903C4D0-C495-4877-9691-B374C3CDD988}"/>
    <cellStyle name="Normal 2 8 31 4 2" xfId="16951" xr:uid="{9E2240B9-96FD-4A36-892C-CEE5BE4F63A9}"/>
    <cellStyle name="Normal 2 8 31 5" xfId="16946" xr:uid="{8CF463DC-44A8-4DC7-8AF2-57E845C8F110}"/>
    <cellStyle name="Normal 2 8 32" xfId="8382" xr:uid="{B8FA3C30-DC2F-4031-AC57-6D4BACB57AD5}"/>
    <cellStyle name="Normal 2 8 32 2" xfId="8383" xr:uid="{E5FF0912-7C46-4F30-B539-FB6F1AC1FC3B}"/>
    <cellStyle name="Normal 2 8 32 2 2" xfId="8384" xr:uid="{17A5CEB9-C34E-4B43-AB80-5732D20EBA52}"/>
    <cellStyle name="Normal 2 8 32 2 2 2" xfId="16954" xr:uid="{7630D98A-008D-41DA-B457-827E9462A47B}"/>
    <cellStyle name="Normal 2 8 32 2 3" xfId="8385" xr:uid="{A62AA205-B20F-4074-8F0E-CB865843070C}"/>
    <cellStyle name="Normal 2 8 32 2 3 2" xfId="16955" xr:uid="{49BE96A9-EF92-4BEA-9545-139638F4DA3E}"/>
    <cellStyle name="Normal 2 8 32 2 4" xfId="16953" xr:uid="{C18A490C-2733-4D16-9C54-96AEA8A02C05}"/>
    <cellStyle name="Normal 2 8 32 3" xfId="8386" xr:uid="{54EABC38-8296-461C-9B9F-482DC98C12D8}"/>
    <cellStyle name="Normal 2 8 32 3 2" xfId="16956" xr:uid="{A7253A1C-703D-4A27-8F46-21C73E2EBB84}"/>
    <cellStyle name="Normal 2 8 32 4" xfId="8387" xr:uid="{5DFA7C9F-82A1-4D3F-B275-7C8D097E9F5C}"/>
    <cellStyle name="Normal 2 8 32 4 2" xfId="16957" xr:uid="{2DE5C793-2DB5-4B17-9AC7-E45EEDC37A85}"/>
    <cellStyle name="Normal 2 8 32 5" xfId="16952" xr:uid="{2E2869CE-4734-4348-B103-FA2823F6B6AB}"/>
    <cellStyle name="Normal 2 8 33" xfId="8388" xr:uid="{61D5B6FB-888D-4CBE-B13B-CF62B436628C}"/>
    <cellStyle name="Normal 2 8 33 2" xfId="8389" xr:uid="{6413DA5D-ED5D-4957-AE4E-785D5DE24E55}"/>
    <cellStyle name="Normal 2 8 33 2 2" xfId="8390" xr:uid="{93F2B197-00A2-4153-A785-CAE67668AAE0}"/>
    <cellStyle name="Normal 2 8 33 2 2 2" xfId="16960" xr:uid="{02090560-7C60-4C46-8C90-B19D65C5FED3}"/>
    <cellStyle name="Normal 2 8 33 2 3" xfId="8391" xr:uid="{C9BB5F98-85F3-42D2-8209-58AC5A3F98CC}"/>
    <cellStyle name="Normal 2 8 33 2 3 2" xfId="16961" xr:uid="{19E252C8-B2F8-4381-B74A-22184A8E3CC1}"/>
    <cellStyle name="Normal 2 8 33 2 4" xfId="16959" xr:uid="{E028D618-3BDF-4A06-8108-79F6CB35D122}"/>
    <cellStyle name="Normal 2 8 33 3" xfId="8392" xr:uid="{5AC7B5F8-DEF9-45F0-80BD-0DD242EF871F}"/>
    <cellStyle name="Normal 2 8 33 3 2" xfId="16962" xr:uid="{3143941E-75C6-4503-A6B5-42460CC53A48}"/>
    <cellStyle name="Normal 2 8 33 4" xfId="8393" xr:uid="{64B2A80B-0502-4869-800A-763CF9CF2343}"/>
    <cellStyle name="Normal 2 8 33 4 2" xfId="16963" xr:uid="{3162C4F8-9FBA-4F9F-BA61-547918F9C98A}"/>
    <cellStyle name="Normal 2 8 33 5" xfId="16958" xr:uid="{E99DA363-3498-48A3-8171-AE8F215D0467}"/>
    <cellStyle name="Normal 2 8 34" xfId="8394" xr:uid="{F5C28553-8D4F-4B96-AFB1-EF3E1DB03EA0}"/>
    <cellStyle name="Normal 2 8 34 2" xfId="8395" xr:uid="{97C3E8B6-3807-4D01-B010-77935C437769}"/>
    <cellStyle name="Normal 2 8 34 2 2" xfId="8396" xr:uid="{1C37E1E1-EF91-45E7-91F8-97B6C92836DE}"/>
    <cellStyle name="Normal 2 8 34 2 2 2" xfId="16966" xr:uid="{98645076-6D90-4081-96CC-93B7AEAB2EEA}"/>
    <cellStyle name="Normal 2 8 34 2 3" xfId="8397" xr:uid="{F903324F-A9C8-4413-9D95-671FDF11A871}"/>
    <cellStyle name="Normal 2 8 34 2 3 2" xfId="16967" xr:uid="{D44431E1-CDC1-42B2-80A3-585C1F0E2483}"/>
    <cellStyle name="Normal 2 8 34 2 4" xfId="16965" xr:uid="{2C2BEC15-91B1-444E-BACA-00582BEA9361}"/>
    <cellStyle name="Normal 2 8 34 3" xfId="8398" xr:uid="{BDF16842-83BD-47C5-9850-90B94FACD781}"/>
    <cellStyle name="Normal 2 8 34 3 2" xfId="16968" xr:uid="{81F326D2-AE1B-41CB-8CE8-6FBF9A0817AD}"/>
    <cellStyle name="Normal 2 8 34 4" xfId="8399" xr:uid="{71C5F278-1194-405C-8222-728F7EE20EFA}"/>
    <cellStyle name="Normal 2 8 34 4 2" xfId="16969" xr:uid="{A6981B73-1D02-47D1-87CA-7EE898CE58BC}"/>
    <cellStyle name="Normal 2 8 34 5" xfId="16964" xr:uid="{1B025E9C-55CA-47CA-ABF3-0CCB269C4590}"/>
    <cellStyle name="Normal 2 8 35" xfId="8400" xr:uid="{9E4E349B-6B4D-484D-9018-E815A3656CE1}"/>
    <cellStyle name="Normal 2 8 35 2" xfId="8401" xr:uid="{9CCE344E-3FF8-40CD-9621-734BD6A7CDB9}"/>
    <cellStyle name="Normal 2 8 35 2 2" xfId="8402" xr:uid="{BDFD19A2-FF16-4C6D-A8A8-A4EAD71E9554}"/>
    <cellStyle name="Normal 2 8 35 2 2 2" xfId="16972" xr:uid="{5DA9E632-EF84-4FAD-93DF-93F0745856E6}"/>
    <cellStyle name="Normal 2 8 35 2 3" xfId="8403" xr:uid="{9ADCD5DD-A245-475C-997F-CE6A77320C86}"/>
    <cellStyle name="Normal 2 8 35 2 3 2" xfId="16973" xr:uid="{E4D609F5-297E-4CFC-BACC-E2320B77E04D}"/>
    <cellStyle name="Normal 2 8 35 2 4" xfId="16971" xr:uid="{D3449ABA-65AF-4CA2-8132-BB9699B1A583}"/>
    <cellStyle name="Normal 2 8 35 3" xfId="8404" xr:uid="{1FED9BA0-0C2E-4A61-9FE2-429874381002}"/>
    <cellStyle name="Normal 2 8 35 3 2" xfId="16974" xr:uid="{7B4EE277-C5CD-4137-B632-D996B86BD9D8}"/>
    <cellStyle name="Normal 2 8 35 4" xfId="8405" xr:uid="{8E7ECAE9-049E-45CA-AC53-71431D5BEE90}"/>
    <cellStyle name="Normal 2 8 35 4 2" xfId="16975" xr:uid="{6F3424A7-1A4C-4C92-955E-FEC76C7273F7}"/>
    <cellStyle name="Normal 2 8 35 5" xfId="16970" xr:uid="{32712AF2-94F7-4B42-B298-7D014E492E60}"/>
    <cellStyle name="Normal 2 8 36" xfId="8406" xr:uid="{D490D416-CB9C-4D21-B1A4-23E34A954CB7}"/>
    <cellStyle name="Normal 2 8 36 2" xfId="8407" xr:uid="{0555F82A-17D7-46C0-BE6E-64EA59C08027}"/>
    <cellStyle name="Normal 2 8 36 2 2" xfId="8408" xr:uid="{94E6D4F2-8BCD-4D37-B789-D59C38B555C6}"/>
    <cellStyle name="Normal 2 8 36 2 2 2" xfId="16978" xr:uid="{67ECA408-4023-4A17-9D6A-0A5C3EFF9E71}"/>
    <cellStyle name="Normal 2 8 36 2 3" xfId="8409" xr:uid="{359DB9C2-7038-4969-BA79-ED52FFA506D5}"/>
    <cellStyle name="Normal 2 8 36 2 3 2" xfId="16979" xr:uid="{459805F4-BC9B-4E4F-8CA6-6A4667766F6E}"/>
    <cellStyle name="Normal 2 8 36 2 4" xfId="16977" xr:uid="{8F9E3ACC-0ABA-4785-97F2-ADAF379E4895}"/>
    <cellStyle name="Normal 2 8 36 3" xfId="8410" xr:uid="{2A43A1C4-04E5-44C5-82F7-2015779A0172}"/>
    <cellStyle name="Normal 2 8 36 3 2" xfId="16980" xr:uid="{48C4E3DB-6F06-4440-9858-6CBE5E3CD7F8}"/>
    <cellStyle name="Normal 2 8 36 4" xfId="8411" xr:uid="{BB50DBA6-697E-49FA-8FA7-2DB56430EA34}"/>
    <cellStyle name="Normal 2 8 36 4 2" xfId="16981" xr:uid="{ACF248F7-F47E-40C6-A158-BBFACA5E06CD}"/>
    <cellStyle name="Normal 2 8 36 5" xfId="16976" xr:uid="{D5626711-A3D1-4174-91E9-2848CF20B67A}"/>
    <cellStyle name="Normal 2 8 37" xfId="8412" xr:uid="{353BD320-112C-40FA-B2ED-937D3EACDE5E}"/>
    <cellStyle name="Normal 2 8 37 2" xfId="8413" xr:uid="{2C72E97C-8F78-4D3C-88BE-01291D52CF4D}"/>
    <cellStyle name="Normal 2 8 37 2 2" xfId="8414" xr:uid="{FDB10BD3-C944-4792-93A8-C1EB84B12380}"/>
    <cellStyle name="Normal 2 8 37 2 2 2" xfId="16984" xr:uid="{7252760B-1400-4A9D-A86C-A1E120804D6E}"/>
    <cellStyle name="Normal 2 8 37 2 3" xfId="8415" xr:uid="{B45785C0-3046-4796-B498-965BB546B0D9}"/>
    <cellStyle name="Normal 2 8 37 2 3 2" xfId="16985" xr:uid="{FAB51AD7-143B-45B1-A941-DF2625160F16}"/>
    <cellStyle name="Normal 2 8 37 2 4" xfId="16983" xr:uid="{83B43F12-FCA5-4745-9F18-B5013BD6EC6F}"/>
    <cellStyle name="Normal 2 8 37 3" xfId="8416" xr:uid="{ABA90EBD-CE0E-4E34-908C-975F584EAF86}"/>
    <cellStyle name="Normal 2 8 37 3 2" xfId="16986" xr:uid="{ACC57754-CBB6-46A7-A727-DA3A845574D7}"/>
    <cellStyle name="Normal 2 8 37 4" xfId="8417" xr:uid="{18058AA3-CE02-4AF5-B354-3B66A6C87F4C}"/>
    <cellStyle name="Normal 2 8 37 4 2" xfId="16987" xr:uid="{91C8CA5A-A91E-4332-B6D3-6D100A31BA89}"/>
    <cellStyle name="Normal 2 8 37 5" xfId="16982" xr:uid="{8B4995E9-33B9-4F9C-8282-9AB5770EB4E9}"/>
    <cellStyle name="Normal 2 8 38" xfId="8418" xr:uid="{8E7489E7-6B8A-47AB-8E17-083B627D5CE4}"/>
    <cellStyle name="Normal 2 8 38 2" xfId="8419" xr:uid="{F8B1566B-B319-4D9E-BF1D-6E186229761E}"/>
    <cellStyle name="Normal 2 8 38 2 2" xfId="8420" xr:uid="{87BE2CF3-FF6F-4E5C-8BFA-3BEFF67D54B5}"/>
    <cellStyle name="Normal 2 8 38 2 2 2" xfId="16990" xr:uid="{FC3C27E4-44CB-4104-BBC4-3C5861E3CC9C}"/>
    <cellStyle name="Normal 2 8 38 2 3" xfId="8421" xr:uid="{09918F27-3421-4DD8-A0C1-CD223B3E32A7}"/>
    <cellStyle name="Normal 2 8 38 2 3 2" xfId="16991" xr:uid="{E7C0BCB4-F2BD-40D7-9BE1-34CB60ED6CB1}"/>
    <cellStyle name="Normal 2 8 38 2 4" xfId="16989" xr:uid="{B4427A46-74DE-420E-A429-8D9E3673E597}"/>
    <cellStyle name="Normal 2 8 38 3" xfId="8422" xr:uid="{F5CDFE32-3630-454A-8B9B-9671F809B691}"/>
    <cellStyle name="Normal 2 8 38 3 2" xfId="16992" xr:uid="{2E7BAD81-4BC2-41A9-8C8D-A313E892DD9D}"/>
    <cellStyle name="Normal 2 8 38 4" xfId="8423" xr:uid="{58FBAE11-345A-46A3-9AAD-B0DDA4C5A19A}"/>
    <cellStyle name="Normal 2 8 38 4 2" xfId="16993" xr:uid="{CF501777-58F6-4978-86FE-94FB9870E48D}"/>
    <cellStyle name="Normal 2 8 38 5" xfId="16988" xr:uid="{12B6AF87-6256-4E07-AC46-EEA018789E7B}"/>
    <cellStyle name="Normal 2 8 39" xfId="8424" xr:uid="{39EF2766-B619-4899-AEBC-1EB9B4ACFE83}"/>
    <cellStyle name="Normal 2 8 39 2" xfId="8425" xr:uid="{9A6CC181-A76E-4B51-902C-0F116355D2BC}"/>
    <cellStyle name="Normal 2 8 39 2 2" xfId="8426" xr:uid="{F10D17DB-837D-4FDD-8E0E-AFE7EA21A7D9}"/>
    <cellStyle name="Normal 2 8 39 2 2 2" xfId="16996" xr:uid="{73D6CA20-159F-4CFC-87E6-BD202702CFBC}"/>
    <cellStyle name="Normal 2 8 39 2 3" xfId="8427" xr:uid="{BA1D8124-A11E-4ED4-B242-57A7D99EF6A0}"/>
    <cellStyle name="Normal 2 8 39 2 3 2" xfId="16997" xr:uid="{1FB00B77-FA29-45AF-9865-C740AEB31413}"/>
    <cellStyle name="Normal 2 8 39 2 4" xfId="16995" xr:uid="{47ACC82B-0CC0-444C-A7A1-101C07787361}"/>
    <cellStyle name="Normal 2 8 39 3" xfId="8428" xr:uid="{A62A9D4F-7A12-43E1-9ACD-CCD813BAF3BD}"/>
    <cellStyle name="Normal 2 8 39 3 2" xfId="16998" xr:uid="{57F84A53-A13D-48D5-BF19-02D6EDDFD133}"/>
    <cellStyle name="Normal 2 8 39 4" xfId="8429" xr:uid="{A897F99C-7EBD-4C6F-BC49-2D1921C0327E}"/>
    <cellStyle name="Normal 2 8 39 4 2" xfId="16999" xr:uid="{E502E745-FCD2-4C89-ADDA-EA5C88A5E0D9}"/>
    <cellStyle name="Normal 2 8 39 5" xfId="16994" xr:uid="{C8D4DE31-43EF-41EE-805D-BCD711B85ED0}"/>
    <cellStyle name="Normal 2 8 4" xfId="8430" xr:uid="{C2687F2D-3508-40E7-9DD2-7ADA14577019}"/>
    <cellStyle name="Normal 2 8 4 2" xfId="8431" xr:uid="{56034666-A3FC-4E2E-A799-BA012798C54F}"/>
    <cellStyle name="Normal 2 8 4 2 2" xfId="8432" xr:uid="{F030DC0B-A766-4B95-A53E-80BD73F2B203}"/>
    <cellStyle name="Normal 2 8 4 2 2 2" xfId="17002" xr:uid="{5AF8CAAF-2C43-4E2D-9008-B69EC647E7DF}"/>
    <cellStyle name="Normal 2 8 4 2 3" xfId="8433" xr:uid="{B45F33E1-6265-4AAB-B0BD-7D3BED14A026}"/>
    <cellStyle name="Normal 2 8 4 2 3 2" xfId="17003" xr:uid="{AAA18D40-41AF-46DA-A641-496719E18766}"/>
    <cellStyle name="Normal 2 8 4 2 4" xfId="17001" xr:uid="{425D68F7-3A46-4CA7-B9B1-030440C85930}"/>
    <cellStyle name="Normal 2 8 4 3" xfId="8434" xr:uid="{CFDD575A-2868-486C-B425-CB23DD190D71}"/>
    <cellStyle name="Normal 2 8 4 3 2" xfId="17004" xr:uid="{D3CCD8AD-A3AC-4860-9E88-6AB044C2AB0A}"/>
    <cellStyle name="Normal 2 8 4 4" xfId="8435" xr:uid="{EE2F67B3-9C91-46E1-B357-9CA7C5082D91}"/>
    <cellStyle name="Normal 2 8 4 4 2" xfId="17005" xr:uid="{985407F4-C9A7-446D-8BA1-065E2085E39A}"/>
    <cellStyle name="Normal 2 8 4 5" xfId="17000" xr:uid="{7432E2F4-A38C-4E99-8E5E-18B6A4FBE943}"/>
    <cellStyle name="Normal 2 8 40" xfId="8436" xr:uid="{B356653C-64F5-405E-8DFD-9125E1C0D5A2}"/>
    <cellStyle name="Normal 2 8 40 2" xfId="8437" xr:uid="{DD146D0B-A19F-4A54-AA82-1B1631735D0D}"/>
    <cellStyle name="Normal 2 8 40 2 2" xfId="8438" xr:uid="{4B5E59F5-6C5C-4F54-B541-598E49AD0D9B}"/>
    <cellStyle name="Normal 2 8 40 2 2 2" xfId="17008" xr:uid="{A2E143D1-D4D0-4780-8EDF-B75539E8B63B}"/>
    <cellStyle name="Normal 2 8 40 2 3" xfId="8439" xr:uid="{05D9FC2A-23A5-4D95-946B-DB100832BC7F}"/>
    <cellStyle name="Normal 2 8 40 2 3 2" xfId="17009" xr:uid="{D135C5B2-F9D5-4860-B25F-6EACA2E10E86}"/>
    <cellStyle name="Normal 2 8 40 2 4" xfId="17007" xr:uid="{7A88710B-0666-40AA-8DC3-3EBDCCF050D2}"/>
    <cellStyle name="Normal 2 8 40 3" xfId="8440" xr:uid="{E8CDEC2C-11AD-43B5-A274-43EA9F49D7C9}"/>
    <cellStyle name="Normal 2 8 40 3 2" xfId="17010" xr:uid="{8BAE92F6-B948-45ED-B16E-E5871E184610}"/>
    <cellStyle name="Normal 2 8 40 4" xfId="8441" xr:uid="{64224336-4B95-428C-ADBB-1E9465EC0371}"/>
    <cellStyle name="Normal 2 8 40 4 2" xfId="17011" xr:uid="{61A2E4E6-4B19-4B13-BE9F-1E702CD99E88}"/>
    <cellStyle name="Normal 2 8 40 5" xfId="17006" xr:uid="{A26947B2-A134-4647-9967-B42588D7E56C}"/>
    <cellStyle name="Normal 2 8 41" xfId="8442" xr:uid="{A761010D-83E1-4CBA-A2AC-D930444AC41E}"/>
    <cellStyle name="Normal 2 8 41 2" xfId="8443" xr:uid="{9D873230-73E0-462B-A2FF-EF6AC72CFFA8}"/>
    <cellStyle name="Normal 2 8 41 2 2" xfId="8444" xr:uid="{E284AC27-7C9D-40E6-B466-BB79222E9A02}"/>
    <cellStyle name="Normal 2 8 41 2 2 2" xfId="17014" xr:uid="{E67CBE0F-B7D7-4C85-8525-FE8851A369B7}"/>
    <cellStyle name="Normal 2 8 41 2 3" xfId="8445" xr:uid="{8D6D4B07-3F5C-49FC-891C-1BFC0518FD36}"/>
    <cellStyle name="Normal 2 8 41 2 3 2" xfId="17015" xr:uid="{2FC42AA9-5C8A-4630-BFBB-369F545DD091}"/>
    <cellStyle name="Normal 2 8 41 2 4" xfId="17013" xr:uid="{B557683D-7734-4A45-AB2F-95AB0B542914}"/>
    <cellStyle name="Normal 2 8 41 3" xfId="8446" xr:uid="{75C831D0-23F8-4EDF-B969-E05CC941EB3E}"/>
    <cellStyle name="Normal 2 8 41 3 2" xfId="17016" xr:uid="{5CA692C0-495B-41AF-817C-D93445ED9B4E}"/>
    <cellStyle name="Normal 2 8 41 4" xfId="8447" xr:uid="{F12CB2C2-61D3-4B9B-8602-EBC1D2C81D45}"/>
    <cellStyle name="Normal 2 8 41 4 2" xfId="17017" xr:uid="{172AAA46-C6CD-4F63-9A93-0315BEBEBBF2}"/>
    <cellStyle name="Normal 2 8 41 5" xfId="17012" xr:uid="{46DF0D26-1E68-4CA3-A192-ED65BA5EEE66}"/>
    <cellStyle name="Normal 2 8 42" xfId="8448" xr:uid="{249E34D1-8AAE-461C-A8BC-83ED8B038471}"/>
    <cellStyle name="Normal 2 8 42 2" xfId="8449" xr:uid="{FE64E2AA-FFC8-4491-A531-E12B36D9C924}"/>
    <cellStyle name="Normal 2 8 42 2 2" xfId="8450" xr:uid="{E586A776-A22B-4C03-B44A-114C898C3F2D}"/>
    <cellStyle name="Normal 2 8 42 2 2 2" xfId="17020" xr:uid="{15ADD6A3-B729-4C75-9223-B664F5BC3428}"/>
    <cellStyle name="Normal 2 8 42 2 3" xfId="8451" xr:uid="{9D9B7A2B-112A-45D7-BACE-2204D536CF8E}"/>
    <cellStyle name="Normal 2 8 42 2 3 2" xfId="17021" xr:uid="{19A52A5F-F1C9-4DB4-BA32-6DC29C068804}"/>
    <cellStyle name="Normal 2 8 42 2 4" xfId="17019" xr:uid="{7D7BB04D-B8A7-4130-A325-0151A370F46C}"/>
    <cellStyle name="Normal 2 8 42 3" xfId="8452" xr:uid="{F9EF236B-CDF5-48C6-8599-00E936EC1E4E}"/>
    <cellStyle name="Normal 2 8 42 3 2" xfId="17022" xr:uid="{80EA4B76-F837-4195-8B11-ED8BBAC1A021}"/>
    <cellStyle name="Normal 2 8 42 4" xfId="8453" xr:uid="{2B31A465-5467-4A98-B032-8A380135891C}"/>
    <cellStyle name="Normal 2 8 42 4 2" xfId="17023" xr:uid="{ECA4C599-B4FC-47C0-AC0F-D5AE7920B784}"/>
    <cellStyle name="Normal 2 8 42 5" xfId="17018" xr:uid="{3C65B1AD-6945-4CBD-994A-E37956DE8CE7}"/>
    <cellStyle name="Normal 2 8 43" xfId="8454" xr:uid="{4ACD12B4-C927-4BD2-A486-1E5F5B731509}"/>
    <cellStyle name="Normal 2 8 43 2" xfId="8455" xr:uid="{A36F211D-2A6A-4295-B44F-A4690FFAA524}"/>
    <cellStyle name="Normal 2 8 43 2 2" xfId="8456" xr:uid="{319D8705-9A5B-4E6E-BEFF-69C904D65353}"/>
    <cellStyle name="Normal 2 8 43 2 2 2" xfId="17026" xr:uid="{7660492E-0CCD-4307-B65B-CF624970BCC7}"/>
    <cellStyle name="Normal 2 8 43 2 3" xfId="8457" xr:uid="{CF07A400-20EE-4179-9CB5-20AAEF15E0F5}"/>
    <cellStyle name="Normal 2 8 43 2 3 2" xfId="17027" xr:uid="{24B82F7C-49C3-421B-940F-548F08E8B827}"/>
    <cellStyle name="Normal 2 8 43 2 4" xfId="17025" xr:uid="{3AA2A888-7CB2-4D09-847A-2C9FA5A16382}"/>
    <cellStyle name="Normal 2 8 43 3" xfId="8458" xr:uid="{8388D663-9A89-40E8-A29A-0DA486ABC79E}"/>
    <cellStyle name="Normal 2 8 43 3 2" xfId="17028" xr:uid="{AF8BE7B1-EE97-47E7-98A1-E01DCE8D43D8}"/>
    <cellStyle name="Normal 2 8 43 4" xfId="8459" xr:uid="{88C10A44-61D9-43C9-B940-62AF34675A27}"/>
    <cellStyle name="Normal 2 8 43 4 2" xfId="17029" xr:uid="{9FF67E33-FCED-4086-8078-57E9F97D1577}"/>
    <cellStyle name="Normal 2 8 43 5" xfId="17024" xr:uid="{FEF0359A-6DEF-4582-B07E-E33820467DB5}"/>
    <cellStyle name="Normal 2 8 44" xfId="8460" xr:uid="{A75B4EE3-2E44-4A3C-B7BF-5478AEEAE350}"/>
    <cellStyle name="Normal 2 8 44 2" xfId="8461" xr:uid="{2C3C0D3F-28BA-48AC-920D-5CA34A60F186}"/>
    <cellStyle name="Normal 2 8 44 2 2" xfId="17031" xr:uid="{EDFCABF4-619C-45F3-9CFA-A5F39278A7FC}"/>
    <cellStyle name="Normal 2 8 44 3" xfId="8462" xr:uid="{7C61E612-AA82-4503-BC37-7AD33C135DA6}"/>
    <cellStyle name="Normal 2 8 44 3 2" xfId="17032" xr:uid="{34F11CCB-0032-4FE4-A3FF-3624953E8E6E}"/>
    <cellStyle name="Normal 2 8 44 4" xfId="17030" xr:uid="{11A68F86-1358-4110-AA84-3BCEBBA3F8E1}"/>
    <cellStyle name="Normal 2 8 45" xfId="8463" xr:uid="{40D64757-E341-40DF-BF6E-896B955A2F62}"/>
    <cellStyle name="Normal 2 8 45 2" xfId="17033" xr:uid="{4953B1AA-5411-4750-951D-0F51DCA021B1}"/>
    <cellStyle name="Normal 2 8 46" xfId="8464" xr:uid="{DD7BFB96-0F6F-4C84-BA00-A6A89D5CF1CA}"/>
    <cellStyle name="Normal 2 8 46 2" xfId="17034" xr:uid="{BFAB3778-2160-4880-9A95-4A419BC61B82}"/>
    <cellStyle name="Normal 2 8 47" xfId="16807" xr:uid="{20F881D0-F244-40E1-A598-B6F17A41EB84}"/>
    <cellStyle name="Normal 2 8 5" xfId="8465" xr:uid="{AF4E8155-DDE1-472A-83B9-37D384FE3024}"/>
    <cellStyle name="Normal 2 8 5 2" xfId="8466" xr:uid="{D7900619-E6E2-4A4D-A3A2-D580B426CE46}"/>
    <cellStyle name="Normal 2 8 5 2 2" xfId="8467" xr:uid="{77F865E2-0D82-4106-B641-6B674001B703}"/>
    <cellStyle name="Normal 2 8 5 2 2 2" xfId="17037" xr:uid="{CA232012-98C3-4385-B523-222B20CD5EDD}"/>
    <cellStyle name="Normal 2 8 5 2 3" xfId="8468" xr:uid="{091655A9-6350-4CAF-B254-D04E1FAE5F9A}"/>
    <cellStyle name="Normal 2 8 5 2 3 2" xfId="17038" xr:uid="{454D9CB0-ED45-43CC-98FC-97A05837A498}"/>
    <cellStyle name="Normal 2 8 5 2 4" xfId="17036" xr:uid="{753E5250-BD0C-41C6-A10B-C85F2E2F10BD}"/>
    <cellStyle name="Normal 2 8 5 3" xfId="8469" xr:uid="{BDBAE14A-996E-43E0-8C2A-11F848819B53}"/>
    <cellStyle name="Normal 2 8 5 3 2" xfId="17039" xr:uid="{1FF51AAA-8CF3-4242-9D0C-A819A162A169}"/>
    <cellStyle name="Normal 2 8 5 4" xfId="8470" xr:uid="{A25B2C94-2B0C-40C9-B320-74D7AD15DBF3}"/>
    <cellStyle name="Normal 2 8 5 4 2" xfId="17040" xr:uid="{6BEEB755-8CDF-4603-8ED0-F11BB2D633DE}"/>
    <cellStyle name="Normal 2 8 5 5" xfId="17035" xr:uid="{BA6F2C60-169D-4C1C-B228-4663E9C4D6DA}"/>
    <cellStyle name="Normal 2 8 6" xfId="8471" xr:uid="{DDF37515-644A-4FC9-AF8F-E7A7C567FCCA}"/>
    <cellStyle name="Normal 2 8 6 2" xfId="8472" xr:uid="{D919A9C0-58F1-4E2A-8C98-4025C4815F93}"/>
    <cellStyle name="Normal 2 8 6 2 2" xfId="8473" xr:uid="{1E34C2E1-0E35-44E4-B0BE-2014ECEF8897}"/>
    <cellStyle name="Normal 2 8 6 2 2 2" xfId="17043" xr:uid="{6D442B2B-CFC7-4505-8293-91B9214D9E05}"/>
    <cellStyle name="Normal 2 8 6 2 3" xfId="8474" xr:uid="{3ECA8D4C-FBAD-4A9F-8462-016174702140}"/>
    <cellStyle name="Normal 2 8 6 2 3 2" xfId="17044" xr:uid="{9E66A20B-516C-49A8-AEAE-AA45789B936C}"/>
    <cellStyle name="Normal 2 8 6 2 4" xfId="17042" xr:uid="{BF8D97AB-9A23-4136-90E5-9F3EFE1069D5}"/>
    <cellStyle name="Normal 2 8 6 3" xfId="8475" xr:uid="{DD8D020C-1179-4765-90B9-60FFDB7777D6}"/>
    <cellStyle name="Normal 2 8 6 3 2" xfId="17045" xr:uid="{9F7D9F1F-6E16-41E6-8DFE-E17B32D722D3}"/>
    <cellStyle name="Normal 2 8 6 4" xfId="8476" xr:uid="{3ED4B136-C68C-4B3B-8F9D-DC966BAC2220}"/>
    <cellStyle name="Normal 2 8 6 4 2" xfId="17046" xr:uid="{03E7DBA9-7742-4655-8971-BC4C9FE32AB4}"/>
    <cellStyle name="Normal 2 8 6 5" xfId="17041" xr:uid="{DBBC44F7-A509-4C4D-85A6-57985FCE7B4E}"/>
    <cellStyle name="Normal 2 8 7" xfId="8477" xr:uid="{654B3312-21F9-4AA6-BE19-0D768D33EB7B}"/>
    <cellStyle name="Normal 2 8 7 2" xfId="8478" xr:uid="{92334F8C-E543-4AA6-8CA2-A56DB2B20959}"/>
    <cellStyle name="Normal 2 8 7 2 2" xfId="8479" xr:uid="{04CF0147-CE8B-4CDD-9055-24201B1A262A}"/>
    <cellStyle name="Normal 2 8 7 2 2 2" xfId="17049" xr:uid="{9FCE1616-E927-4043-8BF5-E763E05E08E3}"/>
    <cellStyle name="Normal 2 8 7 2 3" xfId="8480" xr:uid="{266563CB-CA40-48DE-92C3-894B9440DA95}"/>
    <cellStyle name="Normal 2 8 7 2 3 2" xfId="17050" xr:uid="{2C5B6425-AE9F-4972-B0F4-23014D968284}"/>
    <cellStyle name="Normal 2 8 7 2 4" xfId="17048" xr:uid="{CCAFEEE9-45B7-478B-A9AF-B9872312F3BA}"/>
    <cellStyle name="Normal 2 8 7 3" xfId="8481" xr:uid="{80A054A2-93DB-430B-A4E2-61BA718EB581}"/>
    <cellStyle name="Normal 2 8 7 3 2" xfId="17051" xr:uid="{D2791228-F637-48FD-9E37-ECE02D31DD54}"/>
    <cellStyle name="Normal 2 8 7 4" xfId="8482" xr:uid="{19348514-8E82-459A-B3F4-67182B13F419}"/>
    <cellStyle name="Normal 2 8 7 4 2" xfId="17052" xr:uid="{42975CF8-0EF0-4DF3-836C-CC27CF984E8C}"/>
    <cellStyle name="Normal 2 8 7 5" xfId="17047" xr:uid="{3776F66A-EED2-4F57-B929-F15336F44740}"/>
    <cellStyle name="Normal 2 8 8" xfId="8483" xr:uid="{6E898354-2FA6-43F8-8E77-4652C3FACB52}"/>
    <cellStyle name="Normal 2 8 8 2" xfId="8484" xr:uid="{A32C1047-E082-4D7F-8CE2-0CEA1B982D9A}"/>
    <cellStyle name="Normal 2 8 8 2 2" xfId="8485" xr:uid="{8C7259A5-3088-4F2A-94C8-1CAA87A9CA66}"/>
    <cellStyle name="Normal 2 8 8 2 2 2" xfId="17055" xr:uid="{3948DEC6-AE05-4351-8394-E53A1BABDF2E}"/>
    <cellStyle name="Normal 2 8 8 2 3" xfId="8486" xr:uid="{061D65F5-0104-4F70-839A-688A86BF4F76}"/>
    <cellStyle name="Normal 2 8 8 2 3 2" xfId="17056" xr:uid="{D7F1F87F-232D-4A8A-B073-66A85FE8128B}"/>
    <cellStyle name="Normal 2 8 8 2 4" xfId="17054" xr:uid="{E3105FED-EA82-43A6-8279-B7A4EC5F962E}"/>
    <cellStyle name="Normal 2 8 8 3" xfId="8487" xr:uid="{19463F6E-1C6A-4A47-9E6A-7E00DA3CABDA}"/>
    <cellStyle name="Normal 2 8 8 3 2" xfId="17057" xr:uid="{61C210F1-531E-4A1F-AFB2-900DEDF37D0B}"/>
    <cellStyle name="Normal 2 8 8 4" xfId="8488" xr:uid="{69FD3E2E-B71E-4854-9520-ADB2D4CFEC44}"/>
    <cellStyle name="Normal 2 8 8 4 2" xfId="17058" xr:uid="{587FD545-AD6C-4317-ADDB-CAC63D947C37}"/>
    <cellStyle name="Normal 2 8 8 5" xfId="17053" xr:uid="{F3CFF3D7-202D-4E7D-80DE-2E9562894955}"/>
    <cellStyle name="Normal 2 8 9" xfId="8489" xr:uid="{A2EAE624-7BE9-4D7C-A431-9691C9575D9A}"/>
    <cellStyle name="Normal 2 8 9 2" xfId="8490" xr:uid="{E55236F8-5F71-4A05-87D9-8A3B99AF5363}"/>
    <cellStyle name="Normal 2 8 9 2 2" xfId="8491" xr:uid="{F083638E-1A34-47AC-9FBB-31DA7F16CE83}"/>
    <cellStyle name="Normal 2 8 9 2 2 2" xfId="17061" xr:uid="{67A9245D-43EA-4BE3-8717-789DC22AAA56}"/>
    <cellStyle name="Normal 2 8 9 2 3" xfId="8492" xr:uid="{0B4E1E9C-FB87-410A-B003-CD7AF6F309E5}"/>
    <cellStyle name="Normal 2 8 9 2 3 2" xfId="17062" xr:uid="{314F012E-06DB-4741-B2D1-BB22B525B8B0}"/>
    <cellStyle name="Normal 2 8 9 2 4" xfId="17060" xr:uid="{D21EE183-3729-4A3F-AA8F-849DAD06CF71}"/>
    <cellStyle name="Normal 2 8 9 3" xfId="8493" xr:uid="{93A69826-DEDD-4E15-96C2-2341A036B8F8}"/>
    <cellStyle name="Normal 2 8 9 3 2" xfId="17063" xr:uid="{8E7304FE-45CE-422E-A2E3-F70F2E7D22E1}"/>
    <cellStyle name="Normal 2 8 9 4" xfId="8494" xr:uid="{EECD37DA-F89F-443D-9AA6-7C75C9FCDB2E}"/>
    <cellStyle name="Normal 2 8 9 4 2" xfId="17064" xr:uid="{1965D89A-ED76-46C7-80D0-D96C2C63BF49}"/>
    <cellStyle name="Normal 2 8 9 5" xfId="17059" xr:uid="{4826D6A8-2128-4396-93F0-9DA4B83CDEF0}"/>
    <cellStyle name="Normal 2 9" xfId="8495" xr:uid="{281FEA75-39F5-474F-B1C5-3C74CE9E4EC5}"/>
    <cellStyle name="Normal 2 9 10" xfId="8496" xr:uid="{297AFD99-B70D-4969-8B9B-5087274559D9}"/>
    <cellStyle name="Normal 2 9 10 2" xfId="8497" xr:uid="{926C6760-55DC-441C-945B-9C65DAC350A5}"/>
    <cellStyle name="Normal 2 9 10 2 2" xfId="8498" xr:uid="{DFCA3B85-4E93-4E2E-A1A5-5C802E299A42}"/>
    <cellStyle name="Normal 2 9 10 2 2 2" xfId="17068" xr:uid="{73EB2BCE-04B2-4E13-885E-CA6DA7FD6176}"/>
    <cellStyle name="Normal 2 9 10 2 3" xfId="8499" xr:uid="{EFAC6CC5-82C9-4986-997E-812A0A08AF47}"/>
    <cellStyle name="Normal 2 9 10 2 3 2" xfId="17069" xr:uid="{CEE343DB-46CA-46A5-A26E-F3E3F76DA4CD}"/>
    <cellStyle name="Normal 2 9 10 2 4" xfId="17067" xr:uid="{F7B60172-517B-485C-A471-0D8B78469529}"/>
    <cellStyle name="Normal 2 9 10 3" xfId="8500" xr:uid="{D064589F-21C1-4AFD-804A-BB559F5F07B7}"/>
    <cellStyle name="Normal 2 9 10 3 2" xfId="17070" xr:uid="{46BA80EF-CE60-4A1C-9806-703B97B86309}"/>
    <cellStyle name="Normal 2 9 10 4" xfId="8501" xr:uid="{CACAC4A9-E588-42F2-A32E-7FF663FD6BFF}"/>
    <cellStyle name="Normal 2 9 10 4 2" xfId="17071" xr:uid="{FB26CC84-E30C-45EE-A6C6-AD92B9774BB6}"/>
    <cellStyle name="Normal 2 9 10 5" xfId="17066" xr:uid="{B36F6F20-A48D-4BB3-8421-A2AF61942D7A}"/>
    <cellStyle name="Normal 2 9 11" xfId="8502" xr:uid="{7EC5ADDD-6893-477B-8ADA-D2262405F408}"/>
    <cellStyle name="Normal 2 9 11 2" xfId="8503" xr:uid="{50B81A56-17BC-4485-8E7A-FD1ED8D7B040}"/>
    <cellStyle name="Normal 2 9 11 2 2" xfId="8504" xr:uid="{D66C7FAE-3C68-4489-A0FA-C441CA604401}"/>
    <cellStyle name="Normal 2 9 11 2 2 2" xfId="17074" xr:uid="{BC07C222-60FD-42A0-8A5B-5B9DB0ED3144}"/>
    <cellStyle name="Normal 2 9 11 2 3" xfId="8505" xr:uid="{16D3989F-2BF0-4E4A-B4A2-AAA0426C5E1E}"/>
    <cellStyle name="Normal 2 9 11 2 3 2" xfId="17075" xr:uid="{E755CC57-6521-4DB1-B546-C362A9052F2F}"/>
    <cellStyle name="Normal 2 9 11 2 4" xfId="17073" xr:uid="{E39966BD-AFAC-434E-8EC2-3B186EDCE8B5}"/>
    <cellStyle name="Normal 2 9 11 3" xfId="8506" xr:uid="{97CD4DBF-BADF-476B-9A4C-151B44BE8D2B}"/>
    <cellStyle name="Normal 2 9 11 3 2" xfId="17076" xr:uid="{1099A36F-B663-4853-A333-10FC634DA39B}"/>
    <cellStyle name="Normal 2 9 11 4" xfId="8507" xr:uid="{1D3E0361-CC3F-457D-A248-E793573D3B37}"/>
    <cellStyle name="Normal 2 9 11 4 2" xfId="17077" xr:uid="{F7457834-AFE2-47A6-821B-1DE8FE9CC88E}"/>
    <cellStyle name="Normal 2 9 11 5" xfId="17072" xr:uid="{8D4E424A-4B15-4915-85BE-EE5833D362A6}"/>
    <cellStyle name="Normal 2 9 12" xfId="8508" xr:uid="{051E309E-FC78-4CA1-B0C3-AD11ABAA0C11}"/>
    <cellStyle name="Normal 2 9 12 2" xfId="8509" xr:uid="{AF253B74-2569-4775-ACF2-EA99D99DFD8E}"/>
    <cellStyle name="Normal 2 9 12 2 2" xfId="8510" xr:uid="{512F2428-BE4F-473C-B82E-B18B4A8F1D94}"/>
    <cellStyle name="Normal 2 9 12 2 2 2" xfId="17080" xr:uid="{7E7446E8-8425-468C-BB36-5E0960C09D8D}"/>
    <cellStyle name="Normal 2 9 12 2 3" xfId="8511" xr:uid="{AB3F5087-9F5F-40DA-830F-3F050D26C8A3}"/>
    <cellStyle name="Normal 2 9 12 2 3 2" xfId="17081" xr:uid="{6D8A30E8-1CE8-46C0-840B-CA5FBE588265}"/>
    <cellStyle name="Normal 2 9 12 2 4" xfId="17079" xr:uid="{065AAE3B-B158-41F7-B1D0-698020C7A761}"/>
    <cellStyle name="Normal 2 9 12 3" xfId="8512" xr:uid="{5643FA05-EA1C-4FA0-9971-8B24ABA658CF}"/>
    <cellStyle name="Normal 2 9 12 3 2" xfId="17082" xr:uid="{3AFDC7A5-0058-49D5-B666-125683C6445C}"/>
    <cellStyle name="Normal 2 9 12 4" xfId="8513" xr:uid="{3C764677-FD78-4CCD-BE1A-EA3B9351A271}"/>
    <cellStyle name="Normal 2 9 12 4 2" xfId="17083" xr:uid="{175A6116-18C6-417F-999C-69FD525CAD00}"/>
    <cellStyle name="Normal 2 9 12 5" xfId="17078" xr:uid="{60020C4B-895A-4441-95C0-6BFBA9C2CE03}"/>
    <cellStyle name="Normal 2 9 13" xfId="8514" xr:uid="{777F474F-38F0-4ABB-B60C-0CC91EC2D1A1}"/>
    <cellStyle name="Normal 2 9 13 2" xfId="8515" xr:uid="{27214C3F-DABC-4352-9DE7-1ACBBA43112C}"/>
    <cellStyle name="Normal 2 9 13 2 2" xfId="8516" xr:uid="{76C86A09-2DB8-4AC0-9EC0-8EDA42726D3D}"/>
    <cellStyle name="Normal 2 9 13 2 2 2" xfId="17086" xr:uid="{59892675-12D4-472B-A712-88D3F7DEB58C}"/>
    <cellStyle name="Normal 2 9 13 2 3" xfId="8517" xr:uid="{A9D824A1-E63F-4112-83C2-496EF17D3B15}"/>
    <cellStyle name="Normal 2 9 13 2 3 2" xfId="17087" xr:uid="{B99802B8-3A9B-4F92-964A-C276EF9272F6}"/>
    <cellStyle name="Normal 2 9 13 2 4" xfId="17085" xr:uid="{C606DB2E-79EF-4030-A5FF-34601BD5407A}"/>
    <cellStyle name="Normal 2 9 13 3" xfId="8518" xr:uid="{8AE711ED-7CD0-4283-876B-4DFD4C48C5CD}"/>
    <cellStyle name="Normal 2 9 13 3 2" xfId="17088" xr:uid="{25C0B8EF-450A-426D-8956-245ED4E4F6D3}"/>
    <cellStyle name="Normal 2 9 13 4" xfId="8519" xr:uid="{CEC4F63B-23AC-4E7E-98A4-9F1A641AA3F4}"/>
    <cellStyle name="Normal 2 9 13 4 2" xfId="17089" xr:uid="{04D753EA-EB64-4419-9B5C-C4FECA000210}"/>
    <cellStyle name="Normal 2 9 13 5" xfId="17084" xr:uid="{055CA941-1C0F-4A84-9B94-00BF8F7497C6}"/>
    <cellStyle name="Normal 2 9 14" xfId="8520" xr:uid="{A9959907-F54E-4FCE-9719-746A9C028EA4}"/>
    <cellStyle name="Normal 2 9 14 2" xfId="8521" xr:uid="{6342AE27-4F25-46C8-9665-2C418D76D30C}"/>
    <cellStyle name="Normal 2 9 14 2 2" xfId="8522" xr:uid="{B35446B0-9F51-4537-98F1-16A0F907B050}"/>
    <cellStyle name="Normal 2 9 14 2 2 2" xfId="17092" xr:uid="{329D997F-00C3-4524-AA2C-49A5B6219940}"/>
    <cellStyle name="Normal 2 9 14 2 3" xfId="8523" xr:uid="{C50FA154-F549-4A41-8EB5-1E13ADCEFB7D}"/>
    <cellStyle name="Normal 2 9 14 2 3 2" xfId="17093" xr:uid="{44398505-4ADC-4536-A94D-D17BD3644242}"/>
    <cellStyle name="Normal 2 9 14 2 4" xfId="17091" xr:uid="{CD777905-81F3-4BF6-89C0-441CAB772D48}"/>
    <cellStyle name="Normal 2 9 14 3" xfId="8524" xr:uid="{95B58F59-221E-489D-B749-3EC0164BD286}"/>
    <cellStyle name="Normal 2 9 14 3 2" xfId="17094" xr:uid="{45D68280-3376-49AA-85DD-B15C6CBB5799}"/>
    <cellStyle name="Normal 2 9 14 4" xfId="8525" xr:uid="{42065472-705B-4C51-90C4-AD72275C58A2}"/>
    <cellStyle name="Normal 2 9 14 4 2" xfId="17095" xr:uid="{3A855BF4-145D-45DF-B97D-FF9740FF2BEC}"/>
    <cellStyle name="Normal 2 9 14 5" xfId="17090" xr:uid="{9319D102-4165-4F47-A64A-154713AE6668}"/>
    <cellStyle name="Normal 2 9 15" xfId="8526" xr:uid="{41219BFE-D461-4071-913E-3BE5D04B8DA7}"/>
    <cellStyle name="Normal 2 9 15 2" xfId="8527" xr:uid="{5ED35A4D-EEC8-4FF4-9A90-C09FEB459621}"/>
    <cellStyle name="Normal 2 9 15 2 2" xfId="8528" xr:uid="{AF6F4E97-7BA8-4EB7-9B9D-B73AB151594B}"/>
    <cellStyle name="Normal 2 9 15 2 2 2" xfId="17098" xr:uid="{AC0B9258-A704-4CFA-9025-350034908DFB}"/>
    <cellStyle name="Normal 2 9 15 2 3" xfId="8529" xr:uid="{FE9EC12B-D44B-409A-8FA7-176B2D9409FB}"/>
    <cellStyle name="Normal 2 9 15 2 3 2" xfId="17099" xr:uid="{6C40E3C9-C34A-4377-9C5E-4BED9AE62D4C}"/>
    <cellStyle name="Normal 2 9 15 2 4" xfId="17097" xr:uid="{840C4D9D-76C6-44B6-8068-D5B67B747A7D}"/>
    <cellStyle name="Normal 2 9 15 3" xfId="8530" xr:uid="{9298E8DE-E366-49C8-8297-BD90B1BE4231}"/>
    <cellStyle name="Normal 2 9 15 3 2" xfId="17100" xr:uid="{5CB79FD5-654A-42EA-BBB7-81ACA2F221ED}"/>
    <cellStyle name="Normal 2 9 15 4" xfId="8531" xr:uid="{2A2FF371-AB5F-4C9C-86B5-1C0D25498A79}"/>
    <cellStyle name="Normal 2 9 15 4 2" xfId="17101" xr:uid="{2659E0F6-48C7-4B6A-8608-8AEC09F734F2}"/>
    <cellStyle name="Normal 2 9 15 5" xfId="17096" xr:uid="{2A2B9198-A093-4A4A-9894-173CD89C5BDA}"/>
    <cellStyle name="Normal 2 9 16" xfId="8532" xr:uid="{96E2F76E-8B0D-4B36-A9FE-9A68C1CAB70D}"/>
    <cellStyle name="Normal 2 9 16 2" xfId="8533" xr:uid="{2001E6AC-5980-4422-A059-9E42428F356E}"/>
    <cellStyle name="Normal 2 9 16 2 2" xfId="8534" xr:uid="{0C3E7935-09EB-44FA-BCD6-FE879976AB12}"/>
    <cellStyle name="Normal 2 9 16 2 2 2" xfId="17104" xr:uid="{8094F729-7C79-4352-A4F9-7B5C924F0D15}"/>
    <cellStyle name="Normal 2 9 16 2 3" xfId="8535" xr:uid="{06C3BB41-5D2B-4FD3-B030-05B83BA43103}"/>
    <cellStyle name="Normal 2 9 16 2 3 2" xfId="17105" xr:uid="{60F83D2A-AF37-4A3F-B751-620B6F8B5277}"/>
    <cellStyle name="Normal 2 9 16 2 4" xfId="17103" xr:uid="{1030E360-30F0-48B7-9576-2AA68B2683E2}"/>
    <cellStyle name="Normal 2 9 16 3" xfId="8536" xr:uid="{FBA3A9EA-8610-462F-81D5-2D7EB6490A5B}"/>
    <cellStyle name="Normal 2 9 16 3 2" xfId="17106" xr:uid="{50A9E247-FF17-4797-9323-CD67D1287E34}"/>
    <cellStyle name="Normal 2 9 16 4" xfId="8537" xr:uid="{5BE0CC43-8C6C-48E6-B556-D048A896EA35}"/>
    <cellStyle name="Normal 2 9 16 4 2" xfId="17107" xr:uid="{2E46EAA2-B813-4834-BB9C-CE504D809ED1}"/>
    <cellStyle name="Normal 2 9 16 5" xfId="17102" xr:uid="{E62C0A28-FBA8-42AB-A235-4DC394DCBA5D}"/>
    <cellStyle name="Normal 2 9 17" xfId="8538" xr:uid="{40D8FCE1-B07D-4643-8DC9-A279886BA9FE}"/>
    <cellStyle name="Normal 2 9 17 2" xfId="8539" xr:uid="{A85A5505-1958-416F-BF7B-2DEF8782AE3D}"/>
    <cellStyle name="Normal 2 9 17 2 2" xfId="8540" xr:uid="{F6F3EB57-3F4C-4771-8383-1F7CB3B40765}"/>
    <cellStyle name="Normal 2 9 17 2 2 2" xfId="17110" xr:uid="{61F89E4A-319C-4649-A466-9DBE764C62BC}"/>
    <cellStyle name="Normal 2 9 17 2 3" xfId="8541" xr:uid="{CADCB841-59E1-486D-B089-297AFD68C315}"/>
    <cellStyle name="Normal 2 9 17 2 3 2" xfId="17111" xr:uid="{68383143-3A41-4DCD-A854-BB42BDB4AEA6}"/>
    <cellStyle name="Normal 2 9 17 2 4" xfId="17109" xr:uid="{798410E3-8512-4E5C-BDF5-8A3A11759AC9}"/>
    <cellStyle name="Normal 2 9 17 3" xfId="8542" xr:uid="{AFB68B9C-61E7-413D-B046-3C9011C187DC}"/>
    <cellStyle name="Normal 2 9 17 3 2" xfId="17112" xr:uid="{BCC055CD-CF60-4081-9788-B52B239908D0}"/>
    <cellStyle name="Normal 2 9 17 4" xfId="8543" xr:uid="{5D34836D-1399-43FA-ABBB-1A8943ECC1EE}"/>
    <cellStyle name="Normal 2 9 17 4 2" xfId="17113" xr:uid="{00EED95C-6EC5-49D2-AD83-E48A85072DB6}"/>
    <cellStyle name="Normal 2 9 17 5" xfId="17108" xr:uid="{A002B46C-3677-4570-A159-7ADB17E7A608}"/>
    <cellStyle name="Normal 2 9 18" xfId="8544" xr:uid="{C8A4FE84-034D-4B0B-9552-B02F17B772B9}"/>
    <cellStyle name="Normal 2 9 18 2" xfId="8545" xr:uid="{5246CE5E-B7C3-4644-8C6D-F800D04A7627}"/>
    <cellStyle name="Normal 2 9 18 2 2" xfId="8546" xr:uid="{8C4093DF-120A-497A-81F7-730F604308B8}"/>
    <cellStyle name="Normal 2 9 18 2 2 2" xfId="17116" xr:uid="{0C60D3DB-DE19-4BA8-A43A-0FC0064E05D6}"/>
    <cellStyle name="Normal 2 9 18 2 3" xfId="8547" xr:uid="{E78BCAB4-2826-4F77-B1B7-936580EA30C2}"/>
    <cellStyle name="Normal 2 9 18 2 3 2" xfId="17117" xr:uid="{12F63501-7E1A-45BB-AA2A-2DA75F8C4FA0}"/>
    <cellStyle name="Normal 2 9 18 2 4" xfId="17115" xr:uid="{C662F9FB-BB3E-4CDE-8F65-C1F914B8115D}"/>
    <cellStyle name="Normal 2 9 18 3" xfId="8548" xr:uid="{D78A6877-46A5-4520-BAB2-80BE0F63A313}"/>
    <cellStyle name="Normal 2 9 18 3 2" xfId="17118" xr:uid="{9583479A-D797-49DE-8E6A-CF8790DB29EE}"/>
    <cellStyle name="Normal 2 9 18 4" xfId="8549" xr:uid="{F02E3C80-DDEC-44A7-BE3F-60AB0BB2BB14}"/>
    <cellStyle name="Normal 2 9 18 4 2" xfId="17119" xr:uid="{3CB98CB0-4F0F-47CB-9272-D551A198CFF3}"/>
    <cellStyle name="Normal 2 9 18 5" xfId="17114" xr:uid="{2115A294-956D-44F6-9289-5D0D874E9C09}"/>
    <cellStyle name="Normal 2 9 19" xfId="8550" xr:uid="{B35307F5-B4F3-4152-B27E-1637F538726C}"/>
    <cellStyle name="Normal 2 9 19 2" xfId="8551" xr:uid="{9C64EEC0-A71D-4A6E-9C1B-6C03D76C20A3}"/>
    <cellStyle name="Normal 2 9 19 2 2" xfId="8552" xr:uid="{EBB4AE25-0ADB-4B11-85A4-739EDACD8E15}"/>
    <cellStyle name="Normal 2 9 19 2 2 2" xfId="17122" xr:uid="{727EC814-167D-4001-A602-84CC9F312C81}"/>
    <cellStyle name="Normal 2 9 19 2 3" xfId="8553" xr:uid="{EA0247BA-9726-48F4-93C2-7AEBEEA7DB9E}"/>
    <cellStyle name="Normal 2 9 19 2 3 2" xfId="17123" xr:uid="{75B2A4D4-DA9F-4BF9-920D-8CB870573BB4}"/>
    <cellStyle name="Normal 2 9 19 2 4" xfId="17121" xr:uid="{0A7C6118-DD60-4382-81CD-CE41AE1B8511}"/>
    <cellStyle name="Normal 2 9 19 3" xfId="8554" xr:uid="{04B63B6A-963C-4B65-B196-F880F7C2008D}"/>
    <cellStyle name="Normal 2 9 19 3 2" xfId="17124" xr:uid="{5344C2BB-3FE8-4E45-8A9B-24047717C34B}"/>
    <cellStyle name="Normal 2 9 19 4" xfId="8555" xr:uid="{C280647F-44E1-4F7D-91EC-523A1FF912F0}"/>
    <cellStyle name="Normal 2 9 19 4 2" xfId="17125" xr:uid="{D2BDFD4D-7D7C-4AE2-A2BE-11622B6C4FD8}"/>
    <cellStyle name="Normal 2 9 19 5" xfId="17120" xr:uid="{7393DBC0-8BE4-4151-B377-ED35D41A7131}"/>
    <cellStyle name="Normal 2 9 2" xfId="8556" xr:uid="{A60527D3-5FC2-4B57-90B2-3CF09B2152C7}"/>
    <cellStyle name="Normal 2 9 2 2" xfId="8557" xr:uid="{25A7FC1C-5C2A-4A59-8E62-531CDF995C99}"/>
    <cellStyle name="Normal 2 9 2 2 2" xfId="8558" xr:uid="{68A117FD-56B7-4A00-B449-A4C8FF478188}"/>
    <cellStyle name="Normal 2 9 2 2 2 2" xfId="17128" xr:uid="{B178FB13-DFBA-4B3C-ADC9-83340B8F48D8}"/>
    <cellStyle name="Normal 2 9 2 2 3" xfId="8559" xr:uid="{2873B57F-10B5-4ED3-AE36-4F3D6420D879}"/>
    <cellStyle name="Normal 2 9 2 2 3 2" xfId="17129" xr:uid="{99C1AD35-0D63-4DF1-B53D-E57EFDF72D77}"/>
    <cellStyle name="Normal 2 9 2 2 4" xfId="17127" xr:uid="{604C81DC-9E08-4C86-A586-161087A4ECAC}"/>
    <cellStyle name="Normal 2 9 2 3" xfId="8560" xr:uid="{A2099BD7-ECBB-4D06-AEAA-91EE72E4EF47}"/>
    <cellStyle name="Normal 2 9 2 3 2" xfId="17130" xr:uid="{EFBF6F11-B2F8-415A-8854-E352F3772304}"/>
    <cellStyle name="Normal 2 9 2 4" xfId="8561" xr:uid="{BD691EF3-A675-4613-B991-2C131D681A1E}"/>
    <cellStyle name="Normal 2 9 2 4 2" xfId="17131" xr:uid="{C1B3F2EF-CF97-4D60-A975-9C60042600AE}"/>
    <cellStyle name="Normal 2 9 2 5" xfId="17126" xr:uid="{D8FCF694-ED6E-4D53-8F34-A1526AC4C731}"/>
    <cellStyle name="Normal 2 9 20" xfId="8562" xr:uid="{14AE4DB8-5CF1-4D38-BC62-A8F11F23E4D1}"/>
    <cellStyle name="Normal 2 9 20 2" xfId="8563" xr:uid="{67E53D21-07E8-42B0-9183-F9AA2F3145FA}"/>
    <cellStyle name="Normal 2 9 20 2 2" xfId="8564" xr:uid="{FB839C6C-B672-42FB-8EC8-B4EB231D9049}"/>
    <cellStyle name="Normal 2 9 20 2 2 2" xfId="17134" xr:uid="{0B32EBF8-F42B-4BC1-8389-81936D3A3DDF}"/>
    <cellStyle name="Normal 2 9 20 2 3" xfId="8565" xr:uid="{D9AEB33C-961E-4E5A-912B-FE8146712B98}"/>
    <cellStyle name="Normal 2 9 20 2 3 2" xfId="17135" xr:uid="{FA6A471A-8017-485A-ADDF-5BC0E3F6B06A}"/>
    <cellStyle name="Normal 2 9 20 2 4" xfId="17133" xr:uid="{EF93CC5B-BFC8-4DE6-BDEA-4127436ACDBB}"/>
    <cellStyle name="Normal 2 9 20 3" xfId="8566" xr:uid="{886BC14E-F998-4D6B-83B1-66219C0CF354}"/>
    <cellStyle name="Normal 2 9 20 3 2" xfId="17136" xr:uid="{B9368ED7-1111-429D-9A19-538FD650B718}"/>
    <cellStyle name="Normal 2 9 20 4" xfId="8567" xr:uid="{7D0AECA1-DDE8-4AAE-9BB0-10D5E827E874}"/>
    <cellStyle name="Normal 2 9 20 4 2" xfId="17137" xr:uid="{49FC7279-CED1-4727-BB96-0D9E48E0E310}"/>
    <cellStyle name="Normal 2 9 20 5" xfId="17132" xr:uid="{E3E1024B-1C7D-4FCA-A125-6603DC5B8625}"/>
    <cellStyle name="Normal 2 9 21" xfId="8568" xr:uid="{B269FA04-C7B0-4D84-9216-B2EF4154DB0B}"/>
    <cellStyle name="Normal 2 9 21 2" xfId="8569" xr:uid="{3800249B-AD62-400A-9338-E42B4F6F2435}"/>
    <cellStyle name="Normal 2 9 21 2 2" xfId="8570" xr:uid="{643B5B05-44B9-4C70-B3AE-2CFD3AFEA1F0}"/>
    <cellStyle name="Normal 2 9 21 2 2 2" xfId="17140" xr:uid="{6E01D749-EB04-40F5-9D83-CCA9AE796F28}"/>
    <cellStyle name="Normal 2 9 21 2 3" xfId="8571" xr:uid="{B712D9FA-4B27-4671-9FD6-C523845574CE}"/>
    <cellStyle name="Normal 2 9 21 2 3 2" xfId="17141" xr:uid="{22AA981E-E53A-4302-B259-AAEFCB3C3798}"/>
    <cellStyle name="Normal 2 9 21 2 4" xfId="17139" xr:uid="{622E455E-05A2-4FEF-B956-CEDAFAB67B90}"/>
    <cellStyle name="Normal 2 9 21 3" xfId="8572" xr:uid="{453B7E55-4085-44DF-BACE-E53567E5361E}"/>
    <cellStyle name="Normal 2 9 21 3 2" xfId="17142" xr:uid="{55EC7DA4-1332-4F93-9FFA-A21A15024832}"/>
    <cellStyle name="Normal 2 9 21 4" xfId="8573" xr:uid="{D6ED977E-095A-4CEC-886F-7F1D4EB1688D}"/>
    <cellStyle name="Normal 2 9 21 4 2" xfId="17143" xr:uid="{A4FD8251-398F-499C-855C-B7C120355E53}"/>
    <cellStyle name="Normal 2 9 21 5" xfId="17138" xr:uid="{D91A798B-A09D-4007-AB2A-6093BFF753D9}"/>
    <cellStyle name="Normal 2 9 22" xfId="8574" xr:uid="{3C5C1A8F-5104-49DB-B0F6-1DAC4668B9D2}"/>
    <cellStyle name="Normal 2 9 22 2" xfId="8575" xr:uid="{B0E982E4-B4DA-4A16-822A-A3F29AA1A2B3}"/>
    <cellStyle name="Normal 2 9 22 2 2" xfId="8576" xr:uid="{1BF081C4-C399-4BC0-A4D7-516606AB965F}"/>
    <cellStyle name="Normal 2 9 22 2 2 2" xfId="17146" xr:uid="{7AFD7192-6849-4B59-B4A0-CF9D3048932D}"/>
    <cellStyle name="Normal 2 9 22 2 3" xfId="8577" xr:uid="{9DEDEDBE-3D82-4880-B703-3D9FCBB83C4A}"/>
    <cellStyle name="Normal 2 9 22 2 3 2" xfId="17147" xr:uid="{B7BB0B5E-BD46-4674-BDB4-5A050D18F265}"/>
    <cellStyle name="Normal 2 9 22 2 4" xfId="17145" xr:uid="{7A7010D8-D07C-4DF8-A664-7C92B58E81C9}"/>
    <cellStyle name="Normal 2 9 22 3" xfId="8578" xr:uid="{02973A24-5673-4877-B13A-B55BFAD97575}"/>
    <cellStyle name="Normal 2 9 22 3 2" xfId="17148" xr:uid="{2214C641-F88B-476D-A7B2-013631BCBA7D}"/>
    <cellStyle name="Normal 2 9 22 4" xfId="8579" xr:uid="{8E7D1A49-8A6E-424B-B76A-D2EA55386524}"/>
    <cellStyle name="Normal 2 9 22 4 2" xfId="17149" xr:uid="{3AE53B40-9159-4487-9242-061BF7E055B5}"/>
    <cellStyle name="Normal 2 9 22 5" xfId="17144" xr:uid="{7337F9D0-0030-4E36-AF80-5835DFADF566}"/>
    <cellStyle name="Normal 2 9 23" xfId="8580" xr:uid="{28202B57-3C63-4FE1-92AC-BA276ADD805F}"/>
    <cellStyle name="Normal 2 9 23 2" xfId="8581" xr:uid="{18BA4EC8-C655-4CC6-8E2B-99F1B95111F3}"/>
    <cellStyle name="Normal 2 9 23 2 2" xfId="8582" xr:uid="{7F675B41-A4E6-4FDA-8826-15DF560B272A}"/>
    <cellStyle name="Normal 2 9 23 2 2 2" xfId="17152" xr:uid="{D28021E2-D0C2-4C08-A252-7B82ABB215E6}"/>
    <cellStyle name="Normal 2 9 23 2 3" xfId="8583" xr:uid="{8DAD272C-B3B4-4188-9B38-B3C6D7DBBFAA}"/>
    <cellStyle name="Normal 2 9 23 2 3 2" xfId="17153" xr:uid="{ECEBF945-C411-4A3D-8182-D7EAFED31D69}"/>
    <cellStyle name="Normal 2 9 23 2 4" xfId="17151" xr:uid="{C3A76D0A-5D71-4316-87F6-5AEF17CE37EF}"/>
    <cellStyle name="Normal 2 9 23 3" xfId="8584" xr:uid="{8EB19AA6-9539-4CED-A0DA-7B1BDC5DF8BB}"/>
    <cellStyle name="Normal 2 9 23 3 2" xfId="17154" xr:uid="{CD736744-7308-4940-8E32-F5F8E27F3EFE}"/>
    <cellStyle name="Normal 2 9 23 4" xfId="8585" xr:uid="{99561B5E-B5F6-46AD-9569-D4A49EE63612}"/>
    <cellStyle name="Normal 2 9 23 4 2" xfId="17155" xr:uid="{766C2D53-0B88-4879-8E05-E9887699AF2C}"/>
    <cellStyle name="Normal 2 9 23 5" xfId="17150" xr:uid="{FD1D9D48-2968-4A73-AF1E-21FDC3C6EAF9}"/>
    <cellStyle name="Normal 2 9 24" xfId="8586" xr:uid="{3F9634FF-1956-4F23-9234-2F5603CDD720}"/>
    <cellStyle name="Normal 2 9 24 2" xfId="8587" xr:uid="{FF96E392-E94C-4077-B6BF-1027648E4BD3}"/>
    <cellStyle name="Normal 2 9 24 2 2" xfId="8588" xr:uid="{E583D288-F5E0-45BA-8D31-4DD5C492CE74}"/>
    <cellStyle name="Normal 2 9 24 2 2 2" xfId="17158" xr:uid="{B71D092E-E618-48D1-89F5-90DB5E369333}"/>
    <cellStyle name="Normal 2 9 24 2 3" xfId="8589" xr:uid="{C6BB3588-A971-4344-B2F5-091B9412A20A}"/>
    <cellStyle name="Normal 2 9 24 2 3 2" xfId="17159" xr:uid="{E7019ED3-316D-4D08-9B61-3C900EF426EC}"/>
    <cellStyle name="Normal 2 9 24 2 4" xfId="17157" xr:uid="{452269F7-1572-4A7F-A39E-450CBC5A01A1}"/>
    <cellStyle name="Normal 2 9 24 3" xfId="8590" xr:uid="{96794ADD-A0F7-472E-822A-130ED274BA7C}"/>
    <cellStyle name="Normal 2 9 24 3 2" xfId="17160" xr:uid="{C5735640-4C59-449F-B7BE-4147DDE71C1A}"/>
    <cellStyle name="Normal 2 9 24 4" xfId="8591" xr:uid="{F59471D7-AABF-4DDC-A9B9-390D44247A7E}"/>
    <cellStyle name="Normal 2 9 24 4 2" xfId="17161" xr:uid="{1B66B21C-5D60-4238-9743-F0E10A27A7EA}"/>
    <cellStyle name="Normal 2 9 24 5" xfId="17156" xr:uid="{300DF55F-BCD1-49FE-B75C-8A98208FA567}"/>
    <cellStyle name="Normal 2 9 25" xfId="8592" xr:uid="{43A81FDB-7B3E-404E-8E2E-182F59B21057}"/>
    <cellStyle name="Normal 2 9 25 2" xfId="8593" xr:uid="{B4CCBFF8-1FAE-4E68-82BF-65539364DC5D}"/>
    <cellStyle name="Normal 2 9 25 2 2" xfId="8594" xr:uid="{0B47EE3D-95CC-4445-9425-09F01A197172}"/>
    <cellStyle name="Normal 2 9 25 2 2 2" xfId="17164" xr:uid="{C350F053-3E52-4BDB-83E7-BDCA87F7A6F5}"/>
    <cellStyle name="Normal 2 9 25 2 3" xfId="8595" xr:uid="{1B8B56D3-B55B-4CD8-BC7E-3CED9CA979DA}"/>
    <cellStyle name="Normal 2 9 25 2 3 2" xfId="17165" xr:uid="{63D1B135-B90A-4FEC-96BE-CB46DDD59454}"/>
    <cellStyle name="Normal 2 9 25 2 4" xfId="17163" xr:uid="{B802513E-5233-4CE1-9371-3E152B784D07}"/>
    <cellStyle name="Normal 2 9 25 3" xfId="8596" xr:uid="{DD6E27C6-F138-4084-B55B-D459854CA5C1}"/>
    <cellStyle name="Normal 2 9 25 3 2" xfId="17166" xr:uid="{8D3345BE-94C0-4C6B-BF11-6A5A4FAFBFC2}"/>
    <cellStyle name="Normal 2 9 25 4" xfId="8597" xr:uid="{4A183BFE-9773-4C83-BDBB-077E610D2780}"/>
    <cellStyle name="Normal 2 9 25 4 2" xfId="17167" xr:uid="{250E0E1E-3300-4184-95F0-3BC3C4CCDBD7}"/>
    <cellStyle name="Normal 2 9 25 5" xfId="17162" xr:uid="{12D6B12F-3858-4FBC-B1CA-ED921292131A}"/>
    <cellStyle name="Normal 2 9 26" xfId="8598" xr:uid="{88B6E203-A43F-4A08-BB36-B3635C51279C}"/>
    <cellStyle name="Normal 2 9 26 2" xfId="8599" xr:uid="{CC38D740-1DA3-477E-95FE-1F5C1EE3F875}"/>
    <cellStyle name="Normal 2 9 26 2 2" xfId="8600" xr:uid="{1A010872-8E28-4361-964C-41A4501925FE}"/>
    <cellStyle name="Normal 2 9 26 2 2 2" xfId="17170" xr:uid="{B897B9DE-DAF4-4BCE-ADBF-64F21BFA34B1}"/>
    <cellStyle name="Normal 2 9 26 2 3" xfId="8601" xr:uid="{55A08322-E471-445F-96C7-BF26C0899861}"/>
    <cellStyle name="Normal 2 9 26 2 3 2" xfId="17171" xr:uid="{30467125-6439-4D63-B342-D949AB0C8BA1}"/>
    <cellStyle name="Normal 2 9 26 2 4" xfId="17169" xr:uid="{3B4D55E7-E1A1-4C5F-8EA8-4910B49EC62A}"/>
    <cellStyle name="Normal 2 9 26 3" xfId="8602" xr:uid="{108A101E-57F0-4757-97DB-503F3F6AAADF}"/>
    <cellStyle name="Normal 2 9 26 3 2" xfId="17172" xr:uid="{1790DCF3-B734-4FE0-9340-45A8B23A3516}"/>
    <cellStyle name="Normal 2 9 26 4" xfId="8603" xr:uid="{3AF4EFB7-3305-4126-9B57-0B51718BAEDB}"/>
    <cellStyle name="Normal 2 9 26 4 2" xfId="17173" xr:uid="{0FDAB296-16BF-43A7-84CB-D241C9D5298C}"/>
    <cellStyle name="Normal 2 9 26 5" xfId="17168" xr:uid="{E668FC90-AB0F-4527-8B8C-88EE941149A8}"/>
    <cellStyle name="Normal 2 9 27" xfId="8604" xr:uid="{24B9B3FB-3826-4308-A73B-DD17ADC3861C}"/>
    <cellStyle name="Normal 2 9 27 2" xfId="8605" xr:uid="{48ACB306-AD41-46B5-8309-AF5CBE015D15}"/>
    <cellStyle name="Normal 2 9 27 2 2" xfId="8606" xr:uid="{6BC1DE36-BBF8-48D3-8A02-5E4CBB58A876}"/>
    <cellStyle name="Normal 2 9 27 2 2 2" xfId="17176" xr:uid="{C2246F8D-0E29-4664-BAB1-3C226E7F1714}"/>
    <cellStyle name="Normal 2 9 27 2 3" xfId="8607" xr:uid="{E9002E4A-370E-427A-A60F-800292B97294}"/>
    <cellStyle name="Normal 2 9 27 2 3 2" xfId="17177" xr:uid="{242E792F-3FF8-4A2D-BD42-B7A8EF59E229}"/>
    <cellStyle name="Normal 2 9 27 2 4" xfId="17175" xr:uid="{78CD0CD5-00CF-4F30-970C-0F439112F6F6}"/>
    <cellStyle name="Normal 2 9 27 3" xfId="8608" xr:uid="{A531CACA-367E-4C7C-8607-9D1A8790E8F5}"/>
    <cellStyle name="Normal 2 9 27 3 2" xfId="17178" xr:uid="{D9B36F20-DBAE-4173-B7ED-B7F745F36742}"/>
    <cellStyle name="Normal 2 9 27 4" xfId="8609" xr:uid="{E4C7DE2C-63D1-4EC7-932B-2CF0DDC1088F}"/>
    <cellStyle name="Normal 2 9 27 4 2" xfId="17179" xr:uid="{4D3D1816-BCC6-4B9D-97E7-0C0931AC73A6}"/>
    <cellStyle name="Normal 2 9 27 5" xfId="17174" xr:uid="{7D5D95AA-760F-492D-8470-FE9DE22AB17B}"/>
    <cellStyle name="Normal 2 9 28" xfId="8610" xr:uid="{2350F197-63B9-4C3C-ABC2-72C396195A91}"/>
    <cellStyle name="Normal 2 9 28 2" xfId="8611" xr:uid="{EBF2ADAE-139E-41A5-B9B5-CD04546EEC7B}"/>
    <cellStyle name="Normal 2 9 28 2 2" xfId="8612" xr:uid="{3A735270-0138-4215-85E3-798026799105}"/>
    <cellStyle name="Normal 2 9 28 2 2 2" xfId="17182" xr:uid="{E5361A78-C643-40E0-9E81-5A5E58370A5F}"/>
    <cellStyle name="Normal 2 9 28 2 3" xfId="8613" xr:uid="{EACB27DA-CC3E-4C62-AE52-C3A095101874}"/>
    <cellStyle name="Normal 2 9 28 2 3 2" xfId="17183" xr:uid="{B313CACF-9C9C-4B80-A8B6-83070D8F3631}"/>
    <cellStyle name="Normal 2 9 28 2 4" xfId="17181" xr:uid="{19F66AE5-AD27-4C21-B395-5C208ED1D14D}"/>
    <cellStyle name="Normal 2 9 28 3" xfId="8614" xr:uid="{8F03D015-B4C3-4C5B-86E6-C357E025D4C0}"/>
    <cellStyle name="Normal 2 9 28 3 2" xfId="17184" xr:uid="{F40B69F4-D2A9-424A-8BA1-55C4983CB753}"/>
    <cellStyle name="Normal 2 9 28 4" xfId="8615" xr:uid="{574A0120-D397-461A-8231-07E5C6E5267C}"/>
    <cellStyle name="Normal 2 9 28 4 2" xfId="17185" xr:uid="{BD7D72F3-36B9-4480-B029-2505A5C603E1}"/>
    <cellStyle name="Normal 2 9 28 5" xfId="17180" xr:uid="{E90F1662-AB29-4EBD-9D2B-8C8DDE6AC06E}"/>
    <cellStyle name="Normal 2 9 29" xfId="8616" xr:uid="{C4E0AF8B-BFE8-42BD-BB96-72581EC11242}"/>
    <cellStyle name="Normal 2 9 29 2" xfId="8617" xr:uid="{72A3B8A5-B36C-4096-A7D1-C9D20B37CB4E}"/>
    <cellStyle name="Normal 2 9 29 2 2" xfId="8618" xr:uid="{80510A26-CC5E-466D-A7CB-3753713F6E42}"/>
    <cellStyle name="Normal 2 9 29 2 2 2" xfId="17188" xr:uid="{F7B04989-FE7D-4CBC-A24A-257C48A5091B}"/>
    <cellStyle name="Normal 2 9 29 2 3" xfId="8619" xr:uid="{A4356636-64A1-4A62-8AA0-8896C4B255B2}"/>
    <cellStyle name="Normal 2 9 29 2 3 2" xfId="17189" xr:uid="{64A2EDAA-F931-4814-A1BD-85514BD35C6E}"/>
    <cellStyle name="Normal 2 9 29 2 4" xfId="17187" xr:uid="{7BA0AE51-FA35-448B-B808-9F7E4E1328F0}"/>
    <cellStyle name="Normal 2 9 29 3" xfId="8620" xr:uid="{6B578FF0-51C2-4714-A317-5728AD800BBA}"/>
    <cellStyle name="Normal 2 9 29 3 2" xfId="17190" xr:uid="{3BF3BAE8-01AC-4EF5-8D67-0E945785DD7F}"/>
    <cellStyle name="Normal 2 9 29 4" xfId="8621" xr:uid="{C952AF0A-29E9-41AD-9731-0C5D27BDEABA}"/>
    <cellStyle name="Normal 2 9 29 4 2" xfId="17191" xr:uid="{F230354D-B03B-4996-9563-99D73E558983}"/>
    <cellStyle name="Normal 2 9 29 5" xfId="17186" xr:uid="{81BFA526-2C66-4D69-B153-0A48A9E8733A}"/>
    <cellStyle name="Normal 2 9 3" xfId="8622" xr:uid="{2265DD35-92B9-43AB-901F-00BA9E3B5835}"/>
    <cellStyle name="Normal 2 9 3 2" xfId="8623" xr:uid="{723038EB-D28F-4409-B3C9-0697FE09F0FD}"/>
    <cellStyle name="Normal 2 9 3 2 2" xfId="8624" xr:uid="{E89A3967-3D60-4F9E-AC6D-B7C9BA34F50C}"/>
    <cellStyle name="Normal 2 9 3 2 2 2" xfId="17194" xr:uid="{D2BBFFDB-110A-4B6F-BC11-49D60DC70214}"/>
    <cellStyle name="Normal 2 9 3 2 3" xfId="8625" xr:uid="{5BE82FCE-D688-4AD0-9AB4-85A0BBFDC40D}"/>
    <cellStyle name="Normal 2 9 3 2 3 2" xfId="17195" xr:uid="{ECFD4E8B-56C1-406F-A6EA-3BB163CF2C30}"/>
    <cellStyle name="Normal 2 9 3 2 4" xfId="17193" xr:uid="{C86ADFF4-D6C9-4F21-8B97-4D484F98BFC5}"/>
    <cellStyle name="Normal 2 9 3 3" xfId="8626" xr:uid="{45ED6029-61C5-41CC-8201-10682E7EC56A}"/>
    <cellStyle name="Normal 2 9 3 3 2" xfId="17196" xr:uid="{42585C97-04F0-4163-BA35-916635E666D1}"/>
    <cellStyle name="Normal 2 9 3 4" xfId="8627" xr:uid="{BC1614FF-C648-4031-8712-41491DC10442}"/>
    <cellStyle name="Normal 2 9 3 4 2" xfId="17197" xr:uid="{DD69A922-C036-42BD-9B2F-6BEAE2AAC36C}"/>
    <cellStyle name="Normal 2 9 3 5" xfId="17192" xr:uid="{318959DB-6DB7-4513-84AD-BEE93A36B79A}"/>
    <cellStyle name="Normal 2 9 30" xfId="8628" xr:uid="{7FFE3C4E-EE68-4F8F-A271-4220F1ADEEAC}"/>
    <cellStyle name="Normal 2 9 30 2" xfId="8629" xr:uid="{AF4A3233-7244-4454-A9F7-A8939D9060BD}"/>
    <cellStyle name="Normal 2 9 30 2 2" xfId="8630" xr:uid="{64C29FF7-0362-4752-B684-76B5DF00E866}"/>
    <cellStyle name="Normal 2 9 30 2 2 2" xfId="17200" xr:uid="{6A03D79D-CCD1-4C30-9E32-9C3B35321B6D}"/>
    <cellStyle name="Normal 2 9 30 2 3" xfId="8631" xr:uid="{2136F9A1-7E81-473C-AAD4-75617E2AEA43}"/>
    <cellStyle name="Normal 2 9 30 2 3 2" xfId="17201" xr:uid="{3E873986-BB47-4B06-939F-81776382DFF2}"/>
    <cellStyle name="Normal 2 9 30 2 4" xfId="17199" xr:uid="{D94CEC16-FE41-4F0B-BAC9-3BE4EAC80056}"/>
    <cellStyle name="Normal 2 9 30 3" xfId="8632" xr:uid="{A037EDF7-F702-49C2-BB94-51B8C6FA65E5}"/>
    <cellStyle name="Normal 2 9 30 3 2" xfId="17202" xr:uid="{24BA379F-C389-4882-BB7B-3EEEBED63247}"/>
    <cellStyle name="Normal 2 9 30 4" xfId="8633" xr:uid="{FF090345-2B5E-49C7-9C3D-405558A89277}"/>
    <cellStyle name="Normal 2 9 30 4 2" xfId="17203" xr:uid="{A283250C-E469-44CA-8B2D-3ACB815AF5A5}"/>
    <cellStyle name="Normal 2 9 30 5" xfId="17198" xr:uid="{23E026D0-8680-4D40-9820-83A0E1A39A81}"/>
    <cellStyle name="Normal 2 9 31" xfId="8634" xr:uid="{8E45797B-21DE-46C8-B2F4-328705AD3D48}"/>
    <cellStyle name="Normal 2 9 31 2" xfId="8635" xr:uid="{B7187EED-A685-4675-9B53-392C250B2FD0}"/>
    <cellStyle name="Normal 2 9 31 2 2" xfId="8636" xr:uid="{D6B4DF81-4C22-44B2-8889-2642397B13A6}"/>
    <cellStyle name="Normal 2 9 31 2 2 2" xfId="17206" xr:uid="{61C9A218-6282-4A4A-906E-23236C948CCB}"/>
    <cellStyle name="Normal 2 9 31 2 3" xfId="8637" xr:uid="{CDCE27E2-A264-45C8-B50B-C66C079F3103}"/>
    <cellStyle name="Normal 2 9 31 2 3 2" xfId="17207" xr:uid="{24225EF2-4B80-4F36-A1D6-1D4E8296568C}"/>
    <cellStyle name="Normal 2 9 31 2 4" xfId="17205" xr:uid="{F1540D65-3B5D-4556-9179-E373D8901CC5}"/>
    <cellStyle name="Normal 2 9 31 3" xfId="8638" xr:uid="{6894766A-39DE-4AE3-ADB1-3BE06A386782}"/>
    <cellStyle name="Normal 2 9 31 3 2" xfId="17208" xr:uid="{CFE8EB68-28BA-4608-AF28-1FD4BF61C93B}"/>
    <cellStyle name="Normal 2 9 31 4" xfId="8639" xr:uid="{51FA7654-C927-4879-9B6F-9CEDC75E59C1}"/>
    <cellStyle name="Normal 2 9 31 4 2" xfId="17209" xr:uid="{A8B220BC-B8FA-4CCB-B267-BA3174294350}"/>
    <cellStyle name="Normal 2 9 31 5" xfId="17204" xr:uid="{D3010BF6-1015-413B-9508-6F3055248711}"/>
    <cellStyle name="Normal 2 9 32" xfId="8640" xr:uid="{EF2D7AE4-CC84-45AC-97CF-B35F9CA35D88}"/>
    <cellStyle name="Normal 2 9 32 2" xfId="8641" xr:uid="{FF00D166-0F24-41CF-9280-AC6966DB2507}"/>
    <cellStyle name="Normal 2 9 32 2 2" xfId="8642" xr:uid="{65C62FBB-B775-4B08-BD8C-84FCA2D4616C}"/>
    <cellStyle name="Normal 2 9 32 2 2 2" xfId="17212" xr:uid="{07C43D69-F528-446D-AEE4-A9391FFB6791}"/>
    <cellStyle name="Normal 2 9 32 2 3" xfId="8643" xr:uid="{95265EFA-5B23-46AE-B915-D29D6561A8D0}"/>
    <cellStyle name="Normal 2 9 32 2 3 2" xfId="17213" xr:uid="{55BA241B-4BFA-43C2-A5FA-6792A09D47C1}"/>
    <cellStyle name="Normal 2 9 32 2 4" xfId="17211" xr:uid="{014CB72F-AA77-4253-A884-61104F043474}"/>
    <cellStyle name="Normal 2 9 32 3" xfId="8644" xr:uid="{7DDB9B2F-BD9F-48CB-B4D5-DB79485D46A8}"/>
    <cellStyle name="Normal 2 9 32 3 2" xfId="17214" xr:uid="{6A0D027B-1E95-4762-8CF3-ECB2A78FAA8F}"/>
    <cellStyle name="Normal 2 9 32 4" xfId="8645" xr:uid="{74EDE51B-DD50-4D54-9A00-B5994EB04DCA}"/>
    <cellStyle name="Normal 2 9 32 4 2" xfId="17215" xr:uid="{28C86E55-7FD8-4D0D-8DD5-799E6F87DF6E}"/>
    <cellStyle name="Normal 2 9 32 5" xfId="17210" xr:uid="{646D0A76-3443-4265-BF7C-51D1CE17631F}"/>
    <cellStyle name="Normal 2 9 33" xfId="8646" xr:uid="{B74CD257-F7AA-47FE-B41B-0DB223506D68}"/>
    <cellStyle name="Normal 2 9 33 2" xfId="8647" xr:uid="{F92AB47C-1523-46B5-9AB4-EDC89E8733E0}"/>
    <cellStyle name="Normal 2 9 33 2 2" xfId="8648" xr:uid="{659EA24E-F505-4822-9A50-8727B81C88C3}"/>
    <cellStyle name="Normal 2 9 33 2 2 2" xfId="17218" xr:uid="{9DE6499B-77E8-430A-A946-31CE070A1C11}"/>
    <cellStyle name="Normal 2 9 33 2 3" xfId="8649" xr:uid="{D0DC5922-01AD-46A1-B7FB-EC1A42F247CF}"/>
    <cellStyle name="Normal 2 9 33 2 3 2" xfId="17219" xr:uid="{4C1D3468-02DE-4D0C-A341-6DA73D724D72}"/>
    <cellStyle name="Normal 2 9 33 2 4" xfId="17217" xr:uid="{2266E65A-3C28-4849-8845-C2CAF533CB14}"/>
    <cellStyle name="Normal 2 9 33 3" xfId="8650" xr:uid="{B2E97C43-55D6-4A27-B24F-F02C88920C47}"/>
    <cellStyle name="Normal 2 9 33 3 2" xfId="17220" xr:uid="{F073B80C-38CD-40E5-9D6E-64C07D60992C}"/>
    <cellStyle name="Normal 2 9 33 4" xfId="8651" xr:uid="{981EA4BE-3692-4798-BE2E-700AF29F850D}"/>
    <cellStyle name="Normal 2 9 33 4 2" xfId="17221" xr:uid="{A13B2395-3C29-4CF0-A212-038E70F3FD00}"/>
    <cellStyle name="Normal 2 9 33 5" xfId="17216" xr:uid="{977EB1DD-469A-462B-B8FC-EDA287AC0653}"/>
    <cellStyle name="Normal 2 9 34" xfId="8652" xr:uid="{AA8555FF-2025-4FAF-BEF3-A564CC4366C2}"/>
    <cellStyle name="Normal 2 9 34 2" xfId="8653" xr:uid="{AE5614EC-26CC-4C72-BDEB-BDC8293D5B20}"/>
    <cellStyle name="Normal 2 9 34 2 2" xfId="8654" xr:uid="{01B11BF8-6C5B-4BB0-B5CF-0C6BD9385416}"/>
    <cellStyle name="Normal 2 9 34 2 2 2" xfId="17224" xr:uid="{460BC8D0-2E77-49F6-A93F-DA8E54648197}"/>
    <cellStyle name="Normal 2 9 34 2 3" xfId="8655" xr:uid="{988FA60D-B79E-44BD-AD76-24BB3B7CDD33}"/>
    <cellStyle name="Normal 2 9 34 2 3 2" xfId="17225" xr:uid="{C623B78F-BE53-4809-9323-82C2426794B3}"/>
    <cellStyle name="Normal 2 9 34 2 4" xfId="17223" xr:uid="{5DD4B9B6-8FAC-4B1E-8070-2D9B420D7A02}"/>
    <cellStyle name="Normal 2 9 34 3" xfId="8656" xr:uid="{4FA7B77D-1A06-456F-AE8A-82245C3779A2}"/>
    <cellStyle name="Normal 2 9 34 3 2" xfId="17226" xr:uid="{10808BAD-8C2D-4DD3-8A6E-47A85917EA9B}"/>
    <cellStyle name="Normal 2 9 34 4" xfId="8657" xr:uid="{27F5F94B-DD70-4D6E-93AA-3C38D1D80689}"/>
    <cellStyle name="Normal 2 9 34 4 2" xfId="17227" xr:uid="{360AFF5D-1B71-4162-AFA4-8FA4F7F85027}"/>
    <cellStyle name="Normal 2 9 34 5" xfId="17222" xr:uid="{6C8F86EF-C27D-4A64-B664-F4385D068496}"/>
    <cellStyle name="Normal 2 9 35" xfId="8658" xr:uid="{DB72502E-5146-4536-9274-7EA1E70F4FB2}"/>
    <cellStyle name="Normal 2 9 35 2" xfId="8659" xr:uid="{623BA7BC-6C07-4C4E-A4E0-9F8EAFF89230}"/>
    <cellStyle name="Normal 2 9 35 2 2" xfId="8660" xr:uid="{5560F3C4-DF4D-4D0D-8080-0231F3C0FBDB}"/>
    <cellStyle name="Normal 2 9 35 2 2 2" xfId="17230" xr:uid="{FE9FDC12-11C2-40C5-9676-B34848D2B518}"/>
    <cellStyle name="Normal 2 9 35 2 3" xfId="8661" xr:uid="{6B3E995A-FDC8-48C2-9169-1CE09AC2CFAA}"/>
    <cellStyle name="Normal 2 9 35 2 3 2" xfId="17231" xr:uid="{FF842AD8-58B0-4666-B109-2812D04DEEE2}"/>
    <cellStyle name="Normal 2 9 35 2 4" xfId="17229" xr:uid="{0366EBAF-EFA4-4CDD-B445-AE045B7B8769}"/>
    <cellStyle name="Normal 2 9 35 3" xfId="8662" xr:uid="{3DA810BF-6CE7-47AE-8713-4DE3CBE7D5A2}"/>
    <cellStyle name="Normal 2 9 35 3 2" xfId="17232" xr:uid="{50D4868D-95D7-473C-A240-C4B1A65B7C8E}"/>
    <cellStyle name="Normal 2 9 35 4" xfId="8663" xr:uid="{408EA0D0-1F09-414A-AE67-51AEE80BCE8E}"/>
    <cellStyle name="Normal 2 9 35 4 2" xfId="17233" xr:uid="{A82ED877-9BC0-4E55-9579-DC796CDD4A50}"/>
    <cellStyle name="Normal 2 9 35 5" xfId="17228" xr:uid="{22F04495-6C9B-4B23-8450-223F65CE13B7}"/>
    <cellStyle name="Normal 2 9 36" xfId="8664" xr:uid="{E0494F25-DAC0-4635-BDF3-30038803689D}"/>
    <cellStyle name="Normal 2 9 36 2" xfId="8665" xr:uid="{0EFFEE59-8647-4893-AFAC-9637FBD82BC1}"/>
    <cellStyle name="Normal 2 9 36 2 2" xfId="8666" xr:uid="{E15228A2-4BF3-4C3F-8B39-C19C04494CEB}"/>
    <cellStyle name="Normal 2 9 36 2 2 2" xfId="17236" xr:uid="{9170CC48-F918-48AA-8C14-8998AA2ACEDA}"/>
    <cellStyle name="Normal 2 9 36 2 3" xfId="8667" xr:uid="{730F9E3E-772B-433B-92C7-7B2E5BA52C87}"/>
    <cellStyle name="Normal 2 9 36 2 3 2" xfId="17237" xr:uid="{96E1DFDA-F12D-45DE-B0D2-F4BF0CBA74D7}"/>
    <cellStyle name="Normal 2 9 36 2 4" xfId="17235" xr:uid="{73307B57-5F9C-478C-AAAA-8390F36F9162}"/>
    <cellStyle name="Normal 2 9 36 3" xfId="8668" xr:uid="{5FBAB964-DC85-4A63-A3ED-1CA1254B48CB}"/>
    <cellStyle name="Normal 2 9 36 3 2" xfId="17238" xr:uid="{BC48DF00-3BC3-4EEA-B740-E65003BDF5CE}"/>
    <cellStyle name="Normal 2 9 36 4" xfId="8669" xr:uid="{1EEF2A8F-98C6-44C6-A444-1ADB2937E9E3}"/>
    <cellStyle name="Normal 2 9 36 4 2" xfId="17239" xr:uid="{8BA23A02-FC1A-4DA4-A378-75E33F6B77DF}"/>
    <cellStyle name="Normal 2 9 36 5" xfId="17234" xr:uid="{A8192C51-1F03-47C8-8197-96FA921FE1C0}"/>
    <cellStyle name="Normal 2 9 37" xfId="8670" xr:uid="{4836A8D8-8B06-494D-9BF3-0510BB42E74B}"/>
    <cellStyle name="Normal 2 9 37 2" xfId="8671" xr:uid="{1B67CF02-01D5-4C5F-B8DA-DCD3027D9E6C}"/>
    <cellStyle name="Normal 2 9 37 2 2" xfId="8672" xr:uid="{5BC7E3E5-A777-453C-AB58-A22B3AB3CEC9}"/>
    <cellStyle name="Normal 2 9 37 2 2 2" xfId="17242" xr:uid="{3C8F54BA-B2FE-4C95-9995-C55DAF219C34}"/>
    <cellStyle name="Normal 2 9 37 2 3" xfId="8673" xr:uid="{ECA15637-D42C-4F7F-8312-26BA372DB997}"/>
    <cellStyle name="Normal 2 9 37 2 3 2" xfId="17243" xr:uid="{4015D481-293E-4299-A5DC-F748295FD21D}"/>
    <cellStyle name="Normal 2 9 37 2 4" xfId="17241" xr:uid="{965FAF7A-8773-43FB-9772-AB977CDBB116}"/>
    <cellStyle name="Normal 2 9 37 3" xfId="8674" xr:uid="{F1C0509C-D3AC-4393-A829-7B9440192E45}"/>
    <cellStyle name="Normal 2 9 37 3 2" xfId="17244" xr:uid="{8E9CC41E-367E-44CE-A43F-9363FEC727A5}"/>
    <cellStyle name="Normal 2 9 37 4" xfId="8675" xr:uid="{62187087-C8A4-4334-B80F-BD64853AC185}"/>
    <cellStyle name="Normal 2 9 37 4 2" xfId="17245" xr:uid="{912B4B60-4782-4E53-ADF6-8383377E9349}"/>
    <cellStyle name="Normal 2 9 37 5" xfId="17240" xr:uid="{1457EC13-AE33-4DDE-91F8-A5C24092AB46}"/>
    <cellStyle name="Normal 2 9 38" xfId="8676" xr:uid="{935AC504-F8A8-4CFD-AF46-5B14D7ECA739}"/>
    <cellStyle name="Normal 2 9 38 2" xfId="8677" xr:uid="{AFA83A7A-2130-45F8-93E4-E8A335C99068}"/>
    <cellStyle name="Normal 2 9 38 2 2" xfId="8678" xr:uid="{CD621E7B-969A-4C1B-B91F-35EA3FC71BF2}"/>
    <cellStyle name="Normal 2 9 38 2 2 2" xfId="17248" xr:uid="{4EAD4D79-291B-4864-9208-A4A01097032A}"/>
    <cellStyle name="Normal 2 9 38 2 3" xfId="8679" xr:uid="{036F1E89-4721-4CF4-881F-415F8D9572FE}"/>
    <cellStyle name="Normal 2 9 38 2 3 2" xfId="17249" xr:uid="{BB57C07D-C9EE-4777-9177-E2C8136730FC}"/>
    <cellStyle name="Normal 2 9 38 2 4" xfId="17247" xr:uid="{254DDE0A-96A2-4C7B-8D26-F4C09364CF76}"/>
    <cellStyle name="Normal 2 9 38 3" xfId="8680" xr:uid="{88F27640-6D97-459F-B9CA-B80E69AA144C}"/>
    <cellStyle name="Normal 2 9 38 3 2" xfId="17250" xr:uid="{14AAD61A-665E-42FB-82EB-44C1336BEC81}"/>
    <cellStyle name="Normal 2 9 38 4" xfId="8681" xr:uid="{0FAB80D7-EBBB-4389-8F2C-179744144A20}"/>
    <cellStyle name="Normal 2 9 38 4 2" xfId="17251" xr:uid="{A89CA3AB-69C9-4710-BDD9-AD8A1EE16C3F}"/>
    <cellStyle name="Normal 2 9 38 5" xfId="17246" xr:uid="{EB630C46-8551-4869-89E2-FA0352BFF154}"/>
    <cellStyle name="Normal 2 9 39" xfId="8682" xr:uid="{70488AA5-22B7-4E51-B819-8F59D6025E9B}"/>
    <cellStyle name="Normal 2 9 39 2" xfId="8683" xr:uid="{44DF6AE6-A75D-4454-9F11-62DD3C26939C}"/>
    <cellStyle name="Normal 2 9 39 2 2" xfId="8684" xr:uid="{5B39F850-3CA8-4D2D-92DC-1E886BA195B4}"/>
    <cellStyle name="Normal 2 9 39 2 2 2" xfId="17254" xr:uid="{2827ABA1-1B0A-43FF-BC1E-95D6F73F63B6}"/>
    <cellStyle name="Normal 2 9 39 2 3" xfId="8685" xr:uid="{82CD420A-789E-4CD8-8967-5149BCFDABD7}"/>
    <cellStyle name="Normal 2 9 39 2 3 2" xfId="17255" xr:uid="{61DEF6E8-2268-41BB-95A4-A659218442EB}"/>
    <cellStyle name="Normal 2 9 39 2 4" xfId="17253" xr:uid="{106E6E94-B7B0-4C07-8001-70E6C51AD8AD}"/>
    <cellStyle name="Normal 2 9 39 3" xfId="8686" xr:uid="{F08AC2FF-1303-4F0A-ACF0-0FEA7FFFBBEC}"/>
    <cellStyle name="Normal 2 9 39 3 2" xfId="17256" xr:uid="{94DC1F8D-4917-4BF6-B0BA-7F407EBAC983}"/>
    <cellStyle name="Normal 2 9 39 4" xfId="8687" xr:uid="{3EE2D73A-84B7-422C-B7A8-20663590A299}"/>
    <cellStyle name="Normal 2 9 39 4 2" xfId="17257" xr:uid="{CF273678-75E5-4416-BDBC-020B81F95E6F}"/>
    <cellStyle name="Normal 2 9 39 5" xfId="17252" xr:uid="{54990F48-79AB-48C1-AB80-DD73D631729E}"/>
    <cellStyle name="Normal 2 9 4" xfId="8688" xr:uid="{FD969761-69E8-46E9-B886-33DA67A618F7}"/>
    <cellStyle name="Normal 2 9 4 2" xfId="8689" xr:uid="{8400D1F9-F276-4FF4-98B8-6B0B49FE9946}"/>
    <cellStyle name="Normal 2 9 4 2 2" xfId="8690" xr:uid="{867E06E5-A66F-4D91-B8A1-C6D273D1ACBD}"/>
    <cellStyle name="Normal 2 9 4 2 2 2" xfId="17260" xr:uid="{B21D37B8-18EC-4C17-97B8-051E64AD6A63}"/>
    <cellStyle name="Normal 2 9 4 2 3" xfId="8691" xr:uid="{0E4C59B4-A7D9-4465-AD8C-79E713F26F80}"/>
    <cellStyle name="Normal 2 9 4 2 3 2" xfId="17261" xr:uid="{226B32CB-785F-48FD-89CE-5EC9C5D6F164}"/>
    <cellStyle name="Normal 2 9 4 2 4" xfId="17259" xr:uid="{41BF2856-93E6-43AC-BC12-05CDA7588A20}"/>
    <cellStyle name="Normal 2 9 4 3" xfId="8692" xr:uid="{C69A07CD-E33D-47A0-AE29-0A6A510AE3C8}"/>
    <cellStyle name="Normal 2 9 4 3 2" xfId="17262" xr:uid="{4AE75A49-13D4-425C-83F6-98E3D9ABC2BC}"/>
    <cellStyle name="Normal 2 9 4 4" xfId="8693" xr:uid="{2DFD1DB2-F748-4724-84E7-55B3BB077BFD}"/>
    <cellStyle name="Normal 2 9 4 4 2" xfId="17263" xr:uid="{29B3CA8C-C672-4099-B9DC-DDD4401E8BD2}"/>
    <cellStyle name="Normal 2 9 4 5" xfId="17258" xr:uid="{35132860-38AD-4A7B-AA53-3F2A89925260}"/>
    <cellStyle name="Normal 2 9 40" xfId="8694" xr:uid="{F0475CB0-63FC-4BCF-A25B-41DA1B3D5069}"/>
    <cellStyle name="Normal 2 9 40 2" xfId="8695" xr:uid="{DDAA73B4-107D-442D-A2DA-5195F4E84934}"/>
    <cellStyle name="Normal 2 9 40 2 2" xfId="8696" xr:uid="{403C0878-B8E3-43AF-9BEB-E29DC60A7410}"/>
    <cellStyle name="Normal 2 9 40 2 2 2" xfId="17266" xr:uid="{B2CEAA14-4E0F-4694-9C27-9810F08D1745}"/>
    <cellStyle name="Normal 2 9 40 2 3" xfId="8697" xr:uid="{0655F982-E26C-417C-B206-39C92D2FD2F6}"/>
    <cellStyle name="Normal 2 9 40 2 3 2" xfId="17267" xr:uid="{BB0B818A-F500-40EC-A037-4B0991C607F0}"/>
    <cellStyle name="Normal 2 9 40 2 4" xfId="17265" xr:uid="{8EE83933-2309-4CC4-BDB3-A557C8D4E572}"/>
    <cellStyle name="Normal 2 9 40 3" xfId="8698" xr:uid="{9F7E41CE-F0A3-4259-89F4-4F9229FF9EA1}"/>
    <cellStyle name="Normal 2 9 40 3 2" xfId="17268" xr:uid="{BA7EC60F-8470-4620-8955-FC4E17F5F5AA}"/>
    <cellStyle name="Normal 2 9 40 4" xfId="8699" xr:uid="{9F7EDE35-87B5-490B-9776-13C8711FC440}"/>
    <cellStyle name="Normal 2 9 40 4 2" xfId="17269" xr:uid="{56D1E0EE-CDFF-421D-BF6D-31E56E16E16B}"/>
    <cellStyle name="Normal 2 9 40 5" xfId="17264" xr:uid="{D6629AFD-7861-496E-8033-9747943AC435}"/>
    <cellStyle name="Normal 2 9 41" xfId="8700" xr:uid="{A4AA265D-73CB-48C3-A19B-CEDD216916C7}"/>
    <cellStyle name="Normal 2 9 41 2" xfId="8701" xr:uid="{B5048B90-0FCE-4236-B373-D8CD5C568332}"/>
    <cellStyle name="Normal 2 9 41 2 2" xfId="8702" xr:uid="{E0DE4A0D-CF4D-4527-8325-B2CC60533037}"/>
    <cellStyle name="Normal 2 9 41 2 2 2" xfId="17272" xr:uid="{30D350C5-BCE5-48C8-8DB1-C5485C9D9434}"/>
    <cellStyle name="Normal 2 9 41 2 3" xfId="8703" xr:uid="{61079345-C82E-43B3-8737-7A05E5730724}"/>
    <cellStyle name="Normal 2 9 41 2 3 2" xfId="17273" xr:uid="{09FA63D1-ABAA-4CA2-A12E-A512568368A4}"/>
    <cellStyle name="Normal 2 9 41 2 4" xfId="17271" xr:uid="{644D2986-9AA6-48B7-B686-F96FDBC0BC12}"/>
    <cellStyle name="Normal 2 9 41 3" xfId="8704" xr:uid="{69B9EAB2-D10D-4A19-AE44-4AFAA4207957}"/>
    <cellStyle name="Normal 2 9 41 3 2" xfId="17274" xr:uid="{67253C92-7D23-4F61-9600-1F161809058D}"/>
    <cellStyle name="Normal 2 9 41 4" xfId="8705" xr:uid="{6B1E6514-A4F1-4D64-9F0E-ADAC5BBC0EC7}"/>
    <cellStyle name="Normal 2 9 41 4 2" xfId="17275" xr:uid="{565B7AA8-516E-4689-9CBC-0832AC699EC7}"/>
    <cellStyle name="Normal 2 9 41 5" xfId="17270" xr:uid="{A4EE1D82-D418-4D19-990F-0588D5E527A1}"/>
    <cellStyle name="Normal 2 9 42" xfId="8706" xr:uid="{F49D18CF-8C97-4B31-A3C5-35CD8E7EFCF5}"/>
    <cellStyle name="Normal 2 9 42 2" xfId="8707" xr:uid="{81732414-FFEB-4164-80F0-74BFE817E57D}"/>
    <cellStyle name="Normal 2 9 42 2 2" xfId="8708" xr:uid="{02CD0EF5-8E1F-4C12-BF1A-591B6C581149}"/>
    <cellStyle name="Normal 2 9 42 2 2 2" xfId="17278" xr:uid="{12797DD6-F391-445C-B085-7C9F233263D1}"/>
    <cellStyle name="Normal 2 9 42 2 3" xfId="8709" xr:uid="{CB639330-2444-4F4A-80D6-17BC83A9F080}"/>
    <cellStyle name="Normal 2 9 42 2 3 2" xfId="17279" xr:uid="{5643EA39-7391-47DF-A4F1-464D802266A0}"/>
    <cellStyle name="Normal 2 9 42 2 4" xfId="17277" xr:uid="{87B395E8-0A15-4BB8-B350-61AAAC89CE4E}"/>
    <cellStyle name="Normal 2 9 42 3" xfId="8710" xr:uid="{C24EE349-318D-4821-B72F-ADAA8045823C}"/>
    <cellStyle name="Normal 2 9 42 3 2" xfId="17280" xr:uid="{C71D1552-AE49-4F26-B03B-92FF78374A93}"/>
    <cellStyle name="Normal 2 9 42 4" xfId="8711" xr:uid="{CBA4BE7E-2DD9-41E7-8F39-DA9FC9CE1663}"/>
    <cellStyle name="Normal 2 9 42 4 2" xfId="17281" xr:uid="{A7A09E2B-E384-4D83-B13A-5E341920AAC9}"/>
    <cellStyle name="Normal 2 9 42 5" xfId="17276" xr:uid="{8AC2F1EB-EC74-42D0-8360-913921269EBB}"/>
    <cellStyle name="Normal 2 9 43" xfId="8712" xr:uid="{BE762F5F-D251-4068-93DB-7790652C28D8}"/>
    <cellStyle name="Normal 2 9 43 2" xfId="8713" xr:uid="{9A50D857-A275-4F28-8EDF-E6542D4A201D}"/>
    <cellStyle name="Normal 2 9 43 2 2" xfId="8714" xr:uid="{893909BB-EF38-4013-A5BE-3C7C18800C06}"/>
    <cellStyle name="Normal 2 9 43 2 2 2" xfId="17284" xr:uid="{CAB47263-7162-4460-BF54-308DEF64D557}"/>
    <cellStyle name="Normal 2 9 43 2 3" xfId="8715" xr:uid="{0FB2F0D3-BBEF-4157-A13D-8B42B320100B}"/>
    <cellStyle name="Normal 2 9 43 2 3 2" xfId="17285" xr:uid="{6F32EB51-85D5-4FE0-85B2-A07B09F214AD}"/>
    <cellStyle name="Normal 2 9 43 2 4" xfId="17283" xr:uid="{8ECB19C6-293D-4187-891E-67F7FAB11070}"/>
    <cellStyle name="Normal 2 9 43 3" xfId="8716" xr:uid="{A1D97B88-FE9A-4477-ABAC-7822D75814DC}"/>
    <cellStyle name="Normal 2 9 43 3 2" xfId="17286" xr:uid="{8A6E07F0-B459-45D7-AC77-F99BA1118622}"/>
    <cellStyle name="Normal 2 9 43 4" xfId="8717" xr:uid="{82318E53-4999-4FC1-A83E-0EB361D93864}"/>
    <cellStyle name="Normal 2 9 43 4 2" xfId="17287" xr:uid="{DB19B423-FF03-4AA7-BA59-E54A0FF1D63B}"/>
    <cellStyle name="Normal 2 9 43 5" xfId="17282" xr:uid="{D2C3CC86-6133-4A1F-87E8-88FE102265EC}"/>
    <cellStyle name="Normal 2 9 44" xfId="8718" xr:uid="{46EE16A5-90AD-42CF-BC64-AEA5BB24E682}"/>
    <cellStyle name="Normal 2 9 44 2" xfId="8719" xr:uid="{BFDE3CB2-31FA-43C1-88E9-F26352D3437E}"/>
    <cellStyle name="Normal 2 9 44 2 2" xfId="17289" xr:uid="{2066C908-5BBE-4FCC-9000-731C3A318B31}"/>
    <cellStyle name="Normal 2 9 44 3" xfId="8720" xr:uid="{71BD6E6F-9F05-4990-A64C-F6B724435074}"/>
    <cellStyle name="Normal 2 9 44 3 2" xfId="17290" xr:uid="{AB3D5A06-7E3B-4E24-AD27-A36201E4DC10}"/>
    <cellStyle name="Normal 2 9 44 4" xfId="17288" xr:uid="{797BA3E2-36AA-4972-B2B4-B8536663B91F}"/>
    <cellStyle name="Normal 2 9 45" xfId="8721" xr:uid="{87B0DEE8-68D6-4983-8DF8-25CEA27149F2}"/>
    <cellStyle name="Normal 2 9 45 2" xfId="17291" xr:uid="{4E7C9D98-FFC6-47F9-8761-45198009F373}"/>
    <cellStyle name="Normal 2 9 46" xfId="8722" xr:uid="{8A718D17-1E40-4D33-960A-485F2676B7AE}"/>
    <cellStyle name="Normal 2 9 46 2" xfId="17292" xr:uid="{0BDCD060-CA8C-4167-A3EF-BE02483B12E5}"/>
    <cellStyle name="Normal 2 9 47" xfId="17065" xr:uid="{E0BA8FEE-3006-4904-9DAA-9F37E15F0DEE}"/>
    <cellStyle name="Normal 2 9 5" xfId="8723" xr:uid="{26B13F2C-ABEB-4C65-B97F-C20D7D01A1D0}"/>
    <cellStyle name="Normal 2 9 5 2" xfId="8724" xr:uid="{5A831633-874C-4F19-805F-23A2471B4303}"/>
    <cellStyle name="Normal 2 9 5 2 2" xfId="8725" xr:uid="{4D9CF4E6-D035-45D5-8338-2B8E7C744002}"/>
    <cellStyle name="Normal 2 9 5 2 2 2" xfId="17295" xr:uid="{03D04F8C-C1C0-46A7-86C5-C2E5FF3AE684}"/>
    <cellStyle name="Normal 2 9 5 2 3" xfId="8726" xr:uid="{27F5688E-1E2B-4056-8700-AC858057B6CF}"/>
    <cellStyle name="Normal 2 9 5 2 3 2" xfId="17296" xr:uid="{34102A8C-EE51-457F-B58E-BE5E750FE486}"/>
    <cellStyle name="Normal 2 9 5 2 4" xfId="17294" xr:uid="{F21E70C0-A0F9-4B8B-A03C-DF158E22E64C}"/>
    <cellStyle name="Normal 2 9 5 3" xfId="8727" xr:uid="{0A3A0F58-E07A-45DE-BDE8-DF5D25BB6B19}"/>
    <cellStyle name="Normal 2 9 5 3 2" xfId="17297" xr:uid="{E9FF345F-6D88-4F4B-A523-559669D027F4}"/>
    <cellStyle name="Normal 2 9 5 4" xfId="8728" xr:uid="{873005ED-0355-4CB1-88B2-A9A56C78290A}"/>
    <cellStyle name="Normal 2 9 5 4 2" xfId="17298" xr:uid="{F7C8D78C-8A47-43BD-89C1-FC215B86C567}"/>
    <cellStyle name="Normal 2 9 5 5" xfId="17293" xr:uid="{BB6DF6A3-C229-4B12-A465-C0DDFCDE75FD}"/>
    <cellStyle name="Normal 2 9 6" xfId="8729" xr:uid="{328C8729-4FFE-4339-853A-94A9ADB75347}"/>
    <cellStyle name="Normal 2 9 6 2" xfId="8730" xr:uid="{F7E43D1E-9BA8-43E9-90E0-98CBCF34F65F}"/>
    <cellStyle name="Normal 2 9 6 2 2" xfId="8731" xr:uid="{EEAE2948-E857-4E81-89E5-C8A661CCA117}"/>
    <cellStyle name="Normal 2 9 6 2 2 2" xfId="17301" xr:uid="{E663CC27-6E49-4B1F-8CE7-590D0F2EA67F}"/>
    <cellStyle name="Normal 2 9 6 2 3" xfId="8732" xr:uid="{882918FC-F599-4F61-94AB-DEC42BBE1968}"/>
    <cellStyle name="Normal 2 9 6 2 3 2" xfId="17302" xr:uid="{2CBBC5E5-E3A4-4E26-BC2B-D8AA6FD1E680}"/>
    <cellStyle name="Normal 2 9 6 2 4" xfId="17300" xr:uid="{3609B438-6CA0-41D5-925E-72795B29BE44}"/>
    <cellStyle name="Normal 2 9 6 3" xfId="8733" xr:uid="{48C3F1B8-6287-4A48-B16C-4FB5CA184EDB}"/>
    <cellStyle name="Normal 2 9 6 3 2" xfId="17303" xr:uid="{53A17718-39E8-41AC-B307-857DB69C9B15}"/>
    <cellStyle name="Normal 2 9 6 4" xfId="8734" xr:uid="{C7AF5CEE-B0D7-4410-B82E-507DE6615A8D}"/>
    <cellStyle name="Normal 2 9 6 4 2" xfId="17304" xr:uid="{BE5AB5A7-3D43-43DD-9EFA-AF59FBDCF6C5}"/>
    <cellStyle name="Normal 2 9 6 5" xfId="17299" xr:uid="{9321E7FD-A706-4146-A4F4-F5566736641A}"/>
    <cellStyle name="Normal 2 9 7" xfId="8735" xr:uid="{34B0E513-8BF8-427E-BC12-84144A65D30E}"/>
    <cellStyle name="Normal 2 9 7 2" xfId="8736" xr:uid="{7677AC9B-6C79-4440-A639-F74EE1BA3F49}"/>
    <cellStyle name="Normal 2 9 7 2 2" xfId="8737" xr:uid="{62B92F30-8E38-4A03-89BD-D4FAFCC59348}"/>
    <cellStyle name="Normal 2 9 7 2 2 2" xfId="17307" xr:uid="{A70248C4-2113-44CB-8B89-2BF2BC1FCD89}"/>
    <cellStyle name="Normal 2 9 7 2 3" xfId="8738" xr:uid="{CE4C700B-E60D-4DD8-A5C5-42E9746487F3}"/>
    <cellStyle name="Normal 2 9 7 2 3 2" xfId="17308" xr:uid="{444D628B-8301-46A8-97AA-0D21BD8E69F5}"/>
    <cellStyle name="Normal 2 9 7 2 4" xfId="17306" xr:uid="{0088B336-DB9F-4BDC-A00C-CB321022057B}"/>
    <cellStyle name="Normal 2 9 7 3" xfId="8739" xr:uid="{9D879A6A-607B-4329-A594-0CA8C04A17C3}"/>
    <cellStyle name="Normal 2 9 7 3 2" xfId="17309" xr:uid="{D5851EE4-1509-4AF1-92B5-48A7EF77ABB7}"/>
    <cellStyle name="Normal 2 9 7 4" xfId="8740" xr:uid="{2D12BE2C-C43B-42E7-AA17-E3ED0E6F7DB2}"/>
    <cellStyle name="Normal 2 9 7 4 2" xfId="17310" xr:uid="{39BA17E1-428B-4003-BDFF-E9BA14076055}"/>
    <cellStyle name="Normal 2 9 7 5" xfId="17305" xr:uid="{E92ED316-D528-41AB-BB23-71CC0606C153}"/>
    <cellStyle name="Normal 2 9 8" xfId="8741" xr:uid="{AFFA7CE1-721D-40BB-AEB2-3D56ED5F6A07}"/>
    <cellStyle name="Normal 2 9 8 2" xfId="8742" xr:uid="{0421AC90-9B6C-45DC-B50E-CB7EA2465398}"/>
    <cellStyle name="Normal 2 9 8 2 2" xfId="8743" xr:uid="{3860CDB4-B397-46D7-85F9-2971432FD3D7}"/>
    <cellStyle name="Normal 2 9 8 2 2 2" xfId="17313" xr:uid="{5C3041C2-D9FD-4782-A347-3EA0B3C79B1E}"/>
    <cellStyle name="Normal 2 9 8 2 3" xfId="8744" xr:uid="{0930E858-E804-4CC9-BF8B-ED7EDC47AA4C}"/>
    <cellStyle name="Normal 2 9 8 2 3 2" xfId="17314" xr:uid="{3786BD9A-ABFA-44A2-8CEB-D4FB025C238D}"/>
    <cellStyle name="Normal 2 9 8 2 4" xfId="17312" xr:uid="{82ACC23D-7244-43D0-9204-8A6F26FEDBB4}"/>
    <cellStyle name="Normal 2 9 8 3" xfId="8745" xr:uid="{F596E4F2-81D8-49D0-BFA7-B9710EE73056}"/>
    <cellStyle name="Normal 2 9 8 3 2" xfId="17315" xr:uid="{6038BAC9-B1B5-4077-8F3C-B2F7972DD9C2}"/>
    <cellStyle name="Normal 2 9 8 4" xfId="8746" xr:uid="{1A7F78EA-E6B4-459D-A1BD-61C955095E3C}"/>
    <cellStyle name="Normal 2 9 8 4 2" xfId="17316" xr:uid="{85506860-378F-4844-9630-09DF20124CFC}"/>
    <cellStyle name="Normal 2 9 8 5" xfId="17311" xr:uid="{29D97D4F-163C-4332-AF7F-F6CEEA13FFB7}"/>
    <cellStyle name="Normal 2 9 9" xfId="8747" xr:uid="{A61AD715-FBEA-4335-98ED-0369A3BFE822}"/>
    <cellStyle name="Normal 2 9 9 2" xfId="8748" xr:uid="{F7B87A0D-D0A8-496C-AC5C-631F46827352}"/>
    <cellStyle name="Normal 2 9 9 2 2" xfId="8749" xr:uid="{CE0AB992-7B45-4F1B-B1DC-8029A1EC0A45}"/>
    <cellStyle name="Normal 2 9 9 2 2 2" xfId="17319" xr:uid="{583F218C-20EE-4D28-88CC-8DE6524E64C5}"/>
    <cellStyle name="Normal 2 9 9 2 3" xfId="8750" xr:uid="{5320AB48-4D10-4EAA-82C1-34FB845BE67C}"/>
    <cellStyle name="Normal 2 9 9 2 3 2" xfId="17320" xr:uid="{7DA27FEF-8F7F-4301-AA2F-F4C5D33CEB53}"/>
    <cellStyle name="Normal 2 9 9 2 4" xfId="17318" xr:uid="{3BD5CBB8-7C1E-4891-81B2-73040875920F}"/>
    <cellStyle name="Normal 2 9 9 3" xfId="8751" xr:uid="{33846571-615A-4B5D-BA4D-74ADAB1BF7AD}"/>
    <cellStyle name="Normal 2 9 9 3 2" xfId="17321" xr:uid="{D93A855D-5CFA-4592-A3E7-3F959C1D7A39}"/>
    <cellStyle name="Normal 2 9 9 4" xfId="8752" xr:uid="{48E1B7CE-92DA-474F-B0B6-3843B14B182B}"/>
    <cellStyle name="Normal 2 9 9 4 2" xfId="17322" xr:uid="{13303029-AA5C-461F-AB96-D9AB29811414}"/>
    <cellStyle name="Normal 2 9 9 5" xfId="17317" xr:uid="{CD33748C-6F82-49F9-B49C-F444C12AE4D1}"/>
    <cellStyle name="Normal 20" xfId="8753" xr:uid="{F6C27D9B-9909-40BB-A7C2-7C942475D126}"/>
    <cellStyle name="Normal 21" xfId="8754" xr:uid="{6AE8CD58-A85F-47F7-AE6E-4236937E8B22}"/>
    <cellStyle name="Normal 22" xfId="19" xr:uid="{EAB29CE1-F273-481C-9B76-42D1E8104508}"/>
    <cellStyle name="Normal 23" xfId="8994" xr:uid="{5346A9CA-06D5-46EF-812B-DD5F98A614F3}"/>
    <cellStyle name="Normal 2DP" xfId="8755" xr:uid="{605BF23F-D1A9-4EA0-97C4-24089BA146BA}"/>
    <cellStyle name="Normal 2DP 2" xfId="8756" xr:uid="{6165759D-322B-4872-9D72-44254050A035}"/>
    <cellStyle name="Normal 2DP 3" xfId="8757" xr:uid="{9DCAF150-0C97-410E-8472-72B16375AF26}"/>
    <cellStyle name="Normal 2DP 4" xfId="8758" xr:uid="{CBAA43B8-2233-425B-90B1-1C914AEAA8D4}"/>
    <cellStyle name="Normal 2DP 5" xfId="8759" xr:uid="{86D9356D-6A2D-4460-BAD8-797E68149B05}"/>
    <cellStyle name="Normal 2DP 6" xfId="8760" xr:uid="{A99222F6-63CF-4ACD-AE44-B2BB8FD11C59}"/>
    <cellStyle name="Normal 2DP 7" xfId="8761" xr:uid="{7E5C1A03-E1DE-45C2-B924-D45C29B16C31}"/>
    <cellStyle name="Normal 3" xfId="11" xr:uid="{00000000-0005-0000-0000-000004000000}"/>
    <cellStyle name="Normal 3 10" xfId="8762" xr:uid="{B32D74DE-4ED1-49FE-A0D4-FFFFE00023CC}"/>
    <cellStyle name="Normal 3 11" xfId="13" xr:uid="{1E2399A2-ABDD-4686-B600-D6E104D618E9}"/>
    <cellStyle name="Normal 3 11 2" xfId="8951" xr:uid="{8B838FC5-5A24-49F7-8D8A-73B50D5198DC}"/>
    <cellStyle name="Normal 3 12" xfId="8952" xr:uid="{7DB49378-C0DE-4CBC-9499-E99A2106C4CC}"/>
    <cellStyle name="Normal 3 2" xfId="14" xr:uid="{15B02C1F-AC3B-417C-997D-CC1BD91BC022}"/>
    <cellStyle name="Normal 3 2 2" xfId="8764" xr:uid="{179A6FE0-3D19-4AFE-8F9A-0AE4B9443606}"/>
    <cellStyle name="Normal 3 2 3" xfId="8765" xr:uid="{64C4E879-7058-40BA-8E75-90131DB3F56E}"/>
    <cellStyle name="Normal 3 2 3 2" xfId="8766" xr:uid="{BCD5F9E7-4CB6-4328-ABA7-B6D8641FFC1E}"/>
    <cellStyle name="Normal 3 2 3 3" xfId="8767" xr:uid="{B31310DD-FA7B-4BAE-A45D-CA0705908C15}"/>
    <cellStyle name="Normal 3 2 3 4" xfId="8768" xr:uid="{49E24E87-CE51-480C-B576-5CAB40B4B0A8}"/>
    <cellStyle name="Normal 3 2 4" xfId="8769" xr:uid="{B3CF1856-60D7-492E-9747-18248961920A}"/>
    <cellStyle name="Normal 3 2 5" xfId="8770" xr:uid="{624F66D9-AAD3-433F-A6A1-A22CF7DC9682}"/>
    <cellStyle name="Normal 3 2 6" xfId="8771" xr:uid="{49AD9B30-00BD-400B-BABA-D86190BB502F}"/>
    <cellStyle name="Normal 3 2 7" xfId="8763" xr:uid="{ACF982B6-FB82-410A-9B3F-D3DBE0214159}"/>
    <cellStyle name="Normal 3 3" xfId="8772" xr:uid="{EA778A1E-4932-4404-8074-E9DBCD367A11}"/>
    <cellStyle name="Normal 3 3 2" xfId="8773" xr:uid="{E448C520-C867-4948-AB95-3037993EA32C}"/>
    <cellStyle name="Normal 3 3 3" xfId="8774" xr:uid="{C8431324-82F2-4555-8871-722E4DA2D7C8}"/>
    <cellStyle name="Normal 3 3 3 2" xfId="8775" xr:uid="{63330A96-108B-4289-B769-5026B4EEF389}"/>
    <cellStyle name="Normal 3 3 3 3" xfId="8776" xr:uid="{32792ADB-EB38-45EF-83C3-B53B6E8159BC}"/>
    <cellStyle name="Normal 3 3 3 3 2" xfId="17325" xr:uid="{82C89D1A-A603-42A9-B09E-A6273CAEBC14}"/>
    <cellStyle name="Normal 3 3 3 4" xfId="17324" xr:uid="{6EF7A425-E08E-4490-844C-64B02ADE58AB}"/>
    <cellStyle name="Normal 3 3 4" xfId="8777" xr:uid="{B88F7076-36F4-4A53-AC70-4E3F8151041C}"/>
    <cellStyle name="Normal 3 3 5" xfId="8778" xr:uid="{9CFC05AE-E150-467F-AB23-9C210A3881D2}"/>
    <cellStyle name="Normal 3 3 6" xfId="8779" xr:uid="{10ACF649-E718-4411-97CD-530FF2FD9C7F}"/>
    <cellStyle name="Normal 3 3 6 2" xfId="17326" xr:uid="{9AD55BE0-B0DF-402A-A461-85282CA13861}"/>
    <cellStyle name="Normal 3 3 7" xfId="8780" xr:uid="{B785BF0C-82E3-4D98-A1EB-5708391668D2}"/>
    <cellStyle name="Normal 3 3 8" xfId="17323" xr:uid="{E6F82E43-A64E-4F1E-84C8-A35C1933FDF4}"/>
    <cellStyle name="Normal 3 4" xfId="8781" xr:uid="{C2851E1F-6E34-4153-B7AE-3C65A8744741}"/>
    <cellStyle name="Normal 3 4 2" xfId="8782" xr:uid="{E089BCB9-E674-4A85-ADF6-7697DD1D7E0D}"/>
    <cellStyle name="Normal 3 4 3" xfId="8783" xr:uid="{0DBCEB65-FFBB-494F-BA26-3782B0D2DE8C}"/>
    <cellStyle name="Normal 3 5" xfId="8784" xr:uid="{EFA51C22-6D24-4E1B-A9B3-B429555963E7}"/>
    <cellStyle name="Normal 3 5 2" xfId="8785" xr:uid="{D4F9A8BE-667A-4CC3-9094-D664DDE1851F}"/>
    <cellStyle name="Normal 3 5 2 2" xfId="17327" xr:uid="{E74A9408-D704-4468-8215-8722C2215337}"/>
    <cellStyle name="Normal 3 5 3" xfId="8786" xr:uid="{776E124F-E3EC-4766-90AB-4ECFD2CBE0B6}"/>
    <cellStyle name="Normal 3 5 4" xfId="8787" xr:uid="{AE1512CB-46AE-4E79-8F30-8F20E04D8F28}"/>
    <cellStyle name="Normal 3 5 4 2" xfId="17328" xr:uid="{F3A038EF-2CC0-471A-97DE-2938E0817317}"/>
    <cellStyle name="Normal 3 6" xfId="8788" xr:uid="{B0D82CED-6C87-436B-8BB7-2823CF895991}"/>
    <cellStyle name="Normal 3 6 2" xfId="8789" xr:uid="{6DAF2F34-6190-401E-8FF4-7106B90360E0}"/>
    <cellStyle name="Normal 3 7" xfId="8790" xr:uid="{BD6E502C-F9DE-4401-97E1-965E1EB378EE}"/>
    <cellStyle name="Normal 3 7 2" xfId="8791" xr:uid="{C1732274-4E31-4EB2-991E-9452E865AA5D}"/>
    <cellStyle name="Normal 3 7 2 2" xfId="8792" xr:uid="{29FE064D-863B-4697-B0AC-24759140FEB0}"/>
    <cellStyle name="Normal 3 7 2 3" xfId="8793" xr:uid="{4373B3C9-DE71-42F2-9097-9393A21EE67D}"/>
    <cellStyle name="Normal 3 7 3" xfId="8794" xr:uid="{4AB88441-0C3D-46EA-87F6-E13256548414}"/>
    <cellStyle name="Normal 3 8" xfId="8795" xr:uid="{A5ADD8D2-BEAD-4FDC-8E9A-603B05288655}"/>
    <cellStyle name="Normal 3 8 2" xfId="8796" xr:uid="{04CF43DB-406D-443F-97A3-FDCAB43532CC}"/>
    <cellStyle name="Normal 3 8 3" xfId="8797" xr:uid="{34E908EA-CB49-41C5-9436-C1278814E003}"/>
    <cellStyle name="Normal 3 8 4" xfId="8798" xr:uid="{E2A1294B-3C65-4B11-B2A6-3C61289716CE}"/>
    <cellStyle name="Normal 3 9" xfId="8799" xr:uid="{71BBFAB1-3AAB-449F-85A3-5320D7AA53E6}"/>
    <cellStyle name="Normal 4" xfId="12" xr:uid="{2815618F-9793-4433-BBA3-0495EAD05261}"/>
    <cellStyle name="Normal 4 10" xfId="8801" xr:uid="{8D52297B-B053-451F-B2D4-1C66382FC5FB}"/>
    <cellStyle name="Normal 4 10 2" xfId="8802" xr:uid="{42A4C4B9-A577-4610-838B-7C78348CAE54}"/>
    <cellStyle name="Normal 4 11" xfId="8803" xr:uid="{FA3A535B-0C6D-4C8F-9CA7-FAA9598214DB}"/>
    <cellStyle name="Normal 4 11 2" xfId="8804" xr:uid="{44506B65-A403-426E-8045-5A4DC8DC0EC0}"/>
    <cellStyle name="Normal 4 11 2 2" xfId="8805" xr:uid="{E744BB81-4F5A-4B8F-B57E-49822A5C6104}"/>
    <cellStyle name="Normal 4 11 3" xfId="8806" xr:uid="{654D4309-0ADE-4443-A0DD-B57375C6CE9F}"/>
    <cellStyle name="Normal 4 12" xfId="8807" xr:uid="{0784C03C-11C4-4A44-B539-6A0630AA1E4A}"/>
    <cellStyle name="Normal 4 13" xfId="8808" xr:uid="{FC1A62FC-8249-46E3-A11D-36326FB78A9A}"/>
    <cellStyle name="Normal 4 13 2" xfId="17329" xr:uid="{D88A7A9F-6DAA-43C0-83B5-2E1B65A6C262}"/>
    <cellStyle name="Normal 4 14" xfId="8800" xr:uid="{2D603EAA-4A35-4BB3-9E05-DA6AC48CEDEB}"/>
    <cellStyle name="Normal 4 2" xfId="20" xr:uid="{A75F8E48-6B89-4405-8BE2-B09E0196CE12}"/>
    <cellStyle name="Normal 4 2 2" xfId="8809" xr:uid="{E948C13D-FD0A-4707-981C-5F3D8AB5923E}"/>
    <cellStyle name="Normal 4 3" xfId="8810" xr:uid="{7F65F9EA-FCF3-472D-ADC0-E0B1A8480C64}"/>
    <cellStyle name="Normal 4 3 2" xfId="8811" xr:uid="{91CE5512-EDF3-414E-9B66-38435F407AC7}"/>
    <cellStyle name="Normal 4 3 2 2" xfId="8953" xr:uid="{E0F89416-4BFC-4BA9-810F-91D5495F7A59}"/>
    <cellStyle name="Normal 4 3 2 2 2" xfId="17393" xr:uid="{0D777867-BA28-4BC9-9936-ED871CE909A1}"/>
    <cellStyle name="Normal 4 3 3" xfId="8954" xr:uid="{2AD9A252-70EC-45DE-BA39-4C23CF339954}"/>
    <cellStyle name="Normal 4 3 3 2" xfId="17394" xr:uid="{D1F1C6B6-077D-45BB-962D-8E7A110DCB75}"/>
    <cellStyle name="Normal 4 4" xfId="8812" xr:uid="{E5AD01C2-09B9-4E31-A37A-80FCFA77C0FD}"/>
    <cellStyle name="Normal 4 4 2" xfId="8813" xr:uid="{059F211B-5E3A-4CD5-879E-EB980FF61006}"/>
    <cellStyle name="Normal 4 4 3" xfId="8955" xr:uid="{832AECB1-F7E9-4933-9041-4EB28DD914D4}"/>
    <cellStyle name="Normal 4 4 3 2" xfId="17395" xr:uid="{C3D900F0-9791-489F-9F18-72FDD88D9188}"/>
    <cellStyle name="Normal 4 5" xfId="8814" xr:uid="{568A3FA7-DDDA-4882-B71A-D15CF48F5AEA}"/>
    <cellStyle name="Normal 4 5 2" xfId="8815" xr:uid="{AEFB2143-3F34-4BAB-8850-54AAE0861404}"/>
    <cellStyle name="Normal 4 6" xfId="8816" xr:uid="{B32CC65B-DC9B-4CFD-ACE8-23D068E74BCB}"/>
    <cellStyle name="Normal 4 6 2" xfId="8817" xr:uid="{ED8709D2-97B9-44A7-9407-E70474100030}"/>
    <cellStyle name="Normal 4 6 3" xfId="8818" xr:uid="{F02C6684-C486-4056-A012-A7232646361F}"/>
    <cellStyle name="Normal 4 7" xfId="8819" xr:uid="{9DF3601E-C309-40A6-B768-1BE1C5A28239}"/>
    <cellStyle name="Normal 4 8" xfId="8820" xr:uid="{62606269-07F3-47DA-B283-05FED1222131}"/>
    <cellStyle name="Normal 4 9" xfId="8821" xr:uid="{C8209554-7F8F-4CD7-9A30-0492047AB3E6}"/>
    <cellStyle name="Normal 5" xfId="17" xr:uid="{ED27DFDC-A317-4B3E-B700-70C4838867F5}"/>
    <cellStyle name="Normal 5 10" xfId="8823" xr:uid="{1A88150E-7919-4C00-97B5-9EBA3AAC089B}"/>
    <cellStyle name="Normal 5 11" xfId="8824" xr:uid="{A7E1C59A-38A2-4513-A303-98C92645CD6B}"/>
    <cellStyle name="Normal 5 11 2" xfId="8825" xr:uid="{7D96977F-99F7-4485-8027-47B9B3B65455}"/>
    <cellStyle name="Normal 5 11 2 2" xfId="17330" xr:uid="{3FBF19B4-DA9A-4F64-BF55-F35558BEC047}"/>
    <cellStyle name="Normal 5 11 3" xfId="8826" xr:uid="{291AAE44-84BA-4C6E-A98B-BDE9B0AB858F}"/>
    <cellStyle name="Normal 5 12" xfId="8827" xr:uid="{2487990F-C71E-4288-9888-542B5914A020}"/>
    <cellStyle name="Normal 5 13" xfId="8822" xr:uid="{FF5E1B5E-65DE-493B-AF72-CF909F09DB60}"/>
    <cellStyle name="Normal 5 2" xfId="8828" xr:uid="{8C761CC8-6B6B-4535-B607-4773C8774CAE}"/>
    <cellStyle name="Normal 5 2 10" xfId="17331" xr:uid="{F4E85124-308A-4733-9D8A-3EA09B99B51F}"/>
    <cellStyle name="Normal 5 2 2" xfId="8829" xr:uid="{31706840-1731-4398-85E1-49D780930212}"/>
    <cellStyle name="Normal 5 2 2 2" xfId="8830" xr:uid="{23F352B6-AC2A-4FFF-A24C-D937202D0373}"/>
    <cellStyle name="Normal 5 2 2 2 2" xfId="17333" xr:uid="{B0795022-1E62-473E-BE6E-E07F0798E57F}"/>
    <cellStyle name="Normal 5 2 2 3" xfId="17332" xr:uid="{13E6167D-97F2-4302-99D4-0058CEFB0353}"/>
    <cellStyle name="Normal 5 2 3" xfId="8831" xr:uid="{E8DF2D74-F948-421E-9F74-53AC5B434DC8}"/>
    <cellStyle name="Normal 5 2 3 2" xfId="17334" xr:uid="{7499D4DA-FCD2-49E1-B1C3-25DD614B1F9B}"/>
    <cellStyle name="Normal 5 2 4" xfId="8832" xr:uid="{D3C86734-0DF4-4CA7-B6B2-30F6FE7D4003}"/>
    <cellStyle name="Normal 5 2 4 2" xfId="17335" xr:uid="{FE726299-6912-4B7C-8382-33951635057D}"/>
    <cellStyle name="Normal 5 2 5" xfId="8833" xr:uid="{7116FD7F-88BD-44B3-BD20-6F9BDADD2618}"/>
    <cellStyle name="Normal 5 2 5 2" xfId="17336" xr:uid="{58032DE8-6DED-4D9A-8F02-60F4B38D9FDB}"/>
    <cellStyle name="Normal 5 2 6" xfId="8834" xr:uid="{D9C36BEE-6178-4BD2-8200-43FAFC574E87}"/>
    <cellStyle name="Normal 5 2 6 2" xfId="17337" xr:uid="{A8643F19-6E06-445E-A243-8FB1C806B4AD}"/>
    <cellStyle name="Normal 5 2 7" xfId="8835" xr:uid="{799FDFE4-51C7-46B3-95D4-083A38D93CA6}"/>
    <cellStyle name="Normal 5 2 7 2" xfId="17338" xr:uid="{B326076B-5BA3-4EEA-BBE1-F5187239617B}"/>
    <cellStyle name="Normal 5 2 8" xfId="8836" xr:uid="{161E66F0-A42F-4E64-8A70-02ED956314EC}"/>
    <cellStyle name="Normal 5 2 9" xfId="8837" xr:uid="{9CAE937F-282D-468C-B86E-9C0C0EB843AF}"/>
    <cellStyle name="Normal 5 2 9 2" xfId="17339" xr:uid="{DE60A06C-3EC2-4C44-B1B8-F6B4819B885B}"/>
    <cellStyle name="Normal 5 3" xfId="8838" xr:uid="{5E44D94E-836C-402E-8F2F-AFC559015FDA}"/>
    <cellStyle name="Normal 5 3 2" xfId="8839" xr:uid="{9F691F3E-5026-45E1-ACF7-22C714BF6149}"/>
    <cellStyle name="Normal 5 3 2 2" xfId="17341" xr:uid="{4B8AF8F6-9C8C-4253-BBDF-A3243CB654EF}"/>
    <cellStyle name="Normal 5 3 3" xfId="8840" xr:uid="{FCC23D96-8786-4483-8213-43478A8B6A47}"/>
    <cellStyle name="Normal 5 3 3 2" xfId="17342" xr:uid="{634D14E0-ECDC-4147-B9CF-4ACFFB1BB050}"/>
    <cellStyle name="Normal 5 3 4" xfId="8841" xr:uid="{BDD5542D-2970-458B-94C5-F37A29D251CD}"/>
    <cellStyle name="Normal 5 3 4 2" xfId="17343" xr:uid="{18F97741-C924-4B06-8EE5-200475815815}"/>
    <cellStyle name="Normal 5 3 5" xfId="8842" xr:uid="{8E0D8509-FC64-4850-97B0-1D65A38EBB04}"/>
    <cellStyle name="Normal 5 3 5 2" xfId="17344" xr:uid="{DD499F4B-FD47-49B3-B091-196AE9888379}"/>
    <cellStyle name="Normal 5 3 6" xfId="8843" xr:uid="{2A957404-8113-42A7-A988-7B43DFC3DEF6}"/>
    <cellStyle name="Normal 5 3 6 2" xfId="17345" xr:uid="{E8998B2C-8773-4C68-9E55-079AA707C326}"/>
    <cellStyle name="Normal 5 3 7" xfId="8844" xr:uid="{EEEB7176-1E30-4E65-B80F-5CCFAC45C70D}"/>
    <cellStyle name="Normal 5 3 7 2" xfId="17346" xr:uid="{E9047F9F-7DAD-49B0-8920-62DB1B54C046}"/>
    <cellStyle name="Normal 5 3 8" xfId="17340" xr:uid="{ED073CBE-3FD8-4977-B212-2737426E3C3B}"/>
    <cellStyle name="Normal 5 4" xfId="8845" xr:uid="{AA17E0CB-32BA-4C76-84CF-CC82C2745C24}"/>
    <cellStyle name="Normal 5 4 2" xfId="17347" xr:uid="{B3D1F7C4-B05B-42E4-B56C-521EBE7BE71A}"/>
    <cellStyle name="Normal 5 5" xfId="8846" xr:uid="{BC005E68-9980-487A-8E0B-A55595617FF9}"/>
    <cellStyle name="Normal 5 5 2" xfId="8847" xr:uid="{18F4A2E7-9E5C-41F3-B363-1AAEF2735323}"/>
    <cellStyle name="Normal 5 5 3" xfId="8848" xr:uid="{26C170AA-868F-47C8-A833-64645C4F8597}"/>
    <cellStyle name="Normal 5 5 3 2" xfId="17349" xr:uid="{64E9A126-C1ED-40A9-A4AE-C02A633694F2}"/>
    <cellStyle name="Normal 5 5 4" xfId="8849" xr:uid="{4326551C-4498-4E0E-9284-BAD4CFD5D5CE}"/>
    <cellStyle name="Normal 5 5 5" xfId="17348" xr:uid="{D25F2DD9-F47F-48EC-BEF8-478B1A82CB17}"/>
    <cellStyle name="Normal 5 6" xfId="8850" xr:uid="{95F65B92-50ED-47C4-AEE2-0C4B0B45D5AD}"/>
    <cellStyle name="Normal 5 6 2" xfId="17350" xr:uid="{F4830DF3-0439-4F78-A5A1-51DFF500163F}"/>
    <cellStyle name="Normal 5 7" xfId="8851" xr:uid="{5532758D-242F-4890-94D7-D4909417D0CD}"/>
    <cellStyle name="Normal 5 7 2" xfId="17351" xr:uid="{3AE45A50-86CB-4516-80CF-F9B64E45A702}"/>
    <cellStyle name="Normal 5 8" xfId="8852" xr:uid="{33C2BC18-1390-4110-BD5B-F4900CC2CD70}"/>
    <cellStyle name="Normal 5 8 2" xfId="17352" xr:uid="{F46EACEC-5D2D-42EB-8DDF-4FA86F9E6E28}"/>
    <cellStyle name="Normal 5 9" xfId="8853" xr:uid="{32AB5831-D712-491A-A84F-5F93FF147ED4}"/>
    <cellStyle name="Normal 5 9 2" xfId="17353" xr:uid="{6FC9E0E8-C37F-4B6E-8800-A41861B5C168}"/>
    <cellStyle name="Normal 6" xfId="8854" xr:uid="{C428389E-43A3-47D5-B000-574D3A52E6DF}"/>
    <cellStyle name="Normal 6 10" xfId="8855" xr:uid="{FC4F7A96-4CBA-4F32-AD4B-090D3CBC419A}"/>
    <cellStyle name="Normal 6 11" xfId="8956" xr:uid="{331D2EEB-8F15-48D9-8681-5A51C624DFE6}"/>
    <cellStyle name="Normal 6 2" xfId="8856" xr:uid="{BB595E61-1780-43A1-B8B6-FED68A5053E7}"/>
    <cellStyle name="Normal 6 2 2" xfId="8857" xr:uid="{96EB82B6-D3E7-4555-B39F-32895EDE2E72}"/>
    <cellStyle name="Normal 6 2 3" xfId="8858" xr:uid="{2AC19A5B-55E8-4B4B-A22B-391076C08151}"/>
    <cellStyle name="Normal 6 2 3 2" xfId="17354" xr:uid="{6FEC5608-C015-4BAB-9D79-2F584F6B2184}"/>
    <cellStyle name="Normal 6 3" xfId="8859" xr:uid="{D3A4709C-19D4-46AE-83B7-29899A369BF1}"/>
    <cellStyle name="Normal 6 3 2" xfId="8860" xr:uid="{0131E9B3-F85D-4920-AACA-5E1FCE9DBDE0}"/>
    <cellStyle name="Normal 6 3 2 2" xfId="8861" xr:uid="{319ADE60-6661-4C25-87D4-05ABDF8B3290}"/>
    <cellStyle name="Normal 6 3 2 2 2" xfId="17355" xr:uid="{6149A3C1-E708-4111-9FF9-A7DB448C590E}"/>
    <cellStyle name="Normal 6 3 2 3" xfId="8862" xr:uid="{1E531993-91F6-4E6D-8AED-CB33AFB1D058}"/>
    <cellStyle name="Normal 6 3 3" xfId="8863" xr:uid="{3A89445D-01B0-442A-8969-25D622BF75EF}"/>
    <cellStyle name="Normal 6 3 3 2" xfId="17356" xr:uid="{0EE78ECD-20DF-41BC-B0B5-BDBCF7A86AAA}"/>
    <cellStyle name="Normal 6 3 4" xfId="8864" xr:uid="{43FC39CC-B2B9-4C64-B032-2D79C35283C6}"/>
    <cellStyle name="Normal 6 3 4 2" xfId="17357" xr:uid="{911893AA-3405-4539-AD6B-FFE598967536}"/>
    <cellStyle name="Normal 6 4" xfId="8865" xr:uid="{1969730C-8991-49B9-A034-4EF5C77F7EE7}"/>
    <cellStyle name="Normal 6 4 2" xfId="8866" xr:uid="{724C1C8A-8578-4578-B1A6-E97680D678D6}"/>
    <cellStyle name="Normal 6 4 3" xfId="8867" xr:uid="{FD5B644B-0319-4005-A42C-82F7D58C2399}"/>
    <cellStyle name="Normal 6 4 3 2" xfId="17358" xr:uid="{D9A49D39-B7CF-43DE-B39D-C91648253863}"/>
    <cellStyle name="Normal 6 5" xfId="8868" xr:uid="{C4354397-CC89-4496-A4F6-FD11B9F2C8ED}"/>
    <cellStyle name="Normal 6 5 2" xfId="17359" xr:uid="{F11328E8-0450-4ACD-8CC4-0D9FCBD44161}"/>
    <cellStyle name="Normal 6 6" xfId="8869" xr:uid="{175A9237-979F-4917-9146-745AE5DA25B1}"/>
    <cellStyle name="Normal 6 6 2" xfId="17360" xr:uid="{7C0AB329-27C4-44B1-91B0-1D9FF6C083F2}"/>
    <cellStyle name="Normal 6 7" xfId="8870" xr:uid="{3E287722-3ABF-455F-B6E5-E257FB7470EA}"/>
    <cellStyle name="Normal 6 7 2" xfId="17361" xr:uid="{D7D65AE5-5C2D-4940-B3E3-4B20142E74C0}"/>
    <cellStyle name="Normal 6 8" xfId="8871" xr:uid="{5A21C5D1-2E28-450E-9043-FEFFDA7F072D}"/>
    <cellStyle name="Normal 6 9" xfId="8872" xr:uid="{F91DFE38-CCB5-4B69-AE17-B892E6A76C9B}"/>
    <cellStyle name="Normal 7" xfId="8873" xr:uid="{D3D96A81-AD5C-47B8-841F-4B5F36E494CC}"/>
    <cellStyle name="Normal 7 2" xfId="8874" xr:uid="{50CAFE81-3FD4-48A6-BCF8-1F5DE88BE9B9}"/>
    <cellStyle name="Normal 7 2 2" xfId="8875" xr:uid="{BDF55EFE-3D14-4822-BE5B-17FBB09360E2}"/>
    <cellStyle name="Normal 7 2 2 2" xfId="17362" xr:uid="{8064E1B1-E585-4153-AC5A-0C7E2BE8C75D}"/>
    <cellStyle name="Normal 7 2 3" xfId="8876" xr:uid="{AAC88223-74C5-43A1-80B2-07AE48A8C030}"/>
    <cellStyle name="Normal 7 2 4" xfId="8877" xr:uid="{418D3DC7-9FCA-4947-B197-A82F72EF6BD9}"/>
    <cellStyle name="Normal 7 2 4 2" xfId="17363" xr:uid="{F98EA657-009C-4085-8A19-C579C565670B}"/>
    <cellStyle name="Normal 7 3" xfId="8878" xr:uid="{EE5BC88C-6373-4C08-90F2-840511CBA730}"/>
    <cellStyle name="Normal 7 3 2" xfId="8879" xr:uid="{1D79FDFE-26B1-4631-A130-EEAD454D264D}"/>
    <cellStyle name="Normal 7 3 2 2" xfId="17364" xr:uid="{DCDE0B1F-7A36-4689-97B5-DB9219ADA8E9}"/>
    <cellStyle name="Normal 7 4" xfId="8880" xr:uid="{DC238431-F8DD-4EF4-BE80-20AFBE6C66AD}"/>
    <cellStyle name="Normal 7 4 2" xfId="8881" xr:uid="{D3720E84-BFDD-4370-B8D5-1ADD3DD5D94C}"/>
    <cellStyle name="Normal 7 4 2 2" xfId="17365" xr:uid="{5F79C7C1-3234-48DD-AC6C-D6D8154ED1E5}"/>
    <cellStyle name="Normal 7 5" xfId="8882" xr:uid="{F8FDC886-AC19-4FF2-AA6D-13006EC88CE4}"/>
    <cellStyle name="Normal 7 5 2" xfId="17366" xr:uid="{7EB72B1A-CA26-4955-99C7-4FBAAD6763D9}"/>
    <cellStyle name="Normal 7 6" xfId="8883" xr:uid="{56E48FC8-5364-4C24-8A37-AAD5FD569920}"/>
    <cellStyle name="Normal 7 6 2" xfId="17367" xr:uid="{67CFA21A-272E-4F2E-AD6B-14144E67453E}"/>
    <cellStyle name="Normal 7 7" xfId="8884" xr:uid="{328B512B-0B8E-468B-8FC8-03EFF64AE30A}"/>
    <cellStyle name="Normal 7 7 2" xfId="17368" xr:uid="{9EE6264E-39F9-45A6-AB3B-856FA555635F}"/>
    <cellStyle name="Normal 7 8" xfId="8885" xr:uid="{7856ADD0-259B-4110-AA28-0E3BD2920BA3}"/>
    <cellStyle name="Normal 7 9" xfId="8886" xr:uid="{9DB67178-A6CB-4F67-8377-04A5B5DDD3DE}"/>
    <cellStyle name="Normal 8" xfId="8887" xr:uid="{DC39F1C4-1D19-4045-86FE-D523386D646F}"/>
    <cellStyle name="Normal 8 10" xfId="8888" xr:uid="{57484E4D-7FC7-4EDE-8805-AE365549CFFB}"/>
    <cellStyle name="Normal 8 2" xfId="8889" xr:uid="{6CCC89F1-5231-4D48-8ED6-641E4F664CB1}"/>
    <cellStyle name="Normal 8 2 2" xfId="8890" xr:uid="{BB42B03E-879A-48A1-B2E0-78F97FD3D4E1}"/>
    <cellStyle name="Normal 8 2 2 2" xfId="17369" xr:uid="{DD1541F1-9197-45F9-91C1-5DB14C10BB1C}"/>
    <cellStyle name="Normal 8 2 3" xfId="8891" xr:uid="{068C3A6F-EDE4-41C9-97B3-6E95D86CD383}"/>
    <cellStyle name="Normal 8 2 4" xfId="8892" xr:uid="{44D96C02-17BC-4986-B883-50E900DC50D6}"/>
    <cellStyle name="Normal 8 2 4 2" xfId="17370" xr:uid="{81C4364A-040F-43F3-BDB8-1E3AA5C216DA}"/>
    <cellStyle name="Normal 8 3" xfId="8893" xr:uid="{4608FF54-BA5B-4D3B-BA33-304E5B059873}"/>
    <cellStyle name="Normal 8 3 2" xfId="8894" xr:uid="{21C78212-6F17-478F-8F50-8D0791B87DF0}"/>
    <cellStyle name="Normal 8 3 2 2" xfId="17371" xr:uid="{D90C2C9E-3956-4BE5-A2D9-CB11E9DAC4C4}"/>
    <cellStyle name="Normal 8 3 3" xfId="8895" xr:uid="{6871C3AF-CC86-4320-A77E-C494A927C3EF}"/>
    <cellStyle name="Normal 8 3 4" xfId="8896" xr:uid="{EB1687AD-6954-46EA-A939-5D9D11A5D896}"/>
    <cellStyle name="Normal 8 3 4 2" xfId="17372" xr:uid="{D64B7CBF-C9D8-45A9-BEF3-C08CF43D9FE7}"/>
    <cellStyle name="Normal 8 4" xfId="8897" xr:uid="{9EA8F548-9812-4671-940D-B9496773402F}"/>
    <cellStyle name="Normal 8 4 2" xfId="8898" xr:uid="{0C471542-E1E5-4796-9997-9525DDC042A9}"/>
    <cellStyle name="Normal 8 4 2 2" xfId="17373" xr:uid="{BDAAA5AE-3C23-4547-883C-67262018BCDD}"/>
    <cellStyle name="Normal 8 4 3" xfId="8899" xr:uid="{45F32AF2-EBAF-404C-BDC6-A3C7337D0F79}"/>
    <cellStyle name="Normal 8 4 4" xfId="8900" xr:uid="{0935A544-8A75-4E13-9D82-FE00A524DF8D}"/>
    <cellStyle name="Normal 8 4 4 2" xfId="17374" xr:uid="{CE0F4CDB-D08F-4709-959C-87B315412CE8}"/>
    <cellStyle name="Normal 8 5" xfId="8901" xr:uid="{2A8FED5F-54CD-4590-9EEE-E46493572BC6}"/>
    <cellStyle name="Normal 8 5 2" xfId="17375" xr:uid="{A5619332-BB3B-43A3-803D-B7EEDCBE6F71}"/>
    <cellStyle name="Normal 8 6" xfId="8902" xr:uid="{BFDD0AE1-D062-4F19-9328-8E6B47124D7B}"/>
    <cellStyle name="Normal 8 6 2" xfId="17376" xr:uid="{7B264C0A-E89E-4798-8536-B03C225D7088}"/>
    <cellStyle name="Normal 8 7" xfId="8903" xr:uid="{681B52BF-BEB4-4B64-B9AD-1AB889554FDB}"/>
    <cellStyle name="Normal 8 7 2" xfId="17377" xr:uid="{95756261-79C3-4D89-B5B6-089CC239A8F7}"/>
    <cellStyle name="Normal 8 8" xfId="8904" xr:uid="{27669F0B-FEBF-41A0-9056-EA71F251B264}"/>
    <cellStyle name="Normal 8 8 2" xfId="17378" xr:uid="{186AF4BF-F794-465A-926E-4362982FB58A}"/>
    <cellStyle name="Normal 8 9" xfId="8905" xr:uid="{00037358-07F6-4E66-814E-14E54374AAA1}"/>
    <cellStyle name="Normal 9" xfId="8906" xr:uid="{EB329549-6D7E-40D3-A4F2-92FE864F611E}"/>
    <cellStyle name="Normal 9 2" xfId="8907" xr:uid="{817A47AD-1261-4195-B6BC-064E8E07FE8F}"/>
    <cellStyle name="Normal 9 2 2" xfId="8908" xr:uid="{D02B6B96-8746-4BA5-B4AA-F433C22A5F6F}"/>
    <cellStyle name="Normal 9 2 3" xfId="8957" xr:uid="{EB0C24E7-044A-4A6C-B0AD-AFB5AC5E6944}"/>
    <cellStyle name="Normal 9 2 3 2" xfId="17396" xr:uid="{24F478F4-FA75-4070-908C-D22C68109F6F}"/>
    <cellStyle name="Normal 9 3" xfId="8909" xr:uid="{8026B29D-E79F-4F08-9DB5-386DE0610CC2}"/>
    <cellStyle name="Normal 9 4" xfId="8910" xr:uid="{2051E331-7B9E-430F-A167-9BCD67EE3305}"/>
    <cellStyle name="Normal 9 4 2" xfId="8911" xr:uid="{19083CC0-94CA-4294-AF93-83AA0D227952}"/>
    <cellStyle name="Normal 9 4 2 2" xfId="17379" xr:uid="{2371052D-F711-4CD6-A85D-BB7671F0BD5A}"/>
    <cellStyle name="Normal 9 4 3" xfId="8912" xr:uid="{D2F9CD96-693C-4407-A873-B8BAE3C7ABFB}"/>
    <cellStyle name="Normal 9 4 4" xfId="8913" xr:uid="{6F121AA4-33B7-4ED8-9C98-AD64A0D9C180}"/>
    <cellStyle name="Normal 9 4 4 2" xfId="17380" xr:uid="{CFCBB4B7-D28E-4D42-A41B-9AAD618B5CB0}"/>
    <cellStyle name="Normal 9 5" xfId="8914" xr:uid="{C050C3D3-0EFA-43FC-818E-A8E373B78461}"/>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Price Lists" xfId="17403" xr:uid="{DB4293D5-FED7-4FE5-8E7D-A7820493FEF6}"/>
    <cellStyle name="Normal_Prince_Est" xfId="17404" xr:uid="{B98BAD4D-6D7B-4BE2-B370-6AF635BABDDD}"/>
    <cellStyle name="Normal_RATES" xfId="17405" xr:uid="{774E144F-2B3D-4A62-B4B7-D72BF4A32AD5}"/>
    <cellStyle name="Normal_STANDARD" xfId="8" xr:uid="{00000000-0005-0000-0000-00000B000000}"/>
    <cellStyle name="normální_BBITVR96" xfId="8915" xr:uid="{17B3B844-A3D3-4895-A278-734B705681C8}"/>
    <cellStyle name="Note 2" xfId="8916" xr:uid="{703FC7AA-5EBD-452D-BA7C-6543599516F9}"/>
    <cellStyle name="Note 2 2" xfId="8958" xr:uid="{2866DBA4-08B0-4AE7-AF5D-EBBEB26F86F3}"/>
    <cellStyle name="Note 2 2 2" xfId="8982" xr:uid="{84EF5978-7707-429B-B721-6BE673D2FA46}"/>
    <cellStyle name="Note 2 2 3" xfId="8988" xr:uid="{2F5E3CBE-E0C7-4822-831E-96D93539D214}"/>
    <cellStyle name="Note 2 2 4" xfId="17397" xr:uid="{E994F3B7-4B0E-46C7-AD71-73CA48613346}"/>
    <cellStyle name="Note 2 3" xfId="8959" xr:uid="{BAF3F735-1FFA-416D-B66A-5B05964AA8D1}"/>
    <cellStyle name="Note 2 3 2" xfId="8983" xr:uid="{7366DE71-BEE1-4D50-BACB-CEC5D6F1A6E2}"/>
    <cellStyle name="Note 2 3 3" xfId="8989" xr:uid="{B4B0F4DE-22B7-4DC2-8DC3-0E26E7AB39EC}"/>
    <cellStyle name="Note 2 3 4" xfId="17398" xr:uid="{9D6B5FC3-6857-46C6-B4D4-E17AE69D13B9}"/>
    <cellStyle name="Note 2 4" xfId="8975" xr:uid="{A94AC018-A199-401F-B761-88178DCBF024}"/>
    <cellStyle name="Note 2 5" xfId="8971" xr:uid="{BA15F22F-276F-4A2A-BF2F-57F7569FD561}"/>
    <cellStyle name="Note 2 6" xfId="17381" xr:uid="{05F4412E-D1BD-4E8D-9AA3-55CDA1B48090}"/>
    <cellStyle name="Output 2" xfId="8917" xr:uid="{4D94EB1A-74D3-49BD-A0B2-52E652139800}"/>
    <cellStyle name="Output 2 2" xfId="8960" xr:uid="{E565184F-2499-48B1-B593-644976842EA6}"/>
    <cellStyle name="Output 2 2 2" xfId="8984" xr:uid="{B4EEB017-36AC-4B13-8D0C-4D0BA3674109}"/>
    <cellStyle name="Output 2 2 3" xfId="8990" xr:uid="{1A8DB1F0-9815-4F53-9F6C-2B18454D1FDC}"/>
    <cellStyle name="Output 2 2 4" xfId="17399" xr:uid="{4066ADD9-0483-4915-A12B-9AA87D1FF393}"/>
    <cellStyle name="Output 2 3" xfId="8961" xr:uid="{7A8F285B-1B12-4A45-A198-82178B597D3E}"/>
    <cellStyle name="Output 2 3 2" xfId="8985" xr:uid="{BBB5F03C-95F8-457E-A4BA-D41A947D87E5}"/>
    <cellStyle name="Output 2 3 3" xfId="8991" xr:uid="{3E0AA524-968B-4F34-A2CB-0843B7AF8F39}"/>
    <cellStyle name="Output 2 3 4" xfId="17400" xr:uid="{4BF21E9A-0F08-4A92-AF44-3AC496F52213}"/>
    <cellStyle name="Output 2 4" xfId="8976" xr:uid="{8274203C-2427-4E9F-BE92-2F91721DFDDC}"/>
    <cellStyle name="Output 2 5" xfId="8970" xr:uid="{92F74FF8-9F6E-4D9D-9C85-5514C9644032}"/>
    <cellStyle name="Output 2 6" xfId="17382" xr:uid="{BA72560B-4189-4384-B739-1819A4453772}"/>
    <cellStyle name="Percent 2" xfId="8918" xr:uid="{A7DC97EF-890D-4494-86BC-96BF71C50EC5}"/>
    <cellStyle name="Percent 2 2" xfId="8919" xr:uid="{BD4828CA-B68F-4B8E-A2D0-B2D1AE5C2369}"/>
    <cellStyle name="Percent 2 3" xfId="8920" xr:uid="{024B23CA-E114-48A7-9383-DF2CEC6324D0}"/>
    <cellStyle name="Percent 2 3 2" xfId="17383" xr:uid="{DE6FC3B7-B07F-4923-8AEF-43FB83108890}"/>
    <cellStyle name="Percent 2 4" xfId="8921" xr:uid="{54E0DE3A-D877-4F8D-BACD-54E4606F581C}"/>
    <cellStyle name="Percent 2 5" xfId="8922" xr:uid="{3B519D08-5DCC-4090-A9FD-885615FB06F8}"/>
    <cellStyle name="Percent 3" xfId="8923" xr:uid="{A2E04C36-F546-4155-8EE4-2E7C24193751}"/>
    <cellStyle name="Percent 4" xfId="8924" xr:uid="{48F33C14-015B-47E6-B402-6559F6CBF67A}"/>
    <cellStyle name="Percent 5" xfId="8925" xr:uid="{26033758-7184-4233-98F3-96490165F4A9}"/>
    <cellStyle name="SAPMemberCell" xfId="8926" xr:uid="{C8CEF550-C981-46C0-80F5-F8AF328BDA9A}"/>
    <cellStyle name="Standard 2" xfId="8927" xr:uid="{0F97E280-209D-4184-B431-385AD389C15A}"/>
    <cellStyle name="Standard_EV2001 Euro02" xfId="8928" xr:uid="{F1AEDFDB-8AC4-44FE-94C8-F5A47ADD0A80}"/>
    <cellStyle name="Style 1" xfId="8929" xr:uid="{A775F1FD-4051-4502-9874-591350BC39A6}"/>
    <cellStyle name="Title 2" xfId="8930" xr:uid="{D178A826-F8D1-4139-8268-5B379F0B73DF}"/>
    <cellStyle name="Total 2" xfId="8931" xr:uid="{7F013BA5-D57D-49AB-ABAD-DEB493D00357}"/>
    <cellStyle name="Total 2 2" xfId="8962" xr:uid="{9F00F073-CD2F-4361-A2D2-A21CD2C27B2E}"/>
    <cellStyle name="Total 2 2 2" xfId="8986" xr:uid="{20106DA5-2E97-490F-91C6-9C24F5B30052}"/>
    <cellStyle name="Total 2 2 3" xfId="8992" xr:uid="{2DB71A52-4868-417C-8BF3-2539D3C4A138}"/>
    <cellStyle name="Total 2 2 4" xfId="17401" xr:uid="{79CD602F-75B8-4C43-8067-4014E993B605}"/>
    <cellStyle name="Total 2 3" xfId="8963" xr:uid="{1063D2AB-F904-422C-8399-C314BC58BA35}"/>
    <cellStyle name="Total 2 3 2" xfId="8987" xr:uid="{AE457ADC-05ED-458F-826E-B1A9BE2F6D5C}"/>
    <cellStyle name="Total 2 3 3" xfId="8993" xr:uid="{B18C05F4-4D49-4842-9448-E6ABD029D152}"/>
    <cellStyle name="Total 2 3 4" xfId="17402" xr:uid="{E4474E30-F064-4C9F-AED0-EC611C28BA17}"/>
    <cellStyle name="Total 2 4" xfId="8977" xr:uid="{7D7D5B16-317D-4DD2-AEB2-71CA99B95848}"/>
    <cellStyle name="Total 2 5" xfId="8968" xr:uid="{90CF943A-8752-4603-99D8-E83C17059485}"/>
    <cellStyle name="Total 2 6" xfId="17384" xr:uid="{41DB9EC6-4FA0-44E1-8298-88157AF41B6B}"/>
    <cellStyle name="Valuta [0] 2" xfId="8932" xr:uid="{A9E2E5A7-3DA8-4D5E-BA1F-712F9BCC9E1B}"/>
    <cellStyle name="Warning Text 2" xfId="8933" xr:uid="{9637BDBA-8D75-43C6-98D4-F72655CD23BC}"/>
    <cellStyle name="常规 2" xfId="8934" xr:uid="{EB87EEA2-41FD-4231-8619-BBA976ED1D14}"/>
    <cellStyle name="常规 2 2" xfId="8935" xr:uid="{6FF4C299-3A25-46D2-897E-EEA6DBF0D84F}"/>
    <cellStyle name="常规 2 2 2" xfId="8936" xr:uid="{9E0DC49B-7BDF-412B-9B27-C2ACCA5D680E}"/>
    <cellStyle name="常规 2 3" xfId="17385" xr:uid="{D193C415-C555-4896-9FAD-3852ECE71DFB}"/>
  </cellStyles>
  <dxfs count="24">
    <dxf>
      <font>
        <condense val="0"/>
        <extend val="0"/>
        <color indexed="56"/>
      </font>
    </dxf>
    <dxf>
      <font>
        <condense val="0"/>
        <extend val="0"/>
        <color indexed="10"/>
      </font>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
      <font>
        <b/>
        <i val="0"/>
        <condense val="0"/>
        <extend val="0"/>
      </font>
      <fill>
        <patternFill>
          <bgColor indexed="3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5.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104775</xdr:colOff>
      <xdr:row>48</xdr:row>
      <xdr:rowOff>19050</xdr:rowOff>
    </xdr:to>
    <xdr:sp macro="" textlink="">
      <xdr:nvSpPr>
        <xdr:cNvPr id="2" name="Text 4">
          <a:extLst>
            <a:ext uri="{FF2B5EF4-FFF2-40B4-BE49-F238E27FC236}">
              <a16:creationId xmlns:a16="http://schemas.microsoft.com/office/drawing/2014/main" id="{00000000-0008-0000-0900-000002000000}"/>
            </a:ext>
          </a:extLst>
        </xdr:cNvPr>
        <xdr:cNvSpPr txBox="1">
          <a:spLocks noChangeArrowheads="1"/>
        </xdr:cNvSpPr>
      </xdr:nvSpPr>
      <xdr:spPr bwMode="auto">
        <a:xfrm>
          <a:off x="28575" y="4191000"/>
          <a:ext cx="6381750" cy="38862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rtl="0"/>
          <a:r>
            <a:rPr lang="en-GB" sz="1100" b="1" i="0" u="sng" baseline="0">
              <a:effectLst/>
              <a:latin typeface="+mn-lt"/>
              <a:ea typeface="+mn-ea"/>
              <a:cs typeface="+mn-cs"/>
            </a:rPr>
            <a:t>CONDITIONS:</a:t>
          </a:r>
          <a:endParaRPr lang="en-MT" sz="1000">
            <a:effectLst/>
          </a:endParaRPr>
        </a:p>
        <a:p>
          <a:pPr rtl="0"/>
          <a:r>
            <a:rPr lang="en-GB" sz="1100" b="0" i="0" baseline="0">
              <a:effectLst/>
              <a:latin typeface="+mn-lt"/>
              <a:ea typeface="+mn-ea"/>
              <a:cs typeface="+mn-cs"/>
            </a:rPr>
            <a:t>1) Payment - 100% on completion.</a:t>
          </a:r>
          <a:endParaRPr lang="en-MT" sz="1000">
            <a:effectLst/>
          </a:endParaRPr>
        </a:p>
        <a:p>
          <a:pPr rtl="0"/>
          <a:r>
            <a:rPr lang="en-GB" sz="1100" b="0" i="0" baseline="0">
              <a:effectLst/>
              <a:latin typeface="+mn-lt"/>
              <a:ea typeface="+mn-ea"/>
              <a:cs typeface="+mn-cs"/>
            </a:rPr>
            <a:t>2) Quote is valid for 30 days from above date.</a:t>
          </a:r>
          <a:endParaRPr lang="en-MT" sz="1000">
            <a:effectLst/>
          </a:endParaRPr>
        </a:p>
        <a:p>
          <a:pPr rtl="0"/>
          <a:r>
            <a:rPr lang="en-GB" sz="1100" b="0" i="0" baseline="0">
              <a:effectLst/>
              <a:latin typeface="+mn-lt"/>
              <a:ea typeface="+mn-ea"/>
              <a:cs typeface="+mn-cs"/>
            </a:rPr>
            <a:t>3) Commencement - to be confirmed at time of order.</a:t>
          </a:r>
          <a:endParaRPr lang="en-MT" sz="1000">
            <a:effectLst/>
          </a:endParaRPr>
        </a:p>
        <a:p>
          <a:pPr rtl="0"/>
          <a:r>
            <a:rPr lang="en-GB" sz="1100" b="0" i="0" baseline="0">
              <a:effectLst/>
              <a:latin typeface="+mn-lt"/>
              <a:ea typeface="+mn-ea"/>
              <a:cs typeface="+mn-cs"/>
            </a:rPr>
            <a:t>4) Works await approval in order to proceed.</a:t>
          </a:r>
          <a:endParaRPr lang="en-MT" sz="1000">
            <a:effectLst/>
          </a:endParaRPr>
        </a:p>
        <a:p>
          <a:pPr rtl="0"/>
          <a:r>
            <a:rPr lang="en-GB" sz="1100" b="0" i="0" baseline="0">
              <a:effectLst/>
              <a:latin typeface="+mn-lt"/>
              <a:ea typeface="+mn-ea"/>
              <a:cs typeface="+mn-cs"/>
            </a:rPr>
            <a:t>5) Execution Approx. 2-3 working weeks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6) BOQ Item 1.02, </a:t>
          </a:r>
          <a:r>
            <a:rPr lang="en-US"/>
            <a:t>The required power </a:t>
          </a:r>
          <a:r>
            <a:rPr lang="en-US" b="0"/>
            <a:t>cable for this item shall be installed on a 100 mm Legrand cable tray, complete with cover, and supported using Hilti structural materials.</a:t>
          </a:r>
        </a:p>
        <a:p>
          <a:pPr marL="0" marR="0" lvl="0" indent="0" defTabSz="914400" rtl="0" eaLnBrk="1" fontAlgn="auto" latinLnBrk="0" hangingPunct="1">
            <a:lnSpc>
              <a:spcPct val="100000"/>
            </a:lnSpc>
            <a:spcBef>
              <a:spcPts val="0"/>
            </a:spcBef>
            <a:spcAft>
              <a:spcPts val="0"/>
            </a:spcAft>
            <a:buClrTx/>
            <a:buSzTx/>
            <a:buFontTx/>
            <a:buNone/>
            <a:tabLst/>
            <a:defRPr/>
          </a:pPr>
          <a:r>
            <a:rPr lang="en-GB" sz="1100" b="0" i="0" baseline="0">
              <a:effectLst/>
              <a:latin typeface="+mn-lt"/>
              <a:ea typeface="+mn-ea"/>
              <a:cs typeface="+mn-cs"/>
            </a:rPr>
            <a:t>7</a:t>
          </a:r>
          <a:r>
            <a:rPr lang="en-GB" sz="1100" b="0" i="0" baseline="0">
              <a:solidFill>
                <a:schemeClr val="tx1"/>
              </a:solidFill>
              <a:effectLst/>
              <a:latin typeface="+mn-lt"/>
              <a:ea typeface="+mn-ea"/>
              <a:cs typeface="+mn-cs"/>
            </a:rPr>
            <a:t>) Delivery of Equipment - Damper Actuator 4 to 6 weeks, Air Flow Grid 12 weeks and Differantial pressure transmitter 4 to 6 weeks, most other materials are available ex-stock, subject to being unsold.</a:t>
          </a:r>
          <a:endParaRPr lang="en-MT" sz="1000">
            <a:solidFill>
              <a:schemeClr val="tx1"/>
            </a:solidFill>
            <a:effectLst/>
          </a:endParaRPr>
        </a:p>
        <a:p>
          <a:pPr rtl="0"/>
          <a:r>
            <a:rPr lang="en-GB" sz="1100" b="0" i="0" baseline="0">
              <a:effectLst/>
              <a:latin typeface="+mn-lt"/>
              <a:ea typeface="+mn-ea"/>
              <a:cs typeface="+mn-cs"/>
            </a:rPr>
            <a:t>8) We have assumed that we will be allowed to work unhindered between 7.00 to 15.30 on weekdays.</a:t>
          </a:r>
        </a:p>
        <a:p>
          <a:pPr rtl="0"/>
          <a:endParaRPr lang="en-MT" sz="1000">
            <a:effectLst/>
          </a:endParaRPr>
        </a:p>
        <a:p>
          <a:pPr rtl="0"/>
          <a:r>
            <a:rPr lang="en-GB" sz="1100" b="1" i="0" u="sng" baseline="0">
              <a:effectLst/>
              <a:latin typeface="+mn-lt"/>
              <a:ea typeface="+mn-ea"/>
              <a:cs typeface="+mn-cs"/>
            </a:rPr>
            <a:t>EXCLUSIONS:</a:t>
          </a:r>
          <a:endParaRPr lang="en-MT" sz="1000">
            <a:effectLst/>
          </a:endParaRPr>
        </a:p>
        <a:p>
          <a:pPr rtl="0"/>
          <a:r>
            <a:rPr lang="en-GB" sz="1100" b="0" i="0" baseline="0">
              <a:effectLst/>
              <a:latin typeface="+mn-lt"/>
              <a:ea typeface="+mn-ea"/>
              <a:cs typeface="+mn-cs"/>
            </a:rPr>
            <a:t>1) Any builders' work except conduit chases in walls / as per contract.</a:t>
          </a:r>
          <a:endParaRPr lang="en-MT" sz="1000">
            <a:effectLst/>
          </a:endParaRPr>
        </a:p>
        <a:p>
          <a:pPr rtl="0"/>
          <a:r>
            <a:rPr lang="en-GB" sz="1100" b="0" i="0" baseline="0">
              <a:effectLst/>
              <a:latin typeface="+mn-lt"/>
              <a:ea typeface="+mn-ea"/>
              <a:cs typeface="+mn-cs"/>
            </a:rPr>
            <a:t>2) Work outside our normal working hours.</a:t>
          </a:r>
          <a:endParaRPr lang="en-MT" sz="1000">
            <a:effectLst/>
          </a:endParaRPr>
        </a:p>
        <a:p>
          <a:pPr rtl="0"/>
          <a:r>
            <a:rPr lang="en-GB" sz="1100" b="0" i="0" baseline="0">
              <a:effectLst/>
              <a:latin typeface="+mn-lt"/>
              <a:ea typeface="+mn-ea"/>
              <a:cs typeface="+mn-cs"/>
            </a:rPr>
            <a:t>3) Security of the works after normal working hours.</a:t>
          </a:r>
          <a:endParaRPr lang="en-MT" sz="1000">
            <a:effectLst/>
          </a:endParaRPr>
        </a:p>
        <a:p>
          <a:pPr rtl="0"/>
          <a:r>
            <a:rPr lang="en-GB" sz="1100" b="0" i="0" baseline="0">
              <a:effectLst/>
              <a:latin typeface="+mn-lt"/>
              <a:ea typeface="+mn-ea"/>
              <a:cs typeface="+mn-cs"/>
            </a:rPr>
            <a:t>4) Cutting of holes in gypsum partitions or false ceilings to accommodate electrical devices.</a:t>
          </a:r>
          <a:endParaRPr lang="en-MT" sz="1000">
            <a:effectLst/>
          </a:endParaRPr>
        </a:p>
        <a:p>
          <a:pPr rtl="0"/>
          <a:r>
            <a:rPr lang="en-GB" sz="1100" b="0" i="0" baseline="0">
              <a:effectLst/>
              <a:latin typeface="+mn-lt"/>
              <a:ea typeface="+mn-ea"/>
              <a:cs typeface="+mn-cs"/>
            </a:rPr>
            <a:t>5) Dismantling of any existing installation / false ceiling / furnishings unless included in attached BOQ.</a:t>
          </a:r>
          <a:endParaRPr lang="en-MT" sz="1000">
            <a:effectLst/>
          </a:endParaRPr>
        </a:p>
        <a:p>
          <a:pPr rtl="0"/>
          <a:r>
            <a:rPr lang="en-GB" sz="1100" b="0" i="0" baseline="0">
              <a:effectLst/>
              <a:latin typeface="+mn-lt"/>
              <a:ea typeface="+mn-ea"/>
              <a:cs typeface="+mn-cs"/>
            </a:rPr>
            <a:t>6) Anything not mentioned in our Bill of Quantities.</a:t>
          </a:r>
          <a:endParaRPr lang="en-MT" sz="1000">
            <a:effectLst/>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9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p>
        <a:p>
          <a:pPr rtl="0"/>
          <a:r>
            <a:rPr lang="en-GB" sz="1100" b="0" i="0" baseline="0">
              <a:effectLst/>
              <a:latin typeface="+mn-lt"/>
              <a:ea typeface="+mn-ea"/>
              <a:cs typeface="+mn-cs"/>
            </a:rPr>
            <a:t>1) As per the attached BOQ.</a:t>
          </a:r>
          <a:endParaRPr lang="en-MT" sz="1000">
            <a:effectLst/>
          </a:endParaRPr>
        </a:p>
        <a:p>
          <a:pPr rtl="0"/>
          <a:r>
            <a:rPr lang="en-GB" sz="1100" b="0" i="0" baseline="0">
              <a:effectLst/>
              <a:latin typeface="+mn-lt"/>
              <a:ea typeface="+mn-ea"/>
              <a:cs typeface="+mn-cs"/>
            </a:rPr>
            <a:t>2) Technical literature for the items offered is attached.</a:t>
          </a:r>
          <a:endParaRPr lang="en-MT" sz="1000">
            <a:effectLst/>
          </a:endParaRPr>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8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2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2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2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2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2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2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2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2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2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2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2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ebusuttil\My%20Documents\TIGNE%20T8%20&amp;%20T9\Valuations\T8%20&amp;%20T9%20-%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ECH\ADRIAN\PROJECTS\2004\Prince%20of%20Wales\Prince_E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lnas\ele\est\BOV\Bov_proc\Copy%20of%20BOV_BMS9_xp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Bernard%20Grech\AppData\Local\Microsoft\Windows\INetCache\Content.Outlook\ZPBB5CW0\L-4740-%20Fire%20Fighting%20Costing%20Too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PACEPROJECT\Prj%20Magt\Documents%20and%20Settings\_spaceproject\Desktop\G33a\MoW_1020_01\G33a_MoW_1020_01_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osef\PW\My%20Documents\Golden%20Sands%20Resort%20---%20C%201065\Piece%20Work\Masons\Masons%20Imqieda\Joe%20Borg%20&amp;%20Brian%20Galea\hilton\Tower%20BQ%20Al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oogle%20Drive\shared%20c_c\Work\BZ%20-%20Clive\BOQ's\00389_Marsa\Submission\001_%20Valuation.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hilton\Tower%20BQ%20Al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tephen.cachia\Desktop\Consolidated%20BoQ_NoRates.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y%20Documents\Golden%20Sands%20Resort%20---%20C%201065\Piece%20Work\Masons\Masons%20Imqieda\Joe%20Borg%20&amp;%20Brian%20Galea\hilton\Tower%20BQ%20Alf.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01%20%20spaceproject%20projects\00%20%20Standards\02%20Cost\04%20Measurement%20of%20Work\MoW_1020\MoW_1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c.users\a%20-%20current%20projects\P06%20-%20Jojo%20Paris\P06a%20san%20gwann\5.%20Contract%20Management\P06a_1010_Demolition,%20Site%20Clearance%20and%20Excavation\03%20Measurement%20of%20Works\B%20Payment%20Assessments\P06a_MoW_1010_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INDOWS\Temporary%20Internet%20Files\Content.IE5\CLERY7QZ\Estimate%20and%20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Spiru%20Borg%20&amp;%20Anthony%20Cassar\hilton\Tower%20BQ%20Alf.xls"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est/Wembley_office_block_A_Tenant/Estimates/Variations/EL25_0051_wembley_block_A_VRF_OUTDOOR.xlsx" TargetMode="External"/><Relationship Id="rId2" Type="http://schemas.openxmlformats.org/officeDocument/2006/relationships/externalLinkPath" Target="file:///K:\est\Wembley_office_block_A_Tenant\Estimates\Variations\EL25_0051_wembley_block_A_VRF_OUTDOOR.xlsx" TargetMode="External"/><Relationship Id="rId1" Type="http://schemas.openxmlformats.org/officeDocument/2006/relationships/externalLinkPath" Target="/est/Wembley_office_block_A_Tenant/Estimates/Variations/EL25_0051_wembley_block_A_VRF_OUTDO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ummary"/>
      <sheetName val="T8&amp;T9 Bill"/>
      <sheetName val="Reservoir"/>
      <sheetName val="T4T7T9 basement bills"/>
      <sheetName val="Main Summary"/>
      <sheetName val="T8&amp;T9 Summary"/>
      <sheetName val="Reservoir Summary"/>
      <sheetName val="T4,T7&amp;T9 Basement bill Summary"/>
      <sheetName val="Codes"/>
      <sheetName val="Table 8 &amp; 9"/>
      <sheetName val="Table 8 &amp; 9 Qnt"/>
      <sheetName val="Takeoff 8 &amp; 9"/>
      <sheetName val="Takeoff 9P"/>
      <sheetName val="Gen_Summary"/>
      <sheetName val="T8&amp;T9_Bill"/>
      <sheetName val="T4T7T9_basement_bills"/>
      <sheetName val="Main_Summary"/>
      <sheetName val="T8&amp;T9_Summary"/>
      <sheetName val="Reservoir_Summary"/>
      <sheetName val="T4,T7&amp;T9_Basement_bill_Summary"/>
      <sheetName val="Table_8_&amp;_9"/>
      <sheetName val="Table_8_&amp;_9_Qnt"/>
      <sheetName val="Takeoff_8_&amp;_9"/>
      <sheetName val="Takeoff_9P"/>
      <sheetName val="Gen_Summary1"/>
      <sheetName val="T8&amp;T9_Bill1"/>
      <sheetName val="T4T7T9_basement_bills1"/>
      <sheetName val="Main_Summary1"/>
      <sheetName val="T8&amp;T9_Summary1"/>
      <sheetName val="Reservoir_Summary1"/>
      <sheetName val="T4,T7&amp;T9_Basement_bill_Summary1"/>
      <sheetName val="Table_8_&amp;_91"/>
      <sheetName val="Table_8_&amp;_9_Qnt1"/>
      <sheetName val="Takeoff_8_&amp;_91"/>
      <sheetName val="Takeoff_9P1"/>
    </sheetNames>
    <sheetDataSet>
      <sheetData sheetId="0"/>
      <sheetData sheetId="1"/>
      <sheetData sheetId="2"/>
      <sheetData sheetId="3"/>
      <sheetData sheetId="4"/>
      <sheetData sheetId="5"/>
      <sheetData sheetId="6"/>
      <sheetData sheetId="7"/>
      <sheetData sheetId="8"/>
      <sheetData sheetId="9">
        <row r="4">
          <cell r="B4">
            <v>1</v>
          </cell>
          <cell r="C4" t="str">
            <v>D1</v>
          </cell>
          <cell r="D4">
            <v>346.04455385</v>
          </cell>
        </row>
        <row r="5">
          <cell r="B5">
            <v>2</v>
          </cell>
          <cell r="C5" t="str">
            <v>D2</v>
          </cell>
          <cell r="D5">
            <v>81.52945204000001</v>
          </cell>
        </row>
        <row r="6">
          <cell r="B6">
            <v>3</v>
          </cell>
          <cell r="C6" t="str">
            <v>D3</v>
          </cell>
          <cell r="D6">
            <v>427.57400589000002</v>
          </cell>
        </row>
        <row r="7">
          <cell r="B7">
            <v>4</v>
          </cell>
          <cell r="C7" t="str">
            <v>D4</v>
          </cell>
          <cell r="D7">
            <v>0</v>
          </cell>
        </row>
        <row r="8">
          <cell r="B8">
            <v>5</v>
          </cell>
          <cell r="C8" t="str">
            <v>D5</v>
          </cell>
          <cell r="D8">
            <v>19.676399999999997</v>
          </cell>
        </row>
        <row r="9">
          <cell r="B9">
            <v>6</v>
          </cell>
          <cell r="C9" t="str">
            <v>D6</v>
          </cell>
          <cell r="D9">
            <v>92.1</v>
          </cell>
        </row>
        <row r="10">
          <cell r="B10">
            <v>7</v>
          </cell>
          <cell r="C10" t="str">
            <v>D7</v>
          </cell>
          <cell r="D10">
            <v>0</v>
          </cell>
        </row>
        <row r="11">
          <cell r="B11">
            <v>8</v>
          </cell>
          <cell r="C11" t="str">
            <v>D8</v>
          </cell>
          <cell r="D11">
            <v>0</v>
          </cell>
        </row>
        <row r="12">
          <cell r="B12">
            <v>9</v>
          </cell>
          <cell r="C12" t="str">
            <v>D9</v>
          </cell>
          <cell r="D12">
            <v>0</v>
          </cell>
        </row>
        <row r="13">
          <cell r="B13">
            <v>10</v>
          </cell>
          <cell r="C13" t="str">
            <v>D10</v>
          </cell>
          <cell r="D13">
            <v>0</v>
          </cell>
        </row>
        <row r="14">
          <cell r="B14">
            <v>11</v>
          </cell>
          <cell r="C14" t="str">
            <v>D11</v>
          </cell>
          <cell r="D14">
            <v>0</v>
          </cell>
        </row>
        <row r="15">
          <cell r="B15">
            <v>12</v>
          </cell>
          <cell r="C15" t="str">
            <v>D12</v>
          </cell>
          <cell r="D15">
            <v>0</v>
          </cell>
        </row>
        <row r="16">
          <cell r="B16">
            <v>13</v>
          </cell>
          <cell r="C16" t="str">
            <v>D13</v>
          </cell>
          <cell r="D16">
            <v>0</v>
          </cell>
        </row>
        <row r="17">
          <cell r="B17">
            <v>14</v>
          </cell>
          <cell r="C17" t="str">
            <v>D14</v>
          </cell>
          <cell r="D17">
            <v>0</v>
          </cell>
        </row>
        <row r="18">
          <cell r="B18">
            <v>15</v>
          </cell>
          <cell r="C18" t="str">
            <v>D15</v>
          </cell>
          <cell r="D18">
            <v>0</v>
          </cell>
        </row>
        <row r="19">
          <cell r="B19">
            <v>16</v>
          </cell>
          <cell r="C19" t="str">
            <v>E1</v>
          </cell>
          <cell r="D19">
            <v>0</v>
          </cell>
        </row>
        <row r="20">
          <cell r="B20">
            <v>17</v>
          </cell>
          <cell r="C20" t="str">
            <v>E2</v>
          </cell>
          <cell r="D20">
            <v>0</v>
          </cell>
        </row>
        <row r="21">
          <cell r="B21">
            <v>18</v>
          </cell>
          <cell r="C21" t="str">
            <v>E3</v>
          </cell>
          <cell r="D21">
            <v>74.575032999999991</v>
          </cell>
        </row>
        <row r="22">
          <cell r="B22">
            <v>19</v>
          </cell>
          <cell r="C22" t="str">
            <v>E4</v>
          </cell>
          <cell r="D22">
            <v>66.946215499999994</v>
          </cell>
        </row>
        <row r="23">
          <cell r="B23">
            <v>20</v>
          </cell>
          <cell r="C23" t="str">
            <v>E5</v>
          </cell>
          <cell r="D23">
            <v>123.17799999999998</v>
          </cell>
        </row>
        <row r="24">
          <cell r="B24">
            <v>21</v>
          </cell>
          <cell r="C24" t="str">
            <v>E6</v>
          </cell>
          <cell r="D24">
            <v>0</v>
          </cell>
        </row>
        <row r="25">
          <cell r="B25">
            <v>22</v>
          </cell>
          <cell r="C25" t="str">
            <v>E7</v>
          </cell>
          <cell r="D25">
            <v>160.29162764000009</v>
          </cell>
        </row>
        <row r="26">
          <cell r="B26">
            <v>23</v>
          </cell>
          <cell r="C26" t="str">
            <v>E8</v>
          </cell>
          <cell r="D26">
            <v>168.27153850000002</v>
          </cell>
        </row>
        <row r="27">
          <cell r="B27">
            <v>24</v>
          </cell>
          <cell r="C27" t="str">
            <v>E9</v>
          </cell>
          <cell r="D27">
            <v>0</v>
          </cell>
        </row>
        <row r="28">
          <cell r="B28">
            <v>25</v>
          </cell>
          <cell r="C28" t="str">
            <v>E10</v>
          </cell>
          <cell r="D28">
            <v>396.00943199999995</v>
          </cell>
        </row>
        <row r="29">
          <cell r="B29">
            <v>26</v>
          </cell>
          <cell r="C29" t="str">
            <v>E11</v>
          </cell>
          <cell r="D29">
            <v>0</v>
          </cell>
        </row>
        <row r="30">
          <cell r="B30">
            <v>27</v>
          </cell>
          <cell r="C30" t="str">
            <v>E12</v>
          </cell>
          <cell r="D30">
            <v>0</v>
          </cell>
        </row>
        <row r="31">
          <cell r="B31">
            <v>28</v>
          </cell>
          <cell r="C31" t="str">
            <v>E13</v>
          </cell>
          <cell r="D31">
            <v>15.114381000000002</v>
          </cell>
        </row>
        <row r="32">
          <cell r="B32">
            <v>29</v>
          </cell>
          <cell r="C32" t="str">
            <v>E14</v>
          </cell>
          <cell r="D32">
            <v>40.652950000000018</v>
          </cell>
        </row>
        <row r="33">
          <cell r="B33">
            <v>30</v>
          </cell>
          <cell r="C33" t="str">
            <v>E15</v>
          </cell>
          <cell r="D33">
            <v>0</v>
          </cell>
        </row>
        <row r="34">
          <cell r="B34">
            <v>31</v>
          </cell>
          <cell r="C34" t="str">
            <v>E16</v>
          </cell>
          <cell r="D34">
            <v>61.4380825</v>
          </cell>
        </row>
        <row r="35">
          <cell r="B35">
            <v>32</v>
          </cell>
          <cell r="C35" t="str">
            <v>E17</v>
          </cell>
          <cell r="D35">
            <v>0</v>
          </cell>
        </row>
        <row r="36">
          <cell r="B36">
            <v>33</v>
          </cell>
          <cell r="C36" t="str">
            <v>E18</v>
          </cell>
          <cell r="D36">
            <v>0</v>
          </cell>
        </row>
        <row r="37">
          <cell r="B37">
            <v>34</v>
          </cell>
          <cell r="C37" t="str">
            <v>E19</v>
          </cell>
          <cell r="D37">
            <v>0</v>
          </cell>
        </row>
        <row r="38">
          <cell r="B38">
            <v>35</v>
          </cell>
          <cell r="C38" t="str">
            <v>E20</v>
          </cell>
          <cell r="D38">
            <v>0</v>
          </cell>
        </row>
        <row r="39">
          <cell r="B39">
            <v>36</v>
          </cell>
          <cell r="C39" t="str">
            <v>E21</v>
          </cell>
          <cell r="D39">
            <v>0</v>
          </cell>
        </row>
        <row r="40">
          <cell r="B40">
            <v>37</v>
          </cell>
          <cell r="C40" t="str">
            <v>E22</v>
          </cell>
          <cell r="D40">
            <v>0</v>
          </cell>
        </row>
        <row r="41">
          <cell r="B41">
            <v>38</v>
          </cell>
          <cell r="C41" t="str">
            <v>E23</v>
          </cell>
          <cell r="D41">
            <v>0</v>
          </cell>
        </row>
        <row r="42">
          <cell r="B42">
            <v>39</v>
          </cell>
          <cell r="C42" t="str">
            <v>E24</v>
          </cell>
          <cell r="D42">
            <v>0</v>
          </cell>
        </row>
        <row r="43">
          <cell r="B43">
            <v>40</v>
          </cell>
          <cell r="C43" t="str">
            <v>E25</v>
          </cell>
          <cell r="D43">
            <v>0</v>
          </cell>
        </row>
        <row r="44">
          <cell r="B44">
            <v>41</v>
          </cell>
          <cell r="C44" t="str">
            <v>E26</v>
          </cell>
          <cell r="D44">
            <v>0</v>
          </cell>
        </row>
        <row r="45">
          <cell r="B45">
            <v>42</v>
          </cell>
          <cell r="C45" t="str">
            <v>E27</v>
          </cell>
          <cell r="D45">
            <v>0</v>
          </cell>
        </row>
        <row r="46">
          <cell r="B46">
            <v>43</v>
          </cell>
          <cell r="C46" t="str">
            <v>E28</v>
          </cell>
          <cell r="D46">
            <v>0</v>
          </cell>
        </row>
        <row r="47">
          <cell r="B47">
            <v>44</v>
          </cell>
          <cell r="C47" t="str">
            <v>E29</v>
          </cell>
          <cell r="D47">
            <v>0</v>
          </cell>
        </row>
        <row r="48">
          <cell r="B48">
            <v>45</v>
          </cell>
          <cell r="C48" t="str">
            <v>E30</v>
          </cell>
          <cell r="D48">
            <v>0</v>
          </cell>
        </row>
        <row r="49">
          <cell r="B49">
            <v>46</v>
          </cell>
          <cell r="C49" t="str">
            <v>E31</v>
          </cell>
          <cell r="D49">
            <v>0</v>
          </cell>
        </row>
        <row r="50">
          <cell r="B50">
            <v>47</v>
          </cell>
          <cell r="C50" t="str">
            <v>E32</v>
          </cell>
          <cell r="D50">
            <v>0</v>
          </cell>
        </row>
        <row r="51">
          <cell r="B51">
            <v>48</v>
          </cell>
          <cell r="C51" t="str">
            <v>E33</v>
          </cell>
          <cell r="D51">
            <v>0</v>
          </cell>
        </row>
        <row r="52">
          <cell r="B52">
            <v>49</v>
          </cell>
          <cell r="C52" t="str">
            <v>E34</v>
          </cell>
          <cell r="D52">
            <v>0</v>
          </cell>
        </row>
        <row r="53">
          <cell r="B53">
            <v>50</v>
          </cell>
          <cell r="C53" t="str">
            <v>E35</v>
          </cell>
          <cell r="D53">
            <v>0</v>
          </cell>
        </row>
        <row r="54">
          <cell r="B54">
            <v>51</v>
          </cell>
          <cell r="C54" t="str">
            <v>E36</v>
          </cell>
          <cell r="D54">
            <v>0</v>
          </cell>
        </row>
        <row r="55">
          <cell r="B55">
            <v>52</v>
          </cell>
          <cell r="C55" t="str">
            <v>E37</v>
          </cell>
          <cell r="D55">
            <v>0</v>
          </cell>
        </row>
        <row r="56">
          <cell r="B56">
            <v>53</v>
          </cell>
          <cell r="C56" t="str">
            <v>E38</v>
          </cell>
          <cell r="D56">
            <v>0</v>
          </cell>
        </row>
        <row r="57">
          <cell r="B57">
            <v>54</v>
          </cell>
          <cell r="C57" t="str">
            <v>E39</v>
          </cell>
          <cell r="D57">
            <v>0</v>
          </cell>
        </row>
        <row r="58">
          <cell r="B58">
            <v>55</v>
          </cell>
          <cell r="C58" t="str">
            <v>E40</v>
          </cell>
          <cell r="D58">
            <v>208.97274600000003</v>
          </cell>
        </row>
        <row r="59">
          <cell r="B59">
            <v>56</v>
          </cell>
          <cell r="C59" t="str">
            <v>E41</v>
          </cell>
          <cell r="D59">
            <v>0</v>
          </cell>
        </row>
        <row r="60">
          <cell r="B60">
            <v>57</v>
          </cell>
          <cell r="C60" t="str">
            <v>E42</v>
          </cell>
          <cell r="D60">
            <v>279.54700000000008</v>
          </cell>
        </row>
        <row r="61">
          <cell r="B61">
            <v>58</v>
          </cell>
          <cell r="C61" t="str">
            <v>E43</v>
          </cell>
          <cell r="D61">
            <v>0</v>
          </cell>
        </row>
        <row r="62">
          <cell r="B62">
            <v>59</v>
          </cell>
          <cell r="C62" t="str">
            <v>E44</v>
          </cell>
          <cell r="D62">
            <v>0</v>
          </cell>
        </row>
        <row r="63">
          <cell r="B63">
            <v>60</v>
          </cell>
          <cell r="C63" t="str">
            <v>E45</v>
          </cell>
          <cell r="D63">
            <v>0</v>
          </cell>
        </row>
        <row r="64">
          <cell r="B64">
            <v>61</v>
          </cell>
          <cell r="C64" t="str">
            <v>E46</v>
          </cell>
          <cell r="D64">
            <v>0</v>
          </cell>
        </row>
        <row r="65">
          <cell r="B65">
            <v>62</v>
          </cell>
          <cell r="C65" t="str">
            <v>E47</v>
          </cell>
          <cell r="D65">
            <v>0</v>
          </cell>
        </row>
        <row r="66">
          <cell r="B66">
            <v>63</v>
          </cell>
          <cell r="C66" t="str">
            <v>E48</v>
          </cell>
          <cell r="D66">
            <v>423.7396</v>
          </cell>
        </row>
        <row r="67">
          <cell r="B67">
            <v>64</v>
          </cell>
          <cell r="C67" t="str">
            <v>E49</v>
          </cell>
          <cell r="D67">
            <v>0</v>
          </cell>
        </row>
        <row r="68">
          <cell r="B68">
            <v>65</v>
          </cell>
          <cell r="C68" t="str">
            <v>E50</v>
          </cell>
          <cell r="D68">
            <v>0</v>
          </cell>
        </row>
        <row r="69">
          <cell r="B69">
            <v>66</v>
          </cell>
          <cell r="C69" t="str">
            <v>E51</v>
          </cell>
          <cell r="D69">
            <v>0</v>
          </cell>
        </row>
        <row r="70">
          <cell r="B70">
            <v>67</v>
          </cell>
          <cell r="C70" t="str">
            <v>E52</v>
          </cell>
          <cell r="D70">
            <v>0</v>
          </cell>
        </row>
        <row r="71">
          <cell r="B71">
            <v>68</v>
          </cell>
          <cell r="C71" t="str">
            <v>E53</v>
          </cell>
          <cell r="D71">
            <v>0</v>
          </cell>
        </row>
        <row r="72">
          <cell r="B72">
            <v>69</v>
          </cell>
          <cell r="C72" t="str">
            <v>E54</v>
          </cell>
          <cell r="D72">
            <v>0</v>
          </cell>
        </row>
        <row r="73">
          <cell r="B73">
            <v>70</v>
          </cell>
          <cell r="C73" t="str">
            <v>E55</v>
          </cell>
          <cell r="D73">
            <v>3.5</v>
          </cell>
        </row>
        <row r="74">
          <cell r="B74">
            <v>71</v>
          </cell>
          <cell r="C74" t="str">
            <v>E56</v>
          </cell>
          <cell r="D74">
            <v>0</v>
          </cell>
        </row>
        <row r="75">
          <cell r="B75">
            <v>72</v>
          </cell>
          <cell r="C75" t="str">
            <v>E57</v>
          </cell>
          <cell r="D75">
            <v>0</v>
          </cell>
        </row>
        <row r="76">
          <cell r="B76">
            <v>73</v>
          </cell>
          <cell r="C76" t="str">
            <v>E58</v>
          </cell>
          <cell r="D76">
            <v>0</v>
          </cell>
        </row>
        <row r="77">
          <cell r="B77">
            <v>74</v>
          </cell>
          <cell r="C77" t="str">
            <v>E59</v>
          </cell>
          <cell r="D77">
            <v>0</v>
          </cell>
        </row>
        <row r="78">
          <cell r="B78">
            <v>75</v>
          </cell>
          <cell r="C78" t="str">
            <v>E60</v>
          </cell>
          <cell r="D78">
            <v>487.49855500000001</v>
          </cell>
        </row>
        <row r="79">
          <cell r="B79">
            <v>76</v>
          </cell>
          <cell r="C79" t="str">
            <v>E61</v>
          </cell>
          <cell r="D79">
            <v>208.97274600000003</v>
          </cell>
        </row>
        <row r="80">
          <cell r="B80">
            <v>77</v>
          </cell>
          <cell r="C80" t="str">
            <v>E62</v>
          </cell>
          <cell r="D80">
            <v>0</v>
          </cell>
        </row>
        <row r="81">
          <cell r="B81">
            <v>78</v>
          </cell>
          <cell r="C81" t="str">
            <v>E63</v>
          </cell>
          <cell r="D81">
            <v>423.7396</v>
          </cell>
        </row>
        <row r="82">
          <cell r="B82">
            <v>79</v>
          </cell>
          <cell r="C82" t="str">
            <v>E64</v>
          </cell>
          <cell r="D82">
            <v>0</v>
          </cell>
        </row>
        <row r="83">
          <cell r="B83">
            <v>80</v>
          </cell>
          <cell r="C83" t="str">
            <v>E65</v>
          </cell>
          <cell r="D83">
            <v>0</v>
          </cell>
        </row>
        <row r="84">
          <cell r="B84">
            <v>81</v>
          </cell>
          <cell r="C84" t="str">
            <v>E66</v>
          </cell>
          <cell r="D84">
            <v>0</v>
          </cell>
        </row>
        <row r="85">
          <cell r="B85">
            <v>82</v>
          </cell>
          <cell r="C85" t="str">
            <v>E67</v>
          </cell>
          <cell r="D85">
            <v>0</v>
          </cell>
        </row>
        <row r="86">
          <cell r="B86">
            <v>83</v>
          </cell>
          <cell r="C86" t="str">
            <v>E68</v>
          </cell>
          <cell r="D86">
            <v>0</v>
          </cell>
        </row>
        <row r="87">
          <cell r="B87">
            <v>84</v>
          </cell>
          <cell r="C87" t="str">
            <v>E69</v>
          </cell>
          <cell r="D87">
            <v>0</v>
          </cell>
        </row>
        <row r="88">
          <cell r="B88">
            <v>85</v>
          </cell>
          <cell r="C88" t="str">
            <v>E70</v>
          </cell>
          <cell r="D88">
            <v>0</v>
          </cell>
        </row>
        <row r="89">
          <cell r="B89">
            <v>86</v>
          </cell>
          <cell r="C89" t="str">
            <v>E71</v>
          </cell>
          <cell r="D89">
            <v>0</v>
          </cell>
        </row>
        <row r="90">
          <cell r="B90">
            <v>87</v>
          </cell>
          <cell r="C90" t="str">
            <v>E72</v>
          </cell>
          <cell r="D90">
            <v>0</v>
          </cell>
        </row>
        <row r="91">
          <cell r="B91">
            <v>88</v>
          </cell>
          <cell r="C91" t="str">
            <v>E73</v>
          </cell>
          <cell r="D91">
            <v>0</v>
          </cell>
        </row>
        <row r="92">
          <cell r="B92">
            <v>89</v>
          </cell>
          <cell r="C92" t="str">
            <v>E74</v>
          </cell>
          <cell r="D92">
            <v>0</v>
          </cell>
        </row>
        <row r="93">
          <cell r="B93">
            <v>90</v>
          </cell>
          <cell r="C93" t="str">
            <v>E75</v>
          </cell>
          <cell r="D93">
            <v>0</v>
          </cell>
        </row>
        <row r="94">
          <cell r="B94">
            <v>91</v>
          </cell>
          <cell r="C94" t="str">
            <v>E76</v>
          </cell>
          <cell r="D94">
            <v>0</v>
          </cell>
        </row>
        <row r="95">
          <cell r="B95">
            <v>92</v>
          </cell>
          <cell r="C95" t="str">
            <v>E77</v>
          </cell>
          <cell r="D95">
            <v>0</v>
          </cell>
        </row>
        <row r="96">
          <cell r="B96">
            <v>93</v>
          </cell>
          <cell r="C96" t="str">
            <v>E78</v>
          </cell>
          <cell r="D96">
            <v>0</v>
          </cell>
        </row>
        <row r="97">
          <cell r="B97">
            <v>94</v>
          </cell>
          <cell r="C97" t="str">
            <v>E79</v>
          </cell>
          <cell r="D97">
            <v>0</v>
          </cell>
        </row>
        <row r="98">
          <cell r="B98">
            <v>95</v>
          </cell>
          <cell r="C98" t="str">
            <v>E80</v>
          </cell>
          <cell r="D98">
            <v>0</v>
          </cell>
        </row>
        <row r="99">
          <cell r="B99">
            <v>96</v>
          </cell>
          <cell r="C99" t="str">
            <v>E81</v>
          </cell>
          <cell r="D99">
            <v>0</v>
          </cell>
        </row>
        <row r="100">
          <cell r="B100">
            <v>97</v>
          </cell>
          <cell r="C100" t="str">
            <v>E82</v>
          </cell>
          <cell r="D100">
            <v>0</v>
          </cell>
        </row>
        <row r="101">
          <cell r="B101">
            <v>98</v>
          </cell>
          <cell r="C101" t="str">
            <v>E83</v>
          </cell>
          <cell r="D101">
            <v>0</v>
          </cell>
        </row>
        <row r="102">
          <cell r="B102">
            <v>99</v>
          </cell>
          <cell r="C102" t="str">
            <v>E84</v>
          </cell>
          <cell r="D102">
            <v>0</v>
          </cell>
        </row>
        <row r="103">
          <cell r="B103">
            <v>100</v>
          </cell>
          <cell r="C103" t="str">
            <v>E85</v>
          </cell>
          <cell r="D103">
            <v>0</v>
          </cell>
        </row>
        <row r="104">
          <cell r="B104">
            <v>101</v>
          </cell>
          <cell r="C104" t="str">
            <v>E86</v>
          </cell>
          <cell r="D104">
            <v>0</v>
          </cell>
        </row>
        <row r="105">
          <cell r="B105">
            <v>102</v>
          </cell>
          <cell r="C105" t="str">
            <v>E87</v>
          </cell>
          <cell r="D105">
            <v>0</v>
          </cell>
        </row>
        <row r="106">
          <cell r="B106">
            <v>103</v>
          </cell>
          <cell r="C106" t="str">
            <v>E88</v>
          </cell>
          <cell r="D106">
            <v>0</v>
          </cell>
        </row>
        <row r="107">
          <cell r="B107">
            <v>104</v>
          </cell>
          <cell r="C107" t="str">
            <v>E89</v>
          </cell>
          <cell r="D107">
            <v>0</v>
          </cell>
        </row>
        <row r="108">
          <cell r="B108">
            <v>105</v>
          </cell>
          <cell r="C108" t="str">
            <v>E90</v>
          </cell>
          <cell r="D108">
            <v>0</v>
          </cell>
        </row>
        <row r="109">
          <cell r="B109">
            <v>106</v>
          </cell>
          <cell r="C109" t="str">
            <v>E91</v>
          </cell>
          <cell r="D109">
            <v>0</v>
          </cell>
        </row>
        <row r="110">
          <cell r="B110">
            <v>107</v>
          </cell>
          <cell r="C110" t="str">
            <v>E92</v>
          </cell>
          <cell r="D110">
            <v>0</v>
          </cell>
        </row>
        <row r="111">
          <cell r="B111">
            <v>108</v>
          </cell>
          <cell r="C111" t="str">
            <v>E93</v>
          </cell>
          <cell r="D111">
            <v>0</v>
          </cell>
        </row>
        <row r="112">
          <cell r="B112">
            <v>109</v>
          </cell>
          <cell r="C112" t="str">
            <v>E94</v>
          </cell>
          <cell r="D112">
            <v>0</v>
          </cell>
        </row>
        <row r="113">
          <cell r="B113">
            <v>110</v>
          </cell>
          <cell r="C113" t="str">
            <v>E95</v>
          </cell>
          <cell r="D113">
            <v>0</v>
          </cell>
        </row>
        <row r="114">
          <cell r="B114">
            <v>111</v>
          </cell>
          <cell r="C114" t="str">
            <v>E96</v>
          </cell>
          <cell r="D114">
            <v>0</v>
          </cell>
        </row>
        <row r="115">
          <cell r="B115">
            <v>112</v>
          </cell>
          <cell r="C115" t="str">
            <v>E97</v>
          </cell>
          <cell r="D115">
            <v>0</v>
          </cell>
        </row>
        <row r="116">
          <cell r="B116">
            <v>113</v>
          </cell>
          <cell r="C116" t="str">
            <v>E98</v>
          </cell>
          <cell r="D116">
            <v>0</v>
          </cell>
        </row>
        <row r="117">
          <cell r="B117">
            <v>114</v>
          </cell>
          <cell r="C117" t="str">
            <v>E99</v>
          </cell>
          <cell r="D117">
            <v>974.99711000000002</v>
          </cell>
        </row>
        <row r="118">
          <cell r="B118">
            <v>115</v>
          </cell>
          <cell r="C118" t="str">
            <v>E100</v>
          </cell>
          <cell r="D118">
            <v>0</v>
          </cell>
        </row>
        <row r="119">
          <cell r="B119">
            <v>116</v>
          </cell>
          <cell r="C119" t="str">
            <v>E101</v>
          </cell>
          <cell r="D119">
            <v>487.49855500000001</v>
          </cell>
        </row>
        <row r="120">
          <cell r="B120">
            <v>117</v>
          </cell>
          <cell r="C120" t="str">
            <v>E102</v>
          </cell>
          <cell r="D120">
            <v>508.94725</v>
          </cell>
        </row>
        <row r="121">
          <cell r="B121">
            <v>118</v>
          </cell>
          <cell r="C121" t="str">
            <v>E103</v>
          </cell>
          <cell r="D121">
            <v>175.96</v>
          </cell>
        </row>
        <row r="122">
          <cell r="B122">
            <v>119</v>
          </cell>
          <cell r="C122" t="str">
            <v>E104</v>
          </cell>
          <cell r="D122">
            <v>487.49855500000001</v>
          </cell>
        </row>
        <row r="123">
          <cell r="B123">
            <v>120</v>
          </cell>
          <cell r="C123" t="str">
            <v>E105</v>
          </cell>
          <cell r="D123">
            <v>487.49855500000001</v>
          </cell>
        </row>
        <row r="124">
          <cell r="B124">
            <v>121</v>
          </cell>
          <cell r="C124" t="str">
            <v>E106</v>
          </cell>
          <cell r="D124">
            <v>0</v>
          </cell>
        </row>
        <row r="125">
          <cell r="B125">
            <v>122</v>
          </cell>
          <cell r="C125" t="str">
            <v>E107</v>
          </cell>
          <cell r="D125">
            <v>0</v>
          </cell>
        </row>
        <row r="126">
          <cell r="B126">
            <v>123</v>
          </cell>
          <cell r="C126" t="str">
            <v>E108</v>
          </cell>
          <cell r="D126">
            <v>0</v>
          </cell>
        </row>
        <row r="127">
          <cell r="B127">
            <v>124</v>
          </cell>
          <cell r="C127" t="str">
            <v>E109</v>
          </cell>
          <cell r="D127">
            <v>0</v>
          </cell>
        </row>
        <row r="128">
          <cell r="B128">
            <v>125</v>
          </cell>
          <cell r="C128" t="str">
            <v>E110</v>
          </cell>
          <cell r="D128">
            <v>0</v>
          </cell>
        </row>
        <row r="129">
          <cell r="B129">
            <v>126</v>
          </cell>
          <cell r="C129" t="str">
            <v>F1</v>
          </cell>
          <cell r="D129">
            <v>0</v>
          </cell>
        </row>
        <row r="130">
          <cell r="B130">
            <v>127</v>
          </cell>
          <cell r="C130" t="str">
            <v>F2</v>
          </cell>
          <cell r="D130">
            <v>0</v>
          </cell>
        </row>
        <row r="131">
          <cell r="B131">
            <v>128</v>
          </cell>
          <cell r="C131" t="str">
            <v>F3</v>
          </cell>
          <cell r="D131">
            <v>0</v>
          </cell>
        </row>
        <row r="132">
          <cell r="B132">
            <v>129</v>
          </cell>
          <cell r="C132" t="str">
            <v>F4</v>
          </cell>
          <cell r="D132">
            <v>32.64217</v>
          </cell>
        </row>
        <row r="133">
          <cell r="B133">
            <v>130</v>
          </cell>
          <cell r="C133" t="str">
            <v>F5</v>
          </cell>
          <cell r="D133">
            <v>0</v>
          </cell>
        </row>
        <row r="134">
          <cell r="B134">
            <v>131</v>
          </cell>
          <cell r="C134" t="str">
            <v>F6</v>
          </cell>
          <cell r="D134">
            <v>261.84755999999999</v>
          </cell>
        </row>
        <row r="135">
          <cell r="B135">
            <v>132</v>
          </cell>
          <cell r="C135" t="str">
            <v>F7</v>
          </cell>
          <cell r="D135">
            <v>782.92447999999979</v>
          </cell>
        </row>
        <row r="136">
          <cell r="B136">
            <v>133</v>
          </cell>
          <cell r="C136" t="str">
            <v>F8</v>
          </cell>
          <cell r="D136">
            <v>61.183200000000006</v>
          </cell>
        </row>
        <row r="137">
          <cell r="B137">
            <v>134</v>
          </cell>
          <cell r="C137" t="str">
            <v>F9</v>
          </cell>
          <cell r="D137">
            <v>0</v>
          </cell>
        </row>
        <row r="138">
          <cell r="B138">
            <v>135</v>
          </cell>
          <cell r="C138" t="str">
            <v>F10</v>
          </cell>
          <cell r="D138">
            <v>0</v>
          </cell>
        </row>
        <row r="139">
          <cell r="B139">
            <v>136</v>
          </cell>
          <cell r="C139" t="str">
            <v>F11</v>
          </cell>
          <cell r="D139">
            <v>0</v>
          </cell>
        </row>
        <row r="140">
          <cell r="B140">
            <v>137</v>
          </cell>
          <cell r="C140" t="str">
            <v>F12</v>
          </cell>
          <cell r="D140">
            <v>0</v>
          </cell>
        </row>
        <row r="141">
          <cell r="B141">
            <v>138</v>
          </cell>
          <cell r="C141" t="str">
            <v>F13</v>
          </cell>
          <cell r="D141">
            <v>0</v>
          </cell>
        </row>
        <row r="142">
          <cell r="B142">
            <v>139</v>
          </cell>
          <cell r="C142" t="str">
            <v>F14</v>
          </cell>
          <cell r="D142">
            <v>0</v>
          </cell>
        </row>
        <row r="143">
          <cell r="B143">
            <v>140</v>
          </cell>
          <cell r="C143" t="str">
            <v>F15</v>
          </cell>
          <cell r="D143">
            <v>0</v>
          </cell>
        </row>
        <row r="144">
          <cell r="B144">
            <v>141</v>
          </cell>
          <cell r="C144" t="str">
            <v>F16</v>
          </cell>
          <cell r="D144">
            <v>0</v>
          </cell>
        </row>
        <row r="145">
          <cell r="B145">
            <v>142</v>
          </cell>
          <cell r="C145" t="str">
            <v>F17</v>
          </cell>
          <cell r="D145">
            <v>0</v>
          </cell>
        </row>
        <row r="146">
          <cell r="B146">
            <v>143</v>
          </cell>
          <cell r="C146" t="str">
            <v>F18</v>
          </cell>
          <cell r="D146">
            <v>0</v>
          </cell>
        </row>
        <row r="147">
          <cell r="B147">
            <v>144</v>
          </cell>
          <cell r="C147" t="str">
            <v>F19</v>
          </cell>
          <cell r="D147">
            <v>294</v>
          </cell>
        </row>
        <row r="148">
          <cell r="B148">
            <v>145</v>
          </cell>
          <cell r="C148" t="str">
            <v>F20</v>
          </cell>
          <cell r="D148">
            <v>0</v>
          </cell>
        </row>
        <row r="149">
          <cell r="B149">
            <v>146</v>
          </cell>
          <cell r="C149" t="str">
            <v>F21</v>
          </cell>
          <cell r="D149">
            <v>0</v>
          </cell>
        </row>
        <row r="150">
          <cell r="B150">
            <v>147</v>
          </cell>
          <cell r="C150" t="str">
            <v>F22</v>
          </cell>
          <cell r="D150">
            <v>0</v>
          </cell>
        </row>
        <row r="151">
          <cell r="B151">
            <v>148</v>
          </cell>
          <cell r="C151" t="str">
            <v>F23</v>
          </cell>
          <cell r="D151">
            <v>0</v>
          </cell>
        </row>
        <row r="152">
          <cell r="B152">
            <v>149</v>
          </cell>
          <cell r="C152" t="str">
            <v>F24</v>
          </cell>
          <cell r="D152">
            <v>0</v>
          </cell>
        </row>
        <row r="153">
          <cell r="B153">
            <v>150</v>
          </cell>
          <cell r="C153" t="str">
            <v>F25</v>
          </cell>
          <cell r="D153">
            <v>0</v>
          </cell>
        </row>
        <row r="154">
          <cell r="B154">
            <v>151</v>
          </cell>
          <cell r="C154" t="str">
            <v>F26</v>
          </cell>
          <cell r="D154">
            <v>0</v>
          </cell>
        </row>
        <row r="155">
          <cell r="B155">
            <v>152</v>
          </cell>
          <cell r="C155" t="str">
            <v>F27</v>
          </cell>
          <cell r="D155">
            <v>0</v>
          </cell>
        </row>
        <row r="156">
          <cell r="B156">
            <v>153</v>
          </cell>
          <cell r="C156" t="str">
            <v>F28</v>
          </cell>
          <cell r="D156">
            <v>0</v>
          </cell>
        </row>
        <row r="157">
          <cell r="B157">
            <v>154</v>
          </cell>
          <cell r="C157" t="str">
            <v>F29</v>
          </cell>
          <cell r="D157">
            <v>0</v>
          </cell>
        </row>
        <row r="158">
          <cell r="B158">
            <v>155</v>
          </cell>
          <cell r="C158" t="str">
            <v>F30</v>
          </cell>
          <cell r="D158">
            <v>0</v>
          </cell>
        </row>
        <row r="159">
          <cell r="B159">
            <v>156</v>
          </cell>
          <cell r="C159" t="str">
            <v>J1</v>
          </cell>
          <cell r="D159">
            <v>0</v>
          </cell>
        </row>
        <row r="160">
          <cell r="B160">
            <v>157</v>
          </cell>
          <cell r="C160" t="str">
            <v>J2</v>
          </cell>
          <cell r="D160">
            <v>0</v>
          </cell>
        </row>
        <row r="161">
          <cell r="B161">
            <v>158</v>
          </cell>
          <cell r="C161" t="str">
            <v>J3</v>
          </cell>
          <cell r="D161">
            <v>544.16043500000001</v>
          </cell>
        </row>
        <row r="162">
          <cell r="B162">
            <v>159</v>
          </cell>
          <cell r="C162" t="str">
            <v>J4</v>
          </cell>
          <cell r="D162">
            <v>36.884819999999991</v>
          </cell>
        </row>
        <row r="163">
          <cell r="B163">
            <v>160</v>
          </cell>
          <cell r="C163" t="str">
            <v>J5</v>
          </cell>
          <cell r="D163">
            <v>0</v>
          </cell>
        </row>
        <row r="164">
          <cell r="B164">
            <v>161</v>
          </cell>
          <cell r="C164" t="str">
            <v>J6</v>
          </cell>
          <cell r="D164">
            <v>78.358000000000004</v>
          </cell>
        </row>
        <row r="165">
          <cell r="B165">
            <v>162</v>
          </cell>
          <cell r="C165" t="str">
            <v>J7</v>
          </cell>
          <cell r="D165">
            <v>0</v>
          </cell>
        </row>
        <row r="166">
          <cell r="B166">
            <v>163</v>
          </cell>
          <cell r="C166" t="str">
            <v>J8</v>
          </cell>
          <cell r="D166">
            <v>0</v>
          </cell>
        </row>
        <row r="167">
          <cell r="B167">
            <v>164</v>
          </cell>
          <cell r="C167" t="str">
            <v>J9</v>
          </cell>
          <cell r="D167">
            <v>0</v>
          </cell>
        </row>
        <row r="168">
          <cell r="B168">
            <v>165</v>
          </cell>
          <cell r="C168" t="str">
            <v>J10</v>
          </cell>
          <cell r="D168">
            <v>0</v>
          </cell>
        </row>
        <row r="169">
          <cell r="B169">
            <v>166</v>
          </cell>
          <cell r="C169" t="str">
            <v>J11</v>
          </cell>
          <cell r="D169">
            <v>0</v>
          </cell>
        </row>
        <row r="170">
          <cell r="B170">
            <v>167</v>
          </cell>
          <cell r="C170" t="str">
            <v>J12</v>
          </cell>
          <cell r="D170">
            <v>0</v>
          </cell>
        </row>
        <row r="171">
          <cell r="B171">
            <v>168</v>
          </cell>
          <cell r="C171" t="str">
            <v>J13</v>
          </cell>
          <cell r="D171">
            <v>0</v>
          </cell>
        </row>
        <row r="172">
          <cell r="B172">
            <v>169</v>
          </cell>
          <cell r="C172" t="str">
            <v>J14</v>
          </cell>
          <cell r="D172">
            <v>0</v>
          </cell>
        </row>
        <row r="173">
          <cell r="B173">
            <v>170</v>
          </cell>
          <cell r="C173" t="str">
            <v>J15</v>
          </cell>
          <cell r="D173">
            <v>0</v>
          </cell>
        </row>
        <row r="174">
          <cell r="B174">
            <v>171</v>
          </cell>
          <cell r="C174" t="str">
            <v>M1</v>
          </cell>
          <cell r="D174">
            <v>0</v>
          </cell>
        </row>
        <row r="175">
          <cell r="B175">
            <v>172</v>
          </cell>
          <cell r="C175" t="str">
            <v>M2</v>
          </cell>
          <cell r="D175">
            <v>0</v>
          </cell>
        </row>
        <row r="176">
          <cell r="B176">
            <v>173</v>
          </cell>
          <cell r="C176" t="str">
            <v>M3</v>
          </cell>
          <cell r="D176">
            <v>0</v>
          </cell>
        </row>
        <row r="177">
          <cell r="B177">
            <v>174</v>
          </cell>
          <cell r="C177" t="str">
            <v>M4</v>
          </cell>
          <cell r="D177">
            <v>0</v>
          </cell>
        </row>
        <row r="178">
          <cell r="B178">
            <v>175</v>
          </cell>
          <cell r="C178" t="str">
            <v>M5</v>
          </cell>
          <cell r="D178">
            <v>0</v>
          </cell>
        </row>
        <row r="179">
          <cell r="B179">
            <v>176</v>
          </cell>
          <cell r="C179" t="str">
            <v>M6</v>
          </cell>
          <cell r="D179">
            <v>0</v>
          </cell>
        </row>
        <row r="180">
          <cell r="B180">
            <v>177</v>
          </cell>
          <cell r="C180" t="str">
            <v>M7</v>
          </cell>
          <cell r="D180">
            <v>0</v>
          </cell>
        </row>
        <row r="181">
          <cell r="B181">
            <v>178</v>
          </cell>
          <cell r="C181" t="str">
            <v>M8</v>
          </cell>
          <cell r="D181">
            <v>0</v>
          </cell>
        </row>
        <row r="182">
          <cell r="B182">
            <v>179</v>
          </cell>
          <cell r="C182" t="str">
            <v>M9</v>
          </cell>
          <cell r="D182">
            <v>0</v>
          </cell>
        </row>
        <row r="183">
          <cell r="B183">
            <v>180</v>
          </cell>
          <cell r="C183" t="str">
            <v>M10</v>
          </cell>
          <cell r="D183">
            <v>0</v>
          </cell>
        </row>
        <row r="184">
          <cell r="B184">
            <v>181</v>
          </cell>
          <cell r="C184" t="str">
            <v>R1</v>
          </cell>
          <cell r="D184">
            <v>0</v>
          </cell>
        </row>
        <row r="185">
          <cell r="B185">
            <v>182</v>
          </cell>
          <cell r="C185" t="str">
            <v>R2</v>
          </cell>
          <cell r="D185">
            <v>0</v>
          </cell>
        </row>
        <row r="186">
          <cell r="B186">
            <v>183</v>
          </cell>
          <cell r="C186" t="str">
            <v>R3</v>
          </cell>
          <cell r="D186">
            <v>0</v>
          </cell>
        </row>
        <row r="187">
          <cell r="B187">
            <v>184</v>
          </cell>
          <cell r="C187" t="str">
            <v>R4</v>
          </cell>
          <cell r="D187">
            <v>0</v>
          </cell>
        </row>
        <row r="188">
          <cell r="B188">
            <v>185</v>
          </cell>
          <cell r="C188" t="str">
            <v>R5</v>
          </cell>
          <cell r="D188">
            <v>0</v>
          </cell>
        </row>
        <row r="189">
          <cell r="B189">
            <v>186</v>
          </cell>
          <cell r="C189" t="str">
            <v>R6</v>
          </cell>
          <cell r="D189">
            <v>0</v>
          </cell>
        </row>
        <row r="190">
          <cell r="B190">
            <v>187</v>
          </cell>
          <cell r="C190" t="str">
            <v>R7</v>
          </cell>
          <cell r="D190">
            <v>0</v>
          </cell>
        </row>
        <row r="191">
          <cell r="B191">
            <v>188</v>
          </cell>
          <cell r="C191" t="str">
            <v>R8</v>
          </cell>
          <cell r="D191">
            <v>0</v>
          </cell>
        </row>
        <row r="192">
          <cell r="B192">
            <v>189</v>
          </cell>
          <cell r="C192" t="str">
            <v>R9</v>
          </cell>
          <cell r="D192">
            <v>0</v>
          </cell>
        </row>
        <row r="193">
          <cell r="B193">
            <v>190</v>
          </cell>
          <cell r="C193" t="str">
            <v>R10</v>
          </cell>
          <cell r="D193">
            <v>0</v>
          </cell>
        </row>
        <row r="194">
          <cell r="B194">
            <v>191</v>
          </cell>
          <cell r="C194" t="str">
            <v>R11</v>
          </cell>
          <cell r="D194">
            <v>0</v>
          </cell>
        </row>
        <row r="195">
          <cell r="B195">
            <v>192</v>
          </cell>
          <cell r="C195" t="str">
            <v>R12</v>
          </cell>
          <cell r="D195">
            <v>0</v>
          </cell>
        </row>
        <row r="196">
          <cell r="B196">
            <v>193</v>
          </cell>
          <cell r="C196" t="str">
            <v>R13</v>
          </cell>
          <cell r="D196">
            <v>0</v>
          </cell>
        </row>
        <row r="197">
          <cell r="B197">
            <v>194</v>
          </cell>
          <cell r="C197" t="str">
            <v>R14</v>
          </cell>
          <cell r="D197">
            <v>0</v>
          </cell>
        </row>
        <row r="198">
          <cell r="B198">
            <v>195</v>
          </cell>
          <cell r="C198" t="str">
            <v>R15</v>
          </cell>
          <cell r="D198">
            <v>0</v>
          </cell>
        </row>
        <row r="199">
          <cell r="B199">
            <v>196</v>
          </cell>
          <cell r="C199" t="str">
            <v>R16</v>
          </cell>
          <cell r="D199">
            <v>0</v>
          </cell>
        </row>
        <row r="200">
          <cell r="B200">
            <v>197</v>
          </cell>
          <cell r="C200" t="str">
            <v>R17</v>
          </cell>
          <cell r="D200">
            <v>0</v>
          </cell>
        </row>
        <row r="201">
          <cell r="B201">
            <v>198</v>
          </cell>
          <cell r="C201" t="str">
            <v>R18</v>
          </cell>
          <cell r="D201">
            <v>0</v>
          </cell>
        </row>
        <row r="202">
          <cell r="B202">
            <v>199</v>
          </cell>
          <cell r="C202" t="str">
            <v>R19</v>
          </cell>
          <cell r="D202">
            <v>0</v>
          </cell>
        </row>
        <row r="203">
          <cell r="B203">
            <v>200</v>
          </cell>
          <cell r="C203" t="str">
            <v>R20</v>
          </cell>
          <cell r="D203">
            <v>0</v>
          </cell>
        </row>
        <row r="204">
          <cell r="B204">
            <v>201</v>
          </cell>
          <cell r="C204" t="str">
            <v>R21</v>
          </cell>
          <cell r="D204">
            <v>0</v>
          </cell>
        </row>
        <row r="205">
          <cell r="B205">
            <v>202</v>
          </cell>
          <cell r="C205" t="str">
            <v>R22</v>
          </cell>
          <cell r="D205">
            <v>0</v>
          </cell>
        </row>
        <row r="206">
          <cell r="B206">
            <v>203</v>
          </cell>
          <cell r="C206" t="str">
            <v>R23</v>
          </cell>
          <cell r="D206">
            <v>0</v>
          </cell>
        </row>
        <row r="207">
          <cell r="B207">
            <v>204</v>
          </cell>
          <cell r="C207" t="str">
            <v>R24</v>
          </cell>
          <cell r="D207">
            <v>0</v>
          </cell>
        </row>
        <row r="208">
          <cell r="B208">
            <v>205</v>
          </cell>
          <cell r="C208" t="str">
            <v>R25</v>
          </cell>
          <cell r="D208">
            <v>0</v>
          </cell>
        </row>
        <row r="209">
          <cell r="B209">
            <v>206</v>
          </cell>
          <cell r="C209" t="str">
            <v>R26</v>
          </cell>
          <cell r="D209">
            <v>0</v>
          </cell>
        </row>
        <row r="210">
          <cell r="B210">
            <v>207</v>
          </cell>
          <cell r="C210" t="str">
            <v>R27</v>
          </cell>
          <cell r="D210">
            <v>0</v>
          </cell>
        </row>
        <row r="211">
          <cell r="B211">
            <v>208</v>
          </cell>
          <cell r="C211" t="str">
            <v>R28</v>
          </cell>
          <cell r="D211">
            <v>0</v>
          </cell>
        </row>
        <row r="212">
          <cell r="B212">
            <v>209</v>
          </cell>
          <cell r="C212" t="str">
            <v>R29</v>
          </cell>
          <cell r="D212">
            <v>0</v>
          </cell>
        </row>
        <row r="213">
          <cell r="B213">
            <v>210</v>
          </cell>
          <cell r="C213" t="str">
            <v>R30</v>
          </cell>
          <cell r="D213">
            <v>0</v>
          </cell>
        </row>
        <row r="214">
          <cell r="B214">
            <v>211</v>
          </cell>
          <cell r="C214" t="str">
            <v>R31</v>
          </cell>
          <cell r="D214">
            <v>0</v>
          </cell>
        </row>
        <row r="215">
          <cell r="B215">
            <v>212</v>
          </cell>
          <cell r="C215" t="str">
            <v>R32</v>
          </cell>
          <cell r="D215">
            <v>0</v>
          </cell>
        </row>
        <row r="216">
          <cell r="B216">
            <v>213</v>
          </cell>
          <cell r="C216" t="str">
            <v>R33</v>
          </cell>
          <cell r="D216">
            <v>0</v>
          </cell>
        </row>
        <row r="217">
          <cell r="B217">
            <v>214</v>
          </cell>
          <cell r="C217" t="str">
            <v>R34</v>
          </cell>
          <cell r="D217">
            <v>0</v>
          </cell>
        </row>
        <row r="218">
          <cell r="B218">
            <v>215</v>
          </cell>
          <cell r="C218" t="str">
            <v>R35</v>
          </cell>
          <cell r="D218">
            <v>0</v>
          </cell>
        </row>
        <row r="219">
          <cell r="B219">
            <v>216</v>
          </cell>
          <cell r="C219" t="str">
            <v>R36</v>
          </cell>
          <cell r="D219">
            <v>0</v>
          </cell>
        </row>
        <row r="220">
          <cell r="B220">
            <v>217</v>
          </cell>
          <cell r="C220" t="str">
            <v>R37</v>
          </cell>
          <cell r="D220">
            <v>0</v>
          </cell>
        </row>
        <row r="221">
          <cell r="B221">
            <v>218</v>
          </cell>
          <cell r="C221" t="str">
            <v>R38</v>
          </cell>
          <cell r="D221">
            <v>0</v>
          </cell>
        </row>
        <row r="222">
          <cell r="B222">
            <v>219</v>
          </cell>
          <cell r="C222" t="str">
            <v>R39</v>
          </cell>
          <cell r="D222">
            <v>0</v>
          </cell>
        </row>
        <row r="223">
          <cell r="B223">
            <v>220</v>
          </cell>
          <cell r="C223" t="str">
            <v>R40</v>
          </cell>
          <cell r="D223">
            <v>0</v>
          </cell>
        </row>
        <row r="224">
          <cell r="B224">
            <v>221</v>
          </cell>
          <cell r="C224" t="str">
            <v>R41</v>
          </cell>
          <cell r="D224">
            <v>0</v>
          </cell>
        </row>
        <row r="225">
          <cell r="B225">
            <v>222</v>
          </cell>
          <cell r="C225" t="str">
            <v>R42</v>
          </cell>
          <cell r="D225">
            <v>0</v>
          </cell>
        </row>
        <row r="226">
          <cell r="B226">
            <v>223</v>
          </cell>
          <cell r="C226" t="str">
            <v>R43</v>
          </cell>
          <cell r="D226">
            <v>0</v>
          </cell>
        </row>
        <row r="227">
          <cell r="B227">
            <v>224</v>
          </cell>
          <cell r="C227" t="str">
            <v>R44</v>
          </cell>
          <cell r="D227">
            <v>0</v>
          </cell>
        </row>
        <row r="228">
          <cell r="B228">
            <v>225</v>
          </cell>
          <cell r="C228" t="str">
            <v>R45</v>
          </cell>
          <cell r="D228">
            <v>0</v>
          </cell>
        </row>
        <row r="229">
          <cell r="B229">
            <v>226</v>
          </cell>
          <cell r="C229" t="str">
            <v>R46</v>
          </cell>
          <cell r="D229">
            <v>0</v>
          </cell>
        </row>
        <row r="230">
          <cell r="B230">
            <v>227</v>
          </cell>
          <cell r="C230" t="str">
            <v>R47</v>
          </cell>
          <cell r="D230">
            <v>0</v>
          </cell>
        </row>
        <row r="231">
          <cell r="B231">
            <v>228</v>
          </cell>
          <cell r="C231" t="str">
            <v>R48</v>
          </cell>
          <cell r="D231">
            <v>0</v>
          </cell>
        </row>
        <row r="232">
          <cell r="B232">
            <v>229</v>
          </cell>
          <cell r="C232" t="str">
            <v>R49</v>
          </cell>
          <cell r="D232">
            <v>0</v>
          </cell>
        </row>
        <row r="233">
          <cell r="B233">
            <v>230</v>
          </cell>
          <cell r="C233" t="str">
            <v>R50</v>
          </cell>
          <cell r="D233">
            <v>0</v>
          </cell>
        </row>
        <row r="234">
          <cell r="B234">
            <v>231</v>
          </cell>
          <cell r="C234" t="str">
            <v>R51</v>
          </cell>
          <cell r="D234">
            <v>0</v>
          </cell>
        </row>
        <row r="235">
          <cell r="B235">
            <v>232</v>
          </cell>
          <cell r="C235" t="str">
            <v>R52</v>
          </cell>
          <cell r="D235">
            <v>0</v>
          </cell>
        </row>
        <row r="236">
          <cell r="B236">
            <v>233</v>
          </cell>
          <cell r="C236" t="str">
            <v>R53</v>
          </cell>
          <cell r="D236">
            <v>0</v>
          </cell>
        </row>
        <row r="237">
          <cell r="B237">
            <v>234</v>
          </cell>
          <cell r="C237" t="str">
            <v>R54</v>
          </cell>
          <cell r="D237">
            <v>0</v>
          </cell>
        </row>
        <row r="238">
          <cell r="B238">
            <v>235</v>
          </cell>
          <cell r="C238" t="str">
            <v>R55</v>
          </cell>
          <cell r="D238">
            <v>0</v>
          </cell>
        </row>
        <row r="239">
          <cell r="B239">
            <v>236</v>
          </cell>
          <cell r="C239" t="str">
            <v>R56</v>
          </cell>
          <cell r="D239">
            <v>0</v>
          </cell>
        </row>
        <row r="240">
          <cell r="B240">
            <v>237</v>
          </cell>
          <cell r="C240" t="str">
            <v>R57</v>
          </cell>
          <cell r="D240">
            <v>0</v>
          </cell>
        </row>
        <row r="241">
          <cell r="B241">
            <v>238</v>
          </cell>
          <cell r="C241" t="str">
            <v>R58</v>
          </cell>
          <cell r="D241">
            <v>0</v>
          </cell>
        </row>
        <row r="242">
          <cell r="B242">
            <v>239</v>
          </cell>
          <cell r="C242" t="str">
            <v>R59</v>
          </cell>
          <cell r="D242">
            <v>0</v>
          </cell>
        </row>
        <row r="243">
          <cell r="B243">
            <v>240</v>
          </cell>
          <cell r="C243" t="str">
            <v>R60</v>
          </cell>
          <cell r="D243">
            <v>0</v>
          </cell>
        </row>
        <row r="244">
          <cell r="B244">
            <v>241</v>
          </cell>
          <cell r="C244" t="str">
            <v>R61</v>
          </cell>
          <cell r="D244">
            <v>0</v>
          </cell>
        </row>
        <row r="245">
          <cell r="B245">
            <v>242</v>
          </cell>
          <cell r="C245" t="str">
            <v>R62</v>
          </cell>
          <cell r="D245">
            <v>0</v>
          </cell>
        </row>
        <row r="246">
          <cell r="B246">
            <v>243</v>
          </cell>
          <cell r="C246" t="str">
            <v>R63</v>
          </cell>
          <cell r="D246">
            <v>0</v>
          </cell>
        </row>
        <row r="247">
          <cell r="B247">
            <v>244</v>
          </cell>
          <cell r="C247" t="str">
            <v>R64</v>
          </cell>
          <cell r="D247">
            <v>0</v>
          </cell>
        </row>
        <row r="248">
          <cell r="B248">
            <v>245</v>
          </cell>
          <cell r="C248" t="str">
            <v>R65</v>
          </cell>
          <cell r="D248">
            <v>0</v>
          </cell>
        </row>
        <row r="249">
          <cell r="B249">
            <v>246</v>
          </cell>
          <cell r="C249" t="str">
            <v>R66</v>
          </cell>
          <cell r="D249">
            <v>0</v>
          </cell>
        </row>
        <row r="250">
          <cell r="B250">
            <v>247</v>
          </cell>
          <cell r="C250" t="str">
            <v>R67</v>
          </cell>
          <cell r="D250">
            <v>136.39999999999998</v>
          </cell>
        </row>
        <row r="251">
          <cell r="B251">
            <v>248</v>
          </cell>
          <cell r="C251" t="str">
            <v>R68</v>
          </cell>
          <cell r="D251">
            <v>32</v>
          </cell>
        </row>
        <row r="252">
          <cell r="B252">
            <v>249</v>
          </cell>
          <cell r="C252" t="str">
            <v>R69</v>
          </cell>
          <cell r="D252">
            <v>0</v>
          </cell>
        </row>
        <row r="253">
          <cell r="B253">
            <v>250</v>
          </cell>
          <cell r="C253" t="str">
            <v>R70</v>
          </cell>
          <cell r="D253">
            <v>8</v>
          </cell>
        </row>
        <row r="254">
          <cell r="B254">
            <v>251</v>
          </cell>
          <cell r="C254" t="str">
            <v>R71</v>
          </cell>
          <cell r="D254">
            <v>0</v>
          </cell>
        </row>
        <row r="255">
          <cell r="B255">
            <v>252</v>
          </cell>
          <cell r="C255" t="str">
            <v>R72</v>
          </cell>
          <cell r="D255">
            <v>0</v>
          </cell>
        </row>
        <row r="256">
          <cell r="B256">
            <v>253</v>
          </cell>
          <cell r="C256" t="str">
            <v>R73</v>
          </cell>
          <cell r="D256">
            <v>4</v>
          </cell>
        </row>
        <row r="257">
          <cell r="B257">
            <v>254</v>
          </cell>
          <cell r="C257" t="str">
            <v>R74</v>
          </cell>
          <cell r="D257">
            <v>0</v>
          </cell>
        </row>
        <row r="258">
          <cell r="B258">
            <v>255</v>
          </cell>
          <cell r="C258" t="str">
            <v>R75</v>
          </cell>
          <cell r="D258">
            <v>0</v>
          </cell>
        </row>
        <row r="259">
          <cell r="B259">
            <v>256</v>
          </cell>
          <cell r="C259" t="str">
            <v>R76</v>
          </cell>
          <cell r="D259">
            <v>18</v>
          </cell>
        </row>
        <row r="260">
          <cell r="B260">
            <v>257</v>
          </cell>
          <cell r="C260" t="str">
            <v>R77</v>
          </cell>
          <cell r="D260">
            <v>0</v>
          </cell>
        </row>
        <row r="261">
          <cell r="B261">
            <v>258</v>
          </cell>
          <cell r="C261" t="str">
            <v>R78</v>
          </cell>
          <cell r="D261">
            <v>40</v>
          </cell>
        </row>
        <row r="262">
          <cell r="B262">
            <v>259</v>
          </cell>
          <cell r="C262" t="str">
            <v>R79</v>
          </cell>
          <cell r="D262">
            <v>0</v>
          </cell>
        </row>
        <row r="263">
          <cell r="B263">
            <v>260</v>
          </cell>
          <cell r="C263" t="str">
            <v>R80</v>
          </cell>
          <cell r="D263">
            <v>0</v>
          </cell>
        </row>
        <row r="264">
          <cell r="B264">
            <v>261</v>
          </cell>
          <cell r="C264" t="str">
            <v>R81</v>
          </cell>
          <cell r="D264">
            <v>0</v>
          </cell>
        </row>
        <row r="265">
          <cell r="B265">
            <v>262</v>
          </cell>
          <cell r="C265" t="str">
            <v>R82</v>
          </cell>
          <cell r="D265">
            <v>0</v>
          </cell>
        </row>
        <row r="266">
          <cell r="B266">
            <v>263</v>
          </cell>
          <cell r="C266" t="str">
            <v>R83</v>
          </cell>
          <cell r="D266">
            <v>0</v>
          </cell>
        </row>
        <row r="267">
          <cell r="B267">
            <v>264</v>
          </cell>
          <cell r="C267" t="str">
            <v>R84</v>
          </cell>
          <cell r="D267">
            <v>0</v>
          </cell>
        </row>
        <row r="268">
          <cell r="B268">
            <v>265</v>
          </cell>
          <cell r="C268" t="str">
            <v>R85</v>
          </cell>
          <cell r="D268">
            <v>0</v>
          </cell>
        </row>
        <row r="269">
          <cell r="B269">
            <v>266</v>
          </cell>
          <cell r="C269" t="str">
            <v>R86</v>
          </cell>
          <cell r="D269">
            <v>0</v>
          </cell>
        </row>
        <row r="270">
          <cell r="B270">
            <v>267</v>
          </cell>
          <cell r="C270" t="str">
            <v>R87</v>
          </cell>
          <cell r="D270">
            <v>0</v>
          </cell>
        </row>
        <row r="271">
          <cell r="B271">
            <v>268</v>
          </cell>
          <cell r="C271" t="str">
            <v>R88</v>
          </cell>
          <cell r="D271">
            <v>0</v>
          </cell>
        </row>
        <row r="272">
          <cell r="B272">
            <v>269</v>
          </cell>
          <cell r="C272" t="str">
            <v>R89</v>
          </cell>
          <cell r="D272">
            <v>0</v>
          </cell>
        </row>
        <row r="273">
          <cell r="B273">
            <v>270</v>
          </cell>
          <cell r="C273" t="str">
            <v>R90</v>
          </cell>
          <cell r="D273">
            <v>0</v>
          </cell>
        </row>
        <row r="274">
          <cell r="B274">
            <v>271</v>
          </cell>
          <cell r="C274" t="str">
            <v>R91</v>
          </cell>
          <cell r="D274">
            <v>0</v>
          </cell>
        </row>
        <row r="275">
          <cell r="B275">
            <v>272</v>
          </cell>
          <cell r="C275" t="str">
            <v>R92</v>
          </cell>
          <cell r="D275">
            <v>0</v>
          </cell>
        </row>
        <row r="276">
          <cell r="B276">
            <v>273</v>
          </cell>
          <cell r="C276" t="str">
            <v>R93</v>
          </cell>
          <cell r="D276">
            <v>0</v>
          </cell>
        </row>
        <row r="277">
          <cell r="B277">
            <v>274</v>
          </cell>
          <cell r="C277" t="str">
            <v>R94</v>
          </cell>
          <cell r="D277">
            <v>0</v>
          </cell>
        </row>
        <row r="278">
          <cell r="B278">
            <v>275</v>
          </cell>
          <cell r="C278" t="str">
            <v>R95</v>
          </cell>
          <cell r="D278">
            <v>0</v>
          </cell>
        </row>
        <row r="279">
          <cell r="B279">
            <v>276</v>
          </cell>
          <cell r="C279" t="str">
            <v>R96</v>
          </cell>
          <cell r="D279">
            <v>0</v>
          </cell>
        </row>
        <row r="280">
          <cell r="B280">
            <v>277</v>
          </cell>
          <cell r="C280" t="str">
            <v>R97</v>
          </cell>
          <cell r="D280">
            <v>0</v>
          </cell>
        </row>
        <row r="281">
          <cell r="B281">
            <v>278</v>
          </cell>
          <cell r="C281" t="str">
            <v>R98</v>
          </cell>
          <cell r="D281">
            <v>0</v>
          </cell>
        </row>
        <row r="282">
          <cell r="B282">
            <v>279</v>
          </cell>
          <cell r="C282" t="str">
            <v>R99</v>
          </cell>
          <cell r="D282">
            <v>0</v>
          </cell>
        </row>
        <row r="283">
          <cell r="B283">
            <v>280</v>
          </cell>
          <cell r="C283" t="str">
            <v>R100</v>
          </cell>
          <cell r="D283">
            <v>0</v>
          </cell>
        </row>
        <row r="284">
          <cell r="B284">
            <v>281</v>
          </cell>
          <cell r="C284" t="str">
            <v>R101</v>
          </cell>
          <cell r="D284">
            <v>0</v>
          </cell>
        </row>
        <row r="285">
          <cell r="B285">
            <v>282</v>
          </cell>
          <cell r="C285" t="str">
            <v>R102</v>
          </cell>
          <cell r="D285">
            <v>0</v>
          </cell>
        </row>
        <row r="286">
          <cell r="B286">
            <v>283</v>
          </cell>
          <cell r="C286" t="str">
            <v>R103</v>
          </cell>
          <cell r="D286">
            <v>0</v>
          </cell>
        </row>
        <row r="287">
          <cell r="B287">
            <v>284</v>
          </cell>
          <cell r="C287" t="str">
            <v>R104</v>
          </cell>
          <cell r="D287">
            <v>0</v>
          </cell>
        </row>
        <row r="288">
          <cell r="B288">
            <v>285</v>
          </cell>
          <cell r="C288" t="str">
            <v>R105</v>
          </cell>
          <cell r="D288">
            <v>0</v>
          </cell>
        </row>
        <row r="289">
          <cell r="B289">
            <v>286</v>
          </cell>
          <cell r="C289" t="str">
            <v>R106</v>
          </cell>
          <cell r="D289">
            <v>0</v>
          </cell>
        </row>
        <row r="290">
          <cell r="B290">
            <v>287</v>
          </cell>
          <cell r="C290" t="str">
            <v>R107</v>
          </cell>
          <cell r="D290">
            <v>0</v>
          </cell>
        </row>
        <row r="291">
          <cell r="B291">
            <v>288</v>
          </cell>
          <cell r="C291" t="str">
            <v>R108</v>
          </cell>
          <cell r="D291">
            <v>0</v>
          </cell>
        </row>
        <row r="292">
          <cell r="B292">
            <v>289</v>
          </cell>
          <cell r="C292" t="str">
            <v>R109</v>
          </cell>
          <cell r="D292">
            <v>0</v>
          </cell>
        </row>
        <row r="293">
          <cell r="B293">
            <v>290</v>
          </cell>
          <cell r="C293" t="str">
            <v>R110</v>
          </cell>
          <cell r="D293">
            <v>136.39999999999998</v>
          </cell>
        </row>
        <row r="294">
          <cell r="B294">
            <v>291</v>
          </cell>
          <cell r="C294" t="str">
            <v>R111</v>
          </cell>
          <cell r="D294">
            <v>0</v>
          </cell>
        </row>
        <row r="295">
          <cell r="B295">
            <v>292</v>
          </cell>
          <cell r="C295" t="str">
            <v>R112</v>
          </cell>
          <cell r="D295">
            <v>0</v>
          </cell>
        </row>
        <row r="296">
          <cell r="B296">
            <v>293</v>
          </cell>
          <cell r="C296" t="str">
            <v>R113</v>
          </cell>
          <cell r="D296">
            <v>0</v>
          </cell>
        </row>
        <row r="297">
          <cell r="B297">
            <v>294</v>
          </cell>
          <cell r="C297" t="str">
            <v>R114</v>
          </cell>
          <cell r="D297">
            <v>0</v>
          </cell>
        </row>
        <row r="298">
          <cell r="B298">
            <v>295</v>
          </cell>
          <cell r="C298" t="str">
            <v>R115</v>
          </cell>
          <cell r="D298">
            <v>0</v>
          </cell>
        </row>
        <row r="299">
          <cell r="B299">
            <v>296</v>
          </cell>
          <cell r="C299" t="str">
            <v>R116</v>
          </cell>
          <cell r="D299">
            <v>0</v>
          </cell>
        </row>
        <row r="300">
          <cell r="B300">
            <v>297</v>
          </cell>
          <cell r="C300" t="str">
            <v>R117</v>
          </cell>
          <cell r="D300">
            <v>0</v>
          </cell>
        </row>
        <row r="301">
          <cell r="B301">
            <v>298</v>
          </cell>
          <cell r="C301" t="str">
            <v>R118</v>
          </cell>
          <cell r="D301">
            <v>0</v>
          </cell>
        </row>
        <row r="302">
          <cell r="B302">
            <v>299</v>
          </cell>
          <cell r="C302" t="str">
            <v>R119</v>
          </cell>
          <cell r="D302">
            <v>0</v>
          </cell>
        </row>
        <row r="303">
          <cell r="B303">
            <v>300</v>
          </cell>
          <cell r="C303" t="str">
            <v>R120</v>
          </cell>
          <cell r="D303">
            <v>0</v>
          </cell>
        </row>
        <row r="304">
          <cell r="B304">
            <v>301</v>
          </cell>
          <cell r="C304" t="str">
            <v>R121</v>
          </cell>
          <cell r="D304">
            <v>0</v>
          </cell>
        </row>
        <row r="305">
          <cell r="B305">
            <v>302</v>
          </cell>
          <cell r="C305" t="str">
            <v>R122</v>
          </cell>
          <cell r="D305">
            <v>0</v>
          </cell>
        </row>
        <row r="306">
          <cell r="B306">
            <v>303</v>
          </cell>
          <cell r="C306" t="str">
            <v>R123</v>
          </cell>
          <cell r="D306">
            <v>0</v>
          </cell>
        </row>
        <row r="307">
          <cell r="B307">
            <v>304</v>
          </cell>
          <cell r="C307" t="str">
            <v>R124</v>
          </cell>
          <cell r="D307">
            <v>0</v>
          </cell>
        </row>
        <row r="308">
          <cell r="B308">
            <v>305</v>
          </cell>
          <cell r="C308" t="str">
            <v>R125</v>
          </cell>
          <cell r="D308">
            <v>0</v>
          </cell>
        </row>
        <row r="309">
          <cell r="B309">
            <v>306</v>
          </cell>
          <cell r="C309" t="str">
            <v>R126</v>
          </cell>
          <cell r="D309">
            <v>0</v>
          </cell>
        </row>
        <row r="310">
          <cell r="B310">
            <v>307</v>
          </cell>
          <cell r="C310" t="str">
            <v>R127</v>
          </cell>
          <cell r="D310">
            <v>0</v>
          </cell>
        </row>
        <row r="311">
          <cell r="B311">
            <v>308</v>
          </cell>
          <cell r="C311" t="str">
            <v>R128</v>
          </cell>
          <cell r="D311">
            <v>0</v>
          </cell>
        </row>
        <row r="312">
          <cell r="B312">
            <v>309</v>
          </cell>
          <cell r="C312" t="str">
            <v>R129</v>
          </cell>
          <cell r="D312">
            <v>0</v>
          </cell>
        </row>
        <row r="313">
          <cell r="B313">
            <v>310</v>
          </cell>
          <cell r="C313" t="str">
            <v>R130</v>
          </cell>
          <cell r="D313">
            <v>0</v>
          </cell>
        </row>
        <row r="314">
          <cell r="B314">
            <v>311</v>
          </cell>
          <cell r="C314" t="str">
            <v>R131</v>
          </cell>
          <cell r="D314">
            <v>0</v>
          </cell>
        </row>
        <row r="315">
          <cell r="B315">
            <v>312</v>
          </cell>
          <cell r="C315" t="str">
            <v>R132</v>
          </cell>
          <cell r="D315">
            <v>0</v>
          </cell>
        </row>
        <row r="316">
          <cell r="B316">
            <v>313</v>
          </cell>
          <cell r="C316" t="str">
            <v>R133</v>
          </cell>
          <cell r="D316">
            <v>0</v>
          </cell>
        </row>
        <row r="317">
          <cell r="B317">
            <v>314</v>
          </cell>
          <cell r="C317" t="str">
            <v>R134</v>
          </cell>
          <cell r="D317">
            <v>0</v>
          </cell>
        </row>
        <row r="318">
          <cell r="B318">
            <v>315</v>
          </cell>
          <cell r="C318" t="str">
            <v>R135</v>
          </cell>
          <cell r="D318">
            <v>0</v>
          </cell>
        </row>
        <row r="319">
          <cell r="B319">
            <v>316</v>
          </cell>
          <cell r="C319" t="str">
            <v>R136</v>
          </cell>
          <cell r="D319">
            <v>0</v>
          </cell>
        </row>
        <row r="320">
          <cell r="B320">
            <v>317</v>
          </cell>
          <cell r="C320" t="str">
            <v>R137</v>
          </cell>
          <cell r="D320">
            <v>0</v>
          </cell>
        </row>
        <row r="321">
          <cell r="B321">
            <v>318</v>
          </cell>
          <cell r="C321" t="str">
            <v>R138</v>
          </cell>
          <cell r="D321">
            <v>0</v>
          </cell>
        </row>
        <row r="322">
          <cell r="B322">
            <v>319</v>
          </cell>
          <cell r="C322" t="str">
            <v>R139</v>
          </cell>
          <cell r="D322">
            <v>0</v>
          </cell>
        </row>
        <row r="323">
          <cell r="B323">
            <v>320</v>
          </cell>
          <cell r="C323" t="str">
            <v>R140</v>
          </cell>
          <cell r="D323">
            <v>0</v>
          </cell>
        </row>
        <row r="324">
          <cell r="B324">
            <v>321</v>
          </cell>
          <cell r="C324" t="str">
            <v>Y1</v>
          </cell>
          <cell r="D324">
            <v>0</v>
          </cell>
        </row>
        <row r="325">
          <cell r="B325">
            <v>322</v>
          </cell>
          <cell r="C325" t="str">
            <v>Y2</v>
          </cell>
          <cell r="D325">
            <v>0</v>
          </cell>
        </row>
        <row r="326">
          <cell r="B326">
            <v>323</v>
          </cell>
          <cell r="C326" t="str">
            <v>Y3</v>
          </cell>
          <cell r="D326">
            <v>0</v>
          </cell>
        </row>
        <row r="327">
          <cell r="B327">
            <v>324</v>
          </cell>
          <cell r="C327" t="str">
            <v>Y4</v>
          </cell>
          <cell r="D327">
            <v>0</v>
          </cell>
        </row>
        <row r="328">
          <cell r="B328">
            <v>325</v>
          </cell>
          <cell r="C328" t="str">
            <v>Y5</v>
          </cell>
          <cell r="D328">
            <v>0</v>
          </cell>
        </row>
        <row r="329">
          <cell r="B329">
            <v>326</v>
          </cell>
          <cell r="C329" t="str">
            <v>New1</v>
          </cell>
          <cell r="D329">
            <v>0</v>
          </cell>
        </row>
        <row r="330">
          <cell r="B330">
            <v>327</v>
          </cell>
          <cell r="C330" t="str">
            <v>New2</v>
          </cell>
          <cell r="D330">
            <v>0</v>
          </cell>
        </row>
        <row r="331">
          <cell r="B331">
            <v>328</v>
          </cell>
          <cell r="C331" t="str">
            <v>New3</v>
          </cell>
          <cell r="D331">
            <v>0</v>
          </cell>
        </row>
        <row r="332">
          <cell r="B332">
            <v>329</v>
          </cell>
          <cell r="C332" t="str">
            <v>New4</v>
          </cell>
          <cell r="D332">
            <v>0</v>
          </cell>
        </row>
        <row r="333">
          <cell r="B333">
            <v>330</v>
          </cell>
          <cell r="C333" t="str">
            <v>New5</v>
          </cell>
          <cell r="D333">
            <v>0</v>
          </cell>
        </row>
        <row r="334">
          <cell r="B334">
            <v>331</v>
          </cell>
          <cell r="C334" t="str">
            <v>New6</v>
          </cell>
          <cell r="D334">
            <v>0</v>
          </cell>
        </row>
        <row r="335">
          <cell r="B335">
            <v>332</v>
          </cell>
          <cell r="C335" t="str">
            <v>New7</v>
          </cell>
          <cell r="D335">
            <v>0</v>
          </cell>
        </row>
        <row r="336">
          <cell r="B336">
            <v>333</v>
          </cell>
          <cell r="C336" t="str">
            <v>New8</v>
          </cell>
          <cell r="D336">
            <v>0</v>
          </cell>
        </row>
        <row r="337">
          <cell r="B337">
            <v>334</v>
          </cell>
          <cell r="C337" t="str">
            <v>New9</v>
          </cell>
          <cell r="D337">
            <v>0</v>
          </cell>
        </row>
        <row r="338">
          <cell r="B338">
            <v>335</v>
          </cell>
          <cell r="C338" t="str">
            <v>New10</v>
          </cell>
          <cell r="D338">
            <v>0</v>
          </cell>
        </row>
        <row r="339">
          <cell r="B339">
            <v>336</v>
          </cell>
          <cell r="C339" t="str">
            <v>New11</v>
          </cell>
          <cell r="D339">
            <v>0</v>
          </cell>
        </row>
        <row r="340">
          <cell r="B340">
            <v>337</v>
          </cell>
          <cell r="C340" t="str">
            <v>New12</v>
          </cell>
          <cell r="D340">
            <v>0</v>
          </cell>
        </row>
        <row r="341">
          <cell r="B341">
            <v>338</v>
          </cell>
          <cell r="C341" t="str">
            <v>New13</v>
          </cell>
          <cell r="D341">
            <v>0</v>
          </cell>
        </row>
        <row r="342">
          <cell r="B342">
            <v>339</v>
          </cell>
          <cell r="C342" t="str">
            <v>New14</v>
          </cell>
          <cell r="D342">
            <v>0</v>
          </cell>
        </row>
        <row r="343">
          <cell r="B343">
            <v>340</v>
          </cell>
          <cell r="C343" t="str">
            <v>New15</v>
          </cell>
          <cell r="D343">
            <v>0</v>
          </cell>
        </row>
        <row r="344">
          <cell r="B344">
            <v>341</v>
          </cell>
          <cell r="C344" t="str">
            <v>New16</v>
          </cell>
          <cell r="D344">
            <v>0</v>
          </cell>
        </row>
        <row r="345">
          <cell r="B345">
            <v>342</v>
          </cell>
          <cell r="C345" t="str">
            <v>New17</v>
          </cell>
          <cell r="D345">
            <v>0</v>
          </cell>
        </row>
        <row r="346">
          <cell r="B346">
            <v>343</v>
          </cell>
          <cell r="C346" t="str">
            <v>New18</v>
          </cell>
          <cell r="D346">
            <v>0</v>
          </cell>
        </row>
        <row r="347">
          <cell r="B347">
            <v>344</v>
          </cell>
          <cell r="C347" t="str">
            <v>New19</v>
          </cell>
          <cell r="D347">
            <v>0</v>
          </cell>
        </row>
        <row r="348">
          <cell r="B348">
            <v>345</v>
          </cell>
          <cell r="C348" t="str">
            <v>New20</v>
          </cell>
          <cell r="D348">
            <v>0</v>
          </cell>
        </row>
        <row r="349">
          <cell r="B349">
            <v>346</v>
          </cell>
          <cell r="C349" t="str">
            <v>New21</v>
          </cell>
          <cell r="D349">
            <v>0</v>
          </cell>
        </row>
        <row r="350">
          <cell r="B350">
            <v>347</v>
          </cell>
          <cell r="C350" t="str">
            <v>New22</v>
          </cell>
          <cell r="D350">
            <v>0</v>
          </cell>
        </row>
        <row r="351">
          <cell r="B351">
            <v>348</v>
          </cell>
          <cell r="C351" t="str">
            <v>New23</v>
          </cell>
          <cell r="D351">
            <v>0</v>
          </cell>
        </row>
        <row r="352">
          <cell r="B352">
            <v>349</v>
          </cell>
          <cell r="C352" t="str">
            <v>New24</v>
          </cell>
          <cell r="D352">
            <v>0</v>
          </cell>
        </row>
        <row r="353">
          <cell r="B353">
            <v>350</v>
          </cell>
          <cell r="C353" t="str">
            <v>New25</v>
          </cell>
          <cell r="D353">
            <v>0</v>
          </cell>
        </row>
        <row r="354">
          <cell r="B354">
            <v>351</v>
          </cell>
          <cell r="C354" t="str">
            <v>New26</v>
          </cell>
          <cell r="D354">
            <v>0</v>
          </cell>
        </row>
        <row r="355">
          <cell r="B355">
            <v>352</v>
          </cell>
          <cell r="C355" t="str">
            <v>New27</v>
          </cell>
          <cell r="D355">
            <v>0</v>
          </cell>
        </row>
        <row r="356">
          <cell r="B356">
            <v>353</v>
          </cell>
          <cell r="C356" t="str">
            <v>New28</v>
          </cell>
          <cell r="D356">
            <v>0</v>
          </cell>
        </row>
        <row r="357">
          <cell r="B357">
            <v>354</v>
          </cell>
          <cell r="C357" t="str">
            <v>New29</v>
          </cell>
          <cell r="D357">
            <v>0</v>
          </cell>
        </row>
        <row r="358">
          <cell r="B358">
            <v>355</v>
          </cell>
          <cell r="C358" t="str">
            <v>New30</v>
          </cell>
          <cell r="D358">
            <v>0</v>
          </cell>
        </row>
        <row r="359">
          <cell r="B359">
            <v>356</v>
          </cell>
          <cell r="C359" t="str">
            <v>New31</v>
          </cell>
          <cell r="D359">
            <v>0</v>
          </cell>
        </row>
        <row r="360">
          <cell r="B360">
            <v>357</v>
          </cell>
          <cell r="C360" t="str">
            <v>New32</v>
          </cell>
          <cell r="D360">
            <v>0</v>
          </cell>
        </row>
        <row r="361">
          <cell r="B361">
            <v>358</v>
          </cell>
          <cell r="C361" t="str">
            <v>New33</v>
          </cell>
          <cell r="D361">
            <v>0</v>
          </cell>
        </row>
        <row r="362">
          <cell r="B362">
            <v>359</v>
          </cell>
          <cell r="C362" t="str">
            <v>New34</v>
          </cell>
          <cell r="D362">
            <v>0</v>
          </cell>
        </row>
        <row r="363">
          <cell r="B363">
            <v>360</v>
          </cell>
          <cell r="C363" t="str">
            <v>New35</v>
          </cell>
          <cell r="D363">
            <v>0</v>
          </cell>
        </row>
        <row r="364">
          <cell r="B364">
            <v>361</v>
          </cell>
          <cell r="C364" t="str">
            <v>New36</v>
          </cell>
          <cell r="D364">
            <v>0</v>
          </cell>
        </row>
        <row r="365">
          <cell r="B365">
            <v>362</v>
          </cell>
          <cell r="C365" t="str">
            <v>New37</v>
          </cell>
          <cell r="D365">
            <v>0</v>
          </cell>
        </row>
        <row r="366">
          <cell r="B366">
            <v>363</v>
          </cell>
          <cell r="C366" t="str">
            <v>New38</v>
          </cell>
          <cell r="D366">
            <v>0</v>
          </cell>
        </row>
        <row r="367">
          <cell r="B367">
            <v>364</v>
          </cell>
          <cell r="C367" t="str">
            <v>New39</v>
          </cell>
          <cell r="D367">
            <v>0</v>
          </cell>
        </row>
        <row r="368">
          <cell r="B368">
            <v>365</v>
          </cell>
          <cell r="C368" t="str">
            <v>New40</v>
          </cell>
          <cell r="D368">
            <v>0</v>
          </cell>
        </row>
        <row r="369">
          <cell r="B369">
            <v>366</v>
          </cell>
          <cell r="C369" t="str">
            <v>New41</v>
          </cell>
          <cell r="D369">
            <v>0</v>
          </cell>
        </row>
        <row r="370">
          <cell r="B370">
            <v>367</v>
          </cell>
          <cell r="C370" t="str">
            <v>New42</v>
          </cell>
          <cell r="D370">
            <v>0</v>
          </cell>
        </row>
        <row r="371">
          <cell r="B371">
            <v>368</v>
          </cell>
          <cell r="C371" t="str">
            <v>New43</v>
          </cell>
          <cell r="D371">
            <v>0</v>
          </cell>
        </row>
        <row r="372">
          <cell r="B372">
            <v>369</v>
          </cell>
          <cell r="C372" t="str">
            <v>New44</v>
          </cell>
          <cell r="D372">
            <v>0</v>
          </cell>
        </row>
        <row r="373">
          <cell r="B373">
            <v>370</v>
          </cell>
          <cell r="C373" t="str">
            <v>New45</v>
          </cell>
          <cell r="D373">
            <v>0</v>
          </cell>
        </row>
        <row r="374">
          <cell r="B374">
            <v>371</v>
          </cell>
          <cell r="C374" t="str">
            <v>New46</v>
          </cell>
          <cell r="D374">
            <v>0</v>
          </cell>
        </row>
        <row r="375">
          <cell r="B375">
            <v>372</v>
          </cell>
          <cell r="C375" t="str">
            <v>New47</v>
          </cell>
          <cell r="D375">
            <v>0</v>
          </cell>
        </row>
        <row r="376">
          <cell r="B376">
            <v>373</v>
          </cell>
          <cell r="C376" t="str">
            <v>New48</v>
          </cell>
          <cell r="D376">
            <v>0</v>
          </cell>
        </row>
        <row r="377">
          <cell r="B377">
            <v>374</v>
          </cell>
          <cell r="C377" t="str">
            <v>New49</v>
          </cell>
          <cell r="D377">
            <v>0</v>
          </cell>
        </row>
        <row r="378">
          <cell r="B378">
            <v>375</v>
          </cell>
          <cell r="C378" t="str">
            <v>New50</v>
          </cell>
          <cell r="D378">
            <v>0</v>
          </cell>
        </row>
        <row r="379">
          <cell r="B379">
            <v>376</v>
          </cell>
          <cell r="C379" t="str">
            <v>New51</v>
          </cell>
          <cell r="D379">
            <v>0</v>
          </cell>
        </row>
        <row r="380">
          <cell r="B380">
            <v>377</v>
          </cell>
          <cell r="C380" t="str">
            <v>New52</v>
          </cell>
          <cell r="D380">
            <v>0</v>
          </cell>
        </row>
        <row r="381">
          <cell r="B381">
            <v>378</v>
          </cell>
          <cell r="C381" t="str">
            <v>New53</v>
          </cell>
          <cell r="D381">
            <v>0</v>
          </cell>
        </row>
        <row r="382">
          <cell r="B382">
            <v>379</v>
          </cell>
          <cell r="C382" t="str">
            <v>New54</v>
          </cell>
          <cell r="D382">
            <v>0</v>
          </cell>
        </row>
        <row r="383">
          <cell r="B383">
            <v>380</v>
          </cell>
          <cell r="C383" t="str">
            <v>New55</v>
          </cell>
          <cell r="D383">
            <v>0</v>
          </cell>
        </row>
        <row r="384">
          <cell r="B384">
            <v>381</v>
          </cell>
          <cell r="C384" t="str">
            <v>New56</v>
          </cell>
          <cell r="D384">
            <v>0</v>
          </cell>
        </row>
        <row r="385">
          <cell r="B385">
            <v>382</v>
          </cell>
          <cell r="C385" t="str">
            <v>New57</v>
          </cell>
          <cell r="D385">
            <v>0</v>
          </cell>
        </row>
        <row r="386">
          <cell r="B386">
            <v>383</v>
          </cell>
          <cell r="C386" t="str">
            <v>New58</v>
          </cell>
          <cell r="D386">
            <v>0</v>
          </cell>
        </row>
        <row r="387">
          <cell r="B387">
            <v>384</v>
          </cell>
          <cell r="C387" t="str">
            <v>New59</v>
          </cell>
          <cell r="D387">
            <v>0</v>
          </cell>
        </row>
        <row r="388">
          <cell r="B388">
            <v>385</v>
          </cell>
          <cell r="C388" t="str">
            <v>New60</v>
          </cell>
          <cell r="D388">
            <v>0</v>
          </cell>
        </row>
        <row r="389">
          <cell r="B389">
            <v>386</v>
          </cell>
          <cell r="C389" t="str">
            <v>New61</v>
          </cell>
          <cell r="D389">
            <v>0</v>
          </cell>
        </row>
        <row r="390">
          <cell r="B390">
            <v>387</v>
          </cell>
          <cell r="C390" t="str">
            <v>New62</v>
          </cell>
          <cell r="D390">
            <v>0</v>
          </cell>
        </row>
        <row r="391">
          <cell r="B391">
            <v>388</v>
          </cell>
          <cell r="C391" t="str">
            <v>New63</v>
          </cell>
          <cell r="D391">
            <v>0</v>
          </cell>
        </row>
        <row r="392">
          <cell r="B392">
            <v>389</v>
          </cell>
          <cell r="C392" t="str">
            <v>New64</v>
          </cell>
          <cell r="D392">
            <v>0</v>
          </cell>
        </row>
        <row r="393">
          <cell r="B393">
            <v>390</v>
          </cell>
          <cell r="C393" t="str">
            <v>New65</v>
          </cell>
          <cell r="D393">
            <v>0</v>
          </cell>
        </row>
        <row r="394">
          <cell r="B394">
            <v>391</v>
          </cell>
          <cell r="C394" t="str">
            <v>New66</v>
          </cell>
          <cell r="D394">
            <v>0</v>
          </cell>
        </row>
        <row r="395">
          <cell r="B395">
            <v>392</v>
          </cell>
          <cell r="C395" t="str">
            <v>New67</v>
          </cell>
          <cell r="D395">
            <v>0</v>
          </cell>
        </row>
        <row r="396">
          <cell r="B396">
            <v>393</v>
          </cell>
          <cell r="C396" t="str">
            <v>New68</v>
          </cell>
          <cell r="D396">
            <v>0</v>
          </cell>
        </row>
        <row r="397">
          <cell r="B397">
            <v>394</v>
          </cell>
          <cell r="C397" t="str">
            <v>New69</v>
          </cell>
          <cell r="D397">
            <v>0</v>
          </cell>
        </row>
        <row r="398">
          <cell r="B398">
            <v>395</v>
          </cell>
          <cell r="C398" t="str">
            <v>New70</v>
          </cell>
          <cell r="D398">
            <v>0</v>
          </cell>
        </row>
        <row r="399">
          <cell r="B399">
            <v>396</v>
          </cell>
          <cell r="C399" t="str">
            <v>New71</v>
          </cell>
          <cell r="D399">
            <v>0</v>
          </cell>
        </row>
        <row r="400">
          <cell r="B400">
            <v>397</v>
          </cell>
          <cell r="C400" t="str">
            <v>New72</v>
          </cell>
          <cell r="D400">
            <v>0</v>
          </cell>
        </row>
        <row r="401">
          <cell r="B401">
            <v>398</v>
          </cell>
          <cell r="C401" t="str">
            <v>New73</v>
          </cell>
          <cell r="D401">
            <v>0</v>
          </cell>
        </row>
        <row r="402">
          <cell r="B402">
            <v>399</v>
          </cell>
          <cell r="C402" t="str">
            <v>New74</v>
          </cell>
          <cell r="D402">
            <v>0</v>
          </cell>
        </row>
        <row r="403">
          <cell r="B403">
            <v>400</v>
          </cell>
          <cell r="C403" t="str">
            <v>New75</v>
          </cell>
          <cell r="D403">
            <v>0</v>
          </cell>
        </row>
        <row r="404">
          <cell r="B404">
            <v>401</v>
          </cell>
          <cell r="C404" t="str">
            <v>New76</v>
          </cell>
          <cell r="D404">
            <v>0</v>
          </cell>
        </row>
        <row r="405">
          <cell r="B405">
            <v>402</v>
          </cell>
          <cell r="C405" t="str">
            <v>New77</v>
          </cell>
          <cell r="D405">
            <v>0</v>
          </cell>
        </row>
        <row r="406">
          <cell r="B406">
            <v>403</v>
          </cell>
          <cell r="C406" t="str">
            <v>New78</v>
          </cell>
          <cell r="D406">
            <v>0</v>
          </cell>
        </row>
        <row r="407">
          <cell r="B407">
            <v>404</v>
          </cell>
          <cell r="C407" t="str">
            <v>New79</v>
          </cell>
          <cell r="D407">
            <v>0</v>
          </cell>
        </row>
        <row r="408">
          <cell r="B408">
            <v>405</v>
          </cell>
          <cell r="C408" t="str">
            <v>New80</v>
          </cell>
          <cell r="D408">
            <v>0</v>
          </cell>
        </row>
        <row r="409">
          <cell r="B409">
            <v>406</v>
          </cell>
          <cell r="C409" t="str">
            <v>New81</v>
          </cell>
          <cell r="D409">
            <v>0</v>
          </cell>
        </row>
        <row r="410">
          <cell r="B410">
            <v>407</v>
          </cell>
          <cell r="C410" t="str">
            <v>New82</v>
          </cell>
          <cell r="D410">
            <v>0</v>
          </cell>
        </row>
        <row r="411">
          <cell r="B411">
            <v>408</v>
          </cell>
          <cell r="C411" t="str">
            <v>New83</v>
          </cell>
          <cell r="D411">
            <v>0</v>
          </cell>
        </row>
        <row r="412">
          <cell r="B412">
            <v>409</v>
          </cell>
          <cell r="C412" t="str">
            <v>New84</v>
          </cell>
          <cell r="D412">
            <v>0</v>
          </cell>
        </row>
        <row r="413">
          <cell r="B413">
            <v>410</v>
          </cell>
          <cell r="C413" t="str">
            <v>New85</v>
          </cell>
          <cell r="D413">
            <v>0</v>
          </cell>
        </row>
        <row r="414">
          <cell r="B414">
            <v>411</v>
          </cell>
          <cell r="C414" t="str">
            <v>New86</v>
          </cell>
          <cell r="D414">
            <v>0</v>
          </cell>
        </row>
        <row r="415">
          <cell r="B415">
            <v>412</v>
          </cell>
          <cell r="C415" t="str">
            <v>New87</v>
          </cell>
          <cell r="D415">
            <v>0</v>
          </cell>
        </row>
        <row r="416">
          <cell r="B416">
            <v>413</v>
          </cell>
          <cell r="C416" t="str">
            <v>New88</v>
          </cell>
          <cell r="D416">
            <v>0</v>
          </cell>
        </row>
        <row r="417">
          <cell r="B417">
            <v>414</v>
          </cell>
          <cell r="C417" t="str">
            <v>New89</v>
          </cell>
          <cell r="D417">
            <v>0</v>
          </cell>
        </row>
        <row r="418">
          <cell r="B418">
            <v>415</v>
          </cell>
          <cell r="C418" t="str">
            <v>New90</v>
          </cell>
          <cell r="D418">
            <v>0</v>
          </cell>
        </row>
        <row r="419">
          <cell r="B419">
            <v>416</v>
          </cell>
          <cell r="C419" t="str">
            <v>New91</v>
          </cell>
          <cell r="D419">
            <v>0</v>
          </cell>
        </row>
        <row r="420">
          <cell r="B420">
            <v>417</v>
          </cell>
          <cell r="C420" t="str">
            <v>New92</v>
          </cell>
          <cell r="D420">
            <v>0</v>
          </cell>
        </row>
        <row r="421">
          <cell r="B421">
            <v>418</v>
          </cell>
          <cell r="C421" t="str">
            <v>New93</v>
          </cell>
          <cell r="D421">
            <v>0</v>
          </cell>
        </row>
        <row r="422">
          <cell r="B422">
            <v>419</v>
          </cell>
          <cell r="C422" t="str">
            <v>New94</v>
          </cell>
          <cell r="D422">
            <v>0</v>
          </cell>
        </row>
        <row r="423">
          <cell r="B423">
            <v>420</v>
          </cell>
          <cell r="C423" t="str">
            <v>New95</v>
          </cell>
          <cell r="D423">
            <v>0</v>
          </cell>
        </row>
        <row r="424">
          <cell r="B424">
            <v>421</v>
          </cell>
          <cell r="C424" t="str">
            <v>New96</v>
          </cell>
          <cell r="D424">
            <v>0</v>
          </cell>
        </row>
        <row r="425">
          <cell r="B425">
            <v>422</v>
          </cell>
          <cell r="C425" t="str">
            <v>New97</v>
          </cell>
          <cell r="D425">
            <v>0</v>
          </cell>
        </row>
        <row r="426">
          <cell r="B426">
            <v>423</v>
          </cell>
          <cell r="C426" t="str">
            <v>New98</v>
          </cell>
          <cell r="D426">
            <v>0</v>
          </cell>
        </row>
        <row r="427">
          <cell r="B427">
            <v>424</v>
          </cell>
          <cell r="C427" t="str">
            <v>New99</v>
          </cell>
          <cell r="D427">
            <v>0</v>
          </cell>
        </row>
        <row r="428">
          <cell r="B428">
            <v>425</v>
          </cell>
          <cell r="C428" t="str">
            <v>New100</v>
          </cell>
          <cell r="D428">
            <v>0</v>
          </cell>
        </row>
      </sheetData>
      <sheetData sheetId="10"/>
      <sheetData sheetId="11"/>
      <sheetData sheetId="12"/>
      <sheetData sheetId="13" refreshError="1"/>
      <sheetData sheetId="14"/>
      <sheetData sheetId="15"/>
      <sheetData sheetId="16"/>
      <sheetData sheetId="17"/>
      <sheetData sheetId="18"/>
      <sheetData sheetId="19"/>
      <sheetData sheetId="20">
        <row r="4">
          <cell r="B4">
            <v>1</v>
          </cell>
        </row>
      </sheetData>
      <sheetData sheetId="21"/>
      <sheetData sheetId="22"/>
      <sheetData sheetId="23"/>
      <sheetData sheetId="24"/>
      <sheetData sheetId="25"/>
      <sheetData sheetId="26"/>
      <sheetData sheetId="27"/>
      <sheetData sheetId="28"/>
      <sheetData sheetId="29"/>
      <sheetData sheetId="30"/>
      <sheetData sheetId="31">
        <row r="4">
          <cell r="B4">
            <v>1</v>
          </cell>
        </row>
      </sheetData>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
      <sheetName val="Rates"/>
      <sheetName val="Summary Sheet."/>
      <sheetName val="Variations."/>
      <sheetName val="Input document"/>
      <sheetName val="EstimatedLabour"/>
      <sheetName val="Estimate_Sheet_"/>
      <sheetName val="Summary_Sheet_"/>
      <sheetName val="Variations_"/>
      <sheetName val="Input_document"/>
      <sheetName val="Estimate_Sheet_1"/>
      <sheetName val="Summary_Sheet_1"/>
      <sheetName val="Variations_1"/>
      <sheetName val="Input_document1"/>
      <sheetName val="Estimate_Sheet_2"/>
      <sheetName val="Summary_Sheet_2"/>
      <sheetName val="Variations_2"/>
      <sheetName val="Input_document2"/>
      <sheetName val="Estimate_Sheet_3"/>
      <sheetName val="Summary_Sheet_3"/>
      <sheetName val="Variations_3"/>
      <sheetName val="Input_document3"/>
      <sheetName val="Estimate_Sheet_4"/>
      <sheetName val="Summary_Sheet_4"/>
      <sheetName val="Variations_4"/>
      <sheetName val="Input_document4"/>
      <sheetName val="Estimate_Sheet_5"/>
      <sheetName val="Summary_Sheet_5"/>
      <sheetName val="Variations_5"/>
      <sheetName val="Input_document5"/>
      <sheetName val="Estimate_Sheet_6"/>
      <sheetName val="Summary_Sheet_6"/>
      <sheetName val="Variations_6"/>
      <sheetName val="Input_document6"/>
      <sheetName val="Summary of Tasks-M"/>
      <sheetName val="Summary of Tasks-E"/>
      <sheetName val="Summary of Tasks-A"/>
      <sheetName val="WK-Ending- xx.xx.xx"/>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2)"/>
      <sheetName val="Labels"/>
      <sheetName val="Lapp"/>
      <sheetName val="BMS_cables"/>
      <sheetName val="Sheet1"/>
      <sheetName val="BMS_Material"/>
      <sheetName val="BMS_Schem"/>
      <sheetName val="MCPs_Power_Rates"/>
      <sheetName val="BMS_Rates"/>
      <sheetName val="MCPs_Power"/>
      <sheetName val="BMS_Estimate"/>
      <sheetName val="Lighting_Panels"/>
      <sheetName val="BMS9_BOQ"/>
      <sheetName val="ML_Sum"/>
      <sheetName val="Int_Qu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ies"/>
      <sheetName val="Check"/>
      <sheetName val="BOQ Item Counter"/>
      <sheetName val="Fire Fighting"/>
      <sheetName val="BOQ - Workings P"/>
      <sheetName val="Data Upload P"/>
      <sheetName val="BOQ - Workings D"/>
      <sheetName val="Data Upload D"/>
    </sheetNames>
    <sheetDataSet>
      <sheetData sheetId="0"/>
      <sheetData sheetId="1"/>
      <sheetData sheetId="2"/>
      <sheetData sheetId="3"/>
      <sheetData sheetId="4">
        <row r="8">
          <cell r="F8">
            <v>684121.97000000009</v>
          </cell>
        </row>
      </sheetData>
      <sheetData sheetId="5"/>
      <sheetData sheetId="6"/>
      <sheetData sheetId="7">
        <row r="8">
          <cell r="E8" t="b">
            <v>1</v>
          </cell>
        </row>
        <row r="9">
          <cell r="E9" t="b">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_IPC no.1"/>
      <sheetName val="BoQ_1020"/>
      <sheetName val="CP.Supporting Docs."/>
      <sheetName val="Bill 3 - Masonry Works"/>
      <sheetName val="Bill 4 - Concrete Works"/>
      <sheetName val="Bill 5 - Steel Reinforcement"/>
      <sheetName val="Bill 6 - Roofing Works"/>
      <sheetName val="Bill 7 - Waterproofing Works"/>
      <sheetName val="LIST"/>
      <sheetName val="Bill 9 - Additional Works "/>
    </sheetNames>
    <sheetDataSet>
      <sheetData sheetId="0" refreshError="1"/>
      <sheetData sheetId="1"/>
      <sheetData sheetId="2"/>
      <sheetData sheetId="3">
        <row r="638">
          <cell r="B638" t="str">
            <v>Supply, hoist, spread and level imported fill (excavated rock) in foundations.</v>
          </cell>
        </row>
        <row r="640">
          <cell r="B640" t="str">
            <v>Supply, hoist, spread and level imported fill (zrar tal- franka) to the required levels.</v>
          </cell>
        </row>
        <row r="642">
          <cell r="B642" t="str">
            <v>Supply, hoist, spread and level imported fill (zrar tal- qawwi) to the required levels.</v>
          </cell>
        </row>
      </sheetData>
      <sheetData sheetId="4" refreshError="1"/>
      <sheetData sheetId="5" refreshError="1"/>
      <sheetData sheetId="6" refreshError="1"/>
      <sheetData sheetId="7" refreshError="1"/>
      <sheetData sheetId="8" refreshError="1"/>
      <sheetData sheetId="9" refreshError="1"/>
      <sheetData sheetId="10">
        <row r="57">
          <cell r="B57" t="str">
            <v>230mm tk softstone wall, quarry faced both sides in foundations.</v>
          </cell>
        </row>
        <row r="59">
          <cell r="B59" t="str">
            <v>Composite wall - 460mm tk softstone, quarry faced both sides; comprising two skins 230mm tk with no cavity in foundations.</v>
          </cell>
        </row>
        <row r="61">
          <cell r="B61" t="str">
            <v>150/ 180mm tk softstone wall, fair faced &amp; flush pointed both sides.</v>
          </cell>
        </row>
        <row r="63">
          <cell r="B63" t="str">
            <v>230mm tk softstone wall, fair faced &amp; flush pointed both sides.</v>
          </cell>
        </row>
        <row r="65">
          <cell r="B65" t="str">
            <v>Composite wall - 460mm tk softstone, fair faced &amp; flush pointed both sides; comprising two skins 230mm tk and 150mm tk with 80mm cavity.</v>
          </cell>
        </row>
        <row r="67">
          <cell r="B67" t="str">
            <v>Composite wall - 460mm tk softstone, fair faced &amp; flush pointed both sides; comprising two skins 230mm tk with no cavity.</v>
          </cell>
        </row>
        <row r="69">
          <cell r="B69" t="str">
            <v>150/ 180mm tk HCB wall, facework &amp; flush pointed both sides.</v>
          </cell>
        </row>
        <row r="71">
          <cell r="B71" t="str">
            <v>230mm tk HCB wall single density type, facework &amp; flush pointed both sides.</v>
          </cell>
        </row>
        <row r="73">
          <cell r="B73" t="str">
            <v>230mm tk HCB wall double density type, facework &amp; flush pointed both sides.</v>
          </cell>
        </row>
        <row r="75">
          <cell r="B75" t="str">
            <v>Composite wall - 460mm tk HCB, facework &amp; flush pointed both sides; comprising two skins 230mm tk single density with no cavity.</v>
          </cell>
        </row>
        <row r="77">
          <cell r="B77" t="str">
            <v>Composite wall - 460mm tk HCB, facework &amp; flush pointed both sides; comprising two skins 230mm tk double density  with no cavity.</v>
          </cell>
        </row>
        <row r="79">
          <cell r="B79" t="str">
            <v>Extra over for concrete Grade C20 infill to 230mm tk HCB single density.</v>
          </cell>
        </row>
        <row r="81">
          <cell r="B81" t="str">
            <v>Extra over for formation of angles, skewed corners (each skin measured seperately, any thickness, HCB &amp; softstone).</v>
          </cell>
        </row>
        <row r="83">
          <cell r="B83" t="str">
            <v xml:space="preserve">Extra over for toothing new soft stone walls to existing walls.    </v>
          </cell>
        </row>
        <row r="85">
          <cell r="B85" t="str">
            <v>Extra over for formation of chase (ingall) to accommodate suspended slab.</v>
          </cell>
        </row>
        <row r="87">
          <cell r="B87" t="str">
            <v>Extra over for formation of soft stone horizontal /vertical moulded course(plain square mould).</v>
          </cell>
        </row>
        <row r="89">
          <cell r="B89" t="str">
            <v>Extra over for formation of 'membri' (vertical &amp; horizontal, any thickness, HCB &amp; softstone).</v>
          </cell>
        </row>
        <row r="91">
          <cell r="B91" t="str">
            <v>Extra over for formation of softstone dressing (tlibissa) to balconies.</v>
          </cell>
        </row>
        <row r="93">
          <cell r="B93" t="str">
            <v>Extra over per face single skin walls curved on-plan.</v>
          </cell>
        </row>
        <row r="95">
          <cell r="B95" t="str">
            <v>Extra over for formation of softstone recess (imbrol).</v>
          </cell>
        </row>
        <row r="97">
          <cell r="B97" t="str">
            <v>Extra over for formation of sofstone strips, bands (faxex lixxi).</v>
          </cell>
        </row>
        <row r="99">
          <cell r="B99" t="str">
            <v>Extra over for pointed type (fuq il-fil) masonry finish.</v>
          </cell>
        </row>
        <row r="101">
          <cell r="B101" t="str">
            <v>Extra over for formation of splayed edges.</v>
          </cell>
        </row>
        <row r="103">
          <cell r="B103">
            <v>0</v>
          </cell>
        </row>
        <row r="105">
          <cell r="B105">
            <v>0</v>
          </cell>
        </row>
        <row r="107">
          <cell r="B107">
            <v>0</v>
          </cell>
        </row>
        <row r="109">
          <cell r="B109">
            <v>0</v>
          </cell>
        </row>
        <row r="111">
          <cell r="B111">
            <v>0</v>
          </cell>
        </row>
        <row r="113">
          <cell r="B113">
            <v>0</v>
          </cell>
        </row>
        <row r="117">
          <cell r="B117" t="str">
            <v>Grade C15, tk not exceeding 150mm, unreinforced, poured on or against earth or unbinded hardcore.</v>
          </cell>
        </row>
        <row r="119">
          <cell r="B119" t="str">
            <v>Grade C15, tk not exceeding 150mm, unreinforced, laid to falls on or against earth or unbinded hardcore.</v>
          </cell>
        </row>
        <row r="121">
          <cell r="B121" t="str">
            <v>Grade C15, mass, unreinforced, between HCB and rock face.</v>
          </cell>
        </row>
        <row r="123">
          <cell r="B123" t="str">
            <v>Grade C20, reinforced, unreinforced, cavity filling (reinforcement measured seperately).</v>
          </cell>
        </row>
        <row r="125">
          <cell r="B125" t="str">
            <v>Grade C25, reinforced, in strip footings inclusive of all necessary formwork (reinforcement measured seperately).</v>
          </cell>
        </row>
        <row r="127">
          <cell r="B127" t="str">
            <v>75mm x 75mm sand cement fillet.</v>
          </cell>
        </row>
        <row r="129">
          <cell r="B129" t="str">
            <v>Grade C25, reinforced, in isolated foundations inclusive of all necessary formwork (reinforcement measured seperately).</v>
          </cell>
        </row>
        <row r="131">
          <cell r="B131" t="str">
            <v>Grade C25, reinforced, in beds inclusive of all necessary formwork (reinforcement measured seperately).</v>
          </cell>
        </row>
        <row r="133">
          <cell r="B133" t="str">
            <v>Grade C30, reinforced, in ground beams inclusive of all necessary formwork (reinforcement measured seperately).</v>
          </cell>
        </row>
        <row r="135">
          <cell r="B135" t="str">
            <v>Grade C25, tk not exceeding 200mm, reinforced, in ground slab inclusive of all necessary formwork (reinforcement measured seperately).</v>
          </cell>
        </row>
        <row r="137">
          <cell r="B137" t="str">
            <v>Grade C20, unreinforced, tk not exceeding 100mm, to 230mm tk walls, in made-up piece over ground slab to receive wall inclusive of all necessary formwork.</v>
          </cell>
        </row>
        <row r="139">
          <cell r="B139" t="str">
            <v>Grade C30, reinforced, in rectangular columns inclusive of all necessary formwork (reinforcement measured separately).</v>
          </cell>
        </row>
        <row r="141">
          <cell r="B141" t="str">
            <v>Extra over, ditto for circular columns.</v>
          </cell>
        </row>
        <row r="143">
          <cell r="B143" t="str">
            <v>Grade C20, part course to 230mm tk walls, in padstones (suletta) inclusive of all necessary formwork (reinforcement measured separately).</v>
          </cell>
        </row>
        <row r="145">
          <cell r="B145" t="str">
            <v>Grade C30, reinforced, in lintols inclusive of all necessary formwork (reinforcement measured separately).</v>
          </cell>
        </row>
        <row r="147">
          <cell r="B147" t="str">
            <v>Grade C30, reinforced, in upstand/ down stand beams inclusive of all necessary formwork (reinforcement measured separately).</v>
          </cell>
        </row>
        <row r="149">
          <cell r="B149" t="str">
            <v>Grade C30, tk not exceeding 150mm, in suspended slab inclusive of all necessary formwork (reinforcement measured separately).</v>
          </cell>
        </row>
        <row r="151">
          <cell r="B151" t="str">
            <v>Extra  over for addition 25mm Grade C30, tk in suspended slab.</v>
          </cell>
        </row>
        <row r="153">
          <cell r="B153" t="str">
            <v>Extra over, ditto for cantilevering slabs (balconies).</v>
          </cell>
        </row>
        <row r="155">
          <cell r="B155" t="str">
            <v>Grade C25, reinforced, in straight stairs and landings inclusive of all necessary formworks (reinforcement measured separately).</v>
          </cell>
        </row>
        <row r="157">
          <cell r="B157" t="str">
            <v>Extra over, ditto for circular stairs.</v>
          </cell>
        </row>
        <row r="159">
          <cell r="B159" t="str">
            <v>Grade C35, tk not exceeding 125mm, reinforced, in topping inclusive of all necessary formwork (reinforcement measured seperately).</v>
          </cell>
        </row>
        <row r="161">
          <cell r="B161" t="str">
            <v>Grade C20, 100mm tk to 230mm tk walls, unreinforced,  in coping inclusive of all necessary formwork, splayed top edge.</v>
          </cell>
        </row>
        <row r="163">
          <cell r="B163" t="str">
            <v>Extra over for using Concrete:</v>
          </cell>
        </row>
        <row r="164">
          <cell r="B164" t="str">
            <v>C35 instead of C30.</v>
          </cell>
        </row>
        <row r="165">
          <cell r="B165" t="str">
            <v>C30 instead of C25.</v>
          </cell>
        </row>
        <row r="166">
          <cell r="B166" t="str">
            <v>C25 instead of C20.</v>
          </cell>
        </row>
        <row r="167">
          <cell r="B167" t="str">
            <v>C20 instead of C15.</v>
          </cell>
        </row>
        <row r="169">
          <cell r="B169" t="str">
            <v>Extra over for application of approved surface hardener.</v>
          </cell>
        </row>
        <row r="171">
          <cell r="B171" t="str">
            <v>Extra over for power float surface finish to slabs.</v>
          </cell>
        </row>
        <row r="173">
          <cell r="B173" t="str">
            <v>Extra over for broom surface finish to slabs.</v>
          </cell>
        </row>
        <row r="175">
          <cell r="B175" t="str">
            <v>Extra over for trowelling of concrete surface, to take self-adhesive membrane.</v>
          </cell>
        </row>
        <row r="177">
          <cell r="B177" t="str">
            <v>Extra over for fair faced formwork finish for in-situ concrete.</v>
          </cell>
        </row>
        <row r="179">
          <cell r="B179" t="str">
            <v>Extra over for formwork left in place rate.</v>
          </cell>
        </row>
        <row r="181">
          <cell r="B181" t="str">
            <v>Extra over for formation of ramps/slopes.</v>
          </cell>
        </row>
        <row r="183">
          <cell r="B183" t="str">
            <v>Extra over for erection of scaffolding exceed 3.00m for construction of concrete elements.</v>
          </cell>
        </row>
        <row r="185">
          <cell r="B185" t="str">
            <v>Extra over for formation of recess (drip moulds) in cantilevered balconies.</v>
          </cell>
        </row>
        <row r="187">
          <cell r="B187" t="str">
            <v>Extra over for formation of chamfered edges to concrete elements.</v>
          </cell>
        </row>
        <row r="189">
          <cell r="B189" t="str">
            <v>Formation of saw cut expansion joints (filling with approved material measured separately).</v>
          </cell>
        </row>
        <row r="191">
          <cell r="B191" t="str">
            <v>Supply, cut and installation of polystyrene 50mm thick sheeting placed between beams and walls (maximum width 230mm).</v>
          </cell>
        </row>
        <row r="193">
          <cell r="B193" t="str">
            <v>Construction of concrete C20 jambs to hollow concrete walls.</v>
          </cell>
        </row>
        <row r="195">
          <cell r="B195" t="str">
            <v>Extra over for Sika 1.</v>
          </cell>
        </row>
        <row r="197">
          <cell r="B197" t="str">
            <v>Extra over for Plastocrete N.</v>
          </cell>
        </row>
        <row r="199">
          <cell r="B199">
            <v>0</v>
          </cell>
        </row>
        <row r="201">
          <cell r="B201">
            <v>0</v>
          </cell>
        </row>
        <row r="203">
          <cell r="B203">
            <v>0</v>
          </cell>
        </row>
        <row r="205">
          <cell r="B205">
            <v>0</v>
          </cell>
        </row>
        <row r="207">
          <cell r="B207">
            <v>0</v>
          </cell>
        </row>
        <row r="209">
          <cell r="B209">
            <v>0</v>
          </cell>
        </row>
        <row r="211">
          <cell r="B211">
            <v>0</v>
          </cell>
        </row>
        <row r="213">
          <cell r="B213">
            <v>0</v>
          </cell>
        </row>
        <row r="215">
          <cell r="B215">
            <v>0</v>
          </cell>
        </row>
        <row r="217">
          <cell r="B217">
            <v>0</v>
          </cell>
        </row>
        <row r="219">
          <cell r="B219">
            <v>0</v>
          </cell>
        </row>
        <row r="221">
          <cell r="B221">
            <v>0</v>
          </cell>
        </row>
        <row r="226">
          <cell r="B226" t="str">
            <v>Supply, cut, bend and fix steel bar reinforcement:</v>
          </cell>
        </row>
        <row r="228">
          <cell r="B228" t="str">
            <v>10mm diameter</v>
          </cell>
        </row>
        <row r="229">
          <cell r="B229" t="str">
            <v>12mm diameter</v>
          </cell>
        </row>
        <row r="230">
          <cell r="B230" t="str">
            <v>16mm diameter</v>
          </cell>
        </row>
        <row r="231">
          <cell r="B231" t="str">
            <v>20mm diameter</v>
          </cell>
        </row>
        <row r="232">
          <cell r="B232" t="str">
            <v>25mm diameter</v>
          </cell>
        </row>
        <row r="233">
          <cell r="B233" t="str">
            <v>32mm diameter</v>
          </cell>
        </row>
        <row r="235">
          <cell r="B235" t="str">
            <v>Supply, cut, bend and fix steel mesh fabric reinforcement:</v>
          </cell>
        </row>
        <row r="237">
          <cell r="B237" t="str">
            <v>A 98; weighing 1.54kg/m2; lapped a minimum of 150mm</v>
          </cell>
        </row>
        <row r="238">
          <cell r="B238" t="str">
            <v>A252; weighing 3.95kg/m2; lapped a minimum of 150mm</v>
          </cell>
        </row>
        <row r="239">
          <cell r="B239" t="str">
            <v>A393; weighing 6.16kg/m2; lapped a minimum of 150mm</v>
          </cell>
        </row>
        <row r="240">
          <cell r="B240" t="str">
            <v>A503; weighing 7.90kg/m2; lapped a minimum of 150mm</v>
          </cell>
        </row>
        <row r="241">
          <cell r="B241" t="str">
            <v>B503; weighing 5.93kg/m2; lapped a minimum of 150mm</v>
          </cell>
        </row>
        <row r="242">
          <cell r="B242" t="str">
            <v>C503; weighing 4.34kg/m2; lapped a minimum of 150mm</v>
          </cell>
        </row>
        <row r="244">
          <cell r="B244">
            <v>0</v>
          </cell>
        </row>
        <row r="246">
          <cell r="B246">
            <v>0</v>
          </cell>
        </row>
        <row r="248">
          <cell r="B248">
            <v>0</v>
          </cell>
        </row>
        <row r="250">
          <cell r="B250">
            <v>0</v>
          </cell>
        </row>
        <row r="252">
          <cell r="B252">
            <v>0</v>
          </cell>
        </row>
        <row r="254">
          <cell r="B254">
            <v>0</v>
          </cell>
        </row>
        <row r="256">
          <cell r="B256">
            <v>0</v>
          </cell>
        </row>
        <row r="258">
          <cell r="B258">
            <v>0</v>
          </cell>
        </row>
        <row r="260">
          <cell r="B260">
            <v>0</v>
          </cell>
        </row>
        <row r="262">
          <cell r="B262">
            <v>0</v>
          </cell>
        </row>
        <row r="264">
          <cell r="B264">
            <v>0</v>
          </cell>
        </row>
        <row r="266">
          <cell r="B266">
            <v>0</v>
          </cell>
        </row>
        <row r="268">
          <cell r="B268">
            <v>0</v>
          </cell>
        </row>
        <row r="270">
          <cell r="B270">
            <v>0</v>
          </cell>
        </row>
        <row r="272">
          <cell r="B272">
            <v>0</v>
          </cell>
        </row>
        <row r="274">
          <cell r="B274">
            <v>0</v>
          </cell>
        </row>
        <row r="276">
          <cell r="B276">
            <v>0</v>
          </cell>
        </row>
        <row r="278">
          <cell r="B278">
            <v>0</v>
          </cell>
        </row>
        <row r="280">
          <cell r="B280">
            <v>0</v>
          </cell>
        </row>
        <row r="282">
          <cell r="B282">
            <v>0</v>
          </cell>
        </row>
        <row r="284">
          <cell r="B284">
            <v>0</v>
          </cell>
        </row>
        <row r="286">
          <cell r="B286">
            <v>0</v>
          </cell>
        </row>
        <row r="288">
          <cell r="B288" t="e">
            <v>#REF!</v>
          </cell>
        </row>
        <row r="290">
          <cell r="B290">
            <v>0</v>
          </cell>
        </row>
        <row r="294">
          <cell r="B294" t="str">
            <v>Supply and installation of 50mm tk polystyrene insulation layer.</v>
          </cell>
        </row>
        <row r="296">
          <cell r="B296" t="str">
            <v>Supply, spread and level 80mm average tk torba laid to falls (3/8" and sand).</v>
          </cell>
        </row>
        <row r="298">
          <cell r="B298" t="str">
            <v xml:space="preserve">75mm tk unreinforced concrete grade C20 in roof screed laid to falls. </v>
          </cell>
        </row>
        <row r="300">
          <cell r="B300" t="str">
            <v>Formation of 75 x 75mm cement sand triangular fillet at junction between roofer and parapet walls.</v>
          </cell>
        </row>
        <row r="302">
          <cell r="B302" t="str">
            <v>Chase soft stone parapet walls to accommodate water proofing membrane.</v>
          </cell>
        </row>
        <row r="304">
          <cell r="B304" t="str">
            <v>Supply and installation hot weld 4.0mm proof membrane including 2 coats of liquid bitumen to roof screed, over-laps and turn-ups.</v>
          </cell>
        </row>
        <row r="306">
          <cell r="B306">
            <v>0</v>
          </cell>
        </row>
        <row r="308">
          <cell r="B308">
            <v>0</v>
          </cell>
        </row>
        <row r="310">
          <cell r="B310">
            <v>0</v>
          </cell>
        </row>
        <row r="312">
          <cell r="B312">
            <v>0</v>
          </cell>
        </row>
        <row r="314">
          <cell r="B314">
            <v>0</v>
          </cell>
        </row>
        <row r="316">
          <cell r="B316">
            <v>0</v>
          </cell>
        </row>
        <row r="318">
          <cell r="B318">
            <v>0</v>
          </cell>
        </row>
        <row r="320">
          <cell r="B320">
            <v>0</v>
          </cell>
        </row>
        <row r="322">
          <cell r="B322">
            <v>0</v>
          </cell>
        </row>
        <row r="324">
          <cell r="B324">
            <v>0</v>
          </cell>
        </row>
        <row r="326">
          <cell r="B326">
            <v>0</v>
          </cell>
        </row>
        <row r="328">
          <cell r="B328">
            <v>0</v>
          </cell>
        </row>
        <row r="330">
          <cell r="B330">
            <v>0</v>
          </cell>
        </row>
        <row r="332">
          <cell r="B332">
            <v>0</v>
          </cell>
        </row>
        <row r="334">
          <cell r="B334">
            <v>0</v>
          </cell>
        </row>
        <row r="336">
          <cell r="B336">
            <v>0</v>
          </cell>
        </row>
        <row r="338">
          <cell r="B338">
            <v>0</v>
          </cell>
        </row>
        <row r="340">
          <cell r="B340">
            <v>0</v>
          </cell>
        </row>
        <row r="342">
          <cell r="B342">
            <v>0</v>
          </cell>
        </row>
        <row r="344">
          <cell r="B344">
            <v>0</v>
          </cell>
        </row>
        <row r="346">
          <cell r="B346">
            <v>0</v>
          </cell>
        </row>
        <row r="348">
          <cell r="B348">
            <v>0</v>
          </cell>
        </row>
        <row r="350">
          <cell r="B350">
            <v>0</v>
          </cell>
        </row>
        <row r="352">
          <cell r="B352">
            <v>0</v>
          </cell>
        </row>
        <row r="354">
          <cell r="B354" t="e">
            <v>#REF!</v>
          </cell>
        </row>
        <row r="356">
          <cell r="B356" t="e">
            <v>#REF!</v>
          </cell>
        </row>
        <row r="361">
          <cell r="B361" t="str">
            <v>Supply and installation of 4mm thick damp proof membrane in foundations: Horizontally</v>
          </cell>
        </row>
        <row r="363">
          <cell r="B363" t="str">
            <v>Supply and installation of 4mm thick damp proof membrane in foundations: Vertically</v>
          </cell>
        </row>
        <row r="365">
          <cell r="B365" t="str">
            <v xml:space="preserve">Supply, lay, bond and tie geotextile: Horizontally/ vertically </v>
          </cell>
        </row>
        <row r="367">
          <cell r="B367" t="str">
            <v>Supply, lay, bond and tie geotextile: To french drains</v>
          </cell>
        </row>
        <row r="369">
          <cell r="B369" t="str">
            <v>Supply and lay gauge 1000 polythene sheeting</v>
          </cell>
        </row>
        <row r="371">
          <cell r="B371" t="str">
            <v xml:space="preserve">Supply and lay damp proof course: Plastic type     </v>
          </cell>
        </row>
        <row r="372">
          <cell r="B372" t="str">
            <v xml:space="preserve">                                                           </v>
          </cell>
        </row>
        <row r="373">
          <cell r="B373" t="str">
            <v xml:space="preserve">Supply and lay damp proof course: Lead type     </v>
          </cell>
        </row>
        <row r="375">
          <cell r="B375" t="str">
            <v>Supply and installation of 2 coats of liquid bitumen to structure to recieve water proof mebrane</v>
          </cell>
        </row>
        <row r="377">
          <cell r="B377" t="e">
            <v>#REF!</v>
          </cell>
        </row>
        <row r="379">
          <cell r="B379">
            <v>0</v>
          </cell>
        </row>
        <row r="381">
          <cell r="B381">
            <v>0</v>
          </cell>
        </row>
        <row r="383">
          <cell r="B383">
            <v>0</v>
          </cell>
        </row>
        <row r="385">
          <cell r="B385">
            <v>0</v>
          </cell>
        </row>
        <row r="387">
          <cell r="B387">
            <v>0</v>
          </cell>
        </row>
        <row r="389">
          <cell r="B389">
            <v>0</v>
          </cell>
        </row>
        <row r="391">
          <cell r="B391">
            <v>0</v>
          </cell>
        </row>
        <row r="393">
          <cell r="B393">
            <v>0</v>
          </cell>
        </row>
        <row r="395">
          <cell r="B395">
            <v>0</v>
          </cell>
        </row>
        <row r="397">
          <cell r="B397">
            <v>0</v>
          </cell>
        </row>
        <row r="399">
          <cell r="B399">
            <v>0</v>
          </cell>
        </row>
        <row r="401">
          <cell r="B401">
            <v>0</v>
          </cell>
        </row>
        <row r="403">
          <cell r="B403">
            <v>0</v>
          </cell>
        </row>
        <row r="405">
          <cell r="B405">
            <v>0</v>
          </cell>
        </row>
        <row r="407">
          <cell r="B407">
            <v>0</v>
          </cell>
        </row>
        <row r="409">
          <cell r="B409">
            <v>0</v>
          </cell>
        </row>
        <row r="411">
          <cell r="B411">
            <v>0</v>
          </cell>
        </row>
        <row r="413">
          <cell r="B413">
            <v>0</v>
          </cell>
        </row>
        <row r="415">
          <cell r="B415">
            <v>0</v>
          </cell>
        </row>
        <row r="417">
          <cell r="B417">
            <v>0</v>
          </cell>
        </row>
        <row r="419">
          <cell r="B419">
            <v>0</v>
          </cell>
        </row>
        <row r="421">
          <cell r="B421" t="e">
            <v>#REF!</v>
          </cell>
        </row>
        <row r="423">
          <cell r="B423">
            <v>0</v>
          </cell>
        </row>
      </sheetData>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over Sheet"/>
      <sheetName val="1. Bill Summary"/>
      <sheetName val="1. Bills of Quantities"/>
      <sheetName val="1. Takeoff_Cumulative"/>
      <sheetName val="0. Takeoff_Previous"/>
      <sheetName val="REF"/>
    </sheetNames>
    <sheetDataSet>
      <sheetData sheetId="0">
        <row r="11">
          <cell r="C11">
            <v>0</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efreshError="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FPC"/>
      <sheetName val="IPC"/>
      <sheetName val="IPC (60%)"/>
      <sheetName val="IPC (40%)"/>
      <sheetName val="CP"/>
      <sheetName val="CCS"/>
      <sheetName val="CCCS"/>
      <sheetName val="CMoW"/>
      <sheetName val="CP (M)"/>
      <sheetName val="CCS (X)"/>
      <sheetName val="CSR (X)"/>
      <sheetName val="MoW (X)"/>
      <sheetName val="CP (L)"/>
      <sheetName val="CCS (+XXX)"/>
      <sheetName val="MoW (+XXX)"/>
      <sheetName val="SDCP"/>
      <sheetName val="3"/>
      <sheetName val="4"/>
      <sheetName val="5"/>
      <sheetName val="6"/>
      <sheetName val="7"/>
      <sheetName val="8"/>
      <sheetName val="9"/>
      <sheetName val="10"/>
      <sheetName val="11"/>
      <sheetName val="12"/>
      <sheetName val="RBC CP"/>
      <sheetName val="Contractor's CCS"/>
      <sheetName val="CSR"/>
      <sheetName val="List"/>
    </sheetNames>
    <sheetDataSet>
      <sheetData sheetId="0">
        <row r="31">
          <cell r="C31">
            <v>42486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B3" t="str">
            <v>230mm tk softstone wall, quarry faced both sides in foundations.</v>
          </cell>
        </row>
        <row r="161">
          <cell r="B161" t="str">
            <v>Supply, cut, bend and fix steel bar reinforcement:</v>
          </cell>
        </row>
        <row r="162">
          <cell r="B162">
            <v>0</v>
          </cell>
        </row>
        <row r="163">
          <cell r="B163" t="str">
            <v>10mm diameter</v>
          </cell>
        </row>
        <row r="164">
          <cell r="B164" t="str">
            <v>12mm diameter</v>
          </cell>
        </row>
        <row r="165">
          <cell r="B165" t="str">
            <v>16mm diameter</v>
          </cell>
        </row>
        <row r="166">
          <cell r="B166" t="str">
            <v>20mm diameter</v>
          </cell>
        </row>
        <row r="167">
          <cell r="B167" t="str">
            <v>25mm diameter</v>
          </cell>
        </row>
        <row r="168">
          <cell r="B168" t="str">
            <v>32mm diameter</v>
          </cell>
        </row>
        <row r="169">
          <cell r="B169" t="str">
            <v>Extra over for stirrups</v>
          </cell>
        </row>
        <row r="170">
          <cell r="B170">
            <v>0</v>
          </cell>
        </row>
        <row r="171">
          <cell r="B171" t="str">
            <v>Supply, cut, bend and fix steel mesh fabric reinforcement:</v>
          </cell>
        </row>
        <row r="172">
          <cell r="B172">
            <v>0</v>
          </cell>
        </row>
        <row r="173">
          <cell r="B173" t="str">
            <v>A 98; weighing 1.54kg/m2; lapped a minimum of 150mm</v>
          </cell>
        </row>
        <row r="174">
          <cell r="B174" t="str">
            <v>A252; weighing 3.95kg/m2; lapped a minimum of 150mm</v>
          </cell>
        </row>
        <row r="175">
          <cell r="B175" t="str">
            <v>A393; weighing 6.16kg/m2; lapped a minimum of 150mm</v>
          </cell>
        </row>
        <row r="176">
          <cell r="B176" t="str">
            <v>A503; weighing 7.90kg/m2; lapped a minimum of 150mm</v>
          </cell>
        </row>
        <row r="177">
          <cell r="B177" t="str">
            <v>B503; weighing 5.93kg/m2; lapped a minimum of 150mm</v>
          </cell>
        </row>
        <row r="178">
          <cell r="B178" t="str">
            <v>C503; weighing 4.34kg/m2; lapped a minimum of 150mm</v>
          </cell>
        </row>
        <row r="275">
          <cell r="B275" t="str">
            <v>Bill No.3 : EXCAVATION</v>
          </cell>
        </row>
        <row r="276">
          <cell r="B276">
            <v>0</v>
          </cell>
        </row>
        <row r="277">
          <cell r="B277" t="str">
            <v>Excavate in loose material and cartaway all resulting materials off-site to an approved tipping site.</v>
          </cell>
        </row>
        <row r="278">
          <cell r="B278">
            <v>0</v>
          </cell>
        </row>
        <row r="279">
          <cell r="B279" t="str">
            <v>Excavate in existing soil load and store for eventual use.</v>
          </cell>
        </row>
        <row r="280">
          <cell r="B280">
            <v>0</v>
          </cell>
        </row>
        <row r="281">
          <cell r="B281" t="str">
            <v>Excavate in rock to reduce level and cartaway all resulting materials offsite to an aprroved tipping site.</v>
          </cell>
        </row>
        <row r="282">
          <cell r="B282">
            <v>0</v>
          </cell>
        </row>
        <row r="283">
          <cell r="B283" t="str">
            <v>Excavate trench in rock including cleaning to receive blinding and cart-away all resultant materials off-site (maximum depth of 1.00m) to an aprroved tipping site.</v>
          </cell>
        </row>
        <row r="284">
          <cell r="B284">
            <v>0</v>
          </cell>
        </row>
        <row r="285">
          <cell r="B285" t="str">
            <v>Excavate to form pits, reservoir and footings including cleaning to receive blinding and cartingaway of all resulting materials offsite to an aprroved tipping site.</v>
          </cell>
        </row>
        <row r="286">
          <cell r="B286">
            <v>0</v>
          </cell>
        </row>
        <row r="287">
          <cell r="B287" t="str">
            <v>TRIMMING FACES EXCAVATED IN ROCK INCLUDING REMOVAL OF UNSTABLE GROUND, FLAKING STONE, MAKING GOOD FISSURES ETC ALL SIZES AND SHAPES AND IRREGULARITIES</v>
          </cell>
        </row>
        <row r="288">
          <cell r="B288">
            <v>0</v>
          </cell>
        </row>
        <row r="289">
          <cell r="B289" t="str">
            <v>Horizontal trimming in rock and cartaway all resulting materials offsite to an aprroved tipping site.</v>
          </cell>
        </row>
        <row r="290">
          <cell r="B290">
            <v>0</v>
          </cell>
        </row>
        <row r="291">
          <cell r="B291" t="str">
            <v>Vertical trimming in rock and cartaway all resulting materials offsite
2 to an aprroved tipping site.</v>
          </cell>
        </row>
        <row r="292">
          <cell r="B292">
            <v>0</v>
          </cell>
        </row>
        <row r="293">
          <cell r="B293" t="str">
            <v>BACKFILLING</v>
          </cell>
        </row>
        <row r="294">
          <cell r="B294">
            <v>0</v>
          </cell>
        </row>
        <row r="295">
          <cell r="B295" t="str">
            <v>Supply, hoist, spread and level approved hardcore fill to the required levels</v>
          </cell>
        </row>
        <row r="296">
          <cell r="B296">
            <v>0</v>
          </cell>
        </row>
        <row r="297">
          <cell r="B297" t="str">
            <v>Supply, hoist, spread and level imported fill (stone chippings) in foundations.</v>
          </cell>
        </row>
        <row r="298">
          <cell r="B298">
            <v>0</v>
          </cell>
        </row>
        <row r="299">
          <cell r="B299" t="str">
            <v>Supply, hoist, lay, spread and level vegetable soil as instructed.</v>
          </cell>
        </row>
        <row r="300">
          <cell r="B300">
            <v>0</v>
          </cell>
        </row>
        <row r="301">
          <cell r="B301" t="str">
            <v>Supply, hoist, spread and level imported fill (excavated rock) in foundations.</v>
          </cell>
        </row>
        <row r="302">
          <cell r="B302">
            <v>0</v>
          </cell>
        </row>
        <row r="303">
          <cell r="B303" t="str">
            <v>Supply, hoist, spread and level imported fill (zrar tal- franka) to the required levels.</v>
          </cell>
        </row>
        <row r="304">
          <cell r="B304">
            <v>0</v>
          </cell>
        </row>
        <row r="305">
          <cell r="B305" t="str">
            <v>Supply, hoist, spread and level imported fill (zrar tal- qawwi) to the required levels.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mparative CS "/>
      <sheetName val="Cumulative CS "/>
      <sheetName val="MoW 1010"/>
      <sheetName val="CP.Supporting Docs."/>
      <sheetName val="Bill 3- Earthworks"/>
      <sheetName val="List"/>
      <sheetName val="workings"/>
      <sheetName val="CP.Contractors Docs. (2)"/>
    </sheetNames>
    <sheetDataSet>
      <sheetData sheetId="0"/>
      <sheetData sheetId="1"/>
      <sheetData sheetId="2"/>
      <sheetData sheetId="3"/>
      <sheetData sheetId="4"/>
      <sheetData sheetId="5"/>
      <sheetData sheetId="6"/>
      <sheetData sheetId="7">
        <row r="5">
          <cell r="K5" t="str">
            <v>Loose Material</v>
          </cell>
        </row>
        <row r="6">
          <cell r="K6" t="str">
            <v>Rock Excavation</v>
          </cell>
        </row>
      </sheetData>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COST SUMMARY "/>
      <sheetName val="MoW 1010"/>
      <sheetName val="Bill 3- Earthworks"/>
      <sheetName val="S04-IPC-001"/>
      <sheetName val="List"/>
    </sheetNames>
    <sheetDataSet>
      <sheetData sheetId="0"/>
      <sheetData sheetId="1"/>
      <sheetData sheetId="2">
        <row r="161">
          <cell r="B161" t="str">
            <v>EXCAVATION BY MANUAL/ MECHANICAL MEANS INCLUDING EARTHWORK SUPPORT TO UNSTABLE GROUND CONDITIONS</v>
          </cell>
        </row>
        <row r="163">
          <cell r="B163" t="str">
            <v>Excavate in loose material and cart-away all resulting materials off-site to an approved tipping site.</v>
          </cell>
        </row>
        <row r="165">
          <cell r="B165" t="str">
            <v>Excavate in existing soil load and store for eventual use.</v>
          </cell>
        </row>
        <row r="167">
          <cell r="B167" t="str">
            <v>Excavate in rock to reduce level and cart-away all resulting materials off-site to an aprroved tipping site.</v>
          </cell>
        </row>
        <row r="169">
          <cell r="B169" t="str">
            <v>Excavate trench in rock including cleaning to receive blinding and cart-away all resultant materials off-site (maximum depth of 1.00 m) to an aprroved tipping site.</v>
          </cell>
        </row>
        <row r="171">
          <cell r="B171" t="str">
            <v>Excavate to form pits, reservoir and footings including cleaning to receive blinding and carting-away of all resulting materials off-site to an aprroved tipping site.</v>
          </cell>
        </row>
        <row r="173">
          <cell r="B173" t="str">
            <v>TRIMMING FACES EXCAVATED IN ROCK INCLUDING REMOVAL OF UNSTABLE GROUND, FLAKING STONE, MAKING GOOD FISSURES ETC ALL SIZES AND SHAPES AND IRREGULARITIES</v>
          </cell>
        </row>
        <row r="175">
          <cell r="B175" t="str">
            <v>Horizontal trimming in rock and cart-away all resulting materials off-site to an aprroved tipping site.</v>
          </cell>
        </row>
        <row r="177">
          <cell r="B177" t="str">
            <v>Vertical trimming in rock and cart-away all resulting materials off-site to an aprroved tipping site.</v>
          </cell>
        </row>
        <row r="179">
          <cell r="B179" t="str">
            <v>Supply, hoist, spread and level imported fill (zrar tal- franka) to the required levels.</v>
          </cell>
        </row>
        <row r="181">
          <cell r="B181" t="str">
            <v>Supply, hoist, spread and level imported fill (zrar tal- qawwi) to the required levels.</v>
          </cell>
        </row>
        <row r="183">
          <cell r="B183" t="str">
            <v>Supply, hoist, lay, spread and level vegetable soil as instructed.</v>
          </cell>
        </row>
      </sheetData>
      <sheetData sheetId="3"/>
      <sheetData sheetId="4"/>
      <sheetData sheetId="5">
        <row r="2">
          <cell r="C2" t="str">
            <v>m</v>
          </cell>
        </row>
        <row r="3">
          <cell r="C3" t="str">
            <v>m²</v>
          </cell>
        </row>
        <row r="4">
          <cell r="C4" t="str">
            <v>m³</v>
          </cell>
        </row>
        <row r="5">
          <cell r="C5" t="str">
            <v>kg.</v>
          </cell>
        </row>
        <row r="6">
          <cell r="C6" t="str">
            <v>t.</v>
          </cell>
        </row>
        <row r="7">
          <cell r="C7" t="str">
            <v>Nr.</v>
          </cell>
        </row>
        <row r="8">
          <cell r="C8" t="str">
            <v>Sum</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OQ"/>
      <sheetName val="Summary Page"/>
      <sheetName val="Rates"/>
      <sheetName val="Codes"/>
      <sheetName val="SummarySheet"/>
      <sheetName val="CostCoding"/>
      <sheetName val="Input document"/>
      <sheetName val="EstimatedLabour"/>
      <sheetName val="Cost Codes"/>
      <sheetName val="PriceLists"/>
      <sheetName val="Price Factors"/>
      <sheetName val="Adjustments"/>
      <sheetName val="MU Adjustments"/>
      <sheetName val="Stores"/>
      <sheetName val="Stocks"/>
      <sheetName val="Workings"/>
      <sheetName val="Est_For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Data"/>
      <sheetName val="BOQ"/>
      <sheetName val="Pivot"/>
      <sheetName val="Sheet2"/>
      <sheetName val="BOQ (2)"/>
      <sheetName val="Sheet3"/>
      <sheetName val="BOQ_(2)"/>
      <sheetName val="BOQ_(2)1"/>
      <sheetName val="BOQ_(2)2"/>
      <sheetName val="BOQ_(2)3"/>
      <sheetName val="BOQ_(2)4"/>
      <sheetName val="BOQ_(2)5"/>
      <sheetName val="BOQ_(2)6"/>
      <sheetName val="BOQ_(2)7"/>
      <sheetName val="BOQ_(2)8"/>
      <sheetName val="BOQ_(2)9"/>
      <sheetName val="BOQ_(2)10"/>
      <sheetName val="BOQ_(2)11"/>
    </sheetNames>
    <sheetDataSet>
      <sheetData sheetId="0"/>
      <sheetData sheetId="1">
        <row r="1">
          <cell r="A1" t="str">
            <v>Item</v>
          </cell>
          <cell r="B1" t="str">
            <v>Location</v>
          </cell>
          <cell r="C1" t="str">
            <v>Level</v>
          </cell>
          <cell r="D1" t="str">
            <v>Multiplier</v>
          </cell>
          <cell r="E1" t="str">
            <v>Length</v>
          </cell>
          <cell r="F1" t="str">
            <v>Width</v>
          </cell>
          <cell r="G1" t="str">
            <v>Height</v>
          </cell>
          <cell r="H1" t="str">
            <v>Total</v>
          </cell>
        </row>
        <row r="2">
          <cell r="A2">
            <v>2.23</v>
          </cell>
          <cell r="B2" t="str">
            <v>wall XX,YY,ZZ</v>
          </cell>
          <cell r="C2">
            <v>-5</v>
          </cell>
          <cell r="D2">
            <v>3</v>
          </cell>
          <cell r="E2">
            <v>4.0999999999999996</v>
          </cell>
          <cell r="G2">
            <v>3.0950000000000002</v>
          </cell>
          <cell r="H2">
            <v>38.0685</v>
          </cell>
        </row>
        <row r="3">
          <cell r="A3">
            <v>2.23</v>
          </cell>
          <cell r="B3" t="str">
            <v>wall XX,YY,ZZ</v>
          </cell>
          <cell r="C3">
            <v>-5</v>
          </cell>
          <cell r="D3">
            <v>3</v>
          </cell>
          <cell r="E3">
            <v>3.9</v>
          </cell>
          <cell r="G3">
            <v>3.0950000000000002</v>
          </cell>
          <cell r="H3">
            <v>36.211500000000001</v>
          </cell>
        </row>
        <row r="4">
          <cell r="A4">
            <v>2.23</v>
          </cell>
          <cell r="B4" t="str">
            <v>Core 1-5</v>
          </cell>
          <cell r="C4">
            <v>-5</v>
          </cell>
          <cell r="D4">
            <v>1</v>
          </cell>
          <cell r="E4">
            <v>12.5</v>
          </cell>
          <cell r="G4">
            <v>3.0950000000000002</v>
          </cell>
          <cell r="H4">
            <v>38.6875</v>
          </cell>
        </row>
        <row r="5">
          <cell r="A5">
            <v>2.23</v>
          </cell>
          <cell r="B5" t="str">
            <v>Core  3-5</v>
          </cell>
          <cell r="C5">
            <v>-5</v>
          </cell>
          <cell r="D5">
            <v>1</v>
          </cell>
          <cell r="E5">
            <v>6.8</v>
          </cell>
          <cell r="G5">
            <v>3.0950000000000002</v>
          </cell>
          <cell r="H5">
            <v>21.045999999999999</v>
          </cell>
        </row>
        <row r="6">
          <cell r="A6">
            <v>2.23</v>
          </cell>
          <cell r="B6" t="str">
            <v>Core 7/ 10-12</v>
          </cell>
          <cell r="C6">
            <v>-5</v>
          </cell>
          <cell r="D6">
            <v>1</v>
          </cell>
          <cell r="E6">
            <v>5</v>
          </cell>
          <cell r="G6">
            <v>3.0950000000000002</v>
          </cell>
          <cell r="H6">
            <v>15.475000000000001</v>
          </cell>
        </row>
        <row r="7">
          <cell r="A7">
            <v>2.23</v>
          </cell>
          <cell r="B7" t="str">
            <v>Core 2/7a</v>
          </cell>
          <cell r="C7">
            <v>-5</v>
          </cell>
          <cell r="D7">
            <v>1</v>
          </cell>
          <cell r="E7">
            <v>2.4</v>
          </cell>
          <cell r="G7">
            <v>3.0950000000000002</v>
          </cell>
          <cell r="H7">
            <v>7.4279999999999999</v>
          </cell>
        </row>
        <row r="8">
          <cell r="A8">
            <v>2.23</v>
          </cell>
          <cell r="B8" t="str">
            <v>Core (1-6)-(7-8)</v>
          </cell>
          <cell r="C8">
            <v>-5</v>
          </cell>
          <cell r="D8">
            <v>2</v>
          </cell>
          <cell r="E8">
            <v>2.2999999999999998</v>
          </cell>
          <cell r="G8">
            <v>3.0950000000000002</v>
          </cell>
          <cell r="H8">
            <v>14.237</v>
          </cell>
        </row>
        <row r="9">
          <cell r="A9">
            <v>2.23</v>
          </cell>
          <cell r="B9" t="str">
            <v>Core(6-6a)-(6a-8)</v>
          </cell>
          <cell r="C9">
            <v>-5</v>
          </cell>
          <cell r="D9">
            <v>2</v>
          </cell>
          <cell r="E9">
            <v>2.2999999999999998</v>
          </cell>
          <cell r="G9">
            <v>3.0950000000000002</v>
          </cell>
          <cell r="H9">
            <v>14.237</v>
          </cell>
        </row>
        <row r="10">
          <cell r="A10">
            <v>2.23</v>
          </cell>
          <cell r="B10" t="str">
            <v>Core 8 -18</v>
          </cell>
          <cell r="C10">
            <v>-5</v>
          </cell>
          <cell r="D10">
            <v>1</v>
          </cell>
          <cell r="E10">
            <v>4.8</v>
          </cell>
          <cell r="G10">
            <v>3.0950000000000002</v>
          </cell>
          <cell r="H10">
            <v>14.856</v>
          </cell>
        </row>
        <row r="11">
          <cell r="A11">
            <v>2.23</v>
          </cell>
          <cell r="B11" t="str">
            <v>Core (10-12)-18</v>
          </cell>
          <cell r="C11">
            <v>-5</v>
          </cell>
          <cell r="D11">
            <v>1</v>
          </cell>
          <cell r="E11">
            <v>5</v>
          </cell>
          <cell r="G11">
            <v>3.0950000000000002</v>
          </cell>
          <cell r="H11">
            <v>15.475000000000001</v>
          </cell>
        </row>
        <row r="12">
          <cell r="A12">
            <v>2.23</v>
          </cell>
          <cell r="B12" t="str">
            <v>Core(19-(1-6)-2-18)</v>
          </cell>
          <cell r="C12">
            <v>-5</v>
          </cell>
          <cell r="D12">
            <v>2</v>
          </cell>
          <cell r="E12">
            <v>10.5</v>
          </cell>
          <cell r="G12">
            <v>3.0950000000000002</v>
          </cell>
          <cell r="H12">
            <v>64.995000000000005</v>
          </cell>
        </row>
        <row r="13">
          <cell r="A13">
            <v>2.23</v>
          </cell>
          <cell r="B13" t="str">
            <v xml:space="preserve"> 2-3</v>
          </cell>
          <cell r="C13">
            <v>-5</v>
          </cell>
          <cell r="D13">
            <v>1</v>
          </cell>
          <cell r="E13">
            <v>3</v>
          </cell>
          <cell r="G13">
            <v>3.0950000000000002</v>
          </cell>
          <cell r="H13">
            <v>9.2850000000000001</v>
          </cell>
        </row>
        <row r="14">
          <cell r="A14">
            <v>2.23</v>
          </cell>
          <cell r="B14" t="str">
            <v>(3-4) - (4-5)</v>
          </cell>
          <cell r="C14">
            <v>-5</v>
          </cell>
          <cell r="D14">
            <v>2</v>
          </cell>
          <cell r="E14">
            <v>2.2999999999999998</v>
          </cell>
          <cell r="G14">
            <v>3.0950000000000002</v>
          </cell>
          <cell r="H14">
            <v>14.237</v>
          </cell>
        </row>
        <row r="15">
          <cell r="A15">
            <v>2.23</v>
          </cell>
          <cell r="B15">
            <v>5</v>
          </cell>
          <cell r="C15">
            <v>-5</v>
          </cell>
          <cell r="D15">
            <v>1</v>
          </cell>
          <cell r="E15">
            <v>4.5</v>
          </cell>
          <cell r="G15">
            <v>3.0950000000000002</v>
          </cell>
          <cell r="H15">
            <v>13.9275</v>
          </cell>
        </row>
        <row r="16">
          <cell r="A16">
            <v>2.23</v>
          </cell>
          <cell r="B16" t="str">
            <v>(8-10)-(11-12)</v>
          </cell>
          <cell r="C16">
            <v>-5</v>
          </cell>
          <cell r="D16">
            <v>2</v>
          </cell>
          <cell r="E16">
            <v>5.9</v>
          </cell>
          <cell r="G16">
            <v>3.0950000000000002</v>
          </cell>
          <cell r="H16">
            <v>36.521000000000008</v>
          </cell>
        </row>
        <row r="17">
          <cell r="A17">
            <v>2.23</v>
          </cell>
          <cell r="B17" t="str">
            <v>Core 10-11</v>
          </cell>
          <cell r="C17">
            <v>-5</v>
          </cell>
          <cell r="D17">
            <v>1</v>
          </cell>
          <cell r="E17">
            <v>4.7</v>
          </cell>
          <cell r="G17">
            <v>3.0950000000000002</v>
          </cell>
          <cell r="H17">
            <v>14.546500000000002</v>
          </cell>
        </row>
        <row r="18">
          <cell r="A18">
            <v>2.23</v>
          </cell>
          <cell r="B18" t="str">
            <v>Core 7a - 8</v>
          </cell>
          <cell r="C18">
            <v>-5</v>
          </cell>
          <cell r="D18">
            <v>1</v>
          </cell>
          <cell r="E18">
            <v>2.7</v>
          </cell>
          <cell r="G18">
            <v>3.0950000000000002</v>
          </cell>
          <cell r="H18">
            <v>8.3565000000000005</v>
          </cell>
        </row>
        <row r="19">
          <cell r="A19">
            <v>2.23</v>
          </cell>
          <cell r="C19">
            <v>-5</v>
          </cell>
          <cell r="D19">
            <v>-1</v>
          </cell>
          <cell r="E19">
            <v>1</v>
          </cell>
          <cell r="G19">
            <v>2</v>
          </cell>
          <cell r="H19">
            <v>-2</v>
          </cell>
        </row>
        <row r="20">
          <cell r="A20">
            <v>2.23</v>
          </cell>
          <cell r="C20">
            <v>-5</v>
          </cell>
          <cell r="D20">
            <v>1</v>
          </cell>
          <cell r="E20">
            <v>4.0999999999999996</v>
          </cell>
          <cell r="G20">
            <v>0.27500000000000002</v>
          </cell>
          <cell r="H20">
            <v>1.1274999999999999</v>
          </cell>
        </row>
        <row r="21">
          <cell r="A21">
            <v>2.23</v>
          </cell>
          <cell r="C21">
            <v>-5</v>
          </cell>
          <cell r="D21">
            <v>1</v>
          </cell>
          <cell r="E21">
            <v>0.75</v>
          </cell>
          <cell r="G21">
            <v>0.27500000000000002</v>
          </cell>
          <cell r="H21">
            <v>0.20625000000000002</v>
          </cell>
        </row>
        <row r="22">
          <cell r="A22">
            <v>2.23</v>
          </cell>
          <cell r="B22" t="str">
            <v>wall XX,YY,ZZ</v>
          </cell>
          <cell r="C22">
            <v>-4</v>
          </cell>
          <cell r="D22">
            <v>3</v>
          </cell>
          <cell r="E22">
            <v>4.0999999999999996</v>
          </cell>
          <cell r="G22">
            <v>2.65</v>
          </cell>
          <cell r="H22">
            <v>32.594999999999999</v>
          </cell>
        </row>
        <row r="23">
          <cell r="A23">
            <v>2.23</v>
          </cell>
          <cell r="B23" t="str">
            <v>wall XX,YY,ZZ</v>
          </cell>
          <cell r="C23">
            <v>-4</v>
          </cell>
          <cell r="D23">
            <v>3</v>
          </cell>
          <cell r="E23">
            <v>3.9</v>
          </cell>
          <cell r="G23">
            <v>2.65</v>
          </cell>
          <cell r="H23">
            <v>31.004999999999995</v>
          </cell>
        </row>
        <row r="24">
          <cell r="A24">
            <v>2.23</v>
          </cell>
          <cell r="B24" t="str">
            <v>Core 2-5</v>
          </cell>
          <cell r="C24">
            <v>-4</v>
          </cell>
          <cell r="D24">
            <v>1</v>
          </cell>
          <cell r="E24">
            <v>9.73</v>
          </cell>
          <cell r="G24">
            <v>2.7250000000000001</v>
          </cell>
          <cell r="H24">
            <v>26.514250000000001</v>
          </cell>
        </row>
        <row r="25">
          <cell r="A25">
            <v>2.23</v>
          </cell>
          <cell r="B25" t="str">
            <v>Core 2-7a</v>
          </cell>
          <cell r="C25">
            <v>-4</v>
          </cell>
          <cell r="D25">
            <v>1</v>
          </cell>
          <cell r="E25">
            <v>2.4</v>
          </cell>
          <cell r="G25">
            <v>2.7250000000000001</v>
          </cell>
          <cell r="H25">
            <v>6.54</v>
          </cell>
        </row>
        <row r="26">
          <cell r="A26">
            <v>2.23</v>
          </cell>
          <cell r="B26" t="str">
            <v>Core 7 / 3-5</v>
          </cell>
          <cell r="C26">
            <v>-4</v>
          </cell>
          <cell r="D26">
            <v>1</v>
          </cell>
          <cell r="E26">
            <v>6.83</v>
          </cell>
          <cell r="G26">
            <v>2.7250000000000001</v>
          </cell>
          <cell r="H26">
            <v>18.611750000000001</v>
          </cell>
        </row>
        <row r="27">
          <cell r="A27">
            <v>2.23</v>
          </cell>
          <cell r="B27" t="str">
            <v>Core 1 - 6 / 6 - 6a</v>
          </cell>
          <cell r="C27">
            <v>-4</v>
          </cell>
          <cell r="D27">
            <v>2</v>
          </cell>
          <cell r="E27">
            <v>2.2999999999999998</v>
          </cell>
          <cell r="G27">
            <v>2.7250000000000001</v>
          </cell>
          <cell r="H27">
            <v>12.535</v>
          </cell>
        </row>
        <row r="28">
          <cell r="A28">
            <v>2.23</v>
          </cell>
          <cell r="B28" t="str">
            <v>Core 7 - 8</v>
          </cell>
          <cell r="C28">
            <v>-4</v>
          </cell>
          <cell r="D28">
            <v>1</v>
          </cell>
          <cell r="E28">
            <v>2.2999999999999998</v>
          </cell>
          <cell r="G28">
            <v>2.7250000000000001</v>
          </cell>
          <cell r="H28">
            <v>6.2675000000000001</v>
          </cell>
        </row>
        <row r="29">
          <cell r="A29">
            <v>2.23</v>
          </cell>
          <cell r="B29" t="str">
            <v>Core 7 - (10-12)</v>
          </cell>
          <cell r="C29">
            <v>-4</v>
          </cell>
          <cell r="D29">
            <v>1</v>
          </cell>
          <cell r="E29">
            <v>4.9800000000000004</v>
          </cell>
          <cell r="G29">
            <v>2.7250000000000001</v>
          </cell>
          <cell r="H29">
            <v>13.570500000000001</v>
          </cell>
        </row>
        <row r="30">
          <cell r="A30">
            <v>2.23</v>
          </cell>
          <cell r="B30" t="str">
            <v>Core (8-7a) - 18</v>
          </cell>
          <cell r="C30">
            <v>-4</v>
          </cell>
          <cell r="D30">
            <v>1</v>
          </cell>
          <cell r="E30">
            <v>4.75</v>
          </cell>
          <cell r="G30">
            <v>2.7250000000000001</v>
          </cell>
          <cell r="H30">
            <v>12.94375</v>
          </cell>
        </row>
        <row r="31">
          <cell r="A31">
            <v>2.23</v>
          </cell>
          <cell r="B31" t="str">
            <v>Core (10-12)-18</v>
          </cell>
          <cell r="C31">
            <v>-4</v>
          </cell>
          <cell r="D31">
            <v>1</v>
          </cell>
          <cell r="E31">
            <v>3.43</v>
          </cell>
          <cell r="G31">
            <v>2.7250000000000001</v>
          </cell>
          <cell r="H31">
            <v>9.3467500000000001</v>
          </cell>
        </row>
        <row r="32">
          <cell r="A32">
            <v>2.23</v>
          </cell>
          <cell r="B32" t="str">
            <v>Core (1-6)-(2-7a)</v>
          </cell>
          <cell r="C32">
            <v>-4</v>
          </cell>
          <cell r="D32">
            <v>1</v>
          </cell>
          <cell r="E32">
            <v>8.2850000000000001</v>
          </cell>
          <cell r="G32">
            <v>2.7250000000000001</v>
          </cell>
          <cell r="H32">
            <v>22.576625</v>
          </cell>
        </row>
        <row r="33">
          <cell r="A33">
            <v>2.23</v>
          </cell>
          <cell r="B33" t="str">
            <v xml:space="preserve"> 2- 3</v>
          </cell>
          <cell r="C33">
            <v>-4</v>
          </cell>
          <cell r="D33">
            <v>1</v>
          </cell>
          <cell r="E33">
            <v>3.25</v>
          </cell>
          <cell r="G33">
            <v>2.7250000000000001</v>
          </cell>
          <cell r="H33">
            <v>8.8562500000000011</v>
          </cell>
        </row>
        <row r="34">
          <cell r="A34">
            <v>2.23</v>
          </cell>
          <cell r="B34" t="str">
            <v>(3-4) - (4-5)</v>
          </cell>
          <cell r="C34">
            <v>-4</v>
          </cell>
          <cell r="D34">
            <v>2</v>
          </cell>
          <cell r="E34">
            <v>2.2999999999999998</v>
          </cell>
          <cell r="G34">
            <v>2.7250000000000001</v>
          </cell>
          <cell r="H34">
            <v>12.535</v>
          </cell>
        </row>
        <row r="35">
          <cell r="A35">
            <v>2.23</v>
          </cell>
          <cell r="B35" t="str">
            <v xml:space="preserve"> 5 - 7</v>
          </cell>
          <cell r="C35">
            <v>-4</v>
          </cell>
          <cell r="D35">
            <v>1</v>
          </cell>
          <cell r="E35">
            <v>4.71</v>
          </cell>
          <cell r="G35">
            <v>2.7250000000000001</v>
          </cell>
          <cell r="H35">
            <v>12.83475</v>
          </cell>
        </row>
        <row r="36">
          <cell r="A36">
            <v>2.23</v>
          </cell>
          <cell r="B36" t="str">
            <v>7a - 8</v>
          </cell>
          <cell r="C36">
            <v>-4</v>
          </cell>
          <cell r="D36">
            <v>1</v>
          </cell>
          <cell r="E36">
            <v>2.65</v>
          </cell>
          <cell r="G36">
            <v>2.7250000000000001</v>
          </cell>
          <cell r="H36">
            <v>7.2212500000000004</v>
          </cell>
        </row>
        <row r="37">
          <cell r="A37">
            <v>2.23</v>
          </cell>
          <cell r="B37" t="str">
            <v>Core 10 - 8</v>
          </cell>
          <cell r="C37">
            <v>-4</v>
          </cell>
          <cell r="D37">
            <v>1</v>
          </cell>
          <cell r="E37">
            <v>4.2850000000000001</v>
          </cell>
          <cell r="G37">
            <v>2.7250000000000001</v>
          </cell>
          <cell r="H37">
            <v>11.676625000000001</v>
          </cell>
        </row>
        <row r="38">
          <cell r="A38">
            <v>2.23</v>
          </cell>
          <cell r="B38" t="str">
            <v xml:space="preserve"> 10-11</v>
          </cell>
          <cell r="C38">
            <v>-4</v>
          </cell>
          <cell r="D38">
            <v>1</v>
          </cell>
          <cell r="E38">
            <v>4.71</v>
          </cell>
          <cell r="G38">
            <v>2.7250000000000001</v>
          </cell>
          <cell r="H38">
            <v>12.83475</v>
          </cell>
        </row>
        <row r="39">
          <cell r="A39">
            <v>2.23</v>
          </cell>
          <cell r="B39" t="str">
            <v xml:space="preserve"> 11 - 12</v>
          </cell>
          <cell r="C39">
            <v>-4</v>
          </cell>
          <cell r="D39">
            <v>1</v>
          </cell>
          <cell r="E39">
            <v>5.91</v>
          </cell>
          <cell r="G39">
            <v>2.7250000000000001</v>
          </cell>
          <cell r="H39">
            <v>16.104749999999999</v>
          </cell>
        </row>
        <row r="40">
          <cell r="A40">
            <v>2.23</v>
          </cell>
          <cell r="B40" t="str">
            <v>1 - 6a</v>
          </cell>
          <cell r="C40">
            <v>-4</v>
          </cell>
          <cell r="D40">
            <v>1</v>
          </cell>
          <cell r="E40">
            <v>8.92</v>
          </cell>
          <cell r="G40">
            <v>2.65</v>
          </cell>
          <cell r="H40">
            <v>23.637999999999998</v>
          </cell>
        </row>
        <row r="41">
          <cell r="A41">
            <v>2.23</v>
          </cell>
          <cell r="B41" t="str">
            <v>6a - 18</v>
          </cell>
          <cell r="C41">
            <v>-4</v>
          </cell>
          <cell r="D41">
            <v>1</v>
          </cell>
          <cell r="E41">
            <v>2.2999999999999998</v>
          </cell>
          <cell r="G41">
            <v>2.65</v>
          </cell>
          <cell r="H41">
            <v>6.0949999999999998</v>
          </cell>
        </row>
        <row r="42">
          <cell r="A42">
            <v>2.23</v>
          </cell>
          <cell r="B42" t="str">
            <v>6a - 18</v>
          </cell>
          <cell r="C42">
            <v>-4</v>
          </cell>
          <cell r="D42">
            <v>1</v>
          </cell>
          <cell r="E42">
            <v>2.1749999999999998</v>
          </cell>
          <cell r="G42">
            <v>2.65</v>
          </cell>
          <cell r="H42">
            <v>5.763749999999999</v>
          </cell>
        </row>
        <row r="43">
          <cell r="A43">
            <v>2.23</v>
          </cell>
          <cell r="B43" t="str">
            <v xml:space="preserve"> 18 - 10</v>
          </cell>
          <cell r="C43">
            <v>-4</v>
          </cell>
          <cell r="D43">
            <v>1</v>
          </cell>
          <cell r="E43">
            <v>1.875</v>
          </cell>
          <cell r="G43">
            <v>2.65</v>
          </cell>
          <cell r="H43">
            <v>4.96875</v>
          </cell>
        </row>
        <row r="44">
          <cell r="A44">
            <v>2.23</v>
          </cell>
          <cell r="B44" t="str">
            <v xml:space="preserve"> 18 - 10</v>
          </cell>
          <cell r="C44">
            <v>-4</v>
          </cell>
          <cell r="D44">
            <v>1</v>
          </cell>
          <cell r="E44">
            <v>0.5</v>
          </cell>
          <cell r="G44">
            <v>2.65</v>
          </cell>
          <cell r="H44">
            <v>1.325</v>
          </cell>
        </row>
        <row r="45">
          <cell r="A45">
            <v>2.23</v>
          </cell>
          <cell r="B45">
            <v>1</v>
          </cell>
          <cell r="C45">
            <v>-4</v>
          </cell>
          <cell r="D45">
            <v>1</v>
          </cell>
          <cell r="E45">
            <v>1.54</v>
          </cell>
          <cell r="G45">
            <v>2.9249999999999998</v>
          </cell>
          <cell r="H45">
            <v>4.5045000000000002</v>
          </cell>
        </row>
        <row r="46">
          <cell r="A46">
            <v>2.23</v>
          </cell>
          <cell r="B46">
            <v>1</v>
          </cell>
          <cell r="C46">
            <v>-4</v>
          </cell>
          <cell r="D46">
            <v>1</v>
          </cell>
          <cell r="E46">
            <v>2.5499999999999998</v>
          </cell>
          <cell r="G46">
            <v>2.9249999999999998</v>
          </cell>
          <cell r="H46">
            <v>7.4587499999999993</v>
          </cell>
        </row>
        <row r="47">
          <cell r="A47">
            <v>2.23</v>
          </cell>
          <cell r="B47">
            <v>12</v>
          </cell>
          <cell r="C47">
            <v>-4</v>
          </cell>
          <cell r="D47">
            <v>1</v>
          </cell>
          <cell r="E47">
            <v>0.75</v>
          </cell>
          <cell r="G47">
            <v>2.9249999999999998</v>
          </cell>
          <cell r="H47">
            <v>2.1937499999999996</v>
          </cell>
        </row>
        <row r="48">
          <cell r="A48">
            <v>4.01</v>
          </cell>
          <cell r="C48">
            <v>-5</v>
          </cell>
          <cell r="D48">
            <v>1</v>
          </cell>
          <cell r="E48">
            <v>27.2</v>
          </cell>
          <cell r="F48">
            <v>23.1</v>
          </cell>
          <cell r="H48">
            <v>628.32000000000005</v>
          </cell>
        </row>
        <row r="49">
          <cell r="A49">
            <v>4.01</v>
          </cell>
          <cell r="C49">
            <v>-5</v>
          </cell>
          <cell r="D49">
            <v>1</v>
          </cell>
          <cell r="E49">
            <v>20.27</v>
          </cell>
          <cell r="F49">
            <v>1.9</v>
          </cell>
          <cell r="H49">
            <v>38.512999999999998</v>
          </cell>
        </row>
        <row r="50">
          <cell r="A50">
            <v>4.01</v>
          </cell>
          <cell r="C50">
            <v>-5</v>
          </cell>
          <cell r="D50">
            <v>1</v>
          </cell>
          <cell r="E50">
            <v>4.8</v>
          </cell>
          <cell r="F50">
            <v>1</v>
          </cell>
          <cell r="H50">
            <v>4.8</v>
          </cell>
        </row>
        <row r="51">
          <cell r="A51">
            <v>4.01</v>
          </cell>
          <cell r="C51">
            <v>-5</v>
          </cell>
          <cell r="D51">
            <v>1</v>
          </cell>
          <cell r="E51">
            <v>106.94</v>
          </cell>
          <cell r="G51">
            <v>2.27</v>
          </cell>
          <cell r="H51">
            <v>242.75379999999998</v>
          </cell>
        </row>
        <row r="52">
          <cell r="A52">
            <v>4.01</v>
          </cell>
          <cell r="C52">
            <v>-5</v>
          </cell>
          <cell r="D52">
            <v>-1</v>
          </cell>
          <cell r="E52">
            <v>7.55</v>
          </cell>
          <cell r="G52">
            <v>0.81</v>
          </cell>
          <cell r="H52">
            <v>-6.1154999999999999</v>
          </cell>
        </row>
        <row r="53">
          <cell r="A53">
            <v>4.05</v>
          </cell>
          <cell r="B53" t="str">
            <v>North side</v>
          </cell>
          <cell r="C53">
            <v>-5</v>
          </cell>
          <cell r="D53">
            <v>1</v>
          </cell>
          <cell r="E53">
            <v>27.2</v>
          </cell>
          <cell r="H53">
            <v>27.2</v>
          </cell>
        </row>
        <row r="54">
          <cell r="A54">
            <v>4.05</v>
          </cell>
          <cell r="B54" t="str">
            <v>West side</v>
          </cell>
          <cell r="C54">
            <v>-5</v>
          </cell>
          <cell r="D54">
            <v>1</v>
          </cell>
          <cell r="E54">
            <v>24.9</v>
          </cell>
          <cell r="H54">
            <v>24.9</v>
          </cell>
        </row>
        <row r="55">
          <cell r="A55">
            <v>4.05</v>
          </cell>
          <cell r="B55" t="str">
            <v>South side</v>
          </cell>
          <cell r="C55">
            <v>-5</v>
          </cell>
          <cell r="D55">
            <v>1</v>
          </cell>
          <cell r="E55">
            <v>15.57</v>
          </cell>
          <cell r="H55">
            <v>15.57</v>
          </cell>
        </row>
        <row r="56">
          <cell r="A56">
            <v>4.05</v>
          </cell>
          <cell r="C56">
            <v>-5</v>
          </cell>
          <cell r="D56">
            <v>1</v>
          </cell>
          <cell r="E56">
            <v>1</v>
          </cell>
          <cell r="H56">
            <v>1</v>
          </cell>
        </row>
        <row r="57">
          <cell r="A57">
            <v>4.05</v>
          </cell>
          <cell r="C57">
            <v>-5</v>
          </cell>
          <cell r="D57">
            <v>1</v>
          </cell>
          <cell r="E57">
            <v>4.8</v>
          </cell>
          <cell r="H57">
            <v>4.8</v>
          </cell>
        </row>
        <row r="58">
          <cell r="A58">
            <v>4.05</v>
          </cell>
          <cell r="B58" t="str">
            <v>East side</v>
          </cell>
          <cell r="C58">
            <v>-5</v>
          </cell>
          <cell r="D58">
            <v>1</v>
          </cell>
          <cell r="E58">
            <v>2.9</v>
          </cell>
          <cell r="H58">
            <v>2.9</v>
          </cell>
        </row>
        <row r="59">
          <cell r="A59">
            <v>4.05</v>
          </cell>
          <cell r="C59">
            <v>-5</v>
          </cell>
          <cell r="D59">
            <v>1</v>
          </cell>
          <cell r="E59">
            <v>7.5</v>
          </cell>
          <cell r="H59">
            <v>7.5</v>
          </cell>
        </row>
        <row r="60">
          <cell r="A60">
            <v>4.05</v>
          </cell>
          <cell r="C60">
            <v>-5</v>
          </cell>
          <cell r="D60">
            <v>1</v>
          </cell>
          <cell r="E60">
            <v>23.1</v>
          </cell>
          <cell r="H60">
            <v>23.1</v>
          </cell>
        </row>
        <row r="61">
          <cell r="A61">
            <v>3.03</v>
          </cell>
          <cell r="B61" t="str">
            <v>North Side</v>
          </cell>
          <cell r="C61">
            <v>-5</v>
          </cell>
          <cell r="D61">
            <v>2</v>
          </cell>
          <cell r="E61">
            <v>26.9</v>
          </cell>
          <cell r="G61">
            <v>1.89</v>
          </cell>
          <cell r="H61">
            <v>101.68199999999999</v>
          </cell>
        </row>
        <row r="62">
          <cell r="A62">
            <v>3.03</v>
          </cell>
          <cell r="B62" t="str">
            <v>West Side</v>
          </cell>
          <cell r="C62">
            <v>-5</v>
          </cell>
          <cell r="D62">
            <v>2</v>
          </cell>
          <cell r="E62">
            <v>25.5</v>
          </cell>
          <cell r="G62">
            <v>1.89</v>
          </cell>
          <cell r="H62">
            <v>96.39</v>
          </cell>
        </row>
        <row r="63">
          <cell r="A63">
            <v>3.03</v>
          </cell>
          <cell r="B63" t="str">
            <v>South Side</v>
          </cell>
          <cell r="C63">
            <v>-5</v>
          </cell>
          <cell r="D63">
            <v>2</v>
          </cell>
          <cell r="E63">
            <v>15.27</v>
          </cell>
          <cell r="G63">
            <v>1.89</v>
          </cell>
          <cell r="H63">
            <v>57.720599999999997</v>
          </cell>
        </row>
        <row r="64">
          <cell r="A64">
            <v>3.03</v>
          </cell>
          <cell r="C64">
            <v>-5</v>
          </cell>
          <cell r="D64">
            <v>2</v>
          </cell>
          <cell r="E64">
            <v>1</v>
          </cell>
          <cell r="G64">
            <v>1.08</v>
          </cell>
          <cell r="H64">
            <v>2.16</v>
          </cell>
        </row>
        <row r="65">
          <cell r="A65">
            <v>3.03</v>
          </cell>
          <cell r="C65">
            <v>-5</v>
          </cell>
          <cell r="D65">
            <v>2</v>
          </cell>
          <cell r="E65">
            <v>4.5</v>
          </cell>
          <cell r="G65">
            <v>1.08</v>
          </cell>
          <cell r="H65">
            <v>9.7200000000000006</v>
          </cell>
        </row>
        <row r="66">
          <cell r="A66">
            <v>3.03</v>
          </cell>
          <cell r="B66" t="str">
            <v>East Side</v>
          </cell>
          <cell r="C66">
            <v>-5</v>
          </cell>
          <cell r="D66">
            <v>2</v>
          </cell>
          <cell r="E66">
            <v>1.75</v>
          </cell>
          <cell r="G66">
            <v>1.08</v>
          </cell>
          <cell r="H66">
            <v>3.7800000000000002</v>
          </cell>
        </row>
        <row r="67">
          <cell r="A67">
            <v>3.03</v>
          </cell>
          <cell r="C67">
            <v>-5</v>
          </cell>
          <cell r="D67">
            <v>2</v>
          </cell>
          <cell r="E67">
            <v>1.45</v>
          </cell>
          <cell r="G67">
            <v>1.89</v>
          </cell>
          <cell r="H67">
            <v>5.4809999999999999</v>
          </cell>
        </row>
        <row r="68">
          <cell r="A68">
            <v>3.03</v>
          </cell>
          <cell r="C68">
            <v>-5</v>
          </cell>
          <cell r="D68">
            <v>2</v>
          </cell>
          <cell r="E68">
            <v>7.5</v>
          </cell>
          <cell r="G68">
            <v>1.89</v>
          </cell>
          <cell r="H68">
            <v>28.349999999999998</v>
          </cell>
        </row>
        <row r="69">
          <cell r="A69">
            <v>3.03</v>
          </cell>
          <cell r="C69">
            <v>-5</v>
          </cell>
          <cell r="D69">
            <v>2</v>
          </cell>
          <cell r="E69">
            <v>23.4</v>
          </cell>
          <cell r="G69">
            <v>1.89</v>
          </cell>
          <cell r="H69">
            <v>88.451999999999984</v>
          </cell>
        </row>
        <row r="70">
          <cell r="A70">
            <v>3.03</v>
          </cell>
          <cell r="C70">
            <v>-5</v>
          </cell>
          <cell r="D70">
            <v>-1</v>
          </cell>
          <cell r="E70">
            <v>7</v>
          </cell>
          <cell r="G70">
            <v>1.89</v>
          </cell>
          <cell r="H70">
            <v>-13.229999999999999</v>
          </cell>
        </row>
        <row r="71">
          <cell r="A71">
            <v>2.2999999999999998</v>
          </cell>
          <cell r="B71">
            <v>2</v>
          </cell>
          <cell r="C71">
            <v>-5</v>
          </cell>
          <cell r="D71">
            <v>1</v>
          </cell>
          <cell r="E71">
            <v>3.25</v>
          </cell>
          <cell r="F71">
            <v>2.65</v>
          </cell>
          <cell r="H71">
            <v>8.6124999999999989</v>
          </cell>
        </row>
        <row r="72">
          <cell r="A72">
            <v>2.2999999999999998</v>
          </cell>
          <cell r="B72" t="str">
            <v xml:space="preserve"> 3 - 5</v>
          </cell>
          <cell r="C72">
            <v>-5</v>
          </cell>
          <cell r="D72">
            <v>1</v>
          </cell>
          <cell r="E72">
            <v>7.33</v>
          </cell>
          <cell r="F72">
            <v>2.8</v>
          </cell>
          <cell r="H72">
            <v>20.523999999999997</v>
          </cell>
        </row>
        <row r="73">
          <cell r="A73">
            <v>2.2999999999999998</v>
          </cell>
          <cell r="B73">
            <v>7</v>
          </cell>
          <cell r="C73">
            <v>-5</v>
          </cell>
          <cell r="D73">
            <v>1</v>
          </cell>
          <cell r="E73">
            <v>4.9800000000000004</v>
          </cell>
          <cell r="F73">
            <v>2.15</v>
          </cell>
          <cell r="H73">
            <v>10.707000000000001</v>
          </cell>
        </row>
        <row r="74">
          <cell r="A74">
            <v>2.2999999999999998</v>
          </cell>
          <cell r="B74" t="str">
            <v>7c</v>
          </cell>
          <cell r="C74">
            <v>-5</v>
          </cell>
          <cell r="D74">
            <v>1</v>
          </cell>
          <cell r="E74">
            <v>2.835</v>
          </cell>
          <cell r="F74">
            <v>2.35</v>
          </cell>
          <cell r="H74">
            <v>6.6622500000000002</v>
          </cell>
        </row>
        <row r="75">
          <cell r="A75">
            <v>2.2999999999999998</v>
          </cell>
          <cell r="B75" t="str">
            <v xml:space="preserve">7a </v>
          </cell>
          <cell r="C75">
            <v>-5</v>
          </cell>
          <cell r="D75">
            <v>1</v>
          </cell>
          <cell r="E75">
            <v>2.65</v>
          </cell>
          <cell r="F75">
            <v>2.39</v>
          </cell>
          <cell r="H75">
            <v>6.3334999999999999</v>
          </cell>
        </row>
        <row r="76">
          <cell r="A76">
            <v>2.2999999999999998</v>
          </cell>
          <cell r="B76">
            <v>1</v>
          </cell>
          <cell r="C76">
            <v>-5</v>
          </cell>
          <cell r="D76">
            <v>1</v>
          </cell>
          <cell r="E76">
            <v>2.2999999999999998</v>
          </cell>
          <cell r="F76">
            <v>1.95</v>
          </cell>
          <cell r="H76">
            <v>4.4849999999999994</v>
          </cell>
        </row>
        <row r="77">
          <cell r="A77">
            <v>2.2999999999999998</v>
          </cell>
          <cell r="B77" t="str">
            <v xml:space="preserve"> 6-7a-8</v>
          </cell>
          <cell r="C77">
            <v>-5</v>
          </cell>
          <cell r="D77">
            <v>1</v>
          </cell>
          <cell r="E77">
            <v>2.9</v>
          </cell>
          <cell r="F77">
            <v>7.55</v>
          </cell>
          <cell r="H77">
            <v>21.895</v>
          </cell>
        </row>
        <row r="78">
          <cell r="A78">
            <v>2.2999999999999998</v>
          </cell>
          <cell r="B78">
            <v>10</v>
          </cell>
          <cell r="C78">
            <v>-5</v>
          </cell>
          <cell r="D78">
            <v>1</v>
          </cell>
          <cell r="E78">
            <v>2.36</v>
          </cell>
          <cell r="F78">
            <v>2.0099999999999998</v>
          </cell>
          <cell r="H78">
            <v>4.7435999999999989</v>
          </cell>
        </row>
        <row r="79">
          <cell r="A79">
            <v>2.2999999999999998</v>
          </cell>
          <cell r="B79">
            <v>11</v>
          </cell>
          <cell r="C79">
            <v>-5</v>
          </cell>
          <cell r="D79">
            <v>1</v>
          </cell>
          <cell r="E79">
            <v>1.62</v>
          </cell>
          <cell r="F79">
            <v>6.16</v>
          </cell>
          <cell r="H79">
            <v>9.9792000000000005</v>
          </cell>
        </row>
        <row r="80">
          <cell r="A80">
            <v>2.31</v>
          </cell>
          <cell r="C80">
            <v>-5</v>
          </cell>
          <cell r="D80">
            <v>1</v>
          </cell>
          <cell r="E80">
            <v>5.25</v>
          </cell>
          <cell r="F80">
            <v>2.1800000000000002</v>
          </cell>
          <cell r="H80">
            <v>11.445</v>
          </cell>
        </row>
        <row r="81">
          <cell r="A81">
            <v>2.31</v>
          </cell>
          <cell r="C81">
            <v>-5</v>
          </cell>
          <cell r="D81">
            <v>1</v>
          </cell>
          <cell r="E81">
            <v>11.27</v>
          </cell>
          <cell r="F81">
            <v>8.3000000000000007</v>
          </cell>
          <cell r="H81">
            <v>93.541000000000011</v>
          </cell>
        </row>
        <row r="82">
          <cell r="A82">
            <v>2.31</v>
          </cell>
          <cell r="C82">
            <v>-5</v>
          </cell>
          <cell r="D82">
            <v>1</v>
          </cell>
          <cell r="E82">
            <v>19.32</v>
          </cell>
          <cell r="F82">
            <v>11.27</v>
          </cell>
          <cell r="H82">
            <v>217.7364</v>
          </cell>
        </row>
        <row r="83">
          <cell r="A83">
            <v>2.31</v>
          </cell>
          <cell r="C83">
            <v>-5</v>
          </cell>
          <cell r="D83">
            <v>-2</v>
          </cell>
          <cell r="E83">
            <v>10.119999999999999</v>
          </cell>
          <cell r="F83">
            <v>0.44</v>
          </cell>
          <cell r="H83">
            <v>-8.9055999999999997</v>
          </cell>
        </row>
        <row r="84">
          <cell r="A84">
            <v>2.31</v>
          </cell>
          <cell r="C84">
            <v>-5</v>
          </cell>
          <cell r="D84">
            <v>-1</v>
          </cell>
          <cell r="E84">
            <v>0.45</v>
          </cell>
          <cell r="F84">
            <v>1.8</v>
          </cell>
          <cell r="H84">
            <v>-0.81</v>
          </cell>
        </row>
        <row r="85">
          <cell r="A85" t="str">
            <v>2.28a</v>
          </cell>
          <cell r="C85">
            <v>-5</v>
          </cell>
          <cell r="D85">
            <v>6</v>
          </cell>
          <cell r="E85">
            <v>0.45</v>
          </cell>
          <cell r="F85">
            <v>0.45</v>
          </cell>
          <cell r="G85">
            <v>3.0950000000000002</v>
          </cell>
          <cell r="H85">
            <v>3.7604250000000006</v>
          </cell>
        </row>
        <row r="86">
          <cell r="A86" t="str">
            <v>2.28b</v>
          </cell>
          <cell r="C86">
            <v>-5</v>
          </cell>
          <cell r="D86">
            <v>6</v>
          </cell>
          <cell r="E86">
            <v>0.85</v>
          </cell>
          <cell r="F86">
            <v>0.5</v>
          </cell>
          <cell r="G86">
            <v>3.0950000000000002</v>
          </cell>
          <cell r="H86">
            <v>7.8922499999999998</v>
          </cell>
        </row>
        <row r="87">
          <cell r="A87" t="str">
            <v>2.28c</v>
          </cell>
          <cell r="C87">
            <v>-5</v>
          </cell>
          <cell r="D87">
            <v>3</v>
          </cell>
          <cell r="E87">
            <v>1.1000000000000001</v>
          </cell>
          <cell r="F87">
            <v>1.1000000000000001</v>
          </cell>
          <cell r="G87">
            <v>3.0950000000000002</v>
          </cell>
          <cell r="H87">
            <v>11.234850000000003</v>
          </cell>
        </row>
        <row r="88">
          <cell r="A88">
            <v>2.15</v>
          </cell>
          <cell r="C88">
            <v>-5</v>
          </cell>
          <cell r="D88">
            <v>1</v>
          </cell>
          <cell r="E88">
            <v>26.9</v>
          </cell>
          <cell r="F88">
            <v>22.8</v>
          </cell>
          <cell r="G88">
            <v>1.75</v>
          </cell>
          <cell r="H88">
            <v>1073.31</v>
          </cell>
        </row>
        <row r="89">
          <cell r="A89">
            <v>2.15</v>
          </cell>
          <cell r="C89">
            <v>-5</v>
          </cell>
          <cell r="D89">
            <v>1</v>
          </cell>
          <cell r="E89">
            <v>19.399999999999999</v>
          </cell>
          <cell r="F89">
            <v>2.1</v>
          </cell>
          <cell r="G89">
            <v>1.75</v>
          </cell>
          <cell r="H89">
            <v>71.295000000000002</v>
          </cell>
        </row>
        <row r="90">
          <cell r="A90">
            <v>2.15</v>
          </cell>
          <cell r="C90">
            <v>-5</v>
          </cell>
          <cell r="D90">
            <v>1</v>
          </cell>
          <cell r="E90">
            <v>1</v>
          </cell>
          <cell r="F90">
            <v>4.5</v>
          </cell>
          <cell r="G90">
            <v>1.75</v>
          </cell>
          <cell r="H90">
            <v>7.875</v>
          </cell>
        </row>
        <row r="91">
          <cell r="A91">
            <v>2.15</v>
          </cell>
          <cell r="C91">
            <v>-5</v>
          </cell>
          <cell r="D91">
            <v>-1</v>
          </cell>
          <cell r="E91">
            <v>4.5</v>
          </cell>
          <cell r="F91">
            <v>1.139</v>
          </cell>
          <cell r="G91">
            <v>0.75</v>
          </cell>
          <cell r="H91">
            <v>-3.844125</v>
          </cell>
        </row>
        <row r="92">
          <cell r="A92">
            <v>2.15</v>
          </cell>
          <cell r="C92">
            <v>-5</v>
          </cell>
          <cell r="D92">
            <v>-1</v>
          </cell>
          <cell r="E92">
            <v>3.1</v>
          </cell>
          <cell r="F92">
            <v>2.37</v>
          </cell>
          <cell r="G92">
            <v>0.75</v>
          </cell>
          <cell r="H92">
            <v>-5.5102500000000001</v>
          </cell>
        </row>
        <row r="93">
          <cell r="A93">
            <v>2.31</v>
          </cell>
          <cell r="C93">
            <v>-4</v>
          </cell>
          <cell r="D93">
            <v>1</v>
          </cell>
          <cell r="E93">
            <v>5.25</v>
          </cell>
          <cell r="F93">
            <v>2.1800000000000002</v>
          </cell>
          <cell r="H93">
            <v>11.445</v>
          </cell>
        </row>
        <row r="94">
          <cell r="A94">
            <v>2.31</v>
          </cell>
          <cell r="C94">
            <v>-4</v>
          </cell>
          <cell r="D94">
            <v>1</v>
          </cell>
          <cell r="E94">
            <v>11.27</v>
          </cell>
          <cell r="F94">
            <v>8.3000000000000007</v>
          </cell>
          <cell r="H94">
            <v>93.541000000000011</v>
          </cell>
        </row>
        <row r="95">
          <cell r="A95">
            <v>2.31</v>
          </cell>
          <cell r="C95">
            <v>-4</v>
          </cell>
          <cell r="D95">
            <v>1</v>
          </cell>
          <cell r="E95">
            <v>19.32</v>
          </cell>
          <cell r="F95">
            <v>11.27</v>
          </cell>
          <cell r="H95">
            <v>217.7364</v>
          </cell>
        </row>
        <row r="96">
          <cell r="A96">
            <v>2.31</v>
          </cell>
          <cell r="C96">
            <v>-4</v>
          </cell>
          <cell r="D96">
            <v>-2</v>
          </cell>
          <cell r="E96">
            <v>10.119999999999999</v>
          </cell>
          <cell r="F96">
            <v>0.44</v>
          </cell>
          <cell r="H96">
            <v>-8.9055999999999997</v>
          </cell>
        </row>
        <row r="97">
          <cell r="A97">
            <v>2.31</v>
          </cell>
          <cell r="C97">
            <v>-4</v>
          </cell>
          <cell r="D97">
            <v>-1</v>
          </cell>
          <cell r="E97">
            <v>0.45</v>
          </cell>
          <cell r="F97">
            <v>1.8</v>
          </cell>
          <cell r="H97">
            <v>-0.81</v>
          </cell>
        </row>
        <row r="98">
          <cell r="A98">
            <v>2.2999999999999998</v>
          </cell>
          <cell r="B98">
            <v>2</v>
          </cell>
          <cell r="C98">
            <v>-4</v>
          </cell>
          <cell r="D98">
            <v>1</v>
          </cell>
          <cell r="E98">
            <v>3.25</v>
          </cell>
          <cell r="F98">
            <v>2.65</v>
          </cell>
          <cell r="H98">
            <v>8.6124999999999989</v>
          </cell>
        </row>
        <row r="99">
          <cell r="A99">
            <v>2.2999999999999998</v>
          </cell>
          <cell r="B99" t="str">
            <v xml:space="preserve"> 3 - 5</v>
          </cell>
          <cell r="C99">
            <v>-4</v>
          </cell>
          <cell r="D99">
            <v>1</v>
          </cell>
          <cell r="E99">
            <v>7.33</v>
          </cell>
          <cell r="F99">
            <v>2.8</v>
          </cell>
          <cell r="H99">
            <v>20.523999999999997</v>
          </cell>
        </row>
        <row r="100">
          <cell r="A100">
            <v>2.2999999999999998</v>
          </cell>
          <cell r="B100">
            <v>7</v>
          </cell>
          <cell r="C100">
            <v>-4</v>
          </cell>
          <cell r="D100">
            <v>1</v>
          </cell>
          <cell r="E100">
            <v>4.9800000000000004</v>
          </cell>
          <cell r="F100">
            <v>2.15</v>
          </cell>
          <cell r="H100">
            <v>10.707000000000001</v>
          </cell>
        </row>
        <row r="101">
          <cell r="A101">
            <v>2.2999999999999998</v>
          </cell>
          <cell r="B101" t="str">
            <v>7c</v>
          </cell>
          <cell r="C101">
            <v>-4</v>
          </cell>
          <cell r="D101">
            <v>1</v>
          </cell>
          <cell r="E101">
            <v>2.835</v>
          </cell>
          <cell r="F101">
            <v>2.35</v>
          </cell>
          <cell r="H101">
            <v>6.6622500000000002</v>
          </cell>
        </row>
        <row r="102">
          <cell r="A102">
            <v>2.2999999999999998</v>
          </cell>
          <cell r="B102" t="str">
            <v xml:space="preserve">7a </v>
          </cell>
          <cell r="C102">
            <v>-4</v>
          </cell>
          <cell r="D102">
            <v>1</v>
          </cell>
          <cell r="E102">
            <v>2.65</v>
          </cell>
          <cell r="F102">
            <v>2.39</v>
          </cell>
          <cell r="H102">
            <v>6.3334999999999999</v>
          </cell>
        </row>
        <row r="103">
          <cell r="A103">
            <v>2.2999999999999998</v>
          </cell>
          <cell r="B103">
            <v>1</v>
          </cell>
          <cell r="C103">
            <v>-4</v>
          </cell>
          <cell r="D103">
            <v>1</v>
          </cell>
          <cell r="E103">
            <v>2.2999999999999998</v>
          </cell>
          <cell r="F103">
            <v>1.95</v>
          </cell>
          <cell r="H103">
            <v>4.4849999999999994</v>
          </cell>
        </row>
        <row r="104">
          <cell r="A104">
            <v>2.2999999999999998</v>
          </cell>
          <cell r="B104" t="str">
            <v xml:space="preserve"> 6-7a-8</v>
          </cell>
          <cell r="C104">
            <v>-4</v>
          </cell>
          <cell r="D104">
            <v>1</v>
          </cell>
          <cell r="E104">
            <v>2.9</v>
          </cell>
          <cell r="F104">
            <v>7.55</v>
          </cell>
          <cell r="H104">
            <v>21.895</v>
          </cell>
        </row>
        <row r="105">
          <cell r="A105">
            <v>2.2999999999999998</v>
          </cell>
          <cell r="B105">
            <v>10</v>
          </cell>
          <cell r="C105">
            <v>-4</v>
          </cell>
          <cell r="D105">
            <v>1</v>
          </cell>
          <cell r="E105">
            <v>2.36</v>
          </cell>
          <cell r="F105">
            <v>2.0099999999999998</v>
          </cell>
          <cell r="H105">
            <v>4.7435999999999989</v>
          </cell>
        </row>
        <row r="106">
          <cell r="A106">
            <v>2.2999999999999998</v>
          </cell>
          <cell r="B106">
            <v>11</v>
          </cell>
          <cell r="C106">
            <v>-4</v>
          </cell>
          <cell r="D106">
            <v>1</v>
          </cell>
          <cell r="E106">
            <v>1.62</v>
          </cell>
          <cell r="F106">
            <v>6.16</v>
          </cell>
          <cell r="H106">
            <v>9.9792000000000005</v>
          </cell>
        </row>
        <row r="107">
          <cell r="A107">
            <v>2.4300000000000002</v>
          </cell>
          <cell r="C107">
            <v>-4</v>
          </cell>
          <cell r="D107">
            <v>1</v>
          </cell>
          <cell r="E107">
            <v>313.07</v>
          </cell>
          <cell r="F107">
            <v>1</v>
          </cell>
          <cell r="H107">
            <v>313.07</v>
          </cell>
        </row>
        <row r="108">
          <cell r="A108">
            <v>2.4300000000000002</v>
          </cell>
          <cell r="C108">
            <v>-4</v>
          </cell>
          <cell r="D108">
            <v>-3</v>
          </cell>
          <cell r="E108">
            <v>1.1000000000000001</v>
          </cell>
          <cell r="F108">
            <v>1.1000000000000001</v>
          </cell>
          <cell r="H108">
            <v>-3.6300000000000008</v>
          </cell>
        </row>
        <row r="109">
          <cell r="A109">
            <v>2.4300000000000002</v>
          </cell>
          <cell r="C109">
            <v>-4</v>
          </cell>
          <cell r="D109">
            <v>-6</v>
          </cell>
          <cell r="E109">
            <v>0.85</v>
          </cell>
          <cell r="F109">
            <v>0.5</v>
          </cell>
          <cell r="H109">
            <v>-2.5499999999999998</v>
          </cell>
        </row>
        <row r="110">
          <cell r="A110">
            <v>2.4300000000000002</v>
          </cell>
          <cell r="C110">
            <v>-4</v>
          </cell>
          <cell r="D110">
            <v>-6</v>
          </cell>
          <cell r="E110">
            <v>0.45</v>
          </cell>
          <cell r="F110">
            <v>0.45</v>
          </cell>
          <cell r="H110">
            <v>-1.2150000000000001</v>
          </cell>
        </row>
        <row r="111">
          <cell r="A111">
            <v>2.4300000000000002</v>
          </cell>
          <cell r="C111">
            <v>-4</v>
          </cell>
          <cell r="D111">
            <v>-6</v>
          </cell>
          <cell r="E111">
            <v>3.9750000000000001</v>
          </cell>
          <cell r="F111">
            <v>0.25</v>
          </cell>
          <cell r="H111">
            <v>-5.9625000000000004</v>
          </cell>
        </row>
        <row r="112">
          <cell r="A112" t="str">
            <v>2.28a</v>
          </cell>
          <cell r="C112">
            <v>-4</v>
          </cell>
          <cell r="D112">
            <v>6</v>
          </cell>
          <cell r="E112">
            <v>0.45</v>
          </cell>
          <cell r="F112">
            <v>0.45</v>
          </cell>
          <cell r="G112">
            <v>2.65</v>
          </cell>
          <cell r="H112">
            <v>3.2197499999999999</v>
          </cell>
        </row>
        <row r="113">
          <cell r="A113" t="str">
            <v>2.28b</v>
          </cell>
          <cell r="C113">
            <v>-4</v>
          </cell>
          <cell r="D113">
            <v>6</v>
          </cell>
          <cell r="E113">
            <v>0.85</v>
          </cell>
          <cell r="F113">
            <v>0.5</v>
          </cell>
          <cell r="G113">
            <v>2.65</v>
          </cell>
          <cell r="H113">
            <v>6.7574999999999994</v>
          </cell>
        </row>
        <row r="114">
          <cell r="A114" t="str">
            <v>2.28c</v>
          </cell>
          <cell r="C114">
            <v>-4</v>
          </cell>
          <cell r="D114">
            <v>3</v>
          </cell>
          <cell r="E114">
            <v>1.1000000000000001</v>
          </cell>
          <cell r="F114">
            <v>1.1000000000000001</v>
          </cell>
          <cell r="G114">
            <v>2.65</v>
          </cell>
          <cell r="H114">
            <v>9.6195000000000022</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row r="502">
          <cell r="H502">
            <v>0</v>
          </cell>
        </row>
        <row r="503">
          <cell r="H503">
            <v>0</v>
          </cell>
        </row>
        <row r="504">
          <cell r="H504">
            <v>0</v>
          </cell>
        </row>
        <row r="505">
          <cell r="H505">
            <v>0</v>
          </cell>
        </row>
        <row r="506">
          <cell r="H506">
            <v>0</v>
          </cell>
        </row>
        <row r="507">
          <cell r="H507">
            <v>0</v>
          </cell>
        </row>
        <row r="508">
          <cell r="H508">
            <v>0</v>
          </cell>
        </row>
        <row r="509">
          <cell r="H509">
            <v>0</v>
          </cell>
        </row>
        <row r="510">
          <cell r="H510">
            <v>0</v>
          </cell>
        </row>
        <row r="511">
          <cell r="H511">
            <v>0</v>
          </cell>
        </row>
        <row r="512">
          <cell r="H512">
            <v>0</v>
          </cell>
        </row>
        <row r="513">
          <cell r="H513">
            <v>0</v>
          </cell>
        </row>
        <row r="514">
          <cell r="H514">
            <v>0</v>
          </cell>
        </row>
        <row r="515">
          <cell r="H515">
            <v>0</v>
          </cell>
        </row>
        <row r="516">
          <cell r="H516">
            <v>0</v>
          </cell>
        </row>
        <row r="517">
          <cell r="H517">
            <v>0</v>
          </cell>
        </row>
        <row r="518">
          <cell r="H518">
            <v>0</v>
          </cell>
        </row>
        <row r="519">
          <cell r="H519">
            <v>0</v>
          </cell>
        </row>
        <row r="520">
          <cell r="H520">
            <v>0</v>
          </cell>
        </row>
        <row r="521">
          <cell r="H521">
            <v>0</v>
          </cell>
        </row>
        <row r="522">
          <cell r="H522">
            <v>0</v>
          </cell>
        </row>
        <row r="523">
          <cell r="H523">
            <v>0</v>
          </cell>
        </row>
        <row r="524">
          <cell r="H524">
            <v>0</v>
          </cell>
        </row>
        <row r="525">
          <cell r="H525">
            <v>0</v>
          </cell>
        </row>
        <row r="526">
          <cell r="H526">
            <v>0</v>
          </cell>
        </row>
        <row r="527">
          <cell r="H527">
            <v>0</v>
          </cell>
        </row>
        <row r="528">
          <cell r="H528">
            <v>0</v>
          </cell>
        </row>
        <row r="529">
          <cell r="H529">
            <v>0</v>
          </cell>
        </row>
        <row r="530">
          <cell r="H530">
            <v>0</v>
          </cell>
        </row>
        <row r="531">
          <cell r="H531">
            <v>0</v>
          </cell>
        </row>
        <row r="532">
          <cell r="H532">
            <v>0</v>
          </cell>
        </row>
        <row r="533">
          <cell r="H533">
            <v>0</v>
          </cell>
        </row>
        <row r="534">
          <cell r="H534">
            <v>0</v>
          </cell>
        </row>
        <row r="535">
          <cell r="H535">
            <v>0</v>
          </cell>
        </row>
        <row r="536">
          <cell r="H536">
            <v>0</v>
          </cell>
        </row>
        <row r="537">
          <cell r="H537">
            <v>0</v>
          </cell>
        </row>
        <row r="538">
          <cell r="H538">
            <v>0</v>
          </cell>
        </row>
        <row r="539">
          <cell r="H539">
            <v>0</v>
          </cell>
        </row>
        <row r="540">
          <cell r="H540">
            <v>0</v>
          </cell>
        </row>
        <row r="541">
          <cell r="H541">
            <v>0</v>
          </cell>
        </row>
        <row r="542">
          <cell r="H542">
            <v>0</v>
          </cell>
        </row>
        <row r="543">
          <cell r="H543">
            <v>0</v>
          </cell>
        </row>
        <row r="544">
          <cell r="H544">
            <v>0</v>
          </cell>
        </row>
        <row r="545">
          <cell r="H545">
            <v>0</v>
          </cell>
        </row>
        <row r="546">
          <cell r="H546">
            <v>0</v>
          </cell>
        </row>
        <row r="547">
          <cell r="H547">
            <v>0</v>
          </cell>
        </row>
        <row r="548">
          <cell r="H548">
            <v>0</v>
          </cell>
        </row>
        <row r="549">
          <cell r="H54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ML_Sum"/>
      <sheetName val="Quote"/>
      <sheetName val="Elec_Rates"/>
      <sheetName val="Elec_Est"/>
      <sheetName val="E_BOQ"/>
    </sheetNames>
    <sheetDataSet>
      <sheetData sheetId="0"/>
      <sheetData sheetId="1">
        <row r="6">
          <cell r="D6" t="str">
            <v>VAT EXCL.</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28"/>
  <sheetViews>
    <sheetView workbookViewId="0">
      <selection activeCell="B10" sqref="B10"/>
    </sheetView>
  </sheetViews>
  <sheetFormatPr defaultRowHeight="13.2"/>
  <cols>
    <col min="1" max="1" width="11.5546875" style="488" bestFit="1" customWidth="1"/>
    <col min="2" max="2" width="89.6640625" customWidth="1"/>
    <col min="4" max="4" width="9.5546875" customWidth="1"/>
    <col min="6" max="6" width="10.109375" customWidth="1"/>
    <col min="9" max="9" width="7.6640625" customWidth="1"/>
  </cols>
  <sheetData>
    <row r="1" spans="1:3" ht="17.399999999999999">
      <c r="A1" s="489" t="s">
        <v>318</v>
      </c>
      <c r="C1" s="319"/>
    </row>
    <row r="3" spans="1:3">
      <c r="A3" s="169"/>
    </row>
    <row r="13" spans="1:3">
      <c r="A13" s="169"/>
    </row>
    <row r="28" spans="2:2">
      <c r="B28" s="615"/>
    </row>
  </sheetData>
  <phoneticPr fontId="37"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workbookViewId="0">
      <selection activeCell="E22" sqref="E22:E23"/>
    </sheetView>
  </sheetViews>
  <sheetFormatPr defaultColWidth="9.109375" defaultRowHeight="14.4"/>
  <cols>
    <col min="1" max="1" width="4.6640625" style="675" customWidth="1"/>
    <col min="2" max="2" width="6.109375" style="675" customWidth="1"/>
    <col min="3" max="3" width="3.88671875" style="675" hidden="1" customWidth="1"/>
    <col min="4" max="4" width="15.6640625" style="675" customWidth="1"/>
    <col min="5" max="6" width="12.6640625" style="675" customWidth="1"/>
    <col min="7" max="7" width="9.6640625" style="675" hidden="1" customWidth="1"/>
    <col min="8" max="8" width="7.6640625" style="675" hidden="1" customWidth="1"/>
    <col min="9" max="11" width="8.6640625" style="675" hidden="1" customWidth="1"/>
    <col min="12" max="12" width="6.6640625" style="675" hidden="1" customWidth="1"/>
    <col min="13" max="16" width="8.6640625" style="675" hidden="1" customWidth="1"/>
    <col min="17" max="17" width="12.88671875" style="675" customWidth="1"/>
    <col min="18" max="18" width="8.6640625" style="675" customWidth="1"/>
    <col min="19" max="19" width="12.6640625" style="675" customWidth="1"/>
    <col min="20" max="20" width="8.33203125" style="675" customWidth="1"/>
    <col min="21" max="16384" width="9.109375" style="675"/>
  </cols>
  <sheetData>
    <row r="1" spans="1:21" s="672" customFormat="1" ht="29.4">
      <c r="A1" s="856" t="str">
        <f>IF(AND(UPPER(LEFT(TRIM($D$8),11))="01",UPPER(LEFT(TRIM($D$9),3))&lt;&gt;"ELM"),"PANTA RETAIL LTD.","PANTA CONTRACTING LIMITED")</f>
        <v>PANTA CONTRACTING LIMITED</v>
      </c>
      <c r="B1" s="856"/>
      <c r="C1" s="856"/>
      <c r="D1" s="856"/>
      <c r="E1" s="856"/>
      <c r="F1" s="856"/>
      <c r="G1" s="856"/>
      <c r="H1" s="856"/>
      <c r="I1" s="856"/>
      <c r="J1" s="856"/>
      <c r="K1" s="856"/>
      <c r="L1" s="856"/>
      <c r="M1" s="856"/>
      <c r="N1" s="856"/>
      <c r="O1" s="856"/>
      <c r="P1" s="856"/>
      <c r="Q1" s="856"/>
      <c r="R1" s="856"/>
      <c r="S1" s="856"/>
      <c r="T1" s="856"/>
      <c r="U1" s="671"/>
    </row>
    <row r="2" spans="1:21" s="672" customFormat="1" ht="18">
      <c r="A2" s="857" t="str">
        <f>IF(UPPER(LEFT(TRIM($D$9),3))="ELM","ELEC-FOR-MECH INTERNAL QUOTATION","ELECTRICAL INTERNAL QUOTATION")</f>
        <v>ELEC-FOR-MECH INTERNAL QUOTATION</v>
      </c>
      <c r="B2" s="857"/>
      <c r="C2" s="857"/>
      <c r="D2" s="857"/>
      <c r="E2" s="857"/>
      <c r="F2" s="857"/>
      <c r="G2" s="857"/>
      <c r="H2" s="857"/>
      <c r="I2" s="857"/>
      <c r="J2" s="857"/>
      <c r="K2" s="857"/>
      <c r="L2" s="857"/>
      <c r="M2" s="857"/>
      <c r="N2" s="857"/>
      <c r="O2" s="857"/>
      <c r="P2" s="857"/>
      <c r="Q2" s="857"/>
      <c r="R2" s="857"/>
      <c r="S2" s="857"/>
      <c r="T2" s="857"/>
    </row>
    <row r="3" spans="1:21" s="672" customFormat="1">
      <c r="A3" s="673"/>
      <c r="B3" s="674"/>
      <c r="C3" s="673"/>
      <c r="D3" s="673"/>
      <c r="E3" s="673"/>
      <c r="F3" s="673"/>
      <c r="G3" s="675"/>
      <c r="H3" s="675"/>
      <c r="I3" s="675"/>
      <c r="J3" s="675"/>
      <c r="K3" s="673"/>
      <c r="Q3" s="673"/>
      <c r="R3" s="673"/>
      <c r="S3" s="673"/>
      <c r="T3" s="673"/>
    </row>
    <row r="4" spans="1:21" s="672" customFormat="1">
      <c r="A4" s="675"/>
      <c r="B4" s="675"/>
      <c r="C4" s="675"/>
      <c r="D4" s="675"/>
      <c r="E4" s="675"/>
      <c r="F4" s="675"/>
      <c r="G4" s="675"/>
      <c r="H4" s="675"/>
      <c r="I4" s="675"/>
      <c r="J4" s="675"/>
      <c r="K4" s="675"/>
      <c r="L4" s="675"/>
      <c r="M4" s="675"/>
      <c r="N4" s="675"/>
      <c r="O4" s="675"/>
      <c r="P4" s="675"/>
      <c r="Q4" s="675"/>
      <c r="R4" s="675"/>
      <c r="S4" s="675"/>
      <c r="T4" s="675"/>
    </row>
    <row r="5" spans="1:21" s="672" customFormat="1">
      <c r="A5" s="673"/>
      <c r="B5" s="676" t="s">
        <v>227</v>
      </c>
      <c r="C5" s="675"/>
      <c r="D5" s="677" t="str">
        <f>IF(A2="Internal Quotation", "Mechanical Division","")</f>
        <v/>
      </c>
      <c r="E5" s="675"/>
      <c r="F5" s="675"/>
      <c r="G5" s="678"/>
      <c r="H5" s="678"/>
      <c r="I5" s="679"/>
      <c r="J5" s="679"/>
      <c r="K5" s="678"/>
      <c r="L5" s="680"/>
      <c r="M5" s="680"/>
      <c r="N5" s="680"/>
      <c r="O5" s="680"/>
      <c r="P5" s="680"/>
      <c r="Q5" s="675"/>
      <c r="R5" s="681" t="s">
        <v>190</v>
      </c>
      <c r="S5" s="682">
        <f ca="1">NOW()</f>
        <v>46127.715253240742</v>
      </c>
      <c r="T5" s="675"/>
    </row>
    <row r="6" spans="1:21" s="672" customFormat="1">
      <c r="A6" s="683"/>
      <c r="B6" s="683" t="s">
        <v>0</v>
      </c>
      <c r="C6" s="684" t="s">
        <v>228</v>
      </c>
      <c r="D6" s="673" t="str">
        <f>ML_Sum!D1</f>
        <v>ST Microelectronics (Malta) Ltd.</v>
      </c>
      <c r="E6" s="673"/>
      <c r="F6" s="673"/>
      <c r="G6" s="675"/>
      <c r="H6" s="675"/>
      <c r="I6" s="675"/>
      <c r="J6" s="675"/>
      <c r="K6" s="673"/>
      <c r="Q6" s="673"/>
      <c r="R6" s="675"/>
      <c r="S6" s="675"/>
      <c r="T6" s="675"/>
    </row>
    <row r="7" spans="1:21" s="672" customFormat="1">
      <c r="A7" s="683"/>
      <c r="B7" s="683" t="s">
        <v>2</v>
      </c>
      <c r="C7" s="684" t="s">
        <v>229</v>
      </c>
      <c r="D7" s="673" t="str">
        <f>ML_Sum!D2</f>
        <v xml:space="preserve">KK2 General Exhaust Replacement </v>
      </c>
      <c r="E7" s="673"/>
      <c r="F7" s="673"/>
      <c r="G7" s="675"/>
      <c r="H7" s="675"/>
      <c r="I7" s="675"/>
      <c r="J7" s="675"/>
      <c r="K7" s="673"/>
      <c r="Q7" s="673"/>
      <c r="R7" s="675"/>
      <c r="S7" s="675"/>
      <c r="T7" s="675"/>
    </row>
    <row r="8" spans="1:21" s="672" customFormat="1">
      <c r="A8" s="683"/>
      <c r="B8" s="683" t="s">
        <v>4</v>
      </c>
      <c r="C8" s="684" t="s">
        <v>230</v>
      </c>
      <c r="D8" s="673" t="str">
        <f>ML_Sum!D3</f>
        <v>Electrical Supply and Installation</v>
      </c>
      <c r="E8" s="673"/>
      <c r="F8" s="673"/>
      <c r="G8" s="675"/>
      <c r="H8" s="675"/>
      <c r="I8" s="675"/>
      <c r="J8" s="675"/>
      <c r="K8" s="673"/>
      <c r="Q8" s="673"/>
      <c r="R8" s="675"/>
      <c r="S8" s="675"/>
      <c r="T8" s="675"/>
    </row>
    <row r="9" spans="1:21" s="672" customFormat="1">
      <c r="A9" s="675"/>
      <c r="B9" s="676" t="s">
        <v>6</v>
      </c>
      <c r="C9" s="684" t="s">
        <v>231</v>
      </c>
      <c r="D9" s="673" t="str">
        <f>ML_Sum!D4</f>
        <v>ELM25-0560</v>
      </c>
      <c r="E9" s="673"/>
      <c r="F9" s="673"/>
      <c r="G9" s="675"/>
      <c r="H9" s="675"/>
      <c r="I9" s="675"/>
      <c r="J9" s="675"/>
      <c r="K9" s="673"/>
      <c r="Q9" s="673"/>
      <c r="R9" s="673"/>
      <c r="S9" s="673"/>
      <c r="T9" s="673"/>
    </row>
    <row r="10" spans="1:21" s="672" customFormat="1">
      <c r="A10" s="675"/>
      <c r="B10" s="685" t="s">
        <v>182</v>
      </c>
      <c r="C10" s="684" t="s">
        <v>232</v>
      </c>
      <c r="D10" s="673" t="str">
        <f>ML_Sum!D5</f>
        <v>Tender</v>
      </c>
      <c r="E10" s="675"/>
      <c r="F10" s="675"/>
      <c r="G10" s="675"/>
      <c r="H10" s="675"/>
      <c r="I10" s="675"/>
      <c r="J10" s="675"/>
      <c r="K10" s="675"/>
      <c r="L10" s="675"/>
      <c r="M10" s="675"/>
      <c r="N10" s="675"/>
      <c r="O10" s="675"/>
      <c r="P10" s="675"/>
      <c r="Q10" s="675"/>
      <c r="R10" s="675"/>
      <c r="S10" s="675"/>
      <c r="T10" s="675"/>
    </row>
    <row r="11" spans="1:21" s="672" customFormat="1">
      <c r="A11" s="675"/>
      <c r="B11" s="675"/>
      <c r="C11" s="678"/>
      <c r="D11" s="675"/>
      <c r="E11" s="675"/>
      <c r="F11" s="675"/>
      <c r="G11" s="675"/>
      <c r="H11" s="675"/>
      <c r="I11" s="675"/>
      <c r="J11" s="675"/>
      <c r="K11" s="675"/>
      <c r="L11" s="675"/>
      <c r="M11" s="675"/>
      <c r="N11" s="675"/>
      <c r="O11" s="675"/>
      <c r="P11" s="675"/>
      <c r="Q11" s="675"/>
      <c r="R11" s="675"/>
      <c r="S11" s="675"/>
      <c r="T11" s="675"/>
    </row>
    <row r="12" spans="1:21" s="672" customFormat="1">
      <c r="A12" s="673"/>
      <c r="B12" s="673"/>
      <c r="C12" s="673"/>
      <c r="D12" s="675"/>
      <c r="E12" s="675"/>
      <c r="F12" s="675"/>
      <c r="G12" s="675"/>
      <c r="H12" s="675"/>
      <c r="I12" s="675"/>
      <c r="J12" s="675"/>
      <c r="K12" s="675"/>
      <c r="L12" s="675"/>
      <c r="M12" s="675"/>
      <c r="N12" s="675"/>
      <c r="O12" s="675"/>
      <c r="P12" s="675"/>
      <c r="Q12" s="675"/>
      <c r="R12" s="675"/>
      <c r="S12" s="675"/>
      <c r="T12" s="675"/>
    </row>
    <row r="13" spans="1:21" s="672" customFormat="1">
      <c r="A13" s="686"/>
      <c r="B13" s="673"/>
      <c r="C13" s="673"/>
      <c r="D13" s="675"/>
      <c r="E13" s="675"/>
      <c r="F13" s="675"/>
      <c r="G13" s="675"/>
      <c r="H13" s="675"/>
      <c r="I13" s="675"/>
      <c r="J13" s="675"/>
      <c r="K13" s="675"/>
      <c r="L13" s="675"/>
      <c r="M13" s="675"/>
      <c r="N13" s="675"/>
      <c r="O13" s="675"/>
      <c r="P13" s="675"/>
      <c r="Q13" s="675"/>
      <c r="R13" s="675"/>
      <c r="S13" s="675"/>
      <c r="T13" s="675"/>
    </row>
    <row r="14" spans="1:21" s="672" customFormat="1">
      <c r="A14" s="673"/>
      <c r="B14" s="673"/>
      <c r="C14" s="673"/>
      <c r="D14" s="673"/>
      <c r="E14" s="673"/>
      <c r="F14" s="673"/>
      <c r="G14" s="675"/>
      <c r="H14" s="675"/>
      <c r="I14" s="675"/>
      <c r="J14" s="675"/>
      <c r="K14" s="673"/>
      <c r="Q14" s="673"/>
      <c r="R14" s="673"/>
      <c r="S14" s="673"/>
      <c r="T14" s="673"/>
    </row>
    <row r="15" spans="1:21" s="672" customFormat="1">
      <c r="A15" s="673"/>
      <c r="B15" s="673"/>
      <c r="C15" s="673"/>
      <c r="D15" s="673"/>
      <c r="E15" s="673"/>
      <c r="F15" s="673"/>
      <c r="G15" s="675"/>
      <c r="H15" s="675"/>
      <c r="I15" s="675"/>
      <c r="J15" s="675"/>
      <c r="K15" s="673"/>
      <c r="Q15" s="673"/>
      <c r="R15" s="673"/>
      <c r="S15" s="673"/>
      <c r="T15" s="673"/>
    </row>
    <row r="16" spans="1:21" s="672" customFormat="1">
      <c r="A16" s="673"/>
      <c r="B16" s="673"/>
      <c r="C16" s="673"/>
      <c r="D16" s="673"/>
      <c r="E16" s="673"/>
      <c r="F16" s="673"/>
      <c r="G16" s="675"/>
      <c r="H16" s="675"/>
      <c r="I16" s="675"/>
      <c r="J16" s="675"/>
      <c r="K16" s="673"/>
      <c r="Q16" s="673"/>
      <c r="R16" s="673"/>
      <c r="S16" s="673"/>
      <c r="T16" s="673"/>
    </row>
    <row r="17" spans="1:20" s="672" customFormat="1">
      <c r="A17" s="673"/>
      <c r="B17" s="673"/>
      <c r="C17" s="673"/>
      <c r="D17" s="673"/>
      <c r="E17" s="673"/>
      <c r="F17" s="673"/>
      <c r="G17" s="675"/>
      <c r="H17" s="675"/>
      <c r="I17" s="675"/>
      <c r="J17" s="675"/>
      <c r="K17" s="673"/>
      <c r="Q17" s="673"/>
      <c r="R17" s="673"/>
      <c r="S17" s="673"/>
      <c r="T17" s="673"/>
    </row>
    <row r="18" spans="1:20" s="672" customFormat="1">
      <c r="A18" s="673"/>
      <c r="B18" s="673"/>
      <c r="C18" s="673"/>
      <c r="D18" s="673"/>
      <c r="E18" s="673"/>
      <c r="F18" s="673"/>
      <c r="G18" s="675"/>
      <c r="H18" s="675"/>
      <c r="I18" s="675"/>
      <c r="J18" s="675"/>
      <c r="K18" s="673"/>
      <c r="Q18" s="673"/>
      <c r="R18" s="673"/>
      <c r="S18" s="673"/>
      <c r="T18" s="673"/>
    </row>
    <row r="19" spans="1:20" s="672" customFormat="1">
      <c r="A19" s="673"/>
      <c r="B19" s="673"/>
      <c r="C19" s="673"/>
      <c r="D19" s="673"/>
      <c r="E19" s="673"/>
      <c r="F19" s="673"/>
      <c r="G19" s="675"/>
      <c r="H19" s="675"/>
      <c r="I19" s="675"/>
      <c r="J19" s="675"/>
      <c r="K19" s="673"/>
      <c r="Q19" s="673"/>
      <c r="R19" s="673"/>
      <c r="S19" s="673"/>
      <c r="T19" s="673"/>
    </row>
    <row r="20" spans="1:20" s="672" customFormat="1">
      <c r="A20" s="673"/>
      <c r="B20" s="673"/>
      <c r="C20" s="673"/>
      <c r="D20" s="673"/>
      <c r="E20" s="673"/>
      <c r="F20" s="673"/>
      <c r="G20" s="675"/>
      <c r="H20" s="675"/>
      <c r="I20" s="675"/>
      <c r="J20" s="675"/>
      <c r="K20" s="673"/>
      <c r="Q20" s="673"/>
      <c r="R20" s="673"/>
      <c r="S20" s="673"/>
      <c r="T20" s="673"/>
    </row>
    <row r="21" spans="1:20" s="672" customFormat="1">
      <c r="A21" s="673"/>
      <c r="B21" s="673"/>
      <c r="C21" s="673"/>
      <c r="D21" s="673"/>
      <c r="E21" s="673"/>
      <c r="F21" s="673"/>
      <c r="G21" s="675"/>
      <c r="H21" s="675"/>
      <c r="I21" s="675"/>
      <c r="J21" s="675"/>
      <c r="K21" s="673"/>
      <c r="Q21" s="673"/>
      <c r="R21" s="673"/>
      <c r="S21" s="673"/>
      <c r="T21" s="673"/>
    </row>
    <row r="22" spans="1:20" s="672" customFormat="1">
      <c r="A22" s="675"/>
      <c r="B22" s="675"/>
      <c r="C22" s="675"/>
      <c r="D22" s="687" t="s">
        <v>425</v>
      </c>
      <c r="E22" s="688">
        <f ca="1">ML_Sum!R35</f>
        <v>4954.7300000000005</v>
      </c>
      <c r="F22" s="675"/>
      <c r="G22" s="675"/>
      <c r="H22" s="675"/>
    </row>
    <row r="23" spans="1:20" s="672" customFormat="1">
      <c r="A23" s="675"/>
      <c r="B23" s="675"/>
      <c r="C23" s="675"/>
      <c r="D23" s="687" t="s">
        <v>426</v>
      </c>
      <c r="E23" s="688">
        <f ca="1">ML_Sum!T35</f>
        <v>90.254064821558643</v>
      </c>
      <c r="F23" s="673"/>
      <c r="G23" s="675"/>
      <c r="H23" s="673"/>
    </row>
    <row r="24" spans="1:20" s="672" customFormat="1">
      <c r="A24" s="675"/>
      <c r="B24" s="675"/>
      <c r="C24" s="675"/>
      <c r="D24" s="690"/>
      <c r="E24" s="689"/>
      <c r="F24" s="689"/>
      <c r="G24" s="689"/>
      <c r="H24" s="689"/>
      <c r="I24" s="689"/>
      <c r="J24" s="689"/>
      <c r="K24" s="689"/>
      <c r="L24" s="689"/>
      <c r="M24" s="689"/>
      <c r="N24" s="689"/>
      <c r="O24" s="689"/>
      <c r="P24" s="689"/>
      <c r="Q24" s="689"/>
      <c r="R24" s="673"/>
      <c r="S24" s="675"/>
      <c r="T24" s="673"/>
    </row>
    <row r="25" spans="1:20" s="672" customFormat="1">
      <c r="A25" s="691"/>
      <c r="B25" s="692"/>
      <c r="C25" s="692"/>
      <c r="D25" s="675"/>
      <c r="E25" s="675"/>
      <c r="F25" s="675"/>
      <c r="G25" s="675"/>
      <c r="H25" s="675"/>
      <c r="I25" s="675"/>
      <c r="J25" s="675"/>
      <c r="K25" s="675"/>
      <c r="L25" s="675"/>
      <c r="M25" s="675"/>
      <c r="N25" s="675"/>
      <c r="O25" s="675"/>
      <c r="P25" s="675"/>
      <c r="Q25" s="675"/>
      <c r="R25" s="673"/>
      <c r="S25" s="673"/>
      <c r="T25" s="673"/>
    </row>
    <row r="26" spans="1:20" s="672" customFormat="1">
      <c r="A26" s="677"/>
      <c r="B26" s="673"/>
      <c r="C26" s="673"/>
      <c r="D26" s="673"/>
      <c r="E26" s="673"/>
      <c r="F26" s="673"/>
      <c r="G26" s="675"/>
      <c r="H26" s="675"/>
      <c r="I26" s="675"/>
      <c r="J26" s="675"/>
      <c r="K26" s="673"/>
      <c r="Q26" s="673"/>
      <c r="R26" s="673"/>
      <c r="S26" s="673"/>
      <c r="T26" s="673"/>
    </row>
    <row r="27" spans="1:20" s="672" customFormat="1">
      <c r="A27" s="677"/>
      <c r="B27" s="673"/>
      <c r="C27" s="673"/>
      <c r="D27" s="673"/>
      <c r="E27" s="673"/>
      <c r="F27" s="673"/>
      <c r="G27" s="675"/>
      <c r="H27" s="675"/>
      <c r="I27" s="675"/>
      <c r="J27" s="675"/>
      <c r="K27" s="673"/>
      <c r="Q27" s="673"/>
      <c r="R27" s="673"/>
      <c r="S27" s="673"/>
      <c r="T27" s="673"/>
    </row>
    <row r="28" spans="1:20" s="672" customFormat="1">
      <c r="A28" s="677"/>
      <c r="B28" s="673"/>
      <c r="C28" s="673"/>
      <c r="D28" s="673"/>
      <c r="E28" s="673"/>
      <c r="F28" s="673"/>
      <c r="G28" s="675"/>
      <c r="H28" s="675"/>
      <c r="I28" s="675"/>
      <c r="J28" s="675"/>
      <c r="K28" s="673"/>
      <c r="Q28" s="673"/>
      <c r="R28" s="673"/>
      <c r="S28" s="673"/>
      <c r="T28" s="673"/>
    </row>
    <row r="29" spans="1:20" s="672" customFormat="1">
      <c r="A29" s="677"/>
      <c r="B29" s="673"/>
      <c r="C29" s="673"/>
      <c r="D29" s="673"/>
      <c r="E29" s="673"/>
      <c r="F29" s="673"/>
      <c r="G29" s="675"/>
      <c r="H29" s="675"/>
      <c r="I29" s="675"/>
      <c r="J29" s="675"/>
      <c r="K29" s="673"/>
      <c r="Q29" s="673"/>
      <c r="R29" s="673"/>
      <c r="S29" s="673"/>
      <c r="T29" s="673"/>
    </row>
    <row r="30" spans="1:20" s="672" customFormat="1">
      <c r="A30" s="677"/>
      <c r="B30" s="673"/>
      <c r="C30" s="673"/>
      <c r="D30" s="673"/>
      <c r="E30" s="673"/>
      <c r="F30" s="673"/>
      <c r="G30" s="675"/>
      <c r="H30" s="675"/>
      <c r="I30" s="675"/>
      <c r="J30" s="675"/>
      <c r="K30" s="673"/>
      <c r="Q30" s="673"/>
      <c r="R30" s="673"/>
      <c r="S30" s="673"/>
      <c r="T30" s="673"/>
    </row>
    <row r="31" spans="1:20" s="672" customFormat="1">
      <c r="A31" s="677"/>
      <c r="B31" s="673"/>
      <c r="C31" s="673"/>
      <c r="D31" s="673"/>
      <c r="E31" s="673"/>
      <c r="F31" s="673"/>
      <c r="G31" s="675"/>
      <c r="H31" s="675"/>
      <c r="I31" s="675"/>
      <c r="J31" s="675"/>
      <c r="K31" s="673"/>
      <c r="Q31" s="673"/>
      <c r="R31" s="673"/>
      <c r="S31" s="673"/>
      <c r="T31" s="673"/>
    </row>
    <row r="32" spans="1:20" s="672" customFormat="1">
      <c r="A32" s="677"/>
      <c r="B32" s="673"/>
      <c r="C32" s="673"/>
      <c r="D32" s="673"/>
      <c r="E32" s="673"/>
      <c r="F32" s="673"/>
      <c r="G32" s="675"/>
      <c r="H32" s="675"/>
      <c r="I32" s="675"/>
      <c r="J32" s="675"/>
      <c r="K32" s="673"/>
      <c r="Q32" s="673"/>
      <c r="R32" s="673"/>
      <c r="S32" s="673"/>
      <c r="T32" s="673"/>
    </row>
    <row r="33" spans="1:20" s="672" customFormat="1">
      <c r="A33" s="673"/>
      <c r="B33" s="673"/>
      <c r="C33" s="673"/>
      <c r="D33" s="673"/>
      <c r="E33" s="673"/>
      <c r="F33" s="673"/>
      <c r="G33" s="675"/>
      <c r="H33" s="675"/>
      <c r="I33" s="675"/>
      <c r="J33" s="675"/>
      <c r="K33" s="673"/>
      <c r="Q33" s="673"/>
      <c r="R33" s="673"/>
      <c r="S33" s="673"/>
      <c r="T33" s="673"/>
    </row>
    <row r="34" spans="1:20" s="672" customFormat="1">
      <c r="A34" s="675"/>
      <c r="B34" s="675"/>
      <c r="C34" s="675"/>
      <c r="D34" s="675"/>
      <c r="E34" s="675"/>
      <c r="F34" s="675"/>
      <c r="G34" s="675"/>
      <c r="H34" s="675"/>
      <c r="I34" s="675"/>
      <c r="J34" s="675"/>
      <c r="K34" s="675"/>
      <c r="L34" s="675"/>
      <c r="M34" s="675"/>
      <c r="N34" s="675"/>
      <c r="O34" s="675"/>
      <c r="P34" s="675"/>
      <c r="Q34" s="675"/>
      <c r="R34" s="675"/>
      <c r="S34" s="675"/>
      <c r="T34" s="675"/>
    </row>
    <row r="35" spans="1:20" s="672" customFormat="1">
      <c r="A35" s="675"/>
      <c r="B35" s="675"/>
      <c r="C35" s="675"/>
      <c r="D35" s="675"/>
      <c r="E35" s="675"/>
      <c r="F35" s="675"/>
      <c r="G35" s="675"/>
      <c r="H35" s="675"/>
      <c r="I35" s="675"/>
      <c r="J35" s="675"/>
      <c r="K35" s="675"/>
      <c r="L35" s="675"/>
      <c r="M35" s="675"/>
      <c r="N35" s="675"/>
      <c r="O35" s="675"/>
      <c r="P35" s="675"/>
      <c r="Q35" s="675"/>
      <c r="R35" s="675"/>
      <c r="S35" s="675"/>
      <c r="T35" s="675"/>
    </row>
    <row r="36" spans="1:20" s="672" customFormat="1">
      <c r="A36" s="675"/>
      <c r="B36" s="675"/>
      <c r="C36" s="675"/>
      <c r="D36" s="675"/>
      <c r="E36" s="675"/>
      <c r="F36" s="675"/>
      <c r="G36" s="675"/>
      <c r="H36" s="675"/>
      <c r="I36" s="675"/>
      <c r="J36" s="675"/>
      <c r="K36" s="675"/>
      <c r="L36" s="675"/>
      <c r="M36" s="675"/>
      <c r="N36" s="675"/>
      <c r="O36" s="675"/>
      <c r="P36" s="675"/>
      <c r="Q36" s="675"/>
      <c r="R36" s="675"/>
      <c r="S36" s="675"/>
      <c r="T36" s="675"/>
    </row>
    <row r="37" spans="1:20" s="672" customFormat="1">
      <c r="A37" s="673"/>
      <c r="B37" s="673"/>
      <c r="C37" s="673"/>
      <c r="D37" s="673"/>
      <c r="E37" s="673"/>
      <c r="F37" s="673"/>
      <c r="G37" s="675"/>
      <c r="H37" s="675"/>
      <c r="I37" s="675"/>
      <c r="J37" s="675"/>
      <c r="K37" s="673"/>
      <c r="Q37" s="673"/>
      <c r="R37" s="673"/>
      <c r="S37" s="673"/>
      <c r="T37" s="673"/>
    </row>
    <row r="38" spans="1:20" s="672" customFormat="1">
      <c r="A38" s="686"/>
      <c r="B38" s="693"/>
      <c r="C38" s="673"/>
      <c r="D38" s="673"/>
      <c r="E38" s="673"/>
      <c r="F38" s="673"/>
      <c r="G38" s="675"/>
      <c r="H38" s="675"/>
      <c r="I38" s="675"/>
      <c r="J38" s="675"/>
      <c r="K38" s="673"/>
      <c r="Q38" s="673"/>
      <c r="R38" s="673"/>
      <c r="S38" s="673"/>
      <c r="T38" s="673"/>
    </row>
    <row r="39" spans="1:20" s="672" customFormat="1">
      <c r="A39" s="677"/>
      <c r="B39" s="673"/>
      <c r="C39" s="673"/>
      <c r="D39" s="673"/>
      <c r="E39" s="673"/>
      <c r="F39" s="673"/>
      <c r="G39" s="675"/>
      <c r="H39" s="675"/>
      <c r="I39" s="675"/>
      <c r="J39" s="675"/>
      <c r="K39" s="673"/>
      <c r="Q39" s="673"/>
      <c r="R39" s="673"/>
      <c r="S39" s="673"/>
      <c r="T39" s="673"/>
    </row>
    <row r="40" spans="1:20" s="672" customFormat="1">
      <c r="A40" s="677"/>
      <c r="B40" s="673"/>
      <c r="C40" s="673"/>
      <c r="D40" s="673"/>
      <c r="E40" s="673"/>
      <c r="F40" s="673"/>
      <c r="G40" s="675"/>
      <c r="H40" s="675"/>
      <c r="I40" s="675"/>
      <c r="J40" s="675"/>
      <c r="K40" s="673"/>
      <c r="Q40" s="673"/>
      <c r="R40" s="673"/>
      <c r="S40" s="673"/>
      <c r="T40" s="673"/>
    </row>
    <row r="41" spans="1:20" s="672" customFormat="1">
      <c r="A41" s="677"/>
      <c r="B41" s="673"/>
      <c r="C41" s="673"/>
      <c r="D41" s="673"/>
      <c r="E41" s="673"/>
      <c r="F41" s="673"/>
      <c r="G41" s="675"/>
      <c r="H41" s="675"/>
      <c r="I41" s="675"/>
      <c r="J41" s="675"/>
      <c r="K41" s="673"/>
      <c r="Q41" s="673"/>
      <c r="R41" s="673"/>
      <c r="S41" s="673"/>
      <c r="T41" s="673"/>
    </row>
    <row r="42" spans="1:20" s="672" customFormat="1">
      <c r="A42" s="677"/>
      <c r="B42" s="673"/>
      <c r="C42" s="673"/>
      <c r="D42" s="673"/>
      <c r="E42" s="673"/>
      <c r="F42" s="673"/>
      <c r="G42" s="675"/>
      <c r="H42" s="675"/>
      <c r="I42" s="675"/>
      <c r="J42" s="675"/>
      <c r="K42" s="673"/>
      <c r="Q42" s="673"/>
      <c r="R42" s="673"/>
      <c r="S42" s="673"/>
      <c r="T42" s="673"/>
    </row>
    <row r="43" spans="1:20" s="672" customFormat="1">
      <c r="A43" s="677"/>
      <c r="B43" s="673"/>
      <c r="C43" s="673"/>
      <c r="D43" s="673"/>
      <c r="E43" s="673"/>
      <c r="F43" s="673"/>
      <c r="G43" s="675"/>
      <c r="H43" s="675"/>
      <c r="I43" s="675"/>
      <c r="J43" s="675"/>
      <c r="K43" s="673"/>
      <c r="Q43" s="673"/>
      <c r="R43" s="673"/>
      <c r="S43" s="673"/>
      <c r="T43" s="673"/>
    </row>
    <row r="44" spans="1:20" s="672" customFormat="1">
      <c r="A44" s="677"/>
      <c r="B44" s="673"/>
      <c r="C44" s="673"/>
      <c r="D44" s="673"/>
      <c r="E44" s="673"/>
      <c r="F44" s="673"/>
      <c r="G44" s="675"/>
      <c r="H44" s="675"/>
      <c r="I44" s="675"/>
      <c r="J44" s="675"/>
      <c r="K44" s="673"/>
      <c r="Q44" s="673"/>
      <c r="R44" s="673"/>
      <c r="S44" s="673"/>
      <c r="T44" s="673"/>
    </row>
    <row r="45" spans="1:20" s="672" customFormat="1">
      <c r="A45" s="677"/>
      <c r="B45" s="673"/>
      <c r="C45" s="673"/>
      <c r="D45" s="673"/>
      <c r="E45" s="673"/>
      <c r="F45" s="673"/>
      <c r="G45" s="675"/>
      <c r="H45" s="675"/>
      <c r="I45" s="675"/>
      <c r="J45" s="675"/>
      <c r="K45" s="673"/>
      <c r="Q45" s="673"/>
      <c r="R45" s="673"/>
      <c r="S45" s="673"/>
      <c r="T45" s="673"/>
    </row>
    <row r="46" spans="1:20" s="672" customFormat="1">
      <c r="A46" s="677"/>
      <c r="B46" s="673"/>
      <c r="C46" s="673"/>
      <c r="D46" s="673"/>
      <c r="E46" s="673"/>
      <c r="F46" s="673"/>
      <c r="G46" s="675"/>
      <c r="H46" s="675"/>
      <c r="I46" s="675"/>
      <c r="J46" s="675"/>
      <c r="K46" s="673"/>
      <c r="Q46" s="673"/>
      <c r="R46" s="673"/>
      <c r="S46" s="673"/>
      <c r="T46" s="673"/>
    </row>
    <row r="47" spans="1:20" s="672" customFormat="1">
      <c r="A47" s="677"/>
      <c r="B47" s="673"/>
      <c r="C47" s="673"/>
      <c r="D47" s="673"/>
      <c r="E47" s="673"/>
      <c r="F47" s="673"/>
      <c r="G47" s="675"/>
      <c r="H47" s="675"/>
      <c r="I47" s="675"/>
      <c r="J47" s="675"/>
      <c r="K47" s="673"/>
      <c r="Q47" s="673"/>
      <c r="R47" s="673"/>
      <c r="S47" s="673"/>
      <c r="T47" s="673"/>
    </row>
    <row r="48" spans="1:20" s="672" customFormat="1">
      <c r="A48" s="673"/>
      <c r="B48" s="673"/>
      <c r="C48" s="673"/>
      <c r="D48" s="673"/>
      <c r="E48" s="673"/>
      <c r="F48" s="673"/>
      <c r="G48" s="675"/>
      <c r="H48" s="675"/>
      <c r="I48" s="675"/>
      <c r="J48" s="675"/>
      <c r="K48" s="673"/>
      <c r="Q48" s="673"/>
      <c r="R48" s="673"/>
      <c r="S48" s="673"/>
      <c r="T48" s="673"/>
    </row>
    <row r="49" spans="1:20" s="672" customFormat="1">
      <c r="A49" s="673"/>
      <c r="B49" s="673"/>
      <c r="C49" s="673"/>
      <c r="D49" s="673"/>
      <c r="E49" s="673"/>
      <c r="F49" s="673"/>
      <c r="G49" s="675"/>
      <c r="H49" s="675"/>
      <c r="I49" s="675"/>
      <c r="J49" s="675"/>
      <c r="K49" s="673"/>
      <c r="Q49" s="673"/>
      <c r="R49" s="673"/>
      <c r="S49" s="673"/>
      <c r="T49" s="673"/>
    </row>
    <row r="50" spans="1:20" s="672" customFormat="1">
      <c r="A50" s="678"/>
      <c r="B50" s="678"/>
      <c r="C50" s="678"/>
      <c r="D50" s="673"/>
      <c r="E50" s="673"/>
      <c r="F50" s="673"/>
      <c r="G50" s="675"/>
      <c r="H50" s="675"/>
      <c r="I50" s="675"/>
      <c r="J50" s="675"/>
      <c r="K50" s="673"/>
      <c r="Q50" s="678"/>
      <c r="R50" s="678"/>
      <c r="S50" s="678"/>
      <c r="T50" s="673"/>
    </row>
    <row r="51" spans="1:20" s="672" customFormat="1">
      <c r="A51" s="673" t="s">
        <v>131</v>
      </c>
      <c r="B51" s="673"/>
      <c r="C51" s="673"/>
      <c r="D51" s="694"/>
      <c r="E51" s="673"/>
      <c r="F51" s="673"/>
      <c r="G51" s="675"/>
      <c r="H51" s="675"/>
      <c r="I51" s="675"/>
      <c r="J51" s="675"/>
      <c r="K51" s="673"/>
      <c r="Q51" s="673" t="s">
        <v>131</v>
      </c>
      <c r="R51" s="673"/>
      <c r="S51" s="673"/>
      <c r="T51" s="673"/>
    </row>
    <row r="52" spans="1:20" s="672" customFormat="1">
      <c r="A52" s="673" t="s">
        <v>132</v>
      </c>
      <c r="B52" s="673"/>
      <c r="C52" s="673"/>
      <c r="D52" s="673"/>
      <c r="E52" s="673"/>
      <c r="F52" s="673"/>
      <c r="G52" s="675"/>
      <c r="H52" s="675"/>
      <c r="I52" s="675"/>
      <c r="J52" s="675"/>
      <c r="K52" s="673"/>
      <c r="Q52" s="673" t="s">
        <v>191</v>
      </c>
      <c r="R52" s="673"/>
      <c r="S52" s="673"/>
      <c r="T52" s="673"/>
    </row>
    <row r="53" spans="1:20" s="672" customFormat="1" ht="15" thickBot="1">
      <c r="B53" s="673"/>
      <c r="C53" s="673"/>
      <c r="D53" s="673"/>
      <c r="E53" s="673"/>
      <c r="F53" s="673"/>
      <c r="G53" s="675"/>
      <c r="H53" s="675"/>
      <c r="I53" s="675"/>
      <c r="J53" s="675"/>
      <c r="K53" s="673"/>
      <c r="S53" s="673"/>
      <c r="T53" s="673"/>
    </row>
    <row r="54" spans="1:20" s="672" customFormat="1">
      <c r="B54" s="673"/>
      <c r="C54" s="673"/>
      <c r="D54" s="673"/>
      <c r="E54" s="673"/>
      <c r="F54" s="673"/>
      <c r="G54" s="675"/>
      <c r="H54" s="675"/>
      <c r="I54" s="675"/>
      <c r="J54" s="675"/>
      <c r="K54" s="673"/>
      <c r="Q54" s="695" t="s">
        <v>192</v>
      </c>
      <c r="R54" s="696"/>
      <c r="S54" s="673"/>
      <c r="T54" s="673"/>
    </row>
    <row r="55" spans="1:20" s="672" customFormat="1">
      <c r="A55" s="673"/>
      <c r="B55" s="673"/>
      <c r="C55" s="673"/>
      <c r="D55" s="673"/>
      <c r="E55" s="673"/>
      <c r="F55" s="673"/>
      <c r="G55" s="675"/>
      <c r="H55" s="675"/>
      <c r="I55" s="675"/>
      <c r="J55" s="675"/>
      <c r="K55" s="673"/>
      <c r="Q55" s="697" t="s">
        <v>269</v>
      </c>
      <c r="R55" s="698"/>
      <c r="S55" s="673"/>
      <c r="T55" s="673"/>
    </row>
    <row r="56" spans="1:20" s="672" customFormat="1">
      <c r="A56" s="673"/>
      <c r="B56" s="673"/>
      <c r="C56" s="673"/>
      <c r="D56" s="673"/>
      <c r="E56" s="673"/>
      <c r="F56" s="673"/>
      <c r="G56" s="675"/>
      <c r="H56" s="675"/>
      <c r="I56" s="675"/>
      <c r="J56" s="675"/>
      <c r="K56" s="673"/>
      <c r="Q56" s="697"/>
      <c r="R56" s="698"/>
      <c r="S56" s="673"/>
      <c r="T56" s="673"/>
    </row>
    <row r="57" spans="1:20" s="672" customFormat="1" ht="15" thickBot="1">
      <c r="A57" s="699"/>
      <c r="B57" s="673"/>
      <c r="C57" s="673"/>
      <c r="D57" s="673"/>
      <c r="E57" s="673"/>
      <c r="F57" s="673"/>
      <c r="G57" s="673"/>
      <c r="H57" s="673"/>
      <c r="I57" s="673"/>
      <c r="J57" s="673"/>
      <c r="K57" s="673"/>
      <c r="Q57" s="700" t="s">
        <v>193</v>
      </c>
      <c r="R57" s="701"/>
      <c r="S57" s="673"/>
      <c r="T57" s="673"/>
    </row>
    <row r="58" spans="1:20" s="672" customFormat="1">
      <c r="A58" s="702"/>
      <c r="B58" s="703"/>
      <c r="C58" s="703"/>
      <c r="D58" s="703"/>
      <c r="E58" s="703"/>
      <c r="F58" s="703"/>
      <c r="G58" s="673"/>
      <c r="H58" s="673"/>
      <c r="I58" s="673"/>
      <c r="J58" s="673"/>
      <c r="K58" s="673"/>
    </row>
  </sheetData>
  <sheetProtection formatCells="0" formatColumns="0" formatRows="0" insertColumns="0" insertRows="0"/>
  <mergeCells count="2">
    <mergeCell ref="A1:T1"/>
    <mergeCell ref="A2:T2"/>
  </mergeCells>
  <conditionalFormatting sqref="A1:T1">
    <cfRule type="cellIs" dxfId="23" priority="3" stopIfTrue="1" operator="equal">
      <formula>"PANTA RETAIL LTD."</formula>
    </cfRule>
  </conditionalFormatting>
  <conditionalFormatting sqref="C6:C10">
    <cfRule type="cellIs" dxfId="22" priority="1" stopIfTrue="1" operator="equal">
      <formula>"VAT INCLUDED"</formula>
    </cfRule>
    <cfRule type="cellIs" dxfId="21"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76"/>
  <sheetViews>
    <sheetView topLeftCell="A62" workbookViewId="0">
      <selection activeCell="E8" sqref="E8"/>
    </sheetView>
  </sheetViews>
  <sheetFormatPr defaultColWidth="9.109375" defaultRowHeight="13.2"/>
  <cols>
    <col min="1" max="1" width="8.33203125" style="36" customWidth="1"/>
    <col min="2" max="2" width="12.44140625" style="182"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14" style="36" customWidth="1"/>
    <col min="23" max="23" width="6.6640625" style="36" customWidth="1"/>
    <col min="24" max="24" width="11.44140625" style="36" customWidth="1"/>
    <col min="25" max="16384" width="9.109375" style="36"/>
  </cols>
  <sheetData>
    <row r="1" spans="1:30" ht="19.5" customHeight="1">
      <c r="B1" s="502" t="s">
        <v>0</v>
      </c>
      <c r="C1" s="499">
        <v>1</v>
      </c>
      <c r="D1" s="872" t="s">
        <v>304</v>
      </c>
      <c r="E1" s="873"/>
      <c r="G1" s="500" t="b">
        <v>1</v>
      </c>
      <c r="H1" s="500" t="b">
        <v>1</v>
      </c>
      <c r="I1" s="313">
        <v>1</v>
      </c>
      <c r="J1" s="314">
        <f t="shared" ref="J1:J10" si="0">$Q109</f>
        <v>1</v>
      </c>
      <c r="K1" s="314">
        <f t="shared" ref="K1:K10" si="1">$Q119</f>
        <v>1</v>
      </c>
      <c r="L1" s="314">
        <f t="shared" ref="L1:L10" si="2">$Q129</f>
        <v>1</v>
      </c>
      <c r="M1" s="314">
        <f t="shared" ref="M1:M10" si="3">$Q139</f>
        <v>1</v>
      </c>
      <c r="N1" s="314">
        <f t="shared" ref="N1:N9" si="4">$Q149</f>
        <v>1</v>
      </c>
      <c r="O1" s="314">
        <f t="shared" ref="O1:O6" si="5">$Q159</f>
        <v>1</v>
      </c>
      <c r="P1" s="11"/>
      <c r="Q1" s="471" t="str">
        <f>IF(C1=1,"€","Curr?")</f>
        <v>€</v>
      </c>
      <c r="R1" s="410" t="s">
        <v>217</v>
      </c>
      <c r="S1" s="490" t="str">
        <f>IF($S$39="PRINT","R","Do Not Print")</f>
        <v>R</v>
      </c>
      <c r="T1" s="530">
        <v>1.1499999999999999</v>
      </c>
      <c r="V1" s="170">
        <f t="array" ref="V1">IF(OR(X1=AREAS),1,0)</f>
        <v>1</v>
      </c>
      <c r="W1" s="487" t="s">
        <v>187</v>
      </c>
      <c r="X1" s="171" t="s">
        <v>184</v>
      </c>
      <c r="Y1" s="171" t="s">
        <v>184</v>
      </c>
      <c r="Z1" s="171" t="s">
        <v>184</v>
      </c>
      <c r="AA1" s="171" t="s">
        <v>184</v>
      </c>
      <c r="AB1" s="171" t="s">
        <v>184</v>
      </c>
      <c r="AC1" s="171" t="s">
        <v>184</v>
      </c>
      <c r="AD1" s="171" t="s">
        <v>184</v>
      </c>
    </row>
    <row r="2" spans="1:30" ht="21.75" customHeight="1">
      <c r="A2" s="492"/>
      <c r="B2" s="502" t="s">
        <v>2</v>
      </c>
      <c r="C2" s="498">
        <f>IF($D$6="VAT INCLUDED",1.18,1)*(1-$Q2)*$C$1</f>
        <v>1</v>
      </c>
      <c r="D2" s="872" t="s">
        <v>357</v>
      </c>
      <c r="E2" s="873"/>
      <c r="F2" s="403" t="s">
        <v>198</v>
      </c>
      <c r="G2" s="500" t="b">
        <v>1</v>
      </c>
      <c r="I2" s="313">
        <v>2</v>
      </c>
      <c r="J2" s="314">
        <f t="shared" si="0"/>
        <v>1</v>
      </c>
      <c r="K2" s="314">
        <f t="shared" si="1"/>
        <v>1</v>
      </c>
      <c r="L2" s="314">
        <f t="shared" si="2"/>
        <v>1</v>
      </c>
      <c r="M2" s="314">
        <f t="shared" si="3"/>
        <v>1</v>
      </c>
      <c r="N2" s="314">
        <f t="shared" si="4"/>
        <v>1</v>
      </c>
      <c r="O2" s="314">
        <f t="shared" si="5"/>
        <v>1</v>
      </c>
      <c r="P2" s="11"/>
      <c r="Q2" s="353"/>
      <c r="R2" s="368" t="str">
        <f>"A) " &amp; IF($S2=0,"",ROUND($S2,2) &amp; "-" &amp; ROUND($T2/$D$9,2))</f>
        <v>A) 1-1</v>
      </c>
      <c r="S2" s="344">
        <v>1</v>
      </c>
      <c r="T2" s="344">
        <f>$S2*$D$9</f>
        <v>27.46</v>
      </c>
      <c r="V2" s="179"/>
      <c r="W2" s="179"/>
      <c r="X2" s="171" t="s">
        <v>184</v>
      </c>
      <c r="Y2" s="171" t="s">
        <v>184</v>
      </c>
      <c r="Z2" s="171" t="s">
        <v>184</v>
      </c>
      <c r="AA2" s="171" t="s">
        <v>184</v>
      </c>
      <c r="AB2" s="171" t="s">
        <v>184</v>
      </c>
      <c r="AC2" s="171" t="s">
        <v>184</v>
      </c>
      <c r="AD2" s="171" t="s">
        <v>184</v>
      </c>
    </row>
    <row r="3" spans="1:30" ht="21" customHeight="1">
      <c r="A3" s="493"/>
      <c r="B3" s="502" t="s">
        <v>4</v>
      </c>
      <c r="C3" s="498">
        <f t="shared" ref="C3:C12" si="6">IF($D$6="VAT INCLUDED",1.18,1)*(1-$Q3)*$C$1</f>
        <v>1</v>
      </c>
      <c r="D3" s="872" t="s">
        <v>347</v>
      </c>
      <c r="E3" s="873"/>
      <c r="F3" s="403" t="s">
        <v>422</v>
      </c>
      <c r="G3" s="500" t="b">
        <v>1</v>
      </c>
      <c r="I3" s="313">
        <v>3</v>
      </c>
      <c r="J3" s="314">
        <f t="shared" si="0"/>
        <v>1</v>
      </c>
      <c r="K3" s="314">
        <f t="shared" si="1"/>
        <v>1</v>
      </c>
      <c r="L3" s="314">
        <f t="shared" si="2"/>
        <v>1</v>
      </c>
      <c r="M3" s="314">
        <f t="shared" si="3"/>
        <v>1</v>
      </c>
      <c r="N3" s="314">
        <f t="shared" si="4"/>
        <v>1</v>
      </c>
      <c r="O3" s="314">
        <f t="shared" si="5"/>
        <v>1</v>
      </c>
      <c r="P3" s="11"/>
      <c r="Q3" s="353"/>
      <c r="R3" s="369" t="str">
        <f>"B) " &amp; IF($S3=0,"",ROUND($S3,2) &amp; "-" &amp; ROUND($T3/$D$9,2))</f>
        <v>B) 1-1</v>
      </c>
      <c r="S3" s="344">
        <v>1</v>
      </c>
      <c r="T3" s="344">
        <f>$S3*$D$9</f>
        <v>27.46</v>
      </c>
      <c r="V3" s="179"/>
      <c r="W3" s="179"/>
      <c r="X3" s="171" t="s">
        <v>184</v>
      </c>
      <c r="Y3" s="171" t="s">
        <v>184</v>
      </c>
      <c r="Z3" s="171" t="s">
        <v>184</v>
      </c>
      <c r="AA3" s="171" t="s">
        <v>184</v>
      </c>
      <c r="AB3" s="171" t="s">
        <v>184</v>
      </c>
      <c r="AC3" s="171" t="s">
        <v>184</v>
      </c>
      <c r="AD3" s="171" t="s">
        <v>184</v>
      </c>
    </row>
    <row r="4" spans="1:30" ht="15.75" customHeight="1">
      <c r="A4" s="494"/>
      <c r="B4" s="503" t="s">
        <v>251</v>
      </c>
      <c r="C4" s="424">
        <f t="shared" si="6"/>
        <v>1</v>
      </c>
      <c r="D4" s="13" t="s">
        <v>435</v>
      </c>
      <c r="E4" s="330"/>
      <c r="F4" s="403" t="s">
        <v>422</v>
      </c>
      <c r="G4" s="500" t="b">
        <v>1</v>
      </c>
      <c r="I4" s="313">
        <v>4</v>
      </c>
      <c r="J4" s="314">
        <f t="shared" si="0"/>
        <v>1</v>
      </c>
      <c r="K4" s="314">
        <f t="shared" si="1"/>
        <v>1</v>
      </c>
      <c r="L4" s="314">
        <f t="shared" si="2"/>
        <v>1</v>
      </c>
      <c r="M4" s="314">
        <f t="shared" si="3"/>
        <v>1</v>
      </c>
      <c r="N4" s="314">
        <f t="shared" si="4"/>
        <v>1</v>
      </c>
      <c r="O4" s="314">
        <f t="shared" si="5"/>
        <v>1</v>
      </c>
      <c r="P4" s="11"/>
      <c r="Q4" s="353"/>
      <c r="R4" s="370" t="str">
        <f>"C) " &amp; IF($S4=0,"",ROUND($S4,2) &amp; "-" &amp; ROUND($T4/$D$9,2))</f>
        <v>C) 1-1</v>
      </c>
      <c r="S4" s="344">
        <v>1</v>
      </c>
      <c r="T4" s="344">
        <f>$S4*$D$9</f>
        <v>27.46</v>
      </c>
      <c r="V4" s="179"/>
      <c r="W4" s="179"/>
      <c r="X4" s="171" t="s">
        <v>184</v>
      </c>
      <c r="Y4" s="171" t="s">
        <v>184</v>
      </c>
      <c r="Z4" s="171" t="s">
        <v>184</v>
      </c>
      <c r="AA4" s="171" t="s">
        <v>184</v>
      </c>
      <c r="AB4" s="171" t="s">
        <v>184</v>
      </c>
      <c r="AC4" s="171" t="s">
        <v>184</v>
      </c>
      <c r="AD4" s="171" t="s">
        <v>184</v>
      </c>
    </row>
    <row r="5" spans="1:30" ht="13.8">
      <c r="A5" s="492"/>
      <c r="B5" s="504" t="s">
        <v>196</v>
      </c>
      <c r="C5" s="424">
        <f t="shared" si="6"/>
        <v>1</v>
      </c>
      <c r="D5" s="13" t="s">
        <v>305</v>
      </c>
      <c r="E5" s="354"/>
      <c r="F5" s="403"/>
      <c r="G5" s="500" t="b">
        <v>1</v>
      </c>
      <c r="I5" s="313">
        <v>5</v>
      </c>
      <c r="J5" s="314">
        <f t="shared" si="0"/>
        <v>1</v>
      </c>
      <c r="K5" s="314">
        <f t="shared" si="1"/>
        <v>1</v>
      </c>
      <c r="L5" s="314">
        <f t="shared" si="2"/>
        <v>1</v>
      </c>
      <c r="M5" s="314">
        <f t="shared" si="3"/>
        <v>1</v>
      </c>
      <c r="N5" s="314">
        <f t="shared" si="4"/>
        <v>1</v>
      </c>
      <c r="O5" s="314">
        <f t="shared" si="5"/>
        <v>1</v>
      </c>
      <c r="P5" s="12"/>
      <c r="Q5" s="353"/>
      <c r="R5" s="371" t="str">
        <f>"D) " &amp; IF($S5=0,"",ROUND($S5,2) &amp; "-" &amp; ROUND($T5/$D$9,2))</f>
        <v xml:space="preserve">D) </v>
      </c>
      <c r="S5" s="344"/>
      <c r="T5" s="344"/>
      <c r="V5" s="179"/>
      <c r="W5" s="179"/>
      <c r="X5" s="171" t="s">
        <v>184</v>
      </c>
      <c r="Y5" s="171" t="s">
        <v>184</v>
      </c>
      <c r="Z5" s="171" t="s">
        <v>184</v>
      </c>
      <c r="AA5" s="171" t="s">
        <v>184</v>
      </c>
      <c r="AB5" s="171" t="s">
        <v>184</v>
      </c>
      <c r="AC5" s="171" t="s">
        <v>184</v>
      </c>
      <c r="AD5" s="171" t="s">
        <v>184</v>
      </c>
    </row>
    <row r="6" spans="1:30" ht="13.8">
      <c r="A6" s="494"/>
      <c r="B6" s="504" t="s">
        <v>247</v>
      </c>
      <c r="C6" s="424">
        <f t="shared" si="6"/>
        <v>1</v>
      </c>
      <c r="D6" s="425" t="s">
        <v>212</v>
      </c>
      <c r="E6"/>
      <c r="F6" s="403"/>
      <c r="G6" s="500" t="b">
        <v>1</v>
      </c>
      <c r="I6" s="313">
        <v>6</v>
      </c>
      <c r="J6" s="314">
        <f t="shared" si="0"/>
        <v>1</v>
      </c>
      <c r="K6" s="314">
        <f t="shared" si="1"/>
        <v>1</v>
      </c>
      <c r="L6" s="314">
        <f t="shared" si="2"/>
        <v>1</v>
      </c>
      <c r="M6" s="314">
        <f t="shared" si="3"/>
        <v>1</v>
      </c>
      <c r="N6" s="314">
        <f t="shared" si="4"/>
        <v>1</v>
      </c>
      <c r="O6" s="314">
        <f t="shared" si="5"/>
        <v>1</v>
      </c>
      <c r="P6" s="12"/>
      <c r="Q6" s="353"/>
      <c r="R6" s="372" t="str">
        <f>"E) " &amp; IF($S6=0,"",ROUND($S6,2) &amp; "-" &amp; ROUND($T6/$D$9,2))</f>
        <v xml:space="preserve">E) </v>
      </c>
      <c r="S6" s="344"/>
      <c r="T6" s="344"/>
      <c r="V6" s="179"/>
      <c r="W6" s="179"/>
      <c r="X6" s="171" t="s">
        <v>184</v>
      </c>
      <c r="Y6" s="171" t="s">
        <v>184</v>
      </c>
      <c r="Z6" s="171" t="s">
        <v>184</v>
      </c>
      <c r="AA6" s="171" t="s">
        <v>184</v>
      </c>
      <c r="AB6" s="171" t="s">
        <v>184</v>
      </c>
      <c r="AC6" s="171" t="s">
        <v>184</v>
      </c>
      <c r="AD6" s="171" t="s">
        <v>184</v>
      </c>
    </row>
    <row r="7" spans="1:30" ht="13.8">
      <c r="A7" s="494"/>
      <c r="B7" s="504" t="s">
        <v>11</v>
      </c>
      <c r="C7" s="424">
        <f t="shared" si="6"/>
        <v>1</v>
      </c>
      <c r="D7" s="14">
        <v>45902</v>
      </c>
      <c r="E7"/>
      <c r="F7" s="403"/>
      <c r="G7" s="500" t="b">
        <v>1</v>
      </c>
      <c r="I7" s="313">
        <v>7</v>
      </c>
      <c r="J7" s="314">
        <f t="shared" si="0"/>
        <v>1</v>
      </c>
      <c r="K7" s="314">
        <f t="shared" si="1"/>
        <v>1</v>
      </c>
      <c r="L7" s="314">
        <f t="shared" si="2"/>
        <v>1</v>
      </c>
      <c r="M7" s="314">
        <f t="shared" si="3"/>
        <v>1</v>
      </c>
      <c r="N7" s="314">
        <f t="shared" si="4"/>
        <v>1</v>
      </c>
      <c r="O7" s="314"/>
      <c r="P7" s="181"/>
      <c r="Q7" s="353"/>
      <c r="R7" s="373" t="str">
        <f>"F) " &amp; IF($S7=0,"",ROUND($S7,2) &amp; "-" &amp; ROUND($T7/$D$9,2))</f>
        <v xml:space="preserve">F) </v>
      </c>
      <c r="S7" s="344"/>
      <c r="T7" s="344"/>
      <c r="V7" s="179"/>
      <c r="W7" s="179"/>
      <c r="X7" s="171" t="s">
        <v>184</v>
      </c>
      <c r="Y7" s="171" t="s">
        <v>184</v>
      </c>
      <c r="Z7" s="171" t="s">
        <v>184</v>
      </c>
      <c r="AA7" s="171" t="s">
        <v>184</v>
      </c>
      <c r="AB7" s="171" t="s">
        <v>184</v>
      </c>
      <c r="AC7" s="171" t="s">
        <v>184</v>
      </c>
      <c r="AD7" s="171" t="s">
        <v>184</v>
      </c>
    </row>
    <row r="8" spans="1:30" ht="13.8">
      <c r="A8" s="492"/>
      <c r="B8" s="504" t="s">
        <v>13</v>
      </c>
      <c r="C8" s="424">
        <f t="shared" si="6"/>
        <v>1</v>
      </c>
      <c r="D8" s="15" t="s">
        <v>319</v>
      </c>
      <c r="E8"/>
      <c r="F8" s="403"/>
      <c r="G8" s="500" t="b">
        <v>1</v>
      </c>
      <c r="I8" s="313">
        <v>8</v>
      </c>
      <c r="J8" s="314">
        <f t="shared" si="0"/>
        <v>1</v>
      </c>
      <c r="K8" s="314">
        <f t="shared" si="1"/>
        <v>1</v>
      </c>
      <c r="L8" s="314">
        <f t="shared" si="2"/>
        <v>1</v>
      </c>
      <c r="M8" s="314">
        <f t="shared" si="3"/>
        <v>1</v>
      </c>
      <c r="N8" s="314">
        <f t="shared" si="4"/>
        <v>1</v>
      </c>
      <c r="O8" s="314"/>
      <c r="P8" s="16"/>
      <c r="Q8" s="353"/>
      <c r="R8" s="374" t="str">
        <f>"G) " &amp; IF($S8=0,"",ROUND($S8,2) &amp; "-" &amp; ROUND($T8/$D$9,2))</f>
        <v xml:space="preserve">G) </v>
      </c>
      <c r="S8" s="344"/>
      <c r="T8" s="344"/>
      <c r="V8" s="179"/>
      <c r="W8" s="179"/>
      <c r="X8" s="171" t="s">
        <v>184</v>
      </c>
      <c r="Y8" s="171" t="s">
        <v>184</v>
      </c>
      <c r="Z8" s="171" t="s">
        <v>184</v>
      </c>
      <c r="AA8" s="171" t="s">
        <v>184</v>
      </c>
      <c r="AB8" s="171" t="s">
        <v>184</v>
      </c>
      <c r="AC8" s="171" t="s">
        <v>184</v>
      </c>
      <c r="AD8" s="171" t="s">
        <v>184</v>
      </c>
    </row>
    <row r="9" spans="1:30" ht="13.8">
      <c r="A9" s="494"/>
      <c r="B9" s="504" t="s">
        <v>248</v>
      </c>
      <c r="C9" s="424">
        <f t="shared" si="6"/>
        <v>1</v>
      </c>
      <c r="D9" s="617">
        <v>27.46</v>
      </c>
      <c r="E9" s="178"/>
      <c r="F9" s="403"/>
      <c r="G9" s="500" t="b">
        <v>1</v>
      </c>
      <c r="I9" s="313">
        <v>9</v>
      </c>
      <c r="J9" s="314">
        <f t="shared" si="0"/>
        <v>1</v>
      </c>
      <c r="K9" s="314">
        <f t="shared" si="1"/>
        <v>1</v>
      </c>
      <c r="L9" s="314">
        <f t="shared" si="2"/>
        <v>1</v>
      </c>
      <c r="M9" s="314">
        <f t="shared" si="3"/>
        <v>1</v>
      </c>
      <c r="N9" s="314">
        <f t="shared" si="4"/>
        <v>1</v>
      </c>
      <c r="O9" s="314"/>
      <c r="P9" s="16"/>
      <c r="Q9" s="353"/>
      <c r="R9" s="375" t="str">
        <f>"H) " &amp; IF($S9=0,"",ROUND($S9,2) &amp; "-" &amp; ROUND($T9/$D$9,2))</f>
        <v xml:space="preserve">H) </v>
      </c>
      <c r="S9" s="344"/>
      <c r="T9" s="344"/>
      <c r="V9" s="179"/>
      <c r="W9" s="179"/>
      <c r="X9" s="171" t="s">
        <v>184</v>
      </c>
      <c r="Y9" s="171" t="s">
        <v>184</v>
      </c>
      <c r="Z9" s="171" t="s">
        <v>184</v>
      </c>
      <c r="AA9" s="171" t="s">
        <v>184</v>
      </c>
      <c r="AB9" s="171" t="s">
        <v>184</v>
      </c>
      <c r="AC9" s="171" t="s">
        <v>184</v>
      </c>
      <c r="AD9" s="171" t="s">
        <v>184</v>
      </c>
    </row>
    <row r="10" spans="1:30" ht="13.8">
      <c r="A10" s="494"/>
      <c r="B10" s="505"/>
      <c r="C10" s="424">
        <f t="shared" si="6"/>
        <v>1</v>
      </c>
      <c r="D10" s="660"/>
      <c r="F10" s="403"/>
      <c r="G10" s="500" t="b">
        <v>1</v>
      </c>
      <c r="I10" s="313">
        <v>10</v>
      </c>
      <c r="J10" s="314">
        <f t="shared" si="0"/>
        <v>1</v>
      </c>
      <c r="K10" s="314">
        <f t="shared" si="1"/>
        <v>1</v>
      </c>
      <c r="L10" s="314">
        <f t="shared" si="2"/>
        <v>1</v>
      </c>
      <c r="M10" s="314">
        <f t="shared" si="3"/>
        <v>1</v>
      </c>
      <c r="N10" s="314">
        <f>$Q158</f>
        <v>1</v>
      </c>
      <c r="O10" s="314">
        <f>Q108</f>
        <v>1</v>
      </c>
      <c r="P10" s="16"/>
      <c r="Q10" s="353"/>
      <c r="R10" s="376" t="str">
        <f>" I) " &amp; IF($S10=0,"",ROUND($S10,2) &amp; "-" &amp; ROUND($T10/$D$9,2))</f>
        <v xml:space="preserve"> I) </v>
      </c>
      <c r="S10" s="344"/>
      <c r="T10" s="344"/>
      <c r="V10" s="179"/>
      <c r="W10" s="179"/>
      <c r="X10" s="171" t="s">
        <v>184</v>
      </c>
      <c r="Y10" s="171" t="s">
        <v>184</v>
      </c>
      <c r="Z10" s="171" t="s">
        <v>184</v>
      </c>
      <c r="AA10" s="171" t="s">
        <v>184</v>
      </c>
      <c r="AB10" s="171" t="s">
        <v>184</v>
      </c>
      <c r="AC10" s="171" t="s">
        <v>184</v>
      </c>
      <c r="AD10" s="171" t="s">
        <v>184</v>
      </c>
    </row>
    <row r="11" spans="1:30" ht="13.8">
      <c r="A11" s="495"/>
      <c r="B11" s="506"/>
      <c r="C11" s="424">
        <f t="shared" si="6"/>
        <v>1</v>
      </c>
      <c r="D11"/>
      <c r="E11"/>
      <c r="F11" s="496"/>
      <c r="H11"/>
      <c r="I11" s="315"/>
      <c r="J11" s="315"/>
      <c r="K11" s="315"/>
      <c r="L11" s="315"/>
      <c r="M11" s="315"/>
      <c r="N11" s="315"/>
      <c r="O11" s="315"/>
      <c r="P11" s="177"/>
      <c r="Q11" s="353"/>
      <c r="R11" s="377" t="str">
        <f>"J) " &amp; IF($S11=0,"",ROUND($S11,2) &amp; "-" &amp; ROUND($T11/$D$9,2))</f>
        <v xml:space="preserve">J) </v>
      </c>
      <c r="S11" s="344"/>
      <c r="T11" s="344"/>
      <c r="X11" s="171" t="s">
        <v>184</v>
      </c>
      <c r="Y11" s="171" t="s">
        <v>184</v>
      </c>
      <c r="Z11" s="171" t="s">
        <v>184</v>
      </c>
      <c r="AA11" s="171" t="s">
        <v>184</v>
      </c>
      <c r="AB11" s="171" t="s">
        <v>184</v>
      </c>
      <c r="AC11" s="171" t="s">
        <v>184</v>
      </c>
      <c r="AD11" s="171" t="s">
        <v>184</v>
      </c>
    </row>
    <row r="12" spans="1:30" ht="12.75" customHeight="1" thickBot="1">
      <c r="A12" s="492"/>
      <c r="B12"/>
      <c r="C12" s="424">
        <f t="shared" si="6"/>
        <v>1</v>
      </c>
      <c r="D12" s="360"/>
      <c r="E12" s="361"/>
      <c r="F12" s="404"/>
      <c r="G12" s="329" t="s">
        <v>28</v>
      </c>
      <c r="H12" s="329" t="s">
        <v>28</v>
      </c>
      <c r="I12" s="329" t="s">
        <v>28</v>
      </c>
      <c r="J12" s="329" t="s">
        <v>28</v>
      </c>
      <c r="K12" s="329" t="s">
        <v>28</v>
      </c>
      <c r="L12" s="329" t="s">
        <v>28</v>
      </c>
      <c r="M12" s="329" t="s">
        <v>28</v>
      </c>
      <c r="N12" s="329" t="s">
        <v>28</v>
      </c>
      <c r="O12" s="329" t="s">
        <v>28</v>
      </c>
      <c r="P12" s="329" t="s">
        <v>28</v>
      </c>
      <c r="Q12" s="441"/>
      <c r="R12" s="408" t="s">
        <v>218</v>
      </c>
      <c r="S12" s="473" t="s">
        <v>30</v>
      </c>
      <c r="T12" s="474" t="s">
        <v>31</v>
      </c>
      <c r="X12" s="171" t="s">
        <v>184</v>
      </c>
      <c r="Y12" s="171" t="s">
        <v>184</v>
      </c>
      <c r="Z12" s="171" t="s">
        <v>184</v>
      </c>
      <c r="AA12" s="171" t="s">
        <v>184</v>
      </c>
      <c r="AB12" s="171" t="s">
        <v>184</v>
      </c>
      <c r="AC12" s="171" t="s">
        <v>184</v>
      </c>
      <c r="AD12" s="171" t="s">
        <v>184</v>
      </c>
    </row>
    <row r="13" spans="1:30" ht="17.25" customHeight="1" thickBot="1">
      <c r="A13" s="435"/>
      <c r="B13" s="436" t="s">
        <v>226</v>
      </c>
      <c r="C13" s="437"/>
      <c r="D13" s="438"/>
      <c r="E13" s="439"/>
      <c r="F13" s="440"/>
      <c r="G13" s="362" t="s">
        <v>206</v>
      </c>
      <c r="H13" s="363" t="s">
        <v>207</v>
      </c>
      <c r="I13" s="364" t="s">
        <v>20</v>
      </c>
      <c r="J13" s="364" t="s">
        <v>21</v>
      </c>
      <c r="K13" s="365" t="s">
        <v>22</v>
      </c>
      <c r="L13" s="362" t="s">
        <v>23</v>
      </c>
      <c r="M13" s="362" t="s">
        <v>24</v>
      </c>
      <c r="N13" s="363" t="s">
        <v>208</v>
      </c>
      <c r="O13" s="362" t="s">
        <v>26</v>
      </c>
      <c r="P13" s="366" t="s">
        <v>27</v>
      </c>
      <c r="Q13" s="433" t="s">
        <v>204</v>
      </c>
      <c r="R13" s="409" t="s">
        <v>219</v>
      </c>
      <c r="S13" s="475" t="s">
        <v>244</v>
      </c>
      <c r="T13" s="507">
        <f>SUM(Q108:Q164)/57</f>
        <v>1</v>
      </c>
      <c r="X13" s="171"/>
      <c r="Y13" s="171"/>
      <c r="Z13" s="171"/>
      <c r="AA13" s="171"/>
      <c r="AB13" s="171"/>
      <c r="AC13" s="171"/>
      <c r="AD13" s="171"/>
    </row>
    <row r="14" spans="1:30" ht="27.75" customHeight="1">
      <c r="A14" s="180"/>
      <c r="B14" s="875" t="str">
        <f>IF($D$6&lt;&gt;"VAT EXCL.", "QUOTE ISSUED WITH                    VAT INCLUDED", "")</f>
        <v/>
      </c>
      <c r="C14" s="875"/>
      <c r="D14" s="875"/>
      <c r="E14" s="875"/>
      <c r="F14" s="7"/>
      <c r="G14" s="7"/>
      <c r="H14" s="7"/>
      <c r="I14" s="7"/>
      <c r="J14" s="7"/>
      <c r="K14" s="7"/>
      <c r="L14" s="7"/>
      <c r="M14" s="7"/>
      <c r="N14" s="7"/>
      <c r="O14" s="7"/>
      <c r="P14" s="7"/>
      <c r="Q14" s="7"/>
      <c r="R14" s="183"/>
      <c r="S14"/>
      <c r="T14" s="184"/>
      <c r="X14" s="171" t="s">
        <v>184</v>
      </c>
      <c r="Y14" s="171" t="s">
        <v>184</v>
      </c>
      <c r="Z14" s="171" t="s">
        <v>184</v>
      </c>
      <c r="AA14" s="171" t="s">
        <v>184</v>
      </c>
      <c r="AB14" s="171" t="s">
        <v>184</v>
      </c>
      <c r="AC14" s="171" t="s">
        <v>184</v>
      </c>
      <c r="AD14" s="171" t="s">
        <v>184</v>
      </c>
    </row>
    <row r="15" spans="1:30" ht="14.25" customHeight="1">
      <c r="A15" s="352"/>
      <c r="B15" s="875"/>
      <c r="C15" s="875"/>
      <c r="D15" s="875"/>
      <c r="E15" s="875"/>
      <c r="F15" s="352"/>
      <c r="G15" s="352"/>
      <c r="H15" s="352"/>
      <c r="I15" s="352"/>
      <c r="J15" s="352"/>
      <c r="K15" s="352"/>
      <c r="L15" s="352"/>
      <c r="M15" s="352"/>
      <c r="N15" s="352"/>
      <c r="O15" s="352"/>
      <c r="P15" s="352"/>
      <c r="Q15" s="452">
        <f ca="1">(C72-F35)/C72</f>
        <v>0</v>
      </c>
      <c r="R15" s="339" t="s">
        <v>224</v>
      </c>
      <c r="S15" s="337"/>
      <c r="T15" s="338"/>
      <c r="X15" s="171" t="s">
        <v>184</v>
      </c>
      <c r="Y15" s="171" t="s">
        <v>184</v>
      </c>
      <c r="Z15" s="171" t="s">
        <v>184</v>
      </c>
      <c r="AA15" s="171" t="s">
        <v>184</v>
      </c>
      <c r="AB15" s="171" t="s">
        <v>184</v>
      </c>
      <c r="AC15" s="171" t="s">
        <v>184</v>
      </c>
      <c r="AD15" s="171" t="s">
        <v>184</v>
      </c>
    </row>
    <row r="16" spans="1:30" ht="13.5" customHeight="1">
      <c r="A16" s="180"/>
      <c r="B16" s="874" t="str">
        <f>IF($W$1&lt;&gt;"BOQ", "DIFF SET TO " &amp; W1,"")</f>
        <v/>
      </c>
      <c r="C16" s="874"/>
      <c r="D16" s="874"/>
      <c r="E16" s="874"/>
      <c r="F16" s="178"/>
      <c r="G16" s="178"/>
      <c r="H16" s="178"/>
      <c r="I16" s="178"/>
      <c r="J16" s="178"/>
      <c r="K16" s="178"/>
      <c r="L16" s="178"/>
      <c r="M16" s="178"/>
      <c r="N16" s="178"/>
      <c r="O16" s="178"/>
      <c r="P16" s="178"/>
      <c r="Q16" s="453">
        <f ca="1">(F35-E35)/F35</f>
        <v>0</v>
      </c>
      <c r="R16" s="345" t="s">
        <v>225</v>
      </c>
      <c r="S16" s="346"/>
      <c r="T16" s="347"/>
      <c r="X16" s="171" t="s">
        <v>184</v>
      </c>
      <c r="Y16" s="171" t="s">
        <v>184</v>
      </c>
      <c r="Z16" s="171" t="s">
        <v>184</v>
      </c>
      <c r="AA16" s="171" t="s">
        <v>184</v>
      </c>
      <c r="AB16" s="171" t="s">
        <v>184</v>
      </c>
      <c r="AC16" s="171" t="s">
        <v>184</v>
      </c>
      <c r="AD16" s="171" t="s">
        <v>184</v>
      </c>
    </row>
    <row r="17" spans="1:24" ht="13.5" customHeight="1">
      <c r="B17" s="874"/>
      <c r="C17" s="874"/>
      <c r="D17" s="874"/>
      <c r="E17" s="874"/>
      <c r="G17" s="8"/>
      <c r="H17" s="8"/>
      <c r="I17" s="8"/>
      <c r="J17" s="8"/>
      <c r="K17" s="8"/>
      <c r="L17" s="8"/>
      <c r="M17" s="8"/>
      <c r="N17" s="8"/>
      <c r="O17" s="8"/>
      <c r="P17" s="8"/>
      <c r="Q17" s="454">
        <f ca="1">F74</f>
        <v>0</v>
      </c>
      <c r="R17" s="348" t="s">
        <v>222</v>
      </c>
      <c r="S17" s="349"/>
      <c r="T17" s="392"/>
    </row>
    <row r="18" spans="1:24" ht="18.75" customHeight="1">
      <c r="A18" s="412"/>
      <c r="B18" s="858" t="str">
        <f>IF(AND(G1,G2,G3,G4,G5,G6,G7,G8,G9,G10,H1)=TRUE, "", "CHECKLIST INCOMPLETE !" )</f>
        <v/>
      </c>
      <c r="C18" s="858"/>
      <c r="D18" s="858"/>
      <c r="E18" s="858"/>
      <c r="F18" s="412"/>
      <c r="G18"/>
      <c r="H18"/>
      <c r="I18"/>
      <c r="J18"/>
      <c r="K18"/>
      <c r="L18"/>
      <c r="M18"/>
      <c r="N18"/>
      <c r="O18"/>
      <c r="P18"/>
      <c r="Q18" s="870"/>
      <c r="R18" s="870"/>
      <c r="S18" s="870"/>
      <c r="T18" s="870"/>
    </row>
    <row r="19" spans="1:24" ht="18" customHeight="1">
      <c r="B19" s="871" t="str">
        <f ca="1">IF(ABS(SUM(A23:A32))&gt;100,"[Discy A-J] are high, Check it out."," ")</f>
        <v xml:space="preserve"> </v>
      </c>
      <c r="C19" s="871"/>
      <c r="D19" s="871"/>
      <c r="E19" s="871"/>
      <c r="G19"/>
      <c r="H19"/>
      <c r="I19"/>
      <c r="J19"/>
      <c r="K19"/>
      <c r="L19"/>
      <c r="M19"/>
      <c r="N19"/>
      <c r="O19"/>
      <c r="P19"/>
      <c r="Q19" s="455">
        <f ca="1">R83</f>
        <v>1.0000299116990579</v>
      </c>
      <c r="R19" s="348" t="s">
        <v>223</v>
      </c>
      <c r="S19" s="419"/>
      <c r="T19" s="420"/>
    </row>
    <row r="20" spans="1:24" ht="12.75" customHeight="1">
      <c r="A20" s="497"/>
      <c r="B20" s="497"/>
      <c r="C20" s="497"/>
      <c r="D20" s="497"/>
      <c r="E20" s="497"/>
      <c r="F20"/>
      <c r="G20"/>
      <c r="H20"/>
      <c r="I20"/>
      <c r="J20"/>
      <c r="K20"/>
      <c r="L20"/>
      <c r="M20"/>
      <c r="N20"/>
      <c r="O20"/>
      <c r="P20"/>
      <c r="Q20"/>
      <c r="R20"/>
      <c r="S20"/>
      <c r="T20"/>
    </row>
    <row r="21" spans="1:24" ht="13.8">
      <c r="A21"/>
      <c r="B21" s="186"/>
      <c r="C21" s="187"/>
      <c r="D21" s="340"/>
      <c r="E21" s="350" t="s">
        <v>200</v>
      </c>
      <c r="F21" s="331" t="s">
        <v>32</v>
      </c>
      <c r="G21" s="122"/>
      <c r="H21" s="122"/>
      <c r="I21" s="122"/>
      <c r="J21" s="122"/>
      <c r="K21" s="122"/>
      <c r="L21" s="122"/>
      <c r="M21" s="122"/>
      <c r="N21" s="122"/>
      <c r="O21" s="122"/>
      <c r="P21" s="122"/>
      <c r="Q21" s="341" t="s">
        <v>202</v>
      </c>
      <c r="R21" s="331" t="s">
        <v>33</v>
      </c>
      <c r="S21" s="122"/>
      <c r="T21" s="331" t="s">
        <v>34</v>
      </c>
      <c r="V21"/>
      <c r="W21"/>
      <c r="X21"/>
    </row>
    <row r="22" spans="1:24">
      <c r="A22" s="406" t="s">
        <v>213</v>
      </c>
      <c r="B22" s="367" t="s">
        <v>203</v>
      </c>
      <c r="C22"/>
      <c r="D22" s="340"/>
      <c r="E22" s="351" t="str">
        <f>"SELLING  " &amp; $Q$1</f>
        <v>SELLING  €</v>
      </c>
      <c r="F22" s="459" t="str">
        <f>$Q$1</f>
        <v>€</v>
      </c>
      <c r="G22" s="333" t="s">
        <v>260</v>
      </c>
      <c r="H22" s="571" t="s">
        <v>257</v>
      </c>
      <c r="I22" s="571" t="s">
        <v>258</v>
      </c>
      <c r="J22" s="572" t="s">
        <v>259</v>
      </c>
      <c r="K22" s="333"/>
      <c r="L22" s="333"/>
      <c r="M22" s="333"/>
      <c r="N22" s="333"/>
      <c r="O22" s="333"/>
      <c r="P22" s="333"/>
      <c r="Q22" s="342" t="s">
        <v>201</v>
      </c>
      <c r="R22" s="334" t="s">
        <v>238</v>
      </c>
      <c r="S22" s="333"/>
      <c r="T22" s="332" t="s">
        <v>239</v>
      </c>
      <c r="V22"/>
      <c r="W22"/>
      <c r="X22"/>
    </row>
    <row r="23" spans="1:24">
      <c r="A23" s="421">
        <f ca="1">IF($F23=0,"",($F23/$C2)-($R23*$S2+$T23*$T2))</f>
        <v>2.3799999989932985E-3</v>
      </c>
      <c r="B23" s="368" t="str">
        <f ca="1">IF(F23=0,"",IF(R23=0,"A) "&amp;"---,    "&amp;ROUND(($F23/$C2-($R23*$S2))/$T23,2),IF(T23=0,"A) "&amp;ROUND(($F23/$C2)/$R23,2),"A) "&amp;ROUND(($F23/$C2-($T23*$T2))/$R23,2)&amp;", "
&amp;ROUND(($F23/$C2-($R23*$S2))/$T23,2))))</f>
        <v>A) 1, 27.46</v>
      </c>
      <c r="C23"/>
      <c r="D23" s="405" t="str">
        <f>IF($F2="","",$F2)</f>
        <v>Electrical</v>
      </c>
      <c r="E23" s="510">
        <f ca="1">F23*(1-Q23)</f>
        <v>3598.99</v>
      </c>
      <c r="F23" s="509">
        <f ca="1">Elec_Est!F127</f>
        <v>3598.99</v>
      </c>
      <c r="G23" s="320">
        <f>C2</f>
        <v>1</v>
      </c>
      <c r="H23" s="407">
        <f>$S2</f>
        <v>1</v>
      </c>
      <c r="I23" s="407">
        <f>$T2</f>
        <v>27.46</v>
      </c>
      <c r="J23" s="320">
        <f>$D$9</f>
        <v>27.46</v>
      </c>
      <c r="K23" s="320"/>
      <c r="L23" s="320"/>
      <c r="M23" s="320"/>
      <c r="N23" s="320"/>
      <c r="O23" s="320"/>
      <c r="P23" s="320"/>
      <c r="Q23" s="343"/>
      <c r="R23" s="509">
        <f ca="1">Elec_Est!R127</f>
        <v>1731.7900000000002</v>
      </c>
      <c r="S23" s="320"/>
      <c r="T23" s="513">
        <f ca="1">Elec_Est!T127</f>
        <v>67.997000000000014</v>
      </c>
      <c r="V23"/>
      <c r="W23"/>
      <c r="X23"/>
    </row>
    <row r="24" spans="1:24">
      <c r="A24" s="422">
        <f t="shared" ref="A24:A32" si="7">IF($F24=0,"",($F24/$C3)-($R24*$S3+$T24*$T3))</f>
        <v>-9.0000000004692993E-3</v>
      </c>
      <c r="B24" s="369" t="str">
        <f t="shared" ref="B24:B32" si="8">IF(F24=0,"",IF(R24=0,"A) "&amp;"---,    "&amp;ROUND(($F24/$C3-($R24*$S3))/$T24,2),IF(T24=0,"A) "&amp;ROUND(($F24/$C3)/$R24,2),"A) "&amp;ROUND(($F24/$C3-($T24*$T3))/$R24,2)&amp;", "
&amp;ROUND(($F24/$C3-($R24*$S3))/$T24,2))))</f>
        <v>A) 1, 27.46</v>
      </c>
      <c r="C24"/>
      <c r="D24" s="405" t="str">
        <f t="shared" ref="D24:D32" si="9">IF($F3="","",$F3)</f>
        <v>Controls</v>
      </c>
      <c r="E24" s="510">
        <f t="shared" ref="E24:E32" si="10">F24*(1-Q24)</f>
        <v>3834.1099999999997</v>
      </c>
      <c r="F24" s="509">
        <f>Elec_Est!F128</f>
        <v>3834.1099999999997</v>
      </c>
      <c r="G24" s="320">
        <f t="shared" ref="G24:G32" si="11">C3</f>
        <v>1</v>
      </c>
      <c r="H24" s="407">
        <f t="shared" ref="H24:H32" si="12">$S3</f>
        <v>1</v>
      </c>
      <c r="I24" s="407">
        <f t="shared" ref="I24:I32" si="13">$T3</f>
        <v>27.46</v>
      </c>
      <c r="J24" s="320">
        <f t="shared" ref="J24:J32" si="14">$D$9</f>
        <v>27.46</v>
      </c>
      <c r="K24" s="320"/>
      <c r="L24" s="320"/>
      <c r="M24" s="320"/>
      <c r="N24" s="320"/>
      <c r="O24" s="320"/>
      <c r="P24" s="320"/>
      <c r="Q24" s="343"/>
      <c r="R24" s="509">
        <f>Elec_Est!R128</f>
        <v>3222.94</v>
      </c>
      <c r="S24" s="320"/>
      <c r="T24" s="512">
        <f>Elec_Est!T128</f>
        <v>22.257064821558629</v>
      </c>
      <c r="V24"/>
      <c r="W24"/>
      <c r="X24"/>
    </row>
    <row r="25" spans="1:24">
      <c r="A25" s="422" t="str">
        <f t="shared" ca="1" si="7"/>
        <v/>
      </c>
      <c r="B25" s="370" t="str">
        <f t="shared" ca="1" si="8"/>
        <v/>
      </c>
      <c r="C25"/>
      <c r="D25" s="405" t="str">
        <f t="shared" si="9"/>
        <v>Controls</v>
      </c>
      <c r="E25" s="510">
        <f t="shared" ca="1" si="10"/>
        <v>0</v>
      </c>
      <c r="F25" s="509">
        <f ca="1">Elec_Est!F129</f>
        <v>0</v>
      </c>
      <c r="G25" s="320">
        <f t="shared" si="11"/>
        <v>1</v>
      </c>
      <c r="H25" s="407">
        <f t="shared" si="12"/>
        <v>1</v>
      </c>
      <c r="I25" s="407">
        <f t="shared" si="13"/>
        <v>27.46</v>
      </c>
      <c r="J25" s="320">
        <f t="shared" si="14"/>
        <v>27.46</v>
      </c>
      <c r="K25" s="320"/>
      <c r="L25" s="320"/>
      <c r="M25" s="320"/>
      <c r="N25" s="320"/>
      <c r="O25" s="320"/>
      <c r="P25" s="320"/>
      <c r="Q25" s="343"/>
      <c r="R25" s="509">
        <f>Elec_Est!R129</f>
        <v>0</v>
      </c>
      <c r="S25" s="320"/>
      <c r="T25" s="512">
        <f>Elec_Est!T129</f>
        <v>0</v>
      </c>
      <c r="V25"/>
      <c r="W25"/>
      <c r="X25"/>
    </row>
    <row r="26" spans="1:24">
      <c r="A26" s="422" t="str">
        <f t="shared" si="7"/>
        <v/>
      </c>
      <c r="B26" s="371" t="str">
        <f t="shared" si="8"/>
        <v/>
      </c>
      <c r="C26"/>
      <c r="D26" s="405" t="str">
        <f t="shared" si="9"/>
        <v/>
      </c>
      <c r="E26" s="510">
        <f t="shared" si="10"/>
        <v>0</v>
      </c>
      <c r="F26" s="509">
        <f>Elec_Est!F130</f>
        <v>0</v>
      </c>
      <c r="G26" s="320">
        <f t="shared" si="11"/>
        <v>1</v>
      </c>
      <c r="H26" s="407">
        <f t="shared" si="12"/>
        <v>0</v>
      </c>
      <c r="I26" s="407">
        <f t="shared" si="13"/>
        <v>0</v>
      </c>
      <c r="J26" s="320">
        <f t="shared" si="14"/>
        <v>27.46</v>
      </c>
      <c r="K26" s="320"/>
      <c r="L26" s="320"/>
      <c r="M26" s="320"/>
      <c r="N26" s="320"/>
      <c r="O26" s="320"/>
      <c r="P26" s="320"/>
      <c r="Q26" s="343"/>
      <c r="R26" s="509">
        <f>Elec_Est!R130</f>
        <v>0</v>
      </c>
      <c r="S26" s="320"/>
      <c r="T26" s="512">
        <f>Elec_Est!T130</f>
        <v>0</v>
      </c>
      <c r="V26"/>
      <c r="W26"/>
      <c r="X26"/>
    </row>
    <row r="27" spans="1:24">
      <c r="A27" s="422" t="str">
        <f t="shared" si="7"/>
        <v/>
      </c>
      <c r="B27" s="372" t="str">
        <f t="shared" si="8"/>
        <v/>
      </c>
      <c r="C27"/>
      <c r="D27" s="405" t="str">
        <f t="shared" si="9"/>
        <v/>
      </c>
      <c r="E27" s="510">
        <f t="shared" si="10"/>
        <v>0</v>
      </c>
      <c r="F27" s="509">
        <f>Elec_Est!F131</f>
        <v>0</v>
      </c>
      <c r="G27" s="320">
        <f t="shared" si="11"/>
        <v>1</v>
      </c>
      <c r="H27" s="407">
        <f t="shared" si="12"/>
        <v>0</v>
      </c>
      <c r="I27" s="407">
        <f t="shared" si="13"/>
        <v>0</v>
      </c>
      <c r="J27" s="320">
        <f t="shared" si="14"/>
        <v>27.46</v>
      </c>
      <c r="K27" s="320"/>
      <c r="L27" s="320"/>
      <c r="M27" s="320"/>
      <c r="N27" s="320"/>
      <c r="O27" s="320"/>
      <c r="P27" s="320"/>
      <c r="Q27" s="343"/>
      <c r="R27" s="509">
        <f>Elec_Est!R131</f>
        <v>0</v>
      </c>
      <c r="S27" s="320"/>
      <c r="T27" s="512">
        <f>Elec_Est!T131</f>
        <v>0</v>
      </c>
      <c r="V27"/>
      <c r="W27"/>
      <c r="X27"/>
    </row>
    <row r="28" spans="1:24">
      <c r="A28" s="422" t="str">
        <f t="shared" si="7"/>
        <v/>
      </c>
      <c r="B28" s="373" t="str">
        <f t="shared" si="8"/>
        <v/>
      </c>
      <c r="C28"/>
      <c r="D28" s="405" t="str">
        <f t="shared" si="9"/>
        <v/>
      </c>
      <c r="E28" s="510">
        <f t="shared" si="10"/>
        <v>0</v>
      </c>
      <c r="F28" s="509">
        <f>Elec_Est!F132</f>
        <v>0</v>
      </c>
      <c r="G28" s="320">
        <f t="shared" si="11"/>
        <v>1</v>
      </c>
      <c r="H28" s="407">
        <f t="shared" si="12"/>
        <v>0</v>
      </c>
      <c r="I28" s="407">
        <f t="shared" si="13"/>
        <v>0</v>
      </c>
      <c r="J28" s="320">
        <f t="shared" si="14"/>
        <v>27.46</v>
      </c>
      <c r="K28" s="320"/>
      <c r="L28" s="320"/>
      <c r="M28" s="320"/>
      <c r="N28" s="320"/>
      <c r="O28" s="320"/>
      <c r="P28" s="320"/>
      <c r="Q28" s="343"/>
      <c r="R28" s="509">
        <f>Elec_Est!R132</f>
        <v>0</v>
      </c>
      <c r="S28" s="320"/>
      <c r="T28" s="512">
        <f>Elec_Est!T132</f>
        <v>0</v>
      </c>
      <c r="V28"/>
      <c r="W28"/>
      <c r="X28"/>
    </row>
    <row r="29" spans="1:24">
      <c r="A29" s="422" t="str">
        <f t="shared" si="7"/>
        <v/>
      </c>
      <c r="B29" s="374" t="str">
        <f t="shared" si="8"/>
        <v/>
      </c>
      <c r="C29"/>
      <c r="D29" s="405" t="str">
        <f t="shared" si="9"/>
        <v/>
      </c>
      <c r="E29" s="510">
        <f t="shared" si="10"/>
        <v>0</v>
      </c>
      <c r="F29" s="509">
        <f>Elec_Est!F133</f>
        <v>0</v>
      </c>
      <c r="G29" s="320">
        <f t="shared" si="11"/>
        <v>1</v>
      </c>
      <c r="H29" s="407">
        <f t="shared" si="12"/>
        <v>0</v>
      </c>
      <c r="I29" s="407">
        <f t="shared" si="13"/>
        <v>0</v>
      </c>
      <c r="J29" s="320">
        <f t="shared" si="14"/>
        <v>27.46</v>
      </c>
      <c r="K29" s="320"/>
      <c r="L29" s="320"/>
      <c r="M29" s="320"/>
      <c r="N29" s="320"/>
      <c r="O29" s="320"/>
      <c r="P29" s="320"/>
      <c r="Q29" s="343"/>
      <c r="R29" s="509">
        <f>Elec_Est!R133</f>
        <v>0</v>
      </c>
      <c r="S29" s="320"/>
      <c r="T29" s="511">
        <f>Elec_Est!T133</f>
        <v>0</v>
      </c>
      <c r="V29"/>
      <c r="W29"/>
      <c r="X29"/>
    </row>
    <row r="30" spans="1:24">
      <c r="A30" s="422" t="str">
        <f t="shared" si="7"/>
        <v/>
      </c>
      <c r="B30" s="375" t="str">
        <f t="shared" si="8"/>
        <v/>
      </c>
      <c r="C30"/>
      <c r="D30" s="405" t="str">
        <f t="shared" si="9"/>
        <v/>
      </c>
      <c r="E30" s="510">
        <f t="shared" si="10"/>
        <v>0</v>
      </c>
      <c r="F30" s="509">
        <f>Elec_Est!F134</f>
        <v>0</v>
      </c>
      <c r="G30" s="320">
        <f t="shared" si="11"/>
        <v>1</v>
      </c>
      <c r="H30" s="407">
        <f t="shared" si="12"/>
        <v>0</v>
      </c>
      <c r="I30" s="407">
        <f t="shared" si="13"/>
        <v>0</v>
      </c>
      <c r="J30" s="320">
        <f t="shared" si="14"/>
        <v>27.46</v>
      </c>
      <c r="K30" s="320"/>
      <c r="L30" s="320"/>
      <c r="M30" s="320"/>
      <c r="N30" s="320"/>
      <c r="O30" s="320"/>
      <c r="P30" s="320"/>
      <c r="Q30" s="343"/>
      <c r="R30" s="509">
        <f>Elec_Est!R134</f>
        <v>0</v>
      </c>
      <c r="S30" s="320"/>
      <c r="T30" s="511">
        <f>Elec_Est!T134</f>
        <v>0</v>
      </c>
      <c r="V30"/>
      <c r="W30"/>
      <c r="X30"/>
    </row>
    <row r="31" spans="1:24">
      <c r="A31" s="422" t="str">
        <f t="shared" si="7"/>
        <v/>
      </c>
      <c r="B31" s="376" t="str">
        <f t="shared" si="8"/>
        <v/>
      </c>
      <c r="C31"/>
      <c r="D31" s="405" t="str">
        <f t="shared" si="9"/>
        <v/>
      </c>
      <c r="E31" s="510">
        <f t="shared" si="10"/>
        <v>0</v>
      </c>
      <c r="F31" s="509">
        <f>Elec_Est!F135</f>
        <v>0</v>
      </c>
      <c r="G31" s="320">
        <f t="shared" si="11"/>
        <v>1</v>
      </c>
      <c r="H31" s="407">
        <f t="shared" si="12"/>
        <v>0</v>
      </c>
      <c r="I31" s="407">
        <f t="shared" si="13"/>
        <v>0</v>
      </c>
      <c r="J31" s="320">
        <f t="shared" si="14"/>
        <v>27.46</v>
      </c>
      <c r="K31" s="320"/>
      <c r="L31" s="320"/>
      <c r="M31" s="320"/>
      <c r="N31" s="320"/>
      <c r="O31" s="320"/>
      <c r="P31" s="320"/>
      <c r="Q31" s="343"/>
      <c r="R31" s="509">
        <f>Elec_Est!R135</f>
        <v>0</v>
      </c>
      <c r="S31" s="320"/>
      <c r="T31" s="511">
        <f>Elec_Est!T135</f>
        <v>0</v>
      </c>
      <c r="V31"/>
      <c r="W31"/>
      <c r="X31"/>
    </row>
    <row r="32" spans="1:24">
      <c r="A32" s="423" t="str">
        <f t="shared" si="7"/>
        <v/>
      </c>
      <c r="B32" s="476" t="str">
        <f t="shared" si="8"/>
        <v/>
      </c>
      <c r="C32"/>
      <c r="D32" s="405" t="str">
        <f t="shared" si="9"/>
        <v/>
      </c>
      <c r="E32" s="510">
        <f t="shared" si="10"/>
        <v>0</v>
      </c>
      <c r="F32" s="509">
        <f>Elec_Est!F136</f>
        <v>0</v>
      </c>
      <c r="G32" s="320">
        <f t="shared" si="11"/>
        <v>1</v>
      </c>
      <c r="H32" s="407">
        <f t="shared" si="12"/>
        <v>0</v>
      </c>
      <c r="I32" s="407">
        <f t="shared" si="13"/>
        <v>0</v>
      </c>
      <c r="J32" s="320">
        <f t="shared" si="14"/>
        <v>27.46</v>
      </c>
      <c r="K32" s="320"/>
      <c r="L32" s="320"/>
      <c r="M32" s="320"/>
      <c r="N32" s="320"/>
      <c r="O32" s="320"/>
      <c r="P32" s="320"/>
      <c r="Q32" s="343"/>
      <c r="R32" s="509">
        <f ca="1">Elec_Est!R136</f>
        <v>0</v>
      </c>
      <c r="S32" s="320"/>
      <c r="T32" s="511">
        <f>Elec_Est!T136</f>
        <v>0</v>
      </c>
      <c r="V32"/>
      <c r="W32"/>
      <c r="X32"/>
    </row>
    <row r="33" spans="1:27">
      <c r="B33"/>
      <c r="C33" s="383" t="s">
        <v>209</v>
      </c>
      <c r="D33"/>
      <c r="E33"/>
      <c r="F33" s="382"/>
      <c r="G33" s="320"/>
      <c r="H33" s="320"/>
      <c r="I33" s="320"/>
      <c r="J33" s="320"/>
      <c r="K33" s="320"/>
      <c r="L33" s="320"/>
      <c r="M33" s="320"/>
      <c r="N33" s="320"/>
      <c r="O33" s="320"/>
      <c r="P33" s="320"/>
      <c r="R33" s="383"/>
      <c r="S33" s="320"/>
      <c r="T33" s="382"/>
      <c r="V33"/>
      <c r="W33"/>
      <c r="X33"/>
    </row>
    <row r="34" spans="1:27" ht="13.8" thickBot="1">
      <c r="B34" s="36"/>
      <c r="C34"/>
      <c r="R34" s="328"/>
      <c r="S34" s="328"/>
      <c r="T34" s="328"/>
      <c r="V34"/>
      <c r="W34"/>
      <c r="X34"/>
    </row>
    <row r="35" spans="1:27">
      <c r="A35" s="477" t="s">
        <v>214</v>
      </c>
      <c r="B35" s="481">
        <f ca="1">E_BOQ!F51</f>
        <v>7433.1</v>
      </c>
      <c r="E35" s="510">
        <f ca="1">SUM(E23:E32)</f>
        <v>7433.0999999999995</v>
      </c>
      <c r="F35" s="509">
        <f ca="1">SUM(F23:F32)</f>
        <v>7433.0999999999995</v>
      </c>
      <c r="G35" s="321"/>
      <c r="H35" s="321"/>
      <c r="I35" s="321"/>
      <c r="J35" s="321"/>
      <c r="K35" s="321"/>
      <c r="L35" s="321"/>
      <c r="M35" s="321"/>
      <c r="N35" s="321"/>
      <c r="O35" s="321"/>
      <c r="P35" s="321"/>
      <c r="Q35" s="322"/>
      <c r="R35" s="326">
        <f ca="1">SUM(R23:R32)</f>
        <v>4954.7300000000005</v>
      </c>
      <c r="S35" s="323"/>
      <c r="T35" s="326">
        <f ca="1">SUM(T23:T32)</f>
        <v>90.254064821558643</v>
      </c>
      <c r="V35" s="705"/>
      <c r="W35"/>
      <c r="X35"/>
    </row>
    <row r="36" spans="1:27" ht="14.4" thickBot="1">
      <c r="A36" s="478" t="str">
        <f xml:space="preserve"> IF(A39=0,"0.00",A39-(A38*A37))</f>
        <v>0.00</v>
      </c>
      <c r="B36" s="480" t="s">
        <v>245</v>
      </c>
      <c r="E36" s="570" t="str">
        <f>"ESTIM TOTAL (" &amp; $Q$1 &amp; ")"</f>
        <v>ESTIM TOTAL (€)</v>
      </c>
      <c r="G36" s="321"/>
      <c r="H36" s="321"/>
      <c r="I36" s="321"/>
      <c r="J36" s="321"/>
      <c r="K36" s="321"/>
      <c r="L36" s="321"/>
      <c r="M36" s="321"/>
      <c r="N36" s="321"/>
      <c r="O36" s="321"/>
      <c r="P36" s="321"/>
      <c r="Q36" s="322"/>
      <c r="V36"/>
      <c r="W36"/>
      <c r="X36"/>
    </row>
    <row r="37" spans="1:27" ht="13.8">
      <c r="A37" s="414">
        <v>1.125</v>
      </c>
      <c r="B37" s="479" t="s">
        <v>236</v>
      </c>
      <c r="C37" s="303"/>
      <c r="D37"/>
      <c r="E37" s="418"/>
      <c r="G37"/>
      <c r="H37"/>
      <c r="I37"/>
      <c r="J37"/>
      <c r="K37"/>
      <c r="L37"/>
      <c r="M37"/>
      <c r="N37"/>
      <c r="O37"/>
      <c r="P37"/>
      <c r="Q37"/>
      <c r="R37" s="461">
        <f ca="1">R165</f>
        <v>4954.7481900000002</v>
      </c>
      <c r="S37" s="462" t="s">
        <v>205</v>
      </c>
      <c r="T37" s="460">
        <f ca="1">T165</f>
        <v>90.245064821558614</v>
      </c>
      <c r="V37"/>
      <c r="W37"/>
      <c r="X37"/>
    </row>
    <row r="38" spans="1:27">
      <c r="A38" s="416"/>
      <c r="B38" s="415" t="s">
        <v>234</v>
      </c>
      <c r="C38"/>
      <c r="D38"/>
      <c r="G38"/>
      <c r="H38"/>
      <c r="I38"/>
      <c r="J38"/>
      <c r="K38"/>
      <c r="L38"/>
      <c r="M38"/>
      <c r="N38"/>
      <c r="O38"/>
      <c r="P38"/>
      <c r="Q38"/>
      <c r="R38"/>
      <c r="S38"/>
      <c r="T38"/>
    </row>
    <row r="39" spans="1:27">
      <c r="A39" s="417"/>
      <c r="B39" s="415" t="s">
        <v>235</v>
      </c>
      <c r="C39"/>
      <c r="D39"/>
      <c r="E39"/>
      <c r="F39"/>
      <c r="G39" s="302"/>
      <c r="H39" s="302"/>
      <c r="I39" s="302"/>
      <c r="J39" s="302"/>
      <c r="K39" s="302"/>
      <c r="L39" s="302"/>
      <c r="M39" s="302"/>
      <c r="N39" s="302"/>
      <c r="O39" s="302"/>
      <c r="P39" s="302"/>
      <c r="Q39" s="413" t="s">
        <v>215</v>
      </c>
      <c r="R39" s="463">
        <f ca="1">R37-R35</f>
        <v>1.8189999999776774E-2</v>
      </c>
      <c r="S39" s="491" t="s">
        <v>246</v>
      </c>
      <c r="T39" s="464">
        <f ca="1">T37-T35</f>
        <v>-9.0000000000287628E-3</v>
      </c>
    </row>
    <row r="40" spans="1:27" ht="14.25" customHeight="1">
      <c r="S40" s="501"/>
    </row>
    <row r="41" spans="1:27">
      <c r="B41" s="465" t="s">
        <v>237</v>
      </c>
      <c r="C41" s="466"/>
      <c r="D41" s="457">
        <v>45902</v>
      </c>
      <c r="E41" s="467">
        <v>3567.42</v>
      </c>
      <c r="F41" s="467">
        <v>3567.42</v>
      </c>
      <c r="G41" s="468"/>
      <c r="H41" s="468"/>
      <c r="I41" s="468"/>
      <c r="J41" s="468"/>
      <c r="K41" s="468"/>
      <c r="L41" s="468"/>
      <c r="M41" s="468"/>
      <c r="N41" s="468"/>
      <c r="O41" s="468"/>
      <c r="P41" s="468"/>
      <c r="Q41" s="469"/>
      <c r="R41" s="467">
        <v>1731.7900000000002</v>
      </c>
      <c r="S41" s="469"/>
      <c r="T41" s="467">
        <v>66.847000000000008</v>
      </c>
    </row>
    <row r="42" spans="1:27">
      <c r="B42" s="465"/>
      <c r="C42"/>
      <c r="D42" s="457"/>
      <c r="E42" s="467"/>
      <c r="F42" s="467"/>
      <c r="G42" s="468"/>
      <c r="H42" s="468"/>
      <c r="I42" s="468"/>
      <c r="J42" s="468"/>
      <c r="K42" s="468"/>
      <c r="L42" s="468"/>
      <c r="M42" s="468"/>
      <c r="N42" s="468"/>
      <c r="O42" s="468"/>
      <c r="P42" s="468"/>
      <c r="Q42" s="469"/>
      <c r="R42" s="467"/>
      <c r="S42" s="469"/>
      <c r="T42" s="467"/>
      <c r="U42" s="616"/>
    </row>
    <row r="43" spans="1:27">
      <c r="B43" s="465"/>
      <c r="C43"/>
      <c r="D43" s="457"/>
      <c r="E43" s="467"/>
      <c r="F43" s="467"/>
      <c r="G43" s="468"/>
      <c r="H43" s="468"/>
      <c r="I43" s="468"/>
      <c r="J43" s="468"/>
      <c r="K43" s="468"/>
      <c r="L43" s="468"/>
      <c r="M43" s="468"/>
      <c r="N43" s="468"/>
      <c r="O43" s="468"/>
      <c r="P43" s="468"/>
      <c r="Q43" s="469"/>
      <c r="R43" s="467"/>
      <c r="S43" s="469"/>
      <c r="T43" s="467"/>
      <c r="U43" s="616"/>
      <c r="X43" s="616"/>
      <c r="AA43" s="616"/>
    </row>
    <row r="44" spans="1:27">
      <c r="B44" s="304"/>
      <c r="C44" s="305"/>
      <c r="D44" s="305"/>
    </row>
    <row r="45" spans="1:27" s="195" customFormat="1" ht="14.25" customHeight="1">
      <c r="A45" s="191"/>
      <c r="B45" s="192"/>
      <c r="C45" s="189"/>
      <c r="D45" s="189"/>
      <c r="E45" s="670"/>
    </row>
    <row r="46" spans="1:27" s="195" customFormat="1" ht="13.8">
      <c r="A46" s="411" t="s">
        <v>35</v>
      </c>
      <c r="C46" s="36"/>
      <c r="D46" s="36"/>
      <c r="E46" s="669"/>
    </row>
    <row r="47" spans="1:27" s="195" customFormat="1" ht="14.25" customHeight="1">
      <c r="A47" s="869" t="s">
        <v>220</v>
      </c>
      <c r="B47" s="869"/>
      <c r="C47" s="869"/>
      <c r="D47" s="869"/>
      <c r="E47" s="869"/>
      <c r="F47" s="869"/>
      <c r="G47" s="869"/>
      <c r="H47" s="869"/>
      <c r="I47" s="869"/>
      <c r="J47" s="869"/>
      <c r="K47" s="869"/>
      <c r="L47" s="869"/>
      <c r="M47" s="869"/>
      <c r="N47" s="869"/>
      <c r="O47" s="869"/>
      <c r="P47" s="869"/>
      <c r="Q47" s="869"/>
      <c r="R47" s="869"/>
      <c r="S47" s="869"/>
    </row>
    <row r="48" spans="1:27" s="195" customFormat="1" ht="14.25" customHeight="1">
      <c r="A48" s="869" t="s">
        <v>221</v>
      </c>
      <c r="B48" s="869"/>
      <c r="C48" s="869"/>
      <c r="D48" s="869"/>
      <c r="E48" s="869"/>
      <c r="F48" s="869"/>
      <c r="G48" s="869"/>
      <c r="H48" s="869"/>
      <c r="I48" s="869"/>
      <c r="J48" s="869"/>
      <c r="K48" s="869"/>
      <c r="L48" s="869"/>
      <c r="M48" s="869"/>
      <c r="N48" s="869"/>
      <c r="O48" s="869"/>
      <c r="P48" s="869"/>
      <c r="Q48" s="869"/>
      <c r="R48" s="869"/>
      <c r="S48" s="869"/>
      <c r="T48" s="36"/>
    </row>
    <row r="49" spans="1:20" s="195" customFormat="1" ht="13.8">
      <c r="A49" s="36"/>
      <c r="B49" s="182"/>
      <c r="C49" s="36"/>
      <c r="D49" s="36"/>
      <c r="E49" s="36"/>
      <c r="F49" s="36"/>
      <c r="G49" s="36"/>
      <c r="H49" s="36"/>
      <c r="I49" s="36"/>
      <c r="J49" s="36"/>
      <c r="K49" s="36"/>
      <c r="L49" s="36"/>
      <c r="M49" s="36"/>
      <c r="N49" s="36"/>
      <c r="O49" s="36"/>
      <c r="P49" s="36"/>
      <c r="Q49" s="36"/>
      <c r="R49" s="36"/>
      <c r="S49" s="36"/>
      <c r="T49" s="36"/>
    </row>
    <row r="50" spans="1:20" s="195" customFormat="1" ht="13.5" customHeight="1">
      <c r="A50" s="178"/>
      <c r="B50" s="189"/>
      <c r="C50" s="178"/>
      <c r="D50" s="178"/>
      <c r="E50" s="178"/>
      <c r="F50" s="178"/>
      <c r="G50" s="178"/>
      <c r="H50" s="178"/>
      <c r="I50" s="178"/>
      <c r="J50" s="178"/>
      <c r="K50" s="178"/>
      <c r="L50" s="178"/>
      <c r="M50" s="178"/>
      <c r="N50" s="178"/>
      <c r="O50" s="178"/>
      <c r="P50" s="178"/>
      <c r="Q50" s="178"/>
      <c r="R50" s="178"/>
      <c r="S50" s="178"/>
      <c r="T50" s="178"/>
    </row>
    <row r="51" spans="1:20" s="195" customFormat="1" ht="13.5" customHeight="1" thickBot="1">
      <c r="A51" s="196" t="s">
        <v>36</v>
      </c>
      <c r="B51" s="197"/>
      <c r="C51" s="198"/>
      <c r="D51" s="198" t="str">
        <f>D8</f>
        <v>Umut Kaymak</v>
      </c>
      <c r="E51" s="178"/>
      <c r="F51" s="199"/>
      <c r="G51" s="200"/>
      <c r="H51" s="200"/>
      <c r="I51" s="200"/>
      <c r="J51" s="200"/>
      <c r="K51" s="200"/>
      <c r="L51" s="200"/>
      <c r="M51" s="178"/>
      <c r="N51" s="178"/>
      <c r="O51" s="178"/>
      <c r="P51" s="178"/>
      <c r="Q51" s="196" t="s">
        <v>37</v>
      </c>
      <c r="R51" s="198"/>
      <c r="S51" s="198"/>
      <c r="T51" s="198"/>
    </row>
    <row r="52" spans="1:20" s="195" customFormat="1" ht="13.5" customHeight="1" thickTop="1">
      <c r="A52" s="201"/>
      <c r="B52" s="189"/>
      <c r="C52" s="178"/>
      <c r="D52" s="178"/>
      <c r="E52" s="178"/>
      <c r="F52" s="178"/>
      <c r="G52" s="178"/>
      <c r="H52" s="178"/>
      <c r="I52" s="178"/>
      <c r="J52" s="178"/>
      <c r="K52" s="178"/>
      <c r="L52" s="178"/>
      <c r="M52" s="178"/>
      <c r="N52" s="178"/>
      <c r="O52" s="178"/>
      <c r="P52" s="178"/>
      <c r="Q52" s="201"/>
      <c r="R52" s="178"/>
      <c r="S52" s="178"/>
      <c r="T52" s="178"/>
    </row>
    <row r="53" spans="1:20" s="195" customFormat="1" ht="13.5" customHeight="1" thickBot="1">
      <c r="A53" s="202" t="s">
        <v>38</v>
      </c>
      <c r="B53" s="198"/>
      <c r="C53" s="198"/>
      <c r="D53" s="198"/>
      <c r="E53" s="178"/>
      <c r="F53" s="199"/>
      <c r="G53" s="200"/>
      <c r="H53" s="200"/>
      <c r="I53" s="200"/>
      <c r="J53" s="200"/>
      <c r="K53" s="200"/>
      <c r="L53" s="200"/>
      <c r="M53" s="178"/>
      <c r="N53" s="178"/>
      <c r="O53" s="178"/>
      <c r="P53" s="178"/>
      <c r="Q53" s="201" t="s">
        <v>39</v>
      </c>
      <c r="R53" s="178"/>
      <c r="S53" s="198"/>
      <c r="T53" s="198"/>
    </row>
    <row r="54" spans="1:20" s="195" customFormat="1" ht="13.5" customHeight="1" thickTop="1">
      <c r="A54" s="202"/>
      <c r="B54" s="189"/>
      <c r="C54" s="178"/>
      <c r="D54" s="178"/>
      <c r="E54" s="178"/>
      <c r="F54" s="199"/>
      <c r="G54" s="178"/>
      <c r="H54" s="178"/>
      <c r="I54" s="178"/>
      <c r="J54" s="178"/>
      <c r="K54" s="178"/>
      <c r="L54" s="178"/>
      <c r="M54" s="178"/>
      <c r="N54" s="178"/>
      <c r="O54" s="178"/>
      <c r="P54" s="178"/>
      <c r="Q54" s="201"/>
      <c r="R54" s="178"/>
      <c r="S54" s="178"/>
      <c r="T54" s="178"/>
    </row>
    <row r="55" spans="1:20" s="195" customFormat="1" ht="13.5" customHeight="1">
      <c r="A55" s="868" t="s">
        <v>195</v>
      </c>
      <c r="B55" s="868"/>
      <c r="C55" s="12"/>
      <c r="D55" s="400" t="str">
        <f ca="1" xml:space="preserve"> CELL("filename")</f>
        <v>https://d.docs.live.net/d8e42587b76b10ba/Documents/Visual Code Studio/Claude/BMS-Attribution-Model/projects/ST_Micro_Exhaust_Fans/[ELM25_0560_ST_Electronics_Exhaust_Replacement_Est_.xlsx]E_BOQ</v>
      </c>
      <c r="E55" s="305"/>
      <c r="F55" s="401"/>
      <c r="G55" s="305"/>
      <c r="H55" s="305"/>
      <c r="I55" s="305"/>
      <c r="J55" s="305"/>
      <c r="K55" s="305"/>
      <c r="L55" s="305"/>
      <c r="M55" s="305"/>
      <c r="N55" s="305"/>
      <c r="O55" s="305"/>
      <c r="P55" s="305"/>
      <c r="Q55" s="402"/>
      <c r="R55" s="178"/>
      <c r="S55" s="178"/>
      <c r="T55" s="178"/>
    </row>
    <row r="56" spans="1:20" s="195" customFormat="1" ht="12.75" customHeight="1">
      <c r="A56" s="316"/>
      <c r="B56" s="316"/>
      <c r="C56" s="12"/>
      <c r="D56" s="13"/>
      <c r="E56" s="178"/>
      <c r="F56" s="199"/>
      <c r="G56" s="178"/>
      <c r="H56" s="178"/>
      <c r="I56" s="178"/>
      <c r="J56" s="178"/>
      <c r="K56" s="178"/>
      <c r="L56" s="178"/>
      <c r="M56" s="178"/>
      <c r="N56" s="178"/>
      <c r="O56" s="178"/>
      <c r="P56" s="178"/>
      <c r="Q56" s="201"/>
      <c r="R56" s="178"/>
      <c r="S56" s="178"/>
      <c r="T56" s="178"/>
    </row>
    <row r="57" spans="1:20" ht="21" customHeight="1">
      <c r="B57" s="861" t="s">
        <v>40</v>
      </c>
      <c r="C57" s="862"/>
      <c r="D57" s="862"/>
      <c r="E57" s="862"/>
      <c r="F57" s="862"/>
      <c r="G57" s="862"/>
      <c r="H57" s="862"/>
      <c r="I57" s="862"/>
      <c r="J57" s="862"/>
      <c r="K57" s="862"/>
      <c r="L57" s="862"/>
      <c r="M57" s="862"/>
      <c r="N57" s="862"/>
      <c r="O57" s="862"/>
      <c r="P57" s="862"/>
      <c r="Q57" s="862"/>
      <c r="R57" s="862"/>
      <c r="S57" s="862"/>
      <c r="T57" s="863"/>
    </row>
    <row r="58" spans="1:20" ht="18" customHeight="1">
      <c r="B58" s="864" t="s">
        <v>41</v>
      </c>
      <c r="C58" s="865"/>
      <c r="D58" s="865"/>
      <c r="E58" s="865"/>
      <c r="F58" s="865"/>
      <c r="G58" s="865"/>
      <c r="H58" s="865"/>
      <c r="I58" s="865"/>
      <c r="J58" s="865"/>
      <c r="K58" s="865"/>
      <c r="L58" s="865"/>
      <c r="M58" s="865"/>
      <c r="N58" s="865"/>
      <c r="O58" s="865"/>
      <c r="P58" s="865"/>
      <c r="Q58" s="865"/>
      <c r="R58" s="865"/>
      <c r="S58" s="866"/>
      <c r="T58" s="867"/>
    </row>
    <row r="59" spans="1:20">
      <c r="B59" s="203"/>
      <c r="S59" s="204" t="s">
        <v>42</v>
      </c>
      <c r="T59" s="190"/>
    </row>
    <row r="60" spans="1:20">
      <c r="B60" s="203"/>
      <c r="D60" s="205" t="s">
        <v>43</v>
      </c>
      <c r="E60" s="306" t="str">
        <f>D1</f>
        <v>ST Microelectronics (Malta) Ltd.</v>
      </c>
      <c r="F60" s="307"/>
      <c r="G60" s="134"/>
      <c r="H60" s="134"/>
      <c r="I60" s="134"/>
      <c r="J60" s="134"/>
      <c r="K60" s="134"/>
      <c r="L60" s="134"/>
      <c r="M60" s="134"/>
      <c r="N60" s="134"/>
      <c r="O60" s="134"/>
      <c r="P60" s="134"/>
      <c r="Q60" s="308"/>
      <c r="R60" s="134"/>
      <c r="S60" s="204" t="s">
        <v>320</v>
      </c>
      <c r="T60" s="190"/>
    </row>
    <row r="61" spans="1:20">
      <c r="B61" s="203"/>
      <c r="D61" s="206" t="s">
        <v>44</v>
      </c>
      <c r="E61" s="306" t="str">
        <f>D2</f>
        <v xml:space="preserve">KK2 General Exhaust Replacement </v>
      </c>
      <c r="F61" s="307"/>
      <c r="G61" s="134"/>
      <c r="H61" s="134"/>
      <c r="I61" s="134"/>
      <c r="J61" s="134"/>
      <c r="K61" s="134"/>
      <c r="L61" s="134"/>
      <c r="M61" s="134"/>
      <c r="N61" s="134"/>
      <c r="O61" s="134"/>
      <c r="P61" s="134"/>
      <c r="Q61" s="308"/>
      <c r="R61" s="134"/>
      <c r="S61" s="204" t="s">
        <v>269</v>
      </c>
      <c r="T61" s="190"/>
    </row>
    <row r="62" spans="1:20">
      <c r="B62" s="203"/>
      <c r="D62" s="205" t="s">
        <v>45</v>
      </c>
      <c r="E62" s="306" t="str">
        <f>D3</f>
        <v>Electrical Supply and Installation</v>
      </c>
      <c r="F62" s="307"/>
      <c r="G62" s="134"/>
      <c r="H62" s="134"/>
      <c r="I62" s="134"/>
      <c r="J62" s="134"/>
      <c r="K62" s="134"/>
      <c r="L62" s="134"/>
      <c r="M62" s="134"/>
      <c r="N62" s="134"/>
      <c r="O62" s="134"/>
      <c r="P62" s="134"/>
      <c r="Q62" s="308"/>
      <c r="R62" s="134"/>
      <c r="S62" s="204" t="s">
        <v>321</v>
      </c>
      <c r="T62" s="190"/>
    </row>
    <row r="63" spans="1:20">
      <c r="B63" s="203"/>
      <c r="D63" s="207" t="s">
        <v>48</v>
      </c>
      <c r="E63" s="306" t="str">
        <f>D4</f>
        <v>ELM25-0560</v>
      </c>
      <c r="F63" s="307"/>
      <c r="G63" s="134"/>
      <c r="H63" s="134"/>
      <c r="I63" s="134"/>
      <c r="J63" s="134"/>
      <c r="K63" s="134"/>
      <c r="L63" s="134"/>
      <c r="M63" s="134"/>
      <c r="N63" s="134"/>
      <c r="O63" s="134"/>
      <c r="P63" s="134"/>
      <c r="Q63" s="308"/>
      <c r="R63" s="134"/>
      <c r="S63" s="204"/>
      <c r="T63" s="190"/>
    </row>
    <row r="64" spans="1:20">
      <c r="B64" s="203"/>
      <c r="D64" s="207" t="s">
        <v>49</v>
      </c>
      <c r="E64" s="306" t="str">
        <f>D5</f>
        <v>Tender</v>
      </c>
      <c r="F64" s="307"/>
      <c r="G64" s="134"/>
      <c r="H64" s="134"/>
      <c r="I64" s="134"/>
      <c r="J64" s="134"/>
      <c r="K64" s="134"/>
      <c r="L64" s="134"/>
      <c r="M64" s="134"/>
      <c r="N64" s="134"/>
      <c r="O64" s="134"/>
      <c r="P64" s="134"/>
      <c r="Q64" s="308"/>
      <c r="R64" s="134"/>
      <c r="S64" s="204"/>
      <c r="T64" s="190"/>
    </row>
    <row r="65" spans="2:20">
      <c r="B65" s="203"/>
      <c r="S65" s="204" t="s">
        <v>47</v>
      </c>
      <c r="T65" s="190"/>
    </row>
    <row r="66" spans="2:20">
      <c r="B66" s="203"/>
      <c r="D66" s="207" t="s">
        <v>46</v>
      </c>
      <c r="E66" s="208"/>
      <c r="F66" s="208"/>
      <c r="G66" s="209"/>
      <c r="H66" s="209"/>
      <c r="I66" s="209"/>
      <c r="J66" s="209"/>
      <c r="K66" s="209"/>
      <c r="L66" s="209"/>
      <c r="M66" s="209"/>
      <c r="N66" s="209"/>
      <c r="O66" s="209"/>
      <c r="P66" s="209"/>
      <c r="S66" s="210"/>
      <c r="T66" s="211"/>
    </row>
    <row r="67" spans="2:20">
      <c r="B67" s="203"/>
      <c r="D67" s="207" t="s">
        <v>250</v>
      </c>
      <c r="E67" s="208"/>
      <c r="F67" s="208"/>
      <c r="G67" s="209"/>
      <c r="H67" s="209"/>
      <c r="I67" s="209"/>
      <c r="J67" s="209"/>
      <c r="K67" s="209"/>
      <c r="L67" s="209"/>
      <c r="M67" s="209"/>
      <c r="N67" s="209"/>
      <c r="O67" s="209"/>
      <c r="P67" s="209"/>
      <c r="S67" s="210"/>
      <c r="T67" s="211"/>
    </row>
    <row r="68" spans="2:20">
      <c r="B68" s="212"/>
      <c r="C68" s="102"/>
      <c r="D68" s="102"/>
      <c r="E68" s="102"/>
      <c r="F68" s="102"/>
      <c r="G68" s="102"/>
      <c r="H68" s="102"/>
      <c r="I68" s="102"/>
      <c r="J68" s="102"/>
      <c r="K68" s="102"/>
      <c r="L68" s="102"/>
      <c r="M68" s="102"/>
      <c r="N68" s="102"/>
      <c r="O68" s="102"/>
      <c r="P68" s="102"/>
      <c r="Q68" s="102"/>
      <c r="R68" s="102"/>
      <c r="S68" s="102"/>
      <c r="T68" s="213"/>
    </row>
    <row r="69" spans="2:20" ht="14.25" customHeight="1">
      <c r="B69" s="203"/>
      <c r="T69" s="211"/>
    </row>
    <row r="70" spans="2:20" ht="15.6">
      <c r="B70" s="203"/>
      <c r="E70" s="214" t="s">
        <v>199</v>
      </c>
      <c r="F70" s="188"/>
      <c r="G70" s="188"/>
      <c r="H70" s="188"/>
      <c r="I70" s="188"/>
      <c r="J70" s="188"/>
      <c r="K70" s="188"/>
      <c r="L70" s="188"/>
      <c r="M70" s="188"/>
      <c r="N70" s="188"/>
      <c r="O70" s="188"/>
      <c r="P70" s="188"/>
      <c r="Q70" s="188"/>
      <c r="R70" s="188"/>
      <c r="S70" s="112"/>
      <c r="T70" s="211"/>
    </row>
    <row r="71" spans="2:20">
      <c r="B71" s="203"/>
      <c r="E71" s="216"/>
      <c r="F71" s="188"/>
      <c r="G71" s="188"/>
      <c r="H71" s="188"/>
      <c r="I71" s="188"/>
      <c r="J71" s="188"/>
      <c r="K71" s="188"/>
      <c r="L71" s="188"/>
      <c r="M71" s="188"/>
      <c r="N71" s="188"/>
      <c r="O71" s="188"/>
      <c r="P71" s="188"/>
      <c r="Q71" s="188"/>
      <c r="R71" s="188"/>
      <c r="S71" s="112"/>
      <c r="T71" s="211"/>
    </row>
    <row r="72" spans="2:20">
      <c r="B72" s="335"/>
      <c r="C72" s="381">
        <f ca="1">IF($A$33="MIXED",F23/(1-Q2)+F24/(1-Q3)+F25/(1-Q4)+F26/(1-Q5)+F27/(1-Q6)+F28/(1-Q7)+F29/(1-Q8)+F30/(1-Q9)+F31/(1-Q10)+F32/(1-Q11)-SUM(A23:A32),   F23/(1-Q2)+F24/(1-Q3)+F25/(1-Q4)+F26/(1-Q5)+F27/(1-Q6)+F28/(1-Q7)+F29/(1-Q8)+F30/(1-Q9)+F31/(1-Q10)+F32/(1-Q11))</f>
        <v>7433.0999999999995</v>
      </c>
      <c r="E72" s="185" t="s">
        <v>242</v>
      </c>
      <c r="F72" s="442">
        <f ca="1">IF(D6="VAT INCLUDED",C72/($C$1*1.18),C72/$C$1)</f>
        <v>7433.0999999999995</v>
      </c>
      <c r="G72" s="188"/>
      <c r="H72" s="188"/>
      <c r="I72" s="188"/>
      <c r="J72" s="188"/>
      <c r="K72" s="188"/>
      <c r="L72" s="188"/>
      <c r="M72" s="188"/>
      <c r="N72" s="188"/>
      <c r="O72" s="188"/>
      <c r="P72" s="188"/>
      <c r="Q72" s="188"/>
      <c r="R72" s="188"/>
      <c r="S72" s="112"/>
      <c r="T72" s="211"/>
    </row>
    <row r="73" spans="2:20">
      <c r="B73" s="203"/>
      <c r="F73" s="448"/>
      <c r="G73" s="188"/>
      <c r="H73" s="188"/>
      <c r="I73" s="188"/>
      <c r="J73" s="188"/>
      <c r="K73" s="188"/>
      <c r="L73" s="188"/>
      <c r="M73" s="188"/>
      <c r="N73" s="188"/>
      <c r="O73" s="188"/>
      <c r="P73" s="188"/>
      <c r="Q73" s="188"/>
      <c r="R73" s="188"/>
      <c r="S73" s="112"/>
      <c r="T73" s="211"/>
    </row>
    <row r="74" spans="2:20" ht="15" customHeight="1">
      <c r="B74" s="335"/>
      <c r="E74" s="451" t="s">
        <v>243</v>
      </c>
      <c r="F74" s="449">
        <f ca="1">(F72-F75)/F72</f>
        <v>0</v>
      </c>
      <c r="G74" s="217"/>
      <c r="H74" s="217"/>
      <c r="I74" s="217"/>
      <c r="J74" s="217"/>
      <c r="K74" s="217"/>
      <c r="L74" s="217"/>
      <c r="M74" s="217"/>
      <c r="N74" s="217"/>
      <c r="O74" s="217"/>
      <c r="P74" s="217"/>
      <c r="Q74" s="218"/>
      <c r="T74" s="211"/>
    </row>
    <row r="75" spans="2:20">
      <c r="B75" s="336"/>
      <c r="E75" s="206" t="s">
        <v>241</v>
      </c>
      <c r="F75" s="450">
        <f ca="1">IF(D6="VAT INCLUDED",E35/($C$1*1.18),E35/$C$1)</f>
        <v>7433.0999999999995</v>
      </c>
      <c r="T75" s="211"/>
    </row>
    <row r="76" spans="2:20" ht="14.25" customHeight="1">
      <c r="B76" s="203"/>
      <c r="E76" s="185"/>
      <c r="F76" s="309"/>
      <c r="R76" s="185"/>
      <c r="T76" s="211"/>
    </row>
    <row r="77" spans="2:20" ht="15.6">
      <c r="B77" s="219"/>
      <c r="C77" s="220"/>
      <c r="E77" s="221" t="s">
        <v>197</v>
      </c>
      <c r="F77" s="470">
        <f>$D$9</f>
        <v>27.46</v>
      </c>
      <c r="G77" s="222"/>
      <c r="H77" s="223"/>
      <c r="I77" s="224"/>
      <c r="J77" s="225"/>
      <c r="K77" s="225"/>
      <c r="L77" s="225"/>
      <c r="M77" s="225"/>
      <c r="N77" s="225"/>
      <c r="O77" s="225"/>
      <c r="P77" s="225"/>
      <c r="Q77" s="226"/>
      <c r="R77" s="185" t="s">
        <v>179</v>
      </c>
      <c r="S77" s="215"/>
      <c r="T77" s="211"/>
    </row>
    <row r="78" spans="2:20" ht="15.6">
      <c r="B78" s="219"/>
      <c r="C78" s="220"/>
      <c r="E78" s="227"/>
      <c r="F78" s="228"/>
      <c r="G78" s="229"/>
      <c r="H78" s="230"/>
      <c r="I78" s="231"/>
      <c r="J78" s="226"/>
      <c r="K78" s="226"/>
      <c r="L78" s="226"/>
      <c r="M78" s="226"/>
      <c r="N78" s="226"/>
      <c r="O78" s="226"/>
      <c r="P78" s="226"/>
      <c r="Q78" s="226"/>
      <c r="T78" s="211"/>
    </row>
    <row r="79" spans="2:20" ht="15.6">
      <c r="B79" s="219"/>
      <c r="C79" s="220"/>
      <c r="E79" s="227"/>
      <c r="F79" s="228"/>
      <c r="G79" s="229"/>
      <c r="H79" s="230"/>
      <c r="I79" s="231"/>
      <c r="J79" s="226"/>
      <c r="K79" s="226"/>
      <c r="L79" s="226"/>
      <c r="M79" s="226"/>
      <c r="N79" s="226"/>
      <c r="O79" s="226"/>
      <c r="P79" s="226"/>
      <c r="Q79" s="226"/>
      <c r="T79" s="211"/>
    </row>
    <row r="80" spans="2:20" ht="15">
      <c r="B80" s="219"/>
      <c r="C80" s="220"/>
      <c r="D80" s="232" t="s">
        <v>50</v>
      </c>
      <c r="E80" s="233" t="s">
        <v>67</v>
      </c>
      <c r="F80" s="234" t="s">
        <v>51</v>
      </c>
      <c r="G80" s="235"/>
      <c r="H80" s="235"/>
      <c r="I80" s="235"/>
      <c r="J80" s="235"/>
      <c r="K80" s="235"/>
      <c r="L80" s="235"/>
      <c r="M80" s="235"/>
      <c r="N80" s="235"/>
      <c r="O80" s="235"/>
      <c r="P80" s="235"/>
      <c r="Q80" s="235"/>
      <c r="R80" s="233" t="s">
        <v>233</v>
      </c>
      <c r="S80" s="236"/>
      <c r="T80" s="211"/>
    </row>
    <row r="81" spans="2:20" ht="13.8">
      <c r="B81" s="203"/>
      <c r="D81" s="237" t="s">
        <v>238</v>
      </c>
      <c r="E81" s="122" t="s">
        <v>240</v>
      </c>
      <c r="F81" s="238" t="s">
        <v>238</v>
      </c>
      <c r="R81" s="318"/>
      <c r="S81" s="211"/>
      <c r="T81" s="239"/>
    </row>
    <row r="82" spans="2:20">
      <c r="B82" s="203"/>
      <c r="D82" s="240"/>
      <c r="S82" s="241"/>
      <c r="T82" s="211"/>
    </row>
    <row r="83" spans="2:20">
      <c r="B83" s="203"/>
      <c r="D83" s="443">
        <f ca="1">R165</f>
        <v>4954.7481900000002</v>
      </c>
      <c r="E83" s="444">
        <f ca="1">T165</f>
        <v>90.245064821558614</v>
      </c>
      <c r="F83" s="445">
        <f ca="1">R165+S165</f>
        <v>7432.8776699999999</v>
      </c>
      <c r="G83" s="446"/>
      <c r="H83" s="446"/>
      <c r="I83" s="446"/>
      <c r="J83" s="446"/>
      <c r="K83" s="446"/>
      <c r="L83" s="446"/>
      <c r="M83" s="446"/>
      <c r="N83" s="446"/>
      <c r="O83" s="446"/>
      <c r="P83" s="446"/>
      <c r="Q83" s="446"/>
      <c r="R83" s="447">
        <f ca="1">IF(F83=0,0,F75/F83)</f>
        <v>1.0000299116990579</v>
      </c>
      <c r="S83" s="241"/>
      <c r="T83" s="211"/>
    </row>
    <row r="84" spans="2:20">
      <c r="B84" s="203"/>
      <c r="D84" s="859" t="s">
        <v>180</v>
      </c>
      <c r="E84" s="860"/>
      <c r="S84" s="211"/>
      <c r="T84" s="241"/>
    </row>
    <row r="85" spans="2:20" ht="15">
      <c r="B85" s="203"/>
      <c r="D85" s="242"/>
      <c r="E85" s="102"/>
      <c r="F85" s="102"/>
      <c r="G85" s="102"/>
      <c r="H85" s="243"/>
      <c r="I85" s="244"/>
      <c r="J85" s="102"/>
      <c r="K85" s="102"/>
      <c r="L85" s="102"/>
      <c r="M85" s="102"/>
      <c r="N85" s="102"/>
      <c r="O85" s="102"/>
      <c r="P85" s="102"/>
      <c r="Q85" s="102"/>
      <c r="R85" s="102"/>
      <c r="S85" s="213"/>
      <c r="T85" s="211"/>
    </row>
    <row r="86" spans="2:20" ht="15">
      <c r="B86" s="203"/>
      <c r="H86" s="245"/>
      <c r="I86" s="220"/>
      <c r="T86" s="211"/>
    </row>
    <row r="87" spans="2:20" ht="15">
      <c r="B87" s="203"/>
      <c r="H87" s="245"/>
      <c r="I87" s="220"/>
      <c r="R87" s="185" t="s">
        <v>52</v>
      </c>
      <c r="S87" s="246"/>
      <c r="T87" s="211"/>
    </row>
    <row r="88" spans="2:20" ht="15">
      <c r="B88" s="203"/>
      <c r="H88" s="245"/>
      <c r="I88" s="220"/>
      <c r="R88" s="185" t="s">
        <v>53</v>
      </c>
      <c r="S88" s="246"/>
      <c r="T88" s="211"/>
    </row>
    <row r="89" spans="2:20" ht="15">
      <c r="B89" s="203"/>
      <c r="H89" s="245"/>
      <c r="I89" s="220"/>
      <c r="R89" s="185"/>
      <c r="S89" s="247"/>
      <c r="T89" s="211"/>
    </row>
    <row r="90" spans="2:20" ht="15">
      <c r="B90" s="203"/>
      <c r="H90" s="245"/>
      <c r="I90" s="220"/>
      <c r="R90" s="185" t="s">
        <v>54</v>
      </c>
      <c r="S90" s="248"/>
      <c r="T90" s="211"/>
    </row>
    <row r="91" spans="2:20" ht="15">
      <c r="B91" s="203"/>
      <c r="I91" s="220"/>
      <c r="R91" s="185" t="s">
        <v>55</v>
      </c>
      <c r="S91" s="249"/>
      <c r="T91" s="211"/>
    </row>
    <row r="92" spans="2:20" ht="15">
      <c r="B92" s="203"/>
      <c r="I92" s="220"/>
      <c r="J92" s="250"/>
      <c r="K92" s="251"/>
      <c r="L92" s="251"/>
      <c r="M92" s="251"/>
      <c r="N92" s="251"/>
      <c r="O92" s="251"/>
      <c r="P92" s="251"/>
      <c r="Q92" s="251"/>
      <c r="R92" s="185" t="s">
        <v>56</v>
      </c>
      <c r="S92" s="249"/>
      <c r="T92" s="211"/>
    </row>
    <row r="93" spans="2:20" ht="15">
      <c r="B93" s="203"/>
      <c r="D93" s="252" t="s">
        <v>57</v>
      </c>
      <c r="G93" s="253"/>
      <c r="I93" s="220"/>
      <c r="J93" s="250"/>
      <c r="K93" s="251"/>
      <c r="L93" s="251"/>
      <c r="M93" s="251"/>
      <c r="N93" s="251"/>
      <c r="O93" s="251"/>
      <c r="P93" s="251"/>
      <c r="Q93" s="251"/>
      <c r="R93" s="185"/>
      <c r="T93" s="211"/>
    </row>
    <row r="94" spans="2:20" ht="15.6">
      <c r="B94" s="203"/>
      <c r="D94" s="254" t="s">
        <v>322</v>
      </c>
      <c r="G94" s="253"/>
      <c r="I94" s="220"/>
      <c r="J94" s="250"/>
      <c r="K94" s="251"/>
      <c r="L94" s="251"/>
      <c r="M94" s="251"/>
      <c r="N94" s="251"/>
      <c r="O94" s="251"/>
      <c r="P94" s="251"/>
      <c r="Q94" s="251"/>
      <c r="R94" s="185" t="s">
        <v>58</v>
      </c>
      <c r="S94" s="249"/>
      <c r="T94" s="211"/>
    </row>
    <row r="95" spans="2:20" ht="15">
      <c r="B95" s="203"/>
      <c r="D95" s="706">
        <f ca="1">NOW()</f>
        <v>46127.715253240742</v>
      </c>
      <c r="G95" s="253"/>
      <c r="I95" s="220"/>
      <c r="J95" s="250"/>
      <c r="K95" s="251"/>
      <c r="L95" s="251"/>
      <c r="M95" s="251"/>
      <c r="N95" s="251"/>
      <c r="O95" s="251"/>
      <c r="P95" s="251"/>
      <c r="Q95" s="251"/>
      <c r="R95" s="251"/>
      <c r="T95" s="211"/>
    </row>
    <row r="96" spans="2:20" s="259" customFormat="1" ht="15">
      <c r="B96" s="212"/>
      <c r="C96" s="102"/>
      <c r="D96" s="102"/>
      <c r="E96" s="102"/>
      <c r="F96" s="102"/>
      <c r="G96" s="102"/>
      <c r="H96" s="102"/>
      <c r="I96" s="244"/>
      <c r="J96" s="255"/>
      <c r="K96" s="256"/>
      <c r="L96" s="256"/>
      <c r="M96" s="256"/>
      <c r="N96" s="256"/>
      <c r="O96" s="256"/>
      <c r="P96" s="256"/>
      <c r="Q96" s="256"/>
      <c r="R96" s="256"/>
      <c r="S96" s="257"/>
      <c r="T96" s="258"/>
    </row>
    <row r="97" spans="1:20" s="259" customFormat="1" ht="12" customHeight="1">
      <c r="B97" s="182"/>
      <c r="C97" s="36"/>
      <c r="D97" s="36"/>
      <c r="E97" s="36"/>
      <c r="F97" s="36"/>
      <c r="G97" s="36"/>
      <c r="H97" s="220"/>
      <c r="I97" s="220"/>
      <c r="J97" s="250"/>
      <c r="K97" s="251"/>
      <c r="L97" s="251"/>
      <c r="M97" s="251"/>
      <c r="N97" s="251"/>
      <c r="O97" s="251"/>
      <c r="P97" s="251"/>
      <c r="Q97" s="251"/>
      <c r="R97" s="251"/>
      <c r="S97" s="195"/>
      <c r="T97" s="195"/>
    </row>
    <row r="98" spans="1:20" ht="21" customHeight="1">
      <c r="B98" s="260"/>
      <c r="C98" s="261"/>
      <c r="D98" s="261" t="s">
        <v>40</v>
      </c>
      <c r="E98" s="262"/>
      <c r="F98" s="262"/>
      <c r="G98" s="262"/>
      <c r="H98" s="263"/>
      <c r="I98" s="264"/>
      <c r="J98" s="265"/>
      <c r="K98" s="265"/>
      <c r="L98" s="265"/>
      <c r="M98" s="265"/>
      <c r="N98" s="265"/>
      <c r="O98" s="265"/>
      <c r="P98" s="265"/>
      <c r="Q98" s="265"/>
      <c r="R98" s="265"/>
      <c r="S98" s="266"/>
      <c r="T98" s="267"/>
    </row>
    <row r="99" spans="1:20" ht="15">
      <c r="B99" s="268"/>
      <c r="C99" s="269"/>
      <c r="D99" s="269" t="s">
        <v>59</v>
      </c>
      <c r="E99" s="270"/>
      <c r="F99" s="270"/>
      <c r="G99" s="270"/>
      <c r="H99" s="271"/>
      <c r="I99" s="243"/>
      <c r="J99" s="272"/>
      <c r="K99" s="272"/>
      <c r="L99" s="272"/>
      <c r="M99" s="272"/>
      <c r="N99" s="272"/>
      <c r="O99" s="272"/>
      <c r="P99" s="272"/>
      <c r="Q99" s="272"/>
      <c r="R99" s="272"/>
      <c r="S99" s="272"/>
      <c r="T99" s="273"/>
    </row>
    <row r="100" spans="1:20" ht="15">
      <c r="B100" s="274"/>
      <c r="C100" s="275"/>
      <c r="D100" s="276"/>
      <c r="E100" s="188"/>
      <c r="F100" s="188"/>
      <c r="G100" s="188"/>
      <c r="H100" s="253"/>
      <c r="I100" s="245"/>
      <c r="J100" s="277"/>
      <c r="K100" s="277"/>
      <c r="L100" s="277"/>
      <c r="M100" s="277"/>
      <c r="N100" s="277"/>
      <c r="O100" s="277"/>
      <c r="P100" s="277"/>
      <c r="Q100" s="277"/>
      <c r="R100" s="277"/>
      <c r="S100" s="277"/>
      <c r="T100" s="278"/>
    </row>
    <row r="101" spans="1:20" ht="15">
      <c r="B101" s="203"/>
      <c r="D101" s="279" t="s">
        <v>60</v>
      </c>
      <c r="E101" s="310" t="str">
        <f>E61</f>
        <v xml:space="preserve">KK2 General Exhaust Replacement </v>
      </c>
      <c r="F101" s="308"/>
      <c r="G101" s="311"/>
      <c r="H101" s="312"/>
      <c r="I101" s="312"/>
      <c r="J101" s="308"/>
      <c r="K101" s="308"/>
      <c r="L101" s="308"/>
      <c r="M101" s="308"/>
      <c r="N101" s="308"/>
      <c r="O101" s="308"/>
      <c r="P101" s="308"/>
      <c r="Q101" s="308"/>
      <c r="R101" s="308"/>
      <c r="S101" s="134"/>
      <c r="T101" s="211"/>
    </row>
    <row r="102" spans="1:20" ht="15">
      <c r="B102" s="203"/>
      <c r="D102" s="279" t="s">
        <v>61</v>
      </c>
      <c r="E102" s="310" t="str">
        <f>E62</f>
        <v>Electrical Supply and Installation</v>
      </c>
      <c r="F102" s="308"/>
      <c r="G102" s="311"/>
      <c r="H102" s="312"/>
      <c r="I102" s="312"/>
      <c r="J102" s="308"/>
      <c r="K102" s="308"/>
      <c r="L102" s="308"/>
      <c r="M102" s="308"/>
      <c r="N102" s="308"/>
      <c r="O102" s="308"/>
      <c r="P102" s="308"/>
      <c r="Q102" s="308"/>
      <c r="R102" s="308"/>
      <c r="S102" s="134"/>
      <c r="T102" s="211"/>
    </row>
    <row r="103" spans="1:20" ht="15">
      <c r="B103" s="280"/>
      <c r="C103" s="281"/>
      <c r="D103" s="207" t="s">
        <v>49</v>
      </c>
      <c r="E103" s="310" t="str">
        <f>E64</f>
        <v>Tender</v>
      </c>
      <c r="F103" s="134"/>
      <c r="G103" s="134"/>
      <c r="H103" s="312"/>
      <c r="I103" s="312"/>
      <c r="J103" s="134"/>
      <c r="K103" s="134"/>
      <c r="L103" s="134"/>
      <c r="M103" s="134"/>
      <c r="N103" s="134"/>
      <c r="O103" s="134"/>
      <c r="P103" s="134"/>
      <c r="Q103" s="134"/>
      <c r="R103" s="134"/>
      <c r="S103" s="134"/>
      <c r="T103" s="211"/>
    </row>
    <row r="104" spans="1:20" ht="15">
      <c r="B104" s="280"/>
      <c r="C104" s="281"/>
      <c r="D104" s="282"/>
      <c r="F104" s="283"/>
      <c r="G104" s="180"/>
      <c r="H104" s="220"/>
      <c r="I104" s="220"/>
      <c r="T104" s="284"/>
    </row>
    <row r="105" spans="1:20">
      <c r="B105" s="285"/>
      <c r="C105" s="235"/>
      <c r="D105" s="235"/>
      <c r="E105" s="235"/>
      <c r="F105" s="286"/>
      <c r="G105" s="235"/>
      <c r="H105" s="235"/>
      <c r="I105" s="235"/>
      <c r="J105" s="235"/>
      <c r="K105" s="235"/>
      <c r="L105" s="235"/>
      <c r="M105" s="235"/>
      <c r="N105" s="235"/>
      <c r="O105" s="235"/>
      <c r="P105" s="235"/>
      <c r="Q105" s="286"/>
      <c r="R105" s="236"/>
      <c r="S105" s="236"/>
      <c r="T105" s="236"/>
    </row>
    <row r="106" spans="1:20">
      <c r="B106" s="203"/>
      <c r="D106" s="123" t="s">
        <v>62</v>
      </c>
      <c r="F106" s="428" t="s">
        <v>63</v>
      </c>
      <c r="G106" s="429"/>
      <c r="H106" s="430"/>
      <c r="I106" s="430"/>
      <c r="J106" s="430"/>
      <c r="K106" s="430"/>
      <c r="L106" s="430"/>
      <c r="M106" s="430"/>
      <c r="N106" s="430"/>
      <c r="O106" s="430"/>
      <c r="P106" s="431"/>
      <c r="Q106" s="428" t="s">
        <v>64</v>
      </c>
      <c r="R106" s="427" t="s">
        <v>65</v>
      </c>
      <c r="S106" s="427" t="s">
        <v>66</v>
      </c>
      <c r="T106" s="427" t="s">
        <v>67</v>
      </c>
    </row>
    <row r="107" spans="1:20" ht="13.8">
      <c r="B107" s="287"/>
      <c r="C107" s="288"/>
      <c r="D107" s="6"/>
      <c r="F107" s="428" t="s">
        <v>68</v>
      </c>
      <c r="G107" s="429"/>
      <c r="H107" s="430"/>
      <c r="I107" s="430"/>
      <c r="J107" s="430"/>
      <c r="K107" s="430"/>
      <c r="L107" s="430"/>
      <c r="M107" s="430"/>
      <c r="N107" s="430"/>
      <c r="O107" s="430"/>
      <c r="P107" s="432"/>
      <c r="Q107" s="428" t="s">
        <v>69</v>
      </c>
      <c r="R107" s="289" t="s">
        <v>238</v>
      </c>
      <c r="S107" s="458">
        <f>$D$9</f>
        <v>27.46</v>
      </c>
      <c r="T107" s="289" t="s">
        <v>240</v>
      </c>
    </row>
    <row r="108" spans="1:20">
      <c r="B108" s="508" t="s">
        <v>70</v>
      </c>
      <c r="C108" s="102"/>
      <c r="D108" s="380" t="s">
        <v>216</v>
      </c>
      <c r="E108" s="102"/>
      <c r="F108" s="290"/>
      <c r="P108" s="391" t="s">
        <v>26</v>
      </c>
      <c r="Q108" s="327">
        <v>1</v>
      </c>
      <c r="R108" s="213"/>
      <c r="S108" s="213"/>
      <c r="T108" s="213"/>
    </row>
    <row r="109" spans="1:20">
      <c r="A109" s="211"/>
      <c r="B109" s="527" t="s">
        <v>71</v>
      </c>
      <c r="C109" s="6" t="s">
        <v>72</v>
      </c>
      <c r="D109" s="36" t="s">
        <v>73</v>
      </c>
      <c r="E109" s="211"/>
      <c r="F109" s="399">
        <v>501</v>
      </c>
      <c r="G109" s="108"/>
      <c r="P109" s="389">
        <v>1</v>
      </c>
      <c r="Q109" s="291">
        <v>1</v>
      </c>
      <c r="R109" s="325">
        <f ca="1">Elec_Est!R148</f>
        <v>428.48900000000003</v>
      </c>
      <c r="S109" s="426">
        <f ca="1">T109*$D$9</f>
        <v>94.736999999999995</v>
      </c>
      <c r="T109" s="325">
        <f ca="1">Elec_Est!T148</f>
        <v>3.4499999999999997</v>
      </c>
    </row>
    <row r="110" spans="1:20">
      <c r="A110" s="211"/>
      <c r="B110" s="527">
        <v>2</v>
      </c>
      <c r="C110" s="6" t="s">
        <v>72</v>
      </c>
      <c r="D110" s="36" t="s">
        <v>74</v>
      </c>
      <c r="E110" s="211"/>
      <c r="F110" s="399">
        <v>505</v>
      </c>
      <c r="G110" s="108"/>
      <c r="P110" s="389">
        <v>1</v>
      </c>
      <c r="Q110" s="291">
        <v>1</v>
      </c>
      <c r="R110" s="325">
        <f>Elec_Est!R149</f>
        <v>0</v>
      </c>
      <c r="S110" s="426">
        <f t="shared" ref="S110:S164" si="15">T110*$D$9</f>
        <v>0</v>
      </c>
      <c r="T110" s="325">
        <f>Elec_Est!T149</f>
        <v>0</v>
      </c>
    </row>
    <row r="111" spans="1:20">
      <c r="A111" s="211"/>
      <c r="B111" s="527">
        <v>3</v>
      </c>
      <c r="C111" s="6" t="s">
        <v>72</v>
      </c>
      <c r="D111" s="36" t="s">
        <v>75</v>
      </c>
      <c r="E111" s="211"/>
      <c r="F111" s="399">
        <v>510</v>
      </c>
      <c r="G111" s="108"/>
      <c r="P111" s="389">
        <v>2</v>
      </c>
      <c r="Q111" s="291">
        <v>1</v>
      </c>
      <c r="R111" s="325">
        <f>Elec_Est!R150</f>
        <v>130.30000000000001</v>
      </c>
      <c r="S111" s="426">
        <f t="shared" si="15"/>
        <v>78.947500000000005</v>
      </c>
      <c r="T111" s="325">
        <f>Elec_Est!T150</f>
        <v>2.875</v>
      </c>
    </row>
    <row r="112" spans="1:20">
      <c r="A112" s="211"/>
      <c r="B112" s="527">
        <v>4</v>
      </c>
      <c r="C112" s="6" t="s">
        <v>72</v>
      </c>
      <c r="D112" s="36" t="s">
        <v>76</v>
      </c>
      <c r="E112" s="211"/>
      <c r="F112" s="399">
        <v>511</v>
      </c>
      <c r="G112" s="108"/>
      <c r="P112" s="389">
        <v>2</v>
      </c>
      <c r="Q112" s="291">
        <v>1</v>
      </c>
      <c r="R112" s="325">
        <f>Elec_Est!R151</f>
        <v>0</v>
      </c>
      <c r="S112" s="426">
        <f t="shared" si="15"/>
        <v>0</v>
      </c>
      <c r="T112" s="325">
        <f>Elec_Est!T151</f>
        <v>0</v>
      </c>
    </row>
    <row r="113" spans="1:26">
      <c r="A113" s="211"/>
      <c r="B113" s="527">
        <v>5</v>
      </c>
      <c r="C113" s="6" t="s">
        <v>72</v>
      </c>
      <c r="D113" s="36" t="s">
        <v>77</v>
      </c>
      <c r="E113" s="211"/>
      <c r="F113" s="399">
        <v>512</v>
      </c>
      <c r="G113" s="108"/>
      <c r="P113" s="389">
        <v>2</v>
      </c>
      <c r="Q113" s="291">
        <v>1</v>
      </c>
      <c r="R113" s="325">
        <f>Elec_Est!R152</f>
        <v>3222.94</v>
      </c>
      <c r="S113" s="426">
        <f t="shared" si="15"/>
        <v>642.75799999999992</v>
      </c>
      <c r="T113" s="325">
        <f>Elec_Est!T152</f>
        <v>23.407064821558627</v>
      </c>
    </row>
    <row r="114" spans="1:26">
      <c r="A114" s="211"/>
      <c r="B114" s="527">
        <v>6</v>
      </c>
      <c r="C114" s="6" t="s">
        <v>72</v>
      </c>
      <c r="D114" s="36" t="s">
        <v>78</v>
      </c>
      <c r="E114" s="211"/>
      <c r="F114" s="399">
        <v>520</v>
      </c>
      <c r="G114" s="108"/>
      <c r="P114" s="389">
        <v>1</v>
      </c>
      <c r="Q114" s="291">
        <v>1</v>
      </c>
      <c r="R114" s="325">
        <f>Elec_Est!R153</f>
        <v>0</v>
      </c>
      <c r="S114" s="426">
        <f t="shared" si="15"/>
        <v>0</v>
      </c>
      <c r="T114" s="325">
        <f>Elec_Est!T153</f>
        <v>0</v>
      </c>
    </row>
    <row r="115" spans="1:26">
      <c r="A115" s="211"/>
      <c r="B115" s="527">
        <v>7</v>
      </c>
      <c r="C115" s="6" t="s">
        <v>72</v>
      </c>
      <c r="D115" s="36" t="s">
        <v>79</v>
      </c>
      <c r="E115" s="211"/>
      <c r="F115" s="399">
        <v>530</v>
      </c>
      <c r="G115" s="108"/>
      <c r="P115" s="389">
        <v>2</v>
      </c>
      <c r="Q115" s="291">
        <v>1</v>
      </c>
      <c r="R115" s="325">
        <f>Elec_Est!R154</f>
        <v>0</v>
      </c>
      <c r="S115" s="426">
        <f t="shared" si="15"/>
        <v>0</v>
      </c>
      <c r="T115" s="325">
        <f>Elec_Est!T154</f>
        <v>0</v>
      </c>
    </row>
    <row r="116" spans="1:26">
      <c r="A116" s="211"/>
      <c r="B116" s="527">
        <v>8</v>
      </c>
      <c r="C116" s="6" t="s">
        <v>72</v>
      </c>
      <c r="D116" s="36" t="s">
        <v>80</v>
      </c>
      <c r="E116" s="211"/>
      <c r="F116" s="399">
        <v>550</v>
      </c>
      <c r="G116" s="108"/>
      <c r="P116" s="389">
        <v>2</v>
      </c>
      <c r="Q116" s="291">
        <v>1</v>
      </c>
      <c r="R116" s="325">
        <f>Elec_Est!R155</f>
        <v>0</v>
      </c>
      <c r="S116" s="426">
        <f t="shared" si="15"/>
        <v>0</v>
      </c>
      <c r="T116" s="325">
        <f>Elec_Est!T155</f>
        <v>0</v>
      </c>
    </row>
    <row r="117" spans="1:26">
      <c r="A117" s="211"/>
      <c r="B117" s="527">
        <v>9</v>
      </c>
      <c r="C117" s="6" t="s">
        <v>72</v>
      </c>
      <c r="D117" s="36" t="s">
        <v>81</v>
      </c>
      <c r="E117" s="211"/>
      <c r="F117" s="399">
        <v>570</v>
      </c>
      <c r="G117" s="108"/>
      <c r="P117" s="389">
        <v>2</v>
      </c>
      <c r="Q117" s="291">
        <v>1</v>
      </c>
      <c r="R117" s="325">
        <f>Elec_Est!R156</f>
        <v>0</v>
      </c>
      <c r="S117" s="426">
        <f t="shared" si="15"/>
        <v>0</v>
      </c>
      <c r="T117" s="325">
        <f>Elec_Est!T156</f>
        <v>0</v>
      </c>
    </row>
    <row r="118" spans="1:26">
      <c r="A118" s="211"/>
      <c r="B118" s="527">
        <v>10</v>
      </c>
      <c r="C118" s="6" t="s">
        <v>72</v>
      </c>
      <c r="D118" s="36" t="s">
        <v>82</v>
      </c>
      <c r="E118" s="211"/>
      <c r="F118" s="399">
        <v>615</v>
      </c>
      <c r="G118" s="108"/>
      <c r="P118" s="389">
        <v>2</v>
      </c>
      <c r="Q118" s="291">
        <v>1</v>
      </c>
      <c r="R118" s="325">
        <f>Elec_Est!R157</f>
        <v>0</v>
      </c>
      <c r="S118" s="426">
        <f t="shared" si="15"/>
        <v>0</v>
      </c>
      <c r="T118" s="325">
        <f>Elec_Est!T157</f>
        <v>0</v>
      </c>
      <c r="X118" s="616"/>
      <c r="Y118" s="704"/>
    </row>
    <row r="119" spans="1:26">
      <c r="A119" s="211"/>
      <c r="B119" s="527" t="s">
        <v>83</v>
      </c>
      <c r="C119" s="6" t="s">
        <v>72</v>
      </c>
      <c r="D119" s="36" t="s">
        <v>84</v>
      </c>
      <c r="E119" s="211"/>
      <c r="F119" s="399">
        <v>616</v>
      </c>
      <c r="G119" s="108"/>
      <c r="P119" s="389">
        <v>2</v>
      </c>
      <c r="Q119" s="291">
        <v>1</v>
      </c>
      <c r="R119" s="325">
        <f>Elec_Est!R158</f>
        <v>224</v>
      </c>
      <c r="S119" s="426">
        <f t="shared" si="15"/>
        <v>91.579099999999997</v>
      </c>
      <c r="T119" s="325">
        <f>Elec_Est!T158</f>
        <v>3.335</v>
      </c>
      <c r="X119" s="616"/>
      <c r="Y119" s="704"/>
    </row>
    <row r="120" spans="1:26">
      <c r="A120" s="211"/>
      <c r="B120" s="527">
        <v>12</v>
      </c>
      <c r="C120" s="6" t="s">
        <v>72</v>
      </c>
      <c r="D120" s="36" t="s">
        <v>85</v>
      </c>
      <c r="E120" s="211"/>
      <c r="F120" s="399">
        <v>617</v>
      </c>
      <c r="G120" s="108"/>
      <c r="P120" s="389">
        <v>2</v>
      </c>
      <c r="Q120" s="291">
        <v>1</v>
      </c>
      <c r="R120" s="325">
        <f>Elec_Est!R159</f>
        <v>288</v>
      </c>
      <c r="S120" s="426">
        <f t="shared" si="15"/>
        <v>227.36879999999999</v>
      </c>
      <c r="T120" s="325">
        <f>Elec_Est!T159</f>
        <v>8.2799999999999994</v>
      </c>
      <c r="X120" s="616"/>
      <c r="Y120" s="704"/>
      <c r="Z120" s="704"/>
    </row>
    <row r="121" spans="1:26">
      <c r="A121" s="211"/>
      <c r="B121" s="527">
        <v>13</v>
      </c>
      <c r="C121" s="6" t="s">
        <v>72</v>
      </c>
      <c r="D121" s="36" t="s">
        <v>86</v>
      </c>
      <c r="E121" s="211"/>
      <c r="F121" s="399">
        <v>620</v>
      </c>
      <c r="G121" s="108"/>
      <c r="P121" s="389">
        <v>2</v>
      </c>
      <c r="Q121" s="291">
        <v>1</v>
      </c>
      <c r="R121" s="325">
        <f>Elec_Est!R160</f>
        <v>70.16</v>
      </c>
      <c r="S121" s="426">
        <f t="shared" si="15"/>
        <v>217.26351999999997</v>
      </c>
      <c r="T121" s="325">
        <f>Elec_Est!T160</f>
        <v>7.911999999999999</v>
      </c>
    </row>
    <row r="122" spans="1:26">
      <c r="A122" s="211"/>
      <c r="B122" s="527">
        <v>14</v>
      </c>
      <c r="C122" s="6" t="s">
        <v>72</v>
      </c>
      <c r="D122" s="36" t="s">
        <v>87</v>
      </c>
      <c r="E122" s="211"/>
      <c r="F122" s="399">
        <v>650</v>
      </c>
      <c r="G122" s="108"/>
      <c r="P122" s="389">
        <v>1</v>
      </c>
      <c r="Q122" s="291">
        <v>1</v>
      </c>
      <c r="R122" s="325">
        <f ca="1">Elec_Est!R161</f>
        <v>396.50918999999999</v>
      </c>
      <c r="S122" s="426">
        <f t="shared" ca="1" si="15"/>
        <v>130.73705999999999</v>
      </c>
      <c r="T122" s="325">
        <f ca="1">Elec_Est!T161</f>
        <v>4.7609999999999992</v>
      </c>
    </row>
    <row r="123" spans="1:26">
      <c r="A123" s="211"/>
      <c r="B123" s="527">
        <v>15</v>
      </c>
      <c r="C123" s="6" t="s">
        <v>72</v>
      </c>
      <c r="D123" s="36" t="s">
        <v>88</v>
      </c>
      <c r="E123" s="211"/>
      <c r="F123" s="399">
        <v>651</v>
      </c>
      <c r="G123" s="108"/>
      <c r="P123" s="389">
        <v>1</v>
      </c>
      <c r="Q123" s="291">
        <v>1</v>
      </c>
      <c r="R123" s="325">
        <f>Elec_Est!R162</f>
        <v>0</v>
      </c>
      <c r="S123" s="426">
        <f t="shared" si="15"/>
        <v>0</v>
      </c>
      <c r="T123" s="325">
        <f>Elec_Est!T162</f>
        <v>0</v>
      </c>
    </row>
    <row r="124" spans="1:26">
      <c r="A124" s="211"/>
      <c r="B124" s="527">
        <v>16</v>
      </c>
      <c r="C124" s="6" t="s">
        <v>72</v>
      </c>
      <c r="D124" s="36" t="s">
        <v>89</v>
      </c>
      <c r="E124" s="211"/>
      <c r="F124" s="399">
        <v>652</v>
      </c>
      <c r="G124" s="108"/>
      <c r="P124" s="389">
        <v>1</v>
      </c>
      <c r="Q124" s="291">
        <v>1</v>
      </c>
      <c r="R124" s="325">
        <f>Elec_Est!R163</f>
        <v>0</v>
      </c>
      <c r="S124" s="426">
        <f t="shared" si="15"/>
        <v>0</v>
      </c>
      <c r="T124" s="325">
        <f>Elec_Est!T163</f>
        <v>0</v>
      </c>
    </row>
    <row r="125" spans="1:26">
      <c r="A125" s="211"/>
      <c r="B125" s="527">
        <v>17</v>
      </c>
      <c r="C125" s="6" t="s">
        <v>72</v>
      </c>
      <c r="D125" s="36" t="s">
        <v>90</v>
      </c>
      <c r="E125" s="211"/>
      <c r="F125" s="399">
        <v>654</v>
      </c>
      <c r="G125" s="108"/>
      <c r="P125" s="389">
        <v>1</v>
      </c>
      <c r="Q125" s="291">
        <v>1</v>
      </c>
      <c r="R125" s="325">
        <f>Elec_Est!R164</f>
        <v>0</v>
      </c>
      <c r="S125" s="426">
        <f t="shared" si="15"/>
        <v>0</v>
      </c>
      <c r="T125" s="325">
        <f>Elec_Est!T164</f>
        <v>0</v>
      </c>
    </row>
    <row r="126" spans="1:26">
      <c r="A126" s="211"/>
      <c r="B126" s="527">
        <v>18</v>
      </c>
      <c r="C126" s="6" t="s">
        <v>72</v>
      </c>
      <c r="D126" s="36" t="s">
        <v>91</v>
      </c>
      <c r="E126" s="211"/>
      <c r="F126" s="399">
        <v>675</v>
      </c>
      <c r="G126" s="108"/>
      <c r="P126" s="389">
        <v>1</v>
      </c>
      <c r="Q126" s="291">
        <v>1</v>
      </c>
      <c r="R126" s="325">
        <f>Elec_Est!R165</f>
        <v>0</v>
      </c>
      <c r="S126" s="426">
        <f t="shared" si="15"/>
        <v>0</v>
      </c>
      <c r="T126" s="325">
        <f>Elec_Est!T165</f>
        <v>0</v>
      </c>
    </row>
    <row r="127" spans="1:26">
      <c r="A127" s="211"/>
      <c r="B127" s="527">
        <v>19</v>
      </c>
      <c r="C127" s="6" t="s">
        <v>72</v>
      </c>
      <c r="D127" s="36" t="s">
        <v>92</v>
      </c>
      <c r="E127" s="211"/>
      <c r="F127" s="399">
        <v>676</v>
      </c>
      <c r="G127" s="108"/>
      <c r="P127" s="389">
        <v>1</v>
      </c>
      <c r="Q127" s="291">
        <v>1</v>
      </c>
      <c r="R127" s="325">
        <f>Elec_Est!R166</f>
        <v>0</v>
      </c>
      <c r="S127" s="426">
        <f t="shared" si="15"/>
        <v>0</v>
      </c>
      <c r="T127" s="325">
        <f>Elec_Est!T166</f>
        <v>0</v>
      </c>
    </row>
    <row r="128" spans="1:26">
      <c r="A128" s="211"/>
      <c r="B128" s="527">
        <v>20</v>
      </c>
      <c r="C128" s="6" t="s">
        <v>72</v>
      </c>
      <c r="D128" s="36" t="s">
        <v>93</v>
      </c>
      <c r="E128" s="211"/>
      <c r="F128" s="399">
        <v>680</v>
      </c>
      <c r="G128" s="108"/>
      <c r="P128" s="389">
        <v>1</v>
      </c>
      <c r="Q128" s="291">
        <v>1</v>
      </c>
      <c r="R128" s="325">
        <f>Elec_Est!R167</f>
        <v>0</v>
      </c>
      <c r="S128" s="426">
        <f t="shared" si="15"/>
        <v>0</v>
      </c>
      <c r="T128" s="325">
        <f>Elec_Est!T167</f>
        <v>0</v>
      </c>
    </row>
    <row r="129" spans="1:20">
      <c r="A129" s="211"/>
      <c r="B129" s="527" t="s">
        <v>94</v>
      </c>
      <c r="C129" s="6" t="s">
        <v>72</v>
      </c>
      <c r="D129" s="36" t="s">
        <v>95</v>
      </c>
      <c r="E129" s="211"/>
      <c r="F129" s="399">
        <v>681</v>
      </c>
      <c r="G129" s="108"/>
      <c r="P129" s="389">
        <v>1</v>
      </c>
      <c r="Q129" s="291">
        <v>1</v>
      </c>
      <c r="R129" s="325">
        <f>Elec_Est!R168</f>
        <v>0</v>
      </c>
      <c r="S129" s="426">
        <f t="shared" si="15"/>
        <v>0</v>
      </c>
      <c r="T129" s="325">
        <f>Elec_Est!T168</f>
        <v>0</v>
      </c>
    </row>
    <row r="130" spans="1:20">
      <c r="A130" s="211"/>
      <c r="B130" s="527">
        <v>22</v>
      </c>
      <c r="C130" s="6" t="s">
        <v>72</v>
      </c>
      <c r="D130" s="36" t="s">
        <v>96</v>
      </c>
      <c r="E130" s="211"/>
      <c r="F130" s="399">
        <v>690</v>
      </c>
      <c r="G130" s="108"/>
      <c r="P130" s="389">
        <v>1</v>
      </c>
      <c r="Q130" s="291">
        <v>1</v>
      </c>
      <c r="R130" s="325">
        <f>Elec_Est!R169</f>
        <v>174.34999999999997</v>
      </c>
      <c r="S130" s="426">
        <f t="shared" si="15"/>
        <v>363.15849999999995</v>
      </c>
      <c r="T130" s="325">
        <f>Elec_Est!T169</f>
        <v>13.224999999999998</v>
      </c>
    </row>
    <row r="131" spans="1:20">
      <c r="A131" s="211"/>
      <c r="B131" s="527">
        <v>23</v>
      </c>
      <c r="C131" s="6" t="s">
        <v>72</v>
      </c>
      <c r="D131" s="36" t="s">
        <v>97</v>
      </c>
      <c r="E131" s="211"/>
      <c r="F131" s="399">
        <v>700</v>
      </c>
      <c r="G131" s="108"/>
      <c r="P131" s="389">
        <v>1</v>
      </c>
      <c r="Q131" s="291">
        <v>1</v>
      </c>
      <c r="R131" s="325">
        <f>Elec_Est!R170</f>
        <v>0</v>
      </c>
      <c r="S131" s="426">
        <f t="shared" si="15"/>
        <v>0</v>
      </c>
      <c r="T131" s="325">
        <f>Elec_Est!T170</f>
        <v>0</v>
      </c>
    </row>
    <row r="132" spans="1:20">
      <c r="A132" s="211"/>
      <c r="B132" s="527">
        <v>24</v>
      </c>
      <c r="C132" s="6" t="s">
        <v>72</v>
      </c>
      <c r="D132" s="36" t="s">
        <v>98</v>
      </c>
      <c r="E132" s="211"/>
      <c r="F132" s="399">
        <v>705</v>
      </c>
      <c r="G132" s="108"/>
      <c r="P132" s="389">
        <v>3</v>
      </c>
      <c r="Q132" s="291">
        <v>1</v>
      </c>
      <c r="R132" s="325">
        <f>Elec_Est!R171</f>
        <v>0</v>
      </c>
      <c r="S132" s="426">
        <f t="shared" si="15"/>
        <v>0</v>
      </c>
      <c r="T132" s="325">
        <f>Elec_Est!T171</f>
        <v>0</v>
      </c>
    </row>
    <row r="133" spans="1:20">
      <c r="A133" s="211"/>
      <c r="B133" s="527">
        <v>25</v>
      </c>
      <c r="C133" s="6" t="s">
        <v>72</v>
      </c>
      <c r="D133" s="36" t="s">
        <v>99</v>
      </c>
      <c r="E133" s="211"/>
      <c r="F133" s="399">
        <v>706</v>
      </c>
      <c r="G133" s="108"/>
      <c r="P133" s="389">
        <v>3</v>
      </c>
      <c r="Q133" s="291">
        <v>1</v>
      </c>
      <c r="R133" s="325">
        <f>Elec_Est!R172</f>
        <v>0</v>
      </c>
      <c r="S133" s="426">
        <f t="shared" si="15"/>
        <v>0</v>
      </c>
      <c r="T133" s="325">
        <f>Elec_Est!T172</f>
        <v>0</v>
      </c>
    </row>
    <row r="134" spans="1:20">
      <c r="A134" s="211"/>
      <c r="B134" s="527">
        <v>26</v>
      </c>
      <c r="C134" s="6" t="s">
        <v>72</v>
      </c>
      <c r="D134" s="36" t="s">
        <v>100</v>
      </c>
      <c r="E134" s="211"/>
      <c r="F134" s="399">
        <v>725</v>
      </c>
      <c r="G134" s="108"/>
      <c r="P134" s="389">
        <v>3</v>
      </c>
      <c r="Q134" s="291">
        <v>1</v>
      </c>
      <c r="R134" s="325">
        <f>Elec_Est!R173</f>
        <v>0</v>
      </c>
      <c r="S134" s="426">
        <f t="shared" si="15"/>
        <v>0</v>
      </c>
      <c r="T134" s="325">
        <f>Elec_Est!T173</f>
        <v>0</v>
      </c>
    </row>
    <row r="135" spans="1:20">
      <c r="A135" s="211"/>
      <c r="B135" s="527">
        <v>27</v>
      </c>
      <c r="C135" s="6" t="s">
        <v>72</v>
      </c>
      <c r="D135" s="36" t="s">
        <v>101</v>
      </c>
      <c r="E135" s="211"/>
      <c r="F135" s="399">
        <v>726</v>
      </c>
      <c r="G135" s="108"/>
      <c r="P135" s="389">
        <v>3</v>
      </c>
      <c r="Q135" s="291">
        <v>1</v>
      </c>
      <c r="R135" s="325">
        <f>Elec_Est!R174</f>
        <v>0</v>
      </c>
      <c r="S135" s="426">
        <f t="shared" si="15"/>
        <v>0</v>
      </c>
      <c r="T135" s="325">
        <f>Elec_Est!T174</f>
        <v>0</v>
      </c>
    </row>
    <row r="136" spans="1:20">
      <c r="A136" s="211"/>
      <c r="B136" s="527">
        <v>28</v>
      </c>
      <c r="C136" s="6" t="s">
        <v>72</v>
      </c>
      <c r="D136" s="36" t="s">
        <v>102</v>
      </c>
      <c r="E136" s="211"/>
      <c r="F136" s="399">
        <v>750</v>
      </c>
      <c r="G136" s="108"/>
      <c r="P136" s="389">
        <v>3</v>
      </c>
      <c r="Q136" s="291">
        <v>1</v>
      </c>
      <c r="R136" s="325">
        <f>Elec_Est!R175</f>
        <v>0</v>
      </c>
      <c r="S136" s="426">
        <f t="shared" si="15"/>
        <v>0</v>
      </c>
      <c r="T136" s="325">
        <f>Elec_Est!T175</f>
        <v>0</v>
      </c>
    </row>
    <row r="137" spans="1:20">
      <c r="A137" s="211"/>
      <c r="B137" s="527">
        <v>29</v>
      </c>
      <c r="C137" s="6" t="s">
        <v>72</v>
      </c>
      <c r="D137" s="36" t="s">
        <v>103</v>
      </c>
      <c r="E137" s="211"/>
      <c r="F137" s="399">
        <v>751</v>
      </c>
      <c r="G137" s="108"/>
      <c r="P137" s="389">
        <v>3</v>
      </c>
      <c r="Q137" s="291">
        <v>1</v>
      </c>
      <c r="R137" s="325">
        <f>Elec_Est!R176</f>
        <v>0</v>
      </c>
      <c r="S137" s="426">
        <f t="shared" si="15"/>
        <v>0</v>
      </c>
      <c r="T137" s="325">
        <f>Elec_Est!T176</f>
        <v>0</v>
      </c>
    </row>
    <row r="138" spans="1:20">
      <c r="A138" s="211"/>
      <c r="B138" s="527">
        <v>30</v>
      </c>
      <c r="C138" s="6" t="s">
        <v>72</v>
      </c>
      <c r="D138" s="36" t="s">
        <v>104</v>
      </c>
      <c r="E138" s="211"/>
      <c r="F138" s="399">
        <v>752</v>
      </c>
      <c r="G138" s="108"/>
      <c r="P138" s="389">
        <v>3</v>
      </c>
      <c r="Q138" s="291">
        <v>1</v>
      </c>
      <c r="R138" s="325">
        <f>Elec_Est!R177</f>
        <v>0</v>
      </c>
      <c r="S138" s="426">
        <f t="shared" si="15"/>
        <v>0</v>
      </c>
      <c r="T138" s="325">
        <f>Elec_Est!T177</f>
        <v>0</v>
      </c>
    </row>
    <row r="139" spans="1:20">
      <c r="A139" s="211"/>
      <c r="B139" s="527" t="s">
        <v>105</v>
      </c>
      <c r="C139" s="6" t="s">
        <v>72</v>
      </c>
      <c r="D139" s="616" t="s">
        <v>268</v>
      </c>
      <c r="E139" s="211"/>
      <c r="F139" s="399">
        <v>753</v>
      </c>
      <c r="G139" s="108"/>
      <c r="P139" s="389">
        <v>3</v>
      </c>
      <c r="Q139" s="291">
        <v>1</v>
      </c>
      <c r="R139" s="325">
        <f>Elec_Est!R178</f>
        <v>0</v>
      </c>
      <c r="S139" s="426">
        <f t="shared" si="15"/>
        <v>0</v>
      </c>
      <c r="T139" s="325">
        <f>Elec_Est!T178</f>
        <v>0</v>
      </c>
    </row>
    <row r="140" spans="1:20">
      <c r="A140" s="211"/>
      <c r="B140" s="527">
        <v>32</v>
      </c>
      <c r="C140" s="6" t="s">
        <v>72</v>
      </c>
      <c r="D140" s="36" t="s">
        <v>106</v>
      </c>
      <c r="E140" s="211"/>
      <c r="F140" s="399">
        <v>770</v>
      </c>
      <c r="G140" s="108"/>
      <c r="P140" s="389">
        <v>3</v>
      </c>
      <c r="Q140" s="291">
        <v>1</v>
      </c>
      <c r="R140" s="325">
        <f>Elec_Est!R179</f>
        <v>0</v>
      </c>
      <c r="S140" s="426">
        <f t="shared" si="15"/>
        <v>0</v>
      </c>
      <c r="T140" s="325">
        <f>Elec_Est!T179</f>
        <v>0</v>
      </c>
    </row>
    <row r="141" spans="1:20">
      <c r="A141" s="211"/>
      <c r="B141" s="527">
        <v>33</v>
      </c>
      <c r="C141" s="6" t="s">
        <v>72</v>
      </c>
      <c r="D141" s="36" t="s">
        <v>107</v>
      </c>
      <c r="E141" s="211"/>
      <c r="F141" s="399">
        <v>790</v>
      </c>
      <c r="G141" s="108"/>
      <c r="P141" s="389">
        <v>3</v>
      </c>
      <c r="Q141" s="291">
        <v>1</v>
      </c>
      <c r="R141" s="325">
        <f>Elec_Est!R180</f>
        <v>0</v>
      </c>
      <c r="S141" s="426">
        <f t="shared" si="15"/>
        <v>0</v>
      </c>
      <c r="T141" s="325">
        <f>Elec_Est!T180</f>
        <v>0</v>
      </c>
    </row>
    <row r="142" spans="1:20">
      <c r="A142" s="211"/>
      <c r="B142" s="527">
        <v>34</v>
      </c>
      <c r="C142" s="6" t="s">
        <v>72</v>
      </c>
      <c r="D142" s="36" t="s">
        <v>108</v>
      </c>
      <c r="E142" s="211"/>
      <c r="F142" s="399">
        <v>791</v>
      </c>
      <c r="G142" s="108"/>
      <c r="P142" s="389">
        <v>3</v>
      </c>
      <c r="Q142" s="291">
        <v>1</v>
      </c>
      <c r="R142" s="325">
        <f>Elec_Est!R181</f>
        <v>0</v>
      </c>
      <c r="S142" s="426">
        <f t="shared" si="15"/>
        <v>0</v>
      </c>
      <c r="T142" s="325">
        <f>Elec_Est!T181</f>
        <v>0</v>
      </c>
    </row>
    <row r="143" spans="1:20">
      <c r="A143" s="211"/>
      <c r="B143" s="527">
        <v>35</v>
      </c>
      <c r="C143" s="6" t="s">
        <v>72</v>
      </c>
      <c r="D143" s="36" t="s">
        <v>109</v>
      </c>
      <c r="E143" s="211"/>
      <c r="F143" s="399">
        <v>810</v>
      </c>
      <c r="G143" s="108"/>
      <c r="P143" s="389">
        <v>3</v>
      </c>
      <c r="Q143" s="291">
        <v>1</v>
      </c>
      <c r="R143" s="325">
        <f>Elec_Est!R182</f>
        <v>0</v>
      </c>
      <c r="S143" s="426">
        <f t="shared" si="15"/>
        <v>0</v>
      </c>
      <c r="T143" s="325">
        <f>Elec_Est!T182</f>
        <v>0</v>
      </c>
    </row>
    <row r="144" spans="1:20">
      <c r="A144" s="211"/>
      <c r="B144" s="527">
        <v>36</v>
      </c>
      <c r="C144" s="6" t="s">
        <v>72</v>
      </c>
      <c r="D144" s="36" t="s">
        <v>110</v>
      </c>
      <c r="E144" s="211"/>
      <c r="F144" s="399">
        <v>815</v>
      </c>
      <c r="G144" s="108"/>
      <c r="P144" s="389">
        <v>3</v>
      </c>
      <c r="Q144" s="291">
        <v>1</v>
      </c>
      <c r="R144" s="325">
        <f>Elec_Est!R183</f>
        <v>0</v>
      </c>
      <c r="S144" s="426">
        <f t="shared" si="15"/>
        <v>0</v>
      </c>
      <c r="T144" s="325">
        <f>Elec_Est!T183</f>
        <v>0</v>
      </c>
    </row>
    <row r="145" spans="1:20">
      <c r="A145" s="211"/>
      <c r="B145" s="527">
        <v>37</v>
      </c>
      <c r="C145" s="6" t="s">
        <v>72</v>
      </c>
      <c r="D145" s="36" t="s">
        <v>111</v>
      </c>
      <c r="E145" s="211"/>
      <c r="F145" s="399">
        <v>820</v>
      </c>
      <c r="G145" s="108"/>
      <c r="P145" s="389">
        <v>2</v>
      </c>
      <c r="Q145" s="291">
        <v>1</v>
      </c>
      <c r="R145" s="325">
        <f>Elec_Est!R184</f>
        <v>0</v>
      </c>
      <c r="S145" s="426">
        <f t="shared" si="15"/>
        <v>0</v>
      </c>
      <c r="T145" s="325">
        <f>Elec_Est!T184</f>
        <v>0</v>
      </c>
    </row>
    <row r="146" spans="1:20">
      <c r="A146" s="211"/>
      <c r="B146" s="527">
        <v>38</v>
      </c>
      <c r="C146" s="6" t="s">
        <v>72</v>
      </c>
      <c r="D146" s="36" t="s">
        <v>112</v>
      </c>
      <c r="E146" s="211"/>
      <c r="F146" s="399">
        <v>821</v>
      </c>
      <c r="G146" s="108"/>
      <c r="P146" s="389">
        <v>3</v>
      </c>
      <c r="Q146" s="291">
        <v>1</v>
      </c>
      <c r="R146" s="325">
        <f>Elec_Est!R185</f>
        <v>0</v>
      </c>
      <c r="S146" s="426">
        <f t="shared" si="15"/>
        <v>0</v>
      </c>
      <c r="T146" s="325">
        <f>Elec_Est!T185</f>
        <v>0</v>
      </c>
    </row>
    <row r="147" spans="1:20">
      <c r="A147" s="211"/>
      <c r="B147" s="527">
        <v>39</v>
      </c>
      <c r="C147" s="6" t="s">
        <v>72</v>
      </c>
      <c r="D147" s="36" t="s">
        <v>113</v>
      </c>
      <c r="E147" s="211"/>
      <c r="F147" s="399">
        <v>835</v>
      </c>
      <c r="G147" s="108"/>
      <c r="P147" s="389">
        <v>3</v>
      </c>
      <c r="Q147" s="291">
        <v>1</v>
      </c>
      <c r="R147" s="325">
        <f>Elec_Est!R186</f>
        <v>0</v>
      </c>
      <c r="S147" s="426">
        <f t="shared" si="15"/>
        <v>0</v>
      </c>
      <c r="T147" s="325">
        <f>Elec_Est!T186</f>
        <v>0</v>
      </c>
    </row>
    <row r="148" spans="1:20">
      <c r="A148" s="211"/>
      <c r="B148" s="527">
        <v>40</v>
      </c>
      <c r="C148" s="6" t="s">
        <v>72</v>
      </c>
      <c r="D148" s="36" t="s">
        <v>114</v>
      </c>
      <c r="E148" s="211"/>
      <c r="F148" s="399">
        <v>845</v>
      </c>
      <c r="G148" s="108"/>
      <c r="P148" s="389">
        <v>2</v>
      </c>
      <c r="Q148" s="291">
        <v>1</v>
      </c>
      <c r="R148" s="325">
        <f>Elec_Est!R187</f>
        <v>0</v>
      </c>
      <c r="S148" s="426">
        <f t="shared" si="15"/>
        <v>0</v>
      </c>
      <c r="T148" s="325">
        <f>Elec_Est!T187</f>
        <v>0</v>
      </c>
    </row>
    <row r="149" spans="1:20">
      <c r="A149" s="211"/>
      <c r="B149" s="527" t="s">
        <v>115</v>
      </c>
      <c r="C149" s="6" t="s">
        <v>72</v>
      </c>
      <c r="D149" s="36" t="s">
        <v>116</v>
      </c>
      <c r="E149" s="211"/>
      <c r="F149" s="399">
        <v>855</v>
      </c>
      <c r="G149" s="108"/>
      <c r="P149" s="389">
        <v>3</v>
      </c>
      <c r="Q149" s="291">
        <v>1</v>
      </c>
      <c r="R149" s="325">
        <f>Elec_Est!R188</f>
        <v>0</v>
      </c>
      <c r="S149" s="426">
        <f t="shared" si="15"/>
        <v>0</v>
      </c>
      <c r="T149" s="325">
        <f>Elec_Est!T188</f>
        <v>0</v>
      </c>
    </row>
    <row r="150" spans="1:20">
      <c r="A150" s="211"/>
      <c r="B150" s="527">
        <v>42</v>
      </c>
      <c r="C150" s="6" t="s">
        <v>72</v>
      </c>
      <c r="D150" s="36" t="s">
        <v>117</v>
      </c>
      <c r="E150" s="211"/>
      <c r="F150" s="399">
        <v>856</v>
      </c>
      <c r="G150" s="108"/>
      <c r="P150" s="389">
        <v>3</v>
      </c>
      <c r="Q150" s="291">
        <v>1</v>
      </c>
      <c r="R150" s="325">
        <f>Elec_Est!R189</f>
        <v>0</v>
      </c>
      <c r="S150" s="426">
        <f t="shared" si="15"/>
        <v>0</v>
      </c>
      <c r="T150" s="325">
        <f>Elec_Est!T189</f>
        <v>0</v>
      </c>
    </row>
    <row r="151" spans="1:20">
      <c r="A151" s="211"/>
      <c r="B151" s="527">
        <v>43</v>
      </c>
      <c r="C151" s="6" t="s">
        <v>72</v>
      </c>
      <c r="D151" s="36" t="s">
        <v>249</v>
      </c>
      <c r="E151" s="211"/>
      <c r="F151" s="399">
        <v>857</v>
      </c>
      <c r="G151" s="108"/>
      <c r="P151" s="389">
        <v>4</v>
      </c>
      <c r="Q151" s="291">
        <v>1</v>
      </c>
      <c r="R151" s="325">
        <f>Elec_Est!R190</f>
        <v>0</v>
      </c>
      <c r="S151" s="426">
        <f t="shared" si="15"/>
        <v>0</v>
      </c>
      <c r="T151" s="325">
        <f>Elec_Est!T190</f>
        <v>0</v>
      </c>
    </row>
    <row r="152" spans="1:20">
      <c r="A152" s="211"/>
      <c r="B152" s="527">
        <v>44</v>
      </c>
      <c r="C152" s="6" t="s">
        <v>72</v>
      </c>
      <c r="D152" s="36" t="s">
        <v>118</v>
      </c>
      <c r="E152" s="211"/>
      <c r="F152" s="399">
        <v>858</v>
      </c>
      <c r="G152" s="108"/>
      <c r="P152" s="389">
        <v>3</v>
      </c>
      <c r="Q152" s="291">
        <v>1</v>
      </c>
      <c r="R152" s="325">
        <f>Elec_Est!R191</f>
        <v>0</v>
      </c>
      <c r="S152" s="426">
        <f t="shared" si="15"/>
        <v>0</v>
      </c>
      <c r="T152" s="325">
        <f>Elec_Est!T191</f>
        <v>0</v>
      </c>
    </row>
    <row r="153" spans="1:20">
      <c r="A153" s="211"/>
      <c r="B153" s="527">
        <v>45</v>
      </c>
      <c r="C153" s="6" t="s">
        <v>72</v>
      </c>
      <c r="D153" s="36" t="s">
        <v>119</v>
      </c>
      <c r="E153" s="211"/>
      <c r="F153" s="399">
        <v>865</v>
      </c>
      <c r="G153" s="108"/>
      <c r="P153" s="389">
        <v>3</v>
      </c>
      <c r="Q153" s="291">
        <v>1</v>
      </c>
      <c r="R153" s="325">
        <f>Elec_Est!R192</f>
        <v>0</v>
      </c>
      <c r="S153" s="426">
        <f t="shared" si="15"/>
        <v>0</v>
      </c>
      <c r="T153" s="325">
        <f>Elec_Est!T192</f>
        <v>0</v>
      </c>
    </row>
    <row r="154" spans="1:20">
      <c r="A154" s="211"/>
      <c r="B154" s="527">
        <v>46</v>
      </c>
      <c r="C154" s="6" t="s">
        <v>72</v>
      </c>
      <c r="D154" s="36" t="s">
        <v>120</v>
      </c>
      <c r="E154" s="211"/>
      <c r="F154" s="399">
        <v>870</v>
      </c>
      <c r="G154" s="108"/>
      <c r="P154" s="389">
        <v>4</v>
      </c>
      <c r="Q154" s="291">
        <v>1</v>
      </c>
      <c r="R154" s="325">
        <f>Elec_Est!R193</f>
        <v>0</v>
      </c>
      <c r="S154" s="426">
        <f t="shared" si="15"/>
        <v>0</v>
      </c>
      <c r="T154" s="325">
        <f>Elec_Est!T193</f>
        <v>0</v>
      </c>
    </row>
    <row r="155" spans="1:20">
      <c r="A155" s="211"/>
      <c r="B155" s="527">
        <v>47</v>
      </c>
      <c r="C155" s="6" t="s">
        <v>72</v>
      </c>
      <c r="D155" s="36" t="s">
        <v>121</v>
      </c>
      <c r="E155" s="211"/>
      <c r="F155" s="399">
        <v>875</v>
      </c>
      <c r="G155" s="108"/>
      <c r="P155" s="389">
        <v>1</v>
      </c>
      <c r="Q155" s="291">
        <v>1</v>
      </c>
      <c r="R155" s="325">
        <f>Elec_Est!R194</f>
        <v>0</v>
      </c>
      <c r="S155" s="426">
        <f t="shared" si="15"/>
        <v>0</v>
      </c>
      <c r="T155" s="325">
        <f>Elec_Est!T194</f>
        <v>0</v>
      </c>
    </row>
    <row r="156" spans="1:20">
      <c r="A156" s="211"/>
      <c r="B156" s="527">
        <v>48</v>
      </c>
      <c r="C156" s="6" t="s">
        <v>72</v>
      </c>
      <c r="D156" s="36" t="s">
        <v>122</v>
      </c>
      <c r="E156" s="211"/>
      <c r="F156" s="399">
        <v>880</v>
      </c>
      <c r="G156" s="108"/>
      <c r="P156" s="389">
        <v>3</v>
      </c>
      <c r="Q156" s="291">
        <v>1</v>
      </c>
      <c r="R156" s="325">
        <f>Elec_Est!R195</f>
        <v>0</v>
      </c>
      <c r="S156" s="426">
        <f t="shared" si="15"/>
        <v>0</v>
      </c>
      <c r="T156" s="325">
        <f>Elec_Est!T195</f>
        <v>0</v>
      </c>
    </row>
    <row r="157" spans="1:20">
      <c r="A157" s="211"/>
      <c r="B157" s="527">
        <v>49</v>
      </c>
      <c r="C157" s="6" t="s">
        <v>72</v>
      </c>
      <c r="D157" s="36" t="s">
        <v>123</v>
      </c>
      <c r="E157" s="211"/>
      <c r="F157" s="399">
        <v>885</v>
      </c>
      <c r="G157" s="108"/>
      <c r="P157" s="389">
        <v>4</v>
      </c>
      <c r="Q157" s="291">
        <v>1</v>
      </c>
      <c r="R157" s="325">
        <f>Elec_Est!R196</f>
        <v>0</v>
      </c>
      <c r="S157" s="426">
        <f t="shared" si="15"/>
        <v>0</v>
      </c>
      <c r="T157" s="325">
        <f>Elec_Est!T196</f>
        <v>0</v>
      </c>
    </row>
    <row r="158" spans="1:20">
      <c r="A158" s="211"/>
      <c r="B158" s="527">
        <v>50</v>
      </c>
      <c r="C158" s="6" t="s">
        <v>72</v>
      </c>
      <c r="D158" s="36" t="s">
        <v>67</v>
      </c>
      <c r="E158" s="211"/>
      <c r="F158" s="399">
        <v>900</v>
      </c>
      <c r="G158" s="108"/>
      <c r="P158" s="389">
        <v>3</v>
      </c>
      <c r="Q158" s="291">
        <v>1</v>
      </c>
      <c r="R158" s="325">
        <f>Elec_Est!R197</f>
        <v>0</v>
      </c>
      <c r="S158" s="426">
        <f t="shared" si="15"/>
        <v>631.58000000000004</v>
      </c>
      <c r="T158" s="325">
        <f>Elec_Est!T197</f>
        <v>23</v>
      </c>
    </row>
    <row r="159" spans="1:20">
      <c r="A159" s="211"/>
      <c r="B159" s="527" t="s">
        <v>124</v>
      </c>
      <c r="C159" s="6" t="s">
        <v>72</v>
      </c>
      <c r="D159" s="36" t="s">
        <v>125</v>
      </c>
      <c r="E159" s="211"/>
      <c r="F159" s="399">
        <v>901</v>
      </c>
      <c r="G159" s="108"/>
      <c r="P159" s="389">
        <v>1</v>
      </c>
      <c r="Q159" s="291">
        <v>1</v>
      </c>
      <c r="R159" s="325">
        <f>Elec_Est!R198</f>
        <v>0</v>
      </c>
      <c r="S159" s="426">
        <f t="shared" si="15"/>
        <v>0</v>
      </c>
      <c r="T159" s="325">
        <f>Elec_Est!T198</f>
        <v>0</v>
      </c>
    </row>
    <row r="160" spans="1:20">
      <c r="A160" s="211"/>
      <c r="B160" s="527">
        <v>52</v>
      </c>
      <c r="C160" s="6" t="s">
        <v>72</v>
      </c>
      <c r="D160" s="36" t="s">
        <v>126</v>
      </c>
      <c r="E160" s="211"/>
      <c r="F160" s="399">
        <v>902</v>
      </c>
      <c r="G160" s="108"/>
      <c r="P160" s="389">
        <v>3</v>
      </c>
      <c r="Q160" s="291">
        <v>1</v>
      </c>
      <c r="R160" s="325">
        <f>Elec_Est!R199</f>
        <v>0</v>
      </c>
      <c r="S160" s="426">
        <f t="shared" si="15"/>
        <v>0</v>
      </c>
      <c r="T160" s="325">
        <f>Elec_Est!T199</f>
        <v>0</v>
      </c>
    </row>
    <row r="161" spans="1:28">
      <c r="A161" s="211"/>
      <c r="B161" s="527">
        <v>53</v>
      </c>
      <c r="C161" s="6" t="s">
        <v>72</v>
      </c>
      <c r="D161" s="112" t="s">
        <v>127</v>
      </c>
      <c r="E161" s="211"/>
      <c r="F161" s="399">
        <v>960</v>
      </c>
      <c r="G161" s="108"/>
      <c r="P161" s="389">
        <v>4</v>
      </c>
      <c r="Q161" s="291">
        <v>1</v>
      </c>
      <c r="R161" s="325">
        <f ca="1">Elec_Est!R200</f>
        <v>20</v>
      </c>
      <c r="S161" s="426">
        <f t="shared" ca="1" si="15"/>
        <v>0</v>
      </c>
      <c r="T161" s="325">
        <f ca="1">Elec_Est!T200</f>
        <v>0</v>
      </c>
    </row>
    <row r="162" spans="1:28">
      <c r="A162" s="211"/>
      <c r="B162" s="527">
        <v>54</v>
      </c>
      <c r="C162" s="6" t="s">
        <v>72</v>
      </c>
      <c r="D162" s="112" t="s">
        <v>128</v>
      </c>
      <c r="E162" s="211"/>
      <c r="F162" s="399">
        <v>961</v>
      </c>
      <c r="G162" s="108"/>
      <c r="P162" s="389">
        <v>3</v>
      </c>
      <c r="Q162" s="291">
        <v>1</v>
      </c>
      <c r="R162" s="325">
        <f>Elec_Est!R201</f>
        <v>0</v>
      </c>
      <c r="S162" s="426">
        <f t="shared" si="15"/>
        <v>0</v>
      </c>
      <c r="T162" s="325">
        <f>Elec_Est!T201</f>
        <v>0</v>
      </c>
    </row>
    <row r="163" spans="1:28">
      <c r="A163" s="211"/>
      <c r="B163" s="527">
        <v>55</v>
      </c>
      <c r="C163" s="6" t="s">
        <v>72</v>
      </c>
      <c r="D163" s="112" t="s">
        <v>129</v>
      </c>
      <c r="E163" s="211"/>
      <c r="F163" s="399">
        <v>962</v>
      </c>
      <c r="G163" s="108"/>
      <c r="P163" s="389">
        <v>1</v>
      </c>
      <c r="Q163" s="291">
        <v>1</v>
      </c>
      <c r="R163" s="325">
        <f>Elec_Est!R202</f>
        <v>0</v>
      </c>
      <c r="S163" s="426">
        <f t="shared" si="15"/>
        <v>0</v>
      </c>
      <c r="T163" s="325">
        <f>Elec_Est!T202</f>
        <v>0</v>
      </c>
    </row>
    <row r="164" spans="1:28">
      <c r="A164" s="211"/>
      <c r="B164" s="527">
        <v>56</v>
      </c>
      <c r="C164" s="6" t="s">
        <v>72</v>
      </c>
      <c r="D164" s="292" t="s">
        <v>130</v>
      </c>
      <c r="E164" s="211"/>
      <c r="F164" s="399">
        <v>970</v>
      </c>
      <c r="G164" s="293"/>
      <c r="H164" s="102"/>
      <c r="I164" s="102"/>
      <c r="J164" s="294"/>
      <c r="K164" s="294"/>
      <c r="L164" s="294"/>
      <c r="M164" s="294"/>
      <c r="N164" s="294"/>
      <c r="O164" s="294"/>
      <c r="P164" s="390">
        <v>4</v>
      </c>
      <c r="Q164" s="295">
        <v>1</v>
      </c>
      <c r="R164" s="325">
        <f>Elec_Est!R203</f>
        <v>0</v>
      </c>
      <c r="S164" s="426">
        <f t="shared" si="15"/>
        <v>0</v>
      </c>
      <c r="T164" s="325">
        <f>Elec_Est!T203</f>
        <v>0</v>
      </c>
    </row>
    <row r="165" spans="1:28" ht="13.8" thickBot="1">
      <c r="A165" s="211"/>
      <c r="B165" s="398"/>
      <c r="C165" s="296"/>
      <c r="D165" s="297" t="s">
        <v>181</v>
      </c>
      <c r="E165" s="298"/>
      <c r="F165" s="130"/>
      <c r="G165" s="117"/>
      <c r="H165" s="117"/>
      <c r="I165" s="117"/>
      <c r="J165" s="299"/>
      <c r="K165" s="299"/>
      <c r="L165" s="299"/>
      <c r="M165" s="299"/>
      <c r="N165" s="299"/>
      <c r="O165" s="299"/>
      <c r="P165" s="299"/>
      <c r="Q165" s="300"/>
      <c r="R165" s="324">
        <f ca="1">SUM(R109:R164)</f>
        <v>4954.7481900000002</v>
      </c>
      <c r="S165" s="324">
        <f ca="1">SUM(S109:S164)</f>
        <v>2478.1294800000001</v>
      </c>
      <c r="T165" s="324">
        <f ca="1">SUM(T109:T164)</f>
        <v>90.245064821558614</v>
      </c>
    </row>
    <row r="166" spans="1:28" ht="14.4" hidden="1" thickTop="1">
      <c r="A166" s="107"/>
      <c r="B166" s="387"/>
      <c r="C166" s="6" t="s">
        <v>72</v>
      </c>
      <c r="D166" s="123"/>
      <c r="F166" s="124" t="s">
        <v>157</v>
      </c>
      <c r="G166" s="125"/>
      <c r="H166" s="36">
        <v>1</v>
      </c>
      <c r="O166" s="109"/>
      <c r="R166" s="395">
        <f ca="1">SUMIF($P109:$P164,1,R109:R164)</f>
        <v>999.34818999999993</v>
      </c>
      <c r="T166" s="393">
        <f ca="1">SUMIF($P109:$P164,1,T109:T164)</f>
        <v>21.435999999999996</v>
      </c>
      <c r="V166" s="359"/>
      <c r="W166" s="359"/>
      <c r="X166" s="359"/>
      <c r="Y166" s="359"/>
      <c r="Z166" s="359"/>
      <c r="AA166" s="359"/>
      <c r="AB166" s="359"/>
    </row>
    <row r="167" spans="1:28" ht="13.8" hidden="1">
      <c r="A167" s="107"/>
      <c r="B167" s="237"/>
      <c r="C167" s="6" t="s">
        <v>72</v>
      </c>
      <c r="D167" s="123"/>
      <c r="F167" s="124" t="s">
        <v>158</v>
      </c>
      <c r="G167" s="125"/>
      <c r="H167" s="36">
        <v>2</v>
      </c>
      <c r="O167" s="109"/>
      <c r="R167" s="395">
        <f>SUMIF($P109:$P164,2,R109:R164)</f>
        <v>3935.4</v>
      </c>
      <c r="T167" s="394">
        <f>SUMIF($P109:$P164,2,T109:T164)</f>
        <v>45.809064821558628</v>
      </c>
      <c r="V167" s="359"/>
      <c r="W167" s="359"/>
      <c r="X167" s="359"/>
      <c r="Y167" s="359"/>
      <c r="Z167" s="359"/>
      <c r="AA167" s="359"/>
      <c r="AB167" s="359"/>
    </row>
    <row r="168" spans="1:28" ht="13.8" hidden="1">
      <c r="A168" s="107"/>
      <c r="B168" s="237"/>
      <c r="C168" s="6" t="s">
        <v>72</v>
      </c>
      <c r="D168" s="123"/>
      <c r="F168" s="124" t="s">
        <v>159</v>
      </c>
      <c r="G168" s="125"/>
      <c r="H168" s="36">
        <v>2</v>
      </c>
      <c r="O168" s="109"/>
      <c r="R168" s="395">
        <f>SUMIF($P109:$P164,3,R109:R164)</f>
        <v>0</v>
      </c>
      <c r="T168" s="394">
        <f>SUMIF($P109:$P164,3,T109:T164)</f>
        <v>23</v>
      </c>
      <c r="V168" s="359"/>
      <c r="W168" s="359"/>
      <c r="X168" s="359"/>
      <c r="Y168" s="359"/>
      <c r="Z168" s="359"/>
      <c r="AA168" s="359"/>
      <c r="AB168" s="359"/>
    </row>
    <row r="169" spans="1:28" ht="13.8" hidden="1">
      <c r="A169" s="107"/>
      <c r="B169" s="237"/>
      <c r="C169" s="6" t="s">
        <v>72</v>
      </c>
      <c r="D169" s="123"/>
      <c r="F169" s="124" t="s">
        <v>160</v>
      </c>
      <c r="G169" s="125"/>
      <c r="H169" s="36">
        <v>3</v>
      </c>
      <c r="O169" s="109"/>
      <c r="R169" s="395">
        <f ca="1">SUMIF($P109:$P164,4,R109:R164)</f>
        <v>20</v>
      </c>
      <c r="T169" s="394">
        <f ca="1">SUMIF($P109:$P164,4,T109:T164)</f>
        <v>0</v>
      </c>
      <c r="V169" s="359"/>
      <c r="W169" s="359"/>
      <c r="X169" s="359"/>
      <c r="Y169" s="359"/>
      <c r="Z169" s="359"/>
      <c r="AA169" s="359"/>
      <c r="AB169" s="359"/>
    </row>
    <row r="170" spans="1:28" ht="14.4" hidden="1" thickBot="1">
      <c r="A170" s="107"/>
      <c r="B170" s="388"/>
      <c r="C170" s="115" t="s">
        <v>72</v>
      </c>
      <c r="D170" s="127"/>
      <c r="E170" s="117"/>
      <c r="F170" s="128" t="s">
        <v>161</v>
      </c>
      <c r="G170" s="129"/>
      <c r="H170" s="130"/>
      <c r="I170" s="130"/>
      <c r="J170" s="130"/>
      <c r="K170" s="130"/>
      <c r="L170" s="130"/>
      <c r="M170" s="130"/>
      <c r="N170" s="130"/>
      <c r="O170" s="131"/>
      <c r="P170" s="130"/>
      <c r="Q170" s="130"/>
      <c r="R170" s="396">
        <f ca="1">SUM(R166:R169)</f>
        <v>4954.7481900000002</v>
      </c>
      <c r="S170" s="133"/>
      <c r="T170" s="397">
        <f ca="1">SUM(T166:T169)</f>
        <v>90.245064821558628</v>
      </c>
      <c r="V170" s="359"/>
      <c r="W170" s="359"/>
      <c r="X170" s="359"/>
      <c r="Y170" s="359"/>
      <c r="Z170" s="359"/>
      <c r="AA170" s="359"/>
      <c r="AB170" s="359"/>
    </row>
    <row r="171" spans="1:28" ht="14.4" thickTop="1">
      <c r="B171" s="36"/>
      <c r="E171" s="193"/>
      <c r="F171" s="194"/>
      <c r="G171" s="178"/>
      <c r="H171" s="178"/>
      <c r="I171" s="178"/>
      <c r="J171" s="178"/>
      <c r="K171" s="178"/>
      <c r="L171" s="178"/>
      <c r="M171" s="178"/>
      <c r="N171" s="178"/>
      <c r="O171" s="178"/>
      <c r="P171" s="178"/>
      <c r="Q171" s="194"/>
      <c r="R171" s="194"/>
      <c r="S171" s="194"/>
      <c r="T171" s="194"/>
    </row>
    <row r="172" spans="1:28">
      <c r="C172" s="34"/>
      <c r="D172" s="34"/>
      <c r="E172" s="34"/>
      <c r="F172" s="34"/>
      <c r="G172" s="34"/>
      <c r="J172" s="34"/>
      <c r="K172" s="34"/>
      <c r="L172" s="34"/>
      <c r="M172" s="34"/>
      <c r="N172" s="34"/>
      <c r="O172" s="34"/>
      <c r="P172" s="34"/>
      <c r="Q172" s="34"/>
      <c r="R172" s="34"/>
      <c r="S172" s="34"/>
      <c r="T172" s="34"/>
    </row>
    <row r="173" spans="1:28">
      <c r="D173" s="36" t="s">
        <v>57</v>
      </c>
      <c r="E173" s="10"/>
      <c r="F173" s="188"/>
      <c r="G173" s="2"/>
      <c r="S173" s="33"/>
      <c r="T173" s="33"/>
    </row>
    <row r="174" spans="1:28" ht="15.6">
      <c r="D174" s="254" t="s">
        <v>322</v>
      </c>
    </row>
    <row r="175" spans="1:28">
      <c r="D175" s="301">
        <f ca="1">D95</f>
        <v>46127.715253240742</v>
      </c>
    </row>
    <row r="176" spans="1:28">
      <c r="A176"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7" type="noConversion"/>
  <conditionalFormatting sqref="B11">
    <cfRule type="cellIs" dxfId="20" priority="15" stopIfTrue="1" operator="equal">
      <formula>"CHECKLIST IS INCOMPLETE !"</formula>
    </cfRule>
    <cfRule type="cellIs" dxfId="19" priority="16" stopIfTrue="1" operator="equal">
      <formula>"CHECKLIST OK"</formula>
    </cfRule>
  </conditionalFormatting>
  <conditionalFormatting sqref="B14">
    <cfRule type="cellIs" dxfId="18" priority="7" stopIfTrue="1" operator="equal">
      <formula>"QUOTE ISSUED WITH                    VAT INCLUDED"</formula>
    </cfRule>
    <cfRule type="cellIs" dxfId="17" priority="8" stopIfTrue="1" operator="notEqual">
      <formula>"QUOTE ISSUED WITH                    VAT INCLUDED"</formula>
    </cfRule>
  </conditionalFormatting>
  <conditionalFormatting sqref="B35">
    <cfRule type="cellIs" dxfId="16" priority="19" stopIfTrue="1" operator="notEqual">
      <formula>ROUND($E$35,2)</formula>
    </cfRule>
  </conditionalFormatting>
  <conditionalFormatting sqref="B18:E18">
    <cfRule type="cellIs" dxfId="15" priority="17" stopIfTrue="1" operator="equal">
      <formula>"CHECKLIST INCOMPLETE !"</formula>
    </cfRule>
  </conditionalFormatting>
  <conditionalFormatting sqref="D6 E37">
    <cfRule type="cellIs" dxfId="14" priority="1" stopIfTrue="1" operator="equal">
      <formula>"VAT INCLUDED"</formula>
    </cfRule>
    <cfRule type="cellIs" dxfId="13" priority="2" stopIfTrue="1" operator="equal">
      <formula>"VAT EXCL."</formula>
    </cfRule>
  </conditionalFormatting>
  <conditionalFormatting sqref="E36">
    <cfRule type="cellIs" dxfId="12" priority="10" stopIfTrue="1" operator="equal">
      <formula>"Final Sell Curr?"</formula>
    </cfRule>
  </conditionalFormatting>
  <conditionalFormatting sqref="E24:F32 R24:R32 T24:T32">
    <cfRule type="cellIs" dxfId="11" priority="18" stopIfTrue="1" operator="equal">
      <formula>0</formula>
    </cfRule>
  </conditionalFormatting>
  <conditionalFormatting sqref="F11">
    <cfRule type="cellIs" dxfId="10" priority="14" stopIfTrue="1" operator="equal">
      <formula>"CHECKLIST IS STILL INCOMPLETE"</formula>
    </cfRule>
  </conditionalFormatting>
  <conditionalFormatting sqref="Q1">
    <cfRule type="cellIs" dxfId="9" priority="9" stopIfTrue="1" operator="notEqual">
      <formula>"€"</formula>
    </cfRule>
  </conditionalFormatting>
  <conditionalFormatting sqref="Q2:Q12 Q23:Q32">
    <cfRule type="cellIs" dxfId="8" priority="3" stopIfTrue="1" operator="greaterThan">
      <formula>0</formula>
    </cfRule>
    <cfRule type="cellIs" dxfId="7" priority="4" stopIfTrue="1" operator="equal">
      <formula>0</formula>
    </cfRule>
  </conditionalFormatting>
  <conditionalFormatting sqref="S1">
    <cfRule type="cellIs" dxfId="6" priority="12" stopIfTrue="1" operator="notEqual">
      <formula>"R"</formula>
    </cfRule>
    <cfRule type="cellIs" dxfId="5" priority="13" stopIfTrue="1" operator="equal">
      <formula>"R"</formula>
    </cfRule>
  </conditionalFormatting>
  <conditionalFormatting sqref="S39">
    <cfRule type="cellIs" dxfId="4" priority="11" stopIfTrue="1" operator="notEqual">
      <formula>"PRINT"</formula>
    </cfRule>
  </conditionalFormatting>
  <conditionalFormatting sqref="S2:T11">
    <cfRule type="cellIs" dxfId="3" priority="5" stopIfTrue="1" operator="greaterThan">
      <formula>0</formula>
    </cfRule>
    <cfRule type="cellIs" dxfId="2"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sqref="D8" xr:uid="{79BB1C5A-4057-4856-AD50-E38F3C3B90AB}">
      <formula1>"M.Scicluna,Umut Kaymak,,T.Sammut,R.Farrugia,G.Mifsud,C.Gidulski,R.Raphel"</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C8843AB4-81F5-4385-889F-B10C7FAE46A7}">
      <formula1>"27.46,24.50,23.95,22.96,23.02,23.52,22.42,21.57,24.39,23.36,23.23,24.10,23.75,26.30,not used"</formula1>
    </dataValidation>
  </dataValidations>
  <pageMargins left="0.26" right="0.19685039370078741" top="0.48" bottom="0.34" header="0.3" footer="0.19685039370078741"/>
  <pageSetup paperSize="9" fitToHeight="0" orientation="portrait"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pageSetUpPr fitToPage="1"/>
  </sheetPr>
  <dimension ref="A1:AE193"/>
  <sheetViews>
    <sheetView workbookViewId="0">
      <selection activeCell="E36" sqref="E36"/>
    </sheetView>
  </sheetViews>
  <sheetFormatPr defaultColWidth="9.109375" defaultRowHeight="13.2"/>
  <cols>
    <col min="1" max="1" width="15.5546875" style="36" customWidth="1"/>
    <col min="2" max="2" width="10.33203125" style="36" customWidth="1"/>
    <col min="3" max="3" width="4.33203125" style="36" hidden="1" customWidth="1"/>
    <col min="4" max="4" width="21.6640625" style="36" customWidth="1"/>
    <col min="5" max="5" width="30.33203125" style="36" customWidth="1"/>
    <col min="6" max="6" width="28.33203125" style="36" customWidth="1"/>
    <col min="7" max="7" width="9.6640625" style="36" hidden="1" customWidth="1"/>
    <col min="8" max="8" width="7.6640625" style="36" customWidth="1"/>
    <col min="9" max="11" width="8.6640625" style="36" hidden="1" customWidth="1"/>
    <col min="12" max="12" width="6.6640625" style="36" hidden="1" customWidth="1"/>
    <col min="13" max="16" width="8.6640625" style="36" hidden="1" customWidth="1"/>
    <col min="17" max="20" width="14.88671875" style="36" customWidth="1"/>
    <col min="21" max="21" width="4.88671875" style="36" customWidth="1"/>
    <col min="22" max="22" width="4.33203125" style="36" customWidth="1"/>
    <col min="23" max="23" width="6.33203125" style="36" bestFit="1" customWidth="1"/>
    <col min="24" max="24" width="5.6640625" style="36" customWidth="1"/>
    <col min="25" max="28" width="4.33203125" style="36" customWidth="1"/>
    <col min="29" max="29" width="18.6640625" style="36" bestFit="1" customWidth="1"/>
    <col min="30" max="30" width="9.109375" style="238"/>
    <col min="31" max="31" width="10" style="238" bestFit="1" customWidth="1"/>
    <col min="32" max="16384" width="9.109375" style="36"/>
  </cols>
  <sheetData>
    <row r="1" spans="1:31" s="32" customFormat="1" ht="13.8">
      <c r="A1" s="531"/>
      <c r="B1" s="532" t="s">
        <v>0</v>
      </c>
      <c r="C1" s="533">
        <f>ML_Sum!$C1</f>
        <v>1</v>
      </c>
      <c r="D1" s="534" t="str">
        <f>ML_Sum!$D1</f>
        <v>ST Microelectronics (Malta) Ltd.</v>
      </c>
      <c r="E1" s="535"/>
      <c r="F1" s="536">
        <f>ML_Sum!$F1</f>
        <v>0</v>
      </c>
      <c r="G1" s="537"/>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17">
        <f>ML_Sum!$T1</f>
        <v>1.1499999999999999</v>
      </c>
      <c r="U1" s="238" t="str">
        <f>ML_Sum!W1</f>
        <v>BOQ</v>
      </c>
      <c r="V1" s="172" t="s">
        <v>194</v>
      </c>
      <c r="W1" s="173" t="s">
        <v>185</v>
      </c>
      <c r="X1" s="174" t="s">
        <v>186</v>
      </c>
      <c r="Y1" s="175" t="s">
        <v>187</v>
      </c>
      <c r="Z1" s="176" t="s">
        <v>183</v>
      </c>
      <c r="AA1" s="176" t="s">
        <v>188</v>
      </c>
      <c r="AB1" s="173" t="s">
        <v>189</v>
      </c>
      <c r="AD1" s="661"/>
      <c r="AE1" s="661"/>
    </row>
    <row r="2" spans="1:31" s="32" customFormat="1" ht="13.8">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v>
      </c>
      <c r="T2" s="386">
        <f>ML_Sum!$T2</f>
        <v>27.46</v>
      </c>
      <c r="V2" s="358"/>
      <c r="W2" s="358"/>
      <c r="X2" s="358"/>
      <c r="Y2" s="358"/>
      <c r="Z2" s="358"/>
      <c r="AA2" s="358"/>
      <c r="AB2" s="358"/>
      <c r="AD2" s="661"/>
      <c r="AE2" s="661"/>
    </row>
    <row r="3" spans="1:31" s="32" customFormat="1" ht="13.8">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v>
      </c>
      <c r="T3" s="386">
        <f>ML_Sum!$T3</f>
        <v>27.46</v>
      </c>
      <c r="V3" s="358"/>
      <c r="W3" s="358"/>
      <c r="X3" s="358"/>
      <c r="Y3" s="358"/>
      <c r="Z3" s="358"/>
      <c r="AA3" s="358"/>
      <c r="AB3" s="358"/>
      <c r="AD3" s="661"/>
      <c r="AE3" s="662"/>
    </row>
    <row r="4" spans="1:31" s="32" customFormat="1" ht="13.8">
      <c r="A4" s="542"/>
      <c r="B4" s="532" t="s">
        <v>6</v>
      </c>
      <c r="C4" s="533">
        <f>ML_Sum!$C4</f>
        <v>1</v>
      </c>
      <c r="D4" s="534" t="str">
        <f>ML_Sum!$D4</f>
        <v>ELM25-0560</v>
      </c>
      <c r="E4" s="539"/>
      <c r="F4" s="536" t="str">
        <f>ML_Sum!$F4</f>
        <v>Controls</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1</v>
      </c>
      <c r="T4" s="386">
        <f>ML_Sum!$T4</f>
        <v>27.46</v>
      </c>
      <c r="V4" s="358"/>
      <c r="W4" s="358"/>
      <c r="X4" s="358"/>
      <c r="Y4" s="358"/>
      <c r="Z4" s="358"/>
      <c r="AA4" s="358"/>
      <c r="AB4" s="358"/>
      <c r="AD4" s="661"/>
      <c r="AE4" s="663"/>
    </row>
    <row r="5" spans="1:31" s="32" customFormat="1" ht="13.8">
      <c r="A5" s="542"/>
      <c r="B5" s="532" t="s">
        <v>196</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8"/>
      <c r="W5" s="358"/>
      <c r="X5" s="358"/>
      <c r="Y5" s="358"/>
      <c r="Z5" s="358"/>
      <c r="AA5" s="358"/>
      <c r="AB5" s="358"/>
      <c r="AD5" s="661"/>
      <c r="AE5" s="663"/>
    </row>
    <row r="6" spans="1:31" s="32" customFormat="1" ht="13.8">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8"/>
      <c r="W6" s="358"/>
      <c r="X6" s="358"/>
      <c r="Y6" s="358"/>
      <c r="Z6" s="358"/>
      <c r="AA6" s="358"/>
      <c r="AB6" s="358"/>
      <c r="AD6" s="661"/>
      <c r="AE6" s="340"/>
    </row>
    <row r="7" spans="1:31" s="32" customFormat="1" ht="13.8">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8"/>
      <c r="W7" s="358"/>
      <c r="X7" s="358"/>
      <c r="Y7" s="358"/>
      <c r="Z7" s="358"/>
      <c r="AA7" s="358"/>
      <c r="AB7" s="358"/>
      <c r="AD7" s="661"/>
      <c r="AE7" s="661"/>
    </row>
    <row r="8" spans="1:31" s="32" customFormat="1" ht="13.8">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8"/>
      <c r="W8" s="358"/>
      <c r="X8" s="358"/>
      <c r="Y8" s="358"/>
      <c r="Z8" s="358"/>
      <c r="AA8" s="358"/>
      <c r="AB8" s="358"/>
      <c r="AD8" s="661"/>
      <c r="AE8" s="663"/>
    </row>
    <row r="9" spans="1:31" s="32" customFormat="1" ht="13.8">
      <c r="A9" s="542"/>
      <c r="B9" s="540" t="s">
        <v>267</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8"/>
      <c r="W9" s="358"/>
      <c r="X9" s="358"/>
      <c r="Y9" s="358"/>
      <c r="Z9" s="358"/>
      <c r="AA9" s="358"/>
      <c r="AB9" s="358"/>
      <c r="AD9" s="661"/>
      <c r="AE9" s="663"/>
    </row>
    <row r="10" spans="1:31" s="32" customFormat="1" ht="13.8">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8"/>
      <c r="W10" s="358"/>
      <c r="X10" s="358"/>
      <c r="Y10" s="358"/>
      <c r="Z10" s="358"/>
      <c r="AA10" s="358"/>
      <c r="AB10" s="358"/>
      <c r="AD10" s="661"/>
      <c r="AE10" s="663"/>
    </row>
    <row r="11" spans="1:31" s="32" customFormat="1" ht="13.8">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8"/>
      <c r="W11" s="358"/>
      <c r="X11" s="358"/>
      <c r="Y11" s="358"/>
      <c r="Z11" s="358"/>
      <c r="AA11" s="358"/>
      <c r="AB11" s="358"/>
      <c r="AD11" s="661"/>
      <c r="AE11" s="663"/>
    </row>
    <row r="12" spans="1:31" s="32" customFormat="1" ht="13.8">
      <c r="A12" s="542"/>
      <c r="B12" s="531"/>
      <c r="C12" s="533">
        <f>ML_Sum!$C12</f>
        <v>1</v>
      </c>
      <c r="D12" s="531"/>
      <c r="E12" s="539"/>
      <c r="F12" s="536">
        <f>ML_Sum!$F12</f>
        <v>0</v>
      </c>
      <c r="G12" s="547"/>
      <c r="H12" s="547"/>
      <c r="I12" s="531"/>
      <c r="J12" s="531"/>
      <c r="K12" s="531"/>
      <c r="L12" s="531"/>
      <c r="M12" s="531"/>
      <c r="N12" s="531"/>
      <c r="O12" s="531"/>
      <c r="P12" s="547"/>
      <c r="Q12" s="384">
        <f>ML_Sum!$Q12</f>
        <v>0</v>
      </c>
      <c r="R12" s="434" t="s">
        <v>209</v>
      </c>
      <c r="S12" s="385" t="str">
        <f>ML_Sum!$S12</f>
        <v>MAT MU</v>
      </c>
      <c r="T12" s="386" t="str">
        <f>ML_Sum!$T12</f>
        <v>LAB RATE</v>
      </c>
      <c r="V12" s="358"/>
      <c r="W12" s="358"/>
      <c r="X12" s="358"/>
      <c r="Y12" s="358"/>
      <c r="Z12" s="358"/>
      <c r="AA12" s="358"/>
      <c r="AB12" s="358"/>
      <c r="AD12" s="661"/>
      <c r="AE12" s="663"/>
    </row>
    <row r="13" spans="1:31" s="32" customFormat="1" ht="14.4" thickBot="1">
      <c r="A13" s="548"/>
      <c r="B13" s="549"/>
      <c r="C13" s="550"/>
      <c r="D13" s="551"/>
      <c r="E13" s="552"/>
      <c r="F13" s="553"/>
      <c r="G13" s="554" t="s">
        <v>18</v>
      </c>
      <c r="H13" s="554" t="s">
        <v>19</v>
      </c>
      <c r="I13" s="554" t="s">
        <v>20</v>
      </c>
      <c r="J13" s="554" t="s">
        <v>21</v>
      </c>
      <c r="K13" s="554" t="s">
        <v>22</v>
      </c>
      <c r="L13" s="554" t="s">
        <v>23</v>
      </c>
      <c r="M13" s="554" t="s">
        <v>24</v>
      </c>
      <c r="N13" s="554" t="s">
        <v>25</v>
      </c>
      <c r="O13" s="554" t="s">
        <v>26</v>
      </c>
      <c r="P13" s="554" t="s">
        <v>27</v>
      </c>
      <c r="Q13" s="28" t="s">
        <v>204</v>
      </c>
      <c r="R13" s="29" t="s">
        <v>29</v>
      </c>
      <c r="S13" s="30" t="s">
        <v>30</v>
      </c>
      <c r="T13" s="31" t="s">
        <v>31</v>
      </c>
      <c r="V13" s="358"/>
      <c r="W13" s="358"/>
      <c r="X13" s="358"/>
      <c r="Y13" s="358"/>
      <c r="Z13" s="358"/>
      <c r="AA13" s="358"/>
      <c r="AB13" s="358"/>
      <c r="AD13" s="661"/>
      <c r="AE13" s="664"/>
    </row>
    <row r="14" spans="1:31" customFormat="1">
      <c r="AD14" s="340"/>
      <c r="AE14" s="340"/>
    </row>
    <row r="15" spans="1:31">
      <c r="A15" s="33"/>
      <c r="B15" s="33"/>
      <c r="C15" s="33" t="s">
        <v>134</v>
      </c>
      <c r="D15" s="37" t="s">
        <v>135</v>
      </c>
      <c r="E15" s="33"/>
      <c r="F15" s="33"/>
      <c r="G15" s="33"/>
      <c r="H15" s="33"/>
      <c r="I15" s="33"/>
      <c r="J15" s="33"/>
      <c r="K15" s="33"/>
      <c r="L15" s="33"/>
      <c r="M15" s="33"/>
      <c r="N15" s="33"/>
      <c r="O15" s="35"/>
      <c r="P15" s="33"/>
      <c r="Q15" s="33"/>
      <c r="R15" s="33"/>
      <c r="S15" s="33"/>
      <c r="T15" s="33"/>
    </row>
    <row r="16" spans="1:31">
      <c r="A16" s="33"/>
      <c r="B16" s="33"/>
      <c r="C16" s="33"/>
      <c r="D16" s="37" t="s">
        <v>136</v>
      </c>
      <c r="E16" s="33"/>
      <c r="F16" s="33"/>
      <c r="G16" s="33"/>
      <c r="H16" s="33"/>
      <c r="I16" s="33"/>
      <c r="J16" s="33"/>
      <c r="K16" s="33"/>
      <c r="L16" s="33"/>
      <c r="M16" s="33"/>
      <c r="N16" s="33"/>
      <c r="O16" s="35"/>
      <c r="P16" s="33"/>
      <c r="Q16" s="33"/>
      <c r="R16" s="33"/>
      <c r="S16" s="38"/>
      <c r="T16" s="38"/>
    </row>
    <row r="17" spans="1:31" ht="13.8" thickBot="1">
      <c r="A17" s="39"/>
      <c r="B17" s="34"/>
      <c r="C17" s="34"/>
      <c r="D17" s="34"/>
      <c r="E17" s="34"/>
      <c r="F17" s="34"/>
      <c r="G17" s="34"/>
      <c r="H17" s="34"/>
      <c r="I17" s="34"/>
      <c r="J17" s="34"/>
      <c r="K17" s="34"/>
      <c r="L17" s="34"/>
      <c r="M17" s="34"/>
      <c r="N17" s="34"/>
      <c r="O17" s="40"/>
      <c r="P17" s="34"/>
      <c r="Q17" s="34"/>
      <c r="R17" s="34"/>
      <c r="S17" s="34"/>
      <c r="T17" s="34"/>
    </row>
    <row r="18" spans="1:31" s="1" customFormat="1" ht="12" thickTop="1">
      <c r="A18" s="33"/>
      <c r="B18" s="33"/>
      <c r="C18" s="33"/>
      <c r="D18" s="33"/>
      <c r="E18" s="33"/>
      <c r="F18" s="33"/>
      <c r="G18" s="33"/>
      <c r="H18" s="33"/>
      <c r="I18" s="33"/>
      <c r="J18" s="33"/>
      <c r="K18" s="33"/>
      <c r="L18" s="33"/>
      <c r="M18" s="33"/>
      <c r="N18" s="33"/>
      <c r="O18" s="35"/>
      <c r="P18" s="33"/>
      <c r="Q18" s="42" t="s">
        <v>168</v>
      </c>
      <c r="R18" s="33"/>
      <c r="S18" s="13"/>
      <c r="T18" s="33"/>
      <c r="AD18" s="665"/>
      <c r="AE18" s="665"/>
    </row>
    <row r="19" spans="1:31" s="1" customFormat="1" ht="12.6" thickBot="1">
      <c r="A19" s="135">
        <v>1850</v>
      </c>
      <c r="B19" s="136">
        <f ca="1">Elec_Est!B212</f>
        <v>0</v>
      </c>
      <c r="C19" s="137"/>
      <c r="D19" s="138" t="s">
        <v>306</v>
      </c>
      <c r="E19" s="139"/>
      <c r="F19" s="139"/>
      <c r="G19" s="140"/>
      <c r="H19" s="140"/>
      <c r="I19" s="141"/>
      <c r="J19" s="140"/>
      <c r="K19" s="142" t="s">
        <v>169</v>
      </c>
      <c r="L19" s="143" t="s">
        <v>169</v>
      </c>
      <c r="M19" s="143"/>
      <c r="N19" s="143"/>
      <c r="O19" s="143"/>
      <c r="P19" s="143"/>
      <c r="Q19" s="144">
        <f ca="1">B19/A19</f>
        <v>0</v>
      </c>
      <c r="R19" s="145">
        <f ca="1">IF($B19=0,0,IF($S$1="R",ROUND(R24/$B19,2),R24/$B19))</f>
        <v>0</v>
      </c>
      <c r="S19" s="146"/>
      <c r="T19" s="145">
        <f ca="1">IF($B19=0,0,IF($S$1="R",ROUND(T24/$B19,2),T24/$B19))</f>
        <v>0</v>
      </c>
      <c r="AD19" s="665"/>
      <c r="AE19" s="665"/>
    </row>
    <row r="20" spans="1:31" s="1" customFormat="1" ht="13.8" thickTop="1">
      <c r="A20" s="44"/>
      <c r="B20" s="3"/>
      <c r="C20" s="3"/>
      <c r="D20" s="147" t="s">
        <v>170</v>
      </c>
      <c r="E20" s="3"/>
      <c r="F20" s="3"/>
      <c r="G20" s="3"/>
      <c r="H20" s="3"/>
      <c r="I20" s="3"/>
      <c r="J20" s="3"/>
      <c r="K20" s="3"/>
      <c r="L20" s="3"/>
      <c r="M20" s="3"/>
      <c r="N20" s="3"/>
      <c r="O20" s="148"/>
      <c r="P20" s="3"/>
      <c r="Q20" s="3"/>
      <c r="R20" s="3"/>
      <c r="S20" s="3"/>
      <c r="T20" s="3"/>
      <c r="AC20" s="659"/>
      <c r="AD20" s="665"/>
      <c r="AE20" s="665"/>
    </row>
    <row r="21" spans="1:31" s="1" customFormat="1">
      <c r="A21" s="44"/>
      <c r="B21" s="3"/>
      <c r="C21" s="3"/>
      <c r="D21" s="635" t="s">
        <v>323</v>
      </c>
      <c r="E21" s="3"/>
      <c r="F21" s="3"/>
      <c r="G21" s="3"/>
      <c r="H21" s="3"/>
      <c r="I21" s="3"/>
      <c r="J21" s="3"/>
      <c r="K21" s="3"/>
      <c r="L21" s="3"/>
      <c r="M21" s="3"/>
      <c r="N21" s="3"/>
      <c r="O21" s="148"/>
      <c r="P21" s="3"/>
      <c r="Q21" s="3"/>
      <c r="R21" s="3"/>
      <c r="S21" s="3"/>
      <c r="T21" s="3"/>
      <c r="AC21" s="659"/>
      <c r="AD21" s="666"/>
      <c r="AE21" s="666"/>
    </row>
    <row r="22" spans="1:31" s="627" customFormat="1">
      <c r="A22" s="652"/>
      <c r="D22" s="635" t="s">
        <v>311</v>
      </c>
      <c r="G22" s="628"/>
      <c r="H22" s="629"/>
      <c r="O22" s="630"/>
      <c r="P22" s="631"/>
      <c r="Q22" s="633"/>
      <c r="R22" s="632"/>
      <c r="S22" s="633"/>
      <c r="T22" s="634"/>
      <c r="AD22" s="667"/>
      <c r="AE22" s="667"/>
    </row>
    <row r="23" spans="1:31" s="1" customFormat="1">
      <c r="A23" s="4"/>
      <c r="B23" s="3"/>
      <c r="C23" s="4" t="s">
        <v>171</v>
      </c>
      <c r="D23" s="3"/>
      <c r="E23" s="4"/>
      <c r="F23" s="2"/>
      <c r="G23" s="4"/>
      <c r="H23" s="4"/>
      <c r="I23" s="5"/>
      <c r="J23" s="4"/>
      <c r="K23" s="4"/>
      <c r="L23" s="4"/>
      <c r="M23" s="4"/>
      <c r="N23" s="4"/>
      <c r="O23" s="4"/>
      <c r="P23" s="4"/>
      <c r="Q23" s="5"/>
      <c r="R23" s="149">
        <f t="shared" ref="R23" si="0">$A23*Q23</f>
        <v>0</v>
      </c>
      <c r="S23" s="5"/>
      <c r="T23" s="150">
        <f t="shared" ref="T23" si="1">$A23*S23*$T$1</f>
        <v>0</v>
      </c>
      <c r="AD23" s="665"/>
      <c r="AE23" s="665"/>
    </row>
    <row r="24" spans="1:31" s="1" customFormat="1" ht="12.6" thickBot="1">
      <c r="A24" s="46" t="s">
        <v>142</v>
      </c>
      <c r="B24" s="47">
        <f>(R24+T24)-SUM(R20:R23,T20:T23)</f>
        <v>0</v>
      </c>
      <c r="C24" s="48"/>
      <c r="D24" s="151" t="s">
        <v>172</v>
      </c>
      <c r="E24" s="525">
        <f ca="1">IF($B19=0,0,ROUND(ROUND(($R24*$S$2+($T24*$T$2))/$B19, 2)*$C$2,2))</f>
        <v>0</v>
      </c>
      <c r="F24" s="526">
        <f ca="1">ROUND($B19*$E24,2)</f>
        <v>0</v>
      </c>
      <c r="G24" s="48"/>
      <c r="H24" s="48"/>
      <c r="I24" s="49"/>
      <c r="J24" s="48"/>
      <c r="K24" s="152" t="s">
        <v>141</v>
      </c>
      <c r="L24" s="153" t="s">
        <v>141</v>
      </c>
      <c r="M24" s="153"/>
      <c r="N24" s="153"/>
      <c r="O24" s="153"/>
      <c r="P24" s="153"/>
      <c r="Q24" s="154"/>
      <c r="R24" s="155">
        <f>SUM(R20:R23)</f>
        <v>0</v>
      </c>
      <c r="S24" s="156"/>
      <c r="T24" s="155">
        <f>SUM(T20:T23)</f>
        <v>0</v>
      </c>
      <c r="U24" s="472"/>
      <c r="V24" s="472"/>
      <c r="W24" s="472"/>
      <c r="X24" s="472"/>
      <c r="Y24" s="472"/>
      <c r="Z24" s="472"/>
      <c r="AA24" s="472"/>
      <c r="AB24" s="472"/>
      <c r="AD24" s="665"/>
      <c r="AE24" s="665"/>
    </row>
    <row r="25" spans="1:31" s="586" customFormat="1" ht="12" thickTop="1">
      <c r="A25" s="57"/>
      <c r="B25" s="57"/>
      <c r="C25" s="57"/>
      <c r="D25" s="57"/>
      <c r="E25" s="57"/>
      <c r="F25" s="57"/>
      <c r="G25" s="57"/>
      <c r="H25" s="57"/>
      <c r="I25" s="57"/>
      <c r="J25" s="57"/>
      <c r="K25" s="57"/>
      <c r="L25" s="57"/>
      <c r="M25" s="57"/>
      <c r="N25" s="57"/>
      <c r="O25" s="58"/>
      <c r="P25" s="57"/>
      <c r="Q25" s="42" t="s">
        <v>168</v>
      </c>
      <c r="R25" s="57"/>
      <c r="S25" s="13"/>
      <c r="T25" s="57"/>
      <c r="AD25" s="668"/>
      <c r="AE25" s="668"/>
    </row>
    <row r="26" spans="1:31" s="586" customFormat="1" ht="12" customHeight="1" thickBot="1">
      <c r="A26" s="638">
        <v>150</v>
      </c>
      <c r="B26" s="639">
        <f ca="1">Elec_Est!B213</f>
        <v>6</v>
      </c>
      <c r="C26" s="640"/>
      <c r="D26" s="641" t="s">
        <v>421</v>
      </c>
      <c r="E26" s="642"/>
      <c r="F26" s="642"/>
      <c r="G26" s="595"/>
      <c r="H26" s="595"/>
      <c r="I26" s="643"/>
      <c r="J26" s="595"/>
      <c r="K26" s="640" t="s">
        <v>169</v>
      </c>
      <c r="L26" s="644" t="s">
        <v>169</v>
      </c>
      <c r="M26" s="644"/>
      <c r="N26" s="644"/>
      <c r="O26" s="644"/>
      <c r="P26" s="644"/>
      <c r="Q26" s="645">
        <f ca="1">B26/A26</f>
        <v>0.04</v>
      </c>
      <c r="R26" s="646">
        <f ca="1">IF($B26=0,0,IF($S$1="R",ROUND(R39/$B26,2),R39/$B26))</f>
        <v>69.42</v>
      </c>
      <c r="S26" s="647"/>
      <c r="T26" s="646">
        <f ca="1">IF($B26=0,0,IF($S$1="R",ROUND(T39/$B26,2),T39/$B26))</f>
        <v>0.79</v>
      </c>
      <c r="AD26" s="668"/>
      <c r="AE26" s="668"/>
    </row>
    <row r="27" spans="1:31" s="586" customFormat="1" ht="13.8" thickTop="1">
      <c r="A27" s="591"/>
      <c r="B27" s="3"/>
      <c r="C27" s="3"/>
      <c r="D27" s="147" t="s">
        <v>170</v>
      </c>
      <c r="E27" s="3"/>
      <c r="F27" s="3"/>
      <c r="G27" s="3"/>
      <c r="H27" s="3"/>
      <c r="I27" s="3"/>
      <c r="J27" s="3"/>
      <c r="K27" s="3"/>
      <c r="L27" s="3"/>
      <c r="M27" s="3"/>
      <c r="N27" s="3"/>
      <c r="O27" s="148"/>
      <c r="P27" s="3"/>
      <c r="Q27" s="3"/>
      <c r="R27" s="3"/>
      <c r="S27" s="3"/>
      <c r="T27" s="3"/>
      <c r="AD27" s="668"/>
      <c r="AE27" s="668"/>
    </row>
    <row r="28" spans="1:31" s="627" customFormat="1">
      <c r="A28" s="652">
        <f ca="1">$Q$26 *(150)</f>
        <v>6</v>
      </c>
      <c r="B28" s="627" t="s">
        <v>271</v>
      </c>
      <c r="D28" s="627" t="s">
        <v>352</v>
      </c>
      <c r="F28" s="627" t="s">
        <v>341</v>
      </c>
      <c r="G28" s="628" t="s">
        <v>283</v>
      </c>
      <c r="H28" s="629">
        <v>650</v>
      </c>
      <c r="I28" s="627" t="s">
        <v>279</v>
      </c>
      <c r="O28" s="630">
        <v>1</v>
      </c>
      <c r="P28" s="631">
        <v>36897</v>
      </c>
      <c r="Q28" s="633">
        <f>1.477*32.11/3</f>
        <v>15.808823333333335</v>
      </c>
      <c r="R28" s="632">
        <f ca="1">$A28*Q28</f>
        <v>94.852940000000004</v>
      </c>
      <c r="S28" s="633">
        <v>0.3</v>
      </c>
      <c r="T28" s="634">
        <f ca="1">$A28*S28*$T$1</f>
        <v>2.0699999999999998</v>
      </c>
      <c r="AD28" s="667"/>
      <c r="AE28" s="667"/>
    </row>
    <row r="29" spans="1:31" s="627" customFormat="1">
      <c r="A29" s="652">
        <f ca="1">$Q$26 *(150)</f>
        <v>6</v>
      </c>
      <c r="B29" s="627" t="s">
        <v>271</v>
      </c>
      <c r="D29" s="627" t="s">
        <v>353</v>
      </c>
      <c r="F29" s="627" t="s">
        <v>341</v>
      </c>
      <c r="G29" s="628" t="s">
        <v>288</v>
      </c>
      <c r="H29" s="629">
        <v>650</v>
      </c>
      <c r="I29" s="627" t="s">
        <v>279</v>
      </c>
      <c r="O29" s="630">
        <v>1</v>
      </c>
      <c r="P29" s="631"/>
      <c r="Q29" s="633">
        <f>1.477*48.6/3</f>
        <v>23.927400000000002</v>
      </c>
      <c r="R29" s="632">
        <f ca="1">$A29*Q29</f>
        <v>143.56440000000001</v>
      </c>
      <c r="S29" s="633">
        <v>0.3</v>
      </c>
      <c r="T29" s="634">
        <f ca="1">$A29*S29*$T$1</f>
        <v>2.0699999999999998</v>
      </c>
      <c r="AD29" s="667"/>
      <c r="AE29" s="667"/>
    </row>
    <row r="30" spans="1:31" s="627" customFormat="1">
      <c r="A30" s="652">
        <f ca="1">$Q$26 *(150*2)</f>
        <v>12</v>
      </c>
      <c r="B30" s="627" t="s">
        <v>271</v>
      </c>
      <c r="D30" s="627" t="s">
        <v>354</v>
      </c>
      <c r="F30" s="627" t="s">
        <v>341</v>
      </c>
      <c r="G30" s="628" t="s">
        <v>288</v>
      </c>
      <c r="H30" s="629">
        <v>650</v>
      </c>
      <c r="I30" s="627" t="s">
        <v>279</v>
      </c>
      <c r="O30" s="630">
        <v>1</v>
      </c>
      <c r="P30" s="631"/>
      <c r="Q30" s="633">
        <f>1.477*2.2</f>
        <v>3.2494000000000005</v>
      </c>
      <c r="R30" s="632">
        <f ca="1">$A30*Q30</f>
        <v>38.992800000000003</v>
      </c>
      <c r="S30" s="633"/>
      <c r="T30" s="634">
        <f ca="1">$A30*S30*$T$1</f>
        <v>0</v>
      </c>
      <c r="AD30" s="667"/>
      <c r="AE30" s="667"/>
    </row>
    <row r="31" spans="1:31" s="586" customFormat="1" ht="11.4">
      <c r="A31" s="653">
        <f ca="1">$Q$26 *(150/3)</f>
        <v>2</v>
      </c>
      <c r="B31" s="582" t="s">
        <v>272</v>
      </c>
      <c r="C31" s="582"/>
      <c r="D31" s="627" t="s">
        <v>355</v>
      </c>
      <c r="E31" s="582"/>
      <c r="F31" s="627" t="s">
        <v>341</v>
      </c>
      <c r="G31" s="582"/>
      <c r="H31" s="629">
        <v>650</v>
      </c>
      <c r="I31" s="584"/>
      <c r="J31" s="582"/>
      <c r="K31" s="582"/>
      <c r="L31" s="582"/>
      <c r="M31" s="582"/>
      <c r="N31" s="582"/>
      <c r="O31" s="582"/>
      <c r="P31" s="582"/>
      <c r="Q31" s="633">
        <f>1.477*2.48</f>
        <v>3.66296</v>
      </c>
      <c r="R31" s="632">
        <f t="shared" ref="R31:R36" ca="1" si="2">$A31*Q31</f>
        <v>7.32592</v>
      </c>
      <c r="S31" s="633">
        <v>0.02</v>
      </c>
      <c r="T31" s="634">
        <f t="shared" ref="T31:T36" ca="1" si="3">$A31*S31*$T$1</f>
        <v>4.5999999999999999E-2</v>
      </c>
      <c r="AD31" s="668"/>
      <c r="AE31" s="668"/>
    </row>
    <row r="32" spans="1:31" s="627" customFormat="1" ht="11.4">
      <c r="A32" s="653">
        <f ca="1">$Q$26 *(15)</f>
        <v>0.6</v>
      </c>
      <c r="B32" s="627" t="s">
        <v>271</v>
      </c>
      <c r="D32" s="627" t="s">
        <v>336</v>
      </c>
      <c r="F32" s="627" t="s">
        <v>341</v>
      </c>
      <c r="G32" s="628" t="s">
        <v>288</v>
      </c>
      <c r="H32" s="629">
        <v>650</v>
      </c>
      <c r="I32" s="627" t="s">
        <v>279</v>
      </c>
      <c r="O32" s="630">
        <v>1</v>
      </c>
      <c r="P32" s="631"/>
      <c r="Q32" s="633">
        <f>1.477*26.65</f>
        <v>39.362050000000004</v>
      </c>
      <c r="R32" s="632">
        <f ca="1">$A32*Q32</f>
        <v>23.617230000000003</v>
      </c>
      <c r="S32" s="633">
        <v>0.3</v>
      </c>
      <c r="T32" s="634">
        <f ca="1">$A32*S32*$T$1</f>
        <v>0.20699999999999999</v>
      </c>
      <c r="AD32" s="667"/>
      <c r="AE32" s="667"/>
    </row>
    <row r="33" spans="1:31" s="627" customFormat="1" ht="11.4">
      <c r="A33" s="653">
        <v>1</v>
      </c>
      <c r="B33" s="627" t="s">
        <v>271</v>
      </c>
      <c r="D33" s="627" t="s">
        <v>356</v>
      </c>
      <c r="F33" s="627" t="s">
        <v>341</v>
      </c>
      <c r="G33" s="628" t="s">
        <v>288</v>
      </c>
      <c r="H33" s="629">
        <v>650</v>
      </c>
      <c r="I33" s="627" t="s">
        <v>279</v>
      </c>
      <c r="O33" s="630">
        <v>1</v>
      </c>
      <c r="P33" s="631"/>
      <c r="Q33" s="633">
        <f>1.477*14.91</f>
        <v>22.022070000000003</v>
      </c>
      <c r="R33" s="632">
        <f>$A33*Q33</f>
        <v>22.022070000000003</v>
      </c>
      <c r="S33" s="633"/>
      <c r="T33" s="634">
        <f>$A33*S33*$T$1</f>
        <v>0</v>
      </c>
      <c r="AD33" s="667"/>
      <c r="AE33" s="667"/>
    </row>
    <row r="34" spans="1:31" s="627" customFormat="1" ht="11.4">
      <c r="A34" s="653">
        <v>1</v>
      </c>
      <c r="B34" s="627" t="s">
        <v>271</v>
      </c>
      <c r="D34" s="627" t="s">
        <v>338</v>
      </c>
      <c r="F34" s="627" t="s">
        <v>341</v>
      </c>
      <c r="G34" s="628" t="s">
        <v>288</v>
      </c>
      <c r="H34" s="629">
        <v>650</v>
      </c>
      <c r="I34" s="627" t="s">
        <v>279</v>
      </c>
      <c r="O34" s="630">
        <v>1</v>
      </c>
      <c r="P34" s="631"/>
      <c r="Q34" s="633">
        <f>1.477*35.79</f>
        <v>52.861830000000005</v>
      </c>
      <c r="R34" s="632">
        <f>$A34*Q34</f>
        <v>52.861830000000005</v>
      </c>
      <c r="S34" s="633">
        <v>0.3</v>
      </c>
      <c r="T34" s="634">
        <f>$A34*S34*$T$1</f>
        <v>0.34499999999999997</v>
      </c>
      <c r="AD34" s="667"/>
      <c r="AE34" s="667"/>
    </row>
    <row r="35" spans="1:31" s="586" customFormat="1" ht="11.4">
      <c r="A35" s="653">
        <f ca="1">$Q$26 *(150/3)</f>
        <v>2</v>
      </c>
      <c r="B35" s="582" t="s">
        <v>272</v>
      </c>
      <c r="C35" s="582"/>
      <c r="D35" s="627" t="s">
        <v>285</v>
      </c>
      <c r="E35" s="582"/>
      <c r="F35" s="627" t="s">
        <v>317</v>
      </c>
      <c r="G35" s="582"/>
      <c r="H35" s="629">
        <v>650</v>
      </c>
      <c r="I35" s="584"/>
      <c r="J35" s="582"/>
      <c r="K35" s="582"/>
      <c r="L35" s="582"/>
      <c r="M35" s="582"/>
      <c r="N35" s="582"/>
      <c r="O35" s="582"/>
      <c r="P35" s="582"/>
      <c r="Q35" s="633">
        <v>1.5960000000000001</v>
      </c>
      <c r="R35" s="632">
        <f t="shared" ca="1" si="2"/>
        <v>3.1920000000000002</v>
      </c>
      <c r="S35" s="633">
        <v>0.01</v>
      </c>
      <c r="T35" s="634">
        <f t="shared" ca="1" si="3"/>
        <v>2.3E-2</v>
      </c>
      <c r="AD35" s="668"/>
      <c r="AE35" s="668"/>
    </row>
    <row r="36" spans="1:31" s="586" customFormat="1" ht="11.4">
      <c r="A36" s="653">
        <f ca="1">$Q$26 *(150*8)</f>
        <v>48</v>
      </c>
      <c r="B36" s="582" t="s">
        <v>272</v>
      </c>
      <c r="C36" s="582"/>
      <c r="D36" s="627" t="s">
        <v>286</v>
      </c>
      <c r="E36" s="582"/>
      <c r="F36" s="627" t="s">
        <v>335</v>
      </c>
      <c r="G36" s="582"/>
      <c r="H36" s="629">
        <v>650</v>
      </c>
      <c r="I36" s="584"/>
      <c r="J36" s="582"/>
      <c r="K36" s="582"/>
      <c r="L36" s="582"/>
      <c r="M36" s="582"/>
      <c r="N36" s="582"/>
      <c r="O36" s="582"/>
      <c r="P36" s="582"/>
      <c r="Q36" s="633">
        <v>0.21</v>
      </c>
      <c r="R36" s="632">
        <f t="shared" ca="1" si="2"/>
        <v>10.08</v>
      </c>
      <c r="S36" s="584"/>
      <c r="T36" s="634">
        <f t="shared" ca="1" si="3"/>
        <v>0</v>
      </c>
      <c r="AD36" s="668"/>
      <c r="AE36" s="668"/>
    </row>
    <row r="37" spans="1:31" s="627" customFormat="1" ht="11.4">
      <c r="A37" s="653">
        <f ca="1">$Q$26 *(1)</f>
        <v>0.04</v>
      </c>
      <c r="B37" s="627" t="s">
        <v>281</v>
      </c>
      <c r="D37" s="627" t="s">
        <v>308</v>
      </c>
      <c r="E37" s="582"/>
      <c r="F37" s="627" t="s">
        <v>342</v>
      </c>
      <c r="G37" s="628" t="s">
        <v>309</v>
      </c>
      <c r="H37" s="629">
        <v>960</v>
      </c>
      <c r="I37" s="627" t="s">
        <v>280</v>
      </c>
      <c r="O37" s="630">
        <v>4</v>
      </c>
      <c r="P37" s="631">
        <v>38274</v>
      </c>
      <c r="Q37" s="633">
        <v>500</v>
      </c>
      <c r="R37" s="632">
        <f ca="1">$A37*Q37</f>
        <v>20</v>
      </c>
      <c r="S37" s="633"/>
      <c r="T37" s="634">
        <f ca="1">$A37*S37*$T$1</f>
        <v>0</v>
      </c>
      <c r="AD37" s="667"/>
      <c r="AE37" s="667"/>
    </row>
    <row r="38" spans="1:31" s="586" customFormat="1">
      <c r="A38" s="582"/>
      <c r="B38" s="3"/>
      <c r="C38" s="582" t="s">
        <v>171</v>
      </c>
      <c r="D38" s="3"/>
      <c r="E38" s="582"/>
      <c r="F38" s="583"/>
      <c r="G38" s="582"/>
      <c r="H38" s="582"/>
      <c r="I38" s="584"/>
      <c r="J38" s="582"/>
      <c r="K38" s="582"/>
      <c r="L38" s="582"/>
      <c r="M38" s="582"/>
      <c r="N38" s="582"/>
      <c r="O38" s="582"/>
      <c r="P38" s="582"/>
      <c r="Q38" s="584"/>
      <c r="R38" s="636">
        <f t="shared" ref="R38" si="4">$A38*Q38</f>
        <v>0</v>
      </c>
      <c r="S38" s="584"/>
      <c r="T38" s="585">
        <f t="shared" ref="T38" si="5">$A38*S38*$T$1</f>
        <v>0</v>
      </c>
      <c r="AD38" s="668"/>
      <c r="AE38" s="668"/>
    </row>
    <row r="39" spans="1:31" s="586" customFormat="1" ht="12.6" thickBot="1">
      <c r="A39" s="606" t="s">
        <v>142</v>
      </c>
      <c r="B39" s="607">
        <f>(R38+T38)</f>
        <v>0</v>
      </c>
      <c r="C39" s="608"/>
      <c r="D39" s="648" t="s">
        <v>172</v>
      </c>
      <c r="E39" s="525">
        <f ca="1">IF($B26=0,0,ROUND(ROUND(($R39*$S$2+($T39*$T$2))/$B26, 2)*$C$2,2))</f>
        <v>91.21</v>
      </c>
      <c r="F39" s="526">
        <f ca="1">ROUND($B26*$E39,2)</f>
        <v>547.26</v>
      </c>
      <c r="G39" s="608"/>
      <c r="H39" s="608"/>
      <c r="I39" s="610"/>
      <c r="J39" s="608"/>
      <c r="K39" s="649" t="s">
        <v>141</v>
      </c>
      <c r="L39" s="611" t="s">
        <v>141</v>
      </c>
      <c r="M39" s="611"/>
      <c r="N39" s="611"/>
      <c r="O39" s="611"/>
      <c r="P39" s="611"/>
      <c r="Q39" s="649"/>
      <c r="R39" s="650">
        <f ca="1">SUM(R27:R38)</f>
        <v>416.50918999999999</v>
      </c>
      <c r="S39" s="651"/>
      <c r="T39" s="650">
        <f ca="1">SUM(T27:T38)</f>
        <v>4.7609999999999992</v>
      </c>
      <c r="U39" s="614"/>
      <c r="V39" s="614"/>
      <c r="W39" s="614"/>
      <c r="X39" s="614"/>
      <c r="Y39" s="614"/>
      <c r="Z39" s="614"/>
      <c r="AA39" s="614"/>
      <c r="AB39" s="614"/>
      <c r="AD39" s="668"/>
      <c r="AE39" s="668"/>
    </row>
    <row r="40" spans="1:31" s="586" customFormat="1" ht="12" thickTop="1">
      <c r="A40" s="57"/>
      <c r="B40" s="57"/>
      <c r="C40" s="57"/>
      <c r="D40" s="57"/>
      <c r="E40" s="57"/>
      <c r="F40" s="57"/>
      <c r="G40" s="57"/>
      <c r="H40" s="57"/>
      <c r="I40" s="57"/>
      <c r="J40" s="57"/>
      <c r="K40" s="57"/>
      <c r="L40" s="57"/>
      <c r="M40" s="57"/>
      <c r="N40" s="57"/>
      <c r="O40" s="58"/>
      <c r="P40" s="57"/>
      <c r="Q40" s="42" t="s">
        <v>168</v>
      </c>
      <c r="R40" s="57"/>
      <c r="S40" s="13"/>
      <c r="T40" s="57"/>
      <c r="AD40" s="668"/>
      <c r="AE40" s="668"/>
    </row>
    <row r="41" spans="1:31" s="586" customFormat="1" ht="12" customHeight="1" thickBot="1">
      <c r="A41" s="638">
        <v>150</v>
      </c>
      <c r="B41" s="639">
        <f ca="1">Elec_Est!B214</f>
        <v>6</v>
      </c>
      <c r="C41" s="640"/>
      <c r="D41" s="641" t="s">
        <v>307</v>
      </c>
      <c r="E41" s="642"/>
      <c r="F41" s="642"/>
      <c r="G41" s="595"/>
      <c r="H41" s="595"/>
      <c r="I41" s="643"/>
      <c r="J41" s="595"/>
      <c r="K41" s="640" t="s">
        <v>169</v>
      </c>
      <c r="L41" s="644" t="s">
        <v>169</v>
      </c>
      <c r="M41" s="644"/>
      <c r="N41" s="644"/>
      <c r="O41" s="644"/>
      <c r="P41" s="644"/>
      <c r="Q41" s="645">
        <f ca="1">B41/A41</f>
        <v>0.04</v>
      </c>
      <c r="R41" s="646">
        <f ca="1">IF($B41=0,0,IF($S$1="R",ROUND(R108/$B41,2),R108/$B41))</f>
        <v>71.41</v>
      </c>
      <c r="S41" s="647"/>
      <c r="T41" s="646">
        <f ca="1">IF($B41=0,0,IF($S$1="R",ROUND(T108/$B41,2),T108/$B41))</f>
        <v>0.57999999999999996</v>
      </c>
      <c r="AD41" s="668"/>
      <c r="AE41" s="668"/>
    </row>
    <row r="42" spans="1:31" s="586" customFormat="1" ht="13.8" thickTop="1">
      <c r="A42" s="591"/>
      <c r="B42" s="3"/>
      <c r="C42" s="3"/>
      <c r="D42" s="147" t="s">
        <v>310</v>
      </c>
      <c r="E42" s="3"/>
      <c r="F42" s="3"/>
      <c r="G42" s="3"/>
      <c r="H42" s="3"/>
      <c r="I42" s="3"/>
      <c r="J42" s="3"/>
      <c r="K42" s="3"/>
      <c r="L42" s="3"/>
      <c r="M42" s="3"/>
      <c r="N42" s="3"/>
      <c r="O42" s="148"/>
      <c r="P42" s="3"/>
      <c r="Q42" s="3"/>
      <c r="R42" s="3"/>
      <c r="S42" s="3"/>
      <c r="T42" s="3"/>
      <c r="AD42" s="668"/>
      <c r="AE42" s="668"/>
    </row>
    <row r="43" spans="1:31" s="586" customFormat="1">
      <c r="A43" s="591"/>
      <c r="B43" s="3"/>
      <c r="C43" s="3"/>
      <c r="D43" s="654" t="s">
        <v>329</v>
      </c>
      <c r="E43" s="3"/>
      <c r="F43" s="583" t="s">
        <v>328</v>
      </c>
      <c r="G43" s="3"/>
      <c r="H43" s="3"/>
      <c r="I43" s="3"/>
      <c r="J43" s="3"/>
      <c r="K43" s="3"/>
      <c r="L43" s="3"/>
      <c r="M43" s="3"/>
      <c r="N43" s="3"/>
      <c r="O43" s="148"/>
      <c r="P43" s="3"/>
      <c r="Q43" s="3"/>
      <c r="R43" s="632">
        <f>$A43*Q43</f>
        <v>0</v>
      </c>
      <c r="S43" s="3"/>
      <c r="T43" s="634">
        <f>$A43*S43*$T$1</f>
        <v>0</v>
      </c>
      <c r="W43">
        <v>2</v>
      </c>
      <c r="X43" s="627"/>
      <c r="AD43" s="573"/>
      <c r="AE43" s="573"/>
    </row>
    <row r="44" spans="1:31" s="627" customFormat="1">
      <c r="A44" s="652">
        <f ca="1">$Q$41 *(2)</f>
        <v>0.08</v>
      </c>
      <c r="B44" s="582" t="s">
        <v>271</v>
      </c>
      <c r="D44" s="627" t="s">
        <v>343</v>
      </c>
      <c r="F44" s="627" t="s">
        <v>293</v>
      </c>
      <c r="G44" s="628" t="s">
        <v>289</v>
      </c>
      <c r="H44" s="629">
        <v>501</v>
      </c>
      <c r="I44" s="627" t="s">
        <v>290</v>
      </c>
      <c r="J44" s="627" t="s">
        <v>291</v>
      </c>
      <c r="K44" s="627" t="s">
        <v>292</v>
      </c>
      <c r="O44" s="630">
        <v>1</v>
      </c>
      <c r="P44" s="631">
        <v>36175</v>
      </c>
      <c r="Q44" s="633">
        <v>15.65</v>
      </c>
      <c r="R44" s="632">
        <f ca="1">$A44*Q44</f>
        <v>1.252</v>
      </c>
      <c r="S44" s="633"/>
      <c r="T44" s="634">
        <f ca="1">$A44*S44*$T$1</f>
        <v>0</v>
      </c>
      <c r="W44" s="582">
        <v>10</v>
      </c>
      <c r="X44" s="633"/>
      <c r="AD44" s="633"/>
      <c r="AE44" s="633"/>
    </row>
    <row r="45" spans="1:31" s="586" customFormat="1" ht="11.4">
      <c r="A45" s="653">
        <f t="shared" ref="A45:A50" ca="1" si="6">$Q$41 *(10)</f>
        <v>0.4</v>
      </c>
      <c r="B45" s="582" t="s">
        <v>272</v>
      </c>
      <c r="C45" s="582"/>
      <c r="D45" s="627" t="s">
        <v>344</v>
      </c>
      <c r="E45" s="582"/>
      <c r="F45" s="627" t="s">
        <v>293</v>
      </c>
      <c r="G45" s="582"/>
      <c r="H45" s="629">
        <v>501</v>
      </c>
      <c r="I45" s="584"/>
      <c r="J45" s="582"/>
      <c r="K45" s="582"/>
      <c r="L45" s="582"/>
      <c r="M45" s="582"/>
      <c r="N45" s="582"/>
      <c r="O45" s="582"/>
      <c r="P45" s="582"/>
      <c r="Q45" s="633">
        <v>0.15</v>
      </c>
      <c r="R45" s="632">
        <f t="shared" ref="R45:R50" ca="1" si="7">$A45*Q45</f>
        <v>0.06</v>
      </c>
      <c r="S45" s="584"/>
      <c r="T45" s="634">
        <f t="shared" ref="T45:T50" ca="1" si="8">$A45*S45*$T$1</f>
        <v>0</v>
      </c>
      <c r="W45" s="582">
        <v>10</v>
      </c>
      <c r="X45" s="633"/>
      <c r="AD45" s="633"/>
      <c r="AE45" s="633"/>
    </row>
    <row r="46" spans="1:31" s="586" customFormat="1" ht="11.4">
      <c r="A46" s="653">
        <f t="shared" ca="1" si="6"/>
        <v>0.4</v>
      </c>
      <c r="B46" s="582" t="s">
        <v>272</v>
      </c>
      <c r="C46" s="582"/>
      <c r="D46" s="627" t="s">
        <v>294</v>
      </c>
      <c r="E46" s="582"/>
      <c r="F46" s="627" t="s">
        <v>293</v>
      </c>
      <c r="G46" s="582"/>
      <c r="H46" s="629">
        <v>501</v>
      </c>
      <c r="I46" s="584"/>
      <c r="J46" s="582"/>
      <c r="K46" s="582"/>
      <c r="L46" s="582"/>
      <c r="M46" s="582"/>
      <c r="N46" s="582"/>
      <c r="O46" s="582"/>
      <c r="P46" s="582"/>
      <c r="Q46" s="633">
        <v>0.31</v>
      </c>
      <c r="R46" s="632">
        <f t="shared" ca="1" si="7"/>
        <v>0.124</v>
      </c>
      <c r="S46" s="584"/>
      <c r="T46" s="634">
        <f t="shared" ca="1" si="8"/>
        <v>0</v>
      </c>
      <c r="W46" s="582">
        <v>10</v>
      </c>
      <c r="X46" s="633"/>
      <c r="AD46" s="633"/>
      <c r="AE46" s="633"/>
    </row>
    <row r="47" spans="1:31" s="586" customFormat="1" ht="11.4">
      <c r="A47" s="653">
        <f t="shared" ca="1" si="6"/>
        <v>0.4</v>
      </c>
      <c r="B47" s="582" t="s">
        <v>272</v>
      </c>
      <c r="C47" s="582"/>
      <c r="D47" s="627" t="s">
        <v>296</v>
      </c>
      <c r="E47" s="582"/>
      <c r="F47" s="627" t="s">
        <v>293</v>
      </c>
      <c r="G47" s="582"/>
      <c r="H47" s="629">
        <v>501</v>
      </c>
      <c r="I47" s="584"/>
      <c r="J47" s="582"/>
      <c r="K47" s="582"/>
      <c r="L47" s="582"/>
      <c r="M47" s="582"/>
      <c r="N47" s="582"/>
      <c r="O47" s="582"/>
      <c r="P47" s="582"/>
      <c r="Q47" s="633">
        <v>0.66</v>
      </c>
      <c r="R47" s="632">
        <f t="shared" ca="1" si="7"/>
        <v>0.26400000000000001</v>
      </c>
      <c r="S47" s="584"/>
      <c r="T47" s="634">
        <f t="shared" ca="1" si="8"/>
        <v>0</v>
      </c>
      <c r="W47" s="582">
        <v>10</v>
      </c>
      <c r="X47" s="633"/>
      <c r="AD47" s="633"/>
      <c r="AE47" s="633"/>
    </row>
    <row r="48" spans="1:31" s="586" customFormat="1" ht="11.4">
      <c r="A48" s="653">
        <f t="shared" ca="1" si="6"/>
        <v>0.4</v>
      </c>
      <c r="B48" s="582" t="s">
        <v>272</v>
      </c>
      <c r="C48" s="582"/>
      <c r="D48" s="627" t="s">
        <v>297</v>
      </c>
      <c r="E48" s="582"/>
      <c r="F48" s="627" t="s">
        <v>293</v>
      </c>
      <c r="G48" s="582"/>
      <c r="H48" s="629">
        <v>501</v>
      </c>
      <c r="I48" s="584"/>
      <c r="J48" s="582"/>
      <c r="K48" s="582"/>
      <c r="L48" s="582"/>
      <c r="M48" s="582"/>
      <c r="N48" s="582"/>
      <c r="O48" s="582"/>
      <c r="P48" s="582"/>
      <c r="Q48" s="633">
        <v>0.05</v>
      </c>
      <c r="R48" s="632">
        <f t="shared" ca="1" si="7"/>
        <v>2.0000000000000004E-2</v>
      </c>
      <c r="S48" s="584"/>
      <c r="T48" s="634">
        <f t="shared" ca="1" si="8"/>
        <v>0</v>
      </c>
      <c r="W48" s="582">
        <v>10</v>
      </c>
      <c r="X48" s="633"/>
      <c r="AD48" s="633"/>
      <c r="AE48" s="633"/>
    </row>
    <row r="49" spans="1:31" s="586" customFormat="1" ht="11.4">
      <c r="A49" s="653">
        <f t="shared" ca="1" si="6"/>
        <v>0.4</v>
      </c>
      <c r="B49" s="582" t="s">
        <v>272</v>
      </c>
      <c r="C49" s="582"/>
      <c r="D49" s="627" t="s">
        <v>325</v>
      </c>
      <c r="E49" s="582"/>
      <c r="F49" s="627" t="s">
        <v>293</v>
      </c>
      <c r="G49" s="582"/>
      <c r="H49" s="629">
        <v>501</v>
      </c>
      <c r="I49" s="584"/>
      <c r="J49" s="582"/>
      <c r="K49" s="582"/>
      <c r="L49" s="582"/>
      <c r="M49" s="582"/>
      <c r="N49" s="582"/>
      <c r="O49" s="582"/>
      <c r="P49" s="582"/>
      <c r="Q49" s="633">
        <v>0.05</v>
      </c>
      <c r="R49" s="632">
        <f t="shared" ca="1" si="7"/>
        <v>2.0000000000000004E-2</v>
      </c>
      <c r="S49" s="584"/>
      <c r="T49" s="634">
        <f t="shared" ca="1" si="8"/>
        <v>0</v>
      </c>
      <c r="W49" s="582">
        <v>10</v>
      </c>
      <c r="X49" s="633"/>
      <c r="AD49" s="633"/>
      <c r="AE49" s="633"/>
    </row>
    <row r="50" spans="1:31" s="586" customFormat="1" ht="11.4">
      <c r="A50" s="653">
        <f t="shared" ca="1" si="6"/>
        <v>0.4</v>
      </c>
      <c r="B50" s="582" t="s">
        <v>272</v>
      </c>
      <c r="C50" s="582"/>
      <c r="D50" s="627" t="s">
        <v>298</v>
      </c>
      <c r="E50" s="582"/>
      <c r="F50" s="627"/>
      <c r="G50" s="582"/>
      <c r="H50" s="629">
        <v>501</v>
      </c>
      <c r="I50" s="584"/>
      <c r="J50" s="582"/>
      <c r="K50" s="582"/>
      <c r="L50" s="582"/>
      <c r="M50" s="582"/>
      <c r="N50" s="582"/>
      <c r="O50" s="582"/>
      <c r="P50" s="582"/>
      <c r="Q50" s="633">
        <v>0.01</v>
      </c>
      <c r="R50" s="632">
        <f t="shared" ca="1" si="7"/>
        <v>4.0000000000000001E-3</v>
      </c>
      <c r="S50" s="584"/>
      <c r="T50" s="634">
        <f t="shared" ca="1" si="8"/>
        <v>0</v>
      </c>
      <c r="W50" s="591"/>
      <c r="X50" s="633"/>
      <c r="AD50" s="633"/>
      <c r="AE50" s="633"/>
    </row>
    <row r="51" spans="1:31" s="586" customFormat="1">
      <c r="A51" s="591"/>
      <c r="B51" s="3"/>
      <c r="C51" s="3"/>
      <c r="D51" s="654" t="s">
        <v>330</v>
      </c>
      <c r="E51" s="3"/>
      <c r="F51" s="583" t="s">
        <v>324</v>
      </c>
      <c r="G51" s="3"/>
      <c r="H51" s="3"/>
      <c r="I51" s="3"/>
      <c r="J51" s="3"/>
      <c r="K51" s="3"/>
      <c r="L51" s="3"/>
      <c r="M51" s="3"/>
      <c r="N51" s="3"/>
      <c r="O51" s="148"/>
      <c r="P51" s="3"/>
      <c r="Q51" s="3"/>
      <c r="R51" s="632">
        <f>$A51*Q51</f>
        <v>0</v>
      </c>
      <c r="S51" s="3"/>
      <c r="T51" s="634">
        <f>$A51*S51*$T$1</f>
        <v>0</v>
      </c>
      <c r="W51">
        <v>7.5</v>
      </c>
      <c r="X51" s="627"/>
      <c r="AD51" s="573"/>
      <c r="AE51" s="573"/>
    </row>
    <row r="52" spans="1:31" s="627" customFormat="1">
      <c r="A52" s="652">
        <f ca="1">$Q$41 *(7.5)</f>
        <v>0.3</v>
      </c>
      <c r="B52" s="582" t="s">
        <v>271</v>
      </c>
      <c r="D52" s="627" t="s">
        <v>343</v>
      </c>
      <c r="F52" s="627" t="s">
        <v>293</v>
      </c>
      <c r="G52" s="628" t="s">
        <v>289</v>
      </c>
      <c r="H52" s="629">
        <v>501</v>
      </c>
      <c r="I52" s="627" t="s">
        <v>290</v>
      </c>
      <c r="J52" s="627" t="s">
        <v>291</v>
      </c>
      <c r="K52" s="627" t="s">
        <v>292</v>
      </c>
      <c r="O52" s="630">
        <v>1</v>
      </c>
      <c r="P52" s="631">
        <v>36175</v>
      </c>
      <c r="Q52" s="633">
        <v>15.65</v>
      </c>
      <c r="R52" s="632">
        <f ca="1">$A52*Q52</f>
        <v>4.6950000000000003</v>
      </c>
      <c r="S52" s="633"/>
      <c r="T52" s="634">
        <f ca="1">$A52*S52*$T$1</f>
        <v>0</v>
      </c>
      <c r="W52" s="582">
        <v>15</v>
      </c>
      <c r="X52" s="633"/>
      <c r="AD52" s="633"/>
      <c r="AE52" s="633"/>
    </row>
    <row r="53" spans="1:31" s="586" customFormat="1" ht="11.4">
      <c r="A53" s="653">
        <f ca="1">$Q$41 *(15)</f>
        <v>0.6</v>
      </c>
      <c r="B53" s="582" t="s">
        <v>272</v>
      </c>
      <c r="C53" s="582"/>
      <c r="D53" s="627" t="s">
        <v>344</v>
      </c>
      <c r="E53" s="582"/>
      <c r="F53" s="627" t="s">
        <v>293</v>
      </c>
      <c r="G53" s="582"/>
      <c r="H53" s="629">
        <v>501</v>
      </c>
      <c r="I53" s="584"/>
      <c r="J53" s="582"/>
      <c r="K53" s="582"/>
      <c r="L53" s="582"/>
      <c r="M53" s="582"/>
      <c r="N53" s="582"/>
      <c r="O53" s="582"/>
      <c r="P53" s="582"/>
      <c r="Q53" s="633">
        <v>0.15</v>
      </c>
      <c r="R53" s="632">
        <f t="shared" ref="R53:R60" ca="1" si="9">$A53*Q53</f>
        <v>0.09</v>
      </c>
      <c r="S53" s="584"/>
      <c r="T53" s="634">
        <f t="shared" ref="T53:T60" ca="1" si="10">$A53*S53*$T$1</f>
        <v>0</v>
      </c>
      <c r="W53" s="582">
        <v>15</v>
      </c>
      <c r="X53" s="633"/>
      <c r="AC53" s="619"/>
      <c r="AD53" s="633"/>
      <c r="AE53" s="633"/>
    </row>
    <row r="54" spans="1:31" s="586" customFormat="1" ht="11.4">
      <c r="A54" s="653">
        <f ca="1">$Q$41 *(15)</f>
        <v>0.6</v>
      </c>
      <c r="B54" s="582" t="s">
        <v>272</v>
      </c>
      <c r="C54" s="582"/>
      <c r="D54" s="627" t="s">
        <v>345</v>
      </c>
      <c r="E54" s="582"/>
      <c r="F54" s="627" t="s">
        <v>293</v>
      </c>
      <c r="G54" s="582"/>
      <c r="H54" s="629">
        <v>501</v>
      </c>
      <c r="I54" s="584"/>
      <c r="J54" s="582"/>
      <c r="K54" s="582"/>
      <c r="L54" s="582"/>
      <c r="M54" s="582"/>
      <c r="N54" s="582"/>
      <c r="O54" s="582"/>
      <c r="P54" s="582"/>
      <c r="Q54" s="633">
        <v>14.47</v>
      </c>
      <c r="R54" s="632">
        <f t="shared" ca="1" si="9"/>
        <v>8.6820000000000004</v>
      </c>
      <c r="S54" s="584"/>
      <c r="T54" s="634">
        <f t="shared" ca="1" si="10"/>
        <v>0</v>
      </c>
      <c r="W54" s="582">
        <v>60</v>
      </c>
      <c r="X54" s="633"/>
      <c r="AD54" s="633"/>
      <c r="AE54" s="633"/>
    </row>
    <row r="55" spans="1:31" s="586" customFormat="1" ht="11.4">
      <c r="A55" s="653">
        <f ca="1">$Q$41 *(60)</f>
        <v>2.4</v>
      </c>
      <c r="B55" s="582" t="s">
        <v>272</v>
      </c>
      <c r="C55" s="582"/>
      <c r="D55" s="627" t="s">
        <v>294</v>
      </c>
      <c r="E55" s="582"/>
      <c r="F55" s="627" t="s">
        <v>293</v>
      </c>
      <c r="G55" s="582"/>
      <c r="H55" s="629">
        <v>501</v>
      </c>
      <c r="I55" s="584"/>
      <c r="J55" s="582"/>
      <c r="K55" s="582"/>
      <c r="L55" s="582"/>
      <c r="M55" s="582"/>
      <c r="N55" s="582"/>
      <c r="O55" s="582"/>
      <c r="P55" s="582"/>
      <c r="Q55" s="633">
        <v>0.31</v>
      </c>
      <c r="R55" s="632">
        <f t="shared" ca="1" si="9"/>
        <v>0.74399999999999999</v>
      </c>
      <c r="S55" s="584"/>
      <c r="T55" s="634">
        <f t="shared" ca="1" si="10"/>
        <v>0</v>
      </c>
      <c r="W55" s="582">
        <v>60</v>
      </c>
      <c r="X55" s="633"/>
      <c r="AD55" s="633"/>
      <c r="AE55" s="633"/>
    </row>
    <row r="56" spans="1:31" s="586" customFormat="1" ht="11.4">
      <c r="A56" s="653">
        <f ca="1">$Q$41 *(60)</f>
        <v>2.4</v>
      </c>
      <c r="B56" s="582" t="s">
        <v>272</v>
      </c>
      <c r="C56" s="582"/>
      <c r="D56" s="627" t="s">
        <v>295</v>
      </c>
      <c r="E56" s="582"/>
      <c r="F56" s="627" t="s">
        <v>293</v>
      </c>
      <c r="G56" s="582"/>
      <c r="H56" s="629">
        <v>501</v>
      </c>
      <c r="I56" s="584"/>
      <c r="J56" s="582"/>
      <c r="K56" s="582"/>
      <c r="L56" s="582"/>
      <c r="M56" s="582"/>
      <c r="N56" s="582"/>
      <c r="O56" s="582"/>
      <c r="P56" s="582"/>
      <c r="Q56" s="633">
        <v>2.52</v>
      </c>
      <c r="R56" s="632">
        <f t="shared" ca="1" si="9"/>
        <v>6.048</v>
      </c>
      <c r="S56" s="584"/>
      <c r="T56" s="634">
        <f t="shared" ca="1" si="10"/>
        <v>0</v>
      </c>
      <c r="W56" s="582">
        <v>30</v>
      </c>
      <c r="X56" s="633"/>
      <c r="AD56" s="633"/>
      <c r="AE56" s="633"/>
    </row>
    <row r="57" spans="1:31" s="586" customFormat="1" ht="11.4">
      <c r="A57" s="653">
        <f ca="1">$Q$41 *(30)</f>
        <v>1.2</v>
      </c>
      <c r="B57" s="582" t="s">
        <v>272</v>
      </c>
      <c r="C57" s="582"/>
      <c r="D57" s="627" t="s">
        <v>296</v>
      </c>
      <c r="E57" s="582"/>
      <c r="F57" s="627" t="s">
        <v>293</v>
      </c>
      <c r="G57" s="582"/>
      <c r="H57" s="629">
        <v>501</v>
      </c>
      <c r="I57" s="584"/>
      <c r="J57" s="582"/>
      <c r="K57" s="582"/>
      <c r="L57" s="582"/>
      <c r="M57" s="582"/>
      <c r="N57" s="582"/>
      <c r="O57" s="582"/>
      <c r="P57" s="582"/>
      <c r="Q57" s="633">
        <v>0.66</v>
      </c>
      <c r="R57" s="632">
        <f t="shared" ca="1" si="9"/>
        <v>0.79200000000000004</v>
      </c>
      <c r="S57" s="584"/>
      <c r="T57" s="634">
        <f t="shared" ca="1" si="10"/>
        <v>0</v>
      </c>
      <c r="W57" s="582">
        <v>30</v>
      </c>
      <c r="X57" s="633"/>
      <c r="AD57" s="633"/>
      <c r="AE57" s="633"/>
    </row>
    <row r="58" spans="1:31" s="586" customFormat="1" ht="11.4">
      <c r="A58" s="653">
        <f ca="1">$Q$41 *(30)</f>
        <v>1.2</v>
      </c>
      <c r="B58" s="582" t="s">
        <v>272</v>
      </c>
      <c r="C58" s="582"/>
      <c r="D58" s="627" t="s">
        <v>297</v>
      </c>
      <c r="E58" s="582"/>
      <c r="F58" s="627" t="s">
        <v>293</v>
      </c>
      <c r="G58" s="582"/>
      <c r="H58" s="629">
        <v>501</v>
      </c>
      <c r="I58" s="584"/>
      <c r="J58" s="582"/>
      <c r="K58" s="582"/>
      <c r="L58" s="582"/>
      <c r="M58" s="582"/>
      <c r="N58" s="582"/>
      <c r="O58" s="582"/>
      <c r="P58" s="582"/>
      <c r="Q58" s="633">
        <v>0.05</v>
      </c>
      <c r="R58" s="632">
        <f t="shared" ca="1" si="9"/>
        <v>0.06</v>
      </c>
      <c r="S58" s="584"/>
      <c r="T58" s="634">
        <f t="shared" ca="1" si="10"/>
        <v>0</v>
      </c>
      <c r="W58" s="582">
        <v>30</v>
      </c>
      <c r="X58" s="633"/>
      <c r="AD58" s="633"/>
      <c r="AE58" s="633"/>
    </row>
    <row r="59" spans="1:31" s="586" customFormat="1" ht="11.4">
      <c r="A59" s="653">
        <f ca="1">$Q$41 *(30)</f>
        <v>1.2</v>
      </c>
      <c r="B59" s="582" t="s">
        <v>272</v>
      </c>
      <c r="C59" s="582"/>
      <c r="D59" s="627" t="s">
        <v>325</v>
      </c>
      <c r="E59" s="582"/>
      <c r="F59" s="627" t="s">
        <v>293</v>
      </c>
      <c r="G59" s="582"/>
      <c r="H59" s="629">
        <v>501</v>
      </c>
      <c r="I59" s="584"/>
      <c r="J59" s="582"/>
      <c r="K59" s="582"/>
      <c r="L59" s="582"/>
      <c r="M59" s="582"/>
      <c r="N59" s="582"/>
      <c r="O59" s="582"/>
      <c r="P59" s="582"/>
      <c r="Q59" s="633">
        <v>0.05</v>
      </c>
      <c r="R59" s="632">
        <f t="shared" ref="R59" ca="1" si="11">$A59*Q59</f>
        <v>0.06</v>
      </c>
      <c r="S59" s="584"/>
      <c r="T59" s="634">
        <f t="shared" ref="T59" ca="1" si="12">$A59*S59*$T$1</f>
        <v>0</v>
      </c>
      <c r="W59" s="582">
        <v>30</v>
      </c>
      <c r="X59" s="633"/>
      <c r="AD59" s="633"/>
      <c r="AE59" s="633"/>
    </row>
    <row r="60" spans="1:31" s="586" customFormat="1" ht="11.4">
      <c r="A60" s="653">
        <f ca="1">$Q$41 *(30)</f>
        <v>1.2</v>
      </c>
      <c r="B60" s="582" t="s">
        <v>272</v>
      </c>
      <c r="C60" s="582"/>
      <c r="D60" s="627" t="s">
        <v>298</v>
      </c>
      <c r="E60" s="582"/>
      <c r="F60" s="627"/>
      <c r="G60" s="582"/>
      <c r="H60" s="629">
        <v>501</v>
      </c>
      <c r="I60" s="584"/>
      <c r="J60" s="582"/>
      <c r="K60" s="582"/>
      <c r="L60" s="582"/>
      <c r="M60" s="582"/>
      <c r="N60" s="582"/>
      <c r="O60" s="582"/>
      <c r="P60" s="582"/>
      <c r="Q60" s="633">
        <v>0.01</v>
      </c>
      <c r="R60" s="632">
        <f t="shared" ca="1" si="9"/>
        <v>1.2E-2</v>
      </c>
      <c r="S60" s="584"/>
      <c r="T60" s="634">
        <f t="shared" ca="1" si="10"/>
        <v>0</v>
      </c>
      <c r="W60" s="591"/>
      <c r="X60" s="633"/>
      <c r="AD60" s="633"/>
      <c r="AE60" s="633"/>
    </row>
    <row r="61" spans="1:31" s="586" customFormat="1">
      <c r="A61" s="591"/>
      <c r="B61" s="3"/>
      <c r="C61" s="3"/>
      <c r="D61" s="654" t="s">
        <v>330</v>
      </c>
      <c r="E61" s="3"/>
      <c r="F61" s="583" t="s">
        <v>326</v>
      </c>
      <c r="G61" s="3"/>
      <c r="H61" s="3"/>
      <c r="I61" s="3"/>
      <c r="J61" s="3"/>
      <c r="K61" s="3"/>
      <c r="L61" s="3"/>
      <c r="M61" s="3"/>
      <c r="N61" s="3"/>
      <c r="O61" s="148"/>
      <c r="P61" s="3"/>
      <c r="Q61" s="3"/>
      <c r="R61" s="632">
        <f>$A61*Q61</f>
        <v>0</v>
      </c>
      <c r="S61" s="3"/>
      <c r="T61" s="634">
        <f>$A61*S61*$T$1</f>
        <v>0</v>
      </c>
      <c r="W61">
        <v>112</v>
      </c>
      <c r="X61" s="627"/>
      <c r="AD61" s="573"/>
      <c r="AE61" s="573"/>
    </row>
    <row r="62" spans="1:31" s="627" customFormat="1">
      <c r="A62" s="652">
        <f ca="1">$Q$41 *(112)</f>
        <v>4.4800000000000004</v>
      </c>
      <c r="B62" s="582" t="s">
        <v>271</v>
      </c>
      <c r="D62" s="627" t="s">
        <v>343</v>
      </c>
      <c r="F62" s="627" t="s">
        <v>293</v>
      </c>
      <c r="G62" s="628" t="s">
        <v>289</v>
      </c>
      <c r="H62" s="629">
        <v>501</v>
      </c>
      <c r="I62" s="627" t="s">
        <v>290</v>
      </c>
      <c r="J62" s="627" t="s">
        <v>291</v>
      </c>
      <c r="K62" s="627" t="s">
        <v>292</v>
      </c>
      <c r="O62" s="630">
        <v>1</v>
      </c>
      <c r="P62" s="631">
        <v>36175</v>
      </c>
      <c r="Q62" s="633">
        <v>15.65</v>
      </c>
      <c r="R62" s="632">
        <f ca="1">$A62*Q62</f>
        <v>70.112000000000009</v>
      </c>
      <c r="S62" s="633"/>
      <c r="T62" s="634">
        <f ca="1">$A62*S62*$T$1</f>
        <v>0</v>
      </c>
      <c r="W62" s="582">
        <v>140</v>
      </c>
      <c r="X62" s="633"/>
      <c r="AD62" s="633"/>
      <c r="AE62" s="633"/>
    </row>
    <row r="63" spans="1:31" s="586" customFormat="1" ht="11.4">
      <c r="A63" s="653">
        <f ca="1">$Q$41 *(140)</f>
        <v>5.6000000000000005</v>
      </c>
      <c r="B63" s="582" t="s">
        <v>272</v>
      </c>
      <c r="C63" s="582"/>
      <c r="D63" s="627" t="s">
        <v>344</v>
      </c>
      <c r="E63" s="582"/>
      <c r="F63" s="627" t="s">
        <v>293</v>
      </c>
      <c r="G63" s="582"/>
      <c r="H63" s="629">
        <v>501</v>
      </c>
      <c r="I63" s="584"/>
      <c r="J63" s="582"/>
      <c r="K63" s="582"/>
      <c r="L63" s="582"/>
      <c r="M63" s="582"/>
      <c r="N63" s="582"/>
      <c r="O63" s="582"/>
      <c r="P63" s="582"/>
      <c r="Q63" s="633">
        <v>0.15</v>
      </c>
      <c r="R63" s="632">
        <f t="shared" ref="R63:R71" ca="1" si="13">$A63*Q63</f>
        <v>0.84000000000000008</v>
      </c>
      <c r="S63" s="584"/>
      <c r="T63" s="634">
        <f t="shared" ref="T63:T71" ca="1" si="14">$A63*S63*$T$1</f>
        <v>0</v>
      </c>
      <c r="W63" s="582">
        <v>140</v>
      </c>
      <c r="X63" s="633"/>
      <c r="AD63" s="633"/>
      <c r="AE63" s="633"/>
    </row>
    <row r="64" spans="1:31" s="586" customFormat="1" ht="11.4">
      <c r="A64" s="653">
        <f ca="1">$Q$41 *(140)</f>
        <v>5.6000000000000005</v>
      </c>
      <c r="B64" s="582" t="s">
        <v>272</v>
      </c>
      <c r="C64" s="582"/>
      <c r="D64" s="627" t="s">
        <v>346</v>
      </c>
      <c r="E64" s="582"/>
      <c r="F64" s="627" t="s">
        <v>293</v>
      </c>
      <c r="G64" s="582"/>
      <c r="H64" s="629">
        <v>501</v>
      </c>
      <c r="I64" s="584"/>
      <c r="J64" s="582"/>
      <c r="K64" s="582"/>
      <c r="L64" s="582"/>
      <c r="M64" s="582"/>
      <c r="N64" s="582"/>
      <c r="O64" s="582"/>
      <c r="P64" s="582"/>
      <c r="Q64" s="633">
        <v>5.39</v>
      </c>
      <c r="R64" s="632">
        <f t="shared" ca="1" si="13"/>
        <v>30.184000000000001</v>
      </c>
      <c r="S64" s="584"/>
      <c r="T64" s="634">
        <f t="shared" ca="1" si="14"/>
        <v>0</v>
      </c>
      <c r="W64" s="582">
        <v>140</v>
      </c>
      <c r="X64" s="633"/>
      <c r="AD64" s="633"/>
      <c r="AE64" s="633"/>
    </row>
    <row r="65" spans="1:31" s="586" customFormat="1" ht="11.4">
      <c r="A65" s="653">
        <f ca="1">$Q$41 *(140)</f>
        <v>5.6000000000000005</v>
      </c>
      <c r="B65" s="582" t="s">
        <v>272</v>
      </c>
      <c r="C65" s="582"/>
      <c r="D65" s="627" t="s">
        <v>345</v>
      </c>
      <c r="E65" s="582"/>
      <c r="F65" s="627" t="s">
        <v>293</v>
      </c>
      <c r="G65" s="582"/>
      <c r="H65" s="629">
        <v>501</v>
      </c>
      <c r="I65" s="584"/>
      <c r="J65" s="582"/>
      <c r="K65" s="582"/>
      <c r="L65" s="582"/>
      <c r="M65" s="582"/>
      <c r="N65" s="582"/>
      <c r="O65" s="582"/>
      <c r="P65" s="582"/>
      <c r="Q65" s="633">
        <v>14.47</v>
      </c>
      <c r="R65" s="632">
        <f t="shared" ca="1" si="13"/>
        <v>81.032000000000011</v>
      </c>
      <c r="S65" s="584"/>
      <c r="T65" s="634">
        <f t="shared" ca="1" si="14"/>
        <v>0</v>
      </c>
      <c r="W65" s="582">
        <v>280</v>
      </c>
      <c r="X65" s="633"/>
      <c r="AD65" s="633"/>
      <c r="AE65" s="633"/>
    </row>
    <row r="66" spans="1:31" s="586" customFormat="1" ht="11.4">
      <c r="A66" s="653">
        <f ca="1">$Q$41 *(280)</f>
        <v>11.200000000000001</v>
      </c>
      <c r="B66" s="582" t="s">
        <v>272</v>
      </c>
      <c r="C66" s="582"/>
      <c r="D66" s="627" t="s">
        <v>294</v>
      </c>
      <c r="E66" s="582"/>
      <c r="F66" s="627" t="s">
        <v>293</v>
      </c>
      <c r="G66" s="582"/>
      <c r="H66" s="629">
        <v>501</v>
      </c>
      <c r="I66" s="584"/>
      <c r="J66" s="582"/>
      <c r="K66" s="582"/>
      <c r="L66" s="582"/>
      <c r="M66" s="582"/>
      <c r="N66" s="582"/>
      <c r="O66" s="582"/>
      <c r="P66" s="582"/>
      <c r="Q66" s="633">
        <v>0.31</v>
      </c>
      <c r="R66" s="632">
        <f t="shared" ca="1" si="13"/>
        <v>3.4720000000000004</v>
      </c>
      <c r="S66" s="584"/>
      <c r="T66" s="634">
        <f t="shared" ca="1" si="14"/>
        <v>0</v>
      </c>
      <c r="W66" s="582">
        <v>140</v>
      </c>
      <c r="X66" s="633"/>
      <c r="AD66" s="633"/>
      <c r="AE66" s="633"/>
    </row>
    <row r="67" spans="1:31" s="586" customFormat="1" ht="11.4">
      <c r="A67" s="653">
        <f ca="1">$Q$41 *(8*70)</f>
        <v>22.400000000000002</v>
      </c>
      <c r="B67" s="582" t="s">
        <v>272</v>
      </c>
      <c r="C67" s="582"/>
      <c r="D67" s="627" t="s">
        <v>295</v>
      </c>
      <c r="E67" s="582"/>
      <c r="F67" s="627" t="s">
        <v>293</v>
      </c>
      <c r="G67" s="582"/>
      <c r="H67" s="629">
        <v>501</v>
      </c>
      <c r="I67" s="584"/>
      <c r="J67" s="582"/>
      <c r="K67" s="582"/>
      <c r="L67" s="582"/>
      <c r="M67" s="582"/>
      <c r="N67" s="582"/>
      <c r="O67" s="582"/>
      <c r="P67" s="582"/>
      <c r="Q67" s="633">
        <v>2.52</v>
      </c>
      <c r="R67" s="632">
        <f t="shared" ca="1" si="13"/>
        <v>56.448000000000008</v>
      </c>
      <c r="S67" s="584"/>
      <c r="T67" s="634">
        <f t="shared" ca="1" si="14"/>
        <v>0</v>
      </c>
      <c r="W67" s="582">
        <v>30</v>
      </c>
      <c r="X67" s="633"/>
      <c r="AD67" s="633"/>
      <c r="AE67" s="633"/>
    </row>
    <row r="68" spans="1:31" s="586" customFormat="1" ht="11.4">
      <c r="A68" s="653">
        <f ca="1">$Q$41 *(140)</f>
        <v>5.6000000000000005</v>
      </c>
      <c r="B68" s="582" t="s">
        <v>272</v>
      </c>
      <c r="C68" s="582"/>
      <c r="D68" s="627" t="s">
        <v>296</v>
      </c>
      <c r="E68" s="582"/>
      <c r="F68" s="627" t="s">
        <v>293</v>
      </c>
      <c r="G68" s="582"/>
      <c r="H68" s="629">
        <v>501</v>
      </c>
      <c r="I68" s="584"/>
      <c r="J68" s="582"/>
      <c r="K68" s="582"/>
      <c r="L68" s="582"/>
      <c r="M68" s="582"/>
      <c r="N68" s="582"/>
      <c r="O68" s="582"/>
      <c r="P68" s="582"/>
      <c r="Q68" s="633">
        <v>0.66</v>
      </c>
      <c r="R68" s="632">
        <f t="shared" ca="1" si="13"/>
        <v>3.6960000000000006</v>
      </c>
      <c r="S68" s="584"/>
      <c r="T68" s="634">
        <f t="shared" ca="1" si="14"/>
        <v>0</v>
      </c>
      <c r="W68" s="582">
        <v>140</v>
      </c>
      <c r="X68" s="633"/>
      <c r="AD68" s="633"/>
      <c r="AE68" s="633"/>
    </row>
    <row r="69" spans="1:31" s="586" customFormat="1" ht="11.4">
      <c r="A69" s="653">
        <f ca="1">$Q$41 *(140)</f>
        <v>5.6000000000000005</v>
      </c>
      <c r="B69" s="582" t="s">
        <v>272</v>
      </c>
      <c r="C69" s="582"/>
      <c r="D69" s="627" t="s">
        <v>297</v>
      </c>
      <c r="E69" s="582"/>
      <c r="F69" s="627" t="s">
        <v>293</v>
      </c>
      <c r="G69" s="582"/>
      <c r="H69" s="629">
        <v>501</v>
      </c>
      <c r="I69" s="584"/>
      <c r="J69" s="582"/>
      <c r="K69" s="582"/>
      <c r="L69" s="582"/>
      <c r="M69" s="582"/>
      <c r="N69" s="582"/>
      <c r="O69" s="582"/>
      <c r="P69" s="582"/>
      <c r="Q69" s="633">
        <v>0.05</v>
      </c>
      <c r="R69" s="632">
        <f t="shared" ca="1" si="13"/>
        <v>0.28000000000000003</v>
      </c>
      <c r="S69" s="584"/>
      <c r="T69" s="634">
        <f t="shared" ca="1" si="14"/>
        <v>0</v>
      </c>
      <c r="W69" s="582">
        <v>140</v>
      </c>
      <c r="X69" s="633"/>
      <c r="AD69" s="633"/>
      <c r="AE69" s="633"/>
    </row>
    <row r="70" spans="1:31" s="586" customFormat="1" ht="11.4">
      <c r="A70" s="653">
        <f ca="1">$Q$41 *(140)</f>
        <v>5.6000000000000005</v>
      </c>
      <c r="B70" s="582" t="s">
        <v>272</v>
      </c>
      <c r="C70" s="582"/>
      <c r="D70" s="627" t="s">
        <v>325</v>
      </c>
      <c r="E70" s="582"/>
      <c r="F70" s="627" t="s">
        <v>293</v>
      </c>
      <c r="G70" s="582"/>
      <c r="H70" s="629">
        <v>501</v>
      </c>
      <c r="I70" s="584"/>
      <c r="J70" s="582"/>
      <c r="K70" s="582"/>
      <c r="L70" s="582"/>
      <c r="M70" s="582"/>
      <c r="N70" s="582"/>
      <c r="O70" s="582"/>
      <c r="P70" s="582"/>
      <c r="Q70" s="633">
        <v>0.05</v>
      </c>
      <c r="R70" s="632">
        <f t="shared" ca="1" si="13"/>
        <v>0.28000000000000003</v>
      </c>
      <c r="S70" s="584"/>
      <c r="T70" s="634">
        <f t="shared" ca="1" si="14"/>
        <v>0</v>
      </c>
      <c r="W70" s="582">
        <v>140</v>
      </c>
      <c r="X70" s="633"/>
      <c r="AD70" s="633"/>
      <c r="AE70" s="633"/>
    </row>
    <row r="71" spans="1:31" s="586" customFormat="1" ht="11.4">
      <c r="A71" s="653">
        <f ca="1">$Q$41 *(140)</f>
        <v>5.6000000000000005</v>
      </c>
      <c r="B71" s="582" t="s">
        <v>272</v>
      </c>
      <c r="C71" s="582"/>
      <c r="D71" s="627" t="s">
        <v>298</v>
      </c>
      <c r="E71" s="582"/>
      <c r="F71" s="627"/>
      <c r="G71" s="582"/>
      <c r="H71" s="629">
        <v>501</v>
      </c>
      <c r="I71" s="584"/>
      <c r="J71" s="582"/>
      <c r="K71" s="582"/>
      <c r="L71" s="582"/>
      <c r="M71" s="582"/>
      <c r="N71" s="582"/>
      <c r="O71" s="582"/>
      <c r="P71" s="582"/>
      <c r="Q71" s="633">
        <v>0.01</v>
      </c>
      <c r="R71" s="632">
        <f t="shared" ca="1" si="13"/>
        <v>5.6000000000000008E-2</v>
      </c>
      <c r="S71" s="584"/>
      <c r="T71" s="634">
        <f t="shared" ca="1" si="14"/>
        <v>0</v>
      </c>
      <c r="W71" s="591"/>
      <c r="X71" s="633"/>
      <c r="AD71" s="633"/>
      <c r="AE71" s="633"/>
    </row>
    <row r="72" spans="1:31" s="586" customFormat="1">
      <c r="A72" s="591"/>
      <c r="B72" s="3"/>
      <c r="C72" s="3"/>
      <c r="D72" s="654" t="s">
        <v>331</v>
      </c>
      <c r="E72" s="3"/>
      <c r="F72" s="583" t="s">
        <v>334</v>
      </c>
      <c r="G72" s="3"/>
      <c r="H72" s="3"/>
      <c r="I72" s="3"/>
      <c r="J72" s="3"/>
      <c r="K72" s="3"/>
      <c r="L72" s="3"/>
      <c r="M72" s="3"/>
      <c r="N72" s="3"/>
      <c r="O72" s="148"/>
      <c r="P72" s="3"/>
      <c r="Q72" s="3"/>
      <c r="R72" s="632">
        <f>$A72*Q72</f>
        <v>0</v>
      </c>
      <c r="S72" s="3"/>
      <c r="T72" s="634">
        <f>$A72*S72*$T$1</f>
        <v>0</v>
      </c>
      <c r="W72" s="582">
        <v>48</v>
      </c>
      <c r="X72" s="627"/>
      <c r="AD72" s="573"/>
      <c r="AE72" s="573"/>
    </row>
    <row r="73" spans="1:31" s="627" customFormat="1" ht="11.4">
      <c r="A73" s="653">
        <f ca="1">$Q$41 *(48)</f>
        <v>1.92</v>
      </c>
      <c r="B73" s="582" t="s">
        <v>271</v>
      </c>
      <c r="D73" s="627" t="s">
        <v>343</v>
      </c>
      <c r="F73" s="627" t="s">
        <v>293</v>
      </c>
      <c r="G73" s="628" t="s">
        <v>289</v>
      </c>
      <c r="H73" s="629">
        <v>501</v>
      </c>
      <c r="I73" s="627" t="s">
        <v>290</v>
      </c>
      <c r="J73" s="627" t="s">
        <v>291</v>
      </c>
      <c r="K73" s="627" t="s">
        <v>292</v>
      </c>
      <c r="O73" s="630">
        <v>1</v>
      </c>
      <c r="P73" s="631">
        <v>36175</v>
      </c>
      <c r="Q73" s="633">
        <v>15.65</v>
      </c>
      <c r="R73" s="632">
        <f ca="1">$A73*Q73</f>
        <v>30.047999999999998</v>
      </c>
      <c r="S73" s="633"/>
      <c r="T73" s="634">
        <f ca="1">$A73*S73*$T$1</f>
        <v>0</v>
      </c>
      <c r="W73" s="582">
        <v>30</v>
      </c>
      <c r="X73" s="633"/>
      <c r="AD73" s="633"/>
      <c r="AE73" s="633"/>
    </row>
    <row r="74" spans="1:31" s="586" customFormat="1" ht="11.4">
      <c r="A74" s="653">
        <f ca="1">$Q$41 *(30)</f>
        <v>1.2</v>
      </c>
      <c r="B74" s="582" t="s">
        <v>272</v>
      </c>
      <c r="C74" s="582"/>
      <c r="D74" s="627" t="s">
        <v>344</v>
      </c>
      <c r="E74" s="582"/>
      <c r="F74" s="627" t="s">
        <v>293</v>
      </c>
      <c r="G74" s="582"/>
      <c r="H74" s="629">
        <v>501</v>
      </c>
      <c r="I74" s="584"/>
      <c r="J74" s="582"/>
      <c r="K74" s="582"/>
      <c r="L74" s="582"/>
      <c r="M74" s="582"/>
      <c r="N74" s="582"/>
      <c r="O74" s="582"/>
      <c r="P74" s="582"/>
      <c r="Q74" s="633">
        <v>0.15</v>
      </c>
      <c r="R74" s="632">
        <f t="shared" ref="R74:R82" ca="1" si="15">$A74*Q74</f>
        <v>0.18</v>
      </c>
      <c r="S74" s="584"/>
      <c r="T74" s="634">
        <f t="shared" ref="T74:T82" ca="1" si="16">$A74*S74*$T$1</f>
        <v>0</v>
      </c>
      <c r="W74" s="582">
        <v>30</v>
      </c>
      <c r="X74" s="633"/>
      <c r="AD74" s="633"/>
      <c r="AE74" s="633"/>
    </row>
    <row r="75" spans="1:31" s="586" customFormat="1" ht="11.4">
      <c r="A75" s="653">
        <f ca="1">$Q$41 *(30)</f>
        <v>1.2</v>
      </c>
      <c r="B75" s="582" t="s">
        <v>272</v>
      </c>
      <c r="C75" s="582"/>
      <c r="D75" s="627" t="s">
        <v>346</v>
      </c>
      <c r="E75" s="582"/>
      <c r="F75" s="627" t="s">
        <v>293</v>
      </c>
      <c r="G75" s="582"/>
      <c r="H75" s="629">
        <v>501</v>
      </c>
      <c r="I75" s="584"/>
      <c r="J75" s="582"/>
      <c r="K75" s="582"/>
      <c r="L75" s="582"/>
      <c r="M75" s="582"/>
      <c r="N75" s="582"/>
      <c r="O75" s="582"/>
      <c r="P75" s="582"/>
      <c r="Q75" s="633">
        <v>5.39</v>
      </c>
      <c r="R75" s="632">
        <f t="shared" ca="1" si="15"/>
        <v>6.4679999999999991</v>
      </c>
      <c r="S75" s="584"/>
      <c r="T75" s="634">
        <f t="shared" ca="1" si="16"/>
        <v>0</v>
      </c>
      <c r="W75" s="582">
        <v>30</v>
      </c>
      <c r="X75" s="633"/>
      <c r="AD75" s="633"/>
      <c r="AE75" s="633"/>
    </row>
    <row r="76" spans="1:31" s="586" customFormat="1" ht="11.4">
      <c r="A76" s="653">
        <f ca="1">$Q$41 *(30)</f>
        <v>1.2</v>
      </c>
      <c r="B76" s="582" t="s">
        <v>272</v>
      </c>
      <c r="C76" s="582"/>
      <c r="D76" s="627" t="s">
        <v>345</v>
      </c>
      <c r="E76" s="582"/>
      <c r="F76" s="627" t="s">
        <v>293</v>
      </c>
      <c r="G76" s="582"/>
      <c r="H76" s="629">
        <v>501</v>
      </c>
      <c r="I76" s="584"/>
      <c r="J76" s="582"/>
      <c r="K76" s="582"/>
      <c r="L76" s="582"/>
      <c r="M76" s="582"/>
      <c r="N76" s="582"/>
      <c r="O76" s="582"/>
      <c r="P76" s="582"/>
      <c r="Q76" s="633">
        <v>14.47</v>
      </c>
      <c r="R76" s="632">
        <f t="shared" ca="1" si="15"/>
        <v>17.364000000000001</v>
      </c>
      <c r="S76" s="584"/>
      <c r="T76" s="634">
        <f t="shared" ca="1" si="16"/>
        <v>0</v>
      </c>
      <c r="W76" s="582">
        <v>60</v>
      </c>
      <c r="X76" s="633"/>
      <c r="AD76" s="633"/>
      <c r="AE76" s="633"/>
    </row>
    <row r="77" spans="1:31" s="586" customFormat="1" ht="11.4">
      <c r="A77" s="653">
        <f ca="1">$Q$41 *(60)</f>
        <v>2.4</v>
      </c>
      <c r="B77" s="582" t="s">
        <v>272</v>
      </c>
      <c r="C77" s="582"/>
      <c r="D77" s="627" t="s">
        <v>294</v>
      </c>
      <c r="E77" s="582"/>
      <c r="F77" s="627" t="s">
        <v>293</v>
      </c>
      <c r="G77" s="582"/>
      <c r="H77" s="629">
        <v>501</v>
      </c>
      <c r="I77" s="584"/>
      <c r="J77" s="582"/>
      <c r="K77" s="582"/>
      <c r="L77" s="582"/>
      <c r="M77" s="582"/>
      <c r="N77" s="582"/>
      <c r="O77" s="582"/>
      <c r="P77" s="582"/>
      <c r="Q77" s="633">
        <v>0.31</v>
      </c>
      <c r="R77" s="632">
        <f t="shared" ca="1" si="15"/>
        <v>0.74399999999999999</v>
      </c>
      <c r="S77" s="584"/>
      <c r="T77" s="634">
        <f t="shared" ca="1" si="16"/>
        <v>0</v>
      </c>
      <c r="W77" s="582">
        <v>30</v>
      </c>
      <c r="X77" s="633"/>
      <c r="AD77" s="633"/>
      <c r="AE77" s="633"/>
    </row>
    <row r="78" spans="1:31" s="586" customFormat="1" ht="11.4">
      <c r="A78" s="653">
        <f ca="1">$Q$41 *(8*15)</f>
        <v>4.8</v>
      </c>
      <c r="B78" s="582" t="s">
        <v>272</v>
      </c>
      <c r="C78" s="582"/>
      <c r="D78" s="627" t="s">
        <v>295</v>
      </c>
      <c r="E78" s="582"/>
      <c r="F78" s="627" t="s">
        <v>293</v>
      </c>
      <c r="G78" s="582"/>
      <c r="H78" s="629">
        <v>501</v>
      </c>
      <c r="I78" s="584"/>
      <c r="J78" s="582"/>
      <c r="K78" s="582"/>
      <c r="L78" s="582"/>
      <c r="M78" s="582"/>
      <c r="N78" s="582"/>
      <c r="O78" s="582"/>
      <c r="P78" s="582"/>
      <c r="Q78" s="633">
        <v>2.52</v>
      </c>
      <c r="R78" s="632">
        <f t="shared" ca="1" si="15"/>
        <v>12.096</v>
      </c>
      <c r="S78" s="584"/>
      <c r="T78" s="634">
        <f t="shared" ca="1" si="16"/>
        <v>0</v>
      </c>
      <c r="W78" s="582">
        <v>30</v>
      </c>
      <c r="X78" s="633"/>
      <c r="AD78" s="633"/>
      <c r="AE78" s="633"/>
    </row>
    <row r="79" spans="1:31" s="586" customFormat="1" ht="11.4">
      <c r="A79" s="653">
        <f ca="1">$Q$41 *(30)</f>
        <v>1.2</v>
      </c>
      <c r="B79" s="582" t="s">
        <v>272</v>
      </c>
      <c r="C79" s="582"/>
      <c r="D79" s="627" t="s">
        <v>296</v>
      </c>
      <c r="E79" s="582"/>
      <c r="F79" s="627" t="s">
        <v>293</v>
      </c>
      <c r="G79" s="582"/>
      <c r="H79" s="629">
        <v>501</v>
      </c>
      <c r="I79" s="584"/>
      <c r="J79" s="582"/>
      <c r="K79" s="582"/>
      <c r="L79" s="582"/>
      <c r="M79" s="582"/>
      <c r="N79" s="582"/>
      <c r="O79" s="582"/>
      <c r="P79" s="582"/>
      <c r="Q79" s="633">
        <v>0.66</v>
      </c>
      <c r="R79" s="632">
        <f t="shared" ca="1" si="15"/>
        <v>0.79200000000000004</v>
      </c>
      <c r="S79" s="584"/>
      <c r="T79" s="634">
        <f t="shared" ca="1" si="16"/>
        <v>0</v>
      </c>
      <c r="W79" s="582">
        <v>30</v>
      </c>
      <c r="X79" s="633"/>
      <c r="AD79" s="633"/>
      <c r="AE79" s="633"/>
    </row>
    <row r="80" spans="1:31" s="586" customFormat="1" ht="11.4">
      <c r="A80" s="653">
        <f ca="1">$Q$41 *(30)</f>
        <v>1.2</v>
      </c>
      <c r="B80" s="582" t="s">
        <v>272</v>
      </c>
      <c r="C80" s="582"/>
      <c r="D80" s="627" t="s">
        <v>297</v>
      </c>
      <c r="E80" s="582"/>
      <c r="F80" s="627" t="s">
        <v>293</v>
      </c>
      <c r="G80" s="582"/>
      <c r="H80" s="629">
        <v>501</v>
      </c>
      <c r="I80" s="584"/>
      <c r="J80" s="582"/>
      <c r="K80" s="582"/>
      <c r="L80" s="582"/>
      <c r="M80" s="582"/>
      <c r="N80" s="582"/>
      <c r="O80" s="582"/>
      <c r="P80" s="582"/>
      <c r="Q80" s="633">
        <v>0.05</v>
      </c>
      <c r="R80" s="632">
        <f t="shared" ca="1" si="15"/>
        <v>0.06</v>
      </c>
      <c r="S80" s="584"/>
      <c r="T80" s="634">
        <f t="shared" ca="1" si="16"/>
        <v>0</v>
      </c>
      <c r="W80" s="582">
        <v>30</v>
      </c>
      <c r="X80" s="633"/>
      <c r="AD80" s="633"/>
      <c r="AE80" s="633"/>
    </row>
    <row r="81" spans="1:31" s="586" customFormat="1" ht="11.4">
      <c r="A81" s="653">
        <f ca="1">$Q$41 *(30)</f>
        <v>1.2</v>
      </c>
      <c r="B81" s="582" t="s">
        <v>272</v>
      </c>
      <c r="C81" s="582"/>
      <c r="D81" s="627" t="s">
        <v>325</v>
      </c>
      <c r="E81" s="582"/>
      <c r="F81" s="627" t="s">
        <v>293</v>
      </c>
      <c r="G81" s="582"/>
      <c r="H81" s="629">
        <v>501</v>
      </c>
      <c r="I81" s="584"/>
      <c r="J81" s="582"/>
      <c r="K81" s="582"/>
      <c r="L81" s="582"/>
      <c r="M81" s="582"/>
      <c r="N81" s="582"/>
      <c r="O81" s="582"/>
      <c r="P81" s="582"/>
      <c r="Q81" s="633">
        <v>0.05</v>
      </c>
      <c r="R81" s="632">
        <f t="shared" ca="1" si="15"/>
        <v>0.06</v>
      </c>
      <c r="S81" s="584"/>
      <c r="T81" s="634">
        <f t="shared" ca="1" si="16"/>
        <v>0</v>
      </c>
      <c r="W81" s="582">
        <v>30</v>
      </c>
      <c r="X81" s="633"/>
      <c r="AD81" s="633"/>
      <c r="AE81" s="633"/>
    </row>
    <row r="82" spans="1:31" s="586" customFormat="1" ht="11.4">
      <c r="A82" s="653">
        <f ca="1">$Q$41 *(30)</f>
        <v>1.2</v>
      </c>
      <c r="B82" s="582" t="s">
        <v>272</v>
      </c>
      <c r="C82" s="582"/>
      <c r="D82" s="627" t="s">
        <v>298</v>
      </c>
      <c r="E82" s="582"/>
      <c r="F82" s="627"/>
      <c r="G82" s="582"/>
      <c r="H82" s="629">
        <v>501</v>
      </c>
      <c r="I82" s="584"/>
      <c r="J82" s="582"/>
      <c r="K82" s="582"/>
      <c r="L82" s="582"/>
      <c r="M82" s="582"/>
      <c r="N82" s="582"/>
      <c r="O82" s="582"/>
      <c r="P82" s="582"/>
      <c r="Q82" s="633">
        <v>0.01</v>
      </c>
      <c r="R82" s="632">
        <f t="shared" ca="1" si="15"/>
        <v>1.2E-2</v>
      </c>
      <c r="S82" s="584"/>
      <c r="T82" s="634">
        <f t="shared" ca="1" si="16"/>
        <v>0</v>
      </c>
      <c r="W82" s="591"/>
      <c r="X82" s="633"/>
      <c r="AB82" s="586" t="s">
        <v>349</v>
      </c>
      <c r="AC82" s="586">
        <v>11250</v>
      </c>
      <c r="AD82" s="633"/>
      <c r="AE82" s="633"/>
    </row>
    <row r="83" spans="1:31" s="586" customFormat="1">
      <c r="A83" s="591"/>
      <c r="B83" s="3"/>
      <c r="C83" s="3"/>
      <c r="D83" s="654" t="s">
        <v>332</v>
      </c>
      <c r="E83" s="3"/>
      <c r="F83" s="583" t="s">
        <v>327</v>
      </c>
      <c r="G83" s="3"/>
      <c r="H83" s="3"/>
      <c r="I83" s="3"/>
      <c r="J83" s="3"/>
      <c r="K83" s="3"/>
      <c r="L83" s="3"/>
      <c r="M83" s="3"/>
      <c r="N83" s="3"/>
      <c r="O83" s="148"/>
      <c r="P83" s="3"/>
      <c r="Q83" s="3"/>
      <c r="R83" s="632">
        <f>$A83*Q83</f>
        <v>0</v>
      </c>
      <c r="S83" s="3"/>
      <c r="T83" s="634">
        <f>$A83*S83*$T$1</f>
        <v>0</v>
      </c>
      <c r="W83" s="582">
        <v>14</v>
      </c>
      <c r="X83" s="627"/>
      <c r="AB83" s="586" t="s">
        <v>350</v>
      </c>
      <c r="AD83" s="573"/>
      <c r="AE83" s="573"/>
    </row>
    <row r="84" spans="1:31" s="627" customFormat="1" ht="11.4">
      <c r="A84" s="653">
        <f ca="1">$Q$41 *(14)</f>
        <v>0.56000000000000005</v>
      </c>
      <c r="B84" s="582" t="s">
        <v>271</v>
      </c>
      <c r="D84" s="627" t="s">
        <v>343</v>
      </c>
      <c r="F84" s="627" t="s">
        <v>293</v>
      </c>
      <c r="G84" s="628" t="s">
        <v>289</v>
      </c>
      <c r="H84" s="629">
        <v>501</v>
      </c>
      <c r="I84" s="627" t="s">
        <v>290</v>
      </c>
      <c r="J84" s="627" t="s">
        <v>291</v>
      </c>
      <c r="K84" s="627" t="s">
        <v>292</v>
      </c>
      <c r="O84" s="630">
        <v>1</v>
      </c>
      <c r="P84" s="631">
        <v>36175</v>
      </c>
      <c r="Q84" s="633">
        <v>15.65</v>
      </c>
      <c r="R84" s="632">
        <f ca="1">$A84*Q84</f>
        <v>8.7640000000000011</v>
      </c>
      <c r="S84" s="633"/>
      <c r="T84" s="634">
        <f ca="1">$A84*S84*$T$1</f>
        <v>0</v>
      </c>
      <c r="W84" s="582">
        <v>40</v>
      </c>
      <c r="X84" s="633"/>
      <c r="AD84" s="633"/>
      <c r="AE84" s="633"/>
    </row>
    <row r="85" spans="1:31" s="586" customFormat="1" ht="11.4">
      <c r="A85" s="653">
        <f ca="1">$Q$41 *(40)</f>
        <v>1.6</v>
      </c>
      <c r="B85" s="582" t="s">
        <v>272</v>
      </c>
      <c r="C85" s="582"/>
      <c r="D85" s="627" t="s">
        <v>344</v>
      </c>
      <c r="E85" s="582"/>
      <c r="F85" s="627" t="s">
        <v>293</v>
      </c>
      <c r="G85" s="582"/>
      <c r="H85" s="629">
        <v>501</v>
      </c>
      <c r="I85" s="584"/>
      <c r="J85" s="582"/>
      <c r="K85" s="582"/>
      <c r="L85" s="582"/>
      <c r="M85" s="582"/>
      <c r="N85" s="582"/>
      <c r="O85" s="582"/>
      <c r="P85" s="582"/>
      <c r="Q85" s="633">
        <v>0.15</v>
      </c>
      <c r="R85" s="632">
        <f t="shared" ref="R85:R93" ca="1" si="17">$A85*Q85</f>
        <v>0.24</v>
      </c>
      <c r="S85" s="584"/>
      <c r="T85" s="634">
        <f t="shared" ref="T85:T93" ca="1" si="18">$A85*S85*$T$1</f>
        <v>0</v>
      </c>
      <c r="W85" s="582">
        <v>40</v>
      </c>
      <c r="X85" s="633"/>
      <c r="AD85" s="633"/>
      <c r="AE85" s="633"/>
    </row>
    <row r="86" spans="1:31" s="586" customFormat="1" ht="11.4">
      <c r="A86" s="653">
        <f ca="1">$Q$41 *(40)</f>
        <v>1.6</v>
      </c>
      <c r="B86" s="582" t="s">
        <v>272</v>
      </c>
      <c r="C86" s="582"/>
      <c r="D86" s="627" t="s">
        <v>346</v>
      </c>
      <c r="E86" s="582"/>
      <c r="F86" s="627" t="s">
        <v>293</v>
      </c>
      <c r="G86" s="582"/>
      <c r="H86" s="629">
        <v>501</v>
      </c>
      <c r="I86" s="584"/>
      <c r="J86" s="582"/>
      <c r="K86" s="582"/>
      <c r="L86" s="582"/>
      <c r="M86" s="582"/>
      <c r="N86" s="582"/>
      <c r="O86" s="582"/>
      <c r="P86" s="582"/>
      <c r="Q86" s="633">
        <v>5.39</v>
      </c>
      <c r="R86" s="632">
        <f t="shared" ca="1" si="17"/>
        <v>8.6240000000000006</v>
      </c>
      <c r="S86" s="584"/>
      <c r="T86" s="634">
        <f t="shared" ca="1" si="18"/>
        <v>0</v>
      </c>
      <c r="W86" s="582">
        <v>40</v>
      </c>
      <c r="X86" s="633"/>
      <c r="AD86" s="633"/>
      <c r="AE86" s="633"/>
    </row>
    <row r="87" spans="1:31" s="586" customFormat="1" ht="11.4">
      <c r="A87" s="653">
        <f ca="1">$Q$41 *(40)</f>
        <v>1.6</v>
      </c>
      <c r="B87" s="582" t="s">
        <v>272</v>
      </c>
      <c r="C87" s="582"/>
      <c r="D87" s="627" t="s">
        <v>345</v>
      </c>
      <c r="E87" s="582"/>
      <c r="F87" s="627" t="s">
        <v>293</v>
      </c>
      <c r="G87" s="582"/>
      <c r="H87" s="629">
        <v>501</v>
      </c>
      <c r="I87" s="584"/>
      <c r="J87" s="582"/>
      <c r="K87" s="582"/>
      <c r="L87" s="582"/>
      <c r="M87" s="582"/>
      <c r="N87" s="582"/>
      <c r="O87" s="582"/>
      <c r="P87" s="582"/>
      <c r="Q87" s="633">
        <v>14.47</v>
      </c>
      <c r="R87" s="632">
        <f t="shared" ca="1" si="17"/>
        <v>23.152000000000001</v>
      </c>
      <c r="S87" s="584"/>
      <c r="T87" s="634">
        <f t="shared" ca="1" si="18"/>
        <v>0</v>
      </c>
      <c r="W87" s="582">
        <v>80</v>
      </c>
      <c r="X87" s="633"/>
      <c r="AD87" s="633"/>
      <c r="AE87" s="633"/>
    </row>
    <row r="88" spans="1:31" s="586" customFormat="1" ht="11.4">
      <c r="A88" s="653">
        <f ca="1">$Q$41 *(80)</f>
        <v>3.2</v>
      </c>
      <c r="B88" s="582" t="s">
        <v>272</v>
      </c>
      <c r="C88" s="582"/>
      <c r="D88" s="627" t="s">
        <v>294</v>
      </c>
      <c r="E88" s="582"/>
      <c r="F88" s="627" t="s">
        <v>293</v>
      </c>
      <c r="G88" s="582"/>
      <c r="H88" s="629">
        <v>501</v>
      </c>
      <c r="I88" s="584"/>
      <c r="J88" s="582"/>
      <c r="K88" s="582"/>
      <c r="L88" s="582"/>
      <c r="M88" s="582"/>
      <c r="N88" s="582"/>
      <c r="O88" s="582"/>
      <c r="P88" s="582"/>
      <c r="Q88" s="633">
        <v>0.31</v>
      </c>
      <c r="R88" s="632">
        <f t="shared" ca="1" si="17"/>
        <v>0.99199999999999999</v>
      </c>
      <c r="S88" s="584"/>
      <c r="T88" s="634">
        <f t="shared" ca="1" si="18"/>
        <v>0</v>
      </c>
      <c r="W88" s="582">
        <v>40</v>
      </c>
      <c r="X88" s="633"/>
      <c r="AD88" s="633"/>
      <c r="AE88" s="633"/>
    </row>
    <row r="89" spans="1:31" s="586" customFormat="1" ht="11.4">
      <c r="A89" s="653">
        <f ca="1">$Q$41 *(8*20)</f>
        <v>6.4</v>
      </c>
      <c r="B89" s="582" t="s">
        <v>272</v>
      </c>
      <c r="C89" s="582"/>
      <c r="D89" s="627" t="s">
        <v>295</v>
      </c>
      <c r="E89" s="582"/>
      <c r="F89" s="627" t="s">
        <v>293</v>
      </c>
      <c r="G89" s="582"/>
      <c r="H89" s="629">
        <v>501</v>
      </c>
      <c r="I89" s="584"/>
      <c r="J89" s="582"/>
      <c r="K89" s="582"/>
      <c r="L89" s="582"/>
      <c r="M89" s="582"/>
      <c r="N89" s="582"/>
      <c r="O89" s="582"/>
      <c r="P89" s="582"/>
      <c r="Q89" s="633">
        <v>2.52</v>
      </c>
      <c r="R89" s="632">
        <f t="shared" ca="1" si="17"/>
        <v>16.128</v>
      </c>
      <c r="S89" s="584"/>
      <c r="T89" s="634">
        <f t="shared" ca="1" si="18"/>
        <v>0</v>
      </c>
      <c r="W89" s="582">
        <v>30</v>
      </c>
      <c r="X89" s="633"/>
      <c r="AD89" s="633"/>
      <c r="AE89" s="633"/>
    </row>
    <row r="90" spans="1:31" s="586" customFormat="1" ht="11.4">
      <c r="A90" s="653">
        <f ca="1">$Q$41 *(40)</f>
        <v>1.6</v>
      </c>
      <c r="B90" s="582" t="s">
        <v>272</v>
      </c>
      <c r="C90" s="582"/>
      <c r="D90" s="627" t="s">
        <v>296</v>
      </c>
      <c r="E90" s="582"/>
      <c r="F90" s="627" t="s">
        <v>293</v>
      </c>
      <c r="G90" s="582"/>
      <c r="H90" s="629">
        <v>501</v>
      </c>
      <c r="I90" s="584"/>
      <c r="J90" s="582"/>
      <c r="K90" s="582"/>
      <c r="L90" s="582"/>
      <c r="M90" s="582"/>
      <c r="N90" s="582"/>
      <c r="O90" s="582"/>
      <c r="P90" s="582"/>
      <c r="Q90" s="633">
        <v>0.66</v>
      </c>
      <c r="R90" s="632">
        <f t="shared" ca="1" si="17"/>
        <v>1.056</v>
      </c>
      <c r="S90" s="584"/>
      <c r="T90" s="634">
        <f t="shared" ca="1" si="18"/>
        <v>0</v>
      </c>
      <c r="W90" s="582">
        <v>40</v>
      </c>
      <c r="X90" s="633"/>
      <c r="AD90" s="633"/>
      <c r="AE90" s="633"/>
    </row>
    <row r="91" spans="1:31" s="586" customFormat="1" ht="11.4">
      <c r="A91" s="653">
        <f ca="1">$Q$41 *(40)</f>
        <v>1.6</v>
      </c>
      <c r="B91" s="582" t="s">
        <v>272</v>
      </c>
      <c r="C91" s="582"/>
      <c r="D91" s="627" t="s">
        <v>297</v>
      </c>
      <c r="E91" s="582"/>
      <c r="F91" s="627" t="s">
        <v>293</v>
      </c>
      <c r="G91" s="582"/>
      <c r="H91" s="629">
        <v>501</v>
      </c>
      <c r="I91" s="584"/>
      <c r="J91" s="582"/>
      <c r="K91" s="582"/>
      <c r="L91" s="582"/>
      <c r="M91" s="582"/>
      <c r="N91" s="582"/>
      <c r="O91" s="582"/>
      <c r="P91" s="582"/>
      <c r="Q91" s="633">
        <v>0.05</v>
      </c>
      <c r="R91" s="632">
        <f t="shared" ca="1" si="17"/>
        <v>8.0000000000000016E-2</v>
      </c>
      <c r="S91" s="584"/>
      <c r="T91" s="634">
        <f t="shared" ca="1" si="18"/>
        <v>0</v>
      </c>
      <c r="W91" s="582">
        <v>40</v>
      </c>
      <c r="X91" s="633"/>
      <c r="AD91" s="633"/>
      <c r="AE91" s="633"/>
    </row>
    <row r="92" spans="1:31" s="586" customFormat="1" ht="11.4">
      <c r="A92" s="653">
        <f ca="1">$Q$41 *(40)</f>
        <v>1.6</v>
      </c>
      <c r="B92" s="582" t="s">
        <v>272</v>
      </c>
      <c r="C92" s="582"/>
      <c r="D92" s="627" t="s">
        <v>325</v>
      </c>
      <c r="E92" s="582"/>
      <c r="F92" s="627" t="s">
        <v>293</v>
      </c>
      <c r="G92" s="582"/>
      <c r="H92" s="629">
        <v>501</v>
      </c>
      <c r="I92" s="584"/>
      <c r="J92" s="582"/>
      <c r="K92" s="582"/>
      <c r="L92" s="582"/>
      <c r="M92" s="582"/>
      <c r="N92" s="582"/>
      <c r="O92" s="582"/>
      <c r="P92" s="582"/>
      <c r="Q92" s="633">
        <v>0.05</v>
      </c>
      <c r="R92" s="632">
        <f t="shared" ca="1" si="17"/>
        <v>8.0000000000000016E-2</v>
      </c>
      <c r="S92" s="584"/>
      <c r="T92" s="634">
        <f t="shared" ca="1" si="18"/>
        <v>0</v>
      </c>
      <c r="W92" s="582">
        <v>40</v>
      </c>
      <c r="X92" s="633"/>
      <c r="AD92" s="633"/>
      <c r="AE92" s="633"/>
    </row>
    <row r="93" spans="1:31" s="586" customFormat="1" ht="11.4">
      <c r="A93" s="653">
        <f ca="1">$Q$41 *(40)</f>
        <v>1.6</v>
      </c>
      <c r="B93" s="582" t="s">
        <v>272</v>
      </c>
      <c r="C93" s="582"/>
      <c r="D93" s="627" t="s">
        <v>298</v>
      </c>
      <c r="E93" s="582"/>
      <c r="F93" s="627"/>
      <c r="G93" s="582"/>
      <c r="H93" s="629">
        <v>501</v>
      </c>
      <c r="I93" s="584"/>
      <c r="J93" s="582"/>
      <c r="K93" s="582"/>
      <c r="L93" s="582"/>
      <c r="M93" s="582"/>
      <c r="N93" s="582"/>
      <c r="O93" s="582"/>
      <c r="P93" s="582"/>
      <c r="Q93" s="633">
        <v>0.01</v>
      </c>
      <c r="R93" s="632">
        <f t="shared" ca="1" si="17"/>
        <v>1.6E-2</v>
      </c>
      <c r="S93" s="584"/>
      <c r="T93" s="634">
        <f t="shared" ca="1" si="18"/>
        <v>0</v>
      </c>
      <c r="W93" s="591"/>
      <c r="X93" s="633"/>
      <c r="AD93" s="633"/>
      <c r="AE93" s="633"/>
    </row>
    <row r="94" spans="1:31" s="586" customFormat="1">
      <c r="A94" s="591"/>
      <c r="B94" s="3"/>
      <c r="C94" s="3"/>
      <c r="D94" s="654" t="s">
        <v>333</v>
      </c>
      <c r="E94" s="3"/>
      <c r="F94" s="583" t="s">
        <v>348</v>
      </c>
      <c r="G94" s="3"/>
      <c r="H94" s="3"/>
      <c r="I94" s="3"/>
      <c r="J94" s="3"/>
      <c r="K94" s="3"/>
      <c r="L94" s="3"/>
      <c r="M94" s="3"/>
      <c r="N94" s="3"/>
      <c r="O94" s="148"/>
      <c r="P94" s="3"/>
      <c r="Q94" s="3"/>
      <c r="R94" s="632">
        <f>$A94*Q94</f>
        <v>0</v>
      </c>
      <c r="S94" s="3"/>
      <c r="T94" s="634">
        <f>$A94*S94*$T$1</f>
        <v>0</v>
      </c>
      <c r="W94" s="582">
        <v>17</v>
      </c>
      <c r="X94" s="627"/>
      <c r="AD94" s="573"/>
      <c r="AE94" s="573"/>
    </row>
    <row r="95" spans="1:31" s="627" customFormat="1" ht="11.4">
      <c r="A95" s="653">
        <f ca="1">$Q$41 *(17)</f>
        <v>0.68</v>
      </c>
      <c r="B95" s="582" t="s">
        <v>271</v>
      </c>
      <c r="D95" s="627" t="s">
        <v>343</v>
      </c>
      <c r="F95" s="627" t="s">
        <v>293</v>
      </c>
      <c r="G95" s="628" t="s">
        <v>289</v>
      </c>
      <c r="H95" s="629">
        <v>501</v>
      </c>
      <c r="I95" s="627" t="s">
        <v>290</v>
      </c>
      <c r="J95" s="627" t="s">
        <v>291</v>
      </c>
      <c r="K95" s="627" t="s">
        <v>292</v>
      </c>
      <c r="O95" s="630">
        <v>1</v>
      </c>
      <c r="P95" s="631">
        <v>36175</v>
      </c>
      <c r="Q95" s="633">
        <v>15.65</v>
      </c>
      <c r="R95" s="632">
        <f ca="1">$A95*Q95</f>
        <v>10.642000000000001</v>
      </c>
      <c r="S95" s="633"/>
      <c r="T95" s="634">
        <f ca="1">$A95*S95*$T$1</f>
        <v>0</v>
      </c>
      <c r="W95" s="582">
        <v>30</v>
      </c>
      <c r="X95" s="633"/>
      <c r="AD95" s="633"/>
      <c r="AE95" s="633"/>
    </row>
    <row r="96" spans="1:31" s="586" customFormat="1" ht="11.4">
      <c r="A96" s="653">
        <f ca="1">$Q$41 *(30)</f>
        <v>1.2</v>
      </c>
      <c r="B96" s="582" t="s">
        <v>272</v>
      </c>
      <c r="C96" s="582"/>
      <c r="D96" s="627" t="s">
        <v>344</v>
      </c>
      <c r="E96" s="582"/>
      <c r="F96" s="627" t="s">
        <v>293</v>
      </c>
      <c r="G96" s="582"/>
      <c r="H96" s="629">
        <v>501</v>
      </c>
      <c r="I96" s="584"/>
      <c r="J96" s="582"/>
      <c r="K96" s="582"/>
      <c r="L96" s="582"/>
      <c r="M96" s="582"/>
      <c r="N96" s="582"/>
      <c r="O96" s="582"/>
      <c r="P96" s="582"/>
      <c r="Q96" s="633">
        <v>0.15</v>
      </c>
      <c r="R96" s="632">
        <f t="shared" ref="R96:R104" ca="1" si="19">$A96*Q96</f>
        <v>0.18</v>
      </c>
      <c r="S96" s="584"/>
      <c r="T96" s="634">
        <f t="shared" ref="T96:T104" ca="1" si="20">$A96*S96*$T$1</f>
        <v>0</v>
      </c>
      <c r="W96" s="582">
        <v>34</v>
      </c>
      <c r="X96" s="633"/>
      <c r="AD96" s="633"/>
      <c r="AE96" s="633"/>
    </row>
    <row r="97" spans="1:31" s="586" customFormat="1" ht="11.4">
      <c r="A97" s="653">
        <f ca="1">$Q$41 *(34)</f>
        <v>1.36</v>
      </c>
      <c r="B97" s="582" t="s">
        <v>272</v>
      </c>
      <c r="C97" s="582"/>
      <c r="D97" s="627" t="s">
        <v>346</v>
      </c>
      <c r="E97" s="582"/>
      <c r="F97" s="627" t="s">
        <v>293</v>
      </c>
      <c r="G97" s="582"/>
      <c r="H97" s="629">
        <v>501</v>
      </c>
      <c r="I97" s="584"/>
      <c r="J97" s="582"/>
      <c r="K97" s="582"/>
      <c r="L97" s="582"/>
      <c r="M97" s="582"/>
      <c r="N97" s="582"/>
      <c r="O97" s="582"/>
      <c r="P97" s="582"/>
      <c r="Q97" s="633">
        <v>5.39</v>
      </c>
      <c r="R97" s="632">
        <f t="shared" ca="1" si="19"/>
        <v>7.3304</v>
      </c>
      <c r="S97" s="584"/>
      <c r="T97" s="634">
        <f t="shared" ca="1" si="20"/>
        <v>0</v>
      </c>
      <c r="W97" s="582">
        <v>16</v>
      </c>
      <c r="X97" s="633"/>
      <c r="AD97" s="633"/>
      <c r="AE97" s="633"/>
    </row>
    <row r="98" spans="1:31" s="586" customFormat="1" ht="11.4">
      <c r="A98" s="653">
        <f ca="1">$Q$41 *(16)</f>
        <v>0.64</v>
      </c>
      <c r="B98" s="582" t="s">
        <v>272</v>
      </c>
      <c r="C98" s="582"/>
      <c r="D98" s="627" t="s">
        <v>345</v>
      </c>
      <c r="E98" s="582"/>
      <c r="F98" s="627" t="s">
        <v>293</v>
      </c>
      <c r="G98" s="582"/>
      <c r="H98" s="629">
        <v>501</v>
      </c>
      <c r="I98" s="584"/>
      <c r="J98" s="582"/>
      <c r="K98" s="582"/>
      <c r="L98" s="582"/>
      <c r="M98" s="582"/>
      <c r="N98" s="582"/>
      <c r="O98" s="582"/>
      <c r="P98" s="582"/>
      <c r="Q98" s="633">
        <v>14.47</v>
      </c>
      <c r="R98" s="632">
        <f t="shared" ca="1" si="19"/>
        <v>9.2608000000000015</v>
      </c>
      <c r="S98" s="584"/>
      <c r="T98" s="634">
        <f t="shared" ca="1" si="20"/>
        <v>0</v>
      </c>
      <c r="W98" s="582">
        <v>32</v>
      </c>
      <c r="X98" s="633"/>
      <c r="AD98" s="633"/>
      <c r="AE98" s="633"/>
    </row>
    <row r="99" spans="1:31" s="586" customFormat="1" ht="11.4">
      <c r="A99" s="653">
        <f ca="1">$Q$41 *(32)</f>
        <v>1.28</v>
      </c>
      <c r="B99" s="582" t="s">
        <v>272</v>
      </c>
      <c r="C99" s="582"/>
      <c r="D99" s="627" t="s">
        <v>294</v>
      </c>
      <c r="E99" s="582"/>
      <c r="F99" s="627" t="s">
        <v>293</v>
      </c>
      <c r="G99" s="582"/>
      <c r="H99" s="629">
        <v>501</v>
      </c>
      <c r="I99" s="584"/>
      <c r="J99" s="582"/>
      <c r="K99" s="582"/>
      <c r="L99" s="582"/>
      <c r="M99" s="582"/>
      <c r="N99" s="582"/>
      <c r="O99" s="582"/>
      <c r="P99" s="582"/>
      <c r="Q99" s="633">
        <v>0.31</v>
      </c>
      <c r="R99" s="632">
        <f t="shared" ca="1" si="19"/>
        <v>0.39679999999999999</v>
      </c>
      <c r="S99" s="584"/>
      <c r="T99" s="634">
        <f t="shared" ca="1" si="20"/>
        <v>0</v>
      </c>
      <c r="W99" s="582">
        <v>38</v>
      </c>
      <c r="X99" s="633"/>
      <c r="AD99" s="633"/>
      <c r="AE99" s="633"/>
    </row>
    <row r="100" spans="1:31" s="586" customFormat="1" ht="11.4">
      <c r="A100" s="653">
        <f ca="1">$Q$41 *(32)</f>
        <v>1.28</v>
      </c>
      <c r="B100" s="582" t="s">
        <v>272</v>
      </c>
      <c r="C100" s="582"/>
      <c r="D100" s="627" t="s">
        <v>295</v>
      </c>
      <c r="E100" s="582"/>
      <c r="F100" s="627" t="s">
        <v>293</v>
      </c>
      <c r="G100" s="582"/>
      <c r="H100" s="629">
        <v>501</v>
      </c>
      <c r="I100" s="584"/>
      <c r="J100" s="582"/>
      <c r="K100" s="582"/>
      <c r="L100" s="582"/>
      <c r="M100" s="582"/>
      <c r="N100" s="582"/>
      <c r="O100" s="582"/>
      <c r="P100" s="582"/>
      <c r="Q100" s="633">
        <v>2.52</v>
      </c>
      <c r="R100" s="632">
        <f t="shared" ca="1" si="19"/>
        <v>3.2256</v>
      </c>
      <c r="S100" s="584"/>
      <c r="T100" s="634">
        <f t="shared" ca="1" si="20"/>
        <v>0</v>
      </c>
      <c r="W100" s="582">
        <v>30</v>
      </c>
      <c r="X100" s="633"/>
      <c r="AD100" s="633"/>
      <c r="AE100" s="633"/>
    </row>
    <row r="101" spans="1:31" s="586" customFormat="1" ht="11.4">
      <c r="A101" s="653">
        <f ca="1">$Q$41 *(38)</f>
        <v>1.52</v>
      </c>
      <c r="B101" s="582" t="s">
        <v>272</v>
      </c>
      <c r="C101" s="582"/>
      <c r="D101" s="627" t="s">
        <v>296</v>
      </c>
      <c r="E101" s="582"/>
      <c r="F101" s="627" t="s">
        <v>293</v>
      </c>
      <c r="G101" s="582"/>
      <c r="H101" s="629">
        <v>501</v>
      </c>
      <c r="I101" s="584"/>
      <c r="J101" s="582"/>
      <c r="K101" s="582"/>
      <c r="L101" s="582"/>
      <c r="M101" s="582"/>
      <c r="N101" s="582"/>
      <c r="O101" s="582"/>
      <c r="P101" s="582"/>
      <c r="Q101" s="633">
        <v>0.66</v>
      </c>
      <c r="R101" s="632">
        <f t="shared" ca="1" si="19"/>
        <v>1.0032000000000001</v>
      </c>
      <c r="S101" s="584"/>
      <c r="T101" s="634">
        <f t="shared" ca="1" si="20"/>
        <v>0</v>
      </c>
      <c r="W101" s="582">
        <v>38</v>
      </c>
      <c r="X101" s="633"/>
      <c r="AD101" s="633"/>
      <c r="AE101" s="633"/>
    </row>
    <row r="102" spans="1:31" s="586" customFormat="1" ht="11.4">
      <c r="A102" s="653">
        <f ca="1">$Q$41 *(38)</f>
        <v>1.52</v>
      </c>
      <c r="B102" s="582" t="s">
        <v>272</v>
      </c>
      <c r="C102" s="582"/>
      <c r="D102" s="627" t="s">
        <v>297</v>
      </c>
      <c r="E102" s="582"/>
      <c r="F102" s="627" t="s">
        <v>293</v>
      </c>
      <c r="G102" s="582"/>
      <c r="H102" s="629">
        <v>501</v>
      </c>
      <c r="I102" s="584"/>
      <c r="J102" s="582"/>
      <c r="K102" s="582"/>
      <c r="L102" s="582"/>
      <c r="M102" s="582"/>
      <c r="N102" s="582"/>
      <c r="O102" s="582"/>
      <c r="P102" s="582"/>
      <c r="Q102" s="633">
        <v>0.05</v>
      </c>
      <c r="R102" s="632">
        <f t="shared" ca="1" si="19"/>
        <v>7.6000000000000012E-2</v>
      </c>
      <c r="S102" s="584"/>
      <c r="T102" s="634">
        <f t="shared" ca="1" si="20"/>
        <v>0</v>
      </c>
      <c r="W102" s="582">
        <v>38</v>
      </c>
      <c r="X102" s="633"/>
      <c r="AD102" s="633"/>
      <c r="AE102" s="633"/>
    </row>
    <row r="103" spans="1:31" s="586" customFormat="1" ht="11.4">
      <c r="A103" s="653">
        <f ca="1">$Q$41 *(38)</f>
        <v>1.52</v>
      </c>
      <c r="B103" s="582" t="s">
        <v>272</v>
      </c>
      <c r="C103" s="582"/>
      <c r="D103" s="627" t="s">
        <v>325</v>
      </c>
      <c r="E103" s="582"/>
      <c r="F103" s="627" t="s">
        <v>293</v>
      </c>
      <c r="G103" s="582"/>
      <c r="H103" s="629">
        <v>501</v>
      </c>
      <c r="I103" s="584"/>
      <c r="J103" s="582"/>
      <c r="K103" s="582"/>
      <c r="L103" s="582"/>
      <c r="M103" s="582"/>
      <c r="N103" s="582"/>
      <c r="O103" s="582"/>
      <c r="P103" s="582"/>
      <c r="Q103" s="633">
        <v>0.05</v>
      </c>
      <c r="R103" s="632">
        <f t="shared" ca="1" si="19"/>
        <v>7.6000000000000012E-2</v>
      </c>
      <c r="S103" s="584"/>
      <c r="T103" s="634">
        <f t="shared" ca="1" si="20"/>
        <v>0</v>
      </c>
      <c r="W103" s="582">
        <v>38</v>
      </c>
      <c r="X103" s="633"/>
      <c r="AD103" s="633"/>
      <c r="AE103" s="633"/>
    </row>
    <row r="104" spans="1:31" s="586" customFormat="1" ht="11.4">
      <c r="A104" s="653">
        <f ca="1">$Q$41 *(38)</f>
        <v>1.52</v>
      </c>
      <c r="B104" s="582" t="s">
        <v>272</v>
      </c>
      <c r="C104" s="582"/>
      <c r="D104" s="627" t="s">
        <v>298</v>
      </c>
      <c r="E104" s="582"/>
      <c r="F104" s="627"/>
      <c r="G104" s="582"/>
      <c r="H104" s="629">
        <v>501</v>
      </c>
      <c r="I104" s="584"/>
      <c r="J104" s="582"/>
      <c r="K104" s="582"/>
      <c r="L104" s="582"/>
      <c r="M104" s="582"/>
      <c r="N104" s="582"/>
      <c r="O104" s="582"/>
      <c r="P104" s="582"/>
      <c r="Q104" s="633">
        <v>0.01</v>
      </c>
      <c r="R104" s="632">
        <f t="shared" ca="1" si="19"/>
        <v>1.52E-2</v>
      </c>
      <c r="S104" s="584"/>
      <c r="T104" s="634">
        <f t="shared" ca="1" si="20"/>
        <v>0</v>
      </c>
      <c r="W104" s="582">
        <v>150</v>
      </c>
      <c r="X104" s="633"/>
      <c r="AD104" s="633"/>
      <c r="AE104" s="633"/>
    </row>
    <row r="105" spans="1:31" s="627" customFormat="1" ht="11.4">
      <c r="A105" s="653">
        <f ca="1">$Q$41 *(150)</f>
        <v>6</v>
      </c>
      <c r="B105" s="582" t="s">
        <v>281</v>
      </c>
      <c r="D105" s="627" t="s">
        <v>299</v>
      </c>
      <c r="F105" s="627" t="s">
        <v>312</v>
      </c>
      <c r="G105" s="628" t="s">
        <v>289</v>
      </c>
      <c r="H105" s="629">
        <v>501</v>
      </c>
      <c r="I105" s="627" t="s">
        <v>290</v>
      </c>
      <c r="J105" s="627" t="s">
        <v>291</v>
      </c>
      <c r="K105" s="627" t="s">
        <v>292</v>
      </c>
      <c r="O105" s="630">
        <v>1</v>
      </c>
      <c r="P105" s="631">
        <v>36175</v>
      </c>
      <c r="Q105" s="655">
        <v>0</v>
      </c>
      <c r="R105" s="632">
        <f ca="1">$A105*Q105</f>
        <v>0</v>
      </c>
      <c r="S105" s="633">
        <v>0.25</v>
      </c>
      <c r="T105" s="634">
        <f ca="1">$A105*S105*$T$1</f>
        <v>1.7249999999999999</v>
      </c>
      <c r="W105" s="582">
        <v>150</v>
      </c>
      <c r="AD105" s="633"/>
      <c r="AE105" s="633"/>
    </row>
    <row r="106" spans="1:31" s="627" customFormat="1" ht="11.4">
      <c r="A106" s="653">
        <f ca="1">$Q$41 *(150)</f>
        <v>6</v>
      </c>
      <c r="B106" s="582" t="s">
        <v>281</v>
      </c>
      <c r="D106" s="627" t="s">
        <v>299</v>
      </c>
      <c r="F106" s="627" t="s">
        <v>313</v>
      </c>
      <c r="G106" s="628" t="s">
        <v>289</v>
      </c>
      <c r="H106" s="629">
        <v>501</v>
      </c>
      <c r="I106" s="627" t="s">
        <v>290</v>
      </c>
      <c r="J106" s="627" t="s">
        <v>291</v>
      </c>
      <c r="K106" s="627" t="s">
        <v>292</v>
      </c>
      <c r="O106" s="630">
        <v>1</v>
      </c>
      <c r="P106" s="631">
        <v>36175</v>
      </c>
      <c r="Q106" s="655">
        <v>0</v>
      </c>
      <c r="R106" s="632">
        <f ca="1">$A106*Q106</f>
        <v>0</v>
      </c>
      <c r="S106" s="633">
        <v>0.25</v>
      </c>
      <c r="T106" s="634">
        <f ca="1">$A106*S106*$T$1</f>
        <v>1.7249999999999999</v>
      </c>
      <c r="AD106" s="633"/>
      <c r="AE106" s="633"/>
    </row>
    <row r="107" spans="1:31" s="586" customFormat="1">
      <c r="A107" s="582"/>
      <c r="B107" s="3"/>
      <c r="C107" s="582" t="s">
        <v>171</v>
      </c>
      <c r="D107" s="3"/>
      <c r="E107" s="582"/>
      <c r="F107" s="583"/>
      <c r="G107" s="582"/>
      <c r="H107" s="582"/>
      <c r="I107" s="584"/>
      <c r="J107" s="582"/>
      <c r="K107" s="582"/>
      <c r="L107" s="582"/>
      <c r="M107" s="582"/>
      <c r="N107" s="582"/>
      <c r="O107" s="582"/>
      <c r="P107" s="582"/>
      <c r="Q107" s="668"/>
      <c r="R107" s="632">
        <f t="shared" ref="R107" si="21">$A107*Q107</f>
        <v>0</v>
      </c>
      <c r="S107" s="584"/>
      <c r="T107" s="634">
        <f t="shared" ref="T107" si="22">$A107*S107*$T$1</f>
        <v>0</v>
      </c>
      <c r="AD107" s="668"/>
      <c r="AE107" s="668"/>
    </row>
    <row r="108" spans="1:31" s="586" customFormat="1" ht="12.6" thickBot="1">
      <c r="A108" s="606" t="s">
        <v>142</v>
      </c>
      <c r="B108" s="607">
        <f>(R107+T107)</f>
        <v>0</v>
      </c>
      <c r="C108" s="608"/>
      <c r="D108" s="648" t="s">
        <v>172</v>
      </c>
      <c r="E108" s="525">
        <f ca="1">IF($B41=0,0,ROUND(ROUND(($R108*$S$2+($T108*$T$2))/$B41, 2)*$C$2,2))</f>
        <v>87.2</v>
      </c>
      <c r="F108" s="526">
        <f ca="1">ROUND($B41*$E108,2)</f>
        <v>523.20000000000005</v>
      </c>
      <c r="G108" s="608"/>
      <c r="H108" s="608"/>
      <c r="I108" s="610"/>
      <c r="J108" s="608"/>
      <c r="K108" s="649" t="s">
        <v>141</v>
      </c>
      <c r="L108" s="611" t="s">
        <v>141</v>
      </c>
      <c r="M108" s="611"/>
      <c r="N108" s="611"/>
      <c r="O108" s="611"/>
      <c r="P108" s="611"/>
      <c r="Q108" s="649"/>
      <c r="R108" s="650">
        <f ca="1">SUM(R42:R107)</f>
        <v>428.48900000000003</v>
      </c>
      <c r="S108" s="651"/>
      <c r="T108" s="650">
        <f ca="1">SUM(T42:T107)</f>
        <v>3.4499999999999997</v>
      </c>
      <c r="U108" s="614"/>
      <c r="V108" s="614"/>
      <c r="W108" s="614"/>
      <c r="X108" s="614"/>
      <c r="Y108" s="614"/>
      <c r="Z108" s="614"/>
      <c r="AA108" s="614"/>
      <c r="AB108" s="614"/>
      <c r="AD108" s="668"/>
      <c r="AE108" s="668"/>
    </row>
    <row r="109" spans="1:31" s="586" customFormat="1" ht="12" thickTop="1">
      <c r="A109" s="57"/>
      <c r="B109" s="57"/>
      <c r="C109" s="57"/>
      <c r="D109" s="57"/>
      <c r="E109" s="57"/>
      <c r="F109" s="57"/>
      <c r="G109" s="57"/>
      <c r="H109" s="57"/>
      <c r="I109" s="57"/>
      <c r="J109" s="57"/>
      <c r="K109" s="57"/>
      <c r="L109" s="57"/>
      <c r="M109" s="57"/>
      <c r="N109" s="57"/>
      <c r="O109" s="58"/>
      <c r="P109" s="57"/>
      <c r="Q109" s="42" t="s">
        <v>168</v>
      </c>
      <c r="R109" s="57"/>
      <c r="S109" s="13"/>
      <c r="T109" s="57"/>
      <c r="AD109" s="668"/>
      <c r="AE109" s="668"/>
    </row>
    <row r="110" spans="1:31" s="586" customFormat="1" ht="12" customHeight="1" thickBot="1">
      <c r="A110" s="638">
        <v>150</v>
      </c>
      <c r="B110" s="639">
        <f ca="1">Elec_Est!B215</f>
        <v>0</v>
      </c>
      <c r="C110" s="640"/>
      <c r="D110" s="641" t="s">
        <v>351</v>
      </c>
      <c r="E110" s="642"/>
      <c r="F110" s="642"/>
      <c r="G110" s="595"/>
      <c r="H110" s="595"/>
      <c r="I110" s="643"/>
      <c r="J110" s="595"/>
      <c r="K110" s="640" t="s">
        <v>169</v>
      </c>
      <c r="L110" s="644" t="s">
        <v>169</v>
      </c>
      <c r="M110" s="644"/>
      <c r="N110" s="644"/>
      <c r="O110" s="644"/>
      <c r="P110" s="644"/>
      <c r="Q110" s="645">
        <f ca="1">B110/A110</f>
        <v>0</v>
      </c>
      <c r="R110" s="646">
        <f ca="1">IF($B110=0,0,IF($S$1="R",ROUND(R123/$B110,2),R123/$B110))</f>
        <v>0</v>
      </c>
      <c r="S110" s="647"/>
      <c r="T110" s="646">
        <f ca="1">IF($B110=0,0,IF($S$1="R",ROUND(T123/$B110,2),T123/$B110))</f>
        <v>0</v>
      </c>
      <c r="AD110" s="668"/>
      <c r="AE110" s="668"/>
    </row>
    <row r="111" spans="1:31" s="586" customFormat="1" ht="13.8" thickTop="1">
      <c r="A111" s="591"/>
      <c r="B111" s="3"/>
      <c r="C111" s="3"/>
      <c r="D111" s="147" t="s">
        <v>170</v>
      </c>
      <c r="E111" s="3"/>
      <c r="F111" s="3"/>
      <c r="G111" s="3"/>
      <c r="H111" s="3"/>
      <c r="I111" s="3"/>
      <c r="J111" s="3"/>
      <c r="K111" s="3"/>
      <c r="L111" s="3"/>
      <c r="M111" s="3"/>
      <c r="N111" s="3"/>
      <c r="O111" s="148"/>
      <c r="P111" s="3"/>
      <c r="Q111" s="3"/>
      <c r="R111" s="3"/>
      <c r="S111" s="3"/>
      <c r="T111" s="3"/>
      <c r="AD111" s="668"/>
      <c r="AE111" s="668"/>
    </row>
    <row r="112" spans="1:31" s="627" customFormat="1">
      <c r="A112" s="652">
        <f ca="1">$Q$110 *(150)</f>
        <v>0</v>
      </c>
      <c r="B112" s="627" t="s">
        <v>271</v>
      </c>
      <c r="D112" s="627" t="s">
        <v>282</v>
      </c>
      <c r="F112" s="627" t="s">
        <v>341</v>
      </c>
      <c r="G112" s="628" t="s">
        <v>283</v>
      </c>
      <c r="H112" s="629">
        <v>650</v>
      </c>
      <c r="I112" s="627" t="s">
        <v>279</v>
      </c>
      <c r="O112" s="630">
        <v>1</v>
      </c>
      <c r="P112" s="631">
        <v>36897</v>
      </c>
      <c r="Q112" s="708">
        <v>0</v>
      </c>
      <c r="R112" s="632">
        <f ca="1">$A112*Q112</f>
        <v>0</v>
      </c>
      <c r="S112" s="633">
        <v>0.25</v>
      </c>
      <c r="T112" s="634">
        <f ca="1">$A112*S112*$T$1</f>
        <v>0</v>
      </c>
      <c r="AD112" s="667"/>
      <c r="AE112" s="667"/>
    </row>
    <row r="113" spans="1:31" s="627" customFormat="1">
      <c r="A113" s="652">
        <f ca="1">$Q$110 *(150)</f>
        <v>0</v>
      </c>
      <c r="B113" s="627" t="s">
        <v>271</v>
      </c>
      <c r="D113" s="627" t="s">
        <v>287</v>
      </c>
      <c r="F113" s="627" t="s">
        <v>341</v>
      </c>
      <c r="G113" s="628" t="s">
        <v>288</v>
      </c>
      <c r="H113" s="629">
        <v>650</v>
      </c>
      <c r="I113" s="627" t="s">
        <v>279</v>
      </c>
      <c r="O113" s="630">
        <v>1</v>
      </c>
      <c r="P113" s="631"/>
      <c r="Q113" s="708">
        <v>0</v>
      </c>
      <c r="R113" s="632">
        <f ca="1">$A113*Q113</f>
        <v>0</v>
      </c>
      <c r="S113" s="633">
        <v>0.25</v>
      </c>
      <c r="T113" s="634">
        <f ca="1">$A113*S113*$T$1</f>
        <v>0</v>
      </c>
      <c r="AD113" s="667"/>
      <c r="AE113" s="667"/>
    </row>
    <row r="114" spans="1:31" s="627" customFormat="1">
      <c r="A114" s="652">
        <f ca="1">$Q$110 *(150*2)</f>
        <v>0</v>
      </c>
      <c r="B114" s="627" t="s">
        <v>271</v>
      </c>
      <c r="D114" s="627" t="s">
        <v>314</v>
      </c>
      <c r="F114" s="627" t="s">
        <v>341</v>
      </c>
      <c r="G114" s="628" t="s">
        <v>288</v>
      </c>
      <c r="H114" s="629">
        <v>650</v>
      </c>
      <c r="I114" s="627" t="s">
        <v>279</v>
      </c>
      <c r="O114" s="630">
        <v>1</v>
      </c>
      <c r="P114" s="631"/>
      <c r="Q114" s="633">
        <v>3.11</v>
      </c>
      <c r="R114" s="632">
        <f ca="1">$A114*Q114</f>
        <v>0</v>
      </c>
      <c r="S114" s="633"/>
      <c r="T114" s="634">
        <f ca="1">$A114*S114*$T$1</f>
        <v>0</v>
      </c>
      <c r="AD114" s="667"/>
      <c r="AE114" s="667"/>
    </row>
    <row r="115" spans="1:31" s="586" customFormat="1" ht="11.4">
      <c r="A115" s="653">
        <f ca="1">$Q$110 *(150/3)</f>
        <v>0</v>
      </c>
      <c r="B115" s="582" t="s">
        <v>272</v>
      </c>
      <c r="C115" s="582"/>
      <c r="D115" s="627" t="s">
        <v>284</v>
      </c>
      <c r="E115" s="582"/>
      <c r="F115" s="627" t="s">
        <v>341</v>
      </c>
      <c r="G115" s="582"/>
      <c r="H115" s="629">
        <v>650</v>
      </c>
      <c r="I115" s="584"/>
      <c r="J115" s="582"/>
      <c r="K115" s="582"/>
      <c r="L115" s="582"/>
      <c r="M115" s="582"/>
      <c r="N115" s="582"/>
      <c r="O115" s="582"/>
      <c r="P115" s="582"/>
      <c r="Q115" s="633">
        <v>3.43</v>
      </c>
      <c r="R115" s="632">
        <f t="shared" ref="R115" ca="1" si="23">$A115*Q115</f>
        <v>0</v>
      </c>
      <c r="S115" s="633">
        <v>0.02</v>
      </c>
      <c r="T115" s="634">
        <f t="shared" ref="T115" ca="1" si="24">$A115*S115*$T$1</f>
        <v>0</v>
      </c>
      <c r="AD115" s="668"/>
      <c r="AE115" s="668"/>
    </row>
    <row r="116" spans="1:31" s="627" customFormat="1" ht="11.4">
      <c r="A116" s="653">
        <f ca="1">$Q$110 *(15)</f>
        <v>0</v>
      </c>
      <c r="B116" s="627" t="s">
        <v>271</v>
      </c>
      <c r="D116" s="627" t="s">
        <v>336</v>
      </c>
      <c r="F116" s="627" t="s">
        <v>341</v>
      </c>
      <c r="G116" s="628" t="s">
        <v>288</v>
      </c>
      <c r="H116" s="629">
        <v>650</v>
      </c>
      <c r="I116" s="627" t="s">
        <v>279</v>
      </c>
      <c r="O116" s="630">
        <v>1</v>
      </c>
      <c r="P116" s="631"/>
      <c r="Q116" s="633">
        <v>43.16</v>
      </c>
      <c r="R116" s="632">
        <f ca="1">$A116*Q116</f>
        <v>0</v>
      </c>
      <c r="S116" s="633">
        <v>0.25</v>
      </c>
      <c r="T116" s="634">
        <f ca="1">$A116*S116*$T$1</f>
        <v>0</v>
      </c>
      <c r="AD116" s="667"/>
      <c r="AE116" s="667"/>
    </row>
    <row r="117" spans="1:31" s="627" customFormat="1" ht="11.4">
      <c r="A117" s="653">
        <f ca="1">$Q$110 *(12)</f>
        <v>0</v>
      </c>
      <c r="B117" s="627" t="s">
        <v>271</v>
      </c>
      <c r="D117" s="627" t="s">
        <v>337</v>
      </c>
      <c r="F117" s="627" t="s">
        <v>341</v>
      </c>
      <c r="G117" s="628" t="s">
        <v>288</v>
      </c>
      <c r="H117" s="629">
        <v>650</v>
      </c>
      <c r="I117" s="627" t="s">
        <v>279</v>
      </c>
      <c r="O117" s="630">
        <v>1</v>
      </c>
      <c r="P117" s="631"/>
      <c r="Q117" s="633">
        <v>21.49</v>
      </c>
      <c r="R117" s="632">
        <f ca="1">$A117*Q117</f>
        <v>0</v>
      </c>
      <c r="S117" s="633"/>
      <c r="T117" s="634">
        <f ca="1">$A117*S117*$T$1</f>
        <v>0</v>
      </c>
      <c r="AD117" s="667"/>
      <c r="AE117" s="667"/>
    </row>
    <row r="118" spans="1:31" s="627" customFormat="1" ht="11.4">
      <c r="A118" s="653">
        <f ca="1">$Q$110 *(1)</f>
        <v>0</v>
      </c>
      <c r="B118" s="627" t="s">
        <v>271</v>
      </c>
      <c r="D118" s="627" t="s">
        <v>338</v>
      </c>
      <c r="F118" s="627" t="s">
        <v>341</v>
      </c>
      <c r="G118" s="628" t="s">
        <v>288</v>
      </c>
      <c r="H118" s="629">
        <v>650</v>
      </c>
      <c r="I118" s="627" t="s">
        <v>279</v>
      </c>
      <c r="O118" s="630">
        <v>1</v>
      </c>
      <c r="P118" s="631"/>
      <c r="Q118" s="633">
        <v>54.52</v>
      </c>
      <c r="R118" s="632">
        <f ca="1">$A118*Q118</f>
        <v>0</v>
      </c>
      <c r="S118" s="633">
        <v>0.25</v>
      </c>
      <c r="T118" s="634">
        <f ca="1">$A118*S118*$T$1</f>
        <v>0</v>
      </c>
      <c r="AD118" s="667"/>
      <c r="AE118" s="667"/>
    </row>
    <row r="119" spans="1:31" s="586" customFormat="1" ht="11.4">
      <c r="A119" s="653">
        <f ca="1">$Q$110 *(150/3)</f>
        <v>0</v>
      </c>
      <c r="B119" s="582" t="s">
        <v>272</v>
      </c>
      <c r="C119" s="582"/>
      <c r="D119" s="627" t="s">
        <v>285</v>
      </c>
      <c r="E119" s="582"/>
      <c r="F119" s="627" t="s">
        <v>317</v>
      </c>
      <c r="G119" s="582"/>
      <c r="H119" s="629">
        <v>650</v>
      </c>
      <c r="I119" s="584"/>
      <c r="J119" s="582"/>
      <c r="K119" s="582"/>
      <c r="L119" s="582"/>
      <c r="M119" s="582"/>
      <c r="N119" s="582"/>
      <c r="O119" s="582"/>
      <c r="P119" s="582"/>
      <c r="Q119" s="633">
        <v>1.5960000000000001</v>
      </c>
      <c r="R119" s="632">
        <f t="shared" ref="R119:R120" ca="1" si="25">$A119*Q119</f>
        <v>0</v>
      </c>
      <c r="S119" s="633">
        <v>0.01</v>
      </c>
      <c r="T119" s="634">
        <f t="shared" ref="T119:T120" ca="1" si="26">$A119*S119*$T$1</f>
        <v>0</v>
      </c>
      <c r="AD119" s="668"/>
      <c r="AE119" s="668"/>
    </row>
    <row r="120" spans="1:31" s="586" customFormat="1" ht="11.4">
      <c r="A120" s="653">
        <f ca="1">$Q$110 *(150*8)</f>
        <v>0</v>
      </c>
      <c r="B120" s="582" t="s">
        <v>272</v>
      </c>
      <c r="C120" s="582"/>
      <c r="D120" s="627" t="s">
        <v>286</v>
      </c>
      <c r="E120" s="582"/>
      <c r="F120" s="627" t="s">
        <v>335</v>
      </c>
      <c r="G120" s="582"/>
      <c r="H120" s="629">
        <v>650</v>
      </c>
      <c r="I120" s="584"/>
      <c r="J120" s="582"/>
      <c r="K120" s="582"/>
      <c r="L120" s="582"/>
      <c r="M120" s="582"/>
      <c r="N120" s="582"/>
      <c r="O120" s="582"/>
      <c r="P120" s="582"/>
      <c r="Q120" s="633">
        <v>0.21</v>
      </c>
      <c r="R120" s="632">
        <f t="shared" ca="1" si="25"/>
        <v>0</v>
      </c>
      <c r="S120" s="584"/>
      <c r="T120" s="634">
        <f t="shared" ca="1" si="26"/>
        <v>0</v>
      </c>
      <c r="AD120" s="668"/>
      <c r="AE120" s="668"/>
    </row>
    <row r="121" spans="1:31" s="627" customFormat="1" ht="11.4">
      <c r="A121" s="653">
        <f ca="1">$Q$110 *(1)</f>
        <v>0</v>
      </c>
      <c r="B121" s="627" t="s">
        <v>281</v>
      </c>
      <c r="D121" s="627" t="s">
        <v>308</v>
      </c>
      <c r="E121" s="582"/>
      <c r="F121" s="627" t="s">
        <v>342</v>
      </c>
      <c r="G121" s="628" t="s">
        <v>309</v>
      </c>
      <c r="H121" s="629">
        <v>960</v>
      </c>
      <c r="I121" s="627" t="s">
        <v>280</v>
      </c>
      <c r="O121" s="630">
        <v>4</v>
      </c>
      <c r="P121" s="631">
        <v>38274</v>
      </c>
      <c r="Q121" s="633">
        <v>500</v>
      </c>
      <c r="R121" s="632">
        <f ca="1">$A121*Q121</f>
        <v>0</v>
      </c>
      <c r="S121" s="633"/>
      <c r="T121" s="634">
        <f ca="1">$A121*S121*$T$1</f>
        <v>0</v>
      </c>
      <c r="AD121" s="667"/>
      <c r="AE121" s="667"/>
    </row>
    <row r="122" spans="1:31" s="586" customFormat="1">
      <c r="A122" s="582"/>
      <c r="B122" s="3"/>
      <c r="C122" s="582" t="s">
        <v>171</v>
      </c>
      <c r="D122" s="3"/>
      <c r="E122" s="582"/>
      <c r="F122" s="583"/>
      <c r="G122" s="582"/>
      <c r="H122" s="582"/>
      <c r="I122" s="584"/>
      <c r="J122" s="582"/>
      <c r="K122" s="582"/>
      <c r="L122" s="582"/>
      <c r="M122" s="582"/>
      <c r="N122" s="582"/>
      <c r="O122" s="582"/>
      <c r="P122" s="582"/>
      <c r="Q122" s="584"/>
      <c r="R122" s="636">
        <f t="shared" ref="R122" si="27">$A122*Q122</f>
        <v>0</v>
      </c>
      <c r="S122" s="584"/>
      <c r="T122" s="585">
        <f t="shared" ref="T122" si="28">$A122*S122*$T$1</f>
        <v>0</v>
      </c>
      <c r="AD122" s="668"/>
      <c r="AE122" s="668"/>
    </row>
    <row r="123" spans="1:31" s="586" customFormat="1" ht="12.6" thickBot="1">
      <c r="A123" s="606" t="s">
        <v>142</v>
      </c>
      <c r="B123" s="607">
        <f>(R122+T122)</f>
        <v>0</v>
      </c>
      <c r="C123" s="608"/>
      <c r="D123" s="648" t="s">
        <v>172</v>
      </c>
      <c r="E123" s="525">
        <f ca="1">IF($B110=0,0,ROUND(ROUND(($R123*$S$2+($T123*$T$2))/$B110, 2)*$C$2,2))</f>
        <v>0</v>
      </c>
      <c r="F123" s="526">
        <f ca="1">ROUND($B110*$E123,2)</f>
        <v>0</v>
      </c>
      <c r="G123" s="608"/>
      <c r="H123" s="608"/>
      <c r="I123" s="610"/>
      <c r="J123" s="608"/>
      <c r="K123" s="649" t="s">
        <v>141</v>
      </c>
      <c r="L123" s="611" t="s">
        <v>141</v>
      </c>
      <c r="M123" s="611"/>
      <c r="N123" s="611"/>
      <c r="O123" s="611"/>
      <c r="P123" s="611"/>
      <c r="Q123" s="649"/>
      <c r="R123" s="650">
        <f ca="1">SUM(R111:R122)</f>
        <v>0</v>
      </c>
      <c r="S123" s="651"/>
      <c r="T123" s="650">
        <f ca="1">SUM(T111:T122)</f>
        <v>0</v>
      </c>
      <c r="U123" s="614"/>
      <c r="V123" s="614"/>
      <c r="W123" s="614"/>
      <c r="X123" s="614"/>
      <c r="Y123" s="614"/>
      <c r="Z123" s="614"/>
      <c r="AA123" s="614"/>
      <c r="AB123" s="614"/>
      <c r="AD123" s="668"/>
      <c r="AE123" s="668"/>
    </row>
    <row r="124" spans="1:31" ht="13.8" thickTop="1">
      <c r="A124" s="50" t="s">
        <v>154</v>
      </c>
      <c r="B124"/>
      <c r="C124"/>
      <c r="D124"/>
      <c r="E124"/>
      <c r="F124"/>
      <c r="G124"/>
      <c r="H124"/>
      <c r="I124"/>
      <c r="J124"/>
      <c r="K124"/>
      <c r="L124"/>
      <c r="M124"/>
      <c r="N124"/>
      <c r="O124" s="157"/>
      <c r="P124"/>
      <c r="Q124"/>
      <c r="R124"/>
      <c r="S124"/>
      <c r="T124"/>
    </row>
    <row r="125" spans="1:31" ht="14.4" thickBot="1">
      <c r="A125" s="50" t="s">
        <v>154</v>
      </c>
      <c r="B125" s="1"/>
      <c r="C125" s="33"/>
      <c r="D125" s="158" t="s">
        <v>173</v>
      </c>
      <c r="E125" s="1"/>
      <c r="F125" s="3"/>
      <c r="G125" s="3"/>
      <c r="H125" s="3"/>
      <c r="I125" s="3"/>
      <c r="J125" s="3"/>
      <c r="K125" s="3"/>
      <c r="L125" s="3"/>
      <c r="M125" s="3"/>
      <c r="N125" s="3"/>
      <c r="O125" s="148"/>
      <c r="P125" s="3"/>
      <c r="Q125" s="3"/>
      <c r="R125" s="159" t="s">
        <v>33</v>
      </c>
      <c r="S125" s="160"/>
      <c r="T125" s="159" t="s">
        <v>34</v>
      </c>
    </row>
    <row r="126" spans="1:31" ht="13.8" thickTop="1">
      <c r="A126" s="50" t="s">
        <v>154</v>
      </c>
      <c r="B126" s="3"/>
      <c r="C126" s="33"/>
      <c r="D126" s="1"/>
      <c r="E126" s="1"/>
      <c r="F126" s="33"/>
      <c r="G126" s="1"/>
      <c r="H126" s="1"/>
      <c r="I126" s="1"/>
      <c r="J126" s="1"/>
      <c r="K126" s="3"/>
      <c r="L126" s="1"/>
      <c r="M126" s="1"/>
      <c r="N126" s="1"/>
      <c r="O126" s="161"/>
      <c r="P126" s="1"/>
      <c r="Q126" s="1"/>
      <c r="R126" s="1"/>
      <c r="S126" s="1"/>
      <c r="T126" s="1"/>
    </row>
    <row r="127" spans="1:31" ht="13.8" thickBot="1">
      <c r="A127" s="50" t="s">
        <v>154</v>
      </c>
      <c r="B127" s="3"/>
      <c r="C127" s="33"/>
      <c r="D127" s="83" t="s">
        <v>174</v>
      </c>
      <c r="E127" s="1"/>
      <c r="F127" s="1"/>
      <c r="G127" s="33"/>
      <c r="H127" s="33"/>
      <c r="I127" s="33"/>
      <c r="J127" s="33"/>
      <c r="K127" s="3"/>
      <c r="L127" s="162" t="s">
        <v>175</v>
      </c>
      <c r="M127" s="162"/>
      <c r="N127" s="162"/>
      <c r="O127" s="163"/>
      <c r="P127" s="162"/>
      <c r="Q127" s="33"/>
      <c r="R127" s="164">
        <f ca="1">SUMIF($L$12:$L125,"",R$12:R125)</f>
        <v>844.99819000000014</v>
      </c>
      <c r="S127" s="165"/>
      <c r="T127" s="164">
        <f ca="1">SUMIF($L$12:$L125,"",T$12:T125)</f>
        <v>8.2109999999999985</v>
      </c>
    </row>
    <row r="128" spans="1:31" ht="13.8" thickBot="1">
      <c r="A128" s="50" t="s">
        <v>154</v>
      </c>
      <c r="B128" s="3"/>
      <c r="C128" s="33"/>
      <c r="D128" s="83" t="s">
        <v>176</v>
      </c>
      <c r="E128" s="1"/>
      <c r="F128" s="3"/>
      <c r="G128" s="3"/>
      <c r="H128" s="3"/>
      <c r="I128" s="3"/>
      <c r="J128" s="3"/>
      <c r="K128" s="3"/>
      <c r="L128" s="162" t="s">
        <v>177</v>
      </c>
      <c r="M128" s="162"/>
      <c r="N128" s="162"/>
      <c r="O128" s="163"/>
      <c r="P128" s="162"/>
      <c r="Q128" s="3"/>
      <c r="R128" s="166">
        <f ca="1">SUMIF($L$12:$L125,"ITEM",R$12:R125)</f>
        <v>844.99819000000002</v>
      </c>
      <c r="S128" s="167"/>
      <c r="T128" s="166">
        <f ca="1">SUMIF($L$12:$L125,"ITEM",T$12:T125)</f>
        <v>8.2109999999999985</v>
      </c>
    </row>
    <row r="129" spans="1:28" ht="13.8" thickBot="1">
      <c r="A129" s="97" t="s">
        <v>144</v>
      </c>
      <c r="B129" s="9"/>
      <c r="C129" s="53"/>
      <c r="D129" s="9"/>
      <c r="E129" s="9"/>
      <c r="F129" s="9"/>
      <c r="G129" s="9"/>
      <c r="H129" s="9"/>
      <c r="I129" s="9"/>
      <c r="J129" s="9"/>
      <c r="K129" s="9"/>
      <c r="L129" s="9"/>
      <c r="M129" s="9"/>
      <c r="N129" s="9"/>
      <c r="O129" s="168"/>
      <c r="P129" s="9"/>
      <c r="Q129" s="9"/>
      <c r="R129" s="9"/>
      <c r="S129" s="9"/>
      <c r="T129" s="9"/>
      <c r="U129" s="117"/>
      <c r="V129" s="117"/>
      <c r="W129" s="117"/>
      <c r="X129" s="117"/>
      <c r="Y129" s="117"/>
      <c r="Z129" s="117"/>
      <c r="AA129" s="117"/>
      <c r="AB129" s="117"/>
    </row>
    <row r="130" spans="1:28" ht="13.8" thickTop="1">
      <c r="A130" s="99"/>
      <c r="B130" s="508" t="s">
        <v>70</v>
      </c>
      <c r="C130" s="6"/>
      <c r="D130" s="100"/>
      <c r="E130" s="101" t="s">
        <v>155</v>
      </c>
      <c r="F130" s="102"/>
      <c r="G130" s="102"/>
      <c r="H130" s="102"/>
      <c r="I130" s="102"/>
      <c r="J130" s="102"/>
      <c r="K130" s="102"/>
      <c r="L130" s="102"/>
      <c r="M130" s="102"/>
      <c r="N130" s="102"/>
      <c r="O130" s="103"/>
      <c r="P130" s="102"/>
      <c r="Q130" s="104"/>
      <c r="R130" s="105">
        <f ca="1">SUM(R131:R186)</f>
        <v>844.99819000000002</v>
      </c>
      <c r="S130" s="106"/>
      <c r="T130" s="105">
        <f ca="1">SUM(T131:T186)</f>
        <v>8.2109999999999985</v>
      </c>
    </row>
    <row r="131" spans="1:28">
      <c r="A131" s="107"/>
      <c r="B131" s="528">
        <v>1</v>
      </c>
      <c r="C131" s="6" t="s">
        <v>72</v>
      </c>
      <c r="D131" s="36" t="s">
        <v>73</v>
      </c>
      <c r="F131" s="108">
        <v>501</v>
      </c>
      <c r="O131" s="109"/>
      <c r="P131" s="36">
        <v>1</v>
      </c>
      <c r="R131" s="110">
        <f t="shared" ref="R131:R162" ca="1" si="29">SUMIF($H$12:$H$124,$F131,R$12:R$124)</f>
        <v>428.48900000000003</v>
      </c>
      <c r="S131" s="111"/>
      <c r="T131" s="110">
        <f t="shared" ref="T131:T162" ca="1" si="30">SUMIF($H$12:$H$124,$F131,T$12:T$124)</f>
        <v>3.4499999999999997</v>
      </c>
    </row>
    <row r="132" spans="1:28" hidden="1">
      <c r="A132" s="107"/>
      <c r="B132" s="528">
        <v>2</v>
      </c>
      <c r="C132" s="6" t="s">
        <v>72</v>
      </c>
      <c r="D132" s="36" t="s">
        <v>74</v>
      </c>
      <c r="F132" s="108">
        <v>505</v>
      </c>
      <c r="O132" s="109"/>
      <c r="P132" s="36">
        <v>1</v>
      </c>
      <c r="R132" s="110">
        <f t="shared" si="29"/>
        <v>0</v>
      </c>
      <c r="S132" s="111"/>
      <c r="T132" s="110">
        <f t="shared" si="30"/>
        <v>0</v>
      </c>
    </row>
    <row r="133" spans="1:28" hidden="1">
      <c r="A133" s="107"/>
      <c r="B133" s="528">
        <v>3</v>
      </c>
      <c r="C133" s="6" t="s">
        <v>72</v>
      </c>
      <c r="D133" s="36" t="s">
        <v>75</v>
      </c>
      <c r="F133" s="108">
        <v>510</v>
      </c>
      <c r="O133" s="109"/>
      <c r="P133" s="36">
        <v>2</v>
      </c>
      <c r="R133" s="110">
        <f t="shared" si="29"/>
        <v>0</v>
      </c>
      <c r="S133" s="111"/>
      <c r="T133" s="110">
        <f t="shared" si="30"/>
        <v>0</v>
      </c>
    </row>
    <row r="134" spans="1:28" hidden="1">
      <c r="A134" s="107"/>
      <c r="B134" s="528">
        <v>4</v>
      </c>
      <c r="C134" s="6" t="s">
        <v>72</v>
      </c>
      <c r="D134" s="36" t="s">
        <v>76</v>
      </c>
      <c r="F134" s="108">
        <v>511</v>
      </c>
      <c r="O134" s="109"/>
      <c r="P134" s="36">
        <v>2</v>
      </c>
      <c r="R134" s="110">
        <f t="shared" si="29"/>
        <v>0</v>
      </c>
      <c r="S134" s="111"/>
      <c r="T134" s="110">
        <f t="shared" si="30"/>
        <v>0</v>
      </c>
    </row>
    <row r="135" spans="1:28" hidden="1">
      <c r="A135" s="107"/>
      <c r="B135" s="528">
        <v>5</v>
      </c>
      <c r="C135" s="6" t="s">
        <v>72</v>
      </c>
      <c r="D135" s="36" t="s">
        <v>77</v>
      </c>
      <c r="F135" s="108">
        <v>512</v>
      </c>
      <c r="O135" s="109"/>
      <c r="P135" s="36">
        <v>2</v>
      </c>
      <c r="R135" s="110">
        <f t="shared" si="29"/>
        <v>0</v>
      </c>
      <c r="S135" s="111"/>
      <c r="T135" s="110">
        <f t="shared" si="30"/>
        <v>0</v>
      </c>
    </row>
    <row r="136" spans="1:28" hidden="1">
      <c r="A136" s="107"/>
      <c r="B136" s="528">
        <v>6</v>
      </c>
      <c r="C136" s="6" t="s">
        <v>72</v>
      </c>
      <c r="D136" s="36" t="s">
        <v>78</v>
      </c>
      <c r="F136" s="108">
        <v>520</v>
      </c>
      <c r="O136" s="109"/>
      <c r="P136" s="36">
        <v>1</v>
      </c>
      <c r="R136" s="110">
        <f t="shared" si="29"/>
        <v>0</v>
      </c>
      <c r="S136" s="111"/>
      <c r="T136" s="110">
        <f t="shared" si="30"/>
        <v>0</v>
      </c>
    </row>
    <row r="137" spans="1:28" hidden="1">
      <c r="A137" s="107"/>
      <c r="B137" s="528">
        <v>7</v>
      </c>
      <c r="C137" s="6" t="s">
        <v>72</v>
      </c>
      <c r="D137" s="36" t="s">
        <v>79</v>
      </c>
      <c r="F137" s="108">
        <v>530</v>
      </c>
      <c r="O137" s="109"/>
      <c r="P137" s="36">
        <v>2</v>
      </c>
      <c r="R137" s="110">
        <f t="shared" si="29"/>
        <v>0</v>
      </c>
      <c r="S137" s="111"/>
      <c r="T137" s="110">
        <f t="shared" si="30"/>
        <v>0</v>
      </c>
    </row>
    <row r="138" spans="1:28" hidden="1">
      <c r="A138" s="107"/>
      <c r="B138" s="528">
        <v>8</v>
      </c>
      <c r="C138" s="6" t="s">
        <v>72</v>
      </c>
      <c r="D138" s="36" t="s">
        <v>80</v>
      </c>
      <c r="F138" s="108">
        <v>550</v>
      </c>
      <c r="O138" s="109"/>
      <c r="P138" s="36">
        <v>2</v>
      </c>
      <c r="R138" s="110">
        <f t="shared" si="29"/>
        <v>0</v>
      </c>
      <c r="S138" s="111"/>
      <c r="T138" s="110">
        <f t="shared" si="30"/>
        <v>0</v>
      </c>
    </row>
    <row r="139" spans="1:28" hidden="1">
      <c r="A139" s="107"/>
      <c r="B139" s="528">
        <v>9</v>
      </c>
      <c r="C139" s="6" t="s">
        <v>72</v>
      </c>
      <c r="D139" s="36" t="s">
        <v>81</v>
      </c>
      <c r="F139" s="108">
        <v>570</v>
      </c>
      <c r="O139" s="109"/>
      <c r="P139" s="36">
        <v>2</v>
      </c>
      <c r="R139" s="110">
        <f t="shared" si="29"/>
        <v>0</v>
      </c>
      <c r="S139" s="111"/>
      <c r="T139" s="110">
        <f t="shared" si="30"/>
        <v>0</v>
      </c>
    </row>
    <row r="140" spans="1:28" hidden="1">
      <c r="A140" s="107"/>
      <c r="B140" s="528">
        <v>10</v>
      </c>
      <c r="C140" s="6" t="s">
        <v>72</v>
      </c>
      <c r="D140" s="36" t="s">
        <v>82</v>
      </c>
      <c r="F140" s="108">
        <v>615</v>
      </c>
      <c r="O140" s="109"/>
      <c r="P140" s="36">
        <v>2</v>
      </c>
      <c r="R140" s="110">
        <f t="shared" si="29"/>
        <v>0</v>
      </c>
      <c r="S140" s="111"/>
      <c r="T140" s="110">
        <f t="shared" si="30"/>
        <v>0</v>
      </c>
    </row>
    <row r="141" spans="1:28" hidden="1">
      <c r="A141" s="107"/>
      <c r="B141" s="528">
        <v>11</v>
      </c>
      <c r="C141" s="6" t="s">
        <v>72</v>
      </c>
      <c r="D141" s="36" t="s">
        <v>84</v>
      </c>
      <c r="F141" s="108">
        <v>616</v>
      </c>
      <c r="O141" s="109"/>
      <c r="P141" s="36">
        <v>2</v>
      </c>
      <c r="R141" s="110">
        <f t="shared" si="29"/>
        <v>0</v>
      </c>
      <c r="S141" s="111"/>
      <c r="T141" s="110">
        <f t="shared" si="30"/>
        <v>0</v>
      </c>
    </row>
    <row r="142" spans="1:28" hidden="1">
      <c r="A142" s="107"/>
      <c r="B142" s="528">
        <v>12</v>
      </c>
      <c r="C142" s="6" t="s">
        <v>72</v>
      </c>
      <c r="D142" s="36" t="s">
        <v>85</v>
      </c>
      <c r="F142" s="108">
        <v>617</v>
      </c>
      <c r="O142" s="109"/>
      <c r="P142" s="36">
        <v>2</v>
      </c>
      <c r="R142" s="110">
        <f t="shared" si="29"/>
        <v>0</v>
      </c>
      <c r="S142" s="111"/>
      <c r="T142" s="110">
        <f t="shared" si="30"/>
        <v>0</v>
      </c>
    </row>
    <row r="143" spans="1:28">
      <c r="A143" s="107"/>
      <c r="B143" s="528">
        <v>13</v>
      </c>
      <c r="C143" s="6" t="s">
        <v>72</v>
      </c>
      <c r="D143" s="36" t="s">
        <v>156</v>
      </c>
      <c r="F143" s="108">
        <v>620</v>
      </c>
      <c r="O143" s="109"/>
      <c r="P143" s="36">
        <v>2</v>
      </c>
      <c r="R143" s="110">
        <f t="shared" si="29"/>
        <v>0</v>
      </c>
      <c r="S143" s="111"/>
      <c r="T143" s="110">
        <f t="shared" si="30"/>
        <v>0</v>
      </c>
    </row>
    <row r="144" spans="1:28">
      <c r="A144" s="107"/>
      <c r="B144" s="528">
        <v>14</v>
      </c>
      <c r="C144" s="6" t="s">
        <v>72</v>
      </c>
      <c r="D144" s="36" t="s">
        <v>87</v>
      </c>
      <c r="F144" s="108">
        <v>650</v>
      </c>
      <c r="O144" s="109"/>
      <c r="P144" s="36">
        <v>1</v>
      </c>
      <c r="R144" s="110">
        <f t="shared" ca="1" si="29"/>
        <v>396.50918999999999</v>
      </c>
      <c r="S144" s="111"/>
      <c r="T144" s="110">
        <f t="shared" ca="1" si="30"/>
        <v>4.7609999999999992</v>
      </c>
    </row>
    <row r="145" spans="1:20" hidden="1">
      <c r="A145" s="107"/>
      <c r="B145" s="528">
        <v>15</v>
      </c>
      <c r="C145" s="6" t="s">
        <v>72</v>
      </c>
      <c r="D145" s="36" t="s">
        <v>88</v>
      </c>
      <c r="F145" s="108">
        <v>651</v>
      </c>
      <c r="O145" s="109"/>
      <c r="P145" s="36">
        <v>1</v>
      </c>
      <c r="R145" s="110">
        <f t="shared" si="29"/>
        <v>0</v>
      </c>
      <c r="S145" s="111"/>
      <c r="T145" s="110">
        <f t="shared" si="30"/>
        <v>0</v>
      </c>
    </row>
    <row r="146" spans="1:20" hidden="1">
      <c r="A146" s="107"/>
      <c r="B146" s="528">
        <v>16</v>
      </c>
      <c r="C146" s="6" t="s">
        <v>72</v>
      </c>
      <c r="D146" s="36" t="s">
        <v>89</v>
      </c>
      <c r="F146" s="108">
        <v>652</v>
      </c>
      <c r="O146" s="109"/>
      <c r="P146" s="36">
        <v>1</v>
      </c>
      <c r="R146" s="110">
        <f t="shared" si="29"/>
        <v>0</v>
      </c>
      <c r="S146" s="111"/>
      <c r="T146" s="110">
        <f t="shared" si="30"/>
        <v>0</v>
      </c>
    </row>
    <row r="147" spans="1:20" hidden="1">
      <c r="A147" s="107"/>
      <c r="B147" s="528">
        <v>17</v>
      </c>
      <c r="C147" s="6" t="s">
        <v>72</v>
      </c>
      <c r="D147" s="36" t="s">
        <v>90</v>
      </c>
      <c r="F147" s="108">
        <v>654</v>
      </c>
      <c r="O147" s="109"/>
      <c r="P147" s="36">
        <v>1</v>
      </c>
      <c r="R147" s="110">
        <f t="shared" si="29"/>
        <v>0</v>
      </c>
      <c r="S147" s="111"/>
      <c r="T147" s="110">
        <f t="shared" si="30"/>
        <v>0</v>
      </c>
    </row>
    <row r="148" spans="1:20" hidden="1">
      <c r="A148" s="107"/>
      <c r="B148" s="528">
        <v>18</v>
      </c>
      <c r="C148" s="6" t="s">
        <v>72</v>
      </c>
      <c r="D148" s="36" t="s">
        <v>91</v>
      </c>
      <c r="F148" s="108">
        <v>675</v>
      </c>
      <c r="O148" s="109"/>
      <c r="P148" s="36">
        <v>1</v>
      </c>
      <c r="R148" s="110">
        <f t="shared" si="29"/>
        <v>0</v>
      </c>
      <c r="S148" s="111"/>
      <c r="T148" s="110">
        <f t="shared" si="30"/>
        <v>0</v>
      </c>
    </row>
    <row r="149" spans="1:20" hidden="1">
      <c r="A149" s="107"/>
      <c r="B149" s="528">
        <v>19</v>
      </c>
      <c r="C149" s="6" t="s">
        <v>72</v>
      </c>
      <c r="D149" s="36" t="s">
        <v>92</v>
      </c>
      <c r="F149" s="108">
        <v>676</v>
      </c>
      <c r="O149" s="109"/>
      <c r="P149" s="36">
        <v>1</v>
      </c>
      <c r="R149" s="110">
        <f t="shared" si="29"/>
        <v>0</v>
      </c>
      <c r="S149" s="111"/>
      <c r="T149" s="110">
        <f t="shared" si="30"/>
        <v>0</v>
      </c>
    </row>
    <row r="150" spans="1:20" hidden="1">
      <c r="A150" s="107"/>
      <c r="B150" s="528">
        <v>20</v>
      </c>
      <c r="C150" s="6" t="s">
        <v>72</v>
      </c>
      <c r="D150" s="36" t="s">
        <v>93</v>
      </c>
      <c r="F150" s="108">
        <v>680</v>
      </c>
      <c r="O150" s="109"/>
      <c r="P150" s="36">
        <v>1</v>
      </c>
      <c r="R150" s="110">
        <f t="shared" si="29"/>
        <v>0</v>
      </c>
      <c r="S150" s="111"/>
      <c r="T150" s="110">
        <f t="shared" si="30"/>
        <v>0</v>
      </c>
    </row>
    <row r="151" spans="1:20" hidden="1">
      <c r="A151" s="107"/>
      <c r="B151" s="528">
        <v>21</v>
      </c>
      <c r="C151" s="6" t="s">
        <v>72</v>
      </c>
      <c r="D151" s="36" t="s">
        <v>95</v>
      </c>
      <c r="F151" s="108">
        <v>681</v>
      </c>
      <c r="O151" s="109"/>
      <c r="P151" s="36">
        <v>1</v>
      </c>
      <c r="R151" s="110">
        <f t="shared" si="29"/>
        <v>0</v>
      </c>
      <c r="S151" s="111"/>
      <c r="T151" s="110">
        <f t="shared" si="30"/>
        <v>0</v>
      </c>
    </row>
    <row r="152" spans="1:20" hidden="1">
      <c r="A152" s="107"/>
      <c r="B152" s="528">
        <v>22</v>
      </c>
      <c r="C152" s="6" t="s">
        <v>72</v>
      </c>
      <c r="D152" s="36" t="s">
        <v>96</v>
      </c>
      <c r="F152" s="108">
        <v>690</v>
      </c>
      <c r="O152" s="109"/>
      <c r="P152" s="36">
        <v>1</v>
      </c>
      <c r="R152" s="110">
        <f t="shared" si="29"/>
        <v>0</v>
      </c>
      <c r="S152" s="111"/>
      <c r="T152" s="110">
        <f t="shared" si="30"/>
        <v>0</v>
      </c>
    </row>
    <row r="153" spans="1:20" hidden="1">
      <c r="A153" s="107"/>
      <c r="B153" s="528">
        <v>23</v>
      </c>
      <c r="C153" s="6" t="s">
        <v>72</v>
      </c>
      <c r="D153" s="36" t="s">
        <v>97</v>
      </c>
      <c r="F153" s="108">
        <v>700</v>
      </c>
      <c r="O153" s="109"/>
      <c r="P153" s="36">
        <v>1</v>
      </c>
      <c r="R153" s="110">
        <f t="shared" si="29"/>
        <v>0</v>
      </c>
      <c r="S153" s="111"/>
      <c r="T153" s="110">
        <f t="shared" si="30"/>
        <v>0</v>
      </c>
    </row>
    <row r="154" spans="1:20" hidden="1">
      <c r="A154" s="107"/>
      <c r="B154" s="528">
        <v>24</v>
      </c>
      <c r="C154" s="6" t="s">
        <v>72</v>
      </c>
      <c r="D154" s="36" t="s">
        <v>98</v>
      </c>
      <c r="F154" s="108">
        <v>705</v>
      </c>
      <c r="O154" s="109"/>
      <c r="P154" s="36">
        <v>3</v>
      </c>
      <c r="R154" s="110">
        <f t="shared" si="29"/>
        <v>0</v>
      </c>
      <c r="S154" s="111"/>
      <c r="T154" s="110">
        <f t="shared" si="30"/>
        <v>0</v>
      </c>
    </row>
    <row r="155" spans="1:20" hidden="1">
      <c r="A155" s="107"/>
      <c r="B155" s="528">
        <v>25</v>
      </c>
      <c r="C155" s="6" t="s">
        <v>72</v>
      </c>
      <c r="D155" s="36" t="s">
        <v>99</v>
      </c>
      <c r="F155" s="108">
        <v>706</v>
      </c>
      <c r="O155" s="109"/>
      <c r="P155" s="36">
        <v>3</v>
      </c>
      <c r="R155" s="110">
        <f t="shared" si="29"/>
        <v>0</v>
      </c>
      <c r="S155" s="111"/>
      <c r="T155" s="110">
        <f t="shared" si="30"/>
        <v>0</v>
      </c>
    </row>
    <row r="156" spans="1:20" hidden="1">
      <c r="A156" s="107"/>
      <c r="B156" s="528">
        <v>26</v>
      </c>
      <c r="C156" s="6" t="s">
        <v>72</v>
      </c>
      <c r="D156" s="36" t="s">
        <v>100</v>
      </c>
      <c r="F156" s="108">
        <v>725</v>
      </c>
      <c r="O156" s="109"/>
      <c r="P156" s="36">
        <v>3</v>
      </c>
      <c r="R156" s="110">
        <f t="shared" si="29"/>
        <v>0</v>
      </c>
      <c r="S156" s="111"/>
      <c r="T156" s="110">
        <f t="shared" si="30"/>
        <v>0</v>
      </c>
    </row>
    <row r="157" spans="1:20" hidden="1">
      <c r="A157" s="107"/>
      <c r="B157" s="528">
        <v>27</v>
      </c>
      <c r="C157" s="6" t="s">
        <v>72</v>
      </c>
      <c r="D157" s="36" t="s">
        <v>101</v>
      </c>
      <c r="F157" s="108">
        <v>726</v>
      </c>
      <c r="O157" s="109"/>
      <c r="P157" s="36">
        <v>3</v>
      </c>
      <c r="R157" s="110">
        <f t="shared" si="29"/>
        <v>0</v>
      </c>
      <c r="S157" s="111"/>
      <c r="T157" s="110">
        <f t="shared" si="30"/>
        <v>0</v>
      </c>
    </row>
    <row r="158" spans="1:20" hidden="1">
      <c r="A158" s="107"/>
      <c r="B158" s="528">
        <v>28</v>
      </c>
      <c r="C158" s="6" t="s">
        <v>72</v>
      </c>
      <c r="D158" s="36" t="s">
        <v>102</v>
      </c>
      <c r="F158" s="108">
        <v>750</v>
      </c>
      <c r="O158" s="109"/>
      <c r="P158" s="36">
        <v>3</v>
      </c>
      <c r="R158" s="110">
        <f t="shared" si="29"/>
        <v>0</v>
      </c>
      <c r="S158" s="111"/>
      <c r="T158" s="110">
        <f t="shared" si="30"/>
        <v>0</v>
      </c>
    </row>
    <row r="159" spans="1:20" hidden="1">
      <c r="A159" s="107"/>
      <c r="B159" s="528">
        <v>29</v>
      </c>
      <c r="C159" s="6" t="s">
        <v>72</v>
      </c>
      <c r="D159" s="36" t="s">
        <v>103</v>
      </c>
      <c r="F159" s="108">
        <v>751</v>
      </c>
      <c r="O159" s="109"/>
      <c r="P159" s="36">
        <v>3</v>
      </c>
      <c r="R159" s="110">
        <f t="shared" si="29"/>
        <v>0</v>
      </c>
      <c r="S159" s="111"/>
      <c r="T159" s="110">
        <f t="shared" si="30"/>
        <v>0</v>
      </c>
    </row>
    <row r="160" spans="1:20" hidden="1">
      <c r="A160" s="107"/>
      <c r="B160" s="528">
        <v>30</v>
      </c>
      <c r="C160" s="6" t="s">
        <v>72</v>
      </c>
      <c r="D160" s="36" t="s">
        <v>104</v>
      </c>
      <c r="F160" s="108">
        <v>752</v>
      </c>
      <c r="O160" s="109"/>
      <c r="P160" s="36">
        <v>3</v>
      </c>
      <c r="R160" s="110">
        <f t="shared" si="29"/>
        <v>0</v>
      </c>
      <c r="S160" s="111"/>
      <c r="T160" s="110">
        <f t="shared" si="30"/>
        <v>0</v>
      </c>
    </row>
    <row r="161" spans="1:20" hidden="1">
      <c r="A161" s="107"/>
      <c r="B161" s="528">
        <v>31</v>
      </c>
      <c r="C161" s="6" t="s">
        <v>72</v>
      </c>
      <c r="D161" s="616" t="s">
        <v>268</v>
      </c>
      <c r="F161" s="108">
        <v>753</v>
      </c>
      <c r="O161" s="109"/>
      <c r="P161" s="36">
        <v>3</v>
      </c>
      <c r="R161" s="110">
        <f t="shared" si="29"/>
        <v>0</v>
      </c>
      <c r="S161" s="111"/>
      <c r="T161" s="110">
        <f t="shared" si="30"/>
        <v>0</v>
      </c>
    </row>
    <row r="162" spans="1:20" hidden="1">
      <c r="A162" s="107"/>
      <c r="B162" s="528">
        <v>32</v>
      </c>
      <c r="C162" s="6" t="s">
        <v>72</v>
      </c>
      <c r="D162" s="36" t="s">
        <v>106</v>
      </c>
      <c r="F162" s="108">
        <v>770</v>
      </c>
      <c r="O162" s="109"/>
      <c r="P162" s="36">
        <v>3</v>
      </c>
      <c r="R162" s="110">
        <f t="shared" si="29"/>
        <v>0</v>
      </c>
      <c r="S162" s="111"/>
      <c r="T162" s="110">
        <f t="shared" si="30"/>
        <v>0</v>
      </c>
    </row>
    <row r="163" spans="1:20" hidden="1">
      <c r="A163" s="107"/>
      <c r="B163" s="528">
        <v>33</v>
      </c>
      <c r="C163" s="6" t="s">
        <v>72</v>
      </c>
      <c r="D163" s="36" t="s">
        <v>107</v>
      </c>
      <c r="F163" s="108">
        <v>790</v>
      </c>
      <c r="O163" s="109"/>
      <c r="P163" s="36">
        <v>3</v>
      </c>
      <c r="R163" s="110">
        <f t="shared" ref="R163:R186" si="31">SUMIF($H$12:$H$124,$F163,R$12:R$124)</f>
        <v>0</v>
      </c>
      <c r="S163" s="111"/>
      <c r="T163" s="110">
        <f t="shared" ref="T163:T186" si="32">SUMIF($H$12:$H$124,$F163,T$12:T$124)</f>
        <v>0</v>
      </c>
    </row>
    <row r="164" spans="1:20" hidden="1">
      <c r="A164" s="107"/>
      <c r="B164" s="528">
        <v>34</v>
      </c>
      <c r="C164" s="6" t="s">
        <v>72</v>
      </c>
      <c r="D164" s="36" t="s">
        <v>108</v>
      </c>
      <c r="F164" s="108">
        <v>791</v>
      </c>
      <c r="O164" s="109"/>
      <c r="P164" s="36">
        <v>3</v>
      </c>
      <c r="R164" s="110">
        <f t="shared" si="31"/>
        <v>0</v>
      </c>
      <c r="S164" s="111"/>
      <c r="T164" s="110">
        <f t="shared" si="32"/>
        <v>0</v>
      </c>
    </row>
    <row r="165" spans="1:20" hidden="1">
      <c r="A165" s="107"/>
      <c r="B165" s="528">
        <v>35</v>
      </c>
      <c r="C165" s="6" t="s">
        <v>72</v>
      </c>
      <c r="D165" s="36" t="s">
        <v>109</v>
      </c>
      <c r="F165" s="108">
        <v>810</v>
      </c>
      <c r="O165" s="109"/>
      <c r="P165" s="36">
        <v>3</v>
      </c>
      <c r="R165" s="110">
        <f t="shared" si="31"/>
        <v>0</v>
      </c>
      <c r="S165" s="111"/>
      <c r="T165" s="110">
        <f t="shared" si="32"/>
        <v>0</v>
      </c>
    </row>
    <row r="166" spans="1:20" hidden="1">
      <c r="A166" s="107"/>
      <c r="B166" s="528">
        <v>36</v>
      </c>
      <c r="C166" s="6" t="s">
        <v>72</v>
      </c>
      <c r="D166" s="36" t="s">
        <v>110</v>
      </c>
      <c r="F166" s="108">
        <v>815</v>
      </c>
      <c r="O166" s="109"/>
      <c r="P166" s="36">
        <v>3</v>
      </c>
      <c r="R166" s="110">
        <f t="shared" si="31"/>
        <v>0</v>
      </c>
      <c r="S166" s="111"/>
      <c r="T166" s="110">
        <f t="shared" si="32"/>
        <v>0</v>
      </c>
    </row>
    <row r="167" spans="1:20" hidden="1">
      <c r="A167" s="107"/>
      <c r="B167" s="528">
        <v>37</v>
      </c>
      <c r="C167" s="6" t="s">
        <v>72</v>
      </c>
      <c r="D167" s="36" t="s">
        <v>111</v>
      </c>
      <c r="F167" s="108">
        <v>820</v>
      </c>
      <c r="O167" s="109"/>
      <c r="P167" s="36">
        <v>2</v>
      </c>
      <c r="R167" s="110">
        <f t="shared" si="31"/>
        <v>0</v>
      </c>
      <c r="S167" s="111"/>
      <c r="T167" s="110">
        <f t="shared" si="32"/>
        <v>0</v>
      </c>
    </row>
    <row r="168" spans="1:20" hidden="1">
      <c r="A168" s="107"/>
      <c r="B168" s="528">
        <v>38</v>
      </c>
      <c r="C168" s="6" t="s">
        <v>72</v>
      </c>
      <c r="D168" s="36" t="s">
        <v>112</v>
      </c>
      <c r="F168" s="108">
        <v>821</v>
      </c>
      <c r="O168" s="109"/>
      <c r="P168" s="36">
        <v>3</v>
      </c>
      <c r="R168" s="110">
        <f t="shared" si="31"/>
        <v>0</v>
      </c>
      <c r="S168" s="111"/>
      <c r="T168" s="110">
        <f t="shared" si="32"/>
        <v>0</v>
      </c>
    </row>
    <row r="169" spans="1:20" hidden="1">
      <c r="A169" s="107"/>
      <c r="B169" s="528">
        <v>39</v>
      </c>
      <c r="C169" s="6" t="s">
        <v>72</v>
      </c>
      <c r="D169" s="36" t="s">
        <v>113</v>
      </c>
      <c r="F169" s="108">
        <v>835</v>
      </c>
      <c r="O169" s="109"/>
      <c r="P169" s="36">
        <v>3</v>
      </c>
      <c r="R169" s="110">
        <f t="shared" si="31"/>
        <v>0</v>
      </c>
      <c r="S169" s="111"/>
      <c r="T169" s="110">
        <f t="shared" si="32"/>
        <v>0</v>
      </c>
    </row>
    <row r="170" spans="1:20" hidden="1">
      <c r="A170" s="107"/>
      <c r="B170" s="528">
        <v>40</v>
      </c>
      <c r="C170" s="6" t="s">
        <v>72</v>
      </c>
      <c r="D170" s="36" t="s">
        <v>114</v>
      </c>
      <c r="F170" s="108">
        <v>845</v>
      </c>
      <c r="O170" s="109"/>
      <c r="P170" s="36">
        <v>2</v>
      </c>
      <c r="R170" s="110">
        <f t="shared" si="31"/>
        <v>0</v>
      </c>
      <c r="S170" s="111"/>
      <c r="T170" s="110">
        <f t="shared" si="32"/>
        <v>0</v>
      </c>
    </row>
    <row r="171" spans="1:20" hidden="1">
      <c r="A171" s="107"/>
      <c r="B171" s="528">
        <v>41</v>
      </c>
      <c r="C171" s="6" t="s">
        <v>72</v>
      </c>
      <c r="D171" s="36" t="s">
        <v>116</v>
      </c>
      <c r="F171" s="108">
        <v>855</v>
      </c>
      <c r="O171" s="109"/>
      <c r="P171" s="36">
        <v>3</v>
      </c>
      <c r="R171" s="110">
        <f t="shared" si="31"/>
        <v>0</v>
      </c>
      <c r="S171" s="111"/>
      <c r="T171" s="110">
        <f t="shared" si="32"/>
        <v>0</v>
      </c>
    </row>
    <row r="172" spans="1:20" hidden="1">
      <c r="A172" s="107"/>
      <c r="B172" s="528">
        <v>42</v>
      </c>
      <c r="C172" s="6" t="s">
        <v>72</v>
      </c>
      <c r="D172" s="36" t="s">
        <v>117</v>
      </c>
      <c r="F172" s="108">
        <v>856</v>
      </c>
      <c r="O172" s="109"/>
      <c r="P172" s="36">
        <v>3</v>
      </c>
      <c r="R172" s="110">
        <f t="shared" si="31"/>
        <v>0</v>
      </c>
      <c r="S172" s="111"/>
      <c r="T172" s="110">
        <f t="shared" si="32"/>
        <v>0</v>
      </c>
    </row>
    <row r="173" spans="1:20" hidden="1">
      <c r="A173" s="107"/>
      <c r="B173" s="528">
        <v>43</v>
      </c>
      <c r="C173" s="6" t="s">
        <v>72</v>
      </c>
      <c r="D173" s="36" t="s">
        <v>249</v>
      </c>
      <c r="F173" s="108">
        <v>857</v>
      </c>
      <c r="O173" s="109"/>
      <c r="P173" s="36">
        <v>3</v>
      </c>
      <c r="R173" s="110">
        <f t="shared" si="31"/>
        <v>0</v>
      </c>
      <c r="S173" s="111"/>
      <c r="T173" s="110">
        <f t="shared" si="32"/>
        <v>0</v>
      </c>
    </row>
    <row r="174" spans="1:20" hidden="1">
      <c r="A174" s="107"/>
      <c r="B174" s="528">
        <v>44</v>
      </c>
      <c r="C174" s="6" t="s">
        <v>72</v>
      </c>
      <c r="D174" s="36" t="s">
        <v>118</v>
      </c>
      <c r="F174" s="108">
        <v>858</v>
      </c>
      <c r="O174" s="109"/>
      <c r="P174" s="36">
        <v>3</v>
      </c>
      <c r="R174" s="110">
        <f t="shared" si="31"/>
        <v>0</v>
      </c>
      <c r="S174" s="111"/>
      <c r="T174" s="110">
        <f t="shared" si="32"/>
        <v>0</v>
      </c>
    </row>
    <row r="175" spans="1:20" hidden="1">
      <c r="A175" s="107"/>
      <c r="B175" s="528">
        <v>45</v>
      </c>
      <c r="C175" s="6" t="s">
        <v>72</v>
      </c>
      <c r="D175" s="36" t="s">
        <v>119</v>
      </c>
      <c r="F175" s="108">
        <v>865</v>
      </c>
      <c r="O175" s="109"/>
      <c r="P175" s="36">
        <v>3</v>
      </c>
      <c r="R175" s="110">
        <f t="shared" si="31"/>
        <v>0</v>
      </c>
      <c r="S175" s="111"/>
      <c r="T175" s="110">
        <f t="shared" si="32"/>
        <v>0</v>
      </c>
    </row>
    <row r="176" spans="1:20" hidden="1">
      <c r="A176" s="107"/>
      <c r="B176" s="528">
        <v>46</v>
      </c>
      <c r="C176" s="6" t="s">
        <v>72</v>
      </c>
      <c r="D176" s="36" t="s">
        <v>120</v>
      </c>
      <c r="F176" s="108">
        <v>870</v>
      </c>
      <c r="O176" s="109"/>
      <c r="P176" s="36">
        <v>4</v>
      </c>
      <c r="R176" s="110">
        <f t="shared" si="31"/>
        <v>0</v>
      </c>
      <c r="S176" s="111"/>
      <c r="T176" s="110">
        <f t="shared" si="32"/>
        <v>0</v>
      </c>
    </row>
    <row r="177" spans="1:28">
      <c r="A177" s="107"/>
      <c r="B177" s="528">
        <v>47</v>
      </c>
      <c r="C177" s="6" t="s">
        <v>72</v>
      </c>
      <c r="D177" s="36" t="s">
        <v>121</v>
      </c>
      <c r="F177" s="108">
        <v>875</v>
      </c>
      <c r="O177" s="109"/>
      <c r="P177" s="36">
        <v>1</v>
      </c>
      <c r="R177" s="110">
        <f t="shared" si="31"/>
        <v>0</v>
      </c>
      <c r="S177" s="111"/>
      <c r="T177" s="110">
        <f t="shared" si="32"/>
        <v>0</v>
      </c>
    </row>
    <row r="178" spans="1:28" hidden="1">
      <c r="A178" s="107"/>
      <c r="B178" s="528">
        <v>48</v>
      </c>
      <c r="C178" s="6" t="s">
        <v>72</v>
      </c>
      <c r="D178" s="36" t="s">
        <v>122</v>
      </c>
      <c r="F178" s="108">
        <v>880</v>
      </c>
      <c r="O178" s="109"/>
      <c r="P178" s="36">
        <v>3</v>
      </c>
      <c r="R178" s="110">
        <f t="shared" si="31"/>
        <v>0</v>
      </c>
      <c r="S178" s="111"/>
      <c r="T178" s="110">
        <f t="shared" si="32"/>
        <v>0</v>
      </c>
    </row>
    <row r="179" spans="1:28" hidden="1">
      <c r="A179" s="107"/>
      <c r="B179" s="528">
        <v>49</v>
      </c>
      <c r="C179" s="6" t="s">
        <v>72</v>
      </c>
      <c r="D179" s="36" t="s">
        <v>123</v>
      </c>
      <c r="F179" s="108">
        <v>885</v>
      </c>
      <c r="O179" s="109"/>
      <c r="P179" s="36">
        <v>4</v>
      </c>
      <c r="R179" s="110">
        <f t="shared" si="31"/>
        <v>0</v>
      </c>
      <c r="S179" s="111"/>
      <c r="T179" s="110">
        <f t="shared" si="32"/>
        <v>0</v>
      </c>
    </row>
    <row r="180" spans="1:28">
      <c r="A180" s="107"/>
      <c r="B180" s="528">
        <v>50</v>
      </c>
      <c r="C180" s="6" t="s">
        <v>72</v>
      </c>
      <c r="D180" s="36" t="s">
        <v>67</v>
      </c>
      <c r="F180" s="108">
        <v>900</v>
      </c>
      <c r="O180" s="109"/>
      <c r="P180" s="36">
        <v>3</v>
      </c>
      <c r="R180" s="110">
        <f t="shared" si="31"/>
        <v>0</v>
      </c>
      <c r="S180" s="111"/>
      <c r="T180" s="110">
        <f t="shared" si="32"/>
        <v>0</v>
      </c>
    </row>
    <row r="181" spans="1:28" hidden="1">
      <c r="A181" s="107"/>
      <c r="B181" s="528">
        <v>51</v>
      </c>
      <c r="C181" s="6" t="s">
        <v>72</v>
      </c>
      <c r="D181" s="36" t="s">
        <v>125</v>
      </c>
      <c r="F181" s="108">
        <v>901</v>
      </c>
      <c r="O181" s="109"/>
      <c r="P181" s="36">
        <v>1</v>
      </c>
      <c r="R181" s="110">
        <f t="shared" si="31"/>
        <v>0</v>
      </c>
      <c r="S181" s="111"/>
      <c r="T181" s="110">
        <f t="shared" si="32"/>
        <v>0</v>
      </c>
    </row>
    <row r="182" spans="1:28" hidden="1">
      <c r="A182" s="107"/>
      <c r="B182" s="528">
        <v>52</v>
      </c>
      <c r="C182" s="6" t="s">
        <v>72</v>
      </c>
      <c r="D182" s="36" t="s">
        <v>126</v>
      </c>
      <c r="F182" s="108">
        <v>902</v>
      </c>
      <c r="O182" s="109"/>
      <c r="P182" s="36">
        <v>3</v>
      </c>
      <c r="R182" s="110">
        <f t="shared" si="31"/>
        <v>0</v>
      </c>
      <c r="S182" s="111"/>
      <c r="T182" s="110">
        <f t="shared" si="32"/>
        <v>0</v>
      </c>
    </row>
    <row r="183" spans="1:28">
      <c r="A183" s="107"/>
      <c r="B183" s="528">
        <v>53</v>
      </c>
      <c r="C183" s="6" t="s">
        <v>72</v>
      </c>
      <c r="D183" s="112" t="s">
        <v>127</v>
      </c>
      <c r="F183" s="108">
        <v>960</v>
      </c>
      <c r="O183" s="109"/>
      <c r="P183" s="36">
        <v>4</v>
      </c>
      <c r="R183" s="110">
        <f t="shared" ca="1" si="31"/>
        <v>20</v>
      </c>
      <c r="S183" s="111"/>
      <c r="T183" s="110">
        <f t="shared" ca="1" si="32"/>
        <v>0</v>
      </c>
    </row>
    <row r="184" spans="1:28" hidden="1">
      <c r="A184" s="107"/>
      <c r="B184" s="528">
        <v>54</v>
      </c>
      <c r="C184" s="6" t="s">
        <v>72</v>
      </c>
      <c r="D184" s="112" t="s">
        <v>128</v>
      </c>
      <c r="F184" s="108">
        <v>961</v>
      </c>
      <c r="O184" s="109"/>
      <c r="P184" s="36">
        <v>3</v>
      </c>
      <c r="R184" s="110">
        <f t="shared" si="31"/>
        <v>0</v>
      </c>
      <c r="S184" s="111"/>
      <c r="T184" s="110">
        <f t="shared" si="32"/>
        <v>0</v>
      </c>
    </row>
    <row r="185" spans="1:28" hidden="1">
      <c r="A185" s="107"/>
      <c r="B185" s="528">
        <v>55</v>
      </c>
      <c r="C185" s="6" t="s">
        <v>72</v>
      </c>
      <c r="D185" s="112" t="s">
        <v>129</v>
      </c>
      <c r="F185" s="108">
        <v>962</v>
      </c>
      <c r="O185" s="109"/>
      <c r="P185" s="36">
        <v>1</v>
      </c>
      <c r="R185" s="110">
        <f t="shared" si="31"/>
        <v>0</v>
      </c>
      <c r="S185" s="111"/>
      <c r="T185" s="110">
        <f t="shared" si="32"/>
        <v>0</v>
      </c>
    </row>
    <row r="186" spans="1:28" hidden="1">
      <c r="A186" s="107"/>
      <c r="B186" s="528">
        <v>56</v>
      </c>
      <c r="C186" s="6" t="s">
        <v>72</v>
      </c>
      <c r="D186" s="112" t="s">
        <v>130</v>
      </c>
      <c r="F186" s="108">
        <v>970</v>
      </c>
      <c r="O186" s="109"/>
      <c r="P186" s="36">
        <v>4</v>
      </c>
      <c r="R186" s="110">
        <f t="shared" si="31"/>
        <v>0</v>
      </c>
      <c r="S186" s="111"/>
      <c r="T186" s="110">
        <f t="shared" si="32"/>
        <v>0</v>
      </c>
    </row>
    <row r="187" spans="1:28" ht="13.8" thickBot="1">
      <c r="A187" s="113"/>
      <c r="B187" s="114"/>
      <c r="C187" s="115"/>
      <c r="D187" s="116"/>
      <c r="E187" s="117"/>
      <c r="F187" s="118"/>
      <c r="G187" s="117"/>
      <c r="H187" s="117"/>
      <c r="I187" s="117"/>
      <c r="J187" s="117"/>
      <c r="K187" s="117"/>
      <c r="L187" s="117"/>
      <c r="M187" s="117"/>
      <c r="N187" s="117"/>
      <c r="O187" s="119"/>
      <c r="P187" s="117"/>
      <c r="Q187" s="117"/>
      <c r="R187" s="120"/>
      <c r="S187" s="121"/>
      <c r="T187" s="120"/>
      <c r="U187" s="117"/>
      <c r="V187" s="117"/>
      <c r="W187" s="117"/>
      <c r="X187" s="117"/>
      <c r="Y187" s="117"/>
      <c r="Z187" s="117"/>
      <c r="AA187" s="117"/>
      <c r="AB187" s="117"/>
    </row>
    <row r="188" spans="1:28" ht="13.8" thickTop="1">
      <c r="A188" s="107"/>
      <c r="B188" s="122"/>
      <c r="C188" s="6" t="s">
        <v>72</v>
      </c>
      <c r="D188" s="123"/>
      <c r="F188" s="124" t="s">
        <v>157</v>
      </c>
      <c r="G188" s="125"/>
      <c r="H188" s="36">
        <v>1</v>
      </c>
      <c r="O188" s="109"/>
      <c r="R188" s="110">
        <f ca="1">SUMIF($P131:$P186,1,R131:R186)</f>
        <v>824.99819000000002</v>
      </c>
      <c r="T188" s="110">
        <f ca="1">SUMIF($P131:$P186,1,T131:T186)</f>
        <v>8.2109999999999985</v>
      </c>
    </row>
    <row r="189" spans="1:28">
      <c r="A189" s="107"/>
      <c r="B189" s="122"/>
      <c r="C189" s="6" t="s">
        <v>72</v>
      </c>
      <c r="D189" s="123"/>
      <c r="F189" s="124" t="s">
        <v>158</v>
      </c>
      <c r="G189" s="125"/>
      <c r="H189" s="36">
        <v>2</v>
      </c>
      <c r="O189" s="109"/>
      <c r="R189" s="110">
        <f>SUMIF($P131:$P186,2,R131:R186)</f>
        <v>0</v>
      </c>
      <c r="T189" s="110">
        <f>SUMIF($P131:$P186,2,T131:T186)</f>
        <v>0</v>
      </c>
    </row>
    <row r="190" spans="1:28">
      <c r="A190" s="107"/>
      <c r="B190" s="122"/>
      <c r="C190" s="6" t="s">
        <v>72</v>
      </c>
      <c r="D190" s="123"/>
      <c r="F190" s="124" t="s">
        <v>159</v>
      </c>
      <c r="G190" s="125"/>
      <c r="H190" s="36">
        <v>2</v>
      </c>
      <c r="O190" s="109"/>
      <c r="R190" s="110">
        <f>SUMIF($P131:$P186,3,R131:R186)</f>
        <v>0</v>
      </c>
      <c r="T190" s="110">
        <f>SUMIF($P131:$P186,3,T131:T186)</f>
        <v>0</v>
      </c>
    </row>
    <row r="191" spans="1:28">
      <c r="A191" s="107"/>
      <c r="B191" s="122"/>
      <c r="C191" s="6" t="s">
        <v>72</v>
      </c>
      <c r="D191" s="123"/>
      <c r="F191" s="124" t="s">
        <v>160</v>
      </c>
      <c r="G191" s="125"/>
      <c r="H191" s="36">
        <v>3</v>
      </c>
      <c r="O191" s="109"/>
      <c r="R191" s="110">
        <f ca="1">SUMIF($P131:$P186,4,R131:R186)</f>
        <v>20</v>
      </c>
      <c r="T191" s="110">
        <f ca="1">SUMIF($P131:$P186,4,T131:T186)</f>
        <v>0</v>
      </c>
    </row>
    <row r="192" spans="1:28" ht="13.8" thickBot="1">
      <c r="A192" s="113"/>
      <c r="B192" s="126"/>
      <c r="C192" s="115" t="s">
        <v>72</v>
      </c>
      <c r="D192" s="127"/>
      <c r="E192" s="117"/>
      <c r="F192" s="128" t="s">
        <v>161</v>
      </c>
      <c r="G192" s="129"/>
      <c r="H192" s="130"/>
      <c r="I192" s="130"/>
      <c r="J192" s="130"/>
      <c r="K192" s="130"/>
      <c r="L192" s="130"/>
      <c r="M192" s="130"/>
      <c r="N192" s="130"/>
      <c r="O192" s="131"/>
      <c r="P192" s="130"/>
      <c r="Q192" s="130"/>
      <c r="R192" s="132">
        <f ca="1">SUM(R188:R191)</f>
        <v>844.99819000000002</v>
      </c>
      <c r="S192" s="133"/>
      <c r="T192" s="132">
        <f ca="1">SUM(T188:T191)</f>
        <v>8.2109999999999985</v>
      </c>
      <c r="U192" s="117"/>
      <c r="V192" s="117"/>
      <c r="W192" s="117"/>
      <c r="X192" s="117"/>
      <c r="Y192" s="117"/>
      <c r="Z192" s="117"/>
      <c r="AA192" s="117"/>
      <c r="AB192" s="117"/>
    </row>
    <row r="193" ht="13.8" thickTop="1"/>
  </sheetData>
  <sheetProtection formatCells="0" formatColumns="0" formatRows="0" insertColumns="0" insertRows="0" insertHyperlinks="0" deleteColumns="0" deleteRows="0" sort="0" autoFilter="0" pivotTables="0"/>
  <phoneticPr fontId="37" type="noConversion"/>
  <conditionalFormatting sqref="D6">
    <cfRule type="cellIs" dxfId="1" priority="2" stopIfTrue="1" operator="equal">
      <formula>"VAT INCLUDED"</formula>
    </cfRule>
    <cfRule type="cellIs" dxfId="0" priority="3" stopIfTrue="1" operator="equal">
      <formula>"VAT EXCLUDED"</formula>
    </cfRule>
  </conditionalFormatting>
  <printOptions gridLines="1"/>
  <pageMargins left="0.31496062992125984" right="0.17" top="0.43307086614173229" bottom="0.59055118110236227" header="0.23622047244094491" footer="0.23622047244094491"/>
  <pageSetup paperSize="9" scale="40" orientation="portrait"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R217"/>
  <sheetViews>
    <sheetView tabSelected="1" topLeftCell="A85" zoomScaleNormal="100" workbookViewId="0">
      <selection activeCell="G98" sqref="G98"/>
    </sheetView>
  </sheetViews>
  <sheetFormatPr defaultColWidth="9.109375" defaultRowHeight="13.8"/>
  <cols>
    <col min="1" max="2" width="10.33203125" style="36" customWidth="1"/>
    <col min="3" max="3" width="1.109375" style="36" hidden="1" customWidth="1"/>
    <col min="4" max="4" width="27.88671875" style="36" customWidth="1"/>
    <col min="5" max="5" width="41" style="36" bestFit="1" customWidth="1"/>
    <col min="6" max="6" width="30.8867187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20" width="14.6640625" style="36" customWidth="1"/>
    <col min="21" max="21" width="6.33203125" style="36" customWidth="1"/>
    <col min="22" max="22" width="4.6640625" style="359" customWidth="1"/>
    <col min="23" max="23" width="5" style="359" bestFit="1" customWidth="1"/>
    <col min="24" max="24" width="8.5546875" style="359" bestFit="1" customWidth="1"/>
    <col min="25" max="25" width="7.6640625" style="359" customWidth="1"/>
    <col min="26" max="26" width="11.44140625" style="359" customWidth="1"/>
    <col min="27" max="27" width="4" style="359" customWidth="1"/>
    <col min="28" max="28" width="4.109375" style="359" customWidth="1"/>
    <col min="29" max="32" width="9.109375" style="36" customWidth="1"/>
    <col min="33" max="33" width="12.88671875" style="36" customWidth="1"/>
    <col min="34" max="34" width="10.6640625" style="36" customWidth="1"/>
    <col min="35" max="35" width="11.44140625" style="36" customWidth="1"/>
    <col min="36" max="36" width="9.109375" style="36" customWidth="1"/>
    <col min="37" max="37" width="13.6640625" style="36" customWidth="1"/>
    <col min="38" max="38" width="9.109375" style="36" customWidth="1"/>
    <col min="39" max="40" width="12" style="36" customWidth="1"/>
    <col min="41" max="41" width="11.109375" style="36" customWidth="1"/>
    <col min="42" max="42" width="9.109375" style="36" customWidth="1"/>
    <col min="43" max="16384" width="9.109375" style="36"/>
  </cols>
  <sheetData>
    <row r="1" spans="1:42" s="32" customFormat="1" ht="15.6">
      <c r="A1" s="555"/>
      <c r="B1" s="532" t="s">
        <v>0</v>
      </c>
      <c r="C1" s="533">
        <f>ML_Sum!$C1</f>
        <v>1</v>
      </c>
      <c r="D1" s="534" t="str">
        <f>ML_Sum!$D1</f>
        <v>ST Microelectronics (Malta) Ltd.</v>
      </c>
      <c r="E1" s="535"/>
      <c r="F1" s="536">
        <f>ML_Sum!$F1</f>
        <v>0</v>
      </c>
      <c r="G1" s="576"/>
      <c r="H1"/>
      <c r="I1" s="313">
        <v>1</v>
      </c>
      <c r="J1" s="314">
        <f>ML_Sum!$J1</f>
        <v>1</v>
      </c>
      <c r="K1" s="314">
        <f>ML_Sum!$K1</f>
        <v>1</v>
      </c>
      <c r="L1" s="314">
        <f>ML_Sum!$L1</f>
        <v>1</v>
      </c>
      <c r="M1" s="314">
        <f>ML_Sum!$M1</f>
        <v>1</v>
      </c>
      <c r="N1" s="314">
        <f>ML_Sum!$N1</f>
        <v>1</v>
      </c>
      <c r="O1" s="314">
        <f>ML_Sum!$O1</f>
        <v>1</v>
      </c>
      <c r="P1"/>
      <c r="Q1" s="379" t="str">
        <f>ML_Sum!$Q1</f>
        <v>€</v>
      </c>
      <c r="R1" s="317" t="s">
        <v>1</v>
      </c>
      <c r="S1" s="378" t="str">
        <f>ML_Sum!$S1</f>
        <v>R</v>
      </c>
      <c r="T1" s="482">
        <f>ML_Sum!$T1</f>
        <v>1.1499999999999999</v>
      </c>
      <c r="U1" s="483" t="str">
        <f>ML_Sum!W1</f>
        <v>BOQ</v>
      </c>
      <c r="V1" s="484" t="s">
        <v>194</v>
      </c>
      <c r="W1" s="556" t="s">
        <v>185</v>
      </c>
      <c r="X1" s="485" t="s">
        <v>186</v>
      </c>
      <c r="Y1" s="557" t="s">
        <v>187</v>
      </c>
      <c r="Z1" s="486" t="s">
        <v>183</v>
      </c>
      <c r="AA1" s="486" t="s">
        <v>188</v>
      </c>
      <c r="AB1" s="556" t="s">
        <v>189</v>
      </c>
      <c r="AG1" s="573"/>
      <c r="AH1" s="573"/>
      <c r="AI1" s="573"/>
      <c r="AJ1" s="573"/>
      <c r="AK1" s="574"/>
    </row>
    <row r="2" spans="1:42" s="32" customFormat="1">
      <c r="A2" s="531"/>
      <c r="B2" s="532" t="s">
        <v>2</v>
      </c>
      <c r="C2" s="533">
        <f>ML_Sum!$C2</f>
        <v>1</v>
      </c>
      <c r="D2" s="534" t="str">
        <f>ML_Sum!$D2</f>
        <v xml:space="preserve">KK2 General Exhaust Replacement </v>
      </c>
      <c r="E2" s="538"/>
      <c r="F2" s="536" t="str">
        <f>ML_Sum!$F2</f>
        <v>Electrical</v>
      </c>
      <c r="G2" s="537"/>
      <c r="H2"/>
      <c r="I2" s="313">
        <v>2</v>
      </c>
      <c r="J2" s="314">
        <f>ML_Sum!$J2</f>
        <v>1</v>
      </c>
      <c r="K2" s="314">
        <f>ML_Sum!$K2</f>
        <v>1</v>
      </c>
      <c r="L2" s="314">
        <f>ML_Sum!$L2</f>
        <v>1</v>
      </c>
      <c r="M2" s="314">
        <f>ML_Sum!$M2</f>
        <v>1</v>
      </c>
      <c r="N2" s="314">
        <f>ML_Sum!$N2</f>
        <v>1</v>
      </c>
      <c r="O2" s="314">
        <f>ML_Sum!$O2</f>
        <v>1</v>
      </c>
      <c r="P2"/>
      <c r="Q2" s="384">
        <f>ML_Sum!$Q2</f>
        <v>0</v>
      </c>
      <c r="R2" s="18" t="s">
        <v>3</v>
      </c>
      <c r="S2" s="385">
        <f>ML_Sum!$S2</f>
        <v>1</v>
      </c>
      <c r="T2" s="386">
        <f>ML_Sum!$T2</f>
        <v>27.46</v>
      </c>
      <c r="V2" s="359"/>
      <c r="W2" s="359"/>
      <c r="X2" s="359"/>
      <c r="Y2" s="359"/>
      <c r="Z2" s="359"/>
      <c r="AA2" s="359"/>
      <c r="AB2" s="359"/>
    </row>
    <row r="3" spans="1:42" s="32" customFormat="1">
      <c r="A3" s="539"/>
      <c r="B3" s="540" t="s">
        <v>4</v>
      </c>
      <c r="C3" s="533">
        <f>ML_Sum!$C3</f>
        <v>1</v>
      </c>
      <c r="D3" s="534" t="str">
        <f>ML_Sum!$D3</f>
        <v>Electrical Supply and Installation</v>
      </c>
      <c r="E3" s="539"/>
      <c r="F3" s="536" t="str">
        <f>ML_Sum!$F3</f>
        <v>Controls</v>
      </c>
      <c r="G3" s="541"/>
      <c r="H3"/>
      <c r="I3" s="313">
        <v>3</v>
      </c>
      <c r="J3" s="314">
        <f>ML_Sum!$J3</f>
        <v>1</v>
      </c>
      <c r="K3" s="314">
        <f>ML_Sum!$K3</f>
        <v>1</v>
      </c>
      <c r="L3" s="314">
        <f>ML_Sum!$L3</f>
        <v>1</v>
      </c>
      <c r="M3" s="314">
        <f>ML_Sum!$M3</f>
        <v>1</v>
      </c>
      <c r="N3" s="314">
        <f>ML_Sum!$N3</f>
        <v>1</v>
      </c>
      <c r="O3" s="314">
        <f>ML_Sum!$O3</f>
        <v>1</v>
      </c>
      <c r="P3"/>
      <c r="Q3" s="384">
        <f>ML_Sum!$Q3</f>
        <v>0</v>
      </c>
      <c r="R3" s="19" t="s">
        <v>5</v>
      </c>
      <c r="S3" s="385">
        <f>ML_Sum!$S3</f>
        <v>1</v>
      </c>
      <c r="T3" s="386">
        <f>ML_Sum!$T3</f>
        <v>27.46</v>
      </c>
      <c r="V3" s="359"/>
      <c r="W3" s="359"/>
      <c r="X3" s="359"/>
      <c r="Y3" s="359"/>
      <c r="Z3" s="359"/>
      <c r="AA3" s="359"/>
      <c r="AB3" s="359"/>
    </row>
    <row r="4" spans="1:42" s="32" customFormat="1">
      <c r="A4" s="542"/>
      <c r="B4" s="532" t="s">
        <v>6</v>
      </c>
      <c r="C4" s="533">
        <f>ML_Sum!$C4</f>
        <v>1</v>
      </c>
      <c r="D4" s="534" t="str">
        <f>ML_Sum!$D4</f>
        <v>ELM25-0560</v>
      </c>
      <c r="E4" s="539"/>
      <c r="F4" s="536" t="str">
        <f>ML_Sum!$F4</f>
        <v>Controls</v>
      </c>
      <c r="G4" s="541"/>
      <c r="H4"/>
      <c r="I4" s="313">
        <v>4</v>
      </c>
      <c r="J4" s="314">
        <f>ML_Sum!$J4</f>
        <v>1</v>
      </c>
      <c r="K4" s="314">
        <f>ML_Sum!$K4</f>
        <v>1</v>
      </c>
      <c r="L4" s="314">
        <f>ML_Sum!$L4</f>
        <v>1</v>
      </c>
      <c r="M4" s="314">
        <f>ML_Sum!$M4</f>
        <v>1</v>
      </c>
      <c r="N4" s="314">
        <f>ML_Sum!$N4</f>
        <v>1</v>
      </c>
      <c r="O4" s="314">
        <f>ML_Sum!$O4</f>
        <v>1</v>
      </c>
      <c r="P4"/>
      <c r="Q4" s="384">
        <f>ML_Sum!$Q4</f>
        <v>0</v>
      </c>
      <c r="R4" s="20" t="s">
        <v>7</v>
      </c>
      <c r="S4" s="385">
        <f>ML_Sum!$S4</f>
        <v>1</v>
      </c>
      <c r="T4" s="386">
        <f>ML_Sum!$T4</f>
        <v>27.46</v>
      </c>
      <c r="V4" s="359"/>
      <c r="W4" s="359"/>
      <c r="X4" s="359"/>
      <c r="Y4" s="359"/>
      <c r="Z4" s="359"/>
      <c r="AA4" s="359"/>
      <c r="AB4" s="359"/>
    </row>
    <row r="5" spans="1:42" s="32" customFormat="1">
      <c r="A5" s="542"/>
      <c r="B5" s="532" t="s">
        <v>196</v>
      </c>
      <c r="C5" s="533">
        <f>ML_Sum!$C5</f>
        <v>1</v>
      </c>
      <c r="D5" s="534" t="str">
        <f>ML_Sum!$D5</f>
        <v>Tender</v>
      </c>
      <c r="E5" s="539"/>
      <c r="F5" s="536">
        <f>ML_Sum!$F5</f>
        <v>0</v>
      </c>
      <c r="G5" s="543"/>
      <c r="H5"/>
      <c r="I5" s="313">
        <v>5</v>
      </c>
      <c r="J5" s="314">
        <f>ML_Sum!$J5</f>
        <v>1</v>
      </c>
      <c r="K5" s="314">
        <f>ML_Sum!$K5</f>
        <v>1</v>
      </c>
      <c r="L5" s="314">
        <f>ML_Sum!$L5</f>
        <v>1</v>
      </c>
      <c r="M5" s="314">
        <f>ML_Sum!$M5</f>
        <v>1</v>
      </c>
      <c r="N5" s="314">
        <f>ML_Sum!$N5</f>
        <v>1</v>
      </c>
      <c r="O5" s="314">
        <f>ML_Sum!$O5</f>
        <v>1</v>
      </c>
      <c r="P5"/>
      <c r="Q5" s="384">
        <f>ML_Sum!$Q5</f>
        <v>0</v>
      </c>
      <c r="R5" s="21" t="s">
        <v>9</v>
      </c>
      <c r="S5" s="385">
        <f>ML_Sum!$S5</f>
        <v>0</v>
      </c>
      <c r="T5" s="386">
        <f>ML_Sum!$T5</f>
        <v>0</v>
      </c>
      <c r="V5" s="359"/>
      <c r="W5" s="359"/>
      <c r="X5" s="359"/>
      <c r="Y5" s="359"/>
      <c r="Z5" s="359"/>
      <c r="AA5" s="359"/>
      <c r="AB5" s="359"/>
    </row>
    <row r="6" spans="1:42" s="32" customFormat="1">
      <c r="A6"/>
      <c r="B6" s="540" t="s">
        <v>8</v>
      </c>
      <c r="C6" s="533">
        <f>ML_Sum!$C6</f>
        <v>1</v>
      </c>
      <c r="D6" s="534" t="str">
        <f>ML_Sum!$D6</f>
        <v>VAT EXCL.</v>
      </c>
      <c r="E6"/>
      <c r="F6" s="536">
        <f>ML_Sum!$F6</f>
        <v>0</v>
      </c>
      <c r="G6" s="543"/>
      <c r="H6"/>
      <c r="I6" s="313">
        <v>6</v>
      </c>
      <c r="J6" s="314">
        <f>ML_Sum!$J6</f>
        <v>1</v>
      </c>
      <c r="K6" s="314">
        <f>ML_Sum!$K6</f>
        <v>1</v>
      </c>
      <c r="L6" s="314">
        <f>ML_Sum!$L6</f>
        <v>1</v>
      </c>
      <c r="M6" s="314">
        <f>ML_Sum!$M6</f>
        <v>1</v>
      </c>
      <c r="N6" s="314">
        <f>ML_Sum!$N6</f>
        <v>1</v>
      </c>
      <c r="O6" s="314">
        <f>ML_Sum!$O6</f>
        <v>1</v>
      </c>
      <c r="P6"/>
      <c r="Q6" s="384">
        <f>ML_Sum!$Q6</f>
        <v>0</v>
      </c>
      <c r="R6" s="22" t="s">
        <v>10</v>
      </c>
      <c r="S6" s="385">
        <f>ML_Sum!$S6</f>
        <v>0</v>
      </c>
      <c r="T6" s="386">
        <f>ML_Sum!$T6</f>
        <v>0</v>
      </c>
      <c r="V6" s="359"/>
      <c r="W6" s="359"/>
      <c r="X6" s="359"/>
      <c r="Y6" s="359"/>
      <c r="Z6" s="359"/>
      <c r="AA6" s="359"/>
      <c r="AB6" s="359"/>
    </row>
    <row r="7" spans="1:42" s="32" customFormat="1">
      <c r="A7" s="531"/>
      <c r="B7" s="540" t="s">
        <v>11</v>
      </c>
      <c r="C7" s="533">
        <f>ML_Sum!$C7</f>
        <v>1</v>
      </c>
      <c r="D7" s="544">
        <v>39364</v>
      </c>
      <c r="E7" s="545"/>
      <c r="F7" s="536">
        <f>ML_Sum!$F7</f>
        <v>0</v>
      </c>
      <c r="G7" s="546"/>
      <c r="H7"/>
      <c r="I7" s="313">
        <v>7</v>
      </c>
      <c r="J7" s="314">
        <f>ML_Sum!$J7</f>
        <v>1</v>
      </c>
      <c r="K7" s="314">
        <f>ML_Sum!$K7</f>
        <v>1</v>
      </c>
      <c r="L7" s="314">
        <f>ML_Sum!$L7</f>
        <v>1</v>
      </c>
      <c r="M7" s="314">
        <f>ML_Sum!$M7</f>
        <v>1</v>
      </c>
      <c r="N7" s="314">
        <f>ML_Sum!$N7</f>
        <v>1</v>
      </c>
      <c r="O7" s="314">
        <f>ML_Sum!$O7</f>
        <v>0</v>
      </c>
      <c r="P7"/>
      <c r="Q7" s="384">
        <f>ML_Sum!$Q7</f>
        <v>0</v>
      </c>
      <c r="R7" s="23" t="s">
        <v>12</v>
      </c>
      <c r="S7" s="385">
        <f>ML_Sum!$S7</f>
        <v>0</v>
      </c>
      <c r="T7" s="386">
        <f>ML_Sum!$T7</f>
        <v>0</v>
      </c>
      <c r="V7" s="359"/>
      <c r="W7" s="359"/>
      <c r="X7" s="359"/>
      <c r="Y7" s="359"/>
      <c r="Z7" s="359"/>
      <c r="AA7" s="359"/>
      <c r="AB7" s="359"/>
    </row>
    <row r="8" spans="1:42" s="32" customFormat="1">
      <c r="A8" s="542"/>
      <c r="B8" s="540" t="s">
        <v>13</v>
      </c>
      <c r="C8" s="533">
        <f>ML_Sum!$C8</f>
        <v>1</v>
      </c>
      <c r="D8" s="534" t="str">
        <f>ML_Sum!$D8</f>
        <v>Umut Kaymak</v>
      </c>
      <c r="E8" s="539"/>
      <c r="F8" s="536">
        <f>ML_Sum!$F8</f>
        <v>0</v>
      </c>
      <c r="G8" s="547"/>
      <c r="H8"/>
      <c r="I8" s="313">
        <v>8</v>
      </c>
      <c r="J8" s="314">
        <f>ML_Sum!$J8</f>
        <v>1</v>
      </c>
      <c r="K8" s="314">
        <f>ML_Sum!$K8</f>
        <v>1</v>
      </c>
      <c r="L8" s="314">
        <f>ML_Sum!$L8</f>
        <v>1</v>
      </c>
      <c r="M8" s="314">
        <f>ML_Sum!$M8</f>
        <v>1</v>
      </c>
      <c r="N8" s="314">
        <f>ML_Sum!$N8</f>
        <v>1</v>
      </c>
      <c r="O8" s="314">
        <f>ML_Sum!$O8</f>
        <v>0</v>
      </c>
      <c r="P8"/>
      <c r="Q8" s="384">
        <f>ML_Sum!$Q8</f>
        <v>0</v>
      </c>
      <c r="R8" s="24" t="s">
        <v>14</v>
      </c>
      <c r="S8" s="385">
        <f>ML_Sum!$S8</f>
        <v>0</v>
      </c>
      <c r="T8" s="386">
        <f>ML_Sum!$T8</f>
        <v>0</v>
      </c>
      <c r="V8" s="359"/>
      <c r="W8" s="359"/>
      <c r="X8" s="359"/>
      <c r="Y8" s="359"/>
      <c r="Z8" s="359"/>
      <c r="AA8" s="359"/>
      <c r="AB8" s="359"/>
    </row>
    <row r="9" spans="1:42" s="32" customFormat="1">
      <c r="A9" s="542"/>
      <c r="B9" s="540" t="s">
        <v>267</v>
      </c>
      <c r="C9" s="533">
        <f>ML_Sum!$C9</f>
        <v>1</v>
      </c>
      <c r="D9" s="534">
        <f>ML_Sum!$D9</f>
        <v>27.46</v>
      </c>
      <c r="E9" s="539"/>
      <c r="F9" s="536">
        <f>ML_Sum!$F9</f>
        <v>0</v>
      </c>
      <c r="G9" s="547"/>
      <c r="H9"/>
      <c r="I9" s="313">
        <v>9</v>
      </c>
      <c r="J9" s="314">
        <f>ML_Sum!$J9</f>
        <v>1</v>
      </c>
      <c r="K9" s="314">
        <f>ML_Sum!$K9</f>
        <v>1</v>
      </c>
      <c r="L9" s="314">
        <f>ML_Sum!$L9</f>
        <v>1</v>
      </c>
      <c r="M9" s="314">
        <f>ML_Sum!$M9</f>
        <v>1</v>
      </c>
      <c r="N9" s="314">
        <f>ML_Sum!$N9</f>
        <v>1</v>
      </c>
      <c r="O9" s="314">
        <f>ML_Sum!$O9</f>
        <v>0</v>
      </c>
      <c r="P9"/>
      <c r="Q9" s="384">
        <f>ML_Sum!$Q9</f>
        <v>0</v>
      </c>
      <c r="R9" s="25" t="s">
        <v>15</v>
      </c>
      <c r="S9" s="385">
        <f>ML_Sum!$S9</f>
        <v>0</v>
      </c>
      <c r="T9" s="386">
        <f>ML_Sum!$T9</f>
        <v>0</v>
      </c>
      <c r="V9" s="359"/>
      <c r="W9" s="359"/>
      <c r="X9" s="359"/>
      <c r="Y9" s="359"/>
      <c r="Z9" s="359"/>
      <c r="AA9" s="359"/>
      <c r="AB9" s="359"/>
    </row>
    <row r="10" spans="1:42" s="32" customFormat="1">
      <c r="A10" s="542"/>
      <c r="B10" s="531"/>
      <c r="C10" s="533">
        <f>ML_Sum!$C10</f>
        <v>1</v>
      </c>
      <c r="D10" s="531"/>
      <c r="E10" s="539"/>
      <c r="F10" s="536">
        <f>ML_Sum!$F10</f>
        <v>0</v>
      </c>
      <c r="G10" s="547"/>
      <c r="H10"/>
      <c r="I10" s="313">
        <v>10</v>
      </c>
      <c r="J10" s="314">
        <f>ML_Sum!$J10</f>
        <v>1</v>
      </c>
      <c r="K10" s="314">
        <f>ML_Sum!$K10</f>
        <v>1</v>
      </c>
      <c r="L10" s="314">
        <f>ML_Sum!$L10</f>
        <v>1</v>
      </c>
      <c r="M10" s="314">
        <f>ML_Sum!$M10</f>
        <v>1</v>
      </c>
      <c r="N10" s="314">
        <f>ML_Sum!$N10</f>
        <v>1</v>
      </c>
      <c r="O10" s="314">
        <f>ML_Sum!$O10</f>
        <v>1</v>
      </c>
      <c r="P10"/>
      <c r="Q10" s="384">
        <f>ML_Sum!$Q10</f>
        <v>0</v>
      </c>
      <c r="R10" s="26" t="s">
        <v>16</v>
      </c>
      <c r="S10" s="385">
        <f>ML_Sum!$S10</f>
        <v>0</v>
      </c>
      <c r="T10" s="386">
        <f>ML_Sum!$T10</f>
        <v>0</v>
      </c>
      <c r="V10" s="359"/>
      <c r="W10" s="359"/>
      <c r="X10" s="359"/>
      <c r="Y10" s="359"/>
      <c r="Z10" s="359"/>
      <c r="AA10" s="359"/>
      <c r="AB10" s="359"/>
    </row>
    <row r="11" spans="1:42" s="32" customFormat="1">
      <c r="A11" s="542"/>
      <c r="B11" s="531"/>
      <c r="C11" s="533">
        <f>ML_Sum!$C11</f>
        <v>1</v>
      </c>
      <c r="D11" s="531"/>
      <c r="E11" s="539"/>
      <c r="F11" s="536">
        <f>ML_Sum!$F11</f>
        <v>0</v>
      </c>
      <c r="G11" s="547"/>
      <c r="H11" s="547"/>
      <c r="I11" s="531"/>
      <c r="J11" s="531"/>
      <c r="K11" s="531"/>
      <c r="L11" s="531"/>
      <c r="M11" s="531"/>
      <c r="N11" s="531"/>
      <c r="O11" s="531"/>
      <c r="P11" s="547"/>
      <c r="Q11" s="384">
        <f>ML_Sum!$Q11</f>
        <v>0</v>
      </c>
      <c r="R11" s="27" t="s">
        <v>17</v>
      </c>
      <c r="S11" s="385">
        <f>ML_Sum!$S11</f>
        <v>0</v>
      </c>
      <c r="T11" s="386">
        <f>ML_Sum!$T11</f>
        <v>0</v>
      </c>
      <c r="V11" s="359"/>
      <c r="W11" s="359"/>
      <c r="X11" s="359"/>
      <c r="Y11" s="359"/>
      <c r="Z11" s="359"/>
      <c r="AA11" s="359"/>
      <c r="AB11" s="359"/>
    </row>
    <row r="12" spans="1:42" s="32" customFormat="1" ht="14.4" thickBot="1">
      <c r="A12" s="542"/>
      <c r="B12" s="531"/>
      <c r="C12" s="533">
        <f>ML_Sum!$C12</f>
        <v>1</v>
      </c>
      <c r="D12" s="531"/>
      <c r="E12" s="539"/>
      <c r="F12" s="536">
        <f>ML_Sum!$F12</f>
        <v>0</v>
      </c>
      <c r="G12" s="547"/>
      <c r="H12" s="547"/>
      <c r="I12" s="531"/>
      <c r="J12" s="531"/>
      <c r="K12" s="531"/>
      <c r="L12" s="531"/>
      <c r="M12" s="531"/>
      <c r="N12" s="531"/>
      <c r="O12" s="531"/>
      <c r="P12" s="547"/>
      <c r="Q12" s="384">
        <f>ML_Sum!$Q12</f>
        <v>0</v>
      </c>
      <c r="R12" s="434" t="s">
        <v>209</v>
      </c>
      <c r="S12" s="385" t="str">
        <f>ML_Sum!$S12</f>
        <v>MAT MU</v>
      </c>
      <c r="T12" s="386" t="str">
        <f>ML_Sum!$T12</f>
        <v>LAB RATE</v>
      </c>
      <c r="V12" s="359"/>
      <c r="W12" s="359"/>
      <c r="X12" s="359"/>
      <c r="Y12" s="359"/>
      <c r="Z12" s="359"/>
      <c r="AA12" s="359"/>
      <c r="AB12" s="359"/>
    </row>
    <row r="13" spans="1:42" s="32" customFormat="1" ht="14.4" thickBot="1">
      <c r="A13" s="548"/>
      <c r="B13" s="549"/>
      <c r="C13" s="550"/>
      <c r="D13" s="551"/>
      <c r="E13" s="552"/>
      <c r="F13" s="553"/>
      <c r="G13" s="554" t="s">
        <v>140</v>
      </c>
      <c r="H13" s="554" t="s">
        <v>19</v>
      </c>
      <c r="I13" s="554" t="s">
        <v>20</v>
      </c>
      <c r="J13" s="554" t="s">
        <v>21</v>
      </c>
      <c r="K13" s="554" t="s">
        <v>22</v>
      </c>
      <c r="L13" s="554" t="s">
        <v>23</v>
      </c>
      <c r="M13" s="554" t="s">
        <v>24</v>
      </c>
      <c r="N13" s="554" t="s">
        <v>25</v>
      </c>
      <c r="O13" s="554" t="s">
        <v>26</v>
      </c>
      <c r="P13" s="554" t="s">
        <v>27</v>
      </c>
      <c r="Q13" s="28" t="s">
        <v>204</v>
      </c>
      <c r="R13" s="29" t="s">
        <v>29</v>
      </c>
      <c r="S13" s="30" t="s">
        <v>30</v>
      </c>
      <c r="T13" s="31" t="s">
        <v>31</v>
      </c>
      <c r="V13" s="359"/>
      <c r="W13" s="359"/>
      <c r="X13" s="359"/>
      <c r="Y13" s="359"/>
      <c r="Z13" s="359"/>
      <c r="AA13" s="359"/>
      <c r="AB13" s="359"/>
      <c r="AG13"/>
      <c r="AH13"/>
      <c r="AI13"/>
      <c r="AJ13"/>
      <c r="AK13"/>
      <c r="AM13" s="577" t="s">
        <v>263</v>
      </c>
      <c r="AN13" s="581" t="s">
        <v>270</v>
      </c>
      <c r="AO13" s="581" t="s">
        <v>264</v>
      </c>
      <c r="AP13" s="578" t="s">
        <v>261</v>
      </c>
    </row>
    <row r="14" spans="1:42" s="586" customFormat="1" ht="13.2">
      <c r="A14" s="57"/>
      <c r="B14" s="57"/>
      <c r="C14" s="3"/>
      <c r="D14" s="3"/>
      <c r="E14" s="57"/>
      <c r="F14" s="57"/>
      <c r="G14" s="57"/>
      <c r="H14" s="57"/>
      <c r="I14" s="57"/>
      <c r="J14" s="57"/>
      <c r="K14" s="57" t="s">
        <v>133</v>
      </c>
      <c r="L14" s="57"/>
      <c r="M14" s="57"/>
      <c r="N14" s="57"/>
      <c r="O14" s="58"/>
      <c r="P14" s="57"/>
      <c r="Q14" s="57"/>
      <c r="R14" s="57"/>
      <c r="S14" s="57"/>
      <c r="T14" s="57"/>
    </row>
    <row r="15" spans="1:42" s="586" customFormat="1" ht="12">
      <c r="A15" s="57"/>
      <c r="B15" s="57"/>
      <c r="C15" s="57" t="s">
        <v>134</v>
      </c>
      <c r="D15" s="37" t="s">
        <v>135</v>
      </c>
      <c r="E15" s="57"/>
      <c r="F15" s="57"/>
      <c r="G15" s="57"/>
      <c r="H15" s="57"/>
      <c r="I15" s="57"/>
      <c r="J15" s="57"/>
      <c r="K15" s="57"/>
      <c r="L15" s="57"/>
      <c r="M15" s="57"/>
      <c r="N15" s="57"/>
      <c r="O15" s="58"/>
      <c r="P15" s="57"/>
      <c r="Q15" s="57"/>
      <c r="R15" s="57"/>
      <c r="S15" s="57"/>
      <c r="T15" s="57"/>
    </row>
    <row r="16" spans="1:42" s="586" customFormat="1" ht="12">
      <c r="A16" s="57"/>
      <c r="B16" s="57"/>
      <c r="C16" s="57"/>
      <c r="D16" s="37" t="s">
        <v>368</v>
      </c>
      <c r="E16" s="57"/>
      <c r="F16" s="57"/>
      <c r="G16" s="57"/>
      <c r="H16" s="57"/>
      <c r="I16" s="57"/>
      <c r="J16" s="57"/>
      <c r="K16" s="57"/>
      <c r="L16" s="57"/>
      <c r="M16" s="57"/>
      <c r="N16" s="57"/>
      <c r="O16" s="58"/>
      <c r="P16" s="57"/>
      <c r="Q16" s="57"/>
      <c r="R16" s="57"/>
      <c r="S16" s="38"/>
      <c r="T16" s="38"/>
    </row>
    <row r="17" spans="1:41" s="3" customFormat="1" thickBot="1">
      <c r="A17" s="614"/>
      <c r="O17" s="148"/>
    </row>
    <row r="18" spans="1:41" s="586" customFormat="1" ht="12" thickTop="1">
      <c r="A18" s="57"/>
      <c r="B18" s="41"/>
      <c r="C18" s="57"/>
      <c r="E18" s="42" t="s">
        <v>137</v>
      </c>
      <c r="F18" s="42" t="s">
        <v>138</v>
      </c>
      <c r="G18" s="57"/>
      <c r="H18" s="57"/>
      <c r="I18" s="57"/>
      <c r="J18" s="57"/>
      <c r="K18" s="57" t="s">
        <v>139</v>
      </c>
      <c r="L18" s="57"/>
      <c r="M18" s="57"/>
      <c r="N18" s="57"/>
      <c r="O18" s="58"/>
      <c r="P18" s="57"/>
      <c r="Q18" s="57"/>
      <c r="R18" s="57"/>
      <c r="S18" s="57"/>
      <c r="T18" s="41"/>
      <c r="AG18" s="587" t="s">
        <v>252</v>
      </c>
      <c r="AH18" s="587" t="s">
        <v>253</v>
      </c>
      <c r="AI18" s="587" t="s">
        <v>254</v>
      </c>
      <c r="AJ18" s="587" t="s">
        <v>255</v>
      </c>
      <c r="AK18" s="587" t="s">
        <v>256</v>
      </c>
      <c r="AM18" s="579" t="s">
        <v>265</v>
      </c>
      <c r="AN18" s="580" t="s">
        <v>266</v>
      </c>
      <c r="AO18" s="588" t="s">
        <v>262</v>
      </c>
    </row>
    <row r="19" spans="1:41" s="586" customFormat="1" ht="12" customHeight="1">
      <c r="A19" s="589">
        <v>1</v>
      </c>
      <c r="B19" s="590" t="s">
        <v>364</v>
      </c>
      <c r="C19" s="591"/>
      <c r="D19" s="592" t="s">
        <v>273</v>
      </c>
      <c r="E19" s="593">
        <f>IF(AND($A19=0,$A$1="DIF"),0, ROUND(ROUND(($R23*$S$2+($T23*$T$2))/A19,2)*$C$2,2))</f>
        <v>126.32</v>
      </c>
      <c r="F19" s="594">
        <f>ROUND($A19*$E19,2)</f>
        <v>126.32</v>
      </c>
      <c r="G19" s="595" t="s">
        <v>140</v>
      </c>
      <c r="H19" s="583"/>
      <c r="I19" s="596"/>
      <c r="J19" s="583"/>
      <c r="K19" s="583" t="s">
        <v>3</v>
      </c>
      <c r="L19" s="597" t="s">
        <v>141</v>
      </c>
      <c r="M19" s="597"/>
      <c r="N19" s="597"/>
      <c r="O19" s="597"/>
      <c r="P19" s="597"/>
      <c r="Q19" s="637"/>
      <c r="T19" s="598" t="str">
        <f>IF(AND($R23=0,$T23=0),"0.00","mu :" &amp; ROUND($F19/$C$2/($R23+$T23*$D$9),2))</f>
        <v>mu :1</v>
      </c>
      <c r="W19" s="599"/>
      <c r="AG19" s="529">
        <f>IF($E19=0,0,ROUND($R23*$S$2*$C$2/$A19,2))</f>
        <v>0</v>
      </c>
      <c r="AH19" s="529">
        <f>$AG19*$A19</f>
        <v>0</v>
      </c>
      <c r="AI19" s="600">
        <f>$E19-$AG19</f>
        <v>126.32</v>
      </c>
      <c r="AJ19" s="600">
        <f>$A19*$AI19</f>
        <v>126.32</v>
      </c>
      <c r="AK19" s="601">
        <f>ROUND(($AG19+$AI19)*$A19,2)</f>
        <v>126.32</v>
      </c>
      <c r="AM19" s="602">
        <f>ROUND(R23,2)</f>
        <v>0</v>
      </c>
      <c r="AN19" s="603">
        <f>ROUND(T23,2)</f>
        <v>4.5999999999999996</v>
      </c>
      <c r="AO19" s="604">
        <f>ROUND(AM19+AN19,2)*A19</f>
        <v>4.5999999999999996</v>
      </c>
    </row>
    <row r="20" spans="1:41" s="586" customFormat="1" ht="13.2">
      <c r="A20" s="591"/>
      <c r="B20"/>
      <c r="C20" s="591"/>
      <c r="D20" s="876" t="s">
        <v>365</v>
      </c>
      <c r="E20" s="877"/>
      <c r="F20" s="877"/>
      <c r="G20" s="877"/>
      <c r="H20" s="877"/>
      <c r="I20" s="877"/>
      <c r="J20" s="877"/>
      <c r="K20" s="877"/>
      <c r="L20" s="877"/>
      <c r="M20" s="877"/>
      <c r="N20" s="877"/>
      <c r="O20" s="877"/>
      <c r="P20" s="877"/>
      <c r="Q20" s="877"/>
      <c r="R20" s="877"/>
      <c r="S20" s="877"/>
      <c r="T20" s="877"/>
    </row>
    <row r="21" spans="1:41" s="627" customFormat="1" ht="13.2">
      <c r="A21" s="157">
        <v>1</v>
      </c>
      <c r="B21" s="627" t="s">
        <v>281</v>
      </c>
      <c r="D21" s="627" t="s">
        <v>366</v>
      </c>
      <c r="G21" s="628" t="s">
        <v>367</v>
      </c>
      <c r="H21" s="629">
        <v>900</v>
      </c>
      <c r="I21" s="627" t="s">
        <v>280</v>
      </c>
      <c r="O21" s="630">
        <v>1</v>
      </c>
      <c r="P21" s="631"/>
      <c r="Q21" s="633">
        <v>0</v>
      </c>
      <c r="R21" s="632">
        <f>$A21*Q21</f>
        <v>0</v>
      </c>
      <c r="S21" s="633">
        <v>4</v>
      </c>
      <c r="T21" s="634">
        <f>$A21*S21*$T$1</f>
        <v>4.5999999999999996</v>
      </c>
    </row>
    <row r="22" spans="1:41" s="586" customFormat="1" ht="12">
      <c r="A22" s="582"/>
      <c r="B22" s="582"/>
      <c r="C22" s="582"/>
      <c r="D22" s="582"/>
      <c r="E22" s="582"/>
      <c r="F22" s="583"/>
      <c r="G22" s="582"/>
      <c r="H22" s="582"/>
      <c r="I22" s="584"/>
      <c r="J22" s="582"/>
      <c r="K22" s="582"/>
      <c r="L22" s="582"/>
      <c r="M22" s="582"/>
      <c r="N22" s="582"/>
      <c r="O22" s="582"/>
      <c r="P22" s="582"/>
      <c r="Q22" s="584"/>
      <c r="R22" s="605">
        <f t="shared" ref="R22" si="0">$A22*Q22</f>
        <v>0</v>
      </c>
      <c r="S22" s="584"/>
      <c r="T22" s="585">
        <f t="shared" ref="T22" si="1">$A22*S22*$T$1</f>
        <v>0</v>
      </c>
    </row>
    <row r="23" spans="1:41" s="586" customFormat="1" ht="12.6" thickBot="1">
      <c r="A23" s="606" t="s">
        <v>142</v>
      </c>
      <c r="B23" s="607">
        <f>(R22+T22)</f>
        <v>0</v>
      </c>
      <c r="C23" s="608"/>
      <c r="D23" s="608"/>
      <c r="E23" s="608"/>
      <c r="F23" s="609"/>
      <c r="G23" s="608" t="s">
        <v>143</v>
      </c>
      <c r="H23" s="608"/>
      <c r="I23" s="610"/>
      <c r="J23" s="608"/>
      <c r="K23" s="608" t="s">
        <v>3</v>
      </c>
      <c r="L23" s="611" t="s">
        <v>141</v>
      </c>
      <c r="M23" s="611"/>
      <c r="N23" s="611"/>
      <c r="O23" s="611"/>
      <c r="P23" s="611"/>
      <c r="Q23" s="612"/>
      <c r="R23" s="613">
        <f>SUM(R20:R22)</f>
        <v>0</v>
      </c>
      <c r="S23" s="608"/>
      <c r="T23" s="613">
        <f>SUM(T20:T22)</f>
        <v>4.5999999999999996</v>
      </c>
      <c r="U23" s="614"/>
      <c r="V23" s="614"/>
      <c r="W23" s="614"/>
      <c r="X23" s="614"/>
      <c r="Y23" s="614"/>
      <c r="Z23" s="614"/>
      <c r="AA23" s="614"/>
      <c r="AB23" s="614"/>
      <c r="AC23" s="614"/>
      <c r="AD23" s="614"/>
      <c r="AE23" s="614"/>
      <c r="AF23" s="614"/>
      <c r="AG23" s="614"/>
      <c r="AH23" s="614"/>
      <c r="AI23" s="614"/>
      <c r="AJ23" s="614"/>
      <c r="AK23" s="614"/>
      <c r="AL23" s="614"/>
      <c r="AM23" s="614"/>
      <c r="AN23" s="614"/>
      <c r="AO23" s="614"/>
    </row>
    <row r="24" spans="1:41" s="586" customFormat="1" ht="12" thickTop="1">
      <c r="A24" s="57"/>
      <c r="B24" s="41"/>
      <c r="C24" s="57"/>
      <c r="E24" s="42" t="s">
        <v>137</v>
      </c>
      <c r="F24" s="42" t="s">
        <v>138</v>
      </c>
      <c r="G24" s="57"/>
      <c r="H24" s="57"/>
      <c r="I24" s="57"/>
      <c r="J24" s="57"/>
      <c r="K24" s="57" t="s">
        <v>139</v>
      </c>
      <c r="L24" s="57"/>
      <c r="M24" s="57"/>
      <c r="N24" s="57"/>
      <c r="O24" s="58"/>
      <c r="P24" s="57"/>
      <c r="Q24" s="57"/>
      <c r="R24" s="57"/>
      <c r="S24" s="57"/>
      <c r="T24" s="41"/>
      <c r="AG24" s="587" t="s">
        <v>252</v>
      </c>
      <c r="AH24" s="587" t="s">
        <v>253</v>
      </c>
      <c r="AI24" s="587" t="s">
        <v>254</v>
      </c>
      <c r="AJ24" s="587" t="s">
        <v>255</v>
      </c>
      <c r="AK24" s="587" t="s">
        <v>256</v>
      </c>
      <c r="AM24" s="579" t="s">
        <v>265</v>
      </c>
      <c r="AN24" s="580" t="s">
        <v>266</v>
      </c>
      <c r="AO24" s="588" t="s">
        <v>262</v>
      </c>
    </row>
    <row r="25" spans="1:41" s="586" customFormat="1" ht="12" customHeight="1">
      <c r="A25" s="589">
        <v>2</v>
      </c>
      <c r="B25" s="590" t="s">
        <v>277</v>
      </c>
      <c r="C25" s="591"/>
      <c r="D25" s="592" t="s">
        <v>274</v>
      </c>
      <c r="E25" s="593">
        <f ca="1">IF(AND($A25=0,$A$1="DIF"),0, ROUND(ROUND(($R36*$S$2+($T36*$T$2))/A25,2)*$C$2,2))</f>
        <v>803.68</v>
      </c>
      <c r="F25" s="594">
        <f ca="1">ROUND($A25*$E25,2)</f>
        <v>1607.36</v>
      </c>
      <c r="G25" s="595" t="s">
        <v>140</v>
      </c>
      <c r="H25" s="583"/>
      <c r="I25" s="596"/>
      <c r="J25" s="583"/>
      <c r="K25" s="583" t="s">
        <v>3</v>
      </c>
      <c r="L25" s="597" t="s">
        <v>141</v>
      </c>
      <c r="M25" s="597"/>
      <c r="N25" s="597"/>
      <c r="O25" s="597"/>
      <c r="P25" s="597"/>
      <c r="Q25" s="637"/>
      <c r="T25" s="598" t="str">
        <f ca="1">IF(AND($R36=0,$T36=0),"0.00","mu :" &amp; ROUND($F25/$C$2/($R36+$T36*$D$9),2))</f>
        <v>mu :1</v>
      </c>
      <c r="W25" s="599"/>
      <c r="AG25" s="529">
        <f ca="1">IF($E25=0,0,ROUND($R36*$S$2*$C$2/$A25,2))</f>
        <v>572.4</v>
      </c>
      <c r="AH25" s="529">
        <f ca="1">$AG25*$A25</f>
        <v>1144.8</v>
      </c>
      <c r="AI25" s="600">
        <f ca="1">$E25-$AG25</f>
        <v>231.27999999999997</v>
      </c>
      <c r="AJ25" s="600">
        <f ca="1">$A25*$AI25</f>
        <v>462.55999999999995</v>
      </c>
      <c r="AK25" s="601">
        <f ca="1">ROUND(($AG25+$AI25)*$A25,2)</f>
        <v>1607.36</v>
      </c>
      <c r="AM25" s="602">
        <f ca="1">ROUND(R36,2)</f>
        <v>1144.8</v>
      </c>
      <c r="AN25" s="603">
        <f ca="1">ROUND(T36,2)</f>
        <v>16.850000000000001</v>
      </c>
      <c r="AO25" s="604">
        <f ca="1">ROUND(AM25+AN25,2)*A25</f>
        <v>2323.3000000000002</v>
      </c>
    </row>
    <row r="26" spans="1:41" s="586" customFormat="1" ht="13.2">
      <c r="A26" s="591"/>
      <c r="B26"/>
      <c r="C26" s="591"/>
      <c r="D26" s="876" t="s">
        <v>392</v>
      </c>
      <c r="E26" s="877"/>
      <c r="F26" s="877"/>
      <c r="G26" s="877"/>
      <c r="H26" s="877"/>
      <c r="I26" s="877"/>
      <c r="J26" s="877"/>
      <c r="K26" s="877"/>
      <c r="L26" s="877"/>
      <c r="M26" s="877"/>
      <c r="N26" s="877"/>
      <c r="O26" s="877"/>
      <c r="P26" s="877"/>
      <c r="Q26" s="877"/>
      <c r="R26" s="877"/>
      <c r="S26" s="877"/>
      <c r="T26" s="877"/>
    </row>
    <row r="27" spans="1:41" s="627" customFormat="1" ht="13.2">
      <c r="A27">
        <v>40</v>
      </c>
      <c r="B27" s="627" t="s">
        <v>271</v>
      </c>
      <c r="D27" s="627" t="s">
        <v>378</v>
      </c>
      <c r="F27" s="627" t="s">
        <v>340</v>
      </c>
      <c r="G27" s="628" t="s">
        <v>375</v>
      </c>
      <c r="H27" s="629">
        <v>616</v>
      </c>
      <c r="I27" s="627" t="s">
        <v>279</v>
      </c>
      <c r="J27" s="627" t="s">
        <v>376</v>
      </c>
      <c r="K27" s="627" t="s">
        <v>377</v>
      </c>
      <c r="O27" s="630">
        <v>2</v>
      </c>
      <c r="P27" s="631">
        <v>38847</v>
      </c>
      <c r="Q27" s="633">
        <v>4.0999999999999996</v>
      </c>
      <c r="R27" s="632">
        <f>$A27*Q27</f>
        <v>164</v>
      </c>
      <c r="S27" s="633">
        <v>0.05</v>
      </c>
      <c r="T27" s="634">
        <f>$A27*S27*$T$1</f>
        <v>2.2999999999999998</v>
      </c>
    </row>
    <row r="28" spans="1:41" s="627" customFormat="1" ht="13.2">
      <c r="A28">
        <v>2</v>
      </c>
      <c r="B28" s="627" t="s">
        <v>277</v>
      </c>
      <c r="D28" s="627" t="s">
        <v>394</v>
      </c>
      <c r="F28" s="627" t="s">
        <v>340</v>
      </c>
      <c r="G28" s="628" t="s">
        <v>384</v>
      </c>
      <c r="H28" s="629">
        <v>510</v>
      </c>
      <c r="I28" s="627" t="s">
        <v>385</v>
      </c>
      <c r="J28" s="627" t="s">
        <v>386</v>
      </c>
      <c r="K28" s="627" t="s">
        <v>387</v>
      </c>
      <c r="O28" s="630">
        <v>2</v>
      </c>
      <c r="P28" s="631">
        <v>36880</v>
      </c>
      <c r="Q28" s="707">
        <v>47.67</v>
      </c>
      <c r="R28" s="632">
        <f>$A28*Q28</f>
        <v>95.34</v>
      </c>
      <c r="S28" s="633">
        <v>0.75</v>
      </c>
      <c r="T28" s="634">
        <f>$A28*S28*$T$1</f>
        <v>1.7249999999999999</v>
      </c>
    </row>
    <row r="29" spans="1:41" s="627" customFormat="1" ht="13.2">
      <c r="A29">
        <v>8</v>
      </c>
      <c r="B29" s="627" t="s">
        <v>277</v>
      </c>
      <c r="D29" s="627" t="s">
        <v>399</v>
      </c>
      <c r="G29" s="628" t="s">
        <v>400</v>
      </c>
      <c r="H29" s="629">
        <v>620</v>
      </c>
      <c r="I29" s="627" t="s">
        <v>339</v>
      </c>
      <c r="O29" s="630">
        <v>2</v>
      </c>
      <c r="P29" s="631">
        <v>35431</v>
      </c>
      <c r="Q29" s="707">
        <v>4.71</v>
      </c>
      <c r="R29" s="632">
        <f>$A29*Q29</f>
        <v>37.68</v>
      </c>
      <c r="S29" s="633">
        <v>0.35000000000000003</v>
      </c>
      <c r="T29" s="634">
        <f>$A29*S29*$T$1</f>
        <v>3.22</v>
      </c>
    </row>
    <row r="30" spans="1:41" s="627" customFormat="1" ht="13.2">
      <c r="A30">
        <v>40</v>
      </c>
      <c r="B30" s="627" t="s">
        <v>277</v>
      </c>
      <c r="D30" s="627" t="s">
        <v>390</v>
      </c>
      <c r="G30" s="628" t="s">
        <v>391</v>
      </c>
      <c r="H30" s="629">
        <v>620</v>
      </c>
      <c r="I30" s="627" t="s">
        <v>278</v>
      </c>
      <c r="O30" s="630">
        <v>2</v>
      </c>
      <c r="P30" s="631">
        <v>34669</v>
      </c>
      <c r="Q30" s="707">
        <v>7.0000000000000007E-2</v>
      </c>
      <c r="R30" s="632">
        <f>$A30*Q30</f>
        <v>2.8000000000000003</v>
      </c>
      <c r="S30" s="633">
        <v>0.03</v>
      </c>
      <c r="T30" s="634">
        <f>$A30*S30*$T$1</f>
        <v>1.38</v>
      </c>
    </row>
    <row r="31" spans="1:41" s="842" customFormat="1" ht="13.2">
      <c r="A31"/>
      <c r="B31" s="834"/>
      <c r="C31" s="834" t="s">
        <v>416</v>
      </c>
      <c r="D31" s="834" t="str">
        <f ca="1">CELL("Address",Elec_Rates!D$41)</f>
        <v>[ELM25_0560_ST_Electronics_Exhaust_Replacement_Est_.xlsx]Elec_Rates!$D$41</v>
      </c>
      <c r="E31" s="835"/>
      <c r="F31" s="835"/>
      <c r="G31" s="836" t="s">
        <v>417</v>
      </c>
      <c r="H31" s="836"/>
      <c r="I31" s="836"/>
      <c r="J31" s="836"/>
      <c r="K31" s="837"/>
      <c r="L31" s="835"/>
      <c r="M31" s="835"/>
      <c r="N31" s="835"/>
      <c r="O31" s="838"/>
      <c r="P31" s="835"/>
      <c r="Q31" s="839"/>
      <c r="R31" s="840"/>
      <c r="S31" s="839"/>
      <c r="T31" s="636"/>
      <c r="U31" s="841"/>
    </row>
    <row r="32" spans="1:41" s="842" customFormat="1" ht="11.4">
      <c r="A32" s="843">
        <v>6</v>
      </c>
      <c r="B32" s="844">
        <v>1</v>
      </c>
      <c r="C32" s="844">
        <f>$A32*$B32</f>
        <v>6</v>
      </c>
      <c r="D32" s="845" t="str">
        <f>Elec_Rates!$D$41</f>
        <v>003# Cable Containment Support</v>
      </c>
      <c r="E32" s="850" t="s">
        <v>420</v>
      </c>
      <c r="F32" s="845" t="s">
        <v>418</v>
      </c>
      <c r="G32" s="846" t="s">
        <v>419</v>
      </c>
      <c r="H32" s="846"/>
      <c r="I32" s="846"/>
      <c r="J32" s="846"/>
      <c r="K32" s="847"/>
      <c r="L32" s="841"/>
      <c r="M32" s="841"/>
      <c r="N32" s="841"/>
      <c r="O32" s="848"/>
      <c r="P32" s="845"/>
      <c r="Q32" s="849">
        <f ca="1">$B32*Elec_Rates!$R$41</f>
        <v>71.41</v>
      </c>
      <c r="R32" s="840">
        <f ca="1">$A32*Q32</f>
        <v>428.46</v>
      </c>
      <c r="S32" s="849">
        <f ca="1">$B32*Elec_Rates!$T$41</f>
        <v>0.57999999999999996</v>
      </c>
      <c r="T32" s="636">
        <f ca="1">$A32*S32</f>
        <v>3.4799999999999995</v>
      </c>
      <c r="U32" s="563"/>
    </row>
    <row r="33" spans="1:44" s="842" customFormat="1" ht="13.2">
      <c r="A33"/>
      <c r="B33" s="834"/>
      <c r="C33" s="834" t="s">
        <v>416</v>
      </c>
      <c r="D33" s="834" t="str">
        <f ca="1">CELL("Address",Elec_Rates!D$26)</f>
        <v>[ELM25_0560_ST_Electronics_Exhaust_Replacement_Est_.xlsx]Elec_Rates!$D$26</v>
      </c>
      <c r="E33" s="835"/>
      <c r="F33" s="835"/>
      <c r="G33" s="836" t="s">
        <v>417</v>
      </c>
      <c r="H33" s="836"/>
      <c r="I33" s="836"/>
      <c r="J33" s="836"/>
      <c r="K33" s="837"/>
      <c r="L33" s="835"/>
      <c r="M33" s="835"/>
      <c r="N33" s="835"/>
      <c r="O33" s="838"/>
      <c r="P33" s="835"/>
      <c r="Q33" s="839"/>
      <c r="R33" s="840"/>
      <c r="S33" s="839"/>
      <c r="T33" s="636"/>
      <c r="U33" s="841"/>
    </row>
    <row r="34" spans="1:44" s="842" customFormat="1" ht="11.4">
      <c r="A34" s="843">
        <v>6</v>
      </c>
      <c r="B34" s="844">
        <v>1</v>
      </c>
      <c r="C34" s="844">
        <f>$A34*$B34</f>
        <v>6</v>
      </c>
      <c r="D34" s="845" t="str">
        <f>Elec_Rates!$D$26</f>
        <v>002# 200mm galvanised steel cable tray complete with cover</v>
      </c>
      <c r="E34" s="845"/>
      <c r="F34" s="845" t="s">
        <v>418</v>
      </c>
      <c r="G34" s="846" t="s">
        <v>419</v>
      </c>
      <c r="H34" s="846"/>
      <c r="I34" s="846"/>
      <c r="J34" s="846"/>
      <c r="K34" s="847"/>
      <c r="L34" s="841"/>
      <c r="M34" s="841"/>
      <c r="N34" s="841"/>
      <c r="O34" s="848"/>
      <c r="P34" s="845"/>
      <c r="Q34" s="849">
        <f ca="1">$B34*Elec_Rates!$R$26</f>
        <v>69.42</v>
      </c>
      <c r="R34" s="840">
        <f ca="1">$A34*Q34</f>
        <v>416.52</v>
      </c>
      <c r="S34" s="849">
        <f ca="1">$B34*Elec_Rates!$T$26</f>
        <v>0.79</v>
      </c>
      <c r="T34" s="636">
        <f ca="1">$A34*S34</f>
        <v>4.74</v>
      </c>
      <c r="U34" s="563"/>
    </row>
    <row r="35" spans="1:44" s="586" customFormat="1" ht="12">
      <c r="A35" s="582"/>
      <c r="B35" s="582"/>
      <c r="C35" s="582"/>
      <c r="D35" s="582"/>
      <c r="E35" s="582"/>
      <c r="F35" s="583"/>
      <c r="G35" s="582"/>
      <c r="H35" s="582"/>
      <c r="I35" s="584"/>
      <c r="J35" s="582"/>
      <c r="K35" s="582"/>
      <c r="L35" s="582"/>
      <c r="M35" s="582"/>
      <c r="N35" s="582"/>
      <c r="O35" s="582"/>
      <c r="P35" s="582"/>
      <c r="Q35" s="584"/>
      <c r="R35" s="605">
        <f t="shared" ref="R35" si="2">$A35*Q35</f>
        <v>0</v>
      </c>
      <c r="S35" s="584"/>
      <c r="T35" s="585">
        <f t="shared" ref="T35" si="3">$A35*S35*$T$1</f>
        <v>0</v>
      </c>
    </row>
    <row r="36" spans="1:44" s="586" customFormat="1" ht="12.6" thickBot="1">
      <c r="A36" s="606" t="s">
        <v>142</v>
      </c>
      <c r="B36" s="607">
        <f>(R35+T35)</f>
        <v>0</v>
      </c>
      <c r="C36" s="608"/>
      <c r="D36" s="608"/>
      <c r="E36" s="608"/>
      <c r="F36" s="609"/>
      <c r="G36" s="608" t="s">
        <v>143</v>
      </c>
      <c r="H36" s="608"/>
      <c r="I36" s="610"/>
      <c r="J36" s="608"/>
      <c r="K36" s="608" t="s">
        <v>3</v>
      </c>
      <c r="L36" s="611" t="s">
        <v>141</v>
      </c>
      <c r="M36" s="611"/>
      <c r="N36" s="611"/>
      <c r="O36" s="611"/>
      <c r="P36" s="611"/>
      <c r="Q36" s="612"/>
      <c r="R36" s="613">
        <f ca="1">SUM(R26:R35)</f>
        <v>1144.8</v>
      </c>
      <c r="S36" s="608"/>
      <c r="T36" s="613">
        <f ca="1">SUM(T26:T35)</f>
        <v>16.844999999999999</v>
      </c>
      <c r="U36" s="614"/>
      <c r="V36" s="614"/>
      <c r="W36" s="614"/>
      <c r="X36" s="614"/>
      <c r="Y36" s="614"/>
      <c r="Z36" s="614"/>
      <c r="AA36" s="614"/>
      <c r="AB36" s="614"/>
      <c r="AC36" s="614"/>
      <c r="AD36" s="614"/>
      <c r="AE36" s="614"/>
      <c r="AF36" s="614"/>
      <c r="AG36" s="614"/>
      <c r="AH36" s="614"/>
      <c r="AI36" s="614"/>
      <c r="AJ36" s="614"/>
      <c r="AK36" s="614"/>
      <c r="AL36" s="614"/>
      <c r="AM36" s="614"/>
      <c r="AN36" s="614"/>
      <c r="AO36" s="614"/>
    </row>
    <row r="37" spans="1:44" s="586" customFormat="1" ht="12" thickTop="1">
      <c r="A37" s="57"/>
      <c r="B37" s="41"/>
      <c r="C37" s="57"/>
      <c r="E37" s="42" t="s">
        <v>137</v>
      </c>
      <c r="F37" s="42" t="s">
        <v>138</v>
      </c>
      <c r="G37" s="57"/>
      <c r="H37" s="57"/>
      <c r="I37" s="57"/>
      <c r="J37" s="57"/>
      <c r="K37" s="57" t="s">
        <v>139</v>
      </c>
      <c r="L37" s="57"/>
      <c r="M37" s="57"/>
      <c r="N37" s="57"/>
      <c r="O37" s="58"/>
      <c r="P37" s="57"/>
      <c r="Q37" s="57"/>
      <c r="R37" s="57"/>
      <c r="S37" s="57"/>
      <c r="T37" s="41"/>
      <c r="AG37" s="587" t="s">
        <v>252</v>
      </c>
      <c r="AH37" s="587" t="s">
        <v>253</v>
      </c>
      <c r="AI37" s="587" t="s">
        <v>254</v>
      </c>
      <c r="AJ37" s="587" t="s">
        <v>255</v>
      </c>
      <c r="AK37" s="587" t="s">
        <v>256</v>
      </c>
      <c r="AM37" s="579" t="s">
        <v>265</v>
      </c>
      <c r="AN37" s="580" t="s">
        <v>266</v>
      </c>
      <c r="AO37" s="588" t="s">
        <v>262</v>
      </c>
    </row>
    <row r="38" spans="1:44" s="586" customFormat="1" ht="12" customHeight="1">
      <c r="A38" s="589">
        <v>2</v>
      </c>
      <c r="B38" s="590" t="s">
        <v>277</v>
      </c>
      <c r="C38" s="591"/>
      <c r="D38" s="592" t="s">
        <v>379</v>
      </c>
      <c r="E38" s="593">
        <f>IF(AND($A38=0,$A$1="DIF"),0, ROUND(ROUND(($R46*$S$2+($T46*$T$2))/A38,2)*$C$2,2))</f>
        <v>196.27</v>
      </c>
      <c r="F38" s="594">
        <f>ROUND($A38*$E38,2)</f>
        <v>392.54</v>
      </c>
      <c r="G38" s="595" t="s">
        <v>140</v>
      </c>
      <c r="H38" s="583"/>
      <c r="I38" s="596"/>
      <c r="J38" s="583"/>
      <c r="K38" s="583" t="s">
        <v>3</v>
      </c>
      <c r="L38" s="597" t="s">
        <v>141</v>
      </c>
      <c r="M38" s="597"/>
      <c r="N38" s="597"/>
      <c r="O38" s="597"/>
      <c r="P38" s="597"/>
      <c r="Q38" s="637"/>
      <c r="T38" s="598" t="str">
        <f>IF(AND($R46=0,$T46=0),"0.00","mu :" &amp; ROUND($F38/$C$2/($R46+$T46*$D$9),2))</f>
        <v>mu :1</v>
      </c>
      <c r="W38" s="599"/>
      <c r="AG38" s="529">
        <f>IF($E38=0,0,ROUND($R46*$S$2*$C$2/$A38,2))</f>
        <v>81.319999999999993</v>
      </c>
      <c r="AH38" s="529">
        <f>$AG38*$A38</f>
        <v>162.63999999999999</v>
      </c>
      <c r="AI38" s="600">
        <f>$E38-$AG38</f>
        <v>114.95000000000002</v>
      </c>
      <c r="AJ38" s="600">
        <f>$A38*$AI38</f>
        <v>229.90000000000003</v>
      </c>
      <c r="AK38" s="601">
        <f>ROUND(($AG38+$AI38)*$A38,2)</f>
        <v>392.54</v>
      </c>
      <c r="AM38" s="602">
        <f>ROUND(R46,2)</f>
        <v>162.63999999999999</v>
      </c>
      <c r="AN38" s="603">
        <f>ROUND(T46,2)</f>
        <v>8.3699999999999992</v>
      </c>
      <c r="AO38" s="604">
        <f>ROUND(AM38+AN38,2)*A38</f>
        <v>342.02</v>
      </c>
    </row>
    <row r="39" spans="1:44" s="586" customFormat="1" ht="13.2" customHeight="1">
      <c r="A39" s="591"/>
      <c r="B39"/>
      <c r="C39" s="591"/>
      <c r="D39" s="876" t="s">
        <v>393</v>
      </c>
      <c r="E39" s="877"/>
      <c r="F39" s="877"/>
      <c r="G39" s="877"/>
      <c r="H39" s="877"/>
      <c r="I39" s="877"/>
      <c r="J39" s="877"/>
      <c r="K39" s="877"/>
      <c r="L39" s="877"/>
      <c r="M39" s="877"/>
      <c r="N39" s="877"/>
      <c r="O39" s="877"/>
      <c r="P39" s="877"/>
      <c r="Q39" s="877"/>
      <c r="R39" s="877"/>
      <c r="S39" s="877"/>
      <c r="T39" s="877"/>
    </row>
    <row r="40" spans="1:44" s="627" customFormat="1" ht="13.2">
      <c r="A40" s="157">
        <v>10</v>
      </c>
      <c r="B40" s="627" t="s">
        <v>271</v>
      </c>
      <c r="D40" s="627" t="s">
        <v>374</v>
      </c>
      <c r="F40" s="627" t="s">
        <v>370</v>
      </c>
      <c r="G40" s="628" t="s">
        <v>371</v>
      </c>
      <c r="H40" s="629">
        <v>690</v>
      </c>
      <c r="I40" s="627" t="s">
        <v>372</v>
      </c>
      <c r="J40" s="627" t="s">
        <v>373</v>
      </c>
      <c r="O40" s="630">
        <v>1</v>
      </c>
      <c r="P40" s="631">
        <v>34669</v>
      </c>
      <c r="Q40" s="750">
        <v>3.8</v>
      </c>
      <c r="R40" s="632">
        <f t="shared" ref="R40" si="4">$A40*Q40</f>
        <v>38</v>
      </c>
      <c r="S40" s="633">
        <v>0.25</v>
      </c>
      <c r="T40" s="634">
        <f t="shared" ref="T40" si="5">$A40*S40*$T$1</f>
        <v>2.875</v>
      </c>
      <c r="AR40" s="157">
        <v>75</v>
      </c>
    </row>
    <row r="41" spans="1:44" s="627" customFormat="1" ht="13.2">
      <c r="A41">
        <v>30</v>
      </c>
      <c r="B41" s="627" t="s">
        <v>271</v>
      </c>
      <c r="D41" s="627" t="s">
        <v>380</v>
      </c>
      <c r="G41" s="628" t="s">
        <v>381</v>
      </c>
      <c r="H41" s="629">
        <v>616</v>
      </c>
      <c r="I41" s="627" t="s">
        <v>276</v>
      </c>
      <c r="J41" s="627" t="s">
        <v>382</v>
      </c>
      <c r="K41" s="627" t="s">
        <v>383</v>
      </c>
      <c r="O41" s="630">
        <v>2</v>
      </c>
      <c r="P41" s="631">
        <v>40767</v>
      </c>
      <c r="Q41" s="633">
        <v>2</v>
      </c>
      <c r="R41" s="632">
        <f>$A41*Q41</f>
        <v>60</v>
      </c>
      <c r="S41" s="633">
        <v>0.03</v>
      </c>
      <c r="T41" s="634">
        <f>$A41*S41*$T$1</f>
        <v>1.0349999999999999</v>
      </c>
    </row>
    <row r="42" spans="1:44" s="627" customFormat="1" ht="13.2">
      <c r="A42">
        <v>2</v>
      </c>
      <c r="B42" s="627" t="s">
        <v>277</v>
      </c>
      <c r="D42" s="627" t="s">
        <v>398</v>
      </c>
      <c r="F42" s="627" t="s">
        <v>340</v>
      </c>
      <c r="G42" s="628" t="s">
        <v>395</v>
      </c>
      <c r="H42" s="629">
        <v>510</v>
      </c>
      <c r="I42" s="627" t="s">
        <v>385</v>
      </c>
      <c r="J42" s="627" t="s">
        <v>396</v>
      </c>
      <c r="K42" s="627" t="s">
        <v>397</v>
      </c>
      <c r="O42" s="630">
        <v>2</v>
      </c>
      <c r="P42" s="631">
        <v>36880</v>
      </c>
      <c r="Q42" s="707">
        <v>17.48</v>
      </c>
      <c r="R42" s="632">
        <f>$A42*Q42</f>
        <v>34.96</v>
      </c>
      <c r="S42" s="633">
        <v>0.5</v>
      </c>
      <c r="T42" s="634">
        <f>$A42*S42*$T$1</f>
        <v>1.1499999999999999</v>
      </c>
    </row>
    <row r="43" spans="1:44" s="627" customFormat="1" ht="13.2">
      <c r="A43">
        <v>8</v>
      </c>
      <c r="B43" s="627" t="s">
        <v>277</v>
      </c>
      <c r="D43" s="627" t="s">
        <v>388</v>
      </c>
      <c r="G43" s="628" t="s">
        <v>389</v>
      </c>
      <c r="H43" s="629">
        <v>620</v>
      </c>
      <c r="I43" s="627" t="s">
        <v>339</v>
      </c>
      <c r="O43" s="630">
        <v>2</v>
      </c>
      <c r="P43" s="631">
        <v>35431</v>
      </c>
      <c r="Q43" s="707">
        <v>3.56</v>
      </c>
      <c r="R43" s="632">
        <f>$A43*Q43</f>
        <v>28.48</v>
      </c>
      <c r="S43" s="633">
        <v>0.3</v>
      </c>
      <c r="T43" s="634">
        <f>$A43*S43*$T$1</f>
        <v>2.76</v>
      </c>
    </row>
    <row r="44" spans="1:44" s="627" customFormat="1" ht="13.2">
      <c r="A44">
        <v>24</v>
      </c>
      <c r="B44" s="627" t="s">
        <v>277</v>
      </c>
      <c r="D44" s="627" t="s">
        <v>401</v>
      </c>
      <c r="G44" s="628" t="s">
        <v>402</v>
      </c>
      <c r="H44" s="629">
        <v>620</v>
      </c>
      <c r="I44" s="627" t="s">
        <v>278</v>
      </c>
      <c r="O44" s="630">
        <v>2</v>
      </c>
      <c r="P44" s="631">
        <v>34669</v>
      </c>
      <c r="Q44" s="707">
        <v>0.05</v>
      </c>
      <c r="R44" s="632">
        <f>$A44*Q44</f>
        <v>1.2000000000000002</v>
      </c>
      <c r="S44" s="633">
        <v>0.02</v>
      </c>
      <c r="T44" s="634">
        <f>$A44*S44*$T$1</f>
        <v>0.55199999999999994</v>
      </c>
    </row>
    <row r="45" spans="1:44" s="586" customFormat="1" ht="12">
      <c r="A45" s="582"/>
      <c r="B45" s="582"/>
      <c r="C45" s="582"/>
      <c r="D45" s="582"/>
      <c r="E45" s="582"/>
      <c r="F45" s="583"/>
      <c r="G45" s="582"/>
      <c r="H45" s="582"/>
      <c r="I45" s="584"/>
      <c r="J45" s="582"/>
      <c r="K45" s="582"/>
      <c r="L45" s="582"/>
      <c r="M45" s="582"/>
      <c r="N45" s="582"/>
      <c r="O45" s="582"/>
      <c r="P45" s="582"/>
      <c r="Q45" s="584"/>
      <c r="R45" s="605">
        <f t="shared" ref="R45" si="6">$A45*Q45</f>
        <v>0</v>
      </c>
      <c r="S45" s="584"/>
      <c r="T45" s="585">
        <f t="shared" ref="T45" si="7">$A45*S45*$T$1</f>
        <v>0</v>
      </c>
    </row>
    <row r="46" spans="1:44" s="586" customFormat="1" ht="12.6" thickBot="1">
      <c r="A46" s="606" t="s">
        <v>142</v>
      </c>
      <c r="B46" s="607">
        <f>(R45+T45)</f>
        <v>0</v>
      </c>
      <c r="C46" s="608"/>
      <c r="D46" s="608"/>
      <c r="E46" s="608"/>
      <c r="F46" s="609"/>
      <c r="G46" s="608" t="s">
        <v>143</v>
      </c>
      <c r="H46" s="608"/>
      <c r="I46" s="610"/>
      <c r="J46" s="608"/>
      <c r="K46" s="608" t="s">
        <v>3</v>
      </c>
      <c r="L46" s="611" t="s">
        <v>141</v>
      </c>
      <c r="M46" s="611"/>
      <c r="N46" s="611"/>
      <c r="O46" s="611"/>
      <c r="P46" s="611"/>
      <c r="Q46" s="612"/>
      <c r="R46" s="613">
        <f>SUM(R39:R45)</f>
        <v>162.63999999999999</v>
      </c>
      <c r="S46" s="608"/>
      <c r="T46" s="613">
        <f>SUM(T39:T45)</f>
        <v>8.3719999999999999</v>
      </c>
      <c r="U46" s="614"/>
      <c r="V46" s="614"/>
      <c r="W46" s="614"/>
      <c r="X46" s="614"/>
      <c r="Y46" s="614"/>
      <c r="Z46" s="614"/>
      <c r="AA46" s="614"/>
      <c r="AB46" s="614"/>
      <c r="AC46" s="614"/>
      <c r="AD46" s="614"/>
      <c r="AE46" s="614"/>
      <c r="AF46" s="614"/>
      <c r="AG46" s="614"/>
      <c r="AH46" s="614"/>
      <c r="AI46" s="614"/>
      <c r="AJ46" s="614"/>
      <c r="AK46" s="614"/>
      <c r="AL46" s="614"/>
      <c r="AM46" s="614"/>
      <c r="AN46" s="614"/>
      <c r="AO46" s="614"/>
    </row>
    <row r="47" spans="1:44" s="586" customFormat="1" thickTop="1">
      <c r="A47" s="57"/>
      <c r="B47" s="41"/>
      <c r="C47" s="57"/>
      <c r="E47" s="42" t="s">
        <v>137</v>
      </c>
      <c r="F47" s="42" t="s">
        <v>138</v>
      </c>
      <c r="G47" s="57"/>
      <c r="H47" s="57"/>
      <c r="I47" s="57"/>
      <c r="J47" s="57"/>
      <c r="K47" s="57" t="s">
        <v>139</v>
      </c>
      <c r="L47" s="751"/>
      <c r="M47" s="57"/>
      <c r="N47" s="57"/>
      <c r="O47" s="58"/>
      <c r="P47" s="57"/>
      <c r="Q47"/>
      <c r="R47"/>
      <c r="S47"/>
      <c r="T47" s="41"/>
      <c r="AG47" s="587" t="s">
        <v>252</v>
      </c>
      <c r="AH47" s="587" t="s">
        <v>253</v>
      </c>
      <c r="AI47" s="587" t="s">
        <v>254</v>
      </c>
      <c r="AJ47" s="587" t="s">
        <v>255</v>
      </c>
      <c r="AK47" s="587" t="s">
        <v>256</v>
      </c>
      <c r="AM47" s="579" t="s">
        <v>265</v>
      </c>
      <c r="AN47" s="580" t="s">
        <v>266</v>
      </c>
      <c r="AO47" s="588" t="s">
        <v>262</v>
      </c>
    </row>
    <row r="48" spans="1:44" s="586" customFormat="1" ht="13.2">
      <c r="A48" s="589">
        <v>1</v>
      </c>
      <c r="B48" s="590" t="s">
        <v>277</v>
      </c>
      <c r="C48" s="591"/>
      <c r="D48" s="592" t="s">
        <v>403</v>
      </c>
      <c r="E48" s="752">
        <f>IF(AND($A48=0,$A$1="DIF"),0,ROUND(ROUND(SUMIF($L50:$L62,"SUBI",$E50:$E62)/$A48,2)*$C$12,2))</f>
        <v>3450.94</v>
      </c>
      <c r="F48" s="753">
        <f>ROUND($A48*$E48,2)</f>
        <v>3450.94</v>
      </c>
      <c r="G48" s="595" t="s">
        <v>140</v>
      </c>
      <c r="H48" s="583"/>
      <c r="I48" s="596"/>
      <c r="J48" s="583"/>
      <c r="K48" s="754"/>
      <c r="L48" s="755" t="s">
        <v>141</v>
      </c>
      <c r="M48" s="597"/>
      <c r="N48" s="597"/>
      <c r="O48" s="597"/>
      <c r="P48" s="597"/>
      <c r="Q48"/>
      <c r="R48"/>
      <c r="S48"/>
      <c r="T48" s="756" t="str">
        <f>IF(AND($R67=0,$T67=0),"0.00","mu :" &amp; ROUND($F48/$C$12/($R67+$T67*$D$9),2))</f>
        <v>mu :1</v>
      </c>
      <c r="W48" s="599"/>
      <c r="AG48" s="757">
        <f>IF(A48=0,0,ROUND(SUM(AG50:AG67)/A48,2))</f>
        <v>3010.39</v>
      </c>
      <c r="AH48" s="757">
        <f>$AG48*$A48</f>
        <v>3010.39</v>
      </c>
      <c r="AI48" s="757">
        <f>$E48-$AG48</f>
        <v>440.55000000000018</v>
      </c>
      <c r="AJ48" s="757">
        <f>$A48*$AI48</f>
        <v>440.55000000000018</v>
      </c>
      <c r="AK48" s="758">
        <f>ROUND(($AG48+$AI48)*$A48,2)</f>
        <v>3450.94</v>
      </c>
      <c r="AM48" s="602">
        <f>ROUND(R67,2)</f>
        <v>3010.39</v>
      </c>
      <c r="AN48" s="603">
        <f>ROUND(T67,2)</f>
        <v>16.04</v>
      </c>
      <c r="AO48" s="604">
        <f>ROUND(AM48+AN48,2)*A48</f>
        <v>3026.43</v>
      </c>
    </row>
    <row r="49" spans="1:44" s="586" customFormat="1" ht="21.6" customHeight="1">
      <c r="A49" s="759"/>
      <c r="B49" s="760"/>
      <c r="C49" s="591"/>
      <c r="D49" s="876" t="s">
        <v>404</v>
      </c>
      <c r="E49" s="877"/>
      <c r="F49" s="877"/>
      <c r="G49" s="877"/>
      <c r="H49" s="877"/>
      <c r="I49" s="877"/>
      <c r="J49" s="877"/>
      <c r="K49" s="877"/>
      <c r="L49" s="877"/>
      <c r="M49" s="877"/>
      <c r="N49" s="877"/>
      <c r="O49" s="877"/>
      <c r="P49" s="877"/>
      <c r="Q49" s="877"/>
      <c r="R49" s="877"/>
      <c r="S49" s="877"/>
      <c r="T49" s="877"/>
    </row>
    <row r="50" spans="1:44" s="586" customFormat="1" ht="12">
      <c r="A50" s="762"/>
      <c r="B50" s="763"/>
      <c r="C50" s="582"/>
      <c r="D50" s="764"/>
      <c r="E50" s="765">
        <f>F48/$C$12-SUMIF($L47:$L67,"SUBI",$E47:$E67)</f>
        <v>0</v>
      </c>
      <c r="F50" s="766" t="s">
        <v>409</v>
      </c>
      <c r="G50" s="767"/>
      <c r="H50" s="767"/>
      <c r="I50" s="768"/>
      <c r="J50" s="767"/>
      <c r="K50" s="767"/>
      <c r="L50" s="769"/>
      <c r="M50" s="770"/>
      <c r="N50" s="770"/>
      <c r="O50" s="770"/>
      <c r="P50" s="770"/>
      <c r="Q50" s="771"/>
      <c r="R50" s="772"/>
      <c r="S50" s="771"/>
      <c r="T50" s="773"/>
    </row>
    <row r="51" spans="1:44" s="586" customFormat="1" ht="12" customHeight="1">
      <c r="A51" s="774"/>
      <c r="B51" s="775"/>
      <c r="C51" s="776"/>
      <c r="D51" s="776" t="str">
        <f>$F$2</f>
        <v>Electrical</v>
      </c>
      <c r="E51" s="776">
        <f>ROUND(($R56*$S$2 + ($T56*$T$2)), 2)</f>
        <v>300.61</v>
      </c>
      <c r="F51" s="777">
        <f>$E51*$C$12</f>
        <v>300.61</v>
      </c>
      <c r="G51" s="761"/>
      <c r="H51" s="778"/>
      <c r="I51" s="761"/>
      <c r="J51" s="58"/>
      <c r="K51" s="779" t="s">
        <v>3</v>
      </c>
      <c r="L51" s="780" t="s">
        <v>410</v>
      </c>
      <c r="M51" s="761"/>
      <c r="N51" s="761"/>
      <c r="O51" s="58"/>
      <c r="P51" s="761"/>
      <c r="Q51" s="761"/>
      <c r="R51"/>
      <c r="S51"/>
      <c r="T51"/>
    </row>
    <row r="52" spans="1:44" s="627" customFormat="1" ht="13.2">
      <c r="A52" s="157">
        <v>15</v>
      </c>
      <c r="B52" s="627" t="s">
        <v>271</v>
      </c>
      <c r="D52" s="627" t="s">
        <v>369</v>
      </c>
      <c r="F52" s="627" t="s">
        <v>370</v>
      </c>
      <c r="G52" s="628" t="s">
        <v>371</v>
      </c>
      <c r="H52" s="629">
        <v>690</v>
      </c>
      <c r="I52" s="627" t="s">
        <v>372</v>
      </c>
      <c r="J52" s="627" t="s">
        <v>373</v>
      </c>
      <c r="O52" s="630">
        <v>1</v>
      </c>
      <c r="P52" s="631">
        <v>34669</v>
      </c>
      <c r="Q52" s="750">
        <v>3.03</v>
      </c>
      <c r="R52" s="632">
        <f t="shared" ref="R52" si="8">$A52*Q52</f>
        <v>45.449999999999996</v>
      </c>
      <c r="S52" s="633">
        <v>0.2</v>
      </c>
      <c r="T52" s="634">
        <f t="shared" ref="T52" si="9">$A52*S52*$T$1</f>
        <v>3.4499999999999997</v>
      </c>
      <c r="AR52" s="157">
        <v>75</v>
      </c>
    </row>
    <row r="53" spans="1:44" s="627" customFormat="1" ht="13.2">
      <c r="A53">
        <v>60</v>
      </c>
      <c r="B53" s="627" t="s">
        <v>271</v>
      </c>
      <c r="D53" s="627" t="s">
        <v>408</v>
      </c>
      <c r="G53" s="628" t="s">
        <v>405</v>
      </c>
      <c r="H53" s="629">
        <v>617</v>
      </c>
      <c r="I53" s="627" t="s">
        <v>406</v>
      </c>
      <c r="J53" s="627" t="s">
        <v>407</v>
      </c>
      <c r="O53" s="630">
        <v>2</v>
      </c>
      <c r="P53" s="631">
        <v>38433</v>
      </c>
      <c r="Q53" s="633">
        <v>1.2</v>
      </c>
      <c r="R53" s="632">
        <f>$A53*Q53</f>
        <v>72</v>
      </c>
      <c r="S53" s="633">
        <v>0.03</v>
      </c>
      <c r="T53" s="634">
        <f>$A53*S53*$T$1</f>
        <v>2.0699999999999998</v>
      </c>
    </row>
    <row r="54" spans="1:44" s="627" customFormat="1" ht="13.2">
      <c r="A54">
        <v>1</v>
      </c>
      <c r="B54" s="627" t="s">
        <v>277</v>
      </c>
      <c r="D54" s="627" t="s">
        <v>433</v>
      </c>
      <c r="G54" s="628" t="s">
        <v>429</v>
      </c>
      <c r="H54" s="629">
        <v>512</v>
      </c>
      <c r="I54" s="627" t="s">
        <v>279</v>
      </c>
      <c r="O54" s="630">
        <v>3</v>
      </c>
      <c r="P54" s="631"/>
      <c r="Q54" s="633"/>
      <c r="R54" s="632">
        <f>$A54*Q54</f>
        <v>0</v>
      </c>
      <c r="S54" s="633">
        <v>1</v>
      </c>
      <c r="T54" s="634">
        <f>$A54*S54*$T$1</f>
        <v>1.1499999999999999</v>
      </c>
    </row>
    <row r="55" spans="1:44" s="586" customFormat="1" ht="14.4" customHeight="1">
      <c r="A55" s="64"/>
      <c r="B55" s="761"/>
      <c r="C55" s="761"/>
      <c r="D55" s="761"/>
      <c r="E55" s="761"/>
      <c r="F55" s="761"/>
      <c r="G55" s="761"/>
      <c r="H55" s="778"/>
      <c r="I55" s="761"/>
      <c r="J55" s="58"/>
      <c r="K55" s="782"/>
      <c r="L55" s="783"/>
      <c r="M55" s="761"/>
      <c r="N55" s="761"/>
      <c r="O55" s="58"/>
      <c r="P55" s="761"/>
      <c r="Q55" s="761"/>
      <c r="R55" s="784">
        <f>$A55*Q55</f>
        <v>0</v>
      </c>
      <c r="S55" s="761"/>
      <c r="T55" s="585">
        <f>$A55*S55*$T$1</f>
        <v>0</v>
      </c>
    </row>
    <row r="56" spans="1:44" s="586" customFormat="1" ht="12">
      <c r="A56" s="785" t="s">
        <v>142</v>
      </c>
      <c r="B56" s="786">
        <f>(R55+T55)</f>
        <v>0</v>
      </c>
      <c r="C56" s="767"/>
      <c r="G56" s="787"/>
      <c r="H56" s="787"/>
      <c r="I56" s="787"/>
      <c r="J56" s="787"/>
      <c r="K56" s="764" t="s">
        <v>3</v>
      </c>
      <c r="L56" s="788" t="s">
        <v>410</v>
      </c>
      <c r="M56" s="787"/>
      <c r="N56" s="787"/>
      <c r="O56" s="787"/>
      <c r="P56" s="787"/>
      <c r="Q56" s="789"/>
      <c r="R56" s="790">
        <f>SUM(R51:R55)</f>
        <v>117.44999999999999</v>
      </c>
      <c r="S56" s="791"/>
      <c r="T56" s="790">
        <f>SUM(T51:T55)</f>
        <v>6.67</v>
      </c>
      <c r="AG56" s="792">
        <f>ROUND($R56*$S$2,2)</f>
        <v>117.45</v>
      </c>
    </row>
    <row r="57" spans="1:44" s="586" customFormat="1" ht="12" customHeight="1">
      <c r="A57" s="774"/>
      <c r="B57" s="793"/>
      <c r="C57" s="794"/>
      <c r="D57" s="795" t="str">
        <f>$F$3</f>
        <v>Controls</v>
      </c>
      <c r="E57" s="795">
        <f>ROUND(($R61*$S$3 + ($T61*$T$3)), 2)</f>
        <v>3150.33</v>
      </c>
      <c r="F57" s="796">
        <f>$E57*$C$12</f>
        <v>3150.33</v>
      </c>
      <c r="G57" s="584"/>
      <c r="H57" s="584"/>
      <c r="I57" s="584"/>
      <c r="J57" s="584"/>
      <c r="K57" s="779" t="s">
        <v>5</v>
      </c>
      <c r="L57" s="780" t="s">
        <v>410</v>
      </c>
      <c r="M57" s="584"/>
      <c r="N57" s="584"/>
      <c r="O57" s="584"/>
      <c r="P57" s="584"/>
      <c r="Q57" s="584"/>
      <c r="R57" s="797"/>
      <c r="S57" s="584"/>
      <c r="T57" s="797"/>
    </row>
    <row r="58" spans="1:44" s="627" customFormat="1" ht="13.2">
      <c r="A58">
        <v>1</v>
      </c>
      <c r="B58" s="627" t="s">
        <v>277</v>
      </c>
      <c r="D58" s="627" t="s">
        <v>430</v>
      </c>
      <c r="G58" s="628" t="s">
        <v>429</v>
      </c>
      <c r="H58" s="629">
        <v>512</v>
      </c>
      <c r="I58" s="627" t="s">
        <v>279</v>
      </c>
      <c r="O58" s="630">
        <v>3</v>
      </c>
      <c r="P58" s="631"/>
      <c r="Q58" s="633">
        <v>2738.94</v>
      </c>
      <c r="R58" s="632">
        <f>$A58*Q58</f>
        <v>2738.94</v>
      </c>
      <c r="S58" s="633">
        <f>2*35/27.46+2*41.91/27.46</f>
        <v>5.6016023306627822</v>
      </c>
      <c r="T58" s="634">
        <f>$A58*S58*$T$1</f>
        <v>6.4418426802621989</v>
      </c>
    </row>
    <row r="59" spans="1:44" s="627" customFormat="1" ht="13.2">
      <c r="A59">
        <v>1</v>
      </c>
      <c r="B59" s="627" t="s">
        <v>277</v>
      </c>
      <c r="D59" s="627" t="s">
        <v>432</v>
      </c>
      <c r="G59" s="628" t="s">
        <v>429</v>
      </c>
      <c r="H59" s="629">
        <v>512</v>
      </c>
      <c r="I59" s="627" t="s">
        <v>279</v>
      </c>
      <c r="O59" s="630">
        <v>3</v>
      </c>
      <c r="P59" s="631"/>
      <c r="Q59" s="633">
        <v>154</v>
      </c>
      <c r="R59" s="632">
        <f>$A59*Q59</f>
        <v>154</v>
      </c>
      <c r="S59" s="633">
        <f>2*35/27.46</f>
        <v>2.5491624180626364</v>
      </c>
      <c r="T59" s="634">
        <f>$A59*S59*$T$1</f>
        <v>2.9315367807720318</v>
      </c>
    </row>
    <row r="60" spans="1:44" s="586" customFormat="1" ht="15.6" customHeight="1">
      <c r="A60" s="64"/>
      <c r="B60" s="761"/>
      <c r="C60" s="761"/>
      <c r="D60" s="3"/>
      <c r="E60" s="761"/>
      <c r="F60" s="761"/>
      <c r="G60" s="761"/>
      <c r="H60" s="761"/>
      <c r="I60" s="761"/>
      <c r="J60" s="761"/>
      <c r="K60" s="761"/>
      <c r="L60" s="783"/>
      <c r="M60" s="761"/>
      <c r="N60" s="761"/>
      <c r="O60" s="761"/>
      <c r="P60" s="761"/>
      <c r="Q60" s="761"/>
      <c r="R60" s="784">
        <f>$A60*Q60</f>
        <v>0</v>
      </c>
      <c r="S60" s="761"/>
      <c r="T60" s="585">
        <f>$A60*S60*$T$1</f>
        <v>0</v>
      </c>
    </row>
    <row r="61" spans="1:44" s="586" customFormat="1" ht="12">
      <c r="A61" s="785" t="s">
        <v>142</v>
      </c>
      <c r="B61" s="786">
        <f>(R60+T60)</f>
        <v>0</v>
      </c>
      <c r="C61" s="767"/>
      <c r="G61" s="787"/>
      <c r="H61" s="787"/>
      <c r="I61" s="787"/>
      <c r="J61" s="787"/>
      <c r="K61" s="810" t="s">
        <v>5</v>
      </c>
      <c r="L61" s="788" t="s">
        <v>410</v>
      </c>
      <c r="M61" s="787"/>
      <c r="N61" s="787"/>
      <c r="O61" s="787"/>
      <c r="P61" s="787"/>
      <c r="Q61" s="789"/>
      <c r="R61" s="790">
        <f>SUM(R57:R60)</f>
        <v>2892.94</v>
      </c>
      <c r="S61" s="791"/>
      <c r="T61" s="790">
        <f>SUM(T57:T60)</f>
        <v>9.3733794610342311</v>
      </c>
      <c r="AG61" s="811">
        <f>ROUND($R61*$S$3,2)</f>
        <v>2892.94</v>
      </c>
    </row>
    <row r="62" spans="1:44" s="586" customFormat="1" ht="12" customHeight="1">
      <c r="A62" s="812"/>
      <c r="B62" s="813"/>
      <c r="C62" s="814"/>
      <c r="D62" s="815" t="str">
        <f>$F$4</f>
        <v>Controls</v>
      </c>
      <c r="E62" s="815">
        <f>ROUND(($R65*$S$4 + ($T65*$T$4)), 2)</f>
        <v>0</v>
      </c>
      <c r="F62" s="816">
        <f ca="1">$F48-SUMIF($L50:$P58,"SUBI",$F50:$F58)</f>
        <v>0</v>
      </c>
      <c r="G62" s="584"/>
      <c r="H62" s="584"/>
      <c r="I62" s="584"/>
      <c r="J62" s="584"/>
      <c r="K62" s="817" t="s">
        <v>7</v>
      </c>
      <c r="L62" s="780" t="s">
        <v>410</v>
      </c>
      <c r="M62" s="584"/>
      <c r="N62" s="584"/>
      <c r="O62" s="584"/>
      <c r="P62" s="584"/>
      <c r="Q62" s="584"/>
      <c r="R62" s="797"/>
      <c r="S62" s="584"/>
      <c r="T62" s="797"/>
    </row>
    <row r="63" spans="1:44" s="586" customFormat="1" ht="12">
      <c r="A63" s="57"/>
      <c r="B63" s="582"/>
      <c r="C63" s="582"/>
      <c r="D63" s="819"/>
      <c r="E63" s="820"/>
      <c r="F63" s="584"/>
      <c r="G63" s="584"/>
      <c r="H63" s="584"/>
      <c r="I63" s="584"/>
      <c r="J63" s="584"/>
      <c r="K63" s="584"/>
      <c r="L63" s="821"/>
      <c r="M63" s="584"/>
      <c r="N63" s="584"/>
      <c r="O63" s="584"/>
      <c r="P63" s="584"/>
      <c r="Q63" s="584"/>
      <c r="R63" s="605">
        <f>$A63*Q63</f>
        <v>0</v>
      </c>
      <c r="S63" s="584"/>
      <c r="T63" s="585">
        <f>$A63*S63*$T$1</f>
        <v>0</v>
      </c>
    </row>
    <row r="64" spans="1:44" s="586" customFormat="1" ht="12">
      <c r="A64" s="57"/>
      <c r="B64" s="582"/>
      <c r="C64" s="582"/>
      <c r="D64" s="819"/>
      <c r="E64" s="820"/>
      <c r="F64" s="584"/>
      <c r="G64" s="584"/>
      <c r="H64" s="584"/>
      <c r="I64" s="584"/>
      <c r="J64" s="584"/>
      <c r="K64" s="584"/>
      <c r="L64" s="821"/>
      <c r="M64" s="584"/>
      <c r="N64" s="584"/>
      <c r="O64" s="584"/>
      <c r="P64" s="584"/>
      <c r="Q64" s="584"/>
      <c r="R64" s="605">
        <f>$A64*Q64</f>
        <v>0</v>
      </c>
      <c r="S64" s="584"/>
      <c r="T64" s="585">
        <f>$A64*S64*$T$1</f>
        <v>0</v>
      </c>
    </row>
    <row r="65" spans="1:44" s="586" customFormat="1" ht="12.75" customHeight="1">
      <c r="A65" s="785" t="s">
        <v>142</v>
      </c>
      <c r="B65" s="786">
        <f>(R64+T64)</f>
        <v>0</v>
      </c>
      <c r="C65" s="822"/>
      <c r="D65" s="822"/>
      <c r="E65" s="822"/>
      <c r="F65" s="822"/>
      <c r="G65" s="789"/>
      <c r="H65" s="789"/>
      <c r="I65" s="789"/>
      <c r="J65" s="789"/>
      <c r="K65" s="810" t="s">
        <v>7</v>
      </c>
      <c r="L65" s="823" t="s">
        <v>410</v>
      </c>
      <c r="M65" s="789"/>
      <c r="N65" s="789"/>
      <c r="O65" s="789"/>
      <c r="P65" s="789"/>
      <c r="Q65" s="789"/>
      <c r="R65" s="790">
        <f>SUM(R62:R64)</f>
        <v>0</v>
      </c>
      <c r="S65" s="791"/>
      <c r="T65" s="790">
        <f>SUM(T62:T64)</f>
        <v>0</v>
      </c>
      <c r="AG65" s="824">
        <f>ROUND($R65*$S$4,2)</f>
        <v>0</v>
      </c>
    </row>
    <row r="66" spans="1:44" s="586" customFormat="1" ht="12.75" customHeight="1">
      <c r="A66" s="825"/>
      <c r="B66" s="826"/>
      <c r="E66" s="582"/>
      <c r="F66" s="820"/>
      <c r="G66" s="582"/>
      <c r="H66" s="582"/>
      <c r="I66" s="584"/>
      <c r="J66" s="582"/>
      <c r="K66" s="582"/>
      <c r="L66" s="827"/>
      <c r="M66" s="828"/>
      <c r="N66" s="828"/>
      <c r="O66" s="828"/>
      <c r="P66" s="828"/>
      <c r="Q66" s="618"/>
      <c r="R66" s="797"/>
      <c r="S66" s="582"/>
      <c r="T66" s="797"/>
    </row>
    <row r="67" spans="1:44" s="586" customFormat="1" ht="13.5" customHeight="1" thickBot="1">
      <c r="A67" s="829"/>
      <c r="B67" s="830"/>
      <c r="C67" s="614"/>
      <c r="D67" s="614"/>
      <c r="E67" s="608"/>
      <c r="F67" s="609"/>
      <c r="G67" s="608" t="s">
        <v>143</v>
      </c>
      <c r="H67" s="608"/>
      <c r="I67" s="610"/>
      <c r="J67" s="608"/>
      <c r="K67" s="608"/>
      <c r="L67" s="831" t="s">
        <v>141</v>
      </c>
      <c r="M67" s="611"/>
      <c r="N67" s="611"/>
      <c r="O67" s="611"/>
      <c r="P67" s="611"/>
      <c r="Q67" s="612"/>
      <c r="R67" s="832">
        <f>SUMIF($L49:$L66,"SUBI",R49:R66)</f>
        <v>3010.39</v>
      </c>
      <c r="S67" s="833"/>
      <c r="T67" s="832">
        <f>SUMIF($L49:$L66,"SUBI",T49:T66)</f>
        <v>16.043379461034231</v>
      </c>
      <c r="U67" s="614"/>
      <c r="V67" s="614"/>
      <c r="W67" s="614"/>
      <c r="X67" s="614"/>
      <c r="Y67" s="614"/>
      <c r="Z67" s="614"/>
      <c r="AA67" s="614"/>
      <c r="AB67" s="614"/>
      <c r="AC67" s="614"/>
      <c r="AD67" s="614"/>
      <c r="AE67" s="614"/>
      <c r="AF67" s="614"/>
      <c r="AG67" s="614"/>
      <c r="AH67" s="614"/>
      <c r="AI67" s="614"/>
      <c r="AJ67" s="614"/>
      <c r="AK67" s="614"/>
      <c r="AL67" s="614"/>
      <c r="AM67" s="614"/>
      <c r="AN67" s="614"/>
      <c r="AO67" s="614"/>
    </row>
    <row r="68" spans="1:44" s="586" customFormat="1" thickTop="1">
      <c r="A68" s="57"/>
      <c r="B68" s="41"/>
      <c r="C68" s="57"/>
      <c r="E68" s="42" t="s">
        <v>137</v>
      </c>
      <c r="F68" s="42" t="s">
        <v>138</v>
      </c>
      <c r="G68" s="57"/>
      <c r="H68" s="57"/>
      <c r="I68" s="57"/>
      <c r="J68" s="57"/>
      <c r="K68" s="57" t="s">
        <v>139</v>
      </c>
      <c r="L68" s="751"/>
      <c r="M68" s="57"/>
      <c r="N68" s="57"/>
      <c r="O68" s="58"/>
      <c r="P68" s="57"/>
      <c r="Q68"/>
      <c r="R68"/>
      <c r="S68"/>
      <c r="T68" s="41"/>
      <c r="AG68" s="587" t="s">
        <v>252</v>
      </c>
      <c r="AH68" s="587" t="s">
        <v>253</v>
      </c>
      <c r="AI68" s="587" t="s">
        <v>254</v>
      </c>
      <c r="AJ68" s="587" t="s">
        <v>255</v>
      </c>
      <c r="AK68" s="587" t="s">
        <v>256</v>
      </c>
      <c r="AM68" s="579" t="s">
        <v>265</v>
      </c>
      <c r="AN68" s="580" t="s">
        <v>266</v>
      </c>
      <c r="AO68" s="588" t="s">
        <v>262</v>
      </c>
    </row>
    <row r="69" spans="1:44" s="586" customFormat="1" ht="13.2">
      <c r="A69" s="589">
        <v>1</v>
      </c>
      <c r="B69" s="590" t="s">
        <v>277</v>
      </c>
      <c r="C69" s="591"/>
      <c r="D69" s="592" t="s">
        <v>412</v>
      </c>
      <c r="E69" s="752">
        <f>IF(AND($A69=0,$A$1="DIF"),0,ROUND(ROUND(SUMIF($L71:$L81,"SUBI",$E71:$E81)/$A69,2)*$C$12,2))</f>
        <v>577.91999999999996</v>
      </c>
      <c r="F69" s="753">
        <f>ROUND($A69*$E69,2)</f>
        <v>577.91999999999996</v>
      </c>
      <c r="G69" s="595" t="s">
        <v>140</v>
      </c>
      <c r="H69" s="583"/>
      <c r="I69" s="596"/>
      <c r="J69" s="583"/>
      <c r="K69" s="754"/>
      <c r="L69" s="755" t="s">
        <v>141</v>
      </c>
      <c r="M69" s="597"/>
      <c r="N69" s="597"/>
      <c r="O69" s="597"/>
      <c r="P69" s="597"/>
      <c r="Q69"/>
      <c r="R69"/>
      <c r="S69"/>
      <c r="T69" s="756" t="str">
        <f>IF(AND($R87=0,$T87=0),"0.00","mu :" &amp; ROUND($F69/$C$12/($R87+$T87*$D$9),2))</f>
        <v>mu :1</v>
      </c>
      <c r="W69" s="599"/>
      <c r="AG69" s="757">
        <f>IF(A69=0,0,ROUND(SUM(AG71:AG87)/A69,2))</f>
        <v>249.45</v>
      </c>
      <c r="AH69" s="757">
        <f>$AG69*$A69</f>
        <v>249.45</v>
      </c>
      <c r="AI69" s="757">
        <f>$E69-$AG69</f>
        <v>328.46999999999997</v>
      </c>
      <c r="AJ69" s="757">
        <f>$A69*$AI69</f>
        <v>328.46999999999997</v>
      </c>
      <c r="AK69" s="758">
        <f>ROUND(($AG69+$AI69)*$A69,2)</f>
        <v>577.91999999999996</v>
      </c>
      <c r="AM69" s="602">
        <f>ROUND(R87,2)</f>
        <v>249.45</v>
      </c>
      <c r="AN69" s="603">
        <f>ROUND(T87,2)</f>
        <v>11.96</v>
      </c>
      <c r="AO69" s="604">
        <f>ROUND(AM69+AN69,2)*A69</f>
        <v>261.41000000000003</v>
      </c>
    </row>
    <row r="70" spans="1:44" s="586" customFormat="1" ht="21.6" customHeight="1">
      <c r="A70" s="759"/>
      <c r="B70" s="760"/>
      <c r="C70" s="591"/>
      <c r="D70" s="876" t="s">
        <v>413</v>
      </c>
      <c r="E70" s="877"/>
      <c r="F70" s="877"/>
      <c r="G70" s="877"/>
      <c r="H70" s="877"/>
      <c r="I70" s="877"/>
      <c r="J70" s="877"/>
      <c r="K70" s="877"/>
      <c r="L70" s="877"/>
      <c r="M70" s="877"/>
      <c r="N70" s="877"/>
      <c r="O70" s="877"/>
      <c r="P70" s="877"/>
      <c r="Q70" s="877"/>
      <c r="R70" s="877"/>
      <c r="S70" s="877"/>
      <c r="T70" s="877"/>
    </row>
    <row r="71" spans="1:44" s="586" customFormat="1" ht="12">
      <c r="A71" s="762"/>
      <c r="B71" s="763"/>
      <c r="C71" s="582"/>
      <c r="D71" s="764"/>
      <c r="E71" s="765">
        <f>F69/$C$12-SUMIF($L68:$L87,"SUBI",$E68:$E87)</f>
        <v>0</v>
      </c>
      <c r="F71" s="766" t="s">
        <v>409</v>
      </c>
      <c r="G71" s="767"/>
      <c r="H71" s="767"/>
      <c r="I71" s="768"/>
      <c r="J71" s="767"/>
      <c r="K71" s="767"/>
      <c r="L71" s="769"/>
      <c r="M71" s="770"/>
      <c r="N71" s="770"/>
      <c r="O71" s="770"/>
      <c r="P71" s="770"/>
      <c r="Q71" s="771"/>
      <c r="R71" s="772"/>
      <c r="S71" s="771"/>
      <c r="T71" s="773"/>
    </row>
    <row r="72" spans="1:44" s="586" customFormat="1" ht="12" customHeight="1">
      <c r="A72" s="774"/>
      <c r="B72" s="775"/>
      <c r="C72" s="776"/>
      <c r="D72" s="776" t="str">
        <f>$F$2</f>
        <v>Electrical</v>
      </c>
      <c r="E72" s="776">
        <f>ROUND(($R76*$S$2 + ($T76*$T$2)), 2)</f>
        <v>269.02999999999997</v>
      </c>
      <c r="F72" s="777">
        <f>$E72*$C$12</f>
        <v>269.02999999999997</v>
      </c>
      <c r="G72" s="761"/>
      <c r="H72" s="778"/>
      <c r="I72" s="761"/>
      <c r="J72" s="58"/>
      <c r="K72" s="779" t="s">
        <v>3</v>
      </c>
      <c r="L72" s="780" t="s">
        <v>410</v>
      </c>
      <c r="M72" s="761"/>
      <c r="N72" s="761"/>
      <c r="O72" s="58"/>
      <c r="P72" s="761"/>
      <c r="Q72" s="761"/>
      <c r="R72"/>
      <c r="S72"/>
      <c r="T72"/>
    </row>
    <row r="73" spans="1:44" s="627" customFormat="1" ht="13.2">
      <c r="A73" s="157">
        <v>15</v>
      </c>
      <c r="B73" s="627" t="s">
        <v>271</v>
      </c>
      <c r="D73" s="627" t="s">
        <v>369</v>
      </c>
      <c r="F73" s="627" t="s">
        <v>370</v>
      </c>
      <c r="G73" s="628" t="s">
        <v>371</v>
      </c>
      <c r="H73" s="629">
        <v>690</v>
      </c>
      <c r="I73" s="627" t="s">
        <v>372</v>
      </c>
      <c r="J73" s="627" t="s">
        <v>373</v>
      </c>
      <c r="O73" s="630">
        <v>1</v>
      </c>
      <c r="P73" s="631">
        <v>34669</v>
      </c>
      <c r="Q73" s="750">
        <v>3.03</v>
      </c>
      <c r="R73" s="632">
        <f t="shared" ref="R73" si="10">$A73*Q73</f>
        <v>45.449999999999996</v>
      </c>
      <c r="S73" s="633">
        <v>0.2</v>
      </c>
      <c r="T73" s="634">
        <f t="shared" ref="T73" si="11">$A73*S73*$T$1</f>
        <v>3.4499999999999997</v>
      </c>
      <c r="AR73" s="157">
        <v>75</v>
      </c>
    </row>
    <row r="74" spans="1:44" s="627" customFormat="1" ht="13.2">
      <c r="A74">
        <v>60</v>
      </c>
      <c r="B74" s="627" t="s">
        <v>271</v>
      </c>
      <c r="D74" s="627" t="s">
        <v>408</v>
      </c>
      <c r="G74" s="628" t="s">
        <v>405</v>
      </c>
      <c r="H74" s="629">
        <v>617</v>
      </c>
      <c r="I74" s="627" t="s">
        <v>406</v>
      </c>
      <c r="J74" s="627" t="s">
        <v>407</v>
      </c>
      <c r="O74" s="630">
        <v>2</v>
      </c>
      <c r="P74" s="631">
        <v>38433</v>
      </c>
      <c r="Q74" s="633">
        <v>1.2</v>
      </c>
      <c r="R74" s="632">
        <f>$A74*Q74</f>
        <v>72</v>
      </c>
      <c r="S74" s="633">
        <v>0.03</v>
      </c>
      <c r="T74" s="634">
        <f>$A74*S74*$T$1</f>
        <v>2.0699999999999998</v>
      </c>
    </row>
    <row r="75" spans="1:44" s="586" customFormat="1" ht="14.4" customHeight="1">
      <c r="A75" s="64"/>
      <c r="B75" s="761"/>
      <c r="C75" s="761"/>
      <c r="D75" s="761"/>
      <c r="E75" s="761"/>
      <c r="F75" s="761"/>
      <c r="G75" s="761"/>
      <c r="H75" s="778"/>
      <c r="I75" s="761"/>
      <c r="J75" s="58"/>
      <c r="K75" s="782"/>
      <c r="L75" s="783"/>
      <c r="M75" s="761"/>
      <c r="N75" s="761"/>
      <c r="O75" s="58"/>
      <c r="P75" s="761"/>
      <c r="Q75" s="761"/>
      <c r="R75" s="784">
        <f>$A75*Q75</f>
        <v>0</v>
      </c>
      <c r="S75" s="761"/>
      <c r="T75" s="585">
        <f>$A75*S75*$T$1</f>
        <v>0</v>
      </c>
    </row>
    <row r="76" spans="1:44" s="586" customFormat="1" ht="12">
      <c r="A76" s="785" t="s">
        <v>142</v>
      </c>
      <c r="B76" s="786">
        <f>(R75+T75)</f>
        <v>0</v>
      </c>
      <c r="C76" s="767"/>
      <c r="G76" s="787"/>
      <c r="H76" s="787"/>
      <c r="I76" s="787"/>
      <c r="J76" s="787"/>
      <c r="K76" s="764" t="s">
        <v>3</v>
      </c>
      <c r="L76" s="788" t="s">
        <v>410</v>
      </c>
      <c r="M76" s="787"/>
      <c r="N76" s="787"/>
      <c r="O76" s="787"/>
      <c r="P76" s="787"/>
      <c r="Q76" s="789"/>
      <c r="R76" s="790">
        <f>SUM(R72:R75)</f>
        <v>117.44999999999999</v>
      </c>
      <c r="S76" s="791"/>
      <c r="T76" s="790">
        <f>SUM(T72:T75)</f>
        <v>5.52</v>
      </c>
      <c r="AG76" s="792">
        <f>ROUND($R76*$S$2,2)</f>
        <v>117.45</v>
      </c>
    </row>
    <row r="77" spans="1:44" s="586" customFormat="1" ht="12" customHeight="1">
      <c r="A77" s="774"/>
      <c r="B77" s="793"/>
      <c r="C77" s="794"/>
      <c r="D77" s="795" t="str">
        <f>$F$3</f>
        <v>Controls</v>
      </c>
      <c r="E77" s="795">
        <f>ROUND(($R80*$S$3 + ($T80*$T$3)), 2)</f>
        <v>308.89</v>
      </c>
      <c r="F77" s="796">
        <f>$E77*$C$12</f>
        <v>308.89</v>
      </c>
      <c r="G77" s="584"/>
      <c r="H77" s="584"/>
      <c r="I77" s="584"/>
      <c r="J77" s="584"/>
      <c r="K77" s="779" t="s">
        <v>5</v>
      </c>
      <c r="L77" s="780" t="s">
        <v>410</v>
      </c>
      <c r="M77" s="584"/>
      <c r="N77" s="584"/>
      <c r="O77" s="584"/>
      <c r="P77" s="584"/>
      <c r="Q77" s="584"/>
      <c r="R77" s="797"/>
      <c r="S77" s="584"/>
      <c r="T77" s="797"/>
    </row>
    <row r="78" spans="1:44" s="627" customFormat="1" ht="13.2">
      <c r="A78">
        <v>1</v>
      </c>
      <c r="B78" s="627" t="s">
        <v>277</v>
      </c>
      <c r="D78" s="627" t="s">
        <v>431</v>
      </c>
      <c r="G78" s="628" t="s">
        <v>429</v>
      </c>
      <c r="H78" s="629">
        <v>512</v>
      </c>
      <c r="I78" s="627" t="s">
        <v>279</v>
      </c>
      <c r="O78" s="630">
        <v>3</v>
      </c>
      <c r="P78" s="631"/>
      <c r="Q78" s="633">
        <v>132</v>
      </c>
      <c r="R78" s="632">
        <f>$A78*Q78</f>
        <v>132</v>
      </c>
      <c r="S78" s="633">
        <f>2*35/27.46+2*41.91/27.46</f>
        <v>5.6016023306627822</v>
      </c>
      <c r="T78" s="634">
        <f>$A78*S78*$T$1</f>
        <v>6.4418426802621989</v>
      </c>
    </row>
    <row r="79" spans="1:44" s="586" customFormat="1" ht="15.6" customHeight="1">
      <c r="A79" s="64"/>
      <c r="B79" s="761"/>
      <c r="C79" s="761"/>
      <c r="D79" s="3"/>
      <c r="E79" s="761"/>
      <c r="F79" s="761"/>
      <c r="G79" s="761"/>
      <c r="H79" s="761"/>
      <c r="I79" s="761"/>
      <c r="J79" s="761"/>
      <c r="K79" s="761"/>
      <c r="L79" s="783"/>
      <c r="M79" s="761"/>
      <c r="N79" s="761"/>
      <c r="O79" s="761"/>
      <c r="P79" s="761"/>
      <c r="Q79" s="761"/>
      <c r="R79" s="784">
        <f>$A79*Q79</f>
        <v>0</v>
      </c>
      <c r="S79" s="761"/>
      <c r="T79" s="585">
        <f>$A79*S79*$T$1</f>
        <v>0</v>
      </c>
    </row>
    <row r="80" spans="1:44" s="586" customFormat="1" ht="12">
      <c r="A80" s="785" t="s">
        <v>142</v>
      </c>
      <c r="B80" s="786">
        <f>(R79+T79)</f>
        <v>0</v>
      </c>
      <c r="C80" s="767"/>
      <c r="G80" s="787"/>
      <c r="H80" s="787"/>
      <c r="I80" s="787"/>
      <c r="J80" s="787"/>
      <c r="K80" s="810" t="s">
        <v>5</v>
      </c>
      <c r="L80" s="788" t="s">
        <v>410</v>
      </c>
      <c r="M80" s="787"/>
      <c r="N80" s="787"/>
      <c r="O80" s="787"/>
      <c r="P80" s="787"/>
      <c r="Q80" s="789"/>
      <c r="R80" s="790">
        <f>SUM(R77:R79)</f>
        <v>132</v>
      </c>
      <c r="S80" s="791"/>
      <c r="T80" s="790">
        <f>SUM(T77:T79)</f>
        <v>6.4418426802621989</v>
      </c>
      <c r="AG80" s="811">
        <f>ROUND($R80*$S$3,2)</f>
        <v>132</v>
      </c>
    </row>
    <row r="81" spans="1:44" s="586" customFormat="1" ht="12" customHeight="1">
      <c r="A81" s="812"/>
      <c r="B81" s="813"/>
      <c r="C81" s="814"/>
      <c r="D81" s="815" t="str">
        <f>$F$4</f>
        <v>Controls</v>
      </c>
      <c r="E81" s="815">
        <f>ROUND(($R85*$S$4 + ($T85*$T$4)), 2)</f>
        <v>0</v>
      </c>
      <c r="F81" s="816">
        <f ca="1">$F69-SUMIF($L71:$P78,"SUBI",$F71:$F78)</f>
        <v>0</v>
      </c>
      <c r="G81" s="584"/>
      <c r="H81" s="584"/>
      <c r="I81" s="584"/>
      <c r="J81" s="584"/>
      <c r="K81" s="817" t="s">
        <v>7</v>
      </c>
      <c r="L81" s="780" t="s">
        <v>410</v>
      </c>
      <c r="M81" s="584"/>
      <c r="N81" s="584"/>
      <c r="O81" s="584"/>
      <c r="P81" s="584"/>
      <c r="Q81" s="584"/>
      <c r="R81" s="797"/>
      <c r="S81" s="584"/>
      <c r="T81" s="797"/>
    </row>
    <row r="82" spans="1:44" s="809" customFormat="1" ht="14.4" customHeight="1">
      <c r="A82" s="798"/>
      <c r="B82" s="781" t="s">
        <v>411</v>
      </c>
      <c r="C82" s="799"/>
      <c r="D82" s="800"/>
      <c r="E82" s="800"/>
      <c r="F82" s="800"/>
      <c r="G82" s="801"/>
      <c r="H82" s="802"/>
      <c r="I82" s="802"/>
      <c r="J82" s="803"/>
      <c r="K82" s="804"/>
      <c r="L82" s="799"/>
      <c r="M82" s="805"/>
      <c r="N82" s="806"/>
      <c r="O82" s="818"/>
      <c r="P82" s="807"/>
      <c r="Q82" s="808"/>
      <c r="R82" s="605">
        <f>$A82*Q82</f>
        <v>0</v>
      </c>
      <c r="S82" s="808"/>
      <c r="T82" s="585">
        <f>$A82*S82*$T$1</f>
        <v>0</v>
      </c>
    </row>
    <row r="83" spans="1:44" s="586" customFormat="1" ht="12">
      <c r="A83" s="57"/>
      <c r="B83" s="582"/>
      <c r="C83" s="582"/>
      <c r="D83" s="819"/>
      <c r="E83" s="820"/>
      <c r="F83" s="584"/>
      <c r="G83" s="584"/>
      <c r="H83" s="584"/>
      <c r="I83" s="584"/>
      <c r="J83" s="584"/>
      <c r="K83" s="584"/>
      <c r="L83" s="821"/>
      <c r="M83" s="584"/>
      <c r="N83" s="584"/>
      <c r="O83" s="584"/>
      <c r="P83" s="584"/>
      <c r="Q83" s="584"/>
      <c r="R83" s="605">
        <f>$A83*Q83</f>
        <v>0</v>
      </c>
      <c r="S83" s="584"/>
      <c r="T83" s="585">
        <f>$A83*S83*$T$1</f>
        <v>0</v>
      </c>
    </row>
    <row r="84" spans="1:44" s="586" customFormat="1" ht="12">
      <c r="A84" s="57"/>
      <c r="B84" s="582"/>
      <c r="C84" s="582"/>
      <c r="D84" s="819"/>
      <c r="E84" s="820"/>
      <c r="F84" s="584"/>
      <c r="G84" s="584"/>
      <c r="H84" s="584"/>
      <c r="I84" s="584"/>
      <c r="J84" s="584"/>
      <c r="K84" s="584"/>
      <c r="L84" s="821"/>
      <c r="M84" s="584"/>
      <c r="N84" s="584"/>
      <c r="O84" s="584"/>
      <c r="P84" s="584"/>
      <c r="Q84" s="584"/>
      <c r="R84" s="605">
        <f>$A84*Q84</f>
        <v>0</v>
      </c>
      <c r="S84" s="584"/>
      <c r="T84" s="585">
        <f>$A84*S84*$T$1</f>
        <v>0</v>
      </c>
    </row>
    <row r="85" spans="1:44" s="586" customFormat="1" ht="12.75" customHeight="1">
      <c r="A85" s="785" t="s">
        <v>142</v>
      </c>
      <c r="B85" s="786">
        <f>(R84+T84)</f>
        <v>0</v>
      </c>
      <c r="C85" s="822"/>
      <c r="D85" s="822"/>
      <c r="E85" s="822"/>
      <c r="F85" s="822"/>
      <c r="G85" s="789"/>
      <c r="H85" s="789"/>
      <c r="I85" s="789"/>
      <c r="J85" s="789"/>
      <c r="K85" s="810" t="s">
        <v>7</v>
      </c>
      <c r="L85" s="823" t="s">
        <v>410</v>
      </c>
      <c r="M85" s="789"/>
      <c r="N85" s="789"/>
      <c r="O85" s="789"/>
      <c r="P85" s="789"/>
      <c r="Q85" s="789"/>
      <c r="R85" s="790">
        <f>SUM(R81:R84)</f>
        <v>0</v>
      </c>
      <c r="S85" s="791"/>
      <c r="T85" s="790">
        <f>SUM(T81:T84)</f>
        <v>0</v>
      </c>
      <c r="AG85" s="824">
        <f>ROUND($R85*$S$4,2)</f>
        <v>0</v>
      </c>
    </row>
    <row r="86" spans="1:44" s="586" customFormat="1" ht="12.75" customHeight="1">
      <c r="A86" s="825"/>
      <c r="B86" s="826"/>
      <c r="E86" s="582"/>
      <c r="F86" s="820"/>
      <c r="G86" s="582"/>
      <c r="H86" s="582"/>
      <c r="I86" s="584"/>
      <c r="J86" s="582"/>
      <c r="K86" s="582"/>
      <c r="L86" s="827"/>
      <c r="M86" s="828"/>
      <c r="N86" s="828"/>
      <c r="O86" s="828"/>
      <c r="P86" s="828"/>
      <c r="Q86" s="618"/>
      <c r="R86" s="797"/>
      <c r="S86" s="582"/>
      <c r="T86" s="797"/>
    </row>
    <row r="87" spans="1:44" s="586" customFormat="1" ht="13.5" customHeight="1" thickBot="1">
      <c r="A87" s="829"/>
      <c r="B87" s="830"/>
      <c r="C87" s="614"/>
      <c r="D87" s="614"/>
      <c r="E87" s="608"/>
      <c r="F87" s="609"/>
      <c r="G87" s="608" t="s">
        <v>143</v>
      </c>
      <c r="H87" s="608"/>
      <c r="I87" s="610"/>
      <c r="J87" s="608"/>
      <c r="K87" s="608"/>
      <c r="L87" s="831" t="s">
        <v>141</v>
      </c>
      <c r="M87" s="611"/>
      <c r="N87" s="611"/>
      <c r="O87" s="611"/>
      <c r="P87" s="611"/>
      <c r="Q87" s="612"/>
      <c r="R87" s="832">
        <f>SUMIF($L70:$L86,"SUBI",R70:R86)</f>
        <v>249.45</v>
      </c>
      <c r="S87" s="833"/>
      <c r="T87" s="832">
        <f>SUMIF($L70:$L86,"SUBI",T70:T86)</f>
        <v>11.961842680262198</v>
      </c>
      <c r="U87" s="614"/>
      <c r="V87" s="614"/>
      <c r="W87" s="614"/>
      <c r="X87" s="614"/>
      <c r="Y87" s="614"/>
      <c r="Z87" s="614"/>
      <c r="AA87" s="614"/>
      <c r="AB87" s="614"/>
      <c r="AC87" s="614"/>
      <c r="AD87" s="614"/>
      <c r="AE87" s="614"/>
      <c r="AF87" s="614"/>
      <c r="AG87" s="614"/>
      <c r="AH87" s="614"/>
      <c r="AI87" s="614"/>
      <c r="AJ87" s="614"/>
      <c r="AK87" s="614"/>
      <c r="AL87" s="614"/>
      <c r="AM87" s="614"/>
      <c r="AN87" s="614"/>
      <c r="AO87" s="614"/>
    </row>
    <row r="88" spans="1:44" s="586" customFormat="1" thickTop="1">
      <c r="A88" s="57"/>
      <c r="B88" s="41"/>
      <c r="C88" s="57"/>
      <c r="E88" s="42" t="s">
        <v>137</v>
      </c>
      <c r="F88" s="42" t="s">
        <v>138</v>
      </c>
      <c r="G88" s="57"/>
      <c r="H88" s="57"/>
      <c r="I88" s="57"/>
      <c r="J88" s="57"/>
      <c r="K88" s="57" t="s">
        <v>139</v>
      </c>
      <c r="L88" s="751"/>
      <c r="M88" s="57"/>
      <c r="N88" s="57"/>
      <c r="O88" s="58"/>
      <c r="P88" s="57"/>
      <c r="Q88"/>
      <c r="R88"/>
      <c r="S88"/>
      <c r="T88" s="41"/>
      <c r="AG88" s="587" t="s">
        <v>252</v>
      </c>
      <c r="AH88" s="587" t="s">
        <v>253</v>
      </c>
      <c r="AI88" s="587" t="s">
        <v>254</v>
      </c>
      <c r="AJ88" s="587" t="s">
        <v>255</v>
      </c>
      <c r="AK88" s="587" t="s">
        <v>256</v>
      </c>
      <c r="AM88" s="579" t="s">
        <v>265</v>
      </c>
      <c r="AN88" s="580" t="s">
        <v>266</v>
      </c>
      <c r="AO88" s="588" t="s">
        <v>262</v>
      </c>
    </row>
    <row r="89" spans="1:44" s="586" customFormat="1" ht="13.2">
      <c r="A89" s="589">
        <v>2</v>
      </c>
      <c r="B89" s="590" t="s">
        <v>277</v>
      </c>
      <c r="C89" s="591"/>
      <c r="D89" s="592" t="s">
        <v>415</v>
      </c>
      <c r="E89" s="752">
        <f>IF(AND($A89=0,$A$1="DIF"),0,ROUND(ROUND(SUMIF($L91:$L101,"SUBI",$E91:$E101)/$A89,2)*$C$12,2))</f>
        <v>386.38</v>
      </c>
      <c r="F89" s="753">
        <f>ROUND($A89*$E89,2)</f>
        <v>772.76</v>
      </c>
      <c r="G89" s="595" t="s">
        <v>140</v>
      </c>
      <c r="H89" s="583"/>
      <c r="I89" s="596"/>
      <c r="J89" s="583"/>
      <c r="K89" s="754"/>
      <c r="L89" s="755" t="s">
        <v>141</v>
      </c>
      <c r="M89" s="597"/>
      <c r="N89" s="597"/>
      <c r="O89" s="597"/>
      <c r="P89" s="597"/>
      <c r="Q89"/>
      <c r="R89"/>
      <c r="S89"/>
      <c r="T89" s="756" t="str">
        <f>IF(AND($R107=0,$T107=0),"0.00","mu :" &amp; ROUND($F89/$C$12/($R107+$T107*$D$9),2))</f>
        <v>mu :1</v>
      </c>
      <c r="W89" s="599"/>
      <c r="AG89" s="757">
        <f>IF(A89=0,0,ROUND(SUM(AG91:AG107)/A89,2))</f>
        <v>193.73</v>
      </c>
      <c r="AH89" s="757">
        <f>$AG89*$A89</f>
        <v>387.46</v>
      </c>
      <c r="AI89" s="757">
        <f>$E89-$AG89</f>
        <v>192.65</v>
      </c>
      <c r="AJ89" s="757">
        <f>$A89*$AI89</f>
        <v>385.3</v>
      </c>
      <c r="AK89" s="758">
        <f>ROUND(($AG89+$AI89)*$A89,2)</f>
        <v>772.76</v>
      </c>
      <c r="AM89" s="602">
        <f>ROUND(R107,2)</f>
        <v>387.45</v>
      </c>
      <c r="AN89" s="603">
        <f>ROUND(T107,2)</f>
        <v>14.03</v>
      </c>
      <c r="AO89" s="604">
        <f>ROUND(AM89+AN89,2)*A89</f>
        <v>802.96</v>
      </c>
    </row>
    <row r="90" spans="1:44" s="586" customFormat="1" ht="21.6" customHeight="1">
      <c r="A90" s="759"/>
      <c r="B90" s="760"/>
      <c r="C90" s="591"/>
      <c r="D90" s="876" t="s">
        <v>414</v>
      </c>
      <c r="E90" s="877"/>
      <c r="F90" s="877"/>
      <c r="G90" s="877"/>
      <c r="H90" s="877"/>
      <c r="I90" s="877"/>
      <c r="J90" s="877"/>
      <c r="K90" s="877"/>
      <c r="L90" s="877"/>
      <c r="M90" s="877"/>
      <c r="N90" s="877"/>
      <c r="O90" s="877"/>
      <c r="P90" s="877"/>
      <c r="Q90" s="877"/>
      <c r="R90" s="877"/>
      <c r="S90" s="877"/>
      <c r="T90" s="877"/>
    </row>
    <row r="91" spans="1:44" s="586" customFormat="1" ht="12">
      <c r="A91" s="762"/>
      <c r="B91" s="763"/>
      <c r="C91" s="582"/>
      <c r="D91" s="764"/>
      <c r="E91" s="765">
        <f>F89/$C$12-SUMIF($L88:$L107,"SUBI",$E88:$E107)</f>
        <v>0</v>
      </c>
      <c r="F91" s="766" t="s">
        <v>409</v>
      </c>
      <c r="G91" s="767"/>
      <c r="H91" s="767"/>
      <c r="I91" s="768"/>
      <c r="J91" s="767"/>
      <c r="K91" s="767"/>
      <c r="L91" s="769"/>
      <c r="M91" s="770"/>
      <c r="N91" s="770"/>
      <c r="O91" s="770"/>
      <c r="P91" s="770"/>
      <c r="Q91" s="771"/>
      <c r="R91" s="772"/>
      <c r="S91" s="771"/>
      <c r="T91" s="773"/>
    </row>
    <row r="92" spans="1:44" s="586" customFormat="1" ht="12" customHeight="1">
      <c r="A92" s="774"/>
      <c r="B92" s="775"/>
      <c r="C92" s="776"/>
      <c r="D92" s="776" t="str">
        <f>$F$2</f>
        <v>Electrical</v>
      </c>
      <c r="E92" s="776">
        <f>ROUND(($R96*$S$2 + ($T96*$T$2)), 2)</f>
        <v>397.87</v>
      </c>
      <c r="F92" s="777">
        <f>$E92*$C$12</f>
        <v>397.87</v>
      </c>
      <c r="G92" s="761"/>
      <c r="H92" s="778"/>
      <c r="I92" s="761"/>
      <c r="J92" s="58"/>
      <c r="K92" s="779" t="s">
        <v>3</v>
      </c>
      <c r="L92" s="780" t="s">
        <v>410</v>
      </c>
      <c r="M92" s="761"/>
      <c r="N92" s="761"/>
      <c r="O92" s="58"/>
      <c r="P92" s="761"/>
      <c r="Q92" s="761"/>
      <c r="R92"/>
      <c r="S92"/>
      <c r="T92"/>
    </row>
    <row r="93" spans="1:44" s="627" customFormat="1" ht="13.2">
      <c r="A93" s="157">
        <v>15</v>
      </c>
      <c r="B93" s="627" t="s">
        <v>271</v>
      </c>
      <c r="D93" s="627" t="s">
        <v>369</v>
      </c>
      <c r="F93" s="627" t="s">
        <v>370</v>
      </c>
      <c r="G93" s="628" t="s">
        <v>371</v>
      </c>
      <c r="H93" s="629">
        <v>690</v>
      </c>
      <c r="I93" s="627" t="s">
        <v>372</v>
      </c>
      <c r="J93" s="627" t="s">
        <v>373</v>
      </c>
      <c r="O93" s="630">
        <v>1</v>
      </c>
      <c r="P93" s="631">
        <v>34669</v>
      </c>
      <c r="Q93" s="750">
        <v>3.03</v>
      </c>
      <c r="R93" s="632">
        <f t="shared" ref="R93" si="12">$A93*Q93</f>
        <v>45.449999999999996</v>
      </c>
      <c r="S93" s="633">
        <v>0.2</v>
      </c>
      <c r="T93" s="634">
        <f t="shared" ref="T93" si="13">$A93*S93*$T$1</f>
        <v>3.4499999999999997</v>
      </c>
      <c r="AR93" s="157">
        <v>75</v>
      </c>
    </row>
    <row r="94" spans="1:44" s="627" customFormat="1" ht="13.2">
      <c r="A94">
        <v>120</v>
      </c>
      <c r="B94" s="627" t="s">
        <v>271</v>
      </c>
      <c r="D94" s="627" t="s">
        <v>408</v>
      </c>
      <c r="G94" s="628" t="s">
        <v>405</v>
      </c>
      <c r="H94" s="629">
        <v>617</v>
      </c>
      <c r="I94" s="627" t="s">
        <v>406</v>
      </c>
      <c r="J94" s="627" t="s">
        <v>407</v>
      </c>
      <c r="O94" s="630">
        <v>2</v>
      </c>
      <c r="P94" s="631">
        <v>38433</v>
      </c>
      <c r="Q94" s="633">
        <v>1.2</v>
      </c>
      <c r="R94" s="632">
        <f>$A94*Q94</f>
        <v>144</v>
      </c>
      <c r="S94" s="633">
        <v>0.03</v>
      </c>
      <c r="T94" s="634">
        <f>$A94*S94*$T$1</f>
        <v>4.1399999999999997</v>
      </c>
    </row>
    <row r="95" spans="1:44" s="586" customFormat="1" ht="14.4" customHeight="1">
      <c r="A95" s="64"/>
      <c r="B95" s="761"/>
      <c r="C95" s="761"/>
      <c r="D95" s="761"/>
      <c r="E95" s="761"/>
      <c r="F95" s="761"/>
      <c r="G95" s="761"/>
      <c r="H95" s="778"/>
      <c r="I95" s="761"/>
      <c r="J95" s="58"/>
      <c r="K95" s="782"/>
      <c r="L95" s="783"/>
      <c r="M95" s="761"/>
      <c r="N95" s="761"/>
      <c r="O95" s="58"/>
      <c r="P95" s="761"/>
      <c r="Q95" s="761"/>
      <c r="R95" s="784">
        <f>$A95*Q95</f>
        <v>0</v>
      </c>
      <c r="S95" s="761"/>
      <c r="T95" s="585">
        <f>$A95*S95*$T$1</f>
        <v>0</v>
      </c>
    </row>
    <row r="96" spans="1:44" s="586" customFormat="1" ht="12">
      <c r="A96" s="785" t="s">
        <v>142</v>
      </c>
      <c r="B96" s="786">
        <f>(R95+T95)</f>
        <v>0</v>
      </c>
      <c r="C96" s="767"/>
      <c r="G96" s="787"/>
      <c r="H96" s="787"/>
      <c r="I96" s="787"/>
      <c r="J96" s="787"/>
      <c r="K96" s="764" t="s">
        <v>3</v>
      </c>
      <c r="L96" s="788" t="s">
        <v>410</v>
      </c>
      <c r="M96" s="787"/>
      <c r="N96" s="787"/>
      <c r="O96" s="787"/>
      <c r="P96" s="787"/>
      <c r="Q96" s="789"/>
      <c r="R96" s="790">
        <f>SUM(R92:R95)</f>
        <v>189.45</v>
      </c>
      <c r="S96" s="791"/>
      <c r="T96" s="790">
        <f>SUM(T92:T95)</f>
        <v>7.59</v>
      </c>
      <c r="AG96" s="792">
        <f>ROUND($R96*$S$2,2)</f>
        <v>189.45</v>
      </c>
    </row>
    <row r="97" spans="1:41" s="586" customFormat="1" ht="12" customHeight="1">
      <c r="A97" s="774"/>
      <c r="B97" s="793"/>
      <c r="C97" s="794"/>
      <c r="D97" s="795" t="str">
        <f>$F$3</f>
        <v>Controls</v>
      </c>
      <c r="E97" s="795">
        <f>ROUND(($R100*$S$3 + ($T100*$T$3)), 2)</f>
        <v>374.89</v>
      </c>
      <c r="F97" s="796">
        <f>$E97*$C$12</f>
        <v>374.89</v>
      </c>
      <c r="G97" s="584"/>
      <c r="H97" s="584"/>
      <c r="I97" s="584"/>
      <c r="J97" s="584"/>
      <c r="K97" s="779" t="s">
        <v>5</v>
      </c>
      <c r="L97" s="780" t="s">
        <v>410</v>
      </c>
      <c r="M97" s="584"/>
      <c r="N97" s="584"/>
      <c r="O97" s="584"/>
      <c r="P97" s="584"/>
      <c r="Q97" s="584"/>
      <c r="R97" s="797"/>
      <c r="S97" s="584"/>
      <c r="T97" s="797"/>
    </row>
    <row r="98" spans="1:41" s="627" customFormat="1" ht="13.2">
      <c r="A98">
        <v>2</v>
      </c>
      <c r="B98" s="627" t="s">
        <v>277</v>
      </c>
      <c r="D98" s="627" t="s">
        <v>434</v>
      </c>
      <c r="G98" s="628" t="s">
        <v>429</v>
      </c>
      <c r="H98" s="629">
        <v>512</v>
      </c>
      <c r="I98" s="627" t="s">
        <v>279</v>
      </c>
      <c r="O98" s="630">
        <v>3</v>
      </c>
      <c r="P98" s="631"/>
      <c r="Q98" s="633">
        <f>198/2</f>
        <v>99</v>
      </c>
      <c r="R98" s="632">
        <f>$A98*Q98</f>
        <v>198</v>
      </c>
      <c r="S98" s="633">
        <f>(2*35/27.46+2*41.91/27.46)/2</f>
        <v>2.8008011653313911</v>
      </c>
      <c r="T98" s="634">
        <f>$A98*S98*$T$1</f>
        <v>6.4418426802621989</v>
      </c>
    </row>
    <row r="99" spans="1:41" s="586" customFormat="1" ht="15.6" customHeight="1">
      <c r="A99" s="64"/>
      <c r="B99" s="761"/>
      <c r="C99" s="761"/>
      <c r="D99" s="3"/>
      <c r="E99" s="761"/>
      <c r="F99" s="761"/>
      <c r="G99" s="761"/>
      <c r="H99" s="761"/>
      <c r="I99" s="761"/>
      <c r="J99" s="761"/>
      <c r="K99" s="761"/>
      <c r="L99" s="783"/>
      <c r="M99" s="761"/>
      <c r="N99" s="761"/>
      <c r="O99" s="761"/>
      <c r="P99" s="761"/>
      <c r="Q99" s="761"/>
      <c r="R99" s="784">
        <f>$A99*Q99</f>
        <v>0</v>
      </c>
      <c r="S99" s="761"/>
      <c r="T99" s="585">
        <f>$A99*S99*$T$1</f>
        <v>0</v>
      </c>
    </row>
    <row r="100" spans="1:41" s="586" customFormat="1" ht="12">
      <c r="A100" s="785" t="s">
        <v>142</v>
      </c>
      <c r="B100" s="786">
        <f>(R99+T99)</f>
        <v>0</v>
      </c>
      <c r="C100" s="767"/>
      <c r="G100" s="787"/>
      <c r="H100" s="787"/>
      <c r="I100" s="787"/>
      <c r="J100" s="787"/>
      <c r="K100" s="810" t="s">
        <v>5</v>
      </c>
      <c r="L100" s="788" t="s">
        <v>410</v>
      </c>
      <c r="M100" s="787"/>
      <c r="N100" s="787"/>
      <c r="O100" s="787"/>
      <c r="P100" s="787"/>
      <c r="Q100" s="789"/>
      <c r="R100" s="790">
        <f>SUM(R97:R99)</f>
        <v>198</v>
      </c>
      <c r="S100" s="791"/>
      <c r="T100" s="790">
        <f>SUM(T97:T99)</f>
        <v>6.4418426802621989</v>
      </c>
      <c r="AG100" s="811">
        <f>ROUND($R100*$S$3,2)</f>
        <v>198</v>
      </c>
    </row>
    <row r="101" spans="1:41" s="586" customFormat="1" ht="12" customHeight="1">
      <c r="A101" s="812"/>
      <c r="B101" s="813"/>
      <c r="C101" s="814"/>
      <c r="D101" s="815" t="str">
        <f>$F$4</f>
        <v>Controls</v>
      </c>
      <c r="E101" s="815">
        <f>ROUND(($R105*$S$4 + ($T105*$T$4)), 2)</f>
        <v>0</v>
      </c>
      <c r="F101" s="816">
        <f ca="1">$F89-SUMIF($L91:$P98,"SUBI",$F91:$F98)</f>
        <v>0</v>
      </c>
      <c r="G101" s="584"/>
      <c r="H101" s="584"/>
      <c r="I101" s="584"/>
      <c r="J101" s="584"/>
      <c r="K101" s="817" t="s">
        <v>7</v>
      </c>
      <c r="L101" s="780" t="s">
        <v>410</v>
      </c>
      <c r="M101" s="584"/>
      <c r="N101" s="584"/>
      <c r="O101" s="584"/>
      <c r="P101" s="584"/>
      <c r="Q101" s="584"/>
      <c r="R101" s="797"/>
      <c r="S101" s="584"/>
      <c r="T101" s="797"/>
    </row>
    <row r="102" spans="1:41" s="809" customFormat="1" ht="14.4" customHeight="1">
      <c r="A102" s="798"/>
      <c r="B102" s="781" t="s">
        <v>411</v>
      </c>
      <c r="C102" s="799"/>
      <c r="D102" s="800"/>
      <c r="E102" s="800"/>
      <c r="F102" s="800"/>
      <c r="G102" s="801"/>
      <c r="H102" s="802"/>
      <c r="I102" s="802"/>
      <c r="J102" s="803"/>
      <c r="K102" s="804"/>
      <c r="L102" s="799"/>
      <c r="M102" s="805"/>
      <c r="N102" s="806"/>
      <c r="O102" s="818"/>
      <c r="P102" s="807"/>
      <c r="Q102" s="808"/>
      <c r="R102" s="605">
        <f>$A102*Q102</f>
        <v>0</v>
      </c>
      <c r="S102" s="808"/>
      <c r="T102" s="585">
        <f>$A102*S102*$T$1</f>
        <v>0</v>
      </c>
    </row>
    <row r="103" spans="1:41" s="586" customFormat="1" ht="12">
      <c r="A103" s="57"/>
      <c r="B103" s="582"/>
      <c r="C103" s="582"/>
      <c r="D103" s="819"/>
      <c r="E103" s="820"/>
      <c r="F103" s="584"/>
      <c r="G103" s="584"/>
      <c r="H103" s="584"/>
      <c r="I103" s="584"/>
      <c r="J103" s="584"/>
      <c r="K103" s="584"/>
      <c r="L103" s="821"/>
      <c r="M103" s="584"/>
      <c r="N103" s="584"/>
      <c r="O103" s="584"/>
      <c r="P103" s="584"/>
      <c r="Q103" s="584"/>
      <c r="R103" s="605">
        <f>$A103*Q103</f>
        <v>0</v>
      </c>
      <c r="S103" s="584"/>
      <c r="T103" s="585">
        <f>$A103*S103*$T$1</f>
        <v>0</v>
      </c>
    </row>
    <row r="104" spans="1:41" s="586" customFormat="1" ht="12">
      <c r="A104" s="57"/>
      <c r="B104" s="582"/>
      <c r="C104" s="582"/>
      <c r="D104" s="819"/>
      <c r="E104" s="820"/>
      <c r="F104" s="584"/>
      <c r="G104" s="584"/>
      <c r="H104" s="584"/>
      <c r="I104" s="584"/>
      <c r="J104" s="584"/>
      <c r="K104" s="584"/>
      <c r="L104" s="821"/>
      <c r="M104" s="584"/>
      <c r="N104" s="584"/>
      <c r="O104" s="584"/>
      <c r="P104" s="584"/>
      <c r="Q104" s="584"/>
      <c r="R104" s="605">
        <f>$A104*Q104</f>
        <v>0</v>
      </c>
      <c r="S104" s="584"/>
      <c r="T104" s="585">
        <f>$A104*S104*$T$1</f>
        <v>0</v>
      </c>
    </row>
    <row r="105" spans="1:41" s="586" customFormat="1" ht="12.75" customHeight="1">
      <c r="A105" s="785" t="s">
        <v>142</v>
      </c>
      <c r="B105" s="786">
        <f>(R104+T104)</f>
        <v>0</v>
      </c>
      <c r="C105" s="822"/>
      <c r="D105" s="822"/>
      <c r="E105" s="822"/>
      <c r="F105" s="822"/>
      <c r="G105" s="789"/>
      <c r="H105" s="789"/>
      <c r="I105" s="789"/>
      <c r="J105" s="789"/>
      <c r="K105" s="810" t="s">
        <v>7</v>
      </c>
      <c r="L105" s="823" t="s">
        <v>410</v>
      </c>
      <c r="M105" s="789"/>
      <c r="N105" s="789"/>
      <c r="O105" s="789"/>
      <c r="P105" s="789"/>
      <c r="Q105" s="789"/>
      <c r="R105" s="790">
        <f>SUM(R101:R104)</f>
        <v>0</v>
      </c>
      <c r="S105" s="791"/>
      <c r="T105" s="790">
        <f>SUM(T101:T104)</f>
        <v>0</v>
      </c>
      <c r="AG105" s="824">
        <f>ROUND($R105*$S$4,2)</f>
        <v>0</v>
      </c>
    </row>
    <row r="106" spans="1:41" s="586" customFormat="1" ht="12.75" customHeight="1">
      <c r="A106" s="825"/>
      <c r="B106" s="826"/>
      <c r="E106" s="582"/>
      <c r="F106" s="820"/>
      <c r="G106" s="582"/>
      <c r="H106" s="582"/>
      <c r="I106" s="584"/>
      <c r="J106" s="582"/>
      <c r="K106" s="582"/>
      <c r="L106" s="827"/>
      <c r="M106" s="828"/>
      <c r="N106" s="828"/>
      <c r="O106" s="828"/>
      <c r="P106" s="828"/>
      <c r="Q106" s="618"/>
      <c r="R106" s="797"/>
      <c r="S106" s="582"/>
      <c r="T106" s="797"/>
    </row>
    <row r="107" spans="1:41" s="586" customFormat="1" ht="13.5" customHeight="1" thickBot="1">
      <c r="A107" s="829"/>
      <c r="B107" s="830"/>
      <c r="C107" s="614"/>
      <c r="D107" s="614"/>
      <c r="E107" s="608"/>
      <c r="F107" s="609"/>
      <c r="G107" s="608" t="s">
        <v>143</v>
      </c>
      <c r="H107" s="608"/>
      <c r="I107" s="610"/>
      <c r="J107" s="608"/>
      <c r="K107" s="608"/>
      <c r="L107" s="831" t="s">
        <v>141</v>
      </c>
      <c r="M107" s="611"/>
      <c r="N107" s="611"/>
      <c r="O107" s="611"/>
      <c r="P107" s="611"/>
      <c r="Q107" s="612"/>
      <c r="R107" s="832">
        <f>SUMIF($L90:$L106,"SUBI",R90:R106)</f>
        <v>387.45</v>
      </c>
      <c r="S107" s="833"/>
      <c r="T107" s="832">
        <f>SUMIF($L90:$L106,"SUBI",T90:T106)</f>
        <v>14.031842680262198</v>
      </c>
      <c r="U107" s="614"/>
      <c r="V107" s="614"/>
      <c r="W107" s="614"/>
      <c r="X107" s="614"/>
      <c r="Y107" s="614"/>
      <c r="Z107" s="614"/>
      <c r="AA107" s="614"/>
      <c r="AB107" s="614"/>
      <c r="AC107" s="614"/>
      <c r="AD107" s="614"/>
      <c r="AE107" s="614"/>
      <c r="AF107" s="614"/>
      <c r="AG107" s="614"/>
      <c r="AH107" s="614"/>
      <c r="AI107" s="614"/>
      <c r="AJ107" s="614"/>
      <c r="AK107" s="614"/>
      <c r="AL107" s="614"/>
      <c r="AM107" s="614"/>
      <c r="AN107" s="614"/>
      <c r="AO107" s="614"/>
    </row>
    <row r="108" spans="1:41" s="586" customFormat="1" ht="12" thickTop="1">
      <c r="A108" s="57"/>
      <c r="B108" s="41"/>
      <c r="C108" s="57"/>
      <c r="E108" s="42" t="s">
        <v>137</v>
      </c>
      <c r="F108" s="42" t="s">
        <v>138</v>
      </c>
      <c r="G108" s="57"/>
      <c r="H108" s="57"/>
      <c r="I108" s="57"/>
      <c r="J108" s="57"/>
      <c r="K108" s="57" t="s">
        <v>139</v>
      </c>
      <c r="L108" s="57"/>
      <c r="M108" s="57"/>
      <c r="N108" s="57"/>
      <c r="O108" s="58"/>
      <c r="P108" s="57"/>
      <c r="Q108" s="57"/>
      <c r="R108" s="57"/>
      <c r="S108" s="57"/>
      <c r="T108" s="41"/>
      <c r="AG108" s="587" t="s">
        <v>252</v>
      </c>
      <c r="AH108" s="587" t="s">
        <v>253</v>
      </c>
      <c r="AI108" s="587" t="s">
        <v>254</v>
      </c>
      <c r="AJ108" s="587" t="s">
        <v>255</v>
      </c>
      <c r="AK108" s="587" t="s">
        <v>256</v>
      </c>
      <c r="AM108" s="579" t="s">
        <v>265</v>
      </c>
      <c r="AN108" s="580" t="s">
        <v>266</v>
      </c>
      <c r="AO108" s="588" t="s">
        <v>262</v>
      </c>
    </row>
    <row r="109" spans="1:41" s="586" customFormat="1" ht="12" customHeight="1">
      <c r="A109" s="589">
        <v>1</v>
      </c>
      <c r="B109" s="590" t="s">
        <v>281</v>
      </c>
      <c r="C109" s="591"/>
      <c r="D109" s="592" t="s">
        <v>427</v>
      </c>
      <c r="E109" s="854">
        <f>IF(AND($A109=0,$A$1="DIF"),0, ROUND(ROUND(($R113*$S$2+($T113*$T$2))/A109,2)*$C$2,2))</f>
        <v>505.26</v>
      </c>
      <c r="F109" s="855">
        <f>ROUND($A109*$E109,2)</f>
        <v>505.26</v>
      </c>
      <c r="G109" s="595" t="s">
        <v>140</v>
      </c>
      <c r="H109" s="583"/>
      <c r="I109" s="596"/>
      <c r="J109" s="583"/>
      <c r="K109" s="583" t="s">
        <v>3</v>
      </c>
      <c r="L109" s="597" t="s">
        <v>141</v>
      </c>
      <c r="M109" s="597"/>
      <c r="N109" s="597"/>
      <c r="O109" s="597"/>
      <c r="P109" s="597"/>
      <c r="Q109" s="57"/>
      <c r="T109" s="598" t="str">
        <f>IF(AND($R113=0,$T113=0),"0.00","mu :" &amp; ROUND($F109/$C$2/($R113+$T113*$D$9),2))</f>
        <v>mu :1</v>
      </c>
      <c r="W109" s="599"/>
      <c r="AG109" s="529">
        <f>IF($E109=0,0,ROUND($R113*$S$2*$C$2/$A109,2))</f>
        <v>0</v>
      </c>
      <c r="AH109" s="529">
        <f>$AG109*$A109</f>
        <v>0</v>
      </c>
      <c r="AI109" s="600">
        <f>$E109-$AG109</f>
        <v>505.26</v>
      </c>
      <c r="AJ109" s="600">
        <f>$A109*$AI109</f>
        <v>505.26</v>
      </c>
      <c r="AK109" s="601">
        <f>ROUND(($AG109+$AI109)*$A109,2)</f>
        <v>505.26</v>
      </c>
      <c r="AM109" s="602">
        <f>ROUND(R113,2)</f>
        <v>0</v>
      </c>
      <c r="AN109" s="603">
        <f>ROUND(T113,2)</f>
        <v>18.399999999999999</v>
      </c>
      <c r="AO109" s="604">
        <f>ROUND(AM109+AN109,2)*A109</f>
        <v>18.399999999999999</v>
      </c>
    </row>
    <row r="110" spans="1:41" s="586" customFormat="1" ht="13.2">
      <c r="A110" s="591"/>
      <c r="B110"/>
      <c r="C110" s="591"/>
      <c r="D110" s="876" t="s">
        <v>428</v>
      </c>
      <c r="E110" s="877"/>
      <c r="F110" s="877"/>
      <c r="G110" s="877"/>
      <c r="H110" s="877"/>
      <c r="I110" s="877"/>
      <c r="J110" s="877"/>
      <c r="K110" s="877"/>
      <c r="L110" s="877"/>
      <c r="M110" s="877"/>
      <c r="N110" s="877"/>
      <c r="O110" s="877"/>
      <c r="P110" s="877"/>
      <c r="Q110" s="877"/>
      <c r="R110" s="877"/>
      <c r="S110" s="877"/>
      <c r="T110" s="877"/>
    </row>
    <row r="111" spans="1:41" s="627" customFormat="1" ht="13.2">
      <c r="A111" s="157">
        <v>1</v>
      </c>
      <c r="B111" s="627" t="s">
        <v>281</v>
      </c>
      <c r="D111" s="627" t="s">
        <v>366</v>
      </c>
      <c r="G111" s="628" t="s">
        <v>367</v>
      </c>
      <c r="H111" s="629">
        <v>900</v>
      </c>
      <c r="I111" s="627" t="s">
        <v>280</v>
      </c>
      <c r="O111" s="630">
        <v>1</v>
      </c>
      <c r="P111" s="631"/>
      <c r="Q111" s="633">
        <v>0</v>
      </c>
      <c r="R111" s="632">
        <f>$A111*Q111</f>
        <v>0</v>
      </c>
      <c r="S111" s="633">
        <v>16</v>
      </c>
      <c r="T111" s="634">
        <f>$A111*S111*$T$1</f>
        <v>18.399999999999999</v>
      </c>
    </row>
    <row r="112" spans="1:41" s="586" customFormat="1" ht="12">
      <c r="A112" s="582"/>
      <c r="B112" s="582"/>
      <c r="C112" s="582"/>
      <c r="D112" s="582"/>
      <c r="E112" s="582"/>
      <c r="F112" s="583"/>
      <c r="G112" s="582"/>
      <c r="H112" s="582"/>
      <c r="I112" s="584"/>
      <c r="J112" s="582"/>
      <c r="K112" s="582"/>
      <c r="L112" s="582"/>
      <c r="M112" s="582"/>
      <c r="N112" s="582"/>
      <c r="O112" s="582"/>
      <c r="P112" s="582"/>
      <c r="Q112" s="584"/>
      <c r="R112" s="605">
        <f t="shared" ref="R112" si="14">$A112*Q112</f>
        <v>0</v>
      </c>
      <c r="S112" s="584"/>
      <c r="T112" s="585">
        <f t="shared" ref="T112" si="15">$A112*S112*$T$1</f>
        <v>0</v>
      </c>
    </row>
    <row r="113" spans="1:41" s="586" customFormat="1" ht="12.6" thickBot="1">
      <c r="A113" s="606" t="s">
        <v>142</v>
      </c>
      <c r="B113" s="607">
        <f>(R112+T112)</f>
        <v>0</v>
      </c>
      <c r="C113" s="608"/>
      <c r="D113" s="608"/>
      <c r="E113" s="608"/>
      <c r="F113" s="609"/>
      <c r="G113" s="608" t="s">
        <v>143</v>
      </c>
      <c r="H113" s="608"/>
      <c r="I113" s="610"/>
      <c r="J113" s="608"/>
      <c r="K113" s="608" t="s">
        <v>3</v>
      </c>
      <c r="L113" s="611" t="s">
        <v>141</v>
      </c>
      <c r="M113" s="611"/>
      <c r="N113" s="611"/>
      <c r="O113" s="611"/>
      <c r="P113" s="611"/>
      <c r="Q113" s="612"/>
      <c r="R113" s="613">
        <f>SUM(R110:R112)</f>
        <v>0</v>
      </c>
      <c r="S113" s="608"/>
      <c r="T113" s="613">
        <f>SUM(T110:T112)</f>
        <v>18.399999999999999</v>
      </c>
      <c r="U113" s="614"/>
      <c r="V113" s="614"/>
      <c r="W113" s="614"/>
      <c r="X113" s="614"/>
      <c r="Y113" s="614"/>
      <c r="Z113" s="614"/>
      <c r="AA113" s="614"/>
      <c r="AB113" s="614"/>
      <c r="AC113" s="614"/>
      <c r="AD113" s="614"/>
      <c r="AE113" s="614"/>
      <c r="AF113" s="614"/>
      <c r="AG113" s="614"/>
      <c r="AH113" s="614"/>
      <c r="AI113" s="614"/>
      <c r="AJ113" s="614"/>
      <c r="AK113" s="614"/>
      <c r="AL113" s="614"/>
      <c r="AM113" s="614"/>
      <c r="AN113" s="614"/>
      <c r="AO113" s="614"/>
    </row>
    <row r="114" spans="1:41" s="586" customFormat="1" ht="12" thickTop="1">
      <c r="A114" s="50" t="s">
        <v>151</v>
      </c>
      <c r="D114" s="13"/>
      <c r="E114" s="42"/>
      <c r="O114" s="619"/>
    </row>
    <row r="115" spans="1:41" s="586" customFormat="1" ht="13.2">
      <c r="B115" s="3"/>
      <c r="O115" s="619"/>
    </row>
    <row r="116" spans="1:41" s="586" customFormat="1" ht="12">
      <c r="B116" s="620">
        <f ca="1">$F116/$C$2-($R116*$S$2+$T116*$T$2)</f>
        <v>-6.6199999982927693E-3</v>
      </c>
      <c r="D116" s="621" t="s">
        <v>315</v>
      </c>
      <c r="E116" s="622"/>
      <c r="F116" s="623">
        <f ca="1">SUMIF($L14:$L114,"ITEM",F14:F114)</f>
        <v>7433.1</v>
      </c>
      <c r="G116" s="582"/>
      <c r="H116" s="582"/>
      <c r="I116" s="584"/>
      <c r="J116" s="582"/>
      <c r="K116" s="582"/>
      <c r="L116" s="597" t="s">
        <v>162</v>
      </c>
      <c r="M116" s="597"/>
      <c r="N116" s="597"/>
      <c r="O116" s="597"/>
      <c r="P116" s="597"/>
      <c r="R116" s="623">
        <f ca="1">SUMIF($L14:$L114,"ITEM",R14:R114)</f>
        <v>4954.7299999999996</v>
      </c>
      <c r="S116" s="65"/>
      <c r="T116" s="623">
        <f ca="1">SUMIF($L14:$L114,"ITEM",T14:T114)</f>
        <v>90.254064821558615</v>
      </c>
    </row>
    <row r="117" spans="1:41" s="586" customFormat="1" ht="13.2">
      <c r="A117" s="57"/>
      <c r="B117" s="51" t="s">
        <v>275</v>
      </c>
      <c r="C117" s="57"/>
      <c r="D117" s="3"/>
      <c r="F117" s="624" t="s">
        <v>163</v>
      </c>
      <c r="G117" s="582"/>
      <c r="H117" s="582"/>
      <c r="I117" s="584"/>
      <c r="J117" s="582"/>
      <c r="K117" s="582"/>
      <c r="L117" s="582"/>
      <c r="M117" s="582"/>
      <c r="N117" s="582"/>
      <c r="O117" s="582"/>
      <c r="P117" s="582"/>
      <c r="Q117" s="618"/>
      <c r="R117" s="624" t="s">
        <v>164</v>
      </c>
      <c r="S117" s="38"/>
      <c r="T117" s="624" t="s">
        <v>165</v>
      </c>
    </row>
    <row r="118" spans="1:41" s="586" customFormat="1" ht="13.2">
      <c r="A118" s="582"/>
      <c r="B118" s="3"/>
      <c r="C118" s="582"/>
      <c r="D118" s="3"/>
      <c r="E118" s="3"/>
      <c r="G118" s="3"/>
      <c r="H118" s="3"/>
      <c r="I118" s="3"/>
      <c r="J118" s="3"/>
      <c r="K118" s="3"/>
      <c r="L118" s="3"/>
      <c r="M118" s="3"/>
      <c r="N118" s="3"/>
      <c r="O118" s="148"/>
      <c r="P118" s="3"/>
      <c r="Q118" s="3"/>
      <c r="R118" s="3"/>
      <c r="S118" s="3"/>
      <c r="T118" s="3"/>
    </row>
    <row r="119" spans="1:41" s="586" customFormat="1" ht="12" thickBot="1">
      <c r="A119" s="614"/>
      <c r="B119" s="608"/>
      <c r="C119" s="608"/>
      <c r="D119" s="614"/>
      <c r="E119" s="39"/>
      <c r="F119" s="625"/>
      <c r="G119" s="608"/>
      <c r="H119" s="608"/>
      <c r="I119" s="610"/>
      <c r="J119" s="608"/>
      <c r="K119" s="608"/>
      <c r="L119" s="611"/>
      <c r="M119" s="611"/>
      <c r="N119" s="611"/>
      <c r="O119" s="611"/>
      <c r="P119" s="611"/>
      <c r="Q119" s="612"/>
      <c r="R119" s="625"/>
      <c r="S119" s="626"/>
      <c r="T119" s="625"/>
      <c r="U119" s="614"/>
      <c r="V119" s="614"/>
      <c r="W119" s="614"/>
      <c r="X119" s="614"/>
      <c r="Y119" s="614"/>
      <c r="Z119" s="614"/>
      <c r="AA119" s="614"/>
      <c r="AB119" s="614"/>
      <c r="AC119" s="614"/>
      <c r="AD119" s="614"/>
      <c r="AE119" s="614"/>
      <c r="AF119" s="614"/>
      <c r="AG119" s="614"/>
      <c r="AH119" s="614"/>
      <c r="AI119" s="614"/>
      <c r="AJ119" s="614"/>
      <c r="AK119" s="614"/>
    </row>
    <row r="120" spans="1:41" s="586" customFormat="1" thickTop="1">
      <c r="A120" s="50" t="s">
        <v>151</v>
      </c>
      <c r="B120" s="3"/>
      <c r="C120" s="57"/>
      <c r="D120" s="57"/>
      <c r="E120" s="3"/>
      <c r="F120" s="57"/>
      <c r="G120" s="57"/>
      <c r="H120" s="57"/>
      <c r="I120" s="57"/>
      <c r="J120" s="57"/>
      <c r="K120" s="57"/>
      <c r="L120" s="57"/>
      <c r="M120" s="57"/>
      <c r="N120" s="57"/>
      <c r="O120" s="58"/>
      <c r="P120" s="57"/>
      <c r="Q120" s="57"/>
      <c r="R120" s="57"/>
      <c r="S120" s="57"/>
      <c r="T120" s="57"/>
    </row>
    <row r="121" spans="1:41" s="586" customFormat="1" ht="13.2">
      <c r="A121" s="57"/>
      <c r="B121" s="3"/>
      <c r="C121" s="3"/>
      <c r="F121" s="3"/>
      <c r="G121" s="3"/>
      <c r="H121" s="3"/>
      <c r="I121" s="3"/>
      <c r="J121" s="3"/>
      <c r="K121" s="3"/>
      <c r="L121" s="3"/>
      <c r="M121" s="3"/>
      <c r="N121" s="3"/>
      <c r="O121" s="148"/>
      <c r="P121" s="3"/>
      <c r="Q121" s="3"/>
      <c r="R121" s="3"/>
      <c r="S121" s="3"/>
      <c r="T121" s="3"/>
    </row>
    <row r="122" spans="1:41" s="586" customFormat="1" ht="12">
      <c r="A122" s="57"/>
      <c r="B122" s="620">
        <f ca="1">$F122/$C$2-($R122*$S$2+$T122*$T$2)</f>
        <v>-6.6199999982927693E-3</v>
      </c>
      <c r="C122" s="57"/>
      <c r="D122" s="656" t="s">
        <v>316</v>
      </c>
      <c r="E122" s="622"/>
      <c r="F122" s="657">
        <f ca="1">SUMIF($L114:$L120,"PAGE",F114:F120)</f>
        <v>7433.1</v>
      </c>
      <c r="G122" s="582"/>
      <c r="H122" s="582"/>
      <c r="I122" s="584"/>
      <c r="J122" s="582"/>
      <c r="K122" s="582"/>
      <c r="L122" s="162" t="s">
        <v>300</v>
      </c>
      <c r="M122" s="162"/>
      <c r="N122" s="162"/>
      <c r="O122" s="163"/>
      <c r="P122" s="162"/>
      <c r="Q122" s="57"/>
      <c r="R122" s="657">
        <f ca="1">SUMIF($L114:$L120,"PAGE",R114:R120)</f>
        <v>4954.7299999999996</v>
      </c>
      <c r="S122" s="57"/>
      <c r="T122" s="657">
        <f ca="1">SUMIF($L114:$L120,"PAGE",T114:T120)</f>
        <v>90.254064821558615</v>
      </c>
    </row>
    <row r="123" spans="1:41" s="586" customFormat="1" ht="12">
      <c r="A123" s="57"/>
      <c r="B123" s="51" t="s">
        <v>275</v>
      </c>
      <c r="C123" s="57"/>
      <c r="D123" s="656"/>
      <c r="F123" s="658" t="s">
        <v>301</v>
      </c>
      <c r="G123" s="582"/>
      <c r="H123" s="582"/>
      <c r="I123" s="584"/>
      <c r="J123" s="582"/>
      <c r="K123" s="582"/>
      <c r="L123" s="57"/>
      <c r="M123" s="57"/>
      <c r="N123" s="57"/>
      <c r="O123" s="58"/>
      <c r="P123" s="57"/>
      <c r="Q123" s="57"/>
      <c r="R123" s="658" t="s">
        <v>302</v>
      </c>
      <c r="S123" s="38"/>
      <c r="T123" s="658" t="s">
        <v>303</v>
      </c>
    </row>
    <row r="124" spans="1:41" s="586" customFormat="1" ht="11.4">
      <c r="O124" s="619"/>
    </row>
    <row r="125" spans="1:41" s="586" customFormat="1" ht="12" thickBot="1">
      <c r="A125" s="608"/>
      <c r="B125" s="608"/>
      <c r="C125" s="608"/>
      <c r="D125" s="608"/>
      <c r="E125" s="608"/>
      <c r="F125" s="39"/>
      <c r="G125" s="614"/>
      <c r="H125" s="614"/>
      <c r="I125" s="614"/>
      <c r="J125" s="614"/>
      <c r="K125" s="614"/>
      <c r="L125" s="608"/>
      <c r="M125" s="608"/>
      <c r="N125" s="608"/>
      <c r="O125" s="608"/>
      <c r="P125" s="608"/>
      <c r="Q125" s="612"/>
      <c r="R125" s="39"/>
      <c r="S125" s="39"/>
      <c r="T125" s="39"/>
      <c r="U125" s="614"/>
      <c r="V125" s="614"/>
      <c r="W125" s="614"/>
      <c r="X125" s="614"/>
      <c r="Y125" s="614"/>
      <c r="Z125" s="614"/>
      <c r="AA125" s="614"/>
      <c r="AB125" s="614"/>
      <c r="AC125" s="614"/>
      <c r="AD125" s="614"/>
      <c r="AE125" s="614"/>
      <c r="AF125" s="614"/>
      <c r="AG125" s="614"/>
      <c r="AH125" s="614"/>
      <c r="AI125" s="614"/>
      <c r="AJ125" s="614"/>
      <c r="AK125" s="614"/>
    </row>
    <row r="126" spans="1:41" ht="15" thickTop="1" thickBot="1">
      <c r="A126" s="355" t="s">
        <v>144</v>
      </c>
      <c r="B126" s="4"/>
      <c r="C126" s="4"/>
      <c r="D126" s="4"/>
      <c r="E126" s="4"/>
      <c r="F126" s="2"/>
      <c r="G126" s="140"/>
      <c r="H126" s="33"/>
      <c r="I126" s="33"/>
      <c r="J126" s="33"/>
      <c r="K126" s="33"/>
      <c r="L126" s="4"/>
      <c r="M126" s="4"/>
      <c r="N126" s="4"/>
      <c r="O126" s="4"/>
      <c r="P126" s="4"/>
      <c r="Q126" s="52"/>
      <c r="R126" s="33"/>
      <c r="S126" s="33"/>
      <c r="T126" s="33"/>
      <c r="AH126" s="569" t="e">
        <f>SUM(#REF!)</f>
        <v>#REF!</v>
      </c>
      <c r="AJ126" s="569" t="e">
        <f>SUM(#REF!)</f>
        <v>#REF!</v>
      </c>
      <c r="AK126" s="569" t="e">
        <f>SUM(#REF!)</f>
        <v>#REF!</v>
      </c>
    </row>
    <row r="127" spans="1:41" ht="14.4" thickTop="1">
      <c r="A127" s="57"/>
      <c r="B127" s="55">
        <f ca="1">$F127/$C$2-($R127*$S$2+$T127*$T$2)</f>
        <v>2.3799999989932985E-3</v>
      </c>
      <c r="C127" s="33" t="s">
        <v>72</v>
      </c>
      <c r="D127" s="56"/>
      <c r="E127" s="56" t="str">
        <f>$F$2 &amp; " (mu_A) :"</f>
        <v>Electrical (mu_A) :</v>
      </c>
      <c r="F127" s="514">
        <f ca="1">SUMIF($K$13:$K126,"mu_A",F$13:F126)</f>
        <v>3598.99</v>
      </c>
      <c r="G127" s="57"/>
      <c r="H127" s="57"/>
      <c r="I127" s="57"/>
      <c r="J127" s="57"/>
      <c r="K127" s="57"/>
      <c r="L127" s="57"/>
      <c r="M127" s="57"/>
      <c r="N127" s="57"/>
      <c r="O127" s="58"/>
      <c r="P127" s="57"/>
      <c r="Q127" s="57"/>
      <c r="R127" s="59">
        <f ca="1">SUMIF($K$13:$K126,"mu_A",R$13:R$126)</f>
        <v>1731.7900000000002</v>
      </c>
      <c r="S127" s="57"/>
      <c r="T127" s="59">
        <f ca="1">SUMIF($K$13:$K126,"mu_A",T$13:T$126)</f>
        <v>67.997000000000014</v>
      </c>
      <c r="AG127" s="1"/>
      <c r="AH127" s="514">
        <f ca="1">R127*$S$2</f>
        <v>1731.7900000000002</v>
      </c>
      <c r="AI127" s="1"/>
      <c r="AJ127" s="514">
        <f ca="1">T127*$T$2</f>
        <v>1867.1976200000004</v>
      </c>
      <c r="AK127" s="1"/>
    </row>
    <row r="128" spans="1:41">
      <c r="A128" s="57"/>
      <c r="B128" s="55">
        <f>$F128/$C$3-($R128*$S$3+$T128*$T$3)</f>
        <v>-9.0000000004692993E-3</v>
      </c>
      <c r="C128" s="33" t="s">
        <v>72</v>
      </c>
      <c r="D128" s="56"/>
      <c r="E128" s="56" t="str">
        <f>$F$3&amp; " (mu_B) :"</f>
        <v>Controls (mu_B) :</v>
      </c>
      <c r="F128" s="515">
        <f>SUMIF($K$13:$K126,"mu_B",F$13:F126)</f>
        <v>3834.1099999999997</v>
      </c>
      <c r="G128" s="60"/>
      <c r="H128" s="60"/>
      <c r="I128" s="61"/>
      <c r="J128" s="60"/>
      <c r="K128" s="60"/>
      <c r="L128" s="60"/>
      <c r="M128" s="60"/>
      <c r="N128" s="60"/>
      <c r="O128" s="60"/>
      <c r="P128" s="60"/>
      <c r="Q128" s="62"/>
      <c r="R128" s="63">
        <f>SUMIF($K$13:$K126,"mu_B",R$13:R126)</f>
        <v>3222.94</v>
      </c>
      <c r="S128" s="64"/>
      <c r="T128" s="63">
        <f>SUMIF($K$13:$K126,"mu_B",T$13:T126)</f>
        <v>22.257064821558629</v>
      </c>
      <c r="AG128" s="1"/>
      <c r="AH128" s="515">
        <f>R128*$S$3</f>
        <v>3222.94</v>
      </c>
      <c r="AI128" s="1"/>
      <c r="AJ128" s="515">
        <f>T128*$T$3</f>
        <v>611.17899999999997</v>
      </c>
      <c r="AK128" s="1"/>
    </row>
    <row r="129" spans="1:37">
      <c r="A129" s="57"/>
      <c r="B129" s="55">
        <f ca="1">$F129/$C$4-($R129*$S$4+$T129*$T$4)</f>
        <v>0</v>
      </c>
      <c r="C129" s="33" t="s">
        <v>72</v>
      </c>
      <c r="D129" s="56"/>
      <c r="E129" s="56" t="str">
        <f>$F$4&amp; " (mu_C) :"</f>
        <v>Controls (mu_C) :</v>
      </c>
      <c r="F129" s="516">
        <f ca="1">SUMIF($K$13:$K126,"mu_C",F$13:F126)</f>
        <v>0</v>
      </c>
      <c r="G129" s="60"/>
      <c r="H129" s="60"/>
      <c r="I129" s="61"/>
      <c r="J129" s="60"/>
      <c r="K129" s="60"/>
      <c r="L129" s="60"/>
      <c r="M129" s="60"/>
      <c r="N129" s="60"/>
      <c r="O129" s="60"/>
      <c r="P129" s="60"/>
      <c r="Q129" s="57"/>
      <c r="R129" s="63">
        <f>SUMIF($K$13:$K126,"mu_C",R$13:R126)</f>
        <v>0</v>
      </c>
      <c r="S129" s="65"/>
      <c r="T129" s="63">
        <f>SUMIF($K$13:$K126,"mu_C",T$13:T126)</f>
        <v>0</v>
      </c>
      <c r="AG129" s="1"/>
      <c r="AH129" s="516">
        <f>R129*$S$4</f>
        <v>0</v>
      </c>
      <c r="AI129" s="1"/>
      <c r="AJ129" s="516">
        <f>T129*$T$4</f>
        <v>0</v>
      </c>
      <c r="AK129" s="1"/>
    </row>
    <row r="130" spans="1:37">
      <c r="A130" s="57"/>
      <c r="B130" s="55">
        <f>$F130/$C$5-($R130*$S$5+$T130*$T$5)</f>
        <v>0</v>
      </c>
      <c r="C130" s="33" t="s">
        <v>72</v>
      </c>
      <c r="D130" s="56"/>
      <c r="E130" s="56" t="str">
        <f>$F$5&amp; " (mu_D) :"</f>
        <v>0 (mu_D) :</v>
      </c>
      <c r="F130" s="517">
        <f>SUMIF($K$13:$K126,"mu_D",F$13:F126)</f>
        <v>0</v>
      </c>
      <c r="G130" s="60"/>
      <c r="H130" s="60"/>
      <c r="I130" s="61"/>
      <c r="J130" s="60"/>
      <c r="K130" s="60"/>
      <c r="L130" s="60"/>
      <c r="M130" s="60"/>
      <c r="N130" s="60"/>
      <c r="O130" s="60"/>
      <c r="P130" s="60"/>
      <c r="Q130" s="57"/>
      <c r="R130" s="63">
        <f>SUMIF($K$13:$K126,"mu_D",R$13:R126)</f>
        <v>0</v>
      </c>
      <c r="S130" s="65"/>
      <c r="T130" s="63">
        <f>SUMIF($K$13:$K126,"mu_D",T$13:T126)</f>
        <v>0</v>
      </c>
      <c r="AG130" s="1"/>
      <c r="AH130" s="517">
        <f>R130*$S$5</f>
        <v>0</v>
      </c>
      <c r="AI130" s="1"/>
      <c r="AJ130" s="517">
        <f>T130*$T$5</f>
        <v>0</v>
      </c>
      <c r="AK130" s="1"/>
    </row>
    <row r="131" spans="1:37">
      <c r="A131" s="57"/>
      <c r="B131" s="55">
        <f>$F131/$C$6-($R131*$S$6+$T131*$T$6)</f>
        <v>0</v>
      </c>
      <c r="C131" s="33" t="s">
        <v>72</v>
      </c>
      <c r="D131" s="56"/>
      <c r="E131" s="56" t="str">
        <f>$F$6&amp; " (mu_E) :"</f>
        <v>0 (mu_E) :</v>
      </c>
      <c r="F131" s="518">
        <f>SUMIF($K$13:$K126,"mu_E",F$13:F126)</f>
        <v>0</v>
      </c>
      <c r="G131" s="60"/>
      <c r="H131" s="60"/>
      <c r="I131" s="61"/>
      <c r="J131" s="60"/>
      <c r="K131" s="60"/>
      <c r="L131" s="60"/>
      <c r="M131" s="60"/>
      <c r="N131" s="60"/>
      <c r="O131" s="60"/>
      <c r="P131" s="60"/>
      <c r="Q131" s="57"/>
      <c r="R131" s="63">
        <f>SUMIF($K$13:$K126,"mu_E",R$13:R126)</f>
        <v>0</v>
      </c>
      <c r="S131" s="65"/>
      <c r="T131" s="63">
        <f>SUMIF($K$13:$K126,"mu_E",T$13:T126)</f>
        <v>0</v>
      </c>
      <c r="AG131" s="1"/>
      <c r="AH131" s="518">
        <f>R131*$S$6</f>
        <v>0</v>
      </c>
      <c r="AI131" s="1"/>
      <c r="AJ131" s="518">
        <f>T131*$T$6</f>
        <v>0</v>
      </c>
      <c r="AK131" s="1"/>
    </row>
    <row r="132" spans="1:37">
      <c r="A132" s="57"/>
      <c r="B132" s="55">
        <f>$F132/$C$7-($R132*$S$7+$T132*$T$7)</f>
        <v>0</v>
      </c>
      <c r="C132" s="33" t="s">
        <v>72</v>
      </c>
      <c r="D132" s="56"/>
      <c r="E132" s="56" t="str">
        <f>$F$7&amp; " (mu_F) :"</f>
        <v>0 (mu_F) :</v>
      </c>
      <c r="F132" s="519">
        <f>SUMIF($K$13:$K126,"mu_F",F$13:F126)</f>
        <v>0</v>
      </c>
      <c r="G132" s="60"/>
      <c r="H132" s="60"/>
      <c r="I132" s="61"/>
      <c r="J132" s="60"/>
      <c r="K132" s="60"/>
      <c r="L132" s="60"/>
      <c r="M132" s="60"/>
      <c r="N132" s="60"/>
      <c r="O132" s="60"/>
      <c r="P132" s="60"/>
      <c r="Q132" s="57"/>
      <c r="R132" s="63">
        <f>SUMIF($K$13:$K126,"mu_F",R$13:R126)</f>
        <v>0</v>
      </c>
      <c r="S132" s="65"/>
      <c r="T132" s="63">
        <f>SUMIF($K$13:$K126,"mu_F",T$13:T126)</f>
        <v>0</v>
      </c>
      <c r="AG132" s="1"/>
      <c r="AH132" s="519">
        <f>R132*$S$7</f>
        <v>0</v>
      </c>
      <c r="AI132" s="1"/>
      <c r="AJ132" s="519">
        <f>T132*$T$7</f>
        <v>0</v>
      </c>
      <c r="AK132" s="1"/>
    </row>
    <row r="133" spans="1:37">
      <c r="A133" s="57"/>
      <c r="B133" s="55">
        <f>$F133/$C$8-($R133*$S$8+$T133*$T$8)</f>
        <v>0</v>
      </c>
      <c r="C133" s="33" t="s">
        <v>72</v>
      </c>
      <c r="D133" s="56"/>
      <c r="E133" s="56" t="str">
        <f>$F$8&amp; " (mu_G) :"</f>
        <v>0 (mu_G) :</v>
      </c>
      <c r="F133" s="520">
        <f>SUMIF($K$13:$K126,"mu_G",F$13:F126)</f>
        <v>0</v>
      </c>
      <c r="G133" s="60"/>
      <c r="H133" s="60"/>
      <c r="I133" s="61"/>
      <c r="J133" s="60"/>
      <c r="K133" s="60"/>
      <c r="L133" s="60"/>
      <c r="M133" s="60"/>
      <c r="N133" s="60"/>
      <c r="O133" s="60"/>
      <c r="P133" s="60"/>
      <c r="Q133" s="57"/>
      <c r="R133" s="63">
        <f>SUMIF($K$13:$K126,"mu_G",R$13:R126)</f>
        <v>0</v>
      </c>
      <c r="S133" s="65"/>
      <c r="T133" s="63">
        <f>SUMIF($K$13:$K126,"mu_G",T$13:T126)</f>
        <v>0</v>
      </c>
      <c r="AG133" s="1"/>
      <c r="AH133" s="520">
        <f>R133*$S$8</f>
        <v>0</v>
      </c>
      <c r="AI133" s="1"/>
      <c r="AJ133" s="520">
        <f>T133*$T$8</f>
        <v>0</v>
      </c>
      <c r="AK133" s="1"/>
    </row>
    <row r="134" spans="1:37">
      <c r="A134" s="57"/>
      <c r="B134" s="55">
        <f>$F134/$C$9-($R134*$S$9+$T134*$T$9)</f>
        <v>0</v>
      </c>
      <c r="C134" s="33" t="s">
        <v>72</v>
      </c>
      <c r="D134" s="56"/>
      <c r="E134" s="56" t="str">
        <f>$F$9&amp; " (mu_H) :"</f>
        <v>0 (mu_H) :</v>
      </c>
      <c r="F134" s="558">
        <f>SUMIF($K$13:$K126,"mu_H",F$13:F126)</f>
        <v>0</v>
      </c>
      <c r="G134" s="60"/>
      <c r="H134" s="60"/>
      <c r="I134" s="61"/>
      <c r="J134" s="60"/>
      <c r="K134" s="60"/>
      <c r="L134" s="60"/>
      <c r="M134" s="60"/>
      <c r="N134" s="60"/>
      <c r="O134" s="60"/>
      <c r="P134" s="60"/>
      <c r="Q134" s="57"/>
      <c r="R134" s="63">
        <f>SUMIF($K$13:$K126,"mu_H",R$13:R126)</f>
        <v>0</v>
      </c>
      <c r="S134" s="65"/>
      <c r="T134" s="63">
        <f>SUMIF($K$13:$K126,"mu_H",T$13:T126)</f>
        <v>0</v>
      </c>
      <c r="AG134" s="1"/>
      <c r="AH134" s="558">
        <f>R134*$S$9</f>
        <v>0</v>
      </c>
      <c r="AI134" s="1"/>
      <c r="AJ134" s="558">
        <f>T134*$T$9</f>
        <v>0</v>
      </c>
      <c r="AK134" s="1"/>
    </row>
    <row r="135" spans="1:37">
      <c r="A135" s="57"/>
      <c r="B135" s="55">
        <f>$F135/$C$10-($R135*$S$10+$T135*$T$10)</f>
        <v>0</v>
      </c>
      <c r="C135" s="33" t="s">
        <v>72</v>
      </c>
      <c r="D135" s="56"/>
      <c r="E135" s="56" t="str">
        <f>$F$10&amp; " (mu_I) :"</f>
        <v>0 (mu_I) :</v>
      </c>
      <c r="F135" s="559">
        <f>SUMIF($K$13:$K126,"mu_I",F$13:F126)</f>
        <v>0</v>
      </c>
      <c r="G135" s="60"/>
      <c r="H135" s="60"/>
      <c r="I135" s="61"/>
      <c r="J135" s="60"/>
      <c r="K135" s="60"/>
      <c r="L135" s="60"/>
      <c r="M135" s="60"/>
      <c r="N135" s="60"/>
      <c r="O135" s="60"/>
      <c r="P135" s="60"/>
      <c r="Q135" s="57"/>
      <c r="R135" s="63">
        <f>SUMIF($K$13:$K126,"mu_I",R$13:R126)</f>
        <v>0</v>
      </c>
      <c r="S135" s="65"/>
      <c r="T135" s="63">
        <f>SUMIF($K$13:$K126,"mu_I",T$13:T126)</f>
        <v>0</v>
      </c>
      <c r="AG135" s="1"/>
      <c r="AH135" s="559">
        <f>R135*$S$10</f>
        <v>0</v>
      </c>
      <c r="AI135" s="1"/>
      <c r="AJ135" s="559">
        <f>T135*$T$10</f>
        <v>0</v>
      </c>
      <c r="AK135" s="1"/>
    </row>
    <row r="136" spans="1:37">
      <c r="A136" s="57"/>
      <c r="B136" s="55">
        <f ca="1">$F136/$C$11-($R136*$S$11+$T136*$T$11)</f>
        <v>0</v>
      </c>
      <c r="C136" s="33"/>
      <c r="D136" s="56"/>
      <c r="E136" s="56" t="str">
        <f>$F$11&amp; " (mu_J) :"</f>
        <v>0 (mu_J) :</v>
      </c>
      <c r="F136" s="560">
        <f>SUMIF($K$13:$K127,"mu_J",F$13:F127)</f>
        <v>0</v>
      </c>
      <c r="G136" s="60"/>
      <c r="H136" s="60"/>
      <c r="I136" s="61"/>
      <c r="J136" s="60"/>
      <c r="K136" s="60"/>
      <c r="L136" s="60"/>
      <c r="M136" s="60"/>
      <c r="N136" s="60"/>
      <c r="O136" s="60"/>
      <c r="P136" s="60"/>
      <c r="Q136" s="57"/>
      <c r="R136" s="63">
        <f ca="1">SUMIF($K$13:$K127,"mu_J",R$13:R126)</f>
        <v>0</v>
      </c>
      <c r="S136" s="65"/>
      <c r="T136" s="63">
        <f>SUMIF($K$13:$K127,"mu_J",T$13:T127)</f>
        <v>0</v>
      </c>
      <c r="AG136" s="1"/>
      <c r="AH136" s="560">
        <f ca="1">R136*$S$11</f>
        <v>0</v>
      </c>
      <c r="AI136" s="1"/>
      <c r="AJ136" s="560">
        <f>T136*$T$11</f>
        <v>0</v>
      </c>
      <c r="AK136" s="1"/>
    </row>
    <row r="137" spans="1:37" ht="15" thickBot="1">
      <c r="A137" s="66"/>
      <c r="B137" s="66"/>
      <c r="C137" s="67" t="s">
        <v>145</v>
      </c>
      <c r="D137" s="68"/>
      <c r="E137" s="69" t="s">
        <v>146</v>
      </c>
      <c r="F137" s="521">
        <f ca="1">SUM(F127:F136)</f>
        <v>7433.0999999999995</v>
      </c>
      <c r="G137" s="575" t="s">
        <v>140</v>
      </c>
      <c r="H137" s="70"/>
      <c r="I137" s="71"/>
      <c r="J137" s="70"/>
      <c r="K137" s="70"/>
      <c r="L137" s="70"/>
      <c r="M137" s="70"/>
      <c r="N137" s="70"/>
      <c r="O137" s="70"/>
      <c r="P137" s="70"/>
      <c r="Q137" s="72"/>
      <c r="R137" s="72">
        <f ca="1">SUM(R127:R136)</f>
        <v>4954.7300000000005</v>
      </c>
      <c r="S137" s="73"/>
      <c r="T137" s="72">
        <f ca="1">SUM(T127:T136)</f>
        <v>90.254064821558643</v>
      </c>
      <c r="U137" s="117"/>
      <c r="V137" s="456"/>
      <c r="W137" s="456"/>
      <c r="X137" s="456">
        <v>215604</v>
      </c>
      <c r="Y137" s="456">
        <v>215566.6</v>
      </c>
      <c r="Z137" s="456">
        <f>X137-Y137</f>
        <v>37.399999999994179</v>
      </c>
      <c r="AA137" s="456"/>
      <c r="AB137" s="456"/>
      <c r="AC137" s="117"/>
      <c r="AD137" s="117"/>
      <c r="AE137" s="117"/>
      <c r="AF137" s="117"/>
      <c r="AG137" s="568"/>
      <c r="AH137" s="569">
        <f ca="1">SUM(AH127:AH136)</f>
        <v>4954.7300000000005</v>
      </c>
      <c r="AI137" s="568"/>
      <c r="AJ137" s="569">
        <f ca="1">SUM(AJ127:AJ136)</f>
        <v>2478.3766200000005</v>
      </c>
      <c r="AK137" s="569">
        <f ca="1">AH137+AJ137</f>
        <v>7433.1066200000005</v>
      </c>
    </row>
    <row r="138" spans="1:37" ht="15" thickTop="1">
      <c r="A138" s="74"/>
      <c r="B138" s="74"/>
      <c r="C138" s="75"/>
      <c r="D138" s="76"/>
      <c r="E138" s="77"/>
      <c r="F138" s="78"/>
      <c r="G138" s="79"/>
      <c r="H138" s="79"/>
      <c r="I138" s="79"/>
      <c r="J138" s="79"/>
      <c r="K138" s="79"/>
      <c r="L138" s="79"/>
      <c r="M138" s="79"/>
      <c r="N138" s="79"/>
      <c r="O138" s="79"/>
      <c r="P138" s="79"/>
      <c r="Q138" s="78"/>
      <c r="R138" s="78"/>
      <c r="S138" s="80"/>
      <c r="T138" s="78"/>
      <c r="AH138" s="567" t="e">
        <f ca="1">AH126-AH137</f>
        <v>#REF!</v>
      </c>
      <c r="AJ138" s="567" t="e">
        <f ca="1">AJ126-AJ137</f>
        <v>#REF!</v>
      </c>
      <c r="AK138" s="567" t="e">
        <f ca="1">AK126-AK137</f>
        <v>#REF!</v>
      </c>
    </row>
    <row r="139" spans="1:37" ht="14.4" thickBot="1">
      <c r="A139" s="81"/>
      <c r="B139" s="82" t="s">
        <v>211</v>
      </c>
      <c r="C139" s="33"/>
      <c r="D139" s="83"/>
      <c r="E139" s="77" t="s">
        <v>167</v>
      </c>
      <c r="F139" s="45"/>
      <c r="G139" s="45"/>
      <c r="H139" s="45"/>
      <c r="I139" s="45"/>
      <c r="J139" s="45"/>
      <c r="K139" s="45"/>
      <c r="L139" s="84" t="s">
        <v>147</v>
      </c>
      <c r="M139" s="84"/>
      <c r="N139" s="84"/>
      <c r="O139" s="84"/>
      <c r="P139" s="84"/>
      <c r="Q139" s="45"/>
      <c r="R139" s="85">
        <f ca="1">SUMIF($L$13:$L126,"",R$13:R126)</f>
        <v>4954.7299999999996</v>
      </c>
      <c r="S139" s="85"/>
      <c r="T139" s="85">
        <f ca="1">SUMIF($L$13:$L126,"",T$13:T126)</f>
        <v>90.254064821558643</v>
      </c>
    </row>
    <row r="140" spans="1:37">
      <c r="A140" s="86"/>
      <c r="B140" s="87" t="s">
        <v>210</v>
      </c>
      <c r="C140" s="33"/>
      <c r="D140" s="33"/>
      <c r="E140" s="64"/>
      <c r="F140" s="45"/>
      <c r="G140" s="45"/>
      <c r="H140" s="45"/>
      <c r="I140" s="45"/>
      <c r="J140" s="45"/>
      <c r="K140" s="45"/>
      <c r="L140" s="45"/>
      <c r="M140" s="45"/>
      <c r="N140" s="45"/>
      <c r="O140" s="45"/>
      <c r="P140" s="45"/>
      <c r="Q140" s="45"/>
      <c r="R140" s="45"/>
      <c r="S140" s="45"/>
      <c r="T140" s="45"/>
    </row>
    <row r="141" spans="1:37" ht="14.4" thickBot="1">
      <c r="A141" s="356"/>
      <c r="B141" s="88">
        <f ca="1">$F141/$C$2-($R141*$S$2+$T141*$T$2)</f>
        <v>-6.6199999982927693E-3</v>
      </c>
      <c r="C141" s="33"/>
      <c r="D141" s="83"/>
      <c r="E141" s="77" t="s">
        <v>166</v>
      </c>
      <c r="F141" s="522">
        <f ca="1">SUMIF($L$13:$L126,"ITEM",F$13:F126)</f>
        <v>7433.1</v>
      </c>
      <c r="G141" s="45"/>
      <c r="H141" s="45"/>
      <c r="I141" s="45"/>
      <c r="J141" s="45"/>
      <c r="K141" s="45"/>
      <c r="L141" s="84" t="s">
        <v>148</v>
      </c>
      <c r="M141" s="84"/>
      <c r="N141" s="84"/>
      <c r="O141" s="84"/>
      <c r="P141" s="84"/>
      <c r="Q141" s="85"/>
      <c r="R141" s="89">
        <f ca="1">SUMIF($L$13:$L126,"ITEM",R$13:R126)</f>
        <v>4954.7299999999996</v>
      </c>
      <c r="S141" s="90"/>
      <c r="T141" s="89">
        <f ca="1">SUMIF($L$13:$L126,"ITEM",T$13:T126)</f>
        <v>90.254064821558615</v>
      </c>
    </row>
    <row r="142" spans="1:37">
      <c r="A142" s="356"/>
      <c r="B142" s="91"/>
      <c r="C142" s="4"/>
      <c r="D142" s="33"/>
      <c r="E142" s="64"/>
      <c r="F142" s="45"/>
      <c r="G142" s="45"/>
      <c r="H142" s="45"/>
      <c r="I142" s="45"/>
      <c r="J142" s="45"/>
      <c r="K142" s="45"/>
      <c r="L142" s="45"/>
      <c r="M142" s="45"/>
      <c r="N142" s="45"/>
      <c r="O142" s="45"/>
      <c r="P142" s="45"/>
      <c r="Q142" s="45"/>
      <c r="R142" s="45"/>
      <c r="S142" s="45"/>
      <c r="T142" s="45"/>
    </row>
    <row r="143" spans="1:37" ht="14.4" thickBot="1">
      <c r="A143" s="356"/>
      <c r="B143" s="88">
        <f ca="1">$F143/$C$2-($R143*$S$2+$T143*$T$2)</f>
        <v>-6.6199999982927693E-3</v>
      </c>
      <c r="C143" s="33"/>
      <c r="D143" s="92"/>
      <c r="E143" s="93" t="s">
        <v>149</v>
      </c>
      <c r="F143" s="523">
        <f ca="1">SUMIF($L$13:$L126,"PAGE",F$13:F126)</f>
        <v>7433.1</v>
      </c>
      <c r="G143" s="5"/>
      <c r="H143" s="5"/>
      <c r="I143" s="5"/>
      <c r="J143" s="5"/>
      <c r="K143" s="45"/>
      <c r="L143" s="43" t="s">
        <v>150</v>
      </c>
      <c r="M143" s="43"/>
      <c r="N143" s="43"/>
      <c r="O143" s="43"/>
      <c r="P143" s="43"/>
      <c r="Q143" s="85"/>
      <c r="R143" s="94">
        <f ca="1">SUMIF($L$13:$L126,"PAGE",R$13:R126)</f>
        <v>4954.7299999999996</v>
      </c>
      <c r="S143" s="95"/>
      <c r="T143" s="94">
        <f ca="1">SUMIF($L$13:$L126,"PAGE",T$13:T126)</f>
        <v>90.254064821558615</v>
      </c>
    </row>
    <row r="144" spans="1:37">
      <c r="A144" s="356"/>
      <c r="B144" s="88"/>
      <c r="C144" s="33"/>
      <c r="D144" s="33"/>
      <c r="E144" s="64"/>
      <c r="F144" s="45"/>
      <c r="G144" s="45"/>
      <c r="H144" s="45"/>
      <c r="I144" s="45"/>
      <c r="J144" s="45"/>
      <c r="K144" s="45"/>
      <c r="L144" s="45"/>
      <c r="M144" s="45"/>
      <c r="N144" s="45"/>
      <c r="O144" s="45"/>
      <c r="P144" s="45"/>
      <c r="Q144" s="45"/>
      <c r="R144" s="45"/>
      <c r="S144" s="45"/>
      <c r="T144" s="45"/>
    </row>
    <row r="145" spans="1:37" ht="14.4" thickBot="1">
      <c r="A145" s="357" t="s">
        <v>151</v>
      </c>
      <c r="B145" s="88">
        <f ca="1">$F145/$C$2-($R145*$S$2+$T145*$T$2)</f>
        <v>-6.6199999982927693E-3</v>
      </c>
      <c r="C145" s="33"/>
      <c r="D145" s="2"/>
      <c r="E145" s="93" t="s">
        <v>152</v>
      </c>
      <c r="F145" s="524">
        <f ca="1">SUMIF($L$13:$L126,"SECT",F$13:F126)</f>
        <v>7433.1</v>
      </c>
      <c r="G145" s="5"/>
      <c r="H145" s="5"/>
      <c r="I145" s="5"/>
      <c r="J145" s="5"/>
      <c r="K145" s="45"/>
      <c r="L145" s="84" t="s">
        <v>153</v>
      </c>
      <c r="M145" s="84"/>
      <c r="N145" s="84"/>
      <c r="O145" s="84"/>
      <c r="P145" s="84"/>
      <c r="Q145" s="85"/>
      <c r="R145" s="96">
        <f ca="1">SUMIF($L$13:$L126,"SECT",R$13:R126)</f>
        <v>4954.7299999999996</v>
      </c>
      <c r="S145" s="85"/>
      <c r="T145" s="96">
        <f ca="1">SUMIF($L$13:$L126,"SECT",T$13:T126)</f>
        <v>90.254064821558615</v>
      </c>
    </row>
    <row r="146" spans="1:37" ht="14.4" thickBot="1">
      <c r="A146" s="97" t="s">
        <v>154</v>
      </c>
      <c r="B146" s="53"/>
      <c r="C146" s="34"/>
      <c r="D146" s="53"/>
      <c r="E146" s="39"/>
      <c r="F146" s="98"/>
      <c r="G146" s="54"/>
      <c r="H146" s="54"/>
      <c r="I146" s="54"/>
      <c r="J146" s="54"/>
      <c r="K146" s="54"/>
      <c r="L146" s="54"/>
      <c r="M146" s="54"/>
      <c r="N146" s="54"/>
      <c r="O146" s="54"/>
      <c r="P146" s="54"/>
      <c r="Q146" s="54"/>
      <c r="R146" s="98"/>
      <c r="S146" s="98"/>
      <c r="T146" s="98"/>
      <c r="U146" s="117"/>
      <c r="V146" s="456"/>
      <c r="W146" s="456"/>
      <c r="X146" s="456"/>
      <c r="Y146" s="456"/>
      <c r="Z146" s="456"/>
      <c r="AA146" s="456"/>
      <c r="AB146" s="456"/>
      <c r="AC146" s="117"/>
      <c r="AD146" s="117"/>
      <c r="AE146" s="117"/>
      <c r="AF146" s="117"/>
      <c r="AG146" s="117"/>
      <c r="AH146" s="117"/>
      <c r="AI146" s="117"/>
      <c r="AJ146" s="117"/>
      <c r="AK146" s="117"/>
    </row>
    <row r="147" spans="1:37" ht="14.4" thickTop="1">
      <c r="A147" s="99"/>
      <c r="B147" s="561" t="s">
        <v>70</v>
      </c>
      <c r="C147" s="6"/>
      <c r="D147" s="100"/>
      <c r="E147" s="101" t="s">
        <v>155</v>
      </c>
      <c r="F147" s="102"/>
      <c r="G147" s="102"/>
      <c r="H147" s="102"/>
      <c r="I147" s="102"/>
      <c r="J147" s="102"/>
      <c r="K147" s="102"/>
      <c r="L147" s="102"/>
      <c r="M147" s="102"/>
      <c r="N147" s="102"/>
      <c r="O147" s="103"/>
      <c r="P147" s="102"/>
      <c r="Q147" s="104"/>
      <c r="R147" s="105">
        <f ca="1">SUM(R148:R203)</f>
        <v>4954.7481900000002</v>
      </c>
      <c r="S147" s="106"/>
      <c r="T147" s="105">
        <f ca="1">SUM(T148:T203)</f>
        <v>90.245064821558614</v>
      </c>
    </row>
    <row r="148" spans="1:37">
      <c r="A148" s="107"/>
      <c r="B148" s="528">
        <v>1</v>
      </c>
      <c r="C148" s="6" t="s">
        <v>72</v>
      </c>
      <c r="D148" s="36" t="s">
        <v>73</v>
      </c>
      <c r="F148" s="108">
        <v>501</v>
      </c>
      <c r="O148" s="109"/>
      <c r="P148" s="36">
        <v>1</v>
      </c>
      <c r="R148" s="110">
        <f ca="1">SUMIF($H$13:$H$126,$F148,R$13:R$126)+Elec_Rates!R131</f>
        <v>428.48900000000003</v>
      </c>
      <c r="S148" s="111"/>
      <c r="T148" s="110">
        <f ca="1">SUMIF($H$13:$H$126,$F148,T$13:T$126)+Elec_Rates!T131</f>
        <v>3.4499999999999997</v>
      </c>
    </row>
    <row r="149" spans="1:37" hidden="1">
      <c r="A149" s="107"/>
      <c r="B149" s="528">
        <v>2</v>
      </c>
      <c r="C149" s="6" t="s">
        <v>72</v>
      </c>
      <c r="D149" s="36" t="s">
        <v>74</v>
      </c>
      <c r="F149" s="108">
        <v>505</v>
      </c>
      <c r="O149" s="109"/>
      <c r="P149" s="36">
        <v>1</v>
      </c>
      <c r="R149" s="110">
        <f>SUMIF($H$13:$H$126,$F149,R$13:R$126)+Elec_Rates!R132</f>
        <v>0</v>
      </c>
      <c r="S149" s="111"/>
      <c r="T149" s="110">
        <f>SUMIF($H$13:$H$126,$F149,T$13:T$126)+Elec_Rates!T132</f>
        <v>0</v>
      </c>
    </row>
    <row r="150" spans="1:37" hidden="1">
      <c r="A150" s="107"/>
      <c r="B150" s="528">
        <v>3</v>
      </c>
      <c r="C150" s="6" t="s">
        <v>72</v>
      </c>
      <c r="D150" s="36" t="s">
        <v>75</v>
      </c>
      <c r="F150" s="108">
        <v>510</v>
      </c>
      <c r="O150" s="109"/>
      <c r="P150" s="36">
        <v>2</v>
      </c>
      <c r="R150" s="110">
        <f>SUMIF($H$13:$H$126,$F150,R$13:R$126)+Elec_Rates!R133</f>
        <v>130.30000000000001</v>
      </c>
      <c r="S150" s="111"/>
      <c r="T150" s="110">
        <f>SUMIF($H$13:$H$126,$F150,T$13:T$126)+Elec_Rates!T133</f>
        <v>2.875</v>
      </c>
    </row>
    <row r="151" spans="1:37" hidden="1">
      <c r="A151" s="107"/>
      <c r="B151" s="528">
        <v>4</v>
      </c>
      <c r="C151" s="6" t="s">
        <v>72</v>
      </c>
      <c r="D151" s="36" t="s">
        <v>76</v>
      </c>
      <c r="F151" s="108">
        <v>511</v>
      </c>
      <c r="O151" s="109"/>
      <c r="P151" s="36">
        <v>2</v>
      </c>
      <c r="R151" s="110">
        <f>SUMIF($H$13:$H$126,$F151,R$13:R$126)+Elec_Rates!R134</f>
        <v>0</v>
      </c>
      <c r="S151" s="111"/>
      <c r="T151" s="110">
        <f>SUMIF($H$13:$H$126,$F151,T$13:T$126)+Elec_Rates!T134</f>
        <v>0</v>
      </c>
    </row>
    <row r="152" spans="1:37" hidden="1">
      <c r="A152" s="107"/>
      <c r="B152" s="528">
        <v>5</v>
      </c>
      <c r="C152" s="6" t="s">
        <v>72</v>
      </c>
      <c r="D152" s="36" t="s">
        <v>77</v>
      </c>
      <c r="F152" s="108">
        <v>512</v>
      </c>
      <c r="O152" s="109"/>
      <c r="P152" s="36">
        <v>2</v>
      </c>
      <c r="R152" s="110">
        <f>SUMIF($H$13:$H$126,$F152,R$13:R$126)+Elec_Rates!R135</f>
        <v>3222.94</v>
      </c>
      <c r="S152" s="111"/>
      <c r="T152" s="110">
        <f>SUMIF($H$13:$H$126,$F152,T$13:T$126)+Elec_Rates!T135</f>
        <v>23.407064821558627</v>
      </c>
    </row>
    <row r="153" spans="1:37" hidden="1">
      <c r="A153" s="107"/>
      <c r="B153" s="528">
        <v>6</v>
      </c>
      <c r="C153" s="6" t="s">
        <v>72</v>
      </c>
      <c r="D153" s="36" t="s">
        <v>78</v>
      </c>
      <c r="F153" s="108">
        <v>520</v>
      </c>
      <c r="O153" s="109"/>
      <c r="P153" s="36">
        <v>1</v>
      </c>
      <c r="R153" s="110">
        <f>SUMIF($H$13:$H$126,$F153,R$13:R$126)+Elec_Rates!R136</f>
        <v>0</v>
      </c>
      <c r="S153" s="111"/>
      <c r="T153" s="110">
        <f>SUMIF($H$13:$H$126,$F153,T$13:T$126)+Elec_Rates!T136</f>
        <v>0</v>
      </c>
    </row>
    <row r="154" spans="1:37" hidden="1">
      <c r="A154" s="107"/>
      <c r="B154" s="528">
        <v>7</v>
      </c>
      <c r="C154" s="6" t="s">
        <v>72</v>
      </c>
      <c r="D154" s="36" t="s">
        <v>79</v>
      </c>
      <c r="F154" s="108">
        <v>530</v>
      </c>
      <c r="O154" s="109"/>
      <c r="P154" s="36">
        <v>2</v>
      </c>
      <c r="R154" s="110">
        <f>SUMIF($H$13:$H$126,$F154,R$13:R$126)+Elec_Rates!R137</f>
        <v>0</v>
      </c>
      <c r="S154" s="111"/>
      <c r="T154" s="110">
        <f>SUMIF($H$13:$H$126,$F154,T$13:T$126)+Elec_Rates!T137</f>
        <v>0</v>
      </c>
    </row>
    <row r="155" spans="1:37" hidden="1">
      <c r="A155" s="107"/>
      <c r="B155" s="528">
        <v>8</v>
      </c>
      <c r="C155" s="6" t="s">
        <v>72</v>
      </c>
      <c r="D155" s="36" t="s">
        <v>80</v>
      </c>
      <c r="F155" s="108">
        <v>550</v>
      </c>
      <c r="O155" s="109"/>
      <c r="P155" s="36">
        <v>2</v>
      </c>
      <c r="R155" s="110">
        <f>SUMIF($H$13:$H$126,$F155,R$13:R$126)+Elec_Rates!R138</f>
        <v>0</v>
      </c>
      <c r="S155" s="111"/>
      <c r="T155" s="110">
        <f>SUMIF($H$13:$H$126,$F155,T$13:T$126)+Elec_Rates!T138</f>
        <v>0</v>
      </c>
    </row>
    <row r="156" spans="1:37" hidden="1">
      <c r="A156" s="107"/>
      <c r="B156" s="528">
        <v>9</v>
      </c>
      <c r="C156" s="6" t="s">
        <v>72</v>
      </c>
      <c r="D156" s="36" t="s">
        <v>81</v>
      </c>
      <c r="F156" s="108">
        <v>570</v>
      </c>
      <c r="O156" s="109"/>
      <c r="P156" s="36">
        <v>2</v>
      </c>
      <c r="R156" s="110">
        <f>SUMIF($H$13:$H$126,$F156,R$13:R$126)+Elec_Rates!R139</f>
        <v>0</v>
      </c>
      <c r="S156" s="111"/>
      <c r="T156" s="110">
        <f>SUMIF($H$13:$H$126,$F156,T$13:T$126)+Elec_Rates!T139</f>
        <v>0</v>
      </c>
    </row>
    <row r="157" spans="1:37" hidden="1">
      <c r="A157" s="107"/>
      <c r="B157" s="528">
        <v>10</v>
      </c>
      <c r="C157" s="6" t="s">
        <v>72</v>
      </c>
      <c r="D157" s="36" t="s">
        <v>82</v>
      </c>
      <c r="F157" s="108">
        <v>615</v>
      </c>
      <c r="O157" s="109"/>
      <c r="P157" s="36">
        <v>2</v>
      </c>
      <c r="R157" s="110">
        <f>SUMIF($H$13:$H$126,$F157,R$13:R$126)+Elec_Rates!R140</f>
        <v>0</v>
      </c>
      <c r="S157" s="111"/>
      <c r="T157" s="110">
        <f>SUMIF($H$13:$H$126,$F157,T$13:T$126)+Elec_Rates!T140</f>
        <v>0</v>
      </c>
    </row>
    <row r="158" spans="1:37">
      <c r="A158" s="107"/>
      <c r="B158" s="528">
        <v>11</v>
      </c>
      <c r="C158" s="6" t="s">
        <v>72</v>
      </c>
      <c r="D158" s="36" t="s">
        <v>84</v>
      </c>
      <c r="F158" s="108">
        <v>616</v>
      </c>
      <c r="O158" s="109"/>
      <c r="P158" s="36">
        <v>2</v>
      </c>
      <c r="R158" s="110">
        <f>SUMIF($H$13:$H$126,$F158,R$13:R$126)+Elec_Rates!R141</f>
        <v>224</v>
      </c>
      <c r="S158" s="111"/>
      <c r="T158" s="110">
        <f>SUMIF($H$13:$H$126,$F158,T$13:T$126)+Elec_Rates!T141</f>
        <v>3.335</v>
      </c>
    </row>
    <row r="159" spans="1:37" hidden="1">
      <c r="A159" s="107"/>
      <c r="B159" s="528">
        <v>12</v>
      </c>
      <c r="C159" s="6" t="s">
        <v>72</v>
      </c>
      <c r="D159" s="36" t="s">
        <v>85</v>
      </c>
      <c r="F159" s="108">
        <v>617</v>
      </c>
      <c r="O159" s="109"/>
      <c r="P159" s="36">
        <v>2</v>
      </c>
      <c r="R159" s="110">
        <f>SUMIF($H$13:$H$126,$F159,R$13:R$126)+Elec_Rates!R142</f>
        <v>288</v>
      </c>
      <c r="S159" s="111"/>
      <c r="T159" s="110">
        <f>SUMIF($H$13:$H$126,$F159,T$13:T$126)+Elec_Rates!T142</f>
        <v>8.2799999999999994</v>
      </c>
    </row>
    <row r="160" spans="1:37">
      <c r="A160" s="107"/>
      <c r="B160" s="528">
        <v>13</v>
      </c>
      <c r="C160" s="6" t="s">
        <v>72</v>
      </c>
      <c r="D160" s="36" t="s">
        <v>156</v>
      </c>
      <c r="F160" s="108">
        <v>620</v>
      </c>
      <c r="O160" s="109"/>
      <c r="P160" s="36">
        <v>2</v>
      </c>
      <c r="R160" s="110">
        <f>SUMIF($H$13:$H$126,$F160,R$13:R$126)+Elec_Rates!R143</f>
        <v>70.16</v>
      </c>
      <c r="S160" s="111"/>
      <c r="T160" s="110">
        <f>SUMIF($H$13:$H$126,$F160,T$13:T$126)+Elec_Rates!T143</f>
        <v>7.911999999999999</v>
      </c>
    </row>
    <row r="161" spans="1:20">
      <c r="A161" s="107"/>
      <c r="B161" s="528">
        <v>14</v>
      </c>
      <c r="C161" s="6" t="s">
        <v>72</v>
      </c>
      <c r="D161" s="36" t="s">
        <v>87</v>
      </c>
      <c r="F161" s="108">
        <v>650</v>
      </c>
      <c r="O161" s="109"/>
      <c r="P161" s="36">
        <v>1</v>
      </c>
      <c r="R161" s="110">
        <f ca="1">SUMIF($H$13:$H$126,$F161,R$13:R$126)+Elec_Rates!R144</f>
        <v>396.50918999999999</v>
      </c>
      <c r="S161" s="111"/>
      <c r="T161" s="110">
        <f ca="1">SUMIF($H$13:$H$126,$F161,T$13:T$126)+Elec_Rates!T144</f>
        <v>4.7609999999999992</v>
      </c>
    </row>
    <row r="162" spans="1:20" hidden="1">
      <c r="A162" s="107"/>
      <c r="B162" s="528">
        <v>15</v>
      </c>
      <c r="C162" s="6" t="s">
        <v>72</v>
      </c>
      <c r="D162" s="36" t="s">
        <v>88</v>
      </c>
      <c r="F162" s="108">
        <v>651</v>
      </c>
      <c r="O162" s="109"/>
      <c r="P162" s="36">
        <v>1</v>
      </c>
      <c r="R162" s="110">
        <f>SUMIF($H$13:$H$126,$F162,R$13:R$126)+Elec_Rates!R145</f>
        <v>0</v>
      </c>
      <c r="S162" s="111"/>
      <c r="T162" s="110">
        <f>SUMIF($H$13:$H$126,$F162,T$13:T$126)+Elec_Rates!T145</f>
        <v>0</v>
      </c>
    </row>
    <row r="163" spans="1:20" hidden="1">
      <c r="A163" s="107"/>
      <c r="B163" s="528">
        <v>16</v>
      </c>
      <c r="C163" s="6" t="s">
        <v>72</v>
      </c>
      <c r="D163" s="36" t="s">
        <v>89</v>
      </c>
      <c r="F163" s="108">
        <v>652</v>
      </c>
      <c r="O163" s="109"/>
      <c r="P163" s="36">
        <v>1</v>
      </c>
      <c r="R163" s="110">
        <f>SUMIF($H$13:$H$126,$F163,R$13:R$126)+Elec_Rates!R146</f>
        <v>0</v>
      </c>
      <c r="S163" s="111"/>
      <c r="T163" s="110">
        <f>SUMIF($H$13:$H$126,$F163,T$13:T$126)+Elec_Rates!T146</f>
        <v>0</v>
      </c>
    </row>
    <row r="164" spans="1:20" hidden="1">
      <c r="A164" s="107"/>
      <c r="B164" s="528">
        <v>17</v>
      </c>
      <c r="C164" s="6" t="s">
        <v>72</v>
      </c>
      <c r="D164" s="36" t="s">
        <v>90</v>
      </c>
      <c r="F164" s="108">
        <v>654</v>
      </c>
      <c r="O164" s="109"/>
      <c r="P164" s="36">
        <v>1</v>
      </c>
      <c r="R164" s="110">
        <f>SUMIF($H$13:$H$126,$F164,R$13:R$126)+Elec_Rates!R147</f>
        <v>0</v>
      </c>
      <c r="S164" s="111"/>
      <c r="T164" s="110">
        <f>SUMIF($H$13:$H$126,$F164,T$13:T$126)+Elec_Rates!T147</f>
        <v>0</v>
      </c>
    </row>
    <row r="165" spans="1:20" hidden="1">
      <c r="A165" s="107"/>
      <c r="B165" s="528">
        <v>18</v>
      </c>
      <c r="C165" s="6" t="s">
        <v>72</v>
      </c>
      <c r="D165" s="36" t="s">
        <v>91</v>
      </c>
      <c r="F165" s="108">
        <v>675</v>
      </c>
      <c r="O165" s="109"/>
      <c r="P165" s="36">
        <v>1</v>
      </c>
      <c r="R165" s="110">
        <f>SUMIF($H$13:$H$126,$F165,R$13:R$126)+Elec_Rates!R148</f>
        <v>0</v>
      </c>
      <c r="S165" s="111"/>
      <c r="T165" s="110">
        <f>SUMIF($H$13:$H$126,$F165,T$13:T$126)+Elec_Rates!T148</f>
        <v>0</v>
      </c>
    </row>
    <row r="166" spans="1:20" hidden="1">
      <c r="A166" s="107"/>
      <c r="B166" s="528">
        <v>19</v>
      </c>
      <c r="C166" s="6" t="s">
        <v>72</v>
      </c>
      <c r="D166" s="36" t="s">
        <v>92</v>
      </c>
      <c r="F166" s="108">
        <v>676</v>
      </c>
      <c r="O166" s="109"/>
      <c r="P166" s="36">
        <v>1</v>
      </c>
      <c r="R166" s="110">
        <f>SUMIF($H$13:$H$126,$F166,R$13:R$126)+Elec_Rates!R149</f>
        <v>0</v>
      </c>
      <c r="S166" s="111"/>
      <c r="T166" s="110">
        <f>SUMIF($H$13:$H$126,$F166,T$13:T$126)+Elec_Rates!T149</f>
        <v>0</v>
      </c>
    </row>
    <row r="167" spans="1:20" hidden="1">
      <c r="A167" s="107"/>
      <c r="B167" s="528">
        <v>20</v>
      </c>
      <c r="C167" s="6" t="s">
        <v>72</v>
      </c>
      <c r="D167" s="36" t="s">
        <v>93</v>
      </c>
      <c r="F167" s="108">
        <v>680</v>
      </c>
      <c r="O167" s="109"/>
      <c r="P167" s="36">
        <v>1</v>
      </c>
      <c r="R167" s="110">
        <f>SUMIF($H$13:$H$126,$F167,R$13:R$126)+Elec_Rates!R150</f>
        <v>0</v>
      </c>
      <c r="S167" s="111"/>
      <c r="T167" s="110">
        <f>SUMIF($H$13:$H$126,$F167,T$13:T$126)+Elec_Rates!T150</f>
        <v>0</v>
      </c>
    </row>
    <row r="168" spans="1:20" hidden="1">
      <c r="A168" s="107"/>
      <c r="B168" s="528">
        <v>21</v>
      </c>
      <c r="C168" s="6" t="s">
        <v>72</v>
      </c>
      <c r="D168" s="36" t="s">
        <v>95</v>
      </c>
      <c r="F168" s="108">
        <v>681</v>
      </c>
      <c r="O168" s="109"/>
      <c r="P168" s="36">
        <v>1</v>
      </c>
      <c r="R168" s="110">
        <f>SUMIF($H$13:$H$126,$F168,R$13:R$126)+Elec_Rates!R151</f>
        <v>0</v>
      </c>
      <c r="S168" s="111"/>
      <c r="T168" s="110">
        <f>SUMIF($H$13:$H$126,$F168,T$13:T$126)+Elec_Rates!T151</f>
        <v>0</v>
      </c>
    </row>
    <row r="169" spans="1:20" hidden="1">
      <c r="A169" s="107"/>
      <c r="B169" s="528">
        <v>22</v>
      </c>
      <c r="C169" s="6" t="s">
        <v>72</v>
      </c>
      <c r="D169" s="36" t="s">
        <v>96</v>
      </c>
      <c r="F169" s="108">
        <v>690</v>
      </c>
      <c r="O169" s="109"/>
      <c r="P169" s="36">
        <v>1</v>
      </c>
      <c r="R169" s="110">
        <f>SUMIF($H$13:$H$126,$F169,R$13:R$126)+Elec_Rates!R152</f>
        <v>174.34999999999997</v>
      </c>
      <c r="S169" s="111"/>
      <c r="T169" s="110">
        <f>SUMIF($H$13:$H$126,$F169,T$13:T$126)+Elec_Rates!T152</f>
        <v>13.224999999999998</v>
      </c>
    </row>
    <row r="170" spans="1:20" hidden="1">
      <c r="A170" s="107"/>
      <c r="B170" s="528">
        <v>23</v>
      </c>
      <c r="C170" s="6" t="s">
        <v>72</v>
      </c>
      <c r="D170" s="36" t="s">
        <v>97</v>
      </c>
      <c r="F170" s="108">
        <v>700</v>
      </c>
      <c r="O170" s="109"/>
      <c r="P170" s="36">
        <v>1</v>
      </c>
      <c r="R170" s="110">
        <f>SUMIF($H$13:$H$126,$F170,R$13:R$126)+Elec_Rates!R153</f>
        <v>0</v>
      </c>
      <c r="S170" s="111"/>
      <c r="T170" s="110">
        <f>SUMIF($H$13:$H$126,$F170,T$13:T$126)+Elec_Rates!T153</f>
        <v>0</v>
      </c>
    </row>
    <row r="171" spans="1:20" hidden="1">
      <c r="A171" s="107"/>
      <c r="B171" s="528">
        <v>24</v>
      </c>
      <c r="C171" s="6" t="s">
        <v>72</v>
      </c>
      <c r="D171" s="36" t="s">
        <v>98</v>
      </c>
      <c r="F171" s="108">
        <v>705</v>
      </c>
      <c r="O171" s="109"/>
      <c r="P171" s="36">
        <v>3</v>
      </c>
      <c r="R171" s="110">
        <f>SUMIF($H$13:$H$126,$F171,R$13:R$126)+Elec_Rates!R154</f>
        <v>0</v>
      </c>
      <c r="S171" s="111"/>
      <c r="T171" s="110">
        <f>SUMIF($H$13:$H$126,$F171,T$13:T$126)+Elec_Rates!T154</f>
        <v>0</v>
      </c>
    </row>
    <row r="172" spans="1:20" hidden="1">
      <c r="A172" s="107"/>
      <c r="B172" s="528">
        <v>25</v>
      </c>
      <c r="C172" s="6" t="s">
        <v>72</v>
      </c>
      <c r="D172" s="36" t="s">
        <v>99</v>
      </c>
      <c r="F172" s="108">
        <v>706</v>
      </c>
      <c r="O172" s="109"/>
      <c r="P172" s="36">
        <v>3</v>
      </c>
      <c r="R172" s="110">
        <f>SUMIF($H$13:$H$126,$F172,R$13:R$126)+Elec_Rates!R155</f>
        <v>0</v>
      </c>
      <c r="S172" s="111"/>
      <c r="T172" s="110">
        <f>SUMIF($H$13:$H$126,$F172,T$13:T$126)+Elec_Rates!T155</f>
        <v>0</v>
      </c>
    </row>
    <row r="173" spans="1:20" hidden="1">
      <c r="A173" s="107"/>
      <c r="B173" s="528">
        <v>26</v>
      </c>
      <c r="C173" s="6" t="s">
        <v>72</v>
      </c>
      <c r="D173" s="36" t="s">
        <v>100</v>
      </c>
      <c r="F173" s="108">
        <v>725</v>
      </c>
      <c r="O173" s="109"/>
      <c r="P173" s="36">
        <v>3</v>
      </c>
      <c r="R173" s="110">
        <f>SUMIF($H$13:$H$126,$F173,R$13:R$126)+Elec_Rates!R156</f>
        <v>0</v>
      </c>
      <c r="S173" s="111"/>
      <c r="T173" s="110">
        <f>SUMIF($H$13:$H$126,$F173,T$13:T$126)+Elec_Rates!T156</f>
        <v>0</v>
      </c>
    </row>
    <row r="174" spans="1:20" hidden="1">
      <c r="A174" s="107"/>
      <c r="B174" s="528">
        <v>27</v>
      </c>
      <c r="C174" s="6" t="s">
        <v>72</v>
      </c>
      <c r="D174" s="36" t="s">
        <v>101</v>
      </c>
      <c r="F174" s="108">
        <v>726</v>
      </c>
      <c r="O174" s="109"/>
      <c r="P174" s="36">
        <v>3</v>
      </c>
      <c r="R174" s="110">
        <f>SUMIF($H$13:$H$126,$F174,R$13:R$126)+Elec_Rates!R157</f>
        <v>0</v>
      </c>
      <c r="S174" s="111"/>
      <c r="T174" s="110">
        <f>SUMIF($H$13:$H$126,$F174,T$13:T$126)+Elec_Rates!T157</f>
        <v>0</v>
      </c>
    </row>
    <row r="175" spans="1:20" hidden="1">
      <c r="A175" s="107"/>
      <c r="B175" s="528">
        <v>28</v>
      </c>
      <c r="C175" s="6" t="s">
        <v>72</v>
      </c>
      <c r="D175" s="36" t="s">
        <v>102</v>
      </c>
      <c r="F175" s="108">
        <v>750</v>
      </c>
      <c r="O175" s="109"/>
      <c r="P175" s="36">
        <v>3</v>
      </c>
      <c r="R175" s="110">
        <f>SUMIF($H$13:$H$126,$F175,R$13:R$126)+Elec_Rates!R158</f>
        <v>0</v>
      </c>
      <c r="S175" s="111"/>
      <c r="T175" s="110">
        <f>SUMIF($H$13:$H$126,$F175,T$13:T$126)+Elec_Rates!T158</f>
        <v>0</v>
      </c>
    </row>
    <row r="176" spans="1:20" hidden="1">
      <c r="A176" s="107"/>
      <c r="B176" s="528">
        <v>29</v>
      </c>
      <c r="C176" s="6" t="s">
        <v>72</v>
      </c>
      <c r="D176" s="36" t="s">
        <v>103</v>
      </c>
      <c r="F176" s="108">
        <v>751</v>
      </c>
      <c r="O176" s="109"/>
      <c r="P176" s="36">
        <v>3</v>
      </c>
      <c r="R176" s="110">
        <f>SUMIF($H$13:$H$126,$F176,R$13:R$126)+Elec_Rates!R159</f>
        <v>0</v>
      </c>
      <c r="S176" s="111"/>
      <c r="T176" s="110">
        <f>SUMIF($H$13:$H$126,$F176,T$13:T$126)+Elec_Rates!T159</f>
        <v>0</v>
      </c>
    </row>
    <row r="177" spans="1:20" hidden="1">
      <c r="A177" s="107"/>
      <c r="B177" s="528">
        <v>30</v>
      </c>
      <c r="C177" s="6" t="s">
        <v>72</v>
      </c>
      <c r="D177" s="36" t="s">
        <v>104</v>
      </c>
      <c r="F177" s="108">
        <v>752</v>
      </c>
      <c r="O177" s="109"/>
      <c r="P177" s="36">
        <v>3</v>
      </c>
      <c r="R177" s="110">
        <f>SUMIF($H$13:$H$126,$F177,R$13:R$126)+Elec_Rates!R160</f>
        <v>0</v>
      </c>
      <c r="S177" s="111"/>
      <c r="T177" s="110">
        <f>SUMIF($H$13:$H$126,$F177,T$13:T$126)+Elec_Rates!T160</f>
        <v>0</v>
      </c>
    </row>
    <row r="178" spans="1:20" hidden="1">
      <c r="A178" s="107"/>
      <c r="B178" s="528">
        <v>31</v>
      </c>
      <c r="C178" s="6" t="s">
        <v>72</v>
      </c>
      <c r="D178" s="616" t="s">
        <v>268</v>
      </c>
      <c r="F178" s="108">
        <v>753</v>
      </c>
      <c r="O178" s="109"/>
      <c r="P178" s="36">
        <v>3</v>
      </c>
      <c r="R178" s="110">
        <f>SUMIF($H$13:$H$126,$F178,R$13:R$126)+Elec_Rates!R161</f>
        <v>0</v>
      </c>
      <c r="S178" s="111"/>
      <c r="T178" s="110">
        <f>SUMIF($H$13:$H$126,$F178,T$13:T$126)+Elec_Rates!T161</f>
        <v>0</v>
      </c>
    </row>
    <row r="179" spans="1:20" hidden="1">
      <c r="A179" s="107"/>
      <c r="B179" s="528">
        <v>32</v>
      </c>
      <c r="C179" s="6" t="s">
        <v>72</v>
      </c>
      <c r="D179" s="36" t="s">
        <v>106</v>
      </c>
      <c r="F179" s="108">
        <v>770</v>
      </c>
      <c r="O179" s="109"/>
      <c r="P179" s="36">
        <v>3</v>
      </c>
      <c r="R179" s="110">
        <f>SUMIF($H$13:$H$126,$F179,R$13:R$126)+Elec_Rates!R162</f>
        <v>0</v>
      </c>
      <c r="S179" s="111"/>
      <c r="T179" s="110">
        <f>SUMIF($H$13:$H$126,$F179,T$13:T$126)+Elec_Rates!T162</f>
        <v>0</v>
      </c>
    </row>
    <row r="180" spans="1:20" hidden="1">
      <c r="A180" s="107"/>
      <c r="B180" s="528">
        <v>33</v>
      </c>
      <c r="C180" s="6" t="s">
        <v>72</v>
      </c>
      <c r="D180" s="36" t="s">
        <v>107</v>
      </c>
      <c r="F180" s="108">
        <v>790</v>
      </c>
      <c r="O180" s="109"/>
      <c r="P180" s="36">
        <v>3</v>
      </c>
      <c r="R180" s="110">
        <f>SUMIF($H$13:$H$126,$F180,R$13:R$126)+Elec_Rates!R163</f>
        <v>0</v>
      </c>
      <c r="S180" s="111"/>
      <c r="T180" s="110">
        <f>SUMIF($H$13:$H$126,$F180,T$13:T$126)+Elec_Rates!T163</f>
        <v>0</v>
      </c>
    </row>
    <row r="181" spans="1:20" hidden="1">
      <c r="A181" s="107"/>
      <c r="B181" s="528">
        <v>34</v>
      </c>
      <c r="C181" s="6" t="s">
        <v>72</v>
      </c>
      <c r="D181" s="36" t="s">
        <v>108</v>
      </c>
      <c r="F181" s="108">
        <v>791</v>
      </c>
      <c r="O181" s="109"/>
      <c r="P181" s="36">
        <v>3</v>
      </c>
      <c r="R181" s="110">
        <f>SUMIF($H$13:$H$126,$F181,R$13:R$126)+Elec_Rates!R164</f>
        <v>0</v>
      </c>
      <c r="S181" s="111"/>
      <c r="T181" s="110">
        <f>SUMIF($H$13:$H$126,$F181,T$13:T$126)+Elec_Rates!T164</f>
        <v>0</v>
      </c>
    </row>
    <row r="182" spans="1:20" hidden="1">
      <c r="A182" s="107"/>
      <c r="B182" s="528">
        <v>35</v>
      </c>
      <c r="C182" s="6" t="s">
        <v>72</v>
      </c>
      <c r="D182" s="36" t="s">
        <v>109</v>
      </c>
      <c r="F182" s="108">
        <v>810</v>
      </c>
      <c r="O182" s="109"/>
      <c r="P182" s="36">
        <v>3</v>
      </c>
      <c r="R182" s="110">
        <f>SUMIF($H$13:$H$126,$F182,R$13:R$126)+Elec_Rates!R165</f>
        <v>0</v>
      </c>
      <c r="S182" s="111"/>
      <c r="T182" s="110">
        <f>SUMIF($H$13:$H$126,$F182,T$13:T$126)+Elec_Rates!T165</f>
        <v>0</v>
      </c>
    </row>
    <row r="183" spans="1:20" hidden="1">
      <c r="A183" s="107"/>
      <c r="B183" s="528">
        <v>36</v>
      </c>
      <c r="C183" s="6" t="s">
        <v>72</v>
      </c>
      <c r="D183" s="36" t="s">
        <v>110</v>
      </c>
      <c r="F183" s="108">
        <v>815</v>
      </c>
      <c r="O183" s="109"/>
      <c r="P183" s="36">
        <v>3</v>
      </c>
      <c r="R183" s="110">
        <f>SUMIF($H$13:$H$126,$F183,R$13:R$126)+Elec_Rates!R166</f>
        <v>0</v>
      </c>
      <c r="S183" s="111"/>
      <c r="T183" s="110">
        <f>SUMIF($H$13:$H$126,$F183,T$13:T$126)+Elec_Rates!T166</f>
        <v>0</v>
      </c>
    </row>
    <row r="184" spans="1:20" hidden="1">
      <c r="A184" s="107"/>
      <c r="B184" s="528">
        <v>37</v>
      </c>
      <c r="C184" s="6" t="s">
        <v>72</v>
      </c>
      <c r="D184" s="36" t="s">
        <v>111</v>
      </c>
      <c r="F184" s="108">
        <v>820</v>
      </c>
      <c r="O184" s="109"/>
      <c r="P184" s="36">
        <v>2</v>
      </c>
      <c r="R184" s="110">
        <f>SUMIF($H$13:$H$126,$F184,R$13:R$126)+Elec_Rates!R167</f>
        <v>0</v>
      </c>
      <c r="S184" s="111"/>
      <c r="T184" s="110">
        <f>SUMIF($H$13:$H$126,$F184,T$13:T$126)+Elec_Rates!T167</f>
        <v>0</v>
      </c>
    </row>
    <row r="185" spans="1:20" hidden="1">
      <c r="A185" s="107"/>
      <c r="B185" s="528">
        <v>38</v>
      </c>
      <c r="C185" s="6" t="s">
        <v>72</v>
      </c>
      <c r="D185" s="36" t="s">
        <v>112</v>
      </c>
      <c r="F185" s="108">
        <v>821</v>
      </c>
      <c r="O185" s="109"/>
      <c r="P185" s="36">
        <v>3</v>
      </c>
      <c r="R185" s="110">
        <f>SUMIF($H$13:$H$126,$F185,R$13:R$126)+Elec_Rates!R168</f>
        <v>0</v>
      </c>
      <c r="S185" s="111"/>
      <c r="T185" s="110">
        <f>SUMIF($H$13:$H$126,$F185,T$13:T$126)+Elec_Rates!T168</f>
        <v>0</v>
      </c>
    </row>
    <row r="186" spans="1:20" hidden="1">
      <c r="A186" s="107"/>
      <c r="B186" s="528">
        <v>39</v>
      </c>
      <c r="C186" s="6" t="s">
        <v>72</v>
      </c>
      <c r="D186" s="36" t="s">
        <v>113</v>
      </c>
      <c r="F186" s="108">
        <v>835</v>
      </c>
      <c r="O186" s="109"/>
      <c r="P186" s="36">
        <v>3</v>
      </c>
      <c r="R186" s="110">
        <f>SUMIF($H$13:$H$126,$F186,R$13:R$126)+Elec_Rates!R169</f>
        <v>0</v>
      </c>
      <c r="S186" s="111"/>
      <c r="T186" s="110">
        <f>SUMIF($H$13:$H$126,$F186,T$13:T$126)+Elec_Rates!T169</f>
        <v>0</v>
      </c>
    </row>
    <row r="187" spans="1:20" hidden="1">
      <c r="A187" s="107"/>
      <c r="B187" s="528">
        <v>40</v>
      </c>
      <c r="C187" s="6" t="s">
        <v>72</v>
      </c>
      <c r="D187" s="36" t="s">
        <v>114</v>
      </c>
      <c r="F187" s="108">
        <v>845</v>
      </c>
      <c r="O187" s="109"/>
      <c r="P187" s="36">
        <v>2</v>
      </c>
      <c r="R187" s="110">
        <f>SUMIF($H$13:$H$126,$F187,R$13:R$126)+Elec_Rates!R170</f>
        <v>0</v>
      </c>
      <c r="S187" s="111"/>
      <c r="T187" s="110">
        <f>SUMIF($H$13:$H$126,$F187,T$13:T$126)+Elec_Rates!T170</f>
        <v>0</v>
      </c>
    </row>
    <row r="188" spans="1:20" hidden="1">
      <c r="A188" s="107"/>
      <c r="B188" s="528">
        <v>41</v>
      </c>
      <c r="C188" s="6" t="s">
        <v>72</v>
      </c>
      <c r="D188" s="36" t="s">
        <v>116</v>
      </c>
      <c r="F188" s="108">
        <v>855</v>
      </c>
      <c r="O188" s="109"/>
      <c r="P188" s="36">
        <v>3</v>
      </c>
      <c r="R188" s="110">
        <f>SUMIF($H$13:$H$126,$F188,R$13:R$126)+Elec_Rates!R171</f>
        <v>0</v>
      </c>
      <c r="S188" s="111"/>
      <c r="T188" s="110">
        <f>SUMIF($H$13:$H$126,$F188,T$13:T$126)+Elec_Rates!T171</f>
        <v>0</v>
      </c>
    </row>
    <row r="189" spans="1:20" hidden="1">
      <c r="A189" s="107"/>
      <c r="B189" s="528">
        <v>42</v>
      </c>
      <c r="C189" s="6" t="s">
        <v>72</v>
      </c>
      <c r="D189" s="36" t="s">
        <v>117</v>
      </c>
      <c r="F189" s="108">
        <v>856</v>
      </c>
      <c r="O189" s="109"/>
      <c r="P189" s="36">
        <v>3</v>
      </c>
      <c r="R189" s="110">
        <f>SUMIF($H$13:$H$126,$F189,R$13:R$126)+Elec_Rates!R172</f>
        <v>0</v>
      </c>
      <c r="S189" s="111"/>
      <c r="T189" s="110">
        <f>SUMIF($H$13:$H$126,$F189,T$13:T$126)+Elec_Rates!T172</f>
        <v>0</v>
      </c>
    </row>
    <row r="190" spans="1:20" hidden="1">
      <c r="A190" s="107"/>
      <c r="B190" s="528">
        <v>43</v>
      </c>
      <c r="C190" s="6" t="s">
        <v>72</v>
      </c>
      <c r="D190" s="36" t="s">
        <v>249</v>
      </c>
      <c r="F190" s="108">
        <v>857</v>
      </c>
      <c r="O190" s="109"/>
      <c r="P190" s="36">
        <v>3</v>
      </c>
      <c r="R190" s="110">
        <f>SUMIF($H$13:$H$126,$F190,R$13:R$126)+Elec_Rates!R173</f>
        <v>0</v>
      </c>
      <c r="S190" s="111"/>
      <c r="T190" s="110">
        <f>SUMIF($H$13:$H$126,$F190,T$13:T$126)+Elec_Rates!T173</f>
        <v>0</v>
      </c>
    </row>
    <row r="191" spans="1:20" hidden="1">
      <c r="A191" s="107"/>
      <c r="B191" s="528">
        <v>44</v>
      </c>
      <c r="C191" s="6" t="s">
        <v>72</v>
      </c>
      <c r="D191" s="36" t="s">
        <v>118</v>
      </c>
      <c r="F191" s="108">
        <v>858</v>
      </c>
      <c r="O191" s="109"/>
      <c r="P191" s="36">
        <v>3</v>
      </c>
      <c r="R191" s="110">
        <f>SUMIF($H$13:$H$126,$F191,R$13:R$126)+Elec_Rates!R174</f>
        <v>0</v>
      </c>
      <c r="S191" s="111"/>
      <c r="T191" s="110">
        <f>SUMIF($H$13:$H$126,$F191,T$13:T$126)+Elec_Rates!T174</f>
        <v>0</v>
      </c>
    </row>
    <row r="192" spans="1:20" hidden="1">
      <c r="A192" s="107"/>
      <c r="B192" s="528">
        <v>45</v>
      </c>
      <c r="C192" s="6" t="s">
        <v>72</v>
      </c>
      <c r="D192" s="36" t="s">
        <v>119</v>
      </c>
      <c r="F192" s="108">
        <v>865</v>
      </c>
      <c r="O192" s="109"/>
      <c r="P192" s="36">
        <v>3</v>
      </c>
      <c r="R192" s="110">
        <f>SUMIF($H$13:$H$126,$F192,R$13:R$126)+Elec_Rates!R175</f>
        <v>0</v>
      </c>
      <c r="S192" s="111"/>
      <c r="T192" s="110">
        <f>SUMIF($H$13:$H$126,$F192,T$13:T$126)+Elec_Rates!T175</f>
        <v>0</v>
      </c>
    </row>
    <row r="193" spans="1:37" hidden="1">
      <c r="A193" s="107"/>
      <c r="B193" s="528">
        <v>46</v>
      </c>
      <c r="C193" s="6" t="s">
        <v>72</v>
      </c>
      <c r="D193" s="36" t="s">
        <v>120</v>
      </c>
      <c r="F193" s="108">
        <v>870</v>
      </c>
      <c r="O193" s="109"/>
      <c r="P193" s="36">
        <v>4</v>
      </c>
      <c r="R193" s="110">
        <f>SUMIF($H$13:$H$126,$F193,R$13:R$126)+Elec_Rates!R176</f>
        <v>0</v>
      </c>
      <c r="S193" s="111"/>
      <c r="T193" s="110">
        <f>SUMIF($H$13:$H$126,$F193,T$13:T$126)+Elec_Rates!T176</f>
        <v>0</v>
      </c>
    </row>
    <row r="194" spans="1:37">
      <c r="A194" s="107"/>
      <c r="B194" s="528">
        <v>47</v>
      </c>
      <c r="C194" s="6" t="s">
        <v>72</v>
      </c>
      <c r="D194" s="36" t="s">
        <v>121</v>
      </c>
      <c r="F194" s="108">
        <v>875</v>
      </c>
      <c r="O194" s="109"/>
      <c r="P194" s="36">
        <v>1</v>
      </c>
      <c r="R194" s="110">
        <f>SUMIF($H$13:$H$126,$F194,R$13:R$126)+Elec_Rates!R177</f>
        <v>0</v>
      </c>
      <c r="S194" s="111"/>
      <c r="T194" s="110">
        <f>SUMIF($H$13:$H$126,$F194,T$13:T$126)+Elec_Rates!T177</f>
        <v>0</v>
      </c>
    </row>
    <row r="195" spans="1:37" hidden="1">
      <c r="A195" s="107"/>
      <c r="B195" s="528">
        <v>48</v>
      </c>
      <c r="C195" s="6" t="s">
        <v>72</v>
      </c>
      <c r="D195" s="36" t="s">
        <v>122</v>
      </c>
      <c r="F195" s="108">
        <v>880</v>
      </c>
      <c r="O195" s="109"/>
      <c r="P195" s="36">
        <v>3</v>
      </c>
      <c r="R195" s="110">
        <f>SUMIF($H$13:$H$126,$F195,R$13:R$126)+Elec_Rates!R178</f>
        <v>0</v>
      </c>
      <c r="S195" s="111"/>
      <c r="T195" s="110">
        <f>SUMIF($H$13:$H$126,$F195,T$13:T$126)+Elec_Rates!T178</f>
        <v>0</v>
      </c>
    </row>
    <row r="196" spans="1:37" hidden="1">
      <c r="A196" s="107"/>
      <c r="B196" s="528">
        <v>49</v>
      </c>
      <c r="C196" s="6" t="s">
        <v>72</v>
      </c>
      <c r="D196" s="36" t="s">
        <v>123</v>
      </c>
      <c r="F196" s="108">
        <v>885</v>
      </c>
      <c r="O196" s="109"/>
      <c r="P196" s="36">
        <v>4</v>
      </c>
      <c r="R196" s="110">
        <f>SUMIF($H$13:$H$126,$F196,R$13:R$126)+Elec_Rates!R179</f>
        <v>0</v>
      </c>
      <c r="S196" s="111"/>
      <c r="T196" s="110">
        <f>SUMIF($H$13:$H$126,$F196,T$13:T$126)+Elec_Rates!T179</f>
        <v>0</v>
      </c>
    </row>
    <row r="197" spans="1:37">
      <c r="A197" s="107"/>
      <c r="B197" s="528">
        <v>50</v>
      </c>
      <c r="C197" s="6" t="s">
        <v>72</v>
      </c>
      <c r="D197" s="36" t="s">
        <v>67</v>
      </c>
      <c r="F197" s="108">
        <v>900</v>
      </c>
      <c r="O197" s="109"/>
      <c r="P197" s="36">
        <v>3</v>
      </c>
      <c r="R197" s="110">
        <f>SUMIF($H$13:$H$126,$F197,R$13:R$126)+Elec_Rates!R180</f>
        <v>0</v>
      </c>
      <c r="S197" s="111"/>
      <c r="T197" s="110">
        <f>SUMIF($H$13:$H$126,$F197,T$13:T$126)+Elec_Rates!T180</f>
        <v>23</v>
      </c>
    </row>
    <row r="198" spans="1:37" hidden="1">
      <c r="A198" s="107"/>
      <c r="B198" s="528">
        <v>51</v>
      </c>
      <c r="C198" s="6" t="s">
        <v>72</v>
      </c>
      <c r="D198" s="36" t="s">
        <v>125</v>
      </c>
      <c r="F198" s="108">
        <v>901</v>
      </c>
      <c r="O198" s="109"/>
      <c r="P198" s="36">
        <v>1</v>
      </c>
      <c r="R198" s="110">
        <f>SUMIF($H$13:$H$126,$F198,R$13:R$126)+Elec_Rates!R181</f>
        <v>0</v>
      </c>
      <c r="S198" s="111"/>
      <c r="T198" s="110">
        <f>SUMIF($H$13:$H$126,$F198,T$13:T$126)+Elec_Rates!T181</f>
        <v>0</v>
      </c>
    </row>
    <row r="199" spans="1:37" hidden="1">
      <c r="A199" s="107"/>
      <c r="B199" s="528">
        <v>52</v>
      </c>
      <c r="C199" s="6" t="s">
        <v>72</v>
      </c>
      <c r="D199" s="36" t="s">
        <v>126</v>
      </c>
      <c r="F199" s="108">
        <v>902</v>
      </c>
      <c r="O199" s="109"/>
      <c r="P199" s="36">
        <v>3</v>
      </c>
      <c r="R199" s="110">
        <f>SUMIF($H$13:$H$126,$F199,R$13:R$126)+Elec_Rates!R182</f>
        <v>0</v>
      </c>
      <c r="S199" s="111"/>
      <c r="T199" s="110">
        <f>SUMIF($H$13:$H$126,$F199,T$13:T$126)+Elec_Rates!T182</f>
        <v>0</v>
      </c>
    </row>
    <row r="200" spans="1:37">
      <c r="A200" s="107"/>
      <c r="B200" s="528">
        <v>53</v>
      </c>
      <c r="C200" s="6" t="s">
        <v>72</v>
      </c>
      <c r="D200" s="112" t="s">
        <v>127</v>
      </c>
      <c r="F200" s="108">
        <v>960</v>
      </c>
      <c r="O200" s="109"/>
      <c r="P200" s="36">
        <v>4</v>
      </c>
      <c r="R200" s="110">
        <f ca="1">SUMIF($H$13:$H$126,$F200,R$13:R$126)+Elec_Rates!R183</f>
        <v>20</v>
      </c>
      <c r="S200" s="111"/>
      <c r="T200" s="110">
        <f ca="1">SUMIF($H$13:$H$126,$F200,T$13:T$126)+Elec_Rates!T183</f>
        <v>0</v>
      </c>
    </row>
    <row r="201" spans="1:37" hidden="1">
      <c r="A201" s="107"/>
      <c r="B201" s="528">
        <v>54</v>
      </c>
      <c r="C201" s="6" t="s">
        <v>72</v>
      </c>
      <c r="D201" s="112" t="s">
        <v>128</v>
      </c>
      <c r="F201" s="108">
        <v>961</v>
      </c>
      <c r="O201" s="109"/>
      <c r="P201" s="36">
        <v>3</v>
      </c>
      <c r="R201" s="110">
        <f>SUMIF($H$13:$H$126,$F201,R$13:R$126)+Elec_Rates!R184</f>
        <v>0</v>
      </c>
      <c r="S201" s="111"/>
      <c r="T201" s="110">
        <f>SUMIF($H$13:$H$126,$F201,T$13:T$126)+Elec_Rates!T184</f>
        <v>0</v>
      </c>
    </row>
    <row r="202" spans="1:37" hidden="1">
      <c r="A202" s="107"/>
      <c r="B202" s="528">
        <v>55</v>
      </c>
      <c r="C202" s="6" t="s">
        <v>72</v>
      </c>
      <c r="D202" s="112" t="s">
        <v>129</v>
      </c>
      <c r="F202" s="108">
        <v>962</v>
      </c>
      <c r="O202" s="109"/>
      <c r="P202" s="36">
        <v>1</v>
      </c>
      <c r="R202" s="110">
        <f>SUMIF($H$13:$H$126,$F202,R$13:R$126)+Elec_Rates!R185</f>
        <v>0</v>
      </c>
      <c r="S202" s="111"/>
      <c r="T202" s="110">
        <f>SUMIF($H$13:$H$126,$F202,T$13:T$126)+Elec_Rates!T185</f>
        <v>0</v>
      </c>
    </row>
    <row r="203" spans="1:37" hidden="1">
      <c r="A203" s="107"/>
      <c r="B203" s="528">
        <v>56</v>
      </c>
      <c r="C203" s="6" t="s">
        <v>72</v>
      </c>
      <c r="D203" s="112" t="s">
        <v>130</v>
      </c>
      <c r="F203" s="108">
        <v>970</v>
      </c>
      <c r="O203" s="109"/>
      <c r="P203" s="36">
        <v>4</v>
      </c>
      <c r="R203" s="110">
        <f>SUMIF($H$13:$H$126,$F203,R$13:R$126)+Elec_Rates!R186</f>
        <v>0</v>
      </c>
      <c r="S203" s="111"/>
      <c r="T203" s="110">
        <f>SUMIF($H$13:$H$126,$F203,T$13:T$126)+Elec_Rates!T186</f>
        <v>0</v>
      </c>
    </row>
    <row r="204" spans="1:37" ht="14.4" thickBot="1">
      <c r="A204" s="113"/>
      <c r="B204" s="114"/>
      <c r="C204" s="115"/>
      <c r="D204" s="116"/>
      <c r="E204" s="117"/>
      <c r="F204" s="118"/>
      <c r="G204" s="117"/>
      <c r="H204" s="117"/>
      <c r="I204" s="117"/>
      <c r="J204" s="117"/>
      <c r="K204" s="117"/>
      <c r="L204" s="117"/>
      <c r="M204" s="117"/>
      <c r="N204" s="117"/>
      <c r="O204" s="119"/>
      <c r="P204" s="117"/>
      <c r="Q204" s="117"/>
      <c r="R204" s="120"/>
      <c r="S204" s="121"/>
      <c r="T204" s="120"/>
      <c r="U204" s="117"/>
      <c r="V204" s="456"/>
      <c r="W204" s="456"/>
      <c r="X204" s="456"/>
      <c r="Y204" s="456"/>
      <c r="Z204" s="456"/>
      <c r="AA204" s="456"/>
      <c r="AB204" s="456"/>
      <c r="AC204" s="117"/>
      <c r="AD204" s="117"/>
      <c r="AE204" s="117"/>
      <c r="AF204" s="117"/>
      <c r="AG204" s="117"/>
      <c r="AH204" s="117"/>
      <c r="AI204" s="117"/>
      <c r="AJ204" s="117"/>
      <c r="AK204" s="117"/>
    </row>
    <row r="205" spans="1:37" ht="14.4" thickTop="1">
      <c r="A205" s="107"/>
      <c r="B205" s="122"/>
      <c r="C205" s="6" t="s">
        <v>72</v>
      </c>
      <c r="D205" s="123"/>
      <c r="F205" s="124" t="s">
        <v>157</v>
      </c>
      <c r="G205" s="125"/>
      <c r="H205" s="36">
        <v>1</v>
      </c>
      <c r="O205" s="109"/>
      <c r="R205" s="110">
        <f ca="1">SUMIF($P148:$P203,1,R148:R203)</f>
        <v>999.34818999999993</v>
      </c>
      <c r="T205" s="110">
        <f ca="1">SUMIF($P148:$P203,1,T148:T203)</f>
        <v>21.435999999999996</v>
      </c>
    </row>
    <row r="206" spans="1:37">
      <c r="A206" s="107"/>
      <c r="B206" s="122"/>
      <c r="C206" s="6" t="s">
        <v>72</v>
      </c>
      <c r="D206" s="123"/>
      <c r="F206" s="124" t="s">
        <v>158</v>
      </c>
      <c r="G206" s="125"/>
      <c r="H206" s="36">
        <v>2</v>
      </c>
      <c r="O206" s="109"/>
      <c r="R206" s="110">
        <f>SUMIF($P148:$P203,2,R148:R203)</f>
        <v>3935.4</v>
      </c>
      <c r="T206" s="110">
        <f>SUMIF($P148:$P203,2,T148:T203)</f>
        <v>45.809064821558628</v>
      </c>
    </row>
    <row r="207" spans="1:37">
      <c r="A207" s="107"/>
      <c r="B207" s="122"/>
      <c r="C207" s="6" t="s">
        <v>72</v>
      </c>
      <c r="D207" s="123"/>
      <c r="F207" s="124" t="s">
        <v>159</v>
      </c>
      <c r="G207" s="125"/>
      <c r="H207" s="36">
        <v>2</v>
      </c>
      <c r="O207" s="109"/>
      <c r="R207" s="110">
        <f>SUMIF($P148:$P203,3,R148:R203)</f>
        <v>0</v>
      </c>
      <c r="T207" s="110">
        <f>SUMIF($P148:$P203,3,T148:T203)</f>
        <v>23</v>
      </c>
    </row>
    <row r="208" spans="1:37">
      <c r="A208" s="107"/>
      <c r="B208" s="122"/>
      <c r="C208" s="6" t="s">
        <v>72</v>
      </c>
      <c r="D208" s="123"/>
      <c r="F208" s="124" t="s">
        <v>160</v>
      </c>
      <c r="G208" s="125"/>
      <c r="H208" s="36">
        <v>3</v>
      </c>
      <c r="O208" s="109"/>
      <c r="R208" s="110">
        <f ca="1">SUMIF($P148:$P203,4,R148:R203)</f>
        <v>20</v>
      </c>
      <c r="T208" s="110">
        <f ca="1">SUMIF($P148:$P203,4,T148:T203)</f>
        <v>0</v>
      </c>
    </row>
    <row r="209" spans="1:37" ht="14.4" thickBot="1">
      <c r="A209" s="113"/>
      <c r="B209" s="126"/>
      <c r="C209" s="115" t="s">
        <v>72</v>
      </c>
      <c r="D209" s="127"/>
      <c r="E209" s="117"/>
      <c r="F209" s="128" t="s">
        <v>161</v>
      </c>
      <c r="G209" s="129"/>
      <c r="H209" s="130"/>
      <c r="I209" s="130"/>
      <c r="J209" s="130"/>
      <c r="K209" s="130"/>
      <c r="L209" s="130"/>
      <c r="M209" s="130"/>
      <c r="N209" s="130"/>
      <c r="O209" s="131"/>
      <c r="P209" s="130"/>
      <c r="Q209" s="130"/>
      <c r="R209" s="132">
        <f ca="1">SUM(R205:R208)</f>
        <v>4954.7481900000002</v>
      </c>
      <c r="S209" s="133"/>
      <c r="T209" s="132">
        <f ca="1">SUM(T205:T208)</f>
        <v>90.245064821558628</v>
      </c>
      <c r="U209" s="117"/>
      <c r="V209" s="456"/>
      <c r="W209" s="456"/>
      <c r="X209" s="456"/>
      <c r="Y209" s="456"/>
      <c r="Z209" s="456"/>
      <c r="AA209" s="456"/>
      <c r="AB209" s="456"/>
      <c r="AC209" s="117"/>
      <c r="AD209" s="117"/>
      <c r="AE209" s="117"/>
      <c r="AF209" s="117"/>
      <c r="AG209" s="117"/>
      <c r="AH209" s="117"/>
      <c r="AI209" s="117"/>
      <c r="AJ209" s="117"/>
      <c r="AK209" s="117"/>
    </row>
    <row r="210" spans="1:37" ht="14.4" thickTop="1">
      <c r="A210" s="57"/>
      <c r="B210" s="562" t="s">
        <v>178</v>
      </c>
      <c r="C210" s="123" t="s">
        <v>178</v>
      </c>
      <c r="D210" s="123"/>
      <c r="O210" s="109"/>
    </row>
    <row r="211" spans="1:37">
      <c r="A211" s="563"/>
      <c r="O211" s="109"/>
    </row>
    <row r="212" spans="1:37">
      <c r="A212" s="563"/>
      <c r="B212" s="564">
        <f ca="1">SUMIF($D$13:$D$126,D212,$C$13:$C$126)</f>
        <v>0</v>
      </c>
      <c r="C212" s="112"/>
      <c r="D212" s="565" t="str">
        <f>Elec_Rates!$D$19</f>
        <v>001# 1c x 240sqmm FG160M1 cables</v>
      </c>
      <c r="O212" s="109"/>
      <c r="Q212" s="33"/>
    </row>
    <row r="213" spans="1:37">
      <c r="A213" s="563"/>
      <c r="B213" s="564">
        <f ca="1">SUMIF($D$13:$D$126,D213,$C$13:$C$126)</f>
        <v>6</v>
      </c>
      <c r="C213" s="112"/>
      <c r="D213" s="565" t="str">
        <f>Elec_Rates!$D$26</f>
        <v>002# 200mm galvanised steel cable tray complete with cover</v>
      </c>
      <c r="O213" s="109"/>
    </row>
    <row r="214" spans="1:37">
      <c r="A214" s="563"/>
      <c r="B214" s="564">
        <f ca="1">SUMIF($D$13:$D$126,D214,$C$13:$C$126)</f>
        <v>6</v>
      </c>
      <c r="C214" s="112"/>
      <c r="D214" s="565" t="str">
        <f>Elec_Rates!$D$41</f>
        <v>003# Cable Containment Support</v>
      </c>
      <c r="O214" s="109"/>
    </row>
    <row r="215" spans="1:37">
      <c r="A215" s="563"/>
      <c r="B215" s="564">
        <f ca="1">SUMIF($D$13:$D$126,D215,$C$13:$C$126)</f>
        <v>0</v>
      </c>
      <c r="C215" s="112"/>
      <c r="D215" s="565" t="str">
        <f>Elec_Rates!D110</f>
        <v>004# 300mm Without Matterial galvanised steel cable tray complete with cover</v>
      </c>
      <c r="O215" s="109"/>
    </row>
    <row r="216" spans="1:37" ht="14.4" thickBot="1">
      <c r="A216" s="566"/>
      <c r="B216" s="117"/>
      <c r="C216" s="117"/>
      <c r="D216" s="117"/>
      <c r="E216" s="117"/>
      <c r="F216" s="117"/>
      <c r="G216" s="117"/>
      <c r="H216" s="117"/>
      <c r="I216" s="117"/>
      <c r="J216" s="117"/>
      <c r="K216" s="117"/>
      <c r="L216" s="117"/>
      <c r="M216" s="117"/>
      <c r="N216" s="117"/>
      <c r="O216" s="119"/>
      <c r="P216" s="117"/>
      <c r="Q216" s="117"/>
      <c r="R216" s="117"/>
      <c r="S216" s="117"/>
      <c r="T216" s="117"/>
      <c r="U216" s="117"/>
      <c r="V216" s="456"/>
      <c r="W216" s="456"/>
      <c r="X216" s="456"/>
      <c r="Y216" s="456"/>
      <c r="Z216" s="456"/>
      <c r="AA216" s="456"/>
      <c r="AB216" s="456"/>
      <c r="AC216" s="117"/>
      <c r="AD216" s="117"/>
      <c r="AE216" s="117"/>
      <c r="AF216" s="117"/>
      <c r="AG216" s="117"/>
      <c r="AH216" s="117"/>
      <c r="AI216" s="117"/>
      <c r="AJ216" s="117"/>
      <c r="AK216" s="117"/>
    </row>
    <row r="217" spans="1:37" ht="14.4" thickTop="1">
      <c r="A217" s="355" t="s">
        <v>144</v>
      </c>
      <c r="B217" s="4"/>
      <c r="C217" s="4"/>
      <c r="D217" s="4"/>
      <c r="E217" s="4"/>
      <c r="F217" s="2"/>
      <c r="G217" s="33"/>
      <c r="H217" s="33"/>
      <c r="I217" s="33"/>
      <c r="J217" s="33"/>
      <c r="K217" s="33"/>
      <c r="L217" s="4"/>
      <c r="M217" s="4"/>
      <c r="N217" s="4"/>
      <c r="O217" s="4"/>
      <c r="P217" s="4"/>
      <c r="Q217" s="52"/>
      <c r="R217" s="33"/>
      <c r="S217" s="33"/>
      <c r="T217" s="33"/>
    </row>
  </sheetData>
  <sheetProtection formatCells="0" formatColumns="0" formatRows="0" insertColumns="0" insertRows="0" insertHyperlinks="0" deleteColumns="0" deleteRows="0" sort="0" autoFilter="0" pivotTables="0"/>
  <mergeCells count="7">
    <mergeCell ref="D110:T110"/>
    <mergeCell ref="D70:T70"/>
    <mergeCell ref="D90:T90"/>
    <mergeCell ref="D20:T20"/>
    <mergeCell ref="D26:T26"/>
    <mergeCell ref="D39:T39"/>
    <mergeCell ref="D49:T49"/>
  </mergeCells>
  <phoneticPr fontId="37"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8C1B-5FE8-430D-8541-DCAC18DB010C}">
  <sheetPr>
    <tabColor indexed="41"/>
  </sheetPr>
  <dimension ref="A1:T53"/>
  <sheetViews>
    <sheetView topLeftCell="A40" zoomScaleNormal="100" workbookViewId="0">
      <selection activeCell="G51" sqref="G51:H51"/>
    </sheetView>
  </sheetViews>
  <sheetFormatPr defaultRowHeight="13.2"/>
  <cols>
    <col min="1" max="1" width="11" style="745" customWidth="1"/>
    <col min="2" max="2" width="47.44140625" style="746" customWidth="1"/>
    <col min="3" max="3" width="9.44140625" style="747" customWidth="1"/>
    <col min="4" max="4" width="6.44140625" style="747" customWidth="1"/>
    <col min="5" max="5" width="9.6640625" style="748" hidden="1" customWidth="1"/>
    <col min="6" max="6" width="9.88671875" style="749" hidden="1" customWidth="1"/>
    <col min="7" max="7" width="8.44140625" style="748" customWidth="1"/>
    <col min="8" max="8" width="9.6640625" style="748" customWidth="1"/>
    <col min="9" max="16" width="8.88671875" style="712" customWidth="1"/>
    <col min="17" max="256" width="8.88671875" style="712"/>
    <col min="257" max="257" width="11" style="712" customWidth="1"/>
    <col min="258" max="258" width="47.44140625" style="712" customWidth="1"/>
    <col min="259" max="259" width="9.44140625" style="712" customWidth="1"/>
    <col min="260" max="260" width="6.44140625" style="712" customWidth="1"/>
    <col min="261" max="261" width="9.6640625" style="712" customWidth="1"/>
    <col min="262" max="262" width="9.88671875" style="712" customWidth="1"/>
    <col min="263" max="272" width="0" style="712" hidden="1" customWidth="1"/>
    <col min="273" max="512" width="8.88671875" style="712"/>
    <col min="513" max="513" width="11" style="712" customWidth="1"/>
    <col min="514" max="514" width="47.44140625" style="712" customWidth="1"/>
    <col min="515" max="515" width="9.44140625" style="712" customWidth="1"/>
    <col min="516" max="516" width="6.44140625" style="712" customWidth="1"/>
    <col min="517" max="517" width="9.6640625" style="712" customWidth="1"/>
    <col min="518" max="518" width="9.88671875" style="712" customWidth="1"/>
    <col min="519" max="528" width="0" style="712" hidden="1" customWidth="1"/>
    <col min="529" max="768" width="8.88671875" style="712"/>
    <col min="769" max="769" width="11" style="712" customWidth="1"/>
    <col min="770" max="770" width="47.44140625" style="712" customWidth="1"/>
    <col min="771" max="771" width="9.44140625" style="712" customWidth="1"/>
    <col min="772" max="772" width="6.44140625" style="712" customWidth="1"/>
    <col min="773" max="773" width="9.6640625" style="712" customWidth="1"/>
    <col min="774" max="774" width="9.88671875" style="712" customWidth="1"/>
    <col min="775" max="784" width="0" style="712" hidden="1" customWidth="1"/>
    <col min="785" max="1024" width="8.88671875" style="712"/>
    <col min="1025" max="1025" width="11" style="712" customWidth="1"/>
    <col min="1026" max="1026" width="47.44140625" style="712" customWidth="1"/>
    <col min="1027" max="1027" width="9.44140625" style="712" customWidth="1"/>
    <col min="1028" max="1028" width="6.44140625" style="712" customWidth="1"/>
    <col min="1029" max="1029" width="9.6640625" style="712" customWidth="1"/>
    <col min="1030" max="1030" width="9.88671875" style="712" customWidth="1"/>
    <col min="1031" max="1040" width="0" style="712" hidden="1" customWidth="1"/>
    <col min="1041" max="1280" width="8.88671875" style="712"/>
    <col min="1281" max="1281" width="11" style="712" customWidth="1"/>
    <col min="1282" max="1282" width="47.44140625" style="712" customWidth="1"/>
    <col min="1283" max="1283" width="9.44140625" style="712" customWidth="1"/>
    <col min="1284" max="1284" width="6.44140625" style="712" customWidth="1"/>
    <col min="1285" max="1285" width="9.6640625" style="712" customWidth="1"/>
    <col min="1286" max="1286" width="9.88671875" style="712" customWidth="1"/>
    <col min="1287" max="1296" width="0" style="712" hidden="1" customWidth="1"/>
    <col min="1297" max="1536" width="8.88671875" style="712"/>
    <col min="1537" max="1537" width="11" style="712" customWidth="1"/>
    <col min="1538" max="1538" width="47.44140625" style="712" customWidth="1"/>
    <col min="1539" max="1539" width="9.44140625" style="712" customWidth="1"/>
    <col min="1540" max="1540" width="6.44140625" style="712" customWidth="1"/>
    <col min="1541" max="1541" width="9.6640625" style="712" customWidth="1"/>
    <col min="1542" max="1542" width="9.88671875" style="712" customWidth="1"/>
    <col min="1543" max="1552" width="0" style="712" hidden="1" customWidth="1"/>
    <col min="1553" max="1792" width="8.88671875" style="712"/>
    <col min="1793" max="1793" width="11" style="712" customWidth="1"/>
    <col min="1794" max="1794" width="47.44140625" style="712" customWidth="1"/>
    <col min="1795" max="1795" width="9.44140625" style="712" customWidth="1"/>
    <col min="1796" max="1796" width="6.44140625" style="712" customWidth="1"/>
    <col min="1797" max="1797" width="9.6640625" style="712" customWidth="1"/>
    <col min="1798" max="1798" width="9.88671875" style="712" customWidth="1"/>
    <col min="1799" max="1808" width="0" style="712" hidden="1" customWidth="1"/>
    <col min="1809" max="2048" width="8.88671875" style="712"/>
    <col min="2049" max="2049" width="11" style="712" customWidth="1"/>
    <col min="2050" max="2050" width="47.44140625" style="712" customWidth="1"/>
    <col min="2051" max="2051" width="9.44140625" style="712" customWidth="1"/>
    <col min="2052" max="2052" width="6.44140625" style="712" customWidth="1"/>
    <col min="2053" max="2053" width="9.6640625" style="712" customWidth="1"/>
    <col min="2054" max="2054" width="9.88671875" style="712" customWidth="1"/>
    <col min="2055" max="2064" width="0" style="712" hidden="1" customWidth="1"/>
    <col min="2065" max="2304" width="8.88671875" style="712"/>
    <col min="2305" max="2305" width="11" style="712" customWidth="1"/>
    <col min="2306" max="2306" width="47.44140625" style="712" customWidth="1"/>
    <col min="2307" max="2307" width="9.44140625" style="712" customWidth="1"/>
    <col min="2308" max="2308" width="6.44140625" style="712" customWidth="1"/>
    <col min="2309" max="2309" width="9.6640625" style="712" customWidth="1"/>
    <col min="2310" max="2310" width="9.88671875" style="712" customWidth="1"/>
    <col min="2311" max="2320" width="0" style="712" hidden="1" customWidth="1"/>
    <col min="2321" max="2560" width="8.88671875" style="712"/>
    <col min="2561" max="2561" width="11" style="712" customWidth="1"/>
    <col min="2562" max="2562" width="47.44140625" style="712" customWidth="1"/>
    <col min="2563" max="2563" width="9.44140625" style="712" customWidth="1"/>
    <col min="2564" max="2564" width="6.44140625" style="712" customWidth="1"/>
    <col min="2565" max="2565" width="9.6640625" style="712" customWidth="1"/>
    <col min="2566" max="2566" width="9.88671875" style="712" customWidth="1"/>
    <col min="2567" max="2576" width="0" style="712" hidden="1" customWidth="1"/>
    <col min="2577" max="2816" width="8.88671875" style="712"/>
    <col min="2817" max="2817" width="11" style="712" customWidth="1"/>
    <col min="2818" max="2818" width="47.44140625" style="712" customWidth="1"/>
    <col min="2819" max="2819" width="9.44140625" style="712" customWidth="1"/>
    <col min="2820" max="2820" width="6.44140625" style="712" customWidth="1"/>
    <col min="2821" max="2821" width="9.6640625" style="712" customWidth="1"/>
    <col min="2822" max="2822" width="9.88671875" style="712" customWidth="1"/>
    <col min="2823" max="2832" width="0" style="712" hidden="1" customWidth="1"/>
    <col min="2833" max="3072" width="8.88671875" style="712"/>
    <col min="3073" max="3073" width="11" style="712" customWidth="1"/>
    <col min="3074" max="3074" width="47.44140625" style="712" customWidth="1"/>
    <col min="3075" max="3075" width="9.44140625" style="712" customWidth="1"/>
    <col min="3076" max="3076" width="6.44140625" style="712" customWidth="1"/>
    <col min="3077" max="3077" width="9.6640625" style="712" customWidth="1"/>
    <col min="3078" max="3078" width="9.88671875" style="712" customWidth="1"/>
    <col min="3079" max="3088" width="0" style="712" hidden="1" customWidth="1"/>
    <col min="3089" max="3328" width="8.88671875" style="712"/>
    <col min="3329" max="3329" width="11" style="712" customWidth="1"/>
    <col min="3330" max="3330" width="47.44140625" style="712" customWidth="1"/>
    <col min="3331" max="3331" width="9.44140625" style="712" customWidth="1"/>
    <col min="3332" max="3332" width="6.44140625" style="712" customWidth="1"/>
    <col min="3333" max="3333" width="9.6640625" style="712" customWidth="1"/>
    <col min="3334" max="3334" width="9.88671875" style="712" customWidth="1"/>
    <col min="3335" max="3344" width="0" style="712" hidden="1" customWidth="1"/>
    <col min="3345" max="3584" width="8.88671875" style="712"/>
    <col min="3585" max="3585" width="11" style="712" customWidth="1"/>
    <col min="3586" max="3586" width="47.44140625" style="712" customWidth="1"/>
    <col min="3587" max="3587" width="9.44140625" style="712" customWidth="1"/>
    <col min="3588" max="3588" width="6.44140625" style="712" customWidth="1"/>
    <col min="3589" max="3589" width="9.6640625" style="712" customWidth="1"/>
    <col min="3590" max="3590" width="9.88671875" style="712" customWidth="1"/>
    <col min="3591" max="3600" width="0" style="712" hidden="1" customWidth="1"/>
    <col min="3601" max="3840" width="8.88671875" style="712"/>
    <col min="3841" max="3841" width="11" style="712" customWidth="1"/>
    <col min="3842" max="3842" width="47.44140625" style="712" customWidth="1"/>
    <col min="3843" max="3843" width="9.44140625" style="712" customWidth="1"/>
    <col min="3844" max="3844" width="6.44140625" style="712" customWidth="1"/>
    <col min="3845" max="3845" width="9.6640625" style="712" customWidth="1"/>
    <col min="3846" max="3846" width="9.88671875" style="712" customWidth="1"/>
    <col min="3847" max="3856" width="0" style="712" hidden="1" customWidth="1"/>
    <col min="3857" max="4096" width="8.88671875" style="712"/>
    <col min="4097" max="4097" width="11" style="712" customWidth="1"/>
    <col min="4098" max="4098" width="47.44140625" style="712" customWidth="1"/>
    <col min="4099" max="4099" width="9.44140625" style="712" customWidth="1"/>
    <col min="4100" max="4100" width="6.44140625" style="712" customWidth="1"/>
    <col min="4101" max="4101" width="9.6640625" style="712" customWidth="1"/>
    <col min="4102" max="4102" width="9.88671875" style="712" customWidth="1"/>
    <col min="4103" max="4112" width="0" style="712" hidden="1" customWidth="1"/>
    <col min="4113" max="4352" width="8.88671875" style="712"/>
    <col min="4353" max="4353" width="11" style="712" customWidth="1"/>
    <col min="4354" max="4354" width="47.44140625" style="712" customWidth="1"/>
    <col min="4355" max="4355" width="9.44140625" style="712" customWidth="1"/>
    <col min="4356" max="4356" width="6.44140625" style="712" customWidth="1"/>
    <col min="4357" max="4357" width="9.6640625" style="712" customWidth="1"/>
    <col min="4358" max="4358" width="9.88671875" style="712" customWidth="1"/>
    <col min="4359" max="4368" width="0" style="712" hidden="1" customWidth="1"/>
    <col min="4369" max="4608" width="8.88671875" style="712"/>
    <col min="4609" max="4609" width="11" style="712" customWidth="1"/>
    <col min="4610" max="4610" width="47.44140625" style="712" customWidth="1"/>
    <col min="4611" max="4611" width="9.44140625" style="712" customWidth="1"/>
    <col min="4612" max="4612" width="6.44140625" style="712" customWidth="1"/>
    <col min="4613" max="4613" width="9.6640625" style="712" customWidth="1"/>
    <col min="4614" max="4614" width="9.88671875" style="712" customWidth="1"/>
    <col min="4615" max="4624" width="0" style="712" hidden="1" customWidth="1"/>
    <col min="4625" max="4864" width="8.88671875" style="712"/>
    <col min="4865" max="4865" width="11" style="712" customWidth="1"/>
    <col min="4866" max="4866" width="47.44140625" style="712" customWidth="1"/>
    <col min="4867" max="4867" width="9.44140625" style="712" customWidth="1"/>
    <col min="4868" max="4868" width="6.44140625" style="712" customWidth="1"/>
    <col min="4869" max="4869" width="9.6640625" style="712" customWidth="1"/>
    <col min="4870" max="4870" width="9.88671875" style="712" customWidth="1"/>
    <col min="4871" max="4880" width="0" style="712" hidden="1" customWidth="1"/>
    <col min="4881" max="5120" width="8.88671875" style="712"/>
    <col min="5121" max="5121" width="11" style="712" customWidth="1"/>
    <col min="5122" max="5122" width="47.44140625" style="712" customWidth="1"/>
    <col min="5123" max="5123" width="9.44140625" style="712" customWidth="1"/>
    <col min="5124" max="5124" width="6.44140625" style="712" customWidth="1"/>
    <col min="5125" max="5125" width="9.6640625" style="712" customWidth="1"/>
    <col min="5126" max="5126" width="9.88671875" style="712" customWidth="1"/>
    <col min="5127" max="5136" width="0" style="712" hidden="1" customWidth="1"/>
    <col min="5137" max="5376" width="8.88671875" style="712"/>
    <col min="5377" max="5377" width="11" style="712" customWidth="1"/>
    <col min="5378" max="5378" width="47.44140625" style="712" customWidth="1"/>
    <col min="5379" max="5379" width="9.44140625" style="712" customWidth="1"/>
    <col min="5380" max="5380" width="6.44140625" style="712" customWidth="1"/>
    <col min="5381" max="5381" width="9.6640625" style="712" customWidth="1"/>
    <col min="5382" max="5382" width="9.88671875" style="712" customWidth="1"/>
    <col min="5383" max="5392" width="0" style="712" hidden="1" customWidth="1"/>
    <col min="5393" max="5632" width="8.88671875" style="712"/>
    <col min="5633" max="5633" width="11" style="712" customWidth="1"/>
    <col min="5634" max="5634" width="47.44140625" style="712" customWidth="1"/>
    <col min="5635" max="5635" width="9.44140625" style="712" customWidth="1"/>
    <col min="5636" max="5636" width="6.44140625" style="712" customWidth="1"/>
    <col min="5637" max="5637" width="9.6640625" style="712" customWidth="1"/>
    <col min="5638" max="5638" width="9.88671875" style="712" customWidth="1"/>
    <col min="5639" max="5648" width="0" style="712" hidden="1" customWidth="1"/>
    <col min="5649" max="5888" width="8.88671875" style="712"/>
    <col min="5889" max="5889" width="11" style="712" customWidth="1"/>
    <col min="5890" max="5890" width="47.44140625" style="712" customWidth="1"/>
    <col min="5891" max="5891" width="9.44140625" style="712" customWidth="1"/>
    <col min="5892" max="5892" width="6.44140625" style="712" customWidth="1"/>
    <col min="5893" max="5893" width="9.6640625" style="712" customWidth="1"/>
    <col min="5894" max="5894" width="9.88671875" style="712" customWidth="1"/>
    <col min="5895" max="5904" width="0" style="712" hidden="1" customWidth="1"/>
    <col min="5905" max="6144" width="8.88671875" style="712"/>
    <col min="6145" max="6145" width="11" style="712" customWidth="1"/>
    <col min="6146" max="6146" width="47.44140625" style="712" customWidth="1"/>
    <col min="6147" max="6147" width="9.44140625" style="712" customWidth="1"/>
    <col min="6148" max="6148" width="6.44140625" style="712" customWidth="1"/>
    <col min="6149" max="6149" width="9.6640625" style="712" customWidth="1"/>
    <col min="6150" max="6150" width="9.88671875" style="712" customWidth="1"/>
    <col min="6151" max="6160" width="0" style="712" hidden="1" customWidth="1"/>
    <col min="6161" max="6400" width="8.88671875" style="712"/>
    <col min="6401" max="6401" width="11" style="712" customWidth="1"/>
    <col min="6402" max="6402" width="47.44140625" style="712" customWidth="1"/>
    <col min="6403" max="6403" width="9.44140625" style="712" customWidth="1"/>
    <col min="6404" max="6404" width="6.44140625" style="712" customWidth="1"/>
    <col min="6405" max="6405" width="9.6640625" style="712" customWidth="1"/>
    <col min="6406" max="6406" width="9.88671875" style="712" customWidth="1"/>
    <col min="6407" max="6416" width="0" style="712" hidden="1" customWidth="1"/>
    <col min="6417" max="6656" width="8.88671875" style="712"/>
    <col min="6657" max="6657" width="11" style="712" customWidth="1"/>
    <col min="6658" max="6658" width="47.44140625" style="712" customWidth="1"/>
    <col min="6659" max="6659" width="9.44140625" style="712" customWidth="1"/>
    <col min="6660" max="6660" width="6.44140625" style="712" customWidth="1"/>
    <col min="6661" max="6661" width="9.6640625" style="712" customWidth="1"/>
    <col min="6662" max="6662" width="9.88671875" style="712" customWidth="1"/>
    <col min="6663" max="6672" width="0" style="712" hidden="1" customWidth="1"/>
    <col min="6673" max="6912" width="8.88671875" style="712"/>
    <col min="6913" max="6913" width="11" style="712" customWidth="1"/>
    <col min="6914" max="6914" width="47.44140625" style="712" customWidth="1"/>
    <col min="6915" max="6915" width="9.44140625" style="712" customWidth="1"/>
    <col min="6916" max="6916" width="6.44140625" style="712" customWidth="1"/>
    <col min="6917" max="6917" width="9.6640625" style="712" customWidth="1"/>
    <col min="6918" max="6918" width="9.88671875" style="712" customWidth="1"/>
    <col min="6919" max="6928" width="0" style="712" hidden="1" customWidth="1"/>
    <col min="6929" max="7168" width="8.88671875" style="712"/>
    <col min="7169" max="7169" width="11" style="712" customWidth="1"/>
    <col min="7170" max="7170" width="47.44140625" style="712" customWidth="1"/>
    <col min="7171" max="7171" width="9.44140625" style="712" customWidth="1"/>
    <col min="7172" max="7172" width="6.44140625" style="712" customWidth="1"/>
    <col min="7173" max="7173" width="9.6640625" style="712" customWidth="1"/>
    <col min="7174" max="7174" width="9.88671875" style="712" customWidth="1"/>
    <col min="7175" max="7184" width="0" style="712" hidden="1" customWidth="1"/>
    <col min="7185" max="7424" width="8.88671875" style="712"/>
    <col min="7425" max="7425" width="11" style="712" customWidth="1"/>
    <col min="7426" max="7426" width="47.44140625" style="712" customWidth="1"/>
    <col min="7427" max="7427" width="9.44140625" style="712" customWidth="1"/>
    <col min="7428" max="7428" width="6.44140625" style="712" customWidth="1"/>
    <col min="7429" max="7429" width="9.6640625" style="712" customWidth="1"/>
    <col min="7430" max="7430" width="9.88671875" style="712" customWidth="1"/>
    <col min="7431" max="7440" width="0" style="712" hidden="1" customWidth="1"/>
    <col min="7441" max="7680" width="8.88671875" style="712"/>
    <col min="7681" max="7681" width="11" style="712" customWidth="1"/>
    <col min="7682" max="7682" width="47.44140625" style="712" customWidth="1"/>
    <col min="7683" max="7683" width="9.44140625" style="712" customWidth="1"/>
    <col min="7684" max="7684" width="6.44140625" style="712" customWidth="1"/>
    <col min="7685" max="7685" width="9.6640625" style="712" customWidth="1"/>
    <col min="7686" max="7686" width="9.88671875" style="712" customWidth="1"/>
    <col min="7687" max="7696" width="0" style="712" hidden="1" customWidth="1"/>
    <col min="7697" max="7936" width="8.88671875" style="712"/>
    <col min="7937" max="7937" width="11" style="712" customWidth="1"/>
    <col min="7938" max="7938" width="47.44140625" style="712" customWidth="1"/>
    <col min="7939" max="7939" width="9.44140625" style="712" customWidth="1"/>
    <col min="7940" max="7940" width="6.44140625" style="712" customWidth="1"/>
    <col min="7941" max="7941" width="9.6640625" style="712" customWidth="1"/>
    <col min="7942" max="7942" width="9.88671875" style="712" customWidth="1"/>
    <col min="7943" max="7952" width="0" style="712" hidden="1" customWidth="1"/>
    <col min="7953" max="8192" width="8.88671875" style="712"/>
    <col min="8193" max="8193" width="11" style="712" customWidth="1"/>
    <col min="8194" max="8194" width="47.44140625" style="712" customWidth="1"/>
    <col min="8195" max="8195" width="9.44140625" style="712" customWidth="1"/>
    <col min="8196" max="8196" width="6.44140625" style="712" customWidth="1"/>
    <col min="8197" max="8197" width="9.6640625" style="712" customWidth="1"/>
    <col min="8198" max="8198" width="9.88671875" style="712" customWidth="1"/>
    <col min="8199" max="8208" width="0" style="712" hidden="1" customWidth="1"/>
    <col min="8209" max="8448" width="8.88671875" style="712"/>
    <col min="8449" max="8449" width="11" style="712" customWidth="1"/>
    <col min="8450" max="8450" width="47.44140625" style="712" customWidth="1"/>
    <col min="8451" max="8451" width="9.44140625" style="712" customWidth="1"/>
    <col min="8452" max="8452" width="6.44140625" style="712" customWidth="1"/>
    <col min="8453" max="8453" width="9.6640625" style="712" customWidth="1"/>
    <col min="8454" max="8454" width="9.88671875" style="712" customWidth="1"/>
    <col min="8455" max="8464" width="0" style="712" hidden="1" customWidth="1"/>
    <col min="8465" max="8704" width="8.88671875" style="712"/>
    <col min="8705" max="8705" width="11" style="712" customWidth="1"/>
    <col min="8706" max="8706" width="47.44140625" style="712" customWidth="1"/>
    <col min="8707" max="8707" width="9.44140625" style="712" customWidth="1"/>
    <col min="8708" max="8708" width="6.44140625" style="712" customWidth="1"/>
    <col min="8709" max="8709" width="9.6640625" style="712" customWidth="1"/>
    <col min="8710" max="8710" width="9.88671875" style="712" customWidth="1"/>
    <col min="8711" max="8720" width="0" style="712" hidden="1" customWidth="1"/>
    <col min="8721" max="8960" width="8.88671875" style="712"/>
    <col min="8961" max="8961" width="11" style="712" customWidth="1"/>
    <col min="8962" max="8962" width="47.44140625" style="712" customWidth="1"/>
    <col min="8963" max="8963" width="9.44140625" style="712" customWidth="1"/>
    <col min="8964" max="8964" width="6.44140625" style="712" customWidth="1"/>
    <col min="8965" max="8965" width="9.6640625" style="712" customWidth="1"/>
    <col min="8966" max="8966" width="9.88671875" style="712" customWidth="1"/>
    <col min="8967" max="8976" width="0" style="712" hidden="1" customWidth="1"/>
    <col min="8977" max="9216" width="8.88671875" style="712"/>
    <col min="9217" max="9217" width="11" style="712" customWidth="1"/>
    <col min="9218" max="9218" width="47.44140625" style="712" customWidth="1"/>
    <col min="9219" max="9219" width="9.44140625" style="712" customWidth="1"/>
    <col min="9220" max="9220" width="6.44140625" style="712" customWidth="1"/>
    <col min="9221" max="9221" width="9.6640625" style="712" customWidth="1"/>
    <col min="9222" max="9222" width="9.88671875" style="712" customWidth="1"/>
    <col min="9223" max="9232" width="0" style="712" hidden="1" customWidth="1"/>
    <col min="9233" max="9472" width="8.88671875" style="712"/>
    <col min="9473" max="9473" width="11" style="712" customWidth="1"/>
    <col min="9474" max="9474" width="47.44140625" style="712" customWidth="1"/>
    <col min="9475" max="9475" width="9.44140625" style="712" customWidth="1"/>
    <col min="9476" max="9476" width="6.44140625" style="712" customWidth="1"/>
    <col min="9477" max="9477" width="9.6640625" style="712" customWidth="1"/>
    <col min="9478" max="9478" width="9.88671875" style="712" customWidth="1"/>
    <col min="9479" max="9488" width="0" style="712" hidden="1" customWidth="1"/>
    <col min="9489" max="9728" width="8.88671875" style="712"/>
    <col min="9729" max="9729" width="11" style="712" customWidth="1"/>
    <col min="9730" max="9730" width="47.44140625" style="712" customWidth="1"/>
    <col min="9731" max="9731" width="9.44140625" style="712" customWidth="1"/>
    <col min="9732" max="9732" width="6.44140625" style="712" customWidth="1"/>
    <col min="9733" max="9733" width="9.6640625" style="712" customWidth="1"/>
    <col min="9734" max="9734" width="9.88671875" style="712" customWidth="1"/>
    <col min="9735" max="9744" width="0" style="712" hidden="1" customWidth="1"/>
    <col min="9745" max="9984" width="8.88671875" style="712"/>
    <col min="9985" max="9985" width="11" style="712" customWidth="1"/>
    <col min="9986" max="9986" width="47.44140625" style="712" customWidth="1"/>
    <col min="9987" max="9987" width="9.44140625" style="712" customWidth="1"/>
    <col min="9988" max="9988" width="6.44140625" style="712" customWidth="1"/>
    <col min="9989" max="9989" width="9.6640625" style="712" customWidth="1"/>
    <col min="9990" max="9990" width="9.88671875" style="712" customWidth="1"/>
    <col min="9991" max="10000" width="0" style="712" hidden="1" customWidth="1"/>
    <col min="10001" max="10240" width="8.88671875" style="712"/>
    <col min="10241" max="10241" width="11" style="712" customWidth="1"/>
    <col min="10242" max="10242" width="47.44140625" style="712" customWidth="1"/>
    <col min="10243" max="10243" width="9.44140625" style="712" customWidth="1"/>
    <col min="10244" max="10244" width="6.44140625" style="712" customWidth="1"/>
    <col min="10245" max="10245" width="9.6640625" style="712" customWidth="1"/>
    <col min="10246" max="10246" width="9.88671875" style="712" customWidth="1"/>
    <col min="10247" max="10256" width="0" style="712" hidden="1" customWidth="1"/>
    <col min="10257" max="10496" width="8.88671875" style="712"/>
    <col min="10497" max="10497" width="11" style="712" customWidth="1"/>
    <col min="10498" max="10498" width="47.44140625" style="712" customWidth="1"/>
    <col min="10499" max="10499" width="9.44140625" style="712" customWidth="1"/>
    <col min="10500" max="10500" width="6.44140625" style="712" customWidth="1"/>
    <col min="10501" max="10501" width="9.6640625" style="712" customWidth="1"/>
    <col min="10502" max="10502" width="9.88671875" style="712" customWidth="1"/>
    <col min="10503" max="10512" width="0" style="712" hidden="1" customWidth="1"/>
    <col min="10513" max="10752" width="8.88671875" style="712"/>
    <col min="10753" max="10753" width="11" style="712" customWidth="1"/>
    <col min="10754" max="10754" width="47.44140625" style="712" customWidth="1"/>
    <col min="10755" max="10755" width="9.44140625" style="712" customWidth="1"/>
    <col min="10756" max="10756" width="6.44140625" style="712" customWidth="1"/>
    <col min="10757" max="10757" width="9.6640625" style="712" customWidth="1"/>
    <col min="10758" max="10758" width="9.88671875" style="712" customWidth="1"/>
    <col min="10759" max="10768" width="0" style="712" hidden="1" customWidth="1"/>
    <col min="10769" max="11008" width="8.88671875" style="712"/>
    <col min="11009" max="11009" width="11" style="712" customWidth="1"/>
    <col min="11010" max="11010" width="47.44140625" style="712" customWidth="1"/>
    <col min="11011" max="11011" width="9.44140625" style="712" customWidth="1"/>
    <col min="11012" max="11012" width="6.44140625" style="712" customWidth="1"/>
    <col min="11013" max="11013" width="9.6640625" style="712" customWidth="1"/>
    <col min="11014" max="11014" width="9.88671875" style="712" customWidth="1"/>
    <col min="11015" max="11024" width="0" style="712" hidden="1" customWidth="1"/>
    <col min="11025" max="11264" width="8.88671875" style="712"/>
    <col min="11265" max="11265" width="11" style="712" customWidth="1"/>
    <col min="11266" max="11266" width="47.44140625" style="712" customWidth="1"/>
    <col min="11267" max="11267" width="9.44140625" style="712" customWidth="1"/>
    <col min="11268" max="11268" width="6.44140625" style="712" customWidth="1"/>
    <col min="11269" max="11269" width="9.6640625" style="712" customWidth="1"/>
    <col min="11270" max="11270" width="9.88671875" style="712" customWidth="1"/>
    <col min="11271" max="11280" width="0" style="712" hidden="1" customWidth="1"/>
    <col min="11281" max="11520" width="8.88671875" style="712"/>
    <col min="11521" max="11521" width="11" style="712" customWidth="1"/>
    <col min="11522" max="11522" width="47.44140625" style="712" customWidth="1"/>
    <col min="11523" max="11523" width="9.44140625" style="712" customWidth="1"/>
    <col min="11524" max="11524" width="6.44140625" style="712" customWidth="1"/>
    <col min="11525" max="11525" width="9.6640625" style="712" customWidth="1"/>
    <col min="11526" max="11526" width="9.88671875" style="712" customWidth="1"/>
    <col min="11527" max="11536" width="0" style="712" hidden="1" customWidth="1"/>
    <col min="11537" max="11776" width="8.88671875" style="712"/>
    <col min="11777" max="11777" width="11" style="712" customWidth="1"/>
    <col min="11778" max="11778" width="47.44140625" style="712" customWidth="1"/>
    <col min="11779" max="11779" width="9.44140625" style="712" customWidth="1"/>
    <col min="11780" max="11780" width="6.44140625" style="712" customWidth="1"/>
    <col min="11781" max="11781" width="9.6640625" style="712" customWidth="1"/>
    <col min="11782" max="11782" width="9.88671875" style="712" customWidth="1"/>
    <col min="11783" max="11792" width="0" style="712" hidden="1" customWidth="1"/>
    <col min="11793" max="12032" width="8.88671875" style="712"/>
    <col min="12033" max="12033" width="11" style="712" customWidth="1"/>
    <col min="12034" max="12034" width="47.44140625" style="712" customWidth="1"/>
    <col min="12035" max="12035" width="9.44140625" style="712" customWidth="1"/>
    <col min="12036" max="12036" width="6.44140625" style="712" customWidth="1"/>
    <col min="12037" max="12037" width="9.6640625" style="712" customWidth="1"/>
    <col min="12038" max="12038" width="9.88671875" style="712" customWidth="1"/>
    <col min="12039" max="12048" width="0" style="712" hidden="1" customWidth="1"/>
    <col min="12049" max="12288" width="8.88671875" style="712"/>
    <col min="12289" max="12289" width="11" style="712" customWidth="1"/>
    <col min="12290" max="12290" width="47.44140625" style="712" customWidth="1"/>
    <col min="12291" max="12291" width="9.44140625" style="712" customWidth="1"/>
    <col min="12292" max="12292" width="6.44140625" style="712" customWidth="1"/>
    <col min="12293" max="12293" width="9.6640625" style="712" customWidth="1"/>
    <col min="12294" max="12294" width="9.88671875" style="712" customWidth="1"/>
    <col min="12295" max="12304" width="0" style="712" hidden="1" customWidth="1"/>
    <col min="12305" max="12544" width="8.88671875" style="712"/>
    <col min="12545" max="12545" width="11" style="712" customWidth="1"/>
    <col min="12546" max="12546" width="47.44140625" style="712" customWidth="1"/>
    <col min="12547" max="12547" width="9.44140625" style="712" customWidth="1"/>
    <col min="12548" max="12548" width="6.44140625" style="712" customWidth="1"/>
    <col min="12549" max="12549" width="9.6640625" style="712" customWidth="1"/>
    <col min="12550" max="12550" width="9.88671875" style="712" customWidth="1"/>
    <col min="12551" max="12560" width="0" style="712" hidden="1" customWidth="1"/>
    <col min="12561" max="12800" width="8.88671875" style="712"/>
    <col min="12801" max="12801" width="11" style="712" customWidth="1"/>
    <col min="12802" max="12802" width="47.44140625" style="712" customWidth="1"/>
    <col min="12803" max="12803" width="9.44140625" style="712" customWidth="1"/>
    <col min="12804" max="12804" width="6.44140625" style="712" customWidth="1"/>
    <col min="12805" max="12805" width="9.6640625" style="712" customWidth="1"/>
    <col min="12806" max="12806" width="9.88671875" style="712" customWidth="1"/>
    <col min="12807" max="12816" width="0" style="712" hidden="1" customWidth="1"/>
    <col min="12817" max="13056" width="8.88671875" style="712"/>
    <col min="13057" max="13057" width="11" style="712" customWidth="1"/>
    <col min="13058" max="13058" width="47.44140625" style="712" customWidth="1"/>
    <col min="13059" max="13059" width="9.44140625" style="712" customWidth="1"/>
    <col min="13060" max="13060" width="6.44140625" style="712" customWidth="1"/>
    <col min="13061" max="13061" width="9.6640625" style="712" customWidth="1"/>
    <col min="13062" max="13062" width="9.88671875" style="712" customWidth="1"/>
    <col min="13063" max="13072" width="0" style="712" hidden="1" customWidth="1"/>
    <col min="13073" max="13312" width="8.88671875" style="712"/>
    <col min="13313" max="13313" width="11" style="712" customWidth="1"/>
    <col min="13314" max="13314" width="47.44140625" style="712" customWidth="1"/>
    <col min="13315" max="13315" width="9.44140625" style="712" customWidth="1"/>
    <col min="13316" max="13316" width="6.44140625" style="712" customWidth="1"/>
    <col min="13317" max="13317" width="9.6640625" style="712" customWidth="1"/>
    <col min="13318" max="13318" width="9.88671875" style="712" customWidth="1"/>
    <col min="13319" max="13328" width="0" style="712" hidden="1" customWidth="1"/>
    <col min="13329" max="13568" width="8.88671875" style="712"/>
    <col min="13569" max="13569" width="11" style="712" customWidth="1"/>
    <col min="13570" max="13570" width="47.44140625" style="712" customWidth="1"/>
    <col min="13571" max="13571" width="9.44140625" style="712" customWidth="1"/>
    <col min="13572" max="13572" width="6.44140625" style="712" customWidth="1"/>
    <col min="13573" max="13573" width="9.6640625" style="712" customWidth="1"/>
    <col min="13574" max="13574" width="9.88671875" style="712" customWidth="1"/>
    <col min="13575" max="13584" width="0" style="712" hidden="1" customWidth="1"/>
    <col min="13585" max="13824" width="8.88671875" style="712"/>
    <col min="13825" max="13825" width="11" style="712" customWidth="1"/>
    <col min="13826" max="13826" width="47.44140625" style="712" customWidth="1"/>
    <col min="13827" max="13827" width="9.44140625" style="712" customWidth="1"/>
    <col min="13828" max="13828" width="6.44140625" style="712" customWidth="1"/>
    <col min="13829" max="13829" width="9.6640625" style="712" customWidth="1"/>
    <col min="13830" max="13830" width="9.88671875" style="712" customWidth="1"/>
    <col min="13831" max="13840" width="0" style="712" hidden="1" customWidth="1"/>
    <col min="13841" max="14080" width="8.88671875" style="712"/>
    <col min="14081" max="14081" width="11" style="712" customWidth="1"/>
    <col min="14082" max="14082" width="47.44140625" style="712" customWidth="1"/>
    <col min="14083" max="14083" width="9.44140625" style="712" customWidth="1"/>
    <col min="14084" max="14084" width="6.44140625" style="712" customWidth="1"/>
    <col min="14085" max="14085" width="9.6640625" style="712" customWidth="1"/>
    <col min="14086" max="14086" width="9.88671875" style="712" customWidth="1"/>
    <col min="14087" max="14096" width="0" style="712" hidden="1" customWidth="1"/>
    <col min="14097" max="14336" width="8.88671875" style="712"/>
    <col min="14337" max="14337" width="11" style="712" customWidth="1"/>
    <col min="14338" max="14338" width="47.44140625" style="712" customWidth="1"/>
    <col min="14339" max="14339" width="9.44140625" style="712" customWidth="1"/>
    <col min="14340" max="14340" width="6.44140625" style="712" customWidth="1"/>
    <col min="14341" max="14341" width="9.6640625" style="712" customWidth="1"/>
    <col min="14342" max="14342" width="9.88671875" style="712" customWidth="1"/>
    <col min="14343" max="14352" width="0" style="712" hidden="1" customWidth="1"/>
    <col min="14353" max="14592" width="8.88671875" style="712"/>
    <col min="14593" max="14593" width="11" style="712" customWidth="1"/>
    <col min="14594" max="14594" width="47.44140625" style="712" customWidth="1"/>
    <col min="14595" max="14595" width="9.44140625" style="712" customWidth="1"/>
    <col min="14596" max="14596" width="6.44140625" style="712" customWidth="1"/>
    <col min="14597" max="14597" width="9.6640625" style="712" customWidth="1"/>
    <col min="14598" max="14598" width="9.88671875" style="712" customWidth="1"/>
    <col min="14599" max="14608" width="0" style="712" hidden="1" customWidth="1"/>
    <col min="14609" max="14848" width="8.88671875" style="712"/>
    <col min="14849" max="14849" width="11" style="712" customWidth="1"/>
    <col min="14850" max="14850" width="47.44140625" style="712" customWidth="1"/>
    <col min="14851" max="14851" width="9.44140625" style="712" customWidth="1"/>
    <col min="14852" max="14852" width="6.44140625" style="712" customWidth="1"/>
    <col min="14853" max="14853" width="9.6640625" style="712" customWidth="1"/>
    <col min="14854" max="14854" width="9.88671875" style="712" customWidth="1"/>
    <col min="14855" max="14864" width="0" style="712" hidden="1" customWidth="1"/>
    <col min="14865" max="15104" width="8.88671875" style="712"/>
    <col min="15105" max="15105" width="11" style="712" customWidth="1"/>
    <col min="15106" max="15106" width="47.44140625" style="712" customWidth="1"/>
    <col min="15107" max="15107" width="9.44140625" style="712" customWidth="1"/>
    <col min="15108" max="15108" width="6.44140625" style="712" customWidth="1"/>
    <col min="15109" max="15109" width="9.6640625" style="712" customWidth="1"/>
    <col min="15110" max="15110" width="9.88671875" style="712" customWidth="1"/>
    <col min="15111" max="15120" width="0" style="712" hidden="1" customWidth="1"/>
    <col min="15121" max="15360" width="8.88671875" style="712"/>
    <col min="15361" max="15361" width="11" style="712" customWidth="1"/>
    <col min="15362" max="15362" width="47.44140625" style="712" customWidth="1"/>
    <col min="15363" max="15363" width="9.44140625" style="712" customWidth="1"/>
    <col min="15364" max="15364" width="6.44140625" style="712" customWidth="1"/>
    <col min="15365" max="15365" width="9.6640625" style="712" customWidth="1"/>
    <col min="15366" max="15366" width="9.88671875" style="712" customWidth="1"/>
    <col min="15367" max="15376" width="0" style="712" hidden="1" customWidth="1"/>
    <col min="15377" max="15616" width="8.88671875" style="712"/>
    <col min="15617" max="15617" width="11" style="712" customWidth="1"/>
    <col min="15618" max="15618" width="47.44140625" style="712" customWidth="1"/>
    <col min="15619" max="15619" width="9.44140625" style="712" customWidth="1"/>
    <col min="15620" max="15620" width="6.44140625" style="712" customWidth="1"/>
    <col min="15621" max="15621" width="9.6640625" style="712" customWidth="1"/>
    <col min="15622" max="15622" width="9.88671875" style="712" customWidth="1"/>
    <col min="15623" max="15632" width="0" style="712" hidden="1" customWidth="1"/>
    <col min="15633" max="15872" width="8.88671875" style="712"/>
    <col min="15873" max="15873" width="11" style="712" customWidth="1"/>
    <col min="15874" max="15874" width="47.44140625" style="712" customWidth="1"/>
    <col min="15875" max="15875" width="9.44140625" style="712" customWidth="1"/>
    <col min="15876" max="15876" width="6.44140625" style="712" customWidth="1"/>
    <col min="15877" max="15877" width="9.6640625" style="712" customWidth="1"/>
    <col min="15878" max="15878" width="9.88671875" style="712" customWidth="1"/>
    <col min="15879" max="15888" width="0" style="712" hidden="1" customWidth="1"/>
    <col min="15889" max="16128" width="8.88671875" style="712"/>
    <col min="16129" max="16129" width="11" style="712" customWidth="1"/>
    <col min="16130" max="16130" width="47.44140625" style="712" customWidth="1"/>
    <col min="16131" max="16131" width="9.44140625" style="712" customWidth="1"/>
    <col min="16132" max="16132" width="6.44140625" style="712" customWidth="1"/>
    <col min="16133" max="16133" width="9.6640625" style="712" customWidth="1"/>
    <col min="16134" max="16134" width="9.88671875" style="712" customWidth="1"/>
    <col min="16135" max="16144" width="0" style="712" hidden="1" customWidth="1"/>
    <col min="16145" max="16384" width="8.88671875" style="712"/>
  </cols>
  <sheetData>
    <row r="1" spans="1:20" ht="26.4">
      <c r="A1" s="709" t="s">
        <v>358</v>
      </c>
      <c r="B1" s="710" t="s">
        <v>359</v>
      </c>
      <c r="C1" s="710" t="s">
        <v>360</v>
      </c>
      <c r="D1" s="710" t="s">
        <v>361</v>
      </c>
      <c r="E1" s="711" t="s">
        <v>362</v>
      </c>
      <c r="F1" s="711" t="s">
        <v>161</v>
      </c>
      <c r="G1" s="852" t="s">
        <v>423</v>
      </c>
      <c r="H1" s="852" t="s">
        <v>424</v>
      </c>
    </row>
    <row r="2" spans="1:20" s="717" customFormat="1">
      <c r="A2" s="713"/>
      <c r="B2" s="714"/>
      <c r="C2" s="715"/>
      <c r="D2" s="715"/>
      <c r="E2" s="716" t="s">
        <v>238</v>
      </c>
      <c r="F2" s="716" t="s">
        <v>238</v>
      </c>
      <c r="G2" s="716" t="s">
        <v>238</v>
      </c>
      <c r="H2" s="716" t="s">
        <v>238</v>
      </c>
    </row>
    <row r="3" spans="1:20" s="717" customFormat="1" ht="23.25" customHeight="1">
      <c r="A3" s="718" t="str">
        <f>TRIM(MID(Elec_Est!D15,6,30))</f>
        <v/>
      </c>
      <c r="B3" s="719" t="str">
        <f>Elec_Est!D16</f>
        <v>Electrical For Mechanical Works,</v>
      </c>
      <c r="C3" s="720"/>
      <c r="D3" s="720"/>
      <c r="E3" s="721"/>
      <c r="F3" s="721"/>
      <c r="G3" s="721"/>
      <c r="H3" s="721"/>
    </row>
    <row r="4" spans="1:20" s="717" customFormat="1">
      <c r="A4" s="722"/>
      <c r="B4" s="723"/>
      <c r="C4" s="724"/>
      <c r="D4" s="725"/>
      <c r="E4" s="726"/>
      <c r="F4" s="726"/>
      <c r="G4" s="726"/>
      <c r="H4" s="726"/>
      <c r="R4" s="727"/>
      <c r="T4" s="727"/>
    </row>
    <row r="5" spans="1:20" s="727" customFormat="1">
      <c r="A5" s="722" t="str">
        <f>TRIM(MID(Elec_Est!D19,6,30))</f>
        <v>1.01</v>
      </c>
      <c r="B5" s="728" t="str">
        <f>Elec_Est!D20</f>
        <v>Dismantling the Old AHU</v>
      </c>
      <c r="C5" s="724">
        <f>Elec_Est!A19</f>
        <v>1</v>
      </c>
      <c r="D5" s="725" t="str">
        <f>Elec_Est!B19</f>
        <v>L/S</v>
      </c>
      <c r="E5" s="726">
        <f>Elec_Est!E19</f>
        <v>126.32</v>
      </c>
      <c r="F5" s="726">
        <f>C5*E5</f>
        <v>126.32</v>
      </c>
      <c r="G5" s="726">
        <f>Elec_Est!AM19</f>
        <v>0</v>
      </c>
      <c r="H5" s="726">
        <f>Elec_Est!AN19</f>
        <v>4.5999999999999996</v>
      </c>
    </row>
    <row r="6" spans="1:20" s="727" customFormat="1">
      <c r="A6" s="729"/>
      <c r="B6" s="728"/>
      <c r="C6" s="724"/>
      <c r="D6" s="725"/>
      <c r="E6" s="726"/>
      <c r="F6" s="726"/>
      <c r="G6" s="726"/>
      <c r="H6" s="726"/>
    </row>
    <row r="7" spans="1:20" s="727" customFormat="1" ht="26.4">
      <c r="A7" s="729" t="str">
        <f>TRIM(MID(Elec_Est!D25,6,30))</f>
        <v>1.02</v>
      </c>
      <c r="B7" s="728" t="str">
        <f>Elec_Est!D26</f>
        <v>Electrical Power for Air Conditioning Outdoor Units including connecting Up of Outdoor units</v>
      </c>
      <c r="C7" s="724">
        <f>Elec_Est!A25</f>
        <v>2</v>
      </c>
      <c r="D7" s="725" t="str">
        <f>Elec_Est!B25</f>
        <v>No</v>
      </c>
      <c r="E7" s="726">
        <f ca="1">Elec_Est!E25</f>
        <v>803.68</v>
      </c>
      <c r="F7" s="726">
        <f ca="1">C7*E7</f>
        <v>1607.36</v>
      </c>
      <c r="G7" s="726">
        <f ca="1">Elec_Est!AM25</f>
        <v>1144.8</v>
      </c>
      <c r="H7" s="726">
        <f ca="1">Elec_Est!AN25</f>
        <v>16.850000000000001</v>
      </c>
    </row>
    <row r="8" spans="1:20" s="727" customFormat="1">
      <c r="A8" s="729"/>
      <c r="B8" s="728"/>
      <c r="C8" s="724"/>
      <c r="D8" s="725"/>
      <c r="E8" s="726"/>
      <c r="F8" s="726"/>
      <c r="G8" s="726"/>
      <c r="H8" s="726"/>
    </row>
    <row r="9" spans="1:20" s="727" customFormat="1" ht="26.4">
      <c r="A9" s="729" t="str">
        <f>TRIM(MID(Elec_Est!D38,6,30))</f>
        <v>1.03</v>
      </c>
      <c r="B9" s="851" t="str">
        <f>Elec_Est!D39</f>
        <v>Electrical Power for Air Conditioning Indoor Units including connecting Up of Indoor units</v>
      </c>
      <c r="C9" s="724">
        <f>Elec_Est!A38</f>
        <v>2</v>
      </c>
      <c r="D9" s="725" t="str">
        <f>Elec_Est!B38</f>
        <v>No</v>
      </c>
      <c r="E9" s="726">
        <f>Elec_Est!E38</f>
        <v>196.27</v>
      </c>
      <c r="F9" s="726">
        <f>C9*E9</f>
        <v>392.54</v>
      </c>
      <c r="G9" s="726">
        <f>Elec_Est!AM38</f>
        <v>162.63999999999999</v>
      </c>
      <c r="H9" s="726">
        <f>Elec_Est!AN38</f>
        <v>8.3699999999999992</v>
      </c>
    </row>
    <row r="10" spans="1:20" s="730" customFormat="1" ht="23.25" customHeight="1">
      <c r="A10" s="722"/>
      <c r="B10" s="723"/>
      <c r="C10" s="724"/>
      <c r="D10" s="724"/>
      <c r="E10" s="726"/>
      <c r="F10" s="726"/>
      <c r="G10" s="726"/>
      <c r="H10" s="726"/>
    </row>
    <row r="11" spans="1:20" s="727" customFormat="1">
      <c r="A11" s="729" t="str">
        <f>TRIM(MID(Elec_Est!D48,6,30))</f>
        <v>1.04</v>
      </c>
      <c r="B11" s="728" t="str">
        <f>Elec_Est!D49</f>
        <v>Flowmeter</v>
      </c>
      <c r="C11" s="724">
        <f>Elec_Est!A48</f>
        <v>1</v>
      </c>
      <c r="D11" s="725" t="str">
        <f>Elec_Est!B48</f>
        <v>No</v>
      </c>
      <c r="E11" s="726">
        <f>Elec_Est!E48</f>
        <v>3450.94</v>
      </c>
      <c r="F11" s="726">
        <f>C11*E11</f>
        <v>3450.94</v>
      </c>
      <c r="G11" s="726">
        <f>Elec_Est!AM48</f>
        <v>3010.39</v>
      </c>
      <c r="H11" s="726">
        <f>Elec_Est!AN48</f>
        <v>16.04</v>
      </c>
    </row>
    <row r="12" spans="1:20" s="727" customFormat="1">
      <c r="A12" s="729"/>
      <c r="B12" s="728"/>
      <c r="C12" s="724"/>
      <c r="D12" s="724"/>
      <c r="E12" s="726"/>
      <c r="F12" s="726"/>
      <c r="G12" s="726"/>
      <c r="H12" s="726"/>
    </row>
    <row r="13" spans="1:20" s="727" customFormat="1">
      <c r="A13" s="729" t="str">
        <f>TRIM(MID(Elec_Est!D69,6,30))</f>
        <v>1.05</v>
      </c>
      <c r="B13" s="728" t="str">
        <f>Elec_Est!D70</f>
        <v>Delta Pressure Sensor</v>
      </c>
      <c r="C13" s="724">
        <f>Elec_Est!A69</f>
        <v>1</v>
      </c>
      <c r="D13" s="725" t="str">
        <f>Elec_Est!B69</f>
        <v>No</v>
      </c>
      <c r="E13" s="726">
        <f>Elec_Est!E69</f>
        <v>577.91999999999996</v>
      </c>
      <c r="F13" s="726">
        <f>C13*E13</f>
        <v>577.91999999999996</v>
      </c>
      <c r="G13" s="726">
        <f>Elec_Est!AM69</f>
        <v>249.45</v>
      </c>
      <c r="H13" s="726">
        <f>Elec_Est!AN69</f>
        <v>11.96</v>
      </c>
    </row>
    <row r="14" spans="1:20" s="727" customFormat="1">
      <c r="A14" s="729"/>
      <c r="B14" s="728"/>
      <c r="C14" s="724"/>
      <c r="D14" s="725"/>
      <c r="E14" s="726"/>
      <c r="F14" s="726"/>
      <c r="G14" s="726"/>
      <c r="H14" s="726"/>
    </row>
    <row r="15" spans="1:20" s="730" customFormat="1">
      <c r="A15" s="729" t="str">
        <f>TRIM(MID(Elec_Est!D89,6,30))</f>
        <v>1.06</v>
      </c>
      <c r="B15" s="851" t="str">
        <f>Elec_Est!D90</f>
        <v>Damper</v>
      </c>
      <c r="C15" s="724">
        <f>Elec_Est!A89</f>
        <v>2</v>
      </c>
      <c r="D15" s="724" t="str">
        <f>Elec_Est!B89</f>
        <v>No</v>
      </c>
      <c r="E15" s="726">
        <f>Elec_Est!E89</f>
        <v>386.38</v>
      </c>
      <c r="F15" s="726">
        <f>C15*E15</f>
        <v>772.76</v>
      </c>
      <c r="G15" s="726">
        <f>Elec_Est!AM89</f>
        <v>387.45</v>
      </c>
      <c r="H15" s="726">
        <f>Elec_Est!AN89</f>
        <v>14.03</v>
      </c>
    </row>
    <row r="16" spans="1:20" s="730" customFormat="1">
      <c r="A16" s="729"/>
      <c r="B16" s="719"/>
      <c r="C16" s="724"/>
      <c r="D16" s="724"/>
      <c r="E16" s="726"/>
      <c r="F16" s="726"/>
      <c r="G16" s="726"/>
      <c r="H16" s="726"/>
    </row>
    <row r="17" spans="1:8" s="730" customFormat="1">
      <c r="A17" s="729" t="str">
        <f>TRIM(MID(Elec_Est!D109,6,30))</f>
        <v>1.07</v>
      </c>
      <c r="B17" s="728" t="str">
        <f>Elec_Est!D110</f>
        <v>Dismantling the Old Extractors</v>
      </c>
      <c r="C17" s="724">
        <f>Elec_Est!A109</f>
        <v>1</v>
      </c>
      <c r="D17" s="725" t="str">
        <f>Elec_Est!B109</f>
        <v>LS</v>
      </c>
      <c r="E17" s="726">
        <f>Elec_Est!E109</f>
        <v>505.26</v>
      </c>
      <c r="F17" s="726">
        <f>C17*E17</f>
        <v>505.26</v>
      </c>
      <c r="G17" s="726">
        <f>Elec_Est!AM109</f>
        <v>0</v>
      </c>
      <c r="H17" s="726">
        <f>Elec_Est!AN109</f>
        <v>18.399999999999999</v>
      </c>
    </row>
    <row r="18" spans="1:8" s="730" customFormat="1">
      <c r="A18" s="729"/>
      <c r="B18" s="728"/>
      <c r="C18" s="724"/>
      <c r="D18" s="724"/>
      <c r="E18" s="726"/>
      <c r="F18" s="726"/>
      <c r="G18" s="726"/>
      <c r="H18" s="726"/>
    </row>
    <row r="19" spans="1:8" s="730" customFormat="1">
      <c r="A19" s="729"/>
      <c r="B19" s="728"/>
      <c r="C19" s="724"/>
      <c r="D19" s="725"/>
      <c r="E19" s="726"/>
      <c r="F19" s="726"/>
      <c r="G19" s="726"/>
      <c r="H19" s="726"/>
    </row>
    <row r="20" spans="1:8" s="730" customFormat="1">
      <c r="A20" s="729"/>
      <c r="B20" s="731"/>
      <c r="C20" s="724"/>
      <c r="D20" s="724"/>
      <c r="E20" s="726"/>
      <c r="F20" s="726"/>
      <c r="G20" s="726"/>
      <c r="H20" s="726"/>
    </row>
    <row r="21" spans="1:8" s="730" customFormat="1">
      <c r="A21" s="729"/>
      <c r="B21" s="728"/>
      <c r="C21" s="724"/>
      <c r="D21" s="725"/>
      <c r="E21" s="726"/>
      <c r="F21" s="726"/>
      <c r="G21" s="726"/>
      <c r="H21" s="726"/>
    </row>
    <row r="22" spans="1:8" s="730" customFormat="1">
      <c r="A22" s="729"/>
      <c r="B22" s="731"/>
      <c r="C22" s="724"/>
      <c r="D22" s="724"/>
      <c r="E22" s="726"/>
      <c r="F22" s="726"/>
      <c r="G22" s="726"/>
      <c r="H22" s="726"/>
    </row>
    <row r="23" spans="1:8" s="730" customFormat="1">
      <c r="A23" s="729"/>
      <c r="B23" s="728"/>
      <c r="C23" s="724"/>
      <c r="D23" s="725"/>
      <c r="E23" s="726"/>
      <c r="F23" s="726"/>
      <c r="G23" s="726"/>
      <c r="H23" s="726"/>
    </row>
    <row r="24" spans="1:8" s="730" customFormat="1">
      <c r="A24" s="729"/>
      <c r="B24" s="731"/>
      <c r="C24" s="724"/>
      <c r="D24" s="724"/>
      <c r="E24" s="726"/>
      <c r="F24" s="726"/>
      <c r="G24" s="726"/>
      <c r="H24" s="726"/>
    </row>
    <row r="25" spans="1:8" s="730" customFormat="1">
      <c r="A25" s="729"/>
      <c r="B25" s="728"/>
      <c r="C25" s="724"/>
      <c r="D25" s="725"/>
      <c r="E25" s="726"/>
      <c r="F25" s="726"/>
      <c r="G25" s="726"/>
      <c r="H25" s="726"/>
    </row>
    <row r="26" spans="1:8" s="730" customFormat="1">
      <c r="A26" s="729"/>
      <c r="B26" s="731"/>
      <c r="C26" s="724"/>
      <c r="D26" s="724"/>
      <c r="E26" s="726"/>
      <c r="F26" s="726"/>
      <c r="G26" s="726"/>
      <c r="H26" s="726"/>
    </row>
    <row r="27" spans="1:8" s="730" customFormat="1">
      <c r="A27" s="729"/>
      <c r="B27" s="728"/>
      <c r="C27" s="724"/>
      <c r="D27" s="725"/>
      <c r="E27" s="726"/>
      <c r="F27" s="726"/>
      <c r="G27" s="726"/>
      <c r="H27" s="726"/>
    </row>
    <row r="28" spans="1:8" s="730" customFormat="1">
      <c r="A28" s="729"/>
      <c r="B28" s="731"/>
      <c r="C28" s="724"/>
      <c r="D28" s="724"/>
      <c r="E28" s="726"/>
      <c r="F28" s="726"/>
      <c r="G28" s="726"/>
      <c r="H28" s="726"/>
    </row>
    <row r="29" spans="1:8" s="730" customFormat="1">
      <c r="A29" s="729"/>
      <c r="B29" s="728"/>
      <c r="C29" s="724"/>
      <c r="D29" s="725"/>
      <c r="E29" s="726"/>
      <c r="F29" s="726"/>
      <c r="G29" s="726"/>
      <c r="H29" s="726"/>
    </row>
    <row r="30" spans="1:8" s="730" customFormat="1">
      <c r="A30" s="729"/>
      <c r="B30" s="731"/>
      <c r="C30" s="724"/>
      <c r="D30" s="724"/>
      <c r="E30" s="726"/>
      <c r="F30" s="726"/>
      <c r="G30" s="726"/>
      <c r="H30" s="726"/>
    </row>
    <row r="31" spans="1:8" s="730" customFormat="1">
      <c r="A31" s="729"/>
      <c r="B31" s="732"/>
      <c r="C31" s="725"/>
      <c r="D31" s="725"/>
      <c r="E31" s="726"/>
      <c r="F31" s="726"/>
      <c r="G31" s="726"/>
      <c r="H31" s="726"/>
    </row>
    <row r="32" spans="1:8" s="730" customFormat="1">
      <c r="A32" s="729"/>
      <c r="B32" s="731"/>
      <c r="C32" s="724"/>
      <c r="D32" s="724"/>
      <c r="E32" s="726"/>
      <c r="F32" s="726"/>
      <c r="G32" s="726"/>
      <c r="H32" s="726"/>
    </row>
    <row r="33" spans="1:20" s="730" customFormat="1">
      <c r="A33" s="729"/>
      <c r="B33" s="731"/>
      <c r="C33" s="724"/>
      <c r="D33" s="724"/>
      <c r="E33" s="726"/>
      <c r="F33" s="726"/>
      <c r="G33" s="726"/>
      <c r="H33" s="726"/>
    </row>
    <row r="34" spans="1:20" s="730" customFormat="1">
      <c r="A34" s="729"/>
      <c r="B34" s="731"/>
      <c r="C34" s="724"/>
      <c r="D34" s="724"/>
      <c r="E34" s="726"/>
      <c r="F34" s="726"/>
      <c r="G34" s="726"/>
      <c r="H34" s="726"/>
    </row>
    <row r="35" spans="1:20" s="730" customFormat="1">
      <c r="A35" s="729"/>
      <c r="B35" s="731"/>
      <c r="C35" s="724"/>
      <c r="D35" s="724"/>
      <c r="E35" s="726"/>
      <c r="F35" s="726"/>
      <c r="G35" s="726"/>
      <c r="H35" s="726"/>
    </row>
    <row r="36" spans="1:20" s="730" customFormat="1">
      <c r="A36" s="729"/>
      <c r="B36" s="731"/>
      <c r="C36" s="724"/>
      <c r="D36" s="724"/>
      <c r="E36" s="726"/>
      <c r="F36" s="726"/>
      <c r="G36" s="726"/>
      <c r="H36" s="726"/>
    </row>
    <row r="37" spans="1:20" s="730" customFormat="1">
      <c r="A37" s="729"/>
      <c r="B37" s="731"/>
      <c r="C37" s="724"/>
      <c r="D37" s="724"/>
      <c r="E37" s="726"/>
      <c r="F37" s="726"/>
      <c r="G37" s="726"/>
      <c r="H37" s="726"/>
    </row>
    <row r="38" spans="1:20" s="730" customFormat="1">
      <c r="A38" s="729"/>
      <c r="B38" s="731"/>
      <c r="C38" s="724"/>
      <c r="D38" s="724"/>
      <c r="E38" s="726"/>
      <c r="F38" s="726"/>
      <c r="G38" s="726"/>
      <c r="H38" s="726"/>
    </row>
    <row r="39" spans="1:20" s="730" customFormat="1">
      <c r="A39" s="729"/>
      <c r="B39" s="731"/>
      <c r="C39" s="724"/>
      <c r="D39" s="724"/>
      <c r="E39" s="726"/>
      <c r="F39" s="726"/>
      <c r="G39" s="726"/>
      <c r="H39" s="726"/>
    </row>
    <row r="40" spans="1:20" s="730" customFormat="1">
      <c r="A40" s="729"/>
      <c r="B40" s="731"/>
      <c r="C40" s="724"/>
      <c r="D40" s="724"/>
      <c r="E40" s="726"/>
      <c r="F40" s="726"/>
      <c r="G40" s="726"/>
      <c r="H40" s="726"/>
    </row>
    <row r="41" spans="1:20" s="730" customFormat="1">
      <c r="A41" s="729"/>
      <c r="B41" s="731"/>
      <c r="C41" s="724"/>
      <c r="D41" s="724"/>
      <c r="E41" s="726"/>
      <c r="F41" s="726"/>
      <c r="G41" s="726"/>
      <c r="H41" s="726"/>
    </row>
    <row r="42" spans="1:20" s="730" customFormat="1">
      <c r="A42" s="729"/>
      <c r="B42" s="731"/>
      <c r="C42" s="724"/>
      <c r="D42" s="724"/>
      <c r="E42" s="726"/>
      <c r="F42" s="726"/>
      <c r="G42" s="726"/>
      <c r="H42" s="726"/>
    </row>
    <row r="43" spans="1:20" s="730" customFormat="1">
      <c r="A43" s="729"/>
      <c r="B43" s="731"/>
      <c r="C43" s="724"/>
      <c r="D43" s="724"/>
      <c r="E43" s="726"/>
      <c r="F43" s="726"/>
      <c r="G43" s="726"/>
      <c r="H43" s="726"/>
    </row>
    <row r="44" spans="1:20" s="730" customFormat="1">
      <c r="A44" s="729"/>
      <c r="B44" s="732"/>
      <c r="C44" s="725"/>
      <c r="D44" s="725"/>
      <c r="E44" s="726"/>
      <c r="F44" s="726"/>
      <c r="G44" s="726"/>
      <c r="H44" s="726"/>
    </row>
    <row r="45" spans="1:20" s="730" customFormat="1">
      <c r="A45" s="729"/>
      <c r="B45" s="732"/>
      <c r="C45" s="725"/>
      <c r="D45" s="725"/>
      <c r="E45" s="726"/>
      <c r="F45" s="726"/>
      <c r="G45" s="726"/>
      <c r="H45" s="726"/>
    </row>
    <row r="46" spans="1:20" s="730" customFormat="1">
      <c r="A46" s="729"/>
      <c r="B46" s="732"/>
      <c r="C46" s="725"/>
      <c r="D46" s="725"/>
      <c r="E46" s="726"/>
      <c r="F46" s="726"/>
      <c r="G46" s="726"/>
      <c r="H46" s="726"/>
      <c r="R46" s="712"/>
      <c r="T46" s="712"/>
    </row>
    <row r="47" spans="1:20" s="730" customFormat="1">
      <c r="A47" s="729"/>
      <c r="B47" s="733"/>
      <c r="C47" s="725"/>
      <c r="D47" s="725"/>
      <c r="E47" s="726"/>
      <c r="F47" s="726"/>
      <c r="G47" s="726"/>
      <c r="H47" s="726"/>
      <c r="R47" s="712"/>
      <c r="T47" s="712"/>
    </row>
    <row r="48" spans="1:20" s="730" customFormat="1">
      <c r="A48" s="729"/>
      <c r="B48" s="734"/>
      <c r="C48" s="725"/>
      <c r="D48" s="725"/>
      <c r="E48" s="726"/>
      <c r="F48" s="726"/>
      <c r="G48" s="726"/>
      <c r="H48" s="726"/>
      <c r="R48" s="712"/>
      <c r="T48" s="712"/>
    </row>
    <row r="49" spans="1:20" s="730" customFormat="1">
      <c r="A49" s="729"/>
      <c r="B49" s="733"/>
      <c r="C49" s="725"/>
      <c r="D49" s="725"/>
      <c r="E49" s="726"/>
      <c r="F49" s="726"/>
      <c r="G49" s="726"/>
      <c r="H49" s="726"/>
      <c r="R49" s="712"/>
      <c r="T49" s="712"/>
    </row>
    <row r="50" spans="1:20">
      <c r="A50" s="735"/>
      <c r="B50" s="736"/>
      <c r="C50" s="737"/>
      <c r="D50" s="737"/>
      <c r="E50" s="738"/>
      <c r="F50" s="738"/>
      <c r="G50" s="738"/>
      <c r="H50" s="738"/>
      <c r="I50" s="730"/>
      <c r="J50" s="730"/>
      <c r="K50" s="730"/>
      <c r="L50" s="730"/>
      <c r="M50" s="730"/>
      <c r="N50" s="730"/>
      <c r="O50" s="730"/>
      <c r="P50" s="730"/>
      <c r="Q50" s="730"/>
    </row>
    <row r="51" spans="1:20">
      <c r="A51" s="739" t="s">
        <v>151</v>
      </c>
      <c r="B51" s="740" t="s">
        <v>363</v>
      </c>
      <c r="C51" s="741"/>
      <c r="D51" s="742" t="str">
        <f>[16]ML_Sum!D6</f>
        <v>VAT EXCL.</v>
      </c>
      <c r="E51" s="743" t="s">
        <v>238</v>
      </c>
      <c r="F51" s="744">
        <f ca="1">SUM(F4:F50)</f>
        <v>7433.1</v>
      </c>
      <c r="G51" s="853">
        <f ca="1">SUM(G5:G50)</f>
        <v>4954.7299999999996</v>
      </c>
      <c r="H51" s="853">
        <f ca="1">SUM(H5:H50)</f>
        <v>90.25</v>
      </c>
      <c r="I51" s="730"/>
      <c r="J51" s="730"/>
      <c r="K51" s="730"/>
      <c r="L51" s="730"/>
      <c r="M51" s="730"/>
      <c r="N51" s="730"/>
      <c r="O51" s="730"/>
      <c r="P51" s="730"/>
      <c r="Q51" s="730"/>
    </row>
    <row r="52" spans="1:20">
      <c r="I52" s="730"/>
      <c r="J52" s="730"/>
      <c r="K52" s="730"/>
      <c r="L52" s="730"/>
      <c r="M52" s="730"/>
      <c r="N52" s="730"/>
      <c r="O52" s="730"/>
      <c r="P52" s="730"/>
      <c r="Q52" s="730"/>
    </row>
    <row r="53" spans="1:20">
      <c r="I53" s="730"/>
      <c r="J53" s="730"/>
      <c r="K53" s="730"/>
      <c r="L53" s="730"/>
      <c r="M53" s="730"/>
      <c r="N53" s="730"/>
      <c r="O53" s="730"/>
      <c r="P53" s="730"/>
      <c r="Q53" s="730"/>
    </row>
  </sheetData>
  <pageMargins left="0.59055118110236227" right="0.23622047244094491" top="1.1023622047244095" bottom="0.62992125984251968" header="0.35433070866141736" footer="0.23622047244094491"/>
  <pageSetup paperSize="9" scale="99" orientation="portrait" r:id="rId1"/>
  <headerFooter alignWithMargins="0">
    <oddHeader>&amp;LPanta Contracting Ltd.&amp;C&amp;"Arial,Bold"WEMBLEY OFFICES
Additional Works for Block A VRF Outdoor Units.&amp;R&amp;8&amp;D</oddHeader>
    <oddFooter>&amp;C&amp;9Page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Notes</vt:lpstr>
      <vt:lpstr>Quote</vt:lpstr>
      <vt:lpstr>ML_Sum</vt:lpstr>
      <vt:lpstr>Elec_Rates</vt:lpstr>
      <vt:lpstr>Elec_Est</vt:lpstr>
      <vt:lpstr>E_BOQ</vt:lpstr>
      <vt:lpstr>AREAS</vt:lpstr>
      <vt:lpstr>CHILLERS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2025-07-10T13:46:38Z</cp:lastPrinted>
  <dcterms:created xsi:type="dcterms:W3CDTF">2004-05-27T15:45:27Z</dcterms:created>
  <dcterms:modified xsi:type="dcterms:W3CDTF">2026-04-15T15:10:49Z</dcterms:modified>
  <cp:contentStatus/>
</cp:coreProperties>
</file>